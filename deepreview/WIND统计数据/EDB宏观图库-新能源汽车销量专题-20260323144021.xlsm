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研究\20231229 Excel模板EDB图库\专题模板\"/>
    </mc:Choice>
  </mc:AlternateContent>
  <bookViews>
    <workbookView xWindow="0" yWindow="0" windowWidth="28800" windowHeight="12165"/>
  </bookViews>
  <sheets>
    <sheet name="目录" sheetId="1" r:id="rId1"/>
    <sheet name="1" sheetId="2" r:id="rId2"/>
    <sheet name="2" sheetId="3" r:id="rId3"/>
    <sheet name="Wind模板" sheetId="4" state="veryHidden" r:id="rId4"/>
  </sheets>
  <externalReferences>
    <externalReference r:id="rId5"/>
  </externalReferences>
  <definedNames>
    <definedName name="Date1" localSheetId="1">OFFSET('1'!$C$40,'1'!$D$12-'1'!$D$8+1,0,'1'!$D$8,1)</definedName>
    <definedName name="Date1" localSheetId="2">OFFSET('2'!$C$40,'2'!$D$12-'2'!$D$8+1,0,'2'!$D$8,1)</definedName>
    <definedName name="Date2" localSheetId="1">OFFSET('1'!$L$40,'1'!$M$12-'1'!$M$8+1,0,'1'!$M$8,1)</definedName>
    <definedName name="Date2" localSheetId="2">OFFSET('2'!$L$40,'2'!$M$12-'2'!$M$8+1,0,'2'!$M$8,1)</definedName>
    <definedName name="Ind1_1" localSheetId="1">OFFSET('1'!$D$40,'1'!$D$12-'1'!$D$8+1,0,'1'!$D$8,1)</definedName>
    <definedName name="Ind1_1" localSheetId="2">OFFSET('2'!$D$40,'2'!$D$12-'2'!$D$8+1,0,'2'!$D$8,1)</definedName>
    <definedName name="Ind1_2" localSheetId="1">OFFSET('1'!$E$40,'1'!$D$12-'1'!$D$8+1,0,'1'!$D$8,1)</definedName>
    <definedName name="Ind1_2" localSheetId="2">OFFSET('2'!$E$40,'2'!$D$12-'2'!$D$8+1,0,'2'!$D$8,1)</definedName>
    <definedName name="Ind1_3" localSheetId="1">OFFSET('1'!$F$40,'1'!$D$12-'1'!$D$8+1,0,'1'!$D$8,1)</definedName>
    <definedName name="Ind1_3" localSheetId="2">OFFSET('2'!$F$40,'2'!$D$12-'2'!$D$8+1,0,'2'!$D$8,1)</definedName>
    <definedName name="Ind1_4" localSheetId="1">OFFSET('1'!$G$40,'1'!$D$12-'1'!$D$8+1,0,'1'!$D$8,1)</definedName>
    <definedName name="Ind1_4" localSheetId="2">OFFSET('2'!$G$40,'2'!$D$12-'2'!$D$8+1,0,'2'!$D$8,1)</definedName>
    <definedName name="Ind1_5" localSheetId="1">OFFSET('1'!$H$40,'1'!$D$12-'1'!$D$8+1,0,'1'!$D$8,1)</definedName>
    <definedName name="Ind1_5" localSheetId="2">OFFSET('2'!$H$40,'2'!$D$12-'2'!$D$8+1,0,'2'!$D$8,1)</definedName>
    <definedName name="Ind2_1" localSheetId="1">OFFSET('1'!$M$40,'1'!$M$12-'1'!$M$8+1,0,'1'!$M$8,1)</definedName>
    <definedName name="Ind2_1" localSheetId="2">OFFSET('2'!$M$40,'2'!$M$12-'2'!$M$8+1,0,'2'!$M$8,1)</definedName>
    <definedName name="Ind2_2" localSheetId="1">OFFSET('1'!$N$40,'1'!$M$12-'1'!$M$8+1,0,'1'!$M$8,1)</definedName>
    <definedName name="Ind2_2" localSheetId="2">OFFSET('2'!$N$40,'2'!$M$12-'2'!$M$8+1,0,'2'!$M$8,1)</definedName>
    <definedName name="Ind2_3" localSheetId="1">OFFSET('1'!$O$40,'1'!$M$12-'1'!$M$8+1,0,'1'!$M$8,1)</definedName>
    <definedName name="Ind2_3" localSheetId="2">OFFSET('2'!$O$40,'2'!$M$12-'2'!$M$8+1,0,'2'!$M$8,1)</definedName>
    <definedName name="Ind2_4" localSheetId="1">OFFSET('1'!$P$40,'1'!$M$12-'1'!$M$8+1,0,'1'!$M$8,1)</definedName>
    <definedName name="Ind2_4" localSheetId="2">OFFSET('2'!$P$40,'2'!$M$12-'2'!$M$8+1,0,'2'!$M$8,1)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3" l="1"/>
  <c r="D10" i="3"/>
  <c r="M10" i="2"/>
  <c r="D10" i="2"/>
  <c r="L39" i="2"/>
  <c r="L39" i="3"/>
  <c r="C39" i="3"/>
  <c r="C39" i="2"/>
  <c r="H36" i="3" l="1"/>
  <c r="H36" i="2"/>
  <c r="Q36" i="2"/>
  <c r="Q36" i="3"/>
  <c r="D11" i="2"/>
  <c r="D12" i="2" s="1"/>
  <c r="D11" i="3"/>
  <c r="D12" i="3" s="1"/>
  <c r="M11" i="3"/>
  <c r="M12" i="3" s="1"/>
  <c r="M11" i="2"/>
  <c r="M12" i="2" s="1"/>
</calcChain>
</file>

<file path=xl/comments1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NdrOVgAAAAAAAAAAAAAAAABAAAAMN1Vy2ocRxTVOl8x1Hoaqt+PnSyNImN5JDQjb4wR1VW3x4VqqjtV1bEHMWAwxCEbB0eEQLIOXiXZJE5MlK+xRtJfpLp7rFGykTCYQGhmUeee2+f2PWe6B5t31j5ZW1s7RvC0KpXZKGXBJyg7RgwKUguzQ+SkJhNAGaIS9RHjuhJkdr9kDcSmdyXjlBheNkWu1zVFmVE1NIdtzuCOIPLoPVRr2KklUSgriNAw7y9Vx9wI2K3au1hpIkSLDARMQRq9pPcRLWtp1OzqzEBTxZd9nUSh4LMaJF2R7BDS8IKDuoI0mVYCVkcQQA2wVvQezHa4Nih7iBRoUyoYkimgR5ZW1oquugzJRVd7j9SSXxu2rhgxsGl/q8edglHcbujhMTq0VbLJJ22L10c5TLjs2MjDbow9L7ErpY+tAbAPtFSs7aPldEoka/YkW3F0f/3T4d3xwebA0iuiLGhA6YawqmRoPBgejrd3D0brw01LvCodjvY3bHl3OEDz+fxRs+TWWu1ZFsjuAdE+GMJFTxMBOusN4UlvIEFNZr09ojXYCVVvgyid/UsF5IHdie138RFq3bajA7vaETw1ilAzJpPr/qEs6KOJKuuqLSy5R2A9RbmP7eW6TpJjzwlSDA4Jw9SBkLkQ5mGc0NAqLVdz+f1vZyc/XZ48u3zxMlt8+8vF89PF26/f/fHd+cnri9Mfs7PTbxY/fHn27M/s3e8vbJsiTza6xx9Frh8HXtSB91rtkLiMkYA4OCliJ6CA7RQ+dkI3p0EOIY38RnsZm3/EwnZbhYu/vkDz/o3eJzjy8X/qffoh3vf2agW9QfNfsiH/+FEgrAAbgtzxPZ9aOxh28jQPHC8oABikYZSz20fh/O3P5ye/nn31+uZQxNdDkZMiooFnAxkEdgo3jRxSFIWTkJCEgUeTIML/j1CEHxYKUU8cLnvbs1xx9vFTkQZFkkQxdWgaYPuCcJtUeL7jFzn4MY1jF8PtU7F4+cqmYvHmza2CkVwPRpqQyAsSz4kjN3UCj9g3VZwyB+I0d5OIphDTm4Nh92/4FLYaF0dgDJft15k+Bnr0gAi+WpUg2uzm1mbX6w7jWdXMJhoU1OftR1pbxTLXW6qctrHyME5x0oEjQ5RZNx3uYnt1+LjsIG9JrUDxki3vXpmtWoi9FrJ5+RtQSwcIxTOtomcDAABQCAAA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FBsOVgAAAAAAAAAAAAAAAABAAAAMMWU32vUQBDH++xfERaEChdIctc0l7f+uFKxtqWtQilFNruTdOneJu5utEcpCD4oIrToIUJ9lr5ofdFq4f6b3rX9L9xLrr36pFWKhEDmOzM7M58J25ieHLk1MjKyjWArS6WeSkXMEhRuIwoxzrmewyLJcQIoRESgCqJMZRy37qe0L9HmXUEZwZqlfSdTE4qgUMsc+sYsozDJsdi8kHIFc7nAEoUx5gp2KoOqK0xzWMiKU0xpzHmhNDg0QWg1CK8gkuZCy9alTUERyQZ5ZYlYwuMcBBkGmSaEZjEDeSkp3Mw4DE3gQDTQoug9aM0xpVG4hiQonUqYx01A6yYszSUZZmkc8dJ3oeSCXWk2zyjWMG3e4bhN0JIZQmvb6JHx4mmWFCleBUWQMFFGI89xA8etugYp2TALgCUgqaQmb70PoUC/7LvV8ZpXNzEgyjbQ1AYTOLSWQGPGLYU5qNCah6dWQ4BMWtYiVgrMcdKawtK4VtPVIv2Badyk30bFQrCgQC/HgC0tMdErOLmKGIW1CkpkmmeFYxC7CQY7CqrEMc25tuf51K5R37Fx3QMbYh9iNx4LaACmkih7Pvn+qbvfCc/3v3Xbn8/bz85f7Ia9d1/Onnd6x3snP96ftg/OOh/Dbudt78PL7t7r3mHbJA9W8wv6YoKdyh+g9avO79EWMX+J1hpdzCVYjf5/ZRZ+56ZQk9in4I5hO4KgZtfqtGZHXt21q+YzqlcjJ8bkuqhHT48PT9tfu68O7vwP6u4/Ued5YjNhzbYiyeiNYQ/8mLhBMG57Phm3a5Eb2IHrjdl17NdrbuyTqh9cG3tv943B3js6uh55A1CzJsxIU2wZtGaiuL7JBpDNh5iz4ZwcK70QmeW4XmmstLJ+f7yvgnxS3OLKFEsjNSPTZrE3z3HqTlCKyxpLPaFL3XXMU+oraSl5g9AMJEvp4PRMz+ScLxYS2tn5CVBLBwgfcjTlzQIAAHEGAAA=</t>
        </r>
      </text>
    </comment>
  </commentList>
</comments>
</file>

<file path=xl/comments2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E1zOVgAAAAAAAAAAAAAAAABAAAAMN1Vy27bRhT1ul8hzFoDcPgakjvHlusgjuxGcroIAmM4cykPTA3Z4bCJYAgIUKBpsnEfRtFF10V27aZIE9T9mlh2/qJDUrGcLtIgQBYtBAmYc8+dc3nPETjYvLH2ydra2jGCh2WhzUahMjlByTESkLE6NztMTWo2AZQgrlAfCVmVOZvdLkQDielNJSRnRhZNUVbrFUeJ0TU0h20p4EbO1NEbqK5gp1ZMoyRjeQXz/lJ1LE0Ou2V7i5Vmed4igxymoEy1pPcRL2pl9OzqLKDiWi77OolMwxc1KL4i2SGUkZkEfQVVbFrmsDpCDtyAaEVvwWxHVgYl95CGyhQahmwK6L6lFbXmqy7D0ryrvUFqJa8NW5eCGdi039XjTsFoaTd07xgd2CrblJO2xe2jFCZSdWzkOoQ6xCN2pfzQGgB3gBdatH28mE6ZEs2eVCuObq9/Orw53t8cWHrJtAUN6KohrCoJGg+GB+Pt3f3R+nDTEq9KB6M7G7a8Oxyg+Xx+v1lya23lWRao7gHR54dFDhXLoTeyP1XSG8KD3kCBnsx6e6yqwA6pextMJ//QAbVvt2JvIM4Rav22w4O42hI8NJpxM2aT6w6ixO+jiS7qsi0suUdgXUUZi8KQU4ZJBgL7wgUcZYxhLhi4kRdRnwurtFzO4smL85PvXp8+ev34JFn8+NvlV2eLl9++evHTxemzy7NfkvOzHxY/f3P+6M/k1R+PbZtmDza6BXzmEhoEkdeBt1ptxyUhd6IYh5TF2I8dhmPHc3EcUxG7lNOA+A2/C85bwbDdVuHyr6/RvP8fcJ9+mPu9vVpDb9D8n2zQP34YvCCgjstS7IEg2PdJiFOPUyziyIU49iH00vcPw8XLXy9Ofz9/+uwdsbjrkDAirns9FoLTkBKWYY+DjUXIYxyFGcGUR5TGEU3B8f4fsfA/NBZ5PcFS9bZnqZbi4+cCgLnQ5kIEHvYdL8IpoR6mfhwFxAky4Xvvn4vFyfc2F4vnz98dja0wiJ0gIm9FIyQBaVLhOkGK/QAAp2EMOMvAAz9gmaD036NhHTByCluNjyMwRqr2Hc0PgR/dZblcrSpnldlNrdHE7Q7jWdnMljco6C/bV3VlFYu02tLFtA2W6zixE3XgyDBt1k2HE8d+OnxcdJC7pJagZSGWt5dmq87zvRayifkbUEsHCJaQZTxuAwAAVggAAA==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LJzOVgAAAAAAAAAAAAAAAABAAAAML2UW2vUQBTH++ynCANChQ0k2XQ35q1XKta22FURKXIyc5IOnZ3EmYl2KQXBBy8I9VJE0Gfpi9QXqS3027hb/RbOJmtXH0tRQgLnP+f6O2Hm52YmLk1MTGwT3CpyZWZzmfKMxNuEYQqlMEsgsxIyJDGhkjQI47oQ0LuRs6HEutck4xQMz4eHXE9rSmKjShwai5zhjAC5+VsqNS6VEhSJUxAadxqjqh1uBK4UVRZbGoSolHmBXZRGj9wbhOalNKp3ZjPUVPFRXF0iVfigREnHTrYJaXjKUZ1JGrqFwLGJAqlBVhW9jr0lrg2J7xGF2uQKl6GLZN265aWi4ygDiajPfiul5H80WxYMDM7ZdzxuF43iltC9bXLfnsIcz6qQoEESzLisvUng+W3Pb/oWKd2wC8CbSHPFbNz6EEKFvtP02lE41bQ+KOs2yOwGlxA7dzZygRoEOmv2o2NnGR858xJV1nNWQWu0GZUzCyp27uZ3qwS3bOs2wWVSrQQkQ3Y2CG4ZBdR0IPsTMonDBslUXhbVwch3Ey14AlM0SaPIcyH1EjcMYMoFxNRlADQN/SBtQWArybrr798+9z+cxIPnR/3d1z/3Hv98uhsP3n358eRkcPzq+9H70739Hyef4v7J28HHZ/1XLwcHezZ4tJy/4FcT7DQuDvdO0wuDVjB1EbjO5Gqp0Jkf/lt26Vf+FWwWYTvygtD1qEVs6fousHbL9a56UbuFkECK54U9eXp8cLr3tf9i/8p/5X7dbwdtv9m6IHdRZi6XzmIvUZz9M/Be1AyQ0cgyb1I3TEPqRonvuYhhFCZe4KdN79zgB7tvLPjB4eH52FuEhndxQdlia2gMl9UlTjeQbt4GwcdzCtBmJbHr8YPa6PSKYX9iqKJ6WN3l2hbLE72g8m61ucAb/k21uGZAmWlT675nn1rv5LUUjFwLVDxno+yFWSiFWK0ksrPzC1BLBwgG1wc6zQIAAHcGAAA=</t>
        </r>
      </text>
    </comment>
  </commentList>
</comments>
</file>

<file path=xl/sharedStrings.xml><?xml version="1.0" encoding="utf-8"?>
<sst xmlns="http://schemas.openxmlformats.org/spreadsheetml/2006/main" count="66" uniqueCount="54">
  <si>
    <t>目录</t>
    <phoneticPr fontId="3" type="noConversion"/>
  </si>
  <si>
    <t xml:space="preserve"> 使用说明：</t>
    <phoneticPr fontId="3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</si>
  <si>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</si>
  <si>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</si>
  <si>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</si>
  <si>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</si>
  <si>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</si>
  <si>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</si>
  <si>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</si>
  <si>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以下为原始数据</t>
    <phoneticPr fontId="3" type="noConversion"/>
  </si>
  <si>
    <t>以下为原始数据</t>
    <phoneticPr fontId="3" type="noConversion"/>
  </si>
  <si>
    <t>数据来源：Wind</t>
    <phoneticPr fontId="1" type="noConversion"/>
  </si>
  <si>
    <t>下一页</t>
    <phoneticPr fontId="3" type="noConversion"/>
  </si>
  <si>
    <t>上一页</t>
    <phoneticPr fontId="3" type="noConversion"/>
  </si>
  <si>
    <t>目录</t>
    <phoneticPr fontId="3" type="noConversion"/>
  </si>
  <si>
    <t>观察周期：</t>
    <phoneticPr fontId="3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</si>
  <si>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</si>
  <si>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u/>
        <sz val="12"/>
        <color rgb="FF212121"/>
        <rFont val="微软雅黑"/>
        <family val="2"/>
        <charset val="134"/>
      </rPr>
      <t>下一页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</si>
  <si>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</si>
  <si>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</si>
  <si>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</si>
  <si>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</si>
  <si>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数据来源：Wind</t>
    <phoneticPr fontId="1" type="noConversion"/>
  </si>
  <si>
    <t>以下为原始数据</t>
    <phoneticPr fontId="3" type="noConversion"/>
  </si>
  <si>
    <t>最新报告期:</t>
    <phoneticPr fontId="1" type="noConversion"/>
  </si>
  <si>
    <t>最新报告期：</t>
    <phoneticPr fontId="1" type="noConversion"/>
  </si>
  <si>
    <t>最新报告期:</t>
    <phoneticPr fontId="1" type="noConversion"/>
  </si>
  <si>
    <t>指标名称</t>
    <phoneticPr fontId="3" type="noConversion"/>
  </si>
  <si>
    <t>零售销量</t>
    <phoneticPr fontId="3" type="noConversion"/>
  </si>
  <si>
    <t>零售销量</t>
    <phoneticPr fontId="3" type="noConversion"/>
  </si>
  <si>
    <t>EDB宏观图库-新能源车销量专题</t>
    <phoneticPr fontId="10" type="noConversion"/>
  </si>
  <si>
    <t>EDB宏观图库-新能源车销量专题</t>
    <phoneticPr fontId="10" type="noConversion"/>
  </si>
  <si>
    <t>EDB宏观图库-新能源车销量专题</t>
    <phoneticPr fontId="3" type="noConversion"/>
  </si>
  <si>
    <t>零售销量同比增速</t>
    <phoneticPr fontId="3" type="noConversion"/>
  </si>
  <si>
    <t>零售销量同比增速</t>
    <phoneticPr fontId="3" type="noConversion"/>
  </si>
  <si>
    <t>中国:零售销量:新能源乘用车(纯电动):当月同比</t>
    <phoneticPr fontId="3" type="noConversion"/>
  </si>
  <si>
    <t>批发销量:新能源乘用车:插电混动:当月值:万</t>
    <phoneticPr fontId="3" type="noConversion"/>
  </si>
  <si>
    <t>中国:批发销量:新能源乘用车:当月同比</t>
    <phoneticPr fontId="3" type="noConversion"/>
  </si>
  <si>
    <t>中国:批发销量:新能源乘用车(纯电动):当月同比</t>
    <phoneticPr fontId="3" type="noConversion"/>
  </si>
  <si>
    <t>批发销量</t>
    <phoneticPr fontId="3" type="noConversion"/>
  </si>
  <si>
    <t>批发销量</t>
    <phoneticPr fontId="3" type="noConversion"/>
  </si>
  <si>
    <t>批发销量同比增速</t>
    <phoneticPr fontId="3" type="noConversion"/>
  </si>
  <si>
    <t>批发销量同比增速</t>
    <phoneticPr fontId="3" type="noConversion"/>
  </si>
  <si>
    <t>指标名称</t>
    <phoneticPr fontId="3" type="noConversion"/>
  </si>
  <si>
    <t>批发销量:新能源乘用车:当月值:万</t>
    <phoneticPr fontId="3" type="noConversion"/>
  </si>
  <si>
    <t>批发销量:新能源乘用车:纯电动:当月值:万</t>
    <phoneticPr fontId="3" type="noConversion"/>
  </si>
  <si>
    <t>中国:零售销量:新能源乘用车:当月同比</t>
    <phoneticPr fontId="3" type="noConversion"/>
  </si>
  <si>
    <t>中国:零售销量:新能源乘用车(插电混动):当月同比</t>
    <phoneticPr fontId="3" type="noConversion"/>
  </si>
  <si>
    <t>指标名称</t>
    <phoneticPr fontId="3" type="noConversion"/>
  </si>
  <si>
    <t>零售销量:新能源乘用车:当月值:万</t>
    <phoneticPr fontId="3" type="noConversion"/>
  </si>
  <si>
    <t>零售销量:新能源乘用车:纯电动:当月值:万</t>
    <phoneticPr fontId="3" type="noConversion"/>
  </si>
  <si>
    <t>零售销量:新能源乘用车:插电混动:当月值:万</t>
    <phoneticPr fontId="3" type="noConversion"/>
  </si>
  <si>
    <t>中国:批发销量:新能源乘用车(插电混动):当月同比</t>
    <phoneticPr fontId="3" type="noConversion"/>
  </si>
  <si>
    <t>EDB宏观图库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</si>
</sst>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yyyy&quot;年&quot;m&quot;月&quot;;@"/>
    <numFmt numFmtId="177" formatCode="0_);[Red]\(0\)"/>
    <numFmt numFmtId="178" formatCode="yyyy/mm;@"/>
    <numFmt numFmtId="179" formatCode="###,###,###,###,##0.00"/>
    <numFmt numFmtId="180" formatCode="yyyy"/>
    <numFmt numFmtId="181" formatCode="#,##0.00_ "/>
    <numFmt numFmtId="182" formatCode="yyyy\-mm"/>
  </numFmts>
  <fonts count="24" x14ac:knownFonts="1">
    <font>
      <sz val="14"/>
      <color theme="1"/>
      <name val="微软雅黑"/>
      <family val="2"/>
      <charset val="134"/>
    </font>
    <font>
      <sz val="9"/>
      <name val="微软雅黑"/>
      <family val="2"/>
      <charset val="134"/>
    </font>
    <font>
      <sz val="20"/>
      <color theme="0"/>
      <name val="微软雅黑"/>
      <family val="2"/>
      <charset val="134"/>
    </font>
    <font>
      <sz val="9"/>
      <name val="宋体"/>
      <family val="3"/>
      <charset val="134"/>
    </font>
    <font>
      <b/>
      <sz val="12"/>
      <color rgb="FF212121"/>
      <name val="微软雅黑"/>
      <family val="2"/>
      <charset val="134"/>
    </font>
    <font>
      <sz val="10"/>
      <color rgb="FF212121"/>
      <name val="微软雅黑"/>
      <family val="2"/>
      <charset val="134"/>
    </font>
    <font>
      <sz val="12"/>
      <color rgb="FF212121"/>
      <name val="微软雅黑"/>
      <family val="2"/>
      <charset val="134"/>
    </font>
    <font>
      <u/>
      <sz val="12"/>
      <color rgb="FF212121"/>
      <name val="微软雅黑"/>
      <family val="2"/>
      <charset val="134"/>
    </font>
    <font>
      <sz val="12"/>
      <name val="微软雅黑"/>
      <family val="2"/>
      <charset val="134"/>
    </font>
    <font>
      <sz val="20"/>
      <color theme="0"/>
      <name val="Arial"/>
      <family val="2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i/>
      <sz val="9"/>
      <name val="Arial"/>
      <family val="2"/>
    </font>
    <font>
      <b/>
      <sz val="9"/>
      <color indexed="10"/>
      <name val="微软雅黑"/>
      <family val="2"/>
      <charset val="134"/>
    </font>
    <font>
      <b/>
      <sz val="9"/>
      <color indexed="10"/>
      <name val="Arial"/>
      <family val="2"/>
    </font>
    <font>
      <sz val="9"/>
      <color rgb="FF212121"/>
      <name val="Arial"/>
      <family val="2"/>
    </font>
    <font>
      <b/>
      <sz val="9"/>
      <color indexed="81"/>
      <name val="Tahoma"/>
      <family val="2"/>
    </font>
    <font>
      <b/>
      <sz val="14"/>
      <color rgb="FF000000"/>
      <name val="微软雅黑"/>
      <family val="2"/>
      <charset val="134"/>
    </font>
    <font>
      <sz val="10"/>
      <name val="微软雅黑"/>
      <family val="2"/>
      <charset val="134"/>
    </font>
    <font>
      <sz val="12"/>
      <name val="Arial"/>
      <family val="2"/>
    </font>
    <font>
      <sz val="12"/>
      <color theme="1"/>
      <name val="微软雅黑"/>
      <family val="2"/>
      <charset val="134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3636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4C658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0" tint="-0.14999847407452621"/>
      </right>
      <top/>
      <bottom/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/>
  </cellStyleXfs>
  <cellXfs count="68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 applyProtection="1">
      <protection hidden="1"/>
    </xf>
    <xf numFmtId="0" fontId="0" fillId="3" borderId="0" xfId="0" applyFill="1" applyAlignment="1" applyProtection="1">
      <protection hidden="1"/>
    </xf>
    <xf numFmtId="0" fontId="5" fillId="5" borderId="0" xfId="0" applyFont="1" applyFill="1" applyAlignment="1"/>
    <xf numFmtId="0" fontId="6" fillId="6" borderId="0" xfId="0" applyFont="1" applyFill="1" applyAlignment="1"/>
    <xf numFmtId="0" fontId="7" fillId="6" borderId="0" xfId="0" applyFont="1" applyFill="1" applyAlignment="1"/>
    <xf numFmtId="0" fontId="6" fillId="5" borderId="0" xfId="0" applyFont="1" applyFill="1" applyAlignment="1"/>
    <xf numFmtId="0" fontId="7" fillId="5" borderId="0" xfId="0" applyFont="1" applyFill="1" applyAlignment="1"/>
    <xf numFmtId="0" fontId="8" fillId="5" borderId="1" xfId="0" applyFont="1" applyFill="1" applyBorder="1" applyAlignment="1">
      <alignment horizontal="left" vertical="top"/>
    </xf>
    <xf numFmtId="0" fontId="0" fillId="5" borderId="1" xfId="0" applyFill="1" applyBorder="1" applyAlignment="1"/>
    <xf numFmtId="0" fontId="9" fillId="2" borderId="2" xfId="0" applyFont="1" applyFill="1" applyBorder="1" applyAlignment="1">
      <alignment vertical="center"/>
    </xf>
    <xf numFmtId="0" fontId="12" fillId="0" borderId="0" xfId="1" applyFont="1" applyFill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12" fillId="3" borderId="0" xfId="1" applyFont="1" applyFill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14" fontId="12" fillId="3" borderId="0" xfId="0" applyNumberFormat="1" applyFont="1" applyFill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center" vertical="center"/>
      <protection locked="0" hidden="1"/>
    </xf>
    <xf numFmtId="177" fontId="12" fillId="0" borderId="0" xfId="0" applyNumberFormat="1" applyFont="1" applyAlignment="1" applyProtection="1">
      <alignment horizontal="center" vertical="center"/>
      <protection locked="0" hidden="1"/>
    </xf>
    <xf numFmtId="0" fontId="13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178" fontId="12" fillId="0" borderId="0" xfId="0" applyNumberFormat="1" applyFont="1" applyAlignment="1" applyProtection="1">
      <alignment horizontal="center" vertical="center"/>
      <protection locked="0" hidden="1"/>
    </xf>
    <xf numFmtId="179" fontId="12" fillId="0" borderId="0" xfId="0" applyNumberFormat="1" applyFont="1" applyAlignment="1" applyProtection="1">
      <alignment horizontal="right" vertical="center"/>
      <protection locked="0" hidden="1"/>
    </xf>
    <xf numFmtId="0" fontId="1" fillId="3" borderId="0" xfId="0" applyFont="1" applyFill="1" applyBorder="1" applyAlignment="1" applyProtection="1">
      <alignment horizontal="center" vertical="center"/>
      <protection locked="0" hidden="1"/>
    </xf>
    <xf numFmtId="14" fontId="15" fillId="0" borderId="0" xfId="0" applyNumberFormat="1" applyFont="1" applyBorder="1" applyAlignment="1" applyProtection="1">
      <alignment horizontal="center" vertical="center"/>
      <protection locked="0" hidden="1"/>
    </xf>
    <xf numFmtId="179" fontId="1" fillId="0" borderId="0" xfId="0" applyNumberFormat="1" applyFont="1" applyAlignment="1" applyProtection="1">
      <alignment horizontal="right" vertical="center"/>
      <protection locked="0" hidden="1"/>
    </xf>
    <xf numFmtId="179" fontId="1" fillId="0" borderId="0" xfId="0" applyNumberFormat="1" applyFont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 vertical="center"/>
      <protection locked="0" hidden="1"/>
    </xf>
    <xf numFmtId="0" fontId="15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/>
    <xf numFmtId="0" fontId="1" fillId="0" borderId="0" xfId="0" applyNumberFormat="1" applyFont="1" applyAlignment="1" applyProtection="1">
      <alignment horizontal="left" vertical="center" wrapText="1"/>
      <protection locked="0" hidden="1"/>
    </xf>
    <xf numFmtId="179" fontId="1" fillId="0" borderId="0" xfId="0" applyNumberFormat="1" applyFont="1" applyAlignment="1" applyProtection="1">
      <alignment horizontal="center" vertical="center" wrapText="1"/>
      <protection locked="0" hidden="1"/>
    </xf>
    <xf numFmtId="0" fontId="16" fillId="0" borderId="0" xfId="0" applyFont="1" applyAlignment="1" applyProtection="1">
      <alignment horizontal="center" vertical="center"/>
      <protection locked="0" hidden="1"/>
    </xf>
    <xf numFmtId="181" fontId="17" fillId="5" borderId="0" xfId="0" applyNumberFormat="1" applyFont="1" applyFill="1" applyAlignment="1">
      <alignment horizontal="right"/>
    </xf>
    <xf numFmtId="179" fontId="12" fillId="3" borderId="0" xfId="0" applyNumberFormat="1" applyFont="1" applyFill="1" applyAlignment="1" applyProtection="1">
      <alignment horizontal="right" vertical="center"/>
      <protection locked="0" hidden="1"/>
    </xf>
    <xf numFmtId="0" fontId="12" fillId="0" borderId="0" xfId="0" applyNumberFormat="1" applyFont="1" applyAlignment="1" applyProtection="1">
      <alignment horizontal="left" vertical="center"/>
      <protection locked="0" hidden="1"/>
    </xf>
    <xf numFmtId="181" fontId="17" fillId="6" borderId="0" xfId="0" applyNumberFormat="1" applyFont="1" applyFill="1" applyAlignment="1">
      <alignment horizontal="right"/>
    </xf>
    <xf numFmtId="180" fontId="12" fillId="0" borderId="0" xfId="0" applyNumberFormat="1" applyFont="1" applyAlignment="1" applyProtection="1">
      <alignment horizontal="right" vertical="center"/>
      <protection locked="0" hidden="1"/>
    </xf>
    <xf numFmtId="181" fontId="12" fillId="0" borderId="0" xfId="0" applyNumberFormat="1" applyFont="1" applyAlignment="1" applyProtection="1">
      <alignment horizontal="right" vertical="center"/>
      <protection locked="0" hidden="1"/>
    </xf>
    <xf numFmtId="182" fontId="17" fillId="6" borderId="0" xfId="0" applyNumberFormat="1" applyFont="1" applyFill="1" applyAlignment="1">
      <alignment horizontal="right"/>
    </xf>
    <xf numFmtId="182" fontId="17" fillId="5" borderId="0" xfId="0" applyNumberFormat="1" applyFont="1" applyFill="1" applyAlignment="1">
      <alignment horizontal="right"/>
    </xf>
    <xf numFmtId="14" fontId="17" fillId="6" borderId="0" xfId="0" applyNumberFormat="1" applyFont="1" applyFill="1" applyAlignment="1"/>
    <xf numFmtId="2" fontId="17" fillId="6" borderId="0" xfId="0" applyNumberFormat="1" applyFont="1" applyFill="1" applyAlignment="1"/>
    <xf numFmtId="14" fontId="17" fillId="5" borderId="0" xfId="0" applyNumberFormat="1" applyFont="1" applyFill="1" applyAlignment="1"/>
    <xf numFmtId="2" fontId="17" fillId="5" borderId="0" xfId="0" applyNumberFormat="1" applyFont="1" applyFill="1" applyAlignment="1"/>
    <xf numFmtId="0" fontId="6" fillId="6" borderId="0" xfId="0" applyNumberFormat="1" applyFont="1" applyFill="1" applyAlignment="1"/>
    <xf numFmtId="0" fontId="6" fillId="5" borderId="0" xfId="0" applyNumberFormat="1" applyFont="1" applyFill="1" applyAlignment="1"/>
    <xf numFmtId="0" fontId="19" fillId="0" borderId="0" xfId="0" applyFont="1" applyAlignment="1">
      <alignment horizontal="left" vertical="center" readingOrder="1"/>
    </xf>
    <xf numFmtId="0" fontId="12" fillId="5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right" vertical="center"/>
      <protection locked="0" hidden="1"/>
    </xf>
    <xf numFmtId="0" fontId="12" fillId="3" borderId="0" xfId="0" applyFont="1" applyFill="1" applyAlignment="1" applyProtection="1">
      <alignment horizontal="right" vertical="center"/>
      <protection locked="0" hidden="1"/>
    </xf>
    <xf numFmtId="0" fontId="1" fillId="0" borderId="0" xfId="0" applyFont="1" applyAlignment="1" applyProtection="1">
      <alignment horizontal="left" vertical="center"/>
      <protection locked="0" hidden="1"/>
    </xf>
    <xf numFmtId="0" fontId="7" fillId="6" borderId="0" xfId="0" applyFont="1" applyFill="1" applyAlignment="1">
      <alignment horizontal="center"/>
    </xf>
    <xf numFmtId="0" fontId="8" fillId="0" borderId="0" xfId="0" applyFont="1" applyAlignment="1" applyProtection="1">
      <alignment horizontal="center" vertical="center"/>
      <protection locked="0"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1" fillId="3" borderId="0" xfId="0" applyFont="1" applyFill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locked="0" hidden="1"/>
    </xf>
    <xf numFmtId="0" fontId="21" fillId="0" borderId="0" xfId="0" applyFont="1" applyAlignment="1" applyProtection="1">
      <alignment horizontal="center" vertical="center"/>
      <protection hidden="1"/>
    </xf>
    <xf numFmtId="0" fontId="22" fillId="8" borderId="0" xfId="0" applyFont="1" applyFill="1" applyBorder="1" applyAlignment="1">
      <alignment horizontal="center"/>
    </xf>
    <xf numFmtId="0" fontId="23" fillId="7" borderId="3" xfId="0" applyNumberFormat="1" applyFont="1" applyFill="1" applyBorder="1" applyAlignment="1" applyProtection="1">
      <alignment horizontal="right" vertical="center"/>
      <protection locked="0"/>
    </xf>
    <xf numFmtId="176" fontId="1" fillId="5" borderId="0" xfId="0" applyNumberFormat="1" applyFont="1" applyFill="1" applyBorder="1" applyAlignment="1" applyProtection="1">
      <alignment horizontal="center" vertical="center"/>
      <protection hidden="1"/>
    </xf>
    <xf numFmtId="176" fontId="2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protection hidden="1"/>
    </xf>
    <xf numFmtId="0" fontId="2" fillId="2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2">
    <cellStyle name="常规" xfId="0" builtinId="0"/>
    <cellStyle name="常规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4538720043172174"/>
          <c:w val="0.88907849829351537"/>
          <c:h val="0.57859870319948326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'1'!$F$40</c:f>
              <c:strCache>
                <c:ptCount val="1"/>
                <c:pt idx="0">
                  <c:v>零售销量:新能源乘用车:插电混动:当月值:万</c:v>
                </c:pt>
              </c:strCache>
            </c:strRef>
          </c:tx>
          <c:invertIfNegative val="0"/>
          <c:cat>
            <c:numRef>
              <c:f>'1'!Date1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'1'!Ind1_3</c:f>
              <c:numCache>
                <c:formatCode>#,##0.00_ </c:formatCode>
                <c:ptCount val="30"/>
                <c:pt idx="0">
                  <c:v>5.1093000000000002</c:v>
                </c:pt>
                <c:pt idx="1">
                  <c:v>5.6765999999999996</c:v>
                </c:pt>
                <c:pt idx="2">
                  <c:v>6.1890000000000001</c:v>
                </c:pt>
                <c:pt idx="3">
                  <c:v>7.6761999999999997</c:v>
                </c:pt>
                <c:pt idx="4">
                  <c:v>8.2545999999999999</c:v>
                </c:pt>
                <c:pt idx="5">
                  <c:v>7.7442000000000002</c:v>
                </c:pt>
                <c:pt idx="6">
                  <c:v>6.6608999999999998</c:v>
                </c:pt>
                <c:pt idx="7">
                  <c:v>8.4619</c:v>
                </c:pt>
                <c:pt idx="8">
                  <c:v>7.0072999999999999</c:v>
                </c:pt>
                <c:pt idx="9">
                  <c:v>9.1805000000000003</c:v>
                </c:pt>
                <c:pt idx="10">
                  <c:v>10.8147</c:v>
                </c:pt>
                <c:pt idx="11">
                  <c:v>12.4008</c:v>
                </c:pt>
                <c:pt idx="12">
                  <c:v>13.296799999999999</c:v>
                </c:pt>
                <c:pt idx="13">
                  <c:v>15.4338</c:v>
                </c:pt>
                <c:pt idx="14">
                  <c:v>15.859400000000001</c:v>
                </c:pt>
                <c:pt idx="15">
                  <c:v>16.360800000000001</c:v>
                </c:pt>
                <c:pt idx="16">
                  <c:v>18.453800000000001</c:v>
                </c:pt>
                <c:pt idx="17">
                  <c:v>11.7852</c:v>
                </c:pt>
                <c:pt idx="18">
                  <c:v>14.453799999999999</c:v>
                </c:pt>
                <c:pt idx="19">
                  <c:v>15.9565</c:v>
                </c:pt>
                <c:pt idx="20">
                  <c:v>16.3797</c:v>
                </c:pt>
                <c:pt idx="21">
                  <c:v>19.164999999999999</c:v>
                </c:pt>
                <c:pt idx="22">
                  <c:v>21.6798</c:v>
                </c:pt>
                <c:pt idx="23">
                  <c:v>21.955100000000002</c:v>
                </c:pt>
                <c:pt idx="24">
                  <c:v>22.566500000000001</c:v>
                </c:pt>
                <c:pt idx="25">
                  <c:v>24.648599999999998</c:v>
                </c:pt>
                <c:pt idx="26">
                  <c:v>27.1433</c:v>
                </c:pt>
                <c:pt idx="27">
                  <c:v>28.868600000000001</c:v>
                </c:pt>
                <c:pt idx="28">
                  <c:v>34.802900000000001</c:v>
                </c:pt>
                <c:pt idx="29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CD-454D-B3AE-BFD216993F9E}"/>
            </c:ext>
          </c:extLst>
        </c:ser>
        <c:ser>
          <c:idx val="1"/>
          <c:order val="1"/>
          <c:tx>
            <c:strRef>
              <c:f>'1'!$E$40</c:f>
              <c:strCache>
                <c:ptCount val="1"/>
                <c:pt idx="0">
                  <c:v>零售销量:新能源乘用车:纯电动:当月值:万</c:v>
                </c:pt>
              </c:strCache>
            </c:strRef>
          </c:tx>
          <c:invertIfNegative val="0"/>
          <c:cat>
            <c:numRef>
              <c:f>'1'!Date1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'1'!Ind1_2</c:f>
              <c:numCache>
                <c:formatCode>#,##0.00_ </c:formatCode>
                <c:ptCount val="30"/>
                <c:pt idx="0">
                  <c:v>19.849499999999999</c:v>
                </c:pt>
                <c:pt idx="1">
                  <c:v>27.676600000000001</c:v>
                </c:pt>
                <c:pt idx="2">
                  <c:v>25.5139</c:v>
                </c:pt>
                <c:pt idx="3">
                  <c:v>30.172499999999999</c:v>
                </c:pt>
                <c:pt idx="4">
                  <c:v>39.234099999999998</c:v>
                </c:pt>
                <c:pt idx="5">
                  <c:v>27.488700000000001</c:v>
                </c:pt>
                <c:pt idx="6">
                  <c:v>20.601500000000001</c:v>
                </c:pt>
                <c:pt idx="7">
                  <c:v>36.003599999999999</c:v>
                </c:pt>
                <c:pt idx="8">
                  <c:v>21.241399999999999</c:v>
                </c:pt>
                <c:pt idx="9">
                  <c:v>26.769600000000001</c:v>
                </c:pt>
                <c:pt idx="10">
                  <c:v>42.332500000000003</c:v>
                </c:pt>
                <c:pt idx="11">
                  <c:v>36.203600000000002</c:v>
                </c:pt>
                <c:pt idx="12">
                  <c:v>39.659700000000001</c:v>
                </c:pt>
                <c:pt idx="13">
                  <c:v>45.651499999999999</c:v>
                </c:pt>
                <c:pt idx="14">
                  <c:v>39.606999999999999</c:v>
                </c:pt>
                <c:pt idx="15">
                  <c:v>43.4495</c:v>
                </c:pt>
                <c:pt idx="16">
                  <c:v>45.552199999999999</c:v>
                </c:pt>
                <c:pt idx="17">
                  <c:v>21.369</c:v>
                </c:pt>
                <c:pt idx="18">
                  <c:v>29.452999999999999</c:v>
                </c:pt>
                <c:pt idx="19">
                  <c:v>38.617400000000004</c:v>
                </c:pt>
                <c:pt idx="20">
                  <c:v>36.093299999999999</c:v>
                </c:pt>
                <c:pt idx="21">
                  <c:v>38.828800000000001</c:v>
                </c:pt>
                <c:pt idx="22">
                  <c:v>44.862900000000003</c:v>
                </c:pt>
                <c:pt idx="23">
                  <c:v>42.145400000000002</c:v>
                </c:pt>
                <c:pt idx="24">
                  <c:v>49.067</c:v>
                </c:pt>
                <c:pt idx="25">
                  <c:v>49.981900000000003</c:v>
                </c:pt>
                <c:pt idx="26">
                  <c:v>50.0364</c:v>
                </c:pt>
                <c:pt idx="27">
                  <c:v>55.181399999999996</c:v>
                </c:pt>
                <c:pt idx="28">
                  <c:v>59.931800000000003</c:v>
                </c:pt>
                <c:pt idx="29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CD-454D-B3AE-BFD21699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3437424"/>
        <c:axId val="186343867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'1'!$G$40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yyyy\-mm</c:formatCode>
                      <c:ptCount val="30"/>
                      <c:pt idx="0">
                        <c:v>44439</c:v>
                      </c:pt>
                      <c:pt idx="1">
                        <c:v>44469</c:v>
                      </c:pt>
                      <c:pt idx="2">
                        <c:v>44500</c:v>
                      </c:pt>
                      <c:pt idx="3">
                        <c:v>44530</c:v>
                      </c:pt>
                      <c:pt idx="4">
                        <c:v>44561</c:v>
                      </c:pt>
                      <c:pt idx="5">
                        <c:v>44592</c:v>
                      </c:pt>
                      <c:pt idx="6">
                        <c:v>44620</c:v>
                      </c:pt>
                      <c:pt idx="7">
                        <c:v>44651</c:v>
                      </c:pt>
                      <c:pt idx="8">
                        <c:v>44681</c:v>
                      </c:pt>
                      <c:pt idx="9">
                        <c:v>44712</c:v>
                      </c:pt>
                      <c:pt idx="10">
                        <c:v>44742</c:v>
                      </c:pt>
                      <c:pt idx="11">
                        <c:v>44773</c:v>
                      </c:pt>
                      <c:pt idx="12">
                        <c:v>44804</c:v>
                      </c:pt>
                      <c:pt idx="13">
                        <c:v>44834</c:v>
                      </c:pt>
                      <c:pt idx="14">
                        <c:v>44865</c:v>
                      </c:pt>
                      <c:pt idx="15">
                        <c:v>44895</c:v>
                      </c:pt>
                      <c:pt idx="16">
                        <c:v>44926</c:v>
                      </c:pt>
                      <c:pt idx="17">
                        <c:v>44957</c:v>
                      </c:pt>
                      <c:pt idx="18">
                        <c:v>44985</c:v>
                      </c:pt>
                      <c:pt idx="19">
                        <c:v>45016</c:v>
                      </c:pt>
                      <c:pt idx="20">
                        <c:v>45046</c:v>
                      </c:pt>
                      <c:pt idx="21">
                        <c:v>45077</c:v>
                      </c:pt>
                      <c:pt idx="22">
                        <c:v>45107</c:v>
                      </c:pt>
                      <c:pt idx="23">
                        <c:v>45138</c:v>
                      </c:pt>
                      <c:pt idx="24">
                        <c:v>45169</c:v>
                      </c:pt>
                      <c:pt idx="25">
                        <c:v>45199</c:v>
                      </c:pt>
                      <c:pt idx="26">
                        <c:v>45230</c:v>
                      </c:pt>
                      <c:pt idx="27">
                        <c:v>45260</c:v>
                      </c:pt>
                      <c:pt idx="28">
                        <c:v>45291</c:v>
                      </c:pt>
                      <c:pt idx="29">
                        <c:v>45322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'1'!Ind1_4</c15:sqref>
                        </c15:formulaRef>
                      </c:ext>
                    </c:extLst>
                    <c:numCache>
                      <c:formatCode>#,##0.00_ </c:formatCode>
                      <c:ptCount val="3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F3CD-454D-B3AE-BFD216993F9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'1'!$H$40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yyyy\-mm</c:formatCode>
                      <c:ptCount val="30"/>
                      <c:pt idx="0">
                        <c:v>44439</c:v>
                      </c:pt>
                      <c:pt idx="1">
                        <c:v>44469</c:v>
                      </c:pt>
                      <c:pt idx="2">
                        <c:v>44500</c:v>
                      </c:pt>
                      <c:pt idx="3">
                        <c:v>44530</c:v>
                      </c:pt>
                      <c:pt idx="4">
                        <c:v>44561</c:v>
                      </c:pt>
                      <c:pt idx="5">
                        <c:v>44592</c:v>
                      </c:pt>
                      <c:pt idx="6">
                        <c:v>44620</c:v>
                      </c:pt>
                      <c:pt idx="7">
                        <c:v>44651</c:v>
                      </c:pt>
                      <c:pt idx="8">
                        <c:v>44681</c:v>
                      </c:pt>
                      <c:pt idx="9">
                        <c:v>44712</c:v>
                      </c:pt>
                      <c:pt idx="10">
                        <c:v>44742</c:v>
                      </c:pt>
                      <c:pt idx="11">
                        <c:v>44773</c:v>
                      </c:pt>
                      <c:pt idx="12">
                        <c:v>44804</c:v>
                      </c:pt>
                      <c:pt idx="13">
                        <c:v>44834</c:v>
                      </c:pt>
                      <c:pt idx="14">
                        <c:v>44865</c:v>
                      </c:pt>
                      <c:pt idx="15">
                        <c:v>44895</c:v>
                      </c:pt>
                      <c:pt idx="16">
                        <c:v>44926</c:v>
                      </c:pt>
                      <c:pt idx="17">
                        <c:v>44957</c:v>
                      </c:pt>
                      <c:pt idx="18">
                        <c:v>44985</c:v>
                      </c:pt>
                      <c:pt idx="19">
                        <c:v>45016</c:v>
                      </c:pt>
                      <c:pt idx="20">
                        <c:v>45046</c:v>
                      </c:pt>
                      <c:pt idx="21">
                        <c:v>45077</c:v>
                      </c:pt>
                      <c:pt idx="22">
                        <c:v>45107</c:v>
                      </c:pt>
                      <c:pt idx="23">
                        <c:v>45138</c:v>
                      </c:pt>
                      <c:pt idx="24">
                        <c:v>45169</c:v>
                      </c:pt>
                      <c:pt idx="25">
                        <c:v>45199</c:v>
                      </c:pt>
                      <c:pt idx="26">
                        <c:v>45230</c:v>
                      </c:pt>
                      <c:pt idx="27">
                        <c:v>45260</c:v>
                      </c:pt>
                      <c:pt idx="28">
                        <c:v>45291</c:v>
                      </c:pt>
                      <c:pt idx="29">
                        <c:v>45322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'1'!Ind1_5</c15:sqref>
                        </c15:formulaRef>
                      </c:ext>
                    </c:extLst>
                    <c:numCache>
                      <c:formatCode>#,##0.00_ </c:formatCode>
                      <c:ptCount val="3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CD-454D-B3AE-BFD216993F9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2"/>
          <c:tx>
            <c:strRef>
              <c:f>'1'!$D$40</c:f>
              <c:strCache>
                <c:ptCount val="1"/>
                <c:pt idx="0">
                  <c:v>零售销量:新能源乘用车:当月值:万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'1'!Ind1_1</c:f>
              <c:numCache>
                <c:formatCode>#,##0.00_ </c:formatCode>
                <c:ptCount val="30"/>
                <c:pt idx="0">
                  <c:v>24.9588</c:v>
                </c:pt>
                <c:pt idx="1">
                  <c:v>33.353200000000001</c:v>
                </c:pt>
                <c:pt idx="2">
                  <c:v>31.7029</c:v>
                </c:pt>
                <c:pt idx="3">
                  <c:v>37.848700000000001</c:v>
                </c:pt>
                <c:pt idx="4">
                  <c:v>47.488700000000001</c:v>
                </c:pt>
                <c:pt idx="5">
                  <c:v>35.232900000000001</c:v>
                </c:pt>
                <c:pt idx="6">
                  <c:v>27.2624</c:v>
                </c:pt>
                <c:pt idx="7">
                  <c:v>44.465499999999999</c:v>
                </c:pt>
                <c:pt idx="8">
                  <c:v>28.248699999999999</c:v>
                </c:pt>
                <c:pt idx="9">
                  <c:v>35.950099999999999</c:v>
                </c:pt>
                <c:pt idx="10">
                  <c:v>53.147199999999998</c:v>
                </c:pt>
                <c:pt idx="11">
                  <c:v>48.604399999999998</c:v>
                </c:pt>
                <c:pt idx="12">
                  <c:v>52.956499999999998</c:v>
                </c:pt>
                <c:pt idx="13">
                  <c:v>61.085299999999997</c:v>
                </c:pt>
                <c:pt idx="14">
                  <c:v>55.4664</c:v>
                </c:pt>
                <c:pt idx="15">
                  <c:v>59.810299999999998</c:v>
                </c:pt>
                <c:pt idx="16">
                  <c:v>64.006</c:v>
                </c:pt>
                <c:pt idx="17">
                  <c:v>33.154200000000003</c:v>
                </c:pt>
                <c:pt idx="18">
                  <c:v>43.906799999999997</c:v>
                </c:pt>
                <c:pt idx="19">
                  <c:v>54.573900000000002</c:v>
                </c:pt>
                <c:pt idx="20">
                  <c:v>52.472999999999999</c:v>
                </c:pt>
                <c:pt idx="21">
                  <c:v>57.9938</c:v>
                </c:pt>
                <c:pt idx="22">
                  <c:v>66.542699999999996</c:v>
                </c:pt>
                <c:pt idx="23">
                  <c:v>64.100499999999997</c:v>
                </c:pt>
                <c:pt idx="24">
                  <c:v>71.633499999999998</c:v>
                </c:pt>
                <c:pt idx="25">
                  <c:v>74.630499999999998</c:v>
                </c:pt>
                <c:pt idx="26">
                  <c:v>77.179699999999997</c:v>
                </c:pt>
                <c:pt idx="27">
                  <c:v>84.05</c:v>
                </c:pt>
                <c:pt idx="28">
                  <c:v>94.734700000000004</c:v>
                </c:pt>
                <c:pt idx="29">
                  <c:v>66.8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D-454D-B3AE-BFD21699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90240"/>
        <c:axId val="369781920"/>
      </c:lineChart>
      <c:valAx>
        <c:axId val="18634386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>
                    <a:latin typeface="微软雅黑" panose="020B0503020204020204" pitchFamily="34" charset="-122"/>
                    <a:ea typeface="微软雅黑" panose="020B0503020204020204" pitchFamily="34" charset="-122"/>
                  </a:defRPr>
                </a:pP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万辆</a:t>
                </a: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4.5506257110352671E-3"/>
              <c:y val="4.937632795900512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crossAx val="1863437424"/>
        <c:crosses val="autoZero"/>
        <c:crossBetween val="between"/>
      </c:valAx>
      <c:dateAx>
        <c:axId val="1863437424"/>
        <c:scaling>
          <c:orientation val="minMax"/>
        </c:scaling>
        <c:delete val="0"/>
        <c:axPos val="b"/>
        <c:numFmt formatCode="yyyy\-mm" sourceLinked="1"/>
        <c:majorTickMark val="out"/>
        <c:minorTickMark val="none"/>
        <c:tickLblPos val="low"/>
        <c:crossAx val="1863438672"/>
        <c:crosses val="autoZero"/>
        <c:auto val="1"/>
        <c:lblOffset val="100"/>
        <c:baseTimeUnit val="months"/>
        <c:majorUnit val="6"/>
        <c:majorTimeUnit val="months"/>
      </c:dateAx>
      <c:valAx>
        <c:axId val="369781920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crossAx val="369790240"/>
        <c:crosses val="max"/>
        <c:crossBetween val="between"/>
      </c:valAx>
      <c:catAx>
        <c:axId val="369790240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369781920"/>
        <c:crosses val="autoZero"/>
        <c:auto val="0"/>
        <c:lblAlgn val="ctr"/>
        <c:lblOffset val="100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1436357838447759"/>
          <c:w val="0.92717977658935979"/>
          <c:h val="0.18563642161552235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122866894198"/>
          <c:y val="0.16013909745081031"/>
          <c:w val="0.7337883959044369"/>
          <c:h val="0.57019186506555009"/>
        </c:manualLayout>
      </c:layout>
      <c:lineChart>
        <c:grouping val="standard"/>
        <c:varyColors val="0"/>
        <c:ser>
          <c:idx val="2"/>
          <c:order val="0"/>
          <c:tx>
            <c:strRef>
              <c:f>'1'!$M$40</c:f>
              <c:strCache>
                <c:ptCount val="1"/>
                <c:pt idx="0">
                  <c:v>中国:零售销量:新能源乘用车:当月同比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'1'!Ind2_1</c:f>
              <c:numCache>
                <c:formatCode>#,##0.00_ </c:formatCode>
                <c:ptCount val="30"/>
                <c:pt idx="0">
                  <c:v>168</c:v>
                </c:pt>
                <c:pt idx="1">
                  <c:v>202.1</c:v>
                </c:pt>
                <c:pt idx="2">
                  <c:v>138.1</c:v>
                </c:pt>
                <c:pt idx="3">
                  <c:v>122.3</c:v>
                </c:pt>
                <c:pt idx="4">
                  <c:v>128.9</c:v>
                </c:pt>
                <c:pt idx="5">
                  <c:v>135.69999999999999</c:v>
                </c:pt>
                <c:pt idx="6">
                  <c:v>180.9</c:v>
                </c:pt>
                <c:pt idx="7">
                  <c:v>137.6</c:v>
                </c:pt>
                <c:pt idx="8">
                  <c:v>78.5</c:v>
                </c:pt>
                <c:pt idx="9">
                  <c:v>91.2</c:v>
                </c:pt>
                <c:pt idx="10">
                  <c:v>130.6</c:v>
                </c:pt>
                <c:pt idx="11">
                  <c:v>117.3</c:v>
                </c:pt>
                <c:pt idx="12">
                  <c:v>111.4</c:v>
                </c:pt>
                <c:pt idx="13">
                  <c:v>82.9</c:v>
                </c:pt>
                <c:pt idx="14">
                  <c:v>74.900000000000006</c:v>
                </c:pt>
                <c:pt idx="15">
                  <c:v>58.3</c:v>
                </c:pt>
                <c:pt idx="16">
                  <c:v>35.200000000000003</c:v>
                </c:pt>
                <c:pt idx="17">
                  <c:v>-6.4</c:v>
                </c:pt>
                <c:pt idx="18">
                  <c:v>60.9</c:v>
                </c:pt>
                <c:pt idx="19">
                  <c:v>22.6</c:v>
                </c:pt>
                <c:pt idx="20">
                  <c:v>84.8</c:v>
                </c:pt>
                <c:pt idx="21">
                  <c:v>61.317492999999999</c:v>
                </c:pt>
                <c:pt idx="22">
                  <c:v>25.2</c:v>
                </c:pt>
                <c:pt idx="23">
                  <c:v>31.9</c:v>
                </c:pt>
                <c:pt idx="24">
                  <c:v>34.5</c:v>
                </c:pt>
                <c:pt idx="25">
                  <c:v>22.1</c:v>
                </c:pt>
                <c:pt idx="26">
                  <c:v>38.5</c:v>
                </c:pt>
                <c:pt idx="27">
                  <c:v>39.799999999999997</c:v>
                </c:pt>
                <c:pt idx="28">
                  <c:v>47.8</c:v>
                </c:pt>
                <c:pt idx="29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5D-48A7-A070-B34DADEAE07D}"/>
            </c:ext>
          </c:extLst>
        </c:ser>
        <c:ser>
          <c:idx val="1"/>
          <c:order val="1"/>
          <c:tx>
            <c:strRef>
              <c:f>'1'!$N$40</c:f>
              <c:strCache>
                <c:ptCount val="1"/>
                <c:pt idx="0">
                  <c:v>中国:零售销量:新能源乘用车(纯电动):当月同比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'1'!Ind2_2</c:f>
              <c:numCache>
                <c:formatCode>#,##0.00_ </c:formatCode>
                <c:ptCount val="30"/>
                <c:pt idx="0">
                  <c:v>162.19999999999999</c:v>
                </c:pt>
                <c:pt idx="1">
                  <c:v>211.9</c:v>
                </c:pt>
                <c:pt idx="2">
                  <c:v>132.9</c:v>
                </c:pt>
                <c:pt idx="3">
                  <c:v>109.6</c:v>
                </c:pt>
                <c:pt idx="4">
                  <c:v>126.4</c:v>
                </c:pt>
                <c:pt idx="5">
                  <c:v>121.2</c:v>
                </c:pt>
                <c:pt idx="6">
                  <c:v>148.6</c:v>
                </c:pt>
                <c:pt idx="7">
                  <c:v>126.7</c:v>
                </c:pt>
                <c:pt idx="8">
                  <c:v>63.1</c:v>
                </c:pt>
                <c:pt idx="9">
                  <c:v>71.2</c:v>
                </c:pt>
                <c:pt idx="10">
                  <c:v>126</c:v>
                </c:pt>
                <c:pt idx="11">
                  <c:v>102.6</c:v>
                </c:pt>
                <c:pt idx="12">
                  <c:v>98.9</c:v>
                </c:pt>
                <c:pt idx="13">
                  <c:v>64.8</c:v>
                </c:pt>
                <c:pt idx="14">
                  <c:v>55.2</c:v>
                </c:pt>
                <c:pt idx="15">
                  <c:v>44.4</c:v>
                </c:pt>
                <c:pt idx="16">
                  <c:v>16.600000000000001</c:v>
                </c:pt>
                <c:pt idx="17">
                  <c:v>-22.3</c:v>
                </c:pt>
                <c:pt idx="18">
                  <c:v>43</c:v>
                </c:pt>
                <c:pt idx="19">
                  <c:v>7.3</c:v>
                </c:pt>
                <c:pt idx="20">
                  <c:v>69.400000000000006</c:v>
                </c:pt>
                <c:pt idx="21">
                  <c:v>45</c:v>
                </c:pt>
                <c:pt idx="22">
                  <c:v>6</c:v>
                </c:pt>
                <c:pt idx="23">
                  <c:v>16.399999999999999</c:v>
                </c:pt>
                <c:pt idx="24">
                  <c:v>22.8</c:v>
                </c:pt>
                <c:pt idx="25">
                  <c:v>9.4</c:v>
                </c:pt>
                <c:pt idx="26">
                  <c:v>25.4</c:v>
                </c:pt>
                <c:pt idx="27">
                  <c:v>26.1</c:v>
                </c:pt>
                <c:pt idx="28">
                  <c:v>31.2</c:v>
                </c:pt>
                <c:pt idx="29">
                  <c:v>76.7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D-48A7-A070-B34DADEAE07D}"/>
            </c:ext>
          </c:extLst>
        </c:ser>
        <c:ser>
          <c:idx val="0"/>
          <c:order val="2"/>
          <c:tx>
            <c:strRef>
              <c:f>'1'!$O$40</c:f>
              <c:strCache>
                <c:ptCount val="1"/>
                <c:pt idx="0">
                  <c:v>中国:零售销量:新能源乘用车(插电混动):当月同比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'1'!Date2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'1'!Ind2_3</c:f>
              <c:numCache>
                <c:formatCode>#,##0.00_ </c:formatCode>
                <c:ptCount val="30"/>
                <c:pt idx="0">
                  <c:v>193.3</c:v>
                </c:pt>
                <c:pt idx="1">
                  <c:v>161.80000000000001</c:v>
                </c:pt>
                <c:pt idx="2">
                  <c:v>162.4</c:v>
                </c:pt>
                <c:pt idx="3">
                  <c:v>191.2</c:v>
                </c:pt>
                <c:pt idx="4">
                  <c:v>141.6</c:v>
                </c:pt>
                <c:pt idx="5">
                  <c:v>207.5</c:v>
                </c:pt>
                <c:pt idx="6">
                  <c:v>369.3</c:v>
                </c:pt>
                <c:pt idx="7">
                  <c:v>198.6</c:v>
                </c:pt>
                <c:pt idx="8">
                  <c:v>149.6</c:v>
                </c:pt>
                <c:pt idx="9">
                  <c:v>189.8</c:v>
                </c:pt>
                <c:pt idx="10">
                  <c:v>150.6</c:v>
                </c:pt>
                <c:pt idx="11">
                  <c:v>175.7</c:v>
                </c:pt>
                <c:pt idx="12">
                  <c:v>160.30000000000001</c:v>
                </c:pt>
                <c:pt idx="13">
                  <c:v>170.7</c:v>
                </c:pt>
                <c:pt idx="14">
                  <c:v>156.30000000000001</c:v>
                </c:pt>
                <c:pt idx="15">
                  <c:v>112.5</c:v>
                </c:pt>
                <c:pt idx="16">
                  <c:v>123.6</c:v>
                </c:pt>
                <c:pt idx="17">
                  <c:v>48.8</c:v>
                </c:pt>
                <c:pt idx="18">
                  <c:v>116.3</c:v>
                </c:pt>
                <c:pt idx="19">
                  <c:v>87.6</c:v>
                </c:pt>
                <c:pt idx="20">
                  <c:v>131.1</c:v>
                </c:pt>
                <c:pt idx="21">
                  <c:v>106.8</c:v>
                </c:pt>
                <c:pt idx="22">
                  <c:v>100.2</c:v>
                </c:pt>
                <c:pt idx="23">
                  <c:v>76.900000000000006</c:v>
                </c:pt>
                <c:pt idx="24">
                  <c:v>69.900000000000006</c:v>
                </c:pt>
                <c:pt idx="25">
                  <c:v>59.7</c:v>
                </c:pt>
                <c:pt idx="26">
                  <c:v>71.3</c:v>
                </c:pt>
                <c:pt idx="27">
                  <c:v>76.400000000000006</c:v>
                </c:pt>
                <c:pt idx="28">
                  <c:v>88.6</c:v>
                </c:pt>
                <c:pt idx="29">
                  <c:v>147.19999999999999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35D-48A7-A070-B34DADEA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"/>
        <c:axId val="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'1'!$P$40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'1'!Date2</c15:sqref>
                        </c15:formulaRef>
                      </c:ext>
                    </c:extLst>
                    <c:numCache>
                      <c:formatCode>yyyy\-mm</c:formatCode>
                      <c:ptCount val="30"/>
                      <c:pt idx="0">
                        <c:v>44439</c:v>
                      </c:pt>
                      <c:pt idx="1">
                        <c:v>44469</c:v>
                      </c:pt>
                      <c:pt idx="2">
                        <c:v>44500</c:v>
                      </c:pt>
                      <c:pt idx="3">
                        <c:v>44530</c:v>
                      </c:pt>
                      <c:pt idx="4">
                        <c:v>44561</c:v>
                      </c:pt>
                      <c:pt idx="5">
                        <c:v>44592</c:v>
                      </c:pt>
                      <c:pt idx="6">
                        <c:v>44620</c:v>
                      </c:pt>
                      <c:pt idx="7">
                        <c:v>44651</c:v>
                      </c:pt>
                      <c:pt idx="8">
                        <c:v>44681</c:v>
                      </c:pt>
                      <c:pt idx="9">
                        <c:v>44712</c:v>
                      </c:pt>
                      <c:pt idx="10">
                        <c:v>44742</c:v>
                      </c:pt>
                      <c:pt idx="11">
                        <c:v>44773</c:v>
                      </c:pt>
                      <c:pt idx="12">
                        <c:v>44804</c:v>
                      </c:pt>
                      <c:pt idx="13">
                        <c:v>44834</c:v>
                      </c:pt>
                      <c:pt idx="14">
                        <c:v>44865</c:v>
                      </c:pt>
                      <c:pt idx="15">
                        <c:v>44895</c:v>
                      </c:pt>
                      <c:pt idx="16">
                        <c:v>44926</c:v>
                      </c:pt>
                      <c:pt idx="17">
                        <c:v>44957</c:v>
                      </c:pt>
                      <c:pt idx="18">
                        <c:v>44985</c:v>
                      </c:pt>
                      <c:pt idx="19">
                        <c:v>45016</c:v>
                      </c:pt>
                      <c:pt idx="20">
                        <c:v>45046</c:v>
                      </c:pt>
                      <c:pt idx="21">
                        <c:v>45077</c:v>
                      </c:pt>
                      <c:pt idx="22">
                        <c:v>45107</c:v>
                      </c:pt>
                      <c:pt idx="23">
                        <c:v>45138</c:v>
                      </c:pt>
                      <c:pt idx="24">
                        <c:v>45169</c:v>
                      </c:pt>
                      <c:pt idx="25">
                        <c:v>45199</c:v>
                      </c:pt>
                      <c:pt idx="26">
                        <c:v>45230</c:v>
                      </c:pt>
                      <c:pt idx="27">
                        <c:v>45260</c:v>
                      </c:pt>
                      <c:pt idx="28">
                        <c:v>45291</c:v>
                      </c:pt>
                      <c:pt idx="29">
                        <c:v>45322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'1'!Ind2_4</c15:sqref>
                        </c15:formulaRef>
                      </c:ext>
                    </c:extLst>
                    <c:numCache>
                      <c:formatCode>#,##0.00_ </c:formatCode>
                      <c:ptCount val="3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835D-48A7-A070-B34DADEAE07D}"/>
                  </c:ext>
                </c:extLst>
              </c15:ser>
            </c15:filteredLineSeries>
          </c:ext>
        </c:extLst>
      </c:lineChart>
      <c:dateAx>
        <c:axId val="3"/>
        <c:scaling>
          <c:orientation val="minMax"/>
        </c:scaling>
        <c:delete val="0"/>
        <c:axPos val="b"/>
        <c:numFmt formatCode="yyyy\-mm" sourceLinked="1"/>
        <c:majorTickMark val="out"/>
        <c:minorTickMark val="none"/>
        <c:tickLblPos val="low"/>
        <c:crossAx val="4"/>
        <c:crossesAt val="0"/>
        <c:auto val="1"/>
        <c:lblOffset val="100"/>
        <c:baseTimeUnit val="months"/>
        <c:majorUnit val="6"/>
        <c:majorTimeUnit val="months"/>
      </c:dateAx>
      <c:valAx>
        <c:axId val="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3.8753186039683432E-2"/>
              <c:y val="6.4401997068978381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spPr>
          <a:ln/>
        </c:spPr>
        <c:crossAx val="3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20250284414106939"/>
          <c:y val="0.81598085728242964"/>
          <c:w val="0.64960182025028446"/>
          <c:h val="0.18401914271757036"/>
        </c:manualLayout>
      </c:layout>
      <c:overlay val="0"/>
      <c:txPr>
        <a:bodyPr/>
        <a:lstStyle/>
        <a:p>
          <a:pPr>
            <a:defRPr sz="10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5784832451499117"/>
          <c:w val="0.88907849829351537"/>
          <c:h val="0.5909451837382493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'2'!$E$40</c:f>
              <c:strCache>
                <c:ptCount val="1"/>
                <c:pt idx="0">
                  <c:v>批发销量:新能源乘用车:纯电动:当月值:万</c:v>
                </c:pt>
              </c:strCache>
            </c:strRef>
          </c:tx>
          <c:invertIfNegative val="0"/>
          <c:cat>
            <c:numRef>
              <c:f>'2'!Date1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'2'!Ind1_2</c:f>
              <c:numCache>
                <c:formatCode>#,##0.00_ </c:formatCode>
                <c:ptCount val="30"/>
                <c:pt idx="0">
                  <c:v>24.9191</c:v>
                </c:pt>
                <c:pt idx="1">
                  <c:v>29.774999999999999</c:v>
                </c:pt>
                <c:pt idx="2">
                  <c:v>30.308199999999999</c:v>
                </c:pt>
                <c:pt idx="3">
                  <c:v>34.326500000000003</c:v>
                </c:pt>
                <c:pt idx="4">
                  <c:v>42.266100000000002</c:v>
                </c:pt>
                <c:pt idx="5">
                  <c:v>33.299999999999997</c:v>
                </c:pt>
                <c:pt idx="6">
                  <c:v>24.5</c:v>
                </c:pt>
                <c:pt idx="7">
                  <c:v>37.1</c:v>
                </c:pt>
                <c:pt idx="8">
                  <c:v>21.4</c:v>
                </c:pt>
                <c:pt idx="9">
                  <c:v>32.4</c:v>
                </c:pt>
                <c:pt idx="10">
                  <c:v>45.2</c:v>
                </c:pt>
                <c:pt idx="11">
                  <c:v>42.8</c:v>
                </c:pt>
                <c:pt idx="12">
                  <c:v>49</c:v>
                </c:pt>
                <c:pt idx="13">
                  <c:v>50.7</c:v>
                </c:pt>
                <c:pt idx="14">
                  <c:v>50.8</c:v>
                </c:pt>
                <c:pt idx="15">
                  <c:v>56.2</c:v>
                </c:pt>
                <c:pt idx="16">
                  <c:v>56.3</c:v>
                </c:pt>
                <c:pt idx="17">
                  <c:v>27.2</c:v>
                </c:pt>
                <c:pt idx="18">
                  <c:v>34.700000000000003</c:v>
                </c:pt>
                <c:pt idx="19">
                  <c:v>45.3</c:v>
                </c:pt>
                <c:pt idx="20">
                  <c:v>43.7</c:v>
                </c:pt>
                <c:pt idx="21">
                  <c:v>47.9</c:v>
                </c:pt>
                <c:pt idx="22">
                  <c:v>52.8</c:v>
                </c:pt>
                <c:pt idx="23">
                  <c:v>49.6</c:v>
                </c:pt>
                <c:pt idx="24">
                  <c:v>55.1</c:v>
                </c:pt>
                <c:pt idx="25">
                  <c:v>56.3</c:v>
                </c:pt>
                <c:pt idx="26">
                  <c:v>58.5</c:v>
                </c:pt>
                <c:pt idx="27">
                  <c:v>65.3</c:v>
                </c:pt>
                <c:pt idx="28">
                  <c:v>75.099999999999994</c:v>
                </c:pt>
                <c:pt idx="29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F-4143-BC63-D1A5E2143E56}"/>
            </c:ext>
          </c:extLst>
        </c:ser>
        <c:ser>
          <c:idx val="2"/>
          <c:order val="2"/>
          <c:tx>
            <c:strRef>
              <c:f>'2'!$F$40</c:f>
              <c:strCache>
                <c:ptCount val="1"/>
                <c:pt idx="0">
                  <c:v>批发销量:新能源乘用车:插电混动:当月值:万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'2'!Ind1_3</c:f>
              <c:numCache>
                <c:formatCode>#,##0.00_ </c:formatCode>
                <c:ptCount val="30"/>
                <c:pt idx="0">
                  <c:v>5.4668000000000001</c:v>
                </c:pt>
                <c:pt idx="1">
                  <c:v>5.6967999999999996</c:v>
                </c:pt>
                <c:pt idx="2">
                  <c:v>6.4592000000000001</c:v>
                </c:pt>
                <c:pt idx="3">
                  <c:v>8.5396000000000001</c:v>
                </c:pt>
                <c:pt idx="4">
                  <c:v>8.2352000000000007</c:v>
                </c:pt>
                <c:pt idx="5">
                  <c:v>7.9</c:v>
                </c:pt>
                <c:pt idx="6">
                  <c:v>7.2</c:v>
                </c:pt>
                <c:pt idx="7">
                  <c:v>8.4</c:v>
                </c:pt>
                <c:pt idx="8">
                  <c:v>6.6</c:v>
                </c:pt>
                <c:pt idx="9">
                  <c:v>9.8000000000000007</c:v>
                </c:pt>
                <c:pt idx="10">
                  <c:v>11.9</c:v>
                </c:pt>
                <c:pt idx="11">
                  <c:v>13.6</c:v>
                </c:pt>
                <c:pt idx="12">
                  <c:v>14.2</c:v>
                </c:pt>
                <c:pt idx="13">
                  <c:v>16.8</c:v>
                </c:pt>
                <c:pt idx="14">
                  <c:v>16.7</c:v>
                </c:pt>
                <c:pt idx="15">
                  <c:v>16.600000000000001</c:v>
                </c:pt>
                <c:pt idx="16">
                  <c:v>18.7</c:v>
                </c:pt>
                <c:pt idx="17">
                  <c:v>11.7</c:v>
                </c:pt>
                <c:pt idx="18">
                  <c:v>14.9</c:v>
                </c:pt>
                <c:pt idx="19">
                  <c:v>16.399999999999999</c:v>
                </c:pt>
                <c:pt idx="20">
                  <c:v>17</c:v>
                </c:pt>
                <c:pt idx="21">
                  <c:v>19.399999999999999</c:v>
                </c:pt>
                <c:pt idx="22">
                  <c:v>23.3</c:v>
                </c:pt>
                <c:pt idx="23">
                  <c:v>24.2</c:v>
                </c:pt>
                <c:pt idx="24">
                  <c:v>24.8</c:v>
                </c:pt>
                <c:pt idx="25">
                  <c:v>26.6</c:v>
                </c:pt>
                <c:pt idx="26">
                  <c:v>29.8</c:v>
                </c:pt>
                <c:pt idx="27">
                  <c:v>30.9</c:v>
                </c:pt>
                <c:pt idx="28">
                  <c:v>35.700000000000003</c:v>
                </c:pt>
                <c:pt idx="29">
                  <c:v>27.8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F52-4B84-A67A-7FDE15D37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3437424"/>
        <c:axId val="1863438672"/>
      </c:barChart>
      <c:lineChart>
        <c:grouping val="standard"/>
        <c:varyColors val="0"/>
        <c:ser>
          <c:idx val="0"/>
          <c:order val="1"/>
          <c:tx>
            <c:strRef>
              <c:f>'2'!$D$40</c:f>
              <c:strCache>
                <c:ptCount val="1"/>
                <c:pt idx="0">
                  <c:v>批发销量:新能源乘用车:当月值:万</c:v>
                </c:pt>
              </c:strCache>
            </c:strRef>
          </c:tx>
          <c:marker>
            <c:symbol val="none"/>
          </c:marker>
          <c:cat>
            <c:numRef>
              <c:f>'2'!Date1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  <c:extLst xmlns:c15="http://schemas.microsoft.com/office/drawing/2012/chart"/>
            </c:numRef>
          </c:cat>
          <c:val>
            <c:numRef>
              <c:f>'2'!Ind1_1</c:f>
              <c:numCache>
                <c:formatCode>#,##0.00_ </c:formatCode>
                <c:ptCount val="30"/>
                <c:pt idx="0">
                  <c:v>30.385899999999999</c:v>
                </c:pt>
                <c:pt idx="1">
                  <c:v>35.471800000000002</c:v>
                </c:pt>
                <c:pt idx="2">
                  <c:v>36.767400000000002</c:v>
                </c:pt>
                <c:pt idx="3">
                  <c:v>42.866100000000003</c:v>
                </c:pt>
                <c:pt idx="4">
                  <c:v>50.501300000000001</c:v>
                </c:pt>
                <c:pt idx="5">
                  <c:v>41.2</c:v>
                </c:pt>
                <c:pt idx="6">
                  <c:v>31.7</c:v>
                </c:pt>
                <c:pt idx="7">
                  <c:v>45.5</c:v>
                </c:pt>
                <c:pt idx="8">
                  <c:v>28</c:v>
                </c:pt>
                <c:pt idx="9">
                  <c:v>42.1</c:v>
                </c:pt>
                <c:pt idx="10">
                  <c:v>57.1</c:v>
                </c:pt>
                <c:pt idx="11">
                  <c:v>56.4</c:v>
                </c:pt>
                <c:pt idx="12">
                  <c:v>63.2</c:v>
                </c:pt>
                <c:pt idx="13">
                  <c:v>67.5</c:v>
                </c:pt>
                <c:pt idx="14">
                  <c:v>67.599999999999994</c:v>
                </c:pt>
                <c:pt idx="15">
                  <c:v>72.8</c:v>
                </c:pt>
                <c:pt idx="16">
                  <c:v>75</c:v>
                </c:pt>
                <c:pt idx="17">
                  <c:v>38.9</c:v>
                </c:pt>
                <c:pt idx="18">
                  <c:v>49.6</c:v>
                </c:pt>
                <c:pt idx="19">
                  <c:v>61.7</c:v>
                </c:pt>
                <c:pt idx="20">
                  <c:v>60.7</c:v>
                </c:pt>
                <c:pt idx="21">
                  <c:v>67.3</c:v>
                </c:pt>
                <c:pt idx="22">
                  <c:v>76.099999999999994</c:v>
                </c:pt>
                <c:pt idx="23">
                  <c:v>73.7</c:v>
                </c:pt>
                <c:pt idx="24">
                  <c:v>79.8</c:v>
                </c:pt>
                <c:pt idx="25">
                  <c:v>82.9</c:v>
                </c:pt>
                <c:pt idx="26">
                  <c:v>88.3</c:v>
                </c:pt>
                <c:pt idx="27">
                  <c:v>96.2</c:v>
                </c:pt>
                <c:pt idx="28">
                  <c:v>110.8</c:v>
                </c:pt>
                <c:pt idx="29">
                  <c:v>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F-4143-BC63-D1A5E214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75264"/>
        <c:axId val="369777760"/>
      </c:lineChart>
      <c:valAx>
        <c:axId val="18634386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>
                    <a:latin typeface="微软雅黑" panose="020B0503020204020204" pitchFamily="34" charset="-122"/>
                    <a:ea typeface="微软雅黑" panose="020B0503020204020204" pitchFamily="34" charset="-122"/>
                  </a:defRPr>
                </a:pP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万辆</a:t>
                </a: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4.5506257110352671E-3"/>
              <c:y val="4.937632795900512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7424"/>
        <c:crosses val="autoZero"/>
        <c:crossBetween val="between"/>
      </c:valAx>
      <c:dateAx>
        <c:axId val="1863437424"/>
        <c:scaling>
          <c:orientation val="minMax"/>
        </c:scaling>
        <c:delete val="0"/>
        <c:axPos val="b"/>
        <c:numFmt formatCode="yyyy\-mm" sourceLinked="1"/>
        <c:majorTickMark val="out"/>
        <c:minorTickMark val="none"/>
        <c:tickLblPos val="low"/>
        <c:spPr>
          <a:ln/>
        </c:spPr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8672"/>
        <c:crosses val="autoZero"/>
        <c:auto val="1"/>
        <c:lblOffset val="100"/>
        <c:baseTimeUnit val="months"/>
        <c:majorUnit val="6"/>
        <c:majorTimeUnit val="months"/>
      </c:dateAx>
      <c:valAx>
        <c:axId val="369777760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crossAx val="369775264"/>
        <c:crosses val="max"/>
        <c:crossBetween val="between"/>
      </c:valAx>
      <c:dateAx>
        <c:axId val="369775264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369777760"/>
        <c:crosses val="autoZero"/>
        <c:auto val="1"/>
        <c:lblOffset val="100"/>
        <c:baseTimeUnit val="months"/>
        <c:majorUnit val="1"/>
        <c:minorUnit val="1"/>
      </c:dateAx>
      <c:spPr>
        <a:ln>
          <a:noFill/>
        </a:ln>
      </c:spPr>
    </c:plotArea>
    <c:legend>
      <c:legendPos val="b"/>
      <c:layout>
        <c:manualLayout>
          <c:xMode val="edge"/>
          <c:yMode val="edge"/>
          <c:x val="6.6837291399229781E-2"/>
          <c:y val="0.83022016033858304"/>
          <c:w val="0.86632541720154044"/>
          <c:h val="0.16977983966141699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122866894198"/>
          <c:y val="0.16013909745081031"/>
          <c:w val="0.7337883959044369"/>
          <c:h val="0.57019186506555009"/>
        </c:manualLayout>
      </c:layout>
      <c:lineChart>
        <c:grouping val="standard"/>
        <c:varyColors val="0"/>
        <c:ser>
          <c:idx val="2"/>
          <c:order val="0"/>
          <c:tx>
            <c:strRef>
              <c:f>'2'!$M$40</c:f>
              <c:strCache>
                <c:ptCount val="1"/>
                <c:pt idx="0">
                  <c:v>中国:批发销量:新能源乘用车:当月同比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</c:numRef>
          </c:cat>
          <c:val>
            <c:numRef>
              <c:f>'2'!Ind2_1</c:f>
              <c:numCache>
                <c:formatCode>#,##0.00_ </c:formatCode>
                <c:ptCount val="30"/>
                <c:pt idx="0">
                  <c:v>202</c:v>
                </c:pt>
                <c:pt idx="1">
                  <c:v>184</c:v>
                </c:pt>
                <c:pt idx="2">
                  <c:v>154</c:v>
                </c:pt>
                <c:pt idx="3">
                  <c:v>136</c:v>
                </c:pt>
                <c:pt idx="4">
                  <c:v>138</c:v>
                </c:pt>
                <c:pt idx="5">
                  <c:v>141.4</c:v>
                </c:pt>
                <c:pt idx="6">
                  <c:v>189.1</c:v>
                </c:pt>
                <c:pt idx="7">
                  <c:v>122.4</c:v>
                </c:pt>
                <c:pt idx="8">
                  <c:v>50.1</c:v>
                </c:pt>
                <c:pt idx="9">
                  <c:v>111.5</c:v>
                </c:pt>
                <c:pt idx="10">
                  <c:v>141.4</c:v>
                </c:pt>
                <c:pt idx="11">
                  <c:v>123.7</c:v>
                </c:pt>
                <c:pt idx="12">
                  <c:v>103.9</c:v>
                </c:pt>
                <c:pt idx="13">
                  <c:v>94.9</c:v>
                </c:pt>
                <c:pt idx="14">
                  <c:v>85.8</c:v>
                </c:pt>
                <c:pt idx="15">
                  <c:v>70.2</c:v>
                </c:pt>
                <c:pt idx="16">
                  <c:v>48.9</c:v>
                </c:pt>
                <c:pt idx="17">
                  <c:v>-7.3</c:v>
                </c:pt>
                <c:pt idx="18">
                  <c:v>56.1</c:v>
                </c:pt>
                <c:pt idx="19">
                  <c:v>35.200000000000003</c:v>
                </c:pt>
                <c:pt idx="20">
                  <c:v>115.6</c:v>
                </c:pt>
                <c:pt idx="21">
                  <c:v>59.4</c:v>
                </c:pt>
                <c:pt idx="22">
                  <c:v>33.4</c:v>
                </c:pt>
                <c:pt idx="23">
                  <c:v>30.7</c:v>
                </c:pt>
                <c:pt idx="24">
                  <c:v>25.6</c:v>
                </c:pt>
                <c:pt idx="25">
                  <c:v>23</c:v>
                </c:pt>
                <c:pt idx="26">
                  <c:v>30.1</c:v>
                </c:pt>
                <c:pt idx="27">
                  <c:v>31.5</c:v>
                </c:pt>
                <c:pt idx="28">
                  <c:v>47.5</c:v>
                </c:pt>
                <c:pt idx="29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25-4EA2-8FF8-DE323767916F}"/>
            </c:ext>
          </c:extLst>
        </c:ser>
        <c:ser>
          <c:idx val="1"/>
          <c:order val="1"/>
          <c:tx>
            <c:strRef>
              <c:f>'2'!$N$40</c:f>
              <c:strCache>
                <c:ptCount val="1"/>
                <c:pt idx="0">
                  <c:v>中国:批发销量:新能源乘用车(纯电动):当月同比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</c:numRef>
          </c:cat>
          <c:val>
            <c:numRef>
              <c:f>'2'!Ind2_2</c:f>
              <c:numCache>
                <c:formatCode>#,##0.00_ </c:formatCode>
                <c:ptCount val="30"/>
                <c:pt idx="0">
                  <c:v>200</c:v>
                </c:pt>
                <c:pt idx="1">
                  <c:v>192</c:v>
                </c:pt>
                <c:pt idx="2">
                  <c:v>149</c:v>
                </c:pt>
                <c:pt idx="3">
                  <c:v>126</c:v>
                </c:pt>
                <c:pt idx="4">
                  <c:v>137</c:v>
                </c:pt>
                <c:pt idx="5">
                  <c:v>130.4</c:v>
                </c:pt>
                <c:pt idx="6">
                  <c:v>161.69999999999999</c:v>
                </c:pt>
                <c:pt idx="7">
                  <c:v>116.8</c:v>
                </c:pt>
                <c:pt idx="8">
                  <c:v>39.9</c:v>
                </c:pt>
                <c:pt idx="9">
                  <c:v>96.3</c:v>
                </c:pt>
                <c:pt idx="10">
                  <c:v>131.1</c:v>
                </c:pt>
                <c:pt idx="11">
                  <c:v>109</c:v>
                </c:pt>
                <c:pt idx="12">
                  <c:v>92</c:v>
                </c:pt>
                <c:pt idx="13">
                  <c:v>76.3</c:v>
                </c:pt>
                <c:pt idx="14">
                  <c:v>69.599999999999994</c:v>
                </c:pt>
                <c:pt idx="15">
                  <c:v>64.2</c:v>
                </c:pt>
                <c:pt idx="16">
                  <c:v>33.6</c:v>
                </c:pt>
                <c:pt idx="17">
                  <c:v>-19.8</c:v>
                </c:pt>
                <c:pt idx="18">
                  <c:v>41.5</c:v>
                </c:pt>
                <c:pt idx="19">
                  <c:v>22.1</c:v>
                </c:pt>
                <c:pt idx="20">
                  <c:v>104</c:v>
                </c:pt>
                <c:pt idx="21">
                  <c:v>47.8</c:v>
                </c:pt>
                <c:pt idx="22">
                  <c:v>17</c:v>
                </c:pt>
                <c:pt idx="23">
                  <c:v>15.3</c:v>
                </c:pt>
                <c:pt idx="24">
                  <c:v>11.8</c:v>
                </c:pt>
                <c:pt idx="25">
                  <c:v>11.2</c:v>
                </c:pt>
                <c:pt idx="26">
                  <c:v>14.4</c:v>
                </c:pt>
                <c:pt idx="27">
                  <c:v>15.2</c:v>
                </c:pt>
                <c:pt idx="28">
                  <c:v>32.9</c:v>
                </c:pt>
                <c:pt idx="29">
                  <c:v>49.5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25-4EA2-8FF8-DE323767916F}"/>
            </c:ext>
          </c:extLst>
        </c:ser>
        <c:ser>
          <c:idx val="0"/>
          <c:order val="2"/>
          <c:tx>
            <c:strRef>
              <c:f>'2'!$O$40</c:f>
              <c:strCache>
                <c:ptCount val="1"/>
                <c:pt idx="0">
                  <c:v>中国:批发销量:新能源乘用车(插电混动):当月同比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yyyy\-mm</c:formatCode>
                <c:ptCount val="30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</c:numCache>
            </c:numRef>
          </c:cat>
          <c:val>
            <c:numRef>
              <c:f>'2'!Ind2_3</c:f>
              <c:numCache>
                <c:formatCode>#,##0.00_ </c:formatCode>
                <c:ptCount val="30"/>
                <c:pt idx="0">
                  <c:v>211</c:v>
                </c:pt>
                <c:pt idx="1">
                  <c:v>149</c:v>
                </c:pt>
                <c:pt idx="2">
                  <c:v>180</c:v>
                </c:pt>
                <c:pt idx="3">
                  <c:v>18.899999999999999</c:v>
                </c:pt>
                <c:pt idx="4">
                  <c:v>144</c:v>
                </c:pt>
                <c:pt idx="5">
                  <c:v>202.1</c:v>
                </c:pt>
                <c:pt idx="6">
                  <c:v>350.9</c:v>
                </c:pt>
                <c:pt idx="7">
                  <c:v>151.30000000000001</c:v>
                </c:pt>
                <c:pt idx="8">
                  <c:v>96.8</c:v>
                </c:pt>
                <c:pt idx="9">
                  <c:v>184.4</c:v>
                </c:pt>
                <c:pt idx="10">
                  <c:v>191.1</c:v>
                </c:pt>
                <c:pt idx="11">
                  <c:v>187.2</c:v>
                </c:pt>
                <c:pt idx="12">
                  <c:v>159.19999999999999</c:v>
                </c:pt>
                <c:pt idx="13">
                  <c:v>186.4</c:v>
                </c:pt>
                <c:pt idx="14">
                  <c:v>161.6</c:v>
                </c:pt>
                <c:pt idx="15">
                  <c:v>94.3</c:v>
                </c:pt>
                <c:pt idx="16">
                  <c:v>127.1</c:v>
                </c:pt>
                <c:pt idx="17">
                  <c:v>44.7</c:v>
                </c:pt>
                <c:pt idx="18">
                  <c:v>105.8</c:v>
                </c:pt>
                <c:pt idx="19">
                  <c:v>92.1</c:v>
                </c:pt>
                <c:pt idx="20">
                  <c:v>152.30000000000001</c:v>
                </c:pt>
                <c:pt idx="21">
                  <c:v>97.8</c:v>
                </c:pt>
                <c:pt idx="22">
                  <c:v>95.7</c:v>
                </c:pt>
                <c:pt idx="23">
                  <c:v>80</c:v>
                </c:pt>
                <c:pt idx="24">
                  <c:v>73.599999999999994</c:v>
                </c:pt>
                <c:pt idx="25">
                  <c:v>58.7</c:v>
                </c:pt>
                <c:pt idx="26">
                  <c:v>78.2</c:v>
                </c:pt>
                <c:pt idx="27">
                  <c:v>86.9</c:v>
                </c:pt>
                <c:pt idx="28">
                  <c:v>91.8</c:v>
                </c:pt>
                <c:pt idx="29">
                  <c:v>137.9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625-4EA2-8FF8-DE3237679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684240"/>
        <c:axId val="1"/>
      </c:lineChart>
      <c:dateAx>
        <c:axId val="838684240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"/>
        <c:crosses val="autoZero"/>
        <c:auto val="1"/>
        <c:lblOffset val="100"/>
        <c:baseTimeUnit val="months"/>
        <c:majorUnit val="6"/>
        <c:majorTimeUnit val="months"/>
      </c:date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en-US" alt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%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4.3977196013336689E-2"/>
              <c:y val="6.574372907118117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838684240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2469892541571355"/>
          <c:w val="1"/>
          <c:h val="0.16900506350139394"/>
        </c:manualLayout>
      </c:layout>
      <c:overlay val="0"/>
      <c:txPr>
        <a:bodyPr/>
        <a:lstStyle/>
        <a:p>
          <a:pPr>
            <a:defRPr sz="10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19</xdr:row>
      <xdr:rowOff>34529</xdr:rowOff>
    </xdr:from>
    <xdr:to>
      <xdr:col>4</xdr:col>
      <xdr:colOff>2266951</xdr:colOff>
      <xdr:row>21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152023F-C74E-4C3B-8E15-FA64FE275C84}"/>
            </a:ext>
          </a:extLst>
        </xdr:cNvPr>
        <xdr:cNvSpPr txBox="1"/>
      </xdr:nvSpPr>
      <xdr:spPr>
        <a:xfrm>
          <a:off x="228601" y="4978004"/>
          <a:ext cx="7219950" cy="679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   《EDB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宏观图库模板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》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全部采用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 API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函数，获取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宏观经济数据制作而成。在登录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终端的情况下，可实现数据的自动更新。输入观察周期长度，您可自行调节图表时间范围以达最佳观测效果。</a:t>
          </a:r>
        </a:p>
      </xdr:txBody>
    </xdr:sp>
    <xdr:clientData/>
  </xdr:twoCellAnchor>
  <xdr:oneCellAnchor>
    <xdr:from>
      <xdr:col>0</xdr:col>
      <xdr:colOff>180975</xdr:colOff>
      <xdr:row>0</xdr:row>
      <xdr:rowOff>85725</xdr:rowOff>
    </xdr:from>
    <xdr:ext cx="607152" cy="219075"/>
    <xdr:pic>
      <xdr:nvPicPr>
        <xdr:cNvPr id="3" name="图片 2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47625</xdr:rowOff>
    </xdr:from>
    <xdr:to>
      <xdr:col>7</xdr:col>
      <xdr:colOff>904875</xdr:colOff>
      <xdr:row>34</xdr:row>
      <xdr:rowOff>104775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57150</xdr:colOff>
      <xdr:row>13</xdr:row>
      <xdr:rowOff>66675</xdr:rowOff>
    </xdr:from>
    <xdr:to>
      <xdr:col>16</xdr:col>
      <xdr:colOff>904875</xdr:colOff>
      <xdr:row>34</xdr:row>
      <xdr:rowOff>85725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19050</xdr:rowOff>
    </xdr:from>
    <xdr:to>
      <xdr:col>7</xdr:col>
      <xdr:colOff>932025</xdr:colOff>
      <xdr:row>34</xdr:row>
      <xdr:rowOff>90300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28575</xdr:colOff>
      <xdr:row>13</xdr:row>
      <xdr:rowOff>38099</xdr:rowOff>
    </xdr:from>
    <xdr:to>
      <xdr:col>16</xdr:col>
      <xdr:colOff>903225</xdr:colOff>
      <xdr:row>34</xdr:row>
      <xdr:rowOff>132223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edb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showGridLines="0" tabSelected="1" zoomScaleNormal="100" workbookViewId="0">
      <selection activeCell="B32" sqref="B32"/>
    </sheetView>
  </sheetViews>
  <sheetFormatPr defaultRowHeight="20.25" x14ac:dyDescent="0.35"/>
  <cols>
    <col min="1" max="1" width="1.81640625" style="2" customWidth="1"/>
    <col min="2" max="2" width="22.26953125" style="2" customWidth="1"/>
    <col min="3" max="3" width="4.36328125" style="2" customWidth="1"/>
    <col min="4" max="4" width="21" style="2" customWidth="1"/>
    <col min="5" max="5" width="22.26953125" style="2" customWidth="1"/>
    <col min="6" max="6" width="1.81640625" style="2" customWidth="1"/>
    <col min="7" max="7" width="4.6328125" style="2" customWidth="1"/>
    <col min="8" max="16384" width="8.7265625" style="2"/>
  </cols>
  <sheetData>
    <row r="1" spans="1:6" ht="27.75" x14ac:dyDescent="0.35">
      <c r="A1" s="1"/>
      <c r="B1" s="66" t="s">
        <v>32</v>
      </c>
      <c r="C1" s="66"/>
      <c r="D1" s="66"/>
      <c r="E1" s="66"/>
      <c r="F1" s="1"/>
    </row>
    <row r="2" spans="1:6" x14ac:dyDescent="0.35">
      <c r="A2" s="3"/>
      <c r="F2" s="3"/>
    </row>
    <row r="3" spans="1:6" x14ac:dyDescent="0.35">
      <c r="A3" s="3"/>
      <c r="F3" s="3"/>
    </row>
    <row r="4" spans="1:6" x14ac:dyDescent="0.35">
      <c r="A4" s="3"/>
      <c r="F4" s="3"/>
    </row>
    <row r="5" spans="1:6" x14ac:dyDescent="0.35">
      <c r="A5" s="3"/>
      <c r="C5" s="67" t="s">
        <v>0</v>
      </c>
      <c r="D5" s="67"/>
      <c r="F5" s="3"/>
    </row>
    <row r="6" spans="1:6" ht="17.25" customHeight="1" x14ac:dyDescent="0.35">
      <c r="A6" s="3"/>
      <c r="C6" s="4"/>
      <c r="D6" s="4"/>
      <c r="F6" s="3"/>
    </row>
    <row r="7" spans="1:6" x14ac:dyDescent="0.35">
      <c r="A7" s="3"/>
      <c r="C7" s="48">
        <v>1</v>
      </c>
      <c r="D7" s="6" t="s">
        <v>29</v>
      </c>
      <c r="F7" s="3"/>
    </row>
    <row r="8" spans="1:6" x14ac:dyDescent="0.35">
      <c r="A8" s="3"/>
      <c r="C8" s="49">
        <v>2</v>
      </c>
      <c r="D8" s="8" t="s">
        <v>34</v>
      </c>
      <c r="F8" s="3"/>
    </row>
    <row r="9" spans="1:6" x14ac:dyDescent="0.35">
      <c r="A9" s="3"/>
      <c r="C9" s="48">
        <v>3</v>
      </c>
      <c r="D9" s="6" t="s">
        <v>40</v>
      </c>
      <c r="F9" s="3"/>
    </row>
    <row r="10" spans="1:6" x14ac:dyDescent="0.35">
      <c r="A10" s="3"/>
      <c r="C10" s="49">
        <v>4</v>
      </c>
      <c r="D10" s="8" t="s">
        <v>42</v>
      </c>
      <c r="F10" s="3"/>
    </row>
    <row r="11" spans="1:6" x14ac:dyDescent="0.35">
      <c r="A11" s="3"/>
      <c r="C11" s="5"/>
      <c r="D11" s="6"/>
      <c r="F11" s="3"/>
    </row>
    <row r="12" spans="1:6" x14ac:dyDescent="0.35">
      <c r="A12" s="3"/>
      <c r="C12" s="7"/>
      <c r="D12" s="8"/>
      <c r="F12" s="3"/>
    </row>
    <row r="13" spans="1:6" x14ac:dyDescent="0.35">
      <c r="A13" s="3"/>
      <c r="C13" s="5"/>
      <c r="D13" s="6"/>
      <c r="F13" s="3"/>
    </row>
    <row r="14" spans="1:6" x14ac:dyDescent="0.35">
      <c r="A14" s="3"/>
      <c r="C14" s="7"/>
      <c r="D14" s="8"/>
      <c r="F14" s="3"/>
    </row>
    <row r="15" spans="1:6" x14ac:dyDescent="0.35">
      <c r="A15" s="3"/>
      <c r="C15" s="5"/>
      <c r="D15" s="6"/>
      <c r="F15" s="3"/>
    </row>
    <row r="16" spans="1:6" x14ac:dyDescent="0.35">
      <c r="A16" s="3"/>
      <c r="C16" s="7"/>
      <c r="D16" s="8"/>
      <c r="F16" s="3"/>
    </row>
    <row r="17" spans="1:6" x14ac:dyDescent="0.35">
      <c r="A17" s="3"/>
      <c r="C17" s="5"/>
      <c r="D17" s="5"/>
      <c r="F17" s="3"/>
    </row>
    <row r="18" spans="1:6" x14ac:dyDescent="0.35">
      <c r="A18" s="65"/>
      <c r="F18" s="3"/>
    </row>
    <row r="19" spans="1:6" x14ac:dyDescent="0.35">
      <c r="A19" s="65"/>
      <c r="B19" s="9" t="s">
        <v>1</v>
      </c>
      <c r="C19" s="10"/>
      <c r="D19" s="10"/>
      <c r="E19" s="10"/>
      <c r="F19" s="3"/>
    </row>
    <row r="20" spans="1:6" x14ac:dyDescent="0.35">
      <c r="A20" s="65"/>
      <c r="F20" s="3"/>
    </row>
    <row r="21" spans="1:6" x14ac:dyDescent="0.35">
      <c r="A21" s="3"/>
      <c r="F21" s="3"/>
    </row>
    <row r="22" spans="1:6" x14ac:dyDescent="0.35">
      <c r="A22" s="3"/>
      <c r="F22" s="3"/>
    </row>
    <row r="23" spans="1:6" x14ac:dyDescent="0.35">
      <c r="A23" s="3"/>
      <c r="B23" s="3"/>
      <c r="C23" s="3"/>
      <c r="D23" s="3"/>
      <c r="E23" s="3"/>
      <c r="F23" s="3"/>
    </row>
  </sheetData>
  <mergeCells count="2">
    <mergeCell ref="B1:E1"/>
    <mergeCell ref="C5:D5"/>
  </mergeCells>
  <phoneticPr fontId="1" type="noConversion"/>
  <hyperlinks>
    <hyperlink ref="D7" location="'1'!A1" display="GDP与三大产业"/>
    <hyperlink ref="D8" location="'1'!A1" display="GDP与财政收支"/>
    <hyperlink ref="D9" location="'2'!A1" display="固定资产投资与信贷规模"/>
    <hyperlink ref="D10" location="'2'!A1" display="CPI与对外贸易"/>
  </hyperlink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115"/>
  <sheetViews>
    <sheetView showGridLines="0" zoomScaleNormal="100" workbookViewId="0">
      <selection activeCell="C56" sqref="C56"/>
    </sheetView>
  </sheetViews>
  <sheetFormatPr defaultRowHeight="12" x14ac:dyDescent="0.35"/>
  <cols>
    <col min="1" max="1" width="1.1796875" style="51" customWidth="1"/>
    <col min="2" max="2" width="1.6328125" style="51" customWidth="1"/>
    <col min="3" max="3" width="8.453125" style="51" customWidth="1"/>
    <col min="4" max="8" width="9.1796875" style="51" customWidth="1"/>
    <col min="9" max="9" width="1.6328125" style="51" customWidth="1"/>
    <col min="10" max="10" width="1.1796875" style="51" customWidth="1"/>
    <col min="11" max="11" width="1.6328125" style="51" customWidth="1"/>
    <col min="12" max="12" width="8.453125" style="51" customWidth="1"/>
    <col min="13" max="17" width="9.1796875" style="51" customWidth="1"/>
    <col min="18" max="18" width="1.6328125" style="51" customWidth="1"/>
    <col min="19" max="19" width="1.81640625" style="51" customWidth="1"/>
    <col min="20" max="16384" width="8.7265625" style="51"/>
  </cols>
  <sheetData>
    <row r="1" spans="1:21" s="13" customFormat="1" ht="27.75" x14ac:dyDescent="0.35">
      <c r="A1" s="11"/>
      <c r="B1" s="11"/>
      <c r="C1" s="11"/>
      <c r="D1" s="66" t="s">
        <v>30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t="12" hidden="1" customHeight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t="12" hidden="1" customHeight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6"/>
      <c r="C6" s="55" t="s">
        <v>16</v>
      </c>
      <c r="D6" s="55"/>
      <c r="E6" s="55"/>
      <c r="F6" s="55"/>
      <c r="G6" s="55"/>
      <c r="H6" s="55" t="s">
        <v>13</v>
      </c>
      <c r="I6" s="56"/>
      <c r="J6" s="57"/>
      <c r="K6" s="56"/>
      <c r="L6" s="55" t="s">
        <v>17</v>
      </c>
      <c r="M6" s="55"/>
      <c r="N6" s="55"/>
      <c r="O6" s="55"/>
      <c r="P6" s="55"/>
      <c r="Q6" s="55" t="s">
        <v>2</v>
      </c>
      <c r="R6" s="56"/>
      <c r="S6" s="16"/>
    </row>
    <row r="7" spans="1:21" s="13" customFormat="1" ht="9.9499999999999993" customHeight="1" x14ac:dyDescent="0.35">
      <c r="A7" s="15"/>
      <c r="B7" s="56"/>
      <c r="C7" s="56"/>
      <c r="D7" s="56"/>
      <c r="E7" s="56"/>
      <c r="F7" s="56"/>
      <c r="G7" s="56"/>
      <c r="H7" s="56"/>
      <c r="I7" s="56"/>
      <c r="J7" s="57"/>
      <c r="K7" s="56"/>
      <c r="L7" s="56"/>
      <c r="M7" s="56"/>
      <c r="N7" s="56"/>
      <c r="O7" s="56"/>
      <c r="P7" s="56"/>
      <c r="Q7" s="56"/>
      <c r="R7" s="56"/>
      <c r="S7" s="16"/>
    </row>
    <row r="8" spans="1:21" s="17" customFormat="1" ht="17.25" customHeight="1" x14ac:dyDescent="0.3">
      <c r="A8" s="58"/>
      <c r="B8" s="59"/>
      <c r="C8" s="61" t="s">
        <v>15</v>
      </c>
      <c r="D8" s="62">
        <v>30</v>
      </c>
      <c r="H8" s="19"/>
      <c r="I8" s="56"/>
      <c r="J8" s="57"/>
      <c r="K8" s="56"/>
      <c r="L8" s="61" t="s">
        <v>15</v>
      </c>
      <c r="M8" s="62">
        <v>30</v>
      </c>
      <c r="Q8" s="19"/>
      <c r="R8" s="59"/>
      <c r="S8" s="58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18</v>
      </c>
      <c r="D10" s="19">
        <f>ROW(C40)</f>
        <v>40</v>
      </c>
      <c r="J10" s="18"/>
      <c r="L10" s="19" t="s">
        <v>19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20</v>
      </c>
      <c r="D11" s="20">
        <f>MATCH(MAX(C:C),C:C)</f>
        <v>123</v>
      </c>
      <c r="J11" s="18"/>
      <c r="L11" s="19" t="s">
        <v>20</v>
      </c>
      <c r="M11" s="20">
        <f>MATCH(MAX(L:L),L:L)</f>
        <v>112</v>
      </c>
      <c r="S11" s="18"/>
    </row>
    <row r="12" spans="1:21" s="19" customFormat="1" ht="11.25" hidden="1" customHeight="1" x14ac:dyDescent="0.35">
      <c r="A12" s="18"/>
      <c r="C12" s="19" t="s">
        <v>21</v>
      </c>
      <c r="D12" s="20">
        <f>D11-D10</f>
        <v>83</v>
      </c>
      <c r="J12" s="18"/>
      <c r="L12" s="19" t="s">
        <v>5</v>
      </c>
      <c r="M12" s="20">
        <f>M11-M10</f>
        <v>72</v>
      </c>
      <c r="S12" s="18"/>
    </row>
    <row r="13" spans="1:21" s="19" customFormat="1" ht="21" x14ac:dyDescent="0.35">
      <c r="A13" s="18"/>
      <c r="C13" s="50" t="s">
        <v>28</v>
      </c>
      <c r="J13" s="18"/>
      <c r="L13" s="50" t="s">
        <v>33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4" t="s">
        <v>22</v>
      </c>
      <c r="D36" s="52"/>
      <c r="E36" s="52"/>
      <c r="F36" s="52"/>
      <c r="G36" s="54" t="s">
        <v>24</v>
      </c>
      <c r="H36" s="63">
        <f>DATE(YEAR(MAX($C:$C)),MONTH(MAX($C:$C)),1)</f>
        <v>45292</v>
      </c>
      <c r="I36" s="52"/>
      <c r="J36" s="53"/>
      <c r="L36" s="54" t="s">
        <v>22</v>
      </c>
      <c r="P36" s="54" t="s">
        <v>26</v>
      </c>
      <c r="Q36" s="63">
        <f>DATE(YEAR(MAX($L:$L)),MONTH(MAX($L:$L)),1)</f>
        <v>45292</v>
      </c>
      <c r="S36" s="18"/>
    </row>
    <row r="37" spans="1:22" s="19" customFormat="1" ht="11.25" customHeight="1" x14ac:dyDescent="0.35">
      <c r="A37" s="18"/>
      <c r="C37" s="54"/>
      <c r="D37" s="52"/>
      <c r="E37" s="52"/>
      <c r="F37" s="52"/>
      <c r="G37" s="52"/>
      <c r="H37" s="52"/>
      <c r="I37" s="52"/>
      <c r="J37" s="53"/>
      <c r="L37" s="54"/>
      <c r="S37" s="18"/>
    </row>
    <row r="38" spans="1:22" s="19" customFormat="1" ht="18" x14ac:dyDescent="0.35">
      <c r="A38" s="18"/>
      <c r="C38" s="67" t="s">
        <v>9</v>
      </c>
      <c r="D38" s="67"/>
      <c r="E38" s="67"/>
      <c r="F38" s="67"/>
      <c r="G38" s="67"/>
      <c r="H38" s="67"/>
      <c r="J38" s="25"/>
      <c r="L38" s="67" t="s">
        <v>23</v>
      </c>
      <c r="M38" s="67"/>
      <c r="N38" s="67"/>
      <c r="O38" s="67"/>
      <c r="P38" s="67"/>
      <c r="Q38" s="67"/>
      <c r="S38" s="18"/>
    </row>
    <row r="39" spans="1:22" s="19" customFormat="1" ht="17.25" x14ac:dyDescent="0.3">
      <c r="A39" s="18"/>
      <c r="C39" s="26" t="str">
        <f>[1]!edb()</f>
        <v>Wind</v>
      </c>
      <c r="D39" s="27"/>
      <c r="E39" s="28"/>
      <c r="F39" s="29"/>
      <c r="G39" s="29"/>
      <c r="H39" s="29"/>
      <c r="I39" s="29"/>
      <c r="J39" s="30"/>
      <c r="L39" s="31" t="str">
        <f>[1]!edb()</f>
        <v>Wind</v>
      </c>
      <c r="M39" s="32"/>
      <c r="N39" s="29"/>
      <c r="O39" s="29"/>
      <c r="P39" s="29"/>
      <c r="Q39" s="29"/>
      <c r="R39" s="29"/>
      <c r="S39" s="18"/>
    </row>
    <row r="40" spans="1:22" s="19" customFormat="1" ht="42.75" x14ac:dyDescent="0.2">
      <c r="A40" s="18"/>
      <c r="C40" s="33" t="s">
        <v>48</v>
      </c>
      <c r="D40" s="33" t="s">
        <v>49</v>
      </c>
      <c r="E40" s="33" t="s">
        <v>50</v>
      </c>
      <c r="F40" s="33" t="s">
        <v>51</v>
      </c>
      <c r="G40" s="33"/>
      <c r="H40" s="33"/>
      <c r="I40" s="47"/>
      <c r="J40" s="30"/>
      <c r="L40" s="33" t="s">
        <v>27</v>
      </c>
      <c r="M40" s="33" t="s">
        <v>46</v>
      </c>
      <c r="N40" s="33" t="s">
        <v>35</v>
      </c>
      <c r="O40" s="33" t="s">
        <v>47</v>
      </c>
      <c r="P40" s="33"/>
      <c r="Q40" s="34"/>
      <c r="R40" s="34"/>
      <c r="S40" s="18"/>
      <c r="T40" s="35"/>
    </row>
    <row r="41" spans="1:22" s="19" customFormat="1" x14ac:dyDescent="0.2">
      <c r="A41" s="18"/>
      <c r="C41" s="43">
        <v>42794</v>
      </c>
      <c r="D41" s="36">
        <v>1.65</v>
      </c>
      <c r="E41" s="36"/>
      <c r="F41" s="36"/>
      <c r="G41" s="36"/>
      <c r="H41" s="36"/>
      <c r="I41" s="47"/>
      <c r="J41" s="18"/>
      <c r="L41" s="43">
        <v>43131</v>
      </c>
      <c r="M41" s="36">
        <v>400</v>
      </c>
      <c r="N41" s="36"/>
      <c r="O41" s="36"/>
      <c r="P41" s="36"/>
      <c r="Q41" s="24"/>
      <c r="R41" s="24"/>
      <c r="S41" s="37"/>
      <c r="T41" s="38"/>
      <c r="U41" s="38"/>
      <c r="V41" s="38"/>
    </row>
    <row r="42" spans="1:22" s="19" customFormat="1" x14ac:dyDescent="0.2">
      <c r="A42" s="18"/>
      <c r="C42" s="42">
        <v>42825</v>
      </c>
      <c r="D42" s="39">
        <v>2.7568000000000001</v>
      </c>
      <c r="E42" s="39"/>
      <c r="F42" s="39"/>
      <c r="G42" s="39"/>
      <c r="H42" s="39"/>
      <c r="I42" s="47"/>
      <c r="J42" s="18"/>
      <c r="L42" s="42">
        <v>43159</v>
      </c>
      <c r="M42" s="39">
        <v>80</v>
      </c>
      <c r="N42" s="39"/>
      <c r="O42" s="39"/>
      <c r="P42" s="39"/>
      <c r="Q42" s="24"/>
      <c r="R42" s="24"/>
      <c r="S42" s="37"/>
      <c r="T42" s="40"/>
      <c r="U42" s="41"/>
      <c r="V42" s="41"/>
    </row>
    <row r="43" spans="1:22" s="19" customFormat="1" x14ac:dyDescent="0.2">
      <c r="A43" s="18"/>
      <c r="C43" s="43">
        <v>42855</v>
      </c>
      <c r="D43" s="36">
        <v>2.9222000000000001</v>
      </c>
      <c r="E43" s="36"/>
      <c r="F43" s="36"/>
      <c r="G43" s="36"/>
      <c r="H43" s="36"/>
      <c r="I43" s="47"/>
      <c r="J43" s="18"/>
      <c r="L43" s="43">
        <v>43220</v>
      </c>
      <c r="M43" s="36">
        <v>150</v>
      </c>
      <c r="N43" s="36"/>
      <c r="O43" s="36"/>
      <c r="P43" s="36"/>
      <c r="Q43" s="24"/>
      <c r="R43" s="24"/>
      <c r="S43" s="37"/>
      <c r="T43" s="40"/>
      <c r="U43" s="41"/>
      <c r="V43" s="41"/>
    </row>
    <row r="44" spans="1:22" s="19" customFormat="1" x14ac:dyDescent="0.2">
      <c r="A44" s="18"/>
      <c r="C44" s="42">
        <v>42886</v>
      </c>
      <c r="D44" s="39">
        <v>3.7</v>
      </c>
      <c r="E44" s="39"/>
      <c r="F44" s="39"/>
      <c r="G44" s="39"/>
      <c r="H44" s="39"/>
      <c r="I44" s="47"/>
      <c r="J44" s="18"/>
      <c r="L44" s="42">
        <v>43251</v>
      </c>
      <c r="M44" s="39">
        <v>159.1</v>
      </c>
      <c r="N44" s="39"/>
      <c r="O44" s="39"/>
      <c r="P44" s="39"/>
      <c r="Q44" s="24"/>
      <c r="R44" s="24"/>
      <c r="S44" s="37"/>
      <c r="T44" s="40"/>
      <c r="U44" s="41"/>
      <c r="V44" s="41"/>
    </row>
    <row r="45" spans="1:22" s="19" customFormat="1" x14ac:dyDescent="0.2">
      <c r="A45" s="18"/>
      <c r="C45" s="43">
        <v>42916</v>
      </c>
      <c r="D45" s="36">
        <v>3.89</v>
      </c>
      <c r="E45" s="36"/>
      <c r="F45" s="36"/>
      <c r="G45" s="36"/>
      <c r="H45" s="36"/>
      <c r="I45" s="47"/>
      <c r="J45" s="18"/>
      <c r="L45" s="43">
        <v>43281</v>
      </c>
      <c r="M45" s="36">
        <v>81.7</v>
      </c>
      <c r="N45" s="36">
        <v>64.7</v>
      </c>
      <c r="O45" s="36">
        <v>140.19999999999999</v>
      </c>
      <c r="P45" s="36"/>
      <c r="Q45" s="24"/>
      <c r="R45" s="24"/>
      <c r="S45" s="37"/>
      <c r="T45" s="40"/>
      <c r="U45" s="41"/>
      <c r="V45" s="41"/>
    </row>
    <row r="46" spans="1:22" s="19" customFormat="1" x14ac:dyDescent="0.2">
      <c r="A46" s="18"/>
      <c r="C46" s="42">
        <v>42947</v>
      </c>
      <c r="D46" s="39">
        <v>4.2</v>
      </c>
      <c r="E46" s="39"/>
      <c r="F46" s="39"/>
      <c r="G46" s="39"/>
      <c r="H46" s="39"/>
      <c r="I46" s="47"/>
      <c r="J46" s="18"/>
      <c r="L46" s="42">
        <v>43312</v>
      </c>
      <c r="M46" s="39">
        <v>67.2</v>
      </c>
      <c r="N46" s="39">
        <v>45.6</v>
      </c>
      <c r="O46" s="39">
        <v>143.6</v>
      </c>
      <c r="P46" s="39"/>
      <c r="Q46" s="24"/>
      <c r="R46" s="24"/>
      <c r="S46" s="37"/>
      <c r="T46" s="40"/>
      <c r="U46" s="41"/>
      <c r="V46" s="41"/>
    </row>
    <row r="47" spans="1:22" s="19" customFormat="1" x14ac:dyDescent="0.2">
      <c r="A47" s="18"/>
      <c r="C47" s="43">
        <v>42978</v>
      </c>
      <c r="D47" s="36">
        <v>5.4</v>
      </c>
      <c r="E47" s="36"/>
      <c r="F47" s="36"/>
      <c r="G47" s="36"/>
      <c r="H47" s="36"/>
      <c r="I47" s="47"/>
      <c r="J47" s="18"/>
      <c r="L47" s="43">
        <v>43343</v>
      </c>
      <c r="M47" s="36">
        <v>59.8</v>
      </c>
      <c r="N47" s="36">
        <v>39.700000000000003</v>
      </c>
      <c r="O47" s="36">
        <v>139.80000000000001</v>
      </c>
      <c r="P47" s="36"/>
      <c r="Q47" s="24"/>
      <c r="R47" s="24"/>
      <c r="S47" s="37"/>
      <c r="T47" s="40"/>
      <c r="U47" s="41"/>
      <c r="V47" s="41"/>
    </row>
    <row r="48" spans="1:22" s="19" customFormat="1" x14ac:dyDescent="0.2">
      <c r="A48" s="18"/>
      <c r="C48" s="42">
        <v>43008</v>
      </c>
      <c r="D48" s="39">
        <v>5.8</v>
      </c>
      <c r="E48" s="39"/>
      <c r="F48" s="39"/>
      <c r="G48" s="39"/>
      <c r="H48" s="39"/>
      <c r="I48" s="47"/>
      <c r="J48" s="18"/>
      <c r="L48" s="42">
        <v>43373</v>
      </c>
      <c r="M48" s="39">
        <v>68.599999999999994</v>
      </c>
      <c r="N48" s="39">
        <v>58.4</v>
      </c>
      <c r="O48" s="39">
        <v>105.8</v>
      </c>
      <c r="P48" s="39"/>
      <c r="Q48" s="24"/>
      <c r="R48" s="24"/>
      <c r="S48" s="37"/>
      <c r="T48" s="40"/>
      <c r="U48" s="41"/>
      <c r="V48" s="41"/>
    </row>
    <row r="49" spans="1:22" s="19" customFormat="1" x14ac:dyDescent="0.2">
      <c r="A49" s="18"/>
      <c r="C49" s="43">
        <v>43039</v>
      </c>
      <c r="D49" s="36">
        <v>6.5</v>
      </c>
      <c r="E49" s="36"/>
      <c r="F49" s="36"/>
      <c r="G49" s="36"/>
      <c r="H49" s="36"/>
      <c r="I49" s="47"/>
      <c r="J49" s="18"/>
      <c r="L49" s="43">
        <v>43404</v>
      </c>
      <c r="M49" s="36">
        <v>85.8</v>
      </c>
      <c r="N49" s="36">
        <v>81.8</v>
      </c>
      <c r="O49" s="36">
        <v>102.3</v>
      </c>
      <c r="P49" s="36"/>
      <c r="Q49" s="24"/>
      <c r="R49" s="24"/>
      <c r="S49" s="37"/>
      <c r="T49" s="40"/>
      <c r="U49" s="41"/>
      <c r="V49" s="41"/>
    </row>
    <row r="50" spans="1:22" s="19" customFormat="1" x14ac:dyDescent="0.2">
      <c r="A50" s="18"/>
      <c r="C50" s="42">
        <v>43069</v>
      </c>
      <c r="D50" s="39">
        <v>7</v>
      </c>
      <c r="E50" s="39"/>
      <c r="F50" s="39"/>
      <c r="G50" s="39"/>
      <c r="H50" s="39"/>
      <c r="I50" s="47"/>
      <c r="J50" s="18"/>
      <c r="L50" s="42">
        <v>43434</v>
      </c>
      <c r="M50" s="39">
        <v>58.6</v>
      </c>
      <c r="N50" s="39">
        <v>50.9</v>
      </c>
      <c r="O50" s="39">
        <v>94.8</v>
      </c>
      <c r="P50" s="39"/>
      <c r="Q50" s="24"/>
      <c r="R50" s="24"/>
      <c r="S50" s="37"/>
      <c r="T50" s="40"/>
      <c r="U50" s="41"/>
      <c r="V50" s="41"/>
    </row>
    <row r="51" spans="1:22" s="19" customFormat="1" x14ac:dyDescent="0.2">
      <c r="A51" s="18"/>
      <c r="C51" s="43">
        <v>43100</v>
      </c>
      <c r="D51" s="36">
        <v>10</v>
      </c>
      <c r="E51" s="36"/>
      <c r="F51" s="36"/>
      <c r="G51" s="36"/>
      <c r="H51" s="36"/>
      <c r="I51" s="47"/>
      <c r="J51" s="18"/>
      <c r="L51" s="43">
        <v>43465</v>
      </c>
      <c r="M51" s="36">
        <v>77.7</v>
      </c>
      <c r="N51" s="36">
        <v>77.900000000000006</v>
      </c>
      <c r="O51" s="36">
        <v>76.8</v>
      </c>
      <c r="P51" s="36"/>
      <c r="Q51" s="24"/>
      <c r="R51" s="24"/>
      <c r="S51" s="37"/>
      <c r="T51" s="40"/>
      <c r="U51" s="41"/>
      <c r="V51" s="41"/>
    </row>
    <row r="52" spans="1:22" s="19" customFormat="1" x14ac:dyDescent="0.2">
      <c r="A52" s="18"/>
      <c r="C52" s="42">
        <v>43131</v>
      </c>
      <c r="D52" s="39">
        <v>3</v>
      </c>
      <c r="E52" s="39"/>
      <c r="F52" s="39"/>
      <c r="G52" s="39"/>
      <c r="H52" s="39"/>
      <c r="I52" s="47"/>
      <c r="J52" s="18"/>
      <c r="L52" s="42">
        <v>43496</v>
      </c>
      <c r="M52" s="39">
        <v>196.5</v>
      </c>
      <c r="N52" s="39">
        <v>276.10000000000002</v>
      </c>
      <c r="O52" s="39">
        <v>62.7</v>
      </c>
      <c r="P52" s="39"/>
      <c r="Q52" s="24"/>
      <c r="R52" s="24"/>
      <c r="S52" s="37"/>
      <c r="T52" s="40"/>
      <c r="U52" s="41"/>
      <c r="V52" s="41"/>
    </row>
    <row r="53" spans="1:22" s="19" customFormat="1" x14ac:dyDescent="0.2">
      <c r="A53" s="18"/>
      <c r="C53" s="43">
        <v>43159</v>
      </c>
      <c r="D53" s="36">
        <v>2.9</v>
      </c>
      <c r="E53" s="36"/>
      <c r="F53" s="36"/>
      <c r="G53" s="36"/>
      <c r="H53" s="36"/>
      <c r="I53" s="47"/>
      <c r="J53" s="18"/>
      <c r="L53" s="43">
        <v>43524</v>
      </c>
      <c r="M53" s="36">
        <v>63.6</v>
      </c>
      <c r="N53" s="36">
        <v>105.3</v>
      </c>
      <c r="O53" s="36">
        <v>-16</v>
      </c>
      <c r="P53" s="36"/>
      <c r="Q53" s="24"/>
      <c r="R53" s="24"/>
      <c r="S53" s="37"/>
      <c r="T53" s="40"/>
      <c r="U53" s="41"/>
      <c r="V53" s="41"/>
    </row>
    <row r="54" spans="1:22" s="19" customFormat="1" x14ac:dyDescent="0.2">
      <c r="A54" s="18"/>
      <c r="C54" s="42">
        <v>43220</v>
      </c>
      <c r="D54" s="39">
        <v>7.3</v>
      </c>
      <c r="E54" s="39"/>
      <c r="F54" s="39"/>
      <c r="G54" s="39"/>
      <c r="H54" s="39"/>
      <c r="I54" s="47"/>
      <c r="J54" s="18"/>
      <c r="L54" s="42">
        <v>43555</v>
      </c>
      <c r="M54" s="39">
        <v>101</v>
      </c>
      <c r="N54" s="39">
        <v>126.3</v>
      </c>
      <c r="O54" s="39">
        <v>28.1</v>
      </c>
      <c r="P54" s="39"/>
      <c r="Q54" s="24"/>
      <c r="R54" s="24"/>
      <c r="S54" s="37"/>
      <c r="T54" s="40"/>
      <c r="U54" s="41"/>
      <c r="V54" s="41"/>
    </row>
    <row r="55" spans="1:22" s="19" customFormat="1" x14ac:dyDescent="0.2">
      <c r="A55" s="18"/>
      <c r="C55" s="43">
        <v>43251</v>
      </c>
      <c r="D55" s="36">
        <v>9.1999999999999993</v>
      </c>
      <c r="E55" s="36"/>
      <c r="F55" s="36"/>
      <c r="G55" s="36"/>
      <c r="H55" s="36"/>
      <c r="I55" s="47"/>
      <c r="J55" s="18"/>
      <c r="L55" s="43">
        <v>43585</v>
      </c>
      <c r="M55" s="36">
        <v>24.5</v>
      </c>
      <c r="N55" s="36">
        <v>21.5</v>
      </c>
      <c r="O55" s="36">
        <v>34.799999999999997</v>
      </c>
      <c r="P55" s="36"/>
      <c r="Q55" s="24"/>
      <c r="R55" s="24"/>
      <c r="S55" s="37"/>
      <c r="T55" s="40"/>
      <c r="U55" s="41"/>
      <c r="V55" s="41"/>
    </row>
    <row r="56" spans="1:22" s="19" customFormat="1" x14ac:dyDescent="0.2">
      <c r="A56" s="18"/>
      <c r="C56" s="42">
        <v>43281</v>
      </c>
      <c r="D56" s="39">
        <v>7.1398000000000001</v>
      </c>
      <c r="E56" s="39">
        <v>5.0183</v>
      </c>
      <c r="F56" s="39">
        <v>2.1215000000000002</v>
      </c>
      <c r="G56" s="39"/>
      <c r="H56" s="39"/>
      <c r="I56" s="47"/>
      <c r="J56" s="18"/>
      <c r="L56" s="42">
        <v>43616</v>
      </c>
      <c r="M56" s="39">
        <v>1.6</v>
      </c>
      <c r="N56" s="39">
        <v>0.9</v>
      </c>
      <c r="O56" s="39">
        <v>4.3</v>
      </c>
      <c r="P56" s="39"/>
      <c r="Q56" s="24"/>
      <c r="R56" s="24"/>
      <c r="S56" s="37"/>
      <c r="T56" s="40"/>
      <c r="U56" s="41"/>
      <c r="V56" s="41"/>
    </row>
    <row r="57" spans="1:22" s="19" customFormat="1" x14ac:dyDescent="0.2">
      <c r="A57" s="18"/>
      <c r="C57" s="43">
        <v>43312</v>
      </c>
      <c r="D57" s="36">
        <v>6.8299000000000003</v>
      </c>
      <c r="E57" s="36">
        <v>4.6340000000000003</v>
      </c>
      <c r="F57" s="36">
        <v>2.1959</v>
      </c>
      <c r="G57" s="36"/>
      <c r="H57" s="36"/>
      <c r="I57" s="47"/>
      <c r="J57" s="18"/>
      <c r="L57" s="43">
        <v>43646</v>
      </c>
      <c r="M57" s="36">
        <v>105</v>
      </c>
      <c r="N57" s="36">
        <v>143.80000000000001</v>
      </c>
      <c r="O57" s="36">
        <v>20.399999999999999</v>
      </c>
      <c r="P57" s="36"/>
      <c r="Q57" s="24"/>
      <c r="R57" s="24"/>
      <c r="S57" s="37"/>
      <c r="T57" s="40"/>
      <c r="U57" s="41"/>
      <c r="V57" s="41"/>
    </row>
    <row r="58" spans="1:22" s="19" customFormat="1" x14ac:dyDescent="0.2">
      <c r="A58" s="18"/>
      <c r="C58" s="42">
        <v>43343</v>
      </c>
      <c r="D58" s="39">
        <v>8.2510999999999992</v>
      </c>
      <c r="E58" s="39">
        <v>5.7655000000000003</v>
      </c>
      <c r="F58" s="39">
        <v>2.4855999999999998</v>
      </c>
      <c r="G58" s="39"/>
      <c r="H58" s="39"/>
      <c r="I58" s="47"/>
      <c r="J58" s="18"/>
      <c r="L58" s="42">
        <v>43677</v>
      </c>
      <c r="M58" s="39">
        <v>-6.6</v>
      </c>
      <c r="N58" s="39">
        <v>1.3</v>
      </c>
      <c r="O58" s="39">
        <v>-24</v>
      </c>
      <c r="P58" s="39"/>
      <c r="Q58" s="24"/>
      <c r="R58" s="24"/>
      <c r="S58" s="37"/>
      <c r="T58" s="40"/>
      <c r="U58" s="41"/>
      <c r="V58" s="41"/>
    </row>
    <row r="59" spans="1:22" s="19" customFormat="1" x14ac:dyDescent="0.2">
      <c r="A59" s="18"/>
      <c r="C59" s="43">
        <v>43373</v>
      </c>
      <c r="D59" s="36">
        <v>9.4785000000000004</v>
      </c>
      <c r="E59" s="36">
        <v>7.0004999999999997</v>
      </c>
      <c r="F59" s="36">
        <v>2.4780000000000002</v>
      </c>
      <c r="G59" s="36"/>
      <c r="H59" s="36"/>
      <c r="I59" s="47"/>
      <c r="J59" s="18"/>
      <c r="L59" s="43">
        <v>43708</v>
      </c>
      <c r="M59" s="36">
        <v>-23.4</v>
      </c>
      <c r="N59" s="36">
        <v>-15.6</v>
      </c>
      <c r="O59" s="36">
        <v>-42</v>
      </c>
      <c r="P59" s="36"/>
      <c r="Q59" s="24"/>
      <c r="R59" s="24"/>
      <c r="S59" s="37"/>
      <c r="T59" s="40"/>
      <c r="U59" s="41"/>
      <c r="V59" s="41"/>
    </row>
    <row r="60" spans="1:22" s="19" customFormat="1" x14ac:dyDescent="0.2">
      <c r="A60" s="18"/>
      <c r="C60" s="42">
        <v>43404</v>
      </c>
      <c r="D60" s="39">
        <v>11.6492</v>
      </c>
      <c r="E60" s="39">
        <v>9.1905000000000001</v>
      </c>
      <c r="F60" s="39">
        <v>2.4586999999999999</v>
      </c>
      <c r="G60" s="39"/>
      <c r="H60" s="39"/>
      <c r="I60" s="47"/>
      <c r="J60" s="18"/>
      <c r="L60" s="42">
        <v>43738</v>
      </c>
      <c r="M60" s="39">
        <v>-34.799999999999997</v>
      </c>
      <c r="N60" s="39">
        <v>-34.9</v>
      </c>
      <c r="O60" s="39">
        <v>-34.5</v>
      </c>
      <c r="P60" s="39"/>
      <c r="Q60" s="24"/>
      <c r="R60" s="24"/>
      <c r="S60" s="37"/>
      <c r="T60" s="40"/>
      <c r="U60" s="41"/>
      <c r="V60" s="41"/>
    </row>
    <row r="61" spans="1:22" s="19" customFormat="1" x14ac:dyDescent="0.2">
      <c r="A61" s="18"/>
      <c r="C61" s="43">
        <v>43434</v>
      </c>
      <c r="D61" s="36">
        <v>12.952199999999999</v>
      </c>
      <c r="E61" s="36">
        <v>10.186</v>
      </c>
      <c r="F61" s="36">
        <v>2.7662</v>
      </c>
      <c r="G61" s="36"/>
      <c r="H61" s="36"/>
      <c r="I61" s="47"/>
      <c r="J61" s="18"/>
      <c r="L61" s="43">
        <v>43769</v>
      </c>
      <c r="M61" s="36">
        <v>-46</v>
      </c>
      <c r="N61" s="36">
        <v>-49.5</v>
      </c>
      <c r="O61" s="36">
        <v>-32.700000000000003</v>
      </c>
      <c r="P61" s="36"/>
      <c r="Q61" s="24"/>
      <c r="R61" s="24"/>
      <c r="S61" s="37"/>
      <c r="T61" s="40"/>
      <c r="U61" s="41"/>
      <c r="V61" s="41"/>
    </row>
    <row r="62" spans="1:22" s="19" customFormat="1" x14ac:dyDescent="0.2">
      <c r="A62" s="18"/>
      <c r="C62" s="42">
        <v>43465</v>
      </c>
      <c r="D62" s="39">
        <v>15.8255</v>
      </c>
      <c r="E62" s="39">
        <v>13.023300000000001</v>
      </c>
      <c r="F62" s="39">
        <v>2.8022</v>
      </c>
      <c r="G62" s="39"/>
      <c r="H62" s="39"/>
      <c r="I62" s="47"/>
      <c r="J62" s="18"/>
      <c r="L62" s="42">
        <v>43799</v>
      </c>
      <c r="M62" s="39">
        <v>-45.8</v>
      </c>
      <c r="N62" s="39">
        <v>-44.2</v>
      </c>
      <c r="O62" s="39">
        <v>-51.9</v>
      </c>
      <c r="P62" s="39"/>
      <c r="Q62" s="24"/>
      <c r="R62" s="24"/>
      <c r="S62" s="37"/>
      <c r="T62" s="40"/>
      <c r="U62" s="41"/>
      <c r="V62" s="41"/>
    </row>
    <row r="63" spans="1:22" s="19" customFormat="1" x14ac:dyDescent="0.2">
      <c r="A63" s="18"/>
      <c r="C63" s="43">
        <v>43496</v>
      </c>
      <c r="D63" s="36">
        <v>9.5879999999999992</v>
      </c>
      <c r="E63" s="36">
        <v>7.6238999999999999</v>
      </c>
      <c r="F63" s="36">
        <v>1.9641</v>
      </c>
      <c r="G63" s="36"/>
      <c r="H63" s="36"/>
      <c r="I63" s="47"/>
      <c r="J63" s="18"/>
      <c r="L63" s="43">
        <v>43830</v>
      </c>
      <c r="M63" s="36">
        <v>-17.399999999999999</v>
      </c>
      <c r="N63" s="36">
        <v>-10.9</v>
      </c>
      <c r="O63" s="36">
        <v>-47.8</v>
      </c>
      <c r="P63" s="36"/>
      <c r="Q63" s="24"/>
      <c r="R63" s="24"/>
      <c r="S63" s="37"/>
      <c r="T63" s="40"/>
      <c r="U63" s="41"/>
      <c r="V63" s="41"/>
    </row>
    <row r="64" spans="1:22" s="19" customFormat="1" x14ac:dyDescent="0.2">
      <c r="A64" s="18"/>
      <c r="C64" s="42">
        <v>43524</v>
      </c>
      <c r="D64" s="39">
        <v>4.6505000000000001</v>
      </c>
      <c r="E64" s="39">
        <v>3.8296000000000001</v>
      </c>
      <c r="F64" s="39">
        <v>0.82089999999999996</v>
      </c>
      <c r="G64" s="39"/>
      <c r="H64" s="39"/>
      <c r="I64" s="47"/>
      <c r="J64" s="18"/>
      <c r="L64" s="42">
        <v>43861</v>
      </c>
      <c r="M64" s="39">
        <v>-58.3</v>
      </c>
      <c r="N64" s="39">
        <v>-61.7</v>
      </c>
      <c r="O64" s="39">
        <v>-44.7</v>
      </c>
      <c r="P64" s="39"/>
      <c r="Q64" s="24"/>
      <c r="R64" s="24"/>
      <c r="S64" s="37"/>
      <c r="T64" s="40"/>
      <c r="U64" s="41"/>
      <c r="V64" s="41"/>
    </row>
    <row r="65" spans="1:22" s="19" customFormat="1" x14ac:dyDescent="0.2">
      <c r="A65" s="18"/>
      <c r="C65" s="43">
        <v>43555</v>
      </c>
      <c r="D65" s="36">
        <v>10.5502</v>
      </c>
      <c r="E65" s="36">
        <v>8.8186999999999998</v>
      </c>
      <c r="F65" s="36">
        <v>1.7315</v>
      </c>
      <c r="G65" s="36"/>
      <c r="H65" s="36"/>
      <c r="I65" s="47"/>
      <c r="J65" s="18"/>
      <c r="L65" s="43">
        <v>43890</v>
      </c>
      <c r="M65" s="36">
        <v>-69.5</v>
      </c>
      <c r="N65" s="36">
        <v>-65.900000000000006</v>
      </c>
      <c r="O65" s="36">
        <v>-86.6</v>
      </c>
      <c r="P65" s="36"/>
      <c r="Q65" s="24"/>
      <c r="R65" s="24"/>
      <c r="S65" s="37"/>
      <c r="T65" s="40"/>
      <c r="U65" s="41"/>
      <c r="V65" s="41"/>
    </row>
    <row r="66" spans="1:22" s="19" customFormat="1" x14ac:dyDescent="0.2">
      <c r="A66" s="18"/>
      <c r="C66" s="42">
        <v>43585</v>
      </c>
      <c r="D66" s="39">
        <v>8.5535999999999994</v>
      </c>
      <c r="E66" s="39">
        <v>6.4271000000000003</v>
      </c>
      <c r="F66" s="39">
        <v>2.1265000000000001</v>
      </c>
      <c r="G66" s="39"/>
      <c r="H66" s="39"/>
      <c r="I66" s="47"/>
      <c r="J66" s="18"/>
      <c r="L66" s="42">
        <v>43921</v>
      </c>
      <c r="M66" s="39">
        <v>-48.6</v>
      </c>
      <c r="N66" s="39">
        <v>-49.3</v>
      </c>
      <c r="O66" s="39">
        <v>-45.5</v>
      </c>
      <c r="P66" s="39"/>
      <c r="Q66" s="24"/>
      <c r="R66" s="24"/>
      <c r="S66" s="37"/>
      <c r="T66" s="40"/>
      <c r="U66" s="41"/>
      <c r="V66" s="41"/>
    </row>
    <row r="67" spans="1:22" s="19" customFormat="1" x14ac:dyDescent="0.2">
      <c r="A67" s="18"/>
      <c r="C67" s="43">
        <v>43616</v>
      </c>
      <c r="D67" s="36">
        <v>9.3704000000000001</v>
      </c>
      <c r="E67" s="36">
        <v>7.4118000000000004</v>
      </c>
      <c r="F67" s="36">
        <v>1.9585999999999999</v>
      </c>
      <c r="G67" s="36"/>
      <c r="H67" s="36"/>
      <c r="I67" s="47"/>
      <c r="J67" s="18"/>
      <c r="L67" s="43">
        <v>43951</v>
      </c>
      <c r="M67" s="36">
        <v>-34.5</v>
      </c>
      <c r="N67" s="36">
        <v>-33.6</v>
      </c>
      <c r="O67" s="36">
        <v>-37.5</v>
      </c>
      <c r="P67" s="36"/>
      <c r="Q67" s="24"/>
      <c r="R67" s="24"/>
      <c r="S67" s="37"/>
      <c r="T67" s="40"/>
      <c r="U67" s="41"/>
      <c r="V67" s="41"/>
    </row>
    <row r="68" spans="1:22" s="19" customFormat="1" x14ac:dyDescent="0.2">
      <c r="A68" s="18"/>
      <c r="C68" s="42">
        <v>43646</v>
      </c>
      <c r="D68" s="39">
        <v>13.8421</v>
      </c>
      <c r="E68" s="39">
        <v>11.2879</v>
      </c>
      <c r="F68" s="39">
        <v>2.5541999999999998</v>
      </c>
      <c r="G68" s="39"/>
      <c r="H68" s="39"/>
      <c r="I68" s="47"/>
      <c r="J68" s="18"/>
      <c r="L68" s="42">
        <v>43982</v>
      </c>
      <c r="M68" s="39">
        <v>-27</v>
      </c>
      <c r="N68" s="39">
        <v>-26.6</v>
      </c>
      <c r="O68" s="39">
        <v>-28.1</v>
      </c>
      <c r="P68" s="39"/>
      <c r="Q68" s="24"/>
      <c r="R68" s="24"/>
      <c r="S68" s="37"/>
      <c r="T68" s="40"/>
      <c r="U68" s="41"/>
      <c r="V68" s="41"/>
    </row>
    <row r="69" spans="1:22" s="19" customFormat="1" x14ac:dyDescent="0.2">
      <c r="A69" s="18"/>
      <c r="C69" s="43">
        <v>43677</v>
      </c>
      <c r="D69" s="36">
        <v>6.5457000000000001</v>
      </c>
      <c r="E69" s="36">
        <v>4.8765000000000001</v>
      </c>
      <c r="F69" s="36">
        <v>1.6692</v>
      </c>
      <c r="G69" s="36"/>
      <c r="H69" s="36"/>
      <c r="I69" s="47"/>
      <c r="J69" s="18"/>
      <c r="L69" s="43">
        <v>44012</v>
      </c>
      <c r="M69" s="36">
        <v>-38.9</v>
      </c>
      <c r="N69" s="36">
        <v>-39.799999999999997</v>
      </c>
      <c r="O69" s="36">
        <v>-35.4</v>
      </c>
      <c r="P69" s="36"/>
      <c r="Q69" s="24"/>
      <c r="R69" s="24"/>
      <c r="S69" s="37"/>
      <c r="T69" s="40"/>
      <c r="U69" s="41"/>
      <c r="V69" s="41"/>
    </row>
    <row r="70" spans="1:22" s="19" customFormat="1" x14ac:dyDescent="0.2">
      <c r="A70" s="18"/>
      <c r="C70" s="42">
        <v>43708</v>
      </c>
      <c r="D70" s="39">
        <v>6.4551999999999996</v>
      </c>
      <c r="E70" s="39">
        <v>5.0140000000000002</v>
      </c>
      <c r="F70" s="39">
        <v>1.4412</v>
      </c>
      <c r="G70" s="39"/>
      <c r="H70" s="39"/>
      <c r="I70" s="47"/>
      <c r="J70" s="18"/>
      <c r="L70" s="42">
        <v>44043</v>
      </c>
      <c r="M70" s="39">
        <v>30.4</v>
      </c>
      <c r="N70" s="39">
        <v>43.6</v>
      </c>
      <c r="O70" s="39">
        <v>-6.5</v>
      </c>
      <c r="P70" s="39"/>
      <c r="Q70" s="24"/>
      <c r="R70" s="24"/>
      <c r="S70" s="37"/>
      <c r="T70" s="40"/>
      <c r="U70" s="41"/>
      <c r="V70" s="41"/>
    </row>
    <row r="71" spans="1:22" s="19" customFormat="1" x14ac:dyDescent="0.2">
      <c r="A71" s="18"/>
      <c r="C71" s="43">
        <v>43738</v>
      </c>
      <c r="D71" s="36">
        <v>6.1818</v>
      </c>
      <c r="E71" s="36">
        <v>4.5586000000000002</v>
      </c>
      <c r="F71" s="36">
        <v>1.6232</v>
      </c>
      <c r="G71" s="36"/>
      <c r="H71" s="36"/>
      <c r="I71" s="47"/>
      <c r="J71" s="18"/>
      <c r="L71" s="43">
        <v>44074</v>
      </c>
      <c r="M71" s="36">
        <v>47.2</v>
      </c>
      <c r="N71" s="36">
        <v>54.9</v>
      </c>
      <c r="O71" s="36">
        <v>20.9</v>
      </c>
      <c r="P71" s="36"/>
      <c r="Q71" s="24"/>
      <c r="R71" s="24"/>
      <c r="S71" s="37"/>
      <c r="T71" s="40"/>
      <c r="U71" s="41"/>
      <c r="V71" s="41"/>
    </row>
    <row r="72" spans="1:22" s="19" customFormat="1" x14ac:dyDescent="0.2">
      <c r="A72" s="18"/>
      <c r="C72" s="42">
        <v>43769</v>
      </c>
      <c r="D72" s="39">
        <v>6.3028000000000004</v>
      </c>
      <c r="E72" s="39">
        <v>4.6482999999999999</v>
      </c>
      <c r="F72" s="39">
        <v>1.6545000000000001</v>
      </c>
      <c r="G72" s="39"/>
      <c r="H72" s="39"/>
      <c r="I72" s="47"/>
      <c r="J72" s="18"/>
      <c r="L72" s="42">
        <v>44104</v>
      </c>
      <c r="M72" s="39">
        <v>84.1</v>
      </c>
      <c r="N72" s="39">
        <v>102.8</v>
      </c>
      <c r="O72" s="39">
        <v>33.6</v>
      </c>
      <c r="P72" s="39"/>
      <c r="Q72" s="24"/>
      <c r="R72" s="24"/>
      <c r="S72" s="37"/>
      <c r="T72" s="40"/>
      <c r="U72" s="41"/>
      <c r="V72" s="41"/>
    </row>
    <row r="73" spans="1:22" s="19" customFormat="1" x14ac:dyDescent="0.2">
      <c r="A73" s="18"/>
      <c r="C73" s="43">
        <v>43799</v>
      </c>
      <c r="D73" s="36">
        <v>7.1223000000000001</v>
      </c>
      <c r="E73" s="36">
        <v>5.7915000000000001</v>
      </c>
      <c r="F73" s="36">
        <v>1.3308</v>
      </c>
      <c r="G73" s="36"/>
      <c r="H73" s="36"/>
      <c r="I73" s="47"/>
      <c r="J73" s="18"/>
      <c r="L73" s="43">
        <v>44135</v>
      </c>
      <c r="M73" s="36">
        <v>111.2</v>
      </c>
      <c r="N73" s="36">
        <v>135.69999999999999</v>
      </c>
      <c r="O73" s="36">
        <v>42.5</v>
      </c>
      <c r="P73" s="36"/>
      <c r="Q73" s="24"/>
      <c r="R73" s="24"/>
      <c r="S73" s="37"/>
      <c r="T73" s="40"/>
      <c r="U73" s="41"/>
      <c r="V73" s="41"/>
    </row>
    <row r="74" spans="1:22" s="19" customFormat="1" x14ac:dyDescent="0.2">
      <c r="A74" s="18"/>
      <c r="C74" s="42">
        <v>43830</v>
      </c>
      <c r="D74" s="39">
        <v>13.0679</v>
      </c>
      <c r="E74" s="39">
        <v>11.604799999999999</v>
      </c>
      <c r="F74" s="39">
        <v>1.4631000000000001</v>
      </c>
      <c r="G74" s="39"/>
      <c r="H74" s="39"/>
      <c r="I74" s="47"/>
      <c r="J74" s="18"/>
      <c r="L74" s="42">
        <v>44165</v>
      </c>
      <c r="M74" s="39">
        <v>138.69999999999999</v>
      </c>
      <c r="N74" s="39">
        <v>148</v>
      </c>
      <c r="O74" s="39">
        <v>98.1</v>
      </c>
      <c r="P74" s="39"/>
      <c r="Q74" s="24"/>
      <c r="R74" s="24"/>
      <c r="S74" s="37"/>
      <c r="T74" s="40"/>
      <c r="U74" s="41"/>
      <c r="V74" s="41"/>
    </row>
    <row r="75" spans="1:22" s="19" customFormat="1" x14ac:dyDescent="0.2">
      <c r="A75" s="18"/>
      <c r="C75" s="43">
        <v>43861</v>
      </c>
      <c r="D75" s="36">
        <v>4.0827</v>
      </c>
      <c r="E75" s="36">
        <v>2.9967999999999999</v>
      </c>
      <c r="F75" s="36">
        <v>1.0859000000000001</v>
      </c>
      <c r="G75" s="36"/>
      <c r="H75" s="36"/>
      <c r="I75" s="47"/>
      <c r="J75" s="18"/>
      <c r="L75" s="43">
        <v>44196</v>
      </c>
      <c r="M75" s="36">
        <v>59.6</v>
      </c>
      <c r="N75" s="36">
        <v>51.6</v>
      </c>
      <c r="O75" s="36">
        <v>118.2</v>
      </c>
      <c r="P75" s="36"/>
      <c r="Q75" s="24"/>
      <c r="R75" s="24"/>
      <c r="S75" s="37"/>
      <c r="T75" s="40"/>
      <c r="U75" s="41"/>
      <c r="V75" s="41"/>
    </row>
    <row r="76" spans="1:22" s="19" customFormat="1" x14ac:dyDescent="0.2">
      <c r="A76" s="18"/>
      <c r="C76" s="42">
        <v>43890</v>
      </c>
      <c r="D76" s="39">
        <v>1.4249000000000001</v>
      </c>
      <c r="E76" s="39">
        <v>1.3149</v>
      </c>
      <c r="F76" s="39">
        <v>0.11</v>
      </c>
      <c r="G76" s="39"/>
      <c r="H76" s="39"/>
      <c r="I76" s="47"/>
      <c r="J76" s="18"/>
      <c r="L76" s="42">
        <v>44227</v>
      </c>
      <c r="M76" s="39">
        <v>274.60000000000002</v>
      </c>
      <c r="N76" s="39">
        <v>293.7</v>
      </c>
      <c r="O76" s="39">
        <v>205</v>
      </c>
      <c r="P76" s="39"/>
      <c r="Q76" s="24"/>
      <c r="R76" s="24"/>
      <c r="S76" s="37"/>
      <c r="T76" s="40"/>
      <c r="U76" s="41"/>
      <c r="V76" s="41"/>
    </row>
    <row r="77" spans="1:22" s="19" customFormat="1" x14ac:dyDescent="0.2">
      <c r="A77" s="18"/>
      <c r="C77" s="43">
        <v>43921</v>
      </c>
      <c r="D77" s="36">
        <v>5.4353999999999996</v>
      </c>
      <c r="E77" s="36">
        <v>4.492</v>
      </c>
      <c r="F77" s="36">
        <v>0.94340000000000002</v>
      </c>
      <c r="G77" s="36"/>
      <c r="H77" s="36"/>
      <c r="I77" s="47"/>
      <c r="J77" s="18"/>
      <c r="L77" s="43">
        <v>44255</v>
      </c>
      <c r="M77" s="36">
        <v>679.2</v>
      </c>
      <c r="N77" s="36">
        <v>616.1</v>
      </c>
      <c r="O77" s="36">
        <v>1329.6</v>
      </c>
      <c r="P77" s="36"/>
      <c r="Q77" s="24"/>
      <c r="R77" s="24"/>
      <c r="S77" s="37"/>
      <c r="T77" s="40"/>
      <c r="U77" s="41"/>
      <c r="V77" s="41"/>
    </row>
    <row r="78" spans="1:22" s="19" customFormat="1" x14ac:dyDescent="0.2">
      <c r="A78" s="18"/>
      <c r="C78" s="42">
        <v>43951</v>
      </c>
      <c r="D78" s="39">
        <v>5.5751999999999997</v>
      </c>
      <c r="E78" s="39">
        <v>4.2454000000000001</v>
      </c>
      <c r="F78" s="39">
        <v>1.3298000000000001</v>
      </c>
      <c r="G78" s="39"/>
      <c r="H78" s="39"/>
      <c r="I78" s="47"/>
      <c r="J78" s="18"/>
      <c r="L78" s="42">
        <v>44286</v>
      </c>
      <c r="M78" s="39">
        <v>239.6</v>
      </c>
      <c r="N78" s="39">
        <v>235.6</v>
      </c>
      <c r="O78" s="39">
        <v>262</v>
      </c>
      <c r="P78" s="39"/>
      <c r="Q78" s="24"/>
      <c r="R78" s="24"/>
      <c r="S78" s="37"/>
      <c r="T78" s="40"/>
      <c r="U78" s="41"/>
      <c r="V78" s="41"/>
    </row>
    <row r="79" spans="1:22" s="19" customFormat="1" x14ac:dyDescent="0.2">
      <c r="A79" s="18"/>
      <c r="C79" s="43">
        <v>43982</v>
      </c>
      <c r="D79" s="36">
        <v>6.6757999999999997</v>
      </c>
      <c r="E79" s="36">
        <v>5.2672999999999996</v>
      </c>
      <c r="F79" s="36">
        <v>1.4085000000000001</v>
      </c>
      <c r="G79" s="36"/>
      <c r="H79" s="36"/>
      <c r="I79" s="47"/>
      <c r="J79" s="18"/>
      <c r="L79" s="43">
        <v>44316</v>
      </c>
      <c r="M79" s="36">
        <v>189.8</v>
      </c>
      <c r="N79" s="36">
        <v>208.4</v>
      </c>
      <c r="O79" s="36">
        <v>130.30000000000001</v>
      </c>
      <c r="P79" s="36"/>
      <c r="Q79" s="24"/>
      <c r="R79" s="24"/>
      <c r="S79" s="37"/>
    </row>
    <row r="80" spans="1:22" s="19" customFormat="1" x14ac:dyDescent="0.2">
      <c r="A80" s="18"/>
      <c r="C80" s="42">
        <v>44012</v>
      </c>
      <c r="D80" s="39">
        <v>8.3277999999999999</v>
      </c>
      <c r="E80" s="39">
        <v>6.6771000000000003</v>
      </c>
      <c r="F80" s="39">
        <v>1.6507000000000001</v>
      </c>
      <c r="G80" s="39"/>
      <c r="H80" s="39"/>
      <c r="I80" s="47"/>
      <c r="J80" s="18"/>
      <c r="L80" s="42">
        <v>44347</v>
      </c>
      <c r="M80" s="39">
        <v>179.9</v>
      </c>
      <c r="N80" s="39">
        <v>194.6</v>
      </c>
      <c r="O80" s="39">
        <v>124.9</v>
      </c>
      <c r="P80" s="39"/>
      <c r="Q80" s="24"/>
      <c r="R80" s="24"/>
      <c r="S80" s="37"/>
    </row>
    <row r="81" spans="1:19" s="19" customFormat="1" x14ac:dyDescent="0.2">
      <c r="A81" s="18"/>
      <c r="C81" s="43">
        <v>44043</v>
      </c>
      <c r="D81" s="36">
        <v>8.2568000000000001</v>
      </c>
      <c r="E81" s="36">
        <v>6.6992000000000003</v>
      </c>
      <c r="F81" s="36">
        <v>1.5576000000000001</v>
      </c>
      <c r="G81" s="36"/>
      <c r="H81" s="36"/>
      <c r="I81" s="47"/>
      <c r="J81" s="18"/>
      <c r="L81" s="43">
        <v>44377</v>
      </c>
      <c r="M81" s="36">
        <v>177.7</v>
      </c>
      <c r="N81" s="36">
        <v>181.7</v>
      </c>
      <c r="O81" s="36">
        <v>161.4</v>
      </c>
      <c r="P81" s="36"/>
      <c r="Q81" s="24"/>
      <c r="R81" s="24"/>
      <c r="S81" s="37"/>
    </row>
    <row r="82" spans="1:19" s="19" customFormat="1" x14ac:dyDescent="0.2">
      <c r="A82" s="18"/>
      <c r="C82" s="42">
        <v>44074</v>
      </c>
      <c r="D82" s="39">
        <v>9.3297000000000008</v>
      </c>
      <c r="E82" s="39">
        <v>7.5879000000000003</v>
      </c>
      <c r="F82" s="39">
        <v>1.7418</v>
      </c>
      <c r="G82" s="39"/>
      <c r="H82" s="39"/>
      <c r="I82" s="47"/>
      <c r="J82" s="18"/>
      <c r="L82" s="42">
        <v>44408</v>
      </c>
      <c r="M82" s="39">
        <v>169.4</v>
      </c>
      <c r="N82" s="39">
        <v>164.9</v>
      </c>
      <c r="O82" s="39">
        <v>188.7</v>
      </c>
      <c r="P82" s="39"/>
      <c r="Q82" s="24"/>
      <c r="R82" s="24"/>
      <c r="S82" s="37"/>
    </row>
    <row r="83" spans="1:19" s="19" customFormat="1" x14ac:dyDescent="0.2">
      <c r="A83" s="18"/>
      <c r="C83" s="43">
        <v>44104</v>
      </c>
      <c r="D83" s="36">
        <v>11.041600000000001</v>
      </c>
      <c r="E83" s="36">
        <v>8.8733000000000004</v>
      </c>
      <c r="F83" s="36">
        <v>2.1682999999999999</v>
      </c>
      <c r="G83" s="36"/>
      <c r="H83" s="36"/>
      <c r="I83" s="47"/>
      <c r="J83" s="18"/>
      <c r="L83" s="43">
        <v>44439</v>
      </c>
      <c r="M83" s="36">
        <v>168</v>
      </c>
      <c r="N83" s="36">
        <v>162.19999999999999</v>
      </c>
      <c r="O83" s="36">
        <v>193.3</v>
      </c>
      <c r="P83" s="36"/>
      <c r="Q83" s="24"/>
      <c r="R83" s="24"/>
      <c r="S83" s="37"/>
    </row>
    <row r="84" spans="1:19" s="19" customFormat="1" x14ac:dyDescent="0.2">
      <c r="A84" s="18"/>
      <c r="C84" s="42">
        <v>44135</v>
      </c>
      <c r="D84" s="39">
        <v>13.314500000000001</v>
      </c>
      <c r="E84" s="39">
        <v>10.956200000000001</v>
      </c>
      <c r="F84" s="39">
        <v>2.3582999999999998</v>
      </c>
      <c r="G84" s="39"/>
      <c r="H84" s="39"/>
      <c r="I84" s="47"/>
      <c r="J84" s="18"/>
      <c r="L84" s="42">
        <v>44469</v>
      </c>
      <c r="M84" s="39">
        <v>202.1</v>
      </c>
      <c r="N84" s="39">
        <v>211.9</v>
      </c>
      <c r="O84" s="39">
        <v>161.80000000000001</v>
      </c>
      <c r="P84" s="39"/>
      <c r="Q84" s="24"/>
      <c r="R84" s="24"/>
      <c r="S84" s="37"/>
    </row>
    <row r="85" spans="1:19" s="19" customFormat="1" x14ac:dyDescent="0.2">
      <c r="A85" s="18"/>
      <c r="C85" s="43">
        <v>44165</v>
      </c>
      <c r="D85" s="36">
        <v>17.036100000000001</v>
      </c>
      <c r="E85" s="36">
        <v>14.399699999999999</v>
      </c>
      <c r="F85" s="36">
        <v>2.6364000000000001</v>
      </c>
      <c r="G85" s="36"/>
      <c r="H85" s="36"/>
      <c r="I85" s="47"/>
      <c r="J85" s="18"/>
      <c r="L85" s="43">
        <v>44500</v>
      </c>
      <c r="M85" s="36">
        <v>138.1</v>
      </c>
      <c r="N85" s="36">
        <v>132.9</v>
      </c>
      <c r="O85" s="36">
        <v>162.4</v>
      </c>
      <c r="P85" s="36"/>
      <c r="Q85" s="24"/>
      <c r="R85" s="24"/>
      <c r="S85" s="37"/>
    </row>
    <row r="86" spans="1:19" s="19" customFormat="1" x14ac:dyDescent="0.2">
      <c r="A86" s="18"/>
      <c r="C86" s="42">
        <v>44196</v>
      </c>
      <c r="D86" s="39">
        <v>20.786999999999999</v>
      </c>
      <c r="E86" s="39">
        <v>17.3703</v>
      </c>
      <c r="F86" s="39">
        <v>3.4167000000000001</v>
      </c>
      <c r="G86" s="39"/>
      <c r="H86" s="39"/>
      <c r="I86" s="47"/>
      <c r="J86" s="18"/>
      <c r="L86" s="42">
        <v>44530</v>
      </c>
      <c r="M86" s="39">
        <v>122.3</v>
      </c>
      <c r="N86" s="39">
        <v>109.6</v>
      </c>
      <c r="O86" s="39">
        <v>191.2</v>
      </c>
      <c r="P86" s="39"/>
      <c r="Q86" s="24"/>
      <c r="R86" s="24"/>
      <c r="S86" s="37"/>
    </row>
    <row r="87" spans="1:19" s="19" customFormat="1" x14ac:dyDescent="0.2">
      <c r="A87" s="18"/>
      <c r="C87" s="43">
        <v>44227</v>
      </c>
      <c r="D87" s="36">
        <v>15.5388</v>
      </c>
      <c r="E87" s="36">
        <v>12.8241</v>
      </c>
      <c r="F87" s="36">
        <v>2.7147000000000001</v>
      </c>
      <c r="G87" s="36"/>
      <c r="H87" s="36"/>
      <c r="I87" s="47"/>
      <c r="J87" s="18"/>
      <c r="L87" s="43">
        <v>44561</v>
      </c>
      <c r="M87" s="36">
        <v>128.9</v>
      </c>
      <c r="N87" s="36">
        <v>126.4</v>
      </c>
      <c r="O87" s="36">
        <v>141.6</v>
      </c>
      <c r="P87" s="36"/>
      <c r="Q87" s="24"/>
      <c r="R87" s="24"/>
      <c r="S87" s="37"/>
    </row>
    <row r="88" spans="1:19" s="19" customFormat="1" x14ac:dyDescent="0.2">
      <c r="A88" s="18"/>
      <c r="C88" s="42">
        <v>44255</v>
      </c>
      <c r="D88" s="39">
        <v>9.7058999999999997</v>
      </c>
      <c r="E88" s="39">
        <v>8.1333000000000002</v>
      </c>
      <c r="F88" s="39">
        <v>1.5726</v>
      </c>
      <c r="G88" s="39"/>
      <c r="H88" s="39"/>
      <c r="I88" s="47"/>
      <c r="J88" s="18"/>
      <c r="L88" s="42">
        <v>44592</v>
      </c>
      <c r="M88" s="39">
        <v>135.69999999999999</v>
      </c>
      <c r="N88" s="39">
        <v>121.2</v>
      </c>
      <c r="O88" s="39">
        <v>207.5</v>
      </c>
      <c r="P88" s="39"/>
      <c r="Q88" s="24"/>
      <c r="R88" s="24"/>
      <c r="S88" s="37"/>
    </row>
    <row r="89" spans="1:19" s="19" customFormat="1" x14ac:dyDescent="0.2">
      <c r="A89" s="18"/>
      <c r="C89" s="43">
        <v>44286</v>
      </c>
      <c r="D89" s="36">
        <v>18.532800000000002</v>
      </c>
      <c r="E89" s="36">
        <v>15.545500000000001</v>
      </c>
      <c r="F89" s="36">
        <v>2.9872999999999998</v>
      </c>
      <c r="G89" s="36"/>
      <c r="H89" s="36"/>
      <c r="I89" s="47"/>
      <c r="J89" s="18"/>
      <c r="L89" s="43">
        <v>44620</v>
      </c>
      <c r="M89" s="36">
        <v>180.9</v>
      </c>
      <c r="N89" s="36">
        <v>148.6</v>
      </c>
      <c r="O89" s="36">
        <v>369.3</v>
      </c>
      <c r="P89" s="36"/>
      <c r="Q89" s="24"/>
      <c r="R89" s="24"/>
      <c r="S89" s="37"/>
    </row>
    <row r="90" spans="1:19" s="19" customFormat="1" x14ac:dyDescent="0.2">
      <c r="A90" s="18"/>
      <c r="C90" s="42">
        <v>44316</v>
      </c>
      <c r="D90" s="39">
        <v>16.1418</v>
      </c>
      <c r="E90" s="39">
        <v>13.078799999999999</v>
      </c>
      <c r="F90" s="39">
        <v>3.0630000000000002</v>
      </c>
      <c r="G90" s="39"/>
      <c r="H90" s="39"/>
      <c r="I90" s="47"/>
      <c r="J90" s="18"/>
      <c r="L90" s="42">
        <v>44651</v>
      </c>
      <c r="M90" s="39">
        <v>137.6</v>
      </c>
      <c r="N90" s="39">
        <v>126.7</v>
      </c>
      <c r="O90" s="39">
        <v>198.6</v>
      </c>
      <c r="P90" s="39"/>
      <c r="Q90" s="24"/>
      <c r="R90" s="24"/>
      <c r="S90" s="37"/>
    </row>
    <row r="91" spans="1:19" s="19" customFormat="1" x14ac:dyDescent="0.2">
      <c r="A91" s="18"/>
      <c r="C91" s="43">
        <v>44347</v>
      </c>
      <c r="D91" s="36">
        <v>18.7316</v>
      </c>
      <c r="E91" s="36">
        <v>15.5634</v>
      </c>
      <c r="F91" s="36">
        <v>3.1682000000000001</v>
      </c>
      <c r="G91" s="36"/>
      <c r="H91" s="36"/>
      <c r="I91" s="47"/>
      <c r="J91" s="18"/>
      <c r="L91" s="43">
        <v>44681</v>
      </c>
      <c r="M91" s="36">
        <v>78.5</v>
      </c>
      <c r="N91" s="36">
        <v>63.1</v>
      </c>
      <c r="O91" s="36">
        <v>149.6</v>
      </c>
      <c r="P91" s="36"/>
      <c r="Q91" s="24"/>
      <c r="R91" s="24"/>
      <c r="S91" s="37"/>
    </row>
    <row r="92" spans="1:19" s="19" customFormat="1" x14ac:dyDescent="0.2">
      <c r="A92" s="18"/>
      <c r="C92" s="42">
        <v>44377</v>
      </c>
      <c r="D92" s="39">
        <v>22.9634</v>
      </c>
      <c r="E92" s="39">
        <v>18.648599999999998</v>
      </c>
      <c r="F92" s="39">
        <v>4.3148</v>
      </c>
      <c r="G92" s="39"/>
      <c r="H92" s="39"/>
      <c r="I92" s="47"/>
      <c r="J92" s="18"/>
      <c r="L92" s="42">
        <v>44712</v>
      </c>
      <c r="M92" s="39">
        <v>91.2</v>
      </c>
      <c r="N92" s="39">
        <v>71.2</v>
      </c>
      <c r="O92" s="39">
        <v>189.8</v>
      </c>
      <c r="P92" s="39"/>
      <c r="Q92" s="24"/>
      <c r="R92" s="24"/>
      <c r="S92" s="37"/>
    </row>
    <row r="93" spans="1:19" s="19" customFormat="1" x14ac:dyDescent="0.2">
      <c r="A93" s="18"/>
      <c r="C93" s="43">
        <v>44408</v>
      </c>
      <c r="D93" s="36">
        <v>22.223299999999998</v>
      </c>
      <c r="E93" s="36">
        <v>17.7258</v>
      </c>
      <c r="F93" s="36">
        <v>4.4974999999999996</v>
      </c>
      <c r="G93" s="36"/>
      <c r="H93" s="36"/>
      <c r="I93" s="47"/>
      <c r="J93" s="18"/>
      <c r="L93" s="43">
        <v>44742</v>
      </c>
      <c r="M93" s="36">
        <v>130.6</v>
      </c>
      <c r="N93" s="36">
        <v>126</v>
      </c>
      <c r="O93" s="36">
        <v>150.6</v>
      </c>
      <c r="P93" s="36"/>
      <c r="Q93" s="24"/>
      <c r="R93" s="24"/>
      <c r="S93" s="37"/>
    </row>
    <row r="94" spans="1:19" s="19" customFormat="1" x14ac:dyDescent="0.2">
      <c r="A94" s="18"/>
      <c r="C94" s="42">
        <v>44439</v>
      </c>
      <c r="D94" s="39">
        <v>24.9588</v>
      </c>
      <c r="E94" s="39">
        <v>19.849499999999999</v>
      </c>
      <c r="F94" s="39">
        <v>5.1093000000000002</v>
      </c>
      <c r="G94" s="39"/>
      <c r="H94" s="39"/>
      <c r="I94" s="47"/>
      <c r="J94" s="18"/>
      <c r="L94" s="42">
        <v>44773</v>
      </c>
      <c r="M94" s="39">
        <v>117.3</v>
      </c>
      <c r="N94" s="39">
        <v>102.6</v>
      </c>
      <c r="O94" s="39">
        <v>175.7</v>
      </c>
      <c r="P94" s="39"/>
      <c r="Q94" s="24"/>
      <c r="R94" s="24"/>
      <c r="S94" s="37"/>
    </row>
    <row r="95" spans="1:19" s="19" customFormat="1" x14ac:dyDescent="0.2">
      <c r="A95" s="18"/>
      <c r="C95" s="43">
        <v>44469</v>
      </c>
      <c r="D95" s="36">
        <v>33.353200000000001</v>
      </c>
      <c r="E95" s="36">
        <v>27.676600000000001</v>
      </c>
      <c r="F95" s="36">
        <v>5.6765999999999996</v>
      </c>
      <c r="G95" s="36"/>
      <c r="H95" s="36"/>
      <c r="I95" s="47"/>
      <c r="J95" s="18"/>
      <c r="L95" s="43">
        <v>44804</v>
      </c>
      <c r="M95" s="36">
        <v>111.4</v>
      </c>
      <c r="N95" s="36">
        <v>98.9</v>
      </c>
      <c r="O95" s="36">
        <v>160.30000000000001</v>
      </c>
      <c r="P95" s="36"/>
      <c r="Q95" s="24"/>
      <c r="R95" s="24"/>
      <c r="S95" s="37"/>
    </row>
    <row r="96" spans="1:19" s="19" customFormat="1" x14ac:dyDescent="0.2">
      <c r="A96" s="18"/>
      <c r="C96" s="42">
        <v>44500</v>
      </c>
      <c r="D96" s="39">
        <v>31.7029</v>
      </c>
      <c r="E96" s="39">
        <v>25.5139</v>
      </c>
      <c r="F96" s="39">
        <v>6.1890000000000001</v>
      </c>
      <c r="G96" s="39"/>
      <c r="H96" s="39"/>
      <c r="I96" s="47"/>
      <c r="J96" s="18"/>
      <c r="L96" s="42">
        <v>44834</v>
      </c>
      <c r="M96" s="39">
        <v>82.9</v>
      </c>
      <c r="N96" s="39">
        <v>64.8</v>
      </c>
      <c r="O96" s="39">
        <v>170.7</v>
      </c>
      <c r="P96" s="39"/>
      <c r="Q96" s="24"/>
      <c r="R96" s="24"/>
      <c r="S96" s="37"/>
    </row>
    <row r="97" spans="1:19" s="19" customFormat="1" x14ac:dyDescent="0.2">
      <c r="A97" s="18"/>
      <c r="C97" s="43">
        <v>44530</v>
      </c>
      <c r="D97" s="36">
        <v>37.848700000000001</v>
      </c>
      <c r="E97" s="36">
        <v>30.172499999999999</v>
      </c>
      <c r="F97" s="36">
        <v>7.6761999999999997</v>
      </c>
      <c r="G97" s="36"/>
      <c r="H97" s="36"/>
      <c r="I97" s="47"/>
      <c r="J97" s="18"/>
      <c r="L97" s="43">
        <v>44865</v>
      </c>
      <c r="M97" s="36">
        <v>74.900000000000006</v>
      </c>
      <c r="N97" s="36">
        <v>55.2</v>
      </c>
      <c r="O97" s="36">
        <v>156.30000000000001</v>
      </c>
      <c r="P97" s="36"/>
      <c r="Q97" s="24"/>
      <c r="R97" s="24"/>
      <c r="S97" s="37"/>
    </row>
    <row r="98" spans="1:19" s="19" customFormat="1" x14ac:dyDescent="0.2">
      <c r="A98" s="18"/>
      <c r="C98" s="42">
        <v>44561</v>
      </c>
      <c r="D98" s="39">
        <v>47.488700000000001</v>
      </c>
      <c r="E98" s="39">
        <v>39.234099999999998</v>
      </c>
      <c r="F98" s="39">
        <v>8.2545999999999999</v>
      </c>
      <c r="G98" s="39"/>
      <c r="H98" s="39"/>
      <c r="I98" s="47"/>
      <c r="J98" s="18"/>
      <c r="L98" s="42">
        <v>44895</v>
      </c>
      <c r="M98" s="39">
        <v>58.3</v>
      </c>
      <c r="N98" s="39">
        <v>44.4</v>
      </c>
      <c r="O98" s="39">
        <v>112.5</v>
      </c>
      <c r="P98" s="39"/>
      <c r="Q98" s="24"/>
      <c r="R98" s="24"/>
      <c r="S98" s="37"/>
    </row>
    <row r="99" spans="1:19" s="19" customFormat="1" x14ac:dyDescent="0.2">
      <c r="A99" s="18"/>
      <c r="C99" s="43">
        <v>44592</v>
      </c>
      <c r="D99" s="36">
        <v>35.232900000000001</v>
      </c>
      <c r="E99" s="36">
        <v>27.488700000000001</v>
      </c>
      <c r="F99" s="36">
        <v>7.7442000000000002</v>
      </c>
      <c r="G99" s="36"/>
      <c r="H99" s="36"/>
      <c r="I99" s="47"/>
      <c r="J99" s="18"/>
      <c r="L99" s="43">
        <v>44926</v>
      </c>
      <c r="M99" s="36">
        <v>35.200000000000003</v>
      </c>
      <c r="N99" s="36">
        <v>16.600000000000001</v>
      </c>
      <c r="O99" s="36">
        <v>123.6</v>
      </c>
      <c r="P99" s="36"/>
      <c r="Q99" s="24"/>
      <c r="R99" s="24"/>
      <c r="S99" s="37"/>
    </row>
    <row r="100" spans="1:19" s="19" customFormat="1" x14ac:dyDescent="0.2">
      <c r="A100" s="18"/>
      <c r="C100" s="42">
        <v>44620</v>
      </c>
      <c r="D100" s="39">
        <v>27.2624</v>
      </c>
      <c r="E100" s="39">
        <v>20.601500000000001</v>
      </c>
      <c r="F100" s="39">
        <v>6.6608999999999998</v>
      </c>
      <c r="G100" s="39"/>
      <c r="H100" s="39"/>
      <c r="I100" s="47"/>
      <c r="J100" s="18"/>
      <c r="L100" s="42">
        <v>44957</v>
      </c>
      <c r="M100" s="39">
        <v>-6.4</v>
      </c>
      <c r="N100" s="39">
        <v>-22.3</v>
      </c>
      <c r="O100" s="39">
        <v>48.8</v>
      </c>
      <c r="P100" s="39"/>
      <c r="Q100" s="24"/>
      <c r="R100" s="24"/>
      <c r="S100" s="37"/>
    </row>
    <row r="101" spans="1:19" s="19" customFormat="1" x14ac:dyDescent="0.2">
      <c r="A101" s="18"/>
      <c r="C101" s="43">
        <v>44651</v>
      </c>
      <c r="D101" s="36">
        <v>44.465499999999999</v>
      </c>
      <c r="E101" s="36">
        <v>36.003599999999999</v>
      </c>
      <c r="F101" s="36">
        <v>8.4619</v>
      </c>
      <c r="G101" s="36"/>
      <c r="H101" s="36"/>
      <c r="I101" s="47"/>
      <c r="J101" s="18"/>
      <c r="L101" s="43">
        <v>44985</v>
      </c>
      <c r="M101" s="36">
        <v>60.9</v>
      </c>
      <c r="N101" s="36">
        <v>43</v>
      </c>
      <c r="O101" s="36">
        <v>116.3</v>
      </c>
      <c r="P101" s="36"/>
      <c r="Q101" s="24"/>
      <c r="R101" s="24"/>
      <c r="S101" s="37"/>
    </row>
    <row r="102" spans="1:19" s="19" customFormat="1" x14ac:dyDescent="0.2">
      <c r="A102" s="18"/>
      <c r="C102" s="42">
        <v>44681</v>
      </c>
      <c r="D102" s="39">
        <v>28.248699999999999</v>
      </c>
      <c r="E102" s="39">
        <v>21.241399999999999</v>
      </c>
      <c r="F102" s="39">
        <v>7.0072999999999999</v>
      </c>
      <c r="G102" s="39"/>
      <c r="H102" s="39"/>
      <c r="I102" s="47"/>
      <c r="J102" s="18"/>
      <c r="L102" s="42">
        <v>45016</v>
      </c>
      <c r="M102" s="39">
        <v>22.6</v>
      </c>
      <c r="N102" s="39">
        <v>7.3</v>
      </c>
      <c r="O102" s="39">
        <v>87.6</v>
      </c>
      <c r="P102" s="39"/>
      <c r="Q102" s="24"/>
      <c r="R102" s="24"/>
      <c r="S102" s="37"/>
    </row>
    <row r="103" spans="1:19" s="19" customFormat="1" x14ac:dyDescent="0.2">
      <c r="A103" s="18"/>
      <c r="C103" s="43">
        <v>44712</v>
      </c>
      <c r="D103" s="36">
        <v>35.950099999999999</v>
      </c>
      <c r="E103" s="36">
        <v>26.769600000000001</v>
      </c>
      <c r="F103" s="36">
        <v>9.1805000000000003</v>
      </c>
      <c r="G103" s="36"/>
      <c r="H103" s="36"/>
      <c r="I103" s="47"/>
      <c r="J103" s="18"/>
      <c r="L103" s="43">
        <v>45046</v>
      </c>
      <c r="M103" s="36">
        <v>84.8</v>
      </c>
      <c r="N103" s="36">
        <v>69.400000000000006</v>
      </c>
      <c r="O103" s="36">
        <v>131.1</v>
      </c>
      <c r="P103" s="36"/>
      <c r="Q103" s="24"/>
      <c r="R103" s="24"/>
      <c r="S103" s="37"/>
    </row>
    <row r="104" spans="1:19" s="19" customFormat="1" x14ac:dyDescent="0.2">
      <c r="A104" s="18"/>
      <c r="C104" s="42">
        <v>44742</v>
      </c>
      <c r="D104" s="39">
        <v>53.147199999999998</v>
      </c>
      <c r="E104" s="39">
        <v>42.332500000000003</v>
      </c>
      <c r="F104" s="39">
        <v>10.8147</v>
      </c>
      <c r="G104" s="39"/>
      <c r="H104" s="39"/>
      <c r="I104" s="47"/>
      <c r="J104" s="18"/>
      <c r="L104" s="42">
        <v>45077</v>
      </c>
      <c r="M104" s="39">
        <v>61.317492999999999</v>
      </c>
      <c r="N104" s="39">
        <v>45</v>
      </c>
      <c r="O104" s="39">
        <v>106.8</v>
      </c>
      <c r="P104" s="39"/>
      <c r="Q104" s="24"/>
      <c r="R104" s="24"/>
      <c r="S104" s="37"/>
    </row>
    <row r="105" spans="1:19" s="19" customFormat="1" x14ac:dyDescent="0.2">
      <c r="A105" s="18"/>
      <c r="C105" s="43">
        <v>44773</v>
      </c>
      <c r="D105" s="36">
        <v>48.604399999999998</v>
      </c>
      <c r="E105" s="36">
        <v>36.203600000000002</v>
      </c>
      <c r="F105" s="36">
        <v>12.4008</v>
      </c>
      <c r="G105" s="36"/>
      <c r="H105" s="36"/>
      <c r="I105" s="47"/>
      <c r="J105" s="18"/>
      <c r="L105" s="43">
        <v>45107</v>
      </c>
      <c r="M105" s="36">
        <v>25.2</v>
      </c>
      <c r="N105" s="36">
        <v>6</v>
      </c>
      <c r="O105" s="36">
        <v>100.2</v>
      </c>
      <c r="P105" s="36"/>
      <c r="Q105" s="24"/>
      <c r="R105" s="24"/>
      <c r="S105" s="37"/>
    </row>
    <row r="106" spans="1:19" s="19" customFormat="1" x14ac:dyDescent="0.2">
      <c r="A106" s="18"/>
      <c r="C106" s="42">
        <v>44804</v>
      </c>
      <c r="D106" s="39">
        <v>52.956499999999998</v>
      </c>
      <c r="E106" s="39">
        <v>39.659700000000001</v>
      </c>
      <c r="F106" s="39">
        <v>13.296799999999999</v>
      </c>
      <c r="G106" s="39"/>
      <c r="H106" s="39"/>
      <c r="I106" s="47"/>
      <c r="J106" s="18"/>
      <c r="L106" s="42">
        <v>45138</v>
      </c>
      <c r="M106" s="39">
        <v>31.9</v>
      </c>
      <c r="N106" s="39">
        <v>16.399999999999999</v>
      </c>
      <c r="O106" s="39">
        <v>76.900000000000006</v>
      </c>
      <c r="P106" s="39"/>
      <c r="Q106" s="24"/>
      <c r="R106" s="24"/>
      <c r="S106" s="37"/>
    </row>
    <row r="107" spans="1:19" s="19" customFormat="1" x14ac:dyDescent="0.2">
      <c r="A107" s="18"/>
      <c r="C107" s="43">
        <v>44834</v>
      </c>
      <c r="D107" s="36">
        <v>61.085299999999997</v>
      </c>
      <c r="E107" s="36">
        <v>45.651499999999999</v>
      </c>
      <c r="F107" s="36">
        <v>15.4338</v>
      </c>
      <c r="G107" s="36"/>
      <c r="H107" s="36"/>
      <c r="I107" s="47"/>
      <c r="J107" s="18"/>
      <c r="L107" s="43">
        <v>45169</v>
      </c>
      <c r="M107" s="36">
        <v>34.5</v>
      </c>
      <c r="N107" s="36">
        <v>22.8</v>
      </c>
      <c r="O107" s="36">
        <v>69.900000000000006</v>
      </c>
      <c r="P107" s="36"/>
      <c r="Q107" s="24"/>
      <c r="R107" s="24"/>
      <c r="S107" s="37"/>
    </row>
    <row r="108" spans="1:19" s="19" customFormat="1" x14ac:dyDescent="0.2">
      <c r="A108" s="18"/>
      <c r="C108" s="42">
        <v>44865</v>
      </c>
      <c r="D108" s="39">
        <v>55.4664</v>
      </c>
      <c r="E108" s="39">
        <v>39.606999999999999</v>
      </c>
      <c r="F108" s="39">
        <v>15.859400000000001</v>
      </c>
      <c r="G108" s="39"/>
      <c r="H108" s="39"/>
      <c r="I108" s="47"/>
      <c r="J108" s="18"/>
      <c r="L108" s="42">
        <v>45199</v>
      </c>
      <c r="M108" s="39">
        <v>22.1</v>
      </c>
      <c r="N108" s="39">
        <v>9.4</v>
      </c>
      <c r="O108" s="39">
        <v>59.7</v>
      </c>
      <c r="P108" s="39"/>
      <c r="Q108" s="24"/>
      <c r="R108" s="24"/>
      <c r="S108" s="37"/>
    </row>
    <row r="109" spans="1:19" s="19" customFormat="1" x14ac:dyDescent="0.2">
      <c r="A109" s="18"/>
      <c r="C109" s="43">
        <v>44895</v>
      </c>
      <c r="D109" s="36">
        <v>59.810299999999998</v>
      </c>
      <c r="E109" s="36">
        <v>43.4495</v>
      </c>
      <c r="F109" s="36">
        <v>16.360800000000001</v>
      </c>
      <c r="G109" s="36"/>
      <c r="H109" s="36"/>
      <c r="I109" s="47"/>
      <c r="J109" s="18"/>
      <c r="L109" s="43">
        <v>45230</v>
      </c>
      <c r="M109" s="36">
        <v>38.5</v>
      </c>
      <c r="N109" s="36">
        <v>25.4</v>
      </c>
      <c r="O109" s="36">
        <v>71.3</v>
      </c>
      <c r="P109" s="36"/>
      <c r="Q109" s="24"/>
      <c r="R109" s="24"/>
      <c r="S109" s="37"/>
    </row>
    <row r="110" spans="1:19" s="19" customFormat="1" x14ac:dyDescent="0.2">
      <c r="A110" s="18"/>
      <c r="C110" s="42">
        <v>44926</v>
      </c>
      <c r="D110" s="39">
        <v>64.006</v>
      </c>
      <c r="E110" s="39">
        <v>45.552199999999999</v>
      </c>
      <c r="F110" s="39">
        <v>18.453800000000001</v>
      </c>
      <c r="G110" s="39"/>
      <c r="H110" s="39"/>
      <c r="I110" s="47"/>
      <c r="J110" s="18"/>
      <c r="L110" s="42">
        <v>45260</v>
      </c>
      <c r="M110" s="39">
        <v>39.799999999999997</v>
      </c>
      <c r="N110" s="39">
        <v>26.1</v>
      </c>
      <c r="O110" s="39">
        <v>76.400000000000006</v>
      </c>
      <c r="P110" s="39"/>
      <c r="Q110" s="24"/>
      <c r="R110" s="24"/>
      <c r="S110" s="37"/>
    </row>
    <row r="111" spans="1:19" s="19" customFormat="1" x14ac:dyDescent="0.2">
      <c r="A111" s="18"/>
      <c r="C111" s="43">
        <v>44957</v>
      </c>
      <c r="D111" s="36">
        <v>33.154200000000003</v>
      </c>
      <c r="E111" s="36">
        <v>21.369</v>
      </c>
      <c r="F111" s="36">
        <v>11.7852</v>
      </c>
      <c r="G111" s="36"/>
      <c r="H111" s="36"/>
      <c r="I111" s="47"/>
      <c r="J111" s="18"/>
      <c r="L111" s="43">
        <v>45291</v>
      </c>
      <c r="M111" s="36">
        <v>47.8</v>
      </c>
      <c r="N111" s="36">
        <v>31.2</v>
      </c>
      <c r="O111" s="36">
        <v>88.6</v>
      </c>
      <c r="P111" s="36"/>
      <c r="Q111" s="24"/>
      <c r="R111" s="24"/>
      <c r="S111" s="37"/>
    </row>
    <row r="112" spans="1:19" s="19" customFormat="1" x14ac:dyDescent="0.2">
      <c r="A112" s="18"/>
      <c r="C112" s="42">
        <v>44985</v>
      </c>
      <c r="D112" s="39">
        <v>43.906799999999997</v>
      </c>
      <c r="E112" s="39">
        <v>29.452999999999999</v>
      </c>
      <c r="F112" s="39">
        <v>14.453799999999999</v>
      </c>
      <c r="G112" s="39"/>
      <c r="H112" s="39"/>
      <c r="I112" s="47"/>
      <c r="J112" s="18"/>
      <c r="L112" s="42">
        <v>45322</v>
      </c>
      <c r="M112" s="39">
        <v>101.8</v>
      </c>
      <c r="N112" s="39">
        <v>76.7</v>
      </c>
      <c r="O112" s="39">
        <v>147.19999999999999</v>
      </c>
      <c r="P112" s="39"/>
      <c r="Q112" s="24"/>
      <c r="R112" s="24"/>
      <c r="S112" s="37"/>
    </row>
    <row r="113" spans="1:19" s="19" customFormat="1" x14ac:dyDescent="0.2">
      <c r="A113" s="18"/>
      <c r="C113" s="43">
        <v>45016</v>
      </c>
      <c r="D113" s="36">
        <v>54.573900000000002</v>
      </c>
      <c r="E113" s="36">
        <v>38.617400000000004</v>
      </c>
      <c r="F113" s="36">
        <v>15.9565</v>
      </c>
      <c r="G113" s="36"/>
      <c r="H113" s="36"/>
      <c r="I113" s="47"/>
      <c r="J113" s="18"/>
      <c r="L113" s="43"/>
      <c r="M113" s="36"/>
      <c r="N113" s="36"/>
      <c r="O113" s="36"/>
      <c r="P113" s="36"/>
      <c r="Q113" s="24"/>
      <c r="R113" s="24"/>
      <c r="S113" s="37"/>
    </row>
    <row r="114" spans="1:19" s="19" customFormat="1" x14ac:dyDescent="0.2">
      <c r="A114" s="18"/>
      <c r="C114" s="42">
        <v>45046</v>
      </c>
      <c r="D114" s="39">
        <v>52.472999999999999</v>
      </c>
      <c r="E114" s="39">
        <v>36.093299999999999</v>
      </c>
      <c r="F114" s="39">
        <v>16.3797</v>
      </c>
      <c r="G114" s="39"/>
      <c r="H114" s="39"/>
      <c r="I114" s="47"/>
      <c r="J114" s="18"/>
      <c r="L114" s="42"/>
      <c r="M114" s="39"/>
      <c r="N114" s="39"/>
      <c r="O114" s="39"/>
      <c r="P114" s="39"/>
      <c r="Q114" s="24"/>
      <c r="R114" s="24"/>
      <c r="S114" s="37"/>
    </row>
    <row r="115" spans="1:19" s="19" customFormat="1" x14ac:dyDescent="0.2">
      <c r="A115" s="18"/>
      <c r="C115" s="43">
        <v>45077</v>
      </c>
      <c r="D115" s="36">
        <v>57.9938</v>
      </c>
      <c r="E115" s="36">
        <v>38.828800000000001</v>
      </c>
      <c r="F115" s="36">
        <v>19.164999999999999</v>
      </c>
      <c r="G115" s="36"/>
      <c r="H115" s="36"/>
      <c r="I115" s="47"/>
      <c r="J115" s="18"/>
      <c r="L115" s="43"/>
      <c r="M115" s="36"/>
      <c r="N115" s="36"/>
      <c r="O115" s="36"/>
      <c r="P115" s="36"/>
      <c r="Q115" s="24"/>
      <c r="R115" s="24"/>
      <c r="S115" s="37"/>
    </row>
    <row r="116" spans="1:19" s="19" customFormat="1" x14ac:dyDescent="0.2">
      <c r="A116" s="18"/>
      <c r="C116" s="42">
        <v>45107</v>
      </c>
      <c r="D116" s="39">
        <v>66.542699999999996</v>
      </c>
      <c r="E116" s="39">
        <v>44.862900000000003</v>
      </c>
      <c r="F116" s="39">
        <v>21.6798</v>
      </c>
      <c r="G116" s="39"/>
      <c r="H116" s="39"/>
      <c r="I116" s="47"/>
      <c r="J116" s="18"/>
      <c r="L116" s="42"/>
      <c r="M116" s="39"/>
      <c r="N116" s="39"/>
      <c r="O116" s="39"/>
      <c r="P116" s="39"/>
      <c r="Q116" s="24"/>
      <c r="R116" s="24"/>
      <c r="S116" s="37"/>
    </row>
    <row r="117" spans="1:19" s="19" customFormat="1" x14ac:dyDescent="0.2">
      <c r="A117" s="18"/>
      <c r="C117" s="43">
        <v>45138</v>
      </c>
      <c r="D117" s="36">
        <v>64.100499999999997</v>
      </c>
      <c r="E117" s="36">
        <v>42.145400000000002</v>
      </c>
      <c r="F117" s="36">
        <v>21.955100000000002</v>
      </c>
      <c r="G117" s="36"/>
      <c r="H117" s="36"/>
      <c r="I117" s="47"/>
      <c r="J117" s="18"/>
      <c r="L117" s="43"/>
      <c r="M117" s="36"/>
      <c r="N117" s="36"/>
      <c r="O117" s="36"/>
      <c r="P117" s="36"/>
      <c r="Q117" s="24"/>
      <c r="R117" s="24"/>
      <c r="S117" s="37"/>
    </row>
    <row r="118" spans="1:19" s="19" customFormat="1" x14ac:dyDescent="0.2">
      <c r="A118" s="18"/>
      <c r="C118" s="42">
        <v>45169</v>
      </c>
      <c r="D118" s="39">
        <v>71.633499999999998</v>
      </c>
      <c r="E118" s="39">
        <v>49.067</v>
      </c>
      <c r="F118" s="39">
        <v>22.566500000000001</v>
      </c>
      <c r="G118" s="39"/>
      <c r="H118" s="39"/>
      <c r="I118" s="47"/>
      <c r="J118" s="18"/>
      <c r="L118" s="42"/>
      <c r="M118" s="39"/>
      <c r="N118" s="39"/>
      <c r="O118" s="39"/>
      <c r="P118" s="39"/>
      <c r="Q118" s="24"/>
      <c r="R118" s="24"/>
      <c r="S118" s="37"/>
    </row>
    <row r="119" spans="1:19" s="19" customFormat="1" x14ac:dyDescent="0.2">
      <c r="A119" s="18"/>
      <c r="C119" s="43">
        <v>45199</v>
      </c>
      <c r="D119" s="36">
        <v>74.630499999999998</v>
      </c>
      <c r="E119" s="36">
        <v>49.981900000000003</v>
      </c>
      <c r="F119" s="36">
        <v>24.648599999999998</v>
      </c>
      <c r="G119" s="36"/>
      <c r="H119" s="36"/>
      <c r="I119" s="47"/>
      <c r="J119" s="18"/>
      <c r="L119" s="43"/>
      <c r="M119" s="36"/>
      <c r="N119" s="36"/>
      <c r="O119" s="36"/>
      <c r="P119" s="36"/>
      <c r="Q119" s="24"/>
      <c r="R119" s="24"/>
      <c r="S119" s="37"/>
    </row>
    <row r="120" spans="1:19" s="19" customFormat="1" x14ac:dyDescent="0.2">
      <c r="A120" s="18"/>
      <c r="C120" s="42">
        <v>45230</v>
      </c>
      <c r="D120" s="39">
        <v>77.179699999999997</v>
      </c>
      <c r="E120" s="39">
        <v>50.0364</v>
      </c>
      <c r="F120" s="39">
        <v>27.1433</v>
      </c>
      <c r="G120" s="39"/>
      <c r="H120" s="39"/>
      <c r="I120" s="47"/>
      <c r="J120" s="18"/>
      <c r="L120" s="42"/>
      <c r="M120" s="39"/>
      <c r="N120" s="39"/>
      <c r="O120" s="39"/>
      <c r="P120" s="39"/>
      <c r="Q120" s="24"/>
      <c r="R120" s="24"/>
      <c r="S120" s="37"/>
    </row>
    <row r="121" spans="1:19" s="19" customFormat="1" x14ac:dyDescent="0.2">
      <c r="A121" s="18"/>
      <c r="C121" s="43">
        <v>45260</v>
      </c>
      <c r="D121" s="36">
        <v>84.05</v>
      </c>
      <c r="E121" s="36">
        <v>55.181399999999996</v>
      </c>
      <c r="F121" s="36">
        <v>28.868600000000001</v>
      </c>
      <c r="G121" s="36"/>
      <c r="H121" s="36"/>
      <c r="I121" s="47"/>
      <c r="J121" s="18"/>
      <c r="L121" s="43"/>
      <c r="M121" s="36"/>
      <c r="N121" s="36"/>
      <c r="O121" s="36"/>
      <c r="P121" s="36"/>
      <c r="Q121" s="24"/>
      <c r="R121" s="24"/>
      <c r="S121" s="37"/>
    </row>
    <row r="122" spans="1:19" s="19" customFormat="1" x14ac:dyDescent="0.2">
      <c r="A122" s="18"/>
      <c r="C122" s="42">
        <v>45291</v>
      </c>
      <c r="D122" s="39">
        <v>94.734700000000004</v>
      </c>
      <c r="E122" s="39">
        <v>59.931800000000003</v>
      </c>
      <c r="F122" s="39">
        <v>34.802900000000001</v>
      </c>
      <c r="G122" s="39"/>
      <c r="H122" s="39"/>
      <c r="I122" s="47"/>
      <c r="J122" s="18"/>
      <c r="L122" s="42"/>
      <c r="M122" s="39"/>
      <c r="N122" s="39"/>
      <c r="O122" s="39"/>
      <c r="P122" s="39"/>
      <c r="Q122" s="24"/>
      <c r="R122" s="24"/>
      <c r="S122" s="37"/>
    </row>
    <row r="123" spans="1:19" s="19" customFormat="1" x14ac:dyDescent="0.2">
      <c r="A123" s="18"/>
      <c r="C123" s="43">
        <v>45322</v>
      </c>
      <c r="D123" s="36">
        <v>66.8</v>
      </c>
      <c r="E123" s="36">
        <v>37.6</v>
      </c>
      <c r="F123" s="36">
        <v>29.1</v>
      </c>
      <c r="G123" s="36"/>
      <c r="H123" s="36"/>
      <c r="I123" s="47"/>
      <c r="J123" s="18"/>
      <c r="L123" s="43"/>
      <c r="M123" s="36"/>
      <c r="N123" s="36"/>
      <c r="O123" s="36"/>
      <c r="P123" s="36"/>
      <c r="Q123" s="24"/>
      <c r="R123" s="24"/>
      <c r="S123" s="37"/>
    </row>
    <row r="124" spans="1:19" s="19" customFormat="1" x14ac:dyDescent="0.2">
      <c r="A124" s="18"/>
      <c r="C124" s="42"/>
      <c r="D124" s="39"/>
      <c r="E124" s="39"/>
      <c r="F124" s="39"/>
      <c r="G124" s="39"/>
      <c r="H124" s="39"/>
      <c r="I124" s="47"/>
      <c r="J124" s="18"/>
      <c r="L124" s="42"/>
      <c r="M124" s="39"/>
      <c r="N124" s="39"/>
      <c r="O124" s="39"/>
      <c r="P124" s="39"/>
      <c r="Q124" s="24"/>
      <c r="R124" s="24"/>
      <c r="S124" s="37"/>
    </row>
    <row r="125" spans="1:19" s="19" customFormat="1" x14ac:dyDescent="0.2">
      <c r="A125" s="18"/>
      <c r="C125" s="43"/>
      <c r="D125" s="36"/>
      <c r="E125" s="36"/>
      <c r="F125" s="36"/>
      <c r="G125" s="36"/>
      <c r="H125" s="36"/>
      <c r="I125" s="47"/>
      <c r="J125" s="18"/>
      <c r="L125" s="43"/>
      <c r="M125" s="36"/>
      <c r="N125" s="36"/>
      <c r="O125" s="36"/>
      <c r="P125" s="36"/>
      <c r="Q125" s="24"/>
      <c r="R125" s="24"/>
      <c r="S125" s="37"/>
    </row>
    <row r="126" spans="1:19" s="19" customFormat="1" x14ac:dyDescent="0.2">
      <c r="A126" s="18"/>
      <c r="C126" s="42"/>
      <c r="D126" s="39"/>
      <c r="E126" s="39"/>
      <c r="F126" s="39"/>
      <c r="G126" s="39"/>
      <c r="H126" s="39"/>
      <c r="I126" s="47"/>
      <c r="J126" s="18"/>
      <c r="L126" s="42"/>
      <c r="M126" s="39"/>
      <c r="N126" s="39"/>
      <c r="O126" s="39"/>
      <c r="P126" s="39"/>
      <c r="Q126" s="24"/>
      <c r="R126" s="24"/>
      <c r="S126" s="37"/>
    </row>
    <row r="127" spans="1:19" s="19" customFormat="1" x14ac:dyDescent="0.2">
      <c r="A127" s="18"/>
      <c r="C127" s="43"/>
      <c r="D127" s="36"/>
      <c r="E127" s="36"/>
      <c r="F127" s="36"/>
      <c r="G127" s="36"/>
      <c r="H127" s="36"/>
      <c r="I127" s="47"/>
      <c r="J127" s="18"/>
      <c r="L127" s="43"/>
      <c r="M127" s="36"/>
      <c r="N127" s="36"/>
      <c r="O127" s="36"/>
      <c r="P127" s="36"/>
      <c r="Q127" s="24"/>
      <c r="R127" s="24"/>
      <c r="S127" s="37"/>
    </row>
    <row r="128" spans="1:19" s="19" customFormat="1" x14ac:dyDescent="0.2">
      <c r="A128" s="18"/>
      <c r="C128" s="42"/>
      <c r="D128" s="39"/>
      <c r="E128" s="39"/>
      <c r="F128" s="39"/>
      <c r="G128" s="39"/>
      <c r="H128" s="39"/>
      <c r="I128" s="47"/>
      <c r="J128" s="18"/>
      <c r="L128" s="42"/>
      <c r="M128" s="39"/>
      <c r="N128" s="39"/>
      <c r="O128" s="39"/>
      <c r="P128" s="39"/>
      <c r="Q128" s="24"/>
      <c r="R128" s="24"/>
      <c r="S128" s="37"/>
    </row>
    <row r="129" spans="1:19" s="19" customFormat="1" x14ac:dyDescent="0.2">
      <c r="A129" s="18"/>
      <c r="C129" s="43"/>
      <c r="D129" s="36"/>
      <c r="E129" s="36"/>
      <c r="F129" s="36"/>
      <c r="G129" s="36"/>
      <c r="H129" s="36"/>
      <c r="I129" s="47"/>
      <c r="J129" s="18"/>
      <c r="L129" s="43"/>
      <c r="M129" s="36"/>
      <c r="N129" s="36"/>
      <c r="O129" s="36"/>
      <c r="P129" s="36"/>
      <c r="Q129" s="24"/>
      <c r="R129" s="24"/>
      <c r="S129" s="37"/>
    </row>
    <row r="130" spans="1:19" s="19" customFormat="1" x14ac:dyDescent="0.2">
      <c r="A130" s="18"/>
      <c r="C130" s="42"/>
      <c r="D130" s="39"/>
      <c r="E130" s="39"/>
      <c r="F130" s="39"/>
      <c r="G130" s="39"/>
      <c r="H130" s="39"/>
      <c r="I130" s="47"/>
      <c r="J130" s="18"/>
      <c r="L130" s="42"/>
      <c r="M130" s="39"/>
      <c r="N130" s="39"/>
      <c r="O130" s="39"/>
      <c r="P130" s="39"/>
      <c r="Q130" s="24"/>
      <c r="R130" s="24"/>
      <c r="S130" s="37"/>
    </row>
    <row r="131" spans="1:19" s="19" customFormat="1" x14ac:dyDescent="0.2">
      <c r="A131" s="18"/>
      <c r="C131" s="43"/>
      <c r="D131" s="36"/>
      <c r="E131" s="36"/>
      <c r="F131" s="36"/>
      <c r="G131" s="36"/>
      <c r="H131" s="36"/>
      <c r="I131" s="47"/>
      <c r="J131" s="18"/>
      <c r="L131" s="43"/>
      <c r="M131" s="36"/>
      <c r="N131" s="36"/>
      <c r="O131" s="36"/>
      <c r="P131" s="36"/>
      <c r="Q131" s="24"/>
      <c r="R131" s="24"/>
      <c r="S131" s="37"/>
    </row>
    <row r="132" spans="1:19" s="19" customFormat="1" x14ac:dyDescent="0.2">
      <c r="A132" s="18"/>
      <c r="C132" s="42"/>
      <c r="D132" s="39"/>
      <c r="E132" s="39"/>
      <c r="F132" s="39"/>
      <c r="G132" s="39"/>
      <c r="H132" s="39"/>
      <c r="I132" s="47"/>
      <c r="J132" s="18"/>
      <c r="L132" s="42"/>
      <c r="M132" s="39"/>
      <c r="N132" s="39"/>
      <c r="O132" s="39"/>
      <c r="P132" s="39"/>
      <c r="Q132" s="24"/>
      <c r="R132" s="24"/>
      <c r="S132" s="37"/>
    </row>
    <row r="133" spans="1:19" s="19" customFormat="1" x14ac:dyDescent="0.2">
      <c r="A133" s="18"/>
      <c r="C133" s="43"/>
      <c r="D133" s="36"/>
      <c r="E133" s="36"/>
      <c r="F133" s="36"/>
      <c r="G133" s="36"/>
      <c r="H133" s="36"/>
      <c r="I133" s="47"/>
      <c r="J133" s="18"/>
      <c r="L133" s="43"/>
      <c r="M133" s="36"/>
      <c r="N133" s="36"/>
      <c r="O133" s="36"/>
      <c r="P133" s="36"/>
      <c r="Q133" s="24"/>
      <c r="R133" s="24"/>
      <c r="S133" s="37"/>
    </row>
    <row r="134" spans="1:19" s="19" customFormat="1" x14ac:dyDescent="0.2">
      <c r="A134" s="18"/>
      <c r="C134" s="42"/>
      <c r="D134" s="39"/>
      <c r="E134" s="39"/>
      <c r="F134" s="39"/>
      <c r="G134" s="39"/>
      <c r="H134" s="39"/>
      <c r="I134" s="47"/>
      <c r="J134" s="18"/>
      <c r="L134" s="42"/>
      <c r="M134" s="39"/>
      <c r="N134" s="39"/>
      <c r="O134" s="39"/>
      <c r="P134" s="39"/>
      <c r="Q134" s="24"/>
      <c r="R134" s="24"/>
      <c r="S134" s="37"/>
    </row>
    <row r="135" spans="1:19" s="19" customFormat="1" x14ac:dyDescent="0.2">
      <c r="A135" s="18"/>
      <c r="C135" s="43"/>
      <c r="D135" s="36"/>
      <c r="E135" s="36"/>
      <c r="F135" s="36"/>
      <c r="G135" s="36"/>
      <c r="H135" s="36"/>
      <c r="I135" s="47"/>
      <c r="J135" s="18"/>
      <c r="L135" s="43"/>
      <c r="M135" s="36"/>
      <c r="N135" s="36"/>
      <c r="O135" s="36"/>
      <c r="P135" s="36"/>
      <c r="Q135" s="24"/>
      <c r="R135" s="24"/>
      <c r="S135" s="37"/>
    </row>
    <row r="136" spans="1:19" s="19" customFormat="1" x14ac:dyDescent="0.2">
      <c r="A136" s="18"/>
      <c r="C136" s="42"/>
      <c r="D136" s="39"/>
      <c r="E136" s="39"/>
      <c r="F136" s="39"/>
      <c r="G136" s="39"/>
      <c r="H136" s="39"/>
      <c r="I136" s="47"/>
      <c r="J136" s="18"/>
      <c r="L136" s="42"/>
      <c r="M136" s="39"/>
      <c r="N136" s="39"/>
      <c r="O136" s="39"/>
      <c r="P136" s="39"/>
      <c r="Q136" s="24"/>
      <c r="R136" s="24"/>
      <c r="S136" s="37"/>
    </row>
    <row r="137" spans="1:19" s="19" customFormat="1" x14ac:dyDescent="0.2">
      <c r="A137" s="18"/>
      <c r="C137" s="43"/>
      <c r="D137" s="36"/>
      <c r="E137" s="36"/>
      <c r="F137" s="36"/>
      <c r="G137" s="36"/>
      <c r="H137" s="36"/>
      <c r="I137" s="47"/>
      <c r="J137" s="18"/>
      <c r="L137" s="43"/>
      <c r="M137" s="36"/>
      <c r="N137" s="36"/>
      <c r="O137" s="36"/>
      <c r="P137" s="36"/>
      <c r="Q137" s="24"/>
      <c r="R137" s="24"/>
      <c r="S137" s="37"/>
    </row>
    <row r="138" spans="1:19" s="19" customFormat="1" x14ac:dyDescent="0.2">
      <c r="A138" s="18"/>
      <c r="C138" s="42"/>
      <c r="D138" s="39"/>
      <c r="E138" s="39"/>
      <c r="F138" s="39"/>
      <c r="G138" s="39"/>
      <c r="H138" s="39"/>
      <c r="I138" s="47"/>
      <c r="J138" s="18"/>
      <c r="L138" s="42"/>
      <c r="M138" s="39"/>
      <c r="N138" s="39"/>
      <c r="O138" s="39"/>
      <c r="P138" s="39"/>
      <c r="Q138" s="24"/>
      <c r="R138" s="24"/>
      <c r="S138" s="37"/>
    </row>
    <row r="139" spans="1:19" s="19" customFormat="1" x14ac:dyDescent="0.2">
      <c r="A139" s="18"/>
      <c r="C139" s="43"/>
      <c r="D139" s="36"/>
      <c r="E139" s="36"/>
      <c r="F139" s="36"/>
      <c r="G139" s="36"/>
      <c r="H139" s="36"/>
      <c r="I139" s="47"/>
      <c r="J139" s="18"/>
      <c r="L139" s="43"/>
      <c r="M139" s="36"/>
      <c r="N139" s="36"/>
      <c r="O139" s="36"/>
      <c r="P139" s="36"/>
      <c r="Q139" s="24"/>
      <c r="R139" s="24"/>
      <c r="S139" s="37"/>
    </row>
    <row r="140" spans="1:19" s="19" customFormat="1" x14ac:dyDescent="0.2">
      <c r="A140" s="18"/>
      <c r="C140" s="42"/>
      <c r="D140" s="39"/>
      <c r="E140" s="39"/>
      <c r="F140" s="39"/>
      <c r="G140" s="39"/>
      <c r="H140" s="39"/>
      <c r="I140" s="47"/>
      <c r="J140" s="18"/>
      <c r="L140" s="42"/>
      <c r="M140" s="39"/>
      <c r="N140" s="39"/>
      <c r="O140" s="39"/>
      <c r="P140" s="39"/>
      <c r="Q140" s="24"/>
      <c r="R140" s="24"/>
      <c r="S140" s="37"/>
    </row>
    <row r="141" spans="1:19" s="19" customFormat="1" x14ac:dyDescent="0.2">
      <c r="A141" s="18"/>
      <c r="C141" s="43"/>
      <c r="D141" s="36"/>
      <c r="E141" s="36"/>
      <c r="F141" s="36"/>
      <c r="G141" s="36"/>
      <c r="H141" s="36"/>
      <c r="I141" s="47"/>
      <c r="J141" s="18"/>
      <c r="L141" s="43"/>
      <c r="M141" s="36"/>
      <c r="N141" s="36"/>
      <c r="O141" s="36"/>
      <c r="P141" s="36"/>
      <c r="Q141" s="24"/>
      <c r="R141" s="24"/>
      <c r="S141" s="37"/>
    </row>
    <row r="142" spans="1:19" s="19" customFormat="1" x14ac:dyDescent="0.2">
      <c r="A142" s="18"/>
      <c r="C142" s="42"/>
      <c r="D142" s="39"/>
      <c r="E142" s="39"/>
      <c r="F142" s="39"/>
      <c r="G142" s="39"/>
      <c r="H142" s="39"/>
      <c r="I142" s="47"/>
      <c r="J142" s="18"/>
      <c r="L142" s="42"/>
      <c r="M142" s="39"/>
      <c r="N142" s="39"/>
      <c r="O142" s="39"/>
      <c r="P142" s="39"/>
      <c r="Q142" s="24"/>
      <c r="R142" s="24"/>
      <c r="S142" s="37"/>
    </row>
    <row r="143" spans="1:19" s="19" customFormat="1" x14ac:dyDescent="0.2">
      <c r="A143" s="18"/>
      <c r="C143" s="43"/>
      <c r="D143" s="36"/>
      <c r="E143" s="36"/>
      <c r="F143" s="36"/>
      <c r="G143" s="36"/>
      <c r="H143" s="36"/>
      <c r="I143" s="47"/>
      <c r="J143" s="18"/>
      <c r="L143" s="43"/>
      <c r="M143" s="36"/>
      <c r="N143" s="36"/>
      <c r="O143" s="36"/>
      <c r="P143" s="36"/>
      <c r="Q143" s="24"/>
      <c r="R143" s="24"/>
      <c r="S143" s="37"/>
    </row>
    <row r="144" spans="1:19" s="19" customFormat="1" x14ac:dyDescent="0.2">
      <c r="A144" s="18"/>
      <c r="C144" s="42"/>
      <c r="D144" s="39"/>
      <c r="E144" s="39"/>
      <c r="F144" s="39"/>
      <c r="G144" s="39"/>
      <c r="H144" s="39"/>
      <c r="I144" s="47"/>
      <c r="J144" s="18"/>
      <c r="L144" s="42"/>
      <c r="M144" s="39"/>
      <c r="N144" s="39"/>
      <c r="O144" s="39"/>
      <c r="P144" s="39"/>
      <c r="Q144" s="24"/>
      <c r="R144" s="24"/>
      <c r="S144" s="37"/>
    </row>
    <row r="145" spans="1:19" s="19" customFormat="1" x14ac:dyDescent="0.2">
      <c r="A145" s="18"/>
      <c r="C145" s="43"/>
      <c r="D145" s="36"/>
      <c r="E145" s="36"/>
      <c r="F145" s="36"/>
      <c r="G145" s="36"/>
      <c r="H145" s="36"/>
      <c r="I145" s="47"/>
      <c r="J145" s="18"/>
      <c r="L145" s="43"/>
      <c r="M145" s="36"/>
      <c r="N145" s="36"/>
      <c r="O145" s="36"/>
      <c r="P145" s="36"/>
      <c r="Q145" s="24"/>
      <c r="R145" s="24"/>
      <c r="S145" s="37"/>
    </row>
    <row r="146" spans="1:19" s="19" customFormat="1" x14ac:dyDescent="0.2">
      <c r="A146" s="18"/>
      <c r="C146" s="42"/>
      <c r="D146" s="39"/>
      <c r="E146" s="39"/>
      <c r="F146" s="39"/>
      <c r="G146" s="39"/>
      <c r="H146" s="39"/>
      <c r="I146" s="47"/>
      <c r="J146" s="18"/>
      <c r="L146" s="42"/>
      <c r="M146" s="39"/>
      <c r="N146" s="39"/>
      <c r="O146" s="39"/>
      <c r="P146" s="39"/>
      <c r="Q146" s="24"/>
      <c r="R146" s="24"/>
      <c r="S146" s="37"/>
    </row>
    <row r="147" spans="1:19" s="19" customFormat="1" x14ac:dyDescent="0.2">
      <c r="A147" s="18"/>
      <c r="C147" s="43"/>
      <c r="D147" s="36"/>
      <c r="E147" s="36"/>
      <c r="F147" s="36"/>
      <c r="G147" s="36"/>
      <c r="H147" s="36"/>
      <c r="I147" s="47"/>
      <c r="J147" s="18"/>
      <c r="L147" s="43"/>
      <c r="M147" s="36"/>
      <c r="N147" s="36"/>
      <c r="O147" s="36"/>
      <c r="P147" s="36"/>
      <c r="Q147" s="24"/>
      <c r="R147" s="24"/>
      <c r="S147" s="37"/>
    </row>
    <row r="148" spans="1:19" s="19" customFormat="1" x14ac:dyDescent="0.2">
      <c r="A148" s="18"/>
      <c r="C148" s="42"/>
      <c r="D148" s="39"/>
      <c r="E148" s="39"/>
      <c r="F148" s="39"/>
      <c r="G148" s="39"/>
      <c r="H148" s="39"/>
      <c r="I148" s="47"/>
      <c r="J148" s="18"/>
      <c r="L148" s="42"/>
      <c r="M148" s="39"/>
      <c r="N148" s="39"/>
      <c r="O148" s="39"/>
      <c r="P148" s="39"/>
      <c r="Q148" s="24"/>
      <c r="R148" s="24"/>
      <c r="S148" s="37"/>
    </row>
    <row r="149" spans="1:19" s="19" customFormat="1" x14ac:dyDescent="0.2">
      <c r="A149" s="18"/>
      <c r="C149" s="43"/>
      <c r="D149" s="36"/>
      <c r="E149" s="36"/>
      <c r="F149" s="36"/>
      <c r="G149" s="36"/>
      <c r="H149" s="36"/>
      <c r="I149" s="47"/>
      <c r="J149" s="18"/>
      <c r="L149" s="43"/>
      <c r="M149" s="36"/>
      <c r="N149" s="36"/>
      <c r="O149" s="36"/>
      <c r="P149" s="36"/>
      <c r="Q149" s="24"/>
      <c r="R149" s="24"/>
      <c r="S149" s="37"/>
    </row>
    <row r="150" spans="1:19" s="19" customFormat="1" x14ac:dyDescent="0.2">
      <c r="A150" s="18"/>
      <c r="C150" s="42"/>
      <c r="D150" s="39"/>
      <c r="E150" s="39"/>
      <c r="F150" s="39"/>
      <c r="G150" s="39"/>
      <c r="H150" s="39"/>
      <c r="I150" s="47"/>
      <c r="J150" s="18"/>
      <c r="L150" s="42"/>
      <c r="M150" s="39"/>
      <c r="N150" s="39"/>
      <c r="O150" s="39"/>
      <c r="P150" s="39"/>
      <c r="Q150" s="24"/>
      <c r="R150" s="24"/>
      <c r="S150" s="37"/>
    </row>
    <row r="151" spans="1:19" s="19" customFormat="1" x14ac:dyDescent="0.2">
      <c r="A151" s="18"/>
      <c r="C151" s="43"/>
      <c r="D151" s="36"/>
      <c r="E151" s="36"/>
      <c r="F151" s="36"/>
      <c r="G151" s="36"/>
      <c r="H151" s="36"/>
      <c r="I151" s="47"/>
      <c r="J151" s="18"/>
      <c r="L151" s="43"/>
      <c r="M151" s="36"/>
      <c r="N151" s="36"/>
      <c r="O151" s="36"/>
      <c r="P151" s="36"/>
      <c r="Q151" s="24"/>
      <c r="R151" s="24"/>
      <c r="S151" s="37"/>
    </row>
    <row r="152" spans="1:19" s="19" customFormat="1" x14ac:dyDescent="0.2">
      <c r="A152" s="18"/>
      <c r="C152" s="42"/>
      <c r="D152" s="39"/>
      <c r="E152" s="39"/>
      <c r="F152" s="39"/>
      <c r="G152" s="39"/>
      <c r="H152" s="39"/>
      <c r="I152" s="47"/>
      <c r="J152" s="18"/>
      <c r="L152" s="42"/>
      <c r="M152" s="39"/>
      <c r="N152" s="39"/>
      <c r="O152" s="39"/>
      <c r="P152" s="39"/>
      <c r="Q152" s="24"/>
      <c r="R152" s="24"/>
      <c r="S152" s="37"/>
    </row>
    <row r="153" spans="1:19" s="19" customFormat="1" x14ac:dyDescent="0.2">
      <c r="A153" s="18"/>
      <c r="C153" s="43"/>
      <c r="D153" s="36"/>
      <c r="E153" s="36"/>
      <c r="F153" s="36"/>
      <c r="G153" s="36"/>
      <c r="H153" s="36"/>
      <c r="I153" s="47"/>
      <c r="J153" s="18"/>
      <c r="L153" s="43"/>
      <c r="M153" s="36"/>
      <c r="N153" s="36"/>
      <c r="O153" s="36"/>
      <c r="P153" s="36"/>
      <c r="Q153" s="24"/>
      <c r="R153" s="24"/>
      <c r="S153" s="37"/>
    </row>
    <row r="154" spans="1:19" s="19" customFormat="1" x14ac:dyDescent="0.2">
      <c r="A154" s="18"/>
      <c r="C154" s="42"/>
      <c r="D154" s="39"/>
      <c r="E154" s="39"/>
      <c r="F154" s="39"/>
      <c r="G154" s="39"/>
      <c r="H154" s="39"/>
      <c r="I154" s="47"/>
      <c r="J154" s="18"/>
      <c r="L154" s="42"/>
      <c r="M154" s="39"/>
      <c r="N154" s="39"/>
      <c r="O154" s="39"/>
      <c r="P154" s="39"/>
      <c r="Q154" s="24"/>
      <c r="R154" s="24"/>
      <c r="S154" s="37"/>
    </row>
    <row r="155" spans="1:19" s="19" customFormat="1" x14ac:dyDescent="0.2">
      <c r="A155" s="18"/>
      <c r="C155" s="43"/>
      <c r="D155" s="36"/>
      <c r="E155" s="36"/>
      <c r="F155" s="36"/>
      <c r="G155" s="36"/>
      <c r="H155" s="36"/>
      <c r="I155" s="47"/>
      <c r="J155" s="18"/>
      <c r="L155" s="43"/>
      <c r="M155" s="36"/>
      <c r="N155" s="36"/>
      <c r="O155" s="36"/>
      <c r="P155" s="36"/>
      <c r="Q155" s="24"/>
      <c r="R155" s="24"/>
      <c r="S155" s="37"/>
    </row>
    <row r="156" spans="1:19" s="19" customFormat="1" x14ac:dyDescent="0.2">
      <c r="A156" s="18"/>
      <c r="C156" s="42"/>
      <c r="D156" s="39"/>
      <c r="E156" s="39"/>
      <c r="F156" s="39"/>
      <c r="G156" s="39"/>
      <c r="H156" s="39"/>
      <c r="I156" s="47"/>
      <c r="J156" s="18"/>
      <c r="L156" s="42"/>
      <c r="M156" s="39"/>
      <c r="N156" s="39"/>
      <c r="O156" s="39"/>
      <c r="P156" s="39"/>
      <c r="Q156" s="24"/>
      <c r="R156" s="24"/>
      <c r="S156" s="37"/>
    </row>
    <row r="157" spans="1:19" s="19" customFormat="1" x14ac:dyDescent="0.2">
      <c r="A157" s="18"/>
      <c r="C157" s="43"/>
      <c r="D157" s="36"/>
      <c r="E157" s="36"/>
      <c r="F157" s="36"/>
      <c r="G157" s="36"/>
      <c r="H157" s="36"/>
      <c r="I157" s="47"/>
      <c r="J157" s="18"/>
      <c r="L157" s="43"/>
      <c r="M157" s="36"/>
      <c r="N157" s="36"/>
      <c r="O157" s="36"/>
      <c r="P157" s="36"/>
      <c r="Q157" s="24"/>
      <c r="R157" s="24"/>
      <c r="S157" s="37"/>
    </row>
    <row r="158" spans="1:19" s="19" customFormat="1" x14ac:dyDescent="0.2">
      <c r="A158" s="18"/>
      <c r="C158" s="42"/>
      <c r="D158" s="39"/>
      <c r="E158" s="39"/>
      <c r="F158" s="39"/>
      <c r="G158" s="39"/>
      <c r="H158" s="39"/>
      <c r="I158" s="47"/>
      <c r="J158" s="18"/>
      <c r="L158" s="42"/>
      <c r="M158" s="39"/>
      <c r="N158" s="39"/>
      <c r="O158" s="39"/>
      <c r="P158" s="39"/>
      <c r="Q158" s="24"/>
      <c r="R158" s="24"/>
      <c r="S158" s="37"/>
    </row>
    <row r="159" spans="1:19" s="19" customFormat="1" x14ac:dyDescent="0.2">
      <c r="A159" s="18"/>
      <c r="C159" s="43"/>
      <c r="D159" s="36"/>
      <c r="E159" s="36"/>
      <c r="F159" s="36"/>
      <c r="G159" s="36"/>
      <c r="H159" s="36"/>
      <c r="I159" s="47"/>
      <c r="J159" s="18"/>
      <c r="L159" s="43"/>
      <c r="M159" s="36"/>
      <c r="N159" s="36"/>
      <c r="O159" s="36"/>
      <c r="P159" s="36"/>
      <c r="Q159" s="24"/>
      <c r="R159" s="24"/>
      <c r="S159" s="37"/>
    </row>
    <row r="160" spans="1:19" s="19" customFormat="1" x14ac:dyDescent="0.2">
      <c r="A160" s="18"/>
      <c r="C160" s="42"/>
      <c r="D160" s="39"/>
      <c r="E160" s="39"/>
      <c r="F160" s="39"/>
      <c r="G160" s="39"/>
      <c r="H160" s="39"/>
      <c r="I160" s="47"/>
      <c r="J160" s="18"/>
      <c r="L160" s="42"/>
      <c r="M160" s="39"/>
      <c r="N160" s="39"/>
      <c r="O160" s="39"/>
      <c r="P160" s="39"/>
      <c r="Q160" s="24"/>
      <c r="R160" s="24"/>
      <c r="S160" s="37"/>
    </row>
    <row r="161" spans="1:19" s="19" customFormat="1" x14ac:dyDescent="0.2">
      <c r="A161" s="18"/>
      <c r="C161" s="43"/>
      <c r="D161" s="36"/>
      <c r="E161" s="36"/>
      <c r="F161" s="36"/>
      <c r="G161" s="36"/>
      <c r="H161" s="36"/>
      <c r="I161" s="47"/>
      <c r="J161" s="18"/>
      <c r="L161" s="43"/>
      <c r="M161" s="36"/>
      <c r="N161" s="36"/>
      <c r="O161" s="36"/>
      <c r="P161" s="36"/>
      <c r="Q161" s="24"/>
      <c r="R161" s="24"/>
      <c r="S161" s="37"/>
    </row>
    <row r="162" spans="1:19" s="19" customFormat="1" x14ac:dyDescent="0.2">
      <c r="A162" s="18"/>
      <c r="C162" s="42"/>
      <c r="D162" s="39"/>
      <c r="E162" s="39"/>
      <c r="F162" s="39"/>
      <c r="G162" s="39"/>
      <c r="H162" s="39"/>
      <c r="I162" s="47"/>
      <c r="J162" s="18"/>
      <c r="L162" s="42"/>
      <c r="M162" s="39"/>
      <c r="N162" s="39"/>
      <c r="O162" s="39"/>
      <c r="P162" s="39"/>
      <c r="Q162" s="24"/>
      <c r="R162" s="24"/>
      <c r="S162" s="37"/>
    </row>
    <row r="163" spans="1:19" s="19" customFormat="1" x14ac:dyDescent="0.2">
      <c r="A163" s="18"/>
      <c r="C163" s="43"/>
      <c r="D163" s="36"/>
      <c r="E163" s="36"/>
      <c r="F163" s="36"/>
      <c r="G163" s="36"/>
      <c r="H163" s="36"/>
      <c r="I163" s="47"/>
      <c r="J163" s="18"/>
      <c r="L163" s="43"/>
      <c r="M163" s="36"/>
      <c r="N163" s="36"/>
      <c r="O163" s="36"/>
      <c r="P163" s="36"/>
      <c r="Q163" s="24"/>
      <c r="R163" s="24"/>
      <c r="S163" s="37"/>
    </row>
    <row r="164" spans="1:19" s="19" customFormat="1" x14ac:dyDescent="0.2">
      <c r="A164" s="18"/>
      <c r="C164" s="42"/>
      <c r="D164" s="39"/>
      <c r="E164" s="39"/>
      <c r="F164" s="39"/>
      <c r="G164" s="39"/>
      <c r="H164" s="39"/>
      <c r="I164" s="47"/>
      <c r="J164" s="18"/>
      <c r="L164" s="42"/>
      <c r="M164" s="39"/>
      <c r="N164" s="39"/>
      <c r="O164" s="39"/>
      <c r="P164" s="39"/>
      <c r="Q164" s="24"/>
      <c r="R164" s="24"/>
      <c r="S164" s="37"/>
    </row>
    <row r="165" spans="1:19" s="19" customFormat="1" x14ac:dyDescent="0.2">
      <c r="A165" s="18"/>
      <c r="C165" s="43"/>
      <c r="D165" s="36"/>
      <c r="E165" s="36"/>
      <c r="F165" s="36"/>
      <c r="G165" s="36"/>
      <c r="H165" s="36"/>
      <c r="I165" s="47"/>
      <c r="J165" s="18"/>
      <c r="L165" s="43"/>
      <c r="M165" s="36"/>
      <c r="N165" s="36"/>
      <c r="O165" s="36"/>
      <c r="P165" s="36"/>
      <c r="Q165" s="24"/>
      <c r="R165" s="24"/>
      <c r="S165" s="37"/>
    </row>
    <row r="166" spans="1:19" s="19" customFormat="1" x14ac:dyDescent="0.2">
      <c r="A166" s="18"/>
      <c r="C166" s="42"/>
      <c r="D166" s="39"/>
      <c r="E166" s="39"/>
      <c r="F166" s="39"/>
      <c r="G166" s="39"/>
      <c r="H166" s="39"/>
      <c r="I166" s="47"/>
      <c r="J166" s="18"/>
      <c r="L166" s="42"/>
      <c r="M166" s="39"/>
      <c r="N166" s="39"/>
      <c r="O166" s="39"/>
      <c r="P166" s="39"/>
      <c r="Q166" s="24"/>
      <c r="R166" s="24"/>
      <c r="S166" s="37"/>
    </row>
    <row r="167" spans="1:19" s="19" customFormat="1" x14ac:dyDescent="0.2">
      <c r="A167" s="18"/>
      <c r="C167" s="43"/>
      <c r="D167" s="36"/>
      <c r="E167" s="36"/>
      <c r="F167" s="36"/>
      <c r="G167" s="36"/>
      <c r="H167" s="36"/>
      <c r="I167" s="47"/>
      <c r="J167" s="18"/>
      <c r="L167" s="43"/>
      <c r="M167" s="36"/>
      <c r="N167" s="36"/>
      <c r="O167" s="36"/>
      <c r="P167" s="36"/>
      <c r="Q167" s="24"/>
      <c r="R167" s="24"/>
      <c r="S167" s="37"/>
    </row>
    <row r="168" spans="1:19" s="19" customFormat="1" x14ac:dyDescent="0.2">
      <c r="A168" s="18"/>
      <c r="C168" s="42"/>
      <c r="D168" s="39"/>
      <c r="E168" s="39"/>
      <c r="F168" s="39"/>
      <c r="G168" s="39"/>
      <c r="H168" s="39"/>
      <c r="I168" s="47"/>
      <c r="J168" s="18"/>
      <c r="L168" s="42"/>
      <c r="M168" s="39"/>
      <c r="N168" s="39"/>
      <c r="O168" s="39"/>
      <c r="P168" s="39"/>
      <c r="Q168" s="24"/>
      <c r="R168" s="24"/>
      <c r="S168" s="37"/>
    </row>
    <row r="169" spans="1:19" s="19" customFormat="1" x14ac:dyDescent="0.2">
      <c r="A169" s="18"/>
      <c r="C169" s="43"/>
      <c r="D169" s="36"/>
      <c r="E169" s="36"/>
      <c r="F169" s="36"/>
      <c r="G169" s="36"/>
      <c r="H169" s="36"/>
      <c r="I169" s="47"/>
      <c r="J169" s="18"/>
      <c r="L169" s="43"/>
      <c r="M169" s="36"/>
      <c r="N169" s="36"/>
      <c r="O169" s="36"/>
      <c r="P169" s="36"/>
      <c r="Q169" s="24"/>
      <c r="R169" s="24"/>
      <c r="S169" s="37"/>
    </row>
    <row r="170" spans="1:19" s="19" customFormat="1" x14ac:dyDescent="0.2">
      <c r="A170" s="18"/>
      <c r="C170" s="42"/>
      <c r="D170" s="39"/>
      <c r="E170" s="39"/>
      <c r="F170" s="39"/>
      <c r="G170" s="39"/>
      <c r="H170" s="39"/>
      <c r="I170" s="47"/>
      <c r="J170" s="18"/>
      <c r="L170" s="42"/>
      <c r="M170" s="39"/>
      <c r="N170" s="39"/>
      <c r="O170" s="39"/>
      <c r="P170" s="39"/>
      <c r="Q170" s="24"/>
      <c r="R170" s="24"/>
      <c r="S170" s="37"/>
    </row>
    <row r="171" spans="1:19" s="19" customFormat="1" x14ac:dyDescent="0.2">
      <c r="A171" s="18"/>
      <c r="C171" s="43"/>
      <c r="D171" s="36"/>
      <c r="E171" s="36"/>
      <c r="F171" s="36"/>
      <c r="G171" s="36"/>
      <c r="H171" s="36"/>
      <c r="I171" s="47"/>
      <c r="J171" s="18"/>
      <c r="L171" s="43"/>
      <c r="M171" s="36"/>
      <c r="N171" s="36"/>
      <c r="O171" s="36"/>
      <c r="P171" s="36"/>
      <c r="Q171" s="24"/>
      <c r="R171" s="24"/>
      <c r="S171" s="37"/>
    </row>
    <row r="172" spans="1:19" s="19" customFormat="1" x14ac:dyDescent="0.2">
      <c r="A172" s="18"/>
      <c r="C172" s="42"/>
      <c r="D172" s="39"/>
      <c r="E172" s="39"/>
      <c r="F172" s="39"/>
      <c r="G172" s="39"/>
      <c r="H172" s="39"/>
      <c r="I172" s="47"/>
      <c r="J172" s="18"/>
      <c r="L172" s="42"/>
      <c r="M172" s="39"/>
      <c r="N172" s="39"/>
      <c r="O172" s="39"/>
      <c r="P172" s="39"/>
      <c r="Q172" s="24"/>
      <c r="R172" s="24"/>
      <c r="S172" s="37"/>
    </row>
    <row r="173" spans="1:19" s="19" customFormat="1" x14ac:dyDescent="0.2">
      <c r="A173" s="18"/>
      <c r="C173" s="43"/>
      <c r="D173" s="36"/>
      <c r="E173" s="36"/>
      <c r="F173" s="36"/>
      <c r="G173" s="36"/>
      <c r="H173" s="36"/>
      <c r="I173" s="47"/>
      <c r="J173" s="18"/>
      <c r="L173" s="43"/>
      <c r="M173" s="36"/>
      <c r="N173" s="36"/>
      <c r="O173" s="36"/>
      <c r="P173" s="36"/>
      <c r="Q173" s="24"/>
      <c r="R173" s="24"/>
      <c r="S173" s="37"/>
    </row>
    <row r="174" spans="1:19" s="19" customFormat="1" x14ac:dyDescent="0.2">
      <c r="A174" s="18"/>
      <c r="C174" s="42"/>
      <c r="D174" s="39"/>
      <c r="E174" s="39"/>
      <c r="F174" s="39"/>
      <c r="G174" s="39"/>
      <c r="H174" s="39"/>
      <c r="I174" s="47"/>
      <c r="J174" s="18"/>
      <c r="L174" s="42"/>
      <c r="M174" s="39"/>
      <c r="N174" s="39"/>
      <c r="O174" s="39"/>
      <c r="P174" s="39"/>
      <c r="Q174" s="24"/>
      <c r="R174" s="24"/>
      <c r="S174" s="37"/>
    </row>
    <row r="175" spans="1:19" s="19" customFormat="1" x14ac:dyDescent="0.2">
      <c r="A175" s="18"/>
      <c r="C175" s="43"/>
      <c r="D175" s="36"/>
      <c r="E175" s="36"/>
      <c r="F175" s="36"/>
      <c r="G175" s="36"/>
      <c r="H175" s="36"/>
      <c r="I175" s="47"/>
      <c r="J175" s="18"/>
      <c r="L175" s="43"/>
      <c r="M175" s="36"/>
      <c r="N175" s="36"/>
      <c r="O175" s="36"/>
      <c r="P175" s="36"/>
      <c r="Q175" s="24"/>
      <c r="R175" s="24"/>
      <c r="S175" s="37"/>
    </row>
    <row r="176" spans="1:19" s="19" customFormat="1" x14ac:dyDescent="0.2">
      <c r="A176" s="18"/>
      <c r="C176" s="42"/>
      <c r="D176" s="39"/>
      <c r="E176" s="39"/>
      <c r="F176" s="39"/>
      <c r="G176" s="39"/>
      <c r="H176" s="39"/>
      <c r="I176" s="47"/>
      <c r="J176" s="18"/>
      <c r="L176" s="42"/>
      <c r="M176" s="39"/>
      <c r="N176" s="39"/>
      <c r="O176" s="39"/>
      <c r="P176" s="39"/>
      <c r="Q176" s="24"/>
      <c r="R176" s="24"/>
      <c r="S176" s="37"/>
    </row>
    <row r="177" spans="1:19" s="19" customFormat="1" x14ac:dyDescent="0.2">
      <c r="A177" s="18"/>
      <c r="C177" s="43"/>
      <c r="D177" s="36"/>
      <c r="E177" s="36"/>
      <c r="F177" s="36"/>
      <c r="G177" s="36"/>
      <c r="H177" s="36"/>
      <c r="I177" s="47"/>
      <c r="J177" s="18"/>
      <c r="L177" s="43"/>
      <c r="M177" s="36"/>
      <c r="N177" s="36"/>
      <c r="O177" s="36"/>
      <c r="P177" s="36"/>
      <c r="Q177" s="24"/>
      <c r="R177" s="24"/>
      <c r="S177" s="37"/>
    </row>
    <row r="178" spans="1:19" s="19" customFormat="1" x14ac:dyDescent="0.2">
      <c r="A178" s="18"/>
      <c r="C178" s="42"/>
      <c r="D178" s="39"/>
      <c r="E178" s="39"/>
      <c r="F178" s="39"/>
      <c r="G178" s="39"/>
      <c r="H178" s="39"/>
      <c r="I178" s="47"/>
      <c r="J178" s="18"/>
      <c r="L178" s="42"/>
      <c r="M178" s="39"/>
      <c r="N178" s="39"/>
      <c r="O178" s="39"/>
      <c r="P178" s="39"/>
      <c r="Q178" s="24"/>
      <c r="R178" s="24"/>
      <c r="S178" s="37"/>
    </row>
    <row r="179" spans="1:19" s="19" customFormat="1" x14ac:dyDescent="0.2">
      <c r="A179" s="18"/>
      <c r="C179" s="43"/>
      <c r="D179" s="36"/>
      <c r="E179" s="36"/>
      <c r="F179" s="36"/>
      <c r="G179" s="36"/>
      <c r="H179" s="36"/>
      <c r="I179" s="47"/>
      <c r="J179" s="18"/>
      <c r="L179" s="43"/>
      <c r="M179" s="36"/>
      <c r="N179" s="36"/>
      <c r="O179" s="36"/>
      <c r="P179" s="36"/>
      <c r="Q179" s="24"/>
      <c r="R179" s="24"/>
      <c r="S179" s="37"/>
    </row>
    <row r="180" spans="1:19" s="19" customFormat="1" x14ac:dyDescent="0.2">
      <c r="A180" s="18"/>
      <c r="C180" s="42"/>
      <c r="D180" s="39"/>
      <c r="E180" s="39"/>
      <c r="F180" s="39"/>
      <c r="G180" s="39"/>
      <c r="H180" s="39"/>
      <c r="I180" s="47"/>
      <c r="J180" s="18"/>
      <c r="L180" s="42"/>
      <c r="M180" s="39"/>
      <c r="N180" s="39"/>
      <c r="O180" s="39"/>
      <c r="P180" s="39"/>
      <c r="Q180" s="24"/>
      <c r="R180" s="24"/>
      <c r="S180" s="37"/>
    </row>
    <row r="181" spans="1:19" s="19" customFormat="1" x14ac:dyDescent="0.2">
      <c r="A181" s="18"/>
      <c r="C181" s="43"/>
      <c r="D181" s="36"/>
      <c r="E181" s="36"/>
      <c r="F181" s="36"/>
      <c r="G181" s="36"/>
      <c r="H181" s="36"/>
      <c r="I181" s="47"/>
      <c r="J181" s="18"/>
      <c r="L181" s="43"/>
      <c r="M181" s="36"/>
      <c r="N181" s="36"/>
      <c r="O181" s="36"/>
      <c r="P181" s="36"/>
      <c r="Q181" s="24"/>
      <c r="R181" s="24"/>
      <c r="S181" s="37"/>
    </row>
    <row r="182" spans="1:19" s="19" customFormat="1" x14ac:dyDescent="0.2">
      <c r="A182" s="18"/>
      <c r="C182" s="42"/>
      <c r="D182" s="39"/>
      <c r="E182" s="39"/>
      <c r="F182" s="39"/>
      <c r="G182" s="39"/>
      <c r="H182" s="39"/>
      <c r="I182" s="47"/>
      <c r="J182" s="18"/>
      <c r="L182" s="42"/>
      <c r="M182" s="39"/>
      <c r="N182" s="39"/>
      <c r="O182" s="39"/>
      <c r="P182" s="39"/>
      <c r="Q182" s="24"/>
      <c r="R182" s="24"/>
      <c r="S182" s="37"/>
    </row>
    <row r="183" spans="1:19" s="19" customFormat="1" x14ac:dyDescent="0.2">
      <c r="A183" s="18"/>
      <c r="C183" s="43"/>
      <c r="D183" s="36"/>
      <c r="E183" s="36"/>
      <c r="F183" s="36"/>
      <c r="G183" s="36"/>
      <c r="H183" s="36"/>
      <c r="I183" s="47"/>
      <c r="J183" s="18"/>
      <c r="L183" s="43"/>
      <c r="M183" s="36"/>
      <c r="N183" s="36"/>
      <c r="O183" s="36"/>
      <c r="P183" s="36"/>
      <c r="Q183" s="24"/>
      <c r="R183" s="24"/>
      <c r="S183" s="37"/>
    </row>
    <row r="184" spans="1:19" s="19" customFormat="1" x14ac:dyDescent="0.2">
      <c r="A184" s="18"/>
      <c r="C184" s="42"/>
      <c r="D184" s="39"/>
      <c r="E184" s="39"/>
      <c r="F184" s="39"/>
      <c r="G184" s="39"/>
      <c r="H184" s="39"/>
      <c r="I184" s="47"/>
      <c r="J184" s="18"/>
      <c r="L184" s="42"/>
      <c r="M184" s="39"/>
      <c r="N184" s="39"/>
      <c r="O184" s="39"/>
      <c r="P184" s="39"/>
      <c r="Q184" s="24"/>
      <c r="R184" s="24"/>
      <c r="S184" s="37"/>
    </row>
    <row r="185" spans="1:19" s="19" customFormat="1" x14ac:dyDescent="0.2">
      <c r="A185" s="18"/>
      <c r="C185" s="43"/>
      <c r="D185" s="36"/>
      <c r="E185" s="36"/>
      <c r="F185" s="36"/>
      <c r="G185" s="36"/>
      <c r="H185" s="36"/>
      <c r="I185" s="47"/>
      <c r="J185" s="18"/>
      <c r="L185" s="43"/>
      <c r="M185" s="36"/>
      <c r="N185" s="36"/>
      <c r="O185" s="36"/>
      <c r="P185" s="36"/>
      <c r="Q185" s="24"/>
      <c r="R185" s="24"/>
      <c r="S185" s="37"/>
    </row>
    <row r="186" spans="1:19" s="19" customFormat="1" x14ac:dyDescent="0.2">
      <c r="A186" s="18"/>
      <c r="C186" s="42"/>
      <c r="D186" s="39"/>
      <c r="E186" s="39"/>
      <c r="F186" s="39"/>
      <c r="G186" s="39"/>
      <c r="H186" s="39"/>
      <c r="I186" s="47"/>
      <c r="J186" s="18"/>
      <c r="L186" s="42"/>
      <c r="M186" s="39"/>
      <c r="N186" s="39"/>
      <c r="O186" s="39"/>
      <c r="P186" s="39"/>
      <c r="Q186" s="24"/>
      <c r="R186" s="24"/>
      <c r="S186" s="37"/>
    </row>
    <row r="187" spans="1:19" s="19" customFormat="1" x14ac:dyDescent="0.2">
      <c r="A187" s="18"/>
      <c r="C187" s="43"/>
      <c r="D187" s="36"/>
      <c r="E187" s="36"/>
      <c r="F187" s="36"/>
      <c r="G187" s="36"/>
      <c r="H187" s="36"/>
      <c r="I187" s="47"/>
      <c r="J187" s="18"/>
      <c r="L187" s="43"/>
      <c r="M187" s="36"/>
      <c r="N187" s="36"/>
      <c r="O187" s="36"/>
      <c r="P187" s="36"/>
      <c r="Q187" s="24"/>
      <c r="R187" s="24"/>
      <c r="S187" s="37"/>
    </row>
    <row r="188" spans="1:19" s="19" customFormat="1" x14ac:dyDescent="0.2">
      <c r="A188" s="18"/>
      <c r="C188" s="42"/>
      <c r="D188" s="39"/>
      <c r="E188" s="39"/>
      <c r="F188" s="39"/>
      <c r="G188" s="39"/>
      <c r="H188" s="39"/>
      <c r="I188" s="47"/>
      <c r="J188" s="18"/>
      <c r="L188" s="42"/>
      <c r="M188" s="39"/>
      <c r="N188" s="39"/>
      <c r="O188" s="39"/>
      <c r="P188" s="39"/>
      <c r="Q188" s="24"/>
      <c r="R188" s="24"/>
      <c r="S188" s="37"/>
    </row>
    <row r="189" spans="1:19" s="19" customFormat="1" x14ac:dyDescent="0.2">
      <c r="A189" s="18"/>
      <c r="C189" s="43"/>
      <c r="D189" s="36"/>
      <c r="E189" s="36"/>
      <c r="F189" s="36"/>
      <c r="G189" s="36"/>
      <c r="H189" s="36"/>
      <c r="I189" s="47"/>
      <c r="J189" s="18"/>
      <c r="L189" s="43"/>
      <c r="M189" s="36"/>
      <c r="N189" s="36"/>
      <c r="O189" s="36"/>
      <c r="P189" s="36"/>
      <c r="Q189" s="24"/>
      <c r="R189" s="24"/>
      <c r="S189" s="37"/>
    </row>
    <row r="190" spans="1:19" s="19" customFormat="1" x14ac:dyDescent="0.2">
      <c r="A190" s="18"/>
      <c r="C190" s="42"/>
      <c r="D190" s="39"/>
      <c r="E190" s="39"/>
      <c r="F190" s="39"/>
      <c r="G190" s="39"/>
      <c r="H190" s="39"/>
      <c r="I190" s="47"/>
      <c r="J190" s="18"/>
      <c r="L190" s="42"/>
      <c r="M190" s="39"/>
      <c r="N190" s="39"/>
      <c r="O190" s="39"/>
      <c r="P190" s="39"/>
      <c r="Q190" s="24"/>
      <c r="R190" s="24"/>
      <c r="S190" s="37"/>
    </row>
    <row r="191" spans="1:19" s="19" customFormat="1" x14ac:dyDescent="0.2">
      <c r="A191" s="18"/>
      <c r="C191" s="43"/>
      <c r="D191" s="36"/>
      <c r="E191" s="36"/>
      <c r="F191" s="36"/>
      <c r="G191" s="36"/>
      <c r="H191" s="36"/>
      <c r="I191" s="47"/>
      <c r="J191" s="18"/>
      <c r="L191" s="43"/>
      <c r="M191" s="36"/>
      <c r="N191" s="36"/>
      <c r="O191" s="36"/>
      <c r="P191" s="36"/>
      <c r="Q191" s="24"/>
      <c r="R191" s="24"/>
      <c r="S191" s="37"/>
    </row>
    <row r="192" spans="1:19" s="19" customFormat="1" x14ac:dyDescent="0.2">
      <c r="A192" s="18"/>
      <c r="C192" s="42"/>
      <c r="D192" s="39"/>
      <c r="E192" s="39"/>
      <c r="F192" s="39"/>
      <c r="G192" s="39"/>
      <c r="H192" s="39"/>
      <c r="I192" s="47"/>
      <c r="J192" s="18"/>
      <c r="L192" s="42"/>
      <c r="M192" s="39"/>
      <c r="N192" s="39"/>
      <c r="O192" s="39"/>
      <c r="P192" s="39"/>
      <c r="Q192" s="24"/>
      <c r="R192" s="24"/>
      <c r="S192" s="37"/>
    </row>
    <row r="193" spans="1:19" s="19" customFormat="1" x14ac:dyDescent="0.2">
      <c r="A193" s="18"/>
      <c r="C193" s="43"/>
      <c r="D193" s="36"/>
      <c r="E193" s="36"/>
      <c r="F193" s="36"/>
      <c r="G193" s="36"/>
      <c r="H193" s="36"/>
      <c r="I193" s="47"/>
      <c r="J193" s="18"/>
      <c r="L193" s="43"/>
      <c r="M193" s="36"/>
      <c r="N193" s="36"/>
      <c r="O193" s="36"/>
      <c r="P193" s="36"/>
      <c r="Q193" s="24"/>
      <c r="R193" s="24"/>
      <c r="S193" s="37"/>
    </row>
    <row r="194" spans="1:19" s="19" customFormat="1" x14ac:dyDescent="0.2">
      <c r="A194" s="18"/>
      <c r="C194" s="42"/>
      <c r="D194" s="39"/>
      <c r="E194" s="39"/>
      <c r="F194" s="39"/>
      <c r="G194" s="39"/>
      <c r="H194" s="39"/>
      <c r="I194" s="47"/>
      <c r="J194" s="18"/>
      <c r="L194" s="42"/>
      <c r="M194" s="39"/>
      <c r="N194" s="39"/>
      <c r="O194" s="39"/>
      <c r="P194" s="39"/>
      <c r="Q194" s="24"/>
      <c r="R194" s="24"/>
      <c r="S194" s="37"/>
    </row>
    <row r="195" spans="1:19" s="19" customFormat="1" x14ac:dyDescent="0.2">
      <c r="A195" s="18"/>
      <c r="C195" s="43"/>
      <c r="D195" s="36"/>
      <c r="E195" s="36"/>
      <c r="F195" s="36"/>
      <c r="G195" s="36"/>
      <c r="H195" s="36"/>
      <c r="I195" s="47"/>
      <c r="J195" s="18"/>
      <c r="L195" s="43"/>
      <c r="M195" s="36"/>
      <c r="N195" s="36"/>
      <c r="O195" s="36"/>
      <c r="P195" s="36"/>
      <c r="Q195" s="24"/>
      <c r="R195" s="24"/>
      <c r="S195" s="37"/>
    </row>
    <row r="196" spans="1:19" s="19" customFormat="1" x14ac:dyDescent="0.2">
      <c r="A196" s="18"/>
      <c r="C196" s="42"/>
      <c r="D196" s="39"/>
      <c r="E196" s="39"/>
      <c r="F196" s="39"/>
      <c r="G196" s="39"/>
      <c r="H196" s="39"/>
      <c r="I196" s="47"/>
      <c r="J196" s="18"/>
      <c r="L196" s="42"/>
      <c r="M196" s="39"/>
      <c r="N196" s="39"/>
      <c r="O196" s="39"/>
      <c r="P196" s="39"/>
      <c r="Q196" s="24"/>
      <c r="R196" s="24"/>
      <c r="S196" s="37"/>
    </row>
    <row r="197" spans="1:19" s="19" customFormat="1" x14ac:dyDescent="0.2">
      <c r="A197" s="18"/>
      <c r="C197" s="43"/>
      <c r="D197" s="36"/>
      <c r="E197" s="36"/>
      <c r="F197" s="36"/>
      <c r="G197" s="36"/>
      <c r="H197" s="36"/>
      <c r="I197" s="47"/>
      <c r="J197" s="18"/>
      <c r="L197" s="43"/>
      <c r="M197" s="36"/>
      <c r="N197" s="36"/>
      <c r="O197" s="36"/>
      <c r="P197" s="36"/>
      <c r="Q197" s="24"/>
      <c r="R197" s="24"/>
      <c r="S197" s="37"/>
    </row>
    <row r="198" spans="1:19" s="19" customFormat="1" x14ac:dyDescent="0.2">
      <c r="A198" s="18"/>
      <c r="C198" s="42"/>
      <c r="D198" s="39"/>
      <c r="E198" s="39"/>
      <c r="F198" s="39"/>
      <c r="G198" s="39"/>
      <c r="H198" s="39"/>
      <c r="I198" s="47"/>
      <c r="J198" s="18"/>
      <c r="L198" s="42"/>
      <c r="M198" s="39"/>
      <c r="N198" s="39"/>
      <c r="O198" s="39"/>
      <c r="P198" s="39"/>
      <c r="Q198" s="24"/>
      <c r="R198" s="24"/>
      <c r="S198" s="37"/>
    </row>
    <row r="199" spans="1:19" s="19" customFormat="1" x14ac:dyDescent="0.2">
      <c r="A199" s="18"/>
      <c r="C199" s="43"/>
      <c r="D199" s="36"/>
      <c r="E199" s="36"/>
      <c r="F199" s="36"/>
      <c r="G199" s="36"/>
      <c r="H199" s="36"/>
      <c r="I199" s="47"/>
      <c r="J199" s="18"/>
      <c r="L199" s="43"/>
      <c r="M199" s="36"/>
      <c r="N199" s="36"/>
      <c r="O199" s="36"/>
      <c r="P199" s="36"/>
      <c r="Q199" s="24"/>
      <c r="R199" s="24"/>
      <c r="S199" s="37"/>
    </row>
    <row r="200" spans="1:19" s="19" customFormat="1" x14ac:dyDescent="0.2">
      <c r="A200" s="18"/>
      <c r="C200" s="42"/>
      <c r="D200" s="39"/>
      <c r="E200" s="39"/>
      <c r="F200" s="39"/>
      <c r="G200" s="39"/>
      <c r="H200" s="39"/>
      <c r="I200" s="47"/>
      <c r="J200" s="18"/>
      <c r="L200" s="42"/>
      <c r="M200" s="39"/>
      <c r="N200" s="39"/>
      <c r="O200" s="39"/>
      <c r="P200" s="39"/>
      <c r="Q200" s="24"/>
      <c r="R200" s="24"/>
      <c r="S200" s="37"/>
    </row>
    <row r="201" spans="1:19" s="19" customFormat="1" x14ac:dyDescent="0.2">
      <c r="A201" s="18"/>
      <c r="C201" s="43"/>
      <c r="D201" s="36"/>
      <c r="E201" s="36"/>
      <c r="F201" s="36"/>
      <c r="G201" s="36"/>
      <c r="H201" s="36"/>
      <c r="I201" s="47"/>
      <c r="J201" s="18"/>
      <c r="L201" s="43"/>
      <c r="M201" s="36"/>
      <c r="N201" s="36"/>
      <c r="O201" s="36"/>
      <c r="P201" s="36"/>
      <c r="Q201" s="24"/>
      <c r="R201" s="24"/>
      <c r="S201" s="37"/>
    </row>
    <row r="202" spans="1:19" s="19" customFormat="1" x14ac:dyDescent="0.2">
      <c r="A202" s="18"/>
      <c r="C202" s="42"/>
      <c r="D202" s="39"/>
      <c r="E202" s="39"/>
      <c r="F202" s="39"/>
      <c r="G202" s="39"/>
      <c r="H202" s="39"/>
      <c r="I202" s="47"/>
      <c r="J202" s="18"/>
      <c r="L202" s="42"/>
      <c r="M202" s="39"/>
      <c r="N202" s="39"/>
      <c r="O202" s="39"/>
      <c r="P202" s="39"/>
      <c r="Q202" s="24"/>
      <c r="R202" s="24"/>
      <c r="S202" s="37"/>
    </row>
    <row r="203" spans="1:19" s="19" customFormat="1" x14ac:dyDescent="0.2">
      <c r="A203" s="18"/>
      <c r="C203" s="43"/>
      <c r="D203" s="36"/>
      <c r="E203" s="36"/>
      <c r="F203" s="36"/>
      <c r="G203" s="36"/>
      <c r="H203" s="36"/>
      <c r="I203" s="47"/>
      <c r="J203" s="18"/>
      <c r="L203" s="43"/>
      <c r="M203" s="36"/>
      <c r="N203" s="36"/>
      <c r="O203" s="36"/>
      <c r="P203" s="36"/>
      <c r="Q203" s="24"/>
      <c r="R203" s="24"/>
      <c r="S203" s="37"/>
    </row>
    <row r="204" spans="1:19" s="19" customFormat="1" x14ac:dyDescent="0.2">
      <c r="A204" s="18"/>
      <c r="C204" s="42"/>
      <c r="D204" s="39"/>
      <c r="E204" s="39"/>
      <c r="F204" s="39"/>
      <c r="G204" s="39"/>
      <c r="H204" s="39"/>
      <c r="I204" s="47"/>
      <c r="J204" s="18"/>
      <c r="L204" s="42"/>
      <c r="M204" s="39"/>
      <c r="N204" s="39"/>
      <c r="O204" s="39"/>
      <c r="P204" s="39"/>
      <c r="Q204" s="24"/>
      <c r="R204" s="24"/>
      <c r="S204" s="37"/>
    </row>
    <row r="205" spans="1:19" s="19" customFormat="1" x14ac:dyDescent="0.2">
      <c r="A205" s="18"/>
      <c r="C205" s="43"/>
      <c r="D205" s="36"/>
      <c r="E205" s="36"/>
      <c r="F205" s="36"/>
      <c r="G205" s="36"/>
      <c r="H205" s="36"/>
      <c r="I205" s="47"/>
      <c r="J205" s="18"/>
      <c r="L205" s="43"/>
      <c r="M205" s="36"/>
      <c r="N205" s="36"/>
      <c r="O205" s="36"/>
      <c r="P205" s="36"/>
      <c r="Q205" s="24"/>
      <c r="R205" s="24"/>
      <c r="S205" s="37"/>
    </row>
    <row r="206" spans="1:19" s="19" customFormat="1" x14ac:dyDescent="0.2">
      <c r="A206" s="18"/>
      <c r="C206" s="44"/>
      <c r="D206" s="45"/>
      <c r="E206" s="45"/>
      <c r="F206" s="45"/>
      <c r="G206" s="45"/>
      <c r="H206" s="45"/>
      <c r="I206" s="47"/>
      <c r="J206" s="18"/>
      <c r="L206" s="42"/>
      <c r="M206" s="39"/>
      <c r="N206" s="39"/>
      <c r="O206" s="39"/>
      <c r="P206" s="39"/>
      <c r="Q206" s="24"/>
      <c r="R206" s="24"/>
      <c r="S206" s="37"/>
    </row>
    <row r="207" spans="1:19" s="19" customFormat="1" x14ac:dyDescent="0.2">
      <c r="A207" s="18"/>
      <c r="C207" s="46"/>
      <c r="D207" s="47"/>
      <c r="E207" s="47"/>
      <c r="F207" s="47"/>
      <c r="G207" s="47"/>
      <c r="H207" s="47"/>
      <c r="I207" s="47"/>
      <c r="J207" s="18"/>
      <c r="L207" s="43"/>
      <c r="M207" s="36"/>
      <c r="N207" s="36"/>
      <c r="O207" s="36"/>
      <c r="P207" s="36"/>
      <c r="Q207" s="24"/>
      <c r="R207" s="24"/>
      <c r="S207" s="37"/>
    </row>
    <row r="208" spans="1:19" s="19" customFormat="1" x14ac:dyDescent="0.2">
      <c r="A208" s="18"/>
      <c r="C208" s="44"/>
      <c r="D208" s="45"/>
      <c r="E208" s="45"/>
      <c r="F208" s="45"/>
      <c r="G208" s="45"/>
      <c r="H208" s="45"/>
      <c r="I208" s="47"/>
      <c r="J208" s="18"/>
      <c r="L208" s="42"/>
      <c r="M208" s="39"/>
      <c r="N208" s="39"/>
      <c r="O208" s="39"/>
      <c r="P208" s="39"/>
      <c r="Q208" s="24"/>
      <c r="R208" s="24"/>
      <c r="S208" s="37"/>
    </row>
    <row r="209" spans="1:19" s="19" customFormat="1" x14ac:dyDescent="0.2">
      <c r="A209" s="18"/>
      <c r="C209" s="46"/>
      <c r="D209" s="47"/>
      <c r="E209" s="47"/>
      <c r="F209" s="47"/>
      <c r="G209" s="47"/>
      <c r="H209" s="47"/>
      <c r="I209" s="47"/>
      <c r="J209" s="18"/>
      <c r="L209" s="43"/>
      <c r="M209" s="36"/>
      <c r="N209" s="36"/>
      <c r="O209" s="36"/>
      <c r="P209" s="36"/>
      <c r="Q209" s="24"/>
      <c r="R209" s="24"/>
      <c r="S209" s="37"/>
    </row>
    <row r="210" spans="1:19" s="19" customFormat="1" x14ac:dyDescent="0.2">
      <c r="A210" s="18"/>
      <c r="C210" s="44"/>
      <c r="D210" s="45"/>
      <c r="E210" s="45"/>
      <c r="F210" s="45"/>
      <c r="G210" s="45"/>
      <c r="H210" s="45"/>
      <c r="I210" s="47"/>
      <c r="J210" s="18"/>
      <c r="L210" s="42"/>
      <c r="M210" s="39"/>
      <c r="N210" s="39"/>
      <c r="O210" s="39"/>
      <c r="P210" s="39"/>
      <c r="Q210" s="24"/>
      <c r="R210" s="24"/>
      <c r="S210" s="37"/>
    </row>
    <row r="211" spans="1:19" s="19" customFormat="1" x14ac:dyDescent="0.2">
      <c r="A211" s="18"/>
      <c r="C211" s="46"/>
      <c r="D211" s="47"/>
      <c r="E211" s="47"/>
      <c r="F211" s="47"/>
      <c r="G211" s="47"/>
      <c r="H211" s="47"/>
      <c r="I211" s="47"/>
      <c r="J211" s="18"/>
      <c r="L211" s="43"/>
      <c r="M211" s="36"/>
      <c r="N211" s="36"/>
      <c r="O211" s="36"/>
      <c r="P211" s="36"/>
      <c r="Q211" s="24"/>
      <c r="R211" s="24"/>
      <c r="S211" s="37"/>
    </row>
    <row r="212" spans="1:19" s="19" customFormat="1" x14ac:dyDescent="0.2">
      <c r="A212" s="18"/>
      <c r="C212" s="44"/>
      <c r="D212" s="45"/>
      <c r="E212" s="45"/>
      <c r="F212" s="45"/>
      <c r="G212" s="45"/>
      <c r="H212" s="45"/>
      <c r="I212" s="47"/>
      <c r="J212" s="18"/>
      <c r="L212" s="42"/>
      <c r="M212" s="39"/>
      <c r="N212" s="39"/>
      <c r="O212" s="39"/>
      <c r="P212" s="39"/>
      <c r="Q212" s="24"/>
      <c r="R212" s="24"/>
      <c r="S212" s="37"/>
    </row>
    <row r="213" spans="1:19" s="19" customFormat="1" x14ac:dyDescent="0.2">
      <c r="A213" s="18"/>
      <c r="C213" s="46"/>
      <c r="D213" s="47"/>
      <c r="E213" s="47"/>
      <c r="F213" s="47"/>
      <c r="G213" s="47"/>
      <c r="H213" s="47"/>
      <c r="I213" s="47"/>
      <c r="J213" s="18"/>
      <c r="L213" s="43"/>
      <c r="M213" s="36"/>
      <c r="N213" s="36"/>
      <c r="O213" s="36"/>
      <c r="P213" s="36"/>
      <c r="Q213" s="24"/>
      <c r="R213" s="24"/>
      <c r="S213" s="37"/>
    </row>
    <row r="214" spans="1:19" s="19" customFormat="1" x14ac:dyDescent="0.2">
      <c r="A214" s="18"/>
      <c r="C214" s="44"/>
      <c r="D214" s="45"/>
      <c r="E214" s="45"/>
      <c r="F214" s="45"/>
      <c r="G214" s="45"/>
      <c r="H214" s="45"/>
      <c r="I214" s="47"/>
      <c r="J214" s="18"/>
      <c r="L214" s="44"/>
      <c r="M214" s="45"/>
      <c r="N214" s="45"/>
      <c r="O214" s="45"/>
      <c r="P214" s="45"/>
      <c r="Q214" s="24"/>
      <c r="R214" s="24"/>
      <c r="S214" s="37"/>
    </row>
    <row r="215" spans="1:19" s="19" customFormat="1" x14ac:dyDescent="0.2">
      <c r="A215" s="18"/>
      <c r="C215" s="46"/>
      <c r="D215" s="47"/>
      <c r="E215" s="47"/>
      <c r="F215" s="47"/>
      <c r="G215" s="47"/>
      <c r="H215" s="47"/>
      <c r="I215" s="47"/>
      <c r="J215" s="18"/>
      <c r="L215" s="46"/>
      <c r="M215" s="47"/>
      <c r="N215" s="47"/>
      <c r="O215" s="47"/>
      <c r="P215" s="47"/>
      <c r="Q215" s="24"/>
      <c r="R215" s="24"/>
      <c r="S215" s="37"/>
    </row>
    <row r="216" spans="1:19" s="19" customFormat="1" x14ac:dyDescent="0.2">
      <c r="A216" s="18"/>
      <c r="C216" s="44"/>
      <c r="D216" s="45"/>
      <c r="E216" s="45"/>
      <c r="F216" s="45"/>
      <c r="G216" s="45"/>
      <c r="H216" s="45"/>
      <c r="I216" s="47"/>
      <c r="J216" s="18"/>
      <c r="L216" s="44"/>
      <c r="M216" s="45"/>
      <c r="N216" s="45"/>
      <c r="O216" s="45"/>
      <c r="P216" s="45"/>
      <c r="Q216" s="24"/>
      <c r="R216" s="24"/>
      <c r="S216" s="37"/>
    </row>
    <row r="217" spans="1:19" s="19" customFormat="1" x14ac:dyDescent="0.2">
      <c r="A217" s="18"/>
      <c r="C217" s="46"/>
      <c r="D217" s="47"/>
      <c r="E217" s="47"/>
      <c r="F217" s="47"/>
      <c r="G217" s="47"/>
      <c r="H217" s="47"/>
      <c r="I217" s="47"/>
      <c r="J217" s="18"/>
      <c r="L217" s="46"/>
      <c r="M217" s="47"/>
      <c r="N217" s="47"/>
      <c r="O217" s="47"/>
      <c r="P217" s="47"/>
      <c r="Q217" s="24"/>
      <c r="R217" s="24"/>
      <c r="S217" s="37"/>
    </row>
    <row r="218" spans="1:19" s="19" customFormat="1" x14ac:dyDescent="0.2">
      <c r="A218" s="18"/>
      <c r="C218" s="44"/>
      <c r="D218" s="45"/>
      <c r="E218" s="45"/>
      <c r="F218" s="45"/>
      <c r="G218" s="45"/>
      <c r="H218" s="45"/>
      <c r="I218" s="47"/>
      <c r="J218" s="18"/>
      <c r="L218" s="44"/>
      <c r="M218" s="45"/>
      <c r="N218" s="45"/>
      <c r="O218" s="45"/>
      <c r="P218" s="45"/>
      <c r="Q218" s="24"/>
      <c r="R218" s="24"/>
      <c r="S218" s="37"/>
    </row>
    <row r="219" spans="1:19" s="19" customFormat="1" x14ac:dyDescent="0.2">
      <c r="A219" s="18"/>
      <c r="C219" s="46"/>
      <c r="D219" s="47"/>
      <c r="E219" s="47"/>
      <c r="F219" s="47"/>
      <c r="G219" s="47"/>
      <c r="H219" s="47"/>
      <c r="I219" s="47"/>
      <c r="J219" s="18"/>
      <c r="L219" s="46"/>
      <c r="M219" s="47"/>
      <c r="N219" s="47"/>
      <c r="O219" s="47"/>
      <c r="P219" s="47"/>
      <c r="Q219" s="24"/>
      <c r="R219" s="24"/>
      <c r="S219" s="37"/>
    </row>
    <row r="220" spans="1:19" s="19" customFormat="1" x14ac:dyDescent="0.2">
      <c r="A220" s="18"/>
      <c r="C220" s="44"/>
      <c r="D220" s="45"/>
      <c r="E220" s="45"/>
      <c r="F220" s="45"/>
      <c r="G220" s="45"/>
      <c r="H220" s="45"/>
      <c r="I220" s="47"/>
      <c r="J220" s="18"/>
      <c r="L220" s="44"/>
      <c r="M220" s="45"/>
      <c r="N220" s="45"/>
      <c r="O220" s="45"/>
      <c r="P220" s="45"/>
      <c r="Q220" s="24"/>
      <c r="R220" s="24"/>
      <c r="S220" s="37"/>
    </row>
    <row r="221" spans="1:19" s="19" customFormat="1" x14ac:dyDescent="0.2">
      <c r="A221" s="18"/>
      <c r="C221" s="46"/>
      <c r="D221" s="47"/>
      <c r="E221" s="47"/>
      <c r="F221" s="47"/>
      <c r="G221" s="47"/>
      <c r="H221" s="47"/>
      <c r="I221" s="47"/>
      <c r="J221" s="18"/>
      <c r="L221" s="46"/>
      <c r="M221" s="47"/>
      <c r="N221" s="47"/>
      <c r="O221" s="47"/>
      <c r="P221" s="47"/>
      <c r="Q221" s="24"/>
      <c r="R221" s="24"/>
      <c r="S221" s="37"/>
    </row>
    <row r="222" spans="1:19" s="19" customFormat="1" x14ac:dyDescent="0.2">
      <c r="A222" s="18"/>
      <c r="C222" s="44"/>
      <c r="D222" s="45"/>
      <c r="E222" s="45"/>
      <c r="F222" s="45"/>
      <c r="G222" s="45"/>
      <c r="H222" s="45"/>
      <c r="I222" s="47"/>
      <c r="J222" s="18"/>
      <c r="L222" s="44"/>
      <c r="M222" s="45"/>
      <c r="N222" s="45"/>
      <c r="O222" s="45"/>
      <c r="P222" s="45"/>
      <c r="Q222" s="24"/>
      <c r="R222" s="24"/>
      <c r="S222" s="37"/>
    </row>
    <row r="223" spans="1:19" s="19" customFormat="1" x14ac:dyDescent="0.2">
      <c r="A223" s="18"/>
      <c r="C223" s="46"/>
      <c r="D223" s="47"/>
      <c r="E223" s="47"/>
      <c r="F223" s="47"/>
      <c r="G223" s="47"/>
      <c r="H223" s="47"/>
      <c r="I223" s="47"/>
      <c r="J223" s="18"/>
      <c r="L223" s="46"/>
      <c r="M223" s="47"/>
      <c r="N223" s="47"/>
      <c r="O223" s="47"/>
      <c r="P223" s="47"/>
      <c r="Q223" s="24"/>
      <c r="R223" s="24"/>
      <c r="S223" s="37"/>
    </row>
    <row r="224" spans="1:19" s="19" customFormat="1" x14ac:dyDescent="0.2">
      <c r="A224" s="18"/>
      <c r="C224" s="44"/>
      <c r="D224" s="45"/>
      <c r="E224" s="45"/>
      <c r="F224" s="45"/>
      <c r="G224" s="45"/>
      <c r="H224" s="45"/>
      <c r="I224" s="47"/>
      <c r="J224" s="18"/>
      <c r="L224" s="44"/>
      <c r="M224" s="45"/>
      <c r="N224" s="45"/>
      <c r="O224" s="45"/>
      <c r="P224" s="45"/>
      <c r="Q224" s="24"/>
      <c r="R224" s="24"/>
      <c r="S224" s="37"/>
    </row>
    <row r="225" spans="1:19" s="19" customFormat="1" x14ac:dyDescent="0.2">
      <c r="A225" s="18"/>
      <c r="C225" s="46"/>
      <c r="D225" s="47"/>
      <c r="E225" s="47"/>
      <c r="F225" s="47"/>
      <c r="G225" s="47"/>
      <c r="H225" s="47"/>
      <c r="I225" s="47"/>
      <c r="J225" s="18"/>
      <c r="L225" s="46"/>
      <c r="M225" s="47"/>
      <c r="N225" s="47"/>
      <c r="O225" s="47"/>
      <c r="P225" s="47"/>
      <c r="Q225" s="24"/>
      <c r="R225" s="24"/>
      <c r="S225" s="37"/>
    </row>
    <row r="226" spans="1:19" s="19" customFormat="1" x14ac:dyDescent="0.2">
      <c r="A226" s="18"/>
      <c r="C226" s="44"/>
      <c r="D226" s="45"/>
      <c r="E226" s="45"/>
      <c r="F226" s="45"/>
      <c r="G226" s="45"/>
      <c r="H226" s="45"/>
      <c r="I226" s="47"/>
      <c r="J226" s="18"/>
      <c r="L226" s="44"/>
      <c r="M226" s="45"/>
      <c r="N226" s="45"/>
      <c r="O226" s="45"/>
      <c r="P226" s="45"/>
      <c r="Q226" s="24"/>
      <c r="R226" s="24"/>
      <c r="S226" s="37"/>
    </row>
    <row r="227" spans="1:19" s="19" customFormat="1" x14ac:dyDescent="0.2">
      <c r="A227" s="18"/>
      <c r="C227" s="46"/>
      <c r="D227" s="47"/>
      <c r="E227" s="47"/>
      <c r="F227" s="47"/>
      <c r="G227" s="47"/>
      <c r="H227" s="47"/>
      <c r="I227" s="47"/>
      <c r="J227" s="18"/>
      <c r="L227" s="46"/>
      <c r="M227" s="47"/>
      <c r="N227" s="47"/>
      <c r="O227" s="47"/>
      <c r="P227" s="47"/>
      <c r="Q227" s="24"/>
      <c r="R227" s="24"/>
      <c r="S227" s="37"/>
    </row>
    <row r="228" spans="1:19" s="19" customFormat="1" x14ac:dyDescent="0.2">
      <c r="A228" s="18"/>
      <c r="C228" s="44"/>
      <c r="D228" s="45"/>
      <c r="E228" s="45"/>
      <c r="F228" s="45"/>
      <c r="G228" s="45"/>
      <c r="H228" s="45"/>
      <c r="I228" s="47"/>
      <c r="J228" s="18"/>
      <c r="L228" s="44"/>
      <c r="M228" s="45"/>
      <c r="N228" s="45"/>
      <c r="O228" s="45"/>
      <c r="P228" s="45"/>
      <c r="Q228" s="24"/>
      <c r="R228" s="24"/>
      <c r="S228" s="37"/>
    </row>
    <row r="229" spans="1:19" s="19" customFormat="1" x14ac:dyDescent="0.2">
      <c r="A229" s="18"/>
      <c r="C229" s="46"/>
      <c r="D229" s="47"/>
      <c r="E229" s="47"/>
      <c r="F229" s="47"/>
      <c r="G229" s="47"/>
      <c r="H229" s="47"/>
      <c r="I229" s="47"/>
      <c r="J229" s="18"/>
      <c r="L229" s="46"/>
      <c r="M229" s="47"/>
      <c r="N229" s="47"/>
      <c r="O229" s="47"/>
      <c r="P229" s="47"/>
      <c r="Q229" s="24"/>
      <c r="R229" s="24"/>
      <c r="S229" s="37"/>
    </row>
    <row r="230" spans="1:19" s="19" customFormat="1" x14ac:dyDescent="0.2">
      <c r="A230" s="18"/>
      <c r="C230" s="44"/>
      <c r="D230" s="45"/>
      <c r="E230" s="45"/>
      <c r="F230" s="45"/>
      <c r="G230" s="45"/>
      <c r="H230" s="45"/>
      <c r="I230" s="47"/>
      <c r="J230" s="18"/>
      <c r="L230" s="44"/>
      <c r="M230" s="45"/>
      <c r="N230" s="45"/>
      <c r="O230" s="45"/>
      <c r="P230" s="45"/>
      <c r="Q230" s="24"/>
      <c r="R230" s="24"/>
      <c r="S230" s="37"/>
    </row>
    <row r="231" spans="1:19" s="19" customFormat="1" x14ac:dyDescent="0.2">
      <c r="A231" s="18"/>
      <c r="C231" s="46"/>
      <c r="D231" s="47"/>
      <c r="E231" s="47"/>
      <c r="F231" s="47"/>
      <c r="G231" s="47"/>
      <c r="H231" s="47"/>
      <c r="I231" s="47"/>
      <c r="J231" s="18"/>
      <c r="L231" s="46"/>
      <c r="M231" s="47"/>
      <c r="N231" s="47"/>
      <c r="O231" s="47"/>
      <c r="P231" s="47"/>
      <c r="Q231" s="24"/>
      <c r="R231" s="24"/>
      <c r="S231" s="37"/>
    </row>
    <row r="232" spans="1:19" s="19" customFormat="1" x14ac:dyDescent="0.2">
      <c r="A232" s="18"/>
      <c r="C232" s="44"/>
      <c r="D232" s="45"/>
      <c r="E232" s="45"/>
      <c r="F232" s="45"/>
      <c r="G232" s="45"/>
      <c r="H232" s="45"/>
      <c r="I232" s="47"/>
      <c r="J232" s="18"/>
      <c r="L232" s="44"/>
      <c r="M232" s="45"/>
      <c r="N232" s="45"/>
      <c r="O232" s="45"/>
      <c r="P232" s="45"/>
      <c r="Q232" s="24"/>
      <c r="R232" s="24"/>
      <c r="S232" s="37"/>
    </row>
    <row r="233" spans="1:19" s="19" customFormat="1" x14ac:dyDescent="0.2">
      <c r="A233" s="18"/>
      <c r="C233" s="46"/>
      <c r="D233" s="47"/>
      <c r="E233" s="47"/>
      <c r="F233" s="47"/>
      <c r="G233" s="47"/>
      <c r="H233" s="47"/>
      <c r="I233" s="47"/>
      <c r="J233" s="18"/>
      <c r="L233" s="46"/>
      <c r="M233" s="47"/>
      <c r="N233" s="47"/>
      <c r="O233" s="47"/>
      <c r="P233" s="47"/>
      <c r="Q233" s="24"/>
      <c r="R233" s="24"/>
      <c r="S233" s="37"/>
    </row>
    <row r="234" spans="1:19" s="19" customFormat="1" x14ac:dyDescent="0.2">
      <c r="A234" s="18"/>
      <c r="C234" s="44"/>
      <c r="D234" s="45"/>
      <c r="E234" s="45"/>
      <c r="F234" s="45"/>
      <c r="G234" s="45"/>
      <c r="H234" s="45"/>
      <c r="I234" s="47"/>
      <c r="J234" s="18"/>
      <c r="L234" s="44"/>
      <c r="M234" s="45"/>
      <c r="N234" s="45"/>
      <c r="O234" s="45"/>
      <c r="P234" s="45"/>
      <c r="Q234" s="24"/>
      <c r="R234" s="24"/>
      <c r="S234" s="37"/>
    </row>
    <row r="235" spans="1:19" s="19" customFormat="1" x14ac:dyDescent="0.2">
      <c r="A235" s="18"/>
      <c r="C235" s="46"/>
      <c r="D235" s="47"/>
      <c r="E235" s="47"/>
      <c r="F235" s="47"/>
      <c r="G235" s="47"/>
      <c r="H235" s="47"/>
      <c r="I235" s="47"/>
      <c r="J235" s="18"/>
      <c r="L235" s="46"/>
      <c r="M235" s="47"/>
      <c r="N235" s="47"/>
      <c r="O235" s="47"/>
      <c r="P235" s="47"/>
      <c r="Q235" s="24"/>
      <c r="R235" s="24"/>
      <c r="S235" s="37"/>
    </row>
    <row r="236" spans="1:19" s="19" customFormat="1" x14ac:dyDescent="0.2">
      <c r="A236" s="18"/>
      <c r="C236" s="44"/>
      <c r="D236" s="45"/>
      <c r="E236" s="45"/>
      <c r="F236" s="45"/>
      <c r="G236" s="45"/>
      <c r="H236" s="45"/>
      <c r="I236" s="47"/>
      <c r="J236" s="18"/>
      <c r="L236" s="44"/>
      <c r="M236" s="45"/>
      <c r="N236" s="45"/>
      <c r="O236" s="45"/>
      <c r="P236" s="45"/>
      <c r="Q236" s="24"/>
      <c r="R236" s="24"/>
      <c r="S236" s="37"/>
    </row>
    <row r="237" spans="1:19" s="19" customFormat="1" x14ac:dyDescent="0.2">
      <c r="A237" s="18"/>
      <c r="C237" s="46"/>
      <c r="D237" s="47"/>
      <c r="E237" s="47"/>
      <c r="F237" s="47"/>
      <c r="G237" s="47"/>
      <c r="H237" s="47"/>
      <c r="I237" s="47"/>
      <c r="J237" s="18"/>
      <c r="L237" s="46"/>
      <c r="M237" s="47"/>
      <c r="N237" s="47"/>
      <c r="O237" s="47"/>
      <c r="P237" s="47"/>
      <c r="Q237" s="24"/>
      <c r="R237" s="24"/>
      <c r="S237" s="37"/>
    </row>
    <row r="238" spans="1:19" s="19" customFormat="1" x14ac:dyDescent="0.2">
      <c r="A238" s="18"/>
      <c r="C238" s="44"/>
      <c r="D238" s="45"/>
      <c r="E238" s="45"/>
      <c r="F238" s="45"/>
      <c r="G238" s="45"/>
      <c r="H238" s="45"/>
      <c r="I238" s="47"/>
      <c r="J238" s="18"/>
      <c r="L238" s="44"/>
      <c r="M238" s="45"/>
      <c r="N238" s="45"/>
      <c r="O238" s="45"/>
      <c r="P238" s="45"/>
      <c r="Q238" s="24"/>
      <c r="R238" s="24"/>
      <c r="S238" s="37"/>
    </row>
    <row r="239" spans="1:19" s="19" customFormat="1" x14ac:dyDescent="0.2">
      <c r="A239" s="18"/>
      <c r="C239" s="46"/>
      <c r="D239" s="47"/>
      <c r="E239" s="47"/>
      <c r="F239" s="47"/>
      <c r="G239" s="47"/>
      <c r="H239" s="47"/>
      <c r="I239" s="47"/>
      <c r="J239" s="18"/>
      <c r="L239" s="46"/>
      <c r="M239" s="47"/>
      <c r="N239" s="47"/>
      <c r="O239" s="47"/>
      <c r="P239" s="47"/>
      <c r="Q239" s="24"/>
      <c r="R239" s="24"/>
      <c r="S239" s="37"/>
    </row>
    <row r="240" spans="1:19" s="19" customFormat="1" x14ac:dyDescent="0.2">
      <c r="A240" s="18"/>
      <c r="C240" s="44"/>
      <c r="D240" s="45"/>
      <c r="E240" s="45"/>
      <c r="F240" s="45"/>
      <c r="G240" s="45"/>
      <c r="H240" s="45"/>
      <c r="I240" s="47"/>
      <c r="J240" s="18"/>
      <c r="L240" s="44"/>
      <c r="M240" s="45"/>
      <c r="N240" s="45"/>
      <c r="O240" s="45"/>
      <c r="P240" s="45"/>
      <c r="Q240" s="24"/>
      <c r="R240" s="24"/>
      <c r="S240" s="37"/>
    </row>
    <row r="241" spans="1:19" s="19" customFormat="1" x14ac:dyDescent="0.2">
      <c r="A241" s="18"/>
      <c r="C241" s="46"/>
      <c r="D241" s="47"/>
      <c r="E241" s="47"/>
      <c r="F241" s="47"/>
      <c r="G241" s="47"/>
      <c r="H241" s="47"/>
      <c r="I241" s="47"/>
      <c r="J241" s="18"/>
      <c r="L241" s="46"/>
      <c r="M241" s="47"/>
      <c r="N241" s="47"/>
      <c r="O241" s="47"/>
      <c r="P241" s="47"/>
      <c r="Q241" s="24"/>
      <c r="R241" s="24"/>
      <c r="S241" s="37"/>
    </row>
    <row r="242" spans="1:19" s="19" customFormat="1" x14ac:dyDescent="0.2">
      <c r="A242" s="18"/>
      <c r="C242" s="44"/>
      <c r="D242" s="45"/>
      <c r="E242" s="45"/>
      <c r="F242" s="45"/>
      <c r="G242" s="45"/>
      <c r="H242" s="45"/>
      <c r="I242" s="47"/>
      <c r="J242" s="18"/>
      <c r="L242" s="44"/>
      <c r="M242" s="45"/>
      <c r="N242" s="45"/>
      <c r="O242" s="45"/>
      <c r="P242" s="45"/>
      <c r="Q242" s="24"/>
      <c r="R242" s="24"/>
      <c r="S242" s="37"/>
    </row>
    <row r="243" spans="1:19" s="19" customFormat="1" x14ac:dyDescent="0.2">
      <c r="A243" s="18"/>
      <c r="C243" s="46"/>
      <c r="D243" s="47"/>
      <c r="E243" s="47"/>
      <c r="F243" s="47"/>
      <c r="G243" s="47"/>
      <c r="H243" s="47"/>
      <c r="I243" s="47"/>
      <c r="J243" s="18"/>
      <c r="L243" s="46"/>
      <c r="M243" s="47"/>
      <c r="N243" s="47"/>
      <c r="O243" s="47"/>
      <c r="P243" s="47"/>
      <c r="Q243" s="24"/>
      <c r="R243" s="24"/>
      <c r="S243" s="37"/>
    </row>
    <row r="244" spans="1:19" s="19" customFormat="1" x14ac:dyDescent="0.2">
      <c r="A244" s="18"/>
      <c r="C244" s="44"/>
      <c r="D244" s="45"/>
      <c r="E244" s="45"/>
      <c r="F244" s="45"/>
      <c r="G244" s="45"/>
      <c r="H244" s="45"/>
      <c r="I244" s="47"/>
      <c r="J244" s="18"/>
      <c r="L244" s="44"/>
      <c r="M244" s="45"/>
      <c r="N244" s="45"/>
      <c r="O244" s="45"/>
      <c r="P244" s="45"/>
      <c r="Q244" s="24"/>
      <c r="R244" s="24"/>
      <c r="S244" s="37"/>
    </row>
    <row r="245" spans="1:19" s="19" customFormat="1" x14ac:dyDescent="0.2">
      <c r="A245" s="18"/>
      <c r="C245" s="46"/>
      <c r="D245" s="47"/>
      <c r="E245" s="47"/>
      <c r="F245" s="47"/>
      <c r="G245" s="47"/>
      <c r="H245" s="47"/>
      <c r="I245" s="47"/>
      <c r="J245" s="18"/>
      <c r="L245" s="46"/>
      <c r="M245" s="47"/>
      <c r="N245" s="47"/>
      <c r="O245" s="47"/>
      <c r="P245" s="47"/>
      <c r="Q245" s="24"/>
      <c r="R245" s="24"/>
      <c r="S245" s="37"/>
    </row>
    <row r="246" spans="1:19" s="19" customFormat="1" x14ac:dyDescent="0.2">
      <c r="A246" s="18"/>
      <c r="C246" s="44"/>
      <c r="D246" s="45"/>
      <c r="E246" s="45"/>
      <c r="F246" s="45"/>
      <c r="G246" s="45"/>
      <c r="H246" s="45"/>
      <c r="I246" s="47"/>
      <c r="J246" s="18"/>
      <c r="L246" s="44"/>
      <c r="M246" s="45"/>
      <c r="N246" s="45"/>
      <c r="O246" s="45"/>
      <c r="P246" s="45"/>
      <c r="Q246" s="24"/>
      <c r="R246" s="24"/>
      <c r="S246" s="37"/>
    </row>
    <row r="247" spans="1:19" s="19" customFormat="1" x14ac:dyDescent="0.2">
      <c r="A247" s="18"/>
      <c r="C247" s="46"/>
      <c r="D247" s="47"/>
      <c r="E247" s="47"/>
      <c r="F247" s="47"/>
      <c r="G247" s="47"/>
      <c r="H247" s="47"/>
      <c r="I247" s="47"/>
      <c r="J247" s="18"/>
      <c r="L247" s="46"/>
      <c r="M247" s="47"/>
      <c r="N247" s="47"/>
      <c r="O247" s="47"/>
      <c r="P247" s="47"/>
      <c r="Q247" s="24"/>
      <c r="R247" s="24"/>
      <c r="S247" s="37"/>
    </row>
    <row r="248" spans="1:19" s="19" customFormat="1" x14ac:dyDescent="0.2">
      <c r="A248" s="18"/>
      <c r="C248" s="44"/>
      <c r="D248" s="45"/>
      <c r="E248" s="45"/>
      <c r="F248" s="45"/>
      <c r="G248" s="45"/>
      <c r="H248" s="45"/>
      <c r="I248" s="47"/>
      <c r="J248" s="18"/>
      <c r="L248" s="44"/>
      <c r="M248" s="45"/>
      <c r="N248" s="45"/>
      <c r="O248" s="45"/>
      <c r="P248" s="45"/>
      <c r="Q248" s="24"/>
      <c r="R248" s="24"/>
      <c r="S248" s="37"/>
    </row>
    <row r="249" spans="1:19" s="19" customFormat="1" x14ac:dyDescent="0.2">
      <c r="A249" s="18"/>
      <c r="C249" s="46"/>
      <c r="D249" s="47"/>
      <c r="E249" s="47"/>
      <c r="F249" s="47"/>
      <c r="G249" s="47"/>
      <c r="H249" s="47"/>
      <c r="I249" s="47"/>
      <c r="J249" s="18"/>
      <c r="L249" s="46"/>
      <c r="M249" s="47"/>
      <c r="N249" s="47"/>
      <c r="O249" s="47"/>
      <c r="P249" s="47"/>
      <c r="Q249" s="24"/>
      <c r="R249" s="24"/>
      <c r="S249" s="37"/>
    </row>
    <row r="250" spans="1:19" s="19" customFormat="1" x14ac:dyDescent="0.2">
      <c r="A250" s="18"/>
      <c r="C250" s="44"/>
      <c r="D250" s="45"/>
      <c r="E250" s="45"/>
      <c r="F250" s="45"/>
      <c r="G250" s="45"/>
      <c r="H250" s="45"/>
      <c r="I250" s="47"/>
      <c r="J250" s="18"/>
      <c r="L250" s="44"/>
      <c r="M250" s="45"/>
      <c r="N250" s="45"/>
      <c r="O250" s="45"/>
      <c r="P250" s="45"/>
      <c r="Q250" s="24"/>
      <c r="R250" s="24"/>
      <c r="S250" s="37"/>
    </row>
    <row r="251" spans="1:19" s="19" customFormat="1" x14ac:dyDescent="0.2">
      <c r="A251" s="18"/>
      <c r="C251" s="46"/>
      <c r="D251" s="47"/>
      <c r="E251" s="47"/>
      <c r="F251" s="47"/>
      <c r="G251" s="47"/>
      <c r="H251" s="47"/>
      <c r="I251" s="47"/>
      <c r="J251" s="18"/>
      <c r="L251" s="46"/>
      <c r="M251" s="47"/>
      <c r="N251" s="47"/>
      <c r="O251" s="47"/>
      <c r="P251" s="47"/>
      <c r="Q251" s="24"/>
      <c r="R251" s="24"/>
      <c r="S251" s="37"/>
    </row>
    <row r="252" spans="1:19" s="19" customFormat="1" x14ac:dyDescent="0.2">
      <c r="A252" s="18"/>
      <c r="C252" s="44"/>
      <c r="D252" s="45"/>
      <c r="E252" s="45"/>
      <c r="F252" s="45"/>
      <c r="G252" s="45"/>
      <c r="H252" s="45"/>
      <c r="I252" s="47"/>
      <c r="J252" s="18"/>
      <c r="L252" s="44"/>
      <c r="M252" s="45"/>
      <c r="N252" s="45"/>
      <c r="O252" s="45"/>
      <c r="P252" s="45"/>
      <c r="Q252" s="24"/>
      <c r="R252" s="24"/>
      <c r="S252" s="37"/>
    </row>
    <row r="253" spans="1:19" s="19" customFormat="1" x14ac:dyDescent="0.2">
      <c r="A253" s="18"/>
      <c r="C253" s="46"/>
      <c r="D253" s="47"/>
      <c r="E253" s="47"/>
      <c r="F253" s="47"/>
      <c r="G253" s="47"/>
      <c r="H253" s="47"/>
      <c r="I253" s="47"/>
      <c r="J253" s="18"/>
      <c r="L253" s="46"/>
      <c r="M253" s="47"/>
      <c r="N253" s="47"/>
      <c r="O253" s="47"/>
      <c r="P253" s="47"/>
      <c r="Q253" s="24"/>
      <c r="R253" s="24"/>
      <c r="S253" s="37"/>
    </row>
    <row r="254" spans="1:19" s="19" customFormat="1" x14ac:dyDescent="0.2">
      <c r="A254" s="18"/>
      <c r="C254" s="44"/>
      <c r="D254" s="45"/>
      <c r="E254" s="45"/>
      <c r="F254" s="45"/>
      <c r="G254" s="45"/>
      <c r="H254" s="45"/>
      <c r="I254" s="47"/>
      <c r="J254" s="18"/>
      <c r="L254" s="44"/>
      <c r="M254" s="45"/>
      <c r="N254" s="45"/>
      <c r="O254" s="45"/>
      <c r="P254" s="45"/>
      <c r="Q254" s="24"/>
      <c r="R254" s="24"/>
      <c r="S254" s="37"/>
    </row>
    <row r="255" spans="1:19" s="19" customFormat="1" x14ac:dyDescent="0.2">
      <c r="A255" s="18"/>
      <c r="C255" s="46"/>
      <c r="D255" s="47"/>
      <c r="E255" s="47"/>
      <c r="F255" s="47"/>
      <c r="G255" s="47"/>
      <c r="H255" s="47"/>
      <c r="I255" s="47"/>
      <c r="J255" s="18"/>
      <c r="L255" s="46"/>
      <c r="M255" s="47"/>
      <c r="N255" s="47"/>
      <c r="O255" s="47"/>
      <c r="P255" s="47"/>
      <c r="Q255" s="24"/>
      <c r="R255" s="24"/>
      <c r="S255" s="37"/>
    </row>
    <row r="256" spans="1:19" s="19" customFormat="1" x14ac:dyDescent="0.2">
      <c r="A256" s="18"/>
      <c r="C256" s="44"/>
      <c r="D256" s="45"/>
      <c r="E256" s="45"/>
      <c r="F256" s="45"/>
      <c r="G256" s="45"/>
      <c r="H256" s="45"/>
      <c r="I256" s="47"/>
      <c r="J256" s="18"/>
      <c r="L256" s="44"/>
      <c r="M256" s="45"/>
      <c r="N256" s="45"/>
      <c r="O256" s="45"/>
      <c r="P256" s="45"/>
      <c r="Q256" s="24"/>
      <c r="R256" s="24"/>
      <c r="S256" s="37"/>
    </row>
    <row r="257" spans="1:19" s="19" customFormat="1" x14ac:dyDescent="0.2">
      <c r="A257" s="18"/>
      <c r="C257" s="46"/>
      <c r="D257" s="47"/>
      <c r="E257" s="47"/>
      <c r="F257" s="47"/>
      <c r="G257" s="47"/>
      <c r="H257" s="47"/>
      <c r="I257" s="47"/>
      <c r="J257" s="18"/>
      <c r="L257" s="46"/>
      <c r="M257" s="47"/>
      <c r="N257" s="47"/>
      <c r="O257" s="47"/>
      <c r="P257" s="47"/>
      <c r="Q257" s="24"/>
      <c r="R257" s="24"/>
      <c r="S257" s="37"/>
    </row>
    <row r="258" spans="1:19" s="19" customFormat="1" x14ac:dyDescent="0.2">
      <c r="A258" s="18"/>
      <c r="C258" s="44"/>
      <c r="D258" s="45"/>
      <c r="E258" s="45"/>
      <c r="F258" s="45"/>
      <c r="G258" s="45"/>
      <c r="H258" s="45"/>
      <c r="I258" s="47"/>
      <c r="J258" s="18"/>
      <c r="L258" s="44"/>
      <c r="M258" s="45"/>
      <c r="N258" s="45"/>
      <c r="O258" s="45"/>
      <c r="P258" s="45"/>
      <c r="Q258" s="24"/>
      <c r="R258" s="24"/>
      <c r="S258" s="37"/>
    </row>
    <row r="259" spans="1:19" s="19" customFormat="1" x14ac:dyDescent="0.2">
      <c r="A259" s="18"/>
      <c r="C259" s="46"/>
      <c r="D259" s="47"/>
      <c r="E259" s="47"/>
      <c r="F259" s="47"/>
      <c r="G259" s="47"/>
      <c r="H259" s="47"/>
      <c r="I259" s="47"/>
      <c r="J259" s="18"/>
      <c r="L259" s="46"/>
      <c r="M259" s="47"/>
      <c r="N259" s="47"/>
      <c r="O259" s="47"/>
      <c r="P259" s="47"/>
      <c r="Q259" s="24"/>
      <c r="R259" s="24"/>
      <c r="S259" s="37"/>
    </row>
    <row r="260" spans="1:19" s="19" customFormat="1" x14ac:dyDescent="0.2">
      <c r="A260" s="18"/>
      <c r="C260" s="44"/>
      <c r="D260" s="45"/>
      <c r="E260" s="45"/>
      <c r="F260" s="45"/>
      <c r="G260" s="45"/>
      <c r="H260" s="45"/>
      <c r="I260" s="47"/>
      <c r="J260" s="18"/>
      <c r="L260" s="44"/>
      <c r="M260" s="45"/>
      <c r="N260" s="45"/>
      <c r="O260" s="45"/>
      <c r="P260" s="45"/>
      <c r="Q260" s="24"/>
      <c r="R260" s="24"/>
      <c r="S260" s="37"/>
    </row>
    <row r="261" spans="1:19" s="19" customFormat="1" x14ac:dyDescent="0.2">
      <c r="A261" s="18"/>
      <c r="C261" s="46"/>
      <c r="D261" s="47"/>
      <c r="E261" s="47"/>
      <c r="F261" s="47"/>
      <c r="G261" s="47"/>
      <c r="H261" s="47"/>
      <c r="I261" s="47"/>
      <c r="J261" s="18"/>
      <c r="L261" s="46"/>
      <c r="M261" s="47"/>
      <c r="N261" s="47"/>
      <c r="O261" s="47"/>
      <c r="P261" s="47"/>
      <c r="Q261" s="24"/>
      <c r="R261" s="24"/>
      <c r="S261" s="37"/>
    </row>
    <row r="262" spans="1:19" s="19" customFormat="1" x14ac:dyDescent="0.2">
      <c r="A262" s="18"/>
      <c r="C262" s="44"/>
      <c r="D262" s="45"/>
      <c r="E262" s="45"/>
      <c r="F262" s="45"/>
      <c r="G262" s="45"/>
      <c r="H262" s="45"/>
      <c r="I262" s="47"/>
      <c r="J262" s="18"/>
      <c r="L262" s="44"/>
      <c r="M262" s="45"/>
      <c r="N262" s="45"/>
      <c r="O262" s="45"/>
      <c r="P262" s="45"/>
      <c r="Q262" s="24"/>
      <c r="R262" s="24"/>
      <c r="S262" s="37"/>
    </row>
    <row r="263" spans="1:19" s="19" customFormat="1" x14ac:dyDescent="0.2">
      <c r="A263" s="18"/>
      <c r="C263" s="46"/>
      <c r="D263" s="47"/>
      <c r="E263" s="47"/>
      <c r="F263" s="47"/>
      <c r="G263" s="47"/>
      <c r="H263" s="47"/>
      <c r="I263" s="47"/>
      <c r="J263" s="18"/>
      <c r="L263" s="46"/>
      <c r="M263" s="47"/>
      <c r="N263" s="47"/>
      <c r="O263" s="47"/>
      <c r="P263" s="47"/>
      <c r="Q263" s="24"/>
      <c r="R263" s="24"/>
      <c r="S263" s="37"/>
    </row>
    <row r="264" spans="1:19" s="19" customFormat="1" x14ac:dyDescent="0.2">
      <c r="A264" s="18"/>
      <c r="C264" s="44"/>
      <c r="D264" s="45"/>
      <c r="E264" s="45"/>
      <c r="F264" s="45"/>
      <c r="G264" s="45"/>
      <c r="H264" s="45"/>
      <c r="I264" s="47"/>
      <c r="J264" s="18"/>
      <c r="L264" s="44"/>
      <c r="M264" s="45"/>
      <c r="N264" s="45"/>
      <c r="O264" s="45"/>
      <c r="P264" s="45"/>
      <c r="Q264" s="24"/>
      <c r="R264" s="24"/>
      <c r="S264" s="37"/>
    </row>
    <row r="265" spans="1:19" s="19" customFormat="1" x14ac:dyDescent="0.2">
      <c r="A265" s="18"/>
      <c r="C265" s="46"/>
      <c r="D265" s="47"/>
      <c r="E265" s="47"/>
      <c r="F265" s="47"/>
      <c r="G265" s="47"/>
      <c r="H265" s="47"/>
      <c r="I265" s="47"/>
      <c r="J265" s="18"/>
      <c r="L265" s="46"/>
      <c r="M265" s="47"/>
      <c r="N265" s="47"/>
      <c r="O265" s="47"/>
      <c r="P265" s="47"/>
      <c r="Q265" s="24"/>
      <c r="R265" s="24"/>
      <c r="S265" s="37"/>
    </row>
    <row r="266" spans="1:19" s="19" customFormat="1" x14ac:dyDescent="0.2">
      <c r="A266" s="18"/>
      <c r="C266" s="44"/>
      <c r="D266" s="45"/>
      <c r="E266" s="45"/>
      <c r="F266" s="45"/>
      <c r="G266" s="45"/>
      <c r="H266" s="45"/>
      <c r="I266" s="47"/>
      <c r="J266" s="18"/>
      <c r="L266" s="44"/>
      <c r="M266" s="45"/>
      <c r="N266" s="45"/>
      <c r="O266" s="45"/>
      <c r="P266" s="45"/>
      <c r="Q266" s="24"/>
      <c r="R266" s="24"/>
      <c r="S266" s="37"/>
    </row>
    <row r="267" spans="1:19" s="19" customFormat="1" x14ac:dyDescent="0.2">
      <c r="A267" s="18"/>
      <c r="C267" s="46"/>
      <c r="D267" s="47"/>
      <c r="E267" s="47"/>
      <c r="F267" s="47"/>
      <c r="G267" s="47"/>
      <c r="H267" s="47"/>
      <c r="I267" s="47"/>
      <c r="J267" s="18"/>
      <c r="L267" s="46"/>
      <c r="M267" s="47"/>
      <c r="N267" s="47"/>
      <c r="O267" s="47"/>
      <c r="P267" s="47"/>
      <c r="Q267" s="24"/>
      <c r="R267" s="24"/>
      <c r="S267" s="37"/>
    </row>
    <row r="268" spans="1:19" s="19" customFormat="1" x14ac:dyDescent="0.2">
      <c r="A268" s="18"/>
      <c r="C268" s="44"/>
      <c r="D268" s="45"/>
      <c r="E268" s="45"/>
      <c r="F268" s="45"/>
      <c r="G268" s="45"/>
      <c r="H268" s="45"/>
      <c r="I268" s="47"/>
      <c r="J268" s="18"/>
      <c r="L268" s="44"/>
      <c r="M268" s="45"/>
      <c r="N268" s="45"/>
      <c r="O268" s="45"/>
      <c r="P268" s="45"/>
      <c r="Q268" s="24"/>
      <c r="R268" s="24"/>
      <c r="S268" s="37"/>
    </row>
    <row r="269" spans="1:19" s="19" customFormat="1" x14ac:dyDescent="0.2">
      <c r="A269" s="18"/>
      <c r="C269" s="46"/>
      <c r="D269" s="47"/>
      <c r="E269" s="47"/>
      <c r="F269" s="47"/>
      <c r="G269" s="47"/>
      <c r="H269" s="47"/>
      <c r="I269" s="47"/>
      <c r="J269" s="18"/>
      <c r="L269" s="46"/>
      <c r="M269" s="47"/>
      <c r="N269" s="47"/>
      <c r="O269" s="47"/>
      <c r="P269" s="47"/>
      <c r="Q269" s="24"/>
      <c r="R269" s="24"/>
      <c r="S269" s="37"/>
    </row>
    <row r="270" spans="1:19" s="19" customFormat="1" x14ac:dyDescent="0.2">
      <c r="A270" s="18"/>
      <c r="C270" s="44"/>
      <c r="D270" s="45"/>
      <c r="E270" s="45"/>
      <c r="F270" s="45"/>
      <c r="G270" s="45"/>
      <c r="H270" s="45"/>
      <c r="I270" s="47"/>
      <c r="J270" s="18"/>
      <c r="L270" s="44"/>
      <c r="M270" s="45"/>
      <c r="N270" s="45"/>
      <c r="O270" s="45"/>
      <c r="P270" s="45"/>
      <c r="Q270" s="24"/>
      <c r="R270" s="24"/>
      <c r="S270" s="37"/>
    </row>
    <row r="271" spans="1:19" s="19" customFormat="1" x14ac:dyDescent="0.2">
      <c r="A271" s="18"/>
      <c r="C271" s="46"/>
      <c r="D271" s="47"/>
      <c r="E271" s="47"/>
      <c r="F271" s="47"/>
      <c r="G271" s="47"/>
      <c r="H271" s="47"/>
      <c r="I271" s="47"/>
      <c r="J271" s="18"/>
      <c r="L271" s="46"/>
      <c r="M271" s="47"/>
      <c r="N271" s="47"/>
      <c r="O271" s="47"/>
      <c r="P271" s="47"/>
      <c r="Q271" s="24"/>
      <c r="R271" s="24"/>
      <c r="S271" s="37"/>
    </row>
    <row r="272" spans="1:19" s="19" customFormat="1" x14ac:dyDescent="0.2">
      <c r="A272" s="18"/>
      <c r="C272" s="44"/>
      <c r="D272" s="45"/>
      <c r="E272" s="45"/>
      <c r="F272" s="45"/>
      <c r="G272" s="45"/>
      <c r="H272" s="45"/>
      <c r="I272" s="47"/>
      <c r="J272" s="18"/>
      <c r="L272" s="44"/>
      <c r="M272" s="45"/>
      <c r="N272" s="45"/>
      <c r="O272" s="45"/>
      <c r="P272" s="45"/>
      <c r="Q272" s="24"/>
      <c r="R272" s="24"/>
      <c r="S272" s="37"/>
    </row>
    <row r="273" spans="1:19" s="19" customFormat="1" x14ac:dyDescent="0.2">
      <c r="A273" s="18"/>
      <c r="C273" s="46"/>
      <c r="D273" s="47"/>
      <c r="E273" s="47"/>
      <c r="F273" s="47"/>
      <c r="G273" s="47"/>
      <c r="H273" s="47"/>
      <c r="I273" s="47"/>
      <c r="J273" s="18"/>
      <c r="L273" s="46"/>
      <c r="M273" s="47"/>
      <c r="N273" s="47"/>
      <c r="O273" s="47"/>
      <c r="P273" s="47"/>
      <c r="Q273" s="24"/>
      <c r="R273" s="24"/>
      <c r="S273" s="37"/>
    </row>
    <row r="274" spans="1:19" s="19" customFormat="1" x14ac:dyDescent="0.2">
      <c r="A274" s="18"/>
      <c r="C274" s="44"/>
      <c r="D274" s="45"/>
      <c r="E274" s="45"/>
      <c r="F274" s="45"/>
      <c r="G274" s="45"/>
      <c r="H274" s="45"/>
      <c r="I274" s="47"/>
      <c r="J274" s="18"/>
      <c r="L274" s="44"/>
      <c r="M274" s="45"/>
      <c r="N274" s="45"/>
      <c r="O274" s="45"/>
      <c r="P274" s="45"/>
      <c r="Q274" s="24"/>
      <c r="R274" s="24"/>
      <c r="S274" s="37"/>
    </row>
    <row r="275" spans="1:19" s="19" customFormat="1" x14ac:dyDescent="0.2">
      <c r="A275" s="18"/>
      <c r="C275" s="46"/>
      <c r="D275" s="47"/>
      <c r="E275" s="47"/>
      <c r="F275" s="47"/>
      <c r="G275" s="47"/>
      <c r="H275" s="47"/>
      <c r="I275" s="47"/>
      <c r="J275" s="18"/>
      <c r="L275" s="46"/>
      <c r="M275" s="47"/>
      <c r="N275" s="47"/>
      <c r="O275" s="47"/>
      <c r="P275" s="47"/>
      <c r="Q275" s="24"/>
      <c r="R275" s="24"/>
      <c r="S275" s="37"/>
    </row>
    <row r="276" spans="1:19" s="19" customFormat="1" x14ac:dyDescent="0.2">
      <c r="A276" s="18"/>
      <c r="C276" s="44"/>
      <c r="D276" s="45"/>
      <c r="E276" s="45"/>
      <c r="F276" s="45"/>
      <c r="G276" s="45"/>
      <c r="H276" s="45"/>
      <c r="I276" s="47"/>
      <c r="J276" s="18"/>
      <c r="L276" s="44"/>
      <c r="M276" s="45"/>
      <c r="N276" s="45"/>
      <c r="O276" s="45"/>
      <c r="P276" s="45"/>
      <c r="Q276" s="24"/>
      <c r="R276" s="24"/>
      <c r="S276" s="37"/>
    </row>
    <row r="277" spans="1:19" s="19" customFormat="1" x14ac:dyDescent="0.2">
      <c r="A277" s="18"/>
      <c r="C277" s="46"/>
      <c r="D277" s="47"/>
      <c r="E277" s="47"/>
      <c r="F277" s="47"/>
      <c r="G277" s="47"/>
      <c r="H277" s="47"/>
      <c r="I277" s="47"/>
      <c r="J277" s="18"/>
      <c r="L277" s="46"/>
      <c r="M277" s="47"/>
      <c r="N277" s="47"/>
      <c r="O277" s="47"/>
      <c r="P277" s="47"/>
      <c r="Q277" s="24"/>
      <c r="R277" s="24"/>
      <c r="S277" s="37"/>
    </row>
    <row r="278" spans="1:19" s="19" customFormat="1" x14ac:dyDescent="0.2">
      <c r="A278" s="18"/>
      <c r="C278" s="44"/>
      <c r="D278" s="45"/>
      <c r="E278" s="45"/>
      <c r="F278" s="45"/>
      <c r="G278" s="45"/>
      <c r="H278" s="45"/>
      <c r="I278" s="47"/>
      <c r="J278" s="18"/>
      <c r="L278" s="44"/>
      <c r="M278" s="45"/>
      <c r="N278" s="45"/>
      <c r="O278" s="45"/>
      <c r="P278" s="45"/>
      <c r="Q278" s="24"/>
      <c r="R278" s="24"/>
      <c r="S278" s="37"/>
    </row>
    <row r="279" spans="1:19" s="19" customFormat="1" x14ac:dyDescent="0.2">
      <c r="A279" s="18"/>
      <c r="C279" s="46"/>
      <c r="D279" s="47"/>
      <c r="E279" s="47"/>
      <c r="F279" s="47"/>
      <c r="G279" s="47"/>
      <c r="H279" s="47"/>
      <c r="I279" s="47"/>
      <c r="J279" s="18"/>
      <c r="L279" s="46"/>
      <c r="M279" s="47"/>
      <c r="N279" s="47"/>
      <c r="O279" s="47"/>
      <c r="P279" s="47"/>
      <c r="Q279" s="24"/>
      <c r="R279" s="24"/>
      <c r="S279" s="37"/>
    </row>
    <row r="280" spans="1:19" s="19" customFormat="1" x14ac:dyDescent="0.2">
      <c r="A280" s="18"/>
      <c r="C280" s="44"/>
      <c r="D280" s="45"/>
      <c r="E280" s="45"/>
      <c r="F280" s="45"/>
      <c r="G280" s="45"/>
      <c r="H280" s="45"/>
      <c r="I280" s="47"/>
      <c r="J280" s="18"/>
      <c r="L280" s="44"/>
      <c r="M280" s="45"/>
      <c r="N280" s="45"/>
      <c r="O280" s="45"/>
      <c r="P280" s="45"/>
      <c r="Q280" s="24"/>
      <c r="R280" s="24"/>
      <c r="S280" s="37"/>
    </row>
    <row r="281" spans="1:19" s="19" customFormat="1" x14ac:dyDescent="0.2">
      <c r="A281" s="18"/>
      <c r="C281" s="46"/>
      <c r="D281" s="47"/>
      <c r="E281" s="47"/>
      <c r="F281" s="47"/>
      <c r="G281" s="47"/>
      <c r="H281" s="47"/>
      <c r="I281" s="47"/>
      <c r="J281" s="18"/>
      <c r="L281" s="46"/>
      <c r="M281" s="47"/>
      <c r="N281" s="47"/>
      <c r="O281" s="47"/>
      <c r="P281" s="47"/>
      <c r="Q281" s="24"/>
      <c r="R281" s="24"/>
      <c r="S281" s="37"/>
    </row>
    <row r="282" spans="1:19" s="19" customFormat="1" x14ac:dyDescent="0.2">
      <c r="A282" s="18"/>
      <c r="C282" s="44"/>
      <c r="D282" s="45"/>
      <c r="E282" s="45"/>
      <c r="F282" s="45"/>
      <c r="G282" s="45"/>
      <c r="H282" s="45"/>
      <c r="I282" s="47"/>
      <c r="J282" s="18"/>
      <c r="L282" s="44"/>
      <c r="M282" s="45"/>
      <c r="N282" s="45"/>
      <c r="O282" s="45"/>
      <c r="P282" s="45"/>
      <c r="Q282" s="24"/>
      <c r="R282" s="24"/>
      <c r="S282" s="37"/>
    </row>
    <row r="283" spans="1:19" s="19" customFormat="1" x14ac:dyDescent="0.2">
      <c r="A283" s="18"/>
      <c r="C283" s="46"/>
      <c r="D283" s="47"/>
      <c r="E283" s="47"/>
      <c r="F283" s="47"/>
      <c r="G283" s="47"/>
      <c r="H283" s="47"/>
      <c r="I283" s="47"/>
      <c r="J283" s="18"/>
      <c r="L283" s="46"/>
      <c r="M283" s="47"/>
      <c r="N283" s="47"/>
      <c r="O283" s="47"/>
      <c r="P283" s="47"/>
      <c r="Q283" s="24"/>
      <c r="R283" s="24"/>
      <c r="S283" s="37"/>
    </row>
    <row r="284" spans="1:19" s="19" customFormat="1" x14ac:dyDescent="0.2">
      <c r="A284" s="18"/>
      <c r="C284" s="44"/>
      <c r="D284" s="45"/>
      <c r="E284" s="45"/>
      <c r="F284" s="45"/>
      <c r="G284" s="45"/>
      <c r="H284" s="45"/>
      <c r="I284" s="47"/>
      <c r="J284" s="18"/>
      <c r="L284" s="44"/>
      <c r="M284" s="45"/>
      <c r="N284" s="45"/>
      <c r="O284" s="45"/>
      <c r="P284" s="45"/>
      <c r="Q284" s="24"/>
      <c r="R284" s="24"/>
      <c r="S284" s="37"/>
    </row>
    <row r="285" spans="1:19" s="19" customFormat="1" x14ac:dyDescent="0.2">
      <c r="A285" s="18"/>
      <c r="C285" s="46"/>
      <c r="D285" s="47"/>
      <c r="E285" s="47"/>
      <c r="F285" s="47"/>
      <c r="G285" s="47"/>
      <c r="H285" s="47"/>
      <c r="I285" s="47"/>
      <c r="J285" s="18"/>
      <c r="L285" s="46"/>
      <c r="M285" s="47"/>
      <c r="N285" s="47"/>
      <c r="O285" s="47"/>
      <c r="P285" s="47"/>
      <c r="Q285" s="24"/>
      <c r="R285" s="24"/>
      <c r="S285" s="37"/>
    </row>
    <row r="286" spans="1:19" s="19" customFormat="1" x14ac:dyDescent="0.2">
      <c r="A286" s="18"/>
      <c r="C286" s="44"/>
      <c r="D286" s="45"/>
      <c r="E286" s="45"/>
      <c r="F286" s="45"/>
      <c r="G286" s="45"/>
      <c r="H286" s="45"/>
      <c r="I286" s="47"/>
      <c r="J286" s="18"/>
      <c r="L286" s="44"/>
      <c r="M286" s="45"/>
      <c r="N286" s="45"/>
      <c r="O286" s="45"/>
      <c r="P286" s="45"/>
      <c r="Q286" s="24"/>
      <c r="R286" s="24"/>
      <c r="S286" s="37"/>
    </row>
    <row r="287" spans="1:19" s="19" customFormat="1" x14ac:dyDescent="0.2">
      <c r="A287" s="18"/>
      <c r="C287" s="46"/>
      <c r="D287" s="47"/>
      <c r="E287" s="47"/>
      <c r="F287" s="47"/>
      <c r="G287" s="47"/>
      <c r="H287" s="47"/>
      <c r="I287" s="47"/>
      <c r="J287" s="18"/>
      <c r="L287" s="46"/>
      <c r="M287" s="47"/>
      <c r="N287" s="47"/>
      <c r="O287" s="47"/>
      <c r="P287" s="47"/>
      <c r="Q287" s="24"/>
      <c r="R287" s="24"/>
      <c r="S287" s="37"/>
    </row>
    <row r="288" spans="1:19" s="19" customFormat="1" x14ac:dyDescent="0.2">
      <c r="A288" s="18"/>
      <c r="C288" s="44"/>
      <c r="D288" s="45"/>
      <c r="E288" s="45"/>
      <c r="F288" s="45"/>
      <c r="G288" s="45"/>
      <c r="H288" s="45"/>
      <c r="I288" s="47"/>
      <c r="J288" s="18"/>
      <c r="L288" s="44"/>
      <c r="M288" s="45"/>
      <c r="N288" s="45"/>
      <c r="O288" s="45"/>
      <c r="P288" s="45"/>
      <c r="Q288" s="24"/>
      <c r="R288" s="24"/>
      <c r="S288" s="37"/>
    </row>
    <row r="289" spans="1:19" s="19" customFormat="1" x14ac:dyDescent="0.2">
      <c r="A289" s="18"/>
      <c r="C289" s="46"/>
      <c r="D289" s="47"/>
      <c r="E289" s="47"/>
      <c r="F289" s="47"/>
      <c r="G289" s="47"/>
      <c r="H289" s="47"/>
      <c r="I289" s="47"/>
      <c r="J289" s="18"/>
      <c r="L289" s="46"/>
      <c r="M289" s="47"/>
      <c r="N289" s="47"/>
      <c r="O289" s="47"/>
      <c r="P289" s="47"/>
      <c r="Q289" s="24"/>
      <c r="R289" s="24"/>
      <c r="S289" s="37"/>
    </row>
    <row r="290" spans="1:19" s="19" customFormat="1" x14ac:dyDescent="0.2">
      <c r="A290" s="18"/>
      <c r="C290" s="44"/>
      <c r="D290" s="45"/>
      <c r="E290" s="45"/>
      <c r="F290" s="45"/>
      <c r="G290" s="45"/>
      <c r="H290" s="45"/>
      <c r="I290" s="47"/>
      <c r="J290" s="18"/>
      <c r="L290" s="44"/>
      <c r="M290" s="45"/>
      <c r="N290" s="45"/>
      <c r="O290" s="45"/>
      <c r="P290" s="45"/>
      <c r="Q290" s="24"/>
      <c r="R290" s="24"/>
      <c r="S290" s="37"/>
    </row>
    <row r="291" spans="1:19" s="19" customFormat="1" x14ac:dyDescent="0.2">
      <c r="A291" s="18"/>
      <c r="C291" s="46"/>
      <c r="D291" s="47"/>
      <c r="E291" s="47"/>
      <c r="F291" s="47"/>
      <c r="G291" s="47"/>
      <c r="H291" s="47"/>
      <c r="I291" s="47"/>
      <c r="J291" s="18"/>
      <c r="L291" s="46"/>
      <c r="M291" s="47"/>
      <c r="N291" s="47"/>
      <c r="O291" s="47"/>
      <c r="P291" s="47"/>
      <c r="Q291" s="24"/>
      <c r="R291" s="24"/>
      <c r="S291" s="37"/>
    </row>
    <row r="292" spans="1:19" s="19" customFormat="1" x14ac:dyDescent="0.2">
      <c r="A292" s="18"/>
      <c r="C292" s="44"/>
      <c r="D292" s="45"/>
      <c r="E292" s="45"/>
      <c r="F292" s="45"/>
      <c r="G292" s="45"/>
      <c r="H292" s="45"/>
      <c r="I292" s="47"/>
      <c r="J292" s="18"/>
      <c r="L292" s="44"/>
      <c r="M292" s="45"/>
      <c r="N292" s="45"/>
      <c r="O292" s="45"/>
      <c r="P292" s="45"/>
      <c r="Q292" s="24"/>
      <c r="R292" s="24"/>
      <c r="S292" s="37"/>
    </row>
    <row r="293" spans="1:19" s="19" customFormat="1" x14ac:dyDescent="0.2">
      <c r="A293" s="18"/>
      <c r="C293" s="46"/>
      <c r="D293" s="47"/>
      <c r="E293" s="47"/>
      <c r="F293" s="47"/>
      <c r="G293" s="47"/>
      <c r="H293" s="47"/>
      <c r="I293" s="47"/>
      <c r="J293" s="18"/>
      <c r="L293" s="46"/>
      <c r="M293" s="47"/>
      <c r="N293" s="47"/>
      <c r="O293" s="47"/>
      <c r="P293" s="47"/>
      <c r="Q293" s="24"/>
      <c r="R293" s="24"/>
      <c r="S293" s="37"/>
    </row>
    <row r="294" spans="1:19" s="19" customFormat="1" x14ac:dyDescent="0.2">
      <c r="A294" s="18"/>
      <c r="C294" s="44"/>
      <c r="D294" s="45"/>
      <c r="E294" s="45"/>
      <c r="F294" s="45"/>
      <c r="G294" s="45"/>
      <c r="H294" s="45"/>
      <c r="I294" s="47"/>
      <c r="J294" s="18"/>
      <c r="L294" s="44"/>
      <c r="M294" s="45"/>
      <c r="N294" s="45"/>
      <c r="O294" s="45"/>
      <c r="P294" s="45"/>
      <c r="Q294" s="24"/>
      <c r="R294" s="24"/>
      <c r="S294" s="37"/>
    </row>
    <row r="295" spans="1:19" s="19" customFormat="1" x14ac:dyDescent="0.2">
      <c r="A295" s="18"/>
      <c r="C295" s="46"/>
      <c r="D295" s="47"/>
      <c r="E295" s="47"/>
      <c r="F295" s="47"/>
      <c r="G295" s="47"/>
      <c r="H295" s="47"/>
      <c r="I295" s="47"/>
      <c r="J295" s="18"/>
      <c r="L295" s="46"/>
      <c r="M295" s="47"/>
      <c r="N295" s="47"/>
      <c r="O295" s="47"/>
      <c r="P295" s="47"/>
      <c r="Q295" s="24"/>
      <c r="R295" s="24"/>
      <c r="S295" s="37"/>
    </row>
    <row r="296" spans="1:19" s="19" customFormat="1" x14ac:dyDescent="0.2">
      <c r="A296" s="18"/>
      <c r="C296" s="44"/>
      <c r="D296" s="45"/>
      <c r="E296" s="45"/>
      <c r="F296" s="45"/>
      <c r="G296" s="45"/>
      <c r="H296" s="45"/>
      <c r="I296" s="47"/>
      <c r="J296" s="18"/>
      <c r="L296" s="44"/>
      <c r="M296" s="45"/>
      <c r="N296" s="45"/>
      <c r="O296" s="45"/>
      <c r="P296" s="45"/>
      <c r="Q296" s="24"/>
      <c r="R296" s="24"/>
      <c r="S296" s="37"/>
    </row>
    <row r="297" spans="1:19" s="19" customFormat="1" x14ac:dyDescent="0.2">
      <c r="A297" s="18"/>
      <c r="C297" s="46"/>
      <c r="D297" s="47"/>
      <c r="E297" s="47"/>
      <c r="F297" s="47"/>
      <c r="G297" s="47"/>
      <c r="H297" s="47"/>
      <c r="I297" s="47"/>
      <c r="J297" s="18"/>
      <c r="L297" s="46"/>
      <c r="M297" s="47"/>
      <c r="N297" s="47"/>
      <c r="O297" s="47"/>
      <c r="P297" s="47"/>
      <c r="Q297" s="24"/>
      <c r="R297" s="24"/>
      <c r="S297" s="37"/>
    </row>
    <row r="298" spans="1:19" s="19" customFormat="1" x14ac:dyDescent="0.2">
      <c r="A298" s="18"/>
      <c r="C298" s="44"/>
      <c r="D298" s="45"/>
      <c r="E298" s="45"/>
      <c r="F298" s="45"/>
      <c r="G298" s="45"/>
      <c r="H298" s="45"/>
      <c r="I298" s="47"/>
      <c r="J298" s="18"/>
      <c r="L298" s="44"/>
      <c r="M298" s="45"/>
      <c r="N298" s="45"/>
      <c r="O298" s="45"/>
      <c r="P298" s="45"/>
      <c r="Q298" s="24"/>
      <c r="R298" s="24"/>
      <c r="S298" s="37"/>
    </row>
    <row r="299" spans="1:19" s="19" customFormat="1" x14ac:dyDescent="0.2">
      <c r="A299" s="18"/>
      <c r="C299" s="46"/>
      <c r="D299" s="47"/>
      <c r="E299" s="47"/>
      <c r="F299" s="47"/>
      <c r="G299" s="47"/>
      <c r="H299" s="47"/>
      <c r="I299" s="47"/>
      <c r="J299" s="18"/>
      <c r="L299" s="46"/>
      <c r="M299" s="47"/>
      <c r="N299" s="47"/>
      <c r="O299" s="47"/>
      <c r="P299" s="47"/>
      <c r="Q299" s="24"/>
      <c r="R299" s="24"/>
      <c r="S299" s="37"/>
    </row>
    <row r="300" spans="1:19" s="19" customFormat="1" x14ac:dyDescent="0.2">
      <c r="A300" s="18"/>
      <c r="C300" s="44"/>
      <c r="D300" s="45"/>
      <c r="E300" s="45"/>
      <c r="F300" s="45"/>
      <c r="G300" s="45"/>
      <c r="H300" s="45"/>
      <c r="I300" s="47"/>
      <c r="J300" s="18"/>
      <c r="L300" s="44"/>
      <c r="M300" s="45"/>
      <c r="N300" s="45"/>
      <c r="O300" s="45"/>
      <c r="P300" s="45"/>
      <c r="Q300" s="24"/>
      <c r="R300" s="24"/>
      <c r="S300" s="37"/>
    </row>
    <row r="301" spans="1:19" s="19" customFormat="1" x14ac:dyDescent="0.2">
      <c r="A301" s="18"/>
      <c r="C301" s="46"/>
      <c r="D301" s="47"/>
      <c r="E301" s="47"/>
      <c r="F301" s="47"/>
      <c r="G301" s="47"/>
      <c r="H301" s="47"/>
      <c r="I301" s="47"/>
      <c r="J301" s="18"/>
      <c r="L301" s="46"/>
      <c r="M301" s="47"/>
      <c r="N301" s="47"/>
      <c r="O301" s="47"/>
      <c r="P301" s="47"/>
      <c r="Q301" s="24"/>
      <c r="R301" s="24"/>
      <c r="S301" s="37"/>
    </row>
    <row r="302" spans="1:19" s="19" customFormat="1" x14ac:dyDescent="0.2">
      <c r="A302" s="18"/>
      <c r="C302" s="44"/>
      <c r="D302" s="45"/>
      <c r="E302" s="45"/>
      <c r="F302" s="45"/>
      <c r="G302" s="45"/>
      <c r="H302" s="45"/>
      <c r="I302" s="47"/>
      <c r="J302" s="18"/>
      <c r="L302" s="44"/>
      <c r="M302" s="45"/>
      <c r="N302" s="45"/>
      <c r="O302" s="45"/>
      <c r="P302" s="45"/>
      <c r="Q302" s="24"/>
      <c r="R302" s="24"/>
      <c r="S302" s="37"/>
    </row>
    <row r="303" spans="1:19" s="19" customFormat="1" x14ac:dyDescent="0.2">
      <c r="A303" s="18"/>
      <c r="C303" s="46"/>
      <c r="D303" s="47"/>
      <c r="E303" s="47"/>
      <c r="F303" s="47"/>
      <c r="G303" s="47"/>
      <c r="H303" s="47"/>
      <c r="I303" s="47"/>
      <c r="J303" s="18"/>
      <c r="L303" s="46"/>
      <c r="M303" s="47"/>
      <c r="N303" s="47"/>
      <c r="O303" s="47"/>
      <c r="P303" s="47"/>
      <c r="Q303" s="24"/>
      <c r="R303" s="24"/>
      <c r="S303" s="37"/>
    </row>
    <row r="304" spans="1:19" s="19" customFormat="1" x14ac:dyDescent="0.2">
      <c r="A304" s="18"/>
      <c r="C304" s="44"/>
      <c r="D304" s="45"/>
      <c r="E304" s="45"/>
      <c r="F304" s="45"/>
      <c r="G304" s="45"/>
      <c r="H304" s="45"/>
      <c r="I304" s="47"/>
      <c r="J304" s="18"/>
      <c r="L304" s="44"/>
      <c r="M304" s="45"/>
      <c r="N304" s="45"/>
      <c r="O304" s="45"/>
      <c r="P304" s="45"/>
      <c r="Q304" s="24"/>
      <c r="R304" s="24"/>
      <c r="S304" s="37"/>
    </row>
    <row r="305" spans="1:19" s="19" customFormat="1" x14ac:dyDescent="0.2">
      <c r="A305" s="18"/>
      <c r="C305" s="46"/>
      <c r="D305" s="47"/>
      <c r="E305" s="47"/>
      <c r="F305" s="47"/>
      <c r="G305" s="47"/>
      <c r="H305" s="47"/>
      <c r="I305" s="47"/>
      <c r="J305" s="18"/>
      <c r="L305" s="46"/>
      <c r="M305" s="47"/>
      <c r="N305" s="47"/>
      <c r="O305" s="47"/>
      <c r="P305" s="47"/>
      <c r="Q305" s="24"/>
      <c r="R305" s="24"/>
      <c r="S305" s="37"/>
    </row>
    <row r="306" spans="1:19" s="19" customFormat="1" x14ac:dyDescent="0.2">
      <c r="A306" s="18"/>
      <c r="C306" s="44"/>
      <c r="D306" s="45"/>
      <c r="E306" s="45"/>
      <c r="F306" s="45"/>
      <c r="G306" s="45"/>
      <c r="H306" s="45"/>
      <c r="I306" s="47"/>
      <c r="J306" s="18"/>
      <c r="L306" s="44"/>
      <c r="M306" s="45"/>
      <c r="N306" s="45"/>
      <c r="O306" s="45"/>
      <c r="P306" s="45"/>
      <c r="Q306" s="24"/>
      <c r="R306" s="24"/>
      <c r="S306" s="37"/>
    </row>
    <row r="307" spans="1:19" s="19" customFormat="1" x14ac:dyDescent="0.2">
      <c r="A307" s="18"/>
      <c r="C307" s="46"/>
      <c r="D307" s="47"/>
      <c r="E307" s="47"/>
      <c r="F307" s="47"/>
      <c r="G307" s="47"/>
      <c r="H307" s="47"/>
      <c r="I307" s="47"/>
      <c r="J307" s="18"/>
      <c r="L307" s="46"/>
      <c r="M307" s="47"/>
      <c r="N307" s="47"/>
      <c r="O307" s="47"/>
      <c r="P307" s="47"/>
      <c r="Q307" s="24"/>
      <c r="R307" s="24"/>
      <c r="S307" s="37"/>
    </row>
    <row r="308" spans="1:19" s="19" customFormat="1" x14ac:dyDescent="0.2">
      <c r="A308" s="18"/>
      <c r="C308" s="44"/>
      <c r="D308" s="45"/>
      <c r="E308" s="45"/>
      <c r="F308" s="45"/>
      <c r="G308" s="45"/>
      <c r="H308" s="45"/>
      <c r="I308" s="47"/>
      <c r="J308" s="18"/>
      <c r="L308" s="44"/>
      <c r="M308" s="45"/>
      <c r="N308" s="45"/>
      <c r="O308" s="45"/>
      <c r="P308" s="45"/>
      <c r="Q308" s="24"/>
      <c r="R308" s="24"/>
      <c r="S308" s="37"/>
    </row>
    <row r="309" spans="1:19" s="19" customFormat="1" x14ac:dyDescent="0.2">
      <c r="A309" s="18"/>
      <c r="C309" s="46"/>
      <c r="D309" s="47"/>
      <c r="E309" s="47"/>
      <c r="F309" s="47"/>
      <c r="G309" s="47"/>
      <c r="H309" s="47"/>
      <c r="I309" s="47"/>
      <c r="J309" s="18"/>
      <c r="L309" s="46"/>
      <c r="M309" s="47"/>
      <c r="N309" s="47"/>
      <c r="O309" s="47"/>
      <c r="P309" s="47"/>
      <c r="Q309" s="24"/>
      <c r="R309" s="24"/>
      <c r="S309" s="37"/>
    </row>
    <row r="310" spans="1:19" s="19" customFormat="1" x14ac:dyDescent="0.2">
      <c r="A310" s="18"/>
      <c r="C310" s="44"/>
      <c r="D310" s="45"/>
      <c r="E310" s="45"/>
      <c r="F310" s="45"/>
      <c r="G310" s="45"/>
      <c r="H310" s="45"/>
      <c r="I310" s="47"/>
      <c r="J310" s="18"/>
      <c r="L310" s="44"/>
      <c r="M310" s="45"/>
      <c r="N310" s="45"/>
      <c r="O310" s="45"/>
      <c r="P310" s="45"/>
      <c r="Q310" s="24"/>
      <c r="R310" s="24"/>
      <c r="S310" s="37"/>
    </row>
    <row r="311" spans="1:19" s="19" customFormat="1" x14ac:dyDescent="0.2">
      <c r="A311" s="18"/>
      <c r="C311" s="46"/>
      <c r="D311" s="47"/>
      <c r="E311" s="47"/>
      <c r="F311" s="47"/>
      <c r="G311" s="47"/>
      <c r="H311" s="47"/>
      <c r="I311" s="47"/>
      <c r="J311" s="18"/>
      <c r="L311" s="46"/>
      <c r="M311" s="47"/>
      <c r="N311" s="47"/>
      <c r="O311" s="47"/>
      <c r="P311" s="47"/>
      <c r="Q311" s="24"/>
      <c r="R311" s="24"/>
      <c r="S311" s="37"/>
    </row>
    <row r="312" spans="1:19" s="19" customFormat="1" x14ac:dyDescent="0.2">
      <c r="A312" s="18"/>
      <c r="C312" s="44"/>
      <c r="D312" s="45"/>
      <c r="E312" s="45"/>
      <c r="F312" s="45"/>
      <c r="G312" s="45"/>
      <c r="H312" s="45"/>
      <c r="I312" s="47"/>
      <c r="J312" s="18"/>
      <c r="L312" s="44"/>
      <c r="M312" s="45"/>
      <c r="N312" s="45"/>
      <c r="O312" s="45"/>
      <c r="P312" s="45"/>
      <c r="Q312" s="24"/>
      <c r="R312" s="24"/>
      <c r="S312" s="37"/>
    </row>
    <row r="313" spans="1:19" s="19" customFormat="1" x14ac:dyDescent="0.2">
      <c r="A313" s="18"/>
      <c r="C313" s="46"/>
      <c r="D313" s="47"/>
      <c r="E313" s="47"/>
      <c r="F313" s="47"/>
      <c r="G313" s="47"/>
      <c r="H313" s="47"/>
      <c r="I313" s="47"/>
      <c r="J313" s="18"/>
      <c r="L313" s="46"/>
      <c r="M313" s="47"/>
      <c r="N313" s="47"/>
      <c r="O313" s="47"/>
      <c r="P313" s="47"/>
      <c r="Q313" s="24"/>
      <c r="R313" s="24"/>
      <c r="S313" s="37"/>
    </row>
    <row r="314" spans="1:19" s="19" customFormat="1" x14ac:dyDescent="0.2">
      <c r="A314" s="18"/>
      <c r="C314" s="44"/>
      <c r="D314" s="45"/>
      <c r="E314" s="45"/>
      <c r="F314" s="45"/>
      <c r="G314" s="45"/>
      <c r="H314" s="45"/>
      <c r="I314" s="47"/>
      <c r="J314" s="18"/>
      <c r="L314" s="44"/>
      <c r="M314" s="45"/>
      <c r="N314" s="45"/>
      <c r="O314" s="45"/>
      <c r="P314" s="45"/>
      <c r="Q314" s="24"/>
      <c r="R314" s="24"/>
      <c r="S314" s="37"/>
    </row>
    <row r="315" spans="1:19" s="19" customFormat="1" x14ac:dyDescent="0.2">
      <c r="A315" s="18"/>
      <c r="C315" s="46"/>
      <c r="D315" s="47"/>
      <c r="E315" s="47"/>
      <c r="F315" s="47"/>
      <c r="G315" s="47"/>
      <c r="H315" s="47"/>
      <c r="I315" s="47"/>
      <c r="J315" s="18"/>
      <c r="L315" s="46"/>
      <c r="M315" s="47"/>
      <c r="N315" s="47"/>
      <c r="O315" s="47"/>
      <c r="P315" s="47"/>
      <c r="Q315" s="24"/>
      <c r="R315" s="24"/>
      <c r="S315" s="37"/>
    </row>
    <row r="316" spans="1:19" s="19" customFormat="1" x14ac:dyDescent="0.2">
      <c r="A316" s="18"/>
      <c r="C316" s="44"/>
      <c r="D316" s="45"/>
      <c r="E316" s="45"/>
      <c r="F316" s="45"/>
      <c r="G316" s="45"/>
      <c r="H316" s="45"/>
      <c r="I316" s="47"/>
      <c r="J316" s="18"/>
      <c r="L316" s="44"/>
      <c r="M316" s="45"/>
      <c r="N316" s="45"/>
      <c r="O316" s="45"/>
      <c r="P316" s="45"/>
      <c r="Q316" s="24"/>
      <c r="R316" s="24"/>
      <c r="S316" s="37"/>
    </row>
    <row r="317" spans="1:19" s="19" customFormat="1" x14ac:dyDescent="0.2">
      <c r="A317" s="18"/>
      <c r="C317" s="46"/>
      <c r="D317" s="47"/>
      <c r="E317" s="47"/>
      <c r="F317" s="47"/>
      <c r="G317" s="47"/>
      <c r="H317" s="47"/>
      <c r="I317" s="47"/>
      <c r="J317" s="18"/>
      <c r="L317" s="46"/>
      <c r="M317" s="47"/>
      <c r="N317" s="47"/>
      <c r="O317" s="47"/>
      <c r="P317" s="47"/>
      <c r="Q317" s="24"/>
      <c r="R317" s="24"/>
      <c r="S317" s="37"/>
    </row>
    <row r="318" spans="1:19" s="19" customFormat="1" x14ac:dyDescent="0.2">
      <c r="A318" s="18"/>
      <c r="C318" s="44"/>
      <c r="D318" s="45"/>
      <c r="E318" s="45"/>
      <c r="F318" s="45"/>
      <c r="G318" s="45"/>
      <c r="H318" s="45"/>
      <c r="I318" s="47"/>
      <c r="J318" s="18"/>
      <c r="L318" s="44"/>
      <c r="M318" s="45"/>
      <c r="N318" s="45"/>
      <c r="O318" s="45"/>
      <c r="P318" s="45"/>
      <c r="Q318" s="24"/>
      <c r="R318" s="24"/>
      <c r="S318" s="37"/>
    </row>
    <row r="319" spans="1:19" s="19" customFormat="1" x14ac:dyDescent="0.2">
      <c r="A319" s="18"/>
      <c r="C319" s="46"/>
      <c r="D319" s="47"/>
      <c r="E319" s="47"/>
      <c r="F319" s="47"/>
      <c r="G319" s="47"/>
      <c r="H319" s="47"/>
      <c r="I319" s="47"/>
      <c r="J319" s="18"/>
      <c r="L319" s="46"/>
      <c r="M319" s="47"/>
      <c r="N319" s="47"/>
      <c r="O319" s="47"/>
      <c r="P319" s="47"/>
      <c r="Q319" s="24"/>
      <c r="R319" s="24"/>
      <c r="S319" s="37"/>
    </row>
    <row r="320" spans="1:19" s="19" customFormat="1" x14ac:dyDescent="0.2">
      <c r="A320" s="18"/>
      <c r="C320" s="44"/>
      <c r="D320" s="45"/>
      <c r="E320" s="45"/>
      <c r="F320" s="45"/>
      <c r="G320" s="45"/>
      <c r="H320" s="45"/>
      <c r="I320" s="47"/>
      <c r="J320" s="18"/>
      <c r="L320" s="44"/>
      <c r="M320" s="45"/>
      <c r="N320" s="45"/>
      <c r="O320" s="45"/>
      <c r="P320" s="45"/>
      <c r="Q320" s="24"/>
      <c r="R320" s="24"/>
      <c r="S320" s="37"/>
    </row>
    <row r="321" spans="1:19" s="19" customFormat="1" x14ac:dyDescent="0.2">
      <c r="A321" s="18"/>
      <c r="C321" s="46"/>
      <c r="D321" s="47"/>
      <c r="E321" s="47"/>
      <c r="F321" s="47"/>
      <c r="G321" s="47"/>
      <c r="H321" s="47"/>
      <c r="I321" s="47"/>
      <c r="J321" s="18"/>
      <c r="L321" s="46"/>
      <c r="M321" s="47"/>
      <c r="N321" s="47"/>
      <c r="O321" s="47"/>
      <c r="P321" s="47"/>
      <c r="Q321" s="24"/>
      <c r="R321" s="24"/>
      <c r="S321" s="37"/>
    </row>
    <row r="322" spans="1:19" s="19" customFormat="1" x14ac:dyDescent="0.2">
      <c r="A322" s="18"/>
      <c r="C322" s="44"/>
      <c r="D322" s="45"/>
      <c r="E322" s="45"/>
      <c r="F322" s="45"/>
      <c r="G322" s="45"/>
      <c r="H322" s="45"/>
      <c r="I322" s="47"/>
      <c r="J322" s="18"/>
      <c r="L322" s="44"/>
      <c r="M322" s="45"/>
      <c r="N322" s="45"/>
      <c r="O322" s="45"/>
      <c r="P322" s="45"/>
      <c r="Q322" s="24"/>
      <c r="R322" s="24"/>
      <c r="S322" s="37"/>
    </row>
    <row r="323" spans="1:19" s="19" customFormat="1" x14ac:dyDescent="0.2">
      <c r="A323" s="18"/>
      <c r="C323" s="46"/>
      <c r="D323" s="47"/>
      <c r="E323" s="47"/>
      <c r="F323" s="47"/>
      <c r="G323" s="47"/>
      <c r="H323" s="47"/>
      <c r="I323" s="47"/>
      <c r="J323" s="18"/>
      <c r="L323" s="46"/>
      <c r="M323" s="47"/>
      <c r="N323" s="47"/>
      <c r="O323" s="47"/>
      <c r="P323" s="47"/>
      <c r="Q323" s="24"/>
      <c r="R323" s="24"/>
      <c r="S323" s="37"/>
    </row>
    <row r="324" spans="1:19" s="19" customFormat="1" x14ac:dyDescent="0.2">
      <c r="A324" s="18"/>
      <c r="C324" s="44"/>
      <c r="D324" s="45"/>
      <c r="E324" s="45"/>
      <c r="F324" s="45"/>
      <c r="G324" s="45"/>
      <c r="H324" s="45"/>
      <c r="I324" s="47"/>
      <c r="J324" s="18"/>
      <c r="L324" s="44"/>
      <c r="M324" s="45"/>
      <c r="N324" s="45"/>
      <c r="O324" s="45"/>
      <c r="P324" s="45"/>
      <c r="Q324" s="24"/>
      <c r="R324" s="24"/>
      <c r="S324" s="37"/>
    </row>
    <row r="325" spans="1:19" s="19" customFormat="1" x14ac:dyDescent="0.2">
      <c r="A325" s="18"/>
      <c r="C325" s="46"/>
      <c r="D325" s="47"/>
      <c r="E325" s="47"/>
      <c r="F325" s="47"/>
      <c r="G325" s="47"/>
      <c r="H325" s="47"/>
      <c r="I325" s="47"/>
      <c r="J325" s="18"/>
      <c r="L325" s="46"/>
      <c r="M325" s="47"/>
      <c r="N325" s="47"/>
      <c r="O325" s="47"/>
      <c r="P325" s="47"/>
      <c r="Q325" s="24"/>
      <c r="R325" s="24"/>
      <c r="S325" s="37"/>
    </row>
    <row r="326" spans="1:19" s="19" customFormat="1" x14ac:dyDescent="0.2">
      <c r="A326" s="18"/>
      <c r="C326" s="44"/>
      <c r="D326" s="45"/>
      <c r="E326" s="45"/>
      <c r="F326" s="45"/>
      <c r="G326" s="45"/>
      <c r="H326" s="45"/>
      <c r="I326" s="47"/>
      <c r="J326" s="18"/>
      <c r="L326" s="44"/>
      <c r="M326" s="45"/>
      <c r="N326" s="45"/>
      <c r="O326" s="45"/>
      <c r="P326" s="45"/>
      <c r="Q326" s="24"/>
      <c r="R326" s="24"/>
      <c r="S326" s="37"/>
    </row>
    <row r="327" spans="1:19" s="19" customFormat="1" x14ac:dyDescent="0.2">
      <c r="A327" s="18"/>
      <c r="C327" s="46"/>
      <c r="D327" s="47"/>
      <c r="E327" s="47"/>
      <c r="F327" s="47"/>
      <c r="G327" s="47"/>
      <c r="H327" s="47"/>
      <c r="I327" s="47"/>
      <c r="J327" s="18"/>
      <c r="L327" s="46"/>
      <c r="M327" s="47"/>
      <c r="N327" s="47"/>
      <c r="O327" s="47"/>
      <c r="P327" s="47"/>
      <c r="Q327" s="24"/>
      <c r="R327" s="24"/>
      <c r="S327" s="37"/>
    </row>
    <row r="328" spans="1:19" s="19" customFormat="1" x14ac:dyDescent="0.2">
      <c r="A328" s="18"/>
      <c r="C328" s="44"/>
      <c r="D328" s="45"/>
      <c r="E328" s="45"/>
      <c r="F328" s="45"/>
      <c r="G328" s="45"/>
      <c r="H328" s="45"/>
      <c r="I328" s="47"/>
      <c r="J328" s="18"/>
      <c r="L328" s="44"/>
      <c r="M328" s="45"/>
      <c r="N328" s="45"/>
      <c r="O328" s="45"/>
      <c r="P328" s="45"/>
      <c r="Q328" s="24"/>
      <c r="R328" s="24"/>
      <c r="S328" s="37"/>
    </row>
    <row r="329" spans="1:19" s="19" customFormat="1" x14ac:dyDescent="0.2">
      <c r="A329" s="18"/>
      <c r="C329" s="46"/>
      <c r="D329" s="47"/>
      <c r="E329" s="47"/>
      <c r="F329" s="47"/>
      <c r="G329" s="47"/>
      <c r="H329" s="47"/>
      <c r="I329" s="47"/>
      <c r="J329" s="18"/>
      <c r="L329" s="46"/>
      <c r="M329" s="47"/>
      <c r="N329" s="47"/>
      <c r="O329" s="47"/>
      <c r="P329" s="47"/>
      <c r="S329" s="18"/>
    </row>
    <row r="330" spans="1:19" s="19" customFormat="1" x14ac:dyDescent="0.2">
      <c r="A330" s="18"/>
      <c r="C330" s="44"/>
      <c r="D330" s="45"/>
      <c r="E330" s="45"/>
      <c r="F330" s="45"/>
      <c r="G330" s="45"/>
      <c r="H330" s="45"/>
      <c r="I330" s="47"/>
      <c r="J330" s="18"/>
      <c r="L330" s="44"/>
      <c r="M330" s="45"/>
      <c r="N330" s="45"/>
      <c r="O330" s="45"/>
      <c r="P330" s="45"/>
      <c r="S330" s="18"/>
    </row>
    <row r="331" spans="1:19" s="19" customFormat="1" x14ac:dyDescent="0.2">
      <c r="A331" s="18"/>
      <c r="C331" s="46"/>
      <c r="D331" s="47"/>
      <c r="E331" s="47"/>
      <c r="F331" s="47"/>
      <c r="G331" s="47"/>
      <c r="H331" s="47"/>
      <c r="I331" s="47"/>
      <c r="J331" s="18"/>
      <c r="L331" s="46"/>
      <c r="M331" s="47"/>
      <c r="N331" s="47"/>
      <c r="O331" s="47"/>
      <c r="P331" s="47"/>
      <c r="S331" s="18"/>
    </row>
    <row r="332" spans="1:19" s="19" customFormat="1" x14ac:dyDescent="0.2">
      <c r="A332" s="18"/>
      <c r="C332" s="44"/>
      <c r="D332" s="45"/>
      <c r="E332" s="45"/>
      <c r="F332" s="45"/>
      <c r="G332" s="45"/>
      <c r="H332" s="45"/>
      <c r="I332" s="47"/>
      <c r="J332" s="18"/>
      <c r="L332" s="44"/>
      <c r="M332" s="45"/>
      <c r="N332" s="45"/>
      <c r="O332" s="45"/>
      <c r="P332" s="45"/>
      <c r="S332" s="18"/>
    </row>
    <row r="333" spans="1:19" s="19" customFormat="1" x14ac:dyDescent="0.2">
      <c r="A333" s="18"/>
      <c r="C333" s="46"/>
      <c r="D333" s="47"/>
      <c r="E333" s="47"/>
      <c r="F333" s="47"/>
      <c r="G333" s="47"/>
      <c r="H333" s="47"/>
      <c r="I333" s="47"/>
      <c r="J333" s="18"/>
      <c r="L333" s="46"/>
      <c r="M333" s="47"/>
      <c r="N333" s="47"/>
      <c r="O333" s="47"/>
      <c r="P333" s="47"/>
      <c r="S333" s="18"/>
    </row>
    <row r="334" spans="1:19" s="19" customFormat="1" x14ac:dyDescent="0.2">
      <c r="A334" s="18"/>
      <c r="C334" s="44"/>
      <c r="D334" s="45"/>
      <c r="E334" s="45"/>
      <c r="F334" s="45"/>
      <c r="G334" s="45"/>
      <c r="H334" s="45"/>
      <c r="I334" s="47"/>
      <c r="J334" s="18"/>
      <c r="L334" s="44"/>
      <c r="M334" s="45"/>
      <c r="N334" s="45"/>
      <c r="O334" s="45"/>
      <c r="P334" s="45"/>
      <c r="S334" s="18"/>
    </row>
    <row r="335" spans="1:19" s="19" customFormat="1" x14ac:dyDescent="0.2">
      <c r="A335" s="18"/>
      <c r="C335" s="46"/>
      <c r="D335" s="47"/>
      <c r="E335" s="47"/>
      <c r="F335" s="47"/>
      <c r="G335" s="47"/>
      <c r="H335" s="47"/>
      <c r="I335" s="47"/>
      <c r="J335" s="18"/>
      <c r="L335" s="46"/>
      <c r="M335" s="47"/>
      <c r="N335" s="47"/>
      <c r="O335" s="47"/>
      <c r="P335" s="47"/>
      <c r="S335" s="18"/>
    </row>
    <row r="336" spans="1:19" s="19" customFormat="1" x14ac:dyDescent="0.2">
      <c r="A336" s="18"/>
      <c r="C336" s="44"/>
      <c r="D336" s="45"/>
      <c r="E336" s="45"/>
      <c r="F336" s="45"/>
      <c r="G336" s="45"/>
      <c r="H336" s="45"/>
      <c r="I336" s="47"/>
      <c r="J336" s="18"/>
      <c r="L336" s="44"/>
      <c r="M336" s="45"/>
      <c r="N336" s="45"/>
      <c r="O336" s="45"/>
      <c r="P336" s="45"/>
      <c r="S336" s="18"/>
    </row>
    <row r="337" spans="1:19" s="19" customFormat="1" x14ac:dyDescent="0.2">
      <c r="A337" s="18"/>
      <c r="C337" s="46"/>
      <c r="D337" s="47"/>
      <c r="E337" s="47"/>
      <c r="F337" s="47"/>
      <c r="G337" s="47"/>
      <c r="H337" s="47"/>
      <c r="I337" s="47"/>
      <c r="J337" s="18"/>
      <c r="L337" s="46"/>
      <c r="M337" s="47"/>
      <c r="N337" s="47"/>
      <c r="O337" s="47"/>
      <c r="P337" s="47"/>
      <c r="S337" s="18"/>
    </row>
    <row r="338" spans="1:19" s="19" customFormat="1" x14ac:dyDescent="0.2">
      <c r="A338" s="18"/>
      <c r="C338" s="44"/>
      <c r="D338" s="45"/>
      <c r="E338" s="45"/>
      <c r="F338" s="45"/>
      <c r="G338" s="45"/>
      <c r="H338" s="45"/>
      <c r="I338" s="47"/>
      <c r="J338" s="18"/>
      <c r="L338" s="44"/>
      <c r="M338" s="45"/>
      <c r="N338" s="45"/>
      <c r="O338" s="45"/>
      <c r="P338" s="45"/>
      <c r="S338" s="18"/>
    </row>
    <row r="339" spans="1:19" s="19" customFormat="1" x14ac:dyDescent="0.2">
      <c r="A339" s="18"/>
      <c r="C339" s="46"/>
      <c r="D339" s="47"/>
      <c r="E339" s="47"/>
      <c r="F339" s="47"/>
      <c r="G339" s="47"/>
      <c r="H339" s="47"/>
      <c r="I339" s="47"/>
      <c r="J339" s="18"/>
      <c r="L339" s="46"/>
      <c r="M339" s="47"/>
      <c r="N339" s="47"/>
      <c r="O339" s="47"/>
      <c r="P339" s="47"/>
      <c r="S339" s="18"/>
    </row>
    <row r="340" spans="1:19" s="19" customFormat="1" x14ac:dyDescent="0.2">
      <c r="A340" s="18"/>
      <c r="C340" s="44"/>
      <c r="D340" s="45"/>
      <c r="E340" s="45"/>
      <c r="F340" s="45"/>
      <c r="G340" s="45"/>
      <c r="H340" s="45"/>
      <c r="I340" s="47"/>
      <c r="J340" s="18"/>
      <c r="L340" s="44"/>
      <c r="M340" s="45"/>
      <c r="N340" s="45"/>
      <c r="O340" s="45"/>
      <c r="P340" s="45"/>
      <c r="S340" s="18"/>
    </row>
    <row r="341" spans="1:19" s="19" customFormat="1" x14ac:dyDescent="0.2">
      <c r="A341" s="18"/>
      <c r="C341" s="46"/>
      <c r="D341" s="47"/>
      <c r="E341" s="47"/>
      <c r="F341" s="47"/>
      <c r="G341" s="47"/>
      <c r="H341" s="47"/>
      <c r="I341" s="47"/>
      <c r="J341" s="18"/>
      <c r="L341" s="46"/>
      <c r="M341" s="47"/>
      <c r="N341" s="47"/>
      <c r="O341" s="47"/>
      <c r="P341" s="47"/>
      <c r="S341" s="18"/>
    </row>
    <row r="342" spans="1:19" s="19" customFormat="1" x14ac:dyDescent="0.2">
      <c r="A342" s="18"/>
      <c r="C342" s="44"/>
      <c r="D342" s="45"/>
      <c r="E342" s="45"/>
      <c r="F342" s="45"/>
      <c r="G342" s="45"/>
      <c r="H342" s="45"/>
      <c r="I342" s="47"/>
      <c r="J342" s="18"/>
      <c r="L342" s="44"/>
      <c r="M342" s="45"/>
      <c r="N342" s="45"/>
      <c r="O342" s="45"/>
      <c r="P342" s="45"/>
      <c r="S342" s="18"/>
    </row>
    <row r="343" spans="1:19" s="19" customFormat="1" x14ac:dyDescent="0.2">
      <c r="A343" s="18"/>
      <c r="C343" s="46"/>
      <c r="D343" s="47"/>
      <c r="E343" s="47"/>
      <c r="F343" s="47"/>
      <c r="G343" s="47"/>
      <c r="H343" s="47"/>
      <c r="I343" s="47"/>
      <c r="J343" s="18"/>
      <c r="L343" s="46"/>
      <c r="M343" s="47"/>
      <c r="N343" s="47"/>
      <c r="O343" s="47"/>
      <c r="P343" s="47"/>
      <c r="S343" s="18"/>
    </row>
    <row r="344" spans="1:19" s="19" customFormat="1" x14ac:dyDescent="0.2">
      <c r="A344" s="18"/>
      <c r="C344" s="44"/>
      <c r="D344" s="45"/>
      <c r="E344" s="45"/>
      <c r="F344" s="45"/>
      <c r="G344" s="45"/>
      <c r="H344" s="45"/>
      <c r="I344" s="47"/>
      <c r="J344" s="18"/>
      <c r="L344" s="44"/>
      <c r="M344" s="45"/>
      <c r="N344" s="45"/>
      <c r="O344" s="45"/>
      <c r="P344" s="45"/>
      <c r="S344" s="18"/>
    </row>
    <row r="345" spans="1:19" s="19" customFormat="1" x14ac:dyDescent="0.2">
      <c r="A345" s="18"/>
      <c r="C345" s="46"/>
      <c r="D345" s="47"/>
      <c r="E345" s="47"/>
      <c r="F345" s="47"/>
      <c r="G345" s="47"/>
      <c r="H345" s="47"/>
      <c r="I345" s="47"/>
      <c r="J345" s="18"/>
      <c r="L345" s="46"/>
      <c r="M345" s="47"/>
      <c r="N345" s="47"/>
      <c r="O345" s="47"/>
      <c r="P345" s="47"/>
      <c r="S345" s="18"/>
    </row>
    <row r="346" spans="1:19" s="19" customFormat="1" x14ac:dyDescent="0.2">
      <c r="A346" s="18"/>
      <c r="C346" s="44"/>
      <c r="D346" s="45"/>
      <c r="E346" s="45"/>
      <c r="F346" s="45"/>
      <c r="G346" s="45"/>
      <c r="H346" s="45"/>
      <c r="I346" s="47"/>
      <c r="J346" s="18"/>
      <c r="L346" s="44"/>
      <c r="M346" s="45"/>
      <c r="N346" s="45"/>
      <c r="O346" s="45"/>
      <c r="P346" s="45"/>
      <c r="S346" s="18"/>
    </row>
    <row r="347" spans="1:19" s="19" customFormat="1" x14ac:dyDescent="0.2">
      <c r="A347" s="18"/>
      <c r="C347" s="46"/>
      <c r="D347" s="47"/>
      <c r="E347" s="47"/>
      <c r="F347" s="47"/>
      <c r="G347" s="47"/>
      <c r="H347" s="47"/>
      <c r="I347" s="47"/>
      <c r="J347" s="18"/>
      <c r="L347" s="46"/>
      <c r="M347" s="47"/>
      <c r="N347" s="47"/>
      <c r="O347" s="47"/>
      <c r="P347" s="47"/>
      <c r="S347" s="18"/>
    </row>
    <row r="348" spans="1:19" s="19" customFormat="1" x14ac:dyDescent="0.2">
      <c r="A348" s="18"/>
      <c r="C348" s="44"/>
      <c r="D348" s="45"/>
      <c r="E348" s="45"/>
      <c r="F348" s="45"/>
      <c r="G348" s="45"/>
      <c r="H348" s="45"/>
      <c r="I348" s="47"/>
      <c r="J348" s="18"/>
      <c r="L348" s="44"/>
      <c r="M348" s="45"/>
      <c r="N348" s="45"/>
      <c r="O348" s="45"/>
      <c r="P348" s="45"/>
      <c r="S348" s="18"/>
    </row>
    <row r="349" spans="1:19" s="19" customFormat="1" x14ac:dyDescent="0.2">
      <c r="A349" s="18"/>
      <c r="C349" s="46"/>
      <c r="D349" s="47"/>
      <c r="E349" s="47"/>
      <c r="F349" s="47"/>
      <c r="G349" s="47"/>
      <c r="H349" s="47"/>
      <c r="I349" s="47"/>
      <c r="J349" s="18"/>
      <c r="L349" s="46"/>
      <c r="M349" s="47"/>
      <c r="N349" s="47"/>
      <c r="O349" s="47"/>
      <c r="P349" s="47"/>
      <c r="S349" s="18"/>
    </row>
    <row r="350" spans="1:19" s="19" customFormat="1" x14ac:dyDescent="0.2">
      <c r="A350" s="18"/>
      <c r="C350" s="44"/>
      <c r="D350" s="45"/>
      <c r="E350" s="45"/>
      <c r="F350" s="45"/>
      <c r="G350" s="45"/>
      <c r="H350" s="45"/>
      <c r="I350" s="47"/>
      <c r="J350" s="18"/>
      <c r="L350" s="44"/>
      <c r="M350" s="45"/>
      <c r="N350" s="45"/>
      <c r="O350" s="45"/>
      <c r="P350" s="45"/>
      <c r="S350" s="18"/>
    </row>
    <row r="351" spans="1:19" s="19" customFormat="1" x14ac:dyDescent="0.2">
      <c r="A351" s="18"/>
      <c r="C351" s="46"/>
      <c r="D351" s="47"/>
      <c r="E351" s="47"/>
      <c r="F351" s="47"/>
      <c r="G351" s="47"/>
      <c r="H351" s="47"/>
      <c r="I351" s="47"/>
      <c r="J351" s="18"/>
      <c r="L351" s="46"/>
      <c r="M351" s="47"/>
      <c r="N351" s="47"/>
      <c r="O351" s="47"/>
      <c r="P351" s="47"/>
      <c r="S351" s="18"/>
    </row>
    <row r="352" spans="1:19" s="19" customFormat="1" x14ac:dyDescent="0.2">
      <c r="A352" s="18"/>
      <c r="C352" s="44"/>
      <c r="D352" s="45"/>
      <c r="E352" s="45"/>
      <c r="F352" s="45"/>
      <c r="G352" s="45"/>
      <c r="H352" s="45"/>
      <c r="I352" s="47"/>
      <c r="J352" s="18"/>
      <c r="L352" s="44"/>
      <c r="M352" s="45"/>
      <c r="N352" s="45"/>
      <c r="O352" s="45"/>
      <c r="P352" s="45"/>
      <c r="S352" s="18"/>
    </row>
    <row r="353" spans="1:19" s="19" customFormat="1" x14ac:dyDescent="0.2">
      <c r="A353" s="18"/>
      <c r="C353" s="46"/>
      <c r="D353" s="47"/>
      <c r="E353" s="47"/>
      <c r="F353" s="47"/>
      <c r="G353" s="47"/>
      <c r="H353" s="47"/>
      <c r="I353" s="47"/>
      <c r="J353" s="18"/>
      <c r="L353" s="46"/>
      <c r="M353" s="47"/>
      <c r="N353" s="47"/>
      <c r="O353" s="47"/>
      <c r="P353" s="47"/>
      <c r="S353" s="18"/>
    </row>
    <row r="354" spans="1:19" s="19" customFormat="1" x14ac:dyDescent="0.2">
      <c r="A354" s="18"/>
      <c r="C354" s="44"/>
      <c r="D354" s="45"/>
      <c r="E354" s="45"/>
      <c r="F354" s="45"/>
      <c r="G354" s="45"/>
      <c r="H354" s="45"/>
      <c r="I354" s="47"/>
      <c r="J354" s="18"/>
      <c r="L354" s="44"/>
      <c r="M354" s="45"/>
      <c r="N354" s="45"/>
      <c r="O354" s="45"/>
      <c r="P354" s="45"/>
      <c r="S354" s="18"/>
    </row>
    <row r="355" spans="1:19" s="19" customFormat="1" x14ac:dyDescent="0.2">
      <c r="A355" s="18"/>
      <c r="C355" s="46"/>
      <c r="D355" s="47"/>
      <c r="E355" s="47"/>
      <c r="F355" s="47"/>
      <c r="G355" s="47"/>
      <c r="H355" s="47"/>
      <c r="I355" s="47"/>
      <c r="J355" s="18"/>
      <c r="L355" s="46"/>
      <c r="M355" s="47"/>
      <c r="N355" s="47"/>
      <c r="O355" s="47"/>
      <c r="P355" s="47"/>
      <c r="S355" s="18"/>
    </row>
    <row r="356" spans="1:19" s="19" customFormat="1" x14ac:dyDescent="0.2">
      <c r="A356" s="18"/>
      <c r="C356" s="44"/>
      <c r="D356" s="45"/>
      <c r="E356" s="45"/>
      <c r="F356" s="45"/>
      <c r="G356" s="45"/>
      <c r="H356" s="45"/>
      <c r="I356" s="47"/>
      <c r="J356" s="18"/>
      <c r="L356" s="44"/>
      <c r="M356" s="45"/>
      <c r="N356" s="45"/>
      <c r="O356" s="45"/>
      <c r="P356" s="45"/>
      <c r="S356" s="18"/>
    </row>
    <row r="357" spans="1:19" s="19" customFormat="1" x14ac:dyDescent="0.2">
      <c r="A357" s="18"/>
      <c r="C357" s="46"/>
      <c r="D357" s="47"/>
      <c r="E357" s="47"/>
      <c r="F357" s="47"/>
      <c r="G357" s="47"/>
      <c r="H357" s="47"/>
      <c r="I357" s="47"/>
      <c r="J357" s="18"/>
      <c r="L357" s="46"/>
      <c r="M357" s="47"/>
      <c r="N357" s="47"/>
      <c r="O357" s="47"/>
      <c r="P357" s="47"/>
      <c r="S357" s="18"/>
    </row>
    <row r="358" spans="1:19" s="19" customFormat="1" x14ac:dyDescent="0.2">
      <c r="A358" s="18"/>
      <c r="C358" s="44"/>
      <c r="D358" s="45"/>
      <c r="E358" s="45"/>
      <c r="F358" s="45"/>
      <c r="G358" s="45"/>
      <c r="H358" s="45"/>
      <c r="I358" s="47"/>
      <c r="J358" s="18"/>
      <c r="L358" s="44"/>
      <c r="M358" s="45"/>
      <c r="N358" s="45"/>
      <c r="O358" s="45"/>
      <c r="P358" s="45"/>
      <c r="S358" s="18"/>
    </row>
    <row r="359" spans="1:19" s="19" customFormat="1" x14ac:dyDescent="0.2">
      <c r="A359" s="18"/>
      <c r="C359" s="46"/>
      <c r="D359" s="47"/>
      <c r="E359" s="47"/>
      <c r="F359" s="47"/>
      <c r="G359" s="47"/>
      <c r="H359" s="47"/>
      <c r="I359" s="47"/>
      <c r="J359" s="18"/>
      <c r="L359" s="46"/>
      <c r="M359" s="47"/>
      <c r="N359" s="47"/>
      <c r="O359" s="47"/>
      <c r="P359" s="47"/>
      <c r="S359" s="18"/>
    </row>
    <row r="360" spans="1:19" s="19" customFormat="1" x14ac:dyDescent="0.2">
      <c r="A360" s="18"/>
      <c r="C360" s="44"/>
      <c r="D360" s="45"/>
      <c r="E360" s="45"/>
      <c r="F360" s="45"/>
      <c r="G360" s="45"/>
      <c r="H360" s="45"/>
      <c r="I360" s="47"/>
      <c r="J360" s="18"/>
      <c r="L360" s="44"/>
      <c r="M360" s="45"/>
      <c r="N360" s="45"/>
      <c r="O360" s="45"/>
      <c r="P360" s="45"/>
      <c r="S360" s="18"/>
    </row>
    <row r="361" spans="1:19" s="19" customFormat="1" x14ac:dyDescent="0.2">
      <c r="A361" s="18"/>
      <c r="C361" s="46"/>
      <c r="D361" s="47"/>
      <c r="E361" s="47"/>
      <c r="F361" s="47"/>
      <c r="G361" s="47"/>
      <c r="H361" s="47"/>
      <c r="I361" s="47"/>
      <c r="J361" s="18"/>
      <c r="L361" s="46"/>
      <c r="M361" s="47"/>
      <c r="N361" s="47"/>
      <c r="O361" s="47"/>
      <c r="P361" s="47"/>
      <c r="S361" s="18"/>
    </row>
    <row r="362" spans="1:19" s="19" customFormat="1" x14ac:dyDescent="0.2">
      <c r="A362" s="18"/>
      <c r="C362" s="44"/>
      <c r="D362" s="45"/>
      <c r="E362" s="45"/>
      <c r="F362" s="45"/>
      <c r="G362" s="45"/>
      <c r="H362" s="45"/>
      <c r="I362" s="47"/>
      <c r="J362" s="18"/>
      <c r="L362" s="44"/>
      <c r="M362" s="45"/>
      <c r="N362" s="45"/>
      <c r="O362" s="45"/>
      <c r="P362" s="45"/>
      <c r="S362" s="18"/>
    </row>
    <row r="363" spans="1:19" s="19" customFormat="1" x14ac:dyDescent="0.2">
      <c r="A363" s="18"/>
      <c r="C363" s="46"/>
      <c r="D363" s="47"/>
      <c r="E363" s="47"/>
      <c r="F363" s="47"/>
      <c r="G363" s="47"/>
      <c r="H363" s="47"/>
      <c r="I363" s="47"/>
      <c r="J363" s="18"/>
      <c r="L363" s="46"/>
      <c r="M363" s="47"/>
      <c r="N363" s="47"/>
      <c r="O363" s="47"/>
      <c r="P363" s="47"/>
      <c r="S363" s="18"/>
    </row>
    <row r="364" spans="1:19" s="19" customFormat="1" x14ac:dyDescent="0.2">
      <c r="A364" s="18"/>
      <c r="C364" s="44"/>
      <c r="D364" s="45"/>
      <c r="E364" s="45"/>
      <c r="F364" s="45"/>
      <c r="G364" s="45"/>
      <c r="H364" s="45"/>
      <c r="I364" s="47"/>
      <c r="J364" s="18"/>
      <c r="L364" s="44"/>
      <c r="M364" s="45"/>
      <c r="N364" s="45"/>
      <c r="O364" s="45"/>
      <c r="P364" s="45"/>
      <c r="S364" s="18"/>
    </row>
    <row r="365" spans="1:19" s="19" customFormat="1" x14ac:dyDescent="0.2">
      <c r="A365" s="18"/>
      <c r="C365" s="46"/>
      <c r="D365" s="47"/>
      <c r="E365" s="47"/>
      <c r="F365" s="47"/>
      <c r="G365" s="47"/>
      <c r="H365" s="47"/>
      <c r="I365" s="47"/>
      <c r="J365" s="18"/>
      <c r="L365" s="46"/>
      <c r="M365" s="47"/>
      <c r="N365" s="47"/>
      <c r="O365" s="47"/>
      <c r="P365" s="47"/>
      <c r="S365" s="18"/>
    </row>
    <row r="366" spans="1:19" s="19" customFormat="1" x14ac:dyDescent="0.2">
      <c r="A366" s="18"/>
      <c r="C366" s="44"/>
      <c r="D366" s="45"/>
      <c r="E366" s="45"/>
      <c r="F366" s="45"/>
      <c r="G366" s="45"/>
      <c r="H366" s="45"/>
      <c r="I366" s="47"/>
      <c r="J366" s="18"/>
      <c r="L366" s="44"/>
      <c r="M366" s="45"/>
      <c r="N366" s="45"/>
      <c r="O366" s="45"/>
      <c r="P366" s="45"/>
      <c r="S366" s="18"/>
    </row>
    <row r="367" spans="1:19" s="19" customFormat="1" x14ac:dyDescent="0.2">
      <c r="A367" s="18"/>
      <c r="C367" s="46"/>
      <c r="D367" s="47"/>
      <c r="E367" s="47"/>
      <c r="F367" s="47"/>
      <c r="G367" s="47"/>
      <c r="H367" s="47"/>
      <c r="I367" s="47"/>
      <c r="J367" s="18"/>
      <c r="L367" s="46"/>
      <c r="M367" s="47"/>
      <c r="N367" s="47"/>
      <c r="O367" s="47"/>
      <c r="P367" s="47"/>
      <c r="S367" s="18"/>
    </row>
    <row r="368" spans="1:19" s="19" customFormat="1" x14ac:dyDescent="0.2">
      <c r="A368" s="18"/>
      <c r="C368" s="44"/>
      <c r="D368" s="45"/>
      <c r="E368" s="45"/>
      <c r="F368" s="45"/>
      <c r="G368" s="45"/>
      <c r="H368" s="45"/>
      <c r="I368" s="47"/>
      <c r="J368" s="18"/>
      <c r="L368" s="44"/>
      <c r="M368" s="45"/>
      <c r="N368" s="45"/>
      <c r="O368" s="45"/>
      <c r="P368" s="45"/>
      <c r="S368" s="18"/>
    </row>
    <row r="369" spans="1:19" s="19" customFormat="1" x14ac:dyDescent="0.2">
      <c r="A369" s="18"/>
      <c r="C369" s="46"/>
      <c r="D369" s="47"/>
      <c r="E369" s="47"/>
      <c r="F369" s="47"/>
      <c r="G369" s="47"/>
      <c r="H369" s="47"/>
      <c r="I369" s="47"/>
      <c r="J369" s="18"/>
      <c r="L369" s="46"/>
      <c r="M369" s="47"/>
      <c r="N369" s="47"/>
      <c r="O369" s="47"/>
      <c r="P369" s="47"/>
      <c r="S369" s="18"/>
    </row>
    <row r="370" spans="1:19" s="19" customFormat="1" x14ac:dyDescent="0.2">
      <c r="A370" s="18"/>
      <c r="C370" s="44"/>
      <c r="D370" s="45"/>
      <c r="E370" s="45"/>
      <c r="F370" s="45"/>
      <c r="G370" s="45"/>
      <c r="H370" s="45"/>
      <c r="I370" s="47"/>
      <c r="J370" s="18"/>
      <c r="L370" s="44"/>
      <c r="M370" s="45"/>
      <c r="N370" s="45"/>
      <c r="O370" s="45"/>
      <c r="P370" s="45"/>
      <c r="S370" s="18"/>
    </row>
    <row r="371" spans="1:19" s="19" customFormat="1" x14ac:dyDescent="0.2">
      <c r="A371" s="18"/>
      <c r="C371" s="46"/>
      <c r="D371" s="47"/>
      <c r="E371" s="47"/>
      <c r="F371" s="47"/>
      <c r="G371" s="47"/>
      <c r="H371" s="47"/>
      <c r="I371" s="47"/>
      <c r="J371" s="18"/>
      <c r="L371" s="46"/>
      <c r="M371" s="47"/>
      <c r="N371" s="47"/>
      <c r="O371" s="47"/>
      <c r="P371" s="47"/>
      <c r="S371" s="18"/>
    </row>
    <row r="372" spans="1:19" s="19" customFormat="1" x14ac:dyDescent="0.2">
      <c r="A372" s="18"/>
      <c r="C372" s="44"/>
      <c r="D372" s="45"/>
      <c r="E372" s="45"/>
      <c r="F372" s="45"/>
      <c r="G372" s="45"/>
      <c r="H372" s="45"/>
      <c r="I372" s="47"/>
      <c r="J372" s="18"/>
      <c r="L372" s="44"/>
      <c r="M372" s="45"/>
      <c r="N372" s="45"/>
      <c r="O372" s="45"/>
      <c r="P372" s="45"/>
      <c r="S372" s="18"/>
    </row>
    <row r="373" spans="1:19" s="19" customFormat="1" x14ac:dyDescent="0.2">
      <c r="A373" s="18"/>
      <c r="C373" s="46"/>
      <c r="D373" s="47"/>
      <c r="E373" s="47"/>
      <c r="F373" s="47"/>
      <c r="G373" s="47"/>
      <c r="H373" s="47"/>
      <c r="I373" s="47"/>
      <c r="J373" s="18"/>
      <c r="L373" s="46"/>
      <c r="M373" s="47"/>
      <c r="N373" s="47"/>
      <c r="O373" s="47"/>
      <c r="P373" s="47"/>
      <c r="S373" s="18"/>
    </row>
    <row r="374" spans="1:19" s="19" customFormat="1" x14ac:dyDescent="0.2">
      <c r="A374" s="18"/>
      <c r="C374" s="44"/>
      <c r="D374" s="45"/>
      <c r="E374" s="45"/>
      <c r="F374" s="45"/>
      <c r="G374" s="45"/>
      <c r="H374" s="45"/>
      <c r="I374" s="47"/>
      <c r="J374" s="18"/>
      <c r="L374" s="44"/>
      <c r="M374" s="45"/>
      <c r="N374" s="45"/>
      <c r="O374" s="45"/>
      <c r="P374" s="45"/>
      <c r="S374" s="18"/>
    </row>
    <row r="375" spans="1:19" s="19" customFormat="1" x14ac:dyDescent="0.2">
      <c r="A375" s="18"/>
      <c r="C375" s="46"/>
      <c r="D375" s="47"/>
      <c r="E375" s="47"/>
      <c r="F375" s="47"/>
      <c r="G375" s="47"/>
      <c r="H375" s="47"/>
      <c r="I375" s="47"/>
      <c r="J375" s="18"/>
      <c r="L375" s="46"/>
      <c r="M375" s="47"/>
      <c r="N375" s="47"/>
      <c r="O375" s="47"/>
      <c r="P375" s="47"/>
      <c r="S375" s="18"/>
    </row>
    <row r="376" spans="1:19" s="19" customFormat="1" x14ac:dyDescent="0.2">
      <c r="A376" s="18"/>
      <c r="C376" s="44"/>
      <c r="D376" s="45"/>
      <c r="E376" s="45"/>
      <c r="F376" s="45"/>
      <c r="G376" s="45"/>
      <c r="H376" s="45"/>
      <c r="I376" s="47"/>
      <c r="J376" s="18"/>
      <c r="L376" s="44"/>
      <c r="M376" s="45"/>
      <c r="N376" s="45"/>
      <c r="O376" s="45"/>
      <c r="P376" s="45"/>
      <c r="S376" s="18"/>
    </row>
    <row r="377" spans="1:19" s="19" customFormat="1" x14ac:dyDescent="0.2">
      <c r="A377" s="18"/>
      <c r="C377" s="46"/>
      <c r="D377" s="47"/>
      <c r="E377" s="47"/>
      <c r="F377" s="47"/>
      <c r="G377" s="47"/>
      <c r="H377" s="47"/>
      <c r="I377" s="47"/>
      <c r="J377" s="18"/>
      <c r="L377" s="46"/>
      <c r="M377" s="47"/>
      <c r="N377" s="47"/>
      <c r="O377" s="47"/>
      <c r="P377" s="47"/>
      <c r="S377" s="18"/>
    </row>
    <row r="378" spans="1:19" s="19" customFormat="1" x14ac:dyDescent="0.2">
      <c r="A378" s="18"/>
      <c r="C378" s="44"/>
      <c r="D378" s="45"/>
      <c r="E378" s="45"/>
      <c r="F378" s="45"/>
      <c r="G378" s="45"/>
      <c r="H378" s="45"/>
      <c r="I378" s="47"/>
      <c r="J378" s="18"/>
      <c r="L378" s="44"/>
      <c r="M378" s="45"/>
      <c r="N378" s="45"/>
      <c r="O378" s="45"/>
      <c r="P378" s="45"/>
      <c r="S378" s="18"/>
    </row>
    <row r="379" spans="1:19" s="19" customFormat="1" x14ac:dyDescent="0.2">
      <c r="A379" s="18"/>
      <c r="C379" s="46"/>
      <c r="D379" s="47"/>
      <c r="E379" s="47"/>
      <c r="F379" s="47"/>
      <c r="G379" s="47"/>
      <c r="H379" s="47"/>
      <c r="I379" s="47"/>
      <c r="J379" s="18"/>
      <c r="L379" s="46"/>
      <c r="M379" s="47"/>
      <c r="N379" s="47"/>
      <c r="O379" s="47"/>
      <c r="P379" s="47"/>
      <c r="S379" s="18"/>
    </row>
    <row r="380" spans="1:19" s="19" customFormat="1" x14ac:dyDescent="0.2">
      <c r="A380" s="18"/>
      <c r="C380" s="44"/>
      <c r="D380" s="45"/>
      <c r="E380" s="45"/>
      <c r="F380" s="45"/>
      <c r="G380" s="45"/>
      <c r="H380" s="45"/>
      <c r="I380" s="47"/>
      <c r="J380" s="18"/>
      <c r="L380" s="44"/>
      <c r="M380" s="45"/>
      <c r="N380" s="45"/>
      <c r="O380" s="45"/>
      <c r="P380" s="45"/>
      <c r="S380" s="18"/>
    </row>
    <row r="381" spans="1:19" s="19" customFormat="1" x14ac:dyDescent="0.2">
      <c r="A381" s="18"/>
      <c r="C381" s="46"/>
      <c r="D381" s="47"/>
      <c r="E381" s="47"/>
      <c r="F381" s="47"/>
      <c r="G381" s="47"/>
      <c r="H381" s="47"/>
      <c r="I381" s="47"/>
      <c r="J381" s="18"/>
      <c r="L381" s="46"/>
      <c r="M381" s="47"/>
      <c r="N381" s="47"/>
      <c r="O381" s="47"/>
      <c r="P381" s="47"/>
      <c r="S381" s="18"/>
    </row>
    <row r="382" spans="1:19" s="19" customFormat="1" x14ac:dyDescent="0.2">
      <c r="A382" s="18"/>
      <c r="C382" s="44"/>
      <c r="D382" s="45"/>
      <c r="E382" s="45"/>
      <c r="F382" s="45"/>
      <c r="G382" s="45"/>
      <c r="H382" s="45"/>
      <c r="I382" s="47"/>
      <c r="J382" s="18"/>
      <c r="L382" s="44"/>
      <c r="M382" s="45"/>
      <c r="N382" s="45"/>
      <c r="O382" s="45"/>
      <c r="P382" s="45"/>
      <c r="S382" s="18"/>
    </row>
    <row r="383" spans="1:19" s="19" customFormat="1" x14ac:dyDescent="0.2">
      <c r="A383" s="18"/>
      <c r="C383" s="46"/>
      <c r="D383" s="47"/>
      <c r="E383" s="47"/>
      <c r="F383" s="47"/>
      <c r="G383" s="47"/>
      <c r="H383" s="47"/>
      <c r="I383" s="47"/>
      <c r="J383" s="18"/>
      <c r="L383" s="46"/>
      <c r="M383" s="47"/>
      <c r="N383" s="47"/>
      <c r="O383" s="47"/>
      <c r="P383" s="47"/>
      <c r="S383" s="18"/>
    </row>
    <row r="384" spans="1:19" s="19" customFormat="1" x14ac:dyDescent="0.2">
      <c r="A384" s="18"/>
      <c r="C384" s="44"/>
      <c r="D384" s="45"/>
      <c r="E384" s="45"/>
      <c r="F384" s="45"/>
      <c r="G384" s="45"/>
      <c r="H384" s="45"/>
      <c r="I384" s="47"/>
      <c r="J384" s="18"/>
      <c r="L384" s="44"/>
      <c r="M384" s="45"/>
      <c r="N384" s="45"/>
      <c r="O384" s="45"/>
      <c r="P384" s="45"/>
      <c r="S384" s="18"/>
    </row>
    <row r="385" spans="1:19" s="19" customFormat="1" x14ac:dyDescent="0.2">
      <c r="A385" s="18"/>
      <c r="C385" s="46"/>
      <c r="D385" s="47"/>
      <c r="E385" s="47"/>
      <c r="F385" s="47"/>
      <c r="G385" s="47"/>
      <c r="H385" s="47"/>
      <c r="I385" s="47"/>
      <c r="J385" s="18"/>
      <c r="L385" s="46"/>
      <c r="M385" s="47"/>
      <c r="N385" s="47"/>
      <c r="O385" s="47"/>
      <c r="P385" s="47"/>
      <c r="S385" s="18"/>
    </row>
    <row r="386" spans="1:19" s="19" customFormat="1" x14ac:dyDescent="0.2">
      <c r="A386" s="18"/>
      <c r="C386" s="44"/>
      <c r="D386" s="45"/>
      <c r="E386" s="45"/>
      <c r="F386" s="45"/>
      <c r="G386" s="45"/>
      <c r="H386" s="45"/>
      <c r="I386" s="47"/>
      <c r="J386" s="18"/>
      <c r="L386" s="44"/>
      <c r="M386" s="45"/>
      <c r="N386" s="45"/>
      <c r="O386" s="45"/>
      <c r="P386" s="45"/>
      <c r="S386" s="18"/>
    </row>
    <row r="387" spans="1:19" s="19" customFormat="1" x14ac:dyDescent="0.2">
      <c r="A387" s="18"/>
      <c r="C387" s="46"/>
      <c r="D387" s="47"/>
      <c r="E387" s="47"/>
      <c r="F387" s="47"/>
      <c r="G387" s="47"/>
      <c r="H387" s="47"/>
      <c r="I387" s="47"/>
      <c r="J387" s="18"/>
      <c r="L387" s="46"/>
      <c r="M387" s="47"/>
      <c r="N387" s="47"/>
      <c r="O387" s="47"/>
      <c r="P387" s="47"/>
      <c r="S387" s="18"/>
    </row>
    <row r="388" spans="1:19" s="19" customFormat="1" x14ac:dyDescent="0.2">
      <c r="A388" s="18"/>
      <c r="C388" s="44"/>
      <c r="D388" s="45"/>
      <c r="E388" s="45"/>
      <c r="F388" s="45"/>
      <c r="G388" s="45"/>
      <c r="H388" s="45"/>
      <c r="I388" s="47"/>
      <c r="J388" s="18"/>
      <c r="L388" s="44"/>
      <c r="M388" s="45"/>
      <c r="N388" s="45"/>
      <c r="O388" s="45"/>
      <c r="P388" s="45"/>
      <c r="S388" s="18"/>
    </row>
    <row r="389" spans="1:19" s="19" customFormat="1" x14ac:dyDescent="0.2">
      <c r="A389" s="18"/>
      <c r="C389" s="46"/>
      <c r="D389" s="47"/>
      <c r="E389" s="47"/>
      <c r="F389" s="47"/>
      <c r="G389" s="47"/>
      <c r="H389" s="47"/>
      <c r="I389" s="47"/>
      <c r="J389" s="18"/>
      <c r="L389" s="46"/>
      <c r="M389" s="47"/>
      <c r="N389" s="47"/>
      <c r="O389" s="47"/>
      <c r="P389" s="47"/>
      <c r="S389" s="18"/>
    </row>
    <row r="390" spans="1:19" s="19" customFormat="1" x14ac:dyDescent="0.2">
      <c r="A390" s="18"/>
      <c r="C390" s="44"/>
      <c r="D390" s="45"/>
      <c r="E390" s="45"/>
      <c r="F390" s="45"/>
      <c r="G390" s="45"/>
      <c r="H390" s="45"/>
      <c r="I390" s="47"/>
      <c r="J390" s="18"/>
      <c r="L390" s="44"/>
      <c r="M390" s="45"/>
      <c r="N390" s="45"/>
      <c r="O390" s="45"/>
      <c r="P390" s="45"/>
      <c r="S390" s="18"/>
    </row>
    <row r="391" spans="1:19" s="19" customFormat="1" x14ac:dyDescent="0.2">
      <c r="A391" s="18"/>
      <c r="C391" s="46"/>
      <c r="D391" s="47"/>
      <c r="E391" s="47"/>
      <c r="F391" s="47"/>
      <c r="G391" s="47"/>
      <c r="H391" s="47"/>
      <c r="I391" s="47"/>
      <c r="J391" s="18"/>
      <c r="L391" s="46"/>
      <c r="M391" s="47"/>
      <c r="N391" s="47"/>
      <c r="O391" s="47"/>
      <c r="P391" s="47"/>
      <c r="S391" s="18"/>
    </row>
    <row r="392" spans="1:19" s="19" customFormat="1" x14ac:dyDescent="0.2">
      <c r="A392" s="18"/>
      <c r="C392" s="44"/>
      <c r="D392" s="45"/>
      <c r="E392" s="45"/>
      <c r="F392" s="45"/>
      <c r="G392" s="45"/>
      <c r="H392" s="45"/>
      <c r="I392" s="47"/>
      <c r="J392" s="18"/>
      <c r="L392" s="44"/>
      <c r="M392" s="45"/>
      <c r="N392" s="45"/>
      <c r="O392" s="45"/>
      <c r="P392" s="45"/>
      <c r="S392" s="18"/>
    </row>
    <row r="393" spans="1:19" s="19" customFormat="1" x14ac:dyDescent="0.2">
      <c r="A393" s="18"/>
      <c r="C393" s="46"/>
      <c r="D393" s="47"/>
      <c r="E393" s="47"/>
      <c r="F393" s="47"/>
      <c r="G393" s="47"/>
      <c r="H393" s="47"/>
      <c r="I393" s="47"/>
      <c r="J393" s="18"/>
      <c r="L393" s="46"/>
      <c r="M393" s="47"/>
      <c r="N393" s="47"/>
      <c r="O393" s="47"/>
      <c r="P393" s="47"/>
      <c r="S393" s="18"/>
    </row>
    <row r="394" spans="1:19" s="19" customFormat="1" x14ac:dyDescent="0.2">
      <c r="A394" s="18"/>
      <c r="C394" s="44"/>
      <c r="D394" s="45"/>
      <c r="E394" s="45"/>
      <c r="F394" s="45"/>
      <c r="G394" s="45"/>
      <c r="H394" s="45"/>
      <c r="I394" s="47"/>
      <c r="J394" s="18"/>
      <c r="L394" s="44"/>
      <c r="M394" s="45"/>
      <c r="N394" s="45"/>
      <c r="O394" s="45"/>
      <c r="P394" s="45"/>
      <c r="S394" s="18"/>
    </row>
    <row r="395" spans="1:19" s="19" customFormat="1" x14ac:dyDescent="0.2">
      <c r="A395" s="18"/>
      <c r="C395" s="46"/>
      <c r="D395" s="47"/>
      <c r="E395" s="47"/>
      <c r="F395" s="47"/>
      <c r="G395" s="47"/>
      <c r="H395" s="47"/>
      <c r="I395" s="47"/>
      <c r="J395" s="18"/>
      <c r="L395" s="46"/>
      <c r="M395" s="47"/>
      <c r="N395" s="47"/>
      <c r="O395" s="47"/>
      <c r="P395" s="47"/>
      <c r="S395" s="18"/>
    </row>
    <row r="396" spans="1:19" s="19" customFormat="1" x14ac:dyDescent="0.2">
      <c r="A396" s="18"/>
      <c r="C396" s="44"/>
      <c r="D396" s="45"/>
      <c r="E396" s="45"/>
      <c r="F396" s="45"/>
      <c r="G396" s="45"/>
      <c r="H396" s="45"/>
      <c r="I396" s="47"/>
      <c r="J396" s="18"/>
      <c r="L396" s="44"/>
      <c r="M396" s="45"/>
      <c r="N396" s="45"/>
      <c r="O396" s="45"/>
      <c r="P396" s="45"/>
      <c r="S396" s="18"/>
    </row>
    <row r="397" spans="1:19" s="19" customFormat="1" x14ac:dyDescent="0.2">
      <c r="A397" s="18"/>
      <c r="C397" s="46"/>
      <c r="D397" s="47"/>
      <c r="E397" s="47"/>
      <c r="F397" s="47"/>
      <c r="G397" s="47"/>
      <c r="H397" s="47"/>
      <c r="I397" s="47"/>
      <c r="J397" s="18"/>
      <c r="L397" s="46"/>
      <c r="M397" s="47"/>
      <c r="N397" s="47"/>
      <c r="O397" s="47"/>
      <c r="P397" s="47"/>
      <c r="S397" s="18"/>
    </row>
    <row r="398" spans="1:19" s="19" customFormat="1" x14ac:dyDescent="0.2">
      <c r="A398" s="18"/>
      <c r="C398" s="44"/>
      <c r="D398" s="45"/>
      <c r="E398" s="45"/>
      <c r="F398" s="45"/>
      <c r="G398" s="45"/>
      <c r="H398" s="45"/>
      <c r="I398" s="47"/>
      <c r="J398" s="18"/>
      <c r="L398" s="44"/>
      <c r="M398" s="45"/>
      <c r="N398" s="45"/>
      <c r="O398" s="45"/>
      <c r="P398" s="45"/>
      <c r="S398" s="18"/>
    </row>
    <row r="399" spans="1:19" s="19" customFormat="1" x14ac:dyDescent="0.2">
      <c r="A399" s="18"/>
      <c r="C399" s="46"/>
      <c r="D399" s="47"/>
      <c r="E399" s="47"/>
      <c r="F399" s="47"/>
      <c r="G399" s="47"/>
      <c r="H399" s="47"/>
      <c r="I399" s="47"/>
      <c r="J399" s="18"/>
      <c r="L399" s="46"/>
      <c r="M399" s="47"/>
      <c r="N399" s="47"/>
      <c r="O399" s="47"/>
      <c r="P399" s="47"/>
      <c r="S399" s="18"/>
    </row>
    <row r="400" spans="1:19" s="19" customFormat="1" x14ac:dyDescent="0.2">
      <c r="A400" s="18"/>
      <c r="C400" s="44"/>
      <c r="D400" s="45"/>
      <c r="E400" s="45"/>
      <c r="F400" s="45"/>
      <c r="G400" s="45"/>
      <c r="H400" s="45"/>
      <c r="I400" s="47"/>
      <c r="J400" s="18"/>
      <c r="L400" s="44"/>
      <c r="M400" s="45"/>
      <c r="N400" s="45"/>
      <c r="O400" s="45"/>
      <c r="P400" s="45"/>
      <c r="S400" s="18"/>
    </row>
    <row r="401" spans="1:19" s="19" customFormat="1" x14ac:dyDescent="0.2">
      <c r="A401" s="18"/>
      <c r="C401" s="46"/>
      <c r="D401" s="47"/>
      <c r="E401" s="47"/>
      <c r="F401" s="47"/>
      <c r="G401" s="47"/>
      <c r="H401" s="47"/>
      <c r="I401" s="47"/>
      <c r="J401" s="18"/>
      <c r="L401" s="46"/>
      <c r="M401" s="47"/>
      <c r="N401" s="47"/>
      <c r="O401" s="47"/>
      <c r="P401" s="47"/>
      <c r="S401" s="18"/>
    </row>
    <row r="402" spans="1:19" s="19" customFormat="1" x14ac:dyDescent="0.2">
      <c r="A402" s="18"/>
      <c r="C402" s="44"/>
      <c r="D402" s="45"/>
      <c r="E402" s="45"/>
      <c r="F402" s="45"/>
      <c r="G402" s="45"/>
      <c r="H402" s="45"/>
      <c r="I402" s="47"/>
      <c r="J402" s="18"/>
      <c r="L402" s="44"/>
      <c r="M402" s="45"/>
      <c r="N402" s="45"/>
      <c r="O402" s="45"/>
      <c r="P402" s="45"/>
      <c r="S402" s="18"/>
    </row>
    <row r="403" spans="1:19" s="19" customFormat="1" x14ac:dyDescent="0.2">
      <c r="A403" s="18"/>
      <c r="C403" s="46"/>
      <c r="D403" s="47"/>
      <c r="E403" s="47"/>
      <c r="F403" s="47"/>
      <c r="G403" s="47"/>
      <c r="H403" s="47"/>
      <c r="I403" s="47"/>
      <c r="J403" s="18"/>
      <c r="L403" s="46"/>
      <c r="M403" s="47"/>
      <c r="N403" s="47"/>
      <c r="O403" s="47"/>
      <c r="P403" s="47"/>
      <c r="S403" s="18"/>
    </row>
    <row r="404" spans="1:19" s="19" customFormat="1" x14ac:dyDescent="0.2">
      <c r="A404" s="18"/>
      <c r="C404" s="44"/>
      <c r="D404" s="45"/>
      <c r="E404" s="45"/>
      <c r="F404" s="45"/>
      <c r="G404" s="45"/>
      <c r="H404" s="45"/>
      <c r="I404" s="47"/>
      <c r="J404" s="18"/>
      <c r="L404" s="44"/>
      <c r="M404" s="45"/>
      <c r="N404" s="45"/>
      <c r="O404" s="45"/>
      <c r="P404" s="45"/>
      <c r="S404" s="18"/>
    </row>
    <row r="405" spans="1:19" s="19" customFormat="1" x14ac:dyDescent="0.2">
      <c r="A405" s="18"/>
      <c r="C405" s="46"/>
      <c r="D405" s="47"/>
      <c r="E405" s="47"/>
      <c r="F405" s="47"/>
      <c r="G405" s="47"/>
      <c r="H405" s="47"/>
      <c r="I405" s="47"/>
      <c r="J405" s="18"/>
      <c r="L405" s="46"/>
      <c r="M405" s="47"/>
      <c r="N405" s="47"/>
      <c r="O405" s="47"/>
      <c r="P405" s="47"/>
      <c r="S405" s="18"/>
    </row>
    <row r="406" spans="1:19" s="19" customFormat="1" x14ac:dyDescent="0.2">
      <c r="A406" s="18"/>
      <c r="C406" s="44"/>
      <c r="D406" s="45"/>
      <c r="E406" s="45"/>
      <c r="F406" s="45"/>
      <c r="G406" s="45"/>
      <c r="H406" s="45"/>
      <c r="I406" s="47"/>
      <c r="J406" s="18"/>
      <c r="L406" s="44"/>
      <c r="M406" s="45"/>
      <c r="N406" s="45"/>
      <c r="O406" s="45"/>
      <c r="P406" s="45"/>
      <c r="S406" s="18"/>
    </row>
    <row r="407" spans="1:19" s="19" customFormat="1" x14ac:dyDescent="0.2">
      <c r="A407" s="18"/>
      <c r="C407" s="46"/>
      <c r="D407" s="47"/>
      <c r="E407" s="47"/>
      <c r="F407" s="47"/>
      <c r="G407" s="47"/>
      <c r="H407" s="47"/>
      <c r="I407" s="47"/>
      <c r="J407" s="18"/>
      <c r="L407" s="46"/>
      <c r="M407" s="47"/>
      <c r="N407" s="47"/>
      <c r="O407" s="47"/>
      <c r="P407" s="47"/>
      <c r="S407" s="18"/>
    </row>
    <row r="408" spans="1:19" s="19" customFormat="1" x14ac:dyDescent="0.2">
      <c r="A408" s="18"/>
      <c r="C408" s="44"/>
      <c r="D408" s="45"/>
      <c r="E408" s="45"/>
      <c r="F408" s="45"/>
      <c r="G408" s="45"/>
      <c r="H408" s="45"/>
      <c r="I408" s="47"/>
      <c r="J408" s="18"/>
      <c r="L408" s="44"/>
      <c r="M408" s="45"/>
      <c r="N408" s="45"/>
      <c r="O408" s="45"/>
      <c r="P408" s="45"/>
      <c r="S408" s="18"/>
    </row>
    <row r="409" spans="1:19" s="19" customFormat="1" x14ac:dyDescent="0.2">
      <c r="A409" s="18"/>
      <c r="C409" s="46"/>
      <c r="D409" s="47"/>
      <c r="E409" s="47"/>
      <c r="F409" s="47"/>
      <c r="G409" s="47"/>
      <c r="H409" s="47"/>
      <c r="I409" s="47"/>
      <c r="J409" s="18"/>
      <c r="L409" s="46"/>
      <c r="M409" s="47"/>
      <c r="N409" s="47"/>
      <c r="O409" s="47"/>
      <c r="P409" s="47"/>
      <c r="S409" s="18"/>
    </row>
    <row r="410" spans="1:19" s="19" customFormat="1" x14ac:dyDescent="0.2">
      <c r="A410" s="18"/>
      <c r="C410" s="44"/>
      <c r="D410" s="45"/>
      <c r="E410" s="45"/>
      <c r="F410" s="45"/>
      <c r="G410" s="45"/>
      <c r="H410" s="45"/>
      <c r="I410" s="47"/>
      <c r="J410" s="18"/>
      <c r="L410" s="44"/>
      <c r="M410" s="45"/>
      <c r="N410" s="45"/>
      <c r="O410" s="45"/>
      <c r="P410" s="45"/>
      <c r="S410" s="18"/>
    </row>
    <row r="411" spans="1:19" s="19" customFormat="1" x14ac:dyDescent="0.2">
      <c r="A411" s="18"/>
      <c r="C411" s="46"/>
      <c r="D411" s="47"/>
      <c r="E411" s="47"/>
      <c r="F411" s="47"/>
      <c r="G411" s="47"/>
      <c r="H411" s="47"/>
      <c r="I411" s="47"/>
      <c r="J411" s="18"/>
      <c r="L411" s="46"/>
      <c r="M411" s="47"/>
      <c r="N411" s="47"/>
      <c r="O411" s="47"/>
      <c r="P411" s="47"/>
      <c r="S411" s="18"/>
    </row>
    <row r="412" spans="1:19" s="19" customFormat="1" x14ac:dyDescent="0.2">
      <c r="A412" s="18"/>
      <c r="C412" s="44"/>
      <c r="D412" s="45"/>
      <c r="E412" s="45"/>
      <c r="F412" s="45"/>
      <c r="G412" s="45"/>
      <c r="H412" s="45"/>
      <c r="I412" s="47"/>
      <c r="J412" s="18"/>
      <c r="L412" s="44"/>
      <c r="M412" s="45"/>
      <c r="N412" s="45"/>
      <c r="O412" s="45"/>
      <c r="P412" s="45"/>
      <c r="S412" s="18"/>
    </row>
    <row r="413" spans="1:19" s="19" customFormat="1" x14ac:dyDescent="0.2">
      <c r="A413" s="18"/>
      <c r="C413" s="46"/>
      <c r="D413" s="47"/>
      <c r="E413" s="47"/>
      <c r="F413" s="47"/>
      <c r="G413" s="47"/>
      <c r="H413" s="47"/>
      <c r="I413" s="47"/>
      <c r="J413" s="18"/>
      <c r="L413" s="46"/>
      <c r="M413" s="47"/>
      <c r="N413" s="47"/>
      <c r="O413" s="47"/>
      <c r="P413" s="47"/>
      <c r="S413" s="18"/>
    </row>
    <row r="414" spans="1:19" s="19" customFormat="1" x14ac:dyDescent="0.2">
      <c r="A414" s="18"/>
      <c r="C414" s="44"/>
      <c r="D414" s="45"/>
      <c r="E414" s="45"/>
      <c r="F414" s="45"/>
      <c r="G414" s="45"/>
      <c r="H414" s="45"/>
      <c r="I414" s="47"/>
      <c r="J414" s="18"/>
      <c r="L414" s="44"/>
      <c r="M414" s="45"/>
      <c r="N414" s="45"/>
      <c r="O414" s="45"/>
      <c r="P414" s="45"/>
      <c r="S414" s="18"/>
    </row>
    <row r="415" spans="1:19" s="19" customFormat="1" x14ac:dyDescent="0.2">
      <c r="A415" s="18"/>
      <c r="C415" s="46"/>
      <c r="D415" s="47"/>
      <c r="E415" s="47"/>
      <c r="F415" s="47"/>
      <c r="G415" s="47"/>
      <c r="H415" s="47"/>
      <c r="I415" s="47"/>
      <c r="J415" s="18"/>
      <c r="L415" s="46"/>
      <c r="M415" s="47"/>
      <c r="N415" s="47"/>
      <c r="O415" s="47"/>
      <c r="P415" s="47"/>
      <c r="S415" s="18"/>
    </row>
    <row r="416" spans="1:19" s="19" customFormat="1" x14ac:dyDescent="0.2">
      <c r="A416" s="18"/>
      <c r="C416" s="44"/>
      <c r="D416" s="45"/>
      <c r="E416" s="45"/>
      <c r="F416" s="45"/>
      <c r="G416" s="45"/>
      <c r="H416" s="45"/>
      <c r="I416" s="47"/>
      <c r="J416" s="18"/>
      <c r="L416" s="44"/>
      <c r="M416" s="45"/>
      <c r="N416" s="45"/>
      <c r="O416" s="45"/>
      <c r="P416" s="45"/>
      <c r="S416" s="18"/>
    </row>
    <row r="417" spans="1:19" s="19" customFormat="1" x14ac:dyDescent="0.2">
      <c r="A417" s="18"/>
      <c r="C417" s="46"/>
      <c r="D417" s="47"/>
      <c r="E417" s="47"/>
      <c r="F417" s="47"/>
      <c r="G417" s="47"/>
      <c r="H417" s="47"/>
      <c r="I417" s="47"/>
      <c r="J417" s="18"/>
      <c r="L417" s="46"/>
      <c r="M417" s="47"/>
      <c r="N417" s="47"/>
      <c r="O417" s="47"/>
      <c r="P417" s="47"/>
      <c r="S417" s="18"/>
    </row>
    <row r="418" spans="1:19" s="19" customFormat="1" x14ac:dyDescent="0.2">
      <c r="A418" s="18"/>
      <c r="C418" s="44"/>
      <c r="D418" s="45"/>
      <c r="E418" s="45"/>
      <c r="F418" s="45"/>
      <c r="G418" s="45"/>
      <c r="H418" s="45"/>
      <c r="I418" s="47"/>
      <c r="J418" s="18"/>
      <c r="L418" s="44"/>
      <c r="M418" s="45"/>
      <c r="N418" s="45"/>
      <c r="O418" s="45"/>
      <c r="P418" s="45"/>
      <c r="S418" s="18"/>
    </row>
    <row r="419" spans="1:19" s="19" customFormat="1" x14ac:dyDescent="0.2">
      <c r="A419" s="18"/>
      <c r="C419" s="46"/>
      <c r="D419" s="47"/>
      <c r="E419" s="47"/>
      <c r="F419" s="47"/>
      <c r="G419" s="47"/>
      <c r="H419" s="47"/>
      <c r="I419" s="47"/>
      <c r="J419" s="18"/>
      <c r="L419" s="46"/>
      <c r="M419" s="47"/>
      <c r="N419" s="47"/>
      <c r="O419" s="47"/>
      <c r="P419" s="47"/>
      <c r="S419" s="18"/>
    </row>
    <row r="420" spans="1:19" s="19" customFormat="1" x14ac:dyDescent="0.2">
      <c r="A420" s="18"/>
      <c r="C420" s="44"/>
      <c r="D420" s="45"/>
      <c r="E420" s="45"/>
      <c r="F420" s="45"/>
      <c r="G420" s="45"/>
      <c r="H420" s="45"/>
      <c r="I420" s="47"/>
      <c r="J420" s="18"/>
      <c r="L420" s="44"/>
      <c r="M420" s="45"/>
      <c r="N420" s="45"/>
      <c r="O420" s="45"/>
      <c r="P420" s="45"/>
      <c r="S420" s="18"/>
    </row>
    <row r="421" spans="1:19" s="19" customFormat="1" x14ac:dyDescent="0.2">
      <c r="A421" s="18"/>
      <c r="C421" s="46"/>
      <c r="D421" s="47"/>
      <c r="E421" s="47"/>
      <c r="F421" s="47"/>
      <c r="G421" s="47"/>
      <c r="H421" s="47"/>
      <c r="I421" s="47"/>
      <c r="J421" s="18"/>
      <c r="L421" s="46"/>
      <c r="M421" s="47"/>
      <c r="N421" s="47"/>
      <c r="O421" s="47"/>
      <c r="P421" s="47"/>
      <c r="S421" s="18"/>
    </row>
    <row r="422" spans="1:19" s="19" customFormat="1" x14ac:dyDescent="0.2">
      <c r="A422" s="18"/>
      <c r="C422" s="44"/>
      <c r="D422" s="45"/>
      <c r="E422" s="45"/>
      <c r="F422" s="45"/>
      <c r="G422" s="45"/>
      <c r="H422" s="45"/>
      <c r="I422" s="47"/>
      <c r="J422" s="18"/>
      <c r="L422" s="44"/>
      <c r="M422" s="45"/>
      <c r="N422" s="45"/>
      <c r="O422" s="45"/>
      <c r="P422" s="45"/>
      <c r="S422" s="18"/>
    </row>
    <row r="423" spans="1:19" s="19" customFormat="1" x14ac:dyDescent="0.2">
      <c r="A423" s="18"/>
      <c r="C423" s="46"/>
      <c r="D423" s="47"/>
      <c r="E423" s="47"/>
      <c r="F423" s="47"/>
      <c r="G423" s="47"/>
      <c r="H423" s="47"/>
      <c r="I423" s="47"/>
      <c r="J423" s="18"/>
      <c r="L423" s="46"/>
      <c r="M423" s="47"/>
      <c r="N423" s="47"/>
      <c r="O423" s="47"/>
      <c r="P423" s="47"/>
      <c r="S423" s="18"/>
    </row>
    <row r="424" spans="1:19" s="19" customFormat="1" x14ac:dyDescent="0.2">
      <c r="A424" s="18"/>
      <c r="C424" s="44"/>
      <c r="D424" s="45"/>
      <c r="E424" s="45"/>
      <c r="F424" s="45"/>
      <c r="G424" s="45"/>
      <c r="H424" s="45"/>
      <c r="I424" s="47"/>
      <c r="J424" s="18"/>
      <c r="L424" s="44"/>
      <c r="M424" s="45"/>
      <c r="N424" s="45"/>
      <c r="O424" s="45"/>
      <c r="P424" s="45"/>
      <c r="S424" s="18"/>
    </row>
    <row r="425" spans="1:19" s="19" customFormat="1" x14ac:dyDescent="0.2">
      <c r="A425" s="18"/>
      <c r="C425" s="46"/>
      <c r="D425" s="47"/>
      <c r="E425" s="47"/>
      <c r="F425" s="47"/>
      <c r="G425" s="47"/>
      <c r="H425" s="47"/>
      <c r="I425" s="47"/>
      <c r="J425" s="18"/>
      <c r="L425" s="46"/>
      <c r="M425" s="47"/>
      <c r="N425" s="47"/>
      <c r="O425" s="47"/>
      <c r="P425" s="47"/>
      <c r="S425" s="18"/>
    </row>
    <row r="426" spans="1:19" s="19" customFormat="1" x14ac:dyDescent="0.2">
      <c r="A426" s="18"/>
      <c r="C426" s="44"/>
      <c r="D426" s="45"/>
      <c r="E426" s="45"/>
      <c r="F426" s="45"/>
      <c r="G426" s="45"/>
      <c r="H426" s="45"/>
      <c r="I426" s="47"/>
      <c r="J426" s="18"/>
      <c r="L426" s="44"/>
      <c r="M426" s="45"/>
      <c r="N426" s="45"/>
      <c r="O426" s="45"/>
      <c r="P426" s="45"/>
      <c r="S426" s="18"/>
    </row>
    <row r="427" spans="1:19" s="19" customFormat="1" x14ac:dyDescent="0.2">
      <c r="A427" s="18"/>
      <c r="C427" s="46"/>
      <c r="D427" s="47"/>
      <c r="E427" s="47"/>
      <c r="F427" s="47"/>
      <c r="G427" s="47"/>
      <c r="H427" s="47"/>
      <c r="I427" s="47"/>
      <c r="J427" s="18"/>
      <c r="L427" s="46"/>
      <c r="M427" s="47"/>
      <c r="N427" s="47"/>
      <c r="O427" s="47"/>
      <c r="P427" s="47"/>
      <c r="S427" s="18"/>
    </row>
    <row r="428" spans="1:19" s="19" customFormat="1" x14ac:dyDescent="0.2">
      <c r="A428" s="18"/>
      <c r="C428" s="44"/>
      <c r="D428" s="45"/>
      <c r="E428" s="45"/>
      <c r="F428" s="45"/>
      <c r="G428" s="45"/>
      <c r="H428" s="45"/>
      <c r="I428" s="47"/>
      <c r="J428" s="18"/>
      <c r="L428" s="44"/>
      <c r="M428" s="45"/>
      <c r="N428" s="45"/>
      <c r="O428" s="45"/>
      <c r="P428" s="45"/>
      <c r="S428" s="18"/>
    </row>
    <row r="429" spans="1:19" s="19" customFormat="1" x14ac:dyDescent="0.2">
      <c r="A429" s="18"/>
      <c r="C429" s="46"/>
      <c r="D429" s="47"/>
      <c r="E429" s="47"/>
      <c r="F429" s="47"/>
      <c r="G429" s="47"/>
      <c r="H429" s="47"/>
      <c r="I429" s="47"/>
      <c r="J429" s="18"/>
      <c r="L429" s="46"/>
      <c r="M429" s="47"/>
      <c r="N429" s="47"/>
      <c r="O429" s="47"/>
      <c r="P429" s="47"/>
      <c r="S429" s="18"/>
    </row>
    <row r="430" spans="1:19" s="19" customFormat="1" x14ac:dyDescent="0.2">
      <c r="A430" s="18"/>
      <c r="C430" s="44"/>
      <c r="D430" s="45"/>
      <c r="E430" s="45"/>
      <c r="F430" s="45"/>
      <c r="G430" s="45"/>
      <c r="H430" s="45"/>
      <c r="I430" s="47"/>
      <c r="J430" s="18"/>
      <c r="L430" s="44"/>
      <c r="M430" s="45"/>
      <c r="N430" s="45"/>
      <c r="O430" s="45"/>
      <c r="P430" s="45"/>
      <c r="S430" s="18"/>
    </row>
    <row r="431" spans="1:19" s="19" customFormat="1" x14ac:dyDescent="0.2">
      <c r="A431" s="18"/>
      <c r="C431" s="46"/>
      <c r="D431" s="47"/>
      <c r="E431" s="47"/>
      <c r="F431" s="47"/>
      <c r="G431" s="47"/>
      <c r="H431" s="47"/>
      <c r="I431" s="47"/>
      <c r="J431" s="18"/>
      <c r="L431" s="46"/>
      <c r="M431" s="47"/>
      <c r="N431" s="47"/>
      <c r="O431" s="47"/>
      <c r="P431" s="47"/>
      <c r="S431" s="18"/>
    </row>
    <row r="432" spans="1:19" s="19" customFormat="1" x14ac:dyDescent="0.2">
      <c r="A432" s="18"/>
      <c r="C432" s="44"/>
      <c r="D432" s="45"/>
      <c r="E432" s="45"/>
      <c r="F432" s="45"/>
      <c r="G432" s="45"/>
      <c r="H432" s="45"/>
      <c r="I432" s="47"/>
      <c r="J432" s="18"/>
      <c r="L432" s="44"/>
      <c r="M432" s="45"/>
      <c r="N432" s="45"/>
      <c r="O432" s="45"/>
      <c r="P432" s="45"/>
      <c r="S432" s="18"/>
    </row>
    <row r="433" spans="1:19" s="19" customFormat="1" x14ac:dyDescent="0.2">
      <c r="A433" s="18"/>
      <c r="C433" s="46"/>
      <c r="D433" s="47"/>
      <c r="E433" s="47"/>
      <c r="F433" s="47"/>
      <c r="G433" s="47"/>
      <c r="H433" s="47"/>
      <c r="I433" s="47"/>
      <c r="J433" s="18"/>
      <c r="L433" s="46"/>
      <c r="M433" s="47"/>
      <c r="N433" s="47"/>
      <c r="O433" s="47"/>
      <c r="P433" s="47"/>
      <c r="S433" s="18"/>
    </row>
    <row r="434" spans="1:19" s="19" customFormat="1" x14ac:dyDescent="0.2">
      <c r="A434" s="18"/>
      <c r="C434" s="44"/>
      <c r="D434" s="45"/>
      <c r="E434" s="45"/>
      <c r="F434" s="45"/>
      <c r="G434" s="45"/>
      <c r="H434" s="45"/>
      <c r="I434" s="47"/>
      <c r="J434" s="18"/>
      <c r="L434" s="44"/>
      <c r="M434" s="45"/>
      <c r="N434" s="45"/>
      <c r="O434" s="45"/>
      <c r="P434" s="45"/>
      <c r="S434" s="18"/>
    </row>
    <row r="435" spans="1:19" s="19" customFormat="1" x14ac:dyDescent="0.2">
      <c r="A435" s="18"/>
      <c r="C435" s="46"/>
      <c r="D435" s="47"/>
      <c r="E435" s="47"/>
      <c r="F435" s="47"/>
      <c r="G435" s="47"/>
      <c r="H435" s="47"/>
      <c r="I435" s="47"/>
      <c r="J435" s="18"/>
      <c r="L435" s="46"/>
      <c r="M435" s="47"/>
      <c r="N435" s="47"/>
      <c r="O435" s="47"/>
      <c r="P435" s="47"/>
      <c r="S435" s="18"/>
    </row>
    <row r="436" spans="1:19" s="19" customFormat="1" x14ac:dyDescent="0.2">
      <c r="A436" s="18"/>
      <c r="C436" s="44"/>
      <c r="D436" s="45"/>
      <c r="E436" s="45"/>
      <c r="F436" s="45"/>
      <c r="G436" s="45"/>
      <c r="H436" s="45"/>
      <c r="I436" s="47"/>
      <c r="J436" s="18"/>
      <c r="L436" s="44"/>
      <c r="M436" s="45"/>
      <c r="N436" s="45"/>
      <c r="O436" s="45"/>
      <c r="P436" s="45"/>
      <c r="S436" s="18"/>
    </row>
    <row r="437" spans="1:19" s="19" customFormat="1" x14ac:dyDescent="0.2">
      <c r="A437" s="18"/>
      <c r="C437" s="46"/>
      <c r="D437" s="47"/>
      <c r="E437" s="47"/>
      <c r="F437" s="47"/>
      <c r="G437" s="47"/>
      <c r="H437" s="47"/>
      <c r="I437" s="47"/>
      <c r="J437" s="18"/>
      <c r="L437" s="46"/>
      <c r="M437" s="47"/>
      <c r="N437" s="47"/>
      <c r="O437" s="47"/>
      <c r="P437" s="47"/>
      <c r="S437" s="18"/>
    </row>
    <row r="438" spans="1:19" s="19" customFormat="1" x14ac:dyDescent="0.2">
      <c r="A438" s="18"/>
      <c r="C438" s="44"/>
      <c r="D438" s="45"/>
      <c r="E438" s="45"/>
      <c r="F438" s="45"/>
      <c r="G438" s="45"/>
      <c r="H438" s="45"/>
      <c r="I438" s="47"/>
      <c r="J438" s="18"/>
      <c r="L438" s="44"/>
      <c r="M438" s="45"/>
      <c r="N438" s="45"/>
      <c r="O438" s="45"/>
      <c r="P438" s="45"/>
      <c r="S438" s="18"/>
    </row>
    <row r="439" spans="1:19" s="19" customFormat="1" x14ac:dyDescent="0.2">
      <c r="A439" s="18"/>
      <c r="C439" s="46"/>
      <c r="D439" s="47"/>
      <c r="E439" s="47"/>
      <c r="F439" s="47"/>
      <c r="G439" s="47"/>
      <c r="H439" s="47"/>
      <c r="I439" s="47"/>
      <c r="J439" s="18"/>
      <c r="L439" s="46"/>
      <c r="M439" s="47"/>
      <c r="N439" s="47"/>
      <c r="O439" s="47"/>
      <c r="P439" s="47"/>
      <c r="S439" s="18"/>
    </row>
    <row r="440" spans="1:19" s="19" customFormat="1" x14ac:dyDescent="0.2">
      <c r="A440" s="18"/>
      <c r="C440" s="44"/>
      <c r="D440" s="45"/>
      <c r="E440" s="45"/>
      <c r="F440" s="45"/>
      <c r="G440" s="45"/>
      <c r="H440" s="45"/>
      <c r="I440" s="47"/>
      <c r="J440" s="18"/>
      <c r="L440" s="44"/>
      <c r="M440" s="45"/>
      <c r="N440" s="45"/>
      <c r="O440" s="45"/>
      <c r="P440" s="45"/>
      <c r="S440" s="18"/>
    </row>
    <row r="441" spans="1:19" s="19" customFormat="1" x14ac:dyDescent="0.2">
      <c r="A441" s="18"/>
      <c r="C441" s="46"/>
      <c r="D441" s="47"/>
      <c r="E441" s="47"/>
      <c r="F441" s="47"/>
      <c r="G441" s="47"/>
      <c r="H441" s="47"/>
      <c r="I441" s="47"/>
      <c r="J441" s="18"/>
      <c r="L441" s="46"/>
      <c r="M441" s="47"/>
      <c r="N441" s="47"/>
      <c r="O441" s="47"/>
      <c r="P441" s="47"/>
      <c r="S441" s="18"/>
    </row>
    <row r="442" spans="1:19" s="19" customFormat="1" x14ac:dyDescent="0.2">
      <c r="A442" s="18"/>
      <c r="C442" s="44"/>
      <c r="D442" s="45"/>
      <c r="E442" s="45"/>
      <c r="F442" s="45"/>
      <c r="G442" s="45"/>
      <c r="H442" s="45"/>
      <c r="I442" s="47"/>
      <c r="J442" s="18"/>
      <c r="L442" s="44"/>
      <c r="M442" s="45"/>
      <c r="N442" s="45"/>
      <c r="O442" s="45"/>
      <c r="P442" s="45"/>
      <c r="S442" s="18"/>
    </row>
    <row r="443" spans="1:19" s="19" customFormat="1" x14ac:dyDescent="0.2">
      <c r="A443" s="18"/>
      <c r="C443" s="46"/>
      <c r="D443" s="47"/>
      <c r="E443" s="47"/>
      <c r="F443" s="47"/>
      <c r="G443" s="47"/>
      <c r="H443" s="47"/>
      <c r="I443" s="47"/>
      <c r="J443" s="18"/>
      <c r="L443" s="46"/>
      <c r="M443" s="47"/>
      <c r="N443" s="47"/>
      <c r="O443" s="47"/>
      <c r="P443" s="47"/>
      <c r="S443" s="18"/>
    </row>
    <row r="444" spans="1:19" s="19" customFormat="1" x14ac:dyDescent="0.2">
      <c r="A444" s="18"/>
      <c r="C444" s="44"/>
      <c r="D444" s="45"/>
      <c r="E444" s="45"/>
      <c r="F444" s="45"/>
      <c r="G444" s="45"/>
      <c r="H444" s="45"/>
      <c r="I444" s="47"/>
      <c r="J444" s="18"/>
      <c r="L444" s="44"/>
      <c r="M444" s="45"/>
      <c r="N444" s="45"/>
      <c r="O444" s="45"/>
      <c r="P444" s="45"/>
      <c r="S444" s="18"/>
    </row>
    <row r="445" spans="1:19" s="19" customFormat="1" x14ac:dyDescent="0.2">
      <c r="A445" s="18"/>
      <c r="C445" s="46"/>
      <c r="D445" s="47"/>
      <c r="E445" s="47"/>
      <c r="F445" s="47"/>
      <c r="G445" s="47"/>
      <c r="H445" s="47"/>
      <c r="I445" s="47"/>
      <c r="J445" s="18"/>
      <c r="L445" s="46"/>
      <c r="M445" s="47"/>
      <c r="N445" s="47"/>
      <c r="O445" s="47"/>
      <c r="P445" s="47"/>
      <c r="S445" s="18"/>
    </row>
    <row r="446" spans="1:19" s="19" customFormat="1" x14ac:dyDescent="0.2">
      <c r="A446" s="18"/>
      <c r="C446" s="44"/>
      <c r="D446" s="45"/>
      <c r="E446" s="45"/>
      <c r="F446" s="45"/>
      <c r="G446" s="45"/>
      <c r="H446" s="45"/>
      <c r="I446" s="47"/>
      <c r="J446" s="18"/>
      <c r="L446" s="44"/>
      <c r="M446" s="45"/>
      <c r="N446" s="45"/>
      <c r="O446" s="45"/>
      <c r="P446" s="45"/>
      <c r="S446" s="18"/>
    </row>
    <row r="447" spans="1:19" s="19" customFormat="1" x14ac:dyDescent="0.2">
      <c r="A447" s="18"/>
      <c r="C447" s="46"/>
      <c r="D447" s="47"/>
      <c r="E447" s="47"/>
      <c r="F447" s="47"/>
      <c r="G447" s="47"/>
      <c r="H447" s="47"/>
      <c r="I447" s="47"/>
      <c r="J447" s="18"/>
      <c r="L447" s="46"/>
      <c r="M447" s="47"/>
      <c r="N447" s="47"/>
      <c r="O447" s="47"/>
      <c r="P447" s="47"/>
      <c r="S447" s="18"/>
    </row>
    <row r="448" spans="1:19" s="19" customFormat="1" x14ac:dyDescent="0.2">
      <c r="A448" s="18"/>
      <c r="C448" s="44"/>
      <c r="D448" s="45"/>
      <c r="E448" s="45"/>
      <c r="F448" s="45"/>
      <c r="G448" s="45"/>
      <c r="H448" s="45"/>
      <c r="I448" s="47"/>
      <c r="J448" s="18"/>
      <c r="L448" s="44"/>
      <c r="M448" s="45"/>
      <c r="N448" s="45"/>
      <c r="O448" s="45"/>
      <c r="P448" s="45"/>
      <c r="S448" s="18"/>
    </row>
    <row r="449" spans="1:19" s="19" customFormat="1" x14ac:dyDescent="0.2">
      <c r="A449" s="18"/>
      <c r="C449" s="46"/>
      <c r="D449" s="47"/>
      <c r="E449" s="47"/>
      <c r="F449" s="47"/>
      <c r="G449" s="47"/>
      <c r="H449" s="47"/>
      <c r="I449" s="47"/>
      <c r="J449" s="18"/>
      <c r="L449" s="46"/>
      <c r="M449" s="47"/>
      <c r="N449" s="47"/>
      <c r="O449" s="47"/>
      <c r="P449" s="47"/>
      <c r="S449" s="18"/>
    </row>
    <row r="450" spans="1:19" s="19" customFormat="1" x14ac:dyDescent="0.2">
      <c r="A450" s="18"/>
      <c r="C450" s="44"/>
      <c r="D450" s="45"/>
      <c r="E450" s="45"/>
      <c r="F450" s="45"/>
      <c r="G450" s="45"/>
      <c r="H450" s="45"/>
      <c r="I450" s="47"/>
      <c r="J450" s="18"/>
      <c r="L450" s="44"/>
      <c r="M450" s="45"/>
      <c r="N450" s="45"/>
      <c r="O450" s="45"/>
      <c r="P450" s="45"/>
      <c r="S450" s="18"/>
    </row>
    <row r="451" spans="1:19" s="19" customFormat="1" x14ac:dyDescent="0.2">
      <c r="A451" s="18"/>
      <c r="C451" s="46"/>
      <c r="D451" s="47"/>
      <c r="E451" s="47"/>
      <c r="F451" s="47"/>
      <c r="G451" s="47"/>
      <c r="H451" s="47"/>
      <c r="I451" s="47"/>
      <c r="J451" s="18"/>
      <c r="L451" s="46"/>
      <c r="M451" s="47"/>
      <c r="N451" s="47"/>
      <c r="O451" s="47"/>
      <c r="P451" s="47"/>
      <c r="S451" s="18"/>
    </row>
    <row r="452" spans="1:19" s="19" customFormat="1" x14ac:dyDescent="0.2">
      <c r="A452" s="18"/>
      <c r="C452" s="44"/>
      <c r="D452" s="45"/>
      <c r="E452" s="45"/>
      <c r="F452" s="45"/>
      <c r="G452" s="45"/>
      <c r="H452" s="45"/>
      <c r="I452" s="47"/>
      <c r="J452" s="18"/>
      <c r="L452" s="44"/>
      <c r="M452" s="45"/>
      <c r="N452" s="45"/>
      <c r="O452" s="45"/>
      <c r="P452" s="45"/>
      <c r="S452" s="18"/>
    </row>
    <row r="453" spans="1:19" s="19" customFormat="1" x14ac:dyDescent="0.2">
      <c r="A453" s="18"/>
      <c r="C453" s="46"/>
      <c r="D453" s="47"/>
      <c r="E453" s="47"/>
      <c r="F453" s="47"/>
      <c r="G453" s="47"/>
      <c r="H453" s="47"/>
      <c r="I453" s="47"/>
      <c r="J453" s="18"/>
      <c r="L453" s="46"/>
      <c r="M453" s="47"/>
      <c r="N453" s="47"/>
      <c r="O453" s="47"/>
      <c r="P453" s="47"/>
      <c r="S453" s="18"/>
    </row>
    <row r="454" spans="1:19" s="19" customFormat="1" x14ac:dyDescent="0.2">
      <c r="A454" s="18"/>
      <c r="C454" s="44"/>
      <c r="D454" s="45"/>
      <c r="E454" s="45"/>
      <c r="F454" s="45"/>
      <c r="G454" s="45"/>
      <c r="H454" s="45"/>
      <c r="I454" s="47"/>
      <c r="J454" s="18"/>
      <c r="L454" s="44"/>
      <c r="M454" s="45"/>
      <c r="N454" s="45"/>
      <c r="O454" s="45"/>
      <c r="P454" s="45"/>
      <c r="S454" s="18"/>
    </row>
    <row r="455" spans="1:19" s="19" customFormat="1" x14ac:dyDescent="0.2">
      <c r="A455" s="18"/>
      <c r="C455" s="46"/>
      <c r="D455" s="47"/>
      <c r="E455" s="47"/>
      <c r="F455" s="47"/>
      <c r="G455" s="47"/>
      <c r="H455" s="47"/>
      <c r="I455" s="47"/>
      <c r="J455" s="18"/>
      <c r="L455" s="46"/>
      <c r="M455" s="47"/>
      <c r="N455" s="47"/>
      <c r="O455" s="47"/>
      <c r="P455" s="47"/>
      <c r="S455" s="18"/>
    </row>
    <row r="456" spans="1:19" s="19" customFormat="1" x14ac:dyDescent="0.2">
      <c r="A456" s="18"/>
      <c r="C456" s="44"/>
      <c r="D456" s="45"/>
      <c r="E456" s="45"/>
      <c r="F456" s="45"/>
      <c r="G456" s="45"/>
      <c r="H456" s="45"/>
      <c r="I456" s="47"/>
      <c r="J456" s="18"/>
      <c r="L456" s="44"/>
      <c r="M456" s="45"/>
      <c r="N456" s="45"/>
      <c r="O456" s="45"/>
      <c r="P456" s="45"/>
      <c r="S456" s="18"/>
    </row>
    <row r="457" spans="1:19" s="19" customFormat="1" x14ac:dyDescent="0.2">
      <c r="A457" s="18"/>
      <c r="C457" s="46"/>
      <c r="D457" s="47"/>
      <c r="E457" s="47"/>
      <c r="F457" s="47"/>
      <c r="G457" s="47"/>
      <c r="H457" s="47"/>
      <c r="I457" s="47"/>
      <c r="J457" s="18"/>
      <c r="L457" s="46"/>
      <c r="M457" s="47"/>
      <c r="N457" s="47"/>
      <c r="O457" s="47"/>
      <c r="P457" s="47"/>
      <c r="S457" s="18"/>
    </row>
    <row r="458" spans="1:19" s="19" customFormat="1" x14ac:dyDescent="0.2">
      <c r="A458" s="18"/>
      <c r="C458" s="44"/>
      <c r="D458" s="45"/>
      <c r="E458" s="45"/>
      <c r="F458" s="45"/>
      <c r="G458" s="45"/>
      <c r="H458" s="45"/>
      <c r="I458" s="47"/>
      <c r="J458" s="18"/>
      <c r="L458" s="44"/>
      <c r="M458" s="45"/>
      <c r="N458" s="45"/>
      <c r="O458" s="45"/>
      <c r="P458" s="45"/>
      <c r="S458" s="18"/>
    </row>
    <row r="459" spans="1:19" s="19" customFormat="1" x14ac:dyDescent="0.2">
      <c r="A459" s="18"/>
      <c r="C459" s="46"/>
      <c r="D459" s="47"/>
      <c r="E459" s="47"/>
      <c r="F459" s="47"/>
      <c r="G459" s="47"/>
      <c r="H459" s="47"/>
      <c r="I459" s="47"/>
      <c r="J459" s="18"/>
      <c r="L459" s="46"/>
      <c r="M459" s="47"/>
      <c r="N459" s="47"/>
      <c r="O459" s="47"/>
      <c r="P459" s="47"/>
      <c r="S459" s="18"/>
    </row>
    <row r="460" spans="1:19" s="19" customFormat="1" x14ac:dyDescent="0.2">
      <c r="A460" s="18"/>
      <c r="C460" s="44"/>
      <c r="D460" s="45"/>
      <c r="E460" s="45"/>
      <c r="F460" s="45"/>
      <c r="G460" s="45"/>
      <c r="H460" s="45"/>
      <c r="I460" s="47"/>
      <c r="J460" s="18"/>
      <c r="L460" s="44"/>
      <c r="M460" s="45"/>
      <c r="N460" s="45"/>
      <c r="O460" s="45"/>
      <c r="P460" s="45"/>
      <c r="S460" s="18"/>
    </row>
    <row r="461" spans="1:19" s="19" customFormat="1" x14ac:dyDescent="0.2">
      <c r="A461" s="18"/>
      <c r="C461" s="46"/>
      <c r="D461" s="47"/>
      <c r="E461" s="47"/>
      <c r="F461" s="47"/>
      <c r="G461" s="47"/>
      <c r="H461" s="47"/>
      <c r="I461" s="47"/>
      <c r="J461" s="18"/>
      <c r="L461" s="46"/>
      <c r="M461" s="47"/>
      <c r="N461" s="47"/>
      <c r="O461" s="47"/>
      <c r="P461" s="47"/>
      <c r="S461" s="18"/>
    </row>
    <row r="462" spans="1:19" s="19" customFormat="1" x14ac:dyDescent="0.2">
      <c r="A462" s="18"/>
      <c r="C462" s="44"/>
      <c r="D462" s="45"/>
      <c r="E462" s="45"/>
      <c r="F462" s="45"/>
      <c r="G462" s="45"/>
      <c r="H462" s="45"/>
      <c r="I462" s="47"/>
      <c r="J462" s="18"/>
      <c r="L462" s="44"/>
      <c r="M462" s="45"/>
      <c r="N462" s="45"/>
      <c r="O462" s="45"/>
      <c r="P462" s="45"/>
      <c r="S462" s="18"/>
    </row>
    <row r="463" spans="1:19" s="19" customFormat="1" x14ac:dyDescent="0.2">
      <c r="A463" s="18"/>
      <c r="C463" s="46"/>
      <c r="D463" s="47"/>
      <c r="E463" s="47"/>
      <c r="F463" s="47"/>
      <c r="G463" s="47"/>
      <c r="H463" s="47"/>
      <c r="I463" s="47"/>
      <c r="J463" s="18"/>
      <c r="L463" s="46"/>
      <c r="M463" s="47"/>
      <c r="N463" s="47"/>
      <c r="O463" s="47"/>
      <c r="P463" s="47"/>
      <c r="S463" s="18"/>
    </row>
    <row r="464" spans="1:19" s="19" customFormat="1" x14ac:dyDescent="0.2">
      <c r="A464" s="18"/>
      <c r="C464" s="44"/>
      <c r="D464" s="45"/>
      <c r="E464" s="45"/>
      <c r="F464" s="45"/>
      <c r="G464" s="45"/>
      <c r="H464" s="45"/>
      <c r="I464" s="47"/>
      <c r="J464" s="18"/>
      <c r="L464" s="44"/>
      <c r="M464" s="45"/>
      <c r="N464" s="45"/>
      <c r="O464" s="45"/>
      <c r="P464" s="45"/>
      <c r="S464" s="18"/>
    </row>
    <row r="465" spans="1:19" s="19" customFormat="1" x14ac:dyDescent="0.2">
      <c r="A465" s="18"/>
      <c r="C465" s="46"/>
      <c r="D465" s="47"/>
      <c r="E465" s="47"/>
      <c r="F465" s="47"/>
      <c r="G465" s="47"/>
      <c r="H465" s="47"/>
      <c r="I465" s="47"/>
      <c r="J465" s="18"/>
      <c r="L465" s="46"/>
      <c r="M465" s="47"/>
      <c r="N465" s="47"/>
      <c r="O465" s="47"/>
      <c r="P465" s="47"/>
      <c r="S465" s="18"/>
    </row>
    <row r="466" spans="1:19" s="19" customFormat="1" x14ac:dyDescent="0.2">
      <c r="A466" s="18"/>
      <c r="C466" s="44"/>
      <c r="D466" s="45"/>
      <c r="E466" s="45"/>
      <c r="F466" s="45"/>
      <c r="G466" s="45"/>
      <c r="H466" s="45"/>
      <c r="I466" s="47"/>
      <c r="J466" s="18"/>
      <c r="L466" s="44"/>
      <c r="M466" s="45"/>
      <c r="N466" s="45"/>
      <c r="O466" s="45"/>
      <c r="P466" s="45"/>
      <c r="S466" s="18"/>
    </row>
    <row r="467" spans="1:19" s="19" customFormat="1" x14ac:dyDescent="0.2">
      <c r="A467" s="18"/>
      <c r="C467" s="46"/>
      <c r="D467" s="47"/>
      <c r="E467" s="47"/>
      <c r="F467" s="47"/>
      <c r="G467" s="47"/>
      <c r="H467" s="47"/>
      <c r="I467" s="47"/>
      <c r="J467" s="18"/>
      <c r="L467" s="46"/>
      <c r="M467" s="47"/>
      <c r="N467" s="47"/>
      <c r="O467" s="47"/>
      <c r="P467" s="47"/>
      <c r="S467" s="18"/>
    </row>
    <row r="468" spans="1:19" s="19" customFormat="1" x14ac:dyDescent="0.2">
      <c r="A468" s="18"/>
      <c r="C468" s="44"/>
      <c r="D468" s="45"/>
      <c r="E468" s="45"/>
      <c r="F468" s="45"/>
      <c r="G468" s="45"/>
      <c r="H468" s="45"/>
      <c r="I468" s="47"/>
      <c r="J468" s="18"/>
      <c r="L468" s="44"/>
      <c r="M468" s="45"/>
      <c r="N468" s="45"/>
      <c r="O468" s="45"/>
      <c r="P468" s="45"/>
      <c r="S468" s="18"/>
    </row>
    <row r="469" spans="1:19" s="19" customFormat="1" x14ac:dyDescent="0.2">
      <c r="A469" s="18"/>
      <c r="C469" s="46"/>
      <c r="D469" s="47"/>
      <c r="E469" s="47"/>
      <c r="F469" s="47"/>
      <c r="G469" s="47"/>
      <c r="H469" s="47"/>
      <c r="I469" s="47"/>
      <c r="J469" s="18"/>
      <c r="L469" s="46"/>
      <c r="M469" s="47"/>
      <c r="N469" s="47"/>
      <c r="O469" s="47"/>
      <c r="P469" s="47"/>
      <c r="S469" s="18"/>
    </row>
    <row r="470" spans="1:19" s="19" customFormat="1" x14ac:dyDescent="0.2">
      <c r="A470" s="18"/>
      <c r="C470" s="44"/>
      <c r="D470" s="45"/>
      <c r="E470" s="45"/>
      <c r="F470" s="45"/>
      <c r="G470" s="45"/>
      <c r="H470" s="45"/>
      <c r="I470" s="47"/>
      <c r="J470" s="18"/>
      <c r="L470" s="44"/>
      <c r="M470" s="45"/>
      <c r="N470" s="45"/>
      <c r="O470" s="45"/>
      <c r="P470" s="45"/>
      <c r="S470" s="18"/>
    </row>
    <row r="471" spans="1:19" s="19" customFormat="1" x14ac:dyDescent="0.2">
      <c r="A471" s="18"/>
      <c r="C471" s="46"/>
      <c r="D471" s="47"/>
      <c r="E471" s="47"/>
      <c r="F471" s="47"/>
      <c r="G471" s="47"/>
      <c r="H471" s="47"/>
      <c r="I471" s="47"/>
      <c r="J471" s="18"/>
      <c r="L471" s="46"/>
      <c r="M471" s="47"/>
      <c r="N471" s="47"/>
      <c r="O471" s="47"/>
      <c r="P471" s="47"/>
      <c r="S471" s="18"/>
    </row>
    <row r="472" spans="1:19" s="19" customFormat="1" x14ac:dyDescent="0.2">
      <c r="A472" s="18"/>
      <c r="C472" s="44"/>
      <c r="D472" s="45"/>
      <c r="E472" s="45"/>
      <c r="F472" s="45"/>
      <c r="G472" s="45"/>
      <c r="H472" s="45"/>
      <c r="I472" s="47"/>
      <c r="J472" s="18"/>
      <c r="L472" s="44"/>
      <c r="M472" s="45"/>
      <c r="N472" s="45"/>
      <c r="O472" s="45"/>
      <c r="P472" s="45"/>
      <c r="S472" s="18"/>
    </row>
    <row r="473" spans="1:19" s="19" customFormat="1" x14ac:dyDescent="0.2">
      <c r="A473" s="18"/>
      <c r="C473" s="46"/>
      <c r="D473" s="47"/>
      <c r="E473" s="47"/>
      <c r="F473" s="47"/>
      <c r="G473" s="47"/>
      <c r="H473" s="47"/>
      <c r="I473" s="47"/>
      <c r="J473" s="18"/>
      <c r="L473" s="46"/>
      <c r="M473" s="47"/>
      <c r="N473" s="47"/>
      <c r="O473" s="47"/>
      <c r="P473" s="47"/>
      <c r="S473" s="18"/>
    </row>
    <row r="474" spans="1:19" s="19" customFormat="1" x14ac:dyDescent="0.2">
      <c r="A474" s="18"/>
      <c r="C474" s="44"/>
      <c r="D474" s="45"/>
      <c r="E474" s="45"/>
      <c r="F474" s="45"/>
      <c r="G474" s="45"/>
      <c r="H474" s="45"/>
      <c r="I474" s="47"/>
      <c r="J474" s="18"/>
      <c r="L474" s="44"/>
      <c r="M474" s="45"/>
      <c r="N474" s="45"/>
      <c r="O474" s="45"/>
      <c r="P474" s="45"/>
      <c r="S474" s="18"/>
    </row>
    <row r="475" spans="1:19" s="19" customFormat="1" x14ac:dyDescent="0.2">
      <c r="A475" s="18"/>
      <c r="C475" s="46"/>
      <c r="D475" s="47"/>
      <c r="E475" s="47"/>
      <c r="F475" s="47"/>
      <c r="G475" s="47"/>
      <c r="H475" s="47"/>
      <c r="I475" s="47"/>
      <c r="J475" s="18"/>
      <c r="L475" s="46"/>
      <c r="M475" s="47"/>
      <c r="N475" s="47"/>
      <c r="O475" s="47"/>
      <c r="P475" s="47"/>
      <c r="S475" s="18"/>
    </row>
    <row r="476" spans="1:19" s="19" customFormat="1" x14ac:dyDescent="0.2">
      <c r="A476" s="18"/>
      <c r="C476" s="44"/>
      <c r="D476" s="45"/>
      <c r="E476" s="45"/>
      <c r="F476" s="45"/>
      <c r="G476" s="45"/>
      <c r="H476" s="45"/>
      <c r="I476" s="47"/>
      <c r="J476" s="18"/>
      <c r="L476" s="44"/>
      <c r="M476" s="45"/>
      <c r="N476" s="45"/>
      <c r="O476" s="45"/>
      <c r="P476" s="45"/>
      <c r="S476" s="18"/>
    </row>
    <row r="477" spans="1:19" s="19" customFormat="1" x14ac:dyDescent="0.2">
      <c r="A477" s="18"/>
      <c r="C477" s="46"/>
      <c r="D477" s="47"/>
      <c r="E477" s="47"/>
      <c r="F477" s="47"/>
      <c r="G477" s="47"/>
      <c r="H477" s="47"/>
      <c r="I477" s="47"/>
      <c r="J477" s="18"/>
      <c r="L477" s="46"/>
      <c r="M477" s="47"/>
      <c r="N477" s="47"/>
      <c r="O477" s="47"/>
      <c r="P477" s="47"/>
      <c r="S477" s="18"/>
    </row>
    <row r="478" spans="1:19" s="19" customFormat="1" x14ac:dyDescent="0.2">
      <c r="A478" s="18"/>
      <c r="C478" s="44"/>
      <c r="D478" s="45"/>
      <c r="E478" s="45"/>
      <c r="F478" s="45"/>
      <c r="G478" s="45"/>
      <c r="H478" s="45"/>
      <c r="I478" s="47"/>
      <c r="J478" s="18"/>
      <c r="L478" s="44"/>
      <c r="M478" s="45"/>
      <c r="N478" s="45"/>
      <c r="O478" s="45"/>
      <c r="P478" s="45"/>
      <c r="S478" s="18"/>
    </row>
    <row r="479" spans="1:19" s="19" customFormat="1" x14ac:dyDescent="0.2">
      <c r="A479" s="18"/>
      <c r="C479" s="46"/>
      <c r="D479" s="47"/>
      <c r="E479" s="47"/>
      <c r="F479" s="47"/>
      <c r="G479" s="47"/>
      <c r="H479" s="47"/>
      <c r="I479" s="47"/>
      <c r="J479" s="18"/>
      <c r="L479" s="46"/>
      <c r="M479" s="47"/>
      <c r="N479" s="47"/>
      <c r="O479" s="47"/>
      <c r="P479" s="47"/>
      <c r="S479" s="18"/>
    </row>
    <row r="480" spans="1:19" s="19" customFormat="1" x14ac:dyDescent="0.2">
      <c r="A480" s="18"/>
      <c r="C480" s="44"/>
      <c r="D480" s="45"/>
      <c r="E480" s="45"/>
      <c r="F480" s="45"/>
      <c r="G480" s="45"/>
      <c r="H480" s="45"/>
      <c r="I480" s="47"/>
      <c r="J480" s="18"/>
      <c r="L480" s="44"/>
      <c r="M480" s="45"/>
      <c r="N480" s="45"/>
      <c r="O480" s="45"/>
      <c r="P480" s="45"/>
      <c r="S480" s="18"/>
    </row>
    <row r="481" spans="1:19" s="19" customFormat="1" x14ac:dyDescent="0.2">
      <c r="A481" s="18"/>
      <c r="C481" s="46"/>
      <c r="D481" s="47"/>
      <c r="E481" s="47"/>
      <c r="F481" s="47"/>
      <c r="G481" s="47"/>
      <c r="H481" s="47"/>
      <c r="I481" s="47"/>
      <c r="J481" s="18"/>
      <c r="L481" s="46"/>
      <c r="M481" s="47"/>
      <c r="N481" s="47"/>
      <c r="O481" s="47"/>
      <c r="P481" s="47"/>
      <c r="S481" s="18"/>
    </row>
    <row r="482" spans="1:19" s="19" customFormat="1" x14ac:dyDescent="0.2">
      <c r="A482" s="18"/>
      <c r="C482" s="44"/>
      <c r="D482" s="45"/>
      <c r="E482" s="45"/>
      <c r="F482" s="45"/>
      <c r="G482" s="45"/>
      <c r="H482" s="45"/>
      <c r="I482" s="47"/>
      <c r="J482" s="18"/>
      <c r="L482" s="44"/>
      <c r="M482" s="45"/>
      <c r="N482" s="45"/>
      <c r="O482" s="45"/>
      <c r="P482" s="45"/>
      <c r="S482" s="18"/>
    </row>
    <row r="483" spans="1:19" s="19" customFormat="1" x14ac:dyDescent="0.2">
      <c r="A483" s="18"/>
      <c r="C483" s="46"/>
      <c r="D483" s="47"/>
      <c r="E483" s="47"/>
      <c r="F483" s="47"/>
      <c r="G483" s="47"/>
      <c r="H483" s="47"/>
      <c r="I483" s="47"/>
      <c r="J483" s="18"/>
      <c r="L483" s="46"/>
      <c r="M483" s="47"/>
      <c r="N483" s="47"/>
      <c r="O483" s="47"/>
      <c r="P483" s="47"/>
      <c r="S483" s="18"/>
    </row>
    <row r="484" spans="1:19" s="19" customFormat="1" x14ac:dyDescent="0.2">
      <c r="A484" s="18"/>
      <c r="C484" s="44"/>
      <c r="D484" s="45"/>
      <c r="E484" s="45"/>
      <c r="F484" s="45"/>
      <c r="G484" s="45"/>
      <c r="H484" s="45"/>
      <c r="I484" s="47"/>
      <c r="J484" s="18"/>
      <c r="L484" s="44"/>
      <c r="M484" s="45"/>
      <c r="N484" s="45"/>
      <c r="O484" s="45"/>
      <c r="P484" s="45"/>
      <c r="S484" s="18"/>
    </row>
    <row r="485" spans="1:19" s="19" customFormat="1" x14ac:dyDescent="0.2">
      <c r="A485" s="18"/>
      <c r="C485" s="46"/>
      <c r="D485" s="47"/>
      <c r="E485" s="47"/>
      <c r="F485" s="47"/>
      <c r="G485" s="47"/>
      <c r="H485" s="47"/>
      <c r="I485" s="47"/>
      <c r="J485" s="18"/>
      <c r="L485" s="46"/>
      <c r="M485" s="47"/>
      <c r="N485" s="47"/>
      <c r="O485" s="47"/>
      <c r="P485" s="47"/>
      <c r="S485" s="18"/>
    </row>
    <row r="486" spans="1:19" s="19" customFormat="1" x14ac:dyDescent="0.2">
      <c r="A486" s="18"/>
      <c r="C486" s="44"/>
      <c r="D486" s="45"/>
      <c r="E486" s="45"/>
      <c r="F486" s="45"/>
      <c r="G486" s="45"/>
      <c r="H486" s="45"/>
      <c r="I486" s="47"/>
      <c r="J486" s="18"/>
      <c r="L486" s="44"/>
      <c r="M486" s="45"/>
      <c r="N486" s="45"/>
      <c r="O486" s="45"/>
      <c r="P486" s="45"/>
      <c r="S486" s="18"/>
    </row>
    <row r="487" spans="1:19" s="19" customFormat="1" x14ac:dyDescent="0.2">
      <c r="A487" s="18"/>
      <c r="C487" s="46"/>
      <c r="D487" s="47"/>
      <c r="E487" s="47"/>
      <c r="F487" s="47"/>
      <c r="G487" s="47"/>
      <c r="H487" s="47"/>
      <c r="I487" s="47"/>
      <c r="J487" s="18"/>
      <c r="L487" s="46"/>
      <c r="M487" s="47"/>
      <c r="N487" s="47"/>
      <c r="O487" s="47"/>
      <c r="P487" s="47"/>
      <c r="S487" s="18"/>
    </row>
    <row r="488" spans="1:19" s="19" customFormat="1" x14ac:dyDescent="0.2">
      <c r="A488" s="18"/>
      <c r="C488" s="44"/>
      <c r="D488" s="45"/>
      <c r="E488" s="45"/>
      <c r="F488" s="45"/>
      <c r="G488" s="45"/>
      <c r="H488" s="45"/>
      <c r="I488" s="47"/>
      <c r="J488" s="18"/>
      <c r="L488" s="44"/>
      <c r="M488" s="45"/>
      <c r="N488" s="45"/>
      <c r="O488" s="45"/>
      <c r="P488" s="45"/>
      <c r="S488" s="18"/>
    </row>
    <row r="489" spans="1:19" s="19" customFormat="1" x14ac:dyDescent="0.2">
      <c r="A489" s="18"/>
      <c r="C489" s="46"/>
      <c r="D489" s="47"/>
      <c r="E489" s="47"/>
      <c r="F489" s="47"/>
      <c r="G489" s="47"/>
      <c r="H489" s="47"/>
      <c r="I489" s="47"/>
      <c r="J489" s="18"/>
      <c r="L489" s="46"/>
      <c r="M489" s="47"/>
      <c r="N489" s="47"/>
      <c r="O489" s="47"/>
      <c r="P489" s="47"/>
      <c r="S489" s="18"/>
    </row>
    <row r="490" spans="1:19" s="19" customFormat="1" x14ac:dyDescent="0.2">
      <c r="A490" s="18"/>
      <c r="C490" s="44"/>
      <c r="D490" s="45"/>
      <c r="E490" s="45"/>
      <c r="F490" s="45"/>
      <c r="G490" s="45"/>
      <c r="H490" s="45"/>
      <c r="I490" s="47"/>
      <c r="J490" s="18"/>
      <c r="L490" s="44"/>
      <c r="M490" s="45"/>
      <c r="N490" s="45"/>
      <c r="O490" s="45"/>
      <c r="P490" s="45"/>
      <c r="S490" s="18"/>
    </row>
    <row r="491" spans="1:19" s="19" customFormat="1" x14ac:dyDescent="0.2">
      <c r="A491" s="18"/>
      <c r="C491" s="46"/>
      <c r="D491" s="47"/>
      <c r="E491" s="47"/>
      <c r="F491" s="47"/>
      <c r="G491" s="47"/>
      <c r="H491" s="47"/>
      <c r="I491" s="47"/>
      <c r="J491" s="18"/>
      <c r="L491" s="46"/>
      <c r="M491" s="47"/>
      <c r="N491" s="47"/>
      <c r="O491" s="47"/>
      <c r="P491" s="47"/>
      <c r="S491" s="18"/>
    </row>
    <row r="492" spans="1:19" s="19" customFormat="1" x14ac:dyDescent="0.2">
      <c r="A492" s="18"/>
      <c r="C492" s="44"/>
      <c r="D492" s="45"/>
      <c r="E492" s="45"/>
      <c r="F492" s="45"/>
      <c r="G492" s="45"/>
      <c r="H492" s="45"/>
      <c r="I492" s="47"/>
      <c r="J492" s="18"/>
      <c r="L492" s="44"/>
      <c r="M492" s="45"/>
      <c r="N492" s="45"/>
      <c r="O492" s="45"/>
      <c r="P492" s="45"/>
      <c r="S492" s="18"/>
    </row>
    <row r="493" spans="1:19" s="19" customFormat="1" x14ac:dyDescent="0.2">
      <c r="A493" s="18"/>
      <c r="C493" s="46"/>
      <c r="D493" s="47"/>
      <c r="E493" s="47"/>
      <c r="F493" s="47"/>
      <c r="G493" s="47"/>
      <c r="H493" s="47"/>
      <c r="I493" s="47"/>
      <c r="J493" s="18"/>
      <c r="L493" s="46"/>
      <c r="M493" s="47"/>
      <c r="N493" s="47"/>
      <c r="O493" s="47"/>
      <c r="P493" s="47"/>
      <c r="S493" s="18"/>
    </row>
    <row r="494" spans="1:19" s="19" customFormat="1" x14ac:dyDescent="0.2">
      <c r="A494" s="18"/>
      <c r="C494" s="44"/>
      <c r="D494" s="45"/>
      <c r="E494" s="45"/>
      <c r="F494" s="45"/>
      <c r="G494" s="45"/>
      <c r="H494" s="45"/>
      <c r="I494" s="47"/>
      <c r="J494" s="18"/>
      <c r="L494" s="44"/>
      <c r="M494" s="45"/>
      <c r="N494" s="45"/>
      <c r="O494" s="45"/>
      <c r="P494" s="45"/>
      <c r="S494" s="18"/>
    </row>
    <row r="495" spans="1:19" s="19" customFormat="1" x14ac:dyDescent="0.2">
      <c r="A495" s="18"/>
      <c r="C495" s="46"/>
      <c r="D495" s="47"/>
      <c r="E495" s="47"/>
      <c r="F495" s="47"/>
      <c r="G495" s="47"/>
      <c r="H495" s="47"/>
      <c r="I495" s="47"/>
      <c r="J495" s="18"/>
      <c r="L495" s="46"/>
      <c r="M495" s="47"/>
      <c r="N495" s="47"/>
      <c r="O495" s="47"/>
      <c r="P495" s="47"/>
      <c r="S495" s="18"/>
    </row>
    <row r="496" spans="1:19" s="19" customFormat="1" x14ac:dyDescent="0.2">
      <c r="A496" s="18"/>
      <c r="C496" s="44"/>
      <c r="D496" s="45"/>
      <c r="E496" s="45"/>
      <c r="F496" s="45"/>
      <c r="G496" s="45"/>
      <c r="H496" s="45"/>
      <c r="I496" s="47"/>
      <c r="J496" s="18"/>
      <c r="L496" s="44"/>
      <c r="M496" s="45"/>
      <c r="N496" s="45"/>
      <c r="O496" s="45"/>
      <c r="P496" s="45"/>
      <c r="S496" s="18"/>
    </row>
    <row r="497" spans="1:19" s="19" customFormat="1" x14ac:dyDescent="0.2">
      <c r="A497" s="18"/>
      <c r="C497" s="46"/>
      <c r="D497" s="47"/>
      <c r="E497" s="47"/>
      <c r="F497" s="47"/>
      <c r="G497" s="47"/>
      <c r="H497" s="47"/>
      <c r="I497" s="47"/>
      <c r="J497" s="18"/>
      <c r="L497" s="46"/>
      <c r="M497" s="47"/>
      <c r="N497" s="47"/>
      <c r="O497" s="47"/>
      <c r="P497" s="47"/>
      <c r="S497" s="18"/>
    </row>
    <row r="498" spans="1:19" s="19" customFormat="1" x14ac:dyDescent="0.2">
      <c r="A498" s="18"/>
      <c r="C498" s="44"/>
      <c r="D498" s="45"/>
      <c r="E498" s="45"/>
      <c r="F498" s="45"/>
      <c r="G498" s="45"/>
      <c r="H498" s="45"/>
      <c r="I498" s="47"/>
      <c r="J498" s="18"/>
      <c r="L498" s="44"/>
      <c r="M498" s="45"/>
      <c r="N498" s="45"/>
      <c r="O498" s="45"/>
      <c r="P498" s="45"/>
      <c r="S498" s="18"/>
    </row>
    <row r="499" spans="1:19" s="19" customFormat="1" x14ac:dyDescent="0.2">
      <c r="A499" s="18"/>
      <c r="C499" s="46"/>
      <c r="D499" s="47"/>
      <c r="E499" s="47"/>
      <c r="F499" s="47"/>
      <c r="G499" s="47"/>
      <c r="H499" s="47"/>
      <c r="I499" s="47"/>
      <c r="J499" s="18"/>
      <c r="L499" s="46"/>
      <c r="M499" s="47"/>
      <c r="N499" s="47"/>
      <c r="O499" s="47"/>
      <c r="P499" s="47"/>
      <c r="S499" s="18"/>
    </row>
    <row r="500" spans="1:19" s="19" customFormat="1" x14ac:dyDescent="0.2">
      <c r="A500" s="18"/>
      <c r="C500" s="44"/>
      <c r="D500" s="45"/>
      <c r="E500" s="45"/>
      <c r="F500" s="45"/>
      <c r="G500" s="45"/>
      <c r="H500" s="45"/>
      <c r="I500" s="47"/>
      <c r="J500" s="18"/>
      <c r="L500" s="44"/>
      <c r="M500" s="45"/>
      <c r="N500" s="45"/>
      <c r="O500" s="45"/>
      <c r="P500" s="45"/>
      <c r="S500" s="18"/>
    </row>
    <row r="501" spans="1:19" x14ac:dyDescent="0.2">
      <c r="C501" s="46"/>
      <c r="D501" s="47"/>
      <c r="E501" s="47"/>
      <c r="F501" s="47"/>
      <c r="G501" s="47"/>
      <c r="H501" s="47"/>
      <c r="I501" s="47"/>
      <c r="L501" s="46"/>
      <c r="M501" s="47"/>
      <c r="N501" s="47"/>
      <c r="O501" s="47"/>
      <c r="P501" s="47"/>
    </row>
    <row r="502" spans="1:19" x14ac:dyDescent="0.2">
      <c r="C502" s="46"/>
      <c r="D502" s="47"/>
      <c r="E502" s="47"/>
      <c r="F502" s="47"/>
      <c r="G502" s="47"/>
      <c r="H502" s="47"/>
      <c r="I502" s="47"/>
      <c r="L502" s="46"/>
      <c r="M502" s="47"/>
      <c r="N502" s="47"/>
      <c r="O502" s="47"/>
      <c r="P502" s="47"/>
    </row>
    <row r="503" spans="1:19" x14ac:dyDescent="0.2">
      <c r="C503" s="46"/>
      <c r="D503" s="47"/>
      <c r="E503" s="47"/>
      <c r="F503" s="47"/>
      <c r="G503" s="47"/>
      <c r="H503" s="47"/>
      <c r="I503" s="47"/>
      <c r="L503" s="46"/>
      <c r="M503" s="47"/>
      <c r="N503" s="47"/>
      <c r="O503" s="47"/>
      <c r="P503" s="47"/>
    </row>
    <row r="504" spans="1:19" x14ac:dyDescent="0.2">
      <c r="C504" s="46"/>
      <c r="D504" s="47"/>
      <c r="E504" s="47"/>
      <c r="F504" s="47"/>
      <c r="G504" s="47"/>
      <c r="H504" s="47"/>
      <c r="I504" s="47"/>
      <c r="L504" s="46"/>
      <c r="M504" s="47"/>
      <c r="N504" s="47"/>
      <c r="O504" s="47"/>
      <c r="P504" s="47"/>
    </row>
    <row r="505" spans="1:19" x14ac:dyDescent="0.2">
      <c r="C505" s="46"/>
      <c r="D505" s="47"/>
      <c r="E505" s="47"/>
      <c r="F505" s="47"/>
      <c r="G505" s="47"/>
      <c r="H505" s="47"/>
      <c r="I505" s="47"/>
      <c r="L505" s="46"/>
      <c r="M505" s="47"/>
      <c r="N505" s="47"/>
      <c r="O505" s="47"/>
      <c r="P505" s="47"/>
    </row>
    <row r="506" spans="1:19" x14ac:dyDescent="0.2">
      <c r="C506" s="46"/>
      <c r="D506" s="47"/>
      <c r="E506" s="47"/>
      <c r="F506" s="47"/>
      <c r="G506" s="47"/>
      <c r="H506" s="47"/>
      <c r="I506" s="47"/>
      <c r="L506" s="46"/>
      <c r="M506" s="47"/>
      <c r="N506" s="47"/>
      <c r="O506" s="47"/>
      <c r="P506" s="47"/>
    </row>
    <row r="507" spans="1:19" x14ac:dyDescent="0.2">
      <c r="C507" s="46"/>
      <c r="D507" s="47"/>
      <c r="E507" s="47"/>
      <c r="F507" s="47"/>
      <c r="G507" s="47"/>
      <c r="H507" s="47"/>
      <c r="I507" s="47"/>
      <c r="L507" s="46"/>
      <c r="M507" s="47"/>
      <c r="N507" s="47"/>
      <c r="O507" s="47"/>
      <c r="P507" s="47"/>
    </row>
    <row r="508" spans="1:19" x14ac:dyDescent="0.2">
      <c r="C508" s="46"/>
      <c r="D508" s="47"/>
      <c r="E508" s="47"/>
      <c r="F508" s="47"/>
      <c r="G508" s="47"/>
      <c r="H508" s="47"/>
      <c r="I508" s="47"/>
      <c r="L508" s="46"/>
      <c r="M508" s="47"/>
      <c r="N508" s="47"/>
      <c r="O508" s="47"/>
      <c r="P508" s="47"/>
    </row>
    <row r="509" spans="1:19" x14ac:dyDescent="0.2">
      <c r="C509" s="46"/>
      <c r="D509" s="47"/>
      <c r="E509" s="47"/>
      <c r="F509" s="47"/>
      <c r="G509" s="47"/>
      <c r="H509" s="47"/>
      <c r="I509" s="47"/>
      <c r="L509" s="46"/>
      <c r="M509" s="47"/>
      <c r="N509" s="47"/>
      <c r="O509" s="47"/>
      <c r="P509" s="47"/>
    </row>
    <row r="510" spans="1:19" x14ac:dyDescent="0.2">
      <c r="C510" s="46"/>
      <c r="D510" s="47"/>
      <c r="E510" s="47"/>
      <c r="F510" s="47"/>
      <c r="G510" s="47"/>
      <c r="H510" s="47"/>
      <c r="I510" s="47"/>
      <c r="L510" s="46"/>
      <c r="M510" s="47"/>
      <c r="N510" s="47"/>
      <c r="O510" s="47"/>
      <c r="P510" s="47"/>
    </row>
    <row r="511" spans="1:19" x14ac:dyDescent="0.2">
      <c r="C511" s="46"/>
      <c r="D511" s="47"/>
      <c r="E511" s="47"/>
      <c r="F511" s="47"/>
      <c r="G511" s="47"/>
      <c r="H511" s="47"/>
      <c r="I511" s="47"/>
      <c r="L511" s="46"/>
      <c r="M511" s="47"/>
      <c r="N511" s="47"/>
      <c r="O511" s="47"/>
      <c r="P511" s="47"/>
    </row>
    <row r="512" spans="1:19" x14ac:dyDescent="0.2">
      <c r="C512" s="46"/>
      <c r="D512" s="47"/>
      <c r="E512" s="47"/>
      <c r="F512" s="47"/>
      <c r="G512" s="47"/>
      <c r="H512" s="47"/>
      <c r="I512" s="47"/>
      <c r="L512" s="46"/>
      <c r="M512" s="47"/>
      <c r="N512" s="47"/>
      <c r="O512" s="47"/>
      <c r="P512" s="47"/>
    </row>
    <row r="513" spans="3:16" x14ac:dyDescent="0.2">
      <c r="C513" s="46"/>
      <c r="D513" s="47"/>
      <c r="E513" s="47"/>
      <c r="F513" s="47"/>
      <c r="G513" s="47"/>
      <c r="H513" s="47"/>
      <c r="I513" s="47"/>
      <c r="L513" s="46"/>
      <c r="M513" s="47"/>
      <c r="N513" s="47"/>
      <c r="O513" s="47"/>
      <c r="P513" s="47"/>
    </row>
    <row r="514" spans="3:16" x14ac:dyDescent="0.2">
      <c r="C514" s="46"/>
      <c r="D514" s="47"/>
      <c r="E514" s="47"/>
      <c r="F514" s="47"/>
      <c r="G514" s="47"/>
      <c r="H514" s="47"/>
      <c r="I514" s="47"/>
      <c r="L514" s="46"/>
      <c r="M514" s="47"/>
      <c r="N514" s="47"/>
      <c r="O514" s="47"/>
      <c r="P514" s="47"/>
    </row>
    <row r="515" spans="3:16" x14ac:dyDescent="0.2">
      <c r="C515" s="46"/>
      <c r="D515" s="47"/>
      <c r="E515" s="47"/>
      <c r="F515" s="47"/>
      <c r="G515" s="47"/>
      <c r="H515" s="47"/>
      <c r="I515" s="47"/>
      <c r="L515" s="46"/>
      <c r="M515" s="47"/>
      <c r="N515" s="47"/>
      <c r="O515" s="47"/>
      <c r="P515" s="47"/>
    </row>
    <row r="516" spans="3:16" x14ac:dyDescent="0.2">
      <c r="C516" s="46"/>
      <c r="D516" s="47"/>
      <c r="E516" s="47"/>
      <c r="F516" s="47"/>
      <c r="G516" s="47"/>
      <c r="H516" s="47"/>
      <c r="I516" s="47"/>
      <c r="L516" s="46"/>
      <c r="M516" s="47"/>
      <c r="N516" s="47"/>
      <c r="O516" s="47"/>
      <c r="P516" s="47"/>
    </row>
    <row r="517" spans="3:16" x14ac:dyDescent="0.2">
      <c r="C517" s="46"/>
      <c r="D517" s="47"/>
      <c r="E517" s="47"/>
      <c r="F517" s="47"/>
      <c r="G517" s="47"/>
      <c r="H517" s="47"/>
      <c r="I517" s="47"/>
      <c r="L517" s="46"/>
      <c r="M517" s="47"/>
      <c r="N517" s="47"/>
      <c r="O517" s="47"/>
      <c r="P517" s="47"/>
    </row>
    <row r="518" spans="3:16" x14ac:dyDescent="0.2">
      <c r="C518" s="46"/>
      <c r="D518" s="47"/>
      <c r="E518" s="47"/>
      <c r="F518" s="47"/>
      <c r="G518" s="47"/>
      <c r="H518" s="47"/>
      <c r="I518" s="47"/>
      <c r="L518" s="46"/>
      <c r="M518" s="47"/>
      <c r="N518" s="47"/>
      <c r="O518" s="47"/>
      <c r="P518" s="47"/>
    </row>
    <row r="519" spans="3:16" x14ac:dyDescent="0.2">
      <c r="C519" s="46"/>
      <c r="D519" s="47"/>
      <c r="E519" s="47"/>
      <c r="F519" s="47"/>
      <c r="G519" s="47"/>
      <c r="H519" s="47"/>
      <c r="I519" s="47"/>
      <c r="L519" s="46"/>
      <c r="M519" s="47"/>
      <c r="N519" s="47"/>
      <c r="O519" s="47"/>
      <c r="P519" s="47"/>
    </row>
    <row r="520" spans="3:16" x14ac:dyDescent="0.2">
      <c r="C520" s="46"/>
      <c r="D520" s="47"/>
      <c r="E520" s="47"/>
      <c r="F520" s="47"/>
      <c r="G520" s="47"/>
      <c r="H520" s="47"/>
      <c r="I520" s="47"/>
      <c r="L520" s="46"/>
      <c r="M520" s="47"/>
      <c r="N520" s="47"/>
      <c r="O520" s="47"/>
      <c r="P520" s="47"/>
    </row>
    <row r="521" spans="3:16" x14ac:dyDescent="0.2">
      <c r="C521" s="46"/>
      <c r="D521" s="47"/>
      <c r="E521" s="47"/>
      <c r="F521" s="47"/>
      <c r="G521" s="47"/>
      <c r="H521" s="47"/>
      <c r="I521" s="47"/>
      <c r="L521" s="46"/>
      <c r="M521" s="47"/>
      <c r="N521" s="47"/>
      <c r="O521" s="47"/>
      <c r="P521" s="47"/>
    </row>
    <row r="522" spans="3:16" x14ac:dyDescent="0.2">
      <c r="C522" s="46"/>
      <c r="D522" s="47"/>
      <c r="E522" s="47"/>
      <c r="F522" s="47"/>
      <c r="G522" s="47"/>
      <c r="H522" s="47"/>
      <c r="I522" s="47"/>
      <c r="L522" s="46"/>
      <c r="M522" s="47"/>
      <c r="N522" s="47"/>
      <c r="O522" s="47"/>
      <c r="P522" s="47"/>
    </row>
    <row r="523" spans="3:16" x14ac:dyDescent="0.2">
      <c r="C523" s="46"/>
      <c r="D523" s="47"/>
      <c r="E523" s="47"/>
      <c r="F523" s="47"/>
      <c r="G523" s="47"/>
      <c r="H523" s="47"/>
      <c r="I523" s="47"/>
      <c r="L523" s="46"/>
      <c r="M523" s="47"/>
      <c r="N523" s="47"/>
      <c r="O523" s="47"/>
      <c r="P523" s="47"/>
    </row>
    <row r="524" spans="3:16" x14ac:dyDescent="0.2">
      <c r="C524" s="46"/>
      <c r="D524" s="47"/>
      <c r="E524" s="47"/>
      <c r="F524" s="47"/>
      <c r="G524" s="47"/>
      <c r="H524" s="47"/>
      <c r="I524" s="47"/>
      <c r="L524" s="46"/>
      <c r="M524" s="47"/>
      <c r="N524" s="47"/>
      <c r="O524" s="47"/>
      <c r="P524" s="47"/>
    </row>
    <row r="525" spans="3:16" x14ac:dyDescent="0.2">
      <c r="C525" s="46"/>
      <c r="D525" s="47"/>
      <c r="E525" s="47"/>
      <c r="F525" s="47"/>
      <c r="G525" s="47"/>
      <c r="H525" s="47"/>
      <c r="I525" s="47"/>
      <c r="L525" s="46"/>
      <c r="M525" s="47"/>
      <c r="N525" s="47"/>
      <c r="O525" s="47"/>
      <c r="P525" s="47"/>
    </row>
    <row r="526" spans="3:16" x14ac:dyDescent="0.2">
      <c r="C526" s="46"/>
      <c r="D526" s="47"/>
      <c r="E526" s="47"/>
      <c r="F526" s="47"/>
      <c r="G526" s="47"/>
      <c r="H526" s="47"/>
      <c r="I526" s="47"/>
      <c r="L526" s="46"/>
      <c r="M526" s="47"/>
      <c r="N526" s="47"/>
      <c r="O526" s="47"/>
      <c r="P526" s="47"/>
    </row>
    <row r="527" spans="3:16" x14ac:dyDescent="0.2">
      <c r="C527" s="46"/>
      <c r="D527" s="47"/>
      <c r="E527" s="47"/>
      <c r="F527" s="47"/>
      <c r="G527" s="47"/>
      <c r="H527" s="47"/>
      <c r="I527" s="47"/>
      <c r="L527" s="46"/>
      <c r="M527" s="47"/>
      <c r="N527" s="47"/>
      <c r="O527" s="47"/>
      <c r="P527" s="47"/>
    </row>
    <row r="528" spans="3:16" x14ac:dyDescent="0.2">
      <c r="C528" s="46"/>
      <c r="D528" s="47"/>
      <c r="E528" s="47"/>
      <c r="F528" s="47"/>
      <c r="G528" s="47"/>
      <c r="H528" s="47"/>
      <c r="I528" s="47"/>
      <c r="L528" s="46"/>
      <c r="M528" s="47"/>
      <c r="N528" s="47"/>
      <c r="O528" s="47"/>
      <c r="P528" s="47"/>
    </row>
    <row r="529" spans="3:16" x14ac:dyDescent="0.2">
      <c r="C529" s="46"/>
      <c r="D529" s="47"/>
      <c r="E529" s="47"/>
      <c r="F529" s="47"/>
      <c r="G529" s="47"/>
      <c r="H529" s="47"/>
      <c r="I529" s="47"/>
      <c r="L529" s="46"/>
      <c r="M529" s="47"/>
      <c r="N529" s="47"/>
      <c r="O529" s="47"/>
      <c r="P529" s="47"/>
    </row>
    <row r="530" spans="3:16" x14ac:dyDescent="0.2">
      <c r="C530" s="46"/>
      <c r="D530" s="47"/>
      <c r="E530" s="47"/>
      <c r="F530" s="47"/>
      <c r="G530" s="47"/>
      <c r="H530" s="47"/>
      <c r="I530" s="47"/>
      <c r="L530" s="46"/>
      <c r="M530" s="47"/>
      <c r="N530" s="47"/>
      <c r="O530" s="47"/>
      <c r="P530" s="47"/>
    </row>
    <row r="531" spans="3:16" x14ac:dyDescent="0.2">
      <c r="C531" s="46"/>
      <c r="D531" s="47"/>
      <c r="E531" s="47"/>
      <c r="F531" s="47"/>
      <c r="G531" s="47"/>
      <c r="H531" s="47"/>
      <c r="I531" s="47"/>
      <c r="L531" s="46"/>
      <c r="M531" s="47"/>
      <c r="N531" s="47"/>
      <c r="O531" s="47"/>
      <c r="P531" s="47"/>
    </row>
    <row r="532" spans="3:16" x14ac:dyDescent="0.2">
      <c r="C532" s="46"/>
      <c r="D532" s="47"/>
      <c r="E532" s="47"/>
      <c r="F532" s="47"/>
      <c r="G532" s="47"/>
      <c r="H532" s="47"/>
      <c r="I532" s="47"/>
      <c r="L532" s="46"/>
      <c r="M532" s="47"/>
      <c r="N532" s="47"/>
      <c r="O532" s="47"/>
      <c r="P532" s="47"/>
    </row>
    <row r="533" spans="3:16" x14ac:dyDescent="0.2">
      <c r="C533" s="46"/>
      <c r="D533" s="47"/>
      <c r="E533" s="47"/>
      <c r="F533" s="47"/>
      <c r="G533" s="47"/>
      <c r="H533" s="47"/>
      <c r="I533" s="47"/>
      <c r="L533" s="46"/>
      <c r="M533" s="47"/>
      <c r="N533" s="47"/>
      <c r="O533" s="47"/>
      <c r="P533" s="47"/>
    </row>
    <row r="534" spans="3:16" x14ac:dyDescent="0.2">
      <c r="C534" s="46"/>
      <c r="D534" s="47"/>
      <c r="E534" s="47"/>
      <c r="F534" s="47"/>
      <c r="G534" s="47"/>
      <c r="H534" s="47"/>
      <c r="I534" s="47"/>
      <c r="L534" s="46"/>
      <c r="M534" s="47"/>
      <c r="N534" s="47"/>
      <c r="O534" s="47"/>
      <c r="P534" s="47"/>
    </row>
    <row r="535" spans="3:16" x14ac:dyDescent="0.2">
      <c r="C535" s="46"/>
      <c r="D535" s="47"/>
      <c r="E535" s="47"/>
      <c r="F535" s="47"/>
      <c r="G535" s="47"/>
      <c r="H535" s="47"/>
      <c r="I535" s="47"/>
      <c r="L535" s="46"/>
      <c r="M535" s="47"/>
      <c r="N535" s="47"/>
      <c r="O535" s="47"/>
      <c r="P535" s="47"/>
    </row>
    <row r="536" spans="3:16" x14ac:dyDescent="0.2">
      <c r="C536" s="46"/>
      <c r="D536" s="47"/>
      <c r="E536" s="47"/>
      <c r="F536" s="47"/>
      <c r="G536" s="47"/>
      <c r="H536" s="47"/>
      <c r="I536" s="47"/>
      <c r="L536" s="46"/>
      <c r="M536" s="47"/>
      <c r="N536" s="47"/>
      <c r="O536" s="47"/>
      <c r="P536" s="47"/>
    </row>
    <row r="537" spans="3:16" x14ac:dyDescent="0.2">
      <c r="C537" s="46"/>
      <c r="D537" s="47"/>
      <c r="E537" s="47"/>
      <c r="F537" s="47"/>
      <c r="G537" s="47"/>
      <c r="H537" s="47"/>
      <c r="I537" s="47"/>
      <c r="L537" s="46"/>
      <c r="M537" s="47"/>
      <c r="N537" s="47"/>
      <c r="O537" s="47"/>
      <c r="P537" s="47"/>
    </row>
    <row r="538" spans="3:16" x14ac:dyDescent="0.2">
      <c r="C538" s="46"/>
      <c r="D538" s="47"/>
      <c r="E538" s="47"/>
      <c r="F538" s="47"/>
      <c r="G538" s="47"/>
      <c r="H538" s="47"/>
      <c r="I538" s="47"/>
      <c r="L538" s="46"/>
      <c r="M538" s="47"/>
      <c r="N538" s="47"/>
      <c r="O538" s="47"/>
      <c r="P538" s="47"/>
    </row>
    <row r="539" spans="3:16" x14ac:dyDescent="0.2">
      <c r="C539" s="46"/>
      <c r="D539" s="47"/>
      <c r="E539" s="47"/>
      <c r="F539" s="47"/>
      <c r="G539" s="47"/>
      <c r="H539" s="47"/>
      <c r="I539" s="47"/>
      <c r="L539" s="46"/>
      <c r="M539" s="47"/>
      <c r="N539" s="47"/>
      <c r="O539" s="47"/>
      <c r="P539" s="47"/>
    </row>
    <row r="540" spans="3:16" x14ac:dyDescent="0.2">
      <c r="C540" s="46"/>
      <c r="D540" s="47"/>
      <c r="E540" s="47"/>
      <c r="F540" s="47"/>
      <c r="G540" s="47"/>
      <c r="H540" s="47"/>
      <c r="I540" s="47"/>
      <c r="L540" s="46"/>
      <c r="M540" s="47"/>
      <c r="N540" s="47"/>
      <c r="O540" s="47"/>
      <c r="P540" s="47"/>
    </row>
    <row r="541" spans="3:16" x14ac:dyDescent="0.2">
      <c r="C541" s="46"/>
      <c r="D541" s="47"/>
      <c r="E541" s="47"/>
      <c r="F541" s="47"/>
      <c r="G541" s="47"/>
      <c r="H541" s="47"/>
      <c r="I541" s="47"/>
      <c r="L541" s="46"/>
      <c r="M541" s="47"/>
      <c r="N541" s="47"/>
      <c r="O541" s="47"/>
      <c r="P541" s="47"/>
    </row>
    <row r="542" spans="3:16" x14ac:dyDescent="0.2">
      <c r="C542" s="46"/>
      <c r="D542" s="47"/>
      <c r="E542" s="47"/>
      <c r="F542" s="47"/>
      <c r="G542" s="47"/>
      <c r="H542" s="47"/>
      <c r="I542" s="47"/>
      <c r="L542" s="46"/>
      <c r="M542" s="47"/>
      <c r="N542" s="47"/>
      <c r="O542" s="47"/>
      <c r="P542" s="47"/>
    </row>
    <row r="543" spans="3:16" x14ac:dyDescent="0.2">
      <c r="C543" s="46"/>
      <c r="D543" s="47"/>
      <c r="E543" s="47"/>
      <c r="F543" s="47"/>
      <c r="G543" s="47"/>
      <c r="H543" s="47"/>
      <c r="I543" s="47"/>
      <c r="L543" s="46"/>
      <c r="M543" s="47"/>
      <c r="N543" s="47"/>
      <c r="O543" s="47"/>
      <c r="P543" s="47"/>
    </row>
    <row r="544" spans="3:16" x14ac:dyDescent="0.2">
      <c r="C544" s="46"/>
      <c r="D544" s="47"/>
      <c r="E544" s="47"/>
      <c r="F544" s="47"/>
      <c r="G544" s="47"/>
      <c r="H544" s="47"/>
      <c r="I544" s="47"/>
      <c r="L544" s="46"/>
      <c r="M544" s="47"/>
      <c r="N544" s="47"/>
      <c r="O544" s="47"/>
      <c r="P544" s="47"/>
    </row>
    <row r="545" spans="3:16" x14ac:dyDescent="0.2">
      <c r="C545" s="46"/>
      <c r="D545" s="47"/>
      <c r="E545" s="47"/>
      <c r="F545" s="47"/>
      <c r="G545" s="47"/>
      <c r="H545" s="47"/>
      <c r="I545" s="47"/>
      <c r="L545" s="46"/>
      <c r="M545" s="47"/>
      <c r="N545" s="47"/>
      <c r="O545" s="47"/>
      <c r="P545" s="47"/>
    </row>
    <row r="546" spans="3:16" x14ac:dyDescent="0.2">
      <c r="C546" s="46"/>
      <c r="D546" s="47"/>
      <c r="E546" s="47"/>
      <c r="F546" s="47"/>
      <c r="G546" s="47"/>
      <c r="H546" s="47"/>
      <c r="I546" s="47"/>
      <c r="L546" s="46"/>
      <c r="M546" s="47"/>
      <c r="N546" s="47"/>
      <c r="O546" s="47"/>
      <c r="P546" s="47"/>
    </row>
    <row r="547" spans="3:16" x14ac:dyDescent="0.2">
      <c r="C547" s="46"/>
      <c r="D547" s="47"/>
      <c r="E547" s="47"/>
      <c r="F547" s="47"/>
      <c r="G547" s="47"/>
      <c r="H547" s="47"/>
      <c r="I547" s="47"/>
      <c r="L547" s="46"/>
      <c r="M547" s="47"/>
      <c r="N547" s="47"/>
      <c r="O547" s="47"/>
      <c r="P547" s="47"/>
    </row>
    <row r="548" spans="3:16" x14ac:dyDescent="0.2">
      <c r="C548" s="46"/>
      <c r="D548" s="47"/>
      <c r="E548" s="47"/>
      <c r="F548" s="47"/>
      <c r="G548" s="47"/>
      <c r="H548" s="47"/>
      <c r="I548" s="47"/>
      <c r="L548" s="46"/>
      <c r="M548" s="47"/>
      <c r="N548" s="47"/>
      <c r="O548" s="47"/>
      <c r="P548" s="47"/>
    </row>
    <row r="549" spans="3:16" x14ac:dyDescent="0.2">
      <c r="C549" s="46"/>
      <c r="D549" s="47"/>
      <c r="E549" s="47"/>
      <c r="F549" s="47"/>
      <c r="G549" s="47"/>
      <c r="H549" s="47"/>
      <c r="I549" s="47"/>
      <c r="L549" s="46"/>
      <c r="M549" s="47"/>
      <c r="N549" s="47"/>
      <c r="O549" s="47"/>
      <c r="P549" s="47"/>
    </row>
    <row r="550" spans="3:16" x14ac:dyDescent="0.2">
      <c r="C550" s="46"/>
      <c r="D550" s="47"/>
      <c r="E550" s="47"/>
      <c r="F550" s="47"/>
      <c r="G550" s="47"/>
      <c r="H550" s="47"/>
      <c r="I550" s="47"/>
      <c r="L550" s="46"/>
      <c r="M550" s="47"/>
      <c r="N550" s="47"/>
      <c r="O550" s="47"/>
      <c r="P550" s="47"/>
    </row>
    <row r="551" spans="3:16" x14ac:dyDescent="0.2">
      <c r="C551" s="46"/>
      <c r="D551" s="47"/>
      <c r="E551" s="47"/>
      <c r="F551" s="47"/>
      <c r="G551" s="47"/>
      <c r="H551" s="47"/>
      <c r="I551" s="47"/>
      <c r="L551" s="46"/>
      <c r="M551" s="47"/>
      <c r="N551" s="47"/>
      <c r="O551" s="47"/>
      <c r="P551" s="47"/>
    </row>
    <row r="552" spans="3:16" x14ac:dyDescent="0.2">
      <c r="C552" s="46"/>
      <c r="D552" s="47"/>
      <c r="E552" s="47"/>
      <c r="F552" s="47"/>
      <c r="G552" s="47"/>
      <c r="H552" s="47"/>
      <c r="I552" s="47"/>
      <c r="L552" s="46"/>
      <c r="M552" s="47"/>
      <c r="N552" s="47"/>
      <c r="O552" s="47"/>
      <c r="P552" s="47"/>
    </row>
    <row r="553" spans="3:16" x14ac:dyDescent="0.2">
      <c r="C553" s="46"/>
      <c r="D553" s="47"/>
      <c r="E553" s="47"/>
      <c r="F553" s="47"/>
      <c r="G553" s="47"/>
      <c r="H553" s="47"/>
      <c r="I553" s="47"/>
      <c r="L553" s="46"/>
      <c r="M553" s="47"/>
      <c r="N553" s="47"/>
      <c r="O553" s="47"/>
      <c r="P553" s="47"/>
    </row>
    <row r="554" spans="3:16" x14ac:dyDescent="0.2">
      <c r="C554" s="46"/>
      <c r="D554" s="47"/>
      <c r="E554" s="47"/>
      <c r="F554" s="47"/>
      <c r="G554" s="47"/>
      <c r="H554" s="47"/>
      <c r="I554" s="47"/>
      <c r="L554" s="46"/>
      <c r="M554" s="47"/>
      <c r="N554" s="47"/>
      <c r="O554" s="47"/>
      <c r="P554" s="47"/>
    </row>
    <row r="555" spans="3:16" x14ac:dyDescent="0.2">
      <c r="C555" s="46"/>
      <c r="D555" s="47"/>
      <c r="E555" s="47"/>
      <c r="F555" s="47"/>
      <c r="G555" s="47"/>
      <c r="H555" s="47"/>
      <c r="I555" s="47"/>
      <c r="L555" s="46"/>
      <c r="M555" s="47"/>
      <c r="N555" s="47"/>
      <c r="O555" s="47"/>
      <c r="P555" s="47"/>
    </row>
    <row r="556" spans="3:16" x14ac:dyDescent="0.2">
      <c r="C556" s="46"/>
      <c r="D556" s="47"/>
      <c r="E556" s="47"/>
      <c r="F556" s="47"/>
      <c r="G556" s="47"/>
      <c r="H556" s="47"/>
      <c r="I556" s="47"/>
      <c r="L556" s="46"/>
      <c r="M556" s="47"/>
      <c r="N556" s="47"/>
      <c r="O556" s="47"/>
      <c r="P556" s="47"/>
    </row>
    <row r="557" spans="3:16" x14ac:dyDescent="0.2">
      <c r="C557" s="46"/>
      <c r="D557" s="47"/>
      <c r="E557" s="47"/>
      <c r="F557" s="47"/>
      <c r="G557" s="47"/>
      <c r="H557" s="47"/>
      <c r="I557" s="47"/>
      <c r="L557" s="46"/>
      <c r="M557" s="47"/>
      <c r="N557" s="47"/>
      <c r="O557" s="47"/>
      <c r="P557" s="47"/>
    </row>
    <row r="558" spans="3:16" x14ac:dyDescent="0.2">
      <c r="C558" s="46"/>
      <c r="D558" s="47"/>
      <c r="E558" s="47"/>
      <c r="F558" s="47"/>
      <c r="G558" s="47"/>
      <c r="H558" s="47"/>
      <c r="I558" s="47"/>
      <c r="L558" s="46"/>
      <c r="M558" s="47"/>
      <c r="N558" s="47"/>
      <c r="O558" s="47"/>
      <c r="P558" s="47"/>
    </row>
    <row r="559" spans="3:16" x14ac:dyDescent="0.2">
      <c r="C559" s="46"/>
      <c r="D559" s="47"/>
      <c r="E559" s="47"/>
      <c r="F559" s="47"/>
      <c r="G559" s="47"/>
      <c r="H559" s="47"/>
      <c r="I559" s="47"/>
      <c r="L559" s="46"/>
      <c r="M559" s="47"/>
      <c r="N559" s="47"/>
      <c r="O559" s="47"/>
      <c r="P559" s="47"/>
    </row>
    <row r="560" spans="3:16" x14ac:dyDescent="0.2">
      <c r="C560" s="46"/>
      <c r="D560" s="47"/>
      <c r="E560" s="47"/>
      <c r="F560" s="47"/>
      <c r="G560" s="47"/>
      <c r="H560" s="47"/>
      <c r="I560" s="47"/>
      <c r="L560" s="46"/>
      <c r="M560" s="47"/>
      <c r="N560" s="47"/>
      <c r="O560" s="47"/>
      <c r="P560" s="47"/>
    </row>
    <row r="561" spans="3:16" x14ac:dyDescent="0.2">
      <c r="C561" s="46"/>
      <c r="D561" s="47"/>
      <c r="E561" s="47"/>
      <c r="F561" s="47"/>
      <c r="G561" s="47"/>
      <c r="H561" s="47"/>
      <c r="I561" s="47"/>
      <c r="L561" s="46"/>
      <c r="M561" s="47"/>
      <c r="N561" s="47"/>
      <c r="O561" s="47"/>
      <c r="P561" s="47"/>
    </row>
    <row r="562" spans="3:16" x14ac:dyDescent="0.2">
      <c r="C562" s="46"/>
      <c r="D562" s="47"/>
      <c r="E562" s="47"/>
      <c r="F562" s="47"/>
      <c r="G562" s="47"/>
      <c r="H562" s="47"/>
      <c r="I562" s="47"/>
      <c r="L562" s="46"/>
      <c r="M562" s="47"/>
      <c r="N562" s="47"/>
      <c r="O562" s="47"/>
      <c r="P562" s="47"/>
    </row>
    <row r="563" spans="3:16" x14ac:dyDescent="0.2">
      <c r="C563" s="46"/>
      <c r="D563" s="47"/>
      <c r="E563" s="47"/>
      <c r="F563" s="47"/>
      <c r="G563" s="47"/>
      <c r="H563" s="47"/>
      <c r="I563" s="47"/>
      <c r="L563" s="46"/>
      <c r="M563" s="47"/>
      <c r="N563" s="47"/>
      <c r="O563" s="47"/>
      <c r="P563" s="47"/>
    </row>
    <row r="564" spans="3:16" x14ac:dyDescent="0.2">
      <c r="C564" s="46"/>
      <c r="D564" s="47"/>
      <c r="E564" s="47"/>
      <c r="F564" s="47"/>
      <c r="G564" s="47"/>
      <c r="H564" s="47"/>
      <c r="I564" s="47"/>
      <c r="L564" s="46"/>
      <c r="M564" s="47"/>
      <c r="N564" s="47"/>
      <c r="O564" s="47"/>
      <c r="P564" s="47"/>
    </row>
    <row r="565" spans="3:16" x14ac:dyDescent="0.2">
      <c r="C565" s="46"/>
      <c r="D565" s="47"/>
      <c r="E565" s="47"/>
      <c r="F565" s="47"/>
      <c r="G565" s="47"/>
      <c r="H565" s="47"/>
      <c r="I565" s="47"/>
      <c r="L565" s="46"/>
      <c r="M565" s="47"/>
      <c r="N565" s="47"/>
      <c r="O565" s="47"/>
      <c r="P565" s="47"/>
    </row>
    <row r="566" spans="3:16" x14ac:dyDescent="0.2">
      <c r="C566" s="46"/>
      <c r="D566" s="47"/>
      <c r="E566" s="47"/>
      <c r="F566" s="47"/>
      <c r="G566" s="47"/>
      <c r="H566" s="47"/>
      <c r="I566" s="47"/>
      <c r="L566" s="46"/>
      <c r="M566" s="47"/>
      <c r="N566" s="47"/>
      <c r="O566" s="47"/>
      <c r="P566" s="47"/>
    </row>
    <row r="567" spans="3:16" x14ac:dyDescent="0.2">
      <c r="C567" s="46"/>
      <c r="D567" s="47"/>
      <c r="E567" s="47"/>
      <c r="F567" s="47"/>
      <c r="G567" s="47"/>
      <c r="H567" s="47"/>
      <c r="I567" s="47"/>
      <c r="L567" s="46"/>
      <c r="M567" s="47"/>
      <c r="N567" s="47"/>
      <c r="O567" s="47"/>
      <c r="P567" s="47"/>
    </row>
    <row r="568" spans="3:16" x14ac:dyDescent="0.2">
      <c r="C568" s="46"/>
      <c r="D568" s="47"/>
      <c r="E568" s="47"/>
      <c r="F568" s="47"/>
      <c r="G568" s="47"/>
      <c r="H568" s="47"/>
      <c r="I568" s="47"/>
      <c r="L568" s="46"/>
      <c r="M568" s="47"/>
      <c r="N568" s="47"/>
      <c r="O568" s="47"/>
      <c r="P568" s="47"/>
    </row>
    <row r="569" spans="3:16" x14ac:dyDescent="0.2">
      <c r="C569" s="46"/>
      <c r="D569" s="47"/>
      <c r="E569" s="47"/>
      <c r="F569" s="47"/>
      <c r="G569" s="47"/>
      <c r="H569" s="47"/>
      <c r="I569" s="47"/>
      <c r="L569" s="46"/>
      <c r="M569" s="47"/>
      <c r="N569" s="47"/>
      <c r="O569" s="47"/>
      <c r="P569" s="47"/>
    </row>
    <row r="570" spans="3:16" x14ac:dyDescent="0.2">
      <c r="C570" s="46"/>
      <c r="D570" s="47"/>
      <c r="E570" s="47"/>
      <c r="F570" s="47"/>
      <c r="G570" s="47"/>
      <c r="H570" s="47"/>
      <c r="I570" s="47"/>
      <c r="L570" s="46"/>
      <c r="M570" s="47"/>
      <c r="N570" s="47"/>
      <c r="O570" s="47"/>
      <c r="P570" s="47"/>
    </row>
    <row r="571" spans="3:16" x14ac:dyDescent="0.2">
      <c r="C571" s="46"/>
      <c r="D571" s="47"/>
      <c r="E571" s="47"/>
      <c r="F571" s="47"/>
      <c r="G571" s="47"/>
      <c r="H571" s="47"/>
      <c r="I571" s="47"/>
      <c r="L571" s="46"/>
      <c r="M571" s="47"/>
      <c r="N571" s="47"/>
      <c r="O571" s="47"/>
      <c r="P571" s="47"/>
    </row>
    <row r="572" spans="3:16" x14ac:dyDescent="0.2">
      <c r="C572" s="46"/>
      <c r="D572" s="47"/>
      <c r="E572" s="47"/>
      <c r="F572" s="47"/>
      <c r="G572" s="47"/>
      <c r="H572" s="47"/>
      <c r="I572" s="47"/>
      <c r="L572" s="46"/>
      <c r="M572" s="47"/>
      <c r="N572" s="47"/>
      <c r="O572" s="47"/>
      <c r="P572" s="47"/>
    </row>
    <row r="573" spans="3:16" x14ac:dyDescent="0.2">
      <c r="C573" s="46"/>
      <c r="D573" s="47"/>
      <c r="E573" s="47"/>
      <c r="F573" s="47"/>
      <c r="G573" s="47"/>
      <c r="H573" s="47"/>
      <c r="I573" s="47"/>
      <c r="L573" s="46"/>
      <c r="M573" s="47"/>
      <c r="N573" s="47"/>
      <c r="O573" s="47"/>
      <c r="P573" s="47"/>
    </row>
    <row r="574" spans="3:16" x14ac:dyDescent="0.2">
      <c r="C574" s="46"/>
      <c r="D574" s="47"/>
      <c r="E574" s="47"/>
      <c r="F574" s="47"/>
      <c r="G574" s="47"/>
      <c r="H574" s="47"/>
      <c r="I574" s="47"/>
      <c r="L574" s="46"/>
      <c r="M574" s="47"/>
      <c r="N574" s="47"/>
      <c r="O574" s="47"/>
      <c r="P574" s="47"/>
    </row>
    <row r="575" spans="3:16" x14ac:dyDescent="0.2">
      <c r="C575" s="46"/>
      <c r="D575" s="47"/>
      <c r="E575" s="47"/>
      <c r="F575" s="47"/>
      <c r="G575" s="47"/>
      <c r="H575" s="47"/>
      <c r="I575" s="47"/>
      <c r="L575" s="46"/>
      <c r="M575" s="47"/>
      <c r="N575" s="47"/>
      <c r="O575" s="47"/>
      <c r="P575" s="47"/>
    </row>
    <row r="576" spans="3:16" x14ac:dyDescent="0.2">
      <c r="C576" s="46"/>
      <c r="D576" s="47"/>
      <c r="E576" s="47"/>
      <c r="F576" s="47"/>
      <c r="G576" s="47"/>
      <c r="H576" s="47"/>
      <c r="I576" s="47"/>
      <c r="L576" s="46"/>
      <c r="M576" s="47"/>
      <c r="N576" s="47"/>
      <c r="O576" s="47"/>
      <c r="P576" s="47"/>
    </row>
    <row r="577" spans="3:16" x14ac:dyDescent="0.2">
      <c r="C577" s="46"/>
      <c r="D577" s="47"/>
      <c r="E577" s="47"/>
      <c r="F577" s="47"/>
      <c r="G577" s="47"/>
      <c r="H577" s="47"/>
      <c r="I577" s="47"/>
      <c r="L577" s="46"/>
      <c r="M577" s="47"/>
      <c r="N577" s="47"/>
      <c r="O577" s="47"/>
      <c r="P577" s="47"/>
    </row>
    <row r="578" spans="3:16" x14ac:dyDescent="0.2">
      <c r="C578" s="46"/>
      <c r="D578" s="47"/>
      <c r="E578" s="47"/>
      <c r="F578" s="47"/>
      <c r="G578" s="47"/>
      <c r="H578" s="47"/>
      <c r="I578" s="47"/>
      <c r="L578" s="46"/>
      <c r="M578" s="47"/>
      <c r="N578" s="47"/>
      <c r="O578" s="47"/>
      <c r="P578" s="47"/>
    </row>
    <row r="579" spans="3:16" x14ac:dyDescent="0.2">
      <c r="C579" s="46"/>
      <c r="D579" s="47"/>
      <c r="E579" s="47"/>
      <c r="F579" s="47"/>
      <c r="G579" s="47"/>
      <c r="H579" s="47"/>
      <c r="I579" s="47"/>
      <c r="L579" s="46"/>
      <c r="M579" s="47"/>
      <c r="N579" s="47"/>
      <c r="O579" s="47"/>
      <c r="P579" s="47"/>
    </row>
    <row r="580" spans="3:16" x14ac:dyDescent="0.2">
      <c r="C580" s="46"/>
      <c r="D580" s="47"/>
      <c r="E580" s="47"/>
      <c r="F580" s="47"/>
      <c r="G580" s="47"/>
      <c r="H580" s="47"/>
      <c r="I580" s="47"/>
      <c r="L580" s="46"/>
      <c r="M580" s="47"/>
      <c r="N580" s="47"/>
      <c r="O580" s="47"/>
      <c r="P580" s="47"/>
    </row>
    <row r="581" spans="3:16" x14ac:dyDescent="0.2">
      <c r="C581" s="46"/>
      <c r="D581" s="47"/>
      <c r="E581" s="47"/>
      <c r="F581" s="47"/>
      <c r="G581" s="47"/>
      <c r="H581" s="47"/>
      <c r="I581" s="47"/>
      <c r="L581" s="46"/>
      <c r="M581" s="47"/>
      <c r="N581" s="47"/>
      <c r="O581" s="47"/>
      <c r="P581" s="47"/>
    </row>
    <row r="582" spans="3:16" x14ac:dyDescent="0.2">
      <c r="C582" s="46"/>
      <c r="D582" s="47"/>
      <c r="E582" s="47"/>
      <c r="F582" s="47"/>
      <c r="G582" s="47"/>
      <c r="H582" s="47"/>
      <c r="I582" s="47"/>
      <c r="L582" s="46"/>
      <c r="M582" s="47"/>
      <c r="N582" s="47"/>
      <c r="O582" s="47"/>
      <c r="P582" s="47"/>
    </row>
    <row r="583" spans="3:16" x14ac:dyDescent="0.2">
      <c r="C583" s="46"/>
      <c r="D583" s="47"/>
      <c r="E583" s="47"/>
      <c r="F583" s="47"/>
      <c r="G583" s="47"/>
      <c r="H583" s="47"/>
      <c r="I583" s="47"/>
      <c r="L583" s="46"/>
      <c r="M583" s="47"/>
      <c r="N583" s="47"/>
      <c r="O583" s="47"/>
      <c r="P583" s="47"/>
    </row>
    <row r="584" spans="3:16" x14ac:dyDescent="0.2">
      <c r="C584" s="46"/>
      <c r="D584" s="47"/>
      <c r="E584" s="47"/>
      <c r="F584" s="47"/>
      <c r="G584" s="47"/>
      <c r="H584" s="47"/>
      <c r="I584" s="47"/>
      <c r="L584" s="46"/>
      <c r="M584" s="47"/>
      <c r="N584" s="47"/>
      <c r="O584" s="47"/>
      <c r="P584" s="47"/>
    </row>
    <row r="585" spans="3:16" x14ac:dyDescent="0.2">
      <c r="C585" s="46"/>
      <c r="D585" s="47"/>
      <c r="E585" s="47"/>
      <c r="F585" s="47"/>
      <c r="G585" s="47"/>
      <c r="H585" s="47"/>
      <c r="I585" s="47"/>
      <c r="L585" s="46"/>
      <c r="M585" s="47"/>
      <c r="N585" s="47"/>
      <c r="O585" s="47"/>
      <c r="P585" s="47"/>
    </row>
    <row r="586" spans="3:16" x14ac:dyDescent="0.2">
      <c r="C586" s="46"/>
      <c r="D586" s="47"/>
      <c r="E586" s="47"/>
      <c r="F586" s="47"/>
      <c r="G586" s="47"/>
      <c r="H586" s="47"/>
      <c r="I586" s="47"/>
      <c r="L586" s="46"/>
      <c r="M586" s="47"/>
      <c r="N586" s="47"/>
      <c r="O586" s="47"/>
      <c r="P586" s="47"/>
    </row>
    <row r="587" spans="3:16" x14ac:dyDescent="0.2">
      <c r="C587" s="46"/>
      <c r="D587" s="47"/>
      <c r="E587" s="47"/>
      <c r="F587" s="47"/>
      <c r="G587" s="47"/>
      <c r="H587" s="47"/>
      <c r="I587" s="47"/>
      <c r="L587" s="46"/>
      <c r="M587" s="47"/>
      <c r="N587" s="47"/>
      <c r="O587" s="47"/>
      <c r="P587" s="47"/>
    </row>
    <row r="588" spans="3:16" x14ac:dyDescent="0.2">
      <c r="C588" s="46"/>
      <c r="D588" s="47"/>
      <c r="E588" s="47"/>
      <c r="F588" s="47"/>
      <c r="G588" s="47"/>
      <c r="H588" s="47"/>
      <c r="I588" s="47"/>
      <c r="L588" s="46"/>
      <c r="M588" s="47"/>
      <c r="N588" s="47"/>
      <c r="O588" s="47"/>
      <c r="P588" s="47"/>
    </row>
    <row r="589" spans="3:16" x14ac:dyDescent="0.2">
      <c r="C589" s="46"/>
      <c r="D589" s="47"/>
      <c r="E589" s="47"/>
      <c r="F589" s="47"/>
      <c r="G589" s="47"/>
      <c r="H589" s="47"/>
      <c r="I589" s="47"/>
      <c r="L589" s="46"/>
      <c r="M589" s="47"/>
      <c r="N589" s="47"/>
      <c r="O589" s="47"/>
      <c r="P589" s="47"/>
    </row>
    <row r="590" spans="3:16" x14ac:dyDescent="0.2">
      <c r="C590" s="46"/>
      <c r="D590" s="47"/>
      <c r="E590" s="47"/>
      <c r="F590" s="47"/>
      <c r="G590" s="47"/>
      <c r="H590" s="47"/>
      <c r="I590" s="47"/>
      <c r="L590" s="46"/>
      <c r="M590" s="47"/>
      <c r="N590" s="47"/>
      <c r="O590" s="47"/>
      <c r="P590" s="47"/>
    </row>
    <row r="591" spans="3:16" x14ac:dyDescent="0.2">
      <c r="C591" s="46"/>
      <c r="D591" s="47"/>
      <c r="E591" s="47"/>
      <c r="F591" s="47"/>
      <c r="G591" s="47"/>
      <c r="H591" s="47"/>
      <c r="I591" s="47"/>
      <c r="L591" s="46"/>
      <c r="M591" s="47"/>
      <c r="N591" s="47"/>
      <c r="O591" s="47"/>
      <c r="P591" s="47"/>
    </row>
    <row r="592" spans="3:16" x14ac:dyDescent="0.2">
      <c r="C592" s="46"/>
      <c r="D592" s="47"/>
      <c r="E592" s="47"/>
      <c r="F592" s="47"/>
      <c r="G592" s="47"/>
      <c r="H592" s="47"/>
      <c r="I592" s="47"/>
      <c r="L592" s="46"/>
      <c r="M592" s="47"/>
      <c r="N592" s="47"/>
      <c r="O592" s="47"/>
      <c r="P592" s="47"/>
    </row>
    <row r="593" spans="3:16" x14ac:dyDescent="0.2">
      <c r="C593" s="46"/>
      <c r="D593" s="47"/>
      <c r="E593" s="47"/>
      <c r="F593" s="47"/>
      <c r="G593" s="47"/>
      <c r="H593" s="47"/>
      <c r="I593" s="47"/>
      <c r="L593" s="46"/>
      <c r="M593" s="47"/>
      <c r="N593" s="47"/>
      <c r="O593" s="47"/>
      <c r="P593" s="47"/>
    </row>
    <row r="594" spans="3:16" x14ac:dyDescent="0.2">
      <c r="C594" s="46"/>
      <c r="D594" s="47"/>
      <c r="E594" s="47"/>
      <c r="F594" s="47"/>
      <c r="G594" s="47"/>
      <c r="H594" s="47"/>
      <c r="I594" s="47"/>
      <c r="L594" s="46"/>
      <c r="M594" s="47"/>
      <c r="N594" s="47"/>
      <c r="O594" s="47"/>
      <c r="P594" s="47"/>
    </row>
    <row r="595" spans="3:16" x14ac:dyDescent="0.2">
      <c r="C595" s="46"/>
      <c r="D595" s="47"/>
      <c r="E595" s="47"/>
      <c r="F595" s="47"/>
      <c r="G595" s="47"/>
      <c r="H595" s="47"/>
      <c r="I595" s="47"/>
      <c r="L595" s="46"/>
      <c r="M595" s="47"/>
      <c r="N595" s="47"/>
      <c r="O595" s="47"/>
      <c r="P595" s="47"/>
    </row>
    <row r="596" spans="3:16" x14ac:dyDescent="0.2">
      <c r="C596" s="46"/>
      <c r="D596" s="47"/>
      <c r="E596" s="47"/>
      <c r="F596" s="47"/>
      <c r="G596" s="47"/>
      <c r="H596" s="47"/>
      <c r="I596" s="47"/>
      <c r="L596" s="46"/>
      <c r="M596" s="47"/>
      <c r="N596" s="47"/>
      <c r="O596" s="47"/>
      <c r="P596" s="47"/>
    </row>
    <row r="597" spans="3:16" x14ac:dyDescent="0.2">
      <c r="C597" s="46"/>
      <c r="D597" s="47"/>
      <c r="E597" s="47"/>
      <c r="F597" s="47"/>
      <c r="G597" s="47"/>
      <c r="H597" s="47"/>
      <c r="I597" s="47"/>
      <c r="L597" s="46"/>
      <c r="M597" s="47"/>
      <c r="N597" s="47"/>
      <c r="O597" s="47"/>
      <c r="P597" s="47"/>
    </row>
    <row r="598" spans="3:16" x14ac:dyDescent="0.2">
      <c r="C598" s="46"/>
      <c r="D598" s="47"/>
      <c r="E598" s="47"/>
      <c r="F598" s="47"/>
      <c r="G598" s="47"/>
      <c r="H598" s="47"/>
      <c r="I598" s="47"/>
      <c r="L598" s="46"/>
      <c r="M598" s="47"/>
      <c r="N598" s="47"/>
      <c r="O598" s="47"/>
      <c r="P598" s="47"/>
    </row>
    <row r="599" spans="3:16" x14ac:dyDescent="0.2">
      <c r="C599" s="46"/>
      <c r="D599" s="47"/>
      <c r="E599" s="47"/>
      <c r="F599" s="47"/>
      <c r="G599" s="47"/>
      <c r="H599" s="47"/>
      <c r="I599" s="47"/>
      <c r="L599" s="46"/>
      <c r="M599" s="47"/>
      <c r="N599" s="47"/>
      <c r="O599" s="47"/>
      <c r="P599" s="47"/>
    </row>
    <row r="600" spans="3:16" x14ac:dyDescent="0.2">
      <c r="C600" s="46"/>
      <c r="D600" s="47"/>
      <c r="E600" s="47"/>
      <c r="F600" s="47"/>
      <c r="G600" s="47"/>
      <c r="H600" s="47"/>
      <c r="I600" s="47"/>
      <c r="L600" s="46"/>
      <c r="M600" s="47"/>
      <c r="N600" s="47"/>
      <c r="O600" s="47"/>
      <c r="P600" s="47"/>
    </row>
    <row r="601" spans="3:16" x14ac:dyDescent="0.2">
      <c r="C601" s="46"/>
      <c r="D601" s="47"/>
      <c r="E601" s="47"/>
      <c r="F601" s="47"/>
      <c r="G601" s="47"/>
      <c r="H601" s="47"/>
      <c r="I601" s="47"/>
      <c r="L601" s="46"/>
      <c r="M601" s="47"/>
      <c r="N601" s="47"/>
      <c r="O601" s="47"/>
      <c r="P601" s="47"/>
    </row>
    <row r="602" spans="3:16" x14ac:dyDescent="0.2">
      <c r="C602" s="46"/>
      <c r="D602" s="47"/>
      <c r="E602" s="47"/>
      <c r="F602" s="47"/>
      <c r="G602" s="47"/>
      <c r="H602" s="47"/>
      <c r="I602" s="47"/>
      <c r="L602" s="46"/>
      <c r="M602" s="47"/>
      <c r="N602" s="47"/>
      <c r="O602" s="47"/>
      <c r="P602" s="47"/>
    </row>
    <row r="603" spans="3:16" x14ac:dyDescent="0.2">
      <c r="C603" s="46"/>
      <c r="D603" s="47"/>
      <c r="E603" s="47"/>
      <c r="F603" s="47"/>
      <c r="G603" s="47"/>
      <c r="H603" s="47"/>
      <c r="I603" s="47"/>
      <c r="L603" s="46"/>
      <c r="M603" s="47"/>
      <c r="N603" s="47"/>
      <c r="O603" s="47"/>
      <c r="P603" s="47"/>
    </row>
    <row r="604" spans="3:16" x14ac:dyDescent="0.2">
      <c r="C604" s="46"/>
      <c r="D604" s="47"/>
      <c r="E604" s="47"/>
      <c r="F604" s="47"/>
      <c r="G604" s="47"/>
      <c r="H604" s="47"/>
      <c r="I604" s="47"/>
      <c r="L604" s="46"/>
      <c r="M604" s="47"/>
      <c r="N604" s="47"/>
      <c r="O604" s="47"/>
      <c r="P604" s="47"/>
    </row>
    <row r="605" spans="3:16" x14ac:dyDescent="0.2">
      <c r="C605" s="46"/>
      <c r="D605" s="47"/>
      <c r="E605" s="47"/>
      <c r="F605" s="47"/>
      <c r="G605" s="47"/>
      <c r="H605" s="47"/>
      <c r="I605" s="47"/>
      <c r="L605" s="46"/>
      <c r="M605" s="47"/>
      <c r="N605" s="47"/>
      <c r="O605" s="47"/>
      <c r="P605" s="47"/>
    </row>
    <row r="606" spans="3:16" x14ac:dyDescent="0.2">
      <c r="C606" s="46"/>
      <c r="D606" s="47"/>
      <c r="E606" s="47"/>
      <c r="F606" s="47"/>
      <c r="G606" s="47"/>
      <c r="H606" s="47"/>
      <c r="I606" s="47"/>
      <c r="L606" s="46"/>
      <c r="M606" s="47"/>
      <c r="N606" s="47"/>
      <c r="O606" s="47"/>
      <c r="P606" s="47"/>
    </row>
    <row r="607" spans="3:16" x14ac:dyDescent="0.2">
      <c r="C607" s="46"/>
      <c r="D607" s="47"/>
      <c r="E607" s="47"/>
      <c r="F607" s="47"/>
      <c r="G607" s="47"/>
      <c r="H607" s="47"/>
      <c r="I607" s="47"/>
      <c r="L607" s="46"/>
      <c r="M607" s="47"/>
      <c r="N607" s="47"/>
      <c r="O607" s="47"/>
      <c r="P607" s="47"/>
    </row>
    <row r="608" spans="3:16" x14ac:dyDescent="0.2">
      <c r="C608" s="46"/>
      <c r="D608" s="47"/>
      <c r="E608" s="47"/>
      <c r="F608" s="47"/>
      <c r="G608" s="47"/>
      <c r="H608" s="47"/>
      <c r="I608" s="47"/>
      <c r="L608" s="46"/>
      <c r="M608" s="47"/>
      <c r="N608" s="47"/>
      <c r="O608" s="47"/>
      <c r="P608" s="47"/>
    </row>
    <row r="609" spans="3:16" x14ac:dyDescent="0.2">
      <c r="C609" s="46"/>
      <c r="D609" s="47"/>
      <c r="E609" s="47"/>
      <c r="F609" s="47"/>
      <c r="G609" s="47"/>
      <c r="H609" s="47"/>
      <c r="I609" s="47"/>
      <c r="L609" s="46"/>
      <c r="M609" s="47"/>
      <c r="N609" s="47"/>
      <c r="O609" s="47"/>
      <c r="P609" s="47"/>
    </row>
    <row r="610" spans="3:16" x14ac:dyDescent="0.2">
      <c r="C610" s="46"/>
      <c r="D610" s="47"/>
      <c r="E610" s="47"/>
      <c r="F610" s="47"/>
      <c r="G610" s="47"/>
      <c r="H610" s="47"/>
      <c r="I610" s="47"/>
      <c r="L610" s="46"/>
      <c r="M610" s="47"/>
      <c r="N610" s="47"/>
      <c r="O610" s="47"/>
      <c r="P610" s="47"/>
    </row>
    <row r="611" spans="3:16" x14ac:dyDescent="0.2">
      <c r="C611" s="46"/>
      <c r="D611" s="47"/>
      <c r="E611" s="47"/>
      <c r="F611" s="47"/>
      <c r="G611" s="47"/>
      <c r="H611" s="47"/>
      <c r="I611" s="47"/>
      <c r="L611" s="46"/>
      <c r="M611" s="47"/>
      <c r="N611" s="47"/>
      <c r="O611" s="47"/>
      <c r="P611" s="47"/>
    </row>
    <row r="612" spans="3:16" x14ac:dyDescent="0.2">
      <c r="C612" s="46"/>
      <c r="D612" s="47"/>
      <c r="E612" s="47"/>
      <c r="F612" s="47"/>
      <c r="G612" s="47"/>
      <c r="H612" s="47"/>
      <c r="I612" s="47"/>
      <c r="L612" s="46"/>
      <c r="M612" s="47"/>
      <c r="N612" s="47"/>
      <c r="O612" s="47"/>
      <c r="P612" s="47"/>
    </row>
    <row r="613" spans="3:16" x14ac:dyDescent="0.2">
      <c r="C613" s="46"/>
      <c r="D613" s="47"/>
      <c r="E613" s="47"/>
      <c r="F613" s="47"/>
      <c r="G613" s="47"/>
      <c r="H613" s="47"/>
      <c r="I613" s="47"/>
      <c r="L613" s="46"/>
      <c r="M613" s="47"/>
      <c r="N613" s="47"/>
      <c r="O613" s="47"/>
      <c r="P613" s="47"/>
    </row>
    <row r="614" spans="3:16" x14ac:dyDescent="0.2">
      <c r="C614" s="46"/>
      <c r="D614" s="47"/>
      <c r="E614" s="47"/>
      <c r="F614" s="47"/>
      <c r="G614" s="47"/>
      <c r="H614" s="47"/>
      <c r="I614" s="47"/>
      <c r="L614" s="46"/>
      <c r="M614" s="47"/>
      <c r="N614" s="47"/>
      <c r="O614" s="47"/>
      <c r="P614" s="47"/>
    </row>
    <row r="615" spans="3:16" x14ac:dyDescent="0.2">
      <c r="C615" s="46"/>
      <c r="D615" s="47"/>
      <c r="E615" s="47"/>
      <c r="F615" s="47"/>
      <c r="G615" s="47"/>
      <c r="H615" s="47"/>
      <c r="I615" s="47"/>
      <c r="L615" s="46"/>
      <c r="M615" s="47"/>
      <c r="N615" s="47"/>
      <c r="O615" s="47"/>
      <c r="P615" s="47"/>
    </row>
    <row r="616" spans="3:16" x14ac:dyDescent="0.2">
      <c r="C616" s="46"/>
      <c r="D616" s="47"/>
      <c r="E616" s="47"/>
      <c r="F616" s="47"/>
      <c r="G616" s="47"/>
      <c r="H616" s="47"/>
      <c r="I616" s="47"/>
      <c r="L616" s="46"/>
      <c r="M616" s="47"/>
      <c r="N616" s="47"/>
      <c r="O616" s="47"/>
      <c r="P616" s="47"/>
    </row>
    <row r="617" spans="3:16" x14ac:dyDescent="0.2">
      <c r="C617" s="46"/>
      <c r="D617" s="47"/>
      <c r="E617" s="47"/>
      <c r="F617" s="47"/>
      <c r="G617" s="47"/>
      <c r="H617" s="47"/>
      <c r="I617" s="47"/>
      <c r="L617" s="46"/>
      <c r="M617" s="47"/>
      <c r="N617" s="47"/>
      <c r="O617" s="47"/>
      <c r="P617" s="47"/>
    </row>
    <row r="618" spans="3:16" x14ac:dyDescent="0.2">
      <c r="C618" s="46"/>
      <c r="D618" s="47"/>
      <c r="E618" s="47"/>
      <c r="F618" s="47"/>
      <c r="G618" s="47"/>
      <c r="H618" s="47"/>
      <c r="I618" s="47"/>
      <c r="L618" s="46"/>
      <c r="M618" s="47"/>
      <c r="N618" s="47"/>
      <c r="O618" s="47"/>
      <c r="P618" s="47"/>
    </row>
    <row r="619" spans="3:16" x14ac:dyDescent="0.2">
      <c r="C619" s="46"/>
      <c r="D619" s="47"/>
      <c r="E619" s="47"/>
      <c r="F619" s="47"/>
      <c r="G619" s="47"/>
      <c r="H619" s="47"/>
      <c r="I619" s="47"/>
      <c r="L619" s="46"/>
      <c r="M619" s="47"/>
      <c r="N619" s="47"/>
      <c r="O619" s="47"/>
      <c r="P619" s="47"/>
    </row>
    <row r="620" spans="3:16" x14ac:dyDescent="0.2">
      <c r="C620" s="46"/>
      <c r="D620" s="47"/>
      <c r="E620" s="47"/>
      <c r="F620" s="47"/>
      <c r="G620" s="47"/>
      <c r="H620" s="47"/>
      <c r="I620" s="47"/>
      <c r="L620" s="46"/>
      <c r="M620" s="47"/>
      <c r="N620" s="47"/>
      <c r="O620" s="47"/>
      <c r="P620" s="47"/>
    </row>
    <row r="621" spans="3:16" x14ac:dyDescent="0.2">
      <c r="C621" s="46"/>
      <c r="D621" s="47"/>
      <c r="E621" s="47"/>
      <c r="F621" s="47"/>
      <c r="G621" s="47"/>
      <c r="H621" s="47"/>
      <c r="I621" s="47"/>
      <c r="L621" s="46"/>
      <c r="M621" s="47"/>
      <c r="N621" s="47"/>
      <c r="O621" s="47"/>
      <c r="P621" s="47"/>
    </row>
    <row r="622" spans="3:16" x14ac:dyDescent="0.2">
      <c r="C622" s="46"/>
      <c r="D622" s="47"/>
      <c r="E622" s="47"/>
      <c r="F622" s="47"/>
      <c r="G622" s="47"/>
      <c r="H622" s="47"/>
      <c r="I622" s="47"/>
      <c r="L622" s="46"/>
      <c r="M622" s="47"/>
      <c r="N622" s="47"/>
      <c r="O622" s="47"/>
      <c r="P622" s="47"/>
    </row>
    <row r="623" spans="3:16" x14ac:dyDescent="0.2">
      <c r="C623" s="46"/>
      <c r="D623" s="47"/>
      <c r="E623" s="47"/>
      <c r="F623" s="47"/>
      <c r="G623" s="47"/>
      <c r="H623" s="47"/>
      <c r="I623" s="47"/>
      <c r="L623" s="46"/>
      <c r="M623" s="47"/>
      <c r="N623" s="47"/>
      <c r="O623" s="47"/>
      <c r="P623" s="47"/>
    </row>
    <row r="624" spans="3:16" x14ac:dyDescent="0.2">
      <c r="C624" s="46"/>
      <c r="D624" s="47"/>
      <c r="E624" s="47"/>
      <c r="F624" s="47"/>
      <c r="G624" s="47"/>
      <c r="H624" s="47"/>
      <c r="I624" s="47"/>
      <c r="L624" s="46"/>
      <c r="M624" s="47"/>
      <c r="N624" s="47"/>
      <c r="O624" s="47"/>
      <c r="P624" s="47"/>
    </row>
    <row r="625" spans="3:16" x14ac:dyDescent="0.2">
      <c r="C625" s="46"/>
      <c r="D625" s="47"/>
      <c r="E625" s="47"/>
      <c r="F625" s="47"/>
      <c r="G625" s="47"/>
      <c r="H625" s="47"/>
      <c r="I625" s="47"/>
      <c r="L625" s="46"/>
      <c r="M625" s="47"/>
      <c r="N625" s="47"/>
      <c r="O625" s="47"/>
      <c r="P625" s="47"/>
    </row>
    <row r="626" spans="3:16" x14ac:dyDescent="0.2">
      <c r="C626" s="46"/>
      <c r="D626" s="47"/>
      <c r="E626" s="47"/>
      <c r="F626" s="47"/>
      <c r="G626" s="47"/>
      <c r="H626" s="47"/>
      <c r="I626" s="47"/>
      <c r="L626" s="46"/>
      <c r="M626" s="47"/>
      <c r="N626" s="47"/>
      <c r="O626" s="47"/>
      <c r="P626" s="47"/>
    </row>
    <row r="627" spans="3:16" x14ac:dyDescent="0.2">
      <c r="C627" s="46"/>
      <c r="D627" s="47"/>
      <c r="E627" s="47"/>
      <c r="F627" s="47"/>
      <c r="G627" s="47"/>
      <c r="H627" s="47"/>
      <c r="I627" s="47"/>
      <c r="L627" s="46"/>
      <c r="M627" s="47"/>
      <c r="N627" s="47"/>
      <c r="O627" s="47"/>
      <c r="P627" s="47"/>
    </row>
    <row r="628" spans="3:16" x14ac:dyDescent="0.2">
      <c r="C628" s="46"/>
      <c r="D628" s="47"/>
      <c r="E628" s="47"/>
      <c r="F628" s="47"/>
      <c r="G628" s="47"/>
      <c r="H628" s="47"/>
      <c r="I628" s="47"/>
      <c r="L628" s="46"/>
      <c r="M628" s="47"/>
      <c r="N628" s="47"/>
      <c r="O628" s="47"/>
      <c r="P628" s="47"/>
    </row>
    <row r="629" spans="3:16" x14ac:dyDescent="0.2">
      <c r="C629" s="46"/>
      <c r="D629" s="47"/>
      <c r="E629" s="47"/>
      <c r="F629" s="47"/>
      <c r="G629" s="47"/>
      <c r="H629" s="47"/>
      <c r="I629" s="47"/>
      <c r="L629" s="46"/>
      <c r="M629" s="47"/>
      <c r="N629" s="47"/>
      <c r="O629" s="47"/>
      <c r="P629" s="47"/>
    </row>
    <row r="630" spans="3:16" x14ac:dyDescent="0.2">
      <c r="C630" s="46"/>
      <c r="D630" s="47"/>
      <c r="E630" s="47"/>
      <c r="F630" s="47"/>
      <c r="G630" s="47"/>
      <c r="H630" s="47"/>
      <c r="I630" s="47"/>
      <c r="L630" s="46"/>
      <c r="M630" s="47"/>
      <c r="N630" s="47"/>
      <c r="O630" s="47"/>
      <c r="P630" s="47"/>
    </row>
    <row r="631" spans="3:16" x14ac:dyDescent="0.2">
      <c r="C631" s="46"/>
      <c r="D631" s="47"/>
      <c r="E631" s="47"/>
      <c r="F631" s="47"/>
      <c r="G631" s="47"/>
      <c r="H631" s="47"/>
      <c r="I631" s="47"/>
      <c r="L631" s="46"/>
      <c r="M631" s="47"/>
      <c r="N631" s="47"/>
      <c r="O631" s="47"/>
      <c r="P631" s="47"/>
    </row>
    <row r="632" spans="3:16" x14ac:dyDescent="0.2">
      <c r="C632" s="46"/>
      <c r="D632" s="47"/>
      <c r="E632" s="47"/>
      <c r="F632" s="47"/>
      <c r="G632" s="47"/>
      <c r="H632" s="47"/>
      <c r="I632" s="47"/>
      <c r="L632" s="46"/>
      <c r="M632" s="47"/>
      <c r="N632" s="47"/>
      <c r="O632" s="47"/>
      <c r="P632" s="47"/>
    </row>
    <row r="633" spans="3:16" x14ac:dyDescent="0.2">
      <c r="C633" s="46"/>
      <c r="D633" s="47"/>
      <c r="E633" s="47"/>
      <c r="F633" s="47"/>
      <c r="G633" s="47"/>
      <c r="H633" s="47"/>
      <c r="I633" s="47"/>
      <c r="L633" s="46"/>
      <c r="M633" s="47"/>
      <c r="N633" s="47"/>
      <c r="O633" s="47"/>
      <c r="P633" s="47"/>
    </row>
    <row r="634" spans="3:16" x14ac:dyDescent="0.2">
      <c r="C634" s="46"/>
      <c r="D634" s="47"/>
      <c r="E634" s="47"/>
      <c r="F634" s="47"/>
      <c r="G634" s="47"/>
      <c r="H634" s="47"/>
      <c r="I634" s="47"/>
      <c r="L634" s="46"/>
      <c r="M634" s="47"/>
      <c r="N634" s="47"/>
      <c r="O634" s="47"/>
      <c r="P634" s="47"/>
    </row>
    <row r="635" spans="3:16" x14ac:dyDescent="0.2">
      <c r="C635" s="46"/>
      <c r="D635" s="47"/>
      <c r="E635" s="47"/>
      <c r="F635" s="47"/>
      <c r="G635" s="47"/>
      <c r="H635" s="47"/>
      <c r="I635" s="47"/>
      <c r="L635" s="46"/>
      <c r="M635" s="47"/>
      <c r="N635" s="47"/>
      <c r="O635" s="47"/>
      <c r="P635" s="47"/>
    </row>
    <row r="636" spans="3:16" x14ac:dyDescent="0.2">
      <c r="C636" s="46"/>
      <c r="D636" s="47"/>
      <c r="E636" s="47"/>
      <c r="F636" s="47"/>
      <c r="G636" s="47"/>
      <c r="H636" s="47"/>
      <c r="I636" s="47"/>
      <c r="L636" s="46"/>
      <c r="M636" s="47"/>
      <c r="N636" s="47"/>
      <c r="O636" s="47"/>
      <c r="P636" s="47"/>
    </row>
    <row r="637" spans="3:16" x14ac:dyDescent="0.2">
      <c r="C637" s="46"/>
      <c r="D637" s="47"/>
      <c r="E637" s="47"/>
      <c r="F637" s="47"/>
      <c r="G637" s="47"/>
      <c r="H637" s="47"/>
      <c r="I637" s="47"/>
      <c r="L637" s="46"/>
      <c r="M637" s="47"/>
      <c r="N637" s="47"/>
      <c r="O637" s="47"/>
      <c r="P637" s="47"/>
    </row>
    <row r="638" spans="3:16" x14ac:dyDescent="0.2">
      <c r="C638" s="46"/>
      <c r="D638" s="47"/>
      <c r="E638" s="47"/>
      <c r="F638" s="47"/>
      <c r="G638" s="47"/>
      <c r="H638" s="47"/>
      <c r="I638" s="47"/>
      <c r="L638" s="46"/>
      <c r="M638" s="47"/>
      <c r="N638" s="47"/>
      <c r="O638" s="47"/>
      <c r="P638" s="47"/>
    </row>
    <row r="639" spans="3:16" x14ac:dyDescent="0.2">
      <c r="C639" s="46"/>
      <c r="D639" s="47"/>
      <c r="E639" s="47"/>
      <c r="F639" s="47"/>
      <c r="G639" s="47"/>
      <c r="H639" s="47"/>
      <c r="I639" s="47"/>
      <c r="L639" s="46"/>
      <c r="M639" s="47"/>
      <c r="N639" s="47"/>
      <c r="O639" s="47"/>
      <c r="P639" s="47"/>
    </row>
    <row r="640" spans="3:16" x14ac:dyDescent="0.2">
      <c r="C640" s="46"/>
      <c r="D640" s="47"/>
      <c r="E640" s="47"/>
      <c r="F640" s="47"/>
      <c r="G640" s="47"/>
      <c r="H640" s="47"/>
      <c r="I640" s="47"/>
      <c r="L640" s="46"/>
      <c r="M640" s="47"/>
      <c r="N640" s="47"/>
      <c r="O640" s="47"/>
      <c r="P640" s="47"/>
    </row>
    <row r="641" spans="3:16" x14ac:dyDescent="0.2">
      <c r="C641" s="46"/>
      <c r="D641" s="47"/>
      <c r="E641" s="47"/>
      <c r="F641" s="47"/>
      <c r="G641" s="47"/>
      <c r="H641" s="47"/>
      <c r="I641" s="47"/>
      <c r="L641" s="46"/>
      <c r="M641" s="47"/>
      <c r="N641" s="47"/>
      <c r="O641" s="47"/>
      <c r="P641" s="47"/>
    </row>
    <row r="642" spans="3:16" x14ac:dyDescent="0.2">
      <c r="C642" s="46"/>
      <c r="D642" s="47"/>
      <c r="E642" s="47"/>
      <c r="F642" s="47"/>
      <c r="G642" s="47"/>
      <c r="H642" s="47"/>
      <c r="I642" s="47"/>
      <c r="L642" s="46"/>
      <c r="M642" s="47"/>
      <c r="N642" s="47"/>
      <c r="O642" s="47"/>
      <c r="P642" s="47"/>
    </row>
    <row r="643" spans="3:16" x14ac:dyDescent="0.2">
      <c r="C643" s="46"/>
      <c r="D643" s="47"/>
      <c r="E643" s="47"/>
      <c r="F643" s="47"/>
      <c r="G643" s="47"/>
      <c r="H643" s="47"/>
      <c r="I643" s="47"/>
      <c r="L643" s="46"/>
      <c r="M643" s="47"/>
      <c r="N643" s="47"/>
      <c r="O643" s="47"/>
      <c r="P643" s="47"/>
    </row>
    <row r="644" spans="3:16" x14ac:dyDescent="0.2">
      <c r="C644" s="46"/>
      <c r="D644" s="47"/>
      <c r="E644" s="47"/>
      <c r="F644" s="47"/>
      <c r="G644" s="47"/>
      <c r="H644" s="47"/>
      <c r="I644" s="47"/>
      <c r="L644" s="46"/>
      <c r="M644" s="47"/>
      <c r="N644" s="47"/>
      <c r="O644" s="47"/>
      <c r="P644" s="47"/>
    </row>
    <row r="645" spans="3:16" x14ac:dyDescent="0.2">
      <c r="C645" s="46"/>
      <c r="D645" s="47"/>
      <c r="E645" s="47"/>
      <c r="F645" s="47"/>
      <c r="G645" s="47"/>
      <c r="H645" s="47"/>
      <c r="I645" s="47"/>
      <c r="L645" s="46"/>
      <c r="M645" s="47"/>
      <c r="N645" s="47"/>
      <c r="O645" s="47"/>
      <c r="P645" s="47"/>
    </row>
    <row r="646" spans="3:16" x14ac:dyDescent="0.2">
      <c r="C646" s="46"/>
      <c r="D646" s="47"/>
      <c r="E646" s="47"/>
      <c r="F646" s="47"/>
      <c r="G646" s="47"/>
      <c r="H646" s="47"/>
      <c r="I646" s="47"/>
      <c r="L646" s="46"/>
      <c r="M646" s="47"/>
      <c r="N646" s="47"/>
      <c r="O646" s="47"/>
      <c r="P646" s="47"/>
    </row>
    <row r="647" spans="3:16" x14ac:dyDescent="0.2">
      <c r="C647" s="46"/>
      <c r="D647" s="47"/>
      <c r="E647" s="47"/>
      <c r="F647" s="47"/>
      <c r="G647" s="47"/>
      <c r="H647" s="47"/>
      <c r="I647" s="47"/>
      <c r="L647" s="46"/>
      <c r="M647" s="47"/>
      <c r="N647" s="47"/>
      <c r="O647" s="47"/>
      <c r="P647" s="47"/>
    </row>
    <row r="648" spans="3:16" x14ac:dyDescent="0.2">
      <c r="C648" s="46"/>
      <c r="D648" s="47"/>
      <c r="E648" s="47"/>
      <c r="F648" s="47"/>
      <c r="G648" s="47"/>
      <c r="H648" s="47"/>
      <c r="I648" s="47"/>
      <c r="L648" s="46"/>
      <c r="M648" s="47"/>
      <c r="N648" s="47"/>
      <c r="O648" s="47"/>
      <c r="P648" s="47"/>
    </row>
    <row r="649" spans="3:16" x14ac:dyDescent="0.2">
      <c r="C649" s="46"/>
      <c r="D649" s="47"/>
      <c r="E649" s="47"/>
      <c r="F649" s="47"/>
      <c r="G649" s="47"/>
      <c r="H649" s="47"/>
      <c r="I649" s="47"/>
      <c r="L649" s="46"/>
      <c r="M649" s="47"/>
      <c r="N649" s="47"/>
      <c r="O649" s="47"/>
      <c r="P649" s="47"/>
    </row>
    <row r="650" spans="3:16" x14ac:dyDescent="0.2">
      <c r="C650" s="46"/>
      <c r="D650" s="47"/>
      <c r="E650" s="47"/>
      <c r="F650" s="47"/>
      <c r="G650" s="47"/>
      <c r="H650" s="47"/>
      <c r="I650" s="47"/>
      <c r="L650" s="46"/>
      <c r="M650" s="47"/>
      <c r="N650" s="47"/>
      <c r="O650" s="47"/>
      <c r="P650" s="47"/>
    </row>
    <row r="651" spans="3:16" x14ac:dyDescent="0.2">
      <c r="C651" s="46"/>
      <c r="D651" s="47"/>
      <c r="E651" s="47"/>
      <c r="F651" s="47"/>
      <c r="G651" s="47"/>
      <c r="H651" s="47"/>
      <c r="I651" s="47"/>
      <c r="L651" s="46"/>
      <c r="M651" s="47"/>
      <c r="N651" s="47"/>
      <c r="O651" s="47"/>
      <c r="P651" s="47"/>
    </row>
    <row r="652" spans="3:16" x14ac:dyDescent="0.2">
      <c r="C652" s="46"/>
      <c r="D652" s="47"/>
      <c r="E652" s="47"/>
      <c r="F652" s="47"/>
      <c r="G652" s="47"/>
      <c r="H652" s="47"/>
      <c r="I652" s="47"/>
      <c r="L652" s="46"/>
      <c r="M652" s="47"/>
      <c r="N652" s="47"/>
      <c r="O652" s="47"/>
      <c r="P652" s="47"/>
    </row>
    <row r="653" spans="3:16" x14ac:dyDescent="0.2">
      <c r="C653" s="46"/>
      <c r="D653" s="47"/>
      <c r="E653" s="47"/>
      <c r="F653" s="47"/>
      <c r="G653" s="47"/>
      <c r="H653" s="47"/>
      <c r="I653" s="47"/>
      <c r="L653" s="46"/>
      <c r="M653" s="47"/>
      <c r="N653" s="47"/>
      <c r="O653" s="47"/>
      <c r="P653" s="47"/>
    </row>
    <row r="654" spans="3:16" x14ac:dyDescent="0.2">
      <c r="C654" s="46"/>
      <c r="D654" s="47"/>
      <c r="E654" s="47"/>
      <c r="F654" s="47"/>
      <c r="G654" s="47"/>
      <c r="H654" s="47"/>
      <c r="I654" s="47"/>
      <c r="L654" s="46"/>
      <c r="M654" s="47"/>
      <c r="N654" s="47"/>
      <c r="O654" s="47"/>
      <c r="P654" s="47"/>
    </row>
    <row r="655" spans="3:16" x14ac:dyDescent="0.2">
      <c r="C655" s="46"/>
      <c r="D655" s="47"/>
      <c r="E655" s="47"/>
      <c r="F655" s="47"/>
      <c r="G655" s="47"/>
      <c r="H655" s="47"/>
      <c r="I655" s="47"/>
      <c r="L655" s="46"/>
      <c r="M655" s="47"/>
      <c r="N655" s="47"/>
      <c r="O655" s="47"/>
      <c r="P655" s="47"/>
    </row>
    <row r="656" spans="3:16" x14ac:dyDescent="0.2">
      <c r="C656" s="46"/>
      <c r="D656" s="47"/>
      <c r="E656" s="47"/>
      <c r="F656" s="47"/>
      <c r="G656" s="47"/>
      <c r="H656" s="47"/>
      <c r="I656" s="47"/>
      <c r="L656" s="46"/>
      <c r="M656" s="47"/>
      <c r="N656" s="47"/>
      <c r="O656" s="47"/>
      <c r="P656" s="47"/>
    </row>
    <row r="657" spans="3:16" x14ac:dyDescent="0.2">
      <c r="C657" s="46"/>
      <c r="D657" s="47"/>
      <c r="E657" s="47"/>
      <c r="F657" s="47"/>
      <c r="G657" s="47"/>
      <c r="H657" s="47"/>
      <c r="I657" s="47"/>
      <c r="L657" s="46"/>
      <c r="M657" s="47"/>
      <c r="N657" s="47"/>
      <c r="O657" s="47"/>
      <c r="P657" s="47"/>
    </row>
    <row r="658" spans="3:16" x14ac:dyDescent="0.2">
      <c r="C658" s="46"/>
      <c r="D658" s="47"/>
      <c r="E658" s="47"/>
      <c r="F658" s="47"/>
      <c r="G658" s="47"/>
      <c r="H658" s="47"/>
      <c r="I658" s="47"/>
      <c r="L658" s="46"/>
      <c r="M658" s="47"/>
      <c r="N658" s="47"/>
      <c r="O658" s="47"/>
      <c r="P658" s="47"/>
    </row>
    <row r="659" spans="3:16" x14ac:dyDescent="0.2">
      <c r="C659" s="46"/>
      <c r="D659" s="47"/>
      <c r="E659" s="47"/>
      <c r="F659" s="47"/>
      <c r="G659" s="47"/>
      <c r="H659" s="47"/>
      <c r="I659" s="47"/>
      <c r="L659" s="46"/>
      <c r="M659" s="47"/>
      <c r="N659" s="47"/>
      <c r="O659" s="47"/>
      <c r="P659" s="47"/>
    </row>
    <row r="660" spans="3:16" x14ac:dyDescent="0.2">
      <c r="C660" s="46"/>
      <c r="D660" s="47"/>
      <c r="E660" s="47"/>
      <c r="F660" s="47"/>
      <c r="G660" s="47"/>
      <c r="H660" s="47"/>
      <c r="I660" s="47"/>
      <c r="L660" s="46"/>
      <c r="M660" s="47"/>
      <c r="N660" s="47"/>
      <c r="O660" s="47"/>
      <c r="P660" s="47"/>
    </row>
    <row r="661" spans="3:16" x14ac:dyDescent="0.2">
      <c r="C661" s="46"/>
      <c r="D661" s="47"/>
      <c r="E661" s="47"/>
      <c r="F661" s="47"/>
      <c r="G661" s="47"/>
      <c r="H661" s="47"/>
      <c r="I661" s="47"/>
      <c r="L661" s="46"/>
      <c r="M661" s="47"/>
      <c r="N661" s="47"/>
      <c r="O661" s="47"/>
      <c r="P661" s="47"/>
    </row>
    <row r="662" spans="3:16" x14ac:dyDescent="0.2">
      <c r="C662" s="46"/>
      <c r="D662" s="47"/>
      <c r="E662" s="47"/>
      <c r="F662" s="47"/>
      <c r="G662" s="47"/>
      <c r="H662" s="47"/>
      <c r="I662" s="47"/>
      <c r="L662" s="46"/>
      <c r="M662" s="47"/>
      <c r="N662" s="47"/>
      <c r="O662" s="47"/>
      <c r="P662" s="47"/>
    </row>
    <row r="663" spans="3:16" x14ac:dyDescent="0.2">
      <c r="C663" s="46"/>
      <c r="D663" s="47"/>
      <c r="E663" s="47"/>
      <c r="F663" s="47"/>
      <c r="G663" s="47"/>
      <c r="H663" s="47"/>
      <c r="I663" s="47"/>
      <c r="L663" s="46"/>
      <c r="M663" s="47"/>
      <c r="N663" s="47"/>
      <c r="O663" s="47"/>
      <c r="P663" s="47"/>
    </row>
    <row r="664" spans="3:16" x14ac:dyDescent="0.2">
      <c r="C664" s="46"/>
      <c r="D664" s="47"/>
      <c r="E664" s="47"/>
      <c r="F664" s="47"/>
      <c r="G664" s="47"/>
      <c r="H664" s="47"/>
      <c r="I664" s="47"/>
      <c r="L664" s="46"/>
      <c r="M664" s="47"/>
      <c r="N664" s="47"/>
      <c r="O664" s="47"/>
      <c r="P664" s="47"/>
    </row>
    <row r="665" spans="3:16" x14ac:dyDescent="0.2">
      <c r="C665" s="46"/>
      <c r="D665" s="47"/>
      <c r="E665" s="47"/>
      <c r="F665" s="47"/>
      <c r="G665" s="47"/>
      <c r="H665" s="47"/>
      <c r="I665" s="47"/>
      <c r="L665" s="46"/>
      <c r="M665" s="47"/>
      <c r="N665" s="47"/>
      <c r="O665" s="47"/>
      <c r="P665" s="47"/>
    </row>
    <row r="666" spans="3:16" x14ac:dyDescent="0.2">
      <c r="C666" s="46"/>
      <c r="D666" s="47"/>
      <c r="E666" s="47"/>
      <c r="F666" s="47"/>
      <c r="G666" s="47"/>
      <c r="H666" s="47"/>
      <c r="I666" s="47"/>
      <c r="L666" s="46"/>
      <c r="M666" s="47"/>
      <c r="N666" s="47"/>
      <c r="O666" s="47"/>
      <c r="P666" s="47"/>
    </row>
    <row r="667" spans="3:16" x14ac:dyDescent="0.2">
      <c r="C667" s="46"/>
      <c r="D667" s="47"/>
      <c r="E667" s="47"/>
      <c r="F667" s="47"/>
      <c r="G667" s="47"/>
      <c r="H667" s="47"/>
      <c r="I667" s="47"/>
      <c r="L667" s="46"/>
      <c r="M667" s="47"/>
      <c r="N667" s="47"/>
      <c r="O667" s="47"/>
      <c r="P667" s="47"/>
    </row>
    <row r="668" spans="3:16" x14ac:dyDescent="0.2">
      <c r="C668" s="46"/>
      <c r="D668" s="47"/>
      <c r="E668" s="47"/>
      <c r="F668" s="47"/>
      <c r="G668" s="47"/>
      <c r="H668" s="47"/>
      <c r="I668" s="47"/>
      <c r="L668" s="46"/>
      <c r="M668" s="47"/>
      <c r="N668" s="47"/>
      <c r="O668" s="47"/>
      <c r="P668" s="47"/>
    </row>
    <row r="669" spans="3:16" x14ac:dyDescent="0.2">
      <c r="C669" s="46"/>
      <c r="D669" s="47"/>
      <c r="E669" s="47"/>
      <c r="F669" s="47"/>
      <c r="G669" s="47"/>
      <c r="H669" s="47"/>
      <c r="I669" s="47"/>
      <c r="L669" s="46"/>
      <c r="M669" s="47"/>
      <c r="N669" s="47"/>
      <c r="O669" s="47"/>
      <c r="P669" s="47"/>
    </row>
    <row r="670" spans="3:16" x14ac:dyDescent="0.2">
      <c r="C670" s="46"/>
      <c r="D670" s="47"/>
      <c r="E670" s="47"/>
      <c r="F670" s="47"/>
      <c r="G670" s="47"/>
      <c r="H670" s="47"/>
      <c r="I670" s="47"/>
      <c r="L670" s="46"/>
      <c r="M670" s="47"/>
      <c r="N670" s="47"/>
      <c r="O670" s="47"/>
      <c r="P670" s="47"/>
    </row>
    <row r="671" spans="3:16" x14ac:dyDescent="0.2">
      <c r="C671" s="46"/>
      <c r="D671" s="47"/>
      <c r="E671" s="47"/>
      <c r="F671" s="47"/>
      <c r="G671" s="47"/>
      <c r="H671" s="47"/>
      <c r="I671" s="47"/>
      <c r="L671" s="46"/>
      <c r="M671" s="47"/>
      <c r="N671" s="47"/>
      <c r="O671" s="47"/>
      <c r="P671" s="47"/>
    </row>
    <row r="672" spans="3:16" x14ac:dyDescent="0.2">
      <c r="C672" s="46"/>
      <c r="D672" s="47"/>
      <c r="E672" s="47"/>
      <c r="F672" s="47"/>
      <c r="G672" s="47"/>
      <c r="H672" s="47"/>
      <c r="I672" s="47"/>
      <c r="L672" s="46"/>
      <c r="M672" s="47"/>
      <c r="N672" s="47"/>
      <c r="O672" s="47"/>
      <c r="P672" s="47"/>
    </row>
    <row r="673" spans="3:16" x14ac:dyDescent="0.2">
      <c r="C673" s="46"/>
      <c r="D673" s="47"/>
      <c r="E673" s="47"/>
      <c r="F673" s="47"/>
      <c r="G673" s="47"/>
      <c r="H673" s="47"/>
      <c r="I673" s="47"/>
      <c r="L673" s="46"/>
      <c r="M673" s="47"/>
      <c r="N673" s="47"/>
      <c r="O673" s="47"/>
      <c r="P673" s="47"/>
    </row>
    <row r="674" spans="3:16" x14ac:dyDescent="0.2">
      <c r="C674" s="46"/>
      <c r="D674" s="47"/>
      <c r="E674" s="47"/>
      <c r="F674" s="47"/>
      <c r="G674" s="47"/>
      <c r="H674" s="47"/>
      <c r="I674" s="47"/>
      <c r="L674" s="46"/>
      <c r="M674" s="47"/>
      <c r="N674" s="47"/>
      <c r="O674" s="47"/>
      <c r="P674" s="47"/>
    </row>
    <row r="675" spans="3:16" x14ac:dyDescent="0.2">
      <c r="C675" s="46"/>
      <c r="D675" s="47"/>
      <c r="E675" s="47"/>
      <c r="F675" s="47"/>
      <c r="G675" s="47"/>
      <c r="H675" s="47"/>
      <c r="I675" s="47"/>
      <c r="L675" s="46"/>
      <c r="M675" s="47"/>
      <c r="N675" s="47"/>
      <c r="O675" s="47"/>
      <c r="P675" s="47"/>
    </row>
    <row r="676" spans="3:16" x14ac:dyDescent="0.2">
      <c r="C676" s="46"/>
      <c r="D676" s="47"/>
      <c r="E676" s="47"/>
      <c r="F676" s="47"/>
      <c r="G676" s="47"/>
      <c r="H676" s="47"/>
      <c r="I676" s="47"/>
      <c r="L676" s="46"/>
      <c r="M676" s="47"/>
      <c r="N676" s="47"/>
      <c r="O676" s="47"/>
      <c r="P676" s="47"/>
    </row>
    <row r="677" spans="3:16" x14ac:dyDescent="0.2">
      <c r="C677" s="46"/>
      <c r="D677" s="47"/>
      <c r="E677" s="47"/>
      <c r="F677" s="47"/>
      <c r="G677" s="47"/>
      <c r="H677" s="47"/>
      <c r="I677" s="47"/>
      <c r="L677" s="46"/>
      <c r="M677" s="47"/>
      <c r="N677" s="47"/>
      <c r="O677" s="47"/>
      <c r="P677" s="47"/>
    </row>
    <row r="678" spans="3:16" x14ac:dyDescent="0.2">
      <c r="C678" s="46"/>
      <c r="D678" s="47"/>
      <c r="E678" s="47"/>
      <c r="F678" s="47"/>
      <c r="G678" s="47"/>
      <c r="H678" s="47"/>
      <c r="I678" s="47"/>
      <c r="L678" s="46"/>
      <c r="M678" s="47"/>
      <c r="N678" s="47"/>
      <c r="O678" s="47"/>
      <c r="P678" s="47"/>
    </row>
    <row r="679" spans="3:16" x14ac:dyDescent="0.2">
      <c r="C679" s="46"/>
      <c r="D679" s="47"/>
      <c r="E679" s="47"/>
      <c r="F679" s="47"/>
      <c r="G679" s="47"/>
      <c r="H679" s="47"/>
      <c r="I679" s="47"/>
      <c r="L679" s="46"/>
      <c r="M679" s="47"/>
      <c r="N679" s="47"/>
      <c r="O679" s="47"/>
      <c r="P679" s="47"/>
    </row>
    <row r="680" spans="3:16" x14ac:dyDescent="0.2">
      <c r="C680" s="46"/>
      <c r="D680" s="47"/>
      <c r="E680" s="47"/>
      <c r="F680" s="47"/>
      <c r="G680" s="47"/>
      <c r="H680" s="47"/>
      <c r="I680" s="47"/>
      <c r="L680" s="46"/>
      <c r="M680" s="47"/>
      <c r="N680" s="47"/>
      <c r="O680" s="47"/>
      <c r="P680" s="47"/>
    </row>
    <row r="681" spans="3:16" x14ac:dyDescent="0.2">
      <c r="C681" s="46"/>
      <c r="D681" s="47"/>
      <c r="E681" s="47"/>
      <c r="F681" s="47"/>
      <c r="G681" s="47"/>
      <c r="H681" s="47"/>
      <c r="I681" s="47"/>
      <c r="L681" s="46"/>
      <c r="M681" s="47"/>
      <c r="N681" s="47"/>
      <c r="O681" s="47"/>
      <c r="P681" s="47"/>
    </row>
    <row r="682" spans="3:16" x14ac:dyDescent="0.2">
      <c r="C682" s="46"/>
      <c r="D682" s="47"/>
      <c r="E682" s="47"/>
      <c r="F682" s="47"/>
      <c r="G682" s="47"/>
      <c r="H682" s="47"/>
      <c r="I682" s="47"/>
      <c r="L682" s="46"/>
      <c r="M682" s="47"/>
      <c r="N682" s="47"/>
      <c r="O682" s="47"/>
      <c r="P682" s="47"/>
    </row>
    <row r="683" spans="3:16" x14ac:dyDescent="0.2">
      <c r="C683" s="46"/>
      <c r="D683" s="47"/>
      <c r="E683" s="47"/>
      <c r="F683" s="47"/>
      <c r="G683" s="47"/>
      <c r="H683" s="47"/>
      <c r="I683" s="47"/>
      <c r="L683" s="46"/>
      <c r="M683" s="47"/>
      <c r="N683" s="47"/>
      <c r="O683" s="47"/>
      <c r="P683" s="47"/>
    </row>
    <row r="684" spans="3:16" x14ac:dyDescent="0.2">
      <c r="C684" s="46"/>
      <c r="D684" s="47"/>
      <c r="E684" s="47"/>
      <c r="F684" s="47"/>
      <c r="G684" s="47"/>
      <c r="H684" s="47"/>
      <c r="I684" s="47"/>
      <c r="L684" s="46"/>
      <c r="M684" s="47"/>
      <c r="N684" s="47"/>
      <c r="O684" s="47"/>
      <c r="P684" s="47"/>
    </row>
    <row r="685" spans="3:16" x14ac:dyDescent="0.2">
      <c r="C685" s="46"/>
      <c r="D685" s="47"/>
      <c r="E685" s="47"/>
      <c r="F685" s="47"/>
      <c r="G685" s="47"/>
      <c r="H685" s="47"/>
      <c r="I685" s="47"/>
      <c r="L685" s="46"/>
      <c r="M685" s="47"/>
      <c r="N685" s="47"/>
      <c r="O685" s="47"/>
      <c r="P685" s="47"/>
    </row>
    <row r="686" spans="3:16" x14ac:dyDescent="0.2">
      <c r="C686" s="46"/>
      <c r="D686" s="47"/>
      <c r="E686" s="47"/>
      <c r="F686" s="47"/>
      <c r="G686" s="47"/>
      <c r="H686" s="47"/>
      <c r="I686" s="47"/>
      <c r="L686" s="46"/>
      <c r="M686" s="47"/>
      <c r="N686" s="47"/>
      <c r="O686" s="47"/>
      <c r="P686" s="47"/>
    </row>
    <row r="687" spans="3:16" x14ac:dyDescent="0.2">
      <c r="C687" s="46"/>
      <c r="D687" s="47"/>
      <c r="E687" s="47"/>
      <c r="F687" s="47"/>
      <c r="G687" s="47"/>
      <c r="H687" s="47"/>
      <c r="I687" s="47"/>
      <c r="L687" s="46"/>
      <c r="M687" s="47"/>
      <c r="N687" s="47"/>
      <c r="O687" s="47"/>
      <c r="P687" s="47"/>
    </row>
    <row r="688" spans="3:16" x14ac:dyDescent="0.2">
      <c r="C688" s="46"/>
      <c r="D688" s="47"/>
      <c r="E688" s="47"/>
      <c r="F688" s="47"/>
      <c r="G688" s="47"/>
      <c r="H688" s="47"/>
      <c r="I688" s="47"/>
      <c r="L688" s="46"/>
      <c r="M688" s="47"/>
      <c r="N688" s="47"/>
      <c r="O688" s="47"/>
      <c r="P688" s="47"/>
    </row>
    <row r="689" spans="3:16" x14ac:dyDescent="0.2">
      <c r="C689" s="46"/>
      <c r="D689" s="47"/>
      <c r="E689" s="47"/>
      <c r="F689" s="47"/>
      <c r="G689" s="47"/>
      <c r="H689" s="47"/>
      <c r="I689" s="47"/>
      <c r="L689" s="46"/>
      <c r="M689" s="47"/>
      <c r="N689" s="47"/>
      <c r="O689" s="47"/>
      <c r="P689" s="47"/>
    </row>
    <row r="690" spans="3:16" x14ac:dyDescent="0.2">
      <c r="C690" s="46"/>
      <c r="D690" s="47"/>
      <c r="E690" s="47"/>
      <c r="F690" s="47"/>
      <c r="G690" s="47"/>
      <c r="H690" s="47"/>
      <c r="I690" s="47"/>
      <c r="L690" s="46"/>
      <c r="M690" s="47"/>
      <c r="N690" s="47"/>
      <c r="O690" s="47"/>
      <c r="P690" s="47"/>
    </row>
    <row r="691" spans="3:16" x14ac:dyDescent="0.2">
      <c r="C691" s="46"/>
      <c r="D691" s="47"/>
      <c r="E691" s="47"/>
      <c r="F691" s="47"/>
      <c r="G691" s="47"/>
      <c r="H691" s="47"/>
      <c r="I691" s="47"/>
      <c r="L691" s="46"/>
      <c r="M691" s="47"/>
      <c r="N691" s="47"/>
      <c r="O691" s="47"/>
      <c r="P691" s="47"/>
    </row>
    <row r="692" spans="3:16" x14ac:dyDescent="0.2">
      <c r="C692" s="46"/>
      <c r="D692" s="47"/>
      <c r="E692" s="47"/>
      <c r="F692" s="47"/>
      <c r="G692" s="47"/>
      <c r="H692" s="47"/>
      <c r="I692" s="47"/>
      <c r="L692" s="46"/>
      <c r="M692" s="47"/>
      <c r="N692" s="47"/>
      <c r="O692" s="47"/>
      <c r="P692" s="47"/>
    </row>
    <row r="693" spans="3:16" x14ac:dyDescent="0.2">
      <c r="C693" s="46"/>
      <c r="D693" s="47"/>
      <c r="E693" s="47"/>
      <c r="F693" s="47"/>
      <c r="G693" s="47"/>
      <c r="H693" s="47"/>
      <c r="I693" s="47"/>
      <c r="L693" s="46"/>
      <c r="M693" s="47"/>
      <c r="N693" s="47"/>
      <c r="O693" s="47"/>
      <c r="P693" s="47"/>
    </row>
    <row r="694" spans="3:16" x14ac:dyDescent="0.2">
      <c r="C694" s="46"/>
      <c r="D694" s="47"/>
      <c r="E694" s="47"/>
      <c r="F694" s="47"/>
      <c r="G694" s="47"/>
      <c r="H694" s="47"/>
      <c r="I694" s="47"/>
      <c r="L694" s="46"/>
      <c r="M694" s="47"/>
      <c r="N694" s="47"/>
      <c r="O694" s="47"/>
      <c r="P694" s="47"/>
    </row>
    <row r="695" spans="3:16" x14ac:dyDescent="0.2">
      <c r="C695" s="46"/>
      <c r="D695" s="47"/>
      <c r="E695" s="47"/>
      <c r="F695" s="47"/>
      <c r="G695" s="47"/>
      <c r="H695" s="47"/>
      <c r="I695" s="47"/>
      <c r="L695" s="46"/>
      <c r="M695" s="47"/>
      <c r="N695" s="47"/>
      <c r="O695" s="47"/>
      <c r="P695" s="47"/>
    </row>
    <row r="696" spans="3:16" x14ac:dyDescent="0.2">
      <c r="C696" s="46"/>
      <c r="D696" s="47"/>
      <c r="E696" s="47"/>
      <c r="F696" s="47"/>
      <c r="G696" s="47"/>
      <c r="H696" s="47"/>
      <c r="I696" s="47"/>
      <c r="L696" s="46"/>
      <c r="M696" s="47"/>
      <c r="N696" s="47"/>
      <c r="O696" s="47"/>
      <c r="P696" s="47"/>
    </row>
    <row r="697" spans="3:16" x14ac:dyDescent="0.2">
      <c r="C697" s="46"/>
      <c r="D697" s="47"/>
      <c r="E697" s="47"/>
      <c r="F697" s="47"/>
      <c r="G697" s="47"/>
      <c r="H697" s="47"/>
      <c r="I697" s="47"/>
      <c r="L697" s="46"/>
      <c r="M697" s="47"/>
      <c r="N697" s="47"/>
      <c r="O697" s="47"/>
      <c r="P697" s="47"/>
    </row>
    <row r="698" spans="3:16" x14ac:dyDescent="0.2">
      <c r="C698" s="46"/>
      <c r="D698" s="47"/>
      <c r="E698" s="47"/>
      <c r="F698" s="47"/>
      <c r="G698" s="47"/>
      <c r="H698" s="47"/>
      <c r="I698" s="47"/>
      <c r="L698" s="46"/>
      <c r="M698" s="47"/>
      <c r="N698" s="47"/>
      <c r="O698" s="47"/>
      <c r="P698" s="47"/>
    </row>
    <row r="699" spans="3:16" x14ac:dyDescent="0.2">
      <c r="C699" s="46"/>
      <c r="D699" s="47"/>
      <c r="E699" s="47"/>
      <c r="F699" s="47"/>
      <c r="G699" s="47"/>
      <c r="H699" s="47"/>
      <c r="I699" s="47"/>
      <c r="L699" s="46"/>
      <c r="M699" s="47"/>
      <c r="N699" s="47"/>
      <c r="O699" s="47"/>
      <c r="P699" s="47"/>
    </row>
    <row r="700" spans="3:16" x14ac:dyDescent="0.2">
      <c r="C700" s="46"/>
      <c r="D700" s="47"/>
      <c r="E700" s="47"/>
      <c r="F700" s="47"/>
      <c r="G700" s="47"/>
      <c r="H700" s="47"/>
      <c r="I700" s="47"/>
      <c r="L700" s="46"/>
      <c r="M700" s="47"/>
      <c r="N700" s="47"/>
      <c r="O700" s="47"/>
      <c r="P700" s="47"/>
    </row>
    <row r="701" spans="3:16" x14ac:dyDescent="0.2">
      <c r="C701" s="46"/>
      <c r="D701" s="47"/>
      <c r="E701" s="47"/>
      <c r="F701" s="47"/>
      <c r="G701" s="47"/>
      <c r="H701" s="47"/>
      <c r="I701" s="47"/>
      <c r="L701" s="46"/>
      <c r="M701" s="47"/>
      <c r="N701" s="47"/>
      <c r="O701" s="47"/>
      <c r="P701" s="47"/>
    </row>
    <row r="702" spans="3:16" x14ac:dyDescent="0.2">
      <c r="C702" s="46"/>
      <c r="D702" s="47"/>
      <c r="E702" s="47"/>
      <c r="F702" s="47"/>
      <c r="G702" s="47"/>
      <c r="H702" s="47"/>
      <c r="I702" s="47"/>
      <c r="L702" s="46"/>
      <c r="M702" s="47"/>
      <c r="N702" s="47"/>
      <c r="O702" s="47"/>
      <c r="P702" s="47"/>
    </row>
    <row r="703" spans="3:16" x14ac:dyDescent="0.2">
      <c r="C703" s="46"/>
      <c r="D703" s="47"/>
      <c r="E703" s="47"/>
      <c r="F703" s="47"/>
      <c r="G703" s="47"/>
      <c r="H703" s="47"/>
      <c r="I703" s="47"/>
      <c r="L703" s="46"/>
      <c r="M703" s="47"/>
      <c r="N703" s="47"/>
      <c r="O703" s="47"/>
      <c r="P703" s="47"/>
    </row>
    <row r="704" spans="3:16" x14ac:dyDescent="0.2">
      <c r="C704" s="46"/>
      <c r="D704" s="47"/>
      <c r="E704" s="47"/>
      <c r="F704" s="47"/>
      <c r="G704" s="47"/>
      <c r="H704" s="47"/>
      <c r="I704" s="47"/>
      <c r="L704" s="46"/>
      <c r="M704" s="47"/>
      <c r="N704" s="47"/>
      <c r="O704" s="47"/>
      <c r="P704" s="47"/>
    </row>
    <row r="705" spans="3:16" x14ac:dyDescent="0.2">
      <c r="C705" s="46"/>
      <c r="D705" s="47"/>
      <c r="E705" s="47"/>
      <c r="F705" s="47"/>
      <c r="G705" s="47"/>
      <c r="H705" s="47"/>
      <c r="I705" s="47"/>
      <c r="L705" s="46"/>
      <c r="M705" s="47"/>
      <c r="N705" s="47"/>
      <c r="O705" s="47"/>
      <c r="P705" s="47"/>
    </row>
    <row r="706" spans="3:16" x14ac:dyDescent="0.2">
      <c r="C706" s="46"/>
      <c r="D706" s="47"/>
      <c r="E706" s="47"/>
      <c r="F706" s="47"/>
      <c r="G706" s="47"/>
      <c r="H706" s="47"/>
      <c r="I706" s="47"/>
      <c r="L706" s="46"/>
      <c r="M706" s="47"/>
      <c r="N706" s="47"/>
      <c r="O706" s="47"/>
      <c r="P706" s="47"/>
    </row>
    <row r="707" spans="3:16" x14ac:dyDescent="0.2">
      <c r="C707" s="46"/>
      <c r="D707" s="47"/>
      <c r="E707" s="47"/>
      <c r="F707" s="47"/>
      <c r="G707" s="47"/>
      <c r="H707" s="47"/>
      <c r="I707" s="47"/>
      <c r="L707" s="46"/>
      <c r="M707" s="47"/>
      <c r="N707" s="47"/>
      <c r="O707" s="47"/>
      <c r="P707" s="47"/>
    </row>
    <row r="708" spans="3:16" x14ac:dyDescent="0.2">
      <c r="C708" s="46"/>
      <c r="D708" s="47"/>
      <c r="E708" s="47"/>
      <c r="F708" s="47"/>
      <c r="G708" s="47"/>
      <c r="H708" s="47"/>
      <c r="I708" s="47"/>
      <c r="L708" s="46"/>
      <c r="M708" s="47"/>
      <c r="N708" s="47"/>
      <c r="O708" s="47"/>
      <c r="P708" s="47"/>
    </row>
    <row r="709" spans="3:16" x14ac:dyDescent="0.2">
      <c r="C709" s="46"/>
      <c r="D709" s="47"/>
      <c r="E709" s="47"/>
      <c r="F709" s="47"/>
      <c r="G709" s="47"/>
      <c r="H709" s="47"/>
      <c r="I709" s="47"/>
      <c r="L709" s="46"/>
      <c r="M709" s="47"/>
      <c r="N709" s="47"/>
      <c r="O709" s="47"/>
      <c r="P709" s="47"/>
    </row>
    <row r="710" spans="3:16" x14ac:dyDescent="0.2">
      <c r="C710" s="46"/>
      <c r="D710" s="47"/>
      <c r="E710" s="47"/>
      <c r="F710" s="47"/>
      <c r="G710" s="47"/>
      <c r="H710" s="47"/>
      <c r="I710" s="47"/>
      <c r="L710" s="46"/>
      <c r="M710" s="47"/>
      <c r="N710" s="47"/>
      <c r="O710" s="47"/>
      <c r="P710" s="47"/>
    </row>
    <row r="711" spans="3:16" x14ac:dyDescent="0.2">
      <c r="C711" s="46"/>
      <c r="D711" s="47"/>
      <c r="E711" s="47"/>
      <c r="F711" s="47"/>
      <c r="G711" s="47"/>
      <c r="H711" s="47"/>
      <c r="I711" s="47"/>
      <c r="L711" s="46"/>
      <c r="M711" s="47"/>
      <c r="N711" s="47"/>
      <c r="O711" s="47"/>
      <c r="P711" s="47"/>
    </row>
    <row r="712" spans="3:16" x14ac:dyDescent="0.2">
      <c r="C712" s="46"/>
      <c r="D712" s="47"/>
      <c r="E712" s="47"/>
      <c r="F712" s="47"/>
      <c r="G712" s="47"/>
      <c r="H712" s="47"/>
      <c r="I712" s="47"/>
      <c r="L712" s="46"/>
      <c r="M712" s="47"/>
      <c r="N712" s="47"/>
      <c r="O712" s="47"/>
      <c r="P712" s="47"/>
    </row>
    <row r="713" spans="3:16" x14ac:dyDescent="0.2">
      <c r="C713" s="46"/>
      <c r="D713" s="47"/>
      <c r="E713" s="47"/>
      <c r="F713" s="47"/>
      <c r="G713" s="47"/>
      <c r="H713" s="47"/>
      <c r="I713" s="47"/>
      <c r="L713" s="46"/>
      <c r="M713" s="47"/>
      <c r="N713" s="47"/>
      <c r="O713" s="47"/>
      <c r="P713" s="47"/>
    </row>
    <row r="714" spans="3:16" x14ac:dyDescent="0.2">
      <c r="C714" s="46"/>
      <c r="D714" s="47"/>
      <c r="E714" s="47"/>
      <c r="F714" s="47"/>
      <c r="G714" s="47"/>
      <c r="H714" s="47"/>
      <c r="I714" s="47"/>
      <c r="L714" s="46"/>
      <c r="M714" s="47"/>
      <c r="N714" s="47"/>
      <c r="O714" s="47"/>
      <c r="P714" s="47"/>
    </row>
    <row r="715" spans="3:16" x14ac:dyDescent="0.2">
      <c r="C715" s="46"/>
      <c r="D715" s="47"/>
      <c r="E715" s="47"/>
      <c r="F715" s="47"/>
      <c r="G715" s="47"/>
      <c r="H715" s="47"/>
      <c r="I715" s="47"/>
      <c r="L715" s="46"/>
      <c r="M715" s="47"/>
      <c r="N715" s="47"/>
      <c r="O715" s="47"/>
      <c r="P715" s="47"/>
    </row>
    <row r="716" spans="3:16" x14ac:dyDescent="0.2">
      <c r="C716" s="46"/>
      <c r="D716" s="47"/>
      <c r="E716" s="47"/>
      <c r="F716" s="47"/>
      <c r="G716" s="47"/>
      <c r="H716" s="47"/>
      <c r="I716" s="47"/>
      <c r="L716" s="46"/>
      <c r="M716" s="47"/>
      <c r="N716" s="47"/>
      <c r="O716" s="47"/>
      <c r="P716" s="47"/>
    </row>
    <row r="717" spans="3:16" x14ac:dyDescent="0.2">
      <c r="C717" s="46"/>
      <c r="D717" s="47"/>
      <c r="E717" s="47"/>
      <c r="F717" s="47"/>
      <c r="G717" s="47"/>
      <c r="H717" s="47"/>
      <c r="I717" s="47"/>
      <c r="L717" s="46"/>
      <c r="M717" s="47"/>
      <c r="N717" s="47"/>
      <c r="O717" s="47"/>
      <c r="P717" s="47"/>
    </row>
    <row r="718" spans="3:16" x14ac:dyDescent="0.2">
      <c r="C718" s="46"/>
      <c r="D718" s="47"/>
      <c r="E718" s="47"/>
      <c r="F718" s="47"/>
      <c r="G718" s="47"/>
      <c r="H718" s="47"/>
      <c r="I718" s="47"/>
      <c r="L718" s="46"/>
      <c r="M718" s="47"/>
      <c r="N718" s="47"/>
      <c r="O718" s="47"/>
      <c r="P718" s="47"/>
    </row>
    <row r="719" spans="3:16" x14ac:dyDescent="0.2">
      <c r="C719" s="46"/>
      <c r="D719" s="47"/>
      <c r="E719" s="47"/>
      <c r="F719" s="47"/>
      <c r="G719" s="47"/>
      <c r="H719" s="47"/>
      <c r="I719" s="47"/>
      <c r="L719" s="46"/>
      <c r="M719" s="47"/>
      <c r="N719" s="47"/>
      <c r="O719" s="47"/>
      <c r="P719" s="47"/>
    </row>
    <row r="720" spans="3:16" x14ac:dyDescent="0.2">
      <c r="C720" s="46"/>
      <c r="D720" s="47"/>
      <c r="E720" s="47"/>
      <c r="F720" s="47"/>
      <c r="G720" s="47"/>
      <c r="H720" s="47"/>
      <c r="I720" s="47"/>
      <c r="L720" s="46"/>
      <c r="M720" s="47"/>
      <c r="N720" s="47"/>
      <c r="O720" s="47"/>
      <c r="P720" s="47"/>
    </row>
    <row r="721" spans="3:16" x14ac:dyDescent="0.2">
      <c r="C721" s="46"/>
      <c r="D721" s="47"/>
      <c r="E721" s="47"/>
      <c r="F721" s="47"/>
      <c r="G721" s="47"/>
      <c r="H721" s="47"/>
      <c r="I721" s="47"/>
      <c r="L721" s="46"/>
      <c r="M721" s="47"/>
      <c r="N721" s="47"/>
      <c r="O721" s="47"/>
      <c r="P721" s="47"/>
    </row>
    <row r="722" spans="3:16" x14ac:dyDescent="0.2">
      <c r="C722" s="46"/>
      <c r="D722" s="47"/>
      <c r="E722" s="47"/>
      <c r="F722" s="47"/>
      <c r="G722" s="47"/>
      <c r="H722" s="47"/>
      <c r="I722" s="47"/>
      <c r="L722" s="46"/>
      <c r="M722" s="47"/>
      <c r="N722" s="47"/>
      <c r="O722" s="47"/>
      <c r="P722" s="47"/>
    </row>
    <row r="723" spans="3:16" x14ac:dyDescent="0.2">
      <c r="C723" s="46"/>
      <c r="D723" s="47"/>
      <c r="E723" s="47"/>
      <c r="F723" s="47"/>
      <c r="G723" s="47"/>
      <c r="H723" s="47"/>
      <c r="I723" s="47"/>
      <c r="L723" s="46"/>
      <c r="M723" s="47"/>
      <c r="N723" s="47"/>
      <c r="O723" s="47"/>
      <c r="P723" s="47"/>
    </row>
    <row r="724" spans="3:16" x14ac:dyDescent="0.2">
      <c r="C724" s="46"/>
      <c r="D724" s="47"/>
      <c r="E724" s="47"/>
      <c r="F724" s="47"/>
      <c r="G724" s="47"/>
      <c r="H724" s="47"/>
      <c r="I724" s="47"/>
      <c r="L724" s="46"/>
      <c r="M724" s="47"/>
      <c r="N724" s="47"/>
      <c r="O724" s="47"/>
      <c r="P724" s="47"/>
    </row>
    <row r="725" spans="3:16" x14ac:dyDescent="0.2">
      <c r="C725" s="46"/>
      <c r="D725" s="47"/>
      <c r="E725" s="47"/>
      <c r="F725" s="47"/>
      <c r="G725" s="47"/>
      <c r="H725" s="47"/>
      <c r="I725" s="47"/>
      <c r="L725" s="46"/>
      <c r="M725" s="47"/>
      <c r="N725" s="47"/>
      <c r="O725" s="47"/>
      <c r="P725" s="47"/>
    </row>
    <row r="726" spans="3:16" x14ac:dyDescent="0.2">
      <c r="C726" s="46"/>
      <c r="D726" s="47"/>
      <c r="E726" s="47"/>
      <c r="F726" s="47"/>
      <c r="G726" s="47"/>
      <c r="H726" s="47"/>
      <c r="I726" s="47"/>
      <c r="L726" s="46"/>
      <c r="M726" s="47"/>
      <c r="N726" s="47"/>
      <c r="O726" s="47"/>
      <c r="P726" s="47"/>
    </row>
    <row r="727" spans="3:16" x14ac:dyDescent="0.2">
      <c r="C727" s="46"/>
      <c r="D727" s="47"/>
      <c r="E727" s="47"/>
      <c r="F727" s="47"/>
      <c r="G727" s="47"/>
      <c r="H727" s="47"/>
      <c r="I727" s="47"/>
      <c r="L727" s="46"/>
      <c r="M727" s="47"/>
      <c r="N727" s="47"/>
      <c r="O727" s="47"/>
      <c r="P727" s="47"/>
    </row>
    <row r="728" spans="3:16" x14ac:dyDescent="0.2">
      <c r="C728" s="46"/>
      <c r="D728" s="47"/>
      <c r="E728" s="47"/>
      <c r="F728" s="47"/>
      <c r="G728" s="47"/>
      <c r="H728" s="47"/>
      <c r="I728" s="47"/>
      <c r="L728" s="46"/>
      <c r="M728" s="47"/>
      <c r="N728" s="47"/>
      <c r="O728" s="47"/>
      <c r="P728" s="47"/>
    </row>
    <row r="729" spans="3:16" x14ac:dyDescent="0.2">
      <c r="C729" s="46"/>
      <c r="D729" s="47"/>
      <c r="E729" s="47"/>
      <c r="F729" s="47"/>
      <c r="G729" s="47"/>
      <c r="H729" s="47"/>
      <c r="I729" s="47"/>
      <c r="L729" s="46"/>
      <c r="M729" s="47"/>
      <c r="N729" s="47"/>
      <c r="O729" s="47"/>
      <c r="P729" s="47"/>
    </row>
    <row r="730" spans="3:16" x14ac:dyDescent="0.2">
      <c r="C730" s="46"/>
      <c r="D730" s="47"/>
      <c r="E730" s="47"/>
      <c r="F730" s="47"/>
      <c r="G730" s="47"/>
      <c r="H730" s="47"/>
      <c r="I730" s="47"/>
      <c r="L730" s="46"/>
      <c r="M730" s="47"/>
      <c r="N730" s="47"/>
      <c r="O730" s="47"/>
      <c r="P730" s="47"/>
    </row>
    <row r="731" spans="3:16" x14ac:dyDescent="0.2">
      <c r="C731" s="46"/>
      <c r="D731" s="47"/>
      <c r="E731" s="47"/>
      <c r="F731" s="47"/>
      <c r="G731" s="47"/>
      <c r="H731" s="47"/>
      <c r="I731" s="47"/>
      <c r="L731" s="46"/>
      <c r="M731" s="47"/>
      <c r="N731" s="47"/>
      <c r="O731" s="47"/>
      <c r="P731" s="47"/>
    </row>
    <row r="732" spans="3:16" x14ac:dyDescent="0.2">
      <c r="C732" s="46"/>
      <c r="D732" s="47"/>
      <c r="E732" s="47"/>
      <c r="F732" s="47"/>
      <c r="G732" s="47"/>
      <c r="H732" s="47"/>
      <c r="I732" s="47"/>
      <c r="L732" s="46"/>
      <c r="M732" s="47"/>
      <c r="N732" s="47"/>
      <c r="O732" s="47"/>
      <c r="P732" s="47"/>
    </row>
    <row r="733" spans="3:16" x14ac:dyDescent="0.2">
      <c r="C733" s="46"/>
      <c r="D733" s="47"/>
      <c r="E733" s="47"/>
      <c r="F733" s="47"/>
      <c r="G733" s="47"/>
      <c r="H733" s="47"/>
      <c r="I733" s="47"/>
      <c r="L733" s="46"/>
      <c r="M733" s="47"/>
      <c r="N733" s="47"/>
      <c r="O733" s="47"/>
      <c r="P733" s="47"/>
    </row>
    <row r="734" spans="3:16" x14ac:dyDescent="0.2">
      <c r="C734" s="46"/>
      <c r="D734" s="47"/>
      <c r="E734" s="47"/>
      <c r="F734" s="47"/>
      <c r="G734" s="47"/>
      <c r="H734" s="47"/>
      <c r="I734" s="47"/>
      <c r="L734" s="46"/>
      <c r="M734" s="47"/>
      <c r="N734" s="47"/>
      <c r="O734" s="47"/>
      <c r="P734" s="47"/>
    </row>
    <row r="735" spans="3:16" x14ac:dyDescent="0.2">
      <c r="C735" s="46"/>
      <c r="D735" s="47"/>
      <c r="E735" s="47"/>
      <c r="F735" s="47"/>
      <c r="G735" s="47"/>
      <c r="H735" s="47"/>
      <c r="I735" s="47"/>
      <c r="L735" s="46"/>
      <c r="M735" s="47"/>
      <c r="N735" s="47"/>
      <c r="O735" s="47"/>
      <c r="P735" s="47"/>
    </row>
    <row r="736" spans="3:16" x14ac:dyDescent="0.2">
      <c r="C736" s="46"/>
      <c r="D736" s="47"/>
      <c r="E736" s="47"/>
      <c r="F736" s="47"/>
      <c r="G736" s="47"/>
      <c r="H736" s="47"/>
      <c r="I736" s="47"/>
      <c r="L736" s="46"/>
      <c r="M736" s="47"/>
      <c r="N736" s="47"/>
      <c r="O736" s="47"/>
      <c r="P736" s="47"/>
    </row>
    <row r="737" spans="3:16" x14ac:dyDescent="0.2">
      <c r="C737" s="46"/>
      <c r="D737" s="47"/>
      <c r="E737" s="47"/>
      <c r="F737" s="47"/>
      <c r="G737" s="47"/>
      <c r="H737" s="47"/>
      <c r="I737" s="47"/>
      <c r="L737" s="46"/>
      <c r="M737" s="47"/>
      <c r="N737" s="47"/>
      <c r="O737" s="47"/>
      <c r="P737" s="47"/>
    </row>
    <row r="738" spans="3:16" x14ac:dyDescent="0.2">
      <c r="C738" s="46"/>
      <c r="D738" s="47"/>
      <c r="E738" s="47"/>
      <c r="F738" s="47"/>
      <c r="G738" s="47"/>
      <c r="H738" s="47"/>
      <c r="I738" s="47"/>
      <c r="L738" s="46"/>
      <c r="M738" s="47"/>
      <c r="N738" s="47"/>
      <c r="O738" s="47"/>
      <c r="P738" s="47"/>
    </row>
    <row r="739" spans="3:16" x14ac:dyDescent="0.2">
      <c r="C739" s="46"/>
      <c r="D739" s="47"/>
      <c r="E739" s="47"/>
      <c r="F739" s="47"/>
      <c r="G739" s="47"/>
      <c r="H739" s="47"/>
      <c r="I739" s="47"/>
      <c r="L739" s="46"/>
      <c r="M739" s="47"/>
      <c r="N739" s="47"/>
      <c r="O739" s="47"/>
      <c r="P739" s="47"/>
    </row>
    <row r="740" spans="3:16" x14ac:dyDescent="0.2">
      <c r="C740" s="46"/>
      <c r="D740" s="47"/>
      <c r="E740" s="47"/>
      <c r="F740" s="47"/>
      <c r="G740" s="47"/>
      <c r="H740" s="47"/>
      <c r="I740" s="47"/>
      <c r="L740" s="46"/>
      <c r="M740" s="47"/>
      <c r="N740" s="47"/>
      <c r="O740" s="47"/>
      <c r="P740" s="47"/>
    </row>
    <row r="741" spans="3:16" x14ac:dyDescent="0.2">
      <c r="C741" s="46"/>
      <c r="D741" s="47"/>
      <c r="E741" s="47"/>
      <c r="F741" s="47"/>
      <c r="G741" s="47"/>
      <c r="H741" s="47"/>
      <c r="I741" s="47"/>
      <c r="L741" s="46"/>
      <c r="M741" s="47"/>
      <c r="N741" s="47"/>
      <c r="O741" s="47"/>
      <c r="P741" s="47"/>
    </row>
    <row r="742" spans="3:16" x14ac:dyDescent="0.2">
      <c r="C742" s="46"/>
      <c r="D742" s="47"/>
      <c r="E742" s="47"/>
      <c r="F742" s="47"/>
      <c r="G742" s="47"/>
      <c r="H742" s="47"/>
      <c r="I742" s="47"/>
      <c r="L742" s="46"/>
      <c r="M742" s="47"/>
      <c r="N742" s="47"/>
      <c r="O742" s="47"/>
      <c r="P742" s="47"/>
    </row>
    <row r="743" spans="3:16" x14ac:dyDescent="0.2">
      <c r="C743" s="46"/>
      <c r="D743" s="47"/>
      <c r="E743" s="47"/>
      <c r="F743" s="47"/>
      <c r="G743" s="47"/>
      <c r="H743" s="47"/>
      <c r="I743" s="47"/>
      <c r="L743" s="46"/>
      <c r="M743" s="47"/>
      <c r="N743" s="47"/>
      <c r="O743" s="47"/>
      <c r="P743" s="47"/>
    </row>
    <row r="744" spans="3:16" x14ac:dyDescent="0.2">
      <c r="C744" s="46"/>
      <c r="D744" s="47"/>
      <c r="E744" s="47"/>
      <c r="F744" s="47"/>
      <c r="G744" s="47"/>
      <c r="H744" s="47"/>
      <c r="I744" s="47"/>
      <c r="L744" s="46"/>
      <c r="M744" s="47"/>
      <c r="N744" s="47"/>
      <c r="O744" s="47"/>
      <c r="P744" s="47"/>
    </row>
    <row r="745" spans="3:16" x14ac:dyDescent="0.2">
      <c r="C745" s="46"/>
      <c r="D745" s="47"/>
      <c r="E745" s="47"/>
      <c r="F745" s="47"/>
      <c r="G745" s="47"/>
      <c r="H745" s="47"/>
      <c r="I745" s="47"/>
      <c r="L745" s="46"/>
      <c r="M745" s="47"/>
      <c r="N745" s="47"/>
      <c r="O745" s="47"/>
      <c r="P745" s="47"/>
    </row>
    <row r="746" spans="3:16" x14ac:dyDescent="0.2">
      <c r="C746" s="46"/>
      <c r="D746" s="47"/>
      <c r="E746" s="47"/>
      <c r="F746" s="47"/>
      <c r="G746" s="47"/>
      <c r="H746" s="47"/>
      <c r="I746" s="47"/>
      <c r="L746" s="46"/>
      <c r="M746" s="47"/>
      <c r="N746" s="47"/>
      <c r="O746" s="47"/>
      <c r="P746" s="47"/>
    </row>
    <row r="747" spans="3:16" x14ac:dyDescent="0.2">
      <c r="C747" s="46"/>
      <c r="D747" s="47"/>
      <c r="E747" s="47"/>
      <c r="F747" s="47"/>
      <c r="G747" s="47"/>
      <c r="H747" s="47"/>
      <c r="I747" s="47"/>
      <c r="L747" s="46"/>
      <c r="M747" s="47"/>
      <c r="N747" s="47"/>
      <c r="O747" s="47"/>
      <c r="P747" s="47"/>
    </row>
    <row r="748" spans="3:16" x14ac:dyDescent="0.2">
      <c r="C748" s="46"/>
      <c r="D748" s="47"/>
      <c r="E748" s="47"/>
      <c r="F748" s="47"/>
      <c r="G748" s="47"/>
      <c r="H748" s="47"/>
      <c r="I748" s="47"/>
      <c r="L748" s="46"/>
      <c r="M748" s="47"/>
      <c r="N748" s="47"/>
      <c r="O748" s="47"/>
      <c r="P748" s="47"/>
    </row>
    <row r="749" spans="3:16" x14ac:dyDescent="0.2">
      <c r="C749" s="46"/>
      <c r="D749" s="47"/>
      <c r="E749" s="47"/>
      <c r="F749" s="47"/>
      <c r="G749" s="47"/>
      <c r="H749" s="47"/>
      <c r="I749" s="47"/>
      <c r="L749" s="46"/>
      <c r="M749" s="47"/>
      <c r="N749" s="47"/>
      <c r="O749" s="47"/>
      <c r="P749" s="47"/>
    </row>
    <row r="750" spans="3:16" x14ac:dyDescent="0.2">
      <c r="C750" s="46"/>
      <c r="D750" s="47"/>
      <c r="E750" s="47"/>
      <c r="F750" s="47"/>
      <c r="G750" s="47"/>
      <c r="H750" s="47"/>
      <c r="I750" s="47"/>
      <c r="L750" s="46"/>
      <c r="M750" s="47"/>
      <c r="N750" s="47"/>
      <c r="O750" s="47"/>
      <c r="P750" s="47"/>
    </row>
    <row r="751" spans="3:16" x14ac:dyDescent="0.2">
      <c r="C751" s="46"/>
      <c r="D751" s="47"/>
      <c r="E751" s="47"/>
      <c r="F751" s="47"/>
      <c r="G751" s="47"/>
      <c r="H751" s="47"/>
      <c r="I751" s="47"/>
      <c r="L751" s="46"/>
      <c r="M751" s="47"/>
      <c r="N751" s="47"/>
      <c r="O751" s="47"/>
      <c r="P751" s="47"/>
    </row>
    <row r="752" spans="3:16" x14ac:dyDescent="0.2">
      <c r="C752" s="46"/>
      <c r="D752" s="47"/>
      <c r="E752" s="47"/>
      <c r="F752" s="47"/>
      <c r="G752" s="47"/>
      <c r="H752" s="47"/>
      <c r="I752" s="47"/>
      <c r="L752" s="46"/>
      <c r="M752" s="47"/>
      <c r="N752" s="47"/>
      <c r="O752" s="47"/>
      <c r="P752" s="47"/>
    </row>
    <row r="753" spans="3:16" x14ac:dyDescent="0.2">
      <c r="C753" s="46"/>
      <c r="D753" s="47"/>
      <c r="E753" s="47"/>
      <c r="F753" s="47"/>
      <c r="G753" s="47"/>
      <c r="H753" s="47"/>
      <c r="I753" s="47"/>
      <c r="L753" s="46"/>
      <c r="M753" s="47"/>
      <c r="N753" s="47"/>
      <c r="O753" s="47"/>
      <c r="P753" s="47"/>
    </row>
    <row r="754" spans="3:16" x14ac:dyDescent="0.2">
      <c r="C754" s="46"/>
      <c r="D754" s="47"/>
      <c r="E754" s="47"/>
      <c r="F754" s="47"/>
      <c r="G754" s="47"/>
      <c r="H754" s="47"/>
      <c r="I754" s="47"/>
      <c r="L754" s="46"/>
      <c r="M754" s="47"/>
      <c r="N754" s="47"/>
      <c r="O754" s="47"/>
      <c r="P754" s="47"/>
    </row>
    <row r="755" spans="3:16" x14ac:dyDescent="0.2">
      <c r="C755" s="46"/>
      <c r="D755" s="47"/>
      <c r="E755" s="47"/>
      <c r="F755" s="47"/>
      <c r="G755" s="47"/>
      <c r="H755" s="47"/>
      <c r="I755" s="47"/>
      <c r="L755" s="46"/>
      <c r="M755" s="47"/>
      <c r="N755" s="47"/>
      <c r="O755" s="47"/>
      <c r="P755" s="47"/>
    </row>
    <row r="756" spans="3:16" x14ac:dyDescent="0.2">
      <c r="C756" s="46"/>
      <c r="D756" s="47"/>
      <c r="E756" s="47"/>
      <c r="F756" s="47"/>
      <c r="G756" s="47"/>
      <c r="H756" s="47"/>
      <c r="I756" s="47"/>
      <c r="L756" s="46"/>
      <c r="M756" s="47"/>
      <c r="N756" s="47"/>
      <c r="O756" s="47"/>
      <c r="P756" s="47"/>
    </row>
    <row r="757" spans="3:16" x14ac:dyDescent="0.2">
      <c r="C757" s="46"/>
      <c r="D757" s="47"/>
      <c r="E757" s="47"/>
      <c r="F757" s="47"/>
      <c r="G757" s="47"/>
      <c r="H757" s="47"/>
      <c r="I757" s="47"/>
      <c r="L757" s="46"/>
      <c r="M757" s="47"/>
      <c r="N757" s="47"/>
      <c r="O757" s="47"/>
      <c r="P757" s="47"/>
    </row>
    <row r="758" spans="3:16" x14ac:dyDescent="0.2">
      <c r="C758" s="46"/>
      <c r="D758" s="47"/>
      <c r="E758" s="47"/>
      <c r="F758" s="47"/>
      <c r="G758" s="47"/>
      <c r="H758" s="47"/>
      <c r="I758" s="47"/>
      <c r="L758" s="46"/>
      <c r="M758" s="47"/>
      <c r="N758" s="47"/>
      <c r="O758" s="47"/>
      <c r="P758" s="47"/>
    </row>
    <row r="759" spans="3:16" x14ac:dyDescent="0.2">
      <c r="C759" s="46"/>
      <c r="D759" s="47"/>
      <c r="E759" s="47"/>
      <c r="F759" s="47"/>
      <c r="G759" s="47"/>
      <c r="H759" s="47"/>
      <c r="I759" s="47"/>
      <c r="L759" s="46"/>
      <c r="M759" s="47"/>
      <c r="N759" s="47"/>
      <c r="O759" s="47"/>
      <c r="P759" s="47"/>
    </row>
    <row r="760" spans="3:16" x14ac:dyDescent="0.2">
      <c r="C760" s="46"/>
      <c r="D760" s="47"/>
      <c r="E760" s="47"/>
      <c r="F760" s="47"/>
      <c r="G760" s="47"/>
      <c r="H760" s="47"/>
      <c r="I760" s="47"/>
      <c r="L760" s="46"/>
      <c r="M760" s="47"/>
      <c r="N760" s="47"/>
      <c r="O760" s="47"/>
      <c r="P760" s="47"/>
    </row>
    <row r="761" spans="3:16" x14ac:dyDescent="0.2">
      <c r="C761" s="46"/>
      <c r="D761" s="47"/>
      <c r="E761" s="47"/>
      <c r="F761" s="47"/>
      <c r="G761" s="47"/>
      <c r="H761" s="47"/>
      <c r="I761" s="47"/>
      <c r="L761" s="46"/>
      <c r="M761" s="47"/>
      <c r="N761" s="47"/>
      <c r="O761" s="47"/>
      <c r="P761" s="47"/>
    </row>
    <row r="762" spans="3:16" x14ac:dyDescent="0.2">
      <c r="C762" s="46"/>
      <c r="D762" s="47"/>
      <c r="E762" s="47"/>
      <c r="F762" s="47"/>
      <c r="G762" s="47"/>
      <c r="H762" s="47"/>
      <c r="I762" s="47"/>
      <c r="L762" s="46"/>
      <c r="M762" s="47"/>
      <c r="N762" s="47"/>
      <c r="O762" s="47"/>
      <c r="P762" s="47"/>
    </row>
    <row r="763" spans="3:16" x14ac:dyDescent="0.2">
      <c r="C763" s="46"/>
      <c r="D763" s="47"/>
      <c r="E763" s="47"/>
      <c r="F763" s="47"/>
      <c r="G763" s="47"/>
      <c r="H763" s="47"/>
      <c r="I763" s="47"/>
      <c r="L763" s="46"/>
      <c r="M763" s="47"/>
      <c r="N763" s="47"/>
      <c r="O763" s="47"/>
      <c r="P763" s="47"/>
    </row>
    <row r="764" spans="3:16" x14ac:dyDescent="0.2">
      <c r="C764" s="46"/>
      <c r="D764" s="47"/>
      <c r="E764" s="47"/>
      <c r="F764" s="47"/>
      <c r="G764" s="47"/>
      <c r="H764" s="47"/>
      <c r="I764" s="47"/>
      <c r="L764" s="46"/>
      <c r="M764" s="47"/>
      <c r="N764" s="47"/>
      <c r="O764" s="47"/>
      <c r="P764" s="47"/>
    </row>
    <row r="765" spans="3:16" x14ac:dyDescent="0.2">
      <c r="C765" s="46"/>
      <c r="D765" s="47"/>
      <c r="E765" s="47"/>
      <c r="F765" s="47"/>
      <c r="G765" s="47"/>
      <c r="H765" s="47"/>
      <c r="I765" s="47"/>
      <c r="L765" s="46"/>
      <c r="M765" s="47"/>
      <c r="N765" s="47"/>
      <c r="O765" s="47"/>
      <c r="P765" s="47"/>
    </row>
    <row r="766" spans="3:16" x14ac:dyDescent="0.2">
      <c r="C766" s="46"/>
      <c r="D766" s="47"/>
      <c r="E766" s="47"/>
      <c r="F766" s="47"/>
      <c r="G766" s="47"/>
      <c r="H766" s="47"/>
      <c r="I766" s="47"/>
      <c r="L766" s="46"/>
      <c r="M766" s="47"/>
      <c r="N766" s="47"/>
      <c r="O766" s="47"/>
      <c r="P766" s="47"/>
    </row>
    <row r="767" spans="3:16" x14ac:dyDescent="0.2">
      <c r="C767" s="46"/>
      <c r="D767" s="47"/>
      <c r="E767" s="47"/>
      <c r="F767" s="47"/>
      <c r="G767" s="47"/>
      <c r="H767" s="47"/>
      <c r="I767" s="47"/>
      <c r="L767" s="46"/>
      <c r="M767" s="47"/>
      <c r="N767" s="47"/>
      <c r="O767" s="47"/>
      <c r="P767" s="47"/>
    </row>
    <row r="768" spans="3:16" x14ac:dyDescent="0.2">
      <c r="C768" s="46"/>
      <c r="D768" s="47"/>
      <c r="E768" s="47"/>
      <c r="F768" s="47"/>
      <c r="G768" s="47"/>
      <c r="H768" s="47"/>
      <c r="I768" s="47"/>
      <c r="L768" s="46"/>
      <c r="M768" s="47"/>
      <c r="N768" s="47"/>
      <c r="O768" s="47"/>
      <c r="P768" s="47"/>
    </row>
    <row r="769" spans="3:16" x14ac:dyDescent="0.2">
      <c r="C769" s="46"/>
      <c r="D769" s="47"/>
      <c r="E769" s="47"/>
      <c r="F769" s="47"/>
      <c r="G769" s="47"/>
      <c r="H769" s="47"/>
      <c r="I769" s="47"/>
      <c r="L769" s="46"/>
      <c r="M769" s="47"/>
      <c r="N769" s="47"/>
      <c r="O769" s="47"/>
      <c r="P769" s="47"/>
    </row>
    <row r="770" spans="3:16" x14ac:dyDescent="0.2">
      <c r="C770" s="46"/>
      <c r="D770" s="47"/>
      <c r="E770" s="47"/>
      <c r="F770" s="47"/>
      <c r="G770" s="47"/>
      <c r="H770" s="47"/>
      <c r="I770" s="47"/>
      <c r="L770" s="46"/>
      <c r="M770" s="47"/>
      <c r="N770" s="47"/>
      <c r="O770" s="47"/>
      <c r="P770" s="47"/>
    </row>
    <row r="771" spans="3:16" x14ac:dyDescent="0.2">
      <c r="C771" s="46"/>
      <c r="D771" s="47"/>
      <c r="E771" s="47"/>
      <c r="F771" s="47"/>
      <c r="G771" s="47"/>
      <c r="H771" s="47"/>
      <c r="I771" s="47"/>
      <c r="L771" s="46"/>
      <c r="M771" s="47"/>
      <c r="N771" s="47"/>
      <c r="O771" s="47"/>
      <c r="P771" s="47"/>
    </row>
    <row r="772" spans="3:16" x14ac:dyDescent="0.2">
      <c r="C772" s="46"/>
      <c r="D772" s="47"/>
      <c r="E772" s="47"/>
      <c r="F772" s="47"/>
      <c r="G772" s="47"/>
      <c r="H772" s="47"/>
      <c r="I772" s="47"/>
      <c r="L772" s="46"/>
      <c r="M772" s="47"/>
      <c r="N772" s="47"/>
      <c r="O772" s="47"/>
      <c r="P772" s="47"/>
    </row>
    <row r="773" spans="3:16" x14ac:dyDescent="0.2">
      <c r="C773" s="46"/>
      <c r="D773" s="47"/>
      <c r="E773" s="47"/>
      <c r="F773" s="47"/>
      <c r="G773" s="47"/>
      <c r="H773" s="47"/>
      <c r="I773" s="47"/>
      <c r="L773" s="46"/>
      <c r="M773" s="47"/>
      <c r="N773" s="47"/>
      <c r="O773" s="47"/>
      <c r="P773" s="47"/>
    </row>
    <row r="774" spans="3:16" x14ac:dyDescent="0.2">
      <c r="C774" s="46"/>
      <c r="D774" s="47"/>
      <c r="E774" s="47"/>
      <c r="F774" s="47"/>
      <c r="G774" s="47"/>
      <c r="H774" s="47"/>
      <c r="I774" s="47"/>
      <c r="L774" s="46"/>
      <c r="M774" s="47"/>
      <c r="N774" s="47"/>
      <c r="O774" s="47"/>
      <c r="P774" s="47"/>
    </row>
    <row r="775" spans="3:16" x14ac:dyDescent="0.2">
      <c r="C775" s="46"/>
      <c r="D775" s="47"/>
      <c r="E775" s="47"/>
      <c r="F775" s="47"/>
      <c r="G775" s="47"/>
      <c r="H775" s="47"/>
      <c r="I775" s="47"/>
      <c r="L775" s="46"/>
      <c r="M775" s="47"/>
      <c r="N775" s="47"/>
      <c r="O775" s="47"/>
      <c r="P775" s="47"/>
    </row>
    <row r="776" spans="3:16" x14ac:dyDescent="0.2">
      <c r="C776" s="46"/>
      <c r="D776" s="47"/>
      <c r="E776" s="47"/>
      <c r="F776" s="47"/>
      <c r="G776" s="47"/>
      <c r="H776" s="47"/>
      <c r="I776" s="47"/>
      <c r="L776" s="46"/>
      <c r="M776" s="47"/>
      <c r="N776" s="47"/>
      <c r="O776" s="47"/>
      <c r="P776" s="47"/>
    </row>
    <row r="777" spans="3:16" x14ac:dyDescent="0.2">
      <c r="C777" s="46"/>
      <c r="D777" s="47"/>
      <c r="E777" s="47"/>
      <c r="F777" s="47"/>
      <c r="G777" s="47"/>
      <c r="H777" s="47"/>
      <c r="I777" s="47"/>
      <c r="L777" s="46"/>
      <c r="M777" s="47"/>
      <c r="N777" s="47"/>
      <c r="O777" s="47"/>
      <c r="P777" s="47"/>
    </row>
    <row r="778" spans="3:16" x14ac:dyDescent="0.2">
      <c r="C778" s="46"/>
      <c r="D778" s="47"/>
      <c r="E778" s="47"/>
      <c r="F778" s="47"/>
      <c r="G778" s="47"/>
      <c r="H778" s="47"/>
      <c r="I778" s="47"/>
      <c r="L778" s="46"/>
      <c r="M778" s="47"/>
      <c r="N778" s="47"/>
      <c r="O778" s="47"/>
      <c r="P778" s="47"/>
    </row>
    <row r="779" spans="3:16" x14ac:dyDescent="0.2">
      <c r="C779" s="46"/>
      <c r="D779" s="47"/>
      <c r="E779" s="47"/>
      <c r="F779" s="47"/>
      <c r="G779" s="47"/>
      <c r="H779" s="47"/>
      <c r="I779" s="47"/>
      <c r="L779" s="46"/>
      <c r="M779" s="47"/>
      <c r="N779" s="47"/>
      <c r="O779" s="47"/>
      <c r="P779" s="47"/>
    </row>
    <row r="780" spans="3:16" x14ac:dyDescent="0.2">
      <c r="C780" s="46"/>
      <c r="D780" s="47"/>
      <c r="E780" s="47"/>
      <c r="F780" s="47"/>
      <c r="G780" s="47"/>
      <c r="H780" s="47"/>
      <c r="I780" s="47"/>
      <c r="L780" s="46"/>
      <c r="M780" s="47"/>
      <c r="N780" s="47"/>
      <c r="O780" s="47"/>
      <c r="P780" s="47"/>
    </row>
    <row r="781" spans="3:16" x14ac:dyDescent="0.2">
      <c r="C781" s="46"/>
      <c r="D781" s="47"/>
      <c r="E781" s="47"/>
      <c r="F781" s="47"/>
      <c r="G781" s="47"/>
      <c r="H781" s="47"/>
      <c r="I781" s="47"/>
      <c r="L781" s="46"/>
      <c r="M781" s="47"/>
      <c r="N781" s="47"/>
      <c r="O781" s="47"/>
      <c r="P781" s="47"/>
    </row>
    <row r="782" spans="3:16" x14ac:dyDescent="0.2">
      <c r="C782" s="46"/>
      <c r="D782" s="47"/>
      <c r="E782" s="47"/>
      <c r="F782" s="47"/>
      <c r="G782" s="47"/>
      <c r="H782" s="47"/>
      <c r="I782" s="47"/>
      <c r="L782" s="46"/>
      <c r="M782" s="47"/>
      <c r="N782" s="47"/>
      <c r="O782" s="47"/>
      <c r="P782" s="47"/>
    </row>
    <row r="783" spans="3:16" x14ac:dyDescent="0.2">
      <c r="C783" s="46"/>
      <c r="D783" s="47"/>
      <c r="E783" s="47"/>
      <c r="F783" s="47"/>
      <c r="G783" s="47"/>
      <c r="H783" s="47"/>
      <c r="I783" s="47"/>
      <c r="L783" s="46"/>
      <c r="M783" s="47"/>
      <c r="N783" s="47"/>
      <c r="O783" s="47"/>
      <c r="P783" s="47"/>
    </row>
    <row r="784" spans="3:16" x14ac:dyDescent="0.2">
      <c r="C784" s="46"/>
      <c r="D784" s="47"/>
      <c r="E784" s="47"/>
      <c r="F784" s="47"/>
      <c r="G784" s="47"/>
      <c r="H784" s="47"/>
      <c r="I784" s="47"/>
      <c r="L784" s="46"/>
      <c r="M784" s="47"/>
      <c r="N784" s="47"/>
      <c r="O784" s="47"/>
      <c r="P784" s="47"/>
    </row>
    <row r="785" spans="3:16" x14ac:dyDescent="0.2">
      <c r="C785" s="46"/>
      <c r="D785" s="47"/>
      <c r="E785" s="47"/>
      <c r="F785" s="47"/>
      <c r="G785" s="47"/>
      <c r="H785" s="47"/>
      <c r="I785" s="47"/>
      <c r="L785" s="46"/>
      <c r="M785" s="47"/>
      <c r="N785" s="47"/>
      <c r="O785" s="47"/>
      <c r="P785" s="47"/>
    </row>
    <row r="786" spans="3:16" x14ac:dyDescent="0.2">
      <c r="C786" s="46"/>
      <c r="D786" s="47"/>
      <c r="E786" s="47"/>
      <c r="F786" s="47"/>
      <c r="G786" s="47"/>
      <c r="H786" s="47"/>
      <c r="I786" s="47"/>
      <c r="L786" s="46"/>
      <c r="M786" s="47"/>
      <c r="N786" s="47"/>
      <c r="O786" s="47"/>
      <c r="P786" s="47"/>
    </row>
    <row r="787" spans="3:16" x14ac:dyDescent="0.2">
      <c r="C787" s="46"/>
      <c r="D787" s="47"/>
      <c r="E787" s="47"/>
      <c r="F787" s="47"/>
      <c r="G787" s="47"/>
      <c r="H787" s="47"/>
      <c r="I787" s="47"/>
      <c r="L787" s="46"/>
      <c r="M787" s="47"/>
      <c r="N787" s="47"/>
      <c r="O787" s="47"/>
      <c r="P787" s="47"/>
    </row>
    <row r="788" spans="3:16" x14ac:dyDescent="0.2">
      <c r="C788" s="46"/>
      <c r="D788" s="47"/>
      <c r="E788" s="47"/>
      <c r="F788" s="47"/>
      <c r="G788" s="47"/>
      <c r="H788" s="47"/>
      <c r="I788" s="47"/>
      <c r="L788" s="46"/>
      <c r="M788" s="47"/>
      <c r="N788" s="47"/>
      <c r="O788" s="47"/>
      <c r="P788" s="47"/>
    </row>
    <row r="789" spans="3:16" x14ac:dyDescent="0.2">
      <c r="C789" s="46"/>
      <c r="D789" s="47"/>
      <c r="E789" s="47"/>
      <c r="F789" s="47"/>
      <c r="G789" s="47"/>
      <c r="H789" s="47"/>
      <c r="I789" s="47"/>
      <c r="L789" s="46"/>
      <c r="M789" s="47"/>
      <c r="N789" s="47"/>
      <c r="O789" s="47"/>
      <c r="P789" s="47"/>
    </row>
    <row r="790" spans="3:16" x14ac:dyDescent="0.2">
      <c r="C790" s="46"/>
      <c r="D790" s="47"/>
      <c r="E790" s="47"/>
      <c r="F790" s="47"/>
      <c r="G790" s="47"/>
      <c r="H790" s="47"/>
      <c r="I790" s="47"/>
      <c r="L790" s="46"/>
      <c r="M790" s="47"/>
      <c r="N790" s="47"/>
      <c r="O790" s="47"/>
      <c r="P790" s="47"/>
    </row>
    <row r="791" spans="3:16" x14ac:dyDescent="0.2">
      <c r="C791" s="46"/>
      <c r="D791" s="47"/>
      <c r="E791" s="47"/>
      <c r="F791" s="47"/>
      <c r="G791" s="47"/>
      <c r="H791" s="47"/>
      <c r="I791" s="47"/>
      <c r="L791" s="46"/>
      <c r="M791" s="47"/>
      <c r="N791" s="47"/>
      <c r="O791" s="47"/>
      <c r="P791" s="47"/>
    </row>
    <row r="792" spans="3:16" x14ac:dyDescent="0.2">
      <c r="C792" s="46"/>
      <c r="D792" s="47"/>
      <c r="E792" s="47"/>
      <c r="F792" s="47"/>
      <c r="G792" s="47"/>
      <c r="H792" s="47"/>
      <c r="I792" s="47"/>
      <c r="L792" s="46"/>
      <c r="M792" s="47"/>
      <c r="N792" s="47"/>
      <c r="O792" s="47"/>
      <c r="P792" s="47"/>
    </row>
    <row r="793" spans="3:16" x14ac:dyDescent="0.2">
      <c r="C793" s="46"/>
      <c r="D793" s="47"/>
      <c r="E793" s="47"/>
      <c r="F793" s="47"/>
      <c r="G793" s="47"/>
      <c r="H793" s="47"/>
      <c r="I793" s="47"/>
      <c r="L793" s="46"/>
      <c r="M793" s="47"/>
      <c r="N793" s="47"/>
      <c r="O793" s="47"/>
      <c r="P793" s="47"/>
    </row>
    <row r="794" spans="3:16" x14ac:dyDescent="0.2">
      <c r="C794" s="46"/>
      <c r="D794" s="47"/>
      <c r="E794" s="47"/>
      <c r="F794" s="47"/>
      <c r="G794" s="47"/>
      <c r="H794" s="47"/>
      <c r="I794" s="47"/>
      <c r="L794" s="46"/>
      <c r="M794" s="47"/>
      <c r="N794" s="47"/>
      <c r="O794" s="47"/>
      <c r="P794" s="47"/>
    </row>
    <row r="795" spans="3:16" x14ac:dyDescent="0.2">
      <c r="C795" s="46"/>
      <c r="D795" s="47"/>
      <c r="E795" s="47"/>
      <c r="F795" s="47"/>
      <c r="G795" s="47"/>
      <c r="H795" s="47"/>
      <c r="I795" s="47"/>
      <c r="L795" s="46"/>
      <c r="M795" s="47"/>
      <c r="N795" s="47"/>
      <c r="O795" s="47"/>
      <c r="P795" s="47"/>
    </row>
    <row r="796" spans="3:16" x14ac:dyDescent="0.2">
      <c r="C796" s="46"/>
      <c r="D796" s="47"/>
      <c r="E796" s="47"/>
      <c r="F796" s="47"/>
      <c r="G796" s="47"/>
      <c r="H796" s="47"/>
      <c r="I796" s="47"/>
      <c r="L796" s="46"/>
      <c r="M796" s="47"/>
      <c r="N796" s="47"/>
      <c r="O796" s="47"/>
      <c r="P796" s="47"/>
    </row>
    <row r="797" spans="3:16" x14ac:dyDescent="0.2">
      <c r="C797" s="46"/>
      <c r="D797" s="47"/>
      <c r="E797" s="47"/>
      <c r="F797" s="47"/>
      <c r="G797" s="47"/>
      <c r="H797" s="47"/>
      <c r="I797" s="47"/>
      <c r="L797" s="46"/>
      <c r="M797" s="47"/>
      <c r="N797" s="47"/>
      <c r="O797" s="47"/>
      <c r="P797" s="47"/>
    </row>
    <row r="798" spans="3:16" x14ac:dyDescent="0.2">
      <c r="C798" s="46"/>
      <c r="D798" s="47"/>
      <c r="E798" s="47"/>
      <c r="F798" s="47"/>
      <c r="G798" s="47"/>
      <c r="H798" s="47"/>
      <c r="I798" s="47"/>
      <c r="L798" s="46"/>
      <c r="M798" s="47"/>
      <c r="N798" s="47"/>
      <c r="O798" s="47"/>
      <c r="P798" s="47"/>
    </row>
    <row r="799" spans="3:16" x14ac:dyDescent="0.2">
      <c r="C799" s="46"/>
      <c r="D799" s="47"/>
      <c r="E799" s="47"/>
      <c r="F799" s="47"/>
      <c r="G799" s="47"/>
      <c r="H799" s="47"/>
      <c r="I799" s="47"/>
      <c r="L799" s="46"/>
      <c r="M799" s="47"/>
      <c r="N799" s="47"/>
      <c r="O799" s="47"/>
      <c r="P799" s="47"/>
    </row>
    <row r="800" spans="3:16" x14ac:dyDescent="0.2">
      <c r="C800" s="46"/>
      <c r="D800" s="47"/>
      <c r="E800" s="47"/>
      <c r="F800" s="47"/>
      <c r="G800" s="47"/>
      <c r="H800" s="47"/>
      <c r="I800" s="47"/>
      <c r="L800" s="46"/>
      <c r="M800" s="47"/>
      <c r="N800" s="47"/>
      <c r="O800" s="47"/>
      <c r="P800" s="47"/>
    </row>
    <row r="801" spans="3:16" x14ac:dyDescent="0.2">
      <c r="C801" s="46"/>
      <c r="D801" s="47"/>
      <c r="E801" s="47"/>
      <c r="F801" s="47"/>
      <c r="G801" s="47"/>
      <c r="H801" s="47"/>
      <c r="I801" s="47"/>
      <c r="L801" s="46"/>
      <c r="M801" s="47"/>
      <c r="N801" s="47"/>
      <c r="O801" s="47"/>
      <c r="P801" s="47"/>
    </row>
    <row r="802" spans="3:16" x14ac:dyDescent="0.2">
      <c r="C802" s="46"/>
      <c r="D802" s="47"/>
      <c r="E802" s="47"/>
      <c r="F802" s="47"/>
      <c r="G802" s="47"/>
      <c r="H802" s="47"/>
      <c r="I802" s="47"/>
      <c r="L802" s="46"/>
      <c r="M802" s="47"/>
      <c r="N802" s="47"/>
      <c r="O802" s="47"/>
      <c r="P802" s="47"/>
    </row>
    <row r="803" spans="3:16" x14ac:dyDescent="0.2">
      <c r="C803" s="46"/>
      <c r="D803" s="47"/>
      <c r="E803" s="47"/>
      <c r="F803" s="47"/>
      <c r="G803" s="47"/>
      <c r="H803" s="47"/>
      <c r="I803" s="47"/>
      <c r="L803" s="46"/>
      <c r="M803" s="47"/>
      <c r="N803" s="47"/>
      <c r="O803" s="47"/>
      <c r="P803" s="47"/>
    </row>
    <row r="804" spans="3:16" x14ac:dyDescent="0.2">
      <c r="C804" s="46"/>
      <c r="D804" s="47"/>
      <c r="E804" s="47"/>
      <c r="F804" s="47"/>
      <c r="G804" s="47"/>
      <c r="H804" s="47"/>
      <c r="I804" s="47"/>
      <c r="L804" s="46"/>
      <c r="M804" s="47"/>
      <c r="N804" s="47"/>
      <c r="O804" s="47"/>
      <c r="P804" s="47"/>
    </row>
    <row r="805" spans="3:16" x14ac:dyDescent="0.2">
      <c r="C805" s="46"/>
      <c r="D805" s="47"/>
      <c r="E805" s="47"/>
      <c r="F805" s="47"/>
      <c r="G805" s="47"/>
      <c r="H805" s="47"/>
      <c r="I805" s="47"/>
      <c r="L805" s="46"/>
      <c r="M805" s="47"/>
      <c r="N805" s="47"/>
      <c r="O805" s="47"/>
      <c r="P805" s="47"/>
    </row>
    <row r="806" spans="3:16" x14ac:dyDescent="0.2">
      <c r="C806" s="46"/>
      <c r="D806" s="47"/>
      <c r="E806" s="47"/>
      <c r="F806" s="47"/>
      <c r="G806" s="47"/>
      <c r="H806" s="47"/>
      <c r="I806" s="47"/>
      <c r="L806" s="46"/>
      <c r="M806" s="47"/>
      <c r="N806" s="47"/>
      <c r="O806" s="47"/>
      <c r="P806" s="47"/>
    </row>
    <row r="807" spans="3:16" x14ac:dyDescent="0.2">
      <c r="C807" s="46"/>
      <c r="D807" s="47"/>
      <c r="E807" s="47"/>
      <c r="F807" s="47"/>
      <c r="G807" s="47"/>
      <c r="H807" s="47"/>
      <c r="I807" s="47"/>
      <c r="L807" s="46"/>
      <c r="M807" s="47"/>
      <c r="N807" s="47"/>
      <c r="O807" s="47"/>
      <c r="P807" s="47"/>
    </row>
    <row r="808" spans="3:16" x14ac:dyDescent="0.2">
      <c r="C808" s="46"/>
      <c r="D808" s="47"/>
      <c r="E808" s="47"/>
      <c r="F808" s="47"/>
      <c r="G808" s="47"/>
      <c r="H808" s="47"/>
      <c r="I808" s="47"/>
      <c r="L808" s="46"/>
      <c r="M808" s="47"/>
      <c r="N808" s="47"/>
      <c r="O808" s="47"/>
      <c r="P808" s="47"/>
    </row>
    <row r="809" spans="3:16" x14ac:dyDescent="0.2">
      <c r="C809" s="46"/>
      <c r="D809" s="47"/>
      <c r="E809" s="47"/>
      <c r="F809" s="47"/>
      <c r="G809" s="47"/>
      <c r="H809" s="47"/>
      <c r="I809" s="47"/>
      <c r="L809" s="46"/>
      <c r="M809" s="47"/>
      <c r="N809" s="47"/>
      <c r="O809" s="47"/>
      <c r="P809" s="47"/>
    </row>
    <row r="810" spans="3:16" x14ac:dyDescent="0.2">
      <c r="C810" s="46"/>
      <c r="D810" s="47"/>
      <c r="E810" s="47"/>
      <c r="F810" s="47"/>
      <c r="G810" s="47"/>
      <c r="H810" s="47"/>
      <c r="I810" s="47"/>
      <c r="L810" s="46"/>
      <c r="M810" s="47"/>
      <c r="N810" s="47"/>
      <c r="O810" s="47"/>
      <c r="P810" s="47"/>
    </row>
    <row r="811" spans="3:16" x14ac:dyDescent="0.2">
      <c r="C811" s="46"/>
      <c r="D811" s="47"/>
      <c r="E811" s="47"/>
      <c r="F811" s="47"/>
      <c r="G811" s="47"/>
      <c r="H811" s="47"/>
      <c r="I811" s="47"/>
      <c r="L811" s="46"/>
      <c r="M811" s="47"/>
      <c r="N811" s="47"/>
      <c r="O811" s="47"/>
      <c r="P811" s="47"/>
    </row>
    <row r="812" spans="3:16" x14ac:dyDescent="0.2">
      <c r="C812" s="46"/>
      <c r="D812" s="47"/>
      <c r="E812" s="47"/>
      <c r="F812" s="47"/>
      <c r="G812" s="47"/>
      <c r="H812" s="47"/>
      <c r="I812" s="47"/>
      <c r="L812" s="46"/>
      <c r="M812" s="47"/>
      <c r="N812" s="47"/>
      <c r="O812" s="47"/>
      <c r="P812" s="47"/>
    </row>
    <row r="813" spans="3:16" x14ac:dyDescent="0.2">
      <c r="C813" s="46"/>
      <c r="D813" s="47"/>
      <c r="E813" s="47"/>
      <c r="F813" s="47"/>
      <c r="G813" s="47"/>
      <c r="H813" s="47"/>
      <c r="I813" s="47"/>
      <c r="L813" s="46"/>
      <c r="M813" s="47"/>
      <c r="N813" s="47"/>
      <c r="O813" s="47"/>
      <c r="P813" s="47"/>
    </row>
    <row r="814" spans="3:16" x14ac:dyDescent="0.2">
      <c r="C814" s="46"/>
      <c r="D814" s="47"/>
      <c r="E814" s="47"/>
      <c r="F814" s="47"/>
      <c r="G814" s="47"/>
      <c r="H814" s="47"/>
      <c r="I814" s="47"/>
      <c r="L814" s="46"/>
      <c r="M814" s="47"/>
      <c r="N814" s="47"/>
      <c r="O814" s="47"/>
      <c r="P814" s="47"/>
    </row>
    <row r="815" spans="3:16" x14ac:dyDescent="0.2">
      <c r="C815" s="46"/>
      <c r="D815" s="47"/>
      <c r="E815" s="47"/>
      <c r="F815" s="47"/>
      <c r="G815" s="47"/>
      <c r="H815" s="47"/>
      <c r="I815" s="47"/>
      <c r="L815" s="46"/>
      <c r="M815" s="47"/>
      <c r="N815" s="47"/>
      <c r="O815" s="47"/>
      <c r="P815" s="47"/>
    </row>
    <row r="816" spans="3:16" x14ac:dyDescent="0.2">
      <c r="C816" s="46"/>
      <c r="D816" s="47"/>
      <c r="E816" s="47"/>
      <c r="F816" s="47"/>
      <c r="G816" s="47"/>
      <c r="H816" s="47"/>
      <c r="I816" s="47"/>
      <c r="L816" s="46"/>
      <c r="M816" s="47"/>
      <c r="N816" s="47"/>
      <c r="O816" s="47"/>
      <c r="P816" s="47"/>
    </row>
    <row r="817" spans="3:16" x14ac:dyDescent="0.2">
      <c r="C817" s="46"/>
      <c r="D817" s="47"/>
      <c r="E817" s="47"/>
      <c r="F817" s="47"/>
      <c r="G817" s="47"/>
      <c r="H817" s="47"/>
      <c r="I817" s="47"/>
      <c r="L817" s="46"/>
      <c r="M817" s="47"/>
      <c r="N817" s="47"/>
      <c r="O817" s="47"/>
      <c r="P817" s="47"/>
    </row>
    <row r="818" spans="3:16" x14ac:dyDescent="0.2">
      <c r="C818" s="46"/>
      <c r="D818" s="47"/>
      <c r="E818" s="47"/>
      <c r="F818" s="47"/>
      <c r="G818" s="47"/>
      <c r="H818" s="47"/>
      <c r="I818" s="47"/>
      <c r="L818" s="46"/>
      <c r="M818" s="47"/>
      <c r="N818" s="47"/>
      <c r="O818" s="47"/>
      <c r="P818" s="47"/>
    </row>
    <row r="819" spans="3:16" x14ac:dyDescent="0.2">
      <c r="C819" s="46"/>
      <c r="D819" s="47"/>
      <c r="E819" s="47"/>
      <c r="F819" s="47"/>
      <c r="G819" s="47"/>
      <c r="H819" s="47"/>
      <c r="I819" s="47"/>
      <c r="L819" s="46"/>
      <c r="M819" s="47"/>
      <c r="N819" s="47"/>
      <c r="O819" s="47"/>
      <c r="P819" s="47"/>
    </row>
    <row r="820" spans="3:16" x14ac:dyDescent="0.2">
      <c r="C820" s="46"/>
      <c r="D820" s="47"/>
      <c r="E820" s="47"/>
      <c r="F820" s="47"/>
      <c r="G820" s="47"/>
      <c r="H820" s="47"/>
      <c r="I820" s="47"/>
      <c r="L820" s="46"/>
      <c r="M820" s="47"/>
      <c r="N820" s="47"/>
      <c r="O820" s="47"/>
      <c r="P820" s="47"/>
    </row>
    <row r="821" spans="3:16" x14ac:dyDescent="0.2">
      <c r="C821" s="46"/>
      <c r="D821" s="47"/>
      <c r="E821" s="47"/>
      <c r="F821" s="47"/>
      <c r="G821" s="47"/>
      <c r="H821" s="47"/>
      <c r="I821" s="47"/>
      <c r="L821" s="46"/>
      <c r="M821" s="47"/>
      <c r="N821" s="47"/>
      <c r="O821" s="47"/>
      <c r="P821" s="47"/>
    </row>
    <row r="822" spans="3:16" x14ac:dyDescent="0.2">
      <c r="C822" s="46"/>
      <c r="D822" s="47"/>
      <c r="E822" s="47"/>
      <c r="F822" s="47"/>
      <c r="G822" s="47"/>
      <c r="H822" s="47"/>
      <c r="I822" s="47"/>
      <c r="L822" s="46"/>
      <c r="M822" s="47"/>
      <c r="N822" s="47"/>
      <c r="O822" s="47"/>
      <c r="P822" s="47"/>
    </row>
    <row r="823" spans="3:16" x14ac:dyDescent="0.2">
      <c r="C823" s="46"/>
      <c r="D823" s="47"/>
      <c r="E823" s="47"/>
      <c r="F823" s="47"/>
      <c r="G823" s="47"/>
      <c r="H823" s="47"/>
      <c r="I823" s="47"/>
      <c r="L823" s="46"/>
      <c r="M823" s="47"/>
      <c r="N823" s="47"/>
      <c r="O823" s="47"/>
      <c r="P823" s="47"/>
    </row>
    <row r="824" spans="3:16" x14ac:dyDescent="0.2">
      <c r="C824" s="46"/>
      <c r="D824" s="47"/>
      <c r="E824" s="47"/>
      <c r="F824" s="47"/>
      <c r="G824" s="47"/>
      <c r="H824" s="47"/>
      <c r="I824" s="47"/>
      <c r="L824" s="46"/>
      <c r="M824" s="47"/>
      <c r="N824" s="47"/>
      <c r="O824" s="47"/>
      <c r="P824" s="47"/>
    </row>
    <row r="825" spans="3:16" x14ac:dyDescent="0.2">
      <c r="C825" s="46"/>
      <c r="D825" s="47"/>
      <c r="E825" s="47"/>
      <c r="F825" s="47"/>
      <c r="G825" s="47"/>
      <c r="H825" s="47"/>
      <c r="I825" s="47"/>
      <c r="L825" s="46"/>
      <c r="M825" s="47"/>
      <c r="N825" s="47"/>
      <c r="O825" s="47"/>
      <c r="P825" s="47"/>
    </row>
    <row r="826" spans="3:16" x14ac:dyDescent="0.2">
      <c r="C826" s="46"/>
      <c r="D826" s="47"/>
      <c r="E826" s="47"/>
      <c r="F826" s="47"/>
      <c r="G826" s="47"/>
      <c r="H826" s="47"/>
      <c r="I826" s="47"/>
      <c r="L826" s="46"/>
      <c r="M826" s="47"/>
      <c r="N826" s="47"/>
      <c r="O826" s="47"/>
      <c r="P826" s="47"/>
    </row>
    <row r="827" spans="3:16" x14ac:dyDescent="0.2">
      <c r="C827" s="46"/>
      <c r="D827" s="47"/>
      <c r="E827" s="47"/>
      <c r="F827" s="47"/>
      <c r="G827" s="47"/>
      <c r="H827" s="47"/>
      <c r="I827" s="47"/>
      <c r="L827" s="46"/>
      <c r="M827" s="47"/>
      <c r="N827" s="47"/>
      <c r="O827" s="47"/>
      <c r="P827" s="47"/>
    </row>
    <row r="828" spans="3:16" x14ac:dyDescent="0.2">
      <c r="C828" s="46"/>
      <c r="D828" s="47"/>
      <c r="E828" s="47"/>
      <c r="F828" s="47"/>
      <c r="G828" s="47"/>
      <c r="H828" s="47"/>
      <c r="I828" s="47"/>
      <c r="L828" s="46"/>
      <c r="M828" s="47"/>
      <c r="N828" s="47"/>
      <c r="O828" s="47"/>
      <c r="P828" s="47"/>
    </row>
    <row r="829" spans="3:16" x14ac:dyDescent="0.2">
      <c r="C829" s="46"/>
      <c r="D829" s="47"/>
      <c r="E829" s="47"/>
      <c r="F829" s="47"/>
      <c r="G829" s="47"/>
      <c r="H829" s="47"/>
      <c r="I829" s="47"/>
      <c r="L829" s="46"/>
      <c r="M829" s="47"/>
      <c r="N829" s="47"/>
      <c r="O829" s="47"/>
      <c r="P829" s="47"/>
    </row>
    <row r="830" spans="3:16" x14ac:dyDescent="0.2">
      <c r="C830" s="46"/>
      <c r="D830" s="47"/>
      <c r="E830" s="47"/>
      <c r="F830" s="47"/>
      <c r="G830" s="47"/>
      <c r="H830" s="47"/>
      <c r="I830" s="47"/>
      <c r="L830" s="46"/>
      <c r="M830" s="47"/>
      <c r="N830" s="47"/>
      <c r="O830" s="47"/>
      <c r="P830" s="47"/>
    </row>
    <row r="831" spans="3:16" x14ac:dyDescent="0.2">
      <c r="C831" s="46"/>
      <c r="D831" s="47"/>
      <c r="E831" s="47"/>
      <c r="F831" s="47"/>
      <c r="G831" s="47"/>
      <c r="H831" s="47"/>
      <c r="I831" s="47"/>
      <c r="L831" s="46"/>
      <c r="M831" s="47"/>
      <c r="N831" s="47"/>
      <c r="O831" s="47"/>
      <c r="P831" s="47"/>
    </row>
    <row r="832" spans="3:16" x14ac:dyDescent="0.2">
      <c r="C832" s="46"/>
      <c r="D832" s="47"/>
      <c r="E832" s="47"/>
      <c r="F832" s="47"/>
      <c r="G832" s="47"/>
      <c r="H832" s="47"/>
      <c r="I832" s="47"/>
      <c r="L832" s="46"/>
      <c r="M832" s="47"/>
      <c r="N832" s="47"/>
      <c r="O832" s="47"/>
      <c r="P832" s="47"/>
    </row>
    <row r="833" spans="3:16" x14ac:dyDescent="0.2">
      <c r="C833" s="46"/>
      <c r="D833" s="47"/>
      <c r="E833" s="47"/>
      <c r="F833" s="47"/>
      <c r="G833" s="47"/>
      <c r="H833" s="47"/>
      <c r="I833" s="47"/>
      <c r="L833" s="46"/>
      <c r="M833" s="47"/>
      <c r="N833" s="47"/>
      <c r="O833" s="47"/>
      <c r="P833" s="47"/>
    </row>
    <row r="834" spans="3:16" x14ac:dyDescent="0.2">
      <c r="C834" s="46"/>
      <c r="D834" s="47"/>
      <c r="E834" s="47"/>
      <c r="F834" s="47"/>
      <c r="G834" s="47"/>
      <c r="H834" s="47"/>
      <c r="I834" s="47"/>
      <c r="L834" s="46"/>
      <c r="M834" s="47"/>
      <c r="N834" s="47"/>
      <c r="O834" s="47"/>
      <c r="P834" s="47"/>
    </row>
    <row r="835" spans="3:16" x14ac:dyDescent="0.2">
      <c r="C835" s="46"/>
      <c r="D835" s="47"/>
      <c r="E835" s="47"/>
      <c r="F835" s="47"/>
      <c r="G835" s="47"/>
      <c r="H835" s="47"/>
      <c r="I835" s="47"/>
      <c r="L835" s="46"/>
      <c r="M835" s="47"/>
      <c r="N835" s="47"/>
      <c r="O835" s="47"/>
      <c r="P835" s="47"/>
    </row>
    <row r="836" spans="3:16" x14ac:dyDescent="0.2">
      <c r="C836" s="46"/>
      <c r="D836" s="47"/>
      <c r="E836" s="47"/>
      <c r="F836" s="47"/>
      <c r="G836" s="47"/>
      <c r="H836" s="47"/>
      <c r="I836" s="47"/>
      <c r="L836" s="46"/>
      <c r="M836" s="47"/>
      <c r="N836" s="47"/>
      <c r="O836" s="47"/>
      <c r="P836" s="47"/>
    </row>
    <row r="837" spans="3:16" x14ac:dyDescent="0.2">
      <c r="C837" s="46"/>
      <c r="D837" s="47"/>
      <c r="E837" s="47"/>
      <c r="F837" s="47"/>
      <c r="G837" s="47"/>
      <c r="H837" s="47"/>
      <c r="I837" s="47"/>
      <c r="L837" s="46"/>
      <c r="M837" s="47"/>
      <c r="N837" s="47"/>
      <c r="O837" s="47"/>
      <c r="P837" s="47"/>
    </row>
    <row r="838" spans="3:16" x14ac:dyDescent="0.2">
      <c r="C838" s="46"/>
      <c r="D838" s="47"/>
      <c r="E838" s="47"/>
      <c r="F838" s="47"/>
      <c r="G838" s="47"/>
      <c r="H838" s="47"/>
      <c r="I838" s="47"/>
      <c r="L838" s="46"/>
      <c r="M838" s="47"/>
      <c r="N838" s="47"/>
      <c r="O838" s="47"/>
      <c r="P838" s="47"/>
    </row>
    <row r="839" spans="3:16" x14ac:dyDescent="0.2">
      <c r="C839" s="46"/>
      <c r="D839" s="47"/>
      <c r="E839" s="47"/>
      <c r="F839" s="47"/>
      <c r="G839" s="47"/>
      <c r="H839" s="47"/>
      <c r="I839" s="47"/>
      <c r="L839" s="46"/>
      <c r="M839" s="47"/>
      <c r="N839" s="47"/>
      <c r="O839" s="47"/>
      <c r="P839" s="47"/>
    </row>
    <row r="840" spans="3:16" x14ac:dyDescent="0.2">
      <c r="C840" s="46"/>
      <c r="D840" s="47"/>
      <c r="E840" s="47"/>
      <c r="F840" s="47"/>
      <c r="G840" s="47"/>
      <c r="H840" s="47"/>
      <c r="I840" s="47"/>
      <c r="L840" s="46"/>
      <c r="M840" s="47"/>
      <c r="N840" s="47"/>
      <c r="O840" s="47"/>
      <c r="P840" s="47"/>
    </row>
    <row r="841" spans="3:16" x14ac:dyDescent="0.2">
      <c r="C841" s="46"/>
      <c r="D841" s="47"/>
      <c r="E841" s="47"/>
      <c r="F841" s="47"/>
      <c r="G841" s="47"/>
      <c r="H841" s="47"/>
      <c r="I841" s="47"/>
      <c r="L841" s="46"/>
      <c r="M841" s="47"/>
      <c r="N841" s="47"/>
      <c r="O841" s="47"/>
      <c r="P841" s="47"/>
    </row>
    <row r="842" spans="3:16" x14ac:dyDescent="0.2">
      <c r="C842" s="46"/>
      <c r="D842" s="47"/>
      <c r="E842" s="47"/>
      <c r="F842" s="47"/>
      <c r="G842" s="47"/>
      <c r="H842" s="47"/>
      <c r="I842" s="47"/>
      <c r="L842" s="46"/>
      <c r="M842" s="47"/>
      <c r="N842" s="47"/>
      <c r="O842" s="47"/>
      <c r="P842" s="47"/>
    </row>
    <row r="843" spans="3:16" x14ac:dyDescent="0.2">
      <c r="C843" s="46"/>
      <c r="D843" s="47"/>
      <c r="E843" s="47"/>
      <c r="F843" s="47"/>
      <c r="G843" s="47"/>
      <c r="H843" s="47"/>
      <c r="I843" s="47"/>
      <c r="L843" s="46"/>
      <c r="M843" s="47"/>
      <c r="N843" s="47"/>
      <c r="O843" s="47"/>
      <c r="P843" s="47"/>
    </row>
    <row r="844" spans="3:16" x14ac:dyDescent="0.2">
      <c r="C844" s="46"/>
      <c r="D844" s="47"/>
      <c r="E844" s="47"/>
      <c r="F844" s="47"/>
      <c r="G844" s="47"/>
      <c r="H844" s="47"/>
      <c r="I844" s="47"/>
      <c r="L844" s="46"/>
      <c r="M844" s="47"/>
      <c r="N844" s="47"/>
      <c r="O844" s="47"/>
      <c r="P844" s="47"/>
    </row>
    <row r="845" spans="3:16" x14ac:dyDescent="0.2">
      <c r="C845" s="46"/>
      <c r="D845" s="47"/>
      <c r="E845" s="47"/>
      <c r="F845" s="47"/>
      <c r="G845" s="47"/>
      <c r="H845" s="47"/>
      <c r="I845" s="47"/>
      <c r="L845" s="46"/>
      <c r="M845" s="47"/>
      <c r="N845" s="47"/>
      <c r="O845" s="47"/>
      <c r="P845" s="47"/>
    </row>
    <row r="846" spans="3:16" x14ac:dyDescent="0.2">
      <c r="C846" s="46"/>
      <c r="D846" s="47"/>
      <c r="E846" s="47"/>
      <c r="F846" s="47"/>
      <c r="G846" s="47"/>
      <c r="H846" s="47"/>
      <c r="I846" s="47"/>
      <c r="L846" s="46"/>
      <c r="M846" s="47"/>
      <c r="N846" s="47"/>
      <c r="O846" s="47"/>
      <c r="P846" s="47"/>
    </row>
    <row r="847" spans="3:16" x14ac:dyDescent="0.2">
      <c r="C847" s="46"/>
      <c r="D847" s="47"/>
      <c r="E847" s="47"/>
      <c r="F847" s="47"/>
      <c r="G847" s="47"/>
      <c r="H847" s="47"/>
      <c r="I847" s="47"/>
      <c r="L847" s="46"/>
      <c r="M847" s="47"/>
      <c r="N847" s="47"/>
      <c r="O847" s="47"/>
      <c r="P847" s="47"/>
    </row>
    <row r="848" spans="3:16" x14ac:dyDescent="0.2">
      <c r="C848" s="46"/>
      <c r="D848" s="47"/>
      <c r="E848" s="47"/>
      <c r="F848" s="47"/>
      <c r="G848" s="47"/>
      <c r="H848" s="47"/>
      <c r="I848" s="47"/>
      <c r="L848" s="46"/>
      <c r="M848" s="47"/>
      <c r="N848" s="47"/>
      <c r="O848" s="47"/>
      <c r="P848" s="47"/>
    </row>
    <row r="849" spans="3:16" x14ac:dyDescent="0.2">
      <c r="C849" s="46"/>
      <c r="D849" s="47"/>
      <c r="E849" s="47"/>
      <c r="F849" s="47"/>
      <c r="G849" s="47"/>
      <c r="H849" s="47"/>
      <c r="I849" s="47"/>
      <c r="L849" s="46"/>
      <c r="M849" s="47"/>
      <c r="N849" s="47"/>
      <c r="O849" s="47"/>
      <c r="P849" s="47"/>
    </row>
    <row r="850" spans="3:16" x14ac:dyDescent="0.2">
      <c r="C850" s="46"/>
      <c r="D850" s="47"/>
      <c r="E850" s="47"/>
      <c r="F850" s="47"/>
      <c r="G850" s="47"/>
      <c r="H850" s="47"/>
      <c r="I850" s="47"/>
      <c r="L850" s="46"/>
      <c r="M850" s="47"/>
      <c r="N850" s="47"/>
      <c r="O850" s="47"/>
      <c r="P850" s="47"/>
    </row>
    <row r="851" spans="3:16" x14ac:dyDescent="0.2">
      <c r="C851" s="46"/>
      <c r="D851" s="47"/>
      <c r="E851" s="47"/>
      <c r="F851" s="47"/>
      <c r="G851" s="47"/>
      <c r="H851" s="47"/>
      <c r="I851" s="47"/>
      <c r="L851" s="46"/>
      <c r="M851" s="47"/>
      <c r="N851" s="47"/>
      <c r="O851" s="47"/>
      <c r="P851" s="47"/>
    </row>
    <row r="852" spans="3:16" x14ac:dyDescent="0.2">
      <c r="C852" s="46"/>
      <c r="D852" s="47"/>
      <c r="E852" s="47"/>
      <c r="F852" s="47"/>
      <c r="G852" s="47"/>
      <c r="H852" s="47"/>
      <c r="I852" s="47"/>
      <c r="L852" s="46"/>
      <c r="M852" s="47"/>
      <c r="N852" s="47"/>
      <c r="O852" s="47"/>
      <c r="P852" s="47"/>
    </row>
    <row r="853" spans="3:16" x14ac:dyDescent="0.2">
      <c r="C853" s="46"/>
      <c r="D853" s="47"/>
      <c r="E853" s="47"/>
      <c r="F853" s="47"/>
      <c r="G853" s="47"/>
      <c r="H853" s="47"/>
      <c r="I853" s="47"/>
      <c r="L853" s="46"/>
      <c r="M853" s="47"/>
      <c r="N853" s="47"/>
      <c r="O853" s="47"/>
      <c r="P853" s="47"/>
    </row>
    <row r="854" spans="3:16" x14ac:dyDescent="0.2">
      <c r="C854" s="46"/>
      <c r="D854" s="47"/>
      <c r="E854" s="47"/>
      <c r="F854" s="47"/>
      <c r="G854" s="47"/>
      <c r="H854" s="47"/>
      <c r="I854" s="47"/>
      <c r="L854" s="46"/>
      <c r="M854" s="47"/>
      <c r="N854" s="47"/>
      <c r="O854" s="47"/>
      <c r="P854" s="47"/>
    </row>
    <row r="855" spans="3:16" x14ac:dyDescent="0.2">
      <c r="C855" s="46"/>
      <c r="D855" s="47"/>
      <c r="E855" s="47"/>
      <c r="F855" s="47"/>
      <c r="G855" s="47"/>
      <c r="H855" s="47"/>
      <c r="I855" s="47"/>
      <c r="L855" s="46"/>
      <c r="M855" s="47"/>
      <c r="N855" s="47"/>
      <c r="O855" s="47"/>
      <c r="P855" s="47"/>
    </row>
    <row r="856" spans="3:16" x14ac:dyDescent="0.2">
      <c r="C856" s="46"/>
      <c r="D856" s="47"/>
      <c r="E856" s="47"/>
      <c r="F856" s="47"/>
      <c r="G856" s="47"/>
      <c r="H856" s="47"/>
      <c r="I856" s="47"/>
      <c r="L856" s="46"/>
      <c r="M856" s="47"/>
      <c r="N856" s="47"/>
      <c r="O856" s="47"/>
      <c r="P856" s="47"/>
    </row>
    <row r="857" spans="3:16" x14ac:dyDescent="0.2">
      <c r="C857" s="46"/>
      <c r="D857" s="47"/>
      <c r="E857" s="47"/>
      <c r="F857" s="47"/>
      <c r="G857" s="47"/>
      <c r="H857" s="47"/>
      <c r="I857" s="47"/>
      <c r="L857" s="46"/>
      <c r="M857" s="47"/>
      <c r="N857" s="47"/>
      <c r="O857" s="47"/>
      <c r="P857" s="47"/>
    </row>
    <row r="858" spans="3:16" x14ac:dyDescent="0.2">
      <c r="C858" s="46"/>
      <c r="D858" s="47"/>
      <c r="E858" s="47"/>
      <c r="F858" s="47"/>
      <c r="G858" s="47"/>
      <c r="H858" s="47"/>
      <c r="I858" s="47"/>
      <c r="L858" s="46"/>
      <c r="M858" s="47"/>
      <c r="N858" s="47"/>
      <c r="O858" s="47"/>
      <c r="P858" s="47"/>
    </row>
    <row r="859" spans="3:16" x14ac:dyDescent="0.2">
      <c r="C859" s="46"/>
      <c r="D859" s="47"/>
      <c r="E859" s="47"/>
      <c r="F859" s="47"/>
      <c r="G859" s="47"/>
      <c r="H859" s="47"/>
      <c r="I859" s="47"/>
      <c r="L859" s="46"/>
      <c r="M859" s="47"/>
      <c r="N859" s="47"/>
      <c r="O859" s="47"/>
      <c r="P859" s="47"/>
    </row>
    <row r="860" spans="3:16" x14ac:dyDescent="0.2">
      <c r="C860" s="46"/>
      <c r="D860" s="47"/>
      <c r="E860" s="47"/>
      <c r="F860" s="47"/>
      <c r="G860" s="47"/>
      <c r="H860" s="47"/>
      <c r="I860" s="47"/>
      <c r="L860" s="46"/>
      <c r="M860" s="47"/>
      <c r="N860" s="47"/>
      <c r="O860" s="47"/>
      <c r="P860" s="47"/>
    </row>
    <row r="861" spans="3:16" x14ac:dyDescent="0.2">
      <c r="C861" s="46"/>
      <c r="D861" s="47"/>
      <c r="E861" s="47"/>
      <c r="F861" s="47"/>
      <c r="G861" s="47"/>
      <c r="H861" s="47"/>
      <c r="I861" s="47"/>
      <c r="L861" s="46"/>
      <c r="M861" s="47"/>
      <c r="N861" s="47"/>
      <c r="O861" s="47"/>
      <c r="P861" s="47"/>
    </row>
    <row r="862" spans="3:16" x14ac:dyDescent="0.2">
      <c r="C862" s="46"/>
      <c r="D862" s="47"/>
      <c r="E862" s="47"/>
      <c r="F862" s="47"/>
      <c r="G862" s="47"/>
      <c r="H862" s="47"/>
      <c r="I862" s="47"/>
      <c r="L862" s="46"/>
      <c r="M862" s="47"/>
      <c r="N862" s="47"/>
      <c r="O862" s="47"/>
      <c r="P862" s="47"/>
    </row>
    <row r="863" spans="3:16" x14ac:dyDescent="0.2">
      <c r="C863" s="46"/>
      <c r="D863" s="47"/>
      <c r="E863" s="47"/>
      <c r="F863" s="47"/>
      <c r="G863" s="47"/>
      <c r="H863" s="47"/>
      <c r="I863" s="47"/>
      <c r="L863" s="46"/>
      <c r="M863" s="47"/>
      <c r="N863" s="47"/>
      <c r="O863" s="47"/>
      <c r="P863" s="47"/>
    </row>
    <row r="864" spans="3:16" x14ac:dyDescent="0.2">
      <c r="C864" s="46"/>
      <c r="D864" s="47"/>
      <c r="E864" s="47"/>
      <c r="F864" s="47"/>
      <c r="G864" s="47"/>
      <c r="H864" s="47"/>
      <c r="I864" s="47"/>
      <c r="L864" s="46"/>
      <c r="M864" s="47"/>
      <c r="N864" s="47"/>
      <c r="O864" s="47"/>
      <c r="P864" s="47"/>
    </row>
    <row r="865" spans="3:16" x14ac:dyDescent="0.2">
      <c r="C865" s="46"/>
      <c r="D865" s="47"/>
      <c r="E865" s="47"/>
      <c r="F865" s="47"/>
      <c r="G865" s="47"/>
      <c r="H865" s="47"/>
      <c r="I865" s="47"/>
      <c r="L865" s="46"/>
      <c r="M865" s="47"/>
      <c r="N865" s="47"/>
      <c r="O865" s="47"/>
      <c r="P865" s="47"/>
    </row>
    <row r="866" spans="3:16" x14ac:dyDescent="0.2">
      <c r="C866" s="46"/>
      <c r="D866" s="47"/>
      <c r="E866" s="47"/>
      <c r="F866" s="47"/>
      <c r="G866" s="47"/>
      <c r="H866" s="47"/>
      <c r="I866" s="47"/>
      <c r="L866" s="46"/>
      <c r="M866" s="47"/>
      <c r="N866" s="47"/>
      <c r="O866" s="47"/>
      <c r="P866" s="47"/>
    </row>
    <row r="867" spans="3:16" x14ac:dyDescent="0.2">
      <c r="C867" s="46"/>
      <c r="D867" s="47"/>
      <c r="E867" s="47"/>
      <c r="F867" s="47"/>
      <c r="G867" s="47"/>
      <c r="H867" s="47"/>
      <c r="I867" s="47"/>
      <c r="L867" s="46"/>
      <c r="M867" s="47"/>
      <c r="N867" s="47"/>
      <c r="O867" s="47"/>
      <c r="P867" s="47"/>
    </row>
    <row r="868" spans="3:16" x14ac:dyDescent="0.2">
      <c r="C868" s="46"/>
      <c r="D868" s="47"/>
      <c r="E868" s="47"/>
      <c r="F868" s="47"/>
      <c r="G868" s="47"/>
      <c r="H868" s="47"/>
      <c r="I868" s="47"/>
      <c r="L868" s="46"/>
      <c r="M868" s="47"/>
      <c r="N868" s="47"/>
      <c r="O868" s="47"/>
      <c r="P868" s="47"/>
    </row>
    <row r="869" spans="3:16" x14ac:dyDescent="0.2">
      <c r="C869" s="46"/>
      <c r="D869" s="47"/>
      <c r="E869" s="47"/>
      <c r="F869" s="47"/>
      <c r="G869" s="47"/>
      <c r="H869" s="47"/>
      <c r="I869" s="47"/>
      <c r="L869" s="46"/>
      <c r="M869" s="47"/>
      <c r="N869" s="47"/>
      <c r="O869" s="47"/>
      <c r="P869" s="47"/>
    </row>
    <row r="870" spans="3:16" x14ac:dyDescent="0.2">
      <c r="C870" s="46"/>
      <c r="D870" s="47"/>
      <c r="E870" s="47"/>
      <c r="F870" s="47"/>
      <c r="G870" s="47"/>
      <c r="H870" s="47"/>
      <c r="I870" s="47"/>
      <c r="L870" s="46"/>
      <c r="M870" s="47"/>
      <c r="N870" s="47"/>
      <c r="O870" s="47"/>
      <c r="P870" s="47"/>
    </row>
    <row r="871" spans="3:16" x14ac:dyDescent="0.2">
      <c r="C871" s="46"/>
      <c r="D871" s="47"/>
      <c r="E871" s="47"/>
      <c r="F871" s="47"/>
      <c r="G871" s="47"/>
      <c r="H871" s="47"/>
      <c r="I871" s="47"/>
      <c r="L871" s="46"/>
      <c r="M871" s="47"/>
      <c r="N871" s="47"/>
      <c r="O871" s="47"/>
      <c r="P871" s="47"/>
    </row>
    <row r="872" spans="3:16" x14ac:dyDescent="0.2">
      <c r="C872" s="46"/>
      <c r="D872" s="47"/>
      <c r="E872" s="47"/>
      <c r="F872" s="47"/>
      <c r="G872" s="47"/>
      <c r="H872" s="47"/>
      <c r="I872" s="47"/>
      <c r="L872" s="46"/>
      <c r="M872" s="47"/>
      <c r="N872" s="47"/>
      <c r="O872" s="47"/>
      <c r="P872" s="47"/>
    </row>
    <row r="873" spans="3:16" x14ac:dyDescent="0.2">
      <c r="C873" s="46"/>
      <c r="D873" s="47"/>
      <c r="E873" s="47"/>
      <c r="F873" s="47"/>
      <c r="G873" s="47"/>
      <c r="H873" s="47"/>
      <c r="I873" s="47"/>
      <c r="L873" s="46"/>
      <c r="M873" s="47"/>
      <c r="N873" s="47"/>
      <c r="O873" s="47"/>
      <c r="P873" s="47"/>
    </row>
    <row r="874" spans="3:16" x14ac:dyDescent="0.2">
      <c r="C874" s="46"/>
      <c r="D874" s="47"/>
      <c r="E874" s="47"/>
      <c r="F874" s="47"/>
      <c r="G874" s="47"/>
      <c r="H874" s="47"/>
      <c r="I874" s="47"/>
      <c r="L874" s="46"/>
      <c r="M874" s="47"/>
      <c r="N874" s="47"/>
      <c r="O874" s="47"/>
      <c r="P874" s="47"/>
    </row>
    <row r="875" spans="3:16" x14ac:dyDescent="0.2">
      <c r="C875" s="46"/>
      <c r="D875" s="47"/>
      <c r="E875" s="47"/>
      <c r="F875" s="47"/>
      <c r="G875" s="47"/>
      <c r="H875" s="47"/>
      <c r="I875" s="47"/>
      <c r="L875" s="46"/>
      <c r="M875" s="47"/>
      <c r="N875" s="47"/>
      <c r="O875" s="47"/>
      <c r="P875" s="47"/>
    </row>
    <row r="876" spans="3:16" x14ac:dyDescent="0.2">
      <c r="C876" s="46"/>
      <c r="D876" s="47"/>
      <c r="E876" s="47"/>
      <c r="F876" s="47"/>
      <c r="G876" s="47"/>
      <c r="H876" s="47"/>
      <c r="I876" s="47"/>
      <c r="L876" s="46"/>
      <c r="M876" s="47"/>
      <c r="N876" s="47"/>
      <c r="O876" s="47"/>
      <c r="P876" s="47"/>
    </row>
    <row r="877" spans="3:16" x14ac:dyDescent="0.2">
      <c r="C877" s="46"/>
      <c r="D877" s="47"/>
      <c r="E877" s="47"/>
      <c r="F877" s="47"/>
      <c r="G877" s="47"/>
      <c r="H877" s="47"/>
      <c r="I877" s="47"/>
      <c r="L877" s="46"/>
      <c r="M877" s="47"/>
      <c r="N877" s="47"/>
      <c r="O877" s="47"/>
      <c r="P877" s="47"/>
    </row>
    <row r="878" spans="3:16" x14ac:dyDescent="0.2">
      <c r="C878" s="46"/>
      <c r="D878" s="47"/>
      <c r="E878" s="47"/>
      <c r="F878" s="47"/>
      <c r="G878" s="47"/>
      <c r="H878" s="47"/>
      <c r="I878" s="47"/>
      <c r="L878" s="46"/>
      <c r="M878" s="47"/>
      <c r="N878" s="47"/>
      <c r="O878" s="47"/>
      <c r="P878" s="47"/>
    </row>
    <row r="879" spans="3:16" x14ac:dyDescent="0.2">
      <c r="C879" s="46"/>
      <c r="D879" s="47"/>
      <c r="E879" s="47"/>
      <c r="F879" s="47"/>
      <c r="G879" s="47"/>
      <c r="H879" s="47"/>
      <c r="I879" s="47"/>
      <c r="L879" s="46"/>
      <c r="M879" s="47"/>
      <c r="N879" s="47"/>
      <c r="O879" s="47"/>
      <c r="P879" s="47"/>
    </row>
    <row r="880" spans="3:16" x14ac:dyDescent="0.2">
      <c r="C880" s="46"/>
      <c r="D880" s="47"/>
      <c r="E880" s="47"/>
      <c r="F880" s="47"/>
      <c r="G880" s="47"/>
      <c r="H880" s="47"/>
      <c r="I880" s="47"/>
      <c r="L880" s="46"/>
      <c r="M880" s="47"/>
      <c r="N880" s="47"/>
      <c r="O880" s="47"/>
      <c r="P880" s="47"/>
    </row>
    <row r="881" spans="3:16" x14ac:dyDescent="0.2">
      <c r="C881" s="46"/>
      <c r="D881" s="47"/>
      <c r="E881" s="47"/>
      <c r="F881" s="47"/>
      <c r="G881" s="47"/>
      <c r="H881" s="47"/>
      <c r="I881" s="47"/>
      <c r="L881" s="46"/>
      <c r="M881" s="47"/>
      <c r="N881" s="47"/>
      <c r="O881" s="47"/>
      <c r="P881" s="47"/>
    </row>
    <row r="882" spans="3:16" x14ac:dyDescent="0.2">
      <c r="C882" s="46"/>
      <c r="D882" s="47"/>
      <c r="E882" s="47"/>
      <c r="F882" s="47"/>
      <c r="G882" s="47"/>
      <c r="H882" s="47"/>
      <c r="I882" s="47"/>
      <c r="L882" s="46"/>
      <c r="M882" s="47"/>
      <c r="N882" s="47"/>
      <c r="O882" s="47"/>
      <c r="P882" s="47"/>
    </row>
    <row r="883" spans="3:16" x14ac:dyDescent="0.2">
      <c r="C883" s="46"/>
      <c r="D883" s="47"/>
      <c r="E883" s="47"/>
      <c r="F883" s="47"/>
      <c r="G883" s="47"/>
      <c r="H883" s="47"/>
      <c r="I883" s="47"/>
      <c r="L883" s="46"/>
      <c r="M883" s="47"/>
      <c r="N883" s="47"/>
      <c r="O883" s="47"/>
      <c r="P883" s="47"/>
    </row>
    <row r="884" spans="3:16" x14ac:dyDescent="0.2">
      <c r="C884" s="46"/>
      <c r="D884" s="47"/>
      <c r="E884" s="47"/>
      <c r="F884" s="47"/>
      <c r="G884" s="47"/>
      <c r="H884" s="47"/>
      <c r="I884" s="47"/>
      <c r="L884" s="46"/>
      <c r="M884" s="47"/>
      <c r="N884" s="47"/>
      <c r="O884" s="47"/>
      <c r="P884" s="47"/>
    </row>
    <row r="885" spans="3:16" x14ac:dyDescent="0.2">
      <c r="C885" s="46"/>
      <c r="D885" s="47"/>
      <c r="E885" s="47"/>
      <c r="F885" s="47"/>
      <c r="G885" s="47"/>
      <c r="H885" s="47"/>
      <c r="I885" s="47"/>
      <c r="L885" s="46"/>
      <c r="M885" s="47"/>
      <c r="N885" s="47"/>
      <c r="O885" s="47"/>
      <c r="P885" s="47"/>
    </row>
    <row r="886" spans="3:16" x14ac:dyDescent="0.2">
      <c r="C886" s="46"/>
      <c r="D886" s="47"/>
      <c r="E886" s="47"/>
      <c r="F886" s="47"/>
      <c r="G886" s="47"/>
      <c r="H886" s="47"/>
      <c r="I886" s="47"/>
      <c r="L886" s="46"/>
      <c r="M886" s="47"/>
      <c r="N886" s="47"/>
      <c r="O886" s="47"/>
      <c r="P886" s="47"/>
    </row>
    <row r="887" spans="3:16" x14ac:dyDescent="0.2">
      <c r="C887" s="46"/>
      <c r="D887" s="47"/>
      <c r="E887" s="47"/>
      <c r="F887" s="47"/>
      <c r="G887" s="47"/>
      <c r="H887" s="47"/>
      <c r="I887" s="47"/>
      <c r="L887" s="46"/>
      <c r="M887" s="47"/>
      <c r="N887" s="47"/>
      <c r="O887" s="47"/>
      <c r="P887" s="47"/>
    </row>
    <row r="888" spans="3:16" x14ac:dyDescent="0.2">
      <c r="C888" s="46"/>
      <c r="D888" s="47"/>
      <c r="E888" s="47"/>
      <c r="F888" s="47"/>
      <c r="G888" s="47"/>
      <c r="H888" s="47"/>
      <c r="I888" s="47"/>
      <c r="L888" s="46"/>
      <c r="M888" s="47"/>
      <c r="N888" s="47"/>
      <c r="O888" s="47"/>
      <c r="P888" s="47"/>
    </row>
    <row r="889" spans="3:16" x14ac:dyDescent="0.2">
      <c r="C889" s="46"/>
      <c r="D889" s="47"/>
      <c r="E889" s="47"/>
      <c r="F889" s="47"/>
      <c r="G889" s="47"/>
      <c r="H889" s="47"/>
      <c r="I889" s="47"/>
      <c r="L889" s="46"/>
      <c r="M889" s="47"/>
      <c r="N889" s="47"/>
      <c r="O889" s="47"/>
      <c r="P889" s="47"/>
    </row>
    <row r="890" spans="3:16" x14ac:dyDescent="0.2">
      <c r="C890" s="46"/>
      <c r="D890" s="47"/>
      <c r="E890" s="47"/>
      <c r="F890" s="47"/>
      <c r="G890" s="47"/>
      <c r="H890" s="47"/>
      <c r="I890" s="47"/>
      <c r="L890" s="46"/>
      <c r="M890" s="47"/>
      <c r="N890" s="47"/>
      <c r="O890" s="47"/>
      <c r="P890" s="47"/>
    </row>
    <row r="891" spans="3:16" x14ac:dyDescent="0.2">
      <c r="C891" s="46"/>
      <c r="D891" s="47"/>
      <c r="E891" s="47"/>
      <c r="F891" s="47"/>
      <c r="G891" s="47"/>
      <c r="H891" s="47"/>
      <c r="I891" s="47"/>
      <c r="L891" s="46"/>
      <c r="M891" s="47"/>
      <c r="N891" s="47"/>
      <c r="O891" s="47"/>
      <c r="P891" s="47"/>
    </row>
    <row r="892" spans="3:16" x14ac:dyDescent="0.2">
      <c r="C892" s="46"/>
      <c r="D892" s="47"/>
      <c r="E892" s="47"/>
      <c r="F892" s="47"/>
      <c r="G892" s="47"/>
      <c r="H892" s="47"/>
      <c r="I892" s="47"/>
      <c r="L892" s="46"/>
      <c r="M892" s="47"/>
      <c r="N892" s="47"/>
      <c r="O892" s="47"/>
      <c r="P892" s="47"/>
    </row>
    <row r="893" spans="3:16" x14ac:dyDescent="0.2">
      <c r="C893" s="46"/>
      <c r="D893" s="47"/>
      <c r="E893" s="47"/>
      <c r="F893" s="47"/>
      <c r="G893" s="47"/>
      <c r="H893" s="47"/>
      <c r="I893" s="47"/>
      <c r="L893" s="46"/>
      <c r="M893" s="47"/>
      <c r="N893" s="47"/>
      <c r="O893" s="47"/>
      <c r="P893" s="47"/>
    </row>
    <row r="894" spans="3:16" x14ac:dyDescent="0.2">
      <c r="C894" s="46"/>
      <c r="D894" s="47"/>
      <c r="E894" s="47"/>
      <c r="F894" s="47"/>
      <c r="G894" s="47"/>
      <c r="H894" s="47"/>
      <c r="I894" s="47"/>
      <c r="L894" s="46"/>
      <c r="M894" s="47"/>
      <c r="N894" s="47"/>
      <c r="O894" s="47"/>
      <c r="P894" s="47"/>
    </row>
    <row r="895" spans="3:16" x14ac:dyDescent="0.2">
      <c r="C895" s="46"/>
      <c r="D895" s="47"/>
      <c r="E895" s="47"/>
      <c r="F895" s="47"/>
      <c r="G895" s="47"/>
      <c r="H895" s="47"/>
      <c r="I895" s="47"/>
      <c r="L895" s="46"/>
      <c r="M895" s="47"/>
      <c r="N895" s="47"/>
      <c r="O895" s="47"/>
      <c r="P895" s="47"/>
    </row>
    <row r="896" spans="3:16" x14ac:dyDescent="0.2">
      <c r="C896" s="46"/>
      <c r="D896" s="47"/>
      <c r="E896" s="47"/>
      <c r="F896" s="47"/>
      <c r="G896" s="47"/>
      <c r="H896" s="47"/>
      <c r="I896" s="47"/>
      <c r="L896" s="46"/>
      <c r="M896" s="47"/>
      <c r="N896" s="47"/>
      <c r="O896" s="47"/>
      <c r="P896" s="47"/>
    </row>
    <row r="897" spans="3:16" x14ac:dyDescent="0.2">
      <c r="C897" s="46"/>
      <c r="D897" s="47"/>
      <c r="E897" s="47"/>
      <c r="F897" s="47"/>
      <c r="G897" s="47"/>
      <c r="H897" s="47"/>
      <c r="I897" s="47"/>
      <c r="L897" s="46"/>
      <c r="M897" s="47"/>
      <c r="N897" s="47"/>
      <c r="O897" s="47"/>
      <c r="P897" s="47"/>
    </row>
    <row r="898" spans="3:16" x14ac:dyDescent="0.2">
      <c r="C898" s="46"/>
      <c r="D898" s="47"/>
      <c r="E898" s="47"/>
      <c r="F898" s="47"/>
      <c r="G898" s="47"/>
      <c r="H898" s="47"/>
      <c r="I898" s="47"/>
      <c r="L898" s="46"/>
      <c r="M898" s="47"/>
      <c r="N898" s="47"/>
      <c r="O898" s="47"/>
      <c r="P898" s="47"/>
    </row>
    <row r="899" spans="3:16" x14ac:dyDescent="0.2">
      <c r="C899" s="46"/>
      <c r="D899" s="47"/>
      <c r="E899" s="47"/>
      <c r="F899" s="47"/>
      <c r="G899" s="47"/>
      <c r="H899" s="47"/>
      <c r="I899" s="47"/>
      <c r="L899" s="46"/>
      <c r="M899" s="47"/>
      <c r="N899" s="47"/>
      <c r="O899" s="47"/>
      <c r="P899" s="47"/>
    </row>
    <row r="900" spans="3:16" x14ac:dyDescent="0.2">
      <c r="C900" s="46"/>
      <c r="D900" s="47"/>
      <c r="E900" s="47"/>
      <c r="F900" s="47"/>
      <c r="G900" s="47"/>
      <c r="H900" s="47"/>
      <c r="I900" s="47"/>
      <c r="L900" s="46"/>
      <c r="M900" s="47"/>
      <c r="N900" s="47"/>
      <c r="O900" s="47"/>
      <c r="P900" s="47"/>
    </row>
    <row r="901" spans="3:16" x14ac:dyDescent="0.2">
      <c r="C901" s="46"/>
      <c r="D901" s="47"/>
      <c r="E901" s="47"/>
      <c r="F901" s="47"/>
      <c r="G901" s="47"/>
      <c r="H901" s="47"/>
      <c r="I901" s="47"/>
      <c r="L901" s="46"/>
      <c r="M901" s="47"/>
      <c r="N901" s="47"/>
      <c r="O901" s="47"/>
      <c r="P901" s="47"/>
    </row>
    <row r="902" spans="3:16" x14ac:dyDescent="0.2">
      <c r="C902" s="46"/>
      <c r="D902" s="47"/>
      <c r="E902" s="47"/>
      <c r="F902" s="47"/>
      <c r="G902" s="47"/>
      <c r="H902" s="47"/>
      <c r="I902" s="47"/>
      <c r="L902" s="46"/>
      <c r="M902" s="47"/>
      <c r="N902" s="47"/>
      <c r="O902" s="47"/>
      <c r="P902" s="47"/>
    </row>
    <row r="903" spans="3:16" x14ac:dyDescent="0.2">
      <c r="C903" s="46"/>
      <c r="D903" s="47"/>
      <c r="E903" s="47"/>
      <c r="F903" s="47"/>
      <c r="G903" s="47"/>
      <c r="H903" s="47"/>
      <c r="I903" s="47"/>
      <c r="L903" s="46"/>
      <c r="M903" s="47"/>
      <c r="N903" s="47"/>
      <c r="O903" s="47"/>
      <c r="P903" s="47"/>
    </row>
    <row r="904" spans="3:16" x14ac:dyDescent="0.2">
      <c r="C904" s="46"/>
      <c r="D904" s="47"/>
      <c r="E904" s="47"/>
      <c r="F904" s="47"/>
      <c r="G904" s="47"/>
      <c r="H904" s="47"/>
      <c r="I904" s="47"/>
      <c r="L904" s="46"/>
      <c r="M904" s="47"/>
      <c r="N904" s="47"/>
      <c r="O904" s="47"/>
      <c r="P904" s="47"/>
    </row>
    <row r="905" spans="3:16" x14ac:dyDescent="0.2">
      <c r="C905" s="46"/>
      <c r="D905" s="47"/>
      <c r="E905" s="47"/>
      <c r="F905" s="47"/>
      <c r="G905" s="47"/>
      <c r="H905" s="47"/>
      <c r="I905" s="47"/>
      <c r="L905" s="46"/>
      <c r="M905" s="47"/>
      <c r="N905" s="47"/>
      <c r="O905" s="47"/>
      <c r="P905" s="47"/>
    </row>
    <row r="906" spans="3:16" x14ac:dyDescent="0.2">
      <c r="C906" s="46"/>
      <c r="D906" s="47"/>
      <c r="E906" s="47"/>
      <c r="F906" s="47"/>
      <c r="G906" s="47"/>
      <c r="H906" s="47"/>
      <c r="I906" s="47"/>
      <c r="L906" s="46"/>
      <c r="M906" s="47"/>
      <c r="N906" s="47"/>
      <c r="O906" s="47"/>
      <c r="P906" s="47"/>
    </row>
    <row r="907" spans="3:16" x14ac:dyDescent="0.2">
      <c r="C907" s="46"/>
      <c r="D907" s="47"/>
      <c r="E907" s="47"/>
      <c r="F907" s="47"/>
      <c r="G907" s="47"/>
      <c r="H907" s="47"/>
      <c r="I907" s="47"/>
      <c r="L907" s="46"/>
      <c r="M907" s="47"/>
      <c r="N907" s="47"/>
      <c r="O907" s="47"/>
      <c r="P907" s="47"/>
    </row>
    <row r="908" spans="3:16" x14ac:dyDescent="0.2">
      <c r="C908" s="46"/>
      <c r="D908" s="47"/>
      <c r="E908" s="47"/>
      <c r="F908" s="47"/>
      <c r="G908" s="47"/>
      <c r="H908" s="47"/>
      <c r="I908" s="47"/>
      <c r="L908" s="46"/>
      <c r="M908" s="47"/>
      <c r="N908" s="47"/>
      <c r="O908" s="47"/>
      <c r="P908" s="47"/>
    </row>
    <row r="909" spans="3:16" x14ac:dyDescent="0.2">
      <c r="C909" s="46"/>
      <c r="D909" s="47"/>
      <c r="E909" s="47"/>
      <c r="F909" s="47"/>
      <c r="G909" s="47"/>
      <c r="H909" s="47"/>
      <c r="I909" s="47"/>
      <c r="L909" s="46"/>
      <c r="M909" s="47"/>
      <c r="N909" s="47"/>
      <c r="O909" s="47"/>
      <c r="P909" s="47"/>
    </row>
    <row r="910" spans="3:16" x14ac:dyDescent="0.2">
      <c r="C910" s="46"/>
      <c r="D910" s="47"/>
      <c r="E910" s="47"/>
      <c r="F910" s="47"/>
      <c r="G910" s="47"/>
      <c r="H910" s="47"/>
      <c r="I910" s="47"/>
      <c r="L910" s="46"/>
      <c r="M910" s="47"/>
      <c r="N910" s="47"/>
      <c r="O910" s="47"/>
      <c r="P910" s="47"/>
    </row>
    <row r="911" spans="3:16" x14ac:dyDescent="0.2">
      <c r="C911" s="46"/>
      <c r="D911" s="47"/>
      <c r="E911" s="47"/>
      <c r="F911" s="47"/>
      <c r="G911" s="47"/>
      <c r="H911" s="47"/>
      <c r="I911" s="47"/>
      <c r="L911" s="46"/>
      <c r="M911" s="47"/>
      <c r="N911" s="47"/>
      <c r="O911" s="47"/>
      <c r="P911" s="47"/>
    </row>
    <row r="912" spans="3:16" x14ac:dyDescent="0.2">
      <c r="C912" s="46"/>
      <c r="D912" s="47"/>
      <c r="E912" s="47"/>
      <c r="F912" s="47"/>
      <c r="G912" s="47"/>
      <c r="H912" s="47"/>
      <c r="I912" s="47"/>
      <c r="L912" s="46"/>
      <c r="M912" s="47"/>
      <c r="N912" s="47"/>
      <c r="O912" s="47"/>
      <c r="P912" s="47"/>
    </row>
    <row r="913" spans="3:16" x14ac:dyDescent="0.2">
      <c r="C913" s="46"/>
      <c r="D913" s="47"/>
      <c r="E913" s="47"/>
      <c r="F913" s="47"/>
      <c r="G913" s="47"/>
      <c r="H913" s="47"/>
      <c r="I913" s="47"/>
      <c r="L913" s="46"/>
      <c r="M913" s="47"/>
      <c r="N913" s="47"/>
      <c r="O913" s="47"/>
      <c r="P913" s="47"/>
    </row>
    <row r="914" spans="3:16" x14ac:dyDescent="0.2">
      <c r="C914" s="46"/>
      <c r="D914" s="47"/>
      <c r="E914" s="47"/>
      <c r="F914" s="47"/>
      <c r="G914" s="47"/>
      <c r="H914" s="47"/>
      <c r="I914" s="47"/>
      <c r="L914" s="46"/>
      <c r="M914" s="47"/>
      <c r="N914" s="47"/>
      <c r="O914" s="47"/>
      <c r="P914" s="47"/>
    </row>
    <row r="915" spans="3:16" x14ac:dyDescent="0.2">
      <c r="C915" s="46"/>
      <c r="D915" s="47"/>
      <c r="E915" s="47"/>
      <c r="F915" s="47"/>
      <c r="G915" s="47"/>
      <c r="H915" s="47"/>
      <c r="I915" s="47"/>
      <c r="L915" s="46"/>
      <c r="M915" s="47"/>
      <c r="N915" s="47"/>
      <c r="O915" s="47"/>
      <c r="P915" s="47"/>
    </row>
    <row r="916" spans="3:16" x14ac:dyDescent="0.2">
      <c r="C916" s="46"/>
      <c r="D916" s="47"/>
      <c r="E916" s="47"/>
      <c r="F916" s="47"/>
      <c r="G916" s="47"/>
      <c r="H916" s="47"/>
      <c r="I916" s="47"/>
      <c r="L916" s="46"/>
      <c r="M916" s="47"/>
      <c r="N916" s="47"/>
      <c r="O916" s="47"/>
      <c r="P916" s="47"/>
    </row>
    <row r="917" spans="3:16" x14ac:dyDescent="0.2">
      <c r="C917" s="46"/>
      <c r="D917" s="47"/>
      <c r="E917" s="47"/>
      <c r="F917" s="47"/>
      <c r="G917" s="47"/>
      <c r="H917" s="47"/>
      <c r="I917" s="47"/>
      <c r="L917" s="46"/>
      <c r="M917" s="47"/>
      <c r="N917" s="47"/>
      <c r="O917" s="47"/>
      <c r="P917" s="47"/>
    </row>
    <row r="918" spans="3:16" x14ac:dyDescent="0.2">
      <c r="C918" s="46"/>
      <c r="D918" s="47"/>
      <c r="E918" s="47"/>
      <c r="F918" s="47"/>
      <c r="G918" s="47"/>
      <c r="H918" s="47"/>
      <c r="I918" s="47"/>
      <c r="L918" s="46"/>
      <c r="M918" s="47"/>
      <c r="N918" s="47"/>
      <c r="O918" s="47"/>
      <c r="P918" s="47"/>
    </row>
    <row r="919" spans="3:16" x14ac:dyDescent="0.2">
      <c r="C919" s="46"/>
      <c r="D919" s="47"/>
      <c r="E919" s="47"/>
      <c r="F919" s="47"/>
      <c r="G919" s="47"/>
      <c r="H919" s="47"/>
      <c r="I919" s="47"/>
      <c r="L919" s="46"/>
      <c r="M919" s="47"/>
      <c r="N919" s="47"/>
      <c r="O919" s="47"/>
      <c r="P919" s="47"/>
    </row>
    <row r="920" spans="3:16" x14ac:dyDescent="0.2">
      <c r="C920" s="46"/>
      <c r="D920" s="47"/>
      <c r="E920" s="47"/>
      <c r="F920" s="47"/>
      <c r="G920" s="47"/>
      <c r="H920" s="47"/>
      <c r="I920" s="47"/>
      <c r="L920" s="46"/>
      <c r="M920" s="47"/>
      <c r="N920" s="47"/>
      <c r="O920" s="47"/>
      <c r="P920" s="47"/>
    </row>
    <row r="921" spans="3:16" x14ac:dyDescent="0.2">
      <c r="C921" s="46"/>
      <c r="D921" s="47"/>
      <c r="E921" s="47"/>
      <c r="F921" s="47"/>
      <c r="G921" s="47"/>
      <c r="H921" s="47"/>
      <c r="I921" s="47"/>
      <c r="L921" s="46"/>
      <c r="M921" s="47"/>
      <c r="N921" s="47"/>
      <c r="O921" s="47"/>
      <c r="P921" s="47"/>
    </row>
    <row r="922" spans="3:16" x14ac:dyDescent="0.2">
      <c r="C922" s="46"/>
      <c r="D922" s="47"/>
      <c r="E922" s="47"/>
      <c r="F922" s="47"/>
      <c r="G922" s="47"/>
      <c r="H922" s="47"/>
      <c r="I922" s="47"/>
      <c r="L922" s="46"/>
      <c r="M922" s="47"/>
      <c r="N922" s="47"/>
      <c r="O922" s="47"/>
      <c r="P922" s="47"/>
    </row>
    <row r="923" spans="3:16" x14ac:dyDescent="0.2">
      <c r="C923" s="46"/>
      <c r="D923" s="47"/>
      <c r="E923" s="47"/>
      <c r="F923" s="47"/>
      <c r="G923" s="47"/>
      <c r="H923" s="47"/>
      <c r="I923" s="47"/>
      <c r="L923" s="46"/>
      <c r="M923" s="47"/>
      <c r="N923" s="47"/>
      <c r="O923" s="47"/>
      <c r="P923" s="47"/>
    </row>
    <row r="924" spans="3:16" x14ac:dyDescent="0.2">
      <c r="C924" s="46"/>
      <c r="D924" s="47"/>
      <c r="E924" s="47"/>
      <c r="F924" s="47"/>
      <c r="G924" s="47"/>
      <c r="H924" s="47"/>
      <c r="I924" s="47"/>
      <c r="L924" s="46"/>
      <c r="M924" s="47"/>
      <c r="N924" s="47"/>
      <c r="O924" s="47"/>
      <c r="P924" s="47"/>
    </row>
    <row r="925" spans="3:16" x14ac:dyDescent="0.2">
      <c r="C925" s="46"/>
      <c r="D925" s="47"/>
      <c r="E925" s="47"/>
      <c r="F925" s="47"/>
      <c r="G925" s="47"/>
      <c r="H925" s="47"/>
      <c r="I925" s="47"/>
      <c r="L925" s="46"/>
      <c r="M925" s="47"/>
      <c r="N925" s="47"/>
      <c r="O925" s="47"/>
      <c r="P925" s="47"/>
    </row>
    <row r="926" spans="3:16" x14ac:dyDescent="0.2">
      <c r="C926" s="46"/>
      <c r="D926" s="47"/>
      <c r="E926" s="47"/>
      <c r="F926" s="47"/>
      <c r="G926" s="47"/>
      <c r="H926" s="47"/>
      <c r="I926" s="47"/>
      <c r="L926" s="46"/>
      <c r="M926" s="47"/>
      <c r="N926" s="47"/>
      <c r="O926" s="47"/>
      <c r="P926" s="47"/>
    </row>
    <row r="927" spans="3:16" x14ac:dyDescent="0.2">
      <c r="C927" s="46"/>
      <c r="D927" s="47"/>
      <c r="E927" s="47"/>
      <c r="F927" s="47"/>
      <c r="G927" s="47"/>
      <c r="H927" s="47"/>
      <c r="I927" s="47"/>
      <c r="L927" s="46"/>
      <c r="M927" s="47"/>
      <c r="N927" s="47"/>
      <c r="O927" s="47"/>
      <c r="P927" s="47"/>
    </row>
    <row r="928" spans="3:16" x14ac:dyDescent="0.2">
      <c r="C928" s="46"/>
      <c r="D928" s="47"/>
      <c r="E928" s="47"/>
      <c r="F928" s="47"/>
      <c r="G928" s="47"/>
      <c r="H928" s="47"/>
      <c r="I928" s="47"/>
      <c r="L928" s="46"/>
      <c r="M928" s="47"/>
      <c r="N928" s="47"/>
      <c r="O928" s="47"/>
      <c r="P928" s="47"/>
    </row>
    <row r="929" spans="3:16" x14ac:dyDescent="0.2">
      <c r="C929" s="46"/>
      <c r="D929" s="47"/>
      <c r="E929" s="47"/>
      <c r="F929" s="47"/>
      <c r="G929" s="47"/>
      <c r="H929" s="47"/>
      <c r="I929" s="47"/>
      <c r="L929" s="46"/>
      <c r="M929" s="47"/>
      <c r="N929" s="47"/>
      <c r="O929" s="47"/>
      <c r="P929" s="47"/>
    </row>
    <row r="930" spans="3:16" x14ac:dyDescent="0.2">
      <c r="C930" s="46"/>
      <c r="D930" s="47"/>
      <c r="E930" s="47"/>
      <c r="F930" s="47"/>
      <c r="G930" s="47"/>
      <c r="H930" s="47"/>
      <c r="I930" s="47"/>
      <c r="L930" s="46"/>
      <c r="M930" s="47"/>
      <c r="N930" s="47"/>
      <c r="O930" s="47"/>
      <c r="P930" s="47"/>
    </row>
    <row r="931" spans="3:16" x14ac:dyDescent="0.2">
      <c r="C931" s="46"/>
      <c r="D931" s="47"/>
      <c r="E931" s="47"/>
      <c r="F931" s="47"/>
      <c r="G931" s="47"/>
      <c r="H931" s="47"/>
      <c r="I931" s="47"/>
      <c r="L931" s="46"/>
      <c r="M931" s="47"/>
      <c r="N931" s="47"/>
      <c r="O931" s="47"/>
      <c r="P931" s="47"/>
    </row>
    <row r="932" spans="3:16" x14ac:dyDescent="0.2">
      <c r="C932" s="46"/>
      <c r="D932" s="47"/>
      <c r="E932" s="47"/>
      <c r="F932" s="47"/>
      <c r="G932" s="47"/>
      <c r="H932" s="47"/>
      <c r="I932" s="47"/>
      <c r="L932" s="46"/>
      <c r="M932" s="47"/>
      <c r="N932" s="47"/>
      <c r="O932" s="47"/>
      <c r="P932" s="47"/>
    </row>
    <row r="933" spans="3:16" x14ac:dyDescent="0.2">
      <c r="C933" s="46"/>
      <c r="D933" s="47"/>
      <c r="E933" s="47"/>
      <c r="F933" s="47"/>
      <c r="G933" s="47"/>
      <c r="H933" s="47"/>
      <c r="I933" s="47"/>
      <c r="L933" s="46"/>
      <c r="M933" s="47"/>
      <c r="N933" s="47"/>
      <c r="O933" s="47"/>
      <c r="P933" s="47"/>
    </row>
    <row r="934" spans="3:16" x14ac:dyDescent="0.2">
      <c r="C934" s="46"/>
      <c r="D934" s="47"/>
      <c r="E934" s="47"/>
      <c r="F934" s="47"/>
      <c r="G934" s="47"/>
      <c r="H934" s="47"/>
      <c r="I934" s="47"/>
      <c r="L934" s="46"/>
      <c r="M934" s="47"/>
      <c r="N934" s="47"/>
      <c r="O934" s="47"/>
      <c r="P934" s="47"/>
    </row>
    <row r="935" spans="3:16" x14ac:dyDescent="0.2">
      <c r="C935" s="46"/>
      <c r="D935" s="47"/>
      <c r="E935" s="47"/>
      <c r="F935" s="47"/>
      <c r="G935" s="47"/>
      <c r="H935" s="47"/>
      <c r="I935" s="47"/>
      <c r="L935" s="46"/>
      <c r="M935" s="47"/>
      <c r="N935" s="47"/>
      <c r="O935" s="47"/>
      <c r="P935" s="47"/>
    </row>
    <row r="936" spans="3:16" x14ac:dyDescent="0.2">
      <c r="C936" s="46"/>
      <c r="D936" s="47"/>
      <c r="E936" s="47"/>
      <c r="F936" s="47"/>
      <c r="G936" s="47"/>
      <c r="H936" s="47"/>
      <c r="I936" s="47"/>
      <c r="L936" s="46"/>
      <c r="M936" s="47"/>
      <c r="N936" s="47"/>
      <c r="O936" s="47"/>
      <c r="P936" s="47"/>
    </row>
    <row r="937" spans="3:16" x14ac:dyDescent="0.2">
      <c r="C937" s="46"/>
      <c r="D937" s="47"/>
      <c r="E937" s="47"/>
      <c r="F937" s="47"/>
      <c r="G937" s="47"/>
      <c r="H937" s="47"/>
      <c r="I937" s="47"/>
      <c r="L937" s="46"/>
      <c r="M937" s="47"/>
      <c r="N937" s="47"/>
      <c r="O937" s="47"/>
      <c r="P937" s="47"/>
    </row>
    <row r="938" spans="3:16" x14ac:dyDescent="0.2">
      <c r="C938" s="46"/>
      <c r="D938" s="47"/>
      <c r="E938" s="47"/>
      <c r="F938" s="47"/>
      <c r="G938" s="47"/>
      <c r="H938" s="47"/>
      <c r="I938" s="47"/>
      <c r="L938" s="46"/>
      <c r="M938" s="47"/>
      <c r="N938" s="47"/>
      <c r="O938" s="47"/>
      <c r="P938" s="47"/>
    </row>
    <row r="939" spans="3:16" x14ac:dyDescent="0.2">
      <c r="C939" s="46"/>
      <c r="D939" s="47"/>
      <c r="E939" s="47"/>
      <c r="F939" s="47"/>
      <c r="G939" s="47"/>
      <c r="H939" s="47"/>
      <c r="I939" s="47"/>
      <c r="L939" s="46"/>
      <c r="M939" s="47"/>
      <c r="N939" s="47"/>
      <c r="O939" s="47"/>
      <c r="P939" s="47"/>
    </row>
    <row r="940" spans="3:16" x14ac:dyDescent="0.2">
      <c r="C940" s="46"/>
      <c r="D940" s="47"/>
      <c r="E940" s="47"/>
      <c r="F940" s="47"/>
      <c r="G940" s="47"/>
      <c r="H940" s="47"/>
      <c r="I940" s="47"/>
      <c r="L940" s="46"/>
      <c r="M940" s="47"/>
      <c r="N940" s="47"/>
      <c r="O940" s="47"/>
      <c r="P940" s="47"/>
    </row>
    <row r="941" spans="3:16" x14ac:dyDescent="0.2">
      <c r="C941" s="46"/>
      <c r="D941" s="47"/>
      <c r="E941" s="47"/>
      <c r="F941" s="47"/>
      <c r="G941" s="47"/>
      <c r="H941" s="47"/>
      <c r="I941" s="47"/>
      <c r="L941" s="46"/>
      <c r="M941" s="47"/>
      <c r="N941" s="47"/>
      <c r="O941" s="47"/>
      <c r="P941" s="47"/>
    </row>
    <row r="942" spans="3:16" x14ac:dyDescent="0.2">
      <c r="C942" s="46"/>
      <c r="D942" s="47"/>
      <c r="E942" s="47"/>
      <c r="F942" s="47"/>
      <c r="G942" s="47"/>
      <c r="H942" s="47"/>
      <c r="I942" s="47"/>
      <c r="L942" s="46"/>
      <c r="M942" s="47"/>
      <c r="N942" s="47"/>
      <c r="O942" s="47"/>
      <c r="P942" s="47"/>
    </row>
    <row r="943" spans="3:16" x14ac:dyDescent="0.2">
      <c r="C943" s="46"/>
      <c r="D943" s="47"/>
      <c r="E943" s="47"/>
      <c r="F943" s="47"/>
      <c r="G943" s="47"/>
      <c r="H943" s="47"/>
      <c r="I943" s="47"/>
      <c r="L943" s="46"/>
      <c r="M943" s="47"/>
      <c r="N943" s="47"/>
      <c r="O943" s="47"/>
      <c r="P943" s="47"/>
    </row>
    <row r="944" spans="3:16" x14ac:dyDescent="0.2">
      <c r="C944" s="46"/>
      <c r="D944" s="47"/>
      <c r="E944" s="47"/>
      <c r="F944" s="47"/>
      <c r="G944" s="47"/>
      <c r="H944" s="47"/>
      <c r="I944" s="47"/>
      <c r="L944" s="46"/>
      <c r="M944" s="47"/>
      <c r="N944" s="47"/>
      <c r="O944" s="47"/>
      <c r="P944" s="47"/>
    </row>
    <row r="945" spans="3:16" x14ac:dyDescent="0.2">
      <c r="C945" s="46"/>
      <c r="D945" s="47"/>
      <c r="E945" s="47"/>
      <c r="F945" s="47"/>
      <c r="G945" s="47"/>
      <c r="H945" s="47"/>
      <c r="I945" s="47"/>
      <c r="L945" s="46"/>
      <c r="M945" s="47"/>
      <c r="N945" s="47"/>
      <c r="O945" s="47"/>
      <c r="P945" s="47"/>
    </row>
    <row r="946" spans="3:16" x14ac:dyDescent="0.2">
      <c r="C946" s="46"/>
      <c r="D946" s="47"/>
      <c r="E946" s="47"/>
      <c r="F946" s="47"/>
      <c r="G946" s="47"/>
      <c r="H946" s="47"/>
      <c r="I946" s="47"/>
      <c r="L946" s="46"/>
      <c r="M946" s="47"/>
      <c r="N946" s="47"/>
      <c r="O946" s="47"/>
      <c r="P946" s="47"/>
    </row>
    <row r="947" spans="3:16" x14ac:dyDescent="0.2">
      <c r="C947" s="46"/>
      <c r="D947" s="47"/>
      <c r="E947" s="47"/>
      <c r="F947" s="47"/>
      <c r="G947" s="47"/>
      <c r="H947" s="47"/>
      <c r="I947" s="47"/>
      <c r="L947" s="46"/>
      <c r="M947" s="47"/>
      <c r="N947" s="47"/>
      <c r="O947" s="47"/>
      <c r="P947" s="47"/>
    </row>
    <row r="948" spans="3:16" x14ac:dyDescent="0.2">
      <c r="C948" s="46"/>
      <c r="D948" s="47"/>
      <c r="E948" s="47"/>
      <c r="F948" s="47"/>
      <c r="G948" s="47"/>
      <c r="H948" s="47"/>
      <c r="I948" s="47"/>
      <c r="L948" s="46"/>
      <c r="M948" s="47"/>
      <c r="N948" s="47"/>
      <c r="O948" s="47"/>
      <c r="P948" s="47"/>
    </row>
    <row r="949" spans="3:16" x14ac:dyDescent="0.2">
      <c r="C949" s="46"/>
      <c r="D949" s="47"/>
      <c r="E949" s="47"/>
      <c r="F949" s="47"/>
      <c r="G949" s="47"/>
      <c r="H949" s="47"/>
      <c r="I949" s="47"/>
      <c r="L949" s="46"/>
      <c r="M949" s="47"/>
      <c r="N949" s="47"/>
      <c r="O949" s="47"/>
      <c r="P949" s="47"/>
    </row>
    <row r="950" spans="3:16" x14ac:dyDescent="0.2">
      <c r="C950" s="46"/>
      <c r="D950" s="47"/>
      <c r="E950" s="47"/>
      <c r="F950" s="47"/>
      <c r="G950" s="47"/>
      <c r="H950" s="47"/>
      <c r="I950" s="47"/>
      <c r="L950" s="46"/>
      <c r="M950" s="47"/>
      <c r="N950" s="47"/>
      <c r="O950" s="47"/>
      <c r="P950" s="47"/>
    </row>
    <row r="951" spans="3:16" x14ac:dyDescent="0.2">
      <c r="C951" s="46"/>
      <c r="D951" s="47"/>
      <c r="E951" s="47"/>
      <c r="F951" s="47"/>
      <c r="G951" s="47"/>
      <c r="H951" s="47"/>
      <c r="I951" s="47"/>
      <c r="L951" s="46"/>
      <c r="M951" s="47"/>
      <c r="N951" s="47"/>
      <c r="O951" s="47"/>
      <c r="P951" s="47"/>
    </row>
    <row r="952" spans="3:16" x14ac:dyDescent="0.2">
      <c r="C952" s="46"/>
      <c r="D952" s="47"/>
      <c r="E952" s="47"/>
      <c r="F952" s="47"/>
      <c r="G952" s="47"/>
      <c r="H952" s="47"/>
      <c r="I952" s="47"/>
      <c r="L952" s="46"/>
      <c r="M952" s="47"/>
      <c r="N952" s="47"/>
      <c r="O952" s="47"/>
      <c r="P952" s="47"/>
    </row>
    <row r="953" spans="3:16" x14ac:dyDescent="0.2">
      <c r="C953" s="46"/>
      <c r="D953" s="47"/>
      <c r="E953" s="47"/>
      <c r="F953" s="47"/>
      <c r="G953" s="47"/>
      <c r="H953" s="47"/>
      <c r="I953" s="47"/>
      <c r="L953" s="46"/>
      <c r="M953" s="47"/>
      <c r="N953" s="47"/>
      <c r="O953" s="47"/>
      <c r="P953" s="47"/>
    </row>
    <row r="954" spans="3:16" x14ac:dyDescent="0.2">
      <c r="C954" s="46"/>
      <c r="D954" s="47"/>
      <c r="E954" s="47"/>
      <c r="F954" s="47"/>
      <c r="G954" s="47"/>
      <c r="H954" s="47"/>
      <c r="I954" s="47"/>
      <c r="L954" s="46"/>
      <c r="M954" s="47"/>
      <c r="N954" s="47"/>
      <c r="O954" s="47"/>
      <c r="P954" s="47"/>
    </row>
    <row r="955" spans="3:16" x14ac:dyDescent="0.2">
      <c r="C955" s="46"/>
      <c r="D955" s="47"/>
      <c r="E955" s="47"/>
      <c r="F955" s="47"/>
      <c r="G955" s="47"/>
      <c r="H955" s="47"/>
      <c r="I955" s="47"/>
      <c r="L955" s="46"/>
      <c r="M955" s="47"/>
      <c r="N955" s="47"/>
      <c r="O955" s="47"/>
      <c r="P955" s="47"/>
    </row>
    <row r="956" spans="3:16" x14ac:dyDescent="0.2">
      <c r="C956" s="46"/>
      <c r="D956" s="47"/>
      <c r="E956" s="47"/>
      <c r="F956" s="47"/>
      <c r="G956" s="47"/>
      <c r="H956" s="47"/>
      <c r="I956" s="47"/>
      <c r="L956" s="46"/>
      <c r="M956" s="47"/>
      <c r="N956" s="47"/>
      <c r="O956" s="47"/>
      <c r="P956" s="47"/>
    </row>
    <row r="957" spans="3:16" x14ac:dyDescent="0.2">
      <c r="C957" s="46"/>
      <c r="D957" s="47"/>
      <c r="E957" s="47"/>
      <c r="F957" s="47"/>
      <c r="G957" s="47"/>
      <c r="H957" s="47"/>
      <c r="I957" s="47"/>
      <c r="L957" s="46"/>
      <c r="M957" s="47"/>
      <c r="N957" s="47"/>
      <c r="O957" s="47"/>
      <c r="P957" s="47"/>
    </row>
    <row r="958" spans="3:16" x14ac:dyDescent="0.2">
      <c r="C958" s="46"/>
      <c r="D958" s="47"/>
      <c r="E958" s="47"/>
      <c r="F958" s="47"/>
      <c r="G958" s="47"/>
      <c r="H958" s="47"/>
      <c r="I958" s="47"/>
      <c r="L958" s="46"/>
      <c r="M958" s="47"/>
      <c r="N958" s="47"/>
      <c r="O958" s="47"/>
      <c r="P958" s="47"/>
    </row>
    <row r="959" spans="3:16" x14ac:dyDescent="0.2">
      <c r="C959" s="46"/>
      <c r="D959" s="47"/>
      <c r="E959" s="47"/>
      <c r="F959" s="47"/>
      <c r="G959" s="47"/>
      <c r="H959" s="47"/>
      <c r="I959" s="47"/>
      <c r="L959" s="46"/>
      <c r="M959" s="47"/>
      <c r="N959" s="47"/>
      <c r="O959" s="47"/>
      <c r="P959" s="47"/>
    </row>
    <row r="960" spans="3:16" x14ac:dyDescent="0.2">
      <c r="C960" s="46"/>
      <c r="D960" s="47"/>
      <c r="E960" s="47"/>
      <c r="F960" s="47"/>
      <c r="G960" s="47"/>
      <c r="H960" s="47"/>
      <c r="I960" s="47"/>
      <c r="L960" s="46"/>
      <c r="M960" s="47"/>
      <c r="N960" s="47"/>
      <c r="O960" s="47"/>
      <c r="P960" s="47"/>
    </row>
    <row r="961" spans="3:16" x14ac:dyDescent="0.2">
      <c r="C961" s="46"/>
      <c r="D961" s="47"/>
      <c r="E961" s="47"/>
      <c r="F961" s="47"/>
      <c r="G961" s="47"/>
      <c r="H961" s="47"/>
      <c r="I961" s="47"/>
      <c r="L961" s="46"/>
      <c r="M961" s="47"/>
      <c r="N961" s="47"/>
      <c r="O961" s="47"/>
      <c r="P961" s="47"/>
    </row>
    <row r="962" spans="3:16" x14ac:dyDescent="0.2">
      <c r="C962" s="46"/>
      <c r="D962" s="47"/>
      <c r="E962" s="47"/>
      <c r="F962" s="47"/>
      <c r="G962" s="47"/>
      <c r="H962" s="47"/>
      <c r="I962" s="47"/>
      <c r="L962" s="46"/>
      <c r="M962" s="47"/>
      <c r="N962" s="47"/>
      <c r="O962" s="47"/>
      <c r="P962" s="47"/>
    </row>
    <row r="963" spans="3:16" x14ac:dyDescent="0.2">
      <c r="C963" s="46"/>
      <c r="D963" s="47"/>
      <c r="E963" s="47"/>
      <c r="F963" s="47"/>
      <c r="G963" s="47"/>
      <c r="H963" s="47"/>
      <c r="I963" s="47"/>
      <c r="L963" s="46"/>
      <c r="M963" s="47"/>
      <c r="N963" s="47"/>
      <c r="O963" s="47"/>
      <c r="P963" s="47"/>
    </row>
    <row r="964" spans="3:16" x14ac:dyDescent="0.2">
      <c r="C964" s="46"/>
      <c r="D964" s="47"/>
      <c r="E964" s="47"/>
      <c r="F964" s="47"/>
      <c r="G964" s="47"/>
      <c r="H964" s="47"/>
      <c r="I964" s="47"/>
      <c r="L964" s="46"/>
      <c r="M964" s="47"/>
      <c r="N964" s="47"/>
      <c r="O964" s="47"/>
      <c r="P964" s="47"/>
    </row>
    <row r="965" spans="3:16" x14ac:dyDescent="0.2">
      <c r="C965" s="46"/>
      <c r="D965" s="47"/>
      <c r="E965" s="47"/>
      <c r="F965" s="47"/>
      <c r="G965" s="47"/>
      <c r="H965" s="47"/>
      <c r="I965" s="47"/>
      <c r="L965" s="46"/>
      <c r="M965" s="47"/>
      <c r="N965" s="47"/>
      <c r="O965" s="47"/>
      <c r="P965" s="47"/>
    </row>
    <row r="966" spans="3:16" x14ac:dyDescent="0.2">
      <c r="C966" s="46"/>
      <c r="D966" s="47"/>
      <c r="E966" s="47"/>
      <c r="F966" s="47"/>
      <c r="G966" s="47"/>
      <c r="H966" s="47"/>
      <c r="I966" s="47"/>
      <c r="L966" s="46"/>
      <c r="M966" s="47"/>
      <c r="N966" s="47"/>
      <c r="O966" s="47"/>
      <c r="P966" s="47"/>
    </row>
    <row r="967" spans="3:16" x14ac:dyDescent="0.2">
      <c r="C967" s="46"/>
      <c r="D967" s="47"/>
      <c r="E967" s="47"/>
      <c r="F967" s="47"/>
      <c r="G967" s="47"/>
      <c r="H967" s="47"/>
      <c r="I967" s="47"/>
      <c r="L967" s="46"/>
      <c r="M967" s="47"/>
      <c r="N967" s="47"/>
      <c r="O967" s="47"/>
      <c r="P967" s="47"/>
    </row>
    <row r="968" spans="3:16" x14ac:dyDescent="0.2">
      <c r="C968" s="46"/>
      <c r="D968" s="47"/>
      <c r="E968" s="47"/>
      <c r="F968" s="47"/>
      <c r="G968" s="47"/>
      <c r="H968" s="47"/>
      <c r="I968" s="47"/>
      <c r="L968" s="46"/>
      <c r="M968" s="47"/>
      <c r="N968" s="47"/>
      <c r="O968" s="47"/>
      <c r="P968" s="47"/>
    </row>
    <row r="969" spans="3:16" x14ac:dyDescent="0.2">
      <c r="C969" s="46"/>
      <c r="D969" s="47"/>
      <c r="E969" s="47"/>
      <c r="F969" s="47"/>
      <c r="G969" s="47"/>
      <c r="H969" s="47"/>
      <c r="I969" s="47"/>
      <c r="L969" s="46"/>
      <c r="M969" s="47"/>
      <c r="N969" s="47"/>
      <c r="O969" s="47"/>
      <c r="P969" s="47"/>
    </row>
    <row r="970" spans="3:16" x14ac:dyDescent="0.2">
      <c r="C970" s="46"/>
      <c r="D970" s="47"/>
      <c r="E970" s="47"/>
      <c r="F970" s="47"/>
      <c r="G970" s="47"/>
      <c r="H970" s="47"/>
      <c r="I970" s="47"/>
      <c r="L970" s="46"/>
      <c r="M970" s="47"/>
      <c r="N970" s="47"/>
      <c r="O970" s="47"/>
      <c r="P970" s="47"/>
    </row>
    <row r="971" spans="3:16" x14ac:dyDescent="0.2">
      <c r="C971" s="46"/>
      <c r="D971" s="47"/>
      <c r="E971" s="47"/>
      <c r="F971" s="47"/>
      <c r="G971" s="47"/>
      <c r="H971" s="47"/>
      <c r="I971" s="47"/>
      <c r="L971" s="46"/>
      <c r="M971" s="47"/>
      <c r="N971" s="47"/>
      <c r="O971" s="47"/>
      <c r="P971" s="47"/>
    </row>
    <row r="972" spans="3:16" x14ac:dyDescent="0.2">
      <c r="C972" s="46"/>
      <c r="D972" s="47"/>
      <c r="E972" s="47"/>
      <c r="F972" s="47"/>
      <c r="G972" s="47"/>
      <c r="H972" s="47"/>
      <c r="I972" s="47"/>
      <c r="L972" s="46"/>
      <c r="M972" s="47"/>
      <c r="N972" s="47"/>
      <c r="O972" s="47"/>
      <c r="P972" s="47"/>
    </row>
    <row r="973" spans="3:16" x14ac:dyDescent="0.2">
      <c r="C973" s="46"/>
      <c r="D973" s="47"/>
      <c r="E973" s="47"/>
      <c r="F973" s="47"/>
      <c r="G973" s="47"/>
      <c r="H973" s="47"/>
      <c r="I973" s="47"/>
      <c r="L973" s="46"/>
      <c r="M973" s="47"/>
      <c r="N973" s="47"/>
      <c r="O973" s="47"/>
      <c r="P973" s="47"/>
    </row>
    <row r="974" spans="3:16" x14ac:dyDescent="0.2">
      <c r="C974" s="46"/>
      <c r="D974" s="47"/>
      <c r="E974" s="47"/>
      <c r="F974" s="47"/>
      <c r="G974" s="47"/>
      <c r="H974" s="47"/>
      <c r="I974" s="47"/>
      <c r="L974" s="46"/>
      <c r="M974" s="47"/>
      <c r="N974" s="47"/>
      <c r="O974" s="47"/>
      <c r="P974" s="47"/>
    </row>
    <row r="975" spans="3:16" x14ac:dyDescent="0.2">
      <c r="C975" s="46"/>
      <c r="D975" s="47"/>
      <c r="E975" s="47"/>
      <c r="F975" s="47"/>
      <c r="G975" s="47"/>
      <c r="H975" s="47"/>
      <c r="I975" s="47"/>
      <c r="L975" s="46"/>
      <c r="M975" s="47"/>
      <c r="N975" s="47"/>
      <c r="O975" s="47"/>
      <c r="P975" s="47"/>
    </row>
    <row r="976" spans="3:16" x14ac:dyDescent="0.2">
      <c r="C976" s="46"/>
      <c r="D976" s="47"/>
      <c r="E976" s="47"/>
      <c r="F976" s="47"/>
      <c r="G976" s="47"/>
      <c r="H976" s="47"/>
      <c r="I976" s="47"/>
      <c r="L976" s="46"/>
      <c r="M976" s="47"/>
      <c r="N976" s="47"/>
      <c r="O976" s="47"/>
      <c r="P976" s="47"/>
    </row>
    <row r="977" spans="3:16" x14ac:dyDescent="0.2">
      <c r="C977" s="46"/>
      <c r="D977" s="47"/>
      <c r="E977" s="47"/>
      <c r="F977" s="47"/>
      <c r="G977" s="47"/>
      <c r="H977" s="47"/>
      <c r="I977" s="47"/>
      <c r="L977" s="46"/>
      <c r="M977" s="47"/>
      <c r="N977" s="47"/>
      <c r="O977" s="47"/>
      <c r="P977" s="47"/>
    </row>
    <row r="978" spans="3:16" x14ac:dyDescent="0.2">
      <c r="C978" s="46"/>
      <c r="D978" s="47"/>
      <c r="E978" s="47"/>
      <c r="F978" s="47"/>
      <c r="G978" s="47"/>
      <c r="H978" s="47"/>
      <c r="I978" s="47"/>
      <c r="L978" s="46"/>
      <c r="M978" s="47"/>
      <c r="N978" s="47"/>
      <c r="O978" s="47"/>
      <c r="P978" s="47"/>
    </row>
    <row r="979" spans="3:16" x14ac:dyDescent="0.2">
      <c r="C979" s="46"/>
      <c r="D979" s="47"/>
      <c r="E979" s="47"/>
      <c r="F979" s="47"/>
      <c r="G979" s="47"/>
      <c r="H979" s="47"/>
      <c r="I979" s="47"/>
      <c r="L979" s="46"/>
      <c r="M979" s="47"/>
      <c r="N979" s="47"/>
      <c r="O979" s="47"/>
      <c r="P979" s="47"/>
    </row>
    <row r="980" spans="3:16" x14ac:dyDescent="0.2">
      <c r="C980" s="46"/>
      <c r="D980" s="47"/>
      <c r="E980" s="47"/>
      <c r="F980" s="47"/>
      <c r="G980" s="47"/>
      <c r="H980" s="47"/>
      <c r="I980" s="47"/>
      <c r="L980" s="46"/>
      <c r="M980" s="47"/>
      <c r="N980" s="47"/>
      <c r="O980" s="47"/>
      <c r="P980" s="47"/>
    </row>
    <row r="981" spans="3:16" x14ac:dyDescent="0.2">
      <c r="C981" s="46"/>
      <c r="D981" s="47"/>
      <c r="E981" s="47"/>
      <c r="F981" s="47"/>
      <c r="G981" s="47"/>
      <c r="H981" s="47"/>
      <c r="I981" s="47"/>
      <c r="L981" s="46"/>
      <c r="M981" s="47"/>
      <c r="N981" s="47"/>
      <c r="O981" s="47"/>
      <c r="P981" s="47"/>
    </row>
    <row r="982" spans="3:16" x14ac:dyDescent="0.2">
      <c r="C982" s="46"/>
      <c r="D982" s="47"/>
      <c r="E982" s="47"/>
      <c r="F982" s="47"/>
      <c r="G982" s="47"/>
      <c r="H982" s="47"/>
      <c r="I982" s="47"/>
      <c r="L982" s="46"/>
      <c r="M982" s="47"/>
      <c r="N982" s="47"/>
      <c r="O982" s="47"/>
      <c r="P982" s="47"/>
    </row>
    <row r="983" spans="3:16" x14ac:dyDescent="0.2">
      <c r="C983" s="46"/>
      <c r="D983" s="47"/>
      <c r="E983" s="47"/>
      <c r="F983" s="47"/>
      <c r="G983" s="47"/>
      <c r="H983" s="47"/>
      <c r="I983" s="47"/>
      <c r="L983" s="46"/>
      <c r="M983" s="47"/>
      <c r="N983" s="47"/>
      <c r="O983" s="47"/>
      <c r="P983" s="47"/>
    </row>
    <row r="984" spans="3:16" x14ac:dyDescent="0.2">
      <c r="C984" s="46"/>
      <c r="D984" s="47"/>
      <c r="E984" s="47"/>
      <c r="F984" s="47"/>
      <c r="G984" s="47"/>
      <c r="H984" s="47"/>
      <c r="I984" s="47"/>
      <c r="L984" s="46"/>
      <c r="M984" s="47"/>
      <c r="N984" s="47"/>
      <c r="O984" s="47"/>
      <c r="P984" s="47"/>
    </row>
    <row r="985" spans="3:16" x14ac:dyDescent="0.2">
      <c r="C985" s="46"/>
      <c r="D985" s="47"/>
      <c r="E985" s="47"/>
      <c r="F985" s="47"/>
      <c r="G985" s="47"/>
      <c r="H985" s="47"/>
      <c r="I985" s="47"/>
      <c r="L985" s="46"/>
      <c r="M985" s="47"/>
      <c r="N985" s="47"/>
      <c r="O985" s="47"/>
      <c r="P985" s="47"/>
    </row>
    <row r="986" spans="3:16" x14ac:dyDescent="0.2">
      <c r="C986" s="46"/>
      <c r="D986" s="47"/>
      <c r="E986" s="47"/>
      <c r="F986" s="47"/>
      <c r="G986" s="47"/>
      <c r="H986" s="47"/>
      <c r="I986" s="47"/>
      <c r="L986" s="46"/>
      <c r="M986" s="47"/>
      <c r="N986" s="47"/>
      <c r="O986" s="47"/>
      <c r="P986" s="47"/>
    </row>
    <row r="987" spans="3:16" x14ac:dyDescent="0.2">
      <c r="C987" s="46"/>
      <c r="D987" s="47"/>
      <c r="E987" s="47"/>
      <c r="F987" s="47"/>
      <c r="G987" s="47"/>
      <c r="H987" s="47"/>
      <c r="I987" s="47"/>
      <c r="L987" s="46"/>
      <c r="M987" s="47"/>
      <c r="N987" s="47"/>
      <c r="O987" s="47"/>
      <c r="P987" s="47"/>
    </row>
    <row r="988" spans="3:16" x14ac:dyDescent="0.2">
      <c r="C988" s="46"/>
      <c r="D988" s="47"/>
      <c r="E988" s="47"/>
      <c r="F988" s="47"/>
      <c r="G988" s="47"/>
      <c r="H988" s="47"/>
      <c r="I988" s="47"/>
      <c r="L988" s="46"/>
      <c r="M988" s="47"/>
      <c r="N988" s="47"/>
      <c r="O988" s="47"/>
      <c r="P988" s="47"/>
    </row>
    <row r="989" spans="3:16" x14ac:dyDescent="0.2">
      <c r="C989" s="46"/>
      <c r="D989" s="47"/>
      <c r="E989" s="47"/>
      <c r="F989" s="47"/>
      <c r="G989" s="47"/>
      <c r="H989" s="47"/>
      <c r="I989" s="47"/>
      <c r="L989" s="46"/>
      <c r="M989" s="47"/>
      <c r="N989" s="47"/>
      <c r="O989" s="47"/>
      <c r="P989" s="47"/>
    </row>
    <row r="990" spans="3:16" x14ac:dyDescent="0.2">
      <c r="C990" s="46"/>
      <c r="D990" s="47"/>
      <c r="E990" s="47"/>
      <c r="F990" s="47"/>
      <c r="G990" s="47"/>
      <c r="H990" s="47"/>
      <c r="I990" s="47"/>
      <c r="L990" s="46"/>
      <c r="M990" s="47"/>
      <c r="N990" s="47"/>
      <c r="O990" s="47"/>
      <c r="P990" s="47"/>
    </row>
    <row r="991" spans="3:16" x14ac:dyDescent="0.2">
      <c r="C991" s="46"/>
      <c r="D991" s="47"/>
      <c r="E991" s="47"/>
      <c r="F991" s="47"/>
      <c r="G991" s="47"/>
      <c r="H991" s="47"/>
      <c r="I991" s="47"/>
      <c r="L991" s="46"/>
      <c r="M991" s="47"/>
      <c r="N991" s="47"/>
      <c r="O991" s="47"/>
      <c r="P991" s="47"/>
    </row>
    <row r="992" spans="3:16" x14ac:dyDescent="0.2">
      <c r="C992" s="46"/>
      <c r="D992" s="47"/>
      <c r="E992" s="47"/>
      <c r="F992" s="47"/>
      <c r="G992" s="47"/>
      <c r="H992" s="47"/>
      <c r="I992" s="47"/>
      <c r="L992" s="46"/>
      <c r="M992" s="47"/>
      <c r="N992" s="47"/>
      <c r="O992" s="47"/>
      <c r="P992" s="47"/>
    </row>
    <row r="993" spans="3:16" x14ac:dyDescent="0.2">
      <c r="C993" s="46"/>
      <c r="D993" s="47"/>
      <c r="E993" s="47"/>
      <c r="F993" s="47"/>
      <c r="G993" s="47"/>
      <c r="H993" s="47"/>
      <c r="I993" s="47"/>
      <c r="L993" s="46"/>
      <c r="M993" s="47"/>
      <c r="N993" s="47"/>
      <c r="O993" s="47"/>
      <c r="P993" s="47"/>
    </row>
    <row r="994" spans="3:16" x14ac:dyDescent="0.2">
      <c r="C994" s="46"/>
      <c r="D994" s="47"/>
      <c r="E994" s="47"/>
      <c r="F994" s="47"/>
      <c r="G994" s="47"/>
      <c r="H994" s="47"/>
      <c r="I994" s="47"/>
      <c r="L994" s="46"/>
      <c r="M994" s="47"/>
      <c r="N994" s="47"/>
      <c r="O994" s="47"/>
      <c r="P994" s="47"/>
    </row>
    <row r="995" spans="3:16" x14ac:dyDescent="0.2">
      <c r="C995" s="46"/>
      <c r="D995" s="47"/>
      <c r="E995" s="47"/>
      <c r="F995" s="47"/>
      <c r="G995" s="47"/>
      <c r="H995" s="47"/>
      <c r="I995" s="47"/>
      <c r="L995" s="46"/>
      <c r="M995" s="47"/>
      <c r="N995" s="47"/>
      <c r="O995" s="47"/>
      <c r="P995" s="47"/>
    </row>
    <row r="996" spans="3:16" x14ac:dyDescent="0.2">
      <c r="C996" s="46"/>
      <c r="D996" s="47"/>
      <c r="E996" s="47"/>
      <c r="F996" s="47"/>
      <c r="G996" s="47"/>
      <c r="H996" s="47"/>
      <c r="I996" s="47"/>
      <c r="L996" s="46"/>
      <c r="M996" s="47"/>
      <c r="N996" s="47"/>
      <c r="O996" s="47"/>
      <c r="P996" s="47"/>
    </row>
    <row r="997" spans="3:16" x14ac:dyDescent="0.2">
      <c r="C997" s="46"/>
      <c r="D997" s="47"/>
      <c r="E997" s="47"/>
      <c r="F997" s="47"/>
      <c r="G997" s="47"/>
      <c r="H997" s="47"/>
      <c r="I997" s="47"/>
      <c r="L997" s="46"/>
      <c r="M997" s="47"/>
      <c r="N997" s="47"/>
      <c r="O997" s="47"/>
      <c r="P997" s="47"/>
    </row>
    <row r="998" spans="3:16" x14ac:dyDescent="0.2">
      <c r="C998" s="46"/>
      <c r="D998" s="47"/>
      <c r="E998" s="47"/>
      <c r="F998" s="47"/>
      <c r="G998" s="47"/>
      <c r="H998" s="47"/>
      <c r="I998" s="47"/>
      <c r="L998" s="46"/>
      <c r="M998" s="47"/>
      <c r="N998" s="47"/>
      <c r="O998" s="47"/>
      <c r="P998" s="47"/>
    </row>
    <row r="999" spans="3:16" x14ac:dyDescent="0.2">
      <c r="C999" s="46"/>
      <c r="D999" s="47"/>
      <c r="E999" s="47"/>
      <c r="F999" s="47"/>
      <c r="G999" s="47"/>
      <c r="H999" s="47"/>
      <c r="I999" s="47"/>
      <c r="L999" s="46"/>
      <c r="M999" s="47"/>
      <c r="N999" s="47"/>
      <c r="O999" s="47"/>
      <c r="P999" s="47"/>
    </row>
    <row r="1000" spans="3:16" x14ac:dyDescent="0.2">
      <c r="C1000" s="46"/>
      <c r="D1000" s="47"/>
      <c r="E1000" s="47"/>
      <c r="F1000" s="47"/>
      <c r="G1000" s="47"/>
      <c r="H1000" s="47"/>
      <c r="I1000" s="47"/>
      <c r="L1000" s="46"/>
      <c r="M1000" s="47"/>
      <c r="N1000" s="47"/>
      <c r="O1000" s="47"/>
      <c r="P1000" s="47"/>
    </row>
    <row r="1001" spans="3:16" x14ac:dyDescent="0.2">
      <c r="C1001" s="46"/>
      <c r="D1001" s="47"/>
      <c r="E1001" s="47"/>
      <c r="F1001" s="47"/>
      <c r="G1001" s="47"/>
      <c r="H1001" s="47"/>
      <c r="I1001" s="47"/>
      <c r="L1001" s="46"/>
      <c r="M1001" s="47"/>
      <c r="N1001" s="47"/>
      <c r="O1001" s="47"/>
      <c r="P1001" s="47"/>
    </row>
    <row r="1002" spans="3:16" x14ac:dyDescent="0.2">
      <c r="C1002" s="46"/>
      <c r="D1002" s="47"/>
      <c r="E1002" s="47"/>
      <c r="F1002" s="47"/>
      <c r="G1002" s="47"/>
      <c r="H1002" s="47"/>
      <c r="I1002" s="47"/>
      <c r="L1002" s="46"/>
      <c r="M1002" s="47"/>
      <c r="N1002" s="47"/>
      <c r="O1002" s="47"/>
      <c r="P1002" s="47"/>
    </row>
    <row r="1003" spans="3:16" x14ac:dyDescent="0.2">
      <c r="C1003" s="46"/>
      <c r="D1003" s="47"/>
      <c r="E1003" s="47"/>
      <c r="F1003" s="47"/>
      <c r="G1003" s="47"/>
      <c r="H1003" s="47"/>
      <c r="I1003" s="47"/>
      <c r="L1003" s="46"/>
      <c r="M1003" s="47"/>
      <c r="N1003" s="47"/>
      <c r="O1003" s="47"/>
      <c r="P1003" s="47"/>
    </row>
    <row r="1004" spans="3:16" x14ac:dyDescent="0.2">
      <c r="C1004" s="46"/>
      <c r="D1004" s="47"/>
      <c r="E1004" s="47"/>
      <c r="F1004" s="47"/>
      <c r="G1004" s="47"/>
      <c r="H1004" s="47"/>
      <c r="I1004" s="47"/>
      <c r="L1004" s="46"/>
      <c r="M1004" s="47"/>
      <c r="N1004" s="47"/>
      <c r="O1004" s="47"/>
      <c r="P1004" s="47"/>
    </row>
    <row r="1005" spans="3:16" x14ac:dyDescent="0.2">
      <c r="C1005" s="46"/>
      <c r="D1005" s="47"/>
      <c r="E1005" s="47"/>
      <c r="F1005" s="47"/>
      <c r="G1005" s="47"/>
      <c r="H1005" s="47"/>
      <c r="I1005" s="47"/>
      <c r="L1005" s="46"/>
      <c r="M1005" s="47"/>
      <c r="N1005" s="47"/>
      <c r="O1005" s="47"/>
      <c r="P1005" s="47"/>
    </row>
    <row r="1006" spans="3:16" x14ac:dyDescent="0.2">
      <c r="C1006" s="46"/>
      <c r="D1006" s="47"/>
      <c r="E1006" s="47"/>
      <c r="F1006" s="47"/>
      <c r="G1006" s="47"/>
      <c r="H1006" s="47"/>
      <c r="I1006" s="47"/>
      <c r="L1006" s="46"/>
      <c r="M1006" s="47"/>
      <c r="N1006" s="47"/>
      <c r="O1006" s="47"/>
      <c r="P1006" s="47"/>
    </row>
    <row r="1007" spans="3:16" x14ac:dyDescent="0.2">
      <c r="C1007" s="46"/>
      <c r="D1007" s="47"/>
      <c r="E1007" s="47"/>
      <c r="F1007" s="47"/>
      <c r="G1007" s="47"/>
      <c r="H1007" s="47"/>
      <c r="I1007" s="47"/>
      <c r="L1007" s="46"/>
      <c r="M1007" s="47"/>
      <c r="N1007" s="47"/>
      <c r="O1007" s="47"/>
      <c r="P1007" s="47"/>
    </row>
    <row r="1008" spans="3:16" x14ac:dyDescent="0.2">
      <c r="C1008" s="46"/>
      <c r="D1008" s="47"/>
      <c r="E1008" s="47"/>
      <c r="F1008" s="47"/>
      <c r="G1008" s="47"/>
      <c r="H1008" s="47"/>
      <c r="I1008" s="47"/>
      <c r="L1008" s="46"/>
      <c r="M1008" s="47"/>
      <c r="N1008" s="47"/>
      <c r="O1008" s="47"/>
      <c r="P1008" s="47"/>
    </row>
    <row r="1009" spans="3:16" x14ac:dyDescent="0.2">
      <c r="C1009" s="46"/>
      <c r="D1009" s="47"/>
      <c r="E1009" s="47"/>
      <c r="F1009" s="47"/>
      <c r="G1009" s="47"/>
      <c r="H1009" s="47"/>
      <c r="I1009" s="47"/>
      <c r="L1009" s="46"/>
      <c r="M1009" s="47"/>
      <c r="N1009" s="47"/>
      <c r="O1009" s="47"/>
      <c r="P1009" s="47"/>
    </row>
    <row r="1010" spans="3:16" x14ac:dyDescent="0.2">
      <c r="C1010" s="46"/>
      <c r="D1010" s="47"/>
      <c r="E1010" s="47"/>
      <c r="F1010" s="47"/>
      <c r="G1010" s="47"/>
      <c r="H1010" s="47"/>
      <c r="I1010" s="47"/>
      <c r="L1010" s="46"/>
      <c r="M1010" s="47"/>
      <c r="N1010" s="47"/>
      <c r="O1010" s="47"/>
      <c r="P1010" s="47"/>
    </row>
    <row r="1011" spans="3:16" x14ac:dyDescent="0.2">
      <c r="C1011" s="46"/>
      <c r="D1011" s="47"/>
      <c r="E1011" s="47"/>
      <c r="F1011" s="47"/>
      <c r="G1011" s="47"/>
      <c r="H1011" s="47"/>
      <c r="I1011" s="47"/>
      <c r="L1011" s="46"/>
      <c r="M1011" s="47"/>
      <c r="N1011" s="47"/>
      <c r="O1011" s="47"/>
      <c r="P1011" s="47"/>
    </row>
    <row r="1012" spans="3:16" x14ac:dyDescent="0.2">
      <c r="C1012" s="46"/>
      <c r="D1012" s="47"/>
      <c r="E1012" s="47"/>
      <c r="F1012" s="47"/>
      <c r="G1012" s="47"/>
      <c r="H1012" s="47"/>
      <c r="I1012" s="47"/>
      <c r="L1012" s="46"/>
      <c r="M1012" s="47"/>
      <c r="N1012" s="47"/>
      <c r="O1012" s="47"/>
      <c r="P1012" s="47"/>
    </row>
    <row r="1013" spans="3:16" x14ac:dyDescent="0.2">
      <c r="C1013" s="46"/>
      <c r="D1013" s="47"/>
      <c r="E1013" s="47"/>
      <c r="F1013" s="47"/>
      <c r="G1013" s="47"/>
      <c r="H1013" s="47"/>
      <c r="I1013" s="47"/>
      <c r="L1013" s="46"/>
      <c r="M1013" s="47"/>
      <c r="N1013" s="47"/>
      <c r="O1013" s="47"/>
      <c r="P1013" s="47"/>
    </row>
    <row r="1014" spans="3:16" x14ac:dyDescent="0.2">
      <c r="C1014" s="46"/>
      <c r="D1014" s="47"/>
      <c r="E1014" s="47"/>
      <c r="F1014" s="47"/>
      <c r="G1014" s="47"/>
      <c r="H1014" s="47"/>
      <c r="I1014" s="47"/>
      <c r="L1014" s="46"/>
      <c r="M1014" s="47"/>
      <c r="N1014" s="47"/>
      <c r="O1014" s="47"/>
      <c r="P1014" s="47"/>
    </row>
    <row r="1015" spans="3:16" x14ac:dyDescent="0.2">
      <c r="C1015" s="46"/>
      <c r="D1015" s="47"/>
      <c r="E1015" s="47"/>
      <c r="F1015" s="47"/>
      <c r="G1015" s="47"/>
      <c r="H1015" s="47"/>
      <c r="I1015" s="47"/>
      <c r="L1015" s="46"/>
      <c r="M1015" s="47"/>
      <c r="N1015" s="47"/>
      <c r="O1015" s="47"/>
      <c r="P1015" s="47"/>
    </row>
    <row r="1016" spans="3:16" x14ac:dyDescent="0.2">
      <c r="C1016" s="46"/>
      <c r="D1016" s="47"/>
      <c r="E1016" s="47"/>
      <c r="F1016" s="47"/>
      <c r="G1016" s="47"/>
      <c r="H1016" s="47"/>
      <c r="I1016" s="47"/>
      <c r="L1016" s="46"/>
      <c r="M1016" s="47"/>
      <c r="N1016" s="47"/>
      <c r="O1016" s="47"/>
      <c r="P1016" s="47"/>
    </row>
    <row r="1017" spans="3:16" x14ac:dyDescent="0.2">
      <c r="C1017" s="46"/>
      <c r="D1017" s="47"/>
      <c r="E1017" s="47"/>
      <c r="F1017" s="47"/>
      <c r="G1017" s="47"/>
      <c r="H1017" s="47"/>
      <c r="I1017" s="47"/>
      <c r="L1017" s="46"/>
      <c r="M1017" s="47"/>
      <c r="N1017" s="47"/>
      <c r="O1017" s="47"/>
      <c r="P1017" s="47"/>
    </row>
    <row r="1018" spans="3:16" x14ac:dyDescent="0.2">
      <c r="C1018" s="46"/>
      <c r="D1018" s="47"/>
      <c r="E1018" s="47"/>
      <c r="F1018" s="47"/>
      <c r="G1018" s="47"/>
      <c r="H1018" s="47"/>
      <c r="I1018" s="47"/>
      <c r="L1018" s="46"/>
      <c r="M1018" s="47"/>
      <c r="N1018" s="47"/>
      <c r="O1018" s="47"/>
      <c r="P1018" s="47"/>
    </row>
    <row r="1019" spans="3:16" x14ac:dyDescent="0.2">
      <c r="C1019" s="46"/>
      <c r="D1019" s="47"/>
      <c r="E1019" s="47"/>
      <c r="F1019" s="47"/>
      <c r="G1019" s="47"/>
      <c r="H1019" s="47"/>
      <c r="I1019" s="47"/>
      <c r="L1019" s="46"/>
      <c r="M1019" s="47"/>
      <c r="N1019" s="47"/>
      <c r="O1019" s="47"/>
      <c r="P1019" s="47"/>
    </row>
    <row r="1020" spans="3:16" x14ac:dyDescent="0.2">
      <c r="C1020" s="46"/>
      <c r="D1020" s="47"/>
      <c r="E1020" s="47"/>
      <c r="F1020" s="47"/>
      <c r="G1020" s="47"/>
      <c r="H1020" s="47"/>
      <c r="I1020" s="47"/>
      <c r="L1020" s="46"/>
      <c r="M1020" s="47"/>
      <c r="N1020" s="47"/>
      <c r="O1020" s="47"/>
      <c r="P1020" s="47"/>
    </row>
    <row r="1021" spans="3:16" x14ac:dyDescent="0.2">
      <c r="C1021" s="46"/>
      <c r="D1021" s="47"/>
      <c r="E1021" s="47"/>
      <c r="F1021" s="47"/>
      <c r="G1021" s="47"/>
      <c r="H1021" s="47"/>
      <c r="I1021" s="47"/>
      <c r="L1021" s="46"/>
      <c r="M1021" s="47"/>
      <c r="N1021" s="47"/>
      <c r="O1021" s="47"/>
      <c r="P1021" s="47"/>
    </row>
    <row r="1022" spans="3:16" x14ac:dyDescent="0.2">
      <c r="C1022" s="46"/>
      <c r="D1022" s="47"/>
      <c r="E1022" s="47"/>
      <c r="F1022" s="47"/>
      <c r="G1022" s="47"/>
      <c r="H1022" s="47"/>
      <c r="I1022" s="47"/>
      <c r="L1022" s="46"/>
      <c r="M1022" s="47"/>
      <c r="N1022" s="47"/>
      <c r="O1022" s="47"/>
      <c r="P1022" s="47"/>
    </row>
    <row r="1023" spans="3:16" x14ac:dyDescent="0.2">
      <c r="C1023" s="46"/>
      <c r="D1023" s="47"/>
      <c r="E1023" s="47"/>
      <c r="F1023" s="47"/>
      <c r="G1023" s="47"/>
      <c r="H1023" s="47"/>
      <c r="I1023" s="47"/>
      <c r="L1023" s="46"/>
      <c r="M1023" s="47"/>
      <c r="N1023" s="47"/>
      <c r="O1023" s="47"/>
      <c r="P1023" s="47"/>
    </row>
    <row r="1024" spans="3:16" x14ac:dyDescent="0.2">
      <c r="C1024" s="46"/>
      <c r="D1024" s="47"/>
      <c r="E1024" s="47"/>
      <c r="F1024" s="47"/>
      <c r="G1024" s="47"/>
      <c r="H1024" s="47"/>
      <c r="I1024" s="47"/>
      <c r="L1024" s="46"/>
      <c r="M1024" s="47"/>
      <c r="N1024" s="47"/>
      <c r="O1024" s="47"/>
      <c r="P1024" s="47"/>
    </row>
    <row r="1025" spans="3:16" x14ac:dyDescent="0.2">
      <c r="C1025" s="46"/>
      <c r="D1025" s="47"/>
      <c r="E1025" s="47"/>
      <c r="F1025" s="47"/>
      <c r="G1025" s="47"/>
      <c r="H1025" s="47"/>
      <c r="I1025" s="47"/>
      <c r="L1025" s="46"/>
      <c r="M1025" s="47"/>
      <c r="N1025" s="47"/>
      <c r="O1025" s="47"/>
      <c r="P1025" s="47"/>
    </row>
    <row r="1026" spans="3:16" x14ac:dyDescent="0.2">
      <c r="C1026" s="46"/>
      <c r="D1026" s="47"/>
      <c r="E1026" s="47"/>
      <c r="F1026" s="47"/>
      <c r="G1026" s="47"/>
      <c r="H1026" s="47"/>
      <c r="I1026" s="47"/>
      <c r="L1026" s="46"/>
      <c r="M1026" s="47"/>
      <c r="N1026" s="47"/>
      <c r="O1026" s="47"/>
      <c r="P1026" s="47"/>
    </row>
    <row r="1027" spans="3:16" x14ac:dyDescent="0.2">
      <c r="C1027" s="46"/>
      <c r="D1027" s="47"/>
      <c r="E1027" s="47"/>
      <c r="F1027" s="47"/>
      <c r="G1027" s="47"/>
      <c r="H1027" s="47"/>
      <c r="I1027" s="47"/>
      <c r="L1027" s="46"/>
      <c r="M1027" s="47"/>
      <c r="N1027" s="47"/>
      <c r="O1027" s="47"/>
      <c r="P1027" s="47"/>
    </row>
    <row r="1028" spans="3:16" x14ac:dyDescent="0.2">
      <c r="C1028" s="46"/>
      <c r="D1028" s="47"/>
      <c r="E1028" s="47"/>
      <c r="F1028" s="47"/>
      <c r="G1028" s="47"/>
      <c r="H1028" s="47"/>
      <c r="I1028" s="47"/>
      <c r="L1028" s="46"/>
      <c r="M1028" s="47"/>
      <c r="N1028" s="47"/>
      <c r="O1028" s="47"/>
      <c r="P1028" s="47"/>
    </row>
    <row r="1029" spans="3:16" x14ac:dyDescent="0.2">
      <c r="C1029" s="46"/>
      <c r="D1029" s="47"/>
      <c r="E1029" s="47"/>
      <c r="F1029" s="47"/>
      <c r="G1029" s="47"/>
      <c r="H1029" s="47"/>
      <c r="I1029" s="47"/>
      <c r="L1029" s="46"/>
      <c r="M1029" s="47"/>
      <c r="N1029" s="47"/>
      <c r="O1029" s="47"/>
      <c r="P1029" s="47"/>
    </row>
    <row r="1030" spans="3:16" x14ac:dyDescent="0.2">
      <c r="C1030" s="46"/>
      <c r="D1030" s="47"/>
      <c r="E1030" s="47"/>
      <c r="F1030" s="47"/>
      <c r="G1030" s="47"/>
      <c r="H1030" s="47"/>
      <c r="I1030" s="47"/>
      <c r="L1030" s="46"/>
      <c r="M1030" s="47"/>
      <c r="N1030" s="47"/>
      <c r="O1030" s="47"/>
      <c r="P1030" s="47"/>
    </row>
    <row r="1031" spans="3:16" x14ac:dyDescent="0.2">
      <c r="C1031" s="46"/>
      <c r="D1031" s="47"/>
      <c r="E1031" s="47"/>
      <c r="F1031" s="47"/>
      <c r="G1031" s="47"/>
      <c r="H1031" s="47"/>
      <c r="I1031" s="47"/>
      <c r="L1031" s="46"/>
      <c r="M1031" s="47"/>
      <c r="N1031" s="47"/>
      <c r="O1031" s="47"/>
      <c r="P1031" s="47"/>
    </row>
    <row r="1032" spans="3:16" x14ac:dyDescent="0.2">
      <c r="C1032" s="46"/>
      <c r="D1032" s="47"/>
      <c r="E1032" s="47"/>
      <c r="F1032" s="47"/>
      <c r="G1032" s="47"/>
      <c r="H1032" s="47"/>
      <c r="I1032" s="47"/>
      <c r="L1032" s="46"/>
      <c r="M1032" s="47"/>
      <c r="N1032" s="47"/>
      <c r="O1032" s="47"/>
      <c r="P1032" s="47"/>
    </row>
    <row r="1033" spans="3:16" x14ac:dyDescent="0.2">
      <c r="C1033" s="46"/>
      <c r="D1033" s="47"/>
      <c r="E1033" s="47"/>
      <c r="F1033" s="47"/>
      <c r="G1033" s="47"/>
      <c r="H1033" s="47"/>
      <c r="I1033" s="47"/>
      <c r="L1033" s="46"/>
      <c r="M1033" s="47"/>
      <c r="N1033" s="47"/>
      <c r="O1033" s="47"/>
      <c r="P1033" s="47"/>
    </row>
    <row r="1034" spans="3:16" x14ac:dyDescent="0.2">
      <c r="C1034" s="46"/>
      <c r="D1034" s="47"/>
      <c r="E1034" s="47"/>
      <c r="F1034" s="47"/>
      <c r="G1034" s="47"/>
      <c r="H1034" s="47"/>
      <c r="I1034" s="47"/>
      <c r="L1034" s="46"/>
      <c r="M1034" s="47"/>
      <c r="N1034" s="47"/>
      <c r="O1034" s="47"/>
      <c r="P1034" s="47"/>
    </row>
    <row r="1035" spans="3:16" x14ac:dyDescent="0.2">
      <c r="C1035" s="46"/>
      <c r="D1035" s="47"/>
      <c r="E1035" s="47"/>
      <c r="F1035" s="47"/>
      <c r="G1035" s="47"/>
      <c r="H1035" s="47"/>
      <c r="I1035" s="47"/>
      <c r="L1035" s="46"/>
      <c r="M1035" s="47"/>
      <c r="N1035" s="47"/>
      <c r="O1035" s="47"/>
      <c r="P1035" s="47"/>
    </row>
    <row r="1036" spans="3:16" x14ac:dyDescent="0.2">
      <c r="C1036" s="46"/>
      <c r="D1036" s="47"/>
      <c r="E1036" s="47"/>
      <c r="F1036" s="47"/>
      <c r="G1036" s="47"/>
      <c r="H1036" s="47"/>
      <c r="I1036" s="47"/>
      <c r="L1036" s="46"/>
      <c r="M1036" s="47"/>
      <c r="N1036" s="47"/>
      <c r="O1036" s="47"/>
      <c r="P1036" s="47"/>
    </row>
    <row r="1037" spans="3:16" x14ac:dyDescent="0.2">
      <c r="C1037" s="46"/>
      <c r="D1037" s="47"/>
      <c r="E1037" s="47"/>
      <c r="F1037" s="47"/>
      <c r="G1037" s="47"/>
      <c r="H1037" s="47"/>
      <c r="I1037" s="47"/>
      <c r="L1037" s="46"/>
      <c r="M1037" s="47"/>
      <c r="N1037" s="47"/>
      <c r="O1037" s="47"/>
      <c r="P1037" s="47"/>
    </row>
    <row r="1038" spans="3:16" x14ac:dyDescent="0.2">
      <c r="C1038" s="46"/>
      <c r="D1038" s="47"/>
      <c r="E1038" s="47"/>
      <c r="F1038" s="47"/>
      <c r="G1038" s="47"/>
      <c r="H1038" s="47"/>
      <c r="I1038" s="47"/>
      <c r="L1038" s="46"/>
      <c r="M1038" s="47"/>
      <c r="N1038" s="47"/>
      <c r="O1038" s="47"/>
      <c r="P1038" s="47"/>
    </row>
    <row r="1039" spans="3:16" x14ac:dyDescent="0.2">
      <c r="C1039" s="46"/>
      <c r="D1039" s="47"/>
      <c r="E1039" s="47"/>
      <c r="F1039" s="47"/>
      <c r="G1039" s="47"/>
      <c r="H1039" s="47"/>
      <c r="I1039" s="47"/>
      <c r="L1039" s="46"/>
      <c r="M1039" s="47"/>
      <c r="N1039" s="47"/>
      <c r="O1039" s="47"/>
      <c r="P1039" s="47"/>
    </row>
    <row r="1040" spans="3:16" x14ac:dyDescent="0.2">
      <c r="C1040" s="46"/>
      <c r="D1040" s="47"/>
      <c r="E1040" s="47"/>
      <c r="F1040" s="47"/>
      <c r="G1040" s="47"/>
      <c r="H1040" s="47"/>
      <c r="I1040" s="47"/>
      <c r="L1040" s="46"/>
      <c r="M1040" s="47"/>
      <c r="N1040" s="47"/>
      <c r="O1040" s="47"/>
      <c r="P1040" s="47"/>
    </row>
    <row r="1041" spans="3:16" x14ac:dyDescent="0.2">
      <c r="C1041" s="46"/>
      <c r="D1041" s="47"/>
      <c r="E1041" s="47"/>
      <c r="F1041" s="47"/>
      <c r="G1041" s="47"/>
      <c r="H1041" s="47"/>
      <c r="I1041" s="47"/>
      <c r="L1041" s="46"/>
      <c r="M1041" s="47"/>
      <c r="N1041" s="47"/>
      <c r="O1041" s="47"/>
      <c r="P1041" s="47"/>
    </row>
    <row r="1042" spans="3:16" x14ac:dyDescent="0.2">
      <c r="C1042" s="46"/>
      <c r="D1042" s="47"/>
      <c r="E1042" s="47"/>
      <c r="F1042" s="47"/>
      <c r="G1042" s="47"/>
      <c r="H1042" s="47"/>
      <c r="I1042" s="47"/>
      <c r="L1042" s="46"/>
      <c r="M1042" s="47"/>
      <c r="N1042" s="47"/>
      <c r="O1042" s="47"/>
      <c r="P1042" s="47"/>
    </row>
    <row r="1043" spans="3:16" x14ac:dyDescent="0.2">
      <c r="C1043" s="46"/>
      <c r="D1043" s="47"/>
      <c r="E1043" s="47"/>
      <c r="F1043" s="47"/>
      <c r="G1043" s="47"/>
      <c r="H1043" s="47"/>
      <c r="I1043" s="47"/>
      <c r="L1043" s="46"/>
      <c r="M1043" s="47"/>
      <c r="N1043" s="47"/>
      <c r="O1043" s="47"/>
      <c r="P1043" s="47"/>
    </row>
    <row r="1044" spans="3:16" x14ac:dyDescent="0.2">
      <c r="C1044" s="46"/>
      <c r="D1044" s="47"/>
      <c r="E1044" s="47"/>
      <c r="F1044" s="47"/>
      <c r="G1044" s="47"/>
      <c r="H1044" s="47"/>
      <c r="I1044" s="47"/>
      <c r="L1044" s="46"/>
      <c r="M1044" s="47"/>
      <c r="N1044" s="47"/>
      <c r="O1044" s="47"/>
      <c r="P1044" s="47"/>
    </row>
    <row r="1045" spans="3:16" x14ac:dyDescent="0.2">
      <c r="C1045" s="46"/>
      <c r="D1045" s="47"/>
      <c r="E1045" s="47"/>
      <c r="F1045" s="47"/>
      <c r="G1045" s="47"/>
      <c r="H1045" s="47"/>
      <c r="I1045" s="47"/>
      <c r="L1045" s="46"/>
      <c r="M1045" s="47"/>
      <c r="N1045" s="47"/>
      <c r="O1045" s="47"/>
      <c r="P1045" s="47"/>
    </row>
    <row r="1046" spans="3:16" x14ac:dyDescent="0.2">
      <c r="C1046" s="46"/>
      <c r="D1046" s="47"/>
      <c r="E1046" s="47"/>
      <c r="F1046" s="47"/>
      <c r="G1046" s="47"/>
      <c r="H1046" s="47"/>
      <c r="I1046" s="47"/>
      <c r="L1046" s="46"/>
      <c r="M1046" s="47"/>
      <c r="N1046" s="47"/>
      <c r="O1046" s="47"/>
      <c r="P1046" s="47"/>
    </row>
    <row r="1047" spans="3:16" x14ac:dyDescent="0.2">
      <c r="C1047" s="46"/>
      <c r="D1047" s="47"/>
      <c r="E1047" s="47"/>
      <c r="F1047" s="47"/>
      <c r="G1047" s="47"/>
      <c r="H1047" s="47"/>
      <c r="I1047" s="47"/>
      <c r="L1047" s="46"/>
      <c r="M1047" s="47"/>
      <c r="N1047" s="47"/>
      <c r="O1047" s="47"/>
      <c r="P1047" s="47"/>
    </row>
    <row r="1048" spans="3:16" x14ac:dyDescent="0.2">
      <c r="C1048" s="46"/>
      <c r="D1048" s="47"/>
      <c r="E1048" s="47"/>
      <c r="F1048" s="47"/>
      <c r="G1048" s="47"/>
      <c r="H1048" s="47"/>
      <c r="I1048" s="47"/>
      <c r="L1048" s="46"/>
      <c r="M1048" s="47"/>
      <c r="N1048" s="47"/>
      <c r="O1048" s="47"/>
      <c r="P1048" s="47"/>
    </row>
    <row r="1049" spans="3:16" x14ac:dyDescent="0.2">
      <c r="C1049" s="46"/>
      <c r="D1049" s="47"/>
      <c r="E1049" s="47"/>
      <c r="F1049" s="47"/>
      <c r="G1049" s="47"/>
      <c r="H1049" s="47"/>
      <c r="I1049" s="47"/>
      <c r="L1049" s="46"/>
      <c r="M1049" s="47"/>
      <c r="N1049" s="47"/>
      <c r="O1049" s="47"/>
      <c r="P1049" s="47"/>
    </row>
    <row r="1050" spans="3:16" x14ac:dyDescent="0.2">
      <c r="C1050" s="46"/>
      <c r="D1050" s="47"/>
      <c r="E1050" s="47"/>
      <c r="F1050" s="47"/>
      <c r="G1050" s="47"/>
      <c r="H1050" s="47"/>
      <c r="I1050" s="47"/>
      <c r="L1050" s="46"/>
      <c r="M1050" s="47"/>
      <c r="N1050" s="47"/>
      <c r="O1050" s="47"/>
      <c r="P1050" s="47"/>
    </row>
    <row r="1051" spans="3:16" x14ac:dyDescent="0.2">
      <c r="C1051" s="46"/>
      <c r="D1051" s="47"/>
      <c r="E1051" s="47"/>
      <c r="F1051" s="47"/>
      <c r="G1051" s="47"/>
      <c r="H1051" s="47"/>
      <c r="I1051" s="47"/>
      <c r="L1051" s="46"/>
      <c r="M1051" s="47"/>
      <c r="N1051" s="47"/>
      <c r="O1051" s="47"/>
      <c r="P1051" s="47"/>
    </row>
    <row r="1052" spans="3:16" x14ac:dyDescent="0.2">
      <c r="C1052" s="46"/>
      <c r="D1052" s="47"/>
      <c r="E1052" s="47"/>
      <c r="F1052" s="47"/>
      <c r="G1052" s="47"/>
      <c r="H1052" s="47"/>
      <c r="I1052" s="47"/>
      <c r="L1052" s="46"/>
      <c r="M1052" s="47"/>
      <c r="N1052" s="47"/>
      <c r="O1052" s="47"/>
      <c r="P1052" s="47"/>
    </row>
    <row r="1053" spans="3:16" x14ac:dyDescent="0.2">
      <c r="C1053" s="46"/>
      <c r="D1053" s="47"/>
      <c r="E1053" s="47"/>
      <c r="F1053" s="47"/>
      <c r="G1053" s="47"/>
      <c r="H1053" s="47"/>
      <c r="I1053" s="47"/>
      <c r="L1053" s="46"/>
      <c r="M1053" s="47"/>
      <c r="N1053" s="47"/>
      <c r="O1053" s="47"/>
      <c r="P1053" s="47"/>
    </row>
    <row r="1054" spans="3:16" x14ac:dyDescent="0.2">
      <c r="C1054" s="46"/>
      <c r="D1054" s="47"/>
      <c r="E1054" s="47"/>
      <c r="F1054" s="47"/>
      <c r="G1054" s="47"/>
      <c r="H1054" s="47"/>
      <c r="I1054" s="47"/>
      <c r="L1054" s="46"/>
      <c r="M1054" s="47"/>
      <c r="N1054" s="47"/>
      <c r="O1054" s="47"/>
      <c r="P1054" s="47"/>
    </row>
    <row r="1055" spans="3:16" x14ac:dyDescent="0.2">
      <c r="C1055" s="46"/>
      <c r="D1055" s="47"/>
      <c r="E1055" s="47"/>
      <c r="F1055" s="47"/>
      <c r="G1055" s="47"/>
      <c r="H1055" s="47"/>
      <c r="I1055" s="47"/>
      <c r="L1055" s="46"/>
      <c r="M1055" s="47"/>
      <c r="N1055" s="47"/>
      <c r="O1055" s="47"/>
      <c r="P1055" s="47"/>
    </row>
    <row r="1056" spans="3:16" x14ac:dyDescent="0.2">
      <c r="C1056" s="46"/>
      <c r="D1056" s="47"/>
      <c r="E1056" s="47"/>
      <c r="F1056" s="47"/>
      <c r="G1056" s="47"/>
      <c r="H1056" s="47"/>
      <c r="I1056" s="47"/>
      <c r="L1056" s="46"/>
      <c r="M1056" s="47"/>
      <c r="N1056" s="47"/>
      <c r="O1056" s="47"/>
      <c r="P1056" s="47"/>
    </row>
    <row r="1057" spans="3:16" x14ac:dyDescent="0.2">
      <c r="C1057" s="46"/>
      <c r="D1057" s="47"/>
      <c r="E1057" s="47"/>
      <c r="F1057" s="47"/>
      <c r="G1057" s="47"/>
      <c r="H1057" s="47"/>
      <c r="I1057" s="47"/>
      <c r="L1057" s="46"/>
      <c r="M1057" s="47"/>
      <c r="N1057" s="47"/>
      <c r="O1057" s="47"/>
      <c r="P1057" s="47"/>
    </row>
    <row r="1058" spans="3:16" x14ac:dyDescent="0.2">
      <c r="C1058" s="46"/>
      <c r="D1058" s="47"/>
      <c r="E1058" s="47"/>
      <c r="F1058" s="47"/>
      <c r="G1058" s="47"/>
      <c r="H1058" s="47"/>
      <c r="I1058" s="47"/>
      <c r="L1058" s="46"/>
      <c r="M1058" s="47"/>
      <c r="N1058" s="47"/>
      <c r="O1058" s="47"/>
      <c r="P1058" s="47"/>
    </row>
    <row r="1059" spans="3:16" x14ac:dyDescent="0.2">
      <c r="C1059" s="46"/>
      <c r="D1059" s="47"/>
      <c r="E1059" s="47"/>
      <c r="F1059" s="47"/>
      <c r="G1059" s="47"/>
      <c r="H1059" s="47"/>
      <c r="I1059" s="47"/>
      <c r="L1059" s="46"/>
      <c r="M1059" s="47"/>
      <c r="N1059" s="47"/>
      <c r="O1059" s="47"/>
      <c r="P1059" s="47"/>
    </row>
    <row r="1060" spans="3:16" x14ac:dyDescent="0.2">
      <c r="C1060" s="46"/>
      <c r="D1060" s="47"/>
      <c r="E1060" s="47"/>
      <c r="F1060" s="47"/>
      <c r="G1060" s="47"/>
      <c r="H1060" s="47"/>
      <c r="I1060" s="47"/>
      <c r="L1060" s="46"/>
      <c r="M1060" s="47"/>
      <c r="N1060" s="47"/>
      <c r="O1060" s="47"/>
      <c r="P1060" s="47"/>
    </row>
    <row r="1061" spans="3:16" x14ac:dyDescent="0.2">
      <c r="C1061" s="46"/>
      <c r="D1061" s="47"/>
      <c r="E1061" s="47"/>
      <c r="F1061" s="47"/>
      <c r="G1061" s="47"/>
      <c r="H1061" s="47"/>
      <c r="I1061" s="47"/>
      <c r="L1061" s="46"/>
      <c r="M1061" s="47"/>
      <c r="N1061" s="47"/>
      <c r="O1061" s="47"/>
      <c r="P1061" s="47"/>
    </row>
    <row r="1062" spans="3:16" x14ac:dyDescent="0.2">
      <c r="C1062" s="46"/>
      <c r="D1062" s="47"/>
      <c r="E1062" s="47"/>
      <c r="F1062" s="47"/>
      <c r="G1062" s="47"/>
      <c r="H1062" s="47"/>
      <c r="I1062" s="47"/>
      <c r="L1062" s="46"/>
      <c r="M1062" s="47"/>
      <c r="N1062" s="47"/>
      <c r="O1062" s="47"/>
      <c r="P1062" s="47"/>
    </row>
    <row r="1063" spans="3:16" x14ac:dyDescent="0.2">
      <c r="C1063" s="46"/>
      <c r="D1063" s="47"/>
      <c r="E1063" s="47"/>
      <c r="F1063" s="47"/>
      <c r="G1063" s="47"/>
      <c r="H1063" s="47"/>
      <c r="I1063" s="47"/>
      <c r="L1063" s="46"/>
      <c r="M1063" s="47"/>
      <c r="N1063" s="47"/>
      <c r="O1063" s="47"/>
      <c r="P1063" s="47"/>
    </row>
    <row r="1064" spans="3:16" x14ac:dyDescent="0.2">
      <c r="C1064" s="46"/>
      <c r="D1064" s="47"/>
      <c r="E1064" s="47"/>
      <c r="F1064" s="47"/>
      <c r="G1064" s="47"/>
      <c r="H1064" s="47"/>
      <c r="I1064" s="47"/>
      <c r="L1064" s="46"/>
      <c r="M1064" s="47"/>
      <c r="N1064" s="47"/>
      <c r="O1064" s="47"/>
      <c r="P1064" s="47"/>
    </row>
    <row r="1065" spans="3:16" x14ac:dyDescent="0.2">
      <c r="C1065" s="46"/>
      <c r="D1065" s="47"/>
      <c r="E1065" s="47"/>
      <c r="F1065" s="47"/>
      <c r="G1065" s="47"/>
      <c r="H1065" s="47"/>
      <c r="I1065" s="47"/>
      <c r="L1065" s="46"/>
      <c r="M1065" s="47"/>
      <c r="N1065" s="47"/>
      <c r="O1065" s="47"/>
      <c r="P1065" s="47"/>
    </row>
    <row r="1066" spans="3:16" x14ac:dyDescent="0.2">
      <c r="C1066" s="46"/>
      <c r="D1066" s="47"/>
      <c r="E1066" s="47"/>
      <c r="F1066" s="47"/>
      <c r="G1066" s="47"/>
      <c r="H1066" s="47"/>
      <c r="I1066" s="47"/>
      <c r="L1066" s="46"/>
      <c r="M1066" s="47"/>
      <c r="N1066" s="47"/>
      <c r="O1066" s="47"/>
      <c r="P1066" s="47"/>
    </row>
    <row r="1067" spans="3:16" x14ac:dyDescent="0.2">
      <c r="C1067" s="46"/>
      <c r="D1067" s="47"/>
      <c r="E1067" s="47"/>
      <c r="F1067" s="47"/>
      <c r="G1067" s="47"/>
      <c r="H1067" s="47"/>
      <c r="I1067" s="47"/>
      <c r="L1067" s="46"/>
      <c r="M1067" s="47"/>
      <c r="N1067" s="47"/>
      <c r="O1067" s="47"/>
      <c r="P1067" s="47"/>
    </row>
    <row r="1068" spans="3:16" x14ac:dyDescent="0.2">
      <c r="C1068" s="46"/>
      <c r="D1068" s="47"/>
      <c r="E1068" s="47"/>
      <c r="F1068" s="47"/>
      <c r="G1068" s="47"/>
      <c r="H1068" s="47"/>
      <c r="I1068" s="47"/>
      <c r="L1068" s="46"/>
      <c r="M1068" s="47"/>
      <c r="N1068" s="47"/>
      <c r="O1068" s="47"/>
      <c r="P1068" s="47"/>
    </row>
    <row r="1069" spans="3:16" x14ac:dyDescent="0.2">
      <c r="C1069" s="46"/>
      <c r="D1069" s="47"/>
      <c r="E1069" s="47"/>
      <c r="F1069" s="47"/>
      <c r="G1069" s="47"/>
      <c r="H1069" s="47"/>
      <c r="I1069" s="47"/>
      <c r="L1069" s="46"/>
      <c r="M1069" s="47"/>
      <c r="N1069" s="47"/>
      <c r="O1069" s="47"/>
      <c r="P1069" s="47"/>
    </row>
    <row r="1070" spans="3:16" x14ac:dyDescent="0.2">
      <c r="C1070" s="46"/>
      <c r="D1070" s="47"/>
      <c r="E1070" s="47"/>
      <c r="F1070" s="47"/>
      <c r="G1070" s="47"/>
      <c r="H1070" s="47"/>
      <c r="I1070" s="47"/>
      <c r="L1070" s="46"/>
      <c r="M1070" s="47"/>
      <c r="N1070" s="47"/>
      <c r="O1070" s="47"/>
      <c r="P1070" s="47"/>
    </row>
    <row r="1071" spans="3:16" x14ac:dyDescent="0.2">
      <c r="C1071" s="46"/>
      <c r="D1071" s="47"/>
      <c r="E1071" s="47"/>
      <c r="F1071" s="47"/>
      <c r="G1071" s="47"/>
      <c r="H1071" s="47"/>
      <c r="I1071" s="47"/>
      <c r="L1071" s="46"/>
      <c r="M1071" s="47"/>
      <c r="N1071" s="47"/>
      <c r="O1071" s="47"/>
      <c r="P1071" s="47"/>
    </row>
    <row r="1072" spans="3:16" x14ac:dyDescent="0.2">
      <c r="C1072" s="46"/>
      <c r="D1072" s="47"/>
      <c r="E1072" s="47"/>
      <c r="F1072" s="47"/>
      <c r="G1072" s="47"/>
      <c r="H1072" s="47"/>
      <c r="I1072" s="47"/>
      <c r="L1072" s="46"/>
      <c r="M1072" s="47"/>
      <c r="N1072" s="47"/>
      <c r="O1072" s="47"/>
      <c r="P1072" s="47"/>
    </row>
    <row r="1073" spans="3:16" x14ac:dyDescent="0.2">
      <c r="C1073" s="46"/>
      <c r="D1073" s="47"/>
      <c r="E1073" s="47"/>
      <c r="F1073" s="47"/>
      <c r="G1073" s="47"/>
      <c r="H1073" s="47"/>
      <c r="I1073" s="47"/>
      <c r="L1073" s="46"/>
      <c r="M1073" s="47"/>
      <c r="N1073" s="47"/>
      <c r="O1073" s="47"/>
      <c r="P1073" s="47"/>
    </row>
    <row r="1074" spans="3:16" x14ac:dyDescent="0.2">
      <c r="C1074" s="46"/>
      <c r="D1074" s="47"/>
      <c r="E1074" s="47"/>
      <c r="F1074" s="47"/>
      <c r="G1074" s="47"/>
      <c r="H1074" s="47"/>
      <c r="I1074" s="47"/>
      <c r="L1074" s="46"/>
      <c r="M1074" s="47"/>
      <c r="N1074" s="47"/>
      <c r="O1074" s="47"/>
      <c r="P1074" s="47"/>
    </row>
    <row r="1075" spans="3:16" x14ac:dyDescent="0.2">
      <c r="C1075" s="46"/>
      <c r="D1075" s="47"/>
      <c r="E1075" s="47"/>
      <c r="F1075" s="47"/>
      <c r="G1075" s="47"/>
      <c r="H1075" s="47"/>
      <c r="I1075" s="47"/>
      <c r="L1075" s="46"/>
      <c r="M1075" s="47"/>
      <c r="N1075" s="47"/>
      <c r="O1075" s="47"/>
      <c r="P1075" s="47"/>
    </row>
    <row r="1076" spans="3:16" x14ac:dyDescent="0.2">
      <c r="C1076" s="46"/>
      <c r="D1076" s="47"/>
      <c r="E1076" s="47"/>
      <c r="F1076" s="47"/>
      <c r="G1076" s="47"/>
      <c r="H1076" s="47"/>
      <c r="I1076" s="47"/>
      <c r="L1076" s="46"/>
      <c r="M1076" s="47"/>
      <c r="N1076" s="47"/>
      <c r="O1076" s="47"/>
      <c r="P1076" s="47"/>
    </row>
    <row r="1077" spans="3:16" x14ac:dyDescent="0.2">
      <c r="C1077" s="46"/>
      <c r="D1077" s="47"/>
      <c r="E1077" s="47"/>
      <c r="F1077" s="47"/>
      <c r="G1077" s="47"/>
      <c r="H1077" s="47"/>
      <c r="I1077" s="47"/>
      <c r="L1077" s="46"/>
      <c r="M1077" s="47"/>
      <c r="N1077" s="47"/>
      <c r="O1077" s="47"/>
      <c r="P1077" s="47"/>
    </row>
    <row r="1078" spans="3:16" x14ac:dyDescent="0.2">
      <c r="C1078" s="46"/>
      <c r="D1078" s="47"/>
      <c r="E1078" s="47"/>
      <c r="F1078" s="47"/>
      <c r="G1078" s="47"/>
      <c r="H1078" s="47"/>
      <c r="I1078" s="47"/>
      <c r="L1078" s="46"/>
      <c r="M1078" s="47"/>
      <c r="N1078" s="47"/>
      <c r="O1078" s="47"/>
      <c r="P1078" s="47"/>
    </row>
    <row r="1079" spans="3:16" x14ac:dyDescent="0.2">
      <c r="C1079" s="46"/>
      <c r="D1079" s="47"/>
      <c r="E1079" s="47"/>
      <c r="F1079" s="47"/>
      <c r="G1079" s="47"/>
      <c r="H1079" s="47"/>
      <c r="I1079" s="47"/>
      <c r="L1079" s="46"/>
      <c r="M1079" s="47"/>
      <c r="N1079" s="47"/>
      <c r="O1079" s="47"/>
      <c r="P1079" s="47"/>
    </row>
    <row r="1080" spans="3:16" x14ac:dyDescent="0.2">
      <c r="C1080" s="46"/>
      <c r="D1080" s="47"/>
      <c r="E1080" s="47"/>
      <c r="F1080" s="47"/>
      <c r="G1080" s="47"/>
      <c r="H1080" s="47"/>
      <c r="I1080" s="47"/>
      <c r="L1080" s="46"/>
      <c r="M1080" s="47"/>
      <c r="N1080" s="47"/>
      <c r="O1080" s="47"/>
      <c r="P1080" s="47"/>
    </row>
    <row r="1081" spans="3:16" x14ac:dyDescent="0.2">
      <c r="C1081" s="46"/>
      <c r="D1081" s="47"/>
      <c r="E1081" s="47"/>
      <c r="F1081" s="47"/>
      <c r="G1081" s="47"/>
      <c r="H1081" s="47"/>
      <c r="I1081" s="47"/>
      <c r="L1081" s="46"/>
      <c r="M1081" s="47"/>
      <c r="N1081" s="47"/>
      <c r="O1081" s="47"/>
      <c r="P1081" s="47"/>
    </row>
    <row r="1082" spans="3:16" x14ac:dyDescent="0.2">
      <c r="C1082" s="46"/>
      <c r="D1082" s="47"/>
      <c r="E1082" s="47"/>
      <c r="F1082" s="47"/>
      <c r="G1082" s="47"/>
      <c r="H1082" s="47"/>
      <c r="I1082" s="47"/>
      <c r="L1082" s="46"/>
      <c r="M1082" s="47"/>
      <c r="N1082" s="47"/>
      <c r="O1082" s="47"/>
      <c r="P1082" s="47"/>
    </row>
    <row r="1083" spans="3:16" x14ac:dyDescent="0.2">
      <c r="C1083" s="46"/>
      <c r="D1083" s="47"/>
      <c r="E1083" s="47"/>
      <c r="F1083" s="47"/>
      <c r="G1083" s="47"/>
      <c r="H1083" s="47"/>
      <c r="I1083" s="47"/>
      <c r="L1083" s="46"/>
      <c r="M1083" s="47"/>
      <c r="N1083" s="47"/>
      <c r="O1083" s="47"/>
      <c r="P1083" s="47"/>
    </row>
    <row r="1084" spans="3:16" x14ac:dyDescent="0.2">
      <c r="C1084" s="46"/>
      <c r="D1084" s="47"/>
      <c r="E1084" s="47"/>
      <c r="F1084" s="47"/>
      <c r="G1084" s="47"/>
      <c r="H1084" s="47"/>
      <c r="I1084" s="47"/>
      <c r="L1084" s="46"/>
      <c r="M1084" s="47"/>
      <c r="N1084" s="47"/>
      <c r="O1084" s="47"/>
      <c r="P1084" s="47"/>
    </row>
    <row r="1085" spans="3:16" x14ac:dyDescent="0.2">
      <c r="C1085" s="46"/>
      <c r="D1085" s="47"/>
      <c r="E1085" s="47"/>
      <c r="F1085" s="47"/>
      <c r="G1085" s="47"/>
      <c r="H1085" s="47"/>
      <c r="I1085" s="47"/>
      <c r="L1085" s="46"/>
      <c r="M1085" s="47"/>
      <c r="N1085" s="47"/>
      <c r="O1085" s="47"/>
      <c r="P1085" s="47"/>
    </row>
    <row r="1086" spans="3:16" x14ac:dyDescent="0.2">
      <c r="C1086" s="46"/>
      <c r="D1086" s="47"/>
      <c r="E1086" s="47"/>
      <c r="F1086" s="47"/>
      <c r="G1086" s="47"/>
      <c r="H1086" s="47"/>
      <c r="I1086" s="47"/>
      <c r="L1086" s="46"/>
      <c r="M1086" s="47"/>
      <c r="N1086" s="47"/>
      <c r="O1086" s="47"/>
      <c r="P1086" s="47"/>
    </row>
    <row r="1087" spans="3:16" x14ac:dyDescent="0.2">
      <c r="C1087" s="46"/>
      <c r="D1087" s="47"/>
      <c r="E1087" s="47"/>
      <c r="F1087" s="47"/>
      <c r="G1087" s="47"/>
      <c r="H1087" s="47"/>
      <c r="I1087" s="47"/>
      <c r="L1087" s="46"/>
      <c r="M1087" s="47"/>
      <c r="N1087" s="47"/>
      <c r="O1087" s="47"/>
      <c r="P1087" s="47"/>
    </row>
    <row r="1088" spans="3:16" x14ac:dyDescent="0.2">
      <c r="C1088" s="46"/>
      <c r="D1088" s="47"/>
      <c r="E1088" s="47"/>
      <c r="F1088" s="47"/>
      <c r="G1088" s="47"/>
      <c r="H1088" s="47"/>
      <c r="I1088" s="47"/>
      <c r="L1088" s="46"/>
      <c r="M1088" s="47"/>
      <c r="N1088" s="47"/>
      <c r="O1088" s="47"/>
      <c r="P1088" s="47"/>
    </row>
    <row r="1089" spans="3:16" x14ac:dyDescent="0.2">
      <c r="C1089" s="46"/>
      <c r="D1089" s="47"/>
      <c r="E1089" s="47"/>
      <c r="F1089" s="47"/>
      <c r="G1089" s="47"/>
      <c r="H1089" s="47"/>
      <c r="I1089" s="47"/>
      <c r="L1089" s="46"/>
      <c r="M1089" s="47"/>
      <c r="N1089" s="47"/>
      <c r="O1089" s="47"/>
      <c r="P1089" s="47"/>
    </row>
    <row r="1090" spans="3:16" x14ac:dyDescent="0.2">
      <c r="C1090" s="46"/>
      <c r="D1090" s="47"/>
      <c r="E1090" s="47"/>
      <c r="F1090" s="47"/>
      <c r="G1090" s="47"/>
      <c r="H1090" s="47"/>
      <c r="I1090" s="47"/>
      <c r="L1090" s="46"/>
      <c r="M1090" s="47"/>
      <c r="N1090" s="47"/>
      <c r="O1090" s="47"/>
      <c r="P1090" s="47"/>
    </row>
    <row r="1091" spans="3:16" x14ac:dyDescent="0.2">
      <c r="C1091" s="46"/>
      <c r="D1091" s="47"/>
      <c r="E1091" s="47"/>
      <c r="F1091" s="47"/>
      <c r="G1091" s="47"/>
      <c r="H1091" s="47"/>
      <c r="I1091" s="47"/>
      <c r="L1091" s="46"/>
      <c r="M1091" s="47"/>
      <c r="N1091" s="47"/>
      <c r="O1091" s="47"/>
      <c r="P1091" s="47"/>
    </row>
    <row r="1092" spans="3:16" x14ac:dyDescent="0.2">
      <c r="C1092" s="46"/>
      <c r="D1092" s="47"/>
      <c r="E1092" s="47"/>
      <c r="F1092" s="47"/>
      <c r="G1092" s="47"/>
      <c r="H1092" s="47"/>
      <c r="I1092" s="47"/>
      <c r="L1092" s="46"/>
      <c r="M1092" s="47"/>
      <c r="N1092" s="47"/>
      <c r="O1092" s="47"/>
      <c r="P1092" s="47"/>
    </row>
    <row r="1093" spans="3:16" x14ac:dyDescent="0.2">
      <c r="C1093" s="46"/>
      <c r="D1093" s="47"/>
      <c r="E1093" s="47"/>
      <c r="F1093" s="47"/>
      <c r="G1093" s="47"/>
      <c r="H1093" s="47"/>
      <c r="I1093" s="47"/>
      <c r="L1093" s="46"/>
      <c r="M1093" s="47"/>
      <c r="N1093" s="47"/>
      <c r="O1093" s="47"/>
      <c r="P1093" s="47"/>
    </row>
    <row r="1094" spans="3:16" x14ac:dyDescent="0.2">
      <c r="C1094" s="46"/>
      <c r="D1094" s="47"/>
      <c r="E1094" s="47"/>
      <c r="F1094" s="47"/>
      <c r="G1094" s="47"/>
      <c r="H1094" s="47"/>
      <c r="I1094" s="47"/>
      <c r="L1094" s="46"/>
      <c r="M1094" s="47"/>
      <c r="N1094" s="47"/>
      <c r="O1094" s="47"/>
      <c r="P1094" s="47"/>
    </row>
    <row r="1095" spans="3:16" x14ac:dyDescent="0.2">
      <c r="C1095" s="46"/>
      <c r="D1095" s="47"/>
      <c r="E1095" s="47"/>
      <c r="F1095" s="47"/>
      <c r="G1095" s="47"/>
      <c r="H1095" s="47"/>
      <c r="I1095" s="47"/>
      <c r="L1095" s="46"/>
      <c r="M1095" s="47"/>
      <c r="N1095" s="47"/>
      <c r="O1095" s="47"/>
      <c r="P1095" s="47"/>
    </row>
    <row r="1096" spans="3:16" x14ac:dyDescent="0.2">
      <c r="C1096" s="46"/>
      <c r="D1096" s="47"/>
      <c r="E1096" s="47"/>
      <c r="F1096" s="47"/>
      <c r="G1096" s="47"/>
      <c r="H1096" s="47"/>
      <c r="I1096" s="47"/>
      <c r="L1096" s="46"/>
      <c r="M1096" s="47"/>
      <c r="N1096" s="47"/>
      <c r="O1096" s="47"/>
      <c r="P1096" s="47"/>
    </row>
    <row r="1097" spans="3:16" x14ac:dyDescent="0.2">
      <c r="C1097" s="46"/>
      <c r="D1097" s="47"/>
      <c r="E1097" s="47"/>
      <c r="F1097" s="47"/>
      <c r="G1097" s="47"/>
      <c r="H1097" s="47"/>
      <c r="I1097" s="47"/>
      <c r="L1097" s="46"/>
      <c r="M1097" s="47"/>
      <c r="N1097" s="47"/>
      <c r="O1097" s="47"/>
      <c r="P1097" s="47"/>
    </row>
    <row r="1098" spans="3:16" x14ac:dyDescent="0.2">
      <c r="C1098" s="46"/>
      <c r="D1098" s="47"/>
      <c r="E1098" s="47"/>
      <c r="F1098" s="47"/>
      <c r="G1098" s="47"/>
      <c r="H1098" s="47"/>
      <c r="I1098" s="47"/>
      <c r="L1098" s="46"/>
      <c r="M1098" s="47"/>
      <c r="N1098" s="47"/>
      <c r="O1098" s="47"/>
      <c r="P1098" s="47"/>
    </row>
    <row r="1099" spans="3:16" x14ac:dyDescent="0.2">
      <c r="C1099" s="46"/>
      <c r="D1099" s="47"/>
      <c r="E1099" s="47"/>
      <c r="F1099" s="47"/>
      <c r="G1099" s="47"/>
      <c r="H1099" s="47"/>
      <c r="I1099" s="47"/>
      <c r="L1099" s="46"/>
      <c r="M1099" s="47"/>
      <c r="N1099" s="47"/>
      <c r="O1099" s="47"/>
      <c r="P1099" s="47"/>
    </row>
    <row r="1100" spans="3:16" x14ac:dyDescent="0.2">
      <c r="C1100" s="46"/>
      <c r="D1100" s="47"/>
      <c r="E1100" s="47"/>
      <c r="F1100" s="47"/>
      <c r="G1100" s="47"/>
      <c r="H1100" s="47"/>
      <c r="I1100" s="47"/>
      <c r="L1100" s="46"/>
      <c r="M1100" s="47"/>
      <c r="N1100" s="47"/>
      <c r="O1100" s="47"/>
      <c r="P1100" s="47"/>
    </row>
    <row r="1101" spans="3:16" x14ac:dyDescent="0.2">
      <c r="C1101" s="46"/>
      <c r="D1101" s="47"/>
      <c r="E1101" s="47"/>
      <c r="F1101" s="47"/>
      <c r="G1101" s="47"/>
      <c r="H1101" s="47"/>
      <c r="I1101" s="47"/>
      <c r="L1101" s="46"/>
      <c r="M1101" s="47"/>
      <c r="N1101" s="47"/>
      <c r="O1101" s="47"/>
      <c r="P1101" s="47"/>
    </row>
    <row r="1102" spans="3:16" x14ac:dyDescent="0.2">
      <c r="C1102" s="46"/>
      <c r="D1102" s="47"/>
      <c r="E1102" s="47"/>
      <c r="F1102" s="47"/>
      <c r="G1102" s="47"/>
      <c r="H1102" s="47"/>
      <c r="I1102" s="47"/>
      <c r="L1102" s="46"/>
      <c r="M1102" s="47"/>
      <c r="N1102" s="47"/>
      <c r="O1102" s="47"/>
      <c r="P1102" s="47"/>
    </row>
    <row r="1103" spans="3:16" x14ac:dyDescent="0.2">
      <c r="C1103" s="46"/>
      <c r="D1103" s="47"/>
      <c r="E1103" s="47"/>
      <c r="F1103" s="47"/>
      <c r="G1103" s="47"/>
      <c r="H1103" s="47"/>
      <c r="I1103" s="47"/>
      <c r="L1103" s="46"/>
      <c r="M1103" s="47"/>
      <c r="N1103" s="47"/>
      <c r="O1103" s="47"/>
      <c r="P1103" s="47"/>
    </row>
    <row r="1104" spans="3:16" x14ac:dyDescent="0.2">
      <c r="C1104" s="46"/>
      <c r="D1104" s="47"/>
      <c r="E1104" s="47"/>
      <c r="F1104" s="47"/>
      <c r="G1104" s="47"/>
      <c r="H1104" s="47"/>
      <c r="I1104" s="47"/>
      <c r="L1104" s="46"/>
      <c r="M1104" s="47"/>
      <c r="N1104" s="47"/>
      <c r="O1104" s="47"/>
      <c r="P1104" s="47"/>
    </row>
    <row r="1105" spans="3:16" x14ac:dyDescent="0.2">
      <c r="C1105" s="46"/>
      <c r="D1105" s="47"/>
      <c r="E1105" s="47"/>
      <c r="F1105" s="47"/>
      <c r="G1105" s="47"/>
      <c r="H1105" s="47"/>
      <c r="I1105" s="47"/>
      <c r="L1105" s="46"/>
      <c r="M1105" s="47"/>
      <c r="N1105" s="47"/>
      <c r="O1105" s="47"/>
      <c r="P1105" s="47"/>
    </row>
    <row r="1106" spans="3:16" x14ac:dyDescent="0.2">
      <c r="C1106" s="46"/>
      <c r="D1106" s="47"/>
      <c r="E1106" s="47"/>
      <c r="F1106" s="47"/>
      <c r="G1106" s="47"/>
      <c r="H1106" s="47"/>
      <c r="I1106" s="47"/>
      <c r="L1106" s="46"/>
      <c r="M1106" s="47"/>
      <c r="N1106" s="47"/>
      <c r="O1106" s="47"/>
      <c r="P1106" s="47"/>
    </row>
    <row r="1107" spans="3:16" x14ac:dyDescent="0.2">
      <c r="C1107" s="46"/>
      <c r="D1107" s="47"/>
      <c r="E1107" s="47"/>
      <c r="F1107" s="47"/>
      <c r="G1107" s="47"/>
      <c r="H1107" s="47"/>
      <c r="I1107" s="47"/>
      <c r="L1107" s="46"/>
      <c r="M1107" s="47"/>
      <c r="N1107" s="47"/>
      <c r="O1107" s="47"/>
      <c r="P1107" s="47"/>
    </row>
    <row r="1108" spans="3:16" x14ac:dyDescent="0.2">
      <c r="C1108" s="46"/>
      <c r="D1108" s="47"/>
      <c r="E1108" s="47"/>
      <c r="F1108" s="47"/>
      <c r="G1108" s="47"/>
      <c r="H1108" s="47"/>
      <c r="I1108" s="47"/>
      <c r="L1108" s="46"/>
      <c r="M1108" s="47"/>
      <c r="N1108" s="47"/>
      <c r="O1108" s="47"/>
      <c r="P1108" s="47"/>
    </row>
    <row r="1109" spans="3:16" x14ac:dyDescent="0.2">
      <c r="C1109" s="46"/>
      <c r="D1109" s="47"/>
      <c r="E1109" s="47"/>
      <c r="F1109" s="47"/>
      <c r="G1109" s="47"/>
      <c r="H1109" s="47"/>
      <c r="I1109" s="47"/>
      <c r="L1109" s="46"/>
      <c r="M1109" s="47"/>
      <c r="N1109" s="47"/>
      <c r="O1109" s="47"/>
      <c r="P1109" s="47"/>
    </row>
    <row r="1110" spans="3:16" x14ac:dyDescent="0.2">
      <c r="C1110" s="46"/>
      <c r="D1110" s="47"/>
      <c r="E1110" s="47"/>
      <c r="F1110" s="47"/>
      <c r="G1110" s="47"/>
      <c r="H1110" s="47"/>
      <c r="I1110" s="47"/>
      <c r="L1110" s="46"/>
      <c r="M1110" s="47"/>
      <c r="N1110" s="47"/>
      <c r="O1110" s="47"/>
      <c r="P1110" s="47"/>
    </row>
    <row r="1111" spans="3:16" x14ac:dyDescent="0.2">
      <c r="C1111" s="46"/>
      <c r="D1111" s="47"/>
      <c r="E1111" s="47"/>
      <c r="F1111" s="47"/>
      <c r="G1111" s="47"/>
      <c r="H1111" s="47"/>
      <c r="I1111" s="47"/>
      <c r="L1111" s="46"/>
      <c r="M1111" s="47"/>
      <c r="N1111" s="47"/>
      <c r="O1111" s="47"/>
      <c r="P1111" s="47"/>
    </row>
    <row r="1112" spans="3:16" x14ac:dyDescent="0.2">
      <c r="C1112" s="46"/>
      <c r="D1112" s="47"/>
      <c r="E1112" s="47"/>
      <c r="F1112" s="47"/>
      <c r="G1112" s="47"/>
      <c r="H1112" s="47"/>
      <c r="I1112" s="47"/>
      <c r="L1112" s="46"/>
      <c r="M1112" s="47"/>
      <c r="N1112" s="47"/>
      <c r="O1112" s="47"/>
      <c r="P1112" s="47"/>
    </row>
    <row r="1113" spans="3:16" x14ac:dyDescent="0.2">
      <c r="C1113" s="46"/>
      <c r="D1113" s="47"/>
      <c r="E1113" s="47"/>
      <c r="F1113" s="47"/>
      <c r="G1113" s="47"/>
      <c r="H1113" s="47"/>
      <c r="I1113" s="47"/>
      <c r="L1113" s="46"/>
      <c r="M1113" s="47"/>
      <c r="N1113" s="47"/>
      <c r="O1113" s="47"/>
      <c r="P1113" s="47"/>
    </row>
    <row r="1114" spans="3:16" x14ac:dyDescent="0.2">
      <c r="C1114" s="46"/>
      <c r="D1114" s="47"/>
      <c r="E1114" s="47"/>
      <c r="F1114" s="47"/>
      <c r="G1114" s="47"/>
      <c r="H1114" s="47"/>
      <c r="I1114" s="47"/>
      <c r="L1114" s="46"/>
      <c r="M1114" s="47"/>
      <c r="N1114" s="47"/>
      <c r="O1114" s="47"/>
      <c r="P1114" s="47"/>
    </row>
    <row r="1115" spans="3:16" x14ac:dyDescent="0.2">
      <c r="C1115" s="46"/>
      <c r="D1115" s="47"/>
      <c r="E1115" s="47"/>
      <c r="F1115" s="47"/>
      <c r="G1115" s="47"/>
      <c r="L1115" s="46"/>
      <c r="M1115" s="47"/>
      <c r="N1115" s="47"/>
      <c r="O1115" s="47"/>
      <c r="P1115" s="47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2'!A1" display="下一页"/>
    <hyperlink ref="Q6" location="目录!A1" display="目录"/>
    <hyperlink ref="H6" location="目录!A1" display="上一页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115"/>
  <sheetViews>
    <sheetView showGridLines="0" workbookViewId="0"/>
  </sheetViews>
  <sheetFormatPr defaultRowHeight="12" x14ac:dyDescent="0.35"/>
  <cols>
    <col min="1" max="1" width="1.1796875" style="51" customWidth="1"/>
    <col min="2" max="2" width="1.6328125" style="51" customWidth="1"/>
    <col min="3" max="3" width="8.453125" style="51" customWidth="1"/>
    <col min="4" max="8" width="9.1796875" style="51" customWidth="1"/>
    <col min="9" max="9" width="1.6328125" style="51" customWidth="1"/>
    <col min="10" max="10" width="1.1796875" style="51" customWidth="1"/>
    <col min="11" max="11" width="1.6328125" style="51" customWidth="1"/>
    <col min="12" max="12" width="8.453125" style="51" customWidth="1"/>
    <col min="13" max="17" width="9.1796875" style="51" customWidth="1"/>
    <col min="18" max="18" width="1.6328125" style="51" customWidth="1"/>
    <col min="19" max="19" width="1.81640625" style="51" customWidth="1"/>
    <col min="20" max="16384" width="8.7265625" style="51"/>
  </cols>
  <sheetData>
    <row r="1" spans="1:21" s="13" customFormat="1" ht="27.75" x14ac:dyDescent="0.35">
      <c r="A1" s="11"/>
      <c r="B1" s="11"/>
      <c r="C1" s="11"/>
      <c r="D1" s="66" t="s">
        <v>31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idden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idden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6"/>
      <c r="C6" s="55" t="s">
        <v>14</v>
      </c>
      <c r="D6" s="55"/>
      <c r="E6" s="55"/>
      <c r="F6" s="55"/>
      <c r="G6" s="55"/>
      <c r="H6" s="55" t="s">
        <v>13</v>
      </c>
      <c r="I6" s="56"/>
      <c r="J6" s="57"/>
      <c r="K6" s="56"/>
      <c r="L6" s="55" t="s">
        <v>12</v>
      </c>
      <c r="M6" s="55"/>
      <c r="N6" s="55"/>
      <c r="O6" s="55"/>
      <c r="P6" s="55"/>
      <c r="Q6" s="55" t="s">
        <v>14</v>
      </c>
      <c r="R6" s="56"/>
      <c r="S6" s="16"/>
    </row>
    <row r="7" spans="1:21" s="13" customFormat="1" ht="9.9499999999999993" customHeight="1" x14ac:dyDescent="0.35">
      <c r="A7" s="15"/>
      <c r="B7" s="56"/>
      <c r="C7" s="56"/>
      <c r="D7" s="56"/>
      <c r="E7" s="56"/>
      <c r="F7" s="56"/>
      <c r="G7" s="56"/>
      <c r="H7" s="56"/>
      <c r="I7" s="56"/>
      <c r="J7" s="57"/>
      <c r="K7" s="56"/>
      <c r="L7" s="56"/>
      <c r="M7" s="56"/>
      <c r="N7" s="56"/>
      <c r="O7" s="56"/>
      <c r="P7" s="56"/>
      <c r="Q7" s="56"/>
      <c r="R7" s="56"/>
      <c r="S7" s="16"/>
    </row>
    <row r="8" spans="1:21" s="60" customFormat="1" ht="17.25" customHeight="1" x14ac:dyDescent="0.3">
      <c r="A8" s="58"/>
      <c r="B8" s="59"/>
      <c r="C8" s="61" t="s">
        <v>15</v>
      </c>
      <c r="D8" s="62">
        <v>30</v>
      </c>
      <c r="H8" s="19"/>
      <c r="I8" s="56"/>
      <c r="J8" s="57"/>
      <c r="K8" s="56"/>
      <c r="L8" s="61" t="s">
        <v>15</v>
      </c>
      <c r="M8" s="62">
        <v>30</v>
      </c>
      <c r="Q8" s="19"/>
      <c r="R8" s="59"/>
      <c r="S8" s="58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3</v>
      </c>
      <c r="D10" s="19">
        <f>ROW(C40)</f>
        <v>40</v>
      </c>
      <c r="J10" s="18"/>
      <c r="L10" s="19" t="s">
        <v>3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4</v>
      </c>
      <c r="D11" s="20">
        <f>MATCH(MAX(C:C),C:C)</f>
        <v>125</v>
      </c>
      <c r="J11" s="18"/>
      <c r="L11" s="19" t="s">
        <v>7</v>
      </c>
      <c r="M11" s="20">
        <f>MATCH(MAX(L:L),L:L)</f>
        <v>125</v>
      </c>
      <c r="S11" s="18"/>
    </row>
    <row r="12" spans="1:21" s="19" customFormat="1" ht="11.25" hidden="1" customHeight="1" x14ac:dyDescent="0.35">
      <c r="A12" s="18"/>
      <c r="C12" s="19" t="s">
        <v>6</v>
      </c>
      <c r="D12" s="20">
        <f>D11-D10</f>
        <v>85</v>
      </c>
      <c r="J12" s="18"/>
      <c r="L12" s="19" t="s">
        <v>8</v>
      </c>
      <c r="M12" s="20">
        <f>M11-M10</f>
        <v>85</v>
      </c>
      <c r="S12" s="18"/>
    </row>
    <row r="13" spans="1:21" s="19" customFormat="1" ht="21" x14ac:dyDescent="0.35">
      <c r="A13" s="18"/>
      <c r="C13" s="50" t="s">
        <v>39</v>
      </c>
      <c r="J13" s="18"/>
      <c r="L13" s="50" t="s">
        <v>41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4" t="s">
        <v>11</v>
      </c>
      <c r="D36" s="52"/>
      <c r="E36" s="52"/>
      <c r="F36" s="52"/>
      <c r="G36" s="54" t="s">
        <v>25</v>
      </c>
      <c r="H36" s="63">
        <f>DATE(YEAR(MAX($C:$C)),MONTH(MAX($C:$C)),1)</f>
        <v>45292</v>
      </c>
      <c r="I36" s="52"/>
      <c r="J36" s="53"/>
      <c r="L36" s="54" t="s">
        <v>11</v>
      </c>
      <c r="P36" s="54" t="s">
        <v>24</v>
      </c>
      <c r="Q36" s="64">
        <f>DATE(YEAR(MAX($L:$L)),MONTH(MAX($L:$L)),1)</f>
        <v>45292</v>
      </c>
      <c r="S36" s="18"/>
    </row>
    <row r="37" spans="1:22" s="19" customFormat="1" ht="11.25" customHeight="1" x14ac:dyDescent="0.35">
      <c r="A37" s="18"/>
      <c r="C37" s="54"/>
      <c r="D37" s="52"/>
      <c r="E37" s="52"/>
      <c r="F37" s="52"/>
      <c r="G37" s="52"/>
      <c r="H37" s="52"/>
      <c r="I37" s="52"/>
      <c r="J37" s="53"/>
      <c r="L37" s="54"/>
      <c r="S37" s="18"/>
    </row>
    <row r="38" spans="1:22" s="19" customFormat="1" ht="18" x14ac:dyDescent="0.35">
      <c r="A38" s="18"/>
      <c r="C38" s="67" t="s">
        <v>9</v>
      </c>
      <c r="D38" s="67"/>
      <c r="E38" s="67"/>
      <c r="F38" s="67"/>
      <c r="G38" s="67"/>
      <c r="H38" s="67"/>
      <c r="J38" s="25"/>
      <c r="L38" s="67" t="s">
        <v>10</v>
      </c>
      <c r="M38" s="67"/>
      <c r="N38" s="67"/>
      <c r="O38" s="67"/>
      <c r="P38" s="67"/>
      <c r="Q38" s="67"/>
      <c r="S38" s="18"/>
    </row>
    <row r="39" spans="1:22" s="19" customFormat="1" ht="17.25" x14ac:dyDescent="0.3">
      <c r="A39" s="18"/>
      <c r="C39" s="26" t="str">
        <f>[1]!edb()</f>
        <v>Wind</v>
      </c>
      <c r="D39" s="27"/>
      <c r="E39" s="28"/>
      <c r="F39" s="29"/>
      <c r="G39" s="29"/>
      <c r="H39" s="29"/>
      <c r="J39" s="30"/>
      <c r="L39" s="31" t="str">
        <f>[1]!edb()</f>
        <v>Wind</v>
      </c>
      <c r="M39" s="32"/>
      <c r="N39" s="29"/>
      <c r="O39" s="29"/>
      <c r="P39" s="29"/>
      <c r="Q39" s="29"/>
      <c r="R39" s="29"/>
      <c r="S39" s="18"/>
    </row>
    <row r="40" spans="1:22" s="19" customFormat="1" ht="42.75" x14ac:dyDescent="0.35">
      <c r="A40" s="18"/>
      <c r="C40" s="33" t="s">
        <v>43</v>
      </c>
      <c r="D40" s="33" t="s">
        <v>44</v>
      </c>
      <c r="E40" s="33" t="s">
        <v>45</v>
      </c>
      <c r="F40" s="33" t="s">
        <v>36</v>
      </c>
      <c r="G40" s="33"/>
      <c r="H40" s="33"/>
      <c r="J40" s="30"/>
      <c r="L40" s="33" t="s">
        <v>48</v>
      </c>
      <c r="M40" s="33" t="s">
        <v>37</v>
      </c>
      <c r="N40" s="33" t="s">
        <v>38</v>
      </c>
      <c r="O40" s="33" t="s">
        <v>52</v>
      </c>
      <c r="P40" s="33"/>
      <c r="Q40" s="34"/>
      <c r="R40" s="34"/>
      <c r="S40" s="18"/>
      <c r="T40" s="35"/>
    </row>
    <row r="41" spans="1:22" s="19" customFormat="1" x14ac:dyDescent="0.2">
      <c r="A41" s="18"/>
      <c r="C41" s="43">
        <v>42766</v>
      </c>
      <c r="D41" s="36">
        <v>0.5423</v>
      </c>
      <c r="E41" s="36">
        <v>0.3463</v>
      </c>
      <c r="F41" s="36">
        <v>0.19600000000000001</v>
      </c>
      <c r="G41" s="36"/>
      <c r="H41" s="36"/>
      <c r="J41" s="18"/>
      <c r="L41" s="43">
        <v>42766</v>
      </c>
      <c r="M41" s="36">
        <v>-61</v>
      </c>
      <c r="N41" s="36">
        <v>-55</v>
      </c>
      <c r="O41" s="36">
        <v>-67</v>
      </c>
      <c r="P41" s="36"/>
      <c r="Q41" s="24"/>
      <c r="R41" s="24"/>
      <c r="S41" s="37"/>
      <c r="T41" s="38"/>
      <c r="U41" s="38"/>
      <c r="V41" s="38"/>
    </row>
    <row r="42" spans="1:22" s="19" customFormat="1" x14ac:dyDescent="0.2">
      <c r="A42" s="18"/>
      <c r="C42" s="42">
        <v>42794</v>
      </c>
      <c r="D42" s="39">
        <v>1.6520999999999999</v>
      </c>
      <c r="E42" s="39">
        <v>1.3310999999999999</v>
      </c>
      <c r="F42" s="39">
        <v>0.32100000000000001</v>
      </c>
      <c r="G42" s="39"/>
      <c r="H42" s="39"/>
      <c r="J42" s="18"/>
      <c r="L42" s="42">
        <v>42794</v>
      </c>
      <c r="M42" s="39">
        <v>64</v>
      </c>
      <c r="N42" s="39">
        <v>110</v>
      </c>
      <c r="O42" s="39">
        <v>-15</v>
      </c>
      <c r="P42" s="39"/>
      <c r="Q42" s="24"/>
      <c r="R42" s="24"/>
      <c r="S42" s="37"/>
      <c r="T42" s="40"/>
      <c r="U42" s="41"/>
      <c r="V42" s="41"/>
    </row>
    <row r="43" spans="1:22" s="19" customFormat="1" x14ac:dyDescent="0.2">
      <c r="A43" s="18"/>
      <c r="C43" s="43">
        <v>42825</v>
      </c>
      <c r="D43" s="36">
        <v>2.7568000000000001</v>
      </c>
      <c r="E43" s="36">
        <v>2.2953000000000001</v>
      </c>
      <c r="F43" s="36">
        <v>0.46150000000000002</v>
      </c>
      <c r="G43" s="36"/>
      <c r="H43" s="36"/>
      <c r="J43" s="18"/>
      <c r="L43" s="43">
        <v>42825</v>
      </c>
      <c r="M43" s="36">
        <v>76</v>
      </c>
      <c r="N43" s="36">
        <v>117</v>
      </c>
      <c r="O43" s="36">
        <v>-9</v>
      </c>
      <c r="P43" s="36"/>
      <c r="Q43" s="24"/>
      <c r="R43" s="24"/>
      <c r="S43" s="37"/>
      <c r="T43" s="40"/>
      <c r="U43" s="41"/>
      <c r="V43" s="41"/>
    </row>
    <row r="44" spans="1:22" s="19" customFormat="1" x14ac:dyDescent="0.2">
      <c r="A44" s="18"/>
      <c r="C44" s="42">
        <v>42855</v>
      </c>
      <c r="D44" s="39">
        <v>2.9222000000000001</v>
      </c>
      <c r="E44" s="39">
        <v>2.4363000000000001</v>
      </c>
      <c r="F44" s="39">
        <v>0.4859</v>
      </c>
      <c r="G44" s="39"/>
      <c r="H44" s="39"/>
      <c r="J44" s="18"/>
      <c r="L44" s="42">
        <v>42855</v>
      </c>
      <c r="M44" s="39">
        <v>41</v>
      </c>
      <c r="N44" s="39">
        <v>77</v>
      </c>
      <c r="O44" s="39">
        <v>-30</v>
      </c>
      <c r="P44" s="39"/>
      <c r="Q44" s="24"/>
      <c r="R44" s="24"/>
      <c r="S44" s="37"/>
      <c r="T44" s="40"/>
      <c r="U44" s="41"/>
      <c r="V44" s="41"/>
    </row>
    <row r="45" spans="1:22" s="19" customFormat="1" x14ac:dyDescent="0.2">
      <c r="A45" s="18"/>
      <c r="C45" s="43">
        <v>42886</v>
      </c>
      <c r="D45" s="36">
        <v>3.8119000000000001</v>
      </c>
      <c r="E45" s="36">
        <v>3.1713</v>
      </c>
      <c r="F45" s="36">
        <v>0.64059999999999995</v>
      </c>
      <c r="G45" s="36"/>
      <c r="H45" s="36"/>
      <c r="J45" s="18"/>
      <c r="L45" s="43">
        <v>42886</v>
      </c>
      <c r="M45" s="36">
        <v>45</v>
      </c>
      <c r="N45" s="36">
        <v>84</v>
      </c>
      <c r="O45" s="36">
        <v>-29</v>
      </c>
      <c r="P45" s="36"/>
      <c r="Q45" s="24"/>
      <c r="R45" s="24"/>
      <c r="S45" s="37"/>
      <c r="T45" s="40"/>
      <c r="U45" s="41"/>
      <c r="V45" s="41"/>
    </row>
    <row r="46" spans="1:22" s="19" customFormat="1" x14ac:dyDescent="0.2">
      <c r="A46" s="18"/>
      <c r="C46" s="42">
        <v>42916</v>
      </c>
      <c r="D46" s="39">
        <v>3.8793000000000002</v>
      </c>
      <c r="E46" s="39">
        <v>3.1800999999999999</v>
      </c>
      <c r="F46" s="39">
        <v>0.69920000000000004</v>
      </c>
      <c r="G46" s="39"/>
      <c r="H46" s="39"/>
      <c r="J46" s="18"/>
      <c r="L46" s="42">
        <v>42916</v>
      </c>
      <c r="M46" s="39">
        <v>14</v>
      </c>
      <c r="N46" s="39">
        <v>28</v>
      </c>
      <c r="O46" s="39">
        <v>-23</v>
      </c>
      <c r="P46" s="39"/>
      <c r="Q46" s="24"/>
      <c r="R46" s="24"/>
      <c r="S46" s="37"/>
      <c r="T46" s="40"/>
      <c r="U46" s="41"/>
      <c r="V46" s="41"/>
    </row>
    <row r="47" spans="1:22" s="19" customFormat="1" x14ac:dyDescent="0.2">
      <c r="A47" s="18"/>
      <c r="C47" s="43">
        <v>42947</v>
      </c>
      <c r="D47" s="36">
        <v>4.3117000000000001</v>
      </c>
      <c r="E47" s="36">
        <v>3.2648999999999999</v>
      </c>
      <c r="F47" s="36">
        <v>1.0468</v>
      </c>
      <c r="G47" s="36"/>
      <c r="H47" s="36"/>
      <c r="J47" s="18"/>
      <c r="L47" s="43">
        <v>42947</v>
      </c>
      <c r="M47" s="36">
        <v>46</v>
      </c>
      <c r="N47" s="36">
        <v>61</v>
      </c>
      <c r="O47" s="36">
        <v>14</v>
      </c>
      <c r="P47" s="36"/>
      <c r="Q47" s="24"/>
      <c r="R47" s="24"/>
      <c r="S47" s="37"/>
      <c r="T47" s="40"/>
      <c r="U47" s="41"/>
      <c r="V47" s="41"/>
    </row>
    <row r="48" spans="1:22" s="19" customFormat="1" x14ac:dyDescent="0.2">
      <c r="A48" s="18"/>
      <c r="C48" s="42">
        <v>42978</v>
      </c>
      <c r="D48" s="39">
        <v>5.2744</v>
      </c>
      <c r="E48" s="39">
        <v>4.2138999999999998</v>
      </c>
      <c r="F48" s="39">
        <v>1.0605</v>
      </c>
      <c r="G48" s="39"/>
      <c r="H48" s="39"/>
      <c r="J48" s="18"/>
      <c r="L48" s="42">
        <v>42978</v>
      </c>
      <c r="M48" s="39">
        <v>73</v>
      </c>
      <c r="N48" s="39">
        <v>89</v>
      </c>
      <c r="O48" s="39">
        <v>29</v>
      </c>
      <c r="P48" s="39"/>
      <c r="Q48" s="24"/>
      <c r="R48" s="24"/>
      <c r="S48" s="37"/>
      <c r="T48" s="40"/>
      <c r="U48" s="41"/>
      <c r="V48" s="41"/>
    </row>
    <row r="49" spans="1:22" s="19" customFormat="1" x14ac:dyDescent="0.2">
      <c r="A49" s="18"/>
      <c r="C49" s="43">
        <v>43008</v>
      </c>
      <c r="D49" s="36">
        <v>5.8216999999999999</v>
      </c>
      <c r="E49" s="36">
        <v>4.5561999999999996</v>
      </c>
      <c r="F49" s="36">
        <v>1.2655000000000001</v>
      </c>
      <c r="G49" s="36"/>
      <c r="H49" s="36"/>
      <c r="J49" s="18"/>
      <c r="L49" s="43">
        <v>43008</v>
      </c>
      <c r="M49" s="36">
        <v>90</v>
      </c>
      <c r="N49" s="36">
        <v>97</v>
      </c>
      <c r="O49" s="36">
        <v>70</v>
      </c>
      <c r="P49" s="36"/>
      <c r="Q49" s="24"/>
      <c r="R49" s="24"/>
      <c r="S49" s="37"/>
      <c r="T49" s="40"/>
      <c r="U49" s="41"/>
      <c r="V49" s="41"/>
    </row>
    <row r="50" spans="1:22" s="19" customFormat="1" x14ac:dyDescent="0.2">
      <c r="A50" s="18"/>
      <c r="C50" s="42">
        <v>43039</v>
      </c>
      <c r="D50" s="39">
        <v>6.4931000000000001</v>
      </c>
      <c r="E50" s="39">
        <v>5.2381000000000002</v>
      </c>
      <c r="F50" s="39">
        <v>1.2549999999999999</v>
      </c>
      <c r="G50" s="39"/>
      <c r="H50" s="39"/>
      <c r="J50" s="18"/>
      <c r="L50" s="42">
        <v>43039</v>
      </c>
      <c r="M50" s="39">
        <v>102</v>
      </c>
      <c r="N50" s="39">
        <v>87</v>
      </c>
      <c r="O50" s="39">
        <v>200</v>
      </c>
      <c r="P50" s="39"/>
      <c r="Q50" s="24"/>
      <c r="R50" s="24"/>
      <c r="S50" s="37"/>
      <c r="T50" s="40"/>
      <c r="U50" s="41"/>
      <c r="V50" s="41"/>
    </row>
    <row r="51" spans="1:22" s="19" customFormat="1" x14ac:dyDescent="0.2">
      <c r="A51" s="18"/>
      <c r="C51" s="43">
        <v>43069</v>
      </c>
      <c r="D51" s="36">
        <v>8.0767000000000007</v>
      </c>
      <c r="E51" s="36">
        <v>6.6153000000000004</v>
      </c>
      <c r="F51" s="36">
        <v>1.4614</v>
      </c>
      <c r="G51" s="36"/>
      <c r="H51" s="36"/>
      <c r="J51" s="18"/>
      <c r="L51" s="43">
        <v>43069</v>
      </c>
      <c r="M51" s="36">
        <v>87</v>
      </c>
      <c r="N51" s="36">
        <v>71</v>
      </c>
      <c r="O51" s="36">
        <v>222</v>
      </c>
      <c r="P51" s="36"/>
      <c r="Q51" s="24"/>
      <c r="R51" s="24"/>
      <c r="S51" s="37"/>
      <c r="T51" s="40"/>
      <c r="U51" s="41"/>
      <c r="V51" s="41"/>
    </row>
    <row r="52" spans="1:22" s="19" customFormat="1" x14ac:dyDescent="0.2">
      <c r="A52" s="18"/>
      <c r="C52" s="42">
        <v>43100</v>
      </c>
      <c r="D52" s="39">
        <v>9.8366000000000007</v>
      </c>
      <c r="E52" s="39">
        <v>8.2210999999999999</v>
      </c>
      <c r="F52" s="39">
        <v>1.6154999999999999</v>
      </c>
      <c r="G52" s="39"/>
      <c r="H52" s="39"/>
      <c r="J52" s="18"/>
      <c r="L52" s="42">
        <v>43100</v>
      </c>
      <c r="M52" s="39">
        <v>132</v>
      </c>
      <c r="N52" s="39">
        <v>132</v>
      </c>
      <c r="O52" s="39">
        <v>134</v>
      </c>
      <c r="P52" s="39"/>
      <c r="Q52" s="24"/>
      <c r="R52" s="24"/>
      <c r="S52" s="37"/>
      <c r="T52" s="40"/>
      <c r="U52" s="41"/>
      <c r="V52" s="41"/>
    </row>
    <row r="53" spans="1:22" s="19" customFormat="1" x14ac:dyDescent="0.2">
      <c r="A53" s="18"/>
      <c r="C53" s="43">
        <v>43131</v>
      </c>
      <c r="D53" s="36">
        <v>3.1638000000000002</v>
      </c>
      <c r="E53" s="36">
        <v>1.9392</v>
      </c>
      <c r="F53" s="36">
        <v>1.2245999999999999</v>
      </c>
      <c r="G53" s="36"/>
      <c r="H53" s="36"/>
      <c r="J53" s="18"/>
      <c r="L53" s="43">
        <v>43131</v>
      </c>
      <c r="M53" s="36">
        <v>483</v>
      </c>
      <c r="N53" s="36">
        <v>460</v>
      </c>
      <c r="O53" s="36">
        <v>525</v>
      </c>
      <c r="P53" s="36"/>
      <c r="Q53" s="24"/>
      <c r="R53" s="24"/>
      <c r="S53" s="37"/>
      <c r="T53" s="40"/>
      <c r="U53" s="41"/>
      <c r="V53" s="41"/>
    </row>
    <row r="54" spans="1:22" s="19" customFormat="1" x14ac:dyDescent="0.2">
      <c r="A54" s="18"/>
      <c r="C54" s="42">
        <v>43159</v>
      </c>
      <c r="D54" s="39">
        <v>2.915</v>
      </c>
      <c r="E54" s="39">
        <v>1.8842000000000001</v>
      </c>
      <c r="F54" s="39">
        <v>1.0307999999999999</v>
      </c>
      <c r="G54" s="39"/>
      <c r="H54" s="39"/>
      <c r="J54" s="18"/>
      <c r="L54" s="42">
        <v>43159</v>
      </c>
      <c r="M54" s="39">
        <v>76</v>
      </c>
      <c r="N54" s="39">
        <v>42</v>
      </c>
      <c r="O54" s="39">
        <v>221</v>
      </c>
      <c r="P54" s="39"/>
      <c r="Q54" s="24"/>
      <c r="R54" s="24"/>
      <c r="S54" s="37"/>
      <c r="T54" s="40"/>
      <c r="U54" s="41"/>
      <c r="V54" s="41"/>
    </row>
    <row r="55" spans="1:22" s="19" customFormat="1" x14ac:dyDescent="0.2">
      <c r="A55" s="18"/>
      <c r="C55" s="43">
        <v>43190</v>
      </c>
      <c r="D55" s="36">
        <v>5.5723000000000003</v>
      </c>
      <c r="E55" s="36">
        <v>4.0946999999999996</v>
      </c>
      <c r="F55" s="36">
        <v>1.4776</v>
      </c>
      <c r="G55" s="36"/>
      <c r="H55" s="36"/>
      <c r="J55" s="18"/>
      <c r="L55" s="43">
        <v>43190</v>
      </c>
      <c r="M55" s="36">
        <v>102</v>
      </c>
      <c r="N55" s="36">
        <v>78</v>
      </c>
      <c r="O55" s="36">
        <v>220</v>
      </c>
      <c r="P55" s="36"/>
      <c r="Q55" s="24"/>
      <c r="R55" s="24"/>
      <c r="S55" s="37"/>
      <c r="T55" s="40"/>
      <c r="U55" s="41"/>
      <c r="V55" s="41"/>
    </row>
    <row r="56" spans="1:22" s="19" customFormat="1" x14ac:dyDescent="0.2">
      <c r="A56" s="18"/>
      <c r="C56" s="42">
        <v>43220</v>
      </c>
      <c r="D56" s="39">
        <v>7.3144999999999998</v>
      </c>
      <c r="E56" s="39">
        <v>5.6467999999999998</v>
      </c>
      <c r="F56" s="39">
        <v>1.6677</v>
      </c>
      <c r="G56" s="39"/>
      <c r="H56" s="39"/>
      <c r="J56" s="18"/>
      <c r="L56" s="42">
        <v>43220</v>
      </c>
      <c r="M56" s="39">
        <v>150</v>
      </c>
      <c r="N56" s="39">
        <v>132</v>
      </c>
      <c r="O56" s="39">
        <v>243</v>
      </c>
      <c r="P56" s="39"/>
      <c r="Q56" s="24"/>
      <c r="R56" s="24"/>
      <c r="S56" s="37"/>
      <c r="T56" s="40"/>
      <c r="U56" s="41"/>
      <c r="V56" s="41"/>
    </row>
    <row r="57" spans="1:22" s="19" customFormat="1" x14ac:dyDescent="0.2">
      <c r="A57" s="18"/>
      <c r="C57" s="43">
        <v>43251</v>
      </c>
      <c r="D57" s="36">
        <v>9.2187999999999999</v>
      </c>
      <c r="E57" s="36">
        <v>7.3026999999999997</v>
      </c>
      <c r="F57" s="36">
        <v>1.9160999999999999</v>
      </c>
      <c r="G57" s="36"/>
      <c r="H57" s="36"/>
      <c r="J57" s="18"/>
      <c r="L57" s="43">
        <v>43251</v>
      </c>
      <c r="M57" s="36">
        <v>142</v>
      </c>
      <c r="N57" s="36">
        <v>130</v>
      </c>
      <c r="O57" s="36">
        <v>199</v>
      </c>
      <c r="P57" s="36"/>
      <c r="Q57" s="24"/>
      <c r="R57" s="24"/>
      <c r="S57" s="37"/>
      <c r="T57" s="40"/>
      <c r="U57" s="41"/>
      <c r="V57" s="41"/>
    </row>
    <row r="58" spans="1:22" s="19" customFormat="1" x14ac:dyDescent="0.2">
      <c r="A58" s="18"/>
      <c r="C58" s="42">
        <v>43281</v>
      </c>
      <c r="D58" s="39">
        <v>7.1660000000000004</v>
      </c>
      <c r="E58" s="39">
        <v>4.9848999999999997</v>
      </c>
      <c r="F58" s="39">
        <v>2.1810999999999998</v>
      </c>
      <c r="G58" s="39"/>
      <c r="H58" s="39"/>
      <c r="J58" s="18"/>
      <c r="L58" s="42">
        <v>43281</v>
      </c>
      <c r="M58" s="39">
        <v>74</v>
      </c>
      <c r="N58" s="39">
        <v>56</v>
      </c>
      <c r="O58" s="39">
        <v>135</v>
      </c>
      <c r="P58" s="39"/>
      <c r="Q58" s="24"/>
      <c r="R58" s="24"/>
      <c r="S58" s="37"/>
      <c r="T58" s="40"/>
      <c r="U58" s="41"/>
      <c r="V58" s="41"/>
    </row>
    <row r="59" spans="1:22" s="19" customFormat="1" x14ac:dyDescent="0.2">
      <c r="A59" s="18"/>
      <c r="C59" s="43">
        <v>43312</v>
      </c>
      <c r="D59" s="36">
        <v>7.0834999999999999</v>
      </c>
      <c r="E59" s="36">
        <v>4.7538</v>
      </c>
      <c r="F59" s="36">
        <v>2.3296999999999999</v>
      </c>
      <c r="G59" s="36"/>
      <c r="H59" s="36"/>
      <c r="J59" s="18"/>
      <c r="L59" s="43">
        <v>43312</v>
      </c>
      <c r="M59" s="36">
        <v>65</v>
      </c>
      <c r="N59" s="36">
        <v>46</v>
      </c>
      <c r="O59" s="36">
        <v>129</v>
      </c>
      <c r="P59" s="36"/>
      <c r="Q59" s="24"/>
      <c r="R59" s="24"/>
      <c r="S59" s="37"/>
      <c r="T59" s="40"/>
      <c r="U59" s="41"/>
      <c r="V59" s="41"/>
    </row>
    <row r="60" spans="1:22" s="19" customFormat="1" x14ac:dyDescent="0.2">
      <c r="A60" s="18"/>
      <c r="C60" s="42">
        <v>43343</v>
      </c>
      <c r="D60" s="39">
        <v>8.4225999999999992</v>
      </c>
      <c r="E60" s="39">
        <v>5.8236999999999997</v>
      </c>
      <c r="F60" s="39">
        <v>2.5989</v>
      </c>
      <c r="G60" s="39"/>
      <c r="H60" s="39"/>
      <c r="J60" s="18"/>
      <c r="L60" s="42">
        <v>43343</v>
      </c>
      <c r="M60" s="39">
        <v>60</v>
      </c>
      <c r="N60" s="39">
        <v>38</v>
      </c>
      <c r="O60" s="39">
        <v>147</v>
      </c>
      <c r="P60" s="39"/>
      <c r="Q60" s="24"/>
      <c r="R60" s="24"/>
      <c r="S60" s="37"/>
      <c r="T60" s="40"/>
      <c r="U60" s="41"/>
      <c r="V60" s="41"/>
    </row>
    <row r="61" spans="1:22" s="19" customFormat="1" x14ac:dyDescent="0.2">
      <c r="A61" s="18"/>
      <c r="C61" s="43">
        <v>43373</v>
      </c>
      <c r="D61" s="36">
        <v>9.8666999999999998</v>
      </c>
      <c r="E61" s="36">
        <v>7.2835999999999999</v>
      </c>
      <c r="F61" s="36">
        <v>2.5831</v>
      </c>
      <c r="G61" s="36"/>
      <c r="H61" s="36"/>
      <c r="J61" s="18"/>
      <c r="L61" s="43">
        <v>43373</v>
      </c>
      <c r="M61" s="36">
        <v>70</v>
      </c>
      <c r="N61" s="36">
        <v>60</v>
      </c>
      <c r="O61" s="36">
        <v>104</v>
      </c>
      <c r="P61" s="36"/>
      <c r="Q61" s="24"/>
      <c r="R61" s="24"/>
      <c r="S61" s="37"/>
      <c r="T61" s="40"/>
      <c r="U61" s="41"/>
      <c r="V61" s="41"/>
    </row>
    <row r="62" spans="1:22" s="19" customFormat="1" x14ac:dyDescent="0.2">
      <c r="A62" s="18"/>
      <c r="C62" s="42">
        <v>43404</v>
      </c>
      <c r="D62" s="39">
        <v>11.9793</v>
      </c>
      <c r="E62" s="39">
        <v>9.4052000000000007</v>
      </c>
      <c r="F62" s="39">
        <v>2.5741000000000001</v>
      </c>
      <c r="G62" s="39"/>
      <c r="H62" s="39"/>
      <c r="J62" s="18"/>
      <c r="L62" s="42">
        <v>43404</v>
      </c>
      <c r="M62" s="39">
        <v>84</v>
      </c>
      <c r="N62" s="39">
        <v>80</v>
      </c>
      <c r="O62" s="39">
        <v>105</v>
      </c>
      <c r="P62" s="39"/>
      <c r="Q62" s="24"/>
      <c r="R62" s="24"/>
      <c r="S62" s="37"/>
      <c r="T62" s="40"/>
      <c r="U62" s="41"/>
      <c r="V62" s="41"/>
    </row>
    <row r="63" spans="1:22" s="19" customFormat="1" x14ac:dyDescent="0.2">
      <c r="A63" s="18"/>
      <c r="C63" s="43">
        <v>43434</v>
      </c>
      <c r="D63" s="36">
        <v>13.188000000000001</v>
      </c>
      <c r="E63" s="36">
        <v>10.457700000000001</v>
      </c>
      <c r="F63" s="36">
        <v>2.7303000000000002</v>
      </c>
      <c r="G63" s="36"/>
      <c r="H63" s="36"/>
      <c r="J63" s="18"/>
      <c r="L63" s="43">
        <v>43434</v>
      </c>
      <c r="M63" s="36">
        <v>63</v>
      </c>
      <c r="N63" s="36">
        <v>58</v>
      </c>
      <c r="O63" s="36">
        <v>87</v>
      </c>
      <c r="P63" s="36"/>
      <c r="Q63" s="24"/>
      <c r="R63" s="24"/>
      <c r="S63" s="37"/>
      <c r="T63" s="40"/>
      <c r="U63" s="41"/>
      <c r="V63" s="41"/>
    </row>
    <row r="64" spans="1:22" s="19" customFormat="1" x14ac:dyDescent="0.2">
      <c r="A64" s="18"/>
      <c r="C64" s="42">
        <v>43465</v>
      </c>
      <c r="D64" s="39">
        <v>15.975099999999999</v>
      </c>
      <c r="E64" s="39">
        <v>12.973699999999999</v>
      </c>
      <c r="F64" s="39">
        <v>3.0013999999999998</v>
      </c>
      <c r="G64" s="39"/>
      <c r="H64" s="39"/>
      <c r="J64" s="18"/>
      <c r="L64" s="42">
        <v>43465</v>
      </c>
      <c r="M64" s="39">
        <v>62</v>
      </c>
      <c r="N64" s="39">
        <v>58</v>
      </c>
      <c r="O64" s="39">
        <v>86</v>
      </c>
      <c r="P64" s="39"/>
      <c r="Q64" s="24"/>
      <c r="R64" s="24"/>
      <c r="S64" s="37"/>
      <c r="T64" s="40"/>
      <c r="U64" s="41"/>
      <c r="V64" s="41"/>
    </row>
    <row r="65" spans="1:22" s="19" customFormat="1" x14ac:dyDescent="0.2">
      <c r="A65" s="18"/>
      <c r="C65" s="43">
        <v>43496</v>
      </c>
      <c r="D65" s="36">
        <v>9.1174999999999997</v>
      </c>
      <c r="E65" s="36">
        <v>7.2175000000000002</v>
      </c>
      <c r="F65" s="36">
        <v>1.9</v>
      </c>
      <c r="G65" s="36"/>
      <c r="H65" s="36"/>
      <c r="J65" s="18"/>
      <c r="L65" s="43">
        <v>43496</v>
      </c>
      <c r="M65" s="36">
        <v>186</v>
      </c>
      <c r="N65" s="36">
        <v>268</v>
      </c>
      <c r="O65" s="36">
        <v>55</v>
      </c>
      <c r="P65" s="36"/>
      <c r="Q65" s="24"/>
      <c r="R65" s="24"/>
      <c r="S65" s="37"/>
      <c r="T65" s="40"/>
      <c r="U65" s="41"/>
      <c r="V65" s="41"/>
    </row>
    <row r="66" spans="1:22" s="19" customFormat="1" x14ac:dyDescent="0.2">
      <c r="A66" s="18"/>
      <c r="C66" s="42">
        <v>43524</v>
      </c>
      <c r="D66" s="39">
        <v>5.0782999999999996</v>
      </c>
      <c r="E66" s="39">
        <v>3.8609</v>
      </c>
      <c r="F66" s="39">
        <v>1.2174</v>
      </c>
      <c r="G66" s="39"/>
      <c r="H66" s="39"/>
      <c r="J66" s="18"/>
      <c r="L66" s="42">
        <v>43524</v>
      </c>
      <c r="M66" s="39">
        <v>74</v>
      </c>
      <c r="N66" s="39">
        <v>105</v>
      </c>
      <c r="O66" s="39">
        <v>18</v>
      </c>
      <c r="P66" s="39"/>
      <c r="Q66" s="24"/>
      <c r="R66" s="24"/>
      <c r="S66" s="37"/>
      <c r="T66" s="40"/>
      <c r="U66" s="41"/>
      <c r="V66" s="41"/>
    </row>
    <row r="67" spans="1:22" s="19" customFormat="1" x14ac:dyDescent="0.2">
      <c r="A67" s="18"/>
      <c r="C67" s="43">
        <v>43555</v>
      </c>
      <c r="D67" s="36">
        <v>11.095800000000001</v>
      </c>
      <c r="E67" s="36">
        <v>8.907</v>
      </c>
      <c r="F67" s="36">
        <v>2.1888000000000001</v>
      </c>
      <c r="G67" s="36"/>
      <c r="H67" s="36"/>
      <c r="J67" s="18"/>
      <c r="L67" s="43">
        <v>43555</v>
      </c>
      <c r="M67" s="36">
        <v>99</v>
      </c>
      <c r="N67" s="36">
        <v>118</v>
      </c>
      <c r="O67" s="36">
        <v>48</v>
      </c>
      <c r="P67" s="36"/>
      <c r="Q67" s="24"/>
      <c r="R67" s="24"/>
      <c r="S67" s="37"/>
      <c r="T67" s="40"/>
      <c r="U67" s="41"/>
      <c r="V67" s="41"/>
    </row>
    <row r="68" spans="1:22" s="19" customFormat="1" x14ac:dyDescent="0.2">
      <c r="A68" s="18"/>
      <c r="C68" s="42">
        <v>43585</v>
      </c>
      <c r="D68" s="39">
        <v>9.17</v>
      </c>
      <c r="E68" s="39">
        <v>6.6551999999999998</v>
      </c>
      <c r="F68" s="39">
        <v>2.5148000000000001</v>
      </c>
      <c r="G68" s="39"/>
      <c r="H68" s="39"/>
      <c r="J68" s="18"/>
      <c r="L68" s="42">
        <v>43585</v>
      </c>
      <c r="M68" s="39">
        <v>28</v>
      </c>
      <c r="N68" s="39">
        <v>22</v>
      </c>
      <c r="O68" s="39">
        <v>51</v>
      </c>
      <c r="P68" s="39"/>
      <c r="Q68" s="24"/>
      <c r="R68" s="24"/>
      <c r="S68" s="37"/>
      <c r="T68" s="40"/>
      <c r="U68" s="41"/>
      <c r="V68" s="41"/>
    </row>
    <row r="69" spans="1:22" s="19" customFormat="1" x14ac:dyDescent="0.2">
      <c r="A69" s="18"/>
      <c r="C69" s="43">
        <v>43616</v>
      </c>
      <c r="D69" s="36">
        <v>9.6918000000000006</v>
      </c>
      <c r="E69" s="36">
        <v>7.6153000000000004</v>
      </c>
      <c r="F69" s="36">
        <v>2.0764999999999998</v>
      </c>
      <c r="G69" s="36"/>
      <c r="H69" s="36"/>
      <c r="J69" s="18"/>
      <c r="L69" s="43">
        <v>43616</v>
      </c>
      <c r="M69" s="36">
        <v>7</v>
      </c>
      <c r="N69" s="36">
        <v>7</v>
      </c>
      <c r="O69" s="36">
        <v>8</v>
      </c>
      <c r="P69" s="36"/>
      <c r="Q69" s="24"/>
      <c r="R69" s="24"/>
      <c r="S69" s="37"/>
      <c r="T69" s="40"/>
      <c r="U69" s="41"/>
      <c r="V69" s="41"/>
    </row>
    <row r="70" spans="1:22" s="19" customFormat="1" x14ac:dyDescent="0.2">
      <c r="A70" s="18"/>
      <c r="C70" s="42">
        <v>43646</v>
      </c>
      <c r="D70" s="39">
        <v>13.3528</v>
      </c>
      <c r="E70" s="39">
        <v>11.3011</v>
      </c>
      <c r="F70" s="39">
        <v>2.0516999999999999</v>
      </c>
      <c r="G70" s="39"/>
      <c r="H70" s="39"/>
      <c r="J70" s="18"/>
      <c r="L70" s="42">
        <v>43646</v>
      </c>
      <c r="M70" s="39">
        <v>93</v>
      </c>
      <c r="N70" s="39">
        <v>139</v>
      </c>
      <c r="O70" s="39">
        <v>-6</v>
      </c>
      <c r="P70" s="39"/>
      <c r="Q70" s="24"/>
      <c r="R70" s="24"/>
      <c r="S70" s="37"/>
      <c r="T70" s="40"/>
      <c r="U70" s="41"/>
      <c r="V70" s="41"/>
    </row>
    <row r="71" spans="1:22" s="19" customFormat="1" x14ac:dyDescent="0.2">
      <c r="A71" s="18"/>
      <c r="C71" s="43">
        <v>43677</v>
      </c>
      <c r="D71" s="36">
        <v>6.8780999999999999</v>
      </c>
      <c r="E71" s="36">
        <v>5.1643999999999997</v>
      </c>
      <c r="F71" s="36">
        <v>1.7137</v>
      </c>
      <c r="G71" s="36"/>
      <c r="H71" s="36"/>
      <c r="J71" s="18"/>
      <c r="L71" s="43">
        <v>43677</v>
      </c>
      <c r="M71" s="36">
        <v>-3</v>
      </c>
      <c r="N71" s="36">
        <v>9</v>
      </c>
      <c r="O71" s="36">
        <v>-27</v>
      </c>
      <c r="P71" s="36"/>
      <c r="Q71" s="24"/>
      <c r="R71" s="24"/>
      <c r="S71" s="37"/>
      <c r="T71" s="40"/>
      <c r="U71" s="41"/>
      <c r="V71" s="41"/>
    </row>
    <row r="72" spans="1:22" s="19" customFormat="1" x14ac:dyDescent="0.2">
      <c r="A72" s="18"/>
      <c r="C72" s="42">
        <v>43708</v>
      </c>
      <c r="D72" s="39">
        <v>7.0841000000000003</v>
      </c>
      <c r="E72" s="39">
        <v>5.6875</v>
      </c>
      <c r="F72" s="39">
        <v>1.3966000000000001</v>
      </c>
      <c r="G72" s="39"/>
      <c r="H72" s="39"/>
      <c r="J72" s="18"/>
      <c r="L72" s="42">
        <v>43708</v>
      </c>
      <c r="M72" s="39">
        <v>-16</v>
      </c>
      <c r="N72" s="39">
        <v>-2</v>
      </c>
      <c r="O72" s="39">
        <v>-47</v>
      </c>
      <c r="P72" s="39"/>
      <c r="Q72" s="24"/>
      <c r="R72" s="24"/>
      <c r="S72" s="37"/>
      <c r="T72" s="40"/>
      <c r="U72" s="41"/>
      <c r="V72" s="41"/>
    </row>
    <row r="73" spans="1:22" s="19" customFormat="1" x14ac:dyDescent="0.2">
      <c r="A73" s="18"/>
      <c r="C73" s="43">
        <v>43738</v>
      </c>
      <c r="D73" s="36">
        <v>6.5015000000000001</v>
      </c>
      <c r="E73" s="36">
        <v>5.0258000000000003</v>
      </c>
      <c r="F73" s="36">
        <v>1.4757</v>
      </c>
      <c r="G73" s="36"/>
      <c r="H73" s="36"/>
      <c r="J73" s="18"/>
      <c r="L73" s="43">
        <v>43738</v>
      </c>
      <c r="M73" s="36">
        <v>-34</v>
      </c>
      <c r="N73" s="36">
        <v>-30</v>
      </c>
      <c r="O73" s="36">
        <v>-44</v>
      </c>
      <c r="P73" s="36"/>
      <c r="Q73" s="24"/>
      <c r="R73" s="24"/>
      <c r="S73" s="37"/>
      <c r="T73" s="40"/>
      <c r="U73" s="41"/>
      <c r="V73" s="41"/>
    </row>
    <row r="74" spans="1:22" s="19" customFormat="1" x14ac:dyDescent="0.2">
      <c r="A74" s="18"/>
      <c r="C74" s="42">
        <v>43769</v>
      </c>
      <c r="D74" s="39">
        <v>6.5567000000000002</v>
      </c>
      <c r="E74" s="39">
        <v>5.1016000000000004</v>
      </c>
      <c r="F74" s="39">
        <v>1.4551000000000001</v>
      </c>
      <c r="G74" s="39"/>
      <c r="H74" s="39"/>
      <c r="J74" s="18"/>
      <c r="L74" s="42">
        <v>43769</v>
      </c>
      <c r="M74" s="39">
        <v>-45</v>
      </c>
      <c r="N74" s="39">
        <v>-46</v>
      </c>
      <c r="O74" s="39">
        <v>-44</v>
      </c>
      <c r="P74" s="39"/>
      <c r="Q74" s="24"/>
      <c r="R74" s="24"/>
      <c r="S74" s="37"/>
      <c r="T74" s="40"/>
      <c r="U74" s="41"/>
      <c r="V74" s="41"/>
    </row>
    <row r="75" spans="1:22" s="19" customFormat="1" x14ac:dyDescent="0.2">
      <c r="A75" s="18"/>
      <c r="C75" s="43">
        <v>43799</v>
      </c>
      <c r="D75" s="36">
        <v>7.9093999999999998</v>
      </c>
      <c r="E75" s="36">
        <v>6.7676999999999996</v>
      </c>
      <c r="F75" s="36">
        <v>1.1416999999999999</v>
      </c>
      <c r="G75" s="36"/>
      <c r="H75" s="36"/>
      <c r="J75" s="18"/>
      <c r="L75" s="43">
        <v>43799</v>
      </c>
      <c r="M75" s="36">
        <v>-41</v>
      </c>
      <c r="N75" s="36">
        <v>-35</v>
      </c>
      <c r="O75" s="36">
        <v>-62</v>
      </c>
      <c r="P75" s="36"/>
      <c r="Q75" s="24"/>
      <c r="R75" s="24"/>
      <c r="S75" s="37"/>
      <c r="T75" s="40"/>
      <c r="U75" s="41"/>
      <c r="V75" s="41"/>
    </row>
    <row r="76" spans="1:22" s="19" customFormat="1" x14ac:dyDescent="0.2">
      <c r="A76" s="18"/>
      <c r="C76" s="42">
        <v>43830</v>
      </c>
      <c r="D76" s="39">
        <v>13.7378</v>
      </c>
      <c r="E76" s="39">
        <v>12.245699999999999</v>
      </c>
      <c r="F76" s="39">
        <v>1.4921</v>
      </c>
      <c r="G76" s="39"/>
      <c r="H76" s="39"/>
      <c r="J76" s="18"/>
      <c r="L76" s="42">
        <v>43830</v>
      </c>
      <c r="M76" s="39">
        <v>-14</v>
      </c>
      <c r="N76" s="39">
        <v>-6</v>
      </c>
      <c r="O76" s="39">
        <v>-51</v>
      </c>
      <c r="P76" s="39"/>
      <c r="Q76" s="24"/>
      <c r="R76" s="24"/>
      <c r="S76" s="37"/>
      <c r="T76" s="40"/>
      <c r="U76" s="41"/>
      <c r="V76" s="41"/>
    </row>
    <row r="77" spans="1:22" s="19" customFormat="1" x14ac:dyDescent="0.2">
      <c r="A77" s="18"/>
      <c r="C77" s="43">
        <v>43861</v>
      </c>
      <c r="D77" s="36">
        <v>4.3338999999999999</v>
      </c>
      <c r="E77" s="36">
        <v>3.0855000000000001</v>
      </c>
      <c r="F77" s="36">
        <v>1.2484</v>
      </c>
      <c r="G77" s="36"/>
      <c r="H77" s="36"/>
      <c r="J77" s="18"/>
      <c r="L77" s="43">
        <v>43861</v>
      </c>
      <c r="M77" s="36">
        <v>-52</v>
      </c>
      <c r="N77" s="36">
        <v>-57</v>
      </c>
      <c r="O77" s="36">
        <v>-34</v>
      </c>
      <c r="P77" s="36"/>
      <c r="Q77" s="24"/>
      <c r="R77" s="24"/>
      <c r="S77" s="37"/>
      <c r="T77" s="40"/>
      <c r="U77" s="41"/>
      <c r="V77" s="41"/>
    </row>
    <row r="78" spans="1:22" s="19" customFormat="1" x14ac:dyDescent="0.2">
      <c r="A78" s="18"/>
      <c r="C78" s="42">
        <v>43890</v>
      </c>
      <c r="D78" s="39">
        <v>1.5323</v>
      </c>
      <c r="E78" s="39">
        <v>1.3426</v>
      </c>
      <c r="F78" s="39">
        <v>0.18970000000000001</v>
      </c>
      <c r="G78" s="39"/>
      <c r="H78" s="39"/>
      <c r="J78" s="18"/>
      <c r="L78" s="42">
        <v>43890</v>
      </c>
      <c r="M78" s="39">
        <v>-70</v>
      </c>
      <c r="N78" s="39">
        <v>-65</v>
      </c>
      <c r="O78" s="39">
        <v>-84</v>
      </c>
      <c r="P78" s="39"/>
      <c r="Q78" s="24"/>
      <c r="R78" s="24"/>
      <c r="S78" s="37"/>
      <c r="T78" s="40"/>
      <c r="U78" s="41"/>
      <c r="V78" s="41"/>
    </row>
    <row r="79" spans="1:22" s="19" customFormat="1" x14ac:dyDescent="0.2">
      <c r="A79" s="18"/>
      <c r="C79" s="43">
        <v>43921</v>
      </c>
      <c r="D79" s="36">
        <v>5.641</v>
      </c>
      <c r="E79" s="36">
        <v>4.7199</v>
      </c>
      <c r="F79" s="36">
        <v>0.92110000000000003</v>
      </c>
      <c r="G79" s="36"/>
      <c r="H79" s="36"/>
      <c r="J79" s="18"/>
      <c r="L79" s="43">
        <v>43921</v>
      </c>
      <c r="M79" s="36">
        <v>-49</v>
      </c>
      <c r="N79" s="36">
        <v>-47</v>
      </c>
      <c r="O79" s="36">
        <v>-58</v>
      </c>
      <c r="P79" s="36"/>
      <c r="Q79" s="24"/>
      <c r="R79" s="24"/>
      <c r="S79" s="37"/>
    </row>
    <row r="80" spans="1:22" s="19" customFormat="1" x14ac:dyDescent="0.2">
      <c r="A80" s="18"/>
      <c r="C80" s="42">
        <v>43951</v>
      </c>
      <c r="D80" s="39">
        <v>5.8768000000000002</v>
      </c>
      <c r="E80" s="39">
        <v>4.2317</v>
      </c>
      <c r="F80" s="39">
        <v>1.6451</v>
      </c>
      <c r="G80" s="39"/>
      <c r="H80" s="39"/>
      <c r="J80" s="18"/>
      <c r="L80" s="42">
        <v>43951</v>
      </c>
      <c r="M80" s="39">
        <v>-36</v>
      </c>
      <c r="N80" s="39">
        <v>-36</v>
      </c>
      <c r="O80" s="39">
        <v>-35</v>
      </c>
      <c r="P80" s="39"/>
      <c r="Q80" s="24"/>
      <c r="R80" s="24"/>
      <c r="S80" s="37"/>
    </row>
    <row r="81" spans="1:19" s="19" customFormat="1" x14ac:dyDescent="0.2">
      <c r="A81" s="18"/>
      <c r="C81" s="43">
        <v>43982</v>
      </c>
      <c r="D81" s="36">
        <v>7.0198999999999998</v>
      </c>
      <c r="E81" s="36">
        <v>5.5829000000000004</v>
      </c>
      <c r="F81" s="36">
        <v>1.4370000000000001</v>
      </c>
      <c r="G81" s="36"/>
      <c r="H81" s="36"/>
      <c r="J81" s="18"/>
      <c r="L81" s="43">
        <v>43982</v>
      </c>
      <c r="M81" s="36">
        <v>-28</v>
      </c>
      <c r="N81" s="36">
        <v>-27</v>
      </c>
      <c r="O81" s="36">
        <v>-31</v>
      </c>
      <c r="P81" s="36"/>
      <c r="Q81" s="24"/>
      <c r="R81" s="24"/>
      <c r="S81" s="37"/>
    </row>
    <row r="82" spans="1:19" s="19" customFormat="1" x14ac:dyDescent="0.2">
      <c r="A82" s="18"/>
      <c r="C82" s="42">
        <v>44012</v>
      </c>
      <c r="D82" s="39">
        <v>8.6996000000000002</v>
      </c>
      <c r="E82" s="39">
        <v>6.9260000000000002</v>
      </c>
      <c r="F82" s="39">
        <v>1.7736000000000001</v>
      </c>
      <c r="G82" s="39"/>
      <c r="H82" s="39"/>
      <c r="J82" s="18"/>
      <c r="L82" s="42">
        <v>44012</v>
      </c>
      <c r="M82" s="39">
        <v>-35</v>
      </c>
      <c r="N82" s="39">
        <v>-39</v>
      </c>
      <c r="O82" s="39">
        <v>-11</v>
      </c>
      <c r="P82" s="39"/>
      <c r="Q82" s="24"/>
      <c r="R82" s="24"/>
      <c r="S82" s="37"/>
    </row>
    <row r="83" spans="1:19" s="19" customFormat="1" x14ac:dyDescent="0.2">
      <c r="A83" s="18"/>
      <c r="C83" s="43">
        <v>44043</v>
      </c>
      <c r="D83" s="36">
        <v>8.0726999999999993</v>
      </c>
      <c r="E83" s="36">
        <v>6.4755000000000003</v>
      </c>
      <c r="F83" s="36">
        <v>1.5972</v>
      </c>
      <c r="G83" s="36"/>
      <c r="H83" s="36"/>
      <c r="J83" s="18"/>
      <c r="L83" s="43">
        <v>44043</v>
      </c>
      <c r="M83" s="36">
        <v>21</v>
      </c>
      <c r="N83" s="36">
        <v>30</v>
      </c>
      <c r="O83" s="36">
        <v>-7</v>
      </c>
      <c r="P83" s="36"/>
      <c r="Q83" s="24"/>
      <c r="R83" s="24"/>
      <c r="S83" s="37"/>
    </row>
    <row r="84" spans="1:19" s="19" customFormat="1" x14ac:dyDescent="0.2">
      <c r="A84" s="18"/>
      <c r="C84" s="42">
        <v>44074</v>
      </c>
      <c r="D84" s="39">
        <v>10.0009</v>
      </c>
      <c r="E84" s="39">
        <v>8.2504000000000008</v>
      </c>
      <c r="F84" s="39">
        <v>1.7504999999999999</v>
      </c>
      <c r="G84" s="39"/>
      <c r="H84" s="39"/>
      <c r="J84" s="18"/>
      <c r="L84" s="42">
        <v>44074</v>
      </c>
      <c r="M84" s="39">
        <v>41</v>
      </c>
      <c r="N84" s="39">
        <v>45</v>
      </c>
      <c r="O84" s="39">
        <v>23</v>
      </c>
      <c r="P84" s="39"/>
      <c r="Q84" s="24"/>
      <c r="R84" s="24"/>
      <c r="S84" s="37"/>
    </row>
    <row r="85" spans="1:19" s="19" customFormat="1" x14ac:dyDescent="0.2">
      <c r="A85" s="18"/>
      <c r="C85" s="43">
        <v>44104</v>
      </c>
      <c r="D85" s="36">
        <v>12.471299999999999</v>
      </c>
      <c r="E85" s="36">
        <v>10.1837</v>
      </c>
      <c r="F85" s="36">
        <v>2.2875999999999999</v>
      </c>
      <c r="G85" s="36"/>
      <c r="H85" s="36"/>
      <c r="J85" s="18"/>
      <c r="L85" s="43">
        <v>44104</v>
      </c>
      <c r="M85" s="36">
        <v>92</v>
      </c>
      <c r="N85" s="36">
        <v>103</v>
      </c>
      <c r="O85" s="36">
        <v>55</v>
      </c>
      <c r="P85" s="36"/>
      <c r="Q85" s="24"/>
      <c r="R85" s="24"/>
      <c r="S85" s="37"/>
    </row>
    <row r="86" spans="1:19" s="19" customFormat="1" x14ac:dyDescent="0.2">
      <c r="A86" s="18"/>
      <c r="C86" s="42">
        <v>44135</v>
      </c>
      <c r="D86" s="39">
        <v>14.4443</v>
      </c>
      <c r="E86" s="39">
        <v>12.1365</v>
      </c>
      <c r="F86" s="39">
        <v>2.3077999999999999</v>
      </c>
      <c r="G86" s="39"/>
      <c r="H86" s="39"/>
      <c r="J86" s="18"/>
      <c r="L86" s="42">
        <v>44135</v>
      </c>
      <c r="M86" s="39">
        <v>118</v>
      </c>
      <c r="N86" s="39">
        <v>135</v>
      </c>
      <c r="O86" s="39">
        <v>59</v>
      </c>
      <c r="P86" s="39"/>
      <c r="Q86" s="24"/>
      <c r="R86" s="24"/>
      <c r="S86" s="37"/>
    </row>
    <row r="87" spans="1:19" s="19" customFormat="1" x14ac:dyDescent="0.2">
      <c r="A87" s="18"/>
      <c r="C87" s="43">
        <v>44165</v>
      </c>
      <c r="D87" s="36">
        <v>18.360299999999999</v>
      </c>
      <c r="E87" s="36">
        <v>15.3865</v>
      </c>
      <c r="F87" s="36">
        <v>2.9738000000000002</v>
      </c>
      <c r="G87" s="36"/>
      <c r="H87" s="36"/>
      <c r="J87" s="18"/>
      <c r="L87" s="43">
        <v>44165</v>
      </c>
      <c r="M87" s="36">
        <v>132</v>
      </c>
      <c r="N87" s="36">
        <v>127</v>
      </c>
      <c r="O87" s="36">
        <v>160</v>
      </c>
      <c r="P87" s="36"/>
      <c r="Q87" s="24"/>
      <c r="R87" s="24"/>
      <c r="S87" s="37"/>
    </row>
    <row r="88" spans="1:19" s="19" customFormat="1" x14ac:dyDescent="0.2">
      <c r="A88" s="18"/>
      <c r="C88" s="42">
        <v>44196</v>
      </c>
      <c r="D88" s="39">
        <v>20.998999999999999</v>
      </c>
      <c r="E88" s="39">
        <v>17.622499999999999</v>
      </c>
      <c r="F88" s="39">
        <v>3.3765000000000001</v>
      </c>
      <c r="G88" s="39"/>
      <c r="H88" s="39"/>
      <c r="J88" s="18"/>
      <c r="L88" s="42">
        <v>44196</v>
      </c>
      <c r="M88" s="39">
        <v>52</v>
      </c>
      <c r="N88" s="39">
        <v>43</v>
      </c>
      <c r="O88" s="39">
        <v>126</v>
      </c>
      <c r="P88" s="39"/>
      <c r="Q88" s="24"/>
      <c r="R88" s="24"/>
      <c r="S88" s="37"/>
    </row>
    <row r="89" spans="1:19" s="19" customFormat="1" x14ac:dyDescent="0.2">
      <c r="A89" s="18"/>
      <c r="C89" s="43">
        <v>44227</v>
      </c>
      <c r="D89" s="36">
        <v>16.514399999999998</v>
      </c>
      <c r="E89" s="36">
        <v>13.9038</v>
      </c>
      <c r="F89" s="36">
        <v>2.6105999999999998</v>
      </c>
      <c r="G89" s="36"/>
      <c r="H89" s="36"/>
      <c r="J89" s="18"/>
      <c r="L89" s="43">
        <v>44227</v>
      </c>
      <c r="M89" s="36">
        <v>273</v>
      </c>
      <c r="N89" s="36">
        <v>315</v>
      </c>
      <c r="O89" s="36">
        <v>141</v>
      </c>
      <c r="P89" s="36"/>
      <c r="Q89" s="24"/>
      <c r="R89" s="24"/>
      <c r="S89" s="37"/>
    </row>
    <row r="90" spans="1:19" s="19" customFormat="1" x14ac:dyDescent="0.2">
      <c r="A90" s="18"/>
      <c r="C90" s="42">
        <v>44255</v>
      </c>
      <c r="D90" s="39">
        <v>9.9962</v>
      </c>
      <c r="E90" s="39">
        <v>8.4074000000000009</v>
      </c>
      <c r="F90" s="39">
        <v>1.5888</v>
      </c>
      <c r="G90" s="39"/>
      <c r="H90" s="39"/>
      <c r="J90" s="18"/>
      <c r="L90" s="42">
        <v>44255</v>
      </c>
      <c r="M90" s="39">
        <v>552</v>
      </c>
      <c r="N90" s="39">
        <v>526</v>
      </c>
      <c r="O90" s="39">
        <v>738</v>
      </c>
      <c r="P90" s="39"/>
      <c r="Q90" s="24"/>
      <c r="R90" s="24"/>
      <c r="S90" s="37"/>
    </row>
    <row r="91" spans="1:19" s="19" customFormat="1" x14ac:dyDescent="0.2">
      <c r="A91" s="18"/>
      <c r="C91" s="43">
        <v>44286</v>
      </c>
      <c r="D91" s="36">
        <v>20.203600000000002</v>
      </c>
      <c r="E91" s="36">
        <v>16.854099999999999</v>
      </c>
      <c r="F91" s="36">
        <v>3.3494999999999999</v>
      </c>
      <c r="G91" s="36"/>
      <c r="H91" s="36"/>
      <c r="J91" s="18"/>
      <c r="L91" s="43">
        <v>44286</v>
      </c>
      <c r="M91" s="36">
        <v>258</v>
      </c>
      <c r="N91" s="36">
        <v>257</v>
      </c>
      <c r="O91" s="36">
        <v>264</v>
      </c>
      <c r="P91" s="36"/>
      <c r="Q91" s="24"/>
      <c r="R91" s="24"/>
      <c r="S91" s="37"/>
    </row>
    <row r="92" spans="1:19" s="19" customFormat="1" x14ac:dyDescent="0.2">
      <c r="A92" s="18"/>
      <c r="C92" s="42">
        <v>44316</v>
      </c>
      <c r="D92" s="39">
        <v>18.449300000000001</v>
      </c>
      <c r="E92" s="39">
        <v>15.1548</v>
      </c>
      <c r="F92" s="39">
        <v>3.2945000000000002</v>
      </c>
      <c r="G92" s="39"/>
      <c r="H92" s="39"/>
      <c r="J92" s="18"/>
      <c r="L92" s="42">
        <v>44316</v>
      </c>
      <c r="M92" s="39">
        <v>214</v>
      </c>
      <c r="N92" s="39">
        <v>258</v>
      </c>
      <c r="O92" s="39">
        <v>100</v>
      </c>
      <c r="P92" s="39"/>
      <c r="Q92" s="24"/>
      <c r="R92" s="24"/>
      <c r="S92" s="37"/>
    </row>
    <row r="93" spans="1:19" s="19" customFormat="1" x14ac:dyDescent="0.2">
      <c r="A93" s="18"/>
      <c r="C93" s="43">
        <v>44347</v>
      </c>
      <c r="D93" s="36">
        <v>19.877400000000002</v>
      </c>
      <c r="E93" s="36">
        <v>16.515999999999998</v>
      </c>
      <c r="F93" s="36">
        <v>3.3614000000000002</v>
      </c>
      <c r="G93" s="36"/>
      <c r="H93" s="36"/>
      <c r="J93" s="18"/>
      <c r="L93" s="43">
        <v>44347</v>
      </c>
      <c r="M93" s="36">
        <v>179</v>
      </c>
      <c r="N93" s="36">
        <v>192</v>
      </c>
      <c r="O93" s="36">
        <v>128</v>
      </c>
      <c r="P93" s="36"/>
      <c r="Q93" s="24"/>
      <c r="R93" s="24"/>
      <c r="S93" s="37"/>
    </row>
    <row r="94" spans="1:19" s="19" customFormat="1" x14ac:dyDescent="0.2">
      <c r="A94" s="18"/>
      <c r="C94" s="42">
        <v>44377</v>
      </c>
      <c r="D94" s="39">
        <v>23.363299999999999</v>
      </c>
      <c r="E94" s="39">
        <v>19.276599999999998</v>
      </c>
      <c r="F94" s="39">
        <v>4.0867000000000004</v>
      </c>
      <c r="G94" s="39"/>
      <c r="H94" s="39"/>
      <c r="J94" s="18"/>
      <c r="L94" s="42">
        <v>44377</v>
      </c>
      <c r="M94" s="39">
        <v>171</v>
      </c>
      <c r="N94" s="39">
        <v>181</v>
      </c>
      <c r="O94" s="39">
        <v>130</v>
      </c>
      <c r="P94" s="39"/>
      <c r="Q94" s="24"/>
      <c r="R94" s="24"/>
      <c r="S94" s="37"/>
    </row>
    <row r="95" spans="1:19" s="19" customFormat="1" x14ac:dyDescent="0.2">
      <c r="A95" s="18"/>
      <c r="C95" s="43">
        <v>44408</v>
      </c>
      <c r="D95" s="36">
        <v>24.560400000000001</v>
      </c>
      <c r="E95" s="36">
        <v>19.827500000000001</v>
      </c>
      <c r="F95" s="36">
        <v>4.7328999999999999</v>
      </c>
      <c r="G95" s="36"/>
      <c r="H95" s="36"/>
      <c r="J95" s="18"/>
      <c r="L95" s="43">
        <v>44408</v>
      </c>
      <c r="M95" s="36">
        <v>203</v>
      </c>
      <c r="N95" s="36">
        <v>205</v>
      </c>
      <c r="O95" s="36">
        <v>196</v>
      </c>
      <c r="P95" s="36"/>
      <c r="Q95" s="24"/>
      <c r="R95" s="24"/>
      <c r="S95" s="37"/>
    </row>
    <row r="96" spans="1:19" s="19" customFormat="1" x14ac:dyDescent="0.2">
      <c r="A96" s="18"/>
      <c r="C96" s="42">
        <v>44439</v>
      </c>
      <c r="D96" s="39">
        <v>30.385899999999999</v>
      </c>
      <c r="E96" s="39">
        <v>24.9191</v>
      </c>
      <c r="F96" s="39">
        <v>5.4668000000000001</v>
      </c>
      <c r="G96" s="39"/>
      <c r="H96" s="39"/>
      <c r="J96" s="18"/>
      <c r="L96" s="42">
        <v>44439</v>
      </c>
      <c r="M96" s="39">
        <v>202</v>
      </c>
      <c r="N96" s="39">
        <v>200</v>
      </c>
      <c r="O96" s="39">
        <v>211</v>
      </c>
      <c r="P96" s="39"/>
      <c r="Q96" s="24"/>
      <c r="R96" s="24"/>
      <c r="S96" s="37"/>
    </row>
    <row r="97" spans="1:19" s="19" customFormat="1" x14ac:dyDescent="0.2">
      <c r="A97" s="18"/>
      <c r="C97" s="43">
        <v>44469</v>
      </c>
      <c r="D97" s="36">
        <v>35.471800000000002</v>
      </c>
      <c r="E97" s="36">
        <v>29.774999999999999</v>
      </c>
      <c r="F97" s="36">
        <v>5.6967999999999996</v>
      </c>
      <c r="G97" s="36"/>
      <c r="H97" s="36"/>
      <c r="J97" s="18"/>
      <c r="L97" s="43">
        <v>44469</v>
      </c>
      <c r="M97" s="36">
        <v>184</v>
      </c>
      <c r="N97" s="36">
        <v>192</v>
      </c>
      <c r="O97" s="36">
        <v>149</v>
      </c>
      <c r="P97" s="36"/>
      <c r="Q97" s="24"/>
      <c r="R97" s="24"/>
      <c r="S97" s="37"/>
    </row>
    <row r="98" spans="1:19" s="19" customFormat="1" x14ac:dyDescent="0.2">
      <c r="A98" s="18"/>
      <c r="C98" s="42">
        <v>44500</v>
      </c>
      <c r="D98" s="39">
        <v>36.767400000000002</v>
      </c>
      <c r="E98" s="39">
        <v>30.308199999999999</v>
      </c>
      <c r="F98" s="39">
        <v>6.4592000000000001</v>
      </c>
      <c r="G98" s="39"/>
      <c r="H98" s="39"/>
      <c r="J98" s="18"/>
      <c r="L98" s="42">
        <v>44500</v>
      </c>
      <c r="M98" s="39">
        <v>154</v>
      </c>
      <c r="N98" s="39">
        <v>149</v>
      </c>
      <c r="O98" s="39">
        <v>180</v>
      </c>
      <c r="P98" s="39"/>
      <c r="Q98" s="24"/>
      <c r="R98" s="24"/>
      <c r="S98" s="37"/>
    </row>
    <row r="99" spans="1:19" s="19" customFormat="1" x14ac:dyDescent="0.2">
      <c r="A99" s="18"/>
      <c r="C99" s="43">
        <v>44530</v>
      </c>
      <c r="D99" s="36">
        <v>42.866100000000003</v>
      </c>
      <c r="E99" s="36">
        <v>34.326500000000003</v>
      </c>
      <c r="F99" s="36">
        <v>8.5396000000000001</v>
      </c>
      <c r="G99" s="36"/>
      <c r="H99" s="36"/>
      <c r="J99" s="18"/>
      <c r="L99" s="43">
        <v>44530</v>
      </c>
      <c r="M99" s="36">
        <v>136</v>
      </c>
      <c r="N99" s="36">
        <v>126</v>
      </c>
      <c r="O99" s="36">
        <v>18.899999999999999</v>
      </c>
      <c r="P99" s="36"/>
      <c r="Q99" s="24"/>
      <c r="R99" s="24"/>
      <c r="S99" s="37"/>
    </row>
    <row r="100" spans="1:19" s="19" customFormat="1" x14ac:dyDescent="0.2">
      <c r="A100" s="18"/>
      <c r="C100" s="42">
        <v>44561</v>
      </c>
      <c r="D100" s="39">
        <v>50.501300000000001</v>
      </c>
      <c r="E100" s="39">
        <v>42.266100000000002</v>
      </c>
      <c r="F100" s="39">
        <v>8.2352000000000007</v>
      </c>
      <c r="G100" s="39"/>
      <c r="H100" s="39"/>
      <c r="J100" s="18"/>
      <c r="L100" s="42">
        <v>44561</v>
      </c>
      <c r="M100" s="39">
        <v>138</v>
      </c>
      <c r="N100" s="39">
        <v>137</v>
      </c>
      <c r="O100" s="39">
        <v>144</v>
      </c>
      <c r="P100" s="39"/>
      <c r="Q100" s="24"/>
      <c r="R100" s="24"/>
      <c r="S100" s="37"/>
    </row>
    <row r="101" spans="1:19" s="19" customFormat="1" x14ac:dyDescent="0.2">
      <c r="A101" s="18"/>
      <c r="C101" s="43">
        <v>44592</v>
      </c>
      <c r="D101" s="36">
        <v>41.2</v>
      </c>
      <c r="E101" s="36">
        <v>33.299999999999997</v>
      </c>
      <c r="F101" s="36">
        <v>7.9</v>
      </c>
      <c r="G101" s="36"/>
      <c r="H101" s="36"/>
      <c r="J101" s="18"/>
      <c r="L101" s="43">
        <v>44592</v>
      </c>
      <c r="M101" s="36">
        <v>141.4</v>
      </c>
      <c r="N101" s="36">
        <v>130.4</v>
      </c>
      <c r="O101" s="36">
        <v>202.1</v>
      </c>
      <c r="P101" s="36"/>
      <c r="Q101" s="24"/>
      <c r="R101" s="24"/>
      <c r="S101" s="37"/>
    </row>
    <row r="102" spans="1:19" s="19" customFormat="1" x14ac:dyDescent="0.2">
      <c r="A102" s="18"/>
      <c r="C102" s="42">
        <v>44620</v>
      </c>
      <c r="D102" s="39">
        <v>31.7</v>
      </c>
      <c r="E102" s="39">
        <v>24.5</v>
      </c>
      <c r="F102" s="39">
        <v>7.2</v>
      </c>
      <c r="G102" s="39"/>
      <c r="H102" s="39"/>
      <c r="J102" s="18"/>
      <c r="L102" s="42">
        <v>44620</v>
      </c>
      <c r="M102" s="39">
        <v>189.1</v>
      </c>
      <c r="N102" s="39">
        <v>161.69999999999999</v>
      </c>
      <c r="O102" s="39">
        <v>350.9</v>
      </c>
      <c r="P102" s="39"/>
      <c r="Q102" s="24"/>
      <c r="R102" s="24"/>
      <c r="S102" s="37"/>
    </row>
    <row r="103" spans="1:19" s="19" customFormat="1" x14ac:dyDescent="0.2">
      <c r="A103" s="18"/>
      <c r="C103" s="43">
        <v>44651</v>
      </c>
      <c r="D103" s="36">
        <v>45.5</v>
      </c>
      <c r="E103" s="36">
        <v>37.1</v>
      </c>
      <c r="F103" s="36">
        <v>8.4</v>
      </c>
      <c r="G103" s="36"/>
      <c r="H103" s="36"/>
      <c r="J103" s="18"/>
      <c r="L103" s="43">
        <v>44651</v>
      </c>
      <c r="M103" s="36">
        <v>122.4</v>
      </c>
      <c r="N103" s="36">
        <v>116.8</v>
      </c>
      <c r="O103" s="36">
        <v>151.30000000000001</v>
      </c>
      <c r="P103" s="36"/>
      <c r="Q103" s="24"/>
      <c r="R103" s="24"/>
      <c r="S103" s="37"/>
    </row>
    <row r="104" spans="1:19" s="19" customFormat="1" x14ac:dyDescent="0.2">
      <c r="A104" s="18"/>
      <c r="C104" s="42">
        <v>44681</v>
      </c>
      <c r="D104" s="39">
        <v>28</v>
      </c>
      <c r="E104" s="39">
        <v>21.4</v>
      </c>
      <c r="F104" s="39">
        <v>6.6</v>
      </c>
      <c r="G104" s="39"/>
      <c r="H104" s="39"/>
      <c r="J104" s="18"/>
      <c r="L104" s="42">
        <v>44681</v>
      </c>
      <c r="M104" s="39">
        <v>50.1</v>
      </c>
      <c r="N104" s="39">
        <v>39.9</v>
      </c>
      <c r="O104" s="39">
        <v>96.8</v>
      </c>
      <c r="P104" s="39"/>
      <c r="Q104" s="24"/>
      <c r="R104" s="24"/>
      <c r="S104" s="37"/>
    </row>
    <row r="105" spans="1:19" s="19" customFormat="1" x14ac:dyDescent="0.2">
      <c r="A105" s="18"/>
      <c r="C105" s="43">
        <v>44712</v>
      </c>
      <c r="D105" s="36">
        <v>42.1</v>
      </c>
      <c r="E105" s="36">
        <v>32.4</v>
      </c>
      <c r="F105" s="36">
        <v>9.8000000000000007</v>
      </c>
      <c r="G105" s="36"/>
      <c r="H105" s="36"/>
      <c r="J105" s="18"/>
      <c r="L105" s="43">
        <v>44712</v>
      </c>
      <c r="M105" s="36">
        <v>111.5</v>
      </c>
      <c r="N105" s="36">
        <v>96.3</v>
      </c>
      <c r="O105" s="36">
        <v>184.4</v>
      </c>
      <c r="P105" s="36"/>
      <c r="Q105" s="24"/>
      <c r="R105" s="24"/>
      <c r="S105" s="37"/>
    </row>
    <row r="106" spans="1:19" s="19" customFormat="1" x14ac:dyDescent="0.2">
      <c r="A106" s="18"/>
      <c r="C106" s="42">
        <v>44742</v>
      </c>
      <c r="D106" s="39">
        <v>57.1</v>
      </c>
      <c r="E106" s="39">
        <v>45.2</v>
      </c>
      <c r="F106" s="39">
        <v>11.9</v>
      </c>
      <c r="G106" s="39"/>
      <c r="H106" s="39"/>
      <c r="J106" s="18"/>
      <c r="L106" s="42">
        <v>44742</v>
      </c>
      <c r="M106" s="39">
        <v>141.4</v>
      </c>
      <c r="N106" s="39">
        <v>131.1</v>
      </c>
      <c r="O106" s="39">
        <v>191.1</v>
      </c>
      <c r="P106" s="39"/>
      <c r="Q106" s="24"/>
      <c r="R106" s="24"/>
      <c r="S106" s="37"/>
    </row>
    <row r="107" spans="1:19" s="19" customFormat="1" x14ac:dyDescent="0.2">
      <c r="A107" s="18"/>
      <c r="C107" s="43">
        <v>44773</v>
      </c>
      <c r="D107" s="36">
        <v>56.4</v>
      </c>
      <c r="E107" s="36">
        <v>42.8</v>
      </c>
      <c r="F107" s="36">
        <v>13.6</v>
      </c>
      <c r="G107" s="36"/>
      <c r="H107" s="36"/>
      <c r="J107" s="18"/>
      <c r="L107" s="43">
        <v>44773</v>
      </c>
      <c r="M107" s="36">
        <v>123.7</v>
      </c>
      <c r="N107" s="36">
        <v>109</v>
      </c>
      <c r="O107" s="36">
        <v>187.2</v>
      </c>
      <c r="P107" s="36"/>
      <c r="Q107" s="24"/>
      <c r="R107" s="24"/>
      <c r="S107" s="37"/>
    </row>
    <row r="108" spans="1:19" s="19" customFormat="1" x14ac:dyDescent="0.2">
      <c r="A108" s="18"/>
      <c r="C108" s="42">
        <v>44804</v>
      </c>
      <c r="D108" s="39">
        <v>63.2</v>
      </c>
      <c r="E108" s="39">
        <v>49</v>
      </c>
      <c r="F108" s="39">
        <v>14.2</v>
      </c>
      <c r="G108" s="39"/>
      <c r="H108" s="39"/>
      <c r="J108" s="18"/>
      <c r="L108" s="42">
        <v>44804</v>
      </c>
      <c r="M108" s="39">
        <v>103.9</v>
      </c>
      <c r="N108" s="39">
        <v>92</v>
      </c>
      <c r="O108" s="39">
        <v>159.19999999999999</v>
      </c>
      <c r="P108" s="39"/>
      <c r="Q108" s="24"/>
      <c r="R108" s="24"/>
      <c r="S108" s="37"/>
    </row>
    <row r="109" spans="1:19" s="19" customFormat="1" x14ac:dyDescent="0.2">
      <c r="A109" s="18"/>
      <c r="C109" s="43">
        <v>44834</v>
      </c>
      <c r="D109" s="36">
        <v>67.5</v>
      </c>
      <c r="E109" s="36">
        <v>50.7</v>
      </c>
      <c r="F109" s="36">
        <v>16.8</v>
      </c>
      <c r="G109" s="36"/>
      <c r="H109" s="36"/>
      <c r="J109" s="18"/>
      <c r="L109" s="43">
        <v>44834</v>
      </c>
      <c r="M109" s="36">
        <v>94.9</v>
      </c>
      <c r="N109" s="36">
        <v>76.3</v>
      </c>
      <c r="O109" s="36">
        <v>186.4</v>
      </c>
      <c r="P109" s="36"/>
      <c r="Q109" s="24"/>
      <c r="R109" s="24"/>
      <c r="S109" s="37"/>
    </row>
    <row r="110" spans="1:19" s="19" customFormat="1" x14ac:dyDescent="0.2">
      <c r="A110" s="18"/>
      <c r="C110" s="42">
        <v>44865</v>
      </c>
      <c r="D110" s="39">
        <v>67.599999999999994</v>
      </c>
      <c r="E110" s="39">
        <v>50.8</v>
      </c>
      <c r="F110" s="39">
        <v>16.7</v>
      </c>
      <c r="G110" s="39"/>
      <c r="H110" s="39"/>
      <c r="J110" s="18"/>
      <c r="L110" s="42">
        <v>44865</v>
      </c>
      <c r="M110" s="39">
        <v>85.8</v>
      </c>
      <c r="N110" s="39">
        <v>69.599999999999994</v>
      </c>
      <c r="O110" s="39">
        <v>161.6</v>
      </c>
      <c r="P110" s="39"/>
      <c r="Q110" s="24"/>
      <c r="R110" s="24"/>
      <c r="S110" s="37"/>
    </row>
    <row r="111" spans="1:19" s="19" customFormat="1" x14ac:dyDescent="0.2">
      <c r="A111" s="18"/>
      <c r="C111" s="43">
        <v>44895</v>
      </c>
      <c r="D111" s="36">
        <v>72.8</v>
      </c>
      <c r="E111" s="36">
        <v>56.2</v>
      </c>
      <c r="F111" s="36">
        <v>16.600000000000001</v>
      </c>
      <c r="G111" s="36"/>
      <c r="H111" s="36"/>
      <c r="J111" s="18"/>
      <c r="L111" s="43">
        <v>44895</v>
      </c>
      <c r="M111" s="36">
        <v>70.2</v>
      </c>
      <c r="N111" s="36">
        <v>64.2</v>
      </c>
      <c r="O111" s="36">
        <v>94.3</v>
      </c>
      <c r="P111" s="36"/>
      <c r="Q111" s="24"/>
      <c r="R111" s="24"/>
      <c r="S111" s="37"/>
    </row>
    <row r="112" spans="1:19" s="19" customFormat="1" x14ac:dyDescent="0.2">
      <c r="A112" s="18"/>
      <c r="C112" s="42">
        <v>44926</v>
      </c>
      <c r="D112" s="39">
        <v>75</v>
      </c>
      <c r="E112" s="39">
        <v>56.3</v>
      </c>
      <c r="F112" s="39">
        <v>18.7</v>
      </c>
      <c r="G112" s="39"/>
      <c r="H112" s="39"/>
      <c r="J112" s="18"/>
      <c r="L112" s="42">
        <v>44926</v>
      </c>
      <c r="M112" s="39">
        <v>48.9</v>
      </c>
      <c r="N112" s="39">
        <v>33.6</v>
      </c>
      <c r="O112" s="39">
        <v>127.1</v>
      </c>
      <c r="P112" s="39"/>
      <c r="Q112" s="24"/>
      <c r="R112" s="24"/>
      <c r="S112" s="37"/>
    </row>
    <row r="113" spans="1:19" s="19" customFormat="1" x14ac:dyDescent="0.2">
      <c r="A113" s="18"/>
      <c r="C113" s="43">
        <v>44957</v>
      </c>
      <c r="D113" s="36">
        <v>38.9</v>
      </c>
      <c r="E113" s="36">
        <v>27.2</v>
      </c>
      <c r="F113" s="36">
        <v>11.7</v>
      </c>
      <c r="G113" s="36"/>
      <c r="H113" s="36"/>
      <c r="J113" s="18"/>
      <c r="L113" s="43">
        <v>44957</v>
      </c>
      <c r="M113" s="36">
        <v>-7.3</v>
      </c>
      <c r="N113" s="36">
        <v>-19.8</v>
      </c>
      <c r="O113" s="36">
        <v>44.7</v>
      </c>
      <c r="P113" s="36"/>
      <c r="Q113" s="24"/>
      <c r="R113" s="24"/>
      <c r="S113" s="37"/>
    </row>
    <row r="114" spans="1:19" s="19" customFormat="1" x14ac:dyDescent="0.2">
      <c r="A114" s="18"/>
      <c r="C114" s="42">
        <v>44985</v>
      </c>
      <c r="D114" s="39">
        <v>49.6</v>
      </c>
      <c r="E114" s="39">
        <v>34.700000000000003</v>
      </c>
      <c r="F114" s="39">
        <v>14.9</v>
      </c>
      <c r="G114" s="39"/>
      <c r="H114" s="39"/>
      <c r="J114" s="18"/>
      <c r="L114" s="42">
        <v>44985</v>
      </c>
      <c r="M114" s="39">
        <v>56.1</v>
      </c>
      <c r="N114" s="39">
        <v>41.5</v>
      </c>
      <c r="O114" s="39">
        <v>105.8</v>
      </c>
      <c r="P114" s="39"/>
      <c r="Q114" s="24"/>
      <c r="R114" s="24"/>
      <c r="S114" s="37"/>
    </row>
    <row r="115" spans="1:19" s="19" customFormat="1" x14ac:dyDescent="0.2">
      <c r="A115" s="18"/>
      <c r="C115" s="43">
        <v>45016</v>
      </c>
      <c r="D115" s="36">
        <v>61.7</v>
      </c>
      <c r="E115" s="36">
        <v>45.3</v>
      </c>
      <c r="F115" s="36">
        <v>16.399999999999999</v>
      </c>
      <c r="G115" s="36"/>
      <c r="H115" s="36"/>
      <c r="J115" s="18"/>
      <c r="L115" s="43">
        <v>45016</v>
      </c>
      <c r="M115" s="36">
        <v>35.200000000000003</v>
      </c>
      <c r="N115" s="36">
        <v>22.1</v>
      </c>
      <c r="O115" s="36">
        <v>92.1</v>
      </c>
      <c r="P115" s="36"/>
      <c r="Q115" s="24"/>
      <c r="R115" s="24"/>
      <c r="S115" s="37"/>
    </row>
    <row r="116" spans="1:19" s="19" customFormat="1" x14ac:dyDescent="0.2">
      <c r="A116" s="18"/>
      <c r="C116" s="42">
        <v>45046</v>
      </c>
      <c r="D116" s="39">
        <v>60.7</v>
      </c>
      <c r="E116" s="39">
        <v>43.7</v>
      </c>
      <c r="F116" s="39">
        <v>17</v>
      </c>
      <c r="G116" s="39"/>
      <c r="H116" s="39"/>
      <c r="J116" s="18"/>
      <c r="L116" s="42">
        <v>45046</v>
      </c>
      <c r="M116" s="39">
        <v>115.6</v>
      </c>
      <c r="N116" s="39">
        <v>104</v>
      </c>
      <c r="O116" s="39">
        <v>152.30000000000001</v>
      </c>
      <c r="P116" s="39"/>
      <c r="Q116" s="24"/>
      <c r="R116" s="24"/>
      <c r="S116" s="37"/>
    </row>
    <row r="117" spans="1:19" s="19" customFormat="1" x14ac:dyDescent="0.2">
      <c r="A117" s="18"/>
      <c r="C117" s="43">
        <v>45077</v>
      </c>
      <c r="D117" s="36">
        <v>67.3</v>
      </c>
      <c r="E117" s="36">
        <v>47.9</v>
      </c>
      <c r="F117" s="36">
        <v>19.399999999999999</v>
      </c>
      <c r="G117" s="36"/>
      <c r="H117" s="36"/>
      <c r="J117" s="18"/>
      <c r="L117" s="43">
        <v>45077</v>
      </c>
      <c r="M117" s="36">
        <v>59.4</v>
      </c>
      <c r="N117" s="36">
        <v>47.8</v>
      </c>
      <c r="O117" s="36">
        <v>97.8</v>
      </c>
      <c r="P117" s="36"/>
      <c r="Q117" s="24"/>
      <c r="R117" s="24"/>
      <c r="S117" s="37"/>
    </row>
    <row r="118" spans="1:19" s="19" customFormat="1" x14ac:dyDescent="0.2">
      <c r="A118" s="18"/>
      <c r="C118" s="42">
        <v>45107</v>
      </c>
      <c r="D118" s="39">
        <v>76.099999999999994</v>
      </c>
      <c r="E118" s="39">
        <v>52.8</v>
      </c>
      <c r="F118" s="39">
        <v>23.3</v>
      </c>
      <c r="G118" s="39"/>
      <c r="H118" s="39"/>
      <c r="J118" s="18"/>
      <c r="L118" s="42">
        <v>45107</v>
      </c>
      <c r="M118" s="39">
        <v>33.4</v>
      </c>
      <c r="N118" s="39">
        <v>17</v>
      </c>
      <c r="O118" s="39">
        <v>95.7</v>
      </c>
      <c r="P118" s="39"/>
      <c r="Q118" s="24"/>
      <c r="R118" s="24"/>
      <c r="S118" s="37"/>
    </row>
    <row r="119" spans="1:19" s="19" customFormat="1" x14ac:dyDescent="0.2">
      <c r="A119" s="18"/>
      <c r="C119" s="43">
        <v>45138</v>
      </c>
      <c r="D119" s="36">
        <v>73.7</v>
      </c>
      <c r="E119" s="36">
        <v>49.6</v>
      </c>
      <c r="F119" s="36">
        <v>24.2</v>
      </c>
      <c r="G119" s="36"/>
      <c r="H119" s="36"/>
      <c r="J119" s="18"/>
      <c r="L119" s="43">
        <v>45138</v>
      </c>
      <c r="M119" s="36">
        <v>30.7</v>
      </c>
      <c r="N119" s="36">
        <v>15.3</v>
      </c>
      <c r="O119" s="36">
        <v>80</v>
      </c>
      <c r="P119" s="36"/>
      <c r="Q119" s="24"/>
      <c r="R119" s="24"/>
      <c r="S119" s="37"/>
    </row>
    <row r="120" spans="1:19" s="19" customFormat="1" x14ac:dyDescent="0.2">
      <c r="A120" s="18"/>
      <c r="C120" s="42">
        <v>45169</v>
      </c>
      <c r="D120" s="39">
        <v>79.8</v>
      </c>
      <c r="E120" s="39">
        <v>55.1</v>
      </c>
      <c r="F120" s="39">
        <v>24.8</v>
      </c>
      <c r="G120" s="39"/>
      <c r="H120" s="39"/>
      <c r="J120" s="18"/>
      <c r="L120" s="42">
        <v>45169</v>
      </c>
      <c r="M120" s="39">
        <v>25.6</v>
      </c>
      <c r="N120" s="39">
        <v>11.8</v>
      </c>
      <c r="O120" s="39">
        <v>73.599999999999994</v>
      </c>
      <c r="P120" s="39"/>
      <c r="Q120" s="24"/>
      <c r="R120" s="24"/>
      <c r="S120" s="37"/>
    </row>
    <row r="121" spans="1:19" s="19" customFormat="1" x14ac:dyDescent="0.2">
      <c r="A121" s="18"/>
      <c r="C121" s="43">
        <v>45199</v>
      </c>
      <c r="D121" s="36">
        <v>82.9</v>
      </c>
      <c r="E121" s="36">
        <v>56.3</v>
      </c>
      <c r="F121" s="36">
        <v>26.6</v>
      </c>
      <c r="G121" s="36"/>
      <c r="H121" s="36"/>
      <c r="J121" s="18"/>
      <c r="L121" s="43">
        <v>45199</v>
      </c>
      <c r="M121" s="36">
        <v>23</v>
      </c>
      <c r="N121" s="36">
        <v>11.2</v>
      </c>
      <c r="O121" s="36">
        <v>58.7</v>
      </c>
      <c r="P121" s="36"/>
      <c r="Q121" s="24"/>
      <c r="R121" s="24"/>
      <c r="S121" s="37"/>
    </row>
    <row r="122" spans="1:19" s="19" customFormat="1" x14ac:dyDescent="0.2">
      <c r="A122" s="18"/>
      <c r="C122" s="42">
        <v>45230</v>
      </c>
      <c r="D122" s="39">
        <v>88.3</v>
      </c>
      <c r="E122" s="39">
        <v>58.5</v>
      </c>
      <c r="F122" s="39">
        <v>29.8</v>
      </c>
      <c r="G122" s="39"/>
      <c r="H122" s="39"/>
      <c r="J122" s="18"/>
      <c r="L122" s="42">
        <v>45230</v>
      </c>
      <c r="M122" s="39">
        <v>30.1</v>
      </c>
      <c r="N122" s="39">
        <v>14.4</v>
      </c>
      <c r="O122" s="39">
        <v>78.2</v>
      </c>
      <c r="P122" s="39"/>
      <c r="Q122" s="24"/>
      <c r="R122" s="24"/>
      <c r="S122" s="37"/>
    </row>
    <row r="123" spans="1:19" s="19" customFormat="1" x14ac:dyDescent="0.2">
      <c r="A123" s="18"/>
      <c r="C123" s="43">
        <v>45260</v>
      </c>
      <c r="D123" s="36">
        <v>96.2</v>
      </c>
      <c r="E123" s="36">
        <v>65.3</v>
      </c>
      <c r="F123" s="36">
        <v>30.9</v>
      </c>
      <c r="G123" s="36"/>
      <c r="H123" s="36"/>
      <c r="J123" s="18"/>
      <c r="L123" s="43">
        <v>45260</v>
      </c>
      <c r="M123" s="36">
        <v>31.5</v>
      </c>
      <c r="N123" s="36">
        <v>15.2</v>
      </c>
      <c r="O123" s="36">
        <v>86.9</v>
      </c>
      <c r="P123" s="36"/>
      <c r="Q123" s="24"/>
      <c r="R123" s="24"/>
      <c r="S123" s="37"/>
    </row>
    <row r="124" spans="1:19" s="19" customFormat="1" x14ac:dyDescent="0.2">
      <c r="A124" s="18"/>
      <c r="C124" s="42">
        <v>45291</v>
      </c>
      <c r="D124" s="39">
        <v>110.8</v>
      </c>
      <c r="E124" s="39">
        <v>75.099999999999994</v>
      </c>
      <c r="F124" s="39">
        <v>35.700000000000003</v>
      </c>
      <c r="G124" s="39"/>
      <c r="H124" s="39"/>
      <c r="J124" s="18"/>
      <c r="L124" s="42">
        <v>45291</v>
      </c>
      <c r="M124" s="39">
        <v>47.5</v>
      </c>
      <c r="N124" s="39">
        <v>32.9</v>
      </c>
      <c r="O124" s="39">
        <v>91.8</v>
      </c>
      <c r="P124" s="39"/>
      <c r="Q124" s="24"/>
      <c r="R124" s="24"/>
      <c r="S124" s="37"/>
    </row>
    <row r="125" spans="1:19" s="19" customFormat="1" x14ac:dyDescent="0.2">
      <c r="A125" s="18"/>
      <c r="C125" s="43">
        <v>45322</v>
      </c>
      <c r="D125" s="36">
        <v>68.2</v>
      </c>
      <c r="E125" s="36">
        <v>40.4</v>
      </c>
      <c r="F125" s="36">
        <v>27.8</v>
      </c>
      <c r="G125" s="36"/>
      <c r="H125" s="36"/>
      <c r="J125" s="18"/>
      <c r="L125" s="43">
        <v>45322</v>
      </c>
      <c r="M125" s="36">
        <v>76.2</v>
      </c>
      <c r="N125" s="36">
        <v>49.5</v>
      </c>
      <c r="O125" s="36">
        <v>137.9</v>
      </c>
      <c r="P125" s="36"/>
      <c r="Q125" s="24"/>
      <c r="R125" s="24"/>
      <c r="S125" s="37"/>
    </row>
    <row r="126" spans="1:19" s="19" customFormat="1" x14ac:dyDescent="0.2">
      <c r="A126" s="18"/>
      <c r="C126" s="42"/>
      <c r="D126" s="39"/>
      <c r="E126" s="39"/>
      <c r="F126" s="39"/>
      <c r="G126" s="39"/>
      <c r="H126" s="39"/>
      <c r="J126" s="18"/>
      <c r="L126" s="42"/>
      <c r="M126" s="39"/>
      <c r="N126" s="39"/>
      <c r="O126" s="39"/>
      <c r="P126" s="39"/>
      <c r="Q126" s="24"/>
      <c r="R126" s="24"/>
      <c r="S126" s="37"/>
    </row>
    <row r="127" spans="1:19" s="19" customFormat="1" x14ac:dyDescent="0.2">
      <c r="A127" s="18"/>
      <c r="C127" s="43"/>
      <c r="D127" s="36"/>
      <c r="E127" s="36"/>
      <c r="F127" s="36"/>
      <c r="G127" s="36"/>
      <c r="H127" s="36"/>
      <c r="J127" s="18"/>
      <c r="L127" s="43"/>
      <c r="M127" s="36"/>
      <c r="N127" s="36"/>
      <c r="O127" s="36"/>
      <c r="P127" s="36"/>
      <c r="Q127" s="24"/>
      <c r="R127" s="24"/>
      <c r="S127" s="37"/>
    </row>
    <row r="128" spans="1:19" s="19" customFormat="1" x14ac:dyDescent="0.2">
      <c r="A128" s="18"/>
      <c r="C128" s="42"/>
      <c r="D128" s="39"/>
      <c r="E128" s="39"/>
      <c r="F128" s="39"/>
      <c r="G128" s="39"/>
      <c r="H128" s="39"/>
      <c r="J128" s="18"/>
      <c r="L128" s="42"/>
      <c r="M128" s="39"/>
      <c r="N128" s="39"/>
      <c r="O128" s="39"/>
      <c r="P128" s="39"/>
      <c r="Q128" s="24"/>
      <c r="R128" s="24"/>
      <c r="S128" s="37"/>
    </row>
    <row r="129" spans="1:19" s="19" customFormat="1" x14ac:dyDescent="0.2">
      <c r="A129" s="18"/>
      <c r="C129" s="43"/>
      <c r="D129" s="36"/>
      <c r="E129" s="36"/>
      <c r="F129" s="36"/>
      <c r="G129" s="36"/>
      <c r="H129" s="36"/>
      <c r="J129" s="18"/>
      <c r="L129" s="43"/>
      <c r="M129" s="36"/>
      <c r="N129" s="36"/>
      <c r="O129" s="36"/>
      <c r="P129" s="36"/>
      <c r="Q129" s="24"/>
      <c r="R129" s="24"/>
      <c r="S129" s="37"/>
    </row>
    <row r="130" spans="1:19" s="19" customFormat="1" x14ac:dyDescent="0.2">
      <c r="A130" s="18"/>
      <c r="C130" s="42"/>
      <c r="D130" s="39"/>
      <c r="E130" s="39"/>
      <c r="F130" s="39"/>
      <c r="G130" s="39"/>
      <c r="H130" s="39"/>
      <c r="J130" s="18"/>
      <c r="L130" s="42"/>
      <c r="M130" s="39"/>
      <c r="N130" s="39"/>
      <c r="O130" s="39"/>
      <c r="P130" s="39"/>
      <c r="Q130" s="24"/>
      <c r="R130" s="24"/>
      <c r="S130" s="37"/>
    </row>
    <row r="131" spans="1:19" s="19" customFormat="1" x14ac:dyDescent="0.2">
      <c r="A131" s="18"/>
      <c r="C131" s="43"/>
      <c r="D131" s="36"/>
      <c r="E131" s="36"/>
      <c r="F131" s="36"/>
      <c r="G131" s="36"/>
      <c r="H131" s="36"/>
      <c r="J131" s="18"/>
      <c r="L131" s="43"/>
      <c r="M131" s="36"/>
      <c r="N131" s="36"/>
      <c r="O131" s="36"/>
      <c r="P131" s="36"/>
      <c r="Q131" s="24"/>
      <c r="R131" s="24"/>
      <c r="S131" s="37"/>
    </row>
    <row r="132" spans="1:19" s="19" customFormat="1" x14ac:dyDescent="0.2">
      <c r="A132" s="18"/>
      <c r="C132" s="42"/>
      <c r="D132" s="39"/>
      <c r="E132" s="39"/>
      <c r="F132" s="39"/>
      <c r="G132" s="39"/>
      <c r="H132" s="39"/>
      <c r="J132" s="18"/>
      <c r="L132" s="42"/>
      <c r="M132" s="39"/>
      <c r="N132" s="39"/>
      <c r="O132" s="39"/>
      <c r="P132" s="39"/>
      <c r="Q132" s="24"/>
      <c r="R132" s="24"/>
      <c r="S132" s="37"/>
    </row>
    <row r="133" spans="1:19" s="19" customFormat="1" x14ac:dyDescent="0.2">
      <c r="A133" s="18"/>
      <c r="C133" s="43"/>
      <c r="D133" s="36"/>
      <c r="E133" s="36"/>
      <c r="F133" s="36"/>
      <c r="G133" s="36"/>
      <c r="H133" s="36"/>
      <c r="J133" s="18"/>
      <c r="L133" s="43"/>
      <c r="M133" s="36"/>
      <c r="N133" s="36"/>
      <c r="O133" s="36"/>
      <c r="P133" s="36"/>
      <c r="Q133" s="24"/>
      <c r="R133" s="24"/>
      <c r="S133" s="37"/>
    </row>
    <row r="134" spans="1:19" s="19" customFormat="1" x14ac:dyDescent="0.2">
      <c r="A134" s="18"/>
      <c r="C134" s="42"/>
      <c r="D134" s="39"/>
      <c r="E134" s="39"/>
      <c r="F134" s="39"/>
      <c r="G134" s="39"/>
      <c r="H134" s="39"/>
      <c r="J134" s="18"/>
      <c r="L134" s="42"/>
      <c r="M134" s="39"/>
      <c r="N134" s="39"/>
      <c r="O134" s="39"/>
      <c r="P134" s="39"/>
      <c r="Q134" s="24"/>
      <c r="R134" s="24"/>
      <c r="S134" s="37"/>
    </row>
    <row r="135" spans="1:19" s="19" customFormat="1" x14ac:dyDescent="0.2">
      <c r="A135" s="18"/>
      <c r="C135" s="43"/>
      <c r="D135" s="36"/>
      <c r="E135" s="36"/>
      <c r="F135" s="36"/>
      <c r="G135" s="36"/>
      <c r="H135" s="36"/>
      <c r="J135" s="18"/>
      <c r="L135" s="43"/>
      <c r="M135" s="36"/>
      <c r="N135" s="36"/>
      <c r="O135" s="36"/>
      <c r="P135" s="36"/>
      <c r="Q135" s="24"/>
      <c r="R135" s="24"/>
      <c r="S135" s="37"/>
    </row>
    <row r="136" spans="1:19" s="19" customFormat="1" x14ac:dyDescent="0.2">
      <c r="A136" s="18"/>
      <c r="C136" s="42"/>
      <c r="D136" s="39"/>
      <c r="E136" s="39"/>
      <c r="F136" s="39"/>
      <c r="G136" s="39"/>
      <c r="H136" s="39"/>
      <c r="J136" s="18"/>
      <c r="L136" s="42"/>
      <c r="M136" s="39"/>
      <c r="N136" s="39"/>
      <c r="O136" s="39"/>
      <c r="P136" s="39"/>
      <c r="Q136" s="24"/>
      <c r="R136" s="24"/>
      <c r="S136" s="37"/>
    </row>
    <row r="137" spans="1:19" s="19" customFormat="1" x14ac:dyDescent="0.2">
      <c r="A137" s="18"/>
      <c r="C137" s="43"/>
      <c r="D137" s="36"/>
      <c r="E137" s="36"/>
      <c r="F137" s="36"/>
      <c r="G137" s="36"/>
      <c r="H137" s="36"/>
      <c r="J137" s="18"/>
      <c r="L137" s="43"/>
      <c r="M137" s="36"/>
      <c r="N137" s="36"/>
      <c r="O137" s="36"/>
      <c r="P137" s="36"/>
      <c r="Q137" s="24"/>
      <c r="R137" s="24"/>
      <c r="S137" s="37"/>
    </row>
    <row r="138" spans="1:19" s="19" customFormat="1" x14ac:dyDescent="0.2">
      <c r="A138" s="18"/>
      <c r="C138" s="42"/>
      <c r="D138" s="39"/>
      <c r="E138" s="39"/>
      <c r="F138" s="39"/>
      <c r="G138" s="39"/>
      <c r="H138" s="39"/>
      <c r="J138" s="18"/>
      <c r="L138" s="42"/>
      <c r="M138" s="39"/>
      <c r="N138" s="39"/>
      <c r="O138" s="39"/>
      <c r="P138" s="39"/>
      <c r="Q138" s="24"/>
      <c r="R138" s="24"/>
      <c r="S138" s="37"/>
    </row>
    <row r="139" spans="1:19" s="19" customFormat="1" x14ac:dyDescent="0.2">
      <c r="A139" s="18"/>
      <c r="C139" s="43"/>
      <c r="D139" s="36"/>
      <c r="E139" s="36"/>
      <c r="F139" s="36"/>
      <c r="G139" s="36"/>
      <c r="H139" s="36"/>
      <c r="J139" s="18"/>
      <c r="L139" s="43"/>
      <c r="M139" s="36"/>
      <c r="N139" s="36"/>
      <c r="O139" s="36"/>
      <c r="P139" s="36"/>
      <c r="Q139" s="24"/>
      <c r="R139" s="24"/>
      <c r="S139" s="37"/>
    </row>
    <row r="140" spans="1:19" s="19" customFormat="1" x14ac:dyDescent="0.2">
      <c r="A140" s="18"/>
      <c r="C140" s="42"/>
      <c r="D140" s="39"/>
      <c r="E140" s="39"/>
      <c r="F140" s="39"/>
      <c r="G140" s="39"/>
      <c r="H140" s="39"/>
      <c r="J140" s="18"/>
      <c r="L140" s="42"/>
      <c r="M140" s="39"/>
      <c r="N140" s="39"/>
      <c r="O140" s="39"/>
      <c r="P140" s="39"/>
      <c r="Q140" s="24"/>
      <c r="R140" s="24"/>
      <c r="S140" s="37"/>
    </row>
    <row r="141" spans="1:19" s="19" customFormat="1" x14ac:dyDescent="0.2">
      <c r="A141" s="18"/>
      <c r="C141" s="43"/>
      <c r="D141" s="36"/>
      <c r="E141" s="36"/>
      <c r="F141" s="36"/>
      <c r="G141" s="36"/>
      <c r="H141" s="36"/>
      <c r="J141" s="18"/>
      <c r="L141" s="43"/>
      <c r="M141" s="36"/>
      <c r="N141" s="36"/>
      <c r="O141" s="36"/>
      <c r="P141" s="36"/>
      <c r="Q141" s="24"/>
      <c r="R141" s="24"/>
      <c r="S141" s="37"/>
    </row>
    <row r="142" spans="1:19" s="19" customFormat="1" x14ac:dyDescent="0.2">
      <c r="A142" s="18"/>
      <c r="C142" s="42"/>
      <c r="D142" s="39"/>
      <c r="E142" s="39"/>
      <c r="F142" s="39"/>
      <c r="G142" s="39"/>
      <c r="H142" s="39"/>
      <c r="J142" s="18"/>
      <c r="L142" s="42"/>
      <c r="M142" s="39"/>
      <c r="N142" s="39"/>
      <c r="O142" s="39"/>
      <c r="P142" s="39"/>
      <c r="Q142" s="24"/>
      <c r="R142" s="24"/>
      <c r="S142" s="37"/>
    </row>
    <row r="143" spans="1:19" s="19" customFormat="1" x14ac:dyDescent="0.2">
      <c r="A143" s="18"/>
      <c r="C143" s="43"/>
      <c r="D143" s="36"/>
      <c r="E143" s="36"/>
      <c r="F143" s="36"/>
      <c r="G143" s="36"/>
      <c r="H143" s="36"/>
      <c r="J143" s="18"/>
      <c r="L143" s="43"/>
      <c r="M143" s="36"/>
      <c r="N143" s="36"/>
      <c r="O143" s="36"/>
      <c r="P143" s="36"/>
      <c r="Q143" s="24"/>
      <c r="R143" s="24"/>
      <c r="S143" s="37"/>
    </row>
    <row r="144" spans="1:19" s="19" customFormat="1" x14ac:dyDescent="0.2">
      <c r="A144" s="18"/>
      <c r="C144" s="42"/>
      <c r="D144" s="39"/>
      <c r="E144" s="39"/>
      <c r="F144" s="39"/>
      <c r="G144" s="39"/>
      <c r="H144" s="39"/>
      <c r="J144" s="18"/>
      <c r="L144" s="42"/>
      <c r="M144" s="39"/>
      <c r="N144" s="39"/>
      <c r="O144" s="39"/>
      <c r="P144" s="39"/>
      <c r="Q144" s="24"/>
      <c r="R144" s="24"/>
      <c r="S144" s="37"/>
    </row>
    <row r="145" spans="1:19" s="19" customFormat="1" x14ac:dyDescent="0.2">
      <c r="A145" s="18"/>
      <c r="C145" s="43"/>
      <c r="D145" s="36"/>
      <c r="E145" s="36"/>
      <c r="F145" s="36"/>
      <c r="G145" s="36"/>
      <c r="H145" s="36"/>
      <c r="J145" s="18"/>
      <c r="L145" s="43"/>
      <c r="M145" s="36"/>
      <c r="N145" s="36"/>
      <c r="O145" s="36"/>
      <c r="P145" s="36"/>
      <c r="Q145" s="24"/>
      <c r="R145" s="24"/>
      <c r="S145" s="37"/>
    </row>
    <row r="146" spans="1:19" s="19" customFormat="1" x14ac:dyDescent="0.2">
      <c r="A146" s="18"/>
      <c r="C146" s="42"/>
      <c r="D146" s="39"/>
      <c r="E146" s="39"/>
      <c r="F146" s="39"/>
      <c r="G146" s="39"/>
      <c r="H146" s="39"/>
      <c r="J146" s="18"/>
      <c r="L146" s="42"/>
      <c r="M146" s="39"/>
      <c r="N146" s="39"/>
      <c r="O146" s="39"/>
      <c r="P146" s="39"/>
      <c r="Q146" s="24"/>
      <c r="R146" s="24"/>
      <c r="S146" s="37"/>
    </row>
    <row r="147" spans="1:19" s="19" customFormat="1" x14ac:dyDescent="0.2">
      <c r="A147" s="18"/>
      <c r="C147" s="43"/>
      <c r="D147" s="36"/>
      <c r="E147" s="36"/>
      <c r="F147" s="36"/>
      <c r="G147" s="36"/>
      <c r="H147" s="36"/>
      <c r="J147" s="18"/>
      <c r="L147" s="43"/>
      <c r="M147" s="36"/>
      <c r="N147" s="36"/>
      <c r="O147" s="36"/>
      <c r="P147" s="36"/>
      <c r="Q147" s="24"/>
      <c r="R147" s="24"/>
      <c r="S147" s="37"/>
    </row>
    <row r="148" spans="1:19" s="19" customFormat="1" x14ac:dyDescent="0.2">
      <c r="A148" s="18"/>
      <c r="C148" s="42"/>
      <c r="D148" s="39"/>
      <c r="E148" s="39"/>
      <c r="F148" s="39"/>
      <c r="G148" s="39"/>
      <c r="H148" s="39"/>
      <c r="J148" s="18"/>
      <c r="L148" s="42"/>
      <c r="M148" s="39"/>
      <c r="N148" s="39"/>
      <c r="O148" s="39"/>
      <c r="P148" s="39"/>
      <c r="Q148" s="24"/>
      <c r="R148" s="24"/>
      <c r="S148" s="37"/>
    </row>
    <row r="149" spans="1:19" s="19" customFormat="1" x14ac:dyDescent="0.2">
      <c r="A149" s="18"/>
      <c r="C149" s="43"/>
      <c r="D149" s="36"/>
      <c r="E149" s="36"/>
      <c r="F149" s="36"/>
      <c r="G149" s="36"/>
      <c r="H149" s="36"/>
      <c r="J149" s="18"/>
      <c r="L149" s="43"/>
      <c r="M149" s="36"/>
      <c r="N149" s="36"/>
      <c r="O149" s="36"/>
      <c r="P149" s="36"/>
      <c r="Q149" s="24"/>
      <c r="R149" s="24"/>
      <c r="S149" s="37"/>
    </row>
    <row r="150" spans="1:19" s="19" customFormat="1" x14ac:dyDescent="0.2">
      <c r="A150" s="18"/>
      <c r="C150" s="42"/>
      <c r="D150" s="39"/>
      <c r="E150" s="39"/>
      <c r="F150" s="39"/>
      <c r="G150" s="39"/>
      <c r="H150" s="39"/>
      <c r="J150" s="18"/>
      <c r="L150" s="42"/>
      <c r="M150" s="39"/>
      <c r="N150" s="39"/>
      <c r="O150" s="39"/>
      <c r="P150" s="39"/>
      <c r="Q150" s="24"/>
      <c r="R150" s="24"/>
      <c r="S150" s="37"/>
    </row>
    <row r="151" spans="1:19" s="19" customFormat="1" x14ac:dyDescent="0.2">
      <c r="A151" s="18"/>
      <c r="C151" s="43"/>
      <c r="D151" s="36"/>
      <c r="E151" s="36"/>
      <c r="F151" s="36"/>
      <c r="G151" s="36"/>
      <c r="H151" s="36"/>
      <c r="J151" s="18"/>
      <c r="L151" s="43"/>
      <c r="M151" s="36"/>
      <c r="N151" s="36"/>
      <c r="O151" s="36"/>
      <c r="P151" s="36"/>
      <c r="Q151" s="24"/>
      <c r="R151" s="24"/>
      <c r="S151" s="37"/>
    </row>
    <row r="152" spans="1:19" s="19" customFormat="1" x14ac:dyDescent="0.2">
      <c r="A152" s="18"/>
      <c r="C152" s="42"/>
      <c r="D152" s="39"/>
      <c r="E152" s="39"/>
      <c r="F152" s="39"/>
      <c r="G152" s="39"/>
      <c r="H152" s="39"/>
      <c r="J152" s="18"/>
      <c r="L152" s="42"/>
      <c r="M152" s="39"/>
      <c r="N152" s="39"/>
      <c r="O152" s="39"/>
      <c r="P152" s="39"/>
      <c r="Q152" s="24"/>
      <c r="R152" s="24"/>
      <c r="S152" s="37"/>
    </row>
    <row r="153" spans="1:19" s="19" customFormat="1" x14ac:dyDescent="0.2">
      <c r="A153" s="18"/>
      <c r="C153" s="43"/>
      <c r="D153" s="36"/>
      <c r="E153" s="36"/>
      <c r="F153" s="36"/>
      <c r="G153" s="36"/>
      <c r="H153" s="36"/>
      <c r="J153" s="18"/>
      <c r="L153" s="43"/>
      <c r="M153" s="36"/>
      <c r="N153" s="36"/>
      <c r="O153" s="36"/>
      <c r="P153" s="36"/>
      <c r="Q153" s="24"/>
      <c r="R153" s="24"/>
      <c r="S153" s="37"/>
    </row>
    <row r="154" spans="1:19" s="19" customFormat="1" x14ac:dyDescent="0.2">
      <c r="A154" s="18"/>
      <c r="C154" s="42"/>
      <c r="D154" s="39"/>
      <c r="E154" s="39"/>
      <c r="F154" s="39"/>
      <c r="G154" s="39"/>
      <c r="H154" s="39"/>
      <c r="J154" s="18"/>
      <c r="L154" s="42"/>
      <c r="M154" s="39"/>
      <c r="N154" s="39"/>
      <c r="O154" s="39"/>
      <c r="P154" s="39"/>
      <c r="Q154" s="24"/>
      <c r="R154" s="24"/>
      <c r="S154" s="37"/>
    </row>
    <row r="155" spans="1:19" s="19" customFormat="1" x14ac:dyDescent="0.2">
      <c r="A155" s="18"/>
      <c r="C155" s="43"/>
      <c r="D155" s="36"/>
      <c r="E155" s="36"/>
      <c r="F155" s="36"/>
      <c r="G155" s="36"/>
      <c r="H155" s="36"/>
      <c r="J155" s="18"/>
      <c r="L155" s="43"/>
      <c r="M155" s="36"/>
      <c r="N155" s="36"/>
      <c r="O155" s="36"/>
      <c r="P155" s="36"/>
      <c r="Q155" s="24"/>
      <c r="R155" s="24"/>
      <c r="S155" s="37"/>
    </row>
    <row r="156" spans="1:19" s="19" customFormat="1" x14ac:dyDescent="0.2">
      <c r="A156" s="18"/>
      <c r="C156" s="42"/>
      <c r="D156" s="39"/>
      <c r="E156" s="39"/>
      <c r="F156" s="39"/>
      <c r="G156" s="39"/>
      <c r="H156" s="39"/>
      <c r="J156" s="18"/>
      <c r="L156" s="42"/>
      <c r="M156" s="39"/>
      <c r="N156" s="39"/>
      <c r="O156" s="39"/>
      <c r="P156" s="39"/>
      <c r="Q156" s="24"/>
      <c r="R156" s="24"/>
      <c r="S156" s="37"/>
    </row>
    <row r="157" spans="1:19" s="19" customFormat="1" x14ac:dyDescent="0.2">
      <c r="A157" s="18"/>
      <c r="C157" s="43"/>
      <c r="D157" s="36"/>
      <c r="E157" s="36"/>
      <c r="F157" s="36"/>
      <c r="G157" s="36"/>
      <c r="H157" s="36"/>
      <c r="J157" s="18"/>
      <c r="L157" s="43"/>
      <c r="M157" s="36"/>
      <c r="N157" s="36"/>
      <c r="O157" s="36"/>
      <c r="P157" s="36"/>
      <c r="Q157" s="24"/>
      <c r="R157" s="24"/>
      <c r="S157" s="37"/>
    </row>
    <row r="158" spans="1:19" s="19" customFormat="1" x14ac:dyDescent="0.2">
      <c r="A158" s="18"/>
      <c r="C158" s="42"/>
      <c r="D158" s="39"/>
      <c r="E158" s="39"/>
      <c r="F158" s="39"/>
      <c r="G158" s="39"/>
      <c r="H158" s="39"/>
      <c r="J158" s="18"/>
      <c r="L158" s="42"/>
      <c r="M158" s="39"/>
      <c r="N158" s="39"/>
      <c r="O158" s="39"/>
      <c r="P158" s="39"/>
      <c r="Q158" s="24"/>
      <c r="R158" s="24"/>
      <c r="S158" s="37"/>
    </row>
    <row r="159" spans="1:19" s="19" customFormat="1" x14ac:dyDescent="0.2">
      <c r="A159" s="18"/>
      <c r="C159" s="43"/>
      <c r="D159" s="36"/>
      <c r="E159" s="36"/>
      <c r="F159" s="36"/>
      <c r="G159" s="36"/>
      <c r="H159" s="36"/>
      <c r="J159" s="18"/>
      <c r="L159" s="43"/>
      <c r="M159" s="36"/>
      <c r="N159" s="36"/>
      <c r="O159" s="36"/>
      <c r="P159" s="36"/>
      <c r="Q159" s="24"/>
      <c r="R159" s="24"/>
      <c r="S159" s="37"/>
    </row>
    <row r="160" spans="1:19" s="19" customFormat="1" x14ac:dyDescent="0.2">
      <c r="A160" s="18"/>
      <c r="C160" s="42"/>
      <c r="D160" s="39"/>
      <c r="E160" s="39"/>
      <c r="F160" s="39"/>
      <c r="G160" s="39"/>
      <c r="H160" s="39"/>
      <c r="J160" s="18"/>
      <c r="L160" s="42"/>
      <c r="M160" s="39"/>
      <c r="N160" s="39"/>
      <c r="O160" s="39"/>
      <c r="P160" s="39"/>
      <c r="Q160" s="24"/>
      <c r="R160" s="24"/>
      <c r="S160" s="37"/>
    </row>
    <row r="161" spans="1:19" s="19" customFormat="1" x14ac:dyDescent="0.2">
      <c r="A161" s="18"/>
      <c r="C161" s="43"/>
      <c r="D161" s="36"/>
      <c r="E161" s="36"/>
      <c r="F161" s="36"/>
      <c r="G161" s="36"/>
      <c r="H161" s="36"/>
      <c r="J161" s="18"/>
      <c r="L161" s="43"/>
      <c r="M161" s="36"/>
      <c r="N161" s="36"/>
      <c r="O161" s="36"/>
      <c r="P161" s="36"/>
      <c r="Q161" s="24"/>
      <c r="R161" s="24"/>
      <c r="S161" s="37"/>
    </row>
    <row r="162" spans="1:19" s="19" customFormat="1" x14ac:dyDescent="0.2">
      <c r="A162" s="18"/>
      <c r="C162" s="42"/>
      <c r="D162" s="39"/>
      <c r="E162" s="39"/>
      <c r="F162" s="39"/>
      <c r="G162" s="39"/>
      <c r="H162" s="39"/>
      <c r="J162" s="18"/>
      <c r="L162" s="42"/>
      <c r="M162" s="39"/>
      <c r="N162" s="39"/>
      <c r="O162" s="39"/>
      <c r="P162" s="39"/>
      <c r="Q162" s="24"/>
      <c r="R162" s="24"/>
      <c r="S162" s="37"/>
    </row>
    <row r="163" spans="1:19" s="19" customFormat="1" x14ac:dyDescent="0.2">
      <c r="A163" s="18"/>
      <c r="C163" s="43"/>
      <c r="D163" s="36"/>
      <c r="E163" s="36"/>
      <c r="F163" s="36"/>
      <c r="G163" s="36"/>
      <c r="H163" s="36"/>
      <c r="J163" s="18"/>
      <c r="L163" s="43"/>
      <c r="M163" s="36"/>
      <c r="N163" s="36"/>
      <c r="O163" s="36"/>
      <c r="P163" s="36"/>
      <c r="Q163" s="24"/>
      <c r="R163" s="24"/>
      <c r="S163" s="37"/>
    </row>
    <row r="164" spans="1:19" s="19" customFormat="1" x14ac:dyDescent="0.2">
      <c r="A164" s="18"/>
      <c r="C164" s="42"/>
      <c r="D164" s="39"/>
      <c r="E164" s="39"/>
      <c r="F164" s="39"/>
      <c r="G164" s="39"/>
      <c r="H164" s="39"/>
      <c r="J164" s="18"/>
      <c r="L164" s="42"/>
      <c r="M164" s="39"/>
      <c r="N164" s="39"/>
      <c r="O164" s="39"/>
      <c r="P164" s="39"/>
      <c r="Q164" s="24"/>
      <c r="R164" s="24"/>
      <c r="S164" s="37"/>
    </row>
    <row r="165" spans="1:19" s="19" customFormat="1" x14ac:dyDescent="0.2">
      <c r="A165" s="18"/>
      <c r="C165" s="43"/>
      <c r="D165" s="36"/>
      <c r="E165" s="36"/>
      <c r="F165" s="36"/>
      <c r="G165" s="36"/>
      <c r="H165" s="36"/>
      <c r="J165" s="18"/>
      <c r="L165" s="43"/>
      <c r="M165" s="36"/>
      <c r="N165" s="36"/>
      <c r="O165" s="36"/>
      <c r="P165" s="36"/>
      <c r="Q165" s="24"/>
      <c r="R165" s="24"/>
      <c r="S165" s="37"/>
    </row>
    <row r="166" spans="1:19" s="19" customFormat="1" x14ac:dyDescent="0.2">
      <c r="A166" s="18"/>
      <c r="C166" s="42"/>
      <c r="D166" s="39"/>
      <c r="E166" s="39"/>
      <c r="F166" s="39"/>
      <c r="G166" s="39"/>
      <c r="H166" s="39"/>
      <c r="J166" s="18"/>
      <c r="L166" s="42"/>
      <c r="M166" s="39"/>
      <c r="N166" s="39"/>
      <c r="O166" s="39"/>
      <c r="P166" s="39"/>
      <c r="Q166" s="24"/>
      <c r="R166" s="24"/>
      <c r="S166" s="37"/>
    </row>
    <row r="167" spans="1:19" s="19" customFormat="1" x14ac:dyDescent="0.2">
      <c r="A167" s="18"/>
      <c r="C167" s="43"/>
      <c r="D167" s="36"/>
      <c r="E167" s="36"/>
      <c r="F167" s="36"/>
      <c r="G167" s="36"/>
      <c r="H167" s="36"/>
      <c r="J167" s="18"/>
      <c r="L167" s="43"/>
      <c r="M167" s="36"/>
      <c r="N167" s="36"/>
      <c r="O167" s="36"/>
      <c r="P167" s="36"/>
      <c r="Q167" s="24"/>
      <c r="R167" s="24"/>
      <c r="S167" s="37"/>
    </row>
    <row r="168" spans="1:19" s="19" customFormat="1" x14ac:dyDescent="0.2">
      <c r="A168" s="18"/>
      <c r="C168" s="42"/>
      <c r="D168" s="39"/>
      <c r="E168" s="39"/>
      <c r="F168" s="39"/>
      <c r="G168" s="39"/>
      <c r="H168" s="39"/>
      <c r="J168" s="18"/>
      <c r="L168" s="42"/>
      <c r="M168" s="39"/>
      <c r="N168" s="39"/>
      <c r="O168" s="39"/>
      <c r="P168" s="39"/>
      <c r="Q168" s="24"/>
      <c r="R168" s="24"/>
      <c r="S168" s="37"/>
    </row>
    <row r="169" spans="1:19" s="19" customFormat="1" x14ac:dyDescent="0.2">
      <c r="A169" s="18"/>
      <c r="C169" s="43"/>
      <c r="D169" s="36"/>
      <c r="E169" s="36"/>
      <c r="F169" s="36"/>
      <c r="G169" s="36"/>
      <c r="H169" s="36"/>
      <c r="J169" s="18"/>
      <c r="L169" s="43"/>
      <c r="M169" s="36"/>
      <c r="N169" s="36"/>
      <c r="O169" s="36"/>
      <c r="P169" s="36"/>
      <c r="Q169" s="24"/>
      <c r="R169" s="24"/>
      <c r="S169" s="37"/>
    </row>
    <row r="170" spans="1:19" s="19" customFormat="1" x14ac:dyDescent="0.2">
      <c r="A170" s="18"/>
      <c r="C170" s="42"/>
      <c r="D170" s="39"/>
      <c r="E170" s="39"/>
      <c r="F170" s="39"/>
      <c r="G170" s="39"/>
      <c r="H170" s="39"/>
      <c r="J170" s="18"/>
      <c r="L170" s="42"/>
      <c r="M170" s="39"/>
      <c r="N170" s="39"/>
      <c r="O170" s="39"/>
      <c r="P170" s="39"/>
      <c r="Q170" s="24"/>
      <c r="R170" s="24"/>
      <c r="S170" s="37"/>
    </row>
    <row r="171" spans="1:19" s="19" customFormat="1" x14ac:dyDescent="0.2">
      <c r="A171" s="18"/>
      <c r="C171" s="43"/>
      <c r="D171" s="36"/>
      <c r="E171" s="36"/>
      <c r="F171" s="36"/>
      <c r="G171" s="36"/>
      <c r="H171" s="36"/>
      <c r="J171" s="18"/>
      <c r="L171" s="43"/>
      <c r="M171" s="36"/>
      <c r="N171" s="36"/>
      <c r="O171" s="36"/>
      <c r="P171" s="36"/>
      <c r="Q171" s="24"/>
      <c r="R171" s="24"/>
      <c r="S171" s="37"/>
    </row>
    <row r="172" spans="1:19" s="19" customFormat="1" x14ac:dyDescent="0.2">
      <c r="A172" s="18"/>
      <c r="C172" s="42"/>
      <c r="D172" s="39"/>
      <c r="E172" s="39"/>
      <c r="F172" s="39"/>
      <c r="G172" s="39"/>
      <c r="H172" s="39"/>
      <c r="J172" s="18"/>
      <c r="L172" s="42"/>
      <c r="M172" s="39"/>
      <c r="N172" s="39"/>
      <c r="O172" s="39"/>
      <c r="P172" s="39"/>
      <c r="Q172" s="24"/>
      <c r="R172" s="24"/>
      <c r="S172" s="37"/>
    </row>
    <row r="173" spans="1:19" s="19" customFormat="1" x14ac:dyDescent="0.2">
      <c r="A173" s="18"/>
      <c r="C173" s="43"/>
      <c r="D173" s="36"/>
      <c r="E173" s="36"/>
      <c r="F173" s="36"/>
      <c r="G173" s="36"/>
      <c r="H173" s="36"/>
      <c r="J173" s="18"/>
      <c r="L173" s="43"/>
      <c r="M173" s="36"/>
      <c r="N173" s="36"/>
      <c r="O173" s="36"/>
      <c r="P173" s="36"/>
      <c r="Q173" s="24"/>
      <c r="R173" s="24"/>
      <c r="S173" s="37"/>
    </row>
    <row r="174" spans="1:19" s="19" customFormat="1" x14ac:dyDescent="0.2">
      <c r="A174" s="18"/>
      <c r="C174" s="42"/>
      <c r="D174" s="39"/>
      <c r="E174" s="39"/>
      <c r="F174" s="39"/>
      <c r="G174" s="39"/>
      <c r="H174" s="39"/>
      <c r="J174" s="18"/>
      <c r="L174" s="42"/>
      <c r="M174" s="39"/>
      <c r="N174" s="39"/>
      <c r="O174" s="39"/>
      <c r="P174" s="39"/>
      <c r="Q174" s="24"/>
      <c r="R174" s="24"/>
      <c r="S174" s="37"/>
    </row>
    <row r="175" spans="1:19" s="19" customFormat="1" x14ac:dyDescent="0.2">
      <c r="A175" s="18"/>
      <c r="C175" s="43"/>
      <c r="D175" s="36"/>
      <c r="E175" s="36"/>
      <c r="F175" s="36"/>
      <c r="G175" s="36"/>
      <c r="H175" s="36"/>
      <c r="J175" s="18"/>
      <c r="L175" s="43"/>
      <c r="M175" s="36"/>
      <c r="N175" s="36"/>
      <c r="O175" s="36"/>
      <c r="P175" s="36"/>
      <c r="Q175" s="24"/>
      <c r="R175" s="24"/>
      <c r="S175" s="37"/>
    </row>
    <row r="176" spans="1:19" s="19" customFormat="1" x14ac:dyDescent="0.2">
      <c r="A176" s="18"/>
      <c r="C176" s="42"/>
      <c r="D176" s="39"/>
      <c r="E176" s="39"/>
      <c r="F176" s="39"/>
      <c r="G176" s="39"/>
      <c r="H176" s="39"/>
      <c r="J176" s="18"/>
      <c r="L176" s="42"/>
      <c r="M176" s="39"/>
      <c r="N176" s="39"/>
      <c r="O176" s="39"/>
      <c r="P176" s="39"/>
      <c r="Q176" s="24"/>
      <c r="R176" s="24"/>
      <c r="S176" s="37"/>
    </row>
    <row r="177" spans="1:19" s="19" customFormat="1" x14ac:dyDescent="0.2">
      <c r="A177" s="18"/>
      <c r="C177" s="43"/>
      <c r="D177" s="36"/>
      <c r="E177" s="36"/>
      <c r="F177" s="36"/>
      <c r="G177" s="36"/>
      <c r="H177" s="36"/>
      <c r="J177" s="18"/>
      <c r="L177" s="43"/>
      <c r="M177" s="36"/>
      <c r="N177" s="36"/>
      <c r="O177" s="36"/>
      <c r="P177" s="36"/>
      <c r="Q177" s="24"/>
      <c r="R177" s="24"/>
      <c r="S177" s="37"/>
    </row>
    <row r="178" spans="1:19" s="19" customFormat="1" x14ac:dyDescent="0.2">
      <c r="A178" s="18"/>
      <c r="C178" s="42"/>
      <c r="D178" s="39"/>
      <c r="E178" s="39"/>
      <c r="F178" s="39"/>
      <c r="G178" s="39"/>
      <c r="H178" s="39"/>
      <c r="J178" s="18"/>
      <c r="L178" s="42"/>
      <c r="M178" s="39"/>
      <c r="N178" s="39"/>
      <c r="O178" s="39"/>
      <c r="P178" s="39"/>
      <c r="Q178" s="24"/>
      <c r="R178" s="24"/>
      <c r="S178" s="37"/>
    </row>
    <row r="179" spans="1:19" s="19" customFormat="1" x14ac:dyDescent="0.2">
      <c r="A179" s="18"/>
      <c r="C179" s="43"/>
      <c r="D179" s="36"/>
      <c r="E179" s="36"/>
      <c r="F179" s="36"/>
      <c r="G179" s="36"/>
      <c r="H179" s="36"/>
      <c r="J179" s="18"/>
      <c r="L179" s="43"/>
      <c r="M179" s="36"/>
      <c r="N179" s="36"/>
      <c r="O179" s="36"/>
      <c r="P179" s="36"/>
      <c r="Q179" s="24"/>
      <c r="R179" s="24"/>
      <c r="S179" s="37"/>
    </row>
    <row r="180" spans="1:19" s="19" customFormat="1" x14ac:dyDescent="0.2">
      <c r="A180" s="18"/>
      <c r="C180" s="42"/>
      <c r="D180" s="39"/>
      <c r="E180" s="39"/>
      <c r="F180" s="39"/>
      <c r="G180" s="39"/>
      <c r="H180" s="39"/>
      <c r="J180" s="18"/>
      <c r="L180" s="42"/>
      <c r="M180" s="39"/>
      <c r="N180" s="39"/>
      <c r="O180" s="39"/>
      <c r="P180" s="39"/>
      <c r="Q180" s="24"/>
      <c r="R180" s="24"/>
      <c r="S180" s="37"/>
    </row>
    <row r="181" spans="1:19" s="19" customFormat="1" x14ac:dyDescent="0.2">
      <c r="A181" s="18"/>
      <c r="C181" s="43"/>
      <c r="D181" s="36"/>
      <c r="E181" s="36"/>
      <c r="F181" s="36"/>
      <c r="G181" s="36"/>
      <c r="H181" s="36"/>
      <c r="J181" s="18"/>
      <c r="L181" s="43"/>
      <c r="M181" s="36"/>
      <c r="N181" s="36"/>
      <c r="O181" s="36"/>
      <c r="P181" s="36"/>
      <c r="Q181" s="24"/>
      <c r="R181" s="24"/>
      <c r="S181" s="37"/>
    </row>
    <row r="182" spans="1:19" s="19" customFormat="1" x14ac:dyDescent="0.2">
      <c r="A182" s="18"/>
      <c r="C182" s="42"/>
      <c r="D182" s="39"/>
      <c r="E182" s="39"/>
      <c r="F182" s="39"/>
      <c r="G182" s="39"/>
      <c r="H182" s="39"/>
      <c r="J182" s="18"/>
      <c r="L182" s="42"/>
      <c r="M182" s="39"/>
      <c r="N182" s="39"/>
      <c r="O182" s="39"/>
      <c r="P182" s="39"/>
      <c r="Q182" s="24"/>
      <c r="R182" s="24"/>
      <c r="S182" s="37"/>
    </row>
    <row r="183" spans="1:19" s="19" customFormat="1" x14ac:dyDescent="0.2">
      <c r="A183" s="18"/>
      <c r="C183" s="43"/>
      <c r="D183" s="36"/>
      <c r="E183" s="36"/>
      <c r="F183" s="36"/>
      <c r="G183" s="36"/>
      <c r="H183" s="36"/>
      <c r="J183" s="18"/>
      <c r="L183" s="43"/>
      <c r="M183" s="36"/>
      <c r="N183" s="36"/>
      <c r="O183" s="36"/>
      <c r="P183" s="36"/>
      <c r="Q183" s="24"/>
      <c r="R183" s="24"/>
      <c r="S183" s="37"/>
    </row>
    <row r="184" spans="1:19" s="19" customFormat="1" x14ac:dyDescent="0.2">
      <c r="A184" s="18"/>
      <c r="C184" s="42"/>
      <c r="D184" s="39"/>
      <c r="E184" s="39"/>
      <c r="F184" s="39"/>
      <c r="G184" s="39"/>
      <c r="H184" s="39"/>
      <c r="J184" s="18"/>
      <c r="L184" s="42"/>
      <c r="M184" s="39"/>
      <c r="N184" s="39"/>
      <c r="O184" s="39"/>
      <c r="P184" s="39"/>
      <c r="Q184" s="24"/>
      <c r="R184" s="24"/>
      <c r="S184" s="37"/>
    </row>
    <row r="185" spans="1:19" s="19" customFormat="1" x14ac:dyDescent="0.2">
      <c r="A185" s="18"/>
      <c r="C185" s="43"/>
      <c r="D185" s="36"/>
      <c r="E185" s="36"/>
      <c r="F185" s="36"/>
      <c r="G185" s="36"/>
      <c r="H185" s="36"/>
      <c r="J185" s="18"/>
      <c r="L185" s="43"/>
      <c r="M185" s="36"/>
      <c r="N185" s="36"/>
      <c r="O185" s="36"/>
      <c r="P185" s="36"/>
      <c r="Q185" s="24"/>
      <c r="R185" s="24"/>
      <c r="S185" s="37"/>
    </row>
    <row r="186" spans="1:19" s="19" customFormat="1" x14ac:dyDescent="0.2">
      <c r="A186" s="18"/>
      <c r="C186" s="42"/>
      <c r="D186" s="39"/>
      <c r="E186" s="39"/>
      <c r="F186" s="39"/>
      <c r="G186" s="39"/>
      <c r="H186" s="39"/>
      <c r="J186" s="18"/>
      <c r="L186" s="42"/>
      <c r="M186" s="39"/>
      <c r="N186" s="39"/>
      <c r="O186" s="39"/>
      <c r="P186" s="39"/>
      <c r="Q186" s="24"/>
      <c r="R186" s="24"/>
      <c r="S186" s="37"/>
    </row>
    <row r="187" spans="1:19" s="19" customFormat="1" x14ac:dyDescent="0.2">
      <c r="A187" s="18"/>
      <c r="C187" s="43"/>
      <c r="D187" s="36"/>
      <c r="E187" s="36"/>
      <c r="F187" s="36"/>
      <c r="G187" s="36"/>
      <c r="H187" s="36"/>
      <c r="J187" s="18"/>
      <c r="L187" s="43"/>
      <c r="M187" s="36"/>
      <c r="N187" s="36"/>
      <c r="O187" s="36"/>
      <c r="P187" s="36"/>
      <c r="Q187" s="24"/>
      <c r="R187" s="24"/>
      <c r="S187" s="37"/>
    </row>
    <row r="188" spans="1:19" s="19" customFormat="1" x14ac:dyDescent="0.2">
      <c r="A188" s="18"/>
      <c r="C188" s="42"/>
      <c r="D188" s="39"/>
      <c r="E188" s="39"/>
      <c r="F188" s="39"/>
      <c r="G188" s="39"/>
      <c r="H188" s="39"/>
      <c r="J188" s="18"/>
      <c r="L188" s="42"/>
      <c r="M188" s="39"/>
      <c r="N188" s="39"/>
      <c r="O188" s="39"/>
      <c r="P188" s="39"/>
      <c r="Q188" s="24"/>
      <c r="R188" s="24"/>
      <c r="S188" s="37"/>
    </row>
    <row r="189" spans="1:19" s="19" customFormat="1" x14ac:dyDescent="0.2">
      <c r="A189" s="18"/>
      <c r="C189" s="43"/>
      <c r="D189" s="36"/>
      <c r="E189" s="36"/>
      <c r="F189" s="36"/>
      <c r="G189" s="36"/>
      <c r="H189" s="36"/>
      <c r="J189" s="18"/>
      <c r="L189" s="43"/>
      <c r="M189" s="36"/>
      <c r="N189" s="36"/>
      <c r="O189" s="36"/>
      <c r="P189" s="36"/>
      <c r="Q189" s="24"/>
      <c r="R189" s="24"/>
      <c r="S189" s="37"/>
    </row>
    <row r="190" spans="1:19" s="19" customFormat="1" x14ac:dyDescent="0.2">
      <c r="A190" s="18"/>
      <c r="C190" s="42"/>
      <c r="D190" s="39"/>
      <c r="E190" s="39"/>
      <c r="F190" s="39"/>
      <c r="G190" s="39"/>
      <c r="H190" s="39"/>
      <c r="J190" s="18"/>
      <c r="L190" s="42"/>
      <c r="M190" s="39"/>
      <c r="N190" s="39"/>
      <c r="O190" s="39"/>
      <c r="P190" s="39"/>
      <c r="Q190" s="24"/>
      <c r="R190" s="24"/>
      <c r="S190" s="37"/>
    </row>
    <row r="191" spans="1:19" s="19" customFormat="1" x14ac:dyDescent="0.2">
      <c r="A191" s="18"/>
      <c r="C191" s="43"/>
      <c r="D191" s="36"/>
      <c r="E191" s="36"/>
      <c r="F191" s="36"/>
      <c r="G191" s="36"/>
      <c r="H191" s="36"/>
      <c r="J191" s="18"/>
      <c r="L191" s="43"/>
      <c r="M191" s="36"/>
      <c r="N191" s="36"/>
      <c r="O191" s="36"/>
      <c r="P191" s="36"/>
      <c r="Q191" s="24"/>
      <c r="R191" s="24"/>
      <c r="S191" s="37"/>
    </row>
    <row r="192" spans="1:19" s="19" customFormat="1" x14ac:dyDescent="0.2">
      <c r="A192" s="18"/>
      <c r="C192" s="42"/>
      <c r="D192" s="39"/>
      <c r="E192" s="39"/>
      <c r="F192" s="39"/>
      <c r="G192" s="39"/>
      <c r="H192" s="39"/>
      <c r="J192" s="18"/>
      <c r="L192" s="42"/>
      <c r="M192" s="39"/>
      <c r="N192" s="39"/>
      <c r="O192" s="39"/>
      <c r="P192" s="39"/>
      <c r="Q192" s="24"/>
      <c r="R192" s="24"/>
      <c r="S192" s="37"/>
    </row>
    <row r="193" spans="1:19" s="19" customFormat="1" x14ac:dyDescent="0.2">
      <c r="A193" s="18"/>
      <c r="C193" s="43"/>
      <c r="D193" s="36"/>
      <c r="E193" s="36"/>
      <c r="F193" s="36"/>
      <c r="G193" s="36"/>
      <c r="H193" s="36"/>
      <c r="J193" s="18"/>
      <c r="L193" s="43"/>
      <c r="M193" s="36"/>
      <c r="N193" s="36"/>
      <c r="O193" s="36"/>
      <c r="P193" s="36"/>
      <c r="Q193" s="24"/>
      <c r="R193" s="24"/>
      <c r="S193" s="37"/>
    </row>
    <row r="194" spans="1:19" s="19" customFormat="1" x14ac:dyDescent="0.2">
      <c r="A194" s="18"/>
      <c r="C194" s="42"/>
      <c r="D194" s="39"/>
      <c r="E194" s="39"/>
      <c r="F194" s="39"/>
      <c r="G194" s="39"/>
      <c r="H194" s="39"/>
      <c r="J194" s="18"/>
      <c r="L194" s="42"/>
      <c r="M194" s="39"/>
      <c r="N194" s="39"/>
      <c r="O194" s="39"/>
      <c r="P194" s="39"/>
      <c r="Q194" s="24"/>
      <c r="R194" s="24"/>
      <c r="S194" s="37"/>
    </row>
    <row r="195" spans="1:19" s="19" customFormat="1" x14ac:dyDescent="0.2">
      <c r="A195" s="18"/>
      <c r="C195" s="43"/>
      <c r="D195" s="36"/>
      <c r="E195" s="36"/>
      <c r="F195" s="36"/>
      <c r="G195" s="36"/>
      <c r="H195" s="36"/>
      <c r="J195" s="18"/>
      <c r="L195" s="43"/>
      <c r="M195" s="36"/>
      <c r="N195" s="36"/>
      <c r="O195" s="36"/>
      <c r="P195" s="36"/>
      <c r="Q195" s="24"/>
      <c r="R195" s="24"/>
      <c r="S195" s="37"/>
    </row>
    <row r="196" spans="1:19" s="19" customFormat="1" x14ac:dyDescent="0.2">
      <c r="A196" s="18"/>
      <c r="C196" s="42"/>
      <c r="D196" s="39"/>
      <c r="E196" s="39"/>
      <c r="F196" s="39"/>
      <c r="G196" s="39"/>
      <c r="H196" s="39"/>
      <c r="J196" s="18"/>
      <c r="L196" s="42"/>
      <c r="M196" s="39"/>
      <c r="N196" s="39"/>
      <c r="O196" s="39"/>
      <c r="P196" s="39"/>
      <c r="Q196" s="24"/>
      <c r="R196" s="24"/>
      <c r="S196" s="37"/>
    </row>
    <row r="197" spans="1:19" s="19" customFormat="1" x14ac:dyDescent="0.2">
      <c r="A197" s="18"/>
      <c r="C197" s="43"/>
      <c r="D197" s="36"/>
      <c r="E197" s="36"/>
      <c r="F197" s="36"/>
      <c r="G197" s="36"/>
      <c r="H197" s="36"/>
      <c r="J197" s="18"/>
      <c r="L197" s="43"/>
      <c r="M197" s="36"/>
      <c r="N197" s="36"/>
      <c r="O197" s="36"/>
      <c r="P197" s="36"/>
      <c r="Q197" s="24"/>
      <c r="R197" s="24"/>
      <c r="S197" s="37"/>
    </row>
    <row r="198" spans="1:19" s="19" customFormat="1" x14ac:dyDescent="0.2">
      <c r="A198" s="18"/>
      <c r="C198" s="42"/>
      <c r="D198" s="39"/>
      <c r="E198" s="39"/>
      <c r="F198" s="39"/>
      <c r="G198" s="39"/>
      <c r="H198" s="39"/>
      <c r="J198" s="18"/>
      <c r="L198" s="42"/>
      <c r="M198" s="39"/>
      <c r="N198" s="39"/>
      <c r="O198" s="39"/>
      <c r="P198" s="39"/>
      <c r="Q198" s="24"/>
      <c r="R198" s="24"/>
      <c r="S198" s="37"/>
    </row>
    <row r="199" spans="1:19" s="19" customFormat="1" x14ac:dyDescent="0.2">
      <c r="A199" s="18"/>
      <c r="C199" s="43"/>
      <c r="D199" s="36"/>
      <c r="E199" s="36"/>
      <c r="F199" s="36"/>
      <c r="G199" s="36"/>
      <c r="H199" s="36"/>
      <c r="J199" s="18"/>
      <c r="L199" s="43"/>
      <c r="M199" s="36"/>
      <c r="N199" s="36"/>
      <c r="O199" s="36"/>
      <c r="P199" s="36"/>
      <c r="Q199" s="24"/>
      <c r="R199" s="24"/>
      <c r="S199" s="37"/>
    </row>
    <row r="200" spans="1:19" s="19" customFormat="1" x14ac:dyDescent="0.2">
      <c r="A200" s="18"/>
      <c r="C200" s="42"/>
      <c r="D200" s="39"/>
      <c r="E200" s="39"/>
      <c r="F200" s="39"/>
      <c r="G200" s="39"/>
      <c r="H200" s="39"/>
      <c r="J200" s="18"/>
      <c r="L200" s="42"/>
      <c r="M200" s="39"/>
      <c r="N200" s="39"/>
      <c r="O200" s="39"/>
      <c r="P200" s="39"/>
      <c r="Q200" s="24"/>
      <c r="R200" s="24"/>
      <c r="S200" s="37"/>
    </row>
    <row r="201" spans="1:19" s="19" customFormat="1" x14ac:dyDescent="0.2">
      <c r="A201" s="18"/>
      <c r="C201" s="43"/>
      <c r="D201" s="36"/>
      <c r="E201" s="36"/>
      <c r="F201" s="36"/>
      <c r="G201" s="36"/>
      <c r="H201" s="36"/>
      <c r="J201" s="18"/>
      <c r="L201" s="43"/>
      <c r="M201" s="36"/>
      <c r="N201" s="36"/>
      <c r="O201" s="36"/>
      <c r="P201" s="36"/>
      <c r="Q201" s="24"/>
      <c r="R201" s="24"/>
      <c r="S201" s="37"/>
    </row>
    <row r="202" spans="1:19" s="19" customFormat="1" x14ac:dyDescent="0.2">
      <c r="A202" s="18"/>
      <c r="C202" s="42"/>
      <c r="D202" s="39"/>
      <c r="E202" s="39"/>
      <c r="F202" s="39"/>
      <c r="G202" s="39"/>
      <c r="H202" s="39"/>
      <c r="J202" s="18"/>
      <c r="L202" s="42"/>
      <c r="M202" s="39"/>
      <c r="N202" s="39"/>
      <c r="O202" s="39"/>
      <c r="P202" s="39"/>
      <c r="Q202" s="24"/>
      <c r="R202" s="24"/>
      <c r="S202" s="37"/>
    </row>
    <row r="203" spans="1:19" s="19" customFormat="1" x14ac:dyDescent="0.2">
      <c r="A203" s="18"/>
      <c r="C203" s="43"/>
      <c r="D203" s="36"/>
      <c r="E203" s="36"/>
      <c r="F203" s="36"/>
      <c r="G203" s="36"/>
      <c r="H203" s="36"/>
      <c r="J203" s="18"/>
      <c r="L203" s="43"/>
      <c r="M203" s="36"/>
      <c r="N203" s="36"/>
      <c r="O203" s="36"/>
      <c r="P203" s="36"/>
      <c r="Q203" s="24"/>
      <c r="R203" s="24"/>
      <c r="S203" s="37"/>
    </row>
    <row r="204" spans="1:19" s="19" customFormat="1" x14ac:dyDescent="0.2">
      <c r="A204" s="18"/>
      <c r="C204" s="42"/>
      <c r="D204" s="39"/>
      <c r="E204" s="39"/>
      <c r="F204" s="39"/>
      <c r="G204" s="39"/>
      <c r="H204" s="39"/>
      <c r="J204" s="18"/>
      <c r="L204" s="42"/>
      <c r="M204" s="39"/>
      <c r="N204" s="39"/>
      <c r="O204" s="39"/>
      <c r="P204" s="39"/>
      <c r="Q204" s="24"/>
      <c r="R204" s="24"/>
      <c r="S204" s="37"/>
    </row>
    <row r="205" spans="1:19" s="19" customFormat="1" x14ac:dyDescent="0.2">
      <c r="A205" s="18"/>
      <c r="C205" s="43"/>
      <c r="D205" s="36"/>
      <c r="E205" s="36"/>
      <c r="F205" s="36"/>
      <c r="G205" s="36"/>
      <c r="H205" s="36"/>
      <c r="J205" s="18"/>
      <c r="L205" s="43"/>
      <c r="M205" s="36"/>
      <c r="N205" s="36"/>
      <c r="O205" s="36"/>
      <c r="P205" s="36"/>
      <c r="Q205" s="24"/>
      <c r="R205" s="24"/>
      <c r="S205" s="37"/>
    </row>
    <row r="206" spans="1:19" s="19" customFormat="1" x14ac:dyDescent="0.2">
      <c r="A206" s="18"/>
      <c r="C206" s="44"/>
      <c r="D206" s="45"/>
      <c r="E206" s="45"/>
      <c r="F206" s="45"/>
      <c r="G206" s="45"/>
      <c r="H206" s="45"/>
      <c r="J206" s="18"/>
      <c r="L206" s="42"/>
      <c r="M206" s="39"/>
      <c r="N206" s="39"/>
      <c r="O206" s="39"/>
      <c r="P206" s="39"/>
      <c r="Q206" s="24"/>
      <c r="R206" s="24"/>
      <c r="S206" s="37"/>
    </row>
    <row r="207" spans="1:19" s="19" customFormat="1" x14ac:dyDescent="0.2">
      <c r="A207" s="18"/>
      <c r="C207" s="46"/>
      <c r="D207" s="47"/>
      <c r="E207" s="47"/>
      <c r="F207" s="47"/>
      <c r="G207" s="47"/>
      <c r="H207" s="47"/>
      <c r="J207" s="18"/>
      <c r="L207" s="43"/>
      <c r="M207" s="36"/>
      <c r="N207" s="36"/>
      <c r="O207" s="36"/>
      <c r="P207" s="36"/>
      <c r="Q207" s="24"/>
      <c r="R207" s="24"/>
      <c r="S207" s="37"/>
    </row>
    <row r="208" spans="1:19" s="19" customFormat="1" x14ac:dyDescent="0.2">
      <c r="A208" s="18"/>
      <c r="C208" s="44"/>
      <c r="D208" s="45"/>
      <c r="E208" s="45"/>
      <c r="F208" s="45"/>
      <c r="G208" s="45"/>
      <c r="H208" s="45"/>
      <c r="J208" s="18"/>
      <c r="L208" s="42"/>
      <c r="M208" s="39"/>
      <c r="N208" s="39"/>
      <c r="O208" s="39"/>
      <c r="P208" s="39"/>
      <c r="Q208" s="24"/>
      <c r="R208" s="24"/>
      <c r="S208" s="37"/>
    </row>
    <row r="209" spans="1:19" s="19" customFormat="1" x14ac:dyDescent="0.2">
      <c r="A209" s="18"/>
      <c r="C209" s="46"/>
      <c r="D209" s="47"/>
      <c r="E209" s="47"/>
      <c r="F209" s="47"/>
      <c r="G209" s="47"/>
      <c r="H209" s="47"/>
      <c r="J209" s="18"/>
      <c r="L209" s="43"/>
      <c r="M209" s="36"/>
      <c r="N209" s="36"/>
      <c r="O209" s="36"/>
      <c r="P209" s="36"/>
      <c r="Q209" s="24"/>
      <c r="R209" s="24"/>
      <c r="S209" s="37"/>
    </row>
    <row r="210" spans="1:19" s="19" customFormat="1" x14ac:dyDescent="0.2">
      <c r="A210" s="18"/>
      <c r="C210" s="44"/>
      <c r="D210" s="45"/>
      <c r="E210" s="45"/>
      <c r="F210" s="45"/>
      <c r="G210" s="45"/>
      <c r="H210" s="45"/>
      <c r="J210" s="18"/>
      <c r="L210" s="42"/>
      <c r="M210" s="39"/>
      <c r="N210" s="39"/>
      <c r="O210" s="39"/>
      <c r="P210" s="39"/>
      <c r="Q210" s="24"/>
      <c r="R210" s="24"/>
      <c r="S210" s="37"/>
    </row>
    <row r="211" spans="1:19" s="19" customFormat="1" x14ac:dyDescent="0.2">
      <c r="A211" s="18"/>
      <c r="C211" s="46"/>
      <c r="D211" s="47"/>
      <c r="E211" s="47"/>
      <c r="F211" s="47"/>
      <c r="G211" s="47"/>
      <c r="H211" s="47"/>
      <c r="J211" s="18"/>
      <c r="L211" s="43"/>
      <c r="M211" s="36"/>
      <c r="N211" s="36"/>
      <c r="O211" s="36"/>
      <c r="P211" s="36"/>
      <c r="Q211" s="24"/>
      <c r="R211" s="24"/>
      <c r="S211" s="37"/>
    </row>
    <row r="212" spans="1:19" s="19" customFormat="1" x14ac:dyDescent="0.2">
      <c r="A212" s="18"/>
      <c r="C212" s="44"/>
      <c r="D212" s="45"/>
      <c r="E212" s="45"/>
      <c r="F212" s="45"/>
      <c r="G212" s="45"/>
      <c r="H212" s="45"/>
      <c r="J212" s="18"/>
      <c r="L212" s="42"/>
      <c r="M212" s="39"/>
      <c r="N212" s="39"/>
      <c r="O212" s="39"/>
      <c r="P212" s="39"/>
      <c r="Q212" s="24"/>
      <c r="R212" s="24"/>
      <c r="S212" s="37"/>
    </row>
    <row r="213" spans="1:19" s="19" customFormat="1" x14ac:dyDescent="0.2">
      <c r="A213" s="18"/>
      <c r="C213" s="46"/>
      <c r="D213" s="47"/>
      <c r="E213" s="47"/>
      <c r="F213" s="47"/>
      <c r="G213" s="47"/>
      <c r="H213" s="47"/>
      <c r="J213" s="18"/>
      <c r="L213" s="43"/>
      <c r="M213" s="36"/>
      <c r="N213" s="36"/>
      <c r="O213" s="36"/>
      <c r="P213" s="36"/>
      <c r="Q213" s="24"/>
      <c r="R213" s="24"/>
      <c r="S213" s="37"/>
    </row>
    <row r="214" spans="1:19" s="19" customFormat="1" x14ac:dyDescent="0.2">
      <c r="A214" s="18"/>
      <c r="C214" s="44"/>
      <c r="D214" s="45"/>
      <c r="E214" s="45"/>
      <c r="F214" s="45"/>
      <c r="G214" s="45"/>
      <c r="H214" s="45"/>
      <c r="J214" s="18"/>
      <c r="L214" s="44"/>
      <c r="M214" s="45"/>
      <c r="N214" s="45"/>
      <c r="O214" s="45"/>
      <c r="P214" s="45"/>
      <c r="Q214" s="24"/>
      <c r="R214" s="24"/>
      <c r="S214" s="37"/>
    </row>
    <row r="215" spans="1:19" s="19" customFormat="1" x14ac:dyDescent="0.2">
      <c r="A215" s="18"/>
      <c r="C215" s="46"/>
      <c r="D215" s="47"/>
      <c r="E215" s="47"/>
      <c r="F215" s="47"/>
      <c r="G215" s="47"/>
      <c r="H215" s="47"/>
      <c r="J215" s="18"/>
      <c r="L215" s="46"/>
      <c r="M215" s="47"/>
      <c r="N215" s="47"/>
      <c r="O215" s="47"/>
      <c r="P215" s="47"/>
      <c r="Q215" s="24"/>
      <c r="R215" s="24"/>
      <c r="S215" s="37"/>
    </row>
    <row r="216" spans="1:19" s="19" customFormat="1" x14ac:dyDescent="0.2">
      <c r="A216" s="18"/>
      <c r="C216" s="44"/>
      <c r="D216" s="45"/>
      <c r="E216" s="45"/>
      <c r="F216" s="45"/>
      <c r="G216" s="45"/>
      <c r="H216" s="45"/>
      <c r="J216" s="18"/>
      <c r="L216" s="44"/>
      <c r="M216" s="45"/>
      <c r="N216" s="45"/>
      <c r="O216" s="45"/>
      <c r="P216" s="45"/>
      <c r="Q216" s="24"/>
      <c r="R216" s="24"/>
      <c r="S216" s="37"/>
    </row>
    <row r="217" spans="1:19" s="19" customFormat="1" x14ac:dyDescent="0.2">
      <c r="A217" s="18"/>
      <c r="C217" s="46"/>
      <c r="D217" s="47"/>
      <c r="E217" s="47"/>
      <c r="F217" s="47"/>
      <c r="G217" s="47"/>
      <c r="H217" s="47"/>
      <c r="J217" s="18"/>
      <c r="L217" s="46"/>
      <c r="M217" s="47"/>
      <c r="N217" s="47"/>
      <c r="O217" s="47"/>
      <c r="P217" s="47"/>
      <c r="Q217" s="24"/>
      <c r="R217" s="24"/>
      <c r="S217" s="37"/>
    </row>
    <row r="218" spans="1:19" s="19" customFormat="1" x14ac:dyDescent="0.2">
      <c r="A218" s="18"/>
      <c r="C218" s="44"/>
      <c r="D218" s="45"/>
      <c r="E218" s="45"/>
      <c r="F218" s="45"/>
      <c r="G218" s="45"/>
      <c r="H218" s="45"/>
      <c r="J218" s="18"/>
      <c r="L218" s="44"/>
      <c r="M218" s="45"/>
      <c r="N218" s="45"/>
      <c r="O218" s="45"/>
      <c r="P218" s="45"/>
      <c r="Q218" s="24"/>
      <c r="R218" s="24"/>
      <c r="S218" s="37"/>
    </row>
    <row r="219" spans="1:19" s="19" customFormat="1" x14ac:dyDescent="0.2">
      <c r="A219" s="18"/>
      <c r="C219" s="46"/>
      <c r="D219" s="47"/>
      <c r="E219" s="47"/>
      <c r="F219" s="47"/>
      <c r="G219" s="47"/>
      <c r="H219" s="47"/>
      <c r="J219" s="18"/>
      <c r="L219" s="46"/>
      <c r="M219" s="47"/>
      <c r="N219" s="47"/>
      <c r="O219" s="47"/>
      <c r="P219" s="47"/>
      <c r="Q219" s="24"/>
      <c r="R219" s="24"/>
      <c r="S219" s="37"/>
    </row>
    <row r="220" spans="1:19" s="19" customFormat="1" x14ac:dyDescent="0.2">
      <c r="A220" s="18"/>
      <c r="C220" s="44"/>
      <c r="D220" s="45"/>
      <c r="E220" s="45"/>
      <c r="F220" s="45"/>
      <c r="G220" s="45"/>
      <c r="H220" s="45"/>
      <c r="J220" s="18"/>
      <c r="L220" s="44"/>
      <c r="M220" s="45"/>
      <c r="N220" s="45"/>
      <c r="O220" s="45"/>
      <c r="P220" s="45"/>
      <c r="Q220" s="24"/>
      <c r="R220" s="24"/>
      <c r="S220" s="37"/>
    </row>
    <row r="221" spans="1:19" s="19" customFormat="1" x14ac:dyDescent="0.2">
      <c r="A221" s="18"/>
      <c r="C221" s="46"/>
      <c r="D221" s="47"/>
      <c r="E221" s="47"/>
      <c r="F221" s="47"/>
      <c r="G221" s="47"/>
      <c r="H221" s="47"/>
      <c r="J221" s="18"/>
      <c r="L221" s="46"/>
      <c r="M221" s="47"/>
      <c r="N221" s="47"/>
      <c r="O221" s="47"/>
      <c r="P221" s="47"/>
      <c r="Q221" s="24"/>
      <c r="R221" s="24"/>
      <c r="S221" s="37"/>
    </row>
    <row r="222" spans="1:19" s="19" customFormat="1" x14ac:dyDescent="0.2">
      <c r="A222" s="18"/>
      <c r="C222" s="44"/>
      <c r="D222" s="45"/>
      <c r="E222" s="45"/>
      <c r="F222" s="45"/>
      <c r="G222" s="45"/>
      <c r="H222" s="45"/>
      <c r="J222" s="18"/>
      <c r="L222" s="44"/>
      <c r="M222" s="45"/>
      <c r="N222" s="45"/>
      <c r="O222" s="45"/>
      <c r="P222" s="45"/>
      <c r="Q222" s="24"/>
      <c r="R222" s="24"/>
      <c r="S222" s="37"/>
    </row>
    <row r="223" spans="1:19" s="19" customFormat="1" x14ac:dyDescent="0.2">
      <c r="A223" s="18"/>
      <c r="C223" s="46"/>
      <c r="D223" s="47"/>
      <c r="E223" s="47"/>
      <c r="F223" s="47"/>
      <c r="G223" s="47"/>
      <c r="H223" s="47"/>
      <c r="J223" s="18"/>
      <c r="L223" s="46"/>
      <c r="M223" s="47"/>
      <c r="N223" s="47"/>
      <c r="O223" s="47"/>
      <c r="P223" s="47"/>
      <c r="Q223" s="24"/>
      <c r="R223" s="24"/>
      <c r="S223" s="37"/>
    </row>
    <row r="224" spans="1:19" s="19" customFormat="1" x14ac:dyDescent="0.2">
      <c r="A224" s="18"/>
      <c r="C224" s="44"/>
      <c r="D224" s="45"/>
      <c r="E224" s="45"/>
      <c r="F224" s="45"/>
      <c r="G224" s="45"/>
      <c r="H224" s="45"/>
      <c r="J224" s="18"/>
      <c r="L224" s="44"/>
      <c r="M224" s="45"/>
      <c r="N224" s="45"/>
      <c r="O224" s="45"/>
      <c r="P224" s="45"/>
      <c r="Q224" s="24"/>
      <c r="R224" s="24"/>
      <c r="S224" s="37"/>
    </row>
    <row r="225" spans="1:19" s="19" customFormat="1" x14ac:dyDescent="0.2">
      <c r="A225" s="18"/>
      <c r="C225" s="46"/>
      <c r="D225" s="47"/>
      <c r="E225" s="47"/>
      <c r="F225" s="47"/>
      <c r="G225" s="47"/>
      <c r="H225" s="47"/>
      <c r="J225" s="18"/>
      <c r="L225" s="46"/>
      <c r="M225" s="47"/>
      <c r="N225" s="47"/>
      <c r="O225" s="47"/>
      <c r="P225" s="47"/>
      <c r="Q225" s="24"/>
      <c r="R225" s="24"/>
      <c r="S225" s="37"/>
    </row>
    <row r="226" spans="1:19" s="19" customFormat="1" x14ac:dyDescent="0.2">
      <c r="A226" s="18"/>
      <c r="C226" s="44"/>
      <c r="D226" s="45"/>
      <c r="E226" s="45"/>
      <c r="F226" s="45"/>
      <c r="G226" s="45"/>
      <c r="H226" s="45"/>
      <c r="J226" s="18"/>
      <c r="L226" s="44"/>
      <c r="M226" s="45"/>
      <c r="N226" s="45"/>
      <c r="O226" s="45"/>
      <c r="P226" s="45"/>
      <c r="Q226" s="24"/>
      <c r="R226" s="24"/>
      <c r="S226" s="37"/>
    </row>
    <row r="227" spans="1:19" s="19" customFormat="1" x14ac:dyDescent="0.2">
      <c r="A227" s="18"/>
      <c r="C227" s="46"/>
      <c r="D227" s="47"/>
      <c r="E227" s="47"/>
      <c r="F227" s="47"/>
      <c r="G227" s="47"/>
      <c r="H227" s="47"/>
      <c r="J227" s="18"/>
      <c r="L227" s="46"/>
      <c r="M227" s="47"/>
      <c r="N227" s="47"/>
      <c r="O227" s="47"/>
      <c r="P227" s="47"/>
      <c r="Q227" s="24"/>
      <c r="R227" s="24"/>
      <c r="S227" s="37"/>
    </row>
    <row r="228" spans="1:19" s="19" customFormat="1" x14ac:dyDescent="0.2">
      <c r="A228" s="18"/>
      <c r="C228" s="44"/>
      <c r="D228" s="45"/>
      <c r="E228" s="45"/>
      <c r="F228" s="45"/>
      <c r="G228" s="45"/>
      <c r="H228" s="45"/>
      <c r="J228" s="18"/>
      <c r="L228" s="44"/>
      <c r="M228" s="45"/>
      <c r="N228" s="45"/>
      <c r="O228" s="45"/>
      <c r="P228" s="45"/>
      <c r="Q228" s="24"/>
      <c r="R228" s="24"/>
      <c r="S228" s="37"/>
    </row>
    <row r="229" spans="1:19" s="19" customFormat="1" x14ac:dyDescent="0.2">
      <c r="A229" s="18"/>
      <c r="C229" s="46"/>
      <c r="D229" s="47"/>
      <c r="E229" s="47"/>
      <c r="F229" s="47"/>
      <c r="G229" s="47"/>
      <c r="H229" s="47"/>
      <c r="J229" s="18"/>
      <c r="L229" s="46"/>
      <c r="M229" s="47"/>
      <c r="N229" s="47"/>
      <c r="O229" s="47"/>
      <c r="P229" s="47"/>
      <c r="Q229" s="24"/>
      <c r="R229" s="24"/>
      <c r="S229" s="37"/>
    </row>
    <row r="230" spans="1:19" s="19" customFormat="1" x14ac:dyDescent="0.2">
      <c r="A230" s="18"/>
      <c r="C230" s="44"/>
      <c r="D230" s="45"/>
      <c r="E230" s="45"/>
      <c r="F230" s="45"/>
      <c r="G230" s="45"/>
      <c r="H230" s="45"/>
      <c r="J230" s="18"/>
      <c r="L230" s="44"/>
      <c r="M230" s="45"/>
      <c r="N230" s="45"/>
      <c r="O230" s="45"/>
      <c r="P230" s="45"/>
      <c r="Q230" s="24"/>
      <c r="R230" s="24"/>
      <c r="S230" s="37"/>
    </row>
    <row r="231" spans="1:19" s="19" customFormat="1" x14ac:dyDescent="0.2">
      <c r="A231" s="18"/>
      <c r="C231" s="46"/>
      <c r="D231" s="47"/>
      <c r="E231" s="47"/>
      <c r="F231" s="47"/>
      <c r="G231" s="47"/>
      <c r="H231" s="47"/>
      <c r="J231" s="18"/>
      <c r="L231" s="46"/>
      <c r="M231" s="47"/>
      <c r="N231" s="47"/>
      <c r="O231" s="47"/>
      <c r="P231" s="47"/>
      <c r="Q231" s="24"/>
      <c r="R231" s="24"/>
      <c r="S231" s="37"/>
    </row>
    <row r="232" spans="1:19" s="19" customFormat="1" x14ac:dyDescent="0.2">
      <c r="A232" s="18"/>
      <c r="C232" s="44"/>
      <c r="D232" s="45"/>
      <c r="E232" s="45"/>
      <c r="F232" s="45"/>
      <c r="G232" s="45"/>
      <c r="H232" s="45"/>
      <c r="J232" s="18"/>
      <c r="L232" s="44"/>
      <c r="M232" s="45"/>
      <c r="N232" s="45"/>
      <c r="O232" s="45"/>
      <c r="P232" s="45"/>
      <c r="Q232" s="24"/>
      <c r="R232" s="24"/>
      <c r="S232" s="37"/>
    </row>
    <row r="233" spans="1:19" s="19" customFormat="1" x14ac:dyDescent="0.2">
      <c r="A233" s="18"/>
      <c r="C233" s="46"/>
      <c r="D233" s="47"/>
      <c r="E233" s="47"/>
      <c r="F233" s="47"/>
      <c r="G233" s="47"/>
      <c r="H233" s="47"/>
      <c r="J233" s="18"/>
      <c r="L233" s="46"/>
      <c r="M233" s="47"/>
      <c r="N233" s="47"/>
      <c r="O233" s="47"/>
      <c r="P233" s="47"/>
      <c r="Q233" s="24"/>
      <c r="R233" s="24"/>
      <c r="S233" s="37"/>
    </row>
    <row r="234" spans="1:19" s="19" customFormat="1" x14ac:dyDescent="0.2">
      <c r="A234" s="18"/>
      <c r="C234" s="44"/>
      <c r="D234" s="45"/>
      <c r="E234" s="45"/>
      <c r="F234" s="45"/>
      <c r="G234" s="45"/>
      <c r="H234" s="45"/>
      <c r="J234" s="18"/>
      <c r="L234" s="44"/>
      <c r="M234" s="45"/>
      <c r="N234" s="45"/>
      <c r="O234" s="45"/>
      <c r="P234" s="45"/>
      <c r="Q234" s="24"/>
      <c r="R234" s="24"/>
      <c r="S234" s="37"/>
    </row>
    <row r="235" spans="1:19" s="19" customFormat="1" x14ac:dyDescent="0.2">
      <c r="A235" s="18"/>
      <c r="C235" s="46"/>
      <c r="D235" s="47"/>
      <c r="E235" s="47"/>
      <c r="F235" s="47"/>
      <c r="G235" s="47"/>
      <c r="H235" s="47"/>
      <c r="J235" s="18"/>
      <c r="L235" s="46"/>
      <c r="M235" s="47"/>
      <c r="N235" s="47"/>
      <c r="O235" s="47"/>
      <c r="P235" s="47"/>
      <c r="Q235" s="24"/>
      <c r="R235" s="24"/>
      <c r="S235" s="37"/>
    </row>
    <row r="236" spans="1:19" s="19" customFormat="1" x14ac:dyDescent="0.2">
      <c r="A236" s="18"/>
      <c r="C236" s="44"/>
      <c r="D236" s="45"/>
      <c r="E236" s="45"/>
      <c r="F236" s="45"/>
      <c r="G236" s="45"/>
      <c r="H236" s="45"/>
      <c r="J236" s="18"/>
      <c r="L236" s="44"/>
      <c r="M236" s="45"/>
      <c r="N236" s="45"/>
      <c r="O236" s="45"/>
      <c r="P236" s="45"/>
      <c r="Q236" s="24"/>
      <c r="R236" s="24"/>
      <c r="S236" s="37"/>
    </row>
    <row r="237" spans="1:19" s="19" customFormat="1" x14ac:dyDescent="0.2">
      <c r="A237" s="18"/>
      <c r="C237" s="46"/>
      <c r="D237" s="47"/>
      <c r="E237" s="47"/>
      <c r="F237" s="47"/>
      <c r="G237" s="47"/>
      <c r="H237" s="47"/>
      <c r="J237" s="18"/>
      <c r="L237" s="46"/>
      <c r="M237" s="47"/>
      <c r="N237" s="47"/>
      <c r="O237" s="47"/>
      <c r="P237" s="47"/>
      <c r="Q237" s="24"/>
      <c r="R237" s="24"/>
      <c r="S237" s="37"/>
    </row>
    <row r="238" spans="1:19" s="19" customFormat="1" x14ac:dyDescent="0.2">
      <c r="A238" s="18"/>
      <c r="C238" s="44"/>
      <c r="D238" s="45"/>
      <c r="E238" s="45"/>
      <c r="F238" s="45"/>
      <c r="G238" s="45"/>
      <c r="H238" s="45"/>
      <c r="J238" s="18"/>
      <c r="L238" s="44"/>
      <c r="M238" s="45"/>
      <c r="N238" s="45"/>
      <c r="O238" s="45"/>
      <c r="P238" s="45"/>
      <c r="Q238" s="24"/>
      <c r="R238" s="24"/>
      <c r="S238" s="37"/>
    </row>
    <row r="239" spans="1:19" s="19" customFormat="1" x14ac:dyDescent="0.2">
      <c r="A239" s="18"/>
      <c r="C239" s="46"/>
      <c r="D239" s="47"/>
      <c r="E239" s="47"/>
      <c r="F239" s="47"/>
      <c r="G239" s="47"/>
      <c r="H239" s="47"/>
      <c r="J239" s="18"/>
      <c r="L239" s="46"/>
      <c r="M239" s="47"/>
      <c r="N239" s="47"/>
      <c r="O239" s="47"/>
      <c r="P239" s="47"/>
      <c r="Q239" s="24"/>
      <c r="R239" s="24"/>
      <c r="S239" s="37"/>
    </row>
    <row r="240" spans="1:19" s="19" customFormat="1" x14ac:dyDescent="0.2">
      <c r="A240" s="18"/>
      <c r="C240" s="44"/>
      <c r="D240" s="45"/>
      <c r="E240" s="45"/>
      <c r="F240" s="45"/>
      <c r="G240" s="45"/>
      <c r="H240" s="45"/>
      <c r="J240" s="18"/>
      <c r="L240" s="44"/>
      <c r="M240" s="45"/>
      <c r="N240" s="45"/>
      <c r="O240" s="45"/>
      <c r="P240" s="45"/>
      <c r="Q240" s="24"/>
      <c r="R240" s="24"/>
      <c r="S240" s="37"/>
    </row>
    <row r="241" spans="1:19" s="19" customFormat="1" x14ac:dyDescent="0.2">
      <c r="A241" s="18"/>
      <c r="C241" s="46"/>
      <c r="D241" s="47"/>
      <c r="E241" s="47"/>
      <c r="F241" s="47"/>
      <c r="G241" s="47"/>
      <c r="H241" s="47"/>
      <c r="J241" s="18"/>
      <c r="L241" s="46"/>
      <c r="M241" s="47"/>
      <c r="N241" s="47"/>
      <c r="O241" s="47"/>
      <c r="P241" s="47"/>
      <c r="Q241" s="24"/>
      <c r="R241" s="24"/>
      <c r="S241" s="37"/>
    </row>
    <row r="242" spans="1:19" s="19" customFormat="1" x14ac:dyDescent="0.2">
      <c r="A242" s="18"/>
      <c r="C242" s="44"/>
      <c r="D242" s="45"/>
      <c r="E242" s="45"/>
      <c r="F242" s="45"/>
      <c r="G242" s="45"/>
      <c r="H242" s="45"/>
      <c r="J242" s="18"/>
      <c r="L242" s="44"/>
      <c r="M242" s="45"/>
      <c r="N242" s="45"/>
      <c r="O242" s="45"/>
      <c r="P242" s="45"/>
      <c r="Q242" s="24"/>
      <c r="R242" s="24"/>
      <c r="S242" s="37"/>
    </row>
    <row r="243" spans="1:19" s="19" customFormat="1" x14ac:dyDescent="0.2">
      <c r="A243" s="18"/>
      <c r="C243" s="46"/>
      <c r="D243" s="47"/>
      <c r="E243" s="47"/>
      <c r="F243" s="47"/>
      <c r="G243" s="47"/>
      <c r="H243" s="47"/>
      <c r="J243" s="18"/>
      <c r="L243" s="46"/>
      <c r="M243" s="47"/>
      <c r="N243" s="47"/>
      <c r="O243" s="47"/>
      <c r="P243" s="47"/>
      <c r="Q243" s="24"/>
      <c r="R243" s="24"/>
      <c r="S243" s="37"/>
    </row>
    <row r="244" spans="1:19" s="19" customFormat="1" x14ac:dyDescent="0.2">
      <c r="A244" s="18"/>
      <c r="C244" s="44"/>
      <c r="D244" s="45"/>
      <c r="E244" s="45"/>
      <c r="F244" s="45"/>
      <c r="G244" s="45"/>
      <c r="H244" s="45"/>
      <c r="J244" s="18"/>
      <c r="L244" s="44"/>
      <c r="M244" s="45"/>
      <c r="N244" s="45"/>
      <c r="O244" s="45"/>
      <c r="P244" s="45"/>
      <c r="Q244" s="24"/>
      <c r="R244" s="24"/>
      <c r="S244" s="37"/>
    </row>
    <row r="245" spans="1:19" s="19" customFormat="1" x14ac:dyDescent="0.2">
      <c r="A245" s="18"/>
      <c r="C245" s="46"/>
      <c r="D245" s="47"/>
      <c r="E245" s="47"/>
      <c r="F245" s="47"/>
      <c r="G245" s="47"/>
      <c r="H245" s="47"/>
      <c r="J245" s="18"/>
      <c r="L245" s="46"/>
      <c r="M245" s="47"/>
      <c r="N245" s="47"/>
      <c r="O245" s="47"/>
      <c r="P245" s="47"/>
      <c r="Q245" s="24"/>
      <c r="R245" s="24"/>
      <c r="S245" s="37"/>
    </row>
    <row r="246" spans="1:19" s="19" customFormat="1" x14ac:dyDescent="0.2">
      <c r="A246" s="18"/>
      <c r="C246" s="44"/>
      <c r="D246" s="45"/>
      <c r="E246" s="45"/>
      <c r="F246" s="45"/>
      <c r="G246" s="45"/>
      <c r="H246" s="45"/>
      <c r="J246" s="18"/>
      <c r="L246" s="44"/>
      <c r="M246" s="45"/>
      <c r="N246" s="45"/>
      <c r="O246" s="45"/>
      <c r="P246" s="45"/>
      <c r="Q246" s="24"/>
      <c r="R246" s="24"/>
      <c r="S246" s="37"/>
    </row>
    <row r="247" spans="1:19" s="19" customFormat="1" x14ac:dyDescent="0.2">
      <c r="A247" s="18"/>
      <c r="C247" s="46"/>
      <c r="D247" s="47"/>
      <c r="E247" s="47"/>
      <c r="F247" s="47"/>
      <c r="G247" s="47"/>
      <c r="H247" s="47"/>
      <c r="J247" s="18"/>
      <c r="L247" s="46"/>
      <c r="M247" s="47"/>
      <c r="N247" s="47"/>
      <c r="O247" s="47"/>
      <c r="P247" s="47"/>
      <c r="Q247" s="24"/>
      <c r="R247" s="24"/>
      <c r="S247" s="37"/>
    </row>
    <row r="248" spans="1:19" s="19" customFormat="1" x14ac:dyDescent="0.2">
      <c r="A248" s="18"/>
      <c r="C248" s="44"/>
      <c r="D248" s="45"/>
      <c r="E248" s="45"/>
      <c r="F248" s="45"/>
      <c r="G248" s="45"/>
      <c r="H248" s="45"/>
      <c r="J248" s="18"/>
      <c r="L248" s="44"/>
      <c r="M248" s="45"/>
      <c r="N248" s="45"/>
      <c r="O248" s="45"/>
      <c r="P248" s="45"/>
      <c r="Q248" s="24"/>
      <c r="R248" s="24"/>
      <c r="S248" s="37"/>
    </row>
    <row r="249" spans="1:19" s="19" customFormat="1" x14ac:dyDescent="0.2">
      <c r="A249" s="18"/>
      <c r="C249" s="46"/>
      <c r="D249" s="47"/>
      <c r="E249" s="47"/>
      <c r="F249" s="47"/>
      <c r="G249" s="47"/>
      <c r="H249" s="47"/>
      <c r="J249" s="18"/>
      <c r="L249" s="46"/>
      <c r="M249" s="47"/>
      <c r="N249" s="47"/>
      <c r="O249" s="47"/>
      <c r="P249" s="47"/>
      <c r="Q249" s="24"/>
      <c r="R249" s="24"/>
      <c r="S249" s="37"/>
    </row>
    <row r="250" spans="1:19" s="19" customFormat="1" x14ac:dyDescent="0.2">
      <c r="A250" s="18"/>
      <c r="C250" s="44"/>
      <c r="D250" s="45"/>
      <c r="E250" s="45"/>
      <c r="F250" s="45"/>
      <c r="G250" s="45"/>
      <c r="H250" s="45"/>
      <c r="J250" s="18"/>
      <c r="L250" s="44"/>
      <c r="M250" s="45"/>
      <c r="N250" s="45"/>
      <c r="O250" s="45"/>
      <c r="P250" s="45"/>
      <c r="Q250" s="24"/>
      <c r="R250" s="24"/>
      <c r="S250" s="37"/>
    </row>
    <row r="251" spans="1:19" s="19" customFormat="1" x14ac:dyDescent="0.2">
      <c r="A251" s="18"/>
      <c r="C251" s="46"/>
      <c r="D251" s="47"/>
      <c r="E251" s="47"/>
      <c r="F251" s="47"/>
      <c r="G251" s="47"/>
      <c r="H251" s="47"/>
      <c r="J251" s="18"/>
      <c r="L251" s="46"/>
      <c r="M251" s="47"/>
      <c r="N251" s="47"/>
      <c r="O251" s="47"/>
      <c r="P251" s="47"/>
      <c r="Q251" s="24"/>
      <c r="R251" s="24"/>
      <c r="S251" s="37"/>
    </row>
    <row r="252" spans="1:19" s="19" customFormat="1" x14ac:dyDescent="0.2">
      <c r="A252" s="18"/>
      <c r="C252" s="44"/>
      <c r="D252" s="45"/>
      <c r="E252" s="45"/>
      <c r="F252" s="45"/>
      <c r="G252" s="45"/>
      <c r="H252" s="45"/>
      <c r="J252" s="18"/>
      <c r="L252" s="44"/>
      <c r="M252" s="45"/>
      <c r="N252" s="45"/>
      <c r="O252" s="45"/>
      <c r="P252" s="45"/>
      <c r="Q252" s="24"/>
      <c r="R252" s="24"/>
      <c r="S252" s="37"/>
    </row>
    <row r="253" spans="1:19" s="19" customFormat="1" x14ac:dyDescent="0.2">
      <c r="A253" s="18"/>
      <c r="C253" s="46"/>
      <c r="D253" s="47"/>
      <c r="E253" s="47"/>
      <c r="F253" s="47"/>
      <c r="G253" s="47"/>
      <c r="H253" s="47"/>
      <c r="J253" s="18"/>
      <c r="L253" s="46"/>
      <c r="M253" s="47"/>
      <c r="N253" s="47"/>
      <c r="O253" s="47"/>
      <c r="P253" s="47"/>
      <c r="Q253" s="24"/>
      <c r="R253" s="24"/>
      <c r="S253" s="37"/>
    </row>
    <row r="254" spans="1:19" s="19" customFormat="1" x14ac:dyDescent="0.2">
      <c r="A254" s="18"/>
      <c r="C254" s="44"/>
      <c r="D254" s="45"/>
      <c r="E254" s="45"/>
      <c r="F254" s="45"/>
      <c r="G254" s="45"/>
      <c r="H254" s="45"/>
      <c r="J254" s="18"/>
      <c r="L254" s="44"/>
      <c r="M254" s="45"/>
      <c r="N254" s="45"/>
      <c r="O254" s="45"/>
      <c r="P254" s="45"/>
      <c r="Q254" s="24"/>
      <c r="R254" s="24"/>
      <c r="S254" s="37"/>
    </row>
    <row r="255" spans="1:19" s="19" customFormat="1" x14ac:dyDescent="0.2">
      <c r="A255" s="18"/>
      <c r="C255" s="46"/>
      <c r="D255" s="47"/>
      <c r="E255" s="47"/>
      <c r="F255" s="47"/>
      <c r="G255" s="47"/>
      <c r="H255" s="47"/>
      <c r="J255" s="18"/>
      <c r="L255" s="46"/>
      <c r="M255" s="47"/>
      <c r="N255" s="47"/>
      <c r="O255" s="47"/>
      <c r="P255" s="47"/>
      <c r="Q255" s="24"/>
      <c r="R255" s="24"/>
      <c r="S255" s="37"/>
    </row>
    <row r="256" spans="1:19" s="19" customFormat="1" x14ac:dyDescent="0.2">
      <c r="A256" s="18"/>
      <c r="C256" s="44"/>
      <c r="D256" s="45"/>
      <c r="E256" s="45"/>
      <c r="F256" s="45"/>
      <c r="G256" s="45"/>
      <c r="H256" s="45"/>
      <c r="J256" s="18"/>
      <c r="L256" s="44"/>
      <c r="M256" s="45"/>
      <c r="N256" s="45"/>
      <c r="O256" s="45"/>
      <c r="P256" s="45"/>
      <c r="Q256" s="24"/>
      <c r="R256" s="24"/>
      <c r="S256" s="37"/>
    </row>
    <row r="257" spans="1:19" s="19" customFormat="1" x14ac:dyDescent="0.2">
      <c r="A257" s="18"/>
      <c r="C257" s="46"/>
      <c r="D257" s="47"/>
      <c r="E257" s="47"/>
      <c r="F257" s="47"/>
      <c r="G257" s="47"/>
      <c r="H257" s="47"/>
      <c r="J257" s="18"/>
      <c r="L257" s="46"/>
      <c r="M257" s="47"/>
      <c r="N257" s="47"/>
      <c r="O257" s="47"/>
      <c r="P257" s="47"/>
      <c r="Q257" s="24"/>
      <c r="R257" s="24"/>
      <c r="S257" s="37"/>
    </row>
    <row r="258" spans="1:19" s="19" customFormat="1" x14ac:dyDescent="0.2">
      <c r="A258" s="18"/>
      <c r="C258" s="44"/>
      <c r="D258" s="45"/>
      <c r="E258" s="45"/>
      <c r="F258" s="45"/>
      <c r="G258" s="45"/>
      <c r="H258" s="45"/>
      <c r="J258" s="18"/>
      <c r="L258" s="44"/>
      <c r="M258" s="45"/>
      <c r="N258" s="45"/>
      <c r="O258" s="45"/>
      <c r="P258" s="45"/>
      <c r="Q258" s="24"/>
      <c r="R258" s="24"/>
      <c r="S258" s="37"/>
    </row>
    <row r="259" spans="1:19" s="19" customFormat="1" x14ac:dyDescent="0.2">
      <c r="A259" s="18"/>
      <c r="C259" s="46"/>
      <c r="D259" s="47"/>
      <c r="E259" s="47"/>
      <c r="F259" s="47"/>
      <c r="G259" s="47"/>
      <c r="H259" s="47"/>
      <c r="J259" s="18"/>
      <c r="L259" s="46"/>
      <c r="M259" s="47"/>
      <c r="N259" s="47"/>
      <c r="O259" s="47"/>
      <c r="P259" s="47"/>
      <c r="Q259" s="24"/>
      <c r="R259" s="24"/>
      <c r="S259" s="37"/>
    </row>
    <row r="260" spans="1:19" s="19" customFormat="1" x14ac:dyDescent="0.2">
      <c r="A260" s="18"/>
      <c r="C260" s="44"/>
      <c r="D260" s="45"/>
      <c r="E260" s="45"/>
      <c r="F260" s="45"/>
      <c r="G260" s="45"/>
      <c r="H260" s="45"/>
      <c r="J260" s="18"/>
      <c r="L260" s="44"/>
      <c r="M260" s="45"/>
      <c r="N260" s="45"/>
      <c r="O260" s="45"/>
      <c r="P260" s="45"/>
      <c r="Q260" s="24"/>
      <c r="R260" s="24"/>
      <c r="S260" s="37"/>
    </row>
    <row r="261" spans="1:19" s="19" customFormat="1" x14ac:dyDescent="0.2">
      <c r="A261" s="18"/>
      <c r="C261" s="46"/>
      <c r="D261" s="47"/>
      <c r="E261" s="47"/>
      <c r="F261" s="47"/>
      <c r="G261" s="47"/>
      <c r="H261" s="47"/>
      <c r="J261" s="18"/>
      <c r="L261" s="46"/>
      <c r="M261" s="47"/>
      <c r="N261" s="47"/>
      <c r="O261" s="47"/>
      <c r="P261" s="47"/>
      <c r="Q261" s="24"/>
      <c r="R261" s="24"/>
      <c r="S261" s="37"/>
    </row>
    <row r="262" spans="1:19" s="19" customFormat="1" x14ac:dyDescent="0.2">
      <c r="A262" s="18"/>
      <c r="C262" s="44"/>
      <c r="D262" s="45"/>
      <c r="E262" s="45"/>
      <c r="F262" s="45"/>
      <c r="G262" s="45"/>
      <c r="H262" s="45"/>
      <c r="J262" s="18"/>
      <c r="L262" s="44"/>
      <c r="M262" s="45"/>
      <c r="N262" s="45"/>
      <c r="O262" s="45"/>
      <c r="P262" s="45"/>
      <c r="Q262" s="24"/>
      <c r="R262" s="24"/>
      <c r="S262" s="37"/>
    </row>
    <row r="263" spans="1:19" s="19" customFormat="1" x14ac:dyDescent="0.2">
      <c r="A263" s="18"/>
      <c r="C263" s="46"/>
      <c r="D263" s="47"/>
      <c r="E263" s="47"/>
      <c r="F263" s="47"/>
      <c r="G263" s="47"/>
      <c r="H263" s="47"/>
      <c r="J263" s="18"/>
      <c r="L263" s="46"/>
      <c r="M263" s="47"/>
      <c r="N263" s="47"/>
      <c r="O263" s="47"/>
      <c r="P263" s="47"/>
      <c r="Q263" s="24"/>
      <c r="R263" s="24"/>
      <c r="S263" s="37"/>
    </row>
    <row r="264" spans="1:19" s="19" customFormat="1" x14ac:dyDescent="0.2">
      <c r="A264" s="18"/>
      <c r="C264" s="44"/>
      <c r="D264" s="45"/>
      <c r="E264" s="45"/>
      <c r="F264" s="45"/>
      <c r="G264" s="45"/>
      <c r="H264" s="45"/>
      <c r="J264" s="18"/>
      <c r="L264" s="44"/>
      <c r="M264" s="45"/>
      <c r="N264" s="45"/>
      <c r="O264" s="45"/>
      <c r="P264" s="45"/>
      <c r="Q264" s="24"/>
      <c r="R264" s="24"/>
      <c r="S264" s="37"/>
    </row>
    <row r="265" spans="1:19" s="19" customFormat="1" x14ac:dyDescent="0.2">
      <c r="A265" s="18"/>
      <c r="C265" s="46"/>
      <c r="D265" s="47"/>
      <c r="E265" s="47"/>
      <c r="F265" s="47"/>
      <c r="G265" s="47"/>
      <c r="H265" s="47"/>
      <c r="J265" s="18"/>
      <c r="L265" s="46"/>
      <c r="M265" s="47"/>
      <c r="N265" s="47"/>
      <c r="O265" s="47"/>
      <c r="P265" s="47"/>
      <c r="Q265" s="24"/>
      <c r="R265" s="24"/>
      <c r="S265" s="37"/>
    </row>
    <row r="266" spans="1:19" s="19" customFormat="1" x14ac:dyDescent="0.2">
      <c r="A266" s="18"/>
      <c r="C266" s="44"/>
      <c r="D266" s="45"/>
      <c r="E266" s="45"/>
      <c r="F266" s="45"/>
      <c r="G266" s="45"/>
      <c r="H266" s="45"/>
      <c r="J266" s="18"/>
      <c r="L266" s="44"/>
      <c r="M266" s="45"/>
      <c r="N266" s="45"/>
      <c r="O266" s="45"/>
      <c r="P266" s="45"/>
      <c r="Q266" s="24"/>
      <c r="R266" s="24"/>
      <c r="S266" s="37"/>
    </row>
    <row r="267" spans="1:19" s="19" customFormat="1" x14ac:dyDescent="0.2">
      <c r="A267" s="18"/>
      <c r="C267" s="46"/>
      <c r="D267" s="47"/>
      <c r="E267" s="47"/>
      <c r="F267" s="47"/>
      <c r="G267" s="47"/>
      <c r="H267" s="47"/>
      <c r="J267" s="18"/>
      <c r="L267" s="46"/>
      <c r="M267" s="47"/>
      <c r="N267" s="47"/>
      <c r="O267" s="47"/>
      <c r="P267" s="47"/>
      <c r="Q267" s="24"/>
      <c r="R267" s="24"/>
      <c r="S267" s="37"/>
    </row>
    <row r="268" spans="1:19" s="19" customFormat="1" x14ac:dyDescent="0.2">
      <c r="A268" s="18"/>
      <c r="C268" s="44"/>
      <c r="D268" s="45"/>
      <c r="E268" s="45"/>
      <c r="F268" s="45"/>
      <c r="G268" s="45"/>
      <c r="H268" s="45"/>
      <c r="J268" s="18"/>
      <c r="L268" s="44"/>
      <c r="M268" s="45"/>
      <c r="N268" s="45"/>
      <c r="O268" s="45"/>
      <c r="P268" s="45"/>
      <c r="Q268" s="24"/>
      <c r="R268" s="24"/>
      <c r="S268" s="37"/>
    </row>
    <row r="269" spans="1:19" s="19" customFormat="1" x14ac:dyDescent="0.2">
      <c r="A269" s="18"/>
      <c r="C269" s="46"/>
      <c r="D269" s="47"/>
      <c r="E269" s="47"/>
      <c r="F269" s="47"/>
      <c r="G269" s="47"/>
      <c r="H269" s="47"/>
      <c r="J269" s="18"/>
      <c r="L269" s="46"/>
      <c r="M269" s="47"/>
      <c r="N269" s="47"/>
      <c r="O269" s="47"/>
      <c r="P269" s="47"/>
      <c r="Q269" s="24"/>
      <c r="R269" s="24"/>
      <c r="S269" s="37"/>
    </row>
    <row r="270" spans="1:19" s="19" customFormat="1" x14ac:dyDescent="0.2">
      <c r="A270" s="18"/>
      <c r="C270" s="44"/>
      <c r="D270" s="45"/>
      <c r="E270" s="45"/>
      <c r="F270" s="45"/>
      <c r="G270" s="45"/>
      <c r="H270" s="45"/>
      <c r="J270" s="18"/>
      <c r="L270" s="44"/>
      <c r="M270" s="45"/>
      <c r="N270" s="45"/>
      <c r="O270" s="45"/>
      <c r="P270" s="45"/>
      <c r="Q270" s="24"/>
      <c r="R270" s="24"/>
      <c r="S270" s="37"/>
    </row>
    <row r="271" spans="1:19" s="19" customFormat="1" x14ac:dyDescent="0.2">
      <c r="A271" s="18"/>
      <c r="C271" s="46"/>
      <c r="D271" s="47"/>
      <c r="E271" s="47"/>
      <c r="F271" s="47"/>
      <c r="G271" s="47"/>
      <c r="H271" s="47"/>
      <c r="J271" s="18"/>
      <c r="L271" s="46"/>
      <c r="M271" s="47"/>
      <c r="N271" s="47"/>
      <c r="O271" s="47"/>
      <c r="P271" s="47"/>
      <c r="Q271" s="24"/>
      <c r="R271" s="24"/>
      <c r="S271" s="37"/>
    </row>
    <row r="272" spans="1:19" s="19" customFormat="1" x14ac:dyDescent="0.2">
      <c r="A272" s="18"/>
      <c r="C272" s="44"/>
      <c r="D272" s="45"/>
      <c r="E272" s="45"/>
      <c r="F272" s="45"/>
      <c r="G272" s="45"/>
      <c r="H272" s="45"/>
      <c r="J272" s="18"/>
      <c r="L272" s="44"/>
      <c r="M272" s="45"/>
      <c r="N272" s="45"/>
      <c r="O272" s="45"/>
      <c r="P272" s="45"/>
      <c r="Q272" s="24"/>
      <c r="R272" s="24"/>
      <c r="S272" s="37"/>
    </row>
    <row r="273" spans="1:19" s="19" customFormat="1" x14ac:dyDescent="0.2">
      <c r="A273" s="18"/>
      <c r="C273" s="46"/>
      <c r="D273" s="47"/>
      <c r="E273" s="47"/>
      <c r="F273" s="47"/>
      <c r="G273" s="47"/>
      <c r="H273" s="47"/>
      <c r="J273" s="18"/>
      <c r="L273" s="46"/>
      <c r="M273" s="47"/>
      <c r="N273" s="47"/>
      <c r="O273" s="47"/>
      <c r="P273" s="47"/>
      <c r="Q273" s="24"/>
      <c r="R273" s="24"/>
      <c r="S273" s="37"/>
    </row>
    <row r="274" spans="1:19" s="19" customFormat="1" x14ac:dyDescent="0.2">
      <c r="A274" s="18"/>
      <c r="C274" s="44"/>
      <c r="D274" s="45"/>
      <c r="E274" s="45"/>
      <c r="F274" s="45"/>
      <c r="G274" s="45"/>
      <c r="H274" s="45"/>
      <c r="J274" s="18"/>
      <c r="L274" s="44"/>
      <c r="M274" s="45"/>
      <c r="N274" s="45"/>
      <c r="O274" s="45"/>
      <c r="P274" s="45"/>
      <c r="Q274" s="24"/>
      <c r="R274" s="24"/>
      <c r="S274" s="37"/>
    </row>
    <row r="275" spans="1:19" s="19" customFormat="1" x14ac:dyDescent="0.2">
      <c r="A275" s="18"/>
      <c r="C275" s="46"/>
      <c r="D275" s="47"/>
      <c r="E275" s="47"/>
      <c r="F275" s="47"/>
      <c r="G275" s="47"/>
      <c r="H275" s="47"/>
      <c r="J275" s="18"/>
      <c r="L275" s="46"/>
      <c r="M275" s="47"/>
      <c r="N275" s="47"/>
      <c r="O275" s="47"/>
      <c r="P275" s="47"/>
      <c r="Q275" s="24"/>
      <c r="R275" s="24"/>
      <c r="S275" s="37"/>
    </row>
    <row r="276" spans="1:19" s="19" customFormat="1" x14ac:dyDescent="0.2">
      <c r="A276" s="18"/>
      <c r="C276" s="44"/>
      <c r="D276" s="45"/>
      <c r="E276" s="45"/>
      <c r="F276" s="45"/>
      <c r="G276" s="45"/>
      <c r="H276" s="45"/>
      <c r="J276" s="18"/>
      <c r="L276" s="44"/>
      <c r="M276" s="45"/>
      <c r="N276" s="45"/>
      <c r="O276" s="45"/>
      <c r="P276" s="45"/>
      <c r="Q276" s="24"/>
      <c r="R276" s="24"/>
      <c r="S276" s="37"/>
    </row>
    <row r="277" spans="1:19" s="19" customFormat="1" x14ac:dyDescent="0.2">
      <c r="A277" s="18"/>
      <c r="C277" s="46"/>
      <c r="D277" s="47"/>
      <c r="E277" s="47"/>
      <c r="F277" s="47"/>
      <c r="G277" s="47"/>
      <c r="H277" s="47"/>
      <c r="J277" s="18"/>
      <c r="L277" s="46"/>
      <c r="M277" s="47"/>
      <c r="N277" s="47"/>
      <c r="O277" s="47"/>
      <c r="P277" s="47"/>
      <c r="Q277" s="24"/>
      <c r="R277" s="24"/>
      <c r="S277" s="37"/>
    </row>
    <row r="278" spans="1:19" s="19" customFormat="1" x14ac:dyDescent="0.2">
      <c r="A278" s="18"/>
      <c r="C278" s="44"/>
      <c r="D278" s="45"/>
      <c r="E278" s="45"/>
      <c r="F278" s="45"/>
      <c r="G278" s="45"/>
      <c r="H278" s="45"/>
      <c r="J278" s="18"/>
      <c r="L278" s="44"/>
      <c r="M278" s="45"/>
      <c r="N278" s="45"/>
      <c r="O278" s="45"/>
      <c r="P278" s="45"/>
      <c r="Q278" s="24"/>
      <c r="R278" s="24"/>
      <c r="S278" s="37"/>
    </row>
    <row r="279" spans="1:19" s="19" customFormat="1" x14ac:dyDescent="0.2">
      <c r="A279" s="18"/>
      <c r="C279" s="46"/>
      <c r="D279" s="47"/>
      <c r="E279" s="47"/>
      <c r="F279" s="47"/>
      <c r="G279" s="47"/>
      <c r="H279" s="47"/>
      <c r="J279" s="18"/>
      <c r="L279" s="46"/>
      <c r="M279" s="47"/>
      <c r="N279" s="47"/>
      <c r="O279" s="47"/>
      <c r="P279" s="47"/>
      <c r="Q279" s="24"/>
      <c r="R279" s="24"/>
      <c r="S279" s="37"/>
    </row>
    <row r="280" spans="1:19" s="19" customFormat="1" x14ac:dyDescent="0.2">
      <c r="A280" s="18"/>
      <c r="C280" s="44"/>
      <c r="D280" s="45"/>
      <c r="E280" s="45"/>
      <c r="F280" s="45"/>
      <c r="G280" s="45"/>
      <c r="H280" s="45"/>
      <c r="J280" s="18"/>
      <c r="L280" s="44"/>
      <c r="M280" s="45"/>
      <c r="N280" s="45"/>
      <c r="O280" s="45"/>
      <c r="P280" s="45"/>
      <c r="Q280" s="24"/>
      <c r="R280" s="24"/>
      <c r="S280" s="37"/>
    </row>
    <row r="281" spans="1:19" s="19" customFormat="1" x14ac:dyDescent="0.2">
      <c r="A281" s="18"/>
      <c r="C281" s="46"/>
      <c r="D281" s="47"/>
      <c r="E281" s="47"/>
      <c r="F281" s="47"/>
      <c r="G281" s="47"/>
      <c r="H281" s="47"/>
      <c r="J281" s="18"/>
      <c r="L281" s="46"/>
      <c r="M281" s="47"/>
      <c r="N281" s="47"/>
      <c r="O281" s="47"/>
      <c r="P281" s="47"/>
      <c r="Q281" s="24"/>
      <c r="R281" s="24"/>
      <c r="S281" s="37"/>
    </row>
    <row r="282" spans="1:19" s="19" customFormat="1" x14ac:dyDescent="0.2">
      <c r="A282" s="18"/>
      <c r="C282" s="44"/>
      <c r="D282" s="45"/>
      <c r="E282" s="45"/>
      <c r="F282" s="45"/>
      <c r="G282" s="45"/>
      <c r="H282" s="45"/>
      <c r="J282" s="18"/>
      <c r="L282" s="44"/>
      <c r="M282" s="45"/>
      <c r="N282" s="45"/>
      <c r="O282" s="45"/>
      <c r="P282" s="45"/>
      <c r="Q282" s="24"/>
      <c r="R282" s="24"/>
      <c r="S282" s="37"/>
    </row>
    <row r="283" spans="1:19" s="19" customFormat="1" x14ac:dyDescent="0.2">
      <c r="A283" s="18"/>
      <c r="C283" s="46"/>
      <c r="D283" s="47"/>
      <c r="E283" s="47"/>
      <c r="F283" s="47"/>
      <c r="G283" s="47"/>
      <c r="H283" s="47"/>
      <c r="J283" s="18"/>
      <c r="L283" s="46"/>
      <c r="M283" s="47"/>
      <c r="N283" s="47"/>
      <c r="O283" s="47"/>
      <c r="P283" s="47"/>
      <c r="Q283" s="24"/>
      <c r="R283" s="24"/>
      <c r="S283" s="37"/>
    </row>
    <row r="284" spans="1:19" s="19" customFormat="1" x14ac:dyDescent="0.2">
      <c r="A284" s="18"/>
      <c r="C284" s="44"/>
      <c r="D284" s="45"/>
      <c r="E284" s="45"/>
      <c r="F284" s="45"/>
      <c r="G284" s="45"/>
      <c r="H284" s="45"/>
      <c r="J284" s="18"/>
      <c r="L284" s="44"/>
      <c r="M284" s="45"/>
      <c r="N284" s="45"/>
      <c r="O284" s="45"/>
      <c r="P284" s="45"/>
      <c r="Q284" s="24"/>
      <c r="R284" s="24"/>
      <c r="S284" s="37"/>
    </row>
    <row r="285" spans="1:19" s="19" customFormat="1" x14ac:dyDescent="0.2">
      <c r="A285" s="18"/>
      <c r="C285" s="46"/>
      <c r="D285" s="47"/>
      <c r="E285" s="47"/>
      <c r="F285" s="47"/>
      <c r="G285" s="47"/>
      <c r="H285" s="47"/>
      <c r="J285" s="18"/>
      <c r="L285" s="46"/>
      <c r="M285" s="47"/>
      <c r="N285" s="47"/>
      <c r="O285" s="47"/>
      <c r="P285" s="47"/>
      <c r="Q285" s="24"/>
      <c r="R285" s="24"/>
      <c r="S285" s="37"/>
    </row>
    <row r="286" spans="1:19" s="19" customFormat="1" x14ac:dyDescent="0.2">
      <c r="A286" s="18"/>
      <c r="C286" s="44"/>
      <c r="D286" s="45"/>
      <c r="E286" s="45"/>
      <c r="F286" s="45"/>
      <c r="G286" s="45"/>
      <c r="H286" s="45"/>
      <c r="J286" s="18"/>
      <c r="L286" s="44"/>
      <c r="M286" s="45"/>
      <c r="N286" s="45"/>
      <c r="O286" s="45"/>
      <c r="P286" s="45"/>
      <c r="Q286" s="24"/>
      <c r="R286" s="24"/>
      <c r="S286" s="37"/>
    </row>
    <row r="287" spans="1:19" s="19" customFormat="1" x14ac:dyDescent="0.2">
      <c r="A287" s="18"/>
      <c r="C287" s="46"/>
      <c r="D287" s="47"/>
      <c r="E287" s="47"/>
      <c r="F287" s="47"/>
      <c r="G287" s="47"/>
      <c r="H287" s="47"/>
      <c r="J287" s="18"/>
      <c r="L287" s="46"/>
      <c r="M287" s="47"/>
      <c r="N287" s="47"/>
      <c r="O287" s="47"/>
      <c r="P287" s="47"/>
      <c r="Q287" s="24"/>
      <c r="R287" s="24"/>
      <c r="S287" s="37"/>
    </row>
    <row r="288" spans="1:19" s="19" customFormat="1" x14ac:dyDescent="0.2">
      <c r="A288" s="18"/>
      <c r="C288" s="44"/>
      <c r="D288" s="45"/>
      <c r="E288" s="45"/>
      <c r="F288" s="45"/>
      <c r="G288" s="45"/>
      <c r="H288" s="45"/>
      <c r="J288" s="18"/>
      <c r="L288" s="44"/>
      <c r="M288" s="45"/>
      <c r="N288" s="45"/>
      <c r="O288" s="45"/>
      <c r="P288" s="45"/>
      <c r="Q288" s="24"/>
      <c r="R288" s="24"/>
      <c r="S288" s="37"/>
    </row>
    <row r="289" spans="1:19" s="19" customFormat="1" x14ac:dyDescent="0.2">
      <c r="A289" s="18"/>
      <c r="C289" s="46"/>
      <c r="D289" s="47"/>
      <c r="E289" s="47"/>
      <c r="F289" s="47"/>
      <c r="G289" s="47"/>
      <c r="H289" s="47"/>
      <c r="J289" s="18"/>
      <c r="L289" s="46"/>
      <c r="M289" s="47"/>
      <c r="N289" s="47"/>
      <c r="O289" s="47"/>
      <c r="P289" s="47"/>
      <c r="Q289" s="24"/>
      <c r="R289" s="24"/>
      <c r="S289" s="37"/>
    </row>
    <row r="290" spans="1:19" s="19" customFormat="1" x14ac:dyDescent="0.2">
      <c r="A290" s="18"/>
      <c r="C290" s="44"/>
      <c r="D290" s="45"/>
      <c r="E290" s="45"/>
      <c r="F290" s="45"/>
      <c r="G290" s="45"/>
      <c r="H290" s="45"/>
      <c r="J290" s="18"/>
      <c r="L290" s="44"/>
      <c r="M290" s="45"/>
      <c r="N290" s="45"/>
      <c r="O290" s="45"/>
      <c r="P290" s="45"/>
      <c r="Q290" s="24"/>
      <c r="R290" s="24"/>
      <c r="S290" s="37"/>
    </row>
    <row r="291" spans="1:19" s="19" customFormat="1" x14ac:dyDescent="0.2">
      <c r="A291" s="18"/>
      <c r="C291" s="46"/>
      <c r="D291" s="47"/>
      <c r="E291" s="47"/>
      <c r="F291" s="47"/>
      <c r="G291" s="47"/>
      <c r="H291" s="47"/>
      <c r="J291" s="18"/>
      <c r="L291" s="46"/>
      <c r="M291" s="47"/>
      <c r="N291" s="47"/>
      <c r="O291" s="47"/>
      <c r="P291" s="47"/>
      <c r="Q291" s="24"/>
      <c r="R291" s="24"/>
      <c r="S291" s="37"/>
    </row>
    <row r="292" spans="1:19" s="19" customFormat="1" x14ac:dyDescent="0.2">
      <c r="A292" s="18"/>
      <c r="C292" s="44"/>
      <c r="D292" s="45"/>
      <c r="E292" s="45"/>
      <c r="F292" s="45"/>
      <c r="G292" s="45"/>
      <c r="H292" s="45"/>
      <c r="J292" s="18"/>
      <c r="L292" s="44"/>
      <c r="M292" s="45"/>
      <c r="N292" s="45"/>
      <c r="O292" s="45"/>
      <c r="P292" s="45"/>
      <c r="Q292" s="24"/>
      <c r="R292" s="24"/>
      <c r="S292" s="37"/>
    </row>
    <row r="293" spans="1:19" s="19" customFormat="1" x14ac:dyDescent="0.2">
      <c r="A293" s="18"/>
      <c r="C293" s="46"/>
      <c r="D293" s="47"/>
      <c r="E293" s="47"/>
      <c r="F293" s="47"/>
      <c r="G293" s="47"/>
      <c r="H293" s="47"/>
      <c r="J293" s="18"/>
      <c r="L293" s="46"/>
      <c r="M293" s="47"/>
      <c r="N293" s="47"/>
      <c r="O293" s="47"/>
      <c r="P293" s="47"/>
      <c r="Q293" s="24"/>
      <c r="R293" s="24"/>
      <c r="S293" s="37"/>
    </row>
    <row r="294" spans="1:19" s="19" customFormat="1" x14ac:dyDescent="0.2">
      <c r="A294" s="18"/>
      <c r="C294" s="44"/>
      <c r="D294" s="45"/>
      <c r="E294" s="45"/>
      <c r="F294" s="45"/>
      <c r="G294" s="45"/>
      <c r="H294" s="45"/>
      <c r="J294" s="18"/>
      <c r="L294" s="44"/>
      <c r="M294" s="45"/>
      <c r="N294" s="45"/>
      <c r="O294" s="45"/>
      <c r="P294" s="45"/>
      <c r="Q294" s="24"/>
      <c r="R294" s="24"/>
      <c r="S294" s="37"/>
    </row>
    <row r="295" spans="1:19" s="19" customFormat="1" x14ac:dyDescent="0.2">
      <c r="A295" s="18"/>
      <c r="C295" s="46"/>
      <c r="D295" s="47"/>
      <c r="E295" s="47"/>
      <c r="F295" s="47"/>
      <c r="G295" s="47"/>
      <c r="H295" s="47"/>
      <c r="J295" s="18"/>
      <c r="L295" s="46"/>
      <c r="M295" s="47"/>
      <c r="N295" s="47"/>
      <c r="O295" s="47"/>
      <c r="P295" s="47"/>
      <c r="Q295" s="24"/>
      <c r="R295" s="24"/>
      <c r="S295" s="37"/>
    </row>
    <row r="296" spans="1:19" s="19" customFormat="1" x14ac:dyDescent="0.2">
      <c r="A296" s="18"/>
      <c r="C296" s="44"/>
      <c r="D296" s="45"/>
      <c r="E296" s="45"/>
      <c r="F296" s="45"/>
      <c r="G296" s="45"/>
      <c r="H296" s="45"/>
      <c r="J296" s="18"/>
      <c r="L296" s="44"/>
      <c r="M296" s="45"/>
      <c r="N296" s="45"/>
      <c r="O296" s="45"/>
      <c r="P296" s="45"/>
      <c r="Q296" s="24"/>
      <c r="R296" s="24"/>
      <c r="S296" s="37"/>
    </row>
    <row r="297" spans="1:19" s="19" customFormat="1" x14ac:dyDescent="0.2">
      <c r="A297" s="18"/>
      <c r="C297" s="46"/>
      <c r="D297" s="47"/>
      <c r="E297" s="47"/>
      <c r="F297" s="47"/>
      <c r="G297" s="47"/>
      <c r="H297" s="47"/>
      <c r="J297" s="18"/>
      <c r="L297" s="46"/>
      <c r="M297" s="47"/>
      <c r="N297" s="47"/>
      <c r="O297" s="47"/>
      <c r="P297" s="47"/>
      <c r="Q297" s="24"/>
      <c r="R297" s="24"/>
      <c r="S297" s="37"/>
    </row>
    <row r="298" spans="1:19" s="19" customFormat="1" x14ac:dyDescent="0.2">
      <c r="A298" s="18"/>
      <c r="C298" s="44"/>
      <c r="D298" s="45"/>
      <c r="E298" s="45"/>
      <c r="F298" s="45"/>
      <c r="G298" s="45"/>
      <c r="H298" s="45"/>
      <c r="J298" s="18"/>
      <c r="L298" s="44"/>
      <c r="M298" s="45"/>
      <c r="N298" s="45"/>
      <c r="O298" s="45"/>
      <c r="P298" s="45"/>
      <c r="Q298" s="24"/>
      <c r="R298" s="24"/>
      <c r="S298" s="37"/>
    </row>
    <row r="299" spans="1:19" s="19" customFormat="1" x14ac:dyDescent="0.2">
      <c r="A299" s="18"/>
      <c r="C299" s="46"/>
      <c r="D299" s="47"/>
      <c r="E299" s="47"/>
      <c r="F299" s="47"/>
      <c r="G299" s="47"/>
      <c r="H299" s="47"/>
      <c r="J299" s="18"/>
      <c r="L299" s="46"/>
      <c r="M299" s="47"/>
      <c r="N299" s="47"/>
      <c r="O299" s="47"/>
      <c r="P299" s="47"/>
      <c r="Q299" s="24"/>
      <c r="R299" s="24"/>
      <c r="S299" s="37"/>
    </row>
    <row r="300" spans="1:19" s="19" customFormat="1" x14ac:dyDescent="0.2">
      <c r="A300" s="18"/>
      <c r="C300" s="44"/>
      <c r="D300" s="45"/>
      <c r="E300" s="45"/>
      <c r="F300" s="45"/>
      <c r="G300" s="45"/>
      <c r="H300" s="45"/>
      <c r="J300" s="18"/>
      <c r="L300" s="44"/>
      <c r="M300" s="45"/>
      <c r="N300" s="45"/>
      <c r="O300" s="45"/>
      <c r="P300" s="45"/>
      <c r="Q300" s="24"/>
      <c r="R300" s="24"/>
      <c r="S300" s="37"/>
    </row>
    <row r="301" spans="1:19" s="19" customFormat="1" x14ac:dyDescent="0.2">
      <c r="A301" s="18"/>
      <c r="C301" s="46"/>
      <c r="D301" s="47"/>
      <c r="E301" s="47"/>
      <c r="F301" s="47"/>
      <c r="G301" s="47"/>
      <c r="H301" s="47"/>
      <c r="J301" s="18"/>
      <c r="L301" s="46"/>
      <c r="M301" s="47"/>
      <c r="N301" s="47"/>
      <c r="O301" s="47"/>
      <c r="P301" s="47"/>
      <c r="Q301" s="24"/>
      <c r="R301" s="24"/>
      <c r="S301" s="37"/>
    </row>
    <row r="302" spans="1:19" s="19" customFormat="1" x14ac:dyDescent="0.2">
      <c r="A302" s="18"/>
      <c r="C302" s="44"/>
      <c r="D302" s="45"/>
      <c r="E302" s="45"/>
      <c r="F302" s="45"/>
      <c r="G302" s="45"/>
      <c r="H302" s="45"/>
      <c r="J302" s="18"/>
      <c r="L302" s="44"/>
      <c r="M302" s="45"/>
      <c r="N302" s="45"/>
      <c r="O302" s="45"/>
      <c r="P302" s="45"/>
      <c r="Q302" s="24"/>
      <c r="R302" s="24"/>
      <c r="S302" s="37"/>
    </row>
    <row r="303" spans="1:19" s="19" customFormat="1" x14ac:dyDescent="0.2">
      <c r="A303" s="18"/>
      <c r="C303" s="46"/>
      <c r="D303" s="47"/>
      <c r="E303" s="47"/>
      <c r="F303" s="47"/>
      <c r="G303" s="47"/>
      <c r="H303" s="47"/>
      <c r="J303" s="18"/>
      <c r="L303" s="46"/>
      <c r="M303" s="47"/>
      <c r="N303" s="47"/>
      <c r="O303" s="47"/>
      <c r="P303" s="47"/>
      <c r="Q303" s="24"/>
      <c r="R303" s="24"/>
      <c r="S303" s="37"/>
    </row>
    <row r="304" spans="1:19" s="19" customFormat="1" x14ac:dyDescent="0.2">
      <c r="A304" s="18"/>
      <c r="C304" s="44"/>
      <c r="D304" s="45"/>
      <c r="E304" s="45"/>
      <c r="F304" s="45"/>
      <c r="G304" s="45"/>
      <c r="H304" s="45"/>
      <c r="J304" s="18"/>
      <c r="L304" s="44"/>
      <c r="M304" s="45"/>
      <c r="N304" s="45"/>
      <c r="O304" s="45"/>
      <c r="P304" s="45"/>
      <c r="Q304" s="24"/>
      <c r="R304" s="24"/>
      <c r="S304" s="37"/>
    </row>
    <row r="305" spans="1:19" s="19" customFormat="1" x14ac:dyDescent="0.2">
      <c r="A305" s="18"/>
      <c r="C305" s="46"/>
      <c r="D305" s="47"/>
      <c r="E305" s="47"/>
      <c r="F305" s="47"/>
      <c r="G305" s="47"/>
      <c r="H305" s="47"/>
      <c r="J305" s="18"/>
      <c r="L305" s="46"/>
      <c r="M305" s="47"/>
      <c r="N305" s="47"/>
      <c r="O305" s="47"/>
      <c r="P305" s="47"/>
      <c r="Q305" s="24"/>
      <c r="R305" s="24"/>
      <c r="S305" s="37"/>
    </row>
    <row r="306" spans="1:19" s="19" customFormat="1" x14ac:dyDescent="0.2">
      <c r="A306" s="18"/>
      <c r="C306" s="44"/>
      <c r="D306" s="45"/>
      <c r="E306" s="45"/>
      <c r="F306" s="45"/>
      <c r="G306" s="45"/>
      <c r="H306" s="45"/>
      <c r="J306" s="18"/>
      <c r="L306" s="44"/>
      <c r="M306" s="45"/>
      <c r="N306" s="45"/>
      <c r="O306" s="45"/>
      <c r="P306" s="45"/>
      <c r="Q306" s="24"/>
      <c r="R306" s="24"/>
      <c r="S306" s="37"/>
    </row>
    <row r="307" spans="1:19" s="19" customFormat="1" x14ac:dyDescent="0.2">
      <c r="A307" s="18"/>
      <c r="C307" s="46"/>
      <c r="D307" s="47"/>
      <c r="E307" s="47"/>
      <c r="F307" s="47"/>
      <c r="G307" s="47"/>
      <c r="H307" s="47"/>
      <c r="J307" s="18"/>
      <c r="L307" s="46"/>
      <c r="M307" s="47"/>
      <c r="N307" s="47"/>
      <c r="O307" s="47"/>
      <c r="P307" s="47"/>
      <c r="Q307" s="24"/>
      <c r="R307" s="24"/>
      <c r="S307" s="37"/>
    </row>
    <row r="308" spans="1:19" s="19" customFormat="1" x14ac:dyDescent="0.2">
      <c r="A308" s="18"/>
      <c r="C308" s="44"/>
      <c r="D308" s="45"/>
      <c r="E308" s="45"/>
      <c r="F308" s="45"/>
      <c r="G308" s="45"/>
      <c r="H308" s="45"/>
      <c r="J308" s="18"/>
      <c r="L308" s="44"/>
      <c r="M308" s="45"/>
      <c r="N308" s="45"/>
      <c r="O308" s="45"/>
      <c r="P308" s="45"/>
      <c r="Q308" s="24"/>
      <c r="R308" s="24"/>
      <c r="S308" s="37"/>
    </row>
    <row r="309" spans="1:19" s="19" customFormat="1" x14ac:dyDescent="0.2">
      <c r="A309" s="18"/>
      <c r="C309" s="46"/>
      <c r="D309" s="47"/>
      <c r="E309" s="47"/>
      <c r="F309" s="47"/>
      <c r="G309" s="47"/>
      <c r="H309" s="47"/>
      <c r="J309" s="18"/>
      <c r="L309" s="46"/>
      <c r="M309" s="47"/>
      <c r="N309" s="47"/>
      <c r="O309" s="47"/>
      <c r="P309" s="47"/>
      <c r="Q309" s="24"/>
      <c r="R309" s="24"/>
      <c r="S309" s="37"/>
    </row>
    <row r="310" spans="1:19" s="19" customFormat="1" x14ac:dyDescent="0.2">
      <c r="A310" s="18"/>
      <c r="C310" s="44"/>
      <c r="D310" s="45"/>
      <c r="E310" s="45"/>
      <c r="F310" s="45"/>
      <c r="G310" s="45"/>
      <c r="H310" s="45"/>
      <c r="J310" s="18"/>
      <c r="L310" s="44"/>
      <c r="M310" s="45"/>
      <c r="N310" s="45"/>
      <c r="O310" s="45"/>
      <c r="P310" s="45"/>
      <c r="Q310" s="24"/>
      <c r="R310" s="24"/>
      <c r="S310" s="37"/>
    </row>
    <row r="311" spans="1:19" s="19" customFormat="1" x14ac:dyDescent="0.2">
      <c r="A311" s="18"/>
      <c r="C311" s="46"/>
      <c r="D311" s="47"/>
      <c r="E311" s="47"/>
      <c r="F311" s="47"/>
      <c r="G311" s="47"/>
      <c r="H311" s="47"/>
      <c r="J311" s="18"/>
      <c r="L311" s="46"/>
      <c r="M311" s="47"/>
      <c r="N311" s="47"/>
      <c r="O311" s="47"/>
      <c r="P311" s="47"/>
      <c r="Q311" s="24"/>
      <c r="R311" s="24"/>
      <c r="S311" s="37"/>
    </row>
    <row r="312" spans="1:19" s="19" customFormat="1" x14ac:dyDescent="0.2">
      <c r="A312" s="18"/>
      <c r="C312" s="44"/>
      <c r="D312" s="45"/>
      <c r="E312" s="45"/>
      <c r="F312" s="45"/>
      <c r="G312" s="45"/>
      <c r="H312" s="45"/>
      <c r="J312" s="18"/>
      <c r="L312" s="44"/>
      <c r="M312" s="45"/>
      <c r="N312" s="45"/>
      <c r="O312" s="45"/>
      <c r="P312" s="45"/>
      <c r="Q312" s="24"/>
      <c r="R312" s="24"/>
      <c r="S312" s="37"/>
    </row>
    <row r="313" spans="1:19" s="19" customFormat="1" x14ac:dyDescent="0.2">
      <c r="A313" s="18"/>
      <c r="C313" s="46"/>
      <c r="D313" s="47"/>
      <c r="E313" s="47"/>
      <c r="F313" s="47"/>
      <c r="G313" s="47"/>
      <c r="H313" s="47"/>
      <c r="J313" s="18"/>
      <c r="L313" s="46"/>
      <c r="M313" s="47"/>
      <c r="N313" s="47"/>
      <c r="O313" s="47"/>
      <c r="P313" s="47"/>
      <c r="Q313" s="24"/>
      <c r="R313" s="24"/>
      <c r="S313" s="37"/>
    </row>
    <row r="314" spans="1:19" s="19" customFormat="1" x14ac:dyDescent="0.2">
      <c r="A314" s="18"/>
      <c r="C314" s="44"/>
      <c r="D314" s="45"/>
      <c r="E314" s="45"/>
      <c r="F314" s="45"/>
      <c r="G314" s="45"/>
      <c r="H314" s="45"/>
      <c r="J314" s="18"/>
      <c r="L314" s="44"/>
      <c r="M314" s="45"/>
      <c r="N314" s="45"/>
      <c r="O314" s="45"/>
      <c r="P314" s="45"/>
      <c r="Q314" s="24"/>
      <c r="R314" s="24"/>
      <c r="S314" s="37"/>
    </row>
    <row r="315" spans="1:19" s="19" customFormat="1" x14ac:dyDescent="0.2">
      <c r="A315" s="18"/>
      <c r="C315" s="46"/>
      <c r="D315" s="47"/>
      <c r="E315" s="47"/>
      <c r="F315" s="47"/>
      <c r="G315" s="47"/>
      <c r="H315" s="47"/>
      <c r="J315" s="18"/>
      <c r="L315" s="46"/>
      <c r="M315" s="47"/>
      <c r="N315" s="47"/>
      <c r="O315" s="47"/>
      <c r="P315" s="47"/>
      <c r="Q315" s="24"/>
      <c r="R315" s="24"/>
      <c r="S315" s="37"/>
    </row>
    <row r="316" spans="1:19" s="19" customFormat="1" x14ac:dyDescent="0.2">
      <c r="A316" s="18"/>
      <c r="C316" s="44"/>
      <c r="D316" s="45"/>
      <c r="E316" s="45"/>
      <c r="F316" s="45"/>
      <c r="G316" s="45"/>
      <c r="H316" s="45"/>
      <c r="J316" s="18"/>
      <c r="L316" s="44"/>
      <c r="M316" s="45"/>
      <c r="N316" s="45"/>
      <c r="O316" s="45"/>
      <c r="P316" s="45"/>
      <c r="Q316" s="24"/>
      <c r="R316" s="24"/>
      <c r="S316" s="37"/>
    </row>
    <row r="317" spans="1:19" s="19" customFormat="1" x14ac:dyDescent="0.2">
      <c r="A317" s="18"/>
      <c r="C317" s="46"/>
      <c r="D317" s="47"/>
      <c r="E317" s="47"/>
      <c r="F317" s="47"/>
      <c r="G317" s="47"/>
      <c r="H317" s="47"/>
      <c r="J317" s="18"/>
      <c r="L317" s="46"/>
      <c r="M317" s="47"/>
      <c r="N317" s="47"/>
      <c r="O317" s="47"/>
      <c r="P317" s="47"/>
      <c r="Q317" s="24"/>
      <c r="R317" s="24"/>
      <c r="S317" s="37"/>
    </row>
    <row r="318" spans="1:19" s="19" customFormat="1" x14ac:dyDescent="0.2">
      <c r="A318" s="18"/>
      <c r="C318" s="44"/>
      <c r="D318" s="45"/>
      <c r="E318" s="45"/>
      <c r="F318" s="45"/>
      <c r="G318" s="45"/>
      <c r="H318" s="45"/>
      <c r="J318" s="18"/>
      <c r="L318" s="44"/>
      <c r="M318" s="45"/>
      <c r="N318" s="45"/>
      <c r="O318" s="45"/>
      <c r="P318" s="45"/>
      <c r="Q318" s="24"/>
      <c r="R318" s="24"/>
      <c r="S318" s="37"/>
    </row>
    <row r="319" spans="1:19" s="19" customFormat="1" x14ac:dyDescent="0.2">
      <c r="A319" s="18"/>
      <c r="C319" s="46"/>
      <c r="D319" s="47"/>
      <c r="E319" s="47"/>
      <c r="F319" s="47"/>
      <c r="G319" s="47"/>
      <c r="H319" s="47"/>
      <c r="J319" s="18"/>
      <c r="L319" s="46"/>
      <c r="M319" s="47"/>
      <c r="N319" s="47"/>
      <c r="O319" s="47"/>
      <c r="P319" s="47"/>
      <c r="Q319" s="24"/>
      <c r="R319" s="24"/>
      <c r="S319" s="37"/>
    </row>
    <row r="320" spans="1:19" s="19" customFormat="1" x14ac:dyDescent="0.2">
      <c r="A320" s="18"/>
      <c r="C320" s="44"/>
      <c r="D320" s="45"/>
      <c r="E320" s="45"/>
      <c r="F320" s="45"/>
      <c r="G320" s="45"/>
      <c r="H320" s="45"/>
      <c r="J320" s="18"/>
      <c r="L320" s="44"/>
      <c r="M320" s="45"/>
      <c r="N320" s="45"/>
      <c r="O320" s="45"/>
      <c r="P320" s="45"/>
      <c r="Q320" s="24"/>
      <c r="R320" s="24"/>
      <c r="S320" s="37"/>
    </row>
    <row r="321" spans="1:19" s="19" customFormat="1" x14ac:dyDescent="0.2">
      <c r="A321" s="18"/>
      <c r="C321" s="46"/>
      <c r="D321" s="47"/>
      <c r="E321" s="47"/>
      <c r="F321" s="47"/>
      <c r="G321" s="47"/>
      <c r="H321" s="47"/>
      <c r="J321" s="18"/>
      <c r="L321" s="46"/>
      <c r="M321" s="47"/>
      <c r="N321" s="47"/>
      <c r="O321" s="47"/>
      <c r="P321" s="47"/>
      <c r="Q321" s="24"/>
      <c r="R321" s="24"/>
      <c r="S321" s="37"/>
    </row>
    <row r="322" spans="1:19" s="19" customFormat="1" x14ac:dyDescent="0.2">
      <c r="A322" s="18"/>
      <c r="C322" s="44"/>
      <c r="D322" s="45"/>
      <c r="E322" s="45"/>
      <c r="F322" s="45"/>
      <c r="G322" s="45"/>
      <c r="H322" s="45"/>
      <c r="J322" s="18"/>
      <c r="L322" s="44"/>
      <c r="M322" s="45"/>
      <c r="N322" s="45"/>
      <c r="O322" s="45"/>
      <c r="P322" s="45"/>
      <c r="Q322" s="24"/>
      <c r="R322" s="24"/>
      <c r="S322" s="37"/>
    </row>
    <row r="323" spans="1:19" s="19" customFormat="1" x14ac:dyDescent="0.2">
      <c r="A323" s="18"/>
      <c r="C323" s="46"/>
      <c r="D323" s="47"/>
      <c r="E323" s="47"/>
      <c r="F323" s="47"/>
      <c r="G323" s="47"/>
      <c r="H323" s="47"/>
      <c r="J323" s="18"/>
      <c r="L323" s="46"/>
      <c r="M323" s="47"/>
      <c r="N323" s="47"/>
      <c r="O323" s="47"/>
      <c r="P323" s="47"/>
      <c r="Q323" s="24"/>
      <c r="R323" s="24"/>
      <c r="S323" s="37"/>
    </row>
    <row r="324" spans="1:19" s="19" customFormat="1" x14ac:dyDescent="0.2">
      <c r="A324" s="18"/>
      <c r="C324" s="44"/>
      <c r="D324" s="45"/>
      <c r="E324" s="45"/>
      <c r="F324" s="45"/>
      <c r="G324" s="45"/>
      <c r="H324" s="45"/>
      <c r="J324" s="18"/>
      <c r="L324" s="44"/>
      <c r="M324" s="45"/>
      <c r="N324" s="45"/>
      <c r="O324" s="45"/>
      <c r="P324" s="45"/>
      <c r="Q324" s="24"/>
      <c r="R324" s="24"/>
      <c r="S324" s="37"/>
    </row>
    <row r="325" spans="1:19" s="19" customFormat="1" x14ac:dyDescent="0.2">
      <c r="A325" s="18"/>
      <c r="C325" s="46"/>
      <c r="D325" s="47"/>
      <c r="E325" s="47"/>
      <c r="F325" s="47"/>
      <c r="G325" s="47"/>
      <c r="H325" s="47"/>
      <c r="J325" s="18"/>
      <c r="L325" s="46"/>
      <c r="M325" s="47"/>
      <c r="N325" s="47"/>
      <c r="O325" s="47"/>
      <c r="P325" s="47"/>
      <c r="Q325" s="24"/>
      <c r="R325" s="24"/>
      <c r="S325" s="37"/>
    </row>
    <row r="326" spans="1:19" s="19" customFormat="1" x14ac:dyDescent="0.2">
      <c r="A326" s="18"/>
      <c r="C326" s="44"/>
      <c r="D326" s="45"/>
      <c r="E326" s="45"/>
      <c r="F326" s="45"/>
      <c r="G326" s="45"/>
      <c r="H326" s="45"/>
      <c r="J326" s="18"/>
      <c r="L326" s="44"/>
      <c r="M326" s="45"/>
      <c r="N326" s="45"/>
      <c r="O326" s="45"/>
      <c r="P326" s="45"/>
      <c r="Q326" s="24"/>
      <c r="R326" s="24"/>
      <c r="S326" s="37"/>
    </row>
    <row r="327" spans="1:19" s="19" customFormat="1" x14ac:dyDescent="0.2">
      <c r="A327" s="18"/>
      <c r="C327" s="46"/>
      <c r="D327" s="47"/>
      <c r="E327" s="47"/>
      <c r="F327" s="47"/>
      <c r="G327" s="47"/>
      <c r="H327" s="47"/>
      <c r="J327" s="18"/>
      <c r="L327" s="46"/>
      <c r="M327" s="47"/>
      <c r="N327" s="47"/>
      <c r="O327" s="47"/>
      <c r="P327" s="47"/>
      <c r="Q327" s="24"/>
      <c r="R327" s="24"/>
      <c r="S327" s="37"/>
    </row>
    <row r="328" spans="1:19" s="19" customFormat="1" x14ac:dyDescent="0.2">
      <c r="A328" s="18"/>
      <c r="C328" s="44"/>
      <c r="D328" s="45"/>
      <c r="E328" s="45"/>
      <c r="F328" s="45"/>
      <c r="G328" s="45"/>
      <c r="H328" s="45"/>
      <c r="J328" s="18"/>
      <c r="L328" s="44"/>
      <c r="M328" s="45"/>
      <c r="N328" s="45"/>
      <c r="O328" s="45"/>
      <c r="P328" s="45"/>
      <c r="Q328" s="24"/>
      <c r="R328" s="24"/>
      <c r="S328" s="37"/>
    </row>
    <row r="329" spans="1:19" s="19" customFormat="1" x14ac:dyDescent="0.2">
      <c r="A329" s="18"/>
      <c r="C329" s="46"/>
      <c r="D329" s="47"/>
      <c r="E329" s="47"/>
      <c r="F329" s="47"/>
      <c r="G329" s="47"/>
      <c r="H329" s="47"/>
      <c r="J329" s="18"/>
      <c r="L329" s="46"/>
      <c r="M329" s="47"/>
      <c r="N329" s="47"/>
      <c r="O329" s="47"/>
      <c r="P329" s="47"/>
      <c r="S329" s="18"/>
    </row>
    <row r="330" spans="1:19" s="19" customFormat="1" x14ac:dyDescent="0.2">
      <c r="A330" s="18"/>
      <c r="C330" s="44"/>
      <c r="D330" s="45"/>
      <c r="E330" s="45"/>
      <c r="F330" s="45"/>
      <c r="G330" s="45"/>
      <c r="H330" s="45"/>
      <c r="J330" s="18"/>
      <c r="L330" s="44"/>
      <c r="M330" s="45"/>
      <c r="N330" s="45"/>
      <c r="O330" s="45"/>
      <c r="P330" s="45"/>
      <c r="S330" s="18"/>
    </row>
    <row r="331" spans="1:19" s="19" customFormat="1" x14ac:dyDescent="0.2">
      <c r="A331" s="18"/>
      <c r="C331" s="46"/>
      <c r="D331" s="47"/>
      <c r="E331" s="47"/>
      <c r="F331" s="47"/>
      <c r="G331" s="47"/>
      <c r="H331" s="47"/>
      <c r="J331" s="18"/>
      <c r="L331" s="46"/>
      <c r="M331" s="47"/>
      <c r="N331" s="47"/>
      <c r="O331" s="47"/>
      <c r="P331" s="47"/>
      <c r="S331" s="18"/>
    </row>
    <row r="332" spans="1:19" s="19" customFormat="1" x14ac:dyDescent="0.2">
      <c r="A332" s="18"/>
      <c r="C332" s="44"/>
      <c r="D332" s="45"/>
      <c r="E332" s="45"/>
      <c r="F332" s="45"/>
      <c r="G332" s="45"/>
      <c r="H332" s="45"/>
      <c r="J332" s="18"/>
      <c r="L332" s="44"/>
      <c r="M332" s="45"/>
      <c r="N332" s="45"/>
      <c r="O332" s="45"/>
      <c r="P332" s="45"/>
      <c r="S332" s="18"/>
    </row>
    <row r="333" spans="1:19" s="19" customFormat="1" x14ac:dyDescent="0.2">
      <c r="A333" s="18"/>
      <c r="C333" s="46"/>
      <c r="D333" s="47"/>
      <c r="E333" s="47"/>
      <c r="F333" s="47"/>
      <c r="G333" s="47"/>
      <c r="H333" s="47"/>
      <c r="J333" s="18"/>
      <c r="L333" s="46"/>
      <c r="M333" s="47"/>
      <c r="N333" s="47"/>
      <c r="O333" s="47"/>
      <c r="P333" s="47"/>
      <c r="S333" s="18"/>
    </row>
    <row r="334" spans="1:19" s="19" customFormat="1" x14ac:dyDescent="0.2">
      <c r="A334" s="18"/>
      <c r="C334" s="44"/>
      <c r="D334" s="45"/>
      <c r="E334" s="45"/>
      <c r="F334" s="45"/>
      <c r="G334" s="45"/>
      <c r="H334" s="45"/>
      <c r="J334" s="18"/>
      <c r="L334" s="44"/>
      <c r="M334" s="45"/>
      <c r="N334" s="45"/>
      <c r="O334" s="45"/>
      <c r="P334" s="45"/>
      <c r="S334" s="18"/>
    </row>
    <row r="335" spans="1:19" s="19" customFormat="1" x14ac:dyDescent="0.2">
      <c r="A335" s="18"/>
      <c r="C335" s="46"/>
      <c r="D335" s="47"/>
      <c r="E335" s="47"/>
      <c r="F335" s="47"/>
      <c r="G335" s="47"/>
      <c r="H335" s="47"/>
      <c r="J335" s="18"/>
      <c r="L335" s="46"/>
      <c r="M335" s="47"/>
      <c r="N335" s="47"/>
      <c r="O335" s="47"/>
      <c r="P335" s="47"/>
      <c r="S335" s="18"/>
    </row>
    <row r="336" spans="1:19" s="19" customFormat="1" x14ac:dyDescent="0.2">
      <c r="A336" s="18"/>
      <c r="C336" s="44"/>
      <c r="D336" s="45"/>
      <c r="E336" s="45"/>
      <c r="F336" s="45"/>
      <c r="G336" s="45"/>
      <c r="H336" s="45"/>
      <c r="J336" s="18"/>
      <c r="L336" s="44"/>
      <c r="M336" s="45"/>
      <c r="N336" s="45"/>
      <c r="O336" s="45"/>
      <c r="P336" s="45"/>
      <c r="S336" s="18"/>
    </row>
    <row r="337" spans="1:19" s="19" customFormat="1" x14ac:dyDescent="0.2">
      <c r="A337" s="18"/>
      <c r="C337" s="46"/>
      <c r="D337" s="47"/>
      <c r="E337" s="47"/>
      <c r="F337" s="47"/>
      <c r="G337" s="47"/>
      <c r="H337" s="47"/>
      <c r="J337" s="18"/>
      <c r="L337" s="46"/>
      <c r="M337" s="47"/>
      <c r="N337" s="47"/>
      <c r="O337" s="47"/>
      <c r="P337" s="47"/>
      <c r="S337" s="18"/>
    </row>
    <row r="338" spans="1:19" s="19" customFormat="1" x14ac:dyDescent="0.2">
      <c r="A338" s="18"/>
      <c r="C338" s="44"/>
      <c r="D338" s="45"/>
      <c r="E338" s="45"/>
      <c r="F338" s="45"/>
      <c r="G338" s="45"/>
      <c r="H338" s="45"/>
      <c r="J338" s="18"/>
      <c r="L338" s="44"/>
      <c r="M338" s="45"/>
      <c r="N338" s="45"/>
      <c r="O338" s="45"/>
      <c r="P338" s="45"/>
      <c r="S338" s="18"/>
    </row>
    <row r="339" spans="1:19" s="19" customFormat="1" x14ac:dyDescent="0.2">
      <c r="A339" s="18"/>
      <c r="C339" s="46"/>
      <c r="D339" s="47"/>
      <c r="E339" s="47"/>
      <c r="F339" s="47"/>
      <c r="G339" s="47"/>
      <c r="H339" s="47"/>
      <c r="J339" s="18"/>
      <c r="L339" s="46"/>
      <c r="M339" s="47"/>
      <c r="N339" s="47"/>
      <c r="O339" s="47"/>
      <c r="P339" s="47"/>
      <c r="S339" s="18"/>
    </row>
    <row r="340" spans="1:19" s="19" customFormat="1" x14ac:dyDescent="0.2">
      <c r="A340" s="18"/>
      <c r="C340" s="44"/>
      <c r="D340" s="45"/>
      <c r="E340" s="45"/>
      <c r="F340" s="45"/>
      <c r="G340" s="45"/>
      <c r="H340" s="45"/>
      <c r="J340" s="18"/>
      <c r="L340" s="44"/>
      <c r="M340" s="45"/>
      <c r="N340" s="45"/>
      <c r="O340" s="45"/>
      <c r="P340" s="45"/>
      <c r="S340" s="18"/>
    </row>
    <row r="341" spans="1:19" s="19" customFormat="1" x14ac:dyDescent="0.2">
      <c r="A341" s="18"/>
      <c r="C341" s="46"/>
      <c r="D341" s="47"/>
      <c r="E341" s="47"/>
      <c r="F341" s="47"/>
      <c r="G341" s="47"/>
      <c r="H341" s="47"/>
      <c r="J341" s="18"/>
      <c r="L341" s="46"/>
      <c r="M341" s="47"/>
      <c r="N341" s="47"/>
      <c r="O341" s="47"/>
      <c r="P341" s="47"/>
      <c r="S341" s="18"/>
    </row>
    <row r="342" spans="1:19" s="19" customFormat="1" x14ac:dyDescent="0.2">
      <c r="A342" s="18"/>
      <c r="C342" s="44"/>
      <c r="D342" s="45"/>
      <c r="E342" s="45"/>
      <c r="F342" s="45"/>
      <c r="G342" s="45"/>
      <c r="H342" s="45"/>
      <c r="J342" s="18"/>
      <c r="L342" s="44"/>
      <c r="M342" s="45"/>
      <c r="N342" s="45"/>
      <c r="O342" s="45"/>
      <c r="P342" s="45"/>
      <c r="S342" s="18"/>
    </row>
    <row r="343" spans="1:19" s="19" customFormat="1" x14ac:dyDescent="0.2">
      <c r="A343" s="18"/>
      <c r="C343" s="46"/>
      <c r="D343" s="47"/>
      <c r="E343" s="47"/>
      <c r="F343" s="47"/>
      <c r="G343" s="47"/>
      <c r="H343" s="47"/>
      <c r="J343" s="18"/>
      <c r="L343" s="46"/>
      <c r="M343" s="47"/>
      <c r="N343" s="47"/>
      <c r="O343" s="47"/>
      <c r="P343" s="47"/>
      <c r="S343" s="18"/>
    </row>
    <row r="344" spans="1:19" s="19" customFormat="1" x14ac:dyDescent="0.2">
      <c r="A344" s="18"/>
      <c r="C344" s="44"/>
      <c r="D344" s="45"/>
      <c r="E344" s="45"/>
      <c r="F344" s="45"/>
      <c r="G344" s="45"/>
      <c r="H344" s="45"/>
      <c r="J344" s="18"/>
      <c r="L344" s="44"/>
      <c r="M344" s="45"/>
      <c r="N344" s="45"/>
      <c r="O344" s="45"/>
      <c r="P344" s="45"/>
      <c r="S344" s="18"/>
    </row>
    <row r="345" spans="1:19" s="19" customFormat="1" x14ac:dyDescent="0.2">
      <c r="A345" s="18"/>
      <c r="C345" s="46"/>
      <c r="D345" s="47"/>
      <c r="E345" s="47"/>
      <c r="F345" s="47"/>
      <c r="G345" s="47"/>
      <c r="H345" s="47"/>
      <c r="J345" s="18"/>
      <c r="L345" s="46"/>
      <c r="M345" s="47"/>
      <c r="N345" s="47"/>
      <c r="O345" s="47"/>
      <c r="P345" s="47"/>
      <c r="S345" s="18"/>
    </row>
    <row r="346" spans="1:19" s="19" customFormat="1" x14ac:dyDescent="0.2">
      <c r="A346" s="18"/>
      <c r="C346" s="44"/>
      <c r="D346" s="45"/>
      <c r="E346" s="45"/>
      <c r="F346" s="45"/>
      <c r="G346" s="45"/>
      <c r="H346" s="45"/>
      <c r="J346" s="18"/>
      <c r="L346" s="44"/>
      <c r="M346" s="45"/>
      <c r="N346" s="45"/>
      <c r="O346" s="45"/>
      <c r="P346" s="45"/>
      <c r="S346" s="18"/>
    </row>
    <row r="347" spans="1:19" s="19" customFormat="1" x14ac:dyDescent="0.2">
      <c r="A347" s="18"/>
      <c r="C347" s="46"/>
      <c r="D347" s="47"/>
      <c r="E347" s="47"/>
      <c r="F347" s="47"/>
      <c r="G347" s="47"/>
      <c r="H347" s="47"/>
      <c r="J347" s="18"/>
      <c r="L347" s="46"/>
      <c r="M347" s="47"/>
      <c r="N347" s="47"/>
      <c r="O347" s="47"/>
      <c r="P347" s="47"/>
      <c r="S347" s="18"/>
    </row>
    <row r="348" spans="1:19" s="19" customFormat="1" x14ac:dyDescent="0.2">
      <c r="A348" s="18"/>
      <c r="C348" s="44"/>
      <c r="D348" s="45"/>
      <c r="E348" s="45"/>
      <c r="F348" s="45"/>
      <c r="G348" s="45"/>
      <c r="H348" s="45"/>
      <c r="J348" s="18"/>
      <c r="L348" s="44"/>
      <c r="M348" s="45"/>
      <c r="N348" s="45"/>
      <c r="O348" s="45"/>
      <c r="P348" s="45"/>
      <c r="S348" s="18"/>
    </row>
    <row r="349" spans="1:19" s="19" customFormat="1" x14ac:dyDescent="0.2">
      <c r="A349" s="18"/>
      <c r="C349" s="46"/>
      <c r="D349" s="47"/>
      <c r="E349" s="47"/>
      <c r="F349" s="47"/>
      <c r="G349" s="47"/>
      <c r="H349" s="47"/>
      <c r="J349" s="18"/>
      <c r="L349" s="46"/>
      <c r="M349" s="47"/>
      <c r="N349" s="47"/>
      <c r="O349" s="47"/>
      <c r="P349" s="47"/>
      <c r="S349" s="18"/>
    </row>
    <row r="350" spans="1:19" s="19" customFormat="1" x14ac:dyDescent="0.2">
      <c r="A350" s="18"/>
      <c r="C350" s="44"/>
      <c r="D350" s="45"/>
      <c r="E350" s="45"/>
      <c r="F350" s="45"/>
      <c r="G350" s="45"/>
      <c r="H350" s="45"/>
      <c r="J350" s="18"/>
      <c r="L350" s="44"/>
      <c r="M350" s="45"/>
      <c r="N350" s="45"/>
      <c r="O350" s="45"/>
      <c r="P350" s="45"/>
      <c r="S350" s="18"/>
    </row>
    <row r="351" spans="1:19" s="19" customFormat="1" x14ac:dyDescent="0.2">
      <c r="A351" s="18"/>
      <c r="C351" s="46"/>
      <c r="D351" s="47"/>
      <c r="E351" s="47"/>
      <c r="F351" s="47"/>
      <c r="G351" s="47"/>
      <c r="H351" s="47"/>
      <c r="J351" s="18"/>
      <c r="L351" s="46"/>
      <c r="M351" s="47"/>
      <c r="N351" s="47"/>
      <c r="O351" s="47"/>
      <c r="P351" s="47"/>
      <c r="S351" s="18"/>
    </row>
    <row r="352" spans="1:19" s="19" customFormat="1" x14ac:dyDescent="0.2">
      <c r="A352" s="18"/>
      <c r="C352" s="44"/>
      <c r="D352" s="45"/>
      <c r="E352" s="45"/>
      <c r="F352" s="45"/>
      <c r="G352" s="45"/>
      <c r="H352" s="45"/>
      <c r="J352" s="18"/>
      <c r="L352" s="44"/>
      <c r="M352" s="45"/>
      <c r="N352" s="45"/>
      <c r="O352" s="45"/>
      <c r="P352" s="45"/>
      <c r="S352" s="18"/>
    </row>
    <row r="353" spans="1:19" s="19" customFormat="1" x14ac:dyDescent="0.2">
      <c r="A353" s="18"/>
      <c r="C353" s="46"/>
      <c r="D353" s="47"/>
      <c r="E353" s="47"/>
      <c r="F353" s="47"/>
      <c r="G353" s="47"/>
      <c r="H353" s="47"/>
      <c r="J353" s="18"/>
      <c r="L353" s="46"/>
      <c r="M353" s="47"/>
      <c r="N353" s="47"/>
      <c r="O353" s="47"/>
      <c r="P353" s="47"/>
      <c r="S353" s="18"/>
    </row>
    <row r="354" spans="1:19" s="19" customFormat="1" x14ac:dyDescent="0.2">
      <c r="A354" s="18"/>
      <c r="C354" s="44"/>
      <c r="D354" s="45"/>
      <c r="E354" s="45"/>
      <c r="F354" s="45"/>
      <c r="G354" s="45"/>
      <c r="H354" s="45"/>
      <c r="J354" s="18"/>
      <c r="L354" s="44"/>
      <c r="M354" s="45"/>
      <c r="N354" s="45"/>
      <c r="O354" s="45"/>
      <c r="P354" s="45"/>
      <c r="S354" s="18"/>
    </row>
    <row r="355" spans="1:19" s="19" customFormat="1" x14ac:dyDescent="0.2">
      <c r="A355" s="18"/>
      <c r="C355" s="46"/>
      <c r="D355" s="47"/>
      <c r="E355" s="47"/>
      <c r="F355" s="47"/>
      <c r="G355" s="47"/>
      <c r="H355" s="47"/>
      <c r="J355" s="18"/>
      <c r="L355" s="46"/>
      <c r="M355" s="47"/>
      <c r="N355" s="47"/>
      <c r="O355" s="47"/>
      <c r="P355" s="47"/>
      <c r="S355" s="18"/>
    </row>
    <row r="356" spans="1:19" s="19" customFormat="1" x14ac:dyDescent="0.2">
      <c r="A356" s="18"/>
      <c r="C356" s="44"/>
      <c r="D356" s="45"/>
      <c r="E356" s="45"/>
      <c r="F356" s="45"/>
      <c r="G356" s="45"/>
      <c r="H356" s="45"/>
      <c r="J356" s="18"/>
      <c r="L356" s="44"/>
      <c r="M356" s="45"/>
      <c r="N356" s="45"/>
      <c r="O356" s="45"/>
      <c r="P356" s="45"/>
      <c r="S356" s="18"/>
    </row>
    <row r="357" spans="1:19" s="19" customFormat="1" x14ac:dyDescent="0.2">
      <c r="A357" s="18"/>
      <c r="C357" s="46"/>
      <c r="D357" s="47"/>
      <c r="E357" s="47"/>
      <c r="F357" s="47"/>
      <c r="G357" s="47"/>
      <c r="H357" s="47"/>
      <c r="J357" s="18"/>
      <c r="L357" s="46"/>
      <c r="M357" s="47"/>
      <c r="N357" s="47"/>
      <c r="O357" s="47"/>
      <c r="P357" s="47"/>
      <c r="S357" s="18"/>
    </row>
    <row r="358" spans="1:19" s="19" customFormat="1" x14ac:dyDescent="0.2">
      <c r="A358" s="18"/>
      <c r="C358" s="44"/>
      <c r="D358" s="45"/>
      <c r="E358" s="45"/>
      <c r="F358" s="45"/>
      <c r="G358" s="45"/>
      <c r="H358" s="45"/>
      <c r="J358" s="18"/>
      <c r="L358" s="44"/>
      <c r="M358" s="45"/>
      <c r="N358" s="45"/>
      <c r="O358" s="45"/>
      <c r="P358" s="45"/>
      <c r="S358" s="18"/>
    </row>
    <row r="359" spans="1:19" s="19" customFormat="1" x14ac:dyDescent="0.2">
      <c r="A359" s="18"/>
      <c r="C359" s="46"/>
      <c r="D359" s="47"/>
      <c r="E359" s="47"/>
      <c r="F359" s="47"/>
      <c r="G359" s="47"/>
      <c r="H359" s="47"/>
      <c r="J359" s="18"/>
      <c r="L359" s="46"/>
      <c r="M359" s="47"/>
      <c r="N359" s="47"/>
      <c r="O359" s="47"/>
      <c r="P359" s="47"/>
      <c r="S359" s="18"/>
    </row>
    <row r="360" spans="1:19" s="19" customFormat="1" x14ac:dyDescent="0.2">
      <c r="A360" s="18"/>
      <c r="C360" s="44"/>
      <c r="D360" s="45"/>
      <c r="E360" s="45"/>
      <c r="F360" s="45"/>
      <c r="G360" s="45"/>
      <c r="H360" s="45"/>
      <c r="J360" s="18"/>
      <c r="L360" s="44"/>
      <c r="M360" s="45"/>
      <c r="N360" s="45"/>
      <c r="O360" s="45"/>
      <c r="P360" s="45"/>
      <c r="S360" s="18"/>
    </row>
    <row r="361" spans="1:19" s="19" customFormat="1" x14ac:dyDescent="0.2">
      <c r="A361" s="18"/>
      <c r="C361" s="46"/>
      <c r="D361" s="47"/>
      <c r="E361" s="47"/>
      <c r="F361" s="47"/>
      <c r="G361" s="47"/>
      <c r="H361" s="47"/>
      <c r="J361" s="18"/>
      <c r="L361" s="46"/>
      <c r="M361" s="47"/>
      <c r="N361" s="47"/>
      <c r="O361" s="47"/>
      <c r="P361" s="47"/>
      <c r="S361" s="18"/>
    </row>
    <row r="362" spans="1:19" s="19" customFormat="1" x14ac:dyDescent="0.2">
      <c r="A362" s="18"/>
      <c r="C362" s="44"/>
      <c r="D362" s="45"/>
      <c r="E362" s="45"/>
      <c r="F362" s="45"/>
      <c r="G362" s="45"/>
      <c r="H362" s="45"/>
      <c r="J362" s="18"/>
      <c r="L362" s="44"/>
      <c r="M362" s="45"/>
      <c r="N362" s="45"/>
      <c r="O362" s="45"/>
      <c r="P362" s="45"/>
      <c r="S362" s="18"/>
    </row>
    <row r="363" spans="1:19" s="19" customFormat="1" x14ac:dyDescent="0.2">
      <c r="A363" s="18"/>
      <c r="C363" s="46"/>
      <c r="D363" s="47"/>
      <c r="E363" s="47"/>
      <c r="F363" s="47"/>
      <c r="G363" s="47"/>
      <c r="H363" s="47"/>
      <c r="J363" s="18"/>
      <c r="L363" s="46"/>
      <c r="M363" s="47"/>
      <c r="N363" s="47"/>
      <c r="O363" s="47"/>
      <c r="P363" s="47"/>
      <c r="S363" s="18"/>
    </row>
    <row r="364" spans="1:19" s="19" customFormat="1" x14ac:dyDescent="0.2">
      <c r="A364" s="18"/>
      <c r="C364" s="44"/>
      <c r="D364" s="45"/>
      <c r="E364" s="45"/>
      <c r="F364" s="45"/>
      <c r="G364" s="45"/>
      <c r="H364" s="45"/>
      <c r="J364" s="18"/>
      <c r="L364" s="44"/>
      <c r="M364" s="45"/>
      <c r="N364" s="45"/>
      <c r="O364" s="45"/>
      <c r="P364" s="45"/>
      <c r="S364" s="18"/>
    </row>
    <row r="365" spans="1:19" s="19" customFormat="1" x14ac:dyDescent="0.2">
      <c r="A365" s="18"/>
      <c r="C365" s="46"/>
      <c r="D365" s="47"/>
      <c r="E365" s="47"/>
      <c r="F365" s="47"/>
      <c r="G365" s="47"/>
      <c r="H365" s="47"/>
      <c r="J365" s="18"/>
      <c r="L365" s="46"/>
      <c r="M365" s="47"/>
      <c r="N365" s="47"/>
      <c r="O365" s="47"/>
      <c r="P365" s="47"/>
      <c r="S365" s="18"/>
    </row>
    <row r="366" spans="1:19" s="19" customFormat="1" x14ac:dyDescent="0.2">
      <c r="A366" s="18"/>
      <c r="C366" s="44"/>
      <c r="D366" s="45"/>
      <c r="E366" s="45"/>
      <c r="F366" s="45"/>
      <c r="G366" s="45"/>
      <c r="H366" s="45"/>
      <c r="J366" s="18"/>
      <c r="L366" s="44"/>
      <c r="M366" s="45"/>
      <c r="N366" s="45"/>
      <c r="O366" s="45"/>
      <c r="P366" s="45"/>
      <c r="S366" s="18"/>
    </row>
    <row r="367" spans="1:19" s="19" customFormat="1" x14ac:dyDescent="0.2">
      <c r="A367" s="18"/>
      <c r="C367" s="46"/>
      <c r="D367" s="47"/>
      <c r="E367" s="47"/>
      <c r="F367" s="47"/>
      <c r="G367" s="47"/>
      <c r="H367" s="47"/>
      <c r="J367" s="18"/>
      <c r="L367" s="46"/>
      <c r="M367" s="47"/>
      <c r="N367" s="47"/>
      <c r="O367" s="47"/>
      <c r="P367" s="47"/>
      <c r="S367" s="18"/>
    </row>
    <row r="368" spans="1:19" s="19" customFormat="1" x14ac:dyDescent="0.2">
      <c r="A368" s="18"/>
      <c r="C368" s="44"/>
      <c r="D368" s="45"/>
      <c r="E368" s="45"/>
      <c r="F368" s="45"/>
      <c r="G368" s="45"/>
      <c r="H368" s="45"/>
      <c r="J368" s="18"/>
      <c r="L368" s="44"/>
      <c r="M368" s="45"/>
      <c r="N368" s="45"/>
      <c r="O368" s="45"/>
      <c r="P368" s="45"/>
      <c r="S368" s="18"/>
    </row>
    <row r="369" spans="1:19" s="19" customFormat="1" x14ac:dyDescent="0.2">
      <c r="A369" s="18"/>
      <c r="C369" s="46"/>
      <c r="D369" s="47"/>
      <c r="E369" s="47"/>
      <c r="F369" s="47"/>
      <c r="G369" s="47"/>
      <c r="H369" s="47"/>
      <c r="J369" s="18"/>
      <c r="L369" s="46"/>
      <c r="M369" s="47"/>
      <c r="N369" s="47"/>
      <c r="O369" s="47"/>
      <c r="P369" s="47"/>
      <c r="S369" s="18"/>
    </row>
    <row r="370" spans="1:19" s="19" customFormat="1" x14ac:dyDescent="0.2">
      <c r="A370" s="18"/>
      <c r="C370" s="44"/>
      <c r="D370" s="45"/>
      <c r="E370" s="45"/>
      <c r="F370" s="45"/>
      <c r="G370" s="45"/>
      <c r="H370" s="45"/>
      <c r="J370" s="18"/>
      <c r="L370" s="44"/>
      <c r="M370" s="45"/>
      <c r="N370" s="45"/>
      <c r="O370" s="45"/>
      <c r="P370" s="45"/>
      <c r="S370" s="18"/>
    </row>
    <row r="371" spans="1:19" s="19" customFormat="1" x14ac:dyDescent="0.2">
      <c r="A371" s="18"/>
      <c r="C371" s="46"/>
      <c r="D371" s="47"/>
      <c r="E371" s="47"/>
      <c r="F371" s="47"/>
      <c r="G371" s="47"/>
      <c r="H371" s="47"/>
      <c r="J371" s="18"/>
      <c r="L371" s="46"/>
      <c r="M371" s="47"/>
      <c r="N371" s="47"/>
      <c r="O371" s="47"/>
      <c r="P371" s="47"/>
      <c r="S371" s="18"/>
    </row>
    <row r="372" spans="1:19" s="19" customFormat="1" x14ac:dyDescent="0.2">
      <c r="A372" s="18"/>
      <c r="C372" s="44"/>
      <c r="D372" s="45"/>
      <c r="E372" s="45"/>
      <c r="F372" s="45"/>
      <c r="G372" s="45"/>
      <c r="H372" s="45"/>
      <c r="J372" s="18"/>
      <c r="L372" s="44"/>
      <c r="M372" s="45"/>
      <c r="N372" s="45"/>
      <c r="O372" s="45"/>
      <c r="P372" s="45"/>
      <c r="S372" s="18"/>
    </row>
    <row r="373" spans="1:19" s="19" customFormat="1" x14ac:dyDescent="0.2">
      <c r="A373" s="18"/>
      <c r="C373" s="46"/>
      <c r="D373" s="47"/>
      <c r="E373" s="47"/>
      <c r="F373" s="47"/>
      <c r="G373" s="47"/>
      <c r="H373" s="47"/>
      <c r="J373" s="18"/>
      <c r="L373" s="46"/>
      <c r="M373" s="47"/>
      <c r="N373" s="47"/>
      <c r="O373" s="47"/>
      <c r="P373" s="47"/>
      <c r="S373" s="18"/>
    </row>
    <row r="374" spans="1:19" s="19" customFormat="1" x14ac:dyDescent="0.2">
      <c r="A374" s="18"/>
      <c r="C374" s="44"/>
      <c r="D374" s="45"/>
      <c r="E374" s="45"/>
      <c r="F374" s="45"/>
      <c r="G374" s="45"/>
      <c r="H374" s="45"/>
      <c r="J374" s="18"/>
      <c r="L374" s="44"/>
      <c r="M374" s="45"/>
      <c r="N374" s="45"/>
      <c r="O374" s="45"/>
      <c r="P374" s="45"/>
      <c r="S374" s="18"/>
    </row>
    <row r="375" spans="1:19" s="19" customFormat="1" x14ac:dyDescent="0.2">
      <c r="A375" s="18"/>
      <c r="C375" s="46"/>
      <c r="D375" s="47"/>
      <c r="E375" s="47"/>
      <c r="F375" s="47"/>
      <c r="G375" s="47"/>
      <c r="H375" s="47"/>
      <c r="J375" s="18"/>
      <c r="L375" s="46"/>
      <c r="M375" s="47"/>
      <c r="N375" s="47"/>
      <c r="O375" s="47"/>
      <c r="P375" s="47"/>
      <c r="S375" s="18"/>
    </row>
    <row r="376" spans="1:19" s="19" customFormat="1" x14ac:dyDescent="0.2">
      <c r="A376" s="18"/>
      <c r="C376" s="44"/>
      <c r="D376" s="45"/>
      <c r="E376" s="45"/>
      <c r="F376" s="45"/>
      <c r="G376" s="45"/>
      <c r="H376" s="45"/>
      <c r="J376" s="18"/>
      <c r="L376" s="44"/>
      <c r="M376" s="45"/>
      <c r="N376" s="45"/>
      <c r="O376" s="45"/>
      <c r="P376" s="45"/>
      <c r="S376" s="18"/>
    </row>
    <row r="377" spans="1:19" s="19" customFormat="1" x14ac:dyDescent="0.2">
      <c r="A377" s="18"/>
      <c r="C377" s="46"/>
      <c r="D377" s="47"/>
      <c r="E377" s="47"/>
      <c r="F377" s="47"/>
      <c r="G377" s="47"/>
      <c r="H377" s="47"/>
      <c r="J377" s="18"/>
      <c r="L377" s="46"/>
      <c r="M377" s="47"/>
      <c r="N377" s="47"/>
      <c r="O377" s="47"/>
      <c r="P377" s="47"/>
      <c r="S377" s="18"/>
    </row>
    <row r="378" spans="1:19" s="19" customFormat="1" x14ac:dyDescent="0.2">
      <c r="A378" s="18"/>
      <c r="C378" s="44"/>
      <c r="D378" s="45"/>
      <c r="E378" s="45"/>
      <c r="F378" s="45"/>
      <c r="G378" s="45"/>
      <c r="H378" s="45"/>
      <c r="J378" s="18"/>
      <c r="L378" s="44"/>
      <c r="M378" s="45"/>
      <c r="N378" s="45"/>
      <c r="O378" s="45"/>
      <c r="P378" s="45"/>
      <c r="S378" s="18"/>
    </row>
    <row r="379" spans="1:19" s="19" customFormat="1" x14ac:dyDescent="0.2">
      <c r="A379" s="18"/>
      <c r="C379" s="46"/>
      <c r="D379" s="47"/>
      <c r="E379" s="47"/>
      <c r="F379" s="47"/>
      <c r="G379" s="47"/>
      <c r="H379" s="47"/>
      <c r="J379" s="18"/>
      <c r="L379" s="46"/>
      <c r="M379" s="47"/>
      <c r="N379" s="47"/>
      <c r="O379" s="47"/>
      <c r="P379" s="47"/>
      <c r="S379" s="18"/>
    </row>
    <row r="380" spans="1:19" s="19" customFormat="1" x14ac:dyDescent="0.2">
      <c r="A380" s="18"/>
      <c r="C380" s="44"/>
      <c r="D380" s="45"/>
      <c r="E380" s="45"/>
      <c r="F380" s="45"/>
      <c r="G380" s="45"/>
      <c r="H380" s="45"/>
      <c r="J380" s="18"/>
      <c r="L380" s="44"/>
      <c r="M380" s="45"/>
      <c r="N380" s="45"/>
      <c r="O380" s="45"/>
      <c r="P380" s="45"/>
      <c r="S380" s="18"/>
    </row>
    <row r="381" spans="1:19" s="19" customFormat="1" x14ac:dyDescent="0.2">
      <c r="A381" s="18"/>
      <c r="C381" s="46"/>
      <c r="D381" s="47"/>
      <c r="E381" s="47"/>
      <c r="F381" s="47"/>
      <c r="G381" s="47"/>
      <c r="H381" s="47"/>
      <c r="J381" s="18"/>
      <c r="L381" s="46"/>
      <c r="M381" s="47"/>
      <c r="N381" s="47"/>
      <c r="O381" s="47"/>
      <c r="P381" s="47"/>
      <c r="S381" s="18"/>
    </row>
    <row r="382" spans="1:19" s="19" customFormat="1" x14ac:dyDescent="0.2">
      <c r="A382" s="18"/>
      <c r="C382" s="44"/>
      <c r="D382" s="45"/>
      <c r="E382" s="45"/>
      <c r="F382" s="45"/>
      <c r="G382" s="45"/>
      <c r="H382" s="45"/>
      <c r="J382" s="18"/>
      <c r="L382" s="44"/>
      <c r="M382" s="45"/>
      <c r="N382" s="45"/>
      <c r="O382" s="45"/>
      <c r="P382" s="45"/>
      <c r="S382" s="18"/>
    </row>
    <row r="383" spans="1:19" s="19" customFormat="1" x14ac:dyDescent="0.2">
      <c r="A383" s="18"/>
      <c r="C383" s="46"/>
      <c r="D383" s="47"/>
      <c r="E383" s="47"/>
      <c r="F383" s="47"/>
      <c r="G383" s="47"/>
      <c r="H383" s="47"/>
      <c r="J383" s="18"/>
      <c r="L383" s="46"/>
      <c r="M383" s="47"/>
      <c r="N383" s="47"/>
      <c r="O383" s="47"/>
      <c r="P383" s="47"/>
      <c r="S383" s="18"/>
    </row>
    <row r="384" spans="1:19" s="19" customFormat="1" x14ac:dyDescent="0.2">
      <c r="A384" s="18"/>
      <c r="C384" s="44"/>
      <c r="D384" s="45"/>
      <c r="E384" s="45"/>
      <c r="F384" s="45"/>
      <c r="G384" s="45"/>
      <c r="H384" s="45"/>
      <c r="J384" s="18"/>
      <c r="L384" s="44"/>
      <c r="M384" s="45"/>
      <c r="N384" s="45"/>
      <c r="O384" s="45"/>
      <c r="P384" s="45"/>
      <c r="S384" s="18"/>
    </row>
    <row r="385" spans="1:19" s="19" customFormat="1" x14ac:dyDescent="0.2">
      <c r="A385" s="18"/>
      <c r="C385" s="46"/>
      <c r="D385" s="47"/>
      <c r="E385" s="47"/>
      <c r="F385" s="47"/>
      <c r="G385" s="47"/>
      <c r="H385" s="47"/>
      <c r="J385" s="18"/>
      <c r="L385" s="46"/>
      <c r="M385" s="47"/>
      <c r="N385" s="47"/>
      <c r="O385" s="47"/>
      <c r="P385" s="47"/>
      <c r="S385" s="18"/>
    </row>
    <row r="386" spans="1:19" s="19" customFormat="1" x14ac:dyDescent="0.2">
      <c r="A386" s="18"/>
      <c r="C386" s="44"/>
      <c r="D386" s="45"/>
      <c r="E386" s="45"/>
      <c r="F386" s="45"/>
      <c r="G386" s="45"/>
      <c r="H386" s="45"/>
      <c r="J386" s="18"/>
      <c r="L386" s="44"/>
      <c r="M386" s="45"/>
      <c r="N386" s="45"/>
      <c r="O386" s="45"/>
      <c r="P386" s="45"/>
      <c r="S386" s="18"/>
    </row>
    <row r="387" spans="1:19" s="19" customFormat="1" x14ac:dyDescent="0.2">
      <c r="A387" s="18"/>
      <c r="C387" s="46"/>
      <c r="D387" s="47"/>
      <c r="E387" s="47"/>
      <c r="F387" s="47"/>
      <c r="G387" s="47"/>
      <c r="H387" s="47"/>
      <c r="J387" s="18"/>
      <c r="L387" s="46"/>
      <c r="M387" s="47"/>
      <c r="N387" s="47"/>
      <c r="O387" s="47"/>
      <c r="P387" s="47"/>
      <c r="S387" s="18"/>
    </row>
    <row r="388" spans="1:19" s="19" customFormat="1" x14ac:dyDescent="0.2">
      <c r="A388" s="18"/>
      <c r="C388" s="44"/>
      <c r="D388" s="45"/>
      <c r="E388" s="45"/>
      <c r="F388" s="45"/>
      <c r="G388" s="45"/>
      <c r="H388" s="45"/>
      <c r="J388" s="18"/>
      <c r="L388" s="44"/>
      <c r="M388" s="45"/>
      <c r="N388" s="45"/>
      <c r="O388" s="45"/>
      <c r="P388" s="45"/>
      <c r="S388" s="18"/>
    </row>
    <row r="389" spans="1:19" s="19" customFormat="1" x14ac:dyDescent="0.2">
      <c r="A389" s="18"/>
      <c r="C389" s="46"/>
      <c r="D389" s="47"/>
      <c r="E389" s="47"/>
      <c r="F389" s="47"/>
      <c r="G389" s="47"/>
      <c r="H389" s="47"/>
      <c r="J389" s="18"/>
      <c r="L389" s="46"/>
      <c r="M389" s="47"/>
      <c r="N389" s="47"/>
      <c r="O389" s="47"/>
      <c r="P389" s="47"/>
      <c r="S389" s="18"/>
    </row>
    <row r="390" spans="1:19" s="19" customFormat="1" x14ac:dyDescent="0.2">
      <c r="A390" s="18"/>
      <c r="C390" s="44"/>
      <c r="D390" s="45"/>
      <c r="E390" s="45"/>
      <c r="F390" s="45"/>
      <c r="G390" s="45"/>
      <c r="H390" s="45"/>
      <c r="J390" s="18"/>
      <c r="L390" s="44"/>
      <c r="M390" s="45"/>
      <c r="N390" s="45"/>
      <c r="O390" s="45"/>
      <c r="P390" s="45"/>
      <c r="S390" s="18"/>
    </row>
    <row r="391" spans="1:19" s="19" customFormat="1" x14ac:dyDescent="0.2">
      <c r="A391" s="18"/>
      <c r="C391" s="46"/>
      <c r="D391" s="47"/>
      <c r="E391" s="47"/>
      <c r="F391" s="47"/>
      <c r="G391" s="47"/>
      <c r="H391" s="47"/>
      <c r="J391" s="18"/>
      <c r="L391" s="46"/>
      <c r="M391" s="47"/>
      <c r="N391" s="47"/>
      <c r="O391" s="47"/>
      <c r="P391" s="47"/>
      <c r="S391" s="18"/>
    </row>
    <row r="392" spans="1:19" s="19" customFormat="1" x14ac:dyDescent="0.2">
      <c r="A392" s="18"/>
      <c r="C392" s="44"/>
      <c r="D392" s="45"/>
      <c r="E392" s="45"/>
      <c r="F392" s="45"/>
      <c r="G392" s="45"/>
      <c r="H392" s="45"/>
      <c r="J392" s="18"/>
      <c r="L392" s="44"/>
      <c r="M392" s="45"/>
      <c r="N392" s="45"/>
      <c r="O392" s="45"/>
      <c r="P392" s="45"/>
      <c r="S392" s="18"/>
    </row>
    <row r="393" spans="1:19" s="19" customFormat="1" x14ac:dyDescent="0.2">
      <c r="A393" s="18"/>
      <c r="C393" s="46"/>
      <c r="D393" s="47"/>
      <c r="E393" s="47"/>
      <c r="F393" s="47"/>
      <c r="G393" s="47"/>
      <c r="H393" s="47"/>
      <c r="J393" s="18"/>
      <c r="L393" s="46"/>
      <c r="M393" s="47"/>
      <c r="N393" s="47"/>
      <c r="O393" s="47"/>
      <c r="P393" s="47"/>
      <c r="S393" s="18"/>
    </row>
    <row r="394" spans="1:19" s="19" customFormat="1" x14ac:dyDescent="0.2">
      <c r="A394" s="18"/>
      <c r="C394" s="44"/>
      <c r="D394" s="45"/>
      <c r="E394" s="45"/>
      <c r="F394" s="45"/>
      <c r="G394" s="45"/>
      <c r="H394" s="45"/>
      <c r="J394" s="18"/>
      <c r="L394" s="44"/>
      <c r="M394" s="45"/>
      <c r="N394" s="45"/>
      <c r="O394" s="45"/>
      <c r="P394" s="45"/>
      <c r="S394" s="18"/>
    </row>
    <row r="395" spans="1:19" s="19" customFormat="1" x14ac:dyDescent="0.2">
      <c r="A395" s="18"/>
      <c r="C395" s="46"/>
      <c r="D395" s="47"/>
      <c r="E395" s="47"/>
      <c r="F395" s="47"/>
      <c r="G395" s="47"/>
      <c r="H395" s="47"/>
      <c r="J395" s="18"/>
      <c r="L395" s="46"/>
      <c r="M395" s="47"/>
      <c r="N395" s="47"/>
      <c r="O395" s="47"/>
      <c r="P395" s="47"/>
      <c r="S395" s="18"/>
    </row>
    <row r="396" spans="1:19" s="19" customFormat="1" x14ac:dyDescent="0.2">
      <c r="A396" s="18"/>
      <c r="C396" s="44"/>
      <c r="D396" s="45"/>
      <c r="E396" s="45"/>
      <c r="F396" s="45"/>
      <c r="G396" s="45"/>
      <c r="H396" s="45"/>
      <c r="J396" s="18"/>
      <c r="L396" s="44"/>
      <c r="M396" s="45"/>
      <c r="N396" s="45"/>
      <c r="O396" s="45"/>
      <c r="P396" s="45"/>
      <c r="S396" s="18"/>
    </row>
    <row r="397" spans="1:19" s="19" customFormat="1" x14ac:dyDescent="0.2">
      <c r="A397" s="18"/>
      <c r="C397" s="46"/>
      <c r="D397" s="47"/>
      <c r="E397" s="47"/>
      <c r="F397" s="47"/>
      <c r="G397" s="47"/>
      <c r="H397" s="47"/>
      <c r="J397" s="18"/>
      <c r="L397" s="46"/>
      <c r="M397" s="47"/>
      <c r="N397" s="47"/>
      <c r="O397" s="47"/>
      <c r="P397" s="47"/>
      <c r="S397" s="18"/>
    </row>
    <row r="398" spans="1:19" s="19" customFormat="1" x14ac:dyDescent="0.2">
      <c r="A398" s="18"/>
      <c r="C398" s="44"/>
      <c r="D398" s="45"/>
      <c r="E398" s="45"/>
      <c r="F398" s="45"/>
      <c r="G398" s="45"/>
      <c r="H398" s="45"/>
      <c r="J398" s="18"/>
      <c r="L398" s="44"/>
      <c r="M398" s="45"/>
      <c r="N398" s="45"/>
      <c r="O398" s="45"/>
      <c r="P398" s="45"/>
      <c r="S398" s="18"/>
    </row>
    <row r="399" spans="1:19" s="19" customFormat="1" x14ac:dyDescent="0.2">
      <c r="A399" s="18"/>
      <c r="C399" s="46"/>
      <c r="D399" s="47"/>
      <c r="E399" s="47"/>
      <c r="F399" s="47"/>
      <c r="G399" s="47"/>
      <c r="H399" s="47"/>
      <c r="J399" s="18"/>
      <c r="L399" s="46"/>
      <c r="M399" s="47"/>
      <c r="N399" s="47"/>
      <c r="O399" s="47"/>
      <c r="P399" s="47"/>
      <c r="S399" s="18"/>
    </row>
    <row r="400" spans="1:19" s="19" customFormat="1" x14ac:dyDescent="0.2">
      <c r="A400" s="18"/>
      <c r="C400" s="44"/>
      <c r="D400" s="45"/>
      <c r="E400" s="45"/>
      <c r="F400" s="45"/>
      <c r="G400" s="45"/>
      <c r="H400" s="45"/>
      <c r="J400" s="18"/>
      <c r="L400" s="44"/>
      <c r="M400" s="45"/>
      <c r="N400" s="45"/>
      <c r="O400" s="45"/>
      <c r="P400" s="45"/>
      <c r="S400" s="18"/>
    </row>
    <row r="401" spans="1:19" s="19" customFormat="1" x14ac:dyDescent="0.2">
      <c r="A401" s="18"/>
      <c r="C401" s="46"/>
      <c r="D401" s="47"/>
      <c r="E401" s="47"/>
      <c r="F401" s="47"/>
      <c r="G401" s="47"/>
      <c r="H401" s="47"/>
      <c r="J401" s="18"/>
      <c r="L401" s="46"/>
      <c r="M401" s="47"/>
      <c r="N401" s="47"/>
      <c r="O401" s="47"/>
      <c r="P401" s="47"/>
      <c r="S401" s="18"/>
    </row>
    <row r="402" spans="1:19" s="19" customFormat="1" x14ac:dyDescent="0.2">
      <c r="A402" s="18"/>
      <c r="C402" s="44"/>
      <c r="D402" s="45"/>
      <c r="E402" s="45"/>
      <c r="F402" s="45"/>
      <c r="G402" s="45"/>
      <c r="H402" s="45"/>
      <c r="J402" s="18"/>
      <c r="L402" s="44"/>
      <c r="M402" s="45"/>
      <c r="N402" s="45"/>
      <c r="O402" s="45"/>
      <c r="P402" s="45"/>
      <c r="S402" s="18"/>
    </row>
    <row r="403" spans="1:19" s="19" customFormat="1" x14ac:dyDescent="0.2">
      <c r="A403" s="18"/>
      <c r="C403" s="46"/>
      <c r="D403" s="47"/>
      <c r="E403" s="47"/>
      <c r="F403" s="47"/>
      <c r="G403" s="47"/>
      <c r="H403" s="47"/>
      <c r="J403" s="18"/>
      <c r="L403" s="46"/>
      <c r="M403" s="47"/>
      <c r="N403" s="47"/>
      <c r="O403" s="47"/>
      <c r="P403" s="47"/>
      <c r="S403" s="18"/>
    </row>
    <row r="404" spans="1:19" s="19" customFormat="1" x14ac:dyDescent="0.2">
      <c r="A404" s="18"/>
      <c r="C404" s="44"/>
      <c r="D404" s="45"/>
      <c r="E404" s="45"/>
      <c r="F404" s="45"/>
      <c r="G404" s="45"/>
      <c r="H404" s="45"/>
      <c r="J404" s="18"/>
      <c r="L404" s="44"/>
      <c r="M404" s="45"/>
      <c r="N404" s="45"/>
      <c r="O404" s="45"/>
      <c r="P404" s="45"/>
      <c r="S404" s="18"/>
    </row>
    <row r="405" spans="1:19" s="19" customFormat="1" x14ac:dyDescent="0.2">
      <c r="A405" s="18"/>
      <c r="C405" s="46"/>
      <c r="D405" s="47"/>
      <c r="E405" s="47"/>
      <c r="F405" s="47"/>
      <c r="G405" s="47"/>
      <c r="H405" s="47"/>
      <c r="J405" s="18"/>
      <c r="L405" s="46"/>
      <c r="M405" s="47"/>
      <c r="N405" s="47"/>
      <c r="O405" s="47"/>
      <c r="P405" s="47"/>
      <c r="S405" s="18"/>
    </row>
    <row r="406" spans="1:19" s="19" customFormat="1" x14ac:dyDescent="0.2">
      <c r="A406" s="18"/>
      <c r="C406" s="44"/>
      <c r="D406" s="45"/>
      <c r="E406" s="45"/>
      <c r="F406" s="45"/>
      <c r="G406" s="45"/>
      <c r="H406" s="45"/>
      <c r="J406" s="18"/>
      <c r="L406" s="44"/>
      <c r="M406" s="45"/>
      <c r="N406" s="45"/>
      <c r="O406" s="45"/>
      <c r="P406" s="45"/>
      <c r="S406" s="18"/>
    </row>
    <row r="407" spans="1:19" s="19" customFormat="1" x14ac:dyDescent="0.2">
      <c r="A407" s="18"/>
      <c r="C407" s="46"/>
      <c r="D407" s="47"/>
      <c r="E407" s="47"/>
      <c r="F407" s="47"/>
      <c r="G407" s="47"/>
      <c r="H407" s="47"/>
      <c r="J407" s="18"/>
      <c r="L407" s="46"/>
      <c r="M407" s="47"/>
      <c r="N407" s="47"/>
      <c r="O407" s="47"/>
      <c r="P407" s="47"/>
      <c r="S407" s="18"/>
    </row>
    <row r="408" spans="1:19" s="19" customFormat="1" x14ac:dyDescent="0.2">
      <c r="A408" s="18"/>
      <c r="C408" s="44"/>
      <c r="D408" s="45"/>
      <c r="E408" s="45"/>
      <c r="F408" s="45"/>
      <c r="G408" s="45"/>
      <c r="H408" s="45"/>
      <c r="J408" s="18"/>
      <c r="L408" s="44"/>
      <c r="M408" s="45"/>
      <c r="N408" s="45"/>
      <c r="O408" s="45"/>
      <c r="P408" s="45"/>
      <c r="S408" s="18"/>
    </row>
    <row r="409" spans="1:19" s="19" customFormat="1" x14ac:dyDescent="0.2">
      <c r="A409" s="18"/>
      <c r="C409" s="46"/>
      <c r="D409" s="47"/>
      <c r="E409" s="47"/>
      <c r="F409" s="47"/>
      <c r="G409" s="47"/>
      <c r="H409" s="47"/>
      <c r="J409" s="18"/>
      <c r="L409" s="46"/>
      <c r="M409" s="47"/>
      <c r="N409" s="47"/>
      <c r="O409" s="47"/>
      <c r="P409" s="47"/>
      <c r="S409" s="18"/>
    </row>
    <row r="410" spans="1:19" s="19" customFormat="1" x14ac:dyDescent="0.2">
      <c r="A410" s="18"/>
      <c r="C410" s="44"/>
      <c r="D410" s="45"/>
      <c r="E410" s="45"/>
      <c r="F410" s="45"/>
      <c r="G410" s="45"/>
      <c r="H410" s="45"/>
      <c r="J410" s="18"/>
      <c r="L410" s="44"/>
      <c r="M410" s="45"/>
      <c r="N410" s="45"/>
      <c r="O410" s="45"/>
      <c r="P410" s="45"/>
      <c r="S410" s="18"/>
    </row>
    <row r="411" spans="1:19" s="19" customFormat="1" x14ac:dyDescent="0.2">
      <c r="A411" s="18"/>
      <c r="C411" s="46"/>
      <c r="D411" s="47"/>
      <c r="E411" s="47"/>
      <c r="F411" s="47"/>
      <c r="G411" s="47"/>
      <c r="H411" s="47"/>
      <c r="J411" s="18"/>
      <c r="L411" s="46"/>
      <c r="M411" s="47"/>
      <c r="N411" s="47"/>
      <c r="O411" s="47"/>
      <c r="P411" s="47"/>
      <c r="S411" s="18"/>
    </row>
    <row r="412" spans="1:19" s="19" customFormat="1" x14ac:dyDescent="0.2">
      <c r="A412" s="18"/>
      <c r="C412" s="44"/>
      <c r="D412" s="45"/>
      <c r="E412" s="45"/>
      <c r="F412" s="45"/>
      <c r="G412" s="45"/>
      <c r="H412" s="45"/>
      <c r="J412" s="18"/>
      <c r="L412" s="44"/>
      <c r="M412" s="45"/>
      <c r="N412" s="45"/>
      <c r="O412" s="45"/>
      <c r="P412" s="45"/>
      <c r="S412" s="18"/>
    </row>
    <row r="413" spans="1:19" s="19" customFormat="1" x14ac:dyDescent="0.2">
      <c r="A413" s="18"/>
      <c r="C413" s="46"/>
      <c r="D413" s="47"/>
      <c r="E413" s="47"/>
      <c r="F413" s="47"/>
      <c r="G413" s="47"/>
      <c r="H413" s="47"/>
      <c r="J413" s="18"/>
      <c r="L413" s="46"/>
      <c r="M413" s="47"/>
      <c r="N413" s="47"/>
      <c r="O413" s="47"/>
      <c r="P413" s="47"/>
      <c r="S413" s="18"/>
    </row>
    <row r="414" spans="1:19" s="19" customFormat="1" x14ac:dyDescent="0.2">
      <c r="A414" s="18"/>
      <c r="C414" s="44"/>
      <c r="D414" s="45"/>
      <c r="E414" s="45"/>
      <c r="F414" s="45"/>
      <c r="G414" s="45"/>
      <c r="H414" s="45"/>
      <c r="J414" s="18"/>
      <c r="L414" s="44"/>
      <c r="M414" s="45"/>
      <c r="N414" s="45"/>
      <c r="O414" s="45"/>
      <c r="P414" s="45"/>
      <c r="S414" s="18"/>
    </row>
    <row r="415" spans="1:19" s="19" customFormat="1" x14ac:dyDescent="0.2">
      <c r="A415" s="18"/>
      <c r="C415" s="46"/>
      <c r="D415" s="47"/>
      <c r="E415" s="47"/>
      <c r="F415" s="47"/>
      <c r="G415" s="47"/>
      <c r="H415" s="47"/>
      <c r="J415" s="18"/>
      <c r="L415" s="46"/>
      <c r="M415" s="47"/>
      <c r="N415" s="47"/>
      <c r="O415" s="47"/>
      <c r="P415" s="47"/>
      <c r="S415" s="18"/>
    </row>
    <row r="416" spans="1:19" s="19" customFormat="1" x14ac:dyDescent="0.2">
      <c r="A416" s="18"/>
      <c r="C416" s="44"/>
      <c r="D416" s="45"/>
      <c r="E416" s="45"/>
      <c r="F416" s="45"/>
      <c r="G416" s="45"/>
      <c r="H416" s="45"/>
      <c r="J416" s="18"/>
      <c r="L416" s="44"/>
      <c r="M416" s="45"/>
      <c r="N416" s="45"/>
      <c r="O416" s="45"/>
      <c r="P416" s="45"/>
      <c r="S416" s="18"/>
    </row>
    <row r="417" spans="1:19" s="19" customFormat="1" x14ac:dyDescent="0.2">
      <c r="A417" s="18"/>
      <c r="C417" s="46"/>
      <c r="D417" s="47"/>
      <c r="E417" s="47"/>
      <c r="F417" s="47"/>
      <c r="G417" s="47"/>
      <c r="H417" s="47"/>
      <c r="J417" s="18"/>
      <c r="L417" s="46"/>
      <c r="M417" s="47"/>
      <c r="N417" s="47"/>
      <c r="O417" s="47"/>
      <c r="P417" s="47"/>
      <c r="S417" s="18"/>
    </row>
    <row r="418" spans="1:19" s="19" customFormat="1" x14ac:dyDescent="0.2">
      <c r="A418" s="18"/>
      <c r="C418" s="44"/>
      <c r="D418" s="45"/>
      <c r="E418" s="45"/>
      <c r="F418" s="45"/>
      <c r="G418" s="45"/>
      <c r="H418" s="45"/>
      <c r="J418" s="18"/>
      <c r="L418" s="44"/>
      <c r="M418" s="45"/>
      <c r="N418" s="45"/>
      <c r="O418" s="45"/>
      <c r="P418" s="45"/>
      <c r="S418" s="18"/>
    </row>
    <row r="419" spans="1:19" s="19" customFormat="1" x14ac:dyDescent="0.2">
      <c r="A419" s="18"/>
      <c r="C419" s="46"/>
      <c r="D419" s="47"/>
      <c r="E419" s="47"/>
      <c r="F419" s="47"/>
      <c r="G419" s="47"/>
      <c r="H419" s="47"/>
      <c r="J419" s="18"/>
      <c r="L419" s="46"/>
      <c r="M419" s="47"/>
      <c r="N419" s="47"/>
      <c r="O419" s="47"/>
      <c r="P419" s="47"/>
      <c r="S419" s="18"/>
    </row>
    <row r="420" spans="1:19" s="19" customFormat="1" x14ac:dyDescent="0.2">
      <c r="A420" s="18"/>
      <c r="C420" s="44"/>
      <c r="D420" s="45"/>
      <c r="E420" s="45"/>
      <c r="F420" s="45"/>
      <c r="G420" s="45"/>
      <c r="H420" s="45"/>
      <c r="J420" s="18"/>
      <c r="L420" s="44"/>
      <c r="M420" s="45"/>
      <c r="N420" s="45"/>
      <c r="O420" s="45"/>
      <c r="P420" s="45"/>
      <c r="S420" s="18"/>
    </row>
    <row r="421" spans="1:19" s="19" customFormat="1" x14ac:dyDescent="0.2">
      <c r="A421" s="18"/>
      <c r="C421" s="46"/>
      <c r="D421" s="47"/>
      <c r="E421" s="47"/>
      <c r="F421" s="47"/>
      <c r="G421" s="47"/>
      <c r="H421" s="47"/>
      <c r="J421" s="18"/>
      <c r="L421" s="46"/>
      <c r="M421" s="47"/>
      <c r="N421" s="47"/>
      <c r="O421" s="47"/>
      <c r="P421" s="47"/>
      <c r="S421" s="18"/>
    </row>
    <row r="422" spans="1:19" s="19" customFormat="1" x14ac:dyDescent="0.2">
      <c r="A422" s="18"/>
      <c r="C422" s="44"/>
      <c r="D422" s="45"/>
      <c r="E422" s="45"/>
      <c r="F422" s="45"/>
      <c r="G422" s="45"/>
      <c r="H422" s="45"/>
      <c r="J422" s="18"/>
      <c r="L422" s="44"/>
      <c r="M422" s="45"/>
      <c r="N422" s="45"/>
      <c r="O422" s="45"/>
      <c r="P422" s="45"/>
      <c r="S422" s="18"/>
    </row>
    <row r="423" spans="1:19" s="19" customFormat="1" x14ac:dyDescent="0.2">
      <c r="A423" s="18"/>
      <c r="C423" s="46"/>
      <c r="D423" s="47"/>
      <c r="E423" s="47"/>
      <c r="F423" s="47"/>
      <c r="G423" s="47"/>
      <c r="H423" s="47"/>
      <c r="J423" s="18"/>
      <c r="L423" s="46"/>
      <c r="M423" s="47"/>
      <c r="N423" s="47"/>
      <c r="O423" s="47"/>
      <c r="P423" s="47"/>
      <c r="S423" s="18"/>
    </row>
    <row r="424" spans="1:19" s="19" customFormat="1" x14ac:dyDescent="0.2">
      <c r="A424" s="18"/>
      <c r="C424" s="44"/>
      <c r="D424" s="45"/>
      <c r="E424" s="45"/>
      <c r="F424" s="45"/>
      <c r="G424" s="45"/>
      <c r="H424" s="45"/>
      <c r="J424" s="18"/>
      <c r="L424" s="44"/>
      <c r="M424" s="45"/>
      <c r="N424" s="45"/>
      <c r="O424" s="45"/>
      <c r="P424" s="45"/>
      <c r="S424" s="18"/>
    </row>
    <row r="425" spans="1:19" s="19" customFormat="1" x14ac:dyDescent="0.2">
      <c r="A425" s="18"/>
      <c r="C425" s="46"/>
      <c r="D425" s="47"/>
      <c r="E425" s="47"/>
      <c r="F425" s="47"/>
      <c r="G425" s="47"/>
      <c r="H425" s="47"/>
      <c r="J425" s="18"/>
      <c r="L425" s="46"/>
      <c r="M425" s="47"/>
      <c r="N425" s="47"/>
      <c r="O425" s="47"/>
      <c r="P425" s="47"/>
      <c r="S425" s="18"/>
    </row>
    <row r="426" spans="1:19" s="19" customFormat="1" x14ac:dyDescent="0.2">
      <c r="A426" s="18"/>
      <c r="C426" s="44"/>
      <c r="D426" s="45"/>
      <c r="E426" s="45"/>
      <c r="F426" s="45"/>
      <c r="G426" s="45"/>
      <c r="H426" s="45"/>
      <c r="J426" s="18"/>
      <c r="L426" s="44"/>
      <c r="M426" s="45"/>
      <c r="N426" s="45"/>
      <c r="O426" s="45"/>
      <c r="P426" s="45"/>
      <c r="S426" s="18"/>
    </row>
    <row r="427" spans="1:19" s="19" customFormat="1" x14ac:dyDescent="0.2">
      <c r="A427" s="18"/>
      <c r="C427" s="46"/>
      <c r="D427" s="47"/>
      <c r="E427" s="47"/>
      <c r="F427" s="47"/>
      <c r="G427" s="47"/>
      <c r="H427" s="47"/>
      <c r="J427" s="18"/>
      <c r="L427" s="46"/>
      <c r="M427" s="47"/>
      <c r="N427" s="47"/>
      <c r="O427" s="47"/>
      <c r="P427" s="47"/>
      <c r="S427" s="18"/>
    </row>
    <row r="428" spans="1:19" s="19" customFormat="1" x14ac:dyDescent="0.2">
      <c r="A428" s="18"/>
      <c r="C428" s="44"/>
      <c r="D428" s="45"/>
      <c r="E428" s="45"/>
      <c r="F428" s="45"/>
      <c r="G428" s="45"/>
      <c r="H428" s="45"/>
      <c r="J428" s="18"/>
      <c r="L428" s="44"/>
      <c r="M428" s="45"/>
      <c r="N428" s="45"/>
      <c r="O428" s="45"/>
      <c r="P428" s="45"/>
      <c r="S428" s="18"/>
    </row>
    <row r="429" spans="1:19" s="19" customFormat="1" x14ac:dyDescent="0.2">
      <c r="A429" s="18"/>
      <c r="C429" s="46"/>
      <c r="D429" s="47"/>
      <c r="E429" s="47"/>
      <c r="F429" s="47"/>
      <c r="G429" s="47"/>
      <c r="H429" s="47"/>
      <c r="J429" s="18"/>
      <c r="L429" s="46"/>
      <c r="M429" s="47"/>
      <c r="N429" s="47"/>
      <c r="O429" s="47"/>
      <c r="P429" s="47"/>
      <c r="S429" s="18"/>
    </row>
    <row r="430" spans="1:19" s="19" customFormat="1" x14ac:dyDescent="0.2">
      <c r="A430" s="18"/>
      <c r="C430" s="44"/>
      <c r="D430" s="45"/>
      <c r="E430" s="45"/>
      <c r="F430" s="45"/>
      <c r="G430" s="45"/>
      <c r="H430" s="45"/>
      <c r="J430" s="18"/>
      <c r="L430" s="44"/>
      <c r="M430" s="45"/>
      <c r="N430" s="45"/>
      <c r="O430" s="45"/>
      <c r="P430" s="45"/>
      <c r="S430" s="18"/>
    </row>
    <row r="431" spans="1:19" s="19" customFormat="1" x14ac:dyDescent="0.2">
      <c r="A431" s="18"/>
      <c r="C431" s="46"/>
      <c r="D431" s="47"/>
      <c r="E431" s="47"/>
      <c r="F431" s="47"/>
      <c r="G431" s="47"/>
      <c r="H431" s="47"/>
      <c r="J431" s="18"/>
      <c r="L431" s="46"/>
      <c r="M431" s="47"/>
      <c r="N431" s="47"/>
      <c r="O431" s="47"/>
      <c r="P431" s="47"/>
      <c r="S431" s="18"/>
    </row>
    <row r="432" spans="1:19" s="19" customFormat="1" x14ac:dyDescent="0.2">
      <c r="A432" s="18"/>
      <c r="C432" s="44"/>
      <c r="D432" s="45"/>
      <c r="E432" s="45"/>
      <c r="F432" s="45"/>
      <c r="G432" s="45"/>
      <c r="H432" s="45"/>
      <c r="J432" s="18"/>
      <c r="L432" s="44"/>
      <c r="M432" s="45"/>
      <c r="N432" s="45"/>
      <c r="O432" s="45"/>
      <c r="P432" s="45"/>
      <c r="S432" s="18"/>
    </row>
    <row r="433" spans="1:19" s="19" customFormat="1" x14ac:dyDescent="0.2">
      <c r="A433" s="18"/>
      <c r="C433" s="46"/>
      <c r="D433" s="47"/>
      <c r="E433" s="47"/>
      <c r="F433" s="47"/>
      <c r="G433" s="47"/>
      <c r="H433" s="47"/>
      <c r="J433" s="18"/>
      <c r="L433" s="46"/>
      <c r="M433" s="47"/>
      <c r="N433" s="47"/>
      <c r="O433" s="47"/>
      <c r="P433" s="47"/>
      <c r="S433" s="18"/>
    </row>
    <row r="434" spans="1:19" s="19" customFormat="1" x14ac:dyDescent="0.2">
      <c r="A434" s="18"/>
      <c r="C434" s="44"/>
      <c r="D434" s="45"/>
      <c r="E434" s="45"/>
      <c r="F434" s="45"/>
      <c r="G434" s="45"/>
      <c r="H434" s="45"/>
      <c r="J434" s="18"/>
      <c r="L434" s="44"/>
      <c r="M434" s="45"/>
      <c r="N434" s="45"/>
      <c r="O434" s="45"/>
      <c r="P434" s="45"/>
      <c r="S434" s="18"/>
    </row>
    <row r="435" spans="1:19" s="19" customFormat="1" x14ac:dyDescent="0.2">
      <c r="A435" s="18"/>
      <c r="C435" s="46"/>
      <c r="D435" s="47"/>
      <c r="E435" s="47"/>
      <c r="F435" s="47"/>
      <c r="G435" s="47"/>
      <c r="H435" s="47"/>
      <c r="J435" s="18"/>
      <c r="L435" s="46"/>
      <c r="M435" s="47"/>
      <c r="N435" s="47"/>
      <c r="O435" s="47"/>
      <c r="P435" s="47"/>
      <c r="S435" s="18"/>
    </row>
    <row r="436" spans="1:19" s="19" customFormat="1" x14ac:dyDescent="0.2">
      <c r="A436" s="18"/>
      <c r="C436" s="44"/>
      <c r="D436" s="45"/>
      <c r="E436" s="45"/>
      <c r="F436" s="45"/>
      <c r="G436" s="45"/>
      <c r="H436" s="45"/>
      <c r="J436" s="18"/>
      <c r="L436" s="44"/>
      <c r="M436" s="45"/>
      <c r="N436" s="45"/>
      <c r="O436" s="45"/>
      <c r="P436" s="45"/>
      <c r="S436" s="18"/>
    </row>
    <row r="437" spans="1:19" s="19" customFormat="1" x14ac:dyDescent="0.2">
      <c r="A437" s="18"/>
      <c r="C437" s="46"/>
      <c r="D437" s="47"/>
      <c r="E437" s="47"/>
      <c r="F437" s="47"/>
      <c r="G437" s="47"/>
      <c r="H437" s="47"/>
      <c r="J437" s="18"/>
      <c r="L437" s="46"/>
      <c r="M437" s="47"/>
      <c r="N437" s="47"/>
      <c r="O437" s="47"/>
      <c r="P437" s="47"/>
      <c r="S437" s="18"/>
    </row>
    <row r="438" spans="1:19" s="19" customFormat="1" x14ac:dyDescent="0.2">
      <c r="A438" s="18"/>
      <c r="C438" s="44"/>
      <c r="D438" s="45"/>
      <c r="E438" s="45"/>
      <c r="F438" s="45"/>
      <c r="G438" s="45"/>
      <c r="H438" s="45"/>
      <c r="J438" s="18"/>
      <c r="L438" s="44"/>
      <c r="M438" s="45"/>
      <c r="N438" s="45"/>
      <c r="O438" s="45"/>
      <c r="P438" s="45"/>
      <c r="S438" s="18"/>
    </row>
    <row r="439" spans="1:19" s="19" customFormat="1" x14ac:dyDescent="0.2">
      <c r="A439" s="18"/>
      <c r="C439" s="46"/>
      <c r="D439" s="47"/>
      <c r="E439" s="47"/>
      <c r="F439" s="47"/>
      <c r="G439" s="47"/>
      <c r="H439" s="47"/>
      <c r="J439" s="18"/>
      <c r="L439" s="46"/>
      <c r="M439" s="47"/>
      <c r="N439" s="47"/>
      <c r="O439" s="47"/>
      <c r="P439" s="47"/>
      <c r="S439" s="18"/>
    </row>
    <row r="440" spans="1:19" s="19" customFormat="1" x14ac:dyDescent="0.2">
      <c r="A440" s="18"/>
      <c r="C440" s="44"/>
      <c r="D440" s="45"/>
      <c r="E440" s="45"/>
      <c r="F440" s="45"/>
      <c r="G440" s="45"/>
      <c r="H440" s="45"/>
      <c r="J440" s="18"/>
      <c r="L440" s="44"/>
      <c r="M440" s="45"/>
      <c r="N440" s="45"/>
      <c r="O440" s="45"/>
      <c r="P440" s="45"/>
      <c r="S440" s="18"/>
    </row>
    <row r="441" spans="1:19" s="19" customFormat="1" x14ac:dyDescent="0.2">
      <c r="A441" s="18"/>
      <c r="C441" s="46"/>
      <c r="D441" s="47"/>
      <c r="E441" s="47"/>
      <c r="F441" s="47"/>
      <c r="G441" s="47"/>
      <c r="H441" s="47"/>
      <c r="J441" s="18"/>
      <c r="L441" s="46"/>
      <c r="M441" s="47"/>
      <c r="N441" s="47"/>
      <c r="O441" s="47"/>
      <c r="P441" s="47"/>
      <c r="S441" s="18"/>
    </row>
    <row r="442" spans="1:19" s="19" customFormat="1" x14ac:dyDescent="0.2">
      <c r="A442" s="18"/>
      <c r="C442" s="44"/>
      <c r="D442" s="45"/>
      <c r="E442" s="45"/>
      <c r="F442" s="45"/>
      <c r="G442" s="45"/>
      <c r="H442" s="45"/>
      <c r="J442" s="18"/>
      <c r="L442" s="44"/>
      <c r="M442" s="45"/>
      <c r="N442" s="45"/>
      <c r="O442" s="45"/>
      <c r="P442" s="45"/>
      <c r="S442" s="18"/>
    </row>
    <row r="443" spans="1:19" s="19" customFormat="1" x14ac:dyDescent="0.2">
      <c r="A443" s="18"/>
      <c r="C443" s="46"/>
      <c r="D443" s="47"/>
      <c r="E443" s="47"/>
      <c r="F443" s="47"/>
      <c r="G443" s="47"/>
      <c r="H443" s="47"/>
      <c r="J443" s="18"/>
      <c r="L443" s="46"/>
      <c r="M443" s="47"/>
      <c r="N443" s="47"/>
      <c r="O443" s="47"/>
      <c r="P443" s="47"/>
      <c r="S443" s="18"/>
    </row>
    <row r="444" spans="1:19" s="19" customFormat="1" x14ac:dyDescent="0.2">
      <c r="A444" s="18"/>
      <c r="C444" s="44"/>
      <c r="D444" s="45"/>
      <c r="E444" s="45"/>
      <c r="F444" s="45"/>
      <c r="G444" s="45"/>
      <c r="H444" s="45"/>
      <c r="J444" s="18"/>
      <c r="L444" s="44"/>
      <c r="M444" s="45"/>
      <c r="N444" s="45"/>
      <c r="O444" s="45"/>
      <c r="P444" s="45"/>
      <c r="S444" s="18"/>
    </row>
    <row r="445" spans="1:19" s="19" customFormat="1" x14ac:dyDescent="0.2">
      <c r="A445" s="18"/>
      <c r="C445" s="46"/>
      <c r="D445" s="47"/>
      <c r="E445" s="47"/>
      <c r="F445" s="47"/>
      <c r="G445" s="47"/>
      <c r="H445" s="47"/>
      <c r="J445" s="18"/>
      <c r="L445" s="46"/>
      <c r="M445" s="47"/>
      <c r="N445" s="47"/>
      <c r="O445" s="47"/>
      <c r="P445" s="47"/>
      <c r="S445" s="18"/>
    </row>
    <row r="446" spans="1:19" s="19" customFormat="1" x14ac:dyDescent="0.2">
      <c r="A446" s="18"/>
      <c r="C446" s="44"/>
      <c r="D446" s="45"/>
      <c r="E446" s="45"/>
      <c r="F446" s="45"/>
      <c r="G446" s="45"/>
      <c r="H446" s="45"/>
      <c r="J446" s="18"/>
      <c r="L446" s="44"/>
      <c r="M446" s="45"/>
      <c r="N446" s="45"/>
      <c r="O446" s="45"/>
      <c r="P446" s="45"/>
      <c r="S446" s="18"/>
    </row>
    <row r="447" spans="1:19" s="19" customFormat="1" x14ac:dyDescent="0.2">
      <c r="A447" s="18"/>
      <c r="C447" s="46"/>
      <c r="D447" s="47"/>
      <c r="E447" s="47"/>
      <c r="F447" s="47"/>
      <c r="G447" s="47"/>
      <c r="H447" s="47"/>
      <c r="J447" s="18"/>
      <c r="L447" s="46"/>
      <c r="M447" s="47"/>
      <c r="N447" s="47"/>
      <c r="O447" s="47"/>
      <c r="P447" s="47"/>
      <c r="S447" s="18"/>
    </row>
    <row r="448" spans="1:19" s="19" customFormat="1" x14ac:dyDescent="0.2">
      <c r="A448" s="18"/>
      <c r="C448" s="44"/>
      <c r="D448" s="45"/>
      <c r="E448" s="45"/>
      <c r="F448" s="45"/>
      <c r="G448" s="45"/>
      <c r="H448" s="45"/>
      <c r="J448" s="18"/>
      <c r="L448" s="44"/>
      <c r="M448" s="45"/>
      <c r="N448" s="45"/>
      <c r="O448" s="45"/>
      <c r="P448" s="45"/>
      <c r="S448" s="18"/>
    </row>
    <row r="449" spans="1:19" s="19" customFormat="1" x14ac:dyDescent="0.2">
      <c r="A449" s="18"/>
      <c r="C449" s="46"/>
      <c r="D449" s="47"/>
      <c r="E449" s="47"/>
      <c r="F449" s="47"/>
      <c r="G449" s="47"/>
      <c r="H449" s="47"/>
      <c r="J449" s="18"/>
      <c r="L449" s="46"/>
      <c r="M449" s="47"/>
      <c r="N449" s="47"/>
      <c r="O449" s="47"/>
      <c r="P449" s="47"/>
      <c r="S449" s="18"/>
    </row>
    <row r="450" spans="1:19" s="19" customFormat="1" x14ac:dyDescent="0.2">
      <c r="A450" s="18"/>
      <c r="C450" s="44"/>
      <c r="D450" s="45"/>
      <c r="E450" s="45"/>
      <c r="F450" s="45"/>
      <c r="G450" s="45"/>
      <c r="H450" s="45"/>
      <c r="J450" s="18"/>
      <c r="L450" s="44"/>
      <c r="M450" s="45"/>
      <c r="N450" s="45"/>
      <c r="O450" s="45"/>
      <c r="P450" s="45"/>
      <c r="S450" s="18"/>
    </row>
    <row r="451" spans="1:19" s="19" customFormat="1" x14ac:dyDescent="0.2">
      <c r="A451" s="18"/>
      <c r="C451" s="46"/>
      <c r="D451" s="47"/>
      <c r="E451" s="47"/>
      <c r="F451" s="47"/>
      <c r="G451" s="47"/>
      <c r="H451" s="47"/>
      <c r="J451" s="18"/>
      <c r="L451" s="46"/>
      <c r="M451" s="47"/>
      <c r="N451" s="47"/>
      <c r="O451" s="47"/>
      <c r="P451" s="47"/>
      <c r="S451" s="18"/>
    </row>
    <row r="452" spans="1:19" s="19" customFormat="1" x14ac:dyDescent="0.2">
      <c r="A452" s="18"/>
      <c r="C452" s="44"/>
      <c r="D452" s="45"/>
      <c r="E452" s="45"/>
      <c r="F452" s="45"/>
      <c r="G452" s="45"/>
      <c r="H452" s="45"/>
      <c r="J452" s="18"/>
      <c r="L452" s="44"/>
      <c r="M452" s="45"/>
      <c r="N452" s="45"/>
      <c r="O452" s="45"/>
      <c r="P452" s="45"/>
      <c r="S452" s="18"/>
    </row>
    <row r="453" spans="1:19" s="19" customFormat="1" x14ac:dyDescent="0.2">
      <c r="A453" s="18"/>
      <c r="C453" s="46"/>
      <c r="D453" s="47"/>
      <c r="E453" s="47"/>
      <c r="F453" s="47"/>
      <c r="G453" s="47"/>
      <c r="H453" s="47"/>
      <c r="J453" s="18"/>
      <c r="L453" s="46"/>
      <c r="M453" s="47"/>
      <c r="N453" s="47"/>
      <c r="O453" s="47"/>
      <c r="P453" s="47"/>
      <c r="S453" s="18"/>
    </row>
    <row r="454" spans="1:19" s="19" customFormat="1" x14ac:dyDescent="0.2">
      <c r="A454" s="18"/>
      <c r="C454" s="44"/>
      <c r="D454" s="45"/>
      <c r="E454" s="45"/>
      <c r="F454" s="45"/>
      <c r="G454" s="45"/>
      <c r="H454" s="45"/>
      <c r="J454" s="18"/>
      <c r="L454" s="44"/>
      <c r="M454" s="45"/>
      <c r="N454" s="45"/>
      <c r="O454" s="45"/>
      <c r="P454" s="45"/>
      <c r="S454" s="18"/>
    </row>
    <row r="455" spans="1:19" s="19" customFormat="1" x14ac:dyDescent="0.2">
      <c r="A455" s="18"/>
      <c r="C455" s="46"/>
      <c r="D455" s="47"/>
      <c r="E455" s="47"/>
      <c r="F455" s="47"/>
      <c r="G455" s="47"/>
      <c r="H455" s="47"/>
      <c r="J455" s="18"/>
      <c r="L455" s="46"/>
      <c r="M455" s="47"/>
      <c r="N455" s="47"/>
      <c r="O455" s="47"/>
      <c r="P455" s="47"/>
      <c r="S455" s="18"/>
    </row>
    <row r="456" spans="1:19" s="19" customFormat="1" x14ac:dyDescent="0.2">
      <c r="A456" s="18"/>
      <c r="C456" s="44"/>
      <c r="D456" s="45"/>
      <c r="E456" s="45"/>
      <c r="F456" s="45"/>
      <c r="G456" s="45"/>
      <c r="H456" s="45"/>
      <c r="J456" s="18"/>
      <c r="L456" s="44"/>
      <c r="M456" s="45"/>
      <c r="N456" s="45"/>
      <c r="O456" s="45"/>
      <c r="P456" s="45"/>
      <c r="S456" s="18"/>
    </row>
    <row r="457" spans="1:19" s="19" customFormat="1" x14ac:dyDescent="0.2">
      <c r="A457" s="18"/>
      <c r="C457" s="46"/>
      <c r="D457" s="47"/>
      <c r="E457" s="47"/>
      <c r="F457" s="47"/>
      <c r="G457" s="47"/>
      <c r="H457" s="47"/>
      <c r="J457" s="18"/>
      <c r="L457" s="46"/>
      <c r="M457" s="47"/>
      <c r="N457" s="47"/>
      <c r="O457" s="47"/>
      <c r="P457" s="47"/>
      <c r="S457" s="18"/>
    </row>
    <row r="458" spans="1:19" s="19" customFormat="1" x14ac:dyDescent="0.2">
      <c r="A458" s="18"/>
      <c r="C458" s="44"/>
      <c r="D458" s="45"/>
      <c r="E458" s="45"/>
      <c r="F458" s="45"/>
      <c r="G458" s="45"/>
      <c r="H458" s="45"/>
      <c r="J458" s="18"/>
      <c r="L458" s="44"/>
      <c r="M458" s="45"/>
      <c r="N458" s="45"/>
      <c r="O458" s="45"/>
      <c r="P458" s="45"/>
      <c r="S458" s="18"/>
    </row>
    <row r="459" spans="1:19" s="19" customFormat="1" x14ac:dyDescent="0.2">
      <c r="A459" s="18"/>
      <c r="C459" s="46"/>
      <c r="D459" s="47"/>
      <c r="E459" s="47"/>
      <c r="F459" s="47"/>
      <c r="G459" s="47"/>
      <c r="H459" s="47"/>
      <c r="J459" s="18"/>
      <c r="L459" s="46"/>
      <c r="M459" s="47"/>
      <c r="N459" s="47"/>
      <c r="O459" s="47"/>
      <c r="P459" s="47"/>
      <c r="S459" s="18"/>
    </row>
    <row r="460" spans="1:19" s="19" customFormat="1" x14ac:dyDescent="0.2">
      <c r="A460" s="18"/>
      <c r="C460" s="44"/>
      <c r="D460" s="45"/>
      <c r="E460" s="45"/>
      <c r="F460" s="45"/>
      <c r="G460" s="45"/>
      <c r="H460" s="45"/>
      <c r="J460" s="18"/>
      <c r="L460" s="44"/>
      <c r="M460" s="45"/>
      <c r="N460" s="45"/>
      <c r="O460" s="45"/>
      <c r="P460" s="45"/>
      <c r="S460" s="18"/>
    </row>
    <row r="461" spans="1:19" s="19" customFormat="1" x14ac:dyDescent="0.2">
      <c r="A461" s="18"/>
      <c r="C461" s="46"/>
      <c r="D461" s="47"/>
      <c r="E461" s="47"/>
      <c r="F461" s="47"/>
      <c r="G461" s="47"/>
      <c r="H461" s="47"/>
      <c r="J461" s="18"/>
      <c r="L461" s="46"/>
      <c r="M461" s="47"/>
      <c r="N461" s="47"/>
      <c r="O461" s="47"/>
      <c r="P461" s="47"/>
      <c r="S461" s="18"/>
    </row>
    <row r="462" spans="1:19" s="19" customFormat="1" x14ac:dyDescent="0.2">
      <c r="A462" s="18"/>
      <c r="C462" s="44"/>
      <c r="D462" s="45"/>
      <c r="E462" s="45"/>
      <c r="F462" s="45"/>
      <c r="G462" s="45"/>
      <c r="H462" s="45"/>
      <c r="J462" s="18"/>
      <c r="L462" s="44"/>
      <c r="M462" s="45"/>
      <c r="N462" s="45"/>
      <c r="O462" s="45"/>
      <c r="P462" s="45"/>
      <c r="S462" s="18"/>
    </row>
    <row r="463" spans="1:19" s="19" customFormat="1" x14ac:dyDescent="0.2">
      <c r="A463" s="18"/>
      <c r="C463" s="46"/>
      <c r="D463" s="47"/>
      <c r="E463" s="47"/>
      <c r="F463" s="47"/>
      <c r="G463" s="47"/>
      <c r="H463" s="47"/>
      <c r="J463" s="18"/>
      <c r="L463" s="46"/>
      <c r="M463" s="47"/>
      <c r="N463" s="47"/>
      <c r="O463" s="47"/>
      <c r="P463" s="47"/>
      <c r="S463" s="18"/>
    </row>
    <row r="464" spans="1:19" s="19" customFormat="1" x14ac:dyDescent="0.2">
      <c r="A464" s="18"/>
      <c r="C464" s="44"/>
      <c r="D464" s="45"/>
      <c r="E464" s="45"/>
      <c r="F464" s="45"/>
      <c r="G464" s="45"/>
      <c r="H464" s="45"/>
      <c r="J464" s="18"/>
      <c r="L464" s="44"/>
      <c r="M464" s="45"/>
      <c r="N464" s="45"/>
      <c r="O464" s="45"/>
      <c r="P464" s="45"/>
      <c r="S464" s="18"/>
    </row>
    <row r="465" spans="1:19" s="19" customFormat="1" x14ac:dyDescent="0.2">
      <c r="A465" s="18"/>
      <c r="C465" s="46"/>
      <c r="D465" s="47"/>
      <c r="E465" s="47"/>
      <c r="F465" s="47"/>
      <c r="G465" s="47"/>
      <c r="H465" s="47"/>
      <c r="J465" s="18"/>
      <c r="L465" s="46"/>
      <c r="M465" s="47"/>
      <c r="N465" s="47"/>
      <c r="O465" s="47"/>
      <c r="P465" s="47"/>
      <c r="S465" s="18"/>
    </row>
    <row r="466" spans="1:19" s="19" customFormat="1" x14ac:dyDescent="0.2">
      <c r="A466" s="18"/>
      <c r="C466" s="44"/>
      <c r="D466" s="45"/>
      <c r="E466" s="45"/>
      <c r="F466" s="45"/>
      <c r="G466" s="45"/>
      <c r="H466" s="45"/>
      <c r="J466" s="18"/>
      <c r="L466" s="44"/>
      <c r="M466" s="45"/>
      <c r="N466" s="45"/>
      <c r="O466" s="45"/>
      <c r="P466" s="45"/>
      <c r="S466" s="18"/>
    </row>
    <row r="467" spans="1:19" s="19" customFormat="1" x14ac:dyDescent="0.2">
      <c r="A467" s="18"/>
      <c r="C467" s="46"/>
      <c r="D467" s="47"/>
      <c r="E467" s="47"/>
      <c r="F467" s="47"/>
      <c r="G467" s="47"/>
      <c r="H467" s="47"/>
      <c r="J467" s="18"/>
      <c r="L467" s="46"/>
      <c r="M467" s="47"/>
      <c r="N467" s="47"/>
      <c r="O467" s="47"/>
      <c r="P467" s="47"/>
      <c r="S467" s="18"/>
    </row>
    <row r="468" spans="1:19" s="19" customFormat="1" x14ac:dyDescent="0.2">
      <c r="A468" s="18"/>
      <c r="C468" s="44"/>
      <c r="D468" s="45"/>
      <c r="E468" s="45"/>
      <c r="F468" s="45"/>
      <c r="G468" s="45"/>
      <c r="H468" s="45"/>
      <c r="J468" s="18"/>
      <c r="L468" s="44"/>
      <c r="M468" s="45"/>
      <c r="N468" s="45"/>
      <c r="O468" s="45"/>
      <c r="P468" s="45"/>
      <c r="S468" s="18"/>
    </row>
    <row r="469" spans="1:19" s="19" customFormat="1" x14ac:dyDescent="0.2">
      <c r="A469" s="18"/>
      <c r="C469" s="46"/>
      <c r="D469" s="47"/>
      <c r="E469" s="47"/>
      <c r="F469" s="47"/>
      <c r="G469" s="47"/>
      <c r="H469" s="47"/>
      <c r="J469" s="18"/>
      <c r="L469" s="46"/>
      <c r="M469" s="47"/>
      <c r="N469" s="47"/>
      <c r="O469" s="47"/>
      <c r="P469" s="47"/>
      <c r="S469" s="18"/>
    </row>
    <row r="470" spans="1:19" s="19" customFormat="1" x14ac:dyDescent="0.2">
      <c r="A470" s="18"/>
      <c r="C470" s="44"/>
      <c r="D470" s="45"/>
      <c r="E470" s="45"/>
      <c r="F470" s="45"/>
      <c r="G470" s="45"/>
      <c r="H470" s="45"/>
      <c r="J470" s="18"/>
      <c r="L470" s="44"/>
      <c r="M470" s="45"/>
      <c r="N470" s="45"/>
      <c r="O470" s="45"/>
      <c r="P470" s="45"/>
      <c r="S470" s="18"/>
    </row>
    <row r="471" spans="1:19" s="19" customFormat="1" x14ac:dyDescent="0.2">
      <c r="A471" s="18"/>
      <c r="C471" s="46"/>
      <c r="D471" s="47"/>
      <c r="E471" s="47"/>
      <c r="F471" s="47"/>
      <c r="G471" s="47"/>
      <c r="H471" s="47"/>
      <c r="J471" s="18"/>
      <c r="L471" s="46"/>
      <c r="M471" s="47"/>
      <c r="N471" s="47"/>
      <c r="O471" s="47"/>
      <c r="P471" s="47"/>
      <c r="S471" s="18"/>
    </row>
    <row r="472" spans="1:19" s="19" customFormat="1" x14ac:dyDescent="0.2">
      <c r="A472" s="18"/>
      <c r="C472" s="44"/>
      <c r="D472" s="45"/>
      <c r="E472" s="45"/>
      <c r="F472" s="45"/>
      <c r="G472" s="45"/>
      <c r="H472" s="45"/>
      <c r="J472" s="18"/>
      <c r="L472" s="44"/>
      <c r="M472" s="45"/>
      <c r="N472" s="45"/>
      <c r="O472" s="45"/>
      <c r="P472" s="45"/>
      <c r="S472" s="18"/>
    </row>
    <row r="473" spans="1:19" s="19" customFormat="1" x14ac:dyDescent="0.2">
      <c r="A473" s="18"/>
      <c r="C473" s="46"/>
      <c r="D473" s="47"/>
      <c r="E473" s="47"/>
      <c r="F473" s="47"/>
      <c r="G473" s="47"/>
      <c r="H473" s="47"/>
      <c r="J473" s="18"/>
      <c r="L473" s="46"/>
      <c r="M473" s="47"/>
      <c r="N473" s="47"/>
      <c r="O473" s="47"/>
      <c r="P473" s="47"/>
      <c r="S473" s="18"/>
    </row>
    <row r="474" spans="1:19" s="19" customFormat="1" x14ac:dyDescent="0.2">
      <c r="A474" s="18"/>
      <c r="C474" s="44"/>
      <c r="D474" s="45"/>
      <c r="E474" s="45"/>
      <c r="F474" s="45"/>
      <c r="G474" s="45"/>
      <c r="H474" s="45"/>
      <c r="J474" s="18"/>
      <c r="L474" s="44"/>
      <c r="M474" s="45"/>
      <c r="N474" s="45"/>
      <c r="O474" s="45"/>
      <c r="P474" s="45"/>
      <c r="S474" s="18"/>
    </row>
    <row r="475" spans="1:19" s="19" customFormat="1" x14ac:dyDescent="0.2">
      <c r="A475" s="18"/>
      <c r="C475" s="46"/>
      <c r="D475" s="47"/>
      <c r="E475" s="47"/>
      <c r="F475" s="47"/>
      <c r="G475" s="47"/>
      <c r="H475" s="47"/>
      <c r="J475" s="18"/>
      <c r="L475" s="46"/>
      <c r="M475" s="47"/>
      <c r="N475" s="47"/>
      <c r="O475" s="47"/>
      <c r="P475" s="47"/>
      <c r="S475" s="18"/>
    </row>
    <row r="476" spans="1:19" s="19" customFormat="1" x14ac:dyDescent="0.2">
      <c r="A476" s="18"/>
      <c r="C476" s="44"/>
      <c r="D476" s="45"/>
      <c r="E476" s="45"/>
      <c r="F476" s="45"/>
      <c r="G476" s="45"/>
      <c r="H476" s="45"/>
      <c r="J476" s="18"/>
      <c r="L476" s="44"/>
      <c r="M476" s="45"/>
      <c r="N476" s="45"/>
      <c r="O476" s="45"/>
      <c r="P476" s="45"/>
      <c r="S476" s="18"/>
    </row>
    <row r="477" spans="1:19" s="19" customFormat="1" x14ac:dyDescent="0.2">
      <c r="A477" s="18"/>
      <c r="C477" s="46"/>
      <c r="D477" s="47"/>
      <c r="E477" s="47"/>
      <c r="F477" s="47"/>
      <c r="G477" s="47"/>
      <c r="H477" s="47"/>
      <c r="J477" s="18"/>
      <c r="L477" s="46"/>
      <c r="M477" s="47"/>
      <c r="N477" s="47"/>
      <c r="O477" s="47"/>
      <c r="P477" s="47"/>
      <c r="S477" s="18"/>
    </row>
    <row r="478" spans="1:19" s="19" customFormat="1" x14ac:dyDescent="0.2">
      <c r="A478" s="18"/>
      <c r="C478" s="44"/>
      <c r="D478" s="45"/>
      <c r="E478" s="45"/>
      <c r="F478" s="45"/>
      <c r="G478" s="45"/>
      <c r="H478" s="45"/>
      <c r="J478" s="18"/>
      <c r="L478" s="44"/>
      <c r="M478" s="45"/>
      <c r="N478" s="45"/>
      <c r="O478" s="45"/>
      <c r="P478" s="45"/>
      <c r="S478" s="18"/>
    </row>
    <row r="479" spans="1:19" s="19" customFormat="1" x14ac:dyDescent="0.2">
      <c r="A479" s="18"/>
      <c r="C479" s="46"/>
      <c r="D479" s="47"/>
      <c r="E479" s="47"/>
      <c r="F479" s="47"/>
      <c r="G479" s="47"/>
      <c r="H479" s="47"/>
      <c r="J479" s="18"/>
      <c r="L479" s="46"/>
      <c r="M479" s="47"/>
      <c r="N479" s="47"/>
      <c r="O479" s="47"/>
      <c r="P479" s="47"/>
      <c r="S479" s="18"/>
    </row>
    <row r="480" spans="1:19" s="19" customFormat="1" x14ac:dyDescent="0.2">
      <c r="A480" s="18"/>
      <c r="C480" s="44"/>
      <c r="D480" s="45"/>
      <c r="E480" s="45"/>
      <c r="F480" s="45"/>
      <c r="G480" s="45"/>
      <c r="H480" s="45"/>
      <c r="J480" s="18"/>
      <c r="L480" s="44"/>
      <c r="M480" s="45"/>
      <c r="N480" s="45"/>
      <c r="O480" s="45"/>
      <c r="P480" s="45"/>
      <c r="S480" s="18"/>
    </row>
    <row r="481" spans="1:19" s="19" customFormat="1" x14ac:dyDescent="0.2">
      <c r="A481" s="18"/>
      <c r="C481" s="46"/>
      <c r="D481" s="47"/>
      <c r="E481" s="47"/>
      <c r="F481" s="47"/>
      <c r="G481" s="47"/>
      <c r="H481" s="47"/>
      <c r="J481" s="18"/>
      <c r="L481" s="46"/>
      <c r="M481" s="47"/>
      <c r="N481" s="47"/>
      <c r="O481" s="47"/>
      <c r="P481" s="47"/>
      <c r="S481" s="18"/>
    </row>
    <row r="482" spans="1:19" s="19" customFormat="1" x14ac:dyDescent="0.2">
      <c r="A482" s="18"/>
      <c r="C482" s="44"/>
      <c r="D482" s="45"/>
      <c r="E482" s="45"/>
      <c r="F482" s="45"/>
      <c r="G482" s="45"/>
      <c r="H482" s="45"/>
      <c r="J482" s="18"/>
      <c r="L482" s="44"/>
      <c r="M482" s="45"/>
      <c r="N482" s="45"/>
      <c r="O482" s="45"/>
      <c r="P482" s="45"/>
      <c r="S482" s="18"/>
    </row>
    <row r="483" spans="1:19" s="19" customFormat="1" x14ac:dyDescent="0.2">
      <c r="A483" s="18"/>
      <c r="C483" s="46"/>
      <c r="D483" s="47"/>
      <c r="E483" s="47"/>
      <c r="F483" s="47"/>
      <c r="G483" s="47"/>
      <c r="H483" s="47"/>
      <c r="J483" s="18"/>
      <c r="L483" s="46"/>
      <c r="M483" s="47"/>
      <c r="N483" s="47"/>
      <c r="O483" s="47"/>
      <c r="P483" s="47"/>
      <c r="S483" s="18"/>
    </row>
    <row r="484" spans="1:19" s="19" customFormat="1" x14ac:dyDescent="0.2">
      <c r="A484" s="18"/>
      <c r="C484" s="44"/>
      <c r="D484" s="45"/>
      <c r="E484" s="45"/>
      <c r="F484" s="45"/>
      <c r="G484" s="45"/>
      <c r="H484" s="45"/>
      <c r="J484" s="18"/>
      <c r="L484" s="44"/>
      <c r="M484" s="45"/>
      <c r="N484" s="45"/>
      <c r="O484" s="45"/>
      <c r="P484" s="45"/>
      <c r="S484" s="18"/>
    </row>
    <row r="485" spans="1:19" s="19" customFormat="1" x14ac:dyDescent="0.2">
      <c r="A485" s="18"/>
      <c r="C485" s="46"/>
      <c r="D485" s="47"/>
      <c r="E485" s="47"/>
      <c r="F485" s="47"/>
      <c r="G485" s="47"/>
      <c r="H485" s="47"/>
      <c r="J485" s="18"/>
      <c r="L485" s="46"/>
      <c r="M485" s="47"/>
      <c r="N485" s="47"/>
      <c r="O485" s="47"/>
      <c r="P485" s="47"/>
      <c r="S485" s="18"/>
    </row>
    <row r="486" spans="1:19" s="19" customFormat="1" x14ac:dyDescent="0.2">
      <c r="A486" s="18"/>
      <c r="C486" s="44"/>
      <c r="D486" s="45"/>
      <c r="E486" s="45"/>
      <c r="F486" s="45"/>
      <c r="G486" s="45"/>
      <c r="H486" s="45"/>
      <c r="J486" s="18"/>
      <c r="L486" s="44"/>
      <c r="M486" s="45"/>
      <c r="N486" s="45"/>
      <c r="O486" s="45"/>
      <c r="P486" s="45"/>
      <c r="S486" s="18"/>
    </row>
    <row r="487" spans="1:19" s="19" customFormat="1" x14ac:dyDescent="0.2">
      <c r="A487" s="18"/>
      <c r="C487" s="46"/>
      <c r="D487" s="47"/>
      <c r="E487" s="47"/>
      <c r="F487" s="47"/>
      <c r="G487" s="47"/>
      <c r="H487" s="47"/>
      <c r="J487" s="18"/>
      <c r="L487" s="46"/>
      <c r="M487" s="47"/>
      <c r="N487" s="47"/>
      <c r="O487" s="47"/>
      <c r="P487" s="47"/>
      <c r="S487" s="18"/>
    </row>
    <row r="488" spans="1:19" s="19" customFormat="1" x14ac:dyDescent="0.2">
      <c r="A488" s="18"/>
      <c r="C488" s="44"/>
      <c r="D488" s="45"/>
      <c r="E488" s="45"/>
      <c r="F488" s="45"/>
      <c r="G488" s="45"/>
      <c r="H488" s="45"/>
      <c r="J488" s="18"/>
      <c r="L488" s="44"/>
      <c r="M488" s="45"/>
      <c r="N488" s="45"/>
      <c r="O488" s="45"/>
      <c r="P488" s="45"/>
      <c r="S488" s="18"/>
    </row>
    <row r="489" spans="1:19" s="19" customFormat="1" x14ac:dyDescent="0.2">
      <c r="A489" s="18"/>
      <c r="C489" s="46"/>
      <c r="D489" s="47"/>
      <c r="E489" s="47"/>
      <c r="F489" s="47"/>
      <c r="G489" s="47"/>
      <c r="H489" s="47"/>
      <c r="J489" s="18"/>
      <c r="L489" s="46"/>
      <c r="M489" s="47"/>
      <c r="N489" s="47"/>
      <c r="O489" s="47"/>
      <c r="P489" s="47"/>
      <c r="S489" s="18"/>
    </row>
    <row r="490" spans="1:19" s="19" customFormat="1" x14ac:dyDescent="0.2">
      <c r="A490" s="18"/>
      <c r="C490" s="44"/>
      <c r="D490" s="45"/>
      <c r="E490" s="45"/>
      <c r="F490" s="45"/>
      <c r="G490" s="45"/>
      <c r="H490" s="45"/>
      <c r="J490" s="18"/>
      <c r="L490" s="44"/>
      <c r="M490" s="45"/>
      <c r="N490" s="45"/>
      <c r="O490" s="45"/>
      <c r="P490" s="45"/>
      <c r="S490" s="18"/>
    </row>
    <row r="491" spans="1:19" s="19" customFormat="1" x14ac:dyDescent="0.2">
      <c r="A491" s="18"/>
      <c r="C491" s="46"/>
      <c r="D491" s="47"/>
      <c r="E491" s="47"/>
      <c r="F491" s="47"/>
      <c r="G491" s="47"/>
      <c r="H491" s="47"/>
      <c r="J491" s="18"/>
      <c r="L491" s="46"/>
      <c r="M491" s="47"/>
      <c r="N491" s="47"/>
      <c r="O491" s="47"/>
      <c r="P491" s="47"/>
      <c r="S491" s="18"/>
    </row>
    <row r="492" spans="1:19" s="19" customFormat="1" x14ac:dyDescent="0.2">
      <c r="A492" s="18"/>
      <c r="C492" s="44"/>
      <c r="D492" s="45"/>
      <c r="E492" s="45"/>
      <c r="F492" s="45"/>
      <c r="G492" s="45"/>
      <c r="H492" s="45"/>
      <c r="J492" s="18"/>
      <c r="L492" s="44"/>
      <c r="M492" s="45"/>
      <c r="N492" s="45"/>
      <c r="O492" s="45"/>
      <c r="P492" s="45"/>
      <c r="S492" s="18"/>
    </row>
    <row r="493" spans="1:19" s="19" customFormat="1" x14ac:dyDescent="0.2">
      <c r="A493" s="18"/>
      <c r="C493" s="46"/>
      <c r="D493" s="47"/>
      <c r="E493" s="47"/>
      <c r="F493" s="47"/>
      <c r="G493" s="47"/>
      <c r="H493" s="47"/>
      <c r="J493" s="18"/>
      <c r="L493" s="46"/>
      <c r="M493" s="47"/>
      <c r="N493" s="47"/>
      <c r="O493" s="47"/>
      <c r="P493" s="47"/>
      <c r="S493" s="18"/>
    </row>
    <row r="494" spans="1:19" s="19" customFormat="1" x14ac:dyDescent="0.2">
      <c r="A494" s="18"/>
      <c r="C494" s="44"/>
      <c r="D494" s="45"/>
      <c r="E494" s="45"/>
      <c r="F494" s="45"/>
      <c r="G494" s="45"/>
      <c r="H494" s="45"/>
      <c r="J494" s="18"/>
      <c r="L494" s="44"/>
      <c r="M494" s="45"/>
      <c r="N494" s="45"/>
      <c r="O494" s="45"/>
      <c r="P494" s="45"/>
      <c r="S494" s="18"/>
    </row>
    <row r="495" spans="1:19" s="19" customFormat="1" x14ac:dyDescent="0.2">
      <c r="A495" s="18"/>
      <c r="C495" s="46"/>
      <c r="D495" s="47"/>
      <c r="E495" s="47"/>
      <c r="F495" s="47"/>
      <c r="G495" s="47"/>
      <c r="H495" s="47"/>
      <c r="J495" s="18"/>
      <c r="L495" s="46"/>
      <c r="M495" s="47"/>
      <c r="N495" s="47"/>
      <c r="O495" s="47"/>
      <c r="P495" s="47"/>
      <c r="S495" s="18"/>
    </row>
    <row r="496" spans="1:19" s="19" customFormat="1" x14ac:dyDescent="0.2">
      <c r="A496" s="18"/>
      <c r="C496" s="44"/>
      <c r="D496" s="45"/>
      <c r="E496" s="45"/>
      <c r="F496" s="45"/>
      <c r="G496" s="45"/>
      <c r="H496" s="45"/>
      <c r="J496" s="18"/>
      <c r="L496" s="44"/>
      <c r="M496" s="45"/>
      <c r="N496" s="45"/>
      <c r="O496" s="45"/>
      <c r="P496" s="45"/>
      <c r="S496" s="18"/>
    </row>
    <row r="497" spans="1:19" s="19" customFormat="1" x14ac:dyDescent="0.2">
      <c r="A497" s="18"/>
      <c r="C497" s="46"/>
      <c r="D497" s="47"/>
      <c r="E497" s="47"/>
      <c r="F497" s="47"/>
      <c r="G497" s="47"/>
      <c r="H497" s="47"/>
      <c r="J497" s="18"/>
      <c r="L497" s="46"/>
      <c r="M497" s="47"/>
      <c r="N497" s="47"/>
      <c r="O497" s="47"/>
      <c r="P497" s="47"/>
      <c r="S497" s="18"/>
    </row>
    <row r="498" spans="1:19" s="19" customFormat="1" x14ac:dyDescent="0.2">
      <c r="A498" s="18"/>
      <c r="C498" s="44"/>
      <c r="D498" s="45"/>
      <c r="E498" s="45"/>
      <c r="F498" s="45"/>
      <c r="G498" s="45"/>
      <c r="H498" s="45"/>
      <c r="J498" s="18"/>
      <c r="L498" s="44"/>
      <c r="M498" s="45"/>
      <c r="N498" s="45"/>
      <c r="O498" s="45"/>
      <c r="P498" s="45"/>
      <c r="S498" s="18"/>
    </row>
    <row r="499" spans="1:19" s="19" customFormat="1" x14ac:dyDescent="0.2">
      <c r="A499" s="18"/>
      <c r="C499" s="46"/>
      <c r="D499" s="47"/>
      <c r="E499" s="47"/>
      <c r="F499" s="47"/>
      <c r="G499" s="47"/>
      <c r="H499" s="47"/>
      <c r="J499" s="18"/>
      <c r="L499" s="46"/>
      <c r="M499" s="47"/>
      <c r="N499" s="47"/>
      <c r="O499" s="47"/>
      <c r="P499" s="47"/>
      <c r="S499" s="18"/>
    </row>
    <row r="500" spans="1:19" s="19" customFormat="1" x14ac:dyDescent="0.2">
      <c r="A500" s="18"/>
      <c r="C500" s="44"/>
      <c r="D500" s="45"/>
      <c r="E500" s="45"/>
      <c r="F500" s="45"/>
      <c r="G500" s="45"/>
      <c r="H500" s="45"/>
      <c r="J500" s="18"/>
      <c r="L500" s="44"/>
      <c r="M500" s="45"/>
      <c r="N500" s="45"/>
      <c r="O500" s="45"/>
      <c r="P500" s="45"/>
      <c r="S500" s="18"/>
    </row>
    <row r="501" spans="1:19" s="19" customFormat="1" x14ac:dyDescent="0.2">
      <c r="A501" s="18"/>
      <c r="C501" s="46"/>
      <c r="D501" s="47"/>
      <c r="E501" s="47"/>
      <c r="F501" s="47"/>
      <c r="G501" s="47"/>
      <c r="H501" s="47"/>
      <c r="J501" s="18"/>
      <c r="L501" s="46"/>
      <c r="M501" s="47"/>
      <c r="N501" s="47"/>
      <c r="O501" s="47"/>
      <c r="P501" s="47"/>
      <c r="S501" s="18"/>
    </row>
    <row r="502" spans="1:19" x14ac:dyDescent="0.2">
      <c r="C502" s="46"/>
      <c r="D502" s="47"/>
      <c r="E502" s="47"/>
      <c r="F502" s="47"/>
      <c r="G502" s="47"/>
      <c r="H502" s="47"/>
      <c r="I502" s="19"/>
      <c r="K502" s="19"/>
      <c r="L502" s="46"/>
      <c r="M502" s="47"/>
      <c r="N502" s="47"/>
      <c r="O502" s="47"/>
      <c r="P502" s="47"/>
    </row>
    <row r="503" spans="1:19" x14ac:dyDescent="0.2">
      <c r="C503" s="46"/>
      <c r="D503" s="47"/>
      <c r="E503" s="47"/>
      <c r="F503" s="47"/>
      <c r="G503" s="47"/>
      <c r="H503" s="47"/>
      <c r="I503" s="19"/>
      <c r="L503" s="46"/>
      <c r="M503" s="47"/>
      <c r="N503" s="47"/>
      <c r="O503" s="47"/>
      <c r="P503" s="47"/>
    </row>
    <row r="504" spans="1:19" x14ac:dyDescent="0.2">
      <c r="C504" s="46"/>
      <c r="D504" s="47"/>
      <c r="E504" s="47"/>
      <c r="F504" s="47"/>
      <c r="G504" s="47"/>
      <c r="H504" s="47"/>
      <c r="I504" s="19"/>
      <c r="L504" s="46"/>
      <c r="M504" s="47"/>
      <c r="N504" s="47"/>
      <c r="O504" s="47"/>
      <c r="P504" s="47"/>
    </row>
    <row r="505" spans="1:19" x14ac:dyDescent="0.2">
      <c r="C505" s="46"/>
      <c r="D505" s="47"/>
      <c r="E505" s="47"/>
      <c r="F505" s="47"/>
      <c r="G505" s="47"/>
      <c r="H505" s="47"/>
      <c r="I505" s="19"/>
      <c r="L505" s="46"/>
      <c r="M505" s="47"/>
      <c r="N505" s="47"/>
      <c r="O505" s="47"/>
      <c r="P505" s="47"/>
    </row>
    <row r="506" spans="1:19" x14ac:dyDescent="0.2">
      <c r="C506" s="46"/>
      <c r="D506" s="47"/>
      <c r="E506" s="47"/>
      <c r="F506" s="47"/>
      <c r="G506" s="47"/>
      <c r="H506" s="47"/>
      <c r="I506" s="19"/>
      <c r="L506" s="46"/>
      <c r="M506" s="47"/>
      <c r="N506" s="47"/>
      <c r="O506" s="47"/>
      <c r="P506" s="47"/>
    </row>
    <row r="507" spans="1:19" x14ac:dyDescent="0.2">
      <c r="C507" s="46"/>
      <c r="D507" s="47"/>
      <c r="E507" s="47"/>
      <c r="F507" s="47"/>
      <c r="G507" s="47"/>
      <c r="H507" s="47"/>
      <c r="I507" s="19"/>
      <c r="L507" s="46"/>
      <c r="M507" s="47"/>
      <c r="N507" s="47"/>
      <c r="O507" s="47"/>
      <c r="P507" s="47"/>
    </row>
    <row r="508" spans="1:19" x14ac:dyDescent="0.2">
      <c r="C508" s="46"/>
      <c r="D508" s="47"/>
      <c r="E508" s="47"/>
      <c r="F508" s="47"/>
      <c r="G508" s="47"/>
      <c r="H508" s="47"/>
      <c r="I508" s="19"/>
      <c r="L508" s="46"/>
      <c r="M508" s="47"/>
      <c r="N508" s="47"/>
      <c r="O508" s="47"/>
      <c r="P508" s="47"/>
    </row>
    <row r="509" spans="1:19" x14ac:dyDescent="0.2">
      <c r="C509" s="46"/>
      <c r="D509" s="47"/>
      <c r="E509" s="47"/>
      <c r="F509" s="47"/>
      <c r="G509" s="47"/>
      <c r="H509" s="47"/>
      <c r="I509" s="19"/>
      <c r="L509" s="46"/>
      <c r="M509" s="47"/>
      <c r="N509" s="47"/>
      <c r="O509" s="47"/>
      <c r="P509" s="47"/>
    </row>
    <row r="510" spans="1:19" x14ac:dyDescent="0.2">
      <c r="C510" s="46"/>
      <c r="D510" s="47"/>
      <c r="E510" s="47"/>
      <c r="F510" s="47"/>
      <c r="G510" s="47"/>
      <c r="H510" s="47"/>
      <c r="I510" s="19"/>
      <c r="L510" s="46"/>
      <c r="M510" s="47"/>
      <c r="N510" s="47"/>
      <c r="O510" s="47"/>
      <c r="P510" s="47"/>
    </row>
    <row r="511" spans="1:19" x14ac:dyDescent="0.2">
      <c r="C511" s="46"/>
      <c r="D511" s="47"/>
      <c r="E511" s="47"/>
      <c r="F511" s="47"/>
      <c r="G511" s="47"/>
      <c r="H511" s="47"/>
      <c r="I511" s="19"/>
      <c r="L511" s="46"/>
      <c r="M511" s="47"/>
      <c r="N511" s="47"/>
      <c r="O511" s="47"/>
      <c r="P511" s="47"/>
    </row>
    <row r="512" spans="1:19" x14ac:dyDescent="0.2">
      <c r="C512" s="46"/>
      <c r="D512" s="47"/>
      <c r="E512" s="47"/>
      <c r="F512" s="47"/>
      <c r="G512" s="47"/>
      <c r="H512" s="47"/>
      <c r="I512" s="19"/>
      <c r="L512" s="46"/>
      <c r="M512" s="47"/>
      <c r="N512" s="47"/>
      <c r="O512" s="47"/>
      <c r="P512" s="47"/>
    </row>
    <row r="513" spans="3:16" x14ac:dyDescent="0.2">
      <c r="C513" s="46"/>
      <c r="D513" s="47"/>
      <c r="E513" s="47"/>
      <c r="F513" s="47"/>
      <c r="G513" s="47"/>
      <c r="H513" s="47"/>
      <c r="I513" s="19"/>
      <c r="L513" s="46"/>
      <c r="M513" s="47"/>
      <c r="N513" s="47"/>
      <c r="O513" s="47"/>
      <c r="P513" s="47"/>
    </row>
    <row r="514" spans="3:16" x14ac:dyDescent="0.2">
      <c r="C514" s="46"/>
      <c r="D514" s="47"/>
      <c r="E514" s="47"/>
      <c r="F514" s="47"/>
      <c r="G514" s="47"/>
      <c r="H514" s="47"/>
      <c r="I514" s="19"/>
      <c r="L514" s="46"/>
      <c r="M514" s="47"/>
      <c r="N514" s="47"/>
      <c r="O514" s="47"/>
      <c r="P514" s="47"/>
    </row>
    <row r="515" spans="3:16" x14ac:dyDescent="0.2">
      <c r="C515" s="46"/>
      <c r="D515" s="47"/>
      <c r="E515" s="47"/>
      <c r="F515" s="47"/>
      <c r="G515" s="47"/>
      <c r="H515" s="47"/>
      <c r="I515" s="19"/>
      <c r="L515" s="46"/>
      <c r="M515" s="47"/>
      <c r="N515" s="47"/>
      <c r="O515" s="47"/>
      <c r="P515" s="47"/>
    </row>
    <row r="516" spans="3:16" x14ac:dyDescent="0.2">
      <c r="C516" s="46"/>
      <c r="D516" s="47"/>
      <c r="E516" s="47"/>
      <c r="F516" s="47"/>
      <c r="G516" s="47"/>
      <c r="H516" s="47"/>
      <c r="I516" s="19"/>
      <c r="L516" s="46"/>
      <c r="M516" s="47"/>
      <c r="N516" s="47"/>
      <c r="O516" s="47"/>
      <c r="P516" s="47"/>
    </row>
    <row r="517" spans="3:16" x14ac:dyDescent="0.2">
      <c r="C517" s="46"/>
      <c r="D517" s="47"/>
      <c r="E517" s="47"/>
      <c r="F517" s="47"/>
      <c r="G517" s="47"/>
      <c r="H517" s="47"/>
      <c r="I517" s="19"/>
      <c r="L517" s="46"/>
      <c r="M517" s="47"/>
      <c r="N517" s="47"/>
      <c r="O517" s="47"/>
      <c r="P517" s="47"/>
    </row>
    <row r="518" spans="3:16" x14ac:dyDescent="0.2">
      <c r="C518" s="46"/>
      <c r="D518" s="47"/>
      <c r="E518" s="47"/>
      <c r="F518" s="47"/>
      <c r="G518" s="47"/>
      <c r="H518" s="47"/>
      <c r="I518" s="19"/>
      <c r="L518" s="46"/>
      <c r="M518" s="47"/>
      <c r="N518" s="47"/>
      <c r="O518" s="47"/>
      <c r="P518" s="47"/>
    </row>
    <row r="519" spans="3:16" x14ac:dyDescent="0.2">
      <c r="C519" s="46"/>
      <c r="D519" s="47"/>
      <c r="E519" s="47"/>
      <c r="F519" s="47"/>
      <c r="G519" s="47"/>
      <c r="H519" s="47"/>
      <c r="I519" s="19"/>
      <c r="L519" s="46"/>
      <c r="M519" s="47"/>
      <c r="N519" s="47"/>
      <c r="O519" s="47"/>
      <c r="P519" s="47"/>
    </row>
    <row r="520" spans="3:16" x14ac:dyDescent="0.2">
      <c r="C520" s="46"/>
      <c r="D520" s="47"/>
      <c r="E520" s="47"/>
      <c r="F520" s="47"/>
      <c r="G520" s="47"/>
      <c r="H520" s="47"/>
      <c r="I520" s="19"/>
      <c r="L520" s="46"/>
      <c r="M520" s="47"/>
      <c r="N520" s="47"/>
      <c r="O520" s="47"/>
      <c r="P520" s="47"/>
    </row>
    <row r="521" spans="3:16" x14ac:dyDescent="0.2">
      <c r="C521" s="46"/>
      <c r="D521" s="47"/>
      <c r="E521" s="47"/>
      <c r="F521" s="47"/>
      <c r="G521" s="47"/>
      <c r="H521" s="47"/>
      <c r="I521" s="19"/>
      <c r="L521" s="46"/>
      <c r="M521" s="47"/>
      <c r="N521" s="47"/>
      <c r="O521" s="47"/>
      <c r="P521" s="47"/>
    </row>
    <row r="522" spans="3:16" x14ac:dyDescent="0.2">
      <c r="C522" s="46"/>
      <c r="D522" s="47"/>
      <c r="E522" s="47"/>
      <c r="F522" s="47"/>
      <c r="G522" s="47"/>
      <c r="H522" s="47"/>
      <c r="I522" s="19"/>
      <c r="L522" s="46"/>
      <c r="M522" s="47"/>
      <c r="N522" s="47"/>
      <c r="O522" s="47"/>
      <c r="P522" s="47"/>
    </row>
    <row r="523" spans="3:16" x14ac:dyDescent="0.2">
      <c r="C523" s="46"/>
      <c r="D523" s="47"/>
      <c r="E523" s="47"/>
      <c r="F523" s="47"/>
      <c r="G523" s="47"/>
      <c r="H523" s="47"/>
      <c r="I523" s="19"/>
      <c r="L523" s="46"/>
      <c r="M523" s="47"/>
      <c r="N523" s="47"/>
      <c r="O523" s="47"/>
      <c r="P523" s="47"/>
    </row>
    <row r="524" spans="3:16" x14ac:dyDescent="0.2">
      <c r="C524" s="46"/>
      <c r="D524" s="47"/>
      <c r="E524" s="47"/>
      <c r="F524" s="47"/>
      <c r="G524" s="47"/>
      <c r="H524" s="47"/>
      <c r="I524" s="19"/>
      <c r="L524" s="46"/>
      <c r="M524" s="47"/>
      <c r="N524" s="47"/>
      <c r="O524" s="47"/>
      <c r="P524" s="47"/>
    </row>
    <row r="525" spans="3:16" x14ac:dyDescent="0.2">
      <c r="C525" s="46"/>
      <c r="D525" s="47"/>
      <c r="E525" s="47"/>
      <c r="F525" s="47"/>
      <c r="G525" s="47"/>
      <c r="H525" s="47"/>
      <c r="I525" s="19"/>
      <c r="L525" s="46"/>
      <c r="M525" s="47"/>
      <c r="N525" s="47"/>
      <c r="O525" s="47"/>
      <c r="P525" s="47"/>
    </row>
    <row r="526" spans="3:16" x14ac:dyDescent="0.2">
      <c r="C526" s="46"/>
      <c r="D526" s="47"/>
      <c r="E526" s="47"/>
      <c r="F526" s="47"/>
      <c r="G526" s="47"/>
      <c r="H526" s="47"/>
      <c r="I526" s="19"/>
      <c r="L526" s="46"/>
      <c r="M526" s="47"/>
      <c r="N526" s="47"/>
      <c r="O526" s="47"/>
      <c r="P526" s="47"/>
    </row>
    <row r="527" spans="3:16" x14ac:dyDescent="0.2">
      <c r="C527" s="46"/>
      <c r="D527" s="47"/>
      <c r="E527" s="47"/>
      <c r="F527" s="47"/>
      <c r="G527" s="47"/>
      <c r="H527" s="47"/>
      <c r="I527" s="19"/>
      <c r="L527" s="46"/>
      <c r="M527" s="47"/>
      <c r="N527" s="47"/>
      <c r="O527" s="47"/>
      <c r="P527" s="47"/>
    </row>
    <row r="528" spans="3:16" x14ac:dyDescent="0.2">
      <c r="C528" s="46"/>
      <c r="D528" s="47"/>
      <c r="E528" s="47"/>
      <c r="F528" s="47"/>
      <c r="G528" s="47"/>
      <c r="H528" s="47"/>
      <c r="I528" s="19"/>
      <c r="L528" s="46"/>
      <c r="M528" s="47"/>
      <c r="N528" s="47"/>
      <c r="O528" s="47"/>
      <c r="P528" s="47"/>
    </row>
    <row r="529" spans="3:16" x14ac:dyDescent="0.2">
      <c r="C529" s="46"/>
      <c r="D529" s="47"/>
      <c r="E529" s="47"/>
      <c r="F529" s="47"/>
      <c r="G529" s="47"/>
      <c r="H529" s="47"/>
      <c r="I529" s="19"/>
      <c r="L529" s="46"/>
      <c r="M529" s="47"/>
      <c r="N529" s="47"/>
      <c r="O529" s="47"/>
      <c r="P529" s="47"/>
    </row>
    <row r="530" spans="3:16" x14ac:dyDescent="0.2">
      <c r="C530" s="46"/>
      <c r="D530" s="47"/>
      <c r="E530" s="47"/>
      <c r="F530" s="47"/>
      <c r="G530" s="47"/>
      <c r="H530" s="47"/>
      <c r="I530" s="19"/>
      <c r="L530" s="46"/>
      <c r="M530" s="47"/>
      <c r="N530" s="47"/>
      <c r="O530" s="47"/>
      <c r="P530" s="47"/>
    </row>
    <row r="531" spans="3:16" x14ac:dyDescent="0.2">
      <c r="C531" s="46"/>
      <c r="D531" s="47"/>
      <c r="E531" s="47"/>
      <c r="F531" s="47"/>
      <c r="G531" s="47"/>
      <c r="H531" s="47"/>
      <c r="I531" s="19"/>
      <c r="L531" s="46"/>
      <c r="M531" s="47"/>
      <c r="N531" s="47"/>
      <c r="O531" s="47"/>
      <c r="P531" s="47"/>
    </row>
    <row r="532" spans="3:16" x14ac:dyDescent="0.2">
      <c r="C532" s="46"/>
      <c r="D532" s="47"/>
      <c r="E532" s="47"/>
      <c r="F532" s="47"/>
      <c r="G532" s="47"/>
      <c r="H532" s="47"/>
      <c r="I532" s="19"/>
      <c r="L532" s="46"/>
      <c r="M532" s="47"/>
      <c r="N532" s="47"/>
      <c r="O532" s="47"/>
      <c r="P532" s="47"/>
    </row>
    <row r="533" spans="3:16" x14ac:dyDescent="0.2">
      <c r="C533" s="46"/>
      <c r="D533" s="47"/>
      <c r="E533" s="47"/>
      <c r="F533" s="47"/>
      <c r="G533" s="47"/>
      <c r="H533" s="47"/>
      <c r="I533" s="19"/>
      <c r="L533" s="46"/>
      <c r="M533" s="47"/>
      <c r="N533" s="47"/>
      <c r="O533" s="47"/>
      <c r="P533" s="47"/>
    </row>
    <row r="534" spans="3:16" x14ac:dyDescent="0.2">
      <c r="C534" s="46"/>
      <c r="D534" s="47"/>
      <c r="E534" s="47"/>
      <c r="F534" s="47"/>
      <c r="G534" s="47"/>
      <c r="H534" s="47"/>
      <c r="I534" s="19"/>
      <c r="L534" s="46"/>
      <c r="M534" s="47"/>
      <c r="N534" s="47"/>
      <c r="O534" s="47"/>
      <c r="P534" s="47"/>
    </row>
    <row r="535" spans="3:16" x14ac:dyDescent="0.2">
      <c r="C535" s="46"/>
      <c r="D535" s="47"/>
      <c r="E535" s="47"/>
      <c r="F535" s="47"/>
      <c r="G535" s="47"/>
      <c r="H535" s="47"/>
      <c r="I535" s="19"/>
      <c r="L535" s="46"/>
      <c r="M535" s="47"/>
      <c r="N535" s="47"/>
      <c r="O535" s="47"/>
      <c r="P535" s="47"/>
    </row>
    <row r="536" spans="3:16" x14ac:dyDescent="0.2">
      <c r="C536" s="46"/>
      <c r="D536" s="47"/>
      <c r="E536" s="47"/>
      <c r="F536" s="47"/>
      <c r="G536" s="47"/>
      <c r="H536" s="47"/>
      <c r="I536" s="19"/>
      <c r="L536" s="46"/>
      <c r="M536" s="47"/>
      <c r="N536" s="47"/>
      <c r="O536" s="47"/>
      <c r="P536" s="47"/>
    </row>
    <row r="537" spans="3:16" x14ac:dyDescent="0.2">
      <c r="C537" s="46"/>
      <c r="D537" s="47"/>
      <c r="E537" s="47"/>
      <c r="F537" s="47"/>
      <c r="G537" s="47"/>
      <c r="H537" s="47"/>
      <c r="I537" s="19"/>
      <c r="L537" s="46"/>
      <c r="M537" s="47"/>
      <c r="N537" s="47"/>
      <c r="O537" s="47"/>
      <c r="P537" s="47"/>
    </row>
    <row r="538" spans="3:16" x14ac:dyDescent="0.2">
      <c r="C538" s="46"/>
      <c r="D538" s="47"/>
      <c r="E538" s="47"/>
      <c r="F538" s="47"/>
      <c r="G538" s="47"/>
      <c r="H538" s="47"/>
      <c r="I538" s="19"/>
      <c r="L538" s="46"/>
      <c r="M538" s="47"/>
      <c r="N538" s="47"/>
      <c r="O538" s="47"/>
      <c r="P538" s="47"/>
    </row>
    <row r="539" spans="3:16" x14ac:dyDescent="0.2">
      <c r="C539" s="46"/>
      <c r="D539" s="47"/>
      <c r="E539" s="47"/>
      <c r="F539" s="47"/>
      <c r="G539" s="47"/>
      <c r="H539" s="47"/>
      <c r="I539" s="19"/>
      <c r="L539" s="46"/>
      <c r="M539" s="47"/>
      <c r="N539" s="47"/>
      <c r="O539" s="47"/>
      <c r="P539" s="47"/>
    </row>
    <row r="540" spans="3:16" x14ac:dyDescent="0.2">
      <c r="C540" s="46"/>
      <c r="D540" s="47"/>
      <c r="E540" s="47"/>
      <c r="F540" s="47"/>
      <c r="G540" s="47"/>
      <c r="H540" s="47"/>
      <c r="I540" s="19"/>
      <c r="L540" s="46"/>
      <c r="M540" s="47"/>
      <c r="N540" s="47"/>
      <c r="O540" s="47"/>
      <c r="P540" s="47"/>
    </row>
    <row r="541" spans="3:16" x14ac:dyDescent="0.2">
      <c r="C541" s="46"/>
      <c r="D541" s="47"/>
      <c r="E541" s="47"/>
      <c r="F541" s="47"/>
      <c r="G541" s="47"/>
      <c r="H541" s="47"/>
      <c r="I541" s="19"/>
      <c r="L541" s="46"/>
      <c r="M541" s="47"/>
      <c r="N541" s="47"/>
      <c r="O541" s="47"/>
      <c r="P541" s="47"/>
    </row>
    <row r="542" spans="3:16" x14ac:dyDescent="0.2">
      <c r="C542" s="46"/>
      <c r="D542" s="47"/>
      <c r="E542" s="47"/>
      <c r="F542" s="47"/>
      <c r="G542" s="47"/>
      <c r="H542" s="47"/>
      <c r="I542" s="19"/>
      <c r="L542" s="46"/>
      <c r="M542" s="47"/>
      <c r="N542" s="47"/>
      <c r="O542" s="47"/>
      <c r="P542" s="47"/>
    </row>
    <row r="543" spans="3:16" x14ac:dyDescent="0.2">
      <c r="C543" s="46"/>
      <c r="D543" s="47"/>
      <c r="E543" s="47"/>
      <c r="F543" s="47"/>
      <c r="G543" s="47"/>
      <c r="H543" s="47"/>
      <c r="I543" s="19"/>
      <c r="L543" s="46"/>
      <c r="M543" s="47"/>
      <c r="N543" s="47"/>
      <c r="O543" s="47"/>
      <c r="P543" s="47"/>
    </row>
    <row r="544" spans="3:16" x14ac:dyDescent="0.2">
      <c r="C544" s="46"/>
      <c r="D544" s="47"/>
      <c r="E544" s="47"/>
      <c r="F544" s="47"/>
      <c r="G544" s="47"/>
      <c r="H544" s="47"/>
      <c r="I544" s="19"/>
      <c r="L544" s="46"/>
      <c r="M544" s="47"/>
      <c r="N544" s="47"/>
      <c r="O544" s="47"/>
      <c r="P544" s="47"/>
    </row>
    <row r="545" spans="3:16" x14ac:dyDescent="0.2">
      <c r="C545" s="46"/>
      <c r="D545" s="47"/>
      <c r="E545" s="47"/>
      <c r="F545" s="47"/>
      <c r="G545" s="47"/>
      <c r="H545" s="47"/>
      <c r="I545" s="19"/>
      <c r="L545" s="46"/>
      <c r="M545" s="47"/>
      <c r="N545" s="47"/>
      <c r="O545" s="47"/>
      <c r="P545" s="47"/>
    </row>
    <row r="546" spans="3:16" x14ac:dyDescent="0.2">
      <c r="C546" s="46"/>
      <c r="D546" s="47"/>
      <c r="E546" s="47"/>
      <c r="F546" s="47"/>
      <c r="G546" s="47"/>
      <c r="H546" s="47"/>
      <c r="I546" s="19"/>
      <c r="L546" s="46"/>
      <c r="M546" s="47"/>
      <c r="N546" s="47"/>
      <c r="O546" s="47"/>
      <c r="P546" s="47"/>
    </row>
    <row r="547" spans="3:16" x14ac:dyDescent="0.2">
      <c r="C547" s="46"/>
      <c r="D547" s="47"/>
      <c r="E547" s="47"/>
      <c r="F547" s="47"/>
      <c r="G547" s="47"/>
      <c r="H547" s="47"/>
      <c r="I547" s="19"/>
      <c r="L547" s="46"/>
      <c r="M547" s="47"/>
      <c r="N547" s="47"/>
      <c r="O547" s="47"/>
      <c r="P547" s="47"/>
    </row>
    <row r="548" spans="3:16" x14ac:dyDescent="0.2">
      <c r="C548" s="46"/>
      <c r="D548" s="47"/>
      <c r="E548" s="47"/>
      <c r="F548" s="47"/>
      <c r="G548" s="47"/>
      <c r="H548" s="47"/>
      <c r="I548" s="19"/>
      <c r="L548" s="46"/>
      <c r="M548" s="47"/>
      <c r="N548" s="47"/>
      <c r="O548" s="47"/>
      <c r="P548" s="47"/>
    </row>
    <row r="549" spans="3:16" x14ac:dyDescent="0.2">
      <c r="C549" s="46"/>
      <c r="D549" s="47"/>
      <c r="E549" s="47"/>
      <c r="F549" s="47"/>
      <c r="G549" s="47"/>
      <c r="H549" s="47"/>
      <c r="I549" s="19"/>
      <c r="L549" s="46"/>
      <c r="M549" s="47"/>
      <c r="N549" s="47"/>
      <c r="O549" s="47"/>
      <c r="P549" s="47"/>
    </row>
    <row r="550" spans="3:16" x14ac:dyDescent="0.2">
      <c r="C550" s="46"/>
      <c r="D550" s="47"/>
      <c r="E550" s="47"/>
      <c r="F550" s="47"/>
      <c r="G550" s="47"/>
      <c r="H550" s="47"/>
      <c r="I550" s="19"/>
      <c r="L550" s="46"/>
      <c r="M550" s="47"/>
      <c r="N550" s="47"/>
      <c r="O550" s="47"/>
      <c r="P550" s="47"/>
    </row>
    <row r="551" spans="3:16" x14ac:dyDescent="0.2">
      <c r="C551" s="46"/>
      <c r="D551" s="47"/>
      <c r="E551" s="47"/>
      <c r="F551" s="47"/>
      <c r="G551" s="47"/>
      <c r="H551" s="47"/>
      <c r="I551" s="19"/>
      <c r="L551" s="46"/>
      <c r="M551" s="47"/>
      <c r="N551" s="47"/>
      <c r="O551" s="47"/>
      <c r="P551" s="47"/>
    </row>
    <row r="552" spans="3:16" x14ac:dyDescent="0.2">
      <c r="C552" s="46"/>
      <c r="D552" s="47"/>
      <c r="E552" s="47"/>
      <c r="F552" s="47"/>
      <c r="G552" s="47"/>
      <c r="H552" s="47"/>
      <c r="I552" s="19"/>
      <c r="L552" s="46"/>
      <c r="M552" s="47"/>
      <c r="N552" s="47"/>
      <c r="O552" s="47"/>
      <c r="P552" s="47"/>
    </row>
    <row r="553" spans="3:16" x14ac:dyDescent="0.2">
      <c r="C553" s="46"/>
      <c r="D553" s="47"/>
      <c r="E553" s="47"/>
      <c r="F553" s="47"/>
      <c r="G553" s="47"/>
      <c r="H553" s="47"/>
      <c r="I553" s="19"/>
      <c r="L553" s="46"/>
      <c r="M553" s="47"/>
      <c r="N553" s="47"/>
      <c r="O553" s="47"/>
      <c r="P553" s="47"/>
    </row>
    <row r="554" spans="3:16" x14ac:dyDescent="0.2">
      <c r="C554" s="46"/>
      <c r="D554" s="47"/>
      <c r="E554" s="47"/>
      <c r="F554" s="47"/>
      <c r="G554" s="47"/>
      <c r="H554" s="47"/>
      <c r="I554" s="19"/>
      <c r="L554" s="46"/>
      <c r="M554" s="47"/>
      <c r="N554" s="47"/>
      <c r="O554" s="47"/>
      <c r="P554" s="47"/>
    </row>
    <row r="555" spans="3:16" x14ac:dyDescent="0.2">
      <c r="C555" s="46"/>
      <c r="D555" s="47"/>
      <c r="E555" s="47"/>
      <c r="F555" s="47"/>
      <c r="G555" s="47"/>
      <c r="H555" s="47"/>
      <c r="I555" s="19"/>
      <c r="L555" s="46"/>
      <c r="M555" s="47"/>
      <c r="N555" s="47"/>
      <c r="O555" s="47"/>
      <c r="P555" s="47"/>
    </row>
    <row r="556" spans="3:16" x14ac:dyDescent="0.2">
      <c r="C556" s="46"/>
      <c r="D556" s="47"/>
      <c r="E556" s="47"/>
      <c r="F556" s="47"/>
      <c r="G556" s="47"/>
      <c r="H556" s="47"/>
      <c r="I556" s="19"/>
      <c r="L556" s="46"/>
      <c r="M556" s="47"/>
      <c r="N556" s="47"/>
      <c r="O556" s="47"/>
      <c r="P556" s="47"/>
    </row>
    <row r="557" spans="3:16" x14ac:dyDescent="0.2">
      <c r="C557" s="46"/>
      <c r="D557" s="47"/>
      <c r="E557" s="47"/>
      <c r="F557" s="47"/>
      <c r="G557" s="47"/>
      <c r="H557" s="47"/>
      <c r="I557" s="19"/>
      <c r="L557" s="46"/>
      <c r="M557" s="47"/>
      <c r="N557" s="47"/>
      <c r="O557" s="47"/>
      <c r="P557" s="47"/>
    </row>
    <row r="558" spans="3:16" x14ac:dyDescent="0.2">
      <c r="C558" s="46"/>
      <c r="D558" s="47"/>
      <c r="E558" s="47"/>
      <c r="F558" s="47"/>
      <c r="G558" s="47"/>
      <c r="H558" s="47"/>
      <c r="I558" s="19"/>
      <c r="L558" s="46"/>
      <c r="M558" s="47"/>
      <c r="N558" s="47"/>
      <c r="O558" s="47"/>
      <c r="P558" s="47"/>
    </row>
    <row r="559" spans="3:16" x14ac:dyDescent="0.2">
      <c r="C559" s="46"/>
      <c r="D559" s="47"/>
      <c r="E559" s="47"/>
      <c r="F559" s="47"/>
      <c r="G559" s="47"/>
      <c r="H559" s="47"/>
      <c r="I559" s="19"/>
      <c r="L559" s="46"/>
      <c r="M559" s="47"/>
      <c r="N559" s="47"/>
      <c r="O559" s="47"/>
      <c r="P559" s="47"/>
    </row>
    <row r="560" spans="3:16" x14ac:dyDescent="0.2">
      <c r="C560" s="46"/>
      <c r="D560" s="47"/>
      <c r="E560" s="47"/>
      <c r="F560" s="47"/>
      <c r="G560" s="47"/>
      <c r="H560" s="47"/>
      <c r="I560" s="19"/>
      <c r="L560" s="46"/>
      <c r="M560" s="47"/>
      <c r="N560" s="47"/>
      <c r="O560" s="47"/>
      <c r="P560" s="47"/>
    </row>
    <row r="561" spans="3:16" x14ac:dyDescent="0.2">
      <c r="C561" s="46"/>
      <c r="D561" s="47"/>
      <c r="E561" s="47"/>
      <c r="F561" s="47"/>
      <c r="G561" s="47"/>
      <c r="H561" s="47"/>
      <c r="I561" s="19"/>
      <c r="L561" s="46"/>
      <c r="M561" s="47"/>
      <c r="N561" s="47"/>
      <c r="O561" s="47"/>
      <c r="P561" s="47"/>
    </row>
    <row r="562" spans="3:16" x14ac:dyDescent="0.2">
      <c r="C562" s="46"/>
      <c r="D562" s="47"/>
      <c r="E562" s="47"/>
      <c r="F562" s="47"/>
      <c r="G562" s="47"/>
      <c r="H562" s="47"/>
      <c r="I562" s="19"/>
      <c r="L562" s="46"/>
      <c r="M562" s="47"/>
      <c r="N562" s="47"/>
      <c r="O562" s="47"/>
      <c r="P562" s="47"/>
    </row>
    <row r="563" spans="3:16" x14ac:dyDescent="0.2">
      <c r="C563" s="46"/>
      <c r="D563" s="47"/>
      <c r="E563" s="47"/>
      <c r="F563" s="47"/>
      <c r="G563" s="47"/>
      <c r="H563" s="47"/>
      <c r="I563" s="19"/>
      <c r="L563" s="46"/>
      <c r="M563" s="47"/>
      <c r="N563" s="47"/>
      <c r="O563" s="47"/>
      <c r="P563" s="47"/>
    </row>
    <row r="564" spans="3:16" x14ac:dyDescent="0.2">
      <c r="C564" s="46"/>
      <c r="D564" s="47"/>
      <c r="E564" s="47"/>
      <c r="F564" s="47"/>
      <c r="G564" s="47"/>
      <c r="H564" s="47"/>
      <c r="I564" s="19"/>
      <c r="L564" s="46"/>
      <c r="M564" s="47"/>
      <c r="N564" s="47"/>
      <c r="O564" s="47"/>
      <c r="P564" s="47"/>
    </row>
    <row r="565" spans="3:16" x14ac:dyDescent="0.2">
      <c r="C565" s="46"/>
      <c r="D565" s="47"/>
      <c r="E565" s="47"/>
      <c r="F565" s="47"/>
      <c r="G565" s="47"/>
      <c r="H565" s="47"/>
      <c r="I565" s="19"/>
      <c r="L565" s="46"/>
      <c r="M565" s="47"/>
      <c r="N565" s="47"/>
      <c r="O565" s="47"/>
      <c r="P565" s="47"/>
    </row>
    <row r="566" spans="3:16" x14ac:dyDescent="0.2">
      <c r="C566" s="46"/>
      <c r="D566" s="47"/>
      <c r="E566" s="47"/>
      <c r="F566" s="47"/>
      <c r="G566" s="47"/>
      <c r="H566" s="47"/>
      <c r="I566" s="19"/>
      <c r="L566" s="46"/>
      <c r="M566" s="47"/>
      <c r="N566" s="47"/>
      <c r="O566" s="47"/>
      <c r="P566" s="47"/>
    </row>
    <row r="567" spans="3:16" x14ac:dyDescent="0.2">
      <c r="C567" s="46"/>
      <c r="D567" s="47"/>
      <c r="E567" s="47"/>
      <c r="F567" s="47"/>
      <c r="G567" s="47"/>
      <c r="H567" s="47"/>
      <c r="I567" s="19"/>
      <c r="L567" s="46"/>
      <c r="M567" s="47"/>
      <c r="N567" s="47"/>
      <c r="O567" s="47"/>
      <c r="P567" s="47"/>
    </row>
    <row r="568" spans="3:16" x14ac:dyDescent="0.2">
      <c r="C568" s="46"/>
      <c r="D568" s="47"/>
      <c r="E568" s="47"/>
      <c r="F568" s="47"/>
      <c r="G568" s="47"/>
      <c r="H568" s="47"/>
      <c r="I568" s="19"/>
      <c r="L568" s="46"/>
      <c r="M568" s="47"/>
      <c r="N568" s="47"/>
      <c r="O568" s="47"/>
      <c r="P568" s="47"/>
    </row>
    <row r="569" spans="3:16" x14ac:dyDescent="0.2">
      <c r="C569" s="46"/>
      <c r="D569" s="47"/>
      <c r="E569" s="47"/>
      <c r="F569" s="47"/>
      <c r="G569" s="47"/>
      <c r="H569" s="47"/>
      <c r="I569" s="19"/>
      <c r="L569" s="46"/>
      <c r="M569" s="47"/>
      <c r="N569" s="47"/>
      <c r="O569" s="47"/>
      <c r="P569" s="47"/>
    </row>
    <row r="570" spans="3:16" x14ac:dyDescent="0.2">
      <c r="C570" s="46"/>
      <c r="D570" s="47"/>
      <c r="E570" s="47"/>
      <c r="F570" s="47"/>
      <c r="G570" s="47"/>
      <c r="H570" s="47"/>
      <c r="I570" s="19"/>
      <c r="L570" s="46"/>
      <c r="M570" s="47"/>
      <c r="N570" s="47"/>
      <c r="O570" s="47"/>
      <c r="P570" s="47"/>
    </row>
    <row r="571" spans="3:16" x14ac:dyDescent="0.2">
      <c r="C571" s="46"/>
      <c r="D571" s="47"/>
      <c r="E571" s="47"/>
      <c r="F571" s="47"/>
      <c r="G571" s="47"/>
      <c r="H571" s="47"/>
      <c r="I571" s="19"/>
      <c r="L571" s="46"/>
      <c r="M571" s="47"/>
      <c r="N571" s="47"/>
      <c r="O571" s="47"/>
      <c r="P571" s="47"/>
    </row>
    <row r="572" spans="3:16" x14ac:dyDescent="0.2">
      <c r="C572" s="46"/>
      <c r="D572" s="47"/>
      <c r="E572" s="47"/>
      <c r="F572" s="47"/>
      <c r="G572" s="47"/>
      <c r="H572" s="47"/>
      <c r="I572" s="19"/>
      <c r="L572" s="46"/>
      <c r="M572" s="47"/>
      <c r="N572" s="47"/>
      <c r="O572" s="47"/>
      <c r="P572" s="47"/>
    </row>
    <row r="573" spans="3:16" x14ac:dyDescent="0.2">
      <c r="C573" s="46"/>
      <c r="D573" s="47"/>
      <c r="E573" s="47"/>
      <c r="F573" s="47"/>
      <c r="G573" s="47"/>
      <c r="H573" s="47"/>
      <c r="I573" s="19"/>
      <c r="L573" s="46"/>
      <c r="M573" s="47"/>
      <c r="N573" s="47"/>
      <c r="O573" s="47"/>
      <c r="P573" s="47"/>
    </row>
    <row r="574" spans="3:16" x14ac:dyDescent="0.2">
      <c r="C574" s="46"/>
      <c r="D574" s="47"/>
      <c r="E574" s="47"/>
      <c r="F574" s="47"/>
      <c r="G574" s="47"/>
      <c r="H574" s="47"/>
      <c r="I574" s="19"/>
      <c r="L574" s="46"/>
      <c r="M574" s="47"/>
      <c r="N574" s="47"/>
      <c r="O574" s="47"/>
      <c r="P574" s="47"/>
    </row>
    <row r="575" spans="3:16" x14ac:dyDescent="0.2">
      <c r="C575" s="46"/>
      <c r="D575" s="47"/>
      <c r="E575" s="47"/>
      <c r="F575" s="47"/>
      <c r="G575" s="47"/>
      <c r="H575" s="47"/>
      <c r="I575" s="19"/>
      <c r="L575" s="46"/>
      <c r="M575" s="47"/>
      <c r="N575" s="47"/>
      <c r="O575" s="47"/>
      <c r="P575" s="47"/>
    </row>
    <row r="576" spans="3:16" x14ac:dyDescent="0.2">
      <c r="C576" s="46"/>
      <c r="D576" s="47"/>
      <c r="E576" s="47"/>
      <c r="F576" s="47"/>
      <c r="G576" s="47"/>
      <c r="H576" s="47"/>
      <c r="I576" s="19"/>
      <c r="L576" s="46"/>
      <c r="M576" s="47"/>
      <c r="N576" s="47"/>
      <c r="O576" s="47"/>
      <c r="P576" s="47"/>
    </row>
    <row r="577" spans="3:16" x14ac:dyDescent="0.2">
      <c r="C577" s="46"/>
      <c r="D577" s="47"/>
      <c r="E577" s="47"/>
      <c r="F577" s="47"/>
      <c r="G577" s="47"/>
      <c r="H577" s="47"/>
      <c r="I577" s="19"/>
      <c r="L577" s="46"/>
      <c r="M577" s="47"/>
      <c r="N577" s="47"/>
      <c r="O577" s="47"/>
      <c r="P577" s="47"/>
    </row>
    <row r="578" spans="3:16" x14ac:dyDescent="0.2">
      <c r="C578" s="46"/>
      <c r="D578" s="47"/>
      <c r="E578" s="47"/>
      <c r="F578" s="47"/>
      <c r="G578" s="47"/>
      <c r="H578" s="47"/>
      <c r="I578" s="19"/>
      <c r="L578" s="46"/>
      <c r="M578" s="47"/>
      <c r="N578" s="47"/>
      <c r="O578" s="47"/>
      <c r="P578" s="47"/>
    </row>
    <row r="579" spans="3:16" x14ac:dyDescent="0.2">
      <c r="C579" s="46"/>
      <c r="D579" s="47"/>
      <c r="E579" s="47"/>
      <c r="F579" s="47"/>
      <c r="G579" s="47"/>
      <c r="H579" s="47"/>
      <c r="I579" s="19"/>
      <c r="L579" s="46"/>
      <c r="M579" s="47"/>
      <c r="N579" s="47"/>
      <c r="O579" s="47"/>
      <c r="P579" s="47"/>
    </row>
    <row r="580" spans="3:16" x14ac:dyDescent="0.2">
      <c r="C580" s="46"/>
      <c r="D580" s="47"/>
      <c r="E580" s="47"/>
      <c r="F580" s="47"/>
      <c r="G580" s="47"/>
      <c r="H580" s="47"/>
      <c r="I580" s="19"/>
      <c r="L580" s="46"/>
      <c r="M580" s="47"/>
      <c r="N580" s="47"/>
      <c r="O580" s="47"/>
      <c r="P580" s="47"/>
    </row>
    <row r="581" spans="3:16" x14ac:dyDescent="0.2">
      <c r="C581" s="46"/>
      <c r="D581" s="47"/>
      <c r="E581" s="47"/>
      <c r="F581" s="47"/>
      <c r="G581" s="47"/>
      <c r="H581" s="47"/>
      <c r="I581" s="19"/>
      <c r="L581" s="46"/>
      <c r="M581" s="47"/>
      <c r="N581" s="47"/>
      <c r="O581" s="47"/>
      <c r="P581" s="47"/>
    </row>
    <row r="582" spans="3:16" x14ac:dyDescent="0.2">
      <c r="C582" s="46"/>
      <c r="D582" s="47"/>
      <c r="E582" s="47"/>
      <c r="F582" s="47"/>
      <c r="G582" s="47"/>
      <c r="H582" s="47"/>
      <c r="I582" s="19"/>
      <c r="L582" s="46"/>
      <c r="M582" s="47"/>
      <c r="N582" s="47"/>
      <c r="O582" s="47"/>
      <c r="P582" s="47"/>
    </row>
    <row r="583" spans="3:16" x14ac:dyDescent="0.2">
      <c r="C583" s="46"/>
      <c r="D583" s="47"/>
      <c r="E583" s="47"/>
      <c r="F583" s="47"/>
      <c r="G583" s="47"/>
      <c r="H583" s="47"/>
      <c r="I583" s="19"/>
      <c r="L583" s="46"/>
      <c r="M583" s="47"/>
      <c r="N583" s="47"/>
      <c r="O583" s="47"/>
      <c r="P583" s="47"/>
    </row>
    <row r="584" spans="3:16" x14ac:dyDescent="0.2">
      <c r="C584" s="46"/>
      <c r="D584" s="47"/>
      <c r="E584" s="47"/>
      <c r="F584" s="47"/>
      <c r="G584" s="47"/>
      <c r="H584" s="47"/>
      <c r="I584" s="19"/>
      <c r="L584" s="46"/>
      <c r="M584" s="47"/>
      <c r="N584" s="47"/>
      <c r="O584" s="47"/>
      <c r="P584" s="47"/>
    </row>
    <row r="585" spans="3:16" x14ac:dyDescent="0.2">
      <c r="C585" s="46"/>
      <c r="D585" s="47"/>
      <c r="E585" s="47"/>
      <c r="F585" s="47"/>
      <c r="G585" s="47"/>
      <c r="H585" s="47"/>
      <c r="I585" s="19"/>
      <c r="L585" s="46"/>
      <c r="M585" s="47"/>
      <c r="N585" s="47"/>
      <c r="O585" s="47"/>
      <c r="P585" s="47"/>
    </row>
    <row r="586" spans="3:16" x14ac:dyDescent="0.2">
      <c r="C586" s="46"/>
      <c r="D586" s="47"/>
      <c r="E586" s="47"/>
      <c r="F586" s="47"/>
      <c r="G586" s="47"/>
      <c r="H586" s="47"/>
      <c r="I586" s="19"/>
      <c r="L586" s="46"/>
      <c r="M586" s="47"/>
      <c r="N586" s="47"/>
      <c r="O586" s="47"/>
      <c r="P586" s="47"/>
    </row>
    <row r="587" spans="3:16" x14ac:dyDescent="0.2">
      <c r="C587" s="46"/>
      <c r="D587" s="47"/>
      <c r="E587" s="47"/>
      <c r="F587" s="47"/>
      <c r="G587" s="47"/>
      <c r="H587" s="47"/>
      <c r="I587" s="19"/>
      <c r="L587" s="46"/>
      <c r="M587" s="47"/>
      <c r="N587" s="47"/>
      <c r="O587" s="47"/>
      <c r="P587" s="47"/>
    </row>
    <row r="588" spans="3:16" x14ac:dyDescent="0.2">
      <c r="C588" s="46"/>
      <c r="D588" s="47"/>
      <c r="E588" s="47"/>
      <c r="F588" s="47"/>
      <c r="G588" s="47"/>
      <c r="H588" s="47"/>
      <c r="I588" s="19"/>
      <c r="L588" s="46"/>
      <c r="M588" s="47"/>
      <c r="N588" s="47"/>
      <c r="O588" s="47"/>
      <c r="P588" s="47"/>
    </row>
    <row r="589" spans="3:16" x14ac:dyDescent="0.2">
      <c r="C589" s="46"/>
      <c r="D589" s="47"/>
      <c r="E589" s="47"/>
      <c r="F589" s="47"/>
      <c r="G589" s="47"/>
      <c r="H589" s="47"/>
      <c r="I589" s="19"/>
      <c r="L589" s="46"/>
      <c r="M589" s="47"/>
      <c r="N589" s="47"/>
      <c r="O589" s="47"/>
      <c r="P589" s="47"/>
    </row>
    <row r="590" spans="3:16" x14ac:dyDescent="0.2">
      <c r="C590" s="46"/>
      <c r="D590" s="47"/>
      <c r="E590" s="47"/>
      <c r="F590" s="47"/>
      <c r="G590" s="47"/>
      <c r="H590" s="47"/>
      <c r="I590" s="19"/>
      <c r="L590" s="46"/>
      <c r="M590" s="47"/>
      <c r="N590" s="47"/>
      <c r="O590" s="47"/>
      <c r="P590" s="47"/>
    </row>
    <row r="591" spans="3:16" x14ac:dyDescent="0.2">
      <c r="C591" s="46"/>
      <c r="D591" s="47"/>
      <c r="E591" s="47"/>
      <c r="F591" s="47"/>
      <c r="G591" s="47"/>
      <c r="H591" s="47"/>
      <c r="I591" s="47"/>
      <c r="L591" s="46"/>
      <c r="M591" s="47"/>
      <c r="N591" s="47"/>
      <c r="O591" s="47"/>
      <c r="P591" s="47"/>
    </row>
    <row r="592" spans="3:16" x14ac:dyDescent="0.2">
      <c r="C592" s="46"/>
      <c r="D592" s="47"/>
      <c r="E592" s="47"/>
      <c r="F592" s="47"/>
      <c r="G592" s="47"/>
      <c r="H592" s="47"/>
      <c r="I592" s="47"/>
      <c r="L592" s="46"/>
      <c r="M592" s="47"/>
      <c r="N592" s="47"/>
      <c r="O592" s="47"/>
      <c r="P592" s="47"/>
    </row>
    <row r="593" spans="3:16" x14ac:dyDescent="0.2">
      <c r="C593" s="46"/>
      <c r="D593" s="47"/>
      <c r="E593" s="47"/>
      <c r="F593" s="47"/>
      <c r="G593" s="47"/>
      <c r="H593" s="47"/>
      <c r="I593" s="47"/>
      <c r="L593" s="46"/>
      <c r="M593" s="47"/>
      <c r="N593" s="47"/>
      <c r="O593" s="47"/>
      <c r="P593" s="47"/>
    </row>
    <row r="594" spans="3:16" x14ac:dyDescent="0.2">
      <c r="C594" s="46"/>
      <c r="D594" s="47"/>
      <c r="E594" s="47"/>
      <c r="F594" s="47"/>
      <c r="G594" s="47"/>
      <c r="H594" s="47"/>
      <c r="I594" s="47"/>
      <c r="L594" s="46"/>
      <c r="M594" s="47"/>
      <c r="N594" s="47"/>
      <c r="O594" s="47"/>
      <c r="P594" s="47"/>
    </row>
    <row r="595" spans="3:16" x14ac:dyDescent="0.2">
      <c r="C595" s="46"/>
      <c r="D595" s="47"/>
      <c r="E595" s="47"/>
      <c r="F595" s="47"/>
      <c r="G595" s="47"/>
      <c r="H595" s="47"/>
      <c r="I595" s="47"/>
      <c r="L595" s="46"/>
      <c r="M595" s="47"/>
      <c r="N595" s="47"/>
      <c r="O595" s="47"/>
      <c r="P595" s="47"/>
    </row>
    <row r="596" spans="3:16" x14ac:dyDescent="0.2">
      <c r="C596" s="46"/>
      <c r="D596" s="47"/>
      <c r="E596" s="47"/>
      <c r="F596" s="47"/>
      <c r="G596" s="47"/>
      <c r="H596" s="47"/>
      <c r="I596" s="47"/>
      <c r="L596" s="46"/>
      <c r="M596" s="47"/>
      <c r="N596" s="47"/>
      <c r="O596" s="47"/>
      <c r="P596" s="47"/>
    </row>
    <row r="597" spans="3:16" x14ac:dyDescent="0.2">
      <c r="C597" s="46"/>
      <c r="D597" s="47"/>
      <c r="E597" s="47"/>
      <c r="F597" s="47"/>
      <c r="G597" s="47"/>
      <c r="H597" s="47"/>
      <c r="I597" s="47"/>
      <c r="L597" s="46"/>
      <c r="M597" s="47"/>
      <c r="N597" s="47"/>
      <c r="O597" s="47"/>
      <c r="P597" s="47"/>
    </row>
    <row r="598" spans="3:16" x14ac:dyDescent="0.2">
      <c r="C598" s="46"/>
      <c r="D598" s="47"/>
      <c r="E598" s="47"/>
      <c r="F598" s="47"/>
      <c r="G598" s="47"/>
      <c r="H598" s="47"/>
      <c r="I598" s="47"/>
      <c r="L598" s="46"/>
      <c r="M598" s="47"/>
      <c r="N598" s="47"/>
      <c r="O598" s="47"/>
      <c r="P598" s="47"/>
    </row>
    <row r="599" spans="3:16" x14ac:dyDescent="0.2">
      <c r="C599" s="46"/>
      <c r="D599" s="47"/>
      <c r="E599" s="47"/>
      <c r="F599" s="47"/>
      <c r="G599" s="47"/>
      <c r="H599" s="47"/>
      <c r="I599" s="47"/>
      <c r="L599" s="46"/>
      <c r="M599" s="47"/>
      <c r="N599" s="47"/>
      <c r="O599" s="47"/>
      <c r="P599" s="47"/>
    </row>
    <row r="600" spans="3:16" x14ac:dyDescent="0.2">
      <c r="C600" s="46"/>
      <c r="D600" s="47"/>
      <c r="E600" s="47"/>
      <c r="F600" s="47"/>
      <c r="G600" s="47"/>
      <c r="H600" s="47"/>
      <c r="I600" s="47"/>
      <c r="L600" s="46"/>
      <c r="M600" s="47"/>
      <c r="N600" s="47"/>
      <c r="O600" s="47"/>
      <c r="P600" s="47"/>
    </row>
    <row r="601" spans="3:16" x14ac:dyDescent="0.2">
      <c r="C601" s="46"/>
      <c r="D601" s="47"/>
      <c r="E601" s="47"/>
      <c r="F601" s="47"/>
      <c r="G601" s="47"/>
      <c r="H601" s="47"/>
      <c r="I601" s="47"/>
      <c r="L601" s="46"/>
      <c r="M601" s="47"/>
      <c r="N601" s="47"/>
      <c r="O601" s="47"/>
      <c r="P601" s="47"/>
    </row>
    <row r="602" spans="3:16" x14ac:dyDescent="0.2">
      <c r="C602" s="46"/>
      <c r="D602" s="47"/>
      <c r="E602" s="47"/>
      <c r="F602" s="47"/>
      <c r="G602" s="47"/>
      <c r="H602" s="47"/>
      <c r="I602" s="47"/>
      <c r="L602" s="46"/>
      <c r="M602" s="47"/>
      <c r="N602" s="47"/>
      <c r="O602" s="47"/>
      <c r="P602" s="47"/>
    </row>
    <row r="603" spans="3:16" x14ac:dyDescent="0.2">
      <c r="C603" s="46"/>
      <c r="D603" s="47"/>
      <c r="E603" s="47"/>
      <c r="F603" s="47"/>
      <c r="G603" s="47"/>
      <c r="H603" s="47"/>
      <c r="I603" s="47"/>
      <c r="L603" s="46"/>
      <c r="M603" s="47"/>
      <c r="N603" s="47"/>
      <c r="O603" s="47"/>
      <c r="P603" s="47"/>
    </row>
    <row r="604" spans="3:16" x14ac:dyDescent="0.2">
      <c r="C604" s="46"/>
      <c r="D604" s="47"/>
      <c r="E604" s="47"/>
      <c r="F604" s="47"/>
      <c r="G604" s="47"/>
      <c r="H604" s="47"/>
      <c r="I604" s="47"/>
      <c r="L604" s="46"/>
      <c r="M604" s="47"/>
      <c r="N604" s="47"/>
      <c r="O604" s="47"/>
      <c r="P604" s="47"/>
    </row>
    <row r="605" spans="3:16" x14ac:dyDescent="0.2">
      <c r="C605" s="46"/>
      <c r="D605" s="47"/>
      <c r="E605" s="47"/>
      <c r="F605" s="47"/>
      <c r="G605" s="47"/>
      <c r="H605" s="47"/>
      <c r="I605" s="47"/>
      <c r="L605" s="46"/>
      <c r="M605" s="47"/>
      <c r="N605" s="47"/>
      <c r="O605" s="47"/>
      <c r="P605" s="47"/>
    </row>
    <row r="606" spans="3:16" x14ac:dyDescent="0.2">
      <c r="C606" s="46"/>
      <c r="D606" s="47"/>
      <c r="E606" s="47"/>
      <c r="F606" s="47"/>
      <c r="G606" s="47"/>
      <c r="H606" s="47"/>
      <c r="I606" s="47"/>
      <c r="L606" s="46"/>
      <c r="M606" s="47"/>
      <c r="N606" s="47"/>
      <c r="O606" s="47"/>
      <c r="P606" s="47"/>
    </row>
    <row r="607" spans="3:16" x14ac:dyDescent="0.2">
      <c r="C607" s="46"/>
      <c r="D607" s="47"/>
      <c r="E607" s="47"/>
      <c r="F607" s="47"/>
      <c r="G607" s="47"/>
      <c r="H607" s="47"/>
      <c r="I607" s="47"/>
      <c r="L607" s="46"/>
      <c r="M607" s="47"/>
      <c r="N607" s="47"/>
      <c r="O607" s="47"/>
      <c r="P607" s="47"/>
    </row>
    <row r="608" spans="3:16" x14ac:dyDescent="0.2">
      <c r="C608" s="46"/>
      <c r="D608" s="47"/>
      <c r="E608" s="47"/>
      <c r="F608" s="47"/>
      <c r="G608" s="47"/>
      <c r="H608" s="47"/>
      <c r="I608" s="47"/>
      <c r="L608" s="46"/>
      <c r="M608" s="47"/>
      <c r="N608" s="47"/>
      <c r="O608" s="47"/>
      <c r="P608" s="47"/>
    </row>
    <row r="609" spans="3:16" x14ac:dyDescent="0.2">
      <c r="C609" s="46"/>
      <c r="D609" s="47"/>
      <c r="E609" s="47"/>
      <c r="F609" s="47"/>
      <c r="G609" s="47"/>
      <c r="H609" s="47"/>
      <c r="I609" s="47"/>
      <c r="L609" s="46"/>
      <c r="M609" s="47"/>
      <c r="N609" s="47"/>
      <c r="O609" s="47"/>
      <c r="P609" s="47"/>
    </row>
    <row r="610" spans="3:16" x14ac:dyDescent="0.2">
      <c r="C610" s="46"/>
      <c r="D610" s="47"/>
      <c r="E610" s="47"/>
      <c r="F610" s="47"/>
      <c r="G610" s="47"/>
      <c r="H610" s="47"/>
      <c r="I610" s="47"/>
      <c r="L610" s="46"/>
      <c r="M610" s="47"/>
      <c r="N610" s="47"/>
      <c r="O610" s="47"/>
      <c r="P610" s="47"/>
    </row>
    <row r="611" spans="3:16" x14ac:dyDescent="0.2">
      <c r="C611" s="46"/>
      <c r="D611" s="47"/>
      <c r="E611" s="47"/>
      <c r="F611" s="47"/>
      <c r="G611" s="47"/>
      <c r="H611" s="47"/>
      <c r="I611" s="47"/>
      <c r="L611" s="46"/>
      <c r="M611" s="47"/>
      <c r="N611" s="47"/>
      <c r="O611" s="47"/>
      <c r="P611" s="47"/>
    </row>
    <row r="612" spans="3:16" x14ac:dyDescent="0.2">
      <c r="C612" s="46"/>
      <c r="D612" s="47"/>
      <c r="E612" s="47"/>
      <c r="F612" s="47"/>
      <c r="G612" s="47"/>
      <c r="H612" s="47"/>
      <c r="I612" s="47"/>
      <c r="L612" s="46"/>
      <c r="M612" s="47"/>
      <c r="N612" s="47"/>
      <c r="O612" s="47"/>
      <c r="P612" s="47"/>
    </row>
    <row r="613" spans="3:16" x14ac:dyDescent="0.2">
      <c r="C613" s="46"/>
      <c r="D613" s="47"/>
      <c r="E613" s="47"/>
      <c r="F613" s="47"/>
      <c r="G613" s="47"/>
      <c r="H613" s="47"/>
      <c r="I613" s="47"/>
      <c r="L613" s="46"/>
      <c r="M613" s="47"/>
      <c r="N613" s="47"/>
      <c r="O613" s="47"/>
      <c r="P613" s="47"/>
    </row>
    <row r="614" spans="3:16" x14ac:dyDescent="0.2">
      <c r="C614" s="46"/>
      <c r="D614" s="47"/>
      <c r="E614" s="47"/>
      <c r="F614" s="47"/>
      <c r="G614" s="47"/>
      <c r="H614" s="47"/>
      <c r="I614" s="47"/>
      <c r="L614" s="46"/>
      <c r="M614" s="47"/>
      <c r="N614" s="47"/>
      <c r="O614" s="47"/>
      <c r="P614" s="47"/>
    </row>
    <row r="615" spans="3:16" x14ac:dyDescent="0.2">
      <c r="C615" s="46"/>
      <c r="D615" s="47"/>
      <c r="E615" s="47"/>
      <c r="F615" s="47"/>
      <c r="G615" s="47"/>
      <c r="H615" s="47"/>
      <c r="I615" s="47"/>
      <c r="L615" s="46"/>
      <c r="M615" s="47"/>
      <c r="N615" s="47"/>
      <c r="O615" s="47"/>
      <c r="P615" s="47"/>
    </row>
    <row r="616" spans="3:16" x14ac:dyDescent="0.2">
      <c r="C616" s="46"/>
      <c r="D616" s="47"/>
      <c r="E616" s="47"/>
      <c r="F616" s="47"/>
      <c r="G616" s="47"/>
      <c r="H616" s="47"/>
      <c r="I616" s="47"/>
      <c r="L616" s="46"/>
      <c r="M616" s="47"/>
      <c r="N616" s="47"/>
      <c r="O616" s="47"/>
      <c r="P616" s="47"/>
    </row>
    <row r="617" spans="3:16" x14ac:dyDescent="0.2">
      <c r="C617" s="46"/>
      <c r="D617" s="47"/>
      <c r="E617" s="47"/>
      <c r="F617" s="47"/>
      <c r="G617" s="47"/>
      <c r="H617" s="47"/>
      <c r="I617" s="47"/>
      <c r="L617" s="46"/>
      <c r="M617" s="47"/>
      <c r="N617" s="47"/>
      <c r="O617" s="47"/>
      <c r="P617" s="47"/>
    </row>
    <row r="618" spans="3:16" x14ac:dyDescent="0.2">
      <c r="C618" s="46"/>
      <c r="D618" s="47"/>
      <c r="E618" s="47"/>
      <c r="F618" s="47"/>
      <c r="G618" s="47"/>
      <c r="H618" s="47"/>
      <c r="I618" s="47"/>
      <c r="L618" s="46"/>
      <c r="M618" s="47"/>
      <c r="N618" s="47"/>
      <c r="O618" s="47"/>
      <c r="P618" s="47"/>
    </row>
    <row r="619" spans="3:16" x14ac:dyDescent="0.2">
      <c r="C619" s="46"/>
      <c r="D619" s="47"/>
      <c r="E619" s="47"/>
      <c r="F619" s="47"/>
      <c r="G619" s="47"/>
      <c r="H619" s="47"/>
      <c r="I619" s="47"/>
      <c r="L619" s="46"/>
      <c r="M619" s="47"/>
      <c r="N619" s="47"/>
      <c r="O619" s="47"/>
      <c r="P619" s="47"/>
    </row>
    <row r="620" spans="3:16" x14ac:dyDescent="0.2">
      <c r="C620" s="46"/>
      <c r="D620" s="47"/>
      <c r="E620" s="47"/>
      <c r="F620" s="47"/>
      <c r="G620" s="47"/>
      <c r="H620" s="47"/>
      <c r="I620" s="47"/>
      <c r="L620" s="46"/>
      <c r="M620" s="47"/>
      <c r="N620" s="47"/>
      <c r="O620" s="47"/>
      <c r="P620" s="47"/>
    </row>
    <row r="621" spans="3:16" x14ac:dyDescent="0.2">
      <c r="C621" s="46"/>
      <c r="D621" s="47"/>
      <c r="E621" s="47"/>
      <c r="F621" s="47"/>
      <c r="G621" s="47"/>
      <c r="H621" s="47"/>
      <c r="I621" s="47"/>
      <c r="L621" s="46"/>
      <c r="M621" s="47"/>
      <c r="N621" s="47"/>
      <c r="O621" s="47"/>
      <c r="P621" s="47"/>
    </row>
    <row r="622" spans="3:16" x14ac:dyDescent="0.2">
      <c r="C622" s="46"/>
      <c r="D622" s="47"/>
      <c r="E622" s="47"/>
      <c r="F622" s="47"/>
      <c r="G622" s="47"/>
      <c r="H622" s="47"/>
      <c r="I622" s="47"/>
      <c r="L622" s="46"/>
      <c r="M622" s="47"/>
      <c r="N622" s="47"/>
      <c r="O622" s="47"/>
      <c r="P622" s="47"/>
    </row>
    <row r="623" spans="3:16" x14ac:dyDescent="0.2">
      <c r="C623" s="46"/>
      <c r="D623" s="47"/>
      <c r="E623" s="47"/>
      <c r="F623" s="47"/>
      <c r="G623" s="47"/>
      <c r="H623" s="47"/>
      <c r="I623" s="47"/>
      <c r="L623" s="46"/>
      <c r="M623" s="47"/>
      <c r="N623" s="47"/>
      <c r="O623" s="47"/>
      <c r="P623" s="47"/>
    </row>
    <row r="624" spans="3:16" x14ac:dyDescent="0.2">
      <c r="C624" s="46"/>
      <c r="D624" s="47"/>
      <c r="E624" s="47"/>
      <c r="F624" s="47"/>
      <c r="G624" s="47"/>
      <c r="H624" s="47"/>
      <c r="I624" s="47"/>
      <c r="L624" s="46"/>
      <c r="M624" s="47"/>
      <c r="N624" s="47"/>
      <c r="O624" s="47"/>
      <c r="P624" s="47"/>
    </row>
    <row r="625" spans="3:16" x14ac:dyDescent="0.2">
      <c r="C625" s="46"/>
      <c r="D625" s="47"/>
      <c r="E625" s="47"/>
      <c r="F625" s="47"/>
      <c r="G625" s="47"/>
      <c r="H625" s="47"/>
      <c r="I625" s="47"/>
      <c r="L625" s="46"/>
      <c r="M625" s="47"/>
      <c r="N625" s="47"/>
      <c r="O625" s="47"/>
      <c r="P625" s="47"/>
    </row>
    <row r="626" spans="3:16" x14ac:dyDescent="0.2">
      <c r="C626" s="46"/>
      <c r="D626" s="47"/>
      <c r="E626" s="47"/>
      <c r="F626" s="47"/>
      <c r="G626" s="47"/>
      <c r="H626" s="47"/>
      <c r="I626" s="47"/>
      <c r="L626" s="46"/>
      <c r="M626" s="47"/>
      <c r="N626" s="47"/>
      <c r="O626" s="47"/>
      <c r="P626" s="47"/>
    </row>
    <row r="627" spans="3:16" x14ac:dyDescent="0.2">
      <c r="C627" s="46"/>
      <c r="D627" s="47"/>
      <c r="E627" s="47"/>
      <c r="F627" s="47"/>
      <c r="G627" s="47"/>
      <c r="H627" s="47"/>
      <c r="I627" s="47"/>
      <c r="L627" s="46"/>
      <c r="M627" s="47"/>
      <c r="N627" s="47"/>
      <c r="O627" s="47"/>
      <c r="P627" s="47"/>
    </row>
    <row r="628" spans="3:16" x14ac:dyDescent="0.2">
      <c r="C628" s="46"/>
      <c r="D628" s="47"/>
      <c r="E628" s="47"/>
      <c r="F628" s="47"/>
      <c r="G628" s="47"/>
      <c r="H628" s="47"/>
      <c r="I628" s="47"/>
      <c r="L628" s="46"/>
      <c r="M628" s="47"/>
      <c r="N628" s="47"/>
      <c r="O628" s="47"/>
      <c r="P628" s="47"/>
    </row>
    <row r="629" spans="3:16" x14ac:dyDescent="0.2">
      <c r="C629" s="46"/>
      <c r="D629" s="47"/>
      <c r="E629" s="47"/>
      <c r="F629" s="47"/>
      <c r="G629" s="47"/>
      <c r="H629" s="47"/>
      <c r="I629" s="47"/>
      <c r="L629" s="46"/>
      <c r="M629" s="47"/>
      <c r="N629" s="47"/>
      <c r="O629" s="47"/>
      <c r="P629" s="47"/>
    </row>
    <row r="630" spans="3:16" x14ac:dyDescent="0.2">
      <c r="C630" s="46"/>
      <c r="D630" s="47"/>
      <c r="E630" s="47"/>
      <c r="F630" s="47"/>
      <c r="G630" s="47"/>
      <c r="H630" s="47"/>
      <c r="I630" s="47"/>
      <c r="L630" s="46"/>
      <c r="M630" s="47"/>
      <c r="N630" s="47"/>
      <c r="O630" s="47"/>
      <c r="P630" s="47"/>
    </row>
    <row r="631" spans="3:16" x14ac:dyDescent="0.2">
      <c r="C631" s="46"/>
      <c r="D631" s="47"/>
      <c r="E631" s="47"/>
      <c r="F631" s="47"/>
      <c r="G631" s="47"/>
      <c r="H631" s="47"/>
      <c r="I631" s="47"/>
      <c r="L631" s="46"/>
      <c r="M631" s="47"/>
      <c r="N631" s="47"/>
      <c r="O631" s="47"/>
      <c r="P631" s="47"/>
    </row>
    <row r="632" spans="3:16" x14ac:dyDescent="0.2">
      <c r="C632" s="46"/>
      <c r="D632" s="47"/>
      <c r="E632" s="47"/>
      <c r="F632" s="47"/>
      <c r="G632" s="47"/>
      <c r="H632" s="47"/>
      <c r="I632" s="47"/>
      <c r="L632" s="46"/>
      <c r="M632" s="47"/>
      <c r="N632" s="47"/>
      <c r="O632" s="47"/>
      <c r="P632" s="47"/>
    </row>
    <row r="633" spans="3:16" x14ac:dyDescent="0.2">
      <c r="C633" s="46"/>
      <c r="D633" s="47"/>
      <c r="E633" s="47"/>
      <c r="F633" s="47"/>
      <c r="G633" s="47"/>
      <c r="H633" s="47"/>
      <c r="I633" s="47"/>
      <c r="L633" s="46"/>
      <c r="M633" s="47"/>
      <c r="N633" s="47"/>
      <c r="O633" s="47"/>
      <c r="P633" s="47"/>
    </row>
    <row r="634" spans="3:16" x14ac:dyDescent="0.2">
      <c r="C634" s="46"/>
      <c r="D634" s="47"/>
      <c r="E634" s="47"/>
      <c r="F634" s="47"/>
      <c r="G634" s="47"/>
      <c r="H634" s="47"/>
      <c r="I634" s="47"/>
      <c r="L634" s="46"/>
      <c r="M634" s="47"/>
      <c r="N634" s="47"/>
      <c r="O634" s="47"/>
      <c r="P634" s="47"/>
    </row>
    <row r="635" spans="3:16" x14ac:dyDescent="0.2">
      <c r="C635" s="46"/>
      <c r="D635" s="47"/>
      <c r="E635" s="47"/>
      <c r="F635" s="47"/>
      <c r="G635" s="47"/>
      <c r="H635" s="47"/>
      <c r="I635" s="47"/>
      <c r="L635" s="46"/>
      <c r="M635" s="47"/>
      <c r="N635" s="47"/>
      <c r="O635" s="47"/>
      <c r="P635" s="47"/>
    </row>
    <row r="636" spans="3:16" x14ac:dyDescent="0.2">
      <c r="C636" s="46"/>
      <c r="D636" s="47"/>
      <c r="E636" s="47"/>
      <c r="F636" s="47"/>
      <c r="G636" s="47"/>
      <c r="H636" s="47"/>
      <c r="I636" s="47"/>
      <c r="L636" s="46"/>
      <c r="M636" s="47"/>
      <c r="N636" s="47"/>
      <c r="O636" s="47"/>
      <c r="P636" s="47"/>
    </row>
    <row r="637" spans="3:16" x14ac:dyDescent="0.2">
      <c r="C637" s="46"/>
      <c r="D637" s="47"/>
      <c r="E637" s="47"/>
      <c r="F637" s="47"/>
      <c r="G637" s="47"/>
      <c r="H637" s="47"/>
      <c r="I637" s="47"/>
      <c r="L637" s="46"/>
      <c r="M637" s="47"/>
      <c r="N637" s="47"/>
      <c r="O637" s="47"/>
      <c r="P637" s="47"/>
    </row>
    <row r="638" spans="3:16" x14ac:dyDescent="0.2">
      <c r="C638" s="46"/>
      <c r="D638" s="47"/>
      <c r="E638" s="47"/>
      <c r="F638" s="47"/>
      <c r="G638" s="47"/>
      <c r="H638" s="47"/>
      <c r="I638" s="47"/>
      <c r="L638" s="46"/>
      <c r="M638" s="47"/>
      <c r="N638" s="47"/>
      <c r="O638" s="47"/>
      <c r="P638" s="47"/>
    </row>
    <row r="639" spans="3:16" x14ac:dyDescent="0.2">
      <c r="C639" s="46"/>
      <c r="D639" s="47"/>
      <c r="E639" s="47"/>
      <c r="F639" s="47"/>
      <c r="G639" s="47"/>
      <c r="H639" s="47"/>
      <c r="I639" s="47"/>
      <c r="L639" s="46"/>
      <c r="M639" s="47"/>
      <c r="N639" s="47"/>
      <c r="O639" s="47"/>
      <c r="P639" s="47"/>
    </row>
    <row r="640" spans="3:16" x14ac:dyDescent="0.2">
      <c r="C640" s="46"/>
      <c r="D640" s="47"/>
      <c r="E640" s="47"/>
      <c r="F640" s="47"/>
      <c r="G640" s="47"/>
      <c r="H640" s="47"/>
      <c r="I640" s="47"/>
      <c r="L640" s="46"/>
      <c r="M640" s="47"/>
      <c r="N640" s="47"/>
      <c r="O640" s="47"/>
      <c r="P640" s="47"/>
    </row>
    <row r="641" spans="3:16" x14ac:dyDescent="0.2">
      <c r="C641" s="46"/>
      <c r="D641" s="47"/>
      <c r="E641" s="47"/>
      <c r="F641" s="47"/>
      <c r="G641" s="47"/>
      <c r="H641" s="47"/>
      <c r="I641" s="47"/>
      <c r="L641" s="46"/>
      <c r="M641" s="47"/>
      <c r="N641" s="47"/>
      <c r="O641" s="47"/>
      <c r="P641" s="47"/>
    </row>
    <row r="642" spans="3:16" x14ac:dyDescent="0.2">
      <c r="C642" s="46"/>
      <c r="D642" s="47"/>
      <c r="E642" s="47"/>
      <c r="F642" s="47"/>
      <c r="G642" s="47"/>
      <c r="H642" s="47"/>
      <c r="I642" s="47"/>
      <c r="L642" s="46"/>
      <c r="M642" s="47"/>
      <c r="N642" s="47"/>
      <c r="O642" s="47"/>
      <c r="P642" s="47"/>
    </row>
    <row r="643" spans="3:16" x14ac:dyDescent="0.2">
      <c r="C643" s="46"/>
      <c r="D643" s="47"/>
      <c r="E643" s="47"/>
      <c r="F643" s="47"/>
      <c r="G643" s="47"/>
      <c r="H643" s="47"/>
      <c r="I643" s="47"/>
      <c r="L643" s="46"/>
      <c r="M643" s="47"/>
      <c r="N643" s="47"/>
      <c r="O643" s="47"/>
      <c r="P643" s="47"/>
    </row>
    <row r="644" spans="3:16" x14ac:dyDescent="0.2">
      <c r="C644" s="46"/>
      <c r="D644" s="47"/>
      <c r="E644" s="47"/>
      <c r="F644" s="47"/>
      <c r="G644" s="47"/>
      <c r="H644" s="47"/>
      <c r="I644" s="47"/>
      <c r="L644" s="46"/>
      <c r="M644" s="47"/>
      <c r="N644" s="47"/>
      <c r="O644" s="47"/>
      <c r="P644" s="47"/>
    </row>
    <row r="645" spans="3:16" x14ac:dyDescent="0.2">
      <c r="C645" s="46"/>
      <c r="D645" s="47"/>
      <c r="E645" s="47"/>
      <c r="F645" s="47"/>
      <c r="G645" s="47"/>
      <c r="H645" s="47"/>
      <c r="I645" s="47"/>
      <c r="L645" s="46"/>
      <c r="M645" s="47"/>
      <c r="N645" s="47"/>
      <c r="O645" s="47"/>
      <c r="P645" s="47"/>
    </row>
    <row r="646" spans="3:16" x14ac:dyDescent="0.2">
      <c r="C646" s="46"/>
      <c r="D646" s="47"/>
      <c r="E646" s="47"/>
      <c r="F646" s="47"/>
      <c r="G646" s="47"/>
      <c r="H646" s="47"/>
      <c r="I646" s="47"/>
      <c r="L646" s="46"/>
      <c r="M646" s="47"/>
      <c r="N646" s="47"/>
      <c r="O646" s="47"/>
      <c r="P646" s="47"/>
    </row>
    <row r="647" spans="3:16" x14ac:dyDescent="0.2">
      <c r="C647" s="46"/>
      <c r="D647" s="47"/>
      <c r="E647" s="47"/>
      <c r="F647" s="47"/>
      <c r="G647" s="47"/>
      <c r="H647" s="47"/>
      <c r="I647" s="47"/>
      <c r="L647" s="46"/>
      <c r="M647" s="47"/>
      <c r="N647" s="47"/>
      <c r="O647" s="47"/>
      <c r="P647" s="47"/>
    </row>
    <row r="648" spans="3:16" x14ac:dyDescent="0.2">
      <c r="C648" s="46"/>
      <c r="D648" s="47"/>
      <c r="E648" s="47"/>
      <c r="F648" s="47"/>
      <c r="G648" s="47"/>
      <c r="H648" s="47"/>
      <c r="I648" s="47"/>
      <c r="L648" s="46"/>
      <c r="M648" s="47"/>
      <c r="N648" s="47"/>
      <c r="O648" s="47"/>
      <c r="P648" s="47"/>
    </row>
    <row r="649" spans="3:16" x14ac:dyDescent="0.2">
      <c r="C649" s="46"/>
      <c r="D649" s="47"/>
      <c r="E649" s="47"/>
      <c r="F649" s="47"/>
      <c r="G649" s="47"/>
      <c r="H649" s="47"/>
      <c r="I649" s="47"/>
      <c r="L649" s="46"/>
      <c r="M649" s="47"/>
      <c r="N649" s="47"/>
      <c r="O649" s="47"/>
      <c r="P649" s="47"/>
    </row>
    <row r="650" spans="3:16" x14ac:dyDescent="0.2">
      <c r="C650" s="46"/>
      <c r="D650" s="47"/>
      <c r="E650" s="47"/>
      <c r="F650" s="47"/>
      <c r="G650" s="47"/>
      <c r="H650" s="47"/>
      <c r="I650" s="47"/>
      <c r="L650" s="46"/>
      <c r="M650" s="47"/>
      <c r="N650" s="47"/>
      <c r="O650" s="47"/>
      <c r="P650" s="47"/>
    </row>
    <row r="651" spans="3:16" x14ac:dyDescent="0.2">
      <c r="C651" s="46"/>
      <c r="D651" s="47"/>
      <c r="E651" s="47"/>
      <c r="F651" s="47"/>
      <c r="G651" s="47"/>
      <c r="H651" s="47"/>
      <c r="I651" s="47"/>
      <c r="L651" s="46"/>
      <c r="M651" s="47"/>
      <c r="N651" s="47"/>
      <c r="O651" s="47"/>
      <c r="P651" s="47"/>
    </row>
    <row r="652" spans="3:16" x14ac:dyDescent="0.2">
      <c r="C652" s="46"/>
      <c r="D652" s="47"/>
      <c r="E652" s="47"/>
      <c r="F652" s="47"/>
      <c r="G652" s="47"/>
      <c r="H652" s="47"/>
      <c r="I652" s="47"/>
      <c r="L652" s="46"/>
      <c r="M652" s="47"/>
      <c r="N652" s="47"/>
      <c r="O652" s="47"/>
      <c r="P652" s="47"/>
    </row>
    <row r="653" spans="3:16" x14ac:dyDescent="0.2">
      <c r="C653" s="46"/>
      <c r="D653" s="47"/>
      <c r="E653" s="47"/>
      <c r="F653" s="47"/>
      <c r="G653" s="47"/>
      <c r="H653" s="47"/>
      <c r="I653" s="47"/>
      <c r="L653" s="46"/>
      <c r="M653" s="47"/>
      <c r="N653" s="47"/>
      <c r="O653" s="47"/>
      <c r="P653" s="47"/>
    </row>
    <row r="654" spans="3:16" x14ac:dyDescent="0.2">
      <c r="C654" s="46"/>
      <c r="D654" s="47"/>
      <c r="E654" s="47"/>
      <c r="F654" s="47"/>
      <c r="G654" s="47"/>
      <c r="H654" s="47"/>
      <c r="I654" s="47"/>
      <c r="L654" s="46"/>
      <c r="M654" s="47"/>
      <c r="N654" s="47"/>
      <c r="O654" s="47"/>
      <c r="P654" s="47"/>
    </row>
    <row r="655" spans="3:16" x14ac:dyDescent="0.2">
      <c r="C655" s="46"/>
      <c r="D655" s="47"/>
      <c r="E655" s="47"/>
      <c r="F655" s="47"/>
      <c r="G655" s="47"/>
      <c r="H655" s="47"/>
      <c r="I655" s="47"/>
      <c r="L655" s="46"/>
      <c r="M655" s="47"/>
      <c r="N655" s="47"/>
      <c r="O655" s="47"/>
      <c r="P655" s="47"/>
    </row>
    <row r="656" spans="3:16" x14ac:dyDescent="0.2">
      <c r="C656" s="46"/>
      <c r="D656" s="47"/>
      <c r="E656" s="47"/>
      <c r="F656" s="47"/>
      <c r="G656" s="47"/>
      <c r="H656" s="47"/>
      <c r="I656" s="47"/>
      <c r="L656" s="46"/>
      <c r="M656" s="47"/>
      <c r="N656" s="47"/>
      <c r="O656" s="47"/>
      <c r="P656" s="47"/>
    </row>
    <row r="657" spans="3:16" x14ac:dyDescent="0.2">
      <c r="C657" s="46"/>
      <c r="D657" s="47"/>
      <c r="E657" s="47"/>
      <c r="F657" s="47"/>
      <c r="G657" s="47"/>
      <c r="H657" s="47"/>
      <c r="I657" s="47"/>
      <c r="L657" s="46"/>
      <c r="M657" s="47"/>
      <c r="N657" s="47"/>
      <c r="O657" s="47"/>
      <c r="P657" s="47"/>
    </row>
    <row r="658" spans="3:16" x14ac:dyDescent="0.2">
      <c r="C658" s="46"/>
      <c r="D658" s="47"/>
      <c r="E658" s="47"/>
      <c r="F658" s="47"/>
      <c r="G658" s="47"/>
      <c r="H658" s="47"/>
      <c r="I658" s="47"/>
      <c r="L658" s="46"/>
      <c r="M658" s="47"/>
      <c r="N658" s="47"/>
      <c r="O658" s="47"/>
      <c r="P658" s="47"/>
    </row>
    <row r="659" spans="3:16" x14ac:dyDescent="0.2">
      <c r="C659" s="46"/>
      <c r="D659" s="47"/>
      <c r="E659" s="47"/>
      <c r="F659" s="47"/>
      <c r="G659" s="47"/>
      <c r="H659" s="47"/>
      <c r="I659" s="47"/>
      <c r="L659" s="46"/>
      <c r="M659" s="47"/>
      <c r="N659" s="47"/>
      <c r="O659" s="47"/>
      <c r="P659" s="47"/>
    </row>
    <row r="660" spans="3:16" x14ac:dyDescent="0.2">
      <c r="C660" s="46"/>
      <c r="D660" s="47"/>
      <c r="E660" s="47"/>
      <c r="F660" s="47"/>
      <c r="G660" s="47"/>
      <c r="H660" s="47"/>
      <c r="I660" s="47"/>
      <c r="L660" s="46"/>
      <c r="M660" s="47"/>
      <c r="N660" s="47"/>
      <c r="O660" s="47"/>
      <c r="P660" s="47"/>
    </row>
    <row r="661" spans="3:16" x14ac:dyDescent="0.2">
      <c r="C661" s="46"/>
      <c r="D661" s="47"/>
      <c r="E661" s="47"/>
      <c r="F661" s="47"/>
      <c r="G661" s="47"/>
      <c r="H661" s="47"/>
      <c r="I661" s="47"/>
      <c r="L661" s="46"/>
      <c r="M661" s="47"/>
      <c r="N661" s="47"/>
      <c r="O661" s="47"/>
      <c r="P661" s="47"/>
    </row>
    <row r="662" spans="3:16" x14ac:dyDescent="0.2">
      <c r="C662" s="46"/>
      <c r="D662" s="47"/>
      <c r="E662" s="47"/>
      <c r="F662" s="47"/>
      <c r="G662" s="47"/>
      <c r="H662" s="47"/>
      <c r="I662" s="47"/>
      <c r="L662" s="46"/>
      <c r="M662" s="47"/>
      <c r="N662" s="47"/>
      <c r="O662" s="47"/>
      <c r="P662" s="47"/>
    </row>
    <row r="663" spans="3:16" x14ac:dyDescent="0.2">
      <c r="C663" s="46"/>
      <c r="D663" s="47"/>
      <c r="E663" s="47"/>
      <c r="F663" s="47"/>
      <c r="G663" s="47"/>
      <c r="H663" s="47"/>
      <c r="I663" s="47"/>
      <c r="L663" s="46"/>
      <c r="M663" s="47"/>
      <c r="N663" s="47"/>
      <c r="O663" s="47"/>
      <c r="P663" s="47"/>
    </row>
    <row r="664" spans="3:16" x14ac:dyDescent="0.2">
      <c r="C664" s="46"/>
      <c r="D664" s="47"/>
      <c r="E664" s="47"/>
      <c r="F664" s="47"/>
      <c r="G664" s="47"/>
      <c r="H664" s="47"/>
      <c r="I664" s="47"/>
      <c r="L664" s="46"/>
      <c r="M664" s="47"/>
      <c r="N664" s="47"/>
      <c r="O664" s="47"/>
      <c r="P664" s="47"/>
    </row>
    <row r="665" spans="3:16" x14ac:dyDescent="0.2">
      <c r="C665" s="46"/>
      <c r="D665" s="47"/>
      <c r="E665" s="47"/>
      <c r="F665" s="47"/>
      <c r="G665" s="47"/>
      <c r="H665" s="47"/>
      <c r="I665" s="47"/>
      <c r="L665" s="46"/>
      <c r="M665" s="47"/>
      <c r="N665" s="47"/>
      <c r="O665" s="47"/>
      <c r="P665" s="47"/>
    </row>
    <row r="666" spans="3:16" x14ac:dyDescent="0.2">
      <c r="C666" s="46"/>
      <c r="D666" s="47"/>
      <c r="E666" s="47"/>
      <c r="F666" s="47"/>
      <c r="G666" s="47"/>
      <c r="H666" s="47"/>
      <c r="I666" s="47"/>
      <c r="L666" s="46"/>
      <c r="M666" s="47"/>
      <c r="N666" s="47"/>
      <c r="O666" s="47"/>
      <c r="P666" s="47"/>
    </row>
    <row r="667" spans="3:16" x14ac:dyDescent="0.2">
      <c r="C667" s="46"/>
      <c r="D667" s="47"/>
      <c r="E667" s="47"/>
      <c r="F667" s="47"/>
      <c r="G667" s="47"/>
      <c r="H667" s="47"/>
      <c r="I667" s="47"/>
      <c r="L667" s="46"/>
      <c r="M667" s="47"/>
      <c r="N667" s="47"/>
      <c r="O667" s="47"/>
      <c r="P667" s="47"/>
    </row>
    <row r="668" spans="3:16" x14ac:dyDescent="0.2">
      <c r="C668" s="46"/>
      <c r="D668" s="47"/>
      <c r="E668" s="47"/>
      <c r="F668" s="47"/>
      <c r="G668" s="47"/>
      <c r="H668" s="47"/>
      <c r="I668" s="47"/>
      <c r="L668" s="46"/>
      <c r="M668" s="47"/>
      <c r="N668" s="47"/>
      <c r="O668" s="47"/>
      <c r="P668" s="47"/>
    </row>
    <row r="669" spans="3:16" x14ac:dyDescent="0.2">
      <c r="C669" s="46"/>
      <c r="D669" s="47"/>
      <c r="E669" s="47"/>
      <c r="F669" s="47"/>
      <c r="G669" s="47"/>
      <c r="H669" s="47"/>
      <c r="I669" s="47"/>
      <c r="L669" s="46"/>
      <c r="M669" s="47"/>
      <c r="N669" s="47"/>
      <c r="O669" s="47"/>
      <c r="P669" s="47"/>
    </row>
    <row r="670" spans="3:16" x14ac:dyDescent="0.2">
      <c r="C670" s="46"/>
      <c r="D670" s="47"/>
      <c r="E670" s="47"/>
      <c r="F670" s="47"/>
      <c r="G670" s="47"/>
      <c r="H670" s="47"/>
      <c r="I670" s="47"/>
      <c r="L670" s="46"/>
      <c r="M670" s="47"/>
      <c r="N670" s="47"/>
      <c r="O670" s="47"/>
      <c r="P670" s="47"/>
    </row>
    <row r="671" spans="3:16" x14ac:dyDescent="0.2">
      <c r="C671" s="46"/>
      <c r="D671" s="47"/>
      <c r="E671" s="47"/>
      <c r="F671" s="47"/>
      <c r="G671" s="47"/>
      <c r="H671" s="47"/>
      <c r="I671" s="47"/>
      <c r="L671" s="46"/>
      <c r="M671" s="47"/>
      <c r="N671" s="47"/>
      <c r="O671" s="47"/>
      <c r="P671" s="47"/>
    </row>
    <row r="672" spans="3:16" x14ac:dyDescent="0.2">
      <c r="C672" s="46"/>
      <c r="D672" s="47"/>
      <c r="E672" s="47"/>
      <c r="F672" s="47"/>
      <c r="G672" s="47"/>
      <c r="H672" s="47"/>
      <c r="I672" s="47"/>
      <c r="L672" s="46"/>
      <c r="M672" s="47"/>
      <c r="N672" s="47"/>
      <c r="O672" s="47"/>
      <c r="P672" s="47"/>
    </row>
    <row r="673" spans="3:16" x14ac:dyDescent="0.2">
      <c r="C673" s="46"/>
      <c r="D673" s="47"/>
      <c r="E673" s="47"/>
      <c r="F673" s="47"/>
      <c r="G673" s="47"/>
      <c r="H673" s="47"/>
      <c r="I673" s="47"/>
      <c r="L673" s="46"/>
      <c r="M673" s="47"/>
      <c r="N673" s="47"/>
      <c r="O673" s="47"/>
      <c r="P673" s="47"/>
    </row>
    <row r="674" spans="3:16" x14ac:dyDescent="0.2">
      <c r="C674" s="46"/>
      <c r="D674" s="47"/>
      <c r="E674" s="47"/>
      <c r="F674" s="47"/>
      <c r="G674" s="47"/>
      <c r="H674" s="47"/>
      <c r="I674" s="47"/>
      <c r="L674" s="46"/>
      <c r="M674" s="47"/>
      <c r="N674" s="47"/>
      <c r="O674" s="47"/>
      <c r="P674" s="47"/>
    </row>
    <row r="675" spans="3:16" x14ac:dyDescent="0.2">
      <c r="C675" s="46"/>
      <c r="D675" s="47"/>
      <c r="E675" s="47"/>
      <c r="F675" s="47"/>
      <c r="G675" s="47"/>
      <c r="H675" s="47"/>
      <c r="I675" s="47"/>
      <c r="L675" s="46"/>
      <c r="M675" s="47"/>
      <c r="N675" s="47"/>
      <c r="O675" s="47"/>
      <c r="P675" s="47"/>
    </row>
    <row r="676" spans="3:16" x14ac:dyDescent="0.2">
      <c r="C676" s="46"/>
      <c r="D676" s="47"/>
      <c r="E676" s="47"/>
      <c r="F676" s="47"/>
      <c r="G676" s="47"/>
      <c r="H676" s="47"/>
      <c r="I676" s="47"/>
      <c r="L676" s="46"/>
      <c r="M676" s="47"/>
      <c r="N676" s="47"/>
      <c r="O676" s="47"/>
      <c r="P676" s="47"/>
    </row>
    <row r="677" spans="3:16" x14ac:dyDescent="0.2">
      <c r="C677" s="46"/>
      <c r="D677" s="47"/>
      <c r="E677" s="47"/>
      <c r="F677" s="47"/>
      <c r="G677" s="47"/>
      <c r="H677" s="47"/>
      <c r="I677" s="47"/>
      <c r="L677" s="46"/>
      <c r="M677" s="47"/>
      <c r="N677" s="47"/>
      <c r="O677" s="47"/>
      <c r="P677" s="47"/>
    </row>
    <row r="678" spans="3:16" x14ac:dyDescent="0.2">
      <c r="C678" s="46"/>
      <c r="D678" s="47"/>
      <c r="E678" s="47"/>
      <c r="F678" s="47"/>
      <c r="G678" s="47"/>
      <c r="H678" s="47"/>
      <c r="I678" s="47"/>
      <c r="L678" s="46"/>
      <c r="M678" s="47"/>
      <c r="N678" s="47"/>
      <c r="O678" s="47"/>
      <c r="P678" s="47"/>
    </row>
    <row r="679" spans="3:16" x14ac:dyDescent="0.2">
      <c r="C679" s="46"/>
      <c r="D679" s="47"/>
      <c r="E679" s="47"/>
      <c r="F679" s="47"/>
      <c r="G679" s="47"/>
      <c r="H679" s="47"/>
      <c r="I679" s="47"/>
      <c r="L679" s="46"/>
      <c r="M679" s="47"/>
      <c r="N679" s="47"/>
      <c r="O679" s="47"/>
      <c r="P679" s="47"/>
    </row>
    <row r="680" spans="3:16" x14ac:dyDescent="0.2">
      <c r="C680" s="46"/>
      <c r="D680" s="47"/>
      <c r="E680" s="47"/>
      <c r="F680" s="47"/>
      <c r="G680" s="47"/>
      <c r="H680" s="47"/>
      <c r="I680" s="47"/>
      <c r="L680" s="46"/>
      <c r="M680" s="47"/>
      <c r="N680" s="47"/>
      <c r="O680" s="47"/>
      <c r="P680" s="47"/>
    </row>
    <row r="681" spans="3:16" x14ac:dyDescent="0.2">
      <c r="C681" s="46"/>
      <c r="D681" s="47"/>
      <c r="E681" s="47"/>
      <c r="F681" s="47"/>
      <c r="G681" s="47"/>
      <c r="H681" s="47"/>
      <c r="I681" s="47"/>
      <c r="L681" s="46"/>
      <c r="M681" s="47"/>
      <c r="N681" s="47"/>
      <c r="O681" s="47"/>
      <c r="P681" s="47"/>
    </row>
    <row r="682" spans="3:16" x14ac:dyDescent="0.2">
      <c r="C682" s="46"/>
      <c r="D682" s="47"/>
      <c r="E682" s="47"/>
      <c r="F682" s="47"/>
      <c r="G682" s="47"/>
      <c r="H682" s="47"/>
      <c r="I682" s="47"/>
      <c r="L682" s="46"/>
      <c r="M682" s="47"/>
      <c r="N682" s="47"/>
      <c r="O682" s="47"/>
      <c r="P682" s="47"/>
    </row>
    <row r="683" spans="3:16" x14ac:dyDescent="0.2">
      <c r="C683" s="46"/>
      <c r="D683" s="47"/>
      <c r="E683" s="47"/>
      <c r="F683" s="47"/>
      <c r="G683" s="47"/>
      <c r="H683" s="47"/>
      <c r="I683" s="47"/>
      <c r="L683" s="46"/>
      <c r="M683" s="47"/>
      <c r="N683" s="47"/>
      <c r="O683" s="47"/>
      <c r="P683" s="47"/>
    </row>
    <row r="684" spans="3:16" x14ac:dyDescent="0.2">
      <c r="C684" s="46"/>
      <c r="D684" s="47"/>
      <c r="E684" s="47"/>
      <c r="F684" s="47"/>
      <c r="G684" s="47"/>
      <c r="H684" s="47"/>
      <c r="I684" s="47"/>
      <c r="L684" s="46"/>
      <c r="M684" s="47"/>
      <c r="N684" s="47"/>
      <c r="O684" s="47"/>
      <c r="P684" s="47"/>
    </row>
    <row r="685" spans="3:16" x14ac:dyDescent="0.2">
      <c r="C685" s="46"/>
      <c r="D685" s="47"/>
      <c r="E685" s="47"/>
      <c r="F685" s="47"/>
      <c r="G685" s="47"/>
      <c r="H685" s="47"/>
      <c r="I685" s="47"/>
      <c r="L685" s="46"/>
      <c r="M685" s="47"/>
      <c r="N685" s="47"/>
      <c r="O685" s="47"/>
      <c r="P685" s="47"/>
    </row>
    <row r="686" spans="3:16" x14ac:dyDescent="0.2">
      <c r="C686" s="46"/>
      <c r="D686" s="47"/>
      <c r="E686" s="47"/>
      <c r="F686" s="47"/>
      <c r="G686" s="47"/>
      <c r="H686" s="47"/>
      <c r="I686" s="47"/>
      <c r="L686" s="46"/>
      <c r="M686" s="47"/>
      <c r="N686" s="47"/>
      <c r="O686" s="47"/>
      <c r="P686" s="47"/>
    </row>
    <row r="687" spans="3:16" x14ac:dyDescent="0.2">
      <c r="C687" s="46"/>
      <c r="D687" s="47"/>
      <c r="E687" s="47"/>
      <c r="F687" s="47"/>
      <c r="G687" s="47"/>
      <c r="H687" s="47"/>
      <c r="I687" s="47"/>
      <c r="L687" s="46"/>
      <c r="M687" s="47"/>
      <c r="N687" s="47"/>
      <c r="O687" s="47"/>
      <c r="P687" s="47"/>
    </row>
    <row r="688" spans="3:16" x14ac:dyDescent="0.2">
      <c r="C688" s="46"/>
      <c r="D688" s="47"/>
      <c r="E688" s="47"/>
      <c r="F688" s="47"/>
      <c r="G688" s="47"/>
      <c r="H688" s="47"/>
      <c r="I688" s="47"/>
      <c r="L688" s="46"/>
      <c r="M688" s="47"/>
      <c r="N688" s="47"/>
      <c r="O688" s="47"/>
      <c r="P688" s="47"/>
    </row>
    <row r="689" spans="3:16" x14ac:dyDescent="0.2">
      <c r="C689" s="46"/>
      <c r="D689" s="47"/>
      <c r="E689" s="47"/>
      <c r="F689" s="47"/>
      <c r="G689" s="47"/>
      <c r="H689" s="47"/>
      <c r="I689" s="47"/>
      <c r="L689" s="46"/>
      <c r="M689" s="47"/>
      <c r="N689" s="47"/>
      <c r="O689" s="47"/>
      <c r="P689" s="47"/>
    </row>
    <row r="690" spans="3:16" x14ac:dyDescent="0.2">
      <c r="C690" s="46"/>
      <c r="D690" s="47"/>
      <c r="E690" s="47"/>
      <c r="F690" s="47"/>
      <c r="G690" s="47"/>
      <c r="H690" s="47"/>
      <c r="I690" s="47"/>
      <c r="L690" s="46"/>
      <c r="M690" s="47"/>
      <c r="N690" s="47"/>
      <c r="O690" s="47"/>
      <c r="P690" s="47"/>
    </row>
    <row r="691" spans="3:16" x14ac:dyDescent="0.2">
      <c r="C691" s="46"/>
      <c r="D691" s="47"/>
      <c r="E691" s="47"/>
      <c r="F691" s="47"/>
      <c r="G691" s="47"/>
      <c r="H691" s="47"/>
      <c r="I691" s="47"/>
      <c r="L691" s="46"/>
      <c r="M691" s="47"/>
      <c r="N691" s="47"/>
      <c r="O691" s="47"/>
      <c r="P691" s="47"/>
    </row>
    <row r="692" spans="3:16" x14ac:dyDescent="0.2">
      <c r="C692" s="46"/>
      <c r="D692" s="47"/>
      <c r="E692" s="47"/>
      <c r="F692" s="47"/>
      <c r="G692" s="47"/>
      <c r="H692" s="47"/>
      <c r="I692" s="47"/>
      <c r="L692" s="46"/>
      <c r="M692" s="47"/>
      <c r="N692" s="47"/>
      <c r="O692" s="47"/>
      <c r="P692" s="47"/>
    </row>
    <row r="693" spans="3:16" x14ac:dyDescent="0.2">
      <c r="C693" s="46"/>
      <c r="D693" s="47"/>
      <c r="E693" s="47"/>
      <c r="F693" s="47"/>
      <c r="G693" s="47"/>
      <c r="H693" s="47"/>
      <c r="I693" s="47"/>
      <c r="L693" s="46"/>
      <c r="M693" s="47"/>
      <c r="N693" s="47"/>
      <c r="O693" s="47"/>
      <c r="P693" s="47"/>
    </row>
    <row r="694" spans="3:16" x14ac:dyDescent="0.2">
      <c r="C694" s="46"/>
      <c r="D694" s="47"/>
      <c r="E694" s="47"/>
      <c r="F694" s="47"/>
      <c r="G694" s="47"/>
      <c r="H694" s="47"/>
      <c r="I694" s="47"/>
      <c r="L694" s="46"/>
      <c r="M694" s="47"/>
      <c r="N694" s="47"/>
      <c r="O694" s="47"/>
      <c r="P694" s="47"/>
    </row>
    <row r="695" spans="3:16" x14ac:dyDescent="0.2">
      <c r="C695" s="46"/>
      <c r="D695" s="47"/>
      <c r="E695" s="47"/>
      <c r="F695" s="47"/>
      <c r="G695" s="47"/>
      <c r="H695" s="47"/>
      <c r="I695" s="47"/>
      <c r="L695" s="46"/>
      <c r="M695" s="47"/>
      <c r="N695" s="47"/>
      <c r="O695" s="47"/>
      <c r="P695" s="47"/>
    </row>
    <row r="696" spans="3:16" x14ac:dyDescent="0.2">
      <c r="C696" s="46"/>
      <c r="D696" s="47"/>
      <c r="E696" s="47"/>
      <c r="F696" s="47"/>
      <c r="G696" s="47"/>
      <c r="H696" s="47"/>
      <c r="I696" s="47"/>
      <c r="L696" s="46"/>
      <c r="M696" s="47"/>
      <c r="N696" s="47"/>
      <c r="O696" s="47"/>
      <c r="P696" s="47"/>
    </row>
    <row r="697" spans="3:16" x14ac:dyDescent="0.2">
      <c r="C697" s="46"/>
      <c r="D697" s="47"/>
      <c r="E697" s="47"/>
      <c r="F697" s="47"/>
      <c r="G697" s="47"/>
      <c r="H697" s="47"/>
      <c r="I697" s="47"/>
      <c r="L697" s="46"/>
      <c r="M697" s="47"/>
      <c r="N697" s="47"/>
      <c r="O697" s="47"/>
      <c r="P697" s="47"/>
    </row>
    <row r="698" spans="3:16" x14ac:dyDescent="0.2">
      <c r="C698" s="46"/>
      <c r="D698" s="47"/>
      <c r="E698" s="47"/>
      <c r="F698" s="47"/>
      <c r="G698" s="47"/>
      <c r="H698" s="47"/>
      <c r="I698" s="47"/>
      <c r="L698" s="46"/>
      <c r="M698" s="47"/>
      <c r="N698" s="47"/>
      <c r="O698" s="47"/>
      <c r="P698" s="47"/>
    </row>
    <row r="699" spans="3:16" x14ac:dyDescent="0.2">
      <c r="C699" s="46"/>
      <c r="D699" s="47"/>
      <c r="E699" s="47"/>
      <c r="F699" s="47"/>
      <c r="G699" s="47"/>
      <c r="H699" s="47"/>
      <c r="I699" s="47"/>
      <c r="L699" s="46"/>
      <c r="M699" s="47"/>
      <c r="N699" s="47"/>
      <c r="O699" s="47"/>
      <c r="P699" s="47"/>
    </row>
    <row r="700" spans="3:16" x14ac:dyDescent="0.2">
      <c r="C700" s="46"/>
      <c r="D700" s="47"/>
      <c r="E700" s="47"/>
      <c r="F700" s="47"/>
      <c r="G700" s="47"/>
      <c r="H700" s="47"/>
      <c r="I700" s="47"/>
      <c r="L700" s="46"/>
      <c r="M700" s="47"/>
      <c r="N700" s="47"/>
      <c r="O700" s="47"/>
      <c r="P700" s="47"/>
    </row>
    <row r="701" spans="3:16" x14ac:dyDescent="0.2">
      <c r="C701" s="46"/>
      <c r="D701" s="47"/>
      <c r="E701" s="47"/>
      <c r="F701" s="47"/>
      <c r="G701" s="47"/>
      <c r="H701" s="47"/>
      <c r="I701" s="47"/>
      <c r="L701" s="46"/>
      <c r="M701" s="47"/>
      <c r="N701" s="47"/>
      <c r="O701" s="47"/>
      <c r="P701" s="47"/>
    </row>
    <row r="702" spans="3:16" x14ac:dyDescent="0.2">
      <c r="C702" s="46"/>
      <c r="D702" s="47"/>
      <c r="E702" s="47"/>
      <c r="F702" s="47"/>
      <c r="G702" s="47"/>
      <c r="H702" s="47"/>
      <c r="I702" s="47"/>
      <c r="L702" s="46"/>
      <c r="M702" s="47"/>
      <c r="N702" s="47"/>
      <c r="O702" s="47"/>
      <c r="P702" s="47"/>
    </row>
    <row r="703" spans="3:16" x14ac:dyDescent="0.2">
      <c r="C703" s="46"/>
      <c r="D703" s="47"/>
      <c r="E703" s="47"/>
      <c r="F703" s="47"/>
      <c r="G703" s="47"/>
      <c r="H703" s="47"/>
      <c r="I703" s="47"/>
      <c r="L703" s="46"/>
      <c r="M703" s="47"/>
      <c r="N703" s="47"/>
      <c r="O703" s="47"/>
      <c r="P703" s="47"/>
    </row>
    <row r="704" spans="3:16" x14ac:dyDescent="0.2">
      <c r="C704" s="46"/>
      <c r="D704" s="47"/>
      <c r="E704" s="47"/>
      <c r="F704" s="47"/>
      <c r="G704" s="47"/>
      <c r="H704" s="47"/>
      <c r="I704" s="47"/>
      <c r="L704" s="46"/>
      <c r="M704" s="47"/>
      <c r="N704" s="47"/>
      <c r="O704" s="47"/>
      <c r="P704" s="47"/>
    </row>
    <row r="705" spans="3:16" x14ac:dyDescent="0.2">
      <c r="C705" s="46"/>
      <c r="D705" s="47"/>
      <c r="E705" s="47"/>
      <c r="F705" s="47"/>
      <c r="G705" s="47"/>
      <c r="H705" s="47"/>
      <c r="I705" s="47"/>
      <c r="L705" s="46"/>
      <c r="M705" s="47"/>
      <c r="N705" s="47"/>
      <c r="O705" s="47"/>
      <c r="P705" s="47"/>
    </row>
    <row r="706" spans="3:16" x14ac:dyDescent="0.2">
      <c r="C706" s="46"/>
      <c r="D706" s="47"/>
      <c r="E706" s="47"/>
      <c r="F706" s="47"/>
      <c r="G706" s="47"/>
      <c r="H706" s="47"/>
      <c r="I706" s="47"/>
      <c r="L706" s="46"/>
      <c r="M706" s="47"/>
      <c r="N706" s="47"/>
      <c r="O706" s="47"/>
      <c r="P706" s="47"/>
    </row>
    <row r="707" spans="3:16" x14ac:dyDescent="0.2">
      <c r="C707" s="46"/>
      <c r="D707" s="47"/>
      <c r="E707" s="47"/>
      <c r="F707" s="47"/>
      <c r="G707" s="47"/>
      <c r="H707" s="47"/>
      <c r="I707" s="47"/>
      <c r="L707" s="46"/>
      <c r="M707" s="47"/>
      <c r="N707" s="47"/>
      <c r="O707" s="47"/>
      <c r="P707" s="47"/>
    </row>
    <row r="708" spans="3:16" x14ac:dyDescent="0.2">
      <c r="C708" s="46"/>
      <c r="D708" s="47"/>
      <c r="E708" s="47"/>
      <c r="F708" s="47"/>
      <c r="G708" s="47"/>
      <c r="H708" s="47"/>
      <c r="I708" s="47"/>
      <c r="L708" s="46"/>
      <c r="M708" s="47"/>
      <c r="N708" s="47"/>
      <c r="O708" s="47"/>
      <c r="P708" s="47"/>
    </row>
    <row r="709" spans="3:16" x14ac:dyDescent="0.2">
      <c r="C709" s="46"/>
      <c r="D709" s="47"/>
      <c r="E709" s="47"/>
      <c r="F709" s="47"/>
      <c r="G709" s="47"/>
      <c r="H709" s="47"/>
      <c r="I709" s="47"/>
      <c r="L709" s="46"/>
      <c r="M709" s="47"/>
      <c r="N709" s="47"/>
      <c r="O709" s="47"/>
      <c r="P709" s="47"/>
    </row>
    <row r="710" spans="3:16" x14ac:dyDescent="0.2">
      <c r="C710" s="46"/>
      <c r="D710" s="47"/>
      <c r="E710" s="47"/>
      <c r="F710" s="47"/>
      <c r="G710" s="47"/>
      <c r="H710" s="47"/>
      <c r="I710" s="47"/>
      <c r="L710" s="46"/>
      <c r="M710" s="47"/>
      <c r="N710" s="47"/>
      <c r="O710" s="47"/>
      <c r="P710" s="47"/>
    </row>
    <row r="711" spans="3:16" x14ac:dyDescent="0.2">
      <c r="C711" s="46"/>
      <c r="D711" s="47"/>
      <c r="E711" s="47"/>
      <c r="F711" s="47"/>
      <c r="G711" s="47"/>
      <c r="H711" s="47"/>
      <c r="I711" s="47"/>
      <c r="L711" s="46"/>
      <c r="M711" s="47"/>
      <c r="N711" s="47"/>
      <c r="O711" s="47"/>
      <c r="P711" s="47"/>
    </row>
    <row r="712" spans="3:16" x14ac:dyDescent="0.2">
      <c r="C712" s="46"/>
      <c r="D712" s="47"/>
      <c r="E712" s="47"/>
      <c r="F712" s="47"/>
      <c r="G712" s="47"/>
      <c r="H712" s="47"/>
      <c r="I712" s="47"/>
      <c r="L712" s="46"/>
      <c r="M712" s="47"/>
      <c r="N712" s="47"/>
      <c r="O712" s="47"/>
      <c r="P712" s="47"/>
    </row>
    <row r="713" spans="3:16" x14ac:dyDescent="0.2">
      <c r="C713" s="46"/>
      <c r="D713" s="47"/>
      <c r="E713" s="47"/>
      <c r="F713" s="47"/>
      <c r="G713" s="47"/>
      <c r="H713" s="47"/>
      <c r="I713" s="47"/>
      <c r="L713" s="46"/>
      <c r="M713" s="47"/>
      <c r="N713" s="47"/>
      <c r="O713" s="47"/>
      <c r="P713" s="47"/>
    </row>
    <row r="714" spans="3:16" x14ac:dyDescent="0.2">
      <c r="C714" s="46"/>
      <c r="D714" s="47"/>
      <c r="E714" s="47"/>
      <c r="F714" s="47"/>
      <c r="G714" s="47"/>
      <c r="H714" s="47"/>
      <c r="I714" s="47"/>
      <c r="L714" s="46"/>
      <c r="M714" s="47"/>
      <c r="N714" s="47"/>
      <c r="O714" s="47"/>
      <c r="P714" s="47"/>
    </row>
    <row r="715" spans="3:16" x14ac:dyDescent="0.2">
      <c r="C715" s="46"/>
      <c r="D715" s="47"/>
      <c r="E715" s="47"/>
      <c r="F715" s="47"/>
      <c r="G715" s="47"/>
      <c r="H715" s="47"/>
      <c r="I715" s="47"/>
      <c r="L715" s="46"/>
      <c r="M715" s="47"/>
      <c r="N715" s="47"/>
      <c r="O715" s="47"/>
      <c r="P715" s="47"/>
    </row>
    <row r="716" spans="3:16" x14ac:dyDescent="0.2">
      <c r="C716" s="46"/>
      <c r="D716" s="47"/>
      <c r="E716" s="47"/>
      <c r="F716" s="47"/>
      <c r="G716" s="47"/>
      <c r="H716" s="47"/>
      <c r="I716" s="47"/>
      <c r="L716" s="46"/>
      <c r="M716" s="47"/>
      <c r="N716" s="47"/>
      <c r="O716" s="47"/>
      <c r="P716" s="47"/>
    </row>
    <row r="717" spans="3:16" x14ac:dyDescent="0.2">
      <c r="C717" s="46"/>
      <c r="D717" s="47"/>
      <c r="E717" s="47"/>
      <c r="F717" s="47"/>
      <c r="G717" s="47"/>
      <c r="H717" s="47"/>
      <c r="I717" s="47"/>
      <c r="L717" s="46"/>
      <c r="M717" s="47"/>
      <c r="N717" s="47"/>
      <c r="O717" s="47"/>
      <c r="P717" s="47"/>
    </row>
    <row r="718" spans="3:16" x14ac:dyDescent="0.2">
      <c r="C718" s="46"/>
      <c r="D718" s="47"/>
      <c r="E718" s="47"/>
      <c r="F718" s="47"/>
      <c r="G718" s="47"/>
      <c r="H718" s="47"/>
      <c r="I718" s="47"/>
      <c r="L718" s="46"/>
      <c r="M718" s="47"/>
      <c r="N718" s="47"/>
      <c r="O718" s="47"/>
      <c r="P718" s="47"/>
    </row>
    <row r="719" spans="3:16" x14ac:dyDescent="0.2">
      <c r="C719" s="46"/>
      <c r="D719" s="47"/>
      <c r="E719" s="47"/>
      <c r="F719" s="47"/>
      <c r="G719" s="47"/>
      <c r="H719" s="47"/>
      <c r="I719" s="47"/>
      <c r="L719" s="46"/>
      <c r="M719" s="47"/>
      <c r="N719" s="47"/>
      <c r="O719" s="47"/>
      <c r="P719" s="47"/>
    </row>
    <row r="720" spans="3:16" x14ac:dyDescent="0.2">
      <c r="C720" s="46"/>
      <c r="D720" s="47"/>
      <c r="E720" s="47"/>
      <c r="F720" s="47"/>
      <c r="G720" s="47"/>
      <c r="H720" s="47"/>
      <c r="I720" s="47"/>
      <c r="L720" s="46"/>
      <c r="M720" s="47"/>
      <c r="N720" s="47"/>
      <c r="O720" s="47"/>
      <c r="P720" s="47"/>
    </row>
    <row r="721" spans="3:16" x14ac:dyDescent="0.2">
      <c r="C721" s="46"/>
      <c r="D721" s="47"/>
      <c r="E721" s="47"/>
      <c r="F721" s="47"/>
      <c r="G721" s="47"/>
      <c r="H721" s="47"/>
      <c r="I721" s="47"/>
      <c r="L721" s="46"/>
      <c r="M721" s="47"/>
      <c r="N721" s="47"/>
      <c r="O721" s="47"/>
      <c r="P721" s="47"/>
    </row>
    <row r="722" spans="3:16" x14ac:dyDescent="0.2">
      <c r="C722" s="46"/>
      <c r="D722" s="47"/>
      <c r="E722" s="47"/>
      <c r="F722" s="47"/>
      <c r="G722" s="47"/>
      <c r="H722" s="47"/>
      <c r="I722" s="47"/>
      <c r="L722" s="46"/>
      <c r="M722" s="47"/>
      <c r="N722" s="47"/>
      <c r="O722" s="47"/>
      <c r="P722" s="47"/>
    </row>
    <row r="723" spans="3:16" x14ac:dyDescent="0.2">
      <c r="C723" s="46"/>
      <c r="D723" s="47"/>
      <c r="E723" s="47"/>
      <c r="F723" s="47"/>
      <c r="G723" s="47"/>
      <c r="H723" s="47"/>
      <c r="I723" s="47"/>
      <c r="L723" s="46"/>
      <c r="M723" s="47"/>
      <c r="N723" s="47"/>
      <c r="O723" s="47"/>
      <c r="P723" s="47"/>
    </row>
    <row r="724" spans="3:16" x14ac:dyDescent="0.2">
      <c r="C724" s="46"/>
      <c r="D724" s="47"/>
      <c r="E724" s="47"/>
      <c r="F724" s="47"/>
      <c r="G724" s="47"/>
      <c r="H724" s="47"/>
      <c r="I724" s="47"/>
      <c r="L724" s="46"/>
      <c r="M724" s="47"/>
      <c r="N724" s="47"/>
      <c r="O724" s="47"/>
      <c r="P724" s="47"/>
    </row>
    <row r="725" spans="3:16" x14ac:dyDescent="0.2">
      <c r="C725" s="46"/>
      <c r="D725" s="47"/>
      <c r="E725" s="47"/>
      <c r="F725" s="47"/>
      <c r="G725" s="47"/>
      <c r="H725" s="47"/>
      <c r="I725" s="47"/>
      <c r="L725" s="46"/>
      <c r="M725" s="47"/>
      <c r="N725" s="47"/>
      <c r="O725" s="47"/>
      <c r="P725" s="47"/>
    </row>
    <row r="726" spans="3:16" x14ac:dyDescent="0.2">
      <c r="C726" s="46"/>
      <c r="D726" s="47"/>
      <c r="E726" s="47"/>
      <c r="F726" s="47"/>
      <c r="G726" s="47"/>
      <c r="H726" s="47"/>
      <c r="I726" s="47"/>
      <c r="L726" s="46"/>
      <c r="M726" s="47"/>
      <c r="N726" s="47"/>
      <c r="O726" s="47"/>
      <c r="P726" s="47"/>
    </row>
    <row r="727" spans="3:16" x14ac:dyDescent="0.2">
      <c r="C727" s="46"/>
      <c r="D727" s="47"/>
      <c r="E727" s="47"/>
      <c r="F727" s="47"/>
      <c r="G727" s="47"/>
      <c r="H727" s="47"/>
      <c r="I727" s="47"/>
      <c r="L727" s="46"/>
      <c r="M727" s="47"/>
      <c r="N727" s="47"/>
      <c r="O727" s="47"/>
      <c r="P727" s="47"/>
    </row>
    <row r="728" spans="3:16" x14ac:dyDescent="0.2">
      <c r="C728" s="46"/>
      <c r="D728" s="47"/>
      <c r="E728" s="47"/>
      <c r="F728" s="47"/>
      <c r="G728" s="47"/>
      <c r="H728" s="47"/>
      <c r="I728" s="47"/>
      <c r="L728" s="46"/>
      <c r="M728" s="47"/>
      <c r="N728" s="47"/>
      <c r="O728" s="47"/>
      <c r="P728" s="47"/>
    </row>
    <row r="729" spans="3:16" x14ac:dyDescent="0.2">
      <c r="C729" s="46"/>
      <c r="D729" s="47"/>
      <c r="E729" s="47"/>
      <c r="F729" s="47"/>
      <c r="G729" s="47"/>
      <c r="H729" s="47"/>
      <c r="I729" s="47"/>
      <c r="L729" s="46"/>
      <c r="M729" s="47"/>
      <c r="N729" s="47"/>
      <c r="O729" s="47"/>
      <c r="P729" s="47"/>
    </row>
    <row r="730" spans="3:16" x14ac:dyDescent="0.2">
      <c r="C730" s="46"/>
      <c r="D730" s="47"/>
      <c r="E730" s="47"/>
      <c r="F730" s="47"/>
      <c r="G730" s="47"/>
      <c r="H730" s="47"/>
      <c r="I730" s="47"/>
      <c r="L730" s="46"/>
      <c r="M730" s="47"/>
      <c r="N730" s="47"/>
      <c r="O730" s="47"/>
      <c r="P730" s="47"/>
    </row>
    <row r="731" spans="3:16" x14ac:dyDescent="0.2">
      <c r="C731" s="46"/>
      <c r="D731" s="47"/>
      <c r="E731" s="47"/>
      <c r="F731" s="47"/>
      <c r="G731" s="47"/>
      <c r="H731" s="47"/>
      <c r="I731" s="47"/>
      <c r="L731" s="46"/>
      <c r="M731" s="47"/>
      <c r="N731" s="47"/>
      <c r="O731" s="47"/>
      <c r="P731" s="47"/>
    </row>
    <row r="732" spans="3:16" x14ac:dyDescent="0.2">
      <c r="C732" s="46"/>
      <c r="D732" s="47"/>
      <c r="E732" s="47"/>
      <c r="F732" s="47"/>
      <c r="G732" s="47"/>
      <c r="H732" s="47"/>
      <c r="I732" s="47"/>
      <c r="L732" s="46"/>
      <c r="M732" s="47"/>
      <c r="N732" s="47"/>
      <c r="O732" s="47"/>
      <c r="P732" s="47"/>
    </row>
    <row r="733" spans="3:16" x14ac:dyDescent="0.2">
      <c r="C733" s="46"/>
      <c r="D733" s="47"/>
      <c r="E733" s="47"/>
      <c r="F733" s="47"/>
      <c r="G733" s="47"/>
      <c r="H733" s="47"/>
      <c r="I733" s="47"/>
      <c r="L733" s="46"/>
      <c r="M733" s="47"/>
      <c r="N733" s="47"/>
      <c r="O733" s="47"/>
      <c r="P733" s="47"/>
    </row>
    <row r="734" spans="3:16" x14ac:dyDescent="0.2">
      <c r="C734" s="46"/>
      <c r="D734" s="47"/>
      <c r="E734" s="47"/>
      <c r="F734" s="47"/>
      <c r="G734" s="47"/>
      <c r="H734" s="47"/>
      <c r="I734" s="47"/>
      <c r="L734" s="46"/>
      <c r="M734" s="47"/>
      <c r="N734" s="47"/>
      <c r="O734" s="47"/>
      <c r="P734" s="47"/>
    </row>
    <row r="735" spans="3:16" x14ac:dyDescent="0.2">
      <c r="C735" s="46"/>
      <c r="D735" s="47"/>
      <c r="E735" s="47"/>
      <c r="F735" s="47"/>
      <c r="G735" s="47"/>
      <c r="H735" s="47"/>
      <c r="I735" s="47"/>
      <c r="L735" s="46"/>
      <c r="M735" s="47"/>
      <c r="N735" s="47"/>
      <c r="O735" s="47"/>
      <c r="P735" s="47"/>
    </row>
    <row r="736" spans="3:16" x14ac:dyDescent="0.2">
      <c r="C736" s="46"/>
      <c r="D736" s="47"/>
      <c r="E736" s="47"/>
      <c r="F736" s="47"/>
      <c r="G736" s="47"/>
      <c r="H736" s="47"/>
      <c r="I736" s="47"/>
      <c r="L736" s="46"/>
      <c r="M736" s="47"/>
      <c r="N736" s="47"/>
      <c r="O736" s="47"/>
      <c r="P736" s="47"/>
    </row>
    <row r="737" spans="3:16" x14ac:dyDescent="0.2">
      <c r="C737" s="46"/>
      <c r="D737" s="47"/>
      <c r="E737" s="47"/>
      <c r="F737" s="47"/>
      <c r="G737" s="47"/>
      <c r="H737" s="47"/>
      <c r="I737" s="47"/>
      <c r="L737" s="46"/>
      <c r="M737" s="47"/>
      <c r="N737" s="47"/>
      <c r="O737" s="47"/>
      <c r="P737" s="47"/>
    </row>
    <row r="738" spans="3:16" x14ac:dyDescent="0.2">
      <c r="C738" s="46"/>
      <c r="D738" s="47"/>
      <c r="E738" s="47"/>
      <c r="F738" s="47"/>
      <c r="G738" s="47"/>
      <c r="H738" s="47"/>
      <c r="I738" s="47"/>
      <c r="L738" s="46"/>
      <c r="M738" s="47"/>
      <c r="N738" s="47"/>
      <c r="O738" s="47"/>
      <c r="P738" s="47"/>
    </row>
    <row r="739" spans="3:16" x14ac:dyDescent="0.2">
      <c r="C739" s="46"/>
      <c r="D739" s="47"/>
      <c r="E739" s="47"/>
      <c r="F739" s="47"/>
      <c r="G739" s="47"/>
      <c r="H739" s="47"/>
      <c r="I739" s="47"/>
      <c r="L739" s="46"/>
      <c r="M739" s="47"/>
      <c r="N739" s="47"/>
      <c r="O739" s="47"/>
      <c r="P739" s="47"/>
    </row>
    <row r="740" spans="3:16" x14ac:dyDescent="0.2">
      <c r="C740" s="46"/>
      <c r="D740" s="47"/>
      <c r="E740" s="47"/>
      <c r="F740" s="47"/>
      <c r="G740" s="47"/>
      <c r="H740" s="47"/>
      <c r="I740" s="47"/>
      <c r="L740" s="46"/>
      <c r="M740" s="47"/>
      <c r="N740" s="47"/>
      <c r="O740" s="47"/>
      <c r="P740" s="47"/>
    </row>
    <row r="741" spans="3:16" x14ac:dyDescent="0.2">
      <c r="C741" s="46"/>
      <c r="D741" s="47"/>
      <c r="E741" s="47"/>
      <c r="F741" s="47"/>
      <c r="G741" s="47"/>
      <c r="H741" s="47"/>
      <c r="I741" s="47"/>
      <c r="L741" s="46"/>
      <c r="M741" s="47"/>
      <c r="N741" s="47"/>
      <c r="O741" s="47"/>
      <c r="P741" s="47"/>
    </row>
    <row r="742" spans="3:16" x14ac:dyDescent="0.2">
      <c r="C742" s="46"/>
      <c r="D742" s="47"/>
      <c r="E742" s="47"/>
      <c r="F742" s="47"/>
      <c r="G742" s="47"/>
      <c r="H742" s="47"/>
      <c r="I742" s="47"/>
      <c r="L742" s="46"/>
      <c r="M742" s="47"/>
      <c r="N742" s="47"/>
      <c r="O742" s="47"/>
      <c r="P742" s="47"/>
    </row>
    <row r="743" spans="3:16" x14ac:dyDescent="0.2">
      <c r="C743" s="46"/>
      <c r="D743" s="47"/>
      <c r="E743" s="47"/>
      <c r="F743" s="47"/>
      <c r="G743" s="47"/>
      <c r="H743" s="47"/>
      <c r="I743" s="47"/>
      <c r="L743" s="46"/>
      <c r="M743" s="47"/>
      <c r="N743" s="47"/>
      <c r="O743" s="47"/>
      <c r="P743" s="47"/>
    </row>
    <row r="744" spans="3:16" x14ac:dyDescent="0.2">
      <c r="C744" s="46"/>
      <c r="D744" s="47"/>
      <c r="E744" s="47"/>
      <c r="F744" s="47"/>
      <c r="G744" s="47"/>
      <c r="H744" s="47"/>
      <c r="I744" s="47"/>
      <c r="L744" s="46"/>
      <c r="M744" s="47"/>
      <c r="N744" s="47"/>
      <c r="O744" s="47"/>
      <c r="P744" s="47"/>
    </row>
    <row r="745" spans="3:16" x14ac:dyDescent="0.2">
      <c r="C745" s="46"/>
      <c r="D745" s="47"/>
      <c r="E745" s="47"/>
      <c r="F745" s="47"/>
      <c r="G745" s="47"/>
      <c r="H745" s="47"/>
      <c r="I745" s="47"/>
      <c r="L745" s="46"/>
      <c r="M745" s="47"/>
      <c r="N745" s="47"/>
      <c r="O745" s="47"/>
      <c r="P745" s="47"/>
    </row>
    <row r="746" spans="3:16" x14ac:dyDescent="0.2">
      <c r="C746" s="46"/>
      <c r="D746" s="47"/>
      <c r="E746" s="47"/>
      <c r="F746" s="47"/>
      <c r="G746" s="47"/>
      <c r="H746" s="47"/>
      <c r="I746" s="47"/>
      <c r="L746" s="46"/>
      <c r="M746" s="47"/>
      <c r="N746" s="47"/>
      <c r="O746" s="47"/>
      <c r="P746" s="47"/>
    </row>
    <row r="747" spans="3:16" x14ac:dyDescent="0.2">
      <c r="C747" s="46"/>
      <c r="D747" s="47"/>
      <c r="E747" s="47"/>
      <c r="F747" s="47"/>
      <c r="G747" s="47"/>
      <c r="H747" s="47"/>
      <c r="I747" s="47"/>
      <c r="L747" s="46"/>
      <c r="M747" s="47"/>
      <c r="N747" s="47"/>
      <c r="O747" s="47"/>
      <c r="P747" s="47"/>
    </row>
    <row r="748" spans="3:16" x14ac:dyDescent="0.2">
      <c r="C748" s="46"/>
      <c r="D748" s="47"/>
      <c r="E748" s="47"/>
      <c r="F748" s="47"/>
      <c r="G748" s="47"/>
      <c r="H748" s="47"/>
      <c r="I748" s="47"/>
      <c r="L748" s="46"/>
      <c r="M748" s="47"/>
      <c r="N748" s="47"/>
      <c r="O748" s="47"/>
      <c r="P748" s="47"/>
    </row>
    <row r="749" spans="3:16" x14ac:dyDescent="0.2">
      <c r="C749" s="46"/>
      <c r="D749" s="47"/>
      <c r="E749" s="47"/>
      <c r="F749" s="47"/>
      <c r="G749" s="47"/>
      <c r="H749" s="47"/>
      <c r="I749" s="47"/>
      <c r="L749" s="46"/>
      <c r="M749" s="47"/>
      <c r="N749" s="47"/>
      <c r="O749" s="47"/>
      <c r="P749" s="47"/>
    </row>
    <row r="750" spans="3:16" x14ac:dyDescent="0.2">
      <c r="C750" s="46"/>
      <c r="D750" s="47"/>
      <c r="E750" s="47"/>
      <c r="F750" s="47"/>
      <c r="G750" s="47"/>
      <c r="H750" s="47"/>
      <c r="I750" s="47"/>
      <c r="L750" s="46"/>
      <c r="M750" s="47"/>
      <c r="N750" s="47"/>
      <c r="O750" s="47"/>
      <c r="P750" s="47"/>
    </row>
    <row r="751" spans="3:16" x14ac:dyDescent="0.2">
      <c r="C751" s="46"/>
      <c r="D751" s="47"/>
      <c r="E751" s="47"/>
      <c r="F751" s="47"/>
      <c r="G751" s="47"/>
      <c r="H751" s="47"/>
      <c r="I751" s="47"/>
      <c r="L751" s="46"/>
      <c r="M751" s="47"/>
      <c r="N751" s="47"/>
      <c r="O751" s="47"/>
      <c r="P751" s="47"/>
    </row>
    <row r="752" spans="3:16" x14ac:dyDescent="0.2">
      <c r="C752" s="46"/>
      <c r="D752" s="47"/>
      <c r="E752" s="47"/>
      <c r="F752" s="47"/>
      <c r="G752" s="47"/>
      <c r="H752" s="47"/>
      <c r="I752" s="47"/>
      <c r="L752" s="46"/>
      <c r="M752" s="47"/>
      <c r="N752" s="47"/>
      <c r="O752" s="47"/>
      <c r="P752" s="47"/>
    </row>
    <row r="753" spans="3:16" x14ac:dyDescent="0.2">
      <c r="C753" s="46"/>
      <c r="D753" s="47"/>
      <c r="E753" s="47"/>
      <c r="F753" s="47"/>
      <c r="G753" s="47"/>
      <c r="H753" s="47"/>
      <c r="I753" s="47"/>
      <c r="L753" s="46"/>
      <c r="M753" s="47"/>
      <c r="N753" s="47"/>
      <c r="O753" s="47"/>
      <c r="P753" s="47"/>
    </row>
    <row r="754" spans="3:16" x14ac:dyDescent="0.2">
      <c r="C754" s="46"/>
      <c r="D754" s="47"/>
      <c r="E754" s="47"/>
      <c r="F754" s="47"/>
      <c r="G754" s="47"/>
      <c r="H754" s="47"/>
      <c r="I754" s="47"/>
      <c r="L754" s="46"/>
      <c r="M754" s="47"/>
      <c r="N754" s="47"/>
      <c r="O754" s="47"/>
      <c r="P754" s="47"/>
    </row>
    <row r="755" spans="3:16" x14ac:dyDescent="0.2">
      <c r="C755" s="46"/>
      <c r="D755" s="47"/>
      <c r="E755" s="47"/>
      <c r="F755" s="47"/>
      <c r="G755" s="47"/>
      <c r="H755" s="47"/>
      <c r="I755" s="47"/>
      <c r="L755" s="46"/>
      <c r="M755" s="47"/>
      <c r="N755" s="47"/>
      <c r="O755" s="47"/>
      <c r="P755" s="47"/>
    </row>
    <row r="756" spans="3:16" x14ac:dyDescent="0.2">
      <c r="C756" s="46"/>
      <c r="D756" s="47"/>
      <c r="E756" s="47"/>
      <c r="F756" s="47"/>
      <c r="G756" s="47"/>
      <c r="H756" s="47"/>
      <c r="I756" s="47"/>
      <c r="L756" s="46"/>
      <c r="M756" s="47"/>
      <c r="N756" s="47"/>
      <c r="O756" s="47"/>
      <c r="P756" s="47"/>
    </row>
    <row r="757" spans="3:16" x14ac:dyDescent="0.2">
      <c r="C757" s="46"/>
      <c r="D757" s="47"/>
      <c r="E757" s="47"/>
      <c r="F757" s="47"/>
      <c r="G757" s="47"/>
      <c r="H757" s="47"/>
      <c r="I757" s="47"/>
      <c r="L757" s="46"/>
      <c r="M757" s="47"/>
      <c r="N757" s="47"/>
      <c r="O757" s="47"/>
      <c r="P757" s="47"/>
    </row>
    <row r="758" spans="3:16" x14ac:dyDescent="0.2">
      <c r="C758" s="46"/>
      <c r="D758" s="47"/>
      <c r="E758" s="47"/>
      <c r="F758" s="47"/>
      <c r="G758" s="47"/>
      <c r="H758" s="47"/>
      <c r="I758" s="47"/>
      <c r="L758" s="46"/>
      <c r="M758" s="47"/>
      <c r="N758" s="47"/>
      <c r="O758" s="47"/>
      <c r="P758" s="47"/>
    </row>
    <row r="759" spans="3:16" x14ac:dyDescent="0.2">
      <c r="C759" s="46"/>
      <c r="D759" s="47"/>
      <c r="E759" s="47"/>
      <c r="F759" s="47"/>
      <c r="G759" s="47"/>
      <c r="H759" s="47"/>
      <c r="I759" s="47"/>
      <c r="L759" s="46"/>
      <c r="M759" s="47"/>
      <c r="N759" s="47"/>
      <c r="O759" s="47"/>
      <c r="P759" s="47"/>
    </row>
    <row r="760" spans="3:16" x14ac:dyDescent="0.2">
      <c r="C760" s="46"/>
      <c r="D760" s="47"/>
      <c r="E760" s="47"/>
      <c r="F760" s="47"/>
      <c r="G760" s="47"/>
      <c r="H760" s="47"/>
      <c r="I760" s="47"/>
      <c r="L760" s="46"/>
      <c r="M760" s="47"/>
      <c r="N760" s="47"/>
      <c r="O760" s="47"/>
      <c r="P760" s="47"/>
    </row>
    <row r="761" spans="3:16" x14ac:dyDescent="0.2">
      <c r="C761" s="46"/>
      <c r="D761" s="47"/>
      <c r="E761" s="47"/>
      <c r="F761" s="47"/>
      <c r="G761" s="47"/>
      <c r="H761" s="47"/>
      <c r="I761" s="47"/>
      <c r="L761" s="46"/>
      <c r="M761" s="47"/>
      <c r="N761" s="47"/>
      <c r="O761" s="47"/>
      <c r="P761" s="47"/>
    </row>
    <row r="762" spans="3:16" x14ac:dyDescent="0.2">
      <c r="C762" s="46"/>
      <c r="D762" s="47"/>
      <c r="E762" s="47"/>
      <c r="F762" s="47"/>
      <c r="G762" s="47"/>
      <c r="H762" s="47"/>
      <c r="I762" s="47"/>
      <c r="L762" s="46"/>
      <c r="M762" s="47"/>
      <c r="N762" s="47"/>
      <c r="O762" s="47"/>
      <c r="P762" s="47"/>
    </row>
    <row r="763" spans="3:16" x14ac:dyDescent="0.2">
      <c r="C763" s="46"/>
      <c r="D763" s="47"/>
      <c r="E763" s="47"/>
      <c r="F763" s="47"/>
      <c r="G763" s="47"/>
      <c r="H763" s="47"/>
      <c r="I763" s="47"/>
      <c r="L763" s="46"/>
      <c r="M763" s="47"/>
      <c r="N763" s="47"/>
      <c r="O763" s="47"/>
      <c r="P763" s="47"/>
    </row>
    <row r="764" spans="3:16" x14ac:dyDescent="0.2">
      <c r="C764" s="46"/>
      <c r="D764" s="47"/>
      <c r="E764" s="47"/>
      <c r="F764" s="47"/>
      <c r="G764" s="47"/>
      <c r="H764" s="47"/>
      <c r="I764" s="47"/>
      <c r="L764" s="46"/>
      <c r="M764" s="47"/>
      <c r="N764" s="47"/>
      <c r="O764" s="47"/>
      <c r="P764" s="47"/>
    </row>
    <row r="765" spans="3:16" x14ac:dyDescent="0.2">
      <c r="C765" s="46"/>
      <c r="D765" s="47"/>
      <c r="E765" s="47"/>
      <c r="F765" s="47"/>
      <c r="G765" s="47"/>
      <c r="H765" s="47"/>
      <c r="I765" s="47"/>
      <c r="L765" s="46"/>
      <c r="M765" s="47"/>
      <c r="N765" s="47"/>
      <c r="O765" s="47"/>
      <c r="P765" s="47"/>
    </row>
    <row r="766" spans="3:16" x14ac:dyDescent="0.2">
      <c r="C766" s="46"/>
      <c r="D766" s="47"/>
      <c r="E766" s="47"/>
      <c r="F766" s="47"/>
      <c r="G766" s="47"/>
      <c r="H766" s="47"/>
      <c r="I766" s="47"/>
      <c r="L766" s="46"/>
      <c r="M766" s="47"/>
      <c r="N766" s="47"/>
      <c r="O766" s="47"/>
      <c r="P766" s="47"/>
    </row>
    <row r="767" spans="3:16" x14ac:dyDescent="0.2">
      <c r="C767" s="46"/>
      <c r="D767" s="47"/>
      <c r="E767" s="47"/>
      <c r="F767" s="47"/>
      <c r="G767" s="47"/>
      <c r="H767" s="47"/>
      <c r="I767" s="47"/>
      <c r="L767" s="46"/>
      <c r="M767" s="47"/>
      <c r="N767" s="47"/>
      <c r="O767" s="47"/>
      <c r="P767" s="47"/>
    </row>
    <row r="768" spans="3:16" x14ac:dyDescent="0.2">
      <c r="C768" s="46"/>
      <c r="D768" s="47"/>
      <c r="E768" s="47"/>
      <c r="F768" s="47"/>
      <c r="G768" s="47"/>
      <c r="H768" s="47"/>
      <c r="I768" s="47"/>
      <c r="L768" s="46"/>
      <c r="M768" s="47"/>
      <c r="N768" s="47"/>
      <c r="O768" s="47"/>
      <c r="P768" s="47"/>
    </row>
    <row r="769" spans="3:16" x14ac:dyDescent="0.2">
      <c r="C769" s="46"/>
      <c r="D769" s="47"/>
      <c r="E769" s="47"/>
      <c r="F769" s="47"/>
      <c r="G769" s="47"/>
      <c r="H769" s="47"/>
      <c r="I769" s="47"/>
      <c r="L769" s="46"/>
      <c r="M769" s="47"/>
      <c r="N769" s="47"/>
      <c r="O769" s="47"/>
      <c r="P769" s="47"/>
    </row>
    <row r="770" spans="3:16" x14ac:dyDescent="0.2">
      <c r="C770" s="46"/>
      <c r="D770" s="47"/>
      <c r="E770" s="47"/>
      <c r="F770" s="47"/>
      <c r="G770" s="47"/>
      <c r="H770" s="47"/>
      <c r="I770" s="47"/>
      <c r="L770" s="46"/>
      <c r="M770" s="47"/>
      <c r="N770" s="47"/>
      <c r="O770" s="47"/>
      <c r="P770" s="47"/>
    </row>
    <row r="771" spans="3:16" x14ac:dyDescent="0.2">
      <c r="C771" s="46"/>
      <c r="D771" s="47"/>
      <c r="E771" s="47"/>
      <c r="F771" s="47"/>
      <c r="G771" s="47"/>
      <c r="H771" s="47"/>
      <c r="I771" s="47"/>
      <c r="L771" s="46"/>
      <c r="M771" s="47"/>
      <c r="N771" s="47"/>
      <c r="O771" s="47"/>
      <c r="P771" s="47"/>
    </row>
    <row r="772" spans="3:16" x14ac:dyDescent="0.2">
      <c r="C772" s="46"/>
      <c r="D772" s="47"/>
      <c r="E772" s="47"/>
      <c r="F772" s="47"/>
      <c r="G772" s="47"/>
      <c r="H772" s="47"/>
      <c r="I772" s="47"/>
      <c r="L772" s="46"/>
      <c r="M772" s="47"/>
      <c r="N772" s="47"/>
      <c r="O772" s="47"/>
      <c r="P772" s="47"/>
    </row>
    <row r="773" spans="3:16" x14ac:dyDescent="0.2">
      <c r="C773" s="46"/>
      <c r="D773" s="47"/>
      <c r="E773" s="47"/>
      <c r="F773" s="47"/>
      <c r="G773" s="47"/>
      <c r="H773" s="47"/>
      <c r="I773" s="47"/>
      <c r="L773" s="46"/>
      <c r="M773" s="47"/>
      <c r="N773" s="47"/>
      <c r="O773" s="47"/>
      <c r="P773" s="47"/>
    </row>
    <row r="774" spans="3:16" x14ac:dyDescent="0.2">
      <c r="C774" s="46"/>
      <c r="D774" s="47"/>
      <c r="E774" s="47"/>
      <c r="F774" s="47"/>
      <c r="G774" s="47"/>
      <c r="H774" s="47"/>
      <c r="I774" s="47"/>
      <c r="L774" s="46"/>
      <c r="M774" s="47"/>
      <c r="N774" s="47"/>
      <c r="O774" s="47"/>
      <c r="P774" s="47"/>
    </row>
    <row r="775" spans="3:16" x14ac:dyDescent="0.2">
      <c r="C775" s="46"/>
      <c r="D775" s="47"/>
      <c r="E775" s="47"/>
      <c r="F775" s="47"/>
      <c r="G775" s="47"/>
      <c r="H775" s="47"/>
      <c r="I775" s="47"/>
      <c r="L775" s="46"/>
      <c r="M775" s="47"/>
      <c r="N775" s="47"/>
      <c r="O775" s="47"/>
      <c r="P775" s="47"/>
    </row>
    <row r="776" spans="3:16" x14ac:dyDescent="0.2">
      <c r="C776" s="46"/>
      <c r="D776" s="47"/>
      <c r="E776" s="47"/>
      <c r="F776" s="47"/>
      <c r="G776" s="47"/>
      <c r="H776" s="47"/>
      <c r="I776" s="47"/>
      <c r="L776" s="46"/>
      <c r="M776" s="47"/>
      <c r="N776" s="47"/>
      <c r="O776" s="47"/>
      <c r="P776" s="47"/>
    </row>
    <row r="777" spans="3:16" x14ac:dyDescent="0.2">
      <c r="C777" s="46"/>
      <c r="D777" s="47"/>
      <c r="E777" s="47"/>
      <c r="F777" s="47"/>
      <c r="G777" s="47"/>
      <c r="H777" s="47"/>
      <c r="I777" s="47"/>
      <c r="L777" s="46"/>
      <c r="M777" s="47"/>
      <c r="N777" s="47"/>
      <c r="O777" s="47"/>
      <c r="P777" s="47"/>
    </row>
    <row r="778" spans="3:16" x14ac:dyDescent="0.2">
      <c r="C778" s="46"/>
      <c r="D778" s="47"/>
      <c r="E778" s="47"/>
      <c r="F778" s="47"/>
      <c r="G778" s="47"/>
      <c r="H778" s="47"/>
      <c r="I778" s="47"/>
      <c r="L778" s="46"/>
      <c r="M778" s="47"/>
      <c r="N778" s="47"/>
      <c r="O778" s="47"/>
      <c r="P778" s="47"/>
    </row>
    <row r="779" spans="3:16" x14ac:dyDescent="0.2">
      <c r="C779" s="46"/>
      <c r="D779" s="47"/>
      <c r="E779" s="47"/>
      <c r="F779" s="47"/>
      <c r="G779" s="47"/>
      <c r="H779" s="47"/>
      <c r="I779" s="47"/>
      <c r="L779" s="46"/>
      <c r="M779" s="47"/>
      <c r="N779" s="47"/>
      <c r="O779" s="47"/>
      <c r="P779" s="47"/>
    </row>
    <row r="780" spans="3:16" x14ac:dyDescent="0.2">
      <c r="C780" s="46"/>
      <c r="D780" s="47"/>
      <c r="E780" s="47"/>
      <c r="F780" s="47"/>
      <c r="G780" s="47"/>
      <c r="H780" s="47"/>
      <c r="I780" s="47"/>
      <c r="L780" s="46"/>
      <c r="M780" s="47"/>
      <c r="N780" s="47"/>
      <c r="O780" s="47"/>
      <c r="P780" s="47"/>
    </row>
    <row r="781" spans="3:16" x14ac:dyDescent="0.2">
      <c r="C781" s="46"/>
      <c r="D781" s="47"/>
      <c r="E781" s="47"/>
      <c r="F781" s="47"/>
      <c r="G781" s="47"/>
      <c r="H781" s="47"/>
      <c r="I781" s="47"/>
      <c r="L781" s="46"/>
      <c r="M781" s="47"/>
      <c r="N781" s="47"/>
      <c r="O781" s="47"/>
      <c r="P781" s="47"/>
    </row>
    <row r="782" spans="3:16" x14ac:dyDescent="0.2">
      <c r="C782" s="46"/>
      <c r="D782" s="47"/>
      <c r="E782" s="47"/>
      <c r="F782" s="47"/>
      <c r="G782" s="47"/>
      <c r="H782" s="47"/>
      <c r="I782" s="47"/>
      <c r="L782" s="46"/>
      <c r="M782" s="47"/>
      <c r="N782" s="47"/>
      <c r="O782" s="47"/>
      <c r="P782" s="47"/>
    </row>
    <row r="783" spans="3:16" x14ac:dyDescent="0.2">
      <c r="C783" s="46"/>
      <c r="D783" s="47"/>
      <c r="E783" s="47"/>
      <c r="F783" s="47"/>
      <c r="G783" s="47"/>
      <c r="H783" s="47"/>
      <c r="I783" s="47"/>
      <c r="L783" s="46"/>
      <c r="M783" s="47"/>
      <c r="N783" s="47"/>
      <c r="O783" s="47"/>
      <c r="P783" s="47"/>
    </row>
    <row r="784" spans="3:16" x14ac:dyDescent="0.2">
      <c r="C784" s="46"/>
      <c r="D784" s="47"/>
      <c r="E784" s="47"/>
      <c r="F784" s="47"/>
      <c r="G784" s="47"/>
      <c r="H784" s="47"/>
      <c r="I784" s="47"/>
      <c r="L784" s="46"/>
      <c r="M784" s="47"/>
      <c r="N784" s="47"/>
      <c r="O784" s="47"/>
      <c r="P784" s="47"/>
    </row>
    <row r="785" spans="3:16" x14ac:dyDescent="0.2">
      <c r="C785" s="46"/>
      <c r="D785" s="47"/>
      <c r="E785" s="47"/>
      <c r="F785" s="47"/>
      <c r="G785" s="47"/>
      <c r="H785" s="47"/>
      <c r="I785" s="47"/>
      <c r="L785" s="46"/>
      <c r="M785" s="47"/>
      <c r="N785" s="47"/>
      <c r="O785" s="47"/>
      <c r="P785" s="47"/>
    </row>
    <row r="786" spans="3:16" x14ac:dyDescent="0.2">
      <c r="C786" s="46"/>
      <c r="D786" s="47"/>
      <c r="E786" s="47"/>
      <c r="F786" s="47"/>
      <c r="G786" s="47"/>
      <c r="H786" s="47"/>
      <c r="I786" s="47"/>
      <c r="L786" s="46"/>
      <c r="M786" s="47"/>
      <c r="N786" s="47"/>
      <c r="O786" s="47"/>
      <c r="P786" s="47"/>
    </row>
    <row r="787" spans="3:16" x14ac:dyDescent="0.2">
      <c r="C787" s="46"/>
      <c r="D787" s="47"/>
      <c r="E787" s="47"/>
      <c r="F787" s="47"/>
      <c r="G787" s="47"/>
      <c r="H787" s="47"/>
      <c r="I787" s="47"/>
      <c r="L787" s="46"/>
      <c r="M787" s="47"/>
      <c r="N787" s="47"/>
      <c r="O787" s="47"/>
      <c r="P787" s="47"/>
    </row>
    <row r="788" spans="3:16" x14ac:dyDescent="0.2">
      <c r="C788" s="46"/>
      <c r="D788" s="47"/>
      <c r="E788" s="47"/>
      <c r="F788" s="47"/>
      <c r="G788" s="47"/>
      <c r="H788" s="47"/>
      <c r="I788" s="47"/>
      <c r="L788" s="46"/>
      <c r="M788" s="47"/>
      <c r="N788" s="47"/>
      <c r="O788" s="47"/>
      <c r="P788" s="47"/>
    </row>
    <row r="789" spans="3:16" x14ac:dyDescent="0.2">
      <c r="C789" s="46"/>
      <c r="D789" s="47"/>
      <c r="E789" s="47"/>
      <c r="F789" s="47"/>
      <c r="G789" s="47"/>
      <c r="H789" s="47"/>
      <c r="I789" s="47"/>
      <c r="L789" s="46"/>
      <c r="M789" s="47"/>
      <c r="N789" s="47"/>
      <c r="O789" s="47"/>
      <c r="P789" s="47"/>
    </row>
    <row r="790" spans="3:16" x14ac:dyDescent="0.2">
      <c r="C790" s="46"/>
      <c r="D790" s="47"/>
      <c r="E790" s="47"/>
      <c r="F790" s="47"/>
      <c r="G790" s="47"/>
      <c r="H790" s="47"/>
      <c r="I790" s="47"/>
      <c r="L790" s="46"/>
      <c r="M790" s="47"/>
      <c r="N790" s="47"/>
      <c r="O790" s="47"/>
      <c r="P790" s="47"/>
    </row>
    <row r="791" spans="3:16" x14ac:dyDescent="0.2">
      <c r="C791" s="46"/>
      <c r="D791" s="47"/>
      <c r="E791" s="47"/>
      <c r="F791" s="47"/>
      <c r="G791" s="47"/>
      <c r="H791" s="47"/>
      <c r="I791" s="47"/>
      <c r="L791" s="46"/>
      <c r="M791" s="47"/>
      <c r="N791" s="47"/>
      <c r="O791" s="47"/>
      <c r="P791" s="47"/>
    </row>
    <row r="792" spans="3:16" x14ac:dyDescent="0.2">
      <c r="C792" s="46"/>
      <c r="D792" s="47"/>
      <c r="E792" s="47"/>
      <c r="F792" s="47"/>
      <c r="G792" s="47"/>
      <c r="H792" s="47"/>
      <c r="I792" s="47"/>
      <c r="L792" s="46"/>
      <c r="M792" s="47"/>
      <c r="N792" s="47"/>
      <c r="O792" s="47"/>
      <c r="P792" s="47"/>
    </row>
    <row r="793" spans="3:16" x14ac:dyDescent="0.2">
      <c r="C793" s="46"/>
      <c r="D793" s="47"/>
      <c r="E793" s="47"/>
      <c r="F793" s="47"/>
      <c r="G793" s="47"/>
      <c r="H793" s="47"/>
      <c r="I793" s="47"/>
      <c r="L793" s="46"/>
      <c r="M793" s="47"/>
      <c r="N793" s="47"/>
      <c r="O793" s="47"/>
      <c r="P793" s="47"/>
    </row>
    <row r="794" spans="3:16" x14ac:dyDescent="0.2">
      <c r="C794" s="46"/>
      <c r="D794" s="47"/>
      <c r="E794" s="47"/>
      <c r="F794" s="47"/>
      <c r="G794" s="47"/>
      <c r="H794" s="47"/>
      <c r="I794" s="47"/>
      <c r="L794" s="46"/>
      <c r="M794" s="47"/>
      <c r="N794" s="47"/>
      <c r="O794" s="47"/>
      <c r="P794" s="47"/>
    </row>
    <row r="795" spans="3:16" x14ac:dyDescent="0.2">
      <c r="C795" s="46"/>
      <c r="D795" s="47"/>
      <c r="E795" s="47"/>
      <c r="F795" s="47"/>
      <c r="G795" s="47"/>
      <c r="H795" s="47"/>
      <c r="I795" s="47"/>
      <c r="L795" s="46"/>
      <c r="M795" s="47"/>
      <c r="N795" s="47"/>
      <c r="O795" s="47"/>
      <c r="P795" s="47"/>
    </row>
    <row r="796" spans="3:16" x14ac:dyDescent="0.2">
      <c r="C796" s="46"/>
      <c r="D796" s="47"/>
      <c r="E796" s="47"/>
      <c r="F796" s="47"/>
      <c r="G796" s="47"/>
      <c r="H796" s="47"/>
      <c r="I796" s="47"/>
      <c r="L796" s="46"/>
      <c r="M796" s="47"/>
      <c r="N796" s="47"/>
      <c r="O796" s="47"/>
      <c r="P796" s="47"/>
    </row>
    <row r="797" spans="3:16" x14ac:dyDescent="0.2">
      <c r="C797" s="46"/>
      <c r="D797" s="47"/>
      <c r="E797" s="47"/>
      <c r="F797" s="47"/>
      <c r="G797" s="47"/>
      <c r="H797" s="47"/>
      <c r="I797" s="47"/>
      <c r="L797" s="46"/>
      <c r="M797" s="47"/>
      <c r="N797" s="47"/>
      <c r="O797" s="47"/>
      <c r="P797" s="47"/>
    </row>
    <row r="798" spans="3:16" x14ac:dyDescent="0.2">
      <c r="C798" s="46"/>
      <c r="D798" s="47"/>
      <c r="E798" s="47"/>
      <c r="F798" s="47"/>
      <c r="G798" s="47"/>
      <c r="H798" s="47"/>
      <c r="I798" s="47"/>
      <c r="L798" s="46"/>
      <c r="M798" s="47"/>
      <c r="N798" s="47"/>
      <c r="O798" s="47"/>
      <c r="P798" s="47"/>
    </row>
    <row r="799" spans="3:16" x14ac:dyDescent="0.2">
      <c r="C799" s="46"/>
      <c r="D799" s="47"/>
      <c r="E799" s="47"/>
      <c r="F799" s="47"/>
      <c r="G799" s="47"/>
      <c r="H799" s="47"/>
      <c r="I799" s="47"/>
      <c r="L799" s="46"/>
      <c r="M799" s="47"/>
      <c r="N799" s="47"/>
      <c r="O799" s="47"/>
      <c r="P799" s="47"/>
    </row>
    <row r="800" spans="3:16" x14ac:dyDescent="0.2">
      <c r="C800" s="46"/>
      <c r="D800" s="47"/>
      <c r="E800" s="47"/>
      <c r="F800" s="47"/>
      <c r="G800" s="47"/>
      <c r="H800" s="47"/>
      <c r="I800" s="47"/>
      <c r="L800" s="46"/>
      <c r="M800" s="47"/>
      <c r="N800" s="47"/>
      <c r="O800" s="47"/>
      <c r="P800" s="47"/>
    </row>
    <row r="801" spans="3:16" x14ac:dyDescent="0.2">
      <c r="C801" s="46"/>
      <c r="D801" s="47"/>
      <c r="E801" s="47"/>
      <c r="F801" s="47"/>
      <c r="G801" s="47"/>
      <c r="H801" s="47"/>
      <c r="I801" s="47"/>
      <c r="L801" s="46"/>
      <c r="M801" s="47"/>
      <c r="N801" s="47"/>
      <c r="O801" s="47"/>
      <c r="P801" s="47"/>
    </row>
    <row r="802" spans="3:16" x14ac:dyDescent="0.2">
      <c r="C802" s="46"/>
      <c r="D802" s="47"/>
      <c r="E802" s="47"/>
      <c r="F802" s="47"/>
      <c r="G802" s="47"/>
      <c r="H802" s="47"/>
      <c r="I802" s="47"/>
      <c r="L802" s="46"/>
      <c r="M802" s="47"/>
      <c r="N802" s="47"/>
      <c r="O802" s="47"/>
      <c r="P802" s="47"/>
    </row>
    <row r="803" spans="3:16" x14ac:dyDescent="0.2">
      <c r="C803" s="46"/>
      <c r="D803" s="47"/>
      <c r="E803" s="47"/>
      <c r="F803" s="47"/>
      <c r="G803" s="47"/>
      <c r="H803" s="47"/>
      <c r="I803" s="47"/>
      <c r="L803" s="46"/>
      <c r="M803" s="47"/>
      <c r="N803" s="47"/>
      <c r="O803" s="47"/>
      <c r="P803" s="47"/>
    </row>
    <row r="804" spans="3:16" x14ac:dyDescent="0.2">
      <c r="C804" s="46"/>
      <c r="D804" s="47"/>
      <c r="E804" s="47"/>
      <c r="F804" s="47"/>
      <c r="G804" s="47"/>
      <c r="H804" s="47"/>
      <c r="I804" s="47"/>
      <c r="L804" s="46"/>
      <c r="M804" s="47"/>
      <c r="N804" s="47"/>
      <c r="O804" s="47"/>
      <c r="P804" s="47"/>
    </row>
    <row r="805" spans="3:16" x14ac:dyDescent="0.2">
      <c r="C805" s="46"/>
      <c r="D805" s="47"/>
      <c r="E805" s="47"/>
      <c r="F805" s="47"/>
      <c r="G805" s="47"/>
      <c r="H805" s="47"/>
      <c r="I805" s="47"/>
      <c r="L805" s="46"/>
      <c r="M805" s="47"/>
      <c r="N805" s="47"/>
      <c r="O805" s="47"/>
      <c r="P805" s="47"/>
    </row>
    <row r="806" spans="3:16" x14ac:dyDescent="0.2">
      <c r="C806" s="46"/>
      <c r="D806" s="47"/>
      <c r="E806" s="47"/>
      <c r="F806" s="47"/>
      <c r="G806" s="47"/>
      <c r="H806" s="47"/>
      <c r="I806" s="47"/>
      <c r="L806" s="46"/>
      <c r="M806" s="47"/>
      <c r="N806" s="47"/>
      <c r="O806" s="47"/>
      <c r="P806" s="47"/>
    </row>
    <row r="807" spans="3:16" x14ac:dyDescent="0.2">
      <c r="C807" s="46"/>
      <c r="D807" s="47"/>
      <c r="E807" s="47"/>
      <c r="F807" s="47"/>
      <c r="G807" s="47"/>
      <c r="H807" s="47"/>
      <c r="I807" s="47"/>
      <c r="L807" s="46"/>
      <c r="M807" s="47"/>
      <c r="N807" s="47"/>
      <c r="O807" s="47"/>
      <c r="P807" s="47"/>
    </row>
    <row r="808" spans="3:16" x14ac:dyDescent="0.2">
      <c r="C808" s="46"/>
      <c r="D808" s="47"/>
      <c r="E808" s="47"/>
      <c r="F808" s="47"/>
      <c r="G808" s="47"/>
      <c r="H808" s="47"/>
      <c r="I808" s="47"/>
      <c r="L808" s="46"/>
      <c r="M808" s="47"/>
      <c r="N808" s="47"/>
      <c r="O808" s="47"/>
      <c r="P808" s="47"/>
    </row>
    <row r="809" spans="3:16" x14ac:dyDescent="0.2">
      <c r="C809" s="46"/>
      <c r="D809" s="47"/>
      <c r="E809" s="47"/>
      <c r="F809" s="47"/>
      <c r="G809" s="47"/>
      <c r="H809" s="47"/>
      <c r="I809" s="47"/>
      <c r="L809" s="46"/>
      <c r="M809" s="47"/>
      <c r="N809" s="47"/>
      <c r="O809" s="47"/>
      <c r="P809" s="47"/>
    </row>
    <row r="810" spans="3:16" x14ac:dyDescent="0.2">
      <c r="C810" s="46"/>
      <c r="D810" s="47"/>
      <c r="E810" s="47"/>
      <c r="F810" s="47"/>
      <c r="G810" s="47"/>
      <c r="H810" s="47"/>
      <c r="I810" s="47"/>
      <c r="L810" s="46"/>
      <c r="M810" s="47"/>
      <c r="N810" s="47"/>
      <c r="O810" s="47"/>
      <c r="P810" s="47"/>
    </row>
    <row r="811" spans="3:16" x14ac:dyDescent="0.2">
      <c r="C811" s="46"/>
      <c r="D811" s="47"/>
      <c r="E811" s="47"/>
      <c r="F811" s="47"/>
      <c r="G811" s="47"/>
      <c r="H811" s="47"/>
      <c r="I811" s="47"/>
      <c r="L811" s="46"/>
      <c r="M811" s="47"/>
      <c r="N811" s="47"/>
      <c r="O811" s="47"/>
      <c r="P811" s="47"/>
    </row>
    <row r="812" spans="3:16" x14ac:dyDescent="0.2">
      <c r="C812" s="46"/>
      <c r="D812" s="47"/>
      <c r="E812" s="47"/>
      <c r="F812" s="47"/>
      <c r="G812" s="47"/>
      <c r="H812" s="47"/>
      <c r="I812" s="47"/>
      <c r="L812" s="46"/>
      <c r="M812" s="47"/>
      <c r="N812" s="47"/>
      <c r="O812" s="47"/>
      <c r="P812" s="47"/>
    </row>
    <row r="813" spans="3:16" x14ac:dyDescent="0.2">
      <c r="C813" s="46"/>
      <c r="D813" s="47"/>
      <c r="E813" s="47"/>
      <c r="F813" s="47"/>
      <c r="G813" s="47"/>
      <c r="H813" s="47"/>
      <c r="I813" s="47"/>
      <c r="L813" s="46"/>
      <c r="M813" s="47"/>
      <c r="N813" s="47"/>
      <c r="O813" s="47"/>
      <c r="P813" s="47"/>
    </row>
    <row r="814" spans="3:16" x14ac:dyDescent="0.2">
      <c r="C814" s="46"/>
      <c r="D814" s="47"/>
      <c r="E814" s="47"/>
      <c r="F814" s="47"/>
      <c r="G814" s="47"/>
      <c r="H814" s="47"/>
      <c r="I814" s="47"/>
      <c r="L814" s="46"/>
      <c r="M814" s="47"/>
      <c r="N814" s="47"/>
      <c r="O814" s="47"/>
      <c r="P814" s="47"/>
    </row>
    <row r="815" spans="3:16" x14ac:dyDescent="0.2">
      <c r="C815" s="46"/>
      <c r="D815" s="47"/>
      <c r="E815" s="47"/>
      <c r="F815" s="47"/>
      <c r="G815" s="47"/>
      <c r="H815" s="47"/>
      <c r="I815" s="47"/>
      <c r="L815" s="46"/>
      <c r="M815" s="47"/>
      <c r="N815" s="47"/>
      <c r="O815" s="47"/>
      <c r="P815" s="47"/>
    </row>
    <row r="816" spans="3:16" x14ac:dyDescent="0.2">
      <c r="C816" s="46"/>
      <c r="D816" s="47"/>
      <c r="E816" s="47"/>
      <c r="F816" s="47"/>
      <c r="G816" s="47"/>
      <c r="H816" s="47"/>
      <c r="I816" s="47"/>
      <c r="L816" s="46"/>
      <c r="M816" s="47"/>
      <c r="N816" s="47"/>
      <c r="O816" s="47"/>
      <c r="P816" s="47"/>
    </row>
    <row r="817" spans="3:16" x14ac:dyDescent="0.2">
      <c r="C817" s="46"/>
      <c r="D817" s="47"/>
      <c r="E817" s="47"/>
      <c r="F817" s="47"/>
      <c r="G817" s="47"/>
      <c r="H817" s="47"/>
      <c r="I817" s="47"/>
      <c r="L817" s="46"/>
      <c r="M817" s="47"/>
      <c r="N817" s="47"/>
      <c r="O817" s="47"/>
      <c r="P817" s="47"/>
    </row>
    <row r="818" spans="3:16" x14ac:dyDescent="0.2">
      <c r="C818" s="46"/>
      <c r="D818" s="47"/>
      <c r="E818" s="47"/>
      <c r="F818" s="47"/>
      <c r="G818" s="47"/>
      <c r="H818" s="47"/>
      <c r="I818" s="47"/>
      <c r="L818" s="46"/>
      <c r="M818" s="47"/>
      <c r="N818" s="47"/>
      <c r="O818" s="47"/>
      <c r="P818" s="47"/>
    </row>
    <row r="819" spans="3:16" x14ac:dyDescent="0.2">
      <c r="C819" s="46"/>
      <c r="D819" s="47"/>
      <c r="E819" s="47"/>
      <c r="F819" s="47"/>
      <c r="G819" s="47"/>
      <c r="H819" s="47"/>
      <c r="I819" s="47"/>
      <c r="L819" s="46"/>
      <c r="M819" s="47"/>
      <c r="N819" s="47"/>
      <c r="O819" s="47"/>
      <c r="P819" s="47"/>
    </row>
    <row r="820" spans="3:16" x14ac:dyDescent="0.2">
      <c r="C820" s="46"/>
      <c r="D820" s="47"/>
      <c r="E820" s="47"/>
      <c r="F820" s="47"/>
      <c r="G820" s="47"/>
      <c r="H820" s="47"/>
      <c r="I820" s="47"/>
      <c r="L820" s="46"/>
      <c r="M820" s="47"/>
      <c r="N820" s="47"/>
      <c r="O820" s="47"/>
      <c r="P820" s="47"/>
    </row>
    <row r="821" spans="3:16" x14ac:dyDescent="0.2">
      <c r="C821" s="46"/>
      <c r="D821" s="47"/>
      <c r="E821" s="47"/>
      <c r="F821" s="47"/>
      <c r="G821" s="47"/>
      <c r="H821" s="47"/>
      <c r="I821" s="47"/>
      <c r="L821" s="46"/>
      <c r="M821" s="47"/>
      <c r="N821" s="47"/>
      <c r="O821" s="47"/>
      <c r="P821" s="47"/>
    </row>
    <row r="822" spans="3:16" x14ac:dyDescent="0.2">
      <c r="C822" s="46"/>
      <c r="D822" s="47"/>
      <c r="E822" s="47"/>
      <c r="F822" s="47"/>
      <c r="G822" s="47"/>
      <c r="H822" s="47"/>
      <c r="I822" s="47"/>
      <c r="L822" s="46"/>
      <c r="M822" s="47"/>
      <c r="N822" s="47"/>
      <c r="O822" s="47"/>
      <c r="P822" s="47"/>
    </row>
    <row r="823" spans="3:16" x14ac:dyDescent="0.2">
      <c r="C823" s="46"/>
      <c r="D823" s="47"/>
      <c r="E823" s="47"/>
      <c r="F823" s="47"/>
      <c r="G823" s="47"/>
      <c r="H823" s="47"/>
      <c r="I823" s="47"/>
      <c r="L823" s="46"/>
      <c r="M823" s="47"/>
      <c r="N823" s="47"/>
      <c r="O823" s="47"/>
      <c r="P823" s="47"/>
    </row>
    <row r="824" spans="3:16" x14ac:dyDescent="0.2">
      <c r="C824" s="46"/>
      <c r="D824" s="47"/>
      <c r="E824" s="47"/>
      <c r="F824" s="47"/>
      <c r="G824" s="47"/>
      <c r="H824" s="47"/>
      <c r="I824" s="47"/>
      <c r="L824" s="46"/>
      <c r="M824" s="47"/>
      <c r="N824" s="47"/>
      <c r="O824" s="47"/>
      <c r="P824" s="47"/>
    </row>
    <row r="825" spans="3:16" x14ac:dyDescent="0.2">
      <c r="C825" s="46"/>
      <c r="D825" s="47"/>
      <c r="E825" s="47"/>
      <c r="F825" s="47"/>
      <c r="G825" s="47"/>
      <c r="H825" s="47"/>
      <c r="I825" s="47"/>
      <c r="L825" s="46"/>
      <c r="M825" s="47"/>
      <c r="N825" s="47"/>
      <c r="O825" s="47"/>
      <c r="P825" s="47"/>
    </row>
    <row r="826" spans="3:16" x14ac:dyDescent="0.2">
      <c r="C826" s="46"/>
      <c r="D826" s="47"/>
      <c r="E826" s="47"/>
      <c r="F826" s="47"/>
      <c r="G826" s="47"/>
      <c r="H826" s="47"/>
      <c r="I826" s="47"/>
      <c r="L826" s="46"/>
      <c r="M826" s="47"/>
      <c r="N826" s="47"/>
      <c r="O826" s="47"/>
      <c r="P826" s="47"/>
    </row>
    <row r="827" spans="3:16" x14ac:dyDescent="0.2">
      <c r="C827" s="46"/>
      <c r="D827" s="47"/>
      <c r="E827" s="47"/>
      <c r="F827" s="47"/>
      <c r="G827" s="47"/>
      <c r="H827" s="47"/>
      <c r="I827" s="47"/>
      <c r="L827" s="46"/>
      <c r="M827" s="47"/>
      <c r="N827" s="47"/>
      <c r="O827" s="47"/>
      <c r="P827" s="47"/>
    </row>
    <row r="828" spans="3:16" x14ac:dyDescent="0.2">
      <c r="C828" s="46"/>
      <c r="D828" s="47"/>
      <c r="E828" s="47"/>
      <c r="F828" s="47"/>
      <c r="G828" s="47"/>
      <c r="H828" s="47"/>
      <c r="I828" s="47"/>
      <c r="L828" s="46"/>
      <c r="M828" s="47"/>
      <c r="N828" s="47"/>
      <c r="O828" s="47"/>
      <c r="P828" s="47"/>
    </row>
    <row r="829" spans="3:16" x14ac:dyDescent="0.2">
      <c r="C829" s="46"/>
      <c r="D829" s="47"/>
      <c r="E829" s="47"/>
      <c r="F829" s="47"/>
      <c r="G829" s="47"/>
      <c r="H829" s="47"/>
      <c r="I829" s="47"/>
      <c r="L829" s="46"/>
      <c r="M829" s="47"/>
      <c r="N829" s="47"/>
      <c r="O829" s="47"/>
      <c r="P829" s="47"/>
    </row>
    <row r="830" spans="3:16" x14ac:dyDescent="0.2">
      <c r="C830" s="46"/>
      <c r="D830" s="47"/>
      <c r="E830" s="47"/>
      <c r="F830" s="47"/>
      <c r="G830" s="47"/>
      <c r="H830" s="47"/>
      <c r="I830" s="47"/>
      <c r="L830" s="46"/>
      <c r="M830" s="47"/>
      <c r="N830" s="47"/>
      <c r="O830" s="47"/>
      <c r="P830" s="47"/>
    </row>
    <row r="831" spans="3:16" x14ac:dyDescent="0.2">
      <c r="C831" s="46"/>
      <c r="D831" s="47"/>
      <c r="E831" s="47"/>
      <c r="F831" s="47"/>
      <c r="G831" s="47"/>
      <c r="H831" s="47"/>
      <c r="I831" s="47"/>
      <c r="L831" s="46"/>
      <c r="M831" s="47"/>
      <c r="N831" s="47"/>
      <c r="O831" s="47"/>
      <c r="P831" s="47"/>
    </row>
    <row r="832" spans="3:16" x14ac:dyDescent="0.2">
      <c r="C832" s="46"/>
      <c r="D832" s="47"/>
      <c r="E832" s="47"/>
      <c r="F832" s="47"/>
      <c r="G832" s="47"/>
      <c r="H832" s="47"/>
      <c r="I832" s="47"/>
      <c r="L832" s="46"/>
      <c r="M832" s="47"/>
      <c r="N832" s="47"/>
      <c r="O832" s="47"/>
      <c r="P832" s="47"/>
    </row>
    <row r="833" spans="3:16" x14ac:dyDescent="0.2">
      <c r="C833" s="46"/>
      <c r="D833" s="47"/>
      <c r="E833" s="47"/>
      <c r="F833" s="47"/>
      <c r="G833" s="47"/>
      <c r="H833" s="47"/>
      <c r="I833" s="47"/>
      <c r="L833" s="46"/>
      <c r="M833" s="47"/>
      <c r="N833" s="47"/>
      <c r="O833" s="47"/>
      <c r="P833" s="47"/>
    </row>
    <row r="834" spans="3:16" x14ac:dyDescent="0.2">
      <c r="C834" s="46"/>
      <c r="D834" s="47"/>
      <c r="E834" s="47"/>
      <c r="F834" s="47"/>
      <c r="G834" s="47"/>
      <c r="H834" s="47"/>
      <c r="I834" s="47"/>
      <c r="L834" s="46"/>
      <c r="M834" s="47"/>
      <c r="N834" s="47"/>
      <c r="O834" s="47"/>
      <c r="P834" s="47"/>
    </row>
    <row r="835" spans="3:16" x14ac:dyDescent="0.2">
      <c r="C835" s="46"/>
      <c r="D835" s="47"/>
      <c r="E835" s="47"/>
      <c r="F835" s="47"/>
      <c r="G835" s="47"/>
      <c r="H835" s="47"/>
      <c r="I835" s="47"/>
      <c r="L835" s="46"/>
      <c r="M835" s="47"/>
      <c r="N835" s="47"/>
      <c r="O835" s="47"/>
      <c r="P835" s="47"/>
    </row>
    <row r="836" spans="3:16" x14ac:dyDescent="0.2">
      <c r="C836" s="46"/>
      <c r="D836" s="47"/>
      <c r="E836" s="47"/>
      <c r="F836" s="47"/>
      <c r="G836" s="47"/>
      <c r="H836" s="47"/>
      <c r="I836" s="47"/>
      <c r="L836" s="46"/>
      <c r="M836" s="47"/>
      <c r="N836" s="47"/>
      <c r="O836" s="47"/>
      <c r="P836" s="47"/>
    </row>
    <row r="837" spans="3:16" x14ac:dyDescent="0.2">
      <c r="C837" s="46"/>
      <c r="D837" s="47"/>
      <c r="E837" s="47"/>
      <c r="F837" s="47"/>
      <c r="G837" s="47"/>
      <c r="H837" s="47"/>
      <c r="I837" s="47"/>
      <c r="L837" s="46"/>
      <c r="M837" s="47"/>
      <c r="N837" s="47"/>
      <c r="O837" s="47"/>
      <c r="P837" s="47"/>
    </row>
    <row r="838" spans="3:16" x14ac:dyDescent="0.2">
      <c r="C838" s="46"/>
      <c r="D838" s="47"/>
      <c r="E838" s="47"/>
      <c r="F838" s="47"/>
      <c r="G838" s="47"/>
      <c r="H838" s="47"/>
      <c r="I838" s="47"/>
      <c r="L838" s="46"/>
      <c r="M838" s="47"/>
      <c r="N838" s="47"/>
      <c r="O838" s="47"/>
      <c r="P838" s="47"/>
    </row>
    <row r="839" spans="3:16" x14ac:dyDescent="0.2">
      <c r="C839" s="46"/>
      <c r="D839" s="47"/>
      <c r="E839" s="47"/>
      <c r="F839" s="47"/>
      <c r="G839" s="47"/>
      <c r="H839" s="47"/>
      <c r="I839" s="47"/>
      <c r="L839" s="46"/>
      <c r="M839" s="47"/>
      <c r="N839" s="47"/>
      <c r="O839" s="47"/>
      <c r="P839" s="47"/>
    </row>
    <row r="840" spans="3:16" x14ac:dyDescent="0.2">
      <c r="C840" s="46"/>
      <c r="D840" s="47"/>
      <c r="E840" s="47"/>
      <c r="F840" s="47"/>
      <c r="G840" s="47"/>
      <c r="H840" s="47"/>
      <c r="I840" s="47"/>
      <c r="L840" s="46"/>
      <c r="M840" s="47"/>
      <c r="N840" s="47"/>
      <c r="O840" s="47"/>
      <c r="P840" s="47"/>
    </row>
    <row r="841" spans="3:16" x14ac:dyDescent="0.2">
      <c r="C841" s="46"/>
      <c r="D841" s="47"/>
      <c r="E841" s="47"/>
      <c r="F841" s="47"/>
      <c r="G841" s="47"/>
      <c r="H841" s="47"/>
      <c r="I841" s="47"/>
      <c r="L841" s="46"/>
      <c r="M841" s="47"/>
      <c r="N841" s="47"/>
      <c r="O841" s="47"/>
      <c r="P841" s="47"/>
    </row>
    <row r="842" spans="3:16" x14ac:dyDescent="0.2">
      <c r="C842" s="46"/>
      <c r="D842" s="47"/>
      <c r="E842" s="47"/>
      <c r="F842" s="47"/>
      <c r="G842" s="47"/>
      <c r="H842" s="47"/>
      <c r="I842" s="47"/>
      <c r="L842" s="46"/>
      <c r="M842" s="47"/>
      <c r="N842" s="47"/>
      <c r="O842" s="47"/>
      <c r="P842" s="47"/>
    </row>
    <row r="843" spans="3:16" x14ac:dyDescent="0.2">
      <c r="C843" s="46"/>
      <c r="D843" s="47"/>
      <c r="E843" s="47"/>
      <c r="F843" s="47"/>
      <c r="G843" s="47"/>
      <c r="H843" s="47"/>
      <c r="I843" s="47"/>
      <c r="L843" s="46"/>
      <c r="M843" s="47"/>
      <c r="N843" s="47"/>
      <c r="O843" s="47"/>
      <c r="P843" s="47"/>
    </row>
    <row r="844" spans="3:16" x14ac:dyDescent="0.2">
      <c r="C844" s="46"/>
      <c r="D844" s="47"/>
      <c r="E844" s="47"/>
      <c r="F844" s="47"/>
      <c r="G844" s="47"/>
      <c r="H844" s="47"/>
      <c r="I844" s="47"/>
      <c r="L844" s="46"/>
      <c r="M844" s="47"/>
      <c r="N844" s="47"/>
      <c r="O844" s="47"/>
      <c r="P844" s="47"/>
    </row>
    <row r="845" spans="3:16" x14ac:dyDescent="0.2">
      <c r="C845" s="46"/>
      <c r="D845" s="47"/>
      <c r="E845" s="47"/>
      <c r="F845" s="47"/>
      <c r="G845" s="47"/>
      <c r="H845" s="47"/>
      <c r="I845" s="47"/>
      <c r="L845" s="46"/>
      <c r="M845" s="47"/>
      <c r="N845" s="47"/>
      <c r="O845" s="47"/>
      <c r="P845" s="47"/>
    </row>
    <row r="846" spans="3:16" x14ac:dyDescent="0.2">
      <c r="C846" s="46"/>
      <c r="D846" s="47"/>
      <c r="E846" s="47"/>
      <c r="F846" s="47"/>
      <c r="G846" s="47"/>
      <c r="H846" s="47"/>
      <c r="I846" s="47"/>
      <c r="L846" s="46"/>
      <c r="M846" s="47"/>
      <c r="N846" s="47"/>
      <c r="O846" s="47"/>
      <c r="P846" s="47"/>
    </row>
    <row r="847" spans="3:16" x14ac:dyDescent="0.2">
      <c r="C847" s="46"/>
      <c r="D847" s="47"/>
      <c r="E847" s="47"/>
      <c r="F847" s="47"/>
      <c r="G847" s="47"/>
      <c r="H847" s="47"/>
      <c r="I847" s="47"/>
      <c r="L847" s="46"/>
      <c r="M847" s="47"/>
      <c r="N847" s="47"/>
      <c r="O847" s="47"/>
      <c r="P847" s="47"/>
    </row>
    <row r="848" spans="3:16" x14ac:dyDescent="0.2">
      <c r="C848" s="46"/>
      <c r="D848" s="47"/>
      <c r="E848" s="47"/>
      <c r="F848" s="47"/>
      <c r="G848" s="47"/>
      <c r="H848" s="47"/>
      <c r="I848" s="47"/>
      <c r="L848" s="46"/>
      <c r="M848" s="47"/>
      <c r="N848" s="47"/>
      <c r="O848" s="47"/>
      <c r="P848" s="47"/>
    </row>
    <row r="849" spans="3:16" x14ac:dyDescent="0.2">
      <c r="C849" s="46"/>
      <c r="D849" s="47"/>
      <c r="E849" s="47"/>
      <c r="F849" s="47"/>
      <c r="G849" s="47"/>
      <c r="H849" s="47"/>
      <c r="I849" s="47"/>
      <c r="L849" s="46"/>
      <c r="M849" s="47"/>
      <c r="N849" s="47"/>
      <c r="O849" s="47"/>
      <c r="P849" s="47"/>
    </row>
    <row r="850" spans="3:16" x14ac:dyDescent="0.2">
      <c r="C850" s="46"/>
      <c r="D850" s="47"/>
      <c r="E850" s="47"/>
      <c r="F850" s="47"/>
      <c r="G850" s="47"/>
      <c r="H850" s="47"/>
      <c r="I850" s="47"/>
      <c r="L850" s="46"/>
      <c r="M850" s="47"/>
      <c r="N850" s="47"/>
      <c r="O850" s="47"/>
      <c r="P850" s="47"/>
    </row>
    <row r="851" spans="3:16" x14ac:dyDescent="0.2">
      <c r="C851" s="46"/>
      <c r="D851" s="47"/>
      <c r="E851" s="47"/>
      <c r="F851" s="47"/>
      <c r="G851" s="47"/>
      <c r="H851" s="47"/>
      <c r="I851" s="47"/>
      <c r="L851" s="46"/>
      <c r="M851" s="47"/>
      <c r="N851" s="47"/>
      <c r="O851" s="47"/>
      <c r="P851" s="47"/>
    </row>
    <row r="852" spans="3:16" x14ac:dyDescent="0.2">
      <c r="C852" s="46"/>
      <c r="D852" s="47"/>
      <c r="E852" s="47"/>
      <c r="F852" s="47"/>
      <c r="G852" s="47"/>
      <c r="H852" s="47"/>
      <c r="I852" s="47"/>
      <c r="L852" s="46"/>
      <c r="M852" s="47"/>
      <c r="N852" s="47"/>
      <c r="O852" s="47"/>
      <c r="P852" s="47"/>
    </row>
    <row r="853" spans="3:16" x14ac:dyDescent="0.2">
      <c r="C853" s="46"/>
      <c r="D853" s="47"/>
      <c r="E853" s="47"/>
      <c r="F853" s="47"/>
      <c r="G853" s="47"/>
      <c r="H853" s="47"/>
      <c r="I853" s="47"/>
      <c r="L853" s="46"/>
      <c r="M853" s="47"/>
      <c r="N853" s="47"/>
      <c r="O853" s="47"/>
      <c r="P853" s="47"/>
    </row>
    <row r="854" spans="3:16" x14ac:dyDescent="0.2">
      <c r="C854" s="46"/>
      <c r="D854" s="47"/>
      <c r="E854" s="47"/>
      <c r="F854" s="47"/>
      <c r="G854" s="47"/>
      <c r="H854" s="47"/>
      <c r="I854" s="47"/>
      <c r="L854" s="46"/>
      <c r="M854" s="47"/>
      <c r="N854" s="47"/>
      <c r="O854" s="47"/>
      <c r="P854" s="47"/>
    </row>
    <row r="855" spans="3:16" x14ac:dyDescent="0.2">
      <c r="C855" s="46"/>
      <c r="D855" s="47"/>
      <c r="E855" s="47"/>
      <c r="F855" s="47"/>
      <c r="G855" s="47"/>
      <c r="H855" s="47"/>
      <c r="I855" s="47"/>
      <c r="L855" s="46"/>
      <c r="M855" s="47"/>
      <c r="N855" s="47"/>
      <c r="O855" s="47"/>
      <c r="P855" s="47"/>
    </row>
    <row r="856" spans="3:16" x14ac:dyDescent="0.2">
      <c r="C856" s="46"/>
      <c r="D856" s="47"/>
      <c r="E856" s="47"/>
      <c r="F856" s="47"/>
      <c r="G856" s="47"/>
      <c r="H856" s="47"/>
      <c r="I856" s="47"/>
      <c r="L856" s="46"/>
      <c r="M856" s="47"/>
      <c r="N856" s="47"/>
      <c r="O856" s="47"/>
      <c r="P856" s="47"/>
    </row>
    <row r="857" spans="3:16" x14ac:dyDescent="0.2">
      <c r="C857" s="46"/>
      <c r="D857" s="47"/>
      <c r="E857" s="47"/>
      <c r="F857" s="47"/>
      <c r="G857" s="47"/>
      <c r="H857" s="47"/>
      <c r="I857" s="47"/>
      <c r="L857" s="46"/>
      <c r="M857" s="47"/>
      <c r="N857" s="47"/>
      <c r="O857" s="47"/>
      <c r="P857" s="47"/>
    </row>
    <row r="858" spans="3:16" x14ac:dyDescent="0.2">
      <c r="C858" s="46"/>
      <c r="D858" s="47"/>
      <c r="E858" s="47"/>
      <c r="F858" s="47"/>
      <c r="G858" s="47"/>
      <c r="H858" s="47"/>
      <c r="I858" s="47"/>
      <c r="L858" s="46"/>
      <c r="M858" s="47"/>
      <c r="N858" s="47"/>
      <c r="O858" s="47"/>
      <c r="P858" s="47"/>
    </row>
    <row r="859" spans="3:16" x14ac:dyDescent="0.2">
      <c r="C859" s="46"/>
      <c r="D859" s="47"/>
      <c r="E859" s="47"/>
      <c r="F859" s="47"/>
      <c r="G859" s="47"/>
      <c r="H859" s="47"/>
      <c r="I859" s="47"/>
      <c r="L859" s="46"/>
      <c r="M859" s="47"/>
      <c r="N859" s="47"/>
      <c r="O859" s="47"/>
      <c r="P859" s="47"/>
    </row>
    <row r="860" spans="3:16" x14ac:dyDescent="0.2">
      <c r="C860" s="46"/>
      <c r="D860" s="47"/>
      <c r="E860" s="47"/>
      <c r="F860" s="47"/>
      <c r="G860" s="47"/>
      <c r="H860" s="47"/>
      <c r="I860" s="47"/>
      <c r="L860" s="46"/>
      <c r="M860" s="47"/>
      <c r="N860" s="47"/>
      <c r="O860" s="47"/>
      <c r="P860" s="47"/>
    </row>
    <row r="861" spans="3:16" x14ac:dyDescent="0.2">
      <c r="C861" s="46"/>
      <c r="D861" s="47"/>
      <c r="E861" s="47"/>
      <c r="F861" s="47"/>
      <c r="G861" s="47"/>
      <c r="H861" s="47"/>
      <c r="I861" s="47"/>
      <c r="L861" s="46"/>
      <c r="M861" s="47"/>
      <c r="N861" s="47"/>
      <c r="O861" s="47"/>
      <c r="P861" s="47"/>
    </row>
    <row r="862" spans="3:16" x14ac:dyDescent="0.2">
      <c r="C862" s="46"/>
      <c r="D862" s="47"/>
      <c r="E862" s="47"/>
      <c r="F862" s="47"/>
      <c r="G862" s="47"/>
      <c r="H862" s="47"/>
      <c r="I862" s="47"/>
      <c r="L862" s="46"/>
      <c r="M862" s="47"/>
      <c r="N862" s="47"/>
      <c r="O862" s="47"/>
      <c r="P862" s="47"/>
    </row>
    <row r="863" spans="3:16" x14ac:dyDescent="0.2">
      <c r="C863" s="46"/>
      <c r="D863" s="47"/>
      <c r="E863" s="47"/>
      <c r="F863" s="47"/>
      <c r="G863" s="47"/>
      <c r="H863" s="47"/>
      <c r="I863" s="47"/>
      <c r="L863" s="46"/>
      <c r="M863" s="47"/>
      <c r="N863" s="47"/>
      <c r="O863" s="47"/>
      <c r="P863" s="47"/>
    </row>
    <row r="864" spans="3:16" x14ac:dyDescent="0.2">
      <c r="C864" s="46"/>
      <c r="D864" s="47"/>
      <c r="E864" s="47"/>
      <c r="F864" s="47"/>
      <c r="G864" s="47"/>
      <c r="H864" s="47"/>
      <c r="I864" s="47"/>
      <c r="L864" s="46"/>
      <c r="M864" s="47"/>
      <c r="N864" s="47"/>
      <c r="O864" s="47"/>
      <c r="P864" s="47"/>
    </row>
    <row r="865" spans="3:16" x14ac:dyDescent="0.2">
      <c r="C865" s="46"/>
      <c r="D865" s="47"/>
      <c r="E865" s="47"/>
      <c r="F865" s="47"/>
      <c r="G865" s="47"/>
      <c r="H865" s="47"/>
      <c r="I865" s="47"/>
      <c r="L865" s="46"/>
      <c r="M865" s="47"/>
      <c r="N865" s="47"/>
      <c r="O865" s="47"/>
      <c r="P865" s="47"/>
    </row>
    <row r="866" spans="3:16" x14ac:dyDescent="0.2">
      <c r="C866" s="46"/>
      <c r="D866" s="47"/>
      <c r="E866" s="47"/>
      <c r="F866" s="47"/>
      <c r="G866" s="47"/>
      <c r="H866" s="47"/>
      <c r="I866" s="47"/>
      <c r="L866" s="46"/>
      <c r="M866" s="47"/>
      <c r="N866" s="47"/>
      <c r="O866" s="47"/>
      <c r="P866" s="47"/>
    </row>
    <row r="867" spans="3:16" x14ac:dyDescent="0.2">
      <c r="C867" s="46"/>
      <c r="D867" s="47"/>
      <c r="E867" s="47"/>
      <c r="F867" s="47"/>
      <c r="G867" s="47"/>
      <c r="H867" s="47"/>
      <c r="I867" s="47"/>
      <c r="L867" s="46"/>
      <c r="M867" s="47"/>
      <c r="N867" s="47"/>
      <c r="O867" s="47"/>
      <c r="P867" s="47"/>
    </row>
    <row r="868" spans="3:16" x14ac:dyDescent="0.2">
      <c r="C868" s="46"/>
      <c r="D868" s="47"/>
      <c r="E868" s="47"/>
      <c r="F868" s="47"/>
      <c r="G868" s="47"/>
      <c r="H868" s="47"/>
      <c r="I868" s="47"/>
      <c r="L868" s="46"/>
      <c r="M868" s="47"/>
      <c r="N868" s="47"/>
      <c r="O868" s="47"/>
      <c r="P868" s="47"/>
    </row>
    <row r="869" spans="3:16" x14ac:dyDescent="0.2">
      <c r="C869" s="46"/>
      <c r="D869" s="47"/>
      <c r="E869" s="47"/>
      <c r="F869" s="47"/>
      <c r="G869" s="47"/>
      <c r="H869" s="47"/>
      <c r="I869" s="47"/>
      <c r="L869" s="46"/>
      <c r="M869" s="47"/>
      <c r="N869" s="47"/>
      <c r="O869" s="47"/>
      <c r="P869" s="47"/>
    </row>
    <row r="870" spans="3:16" x14ac:dyDescent="0.2">
      <c r="C870" s="46"/>
      <c r="D870" s="47"/>
      <c r="E870" s="47"/>
      <c r="F870" s="47"/>
      <c r="G870" s="47"/>
      <c r="H870" s="47"/>
      <c r="I870" s="47"/>
      <c r="L870" s="46"/>
      <c r="M870" s="47"/>
      <c r="N870" s="47"/>
      <c r="O870" s="47"/>
      <c r="P870" s="47"/>
    </row>
    <row r="871" spans="3:16" x14ac:dyDescent="0.2">
      <c r="C871" s="46"/>
      <c r="D871" s="47"/>
      <c r="E871" s="47"/>
      <c r="F871" s="47"/>
      <c r="G871" s="47"/>
      <c r="H871" s="47"/>
      <c r="I871" s="47"/>
      <c r="L871" s="46"/>
      <c r="M871" s="47"/>
      <c r="N871" s="47"/>
      <c r="O871" s="47"/>
      <c r="P871" s="47"/>
    </row>
    <row r="872" spans="3:16" x14ac:dyDescent="0.2">
      <c r="C872" s="46"/>
      <c r="D872" s="47"/>
      <c r="E872" s="47"/>
      <c r="F872" s="47"/>
      <c r="G872" s="47"/>
      <c r="H872" s="47"/>
      <c r="I872" s="47"/>
      <c r="L872" s="46"/>
      <c r="M872" s="47"/>
      <c r="N872" s="47"/>
      <c r="O872" s="47"/>
      <c r="P872" s="47"/>
    </row>
    <row r="873" spans="3:16" x14ac:dyDescent="0.2">
      <c r="C873" s="46"/>
      <c r="D873" s="47"/>
      <c r="E873" s="47"/>
      <c r="F873" s="47"/>
      <c r="G873" s="47"/>
      <c r="H873" s="47"/>
      <c r="I873" s="47"/>
      <c r="L873" s="46"/>
      <c r="M873" s="47"/>
      <c r="N873" s="47"/>
      <c r="O873" s="47"/>
      <c r="P873" s="47"/>
    </row>
    <row r="874" spans="3:16" x14ac:dyDescent="0.2">
      <c r="C874" s="46"/>
      <c r="D874" s="47"/>
      <c r="E874" s="47"/>
      <c r="F874" s="47"/>
      <c r="G874" s="47"/>
      <c r="H874" s="47"/>
      <c r="I874" s="47"/>
      <c r="L874" s="46"/>
      <c r="M874" s="47"/>
      <c r="N874" s="47"/>
      <c r="O874" s="47"/>
      <c r="P874" s="47"/>
    </row>
    <row r="875" spans="3:16" x14ac:dyDescent="0.2">
      <c r="C875" s="46"/>
      <c r="D875" s="47"/>
      <c r="E875" s="47"/>
      <c r="F875" s="47"/>
      <c r="G875" s="47"/>
      <c r="H875" s="47"/>
      <c r="I875" s="47"/>
      <c r="L875" s="46"/>
      <c r="M875" s="47"/>
      <c r="N875" s="47"/>
      <c r="O875" s="47"/>
      <c r="P875" s="47"/>
    </row>
    <row r="876" spans="3:16" x14ac:dyDescent="0.2">
      <c r="C876" s="46"/>
      <c r="D876" s="47"/>
      <c r="E876" s="47"/>
      <c r="F876" s="47"/>
      <c r="G876" s="47"/>
      <c r="H876" s="47"/>
      <c r="I876" s="47"/>
      <c r="L876" s="46"/>
      <c r="M876" s="47"/>
      <c r="N876" s="47"/>
      <c r="O876" s="47"/>
      <c r="P876" s="47"/>
    </row>
    <row r="877" spans="3:16" x14ac:dyDescent="0.2">
      <c r="C877" s="46"/>
      <c r="D877" s="47"/>
      <c r="E877" s="47"/>
      <c r="F877" s="47"/>
      <c r="G877" s="47"/>
      <c r="H877" s="47"/>
      <c r="I877" s="47"/>
      <c r="L877" s="46"/>
      <c r="M877" s="47"/>
      <c r="N877" s="47"/>
      <c r="O877" s="47"/>
      <c r="P877" s="47"/>
    </row>
    <row r="878" spans="3:16" x14ac:dyDescent="0.2">
      <c r="C878" s="46"/>
      <c r="D878" s="47"/>
      <c r="E878" s="47"/>
      <c r="F878" s="47"/>
      <c r="G878" s="47"/>
      <c r="H878" s="47"/>
      <c r="I878" s="47"/>
      <c r="L878" s="46"/>
      <c r="M878" s="47"/>
      <c r="N878" s="47"/>
      <c r="O878" s="47"/>
      <c r="P878" s="47"/>
    </row>
    <row r="879" spans="3:16" x14ac:dyDescent="0.2">
      <c r="C879" s="46"/>
      <c r="D879" s="47"/>
      <c r="E879" s="47"/>
      <c r="F879" s="47"/>
      <c r="G879" s="47"/>
      <c r="H879" s="47"/>
      <c r="I879" s="47"/>
      <c r="L879" s="46"/>
      <c r="M879" s="47"/>
      <c r="N879" s="47"/>
      <c r="O879" s="47"/>
      <c r="P879" s="47"/>
    </row>
    <row r="880" spans="3:16" x14ac:dyDescent="0.2">
      <c r="C880" s="46"/>
      <c r="D880" s="47"/>
      <c r="E880" s="47"/>
      <c r="F880" s="47"/>
      <c r="G880" s="47"/>
      <c r="H880" s="47"/>
      <c r="I880" s="47"/>
      <c r="L880" s="46"/>
      <c r="M880" s="47"/>
      <c r="N880" s="47"/>
      <c r="O880" s="47"/>
      <c r="P880" s="47"/>
    </row>
    <row r="881" spans="3:16" x14ac:dyDescent="0.2">
      <c r="C881" s="46"/>
      <c r="D881" s="47"/>
      <c r="E881" s="47"/>
      <c r="F881" s="47"/>
      <c r="G881" s="47"/>
      <c r="H881" s="47"/>
      <c r="I881" s="47"/>
      <c r="L881" s="46"/>
      <c r="M881" s="47"/>
      <c r="N881" s="47"/>
      <c r="O881" s="47"/>
      <c r="P881" s="47"/>
    </row>
    <row r="882" spans="3:16" x14ac:dyDescent="0.2">
      <c r="C882" s="46"/>
      <c r="D882" s="47"/>
      <c r="E882" s="47"/>
      <c r="F882" s="47"/>
      <c r="G882" s="47"/>
      <c r="H882" s="47"/>
      <c r="I882" s="47"/>
      <c r="L882" s="46"/>
      <c r="M882" s="47"/>
      <c r="N882" s="47"/>
      <c r="O882" s="47"/>
      <c r="P882" s="47"/>
    </row>
    <row r="883" spans="3:16" x14ac:dyDescent="0.2">
      <c r="C883" s="46"/>
      <c r="D883" s="47"/>
      <c r="E883" s="47"/>
      <c r="F883" s="47"/>
      <c r="G883" s="47"/>
      <c r="H883" s="47"/>
      <c r="I883" s="47"/>
      <c r="L883" s="46"/>
      <c r="M883" s="47"/>
      <c r="N883" s="47"/>
      <c r="O883" s="47"/>
      <c r="P883" s="47"/>
    </row>
    <row r="884" spans="3:16" x14ac:dyDescent="0.2">
      <c r="C884" s="46"/>
      <c r="D884" s="47"/>
      <c r="E884" s="47"/>
      <c r="F884" s="47"/>
      <c r="G884" s="47"/>
      <c r="H884" s="47"/>
      <c r="I884" s="47"/>
      <c r="L884" s="46"/>
      <c r="M884" s="47"/>
      <c r="N884" s="47"/>
      <c r="O884" s="47"/>
      <c r="P884" s="47"/>
    </row>
    <row r="885" spans="3:16" x14ac:dyDescent="0.2">
      <c r="C885" s="46"/>
      <c r="D885" s="47"/>
      <c r="E885" s="47"/>
      <c r="F885" s="47"/>
      <c r="G885" s="47"/>
      <c r="H885" s="47"/>
      <c r="I885" s="47"/>
      <c r="L885" s="46"/>
      <c r="M885" s="47"/>
      <c r="N885" s="47"/>
      <c r="O885" s="47"/>
      <c r="P885" s="47"/>
    </row>
    <row r="886" spans="3:16" x14ac:dyDescent="0.2">
      <c r="C886" s="46"/>
      <c r="D886" s="47"/>
      <c r="E886" s="47"/>
      <c r="F886" s="47"/>
      <c r="G886" s="47"/>
      <c r="H886" s="47"/>
      <c r="I886" s="47"/>
      <c r="L886" s="46"/>
      <c r="M886" s="47"/>
      <c r="N886" s="47"/>
      <c r="O886" s="47"/>
      <c r="P886" s="47"/>
    </row>
    <row r="887" spans="3:16" x14ac:dyDescent="0.2">
      <c r="C887" s="46"/>
      <c r="D887" s="47"/>
      <c r="E887" s="47"/>
      <c r="F887" s="47"/>
      <c r="G887" s="47"/>
      <c r="H887" s="47"/>
      <c r="I887" s="47"/>
      <c r="L887" s="46"/>
      <c r="M887" s="47"/>
      <c r="N887" s="47"/>
      <c r="O887" s="47"/>
      <c r="P887" s="47"/>
    </row>
    <row r="888" spans="3:16" x14ac:dyDescent="0.2">
      <c r="C888" s="46"/>
      <c r="D888" s="47"/>
      <c r="E888" s="47"/>
      <c r="F888" s="47"/>
      <c r="G888" s="47"/>
      <c r="H888" s="47"/>
      <c r="I888" s="47"/>
      <c r="L888" s="46"/>
      <c r="M888" s="47"/>
      <c r="N888" s="47"/>
      <c r="O888" s="47"/>
      <c r="P888" s="47"/>
    </row>
    <row r="889" spans="3:16" x14ac:dyDescent="0.2">
      <c r="C889" s="46"/>
      <c r="D889" s="47"/>
      <c r="E889" s="47"/>
      <c r="F889" s="47"/>
      <c r="G889" s="47"/>
      <c r="H889" s="47"/>
      <c r="I889" s="47"/>
      <c r="L889" s="46"/>
      <c r="M889" s="47"/>
      <c r="N889" s="47"/>
      <c r="O889" s="47"/>
      <c r="P889" s="47"/>
    </row>
    <row r="890" spans="3:16" x14ac:dyDescent="0.2">
      <c r="C890" s="46"/>
      <c r="D890" s="47"/>
      <c r="E890" s="47"/>
      <c r="F890" s="47"/>
      <c r="G890" s="47"/>
      <c r="H890" s="47"/>
      <c r="I890" s="47"/>
      <c r="L890" s="46"/>
      <c r="M890" s="47"/>
      <c r="N890" s="47"/>
      <c r="O890" s="47"/>
      <c r="P890" s="47"/>
    </row>
    <row r="891" spans="3:16" x14ac:dyDescent="0.2">
      <c r="C891" s="46"/>
      <c r="D891" s="47"/>
      <c r="E891" s="47"/>
      <c r="F891" s="47"/>
      <c r="G891" s="47"/>
      <c r="H891" s="47"/>
      <c r="I891" s="47"/>
      <c r="L891" s="46"/>
      <c r="M891" s="47"/>
      <c r="N891" s="47"/>
      <c r="O891" s="47"/>
      <c r="P891" s="47"/>
    </row>
    <row r="892" spans="3:16" x14ac:dyDescent="0.2">
      <c r="C892" s="46"/>
      <c r="D892" s="47"/>
      <c r="E892" s="47"/>
      <c r="F892" s="47"/>
      <c r="G892" s="47"/>
      <c r="H892" s="47"/>
      <c r="I892" s="47"/>
      <c r="L892" s="46"/>
      <c r="M892" s="47"/>
      <c r="N892" s="47"/>
      <c r="O892" s="47"/>
      <c r="P892" s="47"/>
    </row>
    <row r="893" spans="3:16" x14ac:dyDescent="0.2">
      <c r="C893" s="46"/>
      <c r="D893" s="47"/>
      <c r="E893" s="47"/>
      <c r="F893" s="47"/>
      <c r="G893" s="47"/>
      <c r="H893" s="47"/>
      <c r="I893" s="47"/>
      <c r="L893" s="46"/>
      <c r="M893" s="47"/>
      <c r="N893" s="47"/>
      <c r="O893" s="47"/>
      <c r="P893" s="47"/>
    </row>
    <row r="894" spans="3:16" x14ac:dyDescent="0.2">
      <c r="C894" s="46"/>
      <c r="D894" s="47"/>
      <c r="E894" s="47"/>
      <c r="F894" s="47"/>
      <c r="G894" s="47"/>
      <c r="H894" s="47"/>
      <c r="I894" s="47"/>
      <c r="L894" s="46"/>
      <c r="M894" s="47"/>
      <c r="N894" s="47"/>
      <c r="O894" s="47"/>
      <c r="P894" s="47"/>
    </row>
    <row r="895" spans="3:16" x14ac:dyDescent="0.2">
      <c r="C895" s="46"/>
      <c r="D895" s="47"/>
      <c r="E895" s="47"/>
      <c r="F895" s="47"/>
      <c r="G895" s="47"/>
      <c r="H895" s="47"/>
      <c r="I895" s="47"/>
      <c r="L895" s="46"/>
      <c r="M895" s="47"/>
      <c r="N895" s="47"/>
      <c r="O895" s="47"/>
      <c r="P895" s="47"/>
    </row>
    <row r="896" spans="3:16" x14ac:dyDescent="0.2">
      <c r="C896" s="46"/>
      <c r="D896" s="47"/>
      <c r="E896" s="47"/>
      <c r="F896" s="47"/>
      <c r="G896" s="47"/>
      <c r="H896" s="47"/>
      <c r="I896" s="47"/>
      <c r="L896" s="46"/>
      <c r="M896" s="47"/>
      <c r="N896" s="47"/>
      <c r="O896" s="47"/>
      <c r="P896" s="47"/>
    </row>
    <row r="897" spans="3:16" x14ac:dyDescent="0.2">
      <c r="C897" s="46"/>
      <c r="D897" s="47"/>
      <c r="E897" s="47"/>
      <c r="F897" s="47"/>
      <c r="G897" s="47"/>
      <c r="H897" s="47"/>
      <c r="I897" s="47"/>
      <c r="L897" s="46"/>
      <c r="M897" s="47"/>
      <c r="N897" s="47"/>
      <c r="O897" s="47"/>
      <c r="P897" s="47"/>
    </row>
    <row r="898" spans="3:16" x14ac:dyDescent="0.2">
      <c r="C898" s="46"/>
      <c r="D898" s="47"/>
      <c r="E898" s="47"/>
      <c r="F898" s="47"/>
      <c r="G898" s="47"/>
      <c r="H898" s="47"/>
      <c r="I898" s="47"/>
      <c r="L898" s="46"/>
      <c r="M898" s="47"/>
      <c r="N898" s="47"/>
      <c r="O898" s="47"/>
      <c r="P898" s="47"/>
    </row>
    <row r="899" spans="3:16" x14ac:dyDescent="0.2">
      <c r="C899" s="46"/>
      <c r="D899" s="47"/>
      <c r="E899" s="47"/>
      <c r="F899" s="47"/>
      <c r="G899" s="47"/>
      <c r="H899" s="47"/>
      <c r="I899" s="47"/>
      <c r="L899" s="46"/>
      <c r="M899" s="47"/>
      <c r="N899" s="47"/>
      <c r="O899" s="47"/>
      <c r="P899" s="47"/>
    </row>
    <row r="900" spans="3:16" x14ac:dyDescent="0.2">
      <c r="C900" s="46"/>
      <c r="D900" s="47"/>
      <c r="E900" s="47"/>
      <c r="F900" s="47"/>
      <c r="G900" s="47"/>
      <c r="H900" s="47"/>
      <c r="I900" s="47"/>
      <c r="L900" s="46"/>
      <c r="M900" s="47"/>
      <c r="N900" s="47"/>
      <c r="O900" s="47"/>
      <c r="P900" s="47"/>
    </row>
    <row r="901" spans="3:16" x14ac:dyDescent="0.2">
      <c r="C901" s="46"/>
      <c r="D901" s="47"/>
      <c r="E901" s="47"/>
      <c r="F901" s="47"/>
      <c r="G901" s="47"/>
      <c r="H901" s="47"/>
      <c r="I901" s="47"/>
      <c r="L901" s="46"/>
      <c r="M901" s="47"/>
      <c r="N901" s="47"/>
      <c r="O901" s="47"/>
      <c r="P901" s="47"/>
    </row>
    <row r="902" spans="3:16" x14ac:dyDescent="0.2">
      <c r="C902" s="46"/>
      <c r="D902" s="47"/>
      <c r="E902" s="47"/>
      <c r="F902" s="47"/>
      <c r="G902" s="47"/>
      <c r="H902" s="47"/>
      <c r="I902" s="47"/>
      <c r="L902" s="46"/>
      <c r="M902" s="47"/>
      <c r="N902" s="47"/>
      <c r="O902" s="47"/>
      <c r="P902" s="47"/>
    </row>
    <row r="903" spans="3:16" x14ac:dyDescent="0.2">
      <c r="C903" s="46"/>
      <c r="D903" s="47"/>
      <c r="E903" s="47"/>
      <c r="F903" s="47"/>
      <c r="G903" s="47"/>
      <c r="H903" s="47"/>
      <c r="I903" s="47"/>
      <c r="L903" s="46"/>
      <c r="M903" s="47"/>
      <c r="N903" s="47"/>
      <c r="O903" s="47"/>
      <c r="P903" s="47"/>
    </row>
    <row r="904" spans="3:16" x14ac:dyDescent="0.2">
      <c r="C904" s="46"/>
      <c r="D904" s="47"/>
      <c r="E904" s="47"/>
      <c r="F904" s="47"/>
      <c r="G904" s="47"/>
      <c r="H904" s="47"/>
      <c r="I904" s="47"/>
      <c r="L904" s="46"/>
      <c r="M904" s="47"/>
      <c r="N904" s="47"/>
      <c r="O904" s="47"/>
      <c r="P904" s="47"/>
    </row>
    <row r="905" spans="3:16" x14ac:dyDescent="0.2">
      <c r="C905" s="46"/>
      <c r="D905" s="47"/>
      <c r="E905" s="47"/>
      <c r="F905" s="47"/>
      <c r="G905" s="47"/>
      <c r="H905" s="47"/>
      <c r="I905" s="47"/>
      <c r="L905" s="46"/>
      <c r="M905" s="47"/>
      <c r="N905" s="47"/>
      <c r="O905" s="47"/>
      <c r="P905" s="47"/>
    </row>
    <row r="906" spans="3:16" x14ac:dyDescent="0.2">
      <c r="C906" s="46"/>
      <c r="D906" s="47"/>
      <c r="E906" s="47"/>
      <c r="F906" s="47"/>
      <c r="G906" s="47"/>
      <c r="H906" s="47"/>
      <c r="I906" s="47"/>
      <c r="L906" s="46"/>
      <c r="M906" s="47"/>
      <c r="N906" s="47"/>
      <c r="O906" s="47"/>
      <c r="P906" s="47"/>
    </row>
    <row r="907" spans="3:16" x14ac:dyDescent="0.2">
      <c r="C907" s="46"/>
      <c r="D907" s="47"/>
      <c r="E907" s="47"/>
      <c r="F907" s="47"/>
      <c r="G907" s="47"/>
      <c r="H907" s="47"/>
      <c r="I907" s="47"/>
      <c r="L907" s="46"/>
      <c r="M907" s="47"/>
      <c r="N907" s="47"/>
      <c r="O907" s="47"/>
      <c r="P907" s="47"/>
    </row>
    <row r="908" spans="3:16" x14ac:dyDescent="0.2">
      <c r="C908" s="46"/>
      <c r="D908" s="47"/>
      <c r="E908" s="47"/>
      <c r="F908" s="47"/>
      <c r="G908" s="47"/>
      <c r="H908" s="47"/>
      <c r="I908" s="47"/>
      <c r="L908" s="46"/>
      <c r="M908" s="47"/>
      <c r="N908" s="47"/>
      <c r="O908" s="47"/>
      <c r="P908" s="47"/>
    </row>
    <row r="909" spans="3:16" x14ac:dyDescent="0.2">
      <c r="C909" s="46"/>
      <c r="D909" s="47"/>
      <c r="E909" s="47"/>
      <c r="F909" s="47"/>
      <c r="G909" s="47"/>
      <c r="H909" s="47"/>
      <c r="I909" s="47"/>
      <c r="L909" s="46"/>
      <c r="M909" s="47"/>
      <c r="N909" s="47"/>
      <c r="O909" s="47"/>
      <c r="P909" s="47"/>
    </row>
    <row r="910" spans="3:16" x14ac:dyDescent="0.2">
      <c r="C910" s="46"/>
      <c r="D910" s="47"/>
      <c r="E910" s="47"/>
      <c r="F910" s="47"/>
      <c r="G910" s="47"/>
      <c r="H910" s="47"/>
      <c r="I910" s="47"/>
      <c r="L910" s="46"/>
      <c r="M910" s="47"/>
      <c r="N910" s="47"/>
      <c r="O910" s="47"/>
      <c r="P910" s="47"/>
    </row>
    <row r="911" spans="3:16" x14ac:dyDescent="0.2">
      <c r="C911" s="46"/>
      <c r="D911" s="47"/>
      <c r="E911" s="47"/>
      <c r="F911" s="47"/>
      <c r="G911" s="47"/>
      <c r="H911" s="47"/>
      <c r="I911" s="47"/>
      <c r="L911" s="46"/>
      <c r="M911" s="47"/>
      <c r="N911" s="47"/>
      <c r="O911" s="47"/>
      <c r="P911" s="47"/>
    </row>
    <row r="912" spans="3:16" x14ac:dyDescent="0.2">
      <c r="C912" s="46"/>
      <c r="D912" s="47"/>
      <c r="E912" s="47"/>
      <c r="F912" s="47"/>
      <c r="G912" s="47"/>
      <c r="H912" s="47"/>
      <c r="I912" s="47"/>
      <c r="L912" s="46"/>
      <c r="M912" s="47"/>
      <c r="N912" s="47"/>
      <c r="O912" s="47"/>
      <c r="P912" s="47"/>
    </row>
    <row r="913" spans="3:16" x14ac:dyDescent="0.2">
      <c r="C913" s="46"/>
      <c r="D913" s="47"/>
      <c r="E913" s="47"/>
      <c r="F913" s="47"/>
      <c r="G913" s="47"/>
      <c r="H913" s="47"/>
      <c r="I913" s="47"/>
      <c r="L913" s="46"/>
      <c r="M913" s="47"/>
      <c r="N913" s="47"/>
      <c r="O913" s="47"/>
      <c r="P913" s="47"/>
    </row>
    <row r="914" spans="3:16" x14ac:dyDescent="0.2">
      <c r="C914" s="46"/>
      <c r="D914" s="47"/>
      <c r="E914" s="47"/>
      <c r="F914" s="47"/>
      <c r="G914" s="47"/>
      <c r="H914" s="47"/>
      <c r="I914" s="47"/>
      <c r="L914" s="46"/>
      <c r="M914" s="47"/>
      <c r="N914" s="47"/>
      <c r="O914" s="47"/>
      <c r="P914" s="47"/>
    </row>
    <row r="915" spans="3:16" x14ac:dyDescent="0.2">
      <c r="C915" s="46"/>
      <c r="D915" s="47"/>
      <c r="E915" s="47"/>
      <c r="F915" s="47"/>
      <c r="G915" s="47"/>
      <c r="H915" s="47"/>
      <c r="I915" s="47"/>
      <c r="L915" s="46"/>
      <c r="M915" s="47"/>
      <c r="N915" s="47"/>
      <c r="O915" s="47"/>
      <c r="P915" s="47"/>
    </row>
    <row r="916" spans="3:16" x14ac:dyDescent="0.2">
      <c r="C916" s="46"/>
      <c r="D916" s="47"/>
      <c r="E916" s="47"/>
      <c r="F916" s="47"/>
      <c r="G916" s="47"/>
      <c r="H916" s="47"/>
      <c r="I916" s="47"/>
      <c r="L916" s="46"/>
      <c r="M916" s="47"/>
      <c r="N916" s="47"/>
      <c r="O916" s="47"/>
      <c r="P916" s="47"/>
    </row>
    <row r="917" spans="3:16" x14ac:dyDescent="0.2">
      <c r="C917" s="46"/>
      <c r="D917" s="47"/>
      <c r="E917" s="47"/>
      <c r="F917" s="47"/>
      <c r="G917" s="47"/>
      <c r="H917" s="47"/>
      <c r="I917" s="47"/>
      <c r="L917" s="46"/>
      <c r="M917" s="47"/>
      <c r="N917" s="47"/>
      <c r="O917" s="47"/>
      <c r="P917" s="47"/>
    </row>
    <row r="918" spans="3:16" x14ac:dyDescent="0.2">
      <c r="C918" s="46"/>
      <c r="D918" s="47"/>
      <c r="E918" s="47"/>
      <c r="F918" s="47"/>
      <c r="G918" s="47"/>
      <c r="H918" s="47"/>
      <c r="I918" s="47"/>
      <c r="L918" s="46"/>
      <c r="M918" s="47"/>
      <c r="N918" s="47"/>
      <c r="O918" s="47"/>
      <c r="P918" s="47"/>
    </row>
    <row r="919" spans="3:16" x14ac:dyDescent="0.2">
      <c r="C919" s="46"/>
      <c r="D919" s="47"/>
      <c r="E919" s="47"/>
      <c r="F919" s="47"/>
      <c r="G919" s="47"/>
      <c r="H919" s="47"/>
      <c r="I919" s="47"/>
      <c r="L919" s="46"/>
      <c r="M919" s="47"/>
      <c r="N919" s="47"/>
      <c r="O919" s="47"/>
      <c r="P919" s="47"/>
    </row>
    <row r="920" spans="3:16" x14ac:dyDescent="0.2">
      <c r="C920" s="46"/>
      <c r="D920" s="47"/>
      <c r="E920" s="47"/>
      <c r="F920" s="47"/>
      <c r="G920" s="47"/>
      <c r="H920" s="47"/>
      <c r="I920" s="47"/>
      <c r="L920" s="46"/>
      <c r="M920" s="47"/>
      <c r="N920" s="47"/>
      <c r="O920" s="47"/>
      <c r="P920" s="47"/>
    </row>
    <row r="921" spans="3:16" x14ac:dyDescent="0.2">
      <c r="C921" s="46"/>
      <c r="D921" s="47"/>
      <c r="E921" s="47"/>
      <c r="F921" s="47"/>
      <c r="G921" s="47"/>
      <c r="H921" s="47"/>
      <c r="I921" s="47"/>
      <c r="L921" s="46"/>
      <c r="M921" s="47"/>
      <c r="N921" s="47"/>
      <c r="O921" s="47"/>
      <c r="P921" s="47"/>
    </row>
    <row r="922" spans="3:16" x14ac:dyDescent="0.2">
      <c r="C922" s="46"/>
      <c r="D922" s="47"/>
      <c r="E922" s="47"/>
      <c r="F922" s="47"/>
      <c r="G922" s="47"/>
      <c r="H922" s="47"/>
      <c r="I922" s="47"/>
      <c r="L922" s="46"/>
      <c r="M922" s="47"/>
      <c r="N922" s="47"/>
      <c r="O922" s="47"/>
      <c r="P922" s="47"/>
    </row>
    <row r="923" spans="3:16" x14ac:dyDescent="0.2">
      <c r="C923" s="46"/>
      <c r="D923" s="47"/>
      <c r="E923" s="47"/>
      <c r="F923" s="47"/>
      <c r="G923" s="47"/>
      <c r="H923" s="47"/>
      <c r="I923" s="47"/>
      <c r="L923" s="46"/>
      <c r="M923" s="47"/>
      <c r="N923" s="47"/>
      <c r="O923" s="47"/>
      <c r="P923" s="47"/>
    </row>
    <row r="924" spans="3:16" x14ac:dyDescent="0.2">
      <c r="C924" s="46"/>
      <c r="D924" s="47"/>
      <c r="E924" s="47"/>
      <c r="F924" s="47"/>
      <c r="G924" s="47"/>
      <c r="H924" s="47"/>
      <c r="I924" s="47"/>
      <c r="L924" s="46"/>
      <c r="M924" s="47"/>
      <c r="N924" s="47"/>
      <c r="O924" s="47"/>
      <c r="P924" s="47"/>
    </row>
    <row r="925" spans="3:16" x14ac:dyDescent="0.2">
      <c r="C925" s="46"/>
      <c r="D925" s="47"/>
      <c r="E925" s="47"/>
      <c r="F925" s="47"/>
      <c r="G925" s="47"/>
      <c r="H925" s="47"/>
      <c r="I925" s="47"/>
      <c r="L925" s="46"/>
      <c r="M925" s="47"/>
      <c r="N925" s="47"/>
      <c r="O925" s="47"/>
      <c r="P925" s="47"/>
    </row>
    <row r="926" spans="3:16" x14ac:dyDescent="0.2">
      <c r="C926" s="46"/>
      <c r="D926" s="47"/>
      <c r="E926" s="47"/>
      <c r="F926" s="47"/>
      <c r="G926" s="47"/>
      <c r="H926" s="47"/>
      <c r="I926" s="47"/>
      <c r="L926" s="46"/>
      <c r="M926" s="47"/>
      <c r="N926" s="47"/>
      <c r="O926" s="47"/>
      <c r="P926" s="47"/>
    </row>
    <row r="927" spans="3:16" x14ac:dyDescent="0.2">
      <c r="C927" s="46"/>
      <c r="D927" s="47"/>
      <c r="E927" s="47"/>
      <c r="F927" s="47"/>
      <c r="G927" s="47"/>
      <c r="H927" s="47"/>
      <c r="I927" s="47"/>
      <c r="L927" s="46"/>
      <c r="M927" s="47"/>
      <c r="N927" s="47"/>
      <c r="O927" s="47"/>
      <c r="P927" s="47"/>
    </row>
    <row r="928" spans="3:16" x14ac:dyDescent="0.2">
      <c r="C928" s="46"/>
      <c r="D928" s="47"/>
      <c r="E928" s="47"/>
      <c r="F928" s="47"/>
      <c r="G928" s="47"/>
      <c r="H928" s="47"/>
      <c r="I928" s="47"/>
      <c r="L928" s="46"/>
      <c r="M928" s="47"/>
      <c r="N928" s="47"/>
      <c r="O928" s="47"/>
      <c r="P928" s="47"/>
    </row>
    <row r="929" spans="3:16" x14ac:dyDescent="0.2">
      <c r="C929" s="46"/>
      <c r="D929" s="47"/>
      <c r="E929" s="47"/>
      <c r="F929" s="47"/>
      <c r="G929" s="47"/>
      <c r="H929" s="47"/>
      <c r="I929" s="47"/>
      <c r="L929" s="46"/>
      <c r="M929" s="47"/>
      <c r="N929" s="47"/>
      <c r="O929" s="47"/>
      <c r="P929" s="47"/>
    </row>
    <row r="930" spans="3:16" x14ac:dyDescent="0.2">
      <c r="C930" s="46"/>
      <c r="D930" s="47"/>
      <c r="E930" s="47"/>
      <c r="F930" s="47"/>
      <c r="G930" s="47"/>
      <c r="H930" s="47"/>
      <c r="I930" s="47"/>
      <c r="L930" s="46"/>
      <c r="M930" s="47"/>
      <c r="N930" s="47"/>
      <c r="O930" s="47"/>
      <c r="P930" s="47"/>
    </row>
    <row r="931" spans="3:16" x14ac:dyDescent="0.2">
      <c r="C931" s="46"/>
      <c r="D931" s="47"/>
      <c r="E931" s="47"/>
      <c r="F931" s="47"/>
      <c r="G931" s="47"/>
      <c r="H931" s="47"/>
      <c r="I931" s="47"/>
      <c r="L931" s="46"/>
      <c r="M931" s="47"/>
      <c r="N931" s="47"/>
      <c r="O931" s="47"/>
      <c r="P931" s="47"/>
    </row>
    <row r="932" spans="3:16" x14ac:dyDescent="0.2">
      <c r="C932" s="46"/>
      <c r="D932" s="47"/>
      <c r="E932" s="47"/>
      <c r="F932" s="47"/>
      <c r="G932" s="47"/>
      <c r="H932" s="47"/>
      <c r="I932" s="47"/>
      <c r="L932" s="46"/>
      <c r="M932" s="47"/>
      <c r="N932" s="47"/>
      <c r="O932" s="47"/>
      <c r="P932" s="47"/>
    </row>
    <row r="933" spans="3:16" x14ac:dyDescent="0.2">
      <c r="C933" s="46"/>
      <c r="D933" s="47"/>
      <c r="E933" s="47"/>
      <c r="F933" s="47"/>
      <c r="G933" s="47"/>
      <c r="H933" s="47"/>
      <c r="I933" s="47"/>
      <c r="L933" s="46"/>
      <c r="M933" s="47"/>
      <c r="N933" s="47"/>
      <c r="O933" s="47"/>
      <c r="P933" s="47"/>
    </row>
    <row r="934" spans="3:16" x14ac:dyDescent="0.2">
      <c r="C934" s="46"/>
      <c r="D934" s="47"/>
      <c r="E934" s="47"/>
      <c r="F934" s="47"/>
      <c r="G934" s="47"/>
      <c r="H934" s="47"/>
      <c r="I934" s="47"/>
      <c r="L934" s="46"/>
      <c r="M934" s="47"/>
      <c r="N934" s="47"/>
      <c r="O934" s="47"/>
      <c r="P934" s="47"/>
    </row>
    <row r="935" spans="3:16" x14ac:dyDescent="0.2">
      <c r="C935" s="46"/>
      <c r="D935" s="47"/>
      <c r="E935" s="47"/>
      <c r="F935" s="47"/>
      <c r="G935" s="47"/>
      <c r="H935" s="47"/>
      <c r="I935" s="47"/>
      <c r="L935" s="46"/>
      <c r="M935" s="47"/>
      <c r="N935" s="47"/>
      <c r="O935" s="47"/>
      <c r="P935" s="47"/>
    </row>
    <row r="936" spans="3:16" x14ac:dyDescent="0.2">
      <c r="C936" s="46"/>
      <c r="D936" s="47"/>
      <c r="E936" s="47"/>
      <c r="F936" s="47"/>
      <c r="G936" s="47"/>
      <c r="H936" s="47"/>
      <c r="I936" s="47"/>
      <c r="L936" s="46"/>
      <c r="M936" s="47"/>
      <c r="N936" s="47"/>
      <c r="O936" s="47"/>
      <c r="P936" s="47"/>
    </row>
    <row r="937" spans="3:16" x14ac:dyDescent="0.2">
      <c r="C937" s="46"/>
      <c r="D937" s="47"/>
      <c r="E937" s="47"/>
      <c r="F937" s="47"/>
      <c r="G937" s="47"/>
      <c r="H937" s="47"/>
      <c r="I937" s="47"/>
      <c r="L937" s="46"/>
      <c r="M937" s="47"/>
      <c r="N937" s="47"/>
      <c r="O937" s="47"/>
      <c r="P937" s="47"/>
    </row>
    <row r="938" spans="3:16" x14ac:dyDescent="0.2">
      <c r="C938" s="46"/>
      <c r="D938" s="47"/>
      <c r="E938" s="47"/>
      <c r="F938" s="47"/>
      <c r="G938" s="47"/>
      <c r="H938" s="47"/>
      <c r="I938" s="47"/>
      <c r="L938" s="46"/>
      <c r="M938" s="47"/>
      <c r="N938" s="47"/>
      <c r="O938" s="47"/>
      <c r="P938" s="47"/>
    </row>
    <row r="939" spans="3:16" x14ac:dyDescent="0.2">
      <c r="C939" s="46"/>
      <c r="D939" s="47"/>
      <c r="E939" s="47"/>
      <c r="F939" s="47"/>
      <c r="G939" s="47"/>
      <c r="H939" s="47"/>
      <c r="I939" s="47"/>
      <c r="L939" s="46"/>
      <c r="M939" s="47"/>
      <c r="N939" s="47"/>
      <c r="O939" s="47"/>
      <c r="P939" s="47"/>
    </row>
    <row r="940" spans="3:16" x14ac:dyDescent="0.2">
      <c r="C940" s="46"/>
      <c r="D940" s="47"/>
      <c r="E940" s="47"/>
      <c r="F940" s="47"/>
      <c r="G940" s="47"/>
      <c r="H940" s="47"/>
      <c r="I940" s="47"/>
      <c r="L940" s="46"/>
      <c r="M940" s="47"/>
      <c r="N940" s="47"/>
      <c r="O940" s="47"/>
      <c r="P940" s="47"/>
    </row>
    <row r="941" spans="3:16" x14ac:dyDescent="0.2">
      <c r="C941" s="46"/>
      <c r="D941" s="47"/>
      <c r="E941" s="47"/>
      <c r="F941" s="47"/>
      <c r="G941" s="47"/>
      <c r="H941" s="47"/>
      <c r="I941" s="47"/>
      <c r="L941" s="46"/>
      <c r="M941" s="47"/>
      <c r="N941" s="47"/>
      <c r="O941" s="47"/>
      <c r="P941" s="47"/>
    </row>
    <row r="942" spans="3:16" x14ac:dyDescent="0.2">
      <c r="C942" s="46"/>
      <c r="D942" s="47"/>
      <c r="E942" s="47"/>
      <c r="F942" s="47"/>
      <c r="G942" s="47"/>
      <c r="H942" s="47"/>
      <c r="I942" s="47"/>
      <c r="L942" s="46"/>
      <c r="M942" s="47"/>
      <c r="N942" s="47"/>
      <c r="O942" s="47"/>
      <c r="P942" s="47"/>
    </row>
    <row r="943" spans="3:16" x14ac:dyDescent="0.2">
      <c r="C943" s="46"/>
      <c r="D943" s="47"/>
      <c r="E943" s="47"/>
      <c r="F943" s="47"/>
      <c r="G943" s="47"/>
      <c r="H943" s="47"/>
      <c r="I943" s="47"/>
      <c r="L943" s="46"/>
      <c r="M943" s="47"/>
      <c r="N943" s="47"/>
      <c r="O943" s="47"/>
      <c r="P943" s="47"/>
    </row>
    <row r="944" spans="3:16" x14ac:dyDescent="0.2">
      <c r="C944" s="46"/>
      <c r="D944" s="47"/>
      <c r="E944" s="47"/>
      <c r="F944" s="47"/>
      <c r="G944" s="47"/>
      <c r="H944" s="47"/>
      <c r="I944" s="47"/>
      <c r="L944" s="46"/>
      <c r="M944" s="47"/>
      <c r="N944" s="47"/>
      <c r="O944" s="47"/>
      <c r="P944" s="47"/>
    </row>
    <row r="945" spans="3:16" x14ac:dyDescent="0.2">
      <c r="C945" s="46"/>
      <c r="D945" s="47"/>
      <c r="E945" s="47"/>
      <c r="F945" s="47"/>
      <c r="G945" s="47"/>
      <c r="H945" s="47"/>
      <c r="I945" s="47"/>
      <c r="L945" s="46"/>
      <c r="M945" s="47"/>
      <c r="N945" s="47"/>
      <c r="O945" s="47"/>
      <c r="P945" s="47"/>
    </row>
    <row r="946" spans="3:16" x14ac:dyDescent="0.2">
      <c r="C946" s="46"/>
      <c r="D946" s="47"/>
      <c r="E946" s="47"/>
      <c r="F946" s="47"/>
      <c r="G946" s="47"/>
      <c r="H946" s="47"/>
      <c r="I946" s="47"/>
      <c r="L946" s="46"/>
      <c r="M946" s="47"/>
      <c r="N946" s="47"/>
      <c r="O946" s="47"/>
      <c r="P946" s="47"/>
    </row>
    <row r="947" spans="3:16" x14ac:dyDescent="0.2">
      <c r="C947" s="46"/>
      <c r="D947" s="47"/>
      <c r="E947" s="47"/>
      <c r="F947" s="47"/>
      <c r="G947" s="47"/>
      <c r="H947" s="47"/>
      <c r="I947" s="47"/>
      <c r="L947" s="46"/>
      <c r="M947" s="47"/>
      <c r="N947" s="47"/>
      <c r="O947" s="47"/>
      <c r="P947" s="47"/>
    </row>
    <row r="948" spans="3:16" x14ac:dyDescent="0.2">
      <c r="C948" s="46"/>
      <c r="D948" s="47"/>
      <c r="E948" s="47"/>
      <c r="F948" s="47"/>
      <c r="G948" s="47"/>
      <c r="H948" s="47"/>
      <c r="I948" s="47"/>
      <c r="L948" s="46"/>
      <c r="M948" s="47"/>
      <c r="N948" s="47"/>
      <c r="O948" s="47"/>
      <c r="P948" s="47"/>
    </row>
    <row r="949" spans="3:16" x14ac:dyDescent="0.2">
      <c r="C949" s="46"/>
      <c r="D949" s="47"/>
      <c r="E949" s="47"/>
      <c r="F949" s="47"/>
      <c r="G949" s="47"/>
      <c r="H949" s="47"/>
      <c r="I949" s="47"/>
      <c r="L949" s="46"/>
      <c r="M949" s="47"/>
      <c r="N949" s="47"/>
      <c r="O949" s="47"/>
      <c r="P949" s="47"/>
    </row>
    <row r="950" spans="3:16" x14ac:dyDescent="0.2">
      <c r="C950" s="46"/>
      <c r="D950" s="47"/>
      <c r="E950" s="47"/>
      <c r="F950" s="47"/>
      <c r="G950" s="47"/>
      <c r="H950" s="47"/>
      <c r="I950" s="47"/>
      <c r="L950" s="46"/>
      <c r="M950" s="47"/>
      <c r="N950" s="47"/>
      <c r="O950" s="47"/>
      <c r="P950" s="47"/>
    </row>
    <row r="951" spans="3:16" x14ac:dyDescent="0.2">
      <c r="C951" s="46"/>
      <c r="D951" s="47"/>
      <c r="E951" s="47"/>
      <c r="F951" s="47"/>
      <c r="G951" s="47"/>
      <c r="H951" s="47"/>
      <c r="I951" s="47"/>
      <c r="L951" s="46"/>
      <c r="M951" s="47"/>
      <c r="N951" s="47"/>
      <c r="O951" s="47"/>
      <c r="P951" s="47"/>
    </row>
    <row r="952" spans="3:16" x14ac:dyDescent="0.2">
      <c r="C952" s="46"/>
      <c r="D952" s="47"/>
      <c r="E952" s="47"/>
      <c r="F952" s="47"/>
      <c r="G952" s="47"/>
      <c r="H952" s="47"/>
      <c r="I952" s="47"/>
      <c r="L952" s="46"/>
      <c r="M952" s="47"/>
      <c r="N952" s="47"/>
      <c r="O952" s="47"/>
      <c r="P952" s="47"/>
    </row>
    <row r="953" spans="3:16" x14ac:dyDescent="0.2">
      <c r="C953" s="46"/>
      <c r="D953" s="47"/>
      <c r="E953" s="47"/>
      <c r="F953" s="47"/>
      <c r="G953" s="47"/>
      <c r="H953" s="47"/>
      <c r="I953" s="47"/>
      <c r="L953" s="46"/>
      <c r="M953" s="47"/>
      <c r="N953" s="47"/>
      <c r="O953" s="47"/>
      <c r="P953" s="47"/>
    </row>
    <row r="954" spans="3:16" x14ac:dyDescent="0.2">
      <c r="C954" s="46"/>
      <c r="D954" s="47"/>
      <c r="E954" s="47"/>
      <c r="F954" s="47"/>
      <c r="G954" s="47"/>
      <c r="H954" s="47"/>
      <c r="I954" s="47"/>
      <c r="L954" s="46"/>
      <c r="M954" s="47"/>
      <c r="N954" s="47"/>
      <c r="O954" s="47"/>
      <c r="P954" s="47"/>
    </row>
    <row r="955" spans="3:16" x14ac:dyDescent="0.2">
      <c r="C955" s="46"/>
      <c r="D955" s="47"/>
      <c r="E955" s="47"/>
      <c r="F955" s="47"/>
      <c r="G955" s="47"/>
      <c r="H955" s="47"/>
      <c r="I955" s="47"/>
      <c r="L955" s="46"/>
      <c r="M955" s="47"/>
      <c r="N955" s="47"/>
      <c r="O955" s="47"/>
      <c r="P955" s="47"/>
    </row>
    <row r="956" spans="3:16" x14ac:dyDescent="0.2">
      <c r="C956" s="46"/>
      <c r="D956" s="47"/>
      <c r="E956" s="47"/>
      <c r="F956" s="47"/>
      <c r="G956" s="47"/>
      <c r="H956" s="47"/>
      <c r="I956" s="47"/>
      <c r="L956" s="46"/>
      <c r="M956" s="47"/>
      <c r="N956" s="47"/>
      <c r="O956" s="47"/>
      <c r="P956" s="47"/>
    </row>
    <row r="957" spans="3:16" x14ac:dyDescent="0.2">
      <c r="C957" s="46"/>
      <c r="D957" s="47"/>
      <c r="E957" s="47"/>
      <c r="F957" s="47"/>
      <c r="G957" s="47"/>
      <c r="H957" s="47"/>
      <c r="I957" s="47"/>
      <c r="L957" s="46"/>
      <c r="M957" s="47"/>
      <c r="N957" s="47"/>
      <c r="O957" s="47"/>
      <c r="P957" s="47"/>
    </row>
    <row r="958" spans="3:16" x14ac:dyDescent="0.2">
      <c r="C958" s="46"/>
      <c r="D958" s="47"/>
      <c r="E958" s="47"/>
      <c r="F958" s="47"/>
      <c r="G958" s="47"/>
      <c r="H958" s="47"/>
      <c r="I958" s="47"/>
      <c r="L958" s="46"/>
      <c r="M958" s="47"/>
      <c r="N958" s="47"/>
      <c r="O958" s="47"/>
      <c r="P958" s="47"/>
    </row>
    <row r="959" spans="3:16" x14ac:dyDescent="0.2">
      <c r="C959" s="46"/>
      <c r="D959" s="47"/>
      <c r="E959" s="47"/>
      <c r="F959" s="47"/>
      <c r="G959" s="47"/>
      <c r="H959" s="47"/>
      <c r="I959" s="47"/>
      <c r="L959" s="46"/>
      <c r="M959" s="47"/>
      <c r="N959" s="47"/>
      <c r="O959" s="47"/>
      <c r="P959" s="47"/>
    </row>
    <row r="960" spans="3:16" x14ac:dyDescent="0.2">
      <c r="C960" s="46"/>
      <c r="D960" s="47"/>
      <c r="E960" s="47"/>
      <c r="F960" s="47"/>
      <c r="G960" s="47"/>
      <c r="H960" s="47"/>
      <c r="I960" s="47"/>
      <c r="L960" s="46"/>
      <c r="M960" s="47"/>
      <c r="N960" s="47"/>
      <c r="O960" s="47"/>
      <c r="P960" s="47"/>
    </row>
    <row r="961" spans="3:16" x14ac:dyDescent="0.2">
      <c r="C961" s="46"/>
      <c r="D961" s="47"/>
      <c r="E961" s="47"/>
      <c r="F961" s="47"/>
      <c r="G961" s="47"/>
      <c r="H961" s="47"/>
      <c r="I961" s="47"/>
      <c r="L961" s="46"/>
      <c r="M961" s="47"/>
      <c r="N961" s="47"/>
      <c r="O961" s="47"/>
      <c r="P961" s="47"/>
    </row>
    <row r="962" spans="3:16" x14ac:dyDescent="0.2">
      <c r="C962" s="46"/>
      <c r="D962" s="47"/>
      <c r="E962" s="47"/>
      <c r="F962" s="47"/>
      <c r="G962" s="47"/>
      <c r="H962" s="47"/>
      <c r="I962" s="47"/>
      <c r="L962" s="46"/>
      <c r="M962" s="47"/>
      <c r="N962" s="47"/>
      <c r="O962" s="47"/>
      <c r="P962" s="47"/>
    </row>
    <row r="963" spans="3:16" x14ac:dyDescent="0.2">
      <c r="C963" s="46"/>
      <c r="D963" s="47"/>
      <c r="E963" s="47"/>
      <c r="F963" s="47"/>
      <c r="G963" s="47"/>
      <c r="H963" s="47"/>
      <c r="I963" s="47"/>
      <c r="L963" s="46"/>
      <c r="M963" s="47"/>
      <c r="N963" s="47"/>
      <c r="O963" s="47"/>
      <c r="P963" s="47"/>
    </row>
    <row r="964" spans="3:16" x14ac:dyDescent="0.2">
      <c r="C964" s="46"/>
      <c r="D964" s="47"/>
      <c r="E964" s="47"/>
      <c r="F964" s="47"/>
      <c r="G964" s="47"/>
      <c r="H964" s="47"/>
      <c r="I964" s="47"/>
      <c r="L964" s="46"/>
      <c r="M964" s="47"/>
      <c r="N964" s="47"/>
      <c r="O964" s="47"/>
      <c r="P964" s="47"/>
    </row>
    <row r="965" spans="3:16" x14ac:dyDescent="0.2">
      <c r="C965" s="46"/>
      <c r="D965" s="47"/>
      <c r="E965" s="47"/>
      <c r="F965" s="47"/>
      <c r="G965" s="47"/>
      <c r="H965" s="47"/>
      <c r="I965" s="47"/>
      <c r="L965" s="46"/>
      <c r="M965" s="47"/>
      <c r="N965" s="47"/>
      <c r="O965" s="47"/>
      <c r="P965" s="47"/>
    </row>
    <row r="966" spans="3:16" x14ac:dyDescent="0.2">
      <c r="C966" s="46"/>
      <c r="D966" s="47"/>
      <c r="E966" s="47"/>
      <c r="F966" s="47"/>
      <c r="G966" s="47"/>
      <c r="H966" s="47"/>
      <c r="I966" s="47"/>
      <c r="L966" s="46"/>
      <c r="M966" s="47"/>
      <c r="N966" s="47"/>
      <c r="O966" s="47"/>
      <c r="P966" s="47"/>
    </row>
    <row r="967" spans="3:16" x14ac:dyDescent="0.2">
      <c r="C967" s="46"/>
      <c r="D967" s="47"/>
      <c r="E967" s="47"/>
      <c r="F967" s="47"/>
      <c r="G967" s="47"/>
      <c r="H967" s="47"/>
      <c r="I967" s="47"/>
      <c r="L967" s="46"/>
      <c r="M967" s="47"/>
      <c r="N967" s="47"/>
      <c r="O967" s="47"/>
      <c r="P967" s="47"/>
    </row>
    <row r="968" spans="3:16" x14ac:dyDescent="0.2">
      <c r="C968" s="46"/>
      <c r="D968" s="47"/>
      <c r="E968" s="47"/>
      <c r="F968" s="47"/>
      <c r="G968" s="47"/>
      <c r="H968" s="47"/>
      <c r="I968" s="47"/>
      <c r="L968" s="46"/>
      <c r="M968" s="47"/>
      <c r="N968" s="47"/>
      <c r="O968" s="47"/>
      <c r="P968" s="47"/>
    </row>
    <row r="969" spans="3:16" x14ac:dyDescent="0.2">
      <c r="C969" s="46"/>
      <c r="D969" s="47"/>
      <c r="E969" s="47"/>
      <c r="F969" s="47"/>
      <c r="G969" s="47"/>
      <c r="H969" s="47"/>
      <c r="I969" s="47"/>
      <c r="L969" s="46"/>
      <c r="M969" s="47"/>
      <c r="N969" s="47"/>
      <c r="O969" s="47"/>
      <c r="P969" s="47"/>
    </row>
    <row r="970" spans="3:16" x14ac:dyDescent="0.2">
      <c r="C970" s="46"/>
      <c r="D970" s="47"/>
      <c r="E970" s="47"/>
      <c r="F970" s="47"/>
      <c r="G970" s="47"/>
      <c r="H970" s="47"/>
      <c r="I970" s="47"/>
      <c r="L970" s="46"/>
      <c r="M970" s="47"/>
      <c r="N970" s="47"/>
      <c r="O970" s="47"/>
      <c r="P970" s="47"/>
    </row>
    <row r="971" spans="3:16" x14ac:dyDescent="0.2">
      <c r="C971" s="46"/>
      <c r="D971" s="47"/>
      <c r="E971" s="47"/>
      <c r="F971" s="47"/>
      <c r="G971" s="47"/>
      <c r="H971" s="47"/>
      <c r="I971" s="47"/>
      <c r="L971" s="46"/>
      <c r="M971" s="47"/>
      <c r="N971" s="47"/>
      <c r="O971" s="47"/>
      <c r="P971" s="47"/>
    </row>
    <row r="972" spans="3:16" x14ac:dyDescent="0.2">
      <c r="C972" s="46"/>
      <c r="D972" s="47"/>
      <c r="E972" s="47"/>
      <c r="F972" s="47"/>
      <c r="G972" s="47"/>
      <c r="H972" s="47"/>
      <c r="I972" s="47"/>
      <c r="L972" s="46"/>
      <c r="M972" s="47"/>
      <c r="N972" s="47"/>
      <c r="O972" s="47"/>
      <c r="P972" s="47"/>
    </row>
    <row r="973" spans="3:16" x14ac:dyDescent="0.2">
      <c r="C973" s="46"/>
      <c r="D973" s="47"/>
      <c r="E973" s="47"/>
      <c r="F973" s="47"/>
      <c r="G973" s="47"/>
      <c r="H973" s="47"/>
      <c r="I973" s="47"/>
      <c r="L973" s="46"/>
      <c r="M973" s="47"/>
      <c r="N973" s="47"/>
      <c r="O973" s="47"/>
      <c r="P973" s="47"/>
    </row>
    <row r="974" spans="3:16" x14ac:dyDescent="0.2">
      <c r="C974" s="46"/>
      <c r="D974" s="47"/>
      <c r="E974" s="47"/>
      <c r="F974" s="47"/>
      <c r="G974" s="47"/>
      <c r="H974" s="47"/>
      <c r="I974" s="47"/>
      <c r="L974" s="46"/>
      <c r="M974" s="47"/>
      <c r="N974" s="47"/>
      <c r="O974" s="47"/>
      <c r="P974" s="47"/>
    </row>
    <row r="975" spans="3:16" x14ac:dyDescent="0.2">
      <c r="C975" s="46"/>
      <c r="D975" s="47"/>
      <c r="E975" s="47"/>
      <c r="F975" s="47"/>
      <c r="G975" s="47"/>
      <c r="H975" s="47"/>
      <c r="I975" s="47"/>
      <c r="L975" s="46"/>
      <c r="M975" s="47"/>
      <c r="N975" s="47"/>
      <c r="O975" s="47"/>
      <c r="P975" s="47"/>
    </row>
    <row r="976" spans="3:16" x14ac:dyDescent="0.2">
      <c r="C976" s="46"/>
      <c r="D976" s="47"/>
      <c r="E976" s="47"/>
      <c r="F976" s="47"/>
      <c r="G976" s="47"/>
      <c r="H976" s="47"/>
      <c r="I976" s="47"/>
      <c r="L976" s="46"/>
      <c r="M976" s="47"/>
      <c r="N976" s="47"/>
      <c r="O976" s="47"/>
      <c r="P976" s="47"/>
    </row>
    <row r="977" spans="3:16" x14ac:dyDescent="0.2">
      <c r="C977" s="46"/>
      <c r="D977" s="47"/>
      <c r="E977" s="47"/>
      <c r="F977" s="47"/>
      <c r="G977" s="47"/>
      <c r="H977" s="47"/>
      <c r="I977" s="47"/>
      <c r="L977" s="46"/>
      <c r="M977" s="47"/>
      <c r="N977" s="47"/>
      <c r="O977" s="47"/>
      <c r="P977" s="47"/>
    </row>
    <row r="978" spans="3:16" x14ac:dyDescent="0.2">
      <c r="C978" s="46"/>
      <c r="D978" s="47"/>
      <c r="E978" s="47"/>
      <c r="F978" s="47"/>
      <c r="G978" s="47"/>
      <c r="H978" s="47"/>
      <c r="I978" s="47"/>
      <c r="L978" s="46"/>
      <c r="M978" s="47"/>
      <c r="N978" s="47"/>
      <c r="O978" s="47"/>
      <c r="P978" s="47"/>
    </row>
    <row r="979" spans="3:16" x14ac:dyDescent="0.2">
      <c r="C979" s="46"/>
      <c r="D979" s="47"/>
      <c r="E979" s="47"/>
      <c r="F979" s="47"/>
      <c r="G979" s="47"/>
      <c r="H979" s="47"/>
      <c r="I979" s="47"/>
      <c r="L979" s="46"/>
      <c r="M979" s="47"/>
      <c r="N979" s="47"/>
      <c r="O979" s="47"/>
      <c r="P979" s="47"/>
    </row>
    <row r="980" spans="3:16" x14ac:dyDescent="0.2">
      <c r="C980" s="46"/>
      <c r="D980" s="47"/>
      <c r="E980" s="47"/>
      <c r="F980" s="47"/>
      <c r="G980" s="47"/>
      <c r="H980" s="47"/>
      <c r="I980" s="47"/>
      <c r="L980" s="46"/>
      <c r="M980" s="47"/>
      <c r="N980" s="47"/>
      <c r="O980" s="47"/>
      <c r="P980" s="47"/>
    </row>
    <row r="981" spans="3:16" x14ac:dyDescent="0.2">
      <c r="C981" s="46"/>
      <c r="D981" s="47"/>
      <c r="E981" s="47"/>
      <c r="F981" s="47"/>
      <c r="G981" s="47"/>
      <c r="H981" s="47"/>
      <c r="I981" s="47"/>
      <c r="L981" s="46"/>
      <c r="M981" s="47"/>
      <c r="N981" s="47"/>
      <c r="O981" s="47"/>
      <c r="P981" s="47"/>
    </row>
    <row r="982" spans="3:16" x14ac:dyDescent="0.2">
      <c r="C982" s="46"/>
      <c r="D982" s="47"/>
      <c r="E982" s="47"/>
      <c r="F982" s="47"/>
      <c r="G982" s="47"/>
      <c r="H982" s="47"/>
      <c r="I982" s="47"/>
      <c r="L982" s="46"/>
      <c r="M982" s="47"/>
      <c r="N982" s="47"/>
      <c r="O982" s="47"/>
      <c r="P982" s="47"/>
    </row>
    <row r="983" spans="3:16" x14ac:dyDescent="0.2">
      <c r="C983" s="46"/>
      <c r="D983" s="47"/>
      <c r="E983" s="47"/>
      <c r="F983" s="47"/>
      <c r="G983" s="47"/>
      <c r="H983" s="47"/>
      <c r="I983" s="47"/>
      <c r="L983" s="46"/>
      <c r="M983" s="47"/>
      <c r="N983" s="47"/>
      <c r="O983" s="47"/>
      <c r="P983" s="47"/>
    </row>
    <row r="984" spans="3:16" x14ac:dyDescent="0.2">
      <c r="C984" s="46"/>
      <c r="D984" s="47"/>
      <c r="E984" s="47"/>
      <c r="F984" s="47"/>
      <c r="G984" s="47"/>
      <c r="H984" s="47"/>
      <c r="I984" s="47"/>
      <c r="L984" s="46"/>
      <c r="M984" s="47"/>
      <c r="N984" s="47"/>
      <c r="O984" s="47"/>
      <c r="P984" s="47"/>
    </row>
    <row r="985" spans="3:16" x14ac:dyDescent="0.2">
      <c r="C985" s="46"/>
      <c r="D985" s="47"/>
      <c r="E985" s="47"/>
      <c r="F985" s="47"/>
      <c r="G985" s="47"/>
      <c r="H985" s="47"/>
      <c r="I985" s="47"/>
      <c r="L985" s="46"/>
      <c r="M985" s="47"/>
      <c r="N985" s="47"/>
      <c r="O985" s="47"/>
      <c r="P985" s="47"/>
    </row>
    <row r="986" spans="3:16" x14ac:dyDescent="0.2">
      <c r="C986" s="46"/>
      <c r="D986" s="47"/>
      <c r="E986" s="47"/>
      <c r="F986" s="47"/>
      <c r="G986" s="47"/>
      <c r="H986" s="47"/>
      <c r="I986" s="47"/>
      <c r="L986" s="46"/>
      <c r="M986" s="47"/>
      <c r="N986" s="47"/>
      <c r="O986" s="47"/>
      <c r="P986" s="47"/>
    </row>
    <row r="987" spans="3:16" x14ac:dyDescent="0.2">
      <c r="C987" s="46"/>
      <c r="D987" s="47"/>
      <c r="E987" s="47"/>
      <c r="F987" s="47"/>
      <c r="G987" s="47"/>
      <c r="H987" s="47"/>
      <c r="I987" s="47"/>
      <c r="L987" s="46"/>
      <c r="M987" s="47"/>
      <c r="N987" s="47"/>
      <c r="O987" s="47"/>
      <c r="P987" s="47"/>
    </row>
    <row r="988" spans="3:16" x14ac:dyDescent="0.2">
      <c r="C988" s="46"/>
      <c r="D988" s="47"/>
      <c r="E988" s="47"/>
      <c r="F988" s="47"/>
      <c r="G988" s="47"/>
      <c r="H988" s="47"/>
      <c r="I988" s="47"/>
      <c r="L988" s="46"/>
      <c r="M988" s="47"/>
      <c r="N988" s="47"/>
      <c r="O988" s="47"/>
      <c r="P988" s="47"/>
    </row>
    <row r="989" spans="3:16" x14ac:dyDescent="0.2">
      <c r="C989" s="46"/>
      <c r="D989" s="47"/>
      <c r="E989" s="47"/>
      <c r="F989" s="47"/>
      <c r="G989" s="47"/>
      <c r="H989" s="47"/>
      <c r="I989" s="47"/>
      <c r="L989" s="46"/>
      <c r="M989" s="47"/>
      <c r="N989" s="47"/>
      <c r="O989" s="47"/>
      <c r="P989" s="47"/>
    </row>
    <row r="990" spans="3:16" x14ac:dyDescent="0.2">
      <c r="C990" s="46"/>
      <c r="D990" s="47"/>
      <c r="E990" s="47"/>
      <c r="F990" s="47"/>
      <c r="G990" s="47"/>
      <c r="H990" s="47"/>
      <c r="I990" s="47"/>
      <c r="L990" s="46"/>
      <c r="M990" s="47"/>
      <c r="N990" s="47"/>
      <c r="O990" s="47"/>
      <c r="P990" s="47"/>
    </row>
    <row r="991" spans="3:16" x14ac:dyDescent="0.2">
      <c r="C991" s="46"/>
      <c r="D991" s="47"/>
      <c r="E991" s="47"/>
      <c r="F991" s="47"/>
      <c r="G991" s="47"/>
      <c r="H991" s="47"/>
      <c r="I991" s="47"/>
      <c r="L991" s="46"/>
      <c r="M991" s="47"/>
      <c r="N991" s="47"/>
      <c r="O991" s="47"/>
      <c r="P991" s="47"/>
    </row>
    <row r="992" spans="3:16" x14ac:dyDescent="0.2">
      <c r="C992" s="46"/>
      <c r="D992" s="47"/>
      <c r="E992" s="47"/>
      <c r="F992" s="47"/>
      <c r="G992" s="47"/>
      <c r="H992" s="47"/>
      <c r="I992" s="47"/>
      <c r="L992" s="46"/>
      <c r="M992" s="47"/>
      <c r="N992" s="47"/>
      <c r="O992" s="47"/>
      <c r="P992" s="47"/>
    </row>
    <row r="993" spans="3:16" x14ac:dyDescent="0.2">
      <c r="C993" s="46"/>
      <c r="D993" s="47"/>
      <c r="E993" s="47"/>
      <c r="F993" s="47"/>
      <c r="G993" s="47"/>
      <c r="H993" s="47"/>
      <c r="I993" s="47"/>
      <c r="L993" s="46"/>
      <c r="M993" s="47"/>
      <c r="N993" s="47"/>
      <c r="O993" s="47"/>
      <c r="P993" s="47"/>
    </row>
    <row r="994" spans="3:16" x14ac:dyDescent="0.2">
      <c r="C994" s="46"/>
      <c r="D994" s="47"/>
      <c r="E994" s="47"/>
      <c r="F994" s="47"/>
      <c r="G994" s="47"/>
      <c r="H994" s="47"/>
      <c r="I994" s="47"/>
      <c r="L994" s="46"/>
      <c r="M994" s="47"/>
      <c r="N994" s="47"/>
      <c r="O994" s="47"/>
      <c r="P994" s="47"/>
    </row>
    <row r="995" spans="3:16" x14ac:dyDescent="0.2">
      <c r="C995" s="46"/>
      <c r="D995" s="47"/>
      <c r="E995" s="47"/>
      <c r="F995" s="47"/>
      <c r="G995" s="47"/>
      <c r="H995" s="47"/>
      <c r="I995" s="47"/>
      <c r="L995" s="46"/>
      <c r="M995" s="47"/>
      <c r="N995" s="47"/>
      <c r="O995" s="47"/>
      <c r="P995" s="47"/>
    </row>
    <row r="996" spans="3:16" x14ac:dyDescent="0.2">
      <c r="C996" s="46"/>
      <c r="D996" s="47"/>
      <c r="E996" s="47"/>
      <c r="F996" s="47"/>
      <c r="G996" s="47"/>
      <c r="H996" s="47"/>
      <c r="I996" s="47"/>
      <c r="L996" s="46"/>
      <c r="M996" s="47"/>
      <c r="N996" s="47"/>
      <c r="O996" s="47"/>
      <c r="P996" s="47"/>
    </row>
    <row r="997" spans="3:16" x14ac:dyDescent="0.2">
      <c r="C997" s="46"/>
      <c r="D997" s="47"/>
      <c r="E997" s="47"/>
      <c r="F997" s="47"/>
      <c r="G997" s="47"/>
      <c r="H997" s="47"/>
      <c r="I997" s="47"/>
      <c r="L997" s="46"/>
      <c r="M997" s="47"/>
      <c r="N997" s="47"/>
      <c r="O997" s="47"/>
      <c r="P997" s="47"/>
    </row>
    <row r="998" spans="3:16" x14ac:dyDescent="0.2">
      <c r="C998" s="46"/>
      <c r="D998" s="47"/>
      <c r="E998" s="47"/>
      <c r="F998" s="47"/>
      <c r="G998" s="47"/>
      <c r="H998" s="47"/>
      <c r="I998" s="47"/>
      <c r="L998" s="46"/>
      <c r="M998" s="47"/>
      <c r="N998" s="47"/>
      <c r="O998" s="47"/>
      <c r="P998" s="47"/>
    </row>
    <row r="999" spans="3:16" x14ac:dyDescent="0.2">
      <c r="C999" s="46"/>
      <c r="D999" s="47"/>
      <c r="E999" s="47"/>
      <c r="F999" s="47"/>
      <c r="G999" s="47"/>
      <c r="H999" s="47"/>
      <c r="I999" s="47"/>
      <c r="L999" s="46"/>
      <c r="M999" s="47"/>
      <c r="N999" s="47"/>
      <c r="O999" s="47"/>
      <c r="P999" s="47"/>
    </row>
    <row r="1000" spans="3:16" x14ac:dyDescent="0.2">
      <c r="C1000" s="46"/>
      <c r="D1000" s="47"/>
      <c r="E1000" s="47"/>
      <c r="F1000" s="47"/>
      <c r="G1000" s="47"/>
      <c r="H1000" s="47"/>
      <c r="I1000" s="47"/>
      <c r="L1000" s="46"/>
      <c r="M1000" s="47"/>
      <c r="N1000" s="47"/>
      <c r="O1000" s="47"/>
      <c r="P1000" s="47"/>
    </row>
    <row r="1001" spans="3:16" x14ac:dyDescent="0.2">
      <c r="C1001" s="46"/>
      <c r="D1001" s="47"/>
      <c r="E1001" s="47"/>
      <c r="F1001" s="47"/>
      <c r="G1001" s="47"/>
      <c r="H1001" s="47"/>
      <c r="I1001" s="47"/>
      <c r="L1001" s="46"/>
      <c r="M1001" s="47"/>
      <c r="N1001" s="47"/>
      <c r="O1001" s="47"/>
      <c r="P1001" s="47"/>
    </row>
    <row r="1002" spans="3:16" x14ac:dyDescent="0.2">
      <c r="C1002" s="46"/>
      <c r="D1002" s="47"/>
      <c r="E1002" s="47"/>
      <c r="F1002" s="47"/>
      <c r="G1002" s="47"/>
      <c r="H1002" s="47"/>
      <c r="I1002" s="47"/>
      <c r="L1002" s="46"/>
      <c r="M1002" s="47"/>
      <c r="N1002" s="47"/>
      <c r="O1002" s="47"/>
      <c r="P1002" s="47"/>
    </row>
    <row r="1003" spans="3:16" x14ac:dyDescent="0.2">
      <c r="C1003" s="46"/>
      <c r="D1003" s="47"/>
      <c r="E1003" s="47"/>
      <c r="F1003" s="47"/>
      <c r="G1003" s="47"/>
      <c r="H1003" s="47"/>
      <c r="I1003" s="47"/>
      <c r="L1003" s="46"/>
      <c r="M1003" s="47"/>
      <c r="N1003" s="47"/>
      <c r="O1003" s="47"/>
      <c r="P1003" s="47"/>
    </row>
    <row r="1004" spans="3:16" x14ac:dyDescent="0.2">
      <c r="C1004" s="46"/>
      <c r="D1004" s="47"/>
      <c r="E1004" s="47"/>
      <c r="F1004" s="47"/>
      <c r="G1004" s="47"/>
      <c r="H1004" s="47"/>
      <c r="I1004" s="47"/>
      <c r="L1004" s="46"/>
      <c r="M1004" s="47"/>
      <c r="N1004" s="47"/>
      <c r="O1004" s="47"/>
      <c r="P1004" s="47"/>
    </row>
    <row r="1005" spans="3:16" x14ac:dyDescent="0.2">
      <c r="C1005" s="46"/>
      <c r="D1005" s="47"/>
      <c r="E1005" s="47"/>
      <c r="F1005" s="47"/>
      <c r="G1005" s="47"/>
      <c r="H1005" s="47"/>
      <c r="I1005" s="47"/>
      <c r="L1005" s="46"/>
      <c r="M1005" s="47"/>
      <c r="N1005" s="47"/>
      <c r="O1005" s="47"/>
      <c r="P1005" s="47"/>
    </row>
    <row r="1006" spans="3:16" x14ac:dyDescent="0.2">
      <c r="C1006" s="46"/>
      <c r="D1006" s="47"/>
      <c r="E1006" s="47"/>
      <c r="F1006" s="47"/>
      <c r="G1006" s="47"/>
      <c r="H1006" s="47"/>
      <c r="I1006" s="47"/>
      <c r="L1006" s="46"/>
      <c r="M1006" s="47"/>
      <c r="N1006" s="47"/>
      <c r="O1006" s="47"/>
      <c r="P1006" s="47"/>
    </row>
    <row r="1007" spans="3:16" x14ac:dyDescent="0.2">
      <c r="C1007" s="46"/>
      <c r="D1007" s="47"/>
      <c r="E1007" s="47"/>
      <c r="F1007" s="47"/>
      <c r="G1007" s="47"/>
      <c r="H1007" s="47"/>
      <c r="I1007" s="47"/>
      <c r="L1007" s="46"/>
      <c r="M1007" s="47"/>
      <c r="N1007" s="47"/>
      <c r="O1007" s="47"/>
      <c r="P1007" s="47"/>
    </row>
    <row r="1008" spans="3:16" x14ac:dyDescent="0.2">
      <c r="C1008" s="46"/>
      <c r="D1008" s="47"/>
      <c r="E1008" s="47"/>
      <c r="F1008" s="47"/>
      <c r="G1008" s="47"/>
      <c r="H1008" s="47"/>
      <c r="I1008" s="47"/>
      <c r="L1008" s="46"/>
      <c r="M1008" s="47"/>
      <c r="N1008" s="47"/>
      <c r="O1008" s="47"/>
      <c r="P1008" s="47"/>
    </row>
    <row r="1009" spans="3:16" x14ac:dyDescent="0.2">
      <c r="C1009" s="46"/>
      <c r="D1009" s="47"/>
      <c r="E1009" s="47"/>
      <c r="F1009" s="47"/>
      <c r="G1009" s="47"/>
      <c r="H1009" s="47"/>
      <c r="I1009" s="47"/>
      <c r="L1009" s="46"/>
      <c r="M1009" s="47"/>
      <c r="N1009" s="47"/>
      <c r="O1009" s="47"/>
      <c r="P1009" s="47"/>
    </row>
    <row r="1010" spans="3:16" x14ac:dyDescent="0.2">
      <c r="C1010" s="46"/>
      <c r="D1010" s="47"/>
      <c r="E1010" s="47"/>
      <c r="F1010" s="47"/>
      <c r="G1010" s="47"/>
      <c r="H1010" s="47"/>
      <c r="I1010" s="47"/>
      <c r="L1010" s="46"/>
      <c r="M1010" s="47"/>
      <c r="N1010" s="47"/>
      <c r="O1010" s="47"/>
      <c r="P1010" s="47"/>
    </row>
    <row r="1011" spans="3:16" x14ac:dyDescent="0.2">
      <c r="C1011" s="46"/>
      <c r="D1011" s="47"/>
      <c r="E1011" s="47"/>
      <c r="F1011" s="47"/>
      <c r="G1011" s="47"/>
      <c r="H1011" s="47"/>
      <c r="I1011" s="47"/>
      <c r="L1011" s="46"/>
      <c r="M1011" s="47"/>
      <c r="N1011" s="47"/>
      <c r="O1011" s="47"/>
      <c r="P1011" s="47"/>
    </row>
    <row r="1012" spans="3:16" x14ac:dyDescent="0.2">
      <c r="C1012" s="46"/>
      <c r="D1012" s="47"/>
      <c r="E1012" s="47"/>
      <c r="F1012" s="47"/>
      <c r="G1012" s="47"/>
      <c r="H1012" s="47"/>
      <c r="I1012" s="47"/>
      <c r="L1012" s="46"/>
      <c r="M1012" s="47"/>
      <c r="N1012" s="47"/>
      <c r="O1012" s="47"/>
      <c r="P1012" s="47"/>
    </row>
    <row r="1013" spans="3:16" x14ac:dyDescent="0.2">
      <c r="C1013" s="46"/>
      <c r="D1013" s="47"/>
      <c r="E1013" s="47"/>
      <c r="F1013" s="47"/>
      <c r="G1013" s="47"/>
      <c r="H1013" s="47"/>
      <c r="I1013" s="47"/>
      <c r="L1013" s="46"/>
      <c r="M1013" s="47"/>
      <c r="N1013" s="47"/>
      <c r="O1013" s="47"/>
      <c r="P1013" s="47"/>
    </row>
    <row r="1014" spans="3:16" x14ac:dyDescent="0.2">
      <c r="C1014" s="46"/>
      <c r="D1014" s="47"/>
      <c r="E1014" s="47"/>
      <c r="F1014" s="47"/>
      <c r="G1014" s="47"/>
      <c r="H1014" s="47"/>
      <c r="I1014" s="47"/>
      <c r="L1014" s="46"/>
      <c r="M1014" s="47"/>
      <c r="N1014" s="47"/>
      <c r="O1014" s="47"/>
      <c r="P1014" s="47"/>
    </row>
    <row r="1015" spans="3:16" x14ac:dyDescent="0.2">
      <c r="C1015" s="46"/>
      <c r="D1015" s="47"/>
      <c r="E1015" s="47"/>
      <c r="F1015" s="47"/>
      <c r="G1015" s="47"/>
      <c r="H1015" s="47"/>
      <c r="I1015" s="47"/>
      <c r="L1015" s="46"/>
      <c r="M1015" s="47"/>
      <c r="N1015" s="47"/>
      <c r="O1015" s="47"/>
      <c r="P1015" s="47"/>
    </row>
    <row r="1016" spans="3:16" x14ac:dyDescent="0.2">
      <c r="C1016" s="46"/>
      <c r="D1016" s="47"/>
      <c r="E1016" s="47"/>
      <c r="F1016" s="47"/>
      <c r="G1016" s="47"/>
      <c r="H1016" s="47"/>
      <c r="I1016" s="47"/>
      <c r="L1016" s="46"/>
      <c r="M1016" s="47"/>
      <c r="N1016" s="47"/>
      <c r="O1016" s="47"/>
      <c r="P1016" s="47"/>
    </row>
    <row r="1017" spans="3:16" x14ac:dyDescent="0.2">
      <c r="C1017" s="46"/>
      <c r="D1017" s="47"/>
      <c r="E1017" s="47"/>
      <c r="F1017" s="47"/>
      <c r="G1017" s="47"/>
      <c r="H1017" s="47"/>
      <c r="I1017" s="47"/>
      <c r="L1017" s="46"/>
      <c r="M1017" s="47"/>
      <c r="N1017" s="47"/>
      <c r="O1017" s="47"/>
      <c r="P1017" s="47"/>
    </row>
    <row r="1018" spans="3:16" x14ac:dyDescent="0.2">
      <c r="C1018" s="46"/>
      <c r="D1018" s="47"/>
      <c r="E1018" s="47"/>
      <c r="F1018" s="47"/>
      <c r="G1018" s="47"/>
      <c r="H1018" s="47"/>
      <c r="I1018" s="47"/>
      <c r="L1018" s="46"/>
      <c r="M1018" s="47"/>
      <c r="N1018" s="47"/>
      <c r="O1018" s="47"/>
      <c r="P1018" s="47"/>
    </row>
    <row r="1019" spans="3:16" x14ac:dyDescent="0.2">
      <c r="C1019" s="46"/>
      <c r="D1019" s="47"/>
      <c r="E1019" s="47"/>
      <c r="F1019" s="47"/>
      <c r="G1019" s="47"/>
      <c r="H1019" s="47"/>
      <c r="I1019" s="47"/>
      <c r="L1019" s="46"/>
      <c r="M1019" s="47"/>
      <c r="N1019" s="47"/>
      <c r="O1019" s="47"/>
      <c r="P1019" s="47"/>
    </row>
    <row r="1020" spans="3:16" x14ac:dyDescent="0.2">
      <c r="C1020" s="46"/>
      <c r="D1020" s="47"/>
      <c r="E1020" s="47"/>
      <c r="F1020" s="47"/>
      <c r="G1020" s="47"/>
      <c r="H1020" s="47"/>
      <c r="I1020" s="47"/>
      <c r="L1020" s="46"/>
      <c r="M1020" s="47"/>
      <c r="N1020" s="47"/>
      <c r="O1020" s="47"/>
      <c r="P1020" s="47"/>
    </row>
    <row r="1021" spans="3:16" x14ac:dyDescent="0.2">
      <c r="C1021" s="46"/>
      <c r="D1021" s="47"/>
      <c r="E1021" s="47"/>
      <c r="F1021" s="47"/>
      <c r="G1021" s="47"/>
      <c r="H1021" s="47"/>
      <c r="I1021" s="47"/>
      <c r="L1021" s="46"/>
      <c r="M1021" s="47"/>
      <c r="N1021" s="47"/>
      <c r="O1021" s="47"/>
      <c r="P1021" s="47"/>
    </row>
    <row r="1022" spans="3:16" x14ac:dyDescent="0.2">
      <c r="C1022" s="46"/>
      <c r="D1022" s="47"/>
      <c r="E1022" s="47"/>
      <c r="F1022" s="47"/>
      <c r="G1022" s="47"/>
      <c r="H1022" s="47"/>
      <c r="I1022" s="47"/>
      <c r="L1022" s="46"/>
      <c r="M1022" s="47"/>
      <c r="N1022" s="47"/>
      <c r="O1022" s="47"/>
      <c r="P1022" s="47"/>
    </row>
    <row r="1023" spans="3:16" x14ac:dyDescent="0.2">
      <c r="C1023" s="46"/>
      <c r="D1023" s="47"/>
      <c r="E1023" s="47"/>
      <c r="F1023" s="47"/>
      <c r="G1023" s="47"/>
      <c r="H1023" s="47"/>
      <c r="I1023" s="47"/>
      <c r="L1023" s="46"/>
      <c r="M1023" s="47"/>
      <c r="N1023" s="47"/>
      <c r="O1023" s="47"/>
      <c r="P1023" s="47"/>
    </row>
    <row r="1024" spans="3:16" x14ac:dyDescent="0.2">
      <c r="C1024" s="46"/>
      <c r="D1024" s="47"/>
      <c r="E1024" s="47"/>
      <c r="F1024" s="47"/>
      <c r="G1024" s="47"/>
      <c r="H1024" s="47"/>
      <c r="I1024" s="47"/>
      <c r="L1024" s="46"/>
      <c r="M1024" s="47"/>
      <c r="N1024" s="47"/>
      <c r="O1024" s="47"/>
      <c r="P1024" s="47"/>
    </row>
    <row r="1025" spans="3:16" x14ac:dyDescent="0.2">
      <c r="C1025" s="46"/>
      <c r="D1025" s="47"/>
      <c r="E1025" s="47"/>
      <c r="F1025" s="47"/>
      <c r="G1025" s="47"/>
      <c r="H1025" s="47"/>
      <c r="I1025" s="47"/>
      <c r="L1025" s="46"/>
      <c r="M1025" s="47"/>
      <c r="N1025" s="47"/>
      <c r="O1025" s="47"/>
      <c r="P1025" s="47"/>
    </row>
    <row r="1026" spans="3:16" x14ac:dyDescent="0.2">
      <c r="C1026" s="46"/>
      <c r="D1026" s="47"/>
      <c r="E1026" s="47"/>
      <c r="F1026" s="47"/>
      <c r="G1026" s="47"/>
      <c r="H1026" s="47"/>
      <c r="I1026" s="47"/>
      <c r="L1026" s="46"/>
      <c r="M1026" s="47"/>
      <c r="N1026" s="47"/>
      <c r="O1026" s="47"/>
      <c r="P1026" s="47"/>
    </row>
    <row r="1027" spans="3:16" x14ac:dyDescent="0.2">
      <c r="C1027" s="46"/>
      <c r="D1027" s="47"/>
      <c r="E1027" s="47"/>
      <c r="F1027" s="47"/>
      <c r="G1027" s="47"/>
      <c r="H1027" s="47"/>
      <c r="I1027" s="47"/>
      <c r="L1027" s="46"/>
      <c r="M1027" s="47"/>
      <c r="N1027" s="47"/>
      <c r="O1027" s="47"/>
      <c r="P1027" s="47"/>
    </row>
    <row r="1028" spans="3:16" x14ac:dyDescent="0.2">
      <c r="C1028" s="46"/>
      <c r="D1028" s="47"/>
      <c r="E1028" s="47"/>
      <c r="F1028" s="47"/>
      <c r="G1028" s="47"/>
      <c r="H1028" s="47"/>
      <c r="I1028" s="47"/>
      <c r="L1028" s="46"/>
      <c r="M1028" s="47"/>
      <c r="N1028" s="47"/>
      <c r="O1028" s="47"/>
      <c r="P1028" s="47"/>
    </row>
    <row r="1029" spans="3:16" x14ac:dyDescent="0.2">
      <c r="C1029" s="46"/>
      <c r="D1029" s="47"/>
      <c r="E1029" s="47"/>
      <c r="F1029" s="47"/>
      <c r="G1029" s="47"/>
      <c r="H1029" s="47"/>
      <c r="I1029" s="47"/>
      <c r="L1029" s="46"/>
      <c r="M1029" s="47"/>
      <c r="N1029" s="47"/>
      <c r="O1029" s="47"/>
      <c r="P1029" s="47"/>
    </row>
    <row r="1030" spans="3:16" x14ac:dyDescent="0.2">
      <c r="C1030" s="46"/>
      <c r="D1030" s="47"/>
      <c r="E1030" s="47"/>
      <c r="F1030" s="47"/>
      <c r="G1030" s="47"/>
      <c r="H1030" s="47"/>
      <c r="I1030" s="47"/>
      <c r="L1030" s="46"/>
      <c r="M1030" s="47"/>
      <c r="N1030" s="47"/>
      <c r="O1030" s="47"/>
      <c r="P1030" s="47"/>
    </row>
    <row r="1031" spans="3:16" x14ac:dyDescent="0.2">
      <c r="C1031" s="46"/>
      <c r="D1031" s="47"/>
      <c r="E1031" s="47"/>
      <c r="F1031" s="47"/>
      <c r="G1031" s="47"/>
      <c r="H1031" s="47"/>
      <c r="I1031" s="47"/>
      <c r="L1031" s="46"/>
      <c r="M1031" s="47"/>
      <c r="N1031" s="47"/>
      <c r="O1031" s="47"/>
      <c r="P1031" s="47"/>
    </row>
    <row r="1032" spans="3:16" x14ac:dyDescent="0.2">
      <c r="C1032" s="46"/>
      <c r="D1032" s="47"/>
      <c r="E1032" s="47"/>
      <c r="F1032" s="47"/>
      <c r="G1032" s="47"/>
      <c r="H1032" s="47"/>
      <c r="I1032" s="47"/>
      <c r="L1032" s="46"/>
      <c r="M1032" s="47"/>
      <c r="N1032" s="47"/>
      <c r="O1032" s="47"/>
      <c r="P1032" s="47"/>
    </row>
    <row r="1033" spans="3:16" x14ac:dyDescent="0.2">
      <c r="C1033" s="46"/>
      <c r="D1033" s="47"/>
      <c r="E1033" s="47"/>
      <c r="F1033" s="47"/>
      <c r="G1033" s="47"/>
      <c r="H1033" s="47"/>
      <c r="I1033" s="47"/>
      <c r="L1033" s="46"/>
      <c r="M1033" s="47"/>
      <c r="N1033" s="47"/>
      <c r="O1033" s="47"/>
      <c r="P1033" s="47"/>
    </row>
    <row r="1034" spans="3:16" x14ac:dyDescent="0.2">
      <c r="C1034" s="46"/>
      <c r="D1034" s="47"/>
      <c r="E1034" s="47"/>
      <c r="F1034" s="47"/>
      <c r="G1034" s="47"/>
      <c r="H1034" s="47"/>
      <c r="I1034" s="47"/>
      <c r="L1034" s="46"/>
      <c r="M1034" s="47"/>
      <c r="N1034" s="47"/>
      <c r="O1034" s="47"/>
      <c r="P1034" s="47"/>
    </row>
    <row r="1035" spans="3:16" x14ac:dyDescent="0.2">
      <c r="C1035" s="46"/>
      <c r="D1035" s="47"/>
      <c r="E1035" s="47"/>
      <c r="F1035" s="47"/>
      <c r="G1035" s="47"/>
      <c r="H1035" s="47"/>
      <c r="I1035" s="47"/>
      <c r="L1035" s="46"/>
      <c r="M1035" s="47"/>
      <c r="N1035" s="47"/>
      <c r="O1035" s="47"/>
      <c r="P1035" s="47"/>
    </row>
    <row r="1036" spans="3:16" x14ac:dyDescent="0.2">
      <c r="C1036" s="46"/>
      <c r="D1036" s="47"/>
      <c r="E1036" s="47"/>
      <c r="F1036" s="47"/>
      <c r="G1036" s="47"/>
      <c r="H1036" s="47"/>
      <c r="I1036" s="47"/>
      <c r="L1036" s="46"/>
      <c r="M1036" s="47"/>
      <c r="N1036" s="47"/>
      <c r="O1036" s="47"/>
      <c r="P1036" s="47"/>
    </row>
    <row r="1037" spans="3:16" x14ac:dyDescent="0.2">
      <c r="C1037" s="46"/>
      <c r="D1037" s="47"/>
      <c r="E1037" s="47"/>
      <c r="F1037" s="47"/>
      <c r="G1037" s="47"/>
      <c r="H1037" s="47"/>
      <c r="I1037" s="47"/>
      <c r="L1037" s="46"/>
      <c r="M1037" s="47"/>
      <c r="N1037" s="47"/>
      <c r="O1037" s="47"/>
      <c r="P1037" s="47"/>
    </row>
    <row r="1038" spans="3:16" x14ac:dyDescent="0.2">
      <c r="C1038" s="46"/>
      <c r="D1038" s="47"/>
      <c r="E1038" s="47"/>
      <c r="F1038" s="47"/>
      <c r="G1038" s="47"/>
      <c r="H1038" s="47"/>
      <c r="I1038" s="47"/>
      <c r="L1038" s="46"/>
      <c r="M1038" s="47"/>
      <c r="N1038" s="47"/>
      <c r="O1038" s="47"/>
      <c r="P1038" s="47"/>
    </row>
    <row r="1039" spans="3:16" x14ac:dyDescent="0.2">
      <c r="C1039" s="46"/>
      <c r="D1039" s="47"/>
      <c r="E1039" s="47"/>
      <c r="F1039" s="47"/>
      <c r="G1039" s="47"/>
      <c r="H1039" s="47"/>
      <c r="I1039" s="47"/>
      <c r="L1039" s="46"/>
      <c r="M1039" s="47"/>
      <c r="N1039" s="47"/>
      <c r="O1039" s="47"/>
      <c r="P1039" s="47"/>
    </row>
    <row r="1040" spans="3:16" x14ac:dyDescent="0.2">
      <c r="C1040" s="46"/>
      <c r="D1040" s="47"/>
      <c r="E1040" s="47"/>
      <c r="F1040" s="47"/>
      <c r="G1040" s="47"/>
      <c r="H1040" s="47"/>
      <c r="I1040" s="47"/>
      <c r="L1040" s="46"/>
      <c r="M1040" s="47"/>
      <c r="N1040" s="47"/>
      <c r="O1040" s="47"/>
      <c r="P1040" s="47"/>
    </row>
    <row r="1041" spans="3:16" x14ac:dyDescent="0.2">
      <c r="C1041" s="46"/>
      <c r="D1041" s="47"/>
      <c r="E1041" s="47"/>
      <c r="F1041" s="47"/>
      <c r="G1041" s="47"/>
      <c r="H1041" s="47"/>
      <c r="I1041" s="47"/>
      <c r="L1041" s="46"/>
      <c r="M1041" s="47"/>
      <c r="N1041" s="47"/>
      <c r="O1041" s="47"/>
      <c r="P1041" s="47"/>
    </row>
    <row r="1042" spans="3:16" x14ac:dyDescent="0.2">
      <c r="C1042" s="46"/>
      <c r="D1042" s="47"/>
      <c r="E1042" s="47"/>
      <c r="F1042" s="47"/>
      <c r="G1042" s="47"/>
      <c r="H1042" s="47"/>
      <c r="I1042" s="47"/>
      <c r="L1042" s="46"/>
      <c r="M1042" s="47"/>
      <c r="N1042" s="47"/>
      <c r="O1042" s="47"/>
      <c r="P1042" s="47"/>
    </row>
    <row r="1043" spans="3:16" x14ac:dyDescent="0.2">
      <c r="C1043" s="46"/>
      <c r="D1043" s="47"/>
      <c r="E1043" s="47"/>
      <c r="F1043" s="47"/>
      <c r="G1043" s="47"/>
      <c r="H1043" s="47"/>
      <c r="I1043" s="47"/>
      <c r="L1043" s="46"/>
      <c r="M1043" s="47"/>
      <c r="N1043" s="47"/>
      <c r="O1043" s="47"/>
      <c r="P1043" s="47"/>
    </row>
    <row r="1044" spans="3:16" x14ac:dyDescent="0.2">
      <c r="C1044" s="46"/>
      <c r="D1044" s="47"/>
      <c r="E1044" s="47"/>
      <c r="F1044" s="47"/>
      <c r="G1044" s="47"/>
      <c r="H1044" s="47"/>
      <c r="I1044" s="47"/>
      <c r="L1044" s="46"/>
      <c r="M1044" s="47"/>
      <c r="N1044" s="47"/>
      <c r="O1044" s="47"/>
      <c r="P1044" s="47"/>
    </row>
    <row r="1045" spans="3:16" x14ac:dyDescent="0.2">
      <c r="C1045" s="46"/>
      <c r="D1045" s="47"/>
      <c r="E1045" s="47"/>
      <c r="F1045" s="47"/>
      <c r="G1045" s="47"/>
      <c r="H1045" s="47"/>
      <c r="I1045" s="47"/>
      <c r="L1045" s="46"/>
      <c r="M1045" s="47"/>
      <c r="N1045" s="47"/>
      <c r="O1045" s="47"/>
      <c r="P1045" s="47"/>
    </row>
    <row r="1046" spans="3:16" x14ac:dyDescent="0.2">
      <c r="C1046" s="46"/>
      <c r="D1046" s="47"/>
      <c r="E1046" s="47"/>
      <c r="F1046" s="47"/>
      <c r="G1046" s="47"/>
      <c r="H1046" s="47"/>
      <c r="I1046" s="47"/>
      <c r="L1046" s="46"/>
      <c r="M1046" s="47"/>
      <c r="N1046" s="47"/>
      <c r="O1046" s="47"/>
      <c r="P1046" s="47"/>
    </row>
    <row r="1047" spans="3:16" x14ac:dyDescent="0.2">
      <c r="C1047" s="46"/>
      <c r="D1047" s="47"/>
      <c r="E1047" s="47"/>
      <c r="F1047" s="47"/>
      <c r="G1047" s="47"/>
      <c r="H1047" s="47"/>
      <c r="I1047" s="47"/>
      <c r="L1047" s="46"/>
      <c r="M1047" s="47"/>
      <c r="N1047" s="47"/>
      <c r="O1047" s="47"/>
      <c r="P1047" s="47"/>
    </row>
    <row r="1048" spans="3:16" x14ac:dyDescent="0.2">
      <c r="C1048" s="46"/>
      <c r="D1048" s="47"/>
      <c r="E1048" s="47"/>
      <c r="F1048" s="47"/>
      <c r="G1048" s="47"/>
      <c r="H1048" s="47"/>
      <c r="I1048" s="47"/>
      <c r="L1048" s="46"/>
      <c r="M1048" s="47"/>
      <c r="N1048" s="47"/>
      <c r="O1048" s="47"/>
      <c r="P1048" s="47"/>
    </row>
    <row r="1049" spans="3:16" x14ac:dyDescent="0.2">
      <c r="C1049" s="46"/>
      <c r="D1049" s="47"/>
      <c r="E1049" s="47"/>
      <c r="F1049" s="47"/>
      <c r="G1049" s="47"/>
      <c r="H1049" s="47"/>
      <c r="I1049" s="47"/>
      <c r="L1049" s="46"/>
      <c r="M1049" s="47"/>
      <c r="N1049" s="47"/>
      <c r="O1049" s="47"/>
      <c r="P1049" s="47"/>
    </row>
    <row r="1050" spans="3:16" x14ac:dyDescent="0.2">
      <c r="C1050" s="46"/>
      <c r="D1050" s="47"/>
      <c r="E1050" s="47"/>
      <c r="F1050" s="47"/>
      <c r="G1050" s="47"/>
      <c r="H1050" s="47"/>
      <c r="I1050" s="47"/>
      <c r="L1050" s="46"/>
      <c r="M1050" s="47"/>
      <c r="N1050" s="47"/>
      <c r="O1050" s="47"/>
      <c r="P1050" s="47"/>
    </row>
    <row r="1051" spans="3:16" x14ac:dyDescent="0.2">
      <c r="C1051" s="46"/>
      <c r="D1051" s="47"/>
      <c r="E1051" s="47"/>
      <c r="F1051" s="47"/>
      <c r="G1051" s="47"/>
      <c r="H1051" s="47"/>
      <c r="I1051" s="47"/>
      <c r="L1051" s="46"/>
      <c r="M1051" s="47"/>
      <c r="N1051" s="47"/>
      <c r="O1051" s="47"/>
      <c r="P1051" s="47"/>
    </row>
    <row r="1052" spans="3:16" x14ac:dyDescent="0.2">
      <c r="C1052" s="46"/>
      <c r="D1052" s="47"/>
      <c r="E1052" s="47"/>
      <c r="F1052" s="47"/>
      <c r="G1052" s="47"/>
      <c r="H1052" s="47"/>
      <c r="I1052" s="47"/>
      <c r="L1052" s="46"/>
      <c r="M1052" s="47"/>
      <c r="N1052" s="47"/>
      <c r="O1052" s="47"/>
      <c r="P1052" s="47"/>
    </row>
    <row r="1053" spans="3:16" x14ac:dyDescent="0.2">
      <c r="C1053" s="46"/>
      <c r="D1053" s="47"/>
      <c r="E1053" s="47"/>
      <c r="F1053" s="47"/>
      <c r="G1053" s="47"/>
      <c r="H1053" s="47"/>
      <c r="I1053" s="47"/>
      <c r="L1053" s="46"/>
      <c r="M1053" s="47"/>
      <c r="N1053" s="47"/>
      <c r="O1053" s="47"/>
      <c r="P1053" s="47"/>
    </row>
    <row r="1054" spans="3:16" x14ac:dyDescent="0.2">
      <c r="C1054" s="46"/>
      <c r="D1054" s="47"/>
      <c r="E1054" s="47"/>
      <c r="F1054" s="47"/>
      <c r="G1054" s="47"/>
      <c r="H1054" s="47"/>
      <c r="I1054" s="47"/>
      <c r="L1054" s="46"/>
      <c r="M1054" s="47"/>
      <c r="N1054" s="47"/>
      <c r="O1054" s="47"/>
      <c r="P1054" s="47"/>
    </row>
    <row r="1055" spans="3:16" x14ac:dyDescent="0.2">
      <c r="C1055" s="46"/>
      <c r="D1055" s="47"/>
      <c r="E1055" s="47"/>
      <c r="F1055" s="47"/>
      <c r="G1055" s="47"/>
      <c r="H1055" s="47"/>
      <c r="I1055" s="47"/>
      <c r="L1055" s="46"/>
      <c r="M1055" s="47"/>
      <c r="N1055" s="47"/>
      <c r="O1055" s="47"/>
      <c r="P1055" s="47"/>
    </row>
    <row r="1056" spans="3:16" x14ac:dyDescent="0.2">
      <c r="C1056" s="46"/>
      <c r="D1056" s="47"/>
      <c r="E1056" s="47"/>
      <c r="F1056" s="47"/>
      <c r="G1056" s="47"/>
      <c r="H1056" s="47"/>
      <c r="I1056" s="47"/>
      <c r="L1056" s="46"/>
      <c r="M1056" s="47"/>
      <c r="N1056" s="47"/>
      <c r="O1056" s="47"/>
      <c r="P1056" s="47"/>
    </row>
    <row r="1057" spans="3:16" x14ac:dyDescent="0.2">
      <c r="C1057" s="46"/>
      <c r="D1057" s="47"/>
      <c r="E1057" s="47"/>
      <c r="F1057" s="47"/>
      <c r="G1057" s="47"/>
      <c r="H1057" s="47"/>
      <c r="I1057" s="47"/>
      <c r="L1057" s="46"/>
      <c r="M1057" s="47"/>
      <c r="N1057" s="47"/>
      <c r="O1057" s="47"/>
      <c r="P1057" s="47"/>
    </row>
    <row r="1058" spans="3:16" x14ac:dyDescent="0.2">
      <c r="C1058" s="46"/>
      <c r="D1058" s="47"/>
      <c r="E1058" s="47"/>
      <c r="F1058" s="47"/>
      <c r="G1058" s="47"/>
      <c r="H1058" s="47"/>
      <c r="I1058" s="47"/>
      <c r="L1058" s="46"/>
      <c r="M1058" s="47"/>
      <c r="N1058" s="47"/>
      <c r="O1058" s="47"/>
      <c r="P1058" s="47"/>
    </row>
    <row r="1059" spans="3:16" x14ac:dyDescent="0.2">
      <c r="C1059" s="46"/>
      <c r="D1059" s="47"/>
      <c r="E1059" s="47"/>
      <c r="F1059" s="47"/>
      <c r="G1059" s="47"/>
      <c r="H1059" s="47"/>
      <c r="I1059" s="47"/>
      <c r="L1059" s="46"/>
      <c r="M1059" s="47"/>
      <c r="N1059" s="47"/>
      <c r="O1059" s="47"/>
      <c r="P1059" s="47"/>
    </row>
    <row r="1060" spans="3:16" x14ac:dyDescent="0.2">
      <c r="C1060" s="46"/>
      <c r="D1060" s="47"/>
      <c r="E1060" s="47"/>
      <c r="F1060" s="47"/>
      <c r="G1060" s="47"/>
      <c r="H1060" s="47"/>
      <c r="I1060" s="47"/>
      <c r="L1060" s="46"/>
      <c r="M1060" s="47"/>
      <c r="N1060" s="47"/>
      <c r="O1060" s="47"/>
      <c r="P1060" s="47"/>
    </row>
    <row r="1061" spans="3:16" x14ac:dyDescent="0.2">
      <c r="C1061" s="46"/>
      <c r="D1061" s="47"/>
      <c r="E1061" s="47"/>
      <c r="F1061" s="47"/>
      <c r="G1061" s="47"/>
      <c r="H1061" s="47"/>
      <c r="I1061" s="47"/>
      <c r="L1061" s="46"/>
      <c r="M1061" s="47"/>
      <c r="N1061" s="47"/>
      <c r="O1061" s="47"/>
      <c r="P1061" s="47"/>
    </row>
    <row r="1062" spans="3:16" x14ac:dyDescent="0.2">
      <c r="C1062" s="46"/>
      <c r="D1062" s="47"/>
      <c r="E1062" s="47"/>
      <c r="F1062" s="47"/>
      <c r="G1062" s="47"/>
      <c r="H1062" s="47"/>
      <c r="I1062" s="47"/>
      <c r="L1062" s="46"/>
      <c r="M1062" s="47"/>
      <c r="N1062" s="47"/>
      <c r="O1062" s="47"/>
      <c r="P1062" s="47"/>
    </row>
    <row r="1063" spans="3:16" x14ac:dyDescent="0.2">
      <c r="C1063" s="46"/>
      <c r="D1063" s="47"/>
      <c r="E1063" s="47"/>
      <c r="F1063" s="47"/>
      <c r="G1063" s="47"/>
      <c r="H1063" s="47"/>
      <c r="I1063" s="47"/>
      <c r="L1063" s="46"/>
      <c r="M1063" s="47"/>
      <c r="N1063" s="47"/>
      <c r="O1063" s="47"/>
      <c r="P1063" s="47"/>
    </row>
    <row r="1064" spans="3:16" x14ac:dyDescent="0.2">
      <c r="C1064" s="46"/>
      <c r="D1064" s="47"/>
      <c r="E1064" s="47"/>
      <c r="F1064" s="47"/>
      <c r="G1064" s="47"/>
      <c r="H1064" s="47"/>
      <c r="I1064" s="47"/>
      <c r="L1064" s="46"/>
      <c r="M1064" s="47"/>
      <c r="N1064" s="47"/>
      <c r="O1064" s="47"/>
      <c r="P1064" s="47"/>
    </row>
    <row r="1065" spans="3:16" x14ac:dyDescent="0.2">
      <c r="C1065" s="46"/>
      <c r="D1065" s="47"/>
      <c r="E1065" s="47"/>
      <c r="F1065" s="47"/>
      <c r="G1065" s="47"/>
      <c r="H1065" s="47"/>
      <c r="I1065" s="47"/>
      <c r="L1065" s="46"/>
      <c r="M1065" s="47"/>
      <c r="N1065" s="47"/>
      <c r="O1065" s="47"/>
      <c r="P1065" s="47"/>
    </row>
    <row r="1066" spans="3:16" x14ac:dyDescent="0.2">
      <c r="C1066" s="46"/>
      <c r="D1066" s="47"/>
      <c r="E1066" s="47"/>
      <c r="F1066" s="47"/>
      <c r="G1066" s="47"/>
      <c r="H1066" s="47"/>
      <c r="I1066" s="47"/>
      <c r="L1066" s="46"/>
      <c r="M1066" s="47"/>
      <c r="N1066" s="47"/>
      <c r="O1066" s="47"/>
      <c r="P1066" s="47"/>
    </row>
    <row r="1067" spans="3:16" x14ac:dyDescent="0.2">
      <c r="C1067" s="46"/>
      <c r="D1067" s="47"/>
      <c r="E1067" s="47"/>
      <c r="F1067" s="47"/>
      <c r="G1067" s="47"/>
      <c r="H1067" s="47"/>
      <c r="I1067" s="47"/>
      <c r="L1067" s="46"/>
      <c r="M1067" s="47"/>
      <c r="N1067" s="47"/>
      <c r="O1067" s="47"/>
      <c r="P1067" s="47"/>
    </row>
    <row r="1068" spans="3:16" x14ac:dyDescent="0.2">
      <c r="C1068" s="46"/>
      <c r="D1068" s="47"/>
      <c r="E1068" s="47"/>
      <c r="F1068" s="47"/>
      <c r="G1068" s="47"/>
      <c r="H1068" s="47"/>
      <c r="I1068" s="47"/>
      <c r="L1068" s="46"/>
      <c r="M1068" s="47"/>
      <c r="N1068" s="47"/>
      <c r="O1068" s="47"/>
      <c r="P1068" s="47"/>
    </row>
    <row r="1069" spans="3:16" x14ac:dyDescent="0.2">
      <c r="C1069" s="46"/>
      <c r="D1069" s="47"/>
      <c r="E1069" s="47"/>
      <c r="F1069" s="47"/>
      <c r="G1069" s="47"/>
      <c r="H1069" s="47"/>
      <c r="I1069" s="47"/>
      <c r="L1069" s="46"/>
      <c r="M1069" s="47"/>
      <c r="N1069" s="47"/>
      <c r="O1069" s="47"/>
      <c r="P1069" s="47"/>
    </row>
    <row r="1070" spans="3:16" x14ac:dyDescent="0.2">
      <c r="C1070" s="46"/>
      <c r="D1070" s="47"/>
      <c r="E1070" s="47"/>
      <c r="F1070" s="47"/>
      <c r="G1070" s="47"/>
      <c r="H1070" s="47"/>
      <c r="I1070" s="47"/>
      <c r="L1070" s="46"/>
      <c r="M1070" s="47"/>
      <c r="N1070" s="47"/>
      <c r="O1070" s="47"/>
      <c r="P1070" s="47"/>
    </row>
    <row r="1071" spans="3:16" x14ac:dyDescent="0.2">
      <c r="C1071" s="46"/>
      <c r="D1071" s="47"/>
      <c r="E1071" s="47"/>
      <c r="F1071" s="47"/>
      <c r="G1071" s="47"/>
      <c r="H1071" s="47"/>
      <c r="I1071" s="47"/>
      <c r="L1071" s="46"/>
      <c r="M1071" s="47"/>
      <c r="N1071" s="47"/>
      <c r="O1071" s="47"/>
      <c r="P1071" s="47"/>
    </row>
    <row r="1072" spans="3:16" x14ac:dyDescent="0.2">
      <c r="C1072" s="46"/>
      <c r="D1072" s="47"/>
      <c r="E1072" s="47"/>
      <c r="F1072" s="47"/>
      <c r="G1072" s="47"/>
      <c r="H1072" s="47"/>
      <c r="I1072" s="47"/>
      <c r="L1072" s="46"/>
      <c r="M1072" s="47"/>
      <c r="N1072" s="47"/>
      <c r="O1072" s="47"/>
      <c r="P1072" s="47"/>
    </row>
    <row r="1073" spans="3:16" x14ac:dyDescent="0.2">
      <c r="C1073" s="46"/>
      <c r="D1073" s="47"/>
      <c r="E1073" s="47"/>
      <c r="F1073" s="47"/>
      <c r="G1073" s="47"/>
      <c r="H1073" s="47"/>
      <c r="I1073" s="47"/>
      <c r="L1073" s="46"/>
      <c r="M1073" s="47"/>
      <c r="N1073" s="47"/>
      <c r="O1073" s="47"/>
      <c r="P1073" s="47"/>
    </row>
    <row r="1074" spans="3:16" x14ac:dyDescent="0.2">
      <c r="C1074" s="46"/>
      <c r="D1074" s="47"/>
      <c r="E1074" s="47"/>
      <c r="F1074" s="47"/>
      <c r="G1074" s="47"/>
      <c r="H1074" s="47"/>
      <c r="I1074" s="47"/>
      <c r="L1074" s="46"/>
      <c r="M1074" s="47"/>
      <c r="N1074" s="47"/>
      <c r="O1074" s="47"/>
      <c r="P1074" s="47"/>
    </row>
    <row r="1075" spans="3:16" x14ac:dyDescent="0.2">
      <c r="C1075" s="46"/>
      <c r="D1075" s="47"/>
      <c r="E1075" s="47"/>
      <c r="F1075" s="47"/>
      <c r="G1075" s="47"/>
      <c r="H1075" s="47"/>
      <c r="I1075" s="47"/>
      <c r="L1075" s="46"/>
      <c r="M1075" s="47"/>
      <c r="N1075" s="47"/>
      <c r="O1075" s="47"/>
      <c r="P1075" s="47"/>
    </row>
    <row r="1076" spans="3:16" x14ac:dyDescent="0.2">
      <c r="C1076" s="46"/>
      <c r="D1076" s="47"/>
      <c r="E1076" s="47"/>
      <c r="F1076" s="47"/>
      <c r="G1076" s="47"/>
      <c r="H1076" s="47"/>
      <c r="I1076" s="47"/>
      <c r="L1076" s="46"/>
      <c r="M1076" s="47"/>
      <c r="N1076" s="47"/>
      <c r="O1076" s="47"/>
      <c r="P1076" s="47"/>
    </row>
    <row r="1077" spans="3:16" x14ac:dyDescent="0.2">
      <c r="C1077" s="46"/>
      <c r="D1077" s="47"/>
      <c r="E1077" s="47"/>
      <c r="F1077" s="47"/>
      <c r="G1077" s="47"/>
      <c r="H1077" s="47"/>
      <c r="I1077" s="47"/>
      <c r="L1077" s="46"/>
      <c r="M1077" s="47"/>
      <c r="N1077" s="47"/>
      <c r="O1077" s="47"/>
      <c r="P1077" s="47"/>
    </row>
    <row r="1078" spans="3:16" x14ac:dyDescent="0.2">
      <c r="C1078" s="46"/>
      <c r="D1078" s="47"/>
      <c r="E1078" s="47"/>
      <c r="F1078" s="47"/>
      <c r="G1078" s="47"/>
      <c r="H1078" s="47"/>
      <c r="I1078" s="47"/>
      <c r="L1078" s="46"/>
      <c r="M1078" s="47"/>
      <c r="N1078" s="47"/>
      <c r="O1078" s="47"/>
      <c r="P1078" s="47"/>
    </row>
    <row r="1079" spans="3:16" x14ac:dyDescent="0.2">
      <c r="C1079" s="46"/>
      <c r="D1079" s="47"/>
      <c r="E1079" s="47"/>
      <c r="F1079" s="47"/>
      <c r="G1079" s="47"/>
      <c r="H1079" s="47"/>
      <c r="I1079" s="47"/>
      <c r="L1079" s="46"/>
      <c r="M1079" s="47"/>
      <c r="N1079" s="47"/>
      <c r="O1079" s="47"/>
      <c r="P1079" s="47"/>
    </row>
    <row r="1080" spans="3:16" x14ac:dyDescent="0.2">
      <c r="C1080" s="46"/>
      <c r="D1080" s="47"/>
      <c r="E1080" s="47"/>
      <c r="F1080" s="47"/>
      <c r="G1080" s="47"/>
      <c r="H1080" s="47"/>
      <c r="I1080" s="47"/>
      <c r="L1080" s="46"/>
      <c r="M1080" s="47"/>
      <c r="N1080" s="47"/>
      <c r="O1080" s="47"/>
      <c r="P1080" s="47"/>
    </row>
    <row r="1081" spans="3:16" x14ac:dyDescent="0.2">
      <c r="C1081" s="46"/>
      <c r="D1081" s="47"/>
      <c r="E1081" s="47"/>
      <c r="F1081" s="47"/>
      <c r="G1081" s="47"/>
      <c r="H1081" s="47"/>
      <c r="I1081" s="47"/>
      <c r="L1081" s="46"/>
      <c r="M1081" s="47"/>
      <c r="N1081" s="47"/>
      <c r="O1081" s="47"/>
      <c r="P1081" s="47"/>
    </row>
    <row r="1082" spans="3:16" x14ac:dyDescent="0.2">
      <c r="C1082" s="46"/>
      <c r="D1082" s="47"/>
      <c r="E1082" s="47"/>
      <c r="F1082" s="47"/>
      <c r="G1082" s="47"/>
      <c r="H1082" s="47"/>
      <c r="I1082" s="47"/>
      <c r="L1082" s="46"/>
      <c r="M1082" s="47"/>
      <c r="N1082" s="47"/>
      <c r="O1082" s="47"/>
      <c r="P1082" s="47"/>
    </row>
    <row r="1083" spans="3:16" x14ac:dyDescent="0.2">
      <c r="C1083" s="46"/>
      <c r="D1083" s="47"/>
      <c r="E1083" s="47"/>
      <c r="F1083" s="47"/>
      <c r="G1083" s="47"/>
      <c r="H1083" s="47"/>
      <c r="I1083" s="47"/>
      <c r="L1083" s="46"/>
      <c r="M1083" s="47"/>
      <c r="N1083" s="47"/>
      <c r="O1083" s="47"/>
      <c r="P1083" s="47"/>
    </row>
    <row r="1084" spans="3:16" x14ac:dyDescent="0.2">
      <c r="C1084" s="46"/>
      <c r="D1084" s="47"/>
      <c r="E1084" s="47"/>
      <c r="F1084" s="47"/>
      <c r="G1084" s="47"/>
      <c r="H1084" s="47"/>
      <c r="I1084" s="47"/>
      <c r="L1084" s="46"/>
      <c r="M1084" s="47"/>
      <c r="N1084" s="47"/>
      <c r="O1084" s="47"/>
      <c r="P1084" s="47"/>
    </row>
    <row r="1085" spans="3:16" x14ac:dyDescent="0.2">
      <c r="C1085" s="46"/>
      <c r="D1085" s="47"/>
      <c r="E1085" s="47"/>
      <c r="F1085" s="47"/>
      <c r="G1085" s="47"/>
      <c r="H1085" s="47"/>
      <c r="I1085" s="47"/>
      <c r="L1085" s="46"/>
      <c r="M1085" s="47"/>
      <c r="N1085" s="47"/>
      <c r="O1085" s="47"/>
      <c r="P1085" s="47"/>
    </row>
    <row r="1086" spans="3:16" x14ac:dyDescent="0.2">
      <c r="C1086" s="46"/>
      <c r="D1086" s="47"/>
      <c r="E1086" s="47"/>
      <c r="F1086" s="47"/>
      <c r="G1086" s="47"/>
      <c r="H1086" s="47"/>
      <c r="I1086" s="47"/>
      <c r="L1086" s="46"/>
      <c r="M1086" s="47"/>
      <c r="N1086" s="47"/>
      <c r="O1086" s="47"/>
      <c r="P1086" s="47"/>
    </row>
    <row r="1087" spans="3:16" x14ac:dyDescent="0.2">
      <c r="C1087" s="46"/>
      <c r="D1087" s="47"/>
      <c r="E1087" s="47"/>
      <c r="F1087" s="47"/>
      <c r="G1087" s="47"/>
      <c r="H1087" s="47"/>
      <c r="I1087" s="47"/>
      <c r="L1087" s="46"/>
      <c r="M1087" s="47"/>
      <c r="N1087" s="47"/>
      <c r="O1087" s="47"/>
      <c r="P1087" s="47"/>
    </row>
    <row r="1088" spans="3:16" x14ac:dyDescent="0.2">
      <c r="C1088" s="46"/>
      <c r="D1088" s="47"/>
      <c r="E1088" s="47"/>
      <c r="F1088" s="47"/>
      <c r="G1088" s="47"/>
      <c r="H1088" s="47"/>
      <c r="I1088" s="47"/>
      <c r="L1088" s="46"/>
      <c r="M1088" s="47"/>
      <c r="N1088" s="47"/>
      <c r="O1088" s="47"/>
      <c r="P1088" s="47"/>
    </row>
    <row r="1089" spans="3:16" x14ac:dyDescent="0.2">
      <c r="C1089" s="46"/>
      <c r="D1089" s="47"/>
      <c r="E1089" s="47"/>
      <c r="F1089" s="47"/>
      <c r="G1089" s="47"/>
      <c r="H1089" s="47"/>
      <c r="I1089" s="47"/>
      <c r="L1089" s="46"/>
      <c r="M1089" s="47"/>
      <c r="N1089" s="47"/>
      <c r="O1089" s="47"/>
      <c r="P1089" s="47"/>
    </row>
    <row r="1090" spans="3:16" x14ac:dyDescent="0.2">
      <c r="C1090" s="46"/>
      <c r="D1090" s="47"/>
      <c r="E1090" s="47"/>
      <c r="F1090" s="47"/>
      <c r="G1090" s="47"/>
      <c r="H1090" s="47"/>
      <c r="I1090" s="47"/>
      <c r="L1090" s="46"/>
      <c r="M1090" s="47"/>
      <c r="N1090" s="47"/>
      <c r="O1090" s="47"/>
      <c r="P1090" s="47"/>
    </row>
    <row r="1091" spans="3:16" x14ac:dyDescent="0.2">
      <c r="C1091" s="46"/>
      <c r="D1091" s="47"/>
      <c r="E1091" s="47"/>
      <c r="F1091" s="47"/>
      <c r="G1091" s="47"/>
      <c r="H1091" s="47"/>
      <c r="I1091" s="47"/>
      <c r="L1091" s="46"/>
      <c r="M1091" s="47"/>
      <c r="N1091" s="47"/>
      <c r="O1091" s="47"/>
      <c r="P1091" s="47"/>
    </row>
    <row r="1092" spans="3:16" x14ac:dyDescent="0.2">
      <c r="C1092" s="46"/>
      <c r="D1092" s="47"/>
      <c r="E1092" s="47"/>
      <c r="F1092" s="47"/>
      <c r="G1092" s="47"/>
      <c r="H1092" s="47"/>
      <c r="I1092" s="47"/>
      <c r="L1092" s="46"/>
      <c r="M1092" s="47"/>
      <c r="N1092" s="47"/>
      <c r="O1092" s="47"/>
      <c r="P1092" s="47"/>
    </row>
    <row r="1093" spans="3:16" x14ac:dyDescent="0.2">
      <c r="C1093" s="46"/>
      <c r="D1093" s="47"/>
      <c r="E1093" s="47"/>
      <c r="F1093" s="47"/>
      <c r="G1093" s="47"/>
      <c r="H1093" s="47"/>
      <c r="I1093" s="47"/>
      <c r="L1093" s="46"/>
      <c r="M1093" s="47"/>
      <c r="N1093" s="47"/>
      <c r="O1093" s="47"/>
      <c r="P1093" s="47"/>
    </row>
    <row r="1094" spans="3:16" x14ac:dyDescent="0.2">
      <c r="C1094" s="46"/>
      <c r="D1094" s="47"/>
      <c r="E1094" s="47"/>
      <c r="F1094" s="47"/>
      <c r="G1094" s="47"/>
      <c r="H1094" s="47"/>
      <c r="I1094" s="47"/>
      <c r="L1094" s="46"/>
      <c r="M1094" s="47"/>
      <c r="N1094" s="47"/>
      <c r="O1094" s="47"/>
      <c r="P1094" s="47"/>
    </row>
    <row r="1095" spans="3:16" x14ac:dyDescent="0.2">
      <c r="C1095" s="46"/>
      <c r="D1095" s="47"/>
      <c r="E1095" s="47"/>
      <c r="F1095" s="47"/>
      <c r="G1095" s="47"/>
      <c r="H1095" s="47"/>
      <c r="I1095" s="47"/>
      <c r="L1095" s="46"/>
      <c r="M1095" s="47"/>
      <c r="N1095" s="47"/>
      <c r="O1095" s="47"/>
      <c r="P1095" s="47"/>
    </row>
    <row r="1096" spans="3:16" x14ac:dyDescent="0.2">
      <c r="C1096" s="46"/>
      <c r="D1096" s="47"/>
      <c r="E1096" s="47"/>
      <c r="F1096" s="47"/>
      <c r="G1096" s="47"/>
      <c r="H1096" s="47"/>
      <c r="I1096" s="47"/>
      <c r="L1096" s="46"/>
      <c r="M1096" s="47"/>
      <c r="N1096" s="47"/>
      <c r="O1096" s="47"/>
      <c r="P1096" s="47"/>
    </row>
    <row r="1097" spans="3:16" x14ac:dyDescent="0.2">
      <c r="C1097" s="46"/>
      <c r="D1097" s="47"/>
      <c r="E1097" s="47"/>
      <c r="F1097" s="47"/>
      <c r="G1097" s="47"/>
      <c r="H1097" s="47"/>
      <c r="I1097" s="47"/>
      <c r="L1097" s="46"/>
      <c r="M1097" s="47"/>
      <c r="N1097" s="47"/>
      <c r="O1097" s="47"/>
      <c r="P1097" s="47"/>
    </row>
    <row r="1098" spans="3:16" x14ac:dyDescent="0.2">
      <c r="C1098" s="46"/>
      <c r="D1098" s="47"/>
      <c r="E1098" s="47"/>
      <c r="F1098" s="47"/>
      <c r="G1098" s="47"/>
      <c r="H1098" s="47"/>
      <c r="I1098" s="47"/>
      <c r="L1098" s="46"/>
      <c r="M1098" s="47"/>
      <c r="N1098" s="47"/>
      <c r="O1098" s="47"/>
      <c r="P1098" s="47"/>
    </row>
    <row r="1099" spans="3:16" x14ac:dyDescent="0.2">
      <c r="C1099" s="46"/>
      <c r="D1099" s="47"/>
      <c r="E1099" s="47"/>
      <c r="F1099" s="47"/>
      <c r="G1099" s="47"/>
      <c r="H1099" s="47"/>
      <c r="I1099" s="47"/>
      <c r="L1099" s="46"/>
      <c r="M1099" s="47"/>
      <c r="N1099" s="47"/>
      <c r="O1099" s="47"/>
      <c r="P1099" s="47"/>
    </row>
    <row r="1100" spans="3:16" x14ac:dyDescent="0.2">
      <c r="C1100" s="46"/>
      <c r="D1100" s="47"/>
      <c r="E1100" s="47"/>
      <c r="F1100" s="47"/>
      <c r="G1100" s="47"/>
      <c r="H1100" s="47"/>
      <c r="I1100" s="47"/>
      <c r="L1100" s="46"/>
      <c r="M1100" s="47"/>
      <c r="N1100" s="47"/>
      <c r="O1100" s="47"/>
      <c r="P1100" s="47"/>
    </row>
    <row r="1101" spans="3:16" x14ac:dyDescent="0.2">
      <c r="C1101" s="46"/>
      <c r="D1101" s="47"/>
      <c r="E1101" s="47"/>
      <c r="F1101" s="47"/>
      <c r="G1101" s="47"/>
      <c r="H1101" s="47"/>
      <c r="I1101" s="47"/>
      <c r="L1101" s="46"/>
      <c r="M1101" s="47"/>
      <c r="N1101" s="47"/>
      <c r="O1101" s="47"/>
      <c r="P1101" s="47"/>
    </row>
    <row r="1102" spans="3:16" x14ac:dyDescent="0.2">
      <c r="C1102" s="46"/>
      <c r="D1102" s="47"/>
      <c r="E1102" s="47"/>
      <c r="F1102" s="47"/>
      <c r="G1102" s="47"/>
      <c r="H1102" s="47"/>
      <c r="I1102" s="47"/>
      <c r="L1102" s="46"/>
      <c r="M1102" s="47"/>
      <c r="N1102" s="47"/>
      <c r="O1102" s="47"/>
      <c r="P1102" s="47"/>
    </row>
    <row r="1103" spans="3:16" x14ac:dyDescent="0.2">
      <c r="C1103" s="46"/>
      <c r="D1103" s="47"/>
      <c r="E1103" s="47"/>
      <c r="F1103" s="47"/>
      <c r="G1103" s="47"/>
      <c r="H1103" s="47"/>
      <c r="I1103" s="47"/>
      <c r="L1103" s="46"/>
      <c r="M1103" s="47"/>
      <c r="N1103" s="47"/>
      <c r="O1103" s="47"/>
      <c r="P1103" s="47"/>
    </row>
    <row r="1104" spans="3:16" x14ac:dyDescent="0.2">
      <c r="C1104" s="46"/>
      <c r="D1104" s="47"/>
      <c r="E1104" s="47"/>
      <c r="F1104" s="47"/>
      <c r="G1104" s="47"/>
      <c r="H1104" s="47"/>
      <c r="I1104" s="47"/>
      <c r="L1104" s="46"/>
      <c r="M1104" s="47"/>
      <c r="N1104" s="47"/>
      <c r="O1104" s="47"/>
      <c r="P1104" s="47"/>
    </row>
    <row r="1105" spans="3:16" x14ac:dyDescent="0.2">
      <c r="C1105" s="46"/>
      <c r="D1105" s="47"/>
      <c r="E1105" s="47"/>
      <c r="F1105" s="47"/>
      <c r="G1105" s="47"/>
      <c r="H1105" s="47"/>
      <c r="I1105" s="47"/>
      <c r="L1105" s="46"/>
      <c r="M1105" s="47"/>
      <c r="N1105" s="47"/>
      <c r="O1105" s="47"/>
      <c r="P1105" s="47"/>
    </row>
    <row r="1106" spans="3:16" x14ac:dyDescent="0.2">
      <c r="C1106" s="46"/>
      <c r="D1106" s="47"/>
      <c r="E1106" s="47"/>
      <c r="F1106" s="47"/>
      <c r="G1106" s="47"/>
      <c r="H1106" s="47"/>
      <c r="I1106" s="47"/>
      <c r="L1106" s="46"/>
      <c r="M1106" s="47"/>
      <c r="N1106" s="47"/>
      <c r="O1106" s="47"/>
      <c r="P1106" s="47"/>
    </row>
    <row r="1107" spans="3:16" x14ac:dyDescent="0.2">
      <c r="C1107" s="46"/>
      <c r="D1107" s="47"/>
      <c r="E1107" s="47"/>
      <c r="F1107" s="47"/>
      <c r="G1107" s="47"/>
      <c r="H1107" s="47"/>
      <c r="I1107" s="47"/>
      <c r="L1107" s="46"/>
      <c r="M1107" s="47"/>
      <c r="N1107" s="47"/>
      <c r="O1107" s="47"/>
      <c r="P1107" s="47"/>
    </row>
    <row r="1108" spans="3:16" x14ac:dyDescent="0.2">
      <c r="C1108" s="46"/>
      <c r="D1108" s="47"/>
      <c r="E1108" s="47"/>
      <c r="F1108" s="47"/>
      <c r="G1108" s="47"/>
      <c r="H1108" s="47"/>
      <c r="I1108" s="47"/>
      <c r="L1108" s="46"/>
      <c r="M1108" s="47"/>
      <c r="N1108" s="47"/>
      <c r="O1108" s="47"/>
      <c r="P1108" s="47"/>
    </row>
    <row r="1109" spans="3:16" x14ac:dyDescent="0.2">
      <c r="C1109" s="46"/>
      <c r="D1109" s="47"/>
      <c r="E1109" s="47"/>
      <c r="F1109" s="47"/>
      <c r="G1109" s="47"/>
      <c r="H1109" s="47"/>
      <c r="I1109" s="47"/>
      <c r="L1109" s="46"/>
      <c r="M1109" s="47"/>
      <c r="N1109" s="47"/>
      <c r="O1109" s="47"/>
      <c r="P1109" s="47"/>
    </row>
    <row r="1110" spans="3:16" x14ac:dyDescent="0.2">
      <c r="C1110" s="46"/>
      <c r="D1110" s="47"/>
      <c r="E1110" s="47"/>
      <c r="F1110" s="47"/>
      <c r="G1110" s="47"/>
      <c r="H1110" s="47"/>
      <c r="I1110" s="47"/>
      <c r="L1110" s="46"/>
      <c r="M1110" s="47"/>
      <c r="N1110" s="47"/>
      <c r="O1110" s="47"/>
      <c r="P1110" s="47"/>
    </row>
    <row r="1111" spans="3:16" x14ac:dyDescent="0.2">
      <c r="C1111" s="46"/>
      <c r="D1111" s="47"/>
      <c r="E1111" s="47"/>
      <c r="F1111" s="47"/>
      <c r="G1111" s="47"/>
      <c r="H1111" s="47"/>
      <c r="I1111" s="47"/>
      <c r="L1111" s="46"/>
      <c r="M1111" s="47"/>
      <c r="N1111" s="47"/>
      <c r="O1111" s="47"/>
      <c r="P1111" s="47"/>
    </row>
    <row r="1112" spans="3:16" x14ac:dyDescent="0.2">
      <c r="C1112" s="46"/>
      <c r="D1112" s="47"/>
      <c r="E1112" s="47"/>
      <c r="F1112" s="47"/>
      <c r="G1112" s="47"/>
      <c r="H1112" s="47"/>
      <c r="I1112" s="47"/>
      <c r="L1112" s="46"/>
      <c r="M1112" s="47"/>
      <c r="N1112" s="47"/>
      <c r="O1112" s="47"/>
      <c r="P1112" s="47"/>
    </row>
    <row r="1113" spans="3:16" x14ac:dyDescent="0.2">
      <c r="C1113" s="46"/>
      <c r="D1113" s="47"/>
      <c r="E1113" s="47"/>
      <c r="F1113" s="47"/>
      <c r="G1113" s="47"/>
      <c r="H1113" s="47"/>
      <c r="I1113" s="47"/>
      <c r="L1113" s="46"/>
      <c r="M1113" s="47"/>
      <c r="N1113" s="47"/>
      <c r="O1113" s="47"/>
      <c r="P1113" s="47"/>
    </row>
    <row r="1114" spans="3:16" x14ac:dyDescent="0.2">
      <c r="C1114" s="46"/>
      <c r="D1114" s="47"/>
      <c r="E1114" s="47"/>
      <c r="F1114" s="47"/>
      <c r="G1114" s="47"/>
      <c r="H1114" s="47"/>
      <c r="I1114" s="47"/>
      <c r="L1114" s="46"/>
      <c r="M1114" s="47"/>
      <c r="N1114" s="47"/>
      <c r="O1114" s="47"/>
      <c r="P1114" s="47"/>
    </row>
    <row r="1115" spans="3:16" x14ac:dyDescent="0.2">
      <c r="C1115" s="46"/>
      <c r="D1115" s="47"/>
      <c r="E1115" s="47"/>
      <c r="F1115" s="47"/>
      <c r="G1115" s="47"/>
      <c r="L1115" s="46"/>
      <c r="M1115" s="47"/>
      <c r="N1115" s="47"/>
      <c r="O1115" s="47"/>
      <c r="P1115" s="47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2'!A1" display="下一页"/>
    <hyperlink ref="H6" location="'1'!A1" display="下一页"/>
    <hyperlink ref="Q6" location="目录!A1" display="目录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20.25" x14ac:dyDescent="0.35"/>
  <sheetData>
    <row r="1" spans="1:1" x14ac:dyDescent="0.35">
      <c r="A1" t="s">
        <v>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目录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 YongQiang</dc:creator>
  <cp:lastModifiedBy>Cui YongQiang</cp:lastModifiedBy>
  <dcterms:created xsi:type="dcterms:W3CDTF">2024-01-15T10:20:03Z</dcterms:created>
  <dcterms:modified xsi:type="dcterms:W3CDTF">2024-02-21T01:13:49Z</dcterms:modified>
</cp:coreProperties>
</file>