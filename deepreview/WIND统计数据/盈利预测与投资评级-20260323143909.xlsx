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18480" windowHeight="7995"/>
  </bookViews>
  <sheets>
    <sheet name="盈利预测" sheetId="4" r:id="rId1"/>
    <sheet name="Wind模板" sheetId="6" state="veryHidden" r:id="rId2"/>
    <sheet name="设置" sheetId="5" state="hidden" r:id="rId3"/>
  </sheets>
  <externalReferences>
    <externalReference r:id="rId4"/>
  </externalReferences>
  <definedNames>
    <definedName name="_xlnm._FilterDatabase" localSheetId="0" hidden="1">盈利预测!$D$16:$Q$16</definedName>
    <definedName name="currencyunit" localSheetId="0">盈利预测!$E$10</definedName>
    <definedName name="instlist">设置!$B$4:$C$96</definedName>
    <definedName name="quantity">盈利预测!$U$17:$U$84</definedName>
  </definedNames>
  <calcPr calcId="162913"/>
</workbook>
</file>

<file path=xl/calcChain.xml><?xml version="1.0" encoding="utf-8"?>
<calcChain xmlns="http://schemas.openxmlformats.org/spreadsheetml/2006/main">
  <c r="E99" i="4" l="1"/>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AC57" i="4"/>
  <c r="E57" i="4"/>
  <c r="C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AF16" i="4"/>
  <c r="AA16" i="4"/>
  <c r="Y16" i="4"/>
  <c r="W16" i="4"/>
  <c r="U16" i="4"/>
  <c r="V16" i="4" s="1"/>
  <c r="T16" i="4"/>
  <c r="S16" i="4"/>
  <c r="R16" i="4"/>
  <c r="G10" i="4"/>
  <c r="AG6" i="4"/>
  <c r="M6" i="4"/>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F4" i="4" s="1"/>
  <c r="D4" i="5"/>
  <c r="E9" i="4"/>
  <c r="E8" i="4" l="1"/>
  <c r="Z16" i="4"/>
  <c r="X16" i="4"/>
  <c r="F10" i="4"/>
  <c r="C17" i="4"/>
  <c r="AC17" i="4"/>
  <c r="Q42" i="4"/>
  <c r="Q22" i="4"/>
  <c r="J57" i="4"/>
  <c r="Q65" i="4"/>
  <c r="J17" i="4"/>
  <c r="I17" i="4"/>
  <c r="Q57" i="4"/>
  <c r="Q55" i="4"/>
  <c r="Q63" i="4"/>
  <c r="Q50" i="4"/>
  <c r="O57" i="4"/>
  <c r="Q61" i="4"/>
  <c r="Q70" i="4"/>
  <c r="Q21" i="4"/>
  <c r="Q96" i="4"/>
  <c r="Q58" i="4"/>
  <c r="Q83" i="4"/>
  <c r="Q34" i="4"/>
  <c r="Q20" i="4"/>
  <c r="Q33" i="4"/>
  <c r="Q52" i="4"/>
  <c r="Q98" i="4"/>
  <c r="Q73" i="4"/>
  <c r="Q85" i="4"/>
  <c r="Q45" i="4"/>
  <c r="Q31" i="4"/>
  <c r="Q59" i="4"/>
  <c r="Q23" i="4"/>
  <c r="Q41" i="4"/>
  <c r="H57" i="4"/>
  <c r="Q37" i="4"/>
  <c r="Q32" i="4"/>
  <c r="Q69" i="4"/>
  <c r="N17" i="4"/>
  <c r="Q56" i="4"/>
  <c r="Q67" i="4"/>
  <c r="Q89" i="4"/>
  <c r="L57" i="4"/>
  <c r="P17" i="4"/>
  <c r="Q78" i="4"/>
  <c r="G17" i="4"/>
  <c r="M57" i="4"/>
  <c r="Q86" i="4"/>
  <c r="Q35" i="4"/>
  <c r="P57" i="4"/>
  <c r="Q81" i="4"/>
  <c r="I57" i="4"/>
  <c r="Q18" i="4"/>
  <c r="Q87" i="4"/>
  <c r="Q28" i="4"/>
  <c r="N57" i="4"/>
  <c r="Q74" i="4"/>
  <c r="Q92" i="4"/>
  <c r="Q54" i="4"/>
  <c r="K17" i="4"/>
  <c r="Q80" i="4"/>
  <c r="Q48" i="4"/>
  <c r="Q26" i="4"/>
  <c r="Q19" i="4"/>
  <c r="Q49" i="4"/>
  <c r="Q24" i="4"/>
  <c r="Q62" i="4"/>
  <c r="Q95" i="4"/>
  <c r="Q30" i="4"/>
  <c r="Q91" i="4"/>
  <c r="Q94" i="4"/>
  <c r="Q64" i="4"/>
  <c r="Q76" i="4"/>
  <c r="Q99" i="4"/>
  <c r="Q82" i="4"/>
  <c r="Q40" i="4"/>
  <c r="Q71" i="4"/>
  <c r="O17" i="4"/>
  <c r="K57" i="4"/>
  <c r="Q38" i="4"/>
  <c r="Q75" i="4"/>
  <c r="Q27" i="4"/>
  <c r="Q72" i="4"/>
  <c r="L17" i="4"/>
  <c r="M17" i="4"/>
  <c r="Q77" i="4"/>
  <c r="Q46" i="4"/>
  <c r="Q47" i="4"/>
  <c r="Q79" i="4"/>
  <c r="Q29" i="4"/>
  <c r="Q36" i="4"/>
  <c r="E7" i="4"/>
  <c r="Q39" i="4"/>
  <c r="G57" i="4"/>
  <c r="Q88" i="4"/>
  <c r="H17" i="4"/>
  <c r="Q93" i="4"/>
  <c r="Q17" i="4"/>
  <c r="Q68" i="4"/>
  <c r="Q51" i="4"/>
  <c r="Q84" i="4"/>
  <c r="Q53" i="4"/>
  <c r="Q44" i="4"/>
  <c r="Q97" i="4"/>
  <c r="Q43" i="4"/>
  <c r="Q25" i="4"/>
  <c r="Q90" i="4"/>
  <c r="Q60" i="4"/>
  <c r="Q66" i="4"/>
  <c r="C18" i="4" l="1"/>
  <c r="AB17" i="4"/>
  <c r="AC58" i="4"/>
  <c r="AF57" i="4"/>
  <c r="C58" i="4"/>
  <c r="AB57" i="4"/>
  <c r="U57" i="4"/>
  <c r="R57" i="4" s="1"/>
  <c r="AC18" i="4"/>
  <c r="AF17" i="4"/>
  <c r="U17" i="4"/>
  <c r="G18" i="4"/>
  <c r="AD57" i="4"/>
  <c r="I18" i="4"/>
  <c r="I58" i="4"/>
  <c r="O58" i="4"/>
  <c r="P18" i="4"/>
  <c r="N58" i="4"/>
  <c r="K58" i="4"/>
  <c r="J18" i="4"/>
  <c r="G58" i="4"/>
  <c r="L18" i="4"/>
  <c r="L58" i="4"/>
  <c r="M18" i="4"/>
  <c r="O18" i="4"/>
  <c r="H58" i="4"/>
  <c r="P58" i="4"/>
  <c r="K18" i="4"/>
  <c r="M58" i="4"/>
  <c r="N18" i="4"/>
  <c r="J58" i="4"/>
  <c r="AD17" i="4"/>
  <c r="H18" i="4"/>
  <c r="AF18" i="4" l="1"/>
  <c r="AC19" i="4"/>
  <c r="U58" i="4"/>
  <c r="R58" i="4" s="1"/>
  <c r="AB58" i="4"/>
  <c r="C59" i="4"/>
  <c r="AB18" i="4"/>
  <c r="U18" i="4"/>
  <c r="R18" i="4" s="1"/>
  <c r="C19" i="4"/>
  <c r="AC59" i="4"/>
  <c r="AF58" i="4"/>
  <c r="S57" i="4"/>
  <c r="T57" i="4"/>
  <c r="AE57" i="4"/>
  <c r="AG57" i="4" s="1"/>
  <c r="AE17" i="4"/>
  <c r="AG17" i="4" s="1"/>
  <c r="S17" i="4"/>
  <c r="T17" i="4"/>
  <c r="R17" i="4"/>
  <c r="G59" i="4"/>
  <c r="G19" i="4"/>
  <c r="K19" i="4"/>
  <c r="AD18" i="4"/>
  <c r="L59" i="4"/>
  <c r="N19" i="4"/>
  <c r="AD58" i="4"/>
  <c r="H59" i="4"/>
  <c r="I19" i="4"/>
  <c r="P59" i="4"/>
  <c r="H19" i="4"/>
  <c r="J59" i="4"/>
  <c r="N59" i="4"/>
  <c r="I59" i="4"/>
  <c r="O19" i="4"/>
  <c r="L19" i="4"/>
  <c r="M59" i="4"/>
  <c r="O59" i="4"/>
  <c r="K59" i="4"/>
  <c r="J19" i="4"/>
  <c r="M19" i="4"/>
  <c r="P19" i="4"/>
  <c r="AE18" i="4" l="1"/>
  <c r="AG18" i="4" s="1"/>
  <c r="AE58" i="4"/>
  <c r="AG58" i="4" s="1"/>
  <c r="S58" i="4"/>
  <c r="T58" i="4"/>
  <c r="S18" i="4"/>
  <c r="C20" i="4"/>
  <c r="U19" i="4"/>
  <c r="AB19" i="4"/>
  <c r="C60" i="4"/>
  <c r="U59" i="4"/>
  <c r="R59" i="4" s="1"/>
  <c r="AB59" i="4"/>
  <c r="AC20" i="4"/>
  <c r="AF19" i="4"/>
  <c r="AC60" i="4"/>
  <c r="AF59" i="4"/>
  <c r="T18" i="4"/>
  <c r="N20" i="4"/>
  <c r="J20" i="4"/>
  <c r="G20" i="4"/>
  <c r="N60" i="4"/>
  <c r="K60" i="4"/>
  <c r="I20" i="4"/>
  <c r="AD19" i="4"/>
  <c r="L20" i="4"/>
  <c r="M60" i="4"/>
  <c r="K20" i="4"/>
  <c r="O60" i="4"/>
  <c r="I60" i="4"/>
  <c r="AD59" i="4"/>
  <c r="P60" i="4"/>
  <c r="H20" i="4"/>
  <c r="M20" i="4"/>
  <c r="H60" i="4"/>
  <c r="G60" i="4"/>
  <c r="L60" i="4"/>
  <c r="J60" i="4"/>
  <c r="P20" i="4"/>
  <c r="O20" i="4"/>
  <c r="AE59" i="4" l="1"/>
  <c r="AG59" i="4" s="1"/>
  <c r="AE19" i="4"/>
  <c r="AG19" i="4" s="1"/>
  <c r="C61" i="4"/>
  <c r="AB60" i="4"/>
  <c r="U60" i="4"/>
  <c r="S60" i="4" s="1"/>
  <c r="AF60" i="4"/>
  <c r="AC61" i="4"/>
  <c r="AB20" i="4"/>
  <c r="U20" i="4"/>
  <c r="R20" i="4" s="1"/>
  <c r="C21" i="4"/>
  <c r="AC21" i="4"/>
  <c r="AF20" i="4"/>
  <c r="T59" i="4"/>
  <c r="S59" i="4"/>
  <c r="S19" i="4"/>
  <c r="T19" i="4"/>
  <c r="R19" i="4"/>
  <c r="L61" i="4"/>
  <c r="L21" i="4"/>
  <c r="AD20" i="4"/>
  <c r="O21" i="4"/>
  <c r="N61" i="4"/>
  <c r="J61" i="4"/>
  <c r="P61" i="4"/>
  <c r="AD60" i="4"/>
  <c r="P21" i="4"/>
  <c r="K21" i="4"/>
  <c r="I61" i="4"/>
  <c r="I21" i="4"/>
  <c r="M21" i="4"/>
  <c r="M61" i="4"/>
  <c r="K61" i="4"/>
  <c r="H21" i="4"/>
  <c r="O61" i="4"/>
  <c r="N21" i="4"/>
  <c r="G61" i="4"/>
  <c r="H61" i="4"/>
  <c r="G21" i="4"/>
  <c r="J21" i="4"/>
  <c r="AE20" i="4" l="1"/>
  <c r="AG20" i="4" s="1"/>
  <c r="AE60" i="4"/>
  <c r="AG60" i="4" s="1"/>
  <c r="C22" i="4"/>
  <c r="AB21" i="4"/>
  <c r="U21" i="4"/>
  <c r="S21" i="4" s="1"/>
  <c r="AC62" i="4"/>
  <c r="AF61" i="4"/>
  <c r="U61" i="4"/>
  <c r="R61" i="4" s="1"/>
  <c r="AB61" i="4"/>
  <c r="C62" i="4"/>
  <c r="AC22" i="4"/>
  <c r="AF21" i="4"/>
  <c r="T60" i="4"/>
  <c r="R60" i="4"/>
  <c r="S20" i="4"/>
  <c r="T20" i="4"/>
  <c r="K62" i="4"/>
  <c r="H22" i="4"/>
  <c r="L22" i="4"/>
  <c r="L62" i="4"/>
  <c r="M22" i="4"/>
  <c r="G62" i="4"/>
  <c r="I62" i="4"/>
  <c r="P22" i="4"/>
  <c r="I22" i="4"/>
  <c r="O22" i="4"/>
  <c r="N22" i="4"/>
  <c r="H62" i="4"/>
  <c r="P62" i="4"/>
  <c r="O62" i="4"/>
  <c r="AD61" i="4"/>
  <c r="J22" i="4"/>
  <c r="N62" i="4"/>
  <c r="J62" i="4"/>
  <c r="G22" i="4"/>
  <c r="K22" i="4"/>
  <c r="AD21" i="4"/>
  <c r="M62" i="4"/>
  <c r="AE61" i="4" l="1"/>
  <c r="AG61" i="4" s="1"/>
  <c r="AE21" i="4"/>
  <c r="AG21" i="4" s="1"/>
  <c r="AC23" i="4"/>
  <c r="AF22" i="4"/>
  <c r="AC63" i="4"/>
  <c r="AF62" i="4"/>
  <c r="AB22" i="4"/>
  <c r="C23" i="4"/>
  <c r="U22" i="4"/>
  <c r="S22" i="4" s="1"/>
  <c r="AB62" i="4"/>
  <c r="C63" i="4"/>
  <c r="U62" i="4"/>
  <c r="S62" i="4" s="1"/>
  <c r="S61" i="4"/>
  <c r="T21" i="4"/>
  <c r="R21" i="4"/>
  <c r="T61" i="4"/>
  <c r="I63" i="4"/>
  <c r="K63" i="4"/>
  <c r="M23" i="4"/>
  <c r="G63" i="4"/>
  <c r="AD62" i="4"/>
  <c r="H63" i="4"/>
  <c r="L23" i="4"/>
  <c r="M63" i="4"/>
  <c r="I23" i="4"/>
  <c r="J23" i="4"/>
  <c r="H23" i="4"/>
  <c r="O63" i="4"/>
  <c r="J63" i="4"/>
  <c r="AD22" i="4"/>
  <c r="P63" i="4"/>
  <c r="K23" i="4"/>
  <c r="L63" i="4"/>
  <c r="G23" i="4"/>
  <c r="N63" i="4"/>
  <c r="O23" i="4"/>
  <c r="P23" i="4"/>
  <c r="N23" i="4"/>
  <c r="AE22" i="4" l="1"/>
  <c r="AG22" i="4" s="1"/>
  <c r="AE62" i="4"/>
  <c r="AG62" i="4" s="1"/>
  <c r="AC64" i="4"/>
  <c r="AF63" i="4"/>
  <c r="AC24" i="4"/>
  <c r="AF23" i="4"/>
  <c r="C64" i="4"/>
  <c r="AB63" i="4"/>
  <c r="U63" i="4"/>
  <c r="S63" i="4" s="1"/>
  <c r="AB23" i="4"/>
  <c r="U23" i="4"/>
  <c r="T23" i="4" s="1"/>
  <c r="C24" i="4"/>
  <c r="R62" i="4"/>
  <c r="T62" i="4"/>
  <c r="T22" i="4"/>
  <c r="R22" i="4"/>
  <c r="O64" i="4"/>
  <c r="AD63" i="4"/>
  <c r="G64" i="4"/>
  <c r="AD23" i="4"/>
  <c r="N64" i="4"/>
  <c r="K24" i="4"/>
  <c r="M24" i="4"/>
  <c r="H24" i="4"/>
  <c r="J24" i="4"/>
  <c r="K64" i="4"/>
  <c r="P64" i="4"/>
  <c r="G24" i="4"/>
  <c r="I24" i="4"/>
  <c r="H64" i="4"/>
  <c r="P24" i="4"/>
  <c r="J64" i="4"/>
  <c r="I64" i="4"/>
  <c r="M64" i="4"/>
  <c r="L24" i="4"/>
  <c r="L64" i="4"/>
  <c r="N24" i="4"/>
  <c r="O24" i="4"/>
  <c r="AE63" i="4" l="1"/>
  <c r="AG63" i="4" s="1"/>
  <c r="AE23" i="4"/>
  <c r="AG23" i="4" s="1"/>
  <c r="S23" i="4"/>
  <c r="AB64" i="4"/>
  <c r="C65" i="4"/>
  <c r="U64" i="4"/>
  <c r="R64" i="4" s="1"/>
  <c r="AF24" i="4"/>
  <c r="AC25" i="4"/>
  <c r="AF64" i="4"/>
  <c r="AC65" i="4"/>
  <c r="C25" i="4"/>
  <c r="U24" i="4"/>
  <c r="R24" i="4" s="1"/>
  <c r="AB24" i="4"/>
  <c r="T63" i="4"/>
  <c r="R63" i="4"/>
  <c r="R23" i="4"/>
  <c r="AD24" i="4"/>
  <c r="L65" i="4"/>
  <c r="J65" i="4"/>
  <c r="N25" i="4"/>
  <c r="H25" i="4"/>
  <c r="K25" i="4"/>
  <c r="O25" i="4"/>
  <c r="I65" i="4"/>
  <c r="M65" i="4"/>
  <c r="N65" i="4"/>
  <c r="P65" i="4"/>
  <c r="P25" i="4"/>
  <c r="G25" i="4"/>
  <c r="O65" i="4"/>
  <c r="H65" i="4"/>
  <c r="J25" i="4"/>
  <c r="G65" i="4"/>
  <c r="L25" i="4"/>
  <c r="M25" i="4"/>
  <c r="K65" i="4"/>
  <c r="I25" i="4"/>
  <c r="AD64" i="4"/>
  <c r="AE64" i="4" l="1"/>
  <c r="AG64" i="4" s="1"/>
  <c r="AE24" i="4"/>
  <c r="AG24" i="4" s="1"/>
  <c r="AC66" i="4"/>
  <c r="AF65" i="4"/>
  <c r="AF25" i="4"/>
  <c r="AC26" i="4"/>
  <c r="AB65" i="4"/>
  <c r="C66" i="4"/>
  <c r="U65" i="4"/>
  <c r="T65" i="4" s="1"/>
  <c r="C26" i="4"/>
  <c r="U25" i="4"/>
  <c r="S25" i="4" s="1"/>
  <c r="AB25" i="4"/>
  <c r="T24" i="4"/>
  <c r="T64" i="4"/>
  <c r="S64" i="4"/>
  <c r="S24" i="4"/>
  <c r="L66" i="4"/>
  <c r="L26" i="4"/>
  <c r="K66" i="4"/>
  <c r="AD25" i="4"/>
  <c r="J66" i="4"/>
  <c r="P66" i="4"/>
  <c r="N66" i="4"/>
  <c r="AD65" i="4"/>
  <c r="H66" i="4"/>
  <c r="G26" i="4"/>
  <c r="O26" i="4"/>
  <c r="H26" i="4"/>
  <c r="K26" i="4"/>
  <c r="M26" i="4"/>
  <c r="J26" i="4"/>
  <c r="I66" i="4"/>
  <c r="I26" i="4"/>
  <c r="G66" i="4"/>
  <c r="N26" i="4"/>
  <c r="M66" i="4"/>
  <c r="O66" i="4"/>
  <c r="P26" i="4"/>
  <c r="AE65" i="4" l="1"/>
  <c r="AG65" i="4" s="1"/>
  <c r="AE25" i="4"/>
  <c r="AG25" i="4" s="1"/>
  <c r="AB66" i="4"/>
  <c r="U66" i="4"/>
  <c r="R66" i="4" s="1"/>
  <c r="C67" i="4"/>
  <c r="AF26" i="4"/>
  <c r="AC27" i="4"/>
  <c r="AC67" i="4"/>
  <c r="AF66" i="4"/>
  <c r="AB26" i="4"/>
  <c r="U26" i="4"/>
  <c r="S26" i="4" s="1"/>
  <c r="C27" i="4"/>
  <c r="S65" i="4"/>
  <c r="R65" i="4"/>
  <c r="T25" i="4"/>
  <c r="R25" i="4"/>
  <c r="J67" i="4"/>
  <c r="O67" i="4"/>
  <c r="AD66" i="4"/>
  <c r="P67" i="4"/>
  <c r="G27" i="4"/>
  <c r="AD26" i="4"/>
  <c r="N67" i="4"/>
  <c r="I67" i="4"/>
  <c r="K67" i="4"/>
  <c r="K27" i="4"/>
  <c r="G67" i="4"/>
  <c r="L67" i="4"/>
  <c r="M67" i="4"/>
  <c r="I27" i="4"/>
  <c r="N27" i="4"/>
  <c r="O27" i="4"/>
  <c r="P27" i="4"/>
  <c r="H67" i="4"/>
  <c r="M27" i="4"/>
  <c r="H27" i="4"/>
  <c r="L27" i="4"/>
  <c r="J27" i="4"/>
  <c r="AE66" i="4" l="1"/>
  <c r="AG66" i="4" s="1"/>
  <c r="AE26" i="4"/>
  <c r="AG26" i="4" s="1"/>
  <c r="AF27" i="4"/>
  <c r="AC28" i="4"/>
  <c r="AC68" i="4"/>
  <c r="AF67" i="4"/>
  <c r="U67" i="4"/>
  <c r="R67" i="4" s="1"/>
  <c r="AB67" i="4"/>
  <c r="C68" i="4"/>
  <c r="C28" i="4"/>
  <c r="U27" i="4"/>
  <c r="T27" i="4" s="1"/>
  <c r="AB27" i="4"/>
  <c r="R26" i="4"/>
  <c r="T66" i="4"/>
  <c r="S66" i="4"/>
  <c r="T26" i="4"/>
  <c r="G68" i="4"/>
  <c r="P28" i="4"/>
  <c r="AD67" i="4"/>
  <c r="O28" i="4"/>
  <c r="M28" i="4"/>
  <c r="I68" i="4"/>
  <c r="J28" i="4"/>
  <c r="K68" i="4"/>
  <c r="H28" i="4"/>
  <c r="N68" i="4"/>
  <c r="N28" i="4"/>
  <c r="G28" i="4"/>
  <c r="M68" i="4"/>
  <c r="L68" i="4"/>
  <c r="K28" i="4"/>
  <c r="AD27" i="4"/>
  <c r="H68" i="4"/>
  <c r="P68" i="4"/>
  <c r="O68" i="4"/>
  <c r="I28" i="4"/>
  <c r="L28" i="4"/>
  <c r="J68" i="4"/>
  <c r="AE27" i="4" l="1"/>
  <c r="AG27" i="4" s="1"/>
  <c r="AE67" i="4"/>
  <c r="AG67" i="4" s="1"/>
  <c r="S27" i="4"/>
  <c r="AF68" i="4"/>
  <c r="AC69" i="4"/>
  <c r="C69" i="4"/>
  <c r="AB68" i="4"/>
  <c r="U68" i="4"/>
  <c r="T68" i="4" s="1"/>
  <c r="AC29" i="4"/>
  <c r="AF28" i="4"/>
  <c r="U28" i="4"/>
  <c r="S28" i="4" s="1"/>
  <c r="AB28" i="4"/>
  <c r="C29" i="4"/>
  <c r="R27" i="4"/>
  <c r="S67" i="4"/>
  <c r="T67" i="4"/>
  <c r="G29" i="4"/>
  <c r="I29" i="4"/>
  <c r="N69" i="4"/>
  <c r="G69" i="4"/>
  <c r="M69" i="4"/>
  <c r="AD68" i="4"/>
  <c r="H69" i="4"/>
  <c r="I69" i="4"/>
  <c r="P69" i="4"/>
  <c r="J69" i="4"/>
  <c r="H29" i="4"/>
  <c r="O29" i="4"/>
  <c r="L29" i="4"/>
  <c r="L69" i="4"/>
  <c r="K69" i="4"/>
  <c r="K29" i="4"/>
  <c r="AD28" i="4"/>
  <c r="M29" i="4"/>
  <c r="J29" i="4"/>
  <c r="P29" i="4"/>
  <c r="N29" i="4"/>
  <c r="O69" i="4"/>
  <c r="AE28" i="4" l="1"/>
  <c r="AG28" i="4" s="1"/>
  <c r="AE68" i="4"/>
  <c r="AG68" i="4" s="1"/>
  <c r="C70" i="4"/>
  <c r="AB69" i="4"/>
  <c r="U69" i="4"/>
  <c r="R69" i="4" s="1"/>
  <c r="AC30" i="4"/>
  <c r="AF29" i="4"/>
  <c r="AC70" i="4"/>
  <c r="AF69" i="4"/>
  <c r="AB29" i="4"/>
  <c r="C30" i="4"/>
  <c r="U29" i="4"/>
  <c r="T29" i="4" s="1"/>
  <c r="R68" i="4"/>
  <c r="S68" i="4"/>
  <c r="R28" i="4"/>
  <c r="T28" i="4"/>
  <c r="H70" i="4"/>
  <c r="K30" i="4"/>
  <c r="L70" i="4"/>
  <c r="M70" i="4"/>
  <c r="AD29" i="4"/>
  <c r="I30" i="4"/>
  <c r="P70" i="4"/>
  <c r="O30" i="4"/>
  <c r="K70" i="4"/>
  <c r="L30" i="4"/>
  <c r="J30" i="4"/>
  <c r="J70" i="4"/>
  <c r="O70" i="4"/>
  <c r="N70" i="4"/>
  <c r="H30" i="4"/>
  <c r="I70" i="4"/>
  <c r="P30" i="4"/>
  <c r="M30" i="4"/>
  <c r="G70" i="4"/>
  <c r="N30" i="4"/>
  <c r="G30" i="4"/>
  <c r="AD69" i="4"/>
  <c r="AE69" i="4" l="1"/>
  <c r="AG69" i="4" s="1"/>
  <c r="AE29" i="4"/>
  <c r="AG29" i="4" s="1"/>
  <c r="AC71" i="4"/>
  <c r="AF70" i="4"/>
  <c r="C31" i="4"/>
  <c r="U30" i="4"/>
  <c r="T30" i="4" s="1"/>
  <c r="AB30" i="4"/>
  <c r="AC31" i="4"/>
  <c r="AF30" i="4"/>
  <c r="C71" i="4"/>
  <c r="AB70" i="4"/>
  <c r="U70" i="4"/>
  <c r="T70" i="4" s="1"/>
  <c r="T69" i="4"/>
  <c r="S29" i="4"/>
  <c r="R29" i="4"/>
  <c r="S69" i="4"/>
  <c r="P31" i="4"/>
  <c r="H31" i="4"/>
  <c r="AD70" i="4"/>
  <c r="J31" i="4"/>
  <c r="L71" i="4"/>
  <c r="N71" i="4"/>
  <c r="M71" i="4"/>
  <c r="H71" i="4"/>
  <c r="J71" i="4"/>
  <c r="G71" i="4"/>
  <c r="K31" i="4"/>
  <c r="O31" i="4"/>
  <c r="M31" i="4"/>
  <c r="I71" i="4"/>
  <c r="N31" i="4"/>
  <c r="L31" i="4"/>
  <c r="AD30" i="4"/>
  <c r="K71" i="4"/>
  <c r="I31" i="4"/>
  <c r="P71" i="4"/>
  <c r="O71" i="4"/>
  <c r="G31" i="4"/>
  <c r="AE70" i="4" l="1"/>
  <c r="AG70" i="4" s="1"/>
  <c r="AE30" i="4"/>
  <c r="AG30" i="4" s="1"/>
  <c r="AC32" i="4"/>
  <c r="AF31" i="4"/>
  <c r="C32" i="4"/>
  <c r="U31" i="4"/>
  <c r="T31" i="4" s="1"/>
  <c r="AB31" i="4"/>
  <c r="AC72" i="4"/>
  <c r="AF71" i="4"/>
  <c r="U71" i="4"/>
  <c r="T71" i="4" s="1"/>
  <c r="AB71" i="4"/>
  <c r="C72" i="4"/>
  <c r="R70" i="4"/>
  <c r="S70" i="4"/>
  <c r="R30" i="4"/>
  <c r="S30" i="4"/>
  <c r="J32" i="4"/>
  <c r="I32" i="4"/>
  <c r="N72" i="4"/>
  <c r="K72" i="4"/>
  <c r="N32" i="4"/>
  <c r="P32" i="4"/>
  <c r="K32" i="4"/>
  <c r="P72" i="4"/>
  <c r="AD31" i="4"/>
  <c r="H72" i="4"/>
  <c r="J72" i="4"/>
  <c r="M72" i="4"/>
  <c r="G72" i="4"/>
  <c r="AD71" i="4"/>
  <c r="I72" i="4"/>
  <c r="M32" i="4"/>
  <c r="H32" i="4"/>
  <c r="L72" i="4"/>
  <c r="O72" i="4"/>
  <c r="O32" i="4"/>
  <c r="L32" i="4"/>
  <c r="G32" i="4"/>
  <c r="AE71" i="4" l="1"/>
  <c r="AG71" i="4" s="1"/>
  <c r="AE31" i="4"/>
  <c r="AG31" i="4" s="1"/>
  <c r="AF72" i="4"/>
  <c r="AC73" i="4"/>
  <c r="C73" i="4"/>
  <c r="U72" i="4"/>
  <c r="R72" i="4" s="1"/>
  <c r="AB72" i="4"/>
  <c r="AB32" i="4"/>
  <c r="C33" i="4"/>
  <c r="U32" i="4"/>
  <c r="T32" i="4" s="1"/>
  <c r="AC33" i="4"/>
  <c r="AF32" i="4"/>
  <c r="S71" i="4"/>
  <c r="S31" i="4"/>
  <c r="R31" i="4"/>
  <c r="R71" i="4"/>
  <c r="G73" i="4"/>
  <c r="N73" i="4"/>
  <c r="M33" i="4"/>
  <c r="AD32" i="4"/>
  <c r="L73" i="4"/>
  <c r="O33" i="4"/>
  <c r="P73" i="4"/>
  <c r="H73" i="4"/>
  <c r="O73" i="4"/>
  <c r="J73" i="4"/>
  <c r="K33" i="4"/>
  <c r="H33" i="4"/>
  <c r="N33" i="4"/>
  <c r="P33" i="4"/>
  <c r="K73" i="4"/>
  <c r="AD72" i="4"/>
  <c r="L33" i="4"/>
  <c r="J33" i="4"/>
  <c r="M73" i="4"/>
  <c r="I33" i="4"/>
  <c r="I73" i="4"/>
  <c r="G33" i="4"/>
  <c r="AE72" i="4" l="1"/>
  <c r="AG72" i="4" s="1"/>
  <c r="AE32" i="4"/>
  <c r="AG32" i="4" s="1"/>
  <c r="AC34" i="4"/>
  <c r="AF33" i="4"/>
  <c r="C74" i="4"/>
  <c r="AB73" i="4"/>
  <c r="U73" i="4"/>
  <c r="R73" i="4" s="1"/>
  <c r="AF73" i="4"/>
  <c r="AC74" i="4"/>
  <c r="AB33" i="4"/>
  <c r="C34" i="4"/>
  <c r="U33" i="4"/>
  <c r="R33" i="4" s="1"/>
  <c r="R32" i="4"/>
  <c r="S32" i="4"/>
  <c r="S72" i="4"/>
  <c r="T72" i="4"/>
  <c r="P74" i="4"/>
  <c r="H34" i="4"/>
  <c r="K74" i="4"/>
  <c r="P34" i="4"/>
  <c r="I34" i="4"/>
  <c r="AD73" i="4"/>
  <c r="M34" i="4"/>
  <c r="AD33" i="4"/>
  <c r="N74" i="4"/>
  <c r="O34" i="4"/>
  <c r="I74" i="4"/>
  <c r="M74" i="4"/>
  <c r="K34" i="4"/>
  <c r="H74" i="4"/>
  <c r="G74" i="4"/>
  <c r="L34" i="4"/>
  <c r="J34" i="4"/>
  <c r="N34" i="4"/>
  <c r="O74" i="4"/>
  <c r="L74" i="4"/>
  <c r="J74" i="4"/>
  <c r="G34" i="4"/>
  <c r="AE33" i="4" l="1"/>
  <c r="AG33" i="4" s="1"/>
  <c r="AE73" i="4"/>
  <c r="AG73" i="4" s="1"/>
  <c r="AC75" i="4"/>
  <c r="AF74" i="4"/>
  <c r="AB74" i="4"/>
  <c r="C75" i="4"/>
  <c r="U74" i="4"/>
  <c r="R74" i="4" s="1"/>
  <c r="AF34" i="4"/>
  <c r="AC35" i="4"/>
  <c r="C35" i="4"/>
  <c r="AB34" i="4"/>
  <c r="U34" i="4"/>
  <c r="R34" i="4" s="1"/>
  <c r="S73" i="4"/>
  <c r="S33" i="4"/>
  <c r="T33" i="4"/>
  <c r="T73" i="4"/>
  <c r="N35" i="4"/>
  <c r="O35" i="4"/>
  <c r="N75" i="4"/>
  <c r="AD74" i="4"/>
  <c r="J75" i="4"/>
  <c r="P35" i="4"/>
  <c r="AD34" i="4"/>
  <c r="G35" i="4"/>
  <c r="I75" i="4"/>
  <c r="G75" i="4"/>
  <c r="L35" i="4"/>
  <c r="H35" i="4"/>
  <c r="K35" i="4"/>
  <c r="M75" i="4"/>
  <c r="K75" i="4"/>
  <c r="P75" i="4"/>
  <c r="I35" i="4"/>
  <c r="H75" i="4"/>
  <c r="J35" i="4"/>
  <c r="L75" i="4"/>
  <c r="O75" i="4"/>
  <c r="M35" i="4"/>
  <c r="AE74" i="4" l="1"/>
  <c r="AG74" i="4" s="1"/>
  <c r="AE34" i="4"/>
  <c r="AG34" i="4" s="1"/>
  <c r="AC36" i="4"/>
  <c r="AF35" i="4"/>
  <c r="C76" i="4"/>
  <c r="AB75" i="4"/>
  <c r="U75" i="4"/>
  <c r="R75" i="4" s="1"/>
  <c r="AF75" i="4"/>
  <c r="AC76" i="4"/>
  <c r="C36" i="4"/>
  <c r="AB35" i="4"/>
  <c r="U35" i="4"/>
  <c r="R35" i="4" s="1"/>
  <c r="T34" i="4"/>
  <c r="S74" i="4"/>
  <c r="T74" i="4"/>
  <c r="S34" i="4"/>
  <c r="M36" i="4"/>
  <c r="I36" i="4"/>
  <c r="AD75" i="4"/>
  <c r="H76" i="4"/>
  <c r="O76" i="4"/>
  <c r="L76" i="4"/>
  <c r="N76" i="4"/>
  <c r="N36" i="4"/>
  <c r="J76" i="4"/>
  <c r="P36" i="4"/>
  <c r="K36" i="4"/>
  <c r="G36" i="4"/>
  <c r="J36" i="4"/>
  <c r="H36" i="4"/>
  <c r="I76" i="4"/>
  <c r="G76" i="4"/>
  <c r="AD35" i="4"/>
  <c r="L36" i="4"/>
  <c r="M76" i="4"/>
  <c r="O36" i="4"/>
  <c r="K76" i="4"/>
  <c r="P76" i="4"/>
  <c r="AE35" i="4" l="1"/>
  <c r="AG35" i="4" s="1"/>
  <c r="AE75" i="4"/>
  <c r="AG75" i="4" s="1"/>
  <c r="AF76" i="4"/>
  <c r="AC77" i="4"/>
  <c r="C77" i="4"/>
  <c r="U76" i="4"/>
  <c r="S76" i="4" s="1"/>
  <c r="AB76" i="4"/>
  <c r="AC37" i="4"/>
  <c r="AF36" i="4"/>
  <c r="C37" i="4"/>
  <c r="U36" i="4"/>
  <c r="R36" i="4" s="1"/>
  <c r="AB36" i="4"/>
  <c r="S75" i="4"/>
  <c r="T75" i="4"/>
  <c r="T35" i="4"/>
  <c r="S35" i="4"/>
  <c r="AD36" i="4"/>
  <c r="AD76" i="4"/>
  <c r="L77" i="4"/>
  <c r="O37" i="4"/>
  <c r="J37" i="4"/>
  <c r="M37" i="4"/>
  <c r="P77" i="4"/>
  <c r="N37" i="4"/>
  <c r="I37" i="4"/>
  <c r="P37" i="4"/>
  <c r="O77" i="4"/>
  <c r="G77" i="4"/>
  <c r="J77" i="4"/>
  <c r="G37" i="4"/>
  <c r="K37" i="4"/>
  <c r="N77" i="4"/>
  <c r="M77" i="4"/>
  <c r="K77" i="4"/>
  <c r="L37" i="4"/>
  <c r="I77" i="4"/>
  <c r="H77" i="4"/>
  <c r="H37" i="4"/>
  <c r="AE76" i="4" l="1"/>
  <c r="AG76" i="4" s="1"/>
  <c r="AE36" i="4"/>
  <c r="AG36" i="4" s="1"/>
  <c r="AB37" i="4"/>
  <c r="U37" i="4"/>
  <c r="R37" i="4" s="1"/>
  <c r="C38" i="4"/>
  <c r="AF37" i="4"/>
  <c r="AC38" i="4"/>
  <c r="U77" i="4"/>
  <c r="R77" i="4" s="1"/>
  <c r="AB77" i="4"/>
  <c r="C78" i="4"/>
  <c r="AC78" i="4"/>
  <c r="AF77" i="4"/>
  <c r="T36" i="4"/>
  <c r="R76" i="4"/>
  <c r="S36" i="4"/>
  <c r="T76" i="4"/>
  <c r="AD77" i="4"/>
  <c r="G38" i="4"/>
  <c r="J38" i="4"/>
  <c r="G78" i="4"/>
  <c r="M78" i="4"/>
  <c r="H38" i="4"/>
  <c r="N38" i="4"/>
  <c r="P78" i="4"/>
  <c r="O78" i="4"/>
  <c r="M38" i="4"/>
  <c r="J78" i="4"/>
  <c r="P38" i="4"/>
  <c r="L78" i="4"/>
  <c r="L38" i="4"/>
  <c r="I38" i="4"/>
  <c r="I78" i="4"/>
  <c r="K38" i="4"/>
  <c r="O38" i="4"/>
  <c r="K78" i="4"/>
  <c r="AD37" i="4"/>
  <c r="H78" i="4"/>
  <c r="N78" i="4"/>
  <c r="AE37" i="4" l="1"/>
  <c r="AG37" i="4" s="1"/>
  <c r="AE77" i="4"/>
  <c r="AG77" i="4" s="1"/>
  <c r="AF78" i="4"/>
  <c r="AC79" i="4"/>
  <c r="AC39" i="4"/>
  <c r="AF38" i="4"/>
  <c r="U38" i="4"/>
  <c r="S38" i="4" s="1"/>
  <c r="AB38" i="4"/>
  <c r="C39" i="4"/>
  <c r="C79" i="4"/>
  <c r="U78" i="4"/>
  <c r="R78" i="4" s="1"/>
  <c r="AB78" i="4"/>
  <c r="S77" i="4"/>
  <c r="T77" i="4"/>
  <c r="S37" i="4"/>
  <c r="T37" i="4"/>
  <c r="L39" i="4"/>
  <c r="K79" i="4"/>
  <c r="M79" i="4"/>
  <c r="O79" i="4"/>
  <c r="J39" i="4"/>
  <c r="I39" i="4"/>
  <c r="I79" i="4"/>
  <c r="G79" i="4"/>
  <c r="AD78" i="4"/>
  <c r="H79" i="4"/>
  <c r="AD38" i="4"/>
  <c r="J79" i="4"/>
  <c r="O39" i="4"/>
  <c r="N39" i="4"/>
  <c r="H39" i="4"/>
  <c r="N79" i="4"/>
  <c r="L79" i="4"/>
  <c r="G39" i="4"/>
  <c r="P39" i="4"/>
  <c r="M39" i="4"/>
  <c r="K39" i="4"/>
  <c r="P79" i="4"/>
  <c r="AE78" i="4" l="1"/>
  <c r="AG78" i="4" s="1"/>
  <c r="AE38" i="4"/>
  <c r="AG38" i="4" s="1"/>
  <c r="C40" i="4"/>
  <c r="U39" i="4"/>
  <c r="S39" i="4" s="1"/>
  <c r="AB39" i="4"/>
  <c r="AC40" i="4"/>
  <c r="AF39" i="4"/>
  <c r="AC80" i="4"/>
  <c r="AF79" i="4"/>
  <c r="U79" i="4"/>
  <c r="R79" i="4" s="1"/>
  <c r="C80" i="4"/>
  <c r="AB79" i="4"/>
  <c r="T78" i="4"/>
  <c r="T38" i="4"/>
  <c r="R38" i="4"/>
  <c r="S78" i="4"/>
  <c r="L80" i="4"/>
  <c r="G40" i="4"/>
  <c r="AD39" i="4"/>
  <c r="H40" i="4"/>
  <c r="G80" i="4"/>
  <c r="M80" i="4"/>
  <c r="L40" i="4"/>
  <c r="AD79" i="4"/>
  <c r="J80" i="4"/>
  <c r="H80" i="4"/>
  <c r="P80" i="4"/>
  <c r="K80" i="4"/>
  <c r="O40" i="4"/>
  <c r="M40" i="4"/>
  <c r="I40" i="4"/>
  <c r="N80" i="4"/>
  <c r="N40" i="4"/>
  <c r="O80" i="4"/>
  <c r="K40" i="4"/>
  <c r="P40" i="4"/>
  <c r="J40" i="4"/>
  <c r="I80" i="4"/>
  <c r="AE79" i="4" l="1"/>
  <c r="AG79" i="4" s="1"/>
  <c r="AE39" i="4"/>
  <c r="AG39" i="4" s="1"/>
  <c r="AF80" i="4"/>
  <c r="AC81" i="4"/>
  <c r="AF40" i="4"/>
  <c r="AC41" i="4"/>
  <c r="AB40" i="4"/>
  <c r="U40" i="4"/>
  <c r="R40" i="4" s="1"/>
  <c r="C41" i="4"/>
  <c r="AB80" i="4"/>
  <c r="C81" i="4"/>
  <c r="U80" i="4"/>
  <c r="R80" i="4" s="1"/>
  <c r="T39" i="4"/>
  <c r="S79" i="4"/>
  <c r="T79" i="4"/>
  <c r="R39" i="4"/>
  <c r="AD40" i="4"/>
  <c r="J81" i="4"/>
  <c r="O41" i="4"/>
  <c r="M81" i="4"/>
  <c r="I41" i="4"/>
  <c r="L41" i="4"/>
  <c r="G81" i="4"/>
  <c r="N81" i="4"/>
  <c r="K81" i="4"/>
  <c r="P41" i="4"/>
  <c r="G41" i="4"/>
  <c r="P81" i="4"/>
  <c r="K41" i="4"/>
  <c r="H81" i="4"/>
  <c r="N41" i="4"/>
  <c r="I81" i="4"/>
  <c r="H41" i="4"/>
  <c r="M41" i="4"/>
  <c r="L81" i="4"/>
  <c r="O81" i="4"/>
  <c r="AD80" i="4"/>
  <c r="J41" i="4"/>
  <c r="AE80" i="4" l="1"/>
  <c r="AG80" i="4" s="1"/>
  <c r="AE40" i="4"/>
  <c r="AG40" i="4" s="1"/>
  <c r="U41" i="4"/>
  <c r="S41" i="4" s="1"/>
  <c r="C42" i="4"/>
  <c r="AB41" i="4"/>
  <c r="AC42" i="4"/>
  <c r="AF41" i="4"/>
  <c r="AC82" i="4"/>
  <c r="AF81" i="4"/>
  <c r="U81" i="4"/>
  <c r="S81" i="4" s="1"/>
  <c r="AB81" i="4"/>
  <c r="C82" i="4"/>
  <c r="T80" i="4"/>
  <c r="S40" i="4"/>
  <c r="S80" i="4"/>
  <c r="T40" i="4"/>
  <c r="P42" i="4"/>
  <c r="N42" i="4"/>
  <c r="J42" i="4"/>
  <c r="AD41" i="4"/>
  <c r="O42" i="4"/>
  <c r="J82" i="4"/>
  <c r="L42" i="4"/>
  <c r="M82" i="4"/>
  <c r="AD81" i="4"/>
  <c r="K42" i="4"/>
  <c r="I42" i="4"/>
  <c r="I82" i="4"/>
  <c r="G82" i="4"/>
  <c r="M42" i="4"/>
  <c r="H82" i="4"/>
  <c r="K82" i="4"/>
  <c r="P82" i="4"/>
  <c r="L82" i="4"/>
  <c r="G42" i="4"/>
  <c r="N82" i="4"/>
  <c r="O82" i="4"/>
  <c r="H42" i="4"/>
  <c r="AE81" i="4" l="1"/>
  <c r="AG81" i="4" s="1"/>
  <c r="AE41" i="4"/>
  <c r="AG41" i="4" s="1"/>
  <c r="AF82" i="4"/>
  <c r="AC83" i="4"/>
  <c r="AF42" i="4"/>
  <c r="AC43" i="4"/>
  <c r="U82" i="4"/>
  <c r="R82" i="4" s="1"/>
  <c r="C83" i="4"/>
  <c r="AB82" i="4"/>
  <c r="U42" i="4"/>
  <c r="R42" i="4" s="1"/>
  <c r="AB42" i="4"/>
  <c r="C43" i="4"/>
  <c r="R81" i="4"/>
  <c r="R41" i="4"/>
  <c r="T81" i="4"/>
  <c r="T41" i="4"/>
  <c r="I43" i="4"/>
  <c r="L83" i="4"/>
  <c r="N83" i="4"/>
  <c r="H43" i="4"/>
  <c r="G43" i="4"/>
  <c r="P43" i="4"/>
  <c r="J83" i="4"/>
  <c r="O83" i="4"/>
  <c r="H83" i="4"/>
  <c r="AD42" i="4"/>
  <c r="K43" i="4"/>
  <c r="N43" i="4"/>
  <c r="O43" i="4"/>
  <c r="G83" i="4"/>
  <c r="I83" i="4"/>
  <c r="P83" i="4"/>
  <c r="J43" i="4"/>
  <c r="AD82" i="4"/>
  <c r="K83" i="4"/>
  <c r="M83" i="4"/>
  <c r="M43" i="4"/>
  <c r="L43" i="4"/>
  <c r="AE82" i="4" l="1"/>
  <c r="AG82" i="4" s="1"/>
  <c r="AE42" i="4"/>
  <c r="AG42" i="4" s="1"/>
  <c r="U43" i="4"/>
  <c r="S43" i="4" s="1"/>
  <c r="C44" i="4"/>
  <c r="AB43" i="4"/>
  <c r="AB83" i="4"/>
  <c r="C84" i="4"/>
  <c r="U83" i="4"/>
  <c r="S83" i="4" s="1"/>
  <c r="AC44" i="4"/>
  <c r="AF43" i="4"/>
  <c r="AF83" i="4"/>
  <c r="AC84" i="4"/>
  <c r="S42" i="4"/>
  <c r="T42" i="4"/>
  <c r="T82" i="4"/>
  <c r="S82" i="4"/>
  <c r="J84" i="4"/>
  <c r="M44" i="4"/>
  <c r="L84" i="4"/>
  <c r="O44" i="4"/>
  <c r="J44" i="4"/>
  <c r="N84" i="4"/>
  <c r="L44" i="4"/>
  <c r="H84" i="4"/>
  <c r="I84" i="4"/>
  <c r="I44" i="4"/>
  <c r="K84" i="4"/>
  <c r="G44" i="4"/>
  <c r="AD43" i="4"/>
  <c r="K44" i="4"/>
  <c r="P44" i="4"/>
  <c r="P84" i="4"/>
  <c r="G84" i="4"/>
  <c r="N44" i="4"/>
  <c r="M84" i="4"/>
  <c r="O84" i="4"/>
  <c r="H44" i="4"/>
  <c r="AD83" i="4"/>
  <c r="AE43" i="4" l="1"/>
  <c r="AG43" i="4" s="1"/>
  <c r="AE83" i="4"/>
  <c r="AG83" i="4" s="1"/>
  <c r="U84" i="4"/>
  <c r="T84" i="4" s="1"/>
  <c r="AB84" i="4"/>
  <c r="C85" i="4"/>
  <c r="AC85" i="4"/>
  <c r="AF84" i="4"/>
  <c r="C45" i="4"/>
  <c r="AB44" i="4"/>
  <c r="U44" i="4"/>
  <c r="S44" i="4" s="1"/>
  <c r="AF44" i="4"/>
  <c r="AC45" i="4"/>
  <c r="T83" i="4"/>
  <c r="R83" i="4"/>
  <c r="R43" i="4"/>
  <c r="T43" i="4"/>
  <c r="G85" i="4"/>
  <c r="M85" i="4"/>
  <c r="P85" i="4"/>
  <c r="G45" i="4"/>
  <c r="M45" i="4"/>
  <c r="N85" i="4"/>
  <c r="AD84" i="4"/>
  <c r="J45" i="4"/>
  <c r="K45" i="4"/>
  <c r="O85" i="4"/>
  <c r="I85" i="4"/>
  <c r="L85" i="4"/>
  <c r="L45" i="4"/>
  <c r="I45" i="4"/>
  <c r="J85" i="4"/>
  <c r="O45" i="4"/>
  <c r="H85" i="4"/>
  <c r="K85" i="4"/>
  <c r="N45" i="4"/>
  <c r="AD44" i="4"/>
  <c r="H45" i="4"/>
  <c r="P45" i="4"/>
  <c r="AE84" i="4" l="1"/>
  <c r="AG84" i="4" s="1"/>
  <c r="AE44" i="4"/>
  <c r="AG44" i="4" s="1"/>
  <c r="C46" i="4"/>
  <c r="AB45" i="4"/>
  <c r="U45" i="4"/>
  <c r="T45" i="4" s="1"/>
  <c r="AF45" i="4"/>
  <c r="AC46" i="4"/>
  <c r="AC86" i="4"/>
  <c r="AF85" i="4"/>
  <c r="U85" i="4"/>
  <c r="R85" i="4" s="1"/>
  <c r="C86" i="4"/>
  <c r="AB85" i="4"/>
  <c r="R44" i="4"/>
  <c r="T44" i="4"/>
  <c r="S84" i="4"/>
  <c r="R84" i="4"/>
  <c r="P46" i="4"/>
  <c r="AD85" i="4"/>
  <c r="G86" i="4"/>
  <c r="AD45" i="4"/>
  <c r="H86" i="4"/>
  <c r="O86" i="4"/>
  <c r="N86" i="4"/>
  <c r="K86" i="4"/>
  <c r="N46" i="4"/>
  <c r="M86" i="4"/>
  <c r="I46" i="4"/>
  <c r="J86" i="4"/>
  <c r="K46" i="4"/>
  <c r="M46" i="4"/>
  <c r="L46" i="4"/>
  <c r="L86" i="4"/>
  <c r="I86" i="4"/>
  <c r="J46" i="4"/>
  <c r="O46" i="4"/>
  <c r="G46" i="4"/>
  <c r="P86" i="4"/>
  <c r="H46" i="4"/>
  <c r="AE85" i="4" l="1"/>
  <c r="AG85" i="4" s="1"/>
  <c r="AE45" i="4"/>
  <c r="AG45" i="4" s="1"/>
  <c r="AC87" i="4"/>
  <c r="AF86" i="4"/>
  <c r="AF46" i="4"/>
  <c r="AC47" i="4"/>
  <c r="AB46" i="4"/>
  <c r="U46" i="4"/>
  <c r="T46" i="4" s="1"/>
  <c r="C47" i="4"/>
  <c r="U86" i="4"/>
  <c r="S86" i="4" s="1"/>
  <c r="AB86" i="4"/>
  <c r="C87" i="4"/>
  <c r="S85" i="4"/>
  <c r="R45" i="4"/>
  <c r="S45" i="4"/>
  <c r="T85" i="4"/>
  <c r="O47" i="4"/>
  <c r="K87" i="4"/>
  <c r="I47" i="4"/>
  <c r="O87" i="4"/>
  <c r="N87" i="4"/>
  <c r="G47" i="4"/>
  <c r="AD46" i="4"/>
  <c r="H47" i="4"/>
  <c r="M47" i="4"/>
  <c r="AD86" i="4"/>
  <c r="J87" i="4"/>
  <c r="L47" i="4"/>
  <c r="K47" i="4"/>
  <c r="J47" i="4"/>
  <c r="P47" i="4"/>
  <c r="N47" i="4"/>
  <c r="P87" i="4"/>
  <c r="G87" i="4"/>
  <c r="M87" i="4"/>
  <c r="H87" i="4"/>
  <c r="L87" i="4"/>
  <c r="I87" i="4"/>
  <c r="AE46" i="4" l="1"/>
  <c r="AG46" i="4" s="1"/>
  <c r="AE86" i="4"/>
  <c r="AG86" i="4" s="1"/>
  <c r="AB47" i="4"/>
  <c r="U47" i="4"/>
  <c r="R47" i="4" s="1"/>
  <c r="C48" i="4"/>
  <c r="AC48" i="4"/>
  <c r="AF47" i="4"/>
  <c r="AC88" i="4"/>
  <c r="AF87" i="4"/>
  <c r="C88" i="4"/>
  <c r="AB87" i="4"/>
  <c r="U87" i="4"/>
  <c r="R87" i="4" s="1"/>
  <c r="S46" i="4"/>
  <c r="T86" i="4"/>
  <c r="R46" i="4"/>
  <c r="R86" i="4"/>
  <c r="G88" i="4"/>
  <c r="M88" i="4"/>
  <c r="N48" i="4"/>
  <c r="N88" i="4"/>
  <c r="K48" i="4"/>
  <c r="M48" i="4"/>
  <c r="H88" i="4"/>
  <c r="J48" i="4"/>
  <c r="O88" i="4"/>
  <c r="O48" i="4"/>
  <c r="AD87" i="4"/>
  <c r="P48" i="4"/>
  <c r="H48" i="4"/>
  <c r="L48" i="4"/>
  <c r="I48" i="4"/>
  <c r="AD47" i="4"/>
  <c r="P88" i="4"/>
  <c r="J88" i="4"/>
  <c r="L88" i="4"/>
  <c r="I88" i="4"/>
  <c r="K88" i="4"/>
  <c r="G48" i="4"/>
  <c r="AE87" i="4" l="1"/>
  <c r="AG87" i="4" s="1"/>
  <c r="AE47" i="4"/>
  <c r="AG47" i="4" s="1"/>
  <c r="AC89" i="4"/>
  <c r="AF88" i="4"/>
  <c r="AC49" i="4"/>
  <c r="AF48" i="4"/>
  <c r="C49" i="4"/>
  <c r="AB48" i="4"/>
  <c r="U48" i="4"/>
  <c r="S48" i="4" s="1"/>
  <c r="AB88" i="4"/>
  <c r="U88" i="4"/>
  <c r="R88" i="4" s="1"/>
  <c r="C89" i="4"/>
  <c r="S87" i="4"/>
  <c r="S47" i="4"/>
  <c r="T87" i="4"/>
  <c r="T47" i="4"/>
  <c r="AD48" i="4"/>
  <c r="J89" i="4"/>
  <c r="O89" i="4"/>
  <c r="M49" i="4"/>
  <c r="K49" i="4"/>
  <c r="I49" i="4"/>
  <c r="P49" i="4"/>
  <c r="G49" i="4"/>
  <c r="L89" i="4"/>
  <c r="K89" i="4"/>
  <c r="H49" i="4"/>
  <c r="P89" i="4"/>
  <c r="I89" i="4"/>
  <c r="O49" i="4"/>
  <c r="J49" i="4"/>
  <c r="AD88" i="4"/>
  <c r="L49" i="4"/>
  <c r="G89" i="4"/>
  <c r="H89" i="4"/>
  <c r="N89" i="4"/>
  <c r="N49" i="4"/>
  <c r="M89" i="4"/>
  <c r="AE88" i="4" l="1"/>
  <c r="AG88" i="4" s="1"/>
  <c r="AE48" i="4"/>
  <c r="AG48" i="4" s="1"/>
  <c r="U49" i="4"/>
  <c r="T49" i="4" s="1"/>
  <c r="C50" i="4"/>
  <c r="AB49" i="4"/>
  <c r="AF49" i="4"/>
  <c r="AC50" i="4"/>
  <c r="AC90" i="4"/>
  <c r="AF89" i="4"/>
  <c r="C90" i="4"/>
  <c r="AB89" i="4"/>
  <c r="U89" i="4"/>
  <c r="S89" i="4" s="1"/>
  <c r="T88" i="4"/>
  <c r="R48" i="4"/>
  <c r="T48" i="4"/>
  <c r="S88" i="4"/>
  <c r="AD89" i="4"/>
  <c r="G50" i="4"/>
  <c r="AD49" i="4"/>
  <c r="I50" i="4"/>
  <c r="G90" i="4"/>
  <c r="L90" i="4"/>
  <c r="M90" i="4"/>
  <c r="P50" i="4"/>
  <c r="M50" i="4"/>
  <c r="N50" i="4"/>
  <c r="K90" i="4"/>
  <c r="L50" i="4"/>
  <c r="I90" i="4"/>
  <c r="H50" i="4"/>
  <c r="J50" i="4"/>
  <c r="O50" i="4"/>
  <c r="O90" i="4"/>
  <c r="J90" i="4"/>
  <c r="P90" i="4"/>
  <c r="N90" i="4"/>
  <c r="K50" i="4"/>
  <c r="H90" i="4"/>
  <c r="AE89" i="4" l="1"/>
  <c r="AG89" i="4" s="1"/>
  <c r="AE49" i="4"/>
  <c r="AG49" i="4" s="1"/>
  <c r="AF90" i="4"/>
  <c r="AC91" i="4"/>
  <c r="AF50" i="4"/>
  <c r="AC51" i="4"/>
  <c r="C51" i="4"/>
  <c r="U50" i="4"/>
  <c r="S50" i="4" s="1"/>
  <c r="AB50" i="4"/>
  <c r="C91" i="4"/>
  <c r="U90" i="4"/>
  <c r="R90" i="4" s="1"/>
  <c r="AB90" i="4"/>
  <c r="R89" i="4"/>
  <c r="R49" i="4"/>
  <c r="S49" i="4"/>
  <c r="T89" i="4"/>
  <c r="O51" i="4"/>
  <c r="M51" i="4"/>
  <c r="J51" i="4"/>
  <c r="N91" i="4"/>
  <c r="K91" i="4"/>
  <c r="H51" i="4"/>
  <c r="N51" i="4"/>
  <c r="H91" i="4"/>
  <c r="G51" i="4"/>
  <c r="K51" i="4"/>
  <c r="G91" i="4"/>
  <c r="J91" i="4"/>
  <c r="L91" i="4"/>
  <c r="L51" i="4"/>
  <c r="I51" i="4"/>
  <c r="P91" i="4"/>
  <c r="P51" i="4"/>
  <c r="O91" i="4"/>
  <c r="I91" i="4"/>
  <c r="M91" i="4"/>
  <c r="AD90" i="4"/>
  <c r="AD50" i="4"/>
  <c r="AE90" i="4" l="1"/>
  <c r="AG90" i="4" s="1"/>
  <c r="AE50" i="4"/>
  <c r="AG50" i="4" s="1"/>
  <c r="C52" i="4"/>
  <c r="AB51" i="4"/>
  <c r="U51" i="4"/>
  <c r="S51" i="4" s="1"/>
  <c r="AF51" i="4"/>
  <c r="AC52" i="4"/>
  <c r="AF91" i="4"/>
  <c r="AC92" i="4"/>
  <c r="U91" i="4"/>
  <c r="S91" i="4" s="1"/>
  <c r="C92" i="4"/>
  <c r="AB91" i="4"/>
  <c r="T90" i="4"/>
  <c r="R50" i="4"/>
  <c r="T50" i="4"/>
  <c r="S90" i="4"/>
  <c r="AD91" i="4"/>
  <c r="M92" i="4"/>
  <c r="K52" i="4"/>
  <c r="N52" i="4"/>
  <c r="M52" i="4"/>
  <c r="J92" i="4"/>
  <c r="I92" i="4"/>
  <c r="G52" i="4"/>
  <c r="O92" i="4"/>
  <c r="H92" i="4"/>
  <c r="P52" i="4"/>
  <c r="L92" i="4"/>
  <c r="N92" i="4"/>
  <c r="P92" i="4"/>
  <c r="AD51" i="4"/>
  <c r="K92" i="4"/>
  <c r="O52" i="4"/>
  <c r="L52" i="4"/>
  <c r="J52" i="4"/>
  <c r="I52" i="4"/>
  <c r="H52" i="4"/>
  <c r="G92" i="4"/>
  <c r="AE51" i="4" l="1"/>
  <c r="AG51" i="4" s="1"/>
  <c r="AE91" i="4"/>
  <c r="AG91" i="4" s="1"/>
  <c r="AC93" i="4"/>
  <c r="AF92" i="4"/>
  <c r="AF52" i="4"/>
  <c r="AC53" i="4"/>
  <c r="U52" i="4"/>
  <c r="S52" i="4" s="1"/>
  <c r="C53" i="4"/>
  <c r="AB52" i="4"/>
  <c r="C93" i="4"/>
  <c r="AB92" i="4"/>
  <c r="U92" i="4"/>
  <c r="S92" i="4" s="1"/>
  <c r="T91" i="4"/>
  <c r="R91" i="4"/>
  <c r="R51" i="4"/>
  <c r="T51" i="4"/>
  <c r="AD52" i="4"/>
  <c r="H53" i="4"/>
  <c r="L93" i="4"/>
  <c r="K53" i="4"/>
  <c r="N53" i="4"/>
  <c r="AD92" i="4"/>
  <c r="N93" i="4"/>
  <c r="H93" i="4"/>
  <c r="P53" i="4"/>
  <c r="J93" i="4"/>
  <c r="K93" i="4"/>
  <c r="L53" i="4"/>
  <c r="J53" i="4"/>
  <c r="O53" i="4"/>
  <c r="I93" i="4"/>
  <c r="O93" i="4"/>
  <c r="M93" i="4"/>
  <c r="P93" i="4"/>
  <c r="G53" i="4"/>
  <c r="I53" i="4"/>
  <c r="M53" i="4"/>
  <c r="G93" i="4"/>
  <c r="AE92" i="4" l="1"/>
  <c r="AG92" i="4" s="1"/>
  <c r="AE52" i="4"/>
  <c r="AG52" i="4" s="1"/>
  <c r="C54" i="4"/>
  <c r="U53" i="4"/>
  <c r="R53" i="4" s="1"/>
  <c r="AB53" i="4"/>
  <c r="AC54" i="4"/>
  <c r="AF53" i="4"/>
  <c r="AF93" i="4"/>
  <c r="AC94" i="4"/>
  <c r="U93" i="4"/>
  <c r="T93" i="4" s="1"/>
  <c r="AB93" i="4"/>
  <c r="C94" i="4"/>
  <c r="T92" i="4"/>
  <c r="R92" i="4"/>
  <c r="R52" i="4"/>
  <c r="T52" i="4"/>
  <c r="K54" i="4"/>
  <c r="O54" i="4"/>
  <c r="AD53" i="4"/>
  <c r="H94" i="4"/>
  <c r="N54" i="4"/>
  <c r="L54" i="4"/>
  <c r="P94" i="4"/>
  <c r="G54" i="4"/>
  <c r="P54" i="4"/>
  <c r="L94" i="4"/>
  <c r="O94" i="4"/>
  <c r="J54" i="4"/>
  <c r="M54" i="4"/>
  <c r="K94" i="4"/>
  <c r="M94" i="4"/>
  <c r="AD93" i="4"/>
  <c r="I94" i="4"/>
  <c r="I54" i="4"/>
  <c r="H54" i="4"/>
  <c r="G94" i="4"/>
  <c r="J94" i="4"/>
  <c r="N94" i="4"/>
  <c r="AE93" i="4" l="1"/>
  <c r="AG93" i="4" s="1"/>
  <c r="AE53" i="4"/>
  <c r="AG53" i="4" s="1"/>
  <c r="AC95" i="4"/>
  <c r="AF94" i="4"/>
  <c r="AC55" i="4"/>
  <c r="AF54" i="4"/>
  <c r="U54" i="4"/>
  <c r="S54" i="4" s="1"/>
  <c r="C55" i="4"/>
  <c r="AB54" i="4"/>
  <c r="U94" i="4"/>
  <c r="R94" i="4" s="1"/>
  <c r="AB94" i="4"/>
  <c r="C95" i="4"/>
  <c r="S53" i="4"/>
  <c r="S93" i="4"/>
  <c r="R93" i="4"/>
  <c r="T53" i="4"/>
  <c r="N95" i="4"/>
  <c r="L55" i="4"/>
  <c r="L95" i="4"/>
  <c r="P95" i="4"/>
  <c r="N55" i="4"/>
  <c r="AD54" i="4"/>
  <c r="AD94" i="4"/>
  <c r="J55" i="4"/>
  <c r="O55" i="4"/>
  <c r="H95" i="4"/>
  <c r="O95" i="4"/>
  <c r="I95" i="4"/>
  <c r="K55" i="4"/>
  <c r="I55" i="4"/>
  <c r="G95" i="4"/>
  <c r="K95" i="4"/>
  <c r="P55" i="4"/>
  <c r="M95" i="4"/>
  <c r="H55" i="4"/>
  <c r="M55" i="4"/>
  <c r="J95" i="4"/>
  <c r="G55" i="4"/>
  <c r="AE54" i="4" l="1"/>
  <c r="AG54" i="4" s="1"/>
  <c r="AE94" i="4"/>
  <c r="AG94" i="4" s="1"/>
  <c r="AB55" i="4"/>
  <c r="C56" i="4"/>
  <c r="U55" i="4"/>
  <c r="T55" i="4" s="1"/>
  <c r="AC56" i="4"/>
  <c r="AF55" i="4"/>
  <c r="AC96" i="4"/>
  <c r="AF95" i="4"/>
  <c r="C96" i="4"/>
  <c r="U95" i="4"/>
  <c r="T95" i="4" s="1"/>
  <c r="AB95" i="4"/>
  <c r="T94" i="4"/>
  <c r="R54" i="4"/>
  <c r="S94" i="4"/>
  <c r="T54" i="4"/>
  <c r="AD55" i="4"/>
  <c r="AD95" i="4"/>
  <c r="G56" i="4"/>
  <c r="N56" i="4"/>
  <c r="L56" i="4"/>
  <c r="P56" i="4"/>
  <c r="M96" i="4"/>
  <c r="M56" i="4"/>
  <c r="K56" i="4"/>
  <c r="N96" i="4"/>
  <c r="G96" i="4"/>
  <c r="H96" i="4"/>
  <c r="O96" i="4"/>
  <c r="L96" i="4"/>
  <c r="P96" i="4"/>
  <c r="K96" i="4"/>
  <c r="J96" i="4"/>
  <c r="H56" i="4"/>
  <c r="I96" i="4"/>
  <c r="O56" i="4"/>
  <c r="I56" i="4"/>
  <c r="J56" i="4"/>
  <c r="AE95" i="4" l="1"/>
  <c r="AG95" i="4" s="1"/>
  <c r="AE55" i="4"/>
  <c r="AG55" i="4" s="1"/>
  <c r="AC97" i="4"/>
  <c r="AF96" i="4"/>
  <c r="AF56" i="4"/>
  <c r="U56" i="4"/>
  <c r="T56" i="4" s="1"/>
  <c r="AB56" i="4"/>
  <c r="C97" i="4"/>
  <c r="AB96" i="4"/>
  <c r="U96" i="4"/>
  <c r="T96" i="4" s="1"/>
  <c r="S95" i="4"/>
  <c r="S55" i="4"/>
  <c r="R55" i="4"/>
  <c r="R95" i="4"/>
  <c r="L97" i="4"/>
  <c r="N97" i="4"/>
  <c r="G97" i="4"/>
  <c r="O97" i="4"/>
  <c r="K97" i="4"/>
  <c r="I97" i="4"/>
  <c r="J97" i="4"/>
  <c r="AD96" i="4"/>
  <c r="AD56" i="4"/>
  <c r="H97" i="4"/>
  <c r="P97" i="4"/>
  <c r="M97" i="4"/>
  <c r="AE96" i="4" l="1"/>
  <c r="AG96" i="4" s="1"/>
  <c r="AE56" i="4"/>
  <c r="AG56" i="4" s="1"/>
  <c r="AB97" i="4"/>
  <c r="C98" i="4"/>
  <c r="U97" i="4"/>
  <c r="R97" i="4" s="1"/>
  <c r="AF97" i="4"/>
  <c r="AC98" i="4"/>
  <c r="R56" i="4"/>
  <c r="S56" i="4"/>
  <c r="S96" i="4"/>
  <c r="R96" i="4"/>
  <c r="M98" i="4"/>
  <c r="L98" i="4"/>
  <c r="H98" i="4"/>
  <c r="G98" i="4"/>
  <c r="I98" i="4"/>
  <c r="N98" i="4"/>
  <c r="O98" i="4"/>
  <c r="J98" i="4"/>
  <c r="AD97" i="4"/>
  <c r="P98" i="4"/>
  <c r="K98" i="4"/>
  <c r="AE97" i="4" l="1"/>
  <c r="AG97" i="4" s="1"/>
  <c r="AF98" i="4"/>
  <c r="AC99" i="4"/>
  <c r="U98" i="4"/>
  <c r="R98" i="4" s="1"/>
  <c r="C99" i="4"/>
  <c r="AB98" i="4"/>
  <c r="T97" i="4"/>
  <c r="S97" i="4"/>
  <c r="M99" i="4"/>
  <c r="J99" i="4"/>
  <c r="H99" i="4"/>
  <c r="O99" i="4"/>
  <c r="P99" i="4"/>
  <c r="K99" i="4"/>
  <c r="I99" i="4"/>
  <c r="L99" i="4"/>
  <c r="AD98" i="4"/>
  <c r="N99" i="4"/>
  <c r="G99" i="4"/>
  <c r="AE98" i="4" l="1"/>
  <c r="AG98" i="4" s="1"/>
  <c r="U99" i="4"/>
  <c r="R99" i="4" s="1"/>
  <c r="K7" i="4" s="1"/>
  <c r="AB99" i="4"/>
  <c r="H11" i="4" s="1"/>
  <c r="M10" i="4"/>
  <c r="M11" i="4"/>
  <c r="M8" i="4"/>
  <c r="M7" i="4"/>
  <c r="M9" i="4"/>
  <c r="AF99" i="4"/>
  <c r="S98" i="4"/>
  <c r="T98" i="4"/>
  <c r="AD99" i="4"/>
  <c r="AE99" i="4" l="1"/>
  <c r="AG99" i="4" s="1"/>
  <c r="T99" i="4"/>
  <c r="K9" i="4" s="1"/>
  <c r="S99" i="4"/>
  <c r="K8" i="4" s="1"/>
  <c r="H9" i="4"/>
  <c r="J7" i="4"/>
  <c r="J8" i="4"/>
  <c r="I7" i="4"/>
  <c r="J10" i="4"/>
  <c r="I10" i="4"/>
  <c r="H8" i="4"/>
  <c r="I8" i="4"/>
  <c r="H7" i="4"/>
  <c r="J9" i="4"/>
  <c r="I9" i="4"/>
  <c r="H10" i="4"/>
  <c r="AG8" i="4"/>
  <c r="AG9" i="4"/>
  <c r="AG7" i="4"/>
  <c r="AG10" i="4"/>
</calcChain>
</file>

<file path=xl/comments1.xml><?xml version="1.0" encoding="utf-8"?>
<comments xmlns="http://schemas.openxmlformats.org/spreadsheetml/2006/main">
  <authors>
    <author>作者</author>
  </authors>
  <commentList>
    <comment ref="D4" authorId="0" shapeId="0">
      <text>
        <r>
          <rPr>
            <b/>
            <sz val="9"/>
            <color indexed="81"/>
            <rFont val="微软雅黑"/>
            <family val="2"/>
            <charset val="134"/>
          </rPr>
          <t>作者:
可切换为自选机构</t>
        </r>
      </text>
    </comment>
    <comment ref="D6" authorId="0" shapeId="0">
      <text>
        <r>
          <rPr>
            <b/>
            <sz val="9"/>
            <color indexed="81"/>
            <rFont val="微软雅黑"/>
            <family val="2"/>
            <charset val="134"/>
          </rPr>
          <t>右侧输入证券代码</t>
        </r>
      </text>
    </comment>
    <comment ref="D8" authorId="0" shapeId="0">
      <text>
        <r>
          <rPr>
            <b/>
            <sz val="9"/>
            <color indexed="81"/>
            <rFont val="微软雅黑"/>
            <family val="2"/>
            <charset val="134"/>
          </rPr>
          <t>输入预测年份</t>
        </r>
        <r>
          <rPr>
            <b/>
            <sz val="9"/>
            <color indexed="81"/>
            <rFont val="Tahoma"/>
            <family val="2"/>
          </rPr>
          <t xml:space="preserve">
</t>
        </r>
      </text>
    </comment>
    <comment ref="D10" authorId="0" shapeId="0">
      <text>
        <r>
          <rPr>
            <b/>
            <sz val="9"/>
            <color indexed="81"/>
            <rFont val="微软雅黑"/>
            <family val="2"/>
            <charset val="134"/>
          </rPr>
          <t>输入计量单位</t>
        </r>
      </text>
    </comment>
    <comment ref="D11" authorId="0" shapeId="0">
      <text>
        <r>
          <rPr>
            <b/>
            <sz val="9"/>
            <color indexed="81"/>
            <rFont val="微软雅黑"/>
            <family val="2"/>
            <charset val="134"/>
          </rPr>
          <t>选择统计区间或自设日期</t>
        </r>
      </text>
    </comment>
  </commentList>
</comments>
</file>

<file path=xl/sharedStrings.xml><?xml version="1.0" encoding="utf-8"?>
<sst xmlns="http://schemas.openxmlformats.org/spreadsheetml/2006/main" count="143" uniqueCount="140">
  <si>
    <t>机构代码</t>
    <phoneticPr fontId="1" type="noConversion"/>
  </si>
  <si>
    <r>
      <rPr>
        <sz val="9"/>
        <color indexed="8"/>
        <rFont val="宋体"/>
        <family val="3"/>
        <charset val="134"/>
      </rPr>
      <t>机构</t>
    </r>
    <phoneticPr fontId="1" type="noConversion"/>
  </si>
  <si>
    <t>代码</t>
    <phoneticPr fontId="1" type="noConversion"/>
  </si>
  <si>
    <t>国信证券</t>
  </si>
  <si>
    <t>海通证券</t>
  </si>
  <si>
    <t>招商证券</t>
  </si>
  <si>
    <t>光大证券</t>
  </si>
  <si>
    <t>中信证券</t>
  </si>
  <si>
    <t>国金证券</t>
  </si>
  <si>
    <t>兴业证券</t>
  </si>
  <si>
    <t>东方证券</t>
  </si>
  <si>
    <t>长江证券</t>
  </si>
  <si>
    <t>华泰证券</t>
  </si>
  <si>
    <t>平安证券</t>
  </si>
  <si>
    <t>中投证券</t>
  </si>
  <si>
    <t>上海证券</t>
  </si>
  <si>
    <t>西南证券</t>
  </si>
  <si>
    <t>宏源证券</t>
  </si>
  <si>
    <t>新疆证券</t>
  </si>
  <si>
    <t>东海证券</t>
  </si>
  <si>
    <t>江南证券</t>
  </si>
  <si>
    <t>长城证券</t>
  </si>
  <si>
    <t>广发证券</t>
  </si>
  <si>
    <t>世纪证券</t>
  </si>
  <si>
    <t>华西证券</t>
  </si>
  <si>
    <t>国元证券</t>
  </si>
  <si>
    <t>渤海证券</t>
  </si>
  <si>
    <t>爱建证券</t>
  </si>
  <si>
    <t>安信证券</t>
  </si>
  <si>
    <t>财富证券</t>
  </si>
  <si>
    <t>大通证券</t>
  </si>
  <si>
    <t>大同证券</t>
  </si>
  <si>
    <t>德邦证券</t>
  </si>
  <si>
    <t>东北证券</t>
  </si>
  <si>
    <t>东莞证券</t>
  </si>
  <si>
    <t>东吴证券</t>
  </si>
  <si>
    <t>东兴证券</t>
  </si>
  <si>
    <t>方正证券</t>
  </si>
  <si>
    <t>广州证券</t>
  </si>
  <si>
    <t>国都证券</t>
  </si>
  <si>
    <t>国海证券</t>
  </si>
  <si>
    <t>国联证券</t>
  </si>
  <si>
    <t>国盛证券</t>
  </si>
  <si>
    <t>恒泰证券</t>
  </si>
  <si>
    <t>华安证券</t>
  </si>
  <si>
    <t>华创证券</t>
  </si>
  <si>
    <t>华林证券</t>
  </si>
  <si>
    <t>华融证券</t>
  </si>
  <si>
    <t>江海证券</t>
  </si>
  <si>
    <t>金元证券</t>
  </si>
  <si>
    <t>民生证券</t>
  </si>
  <si>
    <t>南京证券</t>
  </si>
  <si>
    <t>齐鲁证券</t>
  </si>
  <si>
    <t>日信证券</t>
  </si>
  <si>
    <t>瑞银证券</t>
  </si>
  <si>
    <t>山西证券</t>
  </si>
  <si>
    <t>万联证券</t>
  </si>
  <si>
    <t>湘财证券</t>
  </si>
  <si>
    <t>新时代证券</t>
  </si>
  <si>
    <t>信达证券</t>
  </si>
  <si>
    <t>英大证券</t>
  </si>
  <si>
    <t>浙商证券</t>
  </si>
  <si>
    <t>中邮证券</t>
  </si>
  <si>
    <t>中原证券</t>
  </si>
  <si>
    <t>德意志银行</t>
  </si>
  <si>
    <t>第一创业</t>
  </si>
  <si>
    <t>华宝证券</t>
  </si>
  <si>
    <t>华龙证券</t>
  </si>
  <si>
    <t>凯基证券</t>
  </si>
  <si>
    <t>里昂证券</t>
  </si>
  <si>
    <t>联合证券</t>
  </si>
  <si>
    <t>民族证券</t>
  </si>
  <si>
    <t>摩根大通</t>
  </si>
  <si>
    <t>群益证券</t>
  </si>
  <si>
    <t>太平洋证券</t>
  </si>
  <si>
    <t>远东证券</t>
  </si>
  <si>
    <t>中航证券</t>
  </si>
  <si>
    <t>****</t>
    <phoneticPr fontId="1" type="noConversion"/>
  </si>
  <si>
    <t>申银万国</t>
    <phoneticPr fontId="1" type="noConversion"/>
  </si>
  <si>
    <t>国泰君安</t>
    <phoneticPr fontId="1" type="noConversion"/>
  </si>
  <si>
    <t>中银国际</t>
    <phoneticPr fontId="1" type="noConversion"/>
  </si>
  <si>
    <t>中信建投</t>
    <phoneticPr fontId="1" type="noConversion"/>
  </si>
  <si>
    <t>中国银河</t>
    <phoneticPr fontId="1" type="noConversion"/>
  </si>
  <si>
    <t>华泰联合</t>
    <phoneticPr fontId="1" type="noConversion"/>
  </si>
  <si>
    <t>瑞信方正</t>
    <phoneticPr fontId="1" type="noConversion"/>
  </si>
  <si>
    <t>中信万通</t>
    <phoneticPr fontId="1" type="noConversion"/>
  </si>
  <si>
    <t>***</t>
    <phoneticPr fontId="1" type="noConversion"/>
  </si>
  <si>
    <t>机构汇总</t>
  </si>
  <si>
    <t>评级变动</t>
    <phoneticPr fontId="1" type="noConversion"/>
  </si>
  <si>
    <t>公司代码</t>
    <phoneticPr fontId="1" type="noConversion"/>
  </si>
  <si>
    <t>证券简称</t>
    <phoneticPr fontId="1" type="noConversion"/>
  </si>
  <si>
    <t>预测年份</t>
    <phoneticPr fontId="1" type="noConversion"/>
  </si>
  <si>
    <t>统计区间</t>
    <phoneticPr fontId="1" type="noConversion"/>
  </si>
  <si>
    <t>预测净利润</t>
    <phoneticPr fontId="1" type="noConversion"/>
  </si>
  <si>
    <t>预测每股收益</t>
    <phoneticPr fontId="1" type="noConversion"/>
  </si>
  <si>
    <t>均值</t>
    <phoneticPr fontId="1" type="noConversion"/>
  </si>
  <si>
    <t>评级明细</t>
    <phoneticPr fontId="1" type="noConversion"/>
  </si>
  <si>
    <t>买入</t>
    <phoneticPr fontId="1" type="noConversion"/>
  </si>
  <si>
    <t>减持</t>
    <phoneticPr fontId="1" type="noConversion"/>
  </si>
  <si>
    <t>卖出</t>
    <phoneticPr fontId="1" type="noConversion"/>
  </si>
  <si>
    <t>首次评级</t>
    <phoneticPr fontId="1" type="noConversion"/>
  </si>
  <si>
    <t>评级不变</t>
    <phoneticPr fontId="1" type="noConversion"/>
  </si>
  <si>
    <t>评级下调</t>
    <phoneticPr fontId="1" type="noConversion"/>
  </si>
  <si>
    <t>代码</t>
    <phoneticPr fontId="1" type="noConversion"/>
  </si>
  <si>
    <t>机构</t>
    <phoneticPr fontId="1" type="noConversion"/>
  </si>
  <si>
    <t>券商权重设定</t>
    <phoneticPr fontId="1" type="noConversion"/>
  </si>
  <si>
    <t>预测时间</t>
    <phoneticPr fontId="1" type="noConversion"/>
  </si>
  <si>
    <t>最近预测时间</t>
    <phoneticPr fontId="1" type="noConversion"/>
  </si>
  <si>
    <t>&lt;&gt;0</t>
    <phoneticPr fontId="1" type="noConversion"/>
  </si>
  <si>
    <t>说明：《盈利预测与投资评级》提供上市公司的机构盈利预测与评级明细及相关统计，以及指定券商的历史预测与评级数据，用户可通过券商权重设定，对券商进行筛选和加权。</t>
    <phoneticPr fontId="1" type="noConversion"/>
  </si>
  <si>
    <t>最近更新：2022/6/16</t>
    <phoneticPr fontId="1" type="noConversion"/>
  </si>
  <si>
    <t>交易日期</t>
    <phoneticPr fontId="1" type="noConversion"/>
  </si>
  <si>
    <t>单位</t>
    <phoneticPr fontId="1" type="noConversion"/>
  </si>
  <si>
    <t>半年</t>
    <phoneticPr fontId="1" type="noConversion"/>
  </si>
  <si>
    <t>国泰君安</t>
    <phoneticPr fontId="1" type="noConversion"/>
  </si>
  <si>
    <t>预测主营收入</t>
    <phoneticPr fontId="1" type="noConversion"/>
  </si>
  <si>
    <t>预测每股收益</t>
    <phoneticPr fontId="1" type="noConversion"/>
  </si>
  <si>
    <t>最新报告</t>
    <phoneticPr fontId="1" type="noConversion"/>
  </si>
  <si>
    <t>中性</t>
    <phoneticPr fontId="1" type="noConversion"/>
  </si>
  <si>
    <t>增持</t>
    <phoneticPr fontId="1" type="noConversion"/>
  </si>
  <si>
    <t>评级上调</t>
    <phoneticPr fontId="1" type="noConversion"/>
  </si>
  <si>
    <t>预测时间设置</t>
    <phoneticPr fontId="1" type="noConversion"/>
  </si>
  <si>
    <t>研究员</t>
    <phoneticPr fontId="1" type="noConversion"/>
  </si>
  <si>
    <t>预测净利润</t>
    <phoneticPr fontId="1" type="noConversion"/>
  </si>
  <si>
    <t>最近评级时间</t>
    <phoneticPr fontId="1" type="noConversion"/>
  </si>
  <si>
    <t>标准化得分</t>
    <phoneticPr fontId="1" type="noConversion"/>
  </si>
  <si>
    <t>标准化评级</t>
    <phoneticPr fontId="1" type="noConversion"/>
  </si>
  <si>
    <t>机构首次评级时间</t>
    <phoneticPr fontId="1" type="noConversion"/>
  </si>
  <si>
    <t>评级时间设置</t>
    <phoneticPr fontId="1" type="noConversion"/>
  </si>
  <si>
    <t>评级变化</t>
    <phoneticPr fontId="1" type="noConversion"/>
  </si>
  <si>
    <t>评级变动</t>
    <phoneticPr fontId="1" type="noConversion"/>
  </si>
  <si>
    <t>评级研究员</t>
    <phoneticPr fontId="1" type="noConversion"/>
  </si>
  <si>
    <t>投资评级(原始)</t>
    <phoneticPr fontId="1" type="noConversion"/>
  </si>
  <si>
    <t>盈利预测与投资评级</t>
    <phoneticPr fontId="22" type="noConversion"/>
  </si>
  <si>
    <r>
      <rPr>
        <b/>
        <sz val="9"/>
        <color indexed="8"/>
        <rFont val="微软雅黑"/>
        <family val="2"/>
        <charset val="134"/>
      </rPr>
      <t>最高</t>
    </r>
    <r>
      <rPr>
        <sz val="9"/>
        <color indexed="8"/>
        <rFont val="Cambria"/>
        <family val="1"/>
      </rPr>
      <t/>
    </r>
    <phoneticPr fontId="1" type="noConversion"/>
  </si>
  <si>
    <r>
      <rPr>
        <b/>
        <sz val="9"/>
        <color indexed="8"/>
        <rFont val="微软雅黑"/>
        <family val="2"/>
        <charset val="134"/>
      </rPr>
      <t>最低</t>
    </r>
    <r>
      <rPr>
        <sz val="9"/>
        <color indexed="8"/>
        <rFont val="Cambria"/>
        <family val="1"/>
      </rPr>
      <t/>
    </r>
    <phoneticPr fontId="1" type="noConversion"/>
  </si>
  <si>
    <r>
      <rPr>
        <b/>
        <sz val="9"/>
        <color indexed="8"/>
        <rFont val="微软雅黑"/>
        <family val="2"/>
        <charset val="134"/>
      </rPr>
      <t>一致预测</t>
    </r>
    <phoneticPr fontId="1" type="noConversion"/>
  </si>
  <si>
    <r>
      <rPr>
        <b/>
        <sz val="10"/>
        <color indexed="8"/>
        <rFont val="微软雅黑"/>
        <family val="2"/>
        <charset val="134"/>
      </rPr>
      <t>机构上次评级(标准化得分)</t>
    </r>
    <phoneticPr fontId="1" type="noConversion"/>
  </si>
  <si>
    <t>600519.SH</t>
    <phoneticPr fontId="1" type="noConversion"/>
  </si>
  <si>
    <t>盈利预测与投资评级</t>
    <phoneticPr fontId="3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</si>
</sst>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76" formatCode="_ * #,##0_ ;_ * \-#,##0_ ;_ * &quot;-&quot;??_ ;_ @_ "/>
    <numFmt numFmtId="177" formatCode="_ * #,##0.000_ ;_ * \-#,##0.000_ ;_ * &quot;-&quot;??_ ;_ @_ "/>
    <numFmt numFmtId="178" formatCode="yy&quot;年&quot;mm&quot;月&quot;"/>
    <numFmt numFmtId="179" formatCode="yyyy\-mm\-dd"/>
  </numFmts>
  <fonts count="33" x14ac:knownFonts="1">
    <font>
      <sz val="11"/>
      <color theme="1"/>
      <name val="宋体"/>
      <charset val="134"/>
    </font>
    <font>
      <sz val="9"/>
      <name val="宋体"/>
      <family val="3"/>
      <charset val="134"/>
    </font>
    <font>
      <sz val="9"/>
      <color indexed="8"/>
      <name val="Cambria"/>
      <family val="1"/>
    </font>
    <font>
      <sz val="9"/>
      <color indexed="8"/>
      <name val="宋体"/>
      <family val="3"/>
      <charset val="134"/>
    </font>
    <font>
      <b/>
      <sz val="9"/>
      <color indexed="81"/>
      <name val="Tahoma"/>
      <family val="2"/>
    </font>
    <font>
      <sz val="11"/>
      <color indexed="8"/>
      <name val="宋体"/>
      <family val="3"/>
      <charset val="134"/>
    </font>
    <font>
      <sz val="9"/>
      <color indexed="8"/>
      <name val="Cambria"/>
      <family val="1"/>
    </font>
    <font>
      <sz val="9"/>
      <color indexed="8"/>
      <name val="宋体"/>
      <family val="3"/>
      <charset val="134"/>
    </font>
    <font>
      <sz val="10"/>
      <color indexed="8"/>
      <name val="Cambria"/>
      <family val="1"/>
    </font>
    <font>
      <b/>
      <sz val="9"/>
      <color indexed="8"/>
      <name val="Cambria"/>
      <family val="1"/>
    </font>
    <font>
      <sz val="9"/>
      <color indexed="8"/>
      <name val="Arial"/>
      <family val="2"/>
    </font>
    <font>
      <sz val="9"/>
      <color indexed="23"/>
      <name val="微软雅黑"/>
      <family val="2"/>
      <charset val="134"/>
    </font>
    <font>
      <sz val="9"/>
      <color indexed="8"/>
      <name val="微软雅黑"/>
      <family val="2"/>
      <charset val="134"/>
    </font>
    <font>
      <sz val="10"/>
      <color indexed="8"/>
      <name val="微软雅黑"/>
      <family val="2"/>
      <charset val="134"/>
    </font>
    <font>
      <sz val="10"/>
      <color indexed="8"/>
      <name val="Arial"/>
      <family val="2"/>
    </font>
    <font>
      <sz val="10"/>
      <color theme="0"/>
      <name val="微软雅黑"/>
      <family val="2"/>
      <charset val="134"/>
    </font>
    <font>
      <sz val="12"/>
      <color rgb="FF000000"/>
      <name val="微软雅黑"/>
      <family val="2"/>
      <charset val="134"/>
    </font>
    <font>
      <sz val="10"/>
      <color theme="1"/>
      <name val="微软雅黑"/>
      <family val="2"/>
      <charset val="134"/>
    </font>
    <font>
      <b/>
      <sz val="10"/>
      <color theme="1"/>
      <name val="微软雅黑"/>
      <family val="2"/>
      <charset val="134"/>
    </font>
    <font>
      <sz val="10"/>
      <color theme="1"/>
      <name val="Arial"/>
      <family val="2"/>
    </font>
    <font>
      <b/>
      <sz val="10"/>
      <color rgb="FF000000"/>
      <name val="微软雅黑"/>
      <family val="2"/>
      <charset val="134"/>
    </font>
    <font>
      <sz val="20"/>
      <color theme="0"/>
      <name val="微软雅黑"/>
      <family val="2"/>
      <charset val="134"/>
    </font>
    <font>
      <sz val="9"/>
      <name val="宋体"/>
      <family val="2"/>
      <charset val="134"/>
      <scheme val="minor"/>
    </font>
    <font>
      <sz val="11"/>
      <color theme="1"/>
      <name val="微软雅黑"/>
      <family val="2"/>
      <charset val="134"/>
    </font>
    <font>
      <sz val="9"/>
      <color theme="0"/>
      <name val="微软雅黑"/>
      <family val="2"/>
      <charset val="134"/>
    </font>
    <font>
      <b/>
      <sz val="9"/>
      <color theme="1"/>
      <name val="微软雅黑"/>
      <family val="2"/>
      <charset val="134"/>
    </font>
    <font>
      <sz val="9"/>
      <color theme="1"/>
      <name val="微软雅黑"/>
      <family val="2"/>
      <charset val="134"/>
    </font>
    <font>
      <b/>
      <sz val="9"/>
      <color indexed="8"/>
      <name val="微软雅黑"/>
      <family val="2"/>
      <charset val="134"/>
    </font>
    <font>
      <sz val="9"/>
      <color rgb="FFFFFFFF"/>
      <name val="微软雅黑"/>
      <family val="2"/>
      <charset val="134"/>
    </font>
    <font>
      <b/>
      <sz val="10"/>
      <color indexed="8"/>
      <name val="微软雅黑"/>
      <family val="2"/>
      <charset val="134"/>
    </font>
    <font>
      <b/>
      <sz val="9"/>
      <color indexed="81"/>
      <name val="微软雅黑"/>
      <family val="2"/>
      <charset val="134"/>
    </font>
    <font>
      <sz val="12"/>
      <name val="微软雅黑"/>
      <family val="2"/>
      <charset val="134"/>
    </font>
    <font>
      <sz val="9"/>
      <name val="宋体"/>
      <family val="3"/>
      <charset val="134"/>
      <scheme val="minor"/>
    </font>
  </fonts>
  <fills count="12">
    <fill>
      <patternFill patternType="none"/>
    </fill>
    <fill>
      <patternFill patternType="gray125"/>
    </fill>
    <fill>
      <patternFill patternType="solid">
        <fgColor indexed="22"/>
        <bgColor indexed="64"/>
      </patternFill>
    </fill>
    <fill>
      <patternFill patternType="solid">
        <fgColor rgb="FF63636D"/>
        <bgColor indexed="64"/>
      </patternFill>
    </fill>
    <fill>
      <patternFill patternType="solid">
        <fgColor rgb="FFE9E9E9"/>
        <bgColor indexed="64"/>
      </patternFill>
    </fill>
    <fill>
      <patternFill patternType="solid">
        <fgColor rgb="FFFFFFFF"/>
        <bgColor indexed="64"/>
      </patternFill>
    </fill>
    <fill>
      <patternFill patternType="solid">
        <fgColor rgb="FFECECEC"/>
        <bgColor indexed="64"/>
      </patternFill>
    </fill>
    <fill>
      <patternFill patternType="solid">
        <fgColor rgb="FFF4F4F4"/>
        <bgColor indexed="64"/>
      </patternFill>
    </fill>
    <fill>
      <patternFill patternType="solid">
        <fgColor rgb="FFE8E8E8"/>
        <bgColor indexed="64"/>
      </patternFill>
    </fill>
    <fill>
      <patternFill patternType="solid">
        <fgColor rgb="FFF7F7F7"/>
        <bgColor indexed="64"/>
      </patternFill>
    </fill>
    <fill>
      <patternFill patternType="solid">
        <fgColor theme="0"/>
        <bgColor indexed="64"/>
      </patternFill>
    </fill>
    <fill>
      <patternFill patternType="solid">
        <fgColor rgb="FFE4C658"/>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9"/>
      </top>
      <bottom style="thin">
        <color indexed="9"/>
      </bottom>
      <diagonal/>
    </border>
    <border>
      <left/>
      <right/>
      <top style="thin">
        <color indexed="9"/>
      </top>
      <bottom/>
      <diagonal/>
    </border>
    <border>
      <left/>
      <right/>
      <top/>
      <bottom style="double">
        <color indexed="64"/>
      </bottom>
      <diagonal/>
    </border>
    <border>
      <left/>
      <right/>
      <top/>
      <bottom style="thin">
        <color theme="0" tint="-0.14996795556505021"/>
      </bottom>
      <diagonal/>
    </border>
    <border>
      <left/>
      <right style="hair">
        <color theme="0" tint="-0.14996795556505021"/>
      </right>
      <top/>
      <bottom/>
      <diagonal/>
    </border>
    <border>
      <left/>
      <right style="thin">
        <color theme="2"/>
      </right>
      <top/>
      <bottom/>
      <diagonal/>
    </border>
  </borders>
  <cellStyleXfs count="2">
    <xf numFmtId="0" fontId="0" fillId="0" borderId="0">
      <alignment vertical="center"/>
    </xf>
    <xf numFmtId="43" fontId="5" fillId="0" borderId="0" applyFont="0" applyFill="0" applyBorder="0" applyAlignment="0" applyProtection="0">
      <alignment vertical="center"/>
    </xf>
  </cellStyleXfs>
  <cellXfs count="108">
    <xf numFmtId="0" fontId="0" fillId="0" borderId="0" xfId="0">
      <alignment vertical="center"/>
    </xf>
    <xf numFmtId="0" fontId="6" fillId="0" borderId="0" xfId="0" applyFont="1">
      <alignment vertical="center"/>
    </xf>
    <xf numFmtId="176" fontId="6" fillId="0" borderId="0" xfId="1" applyNumberFormat="1" applyFont="1">
      <alignment vertical="center"/>
    </xf>
    <xf numFmtId="0" fontId="6" fillId="0" borderId="0" xfId="0" applyFont="1" applyBorder="1">
      <alignment vertical="center"/>
    </xf>
    <xf numFmtId="0" fontId="7" fillId="0" borderId="0" xfId="0" applyFont="1" applyBorder="1">
      <alignment vertical="center"/>
    </xf>
    <xf numFmtId="0" fontId="8" fillId="0" borderId="0" xfId="0" applyFont="1">
      <alignment vertical="center"/>
    </xf>
    <xf numFmtId="0" fontId="7" fillId="0" borderId="1" xfId="0" applyFont="1" applyBorder="1">
      <alignment vertical="center"/>
    </xf>
    <xf numFmtId="0" fontId="6" fillId="0" borderId="2" xfId="0" applyFont="1" applyBorder="1">
      <alignment vertical="center"/>
    </xf>
    <xf numFmtId="176" fontId="7" fillId="0" borderId="3" xfId="1" applyNumberFormat="1" applyFont="1" applyBorder="1">
      <alignment vertical="center"/>
    </xf>
    <xf numFmtId="0" fontId="6" fillId="0" borderId="4" xfId="0" applyFont="1" applyBorder="1">
      <alignment vertical="center"/>
    </xf>
    <xf numFmtId="176" fontId="6" fillId="0" borderId="5" xfId="1" applyNumberFormat="1" applyFont="1" applyBorder="1">
      <alignment vertical="center"/>
    </xf>
    <xf numFmtId="0" fontId="9" fillId="0" borderId="4" xfId="0" applyFont="1" applyBorder="1">
      <alignment vertical="center"/>
    </xf>
    <xf numFmtId="0" fontId="6" fillId="0" borderId="6" xfId="0" applyFont="1" applyBorder="1">
      <alignment vertical="center"/>
    </xf>
    <xf numFmtId="0" fontId="6" fillId="0" borderId="7" xfId="0" applyFont="1" applyBorder="1">
      <alignment vertical="center"/>
    </xf>
    <xf numFmtId="176" fontId="6" fillId="0" borderId="8" xfId="1" applyNumberFormat="1" applyFont="1" applyBorder="1">
      <alignment vertical="center"/>
    </xf>
    <xf numFmtId="0" fontId="15" fillId="3" borderId="0" xfId="0" applyFont="1" applyFill="1" applyAlignment="1">
      <alignment vertical="center"/>
    </xf>
    <xf numFmtId="0" fontId="10" fillId="5" borderId="0" xfId="0" applyFont="1" applyFill="1">
      <alignment vertical="center"/>
    </xf>
    <xf numFmtId="0" fontId="16" fillId="5" borderId="12" xfId="0" applyFont="1" applyFill="1" applyBorder="1" applyAlignment="1">
      <alignment vertical="top"/>
    </xf>
    <xf numFmtId="0" fontId="16" fillId="5" borderId="0" xfId="0" applyFont="1" applyFill="1" applyBorder="1" applyAlignment="1">
      <alignment vertical="top"/>
    </xf>
    <xf numFmtId="0" fontId="18" fillId="6" borderId="0" xfId="0" applyFont="1" applyFill="1" applyBorder="1">
      <alignment vertical="center"/>
    </xf>
    <xf numFmtId="176" fontId="19" fillId="5" borderId="0" xfId="1" applyNumberFormat="1" applyFont="1" applyFill="1" applyBorder="1" applyAlignment="1">
      <alignment horizontal="center" vertical="center"/>
    </xf>
    <xf numFmtId="43" fontId="18" fillId="8" borderId="0" xfId="1" applyFont="1" applyFill="1" applyBorder="1" applyAlignment="1">
      <alignment horizontal="left" vertical="center"/>
    </xf>
    <xf numFmtId="176" fontId="18" fillId="8" borderId="0" xfId="1" applyNumberFormat="1" applyFont="1" applyFill="1" applyBorder="1" applyAlignment="1">
      <alignment horizontal="left" vertical="center"/>
    </xf>
    <xf numFmtId="176" fontId="19" fillId="7" borderId="0" xfId="1" applyNumberFormat="1" applyFont="1" applyFill="1" applyBorder="1" applyAlignment="1">
      <alignment horizontal="center" vertical="center"/>
    </xf>
    <xf numFmtId="176" fontId="19" fillId="7" borderId="13" xfId="1" applyNumberFormat="1" applyFont="1" applyFill="1" applyBorder="1" applyAlignment="1">
      <alignment horizontal="center" vertical="center"/>
    </xf>
    <xf numFmtId="14" fontId="19" fillId="5" borderId="13" xfId="0" applyNumberFormat="1" applyFont="1" applyFill="1" applyBorder="1" applyAlignment="1">
      <alignment horizontal="left" vertical="center"/>
    </xf>
    <xf numFmtId="0" fontId="17" fillId="6" borderId="0" xfId="0" applyFont="1" applyFill="1" applyBorder="1">
      <alignment vertical="center"/>
    </xf>
    <xf numFmtId="0" fontId="17" fillId="9" borderId="0" xfId="0" applyFont="1" applyFill="1" applyBorder="1">
      <alignment vertical="center"/>
    </xf>
    <xf numFmtId="176" fontId="19" fillId="5" borderId="13" xfId="1" applyNumberFormat="1" applyFont="1" applyFill="1" applyBorder="1" applyAlignment="1">
      <alignment horizontal="center" vertical="center"/>
    </xf>
    <xf numFmtId="177" fontId="19" fillId="5" borderId="0" xfId="1" applyNumberFormat="1" applyFont="1" applyFill="1" applyBorder="1" applyAlignment="1">
      <alignment horizontal="center" vertical="center"/>
    </xf>
    <xf numFmtId="177" fontId="19" fillId="5" borderId="13" xfId="1" applyNumberFormat="1" applyFont="1" applyFill="1" applyBorder="1" applyAlignment="1">
      <alignment horizontal="center" vertical="center"/>
    </xf>
    <xf numFmtId="176" fontId="19" fillId="5" borderId="0" xfId="1" applyNumberFormat="1" applyFont="1" applyFill="1" applyBorder="1" applyAlignment="1">
      <alignment vertical="center"/>
    </xf>
    <xf numFmtId="176" fontId="19" fillId="7" borderId="0" xfId="1" applyNumberFormat="1" applyFont="1" applyFill="1" applyBorder="1" applyAlignment="1">
      <alignment vertical="center"/>
    </xf>
    <xf numFmtId="176" fontId="19" fillId="5" borderId="9" xfId="1" applyNumberFormat="1" applyFont="1" applyFill="1" applyBorder="1" applyAlignment="1">
      <alignment horizontal="center" vertical="center"/>
    </xf>
    <xf numFmtId="176" fontId="19" fillId="7" borderId="9" xfId="1" applyNumberFormat="1" applyFont="1" applyFill="1" applyBorder="1" applyAlignment="1">
      <alignment vertical="center"/>
    </xf>
    <xf numFmtId="176" fontId="19" fillId="5" borderId="9" xfId="1" applyNumberFormat="1" applyFont="1" applyFill="1" applyBorder="1">
      <alignment vertical="center"/>
    </xf>
    <xf numFmtId="176" fontId="19" fillId="7" borderId="9" xfId="1" applyNumberFormat="1" applyFont="1" applyFill="1" applyBorder="1" applyAlignment="1">
      <alignment horizontal="right" vertical="center"/>
    </xf>
    <xf numFmtId="0" fontId="20" fillId="8" borderId="0" xfId="0" applyFont="1" applyFill="1" applyBorder="1">
      <alignment vertical="center"/>
    </xf>
    <xf numFmtId="0" fontId="11" fillId="5" borderId="0" xfId="0" applyFont="1" applyFill="1">
      <alignment vertical="center"/>
    </xf>
    <xf numFmtId="0" fontId="12" fillId="5" borderId="0" xfId="0" applyFont="1" applyFill="1">
      <alignment vertical="center"/>
    </xf>
    <xf numFmtId="176" fontId="12" fillId="5" borderId="0" xfId="1" applyNumberFormat="1" applyFont="1" applyFill="1">
      <alignment vertical="center"/>
    </xf>
    <xf numFmtId="43" fontId="13" fillId="5" borderId="0" xfId="1" applyFont="1" applyFill="1" applyBorder="1" applyAlignment="1">
      <alignment horizontal="left" vertical="center"/>
    </xf>
    <xf numFmtId="43" fontId="14" fillId="5" borderId="0" xfId="1" applyFont="1" applyFill="1" applyBorder="1" applyAlignment="1">
      <alignment horizontal="left" vertical="center"/>
    </xf>
    <xf numFmtId="43" fontId="14" fillId="5" borderId="0" xfId="1" applyFont="1" applyFill="1" applyBorder="1" applyAlignment="1">
      <alignment vertical="center"/>
    </xf>
    <xf numFmtId="176" fontId="14" fillId="5" borderId="0" xfId="1" applyNumberFormat="1" applyFont="1" applyFill="1" applyBorder="1" applyAlignment="1">
      <alignment horizontal="right" vertical="center"/>
    </xf>
    <xf numFmtId="43" fontId="14" fillId="5" borderId="0" xfId="1" applyFont="1" applyFill="1" applyBorder="1" applyAlignment="1">
      <alignment horizontal="right" vertical="center"/>
    </xf>
    <xf numFmtId="176" fontId="14" fillId="5" borderId="0" xfId="1" applyNumberFormat="1" applyFont="1" applyFill="1" applyBorder="1" applyAlignment="1">
      <alignment horizontal="center" vertical="center"/>
    </xf>
    <xf numFmtId="0" fontId="14" fillId="5" borderId="0" xfId="1" applyNumberFormat="1" applyFont="1" applyFill="1" applyBorder="1" applyAlignment="1">
      <alignment horizontal="left" vertical="center"/>
    </xf>
    <xf numFmtId="0" fontId="14" fillId="7" borderId="0" xfId="1" applyNumberFormat="1" applyFont="1" applyFill="1" applyBorder="1" applyAlignment="1">
      <alignment horizontal="left" vertical="center"/>
    </xf>
    <xf numFmtId="43" fontId="13" fillId="7" borderId="0" xfId="1" applyFont="1" applyFill="1" applyBorder="1" applyAlignment="1">
      <alignment horizontal="left" vertical="center"/>
    </xf>
    <xf numFmtId="43" fontId="14" fillId="7" borderId="0" xfId="1" applyFont="1" applyFill="1" applyBorder="1" applyAlignment="1">
      <alignment horizontal="left" vertical="center"/>
    </xf>
    <xf numFmtId="43" fontId="14" fillId="7" borderId="0" xfId="1" applyFont="1" applyFill="1" applyBorder="1" applyAlignment="1">
      <alignment vertical="center"/>
    </xf>
    <xf numFmtId="176" fontId="14" fillId="7" borderId="0" xfId="1" applyNumberFormat="1" applyFont="1" applyFill="1" applyBorder="1" applyAlignment="1">
      <alignment horizontal="right" vertical="center"/>
    </xf>
    <xf numFmtId="43" fontId="14" fillId="7" borderId="0" xfId="1" applyFont="1" applyFill="1" applyBorder="1" applyAlignment="1">
      <alignment horizontal="right" vertical="center"/>
    </xf>
    <xf numFmtId="176" fontId="14" fillId="7" borderId="0" xfId="1" applyNumberFormat="1" applyFont="1" applyFill="1" applyBorder="1" applyAlignment="1">
      <alignment horizontal="center" vertical="center"/>
    </xf>
    <xf numFmtId="178" fontId="19" fillId="11" borderId="14" xfId="0" applyNumberFormat="1" applyFont="1" applyFill="1" applyBorder="1" applyAlignment="1" applyProtection="1">
      <alignment horizontal="right" vertical="center"/>
      <protection locked="0"/>
    </xf>
    <xf numFmtId="0" fontId="23" fillId="3" borderId="0" xfId="0" applyFont="1" applyFill="1" applyAlignment="1"/>
    <xf numFmtId="0" fontId="12" fillId="0" borderId="0" xfId="0" applyFont="1" applyFill="1">
      <alignment vertical="center"/>
    </xf>
    <xf numFmtId="0" fontId="12" fillId="0" borderId="0" xfId="0" applyFont="1">
      <alignment vertical="center"/>
    </xf>
    <xf numFmtId="0" fontId="12" fillId="4" borderId="0" xfId="0" applyFont="1" applyFill="1">
      <alignment vertical="center"/>
    </xf>
    <xf numFmtId="14" fontId="12" fillId="4" borderId="0" xfId="1" applyNumberFormat="1" applyFont="1" applyFill="1">
      <alignment vertical="center"/>
    </xf>
    <xf numFmtId="0" fontId="23" fillId="4" borderId="12" xfId="0" applyFont="1" applyFill="1" applyBorder="1" applyAlignment="1"/>
    <xf numFmtId="14" fontId="12" fillId="5" borderId="0" xfId="1" applyNumberFormat="1" applyFont="1" applyFill="1">
      <alignment vertical="center"/>
    </xf>
    <xf numFmtId="0" fontId="24" fillId="10" borderId="12" xfId="0" applyFont="1" applyFill="1" applyBorder="1" applyAlignment="1">
      <alignment horizontal="center" vertical="center"/>
    </xf>
    <xf numFmtId="0" fontId="24" fillId="5" borderId="12" xfId="0" applyFont="1" applyFill="1" applyBorder="1">
      <alignment vertical="center"/>
    </xf>
    <xf numFmtId="0" fontId="24" fillId="5" borderId="0" xfId="0" applyFont="1" applyFill="1" applyBorder="1">
      <alignment vertical="center"/>
    </xf>
    <xf numFmtId="0" fontId="25" fillId="5" borderId="0" xfId="0" applyFont="1" applyFill="1" applyBorder="1">
      <alignment vertical="center"/>
    </xf>
    <xf numFmtId="0" fontId="26" fillId="8" borderId="0" xfId="0" applyFont="1" applyFill="1" applyBorder="1">
      <alignment vertical="center"/>
    </xf>
    <xf numFmtId="0" fontId="25" fillId="8" borderId="0" xfId="0" applyFont="1" applyFill="1" applyBorder="1" applyAlignment="1">
      <alignment horizontal="center" vertical="center"/>
    </xf>
    <xf numFmtId="0" fontId="25" fillId="8" borderId="13" xfId="0" applyFont="1" applyFill="1" applyBorder="1" applyAlignment="1">
      <alignment horizontal="center" vertical="center"/>
    </xf>
    <xf numFmtId="0" fontId="26" fillId="5" borderId="0" xfId="0" applyFont="1" applyFill="1" applyBorder="1">
      <alignment vertical="center"/>
    </xf>
    <xf numFmtId="176" fontId="18" fillId="7" borderId="0" xfId="1" applyNumberFormat="1" applyFont="1" applyFill="1" applyBorder="1">
      <alignment vertical="center"/>
    </xf>
    <xf numFmtId="0" fontId="26" fillId="5" borderId="9" xfId="0" applyFont="1" applyFill="1" applyBorder="1">
      <alignment vertical="center"/>
    </xf>
    <xf numFmtId="14" fontId="26" fillId="5" borderId="9" xfId="0" applyNumberFormat="1" applyFont="1" applyFill="1" applyBorder="1">
      <alignment vertical="center"/>
    </xf>
    <xf numFmtId="14" fontId="24" fillId="5" borderId="10" xfId="1" applyNumberFormat="1" applyFont="1" applyFill="1" applyBorder="1">
      <alignment vertical="center"/>
    </xf>
    <xf numFmtId="178" fontId="17" fillId="11" borderId="14" xfId="0" applyNumberFormat="1" applyFont="1" applyFill="1" applyBorder="1" applyAlignment="1" applyProtection="1">
      <alignment horizontal="right" vertical="center"/>
      <protection locked="0"/>
    </xf>
    <xf numFmtId="14" fontId="26" fillId="5" borderId="0" xfId="0" applyNumberFormat="1" applyFont="1" applyFill="1" applyBorder="1">
      <alignment vertical="center"/>
    </xf>
    <xf numFmtId="0" fontId="26" fillId="5" borderId="0" xfId="0" applyFont="1" applyFill="1">
      <alignment vertical="center"/>
    </xf>
    <xf numFmtId="43" fontId="12" fillId="5" borderId="0" xfId="1" applyFont="1" applyFill="1" applyBorder="1" applyAlignment="1">
      <alignment horizontal="left" vertical="center"/>
    </xf>
    <xf numFmtId="43" fontId="12" fillId="5" borderId="0" xfId="1" applyFont="1" applyFill="1" applyBorder="1" applyAlignment="1">
      <alignment horizontal="right" vertical="center"/>
    </xf>
    <xf numFmtId="43" fontId="12" fillId="5" borderId="0" xfId="1" applyFont="1" applyFill="1" applyBorder="1" applyAlignment="1">
      <alignment vertical="center"/>
    </xf>
    <xf numFmtId="176" fontId="12" fillId="5" borderId="0" xfId="1" applyNumberFormat="1" applyFont="1" applyFill="1" applyBorder="1" applyAlignment="1">
      <alignment horizontal="right" vertical="center"/>
    </xf>
    <xf numFmtId="0" fontId="12" fillId="5" borderId="0" xfId="0" applyFont="1" applyFill="1" applyBorder="1">
      <alignment vertical="center"/>
    </xf>
    <xf numFmtId="0" fontId="12" fillId="5" borderId="11" xfId="0" applyFont="1" applyFill="1" applyBorder="1">
      <alignment vertical="center"/>
    </xf>
    <xf numFmtId="14" fontId="28" fillId="5" borderId="0" xfId="1" applyNumberFormat="1" applyFont="1" applyFill="1">
      <alignment vertical="center"/>
    </xf>
    <xf numFmtId="14" fontId="12" fillId="5" borderId="0" xfId="0" applyNumberFormat="1" applyFont="1" applyFill="1" applyBorder="1">
      <alignment vertical="center"/>
    </xf>
    <xf numFmtId="176" fontId="12" fillId="5" borderId="0" xfId="1" applyNumberFormat="1" applyFont="1" applyFill="1" applyBorder="1">
      <alignment vertical="center"/>
    </xf>
    <xf numFmtId="43" fontId="12" fillId="5" borderId="0" xfId="1" applyFont="1" applyFill="1" applyBorder="1" applyAlignment="1">
      <alignment horizontal="center" vertical="center"/>
    </xf>
    <xf numFmtId="43" fontId="12" fillId="7" borderId="0" xfId="1" applyFont="1" applyFill="1" applyBorder="1" applyAlignment="1">
      <alignment vertical="center"/>
    </xf>
    <xf numFmtId="0" fontId="12" fillId="7" borderId="0" xfId="0" applyFont="1" applyFill="1" applyBorder="1">
      <alignment vertical="center"/>
    </xf>
    <xf numFmtId="14" fontId="12" fillId="7" borderId="0" xfId="0" applyNumberFormat="1" applyFont="1" applyFill="1" applyBorder="1">
      <alignment vertical="center"/>
    </xf>
    <xf numFmtId="176" fontId="12" fillId="7" borderId="0" xfId="1" applyNumberFormat="1" applyFont="1" applyFill="1" applyBorder="1">
      <alignment vertical="center"/>
    </xf>
    <xf numFmtId="43" fontId="12" fillId="7" borderId="0" xfId="1" applyFont="1" applyFill="1" applyBorder="1" applyAlignment="1">
      <alignment horizontal="center" vertical="center"/>
    </xf>
    <xf numFmtId="0" fontId="12" fillId="5" borderId="0" xfId="0" applyFont="1" applyFill="1" applyBorder="1" applyAlignment="1">
      <alignment vertical="center" wrapText="1"/>
    </xf>
    <xf numFmtId="177" fontId="12" fillId="5" borderId="0" xfId="0" applyNumberFormat="1" applyFont="1" applyFill="1" applyBorder="1" applyAlignment="1">
      <alignment vertical="center" wrapText="1"/>
    </xf>
    <xf numFmtId="0" fontId="12" fillId="2" borderId="0" xfId="0" applyFont="1" applyFill="1">
      <alignment vertical="center"/>
    </xf>
    <xf numFmtId="14" fontId="12" fillId="2" borderId="0" xfId="1" applyNumberFormat="1" applyFont="1" applyFill="1">
      <alignment vertical="center"/>
    </xf>
    <xf numFmtId="176" fontId="12" fillId="2" borderId="0" xfId="1" applyNumberFormat="1" applyFont="1" applyFill="1">
      <alignment vertical="center"/>
    </xf>
    <xf numFmtId="14" fontId="12" fillId="0" borderId="0" xfId="1" applyNumberFormat="1" applyFont="1">
      <alignment vertical="center"/>
    </xf>
    <xf numFmtId="176" fontId="12" fillId="0" borderId="0" xfId="1" applyNumberFormat="1" applyFont="1">
      <alignment vertical="center"/>
    </xf>
    <xf numFmtId="178" fontId="18" fillId="11" borderId="14" xfId="0" applyNumberFormat="1" applyFont="1" applyFill="1" applyBorder="1" applyAlignment="1" applyProtection="1">
      <alignment vertical="center"/>
      <protection locked="0"/>
    </xf>
    <xf numFmtId="0" fontId="19" fillId="11" borderId="14" xfId="0" applyNumberFormat="1" applyFont="1" applyFill="1" applyBorder="1" applyAlignment="1" applyProtection="1">
      <alignment horizontal="right" vertical="center"/>
      <protection locked="0"/>
    </xf>
    <xf numFmtId="176" fontId="19" fillId="11" borderId="14" xfId="1" applyNumberFormat="1" applyFont="1" applyFill="1" applyBorder="1" applyAlignment="1" applyProtection="1">
      <alignment horizontal="right" vertical="center"/>
      <protection locked="0"/>
    </xf>
    <xf numFmtId="0" fontId="17" fillId="9" borderId="0" xfId="0" applyFont="1" applyFill="1" applyBorder="1" applyAlignment="1">
      <alignment horizontal="right" vertical="center"/>
    </xf>
    <xf numFmtId="179" fontId="19" fillId="11" borderId="14" xfId="0" applyNumberFormat="1" applyFont="1" applyFill="1" applyBorder="1" applyAlignment="1" applyProtection="1">
      <alignment horizontal="right" vertical="center"/>
      <protection locked="0"/>
    </xf>
    <xf numFmtId="14" fontId="19" fillId="5" borderId="0" xfId="0" applyNumberFormat="1" applyFont="1" applyFill="1" applyBorder="1" applyAlignment="1">
      <alignment horizontal="right" vertical="center"/>
    </xf>
    <xf numFmtId="0" fontId="21" fillId="3" borderId="0" xfId="0" applyFont="1" applyFill="1" applyAlignment="1">
      <alignment horizontal="center" vertical="center"/>
    </xf>
    <xf numFmtId="0" fontId="31" fillId="0" borderId="0" xfId="0" applyFont="1" applyAlignment="1"/>
  </cellXfs>
  <cellStyles count="2">
    <cellStyle name="常规" xfId="0" builtinId="0"/>
    <cellStyle name="千位分隔" xfId="1" builtinId="3"/>
  </cellStyles>
  <dxfs count="5">
    <dxf>
      <font>
        <color theme="0"/>
      </font>
    </dxf>
    <dxf>
      <font>
        <color theme="0"/>
      </font>
    </dxf>
    <dxf>
      <font>
        <color theme="0"/>
      </font>
      <fill>
        <patternFill patternType="none">
          <bgColor indexed="65"/>
        </patternFill>
      </fill>
      <border>
        <left/>
        <right/>
        <top/>
        <bottom/>
      </border>
    </dxf>
    <dxf>
      <font>
        <color theme="1"/>
      </font>
      <fill>
        <patternFill>
          <bgColor theme="6" tint="0.59996337778862885"/>
        </patternFill>
      </fill>
    </dxf>
    <dxf>
      <font>
        <color theme="1"/>
      </font>
      <fill>
        <patternFill>
          <bgColor theme="3" tint="0.39994506668294322"/>
        </patternFill>
      </fill>
    </dxf>
  </dxfs>
  <tableStyles count="0" defaultTableStyle="TableStyleMedium9" defaultPivotStyle="PivotStyleLight16"/>
  <colors>
    <mruColors>
      <color rgb="FF6363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3.4063260340632603E-2"/>
          <c:y val="0.24194423065537859"/>
          <c:w val="0.69563806349023893"/>
          <c:h val="0.548340931067827"/>
        </c:manualLayout>
      </c:layout>
      <c:pie3DChart>
        <c:varyColors val="1"/>
        <c:ser>
          <c:idx val="0"/>
          <c:order val="0"/>
          <c:dPt>
            <c:idx val="0"/>
            <c:bubble3D val="0"/>
            <c:spPr>
              <a:solidFill>
                <a:srgbClr val="2276A1"/>
              </a:solidFill>
            </c:spPr>
            <c:extLst>
              <c:ext xmlns:c16="http://schemas.microsoft.com/office/drawing/2014/chart" uri="{C3380CC4-5D6E-409C-BE32-E72D297353CC}">
                <c16:uniqueId val="{00000000-D459-45FC-B56A-8525EB5182F2}"/>
              </c:ext>
            </c:extLst>
          </c:dPt>
          <c:dPt>
            <c:idx val="1"/>
            <c:bubble3D val="0"/>
            <c:spPr>
              <a:solidFill>
                <a:srgbClr val="F68616"/>
              </a:solidFill>
            </c:spPr>
            <c:extLst>
              <c:ext xmlns:c16="http://schemas.microsoft.com/office/drawing/2014/chart" uri="{C3380CC4-5D6E-409C-BE32-E72D297353CC}">
                <c16:uniqueId val="{00000001-D459-45FC-B56A-8525EB5182F2}"/>
              </c:ext>
            </c:extLst>
          </c:dPt>
          <c:dPt>
            <c:idx val="2"/>
            <c:bubble3D val="0"/>
            <c:spPr>
              <a:solidFill>
                <a:srgbClr val="5FBEC0"/>
              </a:solidFill>
            </c:spPr>
            <c:extLst>
              <c:ext xmlns:c16="http://schemas.microsoft.com/office/drawing/2014/chart" uri="{C3380CC4-5D6E-409C-BE32-E72D297353CC}">
                <c16:uniqueId val="{00000002-D459-45FC-B56A-8525EB5182F2}"/>
              </c:ext>
            </c:extLst>
          </c:dPt>
          <c:dPt>
            <c:idx val="3"/>
            <c:bubble3D val="0"/>
            <c:spPr>
              <a:solidFill>
                <a:srgbClr val="DF5D5D"/>
              </a:solidFill>
            </c:spPr>
            <c:extLst>
              <c:ext xmlns:c16="http://schemas.microsoft.com/office/drawing/2014/chart" uri="{C3380CC4-5D6E-409C-BE32-E72D297353CC}">
                <c16:uniqueId val="{00000003-D459-45FC-B56A-8525EB5182F2}"/>
              </c:ext>
            </c:extLst>
          </c:dPt>
          <c:dPt>
            <c:idx val="4"/>
            <c:bubble3D val="0"/>
            <c:spPr>
              <a:solidFill>
                <a:srgbClr val="4B588D"/>
              </a:solidFill>
            </c:spPr>
            <c:extLst>
              <c:ext xmlns:c16="http://schemas.microsoft.com/office/drawing/2014/chart" uri="{C3380CC4-5D6E-409C-BE32-E72D297353CC}">
                <c16:uniqueId val="{00000004-D459-45FC-B56A-8525EB5182F2}"/>
              </c:ext>
            </c:extLst>
          </c:dPt>
          <c:cat>
            <c:strRef>
              <c:f>盈利预测!$L$7:$L$11</c:f>
              <c:strCache>
                <c:ptCount val="5"/>
                <c:pt idx="0">
                  <c:v>买入</c:v>
                </c:pt>
                <c:pt idx="1">
                  <c:v>增持</c:v>
                </c:pt>
                <c:pt idx="2">
                  <c:v>中性</c:v>
                </c:pt>
                <c:pt idx="3">
                  <c:v>减持</c:v>
                </c:pt>
                <c:pt idx="4">
                  <c:v>卖出</c:v>
                </c:pt>
              </c:strCache>
            </c:strRef>
          </c:cat>
          <c:val>
            <c:numRef>
              <c:f>盈利预测!$M$7:$M$11</c:f>
              <c:numCache>
                <c:formatCode>_ * #,##0_ ;_ * \-#,##0_ ;_ * "-"??_ ;_ @_ </c:formatCode>
                <c:ptCount val="5"/>
                <c:pt idx="0">
                  <c:v>38</c:v>
                </c:pt>
                <c:pt idx="1">
                  <c:v>3</c:v>
                </c:pt>
                <c:pt idx="2">
                  <c:v>0</c:v>
                </c:pt>
                <c:pt idx="3">
                  <c:v>0</c:v>
                </c:pt>
                <c:pt idx="4">
                  <c:v>0</c:v>
                </c:pt>
              </c:numCache>
            </c:numRef>
          </c:val>
          <c:extLst>
            <c:ext xmlns:c16="http://schemas.microsoft.com/office/drawing/2014/chart" uri="{C3380CC4-5D6E-409C-BE32-E72D297353CC}">
              <c16:uniqueId val="{00000005-D459-45FC-B56A-8525EB5182F2}"/>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2639554671050734"/>
          <c:y val="9.0229510784836112E-2"/>
          <c:w val="0.30404007191408766"/>
          <c:h val="0.78950604858603202"/>
        </c:manualLayout>
      </c:layout>
      <c:overlay val="0"/>
      <c:txPr>
        <a:bodyPr/>
        <a:lstStyle/>
        <a:p>
          <a:pPr>
            <a:defRPr sz="900" b="0" i="0" u="none" strike="noStrike" baseline="0">
              <a:solidFill>
                <a:srgbClr val="000000"/>
              </a:solidFill>
              <a:latin typeface="微软雅黑" panose="020B0503020204020204" pitchFamily="34" charset="-122"/>
              <a:ea typeface="微软雅黑" panose="020B0503020204020204" pitchFamily="34" charset="-122"/>
              <a:cs typeface="宋体"/>
            </a:defRPr>
          </a:pPr>
          <a:endParaRPr lang="zh-CN"/>
        </a:p>
      </c:txPr>
    </c:legend>
    <c:plotVisOnly val="1"/>
    <c:dispBlanksAs val="zero"/>
    <c:showDLblsOverMax val="0"/>
  </c:chart>
  <c:spPr>
    <a:noFill/>
    <a:ln w="9525">
      <a:noFill/>
    </a:ln>
  </c:spPr>
  <c:txPr>
    <a:bodyPr/>
    <a:lstStyle/>
    <a:p>
      <a:pPr>
        <a:defRPr sz="1000" b="0" i="0" u="none" strike="noStrike" baseline="0">
          <a:solidFill>
            <a:srgbClr val="000000"/>
          </a:solidFill>
          <a:latin typeface="宋体"/>
          <a:ea typeface="宋体"/>
          <a:cs typeface="宋体"/>
        </a:defRPr>
      </a:pPr>
      <a:endParaRPr lang="zh-CN"/>
    </a:p>
  </c:txPr>
  <c:printSettings>
    <c:headerFooter/>
    <c:pageMargins b="0.75000000000000666" l="0.70000000000000062" r="0.70000000000000062" t="0.75000000000000666"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123825</xdr:colOff>
      <xdr:row>5</xdr:row>
      <xdr:rowOff>28575</xdr:rowOff>
    </xdr:from>
    <xdr:to>
      <xdr:col>16</xdr:col>
      <xdr:colOff>0</xdr:colOff>
      <xdr:row>11</xdr:row>
      <xdr:rowOff>38100</xdr:rowOff>
    </xdr:to>
    <xdr:graphicFrame macro="">
      <xdr:nvGraphicFramePr>
        <xdr:cNvPr id="2160" name="图表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123825</xdr:colOff>
      <xdr:row>0</xdr:row>
      <xdr:rowOff>76200</xdr:rowOff>
    </xdr:from>
    <xdr:ext cx="607152" cy="219075"/>
    <xdr:pic>
      <xdr:nvPicPr>
        <xdr:cNvPr id="4" name="图片 3">
          <a:extLst>
            <a:ext uri="{FF2B5EF4-FFF2-40B4-BE49-F238E27FC236}">
              <a16:creationId xmlns:a16="http://schemas.microsoft.com/office/drawing/2014/main" id="{B14FCFAF-B093-46EB-A7C7-03D9D00247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 y="76200"/>
          <a:ext cx="607152" cy="2190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d\Wind.NET.Client\WindNET\DataBrowse\XLA\WindFunc.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definedNames>
      <definedName name="S_EST_EPS_INST"/>
      <definedName name="S_EST_ESTANALYST"/>
      <definedName name="S_EST_ESTNEWTIME_INST"/>
      <definedName name="S_EST_FRSTRATINGTIME_INST"/>
      <definedName name="S_EST_NETPROFIT_INST"/>
      <definedName name="S_EST_NEWRATINGTIME_INST"/>
      <definedName name="S_EST_ORGRATING_INST"/>
      <definedName name="S_EST_RATINGANALYST"/>
      <definedName name="S_EST_SALES_INST"/>
      <definedName name="S_EST_SCORERATING_INST"/>
      <definedName name="S_EST_STDRATING_INST"/>
      <definedName name="S_INFO_NAME"/>
      <definedName name="TDaysOffset"/>
    </definedNames>
    <sheetDataSet>
      <sheetData sheetId="0"/>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63636D"/>
  </sheetPr>
  <dimension ref="A1:DZ234"/>
  <sheetViews>
    <sheetView showGridLines="0" tabSelected="1" workbookViewId="0">
      <selection activeCell="E109" sqref="E109"/>
    </sheetView>
  </sheetViews>
  <sheetFormatPr defaultColWidth="11" defaultRowHeight="14.25" x14ac:dyDescent="0.15"/>
  <cols>
    <col min="1" max="1" width="7.125" style="58" customWidth="1"/>
    <col min="2" max="2" width="2.5" style="57" customWidth="1"/>
    <col min="3" max="3" width="2.125" style="98" customWidth="1"/>
    <col min="4" max="4" width="10.625" style="58" customWidth="1"/>
    <col min="5" max="5" width="11.125" style="58" customWidth="1"/>
    <col min="6" max="6" width="10.5" style="58" customWidth="1"/>
    <col min="7" max="7" width="13.125" style="58" customWidth="1"/>
    <col min="8" max="9" width="11" style="58" customWidth="1"/>
    <col min="10" max="10" width="11" style="99" customWidth="1"/>
    <col min="11" max="11" width="11" style="58" customWidth="1"/>
    <col min="12" max="12" width="10.5" style="58" customWidth="1"/>
    <col min="13" max="13" width="9.5" style="58" customWidth="1"/>
    <col min="14" max="14" width="15.125" style="58" customWidth="1"/>
    <col min="15" max="15" width="9.125" style="58" customWidth="1"/>
    <col min="16" max="16" width="11.5" style="58" customWidth="1"/>
    <col min="17" max="17" width="14.375" style="58" customWidth="1"/>
    <col min="18" max="32" width="10.625" style="58" hidden="1" customWidth="1"/>
    <col min="33" max="33" width="9.125" style="57" customWidth="1"/>
    <col min="34" max="34" width="1.625" style="57" customWidth="1"/>
    <col min="35" max="35" width="2.5" style="57" customWidth="1"/>
    <col min="36" max="36" width="11" style="57" customWidth="1"/>
    <col min="37" max="37" width="11" style="58" customWidth="1"/>
    <col min="38" max="38" width="10.875" style="58" customWidth="1"/>
    <col min="39" max="16384" width="11" style="58"/>
  </cols>
  <sheetData>
    <row r="1" spans="2:38" ht="27.75" customHeight="1" x14ac:dyDescent="0.3">
      <c r="B1" s="56"/>
      <c r="C1" s="56"/>
      <c r="D1" s="56"/>
      <c r="E1" s="106" t="s">
        <v>133</v>
      </c>
      <c r="F1" s="106"/>
      <c r="G1" s="106"/>
      <c r="H1" s="106"/>
      <c r="I1" s="106"/>
      <c r="J1" s="106"/>
      <c r="K1" s="106"/>
      <c r="L1" s="106"/>
      <c r="M1" s="106"/>
      <c r="N1" s="106"/>
      <c r="O1" s="106"/>
      <c r="P1" s="106"/>
      <c r="Q1" s="106"/>
      <c r="R1" s="106"/>
      <c r="S1" s="106"/>
      <c r="T1" s="106"/>
      <c r="U1" s="106"/>
      <c r="V1" s="106"/>
      <c r="W1" s="106"/>
      <c r="X1" s="106"/>
      <c r="Y1" s="106"/>
      <c r="Z1" s="106"/>
      <c r="AA1" s="106"/>
      <c r="AB1" s="56"/>
      <c r="AC1" s="56"/>
      <c r="AD1" s="15" t="s">
        <v>110</v>
      </c>
      <c r="AE1" s="56"/>
      <c r="AF1" s="56"/>
      <c r="AG1" s="56"/>
      <c r="AH1" s="56"/>
      <c r="AI1" s="56"/>
    </row>
    <row r="2" spans="2:38" ht="16.5" x14ac:dyDescent="0.3">
      <c r="B2" s="59"/>
      <c r="C2" s="60"/>
      <c r="D2" s="59"/>
      <c r="E2" s="59"/>
      <c r="F2" s="59"/>
      <c r="G2" s="59"/>
      <c r="H2" s="59"/>
      <c r="I2" s="59"/>
      <c r="J2" s="59"/>
      <c r="K2" s="59"/>
      <c r="L2" s="59"/>
      <c r="M2" s="59"/>
      <c r="N2" s="59"/>
      <c r="O2" s="59"/>
      <c r="P2" s="59"/>
      <c r="Q2" s="59"/>
      <c r="R2" s="61"/>
      <c r="S2" s="61"/>
      <c r="T2" s="59"/>
      <c r="U2" s="59"/>
      <c r="V2" s="59"/>
      <c r="W2" s="59"/>
      <c r="X2" s="59"/>
      <c r="Y2" s="59"/>
      <c r="Z2" s="59"/>
      <c r="AA2" s="59"/>
      <c r="AB2" s="59"/>
      <c r="AC2" s="59"/>
      <c r="AD2" s="59"/>
      <c r="AE2" s="59"/>
      <c r="AF2" s="59"/>
      <c r="AG2" s="59"/>
      <c r="AH2" s="59"/>
      <c r="AI2" s="59"/>
    </row>
    <row r="3" spans="2:38" x14ac:dyDescent="0.15">
      <c r="B3" s="59"/>
      <c r="C3" s="62"/>
      <c r="D3" s="39"/>
      <c r="E3" s="39"/>
      <c r="F3" s="39"/>
      <c r="G3" s="39"/>
      <c r="H3" s="39"/>
      <c r="I3" s="39"/>
      <c r="J3" s="40"/>
      <c r="K3" s="39"/>
      <c r="L3" s="39"/>
      <c r="M3" s="39"/>
      <c r="N3" s="39"/>
      <c r="O3" s="39"/>
      <c r="P3" s="39"/>
      <c r="Q3" s="39"/>
      <c r="R3" s="39"/>
      <c r="S3" s="39"/>
      <c r="T3" s="39"/>
      <c r="U3" s="39"/>
      <c r="V3" s="39"/>
      <c r="W3" s="39"/>
      <c r="X3" s="39"/>
      <c r="Y3" s="39"/>
      <c r="Z3" s="39"/>
      <c r="AA3" s="39"/>
      <c r="AB3" s="39"/>
      <c r="AC3" s="39"/>
      <c r="AD3" s="39"/>
      <c r="AE3" s="39"/>
      <c r="AF3" s="39"/>
      <c r="AG3" s="39"/>
      <c r="AH3" s="39"/>
      <c r="AI3" s="59"/>
    </row>
    <row r="4" spans="2:38" ht="22.5" customHeight="1" x14ac:dyDescent="0.15">
      <c r="B4" s="59"/>
      <c r="C4" s="62"/>
      <c r="D4" s="100" t="s">
        <v>87</v>
      </c>
      <c r="E4" s="63" t="s">
        <v>114</v>
      </c>
      <c r="F4" s="64">
        <f>VLOOKUP(E4,设置!C4:D96,2,FALSE)</f>
        <v>2</v>
      </c>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39"/>
      <c r="AI4" s="59"/>
    </row>
    <row r="5" spans="2:38" ht="8.25" customHeight="1" x14ac:dyDescent="0.15">
      <c r="B5" s="59"/>
      <c r="C5" s="62"/>
      <c r="D5" s="65"/>
      <c r="E5" s="65"/>
      <c r="F5" s="65"/>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39"/>
      <c r="AI5" s="59"/>
    </row>
    <row r="6" spans="2:38" ht="16.5" customHeight="1" x14ac:dyDescent="0.15">
      <c r="B6" s="59"/>
      <c r="C6" s="62"/>
      <c r="D6" s="26" t="s">
        <v>89</v>
      </c>
      <c r="E6" s="55" t="s">
        <v>138</v>
      </c>
      <c r="F6" s="66"/>
      <c r="G6" s="67"/>
      <c r="H6" s="68" t="s">
        <v>134</v>
      </c>
      <c r="I6" s="68" t="s">
        <v>95</v>
      </c>
      <c r="J6" s="68" t="s">
        <v>135</v>
      </c>
      <c r="K6" s="69" t="s">
        <v>136</v>
      </c>
      <c r="L6" s="21" t="s">
        <v>96</v>
      </c>
      <c r="M6" s="22" t="str">
        <f>IF(D4="自选机构","评级次数","评级家数")</f>
        <v>评级家数</v>
      </c>
      <c r="N6" s="70"/>
      <c r="O6" s="70"/>
      <c r="P6" s="70"/>
      <c r="Q6" s="19" t="s">
        <v>88</v>
      </c>
      <c r="R6" s="66"/>
      <c r="S6" s="66"/>
      <c r="T6" s="66"/>
      <c r="U6" s="66"/>
      <c r="V6" s="66"/>
      <c r="W6" s="66"/>
      <c r="X6" s="66"/>
      <c r="Y6" s="66"/>
      <c r="Z6" s="66"/>
      <c r="AA6" s="66"/>
      <c r="AB6" s="66"/>
      <c r="AC6" s="66"/>
      <c r="AD6" s="66"/>
      <c r="AE6" s="66"/>
      <c r="AF6" s="66"/>
      <c r="AG6" s="71" t="str">
        <f>IF(D4="自选机构","次数","家数")</f>
        <v>家数</v>
      </c>
      <c r="AH6" s="39"/>
      <c r="AI6" s="59"/>
      <c r="AK6" s="57"/>
      <c r="AL6" s="57"/>
    </row>
    <row r="7" spans="2:38" ht="16.5" customHeight="1" x14ac:dyDescent="0.15">
      <c r="B7" s="59"/>
      <c r="C7" s="62"/>
      <c r="D7" s="27" t="s">
        <v>90</v>
      </c>
      <c r="E7" s="103" t="str">
        <f>[1]!S_INFO_NAME(E6)</f>
        <v>贵州茅台</v>
      </c>
      <c r="F7" s="72"/>
      <c r="G7" s="27" t="s">
        <v>115</v>
      </c>
      <c r="H7" s="20">
        <f ca="1">DMAX(D16:U99,I16,V16:W17)</f>
        <v>153809</v>
      </c>
      <c r="I7" s="20">
        <f ca="1">DAVERAGE(D16:U99,I16,V16:W17)</f>
        <v>148509.36243902438</v>
      </c>
      <c r="J7" s="20">
        <f ca="1">DMIN(D16:U99,I16,V16:W17)</f>
        <v>143847</v>
      </c>
      <c r="K7" s="28">
        <f ca="1">SUM(R17:R99)/SUMIF(R17:R99,"&lt;&gt;0",F17:F99)</f>
        <v>148648.61636363636</v>
      </c>
      <c r="L7" s="27" t="s">
        <v>97</v>
      </c>
      <c r="M7" s="31">
        <f ca="1">COUNTIF(P:P,L7)</f>
        <v>38</v>
      </c>
      <c r="N7" s="70"/>
      <c r="O7" s="70"/>
      <c r="P7" s="70"/>
      <c r="Q7" s="27" t="s">
        <v>100</v>
      </c>
      <c r="R7" s="72"/>
      <c r="S7" s="72"/>
      <c r="T7" s="72"/>
      <c r="U7" s="72"/>
      <c r="V7" s="72"/>
      <c r="W7" s="72"/>
      <c r="X7" s="73"/>
      <c r="Y7" s="72"/>
      <c r="Z7" s="72"/>
      <c r="AA7" s="72"/>
      <c r="AB7" s="72"/>
      <c r="AC7" s="72"/>
      <c r="AD7" s="72"/>
      <c r="AE7" s="72"/>
      <c r="AF7" s="72"/>
      <c r="AG7" s="33">
        <f ca="1">COUNTIF($AE:$AE,Q7)</f>
        <v>0</v>
      </c>
      <c r="AH7" s="39"/>
      <c r="AI7" s="59"/>
      <c r="AK7" s="57"/>
      <c r="AL7" s="57"/>
    </row>
    <row r="8" spans="2:38" ht="16.5" customHeight="1" x14ac:dyDescent="0.15">
      <c r="B8" s="59"/>
      <c r="C8" s="62"/>
      <c r="D8" s="26" t="s">
        <v>91</v>
      </c>
      <c r="E8" s="101">
        <f ca="1">YEAR(E9)</f>
        <v>2023</v>
      </c>
      <c r="F8" s="72"/>
      <c r="G8" s="26" t="s">
        <v>93</v>
      </c>
      <c r="H8" s="23">
        <f ca="1">DMAX(D16:U99,J16,X16:Y17)</f>
        <v>76868</v>
      </c>
      <c r="I8" s="23">
        <f ca="1">DAVERAGE(D16:U99,J16,X16:Y17)</f>
        <v>74274.139024390242</v>
      </c>
      <c r="J8" s="23">
        <f ca="1">DMIN(D16:U99,J16,X16:Y17)</f>
        <v>72361</v>
      </c>
      <c r="K8" s="24">
        <f ca="1">SUM(S17:S99)/SUMIF(S17:S99,"&lt;&gt;0",F17:F99)</f>
        <v>74256.842857142867</v>
      </c>
      <c r="L8" s="26" t="s">
        <v>119</v>
      </c>
      <c r="M8" s="32">
        <f ca="1">COUNTIF(P:P,L8)</f>
        <v>3</v>
      </c>
      <c r="N8" s="70"/>
      <c r="O8" s="70"/>
      <c r="P8" s="70"/>
      <c r="Q8" s="26" t="s">
        <v>120</v>
      </c>
      <c r="R8" s="72"/>
      <c r="S8" s="72"/>
      <c r="T8" s="72"/>
      <c r="U8" s="72"/>
      <c r="V8" s="72"/>
      <c r="W8" s="72"/>
      <c r="X8" s="72"/>
      <c r="Y8" s="72"/>
      <c r="Z8" s="72"/>
      <c r="AA8" s="72"/>
      <c r="AB8" s="72"/>
      <c r="AC8" s="72"/>
      <c r="AD8" s="72"/>
      <c r="AE8" s="72"/>
      <c r="AF8" s="72"/>
      <c r="AG8" s="34">
        <f ca="1">COUNTIF($AE:$AE,Q8)</f>
        <v>0</v>
      </c>
      <c r="AH8" s="39"/>
      <c r="AI8" s="59"/>
      <c r="AK8" s="57"/>
      <c r="AL8" s="57"/>
    </row>
    <row r="9" spans="2:38" ht="16.5" customHeight="1" x14ac:dyDescent="0.15">
      <c r="B9" s="59"/>
      <c r="C9" s="62"/>
      <c r="D9" s="27" t="s">
        <v>111</v>
      </c>
      <c r="E9" s="104">
        <f ca="1">[1]!TDaysOffset(TODAY(),"Offset=-1")</f>
        <v>45247</v>
      </c>
      <c r="F9" s="72"/>
      <c r="G9" s="27" t="s">
        <v>116</v>
      </c>
      <c r="H9" s="29">
        <f ca="1">DMAX(D16:U99,K16,Z16:AA17)</f>
        <v>61.19</v>
      </c>
      <c r="I9" s="29">
        <f ca="1">DAVERAGE(D16:U99,K16,Z16:AA17)</f>
        <v>59.126341463414654</v>
      </c>
      <c r="J9" s="29">
        <f ca="1">TRUNC(DMIN(D16:U99,K16,Z16:AA17),3)</f>
        <v>57.6</v>
      </c>
      <c r="K9" s="30">
        <f ca="1">SUM(T17:T99)/SUMIF(T17:T99,"&lt;&gt;0",F17:F99)</f>
        <v>59.11246753246752</v>
      </c>
      <c r="L9" s="27" t="s">
        <v>118</v>
      </c>
      <c r="M9" s="31">
        <f ca="1">COUNTIF(P:P,L9)</f>
        <v>0</v>
      </c>
      <c r="N9" s="70"/>
      <c r="O9" s="70"/>
      <c r="P9" s="70"/>
      <c r="Q9" s="27" t="s">
        <v>101</v>
      </c>
      <c r="R9" s="72"/>
      <c r="S9" s="72"/>
      <c r="T9" s="72"/>
      <c r="U9" s="72"/>
      <c r="V9" s="72"/>
      <c r="W9" s="72"/>
      <c r="X9" s="72"/>
      <c r="Y9" s="72"/>
      <c r="Z9" s="72"/>
      <c r="AA9" s="72"/>
      <c r="AB9" s="72"/>
      <c r="AC9" s="72"/>
      <c r="AD9" s="72"/>
      <c r="AE9" s="72"/>
      <c r="AF9" s="72"/>
      <c r="AG9" s="35">
        <f ca="1">COUNTIF($AE:$AE,Q9)</f>
        <v>41</v>
      </c>
      <c r="AH9" s="39"/>
      <c r="AI9" s="59"/>
      <c r="AK9" s="57"/>
      <c r="AL9" s="57"/>
    </row>
    <row r="10" spans="2:38" ht="16.5" customHeight="1" x14ac:dyDescent="0.15">
      <c r="B10" s="59"/>
      <c r="C10" s="62"/>
      <c r="D10" s="26" t="s">
        <v>112</v>
      </c>
      <c r="E10" s="102">
        <v>1000000</v>
      </c>
      <c r="F10" s="74">
        <f ca="1">IF(E11="自定义",F11,IF(E11="一个月",E9-30,IF(E11="三个月",E9-90,IF(E11="半年",E9-180,E9-365))))</f>
        <v>45067</v>
      </c>
      <c r="G10" s="26" t="str">
        <f>IF(D4="自选机构","预测次数","预测机构家数")</f>
        <v>预测机构家数</v>
      </c>
      <c r="H10" s="23">
        <f ca="1">DCOUNT(D16:U99,I16,V16:W17)</f>
        <v>41</v>
      </c>
      <c r="I10" s="23">
        <f ca="1">DCOUNT(D16:U99,K16,Z16:AA17)</f>
        <v>41</v>
      </c>
      <c r="J10" s="23">
        <f ca="1">DCOUNT(D16:U99,J16,X16:Y17)</f>
        <v>41</v>
      </c>
      <c r="K10" s="24"/>
      <c r="L10" s="26" t="s">
        <v>98</v>
      </c>
      <c r="M10" s="32">
        <f ca="1">COUNTIF(P:P,L10)</f>
        <v>0</v>
      </c>
      <c r="N10" s="70"/>
      <c r="O10" s="70"/>
      <c r="P10" s="70"/>
      <c r="Q10" s="26" t="s">
        <v>102</v>
      </c>
      <c r="R10" s="72"/>
      <c r="S10" s="72"/>
      <c r="T10" s="72"/>
      <c r="U10" s="72"/>
      <c r="V10" s="72"/>
      <c r="W10" s="72"/>
      <c r="X10" s="72"/>
      <c r="Y10" s="72"/>
      <c r="Z10" s="72"/>
      <c r="AA10" s="72"/>
      <c r="AB10" s="72"/>
      <c r="AC10" s="72"/>
      <c r="AD10" s="72"/>
      <c r="AE10" s="72"/>
      <c r="AF10" s="72"/>
      <c r="AG10" s="36">
        <f ca="1">COUNTIF($AE:$AE,Q10)</f>
        <v>0</v>
      </c>
      <c r="AH10" s="39"/>
      <c r="AI10" s="59"/>
      <c r="AK10" s="57"/>
      <c r="AL10" s="57"/>
    </row>
    <row r="11" spans="2:38" ht="16.5" customHeight="1" x14ac:dyDescent="0.15">
      <c r="B11" s="59"/>
      <c r="C11" s="62"/>
      <c r="D11" s="27" t="s">
        <v>92</v>
      </c>
      <c r="E11" s="75" t="s">
        <v>113</v>
      </c>
      <c r="F11" s="76"/>
      <c r="G11" s="27" t="s">
        <v>117</v>
      </c>
      <c r="H11" s="105">
        <f ca="1">MAX(AB17:AB99)</f>
        <v>45239</v>
      </c>
      <c r="I11" s="105"/>
      <c r="J11" s="105"/>
      <c r="K11" s="25"/>
      <c r="L11" s="27" t="s">
        <v>99</v>
      </c>
      <c r="M11" s="31">
        <f ca="1">COUNTIF(P:P,L11)</f>
        <v>0</v>
      </c>
      <c r="N11" s="70"/>
      <c r="O11" s="70"/>
      <c r="P11" s="70"/>
      <c r="Q11" s="77"/>
      <c r="R11" s="77"/>
      <c r="S11" s="77"/>
      <c r="T11" s="77"/>
      <c r="U11" s="77"/>
      <c r="V11" s="77"/>
      <c r="W11" s="77"/>
      <c r="X11" s="77"/>
      <c r="Y11" s="77"/>
      <c r="Z11" s="77"/>
      <c r="AA11" s="77"/>
      <c r="AB11" s="77"/>
      <c r="AC11" s="77"/>
      <c r="AD11" s="77"/>
      <c r="AE11" s="77"/>
      <c r="AF11" s="77"/>
      <c r="AG11" s="77"/>
      <c r="AH11" s="39"/>
      <c r="AI11" s="59"/>
      <c r="AK11" s="57"/>
      <c r="AL11" s="57"/>
    </row>
    <row r="12" spans="2:38" ht="12" customHeight="1" x14ac:dyDescent="0.15">
      <c r="B12" s="59"/>
      <c r="C12" s="62"/>
      <c r="D12" s="39"/>
      <c r="E12" s="78"/>
      <c r="F12" s="79"/>
      <c r="G12" s="80"/>
      <c r="H12" s="81"/>
      <c r="I12" s="81"/>
      <c r="J12" s="79"/>
      <c r="K12" s="80"/>
      <c r="L12" s="79"/>
      <c r="M12" s="79"/>
      <c r="N12" s="81"/>
      <c r="O12" s="79"/>
      <c r="P12" s="80"/>
      <c r="Q12" s="39"/>
      <c r="R12" s="39"/>
      <c r="S12" s="39"/>
      <c r="T12" s="39"/>
      <c r="U12" s="82"/>
      <c r="V12" s="82"/>
      <c r="W12" s="82"/>
      <c r="X12" s="82"/>
      <c r="Y12" s="82"/>
      <c r="Z12" s="82"/>
      <c r="AA12" s="82"/>
      <c r="AB12" s="82"/>
      <c r="AC12" s="82"/>
      <c r="AD12" s="82"/>
      <c r="AE12" s="82"/>
      <c r="AF12" s="39"/>
      <c r="AG12" s="39"/>
      <c r="AH12" s="39"/>
      <c r="AI12" s="59"/>
    </row>
    <row r="13" spans="2:38" ht="9.75" customHeight="1" x14ac:dyDescent="0.15">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row>
    <row r="14" spans="2:38" ht="3.75" customHeight="1" x14ac:dyDescent="0.15">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row>
    <row r="15" spans="2:38" ht="23.25" customHeight="1" thickBot="1" x14ac:dyDescent="0.2">
      <c r="B15" s="59"/>
      <c r="C15" s="62"/>
      <c r="D15" s="38" t="s">
        <v>109</v>
      </c>
      <c r="E15" s="39"/>
      <c r="F15" s="39"/>
      <c r="G15" s="39"/>
      <c r="H15" s="39"/>
      <c r="I15" s="39"/>
      <c r="J15" s="40"/>
      <c r="K15" s="39"/>
      <c r="L15" s="39"/>
      <c r="M15" s="39"/>
      <c r="N15" s="39"/>
      <c r="O15" s="39"/>
      <c r="P15" s="39"/>
      <c r="Q15" s="39"/>
      <c r="R15" s="39"/>
      <c r="S15" s="39"/>
      <c r="T15" s="39"/>
      <c r="U15" s="83"/>
      <c r="V15" s="83"/>
      <c r="W15" s="83"/>
      <c r="X15" s="83"/>
      <c r="Y15" s="83"/>
      <c r="Z15" s="83"/>
      <c r="AA15" s="83"/>
      <c r="AB15" s="83"/>
      <c r="AC15" s="83"/>
      <c r="AD15" s="83"/>
      <c r="AE15" s="83"/>
      <c r="AF15" s="39"/>
      <c r="AG15" s="39"/>
      <c r="AH15" s="39"/>
      <c r="AI15" s="59"/>
    </row>
    <row r="16" spans="2:38" ht="39.75" customHeight="1" thickTop="1" x14ac:dyDescent="0.15">
      <c r="B16" s="59"/>
      <c r="C16" s="84" t="s">
        <v>121</v>
      </c>
      <c r="D16" s="37" t="s">
        <v>103</v>
      </c>
      <c r="E16" s="37" t="s">
        <v>104</v>
      </c>
      <c r="F16" s="37" t="s">
        <v>105</v>
      </c>
      <c r="G16" s="37" t="s">
        <v>122</v>
      </c>
      <c r="H16" s="37" t="s">
        <v>107</v>
      </c>
      <c r="I16" s="37" t="s">
        <v>115</v>
      </c>
      <c r="J16" s="37" t="s">
        <v>123</v>
      </c>
      <c r="K16" s="37" t="s">
        <v>94</v>
      </c>
      <c r="L16" s="37" t="s">
        <v>124</v>
      </c>
      <c r="M16" s="37" t="s">
        <v>131</v>
      </c>
      <c r="N16" s="37" t="s">
        <v>132</v>
      </c>
      <c r="O16" s="37" t="s">
        <v>125</v>
      </c>
      <c r="P16" s="37" t="s">
        <v>126</v>
      </c>
      <c r="Q16" s="37" t="s">
        <v>127</v>
      </c>
      <c r="R16" s="37" t="str">
        <f>I16&amp;"加权"</f>
        <v>预测主营收入加权</v>
      </c>
      <c r="S16" s="37" t="str">
        <f>J16&amp;"加权"</f>
        <v>预测净利润加权</v>
      </c>
      <c r="T16" s="37" t="str">
        <f>K16&amp;"加权"</f>
        <v>预测每股收益加权</v>
      </c>
      <c r="U16" s="37" t="str">
        <f>E11&amp;"内预测"</f>
        <v>半年内预测</v>
      </c>
      <c r="V16" s="37" t="str">
        <f>U16</f>
        <v>半年内预测</v>
      </c>
      <c r="W16" s="37" t="str">
        <f>I16</f>
        <v>预测主营收入</v>
      </c>
      <c r="X16" s="37" t="str">
        <f>U16</f>
        <v>半年内预测</v>
      </c>
      <c r="Y16" s="37" t="str">
        <f>J16</f>
        <v>预测净利润</v>
      </c>
      <c r="Z16" s="37" t="str">
        <f>U16</f>
        <v>半年内预测</v>
      </c>
      <c r="AA16" s="37" t="str">
        <f>K16</f>
        <v>预测每股收益</v>
      </c>
      <c r="AB16" s="37" t="s">
        <v>106</v>
      </c>
      <c r="AC16" s="37" t="s">
        <v>128</v>
      </c>
      <c r="AD16" s="37" t="s">
        <v>137</v>
      </c>
      <c r="AE16" s="37" t="s">
        <v>129</v>
      </c>
      <c r="AF16" s="37" t="str">
        <f>E11&amp;"内评级"</f>
        <v>半年内评级</v>
      </c>
      <c r="AG16" s="37" t="s">
        <v>130</v>
      </c>
      <c r="AH16" s="39"/>
      <c r="AI16" s="59"/>
      <c r="AK16" s="57"/>
    </row>
    <row r="17" spans="2:40" ht="16.5" x14ac:dyDescent="0.15">
      <c r="B17" s="59"/>
      <c r="C17" s="84">
        <f ca="1">E9</f>
        <v>45247</v>
      </c>
      <c r="D17" s="47">
        <v>1</v>
      </c>
      <c r="E17" s="41" t="str">
        <f t="shared" ref="E17:E48" si="0">IF($D$4="自选机构",$E$4,VLOOKUP(D17,instlist,2,FALSE))</f>
        <v>申银万国</v>
      </c>
      <c r="F17" s="42">
        <v>1</v>
      </c>
      <c r="G17" s="41" t="str">
        <f ca="1">IF($D$4="自选机构",[1]!S_EST_ESTANALYST($E$6,$E$8,C17,$F$4),IF(OR(D17=71,D17=74),"***",[1]!S_EST_ESTANALYST($E$6,$E$8,$E$9,D17)))</f>
        <v>周缘</v>
      </c>
      <c r="H17" s="43" t="str">
        <f ca="1">IF($D$4="自选机构",[1]!S_EST_ESTNEWTIME_INST($E$6,$E$8,C17,$F$4),[1]!S_EST_ESTNEWTIME_INST($E$6,$E$8,$E$9,D17))</f>
        <v>2023-11-01</v>
      </c>
      <c r="I17" s="44">
        <f ca="1">IF($D$4="自选机构",[1]!S_EST_SALES_INST($E$6,$E$8,C17,$F$4)/currencyunit,[1]!S_EST_SALES_INST($E$6,$E$8,$E$9,D17)/currencyunit)</f>
        <v>149268</v>
      </c>
      <c r="J17" s="44">
        <f ca="1">IF($D$4="自选机构",[1]!S_EST_NETPROFIT_INST($E$6,$E$8,C17,$F$4)/currencyunit,[1]!S_EST_NETPROFIT_INST($E$6,$E$8,$E$9,D17)/currencyunit)</f>
        <v>73987</v>
      </c>
      <c r="K17" s="45">
        <f ca="1">IF($D$4="自选机构",[1]!S_EST_EPS_INST($E$6,$E$8,C17,$F$4),[1]!S_EST_EPS_INST($E$6,$E$8,$E$9,D17))</f>
        <v>58.9</v>
      </c>
      <c r="L17" s="43" t="str">
        <f ca="1">IF($D$4="自选机构",[1]!S_EST_NEWRATINGTIME_INST($E$6,AC17,$F$4),[1]!S_EST_NEWRATINGTIME_INST($E$6,$E$9,D17))</f>
        <v>2023-11-01</v>
      </c>
      <c r="M17" s="41" t="str">
        <f ca="1">IF($D$4="自选机构",[1]!S_EST_RATINGANALYST($E$6,AC17,$F$4),IF(OR(D17=71,D17=74),"***",[1]!S_EST_RATINGANALYST($E$6,$E$9,D17)))</f>
        <v>周缘</v>
      </c>
      <c r="N17" s="41" t="str">
        <f ca="1">IF($D$4="自选机构",[1]!S_EST_ORGRATING_INST($E$6,AC17,$F$4),[1]!S_EST_ORGRATING_INST($E$6,$E$9,D17))</f>
        <v>申万宏源_买入_1</v>
      </c>
      <c r="O17" s="46">
        <f ca="1">IF($D$4="自选机构",[1]!S_EST_SCORERATING_INST($E$6,AC17,$F$4),[1]!S_EST_SCORERATING_INST($E$6,$E$9,D17))</f>
        <v>1</v>
      </c>
      <c r="P17" s="41" t="str">
        <f ca="1">IF($D$4="自选机构",[1]!S_EST_STDRATING_INST($E$6,AC17,$F$4),[1]!S_EST_STDRATING_INST($E$6,$E$9,D17))</f>
        <v>买入</v>
      </c>
      <c r="Q17" s="43" t="str">
        <f>IF($D$4="自选机构",[1]!S_EST_FRSTRATINGTIME_INST($E$6,$F$4),[1]!S_EST_FRSTRATINGTIME_INST($E$6,D17))</f>
        <v>2015-04-21</v>
      </c>
      <c r="R17" s="80">
        <f ca="1">IF(AND(I17&lt;&gt;0,U17=1),I17*F17,0)</f>
        <v>149268</v>
      </c>
      <c r="S17" s="80">
        <f ca="1">IF(AND(J17&lt;&gt;0,U17=1),J17*F17,0)</f>
        <v>73987</v>
      </c>
      <c r="T17" s="80">
        <f ca="1">IF(AND(K17&lt;&gt;0,U17=1),K17*F17,0)</f>
        <v>58.9</v>
      </c>
      <c r="U17" s="82">
        <f t="shared" ref="U17:U79" ca="1" si="1">IF(H17-$F$10&gt;=0,1,"")</f>
        <v>1</v>
      </c>
      <c r="V17" s="82">
        <v>1</v>
      </c>
      <c r="W17" s="82" t="s">
        <v>108</v>
      </c>
      <c r="X17" s="82">
        <v>1</v>
      </c>
      <c r="Y17" s="82" t="s">
        <v>108</v>
      </c>
      <c r="Z17" s="82">
        <v>1</v>
      </c>
      <c r="AA17" s="82" t="s">
        <v>108</v>
      </c>
      <c r="AB17" s="85">
        <f t="shared" ref="AB17:AB79" ca="1" si="2">--H17</f>
        <v>45231</v>
      </c>
      <c r="AC17" s="85">
        <f ca="1">E9</f>
        <v>45247</v>
      </c>
      <c r="AD17" s="86">
        <f ca="1">IF($D$4="自选机构",[1]!S_EST_SCORERATING_INST($E$6,L17-1,$F$4),[1]!S_EST_SCORERATING_INST($E$6,L17-1,D17))</f>
        <v>1</v>
      </c>
      <c r="AE17" s="82" t="str">
        <f t="shared" ref="AE17:AE79" ca="1" si="3">IF(AD17/O17&gt;1,"评级上调",IF(AD17/O17=1,"评级不变",IF(AD17/O17&gt;0,"评级下调","首次评级")))</f>
        <v>评级不变</v>
      </c>
      <c r="AF17" s="82">
        <f ca="1">IF(L17-$F$10&gt;=0,1,"")</f>
        <v>1</v>
      </c>
      <c r="AG17" s="87">
        <f t="shared" ref="AG17:AG79" ca="1" si="4">IF(ISERROR(AE17),"",IF(AE17="评级不变",0,IF(AE17="评级下调",-1,IF(AE17="评级上调",1,""))))</f>
        <v>0</v>
      </c>
      <c r="AH17" s="39"/>
      <c r="AI17" s="59"/>
      <c r="AK17" s="57"/>
    </row>
    <row r="18" spans="2:40" ht="16.5" x14ac:dyDescent="0.15">
      <c r="B18" s="59"/>
      <c r="C18" s="84">
        <f t="shared" ref="C18:C80" ca="1" si="5">H17-1</f>
        <v>45230</v>
      </c>
      <c r="D18" s="48">
        <v>2</v>
      </c>
      <c r="E18" s="49" t="str">
        <f t="shared" si="0"/>
        <v>国泰君安</v>
      </c>
      <c r="F18" s="50">
        <v>5</v>
      </c>
      <c r="G18" s="49" t="str">
        <f ca="1">IF($D$4="自选机构",[1]!S_EST_ESTANALYST($E$6,$E$8,C18,$F$4),IF(OR(D18=71,D18=74),"***",[1]!S_EST_ESTANALYST($E$6,$E$8,$E$9,D18)))</f>
        <v>訾猛</v>
      </c>
      <c r="H18" s="51" t="str">
        <f ca="1">IF($D$4="自选机构",[1]!S_EST_ESTNEWTIME_INST($E$6,$E$8,C18,$F$4),[1]!S_EST_ESTNEWTIME_INST($E$6,$E$8,$E$9,D18))</f>
        <v>2023-11-01</v>
      </c>
      <c r="I18" s="52">
        <f ca="1">IF($D$4="自选机构",[1]!S_EST_SALES_INST($E$6,$E$8,C18,$F$4)/currencyunit,[1]!S_EST_SALES_INST($E$6,$E$8,$E$9,D18)/currencyunit)</f>
        <v>147895</v>
      </c>
      <c r="J18" s="52">
        <f ca="1">IF($D$4="自选机构",[1]!S_EST_NETPROFIT_INST($E$6,$E$8,C18,$F$4)/currencyunit,[1]!S_EST_NETPROFIT_INST($E$6,$E$8,$E$9,D18)/currencyunit)</f>
        <v>73707</v>
      </c>
      <c r="K18" s="53">
        <f ca="1">IF($D$4="自选机构",[1]!S_EST_EPS_INST($E$6,$E$8,C18,$F$4),[1]!S_EST_EPS_INST($E$6,$E$8,$E$9,D18))</f>
        <v>58.67</v>
      </c>
      <c r="L18" s="51" t="str">
        <f ca="1">IF($D$4="自选机构",[1]!S_EST_NEWRATINGTIME_INST($E$6,AC18,$F$4),[1]!S_EST_NEWRATINGTIME_INST($E$6,$E$9,D18))</f>
        <v>2023-11-01</v>
      </c>
      <c r="M18" s="49" t="str">
        <f ca="1">IF($D$4="自选机构",[1]!S_EST_RATINGANALYST($E$6,AC18,$F$4),IF(OR(D18=71,D18=74),"***",[1]!S_EST_RATINGANALYST($E$6,$E$9,D18)))</f>
        <v>訾猛</v>
      </c>
      <c r="N18" s="49" t="str">
        <f ca="1">IF($D$4="自选机构",[1]!S_EST_ORGRATING_INST($E$6,AC18,$F$4),[1]!S_EST_ORGRATING_INST($E$6,$E$9,D18))</f>
        <v>国泰君安_增持_1</v>
      </c>
      <c r="O18" s="54">
        <f ca="1">IF($D$4="自选机构",[1]!S_EST_SCORERATING_INST($E$6,AC18,$F$4),[1]!S_EST_SCORERATING_INST($E$6,$E$9,D18))</f>
        <v>1</v>
      </c>
      <c r="P18" s="49" t="str">
        <f ca="1">IF($D$4="自选机构",[1]!S_EST_STDRATING_INST($E$6,AC18,$F$4),[1]!S_EST_STDRATING_INST($E$6,$E$9,D18))</f>
        <v>买入</v>
      </c>
      <c r="Q18" s="51" t="str">
        <f>IF($D$4="自选机构",[1]!S_EST_FRSTRATINGTIME_INST($E$6,$F$4),[1]!S_EST_FRSTRATINGTIME_INST($E$6,D18))</f>
        <v>2005-01-11</v>
      </c>
      <c r="R18" s="88">
        <f t="shared" ref="R18:R80" ca="1" si="6">IF(AND(I18&lt;&gt;0,U18=1),I18*F18,0)</f>
        <v>739475</v>
      </c>
      <c r="S18" s="88">
        <f t="shared" ref="S18:S80" ca="1" si="7">IF(AND(J18&lt;&gt;0,U18=1),J18*F18,0)</f>
        <v>368535</v>
      </c>
      <c r="T18" s="88">
        <f t="shared" ref="T18:T80" ca="1" si="8">IF(AND(K18&lt;&gt;0,U18=1),K18*F18,0)</f>
        <v>293.35000000000002</v>
      </c>
      <c r="U18" s="89">
        <f t="shared" ca="1" si="1"/>
        <v>1</v>
      </c>
      <c r="V18" s="89"/>
      <c r="W18" s="89"/>
      <c r="X18" s="89"/>
      <c r="Y18" s="89"/>
      <c r="Z18" s="89"/>
      <c r="AA18" s="89"/>
      <c r="AB18" s="90">
        <f t="shared" ca="1" si="2"/>
        <v>45231</v>
      </c>
      <c r="AC18" s="90">
        <f t="shared" ref="AC18:AC80" ca="1" si="9">L17-1</f>
        <v>45230</v>
      </c>
      <c r="AD18" s="91">
        <f ca="1">IF($D$4="自选机构",[1]!S_EST_SCORERATING_INST($E$6,L18-1,$F$4),[1]!S_EST_SCORERATING_INST($E$6,L18-1,D18))</f>
        <v>1</v>
      </c>
      <c r="AE18" s="89" t="str">
        <f t="shared" ca="1" si="3"/>
        <v>评级不变</v>
      </c>
      <c r="AF18" s="89">
        <f ca="1">IF(L18-$F$10&gt;=0,1,"")</f>
        <v>1</v>
      </c>
      <c r="AG18" s="92">
        <f t="shared" ca="1" si="4"/>
        <v>0</v>
      </c>
      <c r="AH18" s="39"/>
      <c r="AI18" s="59"/>
      <c r="AK18" s="57"/>
    </row>
    <row r="19" spans="2:40" s="57" customFormat="1" ht="16.5" x14ac:dyDescent="0.15">
      <c r="B19" s="59"/>
      <c r="C19" s="84">
        <f t="shared" ca="1" si="5"/>
        <v>45230</v>
      </c>
      <c r="D19" s="47">
        <v>3</v>
      </c>
      <c r="E19" s="41" t="str">
        <f t="shared" si="0"/>
        <v>中银国际</v>
      </c>
      <c r="F19" s="42">
        <v>5</v>
      </c>
      <c r="G19" s="41" t="str">
        <f ca="1">IF($D$4="自选机构",[1]!S_EST_ESTANALYST($E$6,$E$8,C19,$F$4),IF(OR(D19=71,D19=74),"***",[1]!S_EST_ESTANALYST($E$6,$E$8,$E$9,D19)))</f>
        <v>邓天娇</v>
      </c>
      <c r="H19" s="43" t="str">
        <f ca="1">IF($D$4="自选机构",[1]!S_EST_ESTNEWTIME_INST($E$6,$E$8,C19,$F$4),[1]!S_EST_ESTNEWTIME_INST($E$6,$E$8,$E$9,D19))</f>
        <v>2023-11-03</v>
      </c>
      <c r="I19" s="44">
        <f ca="1">IF($D$4="自选机构",[1]!S_EST_SALES_INST($E$6,$E$8,C19,$F$4)/currencyunit,[1]!S_EST_SALES_INST($E$6,$E$8,$E$9,D19)/currencyunit)</f>
        <v>148940</v>
      </c>
      <c r="J19" s="44">
        <f ca="1">IF($D$4="自选机构",[1]!S_EST_NETPROFIT_INST($E$6,$E$8,C19,$F$4)/currencyunit,[1]!S_EST_NETPROFIT_INST($E$6,$E$8,$E$9,D19)/currencyunit)</f>
        <v>74358</v>
      </c>
      <c r="K19" s="45">
        <f ca="1">IF($D$4="自选机构",[1]!S_EST_EPS_INST($E$6,$E$8,C19,$F$4),[1]!S_EST_EPS_INST($E$6,$E$8,$E$9,D19))</f>
        <v>59.19</v>
      </c>
      <c r="L19" s="43" t="str">
        <f ca="1">IF($D$4="自选机构",[1]!S_EST_NEWRATINGTIME_INST($E$6,AC19,$F$4),[1]!S_EST_NEWRATINGTIME_INST($E$6,$E$9,D19))</f>
        <v>2023-11-03</v>
      </c>
      <c r="M19" s="41" t="str">
        <f ca="1">IF($D$4="自选机构",[1]!S_EST_RATINGANALYST($E$6,AC19,$F$4),IF(OR(D19=71,D19=74),"***",[1]!S_EST_RATINGANALYST($E$6,$E$9,D19)))</f>
        <v>邓天娇</v>
      </c>
      <c r="N19" s="41" t="str">
        <f ca="1">IF($D$4="自选机构",[1]!S_EST_ORGRATING_INST($E$6,AC19,$F$4),[1]!S_EST_ORGRATING_INST($E$6,$E$9,D19))</f>
        <v>中银证券_买入_1</v>
      </c>
      <c r="O19" s="46">
        <f ca="1">IF($D$4="自选机构",[1]!S_EST_SCORERATING_INST($E$6,AC19,$F$4),[1]!S_EST_SCORERATING_INST($E$6,$E$9,D19))</f>
        <v>1</v>
      </c>
      <c r="P19" s="41" t="str">
        <f ca="1">IF($D$4="自选机构",[1]!S_EST_STDRATING_INST($E$6,AC19,$F$4),[1]!S_EST_STDRATING_INST($E$6,$E$9,D19))</f>
        <v>买入</v>
      </c>
      <c r="Q19" s="43" t="str">
        <f>IF($D$4="自选机构",[1]!S_EST_FRSTRATINGTIME_INST($E$6,$F$4),[1]!S_EST_FRSTRATINGTIME_INST($E$6,D19))</f>
        <v>2005-01-25</v>
      </c>
      <c r="R19" s="80">
        <f t="shared" ca="1" si="6"/>
        <v>744700</v>
      </c>
      <c r="S19" s="80">
        <f t="shared" ca="1" si="7"/>
        <v>371790</v>
      </c>
      <c r="T19" s="80">
        <f t="shared" ca="1" si="8"/>
        <v>295.95</v>
      </c>
      <c r="U19" s="82">
        <f t="shared" ca="1" si="1"/>
        <v>1</v>
      </c>
      <c r="V19" s="93"/>
      <c r="W19" s="93"/>
      <c r="X19" s="93"/>
      <c r="Y19" s="93"/>
      <c r="Z19" s="93"/>
      <c r="AA19" s="94"/>
      <c r="AB19" s="85">
        <f t="shared" ca="1" si="2"/>
        <v>45233</v>
      </c>
      <c r="AC19" s="85">
        <f t="shared" ca="1" si="9"/>
        <v>45230</v>
      </c>
      <c r="AD19" s="86">
        <f ca="1">IF($D$4="自选机构",[1]!S_EST_SCORERATING_INST($E$6,L19-1,$F$4),[1]!S_EST_SCORERATING_INST($E$6,L19-1,D19))</f>
        <v>1</v>
      </c>
      <c r="AE19" s="82" t="str">
        <f t="shared" ca="1" si="3"/>
        <v>评级不变</v>
      </c>
      <c r="AF19" s="82">
        <f ca="1">IF(L19-$F$10&gt;=0,1,"")</f>
        <v>1</v>
      </c>
      <c r="AG19" s="87">
        <f t="shared" ca="1" si="4"/>
        <v>0</v>
      </c>
      <c r="AH19" s="39"/>
      <c r="AI19" s="59"/>
      <c r="AL19" s="58"/>
      <c r="AM19" s="58"/>
      <c r="AN19" s="58"/>
    </row>
    <row r="20" spans="2:40" s="57" customFormat="1" ht="16.5" x14ac:dyDescent="0.15">
      <c r="B20" s="59"/>
      <c r="C20" s="84">
        <f t="shared" ca="1" si="5"/>
        <v>45232</v>
      </c>
      <c r="D20" s="48">
        <v>4</v>
      </c>
      <c r="E20" s="49" t="str">
        <f t="shared" si="0"/>
        <v>国信证券</v>
      </c>
      <c r="F20" s="50">
        <v>5</v>
      </c>
      <c r="G20" s="49" t="str">
        <f ca="1">IF($D$4="自选机构",[1]!S_EST_ESTANALYST($E$6,$E$8,C20,$F$4),IF(OR(D20=71,D20=74),"***",[1]!S_EST_ESTANALYST($E$6,$E$8,$E$9,D20)))</f>
        <v>张向伟</v>
      </c>
      <c r="H20" s="51" t="str">
        <f ca="1">IF($D$4="自选机构",[1]!S_EST_ESTNEWTIME_INST($E$6,$E$8,C20,$F$4),[1]!S_EST_ESTNEWTIME_INST($E$6,$E$8,$E$9,D20))</f>
        <v>2023-11-01</v>
      </c>
      <c r="I20" s="52">
        <f ca="1">IF($D$4="自选机构",[1]!S_EST_SALES_INST($E$6,$E$8,C20,$F$4)/currencyunit,[1]!S_EST_SALES_INST($E$6,$E$8,$E$9,D20)/currencyunit)</f>
        <v>147197</v>
      </c>
      <c r="J20" s="52">
        <f ca="1">IF($D$4="自选机构",[1]!S_EST_NETPROFIT_INST($E$6,$E$8,C20,$F$4)/currencyunit,[1]!S_EST_NETPROFIT_INST($E$6,$E$8,$E$9,D20)/currencyunit)</f>
        <v>74076</v>
      </c>
      <c r="K20" s="53">
        <f ca="1">IF($D$4="自选机构",[1]!S_EST_EPS_INST($E$6,$E$8,C20,$F$4),[1]!S_EST_EPS_INST($E$6,$E$8,$E$9,D20))</f>
        <v>58.97</v>
      </c>
      <c r="L20" s="51" t="str">
        <f ca="1">IF($D$4="自选机构",[1]!S_EST_NEWRATINGTIME_INST($E$6,AC20,$F$4),[1]!S_EST_NEWRATINGTIME_INST($E$6,$E$9,D20))</f>
        <v>2023-11-01</v>
      </c>
      <c r="M20" s="49" t="str">
        <f ca="1">IF($D$4="自选机构",[1]!S_EST_RATINGANALYST($E$6,AC20,$F$4),IF(OR(D20=71,D20=74),"***",[1]!S_EST_RATINGANALYST($E$6,$E$9,D20)))</f>
        <v>张向伟</v>
      </c>
      <c r="N20" s="49" t="str">
        <f ca="1">IF($D$4="自选机构",[1]!S_EST_ORGRATING_INST($E$6,AC20,$F$4),[1]!S_EST_ORGRATING_INST($E$6,$E$9,D20))</f>
        <v>国信证券_买入_1</v>
      </c>
      <c r="O20" s="54">
        <f ca="1">IF($D$4="自选机构",[1]!S_EST_SCORERATING_INST($E$6,AC20,$F$4),[1]!S_EST_SCORERATING_INST($E$6,$E$9,D20))</f>
        <v>1</v>
      </c>
      <c r="P20" s="49" t="str">
        <f ca="1">IF($D$4="自选机构",[1]!S_EST_STDRATING_INST($E$6,AC20,$F$4),[1]!S_EST_STDRATING_INST($E$6,$E$9,D20))</f>
        <v>买入</v>
      </c>
      <c r="Q20" s="51" t="str">
        <f>IF($D$4="自选机构",[1]!S_EST_FRSTRATINGTIME_INST($E$6,$F$4),[1]!S_EST_FRSTRATINGTIME_INST($E$6,D20))</f>
        <v>2005-04-25</v>
      </c>
      <c r="R20" s="88">
        <f t="shared" ca="1" si="6"/>
        <v>735985</v>
      </c>
      <c r="S20" s="88">
        <f t="shared" ca="1" si="7"/>
        <v>370380</v>
      </c>
      <c r="T20" s="88">
        <f t="shared" ca="1" si="8"/>
        <v>294.85000000000002</v>
      </c>
      <c r="U20" s="89">
        <f t="shared" ca="1" si="1"/>
        <v>1</v>
      </c>
      <c r="V20" s="89"/>
      <c r="W20" s="89"/>
      <c r="X20" s="89"/>
      <c r="Y20" s="89"/>
      <c r="Z20" s="89"/>
      <c r="AA20" s="89"/>
      <c r="AB20" s="90">
        <f t="shared" ca="1" si="2"/>
        <v>45231</v>
      </c>
      <c r="AC20" s="90">
        <f t="shared" ca="1" si="9"/>
        <v>45232</v>
      </c>
      <c r="AD20" s="91">
        <f ca="1">IF($D$4="自选机构",[1]!S_EST_SCORERATING_INST($E$6,L20-1,$F$4),[1]!S_EST_SCORERATING_INST($E$6,L20-1,D20))</f>
        <v>1</v>
      </c>
      <c r="AE20" s="89" t="str">
        <f t="shared" ca="1" si="3"/>
        <v>评级不变</v>
      </c>
      <c r="AF20" s="89">
        <f ca="1">IF(L20-$F$10&gt;=0,1,"")</f>
        <v>1</v>
      </c>
      <c r="AG20" s="92">
        <f t="shared" ca="1" si="4"/>
        <v>0</v>
      </c>
      <c r="AH20" s="39"/>
      <c r="AI20" s="59"/>
      <c r="AL20" s="58"/>
      <c r="AM20" s="58"/>
      <c r="AN20" s="58"/>
    </row>
    <row r="21" spans="2:40" s="57" customFormat="1" ht="16.5" x14ac:dyDescent="0.15">
      <c r="B21" s="59"/>
      <c r="C21" s="84">
        <f t="shared" ca="1" si="5"/>
        <v>45230</v>
      </c>
      <c r="D21" s="47">
        <v>5</v>
      </c>
      <c r="E21" s="41" t="str">
        <f t="shared" si="0"/>
        <v>海通证券</v>
      </c>
      <c r="F21" s="42">
        <v>5</v>
      </c>
      <c r="G21" s="41" t="str">
        <f ca="1">IF($D$4="自选机构",[1]!S_EST_ESTANALYST($E$6,$E$8,C21,$F$4),IF(OR(D21=71,D21=74),"***",[1]!S_EST_ESTANALYST($E$6,$E$8,$E$9,D21)))</f>
        <v>颜慧菁</v>
      </c>
      <c r="H21" s="43" t="str">
        <f ca="1">IF($D$4="自选机构",[1]!S_EST_ESTNEWTIME_INST($E$6,$E$8,C21,$F$4),[1]!S_EST_ESTNEWTIME_INST($E$6,$E$8,$E$9,D21))</f>
        <v>2023-11-09</v>
      </c>
      <c r="I21" s="44">
        <f ca="1">IF($D$4="自选机构",[1]!S_EST_SALES_INST($E$6,$E$8,C21,$F$4)/currencyunit,[1]!S_EST_SALES_INST($E$6,$E$8,$E$9,D21)/currencyunit)</f>
        <v>150275</v>
      </c>
      <c r="J21" s="44">
        <f ca="1">IF($D$4="自选机构",[1]!S_EST_NETPROFIT_INST($E$6,$E$8,C21,$F$4)/currencyunit,[1]!S_EST_NETPROFIT_INST($E$6,$E$8,$E$9,D21)/currencyunit)</f>
        <v>74815</v>
      </c>
      <c r="K21" s="45">
        <f ca="1">IF($D$4="自选机构",[1]!S_EST_EPS_INST($E$6,$E$8,C21,$F$4),[1]!S_EST_EPS_INST($E$6,$E$8,$E$9,D21))</f>
        <v>59.56</v>
      </c>
      <c r="L21" s="43" t="str">
        <f ca="1">IF($D$4="自选机构",[1]!S_EST_NEWRATINGTIME_INST($E$6,AC21,$F$4),[1]!S_EST_NEWRATINGTIME_INST($E$6,$E$9,D21))</f>
        <v>2023-11-09</v>
      </c>
      <c r="M21" s="41" t="str">
        <f ca="1">IF($D$4="自选机构",[1]!S_EST_RATINGANALYST($E$6,AC21,$F$4),IF(OR(D21=71,D21=74),"***",[1]!S_EST_RATINGANALYST($E$6,$E$9,D21)))</f>
        <v>颜慧菁</v>
      </c>
      <c r="N21" s="41" t="str">
        <f ca="1">IF($D$4="自选机构",[1]!S_EST_ORGRATING_INST($E$6,AC21,$F$4),[1]!S_EST_ORGRATING_INST($E$6,$E$9,D21))</f>
        <v>海通证券_优于大市_2</v>
      </c>
      <c r="O21" s="46">
        <f ca="1">IF($D$4="自选机构",[1]!S_EST_SCORERATING_INST($E$6,AC21,$F$4),[1]!S_EST_SCORERATING_INST($E$6,$E$9,D21))</f>
        <v>2</v>
      </c>
      <c r="P21" s="41" t="str">
        <f ca="1">IF($D$4="自选机构",[1]!S_EST_STDRATING_INST($E$6,AC21,$F$4),[1]!S_EST_STDRATING_INST($E$6,$E$9,D21))</f>
        <v>增持</v>
      </c>
      <c r="Q21" s="43" t="str">
        <f>IF($D$4="自选机构",[1]!S_EST_FRSTRATINGTIME_INST($E$6,$F$4),[1]!S_EST_FRSTRATINGTIME_INST($E$6,D21))</f>
        <v>2005-01-11</v>
      </c>
      <c r="R21" s="80">
        <f t="shared" ca="1" si="6"/>
        <v>751375</v>
      </c>
      <c r="S21" s="80">
        <f t="shared" ca="1" si="7"/>
        <v>374075</v>
      </c>
      <c r="T21" s="80">
        <f t="shared" ca="1" si="8"/>
        <v>297.8</v>
      </c>
      <c r="U21" s="82">
        <f t="shared" ca="1" si="1"/>
        <v>1</v>
      </c>
      <c r="V21" s="82"/>
      <c r="W21" s="82"/>
      <c r="X21" s="82"/>
      <c r="Y21" s="82"/>
      <c r="Z21" s="82"/>
      <c r="AA21" s="82"/>
      <c r="AB21" s="85">
        <f t="shared" ca="1" si="2"/>
        <v>45239</v>
      </c>
      <c r="AC21" s="85">
        <f t="shared" ca="1" si="9"/>
        <v>45230</v>
      </c>
      <c r="AD21" s="86">
        <f ca="1">IF($D$4="自选机构",[1]!S_EST_SCORERATING_INST($E$6,L21-1,$F$4),[1]!S_EST_SCORERATING_INST($E$6,L21-1,D21))</f>
        <v>2</v>
      </c>
      <c r="AE21" s="82" t="str">
        <f t="shared" ca="1" si="3"/>
        <v>评级不变</v>
      </c>
      <c r="AF21" s="82">
        <f t="shared" ref="AF21:AF83" ca="1" si="10">IF(L21-$F$10&gt;=0,1,"")</f>
        <v>1</v>
      </c>
      <c r="AG21" s="87">
        <f t="shared" ca="1" si="4"/>
        <v>0</v>
      </c>
      <c r="AH21" s="39"/>
      <c r="AI21" s="59"/>
      <c r="AL21" s="58"/>
      <c r="AM21" s="58"/>
      <c r="AN21" s="58"/>
    </row>
    <row r="22" spans="2:40" s="57" customFormat="1" ht="16.5" x14ac:dyDescent="0.15">
      <c r="B22" s="59"/>
      <c r="C22" s="84">
        <f t="shared" ca="1" si="5"/>
        <v>45238</v>
      </c>
      <c r="D22" s="48">
        <v>6</v>
      </c>
      <c r="E22" s="49" t="str">
        <f t="shared" si="0"/>
        <v>招商证券</v>
      </c>
      <c r="F22" s="50">
        <v>5</v>
      </c>
      <c r="G22" s="49" t="str">
        <f ca="1">IF($D$4="自选机构",[1]!S_EST_ESTANALYST($E$6,$E$8,C22,$F$4),IF(OR(D22=71,D22=74),"***",[1]!S_EST_ESTANALYST($E$6,$E$8,$E$9,D22)))</f>
        <v>于佳琦</v>
      </c>
      <c r="H22" s="51" t="str">
        <f ca="1">IF($D$4="自选机构",[1]!S_EST_ESTNEWTIME_INST($E$6,$E$8,C22,$F$4),[1]!S_EST_ESTNEWTIME_INST($E$6,$E$8,$E$9,D22))</f>
        <v>2023-11-01</v>
      </c>
      <c r="I22" s="52">
        <f ca="1">IF($D$4="自选机构",[1]!S_EST_SALES_INST($E$6,$E$8,C22,$F$4)/currencyunit,[1]!S_EST_SALES_INST($E$6,$E$8,$E$9,D22)/currencyunit)</f>
        <v>149707</v>
      </c>
      <c r="J22" s="52">
        <f ca="1">IF($D$4="自选机构",[1]!S_EST_NETPROFIT_INST($E$6,$E$8,C22,$F$4)/currencyunit,[1]!S_EST_NETPROFIT_INST($E$6,$E$8,$E$9,D22)/currencyunit)</f>
        <v>74745</v>
      </c>
      <c r="K22" s="53">
        <f ca="1">IF($D$4="自选机构",[1]!S_EST_EPS_INST($E$6,$E$8,C22,$F$4),[1]!S_EST_EPS_INST($E$6,$E$8,$E$9,D22))</f>
        <v>59.5</v>
      </c>
      <c r="L22" s="51" t="str">
        <f ca="1">IF($D$4="自选机构",[1]!S_EST_NEWRATINGTIME_INST($E$6,AC22,$F$4),[1]!S_EST_NEWRATINGTIME_INST($E$6,$E$9,D22))</f>
        <v>2023-11-01</v>
      </c>
      <c r="M22" s="49" t="str">
        <f ca="1">IF($D$4="自选机构",[1]!S_EST_RATINGANALYST($E$6,AC22,$F$4),IF(OR(D22=71,D22=74),"***",[1]!S_EST_RATINGANALYST($E$6,$E$9,D22)))</f>
        <v>于佳琦</v>
      </c>
      <c r="N22" s="49" t="str">
        <f ca="1">IF($D$4="自选机构",[1]!S_EST_ORGRATING_INST($E$6,AC22,$F$4),[1]!S_EST_ORGRATING_INST($E$6,$E$9,D22))</f>
        <v>招商证券_强烈推荐_1</v>
      </c>
      <c r="O22" s="54">
        <f ca="1">IF($D$4="自选机构",[1]!S_EST_SCORERATING_INST($E$6,AC22,$F$4),[1]!S_EST_SCORERATING_INST($E$6,$E$9,D22))</f>
        <v>1</v>
      </c>
      <c r="P22" s="49" t="str">
        <f ca="1">IF($D$4="自选机构",[1]!S_EST_STDRATING_INST($E$6,AC22,$F$4),[1]!S_EST_STDRATING_INST($E$6,$E$9,D22))</f>
        <v>买入</v>
      </c>
      <c r="Q22" s="51" t="str">
        <f>IF($D$4="自选机构",[1]!S_EST_FRSTRATINGTIME_INST($E$6,$F$4),[1]!S_EST_FRSTRATINGTIME_INST($E$6,D22))</f>
        <v>2004-03-15</v>
      </c>
      <c r="R22" s="88">
        <f t="shared" ca="1" si="6"/>
        <v>748535</v>
      </c>
      <c r="S22" s="88">
        <f t="shared" ca="1" si="7"/>
        <v>373725</v>
      </c>
      <c r="T22" s="88">
        <f t="shared" ca="1" si="8"/>
        <v>297.5</v>
      </c>
      <c r="U22" s="89">
        <f t="shared" ca="1" si="1"/>
        <v>1</v>
      </c>
      <c r="V22" s="89"/>
      <c r="W22" s="89"/>
      <c r="X22" s="89"/>
      <c r="Y22" s="89"/>
      <c r="Z22" s="89"/>
      <c r="AA22" s="89"/>
      <c r="AB22" s="90">
        <f t="shared" ca="1" si="2"/>
        <v>45231</v>
      </c>
      <c r="AC22" s="90">
        <f t="shared" ca="1" si="9"/>
        <v>45238</v>
      </c>
      <c r="AD22" s="91">
        <f ca="1">IF($D$4="自选机构",[1]!S_EST_SCORERATING_INST($E$6,L22-1,$F$4),[1]!S_EST_SCORERATING_INST($E$6,L22-1,D22))</f>
        <v>1</v>
      </c>
      <c r="AE22" s="89" t="str">
        <f t="shared" ca="1" si="3"/>
        <v>评级不变</v>
      </c>
      <c r="AF22" s="89">
        <f t="shared" ca="1" si="10"/>
        <v>1</v>
      </c>
      <c r="AG22" s="92">
        <f t="shared" ca="1" si="4"/>
        <v>0</v>
      </c>
      <c r="AH22" s="39"/>
      <c r="AI22" s="59"/>
      <c r="AL22" s="58"/>
      <c r="AM22" s="58"/>
      <c r="AN22" s="58"/>
    </row>
    <row r="23" spans="2:40" ht="16.5" x14ac:dyDescent="0.15">
      <c r="B23" s="59"/>
      <c r="C23" s="84">
        <f t="shared" ca="1" si="5"/>
        <v>45230</v>
      </c>
      <c r="D23" s="47">
        <v>7</v>
      </c>
      <c r="E23" s="41" t="str">
        <f t="shared" si="0"/>
        <v>光大证券</v>
      </c>
      <c r="F23" s="42">
        <v>5</v>
      </c>
      <c r="G23" s="41" t="str">
        <f ca="1">IF($D$4="自选机构",[1]!S_EST_ESTANALYST($E$6,$E$8,C23,$F$4),IF(OR(D23=71,D23=74),"***",[1]!S_EST_ESTANALYST($E$6,$E$8,$E$9,D23)))</f>
        <v>叶倩瑜</v>
      </c>
      <c r="H23" s="43" t="str">
        <f ca="1">IF($D$4="自选机构",[1]!S_EST_ESTNEWTIME_INST($E$6,$E$8,C23,$F$4),[1]!S_EST_ESTNEWTIME_INST($E$6,$E$8,$E$9,D23))</f>
        <v>2023-11-01</v>
      </c>
      <c r="I23" s="44">
        <f ca="1">IF($D$4="自选机构",[1]!S_EST_SALES_INST($E$6,$E$8,C23,$F$4)/currencyunit,[1]!S_EST_SALES_INST($E$6,$E$8,$E$9,D23)/currencyunit)</f>
        <v>149774</v>
      </c>
      <c r="J23" s="44">
        <f ca="1">IF($D$4="自选机构",[1]!S_EST_NETPROFIT_INST($E$6,$E$8,C23,$F$4)/currencyunit,[1]!S_EST_NETPROFIT_INST($E$6,$E$8,$E$9,D23)/currencyunit)</f>
        <v>73904</v>
      </c>
      <c r="K23" s="45">
        <f ca="1">IF($D$4="自选机构",[1]!S_EST_EPS_INST($E$6,$E$8,C23,$F$4),[1]!S_EST_EPS_INST($E$6,$E$8,$E$9,D23))</f>
        <v>58.83</v>
      </c>
      <c r="L23" s="43" t="str">
        <f ca="1">IF($D$4="自选机构",[1]!S_EST_NEWRATINGTIME_INST($E$6,AC23,$F$4),[1]!S_EST_NEWRATINGTIME_INST($E$6,$E$9,D23))</f>
        <v>2023-11-01</v>
      </c>
      <c r="M23" s="41" t="str">
        <f ca="1">IF($D$4="自选机构",[1]!S_EST_RATINGANALYST($E$6,AC23,$F$4),IF(OR(D23=71,D23=74),"***",[1]!S_EST_RATINGANALYST($E$6,$E$9,D23)))</f>
        <v>叶倩瑜</v>
      </c>
      <c r="N23" s="41" t="str">
        <f ca="1">IF($D$4="自选机构",[1]!S_EST_ORGRATING_INST($E$6,AC23,$F$4),[1]!S_EST_ORGRATING_INST($E$6,$E$9,D23))</f>
        <v>光大证券_买入_1</v>
      </c>
      <c r="O23" s="46">
        <f ca="1">IF($D$4="自选机构",[1]!S_EST_SCORERATING_INST($E$6,AC23,$F$4),[1]!S_EST_SCORERATING_INST($E$6,$E$9,D23))</f>
        <v>1</v>
      </c>
      <c r="P23" s="41" t="str">
        <f ca="1">IF($D$4="自选机构",[1]!S_EST_STDRATING_INST($E$6,AC23,$F$4),[1]!S_EST_STDRATING_INST($E$6,$E$9,D23))</f>
        <v>买入</v>
      </c>
      <c r="Q23" s="43" t="str">
        <f>IF($D$4="自选机构",[1]!S_EST_FRSTRATINGTIME_INST($E$6,$F$4),[1]!S_EST_FRSTRATINGTIME_INST($E$6,D23))</f>
        <v>2004-11-12</v>
      </c>
      <c r="R23" s="80">
        <f t="shared" ca="1" si="6"/>
        <v>748870</v>
      </c>
      <c r="S23" s="80">
        <f t="shared" ca="1" si="7"/>
        <v>369520</v>
      </c>
      <c r="T23" s="80">
        <f t="shared" ca="1" si="8"/>
        <v>294.14999999999998</v>
      </c>
      <c r="U23" s="82">
        <f t="shared" ca="1" si="1"/>
        <v>1</v>
      </c>
      <c r="V23" s="82"/>
      <c r="W23" s="82"/>
      <c r="X23" s="82"/>
      <c r="Y23" s="82"/>
      <c r="Z23" s="82"/>
      <c r="AA23" s="82"/>
      <c r="AB23" s="85">
        <f t="shared" ca="1" si="2"/>
        <v>45231</v>
      </c>
      <c r="AC23" s="85">
        <f t="shared" ca="1" si="9"/>
        <v>45230</v>
      </c>
      <c r="AD23" s="86">
        <f ca="1">IF($D$4="自选机构",[1]!S_EST_SCORERATING_INST($E$6,L23-1,$F$4),[1]!S_EST_SCORERATING_INST($E$6,L23-1,D23))</f>
        <v>1</v>
      </c>
      <c r="AE23" s="82" t="str">
        <f t="shared" ca="1" si="3"/>
        <v>评级不变</v>
      </c>
      <c r="AF23" s="82">
        <f ca="1">IF(L23-$F$10&gt;=0,1,"")</f>
        <v>1</v>
      </c>
      <c r="AG23" s="87">
        <f t="shared" ca="1" si="4"/>
        <v>0</v>
      </c>
      <c r="AH23" s="39"/>
      <c r="AI23" s="59"/>
      <c r="AK23" s="57"/>
    </row>
    <row r="24" spans="2:40" ht="16.5" x14ac:dyDescent="0.15">
      <c r="B24" s="59"/>
      <c r="C24" s="84">
        <f t="shared" ca="1" si="5"/>
        <v>45230</v>
      </c>
      <c r="D24" s="48">
        <v>8</v>
      </c>
      <c r="E24" s="49" t="str">
        <f t="shared" si="0"/>
        <v>中信证券</v>
      </c>
      <c r="F24" s="50">
        <v>5</v>
      </c>
      <c r="G24" s="49" t="str">
        <f ca="1">IF($D$4="自选机构",[1]!S_EST_ESTANALYST($E$6,$E$8,C24,$F$4),IF(OR(D24=71,D24=74),"***",[1]!S_EST_ESTANALYST($E$6,$E$8,$E$9,D24)))</f>
        <v>蒋祎</v>
      </c>
      <c r="H24" s="51" t="str">
        <f ca="1">IF($D$4="自选机构",[1]!S_EST_ESTNEWTIME_INST($E$6,$E$8,C24,$F$4),[1]!S_EST_ESTNEWTIME_INST($E$6,$E$8,$E$9,D24))</f>
        <v>2023-11-01</v>
      </c>
      <c r="I24" s="52">
        <f ca="1">IF($D$4="自选机构",[1]!S_EST_SALES_INST($E$6,$E$8,C24,$F$4)/currencyunit,[1]!S_EST_SALES_INST($E$6,$E$8,$E$9,D24)/currencyunit)</f>
        <v>148856</v>
      </c>
      <c r="J24" s="52">
        <f ca="1">IF($D$4="自选机构",[1]!S_EST_NETPROFIT_INST($E$6,$E$8,C24,$F$4)/currencyunit,[1]!S_EST_NETPROFIT_INST($E$6,$E$8,$E$9,D24)/currencyunit)</f>
        <v>74486</v>
      </c>
      <c r="K24" s="53">
        <f ca="1">IF($D$4="自选机构",[1]!S_EST_EPS_INST($E$6,$E$8,C24,$F$4),[1]!S_EST_EPS_INST($E$6,$E$8,$E$9,D24))</f>
        <v>59.3</v>
      </c>
      <c r="L24" s="51" t="str">
        <f ca="1">IF($D$4="自选机构",[1]!S_EST_NEWRATINGTIME_INST($E$6,AC24,$F$4),[1]!S_EST_NEWRATINGTIME_INST($E$6,$E$9,D24))</f>
        <v>2023-11-01</v>
      </c>
      <c r="M24" s="49" t="str">
        <f ca="1">IF($D$4="自选机构",[1]!S_EST_RATINGANALYST($E$6,AC24,$F$4),IF(OR(D24=71,D24=74),"***",[1]!S_EST_RATINGANALYST($E$6,$E$9,D24)))</f>
        <v>蒋祎</v>
      </c>
      <c r="N24" s="49" t="str">
        <f ca="1">IF($D$4="自选机构",[1]!S_EST_ORGRATING_INST($E$6,AC24,$F$4),[1]!S_EST_ORGRATING_INST($E$6,$E$9,D24))</f>
        <v>中信证券_买入_1</v>
      </c>
      <c r="O24" s="54">
        <f ca="1">IF($D$4="自选机构",[1]!S_EST_SCORERATING_INST($E$6,AC24,$F$4),[1]!S_EST_SCORERATING_INST($E$6,$E$9,D24))</f>
        <v>1</v>
      </c>
      <c r="P24" s="49" t="str">
        <f ca="1">IF($D$4="自选机构",[1]!S_EST_STDRATING_INST($E$6,AC24,$F$4),[1]!S_EST_STDRATING_INST($E$6,$E$9,D24))</f>
        <v>买入</v>
      </c>
      <c r="Q24" s="51" t="str">
        <f>IF($D$4="自选机构",[1]!S_EST_FRSTRATINGTIME_INST($E$6,$F$4),[1]!S_EST_FRSTRATINGTIME_INST($E$6,D24))</f>
        <v>2004-12-03</v>
      </c>
      <c r="R24" s="88">
        <f t="shared" ca="1" si="6"/>
        <v>744280</v>
      </c>
      <c r="S24" s="88">
        <f t="shared" ca="1" si="7"/>
        <v>372430</v>
      </c>
      <c r="T24" s="88">
        <f t="shared" ca="1" si="8"/>
        <v>296.5</v>
      </c>
      <c r="U24" s="89">
        <f t="shared" ca="1" si="1"/>
        <v>1</v>
      </c>
      <c r="V24" s="89"/>
      <c r="W24" s="89"/>
      <c r="X24" s="89"/>
      <c r="Y24" s="89"/>
      <c r="Z24" s="89"/>
      <c r="AA24" s="89"/>
      <c r="AB24" s="90">
        <f t="shared" ca="1" si="2"/>
        <v>45231</v>
      </c>
      <c r="AC24" s="90">
        <f t="shared" ca="1" si="9"/>
        <v>45230</v>
      </c>
      <c r="AD24" s="91">
        <f ca="1">IF($D$4="自选机构",[1]!S_EST_SCORERATING_INST($E$6,L24-1,$F$4),[1]!S_EST_SCORERATING_INST($E$6,L24-1,D24))</f>
        <v>1</v>
      </c>
      <c r="AE24" s="89" t="str">
        <f t="shared" ca="1" si="3"/>
        <v>评级不变</v>
      </c>
      <c r="AF24" s="89">
        <f t="shared" ca="1" si="10"/>
        <v>1</v>
      </c>
      <c r="AG24" s="92">
        <f t="shared" ca="1" si="4"/>
        <v>0</v>
      </c>
      <c r="AH24" s="39"/>
      <c r="AI24" s="59"/>
      <c r="AK24" s="57"/>
    </row>
    <row r="25" spans="2:40" s="57" customFormat="1" ht="16.5" x14ac:dyDescent="0.15">
      <c r="B25" s="59"/>
      <c r="C25" s="84">
        <f t="shared" ca="1" si="5"/>
        <v>45230</v>
      </c>
      <c r="D25" s="47">
        <v>9</v>
      </c>
      <c r="E25" s="41" t="str">
        <f t="shared" si="0"/>
        <v>国金证券</v>
      </c>
      <c r="F25" s="42">
        <v>5</v>
      </c>
      <c r="G25" s="41" t="str">
        <f ca="1">IF($D$4="自选机构",[1]!S_EST_ESTANALYST($E$6,$E$8,C25,$F$4),IF(OR(D25=71,D25=74),"***",[1]!S_EST_ESTANALYST($E$6,$E$8,$E$9,D25)))</f>
        <v>刘宸倩</v>
      </c>
      <c r="H25" s="43" t="str">
        <f ca="1">IF($D$4="自选机构",[1]!S_EST_ESTNEWTIME_INST($E$6,$E$8,C25,$F$4),[1]!S_EST_ESTNEWTIME_INST($E$6,$E$8,$E$9,D25))</f>
        <v>2023-11-01</v>
      </c>
      <c r="I25" s="44">
        <f ca="1">IF($D$4="自选机构",[1]!S_EST_SALES_INST($E$6,$E$8,C25,$F$4)/currencyunit,[1]!S_EST_SALES_INST($E$6,$E$8,$E$9,D25)/currencyunit)</f>
        <v>148291</v>
      </c>
      <c r="J25" s="44">
        <f ca="1">IF($D$4="自选机构",[1]!S_EST_NETPROFIT_INST($E$6,$E$8,C25,$F$4)/currencyunit,[1]!S_EST_NETPROFIT_INST($E$6,$E$8,$E$9,D25)/currencyunit)</f>
        <v>74191</v>
      </c>
      <c r="K25" s="45">
        <f ca="1">IF($D$4="自选机构",[1]!S_EST_EPS_INST($E$6,$E$8,C25,$F$4),[1]!S_EST_EPS_INST($E$6,$E$8,$E$9,D25))</f>
        <v>59.06</v>
      </c>
      <c r="L25" s="43" t="str">
        <f ca="1">IF($D$4="自选机构",[1]!S_EST_NEWRATINGTIME_INST($E$6,AC25,$F$4),[1]!S_EST_NEWRATINGTIME_INST($E$6,$E$9,D25))</f>
        <v>2023-11-01</v>
      </c>
      <c r="M25" s="41" t="str">
        <f ca="1">IF($D$4="自选机构",[1]!S_EST_RATINGANALYST($E$6,AC25,$F$4),IF(OR(D25=71,D25=74),"***",[1]!S_EST_RATINGANALYST($E$6,$E$9,D25)))</f>
        <v>刘宸倩</v>
      </c>
      <c r="N25" s="41" t="str">
        <f ca="1">IF($D$4="自选机构",[1]!S_EST_ORGRATING_INST($E$6,AC25,$F$4),[1]!S_EST_ORGRATING_INST($E$6,$E$9,D25))</f>
        <v>国金证券_买入_1</v>
      </c>
      <c r="O25" s="46">
        <f ca="1">IF($D$4="自选机构",[1]!S_EST_SCORERATING_INST($E$6,AC25,$F$4),[1]!S_EST_SCORERATING_INST($E$6,$E$9,D25))</f>
        <v>1</v>
      </c>
      <c r="P25" s="41" t="str">
        <f ca="1">IF($D$4="自选机构",[1]!S_EST_STDRATING_INST($E$6,AC25,$F$4),[1]!S_EST_STDRATING_INST($E$6,$E$9,D25))</f>
        <v>买入</v>
      </c>
      <c r="Q25" s="43" t="str">
        <f>IF($D$4="自选机构",[1]!S_EST_FRSTRATINGTIME_INST($E$6,$F$4),[1]!S_EST_FRSTRATINGTIME_INST($E$6,D25))</f>
        <v>2005-12-30</v>
      </c>
      <c r="R25" s="80">
        <f t="shared" ca="1" si="6"/>
        <v>741455</v>
      </c>
      <c r="S25" s="80">
        <f t="shared" ca="1" si="7"/>
        <v>370955</v>
      </c>
      <c r="T25" s="80">
        <f t="shared" ca="1" si="8"/>
        <v>295.3</v>
      </c>
      <c r="U25" s="82">
        <f t="shared" ca="1" si="1"/>
        <v>1</v>
      </c>
      <c r="V25" s="93"/>
      <c r="W25" s="93"/>
      <c r="X25" s="93"/>
      <c r="Y25" s="93"/>
      <c r="Z25" s="93"/>
      <c r="AA25" s="94"/>
      <c r="AB25" s="85">
        <f t="shared" ca="1" si="2"/>
        <v>45231</v>
      </c>
      <c r="AC25" s="85">
        <f t="shared" ca="1" si="9"/>
        <v>45230</v>
      </c>
      <c r="AD25" s="86">
        <f ca="1">IF($D$4="自选机构",[1]!S_EST_SCORERATING_INST($E$6,L25-1,$F$4),[1]!S_EST_SCORERATING_INST($E$6,L25-1,D25))</f>
        <v>1</v>
      </c>
      <c r="AE25" s="82" t="str">
        <f t="shared" ca="1" si="3"/>
        <v>评级不变</v>
      </c>
      <c r="AF25" s="82">
        <f t="shared" ca="1" si="10"/>
        <v>1</v>
      </c>
      <c r="AG25" s="87">
        <f t="shared" ca="1" si="4"/>
        <v>0</v>
      </c>
      <c r="AH25" s="39"/>
      <c r="AI25" s="59"/>
      <c r="AL25" s="58"/>
      <c r="AM25" s="58"/>
      <c r="AN25" s="58"/>
    </row>
    <row r="26" spans="2:40" s="57" customFormat="1" ht="16.5" x14ac:dyDescent="0.15">
      <c r="B26" s="59"/>
      <c r="C26" s="84">
        <f t="shared" ca="1" si="5"/>
        <v>45230</v>
      </c>
      <c r="D26" s="48">
        <v>10</v>
      </c>
      <c r="E26" s="49" t="str">
        <f t="shared" si="0"/>
        <v>兴业证券</v>
      </c>
      <c r="F26" s="50">
        <v>1</v>
      </c>
      <c r="G26" s="49" t="str">
        <f ca="1">IF($D$4="自选机构",[1]!S_EST_ESTANALYST($E$6,$E$8,C26,$F$4),IF(OR(D26=71,D26=74),"***",[1]!S_EST_ESTANALYST($E$6,$E$8,$E$9,D26)))</f>
        <v>金含</v>
      </c>
      <c r="H26" s="51" t="str">
        <f ca="1">IF($D$4="自选机构",[1]!S_EST_ESTNEWTIME_INST($E$6,$E$8,C26,$F$4),[1]!S_EST_ESTNEWTIME_INST($E$6,$E$8,$E$9,D26))</f>
        <v>2023-11-01</v>
      </c>
      <c r="I26" s="52">
        <f ca="1">IF($D$4="自选机构",[1]!S_EST_SALES_INST($E$6,$E$8,C26,$F$4)/currencyunit,[1]!S_EST_SALES_INST($E$6,$E$8,$E$9,D26)/currencyunit)</f>
        <v>147819</v>
      </c>
      <c r="J26" s="52">
        <f ca="1">IF($D$4="自选机构",[1]!S_EST_NETPROFIT_INST($E$6,$E$8,C26,$F$4)/currencyunit,[1]!S_EST_NETPROFIT_INST($E$6,$E$8,$E$9,D26)/currencyunit)</f>
        <v>73969</v>
      </c>
      <c r="K26" s="53">
        <f ca="1">IF($D$4="自选机构",[1]!S_EST_EPS_INST($E$6,$E$8,C26,$F$4),[1]!S_EST_EPS_INST($E$6,$E$8,$E$9,D26))</f>
        <v>58.88</v>
      </c>
      <c r="L26" s="51" t="str">
        <f ca="1">IF($D$4="自选机构",[1]!S_EST_NEWRATINGTIME_INST($E$6,AC26,$F$4),[1]!S_EST_NEWRATINGTIME_INST($E$6,$E$9,D26))</f>
        <v>2023-11-01</v>
      </c>
      <c r="M26" s="49" t="str">
        <f ca="1">IF($D$4="自选机构",[1]!S_EST_RATINGANALYST($E$6,AC26,$F$4),IF(OR(D26=71,D26=74),"***",[1]!S_EST_RATINGANALYST($E$6,$E$9,D26)))</f>
        <v>金含</v>
      </c>
      <c r="N26" s="49" t="str">
        <f ca="1">IF($D$4="自选机构",[1]!S_EST_ORGRATING_INST($E$6,AC26,$F$4),[1]!S_EST_ORGRATING_INST($E$6,$E$9,D26))</f>
        <v>兴业证券_买入_1</v>
      </c>
      <c r="O26" s="54">
        <f ca="1">IF($D$4="自选机构",[1]!S_EST_SCORERATING_INST($E$6,AC26,$F$4),[1]!S_EST_SCORERATING_INST($E$6,$E$9,D26))</f>
        <v>1</v>
      </c>
      <c r="P26" s="49" t="str">
        <f ca="1">IF($D$4="自选机构",[1]!S_EST_STDRATING_INST($E$6,AC26,$F$4),[1]!S_EST_STDRATING_INST($E$6,$E$9,D26))</f>
        <v>买入</v>
      </c>
      <c r="Q26" s="51" t="str">
        <f>IF($D$4="自选机构",[1]!S_EST_FRSTRATINGTIME_INST($E$6,$F$4),[1]!S_EST_FRSTRATINGTIME_INST($E$6,D26))</f>
        <v>2005-06-17</v>
      </c>
      <c r="R26" s="88">
        <f t="shared" ca="1" si="6"/>
        <v>147819</v>
      </c>
      <c r="S26" s="88">
        <f t="shared" ca="1" si="7"/>
        <v>73969</v>
      </c>
      <c r="T26" s="88">
        <f t="shared" ca="1" si="8"/>
        <v>58.88</v>
      </c>
      <c r="U26" s="89">
        <f t="shared" ca="1" si="1"/>
        <v>1</v>
      </c>
      <c r="V26" s="89"/>
      <c r="W26" s="89"/>
      <c r="X26" s="89"/>
      <c r="Y26" s="89"/>
      <c r="Z26" s="89"/>
      <c r="AA26" s="89"/>
      <c r="AB26" s="90">
        <f t="shared" ca="1" si="2"/>
        <v>45231</v>
      </c>
      <c r="AC26" s="90">
        <f t="shared" ca="1" si="9"/>
        <v>45230</v>
      </c>
      <c r="AD26" s="91">
        <f ca="1">IF($D$4="自选机构",[1]!S_EST_SCORERATING_INST($E$6,L26-1,$F$4),[1]!S_EST_SCORERATING_INST($E$6,L26-1,D26))</f>
        <v>1</v>
      </c>
      <c r="AE26" s="89" t="str">
        <f t="shared" ca="1" si="3"/>
        <v>评级不变</v>
      </c>
      <c r="AF26" s="89">
        <f t="shared" ca="1" si="10"/>
        <v>1</v>
      </c>
      <c r="AG26" s="92">
        <f t="shared" ca="1" si="4"/>
        <v>0</v>
      </c>
      <c r="AH26" s="39"/>
      <c r="AI26" s="59"/>
      <c r="AL26" s="58"/>
      <c r="AM26" s="58"/>
      <c r="AN26" s="58"/>
    </row>
    <row r="27" spans="2:40" s="57" customFormat="1" ht="16.5" x14ac:dyDescent="0.15">
      <c r="B27" s="59"/>
      <c r="C27" s="84">
        <f ca="1">H26-1</f>
        <v>45230</v>
      </c>
      <c r="D27" s="47">
        <v>11</v>
      </c>
      <c r="E27" s="41" t="str">
        <f t="shared" si="0"/>
        <v>东方证券</v>
      </c>
      <c r="F27" s="42">
        <v>1</v>
      </c>
      <c r="G27" s="41" t="str">
        <f ca="1">IF($D$4="自选机构",[1]!S_EST_ESTANALYST($E$6,$E$8,C27,$F$4),IF(OR(D27=71,D27=74),"***",[1]!S_EST_ESTANALYST($E$6,$E$8,$E$9,D27)))</f>
        <v>叶书怀</v>
      </c>
      <c r="H27" s="43" t="str">
        <f ca="1">IF($D$4="自选机构",[1]!S_EST_ESTNEWTIME_INST($E$6,$E$8,C27,$F$4),[1]!S_EST_ESTNEWTIME_INST($E$6,$E$8,$E$9,D27))</f>
        <v>2023-10-23</v>
      </c>
      <c r="I27" s="44">
        <f ca="1">IF($D$4="自选机构",[1]!S_EST_SALES_INST($E$6,$E$8,C27,$F$4)/currencyunit,[1]!S_EST_SALES_INST($E$6,$E$8,$E$9,D27)/currencyunit)</f>
        <v>145214</v>
      </c>
      <c r="J27" s="44">
        <f ca="1">IF($D$4="自选机构",[1]!S_EST_NETPROFIT_INST($E$6,$E$8,C27,$F$4)/currencyunit,[1]!S_EST_NETPROFIT_INST($E$6,$E$8,$E$9,D27)/currencyunit)</f>
        <v>73890</v>
      </c>
      <c r="K27" s="45">
        <f ca="1">IF($D$4="自选机构",[1]!S_EST_EPS_INST($E$6,$E$8,C27,$F$4),[1]!S_EST_EPS_INST($E$6,$E$8,$E$9,D27))</f>
        <v>58.82</v>
      </c>
      <c r="L27" s="43" t="str">
        <f ca="1">IF($D$4="自选机构",[1]!S_EST_NEWRATINGTIME_INST($E$6,AC27,$F$4),[1]!S_EST_NEWRATINGTIME_INST($E$6,$E$9,D27))</f>
        <v>2023-10-23</v>
      </c>
      <c r="M27" s="41" t="str">
        <f ca="1">IF($D$4="自选机构",[1]!S_EST_RATINGANALYST($E$6,AC27,$F$4),IF(OR(D27=71,D27=74),"***",[1]!S_EST_RATINGANALYST($E$6,$E$9,D27)))</f>
        <v>叶书怀</v>
      </c>
      <c r="N27" s="41" t="str">
        <f ca="1">IF($D$4="自选机构",[1]!S_EST_ORGRATING_INST($E$6,AC27,$F$4),[1]!S_EST_ORGRATING_INST($E$6,$E$9,D27))</f>
        <v>东方证券_买入_1</v>
      </c>
      <c r="O27" s="46">
        <f ca="1">IF($D$4="自选机构",[1]!S_EST_SCORERATING_INST($E$6,AC27,$F$4),[1]!S_EST_SCORERATING_INST($E$6,$E$9,D27))</f>
        <v>1</v>
      </c>
      <c r="P27" s="41" t="str">
        <f ca="1">IF($D$4="自选机构",[1]!S_EST_STDRATING_INST($E$6,AC27,$F$4),[1]!S_EST_STDRATING_INST($E$6,$E$9,D27))</f>
        <v>买入</v>
      </c>
      <c r="Q27" s="43" t="str">
        <f>IF($D$4="自选机构",[1]!S_EST_FRSTRATINGTIME_INST($E$6,$F$4),[1]!S_EST_FRSTRATINGTIME_INST($E$6,D27))</f>
        <v>2005-04-24</v>
      </c>
      <c r="R27" s="80">
        <f t="shared" ca="1" si="6"/>
        <v>145214</v>
      </c>
      <c r="S27" s="80">
        <f t="shared" ca="1" si="7"/>
        <v>73890</v>
      </c>
      <c r="T27" s="80">
        <f t="shared" ca="1" si="8"/>
        <v>58.82</v>
      </c>
      <c r="U27" s="82">
        <f t="shared" ca="1" si="1"/>
        <v>1</v>
      </c>
      <c r="V27" s="82"/>
      <c r="W27" s="82"/>
      <c r="X27" s="82"/>
      <c r="Y27" s="82"/>
      <c r="Z27" s="82"/>
      <c r="AA27" s="82"/>
      <c r="AB27" s="85">
        <f t="shared" ca="1" si="2"/>
        <v>45222</v>
      </c>
      <c r="AC27" s="85">
        <f t="shared" ca="1" si="9"/>
        <v>45230</v>
      </c>
      <c r="AD27" s="86">
        <f ca="1">IF($D$4="自选机构",[1]!S_EST_SCORERATING_INST($E$6,L27-1,$F$4),[1]!S_EST_SCORERATING_INST($E$6,L27-1,D27))</f>
        <v>1</v>
      </c>
      <c r="AE27" s="82" t="str">
        <f t="shared" ca="1" si="3"/>
        <v>评级不变</v>
      </c>
      <c r="AF27" s="82">
        <f t="shared" ca="1" si="10"/>
        <v>1</v>
      </c>
      <c r="AG27" s="87">
        <f t="shared" ca="1" si="4"/>
        <v>0</v>
      </c>
      <c r="AH27" s="39"/>
      <c r="AI27" s="59"/>
      <c r="AL27" s="58"/>
      <c r="AM27" s="58"/>
      <c r="AN27" s="58"/>
    </row>
    <row r="28" spans="2:40" s="57" customFormat="1" ht="16.5" x14ac:dyDescent="0.15">
      <c r="B28" s="59"/>
      <c r="C28" s="84">
        <f t="shared" ca="1" si="5"/>
        <v>45221</v>
      </c>
      <c r="D28" s="48">
        <v>12</v>
      </c>
      <c r="E28" s="49" t="str">
        <f t="shared" si="0"/>
        <v>长江证券</v>
      </c>
      <c r="F28" s="50">
        <v>1</v>
      </c>
      <c r="G28" s="49" t="str">
        <f ca="1">IF($D$4="自选机构",[1]!S_EST_ESTANALYST($E$6,$E$8,C28,$F$4),IF(OR(D28=71,D28=74),"***",[1]!S_EST_ESTANALYST($E$6,$E$8,$E$9,D28)))</f>
        <v>董思远</v>
      </c>
      <c r="H28" s="51" t="str">
        <f ca="1">IF($D$4="自选机构",[1]!S_EST_ESTNEWTIME_INST($E$6,$E$8,C28,$F$4),[1]!S_EST_ESTNEWTIME_INST($E$6,$E$8,$E$9,D28))</f>
        <v>2023-10-27</v>
      </c>
      <c r="I28" s="52">
        <f ca="1">IF($D$4="自选机构",[1]!S_EST_SALES_INST($E$6,$E$8,C28,$F$4)/currencyunit,[1]!S_EST_SALES_INST($E$6,$E$8,$E$9,D28)/currencyunit)</f>
        <v>148171</v>
      </c>
      <c r="J28" s="52">
        <f ca="1">IF($D$4="自选机构",[1]!S_EST_NETPROFIT_INST($E$6,$E$8,C28,$F$4)/currencyunit,[1]!S_EST_NETPROFIT_INST($E$6,$E$8,$E$9,D28)/currencyunit)</f>
        <v>73916</v>
      </c>
      <c r="K28" s="53">
        <f ca="1">IF($D$4="自选机构",[1]!S_EST_EPS_INST($E$6,$E$8,C28,$F$4),[1]!S_EST_EPS_INST($E$6,$E$8,$E$9,D28))</f>
        <v>58.84</v>
      </c>
      <c r="L28" s="51" t="str">
        <f ca="1">IF($D$4="自选机构",[1]!S_EST_NEWRATINGTIME_INST($E$6,AC28,$F$4),[1]!S_EST_NEWRATINGTIME_INST($E$6,$E$9,D28))</f>
        <v>2023-10-27</v>
      </c>
      <c r="M28" s="49" t="str">
        <f ca="1">IF($D$4="自选机构",[1]!S_EST_RATINGANALYST($E$6,AC28,$F$4),IF(OR(D28=71,D28=74),"***",[1]!S_EST_RATINGANALYST($E$6,$E$9,D28)))</f>
        <v>董思远</v>
      </c>
      <c r="N28" s="49" t="str">
        <f ca="1">IF($D$4="自选机构",[1]!S_EST_ORGRATING_INST($E$6,AC28,$F$4),[1]!S_EST_ORGRATING_INST($E$6,$E$9,D28))</f>
        <v>长江证券_买入_1</v>
      </c>
      <c r="O28" s="54">
        <f ca="1">IF($D$4="自选机构",[1]!S_EST_SCORERATING_INST($E$6,AC28,$F$4),[1]!S_EST_SCORERATING_INST($E$6,$E$9,D28))</f>
        <v>1</v>
      </c>
      <c r="P28" s="49" t="str">
        <f ca="1">IF($D$4="自选机构",[1]!S_EST_STDRATING_INST($E$6,AC28,$F$4),[1]!S_EST_STDRATING_INST($E$6,$E$9,D28))</f>
        <v>买入</v>
      </c>
      <c r="Q28" s="51" t="str">
        <f>IF($D$4="自选机构",[1]!S_EST_FRSTRATINGTIME_INST($E$6,$F$4),[1]!S_EST_FRSTRATINGTIME_INST($E$6,D28))</f>
        <v>2005-05-30</v>
      </c>
      <c r="R28" s="88">
        <f t="shared" ca="1" si="6"/>
        <v>148171</v>
      </c>
      <c r="S28" s="88">
        <f t="shared" ca="1" si="7"/>
        <v>73916</v>
      </c>
      <c r="T28" s="88">
        <f t="shared" ca="1" si="8"/>
        <v>58.84</v>
      </c>
      <c r="U28" s="89">
        <f t="shared" ca="1" si="1"/>
        <v>1</v>
      </c>
      <c r="V28" s="89"/>
      <c r="W28" s="89"/>
      <c r="X28" s="89"/>
      <c r="Y28" s="89"/>
      <c r="Z28" s="89"/>
      <c r="AA28" s="89"/>
      <c r="AB28" s="90">
        <f t="shared" ca="1" si="2"/>
        <v>45226</v>
      </c>
      <c r="AC28" s="90">
        <f t="shared" ca="1" si="9"/>
        <v>45221</v>
      </c>
      <c r="AD28" s="91">
        <f ca="1">IF($D$4="自选机构",[1]!S_EST_SCORERATING_INST($E$6,L28-1,$F$4),[1]!S_EST_SCORERATING_INST($E$6,L28-1,D28))</f>
        <v>1</v>
      </c>
      <c r="AE28" s="89" t="str">
        <f t="shared" ca="1" si="3"/>
        <v>评级不变</v>
      </c>
      <c r="AF28" s="89">
        <f t="shared" ca="1" si="10"/>
        <v>1</v>
      </c>
      <c r="AG28" s="92">
        <f t="shared" ca="1" si="4"/>
        <v>0</v>
      </c>
      <c r="AH28" s="39"/>
      <c r="AI28" s="59"/>
      <c r="AL28" s="58"/>
      <c r="AM28" s="58"/>
      <c r="AN28" s="58"/>
    </row>
    <row r="29" spans="2:40" ht="16.5" x14ac:dyDescent="0.15">
      <c r="B29" s="59"/>
      <c r="C29" s="84">
        <f t="shared" ca="1" si="5"/>
        <v>45225</v>
      </c>
      <c r="D29" s="47">
        <v>13</v>
      </c>
      <c r="E29" s="41" t="str">
        <f t="shared" si="0"/>
        <v>华泰证券</v>
      </c>
      <c r="F29" s="42">
        <v>1</v>
      </c>
      <c r="G29" s="41" t="str">
        <f ca="1">IF($D$4="自选机构",[1]!S_EST_ESTANALYST($E$6,$E$8,C29,$F$4),IF(OR(D29=71,D29=74),"***",[1]!S_EST_ESTANALYST($E$6,$E$8,$E$9,D29)))</f>
        <v>龚源月</v>
      </c>
      <c r="H29" s="43" t="str">
        <f ca="1">IF($D$4="自选机构",[1]!S_EST_ESTNEWTIME_INST($E$6,$E$8,C29,$F$4),[1]!S_EST_ESTNEWTIME_INST($E$6,$E$8,$E$9,D29))</f>
        <v>2023-11-01</v>
      </c>
      <c r="I29" s="44">
        <f ca="1">IF($D$4="自选机构",[1]!S_EST_SALES_INST($E$6,$E$8,C29,$F$4)/currencyunit,[1]!S_EST_SALES_INST($E$6,$E$8,$E$9,D29)/currencyunit)</f>
        <v>149018</v>
      </c>
      <c r="J29" s="44">
        <f ca="1">IF($D$4="自选机构",[1]!S_EST_NETPROFIT_INST($E$6,$E$8,C29,$F$4)/currencyunit,[1]!S_EST_NETPROFIT_INST($E$6,$E$8,$E$9,D29)/currencyunit)</f>
        <v>74525</v>
      </c>
      <c r="K29" s="45">
        <f ca="1">IF($D$4="自选机构",[1]!S_EST_EPS_INST($E$6,$E$8,C29,$F$4),[1]!S_EST_EPS_INST($E$6,$E$8,$E$9,D29))</f>
        <v>59.33</v>
      </c>
      <c r="L29" s="43" t="str">
        <f ca="1">IF($D$4="自选机构",[1]!S_EST_NEWRATINGTIME_INST($E$6,AC29,$F$4),[1]!S_EST_NEWRATINGTIME_INST($E$6,$E$9,D29))</f>
        <v>2023-11-01</v>
      </c>
      <c r="M29" s="41" t="str">
        <f ca="1">IF($D$4="自选机构",[1]!S_EST_RATINGANALYST($E$6,AC29,$F$4),IF(OR(D29=71,D29=74),"***",[1]!S_EST_RATINGANALYST($E$6,$E$9,D29)))</f>
        <v>龚源月</v>
      </c>
      <c r="N29" s="41" t="str">
        <f ca="1">IF($D$4="自选机构",[1]!S_EST_ORGRATING_INST($E$6,AC29,$F$4),[1]!S_EST_ORGRATING_INST($E$6,$E$9,D29))</f>
        <v>华泰证券_买入_1</v>
      </c>
      <c r="O29" s="46">
        <f ca="1">IF($D$4="自选机构",[1]!S_EST_SCORERATING_INST($E$6,AC29,$F$4),[1]!S_EST_SCORERATING_INST($E$6,$E$9,D29))</f>
        <v>1</v>
      </c>
      <c r="P29" s="41" t="str">
        <f ca="1">IF($D$4="自选机构",[1]!S_EST_STDRATING_INST($E$6,AC29,$F$4),[1]!S_EST_STDRATING_INST($E$6,$E$9,D29))</f>
        <v>买入</v>
      </c>
      <c r="Q29" s="43" t="str">
        <f>IF($D$4="自选机构",[1]!S_EST_FRSTRATINGTIME_INST($E$6,$F$4),[1]!S_EST_FRSTRATINGTIME_INST($E$6,D29))</f>
        <v>2005-04-20</v>
      </c>
      <c r="R29" s="80">
        <f t="shared" ca="1" si="6"/>
        <v>149018</v>
      </c>
      <c r="S29" s="80">
        <f t="shared" ca="1" si="7"/>
        <v>74525</v>
      </c>
      <c r="T29" s="80">
        <f t="shared" ca="1" si="8"/>
        <v>59.33</v>
      </c>
      <c r="U29" s="82">
        <f t="shared" ca="1" si="1"/>
        <v>1</v>
      </c>
      <c r="V29" s="82"/>
      <c r="W29" s="82"/>
      <c r="X29" s="82"/>
      <c r="Y29" s="82"/>
      <c r="Z29" s="82"/>
      <c r="AA29" s="82"/>
      <c r="AB29" s="85">
        <f t="shared" ca="1" si="2"/>
        <v>45231</v>
      </c>
      <c r="AC29" s="85">
        <f t="shared" ca="1" si="9"/>
        <v>45225</v>
      </c>
      <c r="AD29" s="86">
        <f ca="1">IF($D$4="自选机构",[1]!S_EST_SCORERATING_INST($E$6,L29-1,$F$4),[1]!S_EST_SCORERATING_INST($E$6,L29-1,D29))</f>
        <v>1</v>
      </c>
      <c r="AE29" s="82" t="str">
        <f t="shared" ca="1" si="3"/>
        <v>评级不变</v>
      </c>
      <c r="AF29" s="82">
        <f t="shared" ca="1" si="10"/>
        <v>1</v>
      </c>
      <c r="AG29" s="87">
        <f t="shared" ca="1" si="4"/>
        <v>0</v>
      </c>
      <c r="AH29" s="39"/>
      <c r="AI29" s="59"/>
      <c r="AK29" s="57"/>
    </row>
    <row r="30" spans="2:40" ht="16.5" x14ac:dyDescent="0.15">
      <c r="B30" s="59"/>
      <c r="C30" s="84">
        <f t="shared" ca="1" si="5"/>
        <v>45230</v>
      </c>
      <c r="D30" s="48">
        <v>14</v>
      </c>
      <c r="E30" s="49" t="str">
        <f t="shared" si="0"/>
        <v>平安证券</v>
      </c>
      <c r="F30" s="50">
        <v>1</v>
      </c>
      <c r="G30" s="49" t="str">
        <f ca="1">IF($D$4="自选机构",[1]!S_EST_ESTANALYST($E$6,$E$8,C30,$F$4),IF(OR(D30=71,D30=74),"***",[1]!S_EST_ESTANALYST($E$6,$E$8,$E$9,D30)))</f>
        <v>张晋溢</v>
      </c>
      <c r="H30" s="51" t="str">
        <f ca="1">IF($D$4="自选机构",[1]!S_EST_ESTNEWTIME_INST($E$6,$E$8,C30,$F$4),[1]!S_EST_ESTNEWTIME_INST($E$6,$E$8,$E$9,D30))</f>
        <v>2023-11-01</v>
      </c>
      <c r="I30" s="52">
        <f ca="1">IF($D$4="自选机构",[1]!S_EST_SALES_INST($E$6,$E$8,C30,$F$4)/currencyunit,[1]!S_EST_SALES_INST($E$6,$E$8,$E$9,D30)/currencyunit)</f>
        <v>145321</v>
      </c>
      <c r="J30" s="52">
        <f ca="1">IF($D$4="自选机构",[1]!S_EST_NETPROFIT_INST($E$6,$E$8,C30,$F$4)/currencyunit,[1]!S_EST_NETPROFIT_INST($E$6,$E$8,$E$9,D30)/currencyunit)</f>
        <v>73879</v>
      </c>
      <c r="K30" s="53">
        <f ca="1">IF($D$4="自选机构",[1]!S_EST_EPS_INST($E$6,$E$8,C30,$F$4),[1]!S_EST_EPS_INST($E$6,$E$8,$E$9,D30))</f>
        <v>58.81</v>
      </c>
      <c r="L30" s="51" t="str">
        <f ca="1">IF($D$4="自选机构",[1]!S_EST_NEWRATINGTIME_INST($E$6,AC30,$F$4),[1]!S_EST_NEWRATINGTIME_INST($E$6,$E$9,D30))</f>
        <v>2023-11-01</v>
      </c>
      <c r="M30" s="49" t="str">
        <f ca="1">IF($D$4="自选机构",[1]!S_EST_RATINGANALYST($E$6,AC30,$F$4),IF(OR(D30=71,D30=74),"***",[1]!S_EST_RATINGANALYST($E$6,$E$9,D30)))</f>
        <v>张晋溢</v>
      </c>
      <c r="N30" s="49" t="str">
        <f ca="1">IF($D$4="自选机构",[1]!S_EST_ORGRATING_INST($E$6,AC30,$F$4),[1]!S_EST_ORGRATING_INST($E$6,$E$9,D30))</f>
        <v>平安证券_推荐_2</v>
      </c>
      <c r="O30" s="54">
        <f ca="1">IF($D$4="自选机构",[1]!S_EST_SCORERATING_INST($E$6,AC30,$F$4),[1]!S_EST_SCORERATING_INST($E$6,$E$9,D30))</f>
        <v>2</v>
      </c>
      <c r="P30" s="49" t="str">
        <f ca="1">IF($D$4="自选机构",[1]!S_EST_STDRATING_INST($E$6,AC30,$F$4),[1]!S_EST_STDRATING_INST($E$6,$E$9,D30))</f>
        <v>增持</v>
      </c>
      <c r="Q30" s="51" t="str">
        <f>IF($D$4="自选机构",[1]!S_EST_FRSTRATINGTIME_INST($E$6,$F$4),[1]!S_EST_FRSTRATINGTIME_INST($E$6,D30))</f>
        <v>2004-11-19</v>
      </c>
      <c r="R30" s="88">
        <f t="shared" ca="1" si="6"/>
        <v>145321</v>
      </c>
      <c r="S30" s="88">
        <f t="shared" ca="1" si="7"/>
        <v>73879</v>
      </c>
      <c r="T30" s="88">
        <f t="shared" ca="1" si="8"/>
        <v>58.81</v>
      </c>
      <c r="U30" s="89">
        <f t="shared" ca="1" si="1"/>
        <v>1</v>
      </c>
      <c r="V30" s="89"/>
      <c r="W30" s="89"/>
      <c r="X30" s="89"/>
      <c r="Y30" s="89"/>
      <c r="Z30" s="89"/>
      <c r="AA30" s="89"/>
      <c r="AB30" s="90">
        <f t="shared" ca="1" si="2"/>
        <v>45231</v>
      </c>
      <c r="AC30" s="90">
        <f t="shared" ca="1" si="9"/>
        <v>45230</v>
      </c>
      <c r="AD30" s="91">
        <f ca="1">IF($D$4="自选机构",[1]!S_EST_SCORERATING_INST($E$6,L30-1,$F$4),[1]!S_EST_SCORERATING_INST($E$6,L30-1,D30))</f>
        <v>2</v>
      </c>
      <c r="AE30" s="89" t="str">
        <f t="shared" ca="1" si="3"/>
        <v>评级不变</v>
      </c>
      <c r="AF30" s="89">
        <f t="shared" ca="1" si="10"/>
        <v>1</v>
      </c>
      <c r="AG30" s="92">
        <f t="shared" ca="1" si="4"/>
        <v>0</v>
      </c>
      <c r="AH30" s="39"/>
      <c r="AI30" s="59"/>
      <c r="AK30" s="57"/>
    </row>
    <row r="31" spans="2:40" s="57" customFormat="1" ht="16.5" x14ac:dyDescent="0.15">
      <c r="B31" s="59"/>
      <c r="C31" s="84">
        <f t="shared" ca="1" si="5"/>
        <v>45230</v>
      </c>
      <c r="D31" s="47">
        <v>15</v>
      </c>
      <c r="E31" s="41" t="str">
        <f t="shared" si="0"/>
        <v>中信建投</v>
      </c>
      <c r="F31" s="42">
        <v>1</v>
      </c>
      <c r="G31" s="41" t="str">
        <f ca="1">IF($D$4="自选机构",[1]!S_EST_ESTANALYST($E$6,$E$8,C31,$F$4),IF(OR(D31=71,D31=74),"***",[1]!S_EST_ESTANALYST($E$6,$E$8,$E$9,D31)))</f>
        <v>安雅泽</v>
      </c>
      <c r="H31" s="43" t="str">
        <f ca="1">IF($D$4="自选机构",[1]!S_EST_ESTNEWTIME_INST($E$6,$E$8,C31,$F$4),[1]!S_EST_ESTNEWTIME_INST($E$6,$E$8,$E$9,D31))</f>
        <v>2023-11-03</v>
      </c>
      <c r="I31" s="44">
        <f ca="1">IF($D$4="自选机构",[1]!S_EST_SALES_INST($E$6,$E$8,C31,$F$4)/currencyunit,[1]!S_EST_SALES_INST($E$6,$E$8,$E$9,D31)/currencyunit)</f>
        <v>147973.21</v>
      </c>
      <c r="J31" s="44">
        <f ca="1">IF($D$4="自选机构",[1]!S_EST_NETPROFIT_INST($E$6,$E$8,C31,$F$4)/currencyunit,[1]!S_EST_NETPROFIT_INST($E$6,$E$8,$E$9,D31)/currencyunit)</f>
        <v>75371.37</v>
      </c>
      <c r="K31" s="45">
        <f ca="1">IF($D$4="自选机构",[1]!S_EST_EPS_INST($E$6,$E$8,C31,$F$4),[1]!S_EST_EPS_INST($E$6,$E$8,$E$9,D31))</f>
        <v>60</v>
      </c>
      <c r="L31" s="43" t="str">
        <f ca="1">IF($D$4="自选机构",[1]!S_EST_NEWRATINGTIME_INST($E$6,AC31,$F$4),[1]!S_EST_NEWRATINGTIME_INST($E$6,$E$9,D31))</f>
        <v>2023-11-03</v>
      </c>
      <c r="M31" s="41" t="str">
        <f ca="1">IF($D$4="自选机构",[1]!S_EST_RATINGANALYST($E$6,AC31,$F$4),IF(OR(D31=71,D31=74),"***",[1]!S_EST_RATINGANALYST($E$6,$E$9,D31)))</f>
        <v>安雅泽</v>
      </c>
      <c r="N31" s="41" t="str">
        <f ca="1">IF($D$4="自选机构",[1]!S_EST_ORGRATING_INST($E$6,AC31,$F$4),[1]!S_EST_ORGRATING_INST($E$6,$E$9,D31))</f>
        <v>中信建投_买入_1</v>
      </c>
      <c r="O31" s="46">
        <f ca="1">IF($D$4="自选机构",[1]!S_EST_SCORERATING_INST($E$6,AC31,$F$4),[1]!S_EST_SCORERATING_INST($E$6,$E$9,D31))</f>
        <v>1</v>
      </c>
      <c r="P31" s="41" t="str">
        <f ca="1">IF($D$4="自选机构",[1]!S_EST_STDRATING_INST($E$6,AC31,$F$4),[1]!S_EST_STDRATING_INST($E$6,$E$9,D31))</f>
        <v>买入</v>
      </c>
      <c r="Q31" s="43" t="str">
        <f>IF($D$4="自选机构",[1]!S_EST_FRSTRATINGTIME_INST($E$6,$F$4),[1]!S_EST_FRSTRATINGTIME_INST($E$6,D31))</f>
        <v>2005-09-08</v>
      </c>
      <c r="R31" s="80">
        <f t="shared" ca="1" si="6"/>
        <v>147973.21</v>
      </c>
      <c r="S31" s="80">
        <f t="shared" ca="1" si="7"/>
        <v>75371.37</v>
      </c>
      <c r="T31" s="80">
        <f t="shared" ca="1" si="8"/>
        <v>60</v>
      </c>
      <c r="U31" s="82">
        <f t="shared" ca="1" si="1"/>
        <v>1</v>
      </c>
      <c r="V31" s="93"/>
      <c r="W31" s="93"/>
      <c r="X31" s="93"/>
      <c r="Y31" s="93"/>
      <c r="Z31" s="93"/>
      <c r="AA31" s="94"/>
      <c r="AB31" s="85">
        <f t="shared" ca="1" si="2"/>
        <v>45233</v>
      </c>
      <c r="AC31" s="85">
        <f t="shared" ca="1" si="9"/>
        <v>45230</v>
      </c>
      <c r="AD31" s="86">
        <f ca="1">IF($D$4="自选机构",[1]!S_EST_SCORERATING_INST($E$6,L31-1,$F$4),[1]!S_EST_SCORERATING_INST($E$6,L31-1,D31))</f>
        <v>1</v>
      </c>
      <c r="AE31" s="82" t="str">
        <f t="shared" ca="1" si="3"/>
        <v>评级不变</v>
      </c>
      <c r="AF31" s="82">
        <f t="shared" ca="1" si="10"/>
        <v>1</v>
      </c>
      <c r="AG31" s="87">
        <f t="shared" ca="1" si="4"/>
        <v>0</v>
      </c>
      <c r="AH31" s="39"/>
      <c r="AI31" s="59"/>
      <c r="AL31" s="58"/>
      <c r="AM31" s="58"/>
      <c r="AN31" s="58"/>
    </row>
    <row r="32" spans="2:40" s="57" customFormat="1" ht="16.5" x14ac:dyDescent="0.15">
      <c r="B32" s="59"/>
      <c r="C32" s="84">
        <f t="shared" ca="1" si="5"/>
        <v>45232</v>
      </c>
      <c r="D32" s="48">
        <v>16</v>
      </c>
      <c r="E32" s="49" t="str">
        <f t="shared" si="0"/>
        <v>中投证券</v>
      </c>
      <c r="F32" s="50">
        <v>1</v>
      </c>
      <c r="G32" s="49">
        <f ca="1">IF($D$4="自选机构",[1]!S_EST_ESTANALYST($E$6,$E$8,C32,$F$4),IF(OR(D32=71,D32=74),"***",[1]!S_EST_ESTANALYST($E$6,$E$8,$E$9,D32)))</f>
        <v>0</v>
      </c>
      <c r="H32" s="51">
        <f ca="1">IF($D$4="自选机构",[1]!S_EST_ESTNEWTIME_INST($E$6,$E$8,C32,$F$4),[1]!S_EST_ESTNEWTIME_INST($E$6,$E$8,$E$9,D32))</f>
        <v>0</v>
      </c>
      <c r="I32" s="52">
        <f ca="1">IF($D$4="自选机构",[1]!S_EST_SALES_INST($E$6,$E$8,C32,$F$4)/currencyunit,[1]!S_EST_SALES_INST($E$6,$E$8,$E$9,D32)/currencyunit)</f>
        <v>0</v>
      </c>
      <c r="J32" s="52">
        <f ca="1">IF($D$4="自选机构",[1]!S_EST_NETPROFIT_INST($E$6,$E$8,C32,$F$4)/currencyunit,[1]!S_EST_NETPROFIT_INST($E$6,$E$8,$E$9,D32)/currencyunit)</f>
        <v>0</v>
      </c>
      <c r="K32" s="53">
        <f ca="1">IF($D$4="自选机构",[1]!S_EST_EPS_INST($E$6,$E$8,C32,$F$4),[1]!S_EST_EPS_INST($E$6,$E$8,$E$9,D32))</f>
        <v>0</v>
      </c>
      <c r="L32" s="51">
        <f ca="1">IF($D$4="自选机构",[1]!S_EST_NEWRATINGTIME_INST($E$6,AC32,$F$4),[1]!S_EST_NEWRATINGTIME_INST($E$6,$E$9,D32))</f>
        <v>0</v>
      </c>
      <c r="M32" s="49">
        <f ca="1">IF($D$4="自选机构",[1]!S_EST_RATINGANALYST($E$6,AC32,$F$4),IF(OR(D32=71,D32=74),"***",[1]!S_EST_RATINGANALYST($E$6,$E$9,D32)))</f>
        <v>0</v>
      </c>
      <c r="N32" s="49">
        <f ca="1">IF($D$4="自选机构",[1]!S_EST_ORGRATING_INST($E$6,AC32,$F$4),[1]!S_EST_ORGRATING_INST($E$6,$E$9,D32))</f>
        <v>0</v>
      </c>
      <c r="O32" s="54">
        <f ca="1">IF($D$4="自选机构",[1]!S_EST_SCORERATING_INST($E$6,AC32,$F$4),[1]!S_EST_SCORERATING_INST($E$6,$E$9,D32))</f>
        <v>0</v>
      </c>
      <c r="P32" s="49">
        <f ca="1">IF($D$4="自选机构",[1]!S_EST_STDRATING_INST($E$6,AC32,$F$4),[1]!S_EST_STDRATING_INST($E$6,$E$9,D32))</f>
        <v>0</v>
      </c>
      <c r="Q32" s="51" t="str">
        <f>IF($D$4="自选机构",[1]!S_EST_FRSTRATINGTIME_INST($E$6,$F$4),[1]!S_EST_FRSTRATINGTIME_INST($E$6,D32))</f>
        <v>2006-04-23</v>
      </c>
      <c r="R32" s="88">
        <f t="shared" ca="1" si="6"/>
        <v>0</v>
      </c>
      <c r="S32" s="88">
        <f t="shared" ca="1" si="7"/>
        <v>0</v>
      </c>
      <c r="T32" s="88">
        <f t="shared" ca="1" si="8"/>
        <v>0</v>
      </c>
      <c r="U32" s="89" t="str">
        <f t="shared" ca="1" si="1"/>
        <v/>
      </c>
      <c r="V32" s="89"/>
      <c r="W32" s="89"/>
      <c r="X32" s="89"/>
      <c r="Y32" s="89"/>
      <c r="Z32" s="89"/>
      <c r="AA32" s="89"/>
      <c r="AB32" s="90">
        <f t="shared" ca="1" si="2"/>
        <v>0</v>
      </c>
      <c r="AC32" s="90">
        <f t="shared" ca="1" si="9"/>
        <v>45232</v>
      </c>
      <c r="AD32" s="91">
        <f ca="1">IF($D$4="自选机构",[1]!S_EST_SCORERATING_INST($E$6,L32-1,$F$4),[1]!S_EST_SCORERATING_INST($E$6,L32-1,D32))</f>
        <v>0</v>
      </c>
      <c r="AE32" s="89" t="e">
        <f t="shared" ca="1" si="3"/>
        <v>#DIV/0!</v>
      </c>
      <c r="AF32" s="89" t="str">
        <f t="shared" ca="1" si="10"/>
        <v/>
      </c>
      <c r="AG32" s="92" t="str">
        <f t="shared" ca="1" si="4"/>
        <v/>
      </c>
      <c r="AH32" s="39"/>
      <c r="AI32" s="59"/>
      <c r="AL32" s="58"/>
      <c r="AM32" s="58"/>
      <c r="AN32" s="58"/>
    </row>
    <row r="33" spans="2:40" s="57" customFormat="1" ht="16.5" x14ac:dyDescent="0.15">
      <c r="B33" s="59"/>
      <c r="C33" s="84">
        <f t="shared" ca="1" si="5"/>
        <v>-1</v>
      </c>
      <c r="D33" s="47">
        <v>17</v>
      </c>
      <c r="E33" s="41" t="str">
        <f t="shared" si="0"/>
        <v>中国银河</v>
      </c>
      <c r="F33" s="42">
        <v>1</v>
      </c>
      <c r="G33" s="41" t="str">
        <f ca="1">IF($D$4="自选机构",[1]!S_EST_ESTANALYST($E$6,$E$8,C33,$F$4),IF(OR(D33=71,D33=74),"***",[1]!S_EST_ESTANALYST($E$6,$E$8,$E$9,D33)))</f>
        <v>刘来珍</v>
      </c>
      <c r="H33" s="43" t="str">
        <f ca="1">IF($D$4="自选机构",[1]!S_EST_ESTNEWTIME_INST($E$6,$E$8,C33,$F$4),[1]!S_EST_ESTNEWTIME_INST($E$6,$E$8,$E$9,D33))</f>
        <v>2023-10-22</v>
      </c>
      <c r="I33" s="44">
        <f ca="1">IF($D$4="自选机构",[1]!S_EST_SALES_INST($E$6,$E$8,C33,$F$4)/currencyunit,[1]!S_EST_SALES_INST($E$6,$E$8,$E$9,D33)/currencyunit)</f>
        <v>147708.53</v>
      </c>
      <c r="J33" s="44">
        <f ca="1">IF($D$4="自选机构",[1]!S_EST_NETPROFIT_INST($E$6,$E$8,C33,$F$4)/currencyunit,[1]!S_EST_NETPROFIT_INST($E$6,$E$8,$E$9,D33)/currencyunit)</f>
        <v>73474.39</v>
      </c>
      <c r="K33" s="45">
        <f ca="1">IF($D$4="自选机构",[1]!S_EST_EPS_INST($E$6,$E$8,C33,$F$4),[1]!S_EST_EPS_INST($E$6,$E$8,$E$9,D33))</f>
        <v>58.49</v>
      </c>
      <c r="L33" s="43" t="str">
        <f ca="1">IF($D$4="自选机构",[1]!S_EST_NEWRATINGTIME_INST($E$6,AC33,$F$4),[1]!S_EST_NEWRATINGTIME_INST($E$6,$E$9,D33))</f>
        <v>2023-10-22</v>
      </c>
      <c r="M33" s="41" t="str">
        <f ca="1">IF($D$4="自选机构",[1]!S_EST_RATINGANALYST($E$6,AC33,$F$4),IF(OR(D33=71,D33=74),"***",[1]!S_EST_RATINGANALYST($E$6,$E$9,D33)))</f>
        <v>刘来珍</v>
      </c>
      <c r="N33" s="41" t="str">
        <f ca="1">IF($D$4="自选机构",[1]!S_EST_ORGRATING_INST($E$6,AC33,$F$4),[1]!S_EST_ORGRATING_INST($E$6,$E$9,D33))</f>
        <v>银河证券_推荐_1</v>
      </c>
      <c r="O33" s="46">
        <f ca="1">IF($D$4="自选机构",[1]!S_EST_SCORERATING_INST($E$6,AC33,$F$4),[1]!S_EST_SCORERATING_INST($E$6,$E$9,D33))</f>
        <v>1</v>
      </c>
      <c r="P33" s="41" t="str">
        <f ca="1">IF($D$4="自选机构",[1]!S_EST_STDRATING_INST($E$6,AC33,$F$4),[1]!S_EST_STDRATING_INST($E$6,$E$9,D33))</f>
        <v>买入</v>
      </c>
      <c r="Q33" s="43" t="str">
        <f>IF($D$4="自选机构",[1]!S_EST_FRSTRATINGTIME_INST($E$6,$F$4),[1]!S_EST_FRSTRATINGTIME_INST($E$6,D33))</f>
        <v>2008-03-01</v>
      </c>
      <c r="R33" s="80">
        <f t="shared" ca="1" si="6"/>
        <v>147708.53</v>
      </c>
      <c r="S33" s="80">
        <f t="shared" ca="1" si="7"/>
        <v>73474.39</v>
      </c>
      <c r="T33" s="80">
        <f t="shared" ca="1" si="8"/>
        <v>58.49</v>
      </c>
      <c r="U33" s="82">
        <f t="shared" ca="1" si="1"/>
        <v>1</v>
      </c>
      <c r="V33" s="82"/>
      <c r="W33" s="82"/>
      <c r="X33" s="82"/>
      <c r="Y33" s="82"/>
      <c r="Z33" s="82"/>
      <c r="AA33" s="82"/>
      <c r="AB33" s="85">
        <f t="shared" ca="1" si="2"/>
        <v>45221</v>
      </c>
      <c r="AC33" s="85">
        <f t="shared" ca="1" si="9"/>
        <v>-1</v>
      </c>
      <c r="AD33" s="86">
        <f ca="1">IF($D$4="自选机构",[1]!S_EST_SCORERATING_INST($E$6,L33-1,$F$4),[1]!S_EST_SCORERATING_INST($E$6,L33-1,D33))</f>
        <v>1</v>
      </c>
      <c r="AE33" s="82" t="str">
        <f t="shared" ca="1" si="3"/>
        <v>评级不变</v>
      </c>
      <c r="AF33" s="82">
        <f t="shared" ca="1" si="10"/>
        <v>1</v>
      </c>
      <c r="AG33" s="87">
        <f t="shared" ca="1" si="4"/>
        <v>0</v>
      </c>
      <c r="AH33" s="39"/>
      <c r="AI33" s="59"/>
      <c r="AL33" s="58"/>
      <c r="AM33" s="58"/>
      <c r="AN33" s="58"/>
    </row>
    <row r="34" spans="2:40" s="57" customFormat="1" ht="16.5" x14ac:dyDescent="0.15">
      <c r="B34" s="59"/>
      <c r="C34" s="84">
        <f t="shared" ca="1" si="5"/>
        <v>45220</v>
      </c>
      <c r="D34" s="48">
        <v>18</v>
      </c>
      <c r="E34" s="49" t="str">
        <f t="shared" si="0"/>
        <v>上海证券</v>
      </c>
      <c r="F34" s="50">
        <v>1</v>
      </c>
      <c r="G34" s="49">
        <f ca="1">IF($D$4="自选机构",[1]!S_EST_ESTANALYST($E$6,$E$8,C34,$F$4),IF(OR(D34=71,D34=74),"***",[1]!S_EST_ESTANALYST($E$6,$E$8,$E$9,D34)))</f>
        <v>0</v>
      </c>
      <c r="H34" s="51">
        <f ca="1">IF($D$4="自选机构",[1]!S_EST_ESTNEWTIME_INST($E$6,$E$8,C34,$F$4),[1]!S_EST_ESTNEWTIME_INST($E$6,$E$8,$E$9,D34))</f>
        <v>0</v>
      </c>
      <c r="I34" s="52">
        <f ca="1">IF($D$4="自选机构",[1]!S_EST_SALES_INST($E$6,$E$8,C34,$F$4)/currencyunit,[1]!S_EST_SALES_INST($E$6,$E$8,$E$9,D34)/currencyunit)</f>
        <v>0</v>
      </c>
      <c r="J34" s="52">
        <f ca="1">IF($D$4="自选机构",[1]!S_EST_NETPROFIT_INST($E$6,$E$8,C34,$F$4)/currencyunit,[1]!S_EST_NETPROFIT_INST($E$6,$E$8,$E$9,D34)/currencyunit)</f>
        <v>0</v>
      </c>
      <c r="K34" s="53">
        <f ca="1">IF($D$4="自选机构",[1]!S_EST_EPS_INST($E$6,$E$8,C34,$F$4),[1]!S_EST_EPS_INST($E$6,$E$8,$E$9,D34))</f>
        <v>0</v>
      </c>
      <c r="L34" s="51">
        <f ca="1">IF($D$4="自选机构",[1]!S_EST_NEWRATINGTIME_INST($E$6,AC34,$F$4),[1]!S_EST_NEWRATINGTIME_INST($E$6,$E$9,D34))</f>
        <v>0</v>
      </c>
      <c r="M34" s="49">
        <f ca="1">IF($D$4="自选机构",[1]!S_EST_RATINGANALYST($E$6,AC34,$F$4),IF(OR(D34=71,D34=74),"***",[1]!S_EST_RATINGANALYST($E$6,$E$9,D34)))</f>
        <v>0</v>
      </c>
      <c r="N34" s="49">
        <f ca="1">IF($D$4="自选机构",[1]!S_EST_ORGRATING_INST($E$6,AC34,$F$4),[1]!S_EST_ORGRATING_INST($E$6,$E$9,D34))</f>
        <v>0</v>
      </c>
      <c r="O34" s="54">
        <f ca="1">IF($D$4="自选机构",[1]!S_EST_SCORERATING_INST($E$6,AC34,$F$4),[1]!S_EST_SCORERATING_INST($E$6,$E$9,D34))</f>
        <v>0</v>
      </c>
      <c r="P34" s="49">
        <f ca="1">IF($D$4="自选机构",[1]!S_EST_STDRATING_INST($E$6,AC34,$F$4),[1]!S_EST_STDRATING_INST($E$6,$E$9,D34))</f>
        <v>0</v>
      </c>
      <c r="Q34" s="51" t="str">
        <f>IF($D$4="自选机构",[1]!S_EST_FRSTRATINGTIME_INST($E$6,$F$4),[1]!S_EST_FRSTRATINGTIME_INST($E$6,D34))</f>
        <v>2006-01-05</v>
      </c>
      <c r="R34" s="88">
        <f t="shared" ca="1" si="6"/>
        <v>0</v>
      </c>
      <c r="S34" s="88">
        <f t="shared" ca="1" si="7"/>
        <v>0</v>
      </c>
      <c r="T34" s="88">
        <f t="shared" ca="1" si="8"/>
        <v>0</v>
      </c>
      <c r="U34" s="89" t="str">
        <f t="shared" ca="1" si="1"/>
        <v/>
      </c>
      <c r="V34" s="89"/>
      <c r="W34" s="89"/>
      <c r="X34" s="89"/>
      <c r="Y34" s="89"/>
      <c r="Z34" s="89"/>
      <c r="AA34" s="89"/>
      <c r="AB34" s="90">
        <f t="shared" ca="1" si="2"/>
        <v>0</v>
      </c>
      <c r="AC34" s="90">
        <f t="shared" ca="1" si="9"/>
        <v>45220</v>
      </c>
      <c r="AD34" s="91">
        <f ca="1">IF($D$4="自选机构",[1]!S_EST_SCORERATING_INST($E$6,L34-1,$F$4),[1]!S_EST_SCORERATING_INST($E$6,L34-1,D34))</f>
        <v>0</v>
      </c>
      <c r="AE34" s="89" t="e">
        <f t="shared" ca="1" si="3"/>
        <v>#DIV/0!</v>
      </c>
      <c r="AF34" s="89" t="str">
        <f t="shared" ca="1" si="10"/>
        <v/>
      </c>
      <c r="AG34" s="92" t="str">
        <f t="shared" ca="1" si="4"/>
        <v/>
      </c>
      <c r="AH34" s="39"/>
      <c r="AI34" s="59"/>
      <c r="AL34" s="58"/>
      <c r="AM34" s="58"/>
      <c r="AN34" s="58"/>
    </row>
    <row r="35" spans="2:40" ht="16.5" x14ac:dyDescent="0.15">
      <c r="B35" s="59"/>
      <c r="C35" s="84">
        <f t="shared" ca="1" si="5"/>
        <v>-1</v>
      </c>
      <c r="D35" s="47">
        <v>19</v>
      </c>
      <c r="E35" s="41" t="str">
        <f t="shared" si="0"/>
        <v>西南证券</v>
      </c>
      <c r="F35" s="42">
        <v>1</v>
      </c>
      <c r="G35" s="41" t="str">
        <f ca="1">IF($D$4="自选机构",[1]!S_EST_ESTANALYST($E$6,$E$8,C35,$F$4),IF(OR(D35=71,D35=74),"***",[1]!S_EST_ESTANALYST($E$6,$E$8,$E$9,D35)))</f>
        <v>朱会振</v>
      </c>
      <c r="H35" s="43" t="str">
        <f ca="1">IF($D$4="自选机构",[1]!S_EST_ESTNEWTIME_INST($E$6,$E$8,C35,$F$4),[1]!S_EST_ESTNEWTIME_INST($E$6,$E$8,$E$9,D35))</f>
        <v>2023-10-20</v>
      </c>
      <c r="I35" s="44">
        <f ca="1">IF($D$4="自选机构",[1]!S_EST_SALES_INST($E$6,$E$8,C35,$F$4)/currencyunit,[1]!S_EST_SALES_INST($E$6,$E$8,$E$9,D35)/currencyunit)</f>
        <v>147989</v>
      </c>
      <c r="J35" s="44">
        <f ca="1">IF($D$4="自选机构",[1]!S_EST_NETPROFIT_INST($E$6,$E$8,C35,$F$4)/currencyunit,[1]!S_EST_NETPROFIT_INST($E$6,$E$8,$E$9,D35)/currencyunit)</f>
        <v>74059</v>
      </c>
      <c r="K35" s="45">
        <f ca="1">IF($D$4="自选机构",[1]!S_EST_EPS_INST($E$6,$E$8,C35,$F$4),[1]!S_EST_EPS_INST($E$6,$E$8,$E$9,D35))</f>
        <v>58.96</v>
      </c>
      <c r="L35" s="43" t="str">
        <f ca="1">IF($D$4="自选机构",[1]!S_EST_NEWRATINGTIME_INST($E$6,AC35,$F$4),[1]!S_EST_NEWRATINGTIME_INST($E$6,$E$9,D35))</f>
        <v>2023-10-20</v>
      </c>
      <c r="M35" s="41" t="str">
        <f ca="1">IF($D$4="自选机构",[1]!S_EST_RATINGANALYST($E$6,AC35,$F$4),IF(OR(D35=71,D35=74),"***",[1]!S_EST_RATINGANALYST($E$6,$E$9,D35)))</f>
        <v>朱会振</v>
      </c>
      <c r="N35" s="41" t="str">
        <f ca="1">IF($D$4="自选机构",[1]!S_EST_ORGRATING_INST($E$6,AC35,$F$4),[1]!S_EST_ORGRATING_INST($E$6,$E$9,D35))</f>
        <v>西南证券_买入_1</v>
      </c>
      <c r="O35" s="46">
        <f ca="1">IF($D$4="自选机构",[1]!S_EST_SCORERATING_INST($E$6,AC35,$F$4),[1]!S_EST_SCORERATING_INST($E$6,$E$9,D35))</f>
        <v>1</v>
      </c>
      <c r="P35" s="41" t="str">
        <f ca="1">IF($D$4="自选机构",[1]!S_EST_STDRATING_INST($E$6,AC35,$F$4),[1]!S_EST_STDRATING_INST($E$6,$E$9,D35))</f>
        <v>买入</v>
      </c>
      <c r="Q35" s="43" t="str">
        <f>IF($D$4="自选机构",[1]!S_EST_FRSTRATINGTIME_INST($E$6,$F$4),[1]!S_EST_FRSTRATINGTIME_INST($E$6,D35))</f>
        <v>2012-03-23</v>
      </c>
      <c r="R35" s="80">
        <f t="shared" ca="1" si="6"/>
        <v>147989</v>
      </c>
      <c r="S35" s="80">
        <f t="shared" ca="1" si="7"/>
        <v>74059</v>
      </c>
      <c r="T35" s="80">
        <f t="shared" ca="1" si="8"/>
        <v>58.96</v>
      </c>
      <c r="U35" s="82">
        <f t="shared" ca="1" si="1"/>
        <v>1</v>
      </c>
      <c r="V35" s="82"/>
      <c r="W35" s="82"/>
      <c r="X35" s="82"/>
      <c r="Y35" s="82"/>
      <c r="Z35" s="82"/>
      <c r="AA35" s="82"/>
      <c r="AB35" s="85">
        <f t="shared" ca="1" si="2"/>
        <v>45219</v>
      </c>
      <c r="AC35" s="85">
        <f t="shared" ca="1" si="9"/>
        <v>-1</v>
      </c>
      <c r="AD35" s="86">
        <f ca="1">IF($D$4="自选机构",[1]!S_EST_SCORERATING_INST($E$6,L35-1,$F$4),[1]!S_EST_SCORERATING_INST($E$6,L35-1,D35))</f>
        <v>1</v>
      </c>
      <c r="AE35" s="82" t="str">
        <f t="shared" ca="1" si="3"/>
        <v>评级不变</v>
      </c>
      <c r="AF35" s="82">
        <f t="shared" ca="1" si="10"/>
        <v>1</v>
      </c>
      <c r="AG35" s="87">
        <f t="shared" ca="1" si="4"/>
        <v>0</v>
      </c>
      <c r="AH35" s="39"/>
      <c r="AI35" s="59"/>
      <c r="AK35" s="57"/>
    </row>
    <row r="36" spans="2:40" ht="16.5" x14ac:dyDescent="0.15">
      <c r="B36" s="59"/>
      <c r="C36" s="84">
        <f t="shared" ca="1" si="5"/>
        <v>45218</v>
      </c>
      <c r="D36" s="48">
        <v>21</v>
      </c>
      <c r="E36" s="49" t="str">
        <f t="shared" si="0"/>
        <v>华泰联合</v>
      </c>
      <c r="F36" s="50">
        <v>5</v>
      </c>
      <c r="G36" s="49">
        <f ca="1">IF($D$4="自选机构",[1]!S_EST_ESTANALYST($E$6,$E$8,C36,$F$4),IF(OR(D36=71,D36=74),"***",[1]!S_EST_ESTANALYST($E$6,$E$8,$E$9,D36)))</f>
        <v>0</v>
      </c>
      <c r="H36" s="51">
        <f ca="1">IF($D$4="自选机构",[1]!S_EST_ESTNEWTIME_INST($E$6,$E$8,C36,$F$4),[1]!S_EST_ESTNEWTIME_INST($E$6,$E$8,$E$9,D36))</f>
        <v>0</v>
      </c>
      <c r="I36" s="52">
        <f ca="1">IF($D$4="自选机构",[1]!S_EST_SALES_INST($E$6,$E$8,C36,$F$4)/currencyunit,[1]!S_EST_SALES_INST($E$6,$E$8,$E$9,D36)/currencyunit)</f>
        <v>0</v>
      </c>
      <c r="J36" s="52">
        <f ca="1">IF($D$4="自选机构",[1]!S_EST_NETPROFIT_INST($E$6,$E$8,C36,$F$4)/currencyunit,[1]!S_EST_NETPROFIT_INST($E$6,$E$8,$E$9,D36)/currencyunit)</f>
        <v>0</v>
      </c>
      <c r="K36" s="53">
        <f ca="1">IF($D$4="自选机构",[1]!S_EST_EPS_INST($E$6,$E$8,C36,$F$4),[1]!S_EST_EPS_INST($E$6,$E$8,$E$9,D36))</f>
        <v>0</v>
      </c>
      <c r="L36" s="51">
        <f ca="1">IF($D$4="自选机构",[1]!S_EST_NEWRATINGTIME_INST($E$6,AC36,$F$4),[1]!S_EST_NEWRATINGTIME_INST($E$6,$E$9,D36))</f>
        <v>0</v>
      </c>
      <c r="M36" s="49">
        <f ca="1">IF($D$4="自选机构",[1]!S_EST_RATINGANALYST($E$6,AC36,$F$4),IF(OR(D36=71,D36=74),"***",[1]!S_EST_RATINGANALYST($E$6,$E$9,D36)))</f>
        <v>0</v>
      </c>
      <c r="N36" s="49">
        <f ca="1">IF($D$4="自选机构",[1]!S_EST_ORGRATING_INST($E$6,AC36,$F$4),[1]!S_EST_ORGRATING_INST($E$6,$E$9,D36))</f>
        <v>0</v>
      </c>
      <c r="O36" s="54">
        <f ca="1">IF($D$4="自选机构",[1]!S_EST_SCORERATING_INST($E$6,AC36,$F$4),[1]!S_EST_SCORERATING_INST($E$6,$E$9,D36))</f>
        <v>0</v>
      </c>
      <c r="P36" s="49">
        <f ca="1">IF($D$4="自选机构",[1]!S_EST_STDRATING_INST($E$6,AC36,$F$4),[1]!S_EST_STDRATING_INST($E$6,$E$9,D36))</f>
        <v>0</v>
      </c>
      <c r="Q36" s="51">
        <f>IF($D$4="自选机构",[1]!S_EST_FRSTRATINGTIME_INST($E$6,$F$4),[1]!S_EST_FRSTRATINGTIME_INST($E$6,D36))</f>
        <v>0</v>
      </c>
      <c r="R36" s="88">
        <f t="shared" ca="1" si="6"/>
        <v>0</v>
      </c>
      <c r="S36" s="88">
        <f t="shared" ca="1" si="7"/>
        <v>0</v>
      </c>
      <c r="T36" s="88">
        <f t="shared" ca="1" si="8"/>
        <v>0</v>
      </c>
      <c r="U36" s="89" t="str">
        <f t="shared" ca="1" si="1"/>
        <v/>
      </c>
      <c r="V36" s="89"/>
      <c r="W36" s="89"/>
      <c r="X36" s="89"/>
      <c r="Y36" s="89"/>
      <c r="Z36" s="89"/>
      <c r="AA36" s="89"/>
      <c r="AB36" s="90">
        <f t="shared" ca="1" si="2"/>
        <v>0</v>
      </c>
      <c r="AC36" s="90">
        <f t="shared" ca="1" si="9"/>
        <v>45218</v>
      </c>
      <c r="AD36" s="91">
        <f ca="1">IF($D$4="自选机构",[1]!S_EST_SCORERATING_INST($E$6,L36-1,$F$4),[1]!S_EST_SCORERATING_INST($E$6,L36-1,D36))</f>
        <v>0</v>
      </c>
      <c r="AE36" s="89" t="e">
        <f t="shared" ca="1" si="3"/>
        <v>#DIV/0!</v>
      </c>
      <c r="AF36" s="89" t="str">
        <f t="shared" ca="1" si="10"/>
        <v/>
      </c>
      <c r="AG36" s="92" t="str">
        <f t="shared" ca="1" si="4"/>
        <v/>
      </c>
      <c r="AH36" s="39"/>
      <c r="AI36" s="59"/>
      <c r="AK36" s="57"/>
    </row>
    <row r="37" spans="2:40" s="57" customFormat="1" ht="16.5" x14ac:dyDescent="0.15">
      <c r="B37" s="59"/>
      <c r="C37" s="84">
        <f t="shared" ca="1" si="5"/>
        <v>-1</v>
      </c>
      <c r="D37" s="47">
        <v>22</v>
      </c>
      <c r="E37" s="41" t="str">
        <f t="shared" si="0"/>
        <v>宏源证券</v>
      </c>
      <c r="F37" s="42">
        <v>1</v>
      </c>
      <c r="G37" s="41">
        <f ca="1">IF($D$4="自选机构",[1]!S_EST_ESTANALYST($E$6,$E$8,C37,$F$4),IF(OR(D37=71,D37=74),"***",[1]!S_EST_ESTANALYST($E$6,$E$8,$E$9,D37)))</f>
        <v>0</v>
      </c>
      <c r="H37" s="43">
        <f ca="1">IF($D$4="自选机构",[1]!S_EST_ESTNEWTIME_INST($E$6,$E$8,C37,$F$4),[1]!S_EST_ESTNEWTIME_INST($E$6,$E$8,$E$9,D37))</f>
        <v>0</v>
      </c>
      <c r="I37" s="44">
        <f ca="1">IF($D$4="自选机构",[1]!S_EST_SALES_INST($E$6,$E$8,C37,$F$4)/currencyunit,[1]!S_EST_SALES_INST($E$6,$E$8,$E$9,D37)/currencyunit)</f>
        <v>0</v>
      </c>
      <c r="J37" s="44">
        <f ca="1">IF($D$4="自选机构",[1]!S_EST_NETPROFIT_INST($E$6,$E$8,C37,$F$4)/currencyunit,[1]!S_EST_NETPROFIT_INST($E$6,$E$8,$E$9,D37)/currencyunit)</f>
        <v>0</v>
      </c>
      <c r="K37" s="45">
        <f ca="1">IF($D$4="自选机构",[1]!S_EST_EPS_INST($E$6,$E$8,C37,$F$4),[1]!S_EST_EPS_INST($E$6,$E$8,$E$9,D37))</f>
        <v>0</v>
      </c>
      <c r="L37" s="43">
        <f ca="1">IF($D$4="自选机构",[1]!S_EST_NEWRATINGTIME_INST($E$6,AC37,$F$4),[1]!S_EST_NEWRATINGTIME_INST($E$6,$E$9,D37))</f>
        <v>0</v>
      </c>
      <c r="M37" s="41">
        <f ca="1">IF($D$4="自选机构",[1]!S_EST_RATINGANALYST($E$6,AC37,$F$4),IF(OR(D37=71,D37=74),"***",[1]!S_EST_RATINGANALYST($E$6,$E$9,D37)))</f>
        <v>0</v>
      </c>
      <c r="N37" s="41">
        <f ca="1">IF($D$4="自选机构",[1]!S_EST_ORGRATING_INST($E$6,AC37,$F$4),[1]!S_EST_ORGRATING_INST($E$6,$E$9,D37))</f>
        <v>0</v>
      </c>
      <c r="O37" s="46">
        <f ca="1">IF($D$4="自选机构",[1]!S_EST_SCORERATING_INST($E$6,AC37,$F$4),[1]!S_EST_SCORERATING_INST($E$6,$E$9,D37))</f>
        <v>0</v>
      </c>
      <c r="P37" s="41">
        <f ca="1">IF($D$4="自选机构",[1]!S_EST_STDRATING_INST($E$6,AC37,$F$4),[1]!S_EST_STDRATING_INST($E$6,$E$9,D37))</f>
        <v>0</v>
      </c>
      <c r="Q37" s="43">
        <f>IF($D$4="自选机构",[1]!S_EST_FRSTRATINGTIME_INST($E$6,$F$4),[1]!S_EST_FRSTRATINGTIME_INST($E$6,D37))</f>
        <v>0</v>
      </c>
      <c r="R37" s="80">
        <f t="shared" ca="1" si="6"/>
        <v>0</v>
      </c>
      <c r="S37" s="80">
        <f t="shared" ca="1" si="7"/>
        <v>0</v>
      </c>
      <c r="T37" s="80">
        <f t="shared" ca="1" si="8"/>
        <v>0</v>
      </c>
      <c r="U37" s="82" t="str">
        <f t="shared" ca="1" si="1"/>
        <v/>
      </c>
      <c r="V37" s="93"/>
      <c r="W37" s="93"/>
      <c r="X37" s="93"/>
      <c r="Y37" s="93"/>
      <c r="Z37" s="93"/>
      <c r="AA37" s="94"/>
      <c r="AB37" s="85">
        <f t="shared" ca="1" si="2"/>
        <v>0</v>
      </c>
      <c r="AC37" s="85">
        <f t="shared" ca="1" si="9"/>
        <v>-1</v>
      </c>
      <c r="AD37" s="86">
        <f ca="1">IF($D$4="自选机构",[1]!S_EST_SCORERATING_INST($E$6,L37-1,$F$4),[1]!S_EST_SCORERATING_INST($E$6,L37-1,D37))</f>
        <v>0</v>
      </c>
      <c r="AE37" s="82" t="e">
        <f t="shared" ca="1" si="3"/>
        <v>#DIV/0!</v>
      </c>
      <c r="AF37" s="82" t="str">
        <f t="shared" ca="1" si="10"/>
        <v/>
      </c>
      <c r="AG37" s="87" t="str">
        <f t="shared" ca="1" si="4"/>
        <v/>
      </c>
      <c r="AH37" s="39"/>
      <c r="AI37" s="59"/>
      <c r="AL37" s="58"/>
      <c r="AM37" s="58"/>
      <c r="AN37" s="58"/>
    </row>
    <row r="38" spans="2:40" s="57" customFormat="1" ht="16.5" x14ac:dyDescent="0.15">
      <c r="B38" s="59"/>
      <c r="C38" s="84">
        <f t="shared" ca="1" si="5"/>
        <v>-1</v>
      </c>
      <c r="D38" s="48">
        <v>23</v>
      </c>
      <c r="E38" s="49" t="str">
        <f t="shared" si="0"/>
        <v>新疆证券</v>
      </c>
      <c r="F38" s="50">
        <v>1</v>
      </c>
      <c r="G38" s="49">
        <f ca="1">IF($D$4="自选机构",[1]!S_EST_ESTANALYST($E$6,$E$8,C38,$F$4),IF(OR(D38=71,D38=74),"***",[1]!S_EST_ESTANALYST($E$6,$E$8,$E$9,D38)))</f>
        <v>0</v>
      </c>
      <c r="H38" s="51">
        <f ca="1">IF($D$4="自选机构",[1]!S_EST_ESTNEWTIME_INST($E$6,$E$8,C38,$F$4),[1]!S_EST_ESTNEWTIME_INST($E$6,$E$8,$E$9,D38))</f>
        <v>0</v>
      </c>
      <c r="I38" s="52">
        <f ca="1">IF($D$4="自选机构",[1]!S_EST_SALES_INST($E$6,$E$8,C38,$F$4)/currencyunit,[1]!S_EST_SALES_INST($E$6,$E$8,$E$9,D38)/currencyunit)</f>
        <v>0</v>
      </c>
      <c r="J38" s="52">
        <f ca="1">IF($D$4="自选机构",[1]!S_EST_NETPROFIT_INST($E$6,$E$8,C38,$F$4)/currencyunit,[1]!S_EST_NETPROFIT_INST($E$6,$E$8,$E$9,D38)/currencyunit)</f>
        <v>0</v>
      </c>
      <c r="K38" s="53">
        <f ca="1">IF($D$4="自选机构",[1]!S_EST_EPS_INST($E$6,$E$8,C38,$F$4),[1]!S_EST_EPS_INST($E$6,$E$8,$E$9,D38))</f>
        <v>0</v>
      </c>
      <c r="L38" s="51">
        <f ca="1">IF($D$4="自选机构",[1]!S_EST_NEWRATINGTIME_INST($E$6,AC38,$F$4),[1]!S_EST_NEWRATINGTIME_INST($E$6,$E$9,D38))</f>
        <v>0</v>
      </c>
      <c r="M38" s="49">
        <f ca="1">IF($D$4="自选机构",[1]!S_EST_RATINGANALYST($E$6,AC38,$F$4),IF(OR(D38=71,D38=74),"***",[1]!S_EST_RATINGANALYST($E$6,$E$9,D38)))</f>
        <v>0</v>
      </c>
      <c r="N38" s="49">
        <f ca="1">IF($D$4="自选机构",[1]!S_EST_ORGRATING_INST($E$6,AC38,$F$4),[1]!S_EST_ORGRATING_INST($E$6,$E$9,D38))</f>
        <v>0</v>
      </c>
      <c r="O38" s="54">
        <f ca="1">IF($D$4="自选机构",[1]!S_EST_SCORERATING_INST($E$6,AC38,$F$4),[1]!S_EST_SCORERATING_INST($E$6,$E$9,D38))</f>
        <v>0</v>
      </c>
      <c r="P38" s="49">
        <f ca="1">IF($D$4="自选机构",[1]!S_EST_STDRATING_INST($E$6,AC38,$F$4),[1]!S_EST_STDRATING_INST($E$6,$E$9,D38))</f>
        <v>0</v>
      </c>
      <c r="Q38" s="51">
        <f>IF($D$4="自选机构",[1]!S_EST_FRSTRATINGTIME_INST($E$6,$F$4),[1]!S_EST_FRSTRATINGTIME_INST($E$6,D38))</f>
        <v>0</v>
      </c>
      <c r="R38" s="88">
        <f t="shared" ca="1" si="6"/>
        <v>0</v>
      </c>
      <c r="S38" s="88">
        <f t="shared" ca="1" si="7"/>
        <v>0</v>
      </c>
      <c r="T38" s="88">
        <f t="shared" ca="1" si="8"/>
        <v>0</v>
      </c>
      <c r="U38" s="89" t="str">
        <f t="shared" ca="1" si="1"/>
        <v/>
      </c>
      <c r="V38" s="89"/>
      <c r="W38" s="89"/>
      <c r="X38" s="89"/>
      <c r="Y38" s="89"/>
      <c r="Z38" s="89"/>
      <c r="AA38" s="89"/>
      <c r="AB38" s="90">
        <f t="shared" ca="1" si="2"/>
        <v>0</v>
      </c>
      <c r="AC38" s="90">
        <f t="shared" ca="1" si="9"/>
        <v>-1</v>
      </c>
      <c r="AD38" s="91">
        <f ca="1">IF($D$4="自选机构",[1]!S_EST_SCORERATING_INST($E$6,L38-1,$F$4),[1]!S_EST_SCORERATING_INST($E$6,L38-1,D38))</f>
        <v>0</v>
      </c>
      <c r="AE38" s="89" t="e">
        <f t="shared" ca="1" si="3"/>
        <v>#DIV/0!</v>
      </c>
      <c r="AF38" s="89" t="str">
        <f t="shared" ca="1" si="10"/>
        <v/>
      </c>
      <c r="AG38" s="92" t="str">
        <f t="shared" ca="1" si="4"/>
        <v/>
      </c>
      <c r="AH38" s="39"/>
      <c r="AI38" s="59"/>
      <c r="AL38" s="58"/>
      <c r="AM38" s="58"/>
      <c r="AN38" s="58"/>
    </row>
    <row r="39" spans="2:40" s="57" customFormat="1" ht="16.5" x14ac:dyDescent="0.15">
      <c r="B39" s="59"/>
      <c r="C39" s="84">
        <f t="shared" ca="1" si="5"/>
        <v>-1</v>
      </c>
      <c r="D39" s="47">
        <v>24</v>
      </c>
      <c r="E39" s="41" t="str">
        <f t="shared" si="0"/>
        <v>东海证券</v>
      </c>
      <c r="F39" s="42">
        <v>1</v>
      </c>
      <c r="G39" s="41" t="str">
        <f ca="1">IF($D$4="自选机构",[1]!S_EST_ESTANALYST($E$6,$E$8,C39,$F$4),IF(OR(D39=71,D39=74),"***",[1]!S_EST_ESTANALYST($E$6,$E$8,$E$9,D39)))</f>
        <v>姚星辰</v>
      </c>
      <c r="H39" s="43" t="str">
        <f ca="1">IF($D$4="自选机构",[1]!S_EST_ESTNEWTIME_INST($E$6,$E$8,C39,$F$4),[1]!S_EST_ESTNEWTIME_INST($E$6,$E$8,$E$9,D39))</f>
        <v>2023-10-22</v>
      </c>
      <c r="I39" s="44">
        <f ca="1">IF($D$4="自选机构",[1]!S_EST_SALES_INST($E$6,$E$8,C39,$F$4)/currencyunit,[1]!S_EST_SALES_INST($E$6,$E$8,$E$9,D39)/currencyunit)</f>
        <v>149501.97</v>
      </c>
      <c r="J39" s="44">
        <f ca="1">IF($D$4="自选机构",[1]!S_EST_NETPROFIT_INST($E$6,$E$8,C39,$F$4)/currencyunit,[1]!S_EST_NETPROFIT_INST($E$6,$E$8,$E$9,D39)/currencyunit)</f>
        <v>74324.789999999994</v>
      </c>
      <c r="K39" s="45">
        <f ca="1">IF($D$4="自选机构",[1]!S_EST_EPS_INST($E$6,$E$8,C39,$F$4),[1]!S_EST_EPS_INST($E$6,$E$8,$E$9,D39))</f>
        <v>59.17</v>
      </c>
      <c r="L39" s="43" t="str">
        <f ca="1">IF($D$4="自选机构",[1]!S_EST_NEWRATINGTIME_INST($E$6,AC39,$F$4),[1]!S_EST_NEWRATINGTIME_INST($E$6,$E$9,D39))</f>
        <v>2023-10-22</v>
      </c>
      <c r="M39" s="41" t="str">
        <f ca="1">IF($D$4="自选机构",[1]!S_EST_RATINGANALYST($E$6,AC39,$F$4),IF(OR(D39=71,D39=74),"***",[1]!S_EST_RATINGANALYST($E$6,$E$9,D39)))</f>
        <v>姚星辰</v>
      </c>
      <c r="N39" s="41" t="str">
        <f ca="1">IF($D$4="自选机构",[1]!S_EST_ORGRATING_INST($E$6,AC39,$F$4),[1]!S_EST_ORGRATING_INST($E$6,$E$9,D39))</f>
        <v>东海证券_买入_1</v>
      </c>
      <c r="O39" s="46">
        <f ca="1">IF($D$4="自选机构",[1]!S_EST_SCORERATING_INST($E$6,AC39,$F$4),[1]!S_EST_SCORERATING_INST($E$6,$E$9,D39))</f>
        <v>1</v>
      </c>
      <c r="P39" s="41" t="str">
        <f ca="1">IF($D$4="自选机构",[1]!S_EST_STDRATING_INST($E$6,AC39,$F$4),[1]!S_EST_STDRATING_INST($E$6,$E$9,D39))</f>
        <v>买入</v>
      </c>
      <c r="Q39" s="43" t="str">
        <f>IF($D$4="自选机构",[1]!S_EST_FRSTRATINGTIME_INST($E$6,$F$4),[1]!S_EST_FRSTRATINGTIME_INST($E$6,D39))</f>
        <v>2011-04-25</v>
      </c>
      <c r="R39" s="80">
        <f t="shared" ca="1" si="6"/>
        <v>149501.97</v>
      </c>
      <c r="S39" s="80">
        <f t="shared" ca="1" si="7"/>
        <v>74324.789999999994</v>
      </c>
      <c r="T39" s="80">
        <f t="shared" ca="1" si="8"/>
        <v>59.17</v>
      </c>
      <c r="U39" s="82">
        <f t="shared" ca="1" si="1"/>
        <v>1</v>
      </c>
      <c r="V39" s="82"/>
      <c r="W39" s="82"/>
      <c r="X39" s="82"/>
      <c r="Y39" s="82"/>
      <c r="Z39" s="82"/>
      <c r="AA39" s="82"/>
      <c r="AB39" s="85">
        <f t="shared" ca="1" si="2"/>
        <v>45221</v>
      </c>
      <c r="AC39" s="85">
        <f t="shared" ca="1" si="9"/>
        <v>-1</v>
      </c>
      <c r="AD39" s="86">
        <f ca="1">IF($D$4="自选机构",[1]!S_EST_SCORERATING_INST($E$6,L39-1,$F$4),[1]!S_EST_SCORERATING_INST($E$6,L39-1,D39))</f>
        <v>1</v>
      </c>
      <c r="AE39" s="82" t="str">
        <f t="shared" ca="1" si="3"/>
        <v>评级不变</v>
      </c>
      <c r="AF39" s="82">
        <f t="shared" ca="1" si="10"/>
        <v>1</v>
      </c>
      <c r="AG39" s="87">
        <f t="shared" ca="1" si="4"/>
        <v>0</v>
      </c>
      <c r="AH39" s="39"/>
      <c r="AI39" s="59"/>
      <c r="AL39" s="58"/>
      <c r="AM39" s="58"/>
      <c r="AN39" s="58"/>
    </row>
    <row r="40" spans="2:40" s="57" customFormat="1" ht="16.5" x14ac:dyDescent="0.15">
      <c r="B40" s="59"/>
      <c r="C40" s="84">
        <f t="shared" ca="1" si="5"/>
        <v>45220</v>
      </c>
      <c r="D40" s="48">
        <v>26</v>
      </c>
      <c r="E40" s="49" t="str">
        <f t="shared" si="0"/>
        <v>长城证券</v>
      </c>
      <c r="F40" s="50">
        <v>1</v>
      </c>
      <c r="G40" s="49" t="str">
        <f ca="1">IF($D$4="自选机构",[1]!S_EST_ESTANALYST($E$6,$E$8,C40,$F$4),IF(OR(D40=71,D40=74),"***",[1]!S_EST_ESTANALYST($E$6,$E$8,$E$9,D40)))</f>
        <v>刘鹏</v>
      </c>
      <c r="H40" s="51" t="str">
        <f ca="1">IF($D$4="自选机构",[1]!S_EST_ESTNEWTIME_INST($E$6,$E$8,C40,$F$4),[1]!S_EST_ESTNEWTIME_INST($E$6,$E$8,$E$9,D40))</f>
        <v>2023-11-06</v>
      </c>
      <c r="I40" s="52">
        <f ca="1">IF($D$4="自选机构",[1]!S_EST_SALES_INST($E$6,$E$8,C40,$F$4)/currencyunit,[1]!S_EST_SALES_INST($E$6,$E$8,$E$9,D40)/currencyunit)</f>
        <v>145817</v>
      </c>
      <c r="J40" s="52">
        <f ca="1">IF($D$4="自选机构",[1]!S_EST_NETPROFIT_INST($E$6,$E$8,C40,$F$4)/currencyunit,[1]!S_EST_NETPROFIT_INST($E$6,$E$8,$E$9,D40)/currencyunit)</f>
        <v>74207</v>
      </c>
      <c r="K40" s="53">
        <f ca="1">IF($D$4="自选机构",[1]!S_EST_EPS_INST($E$6,$E$8,C40,$F$4),[1]!S_EST_EPS_INST($E$6,$E$8,$E$9,D40))</f>
        <v>59.07</v>
      </c>
      <c r="L40" s="51" t="str">
        <f ca="1">IF($D$4="自选机构",[1]!S_EST_NEWRATINGTIME_INST($E$6,AC40,$F$4),[1]!S_EST_NEWRATINGTIME_INST($E$6,$E$9,D40))</f>
        <v>2023-11-06</v>
      </c>
      <c r="M40" s="49" t="str">
        <f ca="1">IF($D$4="自选机构",[1]!S_EST_RATINGANALYST($E$6,AC40,$F$4),IF(OR(D40=71,D40=74),"***",[1]!S_EST_RATINGANALYST($E$6,$E$9,D40)))</f>
        <v>刘鹏</v>
      </c>
      <c r="N40" s="49" t="str">
        <f ca="1">IF($D$4="自选机构",[1]!S_EST_ORGRATING_INST($E$6,AC40,$F$4),[1]!S_EST_ORGRATING_INST($E$6,$E$9,D40))</f>
        <v>长城证券_买入_1</v>
      </c>
      <c r="O40" s="54">
        <f ca="1">IF($D$4="自选机构",[1]!S_EST_SCORERATING_INST($E$6,AC40,$F$4),[1]!S_EST_SCORERATING_INST($E$6,$E$9,D40))</f>
        <v>1</v>
      </c>
      <c r="P40" s="49" t="str">
        <f ca="1">IF($D$4="自选机构",[1]!S_EST_STDRATING_INST($E$6,AC40,$F$4),[1]!S_EST_STDRATING_INST($E$6,$E$9,D40))</f>
        <v>买入</v>
      </c>
      <c r="Q40" s="51" t="str">
        <f>IF($D$4="自选机构",[1]!S_EST_FRSTRATINGTIME_INST($E$6,$F$4),[1]!S_EST_FRSTRATINGTIME_INST($E$6,D40))</f>
        <v>2007-04-03</v>
      </c>
      <c r="R40" s="88">
        <f t="shared" ca="1" si="6"/>
        <v>145817</v>
      </c>
      <c r="S40" s="88">
        <f t="shared" ca="1" si="7"/>
        <v>74207</v>
      </c>
      <c r="T40" s="88">
        <f t="shared" ca="1" si="8"/>
        <v>59.07</v>
      </c>
      <c r="U40" s="89">
        <f t="shared" ca="1" si="1"/>
        <v>1</v>
      </c>
      <c r="V40" s="89"/>
      <c r="W40" s="89"/>
      <c r="X40" s="89"/>
      <c r="Y40" s="89"/>
      <c r="Z40" s="89"/>
      <c r="AA40" s="89"/>
      <c r="AB40" s="90">
        <f t="shared" ca="1" si="2"/>
        <v>45236</v>
      </c>
      <c r="AC40" s="90">
        <f t="shared" ca="1" si="9"/>
        <v>45220</v>
      </c>
      <c r="AD40" s="91">
        <f ca="1">IF($D$4="自选机构",[1]!S_EST_SCORERATING_INST($E$6,L40-1,$F$4),[1]!S_EST_SCORERATING_INST($E$6,L40-1,D40))</f>
        <v>1</v>
      </c>
      <c r="AE40" s="89" t="str">
        <f t="shared" ca="1" si="3"/>
        <v>评级不变</v>
      </c>
      <c r="AF40" s="89">
        <f t="shared" ca="1" si="10"/>
        <v>1</v>
      </c>
      <c r="AG40" s="92">
        <f t="shared" ca="1" si="4"/>
        <v>0</v>
      </c>
      <c r="AH40" s="39"/>
      <c r="AI40" s="59"/>
      <c r="AL40" s="58"/>
      <c r="AM40" s="58"/>
      <c r="AN40" s="58"/>
    </row>
    <row r="41" spans="2:40" ht="16.5" x14ac:dyDescent="0.15">
      <c r="B41" s="59"/>
      <c r="C41" s="84">
        <f t="shared" ca="1" si="5"/>
        <v>45235</v>
      </c>
      <c r="D41" s="47">
        <v>27</v>
      </c>
      <c r="E41" s="41" t="str">
        <f t="shared" si="0"/>
        <v>广发证券</v>
      </c>
      <c r="F41" s="42">
        <v>1</v>
      </c>
      <c r="G41" s="41" t="str">
        <f ca="1">IF($D$4="自选机构",[1]!S_EST_ESTANALYST($E$6,$E$8,C41,$F$4),IF(OR(D41=71,D41=74),"***",[1]!S_EST_ESTANALYST($E$6,$E$8,$E$9,D41)))</f>
        <v>王永锋</v>
      </c>
      <c r="H41" s="43" t="str">
        <f ca="1">IF($D$4="自选机构",[1]!S_EST_ESTNEWTIME_INST($E$6,$E$8,C41,$F$4),[1]!S_EST_ESTNEWTIME_INST($E$6,$E$8,$E$9,D41))</f>
        <v>2023-11-02</v>
      </c>
      <c r="I41" s="44">
        <f ca="1">IF($D$4="自选机构",[1]!S_EST_SALES_INST($E$6,$E$8,C41,$F$4)/currencyunit,[1]!S_EST_SALES_INST($E$6,$E$8,$E$9,D41)/currencyunit)</f>
        <v>150577</v>
      </c>
      <c r="J41" s="44">
        <f ca="1">IF($D$4="自选机构",[1]!S_EST_NETPROFIT_INST($E$6,$E$8,C41,$F$4)/currencyunit,[1]!S_EST_NETPROFIT_INST($E$6,$E$8,$E$9,D41)/currencyunit)</f>
        <v>74644</v>
      </c>
      <c r="K41" s="45">
        <f ca="1">IF($D$4="自选机构",[1]!S_EST_EPS_INST($E$6,$E$8,C41,$F$4),[1]!S_EST_EPS_INST($E$6,$E$8,$E$9,D41))</f>
        <v>59.42</v>
      </c>
      <c r="L41" s="43" t="str">
        <f ca="1">IF($D$4="自选机构",[1]!S_EST_NEWRATINGTIME_INST($E$6,AC41,$F$4),[1]!S_EST_NEWRATINGTIME_INST($E$6,$E$9,D41))</f>
        <v>2023-11-02</v>
      </c>
      <c r="M41" s="41" t="str">
        <f ca="1">IF($D$4="自选机构",[1]!S_EST_RATINGANALYST($E$6,AC41,$F$4),IF(OR(D41=71,D41=74),"***",[1]!S_EST_RATINGANALYST($E$6,$E$9,D41)))</f>
        <v>王永锋</v>
      </c>
      <c r="N41" s="41" t="str">
        <f ca="1">IF($D$4="自选机构",[1]!S_EST_ORGRATING_INST($E$6,AC41,$F$4),[1]!S_EST_ORGRATING_INST($E$6,$E$9,D41))</f>
        <v>广发证券_买入_1</v>
      </c>
      <c r="O41" s="46">
        <f ca="1">IF($D$4="自选机构",[1]!S_EST_SCORERATING_INST($E$6,AC41,$F$4),[1]!S_EST_SCORERATING_INST($E$6,$E$9,D41))</f>
        <v>1</v>
      </c>
      <c r="P41" s="41" t="str">
        <f ca="1">IF($D$4="自选机构",[1]!S_EST_STDRATING_INST($E$6,AC41,$F$4),[1]!S_EST_STDRATING_INST($E$6,$E$9,D41))</f>
        <v>买入</v>
      </c>
      <c r="Q41" s="43" t="str">
        <f>IF($D$4="自选机构",[1]!S_EST_FRSTRATINGTIME_INST($E$6,$F$4),[1]!S_EST_FRSTRATINGTIME_INST($E$6,D41))</f>
        <v>2006-12-24</v>
      </c>
      <c r="R41" s="80">
        <f t="shared" ca="1" si="6"/>
        <v>150577</v>
      </c>
      <c r="S41" s="80">
        <f t="shared" ca="1" si="7"/>
        <v>74644</v>
      </c>
      <c r="T41" s="80">
        <f t="shared" ca="1" si="8"/>
        <v>59.42</v>
      </c>
      <c r="U41" s="82">
        <f t="shared" ca="1" si="1"/>
        <v>1</v>
      </c>
      <c r="V41" s="82"/>
      <c r="W41" s="82"/>
      <c r="X41" s="82"/>
      <c r="Y41" s="82"/>
      <c r="Z41" s="82"/>
      <c r="AA41" s="82"/>
      <c r="AB41" s="85">
        <f t="shared" ca="1" si="2"/>
        <v>45232</v>
      </c>
      <c r="AC41" s="85">
        <f t="shared" ca="1" si="9"/>
        <v>45235</v>
      </c>
      <c r="AD41" s="86">
        <f ca="1">IF($D$4="自选机构",[1]!S_EST_SCORERATING_INST($E$6,L41-1,$F$4),[1]!S_EST_SCORERATING_INST($E$6,L41-1,D41))</f>
        <v>1</v>
      </c>
      <c r="AE41" s="82" t="str">
        <f t="shared" ca="1" si="3"/>
        <v>评级不变</v>
      </c>
      <c r="AF41" s="82">
        <f t="shared" ca="1" si="10"/>
        <v>1</v>
      </c>
      <c r="AG41" s="87">
        <f t="shared" ca="1" si="4"/>
        <v>0</v>
      </c>
      <c r="AH41" s="39"/>
      <c r="AI41" s="59"/>
      <c r="AK41" s="57"/>
    </row>
    <row r="42" spans="2:40" ht="16.5" x14ac:dyDescent="0.15">
      <c r="B42" s="59"/>
      <c r="C42" s="84">
        <f t="shared" ca="1" si="5"/>
        <v>45231</v>
      </c>
      <c r="D42" s="48">
        <v>28</v>
      </c>
      <c r="E42" s="49" t="str">
        <f t="shared" si="0"/>
        <v>世纪证券</v>
      </c>
      <c r="F42" s="50">
        <v>1</v>
      </c>
      <c r="G42" s="49">
        <f ca="1">IF($D$4="自选机构",[1]!S_EST_ESTANALYST($E$6,$E$8,C42,$F$4),IF(OR(D42=71,D42=74),"***",[1]!S_EST_ESTANALYST($E$6,$E$8,$E$9,D42)))</f>
        <v>0</v>
      </c>
      <c r="H42" s="51">
        <f ca="1">IF($D$4="自选机构",[1]!S_EST_ESTNEWTIME_INST($E$6,$E$8,C42,$F$4),[1]!S_EST_ESTNEWTIME_INST($E$6,$E$8,$E$9,D42))</f>
        <v>0</v>
      </c>
      <c r="I42" s="52">
        <f ca="1">IF($D$4="自选机构",[1]!S_EST_SALES_INST($E$6,$E$8,C42,$F$4)/currencyunit,[1]!S_EST_SALES_INST($E$6,$E$8,$E$9,D42)/currencyunit)</f>
        <v>0</v>
      </c>
      <c r="J42" s="52">
        <f ca="1">IF($D$4="自选机构",[1]!S_EST_NETPROFIT_INST($E$6,$E$8,C42,$F$4)/currencyunit,[1]!S_EST_NETPROFIT_INST($E$6,$E$8,$E$9,D42)/currencyunit)</f>
        <v>0</v>
      </c>
      <c r="K42" s="53">
        <f ca="1">IF($D$4="自选机构",[1]!S_EST_EPS_INST($E$6,$E$8,C42,$F$4),[1]!S_EST_EPS_INST($E$6,$E$8,$E$9,D42))</f>
        <v>0</v>
      </c>
      <c r="L42" s="51">
        <f ca="1">IF($D$4="自选机构",[1]!S_EST_NEWRATINGTIME_INST($E$6,AC42,$F$4),[1]!S_EST_NEWRATINGTIME_INST($E$6,$E$9,D42))</f>
        <v>0</v>
      </c>
      <c r="M42" s="49">
        <f ca="1">IF($D$4="自选机构",[1]!S_EST_RATINGANALYST($E$6,AC42,$F$4),IF(OR(D42=71,D42=74),"***",[1]!S_EST_RATINGANALYST($E$6,$E$9,D42)))</f>
        <v>0</v>
      </c>
      <c r="N42" s="49">
        <f ca="1">IF($D$4="自选机构",[1]!S_EST_ORGRATING_INST($E$6,AC42,$F$4),[1]!S_EST_ORGRATING_INST($E$6,$E$9,D42))</f>
        <v>0</v>
      </c>
      <c r="O42" s="54">
        <f ca="1">IF($D$4="自选机构",[1]!S_EST_SCORERATING_INST($E$6,AC42,$F$4),[1]!S_EST_SCORERATING_INST($E$6,$E$9,D42))</f>
        <v>0</v>
      </c>
      <c r="P42" s="49">
        <f ca="1">IF($D$4="自选机构",[1]!S_EST_STDRATING_INST($E$6,AC42,$F$4),[1]!S_EST_STDRATING_INST($E$6,$E$9,D42))</f>
        <v>0</v>
      </c>
      <c r="Q42" s="51" t="str">
        <f>IF($D$4="自选机构",[1]!S_EST_FRSTRATINGTIME_INST($E$6,$F$4),[1]!S_EST_FRSTRATINGTIME_INST($E$6,D42))</f>
        <v>2005-09-23</v>
      </c>
      <c r="R42" s="88">
        <f t="shared" ca="1" si="6"/>
        <v>0</v>
      </c>
      <c r="S42" s="88">
        <f t="shared" ca="1" si="7"/>
        <v>0</v>
      </c>
      <c r="T42" s="88">
        <f t="shared" ca="1" si="8"/>
        <v>0</v>
      </c>
      <c r="U42" s="89" t="str">
        <f t="shared" ca="1" si="1"/>
        <v/>
      </c>
      <c r="V42" s="89"/>
      <c r="W42" s="89"/>
      <c r="X42" s="89"/>
      <c r="Y42" s="89"/>
      <c r="Z42" s="89"/>
      <c r="AA42" s="89"/>
      <c r="AB42" s="90">
        <f t="shared" ca="1" si="2"/>
        <v>0</v>
      </c>
      <c r="AC42" s="90">
        <f t="shared" ca="1" si="9"/>
        <v>45231</v>
      </c>
      <c r="AD42" s="91">
        <f ca="1">IF($D$4="自选机构",[1]!S_EST_SCORERATING_INST($E$6,L42-1,$F$4),[1]!S_EST_SCORERATING_INST($E$6,L42-1,D42))</f>
        <v>0</v>
      </c>
      <c r="AE42" s="89" t="e">
        <f t="shared" ca="1" si="3"/>
        <v>#DIV/0!</v>
      </c>
      <c r="AF42" s="89" t="str">
        <f t="shared" ca="1" si="10"/>
        <v/>
      </c>
      <c r="AG42" s="92" t="str">
        <f t="shared" ca="1" si="4"/>
        <v/>
      </c>
      <c r="AH42" s="39"/>
      <c r="AI42" s="59"/>
      <c r="AK42" s="57"/>
    </row>
    <row r="43" spans="2:40" s="57" customFormat="1" ht="16.5" x14ac:dyDescent="0.15">
      <c r="B43" s="59"/>
      <c r="C43" s="84">
        <f t="shared" ca="1" si="5"/>
        <v>-1</v>
      </c>
      <c r="D43" s="47">
        <v>29</v>
      </c>
      <c r="E43" s="41" t="str">
        <f t="shared" si="0"/>
        <v>华西证券</v>
      </c>
      <c r="F43" s="42">
        <v>1</v>
      </c>
      <c r="G43" s="41" t="str">
        <f ca="1">IF($D$4="自选机构",[1]!S_EST_ESTANALYST($E$6,$E$8,C43,$F$4),IF(OR(D43=71,D43=74),"***",[1]!S_EST_ESTANALYST($E$6,$E$8,$E$9,D43)))</f>
        <v>寇星</v>
      </c>
      <c r="H43" s="43" t="str">
        <f ca="1">IF($D$4="自选机构",[1]!S_EST_ESTNEWTIME_INST($E$6,$E$8,C43,$F$4),[1]!S_EST_ESTNEWTIME_INST($E$6,$E$8,$E$9,D43))</f>
        <v>2023-11-01</v>
      </c>
      <c r="I43" s="44">
        <f ca="1">IF($D$4="自选机构",[1]!S_EST_SALES_INST($E$6,$E$8,C43,$F$4)/currencyunit,[1]!S_EST_SALES_INST($E$6,$E$8,$E$9,D43)/currencyunit)</f>
        <v>148408</v>
      </c>
      <c r="J43" s="44">
        <f ca="1">IF($D$4="自选机构",[1]!S_EST_NETPROFIT_INST($E$6,$E$8,C43,$F$4)/currencyunit,[1]!S_EST_NETPROFIT_INST($E$6,$E$8,$E$9,D43)/currencyunit)</f>
        <v>74400</v>
      </c>
      <c r="K43" s="45">
        <f ca="1">IF($D$4="自选机构",[1]!S_EST_EPS_INST($E$6,$E$8,C43,$F$4),[1]!S_EST_EPS_INST($E$6,$E$8,$E$9,D43))</f>
        <v>59.23</v>
      </c>
      <c r="L43" s="43" t="str">
        <f ca="1">IF($D$4="自选机构",[1]!S_EST_NEWRATINGTIME_INST($E$6,AC43,$F$4),[1]!S_EST_NEWRATINGTIME_INST($E$6,$E$9,D43))</f>
        <v>2023-11-01</v>
      </c>
      <c r="M43" s="41" t="str">
        <f ca="1">IF($D$4="自选机构",[1]!S_EST_RATINGANALYST($E$6,AC43,$F$4),IF(OR(D43=71,D43=74),"***",[1]!S_EST_RATINGANALYST($E$6,$E$9,D43)))</f>
        <v>寇星</v>
      </c>
      <c r="N43" s="41" t="str">
        <f ca="1">IF($D$4="自选机构",[1]!S_EST_ORGRATING_INST($E$6,AC43,$F$4),[1]!S_EST_ORGRATING_INST($E$6,$E$9,D43))</f>
        <v>华西证券_买入_1</v>
      </c>
      <c r="O43" s="46">
        <f ca="1">IF($D$4="自选机构",[1]!S_EST_SCORERATING_INST($E$6,AC43,$F$4),[1]!S_EST_SCORERATING_INST($E$6,$E$9,D43))</f>
        <v>1</v>
      </c>
      <c r="P43" s="41" t="str">
        <f ca="1">IF($D$4="自选机构",[1]!S_EST_STDRATING_INST($E$6,AC43,$F$4),[1]!S_EST_STDRATING_INST($E$6,$E$9,D43))</f>
        <v>买入</v>
      </c>
      <c r="Q43" s="43" t="str">
        <f>IF($D$4="自选机构",[1]!S_EST_FRSTRATINGTIME_INST($E$6,$F$4),[1]!S_EST_FRSTRATINGTIME_INST($E$6,D43))</f>
        <v>2020-07-26</v>
      </c>
      <c r="R43" s="80">
        <f t="shared" ca="1" si="6"/>
        <v>148408</v>
      </c>
      <c r="S43" s="80">
        <f t="shared" ca="1" si="7"/>
        <v>74400</v>
      </c>
      <c r="T43" s="80">
        <f t="shared" ca="1" si="8"/>
        <v>59.23</v>
      </c>
      <c r="U43" s="82">
        <f t="shared" ca="1" si="1"/>
        <v>1</v>
      </c>
      <c r="V43" s="93"/>
      <c r="W43" s="93"/>
      <c r="X43" s="93"/>
      <c r="Y43" s="93"/>
      <c r="Z43" s="93"/>
      <c r="AA43" s="94"/>
      <c r="AB43" s="85">
        <f t="shared" ca="1" si="2"/>
        <v>45231</v>
      </c>
      <c r="AC43" s="85">
        <f t="shared" ca="1" si="9"/>
        <v>-1</v>
      </c>
      <c r="AD43" s="86">
        <f ca="1">IF($D$4="自选机构",[1]!S_EST_SCORERATING_INST($E$6,L43-1,$F$4),[1]!S_EST_SCORERATING_INST($E$6,L43-1,D43))</f>
        <v>1</v>
      </c>
      <c r="AE43" s="82" t="str">
        <f t="shared" ca="1" si="3"/>
        <v>评级不变</v>
      </c>
      <c r="AF43" s="82">
        <f t="shared" ca="1" si="10"/>
        <v>1</v>
      </c>
      <c r="AG43" s="87">
        <f t="shared" ca="1" si="4"/>
        <v>0</v>
      </c>
      <c r="AH43" s="39"/>
      <c r="AI43" s="59"/>
      <c r="AL43" s="58"/>
      <c r="AM43" s="58"/>
      <c r="AN43" s="58"/>
    </row>
    <row r="44" spans="2:40" s="57" customFormat="1" ht="16.5" x14ac:dyDescent="0.15">
      <c r="B44" s="59"/>
      <c r="C44" s="84">
        <f t="shared" ca="1" si="5"/>
        <v>45230</v>
      </c>
      <c r="D44" s="48">
        <v>30</v>
      </c>
      <c r="E44" s="49" t="str">
        <f t="shared" si="0"/>
        <v>国元证券</v>
      </c>
      <c r="F44" s="50">
        <v>1</v>
      </c>
      <c r="G44" s="49" t="str">
        <f ca="1">IF($D$4="自选机构",[1]!S_EST_ESTANALYST($E$6,$E$8,C44,$F$4),IF(OR(D44=71,D44=74),"***",[1]!S_EST_ESTANALYST($E$6,$E$8,$E$9,D44)))</f>
        <v>邓晖</v>
      </c>
      <c r="H44" s="51" t="str">
        <f ca="1">IF($D$4="自选机构",[1]!S_EST_ESTNEWTIME_INST($E$6,$E$8,C44,$F$4),[1]!S_EST_ESTNEWTIME_INST($E$6,$E$8,$E$9,D44))</f>
        <v>2023-10-22</v>
      </c>
      <c r="I44" s="52">
        <f ca="1">IF($D$4="自选机构",[1]!S_EST_SALES_INST($E$6,$E$8,C44,$F$4)/currencyunit,[1]!S_EST_SALES_INST($E$6,$E$8,$E$9,D44)/currencyunit)</f>
        <v>147629.99</v>
      </c>
      <c r="J44" s="52">
        <f ca="1">IF($D$4="自选机构",[1]!S_EST_NETPROFIT_INST($E$6,$E$8,C44,$F$4)/currencyunit,[1]!S_EST_NETPROFIT_INST($E$6,$E$8,$E$9,D44)/currencyunit)</f>
        <v>74049.11</v>
      </c>
      <c r="K44" s="53">
        <f ca="1">IF($D$4="自选机构",[1]!S_EST_EPS_INST($E$6,$E$8,C44,$F$4),[1]!S_EST_EPS_INST($E$6,$E$8,$E$9,D44))</f>
        <v>58.95</v>
      </c>
      <c r="L44" s="51" t="str">
        <f ca="1">IF($D$4="自选机构",[1]!S_EST_NEWRATINGTIME_INST($E$6,AC44,$F$4),[1]!S_EST_NEWRATINGTIME_INST($E$6,$E$9,D44))</f>
        <v>2023-10-22</v>
      </c>
      <c r="M44" s="49" t="str">
        <f ca="1">IF($D$4="自选机构",[1]!S_EST_RATINGANALYST($E$6,AC44,$F$4),IF(OR(D44=71,D44=74),"***",[1]!S_EST_RATINGANALYST($E$6,$E$9,D44)))</f>
        <v>邓晖</v>
      </c>
      <c r="N44" s="49" t="str">
        <f ca="1">IF($D$4="自选机构",[1]!S_EST_ORGRATING_INST($E$6,AC44,$F$4),[1]!S_EST_ORGRATING_INST($E$6,$E$9,D44))</f>
        <v>国元证券_买入_1</v>
      </c>
      <c r="O44" s="54">
        <f ca="1">IF($D$4="自选机构",[1]!S_EST_SCORERATING_INST($E$6,AC44,$F$4),[1]!S_EST_SCORERATING_INST($E$6,$E$9,D44))</f>
        <v>1</v>
      </c>
      <c r="P44" s="49" t="str">
        <f ca="1">IF($D$4="自选机构",[1]!S_EST_STDRATING_INST($E$6,AC44,$F$4),[1]!S_EST_STDRATING_INST($E$6,$E$9,D44))</f>
        <v>买入</v>
      </c>
      <c r="Q44" s="51" t="str">
        <f>IF($D$4="自选机构",[1]!S_EST_FRSTRATINGTIME_INST($E$6,$F$4),[1]!S_EST_FRSTRATINGTIME_INST($E$6,D44))</f>
        <v>2006-08-08</v>
      </c>
      <c r="R44" s="88">
        <f t="shared" ca="1" si="6"/>
        <v>147629.99</v>
      </c>
      <c r="S44" s="88">
        <f t="shared" ca="1" si="7"/>
        <v>74049.11</v>
      </c>
      <c r="T44" s="88">
        <f t="shared" ca="1" si="8"/>
        <v>58.95</v>
      </c>
      <c r="U44" s="89">
        <f t="shared" ca="1" si="1"/>
        <v>1</v>
      </c>
      <c r="V44" s="89"/>
      <c r="W44" s="89"/>
      <c r="X44" s="89"/>
      <c r="Y44" s="89"/>
      <c r="Z44" s="89"/>
      <c r="AA44" s="89"/>
      <c r="AB44" s="90">
        <f t="shared" ca="1" si="2"/>
        <v>45221</v>
      </c>
      <c r="AC44" s="90">
        <f t="shared" ca="1" si="9"/>
        <v>45230</v>
      </c>
      <c r="AD44" s="91">
        <f ca="1">IF($D$4="自选机构",[1]!S_EST_SCORERATING_INST($E$6,L44-1,$F$4),[1]!S_EST_SCORERATING_INST($E$6,L44-1,D44))</f>
        <v>1</v>
      </c>
      <c r="AE44" s="89" t="str">
        <f t="shared" ca="1" si="3"/>
        <v>评级不变</v>
      </c>
      <c r="AF44" s="89">
        <f t="shared" ca="1" si="10"/>
        <v>1</v>
      </c>
      <c r="AG44" s="92">
        <f t="shared" ca="1" si="4"/>
        <v>0</v>
      </c>
      <c r="AH44" s="39"/>
      <c r="AI44" s="59"/>
      <c r="AL44" s="58"/>
      <c r="AM44" s="58"/>
      <c r="AN44" s="58"/>
    </row>
    <row r="45" spans="2:40" s="57" customFormat="1" ht="16.5" x14ac:dyDescent="0.15">
      <c r="B45" s="59"/>
      <c r="C45" s="84">
        <f t="shared" ca="1" si="5"/>
        <v>45220</v>
      </c>
      <c r="D45" s="47">
        <v>31</v>
      </c>
      <c r="E45" s="41" t="str">
        <f t="shared" si="0"/>
        <v>渤海证券</v>
      </c>
      <c r="F45" s="42">
        <v>1</v>
      </c>
      <c r="G45" s="41">
        <f ca="1">IF($D$4="自选机构",[1]!S_EST_ESTANALYST($E$6,$E$8,C45,$F$4),IF(OR(D45=71,D45=74),"***",[1]!S_EST_ESTANALYST($E$6,$E$8,$E$9,D45)))</f>
        <v>0</v>
      </c>
      <c r="H45" s="43">
        <f ca="1">IF($D$4="自选机构",[1]!S_EST_ESTNEWTIME_INST($E$6,$E$8,C45,$F$4),[1]!S_EST_ESTNEWTIME_INST($E$6,$E$8,$E$9,D45))</f>
        <v>0</v>
      </c>
      <c r="I45" s="44">
        <f ca="1">IF($D$4="自选机构",[1]!S_EST_SALES_INST($E$6,$E$8,C45,$F$4)/currencyunit,[1]!S_EST_SALES_INST($E$6,$E$8,$E$9,D45)/currencyunit)</f>
        <v>0</v>
      </c>
      <c r="J45" s="44">
        <f ca="1">IF($D$4="自选机构",[1]!S_EST_NETPROFIT_INST($E$6,$E$8,C45,$F$4)/currencyunit,[1]!S_EST_NETPROFIT_INST($E$6,$E$8,$E$9,D45)/currencyunit)</f>
        <v>0</v>
      </c>
      <c r="K45" s="45">
        <f ca="1">IF($D$4="自选机构",[1]!S_EST_EPS_INST($E$6,$E$8,C45,$F$4),[1]!S_EST_EPS_INST($E$6,$E$8,$E$9,D45))</f>
        <v>0</v>
      </c>
      <c r="L45" s="43">
        <f ca="1">IF($D$4="自选机构",[1]!S_EST_NEWRATINGTIME_INST($E$6,AC45,$F$4),[1]!S_EST_NEWRATINGTIME_INST($E$6,$E$9,D45))</f>
        <v>0</v>
      </c>
      <c r="M45" s="41">
        <f ca="1">IF($D$4="自选机构",[1]!S_EST_RATINGANALYST($E$6,AC45,$F$4),IF(OR(D45=71,D45=74),"***",[1]!S_EST_RATINGANALYST($E$6,$E$9,D45)))</f>
        <v>0</v>
      </c>
      <c r="N45" s="41">
        <f ca="1">IF($D$4="自选机构",[1]!S_EST_ORGRATING_INST($E$6,AC45,$F$4),[1]!S_EST_ORGRATING_INST($E$6,$E$9,D45))</f>
        <v>0</v>
      </c>
      <c r="O45" s="46">
        <f ca="1">IF($D$4="自选机构",[1]!S_EST_SCORERATING_INST($E$6,AC45,$F$4),[1]!S_EST_SCORERATING_INST($E$6,$E$9,D45))</f>
        <v>0</v>
      </c>
      <c r="P45" s="41">
        <f ca="1">IF($D$4="自选机构",[1]!S_EST_STDRATING_INST($E$6,AC45,$F$4),[1]!S_EST_STDRATING_INST($E$6,$E$9,D45))</f>
        <v>0</v>
      </c>
      <c r="Q45" s="43" t="str">
        <f>IF($D$4="自选机构",[1]!S_EST_FRSTRATINGTIME_INST($E$6,$F$4),[1]!S_EST_FRSTRATINGTIME_INST($E$6,D45))</f>
        <v>2008-08-28</v>
      </c>
      <c r="R45" s="80">
        <f t="shared" ca="1" si="6"/>
        <v>0</v>
      </c>
      <c r="S45" s="80">
        <f t="shared" ca="1" si="7"/>
        <v>0</v>
      </c>
      <c r="T45" s="80">
        <f t="shared" ca="1" si="8"/>
        <v>0</v>
      </c>
      <c r="U45" s="82" t="str">
        <f t="shared" ca="1" si="1"/>
        <v/>
      </c>
      <c r="V45" s="82"/>
      <c r="W45" s="82"/>
      <c r="X45" s="82"/>
      <c r="Y45" s="82"/>
      <c r="Z45" s="82"/>
      <c r="AA45" s="82"/>
      <c r="AB45" s="85">
        <f t="shared" ca="1" si="2"/>
        <v>0</v>
      </c>
      <c r="AC45" s="85">
        <f t="shared" ca="1" si="9"/>
        <v>45220</v>
      </c>
      <c r="AD45" s="86">
        <f ca="1">IF($D$4="自选机构",[1]!S_EST_SCORERATING_INST($E$6,L45-1,$F$4),[1]!S_EST_SCORERATING_INST($E$6,L45-1,D45))</f>
        <v>0</v>
      </c>
      <c r="AE45" s="82" t="e">
        <f t="shared" ca="1" si="3"/>
        <v>#DIV/0!</v>
      </c>
      <c r="AF45" s="82" t="str">
        <f t="shared" ca="1" si="10"/>
        <v/>
      </c>
      <c r="AG45" s="87" t="str">
        <f t="shared" ca="1" si="4"/>
        <v/>
      </c>
      <c r="AH45" s="39"/>
      <c r="AI45" s="59"/>
      <c r="AL45" s="58"/>
      <c r="AM45" s="58"/>
      <c r="AN45" s="58"/>
    </row>
    <row r="46" spans="2:40" s="57" customFormat="1" ht="16.5" x14ac:dyDescent="0.15">
      <c r="B46" s="59"/>
      <c r="C46" s="84">
        <f t="shared" ca="1" si="5"/>
        <v>-1</v>
      </c>
      <c r="D46" s="48">
        <v>32</v>
      </c>
      <c r="E46" s="49" t="str">
        <f t="shared" si="0"/>
        <v>爱建证券</v>
      </c>
      <c r="F46" s="50">
        <v>1</v>
      </c>
      <c r="G46" s="49">
        <f ca="1">IF($D$4="自选机构",[1]!S_EST_ESTANALYST($E$6,$E$8,C46,$F$4),IF(OR(D46=71,D46=74),"***",[1]!S_EST_ESTANALYST($E$6,$E$8,$E$9,D46)))</f>
        <v>0</v>
      </c>
      <c r="H46" s="51">
        <f ca="1">IF($D$4="自选机构",[1]!S_EST_ESTNEWTIME_INST($E$6,$E$8,C46,$F$4),[1]!S_EST_ESTNEWTIME_INST($E$6,$E$8,$E$9,D46))</f>
        <v>0</v>
      </c>
      <c r="I46" s="52">
        <f ca="1">IF($D$4="自选机构",[1]!S_EST_SALES_INST($E$6,$E$8,C46,$F$4)/currencyunit,[1]!S_EST_SALES_INST($E$6,$E$8,$E$9,D46)/currencyunit)</f>
        <v>0</v>
      </c>
      <c r="J46" s="52">
        <f ca="1">IF($D$4="自选机构",[1]!S_EST_NETPROFIT_INST($E$6,$E$8,C46,$F$4)/currencyunit,[1]!S_EST_NETPROFIT_INST($E$6,$E$8,$E$9,D46)/currencyunit)</f>
        <v>0</v>
      </c>
      <c r="K46" s="53">
        <f ca="1">IF($D$4="自选机构",[1]!S_EST_EPS_INST($E$6,$E$8,C46,$F$4),[1]!S_EST_EPS_INST($E$6,$E$8,$E$9,D46))</f>
        <v>0</v>
      </c>
      <c r="L46" s="51">
        <f ca="1">IF($D$4="自选机构",[1]!S_EST_NEWRATINGTIME_INST($E$6,AC46,$F$4),[1]!S_EST_NEWRATINGTIME_INST($E$6,$E$9,D46))</f>
        <v>0</v>
      </c>
      <c r="M46" s="49">
        <f ca="1">IF($D$4="自选机构",[1]!S_EST_RATINGANALYST($E$6,AC46,$F$4),IF(OR(D46=71,D46=74),"***",[1]!S_EST_RATINGANALYST($E$6,$E$9,D46)))</f>
        <v>0</v>
      </c>
      <c r="N46" s="49">
        <f ca="1">IF($D$4="自选机构",[1]!S_EST_ORGRATING_INST($E$6,AC46,$F$4),[1]!S_EST_ORGRATING_INST($E$6,$E$9,D46))</f>
        <v>0</v>
      </c>
      <c r="O46" s="54">
        <f ca="1">IF($D$4="自选机构",[1]!S_EST_SCORERATING_INST($E$6,AC46,$F$4),[1]!S_EST_SCORERATING_INST($E$6,$E$9,D46))</f>
        <v>0</v>
      </c>
      <c r="P46" s="49">
        <f ca="1">IF($D$4="自选机构",[1]!S_EST_STDRATING_INST($E$6,AC46,$F$4),[1]!S_EST_STDRATING_INST($E$6,$E$9,D46))</f>
        <v>0</v>
      </c>
      <c r="Q46" s="51" t="str">
        <f>IF($D$4="自选机构",[1]!S_EST_FRSTRATINGTIME_INST($E$6,$F$4),[1]!S_EST_FRSTRATINGTIME_INST($E$6,D46))</f>
        <v>2008-10-30</v>
      </c>
      <c r="R46" s="88">
        <f t="shared" ca="1" si="6"/>
        <v>0</v>
      </c>
      <c r="S46" s="88">
        <f t="shared" ca="1" si="7"/>
        <v>0</v>
      </c>
      <c r="T46" s="88">
        <f t="shared" ca="1" si="8"/>
        <v>0</v>
      </c>
      <c r="U46" s="89" t="str">
        <f t="shared" ca="1" si="1"/>
        <v/>
      </c>
      <c r="V46" s="89"/>
      <c r="W46" s="89"/>
      <c r="X46" s="89"/>
      <c r="Y46" s="89"/>
      <c r="Z46" s="89"/>
      <c r="AA46" s="89"/>
      <c r="AB46" s="90">
        <f t="shared" ca="1" si="2"/>
        <v>0</v>
      </c>
      <c r="AC46" s="90">
        <f t="shared" ca="1" si="9"/>
        <v>-1</v>
      </c>
      <c r="AD46" s="91">
        <f ca="1">IF($D$4="自选机构",[1]!S_EST_SCORERATING_INST($E$6,L46-1,$F$4),[1]!S_EST_SCORERATING_INST($E$6,L46-1,D46))</f>
        <v>0</v>
      </c>
      <c r="AE46" s="89" t="e">
        <f ca="1">IF(AD46/O46&gt;1,"评级上调",IF(AD46/O46=1,"评级不变",IF(AD46/O46&gt;0,"评级下调","首次评级")))</f>
        <v>#DIV/0!</v>
      </c>
      <c r="AF46" s="89" t="str">
        <f t="shared" ca="1" si="10"/>
        <v/>
      </c>
      <c r="AG46" s="92" t="str">
        <f t="shared" ca="1" si="4"/>
        <v/>
      </c>
      <c r="AH46" s="39"/>
      <c r="AI46" s="59"/>
      <c r="AL46" s="58"/>
      <c r="AM46" s="58"/>
      <c r="AN46" s="58"/>
    </row>
    <row r="47" spans="2:40" ht="16.5" x14ac:dyDescent="0.15">
      <c r="B47" s="59"/>
      <c r="C47" s="84">
        <f t="shared" ca="1" si="5"/>
        <v>-1</v>
      </c>
      <c r="D47" s="47">
        <v>33</v>
      </c>
      <c r="E47" s="41" t="str">
        <f t="shared" si="0"/>
        <v>安信证券</v>
      </c>
      <c r="F47" s="42">
        <v>5</v>
      </c>
      <c r="G47" s="41" t="str">
        <f ca="1">IF($D$4="自选机构",[1]!S_EST_ESTANALYST($E$6,$E$8,C47,$F$4),IF(OR(D47=71,D47=74),"***",[1]!S_EST_ESTANALYST($E$6,$E$8,$E$9,D47)))</f>
        <v>赵国防</v>
      </c>
      <c r="H47" s="43" t="str">
        <f ca="1">IF($D$4="自选机构",[1]!S_EST_ESTNEWTIME_INST($E$6,$E$8,C47,$F$4),[1]!S_EST_ESTNEWTIME_INST($E$6,$E$8,$E$9,D47))</f>
        <v>2023-10-22</v>
      </c>
      <c r="I47" s="44">
        <f ca="1">IF($D$4="自选机构",[1]!S_EST_SALES_INST($E$6,$E$8,C47,$F$4)/currencyunit,[1]!S_EST_SALES_INST($E$6,$E$8,$E$9,D47)/currencyunit)</f>
        <v>148329.9</v>
      </c>
      <c r="J47" s="44">
        <f ca="1">IF($D$4="自选机构",[1]!S_EST_NETPROFIT_INST($E$6,$E$8,C47,$F$4)/currencyunit,[1]!S_EST_NETPROFIT_INST($E$6,$E$8,$E$9,D47)/currencyunit)</f>
        <v>73852.3</v>
      </c>
      <c r="K47" s="45">
        <f ca="1">IF($D$4="自选机构",[1]!S_EST_EPS_INST($E$6,$E$8,C47,$F$4),[1]!S_EST_EPS_INST($E$6,$E$8,$E$9,D47))</f>
        <v>58.79</v>
      </c>
      <c r="L47" s="43" t="str">
        <f ca="1">IF($D$4="自选机构",[1]!S_EST_NEWRATINGTIME_INST($E$6,AC47,$F$4),[1]!S_EST_NEWRATINGTIME_INST($E$6,$E$9,D47))</f>
        <v>2023-10-22</v>
      </c>
      <c r="M47" s="41" t="str">
        <f ca="1">IF($D$4="自选机构",[1]!S_EST_RATINGANALYST($E$6,AC47,$F$4),IF(OR(D47=71,D47=74),"***",[1]!S_EST_RATINGANALYST($E$6,$E$9,D47)))</f>
        <v>赵国防</v>
      </c>
      <c r="N47" s="41" t="str">
        <f ca="1">IF($D$4="自选机构",[1]!S_EST_ORGRATING_INST($E$6,AC47,$F$4),[1]!S_EST_ORGRATING_INST($E$6,$E$9,D47))</f>
        <v>安信证券_买入_1</v>
      </c>
      <c r="O47" s="46">
        <f ca="1">IF($D$4="自选机构",[1]!S_EST_SCORERATING_INST($E$6,AC47,$F$4),[1]!S_EST_SCORERATING_INST($E$6,$E$9,D47))</f>
        <v>1</v>
      </c>
      <c r="P47" s="41" t="str">
        <f ca="1">IF($D$4="自选机构",[1]!S_EST_STDRATING_INST($E$6,AC47,$F$4),[1]!S_EST_STDRATING_INST($E$6,$E$9,D47))</f>
        <v>买入</v>
      </c>
      <c r="Q47" s="43" t="str">
        <f>IF($D$4="自选机构",[1]!S_EST_FRSTRATINGTIME_INST($E$6,$F$4),[1]!S_EST_FRSTRATINGTIME_INST($E$6,D47))</f>
        <v>2008-05-19</v>
      </c>
      <c r="R47" s="80">
        <f t="shared" ca="1" si="6"/>
        <v>741649.5</v>
      </c>
      <c r="S47" s="80">
        <f t="shared" ca="1" si="7"/>
        <v>369261.5</v>
      </c>
      <c r="T47" s="80">
        <f t="shared" ca="1" si="8"/>
        <v>293.95</v>
      </c>
      <c r="U47" s="82">
        <f t="shared" ca="1" si="1"/>
        <v>1</v>
      </c>
      <c r="V47" s="82"/>
      <c r="W47" s="82"/>
      <c r="X47" s="82"/>
      <c r="Y47" s="82"/>
      <c r="Z47" s="82"/>
      <c r="AA47" s="82"/>
      <c r="AB47" s="85">
        <f t="shared" ca="1" si="2"/>
        <v>45221</v>
      </c>
      <c r="AC47" s="85">
        <f t="shared" ca="1" si="9"/>
        <v>-1</v>
      </c>
      <c r="AD47" s="86">
        <f ca="1">IF($D$4="自选机构",[1]!S_EST_SCORERATING_INST($E$6,L47-1,$F$4),[1]!S_EST_SCORERATING_INST($E$6,L47-1,D47))</f>
        <v>1</v>
      </c>
      <c r="AE47" s="82" t="str">
        <f t="shared" ca="1" si="3"/>
        <v>评级不变</v>
      </c>
      <c r="AF47" s="82">
        <f t="shared" ca="1" si="10"/>
        <v>1</v>
      </c>
      <c r="AG47" s="87">
        <f t="shared" ca="1" si="4"/>
        <v>0</v>
      </c>
      <c r="AH47" s="39"/>
      <c r="AI47" s="59"/>
      <c r="AK47" s="57"/>
    </row>
    <row r="48" spans="2:40" ht="16.5" x14ac:dyDescent="0.15">
      <c r="B48" s="59"/>
      <c r="C48" s="84">
        <f t="shared" ca="1" si="5"/>
        <v>45220</v>
      </c>
      <c r="D48" s="48">
        <v>34</v>
      </c>
      <c r="E48" s="49" t="str">
        <f t="shared" si="0"/>
        <v>财富证券</v>
      </c>
      <c r="F48" s="50">
        <v>1</v>
      </c>
      <c r="G48" s="49" t="str">
        <f ca="1">IF($D$4="自选机构",[1]!S_EST_ESTANALYST($E$6,$E$8,C48,$F$4),IF(OR(D48=71,D48=74),"***",[1]!S_EST_ESTANALYST($E$6,$E$8,$E$9,D48)))</f>
        <v>邹建军</v>
      </c>
      <c r="H48" s="51" t="str">
        <f ca="1">IF($D$4="自选机构",[1]!S_EST_ESTNEWTIME_INST($E$6,$E$8,C48,$F$4),[1]!S_EST_ESTNEWTIME_INST($E$6,$E$8,$E$9,D48))</f>
        <v>2022-04-01</v>
      </c>
      <c r="I48" s="52">
        <f ca="1">IF($D$4="自选机构",[1]!S_EST_SALES_INST($E$6,$E$8,C48,$F$4)/currencyunit,[1]!S_EST_SALES_INST($E$6,$E$8,$E$9,D48)/currencyunit)</f>
        <v>143800</v>
      </c>
      <c r="J48" s="52">
        <f ca="1">IF($D$4="自选机构",[1]!S_EST_NETPROFIT_INST($E$6,$E$8,C48,$F$4)/currencyunit,[1]!S_EST_NETPROFIT_INST($E$6,$E$8,$E$9,D48)/currencyunit)</f>
        <v>70110</v>
      </c>
      <c r="K48" s="53">
        <f ca="1">IF($D$4="自选机构",[1]!S_EST_EPS_INST($E$6,$E$8,C48,$F$4),[1]!S_EST_EPS_INST($E$6,$E$8,$E$9,D48))</f>
        <v>55.81</v>
      </c>
      <c r="L48" s="51">
        <f ca="1">IF($D$4="自选机构",[1]!S_EST_NEWRATINGTIME_INST($E$6,AC48,$F$4),[1]!S_EST_NEWRATINGTIME_INST($E$6,$E$9,D48))</f>
        <v>0</v>
      </c>
      <c r="M48" s="49">
        <f ca="1">IF($D$4="自选机构",[1]!S_EST_RATINGANALYST($E$6,AC48,$F$4),IF(OR(D48=71,D48=74),"***",[1]!S_EST_RATINGANALYST($E$6,$E$9,D48)))</f>
        <v>0</v>
      </c>
      <c r="N48" s="49">
        <f ca="1">IF($D$4="自选机构",[1]!S_EST_ORGRATING_INST($E$6,AC48,$F$4),[1]!S_EST_ORGRATING_INST($E$6,$E$9,D48))</f>
        <v>0</v>
      </c>
      <c r="O48" s="54">
        <f ca="1">IF($D$4="自选机构",[1]!S_EST_SCORERATING_INST($E$6,AC48,$F$4),[1]!S_EST_SCORERATING_INST($E$6,$E$9,D48))</f>
        <v>0</v>
      </c>
      <c r="P48" s="49">
        <f ca="1">IF($D$4="自选机构",[1]!S_EST_STDRATING_INST($E$6,AC48,$F$4),[1]!S_EST_STDRATING_INST($E$6,$E$9,D48))</f>
        <v>0</v>
      </c>
      <c r="Q48" s="51" t="str">
        <f>IF($D$4="自选机构",[1]!S_EST_FRSTRATINGTIME_INST($E$6,$F$4),[1]!S_EST_FRSTRATINGTIME_INST($E$6,D48))</f>
        <v>2015-04-24</v>
      </c>
      <c r="R48" s="88">
        <f t="shared" ca="1" si="6"/>
        <v>0</v>
      </c>
      <c r="S48" s="88">
        <f t="shared" ca="1" si="7"/>
        <v>0</v>
      </c>
      <c r="T48" s="88">
        <f t="shared" ca="1" si="8"/>
        <v>0</v>
      </c>
      <c r="U48" s="89" t="str">
        <f t="shared" ca="1" si="1"/>
        <v/>
      </c>
      <c r="V48" s="89"/>
      <c r="W48" s="89"/>
      <c r="X48" s="89"/>
      <c r="Y48" s="89"/>
      <c r="Z48" s="89"/>
      <c r="AA48" s="89"/>
      <c r="AB48" s="90">
        <f t="shared" ca="1" si="2"/>
        <v>44652</v>
      </c>
      <c r="AC48" s="90">
        <f t="shared" ca="1" si="9"/>
        <v>45220</v>
      </c>
      <c r="AD48" s="91">
        <f ca="1">IF($D$4="自选机构",[1]!S_EST_SCORERATING_INST($E$6,L48-1,$F$4),[1]!S_EST_SCORERATING_INST($E$6,L48-1,D48))</f>
        <v>0</v>
      </c>
      <c r="AE48" s="89" t="e">
        <f t="shared" ca="1" si="3"/>
        <v>#DIV/0!</v>
      </c>
      <c r="AF48" s="89" t="str">
        <f t="shared" ca="1" si="10"/>
        <v/>
      </c>
      <c r="AG48" s="92" t="str">
        <f t="shared" ca="1" si="4"/>
        <v/>
      </c>
      <c r="AH48" s="39"/>
      <c r="AI48" s="59"/>
      <c r="AK48" s="57"/>
    </row>
    <row r="49" spans="2:40" s="57" customFormat="1" ht="16.5" x14ac:dyDescent="0.15">
      <c r="B49" s="59"/>
      <c r="C49" s="84">
        <f t="shared" ca="1" si="5"/>
        <v>44651</v>
      </c>
      <c r="D49" s="47">
        <v>35</v>
      </c>
      <c r="E49" s="41" t="str">
        <f t="shared" ref="E49:E80" si="11">IF($D$4="自选机构",$E$4,VLOOKUP(D49,instlist,2,FALSE))</f>
        <v>大通证券</v>
      </c>
      <c r="F49" s="42">
        <v>1</v>
      </c>
      <c r="G49" s="41">
        <f ca="1">IF($D$4="自选机构",[1]!S_EST_ESTANALYST($E$6,$E$8,C49,$F$4),IF(OR(D49=71,D49=74),"***",[1]!S_EST_ESTANALYST($E$6,$E$8,$E$9,D49)))</f>
        <v>0</v>
      </c>
      <c r="H49" s="43">
        <f ca="1">IF($D$4="自选机构",[1]!S_EST_ESTNEWTIME_INST($E$6,$E$8,C49,$F$4),[1]!S_EST_ESTNEWTIME_INST($E$6,$E$8,$E$9,D49))</f>
        <v>0</v>
      </c>
      <c r="I49" s="44">
        <f ca="1">IF($D$4="自选机构",[1]!S_EST_SALES_INST($E$6,$E$8,C49,$F$4)/currencyunit,[1]!S_EST_SALES_INST($E$6,$E$8,$E$9,D49)/currencyunit)</f>
        <v>0</v>
      </c>
      <c r="J49" s="44">
        <f ca="1">IF($D$4="自选机构",[1]!S_EST_NETPROFIT_INST($E$6,$E$8,C49,$F$4)/currencyunit,[1]!S_EST_NETPROFIT_INST($E$6,$E$8,$E$9,D49)/currencyunit)</f>
        <v>0</v>
      </c>
      <c r="K49" s="45">
        <f ca="1">IF($D$4="自选机构",[1]!S_EST_EPS_INST($E$6,$E$8,C49,$F$4),[1]!S_EST_EPS_INST($E$6,$E$8,$E$9,D49))</f>
        <v>0</v>
      </c>
      <c r="L49" s="43">
        <f ca="1">IF($D$4="自选机构",[1]!S_EST_NEWRATINGTIME_INST($E$6,AC49,$F$4),[1]!S_EST_NEWRATINGTIME_INST($E$6,$E$9,D49))</f>
        <v>0</v>
      </c>
      <c r="M49" s="41">
        <f ca="1">IF($D$4="自选机构",[1]!S_EST_RATINGANALYST($E$6,AC49,$F$4),IF(OR(D49=71,D49=74),"***",[1]!S_EST_RATINGANALYST($E$6,$E$9,D49)))</f>
        <v>0</v>
      </c>
      <c r="N49" s="41">
        <f ca="1">IF($D$4="自选机构",[1]!S_EST_ORGRATING_INST($E$6,AC49,$F$4),[1]!S_EST_ORGRATING_INST($E$6,$E$9,D49))</f>
        <v>0</v>
      </c>
      <c r="O49" s="46">
        <f ca="1">IF($D$4="自选机构",[1]!S_EST_SCORERATING_INST($E$6,AC49,$F$4),[1]!S_EST_SCORERATING_INST($E$6,$E$9,D49))</f>
        <v>0</v>
      </c>
      <c r="P49" s="41">
        <f ca="1">IF($D$4="自选机构",[1]!S_EST_STDRATING_INST($E$6,AC49,$F$4),[1]!S_EST_STDRATING_INST($E$6,$E$9,D49))</f>
        <v>0</v>
      </c>
      <c r="Q49" s="43">
        <f>IF($D$4="自选机构",[1]!S_EST_FRSTRATINGTIME_INST($E$6,$F$4),[1]!S_EST_FRSTRATINGTIME_INST($E$6,D49))</f>
        <v>0</v>
      </c>
      <c r="R49" s="80">
        <f t="shared" ca="1" si="6"/>
        <v>0</v>
      </c>
      <c r="S49" s="80">
        <f t="shared" ca="1" si="7"/>
        <v>0</v>
      </c>
      <c r="T49" s="80">
        <f t="shared" ca="1" si="8"/>
        <v>0</v>
      </c>
      <c r="U49" s="82" t="str">
        <f t="shared" ca="1" si="1"/>
        <v/>
      </c>
      <c r="V49" s="93"/>
      <c r="W49" s="93"/>
      <c r="X49" s="93"/>
      <c r="Y49" s="93"/>
      <c r="Z49" s="93"/>
      <c r="AA49" s="94"/>
      <c r="AB49" s="85">
        <f t="shared" ca="1" si="2"/>
        <v>0</v>
      </c>
      <c r="AC49" s="85">
        <f t="shared" ca="1" si="9"/>
        <v>-1</v>
      </c>
      <c r="AD49" s="86">
        <f ca="1">IF($D$4="自选机构",[1]!S_EST_SCORERATING_INST($E$6,L49-1,$F$4),[1]!S_EST_SCORERATING_INST($E$6,L49-1,D49))</f>
        <v>0</v>
      </c>
      <c r="AE49" s="82" t="e">
        <f t="shared" ca="1" si="3"/>
        <v>#DIV/0!</v>
      </c>
      <c r="AF49" s="82" t="str">
        <f t="shared" ca="1" si="10"/>
        <v/>
      </c>
      <c r="AG49" s="87" t="str">
        <f t="shared" ca="1" si="4"/>
        <v/>
      </c>
      <c r="AH49" s="39"/>
      <c r="AI49" s="59"/>
      <c r="AL49" s="58"/>
      <c r="AM49" s="58"/>
      <c r="AN49" s="58"/>
    </row>
    <row r="50" spans="2:40" s="57" customFormat="1" ht="16.5" x14ac:dyDescent="0.15">
      <c r="B50" s="59"/>
      <c r="C50" s="84">
        <f t="shared" ca="1" si="5"/>
        <v>-1</v>
      </c>
      <c r="D50" s="48">
        <v>36</v>
      </c>
      <c r="E50" s="49" t="str">
        <f t="shared" si="11"/>
        <v>大同证券</v>
      </c>
      <c r="F50" s="50">
        <v>1</v>
      </c>
      <c r="G50" s="49" t="str">
        <f ca="1">IF($D$4="自选机构",[1]!S_EST_ESTANALYST($E$6,$E$8,C50,$F$4),IF(OR(D50=71,D50=74),"***",[1]!S_EST_ESTANALYST($E$6,$E$8,$E$9,D50)))</f>
        <v>徐婧</v>
      </c>
      <c r="H50" s="51" t="str">
        <f ca="1">IF($D$4="自选机构",[1]!S_EST_ESTNEWTIME_INST($E$6,$E$8,C50,$F$4),[1]!S_EST_ESTNEWTIME_INST($E$6,$E$8,$E$9,D50))</f>
        <v>2022-08-04</v>
      </c>
      <c r="I50" s="52">
        <f ca="1">IF($D$4="自选机构",[1]!S_EST_SALES_INST($E$6,$E$8,C50,$F$4)/currencyunit,[1]!S_EST_SALES_INST($E$6,$E$8,$E$9,D50)/currencyunit)</f>
        <v>148094.6</v>
      </c>
      <c r="J50" s="52">
        <f ca="1">IF($D$4="自选机构",[1]!S_EST_NETPROFIT_INST($E$6,$E$8,C50,$F$4)/currencyunit,[1]!S_EST_NETPROFIT_INST($E$6,$E$8,$E$9,D50)/currencyunit)</f>
        <v>71063.289999999994</v>
      </c>
      <c r="K50" s="53">
        <f ca="1">IF($D$4="自选机构",[1]!S_EST_EPS_INST($E$6,$E$8,C50,$F$4),[1]!S_EST_EPS_INST($E$6,$E$8,$E$9,D50))</f>
        <v>56.57</v>
      </c>
      <c r="L50" s="51">
        <f ca="1">IF($D$4="自选机构",[1]!S_EST_NEWRATINGTIME_INST($E$6,AC50,$F$4),[1]!S_EST_NEWRATINGTIME_INST($E$6,$E$9,D50))</f>
        <v>0</v>
      </c>
      <c r="M50" s="49">
        <f ca="1">IF($D$4="自选机构",[1]!S_EST_RATINGANALYST($E$6,AC50,$F$4),IF(OR(D50=71,D50=74),"***",[1]!S_EST_RATINGANALYST($E$6,$E$9,D50)))</f>
        <v>0</v>
      </c>
      <c r="N50" s="49">
        <f ca="1">IF($D$4="自选机构",[1]!S_EST_ORGRATING_INST($E$6,AC50,$F$4),[1]!S_EST_ORGRATING_INST($E$6,$E$9,D50))</f>
        <v>0</v>
      </c>
      <c r="O50" s="54">
        <f ca="1">IF($D$4="自选机构",[1]!S_EST_SCORERATING_INST($E$6,AC50,$F$4),[1]!S_EST_SCORERATING_INST($E$6,$E$9,D50))</f>
        <v>0</v>
      </c>
      <c r="P50" s="49">
        <f ca="1">IF($D$4="自选机构",[1]!S_EST_STDRATING_INST($E$6,AC50,$F$4),[1]!S_EST_STDRATING_INST($E$6,$E$9,D50))</f>
        <v>0</v>
      </c>
      <c r="Q50" s="51" t="str">
        <f>IF($D$4="自选机构",[1]!S_EST_FRSTRATINGTIME_INST($E$6,$F$4),[1]!S_EST_FRSTRATINGTIME_INST($E$6,D50))</f>
        <v>2022-08-04</v>
      </c>
      <c r="R50" s="88">
        <f t="shared" ca="1" si="6"/>
        <v>0</v>
      </c>
      <c r="S50" s="88">
        <f t="shared" ca="1" si="7"/>
        <v>0</v>
      </c>
      <c r="T50" s="88">
        <f t="shared" ca="1" si="8"/>
        <v>0</v>
      </c>
      <c r="U50" s="89" t="str">
        <f t="shared" ca="1" si="1"/>
        <v/>
      </c>
      <c r="V50" s="89"/>
      <c r="W50" s="89"/>
      <c r="X50" s="89"/>
      <c r="Y50" s="89"/>
      <c r="Z50" s="89"/>
      <c r="AA50" s="89"/>
      <c r="AB50" s="90">
        <f t="shared" ca="1" si="2"/>
        <v>44777</v>
      </c>
      <c r="AC50" s="90">
        <f t="shared" ca="1" si="9"/>
        <v>-1</v>
      </c>
      <c r="AD50" s="91">
        <f ca="1">IF($D$4="自选机构",[1]!S_EST_SCORERATING_INST($E$6,L50-1,$F$4),[1]!S_EST_SCORERATING_INST($E$6,L50-1,D50))</f>
        <v>0</v>
      </c>
      <c r="AE50" s="89" t="e">
        <f t="shared" ca="1" si="3"/>
        <v>#DIV/0!</v>
      </c>
      <c r="AF50" s="89" t="str">
        <f t="shared" ca="1" si="10"/>
        <v/>
      </c>
      <c r="AG50" s="92" t="str">
        <f t="shared" ca="1" si="4"/>
        <v/>
      </c>
      <c r="AH50" s="39"/>
      <c r="AI50" s="59"/>
      <c r="AL50" s="58"/>
      <c r="AM50" s="58"/>
      <c r="AN50" s="58"/>
    </row>
    <row r="51" spans="2:40" s="57" customFormat="1" ht="16.5" x14ac:dyDescent="0.15">
      <c r="B51" s="59"/>
      <c r="C51" s="84">
        <f t="shared" ca="1" si="5"/>
        <v>44776</v>
      </c>
      <c r="D51" s="47">
        <v>37</v>
      </c>
      <c r="E51" s="41" t="str">
        <f t="shared" si="11"/>
        <v>德邦证券</v>
      </c>
      <c r="F51" s="42">
        <v>1</v>
      </c>
      <c r="G51" s="41" t="str">
        <f ca="1">IF($D$4="自选机构",[1]!S_EST_ESTANALYST($E$6,$E$8,C51,$F$4),IF(OR(D51=71,D51=74),"***",[1]!S_EST_ESTANALYST($E$6,$E$8,$E$9,D51)))</f>
        <v>熊鹏</v>
      </c>
      <c r="H51" s="43" t="str">
        <f ca="1">IF($D$4="自选机构",[1]!S_EST_ESTNEWTIME_INST($E$6,$E$8,C51,$F$4),[1]!S_EST_ESTNEWTIME_INST($E$6,$E$8,$E$9,D51))</f>
        <v>2023-11-02</v>
      </c>
      <c r="I51" s="44">
        <f ca="1">IF($D$4="自选机构",[1]!S_EST_SALES_INST($E$6,$E$8,C51,$F$4)/currencyunit,[1]!S_EST_SALES_INST($E$6,$E$8,$E$9,D51)/currencyunit)</f>
        <v>150358</v>
      </c>
      <c r="J51" s="44">
        <f ca="1">IF($D$4="自选机构",[1]!S_EST_NETPROFIT_INST($E$6,$E$8,C51,$F$4)/currencyunit,[1]!S_EST_NETPROFIT_INST($E$6,$E$8,$E$9,D51)/currencyunit)</f>
        <v>74416</v>
      </c>
      <c r="K51" s="45">
        <f ca="1">IF($D$4="自选机构",[1]!S_EST_EPS_INST($E$6,$E$8,C51,$F$4),[1]!S_EST_EPS_INST($E$6,$E$8,$E$9,D51))</f>
        <v>59.24</v>
      </c>
      <c r="L51" s="43" t="str">
        <f ca="1">IF($D$4="自选机构",[1]!S_EST_NEWRATINGTIME_INST($E$6,AC51,$F$4),[1]!S_EST_NEWRATINGTIME_INST($E$6,$E$9,D51))</f>
        <v>2023-11-02</v>
      </c>
      <c r="M51" s="41" t="str">
        <f ca="1">IF($D$4="自选机构",[1]!S_EST_RATINGANALYST($E$6,AC51,$F$4),IF(OR(D51=71,D51=74),"***",[1]!S_EST_RATINGANALYST($E$6,$E$9,D51)))</f>
        <v>熊鹏</v>
      </c>
      <c r="N51" s="41" t="str">
        <f ca="1">IF($D$4="自选机构",[1]!S_EST_ORGRATING_INST($E$6,AC51,$F$4),[1]!S_EST_ORGRATING_INST($E$6,$E$9,D51))</f>
        <v>德邦证券_买入_1</v>
      </c>
      <c r="O51" s="46">
        <f ca="1">IF($D$4="自选机构",[1]!S_EST_SCORERATING_INST($E$6,AC51,$F$4),[1]!S_EST_SCORERATING_INST($E$6,$E$9,D51))</f>
        <v>1</v>
      </c>
      <c r="P51" s="41" t="str">
        <f ca="1">IF($D$4="自选机构",[1]!S_EST_STDRATING_INST($E$6,AC51,$F$4),[1]!S_EST_STDRATING_INST($E$6,$E$9,D51))</f>
        <v>买入</v>
      </c>
      <c r="Q51" s="43" t="str">
        <f>IF($D$4="自选机构",[1]!S_EST_FRSTRATINGTIME_INST($E$6,$F$4),[1]!S_EST_FRSTRATINGTIME_INST($E$6,D51))</f>
        <v>2011-07-15</v>
      </c>
      <c r="R51" s="80">
        <f t="shared" ca="1" si="6"/>
        <v>150358</v>
      </c>
      <c r="S51" s="80">
        <f t="shared" ca="1" si="7"/>
        <v>74416</v>
      </c>
      <c r="T51" s="80">
        <f t="shared" ca="1" si="8"/>
        <v>59.24</v>
      </c>
      <c r="U51" s="82">
        <f t="shared" ca="1" si="1"/>
        <v>1</v>
      </c>
      <c r="V51" s="82"/>
      <c r="W51" s="82"/>
      <c r="X51" s="82"/>
      <c r="Y51" s="82"/>
      <c r="Z51" s="82"/>
      <c r="AA51" s="82"/>
      <c r="AB51" s="85">
        <f t="shared" ca="1" si="2"/>
        <v>45232</v>
      </c>
      <c r="AC51" s="85">
        <f t="shared" ca="1" si="9"/>
        <v>-1</v>
      </c>
      <c r="AD51" s="86">
        <f ca="1">IF($D$4="自选机构",[1]!S_EST_SCORERATING_INST($E$6,L51-1,$F$4),[1]!S_EST_SCORERATING_INST($E$6,L51-1,D51))</f>
        <v>1</v>
      </c>
      <c r="AE51" s="82" t="str">
        <f t="shared" ca="1" si="3"/>
        <v>评级不变</v>
      </c>
      <c r="AF51" s="82">
        <f t="shared" ca="1" si="10"/>
        <v>1</v>
      </c>
      <c r="AG51" s="87">
        <f t="shared" ca="1" si="4"/>
        <v>0</v>
      </c>
      <c r="AH51" s="39"/>
      <c r="AI51" s="59"/>
      <c r="AL51" s="58"/>
      <c r="AM51" s="58"/>
      <c r="AN51" s="58"/>
    </row>
    <row r="52" spans="2:40" s="57" customFormat="1" ht="16.5" x14ac:dyDescent="0.15">
      <c r="B52" s="59"/>
      <c r="C52" s="84">
        <f t="shared" ca="1" si="5"/>
        <v>45231</v>
      </c>
      <c r="D52" s="48">
        <v>38</v>
      </c>
      <c r="E52" s="49" t="str">
        <f t="shared" si="11"/>
        <v>东北证券</v>
      </c>
      <c r="F52" s="50">
        <v>1</v>
      </c>
      <c r="G52" s="49" t="str">
        <f ca="1">IF($D$4="自选机构",[1]!S_EST_ESTANALYST($E$6,$E$8,C52,$F$4),IF(OR(D52=71,D52=74),"***",[1]!S_EST_ESTANALYST($E$6,$E$8,$E$9,D52)))</f>
        <v>李强</v>
      </c>
      <c r="H52" s="51" t="str">
        <f ca="1">IF($D$4="自选机构",[1]!S_EST_ESTNEWTIME_INST($E$6,$E$8,C52,$F$4),[1]!S_EST_ESTNEWTIME_INST($E$6,$E$8,$E$9,D52))</f>
        <v>2023-11-01</v>
      </c>
      <c r="I52" s="52">
        <f ca="1">IF($D$4="自选机构",[1]!S_EST_SALES_INST($E$6,$E$8,C52,$F$4)/currencyunit,[1]!S_EST_SALES_INST($E$6,$E$8,$E$9,D52)/currencyunit)</f>
        <v>148173</v>
      </c>
      <c r="J52" s="52">
        <f ca="1">IF($D$4="自选机构",[1]!S_EST_NETPROFIT_INST($E$6,$E$8,C52,$F$4)/currencyunit,[1]!S_EST_NETPROFIT_INST($E$6,$E$8,$E$9,D52)/currencyunit)</f>
        <v>74392</v>
      </c>
      <c r="K52" s="53">
        <f ca="1">IF($D$4="自选机构",[1]!S_EST_EPS_INST($E$6,$E$8,C52,$F$4),[1]!S_EST_EPS_INST($E$6,$E$8,$E$9,D52))</f>
        <v>59.22</v>
      </c>
      <c r="L52" s="51" t="str">
        <f ca="1">IF($D$4="自选机构",[1]!S_EST_NEWRATINGTIME_INST($E$6,AC52,$F$4),[1]!S_EST_NEWRATINGTIME_INST($E$6,$E$9,D52))</f>
        <v>2023-11-01</v>
      </c>
      <c r="M52" s="49" t="str">
        <f ca="1">IF($D$4="自选机构",[1]!S_EST_RATINGANALYST($E$6,AC52,$F$4),IF(OR(D52=71,D52=74),"***",[1]!S_EST_RATINGANALYST($E$6,$E$9,D52)))</f>
        <v>李强</v>
      </c>
      <c r="N52" s="49" t="str">
        <f ca="1">IF($D$4="自选机构",[1]!S_EST_ORGRATING_INST($E$6,AC52,$F$4),[1]!S_EST_ORGRATING_INST($E$6,$E$9,D52))</f>
        <v>东北证券_买入_1</v>
      </c>
      <c r="O52" s="54">
        <f ca="1">IF($D$4="自选机构",[1]!S_EST_SCORERATING_INST($E$6,AC52,$F$4),[1]!S_EST_SCORERATING_INST($E$6,$E$9,D52))</f>
        <v>1</v>
      </c>
      <c r="P52" s="49" t="str">
        <f ca="1">IF($D$4="自选机构",[1]!S_EST_STDRATING_INST($E$6,AC52,$F$4),[1]!S_EST_STDRATING_INST($E$6,$E$9,D52))</f>
        <v>买入</v>
      </c>
      <c r="Q52" s="51">
        <f>IF($D$4="自选机构",[1]!S_EST_FRSTRATINGTIME_INST($E$6,$F$4),[1]!S_EST_FRSTRATINGTIME_INST($E$6,D52))</f>
        <v>0</v>
      </c>
      <c r="R52" s="88">
        <f t="shared" ca="1" si="6"/>
        <v>148173</v>
      </c>
      <c r="S52" s="88">
        <f t="shared" ca="1" si="7"/>
        <v>74392</v>
      </c>
      <c r="T52" s="88">
        <f t="shared" ca="1" si="8"/>
        <v>59.22</v>
      </c>
      <c r="U52" s="89">
        <f t="shared" ca="1" si="1"/>
        <v>1</v>
      </c>
      <c r="V52" s="89"/>
      <c r="W52" s="89"/>
      <c r="X52" s="89"/>
      <c r="Y52" s="89"/>
      <c r="Z52" s="89"/>
      <c r="AA52" s="89"/>
      <c r="AB52" s="90">
        <f t="shared" ca="1" si="2"/>
        <v>45231</v>
      </c>
      <c r="AC52" s="90">
        <f t="shared" ca="1" si="9"/>
        <v>45231</v>
      </c>
      <c r="AD52" s="91">
        <f ca="1">IF($D$4="自选机构",[1]!S_EST_SCORERATING_INST($E$6,L52-1,$F$4),[1]!S_EST_SCORERATING_INST($E$6,L52-1,D52))</f>
        <v>1</v>
      </c>
      <c r="AE52" s="89" t="str">
        <f t="shared" ca="1" si="3"/>
        <v>评级不变</v>
      </c>
      <c r="AF52" s="89">
        <f t="shared" ca="1" si="10"/>
        <v>1</v>
      </c>
      <c r="AG52" s="92">
        <f t="shared" ca="1" si="4"/>
        <v>0</v>
      </c>
      <c r="AH52" s="39"/>
      <c r="AI52" s="59"/>
      <c r="AL52" s="58"/>
      <c r="AM52" s="58"/>
      <c r="AN52" s="58"/>
    </row>
    <row r="53" spans="2:40" ht="16.5" x14ac:dyDescent="0.15">
      <c r="B53" s="59"/>
      <c r="C53" s="84">
        <f t="shared" ca="1" si="5"/>
        <v>45230</v>
      </c>
      <c r="D53" s="47">
        <v>39</v>
      </c>
      <c r="E53" s="41" t="str">
        <f t="shared" si="11"/>
        <v>东莞证券</v>
      </c>
      <c r="F53" s="42">
        <v>1</v>
      </c>
      <c r="G53" s="41" t="str">
        <f ca="1">IF($D$4="自选机构",[1]!S_EST_ESTANALYST($E$6,$E$8,C53,$F$4),IF(OR(D53=71,D53=74),"***",[1]!S_EST_ESTANALYST($E$6,$E$8,$E$9,D53)))</f>
        <v>魏红梅</v>
      </c>
      <c r="H53" s="43" t="str">
        <f ca="1">IF($D$4="自选机构",[1]!S_EST_ESTNEWTIME_INST($E$6,$E$8,C53,$F$4),[1]!S_EST_ESTNEWTIME_INST($E$6,$E$8,$E$9,D53))</f>
        <v>2023-11-01</v>
      </c>
      <c r="I53" s="44">
        <f ca="1">IF($D$4="自选机构",[1]!S_EST_SALES_INST($E$6,$E$8,C53,$F$4)/currencyunit,[1]!S_EST_SALES_INST($E$6,$E$8,$E$9,D53)/currencyunit)</f>
        <v>149162</v>
      </c>
      <c r="J53" s="44">
        <f ca="1">IF($D$4="自选机构",[1]!S_EST_NETPROFIT_INST($E$6,$E$8,C53,$F$4)/currencyunit,[1]!S_EST_NETPROFIT_INST($E$6,$E$8,$E$9,D53)/currencyunit)</f>
        <v>74421</v>
      </c>
      <c r="K53" s="45">
        <f ca="1">IF($D$4="自选机构",[1]!S_EST_EPS_INST($E$6,$E$8,C53,$F$4),[1]!S_EST_EPS_INST($E$6,$E$8,$E$9,D53))</f>
        <v>59.24</v>
      </c>
      <c r="L53" s="43" t="str">
        <f ca="1">IF($D$4="自选机构",[1]!S_EST_NEWRATINGTIME_INST($E$6,AC53,$F$4),[1]!S_EST_NEWRATINGTIME_INST($E$6,$E$9,D53))</f>
        <v>2023-11-01</v>
      </c>
      <c r="M53" s="41" t="str">
        <f ca="1">IF($D$4="自选机构",[1]!S_EST_RATINGANALYST($E$6,AC53,$F$4),IF(OR(D53=71,D53=74),"***",[1]!S_EST_RATINGANALYST($E$6,$E$9,D53)))</f>
        <v>魏红梅</v>
      </c>
      <c r="N53" s="41" t="str">
        <f ca="1">IF($D$4="自选机构",[1]!S_EST_ORGRATING_INST($E$6,AC53,$F$4),[1]!S_EST_ORGRATING_INST($E$6,$E$9,D53))</f>
        <v>东莞证券_买入_1</v>
      </c>
      <c r="O53" s="46">
        <f ca="1">IF($D$4="自选机构",[1]!S_EST_SCORERATING_INST($E$6,AC53,$F$4),[1]!S_EST_SCORERATING_INST($E$6,$E$9,D53))</f>
        <v>1</v>
      </c>
      <c r="P53" s="41" t="str">
        <f ca="1">IF($D$4="自选机构",[1]!S_EST_STDRATING_INST($E$6,AC53,$F$4),[1]!S_EST_STDRATING_INST($E$6,$E$9,D53))</f>
        <v>买入</v>
      </c>
      <c r="Q53" s="43" t="str">
        <f>IF($D$4="自选机构",[1]!S_EST_FRSTRATINGTIME_INST($E$6,$F$4),[1]!S_EST_FRSTRATINGTIME_INST($E$6,D53))</f>
        <v>2008-01-14</v>
      </c>
      <c r="R53" s="80">
        <f t="shared" ca="1" si="6"/>
        <v>149162</v>
      </c>
      <c r="S53" s="80">
        <f t="shared" ca="1" si="7"/>
        <v>74421</v>
      </c>
      <c r="T53" s="80">
        <f t="shared" ca="1" si="8"/>
        <v>59.24</v>
      </c>
      <c r="U53" s="82">
        <f t="shared" ca="1" si="1"/>
        <v>1</v>
      </c>
      <c r="V53" s="82"/>
      <c r="W53" s="82"/>
      <c r="X53" s="82"/>
      <c r="Y53" s="82"/>
      <c r="Z53" s="82"/>
      <c r="AA53" s="82"/>
      <c r="AB53" s="85">
        <f t="shared" ca="1" si="2"/>
        <v>45231</v>
      </c>
      <c r="AC53" s="85">
        <f t="shared" ca="1" si="9"/>
        <v>45230</v>
      </c>
      <c r="AD53" s="86">
        <f ca="1">IF($D$4="自选机构",[1]!S_EST_SCORERATING_INST($E$6,L53-1,$F$4),[1]!S_EST_SCORERATING_INST($E$6,L53-1,D53))</f>
        <v>1</v>
      </c>
      <c r="AE53" s="82" t="str">
        <f t="shared" ca="1" si="3"/>
        <v>评级不变</v>
      </c>
      <c r="AF53" s="82">
        <f t="shared" ca="1" si="10"/>
        <v>1</v>
      </c>
      <c r="AG53" s="87">
        <f t="shared" ca="1" si="4"/>
        <v>0</v>
      </c>
      <c r="AH53" s="39"/>
      <c r="AI53" s="59"/>
      <c r="AK53" s="57"/>
    </row>
    <row r="54" spans="2:40" ht="16.5" x14ac:dyDescent="0.15">
      <c r="B54" s="59"/>
      <c r="C54" s="84">
        <f t="shared" ca="1" si="5"/>
        <v>45230</v>
      </c>
      <c r="D54" s="48">
        <v>40</v>
      </c>
      <c r="E54" s="49" t="str">
        <f t="shared" si="11"/>
        <v>东吴证券</v>
      </c>
      <c r="F54" s="50">
        <v>1</v>
      </c>
      <c r="G54" s="49" t="str">
        <f ca="1">IF($D$4="自选机构",[1]!S_EST_ESTANALYST($E$6,$E$8,C54,$F$4),IF(OR(D54=71,D54=74),"***",[1]!S_EST_ESTANALYST($E$6,$E$8,$E$9,D54)))</f>
        <v>汤军</v>
      </c>
      <c r="H54" s="51" t="str">
        <f ca="1">IF($D$4="自选机构",[1]!S_EST_ESTNEWTIME_INST($E$6,$E$8,C54,$F$4),[1]!S_EST_ESTNEWTIME_INST($E$6,$E$8,$E$9,D54))</f>
        <v>2023-11-03</v>
      </c>
      <c r="I54" s="52">
        <f ca="1">IF($D$4="自选机构",[1]!S_EST_SALES_INST($E$6,$E$8,C54,$F$4)/currencyunit,[1]!S_EST_SALES_INST($E$6,$E$8,$E$9,D54)/currencyunit)</f>
        <v>149936</v>
      </c>
      <c r="J54" s="52">
        <f ca="1">IF($D$4="自选机构",[1]!S_EST_NETPROFIT_INST($E$6,$E$8,C54,$F$4)/currencyunit,[1]!S_EST_NETPROFIT_INST($E$6,$E$8,$E$9,D54)/currencyunit)</f>
        <v>74916</v>
      </c>
      <c r="K54" s="53">
        <f ca="1">IF($D$4="自选机构",[1]!S_EST_EPS_INST($E$6,$E$8,C54,$F$4),[1]!S_EST_EPS_INST($E$6,$E$8,$E$9,D54))</f>
        <v>59.64</v>
      </c>
      <c r="L54" s="51" t="str">
        <f ca="1">IF($D$4="自选机构",[1]!S_EST_NEWRATINGTIME_INST($E$6,AC54,$F$4),[1]!S_EST_NEWRATINGTIME_INST($E$6,$E$9,D54))</f>
        <v>2023-11-03</v>
      </c>
      <c r="M54" s="49" t="str">
        <f ca="1">IF($D$4="自选机构",[1]!S_EST_RATINGANALYST($E$6,AC54,$F$4),IF(OR(D54=71,D54=74),"***",[1]!S_EST_RATINGANALYST($E$6,$E$9,D54)))</f>
        <v>汤军</v>
      </c>
      <c r="N54" s="49" t="str">
        <f ca="1">IF($D$4="自选机构",[1]!S_EST_ORGRATING_INST($E$6,AC54,$F$4),[1]!S_EST_ORGRATING_INST($E$6,$E$9,D54))</f>
        <v>东吴证券_买入_1</v>
      </c>
      <c r="O54" s="54">
        <f ca="1">IF($D$4="自选机构",[1]!S_EST_SCORERATING_INST($E$6,AC54,$F$4),[1]!S_EST_SCORERATING_INST($E$6,$E$9,D54))</f>
        <v>1</v>
      </c>
      <c r="P54" s="49" t="str">
        <f ca="1">IF($D$4="自选机构",[1]!S_EST_STDRATING_INST($E$6,AC54,$F$4),[1]!S_EST_STDRATING_INST($E$6,$E$9,D54))</f>
        <v>买入</v>
      </c>
      <c r="Q54" s="51" t="str">
        <f>IF($D$4="自选机构",[1]!S_EST_FRSTRATINGTIME_INST($E$6,$F$4),[1]!S_EST_FRSTRATINGTIME_INST($E$6,D54))</f>
        <v>2015-12-09</v>
      </c>
      <c r="R54" s="88">
        <f t="shared" ca="1" si="6"/>
        <v>149936</v>
      </c>
      <c r="S54" s="88">
        <f t="shared" ca="1" si="7"/>
        <v>74916</v>
      </c>
      <c r="T54" s="88">
        <f t="shared" ca="1" si="8"/>
        <v>59.64</v>
      </c>
      <c r="U54" s="89">
        <f t="shared" ca="1" si="1"/>
        <v>1</v>
      </c>
      <c r="V54" s="89"/>
      <c r="W54" s="89"/>
      <c r="X54" s="89"/>
      <c r="Y54" s="89"/>
      <c r="Z54" s="89"/>
      <c r="AA54" s="89"/>
      <c r="AB54" s="90">
        <f t="shared" ca="1" si="2"/>
        <v>45233</v>
      </c>
      <c r="AC54" s="90">
        <f t="shared" ca="1" si="9"/>
        <v>45230</v>
      </c>
      <c r="AD54" s="91">
        <f ca="1">IF($D$4="自选机构",[1]!S_EST_SCORERATING_INST($E$6,L54-1,$F$4),[1]!S_EST_SCORERATING_INST($E$6,L54-1,D54))</f>
        <v>1</v>
      </c>
      <c r="AE54" s="89" t="str">
        <f t="shared" ca="1" si="3"/>
        <v>评级不变</v>
      </c>
      <c r="AF54" s="89">
        <f t="shared" ca="1" si="10"/>
        <v>1</v>
      </c>
      <c r="AG54" s="92">
        <f t="shared" ca="1" si="4"/>
        <v>0</v>
      </c>
      <c r="AH54" s="39"/>
      <c r="AI54" s="59"/>
      <c r="AK54" s="57"/>
    </row>
    <row r="55" spans="2:40" s="57" customFormat="1" ht="16.5" x14ac:dyDescent="0.15">
      <c r="B55" s="59"/>
      <c r="C55" s="84">
        <f t="shared" ca="1" si="5"/>
        <v>45232</v>
      </c>
      <c r="D55" s="47">
        <v>41</v>
      </c>
      <c r="E55" s="41" t="str">
        <f t="shared" si="11"/>
        <v>东兴证券</v>
      </c>
      <c r="F55" s="42">
        <v>1</v>
      </c>
      <c r="G55" s="41" t="str">
        <f ca="1">IF($D$4="自选机构",[1]!S_EST_ESTANALYST($E$6,$E$8,C55,$F$4),IF(OR(D55=71,D55=74),"***",[1]!S_EST_ESTANALYST($E$6,$E$8,$E$9,D55)))</f>
        <v>孟斯硕</v>
      </c>
      <c r="H55" s="43" t="str">
        <f ca="1">IF($D$4="自选机构",[1]!S_EST_ESTNEWTIME_INST($E$6,$E$8,C55,$F$4),[1]!S_EST_ESTNEWTIME_INST($E$6,$E$8,$E$9,D55))</f>
        <v>2023-08-07</v>
      </c>
      <c r="I55" s="44">
        <f ca="1">IF($D$4="自选机构",[1]!S_EST_SALES_INST($E$6,$E$8,C55,$F$4)/currencyunit,[1]!S_EST_SALES_INST($E$6,$E$8,$E$9,D55)/currencyunit)</f>
        <v>146727</v>
      </c>
      <c r="J55" s="44">
        <f ca="1">IF($D$4="自选机构",[1]!S_EST_NETPROFIT_INST($E$6,$E$8,C55,$F$4)/currencyunit,[1]!S_EST_NETPROFIT_INST($E$6,$E$8,$E$9,D55)/currencyunit)</f>
        <v>73350</v>
      </c>
      <c r="K55" s="45">
        <f ca="1">IF($D$4="自选机构",[1]!S_EST_EPS_INST($E$6,$E$8,C55,$F$4),[1]!S_EST_EPS_INST($E$6,$E$8,$E$9,D55))</f>
        <v>58.39</v>
      </c>
      <c r="L55" s="43" t="str">
        <f ca="1">IF($D$4="自选机构",[1]!S_EST_NEWRATINGTIME_INST($E$6,AC55,$F$4),[1]!S_EST_NEWRATINGTIME_INST($E$6,$E$9,D55))</f>
        <v>2023-08-07</v>
      </c>
      <c r="M55" s="41" t="str">
        <f ca="1">IF($D$4="自选机构",[1]!S_EST_RATINGANALYST($E$6,AC55,$F$4),IF(OR(D55=71,D55=74),"***",[1]!S_EST_RATINGANALYST($E$6,$E$9,D55)))</f>
        <v>孟斯硕</v>
      </c>
      <c r="N55" s="41" t="str">
        <f ca="1">IF($D$4="自选机构",[1]!S_EST_ORGRATING_INST($E$6,AC55,$F$4),[1]!S_EST_ORGRATING_INST($E$6,$E$9,D55))</f>
        <v>东兴证券_强烈推荐_1</v>
      </c>
      <c r="O55" s="46">
        <f ca="1">IF($D$4="自选机构",[1]!S_EST_SCORERATING_INST($E$6,AC55,$F$4),[1]!S_EST_SCORERATING_INST($E$6,$E$9,D55))</f>
        <v>1</v>
      </c>
      <c r="P55" s="41" t="str">
        <f ca="1">IF($D$4="自选机构",[1]!S_EST_STDRATING_INST($E$6,AC55,$F$4),[1]!S_EST_STDRATING_INST($E$6,$E$9,D55))</f>
        <v>买入</v>
      </c>
      <c r="Q55" s="43" t="str">
        <f>IF($D$4="自选机构",[1]!S_EST_FRSTRATINGTIME_INST($E$6,$F$4),[1]!S_EST_FRSTRATINGTIME_INST($E$6,D55))</f>
        <v>2009-01-16</v>
      </c>
      <c r="R55" s="80">
        <f t="shared" ca="1" si="6"/>
        <v>146727</v>
      </c>
      <c r="S55" s="80">
        <f t="shared" ca="1" si="7"/>
        <v>73350</v>
      </c>
      <c r="T55" s="80">
        <f t="shared" ca="1" si="8"/>
        <v>58.39</v>
      </c>
      <c r="U55" s="82">
        <f t="shared" ca="1" si="1"/>
        <v>1</v>
      </c>
      <c r="V55" s="93"/>
      <c r="W55" s="93"/>
      <c r="X55" s="93"/>
      <c r="Y55" s="93"/>
      <c r="Z55" s="93"/>
      <c r="AA55" s="94"/>
      <c r="AB55" s="85">
        <f t="shared" ca="1" si="2"/>
        <v>45145</v>
      </c>
      <c r="AC55" s="85">
        <f t="shared" ca="1" si="9"/>
        <v>45232</v>
      </c>
      <c r="AD55" s="86">
        <f ca="1">IF($D$4="自选机构",[1]!S_EST_SCORERATING_INST($E$6,L55-1,$F$4),[1]!S_EST_SCORERATING_INST($E$6,L55-1,D55))</f>
        <v>1</v>
      </c>
      <c r="AE55" s="82" t="str">
        <f t="shared" ca="1" si="3"/>
        <v>评级不变</v>
      </c>
      <c r="AF55" s="82">
        <f t="shared" ca="1" si="10"/>
        <v>1</v>
      </c>
      <c r="AG55" s="87">
        <f t="shared" ca="1" si="4"/>
        <v>0</v>
      </c>
      <c r="AH55" s="39"/>
      <c r="AI55" s="59"/>
      <c r="AL55" s="58"/>
      <c r="AM55" s="58"/>
      <c r="AN55" s="58"/>
    </row>
    <row r="56" spans="2:40" s="57" customFormat="1" ht="16.5" x14ac:dyDescent="0.15">
      <c r="B56" s="59"/>
      <c r="C56" s="84">
        <f t="shared" ca="1" si="5"/>
        <v>45144</v>
      </c>
      <c r="D56" s="48">
        <v>42</v>
      </c>
      <c r="E56" s="49" t="str">
        <f t="shared" si="11"/>
        <v>方正证券</v>
      </c>
      <c r="F56" s="50">
        <v>1</v>
      </c>
      <c r="G56" s="49" t="str">
        <f ca="1">IF($D$4="自选机构",[1]!S_EST_ESTANALYST($E$6,$E$8,C56,$F$4),IF(OR(D56=71,D56=74),"***",[1]!S_EST_ESTANALYST($E$6,$E$8,$E$9,D56)))</f>
        <v>王泽华</v>
      </c>
      <c r="H56" s="51" t="str">
        <f ca="1">IF($D$4="自选机构",[1]!S_EST_ESTNEWTIME_INST($E$6,$E$8,C56,$F$4),[1]!S_EST_ESTNEWTIME_INST($E$6,$E$8,$E$9,D56))</f>
        <v>2023-11-01</v>
      </c>
      <c r="I56" s="52">
        <f ca="1">IF($D$4="自选机构",[1]!S_EST_SALES_INST($E$6,$E$8,C56,$F$4)/currencyunit,[1]!S_EST_SALES_INST($E$6,$E$8,$E$9,D56)/currencyunit)</f>
        <v>148758</v>
      </c>
      <c r="J56" s="52">
        <f ca="1">IF($D$4="自选机构",[1]!S_EST_NETPROFIT_INST($E$6,$E$8,C56,$F$4)/currencyunit,[1]!S_EST_NETPROFIT_INST($E$6,$E$8,$E$9,D56)/currencyunit)</f>
        <v>72361</v>
      </c>
      <c r="K56" s="53">
        <f ca="1">IF($D$4="自选机构",[1]!S_EST_EPS_INST($E$6,$E$8,C56,$F$4),[1]!S_EST_EPS_INST($E$6,$E$8,$E$9,D56))</f>
        <v>57.6</v>
      </c>
      <c r="L56" s="51" t="str">
        <f ca="1">IF($D$4="自选机构",[1]!S_EST_NEWRATINGTIME_INST($E$6,AC56,$F$4),[1]!S_EST_NEWRATINGTIME_INST($E$6,$E$9,D56))</f>
        <v>2023-11-01</v>
      </c>
      <c r="M56" s="49" t="str">
        <f ca="1">IF($D$4="自选机构",[1]!S_EST_RATINGANALYST($E$6,AC56,$F$4),IF(OR(D56=71,D56=74),"***",[1]!S_EST_RATINGANALYST($E$6,$E$9,D56)))</f>
        <v>王泽华</v>
      </c>
      <c r="N56" s="49" t="str">
        <f ca="1">IF($D$4="自选机构",[1]!S_EST_ORGRATING_INST($E$6,AC56,$F$4),[1]!S_EST_ORGRATING_INST($E$6,$E$9,D56))</f>
        <v>方正证券_强烈推荐_1</v>
      </c>
      <c r="O56" s="54">
        <f ca="1">IF($D$4="自选机构",[1]!S_EST_SCORERATING_INST($E$6,AC56,$F$4),[1]!S_EST_SCORERATING_INST($E$6,$E$9,D56))</f>
        <v>1</v>
      </c>
      <c r="P56" s="49" t="str">
        <f ca="1">IF($D$4="自选机构",[1]!S_EST_STDRATING_INST($E$6,AC56,$F$4),[1]!S_EST_STDRATING_INST($E$6,$E$9,D56))</f>
        <v>买入</v>
      </c>
      <c r="Q56" s="51" t="str">
        <f>IF($D$4="自选机构",[1]!S_EST_FRSTRATINGTIME_INST($E$6,$F$4),[1]!S_EST_FRSTRATINGTIME_INST($E$6,D56))</f>
        <v>2005-12-20</v>
      </c>
      <c r="R56" s="88">
        <f t="shared" ca="1" si="6"/>
        <v>148758</v>
      </c>
      <c r="S56" s="88">
        <f t="shared" ca="1" si="7"/>
        <v>72361</v>
      </c>
      <c r="T56" s="88">
        <f t="shared" ca="1" si="8"/>
        <v>57.6</v>
      </c>
      <c r="U56" s="89">
        <f t="shared" ca="1" si="1"/>
        <v>1</v>
      </c>
      <c r="V56" s="89"/>
      <c r="W56" s="89"/>
      <c r="X56" s="89"/>
      <c r="Y56" s="89"/>
      <c r="Z56" s="89"/>
      <c r="AA56" s="89"/>
      <c r="AB56" s="90">
        <f t="shared" ca="1" si="2"/>
        <v>45231</v>
      </c>
      <c r="AC56" s="90">
        <f t="shared" ca="1" si="9"/>
        <v>45144</v>
      </c>
      <c r="AD56" s="91">
        <f ca="1">IF($D$4="自选机构",[1]!S_EST_SCORERATING_INST($E$6,L56-1,$F$4),[1]!S_EST_SCORERATING_INST($E$6,L56-1,D56))</f>
        <v>1</v>
      </c>
      <c r="AE56" s="89" t="str">
        <f t="shared" ca="1" si="3"/>
        <v>评级不变</v>
      </c>
      <c r="AF56" s="89">
        <f t="shared" ca="1" si="10"/>
        <v>1</v>
      </c>
      <c r="AG56" s="92">
        <f t="shared" ca="1" si="4"/>
        <v>0</v>
      </c>
      <c r="AH56" s="39"/>
      <c r="AI56" s="59"/>
      <c r="AL56" s="58"/>
      <c r="AM56" s="58"/>
      <c r="AN56" s="58"/>
    </row>
    <row r="57" spans="2:40" s="57" customFormat="1" ht="16.5" x14ac:dyDescent="0.15">
      <c r="B57" s="59"/>
      <c r="C57" s="84" t="e">
        <f>#REF!-1</f>
        <v>#REF!</v>
      </c>
      <c r="D57" s="47">
        <v>43</v>
      </c>
      <c r="E57" s="41" t="str">
        <f t="shared" si="11"/>
        <v>广州证券</v>
      </c>
      <c r="F57" s="42">
        <v>1</v>
      </c>
      <c r="G57" s="41">
        <f ca="1">IF($D$4="自选机构",[1]!S_EST_ESTANALYST($E$6,$E$8,C57,$F$4),IF(OR(D57=71,D57=74),"***",[1]!S_EST_ESTANALYST($E$6,$E$8,$E$9,D57)))</f>
        <v>0</v>
      </c>
      <c r="H57" s="43">
        <f ca="1">IF($D$4="自选机构",[1]!S_EST_ESTNEWTIME_INST($E$6,$E$8,C57,$F$4),[1]!S_EST_ESTNEWTIME_INST($E$6,$E$8,$E$9,D57))</f>
        <v>0</v>
      </c>
      <c r="I57" s="44">
        <f ca="1">IF($D$4="自选机构",[1]!S_EST_SALES_INST($E$6,$E$8,C57,$F$4)/currencyunit,[1]!S_EST_SALES_INST($E$6,$E$8,$E$9,D57)/currencyunit)</f>
        <v>0</v>
      </c>
      <c r="J57" s="44">
        <f ca="1">IF($D$4="自选机构",[1]!S_EST_NETPROFIT_INST($E$6,$E$8,C57,$F$4)/currencyunit,[1]!S_EST_NETPROFIT_INST($E$6,$E$8,$E$9,D57)/currencyunit)</f>
        <v>0</v>
      </c>
      <c r="K57" s="45">
        <f ca="1">IF($D$4="自选机构",[1]!S_EST_EPS_INST($E$6,$E$8,C57,$F$4),[1]!S_EST_EPS_INST($E$6,$E$8,$E$9,D57))</f>
        <v>0</v>
      </c>
      <c r="L57" s="43">
        <f ca="1">IF($D$4="自选机构",[1]!S_EST_NEWRATINGTIME_INST($E$6,AC57,$F$4),[1]!S_EST_NEWRATINGTIME_INST($E$6,$E$9,D57))</f>
        <v>0</v>
      </c>
      <c r="M57" s="41">
        <f ca="1">IF($D$4="自选机构",[1]!S_EST_RATINGANALYST($E$6,AC57,$F$4),IF(OR(D57=71,D57=74),"***",[1]!S_EST_RATINGANALYST($E$6,$E$9,D57)))</f>
        <v>0</v>
      </c>
      <c r="N57" s="41">
        <f ca="1">IF($D$4="自选机构",[1]!S_EST_ORGRATING_INST($E$6,AC57,$F$4),[1]!S_EST_ORGRATING_INST($E$6,$E$9,D57))</f>
        <v>0</v>
      </c>
      <c r="O57" s="46">
        <f ca="1">IF($D$4="自选机构",[1]!S_EST_SCORERATING_INST($E$6,AC57,$F$4),[1]!S_EST_SCORERATING_INST($E$6,$E$9,D57))</f>
        <v>0</v>
      </c>
      <c r="P57" s="41">
        <f ca="1">IF($D$4="自选机构",[1]!S_EST_STDRATING_INST($E$6,AC57,$F$4),[1]!S_EST_STDRATING_INST($E$6,$E$9,D57))</f>
        <v>0</v>
      </c>
      <c r="Q57" s="43">
        <f>IF($D$4="自选机构",[1]!S_EST_FRSTRATINGTIME_INST($E$6,$F$4),[1]!S_EST_FRSTRATINGTIME_INST($E$6,D57))</f>
        <v>0</v>
      </c>
      <c r="R57" s="80">
        <f t="shared" ca="1" si="6"/>
        <v>0</v>
      </c>
      <c r="S57" s="80">
        <f t="shared" ca="1" si="7"/>
        <v>0</v>
      </c>
      <c r="T57" s="80">
        <f t="shared" ca="1" si="8"/>
        <v>0</v>
      </c>
      <c r="U57" s="82" t="str">
        <f t="shared" ca="1" si="1"/>
        <v/>
      </c>
      <c r="V57" s="82"/>
      <c r="W57" s="82"/>
      <c r="X57" s="82"/>
      <c r="Y57" s="82"/>
      <c r="Z57" s="82"/>
      <c r="AA57" s="82"/>
      <c r="AB57" s="85">
        <f t="shared" ca="1" si="2"/>
        <v>0</v>
      </c>
      <c r="AC57" s="85" t="e">
        <f>#REF!-1</f>
        <v>#REF!</v>
      </c>
      <c r="AD57" s="86">
        <f ca="1">IF($D$4="自选机构",[1]!S_EST_SCORERATING_INST($E$6,L57-1,$F$4),[1]!S_EST_SCORERATING_INST($E$6,L57-1,D57))</f>
        <v>0</v>
      </c>
      <c r="AE57" s="82" t="e">
        <f t="shared" ca="1" si="3"/>
        <v>#DIV/0!</v>
      </c>
      <c r="AF57" s="82" t="str">
        <f t="shared" ca="1" si="10"/>
        <v/>
      </c>
      <c r="AG57" s="87" t="str">
        <f t="shared" ca="1" si="4"/>
        <v/>
      </c>
      <c r="AH57" s="39"/>
      <c r="AI57" s="59"/>
      <c r="AL57" s="58"/>
      <c r="AM57" s="58"/>
      <c r="AN57" s="58"/>
    </row>
    <row r="58" spans="2:40" s="57" customFormat="1" ht="16.5" x14ac:dyDescent="0.15">
      <c r="B58" s="59"/>
      <c r="C58" s="84">
        <f t="shared" ca="1" si="5"/>
        <v>-1</v>
      </c>
      <c r="D58" s="48">
        <v>44</v>
      </c>
      <c r="E58" s="49" t="str">
        <f t="shared" si="11"/>
        <v>国都证券</v>
      </c>
      <c r="F58" s="50">
        <v>1</v>
      </c>
      <c r="G58" s="49">
        <f ca="1">IF($D$4="自选机构",[1]!S_EST_ESTANALYST($E$6,$E$8,C58,$F$4),IF(OR(D58=71,D58=74),"***",[1]!S_EST_ESTANALYST($E$6,$E$8,$E$9,D58)))</f>
        <v>0</v>
      </c>
      <c r="H58" s="51">
        <f ca="1">IF($D$4="自选机构",[1]!S_EST_ESTNEWTIME_INST($E$6,$E$8,C58,$F$4),[1]!S_EST_ESTNEWTIME_INST($E$6,$E$8,$E$9,D58))</f>
        <v>0</v>
      </c>
      <c r="I58" s="52">
        <f ca="1">IF($D$4="自选机构",[1]!S_EST_SALES_INST($E$6,$E$8,C58,$F$4)/currencyunit,[1]!S_EST_SALES_INST($E$6,$E$8,$E$9,D58)/currencyunit)</f>
        <v>0</v>
      </c>
      <c r="J58" s="52">
        <f ca="1">IF($D$4="自选机构",[1]!S_EST_NETPROFIT_INST($E$6,$E$8,C58,$F$4)/currencyunit,[1]!S_EST_NETPROFIT_INST($E$6,$E$8,$E$9,D58)/currencyunit)</f>
        <v>0</v>
      </c>
      <c r="K58" s="53">
        <f ca="1">IF($D$4="自选机构",[1]!S_EST_EPS_INST($E$6,$E$8,C58,$F$4),[1]!S_EST_EPS_INST($E$6,$E$8,$E$9,D58))</f>
        <v>0</v>
      </c>
      <c r="L58" s="51">
        <f ca="1">IF($D$4="自选机构",[1]!S_EST_NEWRATINGTIME_INST($E$6,AC58,$F$4),[1]!S_EST_NEWRATINGTIME_INST($E$6,$E$9,D58))</f>
        <v>0</v>
      </c>
      <c r="M58" s="49">
        <f ca="1">IF($D$4="自选机构",[1]!S_EST_RATINGANALYST($E$6,AC58,$F$4),IF(OR(D58=71,D58=74),"***",[1]!S_EST_RATINGANALYST($E$6,$E$9,D58)))</f>
        <v>0</v>
      </c>
      <c r="N58" s="49">
        <f ca="1">IF($D$4="自选机构",[1]!S_EST_ORGRATING_INST($E$6,AC58,$F$4),[1]!S_EST_ORGRATING_INST($E$6,$E$9,D58))</f>
        <v>0</v>
      </c>
      <c r="O58" s="54">
        <f ca="1">IF($D$4="自选机构",[1]!S_EST_SCORERATING_INST($E$6,AC58,$F$4),[1]!S_EST_SCORERATING_INST($E$6,$E$9,D58))</f>
        <v>0</v>
      </c>
      <c r="P58" s="49">
        <f ca="1">IF($D$4="自选机构",[1]!S_EST_STDRATING_INST($E$6,AC58,$F$4),[1]!S_EST_STDRATING_INST($E$6,$E$9,D58))</f>
        <v>0</v>
      </c>
      <c r="Q58" s="51" t="str">
        <f>IF($D$4="自选机构",[1]!S_EST_FRSTRATINGTIME_INST($E$6,$F$4),[1]!S_EST_FRSTRATINGTIME_INST($E$6,D58))</f>
        <v>2006-04-05</v>
      </c>
      <c r="R58" s="88">
        <f t="shared" ca="1" si="6"/>
        <v>0</v>
      </c>
      <c r="S58" s="88">
        <f t="shared" ca="1" si="7"/>
        <v>0</v>
      </c>
      <c r="T58" s="88">
        <f t="shared" ca="1" si="8"/>
        <v>0</v>
      </c>
      <c r="U58" s="89" t="str">
        <f t="shared" ca="1" si="1"/>
        <v/>
      </c>
      <c r="V58" s="89"/>
      <c r="W58" s="89"/>
      <c r="X58" s="89"/>
      <c r="Y58" s="89"/>
      <c r="Z58" s="89"/>
      <c r="AA58" s="89"/>
      <c r="AB58" s="90">
        <f t="shared" ca="1" si="2"/>
        <v>0</v>
      </c>
      <c r="AC58" s="90">
        <f t="shared" ca="1" si="9"/>
        <v>-1</v>
      </c>
      <c r="AD58" s="91">
        <f ca="1">IF($D$4="自选机构",[1]!S_EST_SCORERATING_INST($E$6,L58-1,$F$4),[1]!S_EST_SCORERATING_INST($E$6,L58-1,D58))</f>
        <v>0</v>
      </c>
      <c r="AE58" s="89" t="e">
        <f t="shared" ca="1" si="3"/>
        <v>#DIV/0!</v>
      </c>
      <c r="AF58" s="89" t="str">
        <f t="shared" ca="1" si="10"/>
        <v/>
      </c>
      <c r="AG58" s="92" t="str">
        <f t="shared" ca="1" si="4"/>
        <v/>
      </c>
      <c r="AH58" s="39"/>
      <c r="AI58" s="59"/>
      <c r="AL58" s="58"/>
      <c r="AM58" s="58"/>
      <c r="AN58" s="58"/>
    </row>
    <row r="59" spans="2:40" ht="16.5" x14ac:dyDescent="0.15">
      <c r="B59" s="59"/>
      <c r="C59" s="84">
        <f t="shared" ca="1" si="5"/>
        <v>-1</v>
      </c>
      <c r="D59" s="47">
        <v>45</v>
      </c>
      <c r="E59" s="41" t="str">
        <f t="shared" si="11"/>
        <v>国海证券</v>
      </c>
      <c r="F59" s="42">
        <v>1</v>
      </c>
      <c r="G59" s="41" t="str">
        <f ca="1">IF($D$4="自选机构",[1]!S_EST_ESTANALYST($E$6,$E$8,C59,$F$4),IF(OR(D59=71,D59=74),"***",[1]!S_EST_ESTANALYST($E$6,$E$8,$E$9,D59)))</f>
        <v>薛玉虎</v>
      </c>
      <c r="H59" s="43" t="str">
        <f ca="1">IF($D$4="自选机构",[1]!S_EST_ESTNEWTIME_INST($E$6,$E$8,C59,$F$4),[1]!S_EST_ESTNEWTIME_INST($E$6,$E$8,$E$9,D59))</f>
        <v>2023-11-02</v>
      </c>
      <c r="I59" s="44">
        <f ca="1">IF($D$4="自选机构",[1]!S_EST_SALES_INST($E$6,$E$8,C59,$F$4)/currencyunit,[1]!S_EST_SALES_INST($E$6,$E$8,$E$9,D59)/currencyunit)</f>
        <v>153809</v>
      </c>
      <c r="J59" s="44">
        <f ca="1">IF($D$4="自选机构",[1]!S_EST_NETPROFIT_INST($E$6,$E$8,C59,$F$4)/currencyunit,[1]!S_EST_NETPROFIT_INST($E$6,$E$8,$E$9,D59)/currencyunit)</f>
        <v>76868</v>
      </c>
      <c r="K59" s="45">
        <f ca="1">IF($D$4="自选机构",[1]!S_EST_EPS_INST($E$6,$E$8,C59,$F$4),[1]!S_EST_EPS_INST($E$6,$E$8,$E$9,D59))</f>
        <v>61.19</v>
      </c>
      <c r="L59" s="43" t="str">
        <f ca="1">IF($D$4="自选机构",[1]!S_EST_NEWRATINGTIME_INST($E$6,AC59,$F$4),[1]!S_EST_NEWRATINGTIME_INST($E$6,$E$9,D59))</f>
        <v>2023-11-02</v>
      </c>
      <c r="M59" s="41" t="str">
        <f ca="1">IF($D$4="自选机构",[1]!S_EST_RATINGANALYST($E$6,AC59,$F$4),IF(OR(D59=71,D59=74),"***",[1]!S_EST_RATINGANALYST($E$6,$E$9,D59)))</f>
        <v>薛玉虎</v>
      </c>
      <c r="N59" s="41" t="str">
        <f ca="1">IF($D$4="自选机构",[1]!S_EST_ORGRATING_INST($E$6,AC59,$F$4),[1]!S_EST_ORGRATING_INST($E$6,$E$9,D59))</f>
        <v>国海证券_买入_1</v>
      </c>
      <c r="O59" s="46">
        <f ca="1">IF($D$4="自选机构",[1]!S_EST_SCORERATING_INST($E$6,AC59,$F$4),[1]!S_EST_SCORERATING_INST($E$6,$E$9,D59))</f>
        <v>1</v>
      </c>
      <c r="P59" s="41" t="str">
        <f ca="1">IF($D$4="自选机构",[1]!S_EST_STDRATING_INST($E$6,AC59,$F$4),[1]!S_EST_STDRATING_INST($E$6,$E$9,D59))</f>
        <v>买入</v>
      </c>
      <c r="Q59" s="43" t="str">
        <f>IF($D$4="自选机构",[1]!S_EST_FRSTRATINGTIME_INST($E$6,$F$4),[1]!S_EST_FRSTRATINGTIME_INST($E$6,D59))</f>
        <v>2007-05-10</v>
      </c>
      <c r="R59" s="80">
        <f t="shared" ca="1" si="6"/>
        <v>153809</v>
      </c>
      <c r="S59" s="80">
        <f t="shared" ca="1" si="7"/>
        <v>76868</v>
      </c>
      <c r="T59" s="80">
        <f t="shared" ca="1" si="8"/>
        <v>61.19</v>
      </c>
      <c r="U59" s="82">
        <f t="shared" ca="1" si="1"/>
        <v>1</v>
      </c>
      <c r="V59" s="82"/>
      <c r="W59" s="82"/>
      <c r="X59" s="82"/>
      <c r="Y59" s="82"/>
      <c r="Z59" s="82"/>
      <c r="AA59" s="82"/>
      <c r="AB59" s="85">
        <f t="shared" ca="1" si="2"/>
        <v>45232</v>
      </c>
      <c r="AC59" s="85">
        <f t="shared" ca="1" si="9"/>
        <v>-1</v>
      </c>
      <c r="AD59" s="86">
        <f ca="1">IF($D$4="自选机构",[1]!S_EST_SCORERATING_INST($E$6,L59-1,$F$4),[1]!S_EST_SCORERATING_INST($E$6,L59-1,D59))</f>
        <v>1</v>
      </c>
      <c r="AE59" s="82" t="str">
        <f t="shared" ca="1" si="3"/>
        <v>评级不变</v>
      </c>
      <c r="AF59" s="82">
        <f t="shared" ca="1" si="10"/>
        <v>1</v>
      </c>
      <c r="AG59" s="87">
        <f t="shared" ca="1" si="4"/>
        <v>0</v>
      </c>
      <c r="AH59" s="39"/>
      <c r="AI59" s="59"/>
      <c r="AK59" s="57"/>
    </row>
    <row r="60" spans="2:40" ht="16.5" x14ac:dyDescent="0.15">
      <c r="B60" s="59"/>
      <c r="C60" s="84">
        <f t="shared" ca="1" si="5"/>
        <v>45231</v>
      </c>
      <c r="D60" s="48">
        <v>46</v>
      </c>
      <c r="E60" s="49" t="str">
        <f t="shared" si="11"/>
        <v>国联证券</v>
      </c>
      <c r="F60" s="50">
        <v>1</v>
      </c>
      <c r="G60" s="49" t="str">
        <f ca="1">IF($D$4="自选机构",[1]!S_EST_ESTANALYST($E$6,$E$8,C60,$F$4),IF(OR(D60=71,D60=74),"***",[1]!S_EST_ESTANALYST($E$6,$E$8,$E$9,D60)))</f>
        <v>陈梦瑶</v>
      </c>
      <c r="H60" s="51" t="str">
        <f ca="1">IF($D$4="自选机构",[1]!S_EST_ESTNEWTIME_INST($E$6,$E$8,C60,$F$4),[1]!S_EST_ESTNEWTIME_INST($E$6,$E$8,$E$9,D60))</f>
        <v>2023-11-01</v>
      </c>
      <c r="I60" s="52">
        <f ca="1">IF($D$4="自选机构",[1]!S_EST_SALES_INST($E$6,$E$8,C60,$F$4)/currencyunit,[1]!S_EST_SALES_INST($E$6,$E$8,$E$9,D60)/currencyunit)</f>
        <v>146157</v>
      </c>
      <c r="J60" s="52">
        <f ca="1">IF($D$4="自选机构",[1]!S_EST_NETPROFIT_INST($E$6,$E$8,C60,$F$4)/currencyunit,[1]!S_EST_NETPROFIT_INST($E$6,$E$8,$E$9,D60)/currencyunit)</f>
        <v>74497</v>
      </c>
      <c r="K60" s="53">
        <f ca="1">IF($D$4="自选机构",[1]!S_EST_EPS_INST($E$6,$E$8,C60,$F$4),[1]!S_EST_EPS_INST($E$6,$E$8,$E$9,D60))</f>
        <v>59.3</v>
      </c>
      <c r="L60" s="51" t="str">
        <f ca="1">IF($D$4="自选机构",[1]!S_EST_NEWRATINGTIME_INST($E$6,AC60,$F$4),[1]!S_EST_NEWRATINGTIME_INST($E$6,$E$9,D60))</f>
        <v>2023-11-01</v>
      </c>
      <c r="M60" s="49" t="str">
        <f ca="1">IF($D$4="自选机构",[1]!S_EST_RATINGANALYST($E$6,AC60,$F$4),IF(OR(D60=71,D60=74),"***",[1]!S_EST_RATINGANALYST($E$6,$E$9,D60)))</f>
        <v>陈梦瑶</v>
      </c>
      <c r="N60" s="49" t="str">
        <f ca="1">IF($D$4="自选机构",[1]!S_EST_ORGRATING_INST($E$6,AC60,$F$4),[1]!S_EST_ORGRATING_INST($E$6,$E$9,D60))</f>
        <v>国联证券_买入_1</v>
      </c>
      <c r="O60" s="54">
        <f ca="1">IF($D$4="自选机构",[1]!S_EST_SCORERATING_INST($E$6,AC60,$F$4),[1]!S_EST_SCORERATING_INST($E$6,$E$9,D60))</f>
        <v>1</v>
      </c>
      <c r="P60" s="49" t="str">
        <f ca="1">IF($D$4="自选机构",[1]!S_EST_STDRATING_INST($E$6,AC60,$F$4),[1]!S_EST_STDRATING_INST($E$6,$E$9,D60))</f>
        <v>买入</v>
      </c>
      <c r="Q60" s="51" t="str">
        <f>IF($D$4="自选机构",[1]!S_EST_FRSTRATINGTIME_INST($E$6,$F$4),[1]!S_EST_FRSTRATINGTIME_INST($E$6,D60))</f>
        <v>2009-11-30</v>
      </c>
      <c r="R60" s="88">
        <f t="shared" ca="1" si="6"/>
        <v>146157</v>
      </c>
      <c r="S60" s="88">
        <f t="shared" ca="1" si="7"/>
        <v>74497</v>
      </c>
      <c r="T60" s="88">
        <f t="shared" ca="1" si="8"/>
        <v>59.3</v>
      </c>
      <c r="U60" s="89">
        <f t="shared" ca="1" si="1"/>
        <v>1</v>
      </c>
      <c r="V60" s="89"/>
      <c r="W60" s="89"/>
      <c r="X60" s="89"/>
      <c r="Y60" s="89"/>
      <c r="Z60" s="89"/>
      <c r="AA60" s="89"/>
      <c r="AB60" s="90">
        <f t="shared" ca="1" si="2"/>
        <v>45231</v>
      </c>
      <c r="AC60" s="90">
        <f t="shared" ca="1" si="9"/>
        <v>45231</v>
      </c>
      <c r="AD60" s="91">
        <f ca="1">IF($D$4="自选机构",[1]!S_EST_SCORERATING_INST($E$6,L60-1,$F$4),[1]!S_EST_SCORERATING_INST($E$6,L60-1,D60))</f>
        <v>1</v>
      </c>
      <c r="AE60" s="89" t="str">
        <f t="shared" ca="1" si="3"/>
        <v>评级不变</v>
      </c>
      <c r="AF60" s="89">
        <f t="shared" ca="1" si="10"/>
        <v>1</v>
      </c>
      <c r="AG60" s="92">
        <f t="shared" ca="1" si="4"/>
        <v>0</v>
      </c>
      <c r="AH60" s="39"/>
      <c r="AI60" s="59"/>
      <c r="AK60" s="57"/>
    </row>
    <row r="61" spans="2:40" s="57" customFormat="1" ht="16.5" x14ac:dyDescent="0.15">
      <c r="B61" s="59"/>
      <c r="C61" s="84">
        <f t="shared" ca="1" si="5"/>
        <v>45230</v>
      </c>
      <c r="D61" s="47">
        <v>47</v>
      </c>
      <c r="E61" s="41" t="str">
        <f t="shared" si="11"/>
        <v>国盛证券</v>
      </c>
      <c r="F61" s="42">
        <v>1</v>
      </c>
      <c r="G61" s="41" t="str">
        <f ca="1">IF($D$4="自选机构",[1]!S_EST_ESTANALYST($E$6,$E$8,C61,$F$4),IF(OR(D61=71,D61=74),"***",[1]!S_EST_ESTANALYST($E$6,$E$8,$E$9,D61)))</f>
        <v>符蓉</v>
      </c>
      <c r="H61" s="43" t="str">
        <f ca="1">IF($D$4="自选机构",[1]!S_EST_ESTNEWTIME_INST($E$6,$E$8,C61,$F$4),[1]!S_EST_ESTNEWTIME_INST($E$6,$E$8,$E$9,D61))</f>
        <v>2023-11-01</v>
      </c>
      <c r="I61" s="44">
        <f ca="1">IF($D$4="自选机构",[1]!S_EST_SALES_INST($E$6,$E$8,C61,$F$4)/currencyunit,[1]!S_EST_SALES_INST($E$6,$E$8,$E$9,D61)/currencyunit)</f>
        <v>147856</v>
      </c>
      <c r="J61" s="44">
        <f ca="1">IF($D$4="自选机构",[1]!S_EST_NETPROFIT_INST($E$6,$E$8,C61,$F$4)/currencyunit,[1]!S_EST_NETPROFIT_INST($E$6,$E$8,$E$9,D61)/currencyunit)</f>
        <v>73636</v>
      </c>
      <c r="K61" s="45">
        <f ca="1">IF($D$4="自选机构",[1]!S_EST_EPS_INST($E$6,$E$8,C61,$F$4),[1]!S_EST_EPS_INST($E$6,$E$8,$E$9,D61))</f>
        <v>58.62</v>
      </c>
      <c r="L61" s="43" t="str">
        <f ca="1">IF($D$4="自选机构",[1]!S_EST_NEWRATINGTIME_INST($E$6,AC61,$F$4),[1]!S_EST_NEWRATINGTIME_INST($E$6,$E$9,D61))</f>
        <v>2023-11-01</v>
      </c>
      <c r="M61" s="41" t="str">
        <f ca="1">IF($D$4="自选机构",[1]!S_EST_RATINGANALYST($E$6,AC61,$F$4),IF(OR(D61=71,D61=74),"***",[1]!S_EST_RATINGANALYST($E$6,$E$9,D61)))</f>
        <v>符蓉</v>
      </c>
      <c r="N61" s="41" t="str">
        <f ca="1">IF($D$4="自选机构",[1]!S_EST_ORGRATING_INST($E$6,AC61,$F$4),[1]!S_EST_ORGRATING_INST($E$6,$E$9,D61))</f>
        <v>国盛证券_买入_1</v>
      </c>
      <c r="O61" s="46">
        <f ca="1">IF($D$4="自选机构",[1]!S_EST_SCORERATING_INST($E$6,AC61,$F$4),[1]!S_EST_SCORERATING_INST($E$6,$E$9,D61))</f>
        <v>1</v>
      </c>
      <c r="P61" s="41" t="str">
        <f ca="1">IF($D$4="自选机构",[1]!S_EST_STDRATING_INST($E$6,AC61,$F$4),[1]!S_EST_STDRATING_INST($E$6,$E$9,D61))</f>
        <v>买入</v>
      </c>
      <c r="Q61" s="43" t="str">
        <f>IF($D$4="自选机构",[1]!S_EST_FRSTRATINGTIME_INST($E$6,$F$4),[1]!S_EST_FRSTRATINGTIME_INST($E$6,D61))</f>
        <v>2019-03-07</v>
      </c>
      <c r="R61" s="80">
        <f t="shared" ca="1" si="6"/>
        <v>147856</v>
      </c>
      <c r="S61" s="80">
        <f t="shared" ca="1" si="7"/>
        <v>73636</v>
      </c>
      <c r="T61" s="80">
        <f t="shared" ca="1" si="8"/>
        <v>58.62</v>
      </c>
      <c r="U61" s="82">
        <f t="shared" ca="1" si="1"/>
        <v>1</v>
      </c>
      <c r="V61" s="93"/>
      <c r="W61" s="93"/>
      <c r="X61" s="93"/>
      <c r="Y61" s="93"/>
      <c r="Z61" s="93"/>
      <c r="AA61" s="94"/>
      <c r="AB61" s="85">
        <f t="shared" ca="1" si="2"/>
        <v>45231</v>
      </c>
      <c r="AC61" s="85">
        <f t="shared" ca="1" si="9"/>
        <v>45230</v>
      </c>
      <c r="AD61" s="86">
        <f ca="1">IF($D$4="自选机构",[1]!S_EST_SCORERATING_INST($E$6,L61-1,$F$4),[1]!S_EST_SCORERATING_INST($E$6,L61-1,D61))</f>
        <v>1</v>
      </c>
      <c r="AE61" s="82" t="str">
        <f t="shared" ca="1" si="3"/>
        <v>评级不变</v>
      </c>
      <c r="AF61" s="82">
        <f t="shared" ca="1" si="10"/>
        <v>1</v>
      </c>
      <c r="AG61" s="87">
        <f t="shared" ca="1" si="4"/>
        <v>0</v>
      </c>
      <c r="AH61" s="39"/>
      <c r="AI61" s="59"/>
      <c r="AL61" s="58"/>
      <c r="AM61" s="58"/>
      <c r="AN61" s="58"/>
    </row>
    <row r="62" spans="2:40" s="57" customFormat="1" ht="16.5" x14ac:dyDescent="0.15">
      <c r="B62" s="59"/>
      <c r="C62" s="84">
        <f t="shared" ca="1" si="5"/>
        <v>45230</v>
      </c>
      <c r="D62" s="48">
        <v>48</v>
      </c>
      <c r="E62" s="49" t="str">
        <f t="shared" si="11"/>
        <v>恒泰证券</v>
      </c>
      <c r="F62" s="50">
        <v>1</v>
      </c>
      <c r="G62" s="49">
        <f ca="1">IF($D$4="自选机构",[1]!S_EST_ESTANALYST($E$6,$E$8,C62,$F$4),IF(OR(D62=71,D62=74),"***",[1]!S_EST_ESTANALYST($E$6,$E$8,$E$9,D62)))</f>
        <v>0</v>
      </c>
      <c r="H62" s="51">
        <f ca="1">IF($D$4="自选机构",[1]!S_EST_ESTNEWTIME_INST($E$6,$E$8,C62,$F$4),[1]!S_EST_ESTNEWTIME_INST($E$6,$E$8,$E$9,D62))</f>
        <v>0</v>
      </c>
      <c r="I62" s="52">
        <f ca="1">IF($D$4="自选机构",[1]!S_EST_SALES_INST($E$6,$E$8,C62,$F$4)/currencyunit,[1]!S_EST_SALES_INST($E$6,$E$8,$E$9,D62)/currencyunit)</f>
        <v>0</v>
      </c>
      <c r="J62" s="52">
        <f ca="1">IF($D$4="自选机构",[1]!S_EST_NETPROFIT_INST($E$6,$E$8,C62,$F$4)/currencyunit,[1]!S_EST_NETPROFIT_INST($E$6,$E$8,$E$9,D62)/currencyunit)</f>
        <v>0</v>
      </c>
      <c r="K62" s="53">
        <f ca="1">IF($D$4="自选机构",[1]!S_EST_EPS_INST($E$6,$E$8,C62,$F$4),[1]!S_EST_EPS_INST($E$6,$E$8,$E$9,D62))</f>
        <v>0</v>
      </c>
      <c r="L62" s="51">
        <f ca="1">IF($D$4="自选机构",[1]!S_EST_NEWRATINGTIME_INST($E$6,AC62,$F$4),[1]!S_EST_NEWRATINGTIME_INST($E$6,$E$9,D62))</f>
        <v>0</v>
      </c>
      <c r="M62" s="49">
        <f ca="1">IF($D$4="自选机构",[1]!S_EST_RATINGANALYST($E$6,AC62,$F$4),IF(OR(D62=71,D62=74),"***",[1]!S_EST_RATINGANALYST($E$6,$E$9,D62)))</f>
        <v>0</v>
      </c>
      <c r="N62" s="49">
        <f ca="1">IF($D$4="自选机构",[1]!S_EST_ORGRATING_INST($E$6,AC62,$F$4),[1]!S_EST_ORGRATING_INST($E$6,$E$9,D62))</f>
        <v>0</v>
      </c>
      <c r="O62" s="54">
        <f ca="1">IF($D$4="自选机构",[1]!S_EST_SCORERATING_INST($E$6,AC62,$F$4),[1]!S_EST_SCORERATING_INST($E$6,$E$9,D62))</f>
        <v>0</v>
      </c>
      <c r="P62" s="49">
        <f ca="1">IF($D$4="自选机构",[1]!S_EST_STDRATING_INST($E$6,AC62,$F$4),[1]!S_EST_STDRATING_INST($E$6,$E$9,D62))</f>
        <v>0</v>
      </c>
      <c r="Q62" s="51">
        <f>IF($D$4="自选机构",[1]!S_EST_FRSTRATINGTIME_INST($E$6,$F$4),[1]!S_EST_FRSTRATINGTIME_INST($E$6,D62))</f>
        <v>0</v>
      </c>
      <c r="R62" s="88">
        <f t="shared" ca="1" si="6"/>
        <v>0</v>
      </c>
      <c r="S62" s="88">
        <f t="shared" ca="1" si="7"/>
        <v>0</v>
      </c>
      <c r="T62" s="88">
        <f t="shared" ca="1" si="8"/>
        <v>0</v>
      </c>
      <c r="U62" s="89" t="str">
        <f t="shared" ca="1" si="1"/>
        <v/>
      </c>
      <c r="V62" s="89"/>
      <c r="W62" s="89"/>
      <c r="X62" s="89"/>
      <c r="Y62" s="89"/>
      <c r="Z62" s="89"/>
      <c r="AA62" s="89"/>
      <c r="AB62" s="90">
        <f t="shared" ca="1" si="2"/>
        <v>0</v>
      </c>
      <c r="AC62" s="90">
        <f t="shared" ca="1" si="9"/>
        <v>45230</v>
      </c>
      <c r="AD62" s="91">
        <f ca="1">IF($D$4="自选机构",[1]!S_EST_SCORERATING_INST($E$6,L62-1,$F$4),[1]!S_EST_SCORERATING_INST($E$6,L62-1,D62))</f>
        <v>0</v>
      </c>
      <c r="AE62" s="89" t="e">
        <f t="shared" ca="1" si="3"/>
        <v>#DIV/0!</v>
      </c>
      <c r="AF62" s="89" t="str">
        <f t="shared" ca="1" si="10"/>
        <v/>
      </c>
      <c r="AG62" s="92" t="str">
        <f t="shared" ca="1" si="4"/>
        <v/>
      </c>
      <c r="AH62" s="39"/>
      <c r="AI62" s="59"/>
      <c r="AL62" s="58"/>
      <c r="AM62" s="58"/>
      <c r="AN62" s="58"/>
    </row>
    <row r="63" spans="2:40" s="57" customFormat="1" ht="16.5" x14ac:dyDescent="0.15">
      <c r="B63" s="59"/>
      <c r="C63" s="84">
        <f t="shared" ca="1" si="5"/>
        <v>-1</v>
      </c>
      <c r="D63" s="47">
        <v>49</v>
      </c>
      <c r="E63" s="41" t="str">
        <f t="shared" si="11"/>
        <v>华安证券</v>
      </c>
      <c r="F63" s="42">
        <v>1</v>
      </c>
      <c r="G63" s="41" t="str">
        <f ca="1">IF($D$4="自选机构",[1]!S_EST_ESTANALYST($E$6,$E$8,C63,$F$4),IF(OR(D63=71,D63=74),"***",[1]!S_EST_ESTANALYST($E$6,$E$8,$E$9,D63)))</f>
        <v>刘略天</v>
      </c>
      <c r="H63" s="43" t="str">
        <f ca="1">IF($D$4="自选机构",[1]!S_EST_ESTNEWTIME_INST($E$6,$E$8,C63,$F$4),[1]!S_EST_ESTNEWTIME_INST($E$6,$E$8,$E$9,D63))</f>
        <v>2023-11-01</v>
      </c>
      <c r="I63" s="44">
        <f ca="1">IF($D$4="自选机构",[1]!S_EST_SALES_INST($E$6,$E$8,C63,$F$4)/currencyunit,[1]!S_EST_SALES_INST($E$6,$E$8,$E$9,D63)/currencyunit)</f>
        <v>148697</v>
      </c>
      <c r="J63" s="44">
        <f ca="1">IF($D$4="自选机构",[1]!S_EST_NETPROFIT_INST($E$6,$E$8,C63,$F$4)/currencyunit,[1]!S_EST_NETPROFIT_INST($E$6,$E$8,$E$9,D63)/currencyunit)</f>
        <v>73888</v>
      </c>
      <c r="K63" s="45">
        <f ca="1">IF($D$4="自选机构",[1]!S_EST_EPS_INST($E$6,$E$8,C63,$F$4),[1]!S_EST_EPS_INST($E$6,$E$8,$E$9,D63))</f>
        <v>58.82</v>
      </c>
      <c r="L63" s="43" t="str">
        <f ca="1">IF($D$4="自选机构",[1]!S_EST_NEWRATINGTIME_INST($E$6,AC63,$F$4),[1]!S_EST_NEWRATINGTIME_INST($E$6,$E$9,D63))</f>
        <v>2023-11-01</v>
      </c>
      <c r="M63" s="41" t="str">
        <f ca="1">IF($D$4="自选机构",[1]!S_EST_RATINGANALYST($E$6,AC63,$F$4),IF(OR(D63=71,D63=74),"***",[1]!S_EST_RATINGANALYST($E$6,$E$9,D63)))</f>
        <v>刘略天</v>
      </c>
      <c r="N63" s="41" t="str">
        <f ca="1">IF($D$4="自选机构",[1]!S_EST_ORGRATING_INST($E$6,AC63,$F$4),[1]!S_EST_ORGRATING_INST($E$6,$E$9,D63))</f>
        <v>华安证券_买入_1</v>
      </c>
      <c r="O63" s="46">
        <f ca="1">IF($D$4="自选机构",[1]!S_EST_SCORERATING_INST($E$6,AC63,$F$4),[1]!S_EST_SCORERATING_INST($E$6,$E$9,D63))</f>
        <v>1</v>
      </c>
      <c r="P63" s="41" t="str">
        <f ca="1">IF($D$4="自选机构",[1]!S_EST_STDRATING_INST($E$6,AC63,$F$4),[1]!S_EST_STDRATING_INST($E$6,$E$9,D63))</f>
        <v>买入</v>
      </c>
      <c r="Q63" s="43" t="str">
        <f>IF($D$4="自选机构",[1]!S_EST_FRSTRATINGTIME_INST($E$6,$F$4),[1]!S_EST_FRSTRATINGTIME_INST($E$6,D63))</f>
        <v>2018-12-07</v>
      </c>
      <c r="R63" s="80">
        <f t="shared" ca="1" si="6"/>
        <v>148697</v>
      </c>
      <c r="S63" s="80">
        <f t="shared" ca="1" si="7"/>
        <v>73888</v>
      </c>
      <c r="T63" s="80">
        <f t="shared" ca="1" si="8"/>
        <v>58.82</v>
      </c>
      <c r="U63" s="82">
        <f t="shared" ca="1" si="1"/>
        <v>1</v>
      </c>
      <c r="V63" s="82"/>
      <c r="W63" s="82"/>
      <c r="X63" s="82"/>
      <c r="Y63" s="82"/>
      <c r="Z63" s="82"/>
      <c r="AA63" s="82"/>
      <c r="AB63" s="85">
        <f t="shared" ca="1" si="2"/>
        <v>45231</v>
      </c>
      <c r="AC63" s="85">
        <f t="shared" ca="1" si="9"/>
        <v>-1</v>
      </c>
      <c r="AD63" s="86">
        <f ca="1">IF($D$4="自选机构",[1]!S_EST_SCORERATING_INST($E$6,L63-1,$F$4),[1]!S_EST_SCORERATING_INST($E$6,L63-1,D63))</f>
        <v>1</v>
      </c>
      <c r="AE63" s="82" t="str">
        <f t="shared" ca="1" si="3"/>
        <v>评级不变</v>
      </c>
      <c r="AF63" s="82">
        <f t="shared" ca="1" si="10"/>
        <v>1</v>
      </c>
      <c r="AG63" s="87">
        <f t="shared" ca="1" si="4"/>
        <v>0</v>
      </c>
      <c r="AH63" s="39"/>
      <c r="AI63" s="59"/>
      <c r="AL63" s="58"/>
      <c r="AM63" s="58"/>
      <c r="AN63" s="58"/>
    </row>
    <row r="64" spans="2:40" s="57" customFormat="1" ht="16.5" x14ac:dyDescent="0.15">
      <c r="B64" s="59"/>
      <c r="C64" s="84">
        <f t="shared" ca="1" si="5"/>
        <v>45230</v>
      </c>
      <c r="D64" s="48">
        <v>50</v>
      </c>
      <c r="E64" s="49" t="str">
        <f t="shared" si="11"/>
        <v>华创证券</v>
      </c>
      <c r="F64" s="50">
        <v>1</v>
      </c>
      <c r="G64" s="49" t="str">
        <f ca="1">IF($D$4="自选机构",[1]!S_EST_ESTANALYST($E$6,$E$8,C64,$F$4),IF(OR(D64=71,D64=74),"***",[1]!S_EST_ESTANALYST($E$6,$E$8,$E$9,D64)))</f>
        <v>欧阳予</v>
      </c>
      <c r="H64" s="51" t="str">
        <f ca="1">IF($D$4="自选机构",[1]!S_EST_ESTNEWTIME_INST($E$6,$E$8,C64,$F$4),[1]!S_EST_ESTNEWTIME_INST($E$6,$E$8,$E$9,D64))</f>
        <v>2023-11-01</v>
      </c>
      <c r="I64" s="52">
        <f ca="1">IF($D$4="自选机构",[1]!S_EST_SALES_INST($E$6,$E$8,C64,$F$4)/currencyunit,[1]!S_EST_SALES_INST($E$6,$E$8,$E$9,D64)/currencyunit)</f>
        <v>150189</v>
      </c>
      <c r="J64" s="52">
        <f ca="1">IF($D$4="自选机构",[1]!S_EST_NETPROFIT_INST($E$6,$E$8,C64,$F$4)/currencyunit,[1]!S_EST_NETPROFIT_INST($E$6,$E$8,$E$9,D64)/currencyunit)</f>
        <v>75163</v>
      </c>
      <c r="K64" s="53">
        <f ca="1">IF($D$4="自选机构",[1]!S_EST_EPS_INST($E$6,$E$8,C64,$F$4),[1]!S_EST_EPS_INST($E$6,$E$8,$E$9,D64))</f>
        <v>59.83</v>
      </c>
      <c r="L64" s="51" t="str">
        <f ca="1">IF($D$4="自选机构",[1]!S_EST_NEWRATINGTIME_INST($E$6,AC64,$F$4),[1]!S_EST_NEWRATINGTIME_INST($E$6,$E$9,D64))</f>
        <v>2023-11-01</v>
      </c>
      <c r="M64" s="49" t="str">
        <f ca="1">IF($D$4="自选机构",[1]!S_EST_RATINGANALYST($E$6,AC64,$F$4),IF(OR(D64=71,D64=74),"***",[1]!S_EST_RATINGANALYST($E$6,$E$9,D64)))</f>
        <v>欧阳予</v>
      </c>
      <c r="N64" s="49" t="str">
        <f ca="1">IF($D$4="自选机构",[1]!S_EST_ORGRATING_INST($E$6,AC64,$F$4),[1]!S_EST_ORGRATING_INST($E$6,$E$9,D64))</f>
        <v>华创证券_强推_1</v>
      </c>
      <c r="O64" s="54">
        <f ca="1">IF($D$4="自选机构",[1]!S_EST_SCORERATING_INST($E$6,AC64,$F$4),[1]!S_EST_SCORERATING_INST($E$6,$E$9,D64))</f>
        <v>1</v>
      </c>
      <c r="P64" s="49" t="str">
        <f ca="1">IF($D$4="自选机构",[1]!S_EST_STDRATING_INST($E$6,AC64,$F$4),[1]!S_EST_STDRATING_INST($E$6,$E$9,D64))</f>
        <v>买入</v>
      </c>
      <c r="Q64" s="51" t="str">
        <f>IF($D$4="自选机构",[1]!S_EST_FRSTRATINGTIME_INST($E$6,$F$4),[1]!S_EST_FRSTRATINGTIME_INST($E$6,D64))</f>
        <v>2010-12-10</v>
      </c>
      <c r="R64" s="88">
        <f t="shared" ca="1" si="6"/>
        <v>150189</v>
      </c>
      <c r="S64" s="88">
        <f t="shared" ca="1" si="7"/>
        <v>75163</v>
      </c>
      <c r="T64" s="88">
        <f t="shared" ca="1" si="8"/>
        <v>59.83</v>
      </c>
      <c r="U64" s="89">
        <f t="shared" ca="1" si="1"/>
        <v>1</v>
      </c>
      <c r="V64" s="89"/>
      <c r="W64" s="89"/>
      <c r="X64" s="89"/>
      <c r="Y64" s="89"/>
      <c r="Z64" s="89"/>
      <c r="AA64" s="89"/>
      <c r="AB64" s="90">
        <f t="shared" ca="1" si="2"/>
        <v>45231</v>
      </c>
      <c r="AC64" s="90">
        <f t="shared" ca="1" si="9"/>
        <v>45230</v>
      </c>
      <c r="AD64" s="91">
        <f ca="1">IF($D$4="自选机构",[1]!S_EST_SCORERATING_INST($E$6,L64-1,$F$4),[1]!S_EST_SCORERATING_INST($E$6,L64-1,D64))</f>
        <v>1</v>
      </c>
      <c r="AE64" s="89" t="str">
        <f t="shared" ca="1" si="3"/>
        <v>评级不变</v>
      </c>
      <c r="AF64" s="89">
        <f t="shared" ca="1" si="10"/>
        <v>1</v>
      </c>
      <c r="AG64" s="92">
        <f t="shared" ca="1" si="4"/>
        <v>0</v>
      </c>
      <c r="AH64" s="39"/>
      <c r="AI64" s="59"/>
      <c r="AL64" s="58"/>
      <c r="AM64" s="58"/>
      <c r="AN64" s="58"/>
    </row>
    <row r="65" spans="2:40" ht="16.5" x14ac:dyDescent="0.15">
      <c r="B65" s="59"/>
      <c r="C65" s="84">
        <f t="shared" ca="1" si="5"/>
        <v>45230</v>
      </c>
      <c r="D65" s="47">
        <v>51</v>
      </c>
      <c r="E65" s="41" t="str">
        <f t="shared" si="11"/>
        <v>华林证券</v>
      </c>
      <c r="F65" s="42">
        <v>1</v>
      </c>
      <c r="G65" s="41">
        <f ca="1">IF($D$4="自选机构",[1]!S_EST_ESTANALYST($E$6,$E$8,C65,$F$4),IF(OR(D65=71,D65=74),"***",[1]!S_EST_ESTANALYST($E$6,$E$8,$E$9,D65)))</f>
        <v>0</v>
      </c>
      <c r="H65" s="43">
        <f ca="1">IF($D$4="自选机构",[1]!S_EST_ESTNEWTIME_INST($E$6,$E$8,C65,$F$4),[1]!S_EST_ESTNEWTIME_INST($E$6,$E$8,$E$9,D65))</f>
        <v>0</v>
      </c>
      <c r="I65" s="44">
        <f ca="1">IF($D$4="自选机构",[1]!S_EST_SALES_INST($E$6,$E$8,C65,$F$4)/currencyunit,[1]!S_EST_SALES_INST($E$6,$E$8,$E$9,D65)/currencyunit)</f>
        <v>0</v>
      </c>
      <c r="J65" s="44">
        <f ca="1">IF($D$4="自选机构",[1]!S_EST_NETPROFIT_INST($E$6,$E$8,C65,$F$4)/currencyunit,[1]!S_EST_NETPROFIT_INST($E$6,$E$8,$E$9,D65)/currencyunit)</f>
        <v>0</v>
      </c>
      <c r="K65" s="45">
        <f ca="1">IF($D$4="自选机构",[1]!S_EST_EPS_INST($E$6,$E$8,C65,$F$4),[1]!S_EST_EPS_INST($E$6,$E$8,$E$9,D65))</f>
        <v>0</v>
      </c>
      <c r="L65" s="43">
        <f ca="1">IF($D$4="自选机构",[1]!S_EST_NEWRATINGTIME_INST($E$6,AC65,$F$4),[1]!S_EST_NEWRATINGTIME_INST($E$6,$E$9,D65))</f>
        <v>0</v>
      </c>
      <c r="M65" s="41">
        <f ca="1">IF($D$4="自选机构",[1]!S_EST_RATINGANALYST($E$6,AC65,$F$4),IF(OR(D65=71,D65=74),"***",[1]!S_EST_RATINGANALYST($E$6,$E$9,D65)))</f>
        <v>0</v>
      </c>
      <c r="N65" s="41">
        <f ca="1">IF($D$4="自选机构",[1]!S_EST_ORGRATING_INST($E$6,AC65,$F$4),[1]!S_EST_ORGRATING_INST($E$6,$E$9,D65))</f>
        <v>0</v>
      </c>
      <c r="O65" s="46">
        <f ca="1">IF($D$4="自选机构",[1]!S_EST_SCORERATING_INST($E$6,AC65,$F$4),[1]!S_EST_SCORERATING_INST($E$6,$E$9,D65))</f>
        <v>0</v>
      </c>
      <c r="P65" s="41">
        <f ca="1">IF($D$4="自选机构",[1]!S_EST_STDRATING_INST($E$6,AC65,$F$4),[1]!S_EST_STDRATING_INST($E$6,$E$9,D65))</f>
        <v>0</v>
      </c>
      <c r="Q65" s="43">
        <f>IF($D$4="自选机构",[1]!S_EST_FRSTRATINGTIME_INST($E$6,$F$4),[1]!S_EST_FRSTRATINGTIME_INST($E$6,D65))</f>
        <v>0</v>
      </c>
      <c r="R65" s="80">
        <f t="shared" ca="1" si="6"/>
        <v>0</v>
      </c>
      <c r="S65" s="80">
        <f t="shared" ca="1" si="7"/>
        <v>0</v>
      </c>
      <c r="T65" s="80">
        <f t="shared" ca="1" si="8"/>
        <v>0</v>
      </c>
      <c r="U65" s="82" t="str">
        <f t="shared" ca="1" si="1"/>
        <v/>
      </c>
      <c r="V65" s="82"/>
      <c r="W65" s="82"/>
      <c r="X65" s="82"/>
      <c r="Y65" s="82"/>
      <c r="Z65" s="82"/>
      <c r="AA65" s="82"/>
      <c r="AB65" s="85">
        <f t="shared" ca="1" si="2"/>
        <v>0</v>
      </c>
      <c r="AC65" s="85">
        <f t="shared" ca="1" si="9"/>
        <v>45230</v>
      </c>
      <c r="AD65" s="86">
        <f ca="1">IF($D$4="自选机构",[1]!S_EST_SCORERATING_INST($E$6,L65-1,$F$4),[1]!S_EST_SCORERATING_INST($E$6,L65-1,D65))</f>
        <v>0</v>
      </c>
      <c r="AE65" s="82" t="e">
        <f t="shared" ca="1" si="3"/>
        <v>#DIV/0!</v>
      </c>
      <c r="AF65" s="82" t="str">
        <f t="shared" ca="1" si="10"/>
        <v/>
      </c>
      <c r="AG65" s="87" t="str">
        <f t="shared" ca="1" si="4"/>
        <v/>
      </c>
      <c r="AH65" s="39"/>
      <c r="AI65" s="59"/>
      <c r="AK65" s="57"/>
    </row>
    <row r="66" spans="2:40" ht="16.5" x14ac:dyDescent="0.15">
      <c r="B66" s="59"/>
      <c r="C66" s="84">
        <f t="shared" ca="1" si="5"/>
        <v>-1</v>
      </c>
      <c r="D66" s="48">
        <v>52</v>
      </c>
      <c r="E66" s="49" t="str">
        <f t="shared" si="11"/>
        <v>华融证券</v>
      </c>
      <c r="F66" s="50">
        <v>1</v>
      </c>
      <c r="G66" s="49">
        <f ca="1">IF($D$4="自选机构",[1]!S_EST_ESTANALYST($E$6,$E$8,C66,$F$4),IF(OR(D66=71,D66=74),"***",[1]!S_EST_ESTANALYST($E$6,$E$8,$E$9,D66)))</f>
        <v>0</v>
      </c>
      <c r="H66" s="51">
        <f ca="1">IF($D$4="自选机构",[1]!S_EST_ESTNEWTIME_INST($E$6,$E$8,C66,$F$4),[1]!S_EST_ESTNEWTIME_INST($E$6,$E$8,$E$9,D66))</f>
        <v>0</v>
      </c>
      <c r="I66" s="52">
        <f ca="1">IF($D$4="自选机构",[1]!S_EST_SALES_INST($E$6,$E$8,C66,$F$4)/currencyunit,[1]!S_EST_SALES_INST($E$6,$E$8,$E$9,D66)/currencyunit)</f>
        <v>0</v>
      </c>
      <c r="J66" s="52">
        <f ca="1">IF($D$4="自选机构",[1]!S_EST_NETPROFIT_INST($E$6,$E$8,C66,$F$4)/currencyunit,[1]!S_EST_NETPROFIT_INST($E$6,$E$8,$E$9,D66)/currencyunit)</f>
        <v>0</v>
      </c>
      <c r="K66" s="53">
        <f ca="1">IF($D$4="自选机构",[1]!S_EST_EPS_INST($E$6,$E$8,C66,$F$4),[1]!S_EST_EPS_INST($E$6,$E$8,$E$9,D66))</f>
        <v>0</v>
      </c>
      <c r="L66" s="51">
        <f ca="1">IF($D$4="自选机构",[1]!S_EST_NEWRATINGTIME_INST($E$6,AC66,$F$4),[1]!S_EST_NEWRATINGTIME_INST($E$6,$E$9,D66))</f>
        <v>0</v>
      </c>
      <c r="M66" s="49">
        <f ca="1">IF($D$4="自选机构",[1]!S_EST_RATINGANALYST($E$6,AC66,$F$4),IF(OR(D66=71,D66=74),"***",[1]!S_EST_RATINGANALYST($E$6,$E$9,D66)))</f>
        <v>0</v>
      </c>
      <c r="N66" s="49">
        <f ca="1">IF($D$4="自选机构",[1]!S_EST_ORGRATING_INST($E$6,AC66,$F$4),[1]!S_EST_ORGRATING_INST($E$6,$E$9,D66))</f>
        <v>0</v>
      </c>
      <c r="O66" s="54">
        <f ca="1">IF($D$4="自选机构",[1]!S_EST_SCORERATING_INST($E$6,AC66,$F$4),[1]!S_EST_SCORERATING_INST($E$6,$E$9,D66))</f>
        <v>0</v>
      </c>
      <c r="P66" s="49">
        <f ca="1">IF($D$4="自选机构",[1]!S_EST_STDRATING_INST($E$6,AC66,$F$4),[1]!S_EST_STDRATING_INST($E$6,$E$9,D66))</f>
        <v>0</v>
      </c>
      <c r="Q66" s="51" t="str">
        <f>IF($D$4="自选机构",[1]!S_EST_FRSTRATINGTIME_INST($E$6,$F$4),[1]!S_EST_FRSTRATINGTIME_INST($E$6,D66))</f>
        <v>2015-08-28</v>
      </c>
      <c r="R66" s="88">
        <f t="shared" ca="1" si="6"/>
        <v>0</v>
      </c>
      <c r="S66" s="88">
        <f t="shared" ca="1" si="7"/>
        <v>0</v>
      </c>
      <c r="T66" s="88">
        <f t="shared" ca="1" si="8"/>
        <v>0</v>
      </c>
      <c r="U66" s="89" t="str">
        <f t="shared" ca="1" si="1"/>
        <v/>
      </c>
      <c r="V66" s="89"/>
      <c r="W66" s="89"/>
      <c r="X66" s="89"/>
      <c r="Y66" s="89"/>
      <c r="Z66" s="89"/>
      <c r="AA66" s="89"/>
      <c r="AB66" s="90">
        <f t="shared" ca="1" si="2"/>
        <v>0</v>
      </c>
      <c r="AC66" s="90">
        <f t="shared" ca="1" si="9"/>
        <v>-1</v>
      </c>
      <c r="AD66" s="91">
        <f ca="1">IF($D$4="自选机构",[1]!S_EST_SCORERATING_INST($E$6,L66-1,$F$4),[1]!S_EST_SCORERATING_INST($E$6,L66-1,D66))</f>
        <v>0</v>
      </c>
      <c r="AE66" s="89" t="e">
        <f t="shared" ca="1" si="3"/>
        <v>#DIV/0!</v>
      </c>
      <c r="AF66" s="89" t="str">
        <f t="shared" ca="1" si="10"/>
        <v/>
      </c>
      <c r="AG66" s="92" t="str">
        <f t="shared" ca="1" si="4"/>
        <v/>
      </c>
      <c r="AH66" s="39"/>
      <c r="AI66" s="59"/>
      <c r="AK66" s="57"/>
    </row>
    <row r="67" spans="2:40" s="57" customFormat="1" ht="16.5" x14ac:dyDescent="0.15">
      <c r="B67" s="59"/>
      <c r="C67" s="84">
        <f t="shared" ca="1" si="5"/>
        <v>-1</v>
      </c>
      <c r="D67" s="47">
        <v>53</v>
      </c>
      <c r="E67" s="41" t="str">
        <f t="shared" si="11"/>
        <v>江海证券</v>
      </c>
      <c r="F67" s="42">
        <v>1</v>
      </c>
      <c r="G67" s="41">
        <f ca="1">IF($D$4="自选机构",[1]!S_EST_ESTANALYST($E$6,$E$8,C67,$F$4),IF(OR(D67=71,D67=74),"***",[1]!S_EST_ESTANALYST($E$6,$E$8,$E$9,D67)))</f>
        <v>0</v>
      </c>
      <c r="H67" s="43">
        <f ca="1">IF($D$4="自选机构",[1]!S_EST_ESTNEWTIME_INST($E$6,$E$8,C67,$F$4),[1]!S_EST_ESTNEWTIME_INST($E$6,$E$8,$E$9,D67))</f>
        <v>0</v>
      </c>
      <c r="I67" s="44">
        <f ca="1">IF($D$4="自选机构",[1]!S_EST_SALES_INST($E$6,$E$8,C67,$F$4)/currencyunit,[1]!S_EST_SALES_INST($E$6,$E$8,$E$9,D67)/currencyunit)</f>
        <v>0</v>
      </c>
      <c r="J67" s="44">
        <f ca="1">IF($D$4="自选机构",[1]!S_EST_NETPROFIT_INST($E$6,$E$8,C67,$F$4)/currencyunit,[1]!S_EST_NETPROFIT_INST($E$6,$E$8,$E$9,D67)/currencyunit)</f>
        <v>0</v>
      </c>
      <c r="K67" s="45">
        <f ca="1">IF($D$4="自选机构",[1]!S_EST_EPS_INST($E$6,$E$8,C67,$F$4),[1]!S_EST_EPS_INST($E$6,$E$8,$E$9,D67))</f>
        <v>0</v>
      </c>
      <c r="L67" s="43">
        <f ca="1">IF($D$4="自选机构",[1]!S_EST_NEWRATINGTIME_INST($E$6,AC67,$F$4),[1]!S_EST_NEWRATINGTIME_INST($E$6,$E$9,D67))</f>
        <v>0</v>
      </c>
      <c r="M67" s="41">
        <f ca="1">IF($D$4="自选机构",[1]!S_EST_RATINGANALYST($E$6,AC67,$F$4),IF(OR(D67=71,D67=74),"***",[1]!S_EST_RATINGANALYST($E$6,$E$9,D67)))</f>
        <v>0</v>
      </c>
      <c r="N67" s="41">
        <f ca="1">IF($D$4="自选机构",[1]!S_EST_ORGRATING_INST($E$6,AC67,$F$4),[1]!S_EST_ORGRATING_INST($E$6,$E$9,D67))</f>
        <v>0</v>
      </c>
      <c r="O67" s="46">
        <f ca="1">IF($D$4="自选机构",[1]!S_EST_SCORERATING_INST($E$6,AC67,$F$4),[1]!S_EST_SCORERATING_INST($E$6,$E$9,D67))</f>
        <v>0</v>
      </c>
      <c r="P67" s="41">
        <f ca="1">IF($D$4="自选机构",[1]!S_EST_STDRATING_INST($E$6,AC67,$F$4),[1]!S_EST_STDRATING_INST($E$6,$E$9,D67))</f>
        <v>0</v>
      </c>
      <c r="Q67" s="43">
        <f>IF($D$4="自选机构",[1]!S_EST_FRSTRATINGTIME_INST($E$6,$F$4),[1]!S_EST_FRSTRATINGTIME_INST($E$6,D67))</f>
        <v>0</v>
      </c>
      <c r="R67" s="80">
        <f t="shared" ca="1" si="6"/>
        <v>0</v>
      </c>
      <c r="S67" s="80">
        <f t="shared" ca="1" si="7"/>
        <v>0</v>
      </c>
      <c r="T67" s="80">
        <f t="shared" ca="1" si="8"/>
        <v>0</v>
      </c>
      <c r="U67" s="82" t="str">
        <f t="shared" ca="1" si="1"/>
        <v/>
      </c>
      <c r="V67" s="93"/>
      <c r="W67" s="93"/>
      <c r="X67" s="93"/>
      <c r="Y67" s="93"/>
      <c r="Z67" s="93"/>
      <c r="AA67" s="94"/>
      <c r="AB67" s="85">
        <f t="shared" ca="1" si="2"/>
        <v>0</v>
      </c>
      <c r="AC67" s="85">
        <f t="shared" ca="1" si="9"/>
        <v>-1</v>
      </c>
      <c r="AD67" s="86">
        <f ca="1">IF($D$4="自选机构",[1]!S_EST_SCORERATING_INST($E$6,L67-1,$F$4),[1]!S_EST_SCORERATING_INST($E$6,L67-1,D67))</f>
        <v>0</v>
      </c>
      <c r="AE67" s="82" t="e">
        <f t="shared" ca="1" si="3"/>
        <v>#DIV/0!</v>
      </c>
      <c r="AF67" s="82" t="str">
        <f t="shared" ca="1" si="10"/>
        <v/>
      </c>
      <c r="AG67" s="87" t="str">
        <f t="shared" ca="1" si="4"/>
        <v/>
      </c>
      <c r="AH67" s="39"/>
      <c r="AI67" s="59"/>
      <c r="AL67" s="58"/>
      <c r="AM67" s="58"/>
      <c r="AN67" s="58"/>
    </row>
    <row r="68" spans="2:40" s="57" customFormat="1" ht="16.5" x14ac:dyDescent="0.15">
      <c r="B68" s="59"/>
      <c r="C68" s="84">
        <f t="shared" ca="1" si="5"/>
        <v>-1</v>
      </c>
      <c r="D68" s="48">
        <v>54</v>
      </c>
      <c r="E68" s="49" t="str">
        <f t="shared" si="11"/>
        <v>金元证券</v>
      </c>
      <c r="F68" s="50">
        <v>1</v>
      </c>
      <c r="G68" s="49">
        <f ca="1">IF($D$4="自选机构",[1]!S_EST_ESTANALYST($E$6,$E$8,C68,$F$4),IF(OR(D68=71,D68=74),"***",[1]!S_EST_ESTANALYST($E$6,$E$8,$E$9,D68)))</f>
        <v>0</v>
      </c>
      <c r="H68" s="51">
        <f ca="1">IF($D$4="自选机构",[1]!S_EST_ESTNEWTIME_INST($E$6,$E$8,C68,$F$4),[1]!S_EST_ESTNEWTIME_INST($E$6,$E$8,$E$9,D68))</f>
        <v>0</v>
      </c>
      <c r="I68" s="52">
        <f ca="1">IF($D$4="自选机构",[1]!S_EST_SALES_INST($E$6,$E$8,C68,$F$4)/currencyunit,[1]!S_EST_SALES_INST($E$6,$E$8,$E$9,D68)/currencyunit)</f>
        <v>0</v>
      </c>
      <c r="J68" s="52">
        <f ca="1">IF($D$4="自选机构",[1]!S_EST_NETPROFIT_INST($E$6,$E$8,C68,$F$4)/currencyunit,[1]!S_EST_NETPROFIT_INST($E$6,$E$8,$E$9,D68)/currencyunit)</f>
        <v>0</v>
      </c>
      <c r="K68" s="53">
        <f ca="1">IF($D$4="自选机构",[1]!S_EST_EPS_INST($E$6,$E$8,C68,$F$4),[1]!S_EST_EPS_INST($E$6,$E$8,$E$9,D68))</f>
        <v>0</v>
      </c>
      <c r="L68" s="51">
        <f ca="1">IF($D$4="自选机构",[1]!S_EST_NEWRATINGTIME_INST($E$6,AC68,$F$4),[1]!S_EST_NEWRATINGTIME_INST($E$6,$E$9,D68))</f>
        <v>0</v>
      </c>
      <c r="M68" s="49">
        <f ca="1">IF($D$4="自选机构",[1]!S_EST_RATINGANALYST($E$6,AC68,$F$4),IF(OR(D68=71,D68=74),"***",[1]!S_EST_RATINGANALYST($E$6,$E$9,D68)))</f>
        <v>0</v>
      </c>
      <c r="N68" s="49">
        <f ca="1">IF($D$4="自选机构",[1]!S_EST_ORGRATING_INST($E$6,AC68,$F$4),[1]!S_EST_ORGRATING_INST($E$6,$E$9,D68))</f>
        <v>0</v>
      </c>
      <c r="O68" s="54">
        <f ca="1">IF($D$4="自选机构",[1]!S_EST_SCORERATING_INST($E$6,AC68,$F$4),[1]!S_EST_SCORERATING_INST($E$6,$E$9,D68))</f>
        <v>0</v>
      </c>
      <c r="P68" s="49">
        <f ca="1">IF($D$4="自选机构",[1]!S_EST_STDRATING_INST($E$6,AC68,$F$4),[1]!S_EST_STDRATING_INST($E$6,$E$9,D68))</f>
        <v>0</v>
      </c>
      <c r="Q68" s="51" t="str">
        <f>IF($D$4="自选机构",[1]!S_EST_FRSTRATINGTIME_INST($E$6,$F$4),[1]!S_EST_FRSTRATINGTIME_INST($E$6,D68))</f>
        <v>2007-06-06</v>
      </c>
      <c r="R68" s="88">
        <f t="shared" ca="1" si="6"/>
        <v>0</v>
      </c>
      <c r="S68" s="88">
        <f t="shared" ca="1" si="7"/>
        <v>0</v>
      </c>
      <c r="T68" s="88">
        <f t="shared" ca="1" si="8"/>
        <v>0</v>
      </c>
      <c r="U68" s="89" t="str">
        <f t="shared" ca="1" si="1"/>
        <v/>
      </c>
      <c r="V68" s="89"/>
      <c r="W68" s="89"/>
      <c r="X68" s="89"/>
      <c r="Y68" s="89"/>
      <c r="Z68" s="89"/>
      <c r="AA68" s="89"/>
      <c r="AB68" s="90">
        <f t="shared" ca="1" si="2"/>
        <v>0</v>
      </c>
      <c r="AC68" s="90">
        <f t="shared" ca="1" si="9"/>
        <v>-1</v>
      </c>
      <c r="AD68" s="91">
        <f ca="1">IF($D$4="自选机构",[1]!S_EST_SCORERATING_INST($E$6,L68-1,$F$4),[1]!S_EST_SCORERATING_INST($E$6,L68-1,D68))</f>
        <v>0</v>
      </c>
      <c r="AE68" s="89" t="e">
        <f t="shared" ca="1" si="3"/>
        <v>#DIV/0!</v>
      </c>
      <c r="AF68" s="89" t="str">
        <f t="shared" ca="1" si="10"/>
        <v/>
      </c>
      <c r="AG68" s="92" t="str">
        <f t="shared" ca="1" si="4"/>
        <v/>
      </c>
      <c r="AH68" s="39"/>
      <c r="AI68" s="59"/>
      <c r="AL68" s="58"/>
      <c r="AM68" s="58"/>
      <c r="AN68" s="58"/>
    </row>
    <row r="69" spans="2:40" s="57" customFormat="1" ht="16.5" x14ac:dyDescent="0.15">
      <c r="B69" s="59"/>
      <c r="C69" s="84">
        <f t="shared" ca="1" si="5"/>
        <v>-1</v>
      </c>
      <c r="D69" s="47">
        <v>55</v>
      </c>
      <c r="E69" s="41" t="str">
        <f t="shared" si="11"/>
        <v>民生证券</v>
      </c>
      <c r="F69" s="42">
        <v>1</v>
      </c>
      <c r="G69" s="41" t="str">
        <f ca="1">IF($D$4="自选机构",[1]!S_EST_ESTANALYST($E$6,$E$8,C69,$F$4),IF(OR(D69=71,D69=74),"***",[1]!S_EST_ESTANALYST($E$6,$E$8,$E$9,D69)))</f>
        <v>王言海</v>
      </c>
      <c r="H69" s="43" t="str">
        <f ca="1">IF($D$4="自选机构",[1]!S_EST_ESTNEWTIME_INST($E$6,$E$8,C69,$F$4),[1]!S_EST_ESTNEWTIME_INST($E$6,$E$8,$E$9,D69))</f>
        <v>2023-11-02</v>
      </c>
      <c r="I69" s="44">
        <f ca="1">IF($D$4="自选机构",[1]!S_EST_SALES_INST($E$6,$E$8,C69,$F$4)/currencyunit,[1]!S_EST_SALES_INST($E$6,$E$8,$E$9,D69)/currencyunit)</f>
        <v>150546</v>
      </c>
      <c r="J69" s="44">
        <f ca="1">IF($D$4="自选机构",[1]!S_EST_NETPROFIT_INST($E$6,$E$8,C69,$F$4)/currencyunit,[1]!S_EST_NETPROFIT_INST($E$6,$E$8,$E$9,D69)/currencyunit)</f>
        <v>74854</v>
      </c>
      <c r="K69" s="45">
        <f ca="1">IF($D$4="自选机构",[1]!S_EST_EPS_INST($E$6,$E$8,C69,$F$4),[1]!S_EST_EPS_INST($E$6,$E$8,$E$9,D69))</f>
        <v>59.59</v>
      </c>
      <c r="L69" s="43" t="str">
        <f ca="1">IF($D$4="自选机构",[1]!S_EST_NEWRATINGTIME_INST($E$6,AC69,$F$4),[1]!S_EST_NEWRATINGTIME_INST($E$6,$E$9,D69))</f>
        <v>2023-11-02</v>
      </c>
      <c r="M69" s="41" t="str">
        <f ca="1">IF($D$4="自选机构",[1]!S_EST_RATINGANALYST($E$6,AC69,$F$4),IF(OR(D69=71,D69=74),"***",[1]!S_EST_RATINGANALYST($E$6,$E$9,D69)))</f>
        <v>王言海</v>
      </c>
      <c r="N69" s="41" t="str">
        <f ca="1">IF($D$4="自选机构",[1]!S_EST_ORGRATING_INST($E$6,AC69,$F$4),[1]!S_EST_ORGRATING_INST($E$6,$E$9,D69))</f>
        <v>民生证券_推荐_1</v>
      </c>
      <c r="O69" s="46">
        <f ca="1">IF($D$4="自选机构",[1]!S_EST_SCORERATING_INST($E$6,AC69,$F$4),[1]!S_EST_SCORERATING_INST($E$6,$E$9,D69))</f>
        <v>1</v>
      </c>
      <c r="P69" s="41" t="str">
        <f ca="1">IF($D$4="自选机构",[1]!S_EST_STDRATING_INST($E$6,AC69,$F$4),[1]!S_EST_STDRATING_INST($E$6,$E$9,D69))</f>
        <v>买入</v>
      </c>
      <c r="Q69" s="43" t="str">
        <f>IF($D$4="自选机构",[1]!S_EST_FRSTRATINGTIME_INST($E$6,$F$4),[1]!S_EST_FRSTRATINGTIME_INST($E$6,D69))</f>
        <v>2011-06-21</v>
      </c>
      <c r="R69" s="80">
        <f t="shared" ca="1" si="6"/>
        <v>150546</v>
      </c>
      <c r="S69" s="80">
        <f t="shared" ca="1" si="7"/>
        <v>74854</v>
      </c>
      <c r="T69" s="80">
        <f t="shared" ca="1" si="8"/>
        <v>59.59</v>
      </c>
      <c r="U69" s="82">
        <f t="shared" ca="1" si="1"/>
        <v>1</v>
      </c>
      <c r="V69" s="82"/>
      <c r="W69" s="82"/>
      <c r="X69" s="82"/>
      <c r="Y69" s="82"/>
      <c r="Z69" s="82"/>
      <c r="AA69" s="82"/>
      <c r="AB69" s="85">
        <f t="shared" ca="1" si="2"/>
        <v>45232</v>
      </c>
      <c r="AC69" s="85">
        <f t="shared" ca="1" si="9"/>
        <v>-1</v>
      </c>
      <c r="AD69" s="86">
        <f ca="1">IF($D$4="自选机构",[1]!S_EST_SCORERATING_INST($E$6,L69-1,$F$4),[1]!S_EST_SCORERATING_INST($E$6,L69-1,D69))</f>
        <v>1</v>
      </c>
      <c r="AE69" s="82" t="str">
        <f t="shared" ca="1" si="3"/>
        <v>评级不变</v>
      </c>
      <c r="AF69" s="82">
        <f t="shared" ca="1" si="10"/>
        <v>1</v>
      </c>
      <c r="AG69" s="87">
        <f t="shared" ca="1" si="4"/>
        <v>0</v>
      </c>
      <c r="AH69" s="39"/>
      <c r="AI69" s="59"/>
      <c r="AL69" s="58"/>
      <c r="AM69" s="58"/>
      <c r="AN69" s="58"/>
    </row>
    <row r="70" spans="2:40" s="57" customFormat="1" ht="16.5" x14ac:dyDescent="0.15">
      <c r="B70" s="59"/>
      <c r="C70" s="84">
        <f t="shared" ca="1" si="5"/>
        <v>45231</v>
      </c>
      <c r="D70" s="48">
        <v>56</v>
      </c>
      <c r="E70" s="49" t="str">
        <f t="shared" si="11"/>
        <v>南京证券</v>
      </c>
      <c r="F70" s="50">
        <v>1</v>
      </c>
      <c r="G70" s="49">
        <f ca="1">IF($D$4="自选机构",[1]!S_EST_ESTANALYST($E$6,$E$8,C70,$F$4),IF(OR(D70=71,D70=74),"***",[1]!S_EST_ESTANALYST($E$6,$E$8,$E$9,D70)))</f>
        <v>0</v>
      </c>
      <c r="H70" s="51">
        <f ca="1">IF($D$4="自选机构",[1]!S_EST_ESTNEWTIME_INST($E$6,$E$8,C70,$F$4),[1]!S_EST_ESTNEWTIME_INST($E$6,$E$8,$E$9,D70))</f>
        <v>0</v>
      </c>
      <c r="I70" s="52">
        <f ca="1">IF($D$4="自选机构",[1]!S_EST_SALES_INST($E$6,$E$8,C70,$F$4)/currencyunit,[1]!S_EST_SALES_INST($E$6,$E$8,$E$9,D70)/currencyunit)</f>
        <v>0</v>
      </c>
      <c r="J70" s="52">
        <f ca="1">IF($D$4="自选机构",[1]!S_EST_NETPROFIT_INST($E$6,$E$8,C70,$F$4)/currencyunit,[1]!S_EST_NETPROFIT_INST($E$6,$E$8,$E$9,D70)/currencyunit)</f>
        <v>0</v>
      </c>
      <c r="K70" s="53">
        <f ca="1">IF($D$4="自选机构",[1]!S_EST_EPS_INST($E$6,$E$8,C70,$F$4),[1]!S_EST_EPS_INST($E$6,$E$8,$E$9,D70))</f>
        <v>0</v>
      </c>
      <c r="L70" s="51">
        <f ca="1">IF($D$4="自选机构",[1]!S_EST_NEWRATINGTIME_INST($E$6,AC70,$F$4),[1]!S_EST_NEWRATINGTIME_INST($E$6,$E$9,D70))</f>
        <v>0</v>
      </c>
      <c r="M70" s="49">
        <f ca="1">IF($D$4="自选机构",[1]!S_EST_RATINGANALYST($E$6,AC70,$F$4),IF(OR(D70=71,D70=74),"***",[1]!S_EST_RATINGANALYST($E$6,$E$9,D70)))</f>
        <v>0</v>
      </c>
      <c r="N70" s="49">
        <f ca="1">IF($D$4="自选机构",[1]!S_EST_ORGRATING_INST($E$6,AC70,$F$4),[1]!S_EST_ORGRATING_INST($E$6,$E$9,D70))</f>
        <v>0</v>
      </c>
      <c r="O70" s="54">
        <f ca="1">IF($D$4="自选机构",[1]!S_EST_SCORERATING_INST($E$6,AC70,$F$4),[1]!S_EST_SCORERATING_INST($E$6,$E$9,D70))</f>
        <v>0</v>
      </c>
      <c r="P70" s="49">
        <f ca="1">IF($D$4="自选机构",[1]!S_EST_STDRATING_INST($E$6,AC70,$F$4),[1]!S_EST_STDRATING_INST($E$6,$E$9,D70))</f>
        <v>0</v>
      </c>
      <c r="Q70" s="51" t="str">
        <f>IF($D$4="自选机构",[1]!S_EST_FRSTRATINGTIME_INST($E$6,$F$4),[1]!S_EST_FRSTRATINGTIME_INST($E$6,D70))</f>
        <v>2008-03-13</v>
      </c>
      <c r="R70" s="88">
        <f t="shared" ca="1" si="6"/>
        <v>0</v>
      </c>
      <c r="S70" s="88">
        <f t="shared" ca="1" si="7"/>
        <v>0</v>
      </c>
      <c r="T70" s="88">
        <f t="shared" ca="1" si="8"/>
        <v>0</v>
      </c>
      <c r="U70" s="89" t="str">
        <f t="shared" ca="1" si="1"/>
        <v/>
      </c>
      <c r="V70" s="89"/>
      <c r="W70" s="89"/>
      <c r="X70" s="89"/>
      <c r="Y70" s="89"/>
      <c r="Z70" s="89"/>
      <c r="AA70" s="89"/>
      <c r="AB70" s="90">
        <f t="shared" ca="1" si="2"/>
        <v>0</v>
      </c>
      <c r="AC70" s="90">
        <f t="shared" ca="1" si="9"/>
        <v>45231</v>
      </c>
      <c r="AD70" s="91">
        <f ca="1">IF($D$4="自选机构",[1]!S_EST_SCORERATING_INST($E$6,L70-1,$F$4),[1]!S_EST_SCORERATING_INST($E$6,L70-1,D70))</f>
        <v>0</v>
      </c>
      <c r="AE70" s="89" t="e">
        <f t="shared" ca="1" si="3"/>
        <v>#DIV/0!</v>
      </c>
      <c r="AF70" s="89" t="str">
        <f t="shared" ca="1" si="10"/>
        <v/>
      </c>
      <c r="AG70" s="92" t="str">
        <f t="shared" ca="1" si="4"/>
        <v/>
      </c>
      <c r="AH70" s="39"/>
      <c r="AI70" s="59"/>
      <c r="AL70" s="58"/>
      <c r="AM70" s="58"/>
      <c r="AN70" s="58"/>
    </row>
    <row r="71" spans="2:40" ht="16.5" x14ac:dyDescent="0.15">
      <c r="B71" s="59"/>
      <c r="C71" s="84">
        <f t="shared" ca="1" si="5"/>
        <v>-1</v>
      </c>
      <c r="D71" s="47">
        <v>57</v>
      </c>
      <c r="E71" s="41" t="str">
        <f t="shared" si="11"/>
        <v>齐鲁证券</v>
      </c>
      <c r="F71" s="42">
        <v>1</v>
      </c>
      <c r="G71" s="41" t="str">
        <f ca="1">IF($D$4="自选机构",[1]!S_EST_ESTANALYST($E$6,$E$8,C71,$F$4),IF(OR(D71=71,D71=74),"***",[1]!S_EST_ESTANALYST($E$6,$E$8,$E$9,D71)))</f>
        <v>范劲松</v>
      </c>
      <c r="H71" s="43" t="str">
        <f ca="1">IF($D$4="自选机构",[1]!S_EST_ESTNEWTIME_INST($E$6,$E$8,C71,$F$4),[1]!S_EST_ESTNEWTIME_INST($E$6,$E$8,$E$9,D71))</f>
        <v>2023-10-21</v>
      </c>
      <c r="I71" s="44">
        <f ca="1">IF($D$4="自选机构",[1]!S_EST_SALES_INST($E$6,$E$8,C71,$F$4)/currencyunit,[1]!S_EST_SALES_INST($E$6,$E$8,$E$9,D71)/currencyunit)</f>
        <v>143847</v>
      </c>
      <c r="J71" s="44">
        <f ca="1">IF($D$4="自选机构",[1]!S_EST_NETPROFIT_INST($E$6,$E$8,C71,$F$4)/currencyunit,[1]!S_EST_NETPROFIT_INST($E$6,$E$8,$E$9,D71)/currencyunit)</f>
        <v>73128</v>
      </c>
      <c r="K71" s="45">
        <f ca="1">IF($D$4="自选机构",[1]!S_EST_EPS_INST($E$6,$E$8,C71,$F$4),[1]!S_EST_EPS_INST($E$6,$E$8,$E$9,D71))</f>
        <v>58.21</v>
      </c>
      <c r="L71" s="43" t="str">
        <f ca="1">IF($D$4="自选机构",[1]!S_EST_NEWRATINGTIME_INST($E$6,AC71,$F$4),[1]!S_EST_NEWRATINGTIME_INST($E$6,$E$9,D71))</f>
        <v>2023-10-21</v>
      </c>
      <c r="M71" s="41" t="str">
        <f ca="1">IF($D$4="自选机构",[1]!S_EST_RATINGANALYST($E$6,AC71,$F$4),IF(OR(D71=71,D71=74),"***",[1]!S_EST_RATINGANALYST($E$6,$E$9,D71)))</f>
        <v>范劲松</v>
      </c>
      <c r="N71" s="41" t="str">
        <f ca="1">IF($D$4="自选机构",[1]!S_EST_ORGRATING_INST($E$6,AC71,$F$4),[1]!S_EST_ORGRATING_INST($E$6,$E$9,D71))</f>
        <v>中泰证券_买入_1</v>
      </c>
      <c r="O71" s="46">
        <f ca="1">IF($D$4="自选机构",[1]!S_EST_SCORERATING_INST($E$6,AC71,$F$4),[1]!S_EST_SCORERATING_INST($E$6,$E$9,D71))</f>
        <v>1</v>
      </c>
      <c r="P71" s="41" t="str">
        <f ca="1">IF($D$4="自选机构",[1]!S_EST_STDRATING_INST($E$6,AC71,$F$4),[1]!S_EST_STDRATING_INST($E$6,$E$9,D71))</f>
        <v>买入</v>
      </c>
      <c r="Q71" s="43" t="str">
        <f>IF($D$4="自选机构",[1]!S_EST_FRSTRATINGTIME_INST($E$6,$F$4),[1]!S_EST_FRSTRATINGTIME_INST($E$6,D71))</f>
        <v>2015-05-27</v>
      </c>
      <c r="R71" s="80">
        <f t="shared" ca="1" si="6"/>
        <v>143847</v>
      </c>
      <c r="S71" s="80">
        <f t="shared" ca="1" si="7"/>
        <v>73128</v>
      </c>
      <c r="T71" s="80">
        <f t="shared" ca="1" si="8"/>
        <v>58.21</v>
      </c>
      <c r="U71" s="82">
        <f t="shared" ca="1" si="1"/>
        <v>1</v>
      </c>
      <c r="V71" s="82"/>
      <c r="W71" s="82"/>
      <c r="X71" s="82"/>
      <c r="Y71" s="82"/>
      <c r="Z71" s="82"/>
      <c r="AA71" s="82"/>
      <c r="AB71" s="85">
        <f t="shared" ca="1" si="2"/>
        <v>45220</v>
      </c>
      <c r="AC71" s="85">
        <f t="shared" ca="1" si="9"/>
        <v>-1</v>
      </c>
      <c r="AD71" s="86">
        <f ca="1">IF($D$4="自选机构",[1]!S_EST_SCORERATING_INST($E$6,L71-1,$F$4),[1]!S_EST_SCORERATING_INST($E$6,L71-1,D71))</f>
        <v>1</v>
      </c>
      <c r="AE71" s="82" t="str">
        <f t="shared" ca="1" si="3"/>
        <v>评级不变</v>
      </c>
      <c r="AF71" s="82">
        <f t="shared" ca="1" si="10"/>
        <v>1</v>
      </c>
      <c r="AG71" s="87">
        <f t="shared" ca="1" si="4"/>
        <v>0</v>
      </c>
      <c r="AH71" s="39"/>
      <c r="AI71" s="59"/>
      <c r="AK71" s="57"/>
    </row>
    <row r="72" spans="2:40" ht="16.5" x14ac:dyDescent="0.15">
      <c r="B72" s="59"/>
      <c r="C72" s="84">
        <f t="shared" ca="1" si="5"/>
        <v>45219</v>
      </c>
      <c r="D72" s="48">
        <v>58</v>
      </c>
      <c r="E72" s="49" t="str">
        <f t="shared" si="11"/>
        <v>日信证券</v>
      </c>
      <c r="F72" s="50">
        <v>1</v>
      </c>
      <c r="G72" s="49">
        <f ca="1">IF($D$4="自选机构",[1]!S_EST_ESTANALYST($E$6,$E$8,C72,$F$4),IF(OR(D72=71,D72=74),"***",[1]!S_EST_ESTANALYST($E$6,$E$8,$E$9,D72)))</f>
        <v>0</v>
      </c>
      <c r="H72" s="51">
        <f ca="1">IF($D$4="自选机构",[1]!S_EST_ESTNEWTIME_INST($E$6,$E$8,C72,$F$4),[1]!S_EST_ESTNEWTIME_INST($E$6,$E$8,$E$9,D72))</f>
        <v>0</v>
      </c>
      <c r="I72" s="52">
        <f ca="1">IF($D$4="自选机构",[1]!S_EST_SALES_INST($E$6,$E$8,C72,$F$4)/currencyunit,[1]!S_EST_SALES_INST($E$6,$E$8,$E$9,D72)/currencyunit)</f>
        <v>0</v>
      </c>
      <c r="J72" s="52">
        <f ca="1">IF($D$4="自选机构",[1]!S_EST_NETPROFIT_INST($E$6,$E$8,C72,$F$4)/currencyunit,[1]!S_EST_NETPROFIT_INST($E$6,$E$8,$E$9,D72)/currencyunit)</f>
        <v>0</v>
      </c>
      <c r="K72" s="53">
        <f ca="1">IF($D$4="自选机构",[1]!S_EST_EPS_INST($E$6,$E$8,C72,$F$4),[1]!S_EST_EPS_INST($E$6,$E$8,$E$9,D72))</f>
        <v>0</v>
      </c>
      <c r="L72" s="51">
        <f ca="1">IF($D$4="自选机构",[1]!S_EST_NEWRATINGTIME_INST($E$6,AC72,$F$4),[1]!S_EST_NEWRATINGTIME_INST($E$6,$E$9,D72))</f>
        <v>0</v>
      </c>
      <c r="M72" s="49">
        <f ca="1">IF($D$4="自选机构",[1]!S_EST_RATINGANALYST($E$6,AC72,$F$4),IF(OR(D72=71,D72=74),"***",[1]!S_EST_RATINGANALYST($E$6,$E$9,D72)))</f>
        <v>0</v>
      </c>
      <c r="N72" s="49">
        <f ca="1">IF($D$4="自选机构",[1]!S_EST_ORGRATING_INST($E$6,AC72,$F$4),[1]!S_EST_ORGRATING_INST($E$6,$E$9,D72))</f>
        <v>0</v>
      </c>
      <c r="O72" s="54">
        <f ca="1">IF($D$4="自选机构",[1]!S_EST_SCORERATING_INST($E$6,AC72,$F$4),[1]!S_EST_SCORERATING_INST($E$6,$E$9,D72))</f>
        <v>0</v>
      </c>
      <c r="P72" s="49">
        <f ca="1">IF($D$4="自选机构",[1]!S_EST_STDRATING_INST($E$6,AC72,$F$4),[1]!S_EST_STDRATING_INST($E$6,$E$9,D72))</f>
        <v>0</v>
      </c>
      <c r="Q72" s="51">
        <f>IF($D$4="自选机构",[1]!S_EST_FRSTRATINGTIME_INST($E$6,$F$4),[1]!S_EST_FRSTRATINGTIME_INST($E$6,D72))</f>
        <v>0</v>
      </c>
      <c r="R72" s="88">
        <f t="shared" ca="1" si="6"/>
        <v>0</v>
      </c>
      <c r="S72" s="88">
        <f t="shared" ca="1" si="7"/>
        <v>0</v>
      </c>
      <c r="T72" s="88">
        <f t="shared" ca="1" si="8"/>
        <v>0</v>
      </c>
      <c r="U72" s="89" t="str">
        <f t="shared" ca="1" si="1"/>
        <v/>
      </c>
      <c r="V72" s="89"/>
      <c r="W72" s="89"/>
      <c r="X72" s="89"/>
      <c r="Y72" s="89"/>
      <c r="Z72" s="89"/>
      <c r="AA72" s="89"/>
      <c r="AB72" s="90">
        <f t="shared" ca="1" si="2"/>
        <v>0</v>
      </c>
      <c r="AC72" s="90">
        <f t="shared" ca="1" si="9"/>
        <v>45219</v>
      </c>
      <c r="AD72" s="91">
        <f ca="1">IF($D$4="自选机构",[1]!S_EST_SCORERATING_INST($E$6,L72-1,$F$4),[1]!S_EST_SCORERATING_INST($E$6,L72-1,D72))</f>
        <v>0</v>
      </c>
      <c r="AE72" s="89" t="e">
        <f t="shared" ca="1" si="3"/>
        <v>#DIV/0!</v>
      </c>
      <c r="AF72" s="89" t="str">
        <f t="shared" ca="1" si="10"/>
        <v/>
      </c>
      <c r="AG72" s="92" t="str">
        <f t="shared" ca="1" si="4"/>
        <v/>
      </c>
      <c r="AH72" s="39"/>
      <c r="AI72" s="59"/>
      <c r="AK72" s="57"/>
    </row>
    <row r="73" spans="2:40" s="57" customFormat="1" ht="16.5" x14ac:dyDescent="0.15">
      <c r="B73" s="59"/>
      <c r="C73" s="84">
        <f t="shared" ca="1" si="5"/>
        <v>-1</v>
      </c>
      <c r="D73" s="47">
        <v>59</v>
      </c>
      <c r="E73" s="41" t="str">
        <f t="shared" si="11"/>
        <v>瑞信方正</v>
      </c>
      <c r="F73" s="42">
        <v>1</v>
      </c>
      <c r="G73" s="41">
        <f ca="1">IF($D$4="自选机构",[1]!S_EST_ESTANALYST($E$6,$E$8,C73,$F$4),IF(OR(D73=71,D73=74),"***",[1]!S_EST_ESTANALYST($E$6,$E$8,$E$9,D73)))</f>
        <v>0</v>
      </c>
      <c r="H73" s="43">
        <f ca="1">IF($D$4="自选机构",[1]!S_EST_ESTNEWTIME_INST($E$6,$E$8,C73,$F$4),[1]!S_EST_ESTNEWTIME_INST($E$6,$E$8,$E$9,D73))</f>
        <v>0</v>
      </c>
      <c r="I73" s="44">
        <f ca="1">IF($D$4="自选机构",[1]!S_EST_SALES_INST($E$6,$E$8,C73,$F$4)/currencyunit,[1]!S_EST_SALES_INST($E$6,$E$8,$E$9,D73)/currencyunit)</f>
        <v>0</v>
      </c>
      <c r="J73" s="44">
        <f ca="1">IF($D$4="自选机构",[1]!S_EST_NETPROFIT_INST($E$6,$E$8,C73,$F$4)/currencyunit,[1]!S_EST_NETPROFIT_INST($E$6,$E$8,$E$9,D73)/currencyunit)</f>
        <v>0</v>
      </c>
      <c r="K73" s="45">
        <f ca="1">IF($D$4="自选机构",[1]!S_EST_EPS_INST($E$6,$E$8,C73,$F$4),[1]!S_EST_EPS_INST($E$6,$E$8,$E$9,D73))</f>
        <v>0</v>
      </c>
      <c r="L73" s="43">
        <f ca="1">IF($D$4="自选机构",[1]!S_EST_NEWRATINGTIME_INST($E$6,AC73,$F$4),[1]!S_EST_NEWRATINGTIME_INST($E$6,$E$9,D73))</f>
        <v>0</v>
      </c>
      <c r="M73" s="41">
        <f ca="1">IF($D$4="自选机构",[1]!S_EST_RATINGANALYST($E$6,AC73,$F$4),IF(OR(D73=71,D73=74),"***",[1]!S_EST_RATINGANALYST($E$6,$E$9,D73)))</f>
        <v>0</v>
      </c>
      <c r="N73" s="41">
        <f ca="1">IF($D$4="自选机构",[1]!S_EST_ORGRATING_INST($E$6,AC73,$F$4),[1]!S_EST_ORGRATING_INST($E$6,$E$9,D73))</f>
        <v>0</v>
      </c>
      <c r="O73" s="46">
        <f ca="1">IF($D$4="自选机构",[1]!S_EST_SCORERATING_INST($E$6,AC73,$F$4),[1]!S_EST_SCORERATING_INST($E$6,$E$9,D73))</f>
        <v>0</v>
      </c>
      <c r="P73" s="41">
        <f ca="1">IF($D$4="自选机构",[1]!S_EST_STDRATING_INST($E$6,AC73,$F$4),[1]!S_EST_STDRATING_INST($E$6,$E$9,D73))</f>
        <v>0</v>
      </c>
      <c r="Q73" s="43">
        <f>IF($D$4="自选机构",[1]!S_EST_FRSTRATINGTIME_INST($E$6,$F$4),[1]!S_EST_FRSTRATINGTIME_INST($E$6,D73))</f>
        <v>0</v>
      </c>
      <c r="R73" s="80">
        <f t="shared" ca="1" si="6"/>
        <v>0</v>
      </c>
      <c r="S73" s="80">
        <f t="shared" ca="1" si="7"/>
        <v>0</v>
      </c>
      <c r="T73" s="80">
        <f t="shared" ca="1" si="8"/>
        <v>0</v>
      </c>
      <c r="U73" s="82" t="str">
        <f t="shared" ca="1" si="1"/>
        <v/>
      </c>
      <c r="V73" s="93"/>
      <c r="W73" s="93"/>
      <c r="X73" s="93"/>
      <c r="Y73" s="93"/>
      <c r="Z73" s="93"/>
      <c r="AA73" s="94"/>
      <c r="AB73" s="85">
        <f t="shared" ca="1" si="2"/>
        <v>0</v>
      </c>
      <c r="AC73" s="85">
        <f t="shared" ca="1" si="9"/>
        <v>-1</v>
      </c>
      <c r="AD73" s="86">
        <f ca="1">IF($D$4="自选机构",[1]!S_EST_SCORERATING_INST($E$6,L73-1,$F$4),[1]!S_EST_SCORERATING_INST($E$6,L73-1,D73))</f>
        <v>0</v>
      </c>
      <c r="AE73" s="82" t="e">
        <f t="shared" ca="1" si="3"/>
        <v>#DIV/0!</v>
      </c>
      <c r="AF73" s="82" t="str">
        <f t="shared" ca="1" si="10"/>
        <v/>
      </c>
      <c r="AG73" s="87" t="str">
        <f t="shared" ca="1" si="4"/>
        <v/>
      </c>
      <c r="AH73" s="39"/>
      <c r="AI73" s="59"/>
      <c r="AL73" s="58"/>
      <c r="AM73" s="58"/>
      <c r="AN73" s="58"/>
    </row>
    <row r="74" spans="2:40" s="57" customFormat="1" ht="16.5" x14ac:dyDescent="0.15">
      <c r="B74" s="59"/>
      <c r="C74" s="84">
        <f t="shared" ca="1" si="5"/>
        <v>-1</v>
      </c>
      <c r="D74" s="48">
        <v>60</v>
      </c>
      <c r="E74" s="49" t="str">
        <f t="shared" si="11"/>
        <v>瑞银证券</v>
      </c>
      <c r="F74" s="50">
        <v>1</v>
      </c>
      <c r="G74" s="49">
        <f ca="1">IF($D$4="自选机构",[1]!S_EST_ESTANALYST($E$6,$E$8,C74,$F$4),IF(OR(D74=71,D74=74),"***",[1]!S_EST_ESTANALYST($E$6,$E$8,$E$9,D74)))</f>
        <v>0</v>
      </c>
      <c r="H74" s="51">
        <f ca="1">IF($D$4="自选机构",[1]!S_EST_ESTNEWTIME_INST($E$6,$E$8,C74,$F$4),[1]!S_EST_ESTNEWTIME_INST($E$6,$E$8,$E$9,D74))</f>
        <v>0</v>
      </c>
      <c r="I74" s="52">
        <f ca="1">IF($D$4="自选机构",[1]!S_EST_SALES_INST($E$6,$E$8,C74,$F$4)/currencyunit,[1]!S_EST_SALES_INST($E$6,$E$8,$E$9,D74)/currencyunit)</f>
        <v>0</v>
      </c>
      <c r="J74" s="52">
        <f ca="1">IF($D$4="自选机构",[1]!S_EST_NETPROFIT_INST($E$6,$E$8,C74,$F$4)/currencyunit,[1]!S_EST_NETPROFIT_INST($E$6,$E$8,$E$9,D74)/currencyunit)</f>
        <v>0</v>
      </c>
      <c r="K74" s="53">
        <f ca="1">IF($D$4="自选机构",[1]!S_EST_EPS_INST($E$6,$E$8,C74,$F$4),[1]!S_EST_EPS_INST($E$6,$E$8,$E$9,D74))</f>
        <v>0</v>
      </c>
      <c r="L74" s="51">
        <f ca="1">IF($D$4="自选机构",[1]!S_EST_NEWRATINGTIME_INST($E$6,AC74,$F$4),[1]!S_EST_NEWRATINGTIME_INST($E$6,$E$9,D74))</f>
        <v>0</v>
      </c>
      <c r="M74" s="49">
        <f ca="1">IF($D$4="自选机构",[1]!S_EST_RATINGANALYST($E$6,AC74,$F$4),IF(OR(D74=71,D74=74),"***",[1]!S_EST_RATINGANALYST($E$6,$E$9,D74)))</f>
        <v>0</v>
      </c>
      <c r="N74" s="49">
        <f ca="1">IF($D$4="自选机构",[1]!S_EST_ORGRATING_INST($E$6,AC74,$F$4),[1]!S_EST_ORGRATING_INST($E$6,$E$9,D74))</f>
        <v>0</v>
      </c>
      <c r="O74" s="54">
        <f ca="1">IF($D$4="自选机构",[1]!S_EST_SCORERATING_INST($E$6,AC74,$F$4),[1]!S_EST_SCORERATING_INST($E$6,$E$9,D74))</f>
        <v>0</v>
      </c>
      <c r="P74" s="49">
        <f ca="1">IF($D$4="自选机构",[1]!S_EST_STDRATING_INST($E$6,AC74,$F$4),[1]!S_EST_STDRATING_INST($E$6,$E$9,D74))</f>
        <v>0</v>
      </c>
      <c r="Q74" s="51" t="str">
        <f>IF($D$4="自选机构",[1]!S_EST_FRSTRATINGTIME_INST($E$6,$F$4),[1]!S_EST_FRSTRATINGTIME_INST($E$6,D74))</f>
        <v>2008-08-29</v>
      </c>
      <c r="R74" s="88">
        <f t="shared" ca="1" si="6"/>
        <v>0</v>
      </c>
      <c r="S74" s="88">
        <f t="shared" ca="1" si="7"/>
        <v>0</v>
      </c>
      <c r="T74" s="88">
        <f t="shared" ca="1" si="8"/>
        <v>0</v>
      </c>
      <c r="U74" s="89" t="str">
        <f t="shared" ca="1" si="1"/>
        <v/>
      </c>
      <c r="V74" s="89"/>
      <c r="W74" s="89"/>
      <c r="X74" s="89"/>
      <c r="Y74" s="89"/>
      <c r="Z74" s="89"/>
      <c r="AA74" s="89"/>
      <c r="AB74" s="90">
        <f t="shared" ca="1" si="2"/>
        <v>0</v>
      </c>
      <c r="AC74" s="90">
        <f t="shared" ca="1" si="9"/>
        <v>-1</v>
      </c>
      <c r="AD74" s="91">
        <f ca="1">IF($D$4="自选机构",[1]!S_EST_SCORERATING_INST($E$6,L74-1,$F$4),[1]!S_EST_SCORERATING_INST($E$6,L74-1,D74))</f>
        <v>0</v>
      </c>
      <c r="AE74" s="89" t="e">
        <f t="shared" ca="1" si="3"/>
        <v>#DIV/0!</v>
      </c>
      <c r="AF74" s="89" t="str">
        <f t="shared" ca="1" si="10"/>
        <v/>
      </c>
      <c r="AG74" s="92" t="str">
        <f t="shared" ca="1" si="4"/>
        <v/>
      </c>
      <c r="AH74" s="39"/>
      <c r="AI74" s="59"/>
      <c r="AL74" s="58"/>
      <c r="AM74" s="58"/>
      <c r="AN74" s="58"/>
    </row>
    <row r="75" spans="2:40" s="57" customFormat="1" ht="16.5" x14ac:dyDescent="0.15">
      <c r="B75" s="59"/>
      <c r="C75" s="84">
        <f t="shared" ca="1" si="5"/>
        <v>-1</v>
      </c>
      <c r="D75" s="47">
        <v>61</v>
      </c>
      <c r="E75" s="41" t="str">
        <f t="shared" si="11"/>
        <v>山西证券</v>
      </c>
      <c r="F75" s="42">
        <v>1</v>
      </c>
      <c r="G75" s="41" t="str">
        <f ca="1">IF($D$4="自选机构",[1]!S_EST_ESTANALYST($E$6,$E$8,C75,$F$4),IF(OR(D75=71,D75=74),"***",[1]!S_EST_ESTANALYST($E$6,$E$8,$E$9,D75)))</f>
        <v>周蓉</v>
      </c>
      <c r="H75" s="43" t="str">
        <f ca="1">IF($D$4="自选机构",[1]!S_EST_ESTNEWTIME_INST($E$6,$E$8,C75,$F$4),[1]!S_EST_ESTNEWTIME_INST($E$6,$E$8,$E$9,D75))</f>
        <v>2023-10-23</v>
      </c>
      <c r="I75" s="44">
        <f ca="1">IF($D$4="自选机构",[1]!S_EST_SALES_INST($E$6,$E$8,C75,$F$4)/currencyunit,[1]!S_EST_SALES_INST($E$6,$E$8,$E$9,D75)/currencyunit)</f>
        <v>148333</v>
      </c>
      <c r="J75" s="44">
        <f ca="1">IF($D$4="自选机构",[1]!S_EST_NETPROFIT_INST($E$6,$E$8,C75,$F$4)/currencyunit,[1]!S_EST_NETPROFIT_INST($E$6,$E$8,$E$9,D75)/currencyunit)</f>
        <v>74198</v>
      </c>
      <c r="K75" s="45">
        <f ca="1">IF($D$4="自选机构",[1]!S_EST_EPS_INST($E$6,$E$8,C75,$F$4),[1]!S_EST_EPS_INST($E$6,$E$8,$E$9,D75))</f>
        <v>59.07</v>
      </c>
      <c r="L75" s="43" t="str">
        <f ca="1">IF($D$4="自选机构",[1]!S_EST_NEWRATINGTIME_INST($E$6,AC75,$F$4),[1]!S_EST_NEWRATINGTIME_INST($E$6,$E$9,D75))</f>
        <v>2023-10-23</v>
      </c>
      <c r="M75" s="41" t="str">
        <f ca="1">IF($D$4="自选机构",[1]!S_EST_RATINGANALYST($E$6,AC75,$F$4),IF(OR(D75=71,D75=74),"***",[1]!S_EST_RATINGANALYST($E$6,$E$9,D75)))</f>
        <v>周蓉</v>
      </c>
      <c r="N75" s="41" t="str">
        <f ca="1">IF($D$4="自选机构",[1]!S_EST_ORGRATING_INST($E$6,AC75,$F$4),[1]!S_EST_ORGRATING_INST($E$6,$E$9,D75))</f>
        <v>山西证券_买入_1</v>
      </c>
      <c r="O75" s="46">
        <f ca="1">IF($D$4="自选机构",[1]!S_EST_SCORERATING_INST($E$6,AC75,$F$4),[1]!S_EST_SCORERATING_INST($E$6,$E$9,D75))</f>
        <v>1</v>
      </c>
      <c r="P75" s="41" t="str">
        <f ca="1">IF($D$4="自选机构",[1]!S_EST_STDRATING_INST($E$6,AC75,$F$4),[1]!S_EST_STDRATING_INST($E$6,$E$9,D75))</f>
        <v>买入</v>
      </c>
      <c r="Q75" s="43" t="str">
        <f>IF($D$4="自选机构",[1]!S_EST_FRSTRATINGTIME_INST($E$6,$F$4),[1]!S_EST_FRSTRATINGTIME_INST($E$6,D75))</f>
        <v>2009-03-25</v>
      </c>
      <c r="R75" s="80">
        <f t="shared" ca="1" si="6"/>
        <v>148333</v>
      </c>
      <c r="S75" s="80">
        <f t="shared" ca="1" si="7"/>
        <v>74198</v>
      </c>
      <c r="T75" s="80">
        <f t="shared" ca="1" si="8"/>
        <v>59.07</v>
      </c>
      <c r="U75" s="82">
        <f t="shared" ca="1" si="1"/>
        <v>1</v>
      </c>
      <c r="V75" s="82"/>
      <c r="W75" s="82"/>
      <c r="X75" s="82"/>
      <c r="Y75" s="82"/>
      <c r="Z75" s="82"/>
      <c r="AA75" s="82"/>
      <c r="AB75" s="85">
        <f t="shared" ca="1" si="2"/>
        <v>45222</v>
      </c>
      <c r="AC75" s="85">
        <f t="shared" ca="1" si="9"/>
        <v>-1</v>
      </c>
      <c r="AD75" s="86">
        <f ca="1">IF($D$4="自选机构",[1]!S_EST_SCORERATING_INST($E$6,L75-1,$F$4),[1]!S_EST_SCORERATING_INST($E$6,L75-1,D75))</f>
        <v>1</v>
      </c>
      <c r="AE75" s="82" t="str">
        <f t="shared" ca="1" si="3"/>
        <v>评级不变</v>
      </c>
      <c r="AF75" s="82">
        <f t="shared" ca="1" si="10"/>
        <v>1</v>
      </c>
      <c r="AG75" s="87">
        <f t="shared" ca="1" si="4"/>
        <v>0</v>
      </c>
      <c r="AH75" s="39"/>
      <c r="AI75" s="59"/>
      <c r="AL75" s="58"/>
      <c r="AM75" s="58"/>
      <c r="AN75" s="58"/>
    </row>
    <row r="76" spans="2:40" s="57" customFormat="1" ht="16.5" x14ac:dyDescent="0.15">
      <c r="B76" s="59"/>
      <c r="C76" s="84">
        <f t="shared" ca="1" si="5"/>
        <v>45221</v>
      </c>
      <c r="D76" s="48">
        <v>62</v>
      </c>
      <c r="E76" s="49" t="str">
        <f t="shared" si="11"/>
        <v>万联证券</v>
      </c>
      <c r="F76" s="50">
        <v>1</v>
      </c>
      <c r="G76" s="49" t="str">
        <f ca="1">IF($D$4="自选机构",[1]!S_EST_ESTANALYST($E$6,$E$8,C76,$F$4),IF(OR(D76=71,D76=74),"***",[1]!S_EST_ESTANALYST($E$6,$E$8,$E$9,D76)))</f>
        <v>陈雯</v>
      </c>
      <c r="H76" s="51" t="str">
        <f ca="1">IF($D$4="自选机构",[1]!S_EST_ESTNEWTIME_INST($E$6,$E$8,C76,$F$4),[1]!S_EST_ESTNEWTIME_INST($E$6,$E$8,$E$9,D76))</f>
        <v>2023-11-02</v>
      </c>
      <c r="I76" s="52">
        <f ca="1">IF($D$4="自选机构",[1]!S_EST_SALES_INST($E$6,$E$8,C76,$F$4)/currencyunit,[1]!S_EST_SALES_INST($E$6,$E$8,$E$9,D76)/currencyunit)</f>
        <v>149833.26</v>
      </c>
      <c r="J76" s="52">
        <f ca="1">IF($D$4="自选机构",[1]!S_EST_NETPROFIT_INST($E$6,$E$8,C76,$F$4)/currencyunit,[1]!S_EST_NETPROFIT_INST($E$6,$E$8,$E$9,D76)/currencyunit)</f>
        <v>74523.740000000005</v>
      </c>
      <c r="K76" s="53">
        <f ca="1">IF($D$4="自选机构",[1]!S_EST_EPS_INST($E$6,$E$8,C76,$F$4),[1]!S_EST_EPS_INST($E$6,$E$8,$E$9,D76))</f>
        <v>59.32</v>
      </c>
      <c r="L76" s="51" t="str">
        <f ca="1">IF($D$4="自选机构",[1]!S_EST_NEWRATINGTIME_INST($E$6,AC76,$F$4),[1]!S_EST_NEWRATINGTIME_INST($E$6,$E$9,D76))</f>
        <v>2023-11-02</v>
      </c>
      <c r="M76" s="49" t="str">
        <f ca="1">IF($D$4="自选机构",[1]!S_EST_RATINGANALYST($E$6,AC76,$F$4),IF(OR(D76=71,D76=74),"***",[1]!S_EST_RATINGANALYST($E$6,$E$9,D76)))</f>
        <v>陈雯</v>
      </c>
      <c r="N76" s="49" t="str">
        <f ca="1">IF($D$4="自选机构",[1]!S_EST_ORGRATING_INST($E$6,AC76,$F$4),[1]!S_EST_ORGRATING_INST($E$6,$E$9,D76))</f>
        <v>万联证券_增持_2</v>
      </c>
      <c r="O76" s="54">
        <f ca="1">IF($D$4="自选机构",[1]!S_EST_SCORERATING_INST($E$6,AC76,$F$4),[1]!S_EST_SCORERATING_INST($E$6,$E$9,D76))</f>
        <v>2</v>
      </c>
      <c r="P76" s="49" t="str">
        <f ca="1">IF($D$4="自选机构",[1]!S_EST_STDRATING_INST($E$6,AC76,$F$4),[1]!S_EST_STDRATING_INST($E$6,$E$9,D76))</f>
        <v>增持</v>
      </c>
      <c r="Q76" s="51" t="str">
        <f>IF($D$4="自选机构",[1]!S_EST_FRSTRATINGTIME_INST($E$6,$F$4),[1]!S_EST_FRSTRATINGTIME_INST($E$6,D76))</f>
        <v>2020-02-24</v>
      </c>
      <c r="R76" s="88">
        <f t="shared" ca="1" si="6"/>
        <v>149833.26</v>
      </c>
      <c r="S76" s="88">
        <f t="shared" ca="1" si="7"/>
        <v>74523.740000000005</v>
      </c>
      <c r="T76" s="88">
        <f t="shared" ca="1" si="8"/>
        <v>59.32</v>
      </c>
      <c r="U76" s="89">
        <f t="shared" ca="1" si="1"/>
        <v>1</v>
      </c>
      <c r="V76" s="89"/>
      <c r="W76" s="89"/>
      <c r="X76" s="89"/>
      <c r="Y76" s="89"/>
      <c r="Z76" s="89"/>
      <c r="AA76" s="89"/>
      <c r="AB76" s="90">
        <f t="shared" ca="1" si="2"/>
        <v>45232</v>
      </c>
      <c r="AC76" s="90">
        <f t="shared" ca="1" si="9"/>
        <v>45221</v>
      </c>
      <c r="AD76" s="91">
        <f ca="1">IF($D$4="自选机构",[1]!S_EST_SCORERATING_INST($E$6,L76-1,$F$4),[1]!S_EST_SCORERATING_INST($E$6,L76-1,D76))</f>
        <v>2</v>
      </c>
      <c r="AE76" s="89" t="str">
        <f t="shared" ca="1" si="3"/>
        <v>评级不变</v>
      </c>
      <c r="AF76" s="89">
        <f t="shared" ca="1" si="10"/>
        <v>1</v>
      </c>
      <c r="AG76" s="92">
        <f t="shared" ca="1" si="4"/>
        <v>0</v>
      </c>
      <c r="AH76" s="39"/>
      <c r="AI76" s="59"/>
      <c r="AL76" s="58"/>
      <c r="AM76" s="58"/>
      <c r="AN76" s="58"/>
    </row>
    <row r="77" spans="2:40" ht="16.5" x14ac:dyDescent="0.15">
      <c r="B77" s="59"/>
      <c r="C77" s="84">
        <f t="shared" ca="1" si="5"/>
        <v>45231</v>
      </c>
      <c r="D77" s="47">
        <v>63</v>
      </c>
      <c r="E77" s="41" t="str">
        <f t="shared" si="11"/>
        <v>湘财证券</v>
      </c>
      <c r="F77" s="42">
        <v>1</v>
      </c>
      <c r="G77" s="41">
        <f ca="1">IF($D$4="自选机构",[1]!S_EST_ESTANALYST($E$6,$E$8,C77,$F$4),IF(OR(D77=71,D77=74),"***",[1]!S_EST_ESTANALYST($E$6,$E$8,$E$9,D77)))</f>
        <v>0</v>
      </c>
      <c r="H77" s="43">
        <f ca="1">IF($D$4="自选机构",[1]!S_EST_ESTNEWTIME_INST($E$6,$E$8,C77,$F$4),[1]!S_EST_ESTNEWTIME_INST($E$6,$E$8,$E$9,D77))</f>
        <v>0</v>
      </c>
      <c r="I77" s="44">
        <f ca="1">IF($D$4="自选机构",[1]!S_EST_SALES_INST($E$6,$E$8,C77,$F$4)/currencyunit,[1]!S_EST_SALES_INST($E$6,$E$8,$E$9,D77)/currencyunit)</f>
        <v>0</v>
      </c>
      <c r="J77" s="44">
        <f ca="1">IF($D$4="自选机构",[1]!S_EST_NETPROFIT_INST($E$6,$E$8,C77,$F$4)/currencyunit,[1]!S_EST_NETPROFIT_INST($E$6,$E$8,$E$9,D77)/currencyunit)</f>
        <v>0</v>
      </c>
      <c r="K77" s="45">
        <f ca="1">IF($D$4="自选机构",[1]!S_EST_EPS_INST($E$6,$E$8,C77,$F$4),[1]!S_EST_EPS_INST($E$6,$E$8,$E$9,D77))</f>
        <v>0</v>
      </c>
      <c r="L77" s="43">
        <f ca="1">IF($D$4="自选机构",[1]!S_EST_NEWRATINGTIME_INST($E$6,AC77,$F$4),[1]!S_EST_NEWRATINGTIME_INST($E$6,$E$9,D77))</f>
        <v>0</v>
      </c>
      <c r="M77" s="41">
        <f ca="1">IF($D$4="自选机构",[1]!S_EST_RATINGANALYST($E$6,AC77,$F$4),IF(OR(D77=71,D77=74),"***",[1]!S_EST_RATINGANALYST($E$6,$E$9,D77)))</f>
        <v>0</v>
      </c>
      <c r="N77" s="41">
        <f ca="1">IF($D$4="自选机构",[1]!S_EST_ORGRATING_INST($E$6,AC77,$F$4),[1]!S_EST_ORGRATING_INST($E$6,$E$9,D77))</f>
        <v>0</v>
      </c>
      <c r="O77" s="46">
        <f ca="1">IF($D$4="自选机构",[1]!S_EST_SCORERATING_INST($E$6,AC77,$F$4),[1]!S_EST_SCORERATING_INST($E$6,$E$9,D77))</f>
        <v>0</v>
      </c>
      <c r="P77" s="41">
        <f ca="1">IF($D$4="自选机构",[1]!S_EST_STDRATING_INST($E$6,AC77,$F$4),[1]!S_EST_STDRATING_INST($E$6,$E$9,D77))</f>
        <v>0</v>
      </c>
      <c r="Q77" s="43" t="str">
        <f>IF($D$4="自选机构",[1]!S_EST_FRSTRATINGTIME_INST($E$6,$F$4),[1]!S_EST_FRSTRATINGTIME_INST($E$6,D77))</f>
        <v>2005-06-08</v>
      </c>
      <c r="R77" s="80">
        <f t="shared" ca="1" si="6"/>
        <v>0</v>
      </c>
      <c r="S77" s="80">
        <f t="shared" ca="1" si="7"/>
        <v>0</v>
      </c>
      <c r="T77" s="80">
        <f t="shared" ca="1" si="8"/>
        <v>0</v>
      </c>
      <c r="U77" s="82" t="str">
        <f t="shared" ca="1" si="1"/>
        <v/>
      </c>
      <c r="V77" s="82"/>
      <c r="W77" s="82"/>
      <c r="X77" s="82"/>
      <c r="Y77" s="82"/>
      <c r="Z77" s="82"/>
      <c r="AA77" s="82"/>
      <c r="AB77" s="85">
        <f t="shared" ca="1" si="2"/>
        <v>0</v>
      </c>
      <c r="AC77" s="85">
        <f t="shared" ca="1" si="9"/>
        <v>45231</v>
      </c>
      <c r="AD77" s="86">
        <f ca="1">IF($D$4="自选机构",[1]!S_EST_SCORERATING_INST($E$6,L77-1,$F$4),[1]!S_EST_SCORERATING_INST($E$6,L77-1,D77))</f>
        <v>0</v>
      </c>
      <c r="AE77" s="82" t="e">
        <f t="shared" ca="1" si="3"/>
        <v>#DIV/0!</v>
      </c>
      <c r="AF77" s="82" t="str">
        <f t="shared" ca="1" si="10"/>
        <v/>
      </c>
      <c r="AG77" s="87" t="str">
        <f t="shared" ca="1" si="4"/>
        <v/>
      </c>
      <c r="AH77" s="39"/>
      <c r="AI77" s="59"/>
      <c r="AK77" s="57"/>
    </row>
    <row r="78" spans="2:40" ht="16.5" x14ac:dyDescent="0.15">
      <c r="B78" s="59"/>
      <c r="C78" s="84">
        <f t="shared" ca="1" si="5"/>
        <v>-1</v>
      </c>
      <c r="D78" s="48">
        <v>64</v>
      </c>
      <c r="E78" s="49" t="str">
        <f t="shared" si="11"/>
        <v>新时代证券</v>
      </c>
      <c r="F78" s="50">
        <v>1</v>
      </c>
      <c r="G78" s="49">
        <f ca="1">IF($D$4="自选机构",[1]!S_EST_ESTANALYST($E$6,$E$8,C78,$F$4),IF(OR(D78=71,D78=74),"***",[1]!S_EST_ESTANALYST($E$6,$E$8,$E$9,D78)))</f>
        <v>0</v>
      </c>
      <c r="H78" s="51">
        <f ca="1">IF($D$4="自选机构",[1]!S_EST_ESTNEWTIME_INST($E$6,$E$8,C78,$F$4),[1]!S_EST_ESTNEWTIME_INST($E$6,$E$8,$E$9,D78))</f>
        <v>0</v>
      </c>
      <c r="I78" s="52">
        <f ca="1">IF($D$4="自选机构",[1]!S_EST_SALES_INST($E$6,$E$8,C78,$F$4)/currencyunit,[1]!S_EST_SALES_INST($E$6,$E$8,$E$9,D78)/currencyunit)</f>
        <v>0</v>
      </c>
      <c r="J78" s="52">
        <f ca="1">IF($D$4="自选机构",[1]!S_EST_NETPROFIT_INST($E$6,$E$8,C78,$F$4)/currencyunit,[1]!S_EST_NETPROFIT_INST($E$6,$E$8,$E$9,D78)/currencyunit)</f>
        <v>0</v>
      </c>
      <c r="K78" s="53">
        <f ca="1">IF($D$4="自选机构",[1]!S_EST_EPS_INST($E$6,$E$8,C78,$F$4),[1]!S_EST_EPS_INST($E$6,$E$8,$E$9,D78))</f>
        <v>0</v>
      </c>
      <c r="L78" s="51">
        <f ca="1">IF($D$4="自选机构",[1]!S_EST_NEWRATINGTIME_INST($E$6,AC78,$F$4),[1]!S_EST_NEWRATINGTIME_INST($E$6,$E$9,D78))</f>
        <v>0</v>
      </c>
      <c r="M78" s="49">
        <f ca="1">IF($D$4="自选机构",[1]!S_EST_RATINGANALYST($E$6,AC78,$F$4),IF(OR(D78=71,D78=74),"***",[1]!S_EST_RATINGANALYST($E$6,$E$9,D78)))</f>
        <v>0</v>
      </c>
      <c r="N78" s="49">
        <f ca="1">IF($D$4="自选机构",[1]!S_EST_ORGRATING_INST($E$6,AC78,$F$4),[1]!S_EST_ORGRATING_INST($E$6,$E$9,D78))</f>
        <v>0</v>
      </c>
      <c r="O78" s="54">
        <f ca="1">IF($D$4="自选机构",[1]!S_EST_SCORERATING_INST($E$6,AC78,$F$4),[1]!S_EST_SCORERATING_INST($E$6,$E$9,D78))</f>
        <v>0</v>
      </c>
      <c r="P78" s="49">
        <f ca="1">IF($D$4="自选机构",[1]!S_EST_STDRATING_INST($E$6,AC78,$F$4),[1]!S_EST_STDRATING_INST($E$6,$E$9,D78))</f>
        <v>0</v>
      </c>
      <c r="Q78" s="51" t="str">
        <f>IF($D$4="自选机构",[1]!S_EST_FRSTRATINGTIME_INST($E$6,$F$4),[1]!S_EST_FRSTRATINGTIME_INST($E$6,D78))</f>
        <v>2018-07-17</v>
      </c>
      <c r="R78" s="88">
        <f t="shared" ca="1" si="6"/>
        <v>0</v>
      </c>
      <c r="S78" s="88">
        <f t="shared" ca="1" si="7"/>
        <v>0</v>
      </c>
      <c r="T78" s="88">
        <f t="shared" ca="1" si="8"/>
        <v>0</v>
      </c>
      <c r="U78" s="89" t="str">
        <f t="shared" ca="1" si="1"/>
        <v/>
      </c>
      <c r="V78" s="89"/>
      <c r="W78" s="89"/>
      <c r="X78" s="89"/>
      <c r="Y78" s="89"/>
      <c r="Z78" s="89"/>
      <c r="AA78" s="89"/>
      <c r="AB78" s="90">
        <f t="shared" ca="1" si="2"/>
        <v>0</v>
      </c>
      <c r="AC78" s="90">
        <f t="shared" ca="1" si="9"/>
        <v>-1</v>
      </c>
      <c r="AD78" s="91">
        <f ca="1">IF($D$4="自选机构",[1]!S_EST_SCORERATING_INST($E$6,L78-1,$F$4),[1]!S_EST_SCORERATING_INST($E$6,L78-1,D78))</f>
        <v>0</v>
      </c>
      <c r="AE78" s="89" t="e">
        <f t="shared" ca="1" si="3"/>
        <v>#DIV/0!</v>
      </c>
      <c r="AF78" s="89" t="str">
        <f t="shared" ca="1" si="10"/>
        <v/>
      </c>
      <c r="AG78" s="92" t="str">
        <f t="shared" ca="1" si="4"/>
        <v/>
      </c>
      <c r="AH78" s="39"/>
      <c r="AI78" s="59"/>
      <c r="AK78" s="57"/>
    </row>
    <row r="79" spans="2:40" s="57" customFormat="1" ht="16.5" x14ac:dyDescent="0.15">
      <c r="B79" s="59"/>
      <c r="C79" s="84">
        <f t="shared" ca="1" si="5"/>
        <v>-1</v>
      </c>
      <c r="D79" s="47">
        <v>65</v>
      </c>
      <c r="E79" s="41" t="str">
        <f t="shared" si="11"/>
        <v>信达证券</v>
      </c>
      <c r="F79" s="42">
        <v>1</v>
      </c>
      <c r="G79" s="41" t="str">
        <f ca="1">IF($D$4="自选机构",[1]!S_EST_ESTANALYST($E$6,$E$8,C79,$F$4),IF(OR(D79=71,D79=74),"***",[1]!S_EST_ESTANALYST($E$6,$E$8,$E$9,D79)))</f>
        <v>马铮</v>
      </c>
      <c r="H79" s="43" t="str">
        <f ca="1">IF($D$4="自选机构",[1]!S_EST_ESTNEWTIME_INST($E$6,$E$8,C79,$F$4),[1]!S_EST_ESTNEWTIME_INST($E$6,$E$8,$E$9,D79))</f>
        <v>2023-10-22</v>
      </c>
      <c r="I79" s="44">
        <f ca="1">IF($D$4="自选机构",[1]!S_EST_SALES_INST($E$6,$E$8,C79,$F$4)/currencyunit,[1]!S_EST_SALES_INST($E$6,$E$8,$E$9,D79)/currencyunit)</f>
        <v>148136</v>
      </c>
      <c r="J79" s="44">
        <f ca="1">IF($D$4="自选机构",[1]!S_EST_NETPROFIT_INST($E$6,$E$8,C79,$F$4)/currencyunit,[1]!S_EST_NETPROFIT_INST($E$6,$E$8,$E$9,D79)/currencyunit)</f>
        <v>74149</v>
      </c>
      <c r="K79" s="45">
        <f ca="1">IF($D$4="自选机构",[1]!S_EST_EPS_INST($E$6,$E$8,C79,$F$4),[1]!S_EST_EPS_INST($E$6,$E$8,$E$9,D79))</f>
        <v>59.03</v>
      </c>
      <c r="L79" s="43" t="str">
        <f ca="1">IF($D$4="自选机构",[1]!S_EST_NEWRATINGTIME_INST($E$6,AC79,$F$4),[1]!S_EST_NEWRATINGTIME_INST($E$6,$E$9,D79))</f>
        <v>2023-10-22</v>
      </c>
      <c r="M79" s="41" t="str">
        <f ca="1">IF($D$4="自选机构",[1]!S_EST_RATINGANALYST($E$6,AC79,$F$4),IF(OR(D79=71,D79=74),"***",[1]!S_EST_RATINGANALYST($E$6,$E$9,D79)))</f>
        <v>马铮</v>
      </c>
      <c r="N79" s="41" t="str">
        <f ca="1">IF($D$4="自选机构",[1]!S_EST_ORGRATING_INST($E$6,AC79,$F$4),[1]!S_EST_ORGRATING_INST($E$6,$E$9,D79))</f>
        <v>信达证券_买入_1</v>
      </c>
      <c r="O79" s="46">
        <f ca="1">IF($D$4="自选机构",[1]!S_EST_SCORERATING_INST($E$6,AC79,$F$4),[1]!S_EST_SCORERATING_INST($E$6,$E$9,D79))</f>
        <v>1</v>
      </c>
      <c r="P79" s="41" t="str">
        <f ca="1">IF($D$4="自选机构",[1]!S_EST_STDRATING_INST($E$6,AC79,$F$4),[1]!S_EST_STDRATING_INST($E$6,$E$9,D79))</f>
        <v>买入</v>
      </c>
      <c r="Q79" s="43" t="str">
        <f>IF($D$4="自选机构",[1]!S_EST_FRSTRATINGTIME_INST($E$6,$F$4),[1]!S_EST_FRSTRATINGTIME_INST($E$6,D79))</f>
        <v>2021-01-27</v>
      </c>
      <c r="R79" s="80">
        <f t="shared" ca="1" si="6"/>
        <v>148136</v>
      </c>
      <c r="S79" s="80">
        <f t="shared" ca="1" si="7"/>
        <v>74149</v>
      </c>
      <c r="T79" s="80">
        <f t="shared" ca="1" si="8"/>
        <v>59.03</v>
      </c>
      <c r="U79" s="82">
        <f t="shared" ca="1" si="1"/>
        <v>1</v>
      </c>
      <c r="V79" s="93"/>
      <c r="W79" s="93"/>
      <c r="X79" s="93"/>
      <c r="Y79" s="93"/>
      <c r="Z79" s="93"/>
      <c r="AA79" s="94"/>
      <c r="AB79" s="85">
        <f t="shared" ca="1" si="2"/>
        <v>45221</v>
      </c>
      <c r="AC79" s="85">
        <f t="shared" ca="1" si="9"/>
        <v>-1</v>
      </c>
      <c r="AD79" s="86">
        <f ca="1">IF($D$4="自选机构",[1]!S_EST_SCORERATING_INST($E$6,L79-1,$F$4),[1]!S_EST_SCORERATING_INST($E$6,L79-1,D79))</f>
        <v>1</v>
      </c>
      <c r="AE79" s="82" t="str">
        <f t="shared" ca="1" si="3"/>
        <v>评级不变</v>
      </c>
      <c r="AF79" s="82">
        <f t="shared" ca="1" si="10"/>
        <v>1</v>
      </c>
      <c r="AG79" s="87">
        <f t="shared" ca="1" si="4"/>
        <v>0</v>
      </c>
      <c r="AH79" s="39"/>
      <c r="AI79" s="59"/>
      <c r="AL79" s="58"/>
      <c r="AM79" s="58"/>
      <c r="AN79" s="58"/>
    </row>
    <row r="80" spans="2:40" s="57" customFormat="1" ht="16.5" x14ac:dyDescent="0.15">
      <c r="B80" s="59"/>
      <c r="C80" s="84">
        <f t="shared" ca="1" si="5"/>
        <v>45220</v>
      </c>
      <c r="D80" s="48">
        <v>66</v>
      </c>
      <c r="E80" s="49" t="str">
        <f t="shared" si="11"/>
        <v>英大证券</v>
      </c>
      <c r="F80" s="50">
        <v>1</v>
      </c>
      <c r="G80" s="49">
        <f ca="1">IF($D$4="自选机构",[1]!S_EST_ESTANALYST($E$6,$E$8,C80,$F$4),IF(OR(D80=71,D80=74),"***",[1]!S_EST_ESTANALYST($E$6,$E$8,$E$9,D80)))</f>
        <v>0</v>
      </c>
      <c r="H80" s="51">
        <f ca="1">IF($D$4="自选机构",[1]!S_EST_ESTNEWTIME_INST($E$6,$E$8,C80,$F$4),[1]!S_EST_ESTNEWTIME_INST($E$6,$E$8,$E$9,D80))</f>
        <v>0</v>
      </c>
      <c r="I80" s="52">
        <f ca="1">IF($D$4="自选机构",[1]!S_EST_SALES_INST($E$6,$E$8,C80,$F$4)/currencyunit,[1]!S_EST_SALES_INST($E$6,$E$8,$E$9,D80)/currencyunit)</f>
        <v>0</v>
      </c>
      <c r="J80" s="52">
        <f ca="1">IF($D$4="自选机构",[1]!S_EST_NETPROFIT_INST($E$6,$E$8,C80,$F$4)/currencyunit,[1]!S_EST_NETPROFIT_INST($E$6,$E$8,$E$9,D80)/currencyunit)</f>
        <v>0</v>
      </c>
      <c r="K80" s="53">
        <f ca="1">IF($D$4="自选机构",[1]!S_EST_EPS_INST($E$6,$E$8,C80,$F$4),[1]!S_EST_EPS_INST($E$6,$E$8,$E$9,D80))</f>
        <v>0</v>
      </c>
      <c r="L80" s="51">
        <f ca="1">IF($D$4="自选机构",[1]!S_EST_NEWRATINGTIME_INST($E$6,AC80,$F$4),[1]!S_EST_NEWRATINGTIME_INST($E$6,$E$9,D80))</f>
        <v>0</v>
      </c>
      <c r="M80" s="49">
        <f ca="1">IF($D$4="自选机构",[1]!S_EST_RATINGANALYST($E$6,AC80,$F$4),IF(OR(D80=71,D80=74),"***",[1]!S_EST_RATINGANALYST($E$6,$E$9,D80)))</f>
        <v>0</v>
      </c>
      <c r="N80" s="49">
        <f ca="1">IF($D$4="自选机构",[1]!S_EST_ORGRATING_INST($E$6,AC80,$F$4),[1]!S_EST_ORGRATING_INST($E$6,$E$9,D80))</f>
        <v>0</v>
      </c>
      <c r="O80" s="54">
        <f ca="1">IF($D$4="自选机构",[1]!S_EST_SCORERATING_INST($E$6,AC80,$F$4),[1]!S_EST_SCORERATING_INST($E$6,$E$9,D80))</f>
        <v>0</v>
      </c>
      <c r="P80" s="49">
        <f ca="1">IF($D$4="自选机构",[1]!S_EST_STDRATING_INST($E$6,AC80,$F$4),[1]!S_EST_STDRATING_INST($E$6,$E$9,D80))</f>
        <v>0</v>
      </c>
      <c r="Q80" s="51">
        <f>IF($D$4="自选机构",[1]!S_EST_FRSTRATINGTIME_INST($E$6,$F$4),[1]!S_EST_FRSTRATINGTIME_INST($E$6,D80))</f>
        <v>0</v>
      </c>
      <c r="R80" s="88">
        <f t="shared" ca="1" si="6"/>
        <v>0</v>
      </c>
      <c r="S80" s="88">
        <f t="shared" ca="1" si="7"/>
        <v>0</v>
      </c>
      <c r="T80" s="88">
        <f t="shared" ca="1" si="8"/>
        <v>0</v>
      </c>
      <c r="U80" s="89" t="str">
        <f t="shared" ref="U80:U99" ca="1" si="12">IF(H80-$F$10&gt;=0,1,"")</f>
        <v/>
      </c>
      <c r="V80" s="89"/>
      <c r="W80" s="89"/>
      <c r="X80" s="89"/>
      <c r="Y80" s="89"/>
      <c r="Z80" s="89"/>
      <c r="AA80" s="89"/>
      <c r="AB80" s="90">
        <f t="shared" ref="AB80:AB99" ca="1" si="13">--H80</f>
        <v>0</v>
      </c>
      <c r="AC80" s="90">
        <f t="shared" ca="1" si="9"/>
        <v>45220</v>
      </c>
      <c r="AD80" s="91">
        <f ca="1">IF($D$4="自选机构",[1]!S_EST_SCORERATING_INST($E$6,L80-1,$F$4),[1]!S_EST_SCORERATING_INST($E$6,L80-1,D80))</f>
        <v>0</v>
      </c>
      <c r="AE80" s="89" t="e">
        <f t="shared" ref="AE80:AE99" ca="1" si="14">IF(AD80/O80&gt;1,"评级上调",IF(AD80/O80=1,"评级不变",IF(AD80/O80&gt;0,"评级下调","首次评级")))</f>
        <v>#DIV/0!</v>
      </c>
      <c r="AF80" s="89" t="str">
        <f t="shared" ca="1" si="10"/>
        <v/>
      </c>
      <c r="AG80" s="92" t="str">
        <f t="shared" ref="AG80:AG85" ca="1" si="15">IF(ISERROR(AE80),"",IF(AE80="评级不变",0,IF(AE80="评级下调",-1,IF(AE80="评级上调",1,""))))</f>
        <v/>
      </c>
      <c r="AH80" s="39"/>
      <c r="AI80" s="59"/>
      <c r="AL80" s="58"/>
      <c r="AM80" s="58"/>
      <c r="AN80" s="58"/>
    </row>
    <row r="81" spans="2:40" s="57" customFormat="1" ht="16.5" x14ac:dyDescent="0.15">
      <c r="B81" s="59"/>
      <c r="C81" s="84">
        <f t="shared" ref="C81:C99" ca="1" si="16">H80-1</f>
        <v>-1</v>
      </c>
      <c r="D81" s="47">
        <v>67</v>
      </c>
      <c r="E81" s="41" t="str">
        <f t="shared" ref="E81:E99" si="17">IF($D$4="自选机构",$E$4,VLOOKUP(D81,instlist,2,FALSE))</f>
        <v>浙商证券</v>
      </c>
      <c r="F81" s="42">
        <v>1</v>
      </c>
      <c r="G81" s="41" t="str">
        <f ca="1">IF($D$4="自选机构",[1]!S_EST_ESTANALYST($E$6,$E$8,C81,$F$4),IF(OR(D81=71,D81=74),"***",[1]!S_EST_ESTANALYST($E$6,$E$8,$E$9,D81)))</f>
        <v>杨骥</v>
      </c>
      <c r="H81" s="43" t="str">
        <f ca="1">IF($D$4="自选机构",[1]!S_EST_ESTNEWTIME_INST($E$6,$E$8,C81,$F$4),[1]!S_EST_ESTNEWTIME_INST($E$6,$E$8,$E$9,D81))</f>
        <v>2023-11-01</v>
      </c>
      <c r="I81" s="44">
        <f ca="1">IF($D$4="自选机构",[1]!S_EST_SALES_INST($E$6,$E$8,C81,$F$4)/currencyunit,[1]!S_EST_SALES_INST($E$6,$E$8,$E$9,D81)/currencyunit)</f>
        <v>148733</v>
      </c>
      <c r="J81" s="44">
        <f ca="1">IF($D$4="自选机构",[1]!S_EST_NETPROFIT_INST($E$6,$E$8,C81,$F$4)/currencyunit,[1]!S_EST_NETPROFIT_INST($E$6,$E$8,$E$9,D81)/currencyunit)</f>
        <v>74801</v>
      </c>
      <c r="K81" s="45">
        <f ca="1">IF($D$4="自选机构",[1]!S_EST_EPS_INST($E$6,$E$8,C81,$F$4),[1]!S_EST_EPS_INST($E$6,$E$8,$E$9,D81))</f>
        <v>59.55</v>
      </c>
      <c r="L81" s="43" t="str">
        <f ca="1">IF($D$4="自选机构",[1]!S_EST_NEWRATINGTIME_INST($E$6,AC81,$F$4),[1]!S_EST_NEWRATINGTIME_INST($E$6,$E$9,D81))</f>
        <v>2023-11-01</v>
      </c>
      <c r="M81" s="41" t="str">
        <f ca="1">IF($D$4="自选机构",[1]!S_EST_RATINGANALYST($E$6,AC81,$F$4),IF(OR(D81=71,D81=74),"***",[1]!S_EST_RATINGANALYST($E$6,$E$9,D81)))</f>
        <v>杨骥</v>
      </c>
      <c r="N81" s="41" t="str">
        <f ca="1">IF($D$4="自选机构",[1]!S_EST_ORGRATING_INST($E$6,AC81,$F$4),[1]!S_EST_ORGRATING_INST($E$6,$E$9,D81))</f>
        <v>浙商证券_买入_1</v>
      </c>
      <c r="O81" s="46">
        <f ca="1">IF($D$4="自选机构",[1]!S_EST_SCORERATING_INST($E$6,AC81,$F$4),[1]!S_EST_SCORERATING_INST($E$6,$E$9,D81))</f>
        <v>1</v>
      </c>
      <c r="P81" s="41" t="str">
        <f ca="1">IF($D$4="自选机构",[1]!S_EST_STDRATING_INST($E$6,AC81,$F$4),[1]!S_EST_STDRATING_INST($E$6,$E$9,D81))</f>
        <v>买入</v>
      </c>
      <c r="Q81" s="43" t="str">
        <f>IF($D$4="自选机构",[1]!S_EST_FRSTRATINGTIME_INST($E$6,$F$4),[1]!S_EST_FRSTRATINGTIME_INST($E$6,D81))</f>
        <v>2020-07-28</v>
      </c>
      <c r="R81" s="80">
        <f t="shared" ref="R81:R99" ca="1" si="18">IF(AND(I81&lt;&gt;0,U81=1),I81*F81,0)</f>
        <v>148733</v>
      </c>
      <c r="S81" s="80">
        <f t="shared" ref="S81:S99" ca="1" si="19">IF(AND(J81&lt;&gt;0,U81=1),J81*F81,0)</f>
        <v>74801</v>
      </c>
      <c r="T81" s="80">
        <f t="shared" ref="T81:T99" ca="1" si="20">IF(AND(K81&lt;&gt;0,U81=1),K81*F81,0)</f>
        <v>59.55</v>
      </c>
      <c r="U81" s="82">
        <f t="shared" ca="1" si="12"/>
        <v>1</v>
      </c>
      <c r="V81" s="82"/>
      <c r="W81" s="82"/>
      <c r="X81" s="82"/>
      <c r="Y81" s="82"/>
      <c r="Z81" s="82"/>
      <c r="AA81" s="82"/>
      <c r="AB81" s="85">
        <f t="shared" ca="1" si="13"/>
        <v>45231</v>
      </c>
      <c r="AC81" s="85">
        <f t="shared" ref="AC81:AC99" ca="1" si="21">L80-1</f>
        <v>-1</v>
      </c>
      <c r="AD81" s="86">
        <f ca="1">IF($D$4="自选机构",[1]!S_EST_SCORERATING_INST($E$6,L81-1,$F$4),[1]!S_EST_SCORERATING_INST($E$6,L81-1,D81))</f>
        <v>1</v>
      </c>
      <c r="AE81" s="82" t="str">
        <f t="shared" ca="1" si="14"/>
        <v>评级不变</v>
      </c>
      <c r="AF81" s="82">
        <f t="shared" ca="1" si="10"/>
        <v>1</v>
      </c>
      <c r="AG81" s="87">
        <f t="shared" ca="1" si="15"/>
        <v>0</v>
      </c>
      <c r="AH81" s="39"/>
      <c r="AI81" s="59"/>
      <c r="AL81" s="58"/>
      <c r="AM81" s="58"/>
      <c r="AN81" s="58"/>
    </row>
    <row r="82" spans="2:40" s="57" customFormat="1" ht="16.5" x14ac:dyDescent="0.15">
      <c r="B82" s="59"/>
      <c r="C82" s="84">
        <f t="shared" ca="1" si="16"/>
        <v>45230</v>
      </c>
      <c r="D82" s="48">
        <v>68</v>
      </c>
      <c r="E82" s="49" t="str">
        <f t="shared" si="17"/>
        <v>中信万通</v>
      </c>
      <c r="F82" s="50">
        <v>1</v>
      </c>
      <c r="G82" s="49">
        <f ca="1">IF($D$4="自选机构",[1]!S_EST_ESTANALYST($E$6,$E$8,C82,$F$4),IF(OR(D82=71,D82=74),"***",[1]!S_EST_ESTANALYST($E$6,$E$8,$E$9,D82)))</f>
        <v>0</v>
      </c>
      <c r="H82" s="51">
        <f ca="1">IF($D$4="自选机构",[1]!S_EST_ESTNEWTIME_INST($E$6,$E$8,C82,$F$4),[1]!S_EST_ESTNEWTIME_INST($E$6,$E$8,$E$9,D82))</f>
        <v>0</v>
      </c>
      <c r="I82" s="52">
        <f ca="1">IF($D$4="自选机构",[1]!S_EST_SALES_INST($E$6,$E$8,C82,$F$4)/currencyunit,[1]!S_EST_SALES_INST($E$6,$E$8,$E$9,D82)/currencyunit)</f>
        <v>0</v>
      </c>
      <c r="J82" s="52">
        <f ca="1">IF($D$4="自选机构",[1]!S_EST_NETPROFIT_INST($E$6,$E$8,C82,$F$4)/currencyunit,[1]!S_EST_NETPROFIT_INST($E$6,$E$8,$E$9,D82)/currencyunit)</f>
        <v>0</v>
      </c>
      <c r="K82" s="53">
        <f ca="1">IF($D$4="自选机构",[1]!S_EST_EPS_INST($E$6,$E$8,C82,$F$4),[1]!S_EST_EPS_INST($E$6,$E$8,$E$9,D82))</f>
        <v>0</v>
      </c>
      <c r="L82" s="51">
        <f ca="1">IF($D$4="自选机构",[1]!S_EST_NEWRATINGTIME_INST($E$6,AC82,$F$4),[1]!S_EST_NEWRATINGTIME_INST($E$6,$E$9,D82))</f>
        <v>0</v>
      </c>
      <c r="M82" s="49">
        <f ca="1">IF($D$4="自选机构",[1]!S_EST_RATINGANALYST($E$6,AC82,$F$4),IF(OR(D82=71,D82=74),"***",[1]!S_EST_RATINGANALYST($E$6,$E$9,D82)))</f>
        <v>0</v>
      </c>
      <c r="N82" s="49">
        <f ca="1">IF($D$4="自选机构",[1]!S_EST_ORGRATING_INST($E$6,AC82,$F$4),[1]!S_EST_ORGRATING_INST($E$6,$E$9,D82))</f>
        <v>0</v>
      </c>
      <c r="O82" s="54">
        <f ca="1">IF($D$4="自选机构",[1]!S_EST_SCORERATING_INST($E$6,AC82,$F$4),[1]!S_EST_SCORERATING_INST($E$6,$E$9,D82))</f>
        <v>0</v>
      </c>
      <c r="P82" s="49">
        <f ca="1">IF($D$4="自选机构",[1]!S_EST_STDRATING_INST($E$6,AC82,$F$4),[1]!S_EST_STDRATING_INST($E$6,$E$9,D82))</f>
        <v>0</v>
      </c>
      <c r="Q82" s="51">
        <f>IF($D$4="自选机构",[1]!S_EST_FRSTRATINGTIME_INST($E$6,$F$4),[1]!S_EST_FRSTRATINGTIME_INST($E$6,D82))</f>
        <v>0</v>
      </c>
      <c r="R82" s="88">
        <f t="shared" ca="1" si="18"/>
        <v>0</v>
      </c>
      <c r="S82" s="88">
        <f t="shared" ca="1" si="19"/>
        <v>0</v>
      </c>
      <c r="T82" s="88">
        <f t="shared" ca="1" si="20"/>
        <v>0</v>
      </c>
      <c r="U82" s="89" t="str">
        <f t="shared" ca="1" si="12"/>
        <v/>
      </c>
      <c r="V82" s="89"/>
      <c r="W82" s="89"/>
      <c r="X82" s="89"/>
      <c r="Y82" s="89"/>
      <c r="Z82" s="89"/>
      <c r="AA82" s="89"/>
      <c r="AB82" s="90">
        <f t="shared" ca="1" si="13"/>
        <v>0</v>
      </c>
      <c r="AC82" s="90">
        <f t="shared" ca="1" si="21"/>
        <v>45230</v>
      </c>
      <c r="AD82" s="91">
        <f ca="1">IF($D$4="自选机构",[1]!S_EST_SCORERATING_INST($E$6,L82-1,$F$4),[1]!S_EST_SCORERATING_INST($E$6,L82-1,D82))</f>
        <v>0</v>
      </c>
      <c r="AE82" s="89" t="e">
        <f t="shared" ca="1" si="14"/>
        <v>#DIV/0!</v>
      </c>
      <c r="AF82" s="89" t="str">
        <f t="shared" ca="1" si="10"/>
        <v/>
      </c>
      <c r="AG82" s="92" t="str">
        <f t="shared" ca="1" si="15"/>
        <v/>
      </c>
      <c r="AH82" s="39"/>
      <c r="AI82" s="59"/>
      <c r="AL82" s="58"/>
      <c r="AM82" s="58"/>
      <c r="AN82" s="58"/>
    </row>
    <row r="83" spans="2:40" ht="16.5" x14ac:dyDescent="0.15">
      <c r="B83" s="59"/>
      <c r="C83" s="84">
        <f t="shared" ca="1" si="16"/>
        <v>-1</v>
      </c>
      <c r="D83" s="47">
        <v>69</v>
      </c>
      <c r="E83" s="41" t="str">
        <f t="shared" si="17"/>
        <v>中邮证券</v>
      </c>
      <c r="F83" s="42">
        <v>1</v>
      </c>
      <c r="G83" s="41" t="str">
        <f ca="1">IF($D$4="自选机构",[1]!S_EST_ESTANALYST($E$6,$E$8,C83,$F$4),IF(OR(D83=71,D83=74),"***",[1]!S_EST_ESTANALYST($E$6,$E$8,$E$9,D83)))</f>
        <v>蔡雪昱</v>
      </c>
      <c r="H83" s="43" t="str">
        <f ca="1">IF($D$4="自选机构",[1]!S_EST_ESTNEWTIME_INST($E$6,$E$8,C83,$F$4),[1]!S_EST_ESTNEWTIME_INST($E$6,$E$8,$E$9,D83))</f>
        <v>2023-11-01</v>
      </c>
      <c r="I83" s="44">
        <f ca="1">IF($D$4="自选机构",[1]!S_EST_SALES_INST($E$6,$E$8,C83,$F$4)/currencyunit,[1]!S_EST_SALES_INST($E$6,$E$8,$E$9,D83)/currencyunit)</f>
        <v>149953</v>
      </c>
      <c r="J83" s="44">
        <f ca="1">IF($D$4="自选机构",[1]!S_EST_NETPROFIT_INST($E$6,$E$8,C83,$F$4)/currencyunit,[1]!S_EST_NETPROFIT_INST($E$6,$E$8,$E$9,D83)/currencyunit)</f>
        <v>74848</v>
      </c>
      <c r="K83" s="45">
        <f ca="1">IF($D$4="自选机构",[1]!S_EST_EPS_INST($E$6,$E$8,C83,$F$4),[1]!S_EST_EPS_INST($E$6,$E$8,$E$9,D83))</f>
        <v>59.58</v>
      </c>
      <c r="L83" s="43" t="str">
        <f ca="1">IF($D$4="自选机构",[1]!S_EST_NEWRATINGTIME_INST($E$6,AC83,$F$4),[1]!S_EST_NEWRATINGTIME_INST($E$6,$E$9,D83))</f>
        <v>2023-11-01</v>
      </c>
      <c r="M83" s="41" t="str">
        <f ca="1">IF($D$4="自选机构",[1]!S_EST_RATINGANALYST($E$6,AC83,$F$4),IF(OR(D83=71,D83=74),"***",[1]!S_EST_RATINGANALYST($E$6,$E$9,D83)))</f>
        <v>蔡雪昱</v>
      </c>
      <c r="N83" s="41" t="str">
        <f ca="1">IF($D$4="自选机构",[1]!S_EST_ORGRATING_INST($E$6,AC83,$F$4),[1]!S_EST_ORGRATING_INST($E$6,$E$9,D83))</f>
        <v>中邮证券_买入_1</v>
      </c>
      <c r="O83" s="46">
        <f ca="1">IF($D$4="自选机构",[1]!S_EST_SCORERATING_INST($E$6,AC83,$F$4),[1]!S_EST_SCORERATING_INST($E$6,$E$9,D83))</f>
        <v>1</v>
      </c>
      <c r="P83" s="41" t="str">
        <f ca="1">IF($D$4="自选机构",[1]!S_EST_STDRATING_INST($E$6,AC83,$F$4),[1]!S_EST_STDRATING_INST($E$6,$E$9,D83))</f>
        <v>买入</v>
      </c>
      <c r="Q83" s="43" t="str">
        <f>IF($D$4="自选机构",[1]!S_EST_FRSTRATINGTIME_INST($E$6,$F$4),[1]!S_EST_FRSTRATINGTIME_INST($E$6,D83))</f>
        <v>2011-08-31</v>
      </c>
      <c r="R83" s="80">
        <f t="shared" ca="1" si="18"/>
        <v>149953</v>
      </c>
      <c r="S83" s="80">
        <f t="shared" ca="1" si="19"/>
        <v>74848</v>
      </c>
      <c r="T83" s="80">
        <f t="shared" ca="1" si="20"/>
        <v>59.58</v>
      </c>
      <c r="U83" s="82">
        <f t="shared" ca="1" si="12"/>
        <v>1</v>
      </c>
      <c r="V83" s="82"/>
      <c r="W83" s="82"/>
      <c r="X83" s="82"/>
      <c r="Y83" s="82"/>
      <c r="Z83" s="82"/>
      <c r="AA83" s="82"/>
      <c r="AB83" s="85">
        <f t="shared" ca="1" si="13"/>
        <v>45231</v>
      </c>
      <c r="AC83" s="85">
        <f t="shared" ca="1" si="21"/>
        <v>-1</v>
      </c>
      <c r="AD83" s="86">
        <f ca="1">IF($D$4="自选机构",[1]!S_EST_SCORERATING_INST($E$6,L83-1,$F$4),[1]!S_EST_SCORERATING_INST($E$6,L83-1,D83))</f>
        <v>1</v>
      </c>
      <c r="AE83" s="82" t="str">
        <f t="shared" ca="1" si="14"/>
        <v>评级不变</v>
      </c>
      <c r="AF83" s="82">
        <f t="shared" ca="1" si="10"/>
        <v>1</v>
      </c>
      <c r="AG83" s="87">
        <f t="shared" ca="1" si="15"/>
        <v>0</v>
      </c>
      <c r="AH83" s="39"/>
      <c r="AI83" s="59"/>
      <c r="AK83" s="57"/>
    </row>
    <row r="84" spans="2:40" ht="16.5" x14ac:dyDescent="0.15">
      <c r="B84" s="59"/>
      <c r="C84" s="84">
        <f t="shared" ca="1" si="16"/>
        <v>45230</v>
      </c>
      <c r="D84" s="48">
        <v>70</v>
      </c>
      <c r="E84" s="49" t="str">
        <f t="shared" si="17"/>
        <v>中原证券</v>
      </c>
      <c r="F84" s="50">
        <v>1</v>
      </c>
      <c r="G84" s="49">
        <f ca="1">IF($D$4="自选机构",[1]!S_EST_ESTANALYST($E$6,$E$8,C84,$F$4),IF(OR(D84=71,D84=74),"***",[1]!S_EST_ESTANALYST($E$6,$E$8,$E$9,D84)))</f>
        <v>0</v>
      </c>
      <c r="H84" s="51">
        <f ca="1">IF($D$4="自选机构",[1]!S_EST_ESTNEWTIME_INST($E$6,$E$8,C84,$F$4),[1]!S_EST_ESTNEWTIME_INST($E$6,$E$8,$E$9,D84))</f>
        <v>0</v>
      </c>
      <c r="I84" s="52">
        <f ca="1">IF($D$4="自选机构",[1]!S_EST_SALES_INST($E$6,$E$8,C84,$F$4)/currencyunit,[1]!S_EST_SALES_INST($E$6,$E$8,$E$9,D84)/currencyunit)</f>
        <v>0</v>
      </c>
      <c r="J84" s="52">
        <f ca="1">IF($D$4="自选机构",[1]!S_EST_NETPROFIT_INST($E$6,$E$8,C84,$F$4)/currencyunit,[1]!S_EST_NETPROFIT_INST($E$6,$E$8,$E$9,D84)/currencyunit)</f>
        <v>0</v>
      </c>
      <c r="K84" s="53">
        <f ca="1">IF($D$4="自选机构",[1]!S_EST_EPS_INST($E$6,$E$8,C84,$F$4),[1]!S_EST_EPS_INST($E$6,$E$8,$E$9,D84))</f>
        <v>0</v>
      </c>
      <c r="L84" s="51">
        <f ca="1">IF($D$4="自选机构",[1]!S_EST_NEWRATINGTIME_INST($E$6,AC84,$F$4),[1]!S_EST_NEWRATINGTIME_INST($E$6,$E$9,D84))</f>
        <v>0</v>
      </c>
      <c r="M84" s="49">
        <f ca="1">IF($D$4="自选机构",[1]!S_EST_RATINGANALYST($E$6,AC84,$F$4),IF(OR(D84=71,D84=74),"***",[1]!S_EST_RATINGANALYST($E$6,$E$9,D84)))</f>
        <v>0</v>
      </c>
      <c r="N84" s="49">
        <f ca="1">IF($D$4="自选机构",[1]!S_EST_ORGRATING_INST($E$6,AC84,$F$4),[1]!S_EST_ORGRATING_INST($E$6,$E$9,D84))</f>
        <v>0</v>
      </c>
      <c r="O84" s="54">
        <f ca="1">IF($D$4="自选机构",[1]!S_EST_SCORERATING_INST($E$6,AC84,$F$4),[1]!S_EST_SCORERATING_INST($E$6,$E$9,D84))</f>
        <v>0</v>
      </c>
      <c r="P84" s="49">
        <f ca="1">IF($D$4="自选机构",[1]!S_EST_STDRATING_INST($E$6,AC84,$F$4),[1]!S_EST_STDRATING_INST($E$6,$E$9,D84))</f>
        <v>0</v>
      </c>
      <c r="Q84" s="51" t="str">
        <f>IF($D$4="自选机构",[1]!S_EST_FRSTRATINGTIME_INST($E$6,$F$4),[1]!S_EST_FRSTRATINGTIME_INST($E$6,D84))</f>
        <v>2006-09-04</v>
      </c>
      <c r="R84" s="88">
        <f t="shared" ca="1" si="18"/>
        <v>0</v>
      </c>
      <c r="S84" s="88">
        <f t="shared" ca="1" si="19"/>
        <v>0</v>
      </c>
      <c r="T84" s="88">
        <f t="shared" ca="1" si="20"/>
        <v>0</v>
      </c>
      <c r="U84" s="89" t="str">
        <f t="shared" ca="1" si="12"/>
        <v/>
      </c>
      <c r="V84" s="89"/>
      <c r="W84" s="89"/>
      <c r="X84" s="89"/>
      <c r="Y84" s="89"/>
      <c r="Z84" s="89"/>
      <c r="AA84" s="89"/>
      <c r="AB84" s="90">
        <f t="shared" ca="1" si="13"/>
        <v>0</v>
      </c>
      <c r="AC84" s="90">
        <f t="shared" ca="1" si="21"/>
        <v>45230</v>
      </c>
      <c r="AD84" s="91">
        <f ca="1">IF($D$4="自选机构",[1]!S_EST_SCORERATING_INST($E$6,L84-1,$F$4),[1]!S_EST_SCORERATING_INST($E$6,L84-1,D84))</f>
        <v>0</v>
      </c>
      <c r="AE84" s="89" t="e">
        <f t="shared" ca="1" si="14"/>
        <v>#DIV/0!</v>
      </c>
      <c r="AF84" s="89" t="str">
        <f t="shared" ref="AF84:AF99" ca="1" si="22">IF(L84-$F$10&gt;=0,1,"")</f>
        <v/>
      </c>
      <c r="AG84" s="92" t="str">
        <f t="shared" ca="1" si="15"/>
        <v/>
      </c>
      <c r="AH84" s="39"/>
      <c r="AI84" s="59"/>
      <c r="AK84" s="57"/>
    </row>
    <row r="85" spans="2:40" s="57" customFormat="1" ht="16.5" x14ac:dyDescent="0.15">
      <c r="B85" s="59"/>
      <c r="C85" s="84">
        <f t="shared" ca="1" si="16"/>
        <v>-1</v>
      </c>
      <c r="D85" s="47">
        <v>71</v>
      </c>
      <c r="E85" s="41" t="str">
        <f t="shared" si="17"/>
        <v>****</v>
      </c>
      <c r="F85" s="42">
        <v>5</v>
      </c>
      <c r="G85" s="41" t="str">
        <f>IF($D$4="自选机构",[1]!S_EST_ESTANALYST($E$6,$E$8,C85,$F$4),IF(OR(D85=71,D85=74),"***",[1]!S_EST_ESTANALYST($E$6,$E$8,$E$9,D85)))</f>
        <v>***</v>
      </c>
      <c r="H85" s="43">
        <f ca="1">IF($D$4="自选机构",[1]!S_EST_ESTNEWTIME_INST($E$6,$E$8,C85,$F$4),[1]!S_EST_ESTNEWTIME_INST($E$6,$E$8,$E$9,D85))</f>
        <v>0</v>
      </c>
      <c r="I85" s="44">
        <f ca="1">IF($D$4="自选机构",[1]!S_EST_SALES_INST($E$6,$E$8,C85,$F$4)/currencyunit,[1]!S_EST_SALES_INST($E$6,$E$8,$E$9,D85)/currencyunit)</f>
        <v>0</v>
      </c>
      <c r="J85" s="44">
        <f ca="1">IF($D$4="自选机构",[1]!S_EST_NETPROFIT_INST($E$6,$E$8,C85,$F$4)/currencyunit,[1]!S_EST_NETPROFIT_INST($E$6,$E$8,$E$9,D85)/currencyunit)</f>
        <v>0</v>
      </c>
      <c r="K85" s="45">
        <f ca="1">IF($D$4="自选机构",[1]!S_EST_EPS_INST($E$6,$E$8,C85,$F$4),[1]!S_EST_EPS_INST($E$6,$E$8,$E$9,D85))</f>
        <v>0</v>
      </c>
      <c r="L85" s="43">
        <f ca="1">IF($D$4="自选机构",[1]!S_EST_NEWRATINGTIME_INST($E$6,AC85,$F$4),[1]!S_EST_NEWRATINGTIME_INST($E$6,$E$9,D85))</f>
        <v>0</v>
      </c>
      <c r="M85" s="41" t="str">
        <f>IF($D$4="自选机构",[1]!S_EST_RATINGANALYST($E$6,AC85,$F$4),IF(OR(D85=71,D85=74),"***",[1]!S_EST_RATINGANALYST($E$6,$E$9,D85)))</f>
        <v>***</v>
      </c>
      <c r="N85" s="41">
        <f ca="1">IF($D$4="自选机构",[1]!S_EST_ORGRATING_INST($E$6,AC85,$F$4),[1]!S_EST_ORGRATING_INST($E$6,$E$9,D85))</f>
        <v>0</v>
      </c>
      <c r="O85" s="46">
        <f ca="1">IF($D$4="自选机构",[1]!S_EST_SCORERATING_INST($E$6,AC85,$F$4),[1]!S_EST_SCORERATING_INST($E$6,$E$9,D85))</f>
        <v>0</v>
      </c>
      <c r="P85" s="41">
        <f ca="1">IF($D$4="自选机构",[1]!S_EST_STDRATING_INST($E$6,AC85,$F$4),[1]!S_EST_STDRATING_INST($E$6,$E$9,D85))</f>
        <v>0</v>
      </c>
      <c r="Q85" s="43">
        <f>IF($D$4="自选机构",[1]!S_EST_FRSTRATINGTIME_INST($E$6,$F$4),[1]!S_EST_FRSTRATINGTIME_INST($E$6,D85))</f>
        <v>0</v>
      </c>
      <c r="R85" s="80">
        <f t="shared" ca="1" si="18"/>
        <v>0</v>
      </c>
      <c r="S85" s="80">
        <f t="shared" ca="1" si="19"/>
        <v>0</v>
      </c>
      <c r="T85" s="80">
        <f t="shared" ca="1" si="20"/>
        <v>0</v>
      </c>
      <c r="U85" s="82" t="str">
        <f t="shared" ca="1" si="12"/>
        <v/>
      </c>
      <c r="V85" s="93"/>
      <c r="W85" s="93"/>
      <c r="X85" s="93"/>
      <c r="Y85" s="93"/>
      <c r="Z85" s="93"/>
      <c r="AA85" s="94"/>
      <c r="AB85" s="85">
        <f t="shared" ca="1" si="13"/>
        <v>0</v>
      </c>
      <c r="AC85" s="85">
        <f t="shared" ca="1" si="21"/>
        <v>-1</v>
      </c>
      <c r="AD85" s="86">
        <f ca="1">IF($D$4="自选机构",[1]!S_EST_SCORERATING_INST($E$6,L85-1,$F$4),[1]!S_EST_SCORERATING_INST($E$6,L85-1,D85))</f>
        <v>0</v>
      </c>
      <c r="AE85" s="82" t="e">
        <f t="shared" ca="1" si="14"/>
        <v>#DIV/0!</v>
      </c>
      <c r="AF85" s="82" t="str">
        <f t="shared" ca="1" si="22"/>
        <v/>
      </c>
      <c r="AG85" s="87" t="str">
        <f t="shared" ca="1" si="15"/>
        <v/>
      </c>
      <c r="AH85" s="39"/>
      <c r="AI85" s="59"/>
      <c r="AL85" s="58"/>
      <c r="AM85" s="58"/>
      <c r="AN85" s="58"/>
    </row>
    <row r="86" spans="2:40" s="57" customFormat="1" ht="16.5" x14ac:dyDescent="0.15">
      <c r="B86" s="59"/>
      <c r="C86" s="84">
        <f t="shared" ca="1" si="16"/>
        <v>-1</v>
      </c>
      <c r="D86" s="48">
        <v>72</v>
      </c>
      <c r="E86" s="49" t="str">
        <f t="shared" si="17"/>
        <v>德意志银行</v>
      </c>
      <c r="F86" s="50">
        <v>1</v>
      </c>
      <c r="G86" s="49">
        <f ca="1">IF($D$4="自选机构",[1]!S_EST_ESTANALYST($E$6,$E$8,C86,$F$4),IF(OR(D86=71,D86=74),"***",[1]!S_EST_ESTANALYST($E$6,$E$8,$E$9,D86)))</f>
        <v>0</v>
      </c>
      <c r="H86" s="51">
        <f ca="1">IF($D$4="自选机构",[1]!S_EST_ESTNEWTIME_INST($E$6,$E$8,C86,$F$4),[1]!S_EST_ESTNEWTIME_INST($E$6,$E$8,$E$9,D86))</f>
        <v>0</v>
      </c>
      <c r="I86" s="52">
        <f ca="1">IF($D$4="自选机构",[1]!S_EST_SALES_INST($E$6,$E$8,C86,$F$4)/currencyunit,[1]!S_EST_SALES_INST($E$6,$E$8,$E$9,D86)/currencyunit)</f>
        <v>0</v>
      </c>
      <c r="J86" s="52">
        <f ca="1">IF($D$4="自选机构",[1]!S_EST_NETPROFIT_INST($E$6,$E$8,C86,$F$4)/currencyunit,[1]!S_EST_NETPROFIT_INST($E$6,$E$8,$E$9,D86)/currencyunit)</f>
        <v>0</v>
      </c>
      <c r="K86" s="53">
        <f ca="1">IF($D$4="自选机构",[1]!S_EST_EPS_INST($E$6,$E$8,C86,$F$4),[1]!S_EST_EPS_INST($E$6,$E$8,$E$9,D86))</f>
        <v>0</v>
      </c>
      <c r="L86" s="51">
        <f ca="1">IF($D$4="自选机构",[1]!S_EST_NEWRATINGTIME_INST($E$6,AC86,$F$4),[1]!S_EST_NEWRATINGTIME_INST($E$6,$E$9,D86))</f>
        <v>0</v>
      </c>
      <c r="M86" s="49">
        <f ca="1">IF($D$4="自选机构",[1]!S_EST_RATINGANALYST($E$6,AC86,$F$4),IF(OR(D86=71,D86=74),"***",[1]!S_EST_RATINGANALYST($E$6,$E$9,D86)))</f>
        <v>0</v>
      </c>
      <c r="N86" s="49">
        <f ca="1">IF($D$4="自选机构",[1]!S_EST_ORGRATING_INST($E$6,AC86,$F$4),[1]!S_EST_ORGRATING_INST($E$6,$E$9,D86))</f>
        <v>0</v>
      </c>
      <c r="O86" s="54">
        <f ca="1">IF($D$4="自选机构",[1]!S_EST_SCORERATING_INST($E$6,AC86,$F$4),[1]!S_EST_SCORERATING_INST($E$6,$E$9,D86))</f>
        <v>0</v>
      </c>
      <c r="P86" s="49">
        <f ca="1">IF($D$4="自选机构",[1]!S_EST_STDRATING_INST($E$6,AC86,$F$4),[1]!S_EST_STDRATING_INST($E$6,$E$9,D86))</f>
        <v>0</v>
      </c>
      <c r="Q86" s="51">
        <f>IF($D$4="自选机构",[1]!S_EST_FRSTRATINGTIME_INST($E$6,$F$4),[1]!S_EST_FRSTRATINGTIME_INST($E$6,D86))</f>
        <v>0</v>
      </c>
      <c r="R86" s="88">
        <f t="shared" ca="1" si="18"/>
        <v>0</v>
      </c>
      <c r="S86" s="88">
        <f t="shared" ca="1" si="19"/>
        <v>0</v>
      </c>
      <c r="T86" s="88">
        <f t="shared" ca="1" si="20"/>
        <v>0</v>
      </c>
      <c r="U86" s="89" t="str">
        <f t="shared" ca="1" si="12"/>
        <v/>
      </c>
      <c r="V86" s="89"/>
      <c r="W86" s="89"/>
      <c r="X86" s="89"/>
      <c r="Y86" s="89"/>
      <c r="Z86" s="89"/>
      <c r="AA86" s="89"/>
      <c r="AB86" s="90">
        <f t="shared" ca="1" si="13"/>
        <v>0</v>
      </c>
      <c r="AC86" s="90">
        <f t="shared" ca="1" si="21"/>
        <v>-1</v>
      </c>
      <c r="AD86" s="91">
        <f ca="1">IF($D$4="自选机构",[1]!S_EST_SCORERATING_INST($E$6,L86-1,$F$4),[1]!S_EST_SCORERATING_INST($E$6,L86-1,D86))</f>
        <v>0</v>
      </c>
      <c r="AE86" s="89" t="e">
        <f t="shared" ca="1" si="14"/>
        <v>#DIV/0!</v>
      </c>
      <c r="AF86" s="89" t="str">
        <f t="shared" ca="1" si="22"/>
        <v/>
      </c>
      <c r="AG86" s="92" t="str">
        <f t="shared" ref="AG86:AG99" ca="1" si="23">IF(ISERROR(AE86),"",IF(AE86="评级不变",0,IF(AE86="评级下调",-1,IF(AE86="评级上调",1,""))))</f>
        <v/>
      </c>
      <c r="AH86" s="39"/>
      <c r="AI86" s="59"/>
      <c r="AL86" s="58"/>
      <c r="AM86" s="58"/>
      <c r="AN86" s="58"/>
    </row>
    <row r="87" spans="2:40" s="57" customFormat="1" ht="16.5" x14ac:dyDescent="0.15">
      <c r="B87" s="59"/>
      <c r="C87" s="84">
        <f t="shared" ca="1" si="16"/>
        <v>-1</v>
      </c>
      <c r="D87" s="47">
        <v>73</v>
      </c>
      <c r="E87" s="41" t="str">
        <f t="shared" si="17"/>
        <v>第一创业</v>
      </c>
      <c r="F87" s="42">
        <v>1</v>
      </c>
      <c r="G87" s="41">
        <f ca="1">IF($D$4="自选机构",[1]!S_EST_ESTANALYST($E$6,$E$8,C87,$F$4),IF(OR(D87=71,D87=74),"***",[1]!S_EST_ESTANALYST($E$6,$E$8,$E$9,D87)))</f>
        <v>0</v>
      </c>
      <c r="H87" s="43">
        <f ca="1">IF($D$4="自选机构",[1]!S_EST_ESTNEWTIME_INST($E$6,$E$8,C87,$F$4),[1]!S_EST_ESTNEWTIME_INST($E$6,$E$8,$E$9,D87))</f>
        <v>0</v>
      </c>
      <c r="I87" s="44">
        <f ca="1">IF($D$4="自选机构",[1]!S_EST_SALES_INST($E$6,$E$8,C87,$F$4)/currencyunit,[1]!S_EST_SALES_INST($E$6,$E$8,$E$9,D87)/currencyunit)</f>
        <v>0</v>
      </c>
      <c r="J87" s="44">
        <f ca="1">IF($D$4="自选机构",[1]!S_EST_NETPROFIT_INST($E$6,$E$8,C87,$F$4)/currencyunit,[1]!S_EST_NETPROFIT_INST($E$6,$E$8,$E$9,D87)/currencyunit)</f>
        <v>0</v>
      </c>
      <c r="K87" s="45">
        <f ca="1">IF($D$4="自选机构",[1]!S_EST_EPS_INST($E$6,$E$8,C87,$F$4),[1]!S_EST_EPS_INST($E$6,$E$8,$E$9,D87))</f>
        <v>0</v>
      </c>
      <c r="L87" s="43">
        <f ca="1">IF($D$4="自选机构",[1]!S_EST_NEWRATINGTIME_INST($E$6,AC87,$F$4),[1]!S_EST_NEWRATINGTIME_INST($E$6,$E$9,D87))</f>
        <v>0</v>
      </c>
      <c r="M87" s="41">
        <f ca="1">IF($D$4="自选机构",[1]!S_EST_RATINGANALYST($E$6,AC87,$F$4),IF(OR(D87=71,D87=74),"***",[1]!S_EST_RATINGANALYST($E$6,$E$9,D87)))</f>
        <v>0</v>
      </c>
      <c r="N87" s="41">
        <f ca="1">IF($D$4="自选机构",[1]!S_EST_ORGRATING_INST($E$6,AC87,$F$4),[1]!S_EST_ORGRATING_INST($E$6,$E$9,D87))</f>
        <v>0</v>
      </c>
      <c r="O87" s="46">
        <f ca="1">IF($D$4="自选机构",[1]!S_EST_SCORERATING_INST($E$6,AC87,$F$4),[1]!S_EST_SCORERATING_INST($E$6,$E$9,D87))</f>
        <v>0</v>
      </c>
      <c r="P87" s="41">
        <f ca="1">IF($D$4="自选机构",[1]!S_EST_STDRATING_INST($E$6,AC87,$F$4),[1]!S_EST_STDRATING_INST($E$6,$E$9,D87))</f>
        <v>0</v>
      </c>
      <c r="Q87" s="43">
        <f>IF($D$4="自选机构",[1]!S_EST_FRSTRATINGTIME_INST($E$6,$F$4),[1]!S_EST_FRSTRATINGTIME_INST($E$6,D87))</f>
        <v>0</v>
      </c>
      <c r="R87" s="80">
        <f t="shared" ca="1" si="18"/>
        <v>0</v>
      </c>
      <c r="S87" s="80">
        <f t="shared" ca="1" si="19"/>
        <v>0</v>
      </c>
      <c r="T87" s="80">
        <f t="shared" ca="1" si="20"/>
        <v>0</v>
      </c>
      <c r="U87" s="82" t="str">
        <f t="shared" ca="1" si="12"/>
        <v/>
      </c>
      <c r="V87" s="82"/>
      <c r="W87" s="82"/>
      <c r="X87" s="82"/>
      <c r="Y87" s="82"/>
      <c r="Z87" s="82"/>
      <c r="AA87" s="82"/>
      <c r="AB87" s="85">
        <f t="shared" ca="1" si="13"/>
        <v>0</v>
      </c>
      <c r="AC87" s="85">
        <f t="shared" ca="1" si="21"/>
        <v>-1</v>
      </c>
      <c r="AD87" s="86">
        <f ca="1">IF($D$4="自选机构",[1]!S_EST_SCORERATING_INST($E$6,L87-1,$F$4),[1]!S_EST_SCORERATING_INST($E$6,L87-1,D87))</f>
        <v>0</v>
      </c>
      <c r="AE87" s="82" t="e">
        <f t="shared" ca="1" si="14"/>
        <v>#DIV/0!</v>
      </c>
      <c r="AF87" s="82" t="str">
        <f t="shared" ca="1" si="22"/>
        <v/>
      </c>
      <c r="AG87" s="87" t="str">
        <f t="shared" ca="1" si="23"/>
        <v/>
      </c>
      <c r="AH87" s="39"/>
      <c r="AI87" s="59"/>
      <c r="AL87" s="58"/>
      <c r="AM87" s="58"/>
      <c r="AN87" s="58"/>
    </row>
    <row r="88" spans="2:40" s="57" customFormat="1" ht="16.5" x14ac:dyDescent="0.15">
      <c r="B88" s="59"/>
      <c r="C88" s="84">
        <f t="shared" ca="1" si="16"/>
        <v>-1</v>
      </c>
      <c r="D88" s="48">
        <v>74</v>
      </c>
      <c r="E88" s="49" t="str">
        <f t="shared" si="17"/>
        <v>***</v>
      </c>
      <c r="F88" s="50">
        <v>1</v>
      </c>
      <c r="G88" s="49" t="str">
        <f>IF($D$4="自选机构",[1]!S_EST_ESTANALYST($E$6,$E$8,C88,$F$4),IF(OR(D88=71,D88=74),"***",[1]!S_EST_ESTANALYST($E$6,$E$8,$E$9,D88)))</f>
        <v>***</v>
      </c>
      <c r="H88" s="51">
        <f ca="1">IF($D$4="自选机构",[1]!S_EST_ESTNEWTIME_INST($E$6,$E$8,C88,$F$4),[1]!S_EST_ESTNEWTIME_INST($E$6,$E$8,$E$9,D88))</f>
        <v>0</v>
      </c>
      <c r="I88" s="52">
        <f ca="1">IF($D$4="自选机构",[1]!S_EST_SALES_INST($E$6,$E$8,C88,$F$4)/currencyunit,[1]!S_EST_SALES_INST($E$6,$E$8,$E$9,D88)/currencyunit)</f>
        <v>0</v>
      </c>
      <c r="J88" s="52">
        <f ca="1">IF($D$4="自选机构",[1]!S_EST_NETPROFIT_INST($E$6,$E$8,C88,$F$4)/currencyunit,[1]!S_EST_NETPROFIT_INST($E$6,$E$8,$E$9,D88)/currencyunit)</f>
        <v>0</v>
      </c>
      <c r="K88" s="53">
        <f ca="1">IF($D$4="自选机构",[1]!S_EST_EPS_INST($E$6,$E$8,C88,$F$4),[1]!S_EST_EPS_INST($E$6,$E$8,$E$9,D88))</f>
        <v>0</v>
      </c>
      <c r="L88" s="51">
        <f ca="1">IF($D$4="自选机构",[1]!S_EST_NEWRATINGTIME_INST($E$6,AC88,$F$4),[1]!S_EST_NEWRATINGTIME_INST($E$6,$E$9,D88))</f>
        <v>0</v>
      </c>
      <c r="M88" s="49" t="str">
        <f>IF($D$4="自选机构",[1]!S_EST_RATINGANALYST($E$6,AC88,$F$4),IF(OR(D88=71,D88=74),"***",[1]!S_EST_RATINGANALYST($E$6,$E$9,D88)))</f>
        <v>***</v>
      </c>
      <c r="N88" s="49">
        <f ca="1">IF($D$4="自选机构",[1]!S_EST_ORGRATING_INST($E$6,AC88,$F$4),[1]!S_EST_ORGRATING_INST($E$6,$E$9,D88))</f>
        <v>0</v>
      </c>
      <c r="O88" s="54">
        <f ca="1">IF($D$4="自选机构",[1]!S_EST_SCORERATING_INST($E$6,AC88,$F$4),[1]!S_EST_SCORERATING_INST($E$6,$E$9,D88))</f>
        <v>0</v>
      </c>
      <c r="P88" s="49">
        <f ca="1">IF($D$4="自选机构",[1]!S_EST_STDRATING_INST($E$6,AC88,$F$4),[1]!S_EST_STDRATING_INST($E$6,$E$9,D88))</f>
        <v>0</v>
      </c>
      <c r="Q88" s="51">
        <f>IF($D$4="自选机构",[1]!S_EST_FRSTRATINGTIME_INST($E$6,$F$4),[1]!S_EST_FRSTRATINGTIME_INST($E$6,D88))</f>
        <v>0</v>
      </c>
      <c r="R88" s="88">
        <f t="shared" ca="1" si="18"/>
        <v>0</v>
      </c>
      <c r="S88" s="88">
        <f t="shared" ca="1" si="19"/>
        <v>0</v>
      </c>
      <c r="T88" s="88">
        <f t="shared" ca="1" si="20"/>
        <v>0</v>
      </c>
      <c r="U88" s="89" t="str">
        <f t="shared" ca="1" si="12"/>
        <v/>
      </c>
      <c r="V88" s="89"/>
      <c r="W88" s="89"/>
      <c r="X88" s="89"/>
      <c r="Y88" s="89"/>
      <c r="Z88" s="89"/>
      <c r="AA88" s="89"/>
      <c r="AB88" s="90">
        <f t="shared" ca="1" si="13"/>
        <v>0</v>
      </c>
      <c r="AC88" s="90">
        <f t="shared" ca="1" si="21"/>
        <v>-1</v>
      </c>
      <c r="AD88" s="91">
        <f ca="1">IF($D$4="自选机构",[1]!S_EST_SCORERATING_INST($E$6,L88-1,$F$4),[1]!S_EST_SCORERATING_INST($E$6,L88-1,D88))</f>
        <v>0</v>
      </c>
      <c r="AE88" s="89" t="e">
        <f t="shared" ca="1" si="14"/>
        <v>#DIV/0!</v>
      </c>
      <c r="AF88" s="89" t="str">
        <f t="shared" ca="1" si="22"/>
        <v/>
      </c>
      <c r="AG88" s="92" t="str">
        <f t="shared" ca="1" si="23"/>
        <v/>
      </c>
      <c r="AH88" s="39"/>
      <c r="AI88" s="59"/>
      <c r="AL88" s="58"/>
      <c r="AM88" s="58"/>
      <c r="AN88" s="58"/>
    </row>
    <row r="89" spans="2:40" ht="16.5" x14ac:dyDescent="0.15">
      <c r="B89" s="59"/>
      <c r="C89" s="84">
        <f t="shared" ca="1" si="16"/>
        <v>-1</v>
      </c>
      <c r="D89" s="47">
        <v>75</v>
      </c>
      <c r="E89" s="41" t="str">
        <f t="shared" si="17"/>
        <v>华宝证券</v>
      </c>
      <c r="F89" s="42">
        <v>1</v>
      </c>
      <c r="G89" s="41">
        <f ca="1">IF($D$4="自选机构",[1]!S_EST_ESTANALYST($E$6,$E$8,C89,$F$4),IF(OR(D89=71,D89=74),"***",[1]!S_EST_ESTANALYST($E$6,$E$8,$E$9,D89)))</f>
        <v>0</v>
      </c>
      <c r="H89" s="43">
        <f ca="1">IF($D$4="自选机构",[1]!S_EST_ESTNEWTIME_INST($E$6,$E$8,C89,$F$4),[1]!S_EST_ESTNEWTIME_INST($E$6,$E$8,$E$9,D89))</f>
        <v>0</v>
      </c>
      <c r="I89" s="44">
        <f ca="1">IF($D$4="自选机构",[1]!S_EST_SALES_INST($E$6,$E$8,C89,$F$4)/currencyunit,[1]!S_EST_SALES_INST($E$6,$E$8,$E$9,D89)/currencyunit)</f>
        <v>0</v>
      </c>
      <c r="J89" s="44">
        <f ca="1">IF($D$4="自选机构",[1]!S_EST_NETPROFIT_INST($E$6,$E$8,C89,$F$4)/currencyunit,[1]!S_EST_NETPROFIT_INST($E$6,$E$8,$E$9,D89)/currencyunit)</f>
        <v>0</v>
      </c>
      <c r="K89" s="45">
        <f ca="1">IF($D$4="自选机构",[1]!S_EST_EPS_INST($E$6,$E$8,C89,$F$4),[1]!S_EST_EPS_INST($E$6,$E$8,$E$9,D89))</f>
        <v>0</v>
      </c>
      <c r="L89" s="43">
        <f ca="1">IF($D$4="自选机构",[1]!S_EST_NEWRATINGTIME_INST($E$6,AC89,$F$4),[1]!S_EST_NEWRATINGTIME_INST($E$6,$E$9,D89))</f>
        <v>0</v>
      </c>
      <c r="M89" s="41">
        <f ca="1">IF($D$4="自选机构",[1]!S_EST_RATINGANALYST($E$6,AC89,$F$4),IF(OR(D89=71,D89=74),"***",[1]!S_EST_RATINGANALYST($E$6,$E$9,D89)))</f>
        <v>0</v>
      </c>
      <c r="N89" s="41">
        <f ca="1">IF($D$4="自选机构",[1]!S_EST_ORGRATING_INST($E$6,AC89,$F$4),[1]!S_EST_ORGRATING_INST($E$6,$E$9,D89))</f>
        <v>0</v>
      </c>
      <c r="O89" s="46">
        <f ca="1">IF($D$4="自选机构",[1]!S_EST_SCORERATING_INST($E$6,AC89,$F$4),[1]!S_EST_SCORERATING_INST($E$6,$E$9,D89))</f>
        <v>0</v>
      </c>
      <c r="P89" s="41">
        <f ca="1">IF($D$4="自选机构",[1]!S_EST_STDRATING_INST($E$6,AC89,$F$4),[1]!S_EST_STDRATING_INST($E$6,$E$9,D89))</f>
        <v>0</v>
      </c>
      <c r="Q89" s="43">
        <f>IF($D$4="自选机构",[1]!S_EST_FRSTRATINGTIME_INST($E$6,$F$4),[1]!S_EST_FRSTRATINGTIME_INST($E$6,D89))</f>
        <v>0</v>
      </c>
      <c r="R89" s="80">
        <f t="shared" ca="1" si="18"/>
        <v>0</v>
      </c>
      <c r="S89" s="80">
        <f t="shared" ca="1" si="19"/>
        <v>0</v>
      </c>
      <c r="T89" s="80">
        <f t="shared" ca="1" si="20"/>
        <v>0</v>
      </c>
      <c r="U89" s="82" t="str">
        <f t="shared" ca="1" si="12"/>
        <v/>
      </c>
      <c r="V89" s="82"/>
      <c r="W89" s="82"/>
      <c r="X89" s="82"/>
      <c r="Y89" s="82"/>
      <c r="Z89" s="82"/>
      <c r="AA89" s="82"/>
      <c r="AB89" s="85">
        <f t="shared" ca="1" si="13"/>
        <v>0</v>
      </c>
      <c r="AC89" s="85">
        <f t="shared" ca="1" si="21"/>
        <v>-1</v>
      </c>
      <c r="AD89" s="86">
        <f ca="1">IF($D$4="自选机构",[1]!S_EST_SCORERATING_INST($E$6,L89-1,$F$4),[1]!S_EST_SCORERATING_INST($E$6,L89-1,D89))</f>
        <v>0</v>
      </c>
      <c r="AE89" s="82" t="e">
        <f t="shared" ca="1" si="14"/>
        <v>#DIV/0!</v>
      </c>
      <c r="AF89" s="82" t="str">
        <f t="shared" ca="1" si="22"/>
        <v/>
      </c>
      <c r="AG89" s="87" t="str">
        <f t="shared" ca="1" si="23"/>
        <v/>
      </c>
      <c r="AH89" s="39"/>
      <c r="AI89" s="59"/>
      <c r="AK89" s="57"/>
    </row>
    <row r="90" spans="2:40" ht="16.5" x14ac:dyDescent="0.15">
      <c r="B90" s="59"/>
      <c r="C90" s="84">
        <f t="shared" ca="1" si="16"/>
        <v>-1</v>
      </c>
      <c r="D90" s="48">
        <v>76</v>
      </c>
      <c r="E90" s="49" t="str">
        <f t="shared" si="17"/>
        <v>华龙证券</v>
      </c>
      <c r="F90" s="50">
        <v>1</v>
      </c>
      <c r="G90" s="49">
        <f ca="1">IF($D$4="自选机构",[1]!S_EST_ESTANALYST($E$6,$E$8,C90,$F$4),IF(OR(D90=71,D90=74),"***",[1]!S_EST_ESTANALYST($E$6,$E$8,$E$9,D90)))</f>
        <v>0</v>
      </c>
      <c r="H90" s="51">
        <f ca="1">IF($D$4="自选机构",[1]!S_EST_ESTNEWTIME_INST($E$6,$E$8,C90,$F$4),[1]!S_EST_ESTNEWTIME_INST($E$6,$E$8,$E$9,D90))</f>
        <v>0</v>
      </c>
      <c r="I90" s="52">
        <f ca="1">IF($D$4="自选机构",[1]!S_EST_SALES_INST($E$6,$E$8,C90,$F$4)/currencyunit,[1]!S_EST_SALES_INST($E$6,$E$8,$E$9,D90)/currencyunit)</f>
        <v>0</v>
      </c>
      <c r="J90" s="52">
        <f ca="1">IF($D$4="自选机构",[1]!S_EST_NETPROFIT_INST($E$6,$E$8,C90,$F$4)/currencyunit,[1]!S_EST_NETPROFIT_INST($E$6,$E$8,$E$9,D90)/currencyunit)</f>
        <v>0</v>
      </c>
      <c r="K90" s="53">
        <f ca="1">IF($D$4="自选机构",[1]!S_EST_EPS_INST($E$6,$E$8,C90,$F$4),[1]!S_EST_EPS_INST($E$6,$E$8,$E$9,D90))</f>
        <v>0</v>
      </c>
      <c r="L90" s="51">
        <f ca="1">IF($D$4="自选机构",[1]!S_EST_NEWRATINGTIME_INST($E$6,AC90,$F$4),[1]!S_EST_NEWRATINGTIME_INST($E$6,$E$9,D90))</f>
        <v>0</v>
      </c>
      <c r="M90" s="49">
        <f ca="1">IF($D$4="自选机构",[1]!S_EST_RATINGANALYST($E$6,AC90,$F$4),IF(OR(D90=71,D90=74),"***",[1]!S_EST_RATINGANALYST($E$6,$E$9,D90)))</f>
        <v>0</v>
      </c>
      <c r="N90" s="49">
        <f ca="1">IF($D$4="自选机构",[1]!S_EST_ORGRATING_INST($E$6,AC90,$F$4),[1]!S_EST_ORGRATING_INST($E$6,$E$9,D90))</f>
        <v>0</v>
      </c>
      <c r="O90" s="54">
        <f ca="1">IF($D$4="自选机构",[1]!S_EST_SCORERATING_INST($E$6,AC90,$F$4),[1]!S_EST_SCORERATING_INST($E$6,$E$9,D90))</f>
        <v>0</v>
      </c>
      <c r="P90" s="49">
        <f ca="1">IF($D$4="自选机构",[1]!S_EST_STDRATING_INST($E$6,AC90,$F$4),[1]!S_EST_STDRATING_INST($E$6,$E$9,D90))</f>
        <v>0</v>
      </c>
      <c r="Q90" s="51">
        <f>IF($D$4="自选机构",[1]!S_EST_FRSTRATINGTIME_INST($E$6,$F$4),[1]!S_EST_FRSTRATINGTIME_INST($E$6,D90))</f>
        <v>0</v>
      </c>
      <c r="R90" s="88">
        <f t="shared" ca="1" si="18"/>
        <v>0</v>
      </c>
      <c r="S90" s="88">
        <f t="shared" ca="1" si="19"/>
        <v>0</v>
      </c>
      <c r="T90" s="88">
        <f t="shared" ca="1" si="20"/>
        <v>0</v>
      </c>
      <c r="U90" s="89" t="str">
        <f t="shared" ca="1" si="12"/>
        <v/>
      </c>
      <c r="V90" s="89"/>
      <c r="W90" s="89"/>
      <c r="X90" s="89"/>
      <c r="Y90" s="89"/>
      <c r="Z90" s="89"/>
      <c r="AA90" s="89"/>
      <c r="AB90" s="90">
        <f t="shared" ca="1" si="13"/>
        <v>0</v>
      </c>
      <c r="AC90" s="90">
        <f t="shared" ca="1" si="21"/>
        <v>-1</v>
      </c>
      <c r="AD90" s="91">
        <f ca="1">IF($D$4="自选机构",[1]!S_EST_SCORERATING_INST($E$6,L90-1,$F$4),[1]!S_EST_SCORERATING_INST($E$6,L90-1,D90))</f>
        <v>0</v>
      </c>
      <c r="AE90" s="89" t="e">
        <f t="shared" ca="1" si="14"/>
        <v>#DIV/0!</v>
      </c>
      <c r="AF90" s="89" t="str">
        <f t="shared" ca="1" si="22"/>
        <v/>
      </c>
      <c r="AG90" s="92" t="str">
        <f t="shared" ca="1" si="23"/>
        <v/>
      </c>
      <c r="AH90" s="39"/>
      <c r="AI90" s="59"/>
      <c r="AK90" s="57"/>
    </row>
    <row r="91" spans="2:40" s="57" customFormat="1" ht="16.5" x14ac:dyDescent="0.15">
      <c r="B91" s="59"/>
      <c r="C91" s="84">
        <f t="shared" ca="1" si="16"/>
        <v>-1</v>
      </c>
      <c r="D91" s="47">
        <v>77</v>
      </c>
      <c r="E91" s="41" t="str">
        <f t="shared" si="17"/>
        <v>凯基证券</v>
      </c>
      <c r="F91" s="42">
        <v>1</v>
      </c>
      <c r="G91" s="41">
        <f ca="1">IF($D$4="自选机构",[1]!S_EST_ESTANALYST($E$6,$E$8,C91,$F$4),IF(OR(D91=71,D91=74),"***",[1]!S_EST_ESTANALYST($E$6,$E$8,$E$9,D91)))</f>
        <v>0</v>
      </c>
      <c r="H91" s="43">
        <f ca="1">IF($D$4="自选机构",[1]!S_EST_ESTNEWTIME_INST($E$6,$E$8,C91,$F$4),[1]!S_EST_ESTNEWTIME_INST($E$6,$E$8,$E$9,D91))</f>
        <v>0</v>
      </c>
      <c r="I91" s="44">
        <f ca="1">IF($D$4="自选机构",[1]!S_EST_SALES_INST($E$6,$E$8,C91,$F$4)/currencyunit,[1]!S_EST_SALES_INST($E$6,$E$8,$E$9,D91)/currencyunit)</f>
        <v>0</v>
      </c>
      <c r="J91" s="44">
        <f ca="1">IF($D$4="自选机构",[1]!S_EST_NETPROFIT_INST($E$6,$E$8,C91,$F$4)/currencyunit,[1]!S_EST_NETPROFIT_INST($E$6,$E$8,$E$9,D91)/currencyunit)</f>
        <v>0</v>
      </c>
      <c r="K91" s="45">
        <f ca="1">IF($D$4="自选机构",[1]!S_EST_EPS_INST($E$6,$E$8,C91,$F$4),[1]!S_EST_EPS_INST($E$6,$E$8,$E$9,D91))</f>
        <v>0</v>
      </c>
      <c r="L91" s="43">
        <f ca="1">IF($D$4="自选机构",[1]!S_EST_NEWRATINGTIME_INST($E$6,AC91,$F$4),[1]!S_EST_NEWRATINGTIME_INST($E$6,$E$9,D91))</f>
        <v>0</v>
      </c>
      <c r="M91" s="41">
        <f ca="1">IF($D$4="自选机构",[1]!S_EST_RATINGANALYST($E$6,AC91,$F$4),IF(OR(D91=71,D91=74),"***",[1]!S_EST_RATINGANALYST($E$6,$E$9,D91)))</f>
        <v>0</v>
      </c>
      <c r="N91" s="41">
        <f ca="1">IF($D$4="自选机构",[1]!S_EST_ORGRATING_INST($E$6,AC91,$F$4),[1]!S_EST_ORGRATING_INST($E$6,$E$9,D91))</f>
        <v>0</v>
      </c>
      <c r="O91" s="46">
        <f ca="1">IF($D$4="自选机构",[1]!S_EST_SCORERATING_INST($E$6,AC91,$F$4),[1]!S_EST_SCORERATING_INST($E$6,$E$9,D91))</f>
        <v>0</v>
      </c>
      <c r="P91" s="41">
        <f ca="1">IF($D$4="自选机构",[1]!S_EST_STDRATING_INST($E$6,AC91,$F$4),[1]!S_EST_STDRATING_INST($E$6,$E$9,D91))</f>
        <v>0</v>
      </c>
      <c r="Q91" s="43">
        <f>IF($D$4="自选机构",[1]!S_EST_FRSTRATINGTIME_INST($E$6,$F$4),[1]!S_EST_FRSTRATINGTIME_INST($E$6,D91))</f>
        <v>0</v>
      </c>
      <c r="R91" s="80">
        <f t="shared" ca="1" si="18"/>
        <v>0</v>
      </c>
      <c r="S91" s="80">
        <f t="shared" ca="1" si="19"/>
        <v>0</v>
      </c>
      <c r="T91" s="80">
        <f t="shared" ca="1" si="20"/>
        <v>0</v>
      </c>
      <c r="U91" s="82" t="str">
        <f t="shared" ca="1" si="12"/>
        <v/>
      </c>
      <c r="V91" s="93"/>
      <c r="W91" s="93"/>
      <c r="X91" s="93"/>
      <c r="Y91" s="93"/>
      <c r="Z91" s="93"/>
      <c r="AA91" s="94"/>
      <c r="AB91" s="85">
        <f t="shared" ca="1" si="13"/>
        <v>0</v>
      </c>
      <c r="AC91" s="85">
        <f t="shared" ca="1" si="21"/>
        <v>-1</v>
      </c>
      <c r="AD91" s="86">
        <f ca="1">IF($D$4="自选机构",[1]!S_EST_SCORERATING_INST($E$6,L91-1,$F$4),[1]!S_EST_SCORERATING_INST($E$6,L91-1,D91))</f>
        <v>0</v>
      </c>
      <c r="AE91" s="82" t="e">
        <f t="shared" ca="1" si="14"/>
        <v>#DIV/0!</v>
      </c>
      <c r="AF91" s="82" t="str">
        <f t="shared" ca="1" si="22"/>
        <v/>
      </c>
      <c r="AG91" s="87" t="str">
        <f t="shared" ca="1" si="23"/>
        <v/>
      </c>
      <c r="AH91" s="39"/>
      <c r="AI91" s="59"/>
      <c r="AL91" s="58"/>
      <c r="AM91" s="58"/>
      <c r="AN91" s="58"/>
    </row>
    <row r="92" spans="2:40" s="57" customFormat="1" ht="16.5" x14ac:dyDescent="0.15">
      <c r="B92" s="59"/>
      <c r="C92" s="84">
        <f t="shared" ca="1" si="16"/>
        <v>-1</v>
      </c>
      <c r="D92" s="48">
        <v>78</v>
      </c>
      <c r="E92" s="49" t="str">
        <f t="shared" si="17"/>
        <v>里昂证券</v>
      </c>
      <c r="F92" s="50">
        <v>1</v>
      </c>
      <c r="G92" s="49">
        <f ca="1">IF($D$4="自选机构",[1]!S_EST_ESTANALYST($E$6,$E$8,C92,$F$4),IF(OR(D92=71,D92=74),"***",[1]!S_EST_ESTANALYST($E$6,$E$8,$E$9,D92)))</f>
        <v>0</v>
      </c>
      <c r="H92" s="51">
        <f ca="1">IF($D$4="自选机构",[1]!S_EST_ESTNEWTIME_INST($E$6,$E$8,C92,$F$4),[1]!S_EST_ESTNEWTIME_INST($E$6,$E$8,$E$9,D92))</f>
        <v>0</v>
      </c>
      <c r="I92" s="52">
        <f ca="1">IF($D$4="自选机构",[1]!S_EST_SALES_INST($E$6,$E$8,C92,$F$4)/currencyunit,[1]!S_EST_SALES_INST($E$6,$E$8,$E$9,D92)/currencyunit)</f>
        <v>0</v>
      </c>
      <c r="J92" s="52">
        <f ca="1">IF($D$4="自选机构",[1]!S_EST_NETPROFIT_INST($E$6,$E$8,C92,$F$4)/currencyunit,[1]!S_EST_NETPROFIT_INST($E$6,$E$8,$E$9,D92)/currencyunit)</f>
        <v>0</v>
      </c>
      <c r="K92" s="53">
        <f ca="1">IF($D$4="自选机构",[1]!S_EST_EPS_INST($E$6,$E$8,C92,$F$4),[1]!S_EST_EPS_INST($E$6,$E$8,$E$9,D92))</f>
        <v>0</v>
      </c>
      <c r="L92" s="51">
        <f ca="1">IF($D$4="自选机构",[1]!S_EST_NEWRATINGTIME_INST($E$6,AC92,$F$4),[1]!S_EST_NEWRATINGTIME_INST($E$6,$E$9,D92))</f>
        <v>0</v>
      </c>
      <c r="M92" s="49">
        <f ca="1">IF($D$4="自选机构",[1]!S_EST_RATINGANALYST($E$6,AC92,$F$4),IF(OR(D92=71,D92=74),"***",[1]!S_EST_RATINGANALYST($E$6,$E$9,D92)))</f>
        <v>0</v>
      </c>
      <c r="N92" s="49">
        <f ca="1">IF($D$4="自选机构",[1]!S_EST_ORGRATING_INST($E$6,AC92,$F$4),[1]!S_EST_ORGRATING_INST($E$6,$E$9,D92))</f>
        <v>0</v>
      </c>
      <c r="O92" s="54">
        <f ca="1">IF($D$4="自选机构",[1]!S_EST_SCORERATING_INST($E$6,AC92,$F$4),[1]!S_EST_SCORERATING_INST($E$6,$E$9,D92))</f>
        <v>0</v>
      </c>
      <c r="P92" s="49">
        <f ca="1">IF($D$4="自选机构",[1]!S_EST_STDRATING_INST($E$6,AC92,$F$4),[1]!S_EST_STDRATING_INST($E$6,$E$9,D92))</f>
        <v>0</v>
      </c>
      <c r="Q92" s="51">
        <f>IF($D$4="自选机构",[1]!S_EST_FRSTRATINGTIME_INST($E$6,$F$4),[1]!S_EST_FRSTRATINGTIME_INST($E$6,D92))</f>
        <v>0</v>
      </c>
      <c r="R92" s="88">
        <f t="shared" ca="1" si="18"/>
        <v>0</v>
      </c>
      <c r="S92" s="88">
        <f t="shared" ca="1" si="19"/>
        <v>0</v>
      </c>
      <c r="T92" s="88">
        <f t="shared" ca="1" si="20"/>
        <v>0</v>
      </c>
      <c r="U92" s="89" t="str">
        <f t="shared" ca="1" si="12"/>
        <v/>
      </c>
      <c r="V92" s="89"/>
      <c r="W92" s="89"/>
      <c r="X92" s="89"/>
      <c r="Y92" s="89"/>
      <c r="Z92" s="89"/>
      <c r="AA92" s="89"/>
      <c r="AB92" s="90">
        <f t="shared" ca="1" si="13"/>
        <v>0</v>
      </c>
      <c r="AC92" s="90">
        <f t="shared" ca="1" si="21"/>
        <v>-1</v>
      </c>
      <c r="AD92" s="91">
        <f ca="1">IF($D$4="自选机构",[1]!S_EST_SCORERATING_INST($E$6,L92-1,$F$4),[1]!S_EST_SCORERATING_INST($E$6,L92-1,D92))</f>
        <v>0</v>
      </c>
      <c r="AE92" s="89" t="e">
        <f t="shared" ca="1" si="14"/>
        <v>#DIV/0!</v>
      </c>
      <c r="AF92" s="89" t="str">
        <f t="shared" ca="1" si="22"/>
        <v/>
      </c>
      <c r="AG92" s="92" t="str">
        <f t="shared" ca="1" si="23"/>
        <v/>
      </c>
      <c r="AH92" s="39"/>
      <c r="AI92" s="59"/>
      <c r="AL92" s="58"/>
      <c r="AM92" s="58"/>
      <c r="AN92" s="58"/>
    </row>
    <row r="93" spans="2:40" s="57" customFormat="1" ht="16.5" x14ac:dyDescent="0.15">
      <c r="B93" s="59"/>
      <c r="C93" s="84">
        <f t="shared" ca="1" si="16"/>
        <v>-1</v>
      </c>
      <c r="D93" s="47">
        <v>79</v>
      </c>
      <c r="E93" s="41" t="str">
        <f t="shared" si="17"/>
        <v>联合证券</v>
      </c>
      <c r="F93" s="42">
        <v>1</v>
      </c>
      <c r="G93" s="41">
        <f ca="1">IF($D$4="自选机构",[1]!S_EST_ESTANALYST($E$6,$E$8,C93,$F$4),IF(OR(D93=71,D93=74),"***",[1]!S_EST_ESTANALYST($E$6,$E$8,$E$9,D93)))</f>
        <v>0</v>
      </c>
      <c r="H93" s="43">
        <f ca="1">IF($D$4="自选机构",[1]!S_EST_ESTNEWTIME_INST($E$6,$E$8,C93,$F$4),[1]!S_EST_ESTNEWTIME_INST($E$6,$E$8,$E$9,D93))</f>
        <v>0</v>
      </c>
      <c r="I93" s="44">
        <f ca="1">IF($D$4="自选机构",[1]!S_EST_SALES_INST($E$6,$E$8,C93,$F$4)/currencyunit,[1]!S_EST_SALES_INST($E$6,$E$8,$E$9,D93)/currencyunit)</f>
        <v>0</v>
      </c>
      <c r="J93" s="44">
        <f ca="1">IF($D$4="自选机构",[1]!S_EST_NETPROFIT_INST($E$6,$E$8,C93,$F$4)/currencyunit,[1]!S_EST_NETPROFIT_INST($E$6,$E$8,$E$9,D93)/currencyunit)</f>
        <v>0</v>
      </c>
      <c r="K93" s="45">
        <f ca="1">IF($D$4="自选机构",[1]!S_EST_EPS_INST($E$6,$E$8,C93,$F$4),[1]!S_EST_EPS_INST($E$6,$E$8,$E$9,D93))</f>
        <v>0</v>
      </c>
      <c r="L93" s="43">
        <f ca="1">IF($D$4="自选机构",[1]!S_EST_NEWRATINGTIME_INST($E$6,AC93,$F$4),[1]!S_EST_NEWRATINGTIME_INST($E$6,$E$9,D93))</f>
        <v>0</v>
      </c>
      <c r="M93" s="41">
        <f ca="1">IF($D$4="自选机构",[1]!S_EST_RATINGANALYST($E$6,AC93,$F$4),IF(OR(D93=71,D93=74),"***",[1]!S_EST_RATINGANALYST($E$6,$E$9,D93)))</f>
        <v>0</v>
      </c>
      <c r="N93" s="41">
        <f ca="1">IF($D$4="自选机构",[1]!S_EST_ORGRATING_INST($E$6,AC93,$F$4),[1]!S_EST_ORGRATING_INST($E$6,$E$9,D93))</f>
        <v>0</v>
      </c>
      <c r="O93" s="46">
        <f ca="1">IF($D$4="自选机构",[1]!S_EST_SCORERATING_INST($E$6,AC93,$F$4),[1]!S_EST_SCORERATING_INST($E$6,$E$9,D93))</f>
        <v>0</v>
      </c>
      <c r="P93" s="41">
        <f ca="1">IF($D$4="自选机构",[1]!S_EST_STDRATING_INST($E$6,AC93,$F$4),[1]!S_EST_STDRATING_INST($E$6,$E$9,D93))</f>
        <v>0</v>
      </c>
      <c r="Q93" s="43">
        <f>IF($D$4="自选机构",[1]!S_EST_FRSTRATINGTIME_INST($E$6,$F$4),[1]!S_EST_FRSTRATINGTIME_INST($E$6,D93))</f>
        <v>0</v>
      </c>
      <c r="R93" s="80">
        <f t="shared" ca="1" si="18"/>
        <v>0</v>
      </c>
      <c r="S93" s="80">
        <f t="shared" ca="1" si="19"/>
        <v>0</v>
      </c>
      <c r="T93" s="80">
        <f t="shared" ca="1" si="20"/>
        <v>0</v>
      </c>
      <c r="U93" s="82" t="str">
        <f t="shared" ca="1" si="12"/>
        <v/>
      </c>
      <c r="V93" s="82"/>
      <c r="W93" s="82"/>
      <c r="X93" s="82"/>
      <c r="Y93" s="82"/>
      <c r="Z93" s="82"/>
      <c r="AA93" s="82"/>
      <c r="AB93" s="85">
        <f t="shared" ca="1" si="13"/>
        <v>0</v>
      </c>
      <c r="AC93" s="85">
        <f t="shared" ca="1" si="21"/>
        <v>-1</v>
      </c>
      <c r="AD93" s="86">
        <f ca="1">IF($D$4="自选机构",[1]!S_EST_SCORERATING_INST($E$6,L93-1,$F$4),[1]!S_EST_SCORERATING_INST($E$6,L93-1,D93))</f>
        <v>0</v>
      </c>
      <c r="AE93" s="82" t="e">
        <f t="shared" ca="1" si="14"/>
        <v>#DIV/0!</v>
      </c>
      <c r="AF93" s="82" t="str">
        <f t="shared" ca="1" si="22"/>
        <v/>
      </c>
      <c r="AG93" s="87" t="str">
        <f t="shared" ca="1" si="23"/>
        <v/>
      </c>
      <c r="AH93" s="39"/>
      <c r="AI93" s="59"/>
      <c r="AL93" s="58"/>
      <c r="AM93" s="58"/>
      <c r="AN93" s="58"/>
    </row>
    <row r="94" spans="2:40" s="57" customFormat="1" ht="16.5" x14ac:dyDescent="0.15">
      <c r="B94" s="59"/>
      <c r="C94" s="84">
        <f t="shared" ca="1" si="16"/>
        <v>-1</v>
      </c>
      <c r="D94" s="48">
        <v>80</v>
      </c>
      <c r="E94" s="49" t="str">
        <f t="shared" si="17"/>
        <v>民族证券</v>
      </c>
      <c r="F94" s="50">
        <v>1</v>
      </c>
      <c r="G94" s="49">
        <f ca="1">IF($D$4="自选机构",[1]!S_EST_ESTANALYST($E$6,$E$8,C94,$F$4),IF(OR(D94=71,D94=74),"***",[1]!S_EST_ESTANALYST($E$6,$E$8,$E$9,D94)))</f>
        <v>0</v>
      </c>
      <c r="H94" s="51">
        <f ca="1">IF($D$4="自选机构",[1]!S_EST_ESTNEWTIME_INST($E$6,$E$8,C94,$F$4),[1]!S_EST_ESTNEWTIME_INST($E$6,$E$8,$E$9,D94))</f>
        <v>0</v>
      </c>
      <c r="I94" s="52">
        <f ca="1">IF($D$4="自选机构",[1]!S_EST_SALES_INST($E$6,$E$8,C94,$F$4)/currencyunit,[1]!S_EST_SALES_INST($E$6,$E$8,$E$9,D94)/currencyunit)</f>
        <v>0</v>
      </c>
      <c r="J94" s="52">
        <f ca="1">IF($D$4="自选机构",[1]!S_EST_NETPROFIT_INST($E$6,$E$8,C94,$F$4)/currencyunit,[1]!S_EST_NETPROFIT_INST($E$6,$E$8,$E$9,D94)/currencyunit)</f>
        <v>0</v>
      </c>
      <c r="K94" s="53">
        <f ca="1">IF($D$4="自选机构",[1]!S_EST_EPS_INST($E$6,$E$8,C94,$F$4),[1]!S_EST_EPS_INST($E$6,$E$8,$E$9,D94))</f>
        <v>0</v>
      </c>
      <c r="L94" s="51">
        <f ca="1">IF($D$4="自选机构",[1]!S_EST_NEWRATINGTIME_INST($E$6,AC94,$F$4),[1]!S_EST_NEWRATINGTIME_INST($E$6,$E$9,D94))</f>
        <v>0</v>
      </c>
      <c r="M94" s="49">
        <f ca="1">IF($D$4="自选机构",[1]!S_EST_RATINGANALYST($E$6,AC94,$F$4),IF(OR(D94=71,D94=74),"***",[1]!S_EST_RATINGANALYST($E$6,$E$9,D94)))</f>
        <v>0</v>
      </c>
      <c r="N94" s="49">
        <f ca="1">IF($D$4="自选机构",[1]!S_EST_ORGRATING_INST($E$6,AC94,$F$4),[1]!S_EST_ORGRATING_INST($E$6,$E$9,D94))</f>
        <v>0</v>
      </c>
      <c r="O94" s="54">
        <f ca="1">IF($D$4="自选机构",[1]!S_EST_SCORERATING_INST($E$6,AC94,$F$4),[1]!S_EST_SCORERATING_INST($E$6,$E$9,D94))</f>
        <v>0</v>
      </c>
      <c r="P94" s="49">
        <f ca="1">IF($D$4="自选机构",[1]!S_EST_STDRATING_INST($E$6,AC94,$F$4),[1]!S_EST_STDRATING_INST($E$6,$E$9,D94))</f>
        <v>0</v>
      </c>
      <c r="Q94" s="51">
        <f>IF($D$4="自选机构",[1]!S_EST_FRSTRATINGTIME_INST($E$6,$F$4),[1]!S_EST_FRSTRATINGTIME_INST($E$6,D94))</f>
        <v>0</v>
      </c>
      <c r="R94" s="88">
        <f t="shared" ca="1" si="18"/>
        <v>0</v>
      </c>
      <c r="S94" s="88">
        <f t="shared" ca="1" si="19"/>
        <v>0</v>
      </c>
      <c r="T94" s="88">
        <f t="shared" ca="1" si="20"/>
        <v>0</v>
      </c>
      <c r="U94" s="89" t="str">
        <f t="shared" ca="1" si="12"/>
        <v/>
      </c>
      <c r="V94" s="89"/>
      <c r="W94" s="89"/>
      <c r="X94" s="89"/>
      <c r="Y94" s="89"/>
      <c r="Z94" s="89"/>
      <c r="AA94" s="89"/>
      <c r="AB94" s="90">
        <f t="shared" ca="1" si="13"/>
        <v>0</v>
      </c>
      <c r="AC94" s="90">
        <f t="shared" ca="1" si="21"/>
        <v>-1</v>
      </c>
      <c r="AD94" s="91">
        <f ca="1">IF($D$4="自选机构",[1]!S_EST_SCORERATING_INST($E$6,L94-1,$F$4),[1]!S_EST_SCORERATING_INST($E$6,L94-1,D94))</f>
        <v>0</v>
      </c>
      <c r="AE94" s="89" t="e">
        <f t="shared" ca="1" si="14"/>
        <v>#DIV/0!</v>
      </c>
      <c r="AF94" s="89" t="str">
        <f t="shared" ca="1" si="22"/>
        <v/>
      </c>
      <c r="AG94" s="92" t="str">
        <f t="shared" ca="1" si="23"/>
        <v/>
      </c>
      <c r="AH94" s="39"/>
      <c r="AI94" s="59"/>
      <c r="AL94" s="58"/>
      <c r="AM94" s="58"/>
      <c r="AN94" s="58"/>
    </row>
    <row r="95" spans="2:40" ht="16.5" x14ac:dyDescent="0.15">
      <c r="B95" s="59"/>
      <c r="C95" s="84">
        <f t="shared" ca="1" si="16"/>
        <v>-1</v>
      </c>
      <c r="D95" s="47">
        <v>81</v>
      </c>
      <c r="E95" s="41" t="str">
        <f t="shared" si="17"/>
        <v>摩根大通</v>
      </c>
      <c r="F95" s="42">
        <v>1</v>
      </c>
      <c r="G95" s="41">
        <f ca="1">IF($D$4="自选机构",[1]!S_EST_ESTANALYST($E$6,$E$8,C95,$F$4),IF(OR(D95=71,D95=74),"***",[1]!S_EST_ESTANALYST($E$6,$E$8,$E$9,D95)))</f>
        <v>0</v>
      </c>
      <c r="H95" s="43">
        <f ca="1">IF($D$4="自选机构",[1]!S_EST_ESTNEWTIME_INST($E$6,$E$8,C95,$F$4),[1]!S_EST_ESTNEWTIME_INST($E$6,$E$8,$E$9,D95))</f>
        <v>0</v>
      </c>
      <c r="I95" s="44">
        <f ca="1">IF($D$4="自选机构",[1]!S_EST_SALES_INST($E$6,$E$8,C95,$F$4)/currencyunit,[1]!S_EST_SALES_INST($E$6,$E$8,$E$9,D95)/currencyunit)</f>
        <v>0</v>
      </c>
      <c r="J95" s="44">
        <f ca="1">IF($D$4="自选机构",[1]!S_EST_NETPROFIT_INST($E$6,$E$8,C95,$F$4)/currencyunit,[1]!S_EST_NETPROFIT_INST($E$6,$E$8,$E$9,D95)/currencyunit)</f>
        <v>0</v>
      </c>
      <c r="K95" s="45">
        <f ca="1">IF($D$4="自选机构",[1]!S_EST_EPS_INST($E$6,$E$8,C95,$F$4),[1]!S_EST_EPS_INST($E$6,$E$8,$E$9,D95))</f>
        <v>0</v>
      </c>
      <c r="L95" s="43">
        <f ca="1">IF($D$4="自选机构",[1]!S_EST_NEWRATINGTIME_INST($E$6,AC95,$F$4),[1]!S_EST_NEWRATINGTIME_INST($E$6,$E$9,D95))</f>
        <v>0</v>
      </c>
      <c r="M95" s="41">
        <f ca="1">IF($D$4="自选机构",[1]!S_EST_RATINGANALYST($E$6,AC95,$F$4),IF(OR(D95=71,D95=74),"***",[1]!S_EST_RATINGANALYST($E$6,$E$9,D95)))</f>
        <v>0</v>
      </c>
      <c r="N95" s="41">
        <f ca="1">IF($D$4="自选机构",[1]!S_EST_ORGRATING_INST($E$6,AC95,$F$4),[1]!S_EST_ORGRATING_INST($E$6,$E$9,D95))</f>
        <v>0</v>
      </c>
      <c r="O95" s="46">
        <f ca="1">IF($D$4="自选机构",[1]!S_EST_SCORERATING_INST($E$6,AC95,$F$4),[1]!S_EST_SCORERATING_INST($E$6,$E$9,D95))</f>
        <v>0</v>
      </c>
      <c r="P95" s="41">
        <f ca="1">IF($D$4="自选机构",[1]!S_EST_STDRATING_INST($E$6,AC95,$F$4),[1]!S_EST_STDRATING_INST($E$6,$E$9,D95))</f>
        <v>0</v>
      </c>
      <c r="Q95" s="43">
        <f>IF($D$4="自选机构",[1]!S_EST_FRSTRATINGTIME_INST($E$6,$F$4),[1]!S_EST_FRSTRATINGTIME_INST($E$6,D95))</f>
        <v>0</v>
      </c>
      <c r="R95" s="80">
        <f t="shared" ca="1" si="18"/>
        <v>0</v>
      </c>
      <c r="S95" s="80">
        <f t="shared" ca="1" si="19"/>
        <v>0</v>
      </c>
      <c r="T95" s="80">
        <f t="shared" ca="1" si="20"/>
        <v>0</v>
      </c>
      <c r="U95" s="82" t="str">
        <f t="shared" ca="1" si="12"/>
        <v/>
      </c>
      <c r="V95" s="82"/>
      <c r="W95" s="82"/>
      <c r="X95" s="82"/>
      <c r="Y95" s="82"/>
      <c r="Z95" s="82"/>
      <c r="AA95" s="82"/>
      <c r="AB95" s="85">
        <f t="shared" ca="1" si="13"/>
        <v>0</v>
      </c>
      <c r="AC95" s="85">
        <f t="shared" ca="1" si="21"/>
        <v>-1</v>
      </c>
      <c r="AD95" s="86">
        <f ca="1">IF($D$4="自选机构",[1]!S_EST_SCORERATING_INST($E$6,L95-1,$F$4),[1]!S_EST_SCORERATING_INST($E$6,L95-1,D95))</f>
        <v>0</v>
      </c>
      <c r="AE95" s="82" t="e">
        <f t="shared" ca="1" si="14"/>
        <v>#DIV/0!</v>
      </c>
      <c r="AF95" s="82" t="str">
        <f t="shared" ca="1" si="22"/>
        <v/>
      </c>
      <c r="AG95" s="87" t="str">
        <f t="shared" ca="1" si="23"/>
        <v/>
      </c>
      <c r="AH95" s="39"/>
      <c r="AI95" s="59"/>
      <c r="AK95" s="57"/>
    </row>
    <row r="96" spans="2:40" ht="16.5" x14ac:dyDescent="0.15">
      <c r="B96" s="59"/>
      <c r="C96" s="84">
        <f t="shared" ca="1" si="16"/>
        <v>-1</v>
      </c>
      <c r="D96" s="48">
        <v>82</v>
      </c>
      <c r="E96" s="49" t="str">
        <f t="shared" si="17"/>
        <v>群益证券</v>
      </c>
      <c r="F96" s="50">
        <v>1</v>
      </c>
      <c r="G96" s="49">
        <f ca="1">IF($D$4="自选机构",[1]!S_EST_ESTANALYST($E$6,$E$8,C96,$F$4),IF(OR(D96=71,D96=74),"***",[1]!S_EST_ESTANALYST($E$6,$E$8,$E$9,D96)))</f>
        <v>0</v>
      </c>
      <c r="H96" s="51">
        <f ca="1">IF($D$4="自选机构",[1]!S_EST_ESTNEWTIME_INST($E$6,$E$8,C96,$F$4),[1]!S_EST_ESTNEWTIME_INST($E$6,$E$8,$E$9,D96))</f>
        <v>0</v>
      </c>
      <c r="I96" s="52">
        <f ca="1">IF($D$4="自选机构",[1]!S_EST_SALES_INST($E$6,$E$8,C96,$F$4)/currencyunit,[1]!S_EST_SALES_INST($E$6,$E$8,$E$9,D96)/currencyunit)</f>
        <v>0</v>
      </c>
      <c r="J96" s="52">
        <f ca="1">IF($D$4="自选机构",[1]!S_EST_NETPROFIT_INST($E$6,$E$8,C96,$F$4)/currencyunit,[1]!S_EST_NETPROFIT_INST($E$6,$E$8,$E$9,D96)/currencyunit)</f>
        <v>0</v>
      </c>
      <c r="K96" s="53">
        <f ca="1">IF($D$4="自选机构",[1]!S_EST_EPS_INST($E$6,$E$8,C96,$F$4),[1]!S_EST_EPS_INST($E$6,$E$8,$E$9,D96))</f>
        <v>0</v>
      </c>
      <c r="L96" s="51">
        <f ca="1">IF($D$4="自选机构",[1]!S_EST_NEWRATINGTIME_INST($E$6,AC96,$F$4),[1]!S_EST_NEWRATINGTIME_INST($E$6,$E$9,D96))</f>
        <v>0</v>
      </c>
      <c r="M96" s="49">
        <f ca="1">IF($D$4="自选机构",[1]!S_EST_RATINGANALYST($E$6,AC96,$F$4),IF(OR(D96=71,D96=74),"***",[1]!S_EST_RATINGANALYST($E$6,$E$9,D96)))</f>
        <v>0</v>
      </c>
      <c r="N96" s="49">
        <f ca="1">IF($D$4="自选机构",[1]!S_EST_ORGRATING_INST($E$6,AC96,$F$4),[1]!S_EST_ORGRATING_INST($E$6,$E$9,D96))</f>
        <v>0</v>
      </c>
      <c r="O96" s="54">
        <f ca="1">IF($D$4="自选机构",[1]!S_EST_SCORERATING_INST($E$6,AC96,$F$4),[1]!S_EST_SCORERATING_INST($E$6,$E$9,D96))</f>
        <v>0</v>
      </c>
      <c r="P96" s="49">
        <f ca="1">IF($D$4="自选机构",[1]!S_EST_STDRATING_INST($E$6,AC96,$F$4),[1]!S_EST_STDRATING_INST($E$6,$E$9,D96))</f>
        <v>0</v>
      </c>
      <c r="Q96" s="51">
        <f>IF($D$4="自选机构",[1]!S_EST_FRSTRATINGTIME_INST($E$6,$F$4),[1]!S_EST_FRSTRATINGTIME_INST($E$6,D96))</f>
        <v>0</v>
      </c>
      <c r="R96" s="88">
        <f t="shared" ca="1" si="18"/>
        <v>0</v>
      </c>
      <c r="S96" s="88">
        <f t="shared" ca="1" si="19"/>
        <v>0</v>
      </c>
      <c r="T96" s="88">
        <f t="shared" ca="1" si="20"/>
        <v>0</v>
      </c>
      <c r="U96" s="89" t="str">
        <f t="shared" ca="1" si="12"/>
        <v/>
      </c>
      <c r="V96" s="89"/>
      <c r="W96" s="89"/>
      <c r="X96" s="89"/>
      <c r="Y96" s="89"/>
      <c r="Z96" s="89"/>
      <c r="AA96" s="89"/>
      <c r="AB96" s="90">
        <f t="shared" ca="1" si="13"/>
        <v>0</v>
      </c>
      <c r="AC96" s="90">
        <f t="shared" ca="1" si="21"/>
        <v>-1</v>
      </c>
      <c r="AD96" s="91">
        <f ca="1">IF($D$4="自选机构",[1]!S_EST_SCORERATING_INST($E$6,L96-1,$F$4),[1]!S_EST_SCORERATING_INST($E$6,L96-1,D96))</f>
        <v>0</v>
      </c>
      <c r="AE96" s="89" t="e">
        <f t="shared" ca="1" si="14"/>
        <v>#DIV/0!</v>
      </c>
      <c r="AF96" s="89" t="str">
        <f t="shared" ca="1" si="22"/>
        <v/>
      </c>
      <c r="AG96" s="92" t="str">
        <f t="shared" ca="1" si="23"/>
        <v/>
      </c>
      <c r="AH96" s="39"/>
      <c r="AI96" s="59"/>
      <c r="AK96" s="57"/>
    </row>
    <row r="97" spans="1:130" s="57" customFormat="1" ht="16.5" x14ac:dyDescent="0.15">
      <c r="B97" s="59"/>
      <c r="C97" s="84">
        <f t="shared" ca="1" si="16"/>
        <v>-1</v>
      </c>
      <c r="D97" s="47">
        <v>83</v>
      </c>
      <c r="E97" s="41" t="str">
        <f t="shared" si="17"/>
        <v>太平洋证券</v>
      </c>
      <c r="F97" s="42">
        <v>1</v>
      </c>
      <c r="G97" s="41">
        <f ca="1">IF($D$4="自选机构",[1]!S_EST_ESTANALYST($E$6,$E$8,C97,$F$4),IF(OR(D97=71,D97=74),"***",[1]!S_EST_ESTANALYST($E$6,$E$8,$E$9,D97)))</f>
        <v>0</v>
      </c>
      <c r="H97" s="43">
        <f ca="1">IF($D$4="自选机构",[1]!S_EST_ESTNEWTIME_INST($E$6,$E$8,C97,$F$4),[1]!S_EST_ESTNEWTIME_INST($E$6,$E$8,$E$9,D97))</f>
        <v>0</v>
      </c>
      <c r="I97" s="44">
        <f ca="1">IF($D$4="自选机构",[1]!S_EST_SALES_INST($E$6,$E$8,C97,$F$4)/currencyunit,[1]!S_EST_SALES_INST($E$6,$E$8,$E$9,D97)/currencyunit)</f>
        <v>0</v>
      </c>
      <c r="J97" s="44">
        <f ca="1">IF($D$4="自选机构",[1]!S_EST_NETPROFIT_INST($E$6,$E$8,C97,$F$4)/currencyunit,[1]!S_EST_NETPROFIT_INST($E$6,$E$8,$E$9,D97)/currencyunit)</f>
        <v>0</v>
      </c>
      <c r="K97" s="45">
        <f ca="1">IF($D$4="自选机构",[1]!S_EST_EPS_INST($E$6,$E$8,C97,$F$4),[1]!S_EST_EPS_INST($E$6,$E$8,$E$9,D97))</f>
        <v>0</v>
      </c>
      <c r="L97" s="43">
        <f ca="1">IF($D$4="自选机构",[1]!S_EST_NEWRATINGTIME_INST($E$6,AC97,$F$4),[1]!S_EST_NEWRATINGTIME_INST($E$6,$E$9,D97))</f>
        <v>0</v>
      </c>
      <c r="M97" s="41">
        <f ca="1">IF($D$4="自选机构",[1]!S_EST_RATINGANALYST($E$6,AC97,$F$4),IF(OR(D97=71,D97=74),"***",[1]!S_EST_RATINGANALYST($E$6,$E$9,D97)))</f>
        <v>0</v>
      </c>
      <c r="N97" s="41">
        <f ca="1">IF($D$4="自选机构",[1]!S_EST_ORGRATING_INST($E$6,AC97,$F$4),[1]!S_EST_ORGRATING_INST($E$6,$E$9,D97))</f>
        <v>0</v>
      </c>
      <c r="O97" s="46">
        <f ca="1">IF($D$4="自选机构",[1]!S_EST_SCORERATING_INST($E$6,AC97,$F$4),[1]!S_EST_SCORERATING_INST($E$6,$E$9,D97))</f>
        <v>0</v>
      </c>
      <c r="P97" s="41">
        <f ca="1">IF($D$4="自选机构",[1]!S_EST_STDRATING_INST($E$6,AC97,$F$4),[1]!S_EST_STDRATING_INST($E$6,$E$9,D97))</f>
        <v>0</v>
      </c>
      <c r="Q97" s="43">
        <f>IF($D$4="自选机构",[1]!S_EST_FRSTRATINGTIME_INST($E$6,$F$4),[1]!S_EST_FRSTRATINGTIME_INST($E$6,D97))</f>
        <v>0</v>
      </c>
      <c r="R97" s="80">
        <f t="shared" ca="1" si="18"/>
        <v>0</v>
      </c>
      <c r="S97" s="80">
        <f t="shared" ca="1" si="19"/>
        <v>0</v>
      </c>
      <c r="T97" s="80">
        <f t="shared" ca="1" si="20"/>
        <v>0</v>
      </c>
      <c r="U97" s="82" t="str">
        <f t="shared" ca="1" si="12"/>
        <v/>
      </c>
      <c r="V97" s="93"/>
      <c r="W97" s="93"/>
      <c r="X97" s="93"/>
      <c r="Y97" s="93"/>
      <c r="Z97" s="93"/>
      <c r="AA97" s="94"/>
      <c r="AB97" s="85">
        <f t="shared" ca="1" si="13"/>
        <v>0</v>
      </c>
      <c r="AC97" s="85">
        <f t="shared" ca="1" si="21"/>
        <v>-1</v>
      </c>
      <c r="AD97" s="86">
        <f ca="1">IF($D$4="自选机构",[1]!S_EST_SCORERATING_INST($E$6,L97-1,$F$4),[1]!S_EST_SCORERATING_INST($E$6,L97-1,D97))</f>
        <v>0</v>
      </c>
      <c r="AE97" s="82" t="e">
        <f t="shared" ca="1" si="14"/>
        <v>#DIV/0!</v>
      </c>
      <c r="AF97" s="82" t="str">
        <f t="shared" ca="1" si="22"/>
        <v/>
      </c>
      <c r="AG97" s="87" t="str">
        <f t="shared" ca="1" si="23"/>
        <v/>
      </c>
      <c r="AH97" s="39"/>
      <c r="AI97" s="59"/>
      <c r="AL97" s="58"/>
      <c r="AM97" s="58"/>
      <c r="AN97" s="58"/>
    </row>
    <row r="98" spans="1:130" s="57" customFormat="1" ht="16.5" x14ac:dyDescent="0.15">
      <c r="B98" s="59"/>
      <c r="C98" s="84">
        <f t="shared" ca="1" si="16"/>
        <v>-1</v>
      </c>
      <c r="D98" s="48">
        <v>84</v>
      </c>
      <c r="E98" s="49" t="str">
        <f t="shared" si="17"/>
        <v>远东证券</v>
      </c>
      <c r="F98" s="50">
        <v>1</v>
      </c>
      <c r="G98" s="49">
        <f ca="1">IF($D$4="自选机构",[1]!S_EST_ESTANALYST($E$6,$E$8,C98,$F$4),IF(OR(D98=71,D98=74),"***",[1]!S_EST_ESTANALYST($E$6,$E$8,$E$9,D98)))</f>
        <v>0</v>
      </c>
      <c r="H98" s="51">
        <f ca="1">IF($D$4="自选机构",[1]!S_EST_ESTNEWTIME_INST($E$6,$E$8,C98,$F$4),[1]!S_EST_ESTNEWTIME_INST($E$6,$E$8,$E$9,D98))</f>
        <v>0</v>
      </c>
      <c r="I98" s="52">
        <f ca="1">IF($D$4="自选机构",[1]!S_EST_SALES_INST($E$6,$E$8,C98,$F$4)/currencyunit,[1]!S_EST_SALES_INST($E$6,$E$8,$E$9,D98)/currencyunit)</f>
        <v>0</v>
      </c>
      <c r="J98" s="52">
        <f ca="1">IF($D$4="自选机构",[1]!S_EST_NETPROFIT_INST($E$6,$E$8,C98,$F$4)/currencyunit,[1]!S_EST_NETPROFIT_INST($E$6,$E$8,$E$9,D98)/currencyunit)</f>
        <v>0</v>
      </c>
      <c r="K98" s="53">
        <f ca="1">IF($D$4="自选机构",[1]!S_EST_EPS_INST($E$6,$E$8,C98,$F$4),[1]!S_EST_EPS_INST($E$6,$E$8,$E$9,D98))</f>
        <v>0</v>
      </c>
      <c r="L98" s="51">
        <f ca="1">IF($D$4="自选机构",[1]!S_EST_NEWRATINGTIME_INST($E$6,AC98,$F$4),[1]!S_EST_NEWRATINGTIME_INST($E$6,$E$9,D98))</f>
        <v>0</v>
      </c>
      <c r="M98" s="49">
        <f ca="1">IF($D$4="自选机构",[1]!S_EST_RATINGANALYST($E$6,AC98,$F$4),IF(OR(D98=71,D98=74),"***",[1]!S_EST_RATINGANALYST($E$6,$E$9,D98)))</f>
        <v>0</v>
      </c>
      <c r="N98" s="49">
        <f ca="1">IF($D$4="自选机构",[1]!S_EST_ORGRATING_INST($E$6,AC98,$F$4),[1]!S_EST_ORGRATING_INST($E$6,$E$9,D98))</f>
        <v>0</v>
      </c>
      <c r="O98" s="54">
        <f ca="1">IF($D$4="自选机构",[1]!S_EST_SCORERATING_INST($E$6,AC98,$F$4),[1]!S_EST_SCORERATING_INST($E$6,$E$9,D98))</f>
        <v>0</v>
      </c>
      <c r="P98" s="49">
        <f ca="1">IF($D$4="自选机构",[1]!S_EST_STDRATING_INST($E$6,AC98,$F$4),[1]!S_EST_STDRATING_INST($E$6,$E$9,D98))</f>
        <v>0</v>
      </c>
      <c r="Q98" s="51">
        <f>IF($D$4="自选机构",[1]!S_EST_FRSTRATINGTIME_INST($E$6,$F$4),[1]!S_EST_FRSTRATINGTIME_INST($E$6,D98))</f>
        <v>0</v>
      </c>
      <c r="R98" s="88">
        <f t="shared" ca="1" si="18"/>
        <v>0</v>
      </c>
      <c r="S98" s="88">
        <f t="shared" ca="1" si="19"/>
        <v>0</v>
      </c>
      <c r="T98" s="88">
        <f t="shared" ca="1" si="20"/>
        <v>0</v>
      </c>
      <c r="U98" s="89" t="str">
        <f t="shared" ca="1" si="12"/>
        <v/>
      </c>
      <c r="V98" s="89"/>
      <c r="W98" s="89"/>
      <c r="X98" s="89"/>
      <c r="Y98" s="89"/>
      <c r="Z98" s="89"/>
      <c r="AA98" s="89"/>
      <c r="AB98" s="90">
        <f t="shared" ca="1" si="13"/>
        <v>0</v>
      </c>
      <c r="AC98" s="90">
        <f t="shared" ca="1" si="21"/>
        <v>-1</v>
      </c>
      <c r="AD98" s="91">
        <f ca="1">IF($D$4="自选机构",[1]!S_EST_SCORERATING_INST($E$6,L98-1,$F$4),[1]!S_EST_SCORERATING_INST($E$6,L98-1,D98))</f>
        <v>0</v>
      </c>
      <c r="AE98" s="89" t="e">
        <f t="shared" ca="1" si="14"/>
        <v>#DIV/0!</v>
      </c>
      <c r="AF98" s="89" t="str">
        <f t="shared" ca="1" si="22"/>
        <v/>
      </c>
      <c r="AG98" s="92" t="str">
        <f t="shared" ca="1" si="23"/>
        <v/>
      </c>
      <c r="AH98" s="39"/>
      <c r="AI98" s="59"/>
      <c r="AL98" s="58"/>
      <c r="AM98" s="58"/>
      <c r="AN98" s="58"/>
    </row>
    <row r="99" spans="1:130" s="57" customFormat="1" ht="16.5" x14ac:dyDescent="0.15">
      <c r="B99" s="59"/>
      <c r="C99" s="84">
        <f t="shared" ca="1" si="16"/>
        <v>-1</v>
      </c>
      <c r="D99" s="47">
        <v>85</v>
      </c>
      <c r="E99" s="41" t="str">
        <f t="shared" si="17"/>
        <v>中航证券</v>
      </c>
      <c r="F99" s="42">
        <v>1</v>
      </c>
      <c r="G99" s="41">
        <f ca="1">IF($D$4="自选机构",[1]!S_EST_ESTANALYST($E$6,$E$8,C99,$F$4),IF(OR(D99=71,D99=74),"***",[1]!S_EST_ESTANALYST($E$6,$E$8,$E$9,D99)))</f>
        <v>0</v>
      </c>
      <c r="H99" s="43">
        <f ca="1">IF($D$4="自选机构",[1]!S_EST_ESTNEWTIME_INST($E$6,$E$8,C99,$F$4),[1]!S_EST_ESTNEWTIME_INST($E$6,$E$8,$E$9,D99))</f>
        <v>0</v>
      </c>
      <c r="I99" s="44">
        <f ca="1">IF($D$4="自选机构",[1]!S_EST_SALES_INST($E$6,$E$8,C99,$F$4)/currencyunit,[1]!S_EST_SALES_INST($E$6,$E$8,$E$9,D99)/currencyunit)</f>
        <v>0</v>
      </c>
      <c r="J99" s="44">
        <f ca="1">IF($D$4="自选机构",[1]!S_EST_NETPROFIT_INST($E$6,$E$8,C99,$F$4)/currencyunit,[1]!S_EST_NETPROFIT_INST($E$6,$E$8,$E$9,D99)/currencyunit)</f>
        <v>0</v>
      </c>
      <c r="K99" s="45">
        <f ca="1">IF($D$4="自选机构",[1]!S_EST_EPS_INST($E$6,$E$8,C99,$F$4),[1]!S_EST_EPS_INST($E$6,$E$8,$E$9,D99))</f>
        <v>0</v>
      </c>
      <c r="L99" s="43">
        <f ca="1">IF($D$4="自选机构",[1]!S_EST_NEWRATINGTIME_INST($E$6,AC99,$F$4),[1]!S_EST_NEWRATINGTIME_INST($E$6,$E$9,D99))</f>
        <v>0</v>
      </c>
      <c r="M99" s="41">
        <f ca="1">IF($D$4="自选机构",[1]!S_EST_RATINGANALYST($E$6,AC99,$F$4),IF(OR(D99=71,D99=74),"***",[1]!S_EST_RATINGANALYST($E$6,$E$9,D99)))</f>
        <v>0</v>
      </c>
      <c r="N99" s="41">
        <f ca="1">IF($D$4="自选机构",[1]!S_EST_ORGRATING_INST($E$6,AC99,$F$4),[1]!S_EST_ORGRATING_INST($E$6,$E$9,D99))</f>
        <v>0</v>
      </c>
      <c r="O99" s="46">
        <f ca="1">IF($D$4="自选机构",[1]!S_EST_SCORERATING_INST($E$6,AC99,$F$4),[1]!S_EST_SCORERATING_INST($E$6,$E$9,D99))</f>
        <v>0</v>
      </c>
      <c r="P99" s="41">
        <f ca="1">IF($D$4="自选机构",[1]!S_EST_STDRATING_INST($E$6,AC99,$F$4),[1]!S_EST_STDRATING_INST($E$6,$E$9,D99))</f>
        <v>0</v>
      </c>
      <c r="Q99" s="43">
        <f>IF($D$4="自选机构",[1]!S_EST_FRSTRATINGTIME_INST($E$6,$F$4),[1]!S_EST_FRSTRATINGTIME_INST($E$6,D99))</f>
        <v>0</v>
      </c>
      <c r="R99" s="80">
        <f t="shared" ca="1" si="18"/>
        <v>0</v>
      </c>
      <c r="S99" s="80">
        <f t="shared" ca="1" si="19"/>
        <v>0</v>
      </c>
      <c r="T99" s="80">
        <f t="shared" ca="1" si="20"/>
        <v>0</v>
      </c>
      <c r="U99" s="82" t="str">
        <f t="shared" ca="1" si="12"/>
        <v/>
      </c>
      <c r="V99" s="82"/>
      <c r="W99" s="82"/>
      <c r="X99" s="82"/>
      <c r="Y99" s="82"/>
      <c r="Z99" s="82"/>
      <c r="AA99" s="82"/>
      <c r="AB99" s="85">
        <f t="shared" ca="1" si="13"/>
        <v>0</v>
      </c>
      <c r="AC99" s="85">
        <f t="shared" ca="1" si="21"/>
        <v>-1</v>
      </c>
      <c r="AD99" s="86">
        <f ca="1">IF($D$4="自选机构",[1]!S_EST_SCORERATING_INST($E$6,L99-1,$F$4),[1]!S_EST_SCORERATING_INST($E$6,L99-1,D99))</f>
        <v>0</v>
      </c>
      <c r="AE99" s="82" t="e">
        <f t="shared" ca="1" si="14"/>
        <v>#DIV/0!</v>
      </c>
      <c r="AF99" s="82" t="str">
        <f t="shared" ca="1" si="22"/>
        <v/>
      </c>
      <c r="AG99" s="87" t="str">
        <f t="shared" ca="1" si="23"/>
        <v/>
      </c>
      <c r="AH99" s="39"/>
      <c r="AI99" s="59"/>
      <c r="AL99" s="58"/>
      <c r="AM99" s="58"/>
      <c r="AN99" s="58"/>
    </row>
    <row r="100" spans="1:130" s="95" customFormat="1" x14ac:dyDescent="0.15">
      <c r="A100" s="58"/>
      <c r="B100" s="59"/>
      <c r="C100" s="39"/>
      <c r="D100" s="39"/>
      <c r="E100" s="39"/>
      <c r="F100" s="39"/>
      <c r="G100" s="39"/>
      <c r="H100" s="39"/>
      <c r="I100" s="39"/>
      <c r="J100" s="39"/>
      <c r="K100" s="39"/>
      <c r="L100" s="39"/>
      <c r="M100" s="39"/>
      <c r="N100" s="39"/>
      <c r="O100" s="16"/>
      <c r="P100" s="39"/>
      <c r="Q100" s="16"/>
      <c r="R100" s="39"/>
      <c r="S100" s="39"/>
      <c r="T100" s="39"/>
      <c r="U100" s="39"/>
      <c r="V100" s="39"/>
      <c r="W100" s="39"/>
      <c r="X100" s="39"/>
      <c r="Y100" s="39"/>
      <c r="Z100" s="39"/>
      <c r="AA100" s="39"/>
      <c r="AB100" s="39"/>
      <c r="AC100" s="39"/>
      <c r="AD100" s="39"/>
      <c r="AE100" s="39"/>
      <c r="AF100" s="39"/>
      <c r="AG100" s="39"/>
      <c r="AH100" s="39"/>
      <c r="AI100" s="59"/>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58"/>
      <c r="CZ100" s="58"/>
      <c r="DA100" s="58"/>
      <c r="DB100" s="58"/>
      <c r="DC100" s="58"/>
      <c r="DD100" s="58"/>
      <c r="DE100" s="58"/>
      <c r="DF100" s="58"/>
      <c r="DG100" s="58"/>
      <c r="DH100" s="58"/>
      <c r="DI100" s="58"/>
      <c r="DJ100" s="58"/>
      <c r="DK100" s="58"/>
      <c r="DL100" s="58"/>
      <c r="DM100" s="58"/>
      <c r="DN100" s="58"/>
      <c r="DO100" s="58"/>
      <c r="DP100" s="58"/>
      <c r="DQ100" s="58"/>
      <c r="DR100" s="58"/>
      <c r="DS100" s="58"/>
      <c r="DT100" s="58"/>
      <c r="DU100" s="58"/>
      <c r="DV100" s="58"/>
      <c r="DW100" s="58"/>
      <c r="DX100" s="58"/>
      <c r="DY100" s="58"/>
      <c r="DZ100" s="58"/>
    </row>
    <row r="101" spans="1:130" s="95" customFormat="1" x14ac:dyDescent="0.15">
      <c r="A101" s="58"/>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58"/>
      <c r="DU101" s="58"/>
      <c r="DV101" s="58"/>
      <c r="DW101" s="58"/>
      <c r="DX101" s="58"/>
      <c r="DY101" s="58"/>
      <c r="DZ101" s="58"/>
    </row>
    <row r="102" spans="1:130" s="95" customFormat="1" x14ac:dyDescent="0.15">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58"/>
      <c r="CZ102" s="58"/>
      <c r="DA102" s="58"/>
      <c r="DB102" s="58"/>
      <c r="DC102" s="58"/>
      <c r="DD102" s="58"/>
      <c r="DE102" s="58"/>
      <c r="DF102" s="58"/>
      <c r="DG102" s="58"/>
      <c r="DH102" s="58"/>
      <c r="DI102" s="58"/>
      <c r="DJ102" s="58"/>
      <c r="DK102" s="58"/>
      <c r="DL102" s="58"/>
      <c r="DM102" s="58"/>
      <c r="DN102" s="58"/>
      <c r="DO102" s="58"/>
      <c r="DP102" s="58"/>
      <c r="DQ102" s="58"/>
      <c r="DR102" s="58"/>
      <c r="DS102" s="58"/>
      <c r="DT102" s="58"/>
      <c r="DU102" s="58"/>
      <c r="DV102" s="58"/>
      <c r="DW102" s="58"/>
      <c r="DX102" s="58"/>
      <c r="DY102" s="58"/>
      <c r="DZ102" s="58"/>
    </row>
    <row r="103" spans="1:130" s="95" customFormat="1" x14ac:dyDescent="0.15">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58"/>
      <c r="CZ103" s="58"/>
      <c r="DA103" s="58"/>
      <c r="DB103" s="58"/>
      <c r="DC103" s="58"/>
      <c r="DD103" s="58"/>
      <c r="DE103" s="58"/>
      <c r="DF103" s="58"/>
      <c r="DG103" s="58"/>
      <c r="DH103" s="58"/>
      <c r="DI103" s="58"/>
      <c r="DJ103" s="58"/>
      <c r="DK103" s="58"/>
      <c r="DL103" s="58"/>
      <c r="DM103" s="58"/>
      <c r="DN103" s="58"/>
      <c r="DO103" s="58"/>
      <c r="DP103" s="58"/>
      <c r="DQ103" s="58"/>
      <c r="DR103" s="58"/>
      <c r="DS103" s="58"/>
      <c r="DT103" s="58"/>
      <c r="DU103" s="58"/>
      <c r="DV103" s="58"/>
      <c r="DW103" s="58"/>
      <c r="DX103" s="58"/>
      <c r="DY103" s="58"/>
      <c r="DZ103" s="58"/>
    </row>
    <row r="104" spans="1:130" s="95" customFormat="1" x14ac:dyDescent="0.15">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58"/>
      <c r="CZ104" s="58"/>
      <c r="DA104" s="58"/>
      <c r="DB104" s="58"/>
      <c r="DC104" s="58"/>
      <c r="DD104" s="58"/>
      <c r="DE104" s="58"/>
      <c r="DF104" s="58"/>
      <c r="DG104" s="58"/>
      <c r="DH104" s="58"/>
      <c r="DI104" s="58"/>
      <c r="DJ104" s="58"/>
      <c r="DK104" s="58"/>
      <c r="DL104" s="58"/>
      <c r="DM104" s="58"/>
      <c r="DN104" s="58"/>
      <c r="DO104" s="58"/>
      <c r="DP104" s="58"/>
      <c r="DQ104" s="58"/>
      <c r="DR104" s="58"/>
      <c r="DS104" s="58"/>
      <c r="DT104" s="58"/>
      <c r="DU104" s="58"/>
      <c r="DV104" s="58"/>
      <c r="DW104" s="58"/>
      <c r="DX104" s="58"/>
      <c r="DY104" s="58"/>
      <c r="DZ104" s="58"/>
    </row>
    <row r="105" spans="1:130" s="95" customFormat="1" x14ac:dyDescent="0.1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58"/>
      <c r="CZ105" s="58"/>
      <c r="DA105" s="58"/>
      <c r="DB105" s="58"/>
      <c r="DC105" s="58"/>
      <c r="DD105" s="58"/>
      <c r="DE105" s="58"/>
      <c r="DF105" s="58"/>
      <c r="DG105" s="58"/>
      <c r="DH105" s="58"/>
      <c r="DI105" s="58"/>
      <c r="DJ105" s="58"/>
      <c r="DK105" s="58"/>
      <c r="DL105" s="58"/>
      <c r="DM105" s="58"/>
      <c r="DN105" s="58"/>
      <c r="DO105" s="58"/>
      <c r="DP105" s="58"/>
      <c r="DQ105" s="58"/>
      <c r="DR105" s="58"/>
      <c r="DS105" s="58"/>
      <c r="DT105" s="58"/>
      <c r="DU105" s="58"/>
      <c r="DV105" s="58"/>
      <c r="DW105" s="58"/>
      <c r="DX105" s="58"/>
      <c r="DY105" s="58"/>
      <c r="DZ105" s="58"/>
    </row>
    <row r="106" spans="1:130" s="95" customFormat="1" x14ac:dyDescent="0.15">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58"/>
      <c r="CZ106" s="58"/>
      <c r="DA106" s="58"/>
      <c r="DB106" s="58"/>
      <c r="DC106" s="58"/>
      <c r="DD106" s="58"/>
      <c r="DE106" s="58"/>
      <c r="DF106" s="58"/>
      <c r="DG106" s="58"/>
      <c r="DH106" s="58"/>
      <c r="DI106" s="58"/>
      <c r="DJ106" s="58"/>
      <c r="DK106" s="58"/>
      <c r="DL106" s="58"/>
      <c r="DM106" s="58"/>
      <c r="DN106" s="58"/>
      <c r="DO106" s="58"/>
      <c r="DP106" s="58"/>
      <c r="DQ106" s="58"/>
      <c r="DR106" s="58"/>
      <c r="DS106" s="58"/>
      <c r="DT106" s="58"/>
      <c r="DU106" s="58"/>
      <c r="DV106" s="58"/>
      <c r="DW106" s="58"/>
      <c r="DX106" s="58"/>
      <c r="DY106" s="58"/>
      <c r="DZ106" s="58"/>
    </row>
    <row r="107" spans="1:130" s="95" customFormat="1" x14ac:dyDescent="0.15">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58"/>
      <c r="CZ107" s="58"/>
      <c r="DA107" s="58"/>
      <c r="DB107" s="58"/>
      <c r="DC107" s="58"/>
      <c r="DD107" s="58"/>
      <c r="DE107" s="58"/>
      <c r="DF107" s="58"/>
      <c r="DG107" s="58"/>
      <c r="DH107" s="58"/>
      <c r="DI107" s="58"/>
      <c r="DJ107" s="58"/>
      <c r="DK107" s="58"/>
      <c r="DL107" s="58"/>
      <c r="DM107" s="58"/>
      <c r="DN107" s="58"/>
      <c r="DO107" s="58"/>
      <c r="DP107" s="58"/>
      <c r="DQ107" s="58"/>
      <c r="DR107" s="58"/>
      <c r="DS107" s="58"/>
      <c r="DT107" s="58"/>
      <c r="DU107" s="58"/>
      <c r="DV107" s="58"/>
      <c r="DW107" s="58"/>
      <c r="DX107" s="58"/>
      <c r="DY107" s="58"/>
      <c r="DZ107" s="58"/>
    </row>
    <row r="108" spans="1:130" s="95" customFormat="1" x14ac:dyDescent="0.15">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c r="CP108" s="58"/>
      <c r="CQ108" s="58"/>
      <c r="CR108" s="58"/>
      <c r="CS108" s="58"/>
      <c r="CT108" s="58"/>
      <c r="CU108" s="58"/>
      <c r="CV108" s="58"/>
      <c r="CW108" s="58"/>
      <c r="CX108" s="58"/>
      <c r="CY108" s="58"/>
      <c r="CZ108" s="58"/>
      <c r="DA108" s="58"/>
      <c r="DB108" s="58"/>
      <c r="DC108" s="58"/>
      <c r="DD108" s="58"/>
      <c r="DE108" s="58"/>
      <c r="DF108" s="58"/>
      <c r="DG108" s="58"/>
      <c r="DH108" s="58"/>
      <c r="DI108" s="58"/>
      <c r="DJ108" s="58"/>
      <c r="DK108" s="58"/>
      <c r="DL108" s="58"/>
      <c r="DM108" s="58"/>
      <c r="DN108" s="58"/>
      <c r="DO108" s="58"/>
      <c r="DP108" s="58"/>
      <c r="DQ108" s="58"/>
      <c r="DR108" s="58"/>
      <c r="DS108" s="58"/>
      <c r="DT108" s="58"/>
      <c r="DU108" s="58"/>
      <c r="DV108" s="58"/>
      <c r="DW108" s="58"/>
      <c r="DX108" s="58"/>
      <c r="DY108" s="58"/>
      <c r="DZ108" s="58"/>
    </row>
    <row r="109" spans="1:130" s="95" customFormat="1" x14ac:dyDescent="0.15">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c r="CD109" s="58"/>
      <c r="CE109" s="58"/>
      <c r="CF109" s="58"/>
      <c r="CG109" s="58"/>
      <c r="CH109" s="58"/>
      <c r="CI109" s="58"/>
      <c r="CJ109" s="58"/>
      <c r="CK109" s="58"/>
      <c r="CL109" s="58"/>
      <c r="CM109" s="58"/>
      <c r="CN109" s="58"/>
      <c r="CO109" s="58"/>
      <c r="CP109" s="58"/>
      <c r="CQ109" s="58"/>
      <c r="CR109" s="58"/>
      <c r="CS109" s="58"/>
      <c r="CT109" s="58"/>
      <c r="CU109" s="58"/>
      <c r="CV109" s="58"/>
      <c r="CW109" s="58"/>
      <c r="CX109" s="58"/>
      <c r="CY109" s="58"/>
      <c r="CZ109" s="58"/>
      <c r="DA109" s="58"/>
      <c r="DB109" s="58"/>
      <c r="DC109" s="58"/>
      <c r="DD109" s="58"/>
      <c r="DE109" s="58"/>
      <c r="DF109" s="58"/>
      <c r="DG109" s="58"/>
      <c r="DH109" s="58"/>
      <c r="DI109" s="58"/>
      <c r="DJ109" s="58"/>
      <c r="DK109" s="58"/>
      <c r="DL109" s="58"/>
      <c r="DM109" s="58"/>
      <c r="DN109" s="58"/>
      <c r="DO109" s="58"/>
      <c r="DP109" s="58"/>
      <c r="DQ109" s="58"/>
      <c r="DR109" s="58"/>
      <c r="DS109" s="58"/>
      <c r="DT109" s="58"/>
      <c r="DU109" s="58"/>
      <c r="DV109" s="58"/>
      <c r="DW109" s="58"/>
      <c r="DX109" s="58"/>
      <c r="DY109" s="58"/>
      <c r="DZ109" s="58"/>
    </row>
    <row r="110" spans="1:130" s="95" customFormat="1" x14ac:dyDescent="0.15">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58"/>
      <c r="CZ110" s="58"/>
      <c r="DA110" s="58"/>
      <c r="DB110" s="58"/>
      <c r="DC110" s="58"/>
      <c r="DD110" s="58"/>
      <c r="DE110" s="58"/>
      <c r="DF110" s="58"/>
      <c r="DG110" s="58"/>
      <c r="DH110" s="58"/>
      <c r="DI110" s="58"/>
      <c r="DJ110" s="58"/>
      <c r="DK110" s="58"/>
      <c r="DL110" s="58"/>
      <c r="DM110" s="58"/>
      <c r="DN110" s="58"/>
      <c r="DO110" s="58"/>
      <c r="DP110" s="58"/>
      <c r="DQ110" s="58"/>
      <c r="DR110" s="58"/>
      <c r="DS110" s="58"/>
      <c r="DT110" s="58"/>
      <c r="DU110" s="58"/>
      <c r="DV110" s="58"/>
      <c r="DW110" s="58"/>
      <c r="DX110" s="58"/>
      <c r="DY110" s="58"/>
      <c r="DZ110" s="58"/>
    </row>
    <row r="111" spans="1:130" s="95" customFormat="1" x14ac:dyDescent="0.15">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58"/>
      <c r="CE111" s="58"/>
      <c r="CF111" s="58"/>
      <c r="CG111" s="58"/>
      <c r="CH111" s="58"/>
      <c r="CI111" s="58"/>
      <c r="CJ111" s="58"/>
      <c r="CK111" s="58"/>
      <c r="CL111" s="58"/>
      <c r="CM111" s="58"/>
      <c r="CN111" s="58"/>
      <c r="CO111" s="58"/>
      <c r="CP111" s="58"/>
      <c r="CQ111" s="58"/>
      <c r="CR111" s="58"/>
      <c r="CS111" s="58"/>
      <c r="CT111" s="58"/>
      <c r="CU111" s="58"/>
      <c r="CV111" s="58"/>
      <c r="CW111" s="58"/>
      <c r="CX111" s="58"/>
      <c r="CY111" s="58"/>
      <c r="CZ111" s="58"/>
      <c r="DA111" s="58"/>
      <c r="DB111" s="58"/>
      <c r="DC111" s="58"/>
      <c r="DD111" s="58"/>
      <c r="DE111" s="58"/>
      <c r="DF111" s="58"/>
      <c r="DG111" s="58"/>
      <c r="DH111" s="58"/>
      <c r="DI111" s="58"/>
      <c r="DJ111" s="58"/>
      <c r="DK111" s="58"/>
      <c r="DL111" s="58"/>
      <c r="DM111" s="58"/>
      <c r="DN111" s="58"/>
      <c r="DO111" s="58"/>
      <c r="DP111" s="58"/>
      <c r="DQ111" s="58"/>
      <c r="DR111" s="58"/>
      <c r="DS111" s="58"/>
      <c r="DT111" s="58"/>
      <c r="DU111" s="58"/>
      <c r="DV111" s="58"/>
      <c r="DW111" s="58"/>
      <c r="DX111" s="58"/>
      <c r="DY111" s="58"/>
      <c r="DZ111" s="58"/>
    </row>
    <row r="112" spans="1:130" s="95" customFormat="1" x14ac:dyDescent="0.15">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c r="CG112" s="58"/>
      <c r="CH112" s="58"/>
      <c r="CI112" s="58"/>
      <c r="CJ112" s="58"/>
      <c r="CK112" s="58"/>
      <c r="CL112" s="58"/>
      <c r="CM112" s="58"/>
      <c r="CN112" s="58"/>
      <c r="CO112" s="58"/>
      <c r="CP112" s="58"/>
      <c r="CQ112" s="58"/>
      <c r="CR112" s="58"/>
      <c r="CS112" s="58"/>
      <c r="CT112" s="58"/>
      <c r="CU112" s="58"/>
      <c r="CV112" s="58"/>
      <c r="CW112" s="58"/>
      <c r="CX112" s="58"/>
      <c r="CY112" s="58"/>
      <c r="CZ112" s="58"/>
      <c r="DA112" s="58"/>
      <c r="DB112" s="58"/>
      <c r="DC112" s="58"/>
      <c r="DD112" s="58"/>
      <c r="DE112" s="58"/>
      <c r="DF112" s="58"/>
      <c r="DG112" s="58"/>
      <c r="DH112" s="58"/>
      <c r="DI112" s="58"/>
      <c r="DJ112" s="58"/>
      <c r="DK112" s="58"/>
      <c r="DL112" s="58"/>
      <c r="DM112" s="58"/>
      <c r="DN112" s="58"/>
      <c r="DO112" s="58"/>
      <c r="DP112" s="58"/>
      <c r="DQ112" s="58"/>
      <c r="DR112" s="58"/>
      <c r="DS112" s="58"/>
      <c r="DT112" s="58"/>
      <c r="DU112" s="58"/>
      <c r="DV112" s="58"/>
      <c r="DW112" s="58"/>
      <c r="DX112" s="58"/>
      <c r="DY112" s="58"/>
      <c r="DZ112" s="58"/>
    </row>
    <row r="113" spans="1:130" s="95" customFormat="1" x14ac:dyDescent="0.15">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58"/>
      <c r="CZ113" s="58"/>
      <c r="DA113" s="58"/>
      <c r="DB113" s="58"/>
      <c r="DC113" s="58"/>
      <c r="DD113" s="58"/>
      <c r="DE113" s="58"/>
      <c r="DF113" s="58"/>
      <c r="DG113" s="58"/>
      <c r="DH113" s="58"/>
      <c r="DI113" s="58"/>
      <c r="DJ113" s="58"/>
      <c r="DK113" s="58"/>
      <c r="DL113" s="58"/>
      <c r="DM113" s="58"/>
      <c r="DN113" s="58"/>
      <c r="DO113" s="58"/>
      <c r="DP113" s="58"/>
      <c r="DQ113" s="58"/>
      <c r="DR113" s="58"/>
      <c r="DS113" s="58"/>
      <c r="DT113" s="58"/>
      <c r="DU113" s="58"/>
      <c r="DV113" s="58"/>
      <c r="DW113" s="58"/>
      <c r="DX113" s="58"/>
      <c r="DY113" s="58"/>
      <c r="DZ113" s="58"/>
    </row>
    <row r="114" spans="1:130" s="95" customFormat="1" x14ac:dyDescent="0.15">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c r="CG114" s="58"/>
      <c r="CH114" s="58"/>
      <c r="CI114" s="58"/>
      <c r="CJ114" s="58"/>
      <c r="CK114" s="58"/>
      <c r="CL114" s="58"/>
      <c r="CM114" s="58"/>
      <c r="CN114" s="58"/>
      <c r="CO114" s="58"/>
      <c r="CP114" s="58"/>
      <c r="CQ114" s="58"/>
      <c r="CR114" s="58"/>
      <c r="CS114" s="58"/>
      <c r="CT114" s="58"/>
      <c r="CU114" s="58"/>
      <c r="CV114" s="58"/>
      <c r="CW114" s="58"/>
      <c r="CX114" s="58"/>
      <c r="CY114" s="58"/>
      <c r="CZ114" s="58"/>
      <c r="DA114" s="58"/>
      <c r="DB114" s="58"/>
      <c r="DC114" s="58"/>
      <c r="DD114" s="58"/>
      <c r="DE114" s="58"/>
      <c r="DF114" s="58"/>
      <c r="DG114" s="58"/>
      <c r="DH114" s="58"/>
      <c r="DI114" s="58"/>
      <c r="DJ114" s="58"/>
      <c r="DK114" s="58"/>
      <c r="DL114" s="58"/>
      <c r="DM114" s="58"/>
      <c r="DN114" s="58"/>
      <c r="DO114" s="58"/>
      <c r="DP114" s="58"/>
      <c r="DQ114" s="58"/>
      <c r="DR114" s="58"/>
      <c r="DS114" s="58"/>
      <c r="DT114" s="58"/>
      <c r="DU114" s="58"/>
      <c r="DV114" s="58"/>
      <c r="DW114" s="58"/>
      <c r="DX114" s="58"/>
      <c r="DY114" s="58"/>
      <c r="DZ114" s="58"/>
    </row>
    <row r="115" spans="1:130" s="95" customFormat="1" x14ac:dyDescent="0.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c r="CG115" s="58"/>
      <c r="CH115" s="58"/>
      <c r="CI115" s="58"/>
      <c r="CJ115" s="58"/>
      <c r="CK115" s="58"/>
      <c r="CL115" s="58"/>
      <c r="CM115" s="58"/>
      <c r="CN115" s="58"/>
      <c r="CO115" s="58"/>
      <c r="CP115" s="58"/>
      <c r="CQ115" s="58"/>
      <c r="CR115" s="58"/>
      <c r="CS115" s="58"/>
      <c r="CT115" s="58"/>
      <c r="CU115" s="58"/>
      <c r="CV115" s="58"/>
      <c r="CW115" s="58"/>
      <c r="CX115" s="58"/>
      <c r="CY115" s="58"/>
      <c r="CZ115" s="58"/>
      <c r="DA115" s="58"/>
      <c r="DB115" s="58"/>
      <c r="DC115" s="58"/>
      <c r="DD115" s="58"/>
      <c r="DE115" s="58"/>
      <c r="DF115" s="58"/>
      <c r="DG115" s="58"/>
      <c r="DH115" s="58"/>
      <c r="DI115" s="58"/>
      <c r="DJ115" s="58"/>
      <c r="DK115" s="58"/>
      <c r="DL115" s="58"/>
      <c r="DM115" s="58"/>
      <c r="DN115" s="58"/>
      <c r="DO115" s="58"/>
      <c r="DP115" s="58"/>
      <c r="DQ115" s="58"/>
      <c r="DR115" s="58"/>
      <c r="DS115" s="58"/>
      <c r="DT115" s="58"/>
      <c r="DU115" s="58"/>
      <c r="DV115" s="58"/>
      <c r="DW115" s="58"/>
      <c r="DX115" s="58"/>
      <c r="DY115" s="58"/>
      <c r="DZ115" s="58"/>
    </row>
    <row r="116" spans="1:130" s="95" customFormat="1" x14ac:dyDescent="0.1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c r="DH116" s="58"/>
      <c r="DI116" s="58"/>
      <c r="DJ116" s="58"/>
      <c r="DK116" s="58"/>
      <c r="DL116" s="58"/>
      <c r="DM116" s="58"/>
      <c r="DN116" s="58"/>
      <c r="DO116" s="58"/>
      <c r="DP116" s="58"/>
      <c r="DQ116" s="58"/>
      <c r="DR116" s="58"/>
      <c r="DS116" s="58"/>
      <c r="DT116" s="58"/>
      <c r="DU116" s="58"/>
      <c r="DV116" s="58"/>
      <c r="DW116" s="58"/>
      <c r="DX116" s="58"/>
      <c r="DY116" s="58"/>
      <c r="DZ116" s="58"/>
    </row>
    <row r="117" spans="1:130" s="95" customFormat="1" x14ac:dyDescent="0.15">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c r="DH117" s="58"/>
      <c r="DI117" s="58"/>
      <c r="DJ117" s="58"/>
      <c r="DK117" s="58"/>
      <c r="DL117" s="58"/>
      <c r="DM117" s="58"/>
      <c r="DN117" s="58"/>
      <c r="DO117" s="58"/>
      <c r="DP117" s="58"/>
      <c r="DQ117" s="58"/>
      <c r="DR117" s="58"/>
      <c r="DS117" s="58"/>
      <c r="DT117" s="58"/>
      <c r="DU117" s="58"/>
      <c r="DV117" s="58"/>
      <c r="DW117" s="58"/>
      <c r="DX117" s="58"/>
      <c r="DY117" s="58"/>
      <c r="DZ117" s="58"/>
    </row>
    <row r="118" spans="1:130" s="95" customFormat="1" x14ac:dyDescent="0.15">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c r="DH118" s="58"/>
      <c r="DI118" s="58"/>
      <c r="DJ118" s="58"/>
      <c r="DK118" s="58"/>
      <c r="DL118" s="58"/>
      <c r="DM118" s="58"/>
      <c r="DN118" s="58"/>
      <c r="DO118" s="58"/>
      <c r="DP118" s="58"/>
      <c r="DQ118" s="58"/>
      <c r="DR118" s="58"/>
      <c r="DS118" s="58"/>
      <c r="DT118" s="58"/>
      <c r="DU118" s="58"/>
      <c r="DV118" s="58"/>
      <c r="DW118" s="58"/>
      <c r="DX118" s="58"/>
      <c r="DY118" s="58"/>
      <c r="DZ118" s="58"/>
    </row>
    <row r="119" spans="1:130" s="95" customFormat="1" x14ac:dyDescent="0.15">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c r="DH119" s="58"/>
      <c r="DI119" s="58"/>
      <c r="DJ119" s="58"/>
      <c r="DK119" s="58"/>
      <c r="DL119" s="58"/>
      <c r="DM119" s="58"/>
      <c r="DN119" s="58"/>
      <c r="DO119" s="58"/>
      <c r="DP119" s="58"/>
      <c r="DQ119" s="58"/>
      <c r="DR119" s="58"/>
      <c r="DS119" s="58"/>
      <c r="DT119" s="58"/>
      <c r="DU119" s="58"/>
      <c r="DV119" s="58"/>
      <c r="DW119" s="58"/>
      <c r="DX119" s="58"/>
      <c r="DY119" s="58"/>
      <c r="DZ119" s="58"/>
    </row>
    <row r="120" spans="1:130" s="95" customFormat="1" x14ac:dyDescent="0.15">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c r="DH120" s="58"/>
      <c r="DI120" s="58"/>
      <c r="DJ120" s="58"/>
      <c r="DK120" s="58"/>
      <c r="DL120" s="58"/>
      <c r="DM120" s="58"/>
      <c r="DN120" s="58"/>
      <c r="DO120" s="58"/>
      <c r="DP120" s="58"/>
      <c r="DQ120" s="58"/>
      <c r="DR120" s="58"/>
      <c r="DS120" s="58"/>
      <c r="DT120" s="58"/>
      <c r="DU120" s="58"/>
      <c r="DV120" s="58"/>
      <c r="DW120" s="58"/>
      <c r="DX120" s="58"/>
      <c r="DY120" s="58"/>
      <c r="DZ120" s="58"/>
    </row>
    <row r="121" spans="1:130" s="95" customFormat="1" x14ac:dyDescent="0.15">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c r="DH121" s="58"/>
      <c r="DI121" s="58"/>
      <c r="DJ121" s="58"/>
      <c r="DK121" s="58"/>
      <c r="DL121" s="58"/>
      <c r="DM121" s="58"/>
      <c r="DN121" s="58"/>
      <c r="DO121" s="58"/>
      <c r="DP121" s="58"/>
      <c r="DQ121" s="58"/>
      <c r="DR121" s="58"/>
      <c r="DS121" s="58"/>
      <c r="DT121" s="58"/>
      <c r="DU121" s="58"/>
      <c r="DV121" s="58"/>
      <c r="DW121" s="58"/>
      <c r="DX121" s="58"/>
      <c r="DY121" s="58"/>
      <c r="DZ121" s="58"/>
    </row>
    <row r="122" spans="1:130" s="95" customFormat="1" x14ac:dyDescent="0.15">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c r="DJ122" s="58"/>
      <c r="DK122" s="58"/>
      <c r="DL122" s="58"/>
      <c r="DM122" s="58"/>
      <c r="DN122" s="58"/>
      <c r="DO122" s="58"/>
      <c r="DP122" s="58"/>
      <c r="DQ122" s="58"/>
      <c r="DR122" s="58"/>
      <c r="DS122" s="58"/>
      <c r="DT122" s="58"/>
      <c r="DU122" s="58"/>
      <c r="DV122" s="58"/>
      <c r="DW122" s="58"/>
      <c r="DX122" s="58"/>
      <c r="DY122" s="58"/>
      <c r="DZ122" s="58"/>
    </row>
    <row r="123" spans="1:130" s="95" customFormat="1" x14ac:dyDescent="0.15">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c r="DH123" s="58"/>
      <c r="DI123" s="58"/>
      <c r="DJ123" s="58"/>
      <c r="DK123" s="58"/>
      <c r="DL123" s="58"/>
      <c r="DM123" s="58"/>
      <c r="DN123" s="58"/>
      <c r="DO123" s="58"/>
      <c r="DP123" s="58"/>
      <c r="DQ123" s="58"/>
      <c r="DR123" s="58"/>
      <c r="DS123" s="58"/>
      <c r="DT123" s="58"/>
      <c r="DU123" s="58"/>
      <c r="DV123" s="58"/>
      <c r="DW123" s="58"/>
      <c r="DX123" s="58"/>
      <c r="DY123" s="58"/>
      <c r="DZ123" s="58"/>
    </row>
    <row r="124" spans="1:130" s="95" customFormat="1" x14ac:dyDescent="0.15">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c r="DH124" s="58"/>
      <c r="DI124" s="58"/>
      <c r="DJ124" s="58"/>
      <c r="DK124" s="58"/>
      <c r="DL124" s="58"/>
      <c r="DM124" s="58"/>
      <c r="DN124" s="58"/>
      <c r="DO124" s="58"/>
      <c r="DP124" s="58"/>
      <c r="DQ124" s="58"/>
      <c r="DR124" s="58"/>
      <c r="DS124" s="58"/>
      <c r="DT124" s="58"/>
      <c r="DU124" s="58"/>
      <c r="DV124" s="58"/>
      <c r="DW124" s="58"/>
      <c r="DX124" s="58"/>
      <c r="DY124" s="58"/>
      <c r="DZ124" s="58"/>
    </row>
    <row r="125" spans="1:130" s="95" customFormat="1" x14ac:dyDescent="0.1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c r="DH125" s="58"/>
      <c r="DI125" s="58"/>
      <c r="DJ125" s="58"/>
      <c r="DK125" s="58"/>
      <c r="DL125" s="58"/>
      <c r="DM125" s="58"/>
      <c r="DN125" s="58"/>
      <c r="DO125" s="58"/>
      <c r="DP125" s="58"/>
      <c r="DQ125" s="58"/>
      <c r="DR125" s="58"/>
      <c r="DS125" s="58"/>
      <c r="DT125" s="58"/>
      <c r="DU125" s="58"/>
      <c r="DV125" s="58"/>
      <c r="DW125" s="58"/>
      <c r="DX125" s="58"/>
      <c r="DY125" s="58"/>
      <c r="DZ125" s="58"/>
    </row>
    <row r="126" spans="1:130" s="95" customFormat="1" x14ac:dyDescent="0.15">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c r="DJ126" s="58"/>
      <c r="DK126" s="58"/>
      <c r="DL126" s="58"/>
      <c r="DM126" s="58"/>
      <c r="DN126" s="58"/>
      <c r="DO126" s="58"/>
      <c r="DP126" s="58"/>
      <c r="DQ126" s="58"/>
      <c r="DR126" s="58"/>
      <c r="DS126" s="58"/>
      <c r="DT126" s="58"/>
      <c r="DU126" s="58"/>
      <c r="DV126" s="58"/>
      <c r="DW126" s="58"/>
      <c r="DX126" s="58"/>
      <c r="DY126" s="58"/>
      <c r="DZ126" s="58"/>
    </row>
    <row r="127" spans="1:130" s="95" customFormat="1" x14ac:dyDescent="0.15">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c r="DH127" s="58"/>
      <c r="DI127" s="58"/>
      <c r="DJ127" s="58"/>
      <c r="DK127" s="58"/>
      <c r="DL127" s="58"/>
      <c r="DM127" s="58"/>
      <c r="DN127" s="58"/>
      <c r="DO127" s="58"/>
      <c r="DP127" s="58"/>
      <c r="DQ127" s="58"/>
      <c r="DR127" s="58"/>
      <c r="DS127" s="58"/>
      <c r="DT127" s="58"/>
      <c r="DU127" s="58"/>
      <c r="DV127" s="58"/>
      <c r="DW127" s="58"/>
      <c r="DX127" s="58"/>
      <c r="DY127" s="58"/>
      <c r="DZ127" s="58"/>
    </row>
    <row r="128" spans="1:130" s="95" customFormat="1" x14ac:dyDescent="0.15">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c r="DH128" s="58"/>
      <c r="DI128" s="58"/>
      <c r="DJ128" s="58"/>
      <c r="DK128" s="58"/>
      <c r="DL128" s="58"/>
      <c r="DM128" s="58"/>
      <c r="DN128" s="58"/>
      <c r="DO128" s="58"/>
      <c r="DP128" s="58"/>
      <c r="DQ128" s="58"/>
      <c r="DR128" s="58"/>
      <c r="DS128" s="58"/>
      <c r="DT128" s="58"/>
      <c r="DU128" s="58"/>
      <c r="DV128" s="58"/>
      <c r="DW128" s="58"/>
      <c r="DX128" s="58"/>
      <c r="DY128" s="58"/>
      <c r="DZ128" s="58"/>
    </row>
    <row r="129" spans="1:130" s="95" customFormat="1" x14ac:dyDescent="0.15">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c r="DH129" s="58"/>
      <c r="DI129" s="58"/>
      <c r="DJ129" s="58"/>
      <c r="DK129" s="58"/>
      <c r="DL129" s="58"/>
      <c r="DM129" s="58"/>
      <c r="DN129" s="58"/>
      <c r="DO129" s="58"/>
      <c r="DP129" s="58"/>
      <c r="DQ129" s="58"/>
      <c r="DR129" s="58"/>
      <c r="DS129" s="58"/>
      <c r="DT129" s="58"/>
      <c r="DU129" s="58"/>
      <c r="DV129" s="58"/>
      <c r="DW129" s="58"/>
      <c r="DX129" s="58"/>
      <c r="DY129" s="58"/>
      <c r="DZ129" s="58"/>
    </row>
    <row r="130" spans="1:130" s="95" customFormat="1" x14ac:dyDescent="0.15">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c r="DH130" s="58"/>
      <c r="DI130" s="58"/>
      <c r="DJ130" s="58"/>
      <c r="DK130" s="58"/>
      <c r="DL130" s="58"/>
      <c r="DM130" s="58"/>
      <c r="DN130" s="58"/>
      <c r="DO130" s="58"/>
      <c r="DP130" s="58"/>
      <c r="DQ130" s="58"/>
      <c r="DR130" s="58"/>
      <c r="DS130" s="58"/>
      <c r="DT130" s="58"/>
      <c r="DU130" s="58"/>
      <c r="DV130" s="58"/>
      <c r="DW130" s="58"/>
      <c r="DX130" s="58"/>
      <c r="DY130" s="58"/>
      <c r="DZ130" s="58"/>
    </row>
    <row r="131" spans="1:130" s="95" customFormat="1" x14ac:dyDescent="0.15">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c r="DJ131" s="58"/>
      <c r="DK131" s="58"/>
      <c r="DL131" s="58"/>
      <c r="DM131" s="58"/>
      <c r="DN131" s="58"/>
      <c r="DO131" s="58"/>
      <c r="DP131" s="58"/>
      <c r="DQ131" s="58"/>
      <c r="DR131" s="58"/>
      <c r="DS131" s="58"/>
      <c r="DT131" s="58"/>
      <c r="DU131" s="58"/>
      <c r="DV131" s="58"/>
      <c r="DW131" s="58"/>
      <c r="DX131" s="58"/>
      <c r="DY131" s="58"/>
      <c r="DZ131" s="58"/>
    </row>
    <row r="132" spans="1:130" s="95" customFormat="1" x14ac:dyDescent="0.15">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c r="DJ132" s="58"/>
      <c r="DK132" s="58"/>
      <c r="DL132" s="58"/>
      <c r="DM132" s="58"/>
      <c r="DN132" s="58"/>
      <c r="DO132" s="58"/>
      <c r="DP132" s="58"/>
      <c r="DQ132" s="58"/>
      <c r="DR132" s="58"/>
      <c r="DS132" s="58"/>
      <c r="DT132" s="58"/>
      <c r="DU132" s="58"/>
      <c r="DV132" s="58"/>
      <c r="DW132" s="58"/>
      <c r="DX132" s="58"/>
      <c r="DY132" s="58"/>
      <c r="DZ132" s="58"/>
    </row>
    <row r="133" spans="1:130" s="95" customFormat="1" x14ac:dyDescent="0.15">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c r="DJ133" s="58"/>
      <c r="DK133" s="58"/>
      <c r="DL133" s="58"/>
      <c r="DM133" s="58"/>
      <c r="DN133" s="58"/>
      <c r="DO133" s="58"/>
      <c r="DP133" s="58"/>
      <c r="DQ133" s="58"/>
      <c r="DR133" s="58"/>
      <c r="DS133" s="58"/>
      <c r="DT133" s="58"/>
      <c r="DU133" s="58"/>
      <c r="DV133" s="58"/>
      <c r="DW133" s="58"/>
      <c r="DX133" s="58"/>
      <c r="DY133" s="58"/>
      <c r="DZ133" s="58"/>
    </row>
    <row r="134" spans="1:130" s="95" customFormat="1" x14ac:dyDescent="0.15">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c r="DU134" s="58"/>
      <c r="DV134" s="58"/>
      <c r="DW134" s="58"/>
      <c r="DX134" s="58"/>
      <c r="DY134" s="58"/>
      <c r="DZ134" s="58"/>
    </row>
    <row r="135" spans="1:130" s="95" customFormat="1" x14ac:dyDescent="0.1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c r="DH135" s="58"/>
      <c r="DI135" s="58"/>
      <c r="DJ135" s="58"/>
      <c r="DK135" s="58"/>
      <c r="DL135" s="58"/>
      <c r="DM135" s="58"/>
      <c r="DN135" s="58"/>
      <c r="DO135" s="58"/>
      <c r="DP135" s="58"/>
      <c r="DQ135" s="58"/>
      <c r="DR135" s="58"/>
      <c r="DS135" s="58"/>
      <c r="DT135" s="58"/>
      <c r="DU135" s="58"/>
      <c r="DV135" s="58"/>
      <c r="DW135" s="58"/>
      <c r="DX135" s="58"/>
      <c r="DY135" s="58"/>
      <c r="DZ135" s="58"/>
    </row>
    <row r="136" spans="1:130" s="95" customFormat="1" x14ac:dyDescent="0.15">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c r="DJ136" s="58"/>
      <c r="DK136" s="58"/>
      <c r="DL136" s="58"/>
      <c r="DM136" s="58"/>
      <c r="DN136" s="58"/>
      <c r="DO136" s="58"/>
      <c r="DP136" s="58"/>
      <c r="DQ136" s="58"/>
      <c r="DR136" s="58"/>
      <c r="DS136" s="58"/>
      <c r="DT136" s="58"/>
      <c r="DU136" s="58"/>
      <c r="DV136" s="58"/>
      <c r="DW136" s="58"/>
      <c r="DX136" s="58"/>
      <c r="DY136" s="58"/>
      <c r="DZ136" s="58"/>
    </row>
    <row r="137" spans="1:130" s="95" customFormat="1" x14ac:dyDescent="0.15">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c r="DJ137" s="58"/>
      <c r="DK137" s="58"/>
      <c r="DL137" s="58"/>
      <c r="DM137" s="58"/>
      <c r="DN137" s="58"/>
      <c r="DO137" s="58"/>
      <c r="DP137" s="58"/>
      <c r="DQ137" s="58"/>
      <c r="DR137" s="58"/>
      <c r="DS137" s="58"/>
      <c r="DT137" s="58"/>
      <c r="DU137" s="58"/>
      <c r="DV137" s="58"/>
      <c r="DW137" s="58"/>
      <c r="DX137" s="58"/>
      <c r="DY137" s="58"/>
      <c r="DZ137" s="58"/>
    </row>
    <row r="138" spans="1:130" s="95" customFormat="1" x14ac:dyDescent="0.1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c r="DH138" s="58"/>
      <c r="DI138" s="58"/>
      <c r="DJ138" s="58"/>
      <c r="DK138" s="58"/>
      <c r="DL138" s="58"/>
      <c r="DM138" s="58"/>
      <c r="DN138" s="58"/>
      <c r="DO138" s="58"/>
      <c r="DP138" s="58"/>
      <c r="DQ138" s="58"/>
      <c r="DR138" s="58"/>
      <c r="DS138" s="58"/>
      <c r="DT138" s="58"/>
      <c r="DU138" s="58"/>
      <c r="DV138" s="58"/>
      <c r="DW138" s="58"/>
      <c r="DX138" s="58"/>
      <c r="DY138" s="58"/>
      <c r="DZ138" s="58"/>
    </row>
    <row r="139" spans="1:130" s="95" customFormat="1" x14ac:dyDescent="0.15">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c r="DH139" s="58"/>
      <c r="DI139" s="58"/>
      <c r="DJ139" s="58"/>
      <c r="DK139" s="58"/>
      <c r="DL139" s="58"/>
      <c r="DM139" s="58"/>
      <c r="DN139" s="58"/>
      <c r="DO139" s="58"/>
      <c r="DP139" s="58"/>
      <c r="DQ139" s="58"/>
      <c r="DR139" s="58"/>
      <c r="DS139" s="58"/>
      <c r="DT139" s="58"/>
      <c r="DU139" s="58"/>
      <c r="DV139" s="58"/>
      <c r="DW139" s="58"/>
      <c r="DX139" s="58"/>
      <c r="DY139" s="58"/>
      <c r="DZ139" s="58"/>
    </row>
    <row r="140" spans="1:130" s="95" customFormat="1" x14ac:dyDescent="0.15">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c r="DH140" s="58"/>
      <c r="DI140" s="58"/>
      <c r="DJ140" s="58"/>
      <c r="DK140" s="58"/>
      <c r="DL140" s="58"/>
      <c r="DM140" s="58"/>
      <c r="DN140" s="58"/>
      <c r="DO140" s="58"/>
      <c r="DP140" s="58"/>
      <c r="DQ140" s="58"/>
      <c r="DR140" s="58"/>
      <c r="DS140" s="58"/>
      <c r="DT140" s="58"/>
      <c r="DU140" s="58"/>
      <c r="DV140" s="58"/>
      <c r="DW140" s="58"/>
      <c r="DX140" s="58"/>
      <c r="DY140" s="58"/>
      <c r="DZ140" s="58"/>
    </row>
    <row r="141" spans="1:130" s="95" customFormat="1" x14ac:dyDescent="0.15">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c r="DH141" s="58"/>
      <c r="DI141" s="58"/>
      <c r="DJ141" s="58"/>
      <c r="DK141" s="58"/>
      <c r="DL141" s="58"/>
      <c r="DM141" s="58"/>
      <c r="DN141" s="58"/>
      <c r="DO141" s="58"/>
      <c r="DP141" s="58"/>
      <c r="DQ141" s="58"/>
      <c r="DR141" s="58"/>
      <c r="DS141" s="58"/>
      <c r="DT141" s="58"/>
      <c r="DU141" s="58"/>
      <c r="DV141" s="58"/>
      <c r="DW141" s="58"/>
      <c r="DX141" s="58"/>
      <c r="DY141" s="58"/>
      <c r="DZ141" s="58"/>
    </row>
    <row r="142" spans="1:130" s="95" customFormat="1" x14ac:dyDescent="0.15">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c r="DJ142" s="58"/>
      <c r="DK142" s="58"/>
      <c r="DL142" s="58"/>
      <c r="DM142" s="58"/>
      <c r="DN142" s="58"/>
      <c r="DO142" s="58"/>
      <c r="DP142" s="58"/>
      <c r="DQ142" s="58"/>
      <c r="DR142" s="58"/>
      <c r="DS142" s="58"/>
      <c r="DT142" s="58"/>
      <c r="DU142" s="58"/>
      <c r="DV142" s="58"/>
      <c r="DW142" s="58"/>
      <c r="DX142" s="58"/>
      <c r="DY142" s="58"/>
      <c r="DZ142" s="58"/>
    </row>
    <row r="143" spans="1:130" s="95" customFormat="1" x14ac:dyDescent="0.15">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c r="DJ143" s="58"/>
      <c r="DK143" s="58"/>
      <c r="DL143" s="58"/>
      <c r="DM143" s="58"/>
      <c r="DN143" s="58"/>
      <c r="DO143" s="58"/>
      <c r="DP143" s="58"/>
      <c r="DQ143" s="58"/>
      <c r="DR143" s="58"/>
      <c r="DS143" s="58"/>
      <c r="DT143" s="58"/>
      <c r="DU143" s="58"/>
      <c r="DV143" s="58"/>
      <c r="DW143" s="58"/>
      <c r="DX143" s="58"/>
      <c r="DY143" s="58"/>
      <c r="DZ143" s="58"/>
    </row>
    <row r="144" spans="1:130" s="95" customFormat="1" x14ac:dyDescent="0.15">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c r="DH144" s="58"/>
      <c r="DI144" s="58"/>
      <c r="DJ144" s="58"/>
      <c r="DK144" s="58"/>
      <c r="DL144" s="58"/>
      <c r="DM144" s="58"/>
      <c r="DN144" s="58"/>
      <c r="DO144" s="58"/>
      <c r="DP144" s="58"/>
      <c r="DQ144" s="58"/>
      <c r="DR144" s="58"/>
      <c r="DS144" s="58"/>
      <c r="DT144" s="58"/>
      <c r="DU144" s="58"/>
      <c r="DV144" s="58"/>
      <c r="DW144" s="58"/>
      <c r="DX144" s="58"/>
      <c r="DY144" s="58"/>
      <c r="DZ144" s="58"/>
    </row>
    <row r="145" spans="1:130" s="95" customFormat="1" x14ac:dyDescent="0.1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c r="DJ145" s="58"/>
      <c r="DK145" s="58"/>
      <c r="DL145" s="58"/>
      <c r="DM145" s="58"/>
      <c r="DN145" s="58"/>
      <c r="DO145" s="58"/>
      <c r="DP145" s="58"/>
      <c r="DQ145" s="58"/>
      <c r="DR145" s="58"/>
      <c r="DS145" s="58"/>
      <c r="DT145" s="58"/>
      <c r="DU145" s="58"/>
      <c r="DV145" s="58"/>
      <c r="DW145" s="58"/>
      <c r="DX145" s="58"/>
      <c r="DY145" s="58"/>
      <c r="DZ145" s="58"/>
    </row>
    <row r="146" spans="1:130" s="95" customFormat="1" x14ac:dyDescent="0.15">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c r="DJ146" s="58"/>
      <c r="DK146" s="58"/>
      <c r="DL146" s="58"/>
      <c r="DM146" s="58"/>
      <c r="DN146" s="58"/>
      <c r="DO146" s="58"/>
      <c r="DP146" s="58"/>
      <c r="DQ146" s="58"/>
      <c r="DR146" s="58"/>
      <c r="DS146" s="58"/>
      <c r="DT146" s="58"/>
      <c r="DU146" s="58"/>
      <c r="DV146" s="58"/>
      <c r="DW146" s="58"/>
      <c r="DX146" s="58"/>
      <c r="DY146" s="58"/>
      <c r="DZ146" s="58"/>
    </row>
    <row r="147" spans="1:130" s="95" customFormat="1" x14ac:dyDescent="0.15">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c r="DJ147" s="58"/>
      <c r="DK147" s="58"/>
      <c r="DL147" s="58"/>
      <c r="DM147" s="58"/>
      <c r="DN147" s="58"/>
      <c r="DO147" s="58"/>
      <c r="DP147" s="58"/>
      <c r="DQ147" s="58"/>
      <c r="DR147" s="58"/>
      <c r="DS147" s="58"/>
      <c r="DT147" s="58"/>
      <c r="DU147" s="58"/>
      <c r="DV147" s="58"/>
      <c r="DW147" s="58"/>
      <c r="DX147" s="58"/>
      <c r="DY147" s="58"/>
      <c r="DZ147" s="58"/>
    </row>
    <row r="148" spans="1:130" s="95" customFormat="1" x14ac:dyDescent="0.15">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c r="DH148" s="58"/>
      <c r="DI148" s="58"/>
      <c r="DJ148" s="58"/>
      <c r="DK148" s="58"/>
      <c r="DL148" s="58"/>
      <c r="DM148" s="58"/>
      <c r="DN148" s="58"/>
      <c r="DO148" s="58"/>
      <c r="DP148" s="58"/>
      <c r="DQ148" s="58"/>
      <c r="DR148" s="58"/>
      <c r="DS148" s="58"/>
      <c r="DT148" s="58"/>
      <c r="DU148" s="58"/>
      <c r="DV148" s="58"/>
      <c r="DW148" s="58"/>
      <c r="DX148" s="58"/>
      <c r="DY148" s="58"/>
      <c r="DZ148" s="58"/>
    </row>
    <row r="149" spans="1:130" s="95" customFormat="1" x14ac:dyDescent="0.15">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c r="DH149" s="58"/>
      <c r="DI149" s="58"/>
      <c r="DJ149" s="58"/>
      <c r="DK149" s="58"/>
      <c r="DL149" s="58"/>
      <c r="DM149" s="58"/>
      <c r="DN149" s="58"/>
      <c r="DO149" s="58"/>
      <c r="DP149" s="58"/>
      <c r="DQ149" s="58"/>
      <c r="DR149" s="58"/>
      <c r="DS149" s="58"/>
      <c r="DT149" s="58"/>
      <c r="DU149" s="58"/>
      <c r="DV149" s="58"/>
      <c r="DW149" s="58"/>
      <c r="DX149" s="58"/>
      <c r="DY149" s="58"/>
      <c r="DZ149" s="58"/>
    </row>
    <row r="150" spans="1:130" s="95" customFormat="1" x14ac:dyDescent="0.15">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58"/>
      <c r="DO150" s="58"/>
      <c r="DP150" s="58"/>
      <c r="DQ150" s="58"/>
      <c r="DR150" s="58"/>
      <c r="DS150" s="58"/>
      <c r="DT150" s="58"/>
      <c r="DU150" s="58"/>
      <c r="DV150" s="58"/>
      <c r="DW150" s="58"/>
      <c r="DX150" s="58"/>
      <c r="DY150" s="58"/>
      <c r="DZ150" s="58"/>
    </row>
    <row r="151" spans="1:130" s="95" customFormat="1" x14ac:dyDescent="0.15">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c r="DJ151" s="58"/>
      <c r="DK151" s="58"/>
      <c r="DL151" s="58"/>
      <c r="DM151" s="58"/>
      <c r="DN151" s="58"/>
      <c r="DO151" s="58"/>
      <c r="DP151" s="58"/>
      <c r="DQ151" s="58"/>
      <c r="DR151" s="58"/>
      <c r="DS151" s="58"/>
      <c r="DT151" s="58"/>
      <c r="DU151" s="58"/>
      <c r="DV151" s="58"/>
      <c r="DW151" s="58"/>
      <c r="DX151" s="58"/>
      <c r="DY151" s="58"/>
      <c r="DZ151" s="58"/>
    </row>
    <row r="152" spans="1:130" s="95" customFormat="1" x14ac:dyDescent="0.15">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c r="DH152" s="58"/>
      <c r="DI152" s="58"/>
      <c r="DJ152" s="58"/>
      <c r="DK152" s="58"/>
      <c r="DL152" s="58"/>
      <c r="DM152" s="58"/>
      <c r="DN152" s="58"/>
      <c r="DO152" s="58"/>
      <c r="DP152" s="58"/>
      <c r="DQ152" s="58"/>
      <c r="DR152" s="58"/>
      <c r="DS152" s="58"/>
      <c r="DT152" s="58"/>
      <c r="DU152" s="58"/>
      <c r="DV152" s="58"/>
      <c r="DW152" s="58"/>
      <c r="DX152" s="58"/>
      <c r="DY152" s="58"/>
      <c r="DZ152" s="58"/>
    </row>
    <row r="153" spans="1:130" s="95" customFormat="1" x14ac:dyDescent="0.15">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c r="DH153" s="58"/>
      <c r="DI153" s="58"/>
      <c r="DJ153" s="58"/>
      <c r="DK153" s="58"/>
      <c r="DL153" s="58"/>
      <c r="DM153" s="58"/>
      <c r="DN153" s="58"/>
      <c r="DO153" s="58"/>
      <c r="DP153" s="58"/>
      <c r="DQ153" s="58"/>
      <c r="DR153" s="58"/>
      <c r="DS153" s="58"/>
      <c r="DT153" s="58"/>
      <c r="DU153" s="58"/>
      <c r="DV153" s="58"/>
      <c r="DW153" s="58"/>
      <c r="DX153" s="58"/>
      <c r="DY153" s="58"/>
      <c r="DZ153" s="58"/>
    </row>
    <row r="154" spans="1:130" s="95" customFormat="1" x14ac:dyDescent="0.15">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58"/>
      <c r="DO154" s="58"/>
      <c r="DP154" s="58"/>
      <c r="DQ154" s="58"/>
      <c r="DR154" s="58"/>
      <c r="DS154" s="58"/>
      <c r="DT154" s="58"/>
      <c r="DU154" s="58"/>
      <c r="DV154" s="58"/>
      <c r="DW154" s="58"/>
      <c r="DX154" s="58"/>
      <c r="DY154" s="58"/>
      <c r="DZ154" s="58"/>
    </row>
    <row r="155" spans="1:130" s="95" customFormat="1" x14ac:dyDescent="0.1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c r="DJ155" s="58"/>
      <c r="DK155" s="58"/>
      <c r="DL155" s="58"/>
      <c r="DM155" s="58"/>
      <c r="DN155" s="58"/>
      <c r="DO155" s="58"/>
      <c r="DP155" s="58"/>
      <c r="DQ155" s="58"/>
      <c r="DR155" s="58"/>
      <c r="DS155" s="58"/>
      <c r="DT155" s="58"/>
      <c r="DU155" s="58"/>
      <c r="DV155" s="58"/>
      <c r="DW155" s="58"/>
      <c r="DX155" s="58"/>
      <c r="DY155" s="58"/>
      <c r="DZ155" s="58"/>
    </row>
    <row r="156" spans="1:130" s="95" customFormat="1" x14ac:dyDescent="0.15">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c r="DJ156" s="58"/>
      <c r="DK156" s="58"/>
      <c r="DL156" s="58"/>
      <c r="DM156" s="58"/>
      <c r="DN156" s="58"/>
      <c r="DO156" s="58"/>
      <c r="DP156" s="58"/>
      <c r="DQ156" s="58"/>
      <c r="DR156" s="58"/>
      <c r="DS156" s="58"/>
      <c r="DT156" s="58"/>
      <c r="DU156" s="58"/>
      <c r="DV156" s="58"/>
      <c r="DW156" s="58"/>
      <c r="DX156" s="58"/>
      <c r="DY156" s="58"/>
      <c r="DZ156" s="58"/>
    </row>
    <row r="157" spans="1:130" s="95" customFormat="1" x14ac:dyDescent="0.15">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c r="DH157" s="58"/>
      <c r="DI157" s="58"/>
      <c r="DJ157" s="58"/>
      <c r="DK157" s="58"/>
      <c r="DL157" s="58"/>
      <c r="DM157" s="58"/>
      <c r="DN157" s="58"/>
      <c r="DO157" s="58"/>
      <c r="DP157" s="58"/>
      <c r="DQ157" s="58"/>
      <c r="DR157" s="58"/>
      <c r="DS157" s="58"/>
      <c r="DT157" s="58"/>
      <c r="DU157" s="58"/>
      <c r="DV157" s="58"/>
      <c r="DW157" s="58"/>
      <c r="DX157" s="58"/>
      <c r="DY157" s="58"/>
      <c r="DZ157" s="58"/>
    </row>
    <row r="158" spans="1:130" s="95" customFormat="1" x14ac:dyDescent="0.15">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c r="DH158" s="58"/>
      <c r="DI158" s="58"/>
      <c r="DJ158" s="58"/>
      <c r="DK158" s="58"/>
      <c r="DL158" s="58"/>
      <c r="DM158" s="58"/>
      <c r="DN158" s="58"/>
      <c r="DO158" s="58"/>
      <c r="DP158" s="58"/>
      <c r="DQ158" s="58"/>
      <c r="DR158" s="58"/>
      <c r="DS158" s="58"/>
      <c r="DT158" s="58"/>
      <c r="DU158" s="58"/>
      <c r="DV158" s="58"/>
      <c r="DW158" s="58"/>
      <c r="DX158" s="58"/>
      <c r="DY158" s="58"/>
      <c r="DZ158" s="58"/>
    </row>
    <row r="159" spans="1:130" s="95" customFormat="1" x14ac:dyDescent="0.15">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c r="DH159" s="58"/>
      <c r="DI159" s="58"/>
      <c r="DJ159" s="58"/>
      <c r="DK159" s="58"/>
      <c r="DL159" s="58"/>
      <c r="DM159" s="58"/>
      <c r="DN159" s="58"/>
      <c r="DO159" s="58"/>
      <c r="DP159" s="58"/>
      <c r="DQ159" s="58"/>
      <c r="DR159" s="58"/>
      <c r="DS159" s="58"/>
      <c r="DT159" s="58"/>
      <c r="DU159" s="58"/>
      <c r="DV159" s="58"/>
      <c r="DW159" s="58"/>
      <c r="DX159" s="58"/>
      <c r="DY159" s="58"/>
      <c r="DZ159" s="58"/>
    </row>
    <row r="160" spans="1:130" s="95" customFormat="1" x14ac:dyDescent="0.15">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c r="DH160" s="58"/>
      <c r="DI160" s="58"/>
      <c r="DJ160" s="58"/>
      <c r="DK160" s="58"/>
      <c r="DL160" s="58"/>
      <c r="DM160" s="58"/>
      <c r="DN160" s="58"/>
      <c r="DO160" s="58"/>
      <c r="DP160" s="58"/>
      <c r="DQ160" s="58"/>
      <c r="DR160" s="58"/>
      <c r="DS160" s="58"/>
      <c r="DT160" s="58"/>
      <c r="DU160" s="58"/>
      <c r="DV160" s="58"/>
      <c r="DW160" s="58"/>
      <c r="DX160" s="58"/>
      <c r="DY160" s="58"/>
      <c r="DZ160" s="58"/>
    </row>
    <row r="161" spans="1:130" s="95" customFormat="1" x14ac:dyDescent="0.15">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c r="DH161" s="58"/>
      <c r="DI161" s="58"/>
      <c r="DJ161" s="58"/>
      <c r="DK161" s="58"/>
      <c r="DL161" s="58"/>
      <c r="DM161" s="58"/>
      <c r="DN161" s="58"/>
      <c r="DO161" s="58"/>
      <c r="DP161" s="58"/>
      <c r="DQ161" s="58"/>
      <c r="DR161" s="58"/>
      <c r="DS161" s="58"/>
      <c r="DT161" s="58"/>
      <c r="DU161" s="58"/>
      <c r="DV161" s="58"/>
      <c r="DW161" s="58"/>
      <c r="DX161" s="58"/>
      <c r="DY161" s="58"/>
      <c r="DZ161" s="58"/>
    </row>
    <row r="162" spans="1:130" s="95" customFormat="1" x14ac:dyDescent="0.15">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c r="DH162" s="58"/>
      <c r="DI162" s="58"/>
      <c r="DJ162" s="58"/>
      <c r="DK162" s="58"/>
      <c r="DL162" s="58"/>
      <c r="DM162" s="58"/>
      <c r="DN162" s="58"/>
      <c r="DO162" s="58"/>
      <c r="DP162" s="58"/>
      <c r="DQ162" s="58"/>
      <c r="DR162" s="58"/>
      <c r="DS162" s="58"/>
      <c r="DT162" s="58"/>
      <c r="DU162" s="58"/>
      <c r="DV162" s="58"/>
      <c r="DW162" s="58"/>
      <c r="DX162" s="58"/>
      <c r="DY162" s="58"/>
      <c r="DZ162" s="58"/>
    </row>
    <row r="163" spans="1:130" s="95" customFormat="1" x14ac:dyDescent="0.15">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c r="DH163" s="58"/>
      <c r="DI163" s="58"/>
      <c r="DJ163" s="58"/>
      <c r="DK163" s="58"/>
      <c r="DL163" s="58"/>
      <c r="DM163" s="58"/>
      <c r="DN163" s="58"/>
      <c r="DO163" s="58"/>
      <c r="DP163" s="58"/>
      <c r="DQ163" s="58"/>
      <c r="DR163" s="58"/>
      <c r="DS163" s="58"/>
      <c r="DT163" s="58"/>
      <c r="DU163" s="58"/>
      <c r="DV163" s="58"/>
      <c r="DW163" s="58"/>
      <c r="DX163" s="58"/>
      <c r="DY163" s="58"/>
      <c r="DZ163" s="58"/>
    </row>
    <row r="164" spans="1:130" s="95" customFormat="1" x14ac:dyDescent="0.15">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c r="DH164" s="58"/>
      <c r="DI164" s="58"/>
      <c r="DJ164" s="58"/>
      <c r="DK164" s="58"/>
      <c r="DL164" s="58"/>
      <c r="DM164" s="58"/>
      <c r="DN164" s="58"/>
      <c r="DO164" s="58"/>
      <c r="DP164" s="58"/>
      <c r="DQ164" s="58"/>
      <c r="DR164" s="58"/>
      <c r="DS164" s="58"/>
      <c r="DT164" s="58"/>
      <c r="DU164" s="58"/>
      <c r="DV164" s="58"/>
      <c r="DW164" s="58"/>
      <c r="DX164" s="58"/>
      <c r="DY164" s="58"/>
      <c r="DZ164" s="58"/>
    </row>
    <row r="165" spans="1:130" s="95" customFormat="1" x14ac:dyDescent="0.1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c r="DH165" s="58"/>
      <c r="DI165" s="58"/>
      <c r="DJ165" s="58"/>
      <c r="DK165" s="58"/>
      <c r="DL165" s="58"/>
      <c r="DM165" s="58"/>
      <c r="DN165" s="58"/>
      <c r="DO165" s="58"/>
      <c r="DP165" s="58"/>
      <c r="DQ165" s="58"/>
      <c r="DR165" s="58"/>
      <c r="DS165" s="58"/>
      <c r="DT165" s="58"/>
      <c r="DU165" s="58"/>
      <c r="DV165" s="58"/>
      <c r="DW165" s="58"/>
      <c r="DX165" s="58"/>
      <c r="DY165" s="58"/>
      <c r="DZ165" s="58"/>
    </row>
    <row r="166" spans="1:130" s="95" customFormat="1" x14ac:dyDescent="0.15">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c r="DH166" s="58"/>
      <c r="DI166" s="58"/>
      <c r="DJ166" s="58"/>
      <c r="DK166" s="58"/>
      <c r="DL166" s="58"/>
      <c r="DM166" s="58"/>
      <c r="DN166" s="58"/>
      <c r="DO166" s="58"/>
      <c r="DP166" s="58"/>
      <c r="DQ166" s="58"/>
      <c r="DR166" s="58"/>
      <c r="DS166" s="58"/>
      <c r="DT166" s="58"/>
      <c r="DU166" s="58"/>
      <c r="DV166" s="58"/>
      <c r="DW166" s="58"/>
      <c r="DX166" s="58"/>
      <c r="DY166" s="58"/>
      <c r="DZ166" s="58"/>
    </row>
    <row r="167" spans="1:130" s="95" customFormat="1" x14ac:dyDescent="0.15">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c r="DH167" s="58"/>
      <c r="DI167" s="58"/>
      <c r="DJ167" s="58"/>
      <c r="DK167" s="58"/>
      <c r="DL167" s="58"/>
      <c r="DM167" s="58"/>
      <c r="DN167" s="58"/>
      <c r="DO167" s="58"/>
      <c r="DP167" s="58"/>
      <c r="DQ167" s="58"/>
      <c r="DR167" s="58"/>
      <c r="DS167" s="58"/>
      <c r="DT167" s="58"/>
      <c r="DU167" s="58"/>
      <c r="DV167" s="58"/>
      <c r="DW167" s="58"/>
      <c r="DX167" s="58"/>
      <c r="DY167" s="58"/>
      <c r="DZ167" s="58"/>
    </row>
    <row r="168" spans="1:130" s="95" customFormat="1" x14ac:dyDescent="0.15">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c r="DH168" s="58"/>
      <c r="DI168" s="58"/>
      <c r="DJ168" s="58"/>
      <c r="DK168" s="58"/>
      <c r="DL168" s="58"/>
      <c r="DM168" s="58"/>
      <c r="DN168" s="58"/>
      <c r="DO168" s="58"/>
      <c r="DP168" s="58"/>
      <c r="DQ168" s="58"/>
      <c r="DR168" s="58"/>
      <c r="DS168" s="58"/>
      <c r="DT168" s="58"/>
      <c r="DU168" s="58"/>
      <c r="DV168" s="58"/>
      <c r="DW168" s="58"/>
      <c r="DX168" s="58"/>
      <c r="DY168" s="58"/>
      <c r="DZ168" s="58"/>
    </row>
    <row r="169" spans="1:130" s="95" customFormat="1" x14ac:dyDescent="0.15">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c r="DH169" s="58"/>
      <c r="DI169" s="58"/>
      <c r="DJ169" s="58"/>
      <c r="DK169" s="58"/>
      <c r="DL169" s="58"/>
      <c r="DM169" s="58"/>
      <c r="DN169" s="58"/>
      <c r="DO169" s="58"/>
      <c r="DP169" s="58"/>
      <c r="DQ169" s="58"/>
      <c r="DR169" s="58"/>
      <c r="DS169" s="58"/>
      <c r="DT169" s="58"/>
      <c r="DU169" s="58"/>
      <c r="DV169" s="58"/>
      <c r="DW169" s="58"/>
      <c r="DX169" s="58"/>
      <c r="DY169" s="58"/>
      <c r="DZ169" s="58"/>
    </row>
    <row r="170" spans="1:130" s="95" customFormat="1" x14ac:dyDescent="0.15">
      <c r="C170" s="96"/>
      <c r="J170" s="97"/>
    </row>
    <row r="171" spans="1:130" s="95" customFormat="1" x14ac:dyDescent="0.15">
      <c r="C171" s="96"/>
      <c r="J171" s="97"/>
    </row>
    <row r="172" spans="1:130" s="95" customFormat="1" x14ac:dyDescent="0.15">
      <c r="C172" s="96"/>
      <c r="J172" s="97"/>
    </row>
    <row r="173" spans="1:130" s="95" customFormat="1" x14ac:dyDescent="0.15">
      <c r="C173" s="96"/>
      <c r="J173" s="97"/>
    </row>
    <row r="174" spans="1:130" s="95" customFormat="1" x14ac:dyDescent="0.15">
      <c r="C174" s="96"/>
      <c r="J174" s="97"/>
    </row>
    <row r="175" spans="1:130" s="95" customFormat="1" x14ac:dyDescent="0.15">
      <c r="C175" s="96"/>
      <c r="J175" s="97"/>
    </row>
    <row r="176" spans="1:130" s="95" customFormat="1" x14ac:dyDescent="0.15">
      <c r="C176" s="96"/>
      <c r="J176" s="97"/>
    </row>
    <row r="177" spans="3:10" s="95" customFormat="1" x14ac:dyDescent="0.15">
      <c r="C177" s="96"/>
      <c r="J177" s="97"/>
    </row>
    <row r="178" spans="3:10" s="95" customFormat="1" x14ac:dyDescent="0.15">
      <c r="C178" s="96"/>
      <c r="J178" s="97"/>
    </row>
    <row r="179" spans="3:10" s="95" customFormat="1" x14ac:dyDescent="0.15">
      <c r="C179" s="96"/>
      <c r="J179" s="97"/>
    </row>
    <row r="180" spans="3:10" s="95" customFormat="1" x14ac:dyDescent="0.15">
      <c r="C180" s="96"/>
      <c r="J180" s="97"/>
    </row>
    <row r="181" spans="3:10" s="95" customFormat="1" x14ac:dyDescent="0.15">
      <c r="C181" s="96"/>
      <c r="J181" s="97"/>
    </row>
    <row r="182" spans="3:10" s="95" customFormat="1" x14ac:dyDescent="0.15">
      <c r="C182" s="96"/>
      <c r="J182" s="97"/>
    </row>
    <row r="183" spans="3:10" s="95" customFormat="1" x14ac:dyDescent="0.15">
      <c r="C183" s="96"/>
      <c r="J183" s="97"/>
    </row>
    <row r="184" spans="3:10" s="95" customFormat="1" x14ac:dyDescent="0.15">
      <c r="C184" s="96"/>
      <c r="J184" s="97"/>
    </row>
    <row r="185" spans="3:10" s="95" customFormat="1" x14ac:dyDescent="0.15">
      <c r="C185" s="96"/>
      <c r="J185" s="97"/>
    </row>
    <row r="186" spans="3:10" s="95" customFormat="1" x14ac:dyDescent="0.15">
      <c r="C186" s="96"/>
      <c r="J186" s="97"/>
    </row>
    <row r="187" spans="3:10" s="95" customFormat="1" x14ac:dyDescent="0.15">
      <c r="C187" s="96"/>
      <c r="J187" s="97"/>
    </row>
    <row r="188" spans="3:10" s="95" customFormat="1" x14ac:dyDescent="0.15">
      <c r="C188" s="96"/>
      <c r="J188" s="97"/>
    </row>
    <row r="189" spans="3:10" s="95" customFormat="1" x14ac:dyDescent="0.15">
      <c r="C189" s="96"/>
      <c r="J189" s="97"/>
    </row>
    <row r="190" spans="3:10" s="95" customFormat="1" x14ac:dyDescent="0.15">
      <c r="C190" s="96"/>
      <c r="J190" s="97"/>
    </row>
    <row r="191" spans="3:10" s="95" customFormat="1" x14ac:dyDescent="0.15">
      <c r="C191" s="96"/>
      <c r="J191" s="97"/>
    </row>
    <row r="192" spans="3:10" s="95" customFormat="1" x14ac:dyDescent="0.15">
      <c r="C192" s="96"/>
      <c r="J192" s="97"/>
    </row>
    <row r="193" spans="3:10" s="95" customFormat="1" x14ac:dyDescent="0.15">
      <c r="C193" s="96"/>
      <c r="J193" s="97"/>
    </row>
    <row r="194" spans="3:10" s="95" customFormat="1" x14ac:dyDescent="0.15">
      <c r="C194" s="96"/>
      <c r="J194" s="97"/>
    </row>
    <row r="195" spans="3:10" s="95" customFormat="1" x14ac:dyDescent="0.15">
      <c r="C195" s="96"/>
      <c r="J195" s="97"/>
    </row>
    <row r="196" spans="3:10" s="95" customFormat="1" x14ac:dyDescent="0.15">
      <c r="C196" s="96"/>
      <c r="J196" s="97"/>
    </row>
    <row r="197" spans="3:10" s="95" customFormat="1" x14ac:dyDescent="0.15">
      <c r="C197" s="96"/>
      <c r="J197" s="97"/>
    </row>
    <row r="198" spans="3:10" s="95" customFormat="1" x14ac:dyDescent="0.15">
      <c r="C198" s="96"/>
      <c r="J198" s="97"/>
    </row>
    <row r="199" spans="3:10" s="95" customFormat="1" x14ac:dyDescent="0.15">
      <c r="C199" s="96"/>
      <c r="J199" s="97"/>
    </row>
    <row r="200" spans="3:10" s="95" customFormat="1" x14ac:dyDescent="0.15">
      <c r="C200" s="96"/>
      <c r="J200" s="97"/>
    </row>
    <row r="201" spans="3:10" s="95" customFormat="1" x14ac:dyDescent="0.15">
      <c r="C201" s="96"/>
      <c r="J201" s="97"/>
    </row>
    <row r="202" spans="3:10" s="95" customFormat="1" x14ac:dyDescent="0.15">
      <c r="C202" s="96"/>
      <c r="J202" s="97"/>
    </row>
    <row r="203" spans="3:10" s="95" customFormat="1" x14ac:dyDescent="0.15">
      <c r="C203" s="96"/>
      <c r="J203" s="97"/>
    </row>
    <row r="204" spans="3:10" s="95" customFormat="1" x14ac:dyDescent="0.15">
      <c r="C204" s="96"/>
      <c r="J204" s="97"/>
    </row>
    <row r="205" spans="3:10" s="95" customFormat="1" x14ac:dyDescent="0.15">
      <c r="C205" s="96"/>
      <c r="J205" s="97"/>
    </row>
    <row r="206" spans="3:10" s="95" customFormat="1" x14ac:dyDescent="0.15">
      <c r="C206" s="96"/>
      <c r="J206" s="97"/>
    </row>
    <row r="207" spans="3:10" s="95" customFormat="1" x14ac:dyDescent="0.15">
      <c r="C207" s="96"/>
      <c r="J207" s="97"/>
    </row>
    <row r="208" spans="3:10" s="95" customFormat="1" x14ac:dyDescent="0.15">
      <c r="C208" s="96"/>
      <c r="J208" s="97"/>
    </row>
    <row r="209" spans="3:10" s="95" customFormat="1" x14ac:dyDescent="0.15">
      <c r="C209" s="96"/>
      <c r="J209" s="97"/>
    </row>
    <row r="210" spans="3:10" s="95" customFormat="1" x14ac:dyDescent="0.15">
      <c r="C210" s="96"/>
      <c r="J210" s="97"/>
    </row>
    <row r="211" spans="3:10" s="95" customFormat="1" x14ac:dyDescent="0.15">
      <c r="C211" s="96"/>
      <c r="J211" s="97"/>
    </row>
    <row r="212" spans="3:10" s="95" customFormat="1" x14ac:dyDescent="0.15">
      <c r="C212" s="96"/>
      <c r="J212" s="97"/>
    </row>
    <row r="213" spans="3:10" s="95" customFormat="1" x14ac:dyDescent="0.15">
      <c r="C213" s="96"/>
      <c r="J213" s="97"/>
    </row>
    <row r="214" spans="3:10" s="95" customFormat="1" x14ac:dyDescent="0.15">
      <c r="C214" s="96"/>
      <c r="J214" s="97"/>
    </row>
    <row r="215" spans="3:10" s="95" customFormat="1" x14ac:dyDescent="0.15">
      <c r="C215" s="96"/>
      <c r="J215" s="97"/>
    </row>
    <row r="216" spans="3:10" s="95" customFormat="1" x14ac:dyDescent="0.15">
      <c r="C216" s="96"/>
      <c r="J216" s="97"/>
    </row>
    <row r="217" spans="3:10" s="95" customFormat="1" x14ac:dyDescent="0.15">
      <c r="C217" s="96"/>
      <c r="J217" s="97"/>
    </row>
    <row r="218" spans="3:10" s="95" customFormat="1" x14ac:dyDescent="0.15">
      <c r="C218" s="96"/>
      <c r="J218" s="97"/>
    </row>
    <row r="219" spans="3:10" s="95" customFormat="1" x14ac:dyDescent="0.15">
      <c r="C219" s="96"/>
      <c r="J219" s="97"/>
    </row>
    <row r="220" spans="3:10" s="95" customFormat="1" x14ac:dyDescent="0.15">
      <c r="C220" s="96"/>
      <c r="J220" s="97"/>
    </row>
    <row r="221" spans="3:10" s="95" customFormat="1" x14ac:dyDescent="0.15">
      <c r="C221" s="96"/>
      <c r="J221" s="97"/>
    </row>
    <row r="222" spans="3:10" s="95" customFormat="1" x14ac:dyDescent="0.15">
      <c r="C222" s="96"/>
      <c r="J222" s="97"/>
    </row>
    <row r="223" spans="3:10" s="95" customFormat="1" x14ac:dyDescent="0.15">
      <c r="C223" s="96"/>
      <c r="J223" s="97"/>
    </row>
    <row r="224" spans="3:10" s="95" customFormat="1" x14ac:dyDescent="0.15">
      <c r="C224" s="96"/>
      <c r="J224" s="97"/>
    </row>
    <row r="225" spans="3:10" s="95" customFormat="1" x14ac:dyDescent="0.15">
      <c r="C225" s="96"/>
      <c r="J225" s="97"/>
    </row>
    <row r="226" spans="3:10" s="95" customFormat="1" x14ac:dyDescent="0.15">
      <c r="C226" s="96"/>
      <c r="J226" s="97"/>
    </row>
    <row r="227" spans="3:10" s="95" customFormat="1" x14ac:dyDescent="0.15">
      <c r="C227" s="96"/>
      <c r="J227" s="97"/>
    </row>
    <row r="228" spans="3:10" s="95" customFormat="1" x14ac:dyDescent="0.15">
      <c r="C228" s="96"/>
      <c r="J228" s="97"/>
    </row>
    <row r="229" spans="3:10" s="95" customFormat="1" x14ac:dyDescent="0.15">
      <c r="C229" s="96"/>
      <c r="J229" s="97"/>
    </row>
    <row r="230" spans="3:10" s="95" customFormat="1" x14ac:dyDescent="0.15">
      <c r="C230" s="96"/>
      <c r="J230" s="97"/>
    </row>
    <row r="231" spans="3:10" s="95" customFormat="1" x14ac:dyDescent="0.15">
      <c r="C231" s="96"/>
      <c r="J231" s="97"/>
    </row>
    <row r="232" spans="3:10" s="95" customFormat="1" x14ac:dyDescent="0.15">
      <c r="C232" s="96"/>
      <c r="J232" s="97"/>
    </row>
    <row r="233" spans="3:10" s="95" customFormat="1" x14ac:dyDescent="0.15">
      <c r="C233" s="96"/>
      <c r="J233" s="97"/>
    </row>
    <row r="234" spans="3:10" s="95" customFormat="1" x14ac:dyDescent="0.15">
      <c r="C234" s="96"/>
      <c r="J234" s="97"/>
    </row>
  </sheetData>
  <autoFilter ref="D16:Q16">
    <sortState ref="D14:Q96">
      <sortCondition ref="D13"/>
    </sortState>
  </autoFilter>
  <mergeCells count="2">
    <mergeCell ref="H11:J11"/>
    <mergeCell ref="E1:AA1"/>
  </mergeCells>
  <phoneticPr fontId="1" type="noConversion"/>
  <conditionalFormatting sqref="F11">
    <cfRule type="expression" dxfId="4" priority="8">
      <formula>$E$11="自定义"</formula>
    </cfRule>
  </conditionalFormatting>
  <conditionalFormatting sqref="E4">
    <cfRule type="expression" dxfId="3" priority="7">
      <formula>$D$4="自选机构"</formula>
    </cfRule>
  </conditionalFormatting>
  <conditionalFormatting sqref="D17:D99 F17:F99">
    <cfRule type="expression" dxfId="2" priority="6">
      <formula>$D$4="自选机构"</formula>
    </cfRule>
  </conditionalFormatting>
  <conditionalFormatting sqref="F4:F5">
    <cfRule type="expression" dxfId="1" priority="3">
      <formula>"机构汇总"</formula>
    </cfRule>
  </conditionalFormatting>
  <conditionalFormatting sqref="AG17:AG99">
    <cfRule type="iconSet" priority="19">
      <iconSet iconSet="3Arrows" showValue="0">
        <cfvo type="percent" val="0"/>
        <cfvo type="num" val="0"/>
        <cfvo type="num" val="0" gte="0"/>
      </iconSet>
    </cfRule>
  </conditionalFormatting>
  <conditionalFormatting sqref="D5:E5">
    <cfRule type="expression" dxfId="0" priority="1">
      <formula>"机构汇总"</formula>
    </cfRule>
  </conditionalFormatting>
  <dataValidations count="2">
    <dataValidation type="list" allowBlank="1" showInputMessage="1" showErrorMessage="1" sqref="E11">
      <formula1>"一个月,三个月,半年,一年,自定义"</formula1>
    </dataValidation>
    <dataValidation type="list" allowBlank="1" showInputMessage="1" showErrorMessage="1" sqref="D4">
      <formula1>"机构汇总,自选机构"</formula1>
    </dataValidation>
  </dataValidations>
  <pageMargins left="0.7" right="0.7" top="0.75" bottom="0.75" header="0.3" footer="0.3"/>
  <pageSetup paperSize="9" orientation="portrait" horizontalDpi="200" verticalDpi="200" r:id="rId1"/>
  <ignoredErrors>
    <ignoredError sqref="E7:E8" unlockedFormula="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3.5" x14ac:dyDescent="0.15"/>
  <sheetData>
    <row r="1" spans="1:1" ht="17.25" x14ac:dyDescent="0.3">
      <c r="A1" s="107" t="s">
        <v>139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E99"/>
  <sheetViews>
    <sheetView workbookViewId="0">
      <selection activeCell="H70" sqref="H70"/>
    </sheetView>
  </sheetViews>
  <sheetFormatPr defaultColWidth="8.875" defaultRowHeight="13.5" x14ac:dyDescent="0.15"/>
  <cols>
    <col min="1" max="1" width="8.875" customWidth="1"/>
    <col min="2" max="2" width="8.875" style="5" customWidth="1"/>
    <col min="3" max="3" width="9" style="5" bestFit="1" customWidth="1"/>
    <col min="4" max="4" width="6" style="5" bestFit="1" customWidth="1"/>
    <col min="5" max="5" width="13.625" style="5" customWidth="1"/>
  </cols>
  <sheetData>
    <row r="2" spans="2:4" ht="14.25" thickBot="1" x14ac:dyDescent="0.2"/>
    <row r="3" spans="2:4" x14ac:dyDescent="0.15">
      <c r="B3" s="6" t="s">
        <v>0</v>
      </c>
      <c r="C3" s="7" t="s">
        <v>1</v>
      </c>
      <c r="D3" s="8" t="s">
        <v>2</v>
      </c>
    </row>
    <row r="4" spans="2:4" x14ac:dyDescent="0.15">
      <c r="B4" s="9">
        <v>1</v>
      </c>
      <c r="C4" s="4" t="s">
        <v>78</v>
      </c>
      <c r="D4" s="10">
        <f>B4</f>
        <v>1</v>
      </c>
    </row>
    <row r="5" spans="2:4" x14ac:dyDescent="0.15">
      <c r="B5" s="9">
        <v>2</v>
      </c>
      <c r="C5" s="4" t="s">
        <v>79</v>
      </c>
      <c r="D5" s="10">
        <f t="shared" ref="D5:D68" si="0">B5</f>
        <v>2</v>
      </c>
    </row>
    <row r="6" spans="2:4" x14ac:dyDescent="0.15">
      <c r="B6" s="9">
        <v>3</v>
      </c>
      <c r="C6" s="4" t="s">
        <v>80</v>
      </c>
      <c r="D6" s="10">
        <f t="shared" si="0"/>
        <v>3</v>
      </c>
    </row>
    <row r="7" spans="2:4" x14ac:dyDescent="0.15">
      <c r="B7" s="9">
        <v>4</v>
      </c>
      <c r="C7" s="3" t="s">
        <v>3</v>
      </c>
      <c r="D7" s="10">
        <f t="shared" si="0"/>
        <v>4</v>
      </c>
    </row>
    <row r="8" spans="2:4" x14ac:dyDescent="0.15">
      <c r="B8" s="9">
        <v>5</v>
      </c>
      <c r="C8" s="3" t="s">
        <v>4</v>
      </c>
      <c r="D8" s="10">
        <f t="shared" si="0"/>
        <v>5</v>
      </c>
    </row>
    <row r="9" spans="2:4" x14ac:dyDescent="0.15">
      <c r="B9" s="9">
        <v>6</v>
      </c>
      <c r="C9" s="3" t="s">
        <v>5</v>
      </c>
      <c r="D9" s="10">
        <f t="shared" si="0"/>
        <v>6</v>
      </c>
    </row>
    <row r="10" spans="2:4" x14ac:dyDescent="0.15">
      <c r="B10" s="9">
        <v>7</v>
      </c>
      <c r="C10" s="3" t="s">
        <v>6</v>
      </c>
      <c r="D10" s="10">
        <f t="shared" si="0"/>
        <v>7</v>
      </c>
    </row>
    <row r="11" spans="2:4" x14ac:dyDescent="0.15">
      <c r="B11" s="9">
        <v>8</v>
      </c>
      <c r="C11" s="3" t="s">
        <v>7</v>
      </c>
      <c r="D11" s="10">
        <f t="shared" si="0"/>
        <v>8</v>
      </c>
    </row>
    <row r="12" spans="2:4" x14ac:dyDescent="0.15">
      <c r="B12" s="9">
        <v>9</v>
      </c>
      <c r="C12" s="3" t="s">
        <v>8</v>
      </c>
      <c r="D12" s="10">
        <f t="shared" si="0"/>
        <v>9</v>
      </c>
    </row>
    <row r="13" spans="2:4" x14ac:dyDescent="0.15">
      <c r="B13" s="9">
        <v>10</v>
      </c>
      <c r="C13" s="3" t="s">
        <v>9</v>
      </c>
      <c r="D13" s="10">
        <f t="shared" si="0"/>
        <v>10</v>
      </c>
    </row>
    <row r="14" spans="2:4" x14ac:dyDescent="0.15">
      <c r="B14" s="9">
        <v>11</v>
      </c>
      <c r="C14" s="3" t="s">
        <v>10</v>
      </c>
      <c r="D14" s="10">
        <f t="shared" si="0"/>
        <v>11</v>
      </c>
    </row>
    <row r="15" spans="2:4" x14ac:dyDescent="0.15">
      <c r="B15" s="9">
        <v>12</v>
      </c>
      <c r="C15" s="3" t="s">
        <v>11</v>
      </c>
      <c r="D15" s="10">
        <f t="shared" si="0"/>
        <v>12</v>
      </c>
    </row>
    <row r="16" spans="2:4" x14ac:dyDescent="0.15">
      <c r="B16" s="9">
        <v>13</v>
      </c>
      <c r="C16" s="3" t="s">
        <v>12</v>
      </c>
      <c r="D16" s="10">
        <f t="shared" si="0"/>
        <v>13</v>
      </c>
    </row>
    <row r="17" spans="2:4" x14ac:dyDescent="0.15">
      <c r="B17" s="9">
        <v>14</v>
      </c>
      <c r="C17" s="3" t="s">
        <v>13</v>
      </c>
      <c r="D17" s="10">
        <f t="shared" si="0"/>
        <v>14</v>
      </c>
    </row>
    <row r="18" spans="2:4" x14ac:dyDescent="0.15">
      <c r="B18" s="9">
        <v>15</v>
      </c>
      <c r="C18" s="4" t="s">
        <v>81</v>
      </c>
      <c r="D18" s="10">
        <f t="shared" si="0"/>
        <v>15</v>
      </c>
    </row>
    <row r="19" spans="2:4" x14ac:dyDescent="0.15">
      <c r="B19" s="9">
        <v>16</v>
      </c>
      <c r="C19" s="3" t="s">
        <v>14</v>
      </c>
      <c r="D19" s="10">
        <f t="shared" si="0"/>
        <v>16</v>
      </c>
    </row>
    <row r="20" spans="2:4" x14ac:dyDescent="0.15">
      <c r="B20" s="9">
        <v>17</v>
      </c>
      <c r="C20" s="4" t="s">
        <v>82</v>
      </c>
      <c r="D20" s="10">
        <f t="shared" si="0"/>
        <v>17</v>
      </c>
    </row>
    <row r="21" spans="2:4" x14ac:dyDescent="0.15">
      <c r="B21" s="9">
        <v>18</v>
      </c>
      <c r="C21" s="3" t="s">
        <v>15</v>
      </c>
      <c r="D21" s="10">
        <f t="shared" si="0"/>
        <v>18</v>
      </c>
    </row>
    <row r="22" spans="2:4" x14ac:dyDescent="0.15">
      <c r="B22" s="9">
        <v>19</v>
      </c>
      <c r="C22" s="3" t="s">
        <v>16</v>
      </c>
      <c r="D22" s="10">
        <f t="shared" si="0"/>
        <v>19</v>
      </c>
    </row>
    <row r="23" spans="2:4" x14ac:dyDescent="0.15">
      <c r="B23" s="11">
        <v>21</v>
      </c>
      <c r="C23" s="4" t="s">
        <v>83</v>
      </c>
      <c r="D23" s="10">
        <f t="shared" si="0"/>
        <v>21</v>
      </c>
    </row>
    <row r="24" spans="2:4" x14ac:dyDescent="0.15">
      <c r="B24" s="9">
        <v>22</v>
      </c>
      <c r="C24" s="3" t="s">
        <v>17</v>
      </c>
      <c r="D24" s="10">
        <f t="shared" si="0"/>
        <v>22</v>
      </c>
    </row>
    <row r="25" spans="2:4" x14ac:dyDescent="0.15">
      <c r="B25" s="11">
        <v>23</v>
      </c>
      <c r="C25" s="3" t="s">
        <v>18</v>
      </c>
      <c r="D25" s="10">
        <f t="shared" si="0"/>
        <v>23</v>
      </c>
    </row>
    <row r="26" spans="2:4" x14ac:dyDescent="0.15">
      <c r="B26" s="9">
        <v>24</v>
      </c>
      <c r="C26" s="3" t="s">
        <v>19</v>
      </c>
      <c r="D26" s="10">
        <f t="shared" si="0"/>
        <v>24</v>
      </c>
    </row>
    <row r="27" spans="2:4" x14ac:dyDescent="0.15">
      <c r="B27" s="9">
        <v>25</v>
      </c>
      <c r="C27" s="3" t="s">
        <v>20</v>
      </c>
      <c r="D27" s="10">
        <f t="shared" si="0"/>
        <v>25</v>
      </c>
    </row>
    <row r="28" spans="2:4" x14ac:dyDescent="0.15">
      <c r="B28" s="9">
        <v>26</v>
      </c>
      <c r="C28" s="3" t="s">
        <v>21</v>
      </c>
      <c r="D28" s="10">
        <f t="shared" si="0"/>
        <v>26</v>
      </c>
    </row>
    <row r="29" spans="2:4" x14ac:dyDescent="0.15">
      <c r="B29" s="9">
        <v>27</v>
      </c>
      <c r="C29" s="3" t="s">
        <v>22</v>
      </c>
      <c r="D29" s="10">
        <f t="shared" si="0"/>
        <v>27</v>
      </c>
    </row>
    <row r="30" spans="2:4" x14ac:dyDescent="0.15">
      <c r="B30" s="9">
        <v>28</v>
      </c>
      <c r="C30" s="3" t="s">
        <v>23</v>
      </c>
      <c r="D30" s="10">
        <f t="shared" si="0"/>
        <v>28</v>
      </c>
    </row>
    <row r="31" spans="2:4" x14ac:dyDescent="0.15">
      <c r="B31" s="9">
        <v>29</v>
      </c>
      <c r="C31" s="3" t="s">
        <v>24</v>
      </c>
      <c r="D31" s="10">
        <f t="shared" si="0"/>
        <v>29</v>
      </c>
    </row>
    <row r="32" spans="2:4" x14ac:dyDescent="0.15">
      <c r="B32" s="9">
        <v>30</v>
      </c>
      <c r="C32" s="3" t="s">
        <v>25</v>
      </c>
      <c r="D32" s="10">
        <f t="shared" si="0"/>
        <v>30</v>
      </c>
    </row>
    <row r="33" spans="2:4" x14ac:dyDescent="0.15">
      <c r="B33" s="9">
        <v>31</v>
      </c>
      <c r="C33" s="3" t="s">
        <v>26</v>
      </c>
      <c r="D33" s="10">
        <f t="shared" si="0"/>
        <v>31</v>
      </c>
    </row>
    <row r="34" spans="2:4" x14ac:dyDescent="0.15">
      <c r="B34" s="9">
        <v>32</v>
      </c>
      <c r="C34" s="3" t="s">
        <v>27</v>
      </c>
      <c r="D34" s="10">
        <f t="shared" si="0"/>
        <v>32</v>
      </c>
    </row>
    <row r="35" spans="2:4" x14ac:dyDescent="0.15">
      <c r="B35" s="9">
        <v>33</v>
      </c>
      <c r="C35" s="3" t="s">
        <v>28</v>
      </c>
      <c r="D35" s="10">
        <f t="shared" si="0"/>
        <v>33</v>
      </c>
    </row>
    <row r="36" spans="2:4" x14ac:dyDescent="0.15">
      <c r="B36" s="9">
        <v>34</v>
      </c>
      <c r="C36" s="3" t="s">
        <v>29</v>
      </c>
      <c r="D36" s="10">
        <f t="shared" si="0"/>
        <v>34</v>
      </c>
    </row>
    <row r="37" spans="2:4" x14ac:dyDescent="0.15">
      <c r="B37" s="9">
        <v>35</v>
      </c>
      <c r="C37" s="3" t="s">
        <v>30</v>
      </c>
      <c r="D37" s="10">
        <f t="shared" si="0"/>
        <v>35</v>
      </c>
    </row>
    <row r="38" spans="2:4" x14ac:dyDescent="0.15">
      <c r="B38" s="9">
        <v>36</v>
      </c>
      <c r="C38" s="3" t="s">
        <v>31</v>
      </c>
      <c r="D38" s="10">
        <f t="shared" si="0"/>
        <v>36</v>
      </c>
    </row>
    <row r="39" spans="2:4" x14ac:dyDescent="0.15">
      <c r="B39" s="9">
        <v>37</v>
      </c>
      <c r="C39" s="3" t="s">
        <v>32</v>
      </c>
      <c r="D39" s="10">
        <f t="shared" si="0"/>
        <v>37</v>
      </c>
    </row>
    <row r="40" spans="2:4" x14ac:dyDescent="0.15">
      <c r="B40" s="9">
        <v>38</v>
      </c>
      <c r="C40" s="3" t="s">
        <v>33</v>
      </c>
      <c r="D40" s="10">
        <f t="shared" si="0"/>
        <v>38</v>
      </c>
    </row>
    <row r="41" spans="2:4" x14ac:dyDescent="0.15">
      <c r="B41" s="9">
        <v>39</v>
      </c>
      <c r="C41" s="3" t="s">
        <v>34</v>
      </c>
      <c r="D41" s="10">
        <f t="shared" si="0"/>
        <v>39</v>
      </c>
    </row>
    <row r="42" spans="2:4" x14ac:dyDescent="0.15">
      <c r="B42" s="9">
        <v>40</v>
      </c>
      <c r="C42" s="3" t="s">
        <v>35</v>
      </c>
      <c r="D42" s="10">
        <f t="shared" si="0"/>
        <v>40</v>
      </c>
    </row>
    <row r="43" spans="2:4" x14ac:dyDescent="0.15">
      <c r="B43" s="9">
        <v>41</v>
      </c>
      <c r="C43" s="3" t="s">
        <v>36</v>
      </c>
      <c r="D43" s="10">
        <f t="shared" si="0"/>
        <v>41</v>
      </c>
    </row>
    <row r="44" spans="2:4" x14ac:dyDescent="0.15">
      <c r="B44" s="9">
        <v>42</v>
      </c>
      <c r="C44" s="3" t="s">
        <v>37</v>
      </c>
      <c r="D44" s="10">
        <f t="shared" si="0"/>
        <v>42</v>
      </c>
    </row>
    <row r="45" spans="2:4" x14ac:dyDescent="0.15">
      <c r="B45" s="9">
        <v>43</v>
      </c>
      <c r="C45" s="3" t="s">
        <v>38</v>
      </c>
      <c r="D45" s="10">
        <f t="shared" si="0"/>
        <v>43</v>
      </c>
    </row>
    <row r="46" spans="2:4" x14ac:dyDescent="0.15">
      <c r="B46" s="9">
        <v>44</v>
      </c>
      <c r="C46" s="3" t="s">
        <v>39</v>
      </c>
      <c r="D46" s="10">
        <f t="shared" si="0"/>
        <v>44</v>
      </c>
    </row>
    <row r="47" spans="2:4" x14ac:dyDescent="0.15">
      <c r="B47" s="9">
        <v>45</v>
      </c>
      <c r="C47" s="3" t="s">
        <v>40</v>
      </c>
      <c r="D47" s="10">
        <f t="shared" si="0"/>
        <v>45</v>
      </c>
    </row>
    <row r="48" spans="2:4" x14ac:dyDescent="0.15">
      <c r="B48" s="9">
        <v>46</v>
      </c>
      <c r="C48" s="3" t="s">
        <v>41</v>
      </c>
      <c r="D48" s="10">
        <f t="shared" si="0"/>
        <v>46</v>
      </c>
    </row>
    <row r="49" spans="2:4" x14ac:dyDescent="0.15">
      <c r="B49" s="9">
        <v>47</v>
      </c>
      <c r="C49" s="3" t="s">
        <v>42</v>
      </c>
      <c r="D49" s="10">
        <f t="shared" si="0"/>
        <v>47</v>
      </c>
    </row>
    <row r="50" spans="2:4" x14ac:dyDescent="0.15">
      <c r="B50" s="9">
        <v>48</v>
      </c>
      <c r="C50" s="3" t="s">
        <v>43</v>
      </c>
      <c r="D50" s="10">
        <f t="shared" si="0"/>
        <v>48</v>
      </c>
    </row>
    <row r="51" spans="2:4" x14ac:dyDescent="0.15">
      <c r="B51" s="9">
        <v>49</v>
      </c>
      <c r="C51" s="3" t="s">
        <v>44</v>
      </c>
      <c r="D51" s="10">
        <f t="shared" si="0"/>
        <v>49</v>
      </c>
    </row>
    <row r="52" spans="2:4" x14ac:dyDescent="0.15">
      <c r="B52" s="9">
        <v>50</v>
      </c>
      <c r="C52" s="3" t="s">
        <v>45</v>
      </c>
      <c r="D52" s="10">
        <f t="shared" si="0"/>
        <v>50</v>
      </c>
    </row>
    <row r="53" spans="2:4" x14ac:dyDescent="0.15">
      <c r="B53" s="9">
        <v>51</v>
      </c>
      <c r="C53" s="3" t="s">
        <v>46</v>
      </c>
      <c r="D53" s="10">
        <f t="shared" si="0"/>
        <v>51</v>
      </c>
    </row>
    <row r="54" spans="2:4" x14ac:dyDescent="0.15">
      <c r="B54" s="9">
        <v>52</v>
      </c>
      <c r="C54" s="3" t="s">
        <v>47</v>
      </c>
      <c r="D54" s="10">
        <f t="shared" si="0"/>
        <v>52</v>
      </c>
    </row>
    <row r="55" spans="2:4" x14ac:dyDescent="0.15">
      <c r="B55" s="9">
        <v>53</v>
      </c>
      <c r="C55" s="3" t="s">
        <v>48</v>
      </c>
      <c r="D55" s="10">
        <f t="shared" si="0"/>
        <v>53</v>
      </c>
    </row>
    <row r="56" spans="2:4" x14ac:dyDescent="0.15">
      <c r="B56" s="9">
        <v>54</v>
      </c>
      <c r="C56" s="3" t="s">
        <v>49</v>
      </c>
      <c r="D56" s="10">
        <f t="shared" si="0"/>
        <v>54</v>
      </c>
    </row>
    <row r="57" spans="2:4" x14ac:dyDescent="0.15">
      <c r="B57" s="9">
        <v>55</v>
      </c>
      <c r="C57" s="3" t="s">
        <v>50</v>
      </c>
      <c r="D57" s="10">
        <f t="shared" si="0"/>
        <v>55</v>
      </c>
    </row>
    <row r="58" spans="2:4" x14ac:dyDescent="0.15">
      <c r="B58" s="9">
        <v>56</v>
      </c>
      <c r="C58" s="3" t="s">
        <v>51</v>
      </c>
      <c r="D58" s="10">
        <f t="shared" si="0"/>
        <v>56</v>
      </c>
    </row>
    <row r="59" spans="2:4" x14ac:dyDescent="0.15">
      <c r="B59" s="9">
        <v>57</v>
      </c>
      <c r="C59" s="3" t="s">
        <v>52</v>
      </c>
      <c r="D59" s="10">
        <f t="shared" si="0"/>
        <v>57</v>
      </c>
    </row>
    <row r="60" spans="2:4" x14ac:dyDescent="0.15">
      <c r="B60" s="9">
        <v>58</v>
      </c>
      <c r="C60" s="4" t="s">
        <v>53</v>
      </c>
      <c r="D60" s="10">
        <f t="shared" si="0"/>
        <v>58</v>
      </c>
    </row>
    <row r="61" spans="2:4" x14ac:dyDescent="0.15">
      <c r="B61" s="9">
        <v>59</v>
      </c>
      <c r="C61" s="4" t="s">
        <v>84</v>
      </c>
      <c r="D61" s="10">
        <f t="shared" si="0"/>
        <v>59</v>
      </c>
    </row>
    <row r="62" spans="2:4" x14ac:dyDescent="0.15">
      <c r="B62" s="9">
        <v>60</v>
      </c>
      <c r="C62" s="3" t="s">
        <v>54</v>
      </c>
      <c r="D62" s="10">
        <f t="shared" si="0"/>
        <v>60</v>
      </c>
    </row>
    <row r="63" spans="2:4" x14ac:dyDescent="0.15">
      <c r="B63" s="9">
        <v>61</v>
      </c>
      <c r="C63" s="3" t="s">
        <v>55</v>
      </c>
      <c r="D63" s="10">
        <f t="shared" si="0"/>
        <v>61</v>
      </c>
    </row>
    <row r="64" spans="2:4" x14ac:dyDescent="0.15">
      <c r="B64" s="9">
        <v>62</v>
      </c>
      <c r="C64" s="3" t="s">
        <v>56</v>
      </c>
      <c r="D64" s="10">
        <f t="shared" si="0"/>
        <v>62</v>
      </c>
    </row>
    <row r="65" spans="2:4" x14ac:dyDescent="0.15">
      <c r="B65" s="9">
        <v>63</v>
      </c>
      <c r="C65" s="3" t="s">
        <v>57</v>
      </c>
      <c r="D65" s="10">
        <f t="shared" si="0"/>
        <v>63</v>
      </c>
    </row>
    <row r="66" spans="2:4" x14ac:dyDescent="0.15">
      <c r="B66" s="9">
        <v>64</v>
      </c>
      <c r="C66" s="3" t="s">
        <v>58</v>
      </c>
      <c r="D66" s="10">
        <f t="shared" si="0"/>
        <v>64</v>
      </c>
    </row>
    <row r="67" spans="2:4" x14ac:dyDescent="0.15">
      <c r="B67" s="9">
        <v>65</v>
      </c>
      <c r="C67" s="3" t="s">
        <v>59</v>
      </c>
      <c r="D67" s="10">
        <f t="shared" si="0"/>
        <v>65</v>
      </c>
    </row>
    <row r="68" spans="2:4" x14ac:dyDescent="0.15">
      <c r="B68" s="9">
        <v>66</v>
      </c>
      <c r="C68" s="3" t="s">
        <v>60</v>
      </c>
      <c r="D68" s="10">
        <f t="shared" si="0"/>
        <v>66</v>
      </c>
    </row>
    <row r="69" spans="2:4" x14ac:dyDescent="0.15">
      <c r="B69" s="9">
        <v>67</v>
      </c>
      <c r="C69" s="4" t="s">
        <v>61</v>
      </c>
      <c r="D69" s="10">
        <f t="shared" ref="D69:D96" si="1">B69</f>
        <v>67</v>
      </c>
    </row>
    <row r="70" spans="2:4" x14ac:dyDescent="0.15">
      <c r="B70" s="9">
        <v>68</v>
      </c>
      <c r="C70" s="4" t="s">
        <v>85</v>
      </c>
      <c r="D70" s="10">
        <f t="shared" si="1"/>
        <v>68</v>
      </c>
    </row>
    <row r="71" spans="2:4" x14ac:dyDescent="0.15">
      <c r="B71" s="9">
        <v>69</v>
      </c>
      <c r="C71" s="3" t="s">
        <v>62</v>
      </c>
      <c r="D71" s="10">
        <f t="shared" si="1"/>
        <v>69</v>
      </c>
    </row>
    <row r="72" spans="2:4" x14ac:dyDescent="0.15">
      <c r="B72" s="9">
        <v>70</v>
      </c>
      <c r="C72" s="3" t="s">
        <v>63</v>
      </c>
      <c r="D72" s="10">
        <f t="shared" si="1"/>
        <v>70</v>
      </c>
    </row>
    <row r="73" spans="2:4" x14ac:dyDescent="0.15">
      <c r="B73" s="9">
        <v>71</v>
      </c>
      <c r="C73" s="4" t="s">
        <v>77</v>
      </c>
      <c r="D73" s="10">
        <f t="shared" si="1"/>
        <v>71</v>
      </c>
    </row>
    <row r="74" spans="2:4" x14ac:dyDescent="0.15">
      <c r="B74" s="9">
        <v>72</v>
      </c>
      <c r="C74" s="3" t="s">
        <v>64</v>
      </c>
      <c r="D74" s="10">
        <f t="shared" si="1"/>
        <v>72</v>
      </c>
    </row>
    <row r="75" spans="2:4" x14ac:dyDescent="0.15">
      <c r="B75" s="9">
        <v>73</v>
      </c>
      <c r="C75" s="3" t="s">
        <v>65</v>
      </c>
      <c r="D75" s="10">
        <f t="shared" si="1"/>
        <v>73</v>
      </c>
    </row>
    <row r="76" spans="2:4" x14ac:dyDescent="0.15">
      <c r="B76" s="9">
        <v>74</v>
      </c>
      <c r="C76" s="3" t="s">
        <v>86</v>
      </c>
      <c r="D76" s="10">
        <f t="shared" si="1"/>
        <v>74</v>
      </c>
    </row>
    <row r="77" spans="2:4" x14ac:dyDescent="0.15">
      <c r="B77" s="9">
        <v>75</v>
      </c>
      <c r="C77" s="3" t="s">
        <v>66</v>
      </c>
      <c r="D77" s="10">
        <f t="shared" si="1"/>
        <v>75</v>
      </c>
    </row>
    <row r="78" spans="2:4" x14ac:dyDescent="0.15">
      <c r="B78" s="9">
        <v>76</v>
      </c>
      <c r="C78" s="3" t="s">
        <v>67</v>
      </c>
      <c r="D78" s="10">
        <f t="shared" si="1"/>
        <v>76</v>
      </c>
    </row>
    <row r="79" spans="2:4" x14ac:dyDescent="0.15">
      <c r="B79" s="9">
        <v>77</v>
      </c>
      <c r="C79" s="3" t="s">
        <v>68</v>
      </c>
      <c r="D79" s="10">
        <f t="shared" si="1"/>
        <v>77</v>
      </c>
    </row>
    <row r="80" spans="2:4" x14ac:dyDescent="0.15">
      <c r="B80" s="9">
        <v>78</v>
      </c>
      <c r="C80" s="3" t="s">
        <v>69</v>
      </c>
      <c r="D80" s="10">
        <f t="shared" si="1"/>
        <v>78</v>
      </c>
    </row>
    <row r="81" spans="2:4" x14ac:dyDescent="0.15">
      <c r="B81" s="9">
        <v>79</v>
      </c>
      <c r="C81" s="3" t="s">
        <v>70</v>
      </c>
      <c r="D81" s="10">
        <f t="shared" si="1"/>
        <v>79</v>
      </c>
    </row>
    <row r="82" spans="2:4" x14ac:dyDescent="0.15">
      <c r="B82" s="9">
        <v>80</v>
      </c>
      <c r="C82" s="3" t="s">
        <v>71</v>
      </c>
      <c r="D82" s="10">
        <f t="shared" si="1"/>
        <v>80</v>
      </c>
    </row>
    <row r="83" spans="2:4" x14ac:dyDescent="0.15">
      <c r="B83" s="9">
        <v>81</v>
      </c>
      <c r="C83" s="3" t="s">
        <v>72</v>
      </c>
      <c r="D83" s="10">
        <f t="shared" si="1"/>
        <v>81</v>
      </c>
    </row>
    <row r="84" spans="2:4" x14ac:dyDescent="0.15">
      <c r="B84" s="9">
        <v>82</v>
      </c>
      <c r="C84" s="3" t="s">
        <v>73</v>
      </c>
      <c r="D84" s="10">
        <f t="shared" si="1"/>
        <v>82</v>
      </c>
    </row>
    <row r="85" spans="2:4" x14ac:dyDescent="0.15">
      <c r="B85" s="9">
        <v>83</v>
      </c>
      <c r="C85" s="3" t="s">
        <v>74</v>
      </c>
      <c r="D85" s="10">
        <f t="shared" si="1"/>
        <v>83</v>
      </c>
    </row>
    <row r="86" spans="2:4" x14ac:dyDescent="0.15">
      <c r="B86" s="9">
        <v>84</v>
      </c>
      <c r="C86" s="3" t="s">
        <v>75</v>
      </c>
      <c r="D86" s="10">
        <f t="shared" si="1"/>
        <v>84</v>
      </c>
    </row>
    <row r="87" spans="2:4" x14ac:dyDescent="0.15">
      <c r="B87" s="9">
        <v>85</v>
      </c>
      <c r="C87" s="3" t="s">
        <v>76</v>
      </c>
      <c r="D87" s="10">
        <f t="shared" si="1"/>
        <v>85</v>
      </c>
    </row>
    <row r="88" spans="2:4" x14ac:dyDescent="0.15">
      <c r="B88" s="9"/>
      <c r="C88" s="3"/>
      <c r="D88" s="10">
        <f t="shared" si="1"/>
        <v>0</v>
      </c>
    </row>
    <row r="89" spans="2:4" x14ac:dyDescent="0.15">
      <c r="B89" s="9"/>
      <c r="C89" s="3"/>
      <c r="D89" s="10">
        <f t="shared" si="1"/>
        <v>0</v>
      </c>
    </row>
    <row r="90" spans="2:4" x14ac:dyDescent="0.15">
      <c r="B90" s="9"/>
      <c r="C90" s="3"/>
      <c r="D90" s="10">
        <f t="shared" si="1"/>
        <v>0</v>
      </c>
    </row>
    <row r="91" spans="2:4" x14ac:dyDescent="0.15">
      <c r="B91" s="9"/>
      <c r="C91" s="3"/>
      <c r="D91" s="10">
        <f t="shared" si="1"/>
        <v>0</v>
      </c>
    </row>
    <row r="92" spans="2:4" x14ac:dyDescent="0.15">
      <c r="B92" s="9"/>
      <c r="C92" s="3"/>
      <c r="D92" s="10">
        <f t="shared" si="1"/>
        <v>0</v>
      </c>
    </row>
    <row r="93" spans="2:4" x14ac:dyDescent="0.15">
      <c r="B93" s="9"/>
      <c r="C93" s="3"/>
      <c r="D93" s="10">
        <f t="shared" si="1"/>
        <v>0</v>
      </c>
    </row>
    <row r="94" spans="2:4" x14ac:dyDescent="0.15">
      <c r="B94" s="9"/>
      <c r="C94" s="3"/>
      <c r="D94" s="10">
        <f t="shared" si="1"/>
        <v>0</v>
      </c>
    </row>
    <row r="95" spans="2:4" x14ac:dyDescent="0.15">
      <c r="B95" s="9"/>
      <c r="C95" s="3"/>
      <c r="D95" s="10">
        <f t="shared" si="1"/>
        <v>0</v>
      </c>
    </row>
    <row r="96" spans="2:4" ht="14.25" thickBot="1" x14ac:dyDescent="0.2">
      <c r="B96" s="12"/>
      <c r="C96" s="13"/>
      <c r="D96" s="14">
        <f t="shared" si="1"/>
        <v>0</v>
      </c>
    </row>
    <row r="97" spans="2:4" x14ac:dyDescent="0.15">
      <c r="B97" s="1"/>
      <c r="C97" s="1"/>
      <c r="D97" s="2"/>
    </row>
    <row r="98" spans="2:4" x14ac:dyDescent="0.15">
      <c r="B98" s="1"/>
      <c r="C98" s="1"/>
      <c r="D98" s="2"/>
    </row>
    <row r="99" spans="2:4" x14ac:dyDescent="0.15">
      <c r="B99" s="1"/>
      <c r="C99" s="1"/>
      <c r="D99" s="2"/>
    </row>
  </sheetData>
  <phoneticPr fontId="1" type="noConversion"/>
  <pageMargins left="0.7" right="0.7" top="0.75" bottom="0.75" header="0.3" footer="0.3"/>
  <pageSetup paperSize="9" orientation="portrait" horizontalDpi="200" verticalDpi="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盈利预测</vt:lpstr>
      <vt:lpstr>设置</vt:lpstr>
      <vt:lpstr>盈利预测!currencyunit</vt:lpstr>
      <vt:lpstr>instlist</vt:lpstr>
      <vt:lpstr>quantity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盈利预测与投资评级</dc:title>
  <dc:creator/>
  <cp:keywords>盈利预测与投资评级</cp:keywords>
  <dc:description>《盈利预测与投资评级》提供上市公司指定时间内的最新盈利预测与投资评级的明细值与综合值，同时支持用户对指定券商的历史预测与评级查询。</dc:description>
  <cp:lastModifiedBy/>
  <dcterms:created xsi:type="dcterms:W3CDTF">2006-09-13T11:21:51Z</dcterms:created>
  <dcterms:modified xsi:type="dcterms:W3CDTF">2023-11-20T01:41:01Z</dcterms:modified>
  <cp:category>wind模板</cp:category>
</cp:coreProperties>
</file>