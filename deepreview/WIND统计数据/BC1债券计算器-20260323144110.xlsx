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模板研究\20240511 BC计算器\"/>
    </mc:Choice>
  </mc:AlternateContent>
  <bookViews>
    <workbookView xWindow="0" yWindow="0" windowWidth="28800" windowHeight="12240"/>
  </bookViews>
  <sheets>
    <sheet name="BC1四合一" sheetId="2" r:id="rId1"/>
    <sheet name="Wind模板" sheetId="3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  <c r="D5" i="2" l="1"/>
  <c r="S42" i="2"/>
  <c r="H1" i="2"/>
  <c r="E4" i="2"/>
  <c r="S37" i="2"/>
  <c r="S40" i="2"/>
  <c r="S41" i="2"/>
  <c r="S43" i="2" s="1"/>
  <c r="W40" i="2"/>
  <c r="V40" i="2"/>
  <c r="D18" i="2" l="1"/>
  <c r="T34" i="2"/>
  <c r="D19" i="2"/>
  <c r="D16" i="2"/>
  <c r="H16" i="2"/>
  <c r="D17" i="2"/>
  <c r="G16" i="2"/>
  <c r="D13" i="2"/>
  <c r="V45" i="2"/>
  <c r="T39" i="2"/>
  <c r="S38" i="2"/>
  <c r="W39" i="2"/>
  <c r="W38" i="2"/>
  <c r="V38" i="2"/>
  <c r="T45" i="2"/>
  <c r="T41" i="2"/>
  <c r="U40" i="2"/>
  <c r="V41" i="2"/>
  <c r="S45" i="2"/>
  <c r="U38" i="2"/>
  <c r="S46" i="2"/>
  <c r="S44" i="2"/>
  <c r="S39" i="2"/>
  <c r="T46" i="2"/>
  <c r="U42" i="2"/>
  <c r="U44" i="2"/>
  <c r="T37" i="2"/>
  <c r="U37" i="2"/>
  <c r="T38" i="2"/>
  <c r="U45" i="2"/>
  <c r="V44" i="2"/>
  <c r="T40" i="2"/>
  <c r="U39" i="2"/>
  <c r="W45" i="2"/>
  <c r="V39" i="2"/>
  <c r="W42" i="2"/>
  <c r="T44" i="2"/>
  <c r="U46" i="2"/>
  <c r="W44" i="2"/>
  <c r="D21" i="2" l="1"/>
  <c r="D20" i="2"/>
  <c r="S47" i="2"/>
  <c r="D23" i="2" s="1"/>
  <c r="D14" i="2"/>
  <c r="D15" i="2"/>
  <c r="D22" i="2"/>
  <c r="F15" i="2"/>
  <c r="H20" i="2"/>
  <c r="G15" i="2"/>
  <c r="E21" i="2"/>
  <c r="H21" i="2"/>
  <c r="H15" i="2"/>
  <c r="F21" i="2"/>
  <c r="E16" i="2"/>
  <c r="G21" i="2"/>
  <c r="F16" i="2"/>
  <c r="E13" i="2"/>
  <c r="E17" i="2"/>
  <c r="E22" i="2"/>
  <c r="F13" i="2"/>
  <c r="G17" i="2"/>
  <c r="E15" i="2"/>
  <c r="E14" i="2"/>
  <c r="F18" i="2"/>
  <c r="E20" i="2"/>
  <c r="H14" i="2"/>
  <c r="F20" i="2"/>
  <c r="F14" i="2"/>
  <c r="H18" i="2"/>
  <c r="G14" i="2"/>
  <c r="G20" i="2"/>
  <c r="F22" i="2"/>
</calcChain>
</file>

<file path=xl/sharedStrings.xml><?xml version="1.0" encoding="utf-8"?>
<sst xmlns="http://schemas.openxmlformats.org/spreadsheetml/2006/main" count="31" uniqueCount="31">
  <si>
    <r>
      <rPr>
        <sz val="11"/>
        <color theme="1"/>
        <rFont val="等线"/>
        <family val="3"/>
        <charset val="134"/>
      </rPr>
      <t>全价</t>
    </r>
    <phoneticPr fontId="1" type="noConversion"/>
  </si>
  <si>
    <r>
      <rPr>
        <sz val="11"/>
        <color theme="1"/>
        <rFont val="等线"/>
        <family val="3"/>
        <charset val="134"/>
      </rPr>
      <t>到期收益率</t>
    </r>
    <phoneticPr fontId="1" type="noConversion"/>
  </si>
  <si>
    <r>
      <rPr>
        <sz val="11"/>
        <color theme="1"/>
        <rFont val="等线"/>
        <family val="3"/>
        <charset val="134"/>
      </rPr>
      <t>行权收益率</t>
    </r>
    <phoneticPr fontId="1" type="noConversion"/>
  </si>
  <si>
    <r>
      <rPr>
        <sz val="11"/>
        <color theme="1"/>
        <rFont val="等线"/>
        <family val="2"/>
        <charset val="134"/>
      </rPr>
      <t>净价</t>
    </r>
    <phoneticPr fontId="1" type="noConversion"/>
  </si>
  <si>
    <r>
      <rPr>
        <sz val="11"/>
        <color theme="1"/>
        <rFont val="宋体"/>
        <family val="3"/>
        <charset val="134"/>
      </rPr>
      <t>前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交易日：</t>
    </r>
    <phoneticPr fontId="4" type="noConversion"/>
  </si>
  <si>
    <t>114797.SZ</t>
    <phoneticPr fontId="1" type="noConversion"/>
  </si>
  <si>
    <t>结果</t>
    <phoneticPr fontId="10" type="noConversion"/>
  </si>
  <si>
    <t>剩余年限:</t>
    <phoneticPr fontId="10" type="noConversion"/>
  </si>
  <si>
    <t>净价:</t>
    <phoneticPr fontId="4" type="noConversion"/>
  </si>
  <si>
    <t>基点价值：</t>
    <phoneticPr fontId="4" type="noConversion"/>
  </si>
  <si>
    <t>凸性：</t>
    <phoneticPr fontId="10" type="noConversion"/>
  </si>
  <si>
    <t>债券代码：</t>
    <phoneticPr fontId="10" type="noConversion"/>
  </si>
  <si>
    <t>结算日期：</t>
    <phoneticPr fontId="4" type="noConversion"/>
  </si>
  <si>
    <t>输入类型：</t>
    <phoneticPr fontId="10" type="noConversion"/>
  </si>
  <si>
    <t>交易面额(万元)：</t>
    <phoneticPr fontId="10" type="noConversion"/>
  </si>
  <si>
    <t>全价:</t>
    <phoneticPr fontId="10" type="noConversion"/>
  </si>
  <si>
    <t>应计利息:</t>
    <phoneticPr fontId="4" type="noConversion"/>
  </si>
  <si>
    <t>到期收益率:</t>
    <phoneticPr fontId="10" type="noConversion"/>
  </si>
  <si>
    <t>行权收益率:</t>
    <phoneticPr fontId="4" type="noConversion"/>
  </si>
  <si>
    <t>麦考利久期:</t>
    <phoneticPr fontId="10" type="noConversion"/>
  </si>
  <si>
    <t>修正久期:</t>
    <phoneticPr fontId="4" type="noConversion"/>
  </si>
  <si>
    <t>结算金额(元)：</t>
    <phoneticPr fontId="10" type="noConversion"/>
  </si>
  <si>
    <t>中债估值(到期)</t>
    <phoneticPr fontId="1" type="noConversion"/>
  </si>
  <si>
    <t>中债估值(行权)</t>
    <phoneticPr fontId="1" type="noConversion"/>
  </si>
  <si>
    <t>中证估值(到期)</t>
    <phoneticPr fontId="1" type="noConversion"/>
  </si>
  <si>
    <t>中证估值(行权)</t>
    <phoneticPr fontId="1" type="noConversion"/>
  </si>
  <si>
    <t>模拟分析</t>
    <phoneticPr fontId="1" type="noConversion"/>
  </si>
  <si>
    <t>债券计算器BC1</t>
    <phoneticPr fontId="1" type="noConversion"/>
  </si>
  <si>
    <t>评估日期：</t>
    <phoneticPr fontId="1" type="noConversion"/>
  </si>
  <si>
    <t>BC1债券计算器</t>
    <phoneticPr fontId="1" type="noConversion"/>
  </si>
  <si>
    <t>净价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</si>
</sst>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 * #,##0.00_ ;_ * \-#,##0.00_ ;_ * &quot;-&quot;??_ ;_ @_ "/>
    <numFmt numFmtId="176" formatCode="###,###,##0.0000"/>
    <numFmt numFmtId="177" formatCode="###,###,##0.000000"/>
    <numFmt numFmtId="178" formatCode="0.0000"/>
    <numFmt numFmtId="179" formatCode="yyyy\-mm\-dd"/>
    <numFmt numFmtId="180" formatCode="0.00_);[Red]\(0.00\)"/>
    <numFmt numFmtId="181" formatCode="0.0000_);[Red]\(0.0000\)"/>
    <numFmt numFmtId="182" formatCode="yyyy/mm/dd"/>
    <numFmt numFmtId="183" formatCode="0.0000_ "/>
  </numFmts>
  <fonts count="2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20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6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  <font>
      <sz val="20"/>
      <color theme="0"/>
      <name val="Arial"/>
      <family val="2"/>
    </font>
    <font>
      <sz val="9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b/>
      <sz val="10"/>
      <name val="微软雅黑"/>
      <family val="2"/>
      <charset val="134"/>
    </font>
    <font>
      <b/>
      <sz val="14"/>
      <name val="Arial "/>
      <family val="2"/>
    </font>
    <font>
      <sz val="10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4"/>
      <color theme="1"/>
      <name val="Arial"/>
      <family val="2"/>
    </font>
    <font>
      <sz val="14"/>
      <color theme="0"/>
      <name val="Arial"/>
      <family val="2"/>
    </font>
    <font>
      <sz val="10"/>
      <name val="微软雅黑"/>
      <family val="2"/>
      <charset val="134"/>
    </font>
    <font>
      <sz val="14"/>
      <color rgb="FF212121"/>
      <name val="Arial"/>
      <family val="2"/>
    </font>
    <font>
      <sz val="12"/>
      <color theme="0"/>
      <name val="微软雅黑"/>
      <family val="2"/>
      <charset val="134"/>
    </font>
    <font>
      <sz val="1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8E8E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5" fillId="3" borderId="0" xfId="0" applyFont="1" applyFill="1" applyAlignment="1"/>
    <xf numFmtId="0" fontId="5" fillId="0" borderId="0" xfId="0" applyFont="1">
      <alignment vertical="center"/>
    </xf>
    <xf numFmtId="0" fontId="5" fillId="4" borderId="0" xfId="0" applyFont="1" applyFill="1" applyAlignment="1"/>
    <xf numFmtId="0" fontId="6" fillId="0" borderId="0" xfId="0" applyFont="1">
      <alignment vertical="center"/>
    </xf>
    <xf numFmtId="0" fontId="6" fillId="0" borderId="0" xfId="0" applyFont="1" applyFill="1" applyBorder="1" applyAlignment="1">
      <alignment horizontal="right" vertical="center"/>
    </xf>
    <xf numFmtId="180" fontId="6" fillId="2" borderId="1" xfId="0" applyNumberFormat="1" applyFont="1" applyFill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right" vertical="center"/>
    </xf>
    <xf numFmtId="179" fontId="6" fillId="0" borderId="0" xfId="0" applyNumberFormat="1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81" fontId="6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178" fontId="6" fillId="2" borderId="1" xfId="0" applyNumberFormat="1" applyFont="1" applyFill="1" applyBorder="1" applyAlignment="1">
      <alignment horizontal="right" vertical="center"/>
    </xf>
    <xf numFmtId="176" fontId="6" fillId="2" borderId="1" xfId="0" applyNumberFormat="1" applyFont="1" applyFill="1" applyBorder="1" applyAlignment="1">
      <alignment horizontal="right" vertical="center"/>
    </xf>
    <xf numFmtId="2" fontId="6" fillId="2" borderId="2" xfId="0" applyNumberFormat="1" applyFont="1" applyFill="1" applyBorder="1" applyAlignment="1">
      <alignment horizontal="right" vertical="center"/>
    </xf>
    <xf numFmtId="0" fontId="6" fillId="0" borderId="0" xfId="0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5" fillId="7" borderId="0" xfId="0" applyFont="1" applyFill="1" applyBorder="1" applyAlignment="1">
      <alignment horizontal="right"/>
    </xf>
    <xf numFmtId="176" fontId="0" fillId="0" borderId="0" xfId="0" applyNumberFormat="1">
      <alignment vertical="center"/>
    </xf>
    <xf numFmtId="43" fontId="13" fillId="7" borderId="4" xfId="1" applyFont="1" applyFill="1" applyBorder="1" applyAlignment="1">
      <alignment horizontal="right" vertical="center"/>
    </xf>
    <xf numFmtId="0" fontId="12" fillId="7" borderId="4" xfId="0" applyFont="1" applyFill="1" applyBorder="1" applyAlignment="1">
      <alignment horizontal="left" vertical="center"/>
    </xf>
    <xf numFmtId="0" fontId="14" fillId="9" borderId="0" xfId="0" applyFont="1" applyFill="1" applyBorder="1" applyAlignment="1"/>
    <xf numFmtId="0" fontId="14" fillId="6" borderId="0" xfId="0" applyFont="1" applyFill="1" applyAlignment="1"/>
    <xf numFmtId="0" fontId="15" fillId="7" borderId="0" xfId="0" applyFont="1" applyFill="1" applyBorder="1" applyAlignment="1">
      <alignment horizontal="right"/>
    </xf>
    <xf numFmtId="0" fontId="15" fillId="7" borderId="0" xfId="0" applyFont="1" applyFill="1" applyBorder="1" applyAlignment="1">
      <alignment horizontal="left"/>
    </xf>
    <xf numFmtId="0" fontId="16" fillId="7" borderId="0" xfId="0" applyFont="1" applyFill="1" applyBorder="1" applyAlignment="1">
      <alignment horizontal="right"/>
    </xf>
    <xf numFmtId="181" fontId="17" fillId="8" borderId="3" xfId="0" applyNumberFormat="1" applyFont="1" applyFill="1" applyBorder="1" applyAlignment="1">
      <alignment horizontal="right"/>
    </xf>
    <xf numFmtId="43" fontId="18" fillId="7" borderId="4" xfId="1" applyFont="1" applyFill="1" applyBorder="1" applyAlignment="1">
      <alignment horizontal="left" vertical="center"/>
    </xf>
    <xf numFmtId="181" fontId="19" fillId="7" borderId="0" xfId="0" applyNumberFormat="1" applyFont="1" applyFill="1" applyBorder="1" applyAlignment="1"/>
    <xf numFmtId="181" fontId="19" fillId="6" borderId="0" xfId="0" applyNumberFormat="1" applyFont="1" applyFill="1" applyBorder="1" applyAlignment="1"/>
    <xf numFmtId="183" fontId="19" fillId="6" borderId="0" xfId="0" applyNumberFormat="1" applyFont="1" applyFill="1" applyBorder="1" applyAlignment="1">
      <alignment horizontal="right"/>
    </xf>
    <xf numFmtId="49" fontId="16" fillId="5" borderId="0" xfId="0" applyNumberFormat="1" applyFont="1" applyFill="1" applyAlignment="1" applyProtection="1">
      <alignment horizontal="right" vertical="center"/>
      <protection locked="0"/>
    </xf>
    <xf numFmtId="182" fontId="16" fillId="5" borderId="0" xfId="0" applyNumberFormat="1" applyFont="1" applyFill="1" applyAlignment="1" applyProtection="1">
      <alignment horizontal="right" vertical="center"/>
      <protection locked="0"/>
    </xf>
    <xf numFmtId="0" fontId="20" fillId="3" borderId="5" xfId="0" applyFont="1" applyFill="1" applyBorder="1" applyAlignment="1">
      <alignment horizontal="right" vertical="center"/>
    </xf>
    <xf numFmtId="179" fontId="21" fillId="3" borderId="0" xfId="0" applyNumberFormat="1" applyFont="1" applyFill="1" applyBorder="1" applyAlignment="1">
      <alignment horizontal="right" vertical="center"/>
    </xf>
    <xf numFmtId="43" fontId="16" fillId="5" borderId="0" xfId="1" applyFont="1" applyFill="1" applyAlignment="1" applyProtection="1">
      <alignment horizontal="right" vertical="center"/>
      <protection locked="0"/>
    </xf>
    <xf numFmtId="43" fontId="17" fillId="8" borderId="3" xfId="1" applyFont="1" applyFill="1" applyBorder="1" applyAlignment="1">
      <alignment horizontal="right"/>
    </xf>
    <xf numFmtId="0" fontId="3" fillId="3" borderId="0" xfId="0" applyFont="1" applyFill="1" applyAlignment="1">
      <alignment horizontal="center" vertical="center"/>
    </xf>
    <xf numFmtId="183" fontId="19" fillId="6" borderId="0" xfId="0" applyNumberFormat="1" applyFont="1" applyFill="1" applyBorder="1" applyAlignment="1">
      <alignment horizontal="right"/>
    </xf>
    <xf numFmtId="181" fontId="6" fillId="2" borderId="7" xfId="0" applyNumberFormat="1" applyFont="1" applyFill="1" applyBorder="1" applyAlignment="1">
      <alignment horizontal="right" vertical="center"/>
    </xf>
    <xf numFmtId="177" fontId="6" fillId="2" borderId="6" xfId="0" applyNumberFormat="1" applyFont="1" applyFill="1" applyBorder="1" applyAlignment="1">
      <alignment horizontal="right" vertical="center"/>
    </xf>
    <xf numFmtId="176" fontId="6" fillId="2" borderId="2" xfId="0" applyNumberFormat="1" applyFont="1" applyFill="1" applyBorder="1" applyAlignment="1">
      <alignment horizontal="right" vertical="center"/>
    </xf>
    <xf numFmtId="49" fontId="16" fillId="5" borderId="0" xfId="0" applyNumberFormat="1" applyFont="1" applyFill="1" applyBorder="1" applyAlignment="1" applyProtection="1">
      <alignment horizontal="right" vertical="center"/>
      <protection locked="0"/>
    </xf>
    <xf numFmtId="0" fontId="14" fillId="6" borderId="0" xfId="0" applyFont="1" applyFill="1" applyBorder="1" applyAlignment="1"/>
    <xf numFmtId="176" fontId="6" fillId="2" borderId="8" xfId="0" applyNumberFormat="1" applyFont="1" applyFill="1" applyBorder="1" applyAlignment="1">
      <alignment horizontal="right" vertical="center"/>
    </xf>
    <xf numFmtId="178" fontId="6" fillId="2" borderId="5" xfId="0" applyNumberFormat="1" applyFont="1" applyFill="1" applyBorder="1" applyAlignment="1">
      <alignment horizontal="righ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113886</xdr:colOff>
      <xdr:row>0</xdr:row>
      <xdr:rowOff>67917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86" y="67917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b_anal_accrint_cnbd"/>
      <definedName name="b_anal_accrint_csi"/>
      <definedName name="b_anal_cnvxty_cnbd"/>
      <definedName name="b_anal_cnvxty_csi1"/>
      <definedName name="b_anal_dirty_cnbd"/>
      <definedName name="b_anal_dirty_csi1"/>
      <definedName name="b_anal_matu_cnbd"/>
      <definedName name="b_anal_modidura_cnbd"/>
      <definedName name="b_anal_modidura_csi1"/>
      <definedName name="b_anal_net_cnbd"/>
      <definedName name="b_anal_net_csi1"/>
      <definedName name="b_anal_vobp_cnbd"/>
      <definedName name="b_anal_yield_cnbd"/>
      <definedName name="b_anal_yield_csi1"/>
      <definedName name="b_calc_accrued"/>
      <definedName name="b_calc_conv"/>
      <definedName name="b_calc_duration"/>
      <definedName name="b_calc_mduration"/>
      <definedName name="b_calc_pv"/>
      <definedName name="b_calc_pvbp"/>
      <definedName name="b_calc_ytm"/>
      <definedName name="b_info_name"/>
      <definedName name="b_info_termnote1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W47"/>
  <sheetViews>
    <sheetView showGridLines="0" tabSelected="1" zoomScaleNormal="100" workbookViewId="0">
      <selection activeCell="A36" sqref="A36"/>
    </sheetView>
  </sheetViews>
  <sheetFormatPr defaultRowHeight="14.25"/>
  <cols>
    <col min="1" max="1" width="2.625" customWidth="1"/>
    <col min="2" max="2" width="1.5" style="4" customWidth="1"/>
    <col min="3" max="4" width="30.625" style="4" customWidth="1"/>
    <col min="5" max="8" width="20.625" style="4" customWidth="1"/>
    <col min="9" max="9" width="1.5" style="4" customWidth="1"/>
    <col min="10" max="10" width="2.625" customWidth="1"/>
    <col min="11" max="17" width="9" style="4"/>
    <col min="18" max="18" width="9" style="4" customWidth="1"/>
    <col min="19" max="19" width="11.125" style="4" hidden="1" customWidth="1"/>
    <col min="20" max="23" width="10.875" style="4" hidden="1" customWidth="1"/>
    <col min="24" max="24" width="9" style="4" customWidth="1"/>
    <col min="25" max="16384" width="9" style="4"/>
  </cols>
  <sheetData>
    <row r="1" spans="1:10" s="2" customFormat="1" ht="27.75">
      <c r="A1" s="1"/>
      <c r="B1" s="1"/>
      <c r="C1" s="16"/>
      <c r="D1" s="37" t="s">
        <v>27</v>
      </c>
      <c r="E1" s="37"/>
      <c r="F1" s="37"/>
      <c r="G1" s="33" t="s">
        <v>28</v>
      </c>
      <c r="H1" s="34">
        <f ca="1">[1]!TDaysOffset(D5,"TradingCalendar=NIB","Offset=-1")</f>
        <v>45425</v>
      </c>
      <c r="I1" s="16"/>
      <c r="J1" s="16"/>
    </row>
    <row r="2" spans="1:10" s="2" customFormat="1" ht="12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s="2" customFormat="1" ht="10.5" customHeight="1">
      <c r="A3" s="3"/>
      <c r="B3" s="17"/>
      <c r="C3" s="17"/>
      <c r="D3" s="17"/>
      <c r="E3" s="17"/>
      <c r="F3" s="17"/>
      <c r="G3" s="17"/>
      <c r="H3" s="17"/>
      <c r="I3" s="17"/>
      <c r="J3" s="3"/>
    </row>
    <row r="4" spans="1:10" s="2" customFormat="1" ht="21">
      <c r="A4" s="3"/>
      <c r="B4" s="17"/>
      <c r="C4" s="21" t="s">
        <v>11</v>
      </c>
      <c r="D4" s="31" t="s">
        <v>5</v>
      </c>
      <c r="E4" s="38" t="str">
        <f>[1]!b_info_name(D4)</f>
        <v>20潍坊03</v>
      </c>
      <c r="F4" s="38"/>
      <c r="G4" s="17"/>
      <c r="H4" s="17"/>
      <c r="I4" s="17"/>
      <c r="J4" s="3"/>
    </row>
    <row r="5" spans="1:10" s="2" customFormat="1" ht="21">
      <c r="A5" s="3"/>
      <c r="B5" s="17"/>
      <c r="C5" s="22" t="s">
        <v>12</v>
      </c>
      <c r="D5" s="32">
        <f ca="1">TODAY()</f>
        <v>45426</v>
      </c>
      <c r="E5" s="30"/>
      <c r="F5" s="30"/>
      <c r="G5" s="17"/>
      <c r="H5" s="17"/>
      <c r="I5" s="17"/>
      <c r="J5" s="3"/>
    </row>
    <row r="6" spans="1:10" s="2" customFormat="1" ht="21">
      <c r="A6" s="3"/>
      <c r="B6" s="17"/>
      <c r="C6" s="21" t="s">
        <v>13</v>
      </c>
      <c r="D6" s="42" t="s">
        <v>30</v>
      </c>
      <c r="E6" s="30"/>
      <c r="F6" s="30"/>
      <c r="G6" s="17"/>
      <c r="H6" s="17"/>
      <c r="I6" s="17"/>
      <c r="J6" s="3"/>
    </row>
    <row r="7" spans="1:10" s="2" customFormat="1" ht="21">
      <c r="A7" s="3"/>
      <c r="B7" s="17"/>
      <c r="C7" s="43" t="str">
        <f>D6&amp;"值："</f>
        <v>净价值：</v>
      </c>
      <c r="D7" s="35">
        <v>98</v>
      </c>
      <c r="E7" s="30"/>
      <c r="F7" s="30"/>
      <c r="G7" s="17"/>
      <c r="H7" s="17"/>
      <c r="I7" s="17"/>
      <c r="J7" s="3"/>
    </row>
    <row r="8" spans="1:10" s="2" customFormat="1" ht="21">
      <c r="A8" s="3"/>
      <c r="B8" s="17"/>
      <c r="C8" s="21" t="s">
        <v>14</v>
      </c>
      <c r="D8" s="35">
        <v>600</v>
      </c>
      <c r="E8" s="30"/>
      <c r="F8" s="30"/>
      <c r="G8" s="17"/>
      <c r="H8" s="17"/>
      <c r="I8" s="17"/>
      <c r="J8" s="3"/>
    </row>
    <row r="9" spans="1:10" s="2" customFormat="1" ht="10.5" customHeight="1">
      <c r="A9" s="3"/>
      <c r="B9" s="17"/>
      <c r="C9" s="23"/>
      <c r="D9" s="25"/>
      <c r="E9" s="17"/>
      <c r="F9" s="17"/>
      <c r="G9" s="17"/>
      <c r="H9" s="17"/>
      <c r="I9" s="17"/>
      <c r="J9" s="3"/>
    </row>
    <row r="10" spans="1:10" s="2" customFormat="1" ht="20.25">
      <c r="A10" s="3"/>
      <c r="B10" s="17"/>
      <c r="C10" s="20" t="s">
        <v>6</v>
      </c>
      <c r="D10" s="19"/>
      <c r="E10" s="19"/>
      <c r="F10" s="19"/>
      <c r="I10" s="17"/>
      <c r="J10" s="3"/>
    </row>
    <row r="11" spans="1:10" s="2" customFormat="1" ht="9.9499999999999993" customHeight="1">
      <c r="A11" s="3"/>
      <c r="B11" s="17"/>
      <c r="C11" s="24"/>
      <c r="D11" s="25"/>
      <c r="E11" s="17"/>
      <c r="F11" s="17"/>
      <c r="G11" s="17"/>
      <c r="H11" s="17"/>
      <c r="I11" s="17"/>
      <c r="J11" s="3"/>
    </row>
    <row r="12" spans="1:10" s="2" customFormat="1" ht="20.25">
      <c r="A12" s="3"/>
      <c r="B12" s="17"/>
      <c r="C12" s="27"/>
      <c r="D12" s="27" t="s">
        <v>26</v>
      </c>
      <c r="E12" s="27" t="s">
        <v>22</v>
      </c>
      <c r="F12" s="27" t="s">
        <v>23</v>
      </c>
      <c r="G12" s="27" t="s">
        <v>24</v>
      </c>
      <c r="H12" s="27" t="s">
        <v>25</v>
      </c>
      <c r="I12" s="17"/>
      <c r="J12" s="3"/>
    </row>
    <row r="13" spans="1:10" s="2" customFormat="1" ht="21">
      <c r="A13" s="3"/>
      <c r="B13" s="17"/>
      <c r="C13" s="21" t="s">
        <v>7</v>
      </c>
      <c r="D13" s="26" t="str">
        <f ca="1">S37</f>
        <v>1.2213</v>
      </c>
      <c r="E13" s="28">
        <f t="shared" ref="E13:F13" ca="1" si="0">T37</f>
        <v>1.2213000000000001</v>
      </c>
      <c r="F13" s="28">
        <f t="shared" ca="1" si="0"/>
        <v>1.2213000000000001</v>
      </c>
      <c r="G13" s="28"/>
      <c r="H13" s="28"/>
      <c r="I13" s="17"/>
      <c r="J13" s="3"/>
    </row>
    <row r="14" spans="1:10" s="2" customFormat="1" ht="21">
      <c r="A14" s="3"/>
      <c r="B14" s="17"/>
      <c r="C14" s="22" t="s">
        <v>8</v>
      </c>
      <c r="D14" s="26">
        <f t="shared" ref="D14:D23" ca="1" si="1">S38</f>
        <v>97.999999999999844</v>
      </c>
      <c r="E14" s="29">
        <f t="shared" ref="E14:E22" ca="1" si="2">T38</f>
        <v>103.97750000000001</v>
      </c>
      <c r="F14" s="29">
        <f t="shared" ref="F14:F22" ca="1" si="3">U38</f>
        <v>103.97750000000001</v>
      </c>
      <c r="G14" s="29">
        <f t="shared" ref="G14:G21" ca="1" si="4">V38</f>
        <v>103.9284</v>
      </c>
      <c r="H14" s="29">
        <f t="shared" ref="H14:H21" ca="1" si="5">W38</f>
        <v>103.9284</v>
      </c>
      <c r="I14" s="17"/>
      <c r="J14" s="3"/>
    </row>
    <row r="15" spans="1:10" s="2" customFormat="1" ht="21">
      <c r="A15" s="3"/>
      <c r="B15" s="17"/>
      <c r="C15" s="21" t="s">
        <v>15</v>
      </c>
      <c r="D15" s="26">
        <f t="shared" ca="1" si="1"/>
        <v>102.60684931506833</v>
      </c>
      <c r="E15" s="28">
        <f t="shared" ca="1" si="2"/>
        <v>108.5682</v>
      </c>
      <c r="F15" s="28">
        <f t="shared" ca="1" si="3"/>
        <v>108.5682</v>
      </c>
      <c r="G15" s="28">
        <f t="shared" ca="1" si="4"/>
        <v>108.5352</v>
      </c>
      <c r="H15" s="28">
        <f t="shared" ca="1" si="5"/>
        <v>108.5352</v>
      </c>
      <c r="I15" s="17"/>
      <c r="J15" s="3"/>
    </row>
    <row r="16" spans="1:10" s="2" customFormat="1" ht="21">
      <c r="A16" s="3"/>
      <c r="B16" s="17"/>
      <c r="C16" s="22" t="s">
        <v>16</v>
      </c>
      <c r="D16" s="26">
        <f t="shared" ca="1" si="1"/>
        <v>4.6068493150684935</v>
      </c>
      <c r="E16" s="29">
        <f t="shared" ca="1" si="2"/>
        <v>4.5907</v>
      </c>
      <c r="F16" s="29">
        <f t="shared" ca="1" si="3"/>
        <v>4.5907</v>
      </c>
      <c r="G16" s="29">
        <f t="shared" ca="1" si="4"/>
        <v>4.6067999999999998</v>
      </c>
      <c r="H16" s="29">
        <f t="shared" ca="1" si="5"/>
        <v>4.6067999999999998</v>
      </c>
      <c r="I16" s="17"/>
      <c r="J16" s="3"/>
    </row>
    <row r="17" spans="1:19" s="2" customFormat="1" ht="21">
      <c r="A17" s="3"/>
      <c r="B17" s="17"/>
      <c r="C17" s="21" t="s">
        <v>17</v>
      </c>
      <c r="D17" s="26">
        <f t="shared" ca="1" si="1"/>
        <v>7.6321491056043449</v>
      </c>
      <c r="E17" s="28">
        <f t="shared" ca="1" si="2"/>
        <v>2.5421</v>
      </c>
      <c r="F17" s="28"/>
      <c r="G17" s="28">
        <f t="shared" ca="1" si="4"/>
        <v>2.5688</v>
      </c>
      <c r="H17" s="28"/>
      <c r="I17" s="17"/>
      <c r="J17" s="3"/>
    </row>
    <row r="18" spans="1:19" s="2" customFormat="1" ht="21">
      <c r="A18" s="3"/>
      <c r="B18" s="17"/>
      <c r="C18" s="22" t="s">
        <v>18</v>
      </c>
      <c r="D18" s="26">
        <f ca="1">S42</f>
        <v>0</v>
      </c>
      <c r="E18" s="29"/>
      <c r="F18" s="29">
        <f t="shared" ca="1" si="3"/>
        <v>2.5421</v>
      </c>
      <c r="G18" s="29"/>
      <c r="H18" s="29">
        <f t="shared" ca="1" si="5"/>
        <v>2.5688</v>
      </c>
      <c r="I18" s="17"/>
      <c r="J18" s="3"/>
    </row>
    <row r="19" spans="1:19" s="2" customFormat="1" ht="21">
      <c r="A19" s="3"/>
      <c r="B19" s="17"/>
      <c r="C19" s="21" t="s">
        <v>19</v>
      </c>
      <c r="D19" s="26">
        <f t="shared" ca="1" si="1"/>
        <v>1.1653451821763698</v>
      </c>
      <c r="E19" s="28"/>
      <c r="F19" s="28"/>
      <c r="G19" s="28"/>
      <c r="H19" s="28"/>
      <c r="I19" s="17"/>
      <c r="J19" s="3"/>
    </row>
    <row r="20" spans="1:19" s="2" customFormat="1" ht="21">
      <c r="A20" s="3"/>
      <c r="B20" s="17"/>
      <c r="C20" s="22" t="s">
        <v>20</v>
      </c>
      <c r="D20" s="26">
        <f t="shared" ca="1" si="1"/>
        <v>1.0827115536873941</v>
      </c>
      <c r="E20" s="29">
        <f t="shared" ca="1" si="2"/>
        <v>1.1389</v>
      </c>
      <c r="F20" s="29">
        <f t="shared" ca="1" si="3"/>
        <v>1.1389</v>
      </c>
      <c r="G20" s="29">
        <f t="shared" ca="1" si="4"/>
        <v>1.1386000000000001</v>
      </c>
      <c r="H20" s="29">
        <f t="shared" ca="1" si="5"/>
        <v>1.1386000000000001</v>
      </c>
      <c r="I20" s="17"/>
      <c r="J20" s="3"/>
    </row>
    <row r="21" spans="1:19" s="2" customFormat="1" ht="21">
      <c r="A21" s="3"/>
      <c r="B21" s="17"/>
      <c r="C21" s="21" t="s">
        <v>10</v>
      </c>
      <c r="D21" s="26">
        <f t="shared" ca="1" si="1"/>
        <v>2.2241739003083767</v>
      </c>
      <c r="E21" s="28">
        <f t="shared" ca="1" si="2"/>
        <v>2.4565000000000001</v>
      </c>
      <c r="F21" s="28">
        <f t="shared" ca="1" si="3"/>
        <v>2.4565000000000001</v>
      </c>
      <c r="G21" s="28">
        <f t="shared" ca="1" si="4"/>
        <v>1.2276</v>
      </c>
      <c r="H21" s="28">
        <f t="shared" ca="1" si="5"/>
        <v>1.2276</v>
      </c>
      <c r="I21" s="17"/>
      <c r="J21" s="3"/>
    </row>
    <row r="22" spans="1:19" s="2" customFormat="1" ht="21">
      <c r="A22" s="3"/>
      <c r="B22" s="17"/>
      <c r="C22" s="22" t="s">
        <v>9</v>
      </c>
      <c r="D22" s="26">
        <f t="shared" ca="1" si="1"/>
        <v>1.1107731651819108E-2</v>
      </c>
      <c r="E22" s="29">
        <f t="shared" ca="1" si="2"/>
        <v>1.24E-2</v>
      </c>
      <c r="F22" s="29">
        <f t="shared" ca="1" si="3"/>
        <v>1.24E-2</v>
      </c>
      <c r="G22" s="29"/>
      <c r="H22" s="29"/>
      <c r="I22" s="17"/>
      <c r="J22" s="3"/>
    </row>
    <row r="23" spans="1:19" s="2" customFormat="1" ht="21">
      <c r="A23" s="3"/>
      <c r="B23" s="17"/>
      <c r="C23" s="21" t="s">
        <v>21</v>
      </c>
      <c r="D23" s="36">
        <f t="shared" ca="1" si="1"/>
        <v>6156410.9589041099</v>
      </c>
      <c r="E23" s="28"/>
      <c r="F23" s="28"/>
      <c r="G23" s="28"/>
      <c r="H23" s="28"/>
      <c r="I23" s="17"/>
      <c r="J23" s="3"/>
    </row>
    <row r="24" spans="1:19" ht="9.9499999999999993" customHeight="1">
      <c r="A24" s="3"/>
      <c r="B24" s="17"/>
      <c r="C24" s="17"/>
      <c r="D24" s="17"/>
      <c r="E24" s="17"/>
      <c r="F24" s="17"/>
      <c r="G24" s="17"/>
      <c r="H24" s="17"/>
      <c r="I24" s="17"/>
      <c r="J24" s="3"/>
    </row>
    <row r="25" spans="1:19" ht="2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9" ht="2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9" ht="20.25">
      <c r="A27" s="3"/>
      <c r="B27" s="3"/>
      <c r="C27" s="3"/>
      <c r="D27" s="3"/>
      <c r="E27" s="3"/>
      <c r="F27" s="3"/>
      <c r="G27" s="3"/>
      <c r="H27" s="3"/>
      <c r="I27" s="3"/>
      <c r="J27" s="3"/>
      <c r="S27" s="5" t="s">
        <v>3</v>
      </c>
    </row>
    <row r="28" spans="1:19" ht="20.25">
      <c r="A28" s="3"/>
      <c r="B28" s="3"/>
      <c r="C28" s="3"/>
      <c r="D28" s="3"/>
      <c r="E28" s="3"/>
      <c r="F28" s="3"/>
      <c r="G28" s="3"/>
      <c r="H28" s="3"/>
      <c r="I28" s="3"/>
      <c r="J28" s="3"/>
      <c r="S28" s="5" t="s">
        <v>0</v>
      </c>
    </row>
    <row r="29" spans="1:19" ht="20.25">
      <c r="A29" s="3"/>
      <c r="B29" s="3"/>
      <c r="C29" s="3"/>
      <c r="D29" s="3"/>
      <c r="E29" s="3"/>
      <c r="F29" s="3"/>
      <c r="G29" s="3"/>
      <c r="H29" s="3"/>
      <c r="I29" s="3"/>
      <c r="J29" s="3"/>
      <c r="S29" s="5" t="s">
        <v>1</v>
      </c>
    </row>
    <row r="30" spans="1:19" ht="20.25">
      <c r="A30" s="3"/>
      <c r="B30" s="3"/>
      <c r="C30" s="3"/>
      <c r="D30" s="3"/>
      <c r="E30" s="3"/>
      <c r="F30" s="3"/>
      <c r="G30" s="3"/>
      <c r="H30" s="3"/>
      <c r="I30" s="3"/>
      <c r="J30" s="3"/>
      <c r="S30" s="5" t="s">
        <v>2</v>
      </c>
    </row>
    <row r="31" spans="1:19" ht="2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9" ht="2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23">
      <c r="A33" s="18"/>
    </row>
    <row r="34" spans="1:23">
      <c r="S34" s="11" t="s">
        <v>4</v>
      </c>
      <c r="T34" s="8">
        <f ca="1">H1</f>
        <v>45425</v>
      </c>
    </row>
    <row r="37" spans="1:23">
      <c r="S37" s="6" t="str">
        <f ca="1">[1]!b_info_termnote1(D4,D5)</f>
        <v>1.2213</v>
      </c>
      <c r="T37" s="10">
        <f ca="1">IF(OR([1]!b_anal_matu_cnbd($D$4,$D$5,4)={"0","#N/A","",0}),[1]!b_anal_matu_cnbd($D$4,T34,4),[1]!b_anal_matu_cnbd($D$4,$D$5,4))</f>
        <v>1.2213000000000001</v>
      </c>
      <c r="U37" s="10">
        <f ca="1">IF(OR([1]!b_anal_matu_cnbd($D$4,$D$5,3)={"0","#N/A","",0}),[1]!b_anal_matu_cnbd($D$4,T34,3),[1]!b_anal_matu_cnbd($D$4,$D$5,3))</f>
        <v>1.2213000000000001</v>
      </c>
      <c r="V37" s="10"/>
      <c r="W37" s="10"/>
    </row>
    <row r="38" spans="1:23">
      <c r="I38" s="9"/>
      <c r="S38" s="12">
        <f ca="1">[1]!b_calc_pv(D4,D5,S41,"1",1)</f>
        <v>97.999999999999844</v>
      </c>
      <c r="T38" s="10">
        <f ca="1">IF(OR([1]!b_anal_net_cnbd($D$4,$D$5,4) ={"0","#N/A","",0}),[1]!b_anal_net_cnbd($D$4,T34,4),[1]!b_anal_net_cnbd($D$4,$D$5,4) )</f>
        <v>103.97750000000001</v>
      </c>
      <c r="U38" s="10">
        <f ca="1">IF(OR([1]!b_anal_net_cnbd($D$4,$D$5,3) ={"0","#N/A","",0}),[1]!b_anal_net_cnbd($D$4,T34,3),[1]!b_anal_net_cnbd($D$4,$D$5,3) )</f>
        <v>103.97750000000001</v>
      </c>
      <c r="V38" s="10">
        <f ca="1">IF(OR([1]!b_anal_net_csi1($D$4,$D$5,4)={"0","#N/A","",0}),[1]!b_anal_net_csi1($D$4,T34,4),[1]!b_anal_net_csi1($D$4,$D$5,4) )</f>
        <v>103.9284</v>
      </c>
      <c r="W38" s="10">
        <f ca="1">IF(OR([1]!b_anal_net_csi1($D$4,$D$5,3)={"0","#N/A","",0}),[1]!b_anal_net_csi1($D$4,T34,3),[1]!b_anal_net_csi1($D$4,$D$5,3) )</f>
        <v>103.9284</v>
      </c>
    </row>
    <row r="39" spans="1:23">
      <c r="S39" s="12">
        <f ca="1">[1]!b_calc_pv(D4,D5,S41,"1",2)</f>
        <v>102.60684931506833</v>
      </c>
      <c r="T39" s="10">
        <f ca="1">IF(OR([1]!b_anal_dirty_cnbd($D$4,$D$5,4)={"0","#N/A","",0}),[1]!b_anal_dirty_cnbd($D$4,T34,4),[1]!b_anal_dirty_cnbd($D$4,$D$5,4))</f>
        <v>108.5682</v>
      </c>
      <c r="U39" s="10">
        <f ca="1">IF(OR([1]!b_anal_dirty_cnbd($D$4,$D$5,3)={"0","#N/A","",0}),[1]!b_anal_dirty_cnbd($D$4,T34,3),[1]!b_anal_dirty_cnbd($D$4,$D$5,3))</f>
        <v>108.5682</v>
      </c>
      <c r="V39" s="10">
        <f ca="1">IF(OR([1]!b_anal_dirty_csi1($D$4,$D$5,4)={"0","#N/A","",0}),[1]!b_anal_dirty_csi1($D$4,T34,4),[1]!b_anal_dirty_csi1($D$4,$D$5,4) )</f>
        <v>108.5352</v>
      </c>
      <c r="W39" s="10">
        <f ca="1">IF(OR([1]!b_anal_dirty_csi1($D$4,$D$5,3)={"0","#N/A","",0}),[1]!b_anal_dirty_csi1($D$4,T34,3),[1]!b_anal_dirty_csi1($D$4,$D$5,3) )</f>
        <v>108.5352</v>
      </c>
    </row>
    <row r="40" spans="1:23">
      <c r="I40" s="9"/>
      <c r="S40" s="40">
        <f ca="1">[1]!b_calc_accrued(D4,D5,"",,,,"",)</f>
        <v>4.6068493150684935</v>
      </c>
      <c r="T40" s="10">
        <f ca="1">IF(OR([1]!b_anal_accrint_cnbd($D$4,$D$5,4)={"0","#N/A","",0}),[1]!b_anal_accrint_cnbd($D$4,T34,4),[1]!b_anal_accrint_cnbd($D$4,$D$5,4))</f>
        <v>4.5907</v>
      </c>
      <c r="U40" s="10">
        <f ca="1">IF(OR([1]!b_anal_accrint_cnbd($D$4,$D$5,3)={"0","#N/A","",0}),[1]!b_anal_accrint_cnbd($D$4,T34,3),[1]!b_anal_accrint_cnbd($D$4,$D$5,3))</f>
        <v>4.5907</v>
      </c>
      <c r="V40" s="10">
        <f ca="1">IF(OR([1]!b_anal_accrint_csi($D$4,$D$5)={"0","#N/A","",0}),[1]!b_anal_accrint_csi($D$4,T34),[1]!b_anal_accrint_csi($D$4,$D$5) )</f>
        <v>4.6067999999999998</v>
      </c>
      <c r="W40" s="10">
        <f ca="1">IF(OR([1]!b_anal_accrint_csi($D$4,$D$5)={"0","#N/A","",0}),[1]!b_anal_accrint_csi($D$4,T34),[1]!b_anal_accrint_csi($D$4,$D$5) )</f>
        <v>4.6067999999999998</v>
      </c>
    </row>
    <row r="41" spans="1:23">
      <c r="S41" s="44">
        <f ca="1">IF(D6="净价",[1]!b_calc_ytm(D4,D5,D7,1,"1"),IF(D6="全价",[1]!b_calc_ytm(D4,D5,D7,2,"1"),IF(D6="到期收益率",D7,[1]!b_calc_ytm(D4,D5,[1]!b_calc_pv(D4,D5,D7,"2",2),2,"1"))))</f>
        <v>7.6321491056043449</v>
      </c>
      <c r="T41" s="39">
        <f ca="1">IF(OR([1]!b_anal_yield_cnbd($D$4,$D$5,4)={"0","#N/A","",0}),[1]!b_anal_yield_cnbd($D$4,T34,4),[1]!b_anal_yield_cnbd($D$4,$D$5,4))</f>
        <v>2.5421</v>
      </c>
      <c r="U41" s="10"/>
      <c r="V41" s="10">
        <f ca="1">IF(OR([1]!b_anal_yield_csi1($D$4,$D$5,4)={"0","#N/A","",0}),[1]!b_anal_yield_csi1($D$4,T34,4),[1]!b_anal_yield_csi1($D$4,$D$5,4) )</f>
        <v>2.5688</v>
      </c>
      <c r="W41" s="10"/>
    </row>
    <row r="42" spans="1:23">
      <c r="S42" s="45">
        <f ca="1">IF(D6="净价",[1]!b_calc_ytm(D4,D5,D7,1,"2"),IF(D6="全价",[1]!b_calc_ytm(D4,D5,D7,2,"2"),IF(D6="行权收益率",D7,[1]!b_calc_ytm(D4,D5,[1]!b_calc_pv(D4,D5,D7,"1",2),2,"2"))))</f>
        <v>0</v>
      </c>
      <c r="T42" s="39"/>
      <c r="U42" s="10">
        <f ca="1">IF(OR([1]!b_anal_yield_cnbd($D$4,$D$5,3)={"0","#N/A","",0}),[1]!b_anal_yield_cnbd($D$4,T34,3),[1]!b_anal_yield_cnbd($D$4,$D$5,3))</f>
        <v>2.5421</v>
      </c>
      <c r="V42" s="10"/>
      <c r="W42" s="10">
        <f ca="1">IF(OR([1]!b_anal_yield_csi1($D$4,$D$5,3)={"0","#N/A","",0}),[1]!b_anal_yield_csi1($D$4,T34,3),[1]!b_anal_yield_csi1($D$4,$D$5,3) )</f>
        <v>2.5688</v>
      </c>
    </row>
    <row r="43" spans="1:23">
      <c r="S43" s="41">
        <f ca="1">[1]!b_calc_duration(D4,D5,S41,"",,,,"",)</f>
        <v>1.1653451821763698</v>
      </c>
      <c r="T43" s="10"/>
      <c r="U43" s="10"/>
      <c r="V43" s="10"/>
      <c r="W43" s="10"/>
    </row>
    <row r="44" spans="1:23">
      <c r="S44" s="13">
        <f ca="1">[1]!b_calc_mduration(D4,D5,S41,"",,,,"",)</f>
        <v>1.0827115536873941</v>
      </c>
      <c r="T44" s="10">
        <f ca="1">IF(OR([1]!b_anal_modidura_cnbd($D$4,$D$5,4)={"0","#N/A","",0}),[1]!b_anal_modidura_cnbd($D$4,T34,4),[1]!b_anal_modidura_cnbd($D$4,$D$5,4))</f>
        <v>1.1389</v>
      </c>
      <c r="U44" s="10">
        <f ca="1">IF(OR([1]!b_anal_modidura_cnbd($D$4,$D$5,3)={"0","#N/A","",0}),[1]!b_anal_modidura_cnbd($D$4,T34,3),[1]!b_anal_modidura_cnbd($D$4,$D$5,3))</f>
        <v>1.1389</v>
      </c>
      <c r="V44" s="10">
        <f ca="1">IF(OR([1]!b_anal_modidura_csi1($D$4,$D$5,4)={"0","#N/A","",0}),[1]!b_anal_modidura_csi1($D$4,T34,4),[1]!b_anal_modidura_csi1($D$4,$D$5,4))</f>
        <v>1.1386000000000001</v>
      </c>
      <c r="W44" s="10">
        <f ca="1">IF(OR([1]!b_anal_modidura_csi1($D$4,$D$5,3)={"0","#N/A","",0}),[1]!b_anal_modidura_csi1($D$4,T34,3),[1]!b_anal_modidura_csi1($D$4,$D$5,3))</f>
        <v>1.1386000000000001</v>
      </c>
    </row>
    <row r="45" spans="1:23">
      <c r="S45" s="13">
        <f ca="1">[1]!b_calc_conv(D4,D5,S41,"",,,,"",)</f>
        <v>2.2241739003083767</v>
      </c>
      <c r="T45" s="10">
        <f ca="1">IF(OR([1]!b_anal_cnvxty_cnbd($D$4,$D$5,4)={"0","#N/A","",0}),[1]!b_anal_cnvxty_cnbd($D$4,T34,4),[1]!b_anal_cnvxty_cnbd($D$4,$D$5,4))</f>
        <v>2.4565000000000001</v>
      </c>
      <c r="U45" s="10">
        <f ca="1">IF(OR([1]!b_anal_cnvxty_cnbd($D$4,$D$5,3)={"0","#N/A","",0}),[1]!b_anal_cnvxty_cnbd($D$4,T34,3),[1]!b_anal_cnvxty_cnbd($D$4,$D$5,3))</f>
        <v>2.4565000000000001</v>
      </c>
      <c r="V45" s="10">
        <f ca="1">IF(OR([1]!b_anal_cnvxty_csi1($D$4,$D$5,4)={"0","#N/A","",0}),[1]!b_anal_cnvxty_csi1($D$4,T34,4),[1]!b_anal_cnvxty_csi1($D$4,$D$5,4))</f>
        <v>1.2276</v>
      </c>
      <c r="W45" s="10">
        <f ca="1">IF(OR([1]!b_anal_cnvxty_csi1($D$4,$D$5,3)={"0","#N/A","",0}),[1]!b_anal_cnvxty_csi1($D$4,T34,3),[1]!b_anal_cnvxty_csi1($D$4,$D$5,3))</f>
        <v>1.2276</v>
      </c>
    </row>
    <row r="46" spans="1:23">
      <c r="S46" s="13">
        <f ca="1">[1]!b_calc_pvbp(D4,D5,S41,"",,,,"",)</f>
        <v>1.1107731651819108E-2</v>
      </c>
      <c r="T46" s="10">
        <f ca="1">IF(OR([1]!b_anal_vobp_cnbd($D$4,$D$5,4)={"0","#N/A","",0}),[1]!b_anal_vobp_cnbd($D$4,T34,4),[1]!b_anal_vobp_cnbd($D$4,$D$5,4))</f>
        <v>1.24E-2</v>
      </c>
      <c r="U46" s="10">
        <f ca="1">IF(OR([1]!b_anal_vobp_cnbd($D$4,$D$5,3)={"0","#N/A","",0}),[1]!b_anal_vobp_cnbd($D$4,T34,3),[1]!b_anal_vobp_cnbd($D$4,$D$5,3))</f>
        <v>1.24E-2</v>
      </c>
      <c r="V46" s="7"/>
      <c r="W46" s="7"/>
    </row>
    <row r="47" spans="1:23">
      <c r="S47" s="14">
        <f ca="1">(ROUND(S38,4)+S40)*D8*100</f>
        <v>6156410.9589041099</v>
      </c>
      <c r="T47" s="15"/>
      <c r="U47" s="15"/>
      <c r="V47" s="15"/>
      <c r="W47" s="15"/>
    </row>
  </sheetData>
  <mergeCells count="2">
    <mergeCell ref="D1:F1"/>
    <mergeCell ref="E4:F4"/>
  </mergeCells>
  <phoneticPr fontId="1" type="noConversion"/>
  <dataValidations count="1">
    <dataValidation type="list" allowBlank="1" showInputMessage="1" showErrorMessage="1" sqref="D6">
      <formula1>"净价,全价,到期收益率,行权收益率"</formula1>
    </dataValidation>
  </dataValidations>
  <pageMargins left="0.7" right="0.7" top="0.75" bottom="0.75" header="0.3" footer="0.3"/>
  <pageSetup paperSize="9" orientation="portrait" r:id="rId1"/>
  <ignoredErrors>
    <ignoredError sqref="D5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A10" sqref="A10"/>
    </sheetView>
  </sheetViews>
  <sheetFormatPr defaultRowHeight="14.25"/>
  <sheetData>
    <row r="1" spans="1:1">
      <c r="A1" t="s">
        <v>29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BC1四合一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Yang(Lucine)</dc:creator>
  <cp:lastModifiedBy>Cui YongQiang</cp:lastModifiedBy>
  <dcterms:created xsi:type="dcterms:W3CDTF">2023-06-13T05:15:05Z</dcterms:created>
  <dcterms:modified xsi:type="dcterms:W3CDTF">2024-05-14T09:44:17Z</dcterms:modified>
</cp:coreProperties>
</file>