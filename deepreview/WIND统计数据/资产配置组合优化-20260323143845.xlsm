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qtcai\SVN\Docs\2023_11_22 资配接口标准化\"/>
    </mc:Choice>
  </mc:AlternateContent>
  <bookViews>
    <workbookView xWindow="0" yWindow="0" windowWidth="24225" windowHeight="12540"/>
  </bookViews>
  <sheets>
    <sheet name="组合优化" sheetId="1" r:id="rId1"/>
    <sheet name="使用说明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T66" i="1" l="1"/>
  <c r="T65" i="1"/>
  <c r="T64" i="1"/>
  <c r="T63" i="1"/>
  <c r="T62" i="1"/>
  <c r="T61" i="1"/>
  <c r="T60" i="1"/>
  <c r="T59" i="1"/>
  <c r="T58" i="1"/>
  <c r="T57" i="1"/>
  <c r="T56" i="1"/>
  <c r="T55" i="1"/>
  <c r="T54" i="1"/>
  <c r="T53" i="1"/>
  <c r="T52" i="1"/>
  <c r="T51" i="1"/>
  <c r="T50" i="1"/>
  <c r="T49" i="1"/>
  <c r="T48" i="1"/>
  <c r="T47" i="1"/>
</calcChain>
</file>

<file path=xl/sharedStrings.xml><?xml version="1.0" encoding="utf-8"?>
<sst xmlns="http://schemas.openxmlformats.org/spreadsheetml/2006/main" count="77" uniqueCount="50">
  <si>
    <t>资产配置组合优化</t>
  </si>
  <si>
    <t>风险收益</t>
  </si>
  <si>
    <t>相关系数矩阵</t>
  </si>
  <si>
    <t>资产名称</t>
  </si>
  <si>
    <t>收益率</t>
  </si>
  <si>
    <t>波动率</t>
  </si>
  <si>
    <t>资产3</t>
  </si>
  <si>
    <t>资产5</t>
  </si>
  <si>
    <t>资产6</t>
  </si>
  <si>
    <t>资产7</t>
  </si>
  <si>
    <t>资产8</t>
  </si>
  <si>
    <t>资产9</t>
  </si>
  <si>
    <t>资产10</t>
  </si>
  <si>
    <t>生成组合数</t>
  </si>
  <si>
    <t>重采样次数</t>
  </si>
  <si>
    <t>组合名称</t>
  </si>
  <si>
    <t>资产配置</t>
  </si>
  <si>
    <t>合计</t>
  </si>
  <si>
    <t>资产配置组合优化使用说明</t>
  </si>
  <si>
    <t>配置上限</t>
    <phoneticPr fontId="12" type="noConversion"/>
  </si>
  <si>
    <t>配置下限</t>
    <phoneticPr fontId="12" type="noConversion"/>
  </si>
  <si>
    <t>资产1</t>
    <phoneticPr fontId="12" type="noConversion"/>
  </si>
  <si>
    <t>资产4</t>
    <phoneticPr fontId="12" type="noConversion"/>
  </si>
  <si>
    <t>资产2</t>
    <phoneticPr fontId="12" type="noConversion"/>
  </si>
  <si>
    <t>资产2</t>
    <phoneticPr fontId="12" type="noConversion"/>
  </si>
  <si>
    <t>资产2</t>
    <phoneticPr fontId="12" type="noConversion"/>
  </si>
  <si>
    <t>资产2</t>
    <phoneticPr fontId="12" type="noConversion"/>
  </si>
  <si>
    <t>资产4</t>
    <phoneticPr fontId="12" type="noConversion"/>
  </si>
  <si>
    <t>资产5</t>
    <phoneticPr fontId="12" type="noConversion"/>
  </si>
  <si>
    <t>资产6</t>
    <phoneticPr fontId="12" type="noConversion"/>
  </si>
  <si>
    <t>组合1</t>
  </si>
  <si>
    <t>组合2</t>
  </si>
  <si>
    <t>组合3</t>
  </si>
  <si>
    <t>组合4</t>
  </si>
  <si>
    <t>组合5</t>
  </si>
  <si>
    <t>组合6</t>
  </si>
  <si>
    <t>组合7</t>
  </si>
  <si>
    <t>组合8</t>
  </si>
  <si>
    <t>组合9</t>
  </si>
  <si>
    <t>组合10</t>
  </si>
  <si>
    <t>组合11</t>
  </si>
  <si>
    <t>组合12</t>
  </si>
  <si>
    <t>组合13</t>
  </si>
  <si>
    <t>组合14</t>
  </si>
  <si>
    <t>组合15</t>
  </si>
  <si>
    <t>组合16</t>
  </si>
  <si>
    <t>组合17</t>
  </si>
  <si>
    <t>组合18</t>
  </si>
  <si>
    <t>组合19</t>
  </si>
  <si>
    <t>组合20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</si>
</sst>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0_ "/>
  </numFmts>
  <fonts count="15" x14ac:knownFonts="1">
    <font>
      <sz val="11"/>
      <color theme="1"/>
      <name val="等线"/>
      <charset val="134"/>
      <scheme val="minor"/>
    </font>
    <font>
      <b/>
      <sz val="20"/>
      <color theme="0"/>
      <name val="微软雅黑"/>
      <family val="2"/>
      <charset val="134"/>
    </font>
    <font>
      <sz val="20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0"/>
      <name val="微软雅黑"/>
      <family val="2"/>
      <charset val="134"/>
    </font>
    <font>
      <b/>
      <sz val="12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sz val="12"/>
      <color theme="1"/>
      <name val="微软雅黑"/>
      <family val="2"/>
      <charset val="134"/>
    </font>
    <font>
      <sz val="12"/>
      <color theme="0"/>
      <name val="微软雅黑"/>
      <family val="2"/>
      <charset val="134"/>
    </font>
    <font>
      <sz val="12"/>
      <color rgb="FFD2D2D2"/>
      <name val="微软雅黑"/>
      <family val="2"/>
      <charset val="134"/>
    </font>
    <font>
      <b/>
      <sz val="14"/>
      <color theme="1"/>
      <name val="微软雅黑"/>
      <family val="2"/>
      <charset val="134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b/>
      <sz val="12"/>
      <color theme="0"/>
      <name val="微软雅黑"/>
      <family val="2"/>
      <charset val="134"/>
    </font>
    <font>
      <sz val="11"/>
      <color theme="0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63636D"/>
        <bgColor indexed="64"/>
      </patternFill>
    </fill>
    <fill>
      <patternFill patternType="solid">
        <fgColor rgb="FFE9E9E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3F3F3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double">
        <color theme="0" tint="-0.14996795556505021"/>
      </bottom>
      <diagonal/>
    </border>
    <border>
      <left style="double">
        <color theme="0" tint="-0.14996795556505021"/>
      </left>
      <right style="double">
        <color theme="0" tint="-0.14996795556505021"/>
      </right>
      <top style="double">
        <color theme="0" tint="-0.14996795556505021"/>
      </top>
      <bottom style="double">
        <color theme="0" tint="-0.14996795556505021"/>
      </bottom>
      <diagonal/>
    </border>
    <border>
      <left/>
      <right/>
      <top/>
      <bottom style="thin">
        <color theme="0" tint="-0.14993743705557422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9" fontId="11" fillId="0" borderId="0" applyFont="0" applyFill="0" applyBorder="0" applyAlignment="0" applyProtection="0">
      <alignment vertical="center"/>
    </xf>
  </cellStyleXfs>
  <cellXfs count="33">
    <xf numFmtId="0" fontId="0" fillId="0" borderId="0" xfId="0"/>
    <xf numFmtId="0" fontId="2" fillId="2" borderId="0" xfId="0" applyFont="1" applyFill="1" applyAlignment="1">
      <alignment vertical="center"/>
    </xf>
    <xf numFmtId="0" fontId="3" fillId="3" borderId="0" xfId="0" applyFont="1" applyFill="1" applyAlignment="1"/>
    <xf numFmtId="0" fontId="4" fillId="3" borderId="0" xfId="0" applyFont="1" applyFill="1" applyAlignment="1"/>
    <xf numFmtId="0" fontId="3" fillId="4" borderId="0" xfId="0" applyFont="1" applyFill="1" applyAlignment="1"/>
    <xf numFmtId="0" fontId="4" fillId="4" borderId="0" xfId="0" applyFont="1" applyFill="1" applyAlignment="1"/>
    <xf numFmtId="0" fontId="3" fillId="4" borderId="0" xfId="0" applyFont="1" applyFill="1" applyBorder="1" applyAlignment="1"/>
    <xf numFmtId="0" fontId="6" fillId="4" borderId="2" xfId="0" applyFont="1" applyFill="1" applyBorder="1" applyAlignment="1"/>
    <xf numFmtId="0" fontId="7" fillId="0" borderId="0" xfId="0" applyFont="1" applyFill="1" applyAlignment="1"/>
    <xf numFmtId="0" fontId="7" fillId="4" borderId="2" xfId="0" applyFont="1" applyFill="1" applyBorder="1" applyAlignment="1"/>
    <xf numFmtId="0" fontId="7" fillId="0" borderId="2" xfId="0" applyFont="1" applyFill="1" applyBorder="1" applyAlignment="1"/>
    <xf numFmtId="10" fontId="7" fillId="4" borderId="2" xfId="1" applyNumberFormat="1" applyFont="1" applyFill="1" applyBorder="1" applyAlignment="1"/>
    <xf numFmtId="10" fontId="7" fillId="4" borderId="2" xfId="0" applyNumberFormat="1" applyFont="1" applyFill="1" applyBorder="1" applyAlignment="1"/>
    <xf numFmtId="0" fontId="7" fillId="4" borderId="0" xfId="0" applyFont="1" applyFill="1" applyAlignment="1"/>
    <xf numFmtId="0" fontId="5" fillId="4" borderId="3" xfId="0" applyFont="1" applyFill="1" applyBorder="1" applyAlignment="1">
      <alignment vertical="center"/>
    </xf>
    <xf numFmtId="0" fontId="7" fillId="4" borderId="4" xfId="0" applyFont="1" applyFill="1" applyBorder="1" applyAlignment="1"/>
    <xf numFmtId="0" fontId="6" fillId="4" borderId="2" xfId="0" applyFont="1" applyFill="1" applyBorder="1" applyAlignment="1">
      <alignment horizontal="center" vertical="center"/>
    </xf>
    <xf numFmtId="176" fontId="7" fillId="4" borderId="2" xfId="0" applyNumberFormat="1" applyFont="1" applyFill="1" applyBorder="1" applyAlignment="1" applyProtection="1">
      <protection hidden="1"/>
    </xf>
    <xf numFmtId="176" fontId="9" fillId="5" borderId="2" xfId="0" applyNumberFormat="1" applyFont="1" applyFill="1" applyBorder="1" applyAlignment="1"/>
    <xf numFmtId="176" fontId="7" fillId="4" borderId="2" xfId="0" applyNumberFormat="1" applyFont="1" applyFill="1" applyBorder="1" applyAlignment="1"/>
    <xf numFmtId="0" fontId="10" fillId="4" borderId="0" xfId="0" applyFont="1" applyFill="1" applyBorder="1" applyAlignment="1">
      <alignment horizontal="left" vertical="top"/>
    </xf>
    <xf numFmtId="0" fontId="3" fillId="3" borderId="0" xfId="0" applyFont="1" applyFill="1" applyBorder="1" applyAlignment="1"/>
    <xf numFmtId="0" fontId="7" fillId="4" borderId="0" xfId="0" applyFont="1" applyFill="1" applyBorder="1" applyAlignment="1"/>
    <xf numFmtId="10" fontId="0" fillId="0" borderId="0" xfId="0" applyNumberFormat="1"/>
    <xf numFmtId="0" fontId="5" fillId="4" borderId="0" xfId="0" applyFont="1" applyFill="1" applyBorder="1" applyAlignment="1">
      <alignment vertical="center"/>
    </xf>
    <xf numFmtId="0" fontId="8" fillId="0" borderId="0" xfId="0" applyFont="1" applyFill="1" applyAlignment="1"/>
    <xf numFmtId="0" fontId="13" fillId="4" borderId="0" xfId="0" applyFont="1" applyFill="1" applyBorder="1" applyAlignment="1">
      <alignment horizontal="center" vertical="center"/>
    </xf>
    <xf numFmtId="0" fontId="14" fillId="0" borderId="0" xfId="0" applyFont="1"/>
    <xf numFmtId="0" fontId="2" fillId="2" borderId="0" xfId="0" applyFont="1" applyFill="1" applyAlignment="1">
      <alignment horizontal="center" vertical="center"/>
    </xf>
    <xf numFmtId="0" fontId="5" fillId="4" borderId="1" xfId="0" applyFont="1" applyFill="1" applyBorder="1" applyAlignment="1">
      <alignment vertical="center"/>
    </xf>
    <xf numFmtId="0" fontId="5" fillId="0" borderId="1" xfId="0" applyFont="1" applyFill="1" applyBorder="1" applyAlignment="1">
      <alignment vertical="center"/>
    </xf>
    <xf numFmtId="0" fontId="6" fillId="4" borderId="2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colors>
    <mruColors>
      <color rgb="FFD2D2D2"/>
      <color rgb="FFF3F3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有效前沿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组合优化!$F$47:$F$96</c:f>
              <c:numCache>
                <c:formatCode>0.00%</c:formatCode>
                <c:ptCount val="50"/>
                <c:pt idx="0">
                  <c:v>0.1601371871218388</c:v>
                </c:pt>
                <c:pt idx="1">
                  <c:v>0.16022888907915808</c:v>
                </c:pt>
                <c:pt idx="2">
                  <c:v>0.16050364960927102</c:v>
                </c:pt>
                <c:pt idx="3">
                  <c:v>0.16096053127198018</c:v>
                </c:pt>
                <c:pt idx="4">
                  <c:v>0.1615979893550159</c:v>
                </c:pt>
                <c:pt idx="5">
                  <c:v>0.1624138976395188</c:v>
                </c:pt>
                <c:pt idx="6">
                  <c:v>0.16340558306232708</c:v>
                </c:pt>
                <c:pt idx="7">
                  <c:v>0.16456986803813953</c:v>
                </c:pt>
                <c:pt idx="8">
                  <c:v>0.16590311865754143</c:v>
                </c:pt>
                <c:pt idx="9">
                  <c:v>0.16740129794964881</c:v>
                </c:pt>
                <c:pt idx="10">
                  <c:v>0.16906002120365901</c:v>
                </c:pt>
                <c:pt idx="11">
                  <c:v>0.17087461318152655</c:v>
                </c:pt>
                <c:pt idx="12">
                  <c:v>0.17284016471305369</c:v>
                </c:pt>
                <c:pt idx="13">
                  <c:v>0.17500888332051567</c:v>
                </c:pt>
                <c:pt idx="14">
                  <c:v>0.17803897546943426</c:v>
                </c:pt>
                <c:pt idx="15">
                  <c:v>0.18207532448316832</c:v>
                </c:pt>
                <c:pt idx="16">
                  <c:v>0.18705280064186247</c:v>
                </c:pt>
                <c:pt idx="17">
                  <c:v>0.19289856437021563</c:v>
                </c:pt>
                <c:pt idx="18">
                  <c:v>0.19953631629948784</c:v>
                </c:pt>
                <c:pt idx="19">
                  <c:v>0.21659999999975271</c:v>
                </c:pt>
              </c:numCache>
            </c:numRef>
          </c:xVal>
          <c:yVal>
            <c:numRef>
              <c:f>组合优化!$G$47:$G$96</c:f>
              <c:numCache>
                <c:formatCode>General</c:formatCode>
                <c:ptCount val="50"/>
                <c:pt idx="0">
                  <c:v>5.7556474992922692E-2</c:v>
                </c:pt>
                <c:pt idx="1">
                  <c:v>5.8690344730197005E-2</c:v>
                </c:pt>
                <c:pt idx="2">
                  <c:v>5.9824214467429471E-2</c:v>
                </c:pt>
                <c:pt idx="3">
                  <c:v>6.0958084204530104E-2</c:v>
                </c:pt>
                <c:pt idx="4">
                  <c:v>6.2091953941907113E-2</c:v>
                </c:pt>
                <c:pt idx="5">
                  <c:v>6.322582367911983E-2</c:v>
                </c:pt>
                <c:pt idx="6">
                  <c:v>6.4359693416097999E-2</c:v>
                </c:pt>
                <c:pt idx="7">
                  <c:v>6.5493563153524684E-2</c:v>
                </c:pt>
                <c:pt idx="8">
                  <c:v>6.6627432890762339E-2</c:v>
                </c:pt>
                <c:pt idx="9">
                  <c:v>6.7761302628006725E-2</c:v>
                </c:pt>
                <c:pt idx="10">
                  <c:v>6.8895172365042542E-2</c:v>
                </c:pt>
                <c:pt idx="11">
                  <c:v>7.0029042102259714E-2</c:v>
                </c:pt>
                <c:pt idx="12">
                  <c:v>7.1162911839600995E-2</c:v>
                </c:pt>
                <c:pt idx="13">
                  <c:v>7.2296781581485031E-2</c:v>
                </c:pt>
                <c:pt idx="14">
                  <c:v>7.3430651315647119E-2</c:v>
                </c:pt>
                <c:pt idx="15">
                  <c:v>7.456452105102826E-2</c:v>
                </c:pt>
                <c:pt idx="16">
                  <c:v>7.5698390780529923E-2</c:v>
                </c:pt>
                <c:pt idx="17">
                  <c:v>7.6832260517740378E-2</c:v>
                </c:pt>
                <c:pt idx="18">
                  <c:v>7.7966130264488231E-2</c:v>
                </c:pt>
                <c:pt idx="19">
                  <c:v>7.9099999999991011E-2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39C-4640-B124-588102D32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3689344"/>
        <c:axId val="1113683520"/>
      </c:scatterChart>
      <c:valAx>
        <c:axId val="1113689344"/>
        <c:scaling>
          <c:orientation val="minMax"/>
          <c:min val="0.1521303277657468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波动率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13683520"/>
        <c:crosses val="autoZero"/>
        <c:crossBetween val="midCat"/>
      </c:valAx>
      <c:valAx>
        <c:axId val="1113683520"/>
        <c:scaling>
          <c:orientation val="minMax"/>
          <c:min val="5.180082749363042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收益率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13689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19049</xdr:colOff>
      <xdr:row>0</xdr:row>
      <xdr:rowOff>116541</xdr:rowOff>
    </xdr:from>
    <xdr:ext cx="607152" cy="219075"/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2765" y="116205"/>
          <a:ext cx="607695" cy="2190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647700</xdr:colOff>
          <xdr:row>17</xdr:row>
          <xdr:rowOff>123825</xdr:rowOff>
        </xdr:from>
        <xdr:to>
          <xdr:col>19</xdr:col>
          <xdr:colOff>790575</xdr:colOff>
          <xdr:row>19</xdr:row>
          <xdr:rowOff>19050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0</xdr:colOff>
      <xdr:row>22</xdr:row>
      <xdr:rowOff>0</xdr:rowOff>
    </xdr:from>
    <xdr:to>
      <xdr:col>20</xdr:col>
      <xdr:colOff>0</xdr:colOff>
      <xdr:row>41</xdr:row>
      <xdr:rowOff>0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161925</xdr:colOff>
      <xdr:row>3</xdr:row>
      <xdr:rowOff>95250</xdr:rowOff>
    </xdr:from>
    <xdr:to>
      <xdr:col>17</xdr:col>
      <xdr:colOff>189296</xdr:colOff>
      <xdr:row>44</xdr:row>
      <xdr:rowOff>56227</xdr:rowOff>
    </xdr:to>
    <xdr:pic>
      <xdr:nvPicPr>
        <xdr:cNvPr id="3" name="图片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9325" y="895350"/>
          <a:ext cx="9628571" cy="7380952"/>
        </a:xfrm>
        <a:prstGeom prst="rect">
          <a:avLst/>
        </a:prstGeom>
      </xdr:spPr>
    </xdr:pic>
    <xdr:clientData/>
  </xdr:twoCellAnchor>
  <xdr:twoCellAnchor>
    <xdr:from>
      <xdr:col>4</xdr:col>
      <xdr:colOff>153386</xdr:colOff>
      <xdr:row>12</xdr:row>
      <xdr:rowOff>13138</xdr:rowOff>
    </xdr:from>
    <xdr:to>
      <xdr:col>4</xdr:col>
      <xdr:colOff>302172</xdr:colOff>
      <xdr:row>12</xdr:row>
      <xdr:rowOff>20857</xdr:rowOff>
    </xdr:to>
    <xdr:cxnSp macro="">
      <xdr:nvCxnSpPr>
        <xdr:cNvPr id="5" name="直接箭头连接符 4"/>
        <xdr:cNvCxnSpPr>
          <a:stCxn id="8" idx="3"/>
        </xdr:cNvCxnSpPr>
      </xdr:nvCxnSpPr>
      <xdr:spPr>
        <a:xfrm flipV="1">
          <a:off x="2886076" y="2476500"/>
          <a:ext cx="148786" cy="7719"/>
        </a:xfrm>
        <a:prstGeom prst="straightConnector1">
          <a:avLst/>
        </a:prstGeom>
        <a:ln w="19050">
          <a:solidFill>
            <a:schemeClr val="accent2"/>
          </a:solidFill>
          <a:tailEnd type="triangle"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oneCellAnchor>
    <xdr:from>
      <xdr:col>0</xdr:col>
      <xdr:colOff>38100</xdr:colOff>
      <xdr:row>11</xdr:row>
      <xdr:rowOff>47625</xdr:rowOff>
    </xdr:from>
    <xdr:ext cx="2847976" cy="314325"/>
    <xdr:sp macro="" textlink="">
      <xdr:nvSpPr>
        <xdr:cNvPr id="8" name="文本框 7"/>
        <xdr:cNvSpPr txBox="1"/>
      </xdr:nvSpPr>
      <xdr:spPr>
        <a:xfrm>
          <a:off x="38100" y="2295525"/>
          <a:ext cx="2847975" cy="314325"/>
        </a:xfrm>
        <a:prstGeom prst="rect">
          <a:avLst/>
        </a:prstGeom>
        <a:ln>
          <a:solidFill>
            <a:schemeClr val="accent2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zh-CN" altLang="en-US" sz="1100" b="1"/>
            <a:t>收益率</a:t>
          </a:r>
          <a:r>
            <a:rPr lang="zh-CN" altLang="en-US" sz="1100" b="0" baseline="0"/>
            <a:t>为资产配置组合里各资产的收益指标</a:t>
          </a:r>
          <a:endParaRPr lang="zh-CN" altLang="en-US" sz="1100"/>
        </a:p>
      </xdr:txBody>
    </xdr:sp>
    <xdr:clientData/>
  </xdr:oneCellAnchor>
  <xdr:oneCellAnchor>
    <xdr:from>
      <xdr:col>0</xdr:col>
      <xdr:colOff>28574</xdr:colOff>
      <xdr:row>15</xdr:row>
      <xdr:rowOff>76200</xdr:rowOff>
    </xdr:from>
    <xdr:ext cx="2857501" cy="285750"/>
    <xdr:sp macro="" textlink="">
      <xdr:nvSpPr>
        <xdr:cNvPr id="12" name="文本框 11"/>
        <xdr:cNvSpPr txBox="1"/>
      </xdr:nvSpPr>
      <xdr:spPr>
        <a:xfrm>
          <a:off x="27940" y="3048000"/>
          <a:ext cx="2858135" cy="285750"/>
        </a:xfrm>
        <a:prstGeom prst="rect">
          <a:avLst/>
        </a:prstGeom>
        <a:ln>
          <a:solidFill>
            <a:schemeClr val="accent6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zh-CN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波动率</a:t>
          </a:r>
          <a:r>
            <a:rPr lang="zh-CN" altLang="en-US" sz="1100" b="0" baseline="0"/>
            <a:t>为</a:t>
          </a:r>
          <a:r>
            <a:rPr lang="zh-CN" altLang="zh-CN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资产配置组合</a:t>
          </a:r>
          <a:r>
            <a:rPr lang="zh-CN" alt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里</a:t>
          </a:r>
          <a:r>
            <a:rPr lang="zh-CN" altLang="en-US" sz="1100" b="0" baseline="0"/>
            <a:t>各资产的风险指标</a:t>
          </a:r>
          <a:endParaRPr lang="zh-CN" altLang="en-US" sz="1100"/>
        </a:p>
      </xdr:txBody>
    </xdr:sp>
    <xdr:clientData/>
  </xdr:oneCellAnchor>
  <xdr:oneCellAnchor>
    <xdr:from>
      <xdr:col>1</xdr:col>
      <xdr:colOff>666750</xdr:colOff>
      <xdr:row>1</xdr:row>
      <xdr:rowOff>85725</xdr:rowOff>
    </xdr:from>
    <xdr:ext cx="11550406" cy="335541"/>
    <xdr:sp macro="" textlink="">
      <xdr:nvSpPr>
        <xdr:cNvPr id="13" name="文本框 12"/>
        <xdr:cNvSpPr txBox="1"/>
      </xdr:nvSpPr>
      <xdr:spPr>
        <a:xfrm>
          <a:off x="1354207" y="524703"/>
          <a:ext cx="11550406" cy="3355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zh-CN" altLang="en-US" sz="14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资产配置组合优化基于</a:t>
          </a:r>
          <a:r>
            <a:rPr lang="zh-CN" altLang="zh-CN" sz="14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马克维茨均值</a:t>
          </a:r>
          <a:r>
            <a:rPr lang="en-US" altLang="zh-CN" sz="14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-</a:t>
          </a:r>
          <a:r>
            <a:rPr lang="zh-CN" altLang="zh-CN" sz="14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方差组合模型</a:t>
          </a:r>
          <a:r>
            <a:rPr lang="zh-CN" altLang="en-US" sz="14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，</a:t>
          </a:r>
          <a:r>
            <a:rPr lang="zh-CN" altLang="zh-CN" sz="14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根据用户输入的各个资产的收益率、波动率和资产之间的相关系数，生成最优的资产组合。</a:t>
          </a:r>
          <a:endParaRPr lang="zh-CN" altLang="en-US" sz="1400" b="0" i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oneCellAnchor>
  <xdr:oneCellAnchor>
    <xdr:from>
      <xdr:col>16</xdr:col>
      <xdr:colOff>581757</xdr:colOff>
      <xdr:row>9</xdr:row>
      <xdr:rowOff>132618</xdr:rowOff>
    </xdr:from>
    <xdr:ext cx="3209926" cy="1238801"/>
    <xdr:sp macro="" textlink="">
      <xdr:nvSpPr>
        <xdr:cNvPr id="22" name="文本框 21"/>
        <xdr:cNvSpPr txBox="1"/>
      </xdr:nvSpPr>
      <xdr:spPr>
        <a:xfrm>
          <a:off x="11601449" y="2037618"/>
          <a:ext cx="3209926" cy="1238801"/>
        </a:xfrm>
        <a:prstGeom prst="rect">
          <a:avLst/>
        </a:prstGeom>
        <a:ln>
          <a:solidFill>
            <a:schemeClr val="accent5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zh-CN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相关系数矩阵</a:t>
          </a:r>
          <a:r>
            <a:rPr lang="zh-CN" altLang="en-US" sz="1100" b="0" baseline="0"/>
            <a:t>为</a:t>
          </a:r>
          <a:r>
            <a:rPr lang="zh-CN" altLang="zh-CN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资产配置组合</a:t>
          </a:r>
          <a:r>
            <a:rPr lang="zh-CN" alt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里各</a:t>
          </a:r>
          <a:r>
            <a:rPr lang="zh-CN" altLang="en-US" sz="1100" b="0" baseline="0"/>
            <a:t>资产两两之间的相关性，相关系数取值范围是</a:t>
          </a:r>
          <a:r>
            <a:rPr lang="en-US" altLang="zh-CN" sz="1100" b="0" baseline="0"/>
            <a:t>-1</a:t>
          </a:r>
          <a:r>
            <a:rPr lang="zh-CN" altLang="en-US" sz="1100" b="0" baseline="0"/>
            <a:t>至</a:t>
          </a:r>
          <a:r>
            <a:rPr lang="en-US" altLang="zh-CN" sz="1100" b="0" baseline="0"/>
            <a:t>1</a:t>
          </a:r>
          <a:r>
            <a:rPr lang="zh-CN" altLang="en-US" sz="1100" b="0" baseline="0"/>
            <a:t>之间，</a:t>
          </a:r>
          <a:r>
            <a:rPr lang="en-US" altLang="zh-CN" sz="1100" b="0" baseline="0"/>
            <a:t>-1</a:t>
          </a:r>
          <a:r>
            <a:rPr lang="zh-CN" altLang="en-US" sz="1100" b="0" baseline="0"/>
            <a:t>表示资产之间完全负相关，</a:t>
          </a:r>
          <a:r>
            <a:rPr lang="en-US" altLang="zh-CN" sz="1100" b="0" baseline="0"/>
            <a:t>1</a:t>
          </a:r>
          <a:r>
            <a:rPr lang="zh-CN" altLang="en-US" sz="1100" b="0" baseline="0"/>
            <a:t>表示资产之间完全正相关，</a:t>
          </a:r>
          <a:r>
            <a:rPr lang="en-US" altLang="zh-CN" sz="1100" b="0" baseline="0"/>
            <a:t>0</a:t>
          </a:r>
          <a:r>
            <a:rPr lang="zh-CN" altLang="en-US" sz="1100" b="0" baseline="0"/>
            <a:t>表示不存在相关性。（如您无法自行计算资产相关性，可通过</a:t>
          </a:r>
          <a:r>
            <a:rPr lang="en-US" altLang="zh-CN" sz="1100" b="0" baseline="0"/>
            <a:t>Excel</a:t>
          </a:r>
          <a:r>
            <a:rPr lang="zh-CN" altLang="en-US" sz="1100" b="0" baseline="0"/>
            <a:t>模板库</a:t>
          </a:r>
          <a:r>
            <a:rPr lang="en-US" altLang="zh-CN" sz="1100" b="0" baseline="0"/>
            <a:t>-</a:t>
          </a:r>
          <a:r>
            <a:rPr lang="zh-CN" altLang="en-US" sz="1100" b="0" baseline="0"/>
            <a:t>金融计算</a:t>
          </a:r>
          <a:r>
            <a:rPr lang="en-US" altLang="zh-CN" sz="1100" b="0" baseline="0"/>
            <a:t>-</a:t>
          </a:r>
          <a:r>
            <a:rPr lang="zh-CN" altLang="en-US" sz="1100" b="0" baseline="0"/>
            <a:t>相关性分析计算器获取）</a:t>
          </a:r>
          <a:endParaRPr lang="zh-CN" altLang="en-US" sz="1100"/>
        </a:p>
      </xdr:txBody>
    </xdr:sp>
    <xdr:clientData/>
  </xdr:oneCellAnchor>
  <xdr:twoCellAnchor>
    <xdr:from>
      <xdr:col>13</xdr:col>
      <xdr:colOff>353159</xdr:colOff>
      <xdr:row>11</xdr:row>
      <xdr:rowOff>132620</xdr:rowOff>
    </xdr:from>
    <xdr:to>
      <xdr:col>16</xdr:col>
      <xdr:colOff>581757</xdr:colOff>
      <xdr:row>13</xdr:row>
      <xdr:rowOff>28119</xdr:rowOff>
    </xdr:to>
    <xdr:cxnSp macro="">
      <xdr:nvCxnSpPr>
        <xdr:cNvPr id="29" name="直接箭头连接符 28"/>
        <xdr:cNvCxnSpPr>
          <a:stCxn id="22" idx="1"/>
        </xdr:cNvCxnSpPr>
      </xdr:nvCxnSpPr>
      <xdr:spPr>
        <a:xfrm flipH="1" flipV="1">
          <a:off x="9306659" y="2403966"/>
          <a:ext cx="2294790" cy="261845"/>
        </a:xfrm>
        <a:prstGeom prst="straightConnector1">
          <a:avLst/>
        </a:prstGeom>
        <a:ln w="19050">
          <a:solidFill>
            <a:srgbClr val="0070C0"/>
          </a:solidFill>
          <a:tailEnd type="triangle"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205154</xdr:colOff>
      <xdr:row>7</xdr:row>
      <xdr:rowOff>71071</xdr:rowOff>
    </xdr:from>
    <xdr:to>
      <xdr:col>5</xdr:col>
      <xdr:colOff>109904</xdr:colOff>
      <xdr:row>14</xdr:row>
      <xdr:rowOff>32971</xdr:rowOff>
    </xdr:to>
    <xdr:sp macro="" textlink="">
      <xdr:nvSpPr>
        <xdr:cNvPr id="45" name="矩形 44"/>
        <xdr:cNvSpPr/>
      </xdr:nvSpPr>
      <xdr:spPr>
        <a:xfrm>
          <a:off x="2960077" y="1609725"/>
          <a:ext cx="593481" cy="1244111"/>
        </a:xfrm>
        <a:prstGeom prst="rect">
          <a:avLst/>
        </a:prstGeom>
        <a:noFill/>
        <a:ln w="1905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5</xdr:col>
      <xdr:colOff>128954</xdr:colOff>
      <xdr:row>7</xdr:row>
      <xdr:rowOff>71071</xdr:rowOff>
    </xdr:from>
    <xdr:to>
      <xdr:col>6</xdr:col>
      <xdr:colOff>26560</xdr:colOff>
      <xdr:row>14</xdr:row>
      <xdr:rowOff>32971</xdr:rowOff>
    </xdr:to>
    <xdr:sp macro="" textlink="">
      <xdr:nvSpPr>
        <xdr:cNvPr id="46" name="矩形 45"/>
        <xdr:cNvSpPr/>
      </xdr:nvSpPr>
      <xdr:spPr>
        <a:xfrm>
          <a:off x="3572608" y="1609725"/>
          <a:ext cx="586337" cy="1244111"/>
        </a:xfrm>
        <a:prstGeom prst="rect">
          <a:avLst/>
        </a:prstGeom>
        <a:noFill/>
        <a:ln w="19050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8</xdr:col>
      <xdr:colOff>400782</xdr:colOff>
      <xdr:row>8</xdr:row>
      <xdr:rowOff>46894</xdr:rowOff>
    </xdr:from>
    <xdr:to>
      <xdr:col>13</xdr:col>
      <xdr:colOff>486507</xdr:colOff>
      <xdr:row>14</xdr:row>
      <xdr:rowOff>46894</xdr:rowOff>
    </xdr:to>
    <xdr:sp macro="" textlink="">
      <xdr:nvSpPr>
        <xdr:cNvPr id="48" name="矩形 47"/>
        <xdr:cNvSpPr/>
      </xdr:nvSpPr>
      <xdr:spPr>
        <a:xfrm>
          <a:off x="5910628" y="1768721"/>
          <a:ext cx="3529379" cy="1099038"/>
        </a:xfrm>
        <a:prstGeom prst="rect">
          <a:avLst/>
        </a:prstGeom>
        <a:noFill/>
        <a:ln w="19050"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0</xdr:col>
      <xdr:colOff>128381</xdr:colOff>
      <xdr:row>4</xdr:row>
      <xdr:rowOff>90280</xdr:rowOff>
    </xdr:from>
    <xdr:to>
      <xdr:col>3</xdr:col>
      <xdr:colOff>90281</xdr:colOff>
      <xdr:row>7</xdr:row>
      <xdr:rowOff>52180</xdr:rowOff>
    </xdr:to>
    <xdr:sp macro="" textlink="">
      <xdr:nvSpPr>
        <xdr:cNvPr id="58" name="矩形 57"/>
        <xdr:cNvSpPr/>
      </xdr:nvSpPr>
      <xdr:spPr>
        <a:xfrm>
          <a:off x="128381" y="1075910"/>
          <a:ext cx="2024270" cy="508553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>
              <a:solidFill>
                <a:schemeClr val="tx1"/>
              </a:solidFill>
            </a:rPr>
            <a:t>（非必填）资产名称仅标识区分各资产，不参与计算</a:t>
          </a:r>
        </a:p>
      </xdr:txBody>
    </xdr:sp>
    <xdr:clientData/>
  </xdr:twoCellAnchor>
  <xdr:twoCellAnchor>
    <xdr:from>
      <xdr:col>3</xdr:col>
      <xdr:colOff>90281</xdr:colOff>
      <xdr:row>5</xdr:row>
      <xdr:rowOff>160528</xdr:rowOff>
    </xdr:from>
    <xdr:to>
      <xdr:col>3</xdr:col>
      <xdr:colOff>387212</xdr:colOff>
      <xdr:row>7</xdr:row>
      <xdr:rowOff>109330</xdr:rowOff>
    </xdr:to>
    <xdr:cxnSp macro="">
      <xdr:nvCxnSpPr>
        <xdr:cNvPr id="59" name="直接箭头连接符 58"/>
        <xdr:cNvCxnSpPr>
          <a:stCxn id="58" idx="3"/>
        </xdr:cNvCxnSpPr>
      </xdr:nvCxnSpPr>
      <xdr:spPr>
        <a:xfrm>
          <a:off x="2144109" y="1315434"/>
          <a:ext cx="296931" cy="305990"/>
        </a:xfrm>
        <a:prstGeom prst="straightConnector1">
          <a:avLst/>
        </a:prstGeom>
        <a:ln w="19050">
          <a:solidFill>
            <a:schemeClr val="tx1"/>
          </a:solidFill>
          <a:tailEnd type="triangle"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oneCellAnchor>
    <xdr:from>
      <xdr:col>0</xdr:col>
      <xdr:colOff>566371</xdr:colOff>
      <xdr:row>21</xdr:row>
      <xdr:rowOff>96715</xdr:rowOff>
    </xdr:from>
    <xdr:ext cx="2200276" cy="495301"/>
    <xdr:sp macro="" textlink="">
      <xdr:nvSpPr>
        <xdr:cNvPr id="65" name="文本框 64"/>
        <xdr:cNvSpPr txBox="1"/>
      </xdr:nvSpPr>
      <xdr:spPr>
        <a:xfrm>
          <a:off x="566371" y="4199792"/>
          <a:ext cx="2200276" cy="495301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zh-CN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生成组合数</a:t>
          </a:r>
          <a:r>
            <a:rPr lang="zh-CN" alt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将影响优化结果的有效组合个数，至多</a:t>
          </a:r>
          <a:r>
            <a:rPr lang="en-US" altLang="zh-CN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50</a:t>
          </a:r>
          <a:r>
            <a:rPr lang="zh-CN" alt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个组合</a:t>
          </a:r>
          <a:endParaRPr lang="zh-CN" altLang="en-US" sz="1100" b="0"/>
        </a:p>
      </xdr:txBody>
    </xdr:sp>
    <xdr:clientData/>
  </xdr:oneCellAnchor>
  <xdr:twoCellAnchor>
    <xdr:from>
      <xdr:col>4</xdr:col>
      <xdr:colOff>11724</xdr:colOff>
      <xdr:row>20</xdr:row>
      <xdr:rowOff>131885</xdr:rowOff>
    </xdr:from>
    <xdr:to>
      <xdr:col>4</xdr:col>
      <xdr:colOff>600808</xdr:colOff>
      <xdr:row>22</xdr:row>
      <xdr:rowOff>161193</xdr:rowOff>
    </xdr:to>
    <xdr:cxnSp macro="">
      <xdr:nvCxnSpPr>
        <xdr:cNvPr id="67" name="直接箭头连接符 66"/>
        <xdr:cNvCxnSpPr>
          <a:stCxn id="65" idx="3"/>
        </xdr:cNvCxnSpPr>
      </xdr:nvCxnSpPr>
      <xdr:spPr>
        <a:xfrm flipV="1">
          <a:off x="2766647" y="4051789"/>
          <a:ext cx="589084" cy="395654"/>
        </a:xfrm>
        <a:prstGeom prst="straightConnector1">
          <a:avLst/>
        </a:prstGeom>
        <a:ln w="19050">
          <a:solidFill>
            <a:schemeClr val="tx1"/>
          </a:solidFill>
          <a:tailEnd type="triangle"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oneCellAnchor>
    <xdr:from>
      <xdr:col>9</xdr:col>
      <xdr:colOff>511419</xdr:colOff>
      <xdr:row>20</xdr:row>
      <xdr:rowOff>16850</xdr:rowOff>
    </xdr:from>
    <xdr:ext cx="2876550" cy="695326"/>
    <xdr:sp macro="" textlink="">
      <xdr:nvSpPr>
        <xdr:cNvPr id="78" name="文本框 77"/>
        <xdr:cNvSpPr txBox="1"/>
      </xdr:nvSpPr>
      <xdr:spPr>
        <a:xfrm>
          <a:off x="6709996" y="3936754"/>
          <a:ext cx="2876550" cy="695326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zh-CN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重采样参数</a:t>
          </a:r>
          <a:r>
            <a:rPr lang="zh-CN" alt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会生成多组资产组合的收益序列模拟对参数估算的不确定性。</a:t>
          </a:r>
          <a:r>
            <a:rPr lang="en-US" altLang="zh-CN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</a:t>
          </a:r>
          <a:r>
            <a:rPr lang="zh-CN" alt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表示不采用重采样，至多支持</a:t>
          </a:r>
          <a:r>
            <a:rPr lang="en-US" altLang="zh-CN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200</a:t>
          </a:r>
          <a:r>
            <a:rPr lang="zh-CN" alt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次</a:t>
          </a:r>
          <a:endParaRPr lang="zh-CN" altLang="en-US" sz="1100" b="0"/>
        </a:p>
      </xdr:txBody>
    </xdr:sp>
    <xdr:clientData/>
  </xdr:oneCellAnchor>
  <xdr:twoCellAnchor>
    <xdr:from>
      <xdr:col>4</xdr:col>
      <xdr:colOff>131152</xdr:colOff>
      <xdr:row>14</xdr:row>
      <xdr:rowOff>43962</xdr:rowOff>
    </xdr:from>
    <xdr:to>
      <xdr:col>5</xdr:col>
      <xdr:colOff>446942</xdr:colOff>
      <xdr:row>16</xdr:row>
      <xdr:rowOff>35901</xdr:rowOff>
    </xdr:to>
    <xdr:cxnSp macro="">
      <xdr:nvCxnSpPr>
        <xdr:cNvPr id="16" name="直接箭头连接符 15"/>
        <xdr:cNvCxnSpPr>
          <a:stCxn id="12" idx="3"/>
        </xdr:cNvCxnSpPr>
      </xdr:nvCxnSpPr>
      <xdr:spPr>
        <a:xfrm flipV="1">
          <a:off x="2886075" y="2864827"/>
          <a:ext cx="1004521" cy="358286"/>
        </a:xfrm>
        <a:prstGeom prst="straightConnector1">
          <a:avLst/>
        </a:prstGeom>
        <a:ln w="19050">
          <a:solidFill>
            <a:schemeClr val="accent6"/>
          </a:solidFill>
          <a:tailEnd type="triangle"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251313</xdr:colOff>
      <xdr:row>20</xdr:row>
      <xdr:rowOff>169251</xdr:rowOff>
    </xdr:from>
    <xdr:to>
      <xdr:col>9</xdr:col>
      <xdr:colOff>511421</xdr:colOff>
      <xdr:row>21</xdr:row>
      <xdr:rowOff>135916</xdr:rowOff>
    </xdr:to>
    <xdr:cxnSp macro="">
      <xdr:nvCxnSpPr>
        <xdr:cNvPr id="79" name="直接箭头连接符 78"/>
        <xdr:cNvCxnSpPr/>
      </xdr:nvCxnSpPr>
      <xdr:spPr>
        <a:xfrm flipH="1" flipV="1">
          <a:off x="6449890" y="4089155"/>
          <a:ext cx="260108" cy="149838"/>
        </a:xfrm>
        <a:prstGeom prst="straightConnector1">
          <a:avLst/>
        </a:prstGeom>
        <a:ln w="19050">
          <a:solidFill>
            <a:schemeClr val="tx1"/>
          </a:solidFill>
          <a:tailEnd type="triangle"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oneCellAnchor>
    <xdr:from>
      <xdr:col>15</xdr:col>
      <xdr:colOff>526805</xdr:colOff>
      <xdr:row>21</xdr:row>
      <xdr:rowOff>114299</xdr:rowOff>
    </xdr:from>
    <xdr:ext cx="3162300" cy="695326"/>
    <xdr:sp macro="" textlink="">
      <xdr:nvSpPr>
        <xdr:cNvPr id="82" name="文本框 81"/>
        <xdr:cNvSpPr txBox="1"/>
      </xdr:nvSpPr>
      <xdr:spPr>
        <a:xfrm>
          <a:off x="10857767" y="4217376"/>
          <a:ext cx="3162300" cy="695326"/>
        </a:xfrm>
        <a:prstGeom prst="rect">
          <a:avLst/>
        </a:prstGeom>
        <a:ln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zh-CN" alt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当各资产的收益率，波动率，相关系数填写完成后，即可执行</a:t>
          </a:r>
          <a:r>
            <a:rPr lang="zh-CN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开始优化</a:t>
          </a:r>
          <a:r>
            <a:rPr lang="zh-CN" alt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，生成组合数越多，重采样次数越多，计算消耗时间就相对越长。</a:t>
          </a:r>
          <a:endParaRPr lang="zh-CN" altLang="en-US" sz="1100" b="0"/>
        </a:p>
      </xdr:txBody>
    </xdr:sp>
    <xdr:clientData/>
  </xdr:oneCellAnchor>
  <xdr:twoCellAnchor>
    <xdr:from>
      <xdr:col>16</xdr:col>
      <xdr:colOff>28576</xdr:colOff>
      <xdr:row>20</xdr:row>
      <xdr:rowOff>142876</xdr:rowOff>
    </xdr:from>
    <xdr:to>
      <xdr:col>16</xdr:col>
      <xdr:colOff>355356</xdr:colOff>
      <xdr:row>21</xdr:row>
      <xdr:rowOff>133350</xdr:rowOff>
    </xdr:to>
    <xdr:cxnSp macro="">
      <xdr:nvCxnSpPr>
        <xdr:cNvPr id="83" name="直接箭头连接符 82"/>
        <xdr:cNvCxnSpPr/>
      </xdr:nvCxnSpPr>
      <xdr:spPr>
        <a:xfrm flipH="1" flipV="1">
          <a:off x="11048268" y="4062780"/>
          <a:ext cx="326780" cy="17364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oneCellAnchor>
    <xdr:from>
      <xdr:col>0</xdr:col>
      <xdr:colOff>352425</xdr:colOff>
      <xdr:row>28</xdr:row>
      <xdr:rowOff>66674</xdr:rowOff>
    </xdr:from>
    <xdr:ext cx="2085975" cy="1619251"/>
    <xdr:sp macro="" textlink="">
      <xdr:nvSpPr>
        <xdr:cNvPr id="92" name="文本框 91"/>
        <xdr:cNvSpPr txBox="1"/>
      </xdr:nvSpPr>
      <xdr:spPr>
        <a:xfrm>
          <a:off x="352425" y="5390515"/>
          <a:ext cx="2085975" cy="161988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zh-CN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结果解读：</a:t>
          </a:r>
          <a:endParaRPr lang="en-US" altLang="zh-CN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zh-CN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有效前沿</a:t>
          </a:r>
          <a:r>
            <a:rPr lang="zh-CN" alt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绘制了每一个有效组合的连接线（有效组合：在指定收益承担</a:t>
          </a:r>
          <a:r>
            <a:rPr lang="zh-CN" altLang="zh-CN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最小风险</a:t>
          </a:r>
          <a:r>
            <a:rPr lang="zh-CN" alt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，或在指定风险获得最高收益的组合）。</a:t>
          </a:r>
          <a:endParaRPr lang="en-US" altLang="zh-CN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zh-CN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表格详细数据</a:t>
          </a:r>
          <a:r>
            <a:rPr lang="zh-CN" alt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给出了计算结果中各个优化组合的风险收益情况，及各个资产的权重配置。</a:t>
          </a:r>
          <a:endParaRPr lang="zh-CN" altLang="en-US" sz="1100" b="0"/>
        </a:p>
      </xdr:txBody>
    </xdr:sp>
    <xdr:clientData/>
  </xdr:oneCellAnchor>
  <xdr:oneCellAnchor>
    <xdr:from>
      <xdr:col>0</xdr:col>
      <xdr:colOff>76200</xdr:colOff>
      <xdr:row>0</xdr:row>
      <xdr:rowOff>133350</xdr:rowOff>
    </xdr:from>
    <xdr:ext cx="607152" cy="219075"/>
    <xdr:pic>
      <xdr:nvPicPr>
        <xdr:cNvPr id="23" name="图片 2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133350"/>
          <a:ext cx="607060" cy="219075"/>
        </a:xfrm>
        <a:prstGeom prst="rect">
          <a:avLst/>
        </a:prstGeom>
      </xdr:spPr>
    </xdr:pic>
    <xdr:clientData/>
  </xdr:oneCellAnchor>
  <xdr:oneCellAnchor>
    <xdr:from>
      <xdr:col>0</xdr:col>
      <xdr:colOff>27940</xdr:colOff>
      <xdr:row>18</xdr:row>
      <xdr:rowOff>16564</xdr:rowOff>
    </xdr:from>
    <xdr:ext cx="3144299" cy="306457"/>
    <xdr:sp macro="" textlink="">
      <xdr:nvSpPr>
        <xdr:cNvPr id="27" name="文本框 26"/>
        <xdr:cNvSpPr txBox="1"/>
      </xdr:nvSpPr>
      <xdr:spPr>
        <a:xfrm>
          <a:off x="27940" y="3553238"/>
          <a:ext cx="3144299" cy="306457"/>
        </a:xfrm>
        <a:prstGeom prst="rect">
          <a:avLst/>
        </a:prstGeom>
        <a:ln>
          <a:solidFill>
            <a:srgbClr val="7030A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zh-CN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配置上下限</a:t>
          </a:r>
          <a:r>
            <a:rPr lang="zh-CN" alt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为各资产的最小和最大配置比例限制</a:t>
          </a:r>
          <a:endParaRPr lang="zh-CN" altLang="en-US" sz="1100"/>
        </a:p>
      </xdr:txBody>
    </xdr:sp>
    <xdr:clientData/>
  </xdr:oneCellAnchor>
  <xdr:twoCellAnchor>
    <xdr:from>
      <xdr:col>4</xdr:col>
      <xdr:colOff>434423</xdr:colOff>
      <xdr:row>14</xdr:row>
      <xdr:rowOff>7327</xdr:rowOff>
    </xdr:from>
    <xdr:to>
      <xdr:col>6</xdr:col>
      <xdr:colOff>600807</xdr:colOff>
      <xdr:row>18</xdr:row>
      <xdr:rowOff>178489</xdr:rowOff>
    </xdr:to>
    <xdr:cxnSp macro="">
      <xdr:nvCxnSpPr>
        <xdr:cNvPr id="28" name="直接箭头连接符 27"/>
        <xdr:cNvCxnSpPr/>
      </xdr:nvCxnSpPr>
      <xdr:spPr>
        <a:xfrm flipV="1">
          <a:off x="3189346" y="2828192"/>
          <a:ext cx="1543846" cy="903855"/>
        </a:xfrm>
        <a:prstGeom prst="straightConnector1">
          <a:avLst/>
        </a:prstGeom>
        <a:ln w="19050">
          <a:solidFill>
            <a:srgbClr val="7030A0"/>
          </a:solidFill>
          <a:tailEnd type="triangle"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6</xdr:col>
      <xdr:colOff>16311</xdr:colOff>
      <xdr:row>7</xdr:row>
      <xdr:rowOff>71070</xdr:rowOff>
    </xdr:from>
    <xdr:to>
      <xdr:col>7</xdr:col>
      <xdr:colOff>479755</xdr:colOff>
      <xdr:row>14</xdr:row>
      <xdr:rowOff>32970</xdr:rowOff>
    </xdr:to>
    <xdr:sp macro="" textlink="">
      <xdr:nvSpPr>
        <xdr:cNvPr id="30" name="矩形 29"/>
        <xdr:cNvSpPr/>
      </xdr:nvSpPr>
      <xdr:spPr>
        <a:xfrm>
          <a:off x="4148696" y="1609724"/>
          <a:ext cx="1152174" cy="1244111"/>
        </a:xfrm>
        <a:prstGeom prst="rect">
          <a:avLst/>
        </a:prstGeom>
        <a:noFill/>
        <a:ln w="19050"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V98"/>
  <sheetViews>
    <sheetView showGridLines="0" tabSelected="1" zoomScaleNormal="100" workbookViewId="0">
      <selection activeCell="E19" sqref="E19"/>
    </sheetView>
  </sheetViews>
  <sheetFormatPr defaultColWidth="9" defaultRowHeight="14.25" x14ac:dyDescent="0.2"/>
  <cols>
    <col min="1" max="1" width="3.25" customWidth="1"/>
    <col min="2" max="3" width="1.75" customWidth="1"/>
    <col min="4" max="8" width="10.625" customWidth="1"/>
    <col min="9" max="9" width="1.75" customWidth="1"/>
    <col min="10" max="20" width="10.625" customWidth="1"/>
    <col min="21" max="22" width="1.75" customWidth="1"/>
    <col min="23" max="23" width="3.25" customWidth="1"/>
    <col min="24" max="24" width="9.625" customWidth="1"/>
  </cols>
  <sheetData>
    <row r="1" spans="2:22" ht="34.5" customHeight="1" x14ac:dyDescent="0.2">
      <c r="B1" s="1"/>
      <c r="C1" s="1"/>
      <c r="D1" s="28" t="s">
        <v>0</v>
      </c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1"/>
      <c r="V1" s="1"/>
    </row>
    <row r="2" spans="2:22" ht="12" customHeight="1" x14ac:dyDescent="0.3">
      <c r="B2" s="2"/>
      <c r="C2" s="2"/>
      <c r="D2" s="2"/>
      <c r="E2" s="3"/>
      <c r="F2" s="3"/>
      <c r="G2" s="3"/>
      <c r="H2" s="3"/>
      <c r="I2" s="3"/>
      <c r="J2" s="2"/>
      <c r="K2" s="3"/>
      <c r="L2" s="3"/>
      <c r="M2" s="3"/>
      <c r="N2" s="3"/>
      <c r="O2" s="3"/>
      <c r="P2" s="3"/>
      <c r="Q2" s="3"/>
      <c r="R2" s="2"/>
      <c r="S2" s="2"/>
      <c r="T2" s="3"/>
      <c r="U2" s="3"/>
      <c r="V2" s="3"/>
    </row>
    <row r="3" spans="2:22" ht="12" customHeight="1" x14ac:dyDescent="0.3">
      <c r="B3" s="2"/>
      <c r="C3" s="4"/>
      <c r="D3" s="4"/>
      <c r="E3" s="5"/>
      <c r="F3" s="5"/>
      <c r="G3" s="5"/>
      <c r="H3" s="5"/>
      <c r="I3" s="4"/>
      <c r="J3" s="4"/>
      <c r="K3" s="5"/>
      <c r="L3" s="5"/>
      <c r="M3" s="5"/>
      <c r="N3" s="5"/>
      <c r="O3" s="5"/>
      <c r="P3" s="5"/>
      <c r="Q3" s="4"/>
      <c r="R3" s="4"/>
      <c r="S3" s="4"/>
      <c r="T3" s="4"/>
      <c r="U3" s="4"/>
      <c r="V3" s="3"/>
    </row>
    <row r="4" spans="2:22" ht="21.75" thickBot="1" x14ac:dyDescent="0.35">
      <c r="B4" s="2"/>
      <c r="C4" s="4"/>
      <c r="D4" s="29" t="s">
        <v>1</v>
      </c>
      <c r="E4" s="29"/>
      <c r="F4" s="29"/>
      <c r="G4" s="24"/>
      <c r="H4" s="24"/>
      <c r="I4" s="6"/>
      <c r="J4" s="30" t="s">
        <v>2</v>
      </c>
      <c r="K4" s="30"/>
      <c r="L4" s="30"/>
      <c r="M4" s="30"/>
      <c r="N4" s="30"/>
      <c r="O4" s="30"/>
      <c r="P4" s="30"/>
      <c r="Q4" s="30"/>
      <c r="R4" s="30"/>
      <c r="S4" s="30"/>
      <c r="T4" s="30"/>
      <c r="U4" s="20"/>
      <c r="V4" s="21"/>
    </row>
    <row r="5" spans="2:22" ht="20.100000000000001" customHeight="1" thickTop="1" thickBot="1" x14ac:dyDescent="0.4">
      <c r="B5" s="2"/>
      <c r="C5" s="4"/>
      <c r="D5" s="7" t="s">
        <v>3</v>
      </c>
      <c r="E5" s="7" t="s">
        <v>4</v>
      </c>
      <c r="F5" s="7" t="s">
        <v>5</v>
      </c>
      <c r="G5" s="7" t="s">
        <v>20</v>
      </c>
      <c r="H5" s="7" t="s">
        <v>19</v>
      </c>
      <c r="I5" s="8"/>
      <c r="J5" s="9"/>
      <c r="K5" s="10" t="s">
        <v>21</v>
      </c>
      <c r="L5" s="10" t="s">
        <v>26</v>
      </c>
      <c r="M5" s="10" t="s">
        <v>6</v>
      </c>
      <c r="N5" s="10" t="s">
        <v>22</v>
      </c>
      <c r="O5" s="10" t="s">
        <v>7</v>
      </c>
      <c r="P5" s="10" t="s">
        <v>8</v>
      </c>
      <c r="Q5" s="10" t="s">
        <v>9</v>
      </c>
      <c r="R5" s="10" t="s">
        <v>10</v>
      </c>
      <c r="S5" s="10" t="s">
        <v>11</v>
      </c>
      <c r="T5" s="10" t="s">
        <v>12</v>
      </c>
      <c r="U5" s="22"/>
      <c r="V5" s="2"/>
    </row>
    <row r="6" spans="2:22" ht="20.100000000000001" customHeight="1" thickTop="1" thickBot="1" x14ac:dyDescent="0.35">
      <c r="B6" s="2"/>
      <c r="C6" s="4"/>
      <c r="D6" s="10" t="s">
        <v>21</v>
      </c>
      <c r="E6" s="11">
        <v>7.17E-2</v>
      </c>
      <c r="F6" s="12">
        <v>0.214</v>
      </c>
      <c r="G6" s="12">
        <v>0</v>
      </c>
      <c r="H6" s="12">
        <v>1</v>
      </c>
      <c r="I6" s="25"/>
      <c r="J6" s="10" t="s">
        <v>21</v>
      </c>
      <c r="K6" s="17">
        <v>1</v>
      </c>
      <c r="L6" s="18">
        <v>0.81</v>
      </c>
      <c r="M6" s="18">
        <v>0.75</v>
      </c>
      <c r="N6" s="18">
        <v>0.74</v>
      </c>
      <c r="O6" s="18">
        <v>0.87</v>
      </c>
      <c r="P6" s="18">
        <v>0.7</v>
      </c>
      <c r="Q6" s="18"/>
      <c r="R6" s="18"/>
      <c r="S6" s="18"/>
      <c r="T6" s="18"/>
      <c r="U6" s="22"/>
      <c r="V6" s="2"/>
    </row>
    <row r="7" spans="2:22" ht="20.100000000000001" customHeight="1" thickTop="1" thickBot="1" x14ac:dyDescent="0.35">
      <c r="B7" s="2"/>
      <c r="C7" s="4"/>
      <c r="D7" s="10" t="s">
        <v>23</v>
      </c>
      <c r="E7" s="11">
        <v>7.9100000000000004E-2</v>
      </c>
      <c r="F7" s="12">
        <v>0.21659999999999999</v>
      </c>
      <c r="G7" s="12">
        <v>0</v>
      </c>
      <c r="H7" s="12">
        <v>1</v>
      </c>
      <c r="I7" s="25"/>
      <c r="J7" s="10" t="s">
        <v>24</v>
      </c>
      <c r="K7" s="19">
        <v>0.81</v>
      </c>
      <c r="L7" s="17">
        <v>1</v>
      </c>
      <c r="M7" s="18">
        <v>0.8</v>
      </c>
      <c r="N7" s="18">
        <v>0.6</v>
      </c>
      <c r="O7" s="18">
        <v>0.71</v>
      </c>
      <c r="P7" s="18">
        <v>0.6</v>
      </c>
      <c r="Q7" s="18"/>
      <c r="R7" s="18"/>
      <c r="S7" s="18"/>
      <c r="T7" s="18"/>
      <c r="U7" s="22"/>
      <c r="V7" s="2"/>
    </row>
    <row r="8" spans="2:22" ht="20.100000000000001" customHeight="1" thickTop="1" thickBot="1" x14ac:dyDescent="0.35">
      <c r="B8" s="2"/>
      <c r="C8" s="4"/>
      <c r="D8" s="10" t="s">
        <v>6</v>
      </c>
      <c r="E8" s="11">
        <v>5.7500000000000002E-2</v>
      </c>
      <c r="F8" s="12">
        <v>0.2135</v>
      </c>
      <c r="G8" s="12">
        <v>0</v>
      </c>
      <c r="H8" s="12">
        <v>1</v>
      </c>
      <c r="I8" s="25"/>
      <c r="J8" s="10" t="s">
        <v>6</v>
      </c>
      <c r="K8" s="19">
        <v>0.75</v>
      </c>
      <c r="L8" s="19">
        <v>0.8</v>
      </c>
      <c r="M8" s="17">
        <v>1</v>
      </c>
      <c r="N8" s="18">
        <v>0.78</v>
      </c>
      <c r="O8" s="18">
        <v>0.71</v>
      </c>
      <c r="P8" s="18">
        <v>0.66</v>
      </c>
      <c r="Q8" s="18"/>
      <c r="R8" s="18"/>
      <c r="S8" s="18"/>
      <c r="T8" s="18"/>
      <c r="U8" s="22"/>
      <c r="V8" s="2"/>
    </row>
    <row r="9" spans="2:22" ht="20.100000000000001" customHeight="1" thickTop="1" thickBot="1" x14ac:dyDescent="0.35">
      <c r="B9" s="2"/>
      <c r="C9" s="4"/>
      <c r="D9" s="10" t="s">
        <v>22</v>
      </c>
      <c r="E9" s="11">
        <v>7.6300000000000007E-2</v>
      </c>
      <c r="F9" s="12">
        <v>0.23280000000000001</v>
      </c>
      <c r="G9" s="12">
        <v>0</v>
      </c>
      <c r="H9" s="12">
        <v>1</v>
      </c>
      <c r="I9" s="25"/>
      <c r="J9" s="10" t="s">
        <v>22</v>
      </c>
      <c r="K9" s="19">
        <v>0.74</v>
      </c>
      <c r="L9" s="19">
        <v>0.6</v>
      </c>
      <c r="M9" s="19">
        <v>0.78</v>
      </c>
      <c r="N9" s="17">
        <v>1</v>
      </c>
      <c r="O9" s="18">
        <v>0.67</v>
      </c>
      <c r="P9" s="18">
        <v>0.48</v>
      </c>
      <c r="Q9" s="18"/>
      <c r="R9" s="18"/>
      <c r="S9" s="18"/>
      <c r="T9" s="18"/>
      <c r="U9" s="22"/>
      <c r="V9" s="2"/>
    </row>
    <row r="10" spans="2:22" ht="20.100000000000001" customHeight="1" thickTop="1" thickBot="1" x14ac:dyDescent="0.35">
      <c r="B10" s="2"/>
      <c r="C10" s="4"/>
      <c r="D10" s="10" t="s">
        <v>7</v>
      </c>
      <c r="E10" s="11">
        <v>5.2200000000000003E-2</v>
      </c>
      <c r="F10" s="12">
        <v>0.1663</v>
      </c>
      <c r="G10" s="12">
        <v>0</v>
      </c>
      <c r="H10" s="12">
        <v>1</v>
      </c>
      <c r="I10" s="25"/>
      <c r="J10" s="10" t="s">
        <v>28</v>
      </c>
      <c r="K10" s="19">
        <v>0.87</v>
      </c>
      <c r="L10" s="19">
        <v>0.71</v>
      </c>
      <c r="M10" s="19">
        <v>0.71</v>
      </c>
      <c r="N10" s="19">
        <v>0.67</v>
      </c>
      <c r="O10" s="17">
        <v>1</v>
      </c>
      <c r="P10" s="18">
        <v>0.7</v>
      </c>
      <c r="Q10" s="18"/>
      <c r="R10" s="18"/>
      <c r="S10" s="18"/>
      <c r="T10" s="18"/>
      <c r="U10" s="22"/>
      <c r="V10" s="2"/>
    </row>
    <row r="11" spans="2:22" ht="20.100000000000001" customHeight="1" thickTop="1" thickBot="1" x14ac:dyDescent="0.35">
      <c r="B11" s="2"/>
      <c r="C11" s="4"/>
      <c r="D11" s="10" t="s">
        <v>8</v>
      </c>
      <c r="E11" s="11">
        <v>6.4500000000000002E-2</v>
      </c>
      <c r="F11" s="12">
        <v>0.18559999999999999</v>
      </c>
      <c r="G11" s="12">
        <v>0</v>
      </c>
      <c r="H11" s="12">
        <v>1</v>
      </c>
      <c r="I11" s="25"/>
      <c r="J11" s="10" t="s">
        <v>29</v>
      </c>
      <c r="K11" s="19">
        <v>0.7</v>
      </c>
      <c r="L11" s="19">
        <v>0.6</v>
      </c>
      <c r="M11" s="19">
        <v>0.66</v>
      </c>
      <c r="N11" s="19">
        <v>0.48</v>
      </c>
      <c r="O11" s="19">
        <v>0.7</v>
      </c>
      <c r="P11" s="17">
        <v>1</v>
      </c>
      <c r="Q11" s="18"/>
      <c r="R11" s="18"/>
      <c r="S11" s="18"/>
      <c r="T11" s="18"/>
      <c r="U11" s="22"/>
      <c r="V11" s="2"/>
    </row>
    <row r="12" spans="2:22" ht="20.100000000000001" customHeight="1" thickTop="1" thickBot="1" x14ac:dyDescent="0.35">
      <c r="B12" s="2"/>
      <c r="C12" s="4"/>
      <c r="D12" s="10" t="s">
        <v>9</v>
      </c>
      <c r="E12" s="11"/>
      <c r="F12" s="12"/>
      <c r="G12" s="12"/>
      <c r="H12" s="12"/>
      <c r="I12" s="25"/>
      <c r="J12" s="10" t="s">
        <v>9</v>
      </c>
      <c r="K12" s="19"/>
      <c r="L12" s="19"/>
      <c r="M12" s="19"/>
      <c r="N12" s="19"/>
      <c r="O12" s="19"/>
      <c r="P12" s="19"/>
      <c r="Q12" s="17"/>
      <c r="R12" s="18"/>
      <c r="S12" s="18"/>
      <c r="T12" s="18"/>
      <c r="U12" s="22"/>
      <c r="V12" s="2"/>
    </row>
    <row r="13" spans="2:22" ht="20.100000000000001" customHeight="1" thickTop="1" thickBot="1" x14ac:dyDescent="0.35">
      <c r="B13" s="2"/>
      <c r="C13" s="4"/>
      <c r="D13" s="10" t="s">
        <v>10</v>
      </c>
      <c r="E13" s="11"/>
      <c r="F13" s="12"/>
      <c r="G13" s="12"/>
      <c r="H13" s="12"/>
      <c r="I13" s="8"/>
      <c r="J13" s="10" t="s">
        <v>10</v>
      </c>
      <c r="K13" s="19"/>
      <c r="L13" s="19"/>
      <c r="M13" s="19"/>
      <c r="N13" s="19"/>
      <c r="O13" s="19"/>
      <c r="P13" s="19"/>
      <c r="Q13" s="19"/>
      <c r="R13" s="17"/>
      <c r="S13" s="18"/>
      <c r="T13" s="18"/>
      <c r="U13" s="22"/>
      <c r="V13" s="2"/>
    </row>
    <row r="14" spans="2:22" ht="20.100000000000001" customHeight="1" thickTop="1" thickBot="1" x14ac:dyDescent="0.35">
      <c r="B14" s="2"/>
      <c r="C14" s="4"/>
      <c r="D14" s="10" t="s">
        <v>11</v>
      </c>
      <c r="E14" s="11"/>
      <c r="F14" s="12"/>
      <c r="G14" s="12"/>
      <c r="H14" s="12"/>
      <c r="I14" s="8"/>
      <c r="J14" s="10" t="s">
        <v>11</v>
      </c>
      <c r="K14" s="19"/>
      <c r="L14" s="19"/>
      <c r="M14" s="19"/>
      <c r="N14" s="19"/>
      <c r="O14" s="19"/>
      <c r="P14" s="19"/>
      <c r="Q14" s="19"/>
      <c r="R14" s="19"/>
      <c r="S14" s="17"/>
      <c r="T14" s="18"/>
      <c r="U14" s="22"/>
      <c r="V14" s="2"/>
    </row>
    <row r="15" spans="2:22" ht="20.100000000000001" customHeight="1" thickTop="1" thickBot="1" x14ac:dyDescent="0.35">
      <c r="B15" s="2"/>
      <c r="C15" s="4"/>
      <c r="D15" s="10" t="s">
        <v>12</v>
      </c>
      <c r="E15" s="11"/>
      <c r="F15" s="12"/>
      <c r="G15" s="12"/>
      <c r="H15" s="12"/>
      <c r="I15" s="13"/>
      <c r="J15" s="10" t="s">
        <v>12</v>
      </c>
      <c r="K15" s="19"/>
      <c r="L15" s="19"/>
      <c r="M15" s="19"/>
      <c r="N15" s="19"/>
      <c r="O15" s="19"/>
      <c r="P15" s="19"/>
      <c r="Q15" s="19"/>
      <c r="R15" s="19"/>
      <c r="S15" s="19"/>
      <c r="T15" s="17"/>
      <c r="U15" s="22"/>
      <c r="V15" s="2"/>
    </row>
    <row r="16" spans="2:22" ht="12" customHeight="1" thickTop="1" x14ac:dyDescent="0.3">
      <c r="B16" s="2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2"/>
    </row>
    <row r="17" spans="2:22" ht="16.5" x14ac:dyDescent="0.3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</row>
    <row r="18" spans="2:22" ht="12" customHeight="1" x14ac:dyDescent="0.3">
      <c r="B18" s="2"/>
      <c r="C18" s="4"/>
      <c r="D18" s="4"/>
      <c r="E18" s="5"/>
      <c r="F18" s="5"/>
      <c r="G18" s="5"/>
      <c r="H18" s="5"/>
      <c r="I18" s="4"/>
      <c r="J18" s="4"/>
      <c r="K18" s="5"/>
      <c r="L18" s="5"/>
      <c r="M18" s="5"/>
      <c r="N18" s="5"/>
      <c r="O18" s="5"/>
      <c r="P18" s="5"/>
      <c r="Q18" s="4"/>
      <c r="R18" s="4"/>
      <c r="S18" s="4"/>
      <c r="T18" s="4"/>
      <c r="U18" s="4"/>
      <c r="V18" s="3"/>
    </row>
    <row r="19" spans="2:22" ht="18" x14ac:dyDescent="0.3">
      <c r="B19" s="2"/>
      <c r="C19" s="4"/>
      <c r="D19" s="14" t="s">
        <v>13</v>
      </c>
      <c r="E19" s="15">
        <v>20</v>
      </c>
      <c r="F19" s="4"/>
      <c r="G19" s="4"/>
      <c r="H19" s="4"/>
      <c r="I19" s="4"/>
      <c r="J19" s="14" t="s">
        <v>14</v>
      </c>
      <c r="K19" s="15">
        <v>0</v>
      </c>
      <c r="L19" s="4"/>
      <c r="M19" s="4"/>
      <c r="N19" s="4"/>
      <c r="O19" s="4"/>
      <c r="P19" s="4"/>
      <c r="Q19" s="4"/>
      <c r="R19" s="4"/>
      <c r="S19" s="4"/>
      <c r="T19" s="4"/>
      <c r="U19" s="4"/>
      <c r="V19" s="2"/>
    </row>
    <row r="20" spans="2:22" ht="12" customHeight="1" x14ac:dyDescent="0.3">
      <c r="B20" s="2"/>
      <c r="C20" s="4"/>
      <c r="D20" s="4"/>
      <c r="E20" s="5"/>
      <c r="F20" s="5"/>
      <c r="G20" s="5"/>
      <c r="H20" s="5"/>
      <c r="I20" s="4"/>
      <c r="J20" s="4"/>
      <c r="K20" s="5"/>
      <c r="L20" s="5"/>
      <c r="M20" s="5"/>
      <c r="N20" s="5"/>
      <c r="O20" s="5"/>
      <c r="P20" s="5"/>
      <c r="Q20" s="4"/>
      <c r="R20" s="4"/>
      <c r="S20" s="4"/>
      <c r="T20" s="4"/>
      <c r="U20" s="4"/>
      <c r="V20" s="3"/>
    </row>
    <row r="21" spans="2:22" ht="16.5" x14ac:dyDescent="0.3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</row>
    <row r="22" spans="2:22" ht="12" customHeight="1" x14ac:dyDescent="0.3">
      <c r="B22" s="2"/>
      <c r="C22" s="4"/>
      <c r="D22" s="4"/>
      <c r="E22" s="5"/>
      <c r="F22" s="5"/>
      <c r="G22" s="5"/>
      <c r="H22" s="5"/>
      <c r="I22" s="4"/>
      <c r="J22" s="4"/>
      <c r="K22" s="5"/>
      <c r="L22" s="5"/>
      <c r="M22" s="5"/>
      <c r="N22" s="5"/>
      <c r="O22" s="5"/>
      <c r="P22" s="5"/>
      <c r="Q22" s="4"/>
      <c r="R22" s="4"/>
      <c r="S22" s="4"/>
      <c r="T22" s="4"/>
      <c r="U22" s="4"/>
      <c r="V22" s="3"/>
    </row>
    <row r="23" spans="2:22" ht="16.5" x14ac:dyDescent="0.3">
      <c r="B23" s="2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2"/>
    </row>
    <row r="24" spans="2:22" ht="16.5" x14ac:dyDescent="0.3">
      <c r="B24" s="2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2"/>
    </row>
    <row r="25" spans="2:22" ht="16.5" x14ac:dyDescent="0.3">
      <c r="B25" s="2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2"/>
    </row>
    <row r="26" spans="2:22" ht="16.5" x14ac:dyDescent="0.3">
      <c r="B26" s="2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2"/>
    </row>
    <row r="27" spans="2:22" ht="16.5" x14ac:dyDescent="0.3">
      <c r="B27" s="2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2"/>
    </row>
    <row r="28" spans="2:22" ht="16.5" x14ac:dyDescent="0.3">
      <c r="B28" s="2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2"/>
    </row>
    <row r="29" spans="2:22" ht="16.5" x14ac:dyDescent="0.3">
      <c r="B29" s="2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2"/>
    </row>
    <row r="30" spans="2:22" ht="16.5" x14ac:dyDescent="0.3">
      <c r="B30" s="2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2"/>
    </row>
    <row r="31" spans="2:22" ht="16.5" x14ac:dyDescent="0.3">
      <c r="B31" s="2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2"/>
    </row>
    <row r="32" spans="2:22" ht="16.5" x14ac:dyDescent="0.3">
      <c r="B32" s="2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2"/>
    </row>
    <row r="33" spans="2:22" ht="16.5" x14ac:dyDescent="0.3">
      <c r="B33" s="2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2"/>
    </row>
    <row r="34" spans="2:22" ht="16.5" x14ac:dyDescent="0.3">
      <c r="B34" s="2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2"/>
    </row>
    <row r="35" spans="2:22" ht="16.5" x14ac:dyDescent="0.3">
      <c r="B35" s="2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2"/>
    </row>
    <row r="36" spans="2:22" ht="16.5" x14ac:dyDescent="0.3">
      <c r="B36" s="2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2"/>
    </row>
    <row r="37" spans="2:22" ht="16.5" x14ac:dyDescent="0.3">
      <c r="B37" s="2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2"/>
    </row>
    <row r="38" spans="2:22" ht="16.5" x14ac:dyDescent="0.3">
      <c r="B38" s="2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2"/>
    </row>
    <row r="39" spans="2:22" ht="16.5" x14ac:dyDescent="0.3">
      <c r="B39" s="2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2"/>
    </row>
    <row r="40" spans="2:22" ht="16.5" x14ac:dyDescent="0.3">
      <c r="B40" s="2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2"/>
    </row>
    <row r="41" spans="2:22" ht="16.5" x14ac:dyDescent="0.3">
      <c r="B41" s="2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2"/>
    </row>
    <row r="42" spans="2:22" ht="12" customHeight="1" x14ac:dyDescent="0.3">
      <c r="B42" s="2"/>
      <c r="C42" s="4"/>
      <c r="D42" s="4"/>
      <c r="E42" s="5"/>
      <c r="F42" s="5"/>
      <c r="G42" s="5"/>
      <c r="H42" s="5"/>
      <c r="I42" s="4"/>
      <c r="J42" s="4"/>
      <c r="K42" s="5"/>
      <c r="L42" s="5"/>
      <c r="M42" s="5"/>
      <c r="N42" s="5"/>
      <c r="O42" s="5"/>
      <c r="P42" s="5"/>
      <c r="Q42" s="4"/>
      <c r="R42" s="4"/>
      <c r="S42" s="4"/>
      <c r="T42" s="4"/>
      <c r="U42" s="4"/>
      <c r="V42" s="3"/>
    </row>
    <row r="43" spans="2:22" ht="12" customHeight="1" x14ac:dyDescent="0.3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3"/>
    </row>
    <row r="44" spans="2:22" ht="12" customHeight="1" thickBot="1" x14ac:dyDescent="0.35">
      <c r="B44" s="2"/>
      <c r="V44" s="3"/>
    </row>
    <row r="45" spans="2:22" ht="19.5" thickTop="1" thickBot="1" x14ac:dyDescent="0.35">
      <c r="B45" s="2"/>
      <c r="D45" s="31" t="s">
        <v>15</v>
      </c>
      <c r="E45" s="31" t="s">
        <v>1</v>
      </c>
      <c r="F45" s="31"/>
      <c r="G45" s="26"/>
      <c r="H45" s="26"/>
      <c r="I45" s="26"/>
      <c r="J45" s="31" t="s">
        <v>16</v>
      </c>
      <c r="K45" s="31"/>
      <c r="L45" s="31"/>
      <c r="M45" s="31"/>
      <c r="N45" s="31"/>
      <c r="O45" s="31"/>
      <c r="P45" s="31"/>
      <c r="Q45" s="31"/>
      <c r="R45" s="31"/>
      <c r="S45" s="31"/>
      <c r="T45" s="31"/>
      <c r="V45" s="2"/>
    </row>
    <row r="46" spans="2:22" ht="19.5" thickTop="1" thickBot="1" x14ac:dyDescent="0.35">
      <c r="B46" s="2"/>
      <c r="D46" s="31"/>
      <c r="E46" s="16" t="s">
        <v>4</v>
      </c>
      <c r="F46" s="16" t="s">
        <v>5</v>
      </c>
      <c r="G46" s="26"/>
      <c r="H46" s="26"/>
      <c r="I46" s="26">
        <v>1</v>
      </c>
      <c r="J46" s="10" t="s">
        <v>21</v>
      </c>
      <c r="K46" s="10" t="s">
        <v>25</v>
      </c>
      <c r="L46" s="10" t="s">
        <v>6</v>
      </c>
      <c r="M46" s="10" t="s">
        <v>27</v>
      </c>
      <c r="N46" s="10" t="s">
        <v>7</v>
      </c>
      <c r="O46" s="10" t="s">
        <v>8</v>
      </c>
      <c r="P46" s="10" t="s">
        <v>9</v>
      </c>
      <c r="Q46" s="10" t="s">
        <v>10</v>
      </c>
      <c r="R46" s="10" t="s">
        <v>11</v>
      </c>
      <c r="S46" s="10" t="s">
        <v>12</v>
      </c>
      <c r="T46" s="9" t="s">
        <v>17</v>
      </c>
      <c r="V46" s="2"/>
    </row>
    <row r="47" spans="2:22" ht="19.5" thickTop="1" thickBot="1" x14ac:dyDescent="0.35">
      <c r="B47" s="2"/>
      <c r="D47" s="9" t="s">
        <v>30</v>
      </c>
      <c r="E47" s="12">
        <v>5.7556474992922692E-2</v>
      </c>
      <c r="F47" s="12">
        <v>0.1601371871218388</v>
      </c>
      <c r="G47" s="27">
        <v>5.7556474992922692E-2</v>
      </c>
      <c r="H47" s="26"/>
      <c r="I47" s="26"/>
      <c r="J47" s="12">
        <v>0</v>
      </c>
      <c r="K47" s="12">
        <v>1.477603893757456E-2</v>
      </c>
      <c r="L47" s="12">
        <v>1.3096786125727898E-18</v>
      </c>
      <c r="M47" s="12">
        <v>4.5197249658047875E-2</v>
      </c>
      <c r="N47" s="12">
        <v>0.62541322939275346</v>
      </c>
      <c r="O47" s="12">
        <v>0.31461348201162415</v>
      </c>
      <c r="P47" s="12"/>
      <c r="Q47" s="12"/>
      <c r="R47" s="12"/>
      <c r="S47" s="12"/>
      <c r="T47" s="12">
        <f>SUM(J47:S47)</f>
        <v>1</v>
      </c>
      <c r="U47" s="23"/>
      <c r="V47" s="2"/>
    </row>
    <row r="48" spans="2:22" ht="19.5" thickTop="1" thickBot="1" x14ac:dyDescent="0.35">
      <c r="B48" s="2"/>
      <c r="D48" s="9" t="s">
        <v>31</v>
      </c>
      <c r="E48" s="12">
        <v>5.8690344730197005E-2</v>
      </c>
      <c r="F48" s="12">
        <v>0.16022888907915808</v>
      </c>
      <c r="G48" s="27">
        <v>5.8690344730197005E-2</v>
      </c>
      <c r="H48" s="26"/>
      <c r="I48" s="26"/>
      <c r="J48" s="12">
        <v>0</v>
      </c>
      <c r="K48" s="12">
        <v>3.8229637248274814E-2</v>
      </c>
      <c r="L48" s="12">
        <v>0</v>
      </c>
      <c r="M48" s="12">
        <v>6.0724741352962644E-2</v>
      </c>
      <c r="N48" s="12">
        <v>0.5759642212677043</v>
      </c>
      <c r="O48" s="12">
        <v>0.32508140013105818</v>
      </c>
      <c r="P48" s="12"/>
      <c r="Q48" s="12"/>
      <c r="R48" s="12"/>
      <c r="S48" s="12"/>
      <c r="T48" s="12">
        <f>SUM(J48:S48)</f>
        <v>1</v>
      </c>
      <c r="V48" s="2"/>
    </row>
    <row r="49" spans="2:22" ht="19.5" thickTop="1" thickBot="1" x14ac:dyDescent="0.35">
      <c r="B49" s="2"/>
      <c r="D49" s="9" t="s">
        <v>32</v>
      </c>
      <c r="E49" s="12">
        <v>5.9824214467429471E-2</v>
      </c>
      <c r="F49" s="12">
        <v>0.16050364960927102</v>
      </c>
      <c r="G49" s="27">
        <v>5.9824214467429471E-2</v>
      </c>
      <c r="H49" s="26"/>
      <c r="I49" s="26"/>
      <c r="J49" s="12">
        <v>0</v>
      </c>
      <c r="K49" s="12">
        <v>6.1691822399997487E-2</v>
      </c>
      <c r="L49" s="12">
        <v>0</v>
      </c>
      <c r="M49" s="12">
        <v>7.6247647178991212E-2</v>
      </c>
      <c r="N49" s="12">
        <v>0.52652100620509001</v>
      </c>
      <c r="O49" s="12">
        <v>0.33553952421592143</v>
      </c>
      <c r="P49" s="12"/>
      <c r="Q49" s="12"/>
      <c r="R49" s="12"/>
      <c r="S49" s="12"/>
      <c r="T49" s="12">
        <f>SUM(J49:S49)</f>
        <v>1.0000000000000002</v>
      </c>
      <c r="V49" s="2"/>
    </row>
    <row r="50" spans="2:22" ht="19.5" thickTop="1" thickBot="1" x14ac:dyDescent="0.35">
      <c r="B50" s="2"/>
      <c r="D50" s="9" t="s">
        <v>33</v>
      </c>
      <c r="E50" s="12">
        <v>6.0958084204530104E-2</v>
      </c>
      <c r="F50" s="12">
        <v>0.16096053127198018</v>
      </c>
      <c r="G50" s="27">
        <v>6.0958084204530104E-2</v>
      </c>
      <c r="H50" s="26"/>
      <c r="I50" s="26"/>
      <c r="J50" s="12">
        <v>0</v>
      </c>
      <c r="K50" s="12">
        <v>8.5152191616329295E-2</v>
      </c>
      <c r="L50" s="12">
        <v>0</v>
      </c>
      <c r="M50" s="12">
        <v>9.1772115645500293E-2</v>
      </c>
      <c r="N50" s="12">
        <v>0.4770771347711556</v>
      </c>
      <c r="O50" s="12">
        <v>0.34599855796701484</v>
      </c>
      <c r="P50" s="12"/>
      <c r="Q50" s="12"/>
      <c r="R50" s="12"/>
      <c r="S50" s="12"/>
      <c r="T50" s="12">
        <f>SUM(J50:S50)</f>
        <v>1</v>
      </c>
      <c r="V50" s="2"/>
    </row>
    <row r="51" spans="2:22" ht="19.5" thickTop="1" thickBot="1" x14ac:dyDescent="0.35">
      <c r="B51" s="2"/>
      <c r="D51" s="9" t="s">
        <v>34</v>
      </c>
      <c r="E51" s="12">
        <v>6.2091953941907113E-2</v>
      </c>
      <c r="F51" s="12">
        <v>0.1615979893550159</v>
      </c>
      <c r="G51" s="27">
        <v>6.2091953941907113E-2</v>
      </c>
      <c r="H51" s="26"/>
      <c r="I51" s="26"/>
      <c r="J51" s="12">
        <v>7.6352585392436344E-19</v>
      </c>
      <c r="K51" s="12">
        <v>0.10861152290055362</v>
      </c>
      <c r="L51" s="12">
        <v>0</v>
      </c>
      <c r="M51" s="12">
        <v>0.107297304316813</v>
      </c>
      <c r="N51" s="12">
        <v>0.42763272222596593</v>
      </c>
      <c r="O51" s="12">
        <v>0.35645845055666758</v>
      </c>
      <c r="P51" s="12"/>
      <c r="Q51" s="12"/>
      <c r="R51" s="12"/>
      <c r="S51" s="12"/>
      <c r="T51" s="12">
        <f>SUM(J51:S51)</f>
        <v>1</v>
      </c>
      <c r="V51" s="2"/>
    </row>
    <row r="52" spans="2:22" ht="19.5" thickTop="1" thickBot="1" x14ac:dyDescent="0.35">
      <c r="B52" s="2"/>
      <c r="D52" s="9" t="s">
        <v>35</v>
      </c>
      <c r="E52" s="12">
        <v>6.322582367911983E-2</v>
      </c>
      <c r="F52" s="12">
        <v>0.1624138976395188</v>
      </c>
      <c r="G52" s="27">
        <v>6.322582367911983E-2</v>
      </c>
      <c r="H52" s="26"/>
      <c r="I52" s="26"/>
      <c r="J52" s="12">
        <v>8.6532930111427854E-18</v>
      </c>
      <c r="K52" s="12">
        <v>0.13207084487863074</v>
      </c>
      <c r="L52" s="12">
        <v>5.8220169120077503E-19</v>
      </c>
      <c r="M52" s="12">
        <v>0.12282244055024756</v>
      </c>
      <c r="N52" s="12">
        <v>0.37818824834155296</v>
      </c>
      <c r="O52" s="12">
        <v>0.36691846622956875</v>
      </c>
      <c r="P52" s="12"/>
      <c r="Q52" s="12"/>
      <c r="R52" s="12"/>
      <c r="S52" s="12"/>
      <c r="T52" s="12">
        <f>SUM(J52:S52)</f>
        <v>1</v>
      </c>
      <c r="V52" s="2"/>
    </row>
    <row r="53" spans="2:22" ht="19.5" thickTop="1" thickBot="1" x14ac:dyDescent="0.35">
      <c r="B53" s="2"/>
      <c r="D53" s="9" t="s">
        <v>36</v>
      </c>
      <c r="E53" s="12">
        <v>6.4359693416097999E-2</v>
      </c>
      <c r="F53" s="12">
        <v>0.16340558306232708</v>
      </c>
      <c r="G53" s="27">
        <v>6.4359693416097999E-2</v>
      </c>
      <c r="H53" s="26"/>
      <c r="I53" s="26"/>
      <c r="J53" s="12">
        <v>0</v>
      </c>
      <c r="K53" s="12">
        <v>0.15553016201187472</v>
      </c>
      <c r="L53" s="12">
        <v>6.0457641443885494E-19</v>
      </c>
      <c r="M53" s="12">
        <v>0.13834757954375293</v>
      </c>
      <c r="N53" s="12">
        <v>0.32874377137330668</v>
      </c>
      <c r="O53" s="12">
        <v>0.3773784870710658</v>
      </c>
      <c r="P53" s="12"/>
      <c r="Q53" s="12"/>
      <c r="R53" s="12"/>
      <c r="S53" s="12"/>
      <c r="T53" s="12">
        <f>SUM(J53:S53)</f>
        <v>1</v>
      </c>
      <c r="V53" s="2"/>
    </row>
    <row r="54" spans="2:22" ht="19.5" thickTop="1" thickBot="1" x14ac:dyDescent="0.35">
      <c r="B54" s="2"/>
      <c r="D54" s="9" t="s">
        <v>37</v>
      </c>
      <c r="E54" s="12">
        <v>6.5493563153524684E-2</v>
      </c>
      <c r="F54" s="12">
        <v>0.16456986803813953</v>
      </c>
      <c r="G54" s="27">
        <v>6.5493563153524684E-2</v>
      </c>
      <c r="H54" s="26"/>
      <c r="I54" s="26"/>
      <c r="J54" s="12">
        <v>5.5161976548013798E-18</v>
      </c>
      <c r="K54" s="12">
        <v>0.17898856320238371</v>
      </c>
      <c r="L54" s="12">
        <v>6.9940486808973798E-19</v>
      </c>
      <c r="M54" s="12">
        <v>0.15386162018782343</v>
      </c>
      <c r="N54" s="12">
        <v>0.27928755995499416</v>
      </c>
      <c r="O54" s="12">
        <v>0.38786225665479868</v>
      </c>
      <c r="P54" s="12"/>
      <c r="Q54" s="12"/>
      <c r="R54" s="12"/>
      <c r="S54" s="12"/>
      <c r="T54" s="12">
        <f>SUM(J54:S54)</f>
        <v>1</v>
      </c>
      <c r="V54" s="2"/>
    </row>
    <row r="55" spans="2:22" ht="19.5" thickTop="1" thickBot="1" x14ac:dyDescent="0.35">
      <c r="B55" s="2"/>
      <c r="D55" s="9" t="s">
        <v>38</v>
      </c>
      <c r="E55" s="12">
        <v>6.6627432890762339E-2</v>
      </c>
      <c r="F55" s="12">
        <v>0.16590311865754143</v>
      </c>
      <c r="G55" s="27">
        <v>6.6627432890762339E-2</v>
      </c>
      <c r="H55" s="26"/>
      <c r="I55" s="26"/>
      <c r="J55" s="12">
        <v>3.1426282470312955E-18</v>
      </c>
      <c r="K55" s="12">
        <v>0.20243664070690293</v>
      </c>
      <c r="L55" s="12">
        <v>0</v>
      </c>
      <c r="M55" s="12">
        <v>0.16940675215295367</v>
      </c>
      <c r="N55" s="12">
        <v>0.22984892186693581</v>
      </c>
      <c r="O55" s="12">
        <v>0.3983076852732077</v>
      </c>
      <c r="P55" s="12"/>
      <c r="Q55" s="12"/>
      <c r="R55" s="12"/>
      <c r="S55" s="12"/>
      <c r="T55" s="12">
        <f>SUM(J55:S55)</f>
        <v>1</v>
      </c>
      <c r="V55" s="2"/>
    </row>
    <row r="56" spans="2:22" ht="19.5" thickTop="1" thickBot="1" x14ac:dyDescent="0.35">
      <c r="B56" s="2"/>
      <c r="D56" s="9" t="s">
        <v>39</v>
      </c>
      <c r="E56" s="12">
        <v>6.7761302628006725E-2</v>
      </c>
      <c r="F56" s="12">
        <v>0.16740129794964881</v>
      </c>
      <c r="G56" s="27">
        <v>6.7761302628006725E-2</v>
      </c>
      <c r="H56" s="26"/>
      <c r="I56" s="26"/>
      <c r="J56" s="12">
        <v>1.1928708268557446E-17</v>
      </c>
      <c r="K56" s="12">
        <v>0.22589101395137248</v>
      </c>
      <c r="L56" s="12">
        <v>3.4943018160054605E-18</v>
      </c>
      <c r="M56" s="12">
        <v>0.18493435144519763</v>
      </c>
      <c r="N56" s="12">
        <v>0.18040093680785768</v>
      </c>
      <c r="O56" s="12">
        <v>0.40877369779557221</v>
      </c>
      <c r="P56" s="12"/>
      <c r="Q56" s="12"/>
      <c r="R56" s="12"/>
      <c r="S56" s="12"/>
      <c r="T56" s="12">
        <f>SUM(J56:S56)</f>
        <v>1</v>
      </c>
      <c r="V56" s="2"/>
    </row>
    <row r="57" spans="2:22" ht="19.5" thickTop="1" thickBot="1" x14ac:dyDescent="0.35">
      <c r="B57" s="2"/>
      <c r="D57" s="9" t="s">
        <v>40</v>
      </c>
      <c r="E57" s="12">
        <v>6.8895172365042542E-2</v>
      </c>
      <c r="F57" s="12">
        <v>0.16906002120365901</v>
      </c>
      <c r="G57" s="27">
        <v>6.8895172365042542E-2</v>
      </c>
      <c r="H57" s="26"/>
      <c r="I57" s="26"/>
      <c r="J57" s="12">
        <v>8.1774724905238794E-18</v>
      </c>
      <c r="K57" s="12">
        <v>0.24935203208088397</v>
      </c>
      <c r="L57" s="12">
        <v>0</v>
      </c>
      <c r="M57" s="12">
        <v>0.20045846245290433</v>
      </c>
      <c r="N57" s="12">
        <v>0.13095749270590429</v>
      </c>
      <c r="O57" s="12">
        <v>0.41923201276030742</v>
      </c>
      <c r="P57" s="12"/>
      <c r="Q57" s="12"/>
      <c r="R57" s="12"/>
      <c r="S57" s="12"/>
      <c r="T57" s="12">
        <f>SUM(J57:S57)</f>
        <v>1</v>
      </c>
      <c r="V57" s="2"/>
    </row>
    <row r="58" spans="2:22" ht="19.5" thickTop="1" thickBot="1" x14ac:dyDescent="0.35">
      <c r="B58" s="2"/>
      <c r="D58" s="9" t="s">
        <v>41</v>
      </c>
      <c r="E58" s="12">
        <v>7.0029042102259714E-2</v>
      </c>
      <c r="F58" s="12">
        <v>0.17087461318152655</v>
      </c>
      <c r="G58" s="27">
        <v>7.0029042102259714E-2</v>
      </c>
      <c r="H58" s="26"/>
      <c r="I58" s="26"/>
      <c r="J58" s="12">
        <v>0</v>
      </c>
      <c r="K58" s="12">
        <v>0.27281362552092364</v>
      </c>
      <c r="L58" s="12">
        <v>0</v>
      </c>
      <c r="M58" s="12">
        <v>0.2159823020853289</v>
      </c>
      <c r="N58" s="12">
        <v>8.1514471134362068E-2</v>
      </c>
      <c r="O58" s="12">
        <v>0.42968960125938538</v>
      </c>
      <c r="P58" s="12"/>
      <c r="Q58" s="12"/>
      <c r="R58" s="12"/>
      <c r="S58" s="12"/>
      <c r="T58" s="12">
        <f>SUM(J58:S58)</f>
        <v>1</v>
      </c>
      <c r="V58" s="2"/>
    </row>
    <row r="59" spans="2:22" ht="19.5" thickTop="1" thickBot="1" x14ac:dyDescent="0.35">
      <c r="B59" s="2"/>
      <c r="D59" s="9" t="s">
        <v>42</v>
      </c>
      <c r="E59" s="12">
        <v>7.1162911839600995E-2</v>
      </c>
      <c r="F59" s="12">
        <v>0.17284016471305369</v>
      </c>
      <c r="G59" s="27">
        <v>7.1162911839600995E-2</v>
      </c>
      <c r="H59" s="26"/>
      <c r="I59" s="26"/>
      <c r="J59" s="12">
        <v>0</v>
      </c>
      <c r="K59" s="12">
        <v>0.29627473307887742</v>
      </c>
      <c r="L59" s="12">
        <v>0</v>
      </c>
      <c r="M59" s="12">
        <v>0.23150639351491537</v>
      </c>
      <c r="N59" s="12">
        <v>3.2071114376148187E-2</v>
      </c>
      <c r="O59" s="12">
        <v>0.44014775903005915</v>
      </c>
      <c r="P59" s="12"/>
      <c r="Q59" s="12"/>
      <c r="R59" s="12"/>
      <c r="S59" s="12"/>
      <c r="T59" s="12">
        <f>SUM(J59:S59)</f>
        <v>1.0000000000000002</v>
      </c>
      <c r="V59" s="2"/>
    </row>
    <row r="60" spans="2:22" ht="19.5" thickTop="1" thickBot="1" x14ac:dyDescent="0.35">
      <c r="B60" s="2"/>
      <c r="D60" s="9" t="s">
        <v>43</v>
      </c>
      <c r="E60" s="12">
        <v>7.2296781581485031E-2</v>
      </c>
      <c r="F60" s="12">
        <v>0.17500888332051567</v>
      </c>
      <c r="G60" s="27">
        <v>7.2296781581485031E-2</v>
      </c>
      <c r="H60" s="26"/>
      <c r="I60" s="26"/>
      <c r="J60" s="12">
        <v>3.2754152574146606E-18</v>
      </c>
      <c r="K60" s="12">
        <v>0.33462544341833278</v>
      </c>
      <c r="L60" s="12">
        <v>0</v>
      </c>
      <c r="M60" s="12">
        <v>0.2467161108116418</v>
      </c>
      <c r="N60" s="12">
        <v>1.2971515047490865E-17</v>
      </c>
      <c r="O60" s="12">
        <v>0.41865844577002537</v>
      </c>
      <c r="P60" s="12"/>
      <c r="Q60" s="12"/>
      <c r="R60" s="12"/>
      <c r="S60" s="12"/>
      <c r="T60" s="12">
        <f>SUM(J60:S60)</f>
        <v>1</v>
      </c>
      <c r="V60" s="2"/>
    </row>
    <row r="61" spans="2:22" ht="19.5" thickTop="1" thickBot="1" x14ac:dyDescent="0.35">
      <c r="B61" s="2"/>
      <c r="D61" s="9" t="s">
        <v>44</v>
      </c>
      <c r="E61" s="12">
        <v>7.3430651315647119E-2</v>
      </c>
      <c r="F61" s="12">
        <v>0.17803897546943426</v>
      </c>
      <c r="G61" s="27">
        <v>7.3430651315647119E-2</v>
      </c>
      <c r="H61" s="26"/>
      <c r="I61" s="26"/>
      <c r="J61" s="12">
        <v>3.4082023624449843E-18</v>
      </c>
      <c r="K61" s="12">
        <v>0.40044760623023345</v>
      </c>
      <c r="L61" s="12">
        <v>3.3191089752074759E-18</v>
      </c>
      <c r="M61" s="12">
        <v>0.26136578514285597</v>
      </c>
      <c r="N61" s="12">
        <v>0</v>
      </c>
      <c r="O61" s="12">
        <v>0.33818660862691063</v>
      </c>
      <c r="P61" s="12"/>
      <c r="Q61" s="12"/>
      <c r="R61" s="12"/>
      <c r="S61" s="12"/>
      <c r="T61" s="12">
        <f>SUM(J61:S61)</f>
        <v>1</v>
      </c>
      <c r="V61" s="2"/>
    </row>
    <row r="62" spans="2:22" ht="19.5" thickTop="1" thickBot="1" x14ac:dyDescent="0.35">
      <c r="B62" s="2"/>
      <c r="D62" s="9" t="s">
        <v>45</v>
      </c>
      <c r="E62" s="12">
        <v>7.456452105102826E-2</v>
      </c>
      <c r="F62" s="12">
        <v>0.18207532448316832</v>
      </c>
      <c r="G62" s="27">
        <v>7.456452105102826E-2</v>
      </c>
      <c r="H62" s="26"/>
      <c r="I62" s="26"/>
      <c r="J62" s="12">
        <v>0</v>
      </c>
      <c r="K62" s="12">
        <v>0.46626974678940974</v>
      </c>
      <c r="L62" s="12">
        <v>1.1336146770640341E-17</v>
      </c>
      <c r="M62" s="12">
        <v>0.27601548711041302</v>
      </c>
      <c r="N62" s="12">
        <v>5.4405056518698506E-20</v>
      </c>
      <c r="O62" s="12">
        <v>0.25771476610017724</v>
      </c>
      <c r="P62" s="12"/>
      <c r="Q62" s="12"/>
      <c r="R62" s="12"/>
      <c r="S62" s="12"/>
      <c r="T62" s="12">
        <f>SUM(J62:S62)</f>
        <v>1</v>
      </c>
      <c r="V62" s="2"/>
    </row>
    <row r="63" spans="2:22" ht="19.5" thickTop="1" thickBot="1" x14ac:dyDescent="0.35">
      <c r="B63" s="2"/>
      <c r="D63" s="9" t="s">
        <v>46</v>
      </c>
      <c r="E63" s="12">
        <v>7.5698390780529923E-2</v>
      </c>
      <c r="F63" s="12">
        <v>0.18705280064186247</v>
      </c>
      <c r="G63" s="27">
        <v>7.5698390780529923E-2</v>
      </c>
      <c r="H63" s="26"/>
      <c r="I63" s="26"/>
      <c r="J63" s="12">
        <v>1.0357394192365277E-17</v>
      </c>
      <c r="K63" s="12">
        <v>0.53209199230629278</v>
      </c>
      <c r="L63" s="12">
        <v>0</v>
      </c>
      <c r="M63" s="12">
        <v>0.29066505871678366</v>
      </c>
      <c r="N63" s="12">
        <v>7.9953399702052581E-18</v>
      </c>
      <c r="O63" s="12">
        <v>0.17724294897692355</v>
      </c>
      <c r="P63" s="12"/>
      <c r="Q63" s="12"/>
      <c r="R63" s="12"/>
      <c r="S63" s="12"/>
      <c r="T63" s="12">
        <f>SUM(J63:S63)</f>
        <v>1</v>
      </c>
      <c r="V63" s="2"/>
    </row>
    <row r="64" spans="2:22" ht="19.5" thickTop="1" thickBot="1" x14ac:dyDescent="0.35">
      <c r="B64" s="2"/>
      <c r="D64" s="9" t="s">
        <v>47</v>
      </c>
      <c r="E64" s="12">
        <v>7.6832260517740378E-2</v>
      </c>
      <c r="F64" s="12">
        <v>0.19289856437021563</v>
      </c>
      <c r="G64" s="27">
        <v>7.6832260517740378E-2</v>
      </c>
      <c r="H64" s="26"/>
      <c r="I64" s="26"/>
      <c r="J64" s="12">
        <v>0</v>
      </c>
      <c r="K64" s="12">
        <v>0.5979140171784324</v>
      </c>
      <c r="L64" s="12">
        <v>0</v>
      </c>
      <c r="M64" s="12">
        <v>0.30531490397756522</v>
      </c>
      <c r="N64" s="12">
        <v>2.7572135800983061E-18</v>
      </c>
      <c r="O64" s="12">
        <v>9.6771078844002337E-2</v>
      </c>
      <c r="P64" s="12"/>
      <c r="Q64" s="12"/>
      <c r="R64" s="12"/>
      <c r="S64" s="12"/>
      <c r="T64" s="12">
        <f>SUM(J64:S64)</f>
        <v>1</v>
      </c>
      <c r="V64" s="2"/>
    </row>
    <row r="65" spans="2:22" ht="19.5" thickTop="1" thickBot="1" x14ac:dyDescent="0.35">
      <c r="B65" s="2"/>
      <c r="D65" s="9" t="s">
        <v>48</v>
      </c>
      <c r="E65" s="12">
        <v>7.7966130264488231E-2</v>
      </c>
      <c r="F65" s="12">
        <v>0.19953631629948784</v>
      </c>
      <c r="G65" s="27">
        <v>7.7966130264488231E-2</v>
      </c>
      <c r="H65" s="26"/>
      <c r="I65" s="26"/>
      <c r="J65" s="12">
        <v>5.8426326213342709E-18</v>
      </c>
      <c r="K65" s="12">
        <v>0.6637360941194963</v>
      </c>
      <c r="L65" s="12">
        <v>1.9298931060316089E-17</v>
      </c>
      <c r="M65" s="12">
        <v>0.31996468562233821</v>
      </c>
      <c r="N65" s="12">
        <v>2.8338667253677894E-18</v>
      </c>
      <c r="O65" s="12">
        <v>1.629922025816535E-2</v>
      </c>
      <c r="P65" s="12"/>
      <c r="Q65" s="12"/>
      <c r="R65" s="12"/>
      <c r="S65" s="12"/>
      <c r="T65" s="12">
        <f>SUM(J65:S65)</f>
        <v>0.99999999999999978</v>
      </c>
      <c r="V65" s="2"/>
    </row>
    <row r="66" spans="2:22" ht="19.5" thickTop="1" thickBot="1" x14ac:dyDescent="0.35">
      <c r="B66" s="2"/>
      <c r="D66" s="9" t="s">
        <v>49</v>
      </c>
      <c r="E66" s="12">
        <v>7.9099999999991011E-2</v>
      </c>
      <c r="F66" s="12">
        <v>0.21659999999975271</v>
      </c>
      <c r="G66" s="27">
        <v>7.9099999999991011E-2</v>
      </c>
      <c r="H66" s="26"/>
      <c r="I66" s="26"/>
      <c r="J66" s="12">
        <v>8.0299314144817555E-18</v>
      </c>
      <c r="K66" s="12">
        <v>0.99999999999678502</v>
      </c>
      <c r="L66" s="12">
        <v>0</v>
      </c>
      <c r="M66" s="12">
        <v>3.2150985043358617E-12</v>
      </c>
      <c r="N66" s="12">
        <v>4.8895977259346641E-17</v>
      </c>
      <c r="O66" s="12">
        <v>3.3475709318500192E-18</v>
      </c>
      <c r="P66" s="12"/>
      <c r="Q66" s="12"/>
      <c r="R66" s="12"/>
      <c r="S66" s="12"/>
      <c r="T66" s="12">
        <f>SUM(J66:S66)</f>
        <v>1.0000000000000002</v>
      </c>
      <c r="V66" s="2"/>
    </row>
    <row r="67" spans="2:22" ht="19.5" thickTop="1" thickBot="1" x14ac:dyDescent="0.35">
      <c r="B67" s="2"/>
      <c r="D67" s="9"/>
      <c r="E67" s="12"/>
      <c r="F67" s="12"/>
      <c r="G67" s="27"/>
      <c r="H67" s="26"/>
      <c r="I67" s="26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V67" s="2"/>
    </row>
    <row r="68" spans="2:22" ht="19.5" thickTop="1" thickBot="1" x14ac:dyDescent="0.35">
      <c r="B68" s="2"/>
      <c r="D68" s="9"/>
      <c r="E68" s="12"/>
      <c r="F68" s="12"/>
      <c r="G68" s="27"/>
      <c r="H68" s="26"/>
      <c r="I68" s="26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V68" s="2"/>
    </row>
    <row r="69" spans="2:22" ht="19.5" thickTop="1" thickBot="1" x14ac:dyDescent="0.35">
      <c r="B69" s="2"/>
      <c r="D69" s="9"/>
      <c r="E69" s="12"/>
      <c r="F69" s="12"/>
      <c r="G69" s="27"/>
      <c r="H69" s="26"/>
      <c r="I69" s="26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V69" s="2"/>
    </row>
    <row r="70" spans="2:22" ht="19.5" thickTop="1" thickBot="1" x14ac:dyDescent="0.35">
      <c r="B70" s="2"/>
      <c r="D70" s="9"/>
      <c r="E70" s="12"/>
      <c r="F70" s="12"/>
      <c r="G70" s="27"/>
      <c r="H70" s="26"/>
      <c r="I70" s="26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V70" s="2"/>
    </row>
    <row r="71" spans="2:22" ht="19.5" thickTop="1" thickBot="1" x14ac:dyDescent="0.35">
      <c r="B71" s="2"/>
      <c r="D71" s="9"/>
      <c r="E71" s="12"/>
      <c r="F71" s="12"/>
      <c r="G71" s="27"/>
      <c r="H71" s="26"/>
      <c r="I71" s="26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V71" s="2"/>
    </row>
    <row r="72" spans="2:22" ht="19.5" thickTop="1" thickBot="1" x14ac:dyDescent="0.35">
      <c r="B72" s="2"/>
      <c r="D72" s="9"/>
      <c r="E72" s="12"/>
      <c r="F72" s="12"/>
      <c r="G72" s="27"/>
      <c r="H72" s="26"/>
      <c r="I72" s="26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V72" s="2"/>
    </row>
    <row r="73" spans="2:22" ht="19.5" thickTop="1" thickBot="1" x14ac:dyDescent="0.35">
      <c r="B73" s="2"/>
      <c r="D73" s="9"/>
      <c r="E73" s="12"/>
      <c r="F73" s="12"/>
      <c r="G73" s="27"/>
      <c r="H73" s="26"/>
      <c r="I73" s="26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V73" s="2"/>
    </row>
    <row r="74" spans="2:22" ht="19.5" thickTop="1" thickBot="1" x14ac:dyDescent="0.35">
      <c r="B74" s="2"/>
      <c r="D74" s="9"/>
      <c r="E74" s="12"/>
      <c r="F74" s="12"/>
      <c r="G74" s="27"/>
      <c r="H74" s="26"/>
      <c r="I74" s="26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V74" s="2"/>
    </row>
    <row r="75" spans="2:22" ht="19.5" thickTop="1" thickBot="1" x14ac:dyDescent="0.35">
      <c r="B75" s="2"/>
      <c r="D75" s="9"/>
      <c r="E75" s="12"/>
      <c r="F75" s="12"/>
      <c r="G75" s="27"/>
      <c r="H75" s="26"/>
      <c r="I75" s="26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V75" s="2"/>
    </row>
    <row r="76" spans="2:22" ht="19.5" thickTop="1" thickBot="1" x14ac:dyDescent="0.35">
      <c r="B76" s="2"/>
      <c r="D76" s="9"/>
      <c r="E76" s="12"/>
      <c r="F76" s="12"/>
      <c r="G76" s="27"/>
      <c r="H76" s="26"/>
      <c r="I76" s="26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V76" s="2"/>
    </row>
    <row r="77" spans="2:22" ht="19.5" thickTop="1" thickBot="1" x14ac:dyDescent="0.35">
      <c r="B77" s="2"/>
      <c r="D77" s="9"/>
      <c r="E77" s="12"/>
      <c r="F77" s="12"/>
      <c r="G77" s="27"/>
      <c r="H77" s="26"/>
      <c r="I77" s="26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V77" s="2"/>
    </row>
    <row r="78" spans="2:22" ht="19.5" thickTop="1" thickBot="1" x14ac:dyDescent="0.35">
      <c r="B78" s="2"/>
      <c r="D78" s="9"/>
      <c r="E78" s="12"/>
      <c r="F78" s="12"/>
      <c r="G78" s="27"/>
      <c r="H78" s="26"/>
      <c r="I78" s="26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V78" s="2"/>
    </row>
    <row r="79" spans="2:22" ht="19.5" thickTop="1" thickBot="1" x14ac:dyDescent="0.35">
      <c r="B79" s="2"/>
      <c r="D79" s="9"/>
      <c r="E79" s="12"/>
      <c r="F79" s="12"/>
      <c r="G79" s="27"/>
      <c r="H79" s="26"/>
      <c r="I79" s="26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V79" s="2"/>
    </row>
    <row r="80" spans="2:22" ht="19.5" thickTop="1" thickBot="1" x14ac:dyDescent="0.35">
      <c r="B80" s="2"/>
      <c r="D80" s="9"/>
      <c r="E80" s="12"/>
      <c r="F80" s="12"/>
      <c r="G80" s="27"/>
      <c r="H80" s="26"/>
      <c r="I80" s="26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V80" s="2"/>
    </row>
    <row r="81" spans="2:22" ht="19.5" thickTop="1" thickBot="1" x14ac:dyDescent="0.35">
      <c r="B81" s="2"/>
      <c r="D81" s="9"/>
      <c r="E81" s="12"/>
      <c r="F81" s="12"/>
      <c r="G81" s="27"/>
      <c r="H81" s="26"/>
      <c r="I81" s="26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V81" s="2"/>
    </row>
    <row r="82" spans="2:22" ht="19.5" thickTop="1" thickBot="1" x14ac:dyDescent="0.35">
      <c r="B82" s="2"/>
      <c r="D82" s="9"/>
      <c r="E82" s="12"/>
      <c r="F82" s="12"/>
      <c r="G82" s="27"/>
      <c r="H82" s="26"/>
      <c r="I82" s="26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V82" s="2"/>
    </row>
    <row r="83" spans="2:22" ht="19.5" thickTop="1" thickBot="1" x14ac:dyDescent="0.35">
      <c r="B83" s="2"/>
      <c r="D83" s="9"/>
      <c r="E83" s="12"/>
      <c r="F83" s="12"/>
      <c r="G83" s="27"/>
      <c r="H83" s="26"/>
      <c r="I83" s="26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V83" s="2"/>
    </row>
    <row r="84" spans="2:22" ht="19.5" thickTop="1" thickBot="1" x14ac:dyDescent="0.35">
      <c r="B84" s="2"/>
      <c r="D84" s="9"/>
      <c r="E84" s="12"/>
      <c r="F84" s="12"/>
      <c r="G84" s="27"/>
      <c r="H84" s="26"/>
      <c r="I84" s="26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V84" s="2"/>
    </row>
    <row r="85" spans="2:22" ht="19.5" thickTop="1" thickBot="1" x14ac:dyDescent="0.35">
      <c r="B85" s="2"/>
      <c r="D85" s="9"/>
      <c r="E85" s="12"/>
      <c r="F85" s="12"/>
      <c r="G85" s="27"/>
      <c r="H85" s="26"/>
      <c r="I85" s="26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V85" s="2"/>
    </row>
    <row r="86" spans="2:22" ht="19.5" thickTop="1" thickBot="1" x14ac:dyDescent="0.35">
      <c r="B86" s="2"/>
      <c r="D86" s="9"/>
      <c r="E86" s="12"/>
      <c r="F86" s="12"/>
      <c r="G86" s="27"/>
      <c r="H86" s="26"/>
      <c r="I86" s="26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V86" s="2"/>
    </row>
    <row r="87" spans="2:22" ht="19.5" thickTop="1" thickBot="1" x14ac:dyDescent="0.35">
      <c r="B87" s="2"/>
      <c r="D87" s="9"/>
      <c r="E87" s="12"/>
      <c r="F87" s="12"/>
      <c r="G87" s="27"/>
      <c r="H87" s="26"/>
      <c r="I87" s="26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V87" s="2"/>
    </row>
    <row r="88" spans="2:22" ht="19.5" thickTop="1" thickBot="1" x14ac:dyDescent="0.35">
      <c r="B88" s="2"/>
      <c r="D88" s="9"/>
      <c r="E88" s="12"/>
      <c r="F88" s="12"/>
      <c r="G88" s="27"/>
      <c r="H88" s="26"/>
      <c r="I88" s="26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V88" s="2"/>
    </row>
    <row r="89" spans="2:22" ht="19.5" thickTop="1" thickBot="1" x14ac:dyDescent="0.35">
      <c r="B89" s="2"/>
      <c r="D89" s="9"/>
      <c r="E89" s="12"/>
      <c r="F89" s="12"/>
      <c r="G89" s="27"/>
      <c r="H89" s="26"/>
      <c r="I89" s="26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V89" s="2"/>
    </row>
    <row r="90" spans="2:22" ht="19.5" thickTop="1" thickBot="1" x14ac:dyDescent="0.35">
      <c r="B90" s="2"/>
      <c r="D90" s="9"/>
      <c r="E90" s="12"/>
      <c r="F90" s="12"/>
      <c r="G90" s="27"/>
      <c r="H90" s="26"/>
      <c r="I90" s="26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V90" s="2"/>
    </row>
    <row r="91" spans="2:22" ht="19.5" thickTop="1" thickBot="1" x14ac:dyDescent="0.35">
      <c r="B91" s="2"/>
      <c r="D91" s="9"/>
      <c r="E91" s="12"/>
      <c r="F91" s="12"/>
      <c r="G91" s="27"/>
      <c r="H91" s="26"/>
      <c r="I91" s="26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V91" s="2"/>
    </row>
    <row r="92" spans="2:22" ht="19.5" thickTop="1" thickBot="1" x14ac:dyDescent="0.35">
      <c r="B92" s="2"/>
      <c r="D92" s="9"/>
      <c r="E92" s="12"/>
      <c r="F92" s="12"/>
      <c r="G92" s="27"/>
      <c r="H92" s="26"/>
      <c r="I92" s="26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V92" s="2"/>
    </row>
    <row r="93" spans="2:22" ht="19.5" thickTop="1" thickBot="1" x14ac:dyDescent="0.35">
      <c r="B93" s="2"/>
      <c r="D93" s="9"/>
      <c r="E93" s="12"/>
      <c r="F93" s="12"/>
      <c r="G93" s="27"/>
      <c r="H93" s="26"/>
      <c r="I93" s="26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V93" s="2"/>
    </row>
    <row r="94" spans="2:22" ht="19.5" thickTop="1" thickBot="1" x14ac:dyDescent="0.35">
      <c r="B94" s="2"/>
      <c r="D94" s="9"/>
      <c r="E94" s="12"/>
      <c r="F94" s="12"/>
      <c r="G94" s="27"/>
      <c r="H94" s="26"/>
      <c r="I94" s="26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V94" s="2"/>
    </row>
    <row r="95" spans="2:22" ht="19.5" thickTop="1" thickBot="1" x14ac:dyDescent="0.35">
      <c r="B95" s="2"/>
      <c r="D95" s="9"/>
      <c r="E95" s="12"/>
      <c r="F95" s="12"/>
      <c r="G95" s="27"/>
      <c r="H95" s="26"/>
      <c r="I95" s="26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V95" s="2"/>
    </row>
    <row r="96" spans="2:22" ht="19.5" thickTop="1" thickBot="1" x14ac:dyDescent="0.35">
      <c r="B96" s="2"/>
      <c r="D96" s="9"/>
      <c r="E96" s="12"/>
      <c r="F96" s="12"/>
      <c r="G96" s="27"/>
      <c r="H96" s="26"/>
      <c r="I96" s="26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V96" s="2"/>
    </row>
    <row r="97" spans="2:22" ht="12" customHeight="1" thickTop="1" x14ac:dyDescent="0.3">
      <c r="B97" s="2"/>
      <c r="V97" s="3"/>
    </row>
    <row r="98" spans="2:22" ht="16.5" x14ac:dyDescent="0.3"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</row>
  </sheetData>
  <mergeCells count="6">
    <mergeCell ref="D1:T1"/>
    <mergeCell ref="D4:F4"/>
    <mergeCell ref="J4:T4"/>
    <mergeCell ref="E45:F45"/>
    <mergeCell ref="J45:T45"/>
    <mergeCell ref="D45:D46"/>
  </mergeCells>
  <phoneticPr fontId="12" type="noConversion"/>
  <dataValidations count="6">
    <dataValidation allowBlank="1" showInputMessage="1" showErrorMessage="1" promptTitle="资产名称" prompt="修改名称不会影响资产的收益、波动或相关系数，相关数据请自定义填写。" sqref="J6:J15 J46:S46 D6:D15 K5:T5"/>
    <dataValidation type="whole" allowBlank="1" showInputMessage="1" showErrorMessage="1" errorTitle="数值错误" error="重采样次数输入错误。" promptTitle="输入限制：" prompt="重采样次数介于0~200之间。_x000a__x000a_默认0表示不进行重采样。_x000a__x000a_次数越多，相关优化计算时间耗时越长。" sqref="K19">
      <formula1>0</formula1>
      <formula2>200</formula2>
    </dataValidation>
    <dataValidation type="whole" operator="equal" allowBlank="1" showInputMessage="1" showErrorMessage="1" errorTitle="参数错误" error="各个 资产与自己的相关性系数应该为1。" sqref="K6 L7 M8 N9 O10 P11 Q12 R13 S14 T15">
      <formula1>1</formula1>
    </dataValidation>
    <dataValidation type="whole" allowBlank="1" showInputMessage="1" showErrorMessage="1" errorTitle="组合数量错误" error="组合数必须介于1~50之间。" promptTitle="输入限制：" prompt="_x000a_生成组合数至少1个，最多50个。" sqref="E19">
      <formula1>1</formula1>
      <formula2>50</formula2>
    </dataValidation>
    <dataValidation type="decimal" allowBlank="1" showInputMessage="1" showErrorMessage="1" errorTitle="参数错误" error="相关系数必须为-1~1(包含)之间的数字。" sqref="L6 K7 S15 M6:M7 M9:M15 N6:N8 N10:N15 O6:O9 O11:O15 P6:P10 P12:P15 Q6:Q11 Q13:Q15 R6:R12 R14:R15 S6:S13 T6:T14 K8:L15">
      <formula1>-1</formula1>
      <formula2>1</formula2>
    </dataValidation>
    <dataValidation type="decimal" allowBlank="1" showInputMessage="1" showErrorMessage="1" errorTitle="配置比例输入错误" error="配置比例范围必须位于0%~100%之间" sqref="G6:H15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ltText="" r:id="rId5">
            <anchor moveWithCells="1">
              <from>
                <xdr:col>17</xdr:col>
                <xdr:colOff>647700</xdr:colOff>
                <xdr:row>17</xdr:row>
                <xdr:rowOff>123825</xdr:rowOff>
              </from>
              <to>
                <xdr:col>19</xdr:col>
                <xdr:colOff>790575</xdr:colOff>
                <xdr:row>19</xdr:row>
                <xdr:rowOff>19050</xdr:rowOff>
              </to>
            </anchor>
          </controlPr>
        </control>
      </mc:Choice>
      <mc:Fallback>
        <control shapeId="1026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1"/>
  <sheetViews>
    <sheetView showGridLines="0" zoomScaleNormal="100" workbookViewId="0">
      <selection activeCell="A22" sqref="A22"/>
    </sheetView>
  </sheetViews>
  <sheetFormatPr defaultColWidth="9" defaultRowHeight="14.25" x14ac:dyDescent="0.2"/>
  <sheetData>
    <row r="1" spans="1:20" ht="34.5" customHeight="1" x14ac:dyDescent="0.2">
      <c r="A1" s="32" t="s">
        <v>18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</row>
  </sheetData>
  <sheetProtection sheet="1" objects="1" scenarios="1" selectLockedCells="1" selectUnlockedCells="1"/>
  <mergeCells count="1">
    <mergeCell ref="A1:T1"/>
  </mergeCells>
  <phoneticPr fontId="1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组合优化</vt:lpstr>
      <vt:lpstr>使用说明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Cai QiTan</dc:creator>
  <cp:lastModifiedBy>Cai QiTan</cp:lastModifiedBy>
  <dcterms:created xsi:type="dcterms:W3CDTF">2015-06-05T18:19:00Z</dcterms:created>
  <dcterms:modified xsi:type="dcterms:W3CDTF">2024-11-29T05:29:45Z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85E1BFA4F1F84E72A995CBA53E883E76</vt:lpwstr>
  </property>
  <property fmtid="{D5CDD505-2E9C-101B-9397-08002B2CF9AE}" pid="3" name="KSOProductBuildVer">
    <vt:lpwstr>2052-11.1.0.11369</vt:lpwstr>
  </property>
</Properties>
</file>