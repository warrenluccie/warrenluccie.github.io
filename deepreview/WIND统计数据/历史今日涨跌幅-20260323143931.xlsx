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历史今日涨跌幅" sheetId="1" r:id="rId1"/>
    <sheet name="data" sheetId="3" state="hidden" r:id="rId2"/>
    <sheet name="Wind模板" sheetId="2" state="very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D24" i="1"/>
  <c r="D26" i="1"/>
  <c r="D16" i="1"/>
  <c r="D15" i="1"/>
  <c r="D27" i="1"/>
  <c r="D32" i="1"/>
  <c r="D11" i="1"/>
  <c r="D9" i="1"/>
  <c r="D31" i="1"/>
  <c r="D13" i="1"/>
  <c r="D10" i="1"/>
  <c r="D20" i="1"/>
  <c r="D22" i="1"/>
  <c r="D25" i="1"/>
  <c r="D8" i="1"/>
  <c r="D14" i="1"/>
  <c r="D35" i="1"/>
  <c r="D33" i="1"/>
  <c r="D30" i="1"/>
  <c r="D18" i="1"/>
  <c r="D29" i="1"/>
  <c r="D23" i="1"/>
  <c r="D28" i="1"/>
  <c r="D19" i="1"/>
  <c r="D17" i="1"/>
  <c r="D36" i="1"/>
  <c r="D21" i="1"/>
  <c r="D12" i="1"/>
  <c r="D34" i="1"/>
  <c r="B11" i="3" l="1"/>
  <c r="E15" i="1"/>
  <c r="E30" i="1"/>
  <c r="E27" i="1"/>
  <c r="E6" i="1"/>
  <c r="E32" i="1"/>
  <c r="E31" i="1"/>
  <c r="E22" i="1"/>
  <c r="F32" i="1"/>
  <c r="E24" i="1"/>
  <c r="E26" i="1"/>
  <c r="F33" i="1"/>
  <c r="F35" i="1"/>
  <c r="F17" i="1"/>
  <c r="F25" i="1"/>
  <c r="F8" i="1"/>
  <c r="E35" i="1"/>
  <c r="F12" i="1"/>
  <c r="E29" i="1"/>
  <c r="F26" i="1"/>
  <c r="F13" i="1"/>
  <c r="E21" i="1"/>
  <c r="E33" i="1"/>
  <c r="E16" i="1"/>
  <c r="F11" i="1"/>
  <c r="F10" i="1"/>
  <c r="F14" i="1"/>
  <c r="F22" i="1"/>
  <c r="E20" i="1"/>
  <c r="F21" i="1"/>
  <c r="F19" i="1"/>
  <c r="E14" i="1"/>
  <c r="E13" i="1"/>
  <c r="E36" i="1"/>
  <c r="F24" i="1"/>
  <c r="F18" i="1"/>
  <c r="E23" i="1"/>
  <c r="E9" i="1"/>
  <c r="E11" i="1"/>
  <c r="F15" i="1"/>
  <c r="E10" i="1"/>
  <c r="F34" i="1"/>
  <c r="F9" i="1"/>
  <c r="E28" i="1"/>
  <c r="F28" i="1"/>
  <c r="F36" i="1"/>
  <c r="F20" i="1"/>
  <c r="E19" i="1"/>
  <c r="F23" i="1"/>
  <c r="F27" i="1"/>
  <c r="F16" i="1"/>
  <c r="E34" i="1"/>
  <c r="F31" i="1"/>
  <c r="F30" i="1"/>
  <c r="E8" i="1"/>
  <c r="F29" i="1"/>
  <c r="F6" i="1"/>
  <c r="E25" i="1"/>
  <c r="E17" i="1"/>
  <c r="E18" i="1"/>
  <c r="E12" i="1"/>
  <c r="G32" i="1" l="1"/>
  <c r="G29" i="1"/>
  <c r="G35" i="1"/>
  <c r="G31" i="1"/>
  <c r="G13" i="1"/>
  <c r="G14" i="1"/>
  <c r="G16" i="1"/>
  <c r="G12" i="1"/>
  <c r="G34" i="1"/>
  <c r="G22" i="1"/>
  <c r="G36" i="1"/>
  <c r="G11" i="1"/>
  <c r="G33" i="1"/>
  <c r="G27" i="1"/>
  <c r="G8" i="1"/>
  <c r="G9" i="1"/>
  <c r="G21" i="1"/>
  <c r="G30" i="1"/>
  <c r="G24" i="1"/>
  <c r="G10" i="1"/>
  <c r="G28" i="1"/>
  <c r="G23" i="1"/>
  <c r="G20" i="1"/>
  <c r="C20" i="1" s="1"/>
  <c r="G15" i="1"/>
  <c r="G18" i="1"/>
  <c r="G17" i="1"/>
  <c r="G25" i="1"/>
  <c r="G19" i="1"/>
  <c r="G26" i="1"/>
  <c r="B6" i="3"/>
  <c r="B3" i="3"/>
  <c r="B4" i="3"/>
  <c r="B2" i="3"/>
  <c r="B10" i="3"/>
  <c r="B5" i="3"/>
  <c r="B7" i="3"/>
  <c r="B9" i="3"/>
  <c r="B8" i="3"/>
  <c r="C34" i="1" l="1"/>
  <c r="C26" i="1"/>
  <c r="C14" i="1"/>
  <c r="C18" i="1"/>
  <c r="C27" i="1"/>
  <c r="C36" i="1"/>
  <c r="C15" i="1"/>
  <c r="C11" i="1"/>
  <c r="C21" i="1"/>
  <c r="C12" i="1"/>
  <c r="C22" i="1"/>
  <c r="C24" i="1"/>
  <c r="C31" i="1"/>
  <c r="C35" i="1"/>
  <c r="C23" i="1"/>
  <c r="C19" i="1"/>
  <c r="C16" i="1"/>
  <c r="C30" i="1"/>
  <c r="C10" i="1"/>
  <c r="C28" i="1"/>
  <c r="C8" i="1"/>
  <c r="C33" i="1"/>
  <c r="C29" i="1"/>
  <c r="C17" i="1"/>
  <c r="C13" i="1"/>
  <c r="C9" i="1"/>
  <c r="C25" i="1"/>
  <c r="C32" i="1"/>
  <c r="C2" i="3" a="1"/>
  <c r="R36" i="1" l="1"/>
  <c r="R32" i="1"/>
  <c r="R35" i="1"/>
  <c r="R34" i="1"/>
  <c r="R33" i="1"/>
  <c r="R28" i="1"/>
  <c r="R27" i="1"/>
  <c r="R24" i="1"/>
  <c r="R26" i="1"/>
  <c r="R25" i="1"/>
  <c r="V25" i="1"/>
  <c r="V28" i="1"/>
  <c r="V27" i="1"/>
  <c r="V26" i="1"/>
  <c r="V24" i="1"/>
  <c r="T27" i="1"/>
  <c r="T28" i="1"/>
  <c r="T25" i="1"/>
  <c r="T26" i="1"/>
  <c r="T24" i="1"/>
  <c r="V34" i="1"/>
  <c r="V35" i="1"/>
  <c r="V33" i="1"/>
  <c r="V36" i="1"/>
  <c r="V32" i="1"/>
  <c r="T33" i="1"/>
  <c r="T34" i="1"/>
  <c r="T35" i="1"/>
  <c r="T36" i="1"/>
  <c r="T32" i="1"/>
  <c r="C2" i="3"/>
  <c r="C11" i="3"/>
  <c r="C3" i="3"/>
  <c r="C4" i="3"/>
  <c r="C5" i="3"/>
  <c r="C6" i="3"/>
  <c r="C7" i="3"/>
  <c r="C8" i="3"/>
  <c r="C9" i="3"/>
  <c r="C10" i="3"/>
</calcChain>
</file>

<file path=xl/sharedStrings.xml><?xml version="1.0" encoding="utf-8"?>
<sst xmlns="http://schemas.openxmlformats.org/spreadsheetml/2006/main" count="21" uniqueCount="18">
  <si>
    <t>000001.SH</t>
    <phoneticPr fontId="1" type="noConversion"/>
  </si>
  <si>
    <t>399001.SZ</t>
    <phoneticPr fontId="1" type="noConversion"/>
  </si>
  <si>
    <t>历史今日涨跌幅</t>
    <phoneticPr fontId="1" type="noConversion"/>
  </si>
  <si>
    <t>涨跌幅分布直方图</t>
    <phoneticPr fontId="5" type="noConversion"/>
  </si>
  <si>
    <t>历史今日涨跌幅</t>
    <phoneticPr fontId="5" type="noConversion"/>
  </si>
  <si>
    <t>Wind代码：</t>
    <phoneticPr fontId="1" type="noConversion"/>
  </si>
  <si>
    <t>频数范围</t>
    <phoneticPr fontId="5" type="noConversion"/>
  </si>
  <si>
    <t>频数个数</t>
    <phoneticPr fontId="5" type="noConversion"/>
  </si>
  <si>
    <t>区间</t>
    <phoneticPr fontId="5" type="noConversion"/>
  </si>
  <si>
    <t>序号</t>
    <phoneticPr fontId="5" type="noConversion"/>
  </si>
  <si>
    <t>日期</t>
    <phoneticPr fontId="5" type="noConversion"/>
  </si>
  <si>
    <t>上证指数涨幅</t>
    <phoneticPr fontId="5" type="noConversion"/>
  </si>
  <si>
    <t>深证成指涨幅</t>
    <phoneticPr fontId="5" type="noConversion"/>
  </si>
  <si>
    <t>序号</t>
    <phoneticPr fontId="5" type="noConversion"/>
  </si>
  <si>
    <t>单日涨幅排行</t>
    <phoneticPr fontId="5" type="noConversion"/>
  </si>
  <si>
    <t>单日跌幅排行</t>
    <phoneticPr fontId="5" type="noConversion"/>
  </si>
  <si>
    <t>历史今日涨跌幅 V1.2</t>
    <phoneticPr fontId="1" type="noConversion"/>
  </si>
  <si>
    <t>查询日期：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</si>
</sst>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\-mm\-dd"/>
    <numFmt numFmtId="177" formatCode="0.00&quot;%&quot;"/>
    <numFmt numFmtId="178" formatCode="yyyy/mm/dd"/>
    <numFmt numFmtId="179" formatCode="0.00_ 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20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b/>
      <sz val="14"/>
      <name val="微软雅黑"/>
      <family val="2"/>
      <charset val="134"/>
    </font>
    <font>
      <sz val="12"/>
      <color theme="1"/>
      <name val="Arial"/>
      <family val="2"/>
    </font>
    <font>
      <b/>
      <sz val="1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C658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17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vertical="center"/>
    </xf>
    <xf numFmtId="14" fontId="4" fillId="2" borderId="0" xfId="0" applyNumberFormat="1" applyFont="1" applyFill="1" applyAlignment="1">
      <alignment vertical="center"/>
    </xf>
    <xf numFmtId="0" fontId="7" fillId="3" borderId="0" xfId="1" applyFont="1" applyFill="1" applyAlignment="1" applyProtection="1">
      <alignment horizontal="center" vertical="center"/>
      <protection hidden="1"/>
    </xf>
    <xf numFmtId="0" fontId="8" fillId="4" borderId="2" xfId="0" applyFont="1" applyFill="1" applyBorder="1" applyAlignment="1">
      <alignment vertical="center"/>
    </xf>
    <xf numFmtId="0" fontId="10" fillId="4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176" fontId="9" fillId="5" borderId="0" xfId="0" applyNumberFormat="1" applyFont="1" applyFill="1" applyBorder="1" applyAlignment="1">
      <alignment horizontal="right"/>
    </xf>
    <xf numFmtId="176" fontId="9" fillId="6" borderId="0" xfId="0" applyNumberFormat="1" applyFont="1" applyFill="1" applyAlignment="1">
      <alignment horizontal="right"/>
    </xf>
    <xf numFmtId="178" fontId="9" fillId="8" borderId="0" xfId="0" applyNumberFormat="1" applyFont="1" applyFill="1" applyBorder="1" applyAlignment="1" applyProtection="1">
      <alignment horizontal="right"/>
      <protection locked="0"/>
    </xf>
    <xf numFmtId="0" fontId="12" fillId="5" borderId="0" xfId="0" applyFont="1" applyFill="1" applyBorder="1" applyAlignment="1">
      <alignment horizontal="left"/>
    </xf>
    <xf numFmtId="177" fontId="11" fillId="7" borderId="0" xfId="0" applyNumberFormat="1" applyFont="1" applyFill="1" applyBorder="1" applyAlignment="1">
      <alignment horizontal="right"/>
    </xf>
    <xf numFmtId="177" fontId="14" fillId="5" borderId="0" xfId="0" applyNumberFormat="1" applyFont="1" applyFill="1" applyBorder="1" applyAlignment="1"/>
    <xf numFmtId="177" fontId="14" fillId="7" borderId="0" xfId="0" applyNumberFormat="1" applyFont="1" applyFill="1" applyBorder="1" applyAlignment="1"/>
    <xf numFmtId="0" fontId="0" fillId="0" borderId="0" xfId="0" applyNumberFormat="1" applyAlignment="1">
      <alignment horizontal="right"/>
    </xf>
    <xf numFmtId="179" fontId="15" fillId="4" borderId="3" xfId="0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vertical="center"/>
    </xf>
    <xf numFmtId="0" fontId="15" fillId="4" borderId="3" xfId="0" applyFont="1" applyFill="1" applyBorder="1" applyAlignment="1">
      <alignment horizontal="right" vertical="center"/>
    </xf>
    <xf numFmtId="0" fontId="16" fillId="0" borderId="0" xfId="0" applyFont="1"/>
    <xf numFmtId="176" fontId="10" fillId="4" borderId="3" xfId="0" applyNumberFormat="1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left"/>
    </xf>
    <xf numFmtId="0" fontId="12" fillId="7" borderId="0" xfId="0" applyFont="1" applyFill="1" applyBorder="1"/>
    <xf numFmtId="0" fontId="18" fillId="4" borderId="4" xfId="0" applyFont="1" applyFill="1" applyBorder="1" applyAlignment="1">
      <alignment horizontal="left"/>
    </xf>
    <xf numFmtId="2" fontId="18" fillId="4" borderId="4" xfId="0" applyNumberFormat="1" applyFont="1" applyFill="1" applyBorder="1"/>
    <xf numFmtId="0" fontId="18" fillId="7" borderId="0" xfId="0" applyFont="1" applyFill="1" applyBorder="1" applyAlignment="1">
      <alignment horizontal="left"/>
    </xf>
    <xf numFmtId="2" fontId="18" fillId="7" borderId="0" xfId="0" applyNumberFormat="1" applyFont="1" applyFill="1" applyBorder="1"/>
    <xf numFmtId="177" fontId="18" fillId="4" borderId="4" xfId="2" applyNumberFormat="1" applyFont="1" applyFill="1" applyBorder="1" applyAlignment="1"/>
    <xf numFmtId="177" fontId="18" fillId="4" borderId="4" xfId="0" applyNumberFormat="1" applyFont="1" applyFill="1" applyBorder="1"/>
    <xf numFmtId="177" fontId="18" fillId="7" borderId="0" xfId="0" applyNumberFormat="1" applyFont="1" applyFill="1" applyBorder="1"/>
    <xf numFmtId="177" fontId="0" fillId="0" borderId="0" xfId="0" applyNumberFormat="1"/>
    <xf numFmtId="177" fontId="12" fillId="7" borderId="0" xfId="0" applyNumberFormat="1" applyFont="1" applyFill="1" applyBorder="1"/>
    <xf numFmtId="14" fontId="18" fillId="4" borderId="4" xfId="0" applyNumberFormat="1" applyFont="1" applyFill="1" applyBorder="1"/>
    <xf numFmtId="14" fontId="18" fillId="7" borderId="4" xfId="0" applyNumberFormat="1" applyFont="1" applyFill="1" applyBorder="1"/>
    <xf numFmtId="177" fontId="18" fillId="7" borderId="4" xfId="0" applyNumberFormat="1" applyFont="1" applyFill="1" applyBorder="1"/>
    <xf numFmtId="0" fontId="0" fillId="0" borderId="5" xfId="0" applyBorder="1"/>
    <xf numFmtId="14" fontId="9" fillId="8" borderId="0" xfId="0" applyNumberFormat="1" applyFont="1" applyFill="1" applyBorder="1" applyAlignment="1" applyProtection="1">
      <alignment horizontal="right"/>
      <protection locked="0"/>
    </xf>
    <xf numFmtId="179" fontId="0" fillId="0" borderId="5" xfId="0" applyNumberFormat="1" applyBorder="1"/>
    <xf numFmtId="176" fontId="12" fillId="6" borderId="0" xfId="0" applyNumberFormat="1" applyFont="1" applyFill="1" applyAlignment="1">
      <alignment horizontal="left"/>
    </xf>
    <xf numFmtId="0" fontId="12" fillId="5" borderId="0" xfId="0" applyFont="1" applyFill="1" applyBorder="1" applyAlignment="1">
      <alignment horizontal="right"/>
    </xf>
    <xf numFmtId="0" fontId="0" fillId="0" borderId="6" xfId="0" applyBorder="1"/>
    <xf numFmtId="0" fontId="0" fillId="7" borderId="5" xfId="0" applyFill="1" applyBorder="1"/>
    <xf numFmtId="0" fontId="0" fillId="0" borderId="7" xfId="0" applyBorder="1"/>
    <xf numFmtId="176" fontId="1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常规_Sheet1" xfId="1"/>
  </cellStyles>
  <dxfs count="0"/>
  <tableStyles count="0" defaultTableStyle="TableStyleMedium2" defaultPivotStyle="PivotStyleLight16"/>
  <colors>
    <mruColors>
      <color rgb="FFFF555A"/>
      <color rgb="FF107F3A"/>
      <color rgb="FF095D29"/>
      <color rgb="FFC91818"/>
      <color rgb="FFFFBF15"/>
      <color rgb="FF7E1014"/>
      <color rgb="FF5E0D11"/>
      <color rgb="FF094320"/>
      <color rgb="FFAC1116"/>
      <color rgb="FF2C2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0.8</v>
        <stp/>
        <stp>000001.SH</stp>
        <stp>rt_pct_chg</stp>
        <stp>RT_Price</stp>
        <tr r="E36" s="1"/>
      </tp>
      <tp>
        <v>2.2600000000000002</v>
        <stp/>
        <stp>399001.SZ</stp>
        <stp>rt_pct_chg</stp>
        <stp>RT_Price</stp>
        <tr r="F3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历史今日涨跌幅!$E$5</c:f>
              <c:strCache>
                <c:ptCount val="1"/>
                <c:pt idx="0">
                  <c:v>000001.SH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numRef>
              <c:f>历史今日涨跌幅!$D$8:$D$36</c:f>
              <c:numCache>
                <c:formatCode>yyyy\-mm\-dd</c:formatCode>
                <c:ptCount val="29"/>
                <c:pt idx="0">
                  <c:v>35184</c:v>
                </c:pt>
                <c:pt idx="1">
                  <c:v>35549</c:v>
                </c:pt>
                <c:pt idx="2">
                  <c:v>35914</c:v>
                </c:pt>
                <c:pt idx="3">
                  <c:v>36279</c:v>
                </c:pt>
                <c:pt idx="4">
                  <c:v>36644</c:v>
                </c:pt>
                <c:pt idx="5">
                  <c:v>37008</c:v>
                </c:pt>
                <c:pt idx="6">
                  <c:v>37375</c:v>
                </c:pt>
                <c:pt idx="7">
                  <c:v>37740</c:v>
                </c:pt>
                <c:pt idx="8">
                  <c:v>38106</c:v>
                </c:pt>
                <c:pt idx="9">
                  <c:v>38471</c:v>
                </c:pt>
                <c:pt idx="10">
                  <c:v>38835</c:v>
                </c:pt>
                <c:pt idx="11">
                  <c:v>39199</c:v>
                </c:pt>
                <c:pt idx="12">
                  <c:v>39567</c:v>
                </c:pt>
                <c:pt idx="13">
                  <c:v>39932</c:v>
                </c:pt>
                <c:pt idx="14">
                  <c:v>40297</c:v>
                </c:pt>
                <c:pt idx="15">
                  <c:v>40662</c:v>
                </c:pt>
                <c:pt idx="16">
                  <c:v>41026</c:v>
                </c:pt>
                <c:pt idx="17">
                  <c:v>41390</c:v>
                </c:pt>
                <c:pt idx="18">
                  <c:v>41758</c:v>
                </c:pt>
                <c:pt idx="19">
                  <c:v>42123</c:v>
                </c:pt>
                <c:pt idx="20">
                  <c:v>42489</c:v>
                </c:pt>
                <c:pt idx="21">
                  <c:v>42853</c:v>
                </c:pt>
                <c:pt idx="22">
                  <c:v>43217</c:v>
                </c:pt>
                <c:pt idx="23">
                  <c:v>43584</c:v>
                </c:pt>
                <c:pt idx="24">
                  <c:v>43950</c:v>
                </c:pt>
                <c:pt idx="25">
                  <c:v>44315</c:v>
                </c:pt>
                <c:pt idx="26">
                  <c:v>44680</c:v>
                </c:pt>
                <c:pt idx="27">
                  <c:v>45044</c:v>
                </c:pt>
                <c:pt idx="28">
                  <c:v>45411</c:v>
                </c:pt>
              </c:numCache>
            </c:numRef>
          </c:cat>
          <c:val>
            <c:numRef>
              <c:f>历史今日涨跌幅!$E$8:$E$36</c:f>
              <c:numCache>
                <c:formatCode>0.00"%"</c:formatCode>
                <c:ptCount val="29"/>
                <c:pt idx="0">
                  <c:v>4.3823575100000003</c:v>
                </c:pt>
                <c:pt idx="1">
                  <c:v>1.8323265500000001</c:v>
                </c:pt>
                <c:pt idx="2">
                  <c:v>-3.6834480000000003E-2</c:v>
                </c:pt>
                <c:pt idx="3">
                  <c:v>2.3202506899999999</c:v>
                </c:pt>
                <c:pt idx="4">
                  <c:v>1.6321956099999999</c:v>
                </c:pt>
                <c:pt idx="5">
                  <c:v>0.47756449000000001</c:v>
                </c:pt>
                <c:pt idx="6">
                  <c:v>1.53743564</c:v>
                </c:pt>
                <c:pt idx="7">
                  <c:v>-1.84549432</c:v>
                </c:pt>
                <c:pt idx="8">
                  <c:v>-1.7023887799999999</c:v>
                </c:pt>
                <c:pt idx="9">
                  <c:v>-0.85295069000000001</c:v>
                </c:pt>
                <c:pt idx="10">
                  <c:v>1.6581117700000001</c:v>
                </c:pt>
                <c:pt idx="11">
                  <c:v>-0.61315394000000001</c:v>
                </c:pt>
                <c:pt idx="12">
                  <c:v>1.4010617299999999</c:v>
                </c:pt>
                <c:pt idx="13">
                  <c:v>2.7797511300000002</c:v>
                </c:pt>
                <c:pt idx="14">
                  <c:v>-1.0998399800000001</c:v>
                </c:pt>
                <c:pt idx="15">
                  <c:v>0.84747583000000004</c:v>
                </c:pt>
                <c:pt idx="16">
                  <c:v>-0.34852623999999999</c:v>
                </c:pt>
                <c:pt idx="17">
                  <c:v>-0.97280643</c:v>
                </c:pt>
                <c:pt idx="18">
                  <c:v>0.84123331000000001</c:v>
                </c:pt>
                <c:pt idx="19">
                  <c:v>9.0478199999999998E-3</c:v>
                </c:pt>
                <c:pt idx="20">
                  <c:v>-0.24663998000000001</c:v>
                </c:pt>
                <c:pt idx="21">
                  <c:v>7.8405879999999997E-2</c:v>
                </c:pt>
                <c:pt idx="22">
                  <c:v>0.23419282999999999</c:v>
                </c:pt>
                <c:pt idx="23">
                  <c:v>-0.77437818999999997</c:v>
                </c:pt>
                <c:pt idx="24">
                  <c:v>0.44192144999999999</c:v>
                </c:pt>
                <c:pt idx="25">
                  <c:v>0.51583592</c:v>
                </c:pt>
                <c:pt idx="26">
                  <c:v>2.40557774</c:v>
                </c:pt>
                <c:pt idx="27">
                  <c:v>1.1379036899999999</c:v>
                </c:pt>
                <c:pt idx="28">
                  <c:v>0.8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95D29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EA4C-4C3B-94A7-0465A8A2AF31}"/>
            </c:ext>
          </c:extLst>
        </c:ser>
        <c:ser>
          <c:idx val="1"/>
          <c:order val="1"/>
          <c:tx>
            <c:strRef>
              <c:f>历史今日涨跌幅!$F$5</c:f>
              <c:strCache>
                <c:ptCount val="1"/>
                <c:pt idx="0">
                  <c:v>399001.SZ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cat>
            <c:numRef>
              <c:f>历史今日涨跌幅!$D$8:$D$36</c:f>
              <c:numCache>
                <c:formatCode>yyyy\-mm\-dd</c:formatCode>
                <c:ptCount val="29"/>
                <c:pt idx="0">
                  <c:v>35184</c:v>
                </c:pt>
                <c:pt idx="1">
                  <c:v>35549</c:v>
                </c:pt>
                <c:pt idx="2">
                  <c:v>35914</c:v>
                </c:pt>
                <c:pt idx="3">
                  <c:v>36279</c:v>
                </c:pt>
                <c:pt idx="4">
                  <c:v>36644</c:v>
                </c:pt>
                <c:pt idx="5">
                  <c:v>37008</c:v>
                </c:pt>
                <c:pt idx="6">
                  <c:v>37375</c:v>
                </c:pt>
                <c:pt idx="7">
                  <c:v>37740</c:v>
                </c:pt>
                <c:pt idx="8">
                  <c:v>38106</c:v>
                </c:pt>
                <c:pt idx="9">
                  <c:v>38471</c:v>
                </c:pt>
                <c:pt idx="10">
                  <c:v>38835</c:v>
                </c:pt>
                <c:pt idx="11">
                  <c:v>39199</c:v>
                </c:pt>
                <c:pt idx="12">
                  <c:v>39567</c:v>
                </c:pt>
                <c:pt idx="13">
                  <c:v>39932</c:v>
                </c:pt>
                <c:pt idx="14">
                  <c:v>40297</c:v>
                </c:pt>
                <c:pt idx="15">
                  <c:v>40662</c:v>
                </c:pt>
                <c:pt idx="16">
                  <c:v>41026</c:v>
                </c:pt>
                <c:pt idx="17">
                  <c:v>41390</c:v>
                </c:pt>
                <c:pt idx="18">
                  <c:v>41758</c:v>
                </c:pt>
                <c:pt idx="19">
                  <c:v>42123</c:v>
                </c:pt>
                <c:pt idx="20">
                  <c:v>42489</c:v>
                </c:pt>
                <c:pt idx="21">
                  <c:v>42853</c:v>
                </c:pt>
                <c:pt idx="22">
                  <c:v>43217</c:v>
                </c:pt>
                <c:pt idx="23">
                  <c:v>43584</c:v>
                </c:pt>
                <c:pt idx="24">
                  <c:v>43950</c:v>
                </c:pt>
                <c:pt idx="25">
                  <c:v>44315</c:v>
                </c:pt>
                <c:pt idx="26">
                  <c:v>44680</c:v>
                </c:pt>
                <c:pt idx="27">
                  <c:v>45044</c:v>
                </c:pt>
                <c:pt idx="28">
                  <c:v>45411</c:v>
                </c:pt>
              </c:numCache>
            </c:numRef>
          </c:cat>
          <c:val>
            <c:numRef>
              <c:f>历史今日涨跌幅!$F$8:$F$36</c:f>
              <c:numCache>
                <c:formatCode>0.00"%"</c:formatCode>
                <c:ptCount val="29"/>
                <c:pt idx="0">
                  <c:v>8.0079594099999998</c:v>
                </c:pt>
                <c:pt idx="1">
                  <c:v>7.9201350000000004E-2</c:v>
                </c:pt>
                <c:pt idx="2">
                  <c:v>7.6704159999999993E-2</c:v>
                </c:pt>
                <c:pt idx="3">
                  <c:v>1.46671906</c:v>
                </c:pt>
                <c:pt idx="4">
                  <c:v>2.8374914800000002</c:v>
                </c:pt>
                <c:pt idx="5">
                  <c:v>0.61841029000000003</c:v>
                </c:pt>
                <c:pt idx="6">
                  <c:v>1.68617397</c:v>
                </c:pt>
                <c:pt idx="7">
                  <c:v>-1.67314121</c:v>
                </c:pt>
                <c:pt idx="8">
                  <c:v>-2.7750096000000002</c:v>
                </c:pt>
                <c:pt idx="9">
                  <c:v>-1.4996573799999999</c:v>
                </c:pt>
                <c:pt idx="10">
                  <c:v>0.15606012</c:v>
                </c:pt>
                <c:pt idx="11">
                  <c:v>-1.47689472</c:v>
                </c:pt>
                <c:pt idx="12">
                  <c:v>0.76965399999999995</c:v>
                </c:pt>
                <c:pt idx="13">
                  <c:v>3.0634977999999999</c:v>
                </c:pt>
                <c:pt idx="14">
                  <c:v>-1.2131626600000001</c:v>
                </c:pt>
                <c:pt idx="15">
                  <c:v>1.3477707699999999</c:v>
                </c:pt>
                <c:pt idx="16">
                  <c:v>-0.20840738</c:v>
                </c:pt>
                <c:pt idx="17">
                  <c:v>-0.92549782000000003</c:v>
                </c:pt>
                <c:pt idx="18">
                  <c:v>1.3728682000000001</c:v>
                </c:pt>
                <c:pt idx="19">
                  <c:v>1.1199038299999999</c:v>
                </c:pt>
                <c:pt idx="20">
                  <c:v>-8.2444089999999998E-2</c:v>
                </c:pt>
                <c:pt idx="21">
                  <c:v>5.3360020000000001E-2</c:v>
                </c:pt>
                <c:pt idx="22">
                  <c:v>0.31430260999999998</c:v>
                </c:pt>
                <c:pt idx="23">
                  <c:v>-1.6187658</c:v>
                </c:pt>
                <c:pt idx="24">
                  <c:v>0.12404359</c:v>
                </c:pt>
                <c:pt idx="25">
                  <c:v>0.45630825000000003</c:v>
                </c:pt>
                <c:pt idx="26">
                  <c:v>3.6928972299999998</c:v>
                </c:pt>
                <c:pt idx="27">
                  <c:v>1.0846815299999999</c:v>
                </c:pt>
                <c:pt idx="28">
                  <c:v>2.2600000000000002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6C0-4C8C-8754-3E2F6436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953438511"/>
        <c:axId val="953441007"/>
      </c:barChart>
      <c:catAx>
        <c:axId val="953438511"/>
        <c:scaling>
          <c:orientation val="minMax"/>
        </c:scaling>
        <c:delete val="0"/>
        <c:axPos val="b"/>
        <c:numFmt formatCode="yyyy\-mm\-dd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53441007"/>
        <c:crosses val="autoZero"/>
        <c:auto val="0"/>
        <c:lblAlgn val="ctr"/>
        <c:lblOffset val="100"/>
        <c:noMultiLvlLbl val="1"/>
      </c:catAx>
      <c:valAx>
        <c:axId val="9534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5343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F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4-4AB9-BE75-DE871487F748}"/>
              </c:ext>
            </c:extLst>
          </c:dPt>
          <c:dPt>
            <c:idx val="1"/>
            <c:invertIfNegative val="0"/>
            <c:bubble3D val="0"/>
            <c:spPr>
              <a:solidFill>
                <a:srgbClr val="107F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4-4AB9-BE75-DE871487F748}"/>
              </c:ext>
            </c:extLst>
          </c:dPt>
          <c:dPt>
            <c:idx val="2"/>
            <c:invertIfNegative val="0"/>
            <c:bubble3D val="0"/>
            <c:spPr>
              <a:solidFill>
                <a:srgbClr val="107F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4-4AB9-BE75-DE871487F748}"/>
              </c:ext>
            </c:extLst>
          </c:dPt>
          <c:dPt>
            <c:idx val="3"/>
            <c:invertIfNegative val="0"/>
            <c:bubble3D val="0"/>
            <c:spPr>
              <a:solidFill>
                <a:srgbClr val="107F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4-4AB9-BE75-DE871487F748}"/>
              </c:ext>
            </c:extLst>
          </c:dPt>
          <c:dPt>
            <c:idx val="4"/>
            <c:invertIfNegative val="0"/>
            <c:bubble3D val="0"/>
            <c:spPr>
              <a:solidFill>
                <a:srgbClr val="107F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4-4AB9-BE75-DE871487F748}"/>
              </c:ext>
            </c:extLst>
          </c:dPt>
          <c:dPt>
            <c:idx val="5"/>
            <c:invertIfNegative val="0"/>
            <c:bubble3D val="0"/>
            <c:spPr>
              <a:solidFill>
                <a:srgbClr val="C918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4-4AB9-BE75-DE871487F748}"/>
              </c:ext>
            </c:extLst>
          </c:dPt>
          <c:dPt>
            <c:idx val="6"/>
            <c:invertIfNegative val="0"/>
            <c:bubble3D val="0"/>
            <c:spPr>
              <a:solidFill>
                <a:srgbClr val="C918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364-4AB9-BE75-DE871487F748}"/>
              </c:ext>
            </c:extLst>
          </c:dPt>
          <c:dPt>
            <c:idx val="7"/>
            <c:invertIfNegative val="0"/>
            <c:bubble3D val="0"/>
            <c:spPr>
              <a:solidFill>
                <a:srgbClr val="C918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364-4AB9-BE75-DE871487F748}"/>
              </c:ext>
            </c:extLst>
          </c:dPt>
          <c:dPt>
            <c:idx val="8"/>
            <c:invertIfNegative val="0"/>
            <c:bubble3D val="0"/>
            <c:spPr>
              <a:solidFill>
                <a:srgbClr val="C918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364-4AB9-BE75-DE871487F748}"/>
              </c:ext>
            </c:extLst>
          </c:dPt>
          <c:dPt>
            <c:idx val="9"/>
            <c:invertIfNegative val="0"/>
            <c:bubble3D val="0"/>
            <c:spPr>
              <a:solidFill>
                <a:srgbClr val="C918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364-4AB9-BE75-DE871487F748}"/>
              </c:ext>
            </c:extLst>
          </c:dPt>
          <c:cat>
            <c:strRef>
              <c:f>data!$B$2:$B$11</c:f>
              <c:strCache>
                <c:ptCount val="10"/>
                <c:pt idx="0">
                  <c:v> &lt;= -4%</c:v>
                </c:pt>
                <c:pt idx="1">
                  <c:v>&lt;=-3%</c:v>
                </c:pt>
                <c:pt idx="2">
                  <c:v>&lt;=-2%</c:v>
                </c:pt>
                <c:pt idx="3">
                  <c:v>&lt;=-1%</c:v>
                </c:pt>
                <c:pt idx="4">
                  <c:v>&lt;=0%</c:v>
                </c:pt>
                <c:pt idx="5">
                  <c:v>&lt;=1%</c:v>
                </c:pt>
                <c:pt idx="6">
                  <c:v>&lt;=2%</c:v>
                </c:pt>
                <c:pt idx="7">
                  <c:v>&lt;=3%</c:v>
                </c:pt>
                <c:pt idx="8">
                  <c:v>&lt;=4%</c:v>
                </c:pt>
                <c:pt idx="9">
                  <c:v>&gt;4%</c:v>
                </c:pt>
              </c:strCache>
            </c:strRef>
          </c:cat>
          <c:val>
            <c:numRef>
              <c:f>data!$C$2:$C$11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10</c:v>
                </c:pt>
                <c:pt idx="5">
                  <c:v>18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364-4AB9-BE75-DE871487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74798415"/>
        <c:axId val="374801743"/>
      </c:barChart>
      <c:lineChart>
        <c:grouping val="standard"/>
        <c:varyColors val="0"/>
        <c:ser>
          <c:idx val="1"/>
          <c:order val="1"/>
          <c:tx>
            <c:v>系列2</c:v>
          </c:tx>
          <c:spPr>
            <a:ln w="25400" cap="sq">
              <a:solidFill>
                <a:srgbClr val="FFBF15"/>
              </a:solidFill>
              <a:bevel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10</c:v>
                </c:pt>
                <c:pt idx="5">
                  <c:v>18</c:v>
                </c:pt>
                <c:pt idx="6">
                  <c:v>12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364-4AB9-BE75-DE871487F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798415"/>
        <c:axId val="374801743"/>
      </c:lineChart>
      <c:catAx>
        <c:axId val="37479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801743"/>
        <c:crosses val="autoZero"/>
        <c:auto val="1"/>
        <c:lblAlgn val="ctr"/>
        <c:lblOffset val="100"/>
        <c:noMultiLvlLbl val="0"/>
      </c:catAx>
      <c:valAx>
        <c:axId val="37480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7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4</xdr:row>
      <xdr:rowOff>47625</xdr:rowOff>
    </xdr:from>
    <xdr:to>
      <xdr:col>23</xdr:col>
      <xdr:colOff>9525</xdr:colOff>
      <xdr:row>20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161925</xdr:colOff>
      <xdr:row>0</xdr:row>
      <xdr:rowOff>85725</xdr:rowOff>
    </xdr:from>
    <xdr:ext cx="608400" cy="219600"/>
    <xdr:pic>
      <xdr:nvPicPr>
        <xdr:cNvPr id="5" name="图片 4">
          <a:extLst>
            <a:ext uri="{FF2B5EF4-FFF2-40B4-BE49-F238E27FC236}">
              <a16:creationId xmlns:a16="http://schemas.microsoft.com/office/drawing/2014/main" id="{B0F568A2-BA70-4E92-B29F-BD74DDD3B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5725"/>
          <a:ext cx="608400" cy="219600"/>
        </a:xfrm>
        <a:prstGeom prst="rect">
          <a:avLst/>
        </a:prstGeom>
      </xdr:spPr>
    </xdr:pic>
    <xdr:clientData/>
  </xdr:oneCellAnchor>
  <xdr:twoCellAnchor>
    <xdr:from>
      <xdr:col>7</xdr:col>
      <xdr:colOff>123824</xdr:colOff>
      <xdr:row>22</xdr:row>
      <xdr:rowOff>38099</xdr:rowOff>
    </xdr:from>
    <xdr:to>
      <xdr:col>14</xdr:col>
      <xdr:colOff>676274</xdr:colOff>
      <xdr:row>35</xdr:row>
      <xdr:rowOff>190499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dq_pctchange"/>
      <definedName name="s_info_name"/>
      <definedName name="TDaysOff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Y44"/>
  <sheetViews>
    <sheetView showGridLines="0" tabSelected="1" topLeftCell="B1" zoomScaleNormal="100" workbookViewId="0">
      <pane ySplit="1" topLeftCell="A2" activePane="bottomLeft" state="frozen"/>
      <selection activeCell="B1" sqref="B1"/>
      <selection pane="bottomLeft" activeCell="D44" sqref="D44"/>
    </sheetView>
  </sheetViews>
  <sheetFormatPr defaultRowHeight="14.25"/>
  <cols>
    <col min="1" max="1" width="0" style="1" hidden="1" customWidth="1"/>
    <col min="2" max="2" width="2.5" style="1" customWidth="1"/>
    <col min="3" max="3" width="1.625" style="1" customWidth="1"/>
    <col min="4" max="4" width="13.5" customWidth="1"/>
    <col min="5" max="6" width="12.625" customWidth="1"/>
    <col min="7" max="7" width="12.625" hidden="1" customWidth="1"/>
    <col min="8" max="8" width="1.625" customWidth="1"/>
    <col min="16" max="16" width="1.625" customWidth="1"/>
    <col min="18" max="18" width="9.875" customWidth="1"/>
    <col min="19" max="19" width="3.625" customWidth="1"/>
    <col min="21" max="21" width="3.625" customWidth="1"/>
    <col min="22" max="22" width="11.875" bestFit="1" customWidth="1"/>
    <col min="23" max="23" width="5.625" customWidth="1"/>
    <col min="24" max="24" width="1.625" customWidth="1"/>
    <col min="25" max="25" width="2.5" customWidth="1"/>
  </cols>
  <sheetData>
    <row r="1" spans="1:25" ht="27.75" customHeight="1">
      <c r="A1" s="2"/>
      <c r="B1" s="2"/>
      <c r="C1" s="2"/>
      <c r="D1" s="2"/>
      <c r="E1" s="45" t="s">
        <v>16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4"/>
      <c r="X1" s="44"/>
      <c r="Y1" s="3"/>
    </row>
    <row r="2" spans="1:25" ht="12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9.9499999999999993" customHeight="1">
      <c r="B3" s="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41"/>
      <c r="X3" s="36"/>
      <c r="Y3" s="4"/>
    </row>
    <row r="4" spans="1:25" ht="21" customHeight="1">
      <c r="B4" s="4"/>
      <c r="C4" s="36"/>
      <c r="D4" s="11" t="s">
        <v>17</v>
      </c>
      <c r="E4" s="37">
        <f ca="1">TODAY()</f>
        <v>45411</v>
      </c>
      <c r="I4" s="6" t="s">
        <v>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36"/>
      <c r="Y4" s="4"/>
    </row>
    <row r="5" spans="1:25" ht="21" customHeight="1">
      <c r="B5" s="4"/>
      <c r="C5" s="36"/>
      <c r="D5" s="39" t="s">
        <v>5</v>
      </c>
      <c r="E5" s="10" t="s">
        <v>0</v>
      </c>
      <c r="F5" s="10" t="s">
        <v>1</v>
      </c>
      <c r="G5" s="10"/>
      <c r="X5" s="36"/>
      <c r="Y5" s="4"/>
    </row>
    <row r="6" spans="1:25" ht="18">
      <c r="B6" s="4"/>
      <c r="C6" s="36"/>
      <c r="D6" s="11"/>
      <c r="E6" s="40" t="str">
        <f>[1]!s_info_name(E5)</f>
        <v>上证指数</v>
      </c>
      <c r="F6" s="40" t="str">
        <f>[1]!s_info_name(F5)</f>
        <v>深证成指</v>
      </c>
      <c r="G6" s="12"/>
      <c r="X6" s="36"/>
      <c r="Y6" s="4"/>
    </row>
    <row r="7" spans="1:25" ht="9.9499999999999993" customHeight="1">
      <c r="B7" s="4"/>
      <c r="C7" s="36"/>
      <c r="X7" s="36"/>
      <c r="Y7" s="4"/>
    </row>
    <row r="8" spans="1:25" ht="15.95" customHeight="1">
      <c r="A8" s="1">
        <v>-28</v>
      </c>
      <c r="B8" s="4"/>
      <c r="C8" s="38">
        <f>RANK(G8,G$8:G$36)+COUNTIF(G$8:G8,G8)-1</f>
        <v>1</v>
      </c>
      <c r="D8" s="8">
        <f>[1]!TDaysOffset(W$1,"Period=Y","Offset="&amp;A8)</f>
        <v>35184</v>
      </c>
      <c r="E8" s="13">
        <f>[1]!s_dq_pctchange(E$5,$D8)</f>
        <v>4.3823575100000003</v>
      </c>
      <c r="F8" s="13">
        <f>[1]!s_dq_pctchange(F$5,$D8)</f>
        <v>8.0079594099999998</v>
      </c>
      <c r="G8" s="13">
        <f>E8+F8</f>
        <v>12.39031692</v>
      </c>
      <c r="X8" s="36"/>
      <c r="Y8" s="4"/>
    </row>
    <row r="9" spans="1:25" ht="15.95" customHeight="1">
      <c r="A9" s="1">
        <v>-27</v>
      </c>
      <c r="B9" s="4"/>
      <c r="C9" s="38">
        <f>RANK(G9,G$8:G$36)+COUNTIF(G$8:G9,G9)-1</f>
        <v>12</v>
      </c>
      <c r="D9" s="9">
        <f>[1]!TDaysOffset(W$1,"Period=Y","Offset="&amp;A9)</f>
        <v>35549</v>
      </c>
      <c r="E9" s="14">
        <f>[1]!s_dq_pctchange(E$5,$D9)</f>
        <v>1.8323265500000001</v>
      </c>
      <c r="F9" s="14">
        <f>[1]!s_dq_pctchange(F$5,$D9)</f>
        <v>7.9201350000000004E-2</v>
      </c>
      <c r="G9" s="13">
        <f t="shared" ref="G9:G36" si="0">E9+F9</f>
        <v>1.9115279000000001</v>
      </c>
      <c r="X9" s="36"/>
      <c r="Y9" s="4"/>
    </row>
    <row r="10" spans="1:25" ht="15.95" customHeight="1">
      <c r="A10" s="1">
        <v>-26</v>
      </c>
      <c r="B10" s="4"/>
      <c r="C10" s="38">
        <f>RANK(G10,G$8:G$36)+COUNTIF(G$8:G10,G10)-1</f>
        <v>20</v>
      </c>
      <c r="D10" s="8">
        <f>[1]!TDaysOffset(W$1,"Period=Y","Offset="&amp;A10)</f>
        <v>35914</v>
      </c>
      <c r="E10" s="13">
        <f>[1]!s_dq_pctchange(E$5,$D10)</f>
        <v>-3.6834480000000003E-2</v>
      </c>
      <c r="F10" s="13">
        <f>[1]!s_dq_pctchange(F$5,$D10)</f>
        <v>7.6704159999999993E-2</v>
      </c>
      <c r="G10" s="13">
        <f t="shared" si="0"/>
        <v>3.9869679999999991E-2</v>
      </c>
      <c r="X10" s="36"/>
      <c r="Y10" s="4"/>
    </row>
    <row r="11" spans="1:25" ht="15.95" customHeight="1">
      <c r="A11" s="1">
        <v>-25</v>
      </c>
      <c r="B11" s="4"/>
      <c r="C11" s="38">
        <f>RANK(G11,G$8:G$36)+COUNTIF(G$8:G11,G11)-1</f>
        <v>5</v>
      </c>
      <c r="D11" s="9">
        <f>[1]!TDaysOffset(W$1,"Period=Y","Offset="&amp;A11)</f>
        <v>36279</v>
      </c>
      <c r="E11" s="14">
        <f>[1]!s_dq_pctchange(E$5,$D11)</f>
        <v>2.3202506899999999</v>
      </c>
      <c r="F11" s="14">
        <f>[1]!s_dq_pctchange(F$5,$D11)</f>
        <v>1.46671906</v>
      </c>
      <c r="G11" s="13">
        <f t="shared" si="0"/>
        <v>3.7869697499999999</v>
      </c>
      <c r="X11" s="36"/>
      <c r="Y11" s="4"/>
    </row>
    <row r="12" spans="1:25" ht="15.95" customHeight="1">
      <c r="A12" s="1">
        <v>-24</v>
      </c>
      <c r="B12" s="4"/>
      <c r="C12" s="38">
        <f>RANK(G12,G$8:G$36)+COUNTIF(G$8:G12,G12)-1</f>
        <v>4</v>
      </c>
      <c r="D12" s="8">
        <f>[1]!TDaysOffset(W$1,"Period=Y","Offset="&amp;A12)</f>
        <v>36644</v>
      </c>
      <c r="E12" s="13">
        <f>[1]!s_dq_pctchange(E$5,$D12)</f>
        <v>1.6321956099999999</v>
      </c>
      <c r="F12" s="13">
        <f>[1]!s_dq_pctchange(F$5,$D12)</f>
        <v>2.8374914800000002</v>
      </c>
      <c r="G12" s="13">
        <f t="shared" si="0"/>
        <v>4.4696870899999999</v>
      </c>
      <c r="X12" s="36"/>
      <c r="Y12" s="4"/>
    </row>
    <row r="13" spans="1:25" ht="15.95" customHeight="1">
      <c r="A13" s="1">
        <v>-23</v>
      </c>
      <c r="B13" s="4"/>
      <c r="C13" s="38">
        <f>RANK(G13,G$8:G$36)+COUNTIF(G$8:G13,G13)-1</f>
        <v>15</v>
      </c>
      <c r="D13" s="9">
        <f>[1]!TDaysOffset(W$1,"Period=Y","Offset="&amp;A13)</f>
        <v>37008</v>
      </c>
      <c r="E13" s="14">
        <f>[1]!s_dq_pctchange(E$5,$D13)</f>
        <v>0.47756449000000001</v>
      </c>
      <c r="F13" s="14">
        <f>[1]!s_dq_pctchange(F$5,$D13)</f>
        <v>0.61841029000000003</v>
      </c>
      <c r="G13" s="13">
        <f t="shared" si="0"/>
        <v>1.0959747800000001</v>
      </c>
      <c r="X13" s="36"/>
      <c r="Y13" s="4"/>
    </row>
    <row r="14" spans="1:25" ht="15.95" customHeight="1">
      <c r="A14" s="1">
        <v>-22</v>
      </c>
      <c r="B14" s="4"/>
      <c r="C14" s="38">
        <f>RANK(G14,G$8:G$36)+COUNTIF(G$8:G14,G14)-1</f>
        <v>6</v>
      </c>
      <c r="D14" s="8">
        <f>[1]!TDaysOffset(W$1,"Period=Y","Offset="&amp;A14)</f>
        <v>37375</v>
      </c>
      <c r="E14" s="13">
        <f>[1]!s_dq_pctchange(E$5,$D14)</f>
        <v>1.53743564</v>
      </c>
      <c r="F14" s="13">
        <f>[1]!s_dq_pctchange(F$5,$D14)</f>
        <v>1.68617397</v>
      </c>
      <c r="G14" s="13">
        <f t="shared" si="0"/>
        <v>3.22360961</v>
      </c>
      <c r="X14" s="36"/>
      <c r="Y14" s="4"/>
    </row>
    <row r="15" spans="1:25" ht="15.95" customHeight="1">
      <c r="A15" s="1">
        <v>-21</v>
      </c>
      <c r="B15" s="4"/>
      <c r="C15" s="38">
        <f>RANK(G15,G$8:G$36)+COUNTIF(G$8:G15,G15)-1</f>
        <v>28</v>
      </c>
      <c r="D15" s="9">
        <f>[1]!TDaysOffset(W$1,"Period=Y","Offset="&amp;A15)</f>
        <v>37740</v>
      </c>
      <c r="E15" s="14">
        <f>[1]!s_dq_pctchange(E$5,$D15)</f>
        <v>-1.84549432</v>
      </c>
      <c r="F15" s="14">
        <f>[1]!s_dq_pctchange(F$5,$D15)</f>
        <v>-1.67314121</v>
      </c>
      <c r="G15" s="13">
        <f t="shared" si="0"/>
        <v>-3.5186355300000001</v>
      </c>
      <c r="X15" s="36"/>
      <c r="Y15" s="4"/>
    </row>
    <row r="16" spans="1:25" ht="15.95" customHeight="1">
      <c r="A16" s="1">
        <v>-20</v>
      </c>
      <c r="B16" s="4"/>
      <c r="C16" s="38">
        <f>RANK(G16,G$8:G$36)+COUNTIF(G$8:G16,G16)-1</f>
        <v>29</v>
      </c>
      <c r="D16" s="8">
        <f>[1]!TDaysOffset(W$1,"Period=Y","Offset="&amp;A16)</f>
        <v>38106</v>
      </c>
      <c r="E16" s="13">
        <f>[1]!s_dq_pctchange(E$5,$D16)</f>
        <v>-1.7023887799999999</v>
      </c>
      <c r="F16" s="13">
        <f>[1]!s_dq_pctchange(F$5,$D16)</f>
        <v>-2.7750096000000002</v>
      </c>
      <c r="G16" s="13">
        <f t="shared" si="0"/>
        <v>-4.4773983800000003</v>
      </c>
      <c r="X16" s="36"/>
      <c r="Y16" s="4"/>
    </row>
    <row r="17" spans="1:25" ht="15.95" customHeight="1">
      <c r="A17" s="1">
        <v>-19</v>
      </c>
      <c r="B17" s="4"/>
      <c r="C17" s="38">
        <f>RANK(G17,G$8:G$36)+COUNTIF(G$8:G17,G17)-1</f>
        <v>26</v>
      </c>
      <c r="D17" s="9">
        <f>[1]!TDaysOffset(W$1,"Period=Y","Offset="&amp;A17)</f>
        <v>38471</v>
      </c>
      <c r="E17" s="14">
        <f>[1]!s_dq_pctchange(E$5,$D17)</f>
        <v>-0.85295069000000001</v>
      </c>
      <c r="F17" s="14">
        <f>[1]!s_dq_pctchange(F$5,$D17)</f>
        <v>-1.4996573799999999</v>
      </c>
      <c r="G17" s="13">
        <f t="shared" si="0"/>
        <v>-2.3526080700000001</v>
      </c>
      <c r="X17" s="36"/>
      <c r="Y17" s="4"/>
    </row>
    <row r="18" spans="1:25" ht="15.95" customHeight="1">
      <c r="A18" s="1">
        <v>-18</v>
      </c>
      <c r="B18" s="4"/>
      <c r="C18" s="38">
        <f>RANK(G18,G$8:G$36)+COUNTIF(G$8:G18,G18)-1</f>
        <v>13</v>
      </c>
      <c r="D18" s="8">
        <f>[1]!TDaysOffset(W$1,"Period=Y","Offset="&amp;A18)</f>
        <v>38835</v>
      </c>
      <c r="E18" s="13">
        <f>[1]!s_dq_pctchange(E$5,$D18)</f>
        <v>1.6581117700000001</v>
      </c>
      <c r="F18" s="13">
        <f>[1]!s_dq_pctchange(F$5,$D18)</f>
        <v>0.15606012</v>
      </c>
      <c r="G18" s="13">
        <f t="shared" si="0"/>
        <v>1.8141718900000001</v>
      </c>
      <c r="X18" s="36"/>
      <c r="Y18" s="4"/>
    </row>
    <row r="19" spans="1:25" ht="15.95" customHeight="1">
      <c r="A19" s="1">
        <v>-17</v>
      </c>
      <c r="B19" s="4"/>
      <c r="C19" s="38">
        <f>RANK(G19,G$8:G$36)+COUNTIF(G$8:G19,G19)-1</f>
        <v>24</v>
      </c>
      <c r="D19" s="9">
        <f>[1]!TDaysOffset(W$1,"Period=Y","Offset="&amp;A19)</f>
        <v>39199</v>
      </c>
      <c r="E19" s="14">
        <f>[1]!s_dq_pctchange(E$5,$D19)</f>
        <v>-0.61315394000000001</v>
      </c>
      <c r="F19" s="14">
        <f>[1]!s_dq_pctchange(F$5,$D19)</f>
        <v>-1.47689472</v>
      </c>
      <c r="G19" s="13">
        <f t="shared" si="0"/>
        <v>-2.0900486599999999</v>
      </c>
      <c r="X19" s="36"/>
      <c r="Y19" s="4"/>
    </row>
    <row r="20" spans="1:25" ht="15.95" customHeight="1">
      <c r="A20" s="1">
        <v>-16</v>
      </c>
      <c r="B20" s="4"/>
      <c r="C20" s="38">
        <f>RANK(G20,G$8:G$36)+COUNTIF(G$8:G20,G20)-1</f>
        <v>11</v>
      </c>
      <c r="D20" s="8">
        <f>[1]!TDaysOffset(W$1,"Period=Y","Offset="&amp;A20)</f>
        <v>39567</v>
      </c>
      <c r="E20" s="13">
        <f>[1]!s_dq_pctchange(E$5,$D20)</f>
        <v>1.4010617299999999</v>
      </c>
      <c r="F20" s="13">
        <f>[1]!s_dq_pctchange(F$5,$D20)</f>
        <v>0.76965399999999995</v>
      </c>
      <c r="G20" s="13">
        <f t="shared" si="0"/>
        <v>2.17071573</v>
      </c>
      <c r="X20" s="36"/>
      <c r="Y20" s="4"/>
    </row>
    <row r="21" spans="1:25" ht="15.95" customHeight="1">
      <c r="A21" s="1">
        <v>-15</v>
      </c>
      <c r="B21" s="4"/>
      <c r="C21" s="38">
        <f>RANK(G21,G$8:G$36)+COUNTIF(G$8:G21,G21)-1</f>
        <v>3</v>
      </c>
      <c r="D21" s="9">
        <f>[1]!TDaysOffset(W$1,"Period=Y","Offset="&amp;A21)</f>
        <v>39932</v>
      </c>
      <c r="E21" s="14">
        <f>[1]!s_dq_pctchange(E$5,$D21)</f>
        <v>2.7797511300000002</v>
      </c>
      <c r="F21" s="14">
        <f>[1]!s_dq_pctchange(F$5,$D21)</f>
        <v>3.0634977999999999</v>
      </c>
      <c r="G21" s="13">
        <f t="shared" si="0"/>
        <v>5.8432489299999997</v>
      </c>
      <c r="X21" s="36"/>
      <c r="Y21" s="4"/>
    </row>
    <row r="22" spans="1:25" ht="15.95" customHeight="1">
      <c r="A22" s="1">
        <v>-14</v>
      </c>
      <c r="B22" s="4"/>
      <c r="C22" s="38">
        <f>RANK(G22,G$8:G$36)+COUNTIF(G$8:G22,G22)-1</f>
        <v>25</v>
      </c>
      <c r="D22" s="8">
        <f>[1]!TDaysOffset(W$1,"Period=Y","Offset="&amp;A22)</f>
        <v>40297</v>
      </c>
      <c r="E22" s="13">
        <f>[1]!s_dq_pctchange(E$5,$D22)</f>
        <v>-1.0998399800000001</v>
      </c>
      <c r="F22" s="13">
        <f>[1]!s_dq_pctchange(F$5,$D22)</f>
        <v>-1.2131626600000001</v>
      </c>
      <c r="G22" s="13">
        <f t="shared" si="0"/>
        <v>-2.3130026400000001</v>
      </c>
      <c r="I22" s="6" t="s">
        <v>3</v>
      </c>
      <c r="J22" s="7"/>
      <c r="K22" s="7"/>
      <c r="L22" s="7"/>
      <c r="M22" s="7"/>
      <c r="N22" s="7"/>
      <c r="O22" s="7"/>
      <c r="Q22" s="6" t="s">
        <v>14</v>
      </c>
      <c r="W22" s="5"/>
      <c r="X22" s="36"/>
      <c r="Y22" s="4"/>
    </row>
    <row r="23" spans="1:25" ht="15.95" customHeight="1">
      <c r="A23" s="1">
        <v>-13</v>
      </c>
      <c r="B23" s="4"/>
      <c r="C23" s="38">
        <f>RANK(G23,G$8:G$36)+COUNTIF(G$8:G23,G23)-1</f>
        <v>10</v>
      </c>
      <c r="D23" s="9">
        <f>[1]!TDaysOffset(W$1,"Period=Y","Offset="&amp;A23)</f>
        <v>40662</v>
      </c>
      <c r="E23" s="14">
        <f>[1]!s_dq_pctchange(E$5,$D23)</f>
        <v>0.84747583000000004</v>
      </c>
      <c r="F23" s="14">
        <f>[1]!s_dq_pctchange(F$5,$D23)</f>
        <v>1.3477707699999999</v>
      </c>
      <c r="G23" s="13">
        <f t="shared" si="0"/>
        <v>2.1952465999999999</v>
      </c>
      <c r="Q23" s="22" t="s">
        <v>9</v>
      </c>
      <c r="R23" s="22" t="s">
        <v>10</v>
      </c>
      <c r="S23" s="22"/>
      <c r="T23" s="23" t="s">
        <v>11</v>
      </c>
      <c r="U23" s="23"/>
      <c r="V23" s="23" t="s">
        <v>12</v>
      </c>
      <c r="W23" s="23"/>
      <c r="X23" s="36"/>
      <c r="Y23" s="4"/>
    </row>
    <row r="24" spans="1:25" ht="15.95" customHeight="1">
      <c r="A24" s="1">
        <v>-12</v>
      </c>
      <c r="B24" s="4"/>
      <c r="C24" s="38">
        <f>RANK(G24,G$8:G$36)+COUNTIF(G$8:G24,G24)-1</f>
        <v>22</v>
      </c>
      <c r="D24" s="8">
        <f>[1]!TDaysOffset(W$1,"Period=Y","Offset="&amp;A24)</f>
        <v>41026</v>
      </c>
      <c r="E24" s="13">
        <f>[1]!s_dq_pctchange(E$5,$D24)</f>
        <v>-0.34852623999999999</v>
      </c>
      <c r="F24" s="13">
        <f>[1]!s_dq_pctchange(F$5,$D24)</f>
        <v>-0.20840738</v>
      </c>
      <c r="G24" s="13">
        <f t="shared" si="0"/>
        <v>-0.55693362000000002</v>
      </c>
      <c r="Q24" s="24">
        <v>1</v>
      </c>
      <c r="R24" s="33">
        <f>VLOOKUP(Q24,$C$8:$G$36,2,0)</f>
        <v>35184</v>
      </c>
      <c r="S24" s="33"/>
      <c r="T24" s="28">
        <f>VLOOKUP(Q24,$C$8:$G$36,3,0)</f>
        <v>4.3823575100000003</v>
      </c>
      <c r="U24" s="29"/>
      <c r="V24" s="29">
        <f>VLOOKUP(Q24,$C$8:$G$36,4,0)</f>
        <v>8.0079594099999998</v>
      </c>
      <c r="W24" s="25"/>
      <c r="X24" s="36"/>
      <c r="Y24" s="4"/>
    </row>
    <row r="25" spans="1:25" ht="15.95" customHeight="1">
      <c r="A25" s="1">
        <v>-11</v>
      </c>
      <c r="B25" s="4"/>
      <c r="C25" s="38">
        <f>RANK(G25,G$8:G$36)+COUNTIF(G$8:G25,G25)-1</f>
        <v>23</v>
      </c>
      <c r="D25" s="9">
        <f>[1]!TDaysOffset(W$1,"Period=Y","Offset="&amp;A25)</f>
        <v>41390</v>
      </c>
      <c r="E25" s="14">
        <f>[1]!s_dq_pctchange(E$5,$D25)</f>
        <v>-0.97280643</v>
      </c>
      <c r="F25" s="14">
        <f>[1]!s_dq_pctchange(F$5,$D25)</f>
        <v>-0.92549782000000003</v>
      </c>
      <c r="G25" s="13">
        <f t="shared" si="0"/>
        <v>-1.89830425</v>
      </c>
      <c r="Q25" s="26">
        <v>2</v>
      </c>
      <c r="R25" s="33">
        <f>VLOOKUP(Q25,$C$8:$G$36,2,0)</f>
        <v>44680</v>
      </c>
      <c r="S25" s="34"/>
      <c r="T25" s="28">
        <f t="shared" ref="T25:T28" si="1">VLOOKUP(Q25,$C$8:$G$36,3,0)</f>
        <v>2.40557774</v>
      </c>
      <c r="U25" s="35"/>
      <c r="V25" s="29">
        <f t="shared" ref="V25:V28" si="2">VLOOKUP(Q25,$C$8:$G$36,4,0)</f>
        <v>3.6928972299999998</v>
      </c>
      <c r="W25" s="27"/>
      <c r="X25" s="36"/>
      <c r="Y25" s="4"/>
    </row>
    <row r="26" spans="1:25" ht="15.95" customHeight="1">
      <c r="A26" s="1">
        <v>-10</v>
      </c>
      <c r="B26" s="4"/>
      <c r="C26" s="38">
        <f>RANK(G26,G$8:G$36)+COUNTIF(G$8:G26,G26)-1</f>
        <v>9</v>
      </c>
      <c r="D26" s="8">
        <f>[1]!TDaysOffset(W$1,"Period=Y","Offset="&amp;A26)</f>
        <v>41758</v>
      </c>
      <c r="E26" s="13">
        <f>[1]!s_dq_pctchange(E$5,$D26)</f>
        <v>0.84123331000000001</v>
      </c>
      <c r="F26" s="13">
        <f>[1]!s_dq_pctchange(F$5,$D26)</f>
        <v>1.3728682000000001</v>
      </c>
      <c r="G26" s="13">
        <f t="shared" si="0"/>
        <v>2.2141015099999999</v>
      </c>
      <c r="Q26" s="24">
        <v>3</v>
      </c>
      <c r="R26" s="33">
        <f>VLOOKUP(Q26,$C$8:$G$36,2,0)</f>
        <v>39932</v>
      </c>
      <c r="S26" s="33"/>
      <c r="T26" s="28">
        <f t="shared" si="1"/>
        <v>2.7797511300000002</v>
      </c>
      <c r="U26" s="29"/>
      <c r="V26" s="29">
        <f t="shared" si="2"/>
        <v>3.0634977999999999</v>
      </c>
      <c r="W26" s="25"/>
      <c r="X26" s="36"/>
      <c r="Y26" s="4"/>
    </row>
    <row r="27" spans="1:25" ht="15.95" customHeight="1">
      <c r="A27" s="1">
        <v>-9</v>
      </c>
      <c r="B27" s="4"/>
      <c r="C27" s="38">
        <f>RANK(G27,G$8:G$36)+COUNTIF(G$8:G27,G27)-1</f>
        <v>14</v>
      </c>
      <c r="D27" s="9">
        <f>[1]!TDaysOffset(W$1,"Period=Y","Offset="&amp;A27)</f>
        <v>42123</v>
      </c>
      <c r="E27" s="14">
        <f>[1]!s_dq_pctchange(E$5,$D27)</f>
        <v>9.0478199999999998E-3</v>
      </c>
      <c r="F27" s="14">
        <f>[1]!s_dq_pctchange(F$5,$D27)</f>
        <v>1.1199038299999999</v>
      </c>
      <c r="G27" s="13">
        <f t="shared" si="0"/>
        <v>1.1289516499999999</v>
      </c>
      <c r="Q27" s="26">
        <v>4</v>
      </c>
      <c r="R27" s="33">
        <f>VLOOKUP(Q27,$C$8:$G$36,2,0)</f>
        <v>36644</v>
      </c>
      <c r="S27" s="34"/>
      <c r="T27" s="28">
        <f t="shared" si="1"/>
        <v>1.6321956099999999</v>
      </c>
      <c r="U27" s="35"/>
      <c r="V27" s="29">
        <f t="shared" si="2"/>
        <v>2.8374914800000002</v>
      </c>
      <c r="W27" s="27"/>
      <c r="X27" s="42"/>
      <c r="Y27" s="4"/>
    </row>
    <row r="28" spans="1:25" ht="15.95" customHeight="1">
      <c r="A28" s="1">
        <v>-8</v>
      </c>
      <c r="B28" s="4"/>
      <c r="C28" s="38">
        <f>RANK(G28,G$8:G$36)+COUNTIF(G$8:G28,G28)-1</f>
        <v>21</v>
      </c>
      <c r="D28" s="8">
        <f>[1]!TDaysOffset(W$1,"Period=Y","Offset="&amp;A28)</f>
        <v>42489</v>
      </c>
      <c r="E28" s="13">
        <f>[1]!s_dq_pctchange(E$5,$D28)</f>
        <v>-0.24663998000000001</v>
      </c>
      <c r="F28" s="13">
        <f>[1]!s_dq_pctchange(F$5,$D28)</f>
        <v>-8.2444089999999998E-2</v>
      </c>
      <c r="G28" s="13">
        <f t="shared" si="0"/>
        <v>-0.32908407000000001</v>
      </c>
      <c r="Q28" s="24">
        <v>5</v>
      </c>
      <c r="R28" s="33">
        <f>VLOOKUP(Q28,$C$8:$G$36,2,0)</f>
        <v>36279</v>
      </c>
      <c r="S28" s="33"/>
      <c r="T28" s="28">
        <f t="shared" si="1"/>
        <v>2.3202506899999999</v>
      </c>
      <c r="U28" s="29"/>
      <c r="V28" s="29">
        <f t="shared" si="2"/>
        <v>1.46671906</v>
      </c>
      <c r="W28" s="25"/>
      <c r="X28" s="36"/>
      <c r="Y28" s="4"/>
    </row>
    <row r="29" spans="1:25" ht="15.95" customHeight="1">
      <c r="A29" s="1">
        <v>-7</v>
      </c>
      <c r="B29" s="4"/>
      <c r="C29" s="38">
        <f>RANK(G29,G$8:G$36)+COUNTIF(G$8:G29,G29)-1</f>
        <v>19</v>
      </c>
      <c r="D29" s="9">
        <f>[1]!TDaysOffset(W$1,"Period=Y","Offset="&amp;A29)</f>
        <v>42853</v>
      </c>
      <c r="E29" s="14">
        <f>[1]!s_dq_pctchange(E$5,$D29)</f>
        <v>7.8405879999999997E-2</v>
      </c>
      <c r="F29" s="14">
        <f>[1]!s_dq_pctchange(F$5,$D29)</f>
        <v>5.3360020000000001E-2</v>
      </c>
      <c r="G29" s="13">
        <f t="shared" si="0"/>
        <v>0.13176589999999999</v>
      </c>
      <c r="T29" s="31"/>
      <c r="U29" s="31"/>
      <c r="V29" s="31"/>
      <c r="X29" s="36"/>
      <c r="Y29" s="4"/>
    </row>
    <row r="30" spans="1:25" ht="15.95" customHeight="1">
      <c r="A30" s="1">
        <v>-6</v>
      </c>
      <c r="B30" s="4"/>
      <c r="C30" s="38">
        <f>RANK(G30,G$8:G$36)+COUNTIF(G$8:G30,G30)-1</f>
        <v>18</v>
      </c>
      <c r="D30" s="8">
        <f>[1]!TDaysOffset(W$1,"Period=Y","Offset="&amp;A30)</f>
        <v>43217</v>
      </c>
      <c r="E30" s="13">
        <f>[1]!s_dq_pctchange(E$5,$D30)</f>
        <v>0.23419282999999999</v>
      </c>
      <c r="F30" s="13">
        <f>[1]!s_dq_pctchange(F$5,$D30)</f>
        <v>0.31430260999999998</v>
      </c>
      <c r="G30" s="13">
        <f t="shared" si="0"/>
        <v>0.54849543999999995</v>
      </c>
      <c r="Q30" s="6" t="s">
        <v>15</v>
      </c>
      <c r="T30" s="31"/>
      <c r="U30" s="31"/>
      <c r="V30" s="31"/>
      <c r="X30" s="36"/>
      <c r="Y30" s="4"/>
    </row>
    <row r="31" spans="1:25" ht="15.95" customHeight="1">
      <c r="A31" s="1">
        <v>-5</v>
      </c>
      <c r="B31" s="4"/>
      <c r="C31" s="38">
        <f>RANK(G31,G$8:G$36)+COUNTIF(G$8:G31,G31)-1</f>
        <v>27</v>
      </c>
      <c r="D31" s="9">
        <f>[1]!TDaysOffset(W$1,"Period=Y","Offset="&amp;A31)</f>
        <v>43584</v>
      </c>
      <c r="E31" s="14">
        <f>[1]!s_dq_pctchange(E$5,$D31)</f>
        <v>-0.77437818999999997</v>
      </c>
      <c r="F31" s="14">
        <f>[1]!s_dq_pctchange(F$5,$D31)</f>
        <v>-1.6187658</v>
      </c>
      <c r="G31" s="13">
        <f t="shared" si="0"/>
        <v>-2.39314399</v>
      </c>
      <c r="Q31" s="22" t="s">
        <v>13</v>
      </c>
      <c r="R31" s="22" t="s">
        <v>10</v>
      </c>
      <c r="S31" s="22"/>
      <c r="T31" s="32" t="s">
        <v>11</v>
      </c>
      <c r="U31" s="32"/>
      <c r="V31" s="32" t="s">
        <v>12</v>
      </c>
      <c r="W31" s="23"/>
      <c r="X31" s="36"/>
      <c r="Y31" s="4"/>
    </row>
    <row r="32" spans="1:25" ht="15.95" customHeight="1">
      <c r="A32" s="1">
        <v>-4</v>
      </c>
      <c r="B32" s="4"/>
      <c r="C32" s="38">
        <f>RANK(G32,G$8:G$36)+COUNTIF(G$8:G32,G32)-1</f>
        <v>17</v>
      </c>
      <c r="D32" s="8">
        <f>[1]!TDaysOffset(W$1,"Period=Y","Offset="&amp;A32)</f>
        <v>43950</v>
      </c>
      <c r="E32" s="13">
        <f>[1]!s_dq_pctchange(E$5,$D32)</f>
        <v>0.44192144999999999</v>
      </c>
      <c r="F32" s="13">
        <f>[1]!s_dq_pctchange(F$5,$D32)</f>
        <v>0.12404359</v>
      </c>
      <c r="G32" s="13">
        <f t="shared" si="0"/>
        <v>0.56596504000000003</v>
      </c>
      <c r="Q32" s="24">
        <v>1</v>
      </c>
      <c r="R32" s="33">
        <f>VLOOKUP(COUNTA(D:D)-Q32-1,$C$8:$G$36,2,0)</f>
        <v>38106</v>
      </c>
      <c r="S32" s="33"/>
      <c r="T32" s="28">
        <f>VLOOKUP(COUNTA(D:D)-Q32-1,$C$8:$G$36,3,0)</f>
        <v>-1.7023887799999999</v>
      </c>
      <c r="U32" s="29"/>
      <c r="V32" s="29">
        <f>VLOOKUP(COUNTA(D:D)-Q32-1,$C$8:$G$36,4,0)</f>
        <v>-2.7750096000000002</v>
      </c>
      <c r="W32" s="25"/>
      <c r="X32" s="36"/>
      <c r="Y32" s="4"/>
    </row>
    <row r="33" spans="1:25" ht="15.95" customHeight="1">
      <c r="A33" s="1">
        <v>-3</v>
      </c>
      <c r="B33" s="4"/>
      <c r="C33" s="38">
        <f>RANK(G33,G$8:G$36)+COUNTIF(G$8:G33,G33)-1</f>
        <v>16</v>
      </c>
      <c r="D33" s="9">
        <f>[1]!TDaysOffset(W$1,"Period=Y","Offset="&amp;A33)</f>
        <v>44315</v>
      </c>
      <c r="E33" s="14">
        <f>[1]!s_dq_pctchange(E$5,$D33)</f>
        <v>0.51583592</v>
      </c>
      <c r="F33" s="14">
        <f>[1]!s_dq_pctchange(F$5,$D33)</f>
        <v>0.45630825000000003</v>
      </c>
      <c r="G33" s="13">
        <f t="shared" si="0"/>
        <v>0.97214416999999997</v>
      </c>
      <c r="Q33" s="26">
        <v>2</v>
      </c>
      <c r="R33" s="33">
        <f>VLOOKUP(COUNTA(D:D)-Q33-1,$C$8:$G$36,2,0)</f>
        <v>37740</v>
      </c>
      <c r="S33" s="34"/>
      <c r="T33" s="28">
        <f t="shared" ref="T33:T36" si="3">VLOOKUP(COUNTA(D:D)-Q33-1,$C$8:$G$36,3,0)</f>
        <v>-1.84549432</v>
      </c>
      <c r="U33" s="30"/>
      <c r="V33" s="29">
        <f t="shared" ref="V33:V36" si="4">VLOOKUP(COUNTA(D:D)-Q33-1,$C$8:$G$36,4,0)</f>
        <v>-1.67314121</v>
      </c>
      <c r="W33" s="27"/>
      <c r="X33" s="36"/>
      <c r="Y33" s="4"/>
    </row>
    <row r="34" spans="1:25" ht="15.95" customHeight="1">
      <c r="A34" s="1">
        <v>-2</v>
      </c>
      <c r="B34" s="4"/>
      <c r="C34" s="38">
        <f>RANK(G34,G$8:G$36)+COUNTIF(G$8:G34,G34)-1</f>
        <v>2</v>
      </c>
      <c r="D34" s="8">
        <f>[1]!TDaysOffset(W$1,"Period=Y","Offset="&amp;A34)</f>
        <v>44680</v>
      </c>
      <c r="E34" s="13">
        <f>[1]!s_dq_pctchange(E$5,$D34)</f>
        <v>2.40557774</v>
      </c>
      <c r="F34" s="13">
        <f>[1]!s_dq_pctchange(F$5,$D34)</f>
        <v>3.6928972299999998</v>
      </c>
      <c r="G34" s="13">
        <f t="shared" si="0"/>
        <v>6.0984749699999998</v>
      </c>
      <c r="Q34" s="24">
        <v>3</v>
      </c>
      <c r="R34" s="33">
        <f>VLOOKUP(COUNTA(D:D)-Q34-1,$C$8:$G$36,2,0)</f>
        <v>43584</v>
      </c>
      <c r="S34" s="33"/>
      <c r="T34" s="28">
        <f t="shared" si="3"/>
        <v>-0.77437818999999997</v>
      </c>
      <c r="U34" s="29"/>
      <c r="V34" s="29">
        <f t="shared" si="4"/>
        <v>-1.6187658</v>
      </c>
      <c r="W34" s="25"/>
      <c r="X34" s="36"/>
      <c r="Y34" s="4"/>
    </row>
    <row r="35" spans="1:25" ht="15.95" customHeight="1">
      <c r="A35" s="1">
        <v>-1</v>
      </c>
      <c r="B35" s="4"/>
      <c r="C35" s="38">
        <f>RANK(G35,G$8:G$36)+COUNTIF(G$8:G35,G35)-1</f>
        <v>8</v>
      </c>
      <c r="D35" s="9">
        <f>[1]!TDaysOffset(W$1,"Period=Y","Offset="&amp;A35)</f>
        <v>45044</v>
      </c>
      <c r="E35" s="14">
        <f>[1]!s_dq_pctchange(E$5,$D35)</f>
        <v>1.1379036899999999</v>
      </c>
      <c r="F35" s="14">
        <f>[1]!s_dq_pctchange(F$5,$D35)</f>
        <v>1.0846815299999999</v>
      </c>
      <c r="G35" s="13">
        <f t="shared" si="0"/>
        <v>2.22258522</v>
      </c>
      <c r="Q35" s="26">
        <v>4</v>
      </c>
      <c r="R35" s="33">
        <f>VLOOKUP(COUNTA(D:D)-Q35-1,$C$8:$G$36,2,0)</f>
        <v>38471</v>
      </c>
      <c r="S35" s="34"/>
      <c r="T35" s="28">
        <f t="shared" si="3"/>
        <v>-0.85295069000000001</v>
      </c>
      <c r="U35" s="30"/>
      <c r="V35" s="29">
        <f t="shared" si="4"/>
        <v>-1.4996573799999999</v>
      </c>
      <c r="W35" s="27"/>
      <c r="X35" s="36"/>
      <c r="Y35" s="4"/>
    </row>
    <row r="36" spans="1:25" ht="15.95" customHeight="1">
      <c r="A36" s="1">
        <v>0</v>
      </c>
      <c r="B36" s="4"/>
      <c r="C36" s="38">
        <f>RANK(G36,G$8:G$36)+COUNTIF(G$8:G36,G36)-1</f>
        <v>7</v>
      </c>
      <c r="D36" s="8">
        <f>[1]!TDaysOffset(W$1,"Period=Y","Offset="&amp;A36)</f>
        <v>45411</v>
      </c>
      <c r="E36" s="14">
        <f>RTD("wdf.rtq", ,E5, "rt_pct_chg","RT_Price")</f>
        <v>0.8</v>
      </c>
      <c r="F36" s="14">
        <f>RTD("wdf.rtq", ,F5, "rt_pct_chg","RT_Price")</f>
        <v>2.2600000000000002</v>
      </c>
      <c r="G36" s="13">
        <f t="shared" si="0"/>
        <v>3.0600000000000005</v>
      </c>
      <c r="Q36" s="24">
        <v>5</v>
      </c>
      <c r="R36" s="33">
        <f>VLOOKUP(COUNTA(D:D)-Q36-1,$C$8:$G$36,2,0)</f>
        <v>40297</v>
      </c>
      <c r="S36" s="33"/>
      <c r="T36" s="28">
        <f t="shared" si="3"/>
        <v>-1.0998399800000001</v>
      </c>
      <c r="U36" s="29"/>
      <c r="V36" s="29">
        <f t="shared" si="4"/>
        <v>-1.2131626600000001</v>
      </c>
      <c r="W36" s="25"/>
      <c r="X36" s="36"/>
      <c r="Y36" s="4"/>
    </row>
    <row r="37" spans="1:25" ht="9.9499999999999993" customHeight="1">
      <c r="B37" s="4"/>
      <c r="C37" s="36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36"/>
      <c r="Y37" s="4"/>
    </row>
    <row r="38" spans="1: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42" spans="1:25">
      <c r="E42" s="15"/>
      <c r="F42" s="15"/>
      <c r="G42" s="15"/>
    </row>
    <row r="43" spans="1:25">
      <c r="E43" s="15"/>
      <c r="F43" s="15"/>
      <c r="G43" s="15"/>
    </row>
    <row r="44" spans="1:25">
      <c r="E44" s="15"/>
    </row>
  </sheetData>
  <mergeCells count="2">
    <mergeCell ref="W1:X1"/>
    <mergeCell ref="E1:V1"/>
  </mergeCells>
  <phoneticPr fontId="1" type="noConversion"/>
  <conditionalFormatting sqref="E8:F35 G8:G3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max"/>
        <color rgb="FF107F3A"/>
        <color rgb="FFC91818"/>
      </colorScale>
    </cfRule>
  </conditionalFormatting>
  <conditionalFormatting sqref="E8:G3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G3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max"/>
        <color rgb="FF107F3A"/>
        <color rgb="FFC91818"/>
      </colorScale>
    </cfRule>
  </conditionalFormatting>
  <conditionalFormatting sqref="T24:V2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{144E9A51-671C-4C48-BAC1-12E1A770A19F}</x14:id>
        </ext>
      </extLst>
    </cfRule>
  </conditionalFormatting>
  <conditionalFormatting sqref="T32:V3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{E175682E-3B7D-4435-AC8D-07979B02D45D}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4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4E9A51-671C-4C48-BAC1-12E1A770A1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T24:V28</xm:sqref>
        </x14:conditionalFormatting>
        <x14:conditionalFormatting xmlns:xm="http://schemas.microsoft.com/office/excel/2006/main">
          <x14:cfRule type="dataBar" id="{E175682E-3B7D-4435-AC8D-07979B02D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T32:V36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60" zoomScaleNormal="160" workbookViewId="0">
      <selection activeCell="A19" sqref="A19"/>
    </sheetView>
  </sheetViews>
  <sheetFormatPr defaultRowHeight="14.25"/>
  <cols>
    <col min="4" max="6" width="9.25" bestFit="1" customWidth="1"/>
  </cols>
  <sheetData>
    <row r="1" spans="1:6" ht="15">
      <c r="A1" s="21" t="s">
        <v>8</v>
      </c>
      <c r="B1" s="21" t="s">
        <v>6</v>
      </c>
      <c r="C1" s="21" t="s">
        <v>7</v>
      </c>
    </row>
    <row r="2" spans="1:6">
      <c r="A2" s="16">
        <v>-4</v>
      </c>
      <c r="B2" s="17" t="str">
        <f>" &lt;= "&amp;A2&amp;"%"</f>
        <v xml:space="preserve"> &lt;= -4%</v>
      </c>
      <c r="C2" s="18">
        <f t="array" ref="C2:C11">FREQUENCY(历史今日涨跌幅!E8:F36,A2:A10)</f>
        <v>0</v>
      </c>
    </row>
    <row r="3" spans="1:6">
      <c r="A3" s="16">
        <v>-3</v>
      </c>
      <c r="B3" s="17" t="str">
        <f t="shared" ref="B3:B10" si="0">"&lt;="&amp;A3&amp;"%"</f>
        <v>&lt;=-3%</v>
      </c>
      <c r="C3" s="18">
        <v>0</v>
      </c>
    </row>
    <row r="4" spans="1:6">
      <c r="A4" s="16">
        <v>-2</v>
      </c>
      <c r="B4" s="17" t="str">
        <f t="shared" si="0"/>
        <v>&lt;=-2%</v>
      </c>
      <c r="C4" s="18">
        <v>1</v>
      </c>
    </row>
    <row r="5" spans="1:6">
      <c r="A5" s="16">
        <v>-1</v>
      </c>
      <c r="B5" s="17" t="str">
        <f t="shared" si="0"/>
        <v>&lt;=-1%</v>
      </c>
      <c r="C5" s="18">
        <v>8</v>
      </c>
    </row>
    <row r="6" spans="1:6">
      <c r="A6" s="16">
        <v>0</v>
      </c>
      <c r="B6" s="17" t="str">
        <f t="shared" si="0"/>
        <v>&lt;=0%</v>
      </c>
      <c r="C6" s="18">
        <v>10</v>
      </c>
    </row>
    <row r="7" spans="1:6">
      <c r="A7" s="16">
        <v>1</v>
      </c>
      <c r="B7" s="17" t="str">
        <f t="shared" si="0"/>
        <v>&lt;=1%</v>
      </c>
      <c r="C7" s="18">
        <v>18</v>
      </c>
    </row>
    <row r="8" spans="1:6">
      <c r="A8" s="16">
        <v>2</v>
      </c>
      <c r="B8" s="17" t="str">
        <f t="shared" si="0"/>
        <v>&lt;=2%</v>
      </c>
      <c r="C8" s="18">
        <v>12</v>
      </c>
    </row>
    <row r="9" spans="1:6">
      <c r="A9" s="16">
        <v>3</v>
      </c>
      <c r="B9" s="17" t="str">
        <f t="shared" si="0"/>
        <v>&lt;=3%</v>
      </c>
      <c r="C9" s="18">
        <v>5</v>
      </c>
    </row>
    <row r="10" spans="1:6">
      <c r="A10" s="16">
        <v>4</v>
      </c>
      <c r="B10" s="17" t="str">
        <f t="shared" si="0"/>
        <v>&lt;=4%</v>
      </c>
      <c r="C10" s="18">
        <v>2</v>
      </c>
    </row>
    <row r="11" spans="1:6">
      <c r="A11" s="17"/>
      <c r="B11" s="17" t="str">
        <f>"&gt;"&amp;A10&amp;"%"</f>
        <v>&gt;4%</v>
      </c>
      <c r="C11" s="19">
        <v>2</v>
      </c>
    </row>
    <row r="14" spans="1:6">
      <c r="D14" s="20"/>
      <c r="E14" s="20"/>
      <c r="F14" s="2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2" sqref="A2"/>
    </sheetView>
  </sheetViews>
  <sheetFormatPr defaultRowHeight="14.25"/>
  <sheetData>
    <row r="1" spans="1:1">
      <c r="A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历史今日涨跌幅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2024-04-29T06:26:41Z</dcterms:modified>
</cp:coreProperties>
</file>