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2260" windowHeight="12645"/>
  </bookViews>
  <sheets>
    <sheet name="股指期货基差分析" sheetId="2" r:id="rId1"/>
    <sheet name="历史数据" sheetId="1" state="hidden" r:id="rId2"/>
    <sheet name="合约信息" sheetId="3" state="hidden" r:id="rId3"/>
    <sheet name="Wind模板" sheetId="4" state="veryHidden" r:id="rId4"/>
  </sheets>
  <externalReferences>
    <externalReference r:id="rId5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321" i="1" l="1"/>
  <c r="D3321" i="1"/>
  <c r="F3321" i="1"/>
  <c r="G3321" i="1"/>
  <c r="H3321" i="1"/>
  <c r="I3321" i="1"/>
  <c r="C3322" i="1"/>
  <c r="D3322" i="1"/>
  <c r="F3322" i="1"/>
  <c r="G3322" i="1"/>
  <c r="H3322" i="1"/>
  <c r="I3322" i="1"/>
  <c r="C3323" i="1"/>
  <c r="D3323" i="1"/>
  <c r="F3323" i="1"/>
  <c r="G3323" i="1"/>
  <c r="H3323" i="1"/>
  <c r="I3323" i="1"/>
  <c r="C3324" i="1"/>
  <c r="D3324" i="1"/>
  <c r="F3324" i="1"/>
  <c r="G3324" i="1"/>
  <c r="H3324" i="1"/>
  <c r="I3324" i="1"/>
  <c r="C3325" i="1"/>
  <c r="D3325" i="1"/>
  <c r="F3325" i="1"/>
  <c r="G3325" i="1"/>
  <c r="H3325" i="1"/>
  <c r="I3325" i="1"/>
  <c r="C3326" i="1"/>
  <c r="D3326" i="1"/>
  <c r="F3326" i="1"/>
  <c r="G3326" i="1"/>
  <c r="H3326" i="1"/>
  <c r="I3326" i="1"/>
  <c r="C3327" i="1"/>
  <c r="D3327" i="1"/>
  <c r="F3327" i="1"/>
  <c r="G3327" i="1"/>
  <c r="H3327" i="1"/>
  <c r="I3327" i="1"/>
  <c r="C3328" i="1"/>
  <c r="D3328" i="1"/>
  <c r="F3328" i="1"/>
  <c r="G3328" i="1"/>
  <c r="H3328" i="1"/>
  <c r="I3328" i="1"/>
  <c r="C3329" i="1"/>
  <c r="D3329" i="1"/>
  <c r="F3329" i="1"/>
  <c r="G3329" i="1"/>
  <c r="H3329" i="1"/>
  <c r="I3329" i="1"/>
  <c r="C3330" i="1"/>
  <c r="D3330" i="1"/>
  <c r="F3330" i="1"/>
  <c r="G3330" i="1"/>
  <c r="H3330" i="1"/>
  <c r="I3330" i="1"/>
  <c r="C3331" i="1"/>
  <c r="D3331" i="1"/>
  <c r="F3331" i="1"/>
  <c r="G3331" i="1"/>
  <c r="H3331" i="1"/>
  <c r="I3331" i="1"/>
  <c r="C3332" i="1"/>
  <c r="D3332" i="1"/>
  <c r="F3332" i="1"/>
  <c r="G3332" i="1"/>
  <c r="H3332" i="1"/>
  <c r="I3332" i="1"/>
  <c r="C3333" i="1"/>
  <c r="D3333" i="1"/>
  <c r="F3333" i="1"/>
  <c r="G3333" i="1"/>
  <c r="H3333" i="1"/>
  <c r="I3333" i="1"/>
  <c r="C3334" i="1"/>
  <c r="D3334" i="1"/>
  <c r="F3334" i="1"/>
  <c r="G3334" i="1"/>
  <c r="H3334" i="1"/>
  <c r="I3334" i="1"/>
  <c r="C3335" i="1"/>
  <c r="D3335" i="1"/>
  <c r="F3335" i="1"/>
  <c r="G3335" i="1"/>
  <c r="H3335" i="1"/>
  <c r="I3335" i="1"/>
  <c r="C3336" i="1"/>
  <c r="D3336" i="1"/>
  <c r="F3336" i="1"/>
  <c r="G3336" i="1"/>
  <c r="H3336" i="1"/>
  <c r="I3336" i="1"/>
  <c r="C3337" i="1"/>
  <c r="D3337" i="1"/>
  <c r="F3337" i="1"/>
  <c r="G3337" i="1"/>
  <c r="H3337" i="1"/>
  <c r="I3337" i="1"/>
  <c r="C3338" i="1"/>
  <c r="D3338" i="1"/>
  <c r="F3338" i="1"/>
  <c r="G3338" i="1"/>
  <c r="H3338" i="1"/>
  <c r="I3338" i="1"/>
  <c r="C3339" i="1"/>
  <c r="D3339" i="1"/>
  <c r="F3339" i="1"/>
  <c r="G3339" i="1"/>
  <c r="H3339" i="1"/>
  <c r="I3339" i="1"/>
  <c r="C3340" i="1"/>
  <c r="D3340" i="1"/>
  <c r="F3340" i="1"/>
  <c r="G3340" i="1"/>
  <c r="H3340" i="1"/>
  <c r="I3340" i="1"/>
  <c r="C3341" i="1"/>
  <c r="D3341" i="1"/>
  <c r="F3341" i="1"/>
  <c r="G3341" i="1"/>
  <c r="H3341" i="1"/>
  <c r="I3341" i="1"/>
  <c r="C3342" i="1"/>
  <c r="D3342" i="1"/>
  <c r="F3342" i="1"/>
  <c r="G3342" i="1"/>
  <c r="H3342" i="1"/>
  <c r="I3342" i="1"/>
  <c r="C3343" i="1"/>
  <c r="D3343" i="1"/>
  <c r="F3343" i="1"/>
  <c r="G3343" i="1"/>
  <c r="H3343" i="1"/>
  <c r="I3343" i="1"/>
  <c r="C3344" i="1"/>
  <c r="D3344" i="1"/>
  <c r="F3344" i="1"/>
  <c r="G3344" i="1"/>
  <c r="H3344" i="1"/>
  <c r="I3344" i="1"/>
  <c r="C3345" i="1"/>
  <c r="D3345" i="1"/>
  <c r="F3345" i="1"/>
  <c r="G3345" i="1"/>
  <c r="H3345" i="1"/>
  <c r="I3345" i="1"/>
  <c r="C3346" i="1"/>
  <c r="D3346" i="1"/>
  <c r="F3346" i="1"/>
  <c r="G3346" i="1"/>
  <c r="H3346" i="1"/>
  <c r="I3346" i="1"/>
  <c r="C3347" i="1"/>
  <c r="D3347" i="1"/>
  <c r="F3347" i="1"/>
  <c r="G3347" i="1"/>
  <c r="H3347" i="1"/>
  <c r="I3347" i="1"/>
  <c r="C3348" i="1"/>
  <c r="D3348" i="1"/>
  <c r="F3348" i="1"/>
  <c r="G3348" i="1"/>
  <c r="H3348" i="1"/>
  <c r="I3348" i="1"/>
  <c r="C3349" i="1"/>
  <c r="D3349" i="1"/>
  <c r="F3349" i="1"/>
  <c r="G3349" i="1"/>
  <c r="H3349" i="1"/>
  <c r="I3349" i="1"/>
  <c r="C3350" i="1"/>
  <c r="D3350" i="1"/>
  <c r="F3350" i="1"/>
  <c r="G3350" i="1"/>
  <c r="H3350" i="1"/>
  <c r="I3350" i="1"/>
  <c r="C3351" i="1"/>
  <c r="D3351" i="1"/>
  <c r="F3351" i="1"/>
  <c r="G3351" i="1"/>
  <c r="H3351" i="1"/>
  <c r="I3351" i="1"/>
  <c r="C3352" i="1"/>
  <c r="D3352" i="1"/>
  <c r="F3352" i="1"/>
  <c r="G3352" i="1"/>
  <c r="H3352" i="1"/>
  <c r="I3352" i="1"/>
  <c r="C3353" i="1"/>
  <c r="D3353" i="1"/>
  <c r="F3353" i="1"/>
  <c r="G3353" i="1"/>
  <c r="H3353" i="1"/>
  <c r="I3353" i="1"/>
  <c r="C3354" i="1"/>
  <c r="D3354" i="1"/>
  <c r="F3354" i="1"/>
  <c r="G3354" i="1"/>
  <c r="H3354" i="1"/>
  <c r="I3354" i="1"/>
  <c r="C3355" i="1"/>
  <c r="D3355" i="1"/>
  <c r="F3355" i="1"/>
  <c r="G3355" i="1"/>
  <c r="H3355" i="1"/>
  <c r="I3355" i="1"/>
  <c r="C3356" i="1"/>
  <c r="D3356" i="1"/>
  <c r="F3356" i="1"/>
  <c r="G3356" i="1"/>
  <c r="H3356" i="1"/>
  <c r="I3356" i="1"/>
  <c r="C3357" i="1"/>
  <c r="D3357" i="1"/>
  <c r="F3357" i="1"/>
  <c r="G3357" i="1"/>
  <c r="H3357" i="1"/>
  <c r="I3357" i="1"/>
  <c r="C3358" i="1"/>
  <c r="D3358" i="1"/>
  <c r="F3358" i="1"/>
  <c r="G3358" i="1"/>
  <c r="H3358" i="1"/>
  <c r="I3358" i="1"/>
  <c r="C3359" i="1"/>
  <c r="D3359" i="1"/>
  <c r="F3359" i="1"/>
  <c r="G3359" i="1"/>
  <c r="H3359" i="1"/>
  <c r="I3359" i="1"/>
  <c r="C3360" i="1"/>
  <c r="D3360" i="1"/>
  <c r="F3360" i="1"/>
  <c r="G3360" i="1"/>
  <c r="H3360" i="1"/>
  <c r="I3360" i="1"/>
  <c r="C3361" i="1"/>
  <c r="D3361" i="1"/>
  <c r="F3361" i="1"/>
  <c r="G3361" i="1"/>
  <c r="H3361" i="1"/>
  <c r="I3361" i="1"/>
  <c r="C3362" i="1"/>
  <c r="D3362" i="1"/>
  <c r="F3362" i="1"/>
  <c r="G3362" i="1"/>
  <c r="H3362" i="1"/>
  <c r="I3362" i="1"/>
  <c r="C3363" i="1"/>
  <c r="D3363" i="1"/>
  <c r="F3363" i="1"/>
  <c r="G3363" i="1"/>
  <c r="H3363" i="1"/>
  <c r="I3363" i="1"/>
  <c r="C3364" i="1"/>
  <c r="D3364" i="1"/>
  <c r="F3364" i="1"/>
  <c r="G3364" i="1"/>
  <c r="H3364" i="1"/>
  <c r="I3364" i="1"/>
  <c r="C3365" i="1"/>
  <c r="D3365" i="1"/>
  <c r="F3365" i="1"/>
  <c r="G3365" i="1"/>
  <c r="H3365" i="1"/>
  <c r="I3365" i="1"/>
  <c r="C3366" i="1"/>
  <c r="D3366" i="1"/>
  <c r="F3366" i="1"/>
  <c r="G3366" i="1"/>
  <c r="H3366" i="1"/>
  <c r="I3366" i="1"/>
  <c r="C3367" i="1"/>
  <c r="D3367" i="1"/>
  <c r="F3367" i="1"/>
  <c r="G3367" i="1"/>
  <c r="H3367" i="1"/>
  <c r="I3367" i="1"/>
  <c r="C3368" i="1"/>
  <c r="D3368" i="1"/>
  <c r="F3368" i="1"/>
  <c r="G3368" i="1"/>
  <c r="H3368" i="1"/>
  <c r="I3368" i="1"/>
  <c r="C3369" i="1"/>
  <c r="D3369" i="1"/>
  <c r="F3369" i="1"/>
  <c r="G3369" i="1"/>
  <c r="H3369" i="1"/>
  <c r="I3369" i="1"/>
  <c r="C3370" i="1"/>
  <c r="D3370" i="1"/>
  <c r="F3370" i="1"/>
  <c r="G3370" i="1"/>
  <c r="H3370" i="1"/>
  <c r="I3370" i="1"/>
  <c r="C3371" i="1"/>
  <c r="D3371" i="1"/>
  <c r="F3371" i="1"/>
  <c r="G3371" i="1"/>
  <c r="H3371" i="1"/>
  <c r="I3371" i="1"/>
  <c r="C3372" i="1"/>
  <c r="D3372" i="1"/>
  <c r="F3372" i="1"/>
  <c r="G3372" i="1"/>
  <c r="H3372" i="1"/>
  <c r="I3372" i="1"/>
  <c r="C3373" i="1"/>
  <c r="D3373" i="1"/>
  <c r="F3373" i="1"/>
  <c r="G3373" i="1"/>
  <c r="H3373" i="1"/>
  <c r="I3373" i="1"/>
  <c r="C3374" i="1"/>
  <c r="D3374" i="1"/>
  <c r="F3374" i="1"/>
  <c r="G3374" i="1"/>
  <c r="H3374" i="1"/>
  <c r="I3374" i="1"/>
  <c r="C3375" i="1"/>
  <c r="D3375" i="1"/>
  <c r="F3375" i="1"/>
  <c r="G3375" i="1"/>
  <c r="H3375" i="1"/>
  <c r="I3375" i="1"/>
  <c r="C3376" i="1"/>
  <c r="D3376" i="1"/>
  <c r="F3376" i="1"/>
  <c r="G3376" i="1"/>
  <c r="H3376" i="1"/>
  <c r="I3376" i="1"/>
  <c r="C3377" i="1"/>
  <c r="D3377" i="1"/>
  <c r="F3377" i="1"/>
  <c r="G3377" i="1"/>
  <c r="H3377" i="1"/>
  <c r="I3377" i="1"/>
  <c r="C3378" i="1"/>
  <c r="D3378" i="1"/>
  <c r="F3378" i="1"/>
  <c r="G3378" i="1"/>
  <c r="H3378" i="1"/>
  <c r="I3378" i="1"/>
  <c r="C3379" i="1"/>
  <c r="D3379" i="1"/>
  <c r="F3379" i="1"/>
  <c r="G3379" i="1"/>
  <c r="H3379" i="1"/>
  <c r="I3379" i="1"/>
  <c r="C3380" i="1"/>
  <c r="D3380" i="1"/>
  <c r="F3380" i="1"/>
  <c r="G3380" i="1"/>
  <c r="H3380" i="1"/>
  <c r="I3380" i="1"/>
  <c r="C3381" i="1"/>
  <c r="D3381" i="1"/>
  <c r="F3381" i="1"/>
  <c r="G3381" i="1"/>
  <c r="H3381" i="1"/>
  <c r="I3381" i="1"/>
  <c r="C3382" i="1"/>
  <c r="D3382" i="1"/>
  <c r="F3382" i="1"/>
  <c r="G3382" i="1"/>
  <c r="H3382" i="1"/>
  <c r="I3382" i="1"/>
  <c r="C3383" i="1"/>
  <c r="D3383" i="1"/>
  <c r="F3383" i="1"/>
  <c r="G3383" i="1"/>
  <c r="H3383" i="1"/>
  <c r="I3383" i="1"/>
  <c r="C3384" i="1"/>
  <c r="D3384" i="1"/>
  <c r="F3384" i="1"/>
  <c r="G3384" i="1"/>
  <c r="H3384" i="1"/>
  <c r="I3384" i="1"/>
  <c r="C3385" i="1"/>
  <c r="D3385" i="1"/>
  <c r="F3385" i="1"/>
  <c r="G3385" i="1"/>
  <c r="H3385" i="1"/>
  <c r="I3385" i="1"/>
  <c r="C3386" i="1"/>
  <c r="D3386" i="1"/>
  <c r="F3386" i="1"/>
  <c r="G3386" i="1"/>
  <c r="H3386" i="1"/>
  <c r="I3386" i="1"/>
  <c r="C3387" i="1"/>
  <c r="D3387" i="1"/>
  <c r="F3387" i="1"/>
  <c r="G3387" i="1"/>
  <c r="H3387" i="1"/>
  <c r="I3387" i="1"/>
  <c r="C3388" i="1"/>
  <c r="D3388" i="1"/>
  <c r="F3388" i="1"/>
  <c r="G3388" i="1"/>
  <c r="H3388" i="1"/>
  <c r="I3388" i="1"/>
  <c r="C3389" i="1"/>
  <c r="D3389" i="1"/>
  <c r="F3389" i="1"/>
  <c r="G3389" i="1"/>
  <c r="H3389" i="1"/>
  <c r="I3389" i="1"/>
  <c r="C3390" i="1"/>
  <c r="D3390" i="1"/>
  <c r="F3390" i="1"/>
  <c r="G3390" i="1"/>
  <c r="H3390" i="1"/>
  <c r="I3390" i="1"/>
  <c r="C3391" i="1"/>
  <c r="D3391" i="1"/>
  <c r="F3391" i="1"/>
  <c r="G3391" i="1"/>
  <c r="H3391" i="1"/>
  <c r="I3391" i="1"/>
  <c r="C3392" i="1"/>
  <c r="D3392" i="1"/>
  <c r="F3392" i="1"/>
  <c r="G3392" i="1"/>
  <c r="H3392" i="1"/>
  <c r="I3392" i="1"/>
  <c r="C3393" i="1"/>
  <c r="D3393" i="1"/>
  <c r="F3393" i="1"/>
  <c r="G3393" i="1"/>
  <c r="H3393" i="1"/>
  <c r="I3393" i="1"/>
  <c r="C3394" i="1"/>
  <c r="D3394" i="1"/>
  <c r="F3394" i="1"/>
  <c r="G3394" i="1"/>
  <c r="H3394" i="1"/>
  <c r="I3394" i="1"/>
  <c r="C3395" i="1"/>
  <c r="D3395" i="1"/>
  <c r="F3395" i="1"/>
  <c r="G3395" i="1"/>
  <c r="H3395" i="1"/>
  <c r="I3395" i="1"/>
  <c r="C3396" i="1"/>
  <c r="D3396" i="1"/>
  <c r="F3396" i="1"/>
  <c r="G3396" i="1"/>
  <c r="H3396" i="1"/>
  <c r="I3396" i="1"/>
  <c r="C3397" i="1"/>
  <c r="D3397" i="1"/>
  <c r="F3397" i="1"/>
  <c r="G3397" i="1"/>
  <c r="H3397" i="1"/>
  <c r="I3397" i="1"/>
  <c r="C3398" i="1"/>
  <c r="D3398" i="1"/>
  <c r="F3398" i="1"/>
  <c r="G3398" i="1"/>
  <c r="H3398" i="1"/>
  <c r="I3398" i="1"/>
  <c r="C3399" i="1"/>
  <c r="D3399" i="1"/>
  <c r="F3399" i="1"/>
  <c r="G3399" i="1"/>
  <c r="H3399" i="1"/>
  <c r="I3399" i="1"/>
  <c r="C3400" i="1"/>
  <c r="D3400" i="1"/>
  <c r="F3400" i="1"/>
  <c r="G3400" i="1"/>
  <c r="H3400" i="1"/>
  <c r="I3400" i="1"/>
  <c r="C3401" i="1"/>
  <c r="D3401" i="1"/>
  <c r="F3401" i="1"/>
  <c r="G3401" i="1"/>
  <c r="H3401" i="1"/>
  <c r="I3401" i="1"/>
  <c r="C3402" i="1"/>
  <c r="D3402" i="1"/>
  <c r="F3402" i="1"/>
  <c r="G3402" i="1"/>
  <c r="H3402" i="1"/>
  <c r="I3402" i="1"/>
  <c r="C3403" i="1"/>
  <c r="D3403" i="1"/>
  <c r="F3403" i="1"/>
  <c r="G3403" i="1"/>
  <c r="H3403" i="1"/>
  <c r="I3403" i="1"/>
  <c r="C3404" i="1"/>
  <c r="D3404" i="1"/>
  <c r="F3404" i="1"/>
  <c r="G3404" i="1"/>
  <c r="H3404" i="1"/>
  <c r="I3404" i="1"/>
  <c r="C3405" i="1"/>
  <c r="D3405" i="1"/>
  <c r="F3405" i="1"/>
  <c r="G3405" i="1"/>
  <c r="H3405" i="1"/>
  <c r="I3405" i="1"/>
  <c r="C3406" i="1"/>
  <c r="D3406" i="1"/>
  <c r="F3406" i="1"/>
  <c r="G3406" i="1"/>
  <c r="H3406" i="1"/>
  <c r="I3406" i="1"/>
  <c r="C3407" i="1"/>
  <c r="D3407" i="1"/>
  <c r="F3407" i="1"/>
  <c r="G3407" i="1"/>
  <c r="H3407" i="1"/>
  <c r="I3407" i="1"/>
  <c r="C3408" i="1"/>
  <c r="D3408" i="1"/>
  <c r="F3408" i="1"/>
  <c r="G3408" i="1"/>
  <c r="H3408" i="1"/>
  <c r="I3408" i="1"/>
  <c r="C3409" i="1"/>
  <c r="D3409" i="1"/>
  <c r="F3409" i="1"/>
  <c r="G3409" i="1"/>
  <c r="H3409" i="1"/>
  <c r="I3409" i="1"/>
  <c r="C3410" i="1"/>
  <c r="D3410" i="1"/>
  <c r="F3410" i="1"/>
  <c r="G3410" i="1"/>
  <c r="H3410" i="1"/>
  <c r="I3410" i="1"/>
  <c r="C3411" i="1"/>
  <c r="D3411" i="1"/>
  <c r="F3411" i="1"/>
  <c r="G3411" i="1"/>
  <c r="H3411" i="1"/>
  <c r="I3411" i="1"/>
  <c r="C3412" i="1"/>
  <c r="D3412" i="1"/>
  <c r="F3412" i="1"/>
  <c r="G3412" i="1"/>
  <c r="H3412" i="1"/>
  <c r="I3412" i="1"/>
  <c r="C3413" i="1"/>
  <c r="D3413" i="1"/>
  <c r="F3413" i="1"/>
  <c r="G3413" i="1"/>
  <c r="H3413" i="1"/>
  <c r="I3413" i="1"/>
  <c r="C3414" i="1"/>
  <c r="D3414" i="1"/>
  <c r="F3414" i="1"/>
  <c r="G3414" i="1"/>
  <c r="H3414" i="1"/>
  <c r="I3414" i="1"/>
  <c r="C3415" i="1"/>
  <c r="D3415" i="1"/>
  <c r="F3415" i="1"/>
  <c r="G3415" i="1"/>
  <c r="H3415" i="1"/>
  <c r="I3415" i="1"/>
  <c r="C3416" i="1"/>
  <c r="D3416" i="1"/>
  <c r="F3416" i="1"/>
  <c r="G3416" i="1"/>
  <c r="H3416" i="1"/>
  <c r="I3416" i="1"/>
  <c r="C3417" i="1"/>
  <c r="D3417" i="1"/>
  <c r="F3417" i="1"/>
  <c r="G3417" i="1"/>
  <c r="H3417" i="1"/>
  <c r="I3417" i="1"/>
  <c r="C3418" i="1"/>
  <c r="D3418" i="1"/>
  <c r="F3418" i="1"/>
  <c r="G3418" i="1"/>
  <c r="H3418" i="1"/>
  <c r="I3418" i="1"/>
  <c r="C3419" i="1"/>
  <c r="D3419" i="1"/>
  <c r="F3419" i="1"/>
  <c r="G3419" i="1"/>
  <c r="H3419" i="1"/>
  <c r="I3419" i="1"/>
  <c r="C3420" i="1"/>
  <c r="D3420" i="1"/>
  <c r="F3420" i="1"/>
  <c r="G3420" i="1"/>
  <c r="H3420" i="1"/>
  <c r="I3420" i="1"/>
  <c r="C3421" i="1"/>
  <c r="D3421" i="1"/>
  <c r="F3421" i="1"/>
  <c r="G3421" i="1"/>
  <c r="H3421" i="1"/>
  <c r="I3421" i="1"/>
  <c r="C3422" i="1"/>
  <c r="D3422" i="1"/>
  <c r="F3422" i="1"/>
  <c r="G3422" i="1"/>
  <c r="H3422" i="1"/>
  <c r="I3422" i="1"/>
  <c r="C3423" i="1"/>
  <c r="D3423" i="1"/>
  <c r="F3423" i="1"/>
  <c r="G3423" i="1"/>
  <c r="H3423" i="1"/>
  <c r="I3423" i="1"/>
  <c r="C3424" i="1"/>
  <c r="D3424" i="1"/>
  <c r="F3424" i="1"/>
  <c r="G3424" i="1"/>
  <c r="H3424" i="1"/>
  <c r="I3424" i="1"/>
  <c r="C3425" i="1"/>
  <c r="D3425" i="1"/>
  <c r="F3425" i="1"/>
  <c r="G3425" i="1"/>
  <c r="H3425" i="1"/>
  <c r="I3425" i="1"/>
  <c r="C3426" i="1"/>
  <c r="D3426" i="1"/>
  <c r="F3426" i="1"/>
  <c r="G3426" i="1"/>
  <c r="H3426" i="1"/>
  <c r="I3426" i="1"/>
  <c r="C3427" i="1"/>
  <c r="D3427" i="1"/>
  <c r="F3427" i="1"/>
  <c r="G3427" i="1"/>
  <c r="H3427" i="1"/>
  <c r="I3427" i="1"/>
  <c r="C3428" i="1"/>
  <c r="D3428" i="1"/>
  <c r="F3428" i="1"/>
  <c r="G3428" i="1"/>
  <c r="H3428" i="1"/>
  <c r="I3428" i="1"/>
  <c r="C3429" i="1"/>
  <c r="D3429" i="1"/>
  <c r="F3429" i="1"/>
  <c r="G3429" i="1"/>
  <c r="H3429" i="1"/>
  <c r="I3429" i="1"/>
  <c r="C3430" i="1"/>
  <c r="D3430" i="1"/>
  <c r="F3430" i="1"/>
  <c r="G3430" i="1"/>
  <c r="H3430" i="1"/>
  <c r="I3430" i="1"/>
  <c r="C3431" i="1"/>
  <c r="D3431" i="1"/>
  <c r="F3431" i="1"/>
  <c r="G3431" i="1"/>
  <c r="H3431" i="1"/>
  <c r="I3431" i="1"/>
  <c r="C3432" i="1"/>
  <c r="D3432" i="1"/>
  <c r="F3432" i="1"/>
  <c r="G3432" i="1"/>
  <c r="H3432" i="1"/>
  <c r="I3432" i="1"/>
  <c r="C3433" i="1"/>
  <c r="D3433" i="1"/>
  <c r="F3433" i="1"/>
  <c r="G3433" i="1"/>
  <c r="H3433" i="1"/>
  <c r="I3433" i="1"/>
  <c r="C3434" i="1"/>
  <c r="D3434" i="1"/>
  <c r="F3434" i="1"/>
  <c r="G3434" i="1"/>
  <c r="H3434" i="1"/>
  <c r="I3434" i="1"/>
  <c r="C3435" i="1"/>
  <c r="D3435" i="1"/>
  <c r="F3435" i="1"/>
  <c r="G3435" i="1"/>
  <c r="H3435" i="1"/>
  <c r="I3435" i="1"/>
  <c r="C3436" i="1"/>
  <c r="D3436" i="1"/>
  <c r="F3436" i="1"/>
  <c r="G3436" i="1"/>
  <c r="H3436" i="1"/>
  <c r="I3436" i="1"/>
  <c r="C3437" i="1"/>
  <c r="D3437" i="1"/>
  <c r="F3437" i="1"/>
  <c r="G3437" i="1"/>
  <c r="H3437" i="1"/>
  <c r="I3437" i="1"/>
  <c r="C3438" i="1"/>
  <c r="D3438" i="1"/>
  <c r="F3438" i="1"/>
  <c r="G3438" i="1"/>
  <c r="H3438" i="1"/>
  <c r="I3438" i="1"/>
  <c r="C3439" i="1"/>
  <c r="D3439" i="1"/>
  <c r="F3439" i="1"/>
  <c r="G3439" i="1"/>
  <c r="H3439" i="1"/>
  <c r="I3439" i="1"/>
  <c r="C3440" i="1"/>
  <c r="D3440" i="1"/>
  <c r="F3440" i="1"/>
  <c r="G3440" i="1"/>
  <c r="H3440" i="1"/>
  <c r="I3440" i="1"/>
  <c r="C3441" i="1"/>
  <c r="D3441" i="1"/>
  <c r="F3441" i="1"/>
  <c r="G3441" i="1"/>
  <c r="H3441" i="1"/>
  <c r="I3441" i="1"/>
  <c r="C3442" i="1"/>
  <c r="D3442" i="1"/>
  <c r="F3442" i="1"/>
  <c r="G3442" i="1"/>
  <c r="H3442" i="1"/>
  <c r="I3442" i="1"/>
  <c r="C3443" i="1"/>
  <c r="D3443" i="1"/>
  <c r="F3443" i="1"/>
  <c r="G3443" i="1"/>
  <c r="H3443" i="1"/>
  <c r="I3443" i="1"/>
  <c r="C3444" i="1"/>
  <c r="D3444" i="1"/>
  <c r="F3444" i="1"/>
  <c r="G3444" i="1"/>
  <c r="H3444" i="1"/>
  <c r="I3444" i="1"/>
  <c r="C3445" i="1"/>
  <c r="D3445" i="1"/>
  <c r="F3445" i="1"/>
  <c r="G3445" i="1"/>
  <c r="H3445" i="1"/>
  <c r="I3445" i="1"/>
  <c r="C3446" i="1"/>
  <c r="D3446" i="1"/>
  <c r="F3446" i="1"/>
  <c r="G3446" i="1"/>
  <c r="H3446" i="1"/>
  <c r="I3446" i="1"/>
  <c r="C3447" i="1"/>
  <c r="D3447" i="1"/>
  <c r="F3447" i="1"/>
  <c r="G3447" i="1"/>
  <c r="H3447" i="1"/>
  <c r="I3447" i="1"/>
  <c r="C3448" i="1"/>
  <c r="D3448" i="1"/>
  <c r="F3448" i="1"/>
  <c r="G3448" i="1"/>
  <c r="H3448" i="1"/>
  <c r="I3448" i="1"/>
  <c r="C3449" i="1"/>
  <c r="D3449" i="1"/>
  <c r="F3449" i="1"/>
  <c r="G3449" i="1"/>
  <c r="H3449" i="1"/>
  <c r="I3449" i="1"/>
  <c r="C3450" i="1"/>
  <c r="D3450" i="1"/>
  <c r="F3450" i="1"/>
  <c r="G3450" i="1"/>
  <c r="H3450" i="1"/>
  <c r="I3450" i="1"/>
  <c r="C3451" i="1"/>
  <c r="D3451" i="1"/>
  <c r="F3451" i="1"/>
  <c r="G3451" i="1"/>
  <c r="H3451" i="1"/>
  <c r="I3451" i="1"/>
  <c r="C3452" i="1"/>
  <c r="D3452" i="1"/>
  <c r="F3452" i="1"/>
  <c r="G3452" i="1"/>
  <c r="H3452" i="1"/>
  <c r="I3452" i="1"/>
  <c r="C3453" i="1"/>
  <c r="D3453" i="1"/>
  <c r="F3453" i="1"/>
  <c r="G3453" i="1"/>
  <c r="H3453" i="1"/>
  <c r="I3453" i="1"/>
  <c r="C3454" i="1"/>
  <c r="D3454" i="1"/>
  <c r="F3454" i="1"/>
  <c r="G3454" i="1"/>
  <c r="H3454" i="1"/>
  <c r="I3454" i="1"/>
  <c r="C3455" i="1"/>
  <c r="D3455" i="1"/>
  <c r="F3455" i="1"/>
  <c r="G3455" i="1"/>
  <c r="H3455" i="1"/>
  <c r="I3455" i="1"/>
  <c r="C3456" i="1"/>
  <c r="D3456" i="1"/>
  <c r="F3456" i="1"/>
  <c r="G3456" i="1"/>
  <c r="H3456" i="1"/>
  <c r="I3456" i="1"/>
  <c r="C3457" i="1"/>
  <c r="D3457" i="1"/>
  <c r="F3457" i="1"/>
  <c r="G3457" i="1"/>
  <c r="H3457" i="1"/>
  <c r="I3457" i="1"/>
  <c r="C3458" i="1"/>
  <c r="D3458" i="1"/>
  <c r="F3458" i="1"/>
  <c r="G3458" i="1"/>
  <c r="H3458" i="1"/>
  <c r="I3458" i="1"/>
  <c r="C3459" i="1"/>
  <c r="D3459" i="1"/>
  <c r="F3459" i="1"/>
  <c r="G3459" i="1"/>
  <c r="H3459" i="1"/>
  <c r="I3459" i="1"/>
  <c r="C3460" i="1"/>
  <c r="D3460" i="1"/>
  <c r="F3460" i="1"/>
  <c r="G3460" i="1"/>
  <c r="H3460" i="1"/>
  <c r="I3460" i="1"/>
  <c r="C3461" i="1"/>
  <c r="D3461" i="1"/>
  <c r="F3461" i="1"/>
  <c r="G3461" i="1"/>
  <c r="H3461" i="1"/>
  <c r="I3461" i="1"/>
  <c r="C3462" i="1"/>
  <c r="D3462" i="1"/>
  <c r="F3462" i="1"/>
  <c r="G3462" i="1"/>
  <c r="H3462" i="1"/>
  <c r="I3462" i="1"/>
  <c r="C3463" i="1"/>
  <c r="D3463" i="1"/>
  <c r="F3463" i="1"/>
  <c r="G3463" i="1"/>
  <c r="H3463" i="1"/>
  <c r="I3463" i="1"/>
  <c r="C3464" i="1"/>
  <c r="D3464" i="1"/>
  <c r="F3464" i="1"/>
  <c r="G3464" i="1"/>
  <c r="H3464" i="1"/>
  <c r="I3464" i="1"/>
  <c r="C3465" i="1"/>
  <c r="D3465" i="1"/>
  <c r="F3465" i="1"/>
  <c r="G3465" i="1"/>
  <c r="H3465" i="1"/>
  <c r="I3465" i="1"/>
  <c r="C3466" i="1"/>
  <c r="D3466" i="1"/>
  <c r="F3466" i="1"/>
  <c r="G3466" i="1"/>
  <c r="H3466" i="1"/>
  <c r="I3466" i="1"/>
  <c r="C3467" i="1"/>
  <c r="D3467" i="1"/>
  <c r="F3467" i="1"/>
  <c r="G3467" i="1"/>
  <c r="H3467" i="1"/>
  <c r="I3467" i="1"/>
  <c r="C3468" i="1"/>
  <c r="D3468" i="1"/>
  <c r="F3468" i="1"/>
  <c r="G3468" i="1"/>
  <c r="H3468" i="1"/>
  <c r="I3468" i="1"/>
  <c r="C3469" i="1"/>
  <c r="D3469" i="1"/>
  <c r="F3469" i="1"/>
  <c r="G3469" i="1"/>
  <c r="H3469" i="1"/>
  <c r="I3469" i="1"/>
  <c r="C3470" i="1"/>
  <c r="D3470" i="1"/>
  <c r="F3470" i="1"/>
  <c r="G3470" i="1"/>
  <c r="H3470" i="1"/>
  <c r="I3470" i="1"/>
  <c r="C3471" i="1"/>
  <c r="D3471" i="1"/>
  <c r="F3471" i="1"/>
  <c r="G3471" i="1"/>
  <c r="H3471" i="1"/>
  <c r="I3471" i="1"/>
  <c r="C3472" i="1"/>
  <c r="D3472" i="1"/>
  <c r="F3472" i="1"/>
  <c r="G3472" i="1"/>
  <c r="H3472" i="1"/>
  <c r="I3472" i="1"/>
  <c r="C3473" i="1"/>
  <c r="D3473" i="1"/>
  <c r="F3473" i="1"/>
  <c r="G3473" i="1"/>
  <c r="H3473" i="1"/>
  <c r="I3473" i="1"/>
  <c r="C3474" i="1"/>
  <c r="D3474" i="1"/>
  <c r="F3474" i="1"/>
  <c r="G3474" i="1"/>
  <c r="H3474" i="1"/>
  <c r="I3474" i="1"/>
  <c r="C3475" i="1"/>
  <c r="D3475" i="1"/>
  <c r="F3475" i="1"/>
  <c r="G3475" i="1"/>
  <c r="H3475" i="1"/>
  <c r="I3475" i="1"/>
  <c r="C3476" i="1"/>
  <c r="D3476" i="1"/>
  <c r="F3476" i="1"/>
  <c r="G3476" i="1"/>
  <c r="H3476" i="1"/>
  <c r="I3476" i="1"/>
  <c r="C3477" i="1"/>
  <c r="D3477" i="1"/>
  <c r="F3477" i="1"/>
  <c r="G3477" i="1"/>
  <c r="H3477" i="1"/>
  <c r="I3477" i="1"/>
  <c r="C3478" i="1"/>
  <c r="D3478" i="1"/>
  <c r="F3478" i="1"/>
  <c r="G3478" i="1"/>
  <c r="H3478" i="1"/>
  <c r="I3478" i="1"/>
  <c r="C3479" i="1"/>
  <c r="D3479" i="1"/>
  <c r="F3479" i="1"/>
  <c r="G3479" i="1"/>
  <c r="H3479" i="1"/>
  <c r="I3479" i="1"/>
  <c r="C3480" i="1"/>
  <c r="D3480" i="1"/>
  <c r="F3480" i="1"/>
  <c r="G3480" i="1"/>
  <c r="H3480" i="1"/>
  <c r="I3480" i="1"/>
  <c r="C3481" i="1"/>
  <c r="D3481" i="1"/>
  <c r="F3481" i="1"/>
  <c r="G3481" i="1"/>
  <c r="H3481" i="1"/>
  <c r="I3481" i="1"/>
  <c r="C3482" i="1"/>
  <c r="D3482" i="1"/>
  <c r="F3482" i="1"/>
  <c r="G3482" i="1"/>
  <c r="H3482" i="1"/>
  <c r="I3482" i="1"/>
  <c r="C3483" i="1"/>
  <c r="D3483" i="1"/>
  <c r="F3483" i="1"/>
  <c r="G3483" i="1"/>
  <c r="H3483" i="1"/>
  <c r="I3483" i="1"/>
  <c r="C3484" i="1"/>
  <c r="D3484" i="1"/>
  <c r="F3484" i="1"/>
  <c r="G3484" i="1"/>
  <c r="H3484" i="1"/>
  <c r="I3484" i="1"/>
  <c r="C3485" i="1"/>
  <c r="D3485" i="1"/>
  <c r="F3485" i="1"/>
  <c r="G3485" i="1"/>
  <c r="H3485" i="1"/>
  <c r="I3485" i="1"/>
  <c r="C3486" i="1"/>
  <c r="D3486" i="1"/>
  <c r="F3486" i="1"/>
  <c r="G3486" i="1"/>
  <c r="H3486" i="1"/>
  <c r="I3486" i="1"/>
  <c r="C3487" i="1"/>
  <c r="D3487" i="1"/>
  <c r="F3487" i="1"/>
  <c r="G3487" i="1"/>
  <c r="H3487" i="1"/>
  <c r="I3487" i="1"/>
  <c r="C3488" i="1"/>
  <c r="D3488" i="1"/>
  <c r="F3488" i="1"/>
  <c r="G3488" i="1"/>
  <c r="H3488" i="1"/>
  <c r="I3488" i="1"/>
  <c r="C3489" i="1"/>
  <c r="D3489" i="1"/>
  <c r="F3489" i="1"/>
  <c r="G3489" i="1"/>
  <c r="H3489" i="1"/>
  <c r="I3489" i="1"/>
  <c r="C3490" i="1"/>
  <c r="D3490" i="1"/>
  <c r="F3490" i="1"/>
  <c r="G3490" i="1"/>
  <c r="H3490" i="1"/>
  <c r="I3490" i="1"/>
  <c r="C3491" i="1"/>
  <c r="D3491" i="1"/>
  <c r="F3491" i="1"/>
  <c r="G3491" i="1"/>
  <c r="H3491" i="1"/>
  <c r="I3491" i="1"/>
  <c r="C3492" i="1"/>
  <c r="D3492" i="1"/>
  <c r="F3492" i="1"/>
  <c r="G3492" i="1"/>
  <c r="H3492" i="1"/>
  <c r="I3492" i="1"/>
  <c r="C3493" i="1"/>
  <c r="D3493" i="1"/>
  <c r="F3493" i="1"/>
  <c r="G3493" i="1"/>
  <c r="H3493" i="1"/>
  <c r="I3493" i="1"/>
  <c r="C3494" i="1"/>
  <c r="D3494" i="1"/>
  <c r="F3494" i="1"/>
  <c r="G3494" i="1"/>
  <c r="H3494" i="1"/>
  <c r="I3494" i="1"/>
  <c r="C3495" i="1"/>
  <c r="D3495" i="1"/>
  <c r="F3495" i="1"/>
  <c r="G3495" i="1"/>
  <c r="H3495" i="1"/>
  <c r="I3495" i="1"/>
  <c r="C3496" i="1"/>
  <c r="D3496" i="1"/>
  <c r="F3496" i="1"/>
  <c r="G3496" i="1"/>
  <c r="H3496" i="1"/>
  <c r="I3496" i="1"/>
  <c r="C3497" i="1"/>
  <c r="D3497" i="1"/>
  <c r="F3497" i="1"/>
  <c r="G3497" i="1"/>
  <c r="H3497" i="1"/>
  <c r="I3497" i="1"/>
  <c r="C3498" i="1"/>
  <c r="D3498" i="1"/>
  <c r="F3498" i="1"/>
  <c r="G3498" i="1"/>
  <c r="H3498" i="1"/>
  <c r="I3498" i="1"/>
  <c r="C3499" i="1"/>
  <c r="D3499" i="1"/>
  <c r="F3499" i="1"/>
  <c r="G3499" i="1"/>
  <c r="H3499" i="1"/>
  <c r="I3499" i="1"/>
  <c r="C3500" i="1"/>
  <c r="D3500" i="1"/>
  <c r="F3500" i="1"/>
  <c r="G3500" i="1"/>
  <c r="H3500" i="1"/>
  <c r="I3500" i="1"/>
  <c r="C3501" i="1"/>
  <c r="D3501" i="1"/>
  <c r="F3501" i="1"/>
  <c r="G3501" i="1"/>
  <c r="H3501" i="1"/>
  <c r="I3501" i="1"/>
  <c r="C3502" i="1"/>
  <c r="D3502" i="1"/>
  <c r="F3502" i="1"/>
  <c r="G3502" i="1"/>
  <c r="H3502" i="1"/>
  <c r="I3502" i="1"/>
  <c r="C3503" i="1"/>
  <c r="D3503" i="1"/>
  <c r="F3503" i="1"/>
  <c r="G3503" i="1"/>
  <c r="H3503" i="1"/>
  <c r="I3503" i="1"/>
  <c r="C3504" i="1"/>
  <c r="D3504" i="1"/>
  <c r="F3504" i="1"/>
  <c r="G3504" i="1"/>
  <c r="H3504" i="1"/>
  <c r="I3504" i="1"/>
  <c r="C3505" i="1"/>
  <c r="D3505" i="1"/>
  <c r="F3505" i="1"/>
  <c r="G3505" i="1"/>
  <c r="H3505" i="1"/>
  <c r="I3505" i="1"/>
  <c r="C3506" i="1"/>
  <c r="D3506" i="1"/>
  <c r="F3506" i="1"/>
  <c r="G3506" i="1"/>
  <c r="H3506" i="1"/>
  <c r="I3506" i="1"/>
  <c r="C3507" i="1"/>
  <c r="D3507" i="1"/>
  <c r="F3507" i="1"/>
  <c r="G3507" i="1"/>
  <c r="H3507" i="1"/>
  <c r="I3507" i="1"/>
  <c r="C3508" i="1"/>
  <c r="D3508" i="1"/>
  <c r="F3508" i="1"/>
  <c r="G3508" i="1"/>
  <c r="H3508" i="1"/>
  <c r="I3508" i="1"/>
  <c r="C3509" i="1"/>
  <c r="D3509" i="1"/>
  <c r="F3509" i="1"/>
  <c r="G3509" i="1"/>
  <c r="H3509" i="1"/>
  <c r="I3509" i="1"/>
  <c r="C3510" i="1"/>
  <c r="D3510" i="1"/>
  <c r="F3510" i="1"/>
  <c r="G3510" i="1"/>
  <c r="H3510" i="1"/>
  <c r="I3510" i="1"/>
  <c r="C3511" i="1"/>
  <c r="D3511" i="1"/>
  <c r="F3511" i="1"/>
  <c r="G3511" i="1"/>
  <c r="H3511" i="1"/>
  <c r="I3511" i="1"/>
  <c r="C3512" i="1"/>
  <c r="D3512" i="1"/>
  <c r="F3512" i="1"/>
  <c r="G3512" i="1"/>
  <c r="H3512" i="1"/>
  <c r="I3512" i="1"/>
  <c r="C3513" i="1"/>
  <c r="D3513" i="1"/>
  <c r="F3513" i="1"/>
  <c r="G3513" i="1"/>
  <c r="H3513" i="1"/>
  <c r="I3513" i="1"/>
  <c r="C3514" i="1"/>
  <c r="D3514" i="1"/>
  <c r="F3514" i="1"/>
  <c r="G3514" i="1"/>
  <c r="H3514" i="1"/>
  <c r="I3514" i="1"/>
  <c r="C3515" i="1"/>
  <c r="D3515" i="1"/>
  <c r="F3515" i="1"/>
  <c r="G3515" i="1"/>
  <c r="H3515" i="1"/>
  <c r="I3515" i="1"/>
  <c r="C3516" i="1"/>
  <c r="D3516" i="1"/>
  <c r="F3516" i="1"/>
  <c r="G3516" i="1"/>
  <c r="H3516" i="1"/>
  <c r="I3516" i="1"/>
  <c r="C3517" i="1"/>
  <c r="D3517" i="1"/>
  <c r="F3517" i="1"/>
  <c r="G3517" i="1"/>
  <c r="H3517" i="1"/>
  <c r="I3517" i="1"/>
  <c r="C3518" i="1"/>
  <c r="D3518" i="1"/>
  <c r="F3518" i="1"/>
  <c r="G3518" i="1"/>
  <c r="H3518" i="1"/>
  <c r="I3518" i="1"/>
  <c r="C3519" i="1"/>
  <c r="D3519" i="1"/>
  <c r="F3519" i="1"/>
  <c r="G3519" i="1"/>
  <c r="H3519" i="1"/>
  <c r="I3519" i="1"/>
  <c r="C3520" i="1"/>
  <c r="D3520" i="1"/>
  <c r="F3520" i="1"/>
  <c r="G3520" i="1"/>
  <c r="H3520" i="1"/>
  <c r="I3520" i="1"/>
  <c r="C3521" i="1"/>
  <c r="D3521" i="1"/>
  <c r="F3521" i="1"/>
  <c r="G3521" i="1"/>
  <c r="H3521" i="1"/>
  <c r="I3521" i="1"/>
  <c r="C3522" i="1"/>
  <c r="D3522" i="1"/>
  <c r="F3522" i="1"/>
  <c r="G3522" i="1"/>
  <c r="H3522" i="1"/>
  <c r="I3522" i="1"/>
  <c r="C3523" i="1"/>
  <c r="D3523" i="1"/>
  <c r="F3523" i="1"/>
  <c r="G3523" i="1"/>
  <c r="H3523" i="1"/>
  <c r="I3523" i="1"/>
  <c r="C3524" i="1"/>
  <c r="D3524" i="1"/>
  <c r="F3524" i="1"/>
  <c r="G3524" i="1"/>
  <c r="H3524" i="1"/>
  <c r="I3524" i="1"/>
  <c r="C3525" i="1"/>
  <c r="D3525" i="1"/>
  <c r="F3525" i="1"/>
  <c r="G3525" i="1"/>
  <c r="H3525" i="1"/>
  <c r="I3525" i="1"/>
  <c r="C3526" i="1"/>
  <c r="D3526" i="1"/>
  <c r="F3526" i="1"/>
  <c r="G3526" i="1"/>
  <c r="H3526" i="1"/>
  <c r="I3526" i="1"/>
  <c r="C3527" i="1"/>
  <c r="D3527" i="1"/>
  <c r="F3527" i="1"/>
  <c r="G3527" i="1"/>
  <c r="H3527" i="1"/>
  <c r="I3527" i="1"/>
  <c r="C3528" i="1"/>
  <c r="D3528" i="1"/>
  <c r="F3528" i="1"/>
  <c r="G3528" i="1"/>
  <c r="H3528" i="1"/>
  <c r="I3528" i="1"/>
  <c r="C3529" i="1"/>
  <c r="D3529" i="1"/>
  <c r="F3529" i="1"/>
  <c r="G3529" i="1"/>
  <c r="H3529" i="1"/>
  <c r="I3529" i="1"/>
  <c r="C3530" i="1"/>
  <c r="D3530" i="1"/>
  <c r="F3530" i="1"/>
  <c r="G3530" i="1"/>
  <c r="H3530" i="1"/>
  <c r="I3530" i="1"/>
  <c r="C3531" i="1"/>
  <c r="D3531" i="1"/>
  <c r="F3531" i="1"/>
  <c r="G3531" i="1"/>
  <c r="H3531" i="1"/>
  <c r="I3531" i="1"/>
  <c r="C3532" i="1"/>
  <c r="D3532" i="1"/>
  <c r="F3532" i="1"/>
  <c r="G3532" i="1"/>
  <c r="H3532" i="1"/>
  <c r="I3532" i="1"/>
  <c r="C3533" i="1"/>
  <c r="D3533" i="1"/>
  <c r="F3533" i="1"/>
  <c r="G3533" i="1"/>
  <c r="H3533" i="1"/>
  <c r="I3533" i="1"/>
  <c r="C3534" i="1"/>
  <c r="D3534" i="1"/>
  <c r="F3534" i="1"/>
  <c r="G3534" i="1"/>
  <c r="H3534" i="1"/>
  <c r="I3534" i="1"/>
  <c r="C3535" i="1"/>
  <c r="D3535" i="1"/>
  <c r="F3535" i="1"/>
  <c r="G3535" i="1"/>
  <c r="H3535" i="1"/>
  <c r="I3535" i="1"/>
  <c r="C3536" i="1"/>
  <c r="D3536" i="1"/>
  <c r="F3536" i="1"/>
  <c r="G3536" i="1"/>
  <c r="H3536" i="1"/>
  <c r="I3536" i="1"/>
  <c r="C3537" i="1"/>
  <c r="D3537" i="1"/>
  <c r="F3537" i="1"/>
  <c r="G3537" i="1"/>
  <c r="H3537" i="1"/>
  <c r="I3537" i="1"/>
  <c r="C3538" i="1"/>
  <c r="D3538" i="1"/>
  <c r="F3538" i="1"/>
  <c r="G3538" i="1"/>
  <c r="H3538" i="1"/>
  <c r="I3538" i="1"/>
  <c r="C3539" i="1"/>
  <c r="D3539" i="1"/>
  <c r="F3539" i="1"/>
  <c r="G3539" i="1"/>
  <c r="H3539" i="1"/>
  <c r="I3539" i="1"/>
  <c r="C3540" i="1"/>
  <c r="D3540" i="1"/>
  <c r="F3540" i="1"/>
  <c r="G3540" i="1"/>
  <c r="H3540" i="1"/>
  <c r="I3540" i="1"/>
  <c r="C3541" i="1"/>
  <c r="D3541" i="1"/>
  <c r="F3541" i="1"/>
  <c r="G3541" i="1"/>
  <c r="H3541" i="1"/>
  <c r="I3541" i="1"/>
  <c r="C3542" i="1"/>
  <c r="D3542" i="1"/>
  <c r="F3542" i="1"/>
  <c r="G3542" i="1"/>
  <c r="H3542" i="1"/>
  <c r="I3542" i="1"/>
  <c r="C3543" i="1"/>
  <c r="D3543" i="1"/>
  <c r="F3543" i="1"/>
  <c r="G3543" i="1"/>
  <c r="H3543" i="1"/>
  <c r="I3543" i="1"/>
  <c r="C3544" i="1"/>
  <c r="D3544" i="1"/>
  <c r="F3544" i="1"/>
  <c r="G3544" i="1"/>
  <c r="H3544" i="1"/>
  <c r="I3544" i="1"/>
  <c r="C3545" i="1"/>
  <c r="D3545" i="1"/>
  <c r="F3545" i="1"/>
  <c r="G3545" i="1"/>
  <c r="H3545" i="1"/>
  <c r="I3545" i="1"/>
  <c r="C3546" i="1"/>
  <c r="D3546" i="1"/>
  <c r="F3546" i="1"/>
  <c r="G3546" i="1"/>
  <c r="H3546" i="1"/>
  <c r="I3546" i="1"/>
  <c r="C3547" i="1"/>
  <c r="D3547" i="1"/>
  <c r="F3547" i="1"/>
  <c r="G3547" i="1"/>
  <c r="H3547" i="1"/>
  <c r="I3547" i="1"/>
  <c r="C3548" i="1"/>
  <c r="D3548" i="1"/>
  <c r="F3548" i="1"/>
  <c r="G3548" i="1"/>
  <c r="H3548" i="1"/>
  <c r="I3548" i="1"/>
  <c r="C3549" i="1"/>
  <c r="D3549" i="1"/>
  <c r="F3549" i="1"/>
  <c r="G3549" i="1"/>
  <c r="H3549" i="1"/>
  <c r="I3549" i="1"/>
  <c r="C3550" i="1"/>
  <c r="D3550" i="1"/>
  <c r="F3550" i="1"/>
  <c r="G3550" i="1"/>
  <c r="H3550" i="1"/>
  <c r="I3550" i="1"/>
  <c r="C3551" i="1"/>
  <c r="D3551" i="1"/>
  <c r="F3551" i="1"/>
  <c r="G3551" i="1"/>
  <c r="H3551" i="1"/>
  <c r="I3551" i="1"/>
  <c r="C3552" i="1"/>
  <c r="D3552" i="1"/>
  <c r="F3552" i="1"/>
  <c r="G3552" i="1"/>
  <c r="H3552" i="1"/>
  <c r="I3552" i="1"/>
  <c r="C3553" i="1"/>
  <c r="D3553" i="1"/>
  <c r="F3553" i="1"/>
  <c r="G3553" i="1"/>
  <c r="H3553" i="1"/>
  <c r="I3553" i="1"/>
  <c r="C3554" i="1"/>
  <c r="D3554" i="1"/>
  <c r="F3554" i="1"/>
  <c r="G3554" i="1"/>
  <c r="H3554" i="1"/>
  <c r="I3554" i="1"/>
  <c r="C3555" i="1"/>
  <c r="D3555" i="1"/>
  <c r="F3555" i="1"/>
  <c r="G3555" i="1"/>
  <c r="H3555" i="1"/>
  <c r="I3555" i="1"/>
  <c r="C3556" i="1"/>
  <c r="D3556" i="1"/>
  <c r="F3556" i="1"/>
  <c r="G3556" i="1"/>
  <c r="H3556" i="1"/>
  <c r="I3556" i="1"/>
  <c r="C3557" i="1"/>
  <c r="D3557" i="1"/>
  <c r="F3557" i="1"/>
  <c r="G3557" i="1"/>
  <c r="H3557" i="1"/>
  <c r="I3557" i="1"/>
  <c r="C3558" i="1"/>
  <c r="D3558" i="1"/>
  <c r="F3558" i="1"/>
  <c r="G3558" i="1"/>
  <c r="H3558" i="1"/>
  <c r="I3558" i="1"/>
  <c r="C3559" i="1"/>
  <c r="D3559" i="1"/>
  <c r="F3559" i="1"/>
  <c r="G3559" i="1"/>
  <c r="H3559" i="1"/>
  <c r="I3559" i="1"/>
  <c r="C3560" i="1"/>
  <c r="D3560" i="1"/>
  <c r="F3560" i="1"/>
  <c r="G3560" i="1"/>
  <c r="H3560" i="1"/>
  <c r="I3560" i="1"/>
  <c r="C3561" i="1"/>
  <c r="D3561" i="1"/>
  <c r="F3561" i="1"/>
  <c r="G3561" i="1"/>
  <c r="H3561" i="1"/>
  <c r="I3561" i="1"/>
  <c r="C3562" i="1"/>
  <c r="D3562" i="1"/>
  <c r="F3562" i="1"/>
  <c r="G3562" i="1"/>
  <c r="H3562" i="1"/>
  <c r="I3562" i="1"/>
  <c r="C3563" i="1"/>
  <c r="D3563" i="1"/>
  <c r="F3563" i="1"/>
  <c r="G3563" i="1"/>
  <c r="H3563" i="1"/>
  <c r="I3563" i="1"/>
  <c r="C3564" i="1"/>
  <c r="D3564" i="1"/>
  <c r="F3564" i="1"/>
  <c r="G3564" i="1"/>
  <c r="H3564" i="1"/>
  <c r="I3564" i="1"/>
  <c r="C3565" i="1"/>
  <c r="D3565" i="1"/>
  <c r="F3565" i="1"/>
  <c r="G3565" i="1"/>
  <c r="H3565" i="1"/>
  <c r="I3565" i="1"/>
  <c r="C3566" i="1"/>
  <c r="D3566" i="1"/>
  <c r="F3566" i="1"/>
  <c r="G3566" i="1"/>
  <c r="H3566" i="1"/>
  <c r="I3566" i="1"/>
  <c r="C3567" i="1"/>
  <c r="D3567" i="1"/>
  <c r="F3567" i="1"/>
  <c r="G3567" i="1"/>
  <c r="H3567" i="1"/>
  <c r="I3567" i="1"/>
  <c r="C3568" i="1"/>
  <c r="D3568" i="1"/>
  <c r="F3568" i="1"/>
  <c r="G3568" i="1"/>
  <c r="H3568" i="1"/>
  <c r="I3568" i="1"/>
  <c r="C3569" i="1"/>
  <c r="D3569" i="1"/>
  <c r="F3569" i="1"/>
  <c r="G3569" i="1"/>
  <c r="H3569" i="1"/>
  <c r="I3569" i="1"/>
  <c r="C3570" i="1"/>
  <c r="D3570" i="1"/>
  <c r="F3570" i="1"/>
  <c r="G3570" i="1"/>
  <c r="H3570" i="1"/>
  <c r="I3570" i="1"/>
  <c r="C3571" i="1"/>
  <c r="D3571" i="1"/>
  <c r="F3571" i="1"/>
  <c r="G3571" i="1"/>
  <c r="H3571" i="1"/>
  <c r="I3571" i="1"/>
  <c r="C3572" i="1"/>
  <c r="D3572" i="1"/>
  <c r="F3572" i="1"/>
  <c r="G3572" i="1"/>
  <c r="H3572" i="1"/>
  <c r="I3572" i="1"/>
  <c r="C3573" i="1"/>
  <c r="D3573" i="1"/>
  <c r="F3573" i="1"/>
  <c r="G3573" i="1"/>
  <c r="H3573" i="1"/>
  <c r="I3573" i="1"/>
  <c r="C3574" i="1"/>
  <c r="D3574" i="1"/>
  <c r="F3574" i="1"/>
  <c r="G3574" i="1"/>
  <c r="H3574" i="1"/>
  <c r="I3574" i="1"/>
  <c r="C3575" i="1"/>
  <c r="D3575" i="1"/>
  <c r="F3575" i="1"/>
  <c r="G3575" i="1"/>
  <c r="H3575" i="1"/>
  <c r="I3575" i="1"/>
  <c r="C3576" i="1"/>
  <c r="D3576" i="1"/>
  <c r="F3576" i="1"/>
  <c r="G3576" i="1"/>
  <c r="H3576" i="1"/>
  <c r="I3576" i="1"/>
  <c r="C3577" i="1"/>
  <c r="D3577" i="1"/>
  <c r="F3577" i="1"/>
  <c r="G3577" i="1"/>
  <c r="H3577" i="1"/>
  <c r="I3577" i="1"/>
  <c r="C3578" i="1"/>
  <c r="D3578" i="1"/>
  <c r="F3578" i="1"/>
  <c r="G3578" i="1"/>
  <c r="H3578" i="1"/>
  <c r="I3578" i="1"/>
  <c r="C3579" i="1"/>
  <c r="D3579" i="1"/>
  <c r="F3579" i="1"/>
  <c r="G3579" i="1"/>
  <c r="H3579" i="1"/>
  <c r="I3579" i="1"/>
  <c r="C3580" i="1"/>
  <c r="D3580" i="1"/>
  <c r="F3580" i="1"/>
  <c r="G3580" i="1"/>
  <c r="H3580" i="1"/>
  <c r="I3580" i="1"/>
  <c r="C3581" i="1"/>
  <c r="D3581" i="1"/>
  <c r="F3581" i="1"/>
  <c r="G3581" i="1"/>
  <c r="H3581" i="1"/>
  <c r="I3581" i="1"/>
  <c r="C3582" i="1"/>
  <c r="D3582" i="1"/>
  <c r="F3582" i="1"/>
  <c r="G3582" i="1"/>
  <c r="H3582" i="1"/>
  <c r="I3582" i="1"/>
  <c r="C3583" i="1"/>
  <c r="D3583" i="1"/>
  <c r="F3583" i="1"/>
  <c r="G3583" i="1"/>
  <c r="H3583" i="1"/>
  <c r="I3583" i="1"/>
  <c r="C3584" i="1"/>
  <c r="D3584" i="1"/>
  <c r="F3584" i="1"/>
  <c r="G3584" i="1"/>
  <c r="H3584" i="1"/>
  <c r="I3584" i="1"/>
  <c r="C3585" i="1"/>
  <c r="D3585" i="1"/>
  <c r="F3585" i="1"/>
  <c r="G3585" i="1"/>
  <c r="H3585" i="1"/>
  <c r="I3585" i="1"/>
  <c r="C3586" i="1"/>
  <c r="D3586" i="1"/>
  <c r="F3586" i="1"/>
  <c r="G3586" i="1"/>
  <c r="H3586" i="1"/>
  <c r="I3586" i="1"/>
  <c r="C3587" i="1"/>
  <c r="D3587" i="1"/>
  <c r="F3587" i="1"/>
  <c r="G3587" i="1"/>
  <c r="H3587" i="1"/>
  <c r="I3587" i="1"/>
  <c r="C3588" i="1"/>
  <c r="D3588" i="1"/>
  <c r="F3588" i="1"/>
  <c r="G3588" i="1"/>
  <c r="H3588" i="1"/>
  <c r="I3588" i="1"/>
  <c r="C3589" i="1"/>
  <c r="D3589" i="1"/>
  <c r="F3589" i="1"/>
  <c r="G3589" i="1"/>
  <c r="H3589" i="1"/>
  <c r="I3589" i="1"/>
  <c r="C3590" i="1"/>
  <c r="D3590" i="1"/>
  <c r="F3590" i="1"/>
  <c r="G3590" i="1"/>
  <c r="H3590" i="1"/>
  <c r="I3590" i="1"/>
  <c r="C3591" i="1"/>
  <c r="D3591" i="1"/>
  <c r="F3591" i="1"/>
  <c r="G3591" i="1"/>
  <c r="H3591" i="1"/>
  <c r="I3591" i="1"/>
  <c r="C3592" i="1"/>
  <c r="D3592" i="1"/>
  <c r="F3592" i="1"/>
  <c r="G3592" i="1"/>
  <c r="H3592" i="1"/>
  <c r="I3592" i="1"/>
  <c r="C3593" i="1"/>
  <c r="D3593" i="1"/>
  <c r="F3593" i="1"/>
  <c r="G3593" i="1"/>
  <c r="H3593" i="1"/>
  <c r="I3593" i="1"/>
  <c r="C3594" i="1"/>
  <c r="D3594" i="1"/>
  <c r="F3594" i="1"/>
  <c r="G3594" i="1"/>
  <c r="H3594" i="1"/>
  <c r="I3594" i="1"/>
  <c r="C3595" i="1"/>
  <c r="D3595" i="1"/>
  <c r="F3595" i="1"/>
  <c r="G3595" i="1"/>
  <c r="H3595" i="1"/>
  <c r="I3595" i="1"/>
  <c r="C3596" i="1"/>
  <c r="D3596" i="1"/>
  <c r="F3596" i="1"/>
  <c r="G3596" i="1"/>
  <c r="H3596" i="1"/>
  <c r="I3596" i="1"/>
  <c r="C3597" i="1"/>
  <c r="D3597" i="1"/>
  <c r="F3597" i="1"/>
  <c r="G3597" i="1"/>
  <c r="H3597" i="1"/>
  <c r="I3597" i="1"/>
  <c r="C3598" i="1"/>
  <c r="D3598" i="1"/>
  <c r="F3598" i="1"/>
  <c r="G3598" i="1"/>
  <c r="H3598" i="1"/>
  <c r="I3598" i="1"/>
  <c r="C3599" i="1"/>
  <c r="D3599" i="1"/>
  <c r="F3599" i="1"/>
  <c r="G3599" i="1"/>
  <c r="H3599" i="1"/>
  <c r="I3599" i="1"/>
  <c r="C3600" i="1"/>
  <c r="D3600" i="1"/>
  <c r="F3600" i="1"/>
  <c r="G3600" i="1"/>
  <c r="H3600" i="1"/>
  <c r="I3600" i="1"/>
  <c r="C3601" i="1"/>
  <c r="D3601" i="1"/>
  <c r="F3601" i="1"/>
  <c r="G3601" i="1"/>
  <c r="H3601" i="1"/>
  <c r="I3601" i="1"/>
  <c r="C3602" i="1"/>
  <c r="D3602" i="1"/>
  <c r="F3602" i="1"/>
  <c r="G3602" i="1"/>
  <c r="H3602" i="1"/>
  <c r="I3602" i="1"/>
  <c r="C3603" i="1"/>
  <c r="D3603" i="1"/>
  <c r="F3603" i="1"/>
  <c r="G3603" i="1"/>
  <c r="H3603" i="1"/>
  <c r="I3603" i="1"/>
  <c r="C3604" i="1"/>
  <c r="D3604" i="1"/>
  <c r="F3604" i="1"/>
  <c r="G3604" i="1"/>
  <c r="H3604" i="1"/>
  <c r="I3604" i="1"/>
  <c r="C3605" i="1"/>
  <c r="D3605" i="1"/>
  <c r="F3605" i="1"/>
  <c r="G3605" i="1"/>
  <c r="H3605" i="1"/>
  <c r="I3605" i="1"/>
  <c r="C3606" i="1"/>
  <c r="D3606" i="1"/>
  <c r="F3606" i="1"/>
  <c r="G3606" i="1"/>
  <c r="H3606" i="1"/>
  <c r="I3606" i="1"/>
  <c r="C3607" i="1"/>
  <c r="D3607" i="1"/>
  <c r="F3607" i="1"/>
  <c r="G3607" i="1"/>
  <c r="H3607" i="1"/>
  <c r="I3607" i="1"/>
  <c r="C3608" i="1"/>
  <c r="D3608" i="1"/>
  <c r="F3608" i="1"/>
  <c r="G3608" i="1"/>
  <c r="H3608" i="1"/>
  <c r="I3608" i="1"/>
  <c r="C3609" i="1"/>
  <c r="D3609" i="1"/>
  <c r="F3609" i="1"/>
  <c r="G3609" i="1"/>
  <c r="H3609" i="1"/>
  <c r="I3609" i="1"/>
  <c r="C3610" i="1"/>
  <c r="D3610" i="1"/>
  <c r="F3610" i="1"/>
  <c r="G3610" i="1"/>
  <c r="H3610" i="1"/>
  <c r="I3610" i="1"/>
  <c r="C3611" i="1"/>
  <c r="D3611" i="1"/>
  <c r="F3611" i="1"/>
  <c r="G3611" i="1"/>
  <c r="H3611" i="1"/>
  <c r="I3611" i="1"/>
  <c r="C3612" i="1"/>
  <c r="D3612" i="1"/>
  <c r="F3612" i="1"/>
  <c r="G3612" i="1"/>
  <c r="H3612" i="1"/>
  <c r="I3612" i="1"/>
  <c r="C3613" i="1"/>
  <c r="D3613" i="1"/>
  <c r="F3613" i="1"/>
  <c r="G3613" i="1"/>
  <c r="H3613" i="1"/>
  <c r="I3613" i="1"/>
  <c r="C3614" i="1"/>
  <c r="D3614" i="1"/>
  <c r="F3614" i="1"/>
  <c r="G3614" i="1"/>
  <c r="H3614" i="1"/>
  <c r="I3614" i="1"/>
  <c r="C3615" i="1"/>
  <c r="D3615" i="1"/>
  <c r="F3615" i="1"/>
  <c r="G3615" i="1"/>
  <c r="H3615" i="1"/>
  <c r="I3615" i="1"/>
  <c r="C3616" i="1"/>
  <c r="D3616" i="1"/>
  <c r="F3616" i="1"/>
  <c r="G3616" i="1"/>
  <c r="H3616" i="1"/>
  <c r="I3616" i="1"/>
  <c r="C3617" i="1"/>
  <c r="D3617" i="1"/>
  <c r="F3617" i="1"/>
  <c r="G3617" i="1"/>
  <c r="H3617" i="1"/>
  <c r="I3617" i="1"/>
  <c r="C3618" i="1"/>
  <c r="D3618" i="1"/>
  <c r="F3618" i="1"/>
  <c r="G3618" i="1"/>
  <c r="H3618" i="1"/>
  <c r="I3618" i="1"/>
  <c r="C3619" i="1"/>
  <c r="D3619" i="1"/>
  <c r="F3619" i="1"/>
  <c r="G3619" i="1"/>
  <c r="H3619" i="1"/>
  <c r="I3619" i="1"/>
  <c r="C3620" i="1"/>
  <c r="D3620" i="1"/>
  <c r="F3620" i="1"/>
  <c r="G3620" i="1"/>
  <c r="H3620" i="1"/>
  <c r="I3620" i="1"/>
  <c r="C3621" i="1"/>
  <c r="D3621" i="1"/>
  <c r="F3621" i="1"/>
  <c r="G3621" i="1"/>
  <c r="H3621" i="1"/>
  <c r="I3621" i="1"/>
  <c r="C3622" i="1"/>
  <c r="D3622" i="1"/>
  <c r="F3622" i="1"/>
  <c r="G3622" i="1"/>
  <c r="H3622" i="1"/>
  <c r="I3622" i="1"/>
  <c r="C3623" i="1"/>
  <c r="D3623" i="1"/>
  <c r="F3623" i="1"/>
  <c r="G3623" i="1"/>
  <c r="H3623" i="1"/>
  <c r="I3623" i="1"/>
  <c r="C3624" i="1"/>
  <c r="D3624" i="1"/>
  <c r="F3624" i="1"/>
  <c r="G3624" i="1"/>
  <c r="H3624" i="1"/>
  <c r="I3624" i="1"/>
  <c r="C3625" i="1"/>
  <c r="D3625" i="1"/>
  <c r="F3625" i="1"/>
  <c r="G3625" i="1"/>
  <c r="H3625" i="1"/>
  <c r="I3625" i="1"/>
  <c r="C3626" i="1"/>
  <c r="D3626" i="1"/>
  <c r="F3626" i="1"/>
  <c r="G3626" i="1"/>
  <c r="H3626" i="1"/>
  <c r="I3626" i="1"/>
  <c r="C3627" i="1"/>
  <c r="D3627" i="1"/>
  <c r="F3627" i="1"/>
  <c r="G3627" i="1"/>
  <c r="H3627" i="1"/>
  <c r="I3627" i="1"/>
  <c r="C3628" i="1"/>
  <c r="D3628" i="1"/>
  <c r="F3628" i="1"/>
  <c r="G3628" i="1"/>
  <c r="H3628" i="1"/>
  <c r="I3628" i="1"/>
  <c r="C3629" i="1"/>
  <c r="D3629" i="1"/>
  <c r="F3629" i="1"/>
  <c r="G3629" i="1"/>
  <c r="H3629" i="1"/>
  <c r="I3629" i="1"/>
  <c r="C3630" i="1"/>
  <c r="D3630" i="1"/>
  <c r="F3630" i="1"/>
  <c r="G3630" i="1"/>
  <c r="H3630" i="1"/>
  <c r="I3630" i="1"/>
  <c r="C3631" i="1"/>
  <c r="D3631" i="1"/>
  <c r="F3631" i="1"/>
  <c r="G3631" i="1"/>
  <c r="H3631" i="1"/>
  <c r="I3631" i="1"/>
  <c r="C3632" i="1"/>
  <c r="D3632" i="1"/>
  <c r="F3632" i="1"/>
  <c r="G3632" i="1"/>
  <c r="H3632" i="1"/>
  <c r="I3632" i="1"/>
  <c r="C3633" i="1"/>
  <c r="D3633" i="1"/>
  <c r="F3633" i="1"/>
  <c r="G3633" i="1"/>
  <c r="H3633" i="1"/>
  <c r="I3633" i="1"/>
  <c r="C3634" i="1"/>
  <c r="D3634" i="1"/>
  <c r="F3634" i="1"/>
  <c r="G3634" i="1"/>
  <c r="H3634" i="1"/>
  <c r="I3634" i="1"/>
  <c r="C3635" i="1"/>
  <c r="D3635" i="1"/>
  <c r="F3635" i="1"/>
  <c r="G3635" i="1"/>
  <c r="H3635" i="1"/>
  <c r="I3635" i="1"/>
  <c r="C3636" i="1"/>
  <c r="D3636" i="1"/>
  <c r="F3636" i="1"/>
  <c r="G3636" i="1"/>
  <c r="H3636" i="1"/>
  <c r="I3636" i="1"/>
  <c r="C3637" i="1"/>
  <c r="D3637" i="1"/>
  <c r="F3637" i="1"/>
  <c r="G3637" i="1"/>
  <c r="H3637" i="1"/>
  <c r="I3637" i="1"/>
  <c r="C3638" i="1"/>
  <c r="D3638" i="1"/>
  <c r="F3638" i="1"/>
  <c r="G3638" i="1"/>
  <c r="H3638" i="1"/>
  <c r="I3638" i="1"/>
  <c r="C3639" i="1"/>
  <c r="D3639" i="1"/>
  <c r="F3639" i="1"/>
  <c r="G3639" i="1"/>
  <c r="H3639" i="1"/>
  <c r="I3639" i="1"/>
  <c r="C3640" i="1"/>
  <c r="D3640" i="1"/>
  <c r="F3640" i="1"/>
  <c r="G3640" i="1"/>
  <c r="H3640" i="1"/>
  <c r="I3640" i="1"/>
  <c r="C3641" i="1"/>
  <c r="D3641" i="1"/>
  <c r="F3641" i="1"/>
  <c r="G3641" i="1"/>
  <c r="H3641" i="1"/>
  <c r="I3641" i="1"/>
  <c r="C3642" i="1"/>
  <c r="D3642" i="1"/>
  <c r="F3642" i="1"/>
  <c r="G3642" i="1"/>
  <c r="H3642" i="1"/>
  <c r="I3642" i="1"/>
  <c r="C3643" i="1"/>
  <c r="D3643" i="1"/>
  <c r="F3643" i="1"/>
  <c r="G3643" i="1"/>
  <c r="H3643" i="1"/>
  <c r="I3643" i="1"/>
  <c r="C3644" i="1"/>
  <c r="D3644" i="1"/>
  <c r="F3644" i="1"/>
  <c r="G3644" i="1"/>
  <c r="H3644" i="1"/>
  <c r="I3644" i="1"/>
  <c r="C3645" i="1"/>
  <c r="D3645" i="1"/>
  <c r="F3645" i="1"/>
  <c r="G3645" i="1"/>
  <c r="H3645" i="1"/>
  <c r="I3645" i="1"/>
  <c r="C3646" i="1"/>
  <c r="D3646" i="1"/>
  <c r="F3646" i="1"/>
  <c r="G3646" i="1"/>
  <c r="H3646" i="1"/>
  <c r="I3646" i="1"/>
  <c r="C3647" i="1"/>
  <c r="D3647" i="1"/>
  <c r="F3647" i="1"/>
  <c r="G3647" i="1"/>
  <c r="H3647" i="1"/>
  <c r="I3647" i="1"/>
  <c r="C3648" i="1"/>
  <c r="D3648" i="1"/>
  <c r="F3648" i="1"/>
  <c r="G3648" i="1"/>
  <c r="H3648" i="1"/>
  <c r="I3648" i="1"/>
  <c r="C3649" i="1"/>
  <c r="D3649" i="1"/>
  <c r="F3649" i="1"/>
  <c r="G3649" i="1"/>
  <c r="H3649" i="1"/>
  <c r="I3649" i="1"/>
  <c r="C3650" i="1"/>
  <c r="D3650" i="1"/>
  <c r="F3650" i="1"/>
  <c r="G3650" i="1"/>
  <c r="H3650" i="1"/>
  <c r="I3650" i="1"/>
  <c r="C3651" i="1"/>
  <c r="D3651" i="1"/>
  <c r="F3651" i="1"/>
  <c r="G3651" i="1"/>
  <c r="H3651" i="1"/>
  <c r="I3651" i="1"/>
  <c r="C3652" i="1"/>
  <c r="D3652" i="1"/>
  <c r="F3652" i="1"/>
  <c r="G3652" i="1"/>
  <c r="H3652" i="1"/>
  <c r="I3652" i="1"/>
  <c r="C3653" i="1"/>
  <c r="D3653" i="1"/>
  <c r="F3653" i="1"/>
  <c r="G3653" i="1"/>
  <c r="H3653" i="1"/>
  <c r="I3653" i="1"/>
  <c r="C3654" i="1"/>
  <c r="D3654" i="1"/>
  <c r="F3654" i="1"/>
  <c r="G3654" i="1"/>
  <c r="H3654" i="1"/>
  <c r="I3654" i="1"/>
  <c r="C3655" i="1"/>
  <c r="D3655" i="1"/>
  <c r="F3655" i="1"/>
  <c r="G3655" i="1"/>
  <c r="H3655" i="1"/>
  <c r="I3655" i="1"/>
  <c r="C3656" i="1"/>
  <c r="D3656" i="1"/>
  <c r="F3656" i="1"/>
  <c r="G3656" i="1"/>
  <c r="H3656" i="1"/>
  <c r="I3656" i="1"/>
  <c r="C3657" i="1"/>
  <c r="D3657" i="1"/>
  <c r="F3657" i="1"/>
  <c r="G3657" i="1"/>
  <c r="H3657" i="1"/>
  <c r="I3657" i="1"/>
  <c r="C3658" i="1"/>
  <c r="D3658" i="1"/>
  <c r="F3658" i="1"/>
  <c r="G3658" i="1"/>
  <c r="H3658" i="1"/>
  <c r="I3658" i="1"/>
  <c r="C3659" i="1"/>
  <c r="D3659" i="1"/>
  <c r="F3659" i="1"/>
  <c r="G3659" i="1"/>
  <c r="H3659" i="1"/>
  <c r="I3659" i="1"/>
  <c r="C3660" i="1"/>
  <c r="D3660" i="1"/>
  <c r="F3660" i="1"/>
  <c r="G3660" i="1"/>
  <c r="H3660" i="1"/>
  <c r="I3660" i="1"/>
  <c r="C3661" i="1"/>
  <c r="D3661" i="1"/>
  <c r="F3661" i="1"/>
  <c r="G3661" i="1"/>
  <c r="H3661" i="1"/>
  <c r="I3661" i="1"/>
  <c r="C3662" i="1"/>
  <c r="D3662" i="1"/>
  <c r="F3662" i="1"/>
  <c r="G3662" i="1"/>
  <c r="H3662" i="1"/>
  <c r="I3662" i="1"/>
  <c r="C3663" i="1"/>
  <c r="D3663" i="1"/>
  <c r="F3663" i="1"/>
  <c r="G3663" i="1"/>
  <c r="H3663" i="1"/>
  <c r="I3663" i="1"/>
  <c r="C3664" i="1"/>
  <c r="D3664" i="1"/>
  <c r="F3664" i="1"/>
  <c r="G3664" i="1"/>
  <c r="H3664" i="1"/>
  <c r="I3664" i="1"/>
  <c r="C3665" i="1"/>
  <c r="D3665" i="1"/>
  <c r="F3665" i="1"/>
  <c r="G3665" i="1"/>
  <c r="H3665" i="1"/>
  <c r="I3665" i="1"/>
  <c r="C3666" i="1"/>
  <c r="D3666" i="1"/>
  <c r="F3666" i="1"/>
  <c r="G3666" i="1"/>
  <c r="H3666" i="1"/>
  <c r="I3666" i="1"/>
  <c r="C3667" i="1"/>
  <c r="D3667" i="1"/>
  <c r="F3667" i="1"/>
  <c r="G3667" i="1"/>
  <c r="H3667" i="1"/>
  <c r="I3667" i="1"/>
  <c r="C3668" i="1"/>
  <c r="D3668" i="1"/>
  <c r="F3668" i="1"/>
  <c r="G3668" i="1"/>
  <c r="H3668" i="1"/>
  <c r="I3668" i="1"/>
  <c r="C3669" i="1"/>
  <c r="D3669" i="1"/>
  <c r="F3669" i="1"/>
  <c r="G3669" i="1"/>
  <c r="H3669" i="1"/>
  <c r="I3669" i="1"/>
  <c r="C3670" i="1"/>
  <c r="D3670" i="1"/>
  <c r="F3670" i="1"/>
  <c r="G3670" i="1"/>
  <c r="H3670" i="1"/>
  <c r="I3670" i="1"/>
  <c r="C3671" i="1"/>
  <c r="D3671" i="1"/>
  <c r="F3671" i="1"/>
  <c r="G3671" i="1"/>
  <c r="H3671" i="1"/>
  <c r="I3671" i="1"/>
  <c r="C3672" i="1"/>
  <c r="D3672" i="1"/>
  <c r="F3672" i="1"/>
  <c r="G3672" i="1"/>
  <c r="H3672" i="1"/>
  <c r="I3672" i="1"/>
  <c r="C3673" i="1"/>
  <c r="D3673" i="1"/>
  <c r="F3673" i="1"/>
  <c r="G3673" i="1"/>
  <c r="H3673" i="1"/>
  <c r="I3673" i="1"/>
  <c r="C3674" i="1"/>
  <c r="D3674" i="1"/>
  <c r="F3674" i="1"/>
  <c r="G3674" i="1"/>
  <c r="H3674" i="1"/>
  <c r="I3674" i="1"/>
  <c r="C3675" i="1"/>
  <c r="D3675" i="1"/>
  <c r="F3675" i="1"/>
  <c r="G3675" i="1"/>
  <c r="H3675" i="1"/>
  <c r="I3675" i="1"/>
  <c r="C3676" i="1"/>
  <c r="D3676" i="1"/>
  <c r="F3676" i="1"/>
  <c r="G3676" i="1"/>
  <c r="H3676" i="1"/>
  <c r="I3676" i="1"/>
  <c r="C3677" i="1"/>
  <c r="D3677" i="1"/>
  <c r="F3677" i="1"/>
  <c r="G3677" i="1"/>
  <c r="H3677" i="1"/>
  <c r="I3677" i="1"/>
  <c r="C3678" i="1"/>
  <c r="D3678" i="1"/>
  <c r="F3678" i="1"/>
  <c r="G3678" i="1"/>
  <c r="H3678" i="1"/>
  <c r="I3678" i="1"/>
  <c r="C3679" i="1"/>
  <c r="D3679" i="1"/>
  <c r="F3679" i="1"/>
  <c r="G3679" i="1"/>
  <c r="H3679" i="1"/>
  <c r="I3679" i="1"/>
  <c r="C3680" i="1"/>
  <c r="D3680" i="1"/>
  <c r="F3680" i="1"/>
  <c r="G3680" i="1"/>
  <c r="H3680" i="1"/>
  <c r="I3680" i="1"/>
  <c r="C3681" i="1"/>
  <c r="D3681" i="1"/>
  <c r="F3681" i="1"/>
  <c r="G3681" i="1"/>
  <c r="H3681" i="1"/>
  <c r="I3681" i="1"/>
  <c r="C3682" i="1"/>
  <c r="D3682" i="1"/>
  <c r="F3682" i="1"/>
  <c r="G3682" i="1"/>
  <c r="H3682" i="1"/>
  <c r="I3682" i="1"/>
  <c r="C3683" i="1"/>
  <c r="D3683" i="1"/>
  <c r="F3683" i="1"/>
  <c r="G3683" i="1"/>
  <c r="H3683" i="1"/>
  <c r="I3683" i="1"/>
  <c r="C3684" i="1"/>
  <c r="D3684" i="1"/>
  <c r="F3684" i="1"/>
  <c r="G3684" i="1"/>
  <c r="H3684" i="1"/>
  <c r="I3684" i="1"/>
  <c r="C3685" i="1"/>
  <c r="D3685" i="1"/>
  <c r="F3685" i="1"/>
  <c r="G3685" i="1"/>
  <c r="H3685" i="1"/>
  <c r="I3685" i="1"/>
  <c r="C3686" i="1"/>
  <c r="D3686" i="1"/>
  <c r="F3686" i="1"/>
  <c r="G3686" i="1"/>
  <c r="H3686" i="1"/>
  <c r="I3686" i="1"/>
  <c r="C3687" i="1"/>
  <c r="D3687" i="1"/>
  <c r="F3687" i="1"/>
  <c r="G3687" i="1"/>
  <c r="H3687" i="1"/>
  <c r="I3687" i="1"/>
  <c r="C3688" i="1"/>
  <c r="D3688" i="1"/>
  <c r="F3688" i="1"/>
  <c r="G3688" i="1"/>
  <c r="H3688" i="1"/>
  <c r="I3688" i="1"/>
  <c r="C3689" i="1"/>
  <c r="D3689" i="1"/>
  <c r="F3689" i="1"/>
  <c r="G3689" i="1"/>
  <c r="H3689" i="1"/>
  <c r="I3689" i="1"/>
  <c r="C3690" i="1"/>
  <c r="D3690" i="1"/>
  <c r="F3690" i="1"/>
  <c r="G3690" i="1"/>
  <c r="H3690" i="1"/>
  <c r="I3690" i="1"/>
  <c r="C3691" i="1"/>
  <c r="D3691" i="1"/>
  <c r="F3691" i="1"/>
  <c r="G3691" i="1"/>
  <c r="H3691" i="1"/>
  <c r="I3691" i="1"/>
  <c r="C3692" i="1"/>
  <c r="D3692" i="1"/>
  <c r="F3692" i="1"/>
  <c r="G3692" i="1"/>
  <c r="H3692" i="1"/>
  <c r="I3692" i="1"/>
  <c r="C3693" i="1"/>
  <c r="D3693" i="1"/>
  <c r="F3693" i="1"/>
  <c r="G3693" i="1"/>
  <c r="H3693" i="1"/>
  <c r="I3693" i="1"/>
  <c r="C3694" i="1"/>
  <c r="D3694" i="1"/>
  <c r="F3694" i="1"/>
  <c r="G3694" i="1"/>
  <c r="H3694" i="1"/>
  <c r="I3694" i="1"/>
  <c r="C3695" i="1"/>
  <c r="D3695" i="1"/>
  <c r="F3695" i="1"/>
  <c r="G3695" i="1"/>
  <c r="H3695" i="1"/>
  <c r="I3695" i="1"/>
  <c r="C3696" i="1"/>
  <c r="D3696" i="1"/>
  <c r="F3696" i="1"/>
  <c r="G3696" i="1"/>
  <c r="H3696" i="1"/>
  <c r="I3696" i="1"/>
  <c r="C3697" i="1"/>
  <c r="D3697" i="1"/>
  <c r="F3697" i="1"/>
  <c r="G3697" i="1"/>
  <c r="H3697" i="1"/>
  <c r="I3697" i="1"/>
  <c r="C3698" i="1"/>
  <c r="D3698" i="1"/>
  <c r="F3698" i="1"/>
  <c r="G3698" i="1"/>
  <c r="H3698" i="1"/>
  <c r="I3698" i="1"/>
  <c r="C3699" i="1"/>
  <c r="D3699" i="1"/>
  <c r="F3699" i="1"/>
  <c r="G3699" i="1"/>
  <c r="H3699" i="1"/>
  <c r="I3699" i="1"/>
  <c r="C3700" i="1"/>
  <c r="D3700" i="1"/>
  <c r="F3700" i="1"/>
  <c r="G3700" i="1"/>
  <c r="H3700" i="1"/>
  <c r="I3700" i="1"/>
  <c r="C3701" i="1"/>
  <c r="D3701" i="1"/>
  <c r="F3701" i="1"/>
  <c r="G3701" i="1"/>
  <c r="H3701" i="1"/>
  <c r="I3701" i="1"/>
  <c r="C3702" i="1"/>
  <c r="D3702" i="1"/>
  <c r="F3702" i="1"/>
  <c r="G3702" i="1"/>
  <c r="H3702" i="1"/>
  <c r="I3702" i="1"/>
  <c r="C3703" i="1"/>
  <c r="D3703" i="1"/>
  <c r="F3703" i="1"/>
  <c r="G3703" i="1"/>
  <c r="H3703" i="1"/>
  <c r="I3703" i="1"/>
  <c r="C3704" i="1"/>
  <c r="D3704" i="1"/>
  <c r="F3704" i="1"/>
  <c r="G3704" i="1"/>
  <c r="H3704" i="1"/>
  <c r="I3704" i="1"/>
  <c r="C3705" i="1"/>
  <c r="D3705" i="1"/>
  <c r="F3705" i="1"/>
  <c r="G3705" i="1"/>
  <c r="H3705" i="1"/>
  <c r="I3705" i="1"/>
  <c r="C3706" i="1"/>
  <c r="D3706" i="1"/>
  <c r="F3706" i="1"/>
  <c r="G3706" i="1"/>
  <c r="H3706" i="1"/>
  <c r="I3706" i="1"/>
  <c r="C3707" i="1"/>
  <c r="D3707" i="1"/>
  <c r="F3707" i="1"/>
  <c r="G3707" i="1"/>
  <c r="H3707" i="1"/>
  <c r="I3707" i="1"/>
  <c r="C3708" i="1"/>
  <c r="D3708" i="1"/>
  <c r="F3708" i="1"/>
  <c r="G3708" i="1"/>
  <c r="H3708" i="1"/>
  <c r="I3708" i="1"/>
  <c r="C3709" i="1"/>
  <c r="D3709" i="1"/>
  <c r="F3709" i="1"/>
  <c r="G3709" i="1"/>
  <c r="H3709" i="1"/>
  <c r="I3709" i="1"/>
  <c r="C3710" i="1"/>
  <c r="D3710" i="1"/>
  <c r="F3710" i="1"/>
  <c r="G3710" i="1"/>
  <c r="H3710" i="1"/>
  <c r="I3710" i="1"/>
  <c r="C3711" i="1"/>
  <c r="D3711" i="1"/>
  <c r="F3711" i="1"/>
  <c r="G3711" i="1"/>
  <c r="H3711" i="1"/>
  <c r="I3711" i="1"/>
  <c r="C3712" i="1"/>
  <c r="D3712" i="1"/>
  <c r="F3712" i="1"/>
  <c r="G3712" i="1"/>
  <c r="H3712" i="1"/>
  <c r="I3712" i="1"/>
  <c r="C3713" i="1"/>
  <c r="D3713" i="1"/>
  <c r="F3713" i="1"/>
  <c r="G3713" i="1"/>
  <c r="H3713" i="1"/>
  <c r="I3713" i="1"/>
  <c r="C3714" i="1"/>
  <c r="D3714" i="1"/>
  <c r="F3714" i="1"/>
  <c r="G3714" i="1"/>
  <c r="H3714" i="1"/>
  <c r="I3714" i="1"/>
  <c r="C3715" i="1"/>
  <c r="D3715" i="1"/>
  <c r="F3715" i="1"/>
  <c r="G3715" i="1"/>
  <c r="H3715" i="1"/>
  <c r="I3715" i="1"/>
  <c r="C3716" i="1"/>
  <c r="D3716" i="1"/>
  <c r="F3716" i="1"/>
  <c r="G3716" i="1"/>
  <c r="H3716" i="1"/>
  <c r="I3716" i="1"/>
  <c r="C3717" i="1"/>
  <c r="D3717" i="1"/>
  <c r="F3717" i="1"/>
  <c r="G3717" i="1"/>
  <c r="H3717" i="1"/>
  <c r="I3717" i="1"/>
  <c r="C3718" i="1"/>
  <c r="D3718" i="1"/>
  <c r="F3718" i="1"/>
  <c r="G3718" i="1"/>
  <c r="H3718" i="1"/>
  <c r="I3718" i="1"/>
  <c r="C3719" i="1"/>
  <c r="D3719" i="1"/>
  <c r="F3719" i="1"/>
  <c r="G3719" i="1"/>
  <c r="H3719" i="1"/>
  <c r="I3719" i="1"/>
  <c r="C3720" i="1"/>
  <c r="D3720" i="1"/>
  <c r="F3720" i="1"/>
  <c r="G3720" i="1"/>
  <c r="H3720" i="1"/>
  <c r="I3720" i="1"/>
  <c r="C3721" i="1"/>
  <c r="D3721" i="1"/>
  <c r="F3721" i="1"/>
  <c r="G3721" i="1"/>
  <c r="H3721" i="1"/>
  <c r="I3721" i="1"/>
  <c r="C3722" i="1"/>
  <c r="D3722" i="1"/>
  <c r="F3722" i="1"/>
  <c r="G3722" i="1"/>
  <c r="H3722" i="1"/>
  <c r="I3722" i="1"/>
  <c r="C3723" i="1"/>
  <c r="D3723" i="1"/>
  <c r="F3723" i="1"/>
  <c r="G3723" i="1"/>
  <c r="H3723" i="1"/>
  <c r="I3723" i="1"/>
  <c r="C3724" i="1"/>
  <c r="D3724" i="1"/>
  <c r="F3724" i="1"/>
  <c r="G3724" i="1"/>
  <c r="H3724" i="1"/>
  <c r="I3724" i="1"/>
  <c r="C3725" i="1"/>
  <c r="D3725" i="1"/>
  <c r="F3725" i="1"/>
  <c r="G3725" i="1"/>
  <c r="H3725" i="1"/>
  <c r="I3725" i="1"/>
  <c r="C3726" i="1"/>
  <c r="D3726" i="1"/>
  <c r="F3726" i="1"/>
  <c r="G3726" i="1"/>
  <c r="H3726" i="1"/>
  <c r="I3726" i="1"/>
  <c r="C3727" i="1"/>
  <c r="D3727" i="1"/>
  <c r="F3727" i="1"/>
  <c r="G3727" i="1"/>
  <c r="H3727" i="1"/>
  <c r="I3727" i="1"/>
  <c r="C3728" i="1"/>
  <c r="D3728" i="1"/>
  <c r="F3728" i="1"/>
  <c r="G3728" i="1"/>
  <c r="H3728" i="1"/>
  <c r="I3728" i="1"/>
  <c r="C3729" i="1"/>
  <c r="D3729" i="1"/>
  <c r="F3729" i="1"/>
  <c r="G3729" i="1"/>
  <c r="H3729" i="1"/>
  <c r="I3729" i="1"/>
  <c r="C3730" i="1"/>
  <c r="D3730" i="1"/>
  <c r="F3730" i="1"/>
  <c r="G3730" i="1"/>
  <c r="H3730" i="1"/>
  <c r="I3730" i="1"/>
  <c r="C3731" i="1"/>
  <c r="D3731" i="1"/>
  <c r="F3731" i="1"/>
  <c r="G3731" i="1"/>
  <c r="H3731" i="1"/>
  <c r="I3731" i="1"/>
  <c r="C3732" i="1"/>
  <c r="D3732" i="1"/>
  <c r="F3732" i="1"/>
  <c r="G3732" i="1"/>
  <c r="H3732" i="1"/>
  <c r="I3732" i="1"/>
  <c r="C3733" i="1"/>
  <c r="D3733" i="1"/>
  <c r="F3733" i="1"/>
  <c r="G3733" i="1"/>
  <c r="H3733" i="1"/>
  <c r="I3733" i="1"/>
  <c r="C3734" i="1"/>
  <c r="D3734" i="1"/>
  <c r="F3734" i="1"/>
  <c r="G3734" i="1"/>
  <c r="H3734" i="1"/>
  <c r="I3734" i="1"/>
  <c r="C3735" i="1"/>
  <c r="D3735" i="1"/>
  <c r="F3735" i="1"/>
  <c r="G3735" i="1"/>
  <c r="H3735" i="1"/>
  <c r="I3735" i="1"/>
  <c r="C3736" i="1"/>
  <c r="D3736" i="1"/>
  <c r="F3736" i="1"/>
  <c r="G3736" i="1"/>
  <c r="H3736" i="1"/>
  <c r="I3736" i="1"/>
  <c r="C3737" i="1"/>
  <c r="D3737" i="1"/>
  <c r="F3737" i="1"/>
  <c r="G3737" i="1"/>
  <c r="H3737" i="1"/>
  <c r="I3737" i="1"/>
  <c r="C3738" i="1"/>
  <c r="D3738" i="1"/>
  <c r="F3738" i="1"/>
  <c r="G3738" i="1"/>
  <c r="H3738" i="1"/>
  <c r="I3738" i="1"/>
  <c r="C3739" i="1"/>
  <c r="D3739" i="1"/>
  <c r="F3739" i="1"/>
  <c r="G3739" i="1"/>
  <c r="H3739" i="1"/>
  <c r="I3739" i="1"/>
  <c r="C3740" i="1"/>
  <c r="D3740" i="1"/>
  <c r="F3740" i="1"/>
  <c r="G3740" i="1"/>
  <c r="H3740" i="1"/>
  <c r="I3740" i="1"/>
  <c r="C3741" i="1"/>
  <c r="D3741" i="1"/>
  <c r="F3741" i="1"/>
  <c r="G3741" i="1"/>
  <c r="H3741" i="1"/>
  <c r="I3741" i="1"/>
  <c r="C3742" i="1"/>
  <c r="D3742" i="1"/>
  <c r="F3742" i="1"/>
  <c r="G3742" i="1"/>
  <c r="H3742" i="1"/>
  <c r="I3742" i="1"/>
  <c r="C3743" i="1"/>
  <c r="D3743" i="1"/>
  <c r="F3743" i="1"/>
  <c r="G3743" i="1"/>
  <c r="H3743" i="1"/>
  <c r="I3743" i="1"/>
  <c r="C3744" i="1"/>
  <c r="D3744" i="1"/>
  <c r="F3744" i="1"/>
  <c r="G3744" i="1"/>
  <c r="H3744" i="1"/>
  <c r="I3744" i="1"/>
  <c r="C3745" i="1"/>
  <c r="D3745" i="1"/>
  <c r="F3745" i="1"/>
  <c r="G3745" i="1"/>
  <c r="H3745" i="1"/>
  <c r="I3745" i="1"/>
  <c r="C3746" i="1"/>
  <c r="D3746" i="1"/>
  <c r="F3746" i="1"/>
  <c r="G3746" i="1"/>
  <c r="H3746" i="1"/>
  <c r="I3746" i="1"/>
  <c r="C3747" i="1"/>
  <c r="D3747" i="1"/>
  <c r="F3747" i="1"/>
  <c r="G3747" i="1"/>
  <c r="H3747" i="1"/>
  <c r="I3747" i="1"/>
  <c r="C3748" i="1"/>
  <c r="D3748" i="1"/>
  <c r="F3748" i="1"/>
  <c r="G3748" i="1"/>
  <c r="H3748" i="1"/>
  <c r="I3748" i="1"/>
  <c r="C3749" i="1"/>
  <c r="D3749" i="1"/>
  <c r="F3749" i="1"/>
  <c r="G3749" i="1"/>
  <c r="H3749" i="1"/>
  <c r="I3749" i="1"/>
  <c r="C3750" i="1"/>
  <c r="D3750" i="1"/>
  <c r="F3750" i="1"/>
  <c r="G3750" i="1"/>
  <c r="H3750" i="1"/>
  <c r="I3750" i="1"/>
  <c r="C3751" i="1"/>
  <c r="D3751" i="1"/>
  <c r="F3751" i="1"/>
  <c r="G3751" i="1"/>
  <c r="H3751" i="1"/>
  <c r="I3751" i="1"/>
  <c r="C3752" i="1"/>
  <c r="D3752" i="1"/>
  <c r="F3752" i="1"/>
  <c r="G3752" i="1"/>
  <c r="H3752" i="1"/>
  <c r="I3752" i="1"/>
  <c r="C3753" i="1"/>
  <c r="D3753" i="1"/>
  <c r="F3753" i="1"/>
  <c r="G3753" i="1"/>
  <c r="H3753" i="1"/>
  <c r="I3753" i="1"/>
  <c r="C3754" i="1"/>
  <c r="D3754" i="1"/>
  <c r="F3754" i="1"/>
  <c r="G3754" i="1"/>
  <c r="H3754" i="1"/>
  <c r="I3754" i="1"/>
  <c r="C3755" i="1"/>
  <c r="D3755" i="1"/>
  <c r="F3755" i="1"/>
  <c r="G3755" i="1"/>
  <c r="H3755" i="1"/>
  <c r="I3755" i="1"/>
  <c r="C3756" i="1"/>
  <c r="D3756" i="1"/>
  <c r="F3756" i="1"/>
  <c r="G3756" i="1"/>
  <c r="H3756" i="1"/>
  <c r="I3756" i="1"/>
  <c r="C3757" i="1"/>
  <c r="D3757" i="1"/>
  <c r="F3757" i="1"/>
  <c r="G3757" i="1"/>
  <c r="H3757" i="1"/>
  <c r="I3757" i="1"/>
  <c r="C3758" i="1"/>
  <c r="D3758" i="1"/>
  <c r="F3758" i="1"/>
  <c r="G3758" i="1"/>
  <c r="H3758" i="1"/>
  <c r="I3758" i="1"/>
  <c r="C3759" i="1"/>
  <c r="D3759" i="1"/>
  <c r="F3759" i="1"/>
  <c r="G3759" i="1"/>
  <c r="H3759" i="1"/>
  <c r="I3759" i="1"/>
  <c r="C3760" i="1"/>
  <c r="D3760" i="1"/>
  <c r="F3760" i="1"/>
  <c r="G3760" i="1"/>
  <c r="H3760" i="1"/>
  <c r="I3760" i="1"/>
  <c r="C3761" i="1"/>
  <c r="D3761" i="1"/>
  <c r="F3761" i="1"/>
  <c r="G3761" i="1"/>
  <c r="H3761" i="1"/>
  <c r="I3761" i="1"/>
  <c r="C3762" i="1"/>
  <c r="D3762" i="1"/>
  <c r="F3762" i="1"/>
  <c r="G3762" i="1"/>
  <c r="H3762" i="1"/>
  <c r="I3762" i="1"/>
  <c r="C3763" i="1"/>
  <c r="D3763" i="1"/>
  <c r="F3763" i="1"/>
  <c r="G3763" i="1"/>
  <c r="H3763" i="1"/>
  <c r="I3763" i="1"/>
  <c r="C3764" i="1"/>
  <c r="D3764" i="1"/>
  <c r="F3764" i="1"/>
  <c r="G3764" i="1"/>
  <c r="H3764" i="1"/>
  <c r="I3764" i="1"/>
  <c r="C3765" i="1"/>
  <c r="D3765" i="1"/>
  <c r="F3765" i="1"/>
  <c r="G3765" i="1"/>
  <c r="H3765" i="1"/>
  <c r="I3765" i="1"/>
  <c r="C3766" i="1"/>
  <c r="D3766" i="1"/>
  <c r="F3766" i="1"/>
  <c r="G3766" i="1"/>
  <c r="H3766" i="1"/>
  <c r="I3766" i="1"/>
  <c r="C3767" i="1"/>
  <c r="D3767" i="1"/>
  <c r="F3767" i="1"/>
  <c r="G3767" i="1"/>
  <c r="H3767" i="1"/>
  <c r="I3767" i="1"/>
  <c r="C3768" i="1"/>
  <c r="D3768" i="1"/>
  <c r="F3768" i="1"/>
  <c r="G3768" i="1"/>
  <c r="H3768" i="1"/>
  <c r="I3768" i="1"/>
  <c r="C3769" i="1"/>
  <c r="D3769" i="1"/>
  <c r="F3769" i="1"/>
  <c r="G3769" i="1"/>
  <c r="H3769" i="1"/>
  <c r="I3769" i="1"/>
  <c r="C3770" i="1"/>
  <c r="D3770" i="1"/>
  <c r="F3770" i="1"/>
  <c r="G3770" i="1"/>
  <c r="H3770" i="1"/>
  <c r="I3770" i="1"/>
  <c r="C3771" i="1"/>
  <c r="D3771" i="1"/>
  <c r="F3771" i="1"/>
  <c r="G3771" i="1"/>
  <c r="H3771" i="1"/>
  <c r="I3771" i="1"/>
  <c r="C3772" i="1"/>
  <c r="D3772" i="1"/>
  <c r="F3772" i="1"/>
  <c r="G3772" i="1"/>
  <c r="H3772" i="1"/>
  <c r="I3772" i="1"/>
  <c r="C3773" i="1"/>
  <c r="D3773" i="1"/>
  <c r="F3773" i="1"/>
  <c r="G3773" i="1"/>
  <c r="H3773" i="1"/>
  <c r="I3773" i="1"/>
  <c r="C3774" i="1"/>
  <c r="D3774" i="1"/>
  <c r="F3774" i="1"/>
  <c r="G3774" i="1"/>
  <c r="H3774" i="1"/>
  <c r="I3774" i="1"/>
  <c r="C3775" i="1"/>
  <c r="D3775" i="1"/>
  <c r="F3775" i="1"/>
  <c r="G3775" i="1"/>
  <c r="H3775" i="1"/>
  <c r="I3775" i="1"/>
  <c r="C3776" i="1"/>
  <c r="D3776" i="1"/>
  <c r="F3776" i="1"/>
  <c r="G3776" i="1"/>
  <c r="H3776" i="1"/>
  <c r="I3776" i="1"/>
  <c r="C3777" i="1"/>
  <c r="D3777" i="1"/>
  <c r="F3777" i="1"/>
  <c r="G3777" i="1"/>
  <c r="H3777" i="1"/>
  <c r="I3777" i="1"/>
  <c r="C3778" i="1"/>
  <c r="D3778" i="1"/>
  <c r="F3778" i="1"/>
  <c r="G3778" i="1"/>
  <c r="H3778" i="1"/>
  <c r="I3778" i="1"/>
  <c r="C3779" i="1"/>
  <c r="D3779" i="1"/>
  <c r="F3779" i="1"/>
  <c r="G3779" i="1"/>
  <c r="H3779" i="1"/>
  <c r="I3779" i="1"/>
  <c r="C3780" i="1"/>
  <c r="D3780" i="1"/>
  <c r="F3780" i="1"/>
  <c r="G3780" i="1"/>
  <c r="H3780" i="1"/>
  <c r="I3780" i="1"/>
  <c r="C3781" i="1"/>
  <c r="D3781" i="1"/>
  <c r="F3781" i="1"/>
  <c r="G3781" i="1"/>
  <c r="H3781" i="1"/>
  <c r="I3781" i="1"/>
  <c r="C3782" i="1"/>
  <c r="D3782" i="1"/>
  <c r="F3782" i="1"/>
  <c r="G3782" i="1"/>
  <c r="H3782" i="1"/>
  <c r="I3782" i="1"/>
  <c r="C3783" i="1"/>
  <c r="D3783" i="1"/>
  <c r="F3783" i="1"/>
  <c r="G3783" i="1"/>
  <c r="H3783" i="1"/>
  <c r="I3783" i="1"/>
  <c r="C3784" i="1"/>
  <c r="D3784" i="1"/>
  <c r="F3784" i="1"/>
  <c r="G3784" i="1"/>
  <c r="H3784" i="1"/>
  <c r="I3784" i="1"/>
  <c r="C3785" i="1"/>
  <c r="D3785" i="1"/>
  <c r="F3785" i="1"/>
  <c r="G3785" i="1"/>
  <c r="H3785" i="1"/>
  <c r="I3785" i="1"/>
  <c r="C3786" i="1"/>
  <c r="D3786" i="1"/>
  <c r="F3786" i="1"/>
  <c r="G3786" i="1"/>
  <c r="H3786" i="1"/>
  <c r="I3786" i="1"/>
  <c r="C3787" i="1"/>
  <c r="D3787" i="1"/>
  <c r="F3787" i="1"/>
  <c r="G3787" i="1"/>
  <c r="H3787" i="1"/>
  <c r="I3787" i="1"/>
  <c r="C3788" i="1"/>
  <c r="D3788" i="1"/>
  <c r="F3788" i="1"/>
  <c r="G3788" i="1"/>
  <c r="H3788" i="1"/>
  <c r="I3788" i="1"/>
  <c r="C3789" i="1"/>
  <c r="D3789" i="1"/>
  <c r="F3789" i="1"/>
  <c r="G3789" i="1"/>
  <c r="H3789" i="1"/>
  <c r="I3789" i="1"/>
  <c r="C3790" i="1"/>
  <c r="D3790" i="1"/>
  <c r="F3790" i="1"/>
  <c r="G3790" i="1"/>
  <c r="H3790" i="1"/>
  <c r="I3790" i="1"/>
  <c r="C3791" i="1"/>
  <c r="D3791" i="1"/>
  <c r="F3791" i="1"/>
  <c r="G3791" i="1"/>
  <c r="H3791" i="1"/>
  <c r="I3791" i="1"/>
  <c r="C3792" i="1"/>
  <c r="D3792" i="1"/>
  <c r="F3792" i="1"/>
  <c r="G3792" i="1"/>
  <c r="H3792" i="1"/>
  <c r="I3792" i="1"/>
  <c r="C3793" i="1"/>
  <c r="D3793" i="1"/>
  <c r="F3793" i="1"/>
  <c r="G3793" i="1"/>
  <c r="H3793" i="1"/>
  <c r="I3793" i="1"/>
  <c r="C3794" i="1"/>
  <c r="D3794" i="1"/>
  <c r="F3794" i="1"/>
  <c r="G3794" i="1"/>
  <c r="H3794" i="1"/>
  <c r="I3794" i="1"/>
  <c r="C3795" i="1"/>
  <c r="D3795" i="1"/>
  <c r="F3795" i="1"/>
  <c r="G3795" i="1"/>
  <c r="H3795" i="1"/>
  <c r="I3795" i="1"/>
  <c r="C3796" i="1"/>
  <c r="D3796" i="1"/>
  <c r="F3796" i="1"/>
  <c r="G3796" i="1"/>
  <c r="H3796" i="1"/>
  <c r="I3796" i="1"/>
  <c r="C3797" i="1"/>
  <c r="D3797" i="1"/>
  <c r="F3797" i="1"/>
  <c r="G3797" i="1"/>
  <c r="H3797" i="1"/>
  <c r="I3797" i="1"/>
  <c r="C3798" i="1"/>
  <c r="D3798" i="1"/>
  <c r="F3798" i="1"/>
  <c r="G3798" i="1"/>
  <c r="H3798" i="1"/>
  <c r="I3798" i="1"/>
  <c r="C3799" i="1"/>
  <c r="D3799" i="1"/>
  <c r="F3799" i="1"/>
  <c r="G3799" i="1"/>
  <c r="H3799" i="1"/>
  <c r="I3799" i="1"/>
  <c r="C3800" i="1"/>
  <c r="D3800" i="1"/>
  <c r="F3800" i="1"/>
  <c r="G3800" i="1"/>
  <c r="H3800" i="1"/>
  <c r="I3800" i="1"/>
  <c r="C3801" i="1"/>
  <c r="D3801" i="1"/>
  <c r="F3801" i="1"/>
  <c r="G3801" i="1"/>
  <c r="H3801" i="1"/>
  <c r="I3801" i="1"/>
  <c r="C3802" i="1"/>
  <c r="D3802" i="1"/>
  <c r="F3802" i="1"/>
  <c r="G3802" i="1"/>
  <c r="H3802" i="1"/>
  <c r="I3802" i="1"/>
  <c r="C3803" i="1"/>
  <c r="D3803" i="1"/>
  <c r="F3803" i="1"/>
  <c r="G3803" i="1"/>
  <c r="H3803" i="1"/>
  <c r="I3803" i="1"/>
  <c r="C3804" i="1"/>
  <c r="D3804" i="1"/>
  <c r="F3804" i="1"/>
  <c r="G3804" i="1"/>
  <c r="H3804" i="1"/>
  <c r="I3804" i="1"/>
  <c r="C3805" i="1"/>
  <c r="D3805" i="1"/>
  <c r="F3805" i="1"/>
  <c r="G3805" i="1"/>
  <c r="H3805" i="1"/>
  <c r="I3805" i="1"/>
  <c r="C3806" i="1"/>
  <c r="D3806" i="1"/>
  <c r="F3806" i="1"/>
  <c r="G3806" i="1"/>
  <c r="H3806" i="1"/>
  <c r="I3806" i="1"/>
  <c r="C3807" i="1"/>
  <c r="D3807" i="1"/>
  <c r="F3807" i="1"/>
  <c r="G3807" i="1"/>
  <c r="H3807" i="1"/>
  <c r="I3807" i="1"/>
  <c r="C3808" i="1"/>
  <c r="D3808" i="1"/>
  <c r="F3808" i="1"/>
  <c r="G3808" i="1"/>
  <c r="H3808" i="1"/>
  <c r="I3808" i="1"/>
  <c r="C3809" i="1"/>
  <c r="D3809" i="1"/>
  <c r="F3809" i="1"/>
  <c r="G3809" i="1"/>
  <c r="H3809" i="1"/>
  <c r="I3809" i="1"/>
  <c r="C3810" i="1"/>
  <c r="D3810" i="1"/>
  <c r="F3810" i="1"/>
  <c r="G3810" i="1"/>
  <c r="H3810" i="1"/>
  <c r="I3810" i="1"/>
  <c r="C3811" i="1"/>
  <c r="D3811" i="1"/>
  <c r="F3811" i="1"/>
  <c r="G3811" i="1"/>
  <c r="H3811" i="1"/>
  <c r="I3811" i="1"/>
  <c r="C3812" i="1"/>
  <c r="D3812" i="1"/>
  <c r="F3812" i="1"/>
  <c r="G3812" i="1"/>
  <c r="H3812" i="1"/>
  <c r="I3812" i="1"/>
  <c r="C3813" i="1"/>
  <c r="D3813" i="1"/>
  <c r="F3813" i="1"/>
  <c r="G3813" i="1"/>
  <c r="H3813" i="1"/>
  <c r="I3813" i="1"/>
  <c r="C3814" i="1"/>
  <c r="D3814" i="1"/>
  <c r="F3814" i="1"/>
  <c r="G3814" i="1"/>
  <c r="H3814" i="1"/>
  <c r="I3814" i="1"/>
  <c r="C3815" i="1"/>
  <c r="D3815" i="1"/>
  <c r="F3815" i="1"/>
  <c r="G3815" i="1"/>
  <c r="H3815" i="1"/>
  <c r="I3815" i="1"/>
  <c r="C3816" i="1"/>
  <c r="D3816" i="1"/>
  <c r="F3816" i="1"/>
  <c r="G3816" i="1"/>
  <c r="H3816" i="1"/>
  <c r="I3816" i="1"/>
  <c r="C3817" i="1"/>
  <c r="D3817" i="1"/>
  <c r="F3817" i="1"/>
  <c r="G3817" i="1"/>
  <c r="H3817" i="1"/>
  <c r="I3817" i="1"/>
  <c r="C3818" i="1"/>
  <c r="D3818" i="1"/>
  <c r="F3818" i="1"/>
  <c r="G3818" i="1"/>
  <c r="H3818" i="1"/>
  <c r="I3818" i="1"/>
  <c r="C3819" i="1"/>
  <c r="D3819" i="1"/>
  <c r="F3819" i="1"/>
  <c r="G3819" i="1"/>
  <c r="H3819" i="1"/>
  <c r="I3819" i="1"/>
  <c r="C3820" i="1"/>
  <c r="D3820" i="1"/>
  <c r="F3820" i="1"/>
  <c r="G3820" i="1"/>
  <c r="H3820" i="1"/>
  <c r="I3820" i="1"/>
  <c r="C3821" i="1"/>
  <c r="D3821" i="1"/>
  <c r="F3821" i="1"/>
  <c r="G3821" i="1"/>
  <c r="H3821" i="1"/>
  <c r="I3821" i="1"/>
  <c r="C3822" i="1"/>
  <c r="D3822" i="1"/>
  <c r="F3822" i="1"/>
  <c r="G3822" i="1"/>
  <c r="H3822" i="1"/>
  <c r="I3822" i="1"/>
  <c r="C3823" i="1"/>
  <c r="D3823" i="1"/>
  <c r="F3823" i="1"/>
  <c r="G3823" i="1"/>
  <c r="H3823" i="1"/>
  <c r="I3823" i="1"/>
  <c r="C3824" i="1"/>
  <c r="D3824" i="1"/>
  <c r="F3824" i="1"/>
  <c r="G3824" i="1"/>
  <c r="H3824" i="1"/>
  <c r="I3824" i="1"/>
  <c r="C3825" i="1"/>
  <c r="D3825" i="1"/>
  <c r="F3825" i="1"/>
  <c r="G3825" i="1"/>
  <c r="H3825" i="1"/>
  <c r="I3825" i="1"/>
  <c r="C3826" i="1"/>
  <c r="D3826" i="1"/>
  <c r="F3826" i="1"/>
  <c r="G3826" i="1"/>
  <c r="H3826" i="1"/>
  <c r="I3826" i="1"/>
  <c r="C3827" i="1"/>
  <c r="D3827" i="1"/>
  <c r="F3827" i="1"/>
  <c r="G3827" i="1"/>
  <c r="H3827" i="1"/>
  <c r="I3827" i="1"/>
  <c r="C3828" i="1"/>
  <c r="D3828" i="1"/>
  <c r="F3828" i="1"/>
  <c r="G3828" i="1"/>
  <c r="H3828" i="1"/>
  <c r="I3828" i="1"/>
  <c r="C3829" i="1"/>
  <c r="D3829" i="1"/>
  <c r="F3829" i="1"/>
  <c r="G3829" i="1"/>
  <c r="H3829" i="1"/>
  <c r="I3829" i="1"/>
  <c r="C3830" i="1"/>
  <c r="D3830" i="1"/>
  <c r="F3830" i="1"/>
  <c r="G3830" i="1"/>
  <c r="H3830" i="1"/>
  <c r="I3830" i="1"/>
  <c r="C3831" i="1"/>
  <c r="D3831" i="1"/>
  <c r="F3831" i="1"/>
  <c r="G3831" i="1"/>
  <c r="H3831" i="1"/>
  <c r="I3831" i="1"/>
  <c r="C3832" i="1"/>
  <c r="D3832" i="1"/>
  <c r="F3832" i="1"/>
  <c r="G3832" i="1"/>
  <c r="H3832" i="1"/>
  <c r="I3832" i="1"/>
  <c r="C3833" i="1"/>
  <c r="D3833" i="1"/>
  <c r="F3833" i="1"/>
  <c r="G3833" i="1"/>
  <c r="H3833" i="1"/>
  <c r="I3833" i="1"/>
  <c r="C3834" i="1"/>
  <c r="D3834" i="1"/>
  <c r="F3834" i="1"/>
  <c r="G3834" i="1"/>
  <c r="H3834" i="1"/>
  <c r="I3834" i="1"/>
  <c r="C3835" i="1"/>
  <c r="D3835" i="1"/>
  <c r="F3835" i="1"/>
  <c r="G3835" i="1"/>
  <c r="H3835" i="1"/>
  <c r="I3835" i="1"/>
  <c r="C3836" i="1"/>
  <c r="D3836" i="1"/>
  <c r="F3836" i="1"/>
  <c r="G3836" i="1"/>
  <c r="H3836" i="1"/>
  <c r="I3836" i="1"/>
  <c r="C3837" i="1"/>
  <c r="D3837" i="1"/>
  <c r="F3837" i="1"/>
  <c r="G3837" i="1"/>
  <c r="H3837" i="1"/>
  <c r="I3837" i="1"/>
  <c r="C3838" i="1"/>
  <c r="D3838" i="1"/>
  <c r="F3838" i="1"/>
  <c r="G3838" i="1"/>
  <c r="H3838" i="1"/>
  <c r="I3838" i="1"/>
  <c r="C3839" i="1"/>
  <c r="D3839" i="1"/>
  <c r="F3839" i="1"/>
  <c r="G3839" i="1"/>
  <c r="H3839" i="1"/>
  <c r="I3839" i="1"/>
  <c r="C3840" i="1"/>
  <c r="D3840" i="1"/>
  <c r="F3840" i="1"/>
  <c r="G3840" i="1"/>
  <c r="H3840" i="1"/>
  <c r="I3840" i="1"/>
  <c r="C3841" i="1"/>
  <c r="D3841" i="1"/>
  <c r="F3841" i="1"/>
  <c r="G3841" i="1"/>
  <c r="H3841" i="1"/>
  <c r="I3841" i="1"/>
  <c r="C3842" i="1"/>
  <c r="D3842" i="1"/>
  <c r="F3842" i="1"/>
  <c r="G3842" i="1"/>
  <c r="H3842" i="1"/>
  <c r="I3842" i="1"/>
  <c r="C3843" i="1"/>
  <c r="D3843" i="1"/>
  <c r="F3843" i="1"/>
  <c r="G3843" i="1"/>
  <c r="H3843" i="1"/>
  <c r="I3843" i="1"/>
  <c r="C3844" i="1"/>
  <c r="D3844" i="1"/>
  <c r="F3844" i="1"/>
  <c r="G3844" i="1"/>
  <c r="H3844" i="1"/>
  <c r="I3844" i="1"/>
  <c r="C3845" i="1"/>
  <c r="D3845" i="1"/>
  <c r="F3845" i="1"/>
  <c r="G3845" i="1"/>
  <c r="H3845" i="1"/>
  <c r="I3845" i="1"/>
  <c r="C3846" i="1"/>
  <c r="D3846" i="1"/>
  <c r="F3846" i="1"/>
  <c r="G3846" i="1"/>
  <c r="H3846" i="1"/>
  <c r="I3846" i="1"/>
  <c r="C3847" i="1"/>
  <c r="D3847" i="1"/>
  <c r="F3847" i="1"/>
  <c r="G3847" i="1"/>
  <c r="H3847" i="1"/>
  <c r="I3847" i="1"/>
  <c r="C3848" i="1"/>
  <c r="D3848" i="1"/>
  <c r="F3848" i="1"/>
  <c r="G3848" i="1"/>
  <c r="H3848" i="1"/>
  <c r="I3848" i="1"/>
  <c r="C3849" i="1"/>
  <c r="D3849" i="1"/>
  <c r="F3849" i="1"/>
  <c r="G3849" i="1"/>
  <c r="H3849" i="1"/>
  <c r="I3849" i="1"/>
  <c r="C3850" i="1"/>
  <c r="D3850" i="1"/>
  <c r="F3850" i="1"/>
  <c r="G3850" i="1"/>
  <c r="H3850" i="1"/>
  <c r="I3850" i="1"/>
  <c r="C3851" i="1"/>
  <c r="D3851" i="1"/>
  <c r="F3851" i="1"/>
  <c r="G3851" i="1"/>
  <c r="H3851" i="1"/>
  <c r="I3851" i="1"/>
  <c r="C3852" i="1"/>
  <c r="D3852" i="1"/>
  <c r="F3852" i="1"/>
  <c r="G3852" i="1"/>
  <c r="H3852" i="1"/>
  <c r="I3852" i="1"/>
  <c r="C3853" i="1"/>
  <c r="D3853" i="1"/>
  <c r="F3853" i="1"/>
  <c r="G3853" i="1"/>
  <c r="H3853" i="1"/>
  <c r="I3853" i="1"/>
  <c r="C3854" i="1"/>
  <c r="D3854" i="1"/>
  <c r="F3854" i="1"/>
  <c r="G3854" i="1"/>
  <c r="H3854" i="1"/>
  <c r="I3854" i="1"/>
  <c r="C3855" i="1"/>
  <c r="D3855" i="1"/>
  <c r="F3855" i="1"/>
  <c r="G3855" i="1"/>
  <c r="H3855" i="1"/>
  <c r="I3855" i="1"/>
  <c r="C3856" i="1"/>
  <c r="D3856" i="1"/>
  <c r="F3856" i="1"/>
  <c r="G3856" i="1"/>
  <c r="H3856" i="1"/>
  <c r="I3856" i="1"/>
  <c r="C3857" i="1"/>
  <c r="D3857" i="1"/>
  <c r="F3857" i="1"/>
  <c r="G3857" i="1"/>
  <c r="H3857" i="1"/>
  <c r="I3857" i="1"/>
  <c r="C3858" i="1"/>
  <c r="D3858" i="1"/>
  <c r="F3858" i="1"/>
  <c r="G3858" i="1"/>
  <c r="H3858" i="1"/>
  <c r="I3858" i="1"/>
  <c r="C3859" i="1"/>
  <c r="D3859" i="1"/>
  <c r="F3859" i="1"/>
  <c r="G3859" i="1"/>
  <c r="H3859" i="1"/>
  <c r="I3859" i="1"/>
  <c r="C3860" i="1"/>
  <c r="D3860" i="1"/>
  <c r="F3860" i="1"/>
  <c r="G3860" i="1"/>
  <c r="H3860" i="1"/>
  <c r="I3860" i="1"/>
  <c r="C3861" i="1"/>
  <c r="D3861" i="1"/>
  <c r="F3861" i="1"/>
  <c r="G3861" i="1"/>
  <c r="H3861" i="1"/>
  <c r="I3861" i="1"/>
  <c r="C3862" i="1"/>
  <c r="D3862" i="1"/>
  <c r="F3862" i="1"/>
  <c r="G3862" i="1"/>
  <c r="H3862" i="1"/>
  <c r="I3862" i="1"/>
  <c r="C3863" i="1"/>
  <c r="D3863" i="1"/>
  <c r="F3863" i="1"/>
  <c r="G3863" i="1"/>
  <c r="H3863" i="1"/>
  <c r="I3863" i="1"/>
  <c r="C3864" i="1"/>
  <c r="D3864" i="1"/>
  <c r="F3864" i="1"/>
  <c r="G3864" i="1"/>
  <c r="H3864" i="1"/>
  <c r="I3864" i="1"/>
  <c r="C3865" i="1"/>
  <c r="D3865" i="1"/>
  <c r="F3865" i="1"/>
  <c r="G3865" i="1"/>
  <c r="H3865" i="1"/>
  <c r="I3865" i="1"/>
  <c r="C3866" i="1"/>
  <c r="D3866" i="1"/>
  <c r="F3866" i="1"/>
  <c r="G3866" i="1"/>
  <c r="H3866" i="1"/>
  <c r="I3866" i="1"/>
  <c r="C3867" i="1"/>
  <c r="D3867" i="1"/>
  <c r="F3867" i="1"/>
  <c r="G3867" i="1"/>
  <c r="H3867" i="1"/>
  <c r="I3867" i="1"/>
  <c r="C3868" i="1"/>
  <c r="D3868" i="1"/>
  <c r="F3868" i="1"/>
  <c r="G3868" i="1"/>
  <c r="H3868" i="1"/>
  <c r="I3868" i="1"/>
  <c r="C3869" i="1"/>
  <c r="D3869" i="1"/>
  <c r="F3869" i="1"/>
  <c r="G3869" i="1"/>
  <c r="H3869" i="1"/>
  <c r="I3869" i="1"/>
  <c r="C3870" i="1"/>
  <c r="D3870" i="1"/>
  <c r="F3870" i="1"/>
  <c r="G3870" i="1"/>
  <c r="H3870" i="1"/>
  <c r="I3870" i="1"/>
  <c r="C3871" i="1"/>
  <c r="D3871" i="1"/>
  <c r="F3871" i="1"/>
  <c r="G3871" i="1"/>
  <c r="H3871" i="1"/>
  <c r="I3871" i="1"/>
  <c r="C3872" i="1"/>
  <c r="D3872" i="1"/>
  <c r="F3872" i="1"/>
  <c r="G3872" i="1"/>
  <c r="H3872" i="1"/>
  <c r="I3872" i="1"/>
  <c r="C3873" i="1"/>
  <c r="D3873" i="1"/>
  <c r="F3873" i="1"/>
  <c r="G3873" i="1"/>
  <c r="H3873" i="1"/>
  <c r="I3873" i="1"/>
  <c r="C3874" i="1"/>
  <c r="D3874" i="1"/>
  <c r="F3874" i="1"/>
  <c r="G3874" i="1"/>
  <c r="H3874" i="1"/>
  <c r="I3874" i="1"/>
  <c r="C3875" i="1"/>
  <c r="D3875" i="1"/>
  <c r="F3875" i="1"/>
  <c r="G3875" i="1"/>
  <c r="H3875" i="1"/>
  <c r="I3875" i="1"/>
  <c r="C3876" i="1"/>
  <c r="D3876" i="1"/>
  <c r="F3876" i="1"/>
  <c r="G3876" i="1"/>
  <c r="H3876" i="1"/>
  <c r="I3876" i="1"/>
  <c r="C3877" i="1"/>
  <c r="D3877" i="1"/>
  <c r="F3877" i="1"/>
  <c r="G3877" i="1"/>
  <c r="H3877" i="1"/>
  <c r="I3877" i="1"/>
  <c r="C3878" i="1"/>
  <c r="D3878" i="1"/>
  <c r="F3878" i="1"/>
  <c r="G3878" i="1"/>
  <c r="H3878" i="1"/>
  <c r="I3878" i="1"/>
  <c r="C3879" i="1"/>
  <c r="D3879" i="1"/>
  <c r="F3879" i="1"/>
  <c r="G3879" i="1"/>
  <c r="H3879" i="1"/>
  <c r="I3879" i="1"/>
  <c r="C3880" i="1"/>
  <c r="D3880" i="1"/>
  <c r="F3880" i="1"/>
  <c r="G3880" i="1"/>
  <c r="H3880" i="1"/>
  <c r="I3880" i="1"/>
  <c r="C3881" i="1"/>
  <c r="D3881" i="1"/>
  <c r="F3881" i="1"/>
  <c r="G3881" i="1"/>
  <c r="H3881" i="1"/>
  <c r="I3881" i="1"/>
  <c r="C3882" i="1"/>
  <c r="D3882" i="1"/>
  <c r="F3882" i="1"/>
  <c r="G3882" i="1"/>
  <c r="H3882" i="1"/>
  <c r="I3882" i="1"/>
  <c r="C3883" i="1"/>
  <c r="D3883" i="1"/>
  <c r="F3883" i="1"/>
  <c r="G3883" i="1"/>
  <c r="H3883" i="1"/>
  <c r="I3883" i="1"/>
  <c r="C3884" i="1"/>
  <c r="D3884" i="1"/>
  <c r="F3884" i="1"/>
  <c r="G3884" i="1"/>
  <c r="H3884" i="1"/>
  <c r="I3884" i="1"/>
  <c r="C3885" i="1"/>
  <c r="D3885" i="1"/>
  <c r="F3885" i="1"/>
  <c r="G3885" i="1"/>
  <c r="H3885" i="1"/>
  <c r="I3885" i="1"/>
  <c r="C3886" i="1"/>
  <c r="D3886" i="1"/>
  <c r="F3886" i="1"/>
  <c r="G3886" i="1"/>
  <c r="H3886" i="1"/>
  <c r="I3886" i="1"/>
  <c r="C3887" i="1"/>
  <c r="D3887" i="1"/>
  <c r="F3887" i="1"/>
  <c r="G3887" i="1"/>
  <c r="H3887" i="1"/>
  <c r="I3887" i="1"/>
  <c r="C3888" i="1"/>
  <c r="D3888" i="1"/>
  <c r="F3888" i="1"/>
  <c r="G3888" i="1"/>
  <c r="H3888" i="1"/>
  <c r="I3888" i="1"/>
  <c r="C3889" i="1"/>
  <c r="D3889" i="1"/>
  <c r="F3889" i="1"/>
  <c r="G3889" i="1"/>
  <c r="H3889" i="1"/>
  <c r="I3889" i="1"/>
  <c r="C3890" i="1"/>
  <c r="D3890" i="1"/>
  <c r="F3890" i="1"/>
  <c r="G3890" i="1"/>
  <c r="H3890" i="1"/>
  <c r="I3890" i="1"/>
  <c r="C3891" i="1"/>
  <c r="D3891" i="1"/>
  <c r="F3891" i="1"/>
  <c r="G3891" i="1"/>
  <c r="H3891" i="1"/>
  <c r="I3891" i="1"/>
  <c r="C3892" i="1"/>
  <c r="D3892" i="1"/>
  <c r="F3892" i="1"/>
  <c r="G3892" i="1"/>
  <c r="H3892" i="1"/>
  <c r="I3892" i="1"/>
  <c r="C3893" i="1"/>
  <c r="D3893" i="1"/>
  <c r="F3893" i="1"/>
  <c r="G3893" i="1"/>
  <c r="H3893" i="1"/>
  <c r="I3893" i="1"/>
  <c r="C3894" i="1"/>
  <c r="D3894" i="1"/>
  <c r="F3894" i="1"/>
  <c r="G3894" i="1"/>
  <c r="H3894" i="1"/>
  <c r="I3894" i="1"/>
  <c r="C3895" i="1"/>
  <c r="D3895" i="1"/>
  <c r="F3895" i="1"/>
  <c r="G3895" i="1"/>
  <c r="H3895" i="1"/>
  <c r="I3895" i="1"/>
  <c r="C3896" i="1"/>
  <c r="D3896" i="1"/>
  <c r="F3896" i="1"/>
  <c r="G3896" i="1"/>
  <c r="H3896" i="1"/>
  <c r="I3896" i="1"/>
  <c r="C3897" i="1"/>
  <c r="D3897" i="1"/>
  <c r="F3897" i="1"/>
  <c r="G3897" i="1"/>
  <c r="H3897" i="1"/>
  <c r="I3897" i="1"/>
  <c r="C3898" i="1"/>
  <c r="D3898" i="1"/>
  <c r="F3898" i="1"/>
  <c r="G3898" i="1"/>
  <c r="H3898" i="1"/>
  <c r="I3898" i="1"/>
  <c r="C3899" i="1"/>
  <c r="D3899" i="1"/>
  <c r="F3899" i="1"/>
  <c r="G3899" i="1"/>
  <c r="H3899" i="1"/>
  <c r="I3899" i="1"/>
  <c r="C3900" i="1"/>
  <c r="D3900" i="1"/>
  <c r="F3900" i="1"/>
  <c r="G3900" i="1"/>
  <c r="H3900" i="1"/>
  <c r="I3900" i="1"/>
  <c r="C3901" i="1"/>
  <c r="D3901" i="1"/>
  <c r="F3901" i="1"/>
  <c r="G3901" i="1"/>
  <c r="H3901" i="1"/>
  <c r="I3901" i="1"/>
  <c r="C3902" i="1"/>
  <c r="D3902" i="1"/>
  <c r="F3902" i="1"/>
  <c r="G3902" i="1"/>
  <c r="H3902" i="1"/>
  <c r="I3902" i="1"/>
  <c r="C3903" i="1"/>
  <c r="D3903" i="1"/>
  <c r="F3903" i="1"/>
  <c r="G3903" i="1"/>
  <c r="H3903" i="1"/>
  <c r="I3903" i="1"/>
  <c r="C3904" i="1"/>
  <c r="D3904" i="1"/>
  <c r="F3904" i="1"/>
  <c r="G3904" i="1"/>
  <c r="H3904" i="1"/>
  <c r="I3904" i="1"/>
  <c r="C3905" i="1"/>
  <c r="D3905" i="1"/>
  <c r="F3905" i="1"/>
  <c r="G3905" i="1"/>
  <c r="H3905" i="1"/>
  <c r="I3905" i="1"/>
  <c r="C3906" i="1"/>
  <c r="D3906" i="1"/>
  <c r="F3906" i="1"/>
  <c r="G3906" i="1"/>
  <c r="H3906" i="1"/>
  <c r="I3906" i="1"/>
  <c r="C3907" i="1"/>
  <c r="D3907" i="1"/>
  <c r="F3907" i="1"/>
  <c r="G3907" i="1"/>
  <c r="H3907" i="1"/>
  <c r="I3907" i="1"/>
  <c r="C3908" i="1"/>
  <c r="D3908" i="1"/>
  <c r="F3908" i="1"/>
  <c r="G3908" i="1"/>
  <c r="H3908" i="1"/>
  <c r="I3908" i="1"/>
  <c r="C3909" i="1"/>
  <c r="D3909" i="1"/>
  <c r="F3909" i="1"/>
  <c r="G3909" i="1"/>
  <c r="H3909" i="1"/>
  <c r="I3909" i="1"/>
  <c r="C3910" i="1"/>
  <c r="D3910" i="1"/>
  <c r="F3910" i="1"/>
  <c r="G3910" i="1"/>
  <c r="H3910" i="1"/>
  <c r="I3910" i="1"/>
  <c r="C3911" i="1"/>
  <c r="D3911" i="1"/>
  <c r="F3911" i="1"/>
  <c r="G3911" i="1"/>
  <c r="H3911" i="1"/>
  <c r="I3911" i="1"/>
  <c r="C3912" i="1"/>
  <c r="D3912" i="1"/>
  <c r="F3912" i="1"/>
  <c r="G3912" i="1"/>
  <c r="H3912" i="1"/>
  <c r="I3912" i="1"/>
  <c r="C3913" i="1"/>
  <c r="D3913" i="1"/>
  <c r="F3913" i="1"/>
  <c r="G3913" i="1"/>
  <c r="H3913" i="1"/>
  <c r="I3913" i="1"/>
  <c r="C3914" i="1"/>
  <c r="D3914" i="1"/>
  <c r="F3914" i="1"/>
  <c r="G3914" i="1"/>
  <c r="H3914" i="1"/>
  <c r="I3914" i="1"/>
  <c r="C3915" i="1"/>
  <c r="D3915" i="1"/>
  <c r="F3915" i="1"/>
  <c r="G3915" i="1"/>
  <c r="H3915" i="1"/>
  <c r="I3915" i="1"/>
  <c r="C3916" i="1"/>
  <c r="D3916" i="1"/>
  <c r="F3916" i="1"/>
  <c r="G3916" i="1"/>
  <c r="H3916" i="1"/>
  <c r="I3916" i="1"/>
  <c r="C3917" i="1"/>
  <c r="D3917" i="1"/>
  <c r="F3917" i="1"/>
  <c r="G3917" i="1"/>
  <c r="H3917" i="1"/>
  <c r="I3917" i="1"/>
  <c r="C3918" i="1"/>
  <c r="D3918" i="1"/>
  <c r="F3918" i="1"/>
  <c r="G3918" i="1"/>
  <c r="H3918" i="1"/>
  <c r="I3918" i="1"/>
  <c r="C3919" i="1"/>
  <c r="D3919" i="1"/>
  <c r="F3919" i="1"/>
  <c r="G3919" i="1"/>
  <c r="H3919" i="1"/>
  <c r="I3919" i="1"/>
  <c r="C3920" i="1"/>
  <c r="D3920" i="1"/>
  <c r="F3920" i="1"/>
  <c r="G3920" i="1"/>
  <c r="H3920" i="1"/>
  <c r="I3920" i="1"/>
  <c r="C3921" i="1"/>
  <c r="D3921" i="1"/>
  <c r="F3921" i="1"/>
  <c r="G3921" i="1"/>
  <c r="H3921" i="1"/>
  <c r="I3921" i="1"/>
  <c r="C3922" i="1"/>
  <c r="D3922" i="1"/>
  <c r="F3922" i="1"/>
  <c r="G3922" i="1"/>
  <c r="H3922" i="1"/>
  <c r="I3922" i="1"/>
  <c r="C3923" i="1"/>
  <c r="D3923" i="1"/>
  <c r="F3923" i="1"/>
  <c r="G3923" i="1"/>
  <c r="H3923" i="1"/>
  <c r="I3923" i="1"/>
  <c r="C3924" i="1"/>
  <c r="D3924" i="1"/>
  <c r="F3924" i="1"/>
  <c r="G3924" i="1"/>
  <c r="H3924" i="1"/>
  <c r="I3924" i="1"/>
  <c r="C3925" i="1"/>
  <c r="D3925" i="1"/>
  <c r="F3925" i="1"/>
  <c r="G3925" i="1"/>
  <c r="H3925" i="1"/>
  <c r="I3925" i="1"/>
  <c r="C3926" i="1"/>
  <c r="D3926" i="1"/>
  <c r="F3926" i="1"/>
  <c r="G3926" i="1"/>
  <c r="H3926" i="1"/>
  <c r="I3926" i="1"/>
  <c r="C3927" i="1"/>
  <c r="D3927" i="1"/>
  <c r="F3927" i="1"/>
  <c r="G3927" i="1"/>
  <c r="H3927" i="1"/>
  <c r="I3927" i="1"/>
  <c r="C3928" i="1"/>
  <c r="D3928" i="1"/>
  <c r="F3928" i="1"/>
  <c r="G3928" i="1"/>
  <c r="H3928" i="1"/>
  <c r="I3928" i="1"/>
  <c r="C3929" i="1"/>
  <c r="D3929" i="1"/>
  <c r="F3929" i="1"/>
  <c r="G3929" i="1"/>
  <c r="H3929" i="1"/>
  <c r="I3929" i="1"/>
  <c r="C3930" i="1"/>
  <c r="D3930" i="1"/>
  <c r="F3930" i="1"/>
  <c r="G3930" i="1"/>
  <c r="H3930" i="1"/>
  <c r="I3930" i="1"/>
  <c r="C3931" i="1"/>
  <c r="D3931" i="1"/>
  <c r="F3931" i="1"/>
  <c r="G3931" i="1"/>
  <c r="H3931" i="1"/>
  <c r="I3931" i="1"/>
  <c r="C3932" i="1"/>
  <c r="D3932" i="1"/>
  <c r="F3932" i="1"/>
  <c r="G3932" i="1"/>
  <c r="H3932" i="1"/>
  <c r="I3932" i="1"/>
  <c r="C3933" i="1"/>
  <c r="D3933" i="1"/>
  <c r="F3933" i="1"/>
  <c r="G3933" i="1"/>
  <c r="H3933" i="1"/>
  <c r="I3933" i="1"/>
  <c r="C3934" i="1"/>
  <c r="D3934" i="1"/>
  <c r="F3934" i="1"/>
  <c r="G3934" i="1"/>
  <c r="H3934" i="1"/>
  <c r="I3934" i="1"/>
  <c r="C3935" i="1"/>
  <c r="D3935" i="1"/>
  <c r="F3935" i="1"/>
  <c r="G3935" i="1"/>
  <c r="H3935" i="1"/>
  <c r="I3935" i="1"/>
  <c r="C3936" i="1"/>
  <c r="D3936" i="1"/>
  <c r="F3936" i="1"/>
  <c r="G3936" i="1"/>
  <c r="H3936" i="1"/>
  <c r="I3936" i="1"/>
  <c r="C3937" i="1"/>
  <c r="D3937" i="1"/>
  <c r="F3937" i="1"/>
  <c r="G3937" i="1"/>
  <c r="H3937" i="1"/>
  <c r="I3937" i="1"/>
  <c r="C3938" i="1"/>
  <c r="D3938" i="1"/>
  <c r="F3938" i="1"/>
  <c r="G3938" i="1"/>
  <c r="H3938" i="1"/>
  <c r="I3938" i="1"/>
  <c r="C3939" i="1"/>
  <c r="D3939" i="1"/>
  <c r="F3939" i="1"/>
  <c r="G3939" i="1"/>
  <c r="H3939" i="1"/>
  <c r="I3939" i="1"/>
  <c r="C3940" i="1"/>
  <c r="D3940" i="1"/>
  <c r="F3940" i="1"/>
  <c r="G3940" i="1"/>
  <c r="H3940" i="1"/>
  <c r="I3940" i="1"/>
  <c r="C3941" i="1"/>
  <c r="D3941" i="1"/>
  <c r="F3941" i="1"/>
  <c r="G3941" i="1"/>
  <c r="H3941" i="1"/>
  <c r="I3941" i="1"/>
  <c r="C3942" i="1"/>
  <c r="D3942" i="1"/>
  <c r="F3942" i="1"/>
  <c r="G3942" i="1"/>
  <c r="H3942" i="1"/>
  <c r="I3942" i="1"/>
  <c r="C3943" i="1"/>
  <c r="D3943" i="1"/>
  <c r="F3943" i="1"/>
  <c r="G3943" i="1"/>
  <c r="H3943" i="1"/>
  <c r="I3943" i="1"/>
  <c r="C3944" i="1"/>
  <c r="D3944" i="1"/>
  <c r="F3944" i="1"/>
  <c r="G3944" i="1"/>
  <c r="H3944" i="1"/>
  <c r="I3944" i="1"/>
  <c r="C3945" i="1"/>
  <c r="D3945" i="1"/>
  <c r="F3945" i="1"/>
  <c r="G3945" i="1"/>
  <c r="H3945" i="1"/>
  <c r="I3945" i="1"/>
  <c r="C3946" i="1"/>
  <c r="D3946" i="1"/>
  <c r="F3946" i="1"/>
  <c r="G3946" i="1"/>
  <c r="H3946" i="1"/>
  <c r="I3946" i="1"/>
  <c r="C3947" i="1"/>
  <c r="D3947" i="1"/>
  <c r="F3947" i="1"/>
  <c r="G3947" i="1"/>
  <c r="H3947" i="1"/>
  <c r="I3947" i="1"/>
  <c r="C3948" i="1"/>
  <c r="D3948" i="1"/>
  <c r="F3948" i="1"/>
  <c r="G3948" i="1"/>
  <c r="H3948" i="1"/>
  <c r="I3948" i="1"/>
  <c r="C3949" i="1"/>
  <c r="D3949" i="1"/>
  <c r="F3949" i="1"/>
  <c r="G3949" i="1"/>
  <c r="H3949" i="1"/>
  <c r="I3949" i="1"/>
  <c r="C3950" i="1"/>
  <c r="D3950" i="1"/>
  <c r="F3950" i="1"/>
  <c r="G3950" i="1"/>
  <c r="H3950" i="1"/>
  <c r="I3950" i="1"/>
  <c r="C3951" i="1"/>
  <c r="D3951" i="1"/>
  <c r="F3951" i="1"/>
  <c r="G3951" i="1"/>
  <c r="H3951" i="1"/>
  <c r="I3951" i="1"/>
  <c r="C3952" i="1"/>
  <c r="D3952" i="1"/>
  <c r="F3952" i="1"/>
  <c r="G3952" i="1"/>
  <c r="H3952" i="1"/>
  <c r="I3952" i="1"/>
  <c r="C3953" i="1"/>
  <c r="D3953" i="1"/>
  <c r="F3953" i="1"/>
  <c r="G3953" i="1"/>
  <c r="H3953" i="1"/>
  <c r="I3953" i="1"/>
  <c r="C3954" i="1"/>
  <c r="D3954" i="1"/>
  <c r="F3954" i="1"/>
  <c r="G3954" i="1"/>
  <c r="H3954" i="1"/>
  <c r="I3954" i="1"/>
  <c r="C3955" i="1"/>
  <c r="D3955" i="1"/>
  <c r="F3955" i="1"/>
  <c r="G3955" i="1"/>
  <c r="H3955" i="1"/>
  <c r="I3955" i="1"/>
  <c r="C3956" i="1"/>
  <c r="D3956" i="1"/>
  <c r="F3956" i="1"/>
  <c r="G3956" i="1"/>
  <c r="H3956" i="1"/>
  <c r="I3956" i="1"/>
  <c r="C3957" i="1"/>
  <c r="D3957" i="1"/>
  <c r="F3957" i="1"/>
  <c r="G3957" i="1"/>
  <c r="H3957" i="1"/>
  <c r="I3957" i="1"/>
  <c r="C3958" i="1"/>
  <c r="D3958" i="1"/>
  <c r="F3958" i="1"/>
  <c r="G3958" i="1"/>
  <c r="H3958" i="1"/>
  <c r="I3958" i="1"/>
  <c r="C3959" i="1"/>
  <c r="D3959" i="1"/>
  <c r="F3959" i="1"/>
  <c r="G3959" i="1"/>
  <c r="H3959" i="1"/>
  <c r="I3959" i="1"/>
  <c r="C3960" i="1"/>
  <c r="D3960" i="1"/>
  <c r="F3960" i="1"/>
  <c r="G3960" i="1"/>
  <c r="H3960" i="1"/>
  <c r="I3960" i="1"/>
  <c r="C3961" i="1"/>
  <c r="D3961" i="1"/>
  <c r="F3961" i="1"/>
  <c r="G3961" i="1"/>
  <c r="H3961" i="1"/>
  <c r="I3961" i="1"/>
  <c r="C3962" i="1"/>
  <c r="D3962" i="1"/>
  <c r="F3962" i="1"/>
  <c r="G3962" i="1"/>
  <c r="H3962" i="1"/>
  <c r="I3962" i="1"/>
  <c r="C3963" i="1"/>
  <c r="D3963" i="1"/>
  <c r="F3963" i="1"/>
  <c r="G3963" i="1"/>
  <c r="H3963" i="1"/>
  <c r="I3963" i="1"/>
  <c r="C3964" i="1"/>
  <c r="D3964" i="1"/>
  <c r="F3964" i="1"/>
  <c r="G3964" i="1"/>
  <c r="H3964" i="1"/>
  <c r="I3964" i="1"/>
  <c r="C3965" i="1"/>
  <c r="D3965" i="1"/>
  <c r="F3965" i="1"/>
  <c r="G3965" i="1"/>
  <c r="H3965" i="1"/>
  <c r="I3965" i="1"/>
  <c r="C3966" i="1"/>
  <c r="D3966" i="1"/>
  <c r="F3966" i="1"/>
  <c r="G3966" i="1"/>
  <c r="H3966" i="1"/>
  <c r="I3966" i="1"/>
  <c r="C3967" i="1"/>
  <c r="D3967" i="1"/>
  <c r="F3967" i="1"/>
  <c r="G3967" i="1"/>
  <c r="H3967" i="1"/>
  <c r="I3967" i="1"/>
  <c r="C3968" i="1"/>
  <c r="D3968" i="1"/>
  <c r="F3968" i="1"/>
  <c r="G3968" i="1"/>
  <c r="H3968" i="1"/>
  <c r="I3968" i="1"/>
  <c r="C3969" i="1"/>
  <c r="D3969" i="1"/>
  <c r="F3969" i="1"/>
  <c r="G3969" i="1"/>
  <c r="H3969" i="1"/>
  <c r="I3969" i="1"/>
  <c r="C3970" i="1"/>
  <c r="D3970" i="1"/>
  <c r="F3970" i="1"/>
  <c r="G3970" i="1"/>
  <c r="H3970" i="1"/>
  <c r="I3970" i="1"/>
  <c r="C3971" i="1"/>
  <c r="D3971" i="1"/>
  <c r="F3971" i="1"/>
  <c r="G3971" i="1"/>
  <c r="H3971" i="1"/>
  <c r="I3971" i="1"/>
  <c r="C3972" i="1"/>
  <c r="D3972" i="1"/>
  <c r="F3972" i="1"/>
  <c r="G3972" i="1"/>
  <c r="H3972" i="1"/>
  <c r="I3972" i="1"/>
  <c r="C3973" i="1"/>
  <c r="D3973" i="1"/>
  <c r="F3973" i="1"/>
  <c r="G3973" i="1"/>
  <c r="H3973" i="1"/>
  <c r="I3973" i="1"/>
  <c r="C3974" i="1"/>
  <c r="D3974" i="1"/>
  <c r="F3974" i="1"/>
  <c r="G3974" i="1"/>
  <c r="H3974" i="1"/>
  <c r="I3974" i="1"/>
  <c r="C3975" i="1"/>
  <c r="D3975" i="1"/>
  <c r="F3975" i="1"/>
  <c r="G3975" i="1"/>
  <c r="H3975" i="1"/>
  <c r="I3975" i="1"/>
  <c r="C3976" i="1"/>
  <c r="D3976" i="1"/>
  <c r="F3976" i="1"/>
  <c r="G3976" i="1"/>
  <c r="H3976" i="1"/>
  <c r="I3976" i="1"/>
  <c r="C3977" i="1"/>
  <c r="D3977" i="1"/>
  <c r="F3977" i="1"/>
  <c r="G3977" i="1"/>
  <c r="H3977" i="1"/>
  <c r="I3977" i="1"/>
  <c r="C3978" i="1"/>
  <c r="D3978" i="1"/>
  <c r="F3978" i="1"/>
  <c r="G3978" i="1"/>
  <c r="H3978" i="1"/>
  <c r="I3978" i="1"/>
  <c r="C3979" i="1"/>
  <c r="D3979" i="1"/>
  <c r="F3979" i="1"/>
  <c r="G3979" i="1"/>
  <c r="H3979" i="1"/>
  <c r="I3979" i="1"/>
  <c r="C3980" i="1"/>
  <c r="D3980" i="1"/>
  <c r="F3980" i="1"/>
  <c r="G3980" i="1"/>
  <c r="H3980" i="1"/>
  <c r="I3980" i="1"/>
  <c r="C3981" i="1"/>
  <c r="D3981" i="1"/>
  <c r="F3981" i="1"/>
  <c r="G3981" i="1"/>
  <c r="H3981" i="1"/>
  <c r="I3981" i="1"/>
  <c r="C3982" i="1"/>
  <c r="D3982" i="1"/>
  <c r="F3982" i="1"/>
  <c r="G3982" i="1"/>
  <c r="H3982" i="1"/>
  <c r="I3982" i="1"/>
  <c r="C3983" i="1"/>
  <c r="D3983" i="1"/>
  <c r="F3983" i="1"/>
  <c r="G3983" i="1"/>
  <c r="H3983" i="1"/>
  <c r="I3983" i="1"/>
  <c r="C3984" i="1"/>
  <c r="D3984" i="1"/>
  <c r="F3984" i="1"/>
  <c r="G3984" i="1"/>
  <c r="H3984" i="1"/>
  <c r="I3984" i="1"/>
  <c r="C3985" i="1"/>
  <c r="D3985" i="1"/>
  <c r="F3985" i="1"/>
  <c r="G3985" i="1"/>
  <c r="H3985" i="1"/>
  <c r="I3985" i="1"/>
  <c r="C3986" i="1"/>
  <c r="D3986" i="1"/>
  <c r="F3986" i="1"/>
  <c r="G3986" i="1"/>
  <c r="H3986" i="1"/>
  <c r="I3986" i="1"/>
  <c r="C3987" i="1"/>
  <c r="D3987" i="1"/>
  <c r="F3987" i="1"/>
  <c r="G3987" i="1"/>
  <c r="H3987" i="1"/>
  <c r="I3987" i="1"/>
  <c r="C3988" i="1"/>
  <c r="D3988" i="1"/>
  <c r="F3988" i="1"/>
  <c r="G3988" i="1"/>
  <c r="H3988" i="1"/>
  <c r="I3988" i="1"/>
  <c r="C3989" i="1"/>
  <c r="D3989" i="1"/>
  <c r="F3989" i="1"/>
  <c r="G3989" i="1"/>
  <c r="H3989" i="1"/>
  <c r="I3989" i="1"/>
  <c r="C3990" i="1"/>
  <c r="D3990" i="1"/>
  <c r="F3990" i="1"/>
  <c r="G3990" i="1"/>
  <c r="H3990" i="1"/>
  <c r="I3990" i="1"/>
  <c r="C3991" i="1"/>
  <c r="D3991" i="1"/>
  <c r="F3991" i="1"/>
  <c r="G3991" i="1"/>
  <c r="H3991" i="1"/>
  <c r="I3991" i="1"/>
  <c r="C3992" i="1"/>
  <c r="D3992" i="1"/>
  <c r="F3992" i="1"/>
  <c r="G3992" i="1"/>
  <c r="H3992" i="1"/>
  <c r="I3992" i="1"/>
  <c r="C3993" i="1"/>
  <c r="D3993" i="1"/>
  <c r="F3993" i="1"/>
  <c r="G3993" i="1"/>
  <c r="H3993" i="1"/>
  <c r="I3993" i="1"/>
  <c r="C3994" i="1"/>
  <c r="D3994" i="1"/>
  <c r="F3994" i="1"/>
  <c r="G3994" i="1"/>
  <c r="H3994" i="1"/>
  <c r="I3994" i="1"/>
  <c r="C3995" i="1"/>
  <c r="D3995" i="1"/>
  <c r="F3995" i="1"/>
  <c r="G3995" i="1"/>
  <c r="H3995" i="1"/>
  <c r="I3995" i="1"/>
  <c r="C3996" i="1"/>
  <c r="D3996" i="1"/>
  <c r="F3996" i="1"/>
  <c r="G3996" i="1"/>
  <c r="H3996" i="1"/>
  <c r="I3996" i="1"/>
  <c r="C3997" i="1"/>
  <c r="D3997" i="1"/>
  <c r="F3997" i="1"/>
  <c r="G3997" i="1"/>
  <c r="H3997" i="1"/>
  <c r="I3997" i="1"/>
  <c r="C3998" i="1"/>
  <c r="D3998" i="1"/>
  <c r="F3998" i="1"/>
  <c r="G3998" i="1"/>
  <c r="H3998" i="1"/>
  <c r="I3998" i="1"/>
  <c r="H6" i="2"/>
  <c r="A5" i="3"/>
  <c r="A3" i="3"/>
  <c r="A2" i="3"/>
  <c r="A4" i="3"/>
  <c r="B2" i="1"/>
  <c r="E6" i="2" l="1"/>
  <c r="E5" i="2"/>
  <c r="D3320" i="1"/>
  <c r="D3314" i="1"/>
  <c r="D3308" i="1"/>
  <c r="D3302" i="1"/>
  <c r="D3296" i="1"/>
  <c r="D3290" i="1"/>
  <c r="D3284" i="1"/>
  <c r="D3278" i="1"/>
  <c r="D3272" i="1"/>
  <c r="D3266" i="1"/>
  <c r="D3260" i="1"/>
  <c r="D3254" i="1"/>
  <c r="D3248" i="1"/>
  <c r="D3242" i="1"/>
  <c r="D3236" i="1"/>
  <c r="D3230" i="1"/>
  <c r="D3224" i="1"/>
  <c r="D3218" i="1"/>
  <c r="D3212" i="1"/>
  <c r="D3206" i="1"/>
  <c r="D3200" i="1"/>
  <c r="D3194" i="1"/>
  <c r="D3188" i="1"/>
  <c r="D3182" i="1"/>
  <c r="D3176" i="1"/>
  <c r="D3170" i="1"/>
  <c r="D3164" i="1"/>
  <c r="D3158" i="1"/>
  <c r="D3152" i="1"/>
  <c r="D3146" i="1"/>
  <c r="D3140" i="1"/>
  <c r="D3134" i="1"/>
  <c r="D3128" i="1"/>
  <c r="D3122" i="1"/>
  <c r="D3116" i="1"/>
  <c r="D3110" i="1"/>
  <c r="D3104" i="1"/>
  <c r="D3098" i="1"/>
  <c r="D3092" i="1"/>
  <c r="D3086" i="1"/>
  <c r="D3080" i="1"/>
  <c r="D3074" i="1"/>
  <c r="D3068" i="1"/>
  <c r="D3062" i="1"/>
  <c r="D3056" i="1"/>
  <c r="D3050" i="1"/>
  <c r="D3044" i="1"/>
  <c r="D3038" i="1"/>
  <c r="D3032" i="1"/>
  <c r="D3026" i="1"/>
  <c r="D3020" i="1"/>
  <c r="D3014" i="1"/>
  <c r="D3008" i="1"/>
  <c r="D3002" i="1"/>
  <c r="D2996" i="1"/>
  <c r="D2990" i="1"/>
  <c r="D2984" i="1"/>
  <c r="D2978" i="1"/>
  <c r="D2972" i="1"/>
  <c r="D2966" i="1"/>
  <c r="D2960" i="1"/>
  <c r="D2954" i="1"/>
  <c r="D2948" i="1"/>
  <c r="D2942" i="1"/>
  <c r="D2936" i="1"/>
  <c r="D2930" i="1"/>
  <c r="D2924" i="1"/>
  <c r="D2918" i="1"/>
  <c r="D2912" i="1"/>
  <c r="D2906" i="1"/>
  <c r="D2900" i="1"/>
  <c r="D2894" i="1"/>
  <c r="D2888" i="1"/>
  <c r="D2882" i="1"/>
  <c r="D2876" i="1"/>
  <c r="D2870" i="1"/>
  <c r="D2864" i="1"/>
  <c r="D2858" i="1"/>
  <c r="D2852" i="1"/>
  <c r="D2846" i="1"/>
  <c r="D2840" i="1"/>
  <c r="D2834" i="1"/>
  <c r="D2828" i="1"/>
  <c r="D2822" i="1"/>
  <c r="D2816" i="1"/>
  <c r="D2810" i="1"/>
  <c r="D2804" i="1"/>
  <c r="D2798" i="1"/>
  <c r="D2792" i="1"/>
  <c r="D2786" i="1"/>
  <c r="D2780" i="1"/>
  <c r="D2774" i="1"/>
  <c r="D2768" i="1"/>
  <c r="D2762" i="1"/>
  <c r="D2756" i="1"/>
  <c r="D2750" i="1"/>
  <c r="D2744" i="1"/>
  <c r="D2738" i="1"/>
  <c r="D2732" i="1"/>
  <c r="D2726" i="1"/>
  <c r="D2720" i="1"/>
  <c r="D2714" i="1"/>
  <c r="D2708" i="1"/>
  <c r="D2702" i="1"/>
  <c r="D2696" i="1"/>
  <c r="D2690" i="1"/>
  <c r="D2684" i="1"/>
  <c r="D2678" i="1"/>
  <c r="D2672" i="1"/>
  <c r="D2666" i="1"/>
  <c r="D2659" i="1"/>
  <c r="D2635" i="1"/>
  <c r="D2611" i="1"/>
  <c r="D2587" i="1"/>
  <c r="D2563" i="1"/>
  <c r="D2539" i="1"/>
  <c r="D2515" i="1"/>
  <c r="D2491" i="1"/>
  <c r="D2467" i="1"/>
  <c r="D2656" i="1"/>
  <c r="D2632" i="1"/>
  <c r="D2608" i="1"/>
  <c r="D2584" i="1"/>
  <c r="D2560" i="1"/>
  <c r="D2536" i="1"/>
  <c r="D2512" i="1"/>
  <c r="D2488" i="1"/>
  <c r="D2005" i="1"/>
  <c r="D3319" i="1"/>
  <c r="D3313" i="1"/>
  <c r="D3307" i="1"/>
  <c r="D3301" i="1"/>
  <c r="D3295" i="1"/>
  <c r="D3289" i="1"/>
  <c r="D3283" i="1"/>
  <c r="D3277" i="1"/>
  <c r="D3271" i="1"/>
  <c r="D3265" i="1"/>
  <c r="D3259" i="1"/>
  <c r="D3253" i="1"/>
  <c r="D3247" i="1"/>
  <c r="D3241" i="1"/>
  <c r="D3235" i="1"/>
  <c r="D3229" i="1"/>
  <c r="D3223" i="1"/>
  <c r="D3217" i="1"/>
  <c r="D3211" i="1"/>
  <c r="D3205" i="1"/>
  <c r="D3199" i="1"/>
  <c r="D3193" i="1"/>
  <c r="D3187" i="1"/>
  <c r="D3181" i="1"/>
  <c r="D3175" i="1"/>
  <c r="D3169" i="1"/>
  <c r="D3163" i="1"/>
  <c r="D3157" i="1"/>
  <c r="D3151" i="1"/>
  <c r="D3145" i="1"/>
  <c r="D3139" i="1"/>
  <c r="D3133" i="1"/>
  <c r="D3127" i="1"/>
  <c r="D3121" i="1"/>
  <c r="D3115" i="1"/>
  <c r="D3109" i="1"/>
  <c r="D3103" i="1"/>
  <c r="D3097" i="1"/>
  <c r="D3091" i="1"/>
  <c r="D3085" i="1"/>
  <c r="D3079" i="1"/>
  <c r="D3073" i="1"/>
  <c r="D3067" i="1"/>
  <c r="D3061" i="1"/>
  <c r="D3055" i="1"/>
  <c r="D3049" i="1"/>
  <c r="D3043" i="1"/>
  <c r="D3037" i="1"/>
  <c r="D3031" i="1"/>
  <c r="D3025" i="1"/>
  <c r="D3019" i="1"/>
  <c r="D3013" i="1"/>
  <c r="D3007" i="1"/>
  <c r="D3001" i="1"/>
  <c r="D2995" i="1"/>
  <c r="D2989" i="1"/>
  <c r="D2983" i="1"/>
  <c r="D2977" i="1"/>
  <c r="D2971" i="1"/>
  <c r="D2965" i="1"/>
  <c r="D2959" i="1"/>
  <c r="D2953" i="1"/>
  <c r="D2947" i="1"/>
  <c r="D2941" i="1"/>
  <c r="D2935" i="1"/>
  <c r="D2929" i="1"/>
  <c r="D2923" i="1"/>
  <c r="D2917" i="1"/>
  <c r="D2911" i="1"/>
  <c r="D2905" i="1"/>
  <c r="D2899" i="1"/>
  <c r="D2893" i="1"/>
  <c r="D2887" i="1"/>
  <c r="D2881" i="1"/>
  <c r="D2875" i="1"/>
  <c r="D2869" i="1"/>
  <c r="D2863" i="1"/>
  <c r="D2857" i="1"/>
  <c r="D2851" i="1"/>
  <c r="D2845" i="1"/>
  <c r="D2839" i="1"/>
  <c r="D2833" i="1"/>
  <c r="D2827" i="1"/>
  <c r="D2821" i="1"/>
  <c r="D2815" i="1"/>
  <c r="D2809" i="1"/>
  <c r="D2803" i="1"/>
  <c r="D2797" i="1"/>
  <c r="D2791" i="1"/>
  <c r="D2785" i="1"/>
  <c r="D2779" i="1"/>
  <c r="D2773" i="1"/>
  <c r="D2767" i="1"/>
  <c r="D2761" i="1"/>
  <c r="D2755" i="1"/>
  <c r="D2749" i="1"/>
  <c r="D2743" i="1"/>
  <c r="D2737" i="1"/>
  <c r="D2731" i="1"/>
  <c r="D2725" i="1"/>
  <c r="D2719" i="1"/>
  <c r="D2713" i="1"/>
  <c r="D2707" i="1"/>
  <c r="D2701" i="1"/>
  <c r="D2695" i="1"/>
  <c r="D2689" i="1"/>
  <c r="D2683" i="1"/>
  <c r="D2677" i="1"/>
  <c r="D2671" i="1"/>
  <c r="D2665" i="1"/>
  <c r="D1991" i="1"/>
  <c r="D2653" i="1"/>
  <c r="D2629" i="1"/>
  <c r="D2605" i="1"/>
  <c r="D2581" i="1"/>
  <c r="D2557" i="1"/>
  <c r="D2533" i="1"/>
  <c r="D2509" i="1"/>
  <c r="D2485" i="1"/>
  <c r="D3318" i="1"/>
  <c r="D3312" i="1"/>
  <c r="D3306" i="1"/>
  <c r="D3300" i="1"/>
  <c r="D3294" i="1"/>
  <c r="D3288" i="1"/>
  <c r="D3282" i="1"/>
  <c r="D3276" i="1"/>
  <c r="D3270" i="1"/>
  <c r="D3264" i="1"/>
  <c r="D3258" i="1"/>
  <c r="D3252" i="1"/>
  <c r="D3246" i="1"/>
  <c r="D3240" i="1"/>
  <c r="D3234" i="1"/>
  <c r="D3228" i="1"/>
  <c r="D3222" i="1"/>
  <c r="D3216" i="1"/>
  <c r="D3210" i="1"/>
  <c r="D3204" i="1"/>
  <c r="D3198" i="1"/>
  <c r="D3192" i="1"/>
  <c r="D3186" i="1"/>
  <c r="D3180" i="1"/>
  <c r="D3174" i="1"/>
  <c r="D3168" i="1"/>
  <c r="D3162" i="1"/>
  <c r="D3156" i="1"/>
  <c r="D3150" i="1"/>
  <c r="D3144" i="1"/>
  <c r="D3138" i="1"/>
  <c r="D3132" i="1"/>
  <c r="D3126" i="1"/>
  <c r="D3120" i="1"/>
  <c r="D3114" i="1"/>
  <c r="D3108" i="1"/>
  <c r="D3102" i="1"/>
  <c r="D3096" i="1"/>
  <c r="D3090" i="1"/>
  <c r="D3084" i="1"/>
  <c r="D3078" i="1"/>
  <c r="D3072" i="1"/>
  <c r="D3066" i="1"/>
  <c r="D3060" i="1"/>
  <c r="D3054" i="1"/>
  <c r="D3048" i="1"/>
  <c r="D3042" i="1"/>
  <c r="D3036" i="1"/>
  <c r="D3030" i="1"/>
  <c r="D3024" i="1"/>
  <c r="D3018" i="1"/>
  <c r="D3012" i="1"/>
  <c r="D3006" i="1"/>
  <c r="D3000" i="1"/>
  <c r="D2994" i="1"/>
  <c r="D2988" i="1"/>
  <c r="D2982" i="1"/>
  <c r="D2976" i="1"/>
  <c r="D2970" i="1"/>
  <c r="D2964" i="1"/>
  <c r="D2958" i="1"/>
  <c r="D2952" i="1"/>
  <c r="D2946" i="1"/>
  <c r="D2940" i="1"/>
  <c r="D2934" i="1"/>
  <c r="D2928" i="1"/>
  <c r="D2922" i="1"/>
  <c r="D2916" i="1"/>
  <c r="D2910" i="1"/>
  <c r="D2904" i="1"/>
  <c r="D2898" i="1"/>
  <c r="D2892" i="1"/>
  <c r="D2886" i="1"/>
  <c r="D2880" i="1"/>
  <c r="D2874" i="1"/>
  <c r="D2868" i="1"/>
  <c r="D2862" i="1"/>
  <c r="D2856" i="1"/>
  <c r="D2850" i="1"/>
  <c r="D2844" i="1"/>
  <c r="D2838" i="1"/>
  <c r="D2832" i="1"/>
  <c r="D2826" i="1"/>
  <c r="D2820" i="1"/>
  <c r="D2814" i="1"/>
  <c r="D2808" i="1"/>
  <c r="D2802" i="1"/>
  <c r="D2796" i="1"/>
  <c r="D2790" i="1"/>
  <c r="D2784" i="1"/>
  <c r="D2778" i="1"/>
  <c r="D2772" i="1"/>
  <c r="D2766" i="1"/>
  <c r="D2760" i="1"/>
  <c r="D2754" i="1"/>
  <c r="D2748" i="1"/>
  <c r="D2742" i="1"/>
  <c r="D2736" i="1"/>
  <c r="D2730" i="1"/>
  <c r="D2724" i="1"/>
  <c r="D2718" i="1"/>
  <c r="D2712" i="1"/>
  <c r="D2706" i="1"/>
  <c r="D2700" i="1"/>
  <c r="D2694" i="1"/>
  <c r="D2688" i="1"/>
  <c r="D2682" i="1"/>
  <c r="D2676" i="1"/>
  <c r="D2670" i="1"/>
  <c r="D2664" i="1"/>
  <c r="D2650" i="1"/>
  <c r="D2626" i="1"/>
  <c r="D2602" i="1"/>
  <c r="D2578" i="1"/>
  <c r="D2554" i="1"/>
  <c r="D2530" i="1"/>
  <c r="D2506" i="1"/>
  <c r="D2482" i="1"/>
  <c r="D3317" i="1"/>
  <c r="D3311" i="1"/>
  <c r="D3305" i="1"/>
  <c r="D3299" i="1"/>
  <c r="D3293" i="1"/>
  <c r="D3287" i="1"/>
  <c r="D3281" i="1"/>
  <c r="D3275" i="1"/>
  <c r="D3269" i="1"/>
  <c r="D3263" i="1"/>
  <c r="D3257" i="1"/>
  <c r="D3251" i="1"/>
  <c r="D3245" i="1"/>
  <c r="D3239" i="1"/>
  <c r="D3233" i="1"/>
  <c r="D3227" i="1"/>
  <c r="D3221" i="1"/>
  <c r="D3215" i="1"/>
  <c r="D3209" i="1"/>
  <c r="D3203" i="1"/>
  <c r="D3197" i="1"/>
  <c r="D3191" i="1"/>
  <c r="D3185" i="1"/>
  <c r="D3179" i="1"/>
  <c r="D3173" i="1"/>
  <c r="D3167" i="1"/>
  <c r="D3161" i="1"/>
  <c r="D3155" i="1"/>
  <c r="D3149" i="1"/>
  <c r="D3143" i="1"/>
  <c r="D3137" i="1"/>
  <c r="D3131" i="1"/>
  <c r="D3125" i="1"/>
  <c r="D3119" i="1"/>
  <c r="D3113" i="1"/>
  <c r="D3107" i="1"/>
  <c r="D3101" i="1"/>
  <c r="D3095" i="1"/>
  <c r="D3089" i="1"/>
  <c r="D3083" i="1"/>
  <c r="D3077" i="1"/>
  <c r="D3071" i="1"/>
  <c r="D3065" i="1"/>
  <c r="D3059" i="1"/>
  <c r="D3053" i="1"/>
  <c r="D3047" i="1"/>
  <c r="D3041" i="1"/>
  <c r="D3035" i="1"/>
  <c r="D3029" i="1"/>
  <c r="D3023" i="1"/>
  <c r="D3017" i="1"/>
  <c r="D3011" i="1"/>
  <c r="D3005" i="1"/>
  <c r="D2999" i="1"/>
  <c r="D2993" i="1"/>
  <c r="D2987" i="1"/>
  <c r="D2981" i="1"/>
  <c r="D2975" i="1"/>
  <c r="D2969" i="1"/>
  <c r="D2963" i="1"/>
  <c r="D2957" i="1"/>
  <c r="D2951" i="1"/>
  <c r="D2945" i="1"/>
  <c r="D2939" i="1"/>
  <c r="D2933" i="1"/>
  <c r="D2927" i="1"/>
  <c r="D2921" i="1"/>
  <c r="D2915" i="1"/>
  <c r="D2909" i="1"/>
  <c r="D2903" i="1"/>
  <c r="D2897" i="1"/>
  <c r="D2891" i="1"/>
  <c r="D2885" i="1"/>
  <c r="D2879" i="1"/>
  <c r="D2873" i="1"/>
  <c r="D2867" i="1"/>
  <c r="D2861" i="1"/>
  <c r="D2855" i="1"/>
  <c r="D2849" i="1"/>
  <c r="D2843" i="1"/>
  <c r="D2837" i="1"/>
  <c r="D2831" i="1"/>
  <c r="D2825" i="1"/>
  <c r="D2819" i="1"/>
  <c r="D2813" i="1"/>
  <c r="D2807" i="1"/>
  <c r="D2801" i="1"/>
  <c r="D2795" i="1"/>
  <c r="D2789" i="1"/>
  <c r="D2783" i="1"/>
  <c r="D2777" i="1"/>
  <c r="D2771" i="1"/>
  <c r="D2765" i="1"/>
  <c r="D2759" i="1"/>
  <c r="D2753" i="1"/>
  <c r="D2747" i="1"/>
  <c r="D2741" i="1"/>
  <c r="D2735" i="1"/>
  <c r="D2729" i="1"/>
  <c r="D2723" i="1"/>
  <c r="D2717" i="1"/>
  <c r="D2711" i="1"/>
  <c r="D2705" i="1"/>
  <c r="D2699" i="1"/>
  <c r="D2693" i="1"/>
  <c r="D2687" i="1"/>
  <c r="D2681" i="1"/>
  <c r="D2675" i="1"/>
  <c r="D2669" i="1"/>
  <c r="D2663" i="1"/>
  <c r="D2647" i="1"/>
  <c r="D2623" i="1"/>
  <c r="D2599" i="1"/>
  <c r="D2575" i="1"/>
  <c r="D2551" i="1"/>
  <c r="D2527" i="1"/>
  <c r="D2503" i="1"/>
  <c r="D2479" i="1"/>
  <c r="D2644" i="1"/>
  <c r="D2620" i="1"/>
  <c r="D2596" i="1"/>
  <c r="D2572" i="1"/>
  <c r="D2548" i="1"/>
  <c r="D2524" i="1"/>
  <c r="D2500" i="1"/>
  <c r="D2476" i="1"/>
  <c r="D3316" i="1"/>
  <c r="D3310" i="1"/>
  <c r="D3304" i="1"/>
  <c r="D3298" i="1"/>
  <c r="D3292" i="1"/>
  <c r="D3286" i="1"/>
  <c r="D3280" i="1"/>
  <c r="D3274" i="1"/>
  <c r="D3268" i="1"/>
  <c r="D3262" i="1"/>
  <c r="D3256" i="1"/>
  <c r="D3250" i="1"/>
  <c r="D3244" i="1"/>
  <c r="D3238" i="1"/>
  <c r="D3232" i="1"/>
  <c r="D3226" i="1"/>
  <c r="D3220" i="1"/>
  <c r="D3214" i="1"/>
  <c r="D3208" i="1"/>
  <c r="D3202" i="1"/>
  <c r="D3196" i="1"/>
  <c r="D3190" i="1"/>
  <c r="D3184" i="1"/>
  <c r="D3178" i="1"/>
  <c r="D3172" i="1"/>
  <c r="D3166" i="1"/>
  <c r="D3160" i="1"/>
  <c r="D3154" i="1"/>
  <c r="D3148" i="1"/>
  <c r="D3142" i="1"/>
  <c r="D3136" i="1"/>
  <c r="D3130" i="1"/>
  <c r="D3124" i="1"/>
  <c r="D3118" i="1"/>
  <c r="D3112" i="1"/>
  <c r="D3106" i="1"/>
  <c r="D3100" i="1"/>
  <c r="D3094" i="1"/>
  <c r="D3088" i="1"/>
  <c r="D3082" i="1"/>
  <c r="D3076" i="1"/>
  <c r="D3070" i="1"/>
  <c r="D3064" i="1"/>
  <c r="D3058" i="1"/>
  <c r="D3052" i="1"/>
  <c r="D3046" i="1"/>
  <c r="D3040" i="1"/>
  <c r="D3034" i="1"/>
  <c r="D3028" i="1"/>
  <c r="D3022" i="1"/>
  <c r="D3016" i="1"/>
  <c r="D3010" i="1"/>
  <c r="D3004" i="1"/>
  <c r="D2998" i="1"/>
  <c r="D2992" i="1"/>
  <c r="D2986" i="1"/>
  <c r="D2980" i="1"/>
  <c r="D2974" i="1"/>
  <c r="D2968" i="1"/>
  <c r="D2962" i="1"/>
  <c r="D2956" i="1"/>
  <c r="D2950" i="1"/>
  <c r="D2944" i="1"/>
  <c r="D2938" i="1"/>
  <c r="D2932" i="1"/>
  <c r="D2926" i="1"/>
  <c r="D2920" i="1"/>
  <c r="D2914" i="1"/>
  <c r="D2908" i="1"/>
  <c r="D2902" i="1"/>
  <c r="D2896" i="1"/>
  <c r="D2890" i="1"/>
  <c r="D2884" i="1"/>
  <c r="D2878" i="1"/>
  <c r="D2872" i="1"/>
  <c r="D2866" i="1"/>
  <c r="D2860" i="1"/>
  <c r="D2854" i="1"/>
  <c r="D2848" i="1"/>
  <c r="D2842" i="1"/>
  <c r="D2836" i="1"/>
  <c r="D2830" i="1"/>
  <c r="D2824" i="1"/>
  <c r="D2818" i="1"/>
  <c r="D2812" i="1"/>
  <c r="D2806" i="1"/>
  <c r="D2800" i="1"/>
  <c r="D2794" i="1"/>
  <c r="D2788" i="1"/>
  <c r="D2782" i="1"/>
  <c r="D2776" i="1"/>
  <c r="D2770" i="1"/>
  <c r="D2764" i="1"/>
  <c r="D2758" i="1"/>
  <c r="D2752" i="1"/>
  <c r="D2746" i="1"/>
  <c r="D2740" i="1"/>
  <c r="D2734" i="1"/>
  <c r="D2728" i="1"/>
  <c r="D2722" i="1"/>
  <c r="D2716" i="1"/>
  <c r="D2710" i="1"/>
  <c r="D2704" i="1"/>
  <c r="D2698" i="1"/>
  <c r="D2692" i="1"/>
  <c r="D2686" i="1"/>
  <c r="D2680" i="1"/>
  <c r="D2674" i="1"/>
  <c r="D2668" i="1"/>
  <c r="D2662" i="1"/>
  <c r="D2641" i="1"/>
  <c r="D2617" i="1"/>
  <c r="D2593" i="1"/>
  <c r="D2569" i="1"/>
  <c r="D2545" i="1"/>
  <c r="D2521" i="1"/>
  <c r="D2497" i="1"/>
  <c r="D2473" i="1"/>
  <c r="D3315" i="1"/>
  <c r="D3309" i="1"/>
  <c r="D3303" i="1"/>
  <c r="D3297" i="1"/>
  <c r="D3291" i="1"/>
  <c r="D3285" i="1"/>
  <c r="D3279" i="1"/>
  <c r="D3273" i="1"/>
  <c r="D3267" i="1"/>
  <c r="D3261" i="1"/>
  <c r="D3255" i="1"/>
  <c r="D3249" i="1"/>
  <c r="D3243" i="1"/>
  <c r="D3237" i="1"/>
  <c r="D3231" i="1"/>
  <c r="D3225" i="1"/>
  <c r="D3219" i="1"/>
  <c r="D3213" i="1"/>
  <c r="D3207" i="1"/>
  <c r="D3201" i="1"/>
  <c r="D3195" i="1"/>
  <c r="D3189" i="1"/>
  <c r="D3183" i="1"/>
  <c r="D3177" i="1"/>
  <c r="D3171" i="1"/>
  <c r="D3165" i="1"/>
  <c r="D3159" i="1"/>
  <c r="D3153" i="1"/>
  <c r="D3147" i="1"/>
  <c r="D3141" i="1"/>
  <c r="D3135" i="1"/>
  <c r="D3129" i="1"/>
  <c r="D3123" i="1"/>
  <c r="D3117" i="1"/>
  <c r="D3111" i="1"/>
  <c r="D3105" i="1"/>
  <c r="D3099" i="1"/>
  <c r="D3093" i="1"/>
  <c r="D3087" i="1"/>
  <c r="D3081" i="1"/>
  <c r="D3075" i="1"/>
  <c r="D3069" i="1"/>
  <c r="D3063" i="1"/>
  <c r="D3057" i="1"/>
  <c r="D3051" i="1"/>
  <c r="D3045" i="1"/>
  <c r="D3039" i="1"/>
  <c r="D3033" i="1"/>
  <c r="D3027" i="1"/>
  <c r="D3021" i="1"/>
  <c r="D3015" i="1"/>
  <c r="D3009" i="1"/>
  <c r="D3003" i="1"/>
  <c r="D2997" i="1"/>
  <c r="D2991" i="1"/>
  <c r="D2985" i="1"/>
  <c r="D2979" i="1"/>
  <c r="D2973" i="1"/>
  <c r="D2967" i="1"/>
  <c r="D2961" i="1"/>
  <c r="D2955" i="1"/>
  <c r="D2949" i="1"/>
  <c r="D2943" i="1"/>
  <c r="D2937" i="1"/>
  <c r="D2931" i="1"/>
  <c r="D2925" i="1"/>
  <c r="D2919" i="1"/>
  <c r="D2913" i="1"/>
  <c r="D2907" i="1"/>
  <c r="D2901" i="1"/>
  <c r="D2895" i="1"/>
  <c r="D2889" i="1"/>
  <c r="D2883" i="1"/>
  <c r="D2877" i="1"/>
  <c r="D2871" i="1"/>
  <c r="D2865" i="1"/>
  <c r="D2859" i="1"/>
  <c r="D2853" i="1"/>
  <c r="D2847" i="1"/>
  <c r="D2841" i="1"/>
  <c r="D2835" i="1"/>
  <c r="D2829" i="1"/>
  <c r="D2823" i="1"/>
  <c r="D2817" i="1"/>
  <c r="D2811" i="1"/>
  <c r="D2805" i="1"/>
  <c r="D2799" i="1"/>
  <c r="D2793" i="1"/>
  <c r="D2787" i="1"/>
  <c r="D2781" i="1"/>
  <c r="D2775" i="1"/>
  <c r="D2769" i="1"/>
  <c r="D2763" i="1"/>
  <c r="D2757" i="1"/>
  <c r="D2751" i="1"/>
  <c r="D2745" i="1"/>
  <c r="D2739" i="1"/>
  <c r="D2733" i="1"/>
  <c r="D2727" i="1"/>
  <c r="D2721" i="1"/>
  <c r="D2715" i="1"/>
  <c r="D2709" i="1"/>
  <c r="D2703" i="1"/>
  <c r="D2697" i="1"/>
  <c r="D2691" i="1"/>
  <c r="D2685" i="1"/>
  <c r="D2679" i="1"/>
  <c r="D2673" i="1"/>
  <c r="D2667" i="1"/>
  <c r="D2661" i="1"/>
  <c r="D2638" i="1"/>
  <c r="D2614" i="1"/>
  <c r="D2590" i="1"/>
  <c r="D2566" i="1"/>
  <c r="D2542" i="1"/>
  <c r="D2518" i="1"/>
  <c r="D2494" i="1"/>
  <c r="D2470" i="1"/>
  <c r="D2048" i="1"/>
  <c r="D2660" i="1"/>
  <c r="D2654" i="1"/>
  <c r="D2648" i="1"/>
  <c r="D2642" i="1"/>
  <c r="D2636" i="1"/>
  <c r="D2630" i="1"/>
  <c r="D2624" i="1"/>
  <c r="D2618" i="1"/>
  <c r="D2612" i="1"/>
  <c r="D2606" i="1"/>
  <c r="D2600" i="1"/>
  <c r="D2594" i="1"/>
  <c r="D2588" i="1"/>
  <c r="D2582" i="1"/>
  <c r="D2576" i="1"/>
  <c r="D2570" i="1"/>
  <c r="D2564" i="1"/>
  <c r="D2558" i="1"/>
  <c r="D2552" i="1"/>
  <c r="D2546" i="1"/>
  <c r="D2540" i="1"/>
  <c r="D2534" i="1"/>
  <c r="D2528" i="1"/>
  <c r="D2522" i="1"/>
  <c r="D2516" i="1"/>
  <c r="D2510" i="1"/>
  <c r="D2504" i="1"/>
  <c r="D2498" i="1"/>
  <c r="D2492" i="1"/>
  <c r="D2486" i="1"/>
  <c r="D2480" i="1"/>
  <c r="D2474" i="1"/>
  <c r="D2468" i="1"/>
  <c r="D2462" i="1"/>
  <c r="D2456" i="1"/>
  <c r="D2450" i="1"/>
  <c r="D2444" i="1"/>
  <c r="D2438" i="1"/>
  <c r="D2432" i="1"/>
  <c r="D2426" i="1"/>
  <c r="D2420" i="1"/>
  <c r="D2414" i="1"/>
  <c r="D2408" i="1"/>
  <c r="D2402" i="1"/>
  <c r="D2396" i="1"/>
  <c r="D2390" i="1"/>
  <c r="D2384" i="1"/>
  <c r="D2378" i="1"/>
  <c r="D2372" i="1"/>
  <c r="D2366" i="1"/>
  <c r="D2360" i="1"/>
  <c r="D2354" i="1"/>
  <c r="D2348" i="1"/>
  <c r="D2342" i="1"/>
  <c r="D2336" i="1"/>
  <c r="D2330" i="1"/>
  <c r="D2324" i="1"/>
  <c r="D2318" i="1"/>
  <c r="D2312" i="1"/>
  <c r="D2306" i="1"/>
  <c r="D2300" i="1"/>
  <c r="D2294" i="1"/>
  <c r="D2288" i="1"/>
  <c r="D2282" i="1"/>
  <c r="D2276" i="1"/>
  <c r="D2270" i="1"/>
  <c r="D2264" i="1"/>
  <c r="D2258" i="1"/>
  <c r="D2252" i="1"/>
  <c r="D2246" i="1"/>
  <c r="D2240" i="1"/>
  <c r="D2234" i="1"/>
  <c r="D2228" i="1"/>
  <c r="D2222" i="1"/>
  <c r="D2216" i="1"/>
  <c r="D2210" i="1"/>
  <c r="D2204" i="1"/>
  <c r="D2198" i="1"/>
  <c r="D2192" i="1"/>
  <c r="D2186" i="1"/>
  <c r="D2180" i="1"/>
  <c r="D2174" i="1"/>
  <c r="D2168" i="1"/>
  <c r="D2162" i="1"/>
  <c r="D2156" i="1"/>
  <c r="D2150" i="1"/>
  <c r="D2144" i="1"/>
  <c r="D2138" i="1"/>
  <c r="D2132" i="1"/>
  <c r="D2126" i="1"/>
  <c r="D2120" i="1"/>
  <c r="D2114" i="1"/>
  <c r="D2108" i="1"/>
  <c r="D2102" i="1"/>
  <c r="D2096" i="1"/>
  <c r="D2090" i="1"/>
  <c r="D2084" i="1"/>
  <c r="D2078" i="1"/>
  <c r="D2072" i="1"/>
  <c r="D2066" i="1"/>
  <c r="D2060" i="1"/>
  <c r="D2054" i="1"/>
  <c r="D2047" i="1"/>
  <c r="D2033" i="1"/>
  <c r="D2018" i="1"/>
  <c r="D2017" i="1"/>
  <c r="D2003" i="1"/>
  <c r="D1988" i="1"/>
  <c r="D2461" i="1"/>
  <c r="D2455" i="1"/>
  <c r="D2449" i="1"/>
  <c r="D2443" i="1"/>
  <c r="D2437" i="1"/>
  <c r="D2431" i="1"/>
  <c r="D2425" i="1"/>
  <c r="D2419" i="1"/>
  <c r="D2413" i="1"/>
  <c r="D2407" i="1"/>
  <c r="D2401" i="1"/>
  <c r="D2395" i="1"/>
  <c r="D2389" i="1"/>
  <c r="D2383" i="1"/>
  <c r="D2377" i="1"/>
  <c r="D2371" i="1"/>
  <c r="D2365" i="1"/>
  <c r="D2359" i="1"/>
  <c r="D2353" i="1"/>
  <c r="D2347" i="1"/>
  <c r="D2341" i="1"/>
  <c r="D2335" i="1"/>
  <c r="D2329" i="1"/>
  <c r="D2323" i="1"/>
  <c r="D2317" i="1"/>
  <c r="D2311" i="1"/>
  <c r="D2305" i="1"/>
  <c r="D2299" i="1"/>
  <c r="D2293" i="1"/>
  <c r="D2287" i="1"/>
  <c r="D2281" i="1"/>
  <c r="D2275" i="1"/>
  <c r="D2269" i="1"/>
  <c r="D2263" i="1"/>
  <c r="D2257" i="1"/>
  <c r="D2251" i="1"/>
  <c r="D2245" i="1"/>
  <c r="D2239" i="1"/>
  <c r="D2233" i="1"/>
  <c r="D2227" i="1"/>
  <c r="D2221" i="1"/>
  <c r="D2215" i="1"/>
  <c r="D2209" i="1"/>
  <c r="D2203" i="1"/>
  <c r="D2197" i="1"/>
  <c r="D2191" i="1"/>
  <c r="D2185" i="1"/>
  <c r="D2179" i="1"/>
  <c r="D2173" i="1"/>
  <c r="D2167" i="1"/>
  <c r="D2161" i="1"/>
  <c r="D2155" i="1"/>
  <c r="D2149" i="1"/>
  <c r="D2143" i="1"/>
  <c r="D2137" i="1"/>
  <c r="D2131" i="1"/>
  <c r="D2125" i="1"/>
  <c r="D2119" i="1"/>
  <c r="D2113" i="1"/>
  <c r="D2107" i="1"/>
  <c r="D2101" i="1"/>
  <c r="D2095" i="1"/>
  <c r="D2089" i="1"/>
  <c r="D2083" i="1"/>
  <c r="D2077" i="1"/>
  <c r="D2071" i="1"/>
  <c r="D2065" i="1"/>
  <c r="D2059" i="1"/>
  <c r="D2053" i="1"/>
  <c r="D2045" i="1"/>
  <c r="D2030" i="1"/>
  <c r="D1987" i="1"/>
  <c r="D2029" i="1"/>
  <c r="D2015" i="1"/>
  <c r="D2000" i="1"/>
  <c r="D2658" i="1"/>
  <c r="D2652" i="1"/>
  <c r="D2646" i="1"/>
  <c r="D2640" i="1"/>
  <c r="D2634" i="1"/>
  <c r="D2628" i="1"/>
  <c r="D2622" i="1"/>
  <c r="D2616" i="1"/>
  <c r="D2610" i="1"/>
  <c r="D2604" i="1"/>
  <c r="D2598" i="1"/>
  <c r="D2592" i="1"/>
  <c r="D2586" i="1"/>
  <c r="D2580" i="1"/>
  <c r="D2574" i="1"/>
  <c r="D2568" i="1"/>
  <c r="D2562" i="1"/>
  <c r="D2556" i="1"/>
  <c r="D2550" i="1"/>
  <c r="D2544" i="1"/>
  <c r="D2538" i="1"/>
  <c r="D2532" i="1"/>
  <c r="D2526" i="1"/>
  <c r="D2520" i="1"/>
  <c r="D2514" i="1"/>
  <c r="D2508" i="1"/>
  <c r="D2502" i="1"/>
  <c r="D2496" i="1"/>
  <c r="D2490" i="1"/>
  <c r="D2484" i="1"/>
  <c r="D2478" i="1"/>
  <c r="D2472" i="1"/>
  <c r="D2466" i="1"/>
  <c r="D2460" i="1"/>
  <c r="D2454" i="1"/>
  <c r="D2448" i="1"/>
  <c r="D2442" i="1"/>
  <c r="D2436" i="1"/>
  <c r="D2430" i="1"/>
  <c r="D2424" i="1"/>
  <c r="D2418" i="1"/>
  <c r="D2412" i="1"/>
  <c r="D2406" i="1"/>
  <c r="D2400" i="1"/>
  <c r="D2394" i="1"/>
  <c r="D2388" i="1"/>
  <c r="D2382" i="1"/>
  <c r="D2376" i="1"/>
  <c r="D2370" i="1"/>
  <c r="D2364" i="1"/>
  <c r="D2358" i="1"/>
  <c r="D2352" i="1"/>
  <c r="D2346" i="1"/>
  <c r="D2340" i="1"/>
  <c r="D2334" i="1"/>
  <c r="D2328" i="1"/>
  <c r="D2322" i="1"/>
  <c r="D2316" i="1"/>
  <c r="D2310" i="1"/>
  <c r="D2304" i="1"/>
  <c r="D2298" i="1"/>
  <c r="D2292" i="1"/>
  <c r="D2286" i="1"/>
  <c r="D2280" i="1"/>
  <c r="D2274" i="1"/>
  <c r="D2268" i="1"/>
  <c r="D2262" i="1"/>
  <c r="D2256" i="1"/>
  <c r="D2250" i="1"/>
  <c r="D2244" i="1"/>
  <c r="D2238" i="1"/>
  <c r="D2232" i="1"/>
  <c r="D2226" i="1"/>
  <c r="D2220" i="1"/>
  <c r="D2214" i="1"/>
  <c r="D2208" i="1"/>
  <c r="D2202" i="1"/>
  <c r="D2196" i="1"/>
  <c r="D2190" i="1"/>
  <c r="D2184" i="1"/>
  <c r="D2178" i="1"/>
  <c r="D2172" i="1"/>
  <c r="D2166" i="1"/>
  <c r="D2160" i="1"/>
  <c r="D2154" i="1"/>
  <c r="D2148" i="1"/>
  <c r="D2142" i="1"/>
  <c r="D2136" i="1"/>
  <c r="D2130" i="1"/>
  <c r="D2124" i="1"/>
  <c r="D2118" i="1"/>
  <c r="D2112" i="1"/>
  <c r="D2106" i="1"/>
  <c r="D2100" i="1"/>
  <c r="D2094" i="1"/>
  <c r="D2088" i="1"/>
  <c r="D2082" i="1"/>
  <c r="D2076" i="1"/>
  <c r="D2070" i="1"/>
  <c r="D2064" i="1"/>
  <c r="D2058" i="1"/>
  <c r="D2052" i="1"/>
  <c r="D2042" i="1"/>
  <c r="D1999" i="1"/>
  <c r="D1985" i="1"/>
  <c r="D2041" i="1"/>
  <c r="D2027" i="1"/>
  <c r="D2012" i="1"/>
  <c r="D2657" i="1"/>
  <c r="D2651" i="1"/>
  <c r="D2645" i="1"/>
  <c r="D2639" i="1"/>
  <c r="D2633" i="1"/>
  <c r="D2627" i="1"/>
  <c r="D2621" i="1"/>
  <c r="D2615" i="1"/>
  <c r="D2609" i="1"/>
  <c r="D2603" i="1"/>
  <c r="D2597" i="1"/>
  <c r="D2591" i="1"/>
  <c r="D2585" i="1"/>
  <c r="D2579" i="1"/>
  <c r="D2573" i="1"/>
  <c r="D2567" i="1"/>
  <c r="D2561" i="1"/>
  <c r="D2555" i="1"/>
  <c r="D2549" i="1"/>
  <c r="D2543" i="1"/>
  <c r="D2537" i="1"/>
  <c r="D2531" i="1"/>
  <c r="D2525" i="1"/>
  <c r="D2519" i="1"/>
  <c r="D2513" i="1"/>
  <c r="D2507" i="1"/>
  <c r="D2501" i="1"/>
  <c r="D2495" i="1"/>
  <c r="D2489" i="1"/>
  <c r="D2483" i="1"/>
  <c r="D2477" i="1"/>
  <c r="D2471" i="1"/>
  <c r="D2465" i="1"/>
  <c r="D2459" i="1"/>
  <c r="D2453" i="1"/>
  <c r="D2447" i="1"/>
  <c r="D2441" i="1"/>
  <c r="D2435" i="1"/>
  <c r="D2429" i="1"/>
  <c r="D2423" i="1"/>
  <c r="D2417" i="1"/>
  <c r="D2411" i="1"/>
  <c r="D2405" i="1"/>
  <c r="D2399" i="1"/>
  <c r="D2393" i="1"/>
  <c r="D2387" i="1"/>
  <c r="D2381" i="1"/>
  <c r="D2375" i="1"/>
  <c r="D2369" i="1"/>
  <c r="D2363" i="1"/>
  <c r="D2357" i="1"/>
  <c r="D2351" i="1"/>
  <c r="D2345" i="1"/>
  <c r="D2339" i="1"/>
  <c r="D2333" i="1"/>
  <c r="D2327" i="1"/>
  <c r="D2321" i="1"/>
  <c r="D2315" i="1"/>
  <c r="D2309" i="1"/>
  <c r="D2303" i="1"/>
  <c r="D2297" i="1"/>
  <c r="D2291" i="1"/>
  <c r="D2285" i="1"/>
  <c r="D2279" i="1"/>
  <c r="D2273" i="1"/>
  <c r="D2267" i="1"/>
  <c r="D2261" i="1"/>
  <c r="D2255" i="1"/>
  <c r="D2249" i="1"/>
  <c r="D2243" i="1"/>
  <c r="D2237" i="1"/>
  <c r="D2231" i="1"/>
  <c r="D2225" i="1"/>
  <c r="D2219" i="1"/>
  <c r="D2213" i="1"/>
  <c r="D2207" i="1"/>
  <c r="D2201" i="1"/>
  <c r="D2195" i="1"/>
  <c r="D2189" i="1"/>
  <c r="D2183" i="1"/>
  <c r="D2177" i="1"/>
  <c r="D2171" i="1"/>
  <c r="D2165" i="1"/>
  <c r="D2159" i="1"/>
  <c r="D2153" i="1"/>
  <c r="D2147" i="1"/>
  <c r="D2141" i="1"/>
  <c r="D2135" i="1"/>
  <c r="D2129" i="1"/>
  <c r="D2123" i="1"/>
  <c r="D2117" i="1"/>
  <c r="D2111" i="1"/>
  <c r="D2105" i="1"/>
  <c r="D2099" i="1"/>
  <c r="D2093" i="1"/>
  <c r="D2087" i="1"/>
  <c r="D2081" i="1"/>
  <c r="D2075" i="1"/>
  <c r="D2069" i="1"/>
  <c r="D2063" i="1"/>
  <c r="D2057" i="1"/>
  <c r="D2051" i="1"/>
  <c r="D2011" i="1"/>
  <c r="D1997" i="1"/>
  <c r="D1982" i="1"/>
  <c r="D2039" i="1"/>
  <c r="D2024" i="1"/>
  <c r="D2464" i="1"/>
  <c r="D2458" i="1"/>
  <c r="D2452" i="1"/>
  <c r="D2446" i="1"/>
  <c r="D2440" i="1"/>
  <c r="D2434" i="1"/>
  <c r="D2428" i="1"/>
  <c r="D2422" i="1"/>
  <c r="D2416" i="1"/>
  <c r="D2410" i="1"/>
  <c r="D2404" i="1"/>
  <c r="D2398" i="1"/>
  <c r="D2392" i="1"/>
  <c r="D2386" i="1"/>
  <c r="D2380" i="1"/>
  <c r="D2374" i="1"/>
  <c r="D2368" i="1"/>
  <c r="D2362" i="1"/>
  <c r="D2356" i="1"/>
  <c r="D2350" i="1"/>
  <c r="D2344" i="1"/>
  <c r="D2338" i="1"/>
  <c r="D2332" i="1"/>
  <c r="D2326" i="1"/>
  <c r="D2320" i="1"/>
  <c r="D2314" i="1"/>
  <c r="D2308" i="1"/>
  <c r="D2302" i="1"/>
  <c r="D2296" i="1"/>
  <c r="D2290" i="1"/>
  <c r="D2284" i="1"/>
  <c r="D2278" i="1"/>
  <c r="D2272" i="1"/>
  <c r="D2266" i="1"/>
  <c r="D2260" i="1"/>
  <c r="D2254" i="1"/>
  <c r="D2248" i="1"/>
  <c r="D2242" i="1"/>
  <c r="D2236" i="1"/>
  <c r="D2230" i="1"/>
  <c r="D2224" i="1"/>
  <c r="D2218" i="1"/>
  <c r="D2212" i="1"/>
  <c r="D2206" i="1"/>
  <c r="D2200" i="1"/>
  <c r="D2194" i="1"/>
  <c r="D2188" i="1"/>
  <c r="D2182" i="1"/>
  <c r="D2176" i="1"/>
  <c r="D2170" i="1"/>
  <c r="D2164" i="1"/>
  <c r="D2158" i="1"/>
  <c r="D2152" i="1"/>
  <c r="D2146" i="1"/>
  <c r="D2140" i="1"/>
  <c r="D2134" i="1"/>
  <c r="D2128" i="1"/>
  <c r="D2122" i="1"/>
  <c r="D2116" i="1"/>
  <c r="D2110" i="1"/>
  <c r="D2104" i="1"/>
  <c r="D2098" i="1"/>
  <c r="D2092" i="1"/>
  <c r="D2086" i="1"/>
  <c r="D2080" i="1"/>
  <c r="D2074" i="1"/>
  <c r="D2068" i="1"/>
  <c r="D2062" i="1"/>
  <c r="D2056" i="1"/>
  <c r="D2050" i="1"/>
  <c r="D2023" i="1"/>
  <c r="D2009" i="1"/>
  <c r="D1994" i="1"/>
  <c r="D2036" i="1"/>
  <c r="D1993" i="1"/>
  <c r="D2655" i="1"/>
  <c r="D2649" i="1"/>
  <c r="D2643" i="1"/>
  <c r="D2637" i="1"/>
  <c r="D2631" i="1"/>
  <c r="D2625" i="1"/>
  <c r="D2619" i="1"/>
  <c r="D2613" i="1"/>
  <c r="D2607" i="1"/>
  <c r="D2601" i="1"/>
  <c r="D2595" i="1"/>
  <c r="D2589" i="1"/>
  <c r="D2583" i="1"/>
  <c r="D2577" i="1"/>
  <c r="D2571" i="1"/>
  <c r="D2565" i="1"/>
  <c r="D2559" i="1"/>
  <c r="D2553" i="1"/>
  <c r="D2547" i="1"/>
  <c r="D2541" i="1"/>
  <c r="D2535" i="1"/>
  <c r="D2529" i="1"/>
  <c r="D2523" i="1"/>
  <c r="D2517" i="1"/>
  <c r="D2511" i="1"/>
  <c r="D2505" i="1"/>
  <c r="D2499" i="1"/>
  <c r="D2493" i="1"/>
  <c r="D2487" i="1"/>
  <c r="D2481" i="1"/>
  <c r="D2475" i="1"/>
  <c r="D2469" i="1"/>
  <c r="D2463" i="1"/>
  <c r="D2457" i="1"/>
  <c r="D2451" i="1"/>
  <c r="D2445" i="1"/>
  <c r="D2439" i="1"/>
  <c r="D2433" i="1"/>
  <c r="D2427" i="1"/>
  <c r="D2421" i="1"/>
  <c r="D2415" i="1"/>
  <c r="D2409" i="1"/>
  <c r="D2403" i="1"/>
  <c r="D2397" i="1"/>
  <c r="D2391" i="1"/>
  <c r="D2385" i="1"/>
  <c r="D2379" i="1"/>
  <c r="D2373" i="1"/>
  <c r="D2367" i="1"/>
  <c r="D2361" i="1"/>
  <c r="D2355" i="1"/>
  <c r="D2349" i="1"/>
  <c r="D2343" i="1"/>
  <c r="D2337" i="1"/>
  <c r="D2331" i="1"/>
  <c r="D2325" i="1"/>
  <c r="D2319" i="1"/>
  <c r="D2313" i="1"/>
  <c r="D2307" i="1"/>
  <c r="D2301" i="1"/>
  <c r="D2295" i="1"/>
  <c r="D2289" i="1"/>
  <c r="D2283" i="1"/>
  <c r="D2277" i="1"/>
  <c r="D2271" i="1"/>
  <c r="D2265" i="1"/>
  <c r="D2259" i="1"/>
  <c r="D2253" i="1"/>
  <c r="D2247" i="1"/>
  <c r="D2241" i="1"/>
  <c r="D2235" i="1"/>
  <c r="D2229" i="1"/>
  <c r="D2223" i="1"/>
  <c r="D2217" i="1"/>
  <c r="D2211" i="1"/>
  <c r="D2205" i="1"/>
  <c r="D2199" i="1"/>
  <c r="D2193" i="1"/>
  <c r="D2187" i="1"/>
  <c r="D2181" i="1"/>
  <c r="D2175" i="1"/>
  <c r="D2169" i="1"/>
  <c r="D2163" i="1"/>
  <c r="D2157" i="1"/>
  <c r="D2151" i="1"/>
  <c r="D2145" i="1"/>
  <c r="D2139" i="1"/>
  <c r="D2133" i="1"/>
  <c r="D2127" i="1"/>
  <c r="D2121" i="1"/>
  <c r="D2115" i="1"/>
  <c r="D2109" i="1"/>
  <c r="D2103" i="1"/>
  <c r="D2097" i="1"/>
  <c r="D2091" i="1"/>
  <c r="D2085" i="1"/>
  <c r="D2079" i="1"/>
  <c r="D2073" i="1"/>
  <c r="D2067" i="1"/>
  <c r="D2061" i="1"/>
  <c r="D2055" i="1"/>
  <c r="D2035" i="1"/>
  <c r="D2021" i="1"/>
  <c r="D2006" i="1"/>
  <c r="D2046" i="1"/>
  <c r="D2040" i="1"/>
  <c r="D2034" i="1"/>
  <c r="D2028" i="1"/>
  <c r="D2022" i="1"/>
  <c r="D2016" i="1"/>
  <c r="D2010" i="1"/>
  <c r="D2004" i="1"/>
  <c r="D1998" i="1"/>
  <c r="D1992" i="1"/>
  <c r="D1986" i="1"/>
  <c r="D2044" i="1"/>
  <c r="D2038" i="1"/>
  <c r="D2032" i="1"/>
  <c r="D2026" i="1"/>
  <c r="D2020" i="1"/>
  <c r="D2014" i="1"/>
  <c r="D2008" i="1"/>
  <c r="D2002" i="1"/>
  <c r="D1996" i="1"/>
  <c r="D1990" i="1"/>
  <c r="D1984" i="1"/>
  <c r="D2049" i="1"/>
  <c r="D2043" i="1"/>
  <c r="D2037" i="1"/>
  <c r="D2031" i="1"/>
  <c r="D2025" i="1"/>
  <c r="D2019" i="1"/>
  <c r="D2013" i="1"/>
  <c r="D2007" i="1"/>
  <c r="D2001" i="1"/>
  <c r="D1995" i="1"/>
  <c r="D1989" i="1"/>
  <c r="D1983" i="1"/>
  <c r="C3320" i="1" l="1"/>
  <c r="C3319" i="1"/>
  <c r="C3318" i="1"/>
  <c r="C3317" i="1"/>
  <c r="C3316" i="1"/>
  <c r="C3315" i="1"/>
  <c r="C3314" i="1"/>
  <c r="C3313" i="1"/>
  <c r="C3312" i="1"/>
  <c r="C3311" i="1"/>
  <c r="C3310" i="1"/>
  <c r="C3309" i="1"/>
  <c r="C3308" i="1"/>
  <c r="C3307" i="1"/>
  <c r="C3306" i="1"/>
  <c r="C3305" i="1"/>
  <c r="C3304" i="1"/>
  <c r="C3303" i="1"/>
  <c r="C3302" i="1"/>
  <c r="C3301" i="1"/>
  <c r="C3300" i="1"/>
  <c r="C3299" i="1"/>
  <c r="C3298" i="1"/>
  <c r="C3297" i="1"/>
  <c r="C3296" i="1"/>
  <c r="C3295" i="1"/>
  <c r="C3294" i="1"/>
  <c r="C3293" i="1"/>
  <c r="C3292" i="1"/>
  <c r="C3291" i="1"/>
  <c r="C3290" i="1"/>
  <c r="C3289" i="1"/>
  <c r="C3288" i="1"/>
  <c r="C3287" i="1"/>
  <c r="C3286" i="1"/>
  <c r="C3285" i="1"/>
  <c r="C3284" i="1"/>
  <c r="C3283" i="1"/>
  <c r="C3282" i="1"/>
  <c r="C3281" i="1"/>
  <c r="C3280" i="1"/>
  <c r="C3279" i="1"/>
  <c r="C3278" i="1"/>
  <c r="C3277" i="1"/>
  <c r="C3276" i="1"/>
  <c r="C3275" i="1"/>
  <c r="C3274" i="1"/>
  <c r="C3273" i="1"/>
  <c r="C3272" i="1"/>
  <c r="C3271" i="1"/>
  <c r="C3270" i="1"/>
  <c r="C3269" i="1"/>
  <c r="C3268" i="1"/>
  <c r="C3267" i="1"/>
  <c r="C3266" i="1"/>
  <c r="C3265" i="1"/>
  <c r="C3264" i="1"/>
  <c r="C3263" i="1"/>
  <c r="C3262" i="1"/>
  <c r="C3261" i="1"/>
  <c r="C3260" i="1"/>
  <c r="C3259" i="1"/>
  <c r="C3258" i="1"/>
  <c r="C3257" i="1"/>
  <c r="C3256" i="1"/>
  <c r="C3255" i="1"/>
  <c r="C3254" i="1"/>
  <c r="C3253" i="1"/>
  <c r="C3252" i="1"/>
  <c r="C3251" i="1"/>
  <c r="C3250" i="1"/>
  <c r="C3249" i="1"/>
  <c r="C3248" i="1"/>
  <c r="C3247" i="1"/>
  <c r="C3246" i="1"/>
  <c r="C3245" i="1"/>
  <c r="C3244" i="1"/>
  <c r="C3243" i="1"/>
  <c r="C3242" i="1"/>
  <c r="C3241" i="1"/>
  <c r="C3240" i="1"/>
  <c r="C3239" i="1"/>
  <c r="C3238" i="1"/>
  <c r="C3237" i="1"/>
  <c r="C3236" i="1"/>
  <c r="C3235" i="1"/>
  <c r="C3234" i="1"/>
  <c r="C3233" i="1"/>
  <c r="C3232" i="1"/>
  <c r="C3231" i="1"/>
  <c r="C3230" i="1"/>
  <c r="C3229" i="1"/>
  <c r="C3228" i="1"/>
  <c r="C3227" i="1"/>
  <c r="C3226" i="1"/>
  <c r="C3225" i="1"/>
  <c r="C3224" i="1"/>
  <c r="C3223" i="1"/>
  <c r="C3222" i="1"/>
  <c r="C3221" i="1"/>
  <c r="C3220" i="1"/>
  <c r="C3219" i="1"/>
  <c r="C3218" i="1"/>
  <c r="C3217" i="1"/>
  <c r="C3216" i="1"/>
  <c r="C3215" i="1"/>
  <c r="C3214" i="1"/>
  <c r="C3213" i="1"/>
  <c r="C3212" i="1"/>
  <c r="C3211" i="1"/>
  <c r="C3210" i="1"/>
  <c r="C3209" i="1"/>
  <c r="C3208" i="1"/>
  <c r="C3207" i="1"/>
  <c r="C3206" i="1"/>
  <c r="C3205" i="1"/>
  <c r="C3204" i="1"/>
  <c r="C3203" i="1"/>
  <c r="C3202" i="1"/>
  <c r="C3201" i="1"/>
  <c r="C3200" i="1"/>
  <c r="C3199" i="1"/>
  <c r="C3198" i="1"/>
  <c r="C3197" i="1"/>
  <c r="C3196" i="1"/>
  <c r="C3195" i="1"/>
  <c r="C3194" i="1"/>
  <c r="C3193" i="1"/>
  <c r="C3192" i="1"/>
  <c r="C3191" i="1"/>
  <c r="C3190" i="1"/>
  <c r="C3189" i="1"/>
  <c r="C3188" i="1"/>
  <c r="C3187" i="1"/>
  <c r="C3186" i="1"/>
  <c r="C3185" i="1"/>
  <c r="C3184" i="1"/>
  <c r="C3183" i="1"/>
  <c r="C3182" i="1"/>
  <c r="C3181" i="1"/>
  <c r="C3180" i="1"/>
  <c r="C3179" i="1"/>
  <c r="C3178" i="1"/>
  <c r="C3177" i="1"/>
  <c r="C3176" i="1"/>
  <c r="C3175" i="1"/>
  <c r="C3174" i="1"/>
  <c r="C3173" i="1"/>
  <c r="C3172" i="1"/>
  <c r="C3171" i="1"/>
  <c r="C3170" i="1"/>
  <c r="C3169" i="1"/>
  <c r="C3168" i="1"/>
  <c r="C3167" i="1"/>
  <c r="C3166" i="1"/>
  <c r="C3165" i="1"/>
  <c r="C3164" i="1"/>
  <c r="C3163" i="1"/>
  <c r="C3162" i="1"/>
  <c r="C3161" i="1"/>
  <c r="C3160" i="1"/>
  <c r="C3159" i="1"/>
  <c r="C3158" i="1"/>
  <c r="C3157" i="1"/>
  <c r="C3156" i="1"/>
  <c r="C3155" i="1"/>
  <c r="C3154" i="1"/>
  <c r="C3153" i="1"/>
  <c r="C3152" i="1"/>
  <c r="C3151" i="1"/>
  <c r="C3150" i="1"/>
  <c r="C3149" i="1"/>
  <c r="C3148" i="1"/>
  <c r="C3147" i="1"/>
  <c r="C3146" i="1"/>
  <c r="C3145" i="1"/>
  <c r="C3144" i="1"/>
  <c r="C3143" i="1"/>
  <c r="C3142" i="1"/>
  <c r="C3141" i="1"/>
  <c r="C3140" i="1"/>
  <c r="C3139" i="1"/>
  <c r="C3138" i="1"/>
  <c r="C3137" i="1"/>
  <c r="C3136" i="1"/>
  <c r="C3135" i="1"/>
  <c r="C3134" i="1"/>
  <c r="C3133" i="1"/>
  <c r="C3132" i="1"/>
  <c r="C3131" i="1"/>
  <c r="C3130" i="1"/>
  <c r="C3129" i="1"/>
  <c r="C3128" i="1"/>
  <c r="C3127" i="1"/>
  <c r="C3126" i="1"/>
  <c r="C3125" i="1"/>
  <c r="C3124" i="1"/>
  <c r="C3123" i="1"/>
  <c r="C3122" i="1"/>
  <c r="C3121" i="1"/>
  <c r="C3120" i="1"/>
  <c r="C3119" i="1"/>
  <c r="C3118" i="1"/>
  <c r="C3117" i="1"/>
  <c r="C3116" i="1"/>
  <c r="C3115" i="1"/>
  <c r="C3114" i="1"/>
  <c r="C3113" i="1"/>
  <c r="C3112" i="1"/>
  <c r="C3111" i="1"/>
  <c r="C3110" i="1"/>
  <c r="C3109" i="1"/>
  <c r="C3108" i="1"/>
  <c r="C3107" i="1"/>
  <c r="C3106" i="1"/>
  <c r="C3105" i="1"/>
  <c r="C3104" i="1"/>
  <c r="C3103" i="1"/>
  <c r="C3102" i="1"/>
  <c r="C3101" i="1"/>
  <c r="C3100" i="1"/>
  <c r="C3099" i="1"/>
  <c r="C3098" i="1"/>
  <c r="C3097" i="1"/>
  <c r="C3096" i="1"/>
  <c r="C3095" i="1"/>
  <c r="C3094" i="1"/>
  <c r="C3093" i="1"/>
  <c r="C3092" i="1"/>
  <c r="C3091" i="1"/>
  <c r="C3090" i="1"/>
  <c r="C3089" i="1"/>
  <c r="C3088" i="1"/>
  <c r="C3087" i="1"/>
  <c r="C3086" i="1"/>
  <c r="C3085" i="1"/>
  <c r="C3084" i="1"/>
  <c r="C3083" i="1"/>
  <c r="C3082" i="1"/>
  <c r="C3081" i="1"/>
  <c r="C3080" i="1"/>
  <c r="C3079" i="1"/>
  <c r="C3078" i="1"/>
  <c r="C3077" i="1"/>
  <c r="C3076" i="1"/>
  <c r="C3075" i="1"/>
  <c r="C3074" i="1"/>
  <c r="C3073" i="1"/>
  <c r="C3072" i="1"/>
  <c r="C3071" i="1"/>
  <c r="C3070" i="1"/>
  <c r="C3069" i="1"/>
  <c r="C3068" i="1"/>
  <c r="C3067" i="1"/>
  <c r="C3066" i="1"/>
  <c r="C3065" i="1"/>
  <c r="C3064" i="1"/>
  <c r="C3063" i="1"/>
  <c r="C3062" i="1"/>
  <c r="C3061" i="1"/>
  <c r="C3060" i="1"/>
  <c r="C3059" i="1"/>
  <c r="C3058" i="1"/>
  <c r="C3057" i="1"/>
  <c r="C3056" i="1"/>
  <c r="C3055" i="1"/>
  <c r="C3054" i="1"/>
  <c r="C3053" i="1"/>
  <c r="C3052" i="1"/>
  <c r="C3051" i="1"/>
  <c r="C3050" i="1"/>
  <c r="C3049" i="1"/>
  <c r="C3048" i="1"/>
  <c r="C3047" i="1"/>
  <c r="C3046" i="1"/>
  <c r="C3045" i="1"/>
  <c r="C3044" i="1"/>
  <c r="C3043" i="1"/>
  <c r="C3042" i="1"/>
  <c r="C3041" i="1"/>
  <c r="C3040" i="1"/>
  <c r="C3039" i="1"/>
  <c r="C3038" i="1"/>
  <c r="C3037" i="1"/>
  <c r="C3036" i="1"/>
  <c r="C3035" i="1"/>
  <c r="C3034" i="1"/>
  <c r="C3033" i="1"/>
  <c r="C3032" i="1"/>
  <c r="C3031" i="1"/>
  <c r="C3030" i="1"/>
  <c r="C3029" i="1"/>
  <c r="C3028" i="1"/>
  <c r="C3027" i="1"/>
  <c r="C3026" i="1"/>
  <c r="C3025" i="1"/>
  <c r="C3024" i="1"/>
  <c r="C3023" i="1"/>
  <c r="C3022" i="1"/>
  <c r="C3021" i="1"/>
  <c r="C3020" i="1"/>
  <c r="C3019" i="1"/>
  <c r="C3018" i="1"/>
  <c r="C3017" i="1"/>
  <c r="C3016" i="1"/>
  <c r="C3015" i="1"/>
  <c r="C3014" i="1"/>
  <c r="C3013" i="1"/>
  <c r="C3012" i="1"/>
  <c r="C3011" i="1"/>
  <c r="C3010" i="1"/>
  <c r="C3009" i="1"/>
  <c r="C3008" i="1"/>
  <c r="C3007" i="1"/>
  <c r="C3006" i="1"/>
  <c r="C3005" i="1"/>
  <c r="C3004" i="1"/>
  <c r="C3003" i="1"/>
  <c r="C3002" i="1"/>
  <c r="C3001" i="1"/>
  <c r="C3000" i="1"/>
  <c r="C2999" i="1"/>
  <c r="C2998" i="1"/>
  <c r="C2997" i="1"/>
  <c r="C2996" i="1"/>
  <c r="C2995" i="1"/>
  <c r="C2994" i="1"/>
  <c r="C2993" i="1"/>
  <c r="C2992" i="1"/>
  <c r="C2991" i="1"/>
  <c r="C2990" i="1"/>
  <c r="C2989" i="1"/>
  <c r="C2988" i="1"/>
  <c r="C2987" i="1"/>
  <c r="C2986" i="1"/>
  <c r="C2985" i="1"/>
  <c r="C2984" i="1"/>
  <c r="C2983" i="1"/>
  <c r="C2982" i="1"/>
  <c r="C2981" i="1"/>
  <c r="C2980" i="1"/>
  <c r="C2979" i="1"/>
  <c r="C2978" i="1"/>
  <c r="C2977" i="1"/>
  <c r="C2976" i="1"/>
  <c r="C2975" i="1"/>
  <c r="C2974" i="1"/>
  <c r="C2973" i="1"/>
  <c r="C2972" i="1"/>
  <c r="C2971" i="1"/>
  <c r="C2970" i="1"/>
  <c r="C2969" i="1"/>
  <c r="C2968" i="1"/>
  <c r="C2967" i="1"/>
  <c r="C2966" i="1"/>
  <c r="C2965" i="1"/>
  <c r="C2964" i="1"/>
  <c r="C2963" i="1"/>
  <c r="C2962" i="1"/>
  <c r="C2961" i="1"/>
  <c r="C2960" i="1"/>
  <c r="C2959" i="1"/>
  <c r="C2958" i="1"/>
  <c r="C2957" i="1"/>
  <c r="C2956" i="1"/>
  <c r="C2955" i="1"/>
  <c r="C2954" i="1"/>
  <c r="C2953" i="1"/>
  <c r="C2952" i="1"/>
  <c r="C2951" i="1"/>
  <c r="C2950" i="1"/>
  <c r="C2949" i="1"/>
  <c r="C2948" i="1"/>
  <c r="C2947" i="1"/>
  <c r="C2946" i="1"/>
  <c r="C2945" i="1"/>
  <c r="C2944" i="1"/>
  <c r="C2943" i="1"/>
  <c r="C2942" i="1"/>
  <c r="C2941" i="1"/>
  <c r="C2940" i="1"/>
  <c r="C2939" i="1"/>
  <c r="C2938" i="1"/>
  <c r="C2937" i="1"/>
  <c r="C2936" i="1"/>
  <c r="C2935" i="1"/>
  <c r="C2934" i="1"/>
  <c r="C2933" i="1"/>
  <c r="C2932" i="1"/>
  <c r="C2931" i="1"/>
  <c r="C2930" i="1"/>
  <c r="C2929" i="1"/>
  <c r="C2928" i="1"/>
  <c r="C2927" i="1"/>
  <c r="C2926" i="1"/>
  <c r="C2925" i="1"/>
  <c r="C2924" i="1"/>
  <c r="C2923" i="1"/>
  <c r="C2922" i="1"/>
  <c r="C2921" i="1"/>
  <c r="C2920" i="1"/>
  <c r="C2919" i="1"/>
  <c r="C2918" i="1"/>
  <c r="C2917" i="1"/>
  <c r="C2916" i="1"/>
  <c r="C2915" i="1"/>
  <c r="C2914" i="1"/>
  <c r="C2913" i="1"/>
  <c r="C2912" i="1"/>
  <c r="C2911" i="1"/>
  <c r="C2910" i="1"/>
  <c r="C2909" i="1"/>
  <c r="C2908" i="1"/>
  <c r="C2907" i="1"/>
  <c r="C2906" i="1"/>
  <c r="C2905" i="1"/>
  <c r="C2904" i="1"/>
  <c r="C2903" i="1"/>
  <c r="C2902" i="1"/>
  <c r="C2901" i="1"/>
  <c r="C2900" i="1"/>
  <c r="C2899" i="1"/>
  <c r="C2898" i="1"/>
  <c r="C2897" i="1"/>
  <c r="C2896" i="1"/>
  <c r="C2895" i="1"/>
  <c r="C2894" i="1"/>
  <c r="C2893" i="1"/>
  <c r="C2892" i="1"/>
  <c r="C2891" i="1"/>
  <c r="C2890" i="1"/>
  <c r="C2889" i="1"/>
  <c r="C2888" i="1"/>
  <c r="C2887" i="1"/>
  <c r="C2886" i="1"/>
  <c r="C2885" i="1"/>
  <c r="C2884" i="1"/>
  <c r="C2883" i="1"/>
  <c r="C2882" i="1"/>
  <c r="C2881" i="1"/>
  <c r="C2880" i="1"/>
  <c r="C2879" i="1"/>
  <c r="C2878" i="1"/>
  <c r="C2877" i="1"/>
  <c r="C2876" i="1"/>
  <c r="C2875" i="1"/>
  <c r="C2874" i="1"/>
  <c r="C2873" i="1"/>
  <c r="C2872" i="1"/>
  <c r="C2871" i="1"/>
  <c r="C2870" i="1"/>
  <c r="C2869" i="1"/>
  <c r="C2868" i="1"/>
  <c r="C2867" i="1"/>
  <c r="C2866" i="1"/>
  <c r="C2865" i="1"/>
  <c r="C2864" i="1"/>
  <c r="C2863" i="1"/>
  <c r="C2862" i="1"/>
  <c r="C2861" i="1"/>
  <c r="C2860" i="1"/>
  <c r="C2859" i="1"/>
  <c r="C2858" i="1"/>
  <c r="C2857" i="1"/>
  <c r="C2856" i="1"/>
  <c r="C2855" i="1"/>
  <c r="C2854" i="1"/>
  <c r="C2853" i="1"/>
  <c r="C2852" i="1"/>
  <c r="C2851" i="1"/>
  <c r="C2850" i="1"/>
  <c r="C2849" i="1"/>
  <c r="C2848" i="1"/>
  <c r="C2847" i="1"/>
  <c r="C2846" i="1"/>
  <c r="C2845" i="1"/>
  <c r="C2844" i="1"/>
  <c r="C2843" i="1"/>
  <c r="C2842" i="1"/>
  <c r="C2841" i="1"/>
  <c r="C2840" i="1"/>
  <c r="C2839" i="1"/>
  <c r="C2838" i="1"/>
  <c r="C2837" i="1"/>
  <c r="C2836" i="1"/>
  <c r="C2835" i="1"/>
  <c r="C2834" i="1"/>
  <c r="C2833" i="1"/>
  <c r="C2832" i="1"/>
  <c r="C2831" i="1"/>
  <c r="C2830" i="1"/>
  <c r="C2829" i="1"/>
  <c r="C2828" i="1"/>
  <c r="C2827" i="1"/>
  <c r="C2826" i="1"/>
  <c r="C2825" i="1"/>
  <c r="C2824" i="1"/>
  <c r="C2823" i="1"/>
  <c r="C2822" i="1"/>
  <c r="C2821" i="1"/>
  <c r="C2820" i="1"/>
  <c r="C2819" i="1"/>
  <c r="C2818" i="1"/>
  <c r="C2817" i="1"/>
  <c r="C2816" i="1"/>
  <c r="C2815" i="1"/>
  <c r="C2814" i="1"/>
  <c r="C2813" i="1"/>
  <c r="C2812" i="1"/>
  <c r="C2811" i="1"/>
  <c r="C2810" i="1"/>
  <c r="C2809" i="1"/>
  <c r="C2808" i="1"/>
  <c r="C2807" i="1"/>
  <c r="C2806" i="1"/>
  <c r="C2805" i="1"/>
  <c r="C2804" i="1"/>
  <c r="C2803" i="1"/>
  <c r="C2802" i="1"/>
  <c r="C2801" i="1"/>
  <c r="C2800" i="1"/>
  <c r="C2799" i="1"/>
  <c r="C2798" i="1"/>
  <c r="C2797" i="1"/>
  <c r="C2796" i="1"/>
  <c r="C2795" i="1"/>
  <c r="C2794" i="1"/>
  <c r="C2793" i="1"/>
  <c r="C2792" i="1"/>
  <c r="C2791" i="1"/>
  <c r="C2790" i="1"/>
  <c r="C2789" i="1"/>
  <c r="C2788" i="1"/>
  <c r="C2787" i="1"/>
  <c r="C2786" i="1"/>
  <c r="C2785" i="1"/>
  <c r="C2784" i="1"/>
  <c r="C2783" i="1"/>
  <c r="C2782" i="1"/>
  <c r="C2781" i="1"/>
  <c r="C2780" i="1"/>
  <c r="C2779" i="1"/>
  <c r="C2778" i="1"/>
  <c r="C2777" i="1"/>
  <c r="C2776" i="1"/>
  <c r="C2775" i="1"/>
  <c r="C2774" i="1"/>
  <c r="C2773" i="1"/>
  <c r="C2772" i="1"/>
  <c r="C2771" i="1"/>
  <c r="C2770" i="1"/>
  <c r="C2769" i="1"/>
  <c r="C2768" i="1"/>
  <c r="C2767" i="1"/>
  <c r="C2766" i="1"/>
  <c r="C2765" i="1"/>
  <c r="C2764" i="1"/>
  <c r="C2763" i="1"/>
  <c r="C2762" i="1"/>
  <c r="C2761" i="1"/>
  <c r="C2760" i="1"/>
  <c r="C2759" i="1"/>
  <c r="C2758" i="1"/>
  <c r="C2757" i="1"/>
  <c r="C2756" i="1"/>
  <c r="C2755" i="1"/>
  <c r="C2754" i="1"/>
  <c r="C2753" i="1"/>
  <c r="C2752" i="1"/>
  <c r="C2751" i="1"/>
  <c r="C2750" i="1"/>
  <c r="C2749" i="1"/>
  <c r="C2748" i="1"/>
  <c r="C2747" i="1"/>
  <c r="C2746" i="1"/>
  <c r="C2745" i="1"/>
  <c r="C2744" i="1"/>
  <c r="C2743" i="1"/>
  <c r="C2742" i="1"/>
  <c r="C2741" i="1"/>
  <c r="C2740" i="1"/>
  <c r="C2739" i="1"/>
  <c r="C2738" i="1"/>
  <c r="C2737" i="1"/>
  <c r="C2736" i="1"/>
  <c r="C2735" i="1"/>
  <c r="C2734" i="1"/>
  <c r="C2733" i="1"/>
  <c r="C2732" i="1"/>
  <c r="C2731" i="1"/>
  <c r="C2730" i="1"/>
  <c r="C2729" i="1"/>
  <c r="C2728" i="1"/>
  <c r="C2727" i="1"/>
  <c r="C2726" i="1"/>
  <c r="C2725" i="1"/>
  <c r="C2724" i="1"/>
  <c r="C2723" i="1"/>
  <c r="C2722" i="1"/>
  <c r="C2721" i="1"/>
  <c r="C2720" i="1"/>
  <c r="C2719" i="1"/>
  <c r="C2718" i="1"/>
  <c r="C2717" i="1"/>
  <c r="C2716" i="1"/>
  <c r="C2715" i="1"/>
  <c r="C2714" i="1"/>
  <c r="C2713" i="1"/>
  <c r="C2712" i="1"/>
  <c r="C2711" i="1"/>
  <c r="C2710" i="1"/>
  <c r="C2709" i="1"/>
  <c r="C2708" i="1"/>
  <c r="C2707" i="1"/>
  <c r="C2706" i="1"/>
  <c r="C2705" i="1"/>
  <c r="C2704" i="1"/>
  <c r="C2703" i="1"/>
  <c r="C2702" i="1"/>
  <c r="C2701" i="1"/>
  <c r="C2700" i="1"/>
  <c r="C2699" i="1"/>
  <c r="C2698" i="1"/>
  <c r="C2697" i="1"/>
  <c r="C2696" i="1"/>
  <c r="C2695" i="1"/>
  <c r="C2694" i="1"/>
  <c r="C2693" i="1"/>
  <c r="C2692" i="1"/>
  <c r="C2691" i="1"/>
  <c r="C2690" i="1"/>
  <c r="C2689" i="1"/>
  <c r="C2688" i="1"/>
  <c r="C2687" i="1"/>
  <c r="C2686" i="1"/>
  <c r="C2685" i="1"/>
  <c r="C2684" i="1"/>
  <c r="C2683" i="1"/>
  <c r="C2682" i="1"/>
  <c r="C2681" i="1"/>
  <c r="C2680" i="1"/>
  <c r="C2679" i="1"/>
  <c r="C2678" i="1"/>
  <c r="C2677" i="1"/>
  <c r="C2676" i="1"/>
  <c r="C2675" i="1"/>
  <c r="C2674" i="1"/>
  <c r="C2673" i="1"/>
  <c r="C2672" i="1"/>
  <c r="C2671" i="1"/>
  <c r="C2670" i="1"/>
  <c r="C2669" i="1"/>
  <c r="C2668" i="1"/>
  <c r="C2667" i="1"/>
  <c r="C2666" i="1"/>
  <c r="C2665" i="1"/>
  <c r="C2664" i="1"/>
  <c r="C2663" i="1"/>
  <c r="C2662" i="1"/>
  <c r="C2661" i="1"/>
  <c r="C2660" i="1"/>
  <c r="C2659" i="1"/>
  <c r="C2658" i="1"/>
  <c r="C2657" i="1"/>
  <c r="C2656" i="1"/>
  <c r="C2655" i="1"/>
  <c r="C2654" i="1"/>
  <c r="C2653" i="1"/>
  <c r="C2652" i="1"/>
  <c r="C2651" i="1"/>
  <c r="C2650" i="1"/>
  <c r="C2649" i="1"/>
  <c r="C2648" i="1"/>
  <c r="C2647" i="1"/>
  <c r="C2646" i="1"/>
  <c r="C2645" i="1"/>
  <c r="C2644" i="1"/>
  <c r="C2643" i="1"/>
  <c r="C2642" i="1"/>
  <c r="C2641" i="1"/>
  <c r="C2640" i="1"/>
  <c r="C2639" i="1"/>
  <c r="C2638" i="1"/>
  <c r="C2637" i="1"/>
  <c r="C2636" i="1"/>
  <c r="C2635" i="1"/>
  <c r="C2634" i="1"/>
  <c r="C2633" i="1"/>
  <c r="C2632" i="1"/>
  <c r="C2631" i="1"/>
  <c r="C2630" i="1"/>
  <c r="C2629" i="1"/>
  <c r="C2628" i="1"/>
  <c r="C2627" i="1"/>
  <c r="C2626" i="1"/>
  <c r="C2625" i="1"/>
  <c r="C2624" i="1"/>
  <c r="C2623" i="1"/>
  <c r="C2622" i="1"/>
  <c r="C2621" i="1"/>
  <c r="C2620" i="1"/>
  <c r="C2619" i="1"/>
  <c r="C2618" i="1"/>
  <c r="C2617" i="1"/>
  <c r="C2616" i="1"/>
  <c r="C2615" i="1"/>
  <c r="C2614" i="1"/>
  <c r="C2613" i="1"/>
  <c r="C2612" i="1"/>
  <c r="C2611" i="1"/>
  <c r="C2610" i="1"/>
  <c r="C2609" i="1"/>
  <c r="C2608" i="1"/>
  <c r="C2607" i="1"/>
  <c r="C2606" i="1"/>
  <c r="C2605" i="1"/>
  <c r="C2604" i="1"/>
  <c r="C2603" i="1"/>
  <c r="C2602" i="1"/>
  <c r="C2601" i="1"/>
  <c r="C2600" i="1"/>
  <c r="C2599" i="1"/>
  <c r="C2598" i="1"/>
  <c r="C2597" i="1"/>
  <c r="C2596" i="1"/>
  <c r="C2595" i="1"/>
  <c r="C2594" i="1"/>
  <c r="C2593" i="1"/>
  <c r="C2592" i="1"/>
  <c r="C2591" i="1"/>
  <c r="C2590" i="1"/>
  <c r="C2589" i="1"/>
  <c r="C2588" i="1"/>
  <c r="C2587" i="1"/>
  <c r="C2586" i="1"/>
  <c r="C2585" i="1"/>
  <c r="C2584" i="1"/>
  <c r="C2583" i="1"/>
  <c r="C2582" i="1"/>
  <c r="C2581" i="1"/>
  <c r="C2580" i="1"/>
  <c r="C2579" i="1"/>
  <c r="C2578" i="1"/>
  <c r="C2577" i="1"/>
  <c r="C2576" i="1"/>
  <c r="C2575" i="1"/>
  <c r="C2574" i="1"/>
  <c r="C2573" i="1"/>
  <c r="C2572" i="1"/>
  <c r="C2571" i="1"/>
  <c r="C2570" i="1"/>
  <c r="C2569" i="1"/>
  <c r="C2568" i="1"/>
  <c r="C2567" i="1"/>
  <c r="C2566" i="1"/>
  <c r="C2565" i="1"/>
  <c r="C2564" i="1"/>
  <c r="C2563" i="1"/>
  <c r="C2562" i="1"/>
  <c r="C2561" i="1"/>
  <c r="C2560" i="1"/>
  <c r="C2559" i="1"/>
  <c r="C2558" i="1"/>
  <c r="C2557" i="1"/>
  <c r="C2556" i="1"/>
  <c r="C2555" i="1"/>
  <c r="C2554" i="1"/>
  <c r="C2553" i="1"/>
  <c r="C2552" i="1"/>
  <c r="C2551" i="1"/>
  <c r="C2550" i="1"/>
  <c r="C2549" i="1"/>
  <c r="C2548" i="1"/>
  <c r="C2547" i="1"/>
  <c r="C2546" i="1"/>
  <c r="C2545" i="1"/>
  <c r="C2544" i="1"/>
  <c r="C2543" i="1"/>
  <c r="C2542" i="1"/>
  <c r="C2541" i="1"/>
  <c r="C2540" i="1"/>
  <c r="C2539" i="1"/>
  <c r="C2538" i="1"/>
  <c r="C2537" i="1"/>
  <c r="C2536" i="1"/>
  <c r="C2535" i="1"/>
  <c r="C2534" i="1"/>
  <c r="C2533" i="1"/>
  <c r="C2532" i="1"/>
  <c r="C2531" i="1"/>
  <c r="C2530" i="1"/>
  <c r="C2529" i="1"/>
  <c r="C2528" i="1"/>
  <c r="C2527" i="1"/>
  <c r="C2526" i="1"/>
  <c r="C2525" i="1"/>
  <c r="C2524" i="1"/>
  <c r="C2523" i="1"/>
  <c r="C2522" i="1"/>
  <c r="C2521" i="1"/>
  <c r="C2520" i="1"/>
  <c r="C2519" i="1"/>
  <c r="C2518" i="1"/>
  <c r="C2517" i="1"/>
  <c r="C2516" i="1"/>
  <c r="C2515" i="1"/>
  <c r="C2514" i="1"/>
  <c r="C2513" i="1"/>
  <c r="C2512" i="1"/>
  <c r="C2511" i="1"/>
  <c r="C2510" i="1"/>
  <c r="C2509" i="1"/>
  <c r="C2508" i="1"/>
  <c r="C2507" i="1"/>
  <c r="C2506" i="1"/>
  <c r="C2505" i="1"/>
  <c r="C2504" i="1"/>
  <c r="C2503" i="1"/>
  <c r="C2502" i="1"/>
  <c r="C2501" i="1"/>
  <c r="C2500" i="1"/>
  <c r="C2499" i="1"/>
  <c r="C2498" i="1"/>
  <c r="C2497" i="1"/>
  <c r="C2496" i="1"/>
  <c r="C2495" i="1"/>
  <c r="C2494" i="1"/>
  <c r="C2493" i="1"/>
  <c r="C2492" i="1"/>
  <c r="C2491" i="1"/>
  <c r="C2490" i="1"/>
  <c r="C2489" i="1"/>
  <c r="C2488" i="1"/>
  <c r="C2487" i="1"/>
  <c r="C2486" i="1"/>
  <c r="C2485" i="1"/>
  <c r="C2484" i="1"/>
  <c r="C2483" i="1"/>
  <c r="C2482" i="1"/>
  <c r="C2481" i="1"/>
  <c r="C2480" i="1"/>
  <c r="C2479" i="1"/>
  <c r="C2478" i="1"/>
  <c r="C2477" i="1"/>
  <c r="C2476" i="1"/>
  <c r="C2475" i="1"/>
  <c r="C2474" i="1"/>
  <c r="C2473" i="1"/>
  <c r="C2472" i="1"/>
  <c r="C2471" i="1"/>
  <c r="C2470" i="1"/>
  <c r="C2469" i="1"/>
  <c r="C2468" i="1"/>
  <c r="C2467" i="1"/>
  <c r="C2466" i="1"/>
  <c r="C2465" i="1"/>
  <c r="C2464" i="1"/>
  <c r="C2463" i="1"/>
  <c r="C2462" i="1"/>
  <c r="C2461" i="1"/>
  <c r="C2460" i="1"/>
  <c r="C2459" i="1"/>
  <c r="C2458" i="1"/>
  <c r="C2457" i="1"/>
  <c r="C2456" i="1"/>
  <c r="C2455" i="1"/>
  <c r="C2454" i="1"/>
  <c r="C2453" i="1"/>
  <c r="C2452" i="1"/>
  <c r="C2451" i="1"/>
  <c r="C2450" i="1"/>
  <c r="C2449" i="1"/>
  <c r="C2448" i="1"/>
  <c r="C2447" i="1"/>
  <c r="C2446" i="1"/>
  <c r="C2445" i="1"/>
  <c r="C2444" i="1"/>
  <c r="C2443" i="1"/>
  <c r="C2442" i="1"/>
  <c r="C2441" i="1"/>
  <c r="C2440" i="1"/>
  <c r="C2439" i="1"/>
  <c r="C2438" i="1"/>
  <c r="C2437" i="1"/>
  <c r="C2436" i="1"/>
  <c r="C2435" i="1"/>
  <c r="C2434" i="1"/>
  <c r="C2433" i="1"/>
  <c r="C2432" i="1"/>
  <c r="C2431" i="1"/>
  <c r="C2430" i="1"/>
  <c r="C2429" i="1"/>
  <c r="C2428" i="1"/>
  <c r="C2427" i="1"/>
  <c r="C2426" i="1"/>
  <c r="C2425" i="1"/>
  <c r="C2424" i="1"/>
  <c r="C2423" i="1"/>
  <c r="C2422" i="1"/>
  <c r="C2421" i="1"/>
  <c r="C2420" i="1"/>
  <c r="C2419" i="1"/>
  <c r="C2418" i="1"/>
  <c r="C2417" i="1"/>
  <c r="C2416" i="1"/>
  <c r="C2415" i="1"/>
  <c r="C2414" i="1"/>
  <c r="C2413" i="1"/>
  <c r="C2412" i="1"/>
  <c r="C2411" i="1"/>
  <c r="C2410" i="1"/>
  <c r="C2409" i="1"/>
  <c r="C2408" i="1"/>
  <c r="C2407" i="1"/>
  <c r="C2406" i="1"/>
  <c r="C2405" i="1"/>
  <c r="C2404" i="1"/>
  <c r="C2403" i="1"/>
  <c r="C2402" i="1"/>
  <c r="C2401" i="1"/>
  <c r="C2400" i="1"/>
  <c r="C2399" i="1"/>
  <c r="C2398" i="1"/>
  <c r="C2397" i="1"/>
  <c r="C2396" i="1"/>
  <c r="C2395" i="1"/>
  <c r="C2394" i="1"/>
  <c r="C2393" i="1"/>
  <c r="C2392" i="1"/>
  <c r="C2391" i="1"/>
  <c r="C2390" i="1"/>
  <c r="C2389" i="1"/>
  <c r="C2388" i="1"/>
  <c r="C2387" i="1"/>
  <c r="C2386" i="1"/>
  <c r="C2385" i="1"/>
  <c r="C2384" i="1"/>
  <c r="C2383" i="1"/>
  <c r="C2382" i="1"/>
  <c r="C2381" i="1"/>
  <c r="C2380" i="1"/>
  <c r="C2379" i="1"/>
  <c r="C2378" i="1"/>
  <c r="C2377" i="1"/>
  <c r="C2376" i="1"/>
  <c r="C2375" i="1"/>
  <c r="C2374" i="1"/>
  <c r="C2373" i="1"/>
  <c r="C2372" i="1"/>
  <c r="C2371" i="1"/>
  <c r="C2370" i="1"/>
  <c r="C2369" i="1"/>
  <c r="C2368" i="1"/>
  <c r="C2367" i="1"/>
  <c r="C2366" i="1"/>
  <c r="C2365" i="1"/>
  <c r="C2364" i="1"/>
  <c r="C2363" i="1"/>
  <c r="C2362" i="1"/>
  <c r="C2361" i="1"/>
  <c r="C2360" i="1"/>
  <c r="C2359" i="1"/>
  <c r="C2358" i="1"/>
  <c r="C2357" i="1"/>
  <c r="C2356" i="1"/>
  <c r="C2355" i="1"/>
  <c r="C2354" i="1"/>
  <c r="C2353" i="1"/>
  <c r="C2352" i="1"/>
  <c r="C2351" i="1"/>
  <c r="C2350" i="1"/>
  <c r="C2349" i="1"/>
  <c r="C2348" i="1"/>
  <c r="C2347" i="1"/>
  <c r="C2346" i="1"/>
  <c r="C2345" i="1"/>
  <c r="C2344" i="1"/>
  <c r="C2343" i="1"/>
  <c r="C2342" i="1"/>
  <c r="C2341" i="1"/>
  <c r="C2340" i="1"/>
  <c r="C2339" i="1"/>
  <c r="C2338" i="1"/>
  <c r="C2337" i="1"/>
  <c r="C2336" i="1"/>
  <c r="C2335" i="1"/>
  <c r="C2334" i="1"/>
  <c r="C2333" i="1"/>
  <c r="C2332" i="1"/>
  <c r="C2331" i="1"/>
  <c r="C2330" i="1"/>
  <c r="C2329" i="1"/>
  <c r="C2328" i="1"/>
  <c r="C2327" i="1"/>
  <c r="C2326" i="1"/>
  <c r="C2325" i="1"/>
  <c r="C2324" i="1"/>
  <c r="C2323" i="1"/>
  <c r="C2322" i="1"/>
  <c r="C2321" i="1"/>
  <c r="C2320" i="1"/>
  <c r="C2319" i="1"/>
  <c r="C2318" i="1"/>
  <c r="C2317" i="1"/>
  <c r="C2316" i="1"/>
  <c r="C2315" i="1"/>
  <c r="C2314" i="1"/>
  <c r="C2313" i="1"/>
  <c r="C2312" i="1"/>
  <c r="C2311" i="1"/>
  <c r="C2310" i="1"/>
  <c r="C2309" i="1"/>
  <c r="C2308" i="1"/>
  <c r="C2307" i="1"/>
  <c r="C2306" i="1"/>
  <c r="C2305" i="1"/>
  <c r="C2304" i="1"/>
  <c r="C2303" i="1"/>
  <c r="C2302" i="1"/>
  <c r="C2301" i="1"/>
  <c r="C2300" i="1"/>
  <c r="C2299" i="1"/>
  <c r="C2298" i="1"/>
  <c r="C2297" i="1"/>
  <c r="C2296" i="1"/>
  <c r="C2295" i="1"/>
  <c r="C2294" i="1"/>
  <c r="C2293" i="1"/>
  <c r="C2292" i="1"/>
  <c r="C2291" i="1"/>
  <c r="C2290" i="1"/>
  <c r="C2289" i="1"/>
  <c r="C2288" i="1"/>
  <c r="C2287" i="1"/>
  <c r="C2286" i="1"/>
  <c r="C2285" i="1"/>
  <c r="C2284" i="1"/>
  <c r="C2283" i="1"/>
  <c r="C2282" i="1"/>
  <c r="C2281" i="1"/>
  <c r="C2280" i="1"/>
  <c r="C2279" i="1"/>
  <c r="C2278" i="1"/>
  <c r="C2277" i="1"/>
  <c r="C2276" i="1"/>
  <c r="C2275" i="1"/>
  <c r="C2274" i="1"/>
  <c r="C2273" i="1"/>
  <c r="C2272" i="1"/>
  <c r="C2271" i="1"/>
  <c r="C2270" i="1"/>
  <c r="C2269" i="1"/>
  <c r="C2268" i="1"/>
  <c r="C2267" i="1"/>
  <c r="C2266" i="1"/>
  <c r="C2265" i="1"/>
  <c r="C2264" i="1"/>
  <c r="C2263" i="1"/>
  <c r="C2262" i="1"/>
  <c r="C2261" i="1"/>
  <c r="C2260" i="1"/>
  <c r="C2259" i="1"/>
  <c r="C2258" i="1"/>
  <c r="C2257" i="1"/>
  <c r="C2256" i="1"/>
  <c r="C2255" i="1"/>
  <c r="C2254" i="1"/>
  <c r="C2253" i="1"/>
  <c r="C2252" i="1"/>
  <c r="C2251" i="1"/>
  <c r="C2250" i="1"/>
  <c r="C2249" i="1"/>
  <c r="C2248" i="1"/>
  <c r="C2247" i="1"/>
  <c r="C2246" i="1"/>
  <c r="C2245" i="1"/>
  <c r="C2244" i="1"/>
  <c r="C2243" i="1"/>
  <c r="C2242" i="1"/>
  <c r="C2241" i="1"/>
  <c r="C2240" i="1"/>
  <c r="C2239" i="1"/>
  <c r="C2238" i="1"/>
  <c r="C2237" i="1"/>
  <c r="C2236" i="1"/>
  <c r="C2235" i="1"/>
  <c r="C2234" i="1"/>
  <c r="C2233" i="1"/>
  <c r="C2232" i="1"/>
  <c r="C2231" i="1"/>
  <c r="C2230" i="1"/>
  <c r="C2229" i="1"/>
  <c r="C2228" i="1"/>
  <c r="C2227" i="1"/>
  <c r="C2226" i="1"/>
  <c r="C2225" i="1"/>
  <c r="C2224" i="1"/>
  <c r="C2223" i="1"/>
  <c r="C2222" i="1"/>
  <c r="C2221" i="1"/>
  <c r="C2220" i="1"/>
  <c r="C2219" i="1"/>
  <c r="C2218" i="1"/>
  <c r="C2217" i="1"/>
  <c r="C2216" i="1"/>
  <c r="C2215" i="1"/>
  <c r="C2214" i="1"/>
  <c r="C2213" i="1"/>
  <c r="C2212" i="1"/>
  <c r="C2211" i="1"/>
  <c r="C2210" i="1"/>
  <c r="C2209" i="1"/>
  <c r="C2208" i="1"/>
  <c r="C2207" i="1"/>
  <c r="C2206" i="1"/>
  <c r="C2205" i="1"/>
  <c r="C2204" i="1"/>
  <c r="C2203" i="1"/>
  <c r="C2202" i="1"/>
  <c r="C2201" i="1"/>
  <c r="C2200" i="1"/>
  <c r="C2199" i="1"/>
  <c r="C2198" i="1"/>
  <c r="C2197" i="1"/>
  <c r="C2196" i="1"/>
  <c r="C2195" i="1"/>
  <c r="C2194" i="1"/>
  <c r="C2193" i="1"/>
  <c r="C2192" i="1"/>
  <c r="C2191" i="1"/>
  <c r="C2190" i="1"/>
  <c r="C2189" i="1"/>
  <c r="C2188" i="1"/>
  <c r="C2187" i="1"/>
  <c r="C2186" i="1"/>
  <c r="C2185" i="1"/>
  <c r="C2184" i="1"/>
  <c r="C2183" i="1"/>
  <c r="C2182" i="1"/>
  <c r="C2181" i="1"/>
  <c r="C2180" i="1"/>
  <c r="C2179" i="1"/>
  <c r="C2178" i="1"/>
  <c r="C2177" i="1"/>
  <c r="C2176" i="1"/>
  <c r="C2175" i="1"/>
  <c r="C2174" i="1"/>
  <c r="C2173" i="1"/>
  <c r="C2172" i="1"/>
  <c r="C2171" i="1"/>
  <c r="C2170" i="1"/>
  <c r="C2169" i="1"/>
  <c r="C2168" i="1"/>
  <c r="C2167" i="1"/>
  <c r="C2166" i="1"/>
  <c r="C2165" i="1"/>
  <c r="C2164" i="1"/>
  <c r="C2163" i="1"/>
  <c r="C2162" i="1"/>
  <c r="C2161" i="1"/>
  <c r="C2160" i="1"/>
  <c r="C2159" i="1"/>
  <c r="C2158" i="1"/>
  <c r="C2157" i="1"/>
  <c r="C2156" i="1"/>
  <c r="C2155" i="1"/>
  <c r="C2154" i="1"/>
  <c r="C2153" i="1"/>
  <c r="C2152" i="1"/>
  <c r="C2151" i="1"/>
  <c r="C2150" i="1"/>
  <c r="C2149" i="1"/>
  <c r="C2148" i="1"/>
  <c r="C2147" i="1"/>
  <c r="C2146" i="1"/>
  <c r="C2145" i="1"/>
  <c r="C2144" i="1"/>
  <c r="C2143" i="1"/>
  <c r="C2142" i="1"/>
  <c r="C2141" i="1"/>
  <c r="C2140" i="1"/>
  <c r="C2139" i="1"/>
  <c r="C2138" i="1"/>
  <c r="C2137" i="1"/>
  <c r="C2136" i="1"/>
  <c r="C2135" i="1"/>
  <c r="C2134" i="1"/>
  <c r="C2133" i="1"/>
  <c r="C2132" i="1"/>
  <c r="C2131" i="1"/>
  <c r="C2130" i="1"/>
  <c r="C2129" i="1"/>
  <c r="C2128" i="1"/>
  <c r="C2127" i="1"/>
  <c r="C2126" i="1"/>
  <c r="C2125" i="1"/>
  <c r="C2124" i="1"/>
  <c r="C2123" i="1"/>
  <c r="C2122" i="1"/>
  <c r="C2121" i="1"/>
  <c r="C2120" i="1"/>
  <c r="C2119" i="1"/>
  <c r="C2118" i="1"/>
  <c r="C2117" i="1"/>
  <c r="C2116" i="1"/>
  <c r="C2115" i="1"/>
  <c r="C2114" i="1"/>
  <c r="C2113" i="1"/>
  <c r="C2112" i="1"/>
  <c r="C2111" i="1"/>
  <c r="C2110" i="1"/>
  <c r="C2109" i="1"/>
  <c r="C2108" i="1"/>
  <c r="C2107" i="1"/>
  <c r="C2106" i="1"/>
  <c r="C2105" i="1"/>
  <c r="C2104" i="1"/>
  <c r="C2103" i="1"/>
  <c r="C2102" i="1"/>
  <c r="C2101" i="1"/>
  <c r="C2100" i="1"/>
  <c r="C2099" i="1"/>
  <c r="C2098" i="1"/>
  <c r="C2097" i="1"/>
  <c r="C2096" i="1"/>
  <c r="C2095" i="1"/>
  <c r="C2094" i="1"/>
  <c r="C2093" i="1"/>
  <c r="C2092" i="1"/>
  <c r="C2091" i="1"/>
  <c r="C2090" i="1"/>
  <c r="C2089" i="1"/>
  <c r="C2088" i="1"/>
  <c r="C2087" i="1"/>
  <c r="C2086" i="1"/>
  <c r="C2085" i="1"/>
  <c r="C2084" i="1"/>
  <c r="C2083" i="1"/>
  <c r="C2082" i="1"/>
  <c r="C2081" i="1"/>
  <c r="C2080" i="1"/>
  <c r="C2079" i="1"/>
  <c r="C2078" i="1"/>
  <c r="C2077" i="1"/>
  <c r="C2076" i="1"/>
  <c r="C2075" i="1"/>
  <c r="C2074" i="1"/>
  <c r="C2073" i="1"/>
  <c r="C2072" i="1"/>
  <c r="C2071" i="1"/>
  <c r="C2070" i="1"/>
  <c r="C2069" i="1"/>
  <c r="C2068" i="1"/>
  <c r="C2067" i="1"/>
  <c r="C2066" i="1"/>
  <c r="C2065" i="1"/>
  <c r="C2064" i="1"/>
  <c r="C2063" i="1"/>
  <c r="C2062" i="1"/>
  <c r="C2061" i="1"/>
  <c r="C2060" i="1"/>
  <c r="C2059" i="1"/>
  <c r="C2058" i="1"/>
  <c r="C2057" i="1"/>
  <c r="C2056" i="1"/>
  <c r="C2055" i="1"/>
  <c r="C2054" i="1"/>
  <c r="C2053" i="1"/>
  <c r="C2052" i="1"/>
  <c r="C2051" i="1"/>
  <c r="C2050" i="1"/>
  <c r="C2049" i="1"/>
  <c r="C2048" i="1"/>
  <c r="C2047" i="1"/>
  <c r="C2046" i="1"/>
  <c r="C2045" i="1"/>
  <c r="C2044" i="1"/>
  <c r="C2043" i="1"/>
  <c r="C2042" i="1"/>
  <c r="C2041" i="1"/>
  <c r="C2040" i="1"/>
  <c r="C2039" i="1"/>
  <c r="C2038" i="1"/>
  <c r="C2037" i="1"/>
  <c r="C2036" i="1"/>
  <c r="C2035" i="1"/>
  <c r="C2034" i="1"/>
  <c r="C2033" i="1"/>
  <c r="C2032" i="1"/>
  <c r="C2031" i="1"/>
  <c r="C2030" i="1"/>
  <c r="C2029" i="1"/>
  <c r="C2028" i="1"/>
  <c r="C2027" i="1"/>
  <c r="C2026" i="1"/>
  <c r="C2025" i="1"/>
  <c r="C2024" i="1"/>
  <c r="C2023" i="1"/>
  <c r="C2022" i="1"/>
  <c r="C2021" i="1"/>
  <c r="C2020" i="1"/>
  <c r="C2019" i="1"/>
  <c r="C2018" i="1"/>
  <c r="C2017" i="1"/>
  <c r="C2016" i="1"/>
  <c r="C2015" i="1"/>
  <c r="C2014" i="1"/>
  <c r="C2013" i="1"/>
  <c r="C2012" i="1"/>
  <c r="C2011" i="1"/>
  <c r="C2010" i="1"/>
  <c r="C2009" i="1"/>
  <c r="C2008" i="1"/>
  <c r="C2007" i="1"/>
  <c r="C2006" i="1"/>
  <c r="C2005" i="1"/>
  <c r="C2004" i="1"/>
  <c r="C2003" i="1"/>
  <c r="C2002" i="1"/>
  <c r="C2001" i="1"/>
  <c r="C2000" i="1"/>
  <c r="C1999" i="1"/>
  <c r="C1998" i="1"/>
  <c r="C1997" i="1"/>
  <c r="C1996" i="1"/>
  <c r="C1995" i="1"/>
  <c r="C1994" i="1"/>
  <c r="C1993" i="1"/>
  <c r="C1992" i="1"/>
  <c r="C1991" i="1"/>
  <c r="C1990" i="1"/>
  <c r="C1989" i="1"/>
  <c r="C1988" i="1"/>
  <c r="C1987" i="1"/>
  <c r="C1986" i="1"/>
  <c r="C1985" i="1"/>
  <c r="C1984" i="1"/>
  <c r="C1983" i="1"/>
  <c r="C1982" i="1"/>
  <c r="C11" i="2" l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11" i="2" l="1"/>
  <c r="H11" i="2"/>
  <c r="I1987" i="1"/>
  <c r="I1999" i="1"/>
  <c r="I2011" i="1"/>
  <c r="I2023" i="1"/>
  <c r="I2035" i="1"/>
  <c r="I2047" i="1"/>
  <c r="I2059" i="1"/>
  <c r="I2071" i="1"/>
  <c r="I2083" i="1"/>
  <c r="I2095" i="1"/>
  <c r="I2107" i="1"/>
  <c r="I2119" i="1"/>
  <c r="I2131" i="1"/>
  <c r="I2143" i="1"/>
  <c r="I2155" i="1"/>
  <c r="I2167" i="1"/>
  <c r="I2179" i="1"/>
  <c r="I2191" i="1"/>
  <c r="I2203" i="1"/>
  <c r="I2215" i="1"/>
  <c r="I2227" i="1"/>
  <c r="I2239" i="1"/>
  <c r="I2251" i="1"/>
  <c r="I2263" i="1"/>
  <c r="I2275" i="1"/>
  <c r="I2287" i="1"/>
  <c r="I2299" i="1"/>
  <c r="I2311" i="1"/>
  <c r="I2323" i="1"/>
  <c r="I2335" i="1"/>
  <c r="I2347" i="1"/>
  <c r="I2359" i="1"/>
  <c r="I2371" i="1"/>
  <c r="I2383" i="1"/>
  <c r="I2395" i="1"/>
  <c r="I2407" i="1"/>
  <c r="I2419" i="1"/>
  <c r="I2431" i="1"/>
  <c r="I2443" i="1"/>
  <c r="I2455" i="1"/>
  <c r="I2467" i="1"/>
  <c r="I2479" i="1"/>
  <c r="I2491" i="1"/>
  <c r="I2503" i="1"/>
  <c r="I2515" i="1"/>
  <c r="I2527" i="1"/>
  <c r="I2539" i="1"/>
  <c r="I2551" i="1"/>
  <c r="I2563" i="1"/>
  <c r="I2575" i="1"/>
  <c r="I2587" i="1"/>
  <c r="I2599" i="1"/>
  <c r="I2611" i="1"/>
  <c r="I2623" i="1"/>
  <c r="I2635" i="1"/>
  <c r="I2647" i="1"/>
  <c r="I2659" i="1"/>
  <c r="I2671" i="1"/>
  <c r="I2683" i="1"/>
  <c r="I2695" i="1"/>
  <c r="I2707" i="1"/>
  <c r="I2719" i="1"/>
  <c r="I2731" i="1"/>
  <c r="I2743" i="1"/>
  <c r="I2755" i="1"/>
  <c r="I2767" i="1"/>
  <c r="I2779" i="1"/>
  <c r="I2791" i="1"/>
  <c r="I2803" i="1"/>
  <c r="I2815" i="1"/>
  <c r="I2827" i="1"/>
  <c r="I2839" i="1"/>
  <c r="I2851" i="1"/>
  <c r="I2863" i="1"/>
  <c r="I2875" i="1"/>
  <c r="I2887" i="1"/>
  <c r="I2899" i="1"/>
  <c r="I2911" i="1"/>
  <c r="I2923" i="1"/>
  <c r="I2935" i="1"/>
  <c r="I2947" i="1"/>
  <c r="I2959" i="1"/>
  <c r="I2971" i="1"/>
  <c r="I2983" i="1"/>
  <c r="I2995" i="1"/>
  <c r="I3007" i="1"/>
  <c r="I3019" i="1"/>
  <c r="I3031" i="1"/>
  <c r="I3043" i="1"/>
  <c r="I3055" i="1"/>
  <c r="I3067" i="1"/>
  <c r="I3079" i="1"/>
  <c r="I3091" i="1"/>
  <c r="I3103" i="1"/>
  <c r="I3115" i="1"/>
  <c r="I3127" i="1"/>
  <c r="I1988" i="1"/>
  <c r="I2000" i="1"/>
  <c r="I2012" i="1"/>
  <c r="I2024" i="1"/>
  <c r="I2036" i="1"/>
  <c r="I2048" i="1"/>
  <c r="I2060" i="1"/>
  <c r="I2072" i="1"/>
  <c r="I2084" i="1"/>
  <c r="I2096" i="1"/>
  <c r="I2108" i="1"/>
  <c r="I2120" i="1"/>
  <c r="I2132" i="1"/>
  <c r="I2144" i="1"/>
  <c r="I2156" i="1"/>
  <c r="I2168" i="1"/>
  <c r="I2180" i="1"/>
  <c r="I2192" i="1"/>
  <c r="I2204" i="1"/>
  <c r="I2216" i="1"/>
  <c r="I2228" i="1"/>
  <c r="I2240" i="1"/>
  <c r="I2252" i="1"/>
  <c r="I2264" i="1"/>
  <c r="I2276" i="1"/>
  <c r="I2288" i="1"/>
  <c r="I2300" i="1"/>
  <c r="I2312" i="1"/>
  <c r="I2324" i="1"/>
  <c r="I2336" i="1"/>
  <c r="I2348" i="1"/>
  <c r="I2360" i="1"/>
  <c r="I2372" i="1"/>
  <c r="I2384" i="1"/>
  <c r="I2396" i="1"/>
  <c r="I2408" i="1"/>
  <c r="I2420" i="1"/>
  <c r="I2432" i="1"/>
  <c r="I2444" i="1"/>
  <c r="I2456" i="1"/>
  <c r="I2468" i="1"/>
  <c r="I2480" i="1"/>
  <c r="I2492" i="1"/>
  <c r="I2504" i="1"/>
  <c r="I2516" i="1"/>
  <c r="I2528" i="1"/>
  <c r="I2540" i="1"/>
  <c r="I2552" i="1"/>
  <c r="I2564" i="1"/>
  <c r="I2576" i="1"/>
  <c r="I2588" i="1"/>
  <c r="I2600" i="1"/>
  <c r="I2612" i="1"/>
  <c r="I2624" i="1"/>
  <c r="I2636" i="1"/>
  <c r="I2648" i="1"/>
  <c r="I2660" i="1"/>
  <c r="I2672" i="1"/>
  <c r="I2684" i="1"/>
  <c r="I2696" i="1"/>
  <c r="I2708" i="1"/>
  <c r="I2720" i="1"/>
  <c r="I2732" i="1"/>
  <c r="I2744" i="1"/>
  <c r="I2756" i="1"/>
  <c r="I2768" i="1"/>
  <c r="I2780" i="1"/>
  <c r="I2792" i="1"/>
  <c r="I2804" i="1"/>
  <c r="I2816" i="1"/>
  <c r="I2828" i="1"/>
  <c r="I2840" i="1"/>
  <c r="I2852" i="1"/>
  <c r="I2864" i="1"/>
  <c r="I2876" i="1"/>
  <c r="I2888" i="1"/>
  <c r="I2900" i="1"/>
  <c r="I2912" i="1"/>
  <c r="I2924" i="1"/>
  <c r="I2936" i="1"/>
  <c r="I2948" i="1"/>
  <c r="I2960" i="1"/>
  <c r="I2972" i="1"/>
  <c r="I2984" i="1"/>
  <c r="I2996" i="1"/>
  <c r="I3008" i="1"/>
  <c r="I3020" i="1"/>
  <c r="I3032" i="1"/>
  <c r="I3044" i="1"/>
  <c r="I3056" i="1"/>
  <c r="I3068" i="1"/>
  <c r="I3080" i="1"/>
  <c r="I3092" i="1"/>
  <c r="I3104" i="1"/>
  <c r="I3116" i="1"/>
  <c r="I3128" i="1"/>
  <c r="I1989" i="1"/>
  <c r="I2001" i="1"/>
  <c r="I2013" i="1"/>
  <c r="I2025" i="1"/>
  <c r="I2037" i="1"/>
  <c r="I2049" i="1"/>
  <c r="I2061" i="1"/>
  <c r="I2073" i="1"/>
  <c r="I2085" i="1"/>
  <c r="I2097" i="1"/>
  <c r="I2109" i="1"/>
  <c r="I2121" i="1"/>
  <c r="I2133" i="1"/>
  <c r="I2145" i="1"/>
  <c r="I2157" i="1"/>
  <c r="I2169" i="1"/>
  <c r="I2181" i="1"/>
  <c r="I2193" i="1"/>
  <c r="I2205" i="1"/>
  <c r="I2217" i="1"/>
  <c r="I2229" i="1"/>
  <c r="I2241" i="1"/>
  <c r="I2253" i="1"/>
  <c r="I2265" i="1"/>
  <c r="I2277" i="1"/>
  <c r="I2289" i="1"/>
  <c r="I2301" i="1"/>
  <c r="I2313" i="1"/>
  <c r="I2325" i="1"/>
  <c r="I2337" i="1"/>
  <c r="I2349" i="1"/>
  <c r="I2361" i="1"/>
  <c r="I2373" i="1"/>
  <c r="I2385" i="1"/>
  <c r="I2397" i="1"/>
  <c r="I2409" i="1"/>
  <c r="I2421" i="1"/>
  <c r="I2433" i="1"/>
  <c r="I2445" i="1"/>
  <c r="I2457" i="1"/>
  <c r="I2469" i="1"/>
  <c r="I2481" i="1"/>
  <c r="I2493" i="1"/>
  <c r="I2505" i="1"/>
  <c r="I2517" i="1"/>
  <c r="I2529" i="1"/>
  <c r="I2541" i="1"/>
  <c r="I2553" i="1"/>
  <c r="I2565" i="1"/>
  <c r="I2577" i="1"/>
  <c r="I2589" i="1"/>
  <c r="I2601" i="1"/>
  <c r="I2613" i="1"/>
  <c r="I2625" i="1"/>
  <c r="I2637" i="1"/>
  <c r="I2649" i="1"/>
  <c r="I2661" i="1"/>
  <c r="I2673" i="1"/>
  <c r="I2685" i="1"/>
  <c r="I2697" i="1"/>
  <c r="I2709" i="1"/>
  <c r="I2721" i="1"/>
  <c r="I2733" i="1"/>
  <c r="I2745" i="1"/>
  <c r="I2757" i="1"/>
  <c r="I2769" i="1"/>
  <c r="I2781" i="1"/>
  <c r="I2793" i="1"/>
  <c r="I2805" i="1"/>
  <c r="I2817" i="1"/>
  <c r="I2829" i="1"/>
  <c r="I2841" i="1"/>
  <c r="I2853" i="1"/>
  <c r="I2865" i="1"/>
  <c r="I2877" i="1"/>
  <c r="I2889" i="1"/>
  <c r="I2901" i="1"/>
  <c r="I2913" i="1"/>
  <c r="I2925" i="1"/>
  <c r="I2937" i="1"/>
  <c r="I2949" i="1"/>
  <c r="I2961" i="1"/>
  <c r="I2973" i="1"/>
  <c r="I2985" i="1"/>
  <c r="I2997" i="1"/>
  <c r="I3009" i="1"/>
  <c r="I3021" i="1"/>
  <c r="I3033" i="1"/>
  <c r="I3045" i="1"/>
  <c r="I3057" i="1"/>
  <c r="I3069" i="1"/>
  <c r="I3081" i="1"/>
  <c r="I3093" i="1"/>
  <c r="I3105" i="1"/>
  <c r="I3117" i="1"/>
  <c r="I3129" i="1"/>
  <c r="I1990" i="1"/>
  <c r="I2002" i="1"/>
  <c r="I2014" i="1"/>
  <c r="I2026" i="1"/>
  <c r="I2038" i="1"/>
  <c r="I2050" i="1"/>
  <c r="I2062" i="1"/>
  <c r="I2074" i="1"/>
  <c r="I2086" i="1"/>
  <c r="I2098" i="1"/>
  <c r="I2110" i="1"/>
  <c r="I2122" i="1"/>
  <c r="I2134" i="1"/>
  <c r="I2146" i="1"/>
  <c r="I2158" i="1"/>
  <c r="I2170" i="1"/>
  <c r="I2182" i="1"/>
  <c r="I2194" i="1"/>
  <c r="I2206" i="1"/>
  <c r="I2218" i="1"/>
  <c r="I2230" i="1"/>
  <c r="I2242" i="1"/>
  <c r="I2254" i="1"/>
  <c r="I2266" i="1"/>
  <c r="I2278" i="1"/>
  <c r="I2290" i="1"/>
  <c r="I2302" i="1"/>
  <c r="I2314" i="1"/>
  <c r="I2326" i="1"/>
  <c r="I2338" i="1"/>
  <c r="I2350" i="1"/>
  <c r="I2362" i="1"/>
  <c r="I2374" i="1"/>
  <c r="I2386" i="1"/>
  <c r="I2398" i="1"/>
  <c r="I2410" i="1"/>
  <c r="I2422" i="1"/>
  <c r="I2434" i="1"/>
  <c r="I2446" i="1"/>
  <c r="I2458" i="1"/>
  <c r="I2470" i="1"/>
  <c r="I2482" i="1"/>
  <c r="I2494" i="1"/>
  <c r="I2506" i="1"/>
  <c r="I2518" i="1"/>
  <c r="I2530" i="1"/>
  <c r="I2542" i="1"/>
  <c r="I2554" i="1"/>
  <c r="I2566" i="1"/>
  <c r="I2578" i="1"/>
  <c r="I2590" i="1"/>
  <c r="I2602" i="1"/>
  <c r="I2614" i="1"/>
  <c r="I2626" i="1"/>
  <c r="I2638" i="1"/>
  <c r="I2650" i="1"/>
  <c r="I2662" i="1"/>
  <c r="I2674" i="1"/>
  <c r="I2686" i="1"/>
  <c r="I2698" i="1"/>
  <c r="I2710" i="1"/>
  <c r="I2722" i="1"/>
  <c r="I2734" i="1"/>
  <c r="I2746" i="1"/>
  <c r="I2758" i="1"/>
  <c r="I2770" i="1"/>
  <c r="I2782" i="1"/>
  <c r="I2794" i="1"/>
  <c r="I2806" i="1"/>
  <c r="I2818" i="1"/>
  <c r="I2830" i="1"/>
  <c r="I2842" i="1"/>
  <c r="I2854" i="1"/>
  <c r="I2866" i="1"/>
  <c r="I2878" i="1"/>
  <c r="I2890" i="1"/>
  <c r="I2902" i="1"/>
  <c r="I2914" i="1"/>
  <c r="I2926" i="1"/>
  <c r="I2938" i="1"/>
  <c r="I2950" i="1"/>
  <c r="I2962" i="1"/>
  <c r="I2974" i="1"/>
  <c r="I2986" i="1"/>
  <c r="I2998" i="1"/>
  <c r="I3010" i="1"/>
  <c r="I3022" i="1"/>
  <c r="I3034" i="1"/>
  <c r="I3046" i="1"/>
  <c r="I3058" i="1"/>
  <c r="I3070" i="1"/>
  <c r="I3082" i="1"/>
  <c r="I3094" i="1"/>
  <c r="I3106" i="1"/>
  <c r="I3118" i="1"/>
  <c r="I1991" i="1"/>
  <c r="I2003" i="1"/>
  <c r="I2015" i="1"/>
  <c r="I2027" i="1"/>
  <c r="I2039" i="1"/>
  <c r="I2051" i="1"/>
  <c r="I2063" i="1"/>
  <c r="I2075" i="1"/>
  <c r="I2087" i="1"/>
  <c r="I2099" i="1"/>
  <c r="I2111" i="1"/>
  <c r="I2123" i="1"/>
  <c r="I2135" i="1"/>
  <c r="I2147" i="1"/>
  <c r="I2159" i="1"/>
  <c r="I2171" i="1"/>
  <c r="I2183" i="1"/>
  <c r="I2195" i="1"/>
  <c r="I2207" i="1"/>
  <c r="I2219" i="1"/>
  <c r="I2231" i="1"/>
  <c r="I2243" i="1"/>
  <c r="I2255" i="1"/>
  <c r="I2267" i="1"/>
  <c r="I2279" i="1"/>
  <c r="I2291" i="1"/>
  <c r="I2303" i="1"/>
  <c r="I2315" i="1"/>
  <c r="I2327" i="1"/>
  <c r="I2339" i="1"/>
  <c r="I2351" i="1"/>
  <c r="I2363" i="1"/>
  <c r="I2375" i="1"/>
  <c r="I2387" i="1"/>
  <c r="I2399" i="1"/>
  <c r="I2411" i="1"/>
  <c r="I2423" i="1"/>
  <c r="I2435" i="1"/>
  <c r="I2447" i="1"/>
  <c r="I2459" i="1"/>
  <c r="I2471" i="1"/>
  <c r="I2483" i="1"/>
  <c r="I2495" i="1"/>
  <c r="I2507" i="1"/>
  <c r="I2519" i="1"/>
  <c r="I2531" i="1"/>
  <c r="I2543" i="1"/>
  <c r="I2555" i="1"/>
  <c r="I2567" i="1"/>
  <c r="I2579" i="1"/>
  <c r="I2591" i="1"/>
  <c r="I2603" i="1"/>
  <c r="I2615" i="1"/>
  <c r="I2627" i="1"/>
  <c r="I2639" i="1"/>
  <c r="I2651" i="1"/>
  <c r="I2663" i="1"/>
  <c r="I2675" i="1"/>
  <c r="I2687" i="1"/>
  <c r="I2699" i="1"/>
  <c r="I2711" i="1"/>
  <c r="I2723" i="1"/>
  <c r="I2735" i="1"/>
  <c r="I2747" i="1"/>
  <c r="I2759" i="1"/>
  <c r="I2771" i="1"/>
  <c r="I2783" i="1"/>
  <c r="I2795" i="1"/>
  <c r="I2807" i="1"/>
  <c r="I2819" i="1"/>
  <c r="I2831" i="1"/>
  <c r="I2843" i="1"/>
  <c r="I2855" i="1"/>
  <c r="I2867" i="1"/>
  <c r="I2879" i="1"/>
  <c r="I2891" i="1"/>
  <c r="I2903" i="1"/>
  <c r="I2915" i="1"/>
  <c r="I2927" i="1"/>
  <c r="I2939" i="1"/>
  <c r="I2951" i="1"/>
  <c r="I2963" i="1"/>
  <c r="I2975" i="1"/>
  <c r="I2987" i="1"/>
  <c r="I2999" i="1"/>
  <c r="I3011" i="1"/>
  <c r="I3023" i="1"/>
  <c r="I3035" i="1"/>
  <c r="I3047" i="1"/>
  <c r="I3059" i="1"/>
  <c r="I3071" i="1"/>
  <c r="I3083" i="1"/>
  <c r="I3095" i="1"/>
  <c r="I3107" i="1"/>
  <c r="I3119" i="1"/>
  <c r="I1992" i="1"/>
  <c r="I2004" i="1"/>
  <c r="I2016" i="1"/>
  <c r="I2028" i="1"/>
  <c r="I2040" i="1"/>
  <c r="I2052" i="1"/>
  <c r="I2064" i="1"/>
  <c r="I2076" i="1"/>
  <c r="I2088" i="1"/>
  <c r="I2100" i="1"/>
  <c r="I2112" i="1"/>
  <c r="I2124" i="1"/>
  <c r="I2136" i="1"/>
  <c r="I2148" i="1"/>
  <c r="I2160" i="1"/>
  <c r="I2172" i="1"/>
  <c r="I2184" i="1"/>
  <c r="I2196" i="1"/>
  <c r="I2208" i="1"/>
  <c r="I2220" i="1"/>
  <c r="I2232" i="1"/>
  <c r="I2244" i="1"/>
  <c r="I2256" i="1"/>
  <c r="I2268" i="1"/>
  <c r="I2280" i="1"/>
  <c r="I2292" i="1"/>
  <c r="I2304" i="1"/>
  <c r="I2316" i="1"/>
  <c r="I2328" i="1"/>
  <c r="I2340" i="1"/>
  <c r="I2352" i="1"/>
  <c r="I2364" i="1"/>
  <c r="I2376" i="1"/>
  <c r="I2388" i="1"/>
  <c r="I2400" i="1"/>
  <c r="I2412" i="1"/>
  <c r="I2424" i="1"/>
  <c r="I2436" i="1"/>
  <c r="I2448" i="1"/>
  <c r="I2460" i="1"/>
  <c r="I2472" i="1"/>
  <c r="I2484" i="1"/>
  <c r="I2496" i="1"/>
  <c r="I2508" i="1"/>
  <c r="I2520" i="1"/>
  <c r="I2532" i="1"/>
  <c r="I2544" i="1"/>
  <c r="I2556" i="1"/>
  <c r="I2568" i="1"/>
  <c r="I2580" i="1"/>
  <c r="I2592" i="1"/>
  <c r="I2604" i="1"/>
  <c r="I2616" i="1"/>
  <c r="I2628" i="1"/>
  <c r="I2640" i="1"/>
  <c r="I2652" i="1"/>
  <c r="I2664" i="1"/>
  <c r="I2676" i="1"/>
  <c r="I2688" i="1"/>
  <c r="I2700" i="1"/>
  <c r="I2712" i="1"/>
  <c r="I2724" i="1"/>
  <c r="I2736" i="1"/>
  <c r="I2748" i="1"/>
  <c r="I2760" i="1"/>
  <c r="I2772" i="1"/>
  <c r="I2784" i="1"/>
  <c r="I2796" i="1"/>
  <c r="I2808" i="1"/>
  <c r="I2820" i="1"/>
  <c r="I2832" i="1"/>
  <c r="I2844" i="1"/>
  <c r="I2856" i="1"/>
  <c r="I2868" i="1"/>
  <c r="I2880" i="1"/>
  <c r="I2892" i="1"/>
  <c r="I2904" i="1"/>
  <c r="I2916" i="1"/>
  <c r="I2928" i="1"/>
  <c r="I2940" i="1"/>
  <c r="I2952" i="1"/>
  <c r="I2964" i="1"/>
  <c r="I2976" i="1"/>
  <c r="I2988" i="1"/>
  <c r="I3000" i="1"/>
  <c r="I3012" i="1"/>
  <c r="I3024" i="1"/>
  <c r="I3036" i="1"/>
  <c r="I3048" i="1"/>
  <c r="I3060" i="1"/>
  <c r="I3072" i="1"/>
  <c r="I3084" i="1"/>
  <c r="I3096" i="1"/>
  <c r="I3108" i="1"/>
  <c r="I3120" i="1"/>
  <c r="I1993" i="1"/>
  <c r="I2005" i="1"/>
  <c r="I2017" i="1"/>
  <c r="I2029" i="1"/>
  <c r="I2041" i="1"/>
  <c r="I2053" i="1"/>
  <c r="I2065" i="1"/>
  <c r="I2077" i="1"/>
  <c r="I2089" i="1"/>
  <c r="I2101" i="1"/>
  <c r="I2113" i="1"/>
  <c r="I2125" i="1"/>
  <c r="I2137" i="1"/>
  <c r="I2149" i="1"/>
  <c r="I2161" i="1"/>
  <c r="I2173" i="1"/>
  <c r="I2185" i="1"/>
  <c r="I2197" i="1"/>
  <c r="I2209" i="1"/>
  <c r="I2221" i="1"/>
  <c r="I2233" i="1"/>
  <c r="I2245" i="1"/>
  <c r="I2257" i="1"/>
  <c r="I2269" i="1"/>
  <c r="I2281" i="1"/>
  <c r="I2293" i="1"/>
  <c r="I2305" i="1"/>
  <c r="I2317" i="1"/>
  <c r="I2329" i="1"/>
  <c r="I2341" i="1"/>
  <c r="I2353" i="1"/>
  <c r="I2365" i="1"/>
  <c r="I2377" i="1"/>
  <c r="I2389" i="1"/>
  <c r="I2401" i="1"/>
  <c r="I2413" i="1"/>
  <c r="I2425" i="1"/>
  <c r="I2437" i="1"/>
  <c r="I2449" i="1"/>
  <c r="I2461" i="1"/>
  <c r="I2473" i="1"/>
  <c r="I2485" i="1"/>
  <c r="I2497" i="1"/>
  <c r="I2509" i="1"/>
  <c r="I2521" i="1"/>
  <c r="I2533" i="1"/>
  <c r="I2545" i="1"/>
  <c r="I2557" i="1"/>
  <c r="I2569" i="1"/>
  <c r="I2581" i="1"/>
  <c r="I2593" i="1"/>
  <c r="I2605" i="1"/>
  <c r="I2617" i="1"/>
  <c r="I2629" i="1"/>
  <c r="I2641" i="1"/>
  <c r="I2653" i="1"/>
  <c r="I2665" i="1"/>
  <c r="I2677" i="1"/>
  <c r="I2689" i="1"/>
  <c r="I2701" i="1"/>
  <c r="I2713" i="1"/>
  <c r="I2725" i="1"/>
  <c r="I2737" i="1"/>
  <c r="I2749" i="1"/>
  <c r="I2761" i="1"/>
  <c r="I2773" i="1"/>
  <c r="I2785" i="1"/>
  <c r="I2797" i="1"/>
  <c r="I2809" i="1"/>
  <c r="I2821" i="1"/>
  <c r="I2833" i="1"/>
  <c r="I2845" i="1"/>
  <c r="I2857" i="1"/>
  <c r="I2869" i="1"/>
  <c r="I2881" i="1"/>
  <c r="I2893" i="1"/>
  <c r="I2905" i="1"/>
  <c r="I2917" i="1"/>
  <c r="I2929" i="1"/>
  <c r="I2941" i="1"/>
  <c r="I2953" i="1"/>
  <c r="I2965" i="1"/>
  <c r="I2977" i="1"/>
  <c r="I2989" i="1"/>
  <c r="I3001" i="1"/>
  <c r="I3013" i="1"/>
  <c r="I3025" i="1"/>
  <c r="I3037" i="1"/>
  <c r="I3049" i="1"/>
  <c r="I3061" i="1"/>
  <c r="I3073" i="1"/>
  <c r="I3085" i="1"/>
  <c r="I3097" i="1"/>
  <c r="I3109" i="1"/>
  <c r="I3121" i="1"/>
  <c r="I1982" i="1"/>
  <c r="I1994" i="1"/>
  <c r="I2006" i="1"/>
  <c r="I2018" i="1"/>
  <c r="I2030" i="1"/>
  <c r="I2042" i="1"/>
  <c r="I2054" i="1"/>
  <c r="I2066" i="1"/>
  <c r="I2078" i="1"/>
  <c r="I2090" i="1"/>
  <c r="I2102" i="1"/>
  <c r="I2114" i="1"/>
  <c r="I2126" i="1"/>
  <c r="I2138" i="1"/>
  <c r="I2150" i="1"/>
  <c r="I2162" i="1"/>
  <c r="I2174" i="1"/>
  <c r="I2186" i="1"/>
  <c r="I2198" i="1"/>
  <c r="I2210" i="1"/>
  <c r="I2222" i="1"/>
  <c r="I2234" i="1"/>
  <c r="I2246" i="1"/>
  <c r="I2258" i="1"/>
  <c r="I2270" i="1"/>
  <c r="I2282" i="1"/>
  <c r="I2294" i="1"/>
  <c r="I2306" i="1"/>
  <c r="I2318" i="1"/>
  <c r="I2330" i="1"/>
  <c r="I2342" i="1"/>
  <c r="I2354" i="1"/>
  <c r="I2366" i="1"/>
  <c r="I2378" i="1"/>
  <c r="I2390" i="1"/>
  <c r="I2402" i="1"/>
  <c r="I2414" i="1"/>
  <c r="I2426" i="1"/>
  <c r="I2438" i="1"/>
  <c r="I2450" i="1"/>
  <c r="I2462" i="1"/>
  <c r="I2474" i="1"/>
  <c r="I2486" i="1"/>
  <c r="I2498" i="1"/>
  <c r="I2510" i="1"/>
  <c r="I2522" i="1"/>
  <c r="I2534" i="1"/>
  <c r="I2546" i="1"/>
  <c r="I2558" i="1"/>
  <c r="I2570" i="1"/>
  <c r="I2582" i="1"/>
  <c r="I2594" i="1"/>
  <c r="I2606" i="1"/>
  <c r="I2618" i="1"/>
  <c r="I2630" i="1"/>
  <c r="I2642" i="1"/>
  <c r="I2654" i="1"/>
  <c r="I2666" i="1"/>
  <c r="I2678" i="1"/>
  <c r="I2690" i="1"/>
  <c r="I2702" i="1"/>
  <c r="I2714" i="1"/>
  <c r="I2726" i="1"/>
  <c r="I2738" i="1"/>
  <c r="I2750" i="1"/>
  <c r="I2762" i="1"/>
  <c r="I2774" i="1"/>
  <c r="I2786" i="1"/>
  <c r="I2798" i="1"/>
  <c r="I2810" i="1"/>
  <c r="I2822" i="1"/>
  <c r="I2834" i="1"/>
  <c r="I2846" i="1"/>
  <c r="I2858" i="1"/>
  <c r="I2870" i="1"/>
  <c r="I2882" i="1"/>
  <c r="I2894" i="1"/>
  <c r="I2906" i="1"/>
  <c r="I2918" i="1"/>
  <c r="I2930" i="1"/>
  <c r="I2942" i="1"/>
  <c r="I2954" i="1"/>
  <c r="I2966" i="1"/>
  <c r="I2978" i="1"/>
  <c r="I2990" i="1"/>
  <c r="I3002" i="1"/>
  <c r="I3014" i="1"/>
  <c r="I3026" i="1"/>
  <c r="I3038" i="1"/>
  <c r="I3050" i="1"/>
  <c r="I3062" i="1"/>
  <c r="I3074" i="1"/>
  <c r="I3086" i="1"/>
  <c r="I3098" i="1"/>
  <c r="I3110" i="1"/>
  <c r="I3122" i="1"/>
  <c r="I1983" i="1"/>
  <c r="I1995" i="1"/>
  <c r="I2007" i="1"/>
  <c r="I2019" i="1"/>
  <c r="I2031" i="1"/>
  <c r="I2043" i="1"/>
  <c r="I2055" i="1"/>
  <c r="I2067" i="1"/>
  <c r="I2079" i="1"/>
  <c r="I2091" i="1"/>
  <c r="I2103" i="1"/>
  <c r="I2115" i="1"/>
  <c r="I2127" i="1"/>
  <c r="I2139" i="1"/>
  <c r="I2151" i="1"/>
  <c r="I2163" i="1"/>
  <c r="I2175" i="1"/>
  <c r="I2187" i="1"/>
  <c r="I2199" i="1"/>
  <c r="I2211" i="1"/>
  <c r="I2223" i="1"/>
  <c r="I2235" i="1"/>
  <c r="I2247" i="1"/>
  <c r="I2259" i="1"/>
  <c r="I2271" i="1"/>
  <c r="I2283" i="1"/>
  <c r="I2295" i="1"/>
  <c r="I2307" i="1"/>
  <c r="I2319" i="1"/>
  <c r="I2331" i="1"/>
  <c r="I2343" i="1"/>
  <c r="I2355" i="1"/>
  <c r="I2367" i="1"/>
  <c r="I2379" i="1"/>
  <c r="I2391" i="1"/>
  <c r="I2403" i="1"/>
  <c r="I2415" i="1"/>
  <c r="I2427" i="1"/>
  <c r="I2439" i="1"/>
  <c r="I2451" i="1"/>
  <c r="I2463" i="1"/>
  <c r="I2475" i="1"/>
  <c r="I2487" i="1"/>
  <c r="I2499" i="1"/>
  <c r="I2511" i="1"/>
  <c r="I2523" i="1"/>
  <c r="I2535" i="1"/>
  <c r="I2547" i="1"/>
  <c r="I2559" i="1"/>
  <c r="I2571" i="1"/>
  <c r="I2583" i="1"/>
  <c r="I2595" i="1"/>
  <c r="I2607" i="1"/>
  <c r="I2619" i="1"/>
  <c r="I2631" i="1"/>
  <c r="I2643" i="1"/>
  <c r="I2655" i="1"/>
  <c r="I2667" i="1"/>
  <c r="I2679" i="1"/>
  <c r="I2691" i="1"/>
  <c r="I2703" i="1"/>
  <c r="I2715" i="1"/>
  <c r="I2727" i="1"/>
  <c r="I2739" i="1"/>
  <c r="I2751" i="1"/>
  <c r="I2763" i="1"/>
  <c r="I2775" i="1"/>
  <c r="I2787" i="1"/>
  <c r="I2799" i="1"/>
  <c r="I2811" i="1"/>
  <c r="I2823" i="1"/>
  <c r="I2835" i="1"/>
  <c r="I2847" i="1"/>
  <c r="I2859" i="1"/>
  <c r="I2871" i="1"/>
  <c r="I2883" i="1"/>
  <c r="I2895" i="1"/>
  <c r="I2907" i="1"/>
  <c r="I2919" i="1"/>
  <c r="I2931" i="1"/>
  <c r="I2943" i="1"/>
  <c r="I2955" i="1"/>
  <c r="I2967" i="1"/>
  <c r="I2979" i="1"/>
  <c r="I2991" i="1"/>
  <c r="I3003" i="1"/>
  <c r="I3015" i="1"/>
  <c r="I3027" i="1"/>
  <c r="I3039" i="1"/>
  <c r="I3051" i="1"/>
  <c r="I3063" i="1"/>
  <c r="I3075" i="1"/>
  <c r="I3087" i="1"/>
  <c r="I3099" i="1"/>
  <c r="I3111" i="1"/>
  <c r="I3123" i="1"/>
  <c r="I1984" i="1"/>
  <c r="I1996" i="1"/>
  <c r="I2008" i="1"/>
  <c r="I2020" i="1"/>
  <c r="I2032" i="1"/>
  <c r="I2044" i="1"/>
  <c r="I2056" i="1"/>
  <c r="I2068" i="1"/>
  <c r="I2080" i="1"/>
  <c r="I2092" i="1"/>
  <c r="I2104" i="1"/>
  <c r="I2116" i="1"/>
  <c r="I2128" i="1"/>
  <c r="I2140" i="1"/>
  <c r="I2152" i="1"/>
  <c r="I2164" i="1"/>
  <c r="I2176" i="1"/>
  <c r="I2188" i="1"/>
  <c r="I2200" i="1"/>
  <c r="I2212" i="1"/>
  <c r="I2224" i="1"/>
  <c r="I2236" i="1"/>
  <c r="I2248" i="1"/>
  <c r="I2260" i="1"/>
  <c r="I2272" i="1"/>
  <c r="I2284" i="1"/>
  <c r="I2296" i="1"/>
  <c r="I2308" i="1"/>
  <c r="I2320" i="1"/>
  <c r="I2332" i="1"/>
  <c r="I2344" i="1"/>
  <c r="I2356" i="1"/>
  <c r="I2368" i="1"/>
  <c r="I2380" i="1"/>
  <c r="I2392" i="1"/>
  <c r="I2404" i="1"/>
  <c r="I2416" i="1"/>
  <c r="I2428" i="1"/>
  <c r="I2440" i="1"/>
  <c r="I2452" i="1"/>
  <c r="I2464" i="1"/>
  <c r="I2476" i="1"/>
  <c r="I2488" i="1"/>
  <c r="I2500" i="1"/>
  <c r="I2512" i="1"/>
  <c r="I2524" i="1"/>
  <c r="I2536" i="1"/>
  <c r="I2548" i="1"/>
  <c r="I2560" i="1"/>
  <c r="I2572" i="1"/>
  <c r="I2584" i="1"/>
  <c r="I2596" i="1"/>
  <c r="I2608" i="1"/>
  <c r="I2620" i="1"/>
  <c r="I2632" i="1"/>
  <c r="I2644" i="1"/>
  <c r="I2656" i="1"/>
  <c r="I2668" i="1"/>
  <c r="I2680" i="1"/>
  <c r="I2692" i="1"/>
  <c r="I2704" i="1"/>
  <c r="I2716" i="1"/>
  <c r="I2728" i="1"/>
  <c r="I2740" i="1"/>
  <c r="I2752" i="1"/>
  <c r="I2764" i="1"/>
  <c r="I2776" i="1"/>
  <c r="I2788" i="1"/>
  <c r="I2800" i="1"/>
  <c r="I2812" i="1"/>
  <c r="I2824" i="1"/>
  <c r="I2836" i="1"/>
  <c r="I2848" i="1"/>
  <c r="I2860" i="1"/>
  <c r="I2872" i="1"/>
  <c r="I2884" i="1"/>
  <c r="I2896" i="1"/>
  <c r="I2908" i="1"/>
  <c r="I2920" i="1"/>
  <c r="I2932" i="1"/>
  <c r="I2944" i="1"/>
  <c r="I2956" i="1"/>
  <c r="I2968" i="1"/>
  <c r="I2980" i="1"/>
  <c r="I2992" i="1"/>
  <c r="I3004" i="1"/>
  <c r="I3016" i="1"/>
  <c r="I3028" i="1"/>
  <c r="I3040" i="1"/>
  <c r="I3052" i="1"/>
  <c r="I3064" i="1"/>
  <c r="I3076" i="1"/>
  <c r="I3088" i="1"/>
  <c r="I3100" i="1"/>
  <c r="I3112" i="1"/>
  <c r="I3124" i="1"/>
  <c r="I1985" i="1"/>
  <c r="I1997" i="1"/>
  <c r="I2009" i="1"/>
  <c r="I2021" i="1"/>
  <c r="I2033" i="1"/>
  <c r="I2045" i="1"/>
  <c r="I2057" i="1"/>
  <c r="I2069" i="1"/>
  <c r="I2081" i="1"/>
  <c r="I2093" i="1"/>
  <c r="I2105" i="1"/>
  <c r="I2117" i="1"/>
  <c r="I2129" i="1"/>
  <c r="I2141" i="1"/>
  <c r="I2153" i="1"/>
  <c r="I2165" i="1"/>
  <c r="I2177" i="1"/>
  <c r="I2189" i="1"/>
  <c r="I2201" i="1"/>
  <c r="I2213" i="1"/>
  <c r="I2225" i="1"/>
  <c r="I2237" i="1"/>
  <c r="I2249" i="1"/>
  <c r="I2261" i="1"/>
  <c r="I2273" i="1"/>
  <c r="I2285" i="1"/>
  <c r="I2297" i="1"/>
  <c r="I2309" i="1"/>
  <c r="I2321" i="1"/>
  <c r="I2333" i="1"/>
  <c r="I2345" i="1"/>
  <c r="I2357" i="1"/>
  <c r="I2369" i="1"/>
  <c r="I2381" i="1"/>
  <c r="I2393" i="1"/>
  <c r="I2405" i="1"/>
  <c r="I2417" i="1"/>
  <c r="I2429" i="1"/>
  <c r="I2441" i="1"/>
  <c r="I2453" i="1"/>
  <c r="I2465" i="1"/>
  <c r="I2477" i="1"/>
  <c r="I2489" i="1"/>
  <c r="I2501" i="1"/>
  <c r="I2513" i="1"/>
  <c r="I2525" i="1"/>
  <c r="I2537" i="1"/>
  <c r="I2549" i="1"/>
  <c r="I2561" i="1"/>
  <c r="I2573" i="1"/>
  <c r="I2585" i="1"/>
  <c r="I2597" i="1"/>
  <c r="I2609" i="1"/>
  <c r="I2621" i="1"/>
  <c r="I2633" i="1"/>
  <c r="I2645" i="1"/>
  <c r="I2657" i="1"/>
  <c r="I2669" i="1"/>
  <c r="I2681" i="1"/>
  <c r="I2693" i="1"/>
  <c r="I2705" i="1"/>
  <c r="I2717" i="1"/>
  <c r="I2729" i="1"/>
  <c r="I2741" i="1"/>
  <c r="I2753" i="1"/>
  <c r="I2765" i="1"/>
  <c r="I2777" i="1"/>
  <c r="I2789" i="1"/>
  <c r="I2801" i="1"/>
  <c r="I2813" i="1"/>
  <c r="I2825" i="1"/>
  <c r="I2837" i="1"/>
  <c r="I2849" i="1"/>
  <c r="I2861" i="1"/>
  <c r="I2873" i="1"/>
  <c r="I2885" i="1"/>
  <c r="I2897" i="1"/>
  <c r="I2909" i="1"/>
  <c r="I2921" i="1"/>
  <c r="I2933" i="1"/>
  <c r="I2945" i="1"/>
  <c r="I2957" i="1"/>
  <c r="I2969" i="1"/>
  <c r="I2981" i="1"/>
  <c r="I2993" i="1"/>
  <c r="I3005" i="1"/>
  <c r="I3017" i="1"/>
  <c r="I3029" i="1"/>
  <c r="I3041" i="1"/>
  <c r="I3053" i="1"/>
  <c r="I3065" i="1"/>
  <c r="I3077" i="1"/>
  <c r="I3089" i="1"/>
  <c r="I3101" i="1"/>
  <c r="I3113" i="1"/>
  <c r="I3125" i="1"/>
  <c r="I2118" i="1"/>
  <c r="I2262" i="1"/>
  <c r="I2406" i="1"/>
  <c r="I2550" i="1"/>
  <c r="I2694" i="1"/>
  <c r="I2838" i="1"/>
  <c r="I2982" i="1"/>
  <c r="I3126" i="1"/>
  <c r="I1986" i="1"/>
  <c r="I2130" i="1"/>
  <c r="I2274" i="1"/>
  <c r="I2418" i="1"/>
  <c r="I2562" i="1"/>
  <c r="I2706" i="1"/>
  <c r="I2850" i="1"/>
  <c r="I2994" i="1"/>
  <c r="I1998" i="1"/>
  <c r="I2142" i="1"/>
  <c r="I2286" i="1"/>
  <c r="I2430" i="1"/>
  <c r="I2574" i="1"/>
  <c r="I2718" i="1"/>
  <c r="I2862" i="1"/>
  <c r="I3006" i="1"/>
  <c r="I2010" i="1"/>
  <c r="I2154" i="1"/>
  <c r="I2298" i="1"/>
  <c r="I2442" i="1"/>
  <c r="I2586" i="1"/>
  <c r="I2730" i="1"/>
  <c r="I2874" i="1"/>
  <c r="I3018" i="1"/>
  <c r="I2022" i="1"/>
  <c r="I2166" i="1"/>
  <c r="I2310" i="1"/>
  <c r="I2454" i="1"/>
  <c r="I2598" i="1"/>
  <c r="I2742" i="1"/>
  <c r="I2886" i="1"/>
  <c r="I3030" i="1"/>
  <c r="I2034" i="1"/>
  <c r="I2178" i="1"/>
  <c r="I2322" i="1"/>
  <c r="I2466" i="1"/>
  <c r="I2610" i="1"/>
  <c r="I2754" i="1"/>
  <c r="I2898" i="1"/>
  <c r="I3042" i="1"/>
  <c r="I2046" i="1"/>
  <c r="I2190" i="1"/>
  <c r="I2334" i="1"/>
  <c r="I2478" i="1"/>
  <c r="I2622" i="1"/>
  <c r="I2766" i="1"/>
  <c r="I2910" i="1"/>
  <c r="I3054" i="1"/>
  <c r="I2058" i="1"/>
  <c r="I2202" i="1"/>
  <c r="I2346" i="1"/>
  <c r="I2490" i="1"/>
  <c r="I2634" i="1"/>
  <c r="I2778" i="1"/>
  <c r="I2922" i="1"/>
  <c r="I3066" i="1"/>
  <c r="I2070" i="1"/>
  <c r="I2214" i="1"/>
  <c r="I2358" i="1"/>
  <c r="I2502" i="1"/>
  <c r="I2646" i="1"/>
  <c r="I2790" i="1"/>
  <c r="I2934" i="1"/>
  <c r="I3078" i="1"/>
  <c r="I2082" i="1"/>
  <c r="I2226" i="1"/>
  <c r="I2370" i="1"/>
  <c r="I2514" i="1"/>
  <c r="I2658" i="1"/>
  <c r="I2802" i="1"/>
  <c r="I2946" i="1"/>
  <c r="I3090" i="1"/>
  <c r="I2094" i="1"/>
  <c r="I2238" i="1"/>
  <c r="I2382" i="1"/>
  <c r="I2526" i="1"/>
  <c r="I2670" i="1"/>
  <c r="I2814" i="1"/>
  <c r="I2958" i="1"/>
  <c r="I3102" i="1"/>
  <c r="I2106" i="1"/>
  <c r="I2250" i="1"/>
  <c r="I2394" i="1"/>
  <c r="I2538" i="1"/>
  <c r="I2682" i="1"/>
  <c r="I2826" i="1"/>
  <c r="I2970" i="1"/>
  <c r="I3114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G1985" i="1" l="1"/>
  <c r="G1997" i="1"/>
  <c r="G2009" i="1"/>
  <c r="G2021" i="1"/>
  <c r="G2033" i="1"/>
  <c r="G2045" i="1"/>
  <c r="G2057" i="1"/>
  <c r="G2069" i="1"/>
  <c r="G2081" i="1"/>
  <c r="G2093" i="1"/>
  <c r="G2105" i="1"/>
  <c r="G2117" i="1"/>
  <c r="G2129" i="1"/>
  <c r="G2141" i="1"/>
  <c r="G2153" i="1"/>
  <c r="G2165" i="1"/>
  <c r="G2177" i="1"/>
  <c r="G2189" i="1"/>
  <c r="G2201" i="1"/>
  <c r="G2213" i="1"/>
  <c r="G2225" i="1"/>
  <c r="G2237" i="1"/>
  <c r="G2249" i="1"/>
  <c r="G2261" i="1"/>
  <c r="G2273" i="1"/>
  <c r="G2285" i="1"/>
  <c r="G2297" i="1"/>
  <c r="G2309" i="1"/>
  <c r="G2321" i="1"/>
  <c r="G2333" i="1"/>
  <c r="G2345" i="1"/>
  <c r="G2357" i="1"/>
  <c r="G2369" i="1"/>
  <c r="G2381" i="1"/>
  <c r="G2393" i="1"/>
  <c r="G2405" i="1"/>
  <c r="G2417" i="1"/>
  <c r="G2429" i="1"/>
  <c r="G2441" i="1"/>
  <c r="G2453" i="1"/>
  <c r="G2465" i="1"/>
  <c r="G2477" i="1"/>
  <c r="G2489" i="1"/>
  <c r="G2501" i="1"/>
  <c r="G2513" i="1"/>
  <c r="G2525" i="1"/>
  <c r="G2537" i="1"/>
  <c r="G2549" i="1"/>
  <c r="G2561" i="1"/>
  <c r="G2573" i="1"/>
  <c r="G2585" i="1"/>
  <c r="G2597" i="1"/>
  <c r="G2609" i="1"/>
  <c r="G2621" i="1"/>
  <c r="G2633" i="1"/>
  <c r="G2645" i="1"/>
  <c r="G2657" i="1"/>
  <c r="G2669" i="1"/>
  <c r="G2681" i="1"/>
  <c r="G2693" i="1"/>
  <c r="G2705" i="1"/>
  <c r="G2717" i="1"/>
  <c r="G2729" i="1"/>
  <c r="G2741" i="1"/>
  <c r="G2753" i="1"/>
  <c r="G2765" i="1"/>
  <c r="G2777" i="1"/>
  <c r="G2789" i="1"/>
  <c r="G2801" i="1"/>
  <c r="G2813" i="1"/>
  <c r="G2825" i="1"/>
  <c r="G2837" i="1"/>
  <c r="G1986" i="1"/>
  <c r="G1998" i="1"/>
  <c r="G2010" i="1"/>
  <c r="G2022" i="1"/>
  <c r="G2034" i="1"/>
  <c r="G2046" i="1"/>
  <c r="G2058" i="1"/>
  <c r="G2070" i="1"/>
  <c r="G2082" i="1"/>
  <c r="G2094" i="1"/>
  <c r="G2106" i="1"/>
  <c r="G2118" i="1"/>
  <c r="G2130" i="1"/>
  <c r="G2142" i="1"/>
  <c r="G2154" i="1"/>
  <c r="G2166" i="1"/>
  <c r="G2178" i="1"/>
  <c r="G2190" i="1"/>
  <c r="G2202" i="1"/>
  <c r="G2214" i="1"/>
  <c r="G2226" i="1"/>
  <c r="G2238" i="1"/>
  <c r="G2250" i="1"/>
  <c r="G2262" i="1"/>
  <c r="G2274" i="1"/>
  <c r="G2286" i="1"/>
  <c r="G2298" i="1"/>
  <c r="G2310" i="1"/>
  <c r="G2322" i="1"/>
  <c r="G2334" i="1"/>
  <c r="G2346" i="1"/>
  <c r="G2358" i="1"/>
  <c r="G2370" i="1"/>
  <c r="G2382" i="1"/>
  <c r="G2394" i="1"/>
  <c r="G2406" i="1"/>
  <c r="G2418" i="1"/>
  <c r="G2430" i="1"/>
  <c r="G2442" i="1"/>
  <c r="G2454" i="1"/>
  <c r="G2466" i="1"/>
  <c r="G2478" i="1"/>
  <c r="G2490" i="1"/>
  <c r="G2502" i="1"/>
  <c r="G2514" i="1"/>
  <c r="G2526" i="1"/>
  <c r="G2538" i="1"/>
  <c r="G2550" i="1"/>
  <c r="G2562" i="1"/>
  <c r="G2574" i="1"/>
  <c r="G2586" i="1"/>
  <c r="G2598" i="1"/>
  <c r="G2610" i="1"/>
  <c r="G2622" i="1"/>
  <c r="G2634" i="1"/>
  <c r="G2646" i="1"/>
  <c r="G2658" i="1"/>
  <c r="G2670" i="1"/>
  <c r="G2682" i="1"/>
  <c r="G2694" i="1"/>
  <c r="G2706" i="1"/>
  <c r="G2718" i="1"/>
  <c r="G2730" i="1"/>
  <c r="G2742" i="1"/>
  <c r="G1987" i="1"/>
  <c r="G1999" i="1"/>
  <c r="G2011" i="1"/>
  <c r="G2023" i="1"/>
  <c r="G2035" i="1"/>
  <c r="G2047" i="1"/>
  <c r="G2059" i="1"/>
  <c r="G2071" i="1"/>
  <c r="G2083" i="1"/>
  <c r="G2095" i="1"/>
  <c r="G2107" i="1"/>
  <c r="G2119" i="1"/>
  <c r="G2131" i="1"/>
  <c r="G2143" i="1"/>
  <c r="G2155" i="1"/>
  <c r="G2167" i="1"/>
  <c r="G2179" i="1"/>
  <c r="G2191" i="1"/>
  <c r="G2203" i="1"/>
  <c r="G2215" i="1"/>
  <c r="G2227" i="1"/>
  <c r="G2239" i="1"/>
  <c r="G2251" i="1"/>
  <c r="G2263" i="1"/>
  <c r="G2275" i="1"/>
  <c r="G2287" i="1"/>
  <c r="G2299" i="1"/>
  <c r="G2311" i="1"/>
  <c r="G2323" i="1"/>
  <c r="G2335" i="1"/>
  <c r="G2347" i="1"/>
  <c r="G2359" i="1"/>
  <c r="G2371" i="1"/>
  <c r="G2383" i="1"/>
  <c r="G2395" i="1"/>
  <c r="G2407" i="1"/>
  <c r="G2419" i="1"/>
  <c r="G2431" i="1"/>
  <c r="G2443" i="1"/>
  <c r="G2455" i="1"/>
  <c r="G2467" i="1"/>
  <c r="G2479" i="1"/>
  <c r="G2491" i="1"/>
  <c r="G2503" i="1"/>
  <c r="G2515" i="1"/>
  <c r="G2527" i="1"/>
  <c r="G2539" i="1"/>
  <c r="G2551" i="1"/>
  <c r="G2563" i="1"/>
  <c r="G2575" i="1"/>
  <c r="G2587" i="1"/>
  <c r="G2599" i="1"/>
  <c r="G2611" i="1"/>
  <c r="G2623" i="1"/>
  <c r="G2635" i="1"/>
  <c r="G2647" i="1"/>
  <c r="G2659" i="1"/>
  <c r="G2671" i="1"/>
  <c r="G2683" i="1"/>
  <c r="G2695" i="1"/>
  <c r="G2707" i="1"/>
  <c r="G2719" i="1"/>
  <c r="G2731" i="1"/>
  <c r="G2743" i="1"/>
  <c r="G1988" i="1"/>
  <c r="G2000" i="1"/>
  <c r="G2012" i="1"/>
  <c r="G2024" i="1"/>
  <c r="G2036" i="1"/>
  <c r="G2048" i="1"/>
  <c r="G2060" i="1"/>
  <c r="G2072" i="1"/>
  <c r="G2084" i="1"/>
  <c r="G2096" i="1"/>
  <c r="G2108" i="1"/>
  <c r="G2120" i="1"/>
  <c r="G2132" i="1"/>
  <c r="G2144" i="1"/>
  <c r="G2156" i="1"/>
  <c r="G2168" i="1"/>
  <c r="G2180" i="1"/>
  <c r="G2192" i="1"/>
  <c r="G2204" i="1"/>
  <c r="G2216" i="1"/>
  <c r="G2228" i="1"/>
  <c r="G2240" i="1"/>
  <c r="G2252" i="1"/>
  <c r="G2264" i="1"/>
  <c r="G2276" i="1"/>
  <c r="G2288" i="1"/>
  <c r="G2300" i="1"/>
  <c r="G2312" i="1"/>
  <c r="G2324" i="1"/>
  <c r="G2336" i="1"/>
  <c r="G2348" i="1"/>
  <c r="G2360" i="1"/>
  <c r="G2372" i="1"/>
  <c r="G2384" i="1"/>
  <c r="G2396" i="1"/>
  <c r="G2408" i="1"/>
  <c r="G2420" i="1"/>
  <c r="G2432" i="1"/>
  <c r="G2444" i="1"/>
  <c r="G2456" i="1"/>
  <c r="G2468" i="1"/>
  <c r="G2480" i="1"/>
  <c r="G2492" i="1"/>
  <c r="G2504" i="1"/>
  <c r="G2516" i="1"/>
  <c r="G2528" i="1"/>
  <c r="G2540" i="1"/>
  <c r="G2552" i="1"/>
  <c r="G2564" i="1"/>
  <c r="G2576" i="1"/>
  <c r="G2588" i="1"/>
  <c r="G2600" i="1"/>
  <c r="G2612" i="1"/>
  <c r="G2624" i="1"/>
  <c r="G2636" i="1"/>
  <c r="G2648" i="1"/>
  <c r="G2660" i="1"/>
  <c r="G2672" i="1"/>
  <c r="G2684" i="1"/>
  <c r="G2696" i="1"/>
  <c r="G2708" i="1"/>
  <c r="G2720" i="1"/>
  <c r="G2732" i="1"/>
  <c r="G2744" i="1"/>
  <c r="G1989" i="1"/>
  <c r="G2001" i="1"/>
  <c r="G2013" i="1"/>
  <c r="G2025" i="1"/>
  <c r="G2037" i="1"/>
  <c r="G2049" i="1"/>
  <c r="G2061" i="1"/>
  <c r="G2073" i="1"/>
  <c r="G2085" i="1"/>
  <c r="G2097" i="1"/>
  <c r="G2109" i="1"/>
  <c r="G2121" i="1"/>
  <c r="G2133" i="1"/>
  <c r="G2145" i="1"/>
  <c r="G2157" i="1"/>
  <c r="G2169" i="1"/>
  <c r="G2181" i="1"/>
  <c r="G2193" i="1"/>
  <c r="G2205" i="1"/>
  <c r="G2217" i="1"/>
  <c r="G2229" i="1"/>
  <c r="G2241" i="1"/>
  <c r="G2253" i="1"/>
  <c r="G2265" i="1"/>
  <c r="G2277" i="1"/>
  <c r="G2289" i="1"/>
  <c r="G2301" i="1"/>
  <c r="G2313" i="1"/>
  <c r="G2325" i="1"/>
  <c r="G2337" i="1"/>
  <c r="G2349" i="1"/>
  <c r="G2361" i="1"/>
  <c r="G2373" i="1"/>
  <c r="G2385" i="1"/>
  <c r="G2397" i="1"/>
  <c r="G2409" i="1"/>
  <c r="G2421" i="1"/>
  <c r="G2433" i="1"/>
  <c r="G2445" i="1"/>
  <c r="G2457" i="1"/>
  <c r="G2469" i="1"/>
  <c r="G2481" i="1"/>
  <c r="G2493" i="1"/>
  <c r="G2505" i="1"/>
  <c r="G2517" i="1"/>
  <c r="G2529" i="1"/>
  <c r="G2541" i="1"/>
  <c r="G2553" i="1"/>
  <c r="G2565" i="1"/>
  <c r="G2577" i="1"/>
  <c r="G2589" i="1"/>
  <c r="G2601" i="1"/>
  <c r="G2613" i="1"/>
  <c r="G2625" i="1"/>
  <c r="G2637" i="1"/>
  <c r="G2649" i="1"/>
  <c r="G2661" i="1"/>
  <c r="G2673" i="1"/>
  <c r="G2685" i="1"/>
  <c r="G2697" i="1"/>
  <c r="G2709" i="1"/>
  <c r="G2721" i="1"/>
  <c r="G2733" i="1"/>
  <c r="G2745" i="1"/>
  <c r="G1990" i="1"/>
  <c r="G2002" i="1"/>
  <c r="G2014" i="1"/>
  <c r="G2026" i="1"/>
  <c r="G2038" i="1"/>
  <c r="G2050" i="1"/>
  <c r="G2062" i="1"/>
  <c r="G2074" i="1"/>
  <c r="G2086" i="1"/>
  <c r="G2098" i="1"/>
  <c r="G2110" i="1"/>
  <c r="G2122" i="1"/>
  <c r="G2134" i="1"/>
  <c r="G2146" i="1"/>
  <c r="G2158" i="1"/>
  <c r="G2170" i="1"/>
  <c r="G2182" i="1"/>
  <c r="G2194" i="1"/>
  <c r="G2206" i="1"/>
  <c r="G2218" i="1"/>
  <c r="G2230" i="1"/>
  <c r="G2242" i="1"/>
  <c r="G2254" i="1"/>
  <c r="G2266" i="1"/>
  <c r="G2278" i="1"/>
  <c r="G2290" i="1"/>
  <c r="G2302" i="1"/>
  <c r="G2314" i="1"/>
  <c r="G2326" i="1"/>
  <c r="G2338" i="1"/>
  <c r="G2350" i="1"/>
  <c r="G2362" i="1"/>
  <c r="G2374" i="1"/>
  <c r="G2386" i="1"/>
  <c r="G2398" i="1"/>
  <c r="G2410" i="1"/>
  <c r="G2422" i="1"/>
  <c r="G2434" i="1"/>
  <c r="G2446" i="1"/>
  <c r="G2458" i="1"/>
  <c r="G2470" i="1"/>
  <c r="G2482" i="1"/>
  <c r="G2494" i="1"/>
  <c r="G2506" i="1"/>
  <c r="G2518" i="1"/>
  <c r="G2530" i="1"/>
  <c r="G2542" i="1"/>
  <c r="G2554" i="1"/>
  <c r="G2566" i="1"/>
  <c r="G2578" i="1"/>
  <c r="G2590" i="1"/>
  <c r="G2602" i="1"/>
  <c r="G2614" i="1"/>
  <c r="G2626" i="1"/>
  <c r="G2638" i="1"/>
  <c r="G2650" i="1"/>
  <c r="G2662" i="1"/>
  <c r="G2674" i="1"/>
  <c r="G2686" i="1"/>
  <c r="G2698" i="1"/>
  <c r="G2710" i="1"/>
  <c r="G2722" i="1"/>
  <c r="G2734" i="1"/>
  <c r="G2746" i="1"/>
  <c r="G1991" i="1"/>
  <c r="G2003" i="1"/>
  <c r="G2015" i="1"/>
  <c r="G2027" i="1"/>
  <c r="G2039" i="1"/>
  <c r="G2051" i="1"/>
  <c r="G2063" i="1"/>
  <c r="G2075" i="1"/>
  <c r="G2087" i="1"/>
  <c r="G2099" i="1"/>
  <c r="G2111" i="1"/>
  <c r="G2123" i="1"/>
  <c r="G2135" i="1"/>
  <c r="G2147" i="1"/>
  <c r="G2159" i="1"/>
  <c r="G2171" i="1"/>
  <c r="G2183" i="1"/>
  <c r="G2195" i="1"/>
  <c r="G2207" i="1"/>
  <c r="G2219" i="1"/>
  <c r="G2231" i="1"/>
  <c r="G2243" i="1"/>
  <c r="G2255" i="1"/>
  <c r="G2267" i="1"/>
  <c r="G2279" i="1"/>
  <c r="G2291" i="1"/>
  <c r="G2303" i="1"/>
  <c r="G2315" i="1"/>
  <c r="G2327" i="1"/>
  <c r="G2339" i="1"/>
  <c r="G2351" i="1"/>
  <c r="G2363" i="1"/>
  <c r="G2375" i="1"/>
  <c r="G2387" i="1"/>
  <c r="G2399" i="1"/>
  <c r="G2411" i="1"/>
  <c r="G2423" i="1"/>
  <c r="G2435" i="1"/>
  <c r="G2447" i="1"/>
  <c r="G2459" i="1"/>
  <c r="G2471" i="1"/>
  <c r="G2483" i="1"/>
  <c r="G2495" i="1"/>
  <c r="G2507" i="1"/>
  <c r="G2519" i="1"/>
  <c r="G2531" i="1"/>
  <c r="G2543" i="1"/>
  <c r="G2555" i="1"/>
  <c r="G2567" i="1"/>
  <c r="G2579" i="1"/>
  <c r="G2591" i="1"/>
  <c r="G2603" i="1"/>
  <c r="G2615" i="1"/>
  <c r="G2627" i="1"/>
  <c r="G2639" i="1"/>
  <c r="G2651" i="1"/>
  <c r="G2663" i="1"/>
  <c r="G2675" i="1"/>
  <c r="G2687" i="1"/>
  <c r="G2699" i="1"/>
  <c r="G2711" i="1"/>
  <c r="G2723" i="1"/>
  <c r="G2735" i="1"/>
  <c r="G1992" i="1"/>
  <c r="G2004" i="1"/>
  <c r="G2016" i="1"/>
  <c r="G2028" i="1"/>
  <c r="G2040" i="1"/>
  <c r="G2052" i="1"/>
  <c r="G2064" i="1"/>
  <c r="G2076" i="1"/>
  <c r="G2088" i="1"/>
  <c r="G2100" i="1"/>
  <c r="G2112" i="1"/>
  <c r="G2124" i="1"/>
  <c r="G2136" i="1"/>
  <c r="G2148" i="1"/>
  <c r="G2160" i="1"/>
  <c r="G2172" i="1"/>
  <c r="G2184" i="1"/>
  <c r="G2196" i="1"/>
  <c r="G2208" i="1"/>
  <c r="G2220" i="1"/>
  <c r="G2232" i="1"/>
  <c r="G2244" i="1"/>
  <c r="G2256" i="1"/>
  <c r="G2268" i="1"/>
  <c r="G2280" i="1"/>
  <c r="G2292" i="1"/>
  <c r="G2304" i="1"/>
  <c r="G2316" i="1"/>
  <c r="G2328" i="1"/>
  <c r="G2340" i="1"/>
  <c r="G2352" i="1"/>
  <c r="G2364" i="1"/>
  <c r="G2376" i="1"/>
  <c r="G2388" i="1"/>
  <c r="G2400" i="1"/>
  <c r="G2412" i="1"/>
  <c r="G2424" i="1"/>
  <c r="G2436" i="1"/>
  <c r="G2448" i="1"/>
  <c r="G2460" i="1"/>
  <c r="G2472" i="1"/>
  <c r="G2484" i="1"/>
  <c r="G2496" i="1"/>
  <c r="G2508" i="1"/>
  <c r="G2520" i="1"/>
  <c r="G2532" i="1"/>
  <c r="G2544" i="1"/>
  <c r="G2556" i="1"/>
  <c r="G2568" i="1"/>
  <c r="G2580" i="1"/>
  <c r="G2592" i="1"/>
  <c r="G2604" i="1"/>
  <c r="G2616" i="1"/>
  <c r="G2628" i="1"/>
  <c r="G2640" i="1"/>
  <c r="G2652" i="1"/>
  <c r="G2664" i="1"/>
  <c r="G2676" i="1"/>
  <c r="G2688" i="1"/>
  <c r="G2700" i="1"/>
  <c r="G2712" i="1"/>
  <c r="G2724" i="1"/>
  <c r="G2736" i="1"/>
  <c r="G2748" i="1"/>
  <c r="G2760" i="1"/>
  <c r="G2772" i="1"/>
  <c r="G2784" i="1"/>
  <c r="G2796" i="1"/>
  <c r="G2808" i="1"/>
  <c r="G2820" i="1"/>
  <c r="G2832" i="1"/>
  <c r="G1993" i="1"/>
  <c r="G2005" i="1"/>
  <c r="G2017" i="1"/>
  <c r="G2029" i="1"/>
  <c r="G2041" i="1"/>
  <c r="G2053" i="1"/>
  <c r="G2065" i="1"/>
  <c r="G2077" i="1"/>
  <c r="G2089" i="1"/>
  <c r="G2101" i="1"/>
  <c r="G2113" i="1"/>
  <c r="G2125" i="1"/>
  <c r="G2137" i="1"/>
  <c r="G2149" i="1"/>
  <c r="G2161" i="1"/>
  <c r="G2173" i="1"/>
  <c r="G2185" i="1"/>
  <c r="G2197" i="1"/>
  <c r="G2209" i="1"/>
  <c r="G2221" i="1"/>
  <c r="G2233" i="1"/>
  <c r="G2245" i="1"/>
  <c r="G2257" i="1"/>
  <c r="G2269" i="1"/>
  <c r="G2281" i="1"/>
  <c r="G2293" i="1"/>
  <c r="G2305" i="1"/>
  <c r="G2317" i="1"/>
  <c r="G2329" i="1"/>
  <c r="G2341" i="1"/>
  <c r="G2353" i="1"/>
  <c r="G2365" i="1"/>
  <c r="G2377" i="1"/>
  <c r="G2389" i="1"/>
  <c r="G2401" i="1"/>
  <c r="G2413" i="1"/>
  <c r="G2425" i="1"/>
  <c r="G2437" i="1"/>
  <c r="G2449" i="1"/>
  <c r="G2461" i="1"/>
  <c r="G2473" i="1"/>
  <c r="G2485" i="1"/>
  <c r="G2497" i="1"/>
  <c r="G2509" i="1"/>
  <c r="G2521" i="1"/>
  <c r="G2533" i="1"/>
  <c r="G2545" i="1"/>
  <c r="G2557" i="1"/>
  <c r="G2569" i="1"/>
  <c r="G2581" i="1"/>
  <c r="G2593" i="1"/>
  <c r="G2605" i="1"/>
  <c r="G2617" i="1"/>
  <c r="G2629" i="1"/>
  <c r="G2641" i="1"/>
  <c r="G2653" i="1"/>
  <c r="G2665" i="1"/>
  <c r="G2677" i="1"/>
  <c r="G2689" i="1"/>
  <c r="G2701" i="1"/>
  <c r="G2713" i="1"/>
  <c r="G2725" i="1"/>
  <c r="G2737" i="1"/>
  <c r="G2749" i="1"/>
  <c r="G1982" i="1"/>
  <c r="G1994" i="1"/>
  <c r="G2006" i="1"/>
  <c r="G2018" i="1"/>
  <c r="G2030" i="1"/>
  <c r="G2042" i="1"/>
  <c r="G2054" i="1"/>
  <c r="G2066" i="1"/>
  <c r="G2078" i="1"/>
  <c r="G2090" i="1"/>
  <c r="G2102" i="1"/>
  <c r="G2114" i="1"/>
  <c r="G2126" i="1"/>
  <c r="G2138" i="1"/>
  <c r="G2150" i="1"/>
  <c r="G2162" i="1"/>
  <c r="G2174" i="1"/>
  <c r="G2186" i="1"/>
  <c r="G2198" i="1"/>
  <c r="G2210" i="1"/>
  <c r="G2222" i="1"/>
  <c r="G2234" i="1"/>
  <c r="G2246" i="1"/>
  <c r="G2258" i="1"/>
  <c r="G2270" i="1"/>
  <c r="G2282" i="1"/>
  <c r="G2294" i="1"/>
  <c r="G2306" i="1"/>
  <c r="G2318" i="1"/>
  <c r="G2330" i="1"/>
  <c r="G2342" i="1"/>
  <c r="G2354" i="1"/>
  <c r="G2366" i="1"/>
  <c r="G2378" i="1"/>
  <c r="G2390" i="1"/>
  <c r="G2402" i="1"/>
  <c r="G2414" i="1"/>
  <c r="G2426" i="1"/>
  <c r="G2438" i="1"/>
  <c r="G2450" i="1"/>
  <c r="G2462" i="1"/>
  <c r="G2474" i="1"/>
  <c r="G2486" i="1"/>
  <c r="G2498" i="1"/>
  <c r="G2510" i="1"/>
  <c r="G2522" i="1"/>
  <c r="G2534" i="1"/>
  <c r="G2546" i="1"/>
  <c r="G2558" i="1"/>
  <c r="G2570" i="1"/>
  <c r="G2582" i="1"/>
  <c r="G2594" i="1"/>
  <c r="G2606" i="1"/>
  <c r="G2618" i="1"/>
  <c r="G2630" i="1"/>
  <c r="G2642" i="1"/>
  <c r="G2654" i="1"/>
  <c r="G2666" i="1"/>
  <c r="G2678" i="1"/>
  <c r="G2690" i="1"/>
  <c r="G2702" i="1"/>
  <c r="G2714" i="1"/>
  <c r="G2726" i="1"/>
  <c r="G2738" i="1"/>
  <c r="G1983" i="1"/>
  <c r="G1995" i="1"/>
  <c r="G2007" i="1"/>
  <c r="G2019" i="1"/>
  <c r="G2031" i="1"/>
  <c r="G2043" i="1"/>
  <c r="G2055" i="1"/>
  <c r="G2067" i="1"/>
  <c r="G2079" i="1"/>
  <c r="G2091" i="1"/>
  <c r="G2103" i="1"/>
  <c r="G2115" i="1"/>
  <c r="G2127" i="1"/>
  <c r="G2139" i="1"/>
  <c r="G2151" i="1"/>
  <c r="G2163" i="1"/>
  <c r="G2175" i="1"/>
  <c r="G2187" i="1"/>
  <c r="G2199" i="1"/>
  <c r="G2211" i="1"/>
  <c r="G2223" i="1"/>
  <c r="G2235" i="1"/>
  <c r="G2247" i="1"/>
  <c r="G2259" i="1"/>
  <c r="G2271" i="1"/>
  <c r="G2283" i="1"/>
  <c r="G2295" i="1"/>
  <c r="G2307" i="1"/>
  <c r="G2319" i="1"/>
  <c r="G2331" i="1"/>
  <c r="G2343" i="1"/>
  <c r="G2355" i="1"/>
  <c r="G2367" i="1"/>
  <c r="G2379" i="1"/>
  <c r="G2391" i="1"/>
  <c r="G2403" i="1"/>
  <c r="G2415" i="1"/>
  <c r="G2427" i="1"/>
  <c r="G2439" i="1"/>
  <c r="G2451" i="1"/>
  <c r="G2463" i="1"/>
  <c r="G2475" i="1"/>
  <c r="G2487" i="1"/>
  <c r="G2499" i="1"/>
  <c r="G2511" i="1"/>
  <c r="G2523" i="1"/>
  <c r="G2535" i="1"/>
  <c r="G2547" i="1"/>
  <c r="G2559" i="1"/>
  <c r="G2571" i="1"/>
  <c r="G2583" i="1"/>
  <c r="G2595" i="1"/>
  <c r="G2607" i="1"/>
  <c r="G2619" i="1"/>
  <c r="G2631" i="1"/>
  <c r="G2643" i="1"/>
  <c r="G2655" i="1"/>
  <c r="G2667" i="1"/>
  <c r="G2679" i="1"/>
  <c r="G2691" i="1"/>
  <c r="G2703" i="1"/>
  <c r="G2715" i="1"/>
  <c r="G2727" i="1"/>
  <c r="G2739" i="1"/>
  <c r="G2080" i="1"/>
  <c r="G2224" i="1"/>
  <c r="G2368" i="1"/>
  <c r="G2512" i="1"/>
  <c r="G2656" i="1"/>
  <c r="G2754" i="1"/>
  <c r="G2768" i="1"/>
  <c r="G2782" i="1"/>
  <c r="G2797" i="1"/>
  <c r="G2811" i="1"/>
  <c r="G2826" i="1"/>
  <c r="G2840" i="1"/>
  <c r="G2852" i="1"/>
  <c r="G2864" i="1"/>
  <c r="G2876" i="1"/>
  <c r="G2888" i="1"/>
  <c r="G2900" i="1"/>
  <c r="G2912" i="1"/>
  <c r="G2924" i="1"/>
  <c r="G2936" i="1"/>
  <c r="G2948" i="1"/>
  <c r="G2960" i="1"/>
  <c r="G2972" i="1"/>
  <c r="G2984" i="1"/>
  <c r="G2996" i="1"/>
  <c r="G3008" i="1"/>
  <c r="G3020" i="1"/>
  <c r="G3032" i="1"/>
  <c r="G3044" i="1"/>
  <c r="G3056" i="1"/>
  <c r="G3068" i="1"/>
  <c r="G3080" i="1"/>
  <c r="G3092" i="1"/>
  <c r="G3104" i="1"/>
  <c r="G3116" i="1"/>
  <c r="G3128" i="1"/>
  <c r="G2092" i="1"/>
  <c r="G2236" i="1"/>
  <c r="G2380" i="1"/>
  <c r="G2524" i="1"/>
  <c r="G2668" i="1"/>
  <c r="G2755" i="1"/>
  <c r="G2769" i="1"/>
  <c r="G2783" i="1"/>
  <c r="G2798" i="1"/>
  <c r="G2812" i="1"/>
  <c r="G2827" i="1"/>
  <c r="G2841" i="1"/>
  <c r="G2853" i="1"/>
  <c r="G2865" i="1"/>
  <c r="G2877" i="1"/>
  <c r="G2889" i="1"/>
  <c r="G2901" i="1"/>
  <c r="G2913" i="1"/>
  <c r="G2925" i="1"/>
  <c r="G2937" i="1"/>
  <c r="G2949" i="1"/>
  <c r="G2961" i="1"/>
  <c r="G2973" i="1"/>
  <c r="G2985" i="1"/>
  <c r="G2997" i="1"/>
  <c r="G3009" i="1"/>
  <c r="G3021" i="1"/>
  <c r="G3033" i="1"/>
  <c r="G3045" i="1"/>
  <c r="G3057" i="1"/>
  <c r="G3069" i="1"/>
  <c r="G3081" i="1"/>
  <c r="G3093" i="1"/>
  <c r="G3105" i="1"/>
  <c r="G3117" i="1"/>
  <c r="G3129" i="1"/>
  <c r="G2104" i="1"/>
  <c r="G2248" i="1"/>
  <c r="G2392" i="1"/>
  <c r="G2536" i="1"/>
  <c r="G2680" i="1"/>
  <c r="G2756" i="1"/>
  <c r="G2770" i="1"/>
  <c r="G2785" i="1"/>
  <c r="G2799" i="1"/>
  <c r="G2814" i="1"/>
  <c r="G2828" i="1"/>
  <c r="G2842" i="1"/>
  <c r="G2854" i="1"/>
  <c r="G2866" i="1"/>
  <c r="G2878" i="1"/>
  <c r="G2890" i="1"/>
  <c r="G2902" i="1"/>
  <c r="G2914" i="1"/>
  <c r="G2926" i="1"/>
  <c r="G2938" i="1"/>
  <c r="G2950" i="1"/>
  <c r="G2962" i="1"/>
  <c r="G2974" i="1"/>
  <c r="G2986" i="1"/>
  <c r="G2998" i="1"/>
  <c r="G3010" i="1"/>
  <c r="G3022" i="1"/>
  <c r="G3034" i="1"/>
  <c r="G3046" i="1"/>
  <c r="G3058" i="1"/>
  <c r="G3070" i="1"/>
  <c r="G3082" i="1"/>
  <c r="G3094" i="1"/>
  <c r="G3106" i="1"/>
  <c r="G3118" i="1"/>
  <c r="G2116" i="1"/>
  <c r="G2260" i="1"/>
  <c r="G2404" i="1"/>
  <c r="G2548" i="1"/>
  <c r="G2692" i="1"/>
  <c r="G2757" i="1"/>
  <c r="G2771" i="1"/>
  <c r="G2786" i="1"/>
  <c r="G2800" i="1"/>
  <c r="G2815" i="1"/>
  <c r="G2829" i="1"/>
  <c r="G2843" i="1"/>
  <c r="G2855" i="1"/>
  <c r="G2867" i="1"/>
  <c r="G2879" i="1"/>
  <c r="G2891" i="1"/>
  <c r="G2903" i="1"/>
  <c r="G2915" i="1"/>
  <c r="G2927" i="1"/>
  <c r="G2939" i="1"/>
  <c r="G2951" i="1"/>
  <c r="G2963" i="1"/>
  <c r="G2975" i="1"/>
  <c r="G2987" i="1"/>
  <c r="G2999" i="1"/>
  <c r="G3011" i="1"/>
  <c r="G3023" i="1"/>
  <c r="G3035" i="1"/>
  <c r="G3047" i="1"/>
  <c r="G3059" i="1"/>
  <c r="G3071" i="1"/>
  <c r="G3083" i="1"/>
  <c r="G3095" i="1"/>
  <c r="G3107" i="1"/>
  <c r="G3119" i="1"/>
  <c r="G1984" i="1"/>
  <c r="G2128" i="1"/>
  <c r="G2272" i="1"/>
  <c r="G2416" i="1"/>
  <c r="G2560" i="1"/>
  <c r="G2704" i="1"/>
  <c r="G2758" i="1"/>
  <c r="G2773" i="1"/>
  <c r="G2787" i="1"/>
  <c r="G2802" i="1"/>
  <c r="G2816" i="1"/>
  <c r="G2830" i="1"/>
  <c r="G2844" i="1"/>
  <c r="G2856" i="1"/>
  <c r="G2868" i="1"/>
  <c r="G2880" i="1"/>
  <c r="G2892" i="1"/>
  <c r="G2904" i="1"/>
  <c r="G2916" i="1"/>
  <c r="G2928" i="1"/>
  <c r="G2940" i="1"/>
  <c r="G2952" i="1"/>
  <c r="G2964" i="1"/>
  <c r="G2976" i="1"/>
  <c r="G2988" i="1"/>
  <c r="G3000" i="1"/>
  <c r="G3012" i="1"/>
  <c r="G3024" i="1"/>
  <c r="G3036" i="1"/>
  <c r="G3048" i="1"/>
  <c r="G3060" i="1"/>
  <c r="G3072" i="1"/>
  <c r="G3084" i="1"/>
  <c r="G3096" i="1"/>
  <c r="G3108" i="1"/>
  <c r="G3120" i="1"/>
  <c r="G1996" i="1"/>
  <c r="G2140" i="1"/>
  <c r="G2284" i="1"/>
  <c r="G2428" i="1"/>
  <c r="G2572" i="1"/>
  <c r="G2716" i="1"/>
  <c r="G2759" i="1"/>
  <c r="G2774" i="1"/>
  <c r="G2788" i="1"/>
  <c r="G2803" i="1"/>
  <c r="G2817" i="1"/>
  <c r="G2831" i="1"/>
  <c r="G2845" i="1"/>
  <c r="G2857" i="1"/>
  <c r="G2869" i="1"/>
  <c r="G2881" i="1"/>
  <c r="G2893" i="1"/>
  <c r="G2905" i="1"/>
  <c r="G2917" i="1"/>
  <c r="G2929" i="1"/>
  <c r="G2941" i="1"/>
  <c r="G2953" i="1"/>
  <c r="G2965" i="1"/>
  <c r="G2977" i="1"/>
  <c r="G2989" i="1"/>
  <c r="G3001" i="1"/>
  <c r="G3013" i="1"/>
  <c r="G3025" i="1"/>
  <c r="G3037" i="1"/>
  <c r="G3049" i="1"/>
  <c r="G3061" i="1"/>
  <c r="G3073" i="1"/>
  <c r="G3085" i="1"/>
  <c r="G3097" i="1"/>
  <c r="G3109" i="1"/>
  <c r="G3121" i="1"/>
  <c r="G2008" i="1"/>
  <c r="G2152" i="1"/>
  <c r="G2296" i="1"/>
  <c r="G2440" i="1"/>
  <c r="G2584" i="1"/>
  <c r="G2728" i="1"/>
  <c r="G2761" i="1"/>
  <c r="G2775" i="1"/>
  <c r="G2790" i="1"/>
  <c r="G2804" i="1"/>
  <c r="G2818" i="1"/>
  <c r="G2833" i="1"/>
  <c r="G2846" i="1"/>
  <c r="G2858" i="1"/>
  <c r="G2870" i="1"/>
  <c r="G2882" i="1"/>
  <c r="G2894" i="1"/>
  <c r="G2906" i="1"/>
  <c r="G2918" i="1"/>
  <c r="G2930" i="1"/>
  <c r="G2942" i="1"/>
  <c r="G2954" i="1"/>
  <c r="G2966" i="1"/>
  <c r="G2978" i="1"/>
  <c r="G2990" i="1"/>
  <c r="G3002" i="1"/>
  <c r="G3014" i="1"/>
  <c r="G3026" i="1"/>
  <c r="G3038" i="1"/>
  <c r="G3050" i="1"/>
  <c r="G3062" i="1"/>
  <c r="G3074" i="1"/>
  <c r="G3086" i="1"/>
  <c r="G3098" i="1"/>
  <c r="G3110" i="1"/>
  <c r="G3122" i="1"/>
  <c r="G2020" i="1"/>
  <c r="G2164" i="1"/>
  <c r="G2308" i="1"/>
  <c r="G2452" i="1"/>
  <c r="G2596" i="1"/>
  <c r="G2740" i="1"/>
  <c r="G2762" i="1"/>
  <c r="G2776" i="1"/>
  <c r="G2791" i="1"/>
  <c r="G2805" i="1"/>
  <c r="G2819" i="1"/>
  <c r="G2834" i="1"/>
  <c r="G2847" i="1"/>
  <c r="G2859" i="1"/>
  <c r="G2871" i="1"/>
  <c r="G2883" i="1"/>
  <c r="G2895" i="1"/>
  <c r="G2907" i="1"/>
  <c r="G2919" i="1"/>
  <c r="G2931" i="1"/>
  <c r="G2943" i="1"/>
  <c r="G2955" i="1"/>
  <c r="G2967" i="1"/>
  <c r="G2979" i="1"/>
  <c r="G2991" i="1"/>
  <c r="G3003" i="1"/>
  <c r="G3015" i="1"/>
  <c r="G3027" i="1"/>
  <c r="G3039" i="1"/>
  <c r="G3051" i="1"/>
  <c r="G3063" i="1"/>
  <c r="G3075" i="1"/>
  <c r="G3087" i="1"/>
  <c r="G3099" i="1"/>
  <c r="G3111" i="1"/>
  <c r="G3123" i="1"/>
  <c r="G2032" i="1"/>
  <c r="G2176" i="1"/>
  <c r="G2320" i="1"/>
  <c r="G2464" i="1"/>
  <c r="G2608" i="1"/>
  <c r="G2747" i="1"/>
  <c r="G2763" i="1"/>
  <c r="G2778" i="1"/>
  <c r="G2792" i="1"/>
  <c r="G2806" i="1"/>
  <c r="G2821" i="1"/>
  <c r="G2835" i="1"/>
  <c r="G2848" i="1"/>
  <c r="G2860" i="1"/>
  <c r="G2872" i="1"/>
  <c r="G2884" i="1"/>
  <c r="G2896" i="1"/>
  <c r="G2908" i="1"/>
  <c r="G2920" i="1"/>
  <c r="G2932" i="1"/>
  <c r="G2944" i="1"/>
  <c r="G2956" i="1"/>
  <c r="G2968" i="1"/>
  <c r="G2980" i="1"/>
  <c r="G2992" i="1"/>
  <c r="G3004" i="1"/>
  <c r="G3016" i="1"/>
  <c r="G3028" i="1"/>
  <c r="G3040" i="1"/>
  <c r="G3052" i="1"/>
  <c r="G3064" i="1"/>
  <c r="G3076" i="1"/>
  <c r="G3088" i="1"/>
  <c r="G3100" i="1"/>
  <c r="G3112" i="1"/>
  <c r="G3124" i="1"/>
  <c r="G2044" i="1"/>
  <c r="G2188" i="1"/>
  <c r="G2332" i="1"/>
  <c r="G2476" i="1"/>
  <c r="G2620" i="1"/>
  <c r="G2750" i="1"/>
  <c r="G2764" i="1"/>
  <c r="G2779" i="1"/>
  <c r="G2793" i="1"/>
  <c r="G2807" i="1"/>
  <c r="G2822" i="1"/>
  <c r="G2836" i="1"/>
  <c r="G2849" i="1"/>
  <c r="G2861" i="1"/>
  <c r="G2873" i="1"/>
  <c r="G2885" i="1"/>
  <c r="G2897" i="1"/>
  <c r="G2909" i="1"/>
  <c r="G2921" i="1"/>
  <c r="G2933" i="1"/>
  <c r="G2945" i="1"/>
  <c r="G2957" i="1"/>
  <c r="G2969" i="1"/>
  <c r="G2981" i="1"/>
  <c r="G2993" i="1"/>
  <c r="G3005" i="1"/>
  <c r="G3017" i="1"/>
  <c r="G3029" i="1"/>
  <c r="G3041" i="1"/>
  <c r="G3053" i="1"/>
  <c r="G3065" i="1"/>
  <c r="G3077" i="1"/>
  <c r="G3089" i="1"/>
  <c r="G3101" i="1"/>
  <c r="G3113" i="1"/>
  <c r="G3125" i="1"/>
  <c r="G2056" i="1"/>
  <c r="G2200" i="1"/>
  <c r="G2344" i="1"/>
  <c r="G2488" i="1"/>
  <c r="G2632" i="1"/>
  <c r="G2751" i="1"/>
  <c r="G2766" i="1"/>
  <c r="G2780" i="1"/>
  <c r="G2794" i="1"/>
  <c r="G2809" i="1"/>
  <c r="G2823" i="1"/>
  <c r="G2838" i="1"/>
  <c r="G2850" i="1"/>
  <c r="G2862" i="1"/>
  <c r="G2874" i="1"/>
  <c r="G2886" i="1"/>
  <c r="G2898" i="1"/>
  <c r="G2910" i="1"/>
  <c r="G2922" i="1"/>
  <c r="G2934" i="1"/>
  <c r="G2946" i="1"/>
  <c r="G2958" i="1"/>
  <c r="G2970" i="1"/>
  <c r="G2982" i="1"/>
  <c r="G2994" i="1"/>
  <c r="G3006" i="1"/>
  <c r="G3018" i="1"/>
  <c r="G3030" i="1"/>
  <c r="G3042" i="1"/>
  <c r="G3054" i="1"/>
  <c r="G3066" i="1"/>
  <c r="G3078" i="1"/>
  <c r="G3090" i="1"/>
  <c r="G3102" i="1"/>
  <c r="G3114" i="1"/>
  <c r="G3126" i="1"/>
  <c r="G2500" i="1"/>
  <c r="G2887" i="1"/>
  <c r="G3031" i="1"/>
  <c r="G2644" i="1"/>
  <c r="G2899" i="1"/>
  <c r="G3043" i="1"/>
  <c r="G2752" i="1"/>
  <c r="G2911" i="1"/>
  <c r="G3055" i="1"/>
  <c r="G2767" i="1"/>
  <c r="G2923" i="1"/>
  <c r="G3067" i="1"/>
  <c r="G2781" i="1"/>
  <c r="G2935" i="1"/>
  <c r="G3079" i="1"/>
  <c r="G2795" i="1"/>
  <c r="G2947" i="1"/>
  <c r="G3091" i="1"/>
  <c r="G2810" i="1"/>
  <c r="G2959" i="1"/>
  <c r="G3103" i="1"/>
  <c r="G2824" i="1"/>
  <c r="G2971" i="1"/>
  <c r="G3115" i="1"/>
  <c r="G2839" i="1"/>
  <c r="G2983" i="1"/>
  <c r="G3127" i="1"/>
  <c r="G2068" i="1"/>
  <c r="G2851" i="1"/>
  <c r="G2995" i="1"/>
  <c r="G2212" i="1"/>
  <c r="G2863" i="1"/>
  <c r="G3007" i="1"/>
  <c r="G2356" i="1"/>
  <c r="G2875" i="1"/>
  <c r="G3019" i="1"/>
  <c r="H1993" i="1"/>
  <c r="H2005" i="1"/>
  <c r="H2017" i="1"/>
  <c r="H2029" i="1"/>
  <c r="H2041" i="1"/>
  <c r="H2053" i="1"/>
  <c r="H2065" i="1"/>
  <c r="H2077" i="1"/>
  <c r="H2089" i="1"/>
  <c r="H2101" i="1"/>
  <c r="H2113" i="1"/>
  <c r="H2125" i="1"/>
  <c r="H2137" i="1"/>
  <c r="H2149" i="1"/>
  <c r="H2161" i="1"/>
  <c r="H2173" i="1"/>
  <c r="H2185" i="1"/>
  <c r="H2197" i="1"/>
  <c r="H2209" i="1"/>
  <c r="H2221" i="1"/>
  <c r="H2233" i="1"/>
  <c r="H2245" i="1"/>
  <c r="H2257" i="1"/>
  <c r="H2269" i="1"/>
  <c r="H2281" i="1"/>
  <c r="H2293" i="1"/>
  <c r="H2305" i="1"/>
  <c r="H2317" i="1"/>
  <c r="H2329" i="1"/>
  <c r="H2341" i="1"/>
  <c r="H2353" i="1"/>
  <c r="H2365" i="1"/>
  <c r="H2377" i="1"/>
  <c r="H2389" i="1"/>
  <c r="H2401" i="1"/>
  <c r="H2413" i="1"/>
  <c r="H2425" i="1"/>
  <c r="H2437" i="1"/>
  <c r="H2449" i="1"/>
  <c r="H2461" i="1"/>
  <c r="H2473" i="1"/>
  <c r="H2485" i="1"/>
  <c r="H2497" i="1"/>
  <c r="H2509" i="1"/>
  <c r="H2521" i="1"/>
  <c r="H2533" i="1"/>
  <c r="H2545" i="1"/>
  <c r="H2557" i="1"/>
  <c r="H2569" i="1"/>
  <c r="H2581" i="1"/>
  <c r="H2593" i="1"/>
  <c r="H2605" i="1"/>
  <c r="H2617" i="1"/>
  <c r="H2629" i="1"/>
  <c r="H2641" i="1"/>
  <c r="H1982" i="1"/>
  <c r="H1994" i="1"/>
  <c r="H2006" i="1"/>
  <c r="H2018" i="1"/>
  <c r="H2030" i="1"/>
  <c r="H2042" i="1"/>
  <c r="H2054" i="1"/>
  <c r="H2066" i="1"/>
  <c r="H2078" i="1"/>
  <c r="H2090" i="1"/>
  <c r="H2102" i="1"/>
  <c r="H2114" i="1"/>
  <c r="H2126" i="1"/>
  <c r="H2138" i="1"/>
  <c r="H2150" i="1"/>
  <c r="H2162" i="1"/>
  <c r="H2174" i="1"/>
  <c r="H2186" i="1"/>
  <c r="H2198" i="1"/>
  <c r="H2210" i="1"/>
  <c r="H2222" i="1"/>
  <c r="H2234" i="1"/>
  <c r="H2246" i="1"/>
  <c r="H2258" i="1"/>
  <c r="H2270" i="1"/>
  <c r="H2282" i="1"/>
  <c r="H2294" i="1"/>
  <c r="H2306" i="1"/>
  <c r="H2318" i="1"/>
  <c r="H2330" i="1"/>
  <c r="H2342" i="1"/>
  <c r="H2354" i="1"/>
  <c r="H2366" i="1"/>
  <c r="H2378" i="1"/>
  <c r="H2390" i="1"/>
  <c r="H2402" i="1"/>
  <c r="H2414" i="1"/>
  <c r="H2426" i="1"/>
  <c r="H2438" i="1"/>
  <c r="H2450" i="1"/>
  <c r="H2462" i="1"/>
  <c r="H2474" i="1"/>
  <c r="H2486" i="1"/>
  <c r="H2498" i="1"/>
  <c r="H2510" i="1"/>
  <c r="H2522" i="1"/>
  <c r="H2534" i="1"/>
  <c r="H2546" i="1"/>
  <c r="H2558" i="1"/>
  <c r="H2570" i="1"/>
  <c r="H2582" i="1"/>
  <c r="H2594" i="1"/>
  <c r="H1983" i="1"/>
  <c r="H1995" i="1"/>
  <c r="H2007" i="1"/>
  <c r="H2019" i="1"/>
  <c r="H2031" i="1"/>
  <c r="H2043" i="1"/>
  <c r="H2055" i="1"/>
  <c r="H2067" i="1"/>
  <c r="H2079" i="1"/>
  <c r="H2091" i="1"/>
  <c r="H2103" i="1"/>
  <c r="H2115" i="1"/>
  <c r="H2127" i="1"/>
  <c r="H2139" i="1"/>
  <c r="H2151" i="1"/>
  <c r="H2163" i="1"/>
  <c r="H2175" i="1"/>
  <c r="H2187" i="1"/>
  <c r="H2199" i="1"/>
  <c r="H2211" i="1"/>
  <c r="H2223" i="1"/>
  <c r="H2235" i="1"/>
  <c r="H2247" i="1"/>
  <c r="H2259" i="1"/>
  <c r="H2271" i="1"/>
  <c r="H2283" i="1"/>
  <c r="H2295" i="1"/>
  <c r="H2307" i="1"/>
  <c r="H2319" i="1"/>
  <c r="H2331" i="1"/>
  <c r="H2343" i="1"/>
  <c r="H2355" i="1"/>
  <c r="H2367" i="1"/>
  <c r="H2379" i="1"/>
  <c r="H2391" i="1"/>
  <c r="H2403" i="1"/>
  <c r="H2415" i="1"/>
  <c r="H2427" i="1"/>
  <c r="H2439" i="1"/>
  <c r="H2451" i="1"/>
  <c r="H2463" i="1"/>
  <c r="H2475" i="1"/>
  <c r="H2487" i="1"/>
  <c r="H2499" i="1"/>
  <c r="H2511" i="1"/>
  <c r="H2523" i="1"/>
  <c r="H2535" i="1"/>
  <c r="H2547" i="1"/>
  <c r="H2559" i="1"/>
  <c r="H2571" i="1"/>
  <c r="H2583" i="1"/>
  <c r="H2595" i="1"/>
  <c r="H1984" i="1"/>
  <c r="H1996" i="1"/>
  <c r="H2008" i="1"/>
  <c r="H2020" i="1"/>
  <c r="H2032" i="1"/>
  <c r="H2044" i="1"/>
  <c r="H2056" i="1"/>
  <c r="H2068" i="1"/>
  <c r="H2080" i="1"/>
  <c r="H2092" i="1"/>
  <c r="H2104" i="1"/>
  <c r="H2116" i="1"/>
  <c r="H2128" i="1"/>
  <c r="H2140" i="1"/>
  <c r="H2152" i="1"/>
  <c r="H2164" i="1"/>
  <c r="H2176" i="1"/>
  <c r="H2188" i="1"/>
  <c r="H2200" i="1"/>
  <c r="H2212" i="1"/>
  <c r="H2224" i="1"/>
  <c r="H2236" i="1"/>
  <c r="H2248" i="1"/>
  <c r="H2260" i="1"/>
  <c r="H2272" i="1"/>
  <c r="H2284" i="1"/>
  <c r="H2296" i="1"/>
  <c r="H2308" i="1"/>
  <c r="H2320" i="1"/>
  <c r="H2332" i="1"/>
  <c r="H2344" i="1"/>
  <c r="H2356" i="1"/>
  <c r="H2368" i="1"/>
  <c r="H2380" i="1"/>
  <c r="H2392" i="1"/>
  <c r="H2404" i="1"/>
  <c r="H2416" i="1"/>
  <c r="H2428" i="1"/>
  <c r="H2440" i="1"/>
  <c r="H2452" i="1"/>
  <c r="H2464" i="1"/>
  <c r="H2476" i="1"/>
  <c r="H2488" i="1"/>
  <c r="H2500" i="1"/>
  <c r="H2512" i="1"/>
  <c r="H2524" i="1"/>
  <c r="H2536" i="1"/>
  <c r="H1985" i="1"/>
  <c r="H1997" i="1"/>
  <c r="H2009" i="1"/>
  <c r="H2021" i="1"/>
  <c r="H2033" i="1"/>
  <c r="H2045" i="1"/>
  <c r="H2057" i="1"/>
  <c r="H2069" i="1"/>
  <c r="H2081" i="1"/>
  <c r="H2093" i="1"/>
  <c r="H2105" i="1"/>
  <c r="H2117" i="1"/>
  <c r="H2129" i="1"/>
  <c r="H2141" i="1"/>
  <c r="H2153" i="1"/>
  <c r="H2165" i="1"/>
  <c r="H2177" i="1"/>
  <c r="H2189" i="1"/>
  <c r="H2201" i="1"/>
  <c r="H2213" i="1"/>
  <c r="H2225" i="1"/>
  <c r="H2237" i="1"/>
  <c r="H2249" i="1"/>
  <c r="H2261" i="1"/>
  <c r="H2273" i="1"/>
  <c r="H2285" i="1"/>
  <c r="H2297" i="1"/>
  <c r="H2309" i="1"/>
  <c r="H2321" i="1"/>
  <c r="H2333" i="1"/>
  <c r="H2345" i="1"/>
  <c r="H2357" i="1"/>
  <c r="H2369" i="1"/>
  <c r="H2381" i="1"/>
  <c r="H2393" i="1"/>
  <c r="H2405" i="1"/>
  <c r="H2417" i="1"/>
  <c r="H2429" i="1"/>
  <c r="H2441" i="1"/>
  <c r="H2453" i="1"/>
  <c r="H2465" i="1"/>
  <c r="H2477" i="1"/>
  <c r="H2489" i="1"/>
  <c r="H2501" i="1"/>
  <c r="H2513" i="1"/>
  <c r="H2525" i="1"/>
  <c r="H2537" i="1"/>
  <c r="H2549" i="1"/>
  <c r="H2561" i="1"/>
  <c r="H2573" i="1"/>
  <c r="H1986" i="1"/>
  <c r="H1998" i="1"/>
  <c r="H2010" i="1"/>
  <c r="H2022" i="1"/>
  <c r="H2034" i="1"/>
  <c r="H2046" i="1"/>
  <c r="H2058" i="1"/>
  <c r="H2070" i="1"/>
  <c r="H2082" i="1"/>
  <c r="H2094" i="1"/>
  <c r="H2106" i="1"/>
  <c r="H2118" i="1"/>
  <c r="H2130" i="1"/>
  <c r="H2142" i="1"/>
  <c r="H2154" i="1"/>
  <c r="H2166" i="1"/>
  <c r="H2178" i="1"/>
  <c r="H2190" i="1"/>
  <c r="H2202" i="1"/>
  <c r="H2214" i="1"/>
  <c r="H2226" i="1"/>
  <c r="H2238" i="1"/>
  <c r="H2250" i="1"/>
  <c r="H2262" i="1"/>
  <c r="H2274" i="1"/>
  <c r="H2286" i="1"/>
  <c r="H2298" i="1"/>
  <c r="H2310" i="1"/>
  <c r="H2322" i="1"/>
  <c r="H2334" i="1"/>
  <c r="H2346" i="1"/>
  <c r="H2358" i="1"/>
  <c r="H2370" i="1"/>
  <c r="H2382" i="1"/>
  <c r="H2394" i="1"/>
  <c r="H2406" i="1"/>
  <c r="H2418" i="1"/>
  <c r="H2430" i="1"/>
  <c r="H2442" i="1"/>
  <c r="H2454" i="1"/>
  <c r="H2466" i="1"/>
  <c r="H2478" i="1"/>
  <c r="H2490" i="1"/>
  <c r="H2502" i="1"/>
  <c r="H2514" i="1"/>
  <c r="H2526" i="1"/>
  <c r="H2538" i="1"/>
  <c r="H1987" i="1"/>
  <c r="H1999" i="1"/>
  <c r="H2011" i="1"/>
  <c r="H2023" i="1"/>
  <c r="H2035" i="1"/>
  <c r="H2047" i="1"/>
  <c r="H2059" i="1"/>
  <c r="H2071" i="1"/>
  <c r="H2083" i="1"/>
  <c r="H2095" i="1"/>
  <c r="H2107" i="1"/>
  <c r="H2119" i="1"/>
  <c r="H2131" i="1"/>
  <c r="H2143" i="1"/>
  <c r="H2155" i="1"/>
  <c r="H2167" i="1"/>
  <c r="H2179" i="1"/>
  <c r="H2191" i="1"/>
  <c r="H2203" i="1"/>
  <c r="H2215" i="1"/>
  <c r="H2227" i="1"/>
  <c r="H2239" i="1"/>
  <c r="H2251" i="1"/>
  <c r="H2263" i="1"/>
  <c r="H2275" i="1"/>
  <c r="H2287" i="1"/>
  <c r="H2299" i="1"/>
  <c r="H2311" i="1"/>
  <c r="H2323" i="1"/>
  <c r="H2335" i="1"/>
  <c r="H2347" i="1"/>
  <c r="H1988" i="1"/>
  <c r="H2000" i="1"/>
  <c r="H2012" i="1"/>
  <c r="H2024" i="1"/>
  <c r="H2036" i="1"/>
  <c r="H2048" i="1"/>
  <c r="H2060" i="1"/>
  <c r="H2072" i="1"/>
  <c r="H2084" i="1"/>
  <c r="H2096" i="1"/>
  <c r="H2108" i="1"/>
  <c r="H2120" i="1"/>
  <c r="H2132" i="1"/>
  <c r="H2144" i="1"/>
  <c r="H2156" i="1"/>
  <c r="H2168" i="1"/>
  <c r="H2180" i="1"/>
  <c r="H2192" i="1"/>
  <c r="H2204" i="1"/>
  <c r="H2216" i="1"/>
  <c r="H2228" i="1"/>
  <c r="H2240" i="1"/>
  <c r="H2252" i="1"/>
  <c r="H2264" i="1"/>
  <c r="H2276" i="1"/>
  <c r="H2288" i="1"/>
  <c r="H2300" i="1"/>
  <c r="H2312" i="1"/>
  <c r="H2324" i="1"/>
  <c r="H2336" i="1"/>
  <c r="H2348" i="1"/>
  <c r="H2360" i="1"/>
  <c r="H2372" i="1"/>
  <c r="H2384" i="1"/>
  <c r="H2396" i="1"/>
  <c r="H2408" i="1"/>
  <c r="H2420" i="1"/>
  <c r="H2432" i="1"/>
  <c r="H2444" i="1"/>
  <c r="H2456" i="1"/>
  <c r="H2468" i="1"/>
  <c r="H2480" i="1"/>
  <c r="H2492" i="1"/>
  <c r="H2504" i="1"/>
  <c r="H2516" i="1"/>
  <c r="H2528" i="1"/>
  <c r="H2540" i="1"/>
  <c r="H2552" i="1"/>
  <c r="H2564" i="1"/>
  <c r="H2576" i="1"/>
  <c r="H2588" i="1"/>
  <c r="H2600" i="1"/>
  <c r="H2612" i="1"/>
  <c r="H2624" i="1"/>
  <c r="H2636" i="1"/>
  <c r="H1989" i="1"/>
  <c r="H2001" i="1"/>
  <c r="H2013" i="1"/>
  <c r="H2025" i="1"/>
  <c r="H2037" i="1"/>
  <c r="H2049" i="1"/>
  <c r="H2061" i="1"/>
  <c r="H2073" i="1"/>
  <c r="H2085" i="1"/>
  <c r="H2097" i="1"/>
  <c r="H2109" i="1"/>
  <c r="H2121" i="1"/>
  <c r="H2133" i="1"/>
  <c r="H2145" i="1"/>
  <c r="H2157" i="1"/>
  <c r="H2169" i="1"/>
  <c r="H2181" i="1"/>
  <c r="H2193" i="1"/>
  <c r="H2205" i="1"/>
  <c r="H2217" i="1"/>
  <c r="H2229" i="1"/>
  <c r="H2241" i="1"/>
  <c r="H2253" i="1"/>
  <c r="H2265" i="1"/>
  <c r="H2277" i="1"/>
  <c r="H2289" i="1"/>
  <c r="H2301" i="1"/>
  <c r="H2313" i="1"/>
  <c r="H2325" i="1"/>
  <c r="H2337" i="1"/>
  <c r="H2349" i="1"/>
  <c r="H2361" i="1"/>
  <c r="H2373" i="1"/>
  <c r="H2385" i="1"/>
  <c r="H2397" i="1"/>
  <c r="H2409" i="1"/>
  <c r="H2421" i="1"/>
  <c r="H2433" i="1"/>
  <c r="H2445" i="1"/>
  <c r="H2457" i="1"/>
  <c r="H2469" i="1"/>
  <c r="H2481" i="1"/>
  <c r="H2493" i="1"/>
  <c r="H2505" i="1"/>
  <c r="H2517" i="1"/>
  <c r="H2529" i="1"/>
  <c r="H2541" i="1"/>
  <c r="H2553" i="1"/>
  <c r="H2565" i="1"/>
  <c r="H2577" i="1"/>
  <c r="H2589" i="1"/>
  <c r="H1990" i="1"/>
  <c r="H2002" i="1"/>
  <c r="H2014" i="1"/>
  <c r="H2026" i="1"/>
  <c r="H2038" i="1"/>
  <c r="H2050" i="1"/>
  <c r="H2062" i="1"/>
  <c r="H2074" i="1"/>
  <c r="H2086" i="1"/>
  <c r="H2098" i="1"/>
  <c r="H2110" i="1"/>
  <c r="H2122" i="1"/>
  <c r="H2134" i="1"/>
  <c r="H2146" i="1"/>
  <c r="H2158" i="1"/>
  <c r="H2170" i="1"/>
  <c r="H2182" i="1"/>
  <c r="H2194" i="1"/>
  <c r="H2206" i="1"/>
  <c r="H2218" i="1"/>
  <c r="H2230" i="1"/>
  <c r="H2242" i="1"/>
  <c r="H2254" i="1"/>
  <c r="H2266" i="1"/>
  <c r="H2278" i="1"/>
  <c r="H2290" i="1"/>
  <c r="H2302" i="1"/>
  <c r="H2314" i="1"/>
  <c r="H2326" i="1"/>
  <c r="H2338" i="1"/>
  <c r="H2350" i="1"/>
  <c r="H2362" i="1"/>
  <c r="H2374" i="1"/>
  <c r="H2386" i="1"/>
  <c r="H2398" i="1"/>
  <c r="H2410" i="1"/>
  <c r="H2422" i="1"/>
  <c r="H2434" i="1"/>
  <c r="H2446" i="1"/>
  <c r="H2458" i="1"/>
  <c r="H2470" i="1"/>
  <c r="H2482" i="1"/>
  <c r="H2494" i="1"/>
  <c r="H2506" i="1"/>
  <c r="H2518" i="1"/>
  <c r="H2530" i="1"/>
  <c r="H2542" i="1"/>
  <c r="H2554" i="1"/>
  <c r="H2566" i="1"/>
  <c r="H2578" i="1"/>
  <c r="H2590" i="1"/>
  <c r="H1991" i="1"/>
  <c r="H2003" i="1"/>
  <c r="H2015" i="1"/>
  <c r="H2027" i="1"/>
  <c r="H2039" i="1"/>
  <c r="H2051" i="1"/>
  <c r="H2063" i="1"/>
  <c r="H2075" i="1"/>
  <c r="H2087" i="1"/>
  <c r="H2099" i="1"/>
  <c r="H2111" i="1"/>
  <c r="H2123" i="1"/>
  <c r="H2135" i="1"/>
  <c r="H2147" i="1"/>
  <c r="H2159" i="1"/>
  <c r="H2171" i="1"/>
  <c r="H2183" i="1"/>
  <c r="H2195" i="1"/>
  <c r="H2207" i="1"/>
  <c r="H2219" i="1"/>
  <c r="H2231" i="1"/>
  <c r="H2243" i="1"/>
  <c r="H2255" i="1"/>
  <c r="H2267" i="1"/>
  <c r="H2279" i="1"/>
  <c r="H2291" i="1"/>
  <c r="H2303" i="1"/>
  <c r="H2315" i="1"/>
  <c r="H2327" i="1"/>
  <c r="H2339" i="1"/>
  <c r="H2351" i="1"/>
  <c r="H2363" i="1"/>
  <c r="H2375" i="1"/>
  <c r="H2387" i="1"/>
  <c r="H2399" i="1"/>
  <c r="H2411" i="1"/>
  <c r="H2423" i="1"/>
  <c r="H2435" i="1"/>
  <c r="H2447" i="1"/>
  <c r="H2459" i="1"/>
  <c r="H2471" i="1"/>
  <c r="H2483" i="1"/>
  <c r="H2495" i="1"/>
  <c r="H2507" i="1"/>
  <c r="H2519" i="1"/>
  <c r="H2531" i="1"/>
  <c r="H2543" i="1"/>
  <c r="H2555" i="1"/>
  <c r="H2567" i="1"/>
  <c r="H2579" i="1"/>
  <c r="H2016" i="1"/>
  <c r="H2160" i="1"/>
  <c r="H2304" i="1"/>
  <c r="H2400" i="1"/>
  <c r="H2472" i="1"/>
  <c r="H2544" i="1"/>
  <c r="H2580" i="1"/>
  <c r="H2602" i="1"/>
  <c r="H2616" i="1"/>
  <c r="H2631" i="1"/>
  <c r="H2645" i="1"/>
  <c r="H2657" i="1"/>
  <c r="H2669" i="1"/>
  <c r="H2681" i="1"/>
  <c r="H2693" i="1"/>
  <c r="H2705" i="1"/>
  <c r="H2717" i="1"/>
  <c r="H2729" i="1"/>
  <c r="H2741" i="1"/>
  <c r="H2753" i="1"/>
  <c r="H2765" i="1"/>
  <c r="H2777" i="1"/>
  <c r="H2789" i="1"/>
  <c r="H2801" i="1"/>
  <c r="H2813" i="1"/>
  <c r="H2825" i="1"/>
  <c r="H2837" i="1"/>
  <c r="H2849" i="1"/>
  <c r="H2861" i="1"/>
  <c r="H2873" i="1"/>
  <c r="H2885" i="1"/>
  <c r="H2897" i="1"/>
  <c r="H2909" i="1"/>
  <c r="H2921" i="1"/>
  <c r="H2933" i="1"/>
  <c r="H2945" i="1"/>
  <c r="H2957" i="1"/>
  <c r="H2969" i="1"/>
  <c r="H2981" i="1"/>
  <c r="H2993" i="1"/>
  <c r="H3005" i="1"/>
  <c r="H3017" i="1"/>
  <c r="H3029" i="1"/>
  <c r="H3041" i="1"/>
  <c r="H3053" i="1"/>
  <c r="H3065" i="1"/>
  <c r="H3077" i="1"/>
  <c r="H3089" i="1"/>
  <c r="H3101" i="1"/>
  <c r="H3113" i="1"/>
  <c r="H3125" i="1"/>
  <c r="H2028" i="1"/>
  <c r="H2172" i="1"/>
  <c r="H2316" i="1"/>
  <c r="H2407" i="1"/>
  <c r="H2479" i="1"/>
  <c r="H2548" i="1"/>
  <c r="H2584" i="1"/>
  <c r="H2603" i="1"/>
  <c r="H2618" i="1"/>
  <c r="H2632" i="1"/>
  <c r="H2646" i="1"/>
  <c r="H2658" i="1"/>
  <c r="H2670" i="1"/>
  <c r="H2682" i="1"/>
  <c r="H2694" i="1"/>
  <c r="H2706" i="1"/>
  <c r="H2718" i="1"/>
  <c r="H2730" i="1"/>
  <c r="H2742" i="1"/>
  <c r="H2754" i="1"/>
  <c r="H2766" i="1"/>
  <c r="H2778" i="1"/>
  <c r="H2790" i="1"/>
  <c r="H2802" i="1"/>
  <c r="H2814" i="1"/>
  <c r="H2826" i="1"/>
  <c r="H2838" i="1"/>
  <c r="H2850" i="1"/>
  <c r="H2862" i="1"/>
  <c r="H2874" i="1"/>
  <c r="H2886" i="1"/>
  <c r="H2898" i="1"/>
  <c r="H2910" i="1"/>
  <c r="H2922" i="1"/>
  <c r="H2934" i="1"/>
  <c r="H2946" i="1"/>
  <c r="H2958" i="1"/>
  <c r="H2970" i="1"/>
  <c r="H2982" i="1"/>
  <c r="H2994" i="1"/>
  <c r="H3006" i="1"/>
  <c r="H3018" i="1"/>
  <c r="H3030" i="1"/>
  <c r="H3042" i="1"/>
  <c r="H3054" i="1"/>
  <c r="H3066" i="1"/>
  <c r="H3078" i="1"/>
  <c r="H3090" i="1"/>
  <c r="H3102" i="1"/>
  <c r="H3114" i="1"/>
  <c r="H3126" i="1"/>
  <c r="H2040" i="1"/>
  <c r="H2184" i="1"/>
  <c r="H2328" i="1"/>
  <c r="H2412" i="1"/>
  <c r="H2484" i="1"/>
  <c r="H2550" i="1"/>
  <c r="H2585" i="1"/>
  <c r="H2604" i="1"/>
  <c r="H2619" i="1"/>
  <c r="H2633" i="1"/>
  <c r="H2647" i="1"/>
  <c r="H2659" i="1"/>
  <c r="H2671" i="1"/>
  <c r="H2683" i="1"/>
  <c r="H2695" i="1"/>
  <c r="H2707" i="1"/>
  <c r="H2719" i="1"/>
  <c r="H2731" i="1"/>
  <c r="H2743" i="1"/>
  <c r="H2755" i="1"/>
  <c r="H2767" i="1"/>
  <c r="H2779" i="1"/>
  <c r="H2791" i="1"/>
  <c r="H2803" i="1"/>
  <c r="H2815" i="1"/>
  <c r="H2827" i="1"/>
  <c r="H2839" i="1"/>
  <c r="H2851" i="1"/>
  <c r="H2863" i="1"/>
  <c r="H2875" i="1"/>
  <c r="H2887" i="1"/>
  <c r="H2899" i="1"/>
  <c r="H2911" i="1"/>
  <c r="H2923" i="1"/>
  <c r="H2935" i="1"/>
  <c r="H2947" i="1"/>
  <c r="H2959" i="1"/>
  <c r="H2971" i="1"/>
  <c r="H2983" i="1"/>
  <c r="H2995" i="1"/>
  <c r="H3007" i="1"/>
  <c r="H3019" i="1"/>
  <c r="H3031" i="1"/>
  <c r="H3043" i="1"/>
  <c r="H3055" i="1"/>
  <c r="H3067" i="1"/>
  <c r="H3079" i="1"/>
  <c r="H3091" i="1"/>
  <c r="H3103" i="1"/>
  <c r="H3115" i="1"/>
  <c r="H3127" i="1"/>
  <c r="H2052" i="1"/>
  <c r="H2196" i="1"/>
  <c r="H2340" i="1"/>
  <c r="H2419" i="1"/>
  <c r="H2491" i="1"/>
  <c r="H2551" i="1"/>
  <c r="H2586" i="1"/>
  <c r="H2606" i="1"/>
  <c r="H2620" i="1"/>
  <c r="H2634" i="1"/>
  <c r="H2648" i="1"/>
  <c r="H2660" i="1"/>
  <c r="H2672" i="1"/>
  <c r="H2684" i="1"/>
  <c r="H2696" i="1"/>
  <c r="H2708" i="1"/>
  <c r="H2720" i="1"/>
  <c r="H2732" i="1"/>
  <c r="H2744" i="1"/>
  <c r="H2756" i="1"/>
  <c r="H2768" i="1"/>
  <c r="H2780" i="1"/>
  <c r="H2792" i="1"/>
  <c r="H2804" i="1"/>
  <c r="H2816" i="1"/>
  <c r="H2828" i="1"/>
  <c r="H2840" i="1"/>
  <c r="H2852" i="1"/>
  <c r="H2864" i="1"/>
  <c r="H2876" i="1"/>
  <c r="H2888" i="1"/>
  <c r="H2900" i="1"/>
  <c r="H2912" i="1"/>
  <c r="H2924" i="1"/>
  <c r="H2936" i="1"/>
  <c r="H2948" i="1"/>
  <c r="H2960" i="1"/>
  <c r="H2972" i="1"/>
  <c r="H2984" i="1"/>
  <c r="H2996" i="1"/>
  <c r="H3008" i="1"/>
  <c r="H3020" i="1"/>
  <c r="H3032" i="1"/>
  <c r="H3044" i="1"/>
  <c r="H3056" i="1"/>
  <c r="H3068" i="1"/>
  <c r="H3080" i="1"/>
  <c r="H3092" i="1"/>
  <c r="H3104" i="1"/>
  <c r="H3116" i="1"/>
  <c r="H3128" i="1"/>
  <c r="H2064" i="1"/>
  <c r="H2208" i="1"/>
  <c r="H2352" i="1"/>
  <c r="H2424" i="1"/>
  <c r="H2496" i="1"/>
  <c r="H2556" i="1"/>
  <c r="H2587" i="1"/>
  <c r="H2607" i="1"/>
  <c r="H2621" i="1"/>
  <c r="H2635" i="1"/>
  <c r="H2649" i="1"/>
  <c r="H2661" i="1"/>
  <c r="H2673" i="1"/>
  <c r="H2685" i="1"/>
  <c r="H2697" i="1"/>
  <c r="H2709" i="1"/>
  <c r="H2721" i="1"/>
  <c r="H2733" i="1"/>
  <c r="H2745" i="1"/>
  <c r="H2757" i="1"/>
  <c r="H2769" i="1"/>
  <c r="H2781" i="1"/>
  <c r="H2793" i="1"/>
  <c r="H2805" i="1"/>
  <c r="H2817" i="1"/>
  <c r="H2829" i="1"/>
  <c r="H2841" i="1"/>
  <c r="H2853" i="1"/>
  <c r="H2865" i="1"/>
  <c r="H2877" i="1"/>
  <c r="H2889" i="1"/>
  <c r="H2901" i="1"/>
  <c r="H2913" i="1"/>
  <c r="H2925" i="1"/>
  <c r="H2937" i="1"/>
  <c r="H2949" i="1"/>
  <c r="H2961" i="1"/>
  <c r="H2973" i="1"/>
  <c r="H2985" i="1"/>
  <c r="H2997" i="1"/>
  <c r="H3009" i="1"/>
  <c r="H3021" i="1"/>
  <c r="H3033" i="1"/>
  <c r="H3045" i="1"/>
  <c r="H3057" i="1"/>
  <c r="H3069" i="1"/>
  <c r="H3081" i="1"/>
  <c r="H3093" i="1"/>
  <c r="H3105" i="1"/>
  <c r="H3117" i="1"/>
  <c r="H3129" i="1"/>
  <c r="H2076" i="1"/>
  <c r="H2220" i="1"/>
  <c r="H2359" i="1"/>
  <c r="H2431" i="1"/>
  <c r="H2503" i="1"/>
  <c r="H2560" i="1"/>
  <c r="H2591" i="1"/>
  <c r="H2608" i="1"/>
  <c r="H2622" i="1"/>
  <c r="H2637" i="1"/>
  <c r="H2650" i="1"/>
  <c r="H2662" i="1"/>
  <c r="H2674" i="1"/>
  <c r="H2686" i="1"/>
  <c r="H2698" i="1"/>
  <c r="H2710" i="1"/>
  <c r="H2722" i="1"/>
  <c r="H2734" i="1"/>
  <c r="H2746" i="1"/>
  <c r="H2758" i="1"/>
  <c r="H2770" i="1"/>
  <c r="H2782" i="1"/>
  <c r="H2794" i="1"/>
  <c r="H2806" i="1"/>
  <c r="H2818" i="1"/>
  <c r="H2830" i="1"/>
  <c r="H2842" i="1"/>
  <c r="H2854" i="1"/>
  <c r="H2866" i="1"/>
  <c r="H2878" i="1"/>
  <c r="H2890" i="1"/>
  <c r="H2902" i="1"/>
  <c r="H2914" i="1"/>
  <c r="H2926" i="1"/>
  <c r="H2938" i="1"/>
  <c r="H2950" i="1"/>
  <c r="H2962" i="1"/>
  <c r="H2974" i="1"/>
  <c r="H2986" i="1"/>
  <c r="H2998" i="1"/>
  <c r="H3010" i="1"/>
  <c r="H3022" i="1"/>
  <c r="H3034" i="1"/>
  <c r="H3046" i="1"/>
  <c r="H3058" i="1"/>
  <c r="H3070" i="1"/>
  <c r="H3082" i="1"/>
  <c r="H3094" i="1"/>
  <c r="H3106" i="1"/>
  <c r="H3118" i="1"/>
  <c r="H2088" i="1"/>
  <c r="H2232" i="1"/>
  <c r="H2364" i="1"/>
  <c r="H2436" i="1"/>
  <c r="H2508" i="1"/>
  <c r="H2562" i="1"/>
  <c r="H2592" i="1"/>
  <c r="H2609" i="1"/>
  <c r="H2623" i="1"/>
  <c r="H2638" i="1"/>
  <c r="H2651" i="1"/>
  <c r="H2663" i="1"/>
  <c r="H2675" i="1"/>
  <c r="H2687" i="1"/>
  <c r="H2699" i="1"/>
  <c r="H2711" i="1"/>
  <c r="H2723" i="1"/>
  <c r="H2735" i="1"/>
  <c r="H2747" i="1"/>
  <c r="H2759" i="1"/>
  <c r="H2771" i="1"/>
  <c r="H2783" i="1"/>
  <c r="H2795" i="1"/>
  <c r="H2807" i="1"/>
  <c r="H2819" i="1"/>
  <c r="H2831" i="1"/>
  <c r="H2843" i="1"/>
  <c r="H2855" i="1"/>
  <c r="H2867" i="1"/>
  <c r="H2879" i="1"/>
  <c r="H2891" i="1"/>
  <c r="H2903" i="1"/>
  <c r="H2915" i="1"/>
  <c r="H2927" i="1"/>
  <c r="H2939" i="1"/>
  <c r="H2951" i="1"/>
  <c r="H2963" i="1"/>
  <c r="H2975" i="1"/>
  <c r="H2987" i="1"/>
  <c r="H2999" i="1"/>
  <c r="H3011" i="1"/>
  <c r="H3023" i="1"/>
  <c r="H3035" i="1"/>
  <c r="H3047" i="1"/>
  <c r="H3059" i="1"/>
  <c r="H3071" i="1"/>
  <c r="H3083" i="1"/>
  <c r="H3095" i="1"/>
  <c r="H3107" i="1"/>
  <c r="H3119" i="1"/>
  <c r="H2100" i="1"/>
  <c r="H2244" i="1"/>
  <c r="H2371" i="1"/>
  <c r="H2443" i="1"/>
  <c r="H2515" i="1"/>
  <c r="H2563" i="1"/>
  <c r="H2596" i="1"/>
  <c r="H2610" i="1"/>
  <c r="H2625" i="1"/>
  <c r="H2639" i="1"/>
  <c r="H2652" i="1"/>
  <c r="H2664" i="1"/>
  <c r="H2676" i="1"/>
  <c r="H2688" i="1"/>
  <c r="H2700" i="1"/>
  <c r="H2712" i="1"/>
  <c r="H2724" i="1"/>
  <c r="H2736" i="1"/>
  <c r="H2748" i="1"/>
  <c r="H2760" i="1"/>
  <c r="H2772" i="1"/>
  <c r="H2784" i="1"/>
  <c r="H2796" i="1"/>
  <c r="H2808" i="1"/>
  <c r="H2820" i="1"/>
  <c r="H2832" i="1"/>
  <c r="H2844" i="1"/>
  <c r="H2856" i="1"/>
  <c r="H2868" i="1"/>
  <c r="H2880" i="1"/>
  <c r="H2892" i="1"/>
  <c r="H2904" i="1"/>
  <c r="H2916" i="1"/>
  <c r="H2928" i="1"/>
  <c r="H2940" i="1"/>
  <c r="H2952" i="1"/>
  <c r="H2964" i="1"/>
  <c r="H2976" i="1"/>
  <c r="H2988" i="1"/>
  <c r="H3000" i="1"/>
  <c r="H3012" i="1"/>
  <c r="H3024" i="1"/>
  <c r="H3036" i="1"/>
  <c r="H3048" i="1"/>
  <c r="H3060" i="1"/>
  <c r="H3072" i="1"/>
  <c r="H3084" i="1"/>
  <c r="H3096" i="1"/>
  <c r="H3108" i="1"/>
  <c r="H3120" i="1"/>
  <c r="H2112" i="1"/>
  <c r="H2256" i="1"/>
  <c r="H2376" i="1"/>
  <c r="H2448" i="1"/>
  <c r="H2520" i="1"/>
  <c r="H2568" i="1"/>
  <c r="H2597" i="1"/>
  <c r="H2611" i="1"/>
  <c r="H2626" i="1"/>
  <c r="H2640" i="1"/>
  <c r="H2653" i="1"/>
  <c r="H2665" i="1"/>
  <c r="H2677" i="1"/>
  <c r="H2689" i="1"/>
  <c r="H2701" i="1"/>
  <c r="H2713" i="1"/>
  <c r="H2725" i="1"/>
  <c r="H2737" i="1"/>
  <c r="H2749" i="1"/>
  <c r="H2761" i="1"/>
  <c r="H2773" i="1"/>
  <c r="H2785" i="1"/>
  <c r="H2797" i="1"/>
  <c r="H2809" i="1"/>
  <c r="H2821" i="1"/>
  <c r="H2833" i="1"/>
  <c r="H2845" i="1"/>
  <c r="H2857" i="1"/>
  <c r="H2869" i="1"/>
  <c r="H2881" i="1"/>
  <c r="H2893" i="1"/>
  <c r="H2905" i="1"/>
  <c r="H2917" i="1"/>
  <c r="H2929" i="1"/>
  <c r="H2941" i="1"/>
  <c r="H2953" i="1"/>
  <c r="H2965" i="1"/>
  <c r="H2977" i="1"/>
  <c r="H2989" i="1"/>
  <c r="H3001" i="1"/>
  <c r="H3013" i="1"/>
  <c r="H3025" i="1"/>
  <c r="H3037" i="1"/>
  <c r="H3049" i="1"/>
  <c r="H3061" i="1"/>
  <c r="H3073" i="1"/>
  <c r="H3085" i="1"/>
  <c r="H3097" i="1"/>
  <c r="H3109" i="1"/>
  <c r="H3121" i="1"/>
  <c r="H2124" i="1"/>
  <c r="H2268" i="1"/>
  <c r="H2383" i="1"/>
  <c r="H2455" i="1"/>
  <c r="H2527" i="1"/>
  <c r="H2572" i="1"/>
  <c r="H2598" i="1"/>
  <c r="H2613" i="1"/>
  <c r="H2627" i="1"/>
  <c r="H2642" i="1"/>
  <c r="H2654" i="1"/>
  <c r="H2666" i="1"/>
  <c r="H2678" i="1"/>
  <c r="H2690" i="1"/>
  <c r="H2702" i="1"/>
  <c r="H2714" i="1"/>
  <c r="H2726" i="1"/>
  <c r="H2738" i="1"/>
  <c r="H2750" i="1"/>
  <c r="H2762" i="1"/>
  <c r="H2774" i="1"/>
  <c r="H2786" i="1"/>
  <c r="H2798" i="1"/>
  <c r="H2810" i="1"/>
  <c r="H2822" i="1"/>
  <c r="H2834" i="1"/>
  <c r="H2846" i="1"/>
  <c r="H2858" i="1"/>
  <c r="H2870" i="1"/>
  <c r="H2882" i="1"/>
  <c r="H2894" i="1"/>
  <c r="H2906" i="1"/>
  <c r="H2918" i="1"/>
  <c r="H2930" i="1"/>
  <c r="H2942" i="1"/>
  <c r="H2954" i="1"/>
  <c r="H2966" i="1"/>
  <c r="H2978" i="1"/>
  <c r="H2990" i="1"/>
  <c r="H3002" i="1"/>
  <c r="H3014" i="1"/>
  <c r="H3026" i="1"/>
  <c r="H3038" i="1"/>
  <c r="H3050" i="1"/>
  <c r="H3062" i="1"/>
  <c r="H3074" i="1"/>
  <c r="H3086" i="1"/>
  <c r="H3098" i="1"/>
  <c r="H3110" i="1"/>
  <c r="H3122" i="1"/>
  <c r="H1992" i="1"/>
  <c r="H2136" i="1"/>
  <c r="H2280" i="1"/>
  <c r="H2388" i="1"/>
  <c r="H2460" i="1"/>
  <c r="H2532" i="1"/>
  <c r="H2574" i="1"/>
  <c r="H2599" i="1"/>
  <c r="H2614" i="1"/>
  <c r="H2628" i="1"/>
  <c r="H2643" i="1"/>
  <c r="H2655" i="1"/>
  <c r="H2667" i="1"/>
  <c r="H2679" i="1"/>
  <c r="H2691" i="1"/>
  <c r="H2703" i="1"/>
  <c r="H2715" i="1"/>
  <c r="H2727" i="1"/>
  <c r="H2739" i="1"/>
  <c r="H2751" i="1"/>
  <c r="H2763" i="1"/>
  <c r="H2775" i="1"/>
  <c r="H2787" i="1"/>
  <c r="H2799" i="1"/>
  <c r="H2811" i="1"/>
  <c r="H2823" i="1"/>
  <c r="H2835" i="1"/>
  <c r="H2847" i="1"/>
  <c r="H2859" i="1"/>
  <c r="H2871" i="1"/>
  <c r="H2883" i="1"/>
  <c r="H2895" i="1"/>
  <c r="H2907" i="1"/>
  <c r="H2919" i="1"/>
  <c r="H2931" i="1"/>
  <c r="H2943" i="1"/>
  <c r="H2955" i="1"/>
  <c r="H2967" i="1"/>
  <c r="H2979" i="1"/>
  <c r="H2991" i="1"/>
  <c r="H3003" i="1"/>
  <c r="H3015" i="1"/>
  <c r="H3027" i="1"/>
  <c r="H3039" i="1"/>
  <c r="H3051" i="1"/>
  <c r="H3063" i="1"/>
  <c r="H3075" i="1"/>
  <c r="H3087" i="1"/>
  <c r="H3099" i="1"/>
  <c r="H3111" i="1"/>
  <c r="H3123" i="1"/>
  <c r="H2292" i="1"/>
  <c r="H2692" i="1"/>
  <c r="H2836" i="1"/>
  <c r="H2980" i="1"/>
  <c r="H3124" i="1"/>
  <c r="H2395" i="1"/>
  <c r="H2704" i="1"/>
  <c r="H2848" i="1"/>
  <c r="H2992" i="1"/>
  <c r="H2467" i="1"/>
  <c r="H2716" i="1"/>
  <c r="H2860" i="1"/>
  <c r="H3004" i="1"/>
  <c r="H2539" i="1"/>
  <c r="H2728" i="1"/>
  <c r="H2872" i="1"/>
  <c r="H3016" i="1"/>
  <c r="H2575" i="1"/>
  <c r="H2740" i="1"/>
  <c r="H2884" i="1"/>
  <c r="H3028" i="1"/>
  <c r="H2601" i="1"/>
  <c r="H2752" i="1"/>
  <c r="H2896" i="1"/>
  <c r="H3040" i="1"/>
  <c r="H2615" i="1"/>
  <c r="H2764" i="1"/>
  <c r="H2908" i="1"/>
  <c r="H3052" i="1"/>
  <c r="H2630" i="1"/>
  <c r="H2776" i="1"/>
  <c r="H2920" i="1"/>
  <c r="H3064" i="1"/>
  <c r="H2644" i="1"/>
  <c r="H2788" i="1"/>
  <c r="H2932" i="1"/>
  <c r="H3076" i="1"/>
  <c r="H2656" i="1"/>
  <c r="H2800" i="1"/>
  <c r="H2944" i="1"/>
  <c r="H3088" i="1"/>
  <c r="H2004" i="1"/>
  <c r="H2668" i="1"/>
  <c r="H2812" i="1"/>
  <c r="H2956" i="1"/>
  <c r="H3100" i="1"/>
  <c r="H2148" i="1"/>
  <c r="H2680" i="1"/>
  <c r="H2824" i="1"/>
  <c r="H2968" i="1"/>
  <c r="H3112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M11" i="2" l="1"/>
  <c r="K11" i="2"/>
  <c r="C1972" i="1"/>
  <c r="C1960" i="1"/>
  <c r="C1948" i="1"/>
  <c r="C1936" i="1"/>
  <c r="C1971" i="1"/>
  <c r="C1959" i="1"/>
  <c r="C1947" i="1"/>
  <c r="C1935" i="1"/>
  <c r="C1970" i="1"/>
  <c r="C1958" i="1"/>
  <c r="C1946" i="1"/>
  <c r="C1934" i="1"/>
  <c r="C1981" i="1"/>
  <c r="C1969" i="1"/>
  <c r="C1957" i="1"/>
  <c r="C1945" i="1"/>
  <c r="C1933" i="1"/>
  <c r="C1980" i="1"/>
  <c r="C1968" i="1"/>
  <c r="C1956" i="1"/>
  <c r="C1944" i="1"/>
  <c r="C1979" i="1"/>
  <c r="C1967" i="1"/>
  <c r="C1955" i="1"/>
  <c r="C1943" i="1"/>
  <c r="C1978" i="1"/>
  <c r="C1966" i="1"/>
  <c r="C1954" i="1"/>
  <c r="C1942" i="1"/>
  <c r="C1977" i="1"/>
  <c r="C1965" i="1"/>
  <c r="C1953" i="1"/>
  <c r="C1941" i="1"/>
  <c r="C1976" i="1"/>
  <c r="C1964" i="1"/>
  <c r="C1952" i="1"/>
  <c r="C1940" i="1"/>
  <c r="C1975" i="1"/>
  <c r="C1963" i="1"/>
  <c r="C1951" i="1"/>
  <c r="C1939" i="1"/>
  <c r="C1974" i="1"/>
  <c r="C1962" i="1"/>
  <c r="C1950" i="1"/>
  <c r="C1938" i="1"/>
  <c r="C1973" i="1"/>
  <c r="C1961" i="1"/>
  <c r="C1949" i="1"/>
  <c r="C1937" i="1"/>
  <c r="C1811" i="1"/>
  <c r="C1667" i="1"/>
  <c r="C1523" i="1"/>
  <c r="C1894" i="1"/>
  <c r="C1750" i="1"/>
  <c r="C1606" i="1"/>
  <c r="C1462" i="1"/>
  <c r="C1833" i="1"/>
  <c r="C1689" i="1"/>
  <c r="C1545" i="1"/>
  <c r="C1916" i="1"/>
  <c r="C1772" i="1"/>
  <c r="C1628" i="1"/>
  <c r="C1484" i="1"/>
  <c r="C1855" i="1"/>
  <c r="C1711" i="1"/>
  <c r="C1567" i="1"/>
  <c r="C1794" i="1"/>
  <c r="C1650" i="1"/>
  <c r="C1506" i="1"/>
  <c r="C1877" i="1"/>
  <c r="C1733" i="1"/>
  <c r="C1589" i="1"/>
  <c r="C1799" i="1"/>
  <c r="C1655" i="1"/>
  <c r="C1511" i="1"/>
  <c r="C1882" i="1"/>
  <c r="C1738" i="1"/>
  <c r="C1594" i="1"/>
  <c r="C1821" i="1"/>
  <c r="C1677" i="1"/>
  <c r="C1533" i="1"/>
  <c r="C1904" i="1"/>
  <c r="C1760" i="1"/>
  <c r="C1616" i="1"/>
  <c r="C1472" i="1"/>
  <c r="C1843" i="1"/>
  <c r="C1699" i="1"/>
  <c r="C1555" i="1"/>
  <c r="C1926" i="1"/>
  <c r="C1782" i="1"/>
  <c r="C1638" i="1"/>
  <c r="C1494" i="1"/>
  <c r="C1865" i="1"/>
  <c r="C1721" i="1"/>
  <c r="C1577" i="1"/>
  <c r="C1804" i="1"/>
  <c r="C1660" i="1"/>
  <c r="C1516" i="1"/>
  <c r="C1887" i="1"/>
  <c r="C1743" i="1"/>
  <c r="C1599" i="1"/>
  <c r="C1455" i="1"/>
  <c r="C1826" i="1"/>
  <c r="C1682" i="1"/>
  <c r="C1538" i="1"/>
  <c r="C1909" i="1"/>
  <c r="C1765" i="1"/>
  <c r="C1621" i="1"/>
  <c r="C1477" i="1"/>
  <c r="C1860" i="1"/>
  <c r="C1716" i="1"/>
  <c r="C1572" i="1"/>
  <c r="C1931" i="1"/>
  <c r="C1787" i="1"/>
  <c r="C1643" i="1"/>
  <c r="C1499" i="1"/>
  <c r="C1870" i="1"/>
  <c r="C1726" i="1"/>
  <c r="C1582" i="1"/>
  <c r="C1809" i="1"/>
  <c r="C1665" i="1"/>
  <c r="C1521" i="1"/>
  <c r="C1892" i="1"/>
  <c r="C1748" i="1"/>
  <c r="C1604" i="1"/>
  <c r="C1460" i="1"/>
  <c r="C1831" i="1"/>
  <c r="C1687" i="1"/>
  <c r="C1543" i="1"/>
  <c r="C1914" i="1"/>
  <c r="C1770" i="1"/>
  <c r="C1626" i="1"/>
  <c r="C1482" i="1"/>
  <c r="C1853" i="1"/>
  <c r="C1709" i="1"/>
  <c r="C1565" i="1"/>
  <c r="C1792" i="1"/>
  <c r="C1648" i="1"/>
  <c r="C1504" i="1"/>
  <c r="C1875" i="1"/>
  <c r="C1731" i="1"/>
  <c r="C1587" i="1"/>
  <c r="C1814" i="1"/>
  <c r="C1670" i="1"/>
  <c r="C1526" i="1"/>
  <c r="C1897" i="1"/>
  <c r="C1753" i="1"/>
  <c r="C1609" i="1"/>
  <c r="C1465" i="1"/>
  <c r="C1848" i="1"/>
  <c r="C1704" i="1"/>
  <c r="C1560" i="1"/>
  <c r="C1919" i="1"/>
  <c r="C1775" i="1"/>
  <c r="C1631" i="1"/>
  <c r="C1487" i="1"/>
  <c r="C1858" i="1"/>
  <c r="C1714" i="1"/>
  <c r="C1570" i="1"/>
  <c r="C1797" i="1"/>
  <c r="C1653" i="1"/>
  <c r="C1509" i="1"/>
  <c r="C1880" i="1"/>
  <c r="C1736" i="1"/>
  <c r="C1592" i="1"/>
  <c r="C1819" i="1"/>
  <c r="C1675" i="1"/>
  <c r="C1531" i="1"/>
  <c r="C1902" i="1"/>
  <c r="C1758" i="1"/>
  <c r="C1614" i="1"/>
  <c r="C1470" i="1"/>
  <c r="C1841" i="1"/>
  <c r="C1697" i="1"/>
  <c r="C1553" i="1"/>
  <c r="C1924" i="1"/>
  <c r="C1780" i="1"/>
  <c r="C1636" i="1"/>
  <c r="C1492" i="1"/>
  <c r="C1863" i="1"/>
  <c r="C1719" i="1"/>
  <c r="C1575" i="1"/>
  <c r="C1802" i="1"/>
  <c r="C1658" i="1"/>
  <c r="C1514" i="1"/>
  <c r="C1885" i="1"/>
  <c r="C1741" i="1"/>
  <c r="C1597" i="1"/>
  <c r="C1453" i="1"/>
  <c r="C1836" i="1"/>
  <c r="C1692" i="1"/>
  <c r="C1548" i="1"/>
  <c r="C1907" i="1"/>
  <c r="C1763" i="1"/>
  <c r="C1619" i="1"/>
  <c r="C1475" i="1"/>
  <c r="C1846" i="1"/>
  <c r="C1702" i="1"/>
  <c r="C1558" i="1"/>
  <c r="C1929" i="1"/>
  <c r="C1785" i="1"/>
  <c r="C1641" i="1"/>
  <c r="C1497" i="1"/>
  <c r="C1868" i="1"/>
  <c r="C1724" i="1"/>
  <c r="C1580" i="1"/>
  <c r="C1807" i="1"/>
  <c r="C1663" i="1"/>
  <c r="C1519" i="1"/>
  <c r="C1890" i="1"/>
  <c r="C1746" i="1"/>
  <c r="C1602" i="1"/>
  <c r="C1458" i="1"/>
  <c r="C1829" i="1"/>
  <c r="C1685" i="1"/>
  <c r="C1541" i="1"/>
  <c r="C1912" i="1"/>
  <c r="C1768" i="1"/>
  <c r="C1624" i="1"/>
  <c r="C1480" i="1"/>
  <c r="C1851" i="1"/>
  <c r="C1707" i="1"/>
  <c r="C1563" i="1"/>
  <c r="C1790" i="1"/>
  <c r="C1646" i="1"/>
  <c r="C1502" i="1"/>
  <c r="C1873" i="1"/>
  <c r="C1729" i="1"/>
  <c r="C1585" i="1"/>
  <c r="C1824" i="1"/>
  <c r="C1680" i="1"/>
  <c r="C1536" i="1"/>
  <c r="C1895" i="1"/>
  <c r="C1751" i="1"/>
  <c r="C1607" i="1"/>
  <c r="C1463" i="1"/>
  <c r="C1834" i="1"/>
  <c r="C1690" i="1"/>
  <c r="C1546" i="1"/>
  <c r="C1917" i="1"/>
  <c r="C1773" i="1"/>
  <c r="C1629" i="1"/>
  <c r="C1485" i="1"/>
  <c r="C1856" i="1"/>
  <c r="C1712" i="1"/>
  <c r="C1568" i="1"/>
  <c r="C1795" i="1"/>
  <c r="C1651" i="1"/>
  <c r="C1507" i="1"/>
  <c r="C1878" i="1"/>
  <c r="C1734" i="1"/>
  <c r="C1590" i="1"/>
  <c r="C1817" i="1"/>
  <c r="C1673" i="1"/>
  <c r="C1529" i="1"/>
  <c r="C1900" i="1"/>
  <c r="C1756" i="1"/>
  <c r="C1612" i="1"/>
  <c r="C1468" i="1"/>
  <c r="C1839" i="1"/>
  <c r="C1695" i="1"/>
  <c r="C1551" i="1"/>
  <c r="C1922" i="1"/>
  <c r="C1778" i="1"/>
  <c r="C1634" i="1"/>
  <c r="C1490" i="1"/>
  <c r="C1861" i="1"/>
  <c r="C1717" i="1"/>
  <c r="C1573" i="1"/>
  <c r="C1812" i="1"/>
  <c r="C1668" i="1"/>
  <c r="C1524" i="1"/>
  <c r="C1883" i="1"/>
  <c r="C1739" i="1"/>
  <c r="C1595" i="1"/>
  <c r="C1822" i="1"/>
  <c r="C1678" i="1"/>
  <c r="C1534" i="1"/>
  <c r="C1905" i="1"/>
  <c r="C1761" i="1"/>
  <c r="C1617" i="1"/>
  <c r="C1473" i="1"/>
  <c r="C1844" i="1"/>
  <c r="C1700" i="1"/>
  <c r="C1556" i="1"/>
  <c r="C1927" i="1"/>
  <c r="C1783" i="1"/>
  <c r="C1639" i="1"/>
  <c r="C1495" i="1"/>
  <c r="C1866" i="1"/>
  <c r="C1722" i="1"/>
  <c r="C1578" i="1"/>
  <c r="C1805" i="1"/>
  <c r="C1661" i="1"/>
  <c r="C1517" i="1"/>
  <c r="C1888" i="1"/>
  <c r="C1744" i="1"/>
  <c r="C1600" i="1"/>
  <c r="C1456" i="1"/>
  <c r="C1827" i="1"/>
  <c r="C1683" i="1"/>
  <c r="C1539" i="1"/>
  <c r="C1910" i="1"/>
  <c r="C1766" i="1"/>
  <c r="C1622" i="1"/>
  <c r="C1478" i="1"/>
  <c r="C1849" i="1"/>
  <c r="C1705" i="1"/>
  <c r="C1561" i="1"/>
  <c r="C1800" i="1"/>
  <c r="C1656" i="1"/>
  <c r="C1512" i="1"/>
  <c r="C1871" i="1"/>
  <c r="C1727" i="1"/>
  <c r="C1583" i="1"/>
  <c r="C1810" i="1"/>
  <c r="C1666" i="1"/>
  <c r="C1522" i="1"/>
  <c r="C1893" i="1"/>
  <c r="C1749" i="1"/>
  <c r="C1605" i="1"/>
  <c r="C1461" i="1"/>
  <c r="C1832" i="1"/>
  <c r="C1688" i="1"/>
  <c r="C1544" i="1"/>
  <c r="C1915" i="1"/>
  <c r="C1771" i="1"/>
  <c r="C1627" i="1"/>
  <c r="C1483" i="1"/>
  <c r="C1854" i="1"/>
  <c r="C1710" i="1"/>
  <c r="C1566" i="1"/>
  <c r="C1793" i="1"/>
  <c r="C1649" i="1"/>
  <c r="C1505" i="1"/>
  <c r="C1876" i="1"/>
  <c r="C1732" i="1"/>
  <c r="C1588" i="1"/>
  <c r="C1815" i="1"/>
  <c r="C1671" i="1"/>
  <c r="C1527" i="1"/>
  <c r="C1898" i="1"/>
  <c r="C1754" i="1"/>
  <c r="C1610" i="1"/>
  <c r="C1466" i="1"/>
  <c r="C1837" i="1"/>
  <c r="C1693" i="1"/>
  <c r="C1549" i="1"/>
  <c r="C1932" i="1"/>
  <c r="C1788" i="1"/>
  <c r="C1644" i="1"/>
  <c r="C1500" i="1"/>
  <c r="C1859" i="1"/>
  <c r="C1715" i="1"/>
  <c r="C1571" i="1"/>
  <c r="C1798" i="1"/>
  <c r="C1654" i="1"/>
  <c r="C1510" i="1"/>
  <c r="C1881" i="1"/>
  <c r="C1737" i="1"/>
  <c r="C1593" i="1"/>
  <c r="C1820" i="1"/>
  <c r="C1676" i="1"/>
  <c r="C1532" i="1"/>
  <c r="C1903" i="1"/>
  <c r="C1759" i="1"/>
  <c r="C1615" i="1"/>
  <c r="C1471" i="1"/>
  <c r="C1842" i="1"/>
  <c r="C1698" i="1"/>
  <c r="C1554" i="1"/>
  <c r="C1925" i="1"/>
  <c r="C1781" i="1"/>
  <c r="C1637" i="1"/>
  <c r="C1493" i="1"/>
  <c r="C1864" i="1"/>
  <c r="C1720" i="1"/>
  <c r="C1576" i="1"/>
  <c r="C1803" i="1"/>
  <c r="C1659" i="1"/>
  <c r="C1515" i="1"/>
  <c r="C1886" i="1"/>
  <c r="C1742" i="1"/>
  <c r="C1598" i="1"/>
  <c r="C1454" i="1"/>
  <c r="C1825" i="1"/>
  <c r="C1681" i="1"/>
  <c r="C1537" i="1"/>
  <c r="C1920" i="1"/>
  <c r="C1776" i="1"/>
  <c r="C1632" i="1"/>
  <c r="C1488" i="1"/>
  <c r="C1847" i="1"/>
  <c r="C1703" i="1"/>
  <c r="C1559" i="1"/>
  <c r="C1930" i="1"/>
  <c r="C1786" i="1"/>
  <c r="C1642" i="1"/>
  <c r="C1498" i="1"/>
  <c r="C1869" i="1"/>
  <c r="C1725" i="1"/>
  <c r="C1581" i="1"/>
  <c r="C1808" i="1"/>
  <c r="C1664" i="1"/>
  <c r="C1520" i="1"/>
  <c r="C1891" i="1"/>
  <c r="C1747" i="1"/>
  <c r="C1603" i="1"/>
  <c r="C1459" i="1"/>
  <c r="C1830" i="1"/>
  <c r="C1686" i="1"/>
  <c r="C1542" i="1"/>
  <c r="C1913" i="1"/>
  <c r="C1769" i="1"/>
  <c r="C1625" i="1"/>
  <c r="C1481" i="1"/>
  <c r="C1852" i="1"/>
  <c r="C1708" i="1"/>
  <c r="C1564" i="1"/>
  <c r="C1791" i="1"/>
  <c r="C1647" i="1"/>
  <c r="C1503" i="1"/>
  <c r="C1874" i="1"/>
  <c r="C1730" i="1"/>
  <c r="C1586" i="1"/>
  <c r="C1813" i="1"/>
  <c r="C1669" i="1"/>
  <c r="C1525" i="1"/>
  <c r="C1908" i="1"/>
  <c r="C1764" i="1"/>
  <c r="C1620" i="1"/>
  <c r="C1476" i="1"/>
  <c r="C1835" i="1"/>
  <c r="C1691" i="1"/>
  <c r="C1547" i="1"/>
  <c r="C1918" i="1"/>
  <c r="C1774" i="1"/>
  <c r="C1630" i="1"/>
  <c r="C1486" i="1"/>
  <c r="C1857" i="1"/>
  <c r="C1713" i="1"/>
  <c r="C1569" i="1"/>
  <c r="C1796" i="1"/>
  <c r="C1652" i="1"/>
  <c r="C1508" i="1"/>
  <c r="C1879" i="1"/>
  <c r="C1735" i="1"/>
  <c r="C1591" i="1"/>
  <c r="C1818" i="1"/>
  <c r="C1674" i="1"/>
  <c r="C1530" i="1"/>
  <c r="C1901" i="1"/>
  <c r="C1757" i="1"/>
  <c r="C1613" i="1"/>
  <c r="C1469" i="1"/>
  <c r="C1840" i="1"/>
  <c r="C1696" i="1"/>
  <c r="C1552" i="1"/>
  <c r="C1923" i="1"/>
  <c r="C1779" i="1"/>
  <c r="C1635" i="1"/>
  <c r="C1491" i="1"/>
  <c r="C1862" i="1"/>
  <c r="C1718" i="1"/>
  <c r="C1574" i="1"/>
  <c r="C1801" i="1"/>
  <c r="C1657" i="1"/>
  <c r="C1513" i="1"/>
  <c r="C1896" i="1"/>
  <c r="C1752" i="1"/>
  <c r="C1608" i="1"/>
  <c r="C1823" i="1"/>
  <c r="C1679" i="1"/>
  <c r="C1535" i="1"/>
  <c r="C1906" i="1"/>
  <c r="C1762" i="1"/>
  <c r="C1618" i="1"/>
  <c r="C1474" i="1"/>
  <c r="C1845" i="1"/>
  <c r="C1701" i="1"/>
  <c r="C1557" i="1"/>
  <c r="C1928" i="1"/>
  <c r="C1784" i="1"/>
  <c r="C1640" i="1"/>
  <c r="C1496" i="1"/>
  <c r="C1867" i="1"/>
  <c r="C1723" i="1"/>
  <c r="C1579" i="1"/>
  <c r="C1806" i="1"/>
  <c r="C1662" i="1"/>
  <c r="C1518" i="1"/>
  <c r="C1889" i="1"/>
  <c r="C1745" i="1"/>
  <c r="C1601" i="1"/>
  <c r="C1457" i="1"/>
  <c r="C1828" i="1"/>
  <c r="C1684" i="1"/>
  <c r="C1540" i="1"/>
  <c r="C1911" i="1"/>
  <c r="C1767" i="1"/>
  <c r="C1623" i="1"/>
  <c r="C1479" i="1"/>
  <c r="C1850" i="1"/>
  <c r="C1706" i="1"/>
  <c r="C1562" i="1"/>
  <c r="C1789" i="1"/>
  <c r="C1645" i="1"/>
  <c r="C1501" i="1"/>
  <c r="C1884" i="1"/>
  <c r="C1740" i="1"/>
  <c r="C1596" i="1"/>
  <c r="C1816" i="1"/>
  <c r="C1611" i="1"/>
  <c r="C1428" i="1"/>
  <c r="C1284" i="1"/>
  <c r="C1403" i="1"/>
  <c r="C1366" i="1"/>
  <c r="C1341" i="1"/>
  <c r="C1388" i="1"/>
  <c r="C1339" i="1"/>
  <c r="C1446" i="1"/>
  <c r="C1302" i="1"/>
  <c r="C1409" i="1"/>
  <c r="C1346" i="1"/>
  <c r="C1372" i="1"/>
  <c r="C1443" i="1"/>
  <c r="C1299" i="1"/>
  <c r="C1418" i="1"/>
  <c r="C1417" i="1"/>
  <c r="C1391" i="1"/>
  <c r="C1286" i="1"/>
  <c r="C1406" i="1"/>
  <c r="C1385" i="1"/>
  <c r="C1672" i="1"/>
  <c r="C1467" i="1"/>
  <c r="C1416" i="1"/>
  <c r="C1329" i="1"/>
  <c r="C1376" i="1"/>
  <c r="C1327" i="1"/>
  <c r="C1404" i="1"/>
  <c r="C1342" i="1"/>
  <c r="C1364" i="1"/>
  <c r="C1300" i="1"/>
  <c r="C1393" i="1"/>
  <c r="C1392" i="1"/>
  <c r="C1343" i="1"/>
  <c r="C1330" i="1"/>
  <c r="C1449" i="1"/>
  <c r="C1352" i="1"/>
  <c r="C1447" i="1"/>
  <c r="C1303" i="1"/>
  <c r="C1410" i="1"/>
  <c r="C1373" i="1"/>
  <c r="C1407" i="1"/>
  <c r="C1382" i="1"/>
  <c r="C1381" i="1"/>
  <c r="C1426" i="1"/>
  <c r="C1362" i="1"/>
  <c r="C1324" i="1"/>
  <c r="C1436" i="1"/>
  <c r="C1321" i="1"/>
  <c r="C1380" i="1"/>
  <c r="C1317" i="1"/>
  <c r="C1331" i="1"/>
  <c r="C1318" i="1"/>
  <c r="C1437" i="1"/>
  <c r="C1340" i="1"/>
  <c r="C1435" i="1"/>
  <c r="C1291" i="1"/>
  <c r="C1398" i="1"/>
  <c r="C1334" i="1"/>
  <c r="C1361" i="1"/>
  <c r="C1395" i="1"/>
  <c r="C1370" i="1"/>
  <c r="C1369" i="1"/>
  <c r="C1305" i="1"/>
  <c r="C1322" i="1"/>
  <c r="C1432" i="1"/>
  <c r="C1584" i="1"/>
  <c r="C1379" i="1"/>
  <c r="C1292" i="1"/>
  <c r="C1347" i="1"/>
  <c r="C1368" i="1"/>
  <c r="C1319" i="1"/>
  <c r="C1450" i="1"/>
  <c r="C1306" i="1"/>
  <c r="C1425" i="1"/>
  <c r="C1328" i="1"/>
  <c r="C1360" i="1"/>
  <c r="C1423" i="1"/>
  <c r="C1386" i="1"/>
  <c r="C1349" i="1"/>
  <c r="C1383" i="1"/>
  <c r="C1310" i="1"/>
  <c r="C1357" i="1"/>
  <c r="C1399" i="1"/>
  <c r="C1333" i="1"/>
  <c r="C1414" i="1"/>
  <c r="C1313" i="1"/>
  <c r="C1307" i="1"/>
  <c r="C1872" i="1"/>
  <c r="C1356" i="1"/>
  <c r="C1295" i="1"/>
  <c r="C1438" i="1"/>
  <c r="C1294" i="1"/>
  <c r="C1413" i="1"/>
  <c r="C1316" i="1"/>
  <c r="C1411" i="1"/>
  <c r="C1374" i="1"/>
  <c r="C1337" i="1"/>
  <c r="C1444" i="1"/>
  <c r="C1298" i="1"/>
  <c r="C1371" i="1"/>
  <c r="C1345" i="1"/>
  <c r="C1325" i="1"/>
  <c r="C1359" i="1"/>
  <c r="C1355" i="1"/>
  <c r="C1777" i="1"/>
  <c r="C1451" i="1"/>
  <c r="C1389" i="1"/>
  <c r="C1387" i="1"/>
  <c r="C1921" i="1"/>
  <c r="C1728" i="1"/>
  <c r="C1344" i="1"/>
  <c r="C1401" i="1"/>
  <c r="C1448" i="1"/>
  <c r="C1304" i="1"/>
  <c r="C1332" i="1"/>
  <c r="C1350" i="1"/>
  <c r="C1288" i="1"/>
  <c r="C1420" i="1"/>
  <c r="C1838" i="1"/>
  <c r="C1633" i="1"/>
  <c r="C1464" i="1"/>
  <c r="C1320" i="1"/>
  <c r="C1439" i="1"/>
  <c r="C1402" i="1"/>
  <c r="C1377" i="1"/>
  <c r="C1424" i="1"/>
  <c r="C1375" i="1"/>
  <c r="C1338" i="1"/>
  <c r="C1445" i="1"/>
  <c r="C1301" i="1"/>
  <c r="C1408" i="1"/>
  <c r="C1335" i="1"/>
  <c r="C1309" i="1"/>
  <c r="C1290" i="1"/>
  <c r="C1312" i="1"/>
  <c r="C1405" i="1"/>
  <c r="C1528" i="1"/>
  <c r="C1422" i="1"/>
  <c r="C1394" i="1"/>
  <c r="C1899" i="1"/>
  <c r="C1694" i="1"/>
  <c r="C1489" i="1"/>
  <c r="C1452" i="1"/>
  <c r="C1308" i="1"/>
  <c r="C1427" i="1"/>
  <c r="C1390" i="1"/>
  <c r="C1365" i="1"/>
  <c r="C1412" i="1"/>
  <c r="C1358" i="1"/>
  <c r="C1363" i="1"/>
  <c r="C1326" i="1"/>
  <c r="C1336" i="1"/>
  <c r="C1433" i="1"/>
  <c r="C1289" i="1"/>
  <c r="C1396" i="1"/>
  <c r="C1323" i="1"/>
  <c r="C1442" i="1"/>
  <c r="C1441" i="1"/>
  <c r="C1297" i="1"/>
  <c r="C1354" i="1"/>
  <c r="C1434" i="1"/>
  <c r="C1397" i="1"/>
  <c r="C1431" i="1"/>
  <c r="C1419" i="1"/>
  <c r="C1755" i="1"/>
  <c r="C1550" i="1"/>
  <c r="C1440" i="1"/>
  <c r="C1296" i="1"/>
  <c r="C1415" i="1"/>
  <c r="C1378" i="1"/>
  <c r="C1353" i="1"/>
  <c r="C1400" i="1"/>
  <c r="C1351" i="1"/>
  <c r="C1314" i="1"/>
  <c r="C1421" i="1"/>
  <c r="C1384" i="1"/>
  <c r="C1311" i="1"/>
  <c r="C1430" i="1"/>
  <c r="C1429" i="1"/>
  <c r="C1285" i="1"/>
  <c r="C1348" i="1"/>
  <c r="C1287" i="1"/>
  <c r="C1367" i="1"/>
  <c r="C1293" i="1"/>
  <c r="C1315" i="1"/>
  <c r="D1662" i="1"/>
  <c r="D1684" i="1"/>
  <c r="D1312" i="1"/>
  <c r="D1486" i="1"/>
  <c r="D1693" i="1"/>
  <c r="D1452" i="1"/>
  <c r="D1404" i="1"/>
  <c r="D1623" i="1"/>
  <c r="D1586" i="1"/>
  <c r="D1552" i="1"/>
  <c r="D1784" i="1"/>
  <c r="D1392" i="1"/>
  <c r="D1319" i="1"/>
  <c r="D1691" i="1"/>
  <c r="D1898" i="1"/>
  <c r="D1630" i="1"/>
  <c r="D1659" i="1"/>
  <c r="D1390" i="1"/>
  <c r="D1601" i="1"/>
  <c r="D1375" i="1"/>
  <c r="D1299" i="1"/>
  <c r="D1764" i="1"/>
  <c r="D1408" i="1"/>
  <c r="D1406" i="1"/>
  <c r="D1835" i="1"/>
  <c r="D1891" i="1"/>
  <c r="D1562" i="1"/>
  <c r="D1317" i="1"/>
  <c r="D1401" i="1"/>
  <c r="D1358" i="1"/>
  <c r="D1869" i="1"/>
  <c r="D1356" i="1"/>
  <c r="D1647" i="1"/>
  <c r="D1305" i="1"/>
  <c r="D1292" i="1"/>
  <c r="D1443" i="1"/>
  <c r="D1908" i="1"/>
  <c r="D1464" i="1"/>
  <c r="D1598" i="1"/>
  <c r="D1329" i="1"/>
  <c r="D1728" i="1"/>
  <c r="D1574" i="1"/>
  <c r="D1781" i="1"/>
  <c r="D1332" i="1"/>
  <c r="D1334" i="1"/>
  <c r="D1513" i="1"/>
  <c r="D1537" i="1"/>
  <c r="D1393" i="1"/>
  <c r="D1313" i="1"/>
  <c r="D1466" i="1"/>
  <c r="D1310" i="1"/>
  <c r="D1354" i="1"/>
  <c r="D1759" i="1"/>
  <c r="D1359" i="1"/>
  <c r="D1779" i="1"/>
  <c r="D1921" i="1"/>
  <c r="D1437" i="1"/>
  <c r="D1718" i="1"/>
  <c r="D1352" i="1"/>
  <c r="D1316" i="1"/>
  <c r="D1419" i="1"/>
  <c r="D1769" i="1"/>
  <c r="D1816" i="1"/>
  <c r="D1364" i="1"/>
  <c r="D1872" i="1"/>
  <c r="D1501" i="1"/>
  <c r="D1298" i="1"/>
  <c r="D1362" i="1"/>
  <c r="D1400" i="1"/>
  <c r="D1325" i="1"/>
  <c r="D1923" i="1"/>
  <c r="D1379" i="1"/>
  <c r="D1301" i="1"/>
  <c r="D1488" i="1"/>
  <c r="D1343" i="1"/>
  <c r="D1528" i="1"/>
  <c r="D1723" i="1"/>
  <c r="D1361" i="1"/>
  <c r="D1576" i="1"/>
  <c r="D1339" i="1"/>
  <c r="D1397" i="1"/>
  <c r="D1411" i="1"/>
  <c r="D1459" i="1"/>
  <c r="D1550" i="1"/>
  <c r="D1444" i="1"/>
  <c r="D1745" i="1"/>
  <c r="D1373" i="1"/>
  <c r="D1337" i="1"/>
  <c r="D1378" i="1"/>
  <c r="D1708" i="1"/>
  <c r="D1777" i="1"/>
  <c r="D1320" i="1"/>
  <c r="D1830" i="1"/>
  <c r="D1291" i="1"/>
  <c r="D1396" i="1"/>
  <c r="D1457" i="1"/>
  <c r="D1664" i="1"/>
  <c r="D1434" i="1"/>
  <c r="D1603" i="1"/>
  <c r="D1346" i="1"/>
  <c r="D1368" i="1"/>
  <c r="D1930" i="1"/>
  <c r="D1808" i="1"/>
  <c r="D1308" i="1"/>
  <c r="D1342" i="1"/>
  <c r="D1867" i="1"/>
  <c r="D1500" i="1"/>
  <c r="D1333" i="1"/>
  <c r="D1806" i="1"/>
  <c r="D1845" i="1"/>
  <c r="D1421" i="1"/>
  <c r="D1862" i="1"/>
  <c r="D1428" i="1"/>
  <c r="D1801" i="1"/>
  <c r="D1315" i="1"/>
  <c r="D1838" i="1"/>
  <c r="D1370" i="1"/>
  <c r="D1752" i="1"/>
  <c r="D1377" i="1"/>
  <c r="D1679" i="1"/>
  <c r="D1886" i="1"/>
  <c r="D1618" i="1"/>
  <c r="D1825" i="1"/>
  <c r="D1309" i="1"/>
  <c r="D1557" i="1"/>
  <c r="D1776" i="1"/>
  <c r="D1496" i="1"/>
  <c r="D1703" i="1"/>
  <c r="D1322" i="1"/>
  <c r="D1302" i="1"/>
  <c r="D1525" i="1"/>
  <c r="D1876" i="1"/>
  <c r="D1347" i="1"/>
  <c r="D1418" i="1"/>
  <c r="D1476" i="1"/>
  <c r="D1815" i="1"/>
  <c r="D1335" i="1"/>
  <c r="D1450" i="1"/>
  <c r="D1547" i="1"/>
  <c r="D1754" i="1"/>
  <c r="D1458" i="1"/>
  <c r="D1687" i="1"/>
  <c r="D1858" i="1"/>
  <c r="D1836" i="1"/>
  <c r="D1817" i="1"/>
  <c r="D1515" i="1"/>
  <c r="D1353" i="1"/>
  <c r="D1321" i="1"/>
  <c r="D1318" i="1"/>
  <c r="D1285" i="1"/>
  <c r="D1398" i="1"/>
  <c r="D1293" i="1"/>
  <c r="D1388" i="1"/>
  <c r="D1896" i="1"/>
  <c r="D1505" i="1"/>
  <c r="D1409" i="1"/>
  <c r="D1823" i="1"/>
  <c r="D1762" i="1"/>
  <c r="D1425" i="1"/>
  <c r="D1701" i="1"/>
  <c r="D1920" i="1"/>
  <c r="D1287" i="1"/>
  <c r="D1288" i="1"/>
  <c r="D1366" i="1"/>
  <c r="D1730" i="1"/>
  <c r="D1439" i="1"/>
  <c r="D1446" i="1"/>
  <c r="D1669" i="1"/>
  <c r="D1620" i="1"/>
  <c r="D1565" i="1"/>
  <c r="D1531" i="1"/>
  <c r="D1536" i="1"/>
  <c r="D1720" i="1"/>
  <c r="D1755" i="1"/>
  <c r="D1426" i="1"/>
  <c r="D1542" i="1"/>
  <c r="D1481" i="1"/>
  <c r="D1429" i="1"/>
  <c r="D1304" i="1"/>
  <c r="D1367" i="1"/>
  <c r="D1420" i="1"/>
  <c r="D1341" i="1"/>
  <c r="D1649" i="1"/>
  <c r="D1432" i="1"/>
  <c r="D1588" i="1"/>
  <c r="D1338" i="1"/>
  <c r="D1906" i="1"/>
  <c r="D1740" i="1"/>
  <c r="D1350" i="1"/>
  <c r="D1874" i="1"/>
  <c r="D1813" i="1"/>
  <c r="D1517" i="1"/>
  <c r="D1575" i="1"/>
  <c r="D1914" i="1"/>
  <c r="D1785" i="1"/>
  <c r="D1925" i="1"/>
  <c r="D1540" i="1"/>
  <c r="D1747" i="1"/>
  <c r="D1479" i="1"/>
  <c r="D1686" i="1"/>
  <c r="D1625" i="1"/>
  <c r="D1314" i="1"/>
  <c r="D1331" i="1"/>
  <c r="D1564" i="1"/>
  <c r="D1430" i="1"/>
  <c r="D1448" i="1"/>
  <c r="D1611" i="1"/>
  <c r="D1503" i="1"/>
  <c r="D1395" i="1"/>
  <c r="D1793" i="1"/>
  <c r="D1402" i="1"/>
  <c r="D1351" i="1"/>
  <c r="D1451" i="1"/>
  <c r="D1380" i="1"/>
  <c r="D1554" i="1"/>
  <c r="D1384" i="1"/>
  <c r="D1884" i="1"/>
  <c r="D1493" i="1"/>
  <c r="D1348" i="1"/>
  <c r="D1403" i="1"/>
  <c r="D1722" i="1"/>
  <c r="D1780" i="1"/>
  <c r="D1621" i="1"/>
  <c r="D1792" i="1"/>
  <c r="D1819" i="1"/>
  <c r="D1492" i="1"/>
  <c r="D1491" i="1"/>
  <c r="D1698" i="1"/>
  <c r="D1344" i="1"/>
  <c r="D1340" i="1"/>
  <c r="D1637" i="1"/>
  <c r="D1927" i="1"/>
  <c r="D1661" i="1"/>
  <c r="D1499" i="1"/>
  <c r="D1526" i="1"/>
  <c r="D1571" i="1"/>
  <c r="D1289" i="1"/>
  <c r="D1889" i="1"/>
  <c r="D1510" i="1"/>
  <c r="D1828" i="1"/>
  <c r="D1767" i="1"/>
  <c r="D1436" i="1"/>
  <c r="D1706" i="1"/>
  <c r="D1913" i="1"/>
  <c r="D1387" i="1"/>
  <c r="D1645" i="1"/>
  <c r="D1852" i="1"/>
  <c r="D1311" i="1"/>
  <c r="D1435" i="1"/>
  <c r="D1596" i="1"/>
  <c r="D1791" i="1"/>
  <c r="D1757" i="1"/>
  <c r="D1296" i="1"/>
  <c r="D1696" i="1"/>
  <c r="D1903" i="1"/>
  <c r="D1355" i="1"/>
  <c r="D1635" i="1"/>
  <c r="D1842" i="1"/>
  <c r="D1744" i="1"/>
  <c r="D1710" i="1"/>
  <c r="D1567" i="1"/>
  <c r="D1882" i="1"/>
  <c r="D1875" i="1"/>
  <c r="D1489" i="1"/>
  <c r="D1383" i="1"/>
  <c r="D1569" i="1"/>
  <c r="D1788" i="1"/>
  <c r="D1412" i="1"/>
  <c r="D1508" i="1"/>
  <c r="D1715" i="1"/>
  <c r="D1433" i="1"/>
  <c r="D1449" i="1"/>
  <c r="D1654" i="1"/>
  <c r="D1413" i="1"/>
  <c r="D1593" i="1"/>
  <c r="D1381" i="1"/>
  <c r="D1911" i="1"/>
  <c r="D1532" i="1"/>
  <c r="D1415" i="1"/>
  <c r="D1345" i="1"/>
  <c r="D1850" i="1"/>
  <c r="D1471" i="1"/>
  <c r="D1389" i="1"/>
  <c r="D1789" i="1"/>
  <c r="D1295" i="1"/>
  <c r="D1407" i="1"/>
  <c r="D1901" i="1"/>
  <c r="D1440" i="1"/>
  <c r="D1371" i="1"/>
  <c r="D1324" i="1"/>
  <c r="D1840" i="1"/>
  <c r="D1922" i="1"/>
  <c r="D1582" i="1"/>
  <c r="D1290" i="1"/>
  <c r="D1467" i="1"/>
  <c r="D1774" i="1"/>
  <c r="D1694" i="1"/>
  <c r="D1713" i="1"/>
  <c r="D1932" i="1"/>
  <c r="D1365" i="1"/>
  <c r="D1652" i="1"/>
  <c r="D1859" i="1"/>
  <c r="D1336" i="1"/>
  <c r="D1591" i="1"/>
  <c r="D1798" i="1"/>
  <c r="D1297" i="1"/>
  <c r="D1530" i="1"/>
  <c r="D1737" i="1"/>
  <c r="D1382" i="1"/>
  <c r="D1469" i="1"/>
  <c r="D1676" i="1"/>
  <c r="D1615" i="1"/>
  <c r="D1323" i="1"/>
  <c r="D1303" i="1"/>
  <c r="D1431" i="1"/>
  <c r="D1605" i="1"/>
  <c r="D1629" i="1"/>
  <c r="D1766" i="1"/>
  <c r="D1843" i="1"/>
  <c r="D1286" i="1"/>
  <c r="D1423" i="1"/>
  <c r="D1672" i="1"/>
  <c r="D1918" i="1"/>
  <c r="D1899" i="1"/>
  <c r="D1327" i="1"/>
  <c r="D1857" i="1"/>
  <c r="D1399" i="1"/>
  <c r="D1796" i="1"/>
  <c r="D1307" i="1"/>
  <c r="D1330" i="1"/>
  <c r="D1735" i="1"/>
  <c r="D1441" i="1"/>
  <c r="D1294" i="1"/>
  <c r="D1410" i="1"/>
  <c r="D1674" i="1"/>
  <c r="D1881" i="1"/>
  <c r="D1374" i="1"/>
  <c r="D1613" i="1"/>
  <c r="D1820" i="1"/>
  <c r="D1427" i="1"/>
  <c r="D1642" i="1"/>
  <c r="D1581" i="1"/>
  <c r="D1447" i="1"/>
  <c r="D1520" i="1"/>
  <c r="D1810" i="1"/>
  <c r="D1809" i="1"/>
  <c r="D1712" i="1"/>
  <c r="D1473" i="1"/>
  <c r="D1644" i="1"/>
  <c r="D1372" i="1"/>
  <c r="D1454" i="1"/>
  <c r="D1753" i="1"/>
  <c r="D1943" i="1"/>
  <c r="D1560" i="1"/>
  <c r="D1783" i="1"/>
  <c r="D1968" i="1"/>
  <c r="D1929" i="1"/>
  <c r="D1578" i="1"/>
  <c r="D1724" i="1"/>
  <c r="D1946" i="1"/>
  <c r="D1933" i="1"/>
  <c r="D1939" i="1"/>
  <c r="D1955" i="1"/>
  <c r="D1870" i="1"/>
  <c r="D1519" i="1"/>
  <c r="D1665" i="1"/>
  <c r="D1900" i="1"/>
  <c r="D1967" i="1"/>
  <c r="D1944" i="1"/>
  <c r="D1460" i="1"/>
  <c r="D1695" i="1"/>
  <c r="D1969" i="1"/>
  <c r="D1841" i="1"/>
  <c r="D1490" i="1"/>
  <c r="D1979" i="1"/>
  <c r="D1636" i="1"/>
  <c r="D1871" i="1"/>
  <c r="D1951" i="1"/>
  <c r="D1945" i="1"/>
  <c r="D1782" i="1"/>
  <c r="D1666" i="1"/>
  <c r="D1523" i="1"/>
  <c r="D1577" i="1"/>
  <c r="D1824" i="1"/>
  <c r="D1461" i="1"/>
  <c r="D1607" i="1"/>
  <c r="D1956" i="1"/>
  <c r="D1948" i="1"/>
  <c r="D1980" i="1"/>
  <c r="D1960" i="1"/>
  <c r="D1962" i="1"/>
  <c r="D1959" i="1"/>
  <c r="D1941" i="1"/>
  <c r="D1950" i="1"/>
  <c r="D1935" i="1"/>
  <c r="D1971" i="1"/>
  <c r="D1954" i="1"/>
  <c r="D1937" i="1"/>
  <c r="D1977" i="1"/>
  <c r="D1973" i="1"/>
  <c r="D1957" i="1"/>
  <c r="D1961" i="1"/>
  <c r="D1974" i="1"/>
  <c r="D1940" i="1"/>
  <c r="D1976" i="1"/>
  <c r="D1953" i="1"/>
  <c r="D1965" i="1"/>
  <c r="D1942" i="1"/>
  <c r="D1964" i="1"/>
  <c r="D1949" i="1"/>
  <c r="D1947" i="1"/>
  <c r="D1952" i="1"/>
  <c r="D1972" i="1"/>
  <c r="D1978" i="1"/>
  <c r="D1936" i="1"/>
  <c r="D1975" i="1"/>
  <c r="D1963" i="1"/>
  <c r="D1938" i="1"/>
  <c r="D1934" i="1"/>
  <c r="D1966" i="1"/>
  <c r="D1697" i="1"/>
  <c r="D1494" i="1"/>
  <c r="D1729" i="1"/>
  <c r="D1673" i="1"/>
  <c r="D1646" i="1"/>
  <c r="D1736" i="1"/>
  <c r="D1772" i="1"/>
  <c r="D1826" i="1"/>
  <c r="D1475" i="1"/>
  <c r="D1915" i="1"/>
  <c r="D1770" i="1"/>
  <c r="D1714" i="1"/>
  <c r="D1545" i="1"/>
  <c r="D1599" i="1"/>
  <c r="D1834" i="1"/>
  <c r="D1483" i="1"/>
  <c r="D1924" i="1"/>
  <c r="D1573" i="1"/>
  <c r="D1667" i="1"/>
  <c r="D1721" i="1"/>
  <c r="D1970" i="1"/>
  <c r="D1638" i="1"/>
  <c r="D1873" i="1"/>
  <c r="D1522" i="1"/>
  <c r="D1670" i="1"/>
  <c r="D1905" i="1"/>
  <c r="D1614" i="1"/>
  <c r="D1849" i="1"/>
  <c r="D1587" i="1"/>
  <c r="D1822" i="1"/>
  <c r="D1677" i="1"/>
  <c r="D1912" i="1"/>
  <c r="D1561" i="1"/>
  <c r="D1856" i="1"/>
  <c r="D1812" i="1"/>
  <c r="D1655" i="1"/>
  <c r="D1890" i="1"/>
  <c r="D1539" i="1"/>
  <c r="D1775" i="1"/>
  <c r="D1811" i="1"/>
  <c r="D1865" i="1"/>
  <c r="D1514" i="1"/>
  <c r="D1749" i="1"/>
  <c r="D1897" i="1"/>
  <c r="D1546" i="1"/>
  <c r="D1680" i="1"/>
  <c r="D1465" i="1"/>
  <c r="D1700" i="1"/>
  <c r="D1760" i="1"/>
  <c r="D1656" i="1"/>
  <c r="D1617" i="1"/>
  <c r="D1472" i="1"/>
  <c r="D1707" i="1"/>
  <c r="D1797" i="1"/>
  <c r="D1651" i="1"/>
  <c r="D1741" i="1"/>
  <c r="D1595" i="1"/>
  <c r="D1685" i="1"/>
  <c r="D1570" i="1"/>
  <c r="D1805" i="1"/>
  <c r="D1606" i="1"/>
  <c r="D1660" i="1"/>
  <c r="D1895" i="1"/>
  <c r="D1544" i="1"/>
  <c r="D1704" i="1"/>
  <c r="D1814" i="1"/>
  <c r="D1463" i="1"/>
  <c r="D1846" i="1"/>
  <c r="D1495" i="1"/>
  <c r="D1555" i="1"/>
  <c r="D1790" i="1"/>
  <c r="D1763" i="1"/>
  <c r="D1853" i="1"/>
  <c r="D1502" i="1"/>
  <c r="D1592" i="1"/>
  <c r="D1833" i="1"/>
  <c r="D1887" i="1"/>
  <c r="D1548" i="1"/>
  <c r="D1831" i="1"/>
  <c r="D1480" i="1"/>
  <c r="D1600" i="1"/>
  <c r="D1455" i="1"/>
  <c r="D1690" i="1"/>
  <c r="D1487" i="1"/>
  <c r="D1609" i="1"/>
  <c r="D1844" i="1"/>
  <c r="D1641" i="1"/>
  <c r="D1585" i="1"/>
  <c r="D1855" i="1"/>
  <c r="D1909" i="1"/>
  <c r="D1558" i="1"/>
  <c r="D1648" i="1"/>
  <c r="D1883" i="1"/>
  <c r="D1738" i="1"/>
  <c r="D1827" i="1"/>
  <c r="D1628" i="1"/>
  <c r="D1682" i="1"/>
  <c r="D1771" i="1"/>
  <c r="D1626" i="1"/>
  <c r="D1861" i="1"/>
  <c r="D1511" i="1"/>
  <c r="D1746" i="1"/>
  <c r="D1848" i="1"/>
  <c r="D1485" i="1"/>
  <c r="D1868" i="1"/>
  <c r="D1639" i="1"/>
  <c r="D1733" i="1"/>
  <c r="D1787" i="1"/>
  <c r="D1731" i="1"/>
  <c r="D1650" i="1"/>
  <c r="D1716" i="1"/>
  <c r="D1678" i="1"/>
  <c r="D1533" i="1"/>
  <c r="D1768" i="1"/>
  <c r="D1622" i="1"/>
  <c r="D1477" i="1"/>
  <c r="D1917" i="1"/>
  <c r="D1566" i="1"/>
  <c r="D1668" i="1"/>
  <c r="D1892" i="1"/>
  <c r="D1541" i="1"/>
  <c r="D1631" i="1"/>
  <c r="D1866" i="1"/>
  <c r="D1663" i="1"/>
  <c r="D1981" i="1"/>
  <c r="D1877" i="1"/>
  <c r="D1931" i="1"/>
  <c r="D1580" i="1"/>
  <c r="D1612" i="1"/>
  <c r="D1907" i="1"/>
  <c r="D1556" i="1"/>
  <c r="D1880" i="1"/>
  <c r="D1529" i="1"/>
  <c r="D1916" i="1"/>
  <c r="D1619" i="1"/>
  <c r="D1854" i="1"/>
  <c r="D1709" i="1"/>
  <c r="D1653" i="1"/>
  <c r="D1507" i="1"/>
  <c r="D1894" i="1"/>
  <c r="D1597" i="1"/>
  <c r="D1832" i="1"/>
  <c r="D1482" i="1"/>
  <c r="D1717" i="1"/>
  <c r="D1807" i="1"/>
  <c r="D1456" i="1"/>
  <c r="D1604" i="1"/>
  <c r="D1839" i="1"/>
  <c r="D1726" i="1"/>
  <c r="D1758" i="1"/>
  <c r="D1794" i="1"/>
  <c r="D1702" i="1"/>
  <c r="D1675" i="1"/>
  <c r="D1910" i="1"/>
  <c r="D1711" i="1"/>
  <c r="D1765" i="1"/>
  <c r="D1504" i="1"/>
  <c r="D1799" i="1"/>
  <c r="D1888" i="1"/>
  <c r="D1689" i="1"/>
  <c r="D1743" i="1"/>
  <c r="D1627" i="1"/>
  <c r="D1863" i="1"/>
  <c r="D1524" i="1"/>
  <c r="D1602" i="1"/>
  <c r="D1837" i="1"/>
  <c r="D1634" i="1"/>
  <c r="D1958" i="1"/>
  <c r="D1521" i="1"/>
  <c r="D1756" i="1"/>
  <c r="D1904" i="1"/>
  <c r="D1553" i="1"/>
  <c r="D1800" i="1"/>
  <c r="D1589" i="1"/>
  <c r="D1860" i="1"/>
  <c r="D1497" i="1"/>
  <c r="D1732" i="1"/>
  <c r="D1821" i="1"/>
  <c r="D1470" i="1"/>
  <c r="D1705" i="1"/>
  <c r="D1506" i="1"/>
  <c r="D1572" i="1"/>
  <c r="D1795" i="1"/>
  <c r="D1885" i="1"/>
  <c r="D1739" i="1"/>
  <c r="D1594" i="1"/>
  <c r="D1829" i="1"/>
  <c r="D1683" i="1"/>
  <c r="D1484" i="1"/>
  <c r="D1538" i="1"/>
  <c r="D1773" i="1"/>
  <c r="D1658" i="1"/>
  <c r="D1893" i="1"/>
  <c r="D1748" i="1"/>
  <c r="D1902" i="1"/>
  <c r="D1551" i="1"/>
  <c r="D1699" i="1"/>
  <c r="D1583" i="1"/>
  <c r="D1643" i="1"/>
  <c r="D1878" i="1"/>
  <c r="D1527" i="1"/>
  <c r="D1616" i="1"/>
  <c r="D1851" i="1"/>
  <c r="D1512" i="1"/>
  <c r="D1590" i="1"/>
  <c r="D1692" i="1"/>
  <c r="D1534" i="1"/>
  <c r="D1624" i="1"/>
  <c r="D1478" i="1"/>
  <c r="D1919" i="1"/>
  <c r="D1568" i="1"/>
  <c r="D1750" i="1"/>
  <c r="D1804" i="1"/>
  <c r="D1453" i="1"/>
  <c r="D1688" i="1"/>
  <c r="D1543" i="1"/>
  <c r="D1778" i="1"/>
  <c r="D1926" i="1"/>
  <c r="D1468" i="1"/>
  <c r="D1509" i="1"/>
  <c r="D1462" i="1"/>
  <c r="D1549" i="1"/>
  <c r="D1928" i="1"/>
  <c r="D1416" i="1"/>
  <c r="D1386" i="1"/>
  <c r="D1405" i="1"/>
  <c r="D1610" i="1"/>
  <c r="D1306" i="1"/>
  <c r="D1671" i="1"/>
  <c r="D1417" i="1"/>
  <c r="D1498" i="1"/>
  <c r="D1300" i="1"/>
  <c r="D1559" i="1"/>
  <c r="D1349" i="1"/>
  <c r="D1422" i="1"/>
  <c r="D1632" i="1"/>
  <c r="D1385" i="1"/>
  <c r="D1328" i="1"/>
  <c r="D1681" i="1"/>
  <c r="D1474" i="1"/>
  <c r="D1391" i="1"/>
  <c r="D1445" i="1"/>
  <c r="D1742" i="1"/>
  <c r="D1535" i="1"/>
  <c r="D1584" i="1"/>
  <c r="D1424" i="1"/>
  <c r="D1803" i="1"/>
  <c r="D1608" i="1"/>
  <c r="D1369" i="1"/>
  <c r="D1633" i="1"/>
  <c r="D1864" i="1"/>
  <c r="D1657" i="1"/>
  <c r="D1284" i="1"/>
  <c r="D1761" i="1"/>
  <c r="D1734" i="1"/>
  <c r="D1563" i="1"/>
  <c r="D1802" i="1"/>
  <c r="D1727" i="1"/>
  <c r="D1719" i="1"/>
  <c r="D1516" i="1"/>
  <c r="D1751" i="1"/>
  <c r="D1725" i="1"/>
  <c r="D1518" i="1"/>
  <c r="D1414" i="1"/>
  <c r="D1363" i="1"/>
  <c r="D1786" i="1"/>
  <c r="D1579" i="1"/>
  <c r="D1357" i="1"/>
  <c r="D1847" i="1"/>
  <c r="D1640" i="1"/>
  <c r="D1818" i="1"/>
  <c r="D1438" i="1"/>
  <c r="D1442" i="1"/>
  <c r="D1879" i="1"/>
  <c r="D1326" i="1"/>
  <c r="D1376" i="1"/>
  <c r="D1394" i="1"/>
  <c r="D1360" i="1"/>
  <c r="C1263" i="1"/>
  <c r="C1255" i="1"/>
  <c r="C1258" i="1"/>
  <c r="C1275" i="1"/>
  <c r="D1257" i="1"/>
  <c r="D1277" i="1"/>
  <c r="D1271" i="1"/>
  <c r="D1272" i="1"/>
  <c r="C1271" i="1"/>
  <c r="C1272" i="1"/>
  <c r="D1280" i="1"/>
  <c r="D1254" i="1"/>
  <c r="D1274" i="1"/>
  <c r="C1259" i="1"/>
  <c r="D1275" i="1"/>
  <c r="D1273" i="1"/>
  <c r="C1267" i="1"/>
  <c r="D1253" i="1"/>
  <c r="D1259" i="1"/>
  <c r="C1269" i="1"/>
  <c r="C1262" i="1"/>
  <c r="C1280" i="1"/>
  <c r="C1268" i="1"/>
  <c r="D1264" i="1"/>
  <c r="D1268" i="1"/>
  <c r="D1262" i="1"/>
  <c r="C1278" i="1"/>
  <c r="C1273" i="1"/>
  <c r="C1281" i="1"/>
  <c r="D1276" i="1"/>
  <c r="D1251" i="1"/>
  <c r="C1252" i="1"/>
  <c r="C1277" i="1"/>
  <c r="C1254" i="1"/>
  <c r="C1270" i="1"/>
  <c r="C1279" i="1"/>
  <c r="C1256" i="1"/>
  <c r="D1283" i="1"/>
  <c r="D1278" i="1"/>
  <c r="C1253" i="1"/>
  <c r="D1269" i="1"/>
  <c r="D1279" i="1"/>
  <c r="C1261" i="1"/>
  <c r="D1255" i="1"/>
  <c r="D1258" i="1"/>
  <c r="D1266" i="1"/>
  <c r="D1267" i="1"/>
  <c r="D1270" i="1"/>
  <c r="D1260" i="1"/>
  <c r="C1264" i="1"/>
  <c r="C1266" i="1"/>
  <c r="C1274" i="1"/>
  <c r="C1276" i="1"/>
  <c r="D1261" i="1"/>
  <c r="D1252" i="1"/>
  <c r="D1282" i="1"/>
  <c r="C1282" i="1"/>
  <c r="C1265" i="1"/>
  <c r="C1251" i="1"/>
  <c r="C1257" i="1"/>
  <c r="C1283" i="1"/>
  <c r="D1281" i="1"/>
  <c r="D1256" i="1"/>
  <c r="D1265" i="1"/>
  <c r="D1263" i="1"/>
  <c r="C1260" i="1"/>
  <c r="C851" i="1"/>
  <c r="C646" i="1"/>
  <c r="C441" i="1"/>
  <c r="C236" i="1"/>
  <c r="C31" i="1"/>
  <c r="C961" i="1"/>
  <c r="C756" i="1"/>
  <c r="C551" i="1"/>
  <c r="C346" i="1"/>
  <c r="C141" i="1"/>
  <c r="C844" i="1"/>
  <c r="C639" i="1"/>
  <c r="C422" i="1"/>
  <c r="C229" i="1"/>
  <c r="C24" i="1"/>
  <c r="C932" i="1"/>
  <c r="C727" i="1"/>
  <c r="C522" i="1"/>
  <c r="C317" i="1"/>
  <c r="C112" i="1"/>
  <c r="C1020" i="1"/>
  <c r="C815" i="1"/>
  <c r="C610" i="1"/>
  <c r="C405" i="1"/>
  <c r="C200" i="1"/>
  <c r="C903" i="1"/>
  <c r="C686" i="1"/>
  <c r="C493" i="1"/>
  <c r="C288" i="1"/>
  <c r="C83" i="1"/>
  <c r="C991" i="1"/>
  <c r="C786" i="1"/>
  <c r="C581" i="1"/>
  <c r="C376" i="1"/>
  <c r="C171" i="1"/>
  <c r="C874" i="1"/>
  <c r="C669" i="1"/>
  <c r="C464" i="1"/>
  <c r="C259" i="1"/>
  <c r="C54" i="1"/>
  <c r="C950" i="1"/>
  <c r="C757" i="1"/>
  <c r="C552" i="1"/>
  <c r="C347" i="1"/>
  <c r="C142" i="1"/>
  <c r="C845" i="1"/>
  <c r="C640" i="1"/>
  <c r="C435" i="1"/>
  <c r="C218" i="1"/>
  <c r="C25" i="1"/>
  <c r="C933" i="1"/>
  <c r="C728" i="1"/>
  <c r="C523" i="1"/>
  <c r="C318" i="1"/>
  <c r="C113" i="1"/>
  <c r="C1021" i="1"/>
  <c r="C816" i="1"/>
  <c r="C611" i="1"/>
  <c r="C406" i="1"/>
  <c r="C201" i="1"/>
  <c r="C904" i="1"/>
  <c r="C699" i="1"/>
  <c r="C482" i="1"/>
  <c r="C289" i="1"/>
  <c r="C84" i="1"/>
  <c r="C992" i="1"/>
  <c r="C787" i="1"/>
  <c r="C582" i="1"/>
  <c r="C377" i="1"/>
  <c r="C172" i="1"/>
  <c r="C1019" i="1"/>
  <c r="C814" i="1"/>
  <c r="C609" i="1"/>
  <c r="C404" i="1"/>
  <c r="C199" i="1"/>
  <c r="C890" i="1"/>
  <c r="C697" i="1"/>
  <c r="C492" i="1"/>
  <c r="C287" i="1"/>
  <c r="C82" i="1"/>
  <c r="C990" i="1"/>
  <c r="C785" i="1"/>
  <c r="C580" i="1"/>
  <c r="C375" i="1"/>
  <c r="C1140" i="1"/>
  <c r="C856" i="1"/>
  <c r="C363" i="1"/>
  <c r="C1208" i="1"/>
  <c r="C1085" i="1"/>
  <c r="C1156" i="1"/>
  <c r="C834" i="1"/>
  <c r="C1081" i="1"/>
  <c r="C1135" i="1"/>
  <c r="C1239" i="1"/>
  <c r="C1240" i="1"/>
  <c r="C1048" i="1"/>
  <c r="C1109" i="1"/>
  <c r="C1124" i="1"/>
  <c r="C1180" i="1"/>
  <c r="D1167" i="1"/>
  <c r="D348" i="1"/>
  <c r="D924" i="1"/>
  <c r="D1145" i="1"/>
  <c r="D379" i="1"/>
  <c r="D1233" i="1"/>
  <c r="D1221" i="1"/>
  <c r="D375" i="1"/>
  <c r="D1250" i="1"/>
  <c r="D848" i="1"/>
  <c r="D992" i="1"/>
  <c r="D1163" i="1"/>
  <c r="D155" i="1"/>
  <c r="D985" i="1"/>
  <c r="D1174" i="1"/>
  <c r="D543" i="1"/>
  <c r="D1187" i="1"/>
  <c r="C912" i="1"/>
  <c r="C707" i="1"/>
  <c r="C502" i="1"/>
  <c r="C297" i="1"/>
  <c r="C92" i="1"/>
  <c r="C1010" i="1"/>
  <c r="C817" i="1"/>
  <c r="C612" i="1"/>
  <c r="C407" i="1"/>
  <c r="C202" i="1"/>
  <c r="C905" i="1"/>
  <c r="C700" i="1"/>
  <c r="C495" i="1"/>
  <c r="C278" i="1"/>
  <c r="C85" i="1"/>
  <c r="C993" i="1"/>
  <c r="C788" i="1"/>
  <c r="C583" i="1"/>
  <c r="C378" i="1"/>
  <c r="C173" i="1"/>
  <c r="C876" i="1"/>
  <c r="C671" i="1"/>
  <c r="C466" i="1"/>
  <c r="C261" i="1"/>
  <c r="C56" i="1"/>
  <c r="C964" i="1"/>
  <c r="C759" i="1"/>
  <c r="C542" i="1"/>
  <c r="C349" i="1"/>
  <c r="C144" i="1"/>
  <c r="C847" i="1"/>
  <c r="C642" i="1"/>
  <c r="C437" i="1"/>
  <c r="C232" i="1"/>
  <c r="C27" i="1"/>
  <c r="C935" i="1"/>
  <c r="C730" i="1"/>
  <c r="C525" i="1"/>
  <c r="C320" i="1"/>
  <c r="C115" i="1"/>
  <c r="C1023" i="1"/>
  <c r="C806" i="1"/>
  <c r="C613" i="1"/>
  <c r="C408" i="1"/>
  <c r="C203" i="1"/>
  <c r="C906" i="1"/>
  <c r="C701" i="1"/>
  <c r="C496" i="1"/>
  <c r="C291" i="1"/>
  <c r="C74" i="1"/>
  <c r="C994" i="1"/>
  <c r="C789" i="1"/>
  <c r="C584" i="1"/>
  <c r="C379" i="1"/>
  <c r="C174" i="1"/>
  <c r="C877" i="1"/>
  <c r="C672" i="1"/>
  <c r="C467" i="1"/>
  <c r="C262" i="1"/>
  <c r="C57" i="1"/>
  <c r="C965" i="1"/>
  <c r="C760" i="1"/>
  <c r="C555" i="1"/>
  <c r="C338" i="1"/>
  <c r="C145" i="1"/>
  <c r="C848" i="1"/>
  <c r="C643" i="1"/>
  <c r="C438" i="1"/>
  <c r="C233" i="1"/>
  <c r="C28" i="1"/>
  <c r="C875" i="1"/>
  <c r="C670" i="1"/>
  <c r="C465" i="1"/>
  <c r="C260" i="1"/>
  <c r="C55" i="1"/>
  <c r="C963" i="1"/>
  <c r="C746" i="1"/>
  <c r="C553" i="1"/>
  <c r="C348" i="1"/>
  <c r="C143" i="1"/>
  <c r="C846" i="1"/>
  <c r="C641" i="1"/>
  <c r="C436" i="1"/>
  <c r="C231" i="1"/>
  <c r="C1163" i="1"/>
  <c r="C1195" i="1"/>
  <c r="C1127" i="1"/>
  <c r="C651" i="1"/>
  <c r="C1064" i="1"/>
  <c r="C1154" i="1"/>
  <c r="C629" i="1"/>
  <c r="C1221" i="1"/>
  <c r="C1099" i="1"/>
  <c r="C1108" i="1"/>
  <c r="C1095" i="1"/>
  <c r="C258" i="1"/>
  <c r="C1212" i="1"/>
  <c r="C1126" i="1"/>
  <c r="C1176" i="1"/>
  <c r="C1082" i="1"/>
  <c r="C939" i="1"/>
  <c r="C1133" i="1"/>
  <c r="C1088" i="1"/>
  <c r="C1105" i="1"/>
  <c r="D655" i="1"/>
  <c r="D1131" i="1"/>
  <c r="D1099" i="1"/>
  <c r="D960" i="1"/>
  <c r="D1048" i="1"/>
  <c r="D1130" i="1"/>
  <c r="D231" i="1"/>
  <c r="D606" i="1"/>
  <c r="D262" i="1"/>
  <c r="D216" i="1"/>
  <c r="D1240" i="1"/>
  <c r="D680" i="1"/>
  <c r="D1183" i="1"/>
  <c r="D519" i="1"/>
  <c r="C973" i="1"/>
  <c r="C768" i="1"/>
  <c r="C563" i="1"/>
  <c r="C358" i="1"/>
  <c r="C153" i="1"/>
  <c r="C866" i="1"/>
  <c r="C673" i="1"/>
  <c r="C468" i="1"/>
  <c r="C263" i="1"/>
  <c r="C58" i="1"/>
  <c r="C966" i="1"/>
  <c r="C761" i="1"/>
  <c r="C556" i="1"/>
  <c r="C351" i="1"/>
  <c r="C134" i="1"/>
  <c r="C849" i="1"/>
  <c r="C644" i="1"/>
  <c r="C439" i="1"/>
  <c r="C234" i="1"/>
  <c r="C29" i="1"/>
  <c r="C937" i="1"/>
  <c r="C732" i="1"/>
  <c r="C527" i="1"/>
  <c r="C322" i="1"/>
  <c r="C117" i="1"/>
  <c r="C1025" i="1"/>
  <c r="C820" i="1"/>
  <c r="C615" i="1"/>
  <c r="C398" i="1"/>
  <c r="C205" i="1"/>
  <c r="C908" i="1"/>
  <c r="C703" i="1"/>
  <c r="C498" i="1"/>
  <c r="C293" i="1"/>
  <c r="C88" i="1"/>
  <c r="C996" i="1"/>
  <c r="C791" i="1"/>
  <c r="C586" i="1"/>
  <c r="C381" i="1"/>
  <c r="C176" i="1"/>
  <c r="C879" i="1"/>
  <c r="C662" i="1"/>
  <c r="C469" i="1"/>
  <c r="C264" i="1"/>
  <c r="C59" i="1"/>
  <c r="C967" i="1"/>
  <c r="C762" i="1"/>
  <c r="C557" i="1"/>
  <c r="C352" i="1"/>
  <c r="C147" i="1"/>
  <c r="C850" i="1"/>
  <c r="C645" i="1"/>
  <c r="C440" i="1"/>
  <c r="C235" i="1"/>
  <c r="C30" i="1"/>
  <c r="C926" i="1"/>
  <c r="C733" i="1"/>
  <c r="C528" i="1"/>
  <c r="C323" i="1"/>
  <c r="C118" i="1"/>
  <c r="C1026" i="1"/>
  <c r="C821" i="1"/>
  <c r="C616" i="1"/>
  <c r="C411" i="1"/>
  <c r="C194" i="1"/>
  <c r="C909" i="1"/>
  <c r="C704" i="1"/>
  <c r="C499" i="1"/>
  <c r="C294" i="1"/>
  <c r="C89" i="1"/>
  <c r="C936" i="1"/>
  <c r="C731" i="1"/>
  <c r="C526" i="1"/>
  <c r="C321" i="1"/>
  <c r="C116" i="1"/>
  <c r="C1024" i="1"/>
  <c r="C819" i="1"/>
  <c r="C602" i="1"/>
  <c r="C409" i="1"/>
  <c r="C204" i="1"/>
  <c r="C907" i="1"/>
  <c r="C702" i="1"/>
  <c r="C497" i="1"/>
  <c r="C292" i="1"/>
  <c r="C87" i="1"/>
  <c r="C1051" i="1"/>
  <c r="C1155" i="1"/>
  <c r="C507" i="1"/>
  <c r="C1248" i="1"/>
  <c r="C424" i="1"/>
  <c r="C1217" i="1"/>
  <c r="C1138" i="1"/>
  <c r="C1149" i="1"/>
  <c r="C1068" i="1"/>
  <c r="C1096" i="1"/>
  <c r="C1231" i="1"/>
  <c r="C1164" i="1"/>
  <c r="C1058" i="1"/>
  <c r="C1112" i="1"/>
  <c r="C1132" i="1"/>
  <c r="D1239" i="1"/>
  <c r="D555" i="1"/>
  <c r="D1205" i="1"/>
  <c r="D609" i="1"/>
  <c r="D301" i="1"/>
  <c r="D582" i="1"/>
  <c r="D1126" i="1"/>
  <c r="D741" i="1"/>
  <c r="D1154" i="1"/>
  <c r="D172" i="1"/>
  <c r="D1085" i="1"/>
  <c r="D1198" i="1"/>
  <c r="D875" i="1"/>
  <c r="D1184" i="1"/>
  <c r="D894" i="1"/>
  <c r="D565" i="1"/>
  <c r="C1022" i="1"/>
  <c r="C829" i="1"/>
  <c r="C624" i="1"/>
  <c r="C419" i="1"/>
  <c r="C214" i="1"/>
  <c r="C9" i="1"/>
  <c r="C722" i="1"/>
  <c r="C529" i="1"/>
  <c r="C324" i="1"/>
  <c r="C119" i="1"/>
  <c r="C1027" i="1"/>
  <c r="C822" i="1"/>
  <c r="C617" i="1"/>
  <c r="C412" i="1"/>
  <c r="C207" i="1"/>
  <c r="C910" i="1"/>
  <c r="C705" i="1"/>
  <c r="C500" i="1"/>
  <c r="C295" i="1"/>
  <c r="C90" i="1"/>
  <c r="C986" i="1"/>
  <c r="C793" i="1"/>
  <c r="C588" i="1"/>
  <c r="C383" i="1"/>
  <c r="C178" i="1"/>
  <c r="C881" i="1"/>
  <c r="C676" i="1"/>
  <c r="C471" i="1"/>
  <c r="C254" i="1"/>
  <c r="C61" i="1"/>
  <c r="C969" i="1"/>
  <c r="C764" i="1"/>
  <c r="C559" i="1"/>
  <c r="C354" i="1"/>
  <c r="C149" i="1"/>
  <c r="C852" i="1"/>
  <c r="C647" i="1"/>
  <c r="C442" i="1"/>
  <c r="C237" i="1"/>
  <c r="C32" i="1"/>
  <c r="C940" i="1"/>
  <c r="C735" i="1"/>
  <c r="C518" i="1"/>
  <c r="C325" i="1"/>
  <c r="C120" i="1"/>
  <c r="C1028" i="1"/>
  <c r="C823" i="1"/>
  <c r="C618" i="1"/>
  <c r="C413" i="1"/>
  <c r="C208" i="1"/>
  <c r="C3" i="1"/>
  <c r="C911" i="1"/>
  <c r="C706" i="1"/>
  <c r="C501" i="1"/>
  <c r="C296" i="1"/>
  <c r="C91" i="1"/>
  <c r="C999" i="1"/>
  <c r="C782" i="1"/>
  <c r="C589" i="1"/>
  <c r="C384" i="1"/>
  <c r="C179" i="1"/>
  <c r="C882" i="1"/>
  <c r="C677" i="1"/>
  <c r="C472" i="1"/>
  <c r="C267" i="1"/>
  <c r="C50" i="1"/>
  <c r="C970" i="1"/>
  <c r="C765" i="1"/>
  <c r="C560" i="1"/>
  <c r="C355" i="1"/>
  <c r="C150" i="1"/>
  <c r="C997" i="1"/>
  <c r="C792" i="1"/>
  <c r="C587" i="1"/>
  <c r="C382" i="1"/>
  <c r="C177" i="1"/>
  <c r="C880" i="1"/>
  <c r="C675" i="1"/>
  <c r="C458" i="1"/>
  <c r="C265" i="1"/>
  <c r="C60" i="1"/>
  <c r="C968" i="1"/>
  <c r="C763" i="1"/>
  <c r="C558" i="1"/>
  <c r="C353" i="1"/>
  <c r="C148" i="1"/>
  <c r="C1079" i="1"/>
  <c r="C1116" i="1"/>
  <c r="C1171" i="1"/>
  <c r="C1104" i="1"/>
  <c r="C1215" i="1"/>
  <c r="C219" i="1"/>
  <c r="C1196" i="1"/>
  <c r="C1073" i="1"/>
  <c r="C1160" i="1"/>
  <c r="C1242" i="1"/>
  <c r="C1148" i="1"/>
  <c r="C1197" i="1"/>
  <c r="C1123" i="1"/>
  <c r="C1227" i="1"/>
  <c r="C1200" i="1"/>
  <c r="C1087" i="1"/>
  <c r="C1191" i="1"/>
  <c r="C1247" i="1"/>
  <c r="C1219" i="1"/>
  <c r="C1250" i="1"/>
  <c r="D1208" i="1"/>
  <c r="D553" i="1"/>
  <c r="D631" i="1"/>
  <c r="D1057" i="1"/>
  <c r="D123" i="1"/>
  <c r="D438" i="1"/>
  <c r="D277" i="1"/>
  <c r="D846" i="1"/>
  <c r="D990" i="1"/>
  <c r="D1242" i="1"/>
  <c r="D145" i="1"/>
  <c r="D1226" i="1"/>
  <c r="D726" i="1"/>
  <c r="D1244" i="1"/>
  <c r="D1050" i="1"/>
  <c r="D314" i="1"/>
  <c r="C878" i="1"/>
  <c r="C685" i="1"/>
  <c r="C480" i="1"/>
  <c r="C275" i="1"/>
  <c r="C70" i="1"/>
  <c r="C578" i="1"/>
  <c r="C385" i="1"/>
  <c r="C180" i="1"/>
  <c r="C883" i="1"/>
  <c r="C678" i="1"/>
  <c r="C473" i="1"/>
  <c r="C268" i="1"/>
  <c r="C63" i="1"/>
  <c r="C971" i="1"/>
  <c r="C766" i="1"/>
  <c r="C561" i="1"/>
  <c r="C356" i="1"/>
  <c r="C151" i="1"/>
  <c r="C842" i="1"/>
  <c r="C649" i="1"/>
  <c r="C444" i="1"/>
  <c r="C239" i="1"/>
  <c r="C34" i="1"/>
  <c r="C942" i="1"/>
  <c r="C737" i="1"/>
  <c r="C532" i="1"/>
  <c r="C327" i="1"/>
  <c r="C110" i="1"/>
  <c r="C1030" i="1"/>
  <c r="C825" i="1"/>
  <c r="C620" i="1"/>
  <c r="C415" i="1"/>
  <c r="C210" i="1"/>
  <c r="C5" i="1"/>
  <c r="C913" i="1"/>
  <c r="C708" i="1"/>
  <c r="C503" i="1"/>
  <c r="C298" i="1"/>
  <c r="C93" i="1"/>
  <c r="C1001" i="1"/>
  <c r="C796" i="1"/>
  <c r="C591" i="1"/>
  <c r="C374" i="1"/>
  <c r="C181" i="1"/>
  <c r="C884" i="1"/>
  <c r="C679" i="1"/>
  <c r="C474" i="1"/>
  <c r="C269" i="1"/>
  <c r="C64" i="1"/>
  <c r="C972" i="1"/>
  <c r="C767" i="1"/>
  <c r="C562" i="1"/>
  <c r="C357" i="1"/>
  <c r="C152" i="1"/>
  <c r="C855" i="1"/>
  <c r="C638" i="1"/>
  <c r="C445" i="1"/>
  <c r="C240" i="1"/>
  <c r="C35" i="1"/>
  <c r="C943" i="1"/>
  <c r="C738" i="1"/>
  <c r="C533" i="1"/>
  <c r="C328" i="1"/>
  <c r="C123" i="1"/>
  <c r="C1031" i="1"/>
  <c r="C826" i="1"/>
  <c r="C621" i="1"/>
  <c r="C416" i="1"/>
  <c r="C211" i="1"/>
  <c r="C6" i="1"/>
  <c r="C1046" i="1"/>
  <c r="C853" i="1"/>
  <c r="C648" i="1"/>
  <c r="C443" i="1"/>
  <c r="C238" i="1"/>
  <c r="C33" i="1"/>
  <c r="C941" i="1"/>
  <c r="C736" i="1"/>
  <c r="C531" i="1"/>
  <c r="C314" i="1"/>
  <c r="C121" i="1"/>
  <c r="C1029" i="1"/>
  <c r="C824" i="1"/>
  <c r="C619" i="1"/>
  <c r="C414" i="1"/>
  <c r="C209" i="1"/>
  <c r="C4" i="1"/>
  <c r="C1198" i="1"/>
  <c r="C1128" i="1"/>
  <c r="C1120" i="1"/>
  <c r="C1055" i="1"/>
  <c r="C1159" i="1"/>
  <c r="C1189" i="1"/>
  <c r="C1052" i="1"/>
  <c r="C1070" i="1"/>
  <c r="C1177" i="1"/>
  <c r="C1162" i="1"/>
  <c r="C1098" i="1"/>
  <c r="C1213" i="1"/>
  <c r="C1072" i="1"/>
  <c r="C1083" i="1"/>
  <c r="C1056" i="1"/>
  <c r="C1187" i="1"/>
  <c r="C1178" i="1"/>
  <c r="C1047" i="1"/>
  <c r="C1245" i="1"/>
  <c r="C1075" i="1"/>
  <c r="C1179" i="1"/>
  <c r="C712" i="1"/>
  <c r="C1152" i="1"/>
  <c r="C1077" i="1"/>
  <c r="D82" i="1"/>
  <c r="D1109" i="1"/>
  <c r="D350" i="1"/>
  <c r="D697" i="1"/>
  <c r="D999" i="1"/>
  <c r="D802" i="1"/>
  <c r="D629" i="1"/>
  <c r="D834" i="1"/>
  <c r="D1162" i="1"/>
  <c r="D260" i="1"/>
  <c r="D404" i="1"/>
  <c r="D423" i="1"/>
  <c r="D140" i="1"/>
  <c r="D280" i="1"/>
  <c r="D772" i="1"/>
  <c r="C734" i="1"/>
  <c r="C541" i="1"/>
  <c r="C336" i="1"/>
  <c r="C131" i="1"/>
  <c r="C1039" i="1"/>
  <c r="C434" i="1"/>
  <c r="C241" i="1"/>
  <c r="C36" i="1"/>
  <c r="C944" i="1"/>
  <c r="C739" i="1"/>
  <c r="C534" i="1"/>
  <c r="C329" i="1"/>
  <c r="C124" i="1"/>
  <c r="C1032" i="1"/>
  <c r="C827" i="1"/>
  <c r="C622" i="1"/>
  <c r="C417" i="1"/>
  <c r="C212" i="1"/>
  <c r="C7" i="1"/>
  <c r="C915" i="1"/>
  <c r="C698" i="1"/>
  <c r="C505" i="1"/>
  <c r="C300" i="1"/>
  <c r="C95" i="1"/>
  <c r="C1003" i="1"/>
  <c r="C798" i="1"/>
  <c r="C593" i="1"/>
  <c r="C388" i="1"/>
  <c r="C183" i="1"/>
  <c r="C886" i="1"/>
  <c r="C681" i="1"/>
  <c r="C476" i="1"/>
  <c r="C271" i="1"/>
  <c r="C66" i="1"/>
  <c r="C962" i="1"/>
  <c r="C769" i="1"/>
  <c r="C564" i="1"/>
  <c r="C359" i="1"/>
  <c r="C154" i="1"/>
  <c r="C857" i="1"/>
  <c r="C652" i="1"/>
  <c r="C447" i="1"/>
  <c r="C230" i="1"/>
  <c r="C37" i="1"/>
  <c r="C945" i="1"/>
  <c r="C740" i="1"/>
  <c r="C535" i="1"/>
  <c r="C330" i="1"/>
  <c r="C125" i="1"/>
  <c r="C1033" i="1"/>
  <c r="C828" i="1"/>
  <c r="C623" i="1"/>
  <c r="C418" i="1"/>
  <c r="C213" i="1"/>
  <c r="C8" i="1"/>
  <c r="C916" i="1"/>
  <c r="C711" i="1"/>
  <c r="C494" i="1"/>
  <c r="C301" i="1"/>
  <c r="C96" i="1"/>
  <c r="C1004" i="1"/>
  <c r="C799" i="1"/>
  <c r="C594" i="1"/>
  <c r="C389" i="1"/>
  <c r="C184" i="1"/>
  <c r="C887" i="1"/>
  <c r="C682" i="1"/>
  <c r="C477" i="1"/>
  <c r="C272" i="1"/>
  <c r="C67" i="1"/>
  <c r="C975" i="1"/>
  <c r="C902" i="1"/>
  <c r="C709" i="1"/>
  <c r="C504" i="1"/>
  <c r="C299" i="1"/>
  <c r="C94" i="1"/>
  <c r="C1002" i="1"/>
  <c r="C797" i="1"/>
  <c r="C592" i="1"/>
  <c r="C387" i="1"/>
  <c r="C170" i="1"/>
  <c r="C885" i="1"/>
  <c r="C680" i="1"/>
  <c r="C475" i="1"/>
  <c r="C270" i="1"/>
  <c r="C65" i="1"/>
  <c r="C1222" i="1"/>
  <c r="C1158" i="1"/>
  <c r="C1220" i="1"/>
  <c r="C1115" i="1"/>
  <c r="C1204" i="1"/>
  <c r="C1119" i="1"/>
  <c r="C53" i="1"/>
  <c r="C1236" i="1"/>
  <c r="C1192" i="1"/>
  <c r="C1094" i="1"/>
  <c r="C690" i="1"/>
  <c r="C1238" i="1"/>
  <c r="C1069" i="1"/>
  <c r="C1101" i="1"/>
  <c r="C1106" i="1"/>
  <c r="C1089" i="1"/>
  <c r="C1076" i="1"/>
  <c r="C1151" i="1"/>
  <c r="C1130" i="1"/>
  <c r="C1091" i="1"/>
  <c r="C1211" i="1"/>
  <c r="C1207" i="1"/>
  <c r="C1117" i="1"/>
  <c r="D219" i="1"/>
  <c r="D1019" i="1"/>
  <c r="D1135" i="1"/>
  <c r="D887" i="1"/>
  <c r="D760" i="1"/>
  <c r="D1105" i="1"/>
  <c r="D1088" i="1"/>
  <c r="D436" i="1"/>
  <c r="D580" i="1"/>
  <c r="D777" i="1"/>
  <c r="D258" i="1"/>
  <c r="D1124" i="1"/>
  <c r="D948" i="1"/>
  <c r="D1141" i="1"/>
  <c r="D604" i="1"/>
  <c r="D1175" i="1"/>
  <c r="D1076" i="1"/>
  <c r="D533" i="1"/>
  <c r="C590" i="1"/>
  <c r="C397" i="1"/>
  <c r="C192" i="1"/>
  <c r="C895" i="1"/>
  <c r="C290" i="1"/>
  <c r="C97" i="1"/>
  <c r="C1005" i="1"/>
  <c r="C800" i="1"/>
  <c r="C595" i="1"/>
  <c r="C390" i="1"/>
  <c r="C185" i="1"/>
  <c r="C888" i="1"/>
  <c r="C683" i="1"/>
  <c r="C478" i="1"/>
  <c r="C273" i="1"/>
  <c r="C68" i="1"/>
  <c r="C976" i="1"/>
  <c r="C771" i="1"/>
  <c r="C554" i="1"/>
  <c r="C361" i="1"/>
  <c r="C156" i="1"/>
  <c r="C859" i="1"/>
  <c r="C654" i="1"/>
  <c r="C449" i="1"/>
  <c r="C244" i="1"/>
  <c r="C39" i="1"/>
  <c r="C947" i="1"/>
  <c r="C742" i="1"/>
  <c r="C537" i="1"/>
  <c r="C332" i="1"/>
  <c r="C127" i="1"/>
  <c r="C1035" i="1"/>
  <c r="C818" i="1"/>
  <c r="C625" i="1"/>
  <c r="C420" i="1"/>
  <c r="C215" i="1"/>
  <c r="C10" i="1"/>
  <c r="C918" i="1"/>
  <c r="C713" i="1"/>
  <c r="C508" i="1"/>
  <c r="C303" i="1"/>
  <c r="C86" i="1"/>
  <c r="C1006" i="1"/>
  <c r="C801" i="1"/>
  <c r="C596" i="1"/>
  <c r="C391" i="1"/>
  <c r="C186" i="1"/>
  <c r="C889" i="1"/>
  <c r="C684" i="1"/>
  <c r="C479" i="1"/>
  <c r="C274" i="1"/>
  <c r="C69" i="1"/>
  <c r="C977" i="1"/>
  <c r="C772" i="1"/>
  <c r="C567" i="1"/>
  <c r="C350" i="1"/>
  <c r="C157" i="1"/>
  <c r="C860" i="1"/>
  <c r="C655" i="1"/>
  <c r="C450" i="1"/>
  <c r="C245" i="1"/>
  <c r="C40" i="1"/>
  <c r="C948" i="1"/>
  <c r="C743" i="1"/>
  <c r="C538" i="1"/>
  <c r="C333" i="1"/>
  <c r="C128" i="1"/>
  <c r="C1036" i="1"/>
  <c r="C831" i="1"/>
  <c r="C758" i="1"/>
  <c r="C565" i="1"/>
  <c r="C360" i="1"/>
  <c r="C155" i="1"/>
  <c r="C858" i="1"/>
  <c r="C653" i="1"/>
  <c r="C448" i="1"/>
  <c r="C243" i="1"/>
  <c r="C26" i="1"/>
  <c r="C946" i="1"/>
  <c r="C741" i="1"/>
  <c r="C536" i="1"/>
  <c r="C331" i="1"/>
  <c r="C126" i="1"/>
  <c r="C1078" i="1"/>
  <c r="C1216" i="1"/>
  <c r="C1129" i="1"/>
  <c r="C1066" i="1"/>
  <c r="C1209" i="1"/>
  <c r="C1223" i="1"/>
  <c r="C1092" i="1"/>
  <c r="C485" i="1"/>
  <c r="C1161" i="1"/>
  <c r="C1233" i="1"/>
  <c r="C1203" i="1"/>
  <c r="C1230" i="1"/>
  <c r="C1188" i="1"/>
  <c r="C1194" i="1"/>
  <c r="C1054" i="1"/>
  <c r="C1063" i="1"/>
  <c r="C1167" i="1"/>
  <c r="C917" i="1"/>
  <c r="D201" i="1"/>
  <c r="D1180" i="1"/>
  <c r="D856" i="1"/>
  <c r="D853" i="1"/>
  <c r="D174" i="1"/>
  <c r="D1176" i="1"/>
  <c r="D233" i="1"/>
  <c r="D838" i="1"/>
  <c r="D1152" i="1"/>
  <c r="D467" i="1"/>
  <c r="D1212" i="1"/>
  <c r="D1034" i="1"/>
  <c r="D877" i="1"/>
  <c r="D94" i="1"/>
  <c r="D1074" i="1"/>
  <c r="D18" i="1"/>
  <c r="D1238" i="1"/>
  <c r="C446" i="1"/>
  <c r="C253" i="1"/>
  <c r="C48" i="1"/>
  <c r="C956" i="1"/>
  <c r="C751" i="1"/>
  <c r="C146" i="1"/>
  <c r="C861" i="1"/>
  <c r="C656" i="1"/>
  <c r="C451" i="1"/>
  <c r="C246" i="1"/>
  <c r="C41" i="1"/>
  <c r="C949" i="1"/>
  <c r="C744" i="1"/>
  <c r="C539" i="1"/>
  <c r="C334" i="1"/>
  <c r="C129" i="1"/>
  <c r="C1037" i="1"/>
  <c r="C832" i="1"/>
  <c r="C627" i="1"/>
  <c r="C410" i="1"/>
  <c r="C217" i="1"/>
  <c r="C12" i="1"/>
  <c r="C920" i="1"/>
  <c r="C715" i="1"/>
  <c r="C510" i="1"/>
  <c r="C305" i="1"/>
  <c r="C100" i="1"/>
  <c r="C1008" i="1"/>
  <c r="C803" i="1"/>
  <c r="C598" i="1"/>
  <c r="C393" i="1"/>
  <c r="C188" i="1"/>
  <c r="C891" i="1"/>
  <c r="C674" i="1"/>
  <c r="C481" i="1"/>
  <c r="C276" i="1"/>
  <c r="C71" i="1"/>
  <c r="C979" i="1"/>
  <c r="C774" i="1"/>
  <c r="C569" i="1"/>
  <c r="C364" i="1"/>
  <c r="C159" i="1"/>
  <c r="C862" i="1"/>
  <c r="C657" i="1"/>
  <c r="C452" i="1"/>
  <c r="C247" i="1"/>
  <c r="C42" i="1"/>
  <c r="C938" i="1"/>
  <c r="C745" i="1"/>
  <c r="C540" i="1"/>
  <c r="C335" i="1"/>
  <c r="C130" i="1"/>
  <c r="C1038" i="1"/>
  <c r="C833" i="1"/>
  <c r="C628" i="1"/>
  <c r="C423" i="1"/>
  <c r="C206" i="1"/>
  <c r="C13" i="1"/>
  <c r="C921" i="1"/>
  <c r="C716" i="1"/>
  <c r="C511" i="1"/>
  <c r="C306" i="1"/>
  <c r="C101" i="1"/>
  <c r="C1009" i="1"/>
  <c r="C804" i="1"/>
  <c r="C599" i="1"/>
  <c r="C394" i="1"/>
  <c r="C189" i="1"/>
  <c r="C892" i="1"/>
  <c r="C687" i="1"/>
  <c r="C614" i="1"/>
  <c r="C421" i="1"/>
  <c r="C216" i="1"/>
  <c r="C11" i="1"/>
  <c r="C919" i="1"/>
  <c r="C714" i="1"/>
  <c r="C509" i="1"/>
  <c r="C304" i="1"/>
  <c r="C99" i="1"/>
  <c r="C1007" i="1"/>
  <c r="C802" i="1"/>
  <c r="C597" i="1"/>
  <c r="C392" i="1"/>
  <c r="C187" i="1"/>
  <c r="C1175" i="1"/>
  <c r="C1147" i="1"/>
  <c r="C1202" i="1"/>
  <c r="C280" i="1"/>
  <c r="C1205" i="1"/>
  <c r="C1150" i="1"/>
  <c r="C1086" i="1"/>
  <c r="C1201" i="1"/>
  <c r="C1206" i="1"/>
  <c r="C1114" i="1"/>
  <c r="C1050" i="1"/>
  <c r="C1165" i="1"/>
  <c r="C1226" i="1"/>
  <c r="C1246" i="1"/>
  <c r="C1182" i="1"/>
  <c r="C1137" i="1"/>
  <c r="C1139" i="1"/>
  <c r="C1125" i="1"/>
  <c r="D1108" i="1"/>
  <c r="D23" i="1"/>
  <c r="D753" i="1"/>
  <c r="D287" i="1"/>
  <c r="D792" i="1"/>
  <c r="D1117" i="1"/>
  <c r="D667" i="1"/>
  <c r="D890" i="1"/>
  <c r="D1047" i="1"/>
  <c r="D643" i="1"/>
  <c r="D939" i="1"/>
  <c r="D787" i="1"/>
  <c r="D448" i="1"/>
  <c r="D1064" i="1"/>
  <c r="D363" i="1"/>
  <c r="D955" i="1"/>
  <c r="D614" i="1"/>
  <c r="D1115" i="1"/>
  <c r="D1087" i="1"/>
  <c r="C302" i="1"/>
  <c r="C109" i="1"/>
  <c r="C1017" i="1"/>
  <c r="C812" i="1"/>
  <c r="C607" i="1"/>
  <c r="C2" i="1"/>
  <c r="C922" i="1"/>
  <c r="C717" i="1"/>
  <c r="C512" i="1"/>
  <c r="C307" i="1"/>
  <c r="C102" i="1"/>
  <c r="C998" i="1"/>
  <c r="C805" i="1"/>
  <c r="C600" i="1"/>
  <c r="C395" i="1"/>
  <c r="C190" i="1"/>
  <c r="C893" i="1"/>
  <c r="C688" i="1"/>
  <c r="C483" i="1"/>
  <c r="C266" i="1"/>
  <c r="C73" i="1"/>
  <c r="C981" i="1"/>
  <c r="C776" i="1"/>
  <c r="C571" i="1"/>
  <c r="C366" i="1"/>
  <c r="C161" i="1"/>
  <c r="C864" i="1"/>
  <c r="C659" i="1"/>
  <c r="C454" i="1"/>
  <c r="C249" i="1"/>
  <c r="C44" i="1"/>
  <c r="C952" i="1"/>
  <c r="C747" i="1"/>
  <c r="C530" i="1"/>
  <c r="C337" i="1"/>
  <c r="C132" i="1"/>
  <c r="C1040" i="1"/>
  <c r="C835" i="1"/>
  <c r="C630" i="1"/>
  <c r="C425" i="1"/>
  <c r="C220" i="1"/>
  <c r="C15" i="1"/>
  <c r="C923" i="1"/>
  <c r="C718" i="1"/>
  <c r="C513" i="1"/>
  <c r="C308" i="1"/>
  <c r="C103" i="1"/>
  <c r="C1011" i="1"/>
  <c r="C794" i="1"/>
  <c r="C601" i="1"/>
  <c r="C396" i="1"/>
  <c r="C191" i="1"/>
  <c r="C894" i="1"/>
  <c r="C689" i="1"/>
  <c r="C484" i="1"/>
  <c r="C279" i="1"/>
  <c r="C62" i="1"/>
  <c r="C982" i="1"/>
  <c r="C777" i="1"/>
  <c r="C572" i="1"/>
  <c r="C367" i="1"/>
  <c r="C162" i="1"/>
  <c r="C865" i="1"/>
  <c r="C660" i="1"/>
  <c r="C455" i="1"/>
  <c r="C250" i="1"/>
  <c r="C45" i="1"/>
  <c r="C953" i="1"/>
  <c r="C748" i="1"/>
  <c r="C543" i="1"/>
  <c r="C470" i="1"/>
  <c r="C277" i="1"/>
  <c r="C72" i="1"/>
  <c r="C980" i="1"/>
  <c r="C775" i="1"/>
  <c r="C570" i="1"/>
  <c r="C365" i="1"/>
  <c r="C160" i="1"/>
  <c r="C863" i="1"/>
  <c r="C658" i="1"/>
  <c r="C453" i="1"/>
  <c r="C248" i="1"/>
  <c r="C43" i="1"/>
  <c r="C951" i="1"/>
  <c r="C1000" i="1"/>
  <c r="C1131" i="1"/>
  <c r="C1241" i="1"/>
  <c r="C1186" i="1"/>
  <c r="C1122" i="1"/>
  <c r="C1237" i="1"/>
  <c r="C1243" i="1"/>
  <c r="C1144" i="1"/>
  <c r="C1107" i="1"/>
  <c r="C1053" i="1"/>
  <c r="C75" i="1"/>
  <c r="C1184" i="1"/>
  <c r="C1061" i="1"/>
  <c r="C546" i="1"/>
  <c r="C1166" i="1"/>
  <c r="C1057" i="1"/>
  <c r="C1169" i="1"/>
  <c r="C114" i="1"/>
  <c r="C1102" i="1"/>
  <c r="C1153" i="1"/>
  <c r="C1134" i="1"/>
  <c r="D651" i="1"/>
  <c r="D692" i="1"/>
  <c r="D716" i="1"/>
  <c r="D670" i="1"/>
  <c r="D594" i="1"/>
  <c r="D1195" i="1"/>
  <c r="D570" i="1"/>
  <c r="D1140" i="1"/>
  <c r="D57" i="1"/>
  <c r="D509" i="1"/>
  <c r="D1190" i="1"/>
  <c r="D1222" i="1"/>
  <c r="D1125" i="1"/>
  <c r="C158" i="1"/>
  <c r="C873" i="1"/>
  <c r="C668" i="1"/>
  <c r="C463" i="1"/>
  <c r="C983" i="1"/>
  <c r="C778" i="1"/>
  <c r="C573" i="1"/>
  <c r="C368" i="1"/>
  <c r="C163" i="1"/>
  <c r="C854" i="1"/>
  <c r="C661" i="1"/>
  <c r="C456" i="1"/>
  <c r="C251" i="1"/>
  <c r="C46" i="1"/>
  <c r="C954" i="1"/>
  <c r="C749" i="1"/>
  <c r="C544" i="1"/>
  <c r="C339" i="1"/>
  <c r="C122" i="1"/>
  <c r="C1042" i="1"/>
  <c r="C837" i="1"/>
  <c r="C632" i="1"/>
  <c r="C427" i="1"/>
  <c r="C222" i="1"/>
  <c r="C17" i="1"/>
  <c r="C925" i="1"/>
  <c r="C720" i="1"/>
  <c r="C515" i="1"/>
  <c r="C310" i="1"/>
  <c r="C105" i="1"/>
  <c r="C1013" i="1"/>
  <c r="C808" i="1"/>
  <c r="C603" i="1"/>
  <c r="C386" i="1"/>
  <c r="C193" i="1"/>
  <c r="C896" i="1"/>
  <c r="C691" i="1"/>
  <c r="C486" i="1"/>
  <c r="C281" i="1"/>
  <c r="C76" i="1"/>
  <c r="C984" i="1"/>
  <c r="C779" i="1"/>
  <c r="C574" i="1"/>
  <c r="C369" i="1"/>
  <c r="C164" i="1"/>
  <c r="C867" i="1"/>
  <c r="C650" i="1"/>
  <c r="C457" i="1"/>
  <c r="C252" i="1"/>
  <c r="C47" i="1"/>
  <c r="C955" i="1"/>
  <c r="C750" i="1"/>
  <c r="C545" i="1"/>
  <c r="C340" i="1"/>
  <c r="C135" i="1"/>
  <c r="C1043" i="1"/>
  <c r="C838" i="1"/>
  <c r="C633" i="1"/>
  <c r="C428" i="1"/>
  <c r="C223" i="1"/>
  <c r="C18" i="1"/>
  <c r="C914" i="1"/>
  <c r="C721" i="1"/>
  <c r="C516" i="1"/>
  <c r="C311" i="1"/>
  <c r="C106" i="1"/>
  <c r="C1014" i="1"/>
  <c r="C809" i="1"/>
  <c r="C604" i="1"/>
  <c r="C399" i="1"/>
  <c r="C326" i="1"/>
  <c r="C133" i="1"/>
  <c r="C1041" i="1"/>
  <c r="C836" i="1"/>
  <c r="C631" i="1"/>
  <c r="C426" i="1"/>
  <c r="C221" i="1"/>
  <c r="C16" i="1"/>
  <c r="C924" i="1"/>
  <c r="C719" i="1"/>
  <c r="C514" i="1"/>
  <c r="C309" i="1"/>
  <c r="C104" i="1"/>
  <c r="C1012" i="1"/>
  <c r="C807" i="1"/>
  <c r="C795" i="1"/>
  <c r="C1244" i="1"/>
  <c r="C1121" i="1"/>
  <c r="C1183" i="1"/>
  <c r="C1103" i="1"/>
  <c r="C978" i="1"/>
  <c r="C1060" i="1"/>
  <c r="C1093" i="1"/>
  <c r="C1062" i="1"/>
  <c r="C1113" i="1"/>
  <c r="C1173" i="1"/>
  <c r="C1218" i="1"/>
  <c r="C341" i="1"/>
  <c r="C1065" i="1"/>
  <c r="C1185" i="1"/>
  <c r="C1059" i="1"/>
  <c r="C1210" i="1"/>
  <c r="C1235" i="1"/>
  <c r="C1234" i="1"/>
  <c r="C1170" i="1"/>
  <c r="D143" i="1"/>
  <c r="D1082" i="1"/>
  <c r="D1097" i="1"/>
  <c r="D416" i="1"/>
  <c r="D746" i="1"/>
  <c r="D326" i="1"/>
  <c r="D1164" i="1"/>
  <c r="D1156" i="1"/>
  <c r="D1189" i="1"/>
  <c r="D465" i="1"/>
  <c r="D209" i="1"/>
  <c r="D814" i="1"/>
  <c r="D904" i="1"/>
  <c r="D1053" i="1"/>
  <c r="D833" i="1"/>
  <c r="D504" i="1"/>
  <c r="C14" i="1"/>
  <c r="C934" i="1"/>
  <c r="C729" i="1"/>
  <c r="C524" i="1"/>
  <c r="C319" i="1"/>
  <c r="C1044" i="1"/>
  <c r="C839" i="1"/>
  <c r="C634" i="1"/>
  <c r="C429" i="1"/>
  <c r="C224" i="1"/>
  <c r="C19" i="1"/>
  <c r="C927" i="1"/>
  <c r="C710" i="1"/>
  <c r="C517" i="1"/>
  <c r="C312" i="1"/>
  <c r="C107" i="1"/>
  <c r="C1015" i="1"/>
  <c r="C810" i="1"/>
  <c r="C605" i="1"/>
  <c r="C400" i="1"/>
  <c r="C195" i="1"/>
  <c r="C898" i="1"/>
  <c r="C693" i="1"/>
  <c r="C488" i="1"/>
  <c r="C283" i="1"/>
  <c r="C78" i="1"/>
  <c r="C974" i="1"/>
  <c r="C781" i="1"/>
  <c r="C576" i="1"/>
  <c r="C371" i="1"/>
  <c r="C166" i="1"/>
  <c r="C869" i="1"/>
  <c r="C664" i="1"/>
  <c r="C459" i="1"/>
  <c r="C242" i="1"/>
  <c r="C49" i="1"/>
  <c r="C957" i="1"/>
  <c r="C752" i="1"/>
  <c r="C547" i="1"/>
  <c r="C342" i="1"/>
  <c r="C137" i="1"/>
  <c r="C1045" i="1"/>
  <c r="C840" i="1"/>
  <c r="C635" i="1"/>
  <c r="C430" i="1"/>
  <c r="C225" i="1"/>
  <c r="C20" i="1"/>
  <c r="C928" i="1"/>
  <c r="C723" i="1"/>
  <c r="C506" i="1"/>
  <c r="C313" i="1"/>
  <c r="C108" i="1"/>
  <c r="C1016" i="1"/>
  <c r="C811" i="1"/>
  <c r="C606" i="1"/>
  <c r="C401" i="1"/>
  <c r="C196" i="1"/>
  <c r="C899" i="1"/>
  <c r="C694" i="1"/>
  <c r="C489" i="1"/>
  <c r="C284" i="1"/>
  <c r="C79" i="1"/>
  <c r="C987" i="1"/>
  <c r="C770" i="1"/>
  <c r="C577" i="1"/>
  <c r="C372" i="1"/>
  <c r="C167" i="1"/>
  <c r="C870" i="1"/>
  <c r="C665" i="1"/>
  <c r="C460" i="1"/>
  <c r="C255" i="1"/>
  <c r="C182" i="1"/>
  <c r="C897" i="1"/>
  <c r="C692" i="1"/>
  <c r="C487" i="1"/>
  <c r="C282" i="1"/>
  <c r="C77" i="1"/>
  <c r="C985" i="1"/>
  <c r="C780" i="1"/>
  <c r="C575" i="1"/>
  <c r="C370" i="1"/>
  <c r="C165" i="1"/>
  <c r="C868" i="1"/>
  <c r="C663" i="1"/>
  <c r="C1100" i="1"/>
  <c r="C1168" i="1"/>
  <c r="C1146" i="1"/>
  <c r="C773" i="1"/>
  <c r="C1067" i="1"/>
  <c r="C1142" i="1"/>
  <c r="C1224" i="1"/>
  <c r="C1084" i="1"/>
  <c r="C1181" i="1"/>
  <c r="C136" i="1"/>
  <c r="C1193" i="1"/>
  <c r="C402" i="1"/>
  <c r="C1074" i="1"/>
  <c r="C1157" i="1"/>
  <c r="C1118" i="1"/>
  <c r="C1249" i="1"/>
  <c r="C1090" i="1"/>
  <c r="C1141" i="1"/>
  <c r="D1243" i="1"/>
  <c r="D1093" i="1"/>
  <c r="D492" i="1"/>
  <c r="D50" i="1"/>
  <c r="D28" i="1"/>
  <c r="D863" i="1"/>
  <c r="D1133" i="1"/>
  <c r="D377" i="1"/>
  <c r="D963" i="1"/>
  <c r="D1192" i="1"/>
  <c r="D641" i="1"/>
  <c r="D899" i="1"/>
  <c r="D785" i="1"/>
  <c r="D484" i="1"/>
  <c r="D482" i="1"/>
  <c r="D665" i="1"/>
  <c r="D265" i="1"/>
  <c r="C995" i="1"/>
  <c r="C790" i="1"/>
  <c r="C585" i="1"/>
  <c r="C380" i="1"/>
  <c r="C175" i="1"/>
  <c r="C900" i="1"/>
  <c r="C695" i="1"/>
  <c r="C490" i="1"/>
  <c r="C285" i="1"/>
  <c r="C80" i="1"/>
  <c r="C988" i="1"/>
  <c r="C783" i="1"/>
  <c r="C566" i="1"/>
  <c r="C373" i="1"/>
  <c r="C168" i="1"/>
  <c r="C871" i="1"/>
  <c r="C666" i="1"/>
  <c r="C461" i="1"/>
  <c r="C256" i="1"/>
  <c r="C51" i="1"/>
  <c r="C959" i="1"/>
  <c r="C754" i="1"/>
  <c r="C549" i="1"/>
  <c r="C344" i="1"/>
  <c r="C139" i="1"/>
  <c r="C830" i="1"/>
  <c r="C637" i="1"/>
  <c r="C432" i="1"/>
  <c r="C227" i="1"/>
  <c r="C22" i="1"/>
  <c r="C930" i="1"/>
  <c r="C725" i="1"/>
  <c r="C520" i="1"/>
  <c r="C315" i="1"/>
  <c r="C98" i="1"/>
  <c r="C1018" i="1"/>
  <c r="C813" i="1"/>
  <c r="C608" i="1"/>
  <c r="C403" i="1"/>
  <c r="C198" i="1"/>
  <c r="C901" i="1"/>
  <c r="C696" i="1"/>
  <c r="C491" i="1"/>
  <c r="C286" i="1"/>
  <c r="C81" i="1"/>
  <c r="C989" i="1"/>
  <c r="C784" i="1"/>
  <c r="C579" i="1"/>
  <c r="C362" i="1"/>
  <c r="C169" i="1"/>
  <c r="C872" i="1"/>
  <c r="C667" i="1"/>
  <c r="C462" i="1"/>
  <c r="C257" i="1"/>
  <c r="C52" i="1"/>
  <c r="C960" i="1"/>
  <c r="C755" i="1"/>
  <c r="C550" i="1"/>
  <c r="C345" i="1"/>
  <c r="C140" i="1"/>
  <c r="C843" i="1"/>
  <c r="C626" i="1"/>
  <c r="C433" i="1"/>
  <c r="C228" i="1"/>
  <c r="C23" i="1"/>
  <c r="C931" i="1"/>
  <c r="C726" i="1"/>
  <c r="C521" i="1"/>
  <c r="C316" i="1"/>
  <c r="C111" i="1"/>
  <c r="C38" i="1"/>
  <c r="C958" i="1"/>
  <c r="C753" i="1"/>
  <c r="C548" i="1"/>
  <c r="C343" i="1"/>
  <c r="C138" i="1"/>
  <c r="C1034" i="1"/>
  <c r="C841" i="1"/>
  <c r="C636" i="1"/>
  <c r="C431" i="1"/>
  <c r="C226" i="1"/>
  <c r="C21" i="1"/>
  <c r="C929" i="1"/>
  <c r="C724" i="1"/>
  <c r="C519" i="1"/>
  <c r="C1190" i="1"/>
  <c r="C1143" i="1"/>
  <c r="C568" i="1"/>
  <c r="C1229" i="1"/>
  <c r="C1174" i="1"/>
  <c r="C1110" i="1"/>
  <c r="C1225" i="1"/>
  <c r="C1080" i="1"/>
  <c r="C1214" i="1"/>
  <c r="C1172" i="1"/>
  <c r="C1049" i="1"/>
  <c r="C1111" i="1"/>
  <c r="C197" i="1"/>
  <c r="C1071" i="1"/>
  <c r="C1136" i="1"/>
  <c r="C1228" i="1"/>
  <c r="C1145" i="1"/>
  <c r="C1232" i="1"/>
  <c r="C1199" i="1"/>
  <c r="C1097" i="1"/>
  <c r="D338" i="1"/>
  <c r="D1206" i="1"/>
  <c r="D1127" i="1"/>
  <c r="D255" i="1"/>
  <c r="D387" i="1"/>
  <c r="D965" i="1"/>
  <c r="D1225" i="1"/>
  <c r="D1081" i="1"/>
  <c r="D1083" i="1"/>
  <c r="D55" i="1"/>
  <c r="D545" i="1"/>
  <c r="D1106" i="1"/>
  <c r="D199" i="1"/>
  <c r="D731" i="1"/>
  <c r="D672" i="1"/>
  <c r="D1009" i="1"/>
  <c r="D1095" i="1"/>
  <c r="D316" i="1"/>
  <c r="D197" i="1"/>
  <c r="D79" i="1"/>
  <c r="D1161" i="1"/>
  <c r="D711" i="1"/>
  <c r="D701" i="1"/>
  <c r="D77" i="1"/>
  <c r="D1107" i="1"/>
  <c r="D1038" i="1"/>
  <c r="D709" i="1"/>
  <c r="D906" i="1"/>
  <c r="D282" i="1"/>
  <c r="D1144" i="1"/>
  <c r="D902" i="1"/>
  <c r="D1079" i="1"/>
  <c r="D1169" i="1"/>
  <c r="D511" i="1"/>
  <c r="D170" i="1"/>
  <c r="D1196" i="1"/>
  <c r="D440" i="1"/>
  <c r="D532" i="1"/>
  <c r="D136" i="1"/>
  <c r="D1043" i="1"/>
  <c r="D714" i="1"/>
  <c r="D499" i="1"/>
  <c r="D800" i="1"/>
  <c r="D311" i="1"/>
  <c r="D240" i="1"/>
  <c r="D192" i="1"/>
  <c r="D52" i="1"/>
  <c r="D1211" i="1"/>
  <c r="D1031" i="1"/>
  <c r="D702" i="1"/>
  <c r="D38" i="1"/>
  <c r="D1182" i="1"/>
  <c r="D538" i="1"/>
  <c r="D1029" i="1"/>
  <c r="D1068" i="1"/>
  <c r="D761" i="1"/>
  <c r="D176" i="1"/>
  <c r="D468" i="1"/>
  <c r="D1022" i="1"/>
  <c r="D469" i="1"/>
  <c r="D3" i="1"/>
  <c r="D330" i="1"/>
  <c r="D979" i="1"/>
  <c r="D1013" i="1"/>
  <c r="D830" i="1"/>
  <c r="D378" i="1"/>
  <c r="D595" i="1"/>
  <c r="D956" i="1"/>
  <c r="D457" i="1"/>
  <c r="D81" i="1"/>
  <c r="D708" i="1"/>
  <c r="D39" i="1"/>
  <c r="D693" i="1"/>
  <c r="D317" i="1"/>
  <c r="D212" i="1"/>
  <c r="D861" i="1"/>
  <c r="D723" i="1"/>
  <c r="D347" i="1"/>
  <c r="D230" i="1"/>
  <c r="D891" i="1"/>
  <c r="D925" i="1"/>
  <c r="D754" i="1"/>
  <c r="D278" i="1"/>
  <c r="D444" i="1"/>
  <c r="D784" i="1"/>
  <c r="D320" i="1"/>
  <c r="D537" i="1"/>
  <c r="D366" i="1"/>
  <c r="D605" i="1"/>
  <c r="D229" i="1"/>
  <c r="D124" i="1"/>
  <c r="D601" i="1"/>
  <c r="D635" i="1"/>
  <c r="D259" i="1"/>
  <c r="D764" i="1"/>
  <c r="D217" i="1"/>
  <c r="D837" i="1"/>
  <c r="D666" i="1"/>
  <c r="D324" i="1"/>
  <c r="D895" i="1"/>
  <c r="D191" i="1"/>
  <c r="D225" i="1"/>
  <c r="D727" i="1"/>
  <c r="D267" i="1"/>
  <c r="D1178" i="1"/>
  <c r="D1066" i="1"/>
  <c r="D470" i="1"/>
  <c r="D811" i="1"/>
  <c r="D1110" i="1"/>
  <c r="D344" i="1"/>
  <c r="D808" i="1"/>
  <c r="D743" i="1"/>
  <c r="D1246" i="1"/>
  <c r="D1103" i="1"/>
  <c r="D625" i="1"/>
  <c r="D828" i="1"/>
  <c r="D1030" i="1"/>
  <c r="D429" i="1"/>
  <c r="D952" i="1"/>
  <c r="D383" i="1"/>
  <c r="D154" i="1"/>
  <c r="D300" i="1"/>
  <c r="D997" i="1"/>
  <c r="D1020" i="1"/>
  <c r="D1128" i="1"/>
  <c r="D413" i="1"/>
  <c r="D691" i="1"/>
  <c r="D12" i="1"/>
  <c r="D60" i="1"/>
  <c r="D460" i="1"/>
  <c r="D637" i="1"/>
  <c r="D536" i="1"/>
  <c r="D299" i="1"/>
  <c r="D870" i="1"/>
  <c r="D1194" i="1"/>
  <c r="D458" i="1"/>
  <c r="D759" i="1"/>
  <c r="D1000" i="1"/>
  <c r="D184" i="1"/>
  <c r="D675" i="1"/>
  <c r="D487" i="1"/>
  <c r="D917" i="1"/>
  <c r="D975" i="1"/>
  <c r="D584" i="1"/>
  <c r="D239" i="1"/>
  <c r="D1134" i="1"/>
  <c r="D1227" i="1"/>
  <c r="D827" i="1"/>
  <c r="D1181" i="1"/>
  <c r="D919" i="1"/>
  <c r="D1236" i="1"/>
  <c r="D704" i="1"/>
  <c r="D1039" i="1"/>
  <c r="D516" i="1"/>
  <c r="D187" i="1"/>
  <c r="D445" i="1"/>
  <c r="D116" i="1"/>
  <c r="D684" i="1"/>
  <c r="D843" i="1"/>
  <c r="D514" i="1"/>
  <c r="D443" i="1"/>
  <c r="D425" i="1"/>
  <c r="D841" i="1"/>
  <c r="D381" i="1"/>
  <c r="D762" i="1"/>
  <c r="D147" i="1"/>
  <c r="D916" i="1"/>
  <c r="D42" i="1"/>
  <c r="D281" i="1"/>
  <c r="D964" i="1"/>
  <c r="D327" i="1"/>
  <c r="D998" i="1"/>
  <c r="D203" i="1"/>
  <c r="D454" i="1"/>
  <c r="D903" i="1"/>
  <c r="D471" i="1"/>
  <c r="D798" i="1"/>
  <c r="D319" i="1"/>
  <c r="D933" i="1"/>
  <c r="D501" i="1"/>
  <c r="D876" i="1"/>
  <c r="D190" i="1"/>
  <c r="D815" i="1"/>
  <c r="D698" i="1"/>
  <c r="D803" i="1"/>
  <c r="D910" i="1"/>
  <c r="D983" i="1"/>
  <c r="D1071" i="1"/>
  <c r="D279" i="1"/>
  <c r="D285" i="1"/>
  <c r="D315" i="1"/>
  <c r="D1199" i="1"/>
  <c r="D1098" i="1"/>
  <c r="D422" i="1"/>
  <c r="D1111" i="1"/>
  <c r="D284" i="1"/>
  <c r="D485" i="1"/>
  <c r="D141" i="1"/>
  <c r="D1049" i="1"/>
  <c r="D489" i="1"/>
  <c r="D160" i="1"/>
  <c r="D1077" i="1"/>
  <c r="D318" i="1"/>
  <c r="D1232" i="1"/>
  <c r="D951" i="1"/>
  <c r="D1188" i="1"/>
  <c r="D389" i="1"/>
  <c r="D880" i="1"/>
  <c r="D148" i="1"/>
  <c r="D793" i="1"/>
  <c r="D1166" i="1"/>
  <c r="D921" i="1"/>
  <c r="D592" i="1"/>
  <c r="D1215" i="1"/>
  <c r="D789" i="1"/>
  <c r="D773" i="1"/>
  <c r="D1153" i="1"/>
  <c r="D189" i="1"/>
  <c r="D1123" i="1"/>
  <c r="D118" i="1"/>
  <c r="D534" i="1"/>
  <c r="D1084" i="1"/>
  <c r="D53" i="1"/>
  <c r="D909" i="1"/>
  <c r="D734" i="1"/>
  <c r="D257" i="1"/>
  <c r="D1091" i="1"/>
  <c r="D907" i="1"/>
  <c r="D111" i="1"/>
  <c r="D398" i="1"/>
  <c r="D297" i="1"/>
  <c r="D967" i="1"/>
  <c r="D624" i="1"/>
  <c r="D117" i="1"/>
  <c r="D439" i="1"/>
  <c r="D912" i="1"/>
  <c r="D151" i="1"/>
  <c r="D1005" i="1"/>
  <c r="D867" i="1"/>
  <c r="D491" i="1"/>
  <c r="D27" i="1"/>
  <c r="D913" i="1"/>
  <c r="D244" i="1"/>
  <c r="D73" i="1"/>
  <c r="D312" i="1"/>
  <c r="D973" i="1"/>
  <c r="D357" i="1"/>
  <c r="D342" i="1"/>
  <c r="D510" i="1"/>
  <c r="D544" i="1"/>
  <c r="D373" i="1"/>
  <c r="D441" i="1"/>
  <c r="D63" i="1"/>
  <c r="D540" i="1"/>
  <c r="D779" i="1"/>
  <c r="D403" i="1"/>
  <c r="D93" i="1"/>
  <c r="D947" i="1"/>
  <c r="D776" i="1"/>
  <c r="D1015" i="1"/>
  <c r="D639" i="1"/>
  <c r="D70" i="1"/>
  <c r="D186" i="1"/>
  <c r="D220" i="1"/>
  <c r="D242" i="1"/>
  <c r="D969" i="1"/>
  <c r="D410" i="1"/>
  <c r="D456" i="1"/>
  <c r="D46" i="1"/>
  <c r="D437" i="1"/>
  <c r="D817" i="1"/>
  <c r="D865" i="1"/>
  <c r="D1245" i="1"/>
  <c r="D472" i="1"/>
  <c r="D748" i="1"/>
  <c r="D1129" i="1"/>
  <c r="D677" i="1"/>
  <c r="D988" i="1"/>
  <c r="D1170" i="1"/>
  <c r="D953" i="1"/>
  <c r="D1216" i="1"/>
  <c r="D1056" i="1"/>
  <c r="D882" i="1"/>
  <c r="D380" i="1"/>
  <c r="D1172" i="1"/>
  <c r="D694" i="1"/>
  <c r="D365" i="1"/>
  <c r="D150" i="1"/>
  <c r="D25" i="1"/>
  <c r="D466" i="1"/>
  <c r="D406" i="1"/>
  <c r="D897" i="1"/>
  <c r="D1237" i="1"/>
  <c r="D1063" i="1"/>
  <c r="D353" i="1"/>
  <c r="D408" i="1"/>
  <c r="D500" i="1"/>
  <c r="D165" i="1"/>
  <c r="D797" i="1"/>
  <c r="D994" i="1"/>
  <c r="D1146" i="1"/>
  <c r="D394" i="1"/>
  <c r="D65" i="1"/>
  <c r="D1197" i="1"/>
  <c r="D323" i="1"/>
  <c r="D241" i="1"/>
  <c r="D1118" i="1"/>
  <c r="D721" i="1"/>
  <c r="D392" i="1"/>
  <c r="D638" i="1"/>
  <c r="D321" i="1"/>
  <c r="D391" i="1"/>
  <c r="D996" i="1"/>
  <c r="D351" i="1"/>
  <c r="D673" i="1"/>
  <c r="D703" i="1"/>
  <c r="D14" i="1"/>
  <c r="D1025" i="1"/>
  <c r="D966" i="1"/>
  <c r="D737" i="1"/>
  <c r="D68" i="1"/>
  <c r="D668" i="1"/>
  <c r="D613" i="1"/>
  <c r="D818" i="1"/>
  <c r="D659" i="1"/>
  <c r="D898" i="1"/>
  <c r="D522" i="1"/>
  <c r="D1027" i="1"/>
  <c r="D274" i="1"/>
  <c r="D308" i="1"/>
  <c r="D928" i="1"/>
  <c r="D552" i="1"/>
  <c r="D120" i="1"/>
  <c r="D447" i="1"/>
  <c r="D959" i="1"/>
  <c r="D495" i="1"/>
  <c r="D649" i="1"/>
  <c r="D989" i="1"/>
  <c r="D525" i="1"/>
  <c r="D679" i="1"/>
  <c r="D10" i="1"/>
  <c r="D78" i="1"/>
  <c r="D329" i="1"/>
  <c r="D794" i="1"/>
  <c r="D840" i="1"/>
  <c r="D464" i="1"/>
  <c r="D32" i="1"/>
  <c r="D359" i="1"/>
  <c r="D1008" i="1"/>
  <c r="D1042" i="1"/>
  <c r="D871" i="1"/>
  <c r="D407" i="1"/>
  <c r="D452" i="1"/>
  <c r="D901" i="1"/>
  <c r="D559" i="1"/>
  <c r="D598" i="1"/>
  <c r="D632" i="1"/>
  <c r="D461" i="1"/>
  <c r="D735" i="1"/>
  <c r="D699" i="1"/>
  <c r="D810" i="1"/>
  <c r="D724" i="1"/>
  <c r="D162" i="1"/>
  <c r="D1070" i="1"/>
  <c r="D91" i="1"/>
  <c r="D517" i="1"/>
  <c r="D929" i="1"/>
  <c r="D1059" i="1"/>
  <c r="D367" i="1"/>
  <c r="D26" i="1"/>
  <c r="D1052" i="1"/>
  <c r="D296" i="1"/>
  <c r="D695" i="1"/>
  <c r="D1229" i="1"/>
  <c r="D1234" i="1"/>
  <c r="D1078" i="1"/>
  <c r="D872" i="1"/>
  <c r="D355" i="1"/>
  <c r="D167" i="1"/>
  <c r="D799" i="1"/>
  <c r="D173" i="1"/>
  <c r="D611" i="1"/>
  <c r="D1122" i="1"/>
  <c r="D67" i="1"/>
  <c r="D558" i="1"/>
  <c r="D806" i="1"/>
  <c r="D207" i="1"/>
  <c r="D370" i="1"/>
  <c r="D546" i="1"/>
  <c r="D1002" i="1"/>
  <c r="D883" i="1"/>
  <c r="D135" i="1"/>
  <c r="D1119" i="1"/>
  <c r="D1219" i="1"/>
  <c r="D418" i="1"/>
  <c r="D462" i="1"/>
  <c r="D59" i="1"/>
  <c r="D937" i="1"/>
  <c r="D58" i="1"/>
  <c r="D88" i="1"/>
  <c r="D29" i="1"/>
  <c r="D654" i="1"/>
  <c r="D483" i="1"/>
  <c r="D710" i="1"/>
  <c r="D346" i="1"/>
  <c r="D562" i="1"/>
  <c r="D90" i="1"/>
  <c r="D417" i="1"/>
  <c r="D109" i="1"/>
  <c r="D524" i="1"/>
  <c r="D706" i="1"/>
  <c r="D1033" i="1"/>
  <c r="D159" i="1"/>
  <c r="D386" i="1"/>
  <c r="D22" i="1"/>
  <c r="D554" i="1"/>
  <c r="D395" i="1"/>
  <c r="D634" i="1"/>
  <c r="D790" i="1"/>
  <c r="D358" i="1"/>
  <c r="D480" i="1"/>
  <c r="D596" i="1"/>
  <c r="D630" i="1"/>
  <c r="D664" i="1"/>
  <c r="D288" i="1"/>
  <c r="D588" i="1"/>
  <c r="D915" i="1"/>
  <c r="D41" i="1"/>
  <c r="D607" i="1"/>
  <c r="D618" i="1"/>
  <c r="D945" i="1"/>
  <c r="D71" i="1"/>
  <c r="D105" i="1"/>
  <c r="D993" i="1"/>
  <c r="D561" i="1"/>
  <c r="D253" i="1"/>
  <c r="D535" i="1"/>
  <c r="D181" i="1"/>
  <c r="D885" i="1"/>
  <c r="D1100" i="1"/>
  <c r="D1028" i="1"/>
  <c r="D291" i="1"/>
  <c r="D587" i="1"/>
  <c r="D96" i="1"/>
  <c r="D1203" i="1"/>
  <c r="D658" i="1"/>
  <c r="D2" i="1"/>
  <c r="D801" i="1"/>
  <c r="D388" i="1"/>
  <c r="D523" i="1"/>
  <c r="D310" i="1"/>
  <c r="D781" i="1"/>
  <c r="D273" i="1"/>
  <c r="D328" i="1"/>
  <c r="D733" i="1"/>
  <c r="D942" i="1"/>
  <c r="D551" i="1"/>
  <c r="D567" i="1"/>
  <c r="D481" i="1"/>
  <c r="D1204" i="1"/>
  <c r="D628" i="1"/>
  <c r="D138" i="1"/>
  <c r="D758" i="1"/>
  <c r="D1231" i="1"/>
  <c r="D343" i="1"/>
  <c r="D1113" i="1"/>
  <c r="D831" i="1"/>
  <c r="D224" i="1"/>
  <c r="D1185" i="1"/>
  <c r="D572" i="1"/>
  <c r="D243" i="1"/>
  <c r="D934" i="1"/>
  <c r="D579" i="1"/>
  <c r="D1214" i="1"/>
  <c r="D775" i="1"/>
  <c r="D1092" i="1"/>
  <c r="D712" i="1"/>
  <c r="D560" i="1"/>
  <c r="D950" i="1"/>
  <c r="D372" i="1"/>
  <c r="D43" i="1"/>
  <c r="D1004" i="1"/>
  <c r="D583" i="1"/>
  <c r="D816" i="1"/>
  <c r="D1186" i="1"/>
  <c r="D1054" i="1"/>
  <c r="D272" i="1"/>
  <c r="D763" i="1"/>
  <c r="D1023" i="1"/>
  <c r="D1102" i="1"/>
  <c r="D599" i="1"/>
  <c r="D270" i="1"/>
  <c r="D1148" i="1"/>
  <c r="D528" i="1"/>
  <c r="D275" i="1"/>
  <c r="D1157" i="1"/>
  <c r="D645" i="1"/>
  <c r="D322" i="1"/>
  <c r="D352" i="1"/>
  <c r="D644" i="1"/>
  <c r="D662" i="1"/>
  <c r="D615" i="1"/>
  <c r="D374" i="1"/>
  <c r="D932" i="1"/>
  <c r="D36" i="1"/>
  <c r="D479" i="1"/>
  <c r="D513" i="1"/>
  <c r="D547" i="1"/>
  <c r="D171" i="1"/>
  <c r="D676" i="1"/>
  <c r="D1003" i="1"/>
  <c r="D129" i="1"/>
  <c r="D163" i="1"/>
  <c r="D566" i="1"/>
  <c r="D646" i="1"/>
  <c r="D268" i="1"/>
  <c r="D131" i="1"/>
  <c r="D745" i="1"/>
  <c r="D984" i="1"/>
  <c r="D608" i="1"/>
  <c r="D144" i="1"/>
  <c r="D298" i="1"/>
  <c r="D981" i="1"/>
  <c r="D844" i="1"/>
  <c r="D412" i="1"/>
  <c r="D739" i="1"/>
  <c r="D397" i="1"/>
  <c r="D874" i="1"/>
  <c r="D627" i="1"/>
  <c r="D661" i="1"/>
  <c r="D490" i="1"/>
  <c r="D113" i="1"/>
  <c r="D180" i="1"/>
  <c r="D8" i="1"/>
  <c r="D657" i="1"/>
  <c r="D896" i="1"/>
  <c r="D520" i="1"/>
  <c r="D56" i="1"/>
  <c r="D478" i="1"/>
  <c r="D307" i="1"/>
  <c r="D756" i="1"/>
  <c r="D208" i="1"/>
  <c r="D247" i="1"/>
  <c r="D486" i="1"/>
  <c r="D98" i="1"/>
  <c r="D194" i="1"/>
  <c r="D1191" i="1"/>
  <c r="D421" i="1"/>
  <c r="D750" i="1"/>
  <c r="D474" i="1"/>
  <c r="D926" i="1"/>
  <c r="D682" i="1"/>
  <c r="D652" i="1"/>
  <c r="D869" i="1"/>
  <c r="D127" i="1"/>
  <c r="D356" i="1"/>
  <c r="D188" i="1"/>
  <c r="D1151" i="1"/>
  <c r="D475" i="1"/>
  <c r="D859" i="1"/>
  <c r="D1247" i="1"/>
  <c r="D496" i="1"/>
  <c r="D72" i="1"/>
  <c r="D571" i="1"/>
  <c r="D931" i="1"/>
  <c r="D795" i="1"/>
  <c r="D1114" i="1"/>
  <c r="D40" i="1"/>
  <c r="D531" i="1"/>
  <c r="D1149" i="1"/>
  <c r="D266" i="1"/>
  <c r="D807" i="1"/>
  <c r="D245" i="1"/>
  <c r="D736" i="1"/>
  <c r="D1138" i="1"/>
  <c r="D854" i="1"/>
  <c r="D548" i="1"/>
  <c r="D1062" i="1"/>
  <c r="D1036" i="1"/>
  <c r="D4" i="1"/>
  <c r="D1096" i="1"/>
  <c r="D463" i="1"/>
  <c r="D1132" i="1"/>
  <c r="D108" i="1"/>
  <c r="D568" i="1"/>
  <c r="D1235" i="1"/>
  <c r="D45" i="1"/>
  <c r="D1072" i="1"/>
  <c r="D286" i="1"/>
  <c r="D980" i="1"/>
  <c r="D1223" i="1"/>
  <c r="D1179" i="1"/>
  <c r="D765" i="1"/>
  <c r="D669" i="1"/>
  <c r="D577" i="1"/>
  <c r="D248" i="1"/>
  <c r="D1230" i="1"/>
  <c r="D177" i="1"/>
  <c r="D788" i="1"/>
  <c r="D84" i="1"/>
  <c r="D575" i="1"/>
  <c r="D13" i="1"/>
  <c r="D1104" i="1"/>
  <c r="D722" i="1"/>
  <c r="D1224" i="1"/>
  <c r="D586" i="1"/>
  <c r="D908" i="1"/>
  <c r="D972" i="1"/>
  <c r="D303" i="1"/>
  <c r="D337" i="1"/>
  <c r="D371" i="1"/>
  <c r="D295" i="1"/>
  <c r="D622" i="1"/>
  <c r="D302" i="1"/>
  <c r="D757" i="1"/>
  <c r="D66" i="1"/>
  <c r="D715" i="1"/>
  <c r="D749" i="1"/>
  <c r="D700" i="1"/>
  <c r="D842" i="1"/>
  <c r="D185" i="1"/>
  <c r="D146" i="1"/>
  <c r="D47" i="1"/>
  <c r="D730" i="1"/>
  <c r="D884" i="1"/>
  <c r="D215" i="1"/>
  <c r="D44" i="1"/>
  <c r="D283" i="1"/>
  <c r="D986" i="1"/>
  <c r="D451" i="1"/>
  <c r="D1017" i="1"/>
  <c r="D313" i="1"/>
  <c r="D237" i="1"/>
  <c r="D564" i="1"/>
  <c r="D612" i="1"/>
  <c r="D766" i="1"/>
  <c r="D97" i="1"/>
  <c r="D446" i="1"/>
  <c r="D642" i="1"/>
  <c r="D210" i="1"/>
  <c r="D893" i="1"/>
  <c r="D195" i="1"/>
  <c r="D48" i="1"/>
  <c r="D696" i="1"/>
  <c r="D1035" i="1"/>
  <c r="D936" i="1"/>
  <c r="D1069" i="1"/>
  <c r="D1007" i="1"/>
  <c r="D74" i="1"/>
  <c r="D1171" i="1"/>
  <c r="D206" i="1"/>
  <c r="D1061" i="1"/>
  <c r="D325" i="1"/>
  <c r="D835" i="1"/>
  <c r="D1037" i="1"/>
  <c r="D823" i="1"/>
  <c r="D139" i="1"/>
  <c r="D683" i="1"/>
  <c r="D169" i="1"/>
  <c r="D796" i="1"/>
  <c r="D405" i="1"/>
  <c r="D102" i="1"/>
  <c r="D767" i="1"/>
  <c r="D864" i="1"/>
  <c r="D401" i="1"/>
  <c r="D507" i="1"/>
  <c r="D345" i="1"/>
  <c r="D16" i="1"/>
  <c r="D1202" i="1"/>
  <c r="D977" i="1"/>
  <c r="D1155" i="1"/>
  <c r="D550" i="1"/>
  <c r="D221" i="1"/>
  <c r="D6" i="1"/>
  <c r="D1051" i="1"/>
  <c r="D1012" i="1"/>
  <c r="D450" i="1"/>
  <c r="D941" i="1"/>
  <c r="D1217" i="1"/>
  <c r="D573" i="1"/>
  <c r="D158" i="1"/>
  <c r="D21" i="1"/>
  <c r="D1065" i="1"/>
  <c r="D982" i="1"/>
  <c r="D653" i="1"/>
  <c r="D1112" i="1"/>
  <c r="D1143" i="1"/>
  <c r="D250" i="1"/>
  <c r="D179" i="1"/>
  <c r="D1075" i="1"/>
  <c r="D970" i="1"/>
  <c r="D376" i="1"/>
  <c r="D1021" i="1"/>
  <c r="D1241" i="1"/>
  <c r="D477" i="1"/>
  <c r="D968" i="1"/>
  <c r="D115" i="1"/>
  <c r="D153" i="1"/>
  <c r="D1168" i="1"/>
  <c r="D502" i="1"/>
  <c r="D9" i="1"/>
  <c r="D214" i="1"/>
  <c r="D293" i="1"/>
  <c r="D264" i="1"/>
  <c r="D119" i="1"/>
  <c r="D578" i="1"/>
  <c r="D889" i="1"/>
  <c r="D923" i="1"/>
  <c r="D957" i="1"/>
  <c r="D581" i="1"/>
  <c r="D881" i="1"/>
  <c r="D334" i="1"/>
  <c r="D368" i="1"/>
  <c r="D729" i="1"/>
  <c r="D227" i="1"/>
  <c r="D771" i="1"/>
  <c r="D600" i="1"/>
  <c r="D839" i="1"/>
  <c r="D995" i="1"/>
  <c r="D563" i="1"/>
  <c r="D685" i="1"/>
  <c r="D493" i="1"/>
  <c r="D61" i="1"/>
  <c r="D900" i="1"/>
  <c r="D276" i="1"/>
  <c r="D512" i="1"/>
  <c r="D873" i="1"/>
  <c r="D399" i="1"/>
  <c r="D804" i="1"/>
  <c r="D688" i="1"/>
  <c r="D1046" i="1"/>
  <c r="D125" i="1"/>
  <c r="D340" i="1"/>
  <c r="D133" i="1"/>
  <c r="D75" i="1"/>
  <c r="D204" i="1"/>
  <c r="D742" i="1"/>
  <c r="D809" i="1"/>
  <c r="D1089" i="1"/>
  <c r="D738" i="1"/>
  <c r="D409" i="1"/>
  <c r="D449" i="1"/>
  <c r="D1090" i="1"/>
  <c r="D1014" i="1"/>
  <c r="D943" i="1"/>
  <c r="D602" i="1"/>
  <c r="D832" i="1"/>
  <c r="D755" i="1"/>
  <c r="D426" i="1"/>
  <c r="D1147" i="1"/>
  <c r="D211" i="1"/>
  <c r="D812" i="1"/>
  <c r="D958" i="1"/>
  <c r="D1060" i="1"/>
  <c r="D1139" i="1"/>
  <c r="D414" i="1"/>
  <c r="D650" i="1"/>
  <c r="D226" i="1"/>
  <c r="D341" i="1"/>
  <c r="D858" i="1"/>
  <c r="D1159" i="1"/>
  <c r="D1045" i="1"/>
  <c r="D455" i="1"/>
  <c r="D126" i="1"/>
  <c r="D384" i="1"/>
  <c r="D1228" i="1"/>
  <c r="D770" i="1"/>
  <c r="D453" i="1"/>
  <c r="D382" i="1"/>
  <c r="D289" i="1"/>
  <c r="D780" i="1"/>
  <c r="D556" i="1"/>
  <c r="D829" i="1"/>
  <c r="D1010" i="1"/>
  <c r="D557" i="1"/>
  <c r="D263" i="1"/>
  <c r="D879" i="1"/>
  <c r="D850" i="1"/>
  <c r="D705" i="1"/>
  <c r="D1032" i="1"/>
  <c r="D290" i="1"/>
  <c r="D20" i="1"/>
  <c r="D271" i="1"/>
  <c r="D920" i="1"/>
  <c r="D954" i="1"/>
  <c r="D783" i="1"/>
  <c r="D851" i="1"/>
  <c r="D911" i="1"/>
  <c r="D364" i="1"/>
  <c r="D813" i="1"/>
  <c r="D349" i="1"/>
  <c r="D503" i="1"/>
  <c r="D617" i="1"/>
  <c r="D944" i="1"/>
  <c r="D590" i="1"/>
  <c r="D647" i="1"/>
  <c r="D962" i="1"/>
  <c r="D100" i="1"/>
  <c r="D122" i="1"/>
  <c r="D31" i="1"/>
  <c r="D385" i="1"/>
  <c r="D213" i="1"/>
  <c r="D862" i="1"/>
  <c r="D725" i="1"/>
  <c r="D261" i="1"/>
  <c r="D415" i="1"/>
  <c r="D961" i="1"/>
  <c r="D713" i="1"/>
  <c r="D991" i="1"/>
  <c r="D927" i="1"/>
  <c r="D11" i="1"/>
  <c r="D1209" i="1"/>
  <c r="D769" i="1"/>
  <c r="D402" i="1"/>
  <c r="D223" i="1"/>
  <c r="D152" i="1"/>
  <c r="D476" i="1"/>
  <c r="D428" i="1"/>
  <c r="D99" i="1"/>
  <c r="D690" i="1"/>
  <c r="D156" i="1"/>
  <c r="D1249" i="1"/>
  <c r="D819" i="1"/>
  <c r="D539" i="1"/>
  <c r="D87" i="1"/>
  <c r="D922" i="1"/>
  <c r="D228" i="1"/>
  <c r="D1201" i="1"/>
  <c r="D860" i="1"/>
  <c r="D424" i="1"/>
  <c r="D1137" i="1"/>
  <c r="D128" i="1"/>
  <c r="D619" i="1"/>
  <c r="D369" i="1"/>
  <c r="D431" i="1"/>
  <c r="D1218" i="1"/>
  <c r="D1055" i="1"/>
  <c r="D752" i="1"/>
  <c r="D1080" i="1"/>
  <c r="D196" i="1"/>
  <c r="D83" i="1"/>
  <c r="D182" i="1"/>
  <c r="D92" i="1"/>
  <c r="D849" i="1"/>
  <c r="D234" i="1"/>
  <c r="D95" i="1"/>
  <c r="D744" i="1"/>
  <c r="D778" i="1"/>
  <c r="D218" i="1"/>
  <c r="D518" i="1"/>
  <c r="D857" i="1"/>
  <c r="D17" i="1"/>
  <c r="D905" i="1"/>
  <c r="D473" i="1"/>
  <c r="D336" i="1"/>
  <c r="D938" i="1"/>
  <c r="D252" i="1"/>
  <c r="D935" i="1"/>
  <c r="D420" i="1"/>
  <c r="D249" i="1"/>
  <c r="D488" i="1"/>
  <c r="D112" i="1"/>
  <c r="D7" i="1"/>
  <c r="D656" i="1"/>
  <c r="D506" i="1"/>
  <c r="D142" i="1"/>
  <c r="D37" i="1"/>
  <c r="D674" i="1"/>
  <c r="D720" i="1"/>
  <c r="D549" i="1"/>
  <c r="D85" i="1"/>
  <c r="D971" i="1"/>
  <c r="D434" i="1"/>
  <c r="D164" i="1"/>
  <c r="D847" i="1"/>
  <c r="D1001" i="1"/>
  <c r="D332" i="1"/>
  <c r="D161" i="1"/>
  <c r="D400" i="1"/>
  <c r="D24" i="1"/>
  <c r="D529" i="1"/>
  <c r="D396" i="1"/>
  <c r="D430" i="1"/>
  <c r="D54" i="1"/>
  <c r="D5" i="1"/>
  <c r="D222" i="1"/>
  <c r="D121" i="1"/>
  <c r="D1165" i="1"/>
  <c r="D1121" i="1"/>
  <c r="D521" i="1"/>
  <c r="D86" i="1"/>
  <c r="D526" i="1"/>
  <c r="D855" i="1"/>
  <c r="D597" i="1"/>
  <c r="D914" i="1"/>
  <c r="D603" i="1"/>
  <c r="D254" i="1"/>
  <c r="D728" i="1"/>
  <c r="D623" i="1"/>
  <c r="D34" i="1"/>
  <c r="D717" i="1"/>
  <c r="D610" i="1"/>
  <c r="D640" i="1"/>
  <c r="D508" i="1"/>
  <c r="D576" i="1"/>
  <c r="D200" i="1"/>
  <c r="D689" i="1"/>
  <c r="D515" i="1"/>
  <c r="D1116" i="1"/>
  <c r="D411" i="1"/>
  <c r="D687" i="1"/>
  <c r="D1220" i="1"/>
  <c r="D616" i="1"/>
  <c r="D1142" i="1"/>
  <c r="D892" i="1"/>
  <c r="D821" i="1"/>
  <c r="D183" i="1"/>
  <c r="D1193" i="1"/>
  <c r="D633" i="1"/>
  <c r="D304" i="1"/>
  <c r="D1094" i="1"/>
  <c r="D89" i="1"/>
  <c r="D1024" i="1"/>
  <c r="D246" i="1"/>
  <c r="D836" i="1"/>
  <c r="D621" i="1"/>
  <c r="D292" i="1"/>
  <c r="D433" i="1"/>
  <c r="D104" i="1"/>
  <c r="D1086" i="1"/>
  <c r="D33" i="1"/>
  <c r="D1011" i="1"/>
  <c r="D978" i="1"/>
  <c r="D333" i="1"/>
  <c r="D824" i="1"/>
  <c r="D76" i="1"/>
  <c r="D660" i="1"/>
  <c r="D331" i="1"/>
  <c r="D1213" i="1"/>
  <c r="D589" i="1"/>
  <c r="D930" i="1"/>
  <c r="D1136" i="1"/>
  <c r="D987" i="1"/>
  <c r="D205" i="1"/>
  <c r="D134" i="1"/>
  <c r="D527" i="1"/>
  <c r="D820" i="1"/>
  <c r="D354" i="1"/>
  <c r="D681" i="1"/>
  <c r="D569" i="1"/>
  <c r="D432" i="1"/>
  <c r="D390" i="1"/>
  <c r="D751" i="1"/>
  <c r="D1044" i="1"/>
  <c r="D768" i="1"/>
  <c r="D878" i="1"/>
  <c r="D1006" i="1"/>
  <c r="D1040" i="1"/>
  <c r="D686" i="1"/>
  <c r="D593" i="1"/>
  <c r="D671" i="1"/>
  <c r="D888" i="1"/>
  <c r="D362" i="1"/>
  <c r="D64" i="1"/>
  <c r="D918" i="1"/>
  <c r="D747" i="1"/>
  <c r="D974" i="1"/>
  <c r="D1016" i="1"/>
  <c r="D591" i="1"/>
  <c r="D530" i="1"/>
  <c r="D360" i="1"/>
  <c r="D774" i="1"/>
  <c r="D442" i="1"/>
  <c r="D663" i="1"/>
  <c r="D114" i="1"/>
  <c r="D101" i="1"/>
  <c r="D1160" i="1"/>
  <c r="D30" i="1"/>
  <c r="D149" i="1"/>
  <c r="D868" i="1"/>
  <c r="D306" i="1"/>
  <c r="D1073" i="1"/>
  <c r="D235" i="1"/>
  <c r="D825" i="1"/>
  <c r="D1067" i="1"/>
  <c r="D1158" i="1"/>
  <c r="D1200" i="1"/>
  <c r="D1026" i="1"/>
  <c r="D294" i="1"/>
  <c r="D106" i="1"/>
  <c r="D1101" i="1"/>
  <c r="D35" i="1"/>
  <c r="D1041" i="1"/>
  <c r="D1207" i="1"/>
  <c r="D826" i="1"/>
  <c r="D497" i="1"/>
  <c r="D130" i="1"/>
  <c r="D626" i="1"/>
  <c r="D309" i="1"/>
  <c r="D1150" i="1"/>
  <c r="D238" i="1"/>
  <c r="D718" i="1"/>
  <c r="D636" i="1"/>
  <c r="D1173" i="1"/>
  <c r="D62" i="1"/>
  <c r="D1120" i="1"/>
  <c r="D1058" i="1"/>
  <c r="D459" i="1"/>
  <c r="D707" i="1"/>
  <c r="D791" i="1"/>
  <c r="D732" i="1"/>
  <c r="D419" i="1"/>
  <c r="D498" i="1"/>
  <c r="D940" i="1"/>
  <c r="D393" i="1"/>
  <c r="D427" i="1"/>
  <c r="D256" i="1"/>
  <c r="D678" i="1"/>
  <c r="D541" i="1"/>
  <c r="D1018" i="1"/>
  <c r="D542" i="1"/>
  <c r="D110" i="1"/>
  <c r="D976" i="1"/>
  <c r="D805" i="1"/>
  <c r="D107" i="1"/>
  <c r="D822" i="1"/>
  <c r="D69" i="1"/>
  <c r="D103" i="1"/>
  <c r="D137" i="1"/>
  <c r="D852" i="1"/>
  <c r="D305" i="1"/>
  <c r="D339" i="1"/>
  <c r="D168" i="1"/>
  <c r="D236" i="1"/>
  <c r="D335" i="1"/>
  <c r="D574" i="1"/>
  <c r="D198" i="1"/>
  <c r="D620" i="1"/>
  <c r="D19" i="1"/>
  <c r="D175" i="1"/>
  <c r="D866" i="1"/>
  <c r="D15" i="1"/>
  <c r="D49" i="1"/>
  <c r="D178" i="1"/>
  <c r="D505" i="1"/>
  <c r="D251" i="1"/>
  <c r="D80" i="1"/>
  <c r="D202" i="1"/>
  <c r="D786" i="1"/>
  <c r="D51" i="1"/>
  <c r="D1177" i="1"/>
  <c r="D946" i="1"/>
  <c r="D132" i="1"/>
  <c r="D1248" i="1"/>
  <c r="D648" i="1"/>
  <c r="D157" i="1"/>
  <c r="D719" i="1"/>
  <c r="D193" i="1"/>
  <c r="D361" i="1"/>
  <c r="D585" i="1"/>
  <c r="D269" i="1"/>
  <c r="D845" i="1"/>
  <c r="D949" i="1"/>
  <c r="D435" i="1"/>
  <c r="D494" i="1"/>
  <c r="D166" i="1"/>
  <c r="D740" i="1"/>
  <c r="D886" i="1"/>
  <c r="D782" i="1"/>
  <c r="D1210" i="1"/>
  <c r="D232" i="1"/>
  <c r="F401" i="1" l="1"/>
  <c r="F1210" i="1"/>
  <c r="F1360" i="1"/>
  <c r="F1103" i="1"/>
  <c r="F719" i="1"/>
  <c r="F133" i="1"/>
  <c r="F914" i="1"/>
  <c r="F340" i="1"/>
  <c r="F1394" i="1"/>
  <c r="F1061" i="1"/>
  <c r="F1376" i="1"/>
  <c r="F658" i="1"/>
  <c r="F72" i="1"/>
  <c r="F865" i="1"/>
  <c r="F279" i="1"/>
  <c r="F1246" i="1"/>
  <c r="F1282" i="1"/>
  <c r="F1260" i="1"/>
  <c r="F597" i="1"/>
  <c r="F11" i="1"/>
  <c r="F804" i="1"/>
  <c r="F206" i="1"/>
  <c r="F1326" i="1"/>
  <c r="F1203" i="1"/>
  <c r="F1209" i="1"/>
  <c r="F536" i="1"/>
  <c r="F1879" i="1"/>
  <c r="F743" i="1"/>
  <c r="F157" i="1"/>
  <c r="F1442" i="1"/>
  <c r="F1438" i="1"/>
  <c r="F1204" i="1"/>
  <c r="F475" i="1"/>
  <c r="F1818" i="1"/>
  <c r="F682" i="1"/>
  <c r="F96" i="1"/>
  <c r="F1245" i="1"/>
  <c r="F1098" i="1"/>
  <c r="F1128" i="1"/>
  <c r="F1640" i="1"/>
  <c r="F648" i="1"/>
  <c r="F1847" i="1"/>
  <c r="F855" i="1"/>
  <c r="F1247" i="1"/>
  <c r="F1357" i="1"/>
  <c r="F1171" i="1"/>
  <c r="F1579" i="1"/>
  <c r="F587" i="1"/>
  <c r="F1786" i="1"/>
  <c r="F782" i="1"/>
  <c r="F1363" i="1"/>
  <c r="F1414" i="1"/>
  <c r="F1248" i="1"/>
  <c r="F1518" i="1"/>
  <c r="F526" i="1"/>
  <c r="F1725" i="1"/>
  <c r="F733" i="1"/>
  <c r="F74" i="1"/>
  <c r="F1751" i="1"/>
  <c r="F1516" i="1"/>
  <c r="F1719" i="1"/>
  <c r="F637" i="1"/>
  <c r="F166" i="1"/>
  <c r="F808" i="1"/>
  <c r="F132" i="1"/>
  <c r="F774" i="1"/>
  <c r="F86" i="1"/>
  <c r="F125" i="1"/>
  <c r="F767" i="1"/>
  <c r="F1727" i="1"/>
  <c r="F926" i="1"/>
  <c r="F291" i="1"/>
  <c r="F232" i="1"/>
  <c r="F817" i="1"/>
  <c r="F1020" i="1"/>
  <c r="F344" i="1"/>
  <c r="F1802" i="1"/>
  <c r="F515" i="1"/>
  <c r="F1563" i="1"/>
  <c r="F481" i="1"/>
  <c r="F1734" i="1"/>
  <c r="F1761" i="1"/>
  <c r="F474" i="1"/>
  <c r="F1028" i="1"/>
  <c r="F699" i="1"/>
  <c r="F1199" i="1"/>
  <c r="F1071" i="1"/>
  <c r="F1110" i="1"/>
  <c r="F1284" i="1"/>
  <c r="F1657" i="1"/>
  <c r="F521" i="1"/>
  <c r="F1864" i="1"/>
  <c r="F1278" i="1"/>
  <c r="F1633" i="1"/>
  <c r="F1369" i="1"/>
  <c r="F1100" i="1"/>
  <c r="F1608" i="1"/>
  <c r="F460" i="1"/>
  <c r="F1803" i="1"/>
  <c r="F811" i="1"/>
  <c r="F1424" i="1"/>
  <c r="F1584" i="1"/>
  <c r="F1121" i="1"/>
  <c r="F1535" i="1"/>
  <c r="F399" i="1"/>
  <c r="F1742" i="1"/>
  <c r="F750" i="1"/>
  <c r="F1445" i="1"/>
  <c r="F75" i="1"/>
  <c r="F1391" i="1"/>
  <c r="F1474" i="1"/>
  <c r="F470" i="1"/>
  <c r="F1681" i="1"/>
  <c r="F689" i="1"/>
  <c r="F1165" i="1"/>
  <c r="F1328" i="1"/>
  <c r="F1385" i="1"/>
  <c r="F1007" i="1"/>
  <c r="F421" i="1"/>
  <c r="F1632" i="1"/>
  <c r="F628" i="1"/>
  <c r="F1422" i="1"/>
  <c r="F1349" i="1"/>
  <c r="F1066" i="1"/>
  <c r="F946" i="1"/>
  <c r="F360" i="1"/>
  <c r="F1559" i="1"/>
  <c r="F567" i="1"/>
  <c r="F1151" i="1"/>
  <c r="F1069" i="1"/>
  <c r="F1300" i="1"/>
  <c r="F885" i="1"/>
  <c r="F299" i="1"/>
  <c r="F1498" i="1"/>
  <c r="F494" i="1"/>
  <c r="F1178" i="1"/>
  <c r="F1177" i="1"/>
  <c r="F1417" i="1"/>
  <c r="F121" i="1"/>
  <c r="F1046" i="1"/>
  <c r="F328" i="1"/>
  <c r="F1671" i="1"/>
  <c r="F1191" i="1"/>
  <c r="F1306" i="1"/>
  <c r="F1116" i="1"/>
  <c r="F60" i="1"/>
  <c r="F997" i="1"/>
  <c r="F267" i="1"/>
  <c r="F1610" i="1"/>
  <c r="F1405" i="1"/>
  <c r="F1386" i="1"/>
  <c r="F1416" i="1"/>
  <c r="F1928" i="1"/>
  <c r="F936" i="1"/>
  <c r="F194" i="1"/>
  <c r="F1549" i="1"/>
  <c r="F496" i="1"/>
  <c r="F437" i="1"/>
  <c r="F1462" i="1"/>
  <c r="F727" i="1"/>
  <c r="F51" i="1"/>
  <c r="F1509" i="1"/>
  <c r="F222" i="1"/>
  <c r="F864" i="1"/>
  <c r="F188" i="1"/>
  <c r="F1035" i="1"/>
  <c r="F1468" i="1"/>
  <c r="F181" i="1"/>
  <c r="F735" i="1"/>
  <c r="F1926" i="1"/>
  <c r="F435" i="1"/>
  <c r="F1778" i="1"/>
  <c r="F786" i="1"/>
  <c r="F200" i="1"/>
  <c r="F1543" i="1"/>
  <c r="F551" i="1"/>
  <c r="F1688" i="1"/>
  <c r="F696" i="1"/>
  <c r="F98" i="1"/>
  <c r="F1453" i="1"/>
  <c r="F461" i="1"/>
  <c r="F1804" i="1"/>
  <c r="F1750" i="1"/>
  <c r="F225" i="1"/>
  <c r="F1568" i="1"/>
  <c r="F576" i="1"/>
  <c r="F1919" i="1"/>
  <c r="F927" i="1"/>
  <c r="F873" i="1"/>
  <c r="F1478" i="1"/>
  <c r="F486" i="1"/>
  <c r="F1624" i="1"/>
  <c r="F632" i="1"/>
  <c r="F46" i="1"/>
  <c r="F983" i="1"/>
  <c r="F191" i="1"/>
  <c r="F1534" i="1"/>
  <c r="F530" i="1"/>
  <c r="F1692" i="1"/>
  <c r="F688" i="1"/>
  <c r="F102" i="1"/>
  <c r="F48" i="1"/>
  <c r="F247" i="1"/>
  <c r="F1590" i="1"/>
  <c r="F598" i="1"/>
  <c r="F12" i="1"/>
  <c r="F949" i="1"/>
  <c r="F895" i="1"/>
  <c r="F1512" i="1"/>
  <c r="F508" i="1"/>
  <c r="F1851" i="1"/>
  <c r="F859" i="1"/>
  <c r="F273" i="1"/>
  <c r="F1616" i="1"/>
  <c r="F1527" i="1"/>
  <c r="F535" i="1"/>
  <c r="F1878" i="1"/>
  <c r="F886" i="1"/>
  <c r="F300" i="1"/>
  <c r="F1643" i="1"/>
  <c r="F1583" i="1"/>
  <c r="F591" i="1"/>
  <c r="F5" i="1"/>
  <c r="F942" i="1"/>
  <c r="F356" i="1"/>
  <c r="F1699" i="1"/>
  <c r="F208" i="1"/>
  <c r="F1551" i="1"/>
  <c r="F559" i="1"/>
  <c r="F1902" i="1"/>
  <c r="F910" i="1"/>
  <c r="F324" i="1"/>
  <c r="F202" i="1"/>
  <c r="F640" i="1"/>
  <c r="F54" i="1"/>
  <c r="F991" i="1"/>
  <c r="F405" i="1"/>
  <c r="F1748" i="1"/>
  <c r="F756" i="1"/>
  <c r="F1893" i="1"/>
  <c r="F901" i="1"/>
  <c r="F315" i="1"/>
  <c r="F1658" i="1"/>
  <c r="F666" i="1"/>
  <c r="F80" i="1"/>
  <c r="F1016" i="1"/>
  <c r="F430" i="1"/>
  <c r="F1773" i="1"/>
  <c r="F781" i="1"/>
  <c r="F195" i="1"/>
  <c r="F1538" i="1"/>
  <c r="F1484" i="1"/>
  <c r="F1683" i="1"/>
  <c r="F691" i="1"/>
  <c r="F1829" i="1"/>
  <c r="F837" i="1"/>
  <c r="F251" i="1"/>
  <c r="F1594" i="1"/>
  <c r="F396" i="1"/>
  <c r="F1739" i="1"/>
  <c r="F1885" i="1"/>
  <c r="F893" i="1"/>
  <c r="F307" i="1"/>
  <c r="F253" i="1"/>
  <c r="F452" i="1"/>
  <c r="F1795" i="1"/>
  <c r="F803" i="1"/>
  <c r="F217" i="1"/>
  <c r="F1572" i="1"/>
  <c r="F1506" i="1"/>
  <c r="F1705" i="1"/>
  <c r="F713" i="1"/>
  <c r="F127" i="1"/>
  <c r="F1470" i="1"/>
  <c r="F478" i="1"/>
  <c r="F1821" i="1"/>
  <c r="F1732" i="1"/>
  <c r="F740" i="1"/>
  <c r="F154" i="1"/>
  <c r="F1497" i="1"/>
  <c r="F505" i="1"/>
  <c r="F1860" i="1"/>
  <c r="F1589" i="1"/>
  <c r="F1800" i="1"/>
  <c r="F796" i="1"/>
  <c r="F210" i="1"/>
  <c r="F1553" i="1"/>
  <c r="F561" i="1"/>
  <c r="F1904" i="1"/>
  <c r="F413" i="1"/>
  <c r="F1756" i="1"/>
  <c r="F764" i="1"/>
  <c r="F178" i="1"/>
  <c r="F1521" i="1"/>
  <c r="F529" i="1"/>
  <c r="F1958" i="1"/>
  <c r="F1634" i="1"/>
  <c r="F642" i="1"/>
  <c r="F56" i="1"/>
  <c r="F993" i="1"/>
  <c r="F407" i="1"/>
  <c r="F1837" i="1"/>
  <c r="F845" i="1"/>
  <c r="F259" i="1"/>
  <c r="F1602" i="1"/>
  <c r="F610" i="1"/>
  <c r="F24" i="1"/>
  <c r="F961" i="1"/>
  <c r="F169" i="1"/>
  <c r="F1524" i="1"/>
  <c r="F520" i="1"/>
  <c r="F1863" i="1"/>
  <c r="F871" i="1"/>
  <c r="F285" i="1"/>
  <c r="F1627" i="1"/>
  <c r="F635" i="1"/>
  <c r="F49" i="1"/>
  <c r="F974" i="1"/>
  <c r="F400" i="1"/>
  <c r="F1743" i="1"/>
  <c r="F1689" i="1"/>
  <c r="F1888" i="1"/>
  <c r="F896" i="1"/>
  <c r="F105" i="1"/>
  <c r="F1042" i="1"/>
  <c r="F456" i="1"/>
  <c r="F1799" i="1"/>
  <c r="F601" i="1"/>
  <c r="F15" i="1"/>
  <c r="F747" i="1"/>
  <c r="F161" i="1"/>
  <c r="F1504" i="1"/>
  <c r="F512" i="1"/>
  <c r="F446" i="1"/>
  <c r="F657" i="1"/>
  <c r="F71" i="1"/>
  <c r="F1008" i="1"/>
  <c r="F410" i="1"/>
  <c r="F1765" i="1"/>
  <c r="F1711" i="1"/>
  <c r="F1910" i="1"/>
  <c r="F918" i="1"/>
  <c r="F332" i="1"/>
  <c r="F1675" i="1"/>
  <c r="F683" i="1"/>
  <c r="F97" i="1"/>
  <c r="F8" i="1"/>
  <c r="F945" i="1"/>
  <c r="F359" i="1"/>
  <c r="F1702" i="1"/>
  <c r="F698" i="1"/>
  <c r="F124" i="1"/>
  <c r="F1794" i="1"/>
  <c r="F64" i="1"/>
  <c r="F1001" i="1"/>
  <c r="F415" i="1"/>
  <c r="F1758" i="1"/>
  <c r="F766" i="1"/>
  <c r="F180" i="1"/>
  <c r="F618" i="1"/>
  <c r="F32" i="1"/>
  <c r="F969" i="1"/>
  <c r="F383" i="1"/>
  <c r="F1726" i="1"/>
  <c r="F866" i="1"/>
  <c r="F1839" i="1"/>
  <c r="F847" i="1"/>
  <c r="F261" i="1"/>
  <c r="F1604" i="1"/>
  <c r="F612" i="1"/>
  <c r="F113" i="1"/>
  <c r="F1456" i="1"/>
  <c r="F464" i="1"/>
  <c r="F1807" i="1"/>
  <c r="F815" i="1"/>
  <c r="F229" i="1"/>
  <c r="F175" i="1"/>
  <c r="F362" i="1"/>
  <c r="F1717" i="1"/>
  <c r="F725" i="1"/>
  <c r="F139" i="1"/>
  <c r="F1482" i="1"/>
  <c r="F490" i="1"/>
  <c r="F1832" i="1"/>
  <c r="F840" i="1"/>
  <c r="F242" i="1"/>
  <c r="F1597" i="1"/>
  <c r="F605" i="1"/>
  <c r="F19" i="1"/>
  <c r="F1894" i="1"/>
  <c r="F164" i="1"/>
  <c r="F1507" i="1"/>
  <c r="F310" i="1"/>
  <c r="F1653" i="1"/>
  <c r="F661" i="1"/>
  <c r="F607" i="1"/>
  <c r="F794" i="1"/>
  <c r="F220" i="1"/>
  <c r="F952" i="1"/>
  <c r="F366" i="1"/>
  <c r="F1709" i="1"/>
  <c r="F717" i="1"/>
  <c r="F1854" i="1"/>
  <c r="F862" i="1"/>
  <c r="F276" i="1"/>
  <c r="F1619" i="1"/>
  <c r="F627" i="1"/>
  <c r="F41" i="1"/>
  <c r="F1916" i="1"/>
  <c r="F186" i="1"/>
  <c r="F1529" i="1"/>
  <c r="F537" i="1"/>
  <c r="F1880" i="1"/>
  <c r="F888" i="1"/>
  <c r="F434" i="1"/>
  <c r="F213" i="1"/>
  <c r="F1556" i="1"/>
  <c r="F564" i="1"/>
  <c r="F1907" i="1"/>
  <c r="F915" i="1"/>
  <c r="F329" i="1"/>
  <c r="F70" i="1"/>
  <c r="F269" i="1"/>
  <c r="F1612" i="1"/>
  <c r="F620" i="1"/>
  <c r="F34" i="1"/>
  <c r="F971" i="1"/>
  <c r="F385" i="1"/>
  <c r="F823" i="1"/>
  <c r="F237" i="1"/>
  <c r="F1580" i="1"/>
  <c r="F588" i="1"/>
  <c r="F1931" i="1"/>
  <c r="F1877" i="1"/>
  <c r="F1981" i="1"/>
  <c r="F320" i="1"/>
  <c r="F1663" i="1"/>
  <c r="F671" i="1"/>
  <c r="F85" i="1"/>
  <c r="F31" i="1"/>
  <c r="F523" i="1"/>
  <c r="F1866" i="1"/>
  <c r="F874" i="1"/>
  <c r="F288" i="1"/>
  <c r="F1631" i="1"/>
  <c r="F639" i="1"/>
  <c r="F585" i="1"/>
  <c r="F784" i="1"/>
  <c r="F198" i="1"/>
  <c r="F1541" i="1"/>
  <c r="F549" i="1"/>
  <c r="F1892" i="1"/>
  <c r="F900" i="1"/>
  <c r="F313" i="1"/>
  <c r="F1668" i="1"/>
  <c r="F664" i="1"/>
  <c r="F78" i="1"/>
  <c r="F1015" i="1"/>
  <c r="F429" i="1"/>
  <c r="F1566" i="1"/>
  <c r="F574" i="1"/>
  <c r="F1917" i="1"/>
  <c r="F720" i="1"/>
  <c r="F122" i="1"/>
  <c r="F1477" i="1"/>
  <c r="F1017" i="1"/>
  <c r="F1622" i="1"/>
  <c r="F630" i="1"/>
  <c r="F1768" i="1"/>
  <c r="F776" i="1"/>
  <c r="F190" i="1"/>
  <c r="F1533" i="1"/>
  <c r="F335" i="1"/>
  <c r="F1678" i="1"/>
  <c r="F674" i="1"/>
  <c r="F100" i="1"/>
  <c r="F1037" i="1"/>
  <c r="F451" i="1"/>
  <c r="F397" i="1"/>
  <c r="F596" i="1"/>
  <c r="F10" i="1"/>
  <c r="F947" i="1"/>
  <c r="F361" i="1"/>
  <c r="F1716" i="1"/>
  <c r="F1650" i="1"/>
  <c r="F623" i="1"/>
  <c r="F37" i="1"/>
  <c r="F962" i="1"/>
  <c r="F388" i="1"/>
  <c r="F1731" i="1"/>
  <c r="F739" i="1"/>
  <c r="F480" i="1"/>
  <c r="F679" i="1"/>
  <c r="F93" i="1"/>
  <c r="F1030" i="1"/>
  <c r="F444" i="1"/>
  <c r="F1787" i="1"/>
  <c r="F1733" i="1"/>
  <c r="F1639" i="1"/>
  <c r="F647" i="1"/>
  <c r="F61" i="1"/>
  <c r="F986" i="1"/>
  <c r="F412" i="1"/>
  <c r="F358" i="1"/>
  <c r="F525" i="1"/>
  <c r="F1868" i="1"/>
  <c r="F876" i="1"/>
  <c r="F278" i="1"/>
  <c r="F236" i="1"/>
  <c r="F728" i="1"/>
  <c r="F142" i="1"/>
  <c r="F1485" i="1"/>
  <c r="F493" i="1"/>
  <c r="F1848" i="1"/>
  <c r="F844" i="1"/>
  <c r="F790" i="1"/>
  <c r="F989" i="1"/>
  <c r="F403" i="1"/>
  <c r="F1746" i="1"/>
  <c r="F754" i="1"/>
  <c r="F168" i="1"/>
  <c r="F1511" i="1"/>
  <c r="F506" i="1"/>
  <c r="F1861" i="1"/>
  <c r="F869" i="1"/>
  <c r="F283" i="1"/>
  <c r="F1626" i="1"/>
  <c r="F634" i="1"/>
  <c r="F1771" i="1"/>
  <c r="F779" i="1"/>
  <c r="F193" i="1"/>
  <c r="F925" i="1"/>
  <c r="F339" i="1"/>
  <c r="F1682" i="1"/>
  <c r="F1628" i="1"/>
  <c r="F1827" i="1"/>
  <c r="F835" i="1"/>
  <c r="F44" i="1"/>
  <c r="F981" i="1"/>
  <c r="F395" i="1"/>
  <c r="F1738" i="1"/>
  <c r="F540" i="1"/>
  <c r="F1883" i="1"/>
  <c r="F891" i="1"/>
  <c r="F305" i="1"/>
  <c r="F1648" i="1"/>
  <c r="F656" i="1"/>
  <c r="F590" i="1"/>
  <c r="F801" i="1"/>
  <c r="F215" i="1"/>
  <c r="F1558" i="1"/>
  <c r="F554" i="1"/>
  <c r="F1909" i="1"/>
  <c r="F1855" i="1"/>
  <c r="F828" i="1"/>
  <c r="F230" i="1"/>
  <c r="F1585" i="1"/>
  <c r="F593" i="1"/>
  <c r="F7" i="1"/>
  <c r="F944" i="1"/>
  <c r="F685" i="1"/>
  <c r="F884" i="1"/>
  <c r="F298" i="1"/>
  <c r="F1641" i="1"/>
  <c r="F649" i="1"/>
  <c r="F63" i="1"/>
  <c r="F501" i="1"/>
  <c r="F1844" i="1"/>
  <c r="F852" i="1"/>
  <c r="F254" i="1"/>
  <c r="F1609" i="1"/>
  <c r="F617" i="1"/>
  <c r="F563" i="1"/>
  <c r="F730" i="1"/>
  <c r="F144" i="1"/>
  <c r="F1487" i="1"/>
  <c r="F495" i="1"/>
  <c r="F441" i="1"/>
  <c r="F933" i="1"/>
  <c r="F347" i="1"/>
  <c r="F1690" i="1"/>
  <c r="F686" i="1"/>
  <c r="F112" i="1"/>
  <c r="F1455" i="1"/>
  <c r="F995" i="1"/>
  <c r="F1600" i="1"/>
  <c r="F608" i="1"/>
  <c r="F22" i="1"/>
  <c r="F959" i="1"/>
  <c r="F373" i="1"/>
  <c r="F319" i="1"/>
  <c r="F723" i="1"/>
  <c r="F137" i="1"/>
  <c r="F1480" i="1"/>
  <c r="F488" i="1"/>
  <c r="F1831" i="1"/>
  <c r="F839" i="1"/>
  <c r="F47" i="1"/>
  <c r="F984" i="1"/>
  <c r="F386" i="1"/>
  <c r="F1548" i="1"/>
  <c r="F544" i="1"/>
  <c r="F1887" i="1"/>
  <c r="F1833" i="1"/>
  <c r="F103" i="1"/>
  <c r="F1040" i="1"/>
  <c r="F249" i="1"/>
  <c r="F1592" i="1"/>
  <c r="F600" i="1"/>
  <c r="F146" i="1"/>
  <c r="F745" i="1"/>
  <c r="F159" i="1"/>
  <c r="F1502" i="1"/>
  <c r="F510" i="1"/>
  <c r="F1853" i="1"/>
  <c r="F861" i="1"/>
  <c r="F69" i="1"/>
  <c r="F1006" i="1"/>
  <c r="F420" i="1"/>
  <c r="F1763" i="1"/>
  <c r="F771" i="1"/>
  <c r="F185" i="1"/>
  <c r="F131" i="1"/>
  <c r="F1033" i="1"/>
  <c r="F447" i="1"/>
  <c r="F1790" i="1"/>
  <c r="F798" i="1"/>
  <c r="F212" i="1"/>
  <c r="F1555" i="1"/>
  <c r="F878" i="1"/>
  <c r="F1495" i="1"/>
  <c r="F503" i="1"/>
  <c r="F1846" i="1"/>
  <c r="F842" i="1"/>
  <c r="F268" i="1"/>
  <c r="F706" i="1"/>
  <c r="F120" i="1"/>
  <c r="F1463" i="1"/>
  <c r="F471" i="1"/>
  <c r="F1814" i="1"/>
  <c r="F822" i="1"/>
  <c r="F768" i="1"/>
  <c r="F935" i="1"/>
  <c r="F349" i="1"/>
  <c r="F1704" i="1"/>
  <c r="F700" i="1"/>
  <c r="F646" i="1"/>
  <c r="F1544" i="1"/>
  <c r="F552" i="1"/>
  <c r="F1895" i="1"/>
  <c r="F903" i="1"/>
  <c r="F317" i="1"/>
  <c r="F1660" i="1"/>
  <c r="F1606" i="1"/>
  <c r="F1805" i="1"/>
  <c r="F813" i="1"/>
  <c r="F227" i="1"/>
  <c r="F1570" i="1"/>
  <c r="F566" i="1"/>
  <c r="F524" i="1"/>
  <c r="F928" i="1"/>
  <c r="F342" i="1"/>
  <c r="F1685" i="1"/>
  <c r="F693" i="1"/>
  <c r="F107" i="1"/>
  <c r="F1044" i="1"/>
  <c r="F252" i="1"/>
  <c r="F1595" i="1"/>
  <c r="F1741" i="1"/>
  <c r="F749" i="1"/>
  <c r="F163" i="1"/>
  <c r="F109" i="1"/>
  <c r="F308" i="1"/>
  <c r="F1651" i="1"/>
  <c r="F454" i="1"/>
  <c r="F1797" i="1"/>
  <c r="F805" i="1"/>
  <c r="F751" i="1"/>
  <c r="F938" i="1"/>
  <c r="F364" i="1"/>
  <c r="F1707" i="1"/>
  <c r="F715" i="1"/>
  <c r="F129" i="1"/>
  <c r="F1472" i="1"/>
  <c r="F274" i="1"/>
  <c r="F1617" i="1"/>
  <c r="F625" i="1"/>
  <c r="F39" i="1"/>
  <c r="F976" i="1"/>
  <c r="F390" i="1"/>
  <c r="F336" i="1"/>
  <c r="F1656" i="1"/>
  <c r="F652" i="1"/>
  <c r="F66" i="1"/>
  <c r="F1003" i="1"/>
  <c r="F417" i="1"/>
  <c r="F1760" i="1"/>
  <c r="F357" i="1"/>
  <c r="F1700" i="1"/>
  <c r="F708" i="1"/>
  <c r="F110" i="1"/>
  <c r="F1465" i="1"/>
  <c r="F473" i="1"/>
  <c r="F911" i="1"/>
  <c r="F325" i="1"/>
  <c r="F1680" i="1"/>
  <c r="F676" i="1"/>
  <c r="F90" i="1"/>
  <c r="F1027" i="1"/>
  <c r="F973" i="1"/>
  <c r="F203" i="1"/>
  <c r="F1546" i="1"/>
  <c r="F542" i="1"/>
  <c r="F1897" i="1"/>
  <c r="F905" i="1"/>
  <c r="F851" i="1"/>
  <c r="F1749" i="1"/>
  <c r="F757" i="1"/>
  <c r="F171" i="1"/>
  <c r="F1514" i="1"/>
  <c r="F522" i="1"/>
  <c r="F1865" i="1"/>
  <c r="F1811" i="1"/>
  <c r="F81" i="1"/>
  <c r="F1018" i="1"/>
  <c r="F432" i="1"/>
  <c r="F1775" i="1"/>
  <c r="F783" i="1"/>
  <c r="F729" i="1"/>
  <c r="F1539" i="1"/>
  <c r="F547" i="1"/>
  <c r="F1890" i="1"/>
  <c r="F898" i="1"/>
  <c r="F312" i="1"/>
  <c r="F1655" i="1"/>
  <c r="F457" i="1"/>
  <c r="F1812" i="1"/>
  <c r="F603" i="1"/>
  <c r="F17" i="1"/>
  <c r="F954" i="1"/>
  <c r="F368" i="1"/>
  <c r="F302" i="1"/>
  <c r="F513" i="1"/>
  <c r="F1856" i="1"/>
  <c r="F659" i="1"/>
  <c r="F73" i="1"/>
  <c r="F998" i="1"/>
  <c r="F956" i="1"/>
  <c r="F1561" i="1"/>
  <c r="F569" i="1"/>
  <c r="F1912" i="1"/>
  <c r="F920" i="1"/>
  <c r="F334" i="1"/>
  <c r="F1677" i="1"/>
  <c r="F479" i="1"/>
  <c r="F1822" i="1"/>
  <c r="F818" i="1"/>
  <c r="F244" i="1"/>
  <c r="F1587" i="1"/>
  <c r="F595" i="1"/>
  <c r="F541" i="1"/>
  <c r="F1849" i="1"/>
  <c r="F857" i="1"/>
  <c r="F271" i="1"/>
  <c r="F1614" i="1"/>
  <c r="F622" i="1"/>
  <c r="F36" i="1"/>
  <c r="F562" i="1"/>
  <c r="F1905" i="1"/>
  <c r="F913" i="1"/>
  <c r="F327" i="1"/>
  <c r="F1670" i="1"/>
  <c r="F678" i="1"/>
  <c r="F1522" i="1"/>
  <c r="F518" i="1"/>
  <c r="F1873" i="1"/>
  <c r="F881" i="1"/>
  <c r="F295" i="1"/>
  <c r="F1638" i="1"/>
  <c r="F1970" i="1"/>
  <c r="F613" i="1"/>
  <c r="F27" i="1"/>
  <c r="F964" i="1"/>
  <c r="F378" i="1"/>
  <c r="F1721" i="1"/>
  <c r="F1667" i="1"/>
  <c r="F218" i="1"/>
  <c r="F1573" i="1"/>
  <c r="F581" i="1"/>
  <c r="F1924" i="1"/>
  <c r="F932" i="1"/>
  <c r="F346" i="1"/>
  <c r="F1483" i="1"/>
  <c r="F491" i="1"/>
  <c r="F1834" i="1"/>
  <c r="F830" i="1"/>
  <c r="F256" i="1"/>
  <c r="F1599" i="1"/>
  <c r="F1545" i="1"/>
  <c r="F20" i="1"/>
  <c r="F957" i="1"/>
  <c r="F371" i="1"/>
  <c r="F1714" i="1"/>
  <c r="F710" i="1"/>
  <c r="F668" i="1"/>
  <c r="F867" i="1"/>
  <c r="F281" i="1"/>
  <c r="F1013" i="1"/>
  <c r="F427" i="1"/>
  <c r="F1770" i="1"/>
  <c r="F778" i="1"/>
  <c r="F1915" i="1"/>
  <c r="F923" i="1"/>
  <c r="F337" i="1"/>
  <c r="F1475" i="1"/>
  <c r="F483" i="1"/>
  <c r="F1826" i="1"/>
  <c r="F1772" i="1"/>
  <c r="F42" i="1"/>
  <c r="F979" i="1"/>
  <c r="F393" i="1"/>
  <c r="F1736" i="1"/>
  <c r="F744" i="1"/>
  <c r="F290" i="1"/>
  <c r="F889" i="1"/>
  <c r="F303" i="1"/>
  <c r="F1646" i="1"/>
  <c r="F654" i="1"/>
  <c r="F68" i="1"/>
  <c r="F1005" i="1"/>
  <c r="F916" i="1"/>
  <c r="F330" i="1"/>
  <c r="F1673" i="1"/>
  <c r="F681" i="1"/>
  <c r="F95" i="1"/>
  <c r="F1032" i="1"/>
  <c r="F578" i="1"/>
  <c r="F972" i="1"/>
  <c r="F374" i="1"/>
  <c r="F1729" i="1"/>
  <c r="F737" i="1"/>
  <c r="F151" i="1"/>
  <c r="F1494" i="1"/>
  <c r="F3" i="1"/>
  <c r="F940" i="1"/>
  <c r="F354" i="1"/>
  <c r="F1697" i="1"/>
  <c r="F705" i="1"/>
  <c r="F119" i="1"/>
  <c r="F1966" i="1"/>
  <c r="F1934" i="1"/>
  <c r="F1938" i="1"/>
  <c r="F1963" i="1"/>
  <c r="F1975" i="1"/>
  <c r="F1936" i="1"/>
  <c r="F1978" i="1"/>
  <c r="F1972" i="1"/>
  <c r="F1952" i="1"/>
  <c r="F1947" i="1"/>
  <c r="F1949" i="1"/>
  <c r="F1964" i="1"/>
  <c r="F1942" i="1"/>
  <c r="F1965" i="1"/>
  <c r="F1953" i="1"/>
  <c r="F1976" i="1"/>
  <c r="F1940" i="1"/>
  <c r="F1974" i="1"/>
  <c r="F1961" i="1"/>
  <c r="F1957" i="1"/>
  <c r="F1973" i="1"/>
  <c r="F1977" i="1"/>
  <c r="F1937" i="1"/>
  <c r="F1954" i="1"/>
  <c r="F1971" i="1"/>
  <c r="F1935" i="1"/>
  <c r="F1950" i="1"/>
  <c r="F1941" i="1"/>
  <c r="F1959" i="1"/>
  <c r="F1962" i="1"/>
  <c r="F1960" i="1"/>
  <c r="F1980" i="1"/>
  <c r="F1948" i="1"/>
  <c r="F1956" i="1"/>
  <c r="F850" i="1"/>
  <c r="F264" i="1"/>
  <c r="F1607" i="1"/>
  <c r="F615" i="1"/>
  <c r="F29" i="1"/>
  <c r="F966" i="1"/>
  <c r="F912" i="1"/>
  <c r="F1461" i="1"/>
  <c r="F469" i="1"/>
  <c r="F1824" i="1"/>
  <c r="F820" i="1"/>
  <c r="F234" i="1"/>
  <c r="F1577" i="1"/>
  <c r="F1523" i="1"/>
  <c r="F1666" i="1"/>
  <c r="F662" i="1"/>
  <c r="F88" i="1"/>
  <c r="F1025" i="1"/>
  <c r="F439" i="1"/>
  <c r="F1782" i="1"/>
  <c r="F1022" i="1"/>
  <c r="F1945" i="1"/>
  <c r="F1951" i="1"/>
  <c r="F1871" i="1"/>
  <c r="F879" i="1"/>
  <c r="F293" i="1"/>
  <c r="F1636" i="1"/>
  <c r="F644" i="1"/>
  <c r="F58" i="1"/>
  <c r="F14" i="1"/>
  <c r="F1979" i="1"/>
  <c r="F147" i="1"/>
  <c r="F1490" i="1"/>
  <c r="F498" i="1"/>
  <c r="F1841" i="1"/>
  <c r="F849" i="1"/>
  <c r="F263" i="1"/>
  <c r="F214" i="1"/>
  <c r="F1969" i="1"/>
  <c r="F352" i="1"/>
  <c r="F1695" i="1"/>
  <c r="F703" i="1"/>
  <c r="F117" i="1"/>
  <c r="F1460" i="1"/>
  <c r="F468" i="1"/>
  <c r="F419" i="1"/>
  <c r="F1944" i="1"/>
  <c r="F1967" i="1"/>
  <c r="F557" i="1"/>
  <c r="F1900" i="1"/>
  <c r="F908" i="1"/>
  <c r="F322" i="1"/>
  <c r="F1665" i="1"/>
  <c r="F673" i="1"/>
  <c r="F624" i="1"/>
  <c r="F762" i="1"/>
  <c r="F176" i="1"/>
  <c r="F1519" i="1"/>
  <c r="F527" i="1"/>
  <c r="F1870" i="1"/>
  <c r="F1010" i="1"/>
  <c r="F9" i="1"/>
  <c r="F1955" i="1"/>
  <c r="F1939" i="1"/>
  <c r="F1933" i="1"/>
  <c r="F1946" i="1"/>
  <c r="F967" i="1"/>
  <c r="F381" i="1"/>
  <c r="F1724" i="1"/>
  <c r="F732" i="1"/>
  <c r="F134" i="1"/>
  <c r="F92" i="1"/>
  <c r="F829" i="1"/>
  <c r="F1578" i="1"/>
  <c r="F586" i="1"/>
  <c r="F1929" i="1"/>
  <c r="F937" i="1"/>
  <c r="F351" i="1"/>
  <c r="F297" i="1"/>
  <c r="F1968" i="1"/>
  <c r="F1783" i="1"/>
  <c r="F791" i="1"/>
  <c r="F205" i="1"/>
  <c r="F1560" i="1"/>
  <c r="F556" i="1"/>
  <c r="F502" i="1"/>
  <c r="F1943" i="1"/>
  <c r="F645" i="1"/>
  <c r="F59" i="1"/>
  <c r="F996" i="1"/>
  <c r="F398" i="1"/>
  <c r="F1753" i="1"/>
  <c r="F761" i="1"/>
  <c r="F707" i="1"/>
  <c r="F987" i="1"/>
  <c r="F182" i="1"/>
  <c r="F780" i="1"/>
  <c r="F1168" i="1"/>
  <c r="F1224" i="1"/>
  <c r="F1157" i="1"/>
  <c r="F462" i="1"/>
  <c r="F1454" i="1"/>
  <c r="F111" i="1"/>
  <c r="F841" i="1"/>
  <c r="F1372" i="1"/>
  <c r="F1270" i="1"/>
  <c r="F1136" i="1"/>
  <c r="F1644" i="1"/>
  <c r="F289" i="1"/>
  <c r="F153" i="1"/>
  <c r="F722" i="1"/>
  <c r="F275" i="1"/>
  <c r="F418" i="1"/>
  <c r="F391" i="1"/>
  <c r="F1473" i="1"/>
  <c r="F425" i="1"/>
  <c r="F1712" i="1"/>
  <c r="F459" i="1"/>
  <c r="F930" i="1"/>
  <c r="F83" i="1"/>
  <c r="F1809" i="1"/>
  <c r="F115" i="1"/>
  <c r="F1810" i="1"/>
  <c r="F528" i="1"/>
  <c r="F1520" i="1"/>
  <c r="F321" i="1"/>
  <c r="F907" i="1"/>
  <c r="F1447" i="1"/>
  <c r="F1068" i="1"/>
  <c r="F1058" i="1"/>
  <c r="F589" i="1"/>
  <c r="F1581" i="1"/>
  <c r="F382" i="1"/>
  <c r="F968" i="1"/>
  <c r="F1104" i="1"/>
  <c r="F1148" i="1"/>
  <c r="F1219" i="1"/>
  <c r="F638" i="1"/>
  <c r="F1642" i="1"/>
  <c r="F443" i="1"/>
  <c r="F1029" i="1"/>
  <c r="F1120" i="1"/>
  <c r="F1213" i="1"/>
  <c r="F1427" i="1"/>
  <c r="F1820" i="1"/>
  <c r="F477" i="1"/>
  <c r="F1613" i="1"/>
  <c r="F270" i="1"/>
  <c r="F1119" i="1"/>
  <c r="F1374" i="1"/>
  <c r="F1091" i="1"/>
  <c r="F1881" i="1"/>
  <c r="F538" i="1"/>
  <c r="F1674" i="1"/>
  <c r="F331" i="1"/>
  <c r="F1410" i="1"/>
  <c r="F1294" i="1"/>
  <c r="F1441" i="1"/>
  <c r="F13" i="1"/>
  <c r="F599" i="1"/>
  <c r="F1735" i="1"/>
  <c r="F392" i="1"/>
  <c r="F1330" i="1"/>
  <c r="F1307" i="1"/>
  <c r="F1182" i="1"/>
  <c r="F62" i="1"/>
  <c r="F660" i="1"/>
  <c r="F1796" i="1"/>
  <c r="F453" i="1"/>
  <c r="F1241" i="1"/>
  <c r="F1399" i="1"/>
  <c r="F1102" i="1"/>
  <c r="F135" i="1"/>
  <c r="F721" i="1"/>
  <c r="F1857" i="1"/>
  <c r="F514" i="1"/>
  <c r="F1327" i="1"/>
  <c r="F1173" i="1"/>
  <c r="F1899" i="1"/>
  <c r="F196" i="1"/>
  <c r="F770" i="1"/>
  <c r="F1918" i="1"/>
  <c r="F575" i="1"/>
  <c r="F1672" i="1"/>
  <c r="F1423" i="1"/>
  <c r="F1118" i="1"/>
  <c r="F257" i="1"/>
  <c r="F843" i="1"/>
  <c r="F38" i="1"/>
  <c r="F636" i="1"/>
  <c r="F1286" i="1"/>
  <c r="F1080" i="1"/>
  <c r="F1228" i="1"/>
  <c r="F1021" i="1"/>
  <c r="F84" i="1"/>
  <c r="F1843" i="1"/>
  <c r="F883" i="1"/>
  <c r="F241" i="1"/>
  <c r="F734" i="1"/>
  <c r="F684" i="1"/>
  <c r="F1766" i="1"/>
  <c r="F718" i="1"/>
  <c r="F76" i="1"/>
  <c r="F752" i="1"/>
  <c r="F1629" i="1"/>
  <c r="F376" i="1"/>
  <c r="F788" i="1"/>
  <c r="F1023" i="1"/>
  <c r="F1605" i="1"/>
  <c r="F323" i="1"/>
  <c r="F909" i="1"/>
  <c r="F116" i="1"/>
  <c r="F702" i="1"/>
  <c r="F1252" i="1"/>
  <c r="F1267" i="1"/>
  <c r="F1431" i="1"/>
  <c r="F384" i="1"/>
  <c r="F970" i="1"/>
  <c r="F177" i="1"/>
  <c r="F763" i="1"/>
  <c r="F1303" i="1"/>
  <c r="F1197" i="1"/>
  <c r="F1323" i="1"/>
  <c r="F445" i="1"/>
  <c r="F1031" i="1"/>
  <c r="F238" i="1"/>
  <c r="F824" i="1"/>
  <c r="F1055" i="1"/>
  <c r="F1262" i="1"/>
  <c r="F1075" i="1"/>
  <c r="F1615" i="1"/>
  <c r="F272" i="1"/>
  <c r="F1002" i="1"/>
  <c r="F65" i="1"/>
  <c r="F53" i="1"/>
  <c r="F1274" i="1"/>
  <c r="F1211" i="1"/>
  <c r="F1676" i="1"/>
  <c r="F333" i="1"/>
  <c r="F1469" i="1"/>
  <c r="F126" i="1"/>
  <c r="F1382" i="1"/>
  <c r="F1230" i="1"/>
  <c r="F1054" i="1"/>
  <c r="F1737" i="1"/>
  <c r="F394" i="1"/>
  <c r="F1530" i="1"/>
  <c r="F187" i="1"/>
  <c r="F1266" i="1"/>
  <c r="F1150" i="1"/>
  <c r="F1297" i="1"/>
  <c r="F1798" i="1"/>
  <c r="F455" i="1"/>
  <c r="F1591" i="1"/>
  <c r="F248" i="1"/>
  <c r="F1186" i="1"/>
  <c r="F546" i="1"/>
  <c r="F1336" i="1"/>
  <c r="F1859" i="1"/>
  <c r="F516" i="1"/>
  <c r="F1652" i="1"/>
  <c r="F309" i="1"/>
  <c r="F978" i="1"/>
  <c r="F1218" i="1"/>
  <c r="F1365" i="1"/>
  <c r="F1932" i="1"/>
  <c r="F577" i="1"/>
  <c r="F1713" i="1"/>
  <c r="F370" i="1"/>
  <c r="F1146" i="1"/>
  <c r="F1084" i="1"/>
  <c r="F1694" i="1"/>
  <c r="F52" i="1"/>
  <c r="F626" i="1"/>
  <c r="F1774" i="1"/>
  <c r="F431" i="1"/>
  <c r="F1467" i="1"/>
  <c r="F1279" i="1"/>
  <c r="F1290" i="1"/>
  <c r="F816" i="1"/>
  <c r="F207" i="1"/>
  <c r="F1582" i="1"/>
  <c r="F534" i="1"/>
  <c r="F1039" i="1"/>
  <c r="F192" i="1"/>
  <c r="F130" i="1"/>
  <c r="F1011" i="1"/>
  <c r="F369" i="1"/>
  <c r="F1045" i="1"/>
  <c r="F1922" i="1"/>
  <c r="F669" i="1"/>
  <c r="F583" i="1"/>
  <c r="F806" i="1"/>
  <c r="F994" i="1"/>
  <c r="F118" i="1"/>
  <c r="F704" i="1"/>
  <c r="F1840" i="1"/>
  <c r="F497" i="1"/>
  <c r="F1324" i="1"/>
  <c r="F1371" i="1"/>
  <c r="F1440" i="1"/>
  <c r="F179" i="1"/>
  <c r="F765" i="1"/>
  <c r="F1901" i="1"/>
  <c r="F558" i="1"/>
  <c r="F1407" i="1"/>
  <c r="F1123" i="1"/>
  <c r="F1261" i="1"/>
  <c r="F240" i="1"/>
  <c r="F826" i="1"/>
  <c r="F33" i="1"/>
  <c r="F619" i="1"/>
  <c r="F1159" i="1"/>
  <c r="F1295" i="1"/>
  <c r="F1179" i="1"/>
  <c r="F1004" i="1"/>
  <c r="F67" i="1"/>
  <c r="F797" i="1"/>
  <c r="F1789" i="1"/>
  <c r="F1236" i="1"/>
  <c r="F1389" i="1"/>
  <c r="F1207" i="1"/>
  <c r="F1471" i="1"/>
  <c r="F128" i="1"/>
  <c r="F858" i="1"/>
  <c r="F1850" i="1"/>
  <c r="F1223" i="1"/>
  <c r="F1345" i="1"/>
  <c r="F1415" i="1"/>
  <c r="F1532" i="1"/>
  <c r="F189" i="1"/>
  <c r="F919" i="1"/>
  <c r="F1911" i="1"/>
  <c r="F1381" i="1"/>
  <c r="F1086" i="1"/>
  <c r="F1137" i="1"/>
  <c r="F1593" i="1"/>
  <c r="F250" i="1"/>
  <c r="F980" i="1"/>
  <c r="F43" i="1"/>
  <c r="F1122" i="1"/>
  <c r="F1413" i="1"/>
  <c r="F1153" i="1"/>
  <c r="F1654" i="1"/>
  <c r="F311" i="1"/>
  <c r="F1041" i="1"/>
  <c r="F104" i="1"/>
  <c r="F1449" i="1"/>
  <c r="F341" i="1"/>
  <c r="F1433" i="1"/>
  <c r="F1715" i="1"/>
  <c r="F372" i="1"/>
  <c r="F1508" i="1"/>
  <c r="F165" i="1"/>
  <c r="F773" i="1"/>
  <c r="F1181" i="1"/>
  <c r="F1412" i="1"/>
  <c r="F1788" i="1"/>
  <c r="F433" i="1"/>
  <c r="F1569" i="1"/>
  <c r="F226" i="1"/>
  <c r="F1143" i="1"/>
  <c r="F1383" i="1"/>
  <c r="F1489" i="1"/>
  <c r="F611" i="1"/>
  <c r="F500" i="1"/>
  <c r="F1875" i="1"/>
  <c r="F827" i="1"/>
  <c r="F800" i="1"/>
  <c r="F1882" i="1"/>
  <c r="F1567" i="1"/>
  <c r="F1710" i="1"/>
  <c r="F650" i="1"/>
  <c r="F1744" i="1"/>
  <c r="F286" i="1"/>
  <c r="F950" i="1"/>
  <c r="F173" i="1"/>
  <c r="F408" i="1"/>
  <c r="F789" i="1"/>
  <c r="F1842" i="1"/>
  <c r="F499" i="1"/>
  <c r="F1635" i="1"/>
  <c r="F292" i="1"/>
  <c r="F424" i="1"/>
  <c r="F1355" i="1"/>
  <c r="F1112" i="1"/>
  <c r="F1903" i="1"/>
  <c r="F560" i="1"/>
  <c r="F1696" i="1"/>
  <c r="F353" i="1"/>
  <c r="F1215" i="1"/>
  <c r="F1227" i="1"/>
  <c r="F1296" i="1"/>
  <c r="F35" i="1"/>
  <c r="F621" i="1"/>
  <c r="F1757" i="1"/>
  <c r="F414" i="1"/>
  <c r="F1263" i="1"/>
  <c r="F1072" i="1"/>
  <c r="F712" i="1"/>
  <c r="F799" i="1"/>
  <c r="F1791" i="1"/>
  <c r="F592" i="1"/>
  <c r="F1596" i="1"/>
  <c r="F1435" i="1"/>
  <c r="F1101" i="1"/>
  <c r="F1311" i="1"/>
  <c r="F860" i="1"/>
  <c r="F1852" i="1"/>
  <c r="F653" i="1"/>
  <c r="F1645" i="1"/>
  <c r="F1092" i="1"/>
  <c r="F1387" i="1"/>
  <c r="F1063" i="1"/>
  <c r="F921" i="1"/>
  <c r="F1913" i="1"/>
  <c r="F714" i="1"/>
  <c r="F1706" i="1"/>
  <c r="F1436" i="1"/>
  <c r="F1201" i="1"/>
  <c r="F1139" i="1"/>
  <c r="F982" i="1"/>
  <c r="F45" i="1"/>
  <c r="F775" i="1"/>
  <c r="F1767" i="1"/>
  <c r="F1237" i="1"/>
  <c r="F1166" i="1"/>
  <c r="F1134" i="1"/>
  <c r="F1043" i="1"/>
  <c r="F106" i="1"/>
  <c r="F836" i="1"/>
  <c r="F1828" i="1"/>
  <c r="F1060" i="1"/>
  <c r="F1065" i="1"/>
  <c r="F1235" i="1"/>
  <c r="F1510" i="1"/>
  <c r="F167" i="1"/>
  <c r="F897" i="1"/>
  <c r="F1889" i="1"/>
  <c r="F1269" i="1"/>
  <c r="F136" i="1"/>
  <c r="F1289" i="1"/>
  <c r="F1571" i="1"/>
  <c r="F228" i="1"/>
  <c r="F958" i="1"/>
  <c r="F21" i="1"/>
  <c r="F568" i="1"/>
  <c r="F1214" i="1"/>
  <c r="F1268" i="1"/>
  <c r="F406" i="1"/>
  <c r="F793" i="1"/>
  <c r="F239" i="1"/>
  <c r="F1526" i="1"/>
  <c r="F1499" i="1"/>
  <c r="F246" i="1"/>
  <c r="F922" i="1"/>
  <c r="F812" i="1"/>
  <c r="F158" i="1"/>
  <c r="F108" i="1"/>
  <c r="F579" i="1"/>
  <c r="F1661" i="1"/>
  <c r="F466" i="1"/>
  <c r="F1927" i="1"/>
  <c r="F584" i="1"/>
  <c r="F1637" i="1"/>
  <c r="F294" i="1"/>
  <c r="F1024" i="1"/>
  <c r="F87" i="1"/>
  <c r="F1340" i="1"/>
  <c r="F1344" i="1"/>
  <c r="F1132" i="1"/>
  <c r="F1698" i="1"/>
  <c r="F355" i="1"/>
  <c r="F1491" i="1"/>
  <c r="F148" i="1"/>
  <c r="F1492" i="1"/>
  <c r="F532" i="1"/>
  <c r="F1819" i="1"/>
  <c r="F1792" i="1"/>
  <c r="F539" i="1"/>
  <c r="F1621" i="1"/>
  <c r="F573" i="1"/>
  <c r="F463" i="1"/>
  <c r="F934" i="1"/>
  <c r="F872" i="1"/>
  <c r="F25" i="1"/>
  <c r="F1780" i="1"/>
  <c r="F1722" i="1"/>
  <c r="F440" i="1"/>
  <c r="F1026" i="1"/>
  <c r="F89" i="1"/>
  <c r="F819" i="1"/>
  <c r="F1403" i="1"/>
  <c r="F1217" i="1"/>
  <c r="F1096" i="1"/>
  <c r="F1348" i="1"/>
  <c r="F1493" i="1"/>
  <c r="F150" i="1"/>
  <c r="F880" i="1"/>
  <c r="F1884" i="1"/>
  <c r="F1196" i="1"/>
  <c r="F1200" i="1"/>
  <c r="F1384" i="1"/>
  <c r="F1554" i="1"/>
  <c r="F211" i="1"/>
  <c r="F941" i="1"/>
  <c r="F4" i="1"/>
  <c r="F1380" i="1"/>
  <c r="F1451" i="1"/>
  <c r="F1351" i="1"/>
  <c r="F389" i="1"/>
  <c r="F975" i="1"/>
  <c r="F170" i="1"/>
  <c r="F1158" i="1"/>
  <c r="F1094" i="1"/>
  <c r="F1402" i="1"/>
  <c r="F1793" i="1"/>
  <c r="F450" i="1"/>
  <c r="F1036" i="1"/>
  <c r="F243" i="1"/>
  <c r="F1078" i="1"/>
  <c r="F1395" i="1"/>
  <c r="F1188" i="1"/>
  <c r="F917" i="1"/>
  <c r="F511" i="1"/>
  <c r="F1503" i="1"/>
  <c r="F304" i="1"/>
  <c r="F1611" i="1"/>
  <c r="F1147" i="1"/>
  <c r="F1448" i="1"/>
  <c r="F1430" i="1"/>
  <c r="F572" i="1"/>
  <c r="F1564" i="1"/>
  <c r="F365" i="1"/>
  <c r="F951" i="1"/>
  <c r="F1331" i="1"/>
  <c r="F1169" i="1"/>
  <c r="F1314" i="1"/>
  <c r="F633" i="1"/>
  <c r="F1625" i="1"/>
  <c r="F426" i="1"/>
  <c r="F1012" i="1"/>
  <c r="F1062" i="1"/>
  <c r="F1185" i="1"/>
  <c r="F1234" i="1"/>
  <c r="F694" i="1"/>
  <c r="F1686" i="1"/>
  <c r="F487" i="1"/>
  <c r="F1479" i="1"/>
  <c r="F1067" i="1"/>
  <c r="F1193" i="1"/>
  <c r="F1249" i="1"/>
  <c r="F755" i="1"/>
  <c r="F1747" i="1"/>
  <c r="F548" i="1"/>
  <c r="F1540" i="1"/>
  <c r="F1229" i="1"/>
  <c r="F1172" i="1"/>
  <c r="F1232" i="1"/>
  <c r="F1925" i="1"/>
  <c r="F1785" i="1"/>
  <c r="F825" i="1"/>
  <c r="F183" i="1"/>
  <c r="F156" i="1"/>
  <c r="F832" i="1"/>
  <c r="F1914" i="1"/>
  <c r="F854" i="1"/>
  <c r="F224" i="1"/>
  <c r="F695" i="1"/>
  <c r="F380" i="1"/>
  <c r="F318" i="1"/>
  <c r="F1575" i="1"/>
  <c r="F1517" i="1"/>
  <c r="F235" i="1"/>
  <c r="F821" i="1"/>
  <c r="F1813" i="1"/>
  <c r="F602" i="1"/>
  <c r="F1051" i="1"/>
  <c r="F1138" i="1"/>
  <c r="F1283" i="1"/>
  <c r="F296" i="1"/>
  <c r="F882" i="1"/>
  <c r="F1874" i="1"/>
  <c r="F675" i="1"/>
  <c r="F1079" i="1"/>
  <c r="F1073" i="1"/>
  <c r="F1350" i="1"/>
  <c r="F1253" i="1"/>
  <c r="F943" i="1"/>
  <c r="F6" i="1"/>
  <c r="F736" i="1"/>
  <c r="F1740" i="1"/>
  <c r="F1052" i="1"/>
  <c r="F1056" i="1"/>
  <c r="F1077" i="1"/>
  <c r="F184" i="1"/>
  <c r="F902" i="1"/>
  <c r="F1906" i="1"/>
  <c r="F1273" i="1"/>
  <c r="F690" i="1"/>
  <c r="F1338" i="1"/>
  <c r="F1588" i="1"/>
  <c r="F245" i="1"/>
  <c r="F831" i="1"/>
  <c r="F26" i="1"/>
  <c r="F1216" i="1"/>
  <c r="F1432" i="1"/>
  <c r="F1258" i="1"/>
  <c r="F1649" i="1"/>
  <c r="F306" i="1"/>
  <c r="F892" i="1"/>
  <c r="F99" i="1"/>
  <c r="F1341" i="1"/>
  <c r="F1251" i="1"/>
  <c r="F1420" i="1"/>
  <c r="F1367" i="1"/>
  <c r="F367" i="1"/>
  <c r="F953" i="1"/>
  <c r="F160" i="1"/>
  <c r="F1000" i="1"/>
  <c r="F1144" i="1"/>
  <c r="F1304" i="1"/>
  <c r="F1429" i="1"/>
  <c r="F428" i="1"/>
  <c r="F1014" i="1"/>
  <c r="F221" i="1"/>
  <c r="F807" i="1"/>
  <c r="F1113" i="1"/>
  <c r="F1059" i="1"/>
  <c r="F1170" i="1"/>
  <c r="F489" i="1"/>
  <c r="F1481" i="1"/>
  <c r="F282" i="1"/>
  <c r="F868" i="1"/>
  <c r="F1142" i="1"/>
  <c r="F1259" i="1"/>
  <c r="F1090" i="1"/>
  <c r="F550" i="1"/>
  <c r="F1542" i="1"/>
  <c r="F343" i="1"/>
  <c r="F929" i="1"/>
  <c r="F1426" i="1"/>
  <c r="F1049" i="1"/>
  <c r="F1755" i="1"/>
  <c r="F1720" i="1"/>
  <c r="F149" i="1"/>
  <c r="F1536" i="1"/>
  <c r="F476" i="1"/>
  <c r="F449" i="1"/>
  <c r="F1531" i="1"/>
  <c r="F266" i="1"/>
  <c r="F1565" i="1"/>
  <c r="F517" i="1"/>
  <c r="F988" i="1"/>
  <c r="F141" i="1"/>
  <c r="F759" i="1"/>
  <c r="F906" i="1"/>
  <c r="F30" i="1"/>
  <c r="F616" i="1"/>
  <c r="F1620" i="1"/>
  <c r="F409" i="1"/>
  <c r="F1155" i="1"/>
  <c r="F1149" i="1"/>
  <c r="F1231" i="1"/>
  <c r="F91" i="1"/>
  <c r="F677" i="1"/>
  <c r="F1669" i="1"/>
  <c r="F458" i="1"/>
  <c r="F1446" i="1"/>
  <c r="F1160" i="1"/>
  <c r="F1439" i="1"/>
  <c r="F152" i="1"/>
  <c r="F738" i="1"/>
  <c r="F1730" i="1"/>
  <c r="F531" i="1"/>
  <c r="F1366" i="1"/>
  <c r="F1070" i="1"/>
  <c r="F1288" i="1"/>
  <c r="F1287" i="1"/>
  <c r="F1920" i="1"/>
  <c r="F709" i="1"/>
  <c r="F1701" i="1"/>
  <c r="F1220" i="1"/>
  <c r="F1425" i="1"/>
  <c r="F1089" i="1"/>
  <c r="F977" i="1"/>
  <c r="F40" i="1"/>
  <c r="F758" i="1"/>
  <c r="F1762" i="1"/>
  <c r="F1129" i="1"/>
  <c r="F485" i="1"/>
  <c r="F1194" i="1"/>
  <c r="F1038" i="1"/>
  <c r="F101" i="1"/>
  <c r="F687" i="1"/>
  <c r="F1823" i="1"/>
  <c r="F1409" i="1"/>
  <c r="F1202" i="1"/>
  <c r="F1114" i="1"/>
  <c r="F1505" i="1"/>
  <c r="F162" i="1"/>
  <c r="F748" i="1"/>
  <c r="F1896" i="1"/>
  <c r="F1388" i="1"/>
  <c r="F1107" i="1"/>
  <c r="F114" i="1"/>
  <c r="F1293" i="1"/>
  <c r="F223" i="1"/>
  <c r="F809" i="1"/>
  <c r="F16" i="1"/>
  <c r="F795" i="1"/>
  <c r="F1398" i="1"/>
  <c r="F1255" i="1"/>
  <c r="F1285" i="1"/>
  <c r="F284" i="1"/>
  <c r="F870" i="1"/>
  <c r="F77" i="1"/>
  <c r="F663" i="1"/>
  <c r="F1318" i="1"/>
  <c r="F402" i="1"/>
  <c r="F1276" i="1"/>
  <c r="F345" i="1"/>
  <c r="F931" i="1"/>
  <c r="F138" i="1"/>
  <c r="F724" i="1"/>
  <c r="F1321" i="1"/>
  <c r="F1111" i="1"/>
  <c r="F1353" i="1"/>
  <c r="F1515" i="1"/>
  <c r="F442" i="1"/>
  <c r="F1817" i="1"/>
  <c r="F769" i="1"/>
  <c r="F742" i="1"/>
  <c r="F1836" i="1"/>
  <c r="F571" i="1"/>
  <c r="F1858" i="1"/>
  <c r="F810" i="1"/>
  <c r="F1687" i="1"/>
  <c r="F422" i="1"/>
  <c r="F1458" i="1"/>
  <c r="F701" i="1"/>
  <c r="F1754" i="1"/>
  <c r="F411" i="1"/>
  <c r="F1547" i="1"/>
  <c r="F204" i="1"/>
  <c r="F507" i="1"/>
  <c r="F1450" i="1"/>
  <c r="F1335" i="1"/>
  <c r="F1815" i="1"/>
  <c r="F472" i="1"/>
  <c r="F1476" i="1"/>
  <c r="F265" i="1"/>
  <c r="F1418" i="1"/>
  <c r="F1347" i="1"/>
  <c r="F1087" i="1"/>
  <c r="F1876" i="1"/>
  <c r="F533" i="1"/>
  <c r="F1525" i="1"/>
  <c r="F314" i="1"/>
  <c r="F1302" i="1"/>
  <c r="F1322" i="1"/>
  <c r="F1187" i="1"/>
  <c r="F711" i="1"/>
  <c r="F1703" i="1"/>
  <c r="F504" i="1"/>
  <c r="F1496" i="1"/>
  <c r="F1115" i="1"/>
  <c r="F1238" i="1"/>
  <c r="F1076" i="1"/>
  <c r="F772" i="1"/>
  <c r="F1776" i="1"/>
  <c r="F565" i="1"/>
  <c r="F1557" i="1"/>
  <c r="F1264" i="1"/>
  <c r="F1161" i="1"/>
  <c r="F1309" i="1"/>
  <c r="F833" i="1"/>
  <c r="F1825" i="1"/>
  <c r="F614" i="1"/>
  <c r="F1618" i="1"/>
  <c r="F1175" i="1"/>
  <c r="F280" i="1"/>
  <c r="F1050" i="1"/>
  <c r="F894" i="1"/>
  <c r="F1886" i="1"/>
  <c r="F543" i="1"/>
  <c r="F1679" i="1"/>
  <c r="F1265" i="1"/>
  <c r="F1053" i="1"/>
  <c r="F1377" i="1"/>
  <c r="F955" i="1"/>
  <c r="F18" i="1"/>
  <c r="F604" i="1"/>
  <c r="F1752" i="1"/>
  <c r="F1244" i="1"/>
  <c r="F1370" i="1"/>
  <c r="F1838" i="1"/>
  <c r="F1315" i="1"/>
  <c r="F79" i="1"/>
  <c r="F665" i="1"/>
  <c r="F1801" i="1"/>
  <c r="F1428" i="1"/>
  <c r="F1254" i="1"/>
  <c r="F1074" i="1"/>
  <c r="F1141" i="1"/>
  <c r="F140" i="1"/>
  <c r="F726" i="1"/>
  <c r="F1862" i="1"/>
  <c r="F519" i="1"/>
  <c r="F1174" i="1"/>
  <c r="F197" i="1"/>
  <c r="F1421" i="1"/>
  <c r="F904" i="1"/>
  <c r="F1272" i="1"/>
  <c r="F1845" i="1"/>
  <c r="F94" i="1"/>
  <c r="F948" i="1"/>
  <c r="F423" i="1"/>
  <c r="F1226" i="1"/>
  <c r="F1184" i="1"/>
  <c r="F1183" i="1"/>
  <c r="F985" i="1"/>
  <c r="F316" i="1"/>
  <c r="F482" i="1"/>
  <c r="F814" i="1"/>
  <c r="F1806" i="1"/>
  <c r="F363" i="1"/>
  <c r="F1333" i="1"/>
  <c r="F1124" i="1"/>
  <c r="F1500" i="1"/>
  <c r="F145" i="1"/>
  <c r="F875" i="1"/>
  <c r="F1867" i="1"/>
  <c r="F1342" i="1"/>
  <c r="F1095" i="1"/>
  <c r="F1308" i="1"/>
  <c r="F209" i="1"/>
  <c r="F1125" i="1"/>
  <c r="F1808" i="1"/>
  <c r="F877" i="1"/>
  <c r="F258" i="1"/>
  <c r="F1930" i="1"/>
  <c r="F1242" i="1"/>
  <c r="F1198" i="1"/>
  <c r="F680" i="1"/>
  <c r="F155" i="1"/>
  <c r="F1009" i="1"/>
  <c r="F484" i="1"/>
  <c r="F1271" i="1"/>
  <c r="F1368" i="1"/>
  <c r="F1346" i="1"/>
  <c r="F1034" i="1"/>
  <c r="F1603" i="1"/>
  <c r="F404" i="1"/>
  <c r="F990" i="1"/>
  <c r="F1085" i="1"/>
  <c r="F1240" i="1"/>
  <c r="F1434" i="1"/>
  <c r="F672" i="1"/>
  <c r="F1664" i="1"/>
  <c r="F465" i="1"/>
  <c r="F1457" i="1"/>
  <c r="F1064" i="1"/>
  <c r="F1212" i="1"/>
  <c r="F1396" i="1"/>
  <c r="F1291" i="1"/>
  <c r="F1830" i="1"/>
  <c r="F172" i="1"/>
  <c r="F1320" i="1"/>
  <c r="F1163" i="1"/>
  <c r="F731" i="1"/>
  <c r="F1777" i="1"/>
  <c r="F1189" i="1"/>
  <c r="F1222" i="1"/>
  <c r="F448" i="1"/>
  <c r="F1708" i="1"/>
  <c r="F777" i="1"/>
  <c r="F1378" i="1"/>
  <c r="F1337" i="1"/>
  <c r="F1373" i="1"/>
  <c r="F1745" i="1"/>
  <c r="F992" i="1"/>
  <c r="F199" i="1"/>
  <c r="F785" i="1"/>
  <c r="F1156" i="1"/>
  <c r="F1444" i="1"/>
  <c r="F1550" i="1"/>
  <c r="F467" i="1"/>
  <c r="F1459" i="1"/>
  <c r="F260" i="1"/>
  <c r="F846" i="1"/>
  <c r="F1154" i="1"/>
  <c r="F1411" i="1"/>
  <c r="F1397" i="1"/>
  <c r="F1106" i="1"/>
  <c r="F899" i="1"/>
  <c r="F1339" i="1"/>
  <c r="F1576" i="1"/>
  <c r="F1361" i="1"/>
  <c r="F1723" i="1"/>
  <c r="F1528" i="1"/>
  <c r="F1162" i="1"/>
  <c r="F1343" i="1"/>
  <c r="F741" i="1"/>
  <c r="F216" i="1"/>
  <c r="F1488" i="1"/>
  <c r="F545" i="1"/>
  <c r="F1301" i="1"/>
  <c r="F1379" i="1"/>
  <c r="F1190" i="1"/>
  <c r="F787" i="1"/>
  <c r="F1923" i="1"/>
  <c r="F580" i="1"/>
  <c r="F834" i="1"/>
  <c r="F1325" i="1"/>
  <c r="F1400" i="1"/>
  <c r="F262" i="1"/>
  <c r="F848" i="1"/>
  <c r="F55" i="1"/>
  <c r="F641" i="1"/>
  <c r="F1362" i="1"/>
  <c r="F1298" i="1"/>
  <c r="F939" i="1"/>
  <c r="F1152" i="1"/>
  <c r="F1501" i="1"/>
  <c r="F1872" i="1"/>
  <c r="F1275" i="1"/>
  <c r="F1126" i="1"/>
  <c r="F1364" i="1"/>
  <c r="F1250" i="1"/>
  <c r="F1083" i="1"/>
  <c r="F1192" i="1"/>
  <c r="F1816" i="1"/>
  <c r="F509" i="1"/>
  <c r="F1769" i="1"/>
  <c r="F838" i="1"/>
  <c r="F1419" i="1"/>
  <c r="F1316" i="1"/>
  <c r="F1352" i="1"/>
  <c r="F582" i="1"/>
  <c r="F1718" i="1"/>
  <c r="F375" i="1"/>
  <c r="F1437" i="1"/>
  <c r="F1921" i="1"/>
  <c r="F1277" i="1"/>
  <c r="F57" i="1"/>
  <c r="F643" i="1"/>
  <c r="F1779" i="1"/>
  <c r="F436" i="1"/>
  <c r="F629" i="1"/>
  <c r="F1359" i="1"/>
  <c r="F1256" i="1"/>
  <c r="F1759" i="1"/>
  <c r="F1354" i="1"/>
  <c r="F1081" i="1"/>
  <c r="F963" i="1"/>
  <c r="F1310" i="1"/>
  <c r="F1466" i="1"/>
  <c r="F1047" i="1"/>
  <c r="F1313" i="1"/>
  <c r="F1393" i="1"/>
  <c r="F802" i="1"/>
  <c r="F277" i="1"/>
  <c r="F1537" i="1"/>
  <c r="F606" i="1"/>
  <c r="F1280" i="1"/>
  <c r="F1225" i="1"/>
  <c r="F377" i="1"/>
  <c r="F1513" i="1"/>
  <c r="F1140" i="1"/>
  <c r="F1334" i="1"/>
  <c r="F1332" i="1"/>
  <c r="F1281" i="1"/>
  <c r="F1781" i="1"/>
  <c r="F438" i="1"/>
  <c r="F1574" i="1"/>
  <c r="F231" i="1"/>
  <c r="F1221" i="1"/>
  <c r="F1728" i="1"/>
  <c r="F1133" i="1"/>
  <c r="F1164" i="1"/>
  <c r="F570" i="1"/>
  <c r="F890" i="1"/>
  <c r="F233" i="1"/>
  <c r="F1088" i="1"/>
  <c r="F999" i="1"/>
  <c r="F123" i="1"/>
  <c r="F301" i="1"/>
  <c r="F1130" i="1"/>
  <c r="F1233" i="1"/>
  <c r="F1329" i="1"/>
  <c r="F863" i="1"/>
  <c r="F326" i="1"/>
  <c r="F1598" i="1"/>
  <c r="F667" i="1"/>
  <c r="F1464" i="1"/>
  <c r="F1908" i="1"/>
  <c r="F697" i="1"/>
  <c r="F1443" i="1"/>
  <c r="F1292" i="1"/>
  <c r="F1048" i="1"/>
  <c r="F379" i="1"/>
  <c r="F965" i="1"/>
  <c r="F28" i="1"/>
  <c r="F746" i="1"/>
  <c r="F1195" i="1"/>
  <c r="F1305" i="1"/>
  <c r="F1176" i="1"/>
  <c r="F1105" i="1"/>
  <c r="F1647" i="1"/>
  <c r="F1057" i="1"/>
  <c r="F609" i="1"/>
  <c r="F1356" i="1"/>
  <c r="F1869" i="1"/>
  <c r="F1358" i="1"/>
  <c r="F50" i="1"/>
  <c r="F416" i="1"/>
  <c r="F594" i="1"/>
  <c r="F1117" i="1"/>
  <c r="F1401" i="1"/>
  <c r="F1317" i="1"/>
  <c r="F1562" i="1"/>
  <c r="F631" i="1"/>
  <c r="F1891" i="1"/>
  <c r="F960" i="1"/>
  <c r="F1145" i="1"/>
  <c r="F1835" i="1"/>
  <c r="F492" i="1"/>
  <c r="F1406" i="1"/>
  <c r="F1257" i="1"/>
  <c r="F1408" i="1"/>
  <c r="F174" i="1"/>
  <c r="F760" i="1"/>
  <c r="F1764" i="1"/>
  <c r="F553" i="1"/>
  <c r="F1299" i="1"/>
  <c r="F1099" i="1"/>
  <c r="F1375" i="1"/>
  <c r="F387" i="1"/>
  <c r="F1093" i="1"/>
  <c r="F1601" i="1"/>
  <c r="F670" i="1"/>
  <c r="F792" i="1"/>
  <c r="F853" i="1"/>
  <c r="F887" i="1"/>
  <c r="F350" i="1"/>
  <c r="F1390" i="1"/>
  <c r="F1205" i="1"/>
  <c r="F1131" i="1"/>
  <c r="F924" i="1"/>
  <c r="F255" i="1"/>
  <c r="F1659" i="1"/>
  <c r="F1097" i="1"/>
  <c r="F1630" i="1"/>
  <c r="F287" i="1"/>
  <c r="F856" i="1"/>
  <c r="F1135" i="1"/>
  <c r="F1109" i="1"/>
  <c r="F1898" i="1"/>
  <c r="F555" i="1"/>
  <c r="F1691" i="1"/>
  <c r="F348" i="1"/>
  <c r="F1127" i="1"/>
  <c r="F1319" i="1"/>
  <c r="F1082" i="1"/>
  <c r="F716" i="1"/>
  <c r="F753" i="1"/>
  <c r="F1180" i="1"/>
  <c r="F1392" i="1"/>
  <c r="F1784" i="1"/>
  <c r="F1552" i="1"/>
  <c r="F1586" i="1"/>
  <c r="F655" i="1"/>
  <c r="F1167" i="1"/>
  <c r="F1206" i="1"/>
  <c r="F1243" i="1"/>
  <c r="F1623" i="1"/>
  <c r="F692" i="1"/>
  <c r="F23" i="1"/>
  <c r="F201" i="1"/>
  <c r="F1019" i="1"/>
  <c r="F82" i="1"/>
  <c r="F1404" i="1"/>
  <c r="F1239" i="1"/>
  <c r="F1452" i="1"/>
  <c r="F1693" i="1"/>
  <c r="F338" i="1"/>
  <c r="F1486" i="1"/>
  <c r="F143" i="1"/>
  <c r="F651" i="1"/>
  <c r="F1108" i="1"/>
  <c r="F1312" i="1"/>
  <c r="F219" i="1"/>
  <c r="F1684" i="1"/>
  <c r="F1208" i="1"/>
  <c r="F1662" i="1"/>
  <c r="F2" i="1"/>
  <c r="L11" i="1" l="1"/>
  <c r="L3" i="1"/>
  <c r="E1984" i="1"/>
  <c r="E338" i="1"/>
  <c r="E1662" i="1"/>
  <c r="E1208" i="1"/>
  <c r="E1684" i="1"/>
  <c r="E1206" i="1"/>
  <c r="E201" i="1"/>
  <c r="E1312" i="1"/>
  <c r="E651" i="1"/>
  <c r="E1127" i="1"/>
  <c r="E3711" i="1"/>
  <c r="E2806" i="1"/>
  <c r="E3990" i="1"/>
  <c r="E2476" i="1"/>
  <c r="E3812" i="1"/>
  <c r="E3980" i="1"/>
  <c r="E3609" i="1"/>
  <c r="E3893" i="1"/>
  <c r="E2034" i="1"/>
  <c r="E3006" i="1"/>
  <c r="E3684" i="1"/>
  <c r="E3885" i="1"/>
  <c r="E3619" i="1"/>
  <c r="E3299" i="1"/>
  <c r="E2876" i="1"/>
  <c r="E2907" i="1"/>
  <c r="E2743" i="1"/>
  <c r="E2273" i="1"/>
  <c r="E2848" i="1"/>
  <c r="E3933" i="1"/>
  <c r="E2052" i="1"/>
  <c r="E3229" i="1"/>
  <c r="E3803" i="1"/>
  <c r="E3301" i="1"/>
  <c r="E3125" i="1"/>
  <c r="E3835" i="1"/>
  <c r="E3676" i="1"/>
  <c r="E3626" i="1"/>
  <c r="E3733" i="1"/>
  <c r="E2418" i="1"/>
  <c r="E3941" i="1"/>
  <c r="E3561" i="1"/>
  <c r="E3472" i="1"/>
  <c r="E3510" i="1"/>
  <c r="E3389" i="1"/>
  <c r="E2134" i="1"/>
  <c r="E2623" i="1"/>
  <c r="E2399" i="1"/>
  <c r="E2730" i="1"/>
  <c r="E2537" i="1"/>
  <c r="E2140" i="1"/>
  <c r="E3577" i="1"/>
  <c r="E2565" i="1"/>
  <c r="E3359" i="1"/>
  <c r="E2694" i="1"/>
  <c r="E2608" i="1"/>
  <c r="E3653" i="1"/>
  <c r="E2277" i="1"/>
  <c r="E3849" i="1"/>
  <c r="E3563" i="1"/>
  <c r="E2037" i="1"/>
  <c r="E3970" i="1"/>
  <c r="E3015" i="1"/>
  <c r="E3798" i="1"/>
  <c r="E3663" i="1"/>
  <c r="E3905" i="1"/>
  <c r="E2050" i="1"/>
  <c r="E3556" i="1"/>
  <c r="E3716" i="1"/>
  <c r="E3919" i="1"/>
  <c r="E2899" i="1"/>
  <c r="E2169" i="1"/>
  <c r="E2528" i="1"/>
  <c r="E2660" i="1"/>
  <c r="E2198" i="1"/>
  <c r="E3771" i="1"/>
  <c r="E3975" i="1"/>
  <c r="E3469" i="1"/>
  <c r="E3878" i="1"/>
  <c r="E3402" i="1"/>
  <c r="E2909" i="1"/>
  <c r="E2510" i="1"/>
  <c r="E1999" i="1"/>
  <c r="E2289" i="1"/>
  <c r="E2403" i="1"/>
  <c r="E2823" i="1"/>
  <c r="E3865" i="1"/>
  <c r="E2554" i="1"/>
  <c r="E3330" i="1"/>
  <c r="E2135" i="1"/>
  <c r="E2122" i="1"/>
  <c r="E3660" i="1"/>
  <c r="E3571" i="1"/>
  <c r="E2026" i="1"/>
  <c r="E3423" i="1"/>
  <c r="E3883" i="1"/>
  <c r="E3498" i="1"/>
  <c r="E3795" i="1"/>
  <c r="E3214" i="1"/>
  <c r="E2487" i="1"/>
  <c r="E2007" i="1"/>
  <c r="E3491" i="1"/>
  <c r="E3666" i="1"/>
  <c r="E2274" i="1"/>
  <c r="E1992" i="1"/>
  <c r="E2168" i="1"/>
  <c r="E3275" i="1"/>
  <c r="E3464" i="1"/>
  <c r="E3530" i="1"/>
  <c r="E2009" i="1"/>
  <c r="E2991" i="1"/>
  <c r="E2415" i="1"/>
  <c r="E1988" i="1"/>
  <c r="E2000" i="1"/>
  <c r="E2467" i="1"/>
  <c r="E3541" i="1"/>
  <c r="E2408" i="1"/>
  <c r="E2287" i="1"/>
  <c r="E3869" i="1"/>
  <c r="E3914" i="1"/>
  <c r="E2210" i="1"/>
  <c r="E3868" i="1"/>
  <c r="E3749" i="1"/>
  <c r="E2774" i="1"/>
  <c r="E2411" i="1"/>
  <c r="E3013" i="1"/>
  <c r="E3827" i="1"/>
  <c r="E3682" i="1"/>
  <c r="E3613" i="1"/>
  <c r="E2417" i="1"/>
  <c r="E3873" i="1"/>
  <c r="E3592" i="1"/>
  <c r="E3521" i="1"/>
  <c r="E3354" i="1"/>
  <c r="E2578" i="1"/>
  <c r="E2727" i="1"/>
  <c r="E3524" i="1"/>
  <c r="E2922" i="1"/>
  <c r="E2555" i="1"/>
  <c r="E2150" i="1"/>
  <c r="E2053" i="1"/>
  <c r="E2090" i="1"/>
  <c r="E3973" i="1"/>
  <c r="E3726" i="1"/>
  <c r="E3360" i="1"/>
  <c r="E3633" i="1"/>
  <c r="E2190" i="1"/>
  <c r="E3627" i="1"/>
  <c r="E3501" i="1"/>
  <c r="E2705" i="1"/>
  <c r="E3946" i="1"/>
  <c r="E3511" i="1"/>
  <c r="E3670" i="1"/>
  <c r="E2056" i="1"/>
  <c r="E3928" i="1"/>
  <c r="E3615" i="1"/>
  <c r="E2741" i="1"/>
  <c r="E2838" i="1"/>
  <c r="E2051" i="1"/>
  <c r="E2561" i="1"/>
  <c r="E2422" i="1"/>
  <c r="E3989" i="1"/>
  <c r="E3916" i="1"/>
  <c r="E3703" i="1"/>
  <c r="E3383" i="1"/>
  <c r="E3783" i="1"/>
  <c r="E2560" i="1"/>
  <c r="E2758" i="1"/>
  <c r="E2295" i="1"/>
  <c r="E2486" i="1"/>
  <c r="E2957" i="1"/>
  <c r="E2084" i="1"/>
  <c r="E2108" i="1"/>
  <c r="E2656" i="1"/>
  <c r="E3639" i="1"/>
  <c r="E3734" i="1"/>
  <c r="E3722" i="1"/>
  <c r="E3896" i="1"/>
  <c r="E3929" i="1"/>
  <c r="E3651" i="1"/>
  <c r="E3700" i="1"/>
  <c r="E3506" i="1"/>
  <c r="E3528" i="1"/>
  <c r="E1987" i="1"/>
  <c r="E2674" i="1"/>
  <c r="E2861" i="1"/>
  <c r="E3610" i="1"/>
  <c r="E3370" i="1"/>
  <c r="E3428" i="1"/>
  <c r="E2114" i="1"/>
  <c r="E2322" i="1"/>
  <c r="E2557" i="1"/>
  <c r="E3432" i="1"/>
  <c r="E3131" i="1"/>
  <c r="E2416" i="1"/>
  <c r="E3581" i="1"/>
  <c r="E3548" i="1"/>
  <c r="E3358" i="1"/>
  <c r="E2419" i="1"/>
  <c r="E2366" i="1"/>
  <c r="E2020" i="1"/>
  <c r="E3066" i="1"/>
  <c r="E3379" i="1"/>
  <c r="E3050" i="1"/>
  <c r="E3145" i="1"/>
  <c r="E3576" i="1"/>
  <c r="E3767" i="1"/>
  <c r="E3955" i="1"/>
  <c r="E2328" i="1"/>
  <c r="E2767" i="1"/>
  <c r="E3853" i="1"/>
  <c r="E3335" i="1"/>
  <c r="E2285" i="1"/>
  <c r="E3775" i="1"/>
  <c r="E3677" i="1"/>
  <c r="E2736" i="1"/>
  <c r="E3720" i="1"/>
  <c r="E3546" i="1"/>
  <c r="E3374" i="1"/>
  <c r="E3606" i="1"/>
  <c r="E2434" i="1"/>
  <c r="E3809" i="1"/>
  <c r="E2776" i="1"/>
  <c r="E2061" i="1"/>
  <c r="E3580" i="1"/>
  <c r="E2852" i="1"/>
  <c r="E2680" i="1"/>
  <c r="E3956" i="1"/>
  <c r="E2757" i="1"/>
  <c r="E3829" i="1"/>
  <c r="E3543" i="1"/>
  <c r="E2159" i="1"/>
  <c r="E3675" i="1"/>
  <c r="E3732" i="1"/>
  <c r="E2450" i="1"/>
  <c r="E2708" i="1"/>
  <c r="E2143" i="1"/>
  <c r="E3040" i="1"/>
  <c r="E3968" i="1"/>
  <c r="E3391" i="1"/>
  <c r="E3378" i="1"/>
  <c r="E3621" i="1"/>
  <c r="E2482" i="1"/>
  <c r="E2564" i="1"/>
  <c r="E3144" i="1"/>
  <c r="E3871" i="1"/>
  <c r="E2266" i="1"/>
  <c r="E3507" i="1"/>
  <c r="E3765" i="1"/>
  <c r="E3908" i="1"/>
  <c r="E3898" i="1"/>
  <c r="E3238" i="1"/>
  <c r="E3942" i="1"/>
  <c r="E2453" i="1"/>
  <c r="E2049" i="1"/>
  <c r="E3654" i="1"/>
  <c r="E3832" i="1"/>
  <c r="E3550" i="1"/>
  <c r="E2718" i="1"/>
  <c r="E3313" i="1"/>
  <c r="E3622" i="1"/>
  <c r="E2875" i="1"/>
  <c r="E2654" i="1"/>
  <c r="E3819" i="1"/>
  <c r="E3876" i="1"/>
  <c r="E2339" i="1"/>
  <c r="E3240" i="1"/>
  <c r="E3595" i="1"/>
  <c r="E3384" i="1"/>
  <c r="E2655" i="1"/>
  <c r="E2556" i="1"/>
  <c r="E2596" i="1"/>
  <c r="E2636" i="1"/>
  <c r="E3043" i="1"/>
  <c r="E3545" i="1"/>
  <c r="E2883" i="1"/>
  <c r="E3286" i="1"/>
  <c r="E3959" i="1"/>
  <c r="E3132" i="1"/>
  <c r="E3363" i="1"/>
  <c r="E3696" i="1"/>
  <c r="E3668" i="1"/>
  <c r="E3404" i="1"/>
  <c r="E3604" i="1"/>
  <c r="E3814" i="1"/>
  <c r="E2954" i="1"/>
  <c r="E2850" i="1"/>
  <c r="E2323" i="1"/>
  <c r="E3008" i="1"/>
  <c r="E3098" i="1"/>
  <c r="E2814" i="1"/>
  <c r="E3392" i="1"/>
  <c r="E3142" i="1"/>
  <c r="E3253" i="1"/>
  <c r="E2599" i="1"/>
  <c r="E2383" i="1"/>
  <c r="E3836" i="1"/>
  <c r="E3466" i="1"/>
  <c r="E3475" i="1"/>
  <c r="E2010" i="1"/>
  <c r="E3038" i="1"/>
  <c r="E2745" i="1"/>
  <c r="E3773" i="1"/>
  <c r="E3350" i="1"/>
  <c r="E3880" i="1"/>
  <c r="E2585" i="1"/>
  <c r="E2648" i="1"/>
  <c r="E2458" i="1"/>
  <c r="E3802" i="1"/>
  <c r="E2902" i="1"/>
  <c r="E3642" i="1"/>
  <c r="E2780" i="1"/>
  <c r="E2368" i="1"/>
  <c r="E3365" i="1"/>
  <c r="E2301" i="1"/>
  <c r="E2278" i="1"/>
  <c r="E2271" i="1"/>
  <c r="E2392" i="1"/>
  <c r="E3303" i="1"/>
  <c r="E3740" i="1"/>
  <c r="E3421" i="1"/>
  <c r="E3235" i="1"/>
  <c r="E3372" i="1"/>
  <c r="E3019" i="1"/>
  <c r="E2999" i="1"/>
  <c r="E1986" i="1"/>
  <c r="E3551" i="1"/>
  <c r="E3760" i="1"/>
  <c r="E2721" i="1"/>
  <c r="E2303" i="1"/>
  <c r="E3789" i="1"/>
  <c r="E3671" i="1"/>
  <c r="E3637" i="1"/>
  <c r="E3476" i="1"/>
  <c r="E3492" i="1"/>
  <c r="E2060" i="1"/>
  <c r="E3982" i="1"/>
  <c r="E3923" i="1"/>
  <c r="E3913" i="1"/>
  <c r="E3485" i="1"/>
  <c r="E2900" i="1"/>
  <c r="E3237" i="1"/>
  <c r="E3351" i="1"/>
  <c r="E3461" i="1"/>
  <c r="E2873" i="1"/>
  <c r="E2866" i="1"/>
  <c r="E3972" i="1"/>
  <c r="E3943" i="1"/>
  <c r="E3479" i="1"/>
  <c r="E3277" i="1"/>
  <c r="E3471" i="1"/>
  <c r="E3406" i="1"/>
  <c r="E2930" i="1"/>
  <c r="E3367" i="1"/>
  <c r="E2786" i="1"/>
  <c r="E2849" i="1"/>
  <c r="E2016" i="1"/>
  <c r="E2225" i="1"/>
  <c r="E2373" i="1"/>
  <c r="E3786" i="1"/>
  <c r="E3482" i="1"/>
  <c r="E2291" i="1"/>
  <c r="E3531" i="1"/>
  <c r="E3623" i="1"/>
  <c r="E2499" i="1"/>
  <c r="E3766" i="1"/>
  <c r="E2354" i="1"/>
  <c r="E3342" i="1"/>
  <c r="E3489" i="1"/>
  <c r="E3993" i="1"/>
  <c r="E3590" i="1"/>
  <c r="E3431" i="1"/>
  <c r="E3547" i="1"/>
  <c r="E2526" i="1"/>
  <c r="E2626" i="1"/>
  <c r="E3790" i="1"/>
  <c r="E2717" i="1"/>
  <c r="E3288" i="1"/>
  <c r="E3487" i="1"/>
  <c r="E3954" i="1"/>
  <c r="E2919" i="1"/>
  <c r="E2265" i="1"/>
  <c r="E3380" i="1"/>
  <c r="E2770" i="1"/>
  <c r="E2563" i="1"/>
  <c r="E3504" i="1"/>
  <c r="E2998" i="1"/>
  <c r="E3826" i="1"/>
  <c r="E3785" i="1"/>
  <c r="E3683" i="1"/>
  <c r="E3415" i="1"/>
  <c r="E3882" i="1"/>
  <c r="E2750" i="1"/>
  <c r="E3847" i="1"/>
  <c r="E3751" i="1"/>
  <c r="E3759" i="1"/>
  <c r="E3678" i="1"/>
  <c r="E2032" i="1"/>
  <c r="E2457" i="1"/>
  <c r="E3124" i="1"/>
  <c r="E3388" i="1"/>
  <c r="E2731" i="1"/>
  <c r="E2083" i="1"/>
  <c r="E2312" i="1"/>
  <c r="E2478" i="1"/>
  <c r="E3490" i="1"/>
  <c r="E2409" i="1"/>
  <c r="E2235" i="1"/>
  <c r="E2597" i="1"/>
  <c r="E2126" i="1"/>
  <c r="E3559" i="1"/>
  <c r="E2995" i="1"/>
  <c r="E3272" i="1"/>
  <c r="E3764" i="1"/>
  <c r="E3881" i="1"/>
  <c r="E2924" i="1"/>
  <c r="E2343" i="1"/>
  <c r="E2305" i="1"/>
  <c r="E3462" i="1"/>
  <c r="E3518" i="1"/>
  <c r="E2334" i="1"/>
  <c r="E3199" i="1"/>
  <c r="E2606" i="1"/>
  <c r="E3307" i="1"/>
  <c r="E2033" i="1"/>
  <c r="E3341" i="1"/>
  <c r="E3961" i="1"/>
  <c r="E2047" i="1"/>
  <c r="E2402" i="1"/>
  <c r="E2715" i="1"/>
  <c r="E2091" i="1"/>
  <c r="E3034" i="1"/>
  <c r="E2583" i="1"/>
  <c r="E2201" i="1"/>
  <c r="E2678" i="1"/>
  <c r="E3801" i="1"/>
  <c r="E3362" i="1"/>
  <c r="E3902" i="1"/>
  <c r="E2566" i="1"/>
  <c r="E3514" i="1"/>
  <c r="E3707" i="1"/>
  <c r="E2362" i="1"/>
  <c r="E2511" i="1"/>
  <c r="E2484" i="1"/>
  <c r="E3331" i="1"/>
  <c r="E2103" i="1"/>
  <c r="E3763" i="1"/>
  <c r="E2327" i="1"/>
  <c r="E2803" i="1"/>
  <c r="E2798" i="1"/>
  <c r="E2840" i="1"/>
  <c r="E3171" i="1"/>
  <c r="E3984" i="1"/>
  <c r="E3909" i="1"/>
  <c r="E3708" i="1"/>
  <c r="E2222" i="1"/>
  <c r="E2311" i="1"/>
  <c r="E3985" i="1"/>
  <c r="E3645" i="1"/>
  <c r="E3596" i="1"/>
  <c r="E3926" i="1"/>
  <c r="E2014" i="1"/>
  <c r="E2769" i="1"/>
  <c r="E3532" i="1"/>
  <c r="E3558" i="1"/>
  <c r="E3594" i="1"/>
  <c r="E3688" i="1"/>
  <c r="E3950" i="1"/>
  <c r="E2176" i="1"/>
  <c r="E3309" i="1"/>
  <c r="E3509" i="1"/>
  <c r="E2590" i="1"/>
  <c r="E2130" i="1"/>
  <c r="E3628" i="1"/>
  <c r="E3769" i="1"/>
  <c r="E2138" i="1"/>
  <c r="E2021" i="1"/>
  <c r="E3721" i="1"/>
  <c r="E2438" i="1"/>
  <c r="E3007" i="1"/>
  <c r="E3736" i="1"/>
  <c r="E3630" i="1"/>
  <c r="E3930" i="1"/>
  <c r="E3702" i="1"/>
  <c r="E3903" i="1"/>
  <c r="E2019" i="1"/>
  <c r="E3664" i="1"/>
  <c r="E2174" i="1"/>
  <c r="E2792" i="1"/>
  <c r="E2634" i="1"/>
  <c r="E2048" i="1"/>
  <c r="E2513" i="1"/>
  <c r="E3823" i="1"/>
  <c r="E3478" i="1"/>
  <c r="E2027" i="1"/>
  <c r="E3395" i="1"/>
  <c r="E3193" i="1"/>
  <c r="E2043" i="1"/>
  <c r="E2046" i="1"/>
  <c r="E2888" i="1"/>
  <c r="E2022" i="1"/>
  <c r="E3519" i="1"/>
  <c r="E2337" i="1"/>
  <c r="E2894" i="1"/>
  <c r="E3560" i="1"/>
  <c r="E3523" i="1"/>
  <c r="E3659" i="1"/>
  <c r="E2018" i="1"/>
  <c r="E2950" i="1"/>
  <c r="E3709" i="1"/>
  <c r="E3892" i="1"/>
  <c r="E3889" i="1"/>
  <c r="E2795" i="1"/>
  <c r="E3494" i="1"/>
  <c r="E2882" i="1"/>
  <c r="E3424" i="1"/>
  <c r="E3762" i="1"/>
  <c r="E2859" i="1"/>
  <c r="E3282" i="1"/>
  <c r="E2314" i="1"/>
  <c r="E2286" i="1"/>
  <c r="E3540" i="1"/>
  <c r="E2003" i="1"/>
  <c r="E3481" i="1"/>
  <c r="E2993" i="1"/>
  <c r="E2810" i="1"/>
  <c r="E2729" i="1"/>
  <c r="E2441" i="1"/>
  <c r="E3369" i="1"/>
  <c r="E3473" i="1"/>
  <c r="E3616" i="1"/>
  <c r="E3714" i="1"/>
  <c r="E3411" i="1"/>
  <c r="E3041" i="1"/>
  <c r="E2147" i="1"/>
  <c r="E3839" i="1"/>
  <c r="E3436" i="1"/>
  <c r="E2613" i="1"/>
  <c r="E3778" i="1"/>
  <c r="E3033" i="1"/>
  <c r="E2192" i="1"/>
  <c r="E3408" i="1"/>
  <c r="E2677" i="1"/>
  <c r="E2871" i="1"/>
  <c r="E1993" i="1"/>
  <c r="E1997" i="1"/>
  <c r="E3746" i="1"/>
  <c r="E2028" i="1"/>
  <c r="E3553" i="1"/>
  <c r="E3861" i="1"/>
  <c r="E3589" i="1"/>
  <c r="E2669" i="1"/>
  <c r="E2128" i="1"/>
  <c r="E3385" i="1"/>
  <c r="E2109" i="1"/>
  <c r="E3448" i="1"/>
  <c r="E3674" i="1"/>
  <c r="E2214" i="1"/>
  <c r="E2345" i="1"/>
  <c r="E3888" i="1"/>
  <c r="E2154" i="1"/>
  <c r="E3445" i="1"/>
  <c r="E1995" i="1"/>
  <c r="E2587" i="1"/>
  <c r="E3884" i="1"/>
  <c r="E3841" i="1"/>
  <c r="E3401" i="1"/>
  <c r="E3414" i="1"/>
  <c r="E3522" i="1"/>
  <c r="E3502" i="1"/>
  <c r="E3346" i="1"/>
  <c r="E3761" i="1"/>
  <c r="E3855" i="1"/>
  <c r="E2703" i="1"/>
  <c r="E3044" i="1"/>
  <c r="E2890" i="1"/>
  <c r="E3910" i="1"/>
  <c r="E2572" i="1"/>
  <c r="E2252" i="1"/>
  <c r="E3911" i="1"/>
  <c r="E2601" i="1"/>
  <c r="E2015" i="1"/>
  <c r="E3947" i="1"/>
  <c r="E2163" i="1"/>
  <c r="E3863" i="1"/>
  <c r="E2283" i="1"/>
  <c r="E2716" i="1"/>
  <c r="E3962" i="1"/>
  <c r="E3022" i="1"/>
  <c r="E2846" i="1"/>
  <c r="E2031" i="1"/>
  <c r="E2086" i="1"/>
  <c r="E2501" i="1"/>
  <c r="E3652" i="1"/>
  <c r="E2379" i="1"/>
  <c r="E3705" i="1"/>
  <c r="E3333" i="1"/>
  <c r="E3690" i="1"/>
  <c r="E2762" i="1"/>
  <c r="E3792" i="1"/>
  <c r="E2853" i="1"/>
  <c r="E3463" i="1"/>
  <c r="E1985" i="1"/>
  <c r="E3294" i="1"/>
  <c r="E2164" i="1"/>
  <c r="E2452" i="1"/>
  <c r="E3429" i="1"/>
  <c r="E2427" i="1"/>
  <c r="E3695" i="1"/>
  <c r="E3870" i="1"/>
  <c r="E3382" i="1"/>
  <c r="E2851" i="1"/>
  <c r="E3451" i="1"/>
  <c r="E3110" i="1"/>
  <c r="E3165" i="1"/>
  <c r="E3851" i="1"/>
  <c r="E2011" i="1"/>
  <c r="E3852" i="1"/>
  <c r="E3808" i="1"/>
  <c r="E2829" i="1"/>
  <c r="E3806" i="1"/>
  <c r="E1990" i="1"/>
  <c r="E2621" i="1"/>
  <c r="E2738" i="1"/>
  <c r="E3046" i="1"/>
  <c r="E2284" i="1"/>
  <c r="E3964" i="1"/>
  <c r="E3804" i="1"/>
  <c r="E2522" i="1"/>
  <c r="E3617" i="1"/>
  <c r="E3465" i="1"/>
  <c r="E3921" i="1"/>
  <c r="E3729" i="1"/>
  <c r="E2575" i="1"/>
  <c r="E3536" i="1"/>
  <c r="E3516" i="1"/>
  <c r="E3513" i="1"/>
  <c r="E2055" i="1"/>
  <c r="E1982" i="1"/>
  <c r="E3276" i="1"/>
  <c r="E3544" i="1"/>
  <c r="E3646" i="1"/>
  <c r="E2864" i="1"/>
  <c r="E2755" i="1"/>
  <c r="E2332" i="1"/>
  <c r="E3289" i="1"/>
  <c r="E3068" i="1"/>
  <c r="E3918" i="1"/>
  <c r="E3618" i="1"/>
  <c r="E2182" i="1"/>
  <c r="E2446" i="1"/>
  <c r="E3824" i="1"/>
  <c r="E3155" i="1"/>
  <c r="E3375" i="1"/>
  <c r="E3191" i="1"/>
  <c r="E2116" i="1"/>
  <c r="E2023" i="1"/>
  <c r="E3794" i="1"/>
  <c r="E3685" i="1"/>
  <c r="E3357" i="1"/>
  <c r="E2722" i="1"/>
  <c r="E3872" i="1"/>
  <c r="E3641" i="1"/>
  <c r="E2799" i="1"/>
  <c r="E2753" i="1"/>
  <c r="E2562" i="1"/>
  <c r="E3003" i="1"/>
  <c r="E2793" i="1"/>
  <c r="E3000" i="1"/>
  <c r="E3263" i="1"/>
  <c r="E3724" i="1"/>
  <c r="E3486" i="1"/>
  <c r="E3352" i="1"/>
  <c r="E3527" i="1"/>
  <c r="E2276" i="1"/>
  <c r="E3987" i="1"/>
  <c r="E2025" i="1"/>
  <c r="E2481" i="1"/>
  <c r="E2857" i="1"/>
  <c r="E2059" i="1"/>
  <c r="E2440" i="1"/>
  <c r="E3345" i="1"/>
  <c r="E2313" i="1"/>
  <c r="E3997" i="1"/>
  <c r="E3567" i="1"/>
  <c r="E2012" i="1"/>
  <c r="E3983" i="1"/>
  <c r="E3328" i="1"/>
  <c r="E2204" i="1"/>
  <c r="E3569" i="1"/>
  <c r="E3791" i="1"/>
  <c r="E2571" i="1"/>
  <c r="E3886" i="1"/>
  <c r="E2145" i="1"/>
  <c r="E3948" i="1"/>
  <c r="E3533" i="1"/>
  <c r="E2447" i="1"/>
  <c r="E2042" i="1"/>
  <c r="E3665" i="1"/>
  <c r="E2649" i="1"/>
  <c r="E3901" i="1"/>
  <c r="E3977" i="1"/>
  <c r="E2462" i="1"/>
  <c r="E3584" i="1"/>
  <c r="E2151" i="1"/>
  <c r="E3939" i="1"/>
  <c r="E2342" i="1"/>
  <c r="E2167" i="1"/>
  <c r="E2044" i="1"/>
  <c r="E2270" i="1"/>
  <c r="E2746" i="1"/>
  <c r="E3210" i="1"/>
  <c r="E2199" i="1"/>
  <c r="E1994" i="1"/>
  <c r="E2246" i="1"/>
  <c r="E3996" i="1"/>
  <c r="E3828" i="1"/>
  <c r="E3248" i="1"/>
  <c r="E2275" i="1"/>
  <c r="E2445" i="1"/>
  <c r="E3620" i="1"/>
  <c r="E3680" i="1"/>
  <c r="E2430" i="1"/>
  <c r="E3859" i="1"/>
  <c r="E3399" i="1"/>
  <c r="E3640" i="1"/>
  <c r="E3774" i="1"/>
  <c r="E3265" i="1"/>
  <c r="E2131" i="1"/>
  <c r="E2299" i="1"/>
  <c r="E2234" i="1"/>
  <c r="E3446" i="1"/>
  <c r="E3904" i="1"/>
  <c r="E3936" i="1"/>
  <c r="E2765" i="1"/>
  <c r="E3005" i="1"/>
  <c r="E2310" i="1"/>
  <c r="E3846" i="1"/>
  <c r="E3349" i="1"/>
  <c r="E2315" i="1"/>
  <c r="E2141" i="1"/>
  <c r="E3419" i="1"/>
  <c r="E2847" i="1"/>
  <c r="E3777" i="1"/>
  <c r="E3321" i="1"/>
  <c r="E3712" i="1"/>
  <c r="E3454" i="1"/>
  <c r="E2918" i="1"/>
  <c r="E2144" i="1"/>
  <c r="E3450" i="1"/>
  <c r="E3217" i="1"/>
  <c r="E2300" i="1"/>
  <c r="E3055" i="1"/>
  <c r="E2842" i="1"/>
  <c r="E3745" i="1"/>
  <c r="E3741" i="1"/>
  <c r="E3499" i="1"/>
  <c r="E2410" i="1"/>
  <c r="E3598" i="1"/>
  <c r="E2288" i="1"/>
  <c r="E3271" i="1"/>
  <c r="E3747" i="1"/>
  <c r="E3834" i="1"/>
  <c r="E3978" i="1"/>
  <c r="E3526" i="1"/>
  <c r="E2751" i="1"/>
  <c r="E3249" i="1"/>
  <c r="E3995" i="1"/>
  <c r="E2633" i="1"/>
  <c r="E2057" i="1"/>
  <c r="E3940" i="1"/>
  <c r="E3796" i="1"/>
  <c r="E2045" i="1"/>
  <c r="E2378" i="1"/>
  <c r="E2895" i="1"/>
  <c r="E3605" i="1"/>
  <c r="E3457" i="1"/>
  <c r="E3575" i="1"/>
  <c r="E3922" i="1"/>
  <c r="E2469" i="1"/>
  <c r="E3053" i="1"/>
  <c r="E2282" i="1"/>
  <c r="E3737" i="1"/>
  <c r="E3102" i="1"/>
  <c r="E3416" i="1"/>
  <c r="E2405" i="1"/>
  <c r="E3327" i="1"/>
  <c r="E3757" i="1"/>
  <c r="E2297" i="1"/>
  <c r="E3629" i="1"/>
  <c r="E3927" i="1"/>
  <c r="E2394" i="1"/>
  <c r="E3016" i="1"/>
  <c r="E2855" i="1"/>
  <c r="E3648" i="1"/>
  <c r="E2035" i="1"/>
  <c r="E3027" i="1"/>
  <c r="E3831" i="1"/>
  <c r="E2483" i="1"/>
  <c r="E3907" i="1"/>
  <c r="E2223" i="1"/>
  <c r="E2955" i="1"/>
  <c r="E3597" i="1"/>
  <c r="E2432" i="1"/>
  <c r="E2739" i="1"/>
  <c r="E3960" i="1"/>
  <c r="E3935" i="1"/>
  <c r="E3236" i="1"/>
  <c r="E3614" i="1"/>
  <c r="E3555" i="1"/>
  <c r="E3326" i="1"/>
  <c r="E3570" i="1"/>
  <c r="E3818" i="1"/>
  <c r="E3797" i="1"/>
  <c r="E3772" i="1"/>
  <c r="E3420" i="1"/>
  <c r="E3938" i="1"/>
  <c r="E3325" i="1"/>
  <c r="E3844" i="1"/>
  <c r="E3634" i="1"/>
  <c r="E2040" i="1"/>
  <c r="E2609" i="1"/>
  <c r="E3371" i="1"/>
  <c r="E3434" i="1"/>
  <c r="E2720" i="1"/>
  <c r="E3647" i="1"/>
  <c r="E2854" i="1"/>
  <c r="E3754" i="1"/>
  <c r="E3470" i="1"/>
  <c r="E3433" i="1"/>
  <c r="E3441" i="1"/>
  <c r="E2643" i="1"/>
  <c r="E2512" i="1"/>
  <c r="E2994" i="1"/>
  <c r="E3966" i="1"/>
  <c r="E3452" i="1"/>
  <c r="E3925" i="1"/>
  <c r="E3535" i="1"/>
  <c r="E3534" i="1"/>
  <c r="E3719" i="1"/>
  <c r="E2775" i="1"/>
  <c r="E2306" i="1"/>
  <c r="E3417" i="1"/>
  <c r="E3753" i="1"/>
  <c r="E3515" i="1"/>
  <c r="E2880" i="1"/>
  <c r="E2318" i="1"/>
  <c r="E3991" i="1"/>
  <c r="E3958" i="1"/>
  <c r="E3568" i="1"/>
  <c r="E2966" i="1"/>
  <c r="E3355" i="1"/>
  <c r="E3262" i="1"/>
  <c r="E3051" i="1"/>
  <c r="E2435" i="1"/>
  <c r="E2111" i="1"/>
  <c r="E2897" i="1"/>
  <c r="E3026" i="1"/>
  <c r="E3562" i="1"/>
  <c r="E2227" i="1"/>
  <c r="E3386" i="1"/>
  <c r="E1996" i="1"/>
  <c r="E3440" i="1"/>
  <c r="E3704" i="1"/>
  <c r="E2559" i="1"/>
  <c r="E2710" i="1"/>
  <c r="E2505" i="1"/>
  <c r="E3312" i="1"/>
  <c r="E3377" i="1"/>
  <c r="E3752" i="1"/>
  <c r="E2390" i="1"/>
  <c r="E2298" i="1"/>
  <c r="E3031" i="1"/>
  <c r="E3692" i="1"/>
  <c r="E2183" i="1"/>
  <c r="E2670" i="1"/>
  <c r="E3585" i="1"/>
  <c r="E3396" i="1"/>
  <c r="E3713" i="1"/>
  <c r="E3953" i="1"/>
  <c r="E3201" i="1"/>
  <c r="E3600" i="1"/>
  <c r="E2586" i="1"/>
  <c r="E2946" i="1"/>
  <c r="E3890" i="1"/>
  <c r="E2961" i="1"/>
  <c r="E2577" i="1"/>
  <c r="E2631" i="1"/>
  <c r="E3988" i="1"/>
  <c r="E3004" i="1"/>
  <c r="E2320" i="1"/>
  <c r="E3343" i="1"/>
  <c r="E3425" i="1"/>
  <c r="E3840" i="1"/>
  <c r="E3967" i="1"/>
  <c r="E2967" i="1"/>
  <c r="E2207" i="1"/>
  <c r="E2978" i="1"/>
  <c r="E3992" i="1"/>
  <c r="E3650" i="1"/>
  <c r="E3838" i="1"/>
  <c r="E3715" i="1"/>
  <c r="E2690" i="1"/>
  <c r="E3181" i="1"/>
  <c r="E3437" i="1"/>
  <c r="E3439" i="1"/>
  <c r="E2155" i="1"/>
  <c r="E2602" i="1"/>
  <c r="E3204" i="1"/>
  <c r="E2992" i="1"/>
  <c r="E3366" i="1"/>
  <c r="E3250" i="1"/>
  <c r="E2431" i="1"/>
  <c r="E3701" i="1"/>
  <c r="E3453" i="1"/>
  <c r="E3807" i="1"/>
  <c r="E2004" i="1"/>
  <c r="E3168" i="1"/>
  <c r="E3897" i="1"/>
  <c r="E3784" i="1"/>
  <c r="E2942" i="1"/>
  <c r="E3602" i="1"/>
  <c r="E2872" i="1"/>
  <c r="E3340" i="1"/>
  <c r="E2181" i="1"/>
  <c r="E3338" i="1"/>
  <c r="E2459" i="1"/>
  <c r="E2620" i="1"/>
  <c r="E3103" i="1"/>
  <c r="E2650" i="1"/>
  <c r="E2920" i="1"/>
  <c r="E3503" i="1"/>
  <c r="E3691" i="1"/>
  <c r="E2272" i="1"/>
  <c r="E3770" i="1"/>
  <c r="E2036" i="1"/>
  <c r="E3444" i="1"/>
  <c r="E3758" i="1"/>
  <c r="E3739" i="1"/>
  <c r="E2097" i="1"/>
  <c r="E3738" i="1"/>
  <c r="E3717" i="1"/>
  <c r="E2695" i="1"/>
  <c r="E3208" i="1"/>
  <c r="E3376" i="1"/>
  <c r="E3816" i="1"/>
  <c r="E3815" i="1"/>
  <c r="E3495" i="1"/>
  <c r="E3965" i="1"/>
  <c r="E3779" i="1"/>
  <c r="E2127" i="1"/>
  <c r="E3782" i="1"/>
  <c r="E2213" i="1"/>
  <c r="E3687" i="1"/>
  <c r="E3667" i="1"/>
  <c r="E3608" i="1"/>
  <c r="E2455" i="1"/>
  <c r="E2125" i="1"/>
  <c r="E2764" i="1"/>
  <c r="E3728" i="1"/>
  <c r="E3020" i="1"/>
  <c r="E2162" i="1"/>
  <c r="E3689" i="1"/>
  <c r="E3409" i="1"/>
  <c r="E3308" i="1"/>
  <c r="E3672" i="1"/>
  <c r="E3573" i="1"/>
  <c r="E3635" i="1"/>
  <c r="E3056" i="1"/>
  <c r="E2865" i="1"/>
  <c r="E3347" i="1"/>
  <c r="E2357" i="1"/>
  <c r="E2421" i="1"/>
  <c r="E3397" i="1"/>
  <c r="E3979" i="1"/>
  <c r="E2152" i="1"/>
  <c r="E2157" i="1"/>
  <c r="E3241" i="1"/>
  <c r="E2887" i="1"/>
  <c r="E2396" i="1"/>
  <c r="E3822" i="1"/>
  <c r="E2171" i="1"/>
  <c r="E2863" i="1"/>
  <c r="E3588" i="1"/>
  <c r="E3387" i="1"/>
  <c r="E3917" i="1"/>
  <c r="E3915" i="1"/>
  <c r="E2347" i="1"/>
  <c r="E2913" i="1"/>
  <c r="E2429" i="1"/>
  <c r="E3178" i="1"/>
  <c r="E3572" i="1"/>
  <c r="E3583" i="1"/>
  <c r="E1989" i="1"/>
  <c r="E3843" i="1"/>
  <c r="E3781" i="1"/>
  <c r="E2241" i="1"/>
  <c r="E3332" i="1"/>
  <c r="E2259" i="1"/>
  <c r="E2573" i="1"/>
  <c r="E3200" i="1"/>
  <c r="E2348" i="1"/>
  <c r="E2734" i="1"/>
  <c r="E3334" i="1"/>
  <c r="E2380" i="1"/>
  <c r="E3658" i="1"/>
  <c r="E3227" i="1"/>
  <c r="E3742" i="1"/>
  <c r="E2986" i="1"/>
  <c r="E2885" i="1"/>
  <c r="E2492" i="1"/>
  <c r="E3976" i="1"/>
  <c r="E2166" i="1"/>
  <c r="E2936" i="1"/>
  <c r="E3860" i="1"/>
  <c r="E2188" i="1"/>
  <c r="E2358" i="1"/>
  <c r="E2102" i="1"/>
  <c r="E2066" i="1"/>
  <c r="E2420" i="1"/>
  <c r="E3164" i="1"/>
  <c r="E2714" i="1"/>
  <c r="E3539" i="1"/>
  <c r="E3848" i="1"/>
  <c r="E3934" i="1"/>
  <c r="E2335" i="1"/>
  <c r="E2732" i="1"/>
  <c r="E3322" i="1"/>
  <c r="E3154" i="1"/>
  <c r="E3215" i="1"/>
  <c r="E2464" i="1"/>
  <c r="E2858" i="1"/>
  <c r="E2473" i="1"/>
  <c r="E2099" i="1"/>
  <c r="E2789" i="1"/>
  <c r="E2521" i="1"/>
  <c r="E3300" i="1"/>
  <c r="E3192" i="1"/>
  <c r="E3234" i="1"/>
  <c r="E3180" i="1"/>
  <c r="E3329" i="1"/>
  <c r="E3525" i="1"/>
  <c r="E2439" i="1"/>
  <c r="E2862" i="1"/>
  <c r="E2184" i="1"/>
  <c r="E2470" i="1"/>
  <c r="E2754" i="1"/>
  <c r="E2794" i="1"/>
  <c r="E3842" i="1"/>
  <c r="E2321" i="1"/>
  <c r="E3477" i="1"/>
  <c r="E2504" i="1"/>
  <c r="E2251" i="1"/>
  <c r="E2356" i="1"/>
  <c r="E3037" i="1"/>
  <c r="E2582" i="1"/>
  <c r="E2530" i="1"/>
  <c r="E2352" i="1"/>
  <c r="E2329" i="1"/>
  <c r="E2542" i="1"/>
  <c r="E2589" i="1"/>
  <c r="E3213" i="1"/>
  <c r="E3091" i="1"/>
  <c r="E2132" i="1"/>
  <c r="E2948" i="1"/>
  <c r="E3233" i="1"/>
  <c r="E3220" i="1"/>
  <c r="E3799" i="1"/>
  <c r="E3119" i="1"/>
  <c r="E2349" i="1"/>
  <c r="E2603" i="1"/>
  <c r="E2385" i="1"/>
  <c r="E3725" i="1"/>
  <c r="E3906" i="1"/>
  <c r="E2809" i="1"/>
  <c r="E2644" i="1"/>
  <c r="E3813" i="1"/>
  <c r="E3731" i="1"/>
  <c r="E2788" i="1"/>
  <c r="E2461" i="1"/>
  <c r="E2800" i="1"/>
  <c r="E2404" i="1"/>
  <c r="E2684" i="1"/>
  <c r="E3810" i="1"/>
  <c r="E3505" i="1"/>
  <c r="E3788" i="1"/>
  <c r="E3115" i="1"/>
  <c r="E3206" i="1"/>
  <c r="E3612" i="1"/>
  <c r="E3118" i="1"/>
  <c r="E3587" i="1"/>
  <c r="E3219" i="1"/>
  <c r="E3109" i="1"/>
  <c r="E2149" i="1"/>
  <c r="E3944" i="1"/>
  <c r="E3256" i="1"/>
  <c r="E2645" i="1"/>
  <c r="E2498" i="1"/>
  <c r="E2072" i="1"/>
  <c r="E3706" i="1"/>
  <c r="E3657" i="1"/>
  <c r="E2477" i="1"/>
  <c r="E3021" i="1"/>
  <c r="E2514" i="1"/>
  <c r="E3141" i="1"/>
  <c r="E3058" i="1"/>
  <c r="E2395" i="1"/>
  <c r="E3152" i="1"/>
  <c r="E2938" i="1"/>
  <c r="E2547" i="1"/>
  <c r="E3228" i="1"/>
  <c r="E2790" i="1"/>
  <c r="E2937" i="1"/>
  <c r="E2668" i="1"/>
  <c r="E2944" i="1"/>
  <c r="E3078" i="1"/>
  <c r="E2549" i="1"/>
  <c r="E2172" i="1"/>
  <c r="E3877" i="1"/>
  <c r="E3221" i="1"/>
  <c r="E2831" i="1"/>
  <c r="E3339" i="1"/>
  <c r="E2630" i="1"/>
  <c r="E3319" i="1"/>
  <c r="E2797" i="1"/>
  <c r="E2917" i="1"/>
  <c r="E2787" i="1"/>
  <c r="E3632" i="1"/>
  <c r="E2671" i="1"/>
  <c r="E3045" i="1"/>
  <c r="E3649" i="1"/>
  <c r="E3821" i="1"/>
  <c r="E2401" i="1"/>
  <c r="E2845" i="1"/>
  <c r="E3239" i="1"/>
  <c r="E2319" i="1"/>
  <c r="E2638" i="1"/>
  <c r="E3316" i="1"/>
  <c r="E2255" i="1"/>
  <c r="E3117" i="1"/>
  <c r="E2616" i="1"/>
  <c r="E3679" i="1"/>
  <c r="E2068" i="1"/>
  <c r="E3159" i="1"/>
  <c r="E2802" i="1"/>
  <c r="E2553" i="1"/>
  <c r="E2202" i="1"/>
  <c r="E3205" i="1"/>
  <c r="E3336" i="1"/>
  <c r="E2570" i="1"/>
  <c r="E3306" i="1"/>
  <c r="E3394" i="1"/>
  <c r="E3512" i="1"/>
  <c r="E2391" i="1"/>
  <c r="E3895" i="1"/>
  <c r="E2841" i="1"/>
  <c r="E3177" i="1"/>
  <c r="E3163" i="1"/>
  <c r="E2612" i="1"/>
  <c r="E2240" i="1"/>
  <c r="E2953" i="1"/>
  <c r="E2365" i="1"/>
  <c r="E3011" i="1"/>
  <c r="E2925" i="1"/>
  <c r="E3520" i="1"/>
  <c r="E2341" i="1"/>
  <c r="E2760" i="1"/>
  <c r="E2834" i="1"/>
  <c r="E2330" i="1"/>
  <c r="E3225" i="1"/>
  <c r="E2891" i="1"/>
  <c r="E3097" i="1"/>
  <c r="E3268" i="1"/>
  <c r="E2262" i="1"/>
  <c r="E3032" i="1"/>
  <c r="E3320" i="1"/>
  <c r="E2773" i="1"/>
  <c r="E3073" i="1"/>
  <c r="E3879" i="1"/>
  <c r="E2785" i="1"/>
  <c r="E2811" i="1"/>
  <c r="E3727" i="1"/>
  <c r="E2742" i="1"/>
  <c r="E3957" i="1"/>
  <c r="E3430" i="1"/>
  <c r="E2428" i="1"/>
  <c r="E2702" i="1"/>
  <c r="E3090" i="1"/>
  <c r="E3189" i="1"/>
  <c r="E2258" i="1"/>
  <c r="E2005" i="1"/>
  <c r="E2024" i="1"/>
  <c r="E2281" i="1"/>
  <c r="E3166" i="1"/>
  <c r="E3287" i="1"/>
  <c r="E3065" i="1"/>
  <c r="E2867" i="1"/>
  <c r="E2943" i="1"/>
  <c r="E2175" i="1"/>
  <c r="E3694" i="1"/>
  <c r="E2065" i="1"/>
  <c r="E3130" i="1"/>
  <c r="E3730" i="1"/>
  <c r="E2054" i="1"/>
  <c r="E2101" i="1"/>
  <c r="E2931" i="1"/>
  <c r="E3318" i="1"/>
  <c r="E2387" i="1"/>
  <c r="E2160" i="1"/>
  <c r="E2465" i="1"/>
  <c r="E3566" i="1"/>
  <c r="E3086" i="1"/>
  <c r="E3273" i="1"/>
  <c r="E3261" i="1"/>
  <c r="E3111" i="1"/>
  <c r="E2664" i="1"/>
  <c r="E3087" i="1"/>
  <c r="E2336" i="1"/>
  <c r="E3100" i="1"/>
  <c r="E3697" i="1"/>
  <c r="E3442" i="1"/>
  <c r="E3579" i="1"/>
  <c r="E2868" i="1"/>
  <c r="E3096" i="1"/>
  <c r="E2194" i="1"/>
  <c r="E3793" i="1"/>
  <c r="E3296" i="1"/>
  <c r="E2406" i="1"/>
  <c r="E2195" i="1"/>
  <c r="E3458" i="1"/>
  <c r="E1991" i="1"/>
  <c r="E3190" i="1"/>
  <c r="E2778" i="1"/>
  <c r="E2196" i="1"/>
  <c r="E2382" i="1"/>
  <c r="E2926" i="1"/>
  <c r="E3542" i="1"/>
  <c r="E2628" i="1"/>
  <c r="E3120" i="1"/>
  <c r="E2480" i="1"/>
  <c r="E3246" i="1"/>
  <c r="E2533" i="1"/>
  <c r="E3564" i="1"/>
  <c r="E3063" i="1"/>
  <c r="E3071" i="1"/>
  <c r="E2129" i="1"/>
  <c r="E2242" i="1"/>
  <c r="E2215" i="1"/>
  <c r="E2901" i="1"/>
  <c r="E3216" i="1"/>
  <c r="E2960" i="1"/>
  <c r="E3150" i="1"/>
  <c r="E3364" i="1"/>
  <c r="E3285" i="1"/>
  <c r="E2982" i="1"/>
  <c r="E2070" i="1"/>
  <c r="E2581" i="1"/>
  <c r="E2748" i="1"/>
  <c r="E2921" i="1"/>
  <c r="E3153" i="1"/>
  <c r="E2361" i="1"/>
  <c r="E3224" i="1"/>
  <c r="E2707" i="1"/>
  <c r="E2975" i="1"/>
  <c r="E2837" i="1"/>
  <c r="E2471" i="1"/>
  <c r="E11" i="2"/>
  <c r="E3298" i="1"/>
  <c r="E3059" i="1"/>
  <c r="E2666" i="1"/>
  <c r="E2699" i="1"/>
  <c r="E2515" i="1"/>
  <c r="E3945" i="1"/>
  <c r="E2856" i="1"/>
  <c r="E3317" i="1"/>
  <c r="E3418" i="1"/>
  <c r="E2805" i="1"/>
  <c r="E2600" i="1"/>
  <c r="E3591" i="1"/>
  <c r="E3776" i="1"/>
  <c r="E3460" i="1"/>
  <c r="E2507" i="1"/>
  <c r="E3986" i="1"/>
  <c r="E2531" i="1"/>
  <c r="E2360" i="1"/>
  <c r="E2488" i="1"/>
  <c r="E2389" i="1"/>
  <c r="E2969" i="1"/>
  <c r="E3092" i="1"/>
  <c r="E2372" i="1"/>
  <c r="E2878" i="1"/>
  <c r="E3230" i="1"/>
  <c r="E2209" i="1"/>
  <c r="E2928" i="1"/>
  <c r="E3874" i="1"/>
  <c r="E2821" i="1"/>
  <c r="E3203" i="1"/>
  <c r="E3135" i="1"/>
  <c r="E3156" i="1"/>
  <c r="E3094" i="1"/>
  <c r="E2308" i="1"/>
  <c r="E2843" i="1"/>
  <c r="E2237" i="1"/>
  <c r="E3122" i="1"/>
  <c r="E3133" i="1"/>
  <c r="E3661" i="1"/>
  <c r="E3315" i="1"/>
  <c r="E3662" i="1"/>
  <c r="E2290" i="1"/>
  <c r="E2388" i="1"/>
  <c r="E2997" i="1"/>
  <c r="E2177" i="1"/>
  <c r="E2804" i="1"/>
  <c r="E2087" i="1"/>
  <c r="E3283" i="1"/>
  <c r="E2807" i="1"/>
  <c r="E2146" i="1"/>
  <c r="E2503" i="1"/>
  <c r="E2826" i="1"/>
  <c r="E2218" i="1"/>
  <c r="E3497" i="1"/>
  <c r="E2370" i="1"/>
  <c r="E3447" i="1"/>
  <c r="E3557" i="1"/>
  <c r="E2364" i="1"/>
  <c r="E3129" i="1"/>
  <c r="E2376" i="1"/>
  <c r="E3710" i="1"/>
  <c r="E3048" i="1"/>
  <c r="E3994" i="1"/>
  <c r="E2518" i="1"/>
  <c r="E3899" i="1"/>
  <c r="E3083" i="1"/>
  <c r="E3496" i="1"/>
  <c r="E2309" i="1"/>
  <c r="E2544" i="1"/>
  <c r="E2813" i="1"/>
  <c r="E2088" i="1"/>
  <c r="E2615" i="1"/>
  <c r="E2701" i="1"/>
  <c r="E2076" i="1"/>
  <c r="E2524" i="1"/>
  <c r="E3624" i="1"/>
  <c r="E3039" i="1"/>
  <c r="E2030" i="1"/>
  <c r="E2355" i="1"/>
  <c r="E2607" i="1"/>
  <c r="E2945" i="1"/>
  <c r="E2124" i="1"/>
  <c r="E2825" i="1"/>
  <c r="E2940" i="1"/>
  <c r="E2808" i="1"/>
  <c r="E3264" i="1"/>
  <c r="E2996" i="1"/>
  <c r="E3293" i="1"/>
  <c r="E2552" i="1"/>
  <c r="E3281" i="1"/>
  <c r="E2898" i="1"/>
  <c r="E3743" i="1"/>
  <c r="E3468" i="1"/>
  <c r="E3601" i="1"/>
  <c r="E2681" i="1"/>
  <c r="E2067" i="1"/>
  <c r="E2652" i="1"/>
  <c r="E2500" i="1"/>
  <c r="E2532" i="1"/>
  <c r="E3105" i="1"/>
  <c r="E3858" i="1"/>
  <c r="E3952" i="1"/>
  <c r="E2523" i="1"/>
  <c r="E2280" i="1"/>
  <c r="E2639" i="1"/>
  <c r="E2886" i="1"/>
  <c r="E2591" i="1"/>
  <c r="E3302" i="1"/>
  <c r="E2903" i="1"/>
  <c r="E3138" i="1"/>
  <c r="E3517" i="1"/>
  <c r="E3297" i="1"/>
  <c r="E2359" i="1"/>
  <c r="E2824" i="1"/>
  <c r="E3381" i="1"/>
  <c r="E2448" i="1"/>
  <c r="E2226" i="1"/>
  <c r="E2414" i="1"/>
  <c r="E2485" i="1"/>
  <c r="E2529" i="1"/>
  <c r="E3931" i="1"/>
  <c r="E3172" i="1"/>
  <c r="E3069" i="1"/>
  <c r="E3538" i="1"/>
  <c r="E3052" i="1"/>
  <c r="E3669" i="1"/>
  <c r="E2687" i="1"/>
  <c r="E3854" i="1"/>
  <c r="E3850" i="1"/>
  <c r="E2593" i="1"/>
  <c r="E2490" i="1"/>
  <c r="E2254" i="1"/>
  <c r="E2369" i="1"/>
  <c r="E3427" i="1"/>
  <c r="E2148" i="1"/>
  <c r="E2756" i="1"/>
  <c r="E3800" i="1"/>
  <c r="E2110" i="1"/>
  <c r="E3036" i="1"/>
  <c r="E2115" i="1"/>
  <c r="E3136" i="1"/>
  <c r="E3254" i="1"/>
  <c r="E2801" i="1"/>
  <c r="E3744" i="1"/>
  <c r="E3243" i="1"/>
  <c r="E3081" i="1"/>
  <c r="E2828" i="1"/>
  <c r="E3112" i="1"/>
  <c r="E2822" i="1"/>
  <c r="E3077" i="1"/>
  <c r="E2752" i="1"/>
  <c r="E2568" i="1"/>
  <c r="E2468" i="1"/>
  <c r="E2691" i="1"/>
  <c r="E2923" i="1"/>
  <c r="E2896" i="1"/>
  <c r="E3607" i="1"/>
  <c r="E2436" i="1"/>
  <c r="E2257" i="1"/>
  <c r="E2791" i="1"/>
  <c r="E3951" i="1"/>
  <c r="E2595" i="1"/>
  <c r="E2493" i="1"/>
  <c r="E3403" i="1"/>
  <c r="E3673" i="1"/>
  <c r="E3212" i="1"/>
  <c r="E2973" i="1"/>
  <c r="E2393" i="1"/>
  <c r="E3184" i="1"/>
  <c r="E2749" i="1"/>
  <c r="E2353" i="1"/>
  <c r="E3158" i="1"/>
  <c r="E3143" i="1"/>
  <c r="E2008" i="1"/>
  <c r="E3323" i="1"/>
  <c r="E3207" i="1"/>
  <c r="E3072" i="1"/>
  <c r="E3537" i="1"/>
  <c r="E2096" i="1"/>
  <c r="E3735" i="1"/>
  <c r="E2217" i="1"/>
  <c r="E3455" i="1"/>
  <c r="E3405" i="1"/>
  <c r="E2424" i="1"/>
  <c r="E3284" i="1"/>
  <c r="E2830" i="1"/>
  <c r="E3582" i="1"/>
  <c r="E2245" i="1"/>
  <c r="E2877" i="1"/>
  <c r="E3467" i="1"/>
  <c r="E3971" i="1"/>
  <c r="E2120" i="1"/>
  <c r="E3137" i="1"/>
  <c r="E2947" i="1"/>
  <c r="E2879" i="1"/>
  <c r="E3049" i="1"/>
  <c r="E3023" i="1"/>
  <c r="E3025" i="1"/>
  <c r="E2933" i="1"/>
  <c r="E2423" i="1"/>
  <c r="E3474" i="1"/>
  <c r="E2316" i="1"/>
  <c r="E3146" i="1"/>
  <c r="E3076" i="1"/>
  <c r="E3188" i="1"/>
  <c r="E2302" i="1"/>
  <c r="E2653" i="1"/>
  <c r="E3292" i="1"/>
  <c r="E3162" i="1"/>
  <c r="E2539" i="1"/>
  <c r="E3483" i="1"/>
  <c r="E2558" i="1"/>
  <c r="E2782" i="1"/>
  <c r="E3353" i="1"/>
  <c r="E2095" i="1"/>
  <c r="E3393" i="1"/>
  <c r="E2233" i="1"/>
  <c r="E2117" i="1"/>
  <c r="E2624" i="1"/>
  <c r="E2761" i="1"/>
  <c r="E3010" i="1"/>
  <c r="E2817" i="1"/>
  <c r="E3042" i="1"/>
  <c r="E2706" i="1"/>
  <c r="E2686" i="1"/>
  <c r="E2696" i="1"/>
  <c r="E2519" i="1"/>
  <c r="E2614" i="1"/>
  <c r="E3508" i="1"/>
  <c r="E2970" i="1"/>
  <c r="E3179" i="1"/>
  <c r="E3187" i="1"/>
  <c r="E2988" i="1"/>
  <c r="E2576" i="1"/>
  <c r="E2508" i="1"/>
  <c r="E2017" i="1"/>
  <c r="E3937" i="1"/>
  <c r="E2777" i="1"/>
  <c r="E3247" i="1"/>
  <c r="E3252" i="1"/>
  <c r="E2574" i="1"/>
  <c r="E3258" i="1"/>
  <c r="E2187" i="1"/>
  <c r="E2186" i="1"/>
  <c r="E2260" i="1"/>
  <c r="E3480" i="1"/>
  <c r="E3344" i="1"/>
  <c r="E3529" i="1"/>
  <c r="E2398" i="1"/>
  <c r="E2516" i="1"/>
  <c r="E2443" i="1"/>
  <c r="E2075" i="1"/>
  <c r="E2231" i="1"/>
  <c r="E2338" i="1"/>
  <c r="E2158" i="1"/>
  <c r="E2983" i="1"/>
  <c r="E2659" i="1"/>
  <c r="E3174" i="1"/>
  <c r="E2502" i="1"/>
  <c r="E2979" i="1"/>
  <c r="E3075" i="1"/>
  <c r="E2449" i="1"/>
  <c r="E3151" i="1"/>
  <c r="E3185" i="1"/>
  <c r="E3920" i="1"/>
  <c r="E2958" i="1"/>
  <c r="E2737" i="1"/>
  <c r="E2534" i="1"/>
  <c r="E2914" i="1"/>
  <c r="E2675" i="1"/>
  <c r="E3631" i="1"/>
  <c r="E3603" i="1"/>
  <c r="E3599" i="1"/>
  <c r="E3574" i="1"/>
  <c r="E2236" i="1"/>
  <c r="E3422" i="1"/>
  <c r="E3080" i="1"/>
  <c r="E2224" i="1"/>
  <c r="E2211" i="1"/>
  <c r="E2974" i="1"/>
  <c r="E3894" i="1"/>
  <c r="E2540" i="1"/>
  <c r="E3723" i="1"/>
  <c r="E2632" i="1"/>
  <c r="E2712" i="1"/>
  <c r="E2667" i="1"/>
  <c r="E2170" i="1"/>
  <c r="E3750" i="1"/>
  <c r="E2818" i="1"/>
  <c r="E2693" i="1"/>
  <c r="E2081" i="1"/>
  <c r="E2839" i="1"/>
  <c r="E2212" i="1"/>
  <c r="E2904" i="1"/>
  <c r="E3074" i="1"/>
  <c r="E2413" i="1"/>
  <c r="E2952" i="1"/>
  <c r="E2598" i="1"/>
  <c r="E2965" i="1"/>
  <c r="E3368" i="1"/>
  <c r="E3866" i="1"/>
  <c r="E2268" i="1"/>
  <c r="E3001" i="1"/>
  <c r="E3845" i="1"/>
  <c r="E2085" i="1"/>
  <c r="E2324" i="1"/>
  <c r="E2733" i="1"/>
  <c r="E2971" i="1"/>
  <c r="E2069" i="1"/>
  <c r="E2100" i="1"/>
  <c r="E2466" i="1"/>
  <c r="E2256" i="1"/>
  <c r="E2916" i="1"/>
  <c r="E2325" i="1"/>
  <c r="E2248" i="1"/>
  <c r="E2185" i="1"/>
  <c r="E2989" i="1"/>
  <c r="E2682" i="1"/>
  <c r="E3295" i="1"/>
  <c r="E2949" i="1"/>
  <c r="E3202" i="1"/>
  <c r="E3291" i="1"/>
  <c r="E3085" i="1"/>
  <c r="E2351" i="1"/>
  <c r="E3123" i="1"/>
  <c r="E3095" i="1"/>
  <c r="E2548" i="1"/>
  <c r="E3169" i="1"/>
  <c r="E3410" i="1"/>
  <c r="E3830" i="1"/>
  <c r="E3017" i="1"/>
  <c r="E2662" i="1"/>
  <c r="E2153" i="1"/>
  <c r="E3147" i="1"/>
  <c r="E2912" i="1"/>
  <c r="E2812" i="1"/>
  <c r="E2267" i="1"/>
  <c r="E2964" i="1"/>
  <c r="E2783" i="1"/>
  <c r="E2080" i="1"/>
  <c r="E2479" i="1"/>
  <c r="E2713" i="1"/>
  <c r="E2219" i="1"/>
  <c r="E2625" i="1"/>
  <c r="E2905" i="1"/>
  <c r="E2627" i="1"/>
  <c r="E2136" i="1"/>
  <c r="E2506" i="1"/>
  <c r="E2929" i="1"/>
  <c r="E2723" i="1"/>
  <c r="E2426" i="1"/>
  <c r="E2206" i="1"/>
  <c r="E3500" i="1"/>
  <c r="E3267" i="1"/>
  <c r="E3459" i="1"/>
  <c r="E3324" i="1"/>
  <c r="E3768" i="1"/>
  <c r="E3242" i="1"/>
  <c r="E3269" i="1"/>
  <c r="E2494" i="1"/>
  <c r="E3552" i="1"/>
  <c r="E2344" i="1"/>
  <c r="E2740" i="1"/>
  <c r="E2078" i="1"/>
  <c r="E2711" i="1"/>
  <c r="E2244" i="1"/>
  <c r="E2698" i="1"/>
  <c r="E3699" i="1"/>
  <c r="E2538" i="1"/>
  <c r="E2908" i="1"/>
  <c r="E3160" i="1"/>
  <c r="E3148" i="1"/>
  <c r="E2425" i="1"/>
  <c r="E2098" i="1"/>
  <c r="E3128" i="1"/>
  <c r="E2657" i="1"/>
  <c r="E2820" i="1"/>
  <c r="E2611" i="1"/>
  <c r="E2191" i="1"/>
  <c r="E3182" i="1"/>
  <c r="E3578" i="1"/>
  <c r="E3875" i="1"/>
  <c r="E2340" i="1"/>
  <c r="E2735" i="1"/>
  <c r="E3259" i="1"/>
  <c r="E2263" i="1"/>
  <c r="E3924" i="1"/>
  <c r="E2062" i="1"/>
  <c r="E3194" i="1"/>
  <c r="E2377" i="1"/>
  <c r="E3963" i="1"/>
  <c r="E2139" i="1"/>
  <c r="E3837" i="1"/>
  <c r="E2193" i="1"/>
  <c r="E2304" i="1"/>
  <c r="E2692" i="1"/>
  <c r="E2661" i="1"/>
  <c r="E2569" i="1"/>
  <c r="E3134" i="1"/>
  <c r="E3305" i="1"/>
  <c r="E2296" i="1"/>
  <c r="E3079" i="1"/>
  <c r="E2407" i="1"/>
  <c r="E2041" i="1"/>
  <c r="E3718" i="1"/>
  <c r="E3656" i="1"/>
  <c r="E2658" i="1"/>
  <c r="E3226" i="1"/>
  <c r="E3644" i="1"/>
  <c r="E2604" i="1"/>
  <c r="E2350" i="1"/>
  <c r="E3311" i="1"/>
  <c r="E3274" i="1"/>
  <c r="E2827" i="1"/>
  <c r="E2269" i="1"/>
  <c r="E2156" i="1"/>
  <c r="E3817" i="1"/>
  <c r="E3400" i="1"/>
  <c r="E3057" i="1"/>
  <c r="E3140" i="1"/>
  <c r="E2535" i="1"/>
  <c r="E2238" i="1"/>
  <c r="E2987" i="1"/>
  <c r="E3443" i="1"/>
  <c r="E2968" i="1"/>
  <c r="E2985" i="1"/>
  <c r="E2981" i="1"/>
  <c r="E2002" i="1"/>
  <c r="E2984" i="1"/>
  <c r="E2517" i="1"/>
  <c r="E2200" i="1"/>
  <c r="E2580" i="1"/>
  <c r="E3310" i="1"/>
  <c r="E3435" i="1"/>
  <c r="E2906" i="1"/>
  <c r="E2939" i="1"/>
  <c r="E2893" i="1"/>
  <c r="E2489" i="1"/>
  <c r="E2400" i="1"/>
  <c r="E2253" i="1"/>
  <c r="E2619" i="1"/>
  <c r="E2673" i="1"/>
  <c r="E2474" i="1"/>
  <c r="E3082" i="1"/>
  <c r="E3693" i="1"/>
  <c r="E3887" i="1"/>
  <c r="E2496" i="1"/>
  <c r="E2934" i="1"/>
  <c r="E3211" i="1"/>
  <c r="E3681" i="1"/>
  <c r="E3912" i="1"/>
  <c r="E2006" i="1"/>
  <c r="E2676" i="1"/>
  <c r="E3002" i="1"/>
  <c r="E2058" i="1"/>
  <c r="E2605" i="1"/>
  <c r="E3067" i="1"/>
  <c r="E3456" i="1"/>
  <c r="E2536" i="1"/>
  <c r="E2874" i="1"/>
  <c r="E2444" i="1"/>
  <c r="E2491" i="1"/>
  <c r="E2962" i="1"/>
  <c r="E3035" i="1"/>
  <c r="E2243" i="1"/>
  <c r="E2293" i="1"/>
  <c r="E2197" i="1"/>
  <c r="E2039" i="1"/>
  <c r="E2247" i="1"/>
  <c r="E2796" i="1"/>
  <c r="E2013" i="1"/>
  <c r="E3755" i="1"/>
  <c r="E3862" i="1"/>
  <c r="E3373" i="1"/>
  <c r="E2584" i="1"/>
  <c r="E2672" i="1"/>
  <c r="E2980" i="1"/>
  <c r="E2689" i="1"/>
  <c r="E2463" i="1"/>
  <c r="E2728" i="1"/>
  <c r="E3638" i="1"/>
  <c r="E2472" i="1"/>
  <c r="E3949" i="1"/>
  <c r="E2178" i="1"/>
  <c r="E2220" i="1"/>
  <c r="E2105" i="1"/>
  <c r="E2594" i="1"/>
  <c r="E2683" i="1"/>
  <c r="E2617" i="1"/>
  <c r="E2082" i="1"/>
  <c r="E2203" i="1"/>
  <c r="E2990" i="1"/>
  <c r="E2724" i="1"/>
  <c r="E3099" i="1"/>
  <c r="E2592" i="1"/>
  <c r="E2216" i="1"/>
  <c r="E2165" i="1"/>
  <c r="E3833" i="1"/>
  <c r="E3586" i="1"/>
  <c r="E3998" i="1"/>
  <c r="E2963" i="1"/>
  <c r="E2545" i="1"/>
  <c r="E3093" i="1"/>
  <c r="E2815" i="1"/>
  <c r="E2250" i="1"/>
  <c r="E3113" i="1"/>
  <c r="E2221" i="1"/>
  <c r="E3748" i="1"/>
  <c r="E2932" i="1"/>
  <c r="E2475" i="1"/>
  <c r="E2397" i="1"/>
  <c r="E2869" i="1"/>
  <c r="E3643" i="1"/>
  <c r="E3260" i="1"/>
  <c r="E3412" i="1"/>
  <c r="E2381" i="1"/>
  <c r="E3106" i="1"/>
  <c r="E2911" i="1"/>
  <c r="E2374" i="1"/>
  <c r="E2264" i="1"/>
  <c r="E2106" i="1"/>
  <c r="E2629" i="1"/>
  <c r="E3157" i="1"/>
  <c r="E3787" i="1"/>
  <c r="E3625" i="1"/>
  <c r="E3891" i="1"/>
  <c r="E3161" i="1"/>
  <c r="E3407" i="1"/>
  <c r="E3270" i="1"/>
  <c r="E3121" i="1"/>
  <c r="E2759" i="1"/>
  <c r="E2079" i="1"/>
  <c r="E3279" i="1"/>
  <c r="E2771" i="1"/>
  <c r="E2618" i="1"/>
  <c r="E3348" i="1"/>
  <c r="E3611" i="1"/>
  <c r="E3104" i="1"/>
  <c r="E2646" i="1"/>
  <c r="E2189" i="1"/>
  <c r="E3756" i="1"/>
  <c r="E2779" i="1"/>
  <c r="E3028" i="1"/>
  <c r="E3825" i="1"/>
  <c r="E3484" i="1"/>
  <c r="E2647" i="1"/>
  <c r="E2261" i="1"/>
  <c r="E3493" i="1"/>
  <c r="E2959" i="1"/>
  <c r="E2208" i="1"/>
  <c r="E2375" i="1"/>
  <c r="E2744" i="1"/>
  <c r="E3244" i="1"/>
  <c r="E3969" i="1"/>
  <c r="E3438" i="1"/>
  <c r="E2641" i="1"/>
  <c r="E2700" i="1"/>
  <c r="E2546" i="1"/>
  <c r="E3114" i="1"/>
  <c r="E3413" i="1"/>
  <c r="E3856" i="1"/>
  <c r="E2029" i="1"/>
  <c r="E3488" i="1"/>
  <c r="E2077" i="1"/>
  <c r="E2935" i="1"/>
  <c r="E3686" i="1"/>
  <c r="E2725" i="1"/>
  <c r="E3116" i="1"/>
  <c r="E3197" i="1"/>
  <c r="E2292" i="1"/>
  <c r="E3018" i="1"/>
  <c r="E3070" i="1"/>
  <c r="E2454" i="1"/>
  <c r="E2665" i="1"/>
  <c r="E2230" i="1"/>
  <c r="E2137" i="1"/>
  <c r="E2074" i="1"/>
  <c r="E2179" i="1"/>
  <c r="E2679" i="1"/>
  <c r="E2622" i="1"/>
  <c r="E3223" i="1"/>
  <c r="E3314" i="1"/>
  <c r="E2915" i="1"/>
  <c r="E2063" i="1"/>
  <c r="E3014" i="1"/>
  <c r="E3101" i="1"/>
  <c r="E2550" i="1"/>
  <c r="E3811" i="1"/>
  <c r="E2326" i="1"/>
  <c r="E2089" i="1"/>
  <c r="E2520" i="1"/>
  <c r="E2884" i="1"/>
  <c r="E3636" i="1"/>
  <c r="E2892" i="1"/>
  <c r="E3426" i="1"/>
  <c r="E3218" i="1"/>
  <c r="E3170" i="1"/>
  <c r="E3195" i="1"/>
  <c r="E2766" i="1"/>
  <c r="E3231" i="1"/>
  <c r="E3009" i="1"/>
  <c r="E2497" i="1"/>
  <c r="E2543" i="1"/>
  <c r="E2635" i="1"/>
  <c r="E3390" i="1"/>
  <c r="E2371" i="1"/>
  <c r="E3183" i="1"/>
  <c r="E2180" i="1"/>
  <c r="E3356" i="1"/>
  <c r="E2835" i="1"/>
  <c r="E2094" i="1"/>
  <c r="E3398" i="1"/>
  <c r="E3061" i="1"/>
  <c r="E3054" i="1"/>
  <c r="E2637" i="1"/>
  <c r="E3257" i="1"/>
  <c r="E2460" i="1"/>
  <c r="E2119" i="1"/>
  <c r="E2941" i="1"/>
  <c r="E3280" i="1"/>
  <c r="E2956" i="1"/>
  <c r="E2142" i="1"/>
  <c r="E2527" i="1"/>
  <c r="E3245" i="1"/>
  <c r="E3864" i="1"/>
  <c r="E2433" i="1"/>
  <c r="E3088" i="1"/>
  <c r="E3173" i="1"/>
  <c r="E2663" i="1"/>
  <c r="E2525" i="1"/>
  <c r="E2038" i="1"/>
  <c r="E2367" i="1"/>
  <c r="E2317" i="1"/>
  <c r="E2451" i="1"/>
  <c r="E2709" i="1"/>
  <c r="E3062" i="1"/>
  <c r="E2881" i="1"/>
  <c r="E2551" i="1"/>
  <c r="E2844" i="1"/>
  <c r="E2121" i="1"/>
  <c r="E2249" i="1"/>
  <c r="E2161" i="1"/>
  <c r="E3932" i="1"/>
  <c r="E3175" i="1"/>
  <c r="E2784" i="1"/>
  <c r="E3549" i="1"/>
  <c r="E2294" i="1"/>
  <c r="E2870" i="1"/>
  <c r="E3255" i="1"/>
  <c r="E2768" i="1"/>
  <c r="E2704" i="1"/>
  <c r="E2860" i="1"/>
  <c r="E2307" i="1"/>
  <c r="E2071" i="1"/>
  <c r="E3251" i="1"/>
  <c r="E3554" i="1"/>
  <c r="E2384" i="1"/>
  <c r="E3981" i="1"/>
  <c r="E3030" i="1"/>
  <c r="E2910" i="1"/>
  <c r="E3593" i="1"/>
  <c r="E2772" i="1"/>
  <c r="E3089" i="1"/>
  <c r="E2495" i="1"/>
  <c r="E3222" i="1"/>
  <c r="E2567" i="1"/>
  <c r="E2073" i="1"/>
  <c r="E3029" i="1"/>
  <c r="E3198" i="1"/>
  <c r="E2588" i="1"/>
  <c r="E2951" i="1"/>
  <c r="E2123" i="1"/>
  <c r="E2064" i="1"/>
  <c r="E2232" i="1"/>
  <c r="E3304" i="1"/>
  <c r="E3108" i="1"/>
  <c r="E2386" i="1"/>
  <c r="E3186" i="1"/>
  <c r="E3278" i="1"/>
  <c r="E2688" i="1"/>
  <c r="E3209" i="1"/>
  <c r="E3698" i="1"/>
  <c r="E2118" i="1"/>
  <c r="E2412" i="1"/>
  <c r="E2133" i="1"/>
  <c r="E2456" i="1"/>
  <c r="E1983" i="1"/>
  <c r="E2726" i="1"/>
  <c r="E2816" i="1"/>
  <c r="E3974" i="1"/>
  <c r="E3290" i="1"/>
  <c r="E3176" i="1"/>
  <c r="E2579" i="1"/>
  <c r="E2541" i="1"/>
  <c r="E3064" i="1"/>
  <c r="E3149" i="1"/>
  <c r="E2442" i="1"/>
  <c r="E3047" i="1"/>
  <c r="E2651" i="1"/>
  <c r="E3060" i="1"/>
  <c r="E3126" i="1"/>
  <c r="E2972" i="1"/>
  <c r="E2509" i="1"/>
  <c r="E2610" i="1"/>
  <c r="E3565" i="1"/>
  <c r="E3867" i="1"/>
  <c r="E2697" i="1"/>
  <c r="E2104" i="1"/>
  <c r="E2640" i="1"/>
  <c r="E2976" i="1"/>
  <c r="E3024" i="1"/>
  <c r="E2093" i="1"/>
  <c r="E2763" i="1"/>
  <c r="E3900" i="1"/>
  <c r="E3857" i="1"/>
  <c r="E2781" i="1"/>
  <c r="E3655" i="1"/>
  <c r="E2173" i="1"/>
  <c r="E2927" i="1"/>
  <c r="E2229" i="1"/>
  <c r="E2333" i="1"/>
  <c r="E2363" i="1"/>
  <c r="E2747" i="1"/>
  <c r="E2836" i="1"/>
  <c r="E3449" i="1"/>
  <c r="E3780" i="1"/>
  <c r="E3107" i="1"/>
  <c r="E2279" i="1"/>
  <c r="E3084" i="1"/>
  <c r="E3232" i="1"/>
  <c r="E2228" i="1"/>
  <c r="E3012" i="1"/>
  <c r="E2092" i="1"/>
  <c r="E2833" i="1"/>
  <c r="E3337" i="1"/>
  <c r="E2719" i="1"/>
  <c r="E3361" i="1"/>
  <c r="E2001" i="1"/>
  <c r="E3805" i="1"/>
  <c r="E3820" i="1"/>
  <c r="E3167" i="1"/>
  <c r="E1998" i="1"/>
  <c r="E2889" i="1"/>
  <c r="E2819" i="1"/>
  <c r="E2685" i="1"/>
  <c r="E2113" i="1"/>
  <c r="E3127" i="1"/>
  <c r="E2112" i="1"/>
  <c r="E2642" i="1"/>
  <c r="E2239" i="1"/>
  <c r="E2346" i="1"/>
  <c r="E2107" i="1"/>
  <c r="E2331" i="1"/>
  <c r="E2437" i="1"/>
  <c r="E3139" i="1"/>
  <c r="E2977" i="1"/>
  <c r="E3196" i="1"/>
  <c r="E2205" i="1"/>
  <c r="E3266" i="1"/>
  <c r="E2832" i="1"/>
  <c r="D11" i="2"/>
  <c r="E2" i="1"/>
  <c r="E1452" i="1"/>
  <c r="E655" i="1"/>
  <c r="E1691" i="1"/>
  <c r="E1131" i="1"/>
  <c r="E1099" i="1"/>
  <c r="E960" i="1"/>
  <c r="E1356" i="1"/>
  <c r="E1048" i="1"/>
  <c r="E1130" i="1"/>
  <c r="E231" i="1"/>
  <c r="E606" i="1"/>
  <c r="E1759" i="1"/>
  <c r="E1718" i="1"/>
  <c r="E1364" i="1"/>
  <c r="E262" i="1"/>
  <c r="E216" i="1"/>
  <c r="E1411" i="1"/>
  <c r="E1745" i="1"/>
  <c r="E1320" i="1"/>
  <c r="E1240" i="1"/>
  <c r="E680" i="1"/>
  <c r="E1867" i="1"/>
  <c r="E1183" i="1"/>
  <c r="E519" i="1"/>
  <c r="E1838" i="1"/>
  <c r="E1886" i="1"/>
  <c r="E1557" i="1"/>
  <c r="E1322" i="1"/>
  <c r="E1815" i="1"/>
  <c r="E810" i="1"/>
  <c r="E724" i="1"/>
  <c r="E1255" i="1"/>
  <c r="E162" i="1"/>
  <c r="E1762" i="1"/>
  <c r="E1070" i="1"/>
  <c r="E91" i="1"/>
  <c r="E517" i="1"/>
  <c r="E929" i="1"/>
  <c r="E1059" i="1"/>
  <c r="E367" i="1"/>
  <c r="E26" i="1"/>
  <c r="E1052" i="1"/>
  <c r="E296" i="1"/>
  <c r="E695" i="1"/>
  <c r="E1229" i="1"/>
  <c r="E1234" i="1"/>
  <c r="E1564" i="1"/>
  <c r="E1078" i="1"/>
  <c r="E1451" i="1"/>
  <c r="E1493" i="1"/>
  <c r="E872" i="1"/>
  <c r="E355" i="1"/>
  <c r="E1661" i="1"/>
  <c r="E1268" i="1"/>
  <c r="E167" i="1"/>
  <c r="E1767" i="1"/>
  <c r="E1387" i="1"/>
  <c r="E799" i="1"/>
  <c r="E1696" i="1"/>
  <c r="E173" i="1"/>
  <c r="E611" i="1"/>
  <c r="E1508" i="1"/>
  <c r="E1122" i="1"/>
  <c r="E1415" i="1"/>
  <c r="E67" i="1"/>
  <c r="E558" i="1"/>
  <c r="E806" i="1"/>
  <c r="E207" i="1"/>
  <c r="E370" i="1"/>
  <c r="E546" i="1"/>
  <c r="E1737" i="1"/>
  <c r="E1002" i="1"/>
  <c r="E1303" i="1"/>
  <c r="E1605" i="1"/>
  <c r="E883" i="1"/>
  <c r="E1423" i="1"/>
  <c r="E135" i="1"/>
  <c r="E1735" i="1"/>
  <c r="E1119" i="1"/>
  <c r="E1239" i="1"/>
  <c r="E1586" i="1"/>
  <c r="E555" i="1"/>
  <c r="E1205" i="1"/>
  <c r="E1299" i="1"/>
  <c r="E1891" i="1"/>
  <c r="E609" i="1"/>
  <c r="E1292" i="1"/>
  <c r="E301" i="1"/>
  <c r="E1574" i="1"/>
  <c r="E1537" i="1"/>
  <c r="E1256" i="1"/>
  <c r="E582" i="1"/>
  <c r="E1126" i="1"/>
  <c r="E1400" i="1"/>
  <c r="E741" i="1"/>
  <c r="E1154" i="1"/>
  <c r="E1373" i="1"/>
  <c r="E172" i="1"/>
  <c r="E1085" i="1"/>
  <c r="E1198" i="1"/>
  <c r="E875" i="1"/>
  <c r="E1184" i="1"/>
  <c r="E1862" i="1"/>
  <c r="E1370" i="1"/>
  <c r="E894" i="1"/>
  <c r="E565" i="1"/>
  <c r="E1302" i="1"/>
  <c r="E1335" i="1"/>
  <c r="E1858" i="1"/>
  <c r="E138" i="1"/>
  <c r="E1398" i="1"/>
  <c r="E1505" i="1"/>
  <c r="E758" i="1"/>
  <c r="E1366" i="1"/>
  <c r="E1231" i="1"/>
  <c r="E1565" i="1"/>
  <c r="E343" i="1"/>
  <c r="E1113" i="1"/>
  <c r="E1367" i="1"/>
  <c r="E831" i="1"/>
  <c r="E1740" i="1"/>
  <c r="E1283" i="1"/>
  <c r="E224" i="1"/>
  <c r="E1540" i="1"/>
  <c r="E1185" i="1"/>
  <c r="E572" i="1"/>
  <c r="E243" i="1"/>
  <c r="E1380" i="1"/>
  <c r="E1348" i="1"/>
  <c r="E934" i="1"/>
  <c r="E1698" i="1"/>
  <c r="E579" i="1"/>
  <c r="E1214" i="1"/>
  <c r="E1510" i="1"/>
  <c r="E775" i="1"/>
  <c r="E1092" i="1"/>
  <c r="E712" i="1"/>
  <c r="E560" i="1"/>
  <c r="E950" i="1"/>
  <c r="E1489" i="1"/>
  <c r="E372" i="1"/>
  <c r="E43" i="1"/>
  <c r="E1345" i="1"/>
  <c r="E1004" i="1"/>
  <c r="E1901" i="1"/>
  <c r="E583" i="1"/>
  <c r="E816" i="1"/>
  <c r="E1713" i="1"/>
  <c r="E1186" i="1"/>
  <c r="E1054" i="1"/>
  <c r="E272" i="1"/>
  <c r="E763" i="1"/>
  <c r="E1023" i="1"/>
  <c r="E1843" i="1"/>
  <c r="E1672" i="1"/>
  <c r="E1102" i="1"/>
  <c r="E599" i="1"/>
  <c r="E270" i="1"/>
  <c r="E1404" i="1"/>
  <c r="E1552" i="1"/>
  <c r="E1898" i="1"/>
  <c r="E1390" i="1"/>
  <c r="E553" i="1"/>
  <c r="E631" i="1"/>
  <c r="E1057" i="1"/>
  <c r="E1443" i="1"/>
  <c r="E123" i="1"/>
  <c r="E438" i="1"/>
  <c r="E277" i="1"/>
  <c r="E1359" i="1"/>
  <c r="E1352" i="1"/>
  <c r="E1275" i="1"/>
  <c r="E1325" i="1"/>
  <c r="E1343" i="1"/>
  <c r="E846" i="1"/>
  <c r="E1337" i="1"/>
  <c r="E1830" i="1"/>
  <c r="E990" i="1"/>
  <c r="E1242" i="1"/>
  <c r="E145" i="1"/>
  <c r="E1226" i="1"/>
  <c r="E726" i="1"/>
  <c r="E1244" i="1"/>
  <c r="E1050" i="1"/>
  <c r="E1776" i="1"/>
  <c r="E314" i="1"/>
  <c r="E1450" i="1"/>
  <c r="E571" i="1"/>
  <c r="E931" i="1"/>
  <c r="E795" i="1"/>
  <c r="E1114" i="1"/>
  <c r="E40" i="1"/>
  <c r="E531" i="1"/>
  <c r="E1149" i="1"/>
  <c r="E266" i="1"/>
  <c r="E1542" i="1"/>
  <c r="E807" i="1"/>
  <c r="E1420" i="1"/>
  <c r="E245" i="1"/>
  <c r="E736" i="1"/>
  <c r="E1138" i="1"/>
  <c r="E854" i="1"/>
  <c r="E548" i="1"/>
  <c r="E1062" i="1"/>
  <c r="E1430" i="1"/>
  <c r="E1036" i="1"/>
  <c r="E4" i="1"/>
  <c r="E1096" i="1"/>
  <c r="E463" i="1"/>
  <c r="E1132" i="1"/>
  <c r="E108" i="1"/>
  <c r="E568" i="1"/>
  <c r="E1235" i="1"/>
  <c r="E45" i="1"/>
  <c r="E1645" i="1"/>
  <c r="E1072" i="1"/>
  <c r="E1903" i="1"/>
  <c r="E286" i="1"/>
  <c r="E1383" i="1"/>
  <c r="E1715" i="1"/>
  <c r="E980" i="1"/>
  <c r="E1223" i="1"/>
  <c r="E1179" i="1"/>
  <c r="E765" i="1"/>
  <c r="E669" i="1"/>
  <c r="E1290" i="1"/>
  <c r="E577" i="1"/>
  <c r="E248" i="1"/>
  <c r="E1230" i="1"/>
  <c r="E1615" i="1"/>
  <c r="E177" i="1"/>
  <c r="E788" i="1"/>
  <c r="E84" i="1"/>
  <c r="E575" i="1"/>
  <c r="E1399" i="1"/>
  <c r="E13" i="1"/>
  <c r="E1613" i="1"/>
  <c r="E82" i="1"/>
  <c r="E1784" i="1"/>
  <c r="E1109" i="1"/>
  <c r="E350" i="1"/>
  <c r="E1764" i="1"/>
  <c r="E1562" i="1"/>
  <c r="E1647" i="1"/>
  <c r="E697" i="1"/>
  <c r="E999" i="1"/>
  <c r="E1781" i="1"/>
  <c r="E802" i="1"/>
  <c r="E629" i="1"/>
  <c r="E1316" i="1"/>
  <c r="E1872" i="1"/>
  <c r="E834" i="1"/>
  <c r="E1162" i="1"/>
  <c r="E260" i="1"/>
  <c r="E1378" i="1"/>
  <c r="E1291" i="1"/>
  <c r="E404" i="1"/>
  <c r="E1930" i="1"/>
  <c r="E1500" i="1"/>
  <c r="E423" i="1"/>
  <c r="E140" i="1"/>
  <c r="E1752" i="1"/>
  <c r="E280" i="1"/>
  <c r="E772" i="1"/>
  <c r="E1525" i="1"/>
  <c r="E507" i="1"/>
  <c r="E1836" i="1"/>
  <c r="E345" i="1"/>
  <c r="E16" i="1"/>
  <c r="E1202" i="1"/>
  <c r="E977" i="1"/>
  <c r="E1730" i="1"/>
  <c r="E1155" i="1"/>
  <c r="E1531" i="1"/>
  <c r="E550" i="1"/>
  <c r="E221" i="1"/>
  <c r="E1251" i="1"/>
  <c r="E1588" i="1"/>
  <c r="E6" i="1"/>
  <c r="E1051" i="1"/>
  <c r="E1914" i="1"/>
  <c r="E1747" i="1"/>
  <c r="E1012" i="1"/>
  <c r="E1448" i="1"/>
  <c r="E450" i="1"/>
  <c r="E941" i="1"/>
  <c r="E1217" i="1"/>
  <c r="E573" i="1"/>
  <c r="E1344" i="1"/>
  <c r="E158" i="1"/>
  <c r="E21" i="1"/>
  <c r="E1065" i="1"/>
  <c r="E982" i="1"/>
  <c r="E653" i="1"/>
  <c r="E1263" i="1"/>
  <c r="E1112" i="1"/>
  <c r="E1744" i="1"/>
  <c r="E1143" i="1"/>
  <c r="E1433" i="1"/>
  <c r="E250" i="1"/>
  <c r="E1850" i="1"/>
  <c r="E1295" i="1"/>
  <c r="E179" i="1"/>
  <c r="E1922" i="1"/>
  <c r="E1279" i="1"/>
  <c r="E1932" i="1"/>
  <c r="E1591" i="1"/>
  <c r="E1382" i="1"/>
  <c r="E1075" i="1"/>
  <c r="E970" i="1"/>
  <c r="E376" i="1"/>
  <c r="E1021" i="1"/>
  <c r="E1918" i="1"/>
  <c r="E1241" i="1"/>
  <c r="E1441" i="1"/>
  <c r="E477" i="1"/>
  <c r="E219" i="1"/>
  <c r="E1019" i="1"/>
  <c r="E1392" i="1"/>
  <c r="E1135" i="1"/>
  <c r="E887" i="1"/>
  <c r="E760" i="1"/>
  <c r="E1317" i="1"/>
  <c r="E1105" i="1"/>
  <c r="E1908" i="1"/>
  <c r="E1088" i="1"/>
  <c r="E1281" i="1"/>
  <c r="E1393" i="1"/>
  <c r="E436" i="1"/>
  <c r="E1419" i="1"/>
  <c r="E1501" i="1"/>
  <c r="E580" i="1"/>
  <c r="E1528" i="1"/>
  <c r="E1459" i="1"/>
  <c r="E777" i="1"/>
  <c r="E1396" i="1"/>
  <c r="E1603" i="1"/>
  <c r="E258" i="1"/>
  <c r="E1124" i="1"/>
  <c r="E948" i="1"/>
  <c r="E1141" i="1"/>
  <c r="E604" i="1"/>
  <c r="E1175" i="1"/>
  <c r="E1076" i="1"/>
  <c r="E533" i="1"/>
  <c r="E204" i="1"/>
  <c r="E742" i="1"/>
  <c r="E1276" i="1"/>
  <c r="E809" i="1"/>
  <c r="E1409" i="1"/>
  <c r="E1089" i="1"/>
  <c r="E738" i="1"/>
  <c r="E409" i="1"/>
  <c r="E449" i="1"/>
  <c r="E1090" i="1"/>
  <c r="E1014" i="1"/>
  <c r="E1341" i="1"/>
  <c r="E1338" i="1"/>
  <c r="E943" i="1"/>
  <c r="E602" i="1"/>
  <c r="E832" i="1"/>
  <c r="E755" i="1"/>
  <c r="E426" i="1"/>
  <c r="E1147" i="1"/>
  <c r="E1793" i="1"/>
  <c r="E211" i="1"/>
  <c r="E1403" i="1"/>
  <c r="E1621" i="1"/>
  <c r="E1340" i="1"/>
  <c r="E812" i="1"/>
  <c r="E958" i="1"/>
  <c r="E1060" i="1"/>
  <c r="E1139" i="1"/>
  <c r="E1852" i="1"/>
  <c r="E414" i="1"/>
  <c r="E1355" i="1"/>
  <c r="E650" i="1"/>
  <c r="E226" i="1"/>
  <c r="E341" i="1"/>
  <c r="E1593" i="1"/>
  <c r="E858" i="1"/>
  <c r="E1159" i="1"/>
  <c r="E1440" i="1"/>
  <c r="E1045" i="1"/>
  <c r="E1467" i="1"/>
  <c r="E1365" i="1"/>
  <c r="E455" i="1"/>
  <c r="E126" i="1"/>
  <c r="E1262" i="1"/>
  <c r="E384" i="1"/>
  <c r="E1629" i="1"/>
  <c r="E1228" i="1"/>
  <c r="E770" i="1"/>
  <c r="E453" i="1"/>
  <c r="E1294" i="1"/>
  <c r="E1820" i="1"/>
  <c r="E1180" i="1"/>
  <c r="E856" i="1"/>
  <c r="E853" i="1"/>
  <c r="E174" i="1"/>
  <c r="E1401" i="1"/>
  <c r="E1176" i="1"/>
  <c r="E1464" i="1"/>
  <c r="E233" i="1"/>
  <c r="E1332" i="1"/>
  <c r="E1313" i="1"/>
  <c r="E1779" i="1"/>
  <c r="E838" i="1"/>
  <c r="E1152" i="1"/>
  <c r="E1923" i="1"/>
  <c r="E1723" i="1"/>
  <c r="E467" i="1"/>
  <c r="E1708" i="1"/>
  <c r="E1212" i="1"/>
  <c r="E1034" i="1"/>
  <c r="E877" i="1"/>
  <c r="E1333" i="1"/>
  <c r="E94" i="1"/>
  <c r="E1074" i="1"/>
  <c r="E18" i="1"/>
  <c r="E1618" i="1"/>
  <c r="E1238" i="1"/>
  <c r="E1876" i="1"/>
  <c r="E1547" i="1"/>
  <c r="E769" i="1"/>
  <c r="E402" i="1"/>
  <c r="E223" i="1"/>
  <c r="E1823" i="1"/>
  <c r="E1425" i="1"/>
  <c r="E152" i="1"/>
  <c r="E1620" i="1"/>
  <c r="E476" i="1"/>
  <c r="E1259" i="1"/>
  <c r="E428" i="1"/>
  <c r="E99" i="1"/>
  <c r="E690" i="1"/>
  <c r="E1253" i="1"/>
  <c r="E1813" i="1"/>
  <c r="E156" i="1"/>
  <c r="E1249" i="1"/>
  <c r="E1625" i="1"/>
  <c r="E1611" i="1"/>
  <c r="E1402" i="1"/>
  <c r="E1554" i="1"/>
  <c r="E819" i="1"/>
  <c r="E539" i="1"/>
  <c r="E87" i="1"/>
  <c r="E922" i="1"/>
  <c r="E228" i="1"/>
  <c r="E1828" i="1"/>
  <c r="E1201" i="1"/>
  <c r="E860" i="1"/>
  <c r="E1757" i="1"/>
  <c r="E424" i="1"/>
  <c r="E1710" i="1"/>
  <c r="E1569" i="1"/>
  <c r="E1449" i="1"/>
  <c r="E1137" i="1"/>
  <c r="E128" i="1"/>
  <c r="E619" i="1"/>
  <c r="E1371" i="1"/>
  <c r="E369" i="1"/>
  <c r="E431" i="1"/>
  <c r="E1218" i="1"/>
  <c r="E1798" i="1"/>
  <c r="E1469" i="1"/>
  <c r="E1055" i="1"/>
  <c r="E1431" i="1"/>
  <c r="E752" i="1"/>
  <c r="E1080" i="1"/>
  <c r="E196" i="1"/>
  <c r="E1796" i="1"/>
  <c r="E1410" i="1"/>
  <c r="E1427" i="1"/>
  <c r="E1108" i="1"/>
  <c r="E23" i="1"/>
  <c r="E753" i="1"/>
  <c r="E287" i="1"/>
  <c r="E792" i="1"/>
  <c r="E1408" i="1"/>
  <c r="E1117" i="1"/>
  <c r="E1305" i="1"/>
  <c r="E667" i="1"/>
  <c r="E890" i="1"/>
  <c r="E1334" i="1"/>
  <c r="E1047" i="1"/>
  <c r="E643" i="1"/>
  <c r="E1769" i="1"/>
  <c r="E939" i="1"/>
  <c r="E787" i="1"/>
  <c r="E1361" i="1"/>
  <c r="E1550" i="1"/>
  <c r="E448" i="1"/>
  <c r="E1064" i="1"/>
  <c r="E1346" i="1"/>
  <c r="E1808" i="1"/>
  <c r="E363" i="1"/>
  <c r="E1845" i="1"/>
  <c r="E1254" i="1"/>
  <c r="E955" i="1"/>
  <c r="E614" i="1"/>
  <c r="E1115" i="1"/>
  <c r="E1087" i="1"/>
  <c r="E411" i="1"/>
  <c r="E1817" i="1"/>
  <c r="E1318" i="1"/>
  <c r="E1293" i="1"/>
  <c r="E687" i="1"/>
  <c r="E1220" i="1"/>
  <c r="E1439" i="1"/>
  <c r="E616" i="1"/>
  <c r="E1536" i="1"/>
  <c r="E1142" i="1"/>
  <c r="E1429" i="1"/>
  <c r="E892" i="1"/>
  <c r="E1273" i="1"/>
  <c r="E1350" i="1"/>
  <c r="E821" i="1"/>
  <c r="E183" i="1"/>
  <c r="E1193" i="1"/>
  <c r="E633" i="1"/>
  <c r="E304" i="1"/>
  <c r="E1094" i="1"/>
  <c r="E1384" i="1"/>
  <c r="E89" i="1"/>
  <c r="E1792" i="1"/>
  <c r="E1024" i="1"/>
  <c r="E246" i="1"/>
  <c r="E1571" i="1"/>
  <c r="E836" i="1"/>
  <c r="E1436" i="1"/>
  <c r="E1311" i="1"/>
  <c r="E621" i="1"/>
  <c r="E292" i="1"/>
  <c r="E1567" i="1"/>
  <c r="E433" i="1"/>
  <c r="E104" i="1"/>
  <c r="E1086" i="1"/>
  <c r="E1471" i="1"/>
  <c r="E33" i="1"/>
  <c r="E1324" i="1"/>
  <c r="E1011" i="1"/>
  <c r="E1774" i="1"/>
  <c r="E978" i="1"/>
  <c r="E1297" i="1"/>
  <c r="E333" i="1"/>
  <c r="E824" i="1"/>
  <c r="E1267" i="1"/>
  <c r="E76" i="1"/>
  <c r="E1286" i="1"/>
  <c r="E1899" i="1"/>
  <c r="E660" i="1"/>
  <c r="E331" i="1"/>
  <c r="E1213" i="1"/>
  <c r="E692" i="1"/>
  <c r="E716" i="1"/>
  <c r="E1630" i="1"/>
  <c r="E670" i="1"/>
  <c r="E1257" i="1"/>
  <c r="E594" i="1"/>
  <c r="E1195" i="1"/>
  <c r="E1598" i="1"/>
  <c r="E570" i="1"/>
  <c r="E1140" i="1"/>
  <c r="E1466" i="1"/>
  <c r="E57" i="1"/>
  <c r="E509" i="1"/>
  <c r="E1298" i="1"/>
  <c r="E1190" i="1"/>
  <c r="E1576" i="1"/>
  <c r="E1444" i="1"/>
  <c r="E1222" i="1"/>
  <c r="E1457" i="1"/>
  <c r="E1368" i="1"/>
  <c r="E1125" i="1"/>
  <c r="E1806" i="1"/>
  <c r="E1272" i="1"/>
  <c r="E1428" i="1"/>
  <c r="E1377" i="1"/>
  <c r="E1825" i="1"/>
  <c r="E1496" i="1"/>
  <c r="E1347" i="1"/>
  <c r="E1754" i="1"/>
  <c r="E442" i="1"/>
  <c r="E663" i="1"/>
  <c r="E114" i="1"/>
  <c r="E101" i="1"/>
  <c r="E1701" i="1"/>
  <c r="E1160" i="1"/>
  <c r="E30" i="1"/>
  <c r="E149" i="1"/>
  <c r="E868" i="1"/>
  <c r="E1304" i="1"/>
  <c r="E306" i="1"/>
  <c r="E1906" i="1"/>
  <c r="E1073" i="1"/>
  <c r="E235" i="1"/>
  <c r="E825" i="1"/>
  <c r="E1067" i="1"/>
  <c r="E1314" i="1"/>
  <c r="E1503" i="1"/>
  <c r="E1158" i="1"/>
  <c r="E1200" i="1"/>
  <c r="E1026" i="1"/>
  <c r="E1819" i="1"/>
  <c r="E294" i="1"/>
  <c r="E1499" i="1"/>
  <c r="E1289" i="1"/>
  <c r="E106" i="1"/>
  <c r="E1706" i="1"/>
  <c r="E1101" i="1"/>
  <c r="E35" i="1"/>
  <c r="E1635" i="1"/>
  <c r="E1882" i="1"/>
  <c r="E1788" i="1"/>
  <c r="E1041" i="1"/>
  <c r="E1381" i="1"/>
  <c r="E1207" i="1"/>
  <c r="E826" i="1"/>
  <c r="E497" i="1"/>
  <c r="E130" i="1"/>
  <c r="E626" i="1"/>
  <c r="E309" i="1"/>
  <c r="E1150" i="1"/>
  <c r="E1676" i="1"/>
  <c r="E238" i="1"/>
  <c r="E1252" i="1"/>
  <c r="E718" i="1"/>
  <c r="E636" i="1"/>
  <c r="E1173" i="1"/>
  <c r="E62" i="1"/>
  <c r="E1674" i="1"/>
  <c r="E143" i="1"/>
  <c r="E1623" i="1"/>
  <c r="E1082" i="1"/>
  <c r="E1097" i="1"/>
  <c r="E1601" i="1"/>
  <c r="E1406" i="1"/>
  <c r="E416" i="1"/>
  <c r="E746" i="1"/>
  <c r="E326" i="1"/>
  <c r="E1164" i="1"/>
  <c r="E1513" i="1"/>
  <c r="E1310" i="1"/>
  <c r="E1277" i="1"/>
  <c r="E1816" i="1"/>
  <c r="E1362" i="1"/>
  <c r="E1379" i="1"/>
  <c r="E1339" i="1"/>
  <c r="E1156" i="1"/>
  <c r="E1189" i="1"/>
  <c r="E465" i="1"/>
  <c r="E1271" i="1"/>
  <c r="E209" i="1"/>
  <c r="E814" i="1"/>
  <c r="E904" i="1"/>
  <c r="E1801" i="1"/>
  <c r="E1053" i="1"/>
  <c r="E833" i="1"/>
  <c r="E504" i="1"/>
  <c r="E1418" i="1"/>
  <c r="E701" i="1"/>
  <c r="E1515" i="1"/>
  <c r="E77" i="1"/>
  <c r="E1107" i="1"/>
  <c r="E1038" i="1"/>
  <c r="E709" i="1"/>
  <c r="E1446" i="1"/>
  <c r="E906" i="1"/>
  <c r="E1720" i="1"/>
  <c r="E282" i="1"/>
  <c r="E1144" i="1"/>
  <c r="E1649" i="1"/>
  <c r="E902" i="1"/>
  <c r="E1079" i="1"/>
  <c r="E1517" i="1"/>
  <c r="E1785" i="1"/>
  <c r="E1479" i="1"/>
  <c r="E1169" i="1"/>
  <c r="E511" i="1"/>
  <c r="E170" i="1"/>
  <c r="E1196" i="1"/>
  <c r="E440" i="1"/>
  <c r="E532" i="1"/>
  <c r="E1637" i="1"/>
  <c r="E1526" i="1"/>
  <c r="E136" i="1"/>
  <c r="E1043" i="1"/>
  <c r="E714" i="1"/>
  <c r="E1435" i="1"/>
  <c r="E1296" i="1"/>
  <c r="E499" i="1"/>
  <c r="E800" i="1"/>
  <c r="E1412" i="1"/>
  <c r="E311" i="1"/>
  <c r="E1911" i="1"/>
  <c r="E1389" i="1"/>
  <c r="E240" i="1"/>
  <c r="E1840" i="1"/>
  <c r="E192" i="1"/>
  <c r="E52" i="1"/>
  <c r="E1652" i="1"/>
  <c r="E1266" i="1"/>
  <c r="E1211" i="1"/>
  <c r="E1031" i="1"/>
  <c r="E702" i="1"/>
  <c r="E1766" i="1"/>
  <c r="E38" i="1"/>
  <c r="E1327" i="1"/>
  <c r="E1182" i="1"/>
  <c r="E538" i="1"/>
  <c r="E1486" i="1"/>
  <c r="E1243" i="1"/>
  <c r="E1319" i="1"/>
  <c r="E1659" i="1"/>
  <c r="E1093" i="1"/>
  <c r="E492" i="1"/>
  <c r="E50" i="1"/>
  <c r="E28" i="1"/>
  <c r="E863" i="1"/>
  <c r="E1133" i="1"/>
  <c r="E377" i="1"/>
  <c r="E963" i="1"/>
  <c r="E1921" i="1"/>
  <c r="E1192" i="1"/>
  <c r="E641" i="1"/>
  <c r="E1301" i="1"/>
  <c r="E899" i="1"/>
  <c r="E785" i="1"/>
  <c r="E1777" i="1"/>
  <c r="E1664" i="1"/>
  <c r="E484" i="1"/>
  <c r="E1308" i="1"/>
  <c r="E482" i="1"/>
  <c r="E1421" i="1"/>
  <c r="E665" i="1"/>
  <c r="E1265" i="1"/>
  <c r="E1309" i="1"/>
  <c r="E1703" i="1"/>
  <c r="E265" i="1"/>
  <c r="E1458" i="1"/>
  <c r="E1353" i="1"/>
  <c r="E870" i="1"/>
  <c r="E1388" i="1"/>
  <c r="E1194" i="1"/>
  <c r="E1920" i="1"/>
  <c r="E458" i="1"/>
  <c r="E759" i="1"/>
  <c r="E1755" i="1"/>
  <c r="E1481" i="1"/>
  <c r="E1000" i="1"/>
  <c r="E1258" i="1"/>
  <c r="E184" i="1"/>
  <c r="E675" i="1"/>
  <c r="E1575" i="1"/>
  <c r="E1925" i="1"/>
  <c r="E487" i="1"/>
  <c r="E1331" i="1"/>
  <c r="E917" i="1"/>
  <c r="E975" i="1"/>
  <c r="E1884" i="1"/>
  <c r="E1722" i="1"/>
  <c r="E1492" i="1"/>
  <c r="E584" i="1"/>
  <c r="E239" i="1"/>
  <c r="E1269" i="1"/>
  <c r="E1134" i="1"/>
  <c r="E1913" i="1"/>
  <c r="E1596" i="1"/>
  <c r="E1227" i="1"/>
  <c r="E1842" i="1"/>
  <c r="E827" i="1"/>
  <c r="E1181" i="1"/>
  <c r="E1654" i="1"/>
  <c r="E919" i="1"/>
  <c r="E1236" i="1"/>
  <c r="E1261" i="1"/>
  <c r="E704" i="1"/>
  <c r="E1039" i="1"/>
  <c r="E1694" i="1"/>
  <c r="E516" i="1"/>
  <c r="E187" i="1"/>
  <c r="E1274" i="1"/>
  <c r="E445" i="1"/>
  <c r="E116" i="1"/>
  <c r="E684" i="1"/>
  <c r="E843" i="1"/>
  <c r="E514" i="1"/>
  <c r="E1307" i="1"/>
  <c r="E1881" i="1"/>
  <c r="E255" i="1"/>
  <c r="E387" i="1"/>
  <c r="E1835" i="1"/>
  <c r="E1358" i="1"/>
  <c r="E965" i="1"/>
  <c r="E1329" i="1"/>
  <c r="E1728" i="1"/>
  <c r="E1225" i="1"/>
  <c r="E1081" i="1"/>
  <c r="E1437" i="1"/>
  <c r="E1083" i="1"/>
  <c r="E55" i="1"/>
  <c r="E545" i="1"/>
  <c r="E1106" i="1"/>
  <c r="E199" i="1"/>
  <c r="E731" i="1"/>
  <c r="E672" i="1"/>
  <c r="E1009" i="1"/>
  <c r="E1095" i="1"/>
  <c r="E316" i="1"/>
  <c r="E197" i="1"/>
  <c r="E79" i="1"/>
  <c r="E1679" i="1"/>
  <c r="E1161" i="1"/>
  <c r="E711" i="1"/>
  <c r="E1476" i="1"/>
  <c r="E422" i="1"/>
  <c r="E1111" i="1"/>
  <c r="E284" i="1"/>
  <c r="E1896" i="1"/>
  <c r="E485" i="1"/>
  <c r="E1287" i="1"/>
  <c r="E1669" i="1"/>
  <c r="E141" i="1"/>
  <c r="E1049" i="1"/>
  <c r="E489" i="1"/>
  <c r="E160" i="1"/>
  <c r="E1432" i="1"/>
  <c r="E1077" i="1"/>
  <c r="E1874" i="1"/>
  <c r="E318" i="1"/>
  <c r="E1232" i="1"/>
  <c r="E1686" i="1"/>
  <c r="E951" i="1"/>
  <c r="E1188" i="1"/>
  <c r="E389" i="1"/>
  <c r="E880" i="1"/>
  <c r="E1780" i="1"/>
  <c r="E148" i="1"/>
  <c r="E1927" i="1"/>
  <c r="E793" i="1"/>
  <c r="E1889" i="1"/>
  <c r="E1166" i="1"/>
  <c r="E921" i="1"/>
  <c r="E592" i="1"/>
  <c r="E1215" i="1"/>
  <c r="E789" i="1"/>
  <c r="E1875" i="1"/>
  <c r="E773" i="1"/>
  <c r="E1153" i="1"/>
  <c r="E189" i="1"/>
  <c r="E1789" i="1"/>
  <c r="E1123" i="1"/>
  <c r="E118" i="1"/>
  <c r="E534" i="1"/>
  <c r="E1084" i="1"/>
  <c r="E1859" i="1"/>
  <c r="E1530" i="1"/>
  <c r="E53" i="1"/>
  <c r="E1323" i="1"/>
  <c r="E909" i="1"/>
  <c r="E734" i="1"/>
  <c r="E257" i="1"/>
  <c r="E1857" i="1"/>
  <c r="E1330" i="1"/>
  <c r="E1091" i="1"/>
  <c r="E1693" i="1"/>
  <c r="E1167" i="1"/>
  <c r="E348" i="1"/>
  <c r="E924" i="1"/>
  <c r="E1375" i="1"/>
  <c r="E1145" i="1"/>
  <c r="E1869" i="1"/>
  <c r="E379" i="1"/>
  <c r="E1233" i="1"/>
  <c r="E1221" i="1"/>
  <c r="E1280" i="1"/>
  <c r="E1354" i="1"/>
  <c r="E375" i="1"/>
  <c r="E1250" i="1"/>
  <c r="E848" i="1"/>
  <c r="E1488" i="1"/>
  <c r="E1397" i="1"/>
  <c r="E992" i="1"/>
  <c r="E1163" i="1"/>
  <c r="E1434" i="1"/>
  <c r="E155" i="1"/>
  <c r="E1342" i="1"/>
  <c r="E985" i="1"/>
  <c r="E1174" i="1"/>
  <c r="E1315" i="1"/>
  <c r="E543" i="1"/>
  <c r="E1264" i="1"/>
  <c r="E1187" i="1"/>
  <c r="E472" i="1"/>
  <c r="E1687" i="1"/>
  <c r="E1321" i="1"/>
  <c r="E1285" i="1"/>
  <c r="E748" i="1"/>
  <c r="E1129" i="1"/>
  <c r="E1288" i="1"/>
  <c r="E677" i="1"/>
  <c r="E988" i="1"/>
  <c r="E1426" i="1"/>
  <c r="E1170" i="1"/>
  <c r="E953" i="1"/>
  <c r="E1216" i="1"/>
  <c r="E1056" i="1"/>
  <c r="E882" i="1"/>
  <c r="E380" i="1"/>
  <c r="E1172" i="1"/>
  <c r="E694" i="1"/>
  <c r="E365" i="1"/>
  <c r="E1395" i="1"/>
  <c r="E1351" i="1"/>
  <c r="E150" i="1"/>
  <c r="E25" i="1"/>
  <c r="E1491" i="1"/>
  <c r="E466" i="1"/>
  <c r="E406" i="1"/>
  <c r="E897" i="1"/>
  <c r="E1237" i="1"/>
  <c r="E1063" i="1"/>
  <c r="E1791" i="1"/>
  <c r="E353" i="1"/>
  <c r="E408" i="1"/>
  <c r="E500" i="1"/>
  <c r="E165" i="1"/>
  <c r="E1413" i="1"/>
  <c r="E1532" i="1"/>
  <c r="E797" i="1"/>
  <c r="E1407" i="1"/>
  <c r="E994" i="1"/>
  <c r="E1582" i="1"/>
  <c r="E1146" i="1"/>
  <c r="E1336" i="1"/>
  <c r="E394" i="1"/>
  <c r="E65" i="1"/>
  <c r="E1197" i="1"/>
  <c r="E323" i="1"/>
  <c r="E241" i="1"/>
  <c r="E1118" i="1"/>
  <c r="E721" i="1"/>
  <c r="E392" i="1"/>
  <c r="E1374" i="1"/>
  <c r="E1219" i="1"/>
  <c r="E1520" i="1"/>
  <c r="E418" i="1"/>
  <c r="E462" i="1"/>
  <c r="E59" i="1"/>
  <c r="E937" i="1"/>
  <c r="E1933" i="1"/>
  <c r="E1665" i="1"/>
  <c r="E1695" i="1"/>
  <c r="E58" i="1"/>
  <c r="E88" i="1"/>
  <c r="E29" i="1"/>
  <c r="E1950" i="1"/>
  <c r="E1953" i="1"/>
  <c r="E1938" i="1"/>
  <c r="E1729" i="1"/>
  <c r="E654" i="1"/>
  <c r="E483" i="1"/>
  <c r="E710" i="1"/>
  <c r="E346" i="1"/>
  <c r="E1970" i="1"/>
  <c r="E562" i="1"/>
  <c r="E1822" i="1"/>
  <c r="E1856" i="1"/>
  <c r="E1890" i="1"/>
  <c r="E1514" i="1"/>
  <c r="E90" i="1"/>
  <c r="E417" i="1"/>
  <c r="E1472" i="1"/>
  <c r="E109" i="1"/>
  <c r="E524" i="1"/>
  <c r="E1544" i="1"/>
  <c r="E706" i="1"/>
  <c r="E1033" i="1"/>
  <c r="E159" i="1"/>
  <c r="E386" i="1"/>
  <c r="E22" i="1"/>
  <c r="E1487" i="1"/>
  <c r="E1641" i="1"/>
  <c r="E554" i="1"/>
  <c r="E395" i="1"/>
  <c r="E634" i="1"/>
  <c r="E790" i="1"/>
  <c r="E358" i="1"/>
  <c r="E480" i="1"/>
  <c r="E596" i="1"/>
  <c r="E630" i="1"/>
  <c r="E664" i="1"/>
  <c r="E288" i="1"/>
  <c r="E588" i="1"/>
  <c r="E915" i="1"/>
  <c r="E41" i="1"/>
  <c r="E607" i="1"/>
  <c r="E1832" i="1"/>
  <c r="E1456" i="1"/>
  <c r="E618" i="1"/>
  <c r="E945" i="1"/>
  <c r="E71" i="1"/>
  <c r="E105" i="1"/>
  <c r="E1863" i="1"/>
  <c r="E993" i="1"/>
  <c r="E561" i="1"/>
  <c r="E1821" i="1"/>
  <c r="E253" i="1"/>
  <c r="E1484" i="1"/>
  <c r="E1893" i="1"/>
  <c r="E1551" i="1"/>
  <c r="E535" i="1"/>
  <c r="E1590" i="1"/>
  <c r="E1624" i="1"/>
  <c r="E1453" i="1"/>
  <c r="E181" i="1"/>
  <c r="E1549" i="1"/>
  <c r="E1306" i="1"/>
  <c r="E885" i="1"/>
  <c r="E1632" i="1"/>
  <c r="E1445" i="1"/>
  <c r="E1100" i="1"/>
  <c r="E1028" i="1"/>
  <c r="E291" i="1"/>
  <c r="E1516" i="1"/>
  <c r="E587" i="1"/>
  <c r="E96" i="1"/>
  <c r="E1203" i="1"/>
  <c r="E658" i="1"/>
  <c r="E1148" i="1"/>
  <c r="E528" i="1"/>
  <c r="E275" i="1"/>
  <c r="E1157" i="1"/>
  <c r="E645" i="1"/>
  <c r="E1929" i="1"/>
  <c r="E1939" i="1"/>
  <c r="E322" i="1"/>
  <c r="E352" i="1"/>
  <c r="E644" i="1"/>
  <c r="E662" i="1"/>
  <c r="E615" i="1"/>
  <c r="E1935" i="1"/>
  <c r="E1965" i="1"/>
  <c r="E1934" i="1"/>
  <c r="E374" i="1"/>
  <c r="E1646" i="1"/>
  <c r="E1475" i="1"/>
  <c r="E1714" i="1"/>
  <c r="E932" i="1"/>
  <c r="E1638" i="1"/>
  <c r="E36" i="1"/>
  <c r="E479" i="1"/>
  <c r="E513" i="1"/>
  <c r="E547" i="1"/>
  <c r="E171" i="1"/>
  <c r="E676" i="1"/>
  <c r="E1003" i="1"/>
  <c r="E129" i="1"/>
  <c r="E163" i="1"/>
  <c r="E566" i="1"/>
  <c r="E646" i="1"/>
  <c r="E268" i="1"/>
  <c r="E131" i="1"/>
  <c r="E745" i="1"/>
  <c r="E984" i="1"/>
  <c r="E608" i="1"/>
  <c r="E144" i="1"/>
  <c r="E298" i="1"/>
  <c r="E1558" i="1"/>
  <c r="E981" i="1"/>
  <c r="E1626" i="1"/>
  <c r="E844" i="1"/>
  <c r="E412" i="1"/>
  <c r="E739" i="1"/>
  <c r="E397" i="1"/>
  <c r="E1622" i="1"/>
  <c r="E1668" i="1"/>
  <c r="E874" i="1"/>
  <c r="E1580" i="1"/>
  <c r="E1907" i="1"/>
  <c r="E627" i="1"/>
  <c r="E661" i="1"/>
  <c r="E490" i="1"/>
  <c r="E113" i="1"/>
  <c r="E180" i="1"/>
  <c r="E8" i="1"/>
  <c r="E657" i="1"/>
  <c r="E896" i="1"/>
  <c r="E520" i="1"/>
  <c r="E56" i="1"/>
  <c r="E1553" i="1"/>
  <c r="E478" i="1"/>
  <c r="E307" i="1"/>
  <c r="E1538" i="1"/>
  <c r="E756" i="1"/>
  <c r="E208" i="1"/>
  <c r="E1527" i="1"/>
  <c r="E247" i="1"/>
  <c r="E486" i="1"/>
  <c r="E98" i="1"/>
  <c r="E1468" i="1"/>
  <c r="E194" i="1"/>
  <c r="E1191" i="1"/>
  <c r="E1300" i="1"/>
  <c r="E421" i="1"/>
  <c r="E750" i="1"/>
  <c r="E1369" i="1"/>
  <c r="E474" i="1"/>
  <c r="E926" i="1"/>
  <c r="E1751" i="1"/>
  <c r="E1579" i="1"/>
  <c r="E682" i="1"/>
  <c r="E1326" i="1"/>
  <c r="E1376" i="1"/>
  <c r="E1104" i="1"/>
  <c r="E1810" i="1"/>
  <c r="E722" i="1"/>
  <c r="E1224" i="1"/>
  <c r="E1943" i="1"/>
  <c r="E586" i="1"/>
  <c r="E1955" i="1"/>
  <c r="E908" i="1"/>
  <c r="E1969" i="1"/>
  <c r="E1636" i="1"/>
  <c r="E1666" i="1"/>
  <c r="E1607" i="1"/>
  <c r="E1971" i="1"/>
  <c r="E1942" i="1"/>
  <c r="E1966" i="1"/>
  <c r="E972" i="1"/>
  <c r="E303" i="1"/>
  <c r="E337" i="1"/>
  <c r="E371" i="1"/>
  <c r="E1924" i="1"/>
  <c r="E295" i="1"/>
  <c r="E622" i="1"/>
  <c r="E1677" i="1"/>
  <c r="E302" i="1"/>
  <c r="E1539" i="1"/>
  <c r="E757" i="1"/>
  <c r="E1680" i="1"/>
  <c r="E66" i="1"/>
  <c r="E715" i="1"/>
  <c r="E749" i="1"/>
  <c r="E1570" i="1"/>
  <c r="E700" i="1"/>
  <c r="E842" i="1"/>
  <c r="E185" i="1"/>
  <c r="E146" i="1"/>
  <c r="E47" i="1"/>
  <c r="E1600" i="1"/>
  <c r="E730" i="1"/>
  <c r="E884" i="1"/>
  <c r="E215" i="1"/>
  <c r="E44" i="1"/>
  <c r="E283" i="1"/>
  <c r="E1848" i="1"/>
  <c r="E986" i="1"/>
  <c r="E1731" i="1"/>
  <c r="E451" i="1"/>
  <c r="E1017" i="1"/>
  <c r="E313" i="1"/>
  <c r="E1866" i="1"/>
  <c r="E237" i="1"/>
  <c r="E564" i="1"/>
  <c r="E1619" i="1"/>
  <c r="E1653" i="1"/>
  <c r="E1482" i="1"/>
  <c r="E612" i="1"/>
  <c r="E766" i="1"/>
  <c r="E97" i="1"/>
  <c r="E446" i="1"/>
  <c r="E1888" i="1"/>
  <c r="E1524" i="1"/>
  <c r="E642" i="1"/>
  <c r="E210" i="1"/>
  <c r="E1470" i="1"/>
  <c r="E893" i="1"/>
  <c r="E195" i="1"/>
  <c r="E1748" i="1"/>
  <c r="E1699" i="1"/>
  <c r="E1616" i="1"/>
  <c r="E48" i="1"/>
  <c r="E1478" i="1"/>
  <c r="E696" i="1"/>
  <c r="E1035" i="1"/>
  <c r="E936" i="1"/>
  <c r="E1671" i="1"/>
  <c r="E1069" i="1"/>
  <c r="E1007" i="1"/>
  <c r="E1742" i="1"/>
  <c r="E1633" i="1"/>
  <c r="E1761" i="1"/>
  <c r="E1727" i="1"/>
  <c r="E74" i="1"/>
  <c r="E1171" i="1"/>
  <c r="E1818" i="1"/>
  <c r="E206" i="1"/>
  <c r="E1061" i="1"/>
  <c r="E968" i="1"/>
  <c r="E115" i="1"/>
  <c r="E153" i="1"/>
  <c r="E1168" i="1"/>
  <c r="E502" i="1"/>
  <c r="E1578" i="1"/>
  <c r="E9" i="1"/>
  <c r="E1900" i="1"/>
  <c r="E214" i="1"/>
  <c r="E293" i="1"/>
  <c r="E1523" i="1"/>
  <c r="E264" i="1"/>
  <c r="E1954" i="1"/>
  <c r="E1964" i="1"/>
  <c r="E119" i="1"/>
  <c r="E578" i="1"/>
  <c r="E889" i="1"/>
  <c r="E923" i="1"/>
  <c r="E957" i="1"/>
  <c r="E581" i="1"/>
  <c r="E881" i="1"/>
  <c r="E1614" i="1"/>
  <c r="E334" i="1"/>
  <c r="E368" i="1"/>
  <c r="E729" i="1"/>
  <c r="E1749" i="1"/>
  <c r="E325" i="1"/>
  <c r="E652" i="1"/>
  <c r="E1707" i="1"/>
  <c r="E1741" i="1"/>
  <c r="E227" i="1"/>
  <c r="E1704" i="1"/>
  <c r="E1846" i="1"/>
  <c r="E771" i="1"/>
  <c r="E600" i="1"/>
  <c r="E839" i="1"/>
  <c r="E995" i="1"/>
  <c r="E563" i="1"/>
  <c r="E685" i="1"/>
  <c r="E801" i="1"/>
  <c r="E835" i="1"/>
  <c r="E869" i="1"/>
  <c r="E493" i="1"/>
  <c r="E61" i="1"/>
  <c r="E388" i="1"/>
  <c r="E1037" i="1"/>
  <c r="E1477" i="1"/>
  <c r="E900" i="1"/>
  <c r="E523" i="1"/>
  <c r="E823" i="1"/>
  <c r="E1556" i="1"/>
  <c r="E276" i="1"/>
  <c r="E310" i="1"/>
  <c r="E139" i="1"/>
  <c r="E1604" i="1"/>
  <c r="E1758" i="1"/>
  <c r="E683" i="1"/>
  <c r="E512" i="1"/>
  <c r="E1689" i="1"/>
  <c r="E169" i="1"/>
  <c r="E1634" i="1"/>
  <c r="E796" i="1"/>
  <c r="E127" i="1"/>
  <c r="E1885" i="1"/>
  <c r="E781" i="1"/>
  <c r="E405" i="1"/>
  <c r="E356" i="1"/>
  <c r="E273" i="1"/>
  <c r="E102" i="1"/>
  <c r="E873" i="1"/>
  <c r="E1688" i="1"/>
  <c r="E188" i="1"/>
  <c r="E1928" i="1"/>
  <c r="E328" i="1"/>
  <c r="E1151" i="1"/>
  <c r="E1385" i="1"/>
  <c r="E399" i="1"/>
  <c r="E1278" i="1"/>
  <c r="E1734" i="1"/>
  <c r="E767" i="1"/>
  <c r="E733" i="1"/>
  <c r="E1357" i="1"/>
  <c r="E475" i="1"/>
  <c r="E804" i="1"/>
  <c r="E1394" i="1"/>
  <c r="E382" i="1"/>
  <c r="E1809" i="1"/>
  <c r="E289" i="1"/>
  <c r="E780" i="1"/>
  <c r="E556" i="1"/>
  <c r="E829" i="1"/>
  <c r="E1010" i="1"/>
  <c r="E557" i="1"/>
  <c r="E263" i="1"/>
  <c r="E879" i="1"/>
  <c r="E1577" i="1"/>
  <c r="E850" i="1"/>
  <c r="E1937" i="1"/>
  <c r="E1949" i="1"/>
  <c r="E705" i="1"/>
  <c r="E1032" i="1"/>
  <c r="E290" i="1"/>
  <c r="E1915" i="1"/>
  <c r="E20" i="1"/>
  <c r="E1573" i="1"/>
  <c r="E1873" i="1"/>
  <c r="E271" i="1"/>
  <c r="E920" i="1"/>
  <c r="E954" i="1"/>
  <c r="E783" i="1"/>
  <c r="E851" i="1"/>
  <c r="E911" i="1"/>
  <c r="E1656" i="1"/>
  <c r="E364" i="1"/>
  <c r="E1595" i="1"/>
  <c r="E813" i="1"/>
  <c r="E349" i="1"/>
  <c r="E503" i="1"/>
  <c r="E1763" i="1"/>
  <c r="E1592" i="1"/>
  <c r="E1831" i="1"/>
  <c r="E1455" i="1"/>
  <c r="E617" i="1"/>
  <c r="E944" i="1"/>
  <c r="E590" i="1"/>
  <c r="E1827" i="1"/>
  <c r="E1861" i="1"/>
  <c r="E1485" i="1"/>
  <c r="E647" i="1"/>
  <c r="E962" i="1"/>
  <c r="E100" i="1"/>
  <c r="E122" i="1"/>
  <c r="E1892" i="1"/>
  <c r="E31" i="1"/>
  <c r="E385" i="1"/>
  <c r="E213" i="1"/>
  <c r="E862" i="1"/>
  <c r="E1507" i="1"/>
  <c r="E725" i="1"/>
  <c r="E261" i="1"/>
  <c r="E415" i="1"/>
  <c r="E1675" i="1"/>
  <c r="E1504" i="1"/>
  <c r="E1743" i="1"/>
  <c r="E961" i="1"/>
  <c r="E1958" i="1"/>
  <c r="E1800" i="1"/>
  <c r="E713" i="1"/>
  <c r="E1739" i="1"/>
  <c r="E1773" i="1"/>
  <c r="E991" i="1"/>
  <c r="E942" i="1"/>
  <c r="E859" i="1"/>
  <c r="E688" i="1"/>
  <c r="E927" i="1"/>
  <c r="E551" i="1"/>
  <c r="E864" i="1"/>
  <c r="E1416" i="1"/>
  <c r="E1046" i="1"/>
  <c r="E567" i="1"/>
  <c r="E1328" i="1"/>
  <c r="E1535" i="1"/>
  <c r="E1864" i="1"/>
  <c r="E481" i="1"/>
  <c r="E125" i="1"/>
  <c r="E1725" i="1"/>
  <c r="E1247" i="1"/>
  <c r="E1204" i="1"/>
  <c r="E11" i="1"/>
  <c r="E340" i="1"/>
  <c r="E1581" i="1"/>
  <c r="E83" i="1"/>
  <c r="E1644" i="1"/>
  <c r="E182" i="1"/>
  <c r="E1560" i="1"/>
  <c r="E92" i="1"/>
  <c r="E1870" i="1"/>
  <c r="E1967" i="1"/>
  <c r="E849" i="1"/>
  <c r="E1871" i="1"/>
  <c r="E234" i="1"/>
  <c r="E1956" i="1"/>
  <c r="E1977" i="1"/>
  <c r="E1947" i="1"/>
  <c r="E1697" i="1"/>
  <c r="E95" i="1"/>
  <c r="E744" i="1"/>
  <c r="E778" i="1"/>
  <c r="E1545" i="1"/>
  <c r="E218" i="1"/>
  <c r="E518" i="1"/>
  <c r="E857" i="1"/>
  <c r="E1912" i="1"/>
  <c r="E17" i="1"/>
  <c r="E1775" i="1"/>
  <c r="E905" i="1"/>
  <c r="E473" i="1"/>
  <c r="E336" i="1"/>
  <c r="E938" i="1"/>
  <c r="E252" i="1"/>
  <c r="E1805" i="1"/>
  <c r="E935" i="1"/>
  <c r="E1495" i="1"/>
  <c r="E420" i="1"/>
  <c r="E249" i="1"/>
  <c r="E488" i="1"/>
  <c r="E112" i="1"/>
  <c r="E1609" i="1"/>
  <c r="E7" i="1"/>
  <c r="E656" i="1"/>
  <c r="E1628" i="1"/>
  <c r="E506" i="1"/>
  <c r="E142" i="1"/>
  <c r="E1639" i="1"/>
  <c r="E37" i="1"/>
  <c r="E674" i="1"/>
  <c r="E720" i="1"/>
  <c r="E549" i="1"/>
  <c r="E85" i="1"/>
  <c r="E971" i="1"/>
  <c r="E434" i="1"/>
  <c r="E1854" i="1"/>
  <c r="E164" i="1"/>
  <c r="E1717" i="1"/>
  <c r="E847" i="1"/>
  <c r="E1001" i="1"/>
  <c r="E332" i="1"/>
  <c r="E161" i="1"/>
  <c r="E400" i="1"/>
  <c r="E24" i="1"/>
  <c r="E529" i="1"/>
  <c r="E1589" i="1"/>
  <c r="E1705" i="1"/>
  <c r="E396" i="1"/>
  <c r="E430" i="1"/>
  <c r="E54" i="1"/>
  <c r="E5" i="1"/>
  <c r="E1851" i="1"/>
  <c r="E1692" i="1"/>
  <c r="E1919" i="1"/>
  <c r="E1543" i="1"/>
  <c r="E222" i="1"/>
  <c r="E1386" i="1"/>
  <c r="E121" i="1"/>
  <c r="E1559" i="1"/>
  <c r="E1165" i="1"/>
  <c r="E1121" i="1"/>
  <c r="E521" i="1"/>
  <c r="E1563" i="1"/>
  <c r="E86" i="1"/>
  <c r="E526" i="1"/>
  <c r="E855" i="1"/>
  <c r="E1438" i="1"/>
  <c r="E597" i="1"/>
  <c r="E914" i="1"/>
  <c r="E589" i="1"/>
  <c r="E930" i="1"/>
  <c r="E1136" i="1"/>
  <c r="E987" i="1"/>
  <c r="E205" i="1"/>
  <c r="E134" i="1"/>
  <c r="E527" i="1"/>
  <c r="E1944" i="1"/>
  <c r="E1841" i="1"/>
  <c r="E1951" i="1"/>
  <c r="E820" i="1"/>
  <c r="E1948" i="1"/>
  <c r="E1973" i="1"/>
  <c r="E1952" i="1"/>
  <c r="E354" i="1"/>
  <c r="E681" i="1"/>
  <c r="E1736" i="1"/>
  <c r="E1770" i="1"/>
  <c r="E1599" i="1"/>
  <c r="E1667" i="1"/>
  <c r="E1522" i="1"/>
  <c r="E1849" i="1"/>
  <c r="E569" i="1"/>
  <c r="E603" i="1"/>
  <c r="E432" i="1"/>
  <c r="E1897" i="1"/>
  <c r="E1465" i="1"/>
  <c r="E390" i="1"/>
  <c r="E751" i="1"/>
  <c r="E1044" i="1"/>
  <c r="E1606" i="1"/>
  <c r="E768" i="1"/>
  <c r="E878" i="1"/>
  <c r="E1006" i="1"/>
  <c r="E1040" i="1"/>
  <c r="E1480" i="1"/>
  <c r="E686" i="1"/>
  <c r="E254" i="1"/>
  <c r="E593" i="1"/>
  <c r="E1648" i="1"/>
  <c r="E1682" i="1"/>
  <c r="E1511" i="1"/>
  <c r="E728" i="1"/>
  <c r="E1733" i="1"/>
  <c r="E623" i="1"/>
  <c r="E1678" i="1"/>
  <c r="E1917" i="1"/>
  <c r="E1541" i="1"/>
  <c r="E671" i="1"/>
  <c r="E34" i="1"/>
  <c r="E888" i="1"/>
  <c r="E717" i="1"/>
  <c r="E1894" i="1"/>
  <c r="E362" i="1"/>
  <c r="E1839" i="1"/>
  <c r="E64" i="1"/>
  <c r="E918" i="1"/>
  <c r="E747" i="1"/>
  <c r="E974" i="1"/>
  <c r="E610" i="1"/>
  <c r="E1521" i="1"/>
  <c r="E1860" i="1"/>
  <c r="E1506" i="1"/>
  <c r="E1594" i="1"/>
  <c r="E1016" i="1"/>
  <c r="E640" i="1"/>
  <c r="E591" i="1"/>
  <c r="E508" i="1"/>
  <c r="E530" i="1"/>
  <c r="E576" i="1"/>
  <c r="E200" i="1"/>
  <c r="E1509" i="1"/>
  <c r="E1405" i="1"/>
  <c r="E1417" i="1"/>
  <c r="E360" i="1"/>
  <c r="E689" i="1"/>
  <c r="E1584" i="1"/>
  <c r="E1657" i="1"/>
  <c r="E515" i="1"/>
  <c r="E774" i="1"/>
  <c r="E1518" i="1"/>
  <c r="E1847" i="1"/>
  <c r="E1442" i="1"/>
  <c r="E1260" i="1"/>
  <c r="E133" i="1"/>
  <c r="E1120" i="1"/>
  <c r="E1058" i="1"/>
  <c r="E459" i="1"/>
  <c r="E1270" i="1"/>
  <c r="E707" i="1"/>
  <c r="E791" i="1"/>
  <c r="E732" i="1"/>
  <c r="E1519" i="1"/>
  <c r="E419" i="1"/>
  <c r="E498" i="1"/>
  <c r="E1945" i="1"/>
  <c r="E1824" i="1"/>
  <c r="E1980" i="1"/>
  <c r="E1957" i="1"/>
  <c r="E1972" i="1"/>
  <c r="E940" i="1"/>
  <c r="E1673" i="1"/>
  <c r="E393" i="1"/>
  <c r="E427" i="1"/>
  <c r="E256" i="1"/>
  <c r="E1721" i="1"/>
  <c r="E678" i="1"/>
  <c r="E541" i="1"/>
  <c r="E1561" i="1"/>
  <c r="E1812" i="1"/>
  <c r="E1018" i="1"/>
  <c r="E542" i="1"/>
  <c r="E110" i="1"/>
  <c r="E976" i="1"/>
  <c r="E805" i="1"/>
  <c r="E107" i="1"/>
  <c r="E1660" i="1"/>
  <c r="E822" i="1"/>
  <c r="E1555" i="1"/>
  <c r="E69" i="1"/>
  <c r="E103" i="1"/>
  <c r="E137" i="1"/>
  <c r="E1690" i="1"/>
  <c r="E852" i="1"/>
  <c r="E1585" i="1"/>
  <c r="E305" i="1"/>
  <c r="E339" i="1"/>
  <c r="E168" i="1"/>
  <c r="E236" i="1"/>
  <c r="E1787" i="1"/>
  <c r="E1650" i="1"/>
  <c r="E335" i="1"/>
  <c r="E574" i="1"/>
  <c r="E198" i="1"/>
  <c r="E1663" i="1"/>
  <c r="E620" i="1"/>
  <c r="E1880" i="1"/>
  <c r="E1709" i="1"/>
  <c r="E19" i="1"/>
  <c r="E175" i="1"/>
  <c r="E866" i="1"/>
  <c r="E1794" i="1"/>
  <c r="E1910" i="1"/>
  <c r="E15" i="1"/>
  <c r="E49" i="1"/>
  <c r="E1602" i="1"/>
  <c r="E178" i="1"/>
  <c r="E505" i="1"/>
  <c r="E1572" i="1"/>
  <c r="E251" i="1"/>
  <c r="E80" i="1"/>
  <c r="E202" i="1"/>
  <c r="E1583" i="1"/>
  <c r="E1512" i="1"/>
  <c r="E1534" i="1"/>
  <c r="E1568" i="1"/>
  <c r="E786" i="1"/>
  <c r="E51" i="1"/>
  <c r="E1610" i="1"/>
  <c r="E1177" i="1"/>
  <c r="E946" i="1"/>
  <c r="E1681" i="1"/>
  <c r="E1424" i="1"/>
  <c r="E1284" i="1"/>
  <c r="E1802" i="1"/>
  <c r="E132" i="1"/>
  <c r="E1248" i="1"/>
  <c r="E648" i="1"/>
  <c r="E157" i="1"/>
  <c r="E1282" i="1"/>
  <c r="E719" i="1"/>
  <c r="E1029" i="1"/>
  <c r="E1068" i="1"/>
  <c r="E1712" i="1"/>
  <c r="E1372" i="1"/>
  <c r="E761" i="1"/>
  <c r="E1783" i="1"/>
  <c r="E1724" i="1"/>
  <c r="E176" i="1"/>
  <c r="E468" i="1"/>
  <c r="E1490" i="1"/>
  <c r="E1022" i="1"/>
  <c r="E469" i="1"/>
  <c r="E1960" i="1"/>
  <c r="E1961" i="1"/>
  <c r="E1978" i="1"/>
  <c r="E3" i="1"/>
  <c r="E330" i="1"/>
  <c r="E979" i="1"/>
  <c r="E1013" i="1"/>
  <c r="E830" i="1"/>
  <c r="E378" i="1"/>
  <c r="E1670" i="1"/>
  <c r="E595" i="1"/>
  <c r="E956" i="1"/>
  <c r="E457" i="1"/>
  <c r="E81" i="1"/>
  <c r="E1546" i="1"/>
  <c r="E708" i="1"/>
  <c r="E39" i="1"/>
  <c r="E1797" i="1"/>
  <c r="E693" i="1"/>
  <c r="E317" i="1"/>
  <c r="E1814" i="1"/>
  <c r="E212" i="1"/>
  <c r="E861" i="1"/>
  <c r="E1833" i="1"/>
  <c r="E723" i="1"/>
  <c r="E347" i="1"/>
  <c r="E1844" i="1"/>
  <c r="E230" i="1"/>
  <c r="E891" i="1"/>
  <c r="E925" i="1"/>
  <c r="E754" i="1"/>
  <c r="E278" i="1"/>
  <c r="E444" i="1"/>
  <c r="E1716" i="1"/>
  <c r="E1533" i="1"/>
  <c r="E1566" i="1"/>
  <c r="E784" i="1"/>
  <c r="E320" i="1"/>
  <c r="E1612" i="1"/>
  <c r="E537" i="1"/>
  <c r="E366" i="1"/>
  <c r="E605" i="1"/>
  <c r="E229" i="1"/>
  <c r="E1726" i="1"/>
  <c r="E124" i="1"/>
  <c r="E1711" i="1"/>
  <c r="E601" i="1"/>
  <c r="E635" i="1"/>
  <c r="E259" i="1"/>
  <c r="E764" i="1"/>
  <c r="E1497" i="1"/>
  <c r="E217" i="1"/>
  <c r="E837" i="1"/>
  <c r="E666" i="1"/>
  <c r="E324" i="1"/>
  <c r="E1643" i="1"/>
  <c r="E895" i="1"/>
  <c r="E191" i="1"/>
  <c r="E225" i="1"/>
  <c r="E1778" i="1"/>
  <c r="E727" i="1"/>
  <c r="E267" i="1"/>
  <c r="E1178" i="1"/>
  <c r="E1066" i="1"/>
  <c r="E470" i="1"/>
  <c r="E811" i="1"/>
  <c r="E1110" i="1"/>
  <c r="E344" i="1"/>
  <c r="E808" i="1"/>
  <c r="E1414" i="1"/>
  <c r="E1640" i="1"/>
  <c r="E743" i="1"/>
  <c r="E1246" i="1"/>
  <c r="E1103" i="1"/>
  <c r="E443" i="1"/>
  <c r="E1447" i="1"/>
  <c r="E425" i="1"/>
  <c r="E841" i="1"/>
  <c r="E1753" i="1"/>
  <c r="E1968" i="1"/>
  <c r="E381" i="1"/>
  <c r="E762" i="1"/>
  <c r="E1460" i="1"/>
  <c r="E147" i="1"/>
  <c r="E1782" i="1"/>
  <c r="E1461" i="1"/>
  <c r="E1962" i="1"/>
  <c r="E1974" i="1"/>
  <c r="E1936" i="1"/>
  <c r="E1494" i="1"/>
  <c r="E916" i="1"/>
  <c r="E42" i="1"/>
  <c r="E281" i="1"/>
  <c r="E1834" i="1"/>
  <c r="E964" i="1"/>
  <c r="E327" i="1"/>
  <c r="E1587" i="1"/>
  <c r="E998" i="1"/>
  <c r="E1655" i="1"/>
  <c r="E1811" i="1"/>
  <c r="E203" i="1"/>
  <c r="E1700" i="1"/>
  <c r="E625" i="1"/>
  <c r="E454" i="1"/>
  <c r="E1685" i="1"/>
  <c r="E903" i="1"/>
  <c r="E471" i="1"/>
  <c r="E798" i="1"/>
  <c r="E1853" i="1"/>
  <c r="E1887" i="1"/>
  <c r="E319" i="1"/>
  <c r="E933" i="1"/>
  <c r="E501" i="1"/>
  <c r="E828" i="1"/>
  <c r="E1883" i="1"/>
  <c r="E193" i="1"/>
  <c r="E1746" i="1"/>
  <c r="E876" i="1"/>
  <c r="E1030" i="1"/>
  <c r="E361" i="1"/>
  <c r="E190" i="1"/>
  <c r="E429" i="1"/>
  <c r="E585" i="1"/>
  <c r="E1981" i="1"/>
  <c r="E269" i="1"/>
  <c r="E1529" i="1"/>
  <c r="E952" i="1"/>
  <c r="E1597" i="1"/>
  <c r="E815" i="1"/>
  <c r="E383" i="1"/>
  <c r="E698" i="1"/>
  <c r="E1765" i="1"/>
  <c r="E1799" i="1"/>
  <c r="E1627" i="1"/>
  <c r="E845" i="1"/>
  <c r="E1756" i="1"/>
  <c r="E154" i="1"/>
  <c r="E803" i="1"/>
  <c r="E1829" i="1"/>
  <c r="E1658" i="1"/>
  <c r="E910" i="1"/>
  <c r="E300" i="1"/>
  <c r="E949" i="1"/>
  <c r="E983" i="1"/>
  <c r="E1750" i="1"/>
  <c r="E435" i="1"/>
  <c r="E1462" i="1"/>
  <c r="E997" i="1"/>
  <c r="E494" i="1"/>
  <c r="E1349" i="1"/>
  <c r="E1474" i="1"/>
  <c r="E1803" i="1"/>
  <c r="E1071" i="1"/>
  <c r="E1020" i="1"/>
  <c r="E166" i="1"/>
  <c r="E1363" i="1"/>
  <c r="E1128" i="1"/>
  <c r="E1879" i="1"/>
  <c r="E279" i="1"/>
  <c r="E1360" i="1"/>
  <c r="E1642" i="1"/>
  <c r="E907" i="1"/>
  <c r="E1473" i="1"/>
  <c r="E111" i="1"/>
  <c r="E398" i="1"/>
  <c r="E297" i="1"/>
  <c r="E967" i="1"/>
  <c r="E624" i="1"/>
  <c r="E117" i="1"/>
  <c r="E1979" i="1"/>
  <c r="E439" i="1"/>
  <c r="E912" i="1"/>
  <c r="E1959" i="1"/>
  <c r="E1940" i="1"/>
  <c r="E1975" i="1"/>
  <c r="E151" i="1"/>
  <c r="E1005" i="1"/>
  <c r="E1772" i="1"/>
  <c r="E867" i="1"/>
  <c r="E491" i="1"/>
  <c r="E27" i="1"/>
  <c r="E913" i="1"/>
  <c r="E244" i="1"/>
  <c r="E73" i="1"/>
  <c r="E312" i="1"/>
  <c r="E1865" i="1"/>
  <c r="E973" i="1"/>
  <c r="E357" i="1"/>
  <c r="E1617" i="1"/>
  <c r="E1651" i="1"/>
  <c r="E342" i="1"/>
  <c r="E1895" i="1"/>
  <c r="E1463" i="1"/>
  <c r="E1790" i="1"/>
  <c r="E510" i="1"/>
  <c r="E544" i="1"/>
  <c r="E373" i="1"/>
  <c r="E441" i="1"/>
  <c r="E63" i="1"/>
  <c r="E1855" i="1"/>
  <c r="E540" i="1"/>
  <c r="E779" i="1"/>
  <c r="E403" i="1"/>
  <c r="E1868" i="1"/>
  <c r="E93" i="1"/>
  <c r="E947" i="1"/>
  <c r="E776" i="1"/>
  <c r="E1015" i="1"/>
  <c r="E639" i="1"/>
  <c r="E1877" i="1"/>
  <c r="E70" i="1"/>
  <c r="E186" i="1"/>
  <c r="E220" i="1"/>
  <c r="E242" i="1"/>
  <c r="E1807" i="1"/>
  <c r="E969" i="1"/>
  <c r="E1702" i="1"/>
  <c r="E410" i="1"/>
  <c r="E456" i="1"/>
  <c r="E285" i="1"/>
  <c r="E1837" i="1"/>
  <c r="E413" i="1"/>
  <c r="E740" i="1"/>
  <c r="E1795" i="1"/>
  <c r="E691" i="1"/>
  <c r="E315" i="1"/>
  <c r="E1902" i="1"/>
  <c r="E886" i="1"/>
  <c r="E12" i="1"/>
  <c r="E46" i="1"/>
  <c r="E1804" i="1"/>
  <c r="E1926" i="1"/>
  <c r="E437" i="1"/>
  <c r="E60" i="1"/>
  <c r="E1498" i="1"/>
  <c r="E1422" i="1"/>
  <c r="E1391" i="1"/>
  <c r="E460" i="1"/>
  <c r="E1199" i="1"/>
  <c r="E817" i="1"/>
  <c r="E637" i="1"/>
  <c r="E782" i="1"/>
  <c r="E1098" i="1"/>
  <c r="E536" i="1"/>
  <c r="E865" i="1"/>
  <c r="E1210" i="1"/>
  <c r="E638" i="1"/>
  <c r="E321" i="1"/>
  <c r="E391" i="1"/>
  <c r="E1454" i="1"/>
  <c r="E996" i="1"/>
  <c r="E351" i="1"/>
  <c r="E1946" i="1"/>
  <c r="E673" i="1"/>
  <c r="E703" i="1"/>
  <c r="E14" i="1"/>
  <c r="E1025" i="1"/>
  <c r="E966" i="1"/>
  <c r="E1941" i="1"/>
  <c r="E1976" i="1"/>
  <c r="E1963" i="1"/>
  <c r="E737" i="1"/>
  <c r="E68" i="1"/>
  <c r="E1826" i="1"/>
  <c r="E668" i="1"/>
  <c r="E1483" i="1"/>
  <c r="E613" i="1"/>
  <c r="E1905" i="1"/>
  <c r="E818" i="1"/>
  <c r="E659" i="1"/>
  <c r="E898" i="1"/>
  <c r="E522" i="1"/>
  <c r="E1027" i="1"/>
  <c r="E1760" i="1"/>
  <c r="E274" i="1"/>
  <c r="E308" i="1"/>
  <c r="E928" i="1"/>
  <c r="E552" i="1"/>
  <c r="E120" i="1"/>
  <c r="E447" i="1"/>
  <c r="E1502" i="1"/>
  <c r="E1548" i="1"/>
  <c r="E959" i="1"/>
  <c r="E495" i="1"/>
  <c r="E649" i="1"/>
  <c r="E1909" i="1"/>
  <c r="E1738" i="1"/>
  <c r="E1771" i="1"/>
  <c r="E989" i="1"/>
  <c r="E525" i="1"/>
  <c r="E679" i="1"/>
  <c r="E10" i="1"/>
  <c r="E1768" i="1"/>
  <c r="E78" i="1"/>
  <c r="E1631" i="1"/>
  <c r="E1931" i="1"/>
  <c r="E329" i="1"/>
  <c r="E1916" i="1"/>
  <c r="E794" i="1"/>
  <c r="E840" i="1"/>
  <c r="E464" i="1"/>
  <c r="E32" i="1"/>
  <c r="E359" i="1"/>
  <c r="E1008" i="1"/>
  <c r="E1042" i="1"/>
  <c r="E871" i="1"/>
  <c r="E407" i="1"/>
  <c r="E1904" i="1"/>
  <c r="E1732" i="1"/>
  <c r="E452" i="1"/>
  <c r="E1683" i="1"/>
  <c r="E901" i="1"/>
  <c r="E559" i="1"/>
  <c r="E1878" i="1"/>
  <c r="E598" i="1"/>
  <c r="E632" i="1"/>
  <c r="E461" i="1"/>
  <c r="E735" i="1"/>
  <c r="E496" i="1"/>
  <c r="E1116" i="1"/>
  <c r="E299" i="1"/>
  <c r="E628" i="1"/>
  <c r="E75" i="1"/>
  <c r="E1608" i="1"/>
  <c r="E699" i="1"/>
  <c r="E232" i="1"/>
  <c r="E1719" i="1"/>
  <c r="E1786" i="1"/>
  <c r="E1245" i="1"/>
  <c r="E1209" i="1"/>
  <c r="E72" i="1"/>
  <c r="E401" i="1"/>
  <c r="L7" i="1" l="1"/>
  <c r="M7" i="1" s="1"/>
  <c r="L8" i="1"/>
  <c r="M8" i="1" s="1"/>
  <c r="L4" i="1"/>
  <c r="M4" i="1" s="1"/>
  <c r="M3" i="1"/>
  <c r="L10" i="1"/>
  <c r="M10" i="1" s="1"/>
  <c r="L9" i="1"/>
  <c r="M9" i="1" s="1"/>
  <c r="L6" i="1"/>
  <c r="M6" i="1" s="1"/>
  <c r="L5" i="1"/>
  <c r="M5" i="1" s="1"/>
  <c r="M11" i="1"/>
  <c r="M12" i="1"/>
  <c r="J11" i="2"/>
  <c r="L11" i="2"/>
  <c r="N11" i="2"/>
  <c r="G2" i="1" s="1"/>
  <c r="G11" i="2"/>
  <c r="I1511" i="1"/>
  <c r="I1432" i="1"/>
  <c r="I670" i="1"/>
  <c r="I1013" i="1"/>
  <c r="I1280" i="1"/>
  <c r="I583" i="1"/>
  <c r="I1978" i="1"/>
  <c r="I418" i="1"/>
  <c r="I658" i="1"/>
  <c r="I1114" i="1"/>
  <c r="I1222" i="1"/>
  <c r="I1525" i="1"/>
  <c r="I1138" i="1"/>
  <c r="I1375" i="1"/>
  <c r="I1403" i="1"/>
  <c r="I777" i="1"/>
  <c r="I876" i="1"/>
  <c r="I771" i="1"/>
  <c r="I1594" i="1"/>
  <c r="I661" i="1"/>
  <c r="I90" i="1"/>
  <c r="I264" i="1"/>
  <c r="I1121" i="1"/>
  <c r="I173" i="1"/>
  <c r="I1346" i="1"/>
  <c r="I1912" i="1"/>
  <c r="I1942" i="1"/>
  <c r="I1054" i="1"/>
  <c r="I1334" i="1"/>
  <c r="I404" i="1"/>
  <c r="I1277" i="1"/>
  <c r="I1064" i="1"/>
  <c r="I1068" i="1"/>
  <c r="I1090" i="1"/>
  <c r="I607" i="1"/>
  <c r="I1791" i="1"/>
  <c r="I1435" i="1"/>
  <c r="I725" i="1"/>
  <c r="I1071" i="1"/>
  <c r="I731" i="1"/>
  <c r="I1504" i="1"/>
  <c r="I1796" i="1"/>
  <c r="I1617" i="1"/>
  <c r="I236" i="1"/>
  <c r="I1425" i="1"/>
  <c r="I1628" i="1"/>
  <c r="I1859" i="1"/>
  <c r="I1321" i="1"/>
  <c r="I1183" i="1"/>
  <c r="I1566" i="1"/>
  <c r="I1581" i="1"/>
  <c r="I498" i="1"/>
  <c r="I1142" i="1"/>
  <c r="I1250" i="1"/>
  <c r="I222" i="1"/>
  <c r="I1166" i="1"/>
  <c r="I1246" i="1"/>
  <c r="I427" i="1"/>
  <c r="I1460" i="1"/>
  <c r="I80" i="1"/>
  <c r="I1548" i="1"/>
  <c r="I1236" i="1"/>
  <c r="I1512" i="1"/>
  <c r="I1570" i="1"/>
  <c r="I172" i="1"/>
  <c r="I1467" i="1"/>
  <c r="I207" i="1"/>
  <c r="I1797" i="1"/>
  <c r="I210" i="1"/>
  <c r="I1949" i="1"/>
  <c r="I779" i="1"/>
  <c r="I1284" i="1"/>
  <c r="I420" i="1"/>
  <c r="I1329" i="1"/>
  <c r="I1680" i="1"/>
  <c r="I1300" i="1"/>
  <c r="I1118" i="1"/>
  <c r="I1096" i="1"/>
  <c r="I1734" i="1"/>
  <c r="I1057" i="1"/>
  <c r="I1001" i="1"/>
  <c r="I1159" i="1"/>
  <c r="I373" i="1"/>
  <c r="I43" i="1"/>
  <c r="I301" i="1"/>
  <c r="I1227" i="1"/>
  <c r="I47" i="1"/>
  <c r="I1422" i="1"/>
  <c r="I1812" i="1"/>
  <c r="I1968" i="1"/>
  <c r="I1333" i="1"/>
  <c r="I1100" i="1"/>
  <c r="I984" i="1"/>
  <c r="I1192" i="1"/>
  <c r="I406" i="1"/>
  <c r="I1175" i="1"/>
  <c r="I1197" i="1"/>
  <c r="I319" i="1"/>
  <c r="I1386" i="1"/>
  <c r="I1274" i="1"/>
  <c r="I1613" i="1"/>
  <c r="I1269" i="1"/>
  <c r="I729" i="1"/>
  <c r="I1470" i="1"/>
  <c r="I1134" i="1"/>
  <c r="I1623" i="1"/>
  <c r="I1744" i="1"/>
  <c r="I1356" i="1"/>
  <c r="I1434" i="1"/>
  <c r="I1571" i="1"/>
  <c r="I1397" i="1"/>
  <c r="I307" i="1"/>
  <c r="I1952" i="1"/>
  <c r="I674" i="1"/>
  <c r="I1644" i="1"/>
  <c r="I1249" i="1"/>
  <c r="I1326" i="1"/>
  <c r="I51" i="1"/>
  <c r="I1273" i="1"/>
  <c r="I1364" i="1"/>
  <c r="I1447" i="1"/>
  <c r="I994" i="1"/>
  <c r="I618" i="1"/>
  <c r="I1515" i="1"/>
  <c r="I1785" i="1"/>
  <c r="I482" i="1"/>
  <c r="I130" i="1"/>
  <c r="I810" i="1"/>
  <c r="I1579" i="1"/>
  <c r="I604" i="1"/>
  <c r="I1509" i="1"/>
  <c r="I14" i="1"/>
  <c r="I1957" i="1"/>
  <c r="I1115" i="1"/>
  <c r="I1216" i="1"/>
  <c r="I1039" i="1"/>
  <c r="I1213" i="1"/>
  <c r="I911" i="1"/>
  <c r="I1203" i="1"/>
  <c r="I1194" i="1"/>
  <c r="I1670" i="1"/>
  <c r="I1854" i="1"/>
  <c r="I1773" i="1"/>
  <c r="I880" i="1"/>
  <c r="I1297" i="1"/>
  <c r="I299" i="1"/>
  <c r="I416" i="1"/>
  <c r="I1676" i="1"/>
  <c r="I1150" i="1"/>
  <c r="I1822" i="1"/>
  <c r="I1508" i="1"/>
  <c r="I1524" i="1"/>
  <c r="I1959" i="1"/>
  <c r="I1428" i="1"/>
  <c r="I1691" i="1"/>
  <c r="I774" i="1"/>
  <c r="I1639" i="1"/>
  <c r="I812" i="1"/>
  <c r="I1074" i="1"/>
  <c r="I1081" i="1"/>
  <c r="I592" i="1"/>
  <c r="I1098" i="1"/>
  <c r="I1350" i="1"/>
  <c r="I1834" i="1"/>
  <c r="I1221" i="1"/>
  <c r="I441" i="1"/>
  <c r="I1878" i="1"/>
  <c r="I1260" i="1"/>
  <c r="I1523" i="1"/>
  <c r="I664" i="1"/>
  <c r="I42" i="1"/>
  <c r="I907" i="1"/>
  <c r="I1589" i="1"/>
  <c r="I1837" i="1"/>
  <c r="I1833" i="1"/>
  <c r="I19" i="1"/>
  <c r="I1970" i="1"/>
  <c r="I426" i="1"/>
  <c r="I1228" i="1"/>
  <c r="I853" i="1"/>
  <c r="I1724" i="1"/>
  <c r="I553" i="1"/>
  <c r="I1411" i="1"/>
  <c r="I1556" i="1"/>
  <c r="I1925" i="1"/>
  <c r="I942" i="1"/>
  <c r="I1879" i="1"/>
  <c r="I133" i="1"/>
  <c r="I1497" i="1"/>
  <c r="I194" i="1"/>
  <c r="I921" i="1"/>
  <c r="I1235" i="1"/>
  <c r="I1178" i="1"/>
  <c r="I339" i="1"/>
  <c r="I1238" i="1"/>
  <c r="I1779" i="1"/>
  <c r="I1937" i="1"/>
  <c r="I1430" i="1"/>
  <c r="I1802" i="1"/>
  <c r="I597" i="1"/>
  <c r="I1137" i="1"/>
  <c r="I623" i="1"/>
  <c r="I1126" i="1"/>
  <c r="I1592" i="1"/>
  <c r="I1858" i="1"/>
  <c r="I1784" i="1"/>
  <c r="I1307" i="1"/>
  <c r="I295" i="1"/>
  <c r="I1392" i="1"/>
  <c r="I660" i="1"/>
  <c r="I1809" i="1"/>
  <c r="I1052" i="1"/>
  <c r="I1745" i="1"/>
  <c r="I139" i="1"/>
  <c r="I1276" i="1"/>
  <c r="I455" i="1"/>
  <c r="I1945" i="1"/>
  <c r="I1415" i="1"/>
  <c r="I536" i="1"/>
  <c r="I1381" i="1"/>
  <c r="I1958" i="1"/>
  <c r="I1766" i="1"/>
  <c r="I1181" i="1"/>
  <c r="I1176" i="1"/>
  <c r="I304" i="1"/>
  <c r="I1224" i="1"/>
  <c r="I1456" i="1"/>
  <c r="I1615" i="1"/>
  <c r="I562" i="1"/>
  <c r="I802" i="1"/>
  <c r="I242" i="1"/>
  <c r="I1367" i="1"/>
  <c r="I1634" i="1"/>
  <c r="I1614" i="1"/>
  <c r="I619" i="1"/>
  <c r="I1152" i="1"/>
  <c r="I1549" i="1"/>
  <c r="I1063" i="1"/>
  <c r="I1710" i="1"/>
  <c r="I1065" i="1"/>
  <c r="I1283" i="1"/>
  <c r="I1342" i="1"/>
  <c r="I408" i="1"/>
  <c r="I1210" i="1"/>
  <c r="I265" i="1"/>
  <c r="I1123" i="1"/>
  <c r="I1146" i="1"/>
  <c r="I1637" i="1"/>
  <c r="I654" i="1"/>
  <c r="I1184" i="1"/>
  <c r="I548" i="1"/>
  <c r="I1229" i="1"/>
  <c r="I1677" i="1"/>
  <c r="I1848" i="1"/>
  <c r="I1330" i="1"/>
  <c r="I908" i="1"/>
  <c r="I1254" i="1"/>
  <c r="I54" i="1"/>
  <c r="I1750" i="1"/>
  <c r="I1491" i="1"/>
  <c r="I1981" i="1"/>
  <c r="I1252" i="1"/>
  <c r="I1846" i="1"/>
  <c r="I958" i="1"/>
  <c r="I1439" i="1"/>
  <c r="I1029" i="1"/>
  <c r="I1405" i="1"/>
  <c r="I656" i="1"/>
  <c r="I1371" i="1"/>
  <c r="I1496" i="1"/>
  <c r="I1402" i="1"/>
  <c r="I1799" i="1"/>
  <c r="I1725" i="1"/>
  <c r="I365" i="1"/>
  <c r="I783" i="1"/>
  <c r="I1204" i="1"/>
  <c r="I486" i="1"/>
  <c r="I1951" i="1"/>
  <c r="I57" i="1"/>
  <c r="I571" i="1"/>
  <c r="I1947" i="1"/>
  <c r="I1127" i="1"/>
  <c r="I248" i="1"/>
  <c r="I1062" i="1"/>
  <c r="I1120" i="1"/>
  <c r="I1370" i="1"/>
  <c r="I1654" i="1"/>
  <c r="I1554" i="1"/>
  <c r="I374" i="1"/>
  <c r="I1312" i="1"/>
  <c r="I949" i="1"/>
  <c r="I378" i="1"/>
  <c r="I333" i="1"/>
  <c r="I1308" i="1"/>
  <c r="I761" i="1"/>
  <c r="I1520" i="1"/>
  <c r="I1900" i="1"/>
  <c r="I1979" i="1"/>
  <c r="I1358" i="1"/>
  <c r="I1067" i="1"/>
  <c r="I31" i="1"/>
  <c r="I1170" i="1"/>
  <c r="I930" i="1"/>
  <c r="I1961" i="1"/>
  <c r="I1378" i="1"/>
  <c r="I1625" i="1"/>
  <c r="I1076" i="1"/>
  <c r="I1180" i="1"/>
  <c r="I191" i="1"/>
  <c r="I1187" i="1"/>
  <c r="I226" i="1"/>
  <c r="I1112" i="1"/>
  <c r="I1285" i="1"/>
  <c r="I1905" i="1"/>
  <c r="I524" i="1"/>
  <c r="I1336" i="1"/>
  <c r="I1867" i="1"/>
  <c r="I1560" i="1"/>
  <c r="I1555" i="1"/>
  <c r="I309" i="1"/>
  <c r="I1911" i="1"/>
  <c r="I1387" i="1"/>
  <c r="I1757" i="1"/>
  <c r="I1047" i="1"/>
  <c r="I1155" i="1"/>
  <c r="I1669" i="1"/>
  <c r="I1604" i="1"/>
  <c r="I1151" i="1"/>
  <c r="I1888" i="1"/>
  <c r="I1086" i="1"/>
  <c r="I257" i="1"/>
  <c r="I915" i="1"/>
  <c r="I1738" i="1"/>
  <c r="I13" i="1"/>
  <c r="I1713" i="1"/>
  <c r="I818" i="1"/>
  <c r="I1755" i="1"/>
  <c r="I495" i="1"/>
  <c r="I1107" i="1"/>
  <c r="I198" i="1"/>
  <c r="I1969" i="1"/>
  <c r="I848" i="1"/>
  <c r="I1666" i="1"/>
  <c r="I59" i="1"/>
  <c r="I1712" i="1"/>
  <c r="I1737" i="1"/>
  <c r="I1193" i="1"/>
  <c r="I1406" i="1"/>
  <c r="I1051" i="1"/>
  <c r="I3" i="1"/>
  <c r="I1345" i="1"/>
  <c r="I86" i="1"/>
  <c r="I1519" i="1"/>
  <c r="I875" i="1"/>
  <c r="I1648" i="1"/>
  <c r="I694" i="1"/>
  <c r="I1343" i="1"/>
  <c r="I765" i="1"/>
  <c r="I1174" i="1"/>
  <c r="I1657" i="1"/>
  <c r="I1962" i="1"/>
  <c r="I1070" i="1"/>
  <c r="I1162" i="1"/>
  <c r="I569" i="1"/>
  <c r="I1917" i="1"/>
  <c r="I883" i="1"/>
  <c r="I1255" i="1"/>
  <c r="I1363" i="1"/>
  <c r="I366" i="1"/>
  <c r="I1279" i="1"/>
  <c r="I1179" i="1"/>
  <c r="I1088" i="1"/>
  <c r="I1282" i="1"/>
  <c r="I1017" i="1"/>
  <c r="I1692" i="1"/>
  <c r="I1361" i="1"/>
  <c r="I1656" i="1"/>
  <c r="I1786" i="1"/>
  <c r="I1089" i="1"/>
  <c r="I526" i="1"/>
  <c r="I1036" i="1"/>
  <c r="I1149" i="1"/>
  <c r="I595" i="1"/>
  <c r="I1935" i="1"/>
  <c r="I923" i="1"/>
  <c r="I514" i="1"/>
  <c r="I1365" i="1"/>
  <c r="I1078" i="1"/>
  <c r="I1780" i="1"/>
  <c r="I1389" i="1"/>
  <c r="I1231" i="1"/>
  <c r="I1240" i="1"/>
  <c r="I633" i="1"/>
  <c r="I906" i="1"/>
  <c r="I1327" i="1"/>
  <c r="I1450" i="1"/>
  <c r="I770" i="1"/>
  <c r="I187" i="1"/>
  <c r="I120" i="1"/>
  <c r="I1372" i="1"/>
  <c r="I997" i="1"/>
  <c r="I1171" i="1"/>
  <c r="I1768" i="1"/>
  <c r="I1939" i="1"/>
  <c r="I1082" i="1"/>
  <c r="I1109" i="1"/>
  <c r="I260" i="1"/>
  <c r="I1359" i="1"/>
  <c r="I1688" i="1"/>
  <c r="I1319" i="1"/>
  <c r="I1341" i="1"/>
  <c r="I45" i="1"/>
  <c r="I1647" i="1"/>
  <c r="I1291" i="1"/>
  <c r="I483" i="1"/>
  <c r="I1190" i="1"/>
  <c r="I587" i="1"/>
  <c r="I1482" i="1"/>
  <c r="I1652" i="1"/>
  <c r="I1055" i="1"/>
  <c r="I741" i="1"/>
  <c r="I1058" i="1"/>
  <c r="I1927" i="1"/>
  <c r="I1715" i="1"/>
  <c r="I1161" i="1"/>
  <c r="I33" i="1"/>
  <c r="I1698" i="1"/>
  <c r="I1056" i="1"/>
  <c r="I21" i="1"/>
  <c r="I1362" i="1"/>
  <c r="I1075" i="1"/>
  <c r="I78" i="1"/>
  <c r="I1417" i="1"/>
  <c r="I1102" i="1"/>
  <c r="I944" i="1"/>
  <c r="I1915" i="1"/>
  <c r="I1003" i="1"/>
  <c r="I1659" i="1"/>
  <c r="I1165" i="1"/>
  <c r="I1811" i="1"/>
  <c r="I1777" i="1"/>
  <c r="I128" i="1"/>
  <c r="I1877" i="1"/>
  <c r="I748" i="1"/>
  <c r="I1416" i="1"/>
  <c r="I66" i="1"/>
  <c r="I1946" i="1"/>
  <c r="I421" i="1"/>
  <c r="I1140" i="1"/>
  <c r="I276" i="1"/>
  <c r="I1357" i="1"/>
  <c r="I841" i="1"/>
  <c r="I1101" i="1"/>
  <c r="I1338" i="1"/>
  <c r="I1143" i="1"/>
  <c r="I329" i="1"/>
  <c r="I1296" i="1"/>
  <c r="I1847" i="1"/>
  <c r="I1410" i="1"/>
  <c r="I229" i="1"/>
  <c r="I560" i="1"/>
  <c r="I1128" i="1"/>
  <c r="I1083" i="1"/>
  <c r="I552" i="1"/>
  <c r="I1278" i="1"/>
  <c r="I1480" i="1"/>
  <c r="I1941" i="1"/>
  <c r="I1158" i="1"/>
  <c r="I1835" i="1"/>
  <c r="I918" i="1"/>
  <c r="I1543" i="1"/>
  <c r="I262" i="1"/>
  <c r="I1414" i="1"/>
  <c r="I1225" i="1"/>
  <c r="I1559" i="1"/>
  <c r="I1473" i="1"/>
  <c r="I1099" i="1"/>
  <c r="I1469" i="1"/>
  <c r="I1125" i="1"/>
  <c r="I585" i="1"/>
  <c r="I353" i="1"/>
  <c r="I1385" i="1"/>
  <c r="I1479" i="1"/>
  <c r="I186" i="1"/>
  <c r="I1169" i="1"/>
  <c r="I743" i="1"/>
  <c r="I1124" i="1"/>
  <c r="I1253" i="1"/>
  <c r="I824" i="1"/>
  <c r="I1973" i="1"/>
  <c r="I530" i="1"/>
  <c r="I1500" i="1"/>
  <c r="I1105" i="1"/>
  <c r="I1868" i="1"/>
  <c r="I950" i="1"/>
  <c r="I1129" i="1"/>
  <c r="I1665" i="1"/>
  <c r="I1903" i="1"/>
  <c r="I850" i="1"/>
  <c r="I715" i="1"/>
  <c r="I1814" i="1"/>
  <c r="I1641" i="1"/>
  <c r="I338" i="1"/>
  <c r="I635" i="1"/>
  <c r="I666" i="1"/>
  <c r="I1424" i="1"/>
  <c r="I1870" i="1"/>
  <c r="I1351" i="1"/>
  <c r="I1590" i="1"/>
  <c r="I1963" i="1"/>
  <c r="I1354" i="1"/>
  <c r="I1247" i="1"/>
  <c r="I477" i="1"/>
  <c r="I1433" i="1"/>
  <c r="I767" i="1"/>
  <c r="I1059" i="1"/>
  <c r="I1736" i="1"/>
  <c r="I1526" i="1"/>
  <c r="I1913" i="1"/>
  <c r="I1211" i="1"/>
  <c r="I836" i="1"/>
  <c r="I1122" i="1"/>
  <c r="I804" i="1"/>
  <c r="I272" i="1"/>
  <c r="I1532" i="1"/>
  <c r="I1401" i="1"/>
  <c r="I1502" i="1"/>
  <c r="I1819" i="1"/>
  <c r="I1823" i="1"/>
  <c r="I1948" i="1"/>
  <c r="I1145" i="1"/>
  <c r="I1547" i="1"/>
  <c r="I1015" i="1"/>
  <c r="I1495" i="1"/>
  <c r="I238" i="1"/>
  <c r="I1325" i="1"/>
  <c r="I1301" i="1"/>
  <c r="I448" i="1"/>
  <c r="I1349" i="1"/>
  <c r="I1892" i="1"/>
  <c r="I1690" i="1"/>
  <c r="I1077" i="1"/>
  <c r="I946" i="1"/>
  <c r="I28" i="1"/>
  <c r="I1097" i="1"/>
  <c r="I1778" i="1"/>
  <c r="I12" i="1"/>
  <c r="I345" i="1"/>
  <c r="I1445" i="1"/>
  <c r="I1976" i="1"/>
  <c r="I1689" i="1"/>
  <c r="I593" i="1"/>
  <c r="I1209" i="1"/>
  <c r="I1408" i="1"/>
  <c r="I1084" i="1"/>
  <c r="I962" i="1"/>
  <c r="I1580" i="1"/>
  <c r="I662" i="1"/>
  <c r="I1267" i="1"/>
  <c r="I1489" i="1"/>
  <c r="I1781" i="1"/>
  <c r="I798" i="1"/>
  <c r="I1810" i="1"/>
  <c r="I996" i="1"/>
  <c r="I1808" i="1"/>
  <c r="I1582" i="1"/>
  <c r="I1682" i="1"/>
  <c r="I1072" i="1"/>
  <c r="I1398" i="1"/>
  <c r="I195" i="1"/>
  <c r="I1094" i="1"/>
  <c r="I1635" i="1"/>
  <c r="I1940" i="1"/>
  <c r="I1891" i="1"/>
  <c r="I1658" i="1"/>
  <c r="I23" i="1"/>
  <c r="I1073" i="1"/>
  <c r="I479" i="1"/>
  <c r="I1154" i="1"/>
  <c r="I1448" i="1"/>
  <c r="I1681" i="1"/>
  <c r="I1640" i="1"/>
  <c r="I1144" i="1"/>
  <c r="I151" i="1"/>
  <c r="I1248" i="1"/>
  <c r="I653" i="1"/>
  <c r="I1449" i="1"/>
  <c r="I1843" i="1"/>
  <c r="I630" i="1"/>
  <c r="I1612" i="1"/>
  <c r="I1627" i="1"/>
  <c r="I1535" i="1"/>
  <c r="I1965" i="1"/>
  <c r="I1271" i="1"/>
  <c r="I392" i="1"/>
  <c r="I1206" i="1"/>
  <c r="I1943" i="1"/>
  <c r="I1622" i="1"/>
  <c r="I1233" i="1"/>
  <c r="I821" i="1"/>
  <c r="I160" i="1"/>
  <c r="I1061" i="1"/>
  <c r="I1899" i="1"/>
  <c r="I1220" i="1"/>
  <c r="I936" i="1"/>
  <c r="I372" i="1"/>
  <c r="I98" i="1"/>
  <c r="I1223" i="1"/>
  <c r="I1457" i="1"/>
  <c r="I1933" i="1"/>
  <c r="I475" i="1"/>
  <c r="I1384" i="1"/>
  <c r="I347" i="1"/>
  <c r="I1208" i="1"/>
  <c r="I16" i="1"/>
  <c r="I1093" i="1"/>
  <c r="I1139" i="1"/>
  <c r="I1198" i="1"/>
  <c r="I149" i="1"/>
  <c r="I1066" i="1"/>
  <c r="I121" i="1"/>
  <c r="I1331" i="1"/>
  <c r="I84" i="1"/>
  <c r="I1493" i="1"/>
  <c r="I751" i="1"/>
  <c r="I1303" i="1"/>
  <c r="I864" i="1"/>
  <c r="I1085" i="1"/>
  <c r="I1789" i="1"/>
  <c r="I1704" i="1"/>
  <c r="I1186" i="1"/>
  <c r="I1485" i="1"/>
  <c r="I2" i="1"/>
  <c r="I1606" i="1"/>
  <c r="I1901" i="1"/>
  <c r="I1954" i="1"/>
  <c r="I1603" i="1"/>
  <c r="I1813" i="1"/>
  <c r="I814" i="1"/>
  <c r="I1295" i="1"/>
  <c r="I885" i="1"/>
  <c r="I1230" i="1"/>
  <c r="I512" i="1"/>
  <c r="I1749" i="1"/>
  <c r="I1113" i="1"/>
  <c r="I1501" i="1"/>
  <c r="I1655" i="1"/>
  <c r="I1200" i="1"/>
  <c r="I77" i="1"/>
  <c r="I1352" i="1"/>
  <c r="I1060" i="1"/>
  <c r="I727" i="1"/>
  <c r="I1972" i="1"/>
  <c r="I992" i="1"/>
  <c r="I153" i="1"/>
  <c r="I1258" i="1"/>
  <c r="I1366" i="1"/>
  <c r="I1299" i="1"/>
  <c r="I1313" i="1"/>
  <c r="I1471" i="1"/>
  <c r="I1195" i="1"/>
  <c r="I1436" i="1"/>
  <c r="I1830" i="1"/>
  <c r="I230" i="1"/>
  <c r="I1663" i="1"/>
  <c r="I805" i="1"/>
  <c r="I234" i="1"/>
  <c r="I838" i="1"/>
  <c r="I1265" i="1"/>
  <c r="I461" i="1"/>
  <c r="I1318" i="1"/>
  <c r="I1756" i="1"/>
  <c r="I1953" i="1"/>
  <c r="I1214" i="1"/>
  <c r="I1095" i="1"/>
  <c r="I617" i="1"/>
  <c r="I1421" i="1"/>
  <c r="I1027" i="1"/>
  <c r="I1212" i="1"/>
  <c r="I1234" i="1"/>
  <c r="I510" i="1"/>
  <c r="I1492" i="1"/>
  <c r="I1531" i="1"/>
  <c r="I696" i="1"/>
  <c r="I1215" i="1"/>
  <c r="I82" i="1"/>
  <c r="I1836" i="1"/>
  <c r="I1110" i="1"/>
  <c r="I1761" i="1"/>
  <c r="I380" i="1"/>
  <c r="I1687" i="1"/>
  <c r="I1701" i="1"/>
  <c r="I1311" i="1"/>
  <c r="I1293" i="1"/>
  <c r="I165" i="1"/>
  <c r="I1419" i="1"/>
  <c r="I1243" i="1"/>
  <c r="I642" i="1"/>
  <c r="I1286" i="1"/>
  <c r="I1394" i="1"/>
  <c r="I1924" i="1"/>
  <c r="I1310" i="1"/>
  <c r="I1390" i="1"/>
  <c r="I330" i="1"/>
  <c r="I1337" i="1"/>
  <c r="I224" i="1"/>
  <c r="I1700" i="1"/>
  <c r="I1380" i="1"/>
  <c r="I914" i="1"/>
  <c r="I1569" i="1"/>
  <c r="I316" i="1"/>
  <c r="I1611" i="1"/>
  <c r="I351" i="1"/>
  <c r="I1315" i="1"/>
  <c r="I354" i="1"/>
  <c r="I1975" i="1"/>
  <c r="I274" i="1"/>
  <c r="I1522" i="1"/>
  <c r="I564" i="1"/>
  <c r="I1568" i="1"/>
  <c r="I1824" i="1"/>
  <c r="I1049" i="1"/>
  <c r="I1262" i="1"/>
  <c r="I1259" i="1"/>
  <c r="I1458" i="1"/>
  <c r="I1201" i="1"/>
  <c r="I627" i="1"/>
  <c r="I1423" i="1"/>
  <c r="I517" i="1"/>
  <c r="I5" i="1"/>
  <c r="I550" i="1"/>
  <c r="I1199" i="1"/>
  <c r="I621" i="1"/>
  <c r="I1202" i="1"/>
  <c r="I1513" i="1"/>
  <c r="I1971" i="1"/>
  <c r="I1305" i="1"/>
  <c r="I1536" i="1"/>
  <c r="I281" i="1"/>
  <c r="I1355" i="1"/>
  <c r="I739" i="1"/>
  <c r="I1111" i="1"/>
  <c r="I1219" i="1"/>
  <c r="I463" i="1"/>
  <c r="I1135" i="1"/>
  <c r="I1418" i="1"/>
  <c r="I1646" i="1"/>
  <c r="I1413" i="1"/>
  <c r="I873" i="1"/>
  <c r="I1803" i="1"/>
  <c r="I1217" i="1"/>
  <c r="I1767" i="1"/>
  <c r="I1921" i="1"/>
  <c r="I1117" i="1"/>
  <c r="I382" i="1"/>
  <c r="I892" i="1"/>
  <c r="I1177" i="1"/>
  <c r="I451" i="1"/>
  <c r="I1967" i="1"/>
  <c r="I565" i="1"/>
  <c r="I1788" i="1"/>
  <c r="I1393" i="1"/>
  <c r="I1106" i="1"/>
  <c r="I1636" i="1"/>
  <c r="I1245" i="1"/>
  <c r="I1087" i="1"/>
  <c r="I1591" i="1"/>
  <c r="I489" i="1"/>
  <c r="I762" i="1"/>
  <c r="I1239" i="1"/>
  <c r="I1929" i="1"/>
  <c r="I626" i="1"/>
  <c r="I704" i="1"/>
  <c r="I954" i="1"/>
  <c r="I1173" i="1"/>
  <c r="I63" i="1"/>
  <c r="I1653" i="1"/>
  <c r="I1624" i="1"/>
  <c r="I1960" i="1"/>
  <c r="I1302" i="1"/>
  <c r="I1360" i="1"/>
  <c r="I116" i="1"/>
  <c r="I1185" i="1"/>
  <c r="I840" i="1"/>
  <c r="I1156" i="1"/>
  <c r="I1369" i="1"/>
  <c r="I980" i="1"/>
  <c r="I1722" i="1"/>
  <c r="I1147" i="1"/>
  <c r="I1024" i="1"/>
  <c r="I1046" i="1"/>
  <c r="I443" i="1"/>
  <c r="I641" i="1"/>
  <c r="I1820" i="1"/>
  <c r="I1294" i="1"/>
  <c r="I167" i="1"/>
  <c r="I1309" i="1"/>
  <c r="I1668" i="1"/>
  <c r="I1538" i="1"/>
  <c r="I1189" i="1"/>
  <c r="I968" i="1"/>
  <c r="I1889" i="1"/>
  <c r="I1288" i="1"/>
  <c r="I956" i="1"/>
  <c r="I1218" i="1"/>
  <c r="I1053" i="1"/>
  <c r="I736" i="1"/>
  <c r="I1242" i="1"/>
  <c r="I1130" i="1"/>
  <c r="I800" i="1"/>
  <c r="I1771" i="1"/>
  <c r="I859" i="1"/>
  <c r="I1602" i="1"/>
  <c r="I1404" i="1"/>
  <c r="I1667" i="1"/>
  <c r="I1600" i="1"/>
  <c r="I900" i="1"/>
  <c r="I1733" i="1"/>
  <c r="I1376" i="1"/>
  <c r="I1272" i="1"/>
  <c r="I163" i="1"/>
  <c r="I1966" i="1"/>
  <c r="I277" i="1"/>
  <c r="I1391" i="1"/>
  <c r="I132" i="1"/>
  <c r="I1182" i="1"/>
  <c r="I697" i="1"/>
  <c r="I1507" i="1"/>
  <c r="I1880" i="1"/>
  <c r="I1866" i="1"/>
  <c r="I41" i="1"/>
  <c r="I1133" i="1"/>
  <c r="I1703" i="1"/>
  <c r="I1266" i="1"/>
  <c r="I85" i="1"/>
  <c r="I924" i="1"/>
  <c r="I1379" i="1"/>
  <c r="I1322" i="1"/>
  <c r="I437" i="1"/>
  <c r="I1382" i="1"/>
  <c r="I1923" i="1"/>
  <c r="I1977" i="1"/>
  <c r="I1409" i="1"/>
  <c r="I1503" i="1"/>
  <c r="I92" i="1"/>
  <c r="I1281" i="1"/>
  <c r="I118" i="1"/>
  <c r="I1270" i="1"/>
  <c r="I1050" i="1"/>
  <c r="I1304" i="1"/>
  <c r="I1928" i="1"/>
  <c r="I1431" i="1"/>
  <c r="I439" i="1"/>
  <c r="I1153" i="1"/>
  <c r="I155" i="1"/>
  <c r="I65" i="1"/>
  <c r="I1241" i="1"/>
  <c r="I1922" i="1"/>
  <c r="I283" i="1"/>
  <c r="I1420" i="1"/>
  <c r="I599" i="1"/>
  <c r="I1956" i="1"/>
  <c r="I1164" i="1"/>
  <c r="I680" i="1"/>
  <c r="I1353" i="1"/>
  <c r="I428" i="1"/>
  <c r="I1910" i="1"/>
  <c r="I1344" i="1"/>
  <c r="I1320" i="1"/>
  <c r="I806" i="1"/>
  <c r="I1368" i="1"/>
  <c r="I1633" i="1"/>
  <c r="I1759" i="1"/>
  <c r="I706" i="1"/>
  <c r="I297" i="1"/>
  <c r="I386" i="1"/>
  <c r="I1116" i="1"/>
  <c r="I1798" i="1"/>
  <c r="I491" i="1"/>
  <c r="I763" i="1"/>
  <c r="I1339" i="1"/>
  <c r="I1693" i="1"/>
  <c r="I1207" i="1"/>
  <c r="I1578" i="1"/>
  <c r="I1955" i="1"/>
  <c r="I1427" i="1"/>
  <c r="I1103" i="1"/>
  <c r="I982" i="1"/>
  <c r="I1289" i="1"/>
  <c r="I409" i="1"/>
  <c r="I1298" i="1"/>
  <c r="I1855" i="1"/>
  <c r="I1825" i="1"/>
  <c r="I1769" i="1"/>
  <c r="I1048" i="1"/>
  <c r="I692" i="1"/>
  <c r="I1373" i="1"/>
  <c r="I50" i="1"/>
  <c r="I1244" i="1"/>
  <c r="I1091" i="1"/>
  <c r="I1429" i="1"/>
  <c r="I1801" i="1"/>
  <c r="I1675" i="1"/>
  <c r="I1679" i="1"/>
  <c r="I1934" i="1"/>
  <c r="I1396" i="1"/>
  <c r="I1232" i="1"/>
  <c r="I453" i="1"/>
  <c r="I1188" i="1"/>
  <c r="I94" i="1"/>
  <c r="I1377" i="1"/>
  <c r="I1157" i="1"/>
  <c r="I1642" i="1"/>
  <c r="I1205" i="1"/>
  <c r="I1163" i="1"/>
  <c r="I1546" i="1"/>
  <c r="I1869" i="1"/>
  <c r="I516" i="1"/>
  <c r="I927" i="1"/>
  <c r="I1348" i="1"/>
  <c r="I1601" i="1"/>
  <c r="I377" i="1"/>
  <c r="I201" i="1"/>
  <c r="I474" i="1"/>
  <c r="I1938" i="1"/>
  <c r="I1545" i="1"/>
  <c r="I305" i="1"/>
  <c r="I1237" i="1"/>
  <c r="I1264" i="1"/>
  <c r="I1131" i="1"/>
  <c r="I460" i="1"/>
  <c r="I1347" i="1"/>
  <c r="I518" i="1"/>
  <c r="I1080" i="1"/>
  <c r="I1932" i="1"/>
  <c r="I522" i="1"/>
  <c r="I895" i="1"/>
  <c r="I1069" i="1"/>
  <c r="I708" i="1"/>
  <c r="I1664" i="1"/>
  <c r="I1490" i="1"/>
  <c r="I1944" i="1"/>
  <c r="I1119" i="1"/>
  <c r="I1629" i="1"/>
  <c r="I175" i="1"/>
  <c r="I1314" i="1"/>
  <c r="I1842" i="1"/>
  <c r="I1950" i="1"/>
  <c r="I1747" i="1"/>
  <c r="I1514" i="1"/>
  <c r="I1618" i="1"/>
  <c r="I1324" i="1"/>
  <c r="I335" i="1"/>
  <c r="I1374" i="1"/>
  <c r="I370" i="1"/>
  <c r="I1537" i="1"/>
  <c r="I1257" i="1"/>
  <c r="I1191" i="1"/>
  <c r="I668" i="1"/>
  <c r="I1104" i="1"/>
  <c r="I1616" i="1"/>
  <c r="I1760" i="1"/>
  <c r="I1699" i="1"/>
  <c r="I871" i="1"/>
  <c r="I1468" i="1"/>
  <c r="I1483" i="1"/>
  <c r="I1790" i="1"/>
  <c r="I1936" i="1"/>
  <c r="I1108" i="1"/>
  <c r="I1630" i="1"/>
  <c r="I1748" i="1"/>
  <c r="I1974" i="1"/>
  <c r="I1478" i="1"/>
  <c r="I1261" i="1"/>
  <c r="I545" i="1"/>
  <c r="I15" i="1"/>
  <c r="I1807" i="1"/>
  <c r="I1290" i="1"/>
  <c r="I1857" i="1"/>
  <c r="I709" i="1"/>
  <c r="I228" i="1"/>
  <c r="I639" i="1"/>
  <c r="I1079" i="1"/>
  <c r="I342" i="1"/>
  <c r="I1980" i="1"/>
  <c r="I331" i="1"/>
  <c r="I1735" i="1"/>
  <c r="I203" i="1"/>
  <c r="I1856" i="1"/>
  <c r="I104" i="1"/>
  <c r="I1332" i="1"/>
  <c r="I1167" i="1"/>
  <c r="I1226" i="1"/>
  <c r="I985" i="1"/>
  <c r="I1317" i="1"/>
  <c r="I912" i="1"/>
  <c r="I1168" i="1"/>
  <c r="I1019" i="1"/>
  <c r="I1792" i="1"/>
  <c r="I189" i="1"/>
  <c r="I1092" i="1"/>
  <c r="I909" i="1"/>
  <c r="I1831" i="1"/>
  <c r="I1645" i="1"/>
  <c r="I1964" i="1"/>
  <c r="I1437" i="1"/>
  <c r="I1306" i="1"/>
  <c r="I1446" i="1"/>
  <c r="I1462" i="1"/>
  <c r="I786" i="1"/>
  <c r="I1399" i="1"/>
  <c r="I1459" i="1"/>
  <c r="I1481" i="1"/>
  <c r="I1008" i="1"/>
  <c r="I1132" i="1"/>
  <c r="I311" i="1"/>
  <c r="I1426" i="1"/>
  <c r="I368" i="1"/>
  <c r="I1292" i="1"/>
  <c r="I1141" i="1"/>
  <c r="I1800" i="1"/>
  <c r="I1758" i="1"/>
  <c r="I1608" i="1"/>
  <c r="I1000" i="1"/>
  <c r="I44" i="1"/>
  <c r="I180" i="1"/>
  <c r="I573" i="1"/>
  <c r="I445" i="1"/>
  <c r="I1874" i="1"/>
  <c r="I148" i="1"/>
  <c r="I300" i="1"/>
  <c r="I218" i="1"/>
  <c r="I1906" i="1"/>
  <c r="I109" i="1"/>
  <c r="I1599" i="1"/>
  <c r="I37" i="1"/>
  <c r="I1395" i="1"/>
  <c r="I291" i="1"/>
  <c r="I1533" i="1"/>
  <c r="I638" i="1"/>
  <c r="I488" i="1"/>
  <c r="I327" i="1"/>
  <c r="I577" i="1"/>
  <c r="I129" i="1"/>
  <c r="I735" i="1"/>
  <c r="I894" i="1"/>
  <c r="I1719" i="1"/>
  <c r="I467" i="1"/>
  <c r="I542" i="1"/>
  <c r="I1596" i="1"/>
  <c r="I609" i="1"/>
  <c r="I1775" i="1"/>
  <c r="I1530" i="1"/>
  <c r="I1776" i="1"/>
  <c r="I1683" i="1"/>
  <c r="I671" i="1"/>
  <c r="I610" i="1"/>
  <c r="I1882" i="1"/>
  <c r="I688" i="1"/>
  <c r="I1695" i="1"/>
  <c r="I566" i="1"/>
  <c r="I813" i="1"/>
  <c r="I1454" i="1"/>
  <c r="I903" i="1"/>
  <c r="I737" i="1"/>
  <c r="I485" i="1"/>
  <c r="I196" i="1"/>
  <c r="I1696" i="1"/>
  <c r="I1720" i="1"/>
  <c r="I580" i="1"/>
  <c r="I1829" i="1"/>
  <c r="I1045" i="1"/>
  <c r="I190" i="1"/>
  <c r="I789" i="1"/>
  <c r="I490" i="1"/>
  <c r="I112" i="1"/>
  <c r="I154" i="1"/>
  <c r="I979" i="1"/>
  <c r="I643" i="1"/>
  <c r="I500" i="1"/>
  <c r="I438" i="1"/>
  <c r="I182" i="1"/>
  <c r="I352" i="1"/>
  <c r="I185" i="1"/>
  <c r="I136" i="1"/>
  <c r="I1587" i="1"/>
  <c r="I1817" i="1"/>
  <c r="I926" i="1"/>
  <c r="I701" i="1"/>
  <c r="I1442" i="1"/>
  <c r="I395" i="1"/>
  <c r="I32" i="1"/>
  <c r="I1042" i="1"/>
  <c r="I376" i="1"/>
  <c r="I809" i="1"/>
  <c r="I67" i="1"/>
  <c r="I244" i="1"/>
  <c r="I506" i="1"/>
  <c r="I605" i="1"/>
  <c r="I1740" i="1"/>
  <c r="I603" i="1"/>
  <c r="I951" i="1"/>
  <c r="I1607" i="1"/>
  <c r="I141" i="1"/>
  <c r="I402" i="1"/>
  <c r="I521" i="1"/>
  <c r="I1564" i="1"/>
  <c r="I1694" i="1"/>
  <c r="I721" i="1"/>
  <c r="I691" i="1"/>
  <c r="I1860" i="1"/>
  <c r="I1620" i="1"/>
  <c r="I1706" i="1"/>
  <c r="I231" i="1"/>
  <c r="I1040" i="1"/>
  <c r="I781" i="1"/>
  <c r="I343" i="1"/>
  <c r="I103" i="1"/>
  <c r="I89" i="1"/>
  <c r="I684" i="1"/>
  <c r="I713" i="1"/>
  <c r="I707" i="1"/>
  <c r="I1494" i="1"/>
  <c r="I237" i="1"/>
  <c r="I675" i="1"/>
  <c r="I1726" i="1"/>
  <c r="I905" i="1"/>
  <c r="I1765" i="1"/>
  <c r="I36" i="1"/>
  <c r="I126" i="1"/>
  <c r="I1931" i="1"/>
  <c r="I87" i="1"/>
  <c r="I753" i="1"/>
  <c r="I523" i="1"/>
  <c r="I145" i="1"/>
  <c r="I1804" i="1"/>
  <c r="I581" i="1"/>
  <c r="I286" i="1"/>
  <c r="I481" i="1"/>
  <c r="I1018" i="1"/>
  <c r="I575" i="1"/>
  <c r="I251" i="1"/>
  <c r="I48" i="1"/>
  <c r="I53" i="1"/>
  <c r="I598" i="1"/>
  <c r="I134" i="1"/>
  <c r="I497" i="1"/>
  <c r="I20" i="1"/>
  <c r="I554" i="1"/>
  <c r="I358" i="1"/>
  <c r="I357" i="1"/>
  <c r="I1577" i="1"/>
  <c r="I1752" i="1"/>
  <c r="I898" i="1"/>
  <c r="I1609" i="1"/>
  <c r="I119" i="1"/>
  <c r="I508" i="1"/>
  <c r="I952" i="1"/>
  <c r="I111" i="1"/>
  <c r="I941" i="1"/>
  <c r="I1716" i="1"/>
  <c r="I261" i="1"/>
  <c r="I815" i="1"/>
  <c r="I1828" i="1"/>
  <c r="I1674" i="1"/>
  <c r="I1728" i="1"/>
  <c r="I52" i="1"/>
  <c r="I648" i="1"/>
  <c r="I1588" i="1"/>
  <c r="I1474" i="1"/>
  <c r="I987" i="1"/>
  <c r="I288" i="1"/>
  <c r="I700" i="1"/>
  <c r="I1729" i="1"/>
  <c r="I434" i="1"/>
  <c r="I254" i="1"/>
  <c r="I1862" i="1"/>
  <c r="I350" i="1"/>
  <c r="I620" i="1"/>
  <c r="I140" i="1"/>
  <c r="I920" i="1"/>
  <c r="I60" i="1"/>
  <c r="I246" i="1"/>
  <c r="I1774" i="1"/>
  <c r="I496" i="1"/>
  <c r="I423" i="1"/>
  <c r="I1772" i="1"/>
  <c r="I468" i="1"/>
  <c r="I1671" i="1"/>
  <c r="I1861" i="1"/>
  <c r="I34" i="1"/>
  <c r="I1832" i="1"/>
  <c r="I1035" i="1"/>
  <c r="I1032" i="1"/>
  <c r="I362" i="1"/>
  <c r="I1407" i="1"/>
  <c r="I312" i="1"/>
  <c r="I858" i="1"/>
  <c r="I397" i="1"/>
  <c r="I734" i="1"/>
  <c r="I588" i="1"/>
  <c r="I166" i="1"/>
  <c r="I240" i="1"/>
  <c r="I1438" i="1"/>
  <c r="I492" i="1"/>
  <c r="I1844" i="1"/>
  <c r="I249" i="1"/>
  <c r="I993" i="1"/>
  <c r="I1598" i="1"/>
  <c r="I384" i="1"/>
  <c r="I960" i="1"/>
  <c r="I292" i="1"/>
  <c r="I991" i="1"/>
  <c r="I515" i="1"/>
  <c r="I754" i="1"/>
  <c r="I601" i="1"/>
  <c r="I586" i="1"/>
  <c r="I255" i="1"/>
  <c r="I95" i="1"/>
  <c r="I241" i="1"/>
  <c r="I1632" i="1"/>
  <c r="I614" i="1"/>
  <c r="I584" i="1"/>
  <c r="I56" i="1"/>
  <c r="I1746" i="1"/>
  <c r="I544" i="1"/>
  <c r="I1782" i="1"/>
  <c r="I917" i="1"/>
  <c r="I978" i="1"/>
  <c r="I473" i="1"/>
  <c r="I687" i="1"/>
  <c r="I464" i="1"/>
  <c r="I363" i="1"/>
  <c r="I1558" i="1"/>
  <c r="I1717" i="1"/>
  <c r="I1586" i="1"/>
  <c r="I676" i="1"/>
  <c r="I877" i="1"/>
  <c r="I579" i="1"/>
  <c r="I282" i="1"/>
  <c r="I215" i="1"/>
  <c r="I18" i="1"/>
  <c r="I746" i="1"/>
  <c r="I659" i="1"/>
  <c r="I695" i="1"/>
  <c r="I225" i="1"/>
  <c r="I1005" i="1"/>
  <c r="I535" i="1"/>
  <c r="I205" i="1"/>
  <c r="I321" i="1"/>
  <c r="I188" i="1"/>
  <c r="I208" i="1"/>
  <c r="I1542" i="1"/>
  <c r="I846" i="1"/>
  <c r="I415" i="1"/>
  <c r="I436" i="1"/>
  <c r="I775" i="1"/>
  <c r="I1610" i="1"/>
  <c r="I1904" i="1"/>
  <c r="I125" i="1"/>
  <c r="I1534" i="1"/>
  <c r="I1576" i="1"/>
  <c r="I183" i="1"/>
  <c r="I1685" i="1"/>
  <c r="I629" i="1"/>
  <c r="I1552" i="1"/>
  <c r="I645" i="1"/>
  <c r="I346" i="1"/>
  <c r="I1011" i="1"/>
  <c r="I945" i="1"/>
  <c r="I636" i="1"/>
  <c r="I499" i="1"/>
  <c r="I356" i="1"/>
  <c r="I294" i="1"/>
  <c r="I74" i="1"/>
  <c r="I1540" i="1"/>
  <c r="I302" i="1"/>
  <c r="I718" i="1"/>
  <c r="I816" i="1"/>
  <c r="I1714" i="1"/>
  <c r="I556" i="1"/>
  <c r="I1521" i="1"/>
  <c r="I480" i="1"/>
  <c r="I860" i="1"/>
  <c r="I749" i="1"/>
  <c r="I966" i="1"/>
  <c r="I259" i="1"/>
  <c r="I452" i="1"/>
  <c r="I622" i="1"/>
  <c r="I559" i="1"/>
  <c r="I93" i="1"/>
  <c r="I1686" i="1"/>
  <c r="I1597" i="1"/>
  <c r="I1727" i="1"/>
  <c r="I698" i="1"/>
  <c r="I932" i="1"/>
  <c r="I1461" i="1"/>
  <c r="I1783" i="1"/>
  <c r="I1739" i="1"/>
  <c r="I953" i="1"/>
  <c r="I379" i="1"/>
  <c r="I1275" i="1"/>
  <c r="I97" i="1"/>
  <c r="I411" i="1"/>
  <c r="I206" i="1"/>
  <c r="I337" i="1"/>
  <c r="I874" i="1"/>
  <c r="I217" i="1"/>
  <c r="I528" i="1"/>
  <c r="I616" i="1"/>
  <c r="I937" i="1"/>
  <c r="I454" i="1"/>
  <c r="I829" i="1"/>
  <c r="I344" i="1"/>
  <c r="I1732" i="1"/>
  <c r="I1678" i="1"/>
  <c r="I403" i="1"/>
  <c r="I447" i="1"/>
  <c r="I750" i="1"/>
  <c r="I801" i="1"/>
  <c r="I869" i="1"/>
  <c r="I398" i="1"/>
  <c r="I1452" i="1"/>
  <c r="I893" i="1"/>
  <c r="I525" i="1"/>
  <c r="I722" i="1"/>
  <c r="I964" i="1"/>
  <c r="I1539" i="1"/>
  <c r="I527" i="1"/>
  <c r="I882" i="1"/>
  <c r="I546" i="1"/>
  <c r="I902" i="1"/>
  <c r="I1551" i="1"/>
  <c r="I27" i="1"/>
  <c r="I669" i="1"/>
  <c r="I835" i="1"/>
  <c r="I39" i="1"/>
  <c r="I449" i="1"/>
  <c r="I197" i="1"/>
  <c r="I999" i="1"/>
  <c r="I1702" i="1"/>
  <c r="I1684" i="1"/>
  <c r="I644" i="1"/>
  <c r="I213" i="1"/>
  <c r="I1412" i="1"/>
  <c r="I152" i="1"/>
  <c r="I745" i="1"/>
  <c r="I1593" i="1"/>
  <c r="I852" i="1"/>
  <c r="I220" i="1"/>
  <c r="I943" i="1"/>
  <c r="I963" i="1"/>
  <c r="I279" i="1"/>
  <c r="I1572" i="1"/>
  <c r="I38" i="1"/>
  <c r="I683" i="1"/>
  <c r="I1014" i="1"/>
  <c r="I76" i="1"/>
  <c r="I1443" i="1"/>
  <c r="I1673" i="1"/>
  <c r="I174" i="1"/>
  <c r="I1033" i="1"/>
  <c r="I1016" i="1"/>
  <c r="I682" i="1"/>
  <c r="I955" i="1"/>
  <c r="I494" i="1"/>
  <c r="I232" i="1"/>
  <c r="I772" i="1"/>
  <c r="I689" i="1"/>
  <c r="I100" i="1"/>
  <c r="I681" i="1"/>
  <c r="I317" i="1"/>
  <c r="I795" i="1"/>
  <c r="I315" i="1"/>
  <c r="I1890" i="1"/>
  <c r="I1723" i="1"/>
  <c r="I712" i="1"/>
  <c r="I509" i="1"/>
  <c r="I887" i="1"/>
  <c r="I429" i="1"/>
  <c r="I371" i="1"/>
  <c r="I1763" i="1"/>
  <c r="I135" i="1"/>
  <c r="I156" i="1"/>
  <c r="I457" i="1"/>
  <c r="I1030" i="1"/>
  <c r="I600" i="1"/>
  <c r="I967" i="1"/>
  <c r="I637" i="1"/>
  <c r="I199" i="1"/>
  <c r="I1172" i="1"/>
  <c r="I1793" i="1"/>
  <c r="I17" i="1"/>
  <c r="I425" i="1"/>
  <c r="I563" i="1"/>
  <c r="I1043" i="1"/>
  <c r="I511" i="1"/>
  <c r="I1455" i="1"/>
  <c r="I1510" i="1"/>
  <c r="I904" i="1"/>
  <c r="I1605" i="1"/>
  <c r="I591" i="1"/>
  <c r="I1839" i="1"/>
  <c r="I1787" i="1"/>
  <c r="I986" i="1"/>
  <c r="I435" i="1"/>
  <c r="I138" i="1"/>
  <c r="I71" i="1"/>
  <c r="I1660" i="1"/>
  <c r="I293" i="1"/>
  <c r="I269" i="1"/>
  <c r="I551" i="1"/>
  <c r="I81" i="1"/>
  <c r="I431" i="1"/>
  <c r="I827" i="1"/>
  <c r="I1323" i="1"/>
  <c r="I72" i="1"/>
  <c r="I884" i="1"/>
  <c r="I245" i="1"/>
  <c r="I209" i="1"/>
  <c r="I142" i="1"/>
  <c r="I179" i="1"/>
  <c r="I1697" i="1"/>
  <c r="I784" i="1"/>
  <c r="I320" i="1"/>
  <c r="I219" i="1"/>
  <c r="I855" i="1"/>
  <c r="I1486" i="1"/>
  <c r="I1475" i="1"/>
  <c r="I532" i="1"/>
  <c r="I733" i="1"/>
  <c r="I341" i="1"/>
  <c r="I1263" i="1"/>
  <c r="I501" i="1"/>
  <c r="I117" i="1"/>
  <c r="I703" i="1"/>
  <c r="I1816" i="1"/>
  <c r="I649" i="1"/>
  <c r="I1584" i="1"/>
  <c r="I866" i="1"/>
  <c r="I808" i="1"/>
  <c r="I1044" i="1"/>
  <c r="I1821" i="1"/>
  <c r="I843" i="1"/>
  <c r="I144" i="1"/>
  <c r="I314" i="1"/>
  <c r="I410" i="1"/>
  <c r="I268" i="1"/>
  <c r="I901" i="1"/>
  <c r="I1718" i="1"/>
  <c r="I504" i="1"/>
  <c r="I1585" i="1"/>
  <c r="I972" i="1"/>
  <c r="I776" i="1"/>
  <c r="I25" i="1"/>
  <c r="I1463" i="1"/>
  <c r="I948" i="1"/>
  <c r="I258" i="1"/>
  <c r="I233" i="1"/>
  <c r="I1335" i="1"/>
  <c r="I1550" i="1"/>
  <c r="I647" i="1"/>
  <c r="I547" i="1"/>
  <c r="I35" i="1"/>
  <c r="I1476" i="1"/>
  <c r="I1562" i="1"/>
  <c r="I1444" i="1"/>
  <c r="I896" i="1"/>
  <c r="I1287" i="1"/>
  <c r="I971" i="1"/>
  <c r="I714" i="1"/>
  <c r="I538" i="1"/>
  <c r="I590" i="1"/>
  <c r="I364" i="1"/>
  <c r="I22" i="1"/>
  <c r="I899" i="1"/>
  <c r="I472" i="1"/>
  <c r="I348" i="1"/>
  <c r="I110" i="1"/>
  <c r="I99" i="1"/>
  <c r="I849" i="1"/>
  <c r="I1487" i="1"/>
  <c r="I146" i="1"/>
  <c r="I1650" i="1"/>
  <c r="I759" i="1"/>
  <c r="I847" i="1"/>
  <c r="I657" i="1"/>
  <c r="I1041" i="1"/>
  <c r="I400" i="1"/>
  <c r="I442" i="1"/>
  <c r="I938" i="1"/>
  <c r="I381" i="1"/>
  <c r="I959" i="1"/>
  <c r="I726" i="1"/>
  <c r="I470" i="1"/>
  <c r="I440" i="1"/>
  <c r="I738" i="1"/>
  <c r="I825" i="1"/>
  <c r="I1875" i="1"/>
  <c r="I1914" i="1"/>
  <c r="I466" i="1"/>
  <c r="I96" i="1"/>
  <c r="I830" i="1"/>
  <c r="I793" i="1"/>
  <c r="I576" i="1"/>
  <c r="I611" i="1"/>
  <c r="I200" i="1"/>
  <c r="I1621" i="1"/>
  <c r="I184" i="1"/>
  <c r="I1563" i="1"/>
  <c r="I159" i="1"/>
  <c r="I606" i="1"/>
  <c r="I931" i="1"/>
  <c r="I940" i="1"/>
  <c r="I1638" i="1"/>
  <c r="I602" i="1"/>
  <c r="I989" i="1"/>
  <c r="I981" i="1"/>
  <c r="I355" i="1"/>
  <c r="I861" i="1"/>
  <c r="I391" i="1"/>
  <c r="I1472" i="1"/>
  <c r="I385" i="1"/>
  <c r="I870" i="1"/>
  <c r="I484" i="1"/>
  <c r="I1853" i="1"/>
  <c r="I572" i="1"/>
  <c r="I30" i="1"/>
  <c r="I998" i="1"/>
  <c r="I631" i="1"/>
  <c r="I1466" i="1"/>
  <c r="I834" i="1"/>
  <c r="I62" i="1"/>
  <c r="I88" i="1"/>
  <c r="I995" i="1"/>
  <c r="I102" i="1"/>
  <c r="I1794" i="1"/>
  <c r="I465" i="1"/>
  <c r="I29" i="1"/>
  <c r="I1567" i="1"/>
  <c r="I106" i="1"/>
  <c r="I1527" i="1"/>
  <c r="I655" i="1"/>
  <c r="I424" i="1"/>
  <c r="I1196" i="1"/>
  <c r="I747" i="1"/>
  <c r="I123" i="1"/>
  <c r="I686" i="1"/>
  <c r="I1148" i="1"/>
  <c r="I158" i="1"/>
  <c r="I574" i="1"/>
  <c r="I61" i="1"/>
  <c r="I157" i="1"/>
  <c r="I168" i="1"/>
  <c r="I1023" i="1"/>
  <c r="I336" i="1"/>
  <c r="I716" i="1"/>
  <c r="I1498" i="1"/>
  <c r="I822" i="1"/>
  <c r="I115" i="1"/>
  <c r="I308" i="1"/>
  <c r="I478" i="1"/>
  <c r="I216" i="1"/>
  <c r="I1028" i="1"/>
  <c r="I1865" i="1"/>
  <c r="I1453" i="1"/>
  <c r="I1583" i="1"/>
  <c r="I1864" i="1"/>
  <c r="I788" i="1"/>
  <c r="I929" i="1"/>
  <c r="I881" i="1"/>
  <c r="I1595" i="1"/>
  <c r="I1477" i="1"/>
  <c r="I235" i="1"/>
  <c r="I549" i="1"/>
  <c r="I540" i="1"/>
  <c r="I267" i="1"/>
  <c r="I976" i="1"/>
  <c r="I193" i="1"/>
  <c r="I243" i="1"/>
  <c r="I73" i="1"/>
  <c r="I493" i="1"/>
  <c r="I55" i="1"/>
  <c r="I46" i="1"/>
  <c r="I1649" i="1"/>
  <c r="I1806" i="1"/>
  <c r="I137" i="1"/>
  <c r="I419" i="1"/>
  <c r="I817" i="1"/>
  <c r="I367" i="1"/>
  <c r="I1898" i="1"/>
  <c r="I1893" i="1"/>
  <c r="I760" i="1"/>
  <c r="I1897" i="1"/>
  <c r="I720" i="1"/>
  <c r="I1895" i="1"/>
  <c r="I531" i="1"/>
  <c r="I799" i="1"/>
  <c r="I290" i="1"/>
  <c r="I1852" i="1"/>
  <c r="I1136" i="1"/>
  <c r="I383" i="1"/>
  <c r="I1340" i="1"/>
  <c r="I1672" i="1"/>
  <c r="I1908" i="1"/>
  <c r="I1256" i="1"/>
  <c r="I539" i="1"/>
  <c r="I791" i="1"/>
  <c r="I450" i="1"/>
  <c r="I253" i="1"/>
  <c r="I161" i="1"/>
  <c r="I1009" i="1"/>
  <c r="I170" i="1"/>
  <c r="I266" i="1"/>
  <c r="I1465" i="1"/>
  <c r="I833" i="1"/>
  <c r="I1541" i="1"/>
  <c r="I360" i="1"/>
  <c r="I1441" i="1"/>
  <c r="I919" i="1"/>
  <c r="I202" i="1"/>
  <c r="I867" i="1"/>
  <c r="I794" i="1"/>
  <c r="I922" i="1"/>
  <c r="I114" i="1"/>
  <c r="I212" i="1"/>
  <c r="I150" i="1"/>
  <c r="I1631" i="1"/>
  <c r="I854" i="1"/>
  <c r="I1268" i="1"/>
  <c r="I831" i="1"/>
  <c r="I1886" i="1"/>
  <c r="I665" i="1"/>
  <c r="I1887" i="1"/>
  <c r="I673" i="1"/>
  <c r="I872" i="1"/>
  <c r="I969" i="1"/>
  <c r="I1661" i="1"/>
  <c r="I64" i="1"/>
  <c r="I446" i="1"/>
  <c r="I961" i="1"/>
  <c r="I401" i="1"/>
  <c r="I1575" i="1"/>
  <c r="I672" i="1"/>
  <c r="I204" i="1"/>
  <c r="I651" i="1"/>
  <c r="I1010" i="1"/>
  <c r="I1805" i="1"/>
  <c r="I1841" i="1"/>
  <c r="I396" i="1"/>
  <c r="I221" i="1"/>
  <c r="I107" i="1"/>
  <c r="I769" i="1"/>
  <c r="I433" i="1"/>
  <c r="I1619" i="1"/>
  <c r="I1034" i="1"/>
  <c r="I947" i="1"/>
  <c r="I275" i="1"/>
  <c r="I227" i="1"/>
  <c r="I471" i="1"/>
  <c r="I823" i="1"/>
  <c r="I1711" i="1"/>
  <c r="I323" i="1"/>
  <c r="I1251" i="1"/>
  <c r="I832" i="1"/>
  <c r="I49" i="1"/>
  <c r="I324" i="1"/>
  <c r="I957" i="1"/>
  <c r="I1565" i="1"/>
  <c r="I755" i="1"/>
  <c r="I634" i="1"/>
  <c r="I785" i="1"/>
  <c r="I977" i="1"/>
  <c r="I570" i="1"/>
  <c r="I303" i="1"/>
  <c r="I534" i="1"/>
  <c r="I1643" i="1"/>
  <c r="I842" i="1"/>
  <c r="I1544" i="1"/>
  <c r="I8" i="1"/>
  <c r="I663" i="1"/>
  <c r="I1516" i="1"/>
  <c r="I913" i="1"/>
  <c r="I178" i="1"/>
  <c r="I407" i="1"/>
  <c r="I568" i="1"/>
  <c r="I287" i="1"/>
  <c r="I169" i="1"/>
  <c r="I1894" i="1"/>
  <c r="I1007" i="1"/>
  <c r="I1006" i="1"/>
  <c r="I757" i="1"/>
  <c r="I1026" i="1"/>
  <c r="I857" i="1"/>
  <c r="I1573" i="1"/>
  <c r="I768" i="1"/>
  <c r="I69" i="1"/>
  <c r="I1876" i="1"/>
  <c r="I690" i="1"/>
  <c r="I313" i="1"/>
  <c r="I740" i="1"/>
  <c r="I910" i="1"/>
  <c r="I975" i="1"/>
  <c r="I558" i="1"/>
  <c r="I710" i="1"/>
  <c r="I1885" i="1"/>
  <c r="I1383" i="1"/>
  <c r="I888" i="1"/>
  <c r="I318" i="1"/>
  <c r="I1561" i="1"/>
  <c r="I1916" i="1"/>
  <c r="I1440" i="1"/>
  <c r="I252" i="1"/>
  <c r="I1022" i="1"/>
  <c r="I271" i="1"/>
  <c r="I939" i="1"/>
  <c r="I699" i="1"/>
  <c r="I1020" i="1"/>
  <c r="I780" i="1"/>
  <c r="I4" i="1"/>
  <c r="I505" i="1"/>
  <c r="I469" i="1"/>
  <c r="I1574" i="1"/>
  <c r="I790" i="1"/>
  <c r="I1881" i="1"/>
  <c r="I678" i="1"/>
  <c r="I632" i="1"/>
  <c r="I1012" i="1"/>
  <c r="I974" i="1"/>
  <c r="I273" i="1"/>
  <c r="I1827" i="1"/>
  <c r="I1038" i="1"/>
  <c r="I1863" i="1"/>
  <c r="I519" i="1"/>
  <c r="I328" i="1"/>
  <c r="I162" i="1"/>
  <c r="I322" i="1"/>
  <c r="I1919" i="1"/>
  <c r="I1626" i="1"/>
  <c r="I1920" i="1"/>
  <c r="I91" i="1"/>
  <c r="I1872" i="1"/>
  <c r="I9" i="1"/>
  <c r="I430" i="1"/>
  <c r="I131" i="1"/>
  <c r="I83" i="1"/>
  <c r="I719" i="1"/>
  <c r="I928" i="1"/>
  <c r="I192" i="1"/>
  <c r="I889" i="1"/>
  <c r="I742" i="1"/>
  <c r="I1505" i="1"/>
  <c r="I773" i="1"/>
  <c r="I164" i="1"/>
  <c r="I594" i="1"/>
  <c r="I845" i="1"/>
  <c r="I1926" i="1"/>
  <c r="I422" i="1"/>
  <c r="I983" i="1"/>
  <c r="I503" i="1"/>
  <c r="I652" i="1"/>
  <c r="I256" i="1"/>
  <c r="I298" i="1"/>
  <c r="I705" i="1"/>
  <c r="I513" i="1"/>
  <c r="I557" i="1"/>
  <c r="I582" i="1"/>
  <c r="I326" i="1"/>
  <c r="I296" i="1"/>
  <c r="I476" i="1"/>
  <c r="I171" i="1"/>
  <c r="I1731" i="1"/>
  <c r="I1902" i="1"/>
  <c r="I412" i="1"/>
  <c r="I1818" i="1"/>
  <c r="I1553" i="1"/>
  <c r="I1031" i="1"/>
  <c r="I176" i="1"/>
  <c r="I75" i="1"/>
  <c r="I1930" i="1"/>
  <c r="I1845" i="1"/>
  <c r="I211" i="1"/>
  <c r="I388" i="1"/>
  <c r="I589" i="1"/>
  <c r="I711" i="1"/>
  <c r="I1851" i="1"/>
  <c r="I891" i="1"/>
  <c r="I1770" i="1"/>
  <c r="I458" i="1"/>
  <c r="I456" i="1"/>
  <c r="I837" i="1"/>
  <c r="I612" i="1"/>
  <c r="I717" i="1"/>
  <c r="I247" i="1"/>
  <c r="I667" i="1"/>
  <c r="I828" i="1"/>
  <c r="I444" i="1"/>
  <c r="I375" i="1"/>
  <c r="I1709" i="1"/>
  <c r="I965" i="1"/>
  <c r="I11" i="1"/>
  <c r="I925" i="1"/>
  <c r="I487" i="1"/>
  <c r="I1909" i="1"/>
  <c r="I1517" i="1"/>
  <c r="I101" i="1"/>
  <c r="I79" i="1"/>
  <c r="I851" i="1"/>
  <c r="I6" i="1"/>
  <c r="I1400" i="1"/>
  <c r="I650" i="1"/>
  <c r="I1918" i="1"/>
  <c r="I1025" i="1"/>
  <c r="I724" i="1"/>
  <c r="I615" i="1"/>
  <c r="I270" i="1"/>
  <c r="I1488" i="1"/>
  <c r="I1651" i="1"/>
  <c r="I459" i="1"/>
  <c r="I625" i="1"/>
  <c r="I289" i="1"/>
  <c r="I613" i="1"/>
  <c r="I730" i="1"/>
  <c r="I543" i="1"/>
  <c r="I1742" i="1"/>
  <c r="I541" i="1"/>
  <c r="I1743" i="1"/>
  <c r="I758" i="1"/>
  <c r="I728" i="1"/>
  <c r="I640" i="1"/>
  <c r="I1849" i="1"/>
  <c r="I807" i="1"/>
  <c r="I1506" i="1"/>
  <c r="I533" i="1"/>
  <c r="I1451" i="1"/>
  <c r="I502" i="1"/>
  <c r="I223" i="1"/>
  <c r="I1721" i="1"/>
  <c r="I1896" i="1"/>
  <c r="I399" i="1"/>
  <c r="I1753" i="1"/>
  <c r="I797" i="1"/>
  <c r="I796" i="1"/>
  <c r="I1037" i="1"/>
  <c r="I1826" i="1"/>
  <c r="I1795" i="1"/>
  <c r="I1518" i="1"/>
  <c r="I405" i="1"/>
  <c r="I108" i="1"/>
  <c r="I702" i="1"/>
  <c r="I147" i="1"/>
  <c r="I263" i="1"/>
  <c r="I916" i="1"/>
  <c r="I792" i="1"/>
  <c r="I462" i="1"/>
  <c r="I1705" i="1"/>
  <c r="I863" i="1"/>
  <c r="I432" i="1"/>
  <c r="I988" i="1"/>
  <c r="I1840" i="1"/>
  <c r="I340" i="1"/>
  <c r="I40" i="1"/>
  <c r="I1328" i="1"/>
  <c r="I782" i="1"/>
  <c r="I334" i="1"/>
  <c r="I933" i="1"/>
  <c r="I756" i="1"/>
  <c r="I387" i="1"/>
  <c r="I1751" i="1"/>
  <c r="I934" i="1"/>
  <c r="I787" i="1"/>
  <c r="I278" i="1"/>
  <c r="I1708" i="1"/>
  <c r="I1838" i="1"/>
  <c r="I239" i="1"/>
  <c r="I417" i="1"/>
  <c r="I1528" i="1"/>
  <c r="I1764" i="1"/>
  <c r="I1850" i="1"/>
  <c r="I819" i="1"/>
  <c r="I1907" i="1"/>
  <c r="I306" i="1"/>
  <c r="I744" i="1"/>
  <c r="I1002" i="1"/>
  <c r="I865" i="1"/>
  <c r="I520" i="1"/>
  <c r="I122" i="1"/>
  <c r="I310" i="1"/>
  <c r="I181" i="1"/>
  <c r="I1160" i="1"/>
  <c r="I26" i="1"/>
  <c r="I1884" i="1"/>
  <c r="I826" i="1"/>
  <c r="I58" i="1"/>
  <c r="I723" i="1"/>
  <c r="I389" i="1"/>
  <c r="I778" i="1"/>
  <c r="I868" i="1"/>
  <c r="I68" i="1"/>
  <c r="I1662" i="1"/>
  <c r="I646" i="1"/>
  <c r="I1316" i="1"/>
  <c r="I1484" i="1"/>
  <c r="I1883" i="1"/>
  <c r="I897" i="1"/>
  <c r="I105" i="1"/>
  <c r="I127" i="1"/>
  <c r="I529" i="1"/>
  <c r="I555" i="1"/>
  <c r="I935" i="1"/>
  <c r="I878" i="1"/>
  <c r="I732" i="1"/>
  <c r="I361" i="1"/>
  <c r="I113" i="1"/>
  <c r="I1464" i="1"/>
  <c r="I677" i="1"/>
  <c r="I608" i="1"/>
  <c r="I507" i="1"/>
  <c r="I578" i="1"/>
  <c r="I973" i="1"/>
  <c r="I1730" i="1"/>
  <c r="I820" i="1"/>
  <c r="I1021" i="1"/>
  <c r="I394" i="1"/>
  <c r="I839" i="1"/>
  <c r="I359" i="1"/>
  <c r="I752" i="1"/>
  <c r="I890" i="1"/>
  <c r="I803" i="1"/>
  <c r="I561" i="1"/>
  <c r="I369" i="1"/>
  <c r="I70" i="1"/>
  <c r="I679" i="1"/>
  <c r="I349" i="1"/>
  <c r="I124" i="1"/>
  <c r="I332" i="1"/>
  <c r="I856" i="1"/>
  <c r="I10" i="1"/>
  <c r="I990" i="1"/>
  <c r="I811" i="1"/>
  <c r="I393" i="1"/>
  <c r="I7" i="1"/>
  <c r="I1754" i="1"/>
  <c r="I1557" i="1"/>
  <c r="I537" i="1"/>
  <c r="I1762" i="1"/>
  <c r="I177" i="1"/>
  <c r="I390" i="1"/>
  <c r="I1499" i="1"/>
  <c r="I628" i="1"/>
  <c r="I567" i="1"/>
  <c r="I1707" i="1"/>
  <c r="I413" i="1"/>
  <c r="I1815" i="1"/>
  <c r="I1529" i="1"/>
  <c r="I24" i="1"/>
  <c r="I693" i="1"/>
  <c r="I280" i="1"/>
  <c r="I143" i="1"/>
  <c r="I250" i="1"/>
  <c r="I414" i="1"/>
  <c r="I214" i="1"/>
  <c r="I862" i="1"/>
  <c r="I325" i="1"/>
  <c r="I1873" i="1"/>
  <c r="I844" i="1"/>
  <c r="I1388" i="1"/>
  <c r="I624" i="1"/>
  <c r="I1004" i="1"/>
  <c r="I764" i="1"/>
  <c r="I284" i="1"/>
  <c r="I685" i="1"/>
  <c r="I596" i="1"/>
  <c r="I766" i="1"/>
  <c r="I285" i="1"/>
  <c r="I886" i="1"/>
  <c r="I970" i="1"/>
  <c r="I1741" i="1"/>
  <c r="I1871" i="1"/>
  <c r="I879" i="1"/>
  <c r="N3" i="1" l="1" a="1"/>
  <c r="G452" i="1"/>
  <c r="G726" i="1"/>
  <c r="G1942" i="1"/>
  <c r="G661" i="1"/>
  <c r="G1646" i="1"/>
  <c r="G1134" i="1"/>
  <c r="G1726" i="1"/>
  <c r="G53" i="1"/>
  <c r="G78" i="1"/>
  <c r="G450" i="1"/>
  <c r="G576" i="1"/>
  <c r="G1109" i="1"/>
  <c r="G649" i="1"/>
  <c r="G747" i="1"/>
  <c r="G625" i="1"/>
  <c r="G536" i="1"/>
  <c r="G1386" i="1"/>
  <c r="G125" i="1"/>
  <c r="G427" i="1"/>
  <c r="G923" i="1"/>
  <c r="G387" i="1"/>
  <c r="G1003" i="1"/>
  <c r="G364" i="1"/>
  <c r="G1493" i="1"/>
  <c r="G288" i="1"/>
  <c r="G895" i="1"/>
  <c r="G1798" i="1"/>
  <c r="G559" i="1"/>
  <c r="G93" i="1"/>
  <c r="G797" i="1"/>
  <c r="G169" i="1"/>
  <c r="G1387" i="1"/>
  <c r="G206" i="1"/>
  <c r="G321" i="1"/>
  <c r="G537" i="1"/>
  <c r="G1300" i="1"/>
  <c r="G1260" i="1"/>
  <c r="G310" i="1"/>
  <c r="G1138" i="1"/>
  <c r="G660" i="1"/>
  <c r="G441" i="1"/>
  <c r="G1205" i="1"/>
  <c r="G1239" i="1"/>
  <c r="G1373" i="1"/>
  <c r="G1101" i="1"/>
  <c r="G1146" i="1"/>
  <c r="G1023" i="1"/>
  <c r="G246" i="1"/>
  <c r="G269" i="1"/>
  <c r="G1840" i="1"/>
  <c r="G878" i="1"/>
  <c r="G1499" i="1"/>
  <c r="G1494" i="1"/>
  <c r="G1050" i="1"/>
  <c r="G1847" i="1"/>
  <c r="G1014" i="1"/>
  <c r="G1908" i="1"/>
  <c r="G225" i="1"/>
  <c r="G509" i="1"/>
  <c r="G1282" i="1"/>
  <c r="G280" i="1"/>
  <c r="G414" i="1"/>
  <c r="G594" i="1"/>
  <c r="G1581" i="1"/>
  <c r="G1190" i="1"/>
  <c r="G1574" i="1"/>
  <c r="G1517" i="1"/>
  <c r="G148" i="1"/>
  <c r="G1125" i="1"/>
  <c r="G716" i="1"/>
  <c r="G419" i="1"/>
  <c r="G636" i="1"/>
  <c r="G159" i="1"/>
  <c r="G407" i="1"/>
  <c r="G1196" i="1"/>
  <c r="G917" i="1"/>
  <c r="G728" i="1"/>
  <c r="G590" i="1"/>
  <c r="G1038" i="1"/>
  <c r="G1914" i="1"/>
  <c r="G1013" i="1"/>
  <c r="G1218" i="1"/>
  <c r="G117" i="1"/>
  <c r="G740" i="1"/>
  <c r="G980" i="1"/>
  <c r="G337" i="1"/>
  <c r="G1951" i="1"/>
  <c r="G776" i="1"/>
  <c r="G374" i="1"/>
  <c r="G888" i="1"/>
  <c r="G1000" i="1"/>
  <c r="G18" i="1"/>
  <c r="G1953" i="1"/>
  <c r="G1882" i="1"/>
  <c r="G273" i="1"/>
  <c r="G748" i="1"/>
  <c r="G825" i="1"/>
  <c r="G580" i="1"/>
  <c r="G1062" i="1"/>
  <c r="G600" i="1"/>
  <c r="G341" i="1"/>
  <c r="G989" i="1"/>
  <c r="G708" i="1"/>
  <c r="G826" i="1"/>
  <c r="G1950" i="1"/>
  <c r="G332" i="1"/>
  <c r="G640" i="1"/>
  <c r="G560" i="1"/>
  <c r="G1601" i="1"/>
  <c r="G1334" i="1"/>
  <c r="G1979" i="1"/>
  <c r="G1575" i="1"/>
  <c r="G249" i="1"/>
  <c r="G1027" i="1"/>
  <c r="G1152" i="1"/>
  <c r="G521" i="1"/>
  <c r="G1891" i="1"/>
  <c r="G874" i="1"/>
  <c r="G1618" i="1"/>
  <c r="G571" i="1"/>
  <c r="G806" i="1"/>
  <c r="G670" i="1"/>
  <c r="G1133" i="1"/>
  <c r="G1710" i="1"/>
  <c r="G528" i="1"/>
  <c r="G1458" i="1"/>
  <c r="G391" i="1"/>
  <c r="G1905" i="1"/>
  <c r="G801" i="1"/>
  <c r="G210" i="1"/>
  <c r="G1172" i="1"/>
  <c r="G362" i="1"/>
  <c r="G493" i="1"/>
  <c r="G606" i="1"/>
  <c r="G681" i="1"/>
  <c r="G954" i="1"/>
  <c r="G1851" i="1"/>
  <c r="G852" i="1"/>
  <c r="G749" i="1"/>
  <c r="G727" i="1"/>
  <c r="G1659" i="1"/>
  <c r="G921" i="1"/>
  <c r="G750" i="1"/>
  <c r="G12" i="1"/>
  <c r="G1565" i="1"/>
  <c r="G1821" i="1"/>
  <c r="G1233" i="1"/>
  <c r="G256" i="1"/>
  <c r="G714" i="1"/>
  <c r="G786" i="1"/>
  <c r="G1538" i="1"/>
  <c r="G1220" i="1"/>
  <c r="G879" i="1"/>
  <c r="G323" i="1"/>
  <c r="G239" i="1"/>
  <c r="G498" i="1"/>
  <c r="G607" i="1"/>
  <c r="G1527" i="1"/>
  <c r="G1346" i="1"/>
  <c r="G1255" i="1"/>
  <c r="G268" i="1"/>
  <c r="G47" i="1"/>
  <c r="G1025" i="1"/>
  <c r="G986" i="1"/>
  <c r="G271" i="1"/>
  <c r="G1713" i="1"/>
  <c r="G736" i="1"/>
  <c r="G738" i="1"/>
  <c r="G423" i="1"/>
  <c r="G396" i="1"/>
  <c r="G199" i="1"/>
  <c r="G1955" i="1"/>
  <c r="G1484" i="1"/>
  <c r="G1944" i="1"/>
  <c r="G382" i="1"/>
  <c r="G941" i="1"/>
  <c r="G671" i="1"/>
  <c r="G1855" i="1"/>
  <c r="G375" i="1"/>
  <c r="G1042" i="1"/>
  <c r="G1751" i="1"/>
  <c r="G1920" i="1"/>
  <c r="G687" i="1"/>
  <c r="G1716" i="1"/>
  <c r="G1486" i="1"/>
  <c r="G938" i="1"/>
  <c r="G896" i="1"/>
  <c r="G233" i="1"/>
  <c r="G357" i="1"/>
  <c r="G903" i="1"/>
  <c r="G1735" i="1"/>
  <c r="G950" i="1"/>
  <c r="G1453" i="1"/>
  <c r="G329" i="1"/>
  <c r="G325" i="1"/>
  <c r="G875" i="1"/>
  <c r="G621" i="1"/>
  <c r="G1783" i="1"/>
  <c r="G131" i="1"/>
  <c r="G392" i="1"/>
  <c r="G1657" i="1"/>
  <c r="G1058" i="1"/>
  <c r="G1848" i="1"/>
  <c r="G1130" i="1"/>
  <c r="G633" i="1"/>
  <c r="G835" i="1"/>
  <c r="G1083" i="1"/>
  <c r="G496" i="1"/>
  <c r="G1383" i="1"/>
  <c r="G1867" i="1"/>
  <c r="G1868" i="1"/>
  <c r="G819" i="1"/>
  <c r="G298" i="1"/>
  <c r="G118" i="1"/>
  <c r="G652" i="1"/>
  <c r="G1191" i="1"/>
  <c r="G324" i="1"/>
  <c r="G1842" i="1"/>
  <c r="G1021" i="1"/>
  <c r="G572" i="1"/>
  <c r="G643" i="1"/>
  <c r="G1009" i="1"/>
  <c r="G1607" i="1"/>
  <c r="G147" i="1"/>
  <c r="G1207" i="1"/>
  <c r="G1230" i="1"/>
  <c r="G619" i="1"/>
  <c r="G1029" i="1"/>
  <c r="G195" i="1"/>
  <c r="G1828" i="1"/>
  <c r="G1785" i="1"/>
  <c r="G327" i="1"/>
  <c r="G524" i="1"/>
  <c r="G1026" i="1"/>
  <c r="G297" i="1"/>
  <c r="G566" i="1"/>
  <c r="G17" i="1"/>
  <c r="G1719" i="1"/>
  <c r="G623" i="1"/>
  <c r="G432" i="1"/>
  <c r="G417" i="1"/>
  <c r="G849" i="1"/>
  <c r="G48" i="1"/>
  <c r="G505" i="1"/>
  <c r="G1492" i="1"/>
  <c r="G1633" i="1"/>
  <c r="G880" i="1"/>
  <c r="G561" i="1"/>
  <c r="G779" i="1"/>
  <c r="G1113" i="1"/>
  <c r="G1343" i="1"/>
  <c r="G1766" i="1"/>
  <c r="G1929" i="1"/>
  <c r="G68" i="1"/>
  <c r="G932" i="1"/>
  <c r="G1945" i="1"/>
  <c r="G951" i="1"/>
  <c r="G1873" i="1"/>
  <c r="G575" i="1"/>
  <c r="G1153" i="1"/>
  <c r="G1899" i="1"/>
  <c r="G709" i="1"/>
  <c r="G788" i="1"/>
  <c r="G1976" i="1"/>
  <c r="G1775" i="1"/>
  <c r="G1106" i="1"/>
  <c r="G42" i="1"/>
  <c r="G287" i="1"/>
  <c r="G61" i="1"/>
  <c r="G1962" i="1"/>
  <c r="G1455" i="1"/>
  <c r="G1447" i="1"/>
  <c r="G1870" i="1"/>
  <c r="G847" i="1"/>
  <c r="G1010" i="1"/>
  <c r="G1981" i="1"/>
  <c r="G1433" i="1"/>
  <c r="G232" i="1"/>
  <c r="G920" i="1"/>
  <c r="G1582" i="1"/>
  <c r="G1017" i="1"/>
  <c r="G1958" i="1"/>
  <c r="G235" i="1"/>
  <c r="G5" i="1"/>
  <c r="G1292" i="1"/>
  <c r="G1921" i="1"/>
  <c r="G1034" i="1"/>
  <c r="G46" i="1"/>
  <c r="G207" i="1"/>
  <c r="G1524" i="1"/>
  <c r="G217" i="1"/>
  <c r="G1878" i="1"/>
  <c r="G448" i="1"/>
  <c r="G187" i="1"/>
  <c r="G1247" i="1"/>
  <c r="G1707" i="1"/>
  <c r="G421" i="1"/>
  <c r="G442" i="1"/>
  <c r="G764" i="1"/>
  <c r="G969" i="1"/>
  <c r="G516" i="1"/>
  <c r="G780" i="1"/>
  <c r="G658" i="1"/>
  <c r="G939" i="1"/>
  <c r="G792" i="1"/>
  <c r="G1837" i="1"/>
  <c r="G343" i="1"/>
  <c r="G1836" i="1"/>
  <c r="G860" i="1"/>
  <c r="G174" i="1"/>
  <c r="G520" i="1"/>
  <c r="G463" i="1"/>
  <c r="G1786" i="1"/>
  <c r="G355" i="1"/>
  <c r="G1595" i="1"/>
  <c r="G512" i="1"/>
  <c r="G1048" i="1"/>
  <c r="G340" i="1"/>
  <c r="G492" i="1"/>
  <c r="G1359" i="1"/>
  <c r="G379" i="1"/>
  <c r="G1651" i="1"/>
  <c r="G603" i="1"/>
  <c r="G1576" i="1"/>
  <c r="G1691" i="1"/>
  <c r="G616" i="1"/>
  <c r="G1792" i="1"/>
  <c r="G1853" i="1"/>
  <c r="G1011" i="1"/>
  <c r="G1368" i="1"/>
  <c r="G501" i="1"/>
  <c r="G1637" i="1"/>
  <c r="G311" i="1"/>
  <c r="G942" i="1"/>
  <c r="G841" i="1"/>
  <c r="G499" i="1"/>
  <c r="G1131" i="1"/>
  <c r="G719" i="1"/>
  <c r="G410" i="1"/>
  <c r="G1100" i="1"/>
  <c r="G1959" i="1"/>
  <c r="G510" i="1"/>
  <c r="G1938" i="1"/>
  <c r="G1572" i="1"/>
  <c r="G129" i="1"/>
  <c r="G688" i="1"/>
  <c r="G1772" i="1"/>
  <c r="G389" i="1"/>
  <c r="G1559" i="1"/>
  <c r="G892" i="1"/>
  <c r="G1960" i="1"/>
  <c r="G531" i="1"/>
  <c r="G1578" i="1"/>
  <c r="G212" i="1"/>
  <c r="G632" i="1"/>
  <c r="G675" i="1"/>
  <c r="G9" i="1"/>
  <c r="G1893" i="1"/>
  <c r="G1345" i="1"/>
  <c r="G945" i="1"/>
  <c r="G867" i="1"/>
  <c r="G706" i="1"/>
  <c r="G401" i="1"/>
  <c r="G361" i="1"/>
  <c r="G1284" i="1"/>
  <c r="G415" i="1"/>
  <c r="G40" i="1"/>
  <c r="G351" i="1"/>
  <c r="G1661" i="1"/>
  <c r="G339" i="1"/>
  <c r="G584" i="1"/>
  <c r="G1020" i="1"/>
  <c r="G285" i="1"/>
  <c r="G1649" i="1"/>
  <c r="G1801" i="1"/>
  <c r="G626" i="1"/>
  <c r="G1313" i="1"/>
  <c r="G855" i="1"/>
  <c r="G959" i="1"/>
  <c r="G1028" i="1"/>
  <c r="G1747" i="1"/>
  <c r="G1606" i="1"/>
  <c r="G828" i="1"/>
  <c r="G175" i="1"/>
  <c r="G416" i="1"/>
  <c r="G304" i="1"/>
  <c r="G1084" i="1"/>
  <c r="G487" i="1"/>
  <c r="G1385" i="1"/>
  <c r="G996" i="1"/>
  <c r="G1813" i="1"/>
  <c r="G859" i="1"/>
  <c r="G988" i="1"/>
  <c r="G1202" i="1"/>
  <c r="G882" i="1"/>
  <c r="G6" i="1"/>
  <c r="G588" i="1"/>
  <c r="G1789" i="1"/>
  <c r="G489" i="1"/>
  <c r="G759" i="1"/>
  <c r="G283" i="1"/>
  <c r="G956" i="1"/>
  <c r="G723" i="1"/>
  <c r="G138" i="1"/>
  <c r="G611" i="1"/>
  <c r="G465" i="1"/>
  <c r="G1327" i="1"/>
  <c r="G568" i="1"/>
  <c r="G800" i="1"/>
  <c r="G564" i="1"/>
  <c r="G507" i="1"/>
  <c r="G1643" i="1"/>
  <c r="G394" i="1"/>
  <c r="G1093" i="1"/>
  <c r="G514" i="1"/>
  <c r="G644" i="1"/>
  <c r="G1350" i="1"/>
  <c r="G98" i="1"/>
  <c r="G1687" i="1"/>
  <c r="G1808" i="1"/>
  <c r="G1662" i="1"/>
  <c r="G624" i="1"/>
  <c r="G1071" i="1"/>
  <c r="G627" i="1"/>
  <c r="G1839" i="1"/>
  <c r="G1939" i="1"/>
  <c r="G997" i="1"/>
  <c r="G1005" i="1"/>
  <c r="G1974" i="1"/>
  <c r="G563" i="1"/>
  <c r="G1874" i="1"/>
  <c r="G1629" i="1"/>
  <c r="G102" i="1"/>
  <c r="G914" i="1"/>
  <c r="G968" i="1"/>
  <c r="G1968" i="1"/>
  <c r="G1421" i="1"/>
  <c r="G504" i="1"/>
  <c r="G1506" i="1"/>
  <c r="G377" i="1"/>
  <c r="G724" i="1"/>
  <c r="G1937" i="1"/>
  <c r="G774" i="1"/>
  <c r="G408" i="1"/>
  <c r="G1737" i="1"/>
  <c r="G202" i="1"/>
  <c r="G744" i="1"/>
  <c r="G296" i="1"/>
  <c r="G1200" i="1"/>
  <c r="G32" i="1"/>
  <c r="G244" i="1"/>
  <c r="G1544" i="1"/>
  <c r="G333" i="1"/>
  <c r="G1935" i="1"/>
  <c r="G1160" i="1"/>
  <c r="G183" i="1"/>
  <c r="G1342" i="1"/>
  <c r="G192" i="1"/>
  <c r="G858" i="1"/>
  <c r="G691" i="1"/>
  <c r="G1222" i="1"/>
  <c r="G1725" i="1"/>
  <c r="G1073" i="1"/>
  <c r="G1450" i="1"/>
  <c r="G713" i="1"/>
  <c r="G666" i="1"/>
  <c r="G659" i="1"/>
  <c r="G1006" i="1"/>
  <c r="G853" i="1"/>
  <c r="G1776" i="1"/>
  <c r="G1286" i="1"/>
  <c r="G532" i="1"/>
  <c r="G446" i="1"/>
  <c r="G663" i="1"/>
  <c r="G711" i="1"/>
  <c r="G34" i="1"/>
  <c r="G1767" i="1"/>
  <c r="G1697" i="1"/>
  <c r="G763" i="1"/>
  <c r="G236" i="1"/>
  <c r="G573" i="1"/>
  <c r="G1774" i="1"/>
  <c r="G840" i="1"/>
  <c r="G1430" i="1"/>
  <c r="G1064" i="1"/>
  <c r="G787" i="1"/>
  <c r="G1289" i="1"/>
  <c r="G872" i="1"/>
  <c r="G1173" i="1"/>
  <c r="G1557" i="1"/>
  <c r="G104" i="1"/>
  <c r="G1253" i="1"/>
  <c r="G823" i="1"/>
  <c r="G778" i="1"/>
  <c r="G425" i="1"/>
  <c r="G1183" i="1"/>
  <c r="G732" i="1"/>
  <c r="G569" i="1"/>
  <c r="G918" i="1"/>
  <c r="G1485" i="1"/>
  <c r="G173" i="1"/>
  <c r="G449" i="1"/>
  <c r="G451" i="1"/>
  <c r="G794" i="1"/>
  <c r="G363" i="1"/>
  <c r="G1349" i="1"/>
  <c r="G962" i="1"/>
  <c r="G1195" i="1"/>
  <c r="G473" i="1"/>
  <c r="G478" i="1"/>
  <c r="G1888" i="1"/>
  <c r="G1972" i="1"/>
  <c r="G1609" i="1"/>
  <c r="G1961" i="1"/>
  <c r="G975" i="1"/>
  <c r="G1402" i="1"/>
  <c r="G1449" i="1"/>
  <c r="G50" i="1"/>
  <c r="G38" i="1"/>
  <c r="G795" i="1"/>
  <c r="G282" i="1"/>
  <c r="G1674" i="1"/>
  <c r="G715" i="1"/>
  <c r="G1704" i="1"/>
  <c r="G722" i="1"/>
  <c r="G1096" i="1"/>
  <c r="G95" i="1"/>
  <c r="G812" i="1"/>
  <c r="G1610" i="1"/>
  <c r="G1980" i="1"/>
  <c r="G1963" i="1"/>
  <c r="G31" i="1"/>
  <c r="G1007" i="1"/>
  <c r="G784" i="1"/>
  <c r="G1852" i="1"/>
  <c r="G1066" i="1"/>
  <c r="G802" i="1"/>
  <c r="G1685" i="1"/>
  <c r="G667" i="1"/>
  <c r="G440" i="1"/>
  <c r="G973" i="1"/>
  <c r="G1063" i="1"/>
  <c r="G227" i="1"/>
  <c r="G1225" i="1"/>
  <c r="G1285" i="1"/>
  <c r="G477" i="1"/>
  <c r="G85" i="1"/>
  <c r="G1186" i="1"/>
  <c r="G1401" i="1"/>
  <c r="G1467" i="1"/>
  <c r="G978" i="1"/>
  <c r="G1277" i="1"/>
  <c r="G597" i="1"/>
  <c r="G420" i="1"/>
  <c r="G1215" i="1"/>
  <c r="G221" i="1"/>
  <c r="G1158" i="1"/>
  <c r="G596" i="1"/>
  <c r="G1535" i="1"/>
  <c r="G577" i="1"/>
  <c r="G703" i="1"/>
  <c r="G1906" i="1"/>
  <c r="G1234" i="1"/>
  <c r="G65" i="1"/>
  <c r="G248" i="1"/>
  <c r="G406" i="1"/>
  <c r="G517" i="1"/>
  <c r="G307" i="1"/>
  <c r="G66" i="1"/>
  <c r="G557" i="1"/>
  <c r="G1532" i="1"/>
  <c r="G369" i="1"/>
  <c r="G1165" i="1"/>
  <c r="G404" i="1"/>
  <c r="G261" i="1"/>
  <c r="G176" i="1"/>
  <c r="G1481" i="1"/>
  <c r="G1561" i="1"/>
  <c r="G695" i="1"/>
  <c r="G581" i="1"/>
  <c r="G349" i="1"/>
  <c r="G992" i="1"/>
  <c r="G1301" i="1"/>
  <c r="G639" i="1"/>
  <c r="G1635" i="1"/>
  <c r="G105" i="1"/>
  <c r="G1143" i="1"/>
  <c r="G665" i="1"/>
  <c r="G824" i="1"/>
  <c r="G491" i="1"/>
  <c r="G790" i="1"/>
  <c r="G1894" i="1"/>
  <c r="G1252" i="1"/>
  <c r="G1339" i="1"/>
  <c r="G911" i="1"/>
  <c r="G638" i="1"/>
  <c r="G1210" i="1"/>
  <c r="G928" i="1"/>
  <c r="G1941" i="1"/>
  <c r="G1330" i="1"/>
  <c r="G1604" i="1"/>
  <c r="G834" i="1"/>
  <c r="G1116" i="1"/>
  <c r="G1761" i="1"/>
  <c r="G1590" i="1"/>
  <c r="G330" i="1"/>
  <c r="G549" i="1"/>
  <c r="G1763" i="1"/>
  <c r="G1356" i="1"/>
  <c r="G1841" i="1"/>
  <c r="G682" i="1"/>
  <c r="G515" i="1"/>
  <c r="G785" i="1"/>
  <c r="G676" i="1"/>
  <c r="G319" i="1"/>
  <c r="G166" i="1"/>
  <c r="G538" i="1"/>
  <c r="G428" i="1"/>
  <c r="G871" i="1"/>
  <c r="G488" i="1"/>
  <c r="G1456" i="1"/>
  <c r="G684" i="1"/>
  <c r="G656" i="1"/>
  <c r="G1338" i="1"/>
  <c r="G381" i="1"/>
  <c r="G290" i="1"/>
  <c r="G1279" i="1"/>
  <c r="G1556" i="1"/>
  <c r="G1666" i="1"/>
  <c r="G79" i="1"/>
  <c r="G247" i="1"/>
  <c r="G907" i="1"/>
  <c r="G156" i="1"/>
  <c r="G1092" i="1"/>
  <c r="G455" i="1"/>
  <c r="G1759" i="1"/>
  <c r="G805" i="1"/>
  <c r="G224" i="1"/>
  <c r="G198" i="1"/>
  <c r="G919" i="1"/>
  <c r="G1008" i="1"/>
  <c r="G1817" i="1"/>
  <c r="G1377" i="1"/>
  <c r="G1354" i="1"/>
  <c r="G270" i="1"/>
  <c r="G1002" i="1"/>
  <c r="G523" i="1"/>
  <c r="G601" i="1"/>
  <c r="G1295" i="1"/>
  <c r="G70" i="1"/>
  <c r="G1375" i="1"/>
  <c r="G1271" i="1"/>
  <c r="G765" i="1"/>
  <c r="G873" i="1"/>
  <c r="G352" i="1"/>
  <c r="G1530" i="1"/>
  <c r="G1546" i="1"/>
  <c r="G1500" i="1"/>
  <c r="G331" i="1"/>
  <c r="G717" i="1"/>
  <c r="G837" i="1"/>
  <c r="G1844" i="1"/>
  <c r="G13" i="1"/>
  <c r="G126" i="1"/>
  <c r="G1120" i="1"/>
  <c r="G205" i="1"/>
  <c r="G306" i="1"/>
  <c r="G1016" i="1"/>
  <c r="G316" i="1"/>
  <c r="G360" i="1"/>
  <c r="G803" i="1"/>
  <c r="G1369" i="1"/>
  <c r="G900" i="1"/>
  <c r="G366" i="1"/>
  <c r="G1548" i="1"/>
  <c r="G816" i="1"/>
  <c r="G1885" i="1"/>
  <c r="G164" i="1"/>
  <c r="G1543" i="1"/>
  <c r="G796" i="1"/>
  <c r="G857" i="1"/>
  <c r="G608" i="1"/>
  <c r="G1965" i="1"/>
  <c r="G1037" i="1"/>
  <c r="G725" i="1"/>
  <c r="G1869" i="1"/>
  <c r="G1018" i="1"/>
  <c r="G926" i="1"/>
  <c r="G322" i="1"/>
  <c r="G1940" i="1"/>
  <c r="G96" i="1"/>
  <c r="G822" i="1"/>
  <c r="G655" i="1"/>
  <c r="G931" i="1"/>
  <c r="G494" i="1"/>
  <c r="G1966" i="1"/>
  <c r="G545" i="1"/>
  <c r="G970" i="1"/>
  <c r="G1004" i="1"/>
  <c r="G693" i="1"/>
  <c r="G831" i="1"/>
  <c r="G1936" i="1"/>
  <c r="G305" i="1"/>
  <c r="G260" i="1"/>
  <c r="G821" i="1"/>
  <c r="G1272" i="1"/>
  <c r="G1969" i="1"/>
  <c r="G1973" i="1"/>
  <c r="G188" i="1"/>
  <c r="G883" i="1"/>
  <c r="G961" i="1"/>
  <c r="G1804" i="1"/>
  <c r="G915" i="1"/>
  <c r="G673" i="1"/>
  <c r="G1748" i="1"/>
  <c r="G1306" i="1"/>
  <c r="G525" i="1"/>
  <c r="G1107" i="1"/>
  <c r="G308" i="1"/>
  <c r="G60" i="1"/>
  <c r="G1488" i="1"/>
  <c r="G781" i="1"/>
  <c r="G1051" i="1"/>
  <c r="G405" i="1"/>
  <c r="G602" i="1"/>
  <c r="G739" i="1"/>
  <c r="G863" i="1"/>
  <c r="G838" i="1"/>
  <c r="G548" i="1"/>
  <c r="G543" i="1"/>
  <c r="G101" i="1"/>
  <c r="G813" i="1"/>
  <c r="G1041" i="1"/>
  <c r="G1902" i="1"/>
  <c r="G1478" i="1"/>
  <c r="G62" i="1"/>
  <c r="G485" i="1"/>
  <c r="G1917" i="1"/>
  <c r="G909" i="1"/>
  <c r="G309" i="1"/>
  <c r="G480" i="1"/>
  <c r="G1397" i="1"/>
  <c r="G1879" i="1"/>
  <c r="G1611" i="1"/>
  <c r="G54" i="1"/>
  <c r="G846" i="1"/>
  <c r="G453" i="1"/>
  <c r="G1197" i="1"/>
  <c r="G215" i="1"/>
  <c r="G1805" i="1"/>
  <c r="G1630" i="1"/>
  <c r="G253" i="1"/>
  <c r="G654" i="1"/>
  <c r="G924" i="1"/>
  <c r="G184" i="1"/>
  <c r="G1754" i="1"/>
  <c r="G993" i="1"/>
  <c r="G565" i="1"/>
  <c r="G157" i="1"/>
  <c r="G390" i="1"/>
  <c r="G1245" i="1"/>
  <c r="G777" i="1"/>
  <c r="G226" i="1"/>
  <c r="G318" i="1"/>
  <c r="G275" i="1"/>
  <c r="G1412" i="1"/>
  <c r="G612" i="1"/>
  <c r="G1954" i="1"/>
  <c r="G705" i="1"/>
  <c r="G1946" i="1"/>
  <c r="G121" i="1"/>
  <c r="G1355" i="1"/>
  <c r="G1423" i="1"/>
  <c r="G413" i="1"/>
  <c r="G1105" i="1"/>
  <c r="G827" i="1"/>
  <c r="G542" i="1"/>
  <c r="G934" i="1"/>
  <c r="G1818" i="1"/>
  <c r="G551" i="1"/>
  <c r="G1511" i="1"/>
  <c r="G1924" i="1"/>
  <c r="G39" i="1"/>
  <c r="G642" i="1"/>
  <c r="G1680" i="1"/>
  <c r="G535" i="1"/>
  <c r="G710" i="1"/>
  <c r="G29" i="1"/>
  <c r="G69" i="1"/>
  <c r="G45" i="1"/>
  <c r="G668" i="1"/>
  <c r="G885" i="1"/>
  <c r="G252" i="1"/>
  <c r="G497" i="1"/>
  <c r="G1304" i="1"/>
  <c r="G757" i="1"/>
  <c r="G952" i="1"/>
  <c r="G1371" i="1"/>
  <c r="G1246" i="1"/>
  <c r="G1244" i="1"/>
  <c r="G1175" i="1"/>
  <c r="G456" i="1"/>
  <c r="G1625" i="1"/>
  <c r="G338" i="1"/>
  <c r="G469" i="1"/>
  <c r="G1203" i="1"/>
  <c r="G1513" i="1"/>
  <c r="G1192" i="1"/>
  <c r="G3" i="1"/>
  <c r="G937" i="1"/>
  <c r="G746" i="1"/>
  <c r="G927" i="1"/>
  <c r="G1554" i="1"/>
  <c r="G960" i="1"/>
  <c r="G1720" i="1"/>
  <c r="G1790" i="1"/>
  <c r="G109" i="1"/>
  <c r="G957" i="1"/>
  <c r="G766" i="1"/>
  <c r="G111" i="1"/>
  <c r="G172" i="1"/>
  <c r="G1742" i="1"/>
  <c r="G1079" i="1"/>
  <c r="G1861" i="1"/>
  <c r="G197" i="1"/>
  <c r="G272" i="1"/>
  <c r="G1658" i="1"/>
  <c r="G929" i="1"/>
  <c r="G1741" i="1"/>
  <c r="G345" i="1"/>
  <c r="G1263" i="1"/>
  <c r="G870" i="1"/>
  <c r="G772" i="1"/>
  <c r="G1596" i="1"/>
  <c r="G629" i="1"/>
  <c r="G153" i="1"/>
  <c r="G664" i="1"/>
  <c r="G1757" i="1"/>
  <c r="G350" i="1"/>
  <c r="G1791" i="1"/>
  <c r="G1613" i="1"/>
  <c r="G245" i="1"/>
  <c r="G935" i="1"/>
  <c r="G782" i="1"/>
  <c r="G1919" i="1"/>
  <c r="G1509" i="1"/>
  <c r="G1712" i="1"/>
  <c r="G1388" i="1"/>
  <c r="G567" i="1"/>
  <c r="G1314" i="1"/>
  <c r="G295" i="1"/>
  <c r="G1970" i="1"/>
  <c r="G1943" i="1"/>
  <c r="G1589" i="1"/>
  <c r="G1949" i="1"/>
  <c r="G89" i="1"/>
  <c r="G1584" i="1"/>
  <c r="G1374" i="1"/>
  <c r="G680" i="1"/>
  <c r="G953" i="1"/>
  <c r="G1971" i="1"/>
  <c r="G1077" i="1"/>
  <c r="G64" i="1"/>
  <c r="G1262" i="1"/>
  <c r="G320" i="1"/>
  <c r="G605" i="1"/>
  <c r="G1948" i="1"/>
  <c r="G1154" i="1"/>
  <c r="G1303" i="1"/>
  <c r="G1580" i="1"/>
  <c r="G1098" i="1"/>
  <c r="G411" i="1"/>
  <c r="G1975" i="1"/>
  <c r="G613" i="1"/>
  <c r="G300" i="1"/>
  <c r="G378" i="1"/>
  <c r="G1361" i="1"/>
  <c r="G966" i="1"/>
  <c r="G1957" i="1"/>
  <c r="G1560" i="1"/>
  <c r="G891" i="1"/>
  <c r="G1654" i="1"/>
  <c r="G1566" i="1"/>
  <c r="G1977" i="1"/>
  <c r="G506" i="1"/>
  <c r="G1056" i="1"/>
  <c r="G1788" i="1"/>
  <c r="G1045" i="1"/>
  <c r="G1405" i="1"/>
  <c r="G500" i="1"/>
  <c r="G1118" i="1"/>
  <c r="G289" i="1"/>
  <c r="G189" i="1"/>
  <c r="G984" i="1"/>
  <c r="G916" i="1"/>
  <c r="G1563" i="1"/>
  <c r="G967" i="1"/>
  <c r="G1264" i="1"/>
  <c r="G1682" i="1"/>
  <c r="G554" i="1"/>
  <c r="G877" i="1"/>
  <c r="G1112" i="1"/>
  <c r="G1600" i="1"/>
  <c r="G645" i="1"/>
  <c r="G99" i="1"/>
  <c r="G570" i="1"/>
  <c r="G1729" i="1"/>
  <c r="G851" i="1"/>
  <c r="G1117" i="1"/>
  <c r="G1376" i="1"/>
  <c r="G789" i="1"/>
  <c r="G662" i="1"/>
  <c r="G737" i="1"/>
  <c r="G1462" i="1"/>
  <c r="G146" i="1"/>
  <c r="G1903" i="1"/>
  <c r="G1047" i="1"/>
  <c r="G933" i="1"/>
  <c r="G1316" i="1"/>
  <c r="G356" i="1"/>
  <c r="G1241" i="1"/>
  <c r="G371" i="1"/>
  <c r="G466" i="1"/>
  <c r="G1293" i="1"/>
  <c r="G1227" i="1"/>
  <c r="G979" i="1"/>
  <c r="G368" i="1"/>
  <c r="G773" i="1"/>
  <c r="G1866" i="1"/>
  <c r="G402" i="1"/>
  <c r="G302" i="1"/>
  <c r="G142" i="1"/>
  <c r="G657" i="1"/>
  <c r="G380" i="1"/>
  <c r="G1476" i="1"/>
  <c r="G1095" i="1"/>
  <c r="G1934" i="1"/>
  <c r="G409" i="1"/>
  <c r="G1952" i="1"/>
  <c r="G1622" i="1"/>
  <c r="G1617" i="1"/>
  <c r="G1695" i="1"/>
  <c r="G1850" i="1"/>
  <c r="G833" i="1"/>
  <c r="G704" i="1"/>
  <c r="G1224" i="1"/>
  <c r="G1612" i="1"/>
  <c r="G124" i="1"/>
  <c r="G76" i="1"/>
  <c r="G196" i="1"/>
  <c r="G344" i="1"/>
  <c r="G641" i="1"/>
  <c r="G1862" i="1"/>
  <c r="G869" i="1"/>
  <c r="G1967" i="1"/>
  <c r="G544" i="1"/>
  <c r="G751" i="1"/>
  <c r="G1012" i="1"/>
  <c r="G291" i="1"/>
  <c r="G140" i="1"/>
  <c r="G1815" i="1"/>
  <c r="G1793" i="1"/>
  <c r="G981" i="1"/>
  <c r="G495" i="1"/>
  <c r="G1128" i="1"/>
  <c r="G1231" i="1"/>
  <c r="G1718" i="1"/>
  <c r="G533" i="1"/>
  <c r="G1912" i="1"/>
  <c r="G990" i="1"/>
  <c r="G845" i="1"/>
  <c r="G1326" i="1"/>
  <c r="G1586" i="1"/>
  <c r="G1370" i="1"/>
  <c r="G482" i="1"/>
  <c r="G1964" i="1"/>
  <c r="G798" i="1"/>
  <c r="G1335" i="1"/>
  <c r="G1317" i="1"/>
  <c r="G1721" i="1"/>
  <c r="G1223" i="1"/>
  <c r="G964" i="1"/>
  <c r="G1846" i="1"/>
  <c r="G733" i="1"/>
  <c r="G513" i="1"/>
  <c r="G925" i="1"/>
  <c r="G890" i="1"/>
  <c r="G1632" i="1"/>
  <c r="G181" i="1"/>
  <c r="G614" i="1"/>
  <c r="G647" i="1"/>
  <c r="G609" i="1"/>
  <c r="G58" i="1"/>
  <c r="G1677" i="1"/>
  <c r="G1487" i="1"/>
  <c r="G475" i="1"/>
  <c r="G771" i="1"/>
  <c r="G694" i="1"/>
  <c r="G426" i="1"/>
  <c r="G1273" i="1"/>
  <c r="G354" i="1"/>
  <c r="G1504" i="1"/>
  <c r="G552" i="1"/>
  <c r="G15" i="1"/>
  <c r="G149" i="1"/>
  <c r="G977" i="1"/>
  <c r="G1413" i="1"/>
  <c r="G36" i="1"/>
  <c r="G1711" i="1"/>
  <c r="G731" i="1"/>
  <c r="G1668" i="1"/>
  <c r="G457" i="1"/>
  <c r="G689" i="1"/>
  <c r="G20" i="1"/>
  <c r="G55" i="1"/>
  <c r="G1602" i="1"/>
  <c r="G1806" i="1"/>
  <c r="G170" i="1"/>
  <c r="G1465" i="1"/>
  <c r="G1826" i="1"/>
  <c r="G897" i="1"/>
  <c r="G700" i="1"/>
  <c r="G424" i="1"/>
  <c r="G901" i="1"/>
  <c r="G1549" i="1"/>
  <c r="G19" i="1"/>
  <c r="G4" i="1"/>
  <c r="G1825" i="1"/>
  <c r="G1057" i="1"/>
  <c r="G1381" i="1"/>
  <c r="G940" i="1"/>
  <c r="G854" i="1"/>
  <c r="G1773" i="1"/>
  <c r="G1605" i="1"/>
  <c r="G550" i="1"/>
  <c r="G1667" i="1"/>
  <c r="G620" i="1"/>
  <c r="G556" i="1"/>
  <c r="G51" i="1"/>
  <c r="G264" i="1"/>
  <c r="G1809" i="1"/>
  <c r="G1473" i="1"/>
  <c r="G1415" i="1"/>
  <c r="G622" i="1"/>
  <c r="G1075" i="1"/>
  <c r="G1179" i="1"/>
  <c r="G1683" i="1"/>
  <c r="G106" i="1"/>
  <c r="G1178" i="1"/>
  <c r="G7" i="1"/>
  <c r="G177" i="1"/>
  <c r="G1877" i="1"/>
  <c r="G1636" i="1"/>
  <c r="G37" i="1"/>
  <c r="G1434" i="1"/>
  <c r="G1155" i="1"/>
  <c r="G1372" i="1"/>
  <c r="G1856" i="1"/>
  <c r="G546" i="1"/>
  <c r="G1466" i="1"/>
  <c r="G1670" i="1"/>
  <c r="G1477" i="1"/>
  <c r="G1211" i="1"/>
  <c r="G400" i="1"/>
  <c r="G1290" i="1"/>
  <c r="G258" i="1"/>
  <c r="G742" i="1"/>
  <c r="G610" i="1"/>
  <c r="G1102" i="1"/>
  <c r="G200" i="1"/>
  <c r="G1542" i="1"/>
  <c r="G317" i="1"/>
  <c r="G809" i="1"/>
  <c r="G586" i="1"/>
  <c r="G1552" i="1"/>
  <c r="G1331" i="1"/>
  <c r="G8" i="1"/>
  <c r="G1189" i="1"/>
  <c r="G1490" i="1"/>
  <c r="G868" i="1"/>
  <c r="G1039" i="1"/>
  <c r="G683" i="1"/>
  <c r="G1918" i="1"/>
  <c r="G1496" i="1"/>
  <c r="G1470" i="1"/>
  <c r="G1059" i="1"/>
  <c r="G1926" i="1"/>
  <c r="G949" i="1"/>
  <c r="G804" i="1"/>
  <c r="G1337" i="1"/>
  <c r="G699" i="1"/>
  <c r="G1274" i="1"/>
  <c r="G1799" i="1"/>
  <c r="G1448" i="1"/>
  <c r="G1126" i="1"/>
  <c r="G1703" i="1"/>
  <c r="G30" i="1"/>
  <c r="G1640" i="1"/>
  <c r="G553" i="1"/>
  <c r="G28" i="1"/>
  <c r="G592" i="1"/>
  <c r="G251" i="1"/>
  <c r="G190" i="1"/>
  <c r="G1417" i="1"/>
  <c r="G1956" i="1"/>
  <c r="G120" i="1"/>
  <c r="G1219" i="1"/>
  <c r="G1367" i="1"/>
  <c r="G135" i="1"/>
  <c r="G1760" i="1"/>
  <c r="G1923" i="1"/>
  <c r="G203" i="1"/>
  <c r="G1363" i="1"/>
  <c r="G1886" i="1"/>
  <c r="G1259" i="1"/>
  <c r="G1344" i="1"/>
  <c r="G1564" i="1"/>
  <c r="G983" i="1"/>
  <c r="G518" i="1"/>
  <c r="G1541" i="1"/>
  <c r="G1389" i="1"/>
  <c r="G1024" i="1"/>
  <c r="G255" i="1"/>
  <c r="G384" i="1"/>
  <c r="G1922" i="1"/>
  <c r="G1823" i="1"/>
  <c r="G1357" i="1"/>
  <c r="G1055" i="1"/>
  <c r="G1348" i="1"/>
  <c r="G587" i="1"/>
  <c r="G1049" i="1"/>
  <c r="G383" i="1"/>
  <c r="G103" i="1"/>
  <c r="G1442" i="1"/>
  <c r="G284" i="1"/>
  <c r="G595" i="1"/>
  <c r="G1533" i="1"/>
  <c r="G155" i="1"/>
  <c r="G999" i="1"/>
  <c r="G955" i="1"/>
  <c r="G1148" i="1"/>
  <c r="G230" i="1"/>
  <c r="G1030" i="1"/>
  <c r="G365" i="1"/>
  <c r="G91" i="1"/>
  <c r="G1426" i="1"/>
  <c r="G194" i="1"/>
  <c r="G1310" i="1"/>
  <c r="G1838" i="1"/>
  <c r="G1379" i="1"/>
  <c r="G294" i="1"/>
  <c r="G303" i="1"/>
  <c r="G1469" i="1"/>
  <c r="G1482" i="1"/>
  <c r="G843" i="1"/>
  <c r="G1705" i="1"/>
  <c r="G1587" i="1"/>
  <c r="G1672" i="1"/>
  <c r="G677" i="1"/>
  <c r="G1393" i="1"/>
  <c r="G35" i="1"/>
  <c r="G1136" i="1"/>
  <c r="G1080" i="1"/>
  <c r="G1733" i="1"/>
  <c r="G1411" i="1"/>
  <c r="G1898" i="1"/>
  <c r="G182" i="1"/>
  <c r="G1498" i="1"/>
  <c r="G1744" i="1"/>
  <c r="G462" i="1"/>
  <c r="G1925" i="1"/>
  <c r="G1528" i="1"/>
  <c r="G1665" i="1"/>
  <c r="G134" i="1"/>
  <c r="G811" i="1"/>
  <c r="G1696" i="1"/>
  <c r="G1863" i="1"/>
  <c r="G1884" i="1"/>
  <c r="G1147" i="1"/>
  <c r="G1408" i="1"/>
  <c r="G1329" i="1"/>
  <c r="G214" i="1"/>
  <c r="G1188" i="1"/>
  <c r="G585" i="1"/>
  <c r="G1534" i="1"/>
  <c r="G526" i="1"/>
  <c r="G599" i="1"/>
  <c r="G22" i="1"/>
  <c r="G1216" i="1"/>
  <c r="G90" i="1"/>
  <c r="G755" i="1"/>
  <c r="G1015" i="1"/>
  <c r="G1479" i="1"/>
  <c r="G1824" i="1"/>
  <c r="G429" i="1"/>
  <c r="G534" i="1"/>
  <c r="G139" i="1"/>
  <c r="G1652" i="1"/>
  <c r="G1822" i="1"/>
  <c r="G1232" i="1"/>
  <c r="G734" i="1"/>
  <c r="G395" i="1"/>
  <c r="G1907" i="1"/>
  <c r="G1832" i="1"/>
  <c r="G1416" i="1"/>
  <c r="G1619" i="1"/>
  <c r="G27" i="1"/>
  <c r="G1781" i="1"/>
  <c r="G508" i="1"/>
  <c r="G437" i="1"/>
  <c r="G1167" i="1"/>
  <c r="G151" i="1"/>
  <c r="G1110" i="1"/>
  <c r="G158" i="1"/>
  <c r="G171" i="1"/>
  <c r="G1132" i="1"/>
  <c r="G965" i="1"/>
  <c r="G637" i="1"/>
  <c r="G1309" i="1"/>
  <c r="G1149" i="1"/>
  <c r="G1291" i="1"/>
  <c r="G88" i="1"/>
  <c r="G707" i="1"/>
  <c r="G1709" i="1"/>
  <c r="G234" i="1"/>
  <c r="G1427" i="1"/>
  <c r="G578" i="1"/>
  <c r="G718" i="1"/>
  <c r="G1266" i="1"/>
  <c r="G1082" i="1"/>
  <c r="G1745" i="1"/>
  <c r="G433" i="1"/>
  <c r="G1340" i="1"/>
  <c r="G1111" i="1"/>
  <c r="G1087" i="1"/>
  <c r="G107" i="1"/>
  <c r="G1065" i="1"/>
  <c r="G1525" i="1"/>
  <c r="G1380" i="1"/>
  <c r="G886" i="1"/>
  <c r="G1424" i="1"/>
  <c r="G899" i="1"/>
  <c r="G842" i="1"/>
  <c r="G438" i="1"/>
  <c r="G74" i="1"/>
  <c r="G132" i="1"/>
  <c r="G701" i="1"/>
  <c r="G1529" i="1"/>
  <c r="G481" i="1"/>
  <c r="G1392" i="1"/>
  <c r="G1094" i="1"/>
  <c r="G1694" i="1"/>
  <c r="G59" i="1"/>
  <c r="G83" i="1"/>
  <c r="G398" i="1"/>
  <c r="G1194" i="1"/>
  <c r="G1382" i="1"/>
  <c r="G1673" i="1"/>
  <c r="G651" i="1"/>
  <c r="G486" i="1"/>
  <c r="G1170" i="1"/>
  <c r="G1777" i="1"/>
  <c r="G1706" i="1"/>
  <c r="G810" i="1"/>
  <c r="G71" i="1"/>
  <c r="G1653" i="1"/>
  <c r="G84" i="1"/>
  <c r="G913" i="1"/>
  <c r="G745" i="1"/>
  <c r="G1318" i="1"/>
  <c r="G1044" i="1"/>
  <c r="G1294" i="1"/>
  <c r="G1738" i="1"/>
  <c r="G1121" i="1"/>
  <c r="G1753" i="1"/>
  <c r="G1460" i="1"/>
  <c r="G43" i="1"/>
  <c r="G1459" i="1"/>
  <c r="G1780" i="1"/>
  <c r="G1366" i="1"/>
  <c r="G1099" i="1"/>
  <c r="G242" i="1"/>
  <c r="G1553" i="1"/>
  <c r="G1089" i="1"/>
  <c r="G1204" i="1"/>
  <c r="G760" i="1"/>
  <c r="G646" i="1"/>
  <c r="G422" i="1"/>
  <c r="G1171" i="1"/>
  <c r="G1779" i="1"/>
  <c r="G1795" i="1"/>
  <c r="G730" i="1"/>
  <c r="G1206" i="1"/>
  <c r="G1221" i="1"/>
  <c r="G461" i="1"/>
  <c r="G229" i="1"/>
  <c r="G49" i="1"/>
  <c r="G1407" i="1"/>
  <c r="G1328" i="1"/>
  <c r="G839" i="1"/>
  <c r="G1550" i="1"/>
  <c r="G113" i="1"/>
  <c r="G1664" i="1"/>
  <c r="G250" i="1"/>
  <c r="G1053" i="1"/>
  <c r="G464" i="1"/>
  <c r="G178" i="1"/>
  <c r="G850" i="1"/>
  <c r="G1213" i="1"/>
  <c r="G696" i="1"/>
  <c r="G468" i="1"/>
  <c r="G1400" i="1"/>
  <c r="G1819" i="1"/>
  <c r="G399" i="1"/>
  <c r="G1599" i="1"/>
  <c r="G1280" i="1"/>
  <c r="G1491" i="1"/>
  <c r="G1396" i="1"/>
  <c r="G1228" i="1"/>
  <c r="G1311" i="1"/>
  <c r="G1843" i="1"/>
  <c r="G1237" i="1"/>
  <c r="G615" i="1"/>
  <c r="G947" i="1"/>
  <c r="G1119" i="1"/>
  <c r="G783" i="1"/>
  <c r="G1267" i="1"/>
  <c r="G75" i="1"/>
  <c r="G1115" i="1"/>
  <c r="G1249" i="1"/>
  <c r="G1269" i="1"/>
  <c r="G447" i="1"/>
  <c r="G1562" i="1"/>
  <c r="G162" i="1"/>
  <c r="G1287" i="1"/>
  <c r="G589" i="1"/>
  <c r="G483" i="1"/>
  <c r="G63" i="1"/>
  <c r="G1540" i="1"/>
  <c r="G1324" i="1"/>
  <c r="G1124" i="1"/>
  <c r="G1740" i="1"/>
  <c r="G1978" i="1"/>
  <c r="G1770" i="1"/>
  <c r="G753" i="1"/>
  <c r="G1717" i="1"/>
  <c r="G1714" i="1"/>
  <c r="G1320" i="1"/>
  <c r="G1555" i="1"/>
  <c r="G574" i="1"/>
  <c r="G1660" i="1"/>
  <c r="G1872" i="1"/>
  <c r="G1642" i="1"/>
  <c r="G1647" i="1"/>
  <c r="G555" i="1"/>
  <c r="G44" i="1"/>
  <c r="G754" i="1"/>
  <c r="G472" i="1"/>
  <c r="G1803" i="1"/>
  <c r="G1497" i="1"/>
  <c r="G1341" i="1"/>
  <c r="G150" i="1"/>
  <c r="G1547" i="1"/>
  <c r="G1208" i="1"/>
  <c r="G743" i="1"/>
  <c r="G832" i="1"/>
  <c r="G1351" i="1"/>
  <c r="G808" i="1"/>
  <c r="G987" i="1"/>
  <c r="G1201" i="1"/>
  <c r="G1074" i="1"/>
  <c r="G866" i="1"/>
  <c r="G1594" i="1"/>
  <c r="G193" i="1"/>
  <c r="G1181" i="1"/>
  <c r="G1325" i="1"/>
  <c r="G1614" i="1"/>
  <c r="G1690" i="1"/>
  <c r="G943" i="1"/>
  <c r="G201" i="1"/>
  <c r="G359" i="1"/>
  <c r="G490" i="1"/>
  <c r="G1258" i="1"/>
  <c r="G1161" i="1"/>
  <c r="G23" i="1"/>
  <c r="G998" i="1"/>
  <c r="G1727" i="1"/>
  <c r="G1086" i="1"/>
  <c r="G130" i="1"/>
  <c r="G1758" i="1"/>
  <c r="G1734" i="1"/>
  <c r="G1440" i="1"/>
  <c r="G1624" i="1"/>
  <c r="G1193" i="1"/>
  <c r="G1410" i="1"/>
  <c r="G165" i="1"/>
  <c r="G1583" i="1"/>
  <c r="G1627" i="1"/>
  <c r="G277" i="1"/>
  <c r="G185" i="1"/>
  <c r="G1163" i="1"/>
  <c r="G775" i="1"/>
  <c r="G1078" i="1"/>
  <c r="G1588" i="1"/>
  <c r="G1927" i="1"/>
  <c r="G634" i="1"/>
  <c r="G1708" i="1"/>
  <c r="G1730" i="1"/>
  <c r="G1515" i="1"/>
  <c r="G1537" i="1"/>
  <c r="G1510" i="1"/>
  <c r="G1736" i="1"/>
  <c r="G1732" i="1"/>
  <c r="G21" i="1"/>
  <c r="G1505" i="1"/>
  <c r="G1857" i="1"/>
  <c r="G865" i="1"/>
  <c r="G1827" i="1"/>
  <c r="G1209" i="1"/>
  <c r="G884" i="1"/>
  <c r="G814" i="1"/>
  <c r="G412" i="1"/>
  <c r="G1471" i="1"/>
  <c r="G52" i="1"/>
  <c r="G403" i="1"/>
  <c r="G1036" i="1"/>
  <c r="G1539" i="1"/>
  <c r="G1854" i="1"/>
  <c r="G1431" i="1"/>
  <c r="G1787" i="1"/>
  <c r="G41" i="1"/>
  <c r="G1406" i="1"/>
  <c r="G735" i="1"/>
  <c r="G1655" i="1"/>
  <c r="G445" i="1"/>
  <c r="G1483" i="1"/>
  <c r="G1184" i="1"/>
  <c r="G479" i="1"/>
  <c r="G1698" i="1"/>
  <c r="G314" i="1"/>
  <c r="G262" i="1"/>
  <c r="G1422" i="1"/>
  <c r="G1438" i="1"/>
  <c r="G1419" i="1"/>
  <c r="G191" i="1"/>
  <c r="G1091" i="1"/>
  <c r="G312" i="1"/>
  <c r="G1299" i="1"/>
  <c r="G393" i="1"/>
  <c r="G1880" i="1"/>
  <c r="G435" i="1"/>
  <c r="G1782" i="1"/>
  <c r="G1265" i="1"/>
  <c r="G631" i="1"/>
  <c r="G33" i="1"/>
  <c r="G1067" i="1"/>
  <c r="G1108" i="1"/>
  <c r="G143" i="1"/>
  <c r="G1088" i="1"/>
  <c r="G1122" i="1"/>
  <c r="G1390" i="1"/>
  <c r="G1428" i="1"/>
  <c r="G697" i="1"/>
  <c r="G1162" i="1"/>
  <c r="G1831" i="1"/>
  <c r="G1639" i="1"/>
  <c r="G530" i="1"/>
  <c r="G112" i="1"/>
  <c r="G1568" i="1"/>
  <c r="G1797" i="1"/>
  <c r="G1384" i="1"/>
  <c r="G1769" i="1"/>
  <c r="G115" i="1"/>
  <c r="G579" i="1"/>
  <c r="G240" i="1"/>
  <c r="G1114" i="1"/>
  <c r="G454" i="1"/>
  <c r="G1474" i="1"/>
  <c r="G14" i="1"/>
  <c r="G1876" i="1"/>
  <c r="G1242" i="1"/>
  <c r="G1916" i="1"/>
  <c r="G692" i="1"/>
  <c r="G762" i="1"/>
  <c r="G721" i="1"/>
  <c r="G690" i="1"/>
  <c r="G767" i="1"/>
  <c r="G1441" i="1"/>
  <c r="G686" i="1"/>
  <c r="G1739" i="1"/>
  <c r="G1033" i="1"/>
  <c r="G299" i="1"/>
  <c r="G1302" i="1"/>
  <c r="G1052" i="1"/>
  <c r="G1463" i="1"/>
  <c r="G1060" i="1"/>
  <c r="G1240" i="1"/>
  <c r="G1276" i="1"/>
  <c r="G562" i="1"/>
  <c r="G712" i="1"/>
  <c r="G367" i="1"/>
  <c r="G502" i="1"/>
  <c r="G1360" i="1"/>
  <c r="G1947" i="1"/>
  <c r="G1226" i="1"/>
  <c r="G388" i="1"/>
  <c r="G635" i="1"/>
  <c r="G1626" i="1"/>
  <c r="G1104" i="1"/>
  <c r="G1597" i="1"/>
  <c r="G698" i="1"/>
  <c r="G836" i="1"/>
  <c r="G1243" i="1"/>
  <c r="G1656" i="1"/>
  <c r="G223" i="1"/>
  <c r="G1913" i="1"/>
  <c r="G1090" i="1"/>
  <c r="G908" i="1"/>
  <c r="G540" i="1"/>
  <c r="G1454" i="1"/>
  <c r="G1432" i="1"/>
  <c r="G1502" i="1"/>
  <c r="G982" i="1"/>
  <c r="G503" i="1"/>
  <c r="G278" i="1"/>
  <c r="G1634" i="1"/>
  <c r="G136" i="1"/>
  <c r="G1816" i="1"/>
  <c r="G470" i="1"/>
  <c r="G1845" i="1"/>
  <c r="G127" i="1"/>
  <c r="G1669" i="1"/>
  <c r="G1722" i="1"/>
  <c r="G604" i="1"/>
  <c r="G1150" i="1"/>
  <c r="G1755" i="1"/>
  <c r="G898" i="1"/>
  <c r="G1932" i="1"/>
  <c r="G1641" i="1"/>
  <c r="G1129" i="1"/>
  <c r="G527" i="1"/>
  <c r="G912" i="1"/>
  <c r="G1236" i="1"/>
  <c r="G1585" i="1"/>
  <c r="G1702" i="1"/>
  <c r="G936" i="1"/>
  <c r="G1307" i="1"/>
  <c r="G168" i="1"/>
  <c r="G1887" i="1"/>
  <c r="G1889" i="1"/>
  <c r="G906" i="1"/>
  <c r="G758" i="1"/>
  <c r="G1457" i="1"/>
  <c r="G1254" i="1"/>
  <c r="G1771" i="1"/>
  <c r="G1904" i="1"/>
  <c r="G1069" i="1"/>
  <c r="G1701" i="1"/>
  <c r="G861" i="1"/>
  <c r="G679" i="1"/>
  <c r="G1678" i="1"/>
  <c r="G1480" i="1"/>
  <c r="G1820" i="1"/>
  <c r="G1495" i="1"/>
  <c r="G1420" i="1"/>
  <c r="G292" i="1"/>
  <c r="G648" i="1"/>
  <c r="G1881" i="1"/>
  <c r="G1444" i="1"/>
  <c r="G218" i="1"/>
  <c r="G372" i="1"/>
  <c r="G1399" i="1"/>
  <c r="G1551" i="1"/>
  <c r="G1577" i="1"/>
  <c r="G231" i="1"/>
  <c r="G685" i="1"/>
  <c r="G1144" i="1"/>
  <c r="G1031" i="1"/>
  <c r="G672" i="1"/>
  <c r="G276" i="1"/>
  <c r="G241" i="1"/>
  <c r="G678" i="1"/>
  <c r="G1620" i="1"/>
  <c r="G1545" i="1"/>
  <c r="G1127" i="1"/>
  <c r="G1909" i="1"/>
  <c r="G893" i="1"/>
  <c r="G974" i="1"/>
  <c r="G1168" i="1"/>
  <c r="G114" i="1"/>
  <c r="G1472" i="1"/>
  <c r="G86" i="1"/>
  <c r="G1616" i="1"/>
  <c r="G1523" i="1"/>
  <c r="G1810" i="1"/>
  <c r="G1681" i="1"/>
  <c r="G1631" i="1"/>
  <c r="G100" i="1"/>
  <c r="G1446" i="1"/>
  <c r="G1930" i="1"/>
  <c r="G459" i="1"/>
  <c r="G25" i="1"/>
  <c r="G1022" i="1"/>
  <c r="G1686" i="1"/>
  <c r="G1700" i="1"/>
  <c r="G1621" i="1"/>
  <c r="G1141" i="1"/>
  <c r="G1391" i="1"/>
  <c r="G1418" i="1"/>
  <c r="G1140" i="1"/>
  <c r="G1283" i="1"/>
  <c r="G829" i="1"/>
  <c r="G286" i="1"/>
  <c r="G547" i="1"/>
  <c r="G541" i="1"/>
  <c r="G274" i="1"/>
  <c r="G1123" i="1"/>
  <c r="G1858" i="1"/>
  <c r="G220" i="1"/>
  <c r="G1321" i="1"/>
  <c r="G1603" i="1"/>
  <c r="G238" i="1"/>
  <c r="G116" i="1"/>
  <c r="G1248" i="1"/>
  <c r="G770" i="1"/>
  <c r="G1365" i="1"/>
  <c r="G1439" i="1"/>
  <c r="G1297" i="1"/>
  <c r="G279" i="1"/>
  <c r="G1615" i="1"/>
  <c r="G1452" i="1"/>
  <c r="G1199" i="1"/>
  <c r="G617" i="1"/>
  <c r="G474" i="1"/>
  <c r="G1164" i="1"/>
  <c r="G1896" i="1"/>
  <c r="G583" i="1"/>
  <c r="G1261" i="1"/>
  <c r="G77" i="1"/>
  <c r="G353" i="1"/>
  <c r="G1177" i="1"/>
  <c r="G1353" i="1"/>
  <c r="G1579" i="1"/>
  <c r="G1746" i="1"/>
  <c r="G539" i="1"/>
  <c r="G1238" i="1"/>
  <c r="G1443" i="1"/>
  <c r="G167" i="1"/>
  <c r="G1531" i="1"/>
  <c r="G266" i="1"/>
  <c r="G57" i="1"/>
  <c r="G1159" i="1"/>
  <c r="G110" i="1"/>
  <c r="G1536" i="1"/>
  <c r="G817" i="1"/>
  <c r="G1749" i="1"/>
  <c r="G145" i="1"/>
  <c r="G1834" i="1"/>
  <c r="G1796" i="1"/>
  <c r="G1358" i="1"/>
  <c r="G1068" i="1"/>
  <c r="G1040" i="1"/>
  <c r="G1076" i="1"/>
  <c r="G598" i="1"/>
  <c r="G985" i="1"/>
  <c r="G108" i="1"/>
  <c r="G628" i="1"/>
  <c r="G342" i="1"/>
  <c r="G1623" i="1"/>
  <c r="G301" i="1"/>
  <c r="G593" i="1"/>
  <c r="G1692" i="1"/>
  <c r="G1592" i="1"/>
  <c r="G991" i="1"/>
  <c r="G630" i="1"/>
  <c r="G326" i="1"/>
  <c r="G1187" i="1"/>
  <c r="G81" i="1"/>
  <c r="G1663" i="1"/>
  <c r="G1288" i="1"/>
  <c r="G1830" i="1"/>
  <c r="G1518" i="1"/>
  <c r="G208" i="1"/>
  <c r="G1598" i="1"/>
  <c r="G11" i="1"/>
  <c r="G769" i="1"/>
  <c r="G862" i="1"/>
  <c r="G1901" i="1"/>
  <c r="G1437" i="1"/>
  <c r="G1319" i="1"/>
  <c r="G1671" i="1"/>
  <c r="G1829" i="1"/>
  <c r="G92" i="1"/>
  <c r="G346" i="1"/>
  <c r="G1198" i="1"/>
  <c r="G1558" i="1"/>
  <c r="G1404" i="1"/>
  <c r="G26" i="1"/>
  <c r="G1833" i="1"/>
  <c r="G1915" i="1"/>
  <c r="G881" i="1"/>
  <c r="G720" i="1"/>
  <c r="G1764" i="1"/>
  <c r="G1784" i="1"/>
  <c r="G1645" i="1"/>
  <c r="G370" i="1"/>
  <c r="G1061" i="1"/>
  <c r="G1892" i="1"/>
  <c r="G650" i="1"/>
  <c r="G1046" i="1"/>
  <c r="G1860" i="1"/>
  <c r="G1185" i="1"/>
  <c r="G24" i="1"/>
  <c r="G119" i="1"/>
  <c r="G373" i="1"/>
  <c r="G1723" i="1"/>
  <c r="G1743" i="1"/>
  <c r="G1250" i="1"/>
  <c r="G222" i="1"/>
  <c r="G128" i="1"/>
  <c r="G254" i="1"/>
  <c r="G67" i="1"/>
  <c r="G443" i="1"/>
  <c r="G1724" i="1"/>
  <c r="G702" i="1"/>
  <c r="G1315" i="1"/>
  <c r="G1322" i="1"/>
  <c r="G211" i="1"/>
  <c r="G348" i="1"/>
  <c r="G768" i="1"/>
  <c r="G476" i="1"/>
  <c r="G995" i="1"/>
  <c r="G1333" i="1"/>
  <c r="G1414" i="1"/>
  <c r="G1794" i="1"/>
  <c r="G1070" i="1"/>
  <c r="G376" i="1"/>
  <c r="G830" i="1"/>
  <c r="G444" i="1"/>
  <c r="G522" i="1"/>
  <c r="G1464" i="1"/>
  <c r="G82" i="1"/>
  <c r="G894" i="1"/>
  <c r="G976" i="1"/>
  <c r="G1928" i="1"/>
  <c r="G418" i="1"/>
  <c r="G1378" i="1"/>
  <c r="G1157" i="1"/>
  <c r="G1675" i="1"/>
  <c r="G1103" i="1"/>
  <c r="G1182" i="1"/>
  <c r="G1811" i="1"/>
  <c r="G397" i="1"/>
  <c r="G1512" i="1"/>
  <c r="G1097" i="1"/>
  <c r="G905" i="1"/>
  <c r="G1323" i="1"/>
  <c r="G436" i="1"/>
  <c r="G1054" i="1"/>
  <c r="G889" i="1"/>
  <c r="G216" i="1"/>
  <c r="G73" i="1"/>
  <c r="G1475" i="1"/>
  <c r="G281" i="1"/>
  <c r="G122" i="1"/>
  <c r="G265" i="1"/>
  <c r="G1650" i="1"/>
  <c r="G204" i="1"/>
  <c r="G1800" i="1"/>
  <c r="G1435" i="1"/>
  <c r="G1032" i="1"/>
  <c r="G1715" i="1"/>
  <c r="G1864" i="1"/>
  <c r="G994" i="1"/>
  <c r="G511" i="1"/>
  <c r="G1835" i="1"/>
  <c r="G1151" i="1"/>
  <c r="G1812" i="1"/>
  <c r="G1001" i="1"/>
  <c r="G315" i="1"/>
  <c r="G1526" i="1"/>
  <c r="G1693" i="1"/>
  <c r="G1403" i="1"/>
  <c r="G385" i="1"/>
  <c r="G930" i="1"/>
  <c r="G209" i="1"/>
  <c r="G434" i="1"/>
  <c r="G1689" i="1"/>
  <c r="G1688" i="1"/>
  <c r="G1762" i="1"/>
  <c r="G1425" i="1"/>
  <c r="G1043" i="1"/>
  <c r="G1212" i="1"/>
  <c r="G1573" i="1"/>
  <c r="G137" i="1"/>
  <c r="G335" i="1"/>
  <c r="G1522" i="1"/>
  <c r="G1332" i="1"/>
  <c r="G1679" i="1"/>
  <c r="G1364" i="1"/>
  <c r="G430" i="1"/>
  <c r="G1257" i="1"/>
  <c r="G972" i="1"/>
  <c r="G263" i="1"/>
  <c r="G807" i="1"/>
  <c r="G1362" i="1"/>
  <c r="G1608" i="1"/>
  <c r="G1298" i="1"/>
  <c r="G1591" i="1"/>
  <c r="G328" i="1"/>
  <c r="G1081" i="1"/>
  <c r="G1395" i="1"/>
  <c r="G87" i="1"/>
  <c r="G1501" i="1"/>
  <c r="G910" i="1"/>
  <c r="G856" i="1"/>
  <c r="G729" i="1"/>
  <c r="G94" i="1"/>
  <c r="G72" i="1"/>
  <c r="G1166" i="1"/>
  <c r="G1593" i="1"/>
  <c r="G1911" i="1"/>
  <c r="G741" i="1"/>
  <c r="G1895" i="1"/>
  <c r="G791" i="1"/>
  <c r="G1519" i="1"/>
  <c r="G458" i="1"/>
  <c r="G1521" i="1"/>
  <c r="G1085" i="1"/>
  <c r="G219" i="1"/>
  <c r="G1451" i="1"/>
  <c r="G1156" i="1"/>
  <c r="G1507" i="1"/>
  <c r="G1768" i="1"/>
  <c r="G16" i="1"/>
  <c r="G948" i="1"/>
  <c r="G347" i="1"/>
  <c r="G1135" i="1"/>
  <c r="G958" i="1"/>
  <c r="G163" i="1"/>
  <c r="G820" i="1"/>
  <c r="G1569" i="1"/>
  <c r="G1890" i="1"/>
  <c r="G1398" i="1"/>
  <c r="G653" i="1"/>
  <c r="G1019" i="1"/>
  <c r="G80" i="1"/>
  <c r="G1489" i="1"/>
  <c r="G1436" i="1"/>
  <c r="G1638" i="1"/>
  <c r="G1217" i="1"/>
  <c r="G293" i="1"/>
  <c r="G267" i="1"/>
  <c r="G1308" i="1"/>
  <c r="G1268" i="1"/>
  <c r="G460" i="1"/>
  <c r="G1910" i="1"/>
  <c r="G963" i="1"/>
  <c r="G10" i="1"/>
  <c r="G1644" i="1"/>
  <c r="G887" i="1"/>
  <c r="G56" i="1"/>
  <c r="G1676" i="1"/>
  <c r="G1571" i="1"/>
  <c r="G1900" i="1"/>
  <c r="G1145" i="1"/>
  <c r="G669" i="1"/>
  <c r="G971" i="1"/>
  <c r="G818" i="1"/>
  <c r="G1752" i="1"/>
  <c r="G1180" i="1"/>
  <c r="G1849" i="1"/>
  <c r="G1778" i="1"/>
  <c r="G133" i="1"/>
  <c r="G97" i="1"/>
  <c r="G431" i="1"/>
  <c r="G1270" i="1"/>
  <c r="G793" i="1"/>
  <c r="G161" i="1"/>
  <c r="G904" i="1"/>
  <c r="G1275" i="1"/>
  <c r="G946" i="1"/>
  <c r="G1765" i="1"/>
  <c r="G844" i="1"/>
  <c r="G1305" i="1"/>
  <c r="G864" i="1"/>
  <c r="G1865" i="1"/>
  <c r="G799" i="1"/>
  <c r="G152" i="1"/>
  <c r="G1312" i="1"/>
  <c r="G1139" i="1"/>
  <c r="G1699" i="1"/>
  <c r="G386" i="1"/>
  <c r="G144" i="1"/>
  <c r="G1169" i="1"/>
  <c r="G1251" i="1"/>
  <c r="G1278" i="1"/>
  <c r="G848" i="1"/>
  <c r="G752" i="1"/>
  <c r="G243" i="1"/>
  <c r="G467" i="1"/>
  <c r="G1933" i="1"/>
  <c r="G1814" i="1"/>
  <c r="G1931" i="1"/>
  <c r="G1468" i="1"/>
  <c r="G1871" i="1"/>
  <c r="G1256" i="1"/>
  <c r="G1570" i="1"/>
  <c r="G1897" i="1"/>
  <c r="G336" i="1"/>
  <c r="G1035" i="1"/>
  <c r="G1445" i="1"/>
  <c r="G922" i="1"/>
  <c r="G228" i="1"/>
  <c r="G1648" i="1"/>
  <c r="G186" i="1"/>
  <c r="G160" i="1"/>
  <c r="G1174" i="1"/>
  <c r="G815" i="1"/>
  <c r="G123" i="1"/>
  <c r="G1296" i="1"/>
  <c r="G154" i="1"/>
  <c r="G313" i="1"/>
  <c r="G1503" i="1"/>
  <c r="G439" i="1"/>
  <c r="G1628" i="1"/>
  <c r="G259" i="1"/>
  <c r="G944" i="1"/>
  <c r="G591" i="1"/>
  <c r="G1508" i="1"/>
  <c r="G1756" i="1"/>
  <c r="G1883" i="1"/>
  <c r="G1807" i="1"/>
  <c r="G1409" i="1"/>
  <c r="G876" i="1"/>
  <c r="G180" i="1"/>
  <c r="G529" i="1"/>
  <c r="G1336" i="1"/>
  <c r="G213" i="1"/>
  <c r="G1347" i="1"/>
  <c r="G141" i="1"/>
  <c r="G1176" i="1"/>
  <c r="G1429" i="1"/>
  <c r="G1394" i="1"/>
  <c r="G674" i="1"/>
  <c r="G618" i="1"/>
  <c r="G756" i="1"/>
  <c r="G358" i="1"/>
  <c r="G1802" i="1"/>
  <c r="G1728" i="1"/>
  <c r="G1514" i="1"/>
  <c r="G1520" i="1"/>
  <c r="G1859" i="1"/>
  <c r="G334" i="1"/>
  <c r="G1684" i="1"/>
  <c r="G1142" i="1"/>
  <c r="G582" i="1"/>
  <c r="G1137" i="1"/>
  <c r="G1072" i="1"/>
  <c r="G1875" i="1"/>
  <c r="G902" i="1"/>
  <c r="G257" i="1"/>
  <c r="G558" i="1"/>
  <c r="G1516" i="1"/>
  <c r="G179" i="1"/>
  <c r="G484" i="1"/>
  <c r="G237" i="1"/>
  <c r="G1731" i="1"/>
  <c r="G1567" i="1"/>
  <c r="G1235" i="1"/>
  <c r="G1281" i="1"/>
  <c r="G1352" i="1"/>
  <c r="G471" i="1"/>
  <c r="G1750" i="1"/>
  <c r="G1229" i="1"/>
  <c r="G1461" i="1"/>
  <c r="G761" i="1"/>
  <c r="G519" i="1"/>
  <c r="G1214" i="1"/>
  <c r="H239" i="1"/>
  <c r="H1298" i="1"/>
  <c r="H1958" i="1"/>
  <c r="H1620" i="1"/>
  <c r="H3" i="1"/>
  <c r="H862" i="1"/>
  <c r="H95" i="1"/>
  <c r="H1704" i="1"/>
  <c r="H1739" i="1"/>
  <c r="H173" i="1"/>
  <c r="H549" i="1"/>
  <c r="H1229" i="1"/>
  <c r="H754" i="1"/>
  <c r="H1041" i="1"/>
  <c r="H1062" i="1"/>
  <c r="H1540" i="1"/>
  <c r="H1350" i="1"/>
  <c r="H1920" i="1"/>
  <c r="H470" i="1"/>
  <c r="H1339" i="1"/>
  <c r="H1903" i="1"/>
  <c r="H1254" i="1"/>
  <c r="H1372" i="1"/>
  <c r="H1362" i="1"/>
  <c r="H878" i="1"/>
  <c r="H338" i="1"/>
  <c r="H1092" i="1"/>
  <c r="H1882" i="1"/>
  <c r="H1086" i="1"/>
  <c r="H1950" i="1"/>
  <c r="H1665" i="1"/>
  <c r="H676" i="1"/>
  <c r="H973" i="1"/>
  <c r="H440" i="1"/>
  <c r="H13" i="1"/>
  <c r="H119" i="1"/>
  <c r="H317" i="1"/>
  <c r="H472" i="1"/>
  <c r="H1910" i="1"/>
  <c r="H1833" i="1"/>
  <c r="H159" i="1"/>
  <c r="H1940" i="1"/>
  <c r="H1552" i="1"/>
  <c r="H132" i="1"/>
  <c r="H603" i="1"/>
  <c r="H290" i="1"/>
  <c r="H1615" i="1"/>
  <c r="H1272" i="1"/>
  <c r="H590" i="1"/>
  <c r="H228" i="1"/>
  <c r="H697" i="1"/>
  <c r="H1843" i="1"/>
  <c r="H1865" i="1"/>
  <c r="H613" i="1"/>
  <c r="H1466" i="1"/>
  <c r="H1941" i="1"/>
  <c r="H408" i="1"/>
  <c r="H439" i="1"/>
  <c r="H18" i="1"/>
  <c r="H1430" i="1"/>
  <c r="H1214" i="1"/>
  <c r="H35" i="1"/>
  <c r="H699" i="1"/>
  <c r="H1179" i="1"/>
  <c r="H1687" i="1"/>
  <c r="H1829" i="1"/>
  <c r="H341" i="1"/>
  <c r="H1104" i="1"/>
  <c r="H1435" i="1"/>
  <c r="H634" i="1"/>
  <c r="H1851" i="1"/>
  <c r="H967" i="1"/>
  <c r="H1428" i="1"/>
  <c r="H695" i="1"/>
  <c r="H217" i="1"/>
  <c r="H144" i="1"/>
  <c r="H296" i="1"/>
  <c r="H1445" i="1"/>
  <c r="H1926" i="1"/>
  <c r="H298" i="1"/>
  <c r="H1046" i="1"/>
  <c r="H1325" i="1"/>
  <c r="H1827" i="1"/>
  <c r="H1647" i="1"/>
  <c r="H1884" i="1"/>
  <c r="H1135" i="1"/>
  <c r="H719" i="1"/>
  <c r="H1799" i="1"/>
  <c r="H1976" i="1"/>
  <c r="H1193" i="1"/>
  <c r="H1711" i="1"/>
  <c r="H628" i="1"/>
  <c r="H644" i="1"/>
  <c r="H1142" i="1"/>
  <c r="H55" i="1"/>
  <c r="H714" i="1"/>
  <c r="H914" i="1"/>
  <c r="H730" i="1"/>
  <c r="H1893" i="1"/>
  <c r="H1848" i="1"/>
  <c r="H1895" i="1"/>
  <c r="H91" i="1"/>
  <c r="H165" i="1"/>
  <c r="H1253" i="1"/>
  <c r="H910" i="1"/>
  <c r="H987" i="1"/>
  <c r="H71" i="1"/>
  <c r="H446" i="1"/>
  <c r="H103" i="1"/>
  <c r="H747" i="1"/>
  <c r="H1662" i="1"/>
  <c r="H778" i="1"/>
  <c r="H1216" i="1"/>
  <c r="H686" i="1"/>
  <c r="H244" i="1"/>
  <c r="H1026" i="1"/>
  <c r="H39" i="1"/>
  <c r="H1668" i="1"/>
  <c r="H358" i="1"/>
  <c r="H1725" i="1"/>
  <c r="H1226" i="1"/>
  <c r="H199" i="1"/>
  <c r="H1821" i="1"/>
  <c r="H832" i="1"/>
  <c r="H648" i="1"/>
  <c r="H1293" i="1"/>
  <c r="H780" i="1"/>
  <c r="H232" i="1"/>
  <c r="H235" i="1"/>
  <c r="H196" i="1"/>
  <c r="H1125" i="1"/>
  <c r="H898" i="1"/>
  <c r="H782" i="1"/>
  <c r="H919" i="1"/>
  <c r="H1117" i="1"/>
  <c r="H755" i="1"/>
  <c r="H938" i="1"/>
  <c r="H1560" i="1"/>
  <c r="H1483" i="1"/>
  <c r="H236" i="1"/>
  <c r="H388" i="1"/>
  <c r="H461" i="1"/>
  <c r="H551" i="1"/>
  <c r="H1640" i="1"/>
  <c r="H1124" i="1"/>
  <c r="H481" i="1"/>
  <c r="H1071" i="1"/>
  <c r="H343" i="1"/>
  <c r="H276" i="1"/>
  <c r="H197" i="1"/>
  <c r="H1979" i="1"/>
  <c r="H1159" i="1"/>
  <c r="H884" i="1"/>
  <c r="H1728" i="1"/>
  <c r="H617" i="1"/>
  <c r="H1191" i="1"/>
  <c r="H34" i="1"/>
  <c r="H1830" i="1"/>
  <c r="H209" i="1"/>
  <c r="H92" i="1"/>
  <c r="H1669" i="1"/>
  <c r="H214" i="1"/>
  <c r="H1406" i="1"/>
  <c r="H835" i="1"/>
  <c r="H1973" i="1"/>
  <c r="H415" i="1"/>
  <c r="H373" i="1"/>
  <c r="H1918" i="1"/>
  <c r="H1149" i="1"/>
  <c r="H489" i="1"/>
  <c r="H22" i="1"/>
  <c r="H541" i="1"/>
  <c r="H82" i="1"/>
  <c r="H1144" i="1"/>
  <c r="H1693" i="1"/>
  <c r="H891" i="1"/>
  <c r="H376" i="1"/>
  <c r="H1732" i="1"/>
  <c r="H1760" i="1"/>
  <c r="H875" i="1"/>
  <c r="H1702" i="1"/>
  <c r="H387" i="1"/>
  <c r="H1923" i="1"/>
  <c r="H1723" i="1"/>
  <c r="H668" i="1"/>
  <c r="H1674" i="1"/>
  <c r="H1962" i="1"/>
  <c r="H1374" i="1"/>
  <c r="H202" i="1"/>
  <c r="H494" i="1"/>
  <c r="H843" i="1"/>
  <c r="H339" i="1"/>
  <c r="H1064" i="1"/>
  <c r="H775" i="1"/>
  <c r="H1306" i="1"/>
  <c r="H1788" i="1"/>
  <c r="H181" i="1"/>
  <c r="H761" i="1"/>
  <c r="H1140" i="1"/>
  <c r="H738" i="1"/>
  <c r="H1148" i="1"/>
  <c r="H1681" i="1"/>
  <c r="H1624" i="1"/>
  <c r="H49" i="1"/>
  <c r="H917" i="1"/>
  <c r="H128" i="1"/>
  <c r="H410" i="1"/>
  <c r="H400" i="1"/>
  <c r="H1967" i="1"/>
  <c r="H51" i="1"/>
  <c r="H1812" i="1"/>
  <c r="H1793" i="1"/>
  <c r="H370" i="1"/>
  <c r="H1250" i="1"/>
  <c r="H1147" i="1"/>
  <c r="H637" i="1"/>
  <c r="H700" i="1"/>
  <c r="H1966" i="1"/>
  <c r="H1660" i="1"/>
  <c r="H988" i="1"/>
  <c r="H282" i="1"/>
  <c r="H247" i="1"/>
  <c r="H871" i="1"/>
  <c r="H1137" i="1"/>
  <c r="H11" i="1"/>
  <c r="H827" i="1"/>
  <c r="H1292" i="1"/>
  <c r="H1129" i="1"/>
  <c r="H1809" i="1"/>
  <c r="H950" i="1"/>
  <c r="H1513" i="1"/>
  <c r="H1176" i="1"/>
  <c r="H1585" i="1"/>
  <c r="H544" i="1"/>
  <c r="H379" i="1"/>
  <c r="H1183" i="1"/>
  <c r="H1652" i="1"/>
  <c r="H1136" i="1"/>
  <c r="H702" i="1"/>
  <c r="H1490" i="1"/>
  <c r="H1412" i="1"/>
  <c r="H899" i="1"/>
  <c r="H1530" i="1"/>
  <c r="H208" i="1"/>
  <c r="H1603" i="1"/>
  <c r="H499" i="1"/>
  <c r="H1896" i="1"/>
  <c r="H773" i="1"/>
  <c r="H1862" i="1"/>
  <c r="H190" i="1"/>
  <c r="H1842" i="1"/>
  <c r="H1974" i="1"/>
  <c r="H1417" i="1"/>
  <c r="H1742" i="1"/>
  <c r="H1649" i="1"/>
  <c r="H246" i="1"/>
  <c r="H1692" i="1"/>
  <c r="H1189" i="1"/>
  <c r="H1054" i="1"/>
  <c r="H1451" i="1"/>
  <c r="H684" i="1"/>
  <c r="H1587" i="1"/>
  <c r="H1354" i="1"/>
  <c r="H863" i="1"/>
  <c r="H574" i="1"/>
  <c r="H94" i="1"/>
  <c r="H1304" i="1"/>
  <c r="H1091" i="1"/>
  <c r="H1916" i="1"/>
  <c r="H426" i="1"/>
  <c r="H550" i="1"/>
  <c r="H466" i="1"/>
  <c r="H743" i="1"/>
  <c r="H1782" i="1"/>
  <c r="H255" i="1"/>
  <c r="H1826" i="1"/>
  <c r="H1854" i="1"/>
  <c r="H1068" i="1"/>
  <c r="H622" i="1"/>
  <c r="H323" i="1"/>
  <c r="H1794" i="1"/>
  <c r="H1047" i="1"/>
  <c r="H93" i="1"/>
  <c r="H1694" i="1"/>
  <c r="H1714" i="1"/>
  <c r="H490" i="1"/>
  <c r="H1622" i="1"/>
  <c r="H792" i="1"/>
  <c r="H1575" i="1"/>
  <c r="H10" i="1"/>
  <c r="H1706" i="1"/>
  <c r="H1905" i="1"/>
  <c r="H12" i="1"/>
  <c r="H1391" i="1"/>
  <c r="H1837" i="1"/>
  <c r="H1636" i="1"/>
  <c r="H270" i="1"/>
  <c r="H785" i="1"/>
  <c r="H140" i="1"/>
  <c r="H537" i="1"/>
  <c r="H268" i="1"/>
  <c r="H531" i="1"/>
  <c r="H172" i="1"/>
  <c r="H1644" i="1"/>
  <c r="H1805" i="1"/>
  <c r="H53" i="1"/>
  <c r="H1801" i="1"/>
  <c r="H1450" i="1"/>
  <c r="H423" i="1"/>
  <c r="H1751" i="1"/>
  <c r="H869" i="1"/>
  <c r="H1697" i="1"/>
  <c r="H41" i="1"/>
  <c r="H294" i="1"/>
  <c r="H115" i="1"/>
  <c r="H6" i="1"/>
  <c r="H1907" i="1"/>
  <c r="H922" i="1"/>
  <c r="H1963" i="1"/>
  <c r="H1730" i="1"/>
  <c r="H1921" i="1"/>
  <c r="H1642" i="1"/>
  <c r="H28" i="1"/>
  <c r="H1130" i="1"/>
  <c r="H1188" i="1"/>
  <c r="H1102" i="1"/>
  <c r="H412" i="1"/>
  <c r="H391" i="1"/>
  <c r="H1434" i="1"/>
  <c r="H1735" i="1"/>
  <c r="H1654" i="1"/>
  <c r="H1056" i="1"/>
  <c r="H1594" i="1"/>
  <c r="H1424" i="1"/>
  <c r="H1630" i="1"/>
  <c r="H1688" i="1"/>
  <c r="H1368" i="1"/>
  <c r="H1184" i="1"/>
  <c r="H1710" i="1"/>
  <c r="H734" i="1"/>
  <c r="H641" i="1"/>
  <c r="H654" i="1"/>
  <c r="H1410" i="1"/>
  <c r="H1675" i="1"/>
  <c r="H411" i="1"/>
  <c r="H740" i="1"/>
  <c r="H1465" i="1"/>
  <c r="H1666" i="1"/>
  <c r="H105" i="1"/>
  <c r="H1022" i="1"/>
  <c r="H1608" i="1"/>
  <c r="H1574" i="1"/>
  <c r="H1748" i="1"/>
  <c r="H840" i="1"/>
  <c r="H1431" i="1"/>
  <c r="H1509" i="1"/>
  <c r="H1019" i="1"/>
  <c r="H442" i="1"/>
  <c r="H215" i="1"/>
  <c r="H1173" i="1"/>
  <c r="H1120" i="1"/>
  <c r="H1208" i="1"/>
  <c r="H438" i="1"/>
  <c r="H1803" i="1"/>
  <c r="H555" i="1"/>
  <c r="H830" i="1"/>
  <c r="H1329" i="1"/>
  <c r="H1132" i="1"/>
  <c r="H661" i="1"/>
  <c r="H306" i="1"/>
  <c r="H1815" i="1"/>
  <c r="H473" i="1"/>
  <c r="H554" i="1"/>
  <c r="H1197" i="1"/>
  <c r="H1648" i="1"/>
  <c r="H529" i="1"/>
  <c r="H1949" i="1"/>
  <c r="H1182" i="1"/>
  <c r="H70" i="1"/>
  <c r="H265" i="1"/>
  <c r="H660" i="1"/>
  <c r="H1192" i="1"/>
  <c r="H127" i="1"/>
  <c r="H275" i="1"/>
  <c r="H106" i="1"/>
  <c r="H325" i="1"/>
  <c r="H1115" i="1"/>
  <c r="H1705" i="1"/>
  <c r="H971" i="1"/>
  <c r="H188" i="1"/>
  <c r="H1937" i="1"/>
  <c r="H825" i="1"/>
  <c r="H1672" i="1"/>
  <c r="H1951" i="1"/>
  <c r="H399" i="1"/>
  <c r="H895" i="1"/>
  <c r="H1811" i="1"/>
  <c r="H384" i="1"/>
  <c r="H1359" i="1"/>
  <c r="H1628" i="1"/>
  <c r="H1825" i="1"/>
  <c r="H579" i="1"/>
  <c r="H1038" i="1"/>
  <c r="H1551" i="1"/>
  <c r="H1709" i="1"/>
  <c r="H1498" i="1"/>
  <c r="H162" i="1"/>
  <c r="H1956" i="1"/>
  <c r="H1749" i="1"/>
  <c r="H575" i="1"/>
  <c r="H502" i="1"/>
  <c r="H5" i="1"/>
  <c r="H1707" i="1"/>
  <c r="H1103" i="1"/>
  <c r="H781" i="1"/>
  <c r="H751" i="1"/>
  <c r="H1549" i="1"/>
  <c r="H1437" i="1"/>
  <c r="H1257" i="1"/>
  <c r="H1964" i="1"/>
  <c r="H259" i="1"/>
  <c r="H1944" i="1"/>
  <c r="H1659" i="1"/>
  <c r="H1042" i="1"/>
  <c r="H1248" i="1"/>
  <c r="H1351" i="1"/>
  <c r="H1614" i="1"/>
  <c r="H1418" i="1"/>
  <c r="H1934" i="1"/>
  <c r="H437" i="1"/>
  <c r="H414" i="1"/>
  <c r="H241" i="1"/>
  <c r="H1542" i="1"/>
  <c r="H1839" i="1"/>
  <c r="H1980" i="1"/>
  <c r="H816" i="1"/>
  <c r="H329" i="1"/>
  <c r="H210" i="1"/>
  <c r="H1477" i="1"/>
  <c r="H1678" i="1"/>
  <c r="H874" i="1"/>
  <c r="H820" i="1"/>
  <c r="H1954" i="1"/>
  <c r="H1586" i="1"/>
  <c r="H205" i="1"/>
  <c r="H708" i="1"/>
  <c r="H1938" i="1"/>
  <c r="H1658" i="1"/>
  <c r="H1955" i="1"/>
  <c r="H581" i="1"/>
  <c r="H1768" i="1"/>
  <c r="H1034" i="1"/>
  <c r="H288" i="1"/>
  <c r="H822" i="1"/>
  <c r="H1859" i="1"/>
  <c r="H998" i="1"/>
  <c r="H1203" i="1"/>
  <c r="H1780" i="1"/>
  <c r="H147" i="1"/>
  <c r="H1006" i="1"/>
  <c r="H1613" i="1"/>
  <c r="H1871" i="1"/>
  <c r="H707" i="1"/>
  <c r="H629" i="1"/>
  <c r="H1017" i="1"/>
  <c r="H1409" i="1"/>
  <c r="H1810" i="1"/>
  <c r="H109" i="1"/>
  <c r="H496" i="1"/>
  <c r="H1194" i="1"/>
  <c r="H1912" i="1"/>
  <c r="H277" i="1"/>
  <c r="H893" i="1"/>
  <c r="H1611" i="1"/>
  <c r="H474" i="1"/>
  <c r="H73" i="1"/>
  <c r="H733" i="1"/>
  <c r="H1251" i="1"/>
  <c r="H1719" i="1"/>
  <c r="H1288" i="1"/>
  <c r="H839" i="1"/>
  <c r="H200" i="1"/>
  <c r="H963" i="1"/>
  <c r="H547" i="1"/>
  <c r="H1852" i="1"/>
  <c r="H566" i="1"/>
  <c r="H1215" i="1"/>
  <c r="H763" i="1"/>
  <c r="H1807" i="1"/>
  <c r="H170" i="1"/>
  <c r="H1043" i="1"/>
  <c r="H1784" i="1"/>
  <c r="H1559" i="1"/>
  <c r="H447" i="1"/>
  <c r="H330" i="1"/>
  <c r="H1160" i="1"/>
  <c r="H1283" i="1"/>
  <c r="H1078" i="1"/>
  <c r="H1935" i="1"/>
  <c r="H675" i="1"/>
  <c r="H797" i="1"/>
  <c r="H731" i="1"/>
  <c r="H1638" i="1"/>
  <c r="H1082" i="1"/>
  <c r="H1863" i="1"/>
  <c r="H131" i="1"/>
  <c r="H567" i="1"/>
  <c r="H619" i="1"/>
  <c r="H1970" i="1"/>
  <c r="H1804" i="1"/>
  <c r="H975" i="1"/>
  <c r="H710" i="1"/>
  <c r="H1701" i="1"/>
  <c r="H58" i="1"/>
  <c r="H1151" i="1"/>
  <c r="H757" i="1"/>
  <c r="H1533" i="1"/>
  <c r="H1898" i="1"/>
  <c r="H1661" i="1"/>
  <c r="H1247" i="1"/>
  <c r="H102" i="1"/>
  <c r="H1610" i="1"/>
  <c r="H1331" i="1"/>
  <c r="H864" i="1"/>
  <c r="H158" i="1"/>
  <c r="H1816" i="1"/>
  <c r="H390" i="1"/>
  <c r="H602" i="1"/>
  <c r="H485" i="1"/>
  <c r="H1696" i="1"/>
  <c r="H1582" i="1"/>
  <c r="H1834" i="1"/>
  <c r="H271" i="1"/>
  <c r="H1085" i="1"/>
  <c r="H758" i="1"/>
  <c r="H353" i="1"/>
  <c r="H409" i="1"/>
  <c r="H1699" i="1"/>
  <c r="H1881" i="1"/>
  <c r="H1187" i="1"/>
  <c r="H1161" i="1"/>
  <c r="H626" i="1"/>
  <c r="H1939" i="1"/>
  <c r="H421" i="1"/>
  <c r="H1855" i="1"/>
  <c r="H1558" i="1"/>
  <c r="H1733" i="1"/>
  <c r="H866" i="1"/>
  <c r="H1447" i="1"/>
  <c r="H995" i="1"/>
  <c r="H15" i="1"/>
  <c r="H1975" i="1"/>
  <c r="H1593" i="1"/>
  <c r="H729" i="1"/>
  <c r="H505" i="1"/>
  <c r="H497" i="1"/>
  <c r="H1163" i="1"/>
  <c r="H1421" i="1"/>
  <c r="H1822" i="1"/>
  <c r="H142" i="1"/>
  <c r="H1141" i="1"/>
  <c r="H1831" i="1"/>
  <c r="H1924" i="1"/>
  <c r="H386" i="1"/>
  <c r="H811" i="1"/>
  <c r="H1957" i="1"/>
  <c r="H486" i="1"/>
  <c r="H229" i="1"/>
  <c r="H457" i="1"/>
  <c r="H1083" i="1"/>
  <c r="H1403" i="1"/>
  <c r="H1300" i="1"/>
  <c r="H29" i="1"/>
  <c r="H68" i="1"/>
  <c r="H1285" i="1"/>
  <c r="H156" i="1"/>
  <c r="H1271" i="1"/>
  <c r="H434" i="1"/>
  <c r="H1180" i="1"/>
  <c r="H968" i="1"/>
  <c r="H1523" i="1"/>
  <c r="H326" i="1"/>
  <c r="H535" i="1"/>
  <c r="H1796" i="1"/>
  <c r="H1849" i="1"/>
  <c r="H27" i="1"/>
  <c r="H342" i="1"/>
  <c r="H1604" i="1"/>
  <c r="H1411" i="1"/>
  <c r="H1802" i="1"/>
  <c r="H352" i="1"/>
  <c r="H543" i="1"/>
  <c r="H664" i="1"/>
  <c r="H599" i="1"/>
  <c r="H1650" i="1"/>
  <c r="H1218" i="1"/>
  <c r="H1731" i="1"/>
  <c r="H1786" i="1"/>
  <c r="H1067" i="1"/>
  <c r="H1504" i="1"/>
  <c r="H1052" i="1"/>
  <c r="H808" i="1"/>
  <c r="H532" i="1"/>
  <c r="H1965" i="1"/>
  <c r="H1713" i="1"/>
  <c r="H1764" i="1"/>
  <c r="H1777" i="1"/>
  <c r="H625" i="1"/>
  <c r="H1113" i="1"/>
  <c r="H1766" i="1"/>
  <c r="H240" i="1"/>
  <c r="H1772" i="1"/>
  <c r="H1324" i="1"/>
  <c r="H1303" i="1"/>
  <c r="H1664" i="1"/>
  <c r="H539" i="1"/>
  <c r="H999" i="1"/>
  <c r="H1139" i="1"/>
  <c r="H1928" i="1"/>
  <c r="H1448" i="1"/>
  <c r="H1172" i="1"/>
  <c r="H1557" i="1"/>
  <c r="H407" i="1"/>
  <c r="H112" i="1"/>
  <c r="H1840" i="1"/>
  <c r="H683" i="1"/>
  <c r="H1317" i="1"/>
  <c r="H1328" i="1"/>
  <c r="H1569" i="1"/>
  <c r="H520" i="1"/>
  <c r="H1023" i="1"/>
  <c r="H1267" i="1"/>
  <c r="H1605" i="1"/>
  <c r="H206" i="1"/>
  <c r="H901" i="1"/>
  <c r="H530" i="1"/>
  <c r="H1867" i="1"/>
  <c r="H1570" i="1"/>
  <c r="H726" i="1"/>
  <c r="H1106" i="1"/>
  <c r="H1316" i="1"/>
  <c r="H793" i="1"/>
  <c r="H638" i="1"/>
  <c r="H64" i="1"/>
  <c r="H1462" i="1"/>
  <c r="H123" i="1"/>
  <c r="H1736" i="1"/>
  <c r="H1952" i="1"/>
  <c r="H1427" i="1"/>
  <c r="H1806" i="1"/>
  <c r="H1655" i="1"/>
  <c r="H1936" i="1"/>
  <c r="H1277" i="1"/>
  <c r="H178" i="1"/>
  <c r="H96" i="1"/>
  <c r="H78" i="1"/>
  <c r="H823" i="1"/>
  <c r="H966" i="1"/>
  <c r="H1099" i="1"/>
  <c r="H97" i="1"/>
  <c r="H799" i="1"/>
  <c r="H1945" i="1"/>
  <c r="H1269" i="1"/>
  <c r="H1792" i="1"/>
  <c r="H1002" i="1"/>
  <c r="H302" i="1"/>
  <c r="H1297" i="1"/>
  <c r="H168" i="1"/>
  <c r="H1890" i="1"/>
  <c r="H1153" i="1"/>
  <c r="H1360" i="1"/>
  <c r="H929" i="1"/>
  <c r="H61" i="1"/>
  <c r="H194" i="1"/>
  <c r="H1819" i="1"/>
  <c r="H1879" i="1"/>
  <c r="H1268" i="1"/>
  <c r="H72" i="1"/>
  <c r="H1326" i="1"/>
  <c r="H1185" i="1"/>
  <c r="H1423" i="1"/>
  <c r="H1656" i="1"/>
  <c r="H1972" i="1"/>
  <c r="H152" i="1"/>
  <c r="H1671" i="1"/>
  <c r="H155" i="1"/>
  <c r="H1080" i="1"/>
  <c r="H1290" i="1"/>
  <c r="H287" i="1"/>
  <c r="H925" i="1"/>
  <c r="H157" i="1"/>
  <c r="H1469" i="1"/>
  <c r="H1344" i="1"/>
  <c r="H1396" i="1"/>
  <c r="H688" i="1"/>
  <c r="H134" i="1"/>
  <c r="H1869" i="1"/>
  <c r="H124" i="1"/>
  <c r="H1789" i="1"/>
  <c r="H846" i="1"/>
  <c r="H225" i="1"/>
  <c r="H1556" i="1"/>
  <c r="H26" i="1"/>
  <c r="H1458" i="1"/>
  <c r="H623" i="1"/>
  <c r="H107" i="1"/>
  <c r="H1224" i="1"/>
  <c r="H992" i="1"/>
  <c r="H1568" i="1"/>
  <c r="H182" i="1"/>
  <c r="H1270" i="1"/>
  <c r="H635" i="1"/>
  <c r="H1018" i="1"/>
  <c r="H1416" i="1"/>
  <c r="H509" i="1"/>
  <c r="H1763" i="1"/>
  <c r="H50" i="1"/>
  <c r="H344" i="1"/>
  <c r="H1473" i="1"/>
  <c r="H1196" i="1"/>
  <c r="H286" i="1"/>
  <c r="H570" i="1"/>
  <c r="H1943" i="1"/>
  <c r="H1279" i="1"/>
  <c r="H1953" i="1"/>
  <c r="H936" i="1"/>
  <c r="H769" i="1"/>
  <c r="H222" i="1"/>
  <c r="H1446" i="1"/>
  <c r="H742" i="1"/>
  <c r="H594" i="1"/>
  <c r="H1059" i="1"/>
  <c r="H1472" i="1"/>
  <c r="H949" i="1"/>
  <c r="H365" i="1"/>
  <c r="H1200" i="1"/>
  <c r="H1618" i="1"/>
  <c r="H1048" i="1"/>
  <c r="H1892" i="1"/>
  <c r="H1045" i="1"/>
  <c r="H1035" i="1"/>
  <c r="H1860" i="1"/>
  <c r="H1055" i="1"/>
  <c r="H243" i="1"/>
  <c r="H1230" i="1"/>
  <c r="H334" i="1"/>
  <c r="H937" i="1"/>
  <c r="H1001" i="1"/>
  <c r="H691" i="1"/>
  <c r="H1206" i="1"/>
  <c r="H1565" i="1"/>
  <c r="H720" i="1"/>
  <c r="H1345" i="1"/>
  <c r="H534" i="1"/>
  <c r="H1281" i="1"/>
  <c r="H1631" i="1"/>
  <c r="H1014" i="1"/>
  <c r="H1443" i="1"/>
  <c r="H1438" i="1"/>
  <c r="H289" i="1"/>
  <c r="H515" i="1"/>
  <c r="H1118" i="1"/>
  <c r="H1204" i="1"/>
  <c r="H1718" i="1"/>
  <c r="H890" i="1"/>
  <c r="H829" i="1"/>
  <c r="H1978" i="1"/>
  <c r="H972" i="1"/>
  <c r="H723" i="1"/>
  <c r="H824" i="1"/>
  <c r="H631" i="1"/>
  <c r="H1841" i="1"/>
  <c r="H1005" i="1"/>
  <c r="H578" i="1"/>
  <c r="H819" i="1"/>
  <c r="H1126" i="1"/>
  <c r="H563" i="1"/>
  <c r="H23" i="1"/>
  <c r="H1968" i="1"/>
  <c r="H1520" i="1"/>
  <c r="H443" i="1"/>
  <c r="H711" i="1"/>
  <c r="H924" i="1"/>
  <c r="H1074" i="1"/>
  <c r="H1356" i="1"/>
  <c r="H332" i="1"/>
  <c r="H556" i="1"/>
  <c r="H2" i="1"/>
  <c r="H867" i="1"/>
  <c r="H364" i="1"/>
  <c r="H1493" i="1"/>
  <c r="H1581" i="1"/>
  <c r="H887" i="1"/>
  <c r="H1977" i="1"/>
  <c r="H1212" i="1"/>
  <c r="H735" i="1"/>
  <c r="H905" i="1"/>
  <c r="H1058" i="1"/>
  <c r="H1685" i="1"/>
  <c r="H467" i="1"/>
  <c r="H854" i="1"/>
  <c r="H1177" i="1"/>
  <c r="H1282" i="1"/>
  <c r="H756" i="1"/>
  <c r="H88" i="1"/>
  <c r="H1260" i="1"/>
  <c r="H724" i="1"/>
  <c r="H431" i="1"/>
  <c r="H685" i="1"/>
  <c r="H212" i="1"/>
  <c r="H1341" i="1"/>
  <c r="H1512" i="1"/>
  <c r="H154" i="1"/>
  <c r="H582" i="1"/>
  <c r="H278" i="1"/>
  <c r="H1904" i="1"/>
  <c r="H8" i="1"/>
  <c r="H804" i="1"/>
  <c r="H990" i="1"/>
  <c r="H90" i="1"/>
  <c r="H1838" i="1"/>
  <c r="H540" i="1"/>
  <c r="H1960" i="1"/>
  <c r="H1947" i="1"/>
  <c r="H1340" i="1"/>
  <c r="H817" i="1"/>
  <c r="H580" i="1"/>
  <c r="H1336" i="1"/>
  <c r="H1486" i="1"/>
  <c r="H1119" i="1"/>
  <c r="H349" i="1"/>
  <c r="H913" i="1"/>
  <c r="H327" i="1"/>
  <c r="H46" i="1"/>
  <c r="H1633" i="1"/>
  <c r="H111" i="1"/>
  <c r="H1422" i="1"/>
  <c r="H1413" i="1"/>
  <c r="H38" i="1"/>
  <c r="H177" i="1"/>
  <c r="H1933" i="1"/>
  <c r="H1162" i="1"/>
  <c r="H885" i="1"/>
  <c r="H395" i="1"/>
  <c r="H1778" i="1"/>
  <c r="H1123" i="1"/>
  <c r="H1836" i="1"/>
  <c r="H1643" i="1"/>
  <c r="H882" i="1"/>
  <c r="H1514" i="1"/>
  <c r="H1818" i="1"/>
  <c r="H904" i="1"/>
  <c r="H1548" i="1"/>
  <c r="H1395" i="1"/>
  <c r="H1684" i="1"/>
  <c r="H179" i="1"/>
  <c r="H528" i="1"/>
  <c r="H1315" i="1"/>
  <c r="H256" i="1"/>
  <c r="H85" i="1"/>
  <c r="H591" i="1"/>
  <c r="H65" i="1"/>
  <c r="H1579" i="1"/>
  <c r="H1853" i="1"/>
  <c r="H653" i="1"/>
  <c r="H1333" i="1"/>
  <c r="H687" i="1"/>
  <c r="H1138" i="1"/>
  <c r="H361" i="1"/>
  <c r="H646" i="1"/>
  <c r="H149" i="1"/>
  <c r="H1927" i="1"/>
  <c r="H311" i="1"/>
  <c r="H1563" i="1"/>
  <c r="H310" i="1"/>
  <c r="H517" i="1"/>
  <c r="H1470" i="1"/>
  <c r="H1262" i="1"/>
  <c r="H1651" i="1"/>
  <c r="H934" i="1"/>
  <c r="H1516" i="1"/>
  <c r="H108" i="1"/>
  <c r="H385" i="1"/>
  <c r="H1948" i="1"/>
  <c r="H1398" i="1"/>
  <c r="H690" i="1"/>
  <c r="H1883" i="1"/>
  <c r="H315" i="1"/>
  <c r="H1235" i="1"/>
  <c r="H1070" i="1"/>
  <c r="H1686" i="1"/>
  <c r="H1880" i="1"/>
  <c r="H722" i="1"/>
  <c r="H1357" i="1"/>
  <c r="H454" i="1"/>
  <c r="H328" i="1"/>
  <c r="H138" i="1"/>
  <c r="H1959" i="1"/>
  <c r="H736" i="1"/>
  <c r="H587" i="1"/>
  <c r="H718" i="1"/>
  <c r="H1961" i="1"/>
  <c r="H1577" i="1"/>
  <c r="H1536" i="1"/>
  <c r="H267" i="1"/>
  <c r="H450" i="1"/>
  <c r="H1969" i="1"/>
  <c r="H610" i="1"/>
  <c r="H1436" i="1"/>
  <c r="H1037" i="1"/>
  <c r="H1404" i="1"/>
  <c r="H189" i="1"/>
  <c r="H1850" i="1"/>
  <c r="H696" i="1"/>
  <c r="H99" i="1"/>
  <c r="H640" i="1"/>
  <c r="H1468" i="1"/>
  <c r="H397" i="1"/>
  <c r="H592" i="1"/>
  <c r="H1289" i="1"/>
  <c r="H1515" i="1"/>
  <c r="H1361" i="1"/>
  <c r="H135" i="1"/>
  <c r="H79" i="1"/>
  <c r="H193" i="1"/>
  <c r="H1223" i="1"/>
  <c r="H1645" i="1"/>
  <c r="H1442" i="1"/>
  <c r="H1266" i="1"/>
  <c r="H1425" i="1"/>
  <c r="H961" i="1"/>
  <c r="H1828" i="1"/>
  <c r="H1013" i="1"/>
  <c r="H1606" i="1"/>
  <c r="H465" i="1"/>
  <c r="H263" i="1"/>
  <c r="H1729" i="1"/>
  <c r="H1754" i="1"/>
  <c r="H1280" i="1"/>
  <c r="H983" i="1"/>
  <c r="H1397" i="1"/>
  <c r="H1053" i="1"/>
  <c r="H1689" i="1"/>
  <c r="H1367" i="1"/>
  <c r="H1109" i="1"/>
  <c r="H1348" i="1"/>
  <c r="H1875" i="1"/>
  <c r="H1752" i="1"/>
  <c r="H314" i="1"/>
  <c r="H1471" i="1"/>
  <c r="H1820" i="1"/>
  <c r="H996" i="1"/>
  <c r="H171" i="1"/>
  <c r="H767" i="1"/>
  <c r="H1813" i="1"/>
  <c r="H1721" i="1"/>
  <c r="H858" i="1"/>
  <c r="H1286" i="1"/>
  <c r="H576" i="1"/>
  <c r="H216" i="1"/>
  <c r="H779" i="1"/>
  <c r="H1886" i="1"/>
  <c r="H1555" i="1"/>
  <c r="H1717" i="1"/>
  <c r="H1478" i="1"/>
  <c r="H251" i="1"/>
  <c r="H84" i="1"/>
  <c r="H900" i="1"/>
  <c r="H1259" i="1"/>
  <c r="H1567" i="1"/>
  <c r="H291" i="1"/>
  <c r="H1322" i="1"/>
  <c r="H1133" i="1"/>
  <c r="H264" i="1"/>
  <c r="H1008" i="1"/>
  <c r="H422" i="1"/>
  <c r="H1459" i="1"/>
  <c r="H1580" i="1"/>
  <c r="H1872" i="1"/>
  <c r="H360" i="1"/>
  <c r="H1808" i="1"/>
  <c r="H1657" i="1"/>
  <c r="H1698" i="1"/>
  <c r="H1677" i="1"/>
  <c r="H1501" i="1"/>
  <c r="H1201" i="1"/>
  <c r="H252" i="1"/>
  <c r="H52" i="1"/>
  <c r="H150" i="1"/>
  <c r="H293" i="1"/>
  <c r="H1143" i="1"/>
  <c r="H455" i="1"/>
  <c r="H586" i="1"/>
  <c r="H784" i="1"/>
  <c r="H1589" i="1"/>
  <c r="H1150" i="1"/>
  <c r="H185" i="1"/>
  <c r="H1291" i="1"/>
  <c r="H487" i="1"/>
  <c r="H766" i="1"/>
  <c r="H1874" i="1"/>
  <c r="H955" i="1"/>
  <c r="H1584" i="1"/>
  <c r="H1307" i="1"/>
  <c r="H419" i="1"/>
  <c r="H564" i="1"/>
  <c r="H1946" i="1"/>
  <c r="H1321" i="1"/>
  <c r="H1480" i="1"/>
  <c r="H430" i="1"/>
  <c r="H1550" i="1"/>
  <c r="H1481" i="1"/>
  <c r="H1539" i="1"/>
  <c r="H1499" i="1"/>
  <c r="H1776" i="1"/>
  <c r="H1572" i="1"/>
  <c r="H1186" i="1"/>
  <c r="H1740" i="1"/>
  <c r="H886" i="1"/>
  <c r="H1407" i="1"/>
  <c r="H100" i="1"/>
  <c r="H274" i="1"/>
  <c r="H1889" i="1"/>
  <c r="H1116" i="1"/>
  <c r="H681" i="1"/>
  <c r="H1101" i="1"/>
  <c r="H1900" i="1"/>
  <c r="H605" i="1"/>
  <c r="H153" i="1"/>
  <c r="H923" i="1"/>
  <c r="H506" i="1"/>
  <c r="H389" i="1"/>
  <c r="H1449" i="1"/>
  <c r="H1544" i="1"/>
  <c r="H608" i="1"/>
  <c r="H801" i="1"/>
  <c r="H356" i="1"/>
  <c r="H1525" i="1"/>
  <c r="H806" i="1"/>
  <c r="H351" i="1"/>
  <c r="H1915" i="1"/>
  <c r="H213" i="1"/>
  <c r="H1755" i="1"/>
  <c r="H1330" i="1"/>
  <c r="H1679" i="1"/>
  <c r="H1564" i="1"/>
  <c r="H1323" i="1"/>
  <c r="H1232" i="1"/>
  <c r="H1797" i="1"/>
  <c r="H203" i="1"/>
  <c r="H63" i="1"/>
  <c r="H1737" i="1"/>
  <c r="H596" i="1"/>
  <c r="H321" i="1"/>
  <c r="H367" i="1"/>
  <c r="H1004" i="1"/>
  <c r="H833" i="1"/>
  <c r="H183" i="1"/>
  <c r="H77" i="1"/>
  <c r="H521" i="1"/>
  <c r="H1294" i="1"/>
  <c r="H865" i="1"/>
  <c r="H994" i="1"/>
  <c r="H970" i="1"/>
  <c r="H1021" i="1"/>
  <c r="H1625" i="1"/>
  <c r="H630" i="1"/>
  <c r="H113" i="1"/>
  <c r="H1154" i="1"/>
  <c r="H663" i="1"/>
  <c r="H114" i="1"/>
  <c r="H350" i="1"/>
  <c r="H1405" i="1"/>
  <c r="H1278" i="1"/>
  <c r="H1379" i="1"/>
  <c r="H116" i="1"/>
  <c r="H471" i="1"/>
  <c r="H765" i="1"/>
  <c r="H1202" i="1"/>
  <c r="H1503" i="1"/>
  <c r="H75" i="1"/>
  <c r="H374" i="1"/>
  <c r="H1774" i="1"/>
  <c r="H525" i="1"/>
  <c r="H984" i="1"/>
  <c r="H337" i="1"/>
  <c r="H838" i="1"/>
  <c r="H1346" i="1"/>
  <c r="H1897" i="1"/>
  <c r="H1908" i="1"/>
  <c r="H814" i="1"/>
  <c r="H1363" i="1"/>
  <c r="H117" i="1"/>
  <c r="H1902" i="1"/>
  <c r="H130" i="1"/>
  <c r="H821" i="1"/>
  <c r="H272" i="1"/>
  <c r="H652" i="1"/>
  <c r="H604" i="1"/>
  <c r="H611" i="1"/>
  <c r="H1787" i="1"/>
  <c r="H4" i="1"/>
  <c r="H1156" i="1"/>
  <c r="H548" i="1"/>
  <c r="H1526" i="1"/>
  <c r="H436" i="1"/>
  <c r="H915" i="1"/>
  <c r="H1761" i="1"/>
  <c r="H369" i="1"/>
  <c r="H645" i="1"/>
  <c r="H717" i="1"/>
  <c r="H1031" i="1"/>
  <c r="H1775" i="1"/>
  <c r="H1094" i="1"/>
  <c r="H1221" i="1"/>
  <c r="H1274" i="1"/>
  <c r="H601" i="1"/>
  <c r="H1571" i="1"/>
  <c r="H237" i="1"/>
  <c r="H1371" i="1"/>
  <c r="H1561" i="1"/>
  <c r="H870" i="1"/>
  <c r="H101" i="1"/>
  <c r="H1219" i="1"/>
  <c r="H1105" i="1"/>
  <c r="H20" i="1"/>
  <c r="H1931" i="1"/>
  <c r="H860" i="1"/>
  <c r="H1747" i="1"/>
  <c r="H435" i="1"/>
  <c r="H1866" i="1"/>
  <c r="H1213" i="1"/>
  <c r="H1627" i="1"/>
  <c r="H1420" i="1"/>
  <c r="H1913" i="1"/>
  <c r="H571" i="1"/>
  <c r="H433" i="1"/>
  <c r="H1690" i="1"/>
  <c r="H475" i="1"/>
  <c r="H451" i="1"/>
  <c r="H381" i="1"/>
  <c r="H308" i="1"/>
  <c r="H657" i="1"/>
  <c r="H1167" i="1"/>
  <c r="H62" i="1"/>
  <c r="H759" i="1"/>
  <c r="H307" i="1"/>
  <c r="H1519" i="1"/>
  <c r="H624" i="1"/>
  <c r="H1738" i="1"/>
  <c r="H336" i="1"/>
  <c r="H1534" i="1"/>
  <c r="H1832" i="1"/>
  <c r="H764" i="1"/>
  <c r="H1010" i="1"/>
  <c r="H1313" i="1"/>
  <c r="H812" i="1"/>
  <c r="H770" i="1"/>
  <c r="H47" i="1"/>
  <c r="H1502" i="1"/>
  <c r="H1076" i="1"/>
  <c r="H1347" i="1"/>
  <c r="H841" i="1"/>
  <c r="H1015" i="1"/>
  <c r="H783" i="1"/>
  <c r="H1152" i="1"/>
  <c r="H445" i="1"/>
  <c r="H1508" i="1"/>
  <c r="H1460" i="1"/>
  <c r="H993" i="1"/>
  <c r="H1121" i="1"/>
  <c r="H1029" i="1"/>
  <c r="H1164" i="1"/>
  <c r="H1003" i="1"/>
  <c r="H1128" i="1"/>
  <c r="H441" i="1"/>
  <c r="H1343" i="1"/>
  <c r="H1467" i="1"/>
  <c r="H748" i="1"/>
  <c r="H1814" i="1"/>
  <c r="H1653" i="1"/>
  <c r="H1663" i="1"/>
  <c r="H826" i="1"/>
  <c r="H507" i="1"/>
  <c r="H1856" i="1"/>
  <c r="H1311" i="1"/>
  <c r="H76" i="1"/>
  <c r="H1392" i="1"/>
  <c r="H1600" i="1"/>
  <c r="H762" i="1"/>
  <c r="H789" i="1"/>
  <c r="H1373" i="1"/>
  <c r="H1258" i="1"/>
  <c r="H372" i="1"/>
  <c r="H380" i="1"/>
  <c r="H682" i="1"/>
  <c r="H876" i="1"/>
  <c r="H627" i="1"/>
  <c r="H1433" i="1"/>
  <c r="H1217" i="1"/>
  <c r="H741" i="1"/>
  <c r="H33" i="1"/>
  <c r="H346" i="1"/>
  <c r="H753" i="1"/>
  <c r="H133" i="1"/>
  <c r="H721" i="1"/>
  <c r="H1911" i="1"/>
  <c r="H320" i="1"/>
  <c r="H787" i="1"/>
  <c r="H553" i="1"/>
  <c r="H319" i="1"/>
  <c r="H952" i="1"/>
  <c r="H1919" i="1"/>
  <c r="H1012" i="1"/>
  <c r="H1171" i="1"/>
  <c r="H1375" i="1"/>
  <c r="H1922" i="1"/>
  <c r="H559" i="1"/>
  <c r="H880" i="1"/>
  <c r="H1069" i="1"/>
  <c r="H1753" i="1"/>
  <c r="H510" i="1"/>
  <c r="H791" i="1"/>
  <c r="H1857" i="1"/>
  <c r="H857" i="1"/>
  <c r="H669" i="1"/>
  <c r="H921" i="1"/>
  <c r="H656" i="1"/>
  <c r="H1365" i="1"/>
  <c r="H1385" i="1"/>
  <c r="H1484" i="1"/>
  <c r="H74" i="1"/>
  <c r="H1795" i="1"/>
  <c r="H744" i="1"/>
  <c r="H1757" i="1"/>
  <c r="H201" i="1"/>
  <c r="H694" i="1"/>
  <c r="H1531" i="1"/>
  <c r="H618" i="1"/>
  <c r="H928" i="1"/>
  <c r="H609" i="1"/>
  <c r="H1475" i="1"/>
  <c r="H45" i="1"/>
  <c r="H902" i="1"/>
  <c r="H1386" i="1"/>
  <c r="H224" i="1"/>
  <c r="H1228" i="1"/>
  <c r="H621" i="1"/>
  <c r="H1727" i="1"/>
  <c r="H931" i="1"/>
  <c r="H98" i="1"/>
  <c r="H942" i="1"/>
  <c r="H803" i="1"/>
  <c r="H362" i="1"/>
  <c r="H355" i="1"/>
  <c r="H1327" i="1"/>
  <c r="H828" i="1"/>
  <c r="H258" i="1"/>
  <c r="H1527" i="1"/>
  <c r="H186" i="1"/>
  <c r="H677" i="1"/>
  <c r="H647" i="1"/>
  <c r="H1454" i="1"/>
  <c r="H253" i="1"/>
  <c r="H377" i="1"/>
  <c r="H1528" i="1"/>
  <c r="H1389" i="1"/>
  <c r="H1543" i="1"/>
  <c r="H1169" i="1"/>
  <c r="H273" i="1"/>
  <c r="H1170" i="1"/>
  <c r="H794" i="1"/>
  <c r="H230" i="1"/>
  <c r="H1506" i="1"/>
  <c r="H809" i="1"/>
  <c r="H1127" i="1"/>
  <c r="H66" i="1"/>
  <c r="H1419" i="1"/>
  <c r="H749" i="1"/>
  <c r="H1165" i="1"/>
  <c r="H1517" i="1"/>
  <c r="H1929" i="1"/>
  <c r="H959" i="1"/>
  <c r="H1545" i="1"/>
  <c r="H43" i="1"/>
  <c r="H560" i="1"/>
  <c r="H847" i="1"/>
  <c r="H1746" i="1"/>
  <c r="H1758" i="1"/>
  <c r="H1500" i="1"/>
  <c r="H491" i="1"/>
  <c r="H36" i="1"/>
  <c r="H1521" i="1"/>
  <c r="H933" i="1"/>
  <c r="H1355" i="1"/>
  <c r="H800" i="1"/>
  <c r="H701" i="1"/>
  <c r="H892" i="1"/>
  <c r="H1817" i="1"/>
  <c r="H573" i="1"/>
  <c r="H649" i="1"/>
  <c r="H1745" i="1"/>
  <c r="H1209" i="1"/>
  <c r="H941" i="1"/>
  <c r="H1720" i="1"/>
  <c r="H54" i="1"/>
  <c r="H1244" i="1"/>
  <c r="H145" i="1"/>
  <c r="H1522" i="1"/>
  <c r="H1845" i="1"/>
  <c r="H951" i="1"/>
  <c r="H477" i="1"/>
  <c r="H464" i="1"/>
  <c r="H752" i="1"/>
  <c r="H1207" i="1"/>
  <c r="H1590" i="1"/>
  <c r="H482" i="1"/>
  <c r="H444" i="1"/>
  <c r="H1175" i="1"/>
  <c r="H1181" i="1"/>
  <c r="H1482" i="1"/>
  <c r="H815" i="1"/>
  <c r="H1535" i="1"/>
  <c r="H1084" i="1"/>
  <c r="H1596" i="1"/>
  <c r="H501" i="1"/>
  <c r="H511" i="1"/>
  <c r="H524" i="1"/>
  <c r="H1646" i="1"/>
  <c r="H746" i="1"/>
  <c r="H1457" i="1"/>
  <c r="H606" i="1"/>
  <c r="H1464" i="1"/>
  <c r="H1239" i="1"/>
  <c r="H1783" i="1"/>
  <c r="H492" i="1"/>
  <c r="H468" i="1"/>
  <c r="H269" i="1"/>
  <c r="H118" i="1"/>
  <c r="H1238" i="1"/>
  <c r="H249" i="1"/>
  <c r="H1065" i="1"/>
  <c r="H1310" i="1"/>
  <c r="H713" i="1"/>
  <c r="H978" i="1"/>
  <c r="H932" i="1"/>
  <c r="H1716" i="1"/>
  <c r="H1066" i="1"/>
  <c r="H161" i="1"/>
  <c r="H877" i="1"/>
  <c r="H1888" i="1"/>
  <c r="H1096" i="1"/>
  <c r="H620" i="1"/>
  <c r="H1798" i="1"/>
  <c r="H371" i="1"/>
  <c r="H89" i="1"/>
  <c r="H425" i="1"/>
  <c r="H1609" i="1"/>
  <c r="H1255" i="1"/>
  <c r="H504" i="1"/>
  <c r="H226" i="1"/>
  <c r="H805" i="1"/>
  <c r="H191" i="1"/>
  <c r="H997" i="1"/>
  <c r="H678" i="1"/>
  <c r="H1441" i="1"/>
  <c r="H498" i="1"/>
  <c r="H313" i="1"/>
  <c r="H716" i="1"/>
  <c r="H1338" i="1"/>
  <c r="H1762" i="1"/>
  <c r="H940" i="1"/>
  <c r="H174" i="1"/>
  <c r="H1899" i="1"/>
  <c r="H69" i="1"/>
  <c r="H227" i="1"/>
  <c r="H1680" i="1"/>
  <c r="H394" i="1"/>
  <c r="H1302" i="1"/>
  <c r="H873" i="1"/>
  <c r="H1770" i="1"/>
  <c r="H166" i="1"/>
  <c r="H939" i="1"/>
  <c r="H666" i="1"/>
  <c r="H1073" i="1"/>
  <c r="H17" i="1"/>
  <c r="H1050" i="1"/>
  <c r="H1634" i="1"/>
  <c r="H1599" i="1"/>
  <c r="H136" i="1"/>
  <c r="H868" i="1"/>
  <c r="H304" i="1"/>
  <c r="H1432" i="1"/>
  <c r="H503" i="1"/>
  <c r="H739" i="1"/>
  <c r="H1683" i="1"/>
  <c r="H266" i="1"/>
  <c r="H500" i="1"/>
  <c r="H585" i="1"/>
  <c r="H889" i="1"/>
  <c r="H1275" i="1"/>
  <c r="H1479" i="1"/>
  <c r="H1616" i="1"/>
  <c r="H802" i="1"/>
  <c r="H1089" i="1"/>
  <c r="H732" i="1"/>
  <c r="H1088" i="1"/>
  <c r="H406" i="1"/>
  <c r="H1190" i="1"/>
  <c r="H1320" i="1"/>
  <c r="H1241" i="1"/>
  <c r="H404" i="1"/>
  <c r="H836" i="1"/>
  <c r="H964" i="1"/>
  <c r="H1547" i="1"/>
  <c r="H960" i="1"/>
  <c r="H1098" i="1"/>
  <c r="H856" i="1"/>
  <c r="H139" i="1"/>
  <c r="H333" i="1"/>
  <c r="H1779" i="1"/>
  <c r="H32" i="1"/>
  <c r="H1695" i="1"/>
  <c r="H1524" i="1"/>
  <c r="H965" i="1"/>
  <c r="H1554" i="1"/>
  <c r="H396" i="1"/>
  <c r="H977" i="1"/>
  <c r="H1691" i="1"/>
  <c r="H1195" i="1"/>
  <c r="H615" i="1"/>
  <c r="H460" i="1"/>
  <c r="H1146" i="1"/>
  <c r="H1108" i="1"/>
  <c r="H986" i="1"/>
  <c r="H401" i="1"/>
  <c r="H1384" i="1"/>
  <c r="H121" i="1"/>
  <c r="H600" i="1"/>
  <c r="H1510" i="1"/>
  <c r="H1166" i="1"/>
  <c r="H850" i="1"/>
  <c r="H944" i="1"/>
  <c r="H120" i="1"/>
  <c r="H1673" i="1"/>
  <c r="H1598" i="1"/>
  <c r="H1178" i="1"/>
  <c r="H1231" i="1"/>
  <c r="H595" i="1"/>
  <c r="H312" i="1"/>
  <c r="H1942" i="1"/>
  <c r="H607" i="1"/>
  <c r="H954" i="1"/>
  <c r="H671" i="1"/>
  <c r="H1063" i="1"/>
  <c r="H1562" i="1"/>
  <c r="H175" i="1"/>
  <c r="H916" i="1"/>
  <c r="H424" i="1"/>
  <c r="H1708" i="1"/>
  <c r="H176" i="1"/>
  <c r="H1917" i="1"/>
  <c r="H1759" i="1"/>
  <c r="H1629" i="1"/>
  <c r="H1538" i="1"/>
  <c r="H976" i="1"/>
  <c r="H1909" i="1"/>
  <c r="H513" i="1"/>
  <c r="H689" i="1"/>
  <c r="H772" i="1"/>
  <c r="H1061" i="1"/>
  <c r="H698" i="1"/>
  <c r="H851" i="1"/>
  <c r="H1496" i="1"/>
  <c r="H597" i="1"/>
  <c r="H1846" i="1"/>
  <c r="H1429" i="1"/>
  <c r="H662" i="1"/>
  <c r="H1081" i="1"/>
  <c r="H1847" i="1"/>
  <c r="H234" i="1"/>
  <c r="H1000" i="1"/>
  <c r="H636" i="1"/>
  <c r="H429" i="1"/>
  <c r="H642" i="1"/>
  <c r="H1112" i="1"/>
  <c r="H512" i="1"/>
  <c r="H427" i="1"/>
  <c r="H593" i="1"/>
  <c r="H1858" i="1"/>
  <c r="H1075" i="1"/>
  <c r="H1095" i="1"/>
  <c r="H1252" i="1"/>
  <c r="H1785" i="1"/>
  <c r="H523" i="1"/>
  <c r="H962" i="1"/>
  <c r="H1452" i="1"/>
  <c r="H331" i="1"/>
  <c r="H21" i="1"/>
  <c r="H834" i="1"/>
  <c r="H1039" i="1"/>
  <c r="H1566" i="1"/>
  <c r="H284" i="1"/>
  <c r="H538" i="1"/>
  <c r="H926" i="1"/>
  <c r="H218" i="1"/>
  <c r="H1877" i="1"/>
  <c r="H383" i="1"/>
  <c r="H1174" i="1"/>
  <c r="H807" i="1"/>
  <c r="H956" i="1"/>
  <c r="H345" i="1"/>
  <c r="H316" i="1"/>
  <c r="H1051" i="1"/>
  <c r="H1234" i="1"/>
  <c r="H192" i="1"/>
  <c r="H1390" i="1"/>
  <c r="H1240" i="1"/>
  <c r="H896" i="1"/>
  <c r="H146" i="1"/>
  <c r="H56" i="1"/>
  <c r="H81" i="1"/>
  <c r="H1925" i="1"/>
  <c r="H639" i="1"/>
  <c r="H1335" i="1"/>
  <c r="H459" i="1"/>
  <c r="H848" i="1"/>
  <c r="H462" i="1"/>
  <c r="H1576" i="1"/>
  <c r="H1227" i="1"/>
  <c r="H516" i="1"/>
  <c r="H1040" i="1"/>
  <c r="H859" i="1"/>
  <c r="H1299" i="1"/>
  <c r="H818" i="1"/>
  <c r="H670" i="1"/>
  <c r="H469" i="1"/>
  <c r="H989" i="1"/>
  <c r="H281" i="1"/>
  <c r="H1800" i="1"/>
  <c r="H1242" i="1"/>
  <c r="H1210" i="1"/>
  <c r="H1750" i="1"/>
  <c r="H248" i="1"/>
  <c r="H790" i="1"/>
  <c r="H1487" i="1"/>
  <c r="H693" i="1"/>
  <c r="H1790" i="1"/>
  <c r="H1781" i="1"/>
  <c r="H1876" i="1"/>
  <c r="H918" i="1"/>
  <c r="H204" i="1"/>
  <c r="H1400" i="1"/>
  <c r="H727" i="1"/>
  <c r="H508" i="1"/>
  <c r="H87" i="1"/>
  <c r="H725" i="1"/>
  <c r="H1401" i="1"/>
  <c r="H1489" i="1"/>
  <c r="H1157" i="1"/>
  <c r="H519" i="1"/>
  <c r="H1715" i="1"/>
  <c r="H1578" i="1"/>
  <c r="H1032" i="1"/>
  <c r="H207" i="1"/>
  <c r="H1771" i="1"/>
  <c r="H1319" i="1"/>
  <c r="H706" i="1"/>
  <c r="H1334" i="1"/>
  <c r="H1025" i="1"/>
  <c r="H655" i="1"/>
  <c r="H110" i="1"/>
  <c r="H894" i="1"/>
  <c r="H665" i="1"/>
  <c r="H526" i="1"/>
  <c r="H1722" i="1"/>
  <c r="H1495" i="1"/>
  <c r="H1308" i="1"/>
  <c r="H1476" i="1"/>
  <c r="H1769" i="1"/>
  <c r="H552" i="1"/>
  <c r="H238" i="1"/>
  <c r="H250" i="1"/>
  <c r="H1134" i="1"/>
  <c r="H674" i="1"/>
  <c r="H1765" i="1"/>
  <c r="H632" i="1"/>
  <c r="H979" i="1"/>
  <c r="H488" i="1"/>
  <c r="H1237" i="1"/>
  <c r="H160" i="1"/>
  <c r="H1100" i="1"/>
  <c r="H598" i="1"/>
  <c r="H908" i="1"/>
  <c r="H80" i="1"/>
  <c r="H673" i="1"/>
  <c r="H985" i="1"/>
  <c r="H1097" i="1"/>
  <c r="H1370" i="1"/>
  <c r="H1332" i="1"/>
  <c r="H589" i="1"/>
  <c r="H1309" i="1"/>
  <c r="H849" i="1"/>
  <c r="H479" i="1"/>
  <c r="H958" i="1"/>
  <c r="H1507" i="1"/>
  <c r="H1312" i="1"/>
  <c r="H1211" i="1"/>
  <c r="H1033" i="1"/>
  <c r="H1009" i="1"/>
  <c r="H416" i="1"/>
  <c r="H879" i="1"/>
  <c r="H957" i="1"/>
  <c r="H712" i="1"/>
  <c r="H1295" i="1"/>
  <c r="H1007" i="1"/>
  <c r="H561" i="1"/>
  <c r="H728" i="1"/>
  <c r="H42" i="1"/>
  <c r="H151" i="1"/>
  <c r="H24" i="1"/>
  <c r="H777" i="1"/>
  <c r="H1981" i="1"/>
  <c r="H184" i="1"/>
  <c r="H375" i="1"/>
  <c r="H1868" i="1"/>
  <c r="H1380" i="1"/>
  <c r="H1305" i="1"/>
  <c r="H1891" i="1"/>
  <c r="H129" i="1"/>
  <c r="H1369" i="1"/>
  <c r="H1485" i="1"/>
  <c r="H340" i="1"/>
  <c r="H1077" i="1"/>
  <c r="H48" i="1"/>
  <c r="H1378" i="1"/>
  <c r="H245" i="1"/>
  <c r="H1276" i="1"/>
  <c r="H1049" i="1"/>
  <c r="H428" i="1"/>
  <c r="H484" i="1"/>
  <c r="H907" i="1"/>
  <c r="H1971" i="1"/>
  <c r="H974" i="1"/>
  <c r="H1823" i="1"/>
  <c r="H1393" i="1"/>
  <c r="H872" i="1"/>
  <c r="H1376" i="1"/>
  <c r="H768" i="1"/>
  <c r="H347" i="1"/>
  <c r="H577" i="1"/>
  <c r="H1767" i="1"/>
  <c r="H366" i="1"/>
  <c r="H1906" i="1"/>
  <c r="H143" i="1"/>
  <c r="H920" i="1"/>
  <c r="H405" i="1"/>
  <c r="H1532" i="1"/>
  <c r="H221" i="1"/>
  <c r="H903" i="1"/>
  <c r="H1199" i="1"/>
  <c r="H1734" i="1"/>
  <c r="H1353" i="1"/>
  <c r="H280" i="1"/>
  <c r="H163" i="1"/>
  <c r="H198" i="1"/>
  <c r="H1612" i="1"/>
  <c r="H219" i="1"/>
  <c r="H522" i="1"/>
  <c r="H1296" i="1"/>
  <c r="H1198" i="1"/>
  <c r="H588" i="1"/>
  <c r="H1861" i="1"/>
  <c r="H1394" i="1"/>
  <c r="H83" i="1"/>
  <c r="H122" i="1"/>
  <c r="H633" i="1"/>
  <c r="H104" i="1"/>
  <c r="H1623" i="1"/>
  <c r="H1107" i="1"/>
  <c r="H1408" i="1"/>
  <c r="H25" i="1"/>
  <c r="H1387" i="1"/>
  <c r="H357" i="1"/>
  <c r="H981" i="1"/>
  <c r="H309" i="1"/>
  <c r="H44" i="1"/>
  <c r="H1670" i="1"/>
  <c r="H1511" i="1"/>
  <c r="H1932" i="1"/>
  <c r="H1726" i="1"/>
  <c r="H1060" i="1"/>
  <c r="H1168" i="1"/>
  <c r="H1639" i="1"/>
  <c r="H776" i="1"/>
  <c r="H324" i="1"/>
  <c r="H798" i="1"/>
  <c r="H1011" i="1"/>
  <c r="H449" i="1"/>
  <c r="H432" i="1"/>
  <c r="H476" i="1"/>
  <c r="H211" i="1"/>
  <c r="H545" i="1"/>
  <c r="H453" i="1"/>
  <c r="H292" i="1"/>
  <c r="H533" i="1"/>
  <c r="H382" i="1"/>
  <c r="H1601" i="1"/>
  <c r="H844" i="1"/>
  <c r="H542" i="1"/>
  <c r="H745" i="1"/>
  <c r="H1756" i="1"/>
  <c r="H1597" i="1"/>
  <c r="H493" i="1"/>
  <c r="H1225" i="1"/>
  <c r="H305" i="1"/>
  <c r="H167" i="1"/>
  <c r="H1617" i="1"/>
  <c r="H1791" i="1"/>
  <c r="H1349" i="1"/>
  <c r="H1415" i="1"/>
  <c r="H788" i="1"/>
  <c r="H483" i="1"/>
  <c r="H480" i="1"/>
  <c r="H1273" i="1"/>
  <c r="H297" i="1"/>
  <c r="H842" i="1"/>
  <c r="H223" i="1"/>
  <c r="H403" i="1"/>
  <c r="H1246" i="1"/>
  <c r="H1518" i="1"/>
  <c r="H703" i="1"/>
  <c r="H562" i="1"/>
  <c r="H1588" i="1"/>
  <c r="H1546" i="1"/>
  <c r="H1835" i="1"/>
  <c r="H935" i="1"/>
  <c r="H1377" i="1"/>
  <c r="H1712" i="1"/>
  <c r="H1626" i="1"/>
  <c r="H220" i="1"/>
  <c r="H1381" i="1"/>
  <c r="H40" i="1"/>
  <c r="H137" i="1"/>
  <c r="H1632" i="1"/>
  <c r="H354" i="1"/>
  <c r="H1591" i="1"/>
  <c r="H1220" i="1"/>
  <c r="H1844" i="1"/>
  <c r="H1358" i="1"/>
  <c r="H1233" i="1"/>
  <c r="H1256" i="1"/>
  <c r="H969" i="1"/>
  <c r="H1667" i="1"/>
  <c r="H911" i="1"/>
  <c r="H897" i="1"/>
  <c r="H518" i="1"/>
  <c r="H1264" i="1"/>
  <c r="H1426" i="1"/>
  <c r="H1024" i="1"/>
  <c r="H943" i="1"/>
  <c r="H16" i="1"/>
  <c r="H300" i="1"/>
  <c r="H786" i="1"/>
  <c r="H927" i="1"/>
  <c r="H31" i="1"/>
  <c r="H947" i="1"/>
  <c r="H301" i="1"/>
  <c r="H1491" i="1"/>
  <c r="H392" i="1"/>
  <c r="H643" i="1"/>
  <c r="H19" i="1"/>
  <c r="H126" i="1"/>
  <c r="H180" i="1"/>
  <c r="H1878" i="1"/>
  <c r="H1676" i="1"/>
  <c r="H1439" i="1"/>
  <c r="H1284" i="1"/>
  <c r="H1093" i="1"/>
  <c r="H1635" i="1"/>
  <c r="H1637" i="1"/>
  <c r="H557" i="1"/>
  <c r="H125" i="1"/>
  <c r="H855" i="1"/>
  <c r="H680" i="1"/>
  <c r="H1145" i="1"/>
  <c r="H322" i="1"/>
  <c r="H795" i="1"/>
  <c r="H260" i="1"/>
  <c r="H67" i="1"/>
  <c r="H650" i="1"/>
  <c r="H771" i="1"/>
  <c r="H1602" i="1"/>
  <c r="H1456" i="1"/>
  <c r="H348" i="1"/>
  <c r="H912" i="1"/>
  <c r="H60" i="1"/>
  <c r="H1114" i="1"/>
  <c r="H261" i="1"/>
  <c r="H1265" i="1"/>
  <c r="H991" i="1"/>
  <c r="H1383" i="1"/>
  <c r="H1537" i="1"/>
  <c r="H1461" i="1"/>
  <c r="H616" i="1"/>
  <c r="H1573" i="1"/>
  <c r="H1090" i="1"/>
  <c r="H420" i="1"/>
  <c r="H853" i="1"/>
  <c r="H1205" i="1"/>
  <c r="H463" i="1"/>
  <c r="H737" i="1"/>
  <c r="H169" i="1"/>
  <c r="H584" i="1"/>
  <c r="H1887" i="1"/>
  <c r="H359" i="1"/>
  <c r="H1494" i="1"/>
  <c r="H30" i="1"/>
  <c r="H1236" i="1"/>
  <c r="H1249" i="1"/>
  <c r="H1388" i="1"/>
  <c r="H495" i="1"/>
  <c r="H1541" i="1"/>
  <c r="H148" i="1"/>
  <c r="H7" i="1"/>
  <c r="H1318" i="1"/>
  <c r="H1682" i="1"/>
  <c r="H831" i="1"/>
  <c r="H1110" i="1"/>
  <c r="H1079" i="1"/>
  <c r="H1621" i="1"/>
  <c r="H448" i="1"/>
  <c r="H1261" i="1"/>
  <c r="H1824" i="1"/>
  <c r="H1158" i="1"/>
  <c r="H1870" i="1"/>
  <c r="H303" i="1"/>
  <c r="H946" i="1"/>
  <c r="H1352" i="1"/>
  <c r="H659" i="1"/>
  <c r="H1741" i="1"/>
  <c r="H1505" i="1"/>
  <c r="H164" i="1"/>
  <c r="H141" i="1"/>
  <c r="H195" i="1"/>
  <c r="H368" i="1"/>
  <c r="H1057" i="1"/>
  <c r="H709" i="1"/>
  <c r="H658" i="1"/>
  <c r="H1453" i="1"/>
  <c r="H242" i="1"/>
  <c r="H413" i="1"/>
  <c r="H262" i="1"/>
  <c r="H1243" i="1"/>
  <c r="H279" i="1"/>
  <c r="H705" i="1"/>
  <c r="H187" i="1"/>
  <c r="H692" i="1"/>
  <c r="H948" i="1"/>
  <c r="H1072" i="1"/>
  <c r="H1743" i="1"/>
  <c r="H1583" i="1"/>
  <c r="H1873" i="1"/>
  <c r="H906" i="1"/>
  <c r="H57" i="1"/>
  <c r="H1245" i="1"/>
  <c r="H1402" i="1"/>
  <c r="H378" i="1"/>
  <c r="H363" i="1"/>
  <c r="H14" i="1"/>
  <c r="H1036" i="1"/>
  <c r="H852" i="1"/>
  <c r="H558" i="1"/>
  <c r="H1529" i="1"/>
  <c r="H1885" i="1"/>
  <c r="H813" i="1"/>
  <c r="H1020" i="1"/>
  <c r="H86" i="1"/>
  <c r="H1864" i="1"/>
  <c r="H909" i="1"/>
  <c r="H982" i="1"/>
  <c r="H1030" i="1"/>
  <c r="H418" i="1"/>
  <c r="H1111" i="1"/>
  <c r="H796" i="1"/>
  <c r="H704" i="1"/>
  <c r="H318" i="1"/>
  <c r="H514" i="1"/>
  <c r="H299" i="1"/>
  <c r="H1592" i="1"/>
  <c r="H1744" i="1"/>
  <c r="H715" i="1"/>
  <c r="H1087" i="1"/>
  <c r="H1342" i="1"/>
  <c r="H285" i="1"/>
  <c r="H1773" i="1"/>
  <c r="H845" i="1"/>
  <c r="H810" i="1"/>
  <c r="H527" i="1"/>
  <c r="H9" i="1"/>
  <c r="H458" i="1"/>
  <c r="H257" i="1"/>
  <c r="H536" i="1"/>
  <c r="H1263" i="1"/>
  <c r="H667" i="1"/>
  <c r="H1455" i="1"/>
  <c r="H1901" i="1"/>
  <c r="H398" i="1"/>
  <c r="H231" i="1"/>
  <c r="H1724" i="1"/>
  <c r="H883" i="1"/>
  <c r="H672" i="1"/>
  <c r="H1337" i="1"/>
  <c r="H1287" i="1"/>
  <c r="H774" i="1"/>
  <c r="H565" i="1"/>
  <c r="H1444" i="1"/>
  <c r="H295" i="1"/>
  <c r="H1619" i="1"/>
  <c r="H402" i="1"/>
  <c r="H254" i="1"/>
  <c r="H888" i="1"/>
  <c r="H1488" i="1"/>
  <c r="H1414" i="1"/>
  <c r="H546" i="1"/>
  <c r="H980" i="1"/>
  <c r="H478" i="1"/>
  <c r="H945" i="1"/>
  <c r="H881" i="1"/>
  <c r="H1222" i="1"/>
  <c r="H750" i="1"/>
  <c r="H283" i="1"/>
  <c r="H1440" i="1"/>
  <c r="H1382" i="1"/>
  <c r="H452" i="1"/>
  <c r="H612" i="1"/>
  <c r="H651" i="1"/>
  <c r="H1641" i="1"/>
  <c r="H1703" i="1"/>
  <c r="H837" i="1"/>
  <c r="H614" i="1"/>
  <c r="H569" i="1"/>
  <c r="H861" i="1"/>
  <c r="H37" i="1"/>
  <c r="H59" i="1"/>
  <c r="H1497" i="1"/>
  <c r="H1700" i="1"/>
  <c r="H1364" i="1"/>
  <c r="H233" i="1"/>
  <c r="H1016" i="1"/>
  <c r="H1553" i="1"/>
  <c r="H1399" i="1"/>
  <c r="H760" i="1"/>
  <c r="H1314" i="1"/>
  <c r="H1930" i="1"/>
  <c r="H930" i="1"/>
  <c r="H1301" i="1"/>
  <c r="H1595" i="1"/>
  <c r="H583" i="1"/>
  <c r="H1122" i="1"/>
  <c r="H1463" i="1"/>
  <c r="H335" i="1"/>
  <c r="H456" i="1"/>
  <c r="H1366" i="1"/>
  <c r="H1027" i="1"/>
  <c r="H1894" i="1"/>
  <c r="H393" i="1"/>
  <c r="H1607" i="1"/>
  <c r="H1155" i="1"/>
  <c r="H572" i="1"/>
  <c r="H417" i="1"/>
  <c r="H568" i="1"/>
  <c r="H679" i="1"/>
  <c r="H1028" i="1"/>
  <c r="H1492" i="1"/>
  <c r="H1044" i="1"/>
  <c r="H953" i="1"/>
  <c r="H1131" i="1"/>
  <c r="H1474" i="1"/>
  <c r="H1914" i="1"/>
  <c r="N12" i="1" l="1"/>
  <c r="N3" i="1"/>
  <c r="N8" i="1"/>
  <c r="N4" i="1"/>
  <c r="N11" i="1"/>
  <c r="N7" i="1"/>
  <c r="N10" i="1"/>
  <c r="N6" i="1"/>
  <c r="N9" i="1"/>
  <c r="N5" i="1"/>
</calcChain>
</file>

<file path=xl/comments1.xml><?xml version="1.0" encoding="utf-8"?>
<comments xmlns="http://schemas.openxmlformats.org/spreadsheetml/2006/main">
  <authors>
    <author>作者</author>
  </authors>
  <commentList>
    <comment ref="B2" authorId="0" shapeId="0">
      <text>
        <r>
          <rPr>
            <b/>
            <sz val="9"/>
            <color indexed="81"/>
            <rFont val="宋体"/>
            <family val="3"/>
            <charset val="134"/>
          </rPr>
          <t xml:space="preserve"> </t>
        </r>
      </text>
    </comment>
  </commentList>
</comments>
</file>

<file path=xl/sharedStrings.xml><?xml version="1.0" encoding="utf-8"?>
<sst xmlns="http://schemas.openxmlformats.org/spreadsheetml/2006/main" count="61" uniqueCount="60">
  <si>
    <t>均值</t>
    <phoneticPr fontId="5" type="noConversion"/>
  </si>
  <si>
    <t>频数个数</t>
    <phoneticPr fontId="5" type="noConversion"/>
  </si>
  <si>
    <t>标准差</t>
    <phoneticPr fontId="1" type="noConversion"/>
  </si>
  <si>
    <t>置信区间上限</t>
    <phoneticPr fontId="5" type="noConversion"/>
  </si>
  <si>
    <r>
      <rPr>
        <b/>
        <sz val="11"/>
        <rFont val="微软雅黑"/>
        <family val="2"/>
        <charset val="134"/>
      </rPr>
      <t>日期</t>
    </r>
    <phoneticPr fontId="5" type="noConversion"/>
  </si>
  <si>
    <r>
      <rPr>
        <b/>
        <sz val="11"/>
        <rFont val="微软雅黑"/>
        <family val="2"/>
        <charset val="134"/>
      </rPr>
      <t>收盘价</t>
    </r>
    <phoneticPr fontId="5" type="noConversion"/>
  </si>
  <si>
    <r>
      <rPr>
        <b/>
        <sz val="11"/>
        <rFont val="微软雅黑"/>
        <family val="2"/>
        <charset val="134"/>
      </rPr>
      <t>基差</t>
    </r>
    <phoneticPr fontId="5" type="noConversion"/>
  </si>
  <si>
    <t>均值</t>
    <phoneticPr fontId="5" type="noConversion"/>
  </si>
  <si>
    <t>置信区间下限</t>
    <phoneticPr fontId="5" type="noConversion"/>
  </si>
  <si>
    <t>当月连续00</t>
  </si>
  <si>
    <t>股指期货基差分析</t>
    <phoneticPr fontId="1" type="noConversion"/>
  </si>
  <si>
    <t>股指期货基差分析</t>
    <phoneticPr fontId="5" type="noConversion"/>
  </si>
  <si>
    <t>参数设定</t>
    <phoneticPr fontId="5" type="noConversion"/>
  </si>
  <si>
    <t>指数标的选择：</t>
    <phoneticPr fontId="1" type="noConversion"/>
  </si>
  <si>
    <t>置信水平:</t>
    <phoneticPr fontId="1" type="noConversion"/>
  </si>
  <si>
    <t>区间平分</t>
    <phoneticPr fontId="5" type="noConversion"/>
  </si>
  <si>
    <t>证券简称</t>
    <phoneticPr fontId="5" type="noConversion"/>
  </si>
  <si>
    <t>统计结果</t>
    <phoneticPr fontId="5" type="noConversion"/>
  </si>
  <si>
    <t>基差分布</t>
    <phoneticPr fontId="5" type="noConversion"/>
  </si>
  <si>
    <t>基差历史数据</t>
    <phoneticPr fontId="5" type="noConversion"/>
  </si>
  <si>
    <t>连续合约选择</t>
    <phoneticPr fontId="1" type="noConversion"/>
  </si>
  <si>
    <t>开始日期:</t>
    <phoneticPr fontId="1" type="noConversion"/>
  </si>
  <si>
    <t>截止日期:</t>
    <phoneticPr fontId="1" type="noConversion"/>
  </si>
  <si>
    <t>计数</t>
    <phoneticPr fontId="5" type="noConversion"/>
  </si>
  <si>
    <t>中位数位数</t>
    <phoneticPr fontId="5" type="noConversion"/>
  </si>
  <si>
    <t>中位数位值</t>
    <phoneticPr fontId="5" type="noConversion"/>
  </si>
  <si>
    <t>百分比计数位数</t>
    <phoneticPr fontId="5" type="noConversion"/>
  </si>
  <si>
    <t>百分比计数位值</t>
    <phoneticPr fontId="5" type="noConversion"/>
  </si>
  <si>
    <t>下水平位数</t>
    <phoneticPr fontId="5" type="noConversion"/>
  </si>
  <si>
    <t>下水平位值</t>
    <phoneticPr fontId="5" type="noConversion"/>
  </si>
  <si>
    <t>上水平位数</t>
    <phoneticPr fontId="5" type="noConversion"/>
  </si>
  <si>
    <t>下水平位值</t>
    <phoneticPr fontId="5" type="noConversion"/>
  </si>
  <si>
    <t>频数范围</t>
    <phoneticPr fontId="5" type="noConversion"/>
  </si>
  <si>
    <t>指数标的</t>
    <phoneticPr fontId="5" type="noConversion"/>
  </si>
  <si>
    <t>当月连续00</t>
    <phoneticPr fontId="5" type="noConversion"/>
  </si>
  <si>
    <t>下月连续01</t>
    <phoneticPr fontId="5" type="noConversion"/>
  </si>
  <si>
    <t>当季连续02</t>
    <phoneticPr fontId="5" type="noConversion"/>
  </si>
  <si>
    <t>下季连续03</t>
    <phoneticPr fontId="5" type="noConversion"/>
  </si>
  <si>
    <t>排序</t>
    <phoneticPr fontId="5" type="noConversion"/>
  </si>
  <si>
    <t>中证500</t>
  </si>
  <si>
    <t>000016.SH</t>
    <phoneticPr fontId="5" type="noConversion"/>
  </si>
  <si>
    <t>IH00.CFE</t>
    <phoneticPr fontId="5" type="noConversion"/>
  </si>
  <si>
    <t>IH01.CFE</t>
    <phoneticPr fontId="5" type="noConversion"/>
  </si>
  <si>
    <t>IH02.CFE</t>
    <phoneticPr fontId="5" type="noConversion"/>
  </si>
  <si>
    <t>IH03.CFE</t>
    <phoneticPr fontId="5" type="noConversion"/>
  </si>
  <si>
    <t>000300.SH</t>
    <phoneticPr fontId="5" type="noConversion"/>
  </si>
  <si>
    <t>IF00.CFE</t>
    <phoneticPr fontId="5" type="noConversion"/>
  </si>
  <si>
    <t>IF01.CFE</t>
    <phoneticPr fontId="5" type="noConversion"/>
  </si>
  <si>
    <t>IF02.CFE</t>
    <phoneticPr fontId="5" type="noConversion"/>
  </si>
  <si>
    <t>IF03.CFE</t>
    <phoneticPr fontId="5" type="noConversion"/>
  </si>
  <si>
    <t>000905.SH</t>
    <phoneticPr fontId="5" type="noConversion"/>
  </si>
  <si>
    <t>IC00.CFE</t>
    <phoneticPr fontId="5" type="noConversion"/>
  </si>
  <si>
    <t>IC01.CFE</t>
    <phoneticPr fontId="5" type="noConversion"/>
  </si>
  <si>
    <t>IC02.CFE</t>
    <phoneticPr fontId="5" type="noConversion"/>
  </si>
  <si>
    <t>IC03.CFE</t>
    <phoneticPr fontId="5" type="noConversion"/>
  </si>
  <si>
    <t>000852.SH</t>
    <phoneticPr fontId="5" type="noConversion"/>
  </si>
  <si>
    <t>IM00.CFE</t>
    <phoneticPr fontId="5" type="noConversion"/>
  </si>
  <si>
    <t>IM01.CFE</t>
    <phoneticPr fontId="5" type="noConversion"/>
  </si>
  <si>
    <t>IM02.CFE</t>
    <phoneticPr fontId="5" type="noConversion"/>
  </si>
  <si>
    <t>IM03.CFE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</si>
</sst>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3" formatCode="_ * #,##0.00_ ;_ * \-#,##0.00_ ;_ * &quot;-&quot;??_ ;_ @_ "/>
    <numFmt numFmtId="176" formatCode="yyyy\-mm\-dd"/>
    <numFmt numFmtId="177" formatCode="0.00_ "/>
    <numFmt numFmtId="178" formatCode="0.00_);[Red]\(0.00\)"/>
    <numFmt numFmtId="179" formatCode="0.00&quot;%&quot;"/>
    <numFmt numFmtId="180" formatCode="_ * #,##0.000_ ;_ * \-#,##0.000_ ;_ * &quot;-&quot;??_ ;_ @_ "/>
    <numFmt numFmtId="181" formatCode="_ * #,##0.0000_ ;_ * \-#,##0.0000_ ;_ * &quot;-&quot;??_ ;_ @_ "/>
  </numFmts>
  <fonts count="2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20"/>
      <color theme="0"/>
      <name val="微软雅黑"/>
      <family val="2"/>
      <charset val="134"/>
    </font>
    <font>
      <b/>
      <sz val="9"/>
      <color indexed="81"/>
      <name val="宋体"/>
      <family val="3"/>
      <charset val="134"/>
    </font>
    <font>
      <sz val="14"/>
      <color theme="1"/>
      <name val="等线"/>
      <family val="2"/>
      <scheme val="minor"/>
    </font>
    <font>
      <sz val="9"/>
      <name val="宋体"/>
      <family val="3"/>
      <charset val="134"/>
    </font>
    <font>
      <sz val="11"/>
      <name val="等线"/>
      <family val="2"/>
      <scheme val="minor"/>
    </font>
    <font>
      <b/>
      <sz val="11"/>
      <name val="微软雅黑"/>
      <family val="2"/>
      <charset val="134"/>
    </font>
    <font>
      <sz val="12"/>
      <color rgb="FF212121"/>
      <name val="Arial"/>
      <family val="2"/>
    </font>
    <font>
      <sz val="11"/>
      <color theme="1"/>
      <name val="Arial"/>
      <family val="2"/>
    </font>
    <font>
      <b/>
      <sz val="12"/>
      <color rgb="FF212121"/>
      <name val="微软雅黑"/>
      <family val="2"/>
      <charset val="134"/>
    </font>
    <font>
      <sz val="11"/>
      <color theme="1"/>
      <name val="等线"/>
      <family val="2"/>
      <scheme val="minor"/>
    </font>
    <font>
      <sz val="13"/>
      <name val="Calibri"/>
      <family val="2"/>
    </font>
    <font>
      <sz val="11"/>
      <color theme="1"/>
      <name val="微软雅黑"/>
      <family val="2"/>
      <charset val="134"/>
    </font>
    <font>
      <sz val="14"/>
      <color theme="1"/>
      <name val="Arial"/>
      <family val="2"/>
    </font>
    <font>
      <sz val="10"/>
      <color theme="1"/>
      <name val="微软雅黑"/>
      <family val="2"/>
      <charset val="134"/>
    </font>
    <font>
      <sz val="10"/>
      <color theme="1"/>
      <name val="Arial"/>
      <family val="2"/>
    </font>
    <font>
      <sz val="11"/>
      <color theme="0"/>
      <name val="等线"/>
      <family val="2"/>
      <scheme val="minor"/>
    </font>
    <font>
      <b/>
      <sz val="11"/>
      <color theme="0"/>
      <name val="微软雅黑"/>
      <family val="2"/>
      <charset val="134"/>
    </font>
    <font>
      <b/>
      <sz val="11"/>
      <color theme="0"/>
      <name val="等线"/>
      <family val="3"/>
      <charset val="134"/>
      <scheme val="minor"/>
    </font>
    <font>
      <sz val="11"/>
      <color theme="0"/>
      <name val="Arial"/>
      <family val="2"/>
    </font>
    <font>
      <sz val="11"/>
      <name val="微软雅黑"/>
      <family val="2"/>
      <charset val="134"/>
    </font>
  </fonts>
  <fills count="9">
    <fill>
      <patternFill patternType="none"/>
    </fill>
    <fill>
      <patternFill patternType="gray125"/>
    </fill>
    <fill>
      <patternFill patternType="solid">
        <fgColor rgb="FF63636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rgb="FFF4F4F4"/>
        <bgColor indexed="64"/>
      </patternFill>
    </fill>
    <fill>
      <patternFill patternType="solid">
        <fgColor rgb="FFE4C658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0" tint="-0.1499679555650502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</cellStyleXfs>
  <cellXfs count="47">
    <xf numFmtId="0" fontId="0" fillId="0" borderId="0" xfId="0"/>
    <xf numFmtId="0" fontId="6" fillId="0" borderId="0" xfId="0" applyFont="1"/>
    <xf numFmtId="178" fontId="0" fillId="0" borderId="0" xfId="0" applyNumberFormat="1"/>
    <xf numFmtId="178" fontId="4" fillId="0" borderId="0" xfId="0" applyNumberFormat="1" applyFont="1"/>
    <xf numFmtId="0" fontId="0" fillId="4" borderId="0" xfId="0" applyFill="1"/>
    <xf numFmtId="0" fontId="8" fillId="3" borderId="0" xfId="0" applyFont="1" applyFill="1" applyBorder="1" applyAlignment="1">
      <alignment horizontal="right"/>
    </xf>
    <xf numFmtId="0" fontId="8" fillId="5" borderId="0" xfId="0" applyFont="1" applyFill="1" applyBorder="1" applyAlignment="1">
      <alignment horizontal="right"/>
    </xf>
    <xf numFmtId="176" fontId="8" fillId="3" borderId="0" xfId="0" applyNumberFormat="1" applyFont="1" applyFill="1" applyBorder="1" applyAlignment="1">
      <alignment horizontal="right"/>
    </xf>
    <xf numFmtId="176" fontId="8" fillId="5" borderId="0" xfId="0" applyNumberFormat="1" applyFont="1" applyFill="1" applyBorder="1" applyAlignment="1">
      <alignment horizontal="right"/>
    </xf>
    <xf numFmtId="0" fontId="8" fillId="3" borderId="0" xfId="0" applyNumberFormat="1" applyFont="1" applyFill="1" applyBorder="1" applyAlignment="1">
      <alignment horizontal="right"/>
    </xf>
    <xf numFmtId="0" fontId="8" fillId="5" borderId="0" xfId="0" applyNumberFormat="1" applyFont="1" applyFill="1" applyBorder="1" applyAlignment="1">
      <alignment horizontal="right"/>
    </xf>
    <xf numFmtId="176" fontId="0" fillId="0" borderId="0" xfId="0" applyNumberFormat="1" applyAlignment="1">
      <alignment horizontal="right"/>
    </xf>
    <xf numFmtId="0" fontId="9" fillId="0" borderId="0" xfId="0" applyFont="1"/>
    <xf numFmtId="0" fontId="10" fillId="5" borderId="0" xfId="0" applyFont="1" applyFill="1" applyBorder="1" applyAlignment="1">
      <alignment horizontal="right"/>
    </xf>
    <xf numFmtId="176" fontId="10" fillId="5" borderId="0" xfId="0" applyNumberFormat="1" applyFont="1" applyFill="1" applyBorder="1" applyAlignment="1">
      <alignment horizontal="right"/>
    </xf>
    <xf numFmtId="0" fontId="10" fillId="5" borderId="0" xfId="0" applyNumberFormat="1" applyFont="1" applyFill="1" applyBorder="1" applyAlignment="1">
      <alignment horizontal="right"/>
    </xf>
    <xf numFmtId="0" fontId="4" fillId="0" borderId="0" xfId="0" applyNumberFormat="1" applyFont="1" applyAlignment="1"/>
    <xf numFmtId="0" fontId="0" fillId="3" borderId="0" xfId="0" applyFill="1"/>
    <xf numFmtId="0" fontId="12" fillId="0" borderId="0" xfId="0" applyFont="1" applyAlignment="1">
      <alignment horizontal="center" vertical="center"/>
    </xf>
    <xf numFmtId="0" fontId="13" fillId="2" borderId="0" xfId="0" applyFont="1" applyFill="1" applyAlignment="1"/>
    <xf numFmtId="0" fontId="13" fillId="4" borderId="0" xfId="0" applyFont="1" applyFill="1" applyBorder="1" applyAlignment="1"/>
    <xf numFmtId="0" fontId="7" fillId="3" borderId="2" xfId="0" applyFont="1" applyFill="1" applyBorder="1" applyAlignment="1">
      <alignment vertical="center"/>
    </xf>
    <xf numFmtId="10" fontId="14" fillId="6" borderId="0" xfId="2" applyNumberFormat="1" applyFont="1" applyFill="1" applyBorder="1" applyAlignment="1" applyProtection="1">
      <alignment horizontal="right"/>
      <protection locked="0"/>
    </xf>
    <xf numFmtId="176" fontId="14" fillId="6" borderId="0" xfId="2" applyNumberFormat="1" applyFont="1" applyFill="1" applyBorder="1" applyAlignment="1" applyProtection="1">
      <alignment horizontal="right"/>
      <protection locked="0"/>
    </xf>
    <xf numFmtId="176" fontId="7" fillId="3" borderId="1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vertical="center" wrapText="1"/>
    </xf>
    <xf numFmtId="0" fontId="7" fillId="3" borderId="2" xfId="0" applyFont="1" applyFill="1" applyBorder="1" applyAlignment="1">
      <alignment vertical="center" wrapText="1"/>
    </xf>
    <xf numFmtId="0" fontId="15" fillId="7" borderId="0" xfId="0" applyFont="1" applyFill="1" applyBorder="1" applyAlignment="1">
      <alignment horizontal="left"/>
    </xf>
    <xf numFmtId="176" fontId="15" fillId="5" borderId="0" xfId="0" applyNumberFormat="1" applyFont="1" applyFill="1" applyAlignment="1">
      <alignment horizontal="left"/>
    </xf>
    <xf numFmtId="0" fontId="15" fillId="7" borderId="0" xfId="0" applyFont="1" applyFill="1" applyBorder="1" applyAlignment="1">
      <alignment horizontal="right"/>
    </xf>
    <xf numFmtId="176" fontId="15" fillId="5" borderId="0" xfId="0" applyNumberFormat="1" applyFont="1" applyFill="1" applyAlignment="1">
      <alignment horizontal="right"/>
    </xf>
    <xf numFmtId="0" fontId="15" fillId="8" borderId="0" xfId="0" applyFont="1" applyFill="1" applyBorder="1" applyAlignment="1">
      <alignment horizontal="left"/>
    </xf>
    <xf numFmtId="179" fontId="15" fillId="8" borderId="0" xfId="0" applyNumberFormat="1" applyFont="1" applyFill="1" applyBorder="1"/>
    <xf numFmtId="0" fontId="16" fillId="3" borderId="3" xfId="0" applyFont="1" applyFill="1" applyBorder="1" applyAlignment="1">
      <alignment horizontal="right"/>
    </xf>
    <xf numFmtId="180" fontId="16" fillId="3" borderId="3" xfId="1" applyNumberFormat="1" applyFont="1" applyFill="1" applyBorder="1" applyAlignment="1">
      <alignment horizontal="right"/>
    </xf>
    <xf numFmtId="181" fontId="16" fillId="3" borderId="3" xfId="1" applyNumberFormat="1" applyFont="1" applyFill="1" applyBorder="1" applyAlignment="1">
      <alignment horizontal="right"/>
    </xf>
    <xf numFmtId="0" fontId="17" fillId="0" borderId="0" xfId="0" applyFont="1" applyBorder="1"/>
    <xf numFmtId="176" fontId="18" fillId="3" borderId="0" xfId="0" applyNumberFormat="1" applyFont="1" applyFill="1" applyBorder="1" applyAlignment="1">
      <alignment horizontal="center" vertical="center"/>
    </xf>
    <xf numFmtId="176" fontId="19" fillId="3" borderId="0" xfId="0" applyNumberFormat="1" applyFont="1" applyFill="1" applyBorder="1" applyAlignment="1">
      <alignment horizontal="center" vertical="center"/>
    </xf>
    <xf numFmtId="177" fontId="20" fillId="3" borderId="0" xfId="0" applyNumberFormat="1" applyFont="1" applyFill="1" applyBorder="1" applyAlignment="1">
      <alignment horizontal="center" vertical="center"/>
    </xf>
    <xf numFmtId="0" fontId="20" fillId="3" borderId="0" xfId="0" applyFont="1" applyFill="1" applyBorder="1" applyAlignment="1">
      <alignment vertical="center"/>
    </xf>
    <xf numFmtId="0" fontId="20" fillId="3" borderId="0" xfId="0" applyFont="1" applyFill="1" applyBorder="1" applyAlignment="1">
      <alignment horizontal="center" vertical="center"/>
    </xf>
    <xf numFmtId="0" fontId="20" fillId="3" borderId="0" xfId="0" applyFont="1" applyFill="1" applyBorder="1" applyAlignment="1">
      <alignment horizontal="right" vertical="center"/>
    </xf>
    <xf numFmtId="176" fontId="17" fillId="0" borderId="0" xfId="0" applyNumberFormat="1" applyFont="1" applyBorder="1" applyAlignment="1">
      <alignment horizontal="right"/>
    </xf>
    <xf numFmtId="176" fontId="21" fillId="3" borderId="1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</cellXfs>
  <cellStyles count="3">
    <cellStyle name="百分比" xfId="2" builtinId="5"/>
    <cellStyle name="常规" xfId="0" builtinId="0"/>
    <cellStyle name="千位分隔" xfId="1" builtinId="3"/>
  </cellStyles>
  <dxfs count="0"/>
  <tableStyles count="0" defaultTableStyle="TableStyleMedium2" defaultPivotStyle="PivotStyleLight16"/>
  <colors>
    <mruColors>
      <color rgb="FF6363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历史数据!$F$1</c:f>
              <c:strCache>
                <c:ptCount val="1"/>
                <c:pt idx="0">
                  <c:v>基差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历史数据!$B$2:$B$3390</c:f>
              <c:numCache>
                <c:formatCode>yyyy\-mm\-dd</c:formatCode>
                <c:ptCount val="3389"/>
                <c:pt idx="0">
                  <c:v>43467</c:v>
                </c:pt>
                <c:pt idx="1">
                  <c:v>43468</c:v>
                </c:pt>
                <c:pt idx="2">
                  <c:v>43469</c:v>
                </c:pt>
                <c:pt idx="3">
                  <c:v>43472</c:v>
                </c:pt>
                <c:pt idx="4">
                  <c:v>43473</c:v>
                </c:pt>
                <c:pt idx="5">
                  <c:v>43474</c:v>
                </c:pt>
                <c:pt idx="6">
                  <c:v>43475</c:v>
                </c:pt>
                <c:pt idx="7">
                  <c:v>43476</c:v>
                </c:pt>
                <c:pt idx="8">
                  <c:v>43479</c:v>
                </c:pt>
                <c:pt idx="9">
                  <c:v>43480</c:v>
                </c:pt>
                <c:pt idx="10">
                  <c:v>43481</c:v>
                </c:pt>
                <c:pt idx="11">
                  <c:v>43482</c:v>
                </c:pt>
                <c:pt idx="12">
                  <c:v>43483</c:v>
                </c:pt>
                <c:pt idx="13">
                  <c:v>43486</c:v>
                </c:pt>
                <c:pt idx="14">
                  <c:v>43487</c:v>
                </c:pt>
                <c:pt idx="15">
                  <c:v>43488</c:v>
                </c:pt>
                <c:pt idx="16">
                  <c:v>43489</c:v>
                </c:pt>
                <c:pt idx="17">
                  <c:v>43490</c:v>
                </c:pt>
                <c:pt idx="18">
                  <c:v>43493</c:v>
                </c:pt>
                <c:pt idx="19">
                  <c:v>43494</c:v>
                </c:pt>
                <c:pt idx="20">
                  <c:v>43495</c:v>
                </c:pt>
                <c:pt idx="21">
                  <c:v>43496</c:v>
                </c:pt>
                <c:pt idx="22">
                  <c:v>43497</c:v>
                </c:pt>
                <c:pt idx="23">
                  <c:v>43507</c:v>
                </c:pt>
                <c:pt idx="24">
                  <c:v>43508</c:v>
                </c:pt>
                <c:pt idx="25">
                  <c:v>43509</c:v>
                </c:pt>
                <c:pt idx="26">
                  <c:v>43510</c:v>
                </c:pt>
                <c:pt idx="27">
                  <c:v>43511</c:v>
                </c:pt>
                <c:pt idx="28">
                  <c:v>43514</c:v>
                </c:pt>
                <c:pt idx="29">
                  <c:v>43515</c:v>
                </c:pt>
                <c:pt idx="30">
                  <c:v>43516</c:v>
                </c:pt>
                <c:pt idx="31">
                  <c:v>43517</c:v>
                </c:pt>
                <c:pt idx="32">
                  <c:v>43518</c:v>
                </c:pt>
                <c:pt idx="33">
                  <c:v>43521</c:v>
                </c:pt>
                <c:pt idx="34">
                  <c:v>43522</c:v>
                </c:pt>
                <c:pt idx="35">
                  <c:v>43523</c:v>
                </c:pt>
                <c:pt idx="36">
                  <c:v>43524</c:v>
                </c:pt>
                <c:pt idx="37">
                  <c:v>43525</c:v>
                </c:pt>
                <c:pt idx="38">
                  <c:v>43528</c:v>
                </c:pt>
                <c:pt idx="39">
                  <c:v>43529</c:v>
                </c:pt>
                <c:pt idx="40">
                  <c:v>43530</c:v>
                </c:pt>
                <c:pt idx="41">
                  <c:v>43531</c:v>
                </c:pt>
                <c:pt idx="42">
                  <c:v>43532</c:v>
                </c:pt>
                <c:pt idx="43">
                  <c:v>43535</c:v>
                </c:pt>
                <c:pt idx="44">
                  <c:v>43536</c:v>
                </c:pt>
                <c:pt idx="45">
                  <c:v>43537</c:v>
                </c:pt>
                <c:pt idx="46">
                  <c:v>43538</c:v>
                </c:pt>
                <c:pt idx="47">
                  <c:v>43539</c:v>
                </c:pt>
                <c:pt idx="48">
                  <c:v>43542</c:v>
                </c:pt>
                <c:pt idx="49">
                  <c:v>43543</c:v>
                </c:pt>
                <c:pt idx="50">
                  <c:v>43544</c:v>
                </c:pt>
                <c:pt idx="51">
                  <c:v>43545</c:v>
                </c:pt>
                <c:pt idx="52">
                  <c:v>43546</c:v>
                </c:pt>
                <c:pt idx="53">
                  <c:v>43549</c:v>
                </c:pt>
                <c:pt idx="54">
                  <c:v>43550</c:v>
                </c:pt>
                <c:pt idx="55">
                  <c:v>43551</c:v>
                </c:pt>
                <c:pt idx="56">
                  <c:v>43552</c:v>
                </c:pt>
                <c:pt idx="57">
                  <c:v>43553</c:v>
                </c:pt>
                <c:pt idx="58">
                  <c:v>43556</c:v>
                </c:pt>
                <c:pt idx="59">
                  <c:v>43557</c:v>
                </c:pt>
                <c:pt idx="60">
                  <c:v>43558</c:v>
                </c:pt>
                <c:pt idx="61">
                  <c:v>43559</c:v>
                </c:pt>
                <c:pt idx="62">
                  <c:v>43563</c:v>
                </c:pt>
                <c:pt idx="63">
                  <c:v>43564</c:v>
                </c:pt>
                <c:pt idx="64">
                  <c:v>43565</c:v>
                </c:pt>
                <c:pt idx="65">
                  <c:v>43566</c:v>
                </c:pt>
                <c:pt idx="66">
                  <c:v>43567</c:v>
                </c:pt>
                <c:pt idx="67">
                  <c:v>43570</c:v>
                </c:pt>
                <c:pt idx="68">
                  <c:v>43571</c:v>
                </c:pt>
                <c:pt idx="69">
                  <c:v>43572</c:v>
                </c:pt>
                <c:pt idx="70">
                  <c:v>43573</c:v>
                </c:pt>
                <c:pt idx="71">
                  <c:v>43574</c:v>
                </c:pt>
                <c:pt idx="72">
                  <c:v>43577</c:v>
                </c:pt>
                <c:pt idx="73">
                  <c:v>43578</c:v>
                </c:pt>
                <c:pt idx="74">
                  <c:v>43579</c:v>
                </c:pt>
                <c:pt idx="75">
                  <c:v>43580</c:v>
                </c:pt>
                <c:pt idx="76">
                  <c:v>43581</c:v>
                </c:pt>
                <c:pt idx="77">
                  <c:v>43584</c:v>
                </c:pt>
                <c:pt idx="78">
                  <c:v>43585</c:v>
                </c:pt>
                <c:pt idx="79">
                  <c:v>43591</c:v>
                </c:pt>
                <c:pt idx="80">
                  <c:v>43592</c:v>
                </c:pt>
                <c:pt idx="81">
                  <c:v>43593</c:v>
                </c:pt>
                <c:pt idx="82">
                  <c:v>43594</c:v>
                </c:pt>
                <c:pt idx="83">
                  <c:v>43595</c:v>
                </c:pt>
                <c:pt idx="84">
                  <c:v>43598</c:v>
                </c:pt>
                <c:pt idx="85">
                  <c:v>43599</c:v>
                </c:pt>
                <c:pt idx="86">
                  <c:v>43600</c:v>
                </c:pt>
                <c:pt idx="87">
                  <c:v>43601</c:v>
                </c:pt>
                <c:pt idx="88">
                  <c:v>43602</c:v>
                </c:pt>
                <c:pt idx="89">
                  <c:v>43605</c:v>
                </c:pt>
                <c:pt idx="90">
                  <c:v>43606</c:v>
                </c:pt>
                <c:pt idx="91">
                  <c:v>43607</c:v>
                </c:pt>
                <c:pt idx="92">
                  <c:v>43608</c:v>
                </c:pt>
                <c:pt idx="93">
                  <c:v>43609</c:v>
                </c:pt>
                <c:pt idx="94">
                  <c:v>43612</c:v>
                </c:pt>
                <c:pt idx="95">
                  <c:v>43613</c:v>
                </c:pt>
                <c:pt idx="96">
                  <c:v>43614</c:v>
                </c:pt>
                <c:pt idx="97">
                  <c:v>43615</c:v>
                </c:pt>
                <c:pt idx="98">
                  <c:v>43616</c:v>
                </c:pt>
                <c:pt idx="99">
                  <c:v>43619</c:v>
                </c:pt>
                <c:pt idx="100">
                  <c:v>43620</c:v>
                </c:pt>
                <c:pt idx="101">
                  <c:v>43621</c:v>
                </c:pt>
                <c:pt idx="102">
                  <c:v>43622</c:v>
                </c:pt>
                <c:pt idx="103">
                  <c:v>43626</c:v>
                </c:pt>
                <c:pt idx="104">
                  <c:v>43627</c:v>
                </c:pt>
                <c:pt idx="105">
                  <c:v>43628</c:v>
                </c:pt>
                <c:pt idx="106">
                  <c:v>43629</c:v>
                </c:pt>
                <c:pt idx="107">
                  <c:v>43630</c:v>
                </c:pt>
                <c:pt idx="108">
                  <c:v>43633</c:v>
                </c:pt>
                <c:pt idx="109">
                  <c:v>43634</c:v>
                </c:pt>
                <c:pt idx="110">
                  <c:v>43635</c:v>
                </c:pt>
                <c:pt idx="111">
                  <c:v>43636</c:v>
                </c:pt>
                <c:pt idx="112">
                  <c:v>43637</c:v>
                </c:pt>
                <c:pt idx="113">
                  <c:v>43640</c:v>
                </c:pt>
                <c:pt idx="114">
                  <c:v>43641</c:v>
                </c:pt>
                <c:pt idx="115">
                  <c:v>43642</c:v>
                </c:pt>
                <c:pt idx="116">
                  <c:v>43643</c:v>
                </c:pt>
                <c:pt idx="117">
                  <c:v>43644</c:v>
                </c:pt>
                <c:pt idx="118">
                  <c:v>43647</c:v>
                </c:pt>
                <c:pt idx="119">
                  <c:v>43648</c:v>
                </c:pt>
                <c:pt idx="120">
                  <c:v>43649</c:v>
                </c:pt>
                <c:pt idx="121">
                  <c:v>43650</c:v>
                </c:pt>
                <c:pt idx="122">
                  <c:v>43651</c:v>
                </c:pt>
                <c:pt idx="123">
                  <c:v>43654</c:v>
                </c:pt>
                <c:pt idx="124">
                  <c:v>43655</c:v>
                </c:pt>
                <c:pt idx="125">
                  <c:v>43656</c:v>
                </c:pt>
                <c:pt idx="126">
                  <c:v>43657</c:v>
                </c:pt>
                <c:pt idx="127">
                  <c:v>43658</c:v>
                </c:pt>
                <c:pt idx="128">
                  <c:v>43661</c:v>
                </c:pt>
                <c:pt idx="129">
                  <c:v>43662</c:v>
                </c:pt>
                <c:pt idx="130">
                  <c:v>43663</c:v>
                </c:pt>
                <c:pt idx="131">
                  <c:v>43664</c:v>
                </c:pt>
                <c:pt idx="132">
                  <c:v>43665</c:v>
                </c:pt>
                <c:pt idx="133">
                  <c:v>43668</c:v>
                </c:pt>
                <c:pt idx="134">
                  <c:v>43669</c:v>
                </c:pt>
                <c:pt idx="135">
                  <c:v>43670</c:v>
                </c:pt>
                <c:pt idx="136">
                  <c:v>43671</c:v>
                </c:pt>
                <c:pt idx="137">
                  <c:v>43672</c:v>
                </c:pt>
                <c:pt idx="138">
                  <c:v>43675</c:v>
                </c:pt>
                <c:pt idx="139">
                  <c:v>43676</c:v>
                </c:pt>
                <c:pt idx="140">
                  <c:v>43677</c:v>
                </c:pt>
                <c:pt idx="141">
                  <c:v>43678</c:v>
                </c:pt>
                <c:pt idx="142">
                  <c:v>43679</c:v>
                </c:pt>
                <c:pt idx="143">
                  <c:v>43682</c:v>
                </c:pt>
                <c:pt idx="144">
                  <c:v>43683</c:v>
                </c:pt>
                <c:pt idx="145">
                  <c:v>43684</c:v>
                </c:pt>
                <c:pt idx="146">
                  <c:v>43685</c:v>
                </c:pt>
                <c:pt idx="147">
                  <c:v>43686</c:v>
                </c:pt>
                <c:pt idx="148">
                  <c:v>43689</c:v>
                </c:pt>
                <c:pt idx="149">
                  <c:v>43690</c:v>
                </c:pt>
                <c:pt idx="150">
                  <c:v>43691</c:v>
                </c:pt>
                <c:pt idx="151">
                  <c:v>43692</c:v>
                </c:pt>
                <c:pt idx="152">
                  <c:v>43693</c:v>
                </c:pt>
                <c:pt idx="153">
                  <c:v>43696</c:v>
                </c:pt>
                <c:pt idx="154">
                  <c:v>43697</c:v>
                </c:pt>
                <c:pt idx="155">
                  <c:v>43698</c:v>
                </c:pt>
                <c:pt idx="156">
                  <c:v>43699</c:v>
                </c:pt>
                <c:pt idx="157">
                  <c:v>43700</c:v>
                </c:pt>
                <c:pt idx="158">
                  <c:v>43703</c:v>
                </c:pt>
                <c:pt idx="159">
                  <c:v>43704</c:v>
                </c:pt>
                <c:pt idx="160">
                  <c:v>43705</c:v>
                </c:pt>
                <c:pt idx="161">
                  <c:v>43706</c:v>
                </c:pt>
                <c:pt idx="162">
                  <c:v>43707</c:v>
                </c:pt>
                <c:pt idx="163">
                  <c:v>43710</c:v>
                </c:pt>
                <c:pt idx="164">
                  <c:v>43711</c:v>
                </c:pt>
                <c:pt idx="165">
                  <c:v>43712</c:v>
                </c:pt>
                <c:pt idx="166">
                  <c:v>43713</c:v>
                </c:pt>
                <c:pt idx="167">
                  <c:v>43714</c:v>
                </c:pt>
                <c:pt idx="168">
                  <c:v>43717</c:v>
                </c:pt>
                <c:pt idx="169">
                  <c:v>43718</c:v>
                </c:pt>
                <c:pt idx="170">
                  <c:v>43719</c:v>
                </c:pt>
                <c:pt idx="171">
                  <c:v>43720</c:v>
                </c:pt>
                <c:pt idx="172">
                  <c:v>43724</c:v>
                </c:pt>
                <c:pt idx="173">
                  <c:v>43725</c:v>
                </c:pt>
                <c:pt idx="174">
                  <c:v>43726</c:v>
                </c:pt>
                <c:pt idx="175">
                  <c:v>43727</c:v>
                </c:pt>
                <c:pt idx="176">
                  <c:v>43728</c:v>
                </c:pt>
                <c:pt idx="177">
                  <c:v>43731</c:v>
                </c:pt>
                <c:pt idx="178">
                  <c:v>43732</c:v>
                </c:pt>
                <c:pt idx="179">
                  <c:v>43733</c:v>
                </c:pt>
                <c:pt idx="180">
                  <c:v>43734</c:v>
                </c:pt>
                <c:pt idx="181">
                  <c:v>43735</c:v>
                </c:pt>
                <c:pt idx="182">
                  <c:v>43738</c:v>
                </c:pt>
                <c:pt idx="183">
                  <c:v>43746</c:v>
                </c:pt>
                <c:pt idx="184">
                  <c:v>43747</c:v>
                </c:pt>
                <c:pt idx="185">
                  <c:v>43748</c:v>
                </c:pt>
                <c:pt idx="186">
                  <c:v>43749</c:v>
                </c:pt>
                <c:pt idx="187">
                  <c:v>43752</c:v>
                </c:pt>
                <c:pt idx="188">
                  <c:v>43753</c:v>
                </c:pt>
                <c:pt idx="189">
                  <c:v>43754</c:v>
                </c:pt>
                <c:pt idx="190">
                  <c:v>43755</c:v>
                </c:pt>
                <c:pt idx="191">
                  <c:v>43756</c:v>
                </c:pt>
                <c:pt idx="192">
                  <c:v>43759</c:v>
                </c:pt>
                <c:pt idx="193">
                  <c:v>43760</c:v>
                </c:pt>
                <c:pt idx="194">
                  <c:v>43761</c:v>
                </c:pt>
                <c:pt idx="195">
                  <c:v>43762</c:v>
                </c:pt>
                <c:pt idx="196">
                  <c:v>43763</c:v>
                </c:pt>
                <c:pt idx="197">
                  <c:v>43766</c:v>
                </c:pt>
                <c:pt idx="198">
                  <c:v>43767</c:v>
                </c:pt>
                <c:pt idx="199">
                  <c:v>43768</c:v>
                </c:pt>
                <c:pt idx="200">
                  <c:v>43769</c:v>
                </c:pt>
                <c:pt idx="201">
                  <c:v>43770</c:v>
                </c:pt>
                <c:pt idx="202">
                  <c:v>43773</c:v>
                </c:pt>
                <c:pt idx="203">
                  <c:v>43774</c:v>
                </c:pt>
                <c:pt idx="204">
                  <c:v>43775</c:v>
                </c:pt>
                <c:pt idx="205">
                  <c:v>43776</c:v>
                </c:pt>
                <c:pt idx="206">
                  <c:v>43777</c:v>
                </c:pt>
                <c:pt idx="207">
                  <c:v>43780</c:v>
                </c:pt>
                <c:pt idx="208">
                  <c:v>43781</c:v>
                </c:pt>
                <c:pt idx="209">
                  <c:v>43782</c:v>
                </c:pt>
                <c:pt idx="210">
                  <c:v>43783</c:v>
                </c:pt>
                <c:pt idx="211">
                  <c:v>43784</c:v>
                </c:pt>
                <c:pt idx="212">
                  <c:v>43787</c:v>
                </c:pt>
                <c:pt idx="213">
                  <c:v>43788</c:v>
                </c:pt>
                <c:pt idx="214">
                  <c:v>43789</c:v>
                </c:pt>
                <c:pt idx="215">
                  <c:v>43790</c:v>
                </c:pt>
                <c:pt idx="216">
                  <c:v>43791</c:v>
                </c:pt>
                <c:pt idx="217">
                  <c:v>43794</c:v>
                </c:pt>
                <c:pt idx="218">
                  <c:v>43795</c:v>
                </c:pt>
                <c:pt idx="219">
                  <c:v>43796</c:v>
                </c:pt>
                <c:pt idx="220">
                  <c:v>43797</c:v>
                </c:pt>
                <c:pt idx="221">
                  <c:v>43798</c:v>
                </c:pt>
                <c:pt idx="222">
                  <c:v>43801</c:v>
                </c:pt>
                <c:pt idx="223">
                  <c:v>43802</c:v>
                </c:pt>
                <c:pt idx="224">
                  <c:v>43803</c:v>
                </c:pt>
                <c:pt idx="225">
                  <c:v>43804</c:v>
                </c:pt>
                <c:pt idx="226">
                  <c:v>43805</c:v>
                </c:pt>
                <c:pt idx="227">
                  <c:v>43808</c:v>
                </c:pt>
                <c:pt idx="228">
                  <c:v>43809</c:v>
                </c:pt>
                <c:pt idx="229">
                  <c:v>43810</c:v>
                </c:pt>
                <c:pt idx="230">
                  <c:v>43811</c:v>
                </c:pt>
                <c:pt idx="231">
                  <c:v>43812</c:v>
                </c:pt>
                <c:pt idx="232">
                  <c:v>43815</c:v>
                </c:pt>
                <c:pt idx="233">
                  <c:v>43816</c:v>
                </c:pt>
                <c:pt idx="234">
                  <c:v>43817</c:v>
                </c:pt>
                <c:pt idx="235">
                  <c:v>43818</c:v>
                </c:pt>
                <c:pt idx="236">
                  <c:v>43819</c:v>
                </c:pt>
                <c:pt idx="237">
                  <c:v>43822</c:v>
                </c:pt>
                <c:pt idx="238">
                  <c:v>43823</c:v>
                </c:pt>
                <c:pt idx="239">
                  <c:v>43824</c:v>
                </c:pt>
                <c:pt idx="240">
                  <c:v>43825</c:v>
                </c:pt>
                <c:pt idx="241">
                  <c:v>43826</c:v>
                </c:pt>
                <c:pt idx="242">
                  <c:v>43829</c:v>
                </c:pt>
                <c:pt idx="243">
                  <c:v>43830</c:v>
                </c:pt>
                <c:pt idx="244">
                  <c:v>43832</c:v>
                </c:pt>
                <c:pt idx="245">
                  <c:v>43833</c:v>
                </c:pt>
                <c:pt idx="246">
                  <c:v>43836</c:v>
                </c:pt>
                <c:pt idx="247">
                  <c:v>43837</c:v>
                </c:pt>
                <c:pt idx="248">
                  <c:v>43838</c:v>
                </c:pt>
                <c:pt idx="249">
                  <c:v>43839</c:v>
                </c:pt>
                <c:pt idx="250">
                  <c:v>43840</c:v>
                </c:pt>
                <c:pt idx="251">
                  <c:v>43843</c:v>
                </c:pt>
                <c:pt idx="252">
                  <c:v>43844</c:v>
                </c:pt>
                <c:pt idx="253">
                  <c:v>43845</c:v>
                </c:pt>
                <c:pt idx="254">
                  <c:v>43846</c:v>
                </c:pt>
                <c:pt idx="255">
                  <c:v>43847</c:v>
                </c:pt>
                <c:pt idx="256">
                  <c:v>43850</c:v>
                </c:pt>
                <c:pt idx="257">
                  <c:v>43851</c:v>
                </c:pt>
                <c:pt idx="258">
                  <c:v>43852</c:v>
                </c:pt>
                <c:pt idx="259">
                  <c:v>43853</c:v>
                </c:pt>
                <c:pt idx="260">
                  <c:v>43864</c:v>
                </c:pt>
                <c:pt idx="261">
                  <c:v>43865</c:v>
                </c:pt>
                <c:pt idx="262">
                  <c:v>43866</c:v>
                </c:pt>
                <c:pt idx="263">
                  <c:v>43867</c:v>
                </c:pt>
                <c:pt idx="264">
                  <c:v>43868</c:v>
                </c:pt>
                <c:pt idx="265">
                  <c:v>43871</c:v>
                </c:pt>
                <c:pt idx="266">
                  <c:v>43872</c:v>
                </c:pt>
                <c:pt idx="267">
                  <c:v>43873</c:v>
                </c:pt>
                <c:pt idx="268">
                  <c:v>43874</c:v>
                </c:pt>
                <c:pt idx="269">
                  <c:v>43875</c:v>
                </c:pt>
                <c:pt idx="270">
                  <c:v>43878</c:v>
                </c:pt>
                <c:pt idx="271">
                  <c:v>43879</c:v>
                </c:pt>
                <c:pt idx="272">
                  <c:v>43880</c:v>
                </c:pt>
                <c:pt idx="273">
                  <c:v>43881</c:v>
                </c:pt>
                <c:pt idx="274">
                  <c:v>43882</c:v>
                </c:pt>
                <c:pt idx="275">
                  <c:v>43885</c:v>
                </c:pt>
                <c:pt idx="276">
                  <c:v>43886</c:v>
                </c:pt>
                <c:pt idx="277">
                  <c:v>43887</c:v>
                </c:pt>
                <c:pt idx="278">
                  <c:v>43888</c:v>
                </c:pt>
                <c:pt idx="279">
                  <c:v>43889</c:v>
                </c:pt>
                <c:pt idx="280">
                  <c:v>43892</c:v>
                </c:pt>
                <c:pt idx="281">
                  <c:v>43893</c:v>
                </c:pt>
                <c:pt idx="282">
                  <c:v>43894</c:v>
                </c:pt>
                <c:pt idx="283">
                  <c:v>43895</c:v>
                </c:pt>
                <c:pt idx="284">
                  <c:v>43896</c:v>
                </c:pt>
                <c:pt idx="285">
                  <c:v>43899</c:v>
                </c:pt>
                <c:pt idx="286">
                  <c:v>43900</c:v>
                </c:pt>
                <c:pt idx="287">
                  <c:v>43901</c:v>
                </c:pt>
                <c:pt idx="288">
                  <c:v>43902</c:v>
                </c:pt>
                <c:pt idx="289">
                  <c:v>43903</c:v>
                </c:pt>
                <c:pt idx="290">
                  <c:v>43906</c:v>
                </c:pt>
                <c:pt idx="291">
                  <c:v>43907</c:v>
                </c:pt>
                <c:pt idx="292">
                  <c:v>43908</c:v>
                </c:pt>
                <c:pt idx="293">
                  <c:v>43909</c:v>
                </c:pt>
                <c:pt idx="294">
                  <c:v>43910</c:v>
                </c:pt>
                <c:pt idx="295">
                  <c:v>43913</c:v>
                </c:pt>
                <c:pt idx="296">
                  <c:v>43914</c:v>
                </c:pt>
                <c:pt idx="297">
                  <c:v>43915</c:v>
                </c:pt>
                <c:pt idx="298">
                  <c:v>43916</c:v>
                </c:pt>
                <c:pt idx="299">
                  <c:v>43917</c:v>
                </c:pt>
                <c:pt idx="300">
                  <c:v>43920</c:v>
                </c:pt>
                <c:pt idx="301">
                  <c:v>43921</c:v>
                </c:pt>
                <c:pt idx="302">
                  <c:v>43922</c:v>
                </c:pt>
                <c:pt idx="303">
                  <c:v>43923</c:v>
                </c:pt>
                <c:pt idx="304">
                  <c:v>43924</c:v>
                </c:pt>
                <c:pt idx="305">
                  <c:v>43928</c:v>
                </c:pt>
                <c:pt idx="306">
                  <c:v>43929</c:v>
                </c:pt>
                <c:pt idx="307">
                  <c:v>43930</c:v>
                </c:pt>
                <c:pt idx="308">
                  <c:v>43931</c:v>
                </c:pt>
                <c:pt idx="309">
                  <c:v>43934</c:v>
                </c:pt>
                <c:pt idx="310">
                  <c:v>43935</c:v>
                </c:pt>
                <c:pt idx="311">
                  <c:v>43936</c:v>
                </c:pt>
                <c:pt idx="312">
                  <c:v>43937</c:v>
                </c:pt>
                <c:pt idx="313">
                  <c:v>43938</c:v>
                </c:pt>
                <c:pt idx="314">
                  <c:v>43941</c:v>
                </c:pt>
                <c:pt idx="315">
                  <c:v>43942</c:v>
                </c:pt>
                <c:pt idx="316">
                  <c:v>43943</c:v>
                </c:pt>
                <c:pt idx="317">
                  <c:v>43944</c:v>
                </c:pt>
                <c:pt idx="318">
                  <c:v>43945</c:v>
                </c:pt>
                <c:pt idx="319">
                  <c:v>43948</c:v>
                </c:pt>
                <c:pt idx="320">
                  <c:v>43949</c:v>
                </c:pt>
                <c:pt idx="321">
                  <c:v>43950</c:v>
                </c:pt>
                <c:pt idx="322">
                  <c:v>43951</c:v>
                </c:pt>
                <c:pt idx="323">
                  <c:v>43957</c:v>
                </c:pt>
                <c:pt idx="324">
                  <c:v>43958</c:v>
                </c:pt>
                <c:pt idx="325">
                  <c:v>43959</c:v>
                </c:pt>
                <c:pt idx="326">
                  <c:v>43962</c:v>
                </c:pt>
                <c:pt idx="327">
                  <c:v>43963</c:v>
                </c:pt>
                <c:pt idx="328">
                  <c:v>43964</c:v>
                </c:pt>
                <c:pt idx="329">
                  <c:v>43965</c:v>
                </c:pt>
                <c:pt idx="330">
                  <c:v>43966</c:v>
                </c:pt>
                <c:pt idx="331">
                  <c:v>43969</c:v>
                </c:pt>
                <c:pt idx="332">
                  <c:v>43970</c:v>
                </c:pt>
                <c:pt idx="333">
                  <c:v>43971</c:v>
                </c:pt>
                <c:pt idx="334">
                  <c:v>43972</c:v>
                </c:pt>
                <c:pt idx="335">
                  <c:v>43973</c:v>
                </c:pt>
                <c:pt idx="336">
                  <c:v>43976</c:v>
                </c:pt>
                <c:pt idx="337">
                  <c:v>43977</c:v>
                </c:pt>
                <c:pt idx="338">
                  <c:v>43978</c:v>
                </c:pt>
                <c:pt idx="339">
                  <c:v>43979</c:v>
                </c:pt>
                <c:pt idx="340">
                  <c:v>43980</c:v>
                </c:pt>
                <c:pt idx="341">
                  <c:v>43983</c:v>
                </c:pt>
                <c:pt idx="342">
                  <c:v>43984</c:v>
                </c:pt>
                <c:pt idx="343">
                  <c:v>43985</c:v>
                </c:pt>
                <c:pt idx="344">
                  <c:v>43986</c:v>
                </c:pt>
                <c:pt idx="345">
                  <c:v>43987</c:v>
                </c:pt>
                <c:pt idx="346">
                  <c:v>43990</c:v>
                </c:pt>
                <c:pt idx="347">
                  <c:v>43991</c:v>
                </c:pt>
                <c:pt idx="348">
                  <c:v>43992</c:v>
                </c:pt>
                <c:pt idx="349">
                  <c:v>43993</c:v>
                </c:pt>
                <c:pt idx="350">
                  <c:v>43994</c:v>
                </c:pt>
                <c:pt idx="351">
                  <c:v>43997</c:v>
                </c:pt>
                <c:pt idx="352">
                  <c:v>43998</c:v>
                </c:pt>
                <c:pt idx="353">
                  <c:v>43999</c:v>
                </c:pt>
                <c:pt idx="354">
                  <c:v>44000</c:v>
                </c:pt>
                <c:pt idx="355">
                  <c:v>44001</c:v>
                </c:pt>
                <c:pt idx="356">
                  <c:v>44004</c:v>
                </c:pt>
                <c:pt idx="357">
                  <c:v>44005</c:v>
                </c:pt>
                <c:pt idx="358">
                  <c:v>44006</c:v>
                </c:pt>
                <c:pt idx="359">
                  <c:v>44011</c:v>
                </c:pt>
                <c:pt idx="360">
                  <c:v>44012</c:v>
                </c:pt>
                <c:pt idx="361">
                  <c:v>44013</c:v>
                </c:pt>
                <c:pt idx="362">
                  <c:v>44014</c:v>
                </c:pt>
                <c:pt idx="363">
                  <c:v>44015</c:v>
                </c:pt>
                <c:pt idx="364">
                  <c:v>44018</c:v>
                </c:pt>
                <c:pt idx="365">
                  <c:v>44019</c:v>
                </c:pt>
                <c:pt idx="366">
                  <c:v>44020</c:v>
                </c:pt>
                <c:pt idx="367">
                  <c:v>44021</c:v>
                </c:pt>
                <c:pt idx="368">
                  <c:v>44022</c:v>
                </c:pt>
                <c:pt idx="369">
                  <c:v>44025</c:v>
                </c:pt>
                <c:pt idx="370">
                  <c:v>44026</c:v>
                </c:pt>
                <c:pt idx="371">
                  <c:v>44027</c:v>
                </c:pt>
                <c:pt idx="372">
                  <c:v>44028</c:v>
                </c:pt>
                <c:pt idx="373">
                  <c:v>44029</c:v>
                </c:pt>
                <c:pt idx="374">
                  <c:v>44032</c:v>
                </c:pt>
                <c:pt idx="375">
                  <c:v>44033</c:v>
                </c:pt>
                <c:pt idx="376">
                  <c:v>44034</c:v>
                </c:pt>
                <c:pt idx="377">
                  <c:v>44035</c:v>
                </c:pt>
                <c:pt idx="378">
                  <c:v>44036</c:v>
                </c:pt>
                <c:pt idx="379">
                  <c:v>44039</c:v>
                </c:pt>
                <c:pt idx="380">
                  <c:v>44040</c:v>
                </c:pt>
                <c:pt idx="381">
                  <c:v>44041</c:v>
                </c:pt>
                <c:pt idx="382">
                  <c:v>44042</c:v>
                </c:pt>
                <c:pt idx="383">
                  <c:v>44043</c:v>
                </c:pt>
                <c:pt idx="384">
                  <c:v>44046</c:v>
                </c:pt>
                <c:pt idx="385">
                  <c:v>44047</c:v>
                </c:pt>
                <c:pt idx="386">
                  <c:v>44048</c:v>
                </c:pt>
                <c:pt idx="387">
                  <c:v>44049</c:v>
                </c:pt>
                <c:pt idx="388">
                  <c:v>44050</c:v>
                </c:pt>
                <c:pt idx="389">
                  <c:v>44053</c:v>
                </c:pt>
                <c:pt idx="390">
                  <c:v>44054</c:v>
                </c:pt>
                <c:pt idx="391">
                  <c:v>44055</c:v>
                </c:pt>
                <c:pt idx="392">
                  <c:v>44056</c:v>
                </c:pt>
                <c:pt idx="393">
                  <c:v>44057</c:v>
                </c:pt>
                <c:pt idx="394">
                  <c:v>44060</c:v>
                </c:pt>
                <c:pt idx="395">
                  <c:v>44061</c:v>
                </c:pt>
                <c:pt idx="396">
                  <c:v>44062</c:v>
                </c:pt>
                <c:pt idx="397">
                  <c:v>44063</c:v>
                </c:pt>
                <c:pt idx="398">
                  <c:v>44064</c:v>
                </c:pt>
                <c:pt idx="399">
                  <c:v>44067</c:v>
                </c:pt>
                <c:pt idx="400">
                  <c:v>44068</c:v>
                </c:pt>
                <c:pt idx="401">
                  <c:v>44069</c:v>
                </c:pt>
                <c:pt idx="402">
                  <c:v>44070</c:v>
                </c:pt>
                <c:pt idx="403">
                  <c:v>44071</c:v>
                </c:pt>
                <c:pt idx="404">
                  <c:v>44074</c:v>
                </c:pt>
                <c:pt idx="405">
                  <c:v>44075</c:v>
                </c:pt>
                <c:pt idx="406">
                  <c:v>44076</c:v>
                </c:pt>
                <c:pt idx="407">
                  <c:v>44077</c:v>
                </c:pt>
                <c:pt idx="408">
                  <c:v>44078</c:v>
                </c:pt>
                <c:pt idx="409">
                  <c:v>44081</c:v>
                </c:pt>
                <c:pt idx="410">
                  <c:v>44082</c:v>
                </c:pt>
                <c:pt idx="411">
                  <c:v>44083</c:v>
                </c:pt>
                <c:pt idx="412">
                  <c:v>44084</c:v>
                </c:pt>
                <c:pt idx="413">
                  <c:v>44085</c:v>
                </c:pt>
                <c:pt idx="414">
                  <c:v>44088</c:v>
                </c:pt>
                <c:pt idx="415">
                  <c:v>44089</c:v>
                </c:pt>
                <c:pt idx="416">
                  <c:v>44090</c:v>
                </c:pt>
                <c:pt idx="417">
                  <c:v>44091</c:v>
                </c:pt>
                <c:pt idx="418">
                  <c:v>44092</c:v>
                </c:pt>
                <c:pt idx="419">
                  <c:v>44095</c:v>
                </c:pt>
                <c:pt idx="420">
                  <c:v>44096</c:v>
                </c:pt>
                <c:pt idx="421">
                  <c:v>44097</c:v>
                </c:pt>
                <c:pt idx="422">
                  <c:v>44098</c:v>
                </c:pt>
                <c:pt idx="423">
                  <c:v>44099</c:v>
                </c:pt>
                <c:pt idx="424">
                  <c:v>44102</c:v>
                </c:pt>
                <c:pt idx="425">
                  <c:v>44103</c:v>
                </c:pt>
                <c:pt idx="426">
                  <c:v>44104</c:v>
                </c:pt>
                <c:pt idx="427">
                  <c:v>44113</c:v>
                </c:pt>
                <c:pt idx="428">
                  <c:v>44116</c:v>
                </c:pt>
                <c:pt idx="429">
                  <c:v>44117</c:v>
                </c:pt>
                <c:pt idx="430">
                  <c:v>44118</c:v>
                </c:pt>
                <c:pt idx="431">
                  <c:v>44119</c:v>
                </c:pt>
                <c:pt idx="432">
                  <c:v>44120</c:v>
                </c:pt>
                <c:pt idx="433">
                  <c:v>44123</c:v>
                </c:pt>
                <c:pt idx="434">
                  <c:v>44124</c:v>
                </c:pt>
                <c:pt idx="435">
                  <c:v>44125</c:v>
                </c:pt>
                <c:pt idx="436">
                  <c:v>44126</c:v>
                </c:pt>
                <c:pt idx="437">
                  <c:v>44127</c:v>
                </c:pt>
                <c:pt idx="438">
                  <c:v>44130</c:v>
                </c:pt>
                <c:pt idx="439">
                  <c:v>44131</c:v>
                </c:pt>
                <c:pt idx="440">
                  <c:v>44132</c:v>
                </c:pt>
                <c:pt idx="441">
                  <c:v>44133</c:v>
                </c:pt>
                <c:pt idx="442">
                  <c:v>44134</c:v>
                </c:pt>
                <c:pt idx="443">
                  <c:v>44137</c:v>
                </c:pt>
                <c:pt idx="444">
                  <c:v>44138</c:v>
                </c:pt>
                <c:pt idx="445">
                  <c:v>44139</c:v>
                </c:pt>
                <c:pt idx="446">
                  <c:v>44140</c:v>
                </c:pt>
                <c:pt idx="447">
                  <c:v>44141</c:v>
                </c:pt>
                <c:pt idx="448">
                  <c:v>44144</c:v>
                </c:pt>
                <c:pt idx="449">
                  <c:v>44145</c:v>
                </c:pt>
                <c:pt idx="450">
                  <c:v>44146</c:v>
                </c:pt>
                <c:pt idx="451">
                  <c:v>44147</c:v>
                </c:pt>
                <c:pt idx="452">
                  <c:v>44148</c:v>
                </c:pt>
                <c:pt idx="453">
                  <c:v>44151</c:v>
                </c:pt>
                <c:pt idx="454">
                  <c:v>44152</c:v>
                </c:pt>
                <c:pt idx="455">
                  <c:v>44153</c:v>
                </c:pt>
                <c:pt idx="456">
                  <c:v>44154</c:v>
                </c:pt>
                <c:pt idx="457">
                  <c:v>44155</c:v>
                </c:pt>
                <c:pt idx="458">
                  <c:v>44158</c:v>
                </c:pt>
                <c:pt idx="459">
                  <c:v>44159</c:v>
                </c:pt>
                <c:pt idx="460">
                  <c:v>44160</c:v>
                </c:pt>
                <c:pt idx="461">
                  <c:v>44161</c:v>
                </c:pt>
                <c:pt idx="462">
                  <c:v>44162</c:v>
                </c:pt>
                <c:pt idx="463">
                  <c:v>44165</c:v>
                </c:pt>
                <c:pt idx="464">
                  <c:v>44166</c:v>
                </c:pt>
                <c:pt idx="465">
                  <c:v>44167</c:v>
                </c:pt>
                <c:pt idx="466">
                  <c:v>44168</c:v>
                </c:pt>
                <c:pt idx="467">
                  <c:v>44169</c:v>
                </c:pt>
                <c:pt idx="468">
                  <c:v>44172</c:v>
                </c:pt>
                <c:pt idx="469">
                  <c:v>44173</c:v>
                </c:pt>
                <c:pt idx="470">
                  <c:v>44174</c:v>
                </c:pt>
                <c:pt idx="471">
                  <c:v>44175</c:v>
                </c:pt>
                <c:pt idx="472">
                  <c:v>44176</c:v>
                </c:pt>
                <c:pt idx="473">
                  <c:v>44179</c:v>
                </c:pt>
                <c:pt idx="474">
                  <c:v>44180</c:v>
                </c:pt>
                <c:pt idx="475">
                  <c:v>44181</c:v>
                </c:pt>
                <c:pt idx="476">
                  <c:v>44182</c:v>
                </c:pt>
                <c:pt idx="477">
                  <c:v>44183</c:v>
                </c:pt>
                <c:pt idx="478">
                  <c:v>44186</c:v>
                </c:pt>
                <c:pt idx="479">
                  <c:v>44187</c:v>
                </c:pt>
                <c:pt idx="480">
                  <c:v>44188</c:v>
                </c:pt>
                <c:pt idx="481">
                  <c:v>44189</c:v>
                </c:pt>
                <c:pt idx="482">
                  <c:v>44190</c:v>
                </c:pt>
                <c:pt idx="483">
                  <c:v>44193</c:v>
                </c:pt>
                <c:pt idx="484">
                  <c:v>44194</c:v>
                </c:pt>
                <c:pt idx="485">
                  <c:v>44195</c:v>
                </c:pt>
                <c:pt idx="486">
                  <c:v>44196</c:v>
                </c:pt>
                <c:pt idx="487">
                  <c:v>44200</c:v>
                </c:pt>
                <c:pt idx="488">
                  <c:v>44201</c:v>
                </c:pt>
                <c:pt idx="489">
                  <c:v>44202</c:v>
                </c:pt>
                <c:pt idx="490">
                  <c:v>44203</c:v>
                </c:pt>
                <c:pt idx="491">
                  <c:v>44204</c:v>
                </c:pt>
                <c:pt idx="492">
                  <c:v>44207</c:v>
                </c:pt>
                <c:pt idx="493">
                  <c:v>44208</c:v>
                </c:pt>
                <c:pt idx="494">
                  <c:v>44209</c:v>
                </c:pt>
                <c:pt idx="495">
                  <c:v>44210</c:v>
                </c:pt>
                <c:pt idx="496">
                  <c:v>44211</c:v>
                </c:pt>
                <c:pt idx="497">
                  <c:v>44214</c:v>
                </c:pt>
                <c:pt idx="498">
                  <c:v>44215</c:v>
                </c:pt>
                <c:pt idx="499">
                  <c:v>44216</c:v>
                </c:pt>
                <c:pt idx="500">
                  <c:v>44217</c:v>
                </c:pt>
                <c:pt idx="501">
                  <c:v>44218</c:v>
                </c:pt>
                <c:pt idx="502">
                  <c:v>44221</c:v>
                </c:pt>
                <c:pt idx="503">
                  <c:v>44222</c:v>
                </c:pt>
                <c:pt idx="504">
                  <c:v>44223</c:v>
                </c:pt>
                <c:pt idx="505">
                  <c:v>44224</c:v>
                </c:pt>
                <c:pt idx="506">
                  <c:v>44225</c:v>
                </c:pt>
                <c:pt idx="507">
                  <c:v>44228</c:v>
                </c:pt>
                <c:pt idx="508">
                  <c:v>44229</c:v>
                </c:pt>
                <c:pt idx="509">
                  <c:v>44230</c:v>
                </c:pt>
                <c:pt idx="510">
                  <c:v>44231</c:v>
                </c:pt>
                <c:pt idx="511">
                  <c:v>44232</c:v>
                </c:pt>
                <c:pt idx="512">
                  <c:v>44235</c:v>
                </c:pt>
                <c:pt idx="513">
                  <c:v>44236</c:v>
                </c:pt>
                <c:pt idx="514">
                  <c:v>44237</c:v>
                </c:pt>
                <c:pt idx="515">
                  <c:v>44245</c:v>
                </c:pt>
                <c:pt idx="516">
                  <c:v>44246</c:v>
                </c:pt>
                <c:pt idx="517">
                  <c:v>44249</c:v>
                </c:pt>
                <c:pt idx="518">
                  <c:v>44250</c:v>
                </c:pt>
                <c:pt idx="519">
                  <c:v>44251</c:v>
                </c:pt>
                <c:pt idx="520">
                  <c:v>44252</c:v>
                </c:pt>
                <c:pt idx="521">
                  <c:v>44253</c:v>
                </c:pt>
                <c:pt idx="522">
                  <c:v>44256</c:v>
                </c:pt>
                <c:pt idx="523">
                  <c:v>44257</c:v>
                </c:pt>
                <c:pt idx="524">
                  <c:v>44258</c:v>
                </c:pt>
                <c:pt idx="525">
                  <c:v>44259</c:v>
                </c:pt>
                <c:pt idx="526">
                  <c:v>44260</c:v>
                </c:pt>
                <c:pt idx="527">
                  <c:v>44263</c:v>
                </c:pt>
                <c:pt idx="528">
                  <c:v>44264</c:v>
                </c:pt>
                <c:pt idx="529">
                  <c:v>44265</c:v>
                </c:pt>
                <c:pt idx="530">
                  <c:v>44266</c:v>
                </c:pt>
                <c:pt idx="531">
                  <c:v>44267</c:v>
                </c:pt>
                <c:pt idx="532">
                  <c:v>44270</c:v>
                </c:pt>
                <c:pt idx="533">
                  <c:v>44271</c:v>
                </c:pt>
                <c:pt idx="534">
                  <c:v>44272</c:v>
                </c:pt>
                <c:pt idx="535">
                  <c:v>44273</c:v>
                </c:pt>
                <c:pt idx="536">
                  <c:v>44274</c:v>
                </c:pt>
                <c:pt idx="537">
                  <c:v>44277</c:v>
                </c:pt>
                <c:pt idx="538">
                  <c:v>44278</c:v>
                </c:pt>
                <c:pt idx="539">
                  <c:v>44279</c:v>
                </c:pt>
                <c:pt idx="540">
                  <c:v>44280</c:v>
                </c:pt>
                <c:pt idx="541">
                  <c:v>44281</c:v>
                </c:pt>
                <c:pt idx="542">
                  <c:v>44284</c:v>
                </c:pt>
                <c:pt idx="543">
                  <c:v>44285</c:v>
                </c:pt>
                <c:pt idx="544">
                  <c:v>44286</c:v>
                </c:pt>
                <c:pt idx="545">
                  <c:v>44287</c:v>
                </c:pt>
                <c:pt idx="546">
                  <c:v>44288</c:v>
                </c:pt>
                <c:pt idx="547">
                  <c:v>44292</c:v>
                </c:pt>
                <c:pt idx="548">
                  <c:v>44293</c:v>
                </c:pt>
                <c:pt idx="549">
                  <c:v>44294</c:v>
                </c:pt>
                <c:pt idx="550">
                  <c:v>44295</c:v>
                </c:pt>
                <c:pt idx="551">
                  <c:v>44298</c:v>
                </c:pt>
                <c:pt idx="552">
                  <c:v>44299</c:v>
                </c:pt>
                <c:pt idx="553">
                  <c:v>44300</c:v>
                </c:pt>
                <c:pt idx="554">
                  <c:v>44301</c:v>
                </c:pt>
                <c:pt idx="555">
                  <c:v>44302</c:v>
                </c:pt>
                <c:pt idx="556">
                  <c:v>44305</c:v>
                </c:pt>
                <c:pt idx="557">
                  <c:v>44306</c:v>
                </c:pt>
                <c:pt idx="558">
                  <c:v>44307</c:v>
                </c:pt>
                <c:pt idx="559">
                  <c:v>44308</c:v>
                </c:pt>
                <c:pt idx="560">
                  <c:v>44309</c:v>
                </c:pt>
                <c:pt idx="561">
                  <c:v>44312</c:v>
                </c:pt>
                <c:pt idx="562">
                  <c:v>44313</c:v>
                </c:pt>
                <c:pt idx="563">
                  <c:v>44314</c:v>
                </c:pt>
                <c:pt idx="564">
                  <c:v>44315</c:v>
                </c:pt>
                <c:pt idx="565">
                  <c:v>44316</c:v>
                </c:pt>
                <c:pt idx="566">
                  <c:v>44322</c:v>
                </c:pt>
                <c:pt idx="567">
                  <c:v>44323</c:v>
                </c:pt>
                <c:pt idx="568">
                  <c:v>44326</c:v>
                </c:pt>
                <c:pt idx="569">
                  <c:v>44327</c:v>
                </c:pt>
                <c:pt idx="570">
                  <c:v>44328</c:v>
                </c:pt>
                <c:pt idx="571">
                  <c:v>44329</c:v>
                </c:pt>
                <c:pt idx="572">
                  <c:v>44330</c:v>
                </c:pt>
                <c:pt idx="573">
                  <c:v>44333</c:v>
                </c:pt>
                <c:pt idx="574">
                  <c:v>44334</c:v>
                </c:pt>
                <c:pt idx="575">
                  <c:v>44335</c:v>
                </c:pt>
                <c:pt idx="576">
                  <c:v>44336</c:v>
                </c:pt>
                <c:pt idx="577">
                  <c:v>44337</c:v>
                </c:pt>
                <c:pt idx="578">
                  <c:v>44340</c:v>
                </c:pt>
                <c:pt idx="579">
                  <c:v>44341</c:v>
                </c:pt>
                <c:pt idx="580">
                  <c:v>44342</c:v>
                </c:pt>
                <c:pt idx="581">
                  <c:v>44343</c:v>
                </c:pt>
                <c:pt idx="582">
                  <c:v>44344</c:v>
                </c:pt>
                <c:pt idx="583">
                  <c:v>44347</c:v>
                </c:pt>
                <c:pt idx="584">
                  <c:v>44348</c:v>
                </c:pt>
                <c:pt idx="585">
                  <c:v>44349</c:v>
                </c:pt>
                <c:pt idx="586">
                  <c:v>44350</c:v>
                </c:pt>
                <c:pt idx="587">
                  <c:v>44351</c:v>
                </c:pt>
                <c:pt idx="588">
                  <c:v>44354</c:v>
                </c:pt>
                <c:pt idx="589">
                  <c:v>44355</c:v>
                </c:pt>
                <c:pt idx="590">
                  <c:v>44356</c:v>
                </c:pt>
                <c:pt idx="591">
                  <c:v>44357</c:v>
                </c:pt>
                <c:pt idx="592">
                  <c:v>44358</c:v>
                </c:pt>
                <c:pt idx="593">
                  <c:v>44362</c:v>
                </c:pt>
                <c:pt idx="594">
                  <c:v>44363</c:v>
                </c:pt>
                <c:pt idx="595">
                  <c:v>44364</c:v>
                </c:pt>
                <c:pt idx="596">
                  <c:v>44365</c:v>
                </c:pt>
                <c:pt idx="597">
                  <c:v>44368</c:v>
                </c:pt>
                <c:pt idx="598">
                  <c:v>44369</c:v>
                </c:pt>
                <c:pt idx="599">
                  <c:v>44370</c:v>
                </c:pt>
                <c:pt idx="600">
                  <c:v>44371</c:v>
                </c:pt>
                <c:pt idx="601">
                  <c:v>44372</c:v>
                </c:pt>
                <c:pt idx="602">
                  <c:v>44375</c:v>
                </c:pt>
                <c:pt idx="603">
                  <c:v>44376</c:v>
                </c:pt>
                <c:pt idx="604">
                  <c:v>44377</c:v>
                </c:pt>
                <c:pt idx="605">
                  <c:v>44378</c:v>
                </c:pt>
                <c:pt idx="606">
                  <c:v>44379</c:v>
                </c:pt>
                <c:pt idx="607">
                  <c:v>44382</c:v>
                </c:pt>
                <c:pt idx="608">
                  <c:v>44383</c:v>
                </c:pt>
                <c:pt idx="609">
                  <c:v>44384</c:v>
                </c:pt>
                <c:pt idx="610">
                  <c:v>44385</c:v>
                </c:pt>
                <c:pt idx="611">
                  <c:v>44386</c:v>
                </c:pt>
                <c:pt idx="612">
                  <c:v>44389</c:v>
                </c:pt>
                <c:pt idx="613">
                  <c:v>44390</c:v>
                </c:pt>
                <c:pt idx="614">
                  <c:v>44391</c:v>
                </c:pt>
                <c:pt idx="615">
                  <c:v>44392</c:v>
                </c:pt>
                <c:pt idx="616">
                  <c:v>44393</c:v>
                </c:pt>
                <c:pt idx="617">
                  <c:v>44396</c:v>
                </c:pt>
                <c:pt idx="618">
                  <c:v>44397</c:v>
                </c:pt>
                <c:pt idx="619">
                  <c:v>44398</c:v>
                </c:pt>
                <c:pt idx="620">
                  <c:v>44399</c:v>
                </c:pt>
                <c:pt idx="621">
                  <c:v>44400</c:v>
                </c:pt>
                <c:pt idx="622">
                  <c:v>44403</c:v>
                </c:pt>
                <c:pt idx="623">
                  <c:v>44404</c:v>
                </c:pt>
                <c:pt idx="624">
                  <c:v>44405</c:v>
                </c:pt>
                <c:pt idx="625">
                  <c:v>44406</c:v>
                </c:pt>
                <c:pt idx="626">
                  <c:v>44407</c:v>
                </c:pt>
                <c:pt idx="627">
                  <c:v>44410</c:v>
                </c:pt>
                <c:pt idx="628">
                  <c:v>44411</c:v>
                </c:pt>
                <c:pt idx="629">
                  <c:v>44412</c:v>
                </c:pt>
                <c:pt idx="630">
                  <c:v>44413</c:v>
                </c:pt>
                <c:pt idx="631">
                  <c:v>44414</c:v>
                </c:pt>
                <c:pt idx="632">
                  <c:v>44417</c:v>
                </c:pt>
                <c:pt idx="633">
                  <c:v>44418</c:v>
                </c:pt>
                <c:pt idx="634">
                  <c:v>44419</c:v>
                </c:pt>
                <c:pt idx="635">
                  <c:v>44420</c:v>
                </c:pt>
                <c:pt idx="636">
                  <c:v>44421</c:v>
                </c:pt>
                <c:pt idx="637">
                  <c:v>44424</c:v>
                </c:pt>
                <c:pt idx="638">
                  <c:v>44425</c:v>
                </c:pt>
                <c:pt idx="639">
                  <c:v>44426</c:v>
                </c:pt>
                <c:pt idx="640">
                  <c:v>44427</c:v>
                </c:pt>
                <c:pt idx="641">
                  <c:v>44428</c:v>
                </c:pt>
                <c:pt idx="642">
                  <c:v>44431</c:v>
                </c:pt>
                <c:pt idx="643">
                  <c:v>44432</c:v>
                </c:pt>
                <c:pt idx="644">
                  <c:v>44433</c:v>
                </c:pt>
                <c:pt idx="645">
                  <c:v>44434</c:v>
                </c:pt>
                <c:pt idx="646">
                  <c:v>44435</c:v>
                </c:pt>
                <c:pt idx="647">
                  <c:v>44438</c:v>
                </c:pt>
                <c:pt idx="648">
                  <c:v>44439</c:v>
                </c:pt>
                <c:pt idx="649">
                  <c:v>44440</c:v>
                </c:pt>
                <c:pt idx="650">
                  <c:v>44441</c:v>
                </c:pt>
                <c:pt idx="651">
                  <c:v>44442</c:v>
                </c:pt>
                <c:pt idx="652">
                  <c:v>44445</c:v>
                </c:pt>
                <c:pt idx="653">
                  <c:v>44446</c:v>
                </c:pt>
                <c:pt idx="654">
                  <c:v>44447</c:v>
                </c:pt>
                <c:pt idx="655">
                  <c:v>44448</c:v>
                </c:pt>
                <c:pt idx="656">
                  <c:v>44449</c:v>
                </c:pt>
                <c:pt idx="657">
                  <c:v>44452</c:v>
                </c:pt>
                <c:pt idx="658">
                  <c:v>44453</c:v>
                </c:pt>
                <c:pt idx="659">
                  <c:v>44454</c:v>
                </c:pt>
                <c:pt idx="660">
                  <c:v>44455</c:v>
                </c:pt>
                <c:pt idx="661">
                  <c:v>44456</c:v>
                </c:pt>
                <c:pt idx="662">
                  <c:v>44461</c:v>
                </c:pt>
                <c:pt idx="663">
                  <c:v>44462</c:v>
                </c:pt>
                <c:pt idx="664">
                  <c:v>44463</c:v>
                </c:pt>
                <c:pt idx="665">
                  <c:v>44466</c:v>
                </c:pt>
                <c:pt idx="666">
                  <c:v>44467</c:v>
                </c:pt>
                <c:pt idx="667">
                  <c:v>44468</c:v>
                </c:pt>
                <c:pt idx="668">
                  <c:v>44469</c:v>
                </c:pt>
                <c:pt idx="669">
                  <c:v>44477</c:v>
                </c:pt>
                <c:pt idx="670">
                  <c:v>44480</c:v>
                </c:pt>
                <c:pt idx="671">
                  <c:v>44481</c:v>
                </c:pt>
                <c:pt idx="672">
                  <c:v>44482</c:v>
                </c:pt>
                <c:pt idx="673">
                  <c:v>44483</c:v>
                </c:pt>
                <c:pt idx="674">
                  <c:v>44484</c:v>
                </c:pt>
                <c:pt idx="675">
                  <c:v>44487</c:v>
                </c:pt>
                <c:pt idx="676">
                  <c:v>44488</c:v>
                </c:pt>
                <c:pt idx="677">
                  <c:v>44489</c:v>
                </c:pt>
                <c:pt idx="678">
                  <c:v>44490</c:v>
                </c:pt>
                <c:pt idx="679">
                  <c:v>44491</c:v>
                </c:pt>
                <c:pt idx="680">
                  <c:v>44494</c:v>
                </c:pt>
                <c:pt idx="681">
                  <c:v>44495</c:v>
                </c:pt>
                <c:pt idx="682">
                  <c:v>44496</c:v>
                </c:pt>
                <c:pt idx="683">
                  <c:v>44497</c:v>
                </c:pt>
                <c:pt idx="684">
                  <c:v>44498</c:v>
                </c:pt>
                <c:pt idx="685">
                  <c:v>44501</c:v>
                </c:pt>
                <c:pt idx="686">
                  <c:v>44502</c:v>
                </c:pt>
                <c:pt idx="687">
                  <c:v>44503</c:v>
                </c:pt>
                <c:pt idx="688">
                  <c:v>44504</c:v>
                </c:pt>
                <c:pt idx="689">
                  <c:v>44505</c:v>
                </c:pt>
                <c:pt idx="690">
                  <c:v>44508</c:v>
                </c:pt>
                <c:pt idx="691">
                  <c:v>44509</c:v>
                </c:pt>
                <c:pt idx="692">
                  <c:v>44510</c:v>
                </c:pt>
                <c:pt idx="693">
                  <c:v>44511</c:v>
                </c:pt>
                <c:pt idx="694">
                  <c:v>44512</c:v>
                </c:pt>
                <c:pt idx="695">
                  <c:v>44515</c:v>
                </c:pt>
                <c:pt idx="696">
                  <c:v>44516</c:v>
                </c:pt>
                <c:pt idx="697">
                  <c:v>44517</c:v>
                </c:pt>
                <c:pt idx="698">
                  <c:v>44518</c:v>
                </c:pt>
                <c:pt idx="699">
                  <c:v>44519</c:v>
                </c:pt>
                <c:pt idx="700">
                  <c:v>44522</c:v>
                </c:pt>
                <c:pt idx="701">
                  <c:v>44523</c:v>
                </c:pt>
                <c:pt idx="702">
                  <c:v>44524</c:v>
                </c:pt>
                <c:pt idx="703">
                  <c:v>44525</c:v>
                </c:pt>
                <c:pt idx="704">
                  <c:v>44526</c:v>
                </c:pt>
                <c:pt idx="705">
                  <c:v>44529</c:v>
                </c:pt>
                <c:pt idx="706">
                  <c:v>44530</c:v>
                </c:pt>
                <c:pt idx="707">
                  <c:v>44531</c:v>
                </c:pt>
                <c:pt idx="708">
                  <c:v>44532</c:v>
                </c:pt>
                <c:pt idx="709">
                  <c:v>44533</c:v>
                </c:pt>
                <c:pt idx="710">
                  <c:v>44536</c:v>
                </c:pt>
                <c:pt idx="711">
                  <c:v>44537</c:v>
                </c:pt>
                <c:pt idx="712">
                  <c:v>44538</c:v>
                </c:pt>
                <c:pt idx="713">
                  <c:v>44539</c:v>
                </c:pt>
                <c:pt idx="714">
                  <c:v>44540</c:v>
                </c:pt>
                <c:pt idx="715">
                  <c:v>44543</c:v>
                </c:pt>
                <c:pt idx="716">
                  <c:v>44544</c:v>
                </c:pt>
                <c:pt idx="717">
                  <c:v>44545</c:v>
                </c:pt>
                <c:pt idx="718">
                  <c:v>44546</c:v>
                </c:pt>
                <c:pt idx="719">
                  <c:v>44547</c:v>
                </c:pt>
                <c:pt idx="720">
                  <c:v>44550</c:v>
                </c:pt>
                <c:pt idx="721">
                  <c:v>44551</c:v>
                </c:pt>
                <c:pt idx="722">
                  <c:v>44552</c:v>
                </c:pt>
                <c:pt idx="723">
                  <c:v>44553</c:v>
                </c:pt>
                <c:pt idx="724">
                  <c:v>44554</c:v>
                </c:pt>
                <c:pt idx="725">
                  <c:v>44557</c:v>
                </c:pt>
                <c:pt idx="726">
                  <c:v>44558</c:v>
                </c:pt>
                <c:pt idx="727">
                  <c:v>44559</c:v>
                </c:pt>
                <c:pt idx="728">
                  <c:v>44560</c:v>
                </c:pt>
                <c:pt idx="729">
                  <c:v>44561</c:v>
                </c:pt>
                <c:pt idx="730">
                  <c:v>44565</c:v>
                </c:pt>
                <c:pt idx="731">
                  <c:v>44566</c:v>
                </c:pt>
                <c:pt idx="732">
                  <c:v>44567</c:v>
                </c:pt>
                <c:pt idx="733">
                  <c:v>44568</c:v>
                </c:pt>
                <c:pt idx="734">
                  <c:v>44571</c:v>
                </c:pt>
                <c:pt idx="735">
                  <c:v>44572</c:v>
                </c:pt>
                <c:pt idx="736">
                  <c:v>44573</c:v>
                </c:pt>
                <c:pt idx="737">
                  <c:v>44574</c:v>
                </c:pt>
                <c:pt idx="738">
                  <c:v>44575</c:v>
                </c:pt>
                <c:pt idx="739">
                  <c:v>44578</c:v>
                </c:pt>
                <c:pt idx="740">
                  <c:v>44579</c:v>
                </c:pt>
                <c:pt idx="741">
                  <c:v>44580</c:v>
                </c:pt>
                <c:pt idx="742">
                  <c:v>44581</c:v>
                </c:pt>
                <c:pt idx="743">
                  <c:v>44582</c:v>
                </c:pt>
                <c:pt idx="744">
                  <c:v>44585</c:v>
                </c:pt>
                <c:pt idx="745">
                  <c:v>44586</c:v>
                </c:pt>
                <c:pt idx="746">
                  <c:v>44587</c:v>
                </c:pt>
                <c:pt idx="747">
                  <c:v>44588</c:v>
                </c:pt>
                <c:pt idx="748">
                  <c:v>44589</c:v>
                </c:pt>
                <c:pt idx="749">
                  <c:v>44599</c:v>
                </c:pt>
                <c:pt idx="750">
                  <c:v>44600</c:v>
                </c:pt>
                <c:pt idx="751">
                  <c:v>44601</c:v>
                </c:pt>
                <c:pt idx="752">
                  <c:v>44602</c:v>
                </c:pt>
                <c:pt idx="753">
                  <c:v>44603</c:v>
                </c:pt>
                <c:pt idx="754">
                  <c:v>44606</c:v>
                </c:pt>
                <c:pt idx="755">
                  <c:v>44607</c:v>
                </c:pt>
                <c:pt idx="756">
                  <c:v>44608</c:v>
                </c:pt>
                <c:pt idx="757">
                  <c:v>44609</c:v>
                </c:pt>
                <c:pt idx="758">
                  <c:v>44610</c:v>
                </c:pt>
                <c:pt idx="759">
                  <c:v>44613</c:v>
                </c:pt>
                <c:pt idx="760">
                  <c:v>44614</c:v>
                </c:pt>
                <c:pt idx="761">
                  <c:v>44615</c:v>
                </c:pt>
                <c:pt idx="762">
                  <c:v>44616</c:v>
                </c:pt>
                <c:pt idx="763">
                  <c:v>44617</c:v>
                </c:pt>
                <c:pt idx="764">
                  <c:v>44620</c:v>
                </c:pt>
                <c:pt idx="765">
                  <c:v>44621</c:v>
                </c:pt>
                <c:pt idx="766">
                  <c:v>44622</c:v>
                </c:pt>
                <c:pt idx="767">
                  <c:v>44623</c:v>
                </c:pt>
                <c:pt idx="768">
                  <c:v>44624</c:v>
                </c:pt>
                <c:pt idx="769">
                  <c:v>44627</c:v>
                </c:pt>
                <c:pt idx="770">
                  <c:v>44628</c:v>
                </c:pt>
                <c:pt idx="771">
                  <c:v>44629</c:v>
                </c:pt>
                <c:pt idx="772">
                  <c:v>44630</c:v>
                </c:pt>
                <c:pt idx="773">
                  <c:v>44631</c:v>
                </c:pt>
                <c:pt idx="774">
                  <c:v>44634</c:v>
                </c:pt>
                <c:pt idx="775">
                  <c:v>44635</c:v>
                </c:pt>
                <c:pt idx="776">
                  <c:v>44636</c:v>
                </c:pt>
                <c:pt idx="777">
                  <c:v>44637</c:v>
                </c:pt>
                <c:pt idx="778">
                  <c:v>44638</c:v>
                </c:pt>
                <c:pt idx="779">
                  <c:v>44641</c:v>
                </c:pt>
                <c:pt idx="780">
                  <c:v>44642</c:v>
                </c:pt>
                <c:pt idx="781">
                  <c:v>44643</c:v>
                </c:pt>
                <c:pt idx="782">
                  <c:v>44644</c:v>
                </c:pt>
                <c:pt idx="783">
                  <c:v>44645</c:v>
                </c:pt>
                <c:pt idx="784">
                  <c:v>44648</c:v>
                </c:pt>
                <c:pt idx="785">
                  <c:v>44649</c:v>
                </c:pt>
                <c:pt idx="786">
                  <c:v>44650</c:v>
                </c:pt>
                <c:pt idx="787">
                  <c:v>44651</c:v>
                </c:pt>
                <c:pt idx="788">
                  <c:v>44652</c:v>
                </c:pt>
                <c:pt idx="789">
                  <c:v>44657</c:v>
                </c:pt>
                <c:pt idx="790">
                  <c:v>44658</c:v>
                </c:pt>
                <c:pt idx="791">
                  <c:v>44659</c:v>
                </c:pt>
                <c:pt idx="792">
                  <c:v>44662</c:v>
                </c:pt>
                <c:pt idx="793">
                  <c:v>44663</c:v>
                </c:pt>
                <c:pt idx="794">
                  <c:v>44664</c:v>
                </c:pt>
                <c:pt idx="795">
                  <c:v>44665</c:v>
                </c:pt>
                <c:pt idx="796">
                  <c:v>44666</c:v>
                </c:pt>
                <c:pt idx="797">
                  <c:v>44669</c:v>
                </c:pt>
                <c:pt idx="798">
                  <c:v>44670</c:v>
                </c:pt>
                <c:pt idx="799">
                  <c:v>44671</c:v>
                </c:pt>
                <c:pt idx="800">
                  <c:v>44672</c:v>
                </c:pt>
                <c:pt idx="801">
                  <c:v>44673</c:v>
                </c:pt>
                <c:pt idx="802">
                  <c:v>44676</c:v>
                </c:pt>
                <c:pt idx="803">
                  <c:v>44677</c:v>
                </c:pt>
                <c:pt idx="804">
                  <c:v>44678</c:v>
                </c:pt>
                <c:pt idx="805">
                  <c:v>44679</c:v>
                </c:pt>
                <c:pt idx="806">
                  <c:v>44680</c:v>
                </c:pt>
                <c:pt idx="807">
                  <c:v>44686</c:v>
                </c:pt>
                <c:pt idx="808">
                  <c:v>44687</c:v>
                </c:pt>
                <c:pt idx="809">
                  <c:v>44690</c:v>
                </c:pt>
                <c:pt idx="810">
                  <c:v>44691</c:v>
                </c:pt>
                <c:pt idx="811">
                  <c:v>44692</c:v>
                </c:pt>
                <c:pt idx="812">
                  <c:v>44693</c:v>
                </c:pt>
                <c:pt idx="813">
                  <c:v>44694</c:v>
                </c:pt>
                <c:pt idx="814">
                  <c:v>44697</c:v>
                </c:pt>
                <c:pt idx="815">
                  <c:v>44698</c:v>
                </c:pt>
                <c:pt idx="816">
                  <c:v>44699</c:v>
                </c:pt>
                <c:pt idx="817">
                  <c:v>44700</c:v>
                </c:pt>
                <c:pt idx="818">
                  <c:v>44701</c:v>
                </c:pt>
                <c:pt idx="819">
                  <c:v>44704</c:v>
                </c:pt>
                <c:pt idx="820">
                  <c:v>44705</c:v>
                </c:pt>
                <c:pt idx="821">
                  <c:v>44706</c:v>
                </c:pt>
                <c:pt idx="822">
                  <c:v>44707</c:v>
                </c:pt>
                <c:pt idx="823">
                  <c:v>44708</c:v>
                </c:pt>
                <c:pt idx="824">
                  <c:v>44711</c:v>
                </c:pt>
                <c:pt idx="825">
                  <c:v>44712</c:v>
                </c:pt>
                <c:pt idx="826">
                  <c:v>44713</c:v>
                </c:pt>
                <c:pt idx="827">
                  <c:v>44714</c:v>
                </c:pt>
                <c:pt idx="828">
                  <c:v>44718</c:v>
                </c:pt>
                <c:pt idx="829">
                  <c:v>44719</c:v>
                </c:pt>
                <c:pt idx="830">
                  <c:v>44720</c:v>
                </c:pt>
                <c:pt idx="831">
                  <c:v>44721</c:v>
                </c:pt>
                <c:pt idx="832">
                  <c:v>44722</c:v>
                </c:pt>
                <c:pt idx="833">
                  <c:v>44725</c:v>
                </c:pt>
                <c:pt idx="834">
                  <c:v>44726</c:v>
                </c:pt>
                <c:pt idx="835">
                  <c:v>44727</c:v>
                </c:pt>
                <c:pt idx="836">
                  <c:v>44728</c:v>
                </c:pt>
                <c:pt idx="837">
                  <c:v>44729</c:v>
                </c:pt>
                <c:pt idx="838">
                  <c:v>44732</c:v>
                </c:pt>
                <c:pt idx="839">
                  <c:v>44733</c:v>
                </c:pt>
                <c:pt idx="840">
                  <c:v>44734</c:v>
                </c:pt>
                <c:pt idx="841">
                  <c:v>44735</c:v>
                </c:pt>
                <c:pt idx="842">
                  <c:v>44736</c:v>
                </c:pt>
                <c:pt idx="843">
                  <c:v>44739</c:v>
                </c:pt>
                <c:pt idx="844">
                  <c:v>44740</c:v>
                </c:pt>
                <c:pt idx="845">
                  <c:v>44741</c:v>
                </c:pt>
                <c:pt idx="846">
                  <c:v>44742</c:v>
                </c:pt>
                <c:pt idx="847">
                  <c:v>44743</c:v>
                </c:pt>
                <c:pt idx="848">
                  <c:v>44746</c:v>
                </c:pt>
                <c:pt idx="849">
                  <c:v>44747</c:v>
                </c:pt>
                <c:pt idx="850">
                  <c:v>44748</c:v>
                </c:pt>
                <c:pt idx="851">
                  <c:v>44749</c:v>
                </c:pt>
                <c:pt idx="852">
                  <c:v>44750</c:v>
                </c:pt>
                <c:pt idx="853">
                  <c:v>44753</c:v>
                </c:pt>
                <c:pt idx="854">
                  <c:v>44754</c:v>
                </c:pt>
                <c:pt idx="855">
                  <c:v>44755</c:v>
                </c:pt>
                <c:pt idx="856">
                  <c:v>44756</c:v>
                </c:pt>
                <c:pt idx="857">
                  <c:v>44757</c:v>
                </c:pt>
                <c:pt idx="858">
                  <c:v>44760</c:v>
                </c:pt>
                <c:pt idx="859">
                  <c:v>44761</c:v>
                </c:pt>
                <c:pt idx="860">
                  <c:v>44762</c:v>
                </c:pt>
                <c:pt idx="861">
                  <c:v>44763</c:v>
                </c:pt>
                <c:pt idx="862">
                  <c:v>44764</c:v>
                </c:pt>
                <c:pt idx="863">
                  <c:v>44767</c:v>
                </c:pt>
                <c:pt idx="864">
                  <c:v>44768</c:v>
                </c:pt>
                <c:pt idx="865">
                  <c:v>44769</c:v>
                </c:pt>
                <c:pt idx="866">
                  <c:v>44770</c:v>
                </c:pt>
                <c:pt idx="867">
                  <c:v>44771</c:v>
                </c:pt>
                <c:pt idx="868">
                  <c:v>44774</c:v>
                </c:pt>
                <c:pt idx="869">
                  <c:v>44775</c:v>
                </c:pt>
                <c:pt idx="870">
                  <c:v>44776</c:v>
                </c:pt>
                <c:pt idx="871">
                  <c:v>44777</c:v>
                </c:pt>
                <c:pt idx="872">
                  <c:v>44778</c:v>
                </c:pt>
                <c:pt idx="873">
                  <c:v>44781</c:v>
                </c:pt>
                <c:pt idx="874">
                  <c:v>44782</c:v>
                </c:pt>
                <c:pt idx="875">
                  <c:v>44783</c:v>
                </c:pt>
                <c:pt idx="876">
                  <c:v>44784</c:v>
                </c:pt>
                <c:pt idx="877">
                  <c:v>44785</c:v>
                </c:pt>
                <c:pt idx="878">
                  <c:v>44788</c:v>
                </c:pt>
                <c:pt idx="879">
                  <c:v>44789</c:v>
                </c:pt>
                <c:pt idx="880">
                  <c:v>44790</c:v>
                </c:pt>
                <c:pt idx="881">
                  <c:v>44791</c:v>
                </c:pt>
                <c:pt idx="882">
                  <c:v>44792</c:v>
                </c:pt>
                <c:pt idx="883">
                  <c:v>44795</c:v>
                </c:pt>
                <c:pt idx="884">
                  <c:v>44796</c:v>
                </c:pt>
                <c:pt idx="885">
                  <c:v>44797</c:v>
                </c:pt>
                <c:pt idx="886">
                  <c:v>44798</c:v>
                </c:pt>
                <c:pt idx="887">
                  <c:v>44799</c:v>
                </c:pt>
                <c:pt idx="888">
                  <c:v>44802</c:v>
                </c:pt>
                <c:pt idx="889">
                  <c:v>44803</c:v>
                </c:pt>
                <c:pt idx="890">
                  <c:v>44804</c:v>
                </c:pt>
                <c:pt idx="891">
                  <c:v>44805</c:v>
                </c:pt>
                <c:pt idx="892">
                  <c:v>44806</c:v>
                </c:pt>
                <c:pt idx="893">
                  <c:v>44809</c:v>
                </c:pt>
                <c:pt idx="894">
                  <c:v>44810</c:v>
                </c:pt>
                <c:pt idx="895">
                  <c:v>44811</c:v>
                </c:pt>
                <c:pt idx="896">
                  <c:v>44812</c:v>
                </c:pt>
                <c:pt idx="897">
                  <c:v>44813</c:v>
                </c:pt>
                <c:pt idx="898">
                  <c:v>44817</c:v>
                </c:pt>
                <c:pt idx="899">
                  <c:v>44818</c:v>
                </c:pt>
                <c:pt idx="900">
                  <c:v>44819</c:v>
                </c:pt>
                <c:pt idx="901">
                  <c:v>44820</c:v>
                </c:pt>
                <c:pt idx="902">
                  <c:v>44823</c:v>
                </c:pt>
                <c:pt idx="903">
                  <c:v>44824</c:v>
                </c:pt>
                <c:pt idx="904">
                  <c:v>44825</c:v>
                </c:pt>
                <c:pt idx="905">
                  <c:v>44826</c:v>
                </c:pt>
                <c:pt idx="906">
                  <c:v>44827</c:v>
                </c:pt>
                <c:pt idx="907">
                  <c:v>44830</c:v>
                </c:pt>
                <c:pt idx="908">
                  <c:v>44831</c:v>
                </c:pt>
                <c:pt idx="909">
                  <c:v>44832</c:v>
                </c:pt>
                <c:pt idx="910">
                  <c:v>44833</c:v>
                </c:pt>
                <c:pt idx="911">
                  <c:v>44834</c:v>
                </c:pt>
                <c:pt idx="912">
                  <c:v>44844</c:v>
                </c:pt>
                <c:pt idx="913">
                  <c:v>44845</c:v>
                </c:pt>
                <c:pt idx="914">
                  <c:v>44846</c:v>
                </c:pt>
                <c:pt idx="915">
                  <c:v>44847</c:v>
                </c:pt>
                <c:pt idx="916">
                  <c:v>44848</c:v>
                </c:pt>
                <c:pt idx="917">
                  <c:v>44851</c:v>
                </c:pt>
                <c:pt idx="918">
                  <c:v>44852</c:v>
                </c:pt>
                <c:pt idx="919">
                  <c:v>44853</c:v>
                </c:pt>
                <c:pt idx="920">
                  <c:v>44854</c:v>
                </c:pt>
                <c:pt idx="921">
                  <c:v>44855</c:v>
                </c:pt>
                <c:pt idx="922">
                  <c:v>44858</c:v>
                </c:pt>
                <c:pt idx="923">
                  <c:v>44859</c:v>
                </c:pt>
                <c:pt idx="924">
                  <c:v>44860</c:v>
                </c:pt>
                <c:pt idx="925">
                  <c:v>44861</c:v>
                </c:pt>
                <c:pt idx="926">
                  <c:v>44862</c:v>
                </c:pt>
                <c:pt idx="927">
                  <c:v>44865</c:v>
                </c:pt>
                <c:pt idx="928">
                  <c:v>44866</c:v>
                </c:pt>
                <c:pt idx="929">
                  <c:v>44867</c:v>
                </c:pt>
                <c:pt idx="930">
                  <c:v>44868</c:v>
                </c:pt>
                <c:pt idx="931">
                  <c:v>44869</c:v>
                </c:pt>
                <c:pt idx="932">
                  <c:v>44872</c:v>
                </c:pt>
                <c:pt idx="933">
                  <c:v>44873</c:v>
                </c:pt>
                <c:pt idx="934">
                  <c:v>44874</c:v>
                </c:pt>
                <c:pt idx="935">
                  <c:v>44875</c:v>
                </c:pt>
                <c:pt idx="936">
                  <c:v>44876</c:v>
                </c:pt>
                <c:pt idx="937">
                  <c:v>44879</c:v>
                </c:pt>
                <c:pt idx="938">
                  <c:v>44880</c:v>
                </c:pt>
                <c:pt idx="939">
                  <c:v>44881</c:v>
                </c:pt>
                <c:pt idx="940">
                  <c:v>44882</c:v>
                </c:pt>
                <c:pt idx="941">
                  <c:v>44883</c:v>
                </c:pt>
                <c:pt idx="942">
                  <c:v>44886</c:v>
                </c:pt>
                <c:pt idx="943">
                  <c:v>44887</c:v>
                </c:pt>
                <c:pt idx="944">
                  <c:v>44888</c:v>
                </c:pt>
                <c:pt idx="945">
                  <c:v>44889</c:v>
                </c:pt>
                <c:pt idx="946">
                  <c:v>44890</c:v>
                </c:pt>
                <c:pt idx="947">
                  <c:v>44893</c:v>
                </c:pt>
                <c:pt idx="948">
                  <c:v>44894</c:v>
                </c:pt>
                <c:pt idx="949">
                  <c:v>44895</c:v>
                </c:pt>
                <c:pt idx="950">
                  <c:v>44896</c:v>
                </c:pt>
                <c:pt idx="951">
                  <c:v>44897</c:v>
                </c:pt>
                <c:pt idx="952">
                  <c:v>44900</c:v>
                </c:pt>
                <c:pt idx="953">
                  <c:v>44901</c:v>
                </c:pt>
                <c:pt idx="954">
                  <c:v>44902</c:v>
                </c:pt>
                <c:pt idx="955">
                  <c:v>44903</c:v>
                </c:pt>
                <c:pt idx="956">
                  <c:v>44904</c:v>
                </c:pt>
                <c:pt idx="957">
                  <c:v>44907</c:v>
                </c:pt>
                <c:pt idx="958">
                  <c:v>44908</c:v>
                </c:pt>
                <c:pt idx="959">
                  <c:v>44909</c:v>
                </c:pt>
                <c:pt idx="960">
                  <c:v>44910</c:v>
                </c:pt>
                <c:pt idx="961">
                  <c:v>44911</c:v>
                </c:pt>
                <c:pt idx="962">
                  <c:v>44914</c:v>
                </c:pt>
                <c:pt idx="963">
                  <c:v>44915</c:v>
                </c:pt>
                <c:pt idx="964">
                  <c:v>44916</c:v>
                </c:pt>
                <c:pt idx="965">
                  <c:v>44917</c:v>
                </c:pt>
                <c:pt idx="966">
                  <c:v>44918</c:v>
                </c:pt>
                <c:pt idx="967">
                  <c:v>44921</c:v>
                </c:pt>
                <c:pt idx="968">
                  <c:v>44922</c:v>
                </c:pt>
                <c:pt idx="969">
                  <c:v>44923</c:v>
                </c:pt>
                <c:pt idx="970">
                  <c:v>44924</c:v>
                </c:pt>
                <c:pt idx="971">
                  <c:v>44925</c:v>
                </c:pt>
                <c:pt idx="972">
                  <c:v>44929</c:v>
                </c:pt>
                <c:pt idx="973">
                  <c:v>44930</c:v>
                </c:pt>
                <c:pt idx="974">
                  <c:v>44931</c:v>
                </c:pt>
                <c:pt idx="975">
                  <c:v>44932</c:v>
                </c:pt>
                <c:pt idx="976">
                  <c:v>44935</c:v>
                </c:pt>
                <c:pt idx="977">
                  <c:v>44936</c:v>
                </c:pt>
                <c:pt idx="978">
                  <c:v>44937</c:v>
                </c:pt>
                <c:pt idx="979">
                  <c:v>44938</c:v>
                </c:pt>
                <c:pt idx="980">
                  <c:v>44939</c:v>
                </c:pt>
                <c:pt idx="981">
                  <c:v>44942</c:v>
                </c:pt>
                <c:pt idx="982">
                  <c:v>44943</c:v>
                </c:pt>
                <c:pt idx="983">
                  <c:v>44944</c:v>
                </c:pt>
                <c:pt idx="984">
                  <c:v>44945</c:v>
                </c:pt>
                <c:pt idx="985">
                  <c:v>44946</c:v>
                </c:pt>
                <c:pt idx="986">
                  <c:v>44956</c:v>
                </c:pt>
                <c:pt idx="987">
                  <c:v>44957</c:v>
                </c:pt>
                <c:pt idx="988">
                  <c:v>44958</c:v>
                </c:pt>
                <c:pt idx="989">
                  <c:v>44959</c:v>
                </c:pt>
                <c:pt idx="990">
                  <c:v>44960</c:v>
                </c:pt>
                <c:pt idx="991">
                  <c:v>44963</c:v>
                </c:pt>
                <c:pt idx="992">
                  <c:v>44964</c:v>
                </c:pt>
                <c:pt idx="993">
                  <c:v>44965</c:v>
                </c:pt>
                <c:pt idx="994">
                  <c:v>44966</c:v>
                </c:pt>
                <c:pt idx="995">
                  <c:v>44967</c:v>
                </c:pt>
                <c:pt idx="996">
                  <c:v>44970</c:v>
                </c:pt>
                <c:pt idx="997">
                  <c:v>44971</c:v>
                </c:pt>
                <c:pt idx="998">
                  <c:v>44972</c:v>
                </c:pt>
                <c:pt idx="999">
                  <c:v>44973</c:v>
                </c:pt>
                <c:pt idx="1000">
                  <c:v>44974</c:v>
                </c:pt>
                <c:pt idx="1001">
                  <c:v>44977</c:v>
                </c:pt>
                <c:pt idx="1002">
                  <c:v>44978</c:v>
                </c:pt>
                <c:pt idx="1003">
                  <c:v>44979</c:v>
                </c:pt>
                <c:pt idx="1004">
                  <c:v>44980</c:v>
                </c:pt>
                <c:pt idx="1005">
                  <c:v>44981</c:v>
                </c:pt>
                <c:pt idx="1006">
                  <c:v>44984</c:v>
                </c:pt>
                <c:pt idx="1007">
                  <c:v>44985</c:v>
                </c:pt>
                <c:pt idx="1008">
                  <c:v>44986</c:v>
                </c:pt>
                <c:pt idx="1009">
                  <c:v>44987</c:v>
                </c:pt>
                <c:pt idx="1010">
                  <c:v>44988</c:v>
                </c:pt>
                <c:pt idx="1011">
                  <c:v>44991</c:v>
                </c:pt>
                <c:pt idx="1012">
                  <c:v>44992</c:v>
                </c:pt>
                <c:pt idx="1013">
                  <c:v>44993</c:v>
                </c:pt>
                <c:pt idx="1014">
                  <c:v>44994</c:v>
                </c:pt>
                <c:pt idx="1015">
                  <c:v>44995</c:v>
                </c:pt>
                <c:pt idx="1016">
                  <c:v>44998</c:v>
                </c:pt>
                <c:pt idx="1017">
                  <c:v>44999</c:v>
                </c:pt>
                <c:pt idx="1018">
                  <c:v>45000</c:v>
                </c:pt>
                <c:pt idx="1019">
                  <c:v>45001</c:v>
                </c:pt>
                <c:pt idx="1020">
                  <c:v>45002</c:v>
                </c:pt>
                <c:pt idx="1021">
                  <c:v>45005</c:v>
                </c:pt>
                <c:pt idx="1022">
                  <c:v>45006</c:v>
                </c:pt>
                <c:pt idx="1023">
                  <c:v>45007</c:v>
                </c:pt>
                <c:pt idx="1024">
                  <c:v>45008</c:v>
                </c:pt>
                <c:pt idx="1025">
                  <c:v>45009</c:v>
                </c:pt>
                <c:pt idx="1026">
                  <c:v>45012</c:v>
                </c:pt>
                <c:pt idx="1027">
                  <c:v>45013</c:v>
                </c:pt>
                <c:pt idx="1028">
                  <c:v>45014</c:v>
                </c:pt>
                <c:pt idx="1029">
                  <c:v>45015</c:v>
                </c:pt>
                <c:pt idx="1030">
                  <c:v>45016</c:v>
                </c:pt>
                <c:pt idx="1031">
                  <c:v>45019</c:v>
                </c:pt>
                <c:pt idx="1032">
                  <c:v>45020</c:v>
                </c:pt>
                <c:pt idx="1033">
                  <c:v>45022</c:v>
                </c:pt>
                <c:pt idx="1034">
                  <c:v>45023</c:v>
                </c:pt>
                <c:pt idx="1035">
                  <c:v>45026</c:v>
                </c:pt>
                <c:pt idx="1036">
                  <c:v>45027</c:v>
                </c:pt>
                <c:pt idx="1037">
                  <c:v>45028</c:v>
                </c:pt>
                <c:pt idx="1038">
                  <c:v>45029</c:v>
                </c:pt>
                <c:pt idx="1039">
                  <c:v>45030</c:v>
                </c:pt>
                <c:pt idx="1040">
                  <c:v>45033</c:v>
                </c:pt>
                <c:pt idx="1041">
                  <c:v>45034</c:v>
                </c:pt>
                <c:pt idx="1042">
                  <c:v>45035</c:v>
                </c:pt>
                <c:pt idx="1043">
                  <c:v>45036</c:v>
                </c:pt>
                <c:pt idx="1044">
                  <c:v>45037</c:v>
                </c:pt>
                <c:pt idx="1045">
                  <c:v>45040</c:v>
                </c:pt>
                <c:pt idx="1046">
                  <c:v>45041</c:v>
                </c:pt>
                <c:pt idx="1047">
                  <c:v>45042</c:v>
                </c:pt>
                <c:pt idx="1048">
                  <c:v>45043</c:v>
                </c:pt>
                <c:pt idx="1049">
                  <c:v>45044</c:v>
                </c:pt>
                <c:pt idx="1050">
                  <c:v>45050</c:v>
                </c:pt>
                <c:pt idx="1051">
                  <c:v>45051</c:v>
                </c:pt>
                <c:pt idx="1052">
                  <c:v>45054</c:v>
                </c:pt>
                <c:pt idx="1053">
                  <c:v>45055</c:v>
                </c:pt>
                <c:pt idx="1054">
                  <c:v>45056</c:v>
                </c:pt>
                <c:pt idx="1055">
                  <c:v>45057</c:v>
                </c:pt>
                <c:pt idx="1056">
                  <c:v>45058</c:v>
                </c:pt>
                <c:pt idx="1057">
                  <c:v>45061</c:v>
                </c:pt>
                <c:pt idx="1058">
                  <c:v>45062</c:v>
                </c:pt>
                <c:pt idx="1059">
                  <c:v>45063</c:v>
                </c:pt>
                <c:pt idx="1060">
                  <c:v>45064</c:v>
                </c:pt>
                <c:pt idx="1061">
                  <c:v>45065</c:v>
                </c:pt>
                <c:pt idx="1062">
                  <c:v>45068</c:v>
                </c:pt>
                <c:pt idx="1063">
                  <c:v>45069</c:v>
                </c:pt>
                <c:pt idx="1064">
                  <c:v>45070</c:v>
                </c:pt>
                <c:pt idx="1065">
                  <c:v>45071</c:v>
                </c:pt>
                <c:pt idx="1066">
                  <c:v>45072</c:v>
                </c:pt>
                <c:pt idx="1067">
                  <c:v>45075</c:v>
                </c:pt>
                <c:pt idx="1068">
                  <c:v>45076</c:v>
                </c:pt>
                <c:pt idx="1069">
                  <c:v>45077</c:v>
                </c:pt>
                <c:pt idx="1070">
                  <c:v>45078</c:v>
                </c:pt>
                <c:pt idx="1071">
                  <c:v>45079</c:v>
                </c:pt>
                <c:pt idx="1072">
                  <c:v>45082</c:v>
                </c:pt>
                <c:pt idx="1073">
                  <c:v>45083</c:v>
                </c:pt>
                <c:pt idx="1074">
                  <c:v>45084</c:v>
                </c:pt>
                <c:pt idx="1075">
                  <c:v>45085</c:v>
                </c:pt>
                <c:pt idx="1076">
                  <c:v>45086</c:v>
                </c:pt>
                <c:pt idx="1077">
                  <c:v>45089</c:v>
                </c:pt>
                <c:pt idx="1078">
                  <c:v>45090</c:v>
                </c:pt>
                <c:pt idx="1079">
                  <c:v>45091</c:v>
                </c:pt>
                <c:pt idx="1080">
                  <c:v>45092</c:v>
                </c:pt>
                <c:pt idx="1081">
                  <c:v>45093</c:v>
                </c:pt>
                <c:pt idx="1082">
                  <c:v>45096</c:v>
                </c:pt>
                <c:pt idx="1083">
                  <c:v>45097</c:v>
                </c:pt>
                <c:pt idx="1084">
                  <c:v>45098</c:v>
                </c:pt>
                <c:pt idx="1085">
                  <c:v>45103</c:v>
                </c:pt>
                <c:pt idx="1086">
                  <c:v>45104</c:v>
                </c:pt>
                <c:pt idx="1087">
                  <c:v>45105</c:v>
                </c:pt>
                <c:pt idx="1088">
                  <c:v>45106</c:v>
                </c:pt>
                <c:pt idx="1089">
                  <c:v>45107</c:v>
                </c:pt>
                <c:pt idx="1090">
                  <c:v>45110</c:v>
                </c:pt>
                <c:pt idx="1091">
                  <c:v>45111</c:v>
                </c:pt>
                <c:pt idx="1092">
                  <c:v>45112</c:v>
                </c:pt>
                <c:pt idx="1093">
                  <c:v>45113</c:v>
                </c:pt>
                <c:pt idx="1094">
                  <c:v>45114</c:v>
                </c:pt>
                <c:pt idx="1095">
                  <c:v>45117</c:v>
                </c:pt>
                <c:pt idx="1096">
                  <c:v>45118</c:v>
                </c:pt>
                <c:pt idx="1097">
                  <c:v>45119</c:v>
                </c:pt>
                <c:pt idx="1098">
                  <c:v>45120</c:v>
                </c:pt>
                <c:pt idx="1099">
                  <c:v>45121</c:v>
                </c:pt>
                <c:pt idx="1100">
                  <c:v>45124</c:v>
                </c:pt>
                <c:pt idx="1101">
                  <c:v>45125</c:v>
                </c:pt>
                <c:pt idx="1102">
                  <c:v>45126</c:v>
                </c:pt>
                <c:pt idx="1103">
                  <c:v>45127</c:v>
                </c:pt>
                <c:pt idx="1104">
                  <c:v>45128</c:v>
                </c:pt>
                <c:pt idx="1105">
                  <c:v>45131</c:v>
                </c:pt>
                <c:pt idx="1106">
                  <c:v>45132</c:v>
                </c:pt>
                <c:pt idx="1107">
                  <c:v>45133</c:v>
                </c:pt>
                <c:pt idx="1108">
                  <c:v>45134</c:v>
                </c:pt>
                <c:pt idx="1109">
                  <c:v>45135</c:v>
                </c:pt>
                <c:pt idx="1110">
                  <c:v>45138</c:v>
                </c:pt>
                <c:pt idx="1111">
                  <c:v>45139</c:v>
                </c:pt>
                <c:pt idx="1112">
                  <c:v>45140</c:v>
                </c:pt>
                <c:pt idx="1113">
                  <c:v>45141</c:v>
                </c:pt>
                <c:pt idx="1114">
                  <c:v>45142</c:v>
                </c:pt>
                <c:pt idx="1115">
                  <c:v>45145</c:v>
                </c:pt>
                <c:pt idx="1116">
                  <c:v>45146</c:v>
                </c:pt>
                <c:pt idx="1117">
                  <c:v>45147</c:v>
                </c:pt>
                <c:pt idx="1118">
                  <c:v>45148</c:v>
                </c:pt>
                <c:pt idx="1119">
                  <c:v>45149</c:v>
                </c:pt>
                <c:pt idx="1120">
                  <c:v>45152</c:v>
                </c:pt>
                <c:pt idx="1121">
                  <c:v>45153</c:v>
                </c:pt>
                <c:pt idx="1122">
                  <c:v>45154</c:v>
                </c:pt>
                <c:pt idx="1123">
                  <c:v>45155</c:v>
                </c:pt>
                <c:pt idx="1124">
                  <c:v>45156</c:v>
                </c:pt>
                <c:pt idx="1125">
                  <c:v>45159</c:v>
                </c:pt>
                <c:pt idx="1126">
                  <c:v>45160</c:v>
                </c:pt>
                <c:pt idx="1127">
                  <c:v>45161</c:v>
                </c:pt>
                <c:pt idx="1128">
                  <c:v>45162</c:v>
                </c:pt>
                <c:pt idx="1129">
                  <c:v>45163</c:v>
                </c:pt>
                <c:pt idx="1130">
                  <c:v>45166</c:v>
                </c:pt>
                <c:pt idx="1131">
                  <c:v>45167</c:v>
                </c:pt>
                <c:pt idx="1132">
                  <c:v>45168</c:v>
                </c:pt>
                <c:pt idx="1133">
                  <c:v>45169</c:v>
                </c:pt>
                <c:pt idx="1134">
                  <c:v>45170</c:v>
                </c:pt>
                <c:pt idx="1135">
                  <c:v>45173</c:v>
                </c:pt>
                <c:pt idx="1136">
                  <c:v>45174</c:v>
                </c:pt>
                <c:pt idx="1137">
                  <c:v>45175</c:v>
                </c:pt>
                <c:pt idx="1138">
                  <c:v>45176</c:v>
                </c:pt>
                <c:pt idx="1139">
                  <c:v>45177</c:v>
                </c:pt>
                <c:pt idx="1140">
                  <c:v>45180</c:v>
                </c:pt>
                <c:pt idx="1141">
                  <c:v>45181</c:v>
                </c:pt>
                <c:pt idx="1142">
                  <c:v>45182</c:v>
                </c:pt>
                <c:pt idx="1143">
                  <c:v>45183</c:v>
                </c:pt>
                <c:pt idx="1144">
                  <c:v>45184</c:v>
                </c:pt>
                <c:pt idx="1145">
                  <c:v>45187</c:v>
                </c:pt>
                <c:pt idx="1146">
                  <c:v>45188</c:v>
                </c:pt>
                <c:pt idx="1147">
                  <c:v>45189</c:v>
                </c:pt>
                <c:pt idx="1148">
                  <c:v>45190</c:v>
                </c:pt>
                <c:pt idx="1149">
                  <c:v>45191</c:v>
                </c:pt>
                <c:pt idx="1150">
                  <c:v>45194</c:v>
                </c:pt>
                <c:pt idx="1151">
                  <c:v>45195</c:v>
                </c:pt>
                <c:pt idx="1152">
                  <c:v>45196</c:v>
                </c:pt>
                <c:pt idx="1153">
                  <c:v>45197</c:v>
                </c:pt>
                <c:pt idx="1154">
                  <c:v>45208</c:v>
                </c:pt>
                <c:pt idx="1155">
                  <c:v>45209</c:v>
                </c:pt>
                <c:pt idx="1156">
                  <c:v>45210</c:v>
                </c:pt>
                <c:pt idx="1157">
                  <c:v>45211</c:v>
                </c:pt>
                <c:pt idx="1158">
                  <c:v>45212</c:v>
                </c:pt>
                <c:pt idx="1159">
                  <c:v>45215</c:v>
                </c:pt>
                <c:pt idx="1160">
                  <c:v>45216</c:v>
                </c:pt>
                <c:pt idx="1161">
                  <c:v>45217</c:v>
                </c:pt>
                <c:pt idx="1162">
                  <c:v>45218</c:v>
                </c:pt>
                <c:pt idx="1163">
                  <c:v>45219</c:v>
                </c:pt>
                <c:pt idx="1164">
                  <c:v>45222</c:v>
                </c:pt>
                <c:pt idx="1165">
                  <c:v>45223</c:v>
                </c:pt>
                <c:pt idx="1166">
                  <c:v>45224</c:v>
                </c:pt>
                <c:pt idx="1167">
                  <c:v>45225</c:v>
                </c:pt>
                <c:pt idx="1168">
                  <c:v>45226</c:v>
                </c:pt>
                <c:pt idx="1169">
                  <c:v>45229</c:v>
                </c:pt>
                <c:pt idx="1170">
                  <c:v>45230</c:v>
                </c:pt>
                <c:pt idx="1171">
                  <c:v>45231</c:v>
                </c:pt>
                <c:pt idx="1172">
                  <c:v>45232</c:v>
                </c:pt>
                <c:pt idx="1173">
                  <c:v>45233</c:v>
                </c:pt>
                <c:pt idx="1174">
                  <c:v>45236</c:v>
                </c:pt>
                <c:pt idx="1175">
                  <c:v>45237</c:v>
                </c:pt>
                <c:pt idx="1176">
                  <c:v>45238</c:v>
                </c:pt>
                <c:pt idx="1177">
                  <c:v>45239</c:v>
                </c:pt>
                <c:pt idx="1178">
                  <c:v>45240</c:v>
                </c:pt>
                <c:pt idx="1179">
                  <c:v>45243</c:v>
                </c:pt>
                <c:pt idx="1180">
                  <c:v>45244</c:v>
                </c:pt>
                <c:pt idx="1181">
                  <c:v>45245</c:v>
                </c:pt>
                <c:pt idx="1182">
                  <c:v>45246</c:v>
                </c:pt>
                <c:pt idx="1183">
                  <c:v>45247</c:v>
                </c:pt>
                <c:pt idx="1184">
                  <c:v>45250</c:v>
                </c:pt>
                <c:pt idx="1185">
                  <c:v>45251</c:v>
                </c:pt>
                <c:pt idx="1186">
                  <c:v>45252</c:v>
                </c:pt>
                <c:pt idx="1187">
                  <c:v>45253</c:v>
                </c:pt>
                <c:pt idx="1188">
                  <c:v>45254</c:v>
                </c:pt>
                <c:pt idx="1189">
                  <c:v>45257</c:v>
                </c:pt>
                <c:pt idx="1190">
                  <c:v>45258</c:v>
                </c:pt>
                <c:pt idx="1191">
                  <c:v>45259</c:v>
                </c:pt>
                <c:pt idx="1192">
                  <c:v>45260</c:v>
                </c:pt>
                <c:pt idx="1193">
                  <c:v>45261</c:v>
                </c:pt>
                <c:pt idx="1194">
                  <c:v>45264</c:v>
                </c:pt>
                <c:pt idx="1195">
                  <c:v>45265</c:v>
                </c:pt>
                <c:pt idx="1196">
                  <c:v>45266</c:v>
                </c:pt>
                <c:pt idx="1197">
                  <c:v>45267</c:v>
                </c:pt>
                <c:pt idx="1198">
                  <c:v>45268</c:v>
                </c:pt>
                <c:pt idx="1199">
                  <c:v>45271</c:v>
                </c:pt>
                <c:pt idx="1200">
                  <c:v>45272</c:v>
                </c:pt>
                <c:pt idx="1201">
                  <c:v>45273</c:v>
                </c:pt>
                <c:pt idx="1202">
                  <c:v>45274</c:v>
                </c:pt>
                <c:pt idx="1203">
                  <c:v>45275</c:v>
                </c:pt>
                <c:pt idx="1204">
                  <c:v>45278</c:v>
                </c:pt>
                <c:pt idx="1205">
                  <c:v>45279</c:v>
                </c:pt>
                <c:pt idx="1206">
                  <c:v>45280</c:v>
                </c:pt>
                <c:pt idx="1207">
                  <c:v>45281</c:v>
                </c:pt>
                <c:pt idx="1208">
                  <c:v>45282</c:v>
                </c:pt>
                <c:pt idx="1209">
                  <c:v>45285</c:v>
                </c:pt>
                <c:pt idx="1210">
                  <c:v>45286</c:v>
                </c:pt>
                <c:pt idx="1211">
                  <c:v>45287</c:v>
                </c:pt>
                <c:pt idx="1212">
                  <c:v>45288</c:v>
                </c:pt>
                <c:pt idx="1213">
                  <c:v>45289</c:v>
                </c:pt>
                <c:pt idx="1214">
                  <c:v>45293</c:v>
                </c:pt>
                <c:pt idx="1215">
                  <c:v>45294</c:v>
                </c:pt>
                <c:pt idx="1216">
                  <c:v>45295</c:v>
                </c:pt>
                <c:pt idx="1217">
                  <c:v>45296</c:v>
                </c:pt>
                <c:pt idx="1218">
                  <c:v>45299</c:v>
                </c:pt>
                <c:pt idx="1219">
                  <c:v>45300</c:v>
                </c:pt>
                <c:pt idx="1220">
                  <c:v>45301</c:v>
                </c:pt>
                <c:pt idx="1221">
                  <c:v>45302</c:v>
                </c:pt>
                <c:pt idx="1222">
                  <c:v>45303</c:v>
                </c:pt>
                <c:pt idx="1223">
                  <c:v>45306</c:v>
                </c:pt>
                <c:pt idx="1224">
                  <c:v>45307</c:v>
                </c:pt>
                <c:pt idx="1225">
                  <c:v>45308</c:v>
                </c:pt>
                <c:pt idx="1226">
                  <c:v>45309</c:v>
                </c:pt>
                <c:pt idx="1227">
                  <c:v>45310</c:v>
                </c:pt>
                <c:pt idx="1228">
                  <c:v>45313</c:v>
                </c:pt>
                <c:pt idx="1229">
                  <c:v>45314</c:v>
                </c:pt>
                <c:pt idx="1230">
                  <c:v>45315</c:v>
                </c:pt>
                <c:pt idx="1231">
                  <c:v>45316</c:v>
                </c:pt>
                <c:pt idx="1232">
                  <c:v>45317</c:v>
                </c:pt>
                <c:pt idx="1233">
                  <c:v>45320</c:v>
                </c:pt>
                <c:pt idx="1234">
                  <c:v>45321</c:v>
                </c:pt>
                <c:pt idx="1235">
                  <c:v>45322</c:v>
                </c:pt>
                <c:pt idx="1236">
                  <c:v>45323</c:v>
                </c:pt>
                <c:pt idx="1237">
                  <c:v>45324</c:v>
                </c:pt>
                <c:pt idx="1238">
                  <c:v>45327</c:v>
                </c:pt>
                <c:pt idx="1239">
                  <c:v>45328</c:v>
                </c:pt>
                <c:pt idx="1240">
                  <c:v>45329</c:v>
                </c:pt>
                <c:pt idx="1241">
                  <c:v>45330</c:v>
                </c:pt>
                <c:pt idx="1242">
                  <c:v>45341</c:v>
                </c:pt>
                <c:pt idx="1243">
                  <c:v>45342</c:v>
                </c:pt>
                <c:pt idx="1244">
                  <c:v>45343</c:v>
                </c:pt>
                <c:pt idx="1245">
                  <c:v>45344</c:v>
                </c:pt>
                <c:pt idx="1246">
                  <c:v>45345</c:v>
                </c:pt>
                <c:pt idx="1247">
                  <c:v>45348</c:v>
                </c:pt>
                <c:pt idx="1248">
                  <c:v>45349</c:v>
                </c:pt>
                <c:pt idx="1249">
                  <c:v>45350</c:v>
                </c:pt>
                <c:pt idx="1250">
                  <c:v>45351</c:v>
                </c:pt>
                <c:pt idx="1251">
                  <c:v>45352</c:v>
                </c:pt>
                <c:pt idx="1252">
                  <c:v>45355</c:v>
                </c:pt>
                <c:pt idx="1253">
                  <c:v>45356</c:v>
                </c:pt>
                <c:pt idx="1254">
                  <c:v>45357</c:v>
                </c:pt>
                <c:pt idx="1255">
                  <c:v>45358</c:v>
                </c:pt>
                <c:pt idx="1256">
                  <c:v>45359</c:v>
                </c:pt>
                <c:pt idx="1257">
                  <c:v>45362</c:v>
                </c:pt>
                <c:pt idx="1258">
                  <c:v>45363</c:v>
                </c:pt>
                <c:pt idx="1259">
                  <c:v>45364</c:v>
                </c:pt>
                <c:pt idx="1260">
                  <c:v>45365</c:v>
                </c:pt>
                <c:pt idx="1261">
                  <c:v>45366</c:v>
                </c:pt>
                <c:pt idx="1262">
                  <c:v>45369</c:v>
                </c:pt>
                <c:pt idx="1263">
                  <c:v>45370</c:v>
                </c:pt>
                <c:pt idx="1264">
                  <c:v>45371</c:v>
                </c:pt>
                <c:pt idx="1265">
                  <c:v>45372</c:v>
                </c:pt>
                <c:pt idx="1266">
                  <c:v>45373</c:v>
                </c:pt>
                <c:pt idx="1267">
                  <c:v>45376</c:v>
                </c:pt>
                <c:pt idx="1268">
                  <c:v>45377</c:v>
                </c:pt>
                <c:pt idx="1269">
                  <c:v>45378</c:v>
                </c:pt>
                <c:pt idx="1270">
                  <c:v>45379</c:v>
                </c:pt>
                <c:pt idx="1271">
                  <c:v>45380</c:v>
                </c:pt>
                <c:pt idx="1272">
                  <c:v>45383</c:v>
                </c:pt>
                <c:pt idx="1273">
                  <c:v>45384</c:v>
                </c:pt>
                <c:pt idx="1274">
                  <c:v>45385</c:v>
                </c:pt>
                <c:pt idx="1275">
                  <c:v>45390</c:v>
                </c:pt>
                <c:pt idx="1276">
                  <c:v>45391</c:v>
                </c:pt>
                <c:pt idx="1277">
                  <c:v>45392</c:v>
                </c:pt>
                <c:pt idx="1278">
                  <c:v>45393</c:v>
                </c:pt>
                <c:pt idx="1279">
                  <c:v>45394</c:v>
                </c:pt>
                <c:pt idx="1280">
                  <c:v>45397</c:v>
                </c:pt>
                <c:pt idx="1281">
                  <c:v>45398</c:v>
                </c:pt>
              </c:numCache>
            </c:numRef>
          </c:cat>
          <c:val>
            <c:numRef>
              <c:f>历史数据!$F$2:$F$3390</c:f>
              <c:numCache>
                <c:formatCode>General</c:formatCode>
                <c:ptCount val="3389"/>
                <c:pt idx="0">
                  <c:v>-35.156699999999546</c:v>
                </c:pt>
                <c:pt idx="1">
                  <c:v>-26.20699999999988</c:v>
                </c:pt>
                <c:pt idx="2">
                  <c:v>-3.0785999999998239</c:v>
                </c:pt>
                <c:pt idx="3">
                  <c:v>-19.723399999999856</c:v>
                </c:pt>
                <c:pt idx="4">
                  <c:v>-6.4966999999996915</c:v>
                </c:pt>
                <c:pt idx="5">
                  <c:v>-14.971700000000055</c:v>
                </c:pt>
                <c:pt idx="6">
                  <c:v>-4.4606000000003405</c:v>
                </c:pt>
                <c:pt idx="7">
                  <c:v>-2.8756999999995969</c:v>
                </c:pt>
                <c:pt idx="8">
                  <c:v>3.6525999999994383</c:v>
                </c:pt>
                <c:pt idx="9">
                  <c:v>4.0444999999999709</c:v>
                </c:pt>
                <c:pt idx="10">
                  <c:v>4.1220999999995911</c:v>
                </c:pt>
                <c:pt idx="11">
                  <c:v>3.6691999999993641</c:v>
                </c:pt>
                <c:pt idx="12">
                  <c:v>-17.811200000000099</c:v>
                </c:pt>
                <c:pt idx="13">
                  <c:v>-13.633300000000418</c:v>
                </c:pt>
                <c:pt idx="14">
                  <c:v>-14.051800000000185</c:v>
                </c:pt>
                <c:pt idx="15">
                  <c:v>-13.084599999999227</c:v>
                </c:pt>
                <c:pt idx="16">
                  <c:v>-7.3699999999998909</c:v>
                </c:pt>
                <c:pt idx="17">
                  <c:v>-8.44170000000031</c:v>
                </c:pt>
                <c:pt idx="18">
                  <c:v>-15.619599999999991</c:v>
                </c:pt>
                <c:pt idx="19">
                  <c:v>-11.887500000000728</c:v>
                </c:pt>
                <c:pt idx="20">
                  <c:v>-9.8234999999995125</c:v>
                </c:pt>
                <c:pt idx="21">
                  <c:v>7.126100000000406</c:v>
                </c:pt>
                <c:pt idx="22">
                  <c:v>18.930400000000191</c:v>
                </c:pt>
                <c:pt idx="23">
                  <c:v>3.9332000000003973</c:v>
                </c:pt>
                <c:pt idx="24">
                  <c:v>-6.0850000000000364</c:v>
                </c:pt>
                <c:pt idx="25">
                  <c:v>-0.40880000000015571</c:v>
                </c:pt>
                <c:pt idx="26">
                  <c:v>1.6301000000003114</c:v>
                </c:pt>
                <c:pt idx="27">
                  <c:v>19.865200000000186</c:v>
                </c:pt>
                <c:pt idx="28">
                  <c:v>16.001000000000204</c:v>
                </c:pt>
                <c:pt idx="29">
                  <c:v>-8.2835999999997512</c:v>
                </c:pt>
                <c:pt idx="30">
                  <c:v>-15.624300000000403</c:v>
                </c:pt>
                <c:pt idx="31">
                  <c:v>2.8568999999997686</c:v>
                </c:pt>
                <c:pt idx="32">
                  <c:v>27.502300000000105</c:v>
                </c:pt>
                <c:pt idx="33">
                  <c:v>78.653400000000147</c:v>
                </c:pt>
                <c:pt idx="34">
                  <c:v>24.656500000000051</c:v>
                </c:pt>
                <c:pt idx="35">
                  <c:v>-0.48420000000078289</c:v>
                </c:pt>
                <c:pt idx="36">
                  <c:v>9.3087000000004991</c:v>
                </c:pt>
                <c:pt idx="37">
                  <c:v>13.974999999999454</c:v>
                </c:pt>
                <c:pt idx="38">
                  <c:v>-13.846700000000055</c:v>
                </c:pt>
                <c:pt idx="39">
                  <c:v>3.5122000000001208</c:v>
                </c:pt>
                <c:pt idx="40">
                  <c:v>9.9705999999996493</c:v>
                </c:pt>
                <c:pt idx="41">
                  <c:v>-16.215300000000752</c:v>
                </c:pt>
                <c:pt idx="42">
                  <c:v>50.70010000000002</c:v>
                </c:pt>
                <c:pt idx="43">
                  <c:v>-7.581000000000131</c:v>
                </c:pt>
                <c:pt idx="44">
                  <c:v>-4.8029000000005908</c:v>
                </c:pt>
                <c:pt idx="45">
                  <c:v>-21.264199999999619</c:v>
                </c:pt>
                <c:pt idx="46">
                  <c:v>-8.9023999999999432</c:v>
                </c:pt>
                <c:pt idx="47">
                  <c:v>-7.8087000000004991</c:v>
                </c:pt>
                <c:pt idx="48">
                  <c:v>12.617000000000189</c:v>
                </c:pt>
                <c:pt idx="49">
                  <c:v>-34.780099999999948</c:v>
                </c:pt>
                <c:pt idx="50">
                  <c:v>-45.785600000000159</c:v>
                </c:pt>
                <c:pt idx="51">
                  <c:v>-48.078000000000429</c:v>
                </c:pt>
                <c:pt idx="52">
                  <c:v>-10.940200000000004</c:v>
                </c:pt>
                <c:pt idx="53">
                  <c:v>-31.071099999999205</c:v>
                </c:pt>
                <c:pt idx="54">
                  <c:v>-36.878700000000208</c:v>
                </c:pt>
                <c:pt idx="55">
                  <c:v>-56.279499999999643</c:v>
                </c:pt>
                <c:pt idx="56">
                  <c:v>-51.523400000000038</c:v>
                </c:pt>
                <c:pt idx="57">
                  <c:v>-13.256100000000515</c:v>
                </c:pt>
                <c:pt idx="58">
                  <c:v>8.1620999999995547</c:v>
                </c:pt>
                <c:pt idx="59">
                  <c:v>-28.949699999999211</c:v>
                </c:pt>
                <c:pt idx="60">
                  <c:v>-7.4368999999996959</c:v>
                </c:pt>
                <c:pt idx="61">
                  <c:v>11.042500000000473</c:v>
                </c:pt>
                <c:pt idx="62">
                  <c:v>-46.829600000000028</c:v>
                </c:pt>
                <c:pt idx="63">
                  <c:v>-21.246399999999994</c:v>
                </c:pt>
                <c:pt idx="64">
                  <c:v>-31.960900000000038</c:v>
                </c:pt>
                <c:pt idx="65">
                  <c:v>-5.9749000000001615</c:v>
                </c:pt>
                <c:pt idx="66">
                  <c:v>-13.167599999999766</c:v>
                </c:pt>
                <c:pt idx="67">
                  <c:v>-46.982500000000073</c:v>
                </c:pt>
                <c:pt idx="68">
                  <c:v>-17.811099999999897</c:v>
                </c:pt>
                <c:pt idx="69">
                  <c:v>-35.328800000000228</c:v>
                </c:pt>
                <c:pt idx="70">
                  <c:v>-9.9710000000004584</c:v>
                </c:pt>
                <c:pt idx="71">
                  <c:v>-28.979800000000068</c:v>
                </c:pt>
                <c:pt idx="72">
                  <c:v>-46.041699999999764</c:v>
                </c:pt>
                <c:pt idx="73">
                  <c:v>-75.262399999999616</c:v>
                </c:pt>
                <c:pt idx="74">
                  <c:v>-52.725599999999758</c:v>
                </c:pt>
                <c:pt idx="75">
                  <c:v>-47.219399999999951</c:v>
                </c:pt>
                <c:pt idx="76">
                  <c:v>-32.830600000000231</c:v>
                </c:pt>
                <c:pt idx="77">
                  <c:v>-6.8010999999996784</c:v>
                </c:pt>
                <c:pt idx="78">
                  <c:v>-40.360000000000582</c:v>
                </c:pt>
                <c:pt idx="79">
                  <c:v>-98.798399999999674</c:v>
                </c:pt>
                <c:pt idx="80">
                  <c:v>-67.404300000000148</c:v>
                </c:pt>
                <c:pt idx="81">
                  <c:v>-74.541900000000169</c:v>
                </c:pt>
                <c:pt idx="82">
                  <c:v>-45.612799999999879</c:v>
                </c:pt>
                <c:pt idx="83">
                  <c:v>-46.32300000000032</c:v>
                </c:pt>
                <c:pt idx="84">
                  <c:v>-67.504400000000714</c:v>
                </c:pt>
                <c:pt idx="85">
                  <c:v>-26.812399999999798</c:v>
                </c:pt>
                <c:pt idx="86">
                  <c:v>-30.355000000000473</c:v>
                </c:pt>
                <c:pt idx="87">
                  <c:v>-16.958800000000338</c:v>
                </c:pt>
                <c:pt idx="88">
                  <c:v>41.420799999999872</c:v>
                </c:pt>
                <c:pt idx="89">
                  <c:v>-98.558899999999994</c:v>
                </c:pt>
                <c:pt idx="90">
                  <c:v>-106.27250000000004</c:v>
                </c:pt>
                <c:pt idx="91">
                  <c:v>-86.592899999999645</c:v>
                </c:pt>
                <c:pt idx="92">
                  <c:v>-84.72019999999975</c:v>
                </c:pt>
                <c:pt idx="93">
                  <c:v>-69.15729999999985</c:v>
                </c:pt>
                <c:pt idx="94">
                  <c:v>-59.947000000000116</c:v>
                </c:pt>
                <c:pt idx="95">
                  <c:v>-66.685499999999593</c:v>
                </c:pt>
                <c:pt idx="96">
                  <c:v>-90.863800000000083</c:v>
                </c:pt>
                <c:pt idx="97">
                  <c:v>-57.802999999999884</c:v>
                </c:pt>
                <c:pt idx="98">
                  <c:v>-103.20049999999992</c:v>
                </c:pt>
                <c:pt idx="99">
                  <c:v>-65.815300000000207</c:v>
                </c:pt>
                <c:pt idx="100">
                  <c:v>-48.612900000000081</c:v>
                </c:pt>
                <c:pt idx="101">
                  <c:v>-62.024499999999534</c:v>
                </c:pt>
                <c:pt idx="102">
                  <c:v>-66.984399999999368</c:v>
                </c:pt>
                <c:pt idx="103">
                  <c:v>-67.264299999999821</c:v>
                </c:pt>
                <c:pt idx="104">
                  <c:v>-24.872299999999996</c:v>
                </c:pt>
                <c:pt idx="105">
                  <c:v>-47.092200000000048</c:v>
                </c:pt>
                <c:pt idx="106">
                  <c:v>-39.050499999999374</c:v>
                </c:pt>
                <c:pt idx="107">
                  <c:v>-26.326700000000528</c:v>
                </c:pt>
                <c:pt idx="108">
                  <c:v>-10.018500000000131</c:v>
                </c:pt>
                <c:pt idx="109">
                  <c:v>-6.3468000000002576</c:v>
                </c:pt>
                <c:pt idx="110">
                  <c:v>-3.9164000000000669</c:v>
                </c:pt>
                <c:pt idx="111">
                  <c:v>-0.53380000000015571</c:v>
                </c:pt>
                <c:pt idx="112">
                  <c:v>-9.3050999999995838</c:v>
                </c:pt>
                <c:pt idx="113">
                  <c:v>-49.604599999999664</c:v>
                </c:pt>
                <c:pt idx="114">
                  <c:v>-54.188199999999597</c:v>
                </c:pt>
                <c:pt idx="115">
                  <c:v>-46.393600000000333</c:v>
                </c:pt>
                <c:pt idx="116">
                  <c:v>-50.283300000000054</c:v>
                </c:pt>
                <c:pt idx="117">
                  <c:v>-30.479800000000068</c:v>
                </c:pt>
                <c:pt idx="118">
                  <c:v>-50.261900000000423</c:v>
                </c:pt>
                <c:pt idx="119">
                  <c:v>-51.010000000000218</c:v>
                </c:pt>
                <c:pt idx="120">
                  <c:v>-36.122699999999895</c:v>
                </c:pt>
                <c:pt idx="121">
                  <c:v>-41.020700000000033</c:v>
                </c:pt>
                <c:pt idx="122">
                  <c:v>-25.659899999999652</c:v>
                </c:pt>
                <c:pt idx="123">
                  <c:v>-49.180699999999888</c:v>
                </c:pt>
                <c:pt idx="124">
                  <c:v>-52.223500000000058</c:v>
                </c:pt>
                <c:pt idx="125">
                  <c:v>-34.064899999999398</c:v>
                </c:pt>
                <c:pt idx="126">
                  <c:v>-43.947400000000016</c:v>
                </c:pt>
                <c:pt idx="127">
                  <c:v>-18.567900000000009</c:v>
                </c:pt>
                <c:pt idx="128">
                  <c:v>-19.324300000000221</c:v>
                </c:pt>
                <c:pt idx="129">
                  <c:v>-10.845800000000054</c:v>
                </c:pt>
                <c:pt idx="130">
                  <c:v>-17.6850000000004</c:v>
                </c:pt>
                <c:pt idx="131">
                  <c:v>4.0913000000000466</c:v>
                </c:pt>
                <c:pt idx="132">
                  <c:v>2.7096999999994296</c:v>
                </c:pt>
                <c:pt idx="133">
                  <c:v>-43.374899999999798</c:v>
                </c:pt>
                <c:pt idx="134">
                  <c:v>-47.518200000000434</c:v>
                </c:pt>
                <c:pt idx="135">
                  <c:v>-52.62710000000061</c:v>
                </c:pt>
                <c:pt idx="136">
                  <c:v>-45.243200000000797</c:v>
                </c:pt>
                <c:pt idx="137">
                  <c:v>-38.909900000000562</c:v>
                </c:pt>
                <c:pt idx="138">
                  <c:v>-53.018299999999726</c:v>
                </c:pt>
                <c:pt idx="139">
                  <c:v>-45.3174999999992</c:v>
                </c:pt>
                <c:pt idx="140">
                  <c:v>-29.203000000000429</c:v>
                </c:pt>
                <c:pt idx="141">
                  <c:v>-29.469000000000051</c:v>
                </c:pt>
                <c:pt idx="142">
                  <c:v>-30.71979999999985</c:v>
                </c:pt>
                <c:pt idx="143">
                  <c:v>-26.984599999999773</c:v>
                </c:pt>
                <c:pt idx="144">
                  <c:v>-23.762700000000223</c:v>
                </c:pt>
                <c:pt idx="145">
                  <c:v>-34.764099999999416</c:v>
                </c:pt>
                <c:pt idx="146">
                  <c:v>-39.500900000000001</c:v>
                </c:pt>
                <c:pt idx="147">
                  <c:v>-29.752599999999802</c:v>
                </c:pt>
                <c:pt idx="148">
                  <c:v>-19.244999999999891</c:v>
                </c:pt>
                <c:pt idx="149">
                  <c:v>-11.588399999999638</c:v>
                </c:pt>
                <c:pt idx="150">
                  <c:v>-11.840299999999843</c:v>
                </c:pt>
                <c:pt idx="151">
                  <c:v>-4.7503999999998996</c:v>
                </c:pt>
                <c:pt idx="152">
                  <c:v>18.537499999999454</c:v>
                </c:pt>
                <c:pt idx="153">
                  <c:v>-21.236299999999574</c:v>
                </c:pt>
                <c:pt idx="154">
                  <c:v>-40.806099999999788</c:v>
                </c:pt>
                <c:pt idx="155">
                  <c:v>-39.921299999999974</c:v>
                </c:pt>
                <c:pt idx="156">
                  <c:v>-50.714200000000346</c:v>
                </c:pt>
                <c:pt idx="157">
                  <c:v>-46.102399999999761</c:v>
                </c:pt>
                <c:pt idx="158">
                  <c:v>-40.458400000000438</c:v>
                </c:pt>
                <c:pt idx="159">
                  <c:v>-61.723800000000665</c:v>
                </c:pt>
                <c:pt idx="160">
                  <c:v>-42.393500000000131</c:v>
                </c:pt>
                <c:pt idx="161">
                  <c:v>-42.983799999999974</c:v>
                </c:pt>
                <c:pt idx="162">
                  <c:v>-27.493999999999687</c:v>
                </c:pt>
                <c:pt idx="163">
                  <c:v>-30.895800000000236</c:v>
                </c:pt>
                <c:pt idx="164">
                  <c:v>-40.180500000000393</c:v>
                </c:pt>
                <c:pt idx="165">
                  <c:v>4.7337999999999738</c:v>
                </c:pt>
                <c:pt idx="166">
                  <c:v>-12.605099999999766</c:v>
                </c:pt>
                <c:pt idx="167">
                  <c:v>-3.2378000000007887</c:v>
                </c:pt>
                <c:pt idx="168">
                  <c:v>-14.859399999999368</c:v>
                </c:pt>
                <c:pt idx="169">
                  <c:v>-8.9050000000006548</c:v>
                </c:pt>
                <c:pt idx="170">
                  <c:v>0.70870000000013533</c:v>
                </c:pt>
                <c:pt idx="171">
                  <c:v>-2.4115000000001601</c:v>
                </c:pt>
                <c:pt idx="172">
                  <c:v>-12.939800000000105</c:v>
                </c:pt>
                <c:pt idx="173">
                  <c:v>-10.450200000000223</c:v>
                </c:pt>
                <c:pt idx="174">
                  <c:v>-10.238099999999577</c:v>
                </c:pt>
                <c:pt idx="175">
                  <c:v>-6.0686999999998079</c:v>
                </c:pt>
                <c:pt idx="176">
                  <c:v>-0.88479999999981374</c:v>
                </c:pt>
                <c:pt idx="177">
                  <c:v>-32.084000000000742</c:v>
                </c:pt>
                <c:pt idx="178">
                  <c:v>-53.541799999999967</c:v>
                </c:pt>
                <c:pt idx="179">
                  <c:v>-39.409099999999853</c:v>
                </c:pt>
                <c:pt idx="180">
                  <c:v>-17.04030000000057</c:v>
                </c:pt>
                <c:pt idx="181">
                  <c:v>-27.029899999999543</c:v>
                </c:pt>
                <c:pt idx="182">
                  <c:v>-46.903000000000247</c:v>
                </c:pt>
                <c:pt idx="183">
                  <c:v>-25.160699999999451</c:v>
                </c:pt>
                <c:pt idx="184">
                  <c:v>-23.15349999999944</c:v>
                </c:pt>
                <c:pt idx="185">
                  <c:v>-23.15940000000046</c:v>
                </c:pt>
                <c:pt idx="186">
                  <c:v>8.3500000000640284E-2</c:v>
                </c:pt>
                <c:pt idx="187">
                  <c:v>-28.131199999999808</c:v>
                </c:pt>
                <c:pt idx="188">
                  <c:v>-9.202900000000227</c:v>
                </c:pt>
                <c:pt idx="189">
                  <c:v>-17.355999999999767</c:v>
                </c:pt>
                <c:pt idx="190">
                  <c:v>-1.6540000000004511</c:v>
                </c:pt>
                <c:pt idx="191">
                  <c:v>14.392799999999625</c:v>
                </c:pt>
                <c:pt idx="192">
                  <c:v>-48.43539999999939</c:v>
                </c:pt>
                <c:pt idx="193">
                  <c:v>-50.7524999999996</c:v>
                </c:pt>
                <c:pt idx="194">
                  <c:v>-44.194900000000416</c:v>
                </c:pt>
                <c:pt idx="195">
                  <c:v>-34.246500000000196</c:v>
                </c:pt>
                <c:pt idx="196">
                  <c:v>-20.368400000000292</c:v>
                </c:pt>
                <c:pt idx="197">
                  <c:v>-38.067700000000514</c:v>
                </c:pt>
                <c:pt idx="198">
                  <c:v>-28.112599999999475</c:v>
                </c:pt>
                <c:pt idx="199">
                  <c:v>-31.895400000000336</c:v>
                </c:pt>
                <c:pt idx="200">
                  <c:v>-24.617400000000089</c:v>
                </c:pt>
                <c:pt idx="201">
                  <c:v>-14.149500000000444</c:v>
                </c:pt>
                <c:pt idx="202">
                  <c:v>-30.036399999999958</c:v>
                </c:pt>
                <c:pt idx="203">
                  <c:v>-27.102899999999863</c:v>
                </c:pt>
                <c:pt idx="204">
                  <c:v>-19.334300000000439</c:v>
                </c:pt>
                <c:pt idx="205">
                  <c:v>-16.666600000000471</c:v>
                </c:pt>
                <c:pt idx="206">
                  <c:v>-17.493800000000192</c:v>
                </c:pt>
                <c:pt idx="207">
                  <c:v>-14.15939999999955</c:v>
                </c:pt>
                <c:pt idx="208">
                  <c:v>-14.214400000000751</c:v>
                </c:pt>
                <c:pt idx="209">
                  <c:v>-3.3429999999998472</c:v>
                </c:pt>
                <c:pt idx="210">
                  <c:v>-9.1075000000000728</c:v>
                </c:pt>
                <c:pt idx="211">
                  <c:v>29.963299999999435</c:v>
                </c:pt>
                <c:pt idx="212">
                  <c:v>-37.460900000000038</c:v>
                </c:pt>
                <c:pt idx="213">
                  <c:v>-31.512799999999515</c:v>
                </c:pt>
                <c:pt idx="214">
                  <c:v>-45.875700000000506</c:v>
                </c:pt>
                <c:pt idx="215">
                  <c:v>-28.718799999999646</c:v>
                </c:pt>
                <c:pt idx="216">
                  <c:v>-51.082800000000134</c:v>
                </c:pt>
                <c:pt idx="217">
                  <c:v>-27.102100000000064</c:v>
                </c:pt>
                <c:pt idx="218">
                  <c:v>-28.962400000000343</c:v>
                </c:pt>
                <c:pt idx="219">
                  <c:v>-24.056800000000294</c:v>
                </c:pt>
                <c:pt idx="220">
                  <c:v>-13.459499999999935</c:v>
                </c:pt>
                <c:pt idx="221">
                  <c:v>-13.941600000000108</c:v>
                </c:pt>
                <c:pt idx="222">
                  <c:v>-9.4209000000000742</c:v>
                </c:pt>
                <c:pt idx="223">
                  <c:v>-1.6548000000002503</c:v>
                </c:pt>
                <c:pt idx="224">
                  <c:v>-8.868199999999888</c:v>
                </c:pt>
                <c:pt idx="225">
                  <c:v>-7.4021000000002459</c:v>
                </c:pt>
                <c:pt idx="226">
                  <c:v>5.0896000000002459</c:v>
                </c:pt>
                <c:pt idx="227">
                  <c:v>0.99600000000009459</c:v>
                </c:pt>
                <c:pt idx="228">
                  <c:v>1.1485999999995329</c:v>
                </c:pt>
                <c:pt idx="229">
                  <c:v>4.3216000000002168</c:v>
                </c:pt>
                <c:pt idx="230">
                  <c:v>5.7988999999997759</c:v>
                </c:pt>
                <c:pt idx="231">
                  <c:v>19.314199999999801</c:v>
                </c:pt>
                <c:pt idx="232">
                  <c:v>-1.639100000000326</c:v>
                </c:pt>
                <c:pt idx="233">
                  <c:v>8.9376000000002023</c:v>
                </c:pt>
                <c:pt idx="234">
                  <c:v>9.2752000000000407</c:v>
                </c:pt>
                <c:pt idx="235">
                  <c:v>8.8623999999999796</c:v>
                </c:pt>
                <c:pt idx="236">
                  <c:v>24.724799999999959</c:v>
                </c:pt>
                <c:pt idx="237">
                  <c:v>-10.150499999999738</c:v>
                </c:pt>
                <c:pt idx="238">
                  <c:v>-18.870200000000295</c:v>
                </c:pt>
                <c:pt idx="239">
                  <c:v>-15.298600000000079</c:v>
                </c:pt>
                <c:pt idx="240">
                  <c:v>-16.340400000000045</c:v>
                </c:pt>
                <c:pt idx="241">
                  <c:v>-15.592899999999645</c:v>
                </c:pt>
                <c:pt idx="242">
                  <c:v>3.0617000000002008</c:v>
                </c:pt>
                <c:pt idx="243">
                  <c:v>2.1378000000004249</c:v>
                </c:pt>
                <c:pt idx="244">
                  <c:v>-4.3374999999996362</c:v>
                </c:pt>
                <c:pt idx="245">
                  <c:v>-2.6372000000001208</c:v>
                </c:pt>
                <c:pt idx="246">
                  <c:v>-1.8503000000000611</c:v>
                </c:pt>
                <c:pt idx="247">
                  <c:v>1.1604999999999563</c:v>
                </c:pt>
                <c:pt idx="248">
                  <c:v>9.8034000000006927</c:v>
                </c:pt>
                <c:pt idx="249">
                  <c:v>0.45709999999962747</c:v>
                </c:pt>
                <c:pt idx="250">
                  <c:v>-12.227899999999863</c:v>
                </c:pt>
                <c:pt idx="251">
                  <c:v>11.572799999999916</c:v>
                </c:pt>
                <c:pt idx="252">
                  <c:v>1.2683999999999287</c:v>
                </c:pt>
                <c:pt idx="253">
                  <c:v>-6.4265999999997803</c:v>
                </c:pt>
                <c:pt idx="254">
                  <c:v>10.73239999999987</c:v>
                </c:pt>
                <c:pt idx="255">
                  <c:v>4.9547000000002299</c:v>
                </c:pt>
                <c:pt idx="256">
                  <c:v>11.264100000000326</c:v>
                </c:pt>
                <c:pt idx="257">
                  <c:v>-7.3418999999994412</c:v>
                </c:pt>
                <c:pt idx="258">
                  <c:v>5.2874000000001615</c:v>
                </c:pt>
                <c:pt idx="259">
                  <c:v>-31.341100000000552</c:v>
                </c:pt>
                <c:pt idx="260">
                  <c:v>-105.50110000000041</c:v>
                </c:pt>
                <c:pt idx="261">
                  <c:v>-43.474299999999857</c:v>
                </c:pt>
                <c:pt idx="262">
                  <c:v>-59.561900000000605</c:v>
                </c:pt>
                <c:pt idx="263">
                  <c:v>-32.492200000000594</c:v>
                </c:pt>
                <c:pt idx="264">
                  <c:v>-26.636900000000423</c:v>
                </c:pt>
                <c:pt idx="265">
                  <c:v>-62.034900000000562</c:v>
                </c:pt>
                <c:pt idx="266">
                  <c:v>-44.876800000000003</c:v>
                </c:pt>
                <c:pt idx="267">
                  <c:v>-22.946100000000115</c:v>
                </c:pt>
                <c:pt idx="268">
                  <c:v>-20.841800000000148</c:v>
                </c:pt>
                <c:pt idx="269">
                  <c:v>-15.202499999999418</c:v>
                </c:pt>
                <c:pt idx="270">
                  <c:v>1.1634000000003653</c:v>
                </c:pt>
                <c:pt idx="271">
                  <c:v>-32.214199999999437</c:v>
                </c:pt>
                <c:pt idx="272">
                  <c:v>0.53740000000016153</c:v>
                </c:pt>
                <c:pt idx="273">
                  <c:v>-1.9126999999998588</c:v>
                </c:pt>
                <c:pt idx="274">
                  <c:v>-1.4320999999999913</c:v>
                </c:pt>
                <c:pt idx="275">
                  <c:v>-59.466500000000451</c:v>
                </c:pt>
                <c:pt idx="276">
                  <c:v>-45.121899999999187</c:v>
                </c:pt>
                <c:pt idx="277">
                  <c:v>-27.992900000000191</c:v>
                </c:pt>
                <c:pt idx="278">
                  <c:v>-43.727700000000368</c:v>
                </c:pt>
                <c:pt idx="279">
                  <c:v>-68.289700000000266</c:v>
                </c:pt>
                <c:pt idx="280">
                  <c:v>-57.819299999999203</c:v>
                </c:pt>
                <c:pt idx="281">
                  <c:v>-89.623500000000604</c:v>
                </c:pt>
                <c:pt idx="282">
                  <c:v>-58.111200000000281</c:v>
                </c:pt>
                <c:pt idx="283">
                  <c:v>-72.519899999999325</c:v>
                </c:pt>
                <c:pt idx="284">
                  <c:v>-82.860200000000077</c:v>
                </c:pt>
                <c:pt idx="285">
                  <c:v>-57.416700000000674</c:v>
                </c:pt>
                <c:pt idx="286">
                  <c:v>-39.911299999999756</c:v>
                </c:pt>
                <c:pt idx="287">
                  <c:v>-64.531100000000151</c:v>
                </c:pt>
                <c:pt idx="288">
                  <c:v>-16.88379999999961</c:v>
                </c:pt>
                <c:pt idx="289">
                  <c:v>-10.200600000000122</c:v>
                </c:pt>
                <c:pt idx="290">
                  <c:v>-51.314199999999801</c:v>
                </c:pt>
                <c:pt idx="291">
                  <c:v>-46.66190000000006</c:v>
                </c:pt>
                <c:pt idx="292">
                  <c:v>-32.071600000000217</c:v>
                </c:pt>
                <c:pt idx="293">
                  <c:v>-10.423500000000786</c:v>
                </c:pt>
                <c:pt idx="294">
                  <c:v>-43.080899999999929</c:v>
                </c:pt>
                <c:pt idx="295">
                  <c:v>-34.709499999999935</c:v>
                </c:pt>
                <c:pt idx="296">
                  <c:v>-66.040799999999763</c:v>
                </c:pt>
                <c:pt idx="297">
                  <c:v>-75.823699999999917</c:v>
                </c:pt>
                <c:pt idx="298">
                  <c:v>-77.109099999999671</c:v>
                </c:pt>
                <c:pt idx="299">
                  <c:v>-83.737099999999373</c:v>
                </c:pt>
                <c:pt idx="300">
                  <c:v>-52.285600000000159</c:v>
                </c:pt>
                <c:pt idx="301">
                  <c:v>-82.653400000000147</c:v>
                </c:pt>
                <c:pt idx="302">
                  <c:v>-68.818700000000717</c:v>
                </c:pt>
                <c:pt idx="303">
                  <c:v>-16.801900000000387</c:v>
                </c:pt>
                <c:pt idx="304">
                  <c:v>-45.439300000000003</c:v>
                </c:pt>
                <c:pt idx="305">
                  <c:v>-54.07300000000032</c:v>
                </c:pt>
                <c:pt idx="306">
                  <c:v>-42.596099999999751</c:v>
                </c:pt>
                <c:pt idx="307">
                  <c:v>-49.261400000000322</c:v>
                </c:pt>
                <c:pt idx="308">
                  <c:v>-12.710199999999531</c:v>
                </c:pt>
                <c:pt idx="309">
                  <c:v>-29.375699999999597</c:v>
                </c:pt>
                <c:pt idx="310">
                  <c:v>-26.592999999999847</c:v>
                </c:pt>
                <c:pt idx="311">
                  <c:v>-17.349700000000666</c:v>
                </c:pt>
                <c:pt idx="312">
                  <c:v>-8.5707000000002154</c:v>
                </c:pt>
                <c:pt idx="313">
                  <c:v>23.54529999999977</c:v>
                </c:pt>
                <c:pt idx="314">
                  <c:v>-86.585700000000543</c:v>
                </c:pt>
                <c:pt idx="315">
                  <c:v>-88.080600000000231</c:v>
                </c:pt>
                <c:pt idx="316">
                  <c:v>-68.623300000000199</c:v>
                </c:pt>
                <c:pt idx="317">
                  <c:v>-75.190399999999499</c:v>
                </c:pt>
                <c:pt idx="318">
                  <c:v>-57.347400000000562</c:v>
                </c:pt>
                <c:pt idx="319">
                  <c:v>-62.924799999999777</c:v>
                </c:pt>
                <c:pt idx="320">
                  <c:v>-65.645999999999731</c:v>
                </c:pt>
                <c:pt idx="321">
                  <c:v>-38.61160000000018</c:v>
                </c:pt>
                <c:pt idx="322">
                  <c:v>-21.859499999999571</c:v>
                </c:pt>
                <c:pt idx="323">
                  <c:v>-37.715899999999237</c:v>
                </c:pt>
                <c:pt idx="324">
                  <c:v>-43.151899999999841</c:v>
                </c:pt>
                <c:pt idx="325">
                  <c:v>-27.896499999999833</c:v>
                </c:pt>
                <c:pt idx="326">
                  <c:v>-27.992000000000189</c:v>
                </c:pt>
                <c:pt idx="327">
                  <c:v>-26.463999999999942</c:v>
                </c:pt>
                <c:pt idx="328">
                  <c:v>-17.28020000000015</c:v>
                </c:pt>
                <c:pt idx="329">
                  <c:v>3.2929999999996653</c:v>
                </c:pt>
                <c:pt idx="330">
                  <c:v>18.466399999999339</c:v>
                </c:pt>
                <c:pt idx="331">
                  <c:v>-89.421800000000076</c:v>
                </c:pt>
                <c:pt idx="332">
                  <c:v>-93.675900000000183</c:v>
                </c:pt>
                <c:pt idx="333">
                  <c:v>-79.502400000000307</c:v>
                </c:pt>
                <c:pt idx="334">
                  <c:v>-82.974500000000262</c:v>
                </c:pt>
                <c:pt idx="335">
                  <c:v>-60.426800000000185</c:v>
                </c:pt>
                <c:pt idx="336">
                  <c:v>-62.003600000000006</c:v>
                </c:pt>
                <c:pt idx="337">
                  <c:v>-76.612599999999475</c:v>
                </c:pt>
                <c:pt idx="338">
                  <c:v>-68.099200000000565</c:v>
                </c:pt>
                <c:pt idx="339">
                  <c:v>-78.567000000000007</c:v>
                </c:pt>
                <c:pt idx="340">
                  <c:v>-87.540299999999661</c:v>
                </c:pt>
                <c:pt idx="341">
                  <c:v>-45.279999999999745</c:v>
                </c:pt>
                <c:pt idx="342">
                  <c:v>-43.44380000000001</c:v>
                </c:pt>
                <c:pt idx="343">
                  <c:v>-60.3125</c:v>
                </c:pt>
                <c:pt idx="344">
                  <c:v>-59.353500000000167</c:v>
                </c:pt>
                <c:pt idx="345">
                  <c:v>-44.423099999999977</c:v>
                </c:pt>
                <c:pt idx="346">
                  <c:v>-53.10360000000037</c:v>
                </c:pt>
                <c:pt idx="347">
                  <c:v>-51.177400000000489</c:v>
                </c:pt>
                <c:pt idx="348">
                  <c:v>-51.841699999999946</c:v>
                </c:pt>
                <c:pt idx="349">
                  <c:v>-32.501899999999296</c:v>
                </c:pt>
                <c:pt idx="350">
                  <c:v>-13.287100000000464</c:v>
                </c:pt>
                <c:pt idx="351">
                  <c:v>-33.643500000000131</c:v>
                </c:pt>
                <c:pt idx="352">
                  <c:v>-16.500699999999597</c:v>
                </c:pt>
                <c:pt idx="353">
                  <c:v>-29.418300000000272</c:v>
                </c:pt>
                <c:pt idx="354">
                  <c:v>8.7969999999995707</c:v>
                </c:pt>
                <c:pt idx="355">
                  <c:v>-5.1481999999996333</c:v>
                </c:pt>
                <c:pt idx="356">
                  <c:v>-72.626900000000205</c:v>
                </c:pt>
                <c:pt idx="357">
                  <c:v>-67.143000000000029</c:v>
                </c:pt>
                <c:pt idx="358">
                  <c:v>-44.889299999999821</c:v>
                </c:pt>
                <c:pt idx="359">
                  <c:v>-51.837799999999334</c:v>
                </c:pt>
                <c:pt idx="360">
                  <c:v>-62.016400000000431</c:v>
                </c:pt>
                <c:pt idx="361">
                  <c:v>-52.487500000000182</c:v>
                </c:pt>
                <c:pt idx="362">
                  <c:v>-21.079400000000533</c:v>
                </c:pt>
                <c:pt idx="363">
                  <c:v>-16.709899999999834</c:v>
                </c:pt>
                <c:pt idx="364">
                  <c:v>5.3449000000000524</c:v>
                </c:pt>
                <c:pt idx="365">
                  <c:v>20.372399999999288</c:v>
                </c:pt>
                <c:pt idx="366">
                  <c:v>-19.615099999999984</c:v>
                </c:pt>
                <c:pt idx="367">
                  <c:v>13.854800000000068</c:v>
                </c:pt>
                <c:pt idx="368">
                  <c:v>12.762700000000223</c:v>
                </c:pt>
                <c:pt idx="369">
                  <c:v>-0.91749999999956344</c:v>
                </c:pt>
                <c:pt idx="370">
                  <c:v>-16.726999999999862</c:v>
                </c:pt>
                <c:pt idx="371">
                  <c:v>-3.8383999999996377</c:v>
                </c:pt>
                <c:pt idx="372">
                  <c:v>-10.798099999999977</c:v>
                </c:pt>
                <c:pt idx="373">
                  <c:v>-20.791199999999662</c:v>
                </c:pt>
                <c:pt idx="374">
                  <c:v>-80.832500000000437</c:v>
                </c:pt>
                <c:pt idx="375">
                  <c:v>-71.923900000000685</c:v>
                </c:pt>
                <c:pt idx="376">
                  <c:v>-81.689300000000003</c:v>
                </c:pt>
                <c:pt idx="377">
                  <c:v>-72.085900000000038</c:v>
                </c:pt>
                <c:pt idx="378">
                  <c:v>-79.983100000000377</c:v>
                </c:pt>
                <c:pt idx="379">
                  <c:v>-91.135099999999511</c:v>
                </c:pt>
                <c:pt idx="380">
                  <c:v>-107.66370000000006</c:v>
                </c:pt>
                <c:pt idx="381">
                  <c:v>-28.871200000000499</c:v>
                </c:pt>
                <c:pt idx="382">
                  <c:v>-58.435999999999694</c:v>
                </c:pt>
                <c:pt idx="383">
                  <c:v>-63.669600000000173</c:v>
                </c:pt>
                <c:pt idx="384">
                  <c:v>-71.408500000000458</c:v>
                </c:pt>
                <c:pt idx="385">
                  <c:v>-63.307099999999991</c:v>
                </c:pt>
                <c:pt idx="386">
                  <c:v>-89.842200000000048</c:v>
                </c:pt>
                <c:pt idx="387">
                  <c:v>-76.501599999999598</c:v>
                </c:pt>
                <c:pt idx="388">
                  <c:v>-66.682200000000194</c:v>
                </c:pt>
                <c:pt idx="389">
                  <c:v>-61.895600000000741</c:v>
                </c:pt>
                <c:pt idx="390">
                  <c:v>-79.847200000000157</c:v>
                </c:pt>
                <c:pt idx="391">
                  <c:v>-80.79989999999998</c:v>
                </c:pt>
                <c:pt idx="392">
                  <c:v>-77.056699999999182</c:v>
                </c:pt>
                <c:pt idx="393">
                  <c:v>6.836699999999837</c:v>
                </c:pt>
                <c:pt idx="394">
                  <c:v>-31.546800000000076</c:v>
                </c:pt>
                <c:pt idx="395">
                  <c:v>-42.797899999999572</c:v>
                </c:pt>
                <c:pt idx="396">
                  <c:v>-26.47400000000016</c:v>
                </c:pt>
                <c:pt idx="397">
                  <c:v>-6.5850000000000364</c:v>
                </c:pt>
                <c:pt idx="398">
                  <c:v>-5.9444000000003143</c:v>
                </c:pt>
                <c:pt idx="399">
                  <c:v>-145.56470000000081</c:v>
                </c:pt>
                <c:pt idx="400">
                  <c:v>-128.94779999999992</c:v>
                </c:pt>
                <c:pt idx="401">
                  <c:v>-89.878600000000006</c:v>
                </c:pt>
                <c:pt idx="402">
                  <c:v>-69.391200000000026</c:v>
                </c:pt>
                <c:pt idx="403">
                  <c:v>-31.209600000000137</c:v>
                </c:pt>
                <c:pt idx="404">
                  <c:v>-78.433100000000195</c:v>
                </c:pt>
                <c:pt idx="405">
                  <c:v>-55.259900000000016</c:v>
                </c:pt>
                <c:pt idx="406">
                  <c:v>-98.55789999999979</c:v>
                </c:pt>
                <c:pt idx="407">
                  <c:v>-66.251500000000306</c:v>
                </c:pt>
                <c:pt idx="408">
                  <c:v>-39.776200000000244</c:v>
                </c:pt>
                <c:pt idx="409">
                  <c:v>-57.812399999999798</c:v>
                </c:pt>
                <c:pt idx="410">
                  <c:v>-34.097999999999956</c:v>
                </c:pt>
                <c:pt idx="411">
                  <c:v>-23.223399999999856</c:v>
                </c:pt>
                <c:pt idx="412">
                  <c:v>-13.568699999999808</c:v>
                </c:pt>
                <c:pt idx="413">
                  <c:v>-31.966999999999643</c:v>
                </c:pt>
                <c:pt idx="414">
                  <c:v>-18.64219999999932</c:v>
                </c:pt>
                <c:pt idx="415">
                  <c:v>-21.680500000000393</c:v>
                </c:pt>
                <c:pt idx="416">
                  <c:v>-0.23599999999987631</c:v>
                </c:pt>
                <c:pt idx="417">
                  <c:v>6.9794000000001688</c:v>
                </c:pt>
                <c:pt idx="418">
                  <c:v>-28.669199999999364</c:v>
                </c:pt>
                <c:pt idx="419">
                  <c:v>-72.164899999999761</c:v>
                </c:pt>
                <c:pt idx="420">
                  <c:v>-66.452000000000226</c:v>
                </c:pt>
                <c:pt idx="421">
                  <c:v>-69.032900000000154</c:v>
                </c:pt>
                <c:pt idx="422">
                  <c:v>-54.438900000000103</c:v>
                </c:pt>
                <c:pt idx="423">
                  <c:v>-27.290399999999863</c:v>
                </c:pt>
                <c:pt idx="424">
                  <c:v>-21.26929999999993</c:v>
                </c:pt>
                <c:pt idx="425">
                  <c:v>-15.3708000000006</c:v>
                </c:pt>
                <c:pt idx="426">
                  <c:v>-29.504500000000007</c:v>
                </c:pt>
                <c:pt idx="427">
                  <c:v>-25.371099999999387</c:v>
                </c:pt>
                <c:pt idx="428">
                  <c:v>-1.3760000000002037</c:v>
                </c:pt>
                <c:pt idx="429">
                  <c:v>-12.998700000000099</c:v>
                </c:pt>
                <c:pt idx="430">
                  <c:v>2.6256999999995969</c:v>
                </c:pt>
                <c:pt idx="431">
                  <c:v>5.9592000000002372</c:v>
                </c:pt>
                <c:pt idx="432">
                  <c:v>-9.0821999999998297</c:v>
                </c:pt>
                <c:pt idx="433">
                  <c:v>-76.721299999999246</c:v>
                </c:pt>
                <c:pt idx="434">
                  <c:v>-66.712800000000243</c:v>
                </c:pt>
                <c:pt idx="435">
                  <c:v>-60.412699999999859</c:v>
                </c:pt>
                <c:pt idx="436">
                  <c:v>-55.94380000000001</c:v>
                </c:pt>
                <c:pt idx="437">
                  <c:v>-44.462599999999838</c:v>
                </c:pt>
                <c:pt idx="438">
                  <c:v>-34.177900000000591</c:v>
                </c:pt>
                <c:pt idx="439">
                  <c:v>-48.541400000000067</c:v>
                </c:pt>
                <c:pt idx="440">
                  <c:v>-34.398599999999533</c:v>
                </c:pt>
                <c:pt idx="441">
                  <c:v>-24.193299999999908</c:v>
                </c:pt>
                <c:pt idx="442">
                  <c:v>-43.280300000000352</c:v>
                </c:pt>
                <c:pt idx="443">
                  <c:v>-33.315700000000106</c:v>
                </c:pt>
                <c:pt idx="444">
                  <c:v>-32.567600000000311</c:v>
                </c:pt>
                <c:pt idx="445">
                  <c:v>-33.958000000000538</c:v>
                </c:pt>
                <c:pt idx="446">
                  <c:v>-18.178899999999885</c:v>
                </c:pt>
                <c:pt idx="447">
                  <c:v>-12.847700000000259</c:v>
                </c:pt>
                <c:pt idx="448">
                  <c:v>-38.450600000000122</c:v>
                </c:pt>
                <c:pt idx="449">
                  <c:v>-28.885299999999916</c:v>
                </c:pt>
                <c:pt idx="450">
                  <c:v>-26.205500000000029</c:v>
                </c:pt>
                <c:pt idx="451">
                  <c:v>-25.293800000000374</c:v>
                </c:pt>
                <c:pt idx="452">
                  <c:v>-14.770000000000437</c:v>
                </c:pt>
                <c:pt idx="453">
                  <c:v>-16.570999999999913</c:v>
                </c:pt>
                <c:pt idx="454">
                  <c:v>-2.940599999999904</c:v>
                </c:pt>
                <c:pt idx="455">
                  <c:v>-10.613600000000588</c:v>
                </c:pt>
                <c:pt idx="456">
                  <c:v>12.400200000000041</c:v>
                </c:pt>
                <c:pt idx="457">
                  <c:v>-11.985399999999572</c:v>
                </c:pt>
                <c:pt idx="458">
                  <c:v>-38.930099999999584</c:v>
                </c:pt>
                <c:pt idx="459">
                  <c:v>-49.988100000000486</c:v>
                </c:pt>
                <c:pt idx="460">
                  <c:v>-24.966699999999946</c:v>
                </c:pt>
                <c:pt idx="461">
                  <c:v>-19.904199999999946</c:v>
                </c:pt>
                <c:pt idx="462">
                  <c:v>-7.6118999999998778</c:v>
                </c:pt>
                <c:pt idx="463">
                  <c:v>-27.944099999999708</c:v>
                </c:pt>
                <c:pt idx="464">
                  <c:v>-20.01549999999952</c:v>
                </c:pt>
                <c:pt idx="465">
                  <c:v>-32.979099999999562</c:v>
                </c:pt>
                <c:pt idx="466">
                  <c:v>-11.480800000000272</c:v>
                </c:pt>
                <c:pt idx="467">
                  <c:v>-6.3344999999999345</c:v>
                </c:pt>
                <c:pt idx="468">
                  <c:v>-27.082300000000032</c:v>
                </c:pt>
                <c:pt idx="469">
                  <c:v>-20.851300000000265</c:v>
                </c:pt>
                <c:pt idx="470">
                  <c:v>-2.2206999999998516</c:v>
                </c:pt>
                <c:pt idx="471">
                  <c:v>-4.4955999999992855</c:v>
                </c:pt>
                <c:pt idx="472">
                  <c:v>-13.027000000000044</c:v>
                </c:pt>
                <c:pt idx="473">
                  <c:v>-5.8175000000001091</c:v>
                </c:pt>
                <c:pt idx="474">
                  <c:v>-8.7818999999999505</c:v>
                </c:pt>
                <c:pt idx="475">
                  <c:v>4.1648000000004686</c:v>
                </c:pt>
                <c:pt idx="476">
                  <c:v>4.8986999999997352</c:v>
                </c:pt>
                <c:pt idx="477">
                  <c:v>2.4819999999999709</c:v>
                </c:pt>
                <c:pt idx="478">
                  <c:v>-43.798699999999371</c:v>
                </c:pt>
                <c:pt idx="479">
                  <c:v>-11.260599999999613</c:v>
                </c:pt>
                <c:pt idx="480">
                  <c:v>-37.003999999999905</c:v>
                </c:pt>
                <c:pt idx="481">
                  <c:v>-14.024699999999939</c:v>
                </c:pt>
                <c:pt idx="482">
                  <c:v>-16.498099999999795</c:v>
                </c:pt>
                <c:pt idx="483">
                  <c:v>-29.681799999999384</c:v>
                </c:pt>
                <c:pt idx="484">
                  <c:v>-1.4522999999999229</c:v>
                </c:pt>
                <c:pt idx="485">
                  <c:v>-21.248400000000402</c:v>
                </c:pt>
                <c:pt idx="486">
                  <c:v>-19.114899999999579</c:v>
                </c:pt>
                <c:pt idx="487">
                  <c:v>-48.586800000000039</c:v>
                </c:pt>
                <c:pt idx="488">
                  <c:v>-63.131499999999505</c:v>
                </c:pt>
                <c:pt idx="489">
                  <c:v>-43.142499999999927</c:v>
                </c:pt>
                <c:pt idx="490">
                  <c:v>-12.11620000000039</c:v>
                </c:pt>
                <c:pt idx="491">
                  <c:v>-6.9963999999999942</c:v>
                </c:pt>
                <c:pt idx="492">
                  <c:v>-8.5986999999995533</c:v>
                </c:pt>
                <c:pt idx="493">
                  <c:v>-21.628600000000006</c:v>
                </c:pt>
                <c:pt idx="494">
                  <c:v>-9.7130999999999403</c:v>
                </c:pt>
                <c:pt idx="495">
                  <c:v>6.7146000000002459</c:v>
                </c:pt>
                <c:pt idx="496">
                  <c:v>-27.301100000000588</c:v>
                </c:pt>
                <c:pt idx="497">
                  <c:v>-72.264400000000023</c:v>
                </c:pt>
                <c:pt idx="498">
                  <c:v>-65.573599999999715</c:v>
                </c:pt>
                <c:pt idx="499">
                  <c:v>-56.018500000000131</c:v>
                </c:pt>
                <c:pt idx="500">
                  <c:v>-57.095900000000256</c:v>
                </c:pt>
                <c:pt idx="501">
                  <c:v>-71.205199999999422</c:v>
                </c:pt>
                <c:pt idx="502">
                  <c:v>-84.913700000000063</c:v>
                </c:pt>
                <c:pt idx="503">
                  <c:v>-46.96100000000024</c:v>
                </c:pt>
                <c:pt idx="504">
                  <c:v>-77.160799999999654</c:v>
                </c:pt>
                <c:pt idx="505">
                  <c:v>-19.981099999999969</c:v>
                </c:pt>
                <c:pt idx="506">
                  <c:v>-32.537099999999555</c:v>
                </c:pt>
                <c:pt idx="507">
                  <c:v>-35.478000000000065</c:v>
                </c:pt>
                <c:pt idx="508">
                  <c:v>-45.785299999999552</c:v>
                </c:pt>
                <c:pt idx="509">
                  <c:v>-20.331500000000233</c:v>
                </c:pt>
                <c:pt idx="510">
                  <c:v>-7.9880999999995765</c:v>
                </c:pt>
                <c:pt idx="511">
                  <c:v>-8.6709000000000742</c:v>
                </c:pt>
                <c:pt idx="512">
                  <c:v>-9.3621999999995751</c:v>
                </c:pt>
                <c:pt idx="513">
                  <c:v>-22.081400000000031</c:v>
                </c:pt>
                <c:pt idx="514">
                  <c:v>-33.165799999999763</c:v>
                </c:pt>
                <c:pt idx="515">
                  <c:v>-34.944299999999203</c:v>
                </c:pt>
                <c:pt idx="516">
                  <c:v>-29.882099999999809</c:v>
                </c:pt>
                <c:pt idx="517">
                  <c:v>-80.255999999999403</c:v>
                </c:pt>
                <c:pt idx="518">
                  <c:v>-61.428600000000188</c:v>
                </c:pt>
                <c:pt idx="519">
                  <c:v>-44.986100000000079</c:v>
                </c:pt>
                <c:pt idx="520">
                  <c:v>-26.952800000000025</c:v>
                </c:pt>
                <c:pt idx="521">
                  <c:v>-43.952900000000227</c:v>
                </c:pt>
                <c:pt idx="522">
                  <c:v>-50.438799999999901</c:v>
                </c:pt>
                <c:pt idx="523">
                  <c:v>-52.728199999999561</c:v>
                </c:pt>
                <c:pt idx="524">
                  <c:v>-61.751299999999901</c:v>
                </c:pt>
                <c:pt idx="525">
                  <c:v>-29.1916999999994</c:v>
                </c:pt>
                <c:pt idx="526">
                  <c:v>-4.4963999999999942</c:v>
                </c:pt>
                <c:pt idx="527">
                  <c:v>-12.809199999999691</c:v>
                </c:pt>
                <c:pt idx="528">
                  <c:v>18.397299999999632</c:v>
                </c:pt>
                <c:pt idx="529">
                  <c:v>-19.455199999999422</c:v>
                </c:pt>
                <c:pt idx="530">
                  <c:v>-1.4319000000004962</c:v>
                </c:pt>
                <c:pt idx="531">
                  <c:v>-7.1801999999997861</c:v>
                </c:pt>
                <c:pt idx="532">
                  <c:v>9.1279000000004089</c:v>
                </c:pt>
                <c:pt idx="533">
                  <c:v>-16.043800000000374</c:v>
                </c:pt>
                <c:pt idx="534">
                  <c:v>-12.158800000000156</c:v>
                </c:pt>
                <c:pt idx="535">
                  <c:v>-10.855599999999868</c:v>
                </c:pt>
                <c:pt idx="536">
                  <c:v>-9.8022999999993772</c:v>
                </c:pt>
                <c:pt idx="537">
                  <c:v>-59.691899999999805</c:v>
                </c:pt>
                <c:pt idx="538">
                  <c:v>-31.166599999999562</c:v>
                </c:pt>
                <c:pt idx="539">
                  <c:v>-9.1439000000000306</c:v>
                </c:pt>
                <c:pt idx="540">
                  <c:v>-1.807199999999284</c:v>
                </c:pt>
                <c:pt idx="541">
                  <c:v>-19.394100000000435</c:v>
                </c:pt>
                <c:pt idx="542">
                  <c:v>-24.342599999999948</c:v>
                </c:pt>
                <c:pt idx="543">
                  <c:v>-35.359000000000378</c:v>
                </c:pt>
                <c:pt idx="544">
                  <c:v>-16.269499999999425</c:v>
                </c:pt>
                <c:pt idx="545">
                  <c:v>-20.664399999999659</c:v>
                </c:pt>
                <c:pt idx="546">
                  <c:v>-30.205899999999929</c:v>
                </c:pt>
                <c:pt idx="547">
                  <c:v>-42.49619999999959</c:v>
                </c:pt>
                <c:pt idx="548">
                  <c:v>-34.076100000000224</c:v>
                </c:pt>
                <c:pt idx="549">
                  <c:v>-10.95259999999962</c:v>
                </c:pt>
                <c:pt idx="550">
                  <c:v>-8.4393000000000029</c:v>
                </c:pt>
                <c:pt idx="551">
                  <c:v>10.781799999999748</c:v>
                </c:pt>
                <c:pt idx="552">
                  <c:v>10.019900000000234</c:v>
                </c:pt>
                <c:pt idx="553">
                  <c:v>-6.2111000000004424</c:v>
                </c:pt>
                <c:pt idx="554">
                  <c:v>-6.0900000000401633E-2</c:v>
                </c:pt>
                <c:pt idx="555">
                  <c:v>-6.9906000000000859</c:v>
                </c:pt>
                <c:pt idx="556">
                  <c:v>-39.860599999999977</c:v>
                </c:pt>
                <c:pt idx="557">
                  <c:v>-28.54110000000037</c:v>
                </c:pt>
                <c:pt idx="558">
                  <c:v>-34.858700000000681</c:v>
                </c:pt>
                <c:pt idx="559">
                  <c:v>-48.065700000000106</c:v>
                </c:pt>
                <c:pt idx="560">
                  <c:v>-19.755799999999908</c:v>
                </c:pt>
                <c:pt idx="561">
                  <c:v>-25.045099999999366</c:v>
                </c:pt>
                <c:pt idx="562">
                  <c:v>-33.08219999999983</c:v>
                </c:pt>
                <c:pt idx="563">
                  <c:v>-27.344100000000253</c:v>
                </c:pt>
                <c:pt idx="564">
                  <c:v>-27.928100000000086</c:v>
                </c:pt>
                <c:pt idx="565">
                  <c:v>-8.1075000000000728</c:v>
                </c:pt>
                <c:pt idx="566">
                  <c:v>-43.14850000000024</c:v>
                </c:pt>
                <c:pt idx="567">
                  <c:v>-14.242900000000191</c:v>
                </c:pt>
                <c:pt idx="568">
                  <c:v>-32.19380000000001</c:v>
                </c:pt>
                <c:pt idx="569">
                  <c:v>-18.237599999999475</c:v>
                </c:pt>
                <c:pt idx="570">
                  <c:v>-5.4501000000000204</c:v>
                </c:pt>
                <c:pt idx="571">
                  <c:v>-4.027299999999741</c:v>
                </c:pt>
                <c:pt idx="572">
                  <c:v>19.39639999999963</c:v>
                </c:pt>
                <c:pt idx="573">
                  <c:v>-5.9402000000000044</c:v>
                </c:pt>
                <c:pt idx="574">
                  <c:v>-4.5985000000000582</c:v>
                </c:pt>
                <c:pt idx="575">
                  <c:v>2.4130999999997584</c:v>
                </c:pt>
                <c:pt idx="576">
                  <c:v>7.6888999999991938</c:v>
                </c:pt>
                <c:pt idx="577">
                  <c:v>7.3360000000002401</c:v>
                </c:pt>
                <c:pt idx="578">
                  <c:v>-29.121799999999894</c:v>
                </c:pt>
                <c:pt idx="579">
                  <c:v>-30.67069999999967</c:v>
                </c:pt>
                <c:pt idx="580">
                  <c:v>-27.406500000000051</c:v>
                </c:pt>
                <c:pt idx="581">
                  <c:v>-39.805399999999281</c:v>
                </c:pt>
                <c:pt idx="582">
                  <c:v>-16.369599999999991</c:v>
                </c:pt>
                <c:pt idx="583">
                  <c:v>-49.990600000000086</c:v>
                </c:pt>
                <c:pt idx="584">
                  <c:v>-64.36239999999998</c:v>
                </c:pt>
                <c:pt idx="585">
                  <c:v>-36.428499999999985</c:v>
                </c:pt>
                <c:pt idx="586">
                  <c:v>-66.726399999999558</c:v>
                </c:pt>
                <c:pt idx="587">
                  <c:v>-24.057399999999689</c:v>
                </c:pt>
                <c:pt idx="588">
                  <c:v>-51.901899999999841</c:v>
                </c:pt>
                <c:pt idx="589">
                  <c:v>-31.562600000000202</c:v>
                </c:pt>
                <c:pt idx="590">
                  <c:v>-34.904900000000453</c:v>
                </c:pt>
                <c:pt idx="591">
                  <c:v>-19.443600000000515</c:v>
                </c:pt>
                <c:pt idx="592">
                  <c:v>8.4799999999631837E-2</c:v>
                </c:pt>
                <c:pt idx="593">
                  <c:v>-11.262300000000323</c:v>
                </c:pt>
                <c:pt idx="594">
                  <c:v>5.113999999999578</c:v>
                </c:pt>
                <c:pt idx="595">
                  <c:v>-8.1739999999999782</c:v>
                </c:pt>
                <c:pt idx="596">
                  <c:v>-9.163499999999658</c:v>
                </c:pt>
                <c:pt idx="597">
                  <c:v>-52.376199999999699</c:v>
                </c:pt>
                <c:pt idx="598">
                  <c:v>-61.593899999999849</c:v>
                </c:pt>
                <c:pt idx="599">
                  <c:v>-34.746399999999994</c:v>
                </c:pt>
                <c:pt idx="600">
                  <c:v>-15.265699999999924</c:v>
                </c:pt>
                <c:pt idx="601">
                  <c:v>-13.613800000000083</c:v>
                </c:pt>
                <c:pt idx="602">
                  <c:v>-35.516200000000026</c:v>
                </c:pt>
                <c:pt idx="603">
                  <c:v>-20.620100000000093</c:v>
                </c:pt>
                <c:pt idx="604">
                  <c:v>-44.183100000000195</c:v>
                </c:pt>
                <c:pt idx="605">
                  <c:v>-30.465799999999945</c:v>
                </c:pt>
                <c:pt idx="606">
                  <c:v>-19.045100000000275</c:v>
                </c:pt>
                <c:pt idx="607">
                  <c:v>-32.613600000000588</c:v>
                </c:pt>
                <c:pt idx="608">
                  <c:v>-34.298300000000381</c:v>
                </c:pt>
                <c:pt idx="609">
                  <c:v>-25.131900000000314</c:v>
                </c:pt>
                <c:pt idx="610">
                  <c:v>-26.854000000000269</c:v>
                </c:pt>
                <c:pt idx="611">
                  <c:v>-20.33889999999974</c:v>
                </c:pt>
                <c:pt idx="612">
                  <c:v>-38.381800000000112</c:v>
                </c:pt>
                <c:pt idx="613">
                  <c:v>-20.247499999999491</c:v>
                </c:pt>
                <c:pt idx="614">
                  <c:v>10.449799999999414</c:v>
                </c:pt>
                <c:pt idx="615">
                  <c:v>-12.405999999999949</c:v>
                </c:pt>
                <c:pt idx="616">
                  <c:v>31.076799999999821</c:v>
                </c:pt>
                <c:pt idx="617">
                  <c:v>-35.737499999999272</c:v>
                </c:pt>
                <c:pt idx="618">
                  <c:v>-40.731800000000476</c:v>
                </c:pt>
                <c:pt idx="619">
                  <c:v>-45.341800000000148</c:v>
                </c:pt>
                <c:pt idx="620">
                  <c:v>-51.148200000000543</c:v>
                </c:pt>
                <c:pt idx="621">
                  <c:v>-38.749899999999798</c:v>
                </c:pt>
                <c:pt idx="622">
                  <c:v>-41.007400000000416</c:v>
                </c:pt>
                <c:pt idx="623">
                  <c:v>0.14429999999993015</c:v>
                </c:pt>
                <c:pt idx="624">
                  <c:v>6.0155000000004293</c:v>
                </c:pt>
                <c:pt idx="625">
                  <c:v>-22.086900000000242</c:v>
                </c:pt>
                <c:pt idx="626">
                  <c:v>-8.7159999999994398</c:v>
                </c:pt>
                <c:pt idx="627">
                  <c:v>-38.200399999999718</c:v>
                </c:pt>
                <c:pt idx="628">
                  <c:v>-20.210699999999633</c:v>
                </c:pt>
                <c:pt idx="629">
                  <c:v>-64.136500000000524</c:v>
                </c:pt>
                <c:pt idx="630">
                  <c:v>-44.429200000000492</c:v>
                </c:pt>
                <c:pt idx="631">
                  <c:v>-40.667900000000373</c:v>
                </c:pt>
                <c:pt idx="632">
                  <c:v>-65.725599999999758</c:v>
                </c:pt>
                <c:pt idx="633">
                  <c:v>-55.628399999999601</c:v>
                </c:pt>
                <c:pt idx="634">
                  <c:v>-77.321899999999914</c:v>
                </c:pt>
                <c:pt idx="635">
                  <c:v>-40.602399999999761</c:v>
                </c:pt>
                <c:pt idx="636">
                  <c:v>-8.8876000000000204</c:v>
                </c:pt>
                <c:pt idx="637">
                  <c:v>-7.087600000000748</c:v>
                </c:pt>
                <c:pt idx="638">
                  <c:v>0.19580000000041764</c:v>
                </c:pt>
                <c:pt idx="639">
                  <c:v>-24.407999999999447</c:v>
                </c:pt>
                <c:pt idx="640">
                  <c:v>5.3435999999992418</c:v>
                </c:pt>
                <c:pt idx="641">
                  <c:v>-41.224799999999959</c:v>
                </c:pt>
                <c:pt idx="642">
                  <c:v>-77.764699999999721</c:v>
                </c:pt>
                <c:pt idx="643">
                  <c:v>-66.38169999999991</c:v>
                </c:pt>
                <c:pt idx="644">
                  <c:v>-91.404299999999239</c:v>
                </c:pt>
                <c:pt idx="645">
                  <c:v>-57.644199999999728</c:v>
                </c:pt>
                <c:pt idx="646">
                  <c:v>-73.308799999999792</c:v>
                </c:pt>
                <c:pt idx="647">
                  <c:v>-103.6823000000004</c:v>
                </c:pt>
                <c:pt idx="648">
                  <c:v>-100.14180000000033</c:v>
                </c:pt>
                <c:pt idx="649">
                  <c:v>-74.100000000000364</c:v>
                </c:pt>
                <c:pt idx="650">
                  <c:v>-88.208399999999529</c:v>
                </c:pt>
                <c:pt idx="651">
                  <c:v>-61.680900000000292</c:v>
                </c:pt>
                <c:pt idx="652">
                  <c:v>-96.801300000000083</c:v>
                </c:pt>
                <c:pt idx="653">
                  <c:v>-54.125500000000102</c:v>
                </c:pt>
                <c:pt idx="654">
                  <c:v>-61.641100000000733</c:v>
                </c:pt>
                <c:pt idx="655">
                  <c:v>-56.650499999999738</c:v>
                </c:pt>
                <c:pt idx="656">
                  <c:v>-13.874899999999798</c:v>
                </c:pt>
                <c:pt idx="657">
                  <c:v>-52.348100000000159</c:v>
                </c:pt>
                <c:pt idx="658">
                  <c:v>-11.41570000000047</c:v>
                </c:pt>
                <c:pt idx="659">
                  <c:v>-20.505900000000111</c:v>
                </c:pt>
                <c:pt idx="660">
                  <c:v>-4.5353000000004613</c:v>
                </c:pt>
                <c:pt idx="661">
                  <c:v>-41.564500000000407</c:v>
                </c:pt>
                <c:pt idx="662">
                  <c:v>-67.824700000000121</c:v>
                </c:pt>
                <c:pt idx="663">
                  <c:v>-77.839100000000144</c:v>
                </c:pt>
                <c:pt idx="664">
                  <c:v>-10.384299999999712</c:v>
                </c:pt>
                <c:pt idx="665">
                  <c:v>7.6100999999998749</c:v>
                </c:pt>
                <c:pt idx="666">
                  <c:v>-11.896600000000035</c:v>
                </c:pt>
                <c:pt idx="667">
                  <c:v>36.780800000000454</c:v>
                </c:pt>
                <c:pt idx="668">
                  <c:v>-8.4076000000004569</c:v>
                </c:pt>
                <c:pt idx="669">
                  <c:v>-9.9356000000007043</c:v>
                </c:pt>
                <c:pt idx="670">
                  <c:v>-7.4673000000002503</c:v>
                </c:pt>
                <c:pt idx="671">
                  <c:v>-5.9903000000003885</c:v>
                </c:pt>
                <c:pt idx="672">
                  <c:v>-0.59469999999964784</c:v>
                </c:pt>
                <c:pt idx="673">
                  <c:v>-2.1325999999999112</c:v>
                </c:pt>
                <c:pt idx="674">
                  <c:v>0.84040000000004511</c:v>
                </c:pt>
                <c:pt idx="675">
                  <c:v>-47.104800000000068</c:v>
                </c:pt>
                <c:pt idx="676">
                  <c:v>-50.379399999999805</c:v>
                </c:pt>
                <c:pt idx="677">
                  <c:v>-43.19589999999971</c:v>
                </c:pt>
                <c:pt idx="678">
                  <c:v>-44.25420000000031</c:v>
                </c:pt>
                <c:pt idx="679">
                  <c:v>-21.867600000000493</c:v>
                </c:pt>
                <c:pt idx="680">
                  <c:v>-44.985599999999977</c:v>
                </c:pt>
                <c:pt idx="681">
                  <c:v>-38.833499999999731</c:v>
                </c:pt>
                <c:pt idx="682">
                  <c:v>-50.604000000000269</c:v>
                </c:pt>
                <c:pt idx="683">
                  <c:v>-9.2767999999996391</c:v>
                </c:pt>
                <c:pt idx="684">
                  <c:v>-7.0992000000005646</c:v>
                </c:pt>
                <c:pt idx="685">
                  <c:v>-17.155999999999949</c:v>
                </c:pt>
                <c:pt idx="686">
                  <c:v>3.5002000000004045</c:v>
                </c:pt>
                <c:pt idx="687">
                  <c:v>-8.4540999999999258</c:v>
                </c:pt>
                <c:pt idx="688">
                  <c:v>-7.6522000000004482</c:v>
                </c:pt>
                <c:pt idx="689">
                  <c:v>11.692300000000614</c:v>
                </c:pt>
                <c:pt idx="690">
                  <c:v>-4.7714999999998327</c:v>
                </c:pt>
                <c:pt idx="691">
                  <c:v>-10.553899999999885</c:v>
                </c:pt>
                <c:pt idx="692">
                  <c:v>-6.7312999999994645</c:v>
                </c:pt>
                <c:pt idx="693">
                  <c:v>-5.8589000000001761</c:v>
                </c:pt>
                <c:pt idx="694">
                  <c:v>8.3873000000003231</c:v>
                </c:pt>
                <c:pt idx="695">
                  <c:v>6.5870999999997366</c:v>
                </c:pt>
                <c:pt idx="696">
                  <c:v>8.8613000000004831</c:v>
                </c:pt>
                <c:pt idx="697">
                  <c:v>-10.334399999999732</c:v>
                </c:pt>
                <c:pt idx="698">
                  <c:v>1.1172999999998865</c:v>
                </c:pt>
                <c:pt idx="699">
                  <c:v>-20.275899999999638</c:v>
                </c:pt>
                <c:pt idx="700">
                  <c:v>-44.873599999999897</c:v>
                </c:pt>
                <c:pt idx="701">
                  <c:v>-36.379100000000108</c:v>
                </c:pt>
                <c:pt idx="702">
                  <c:v>-34.711700000000747</c:v>
                </c:pt>
                <c:pt idx="703">
                  <c:v>-15.542300000000068</c:v>
                </c:pt>
                <c:pt idx="704">
                  <c:v>-23.462199999999939</c:v>
                </c:pt>
                <c:pt idx="705">
                  <c:v>-6.6977999999999156</c:v>
                </c:pt>
                <c:pt idx="706">
                  <c:v>-31.555199999999786</c:v>
                </c:pt>
                <c:pt idx="707">
                  <c:v>-5.6370000000006257</c:v>
                </c:pt>
                <c:pt idx="708">
                  <c:v>-14.788000000000466</c:v>
                </c:pt>
                <c:pt idx="709">
                  <c:v>-13.917300000000068</c:v>
                </c:pt>
                <c:pt idx="710">
                  <c:v>-25.255799999999908</c:v>
                </c:pt>
                <c:pt idx="711">
                  <c:v>-29.625700000000506</c:v>
                </c:pt>
                <c:pt idx="712">
                  <c:v>-25.39049999999952</c:v>
                </c:pt>
                <c:pt idx="713">
                  <c:v>-17.917699999999968</c:v>
                </c:pt>
                <c:pt idx="714">
                  <c:v>15.354000000000269</c:v>
                </c:pt>
                <c:pt idx="715">
                  <c:v>-18.430599999999686</c:v>
                </c:pt>
                <c:pt idx="716">
                  <c:v>8.066899999999805</c:v>
                </c:pt>
                <c:pt idx="717">
                  <c:v>0.34140000000024884</c:v>
                </c:pt>
                <c:pt idx="718">
                  <c:v>-0.39739999999983411</c:v>
                </c:pt>
                <c:pt idx="719">
                  <c:v>8.8398999999999432</c:v>
                </c:pt>
                <c:pt idx="720">
                  <c:v>34.026799999999639</c:v>
                </c:pt>
                <c:pt idx="721">
                  <c:v>-6.6674999999995634</c:v>
                </c:pt>
                <c:pt idx="722">
                  <c:v>-5.4629999999997381</c:v>
                </c:pt>
                <c:pt idx="723">
                  <c:v>5.6100000000005821</c:v>
                </c:pt>
                <c:pt idx="724">
                  <c:v>30.644399999999223</c:v>
                </c:pt>
                <c:pt idx="725">
                  <c:v>25.650699999999233</c:v>
                </c:pt>
                <c:pt idx="726">
                  <c:v>23.966400000000249</c:v>
                </c:pt>
                <c:pt idx="727">
                  <c:v>43.425900000000183</c:v>
                </c:pt>
                <c:pt idx="728">
                  <c:v>31.840000000000146</c:v>
                </c:pt>
                <c:pt idx="729">
                  <c:v>12.397600000000239</c:v>
                </c:pt>
                <c:pt idx="730">
                  <c:v>16.543800000000374</c:v>
                </c:pt>
                <c:pt idx="731">
                  <c:v>-0.87469999999939319</c:v>
                </c:pt>
                <c:pt idx="732">
                  <c:v>-4.7601000000004206</c:v>
                </c:pt>
                <c:pt idx="733">
                  <c:v>16.323999999999614</c:v>
                </c:pt>
                <c:pt idx="734">
                  <c:v>-0.4511000000002241</c:v>
                </c:pt>
                <c:pt idx="735">
                  <c:v>22.576799999999821</c:v>
                </c:pt>
                <c:pt idx="736">
                  <c:v>3.0672999999997046</c:v>
                </c:pt>
                <c:pt idx="737">
                  <c:v>21.040600000000268</c:v>
                </c:pt>
                <c:pt idx="738">
                  <c:v>7.2591999999995096</c:v>
                </c:pt>
                <c:pt idx="739">
                  <c:v>-3.2592999999997119</c:v>
                </c:pt>
                <c:pt idx="740">
                  <c:v>2.8414000000002488</c:v>
                </c:pt>
                <c:pt idx="741">
                  <c:v>3.4380000000001019</c:v>
                </c:pt>
                <c:pt idx="742">
                  <c:v>7.0146000000004278</c:v>
                </c:pt>
                <c:pt idx="743">
                  <c:v>5.5844999999999345</c:v>
                </c:pt>
                <c:pt idx="744">
                  <c:v>24.954399999999623</c:v>
                </c:pt>
                <c:pt idx="745">
                  <c:v>18.243399999999383</c:v>
                </c:pt>
                <c:pt idx="746">
                  <c:v>3.623700000000099</c:v>
                </c:pt>
                <c:pt idx="747">
                  <c:v>16.084100000000035</c:v>
                </c:pt>
                <c:pt idx="748">
                  <c:v>-19.529999999999745</c:v>
                </c:pt>
                <c:pt idx="749">
                  <c:v>-15.012199999999211</c:v>
                </c:pt>
                <c:pt idx="750">
                  <c:v>0.20789999999942665</c:v>
                </c:pt>
                <c:pt idx="751">
                  <c:v>-1.227100000000064</c:v>
                </c:pt>
                <c:pt idx="752">
                  <c:v>-4.0850000000000364</c:v>
                </c:pt>
                <c:pt idx="753">
                  <c:v>8.7764999999999418</c:v>
                </c:pt>
                <c:pt idx="754">
                  <c:v>3.5041999999994005</c:v>
                </c:pt>
                <c:pt idx="755">
                  <c:v>-4.8776000000007116</c:v>
                </c:pt>
                <c:pt idx="756">
                  <c:v>-4.633600000000115</c:v>
                </c:pt>
                <c:pt idx="757">
                  <c:v>-0.98880000000008295</c:v>
                </c:pt>
                <c:pt idx="758">
                  <c:v>-16.021700000000237</c:v>
                </c:pt>
                <c:pt idx="759">
                  <c:v>-23.912900000000263</c:v>
                </c:pt>
                <c:pt idx="760">
                  <c:v>0.83780000000024302</c:v>
                </c:pt>
                <c:pt idx="761">
                  <c:v>-2.2236000000002605</c:v>
                </c:pt>
                <c:pt idx="762">
                  <c:v>8.7244000000000597</c:v>
                </c:pt>
                <c:pt idx="763">
                  <c:v>-1.2310999999999694</c:v>
                </c:pt>
                <c:pt idx="764">
                  <c:v>-5.308100000000195</c:v>
                </c:pt>
                <c:pt idx="765">
                  <c:v>-15.444700000000012</c:v>
                </c:pt>
                <c:pt idx="766">
                  <c:v>-7.8404000000000451</c:v>
                </c:pt>
                <c:pt idx="767">
                  <c:v>-6.1522000000004482</c:v>
                </c:pt>
                <c:pt idx="768">
                  <c:v>13.166299999999865</c:v>
                </c:pt>
                <c:pt idx="769">
                  <c:v>1.2098000000005413</c:v>
                </c:pt>
                <c:pt idx="770">
                  <c:v>-34.088799999999537</c:v>
                </c:pt>
                <c:pt idx="771">
                  <c:v>-24.809299999999894</c:v>
                </c:pt>
                <c:pt idx="772">
                  <c:v>-38.740200000000186</c:v>
                </c:pt>
                <c:pt idx="773">
                  <c:v>7.0730999999996129</c:v>
                </c:pt>
                <c:pt idx="774">
                  <c:v>-10.977899999999863</c:v>
                </c:pt>
                <c:pt idx="775">
                  <c:v>-61.981300000000374</c:v>
                </c:pt>
                <c:pt idx="776">
                  <c:v>-3.0713999999998123</c:v>
                </c:pt>
                <c:pt idx="777">
                  <c:v>-8.3244000000004235</c:v>
                </c:pt>
                <c:pt idx="778">
                  <c:v>-26.016599999999926</c:v>
                </c:pt>
                <c:pt idx="779">
                  <c:v>-54.342999999999847</c:v>
                </c:pt>
                <c:pt idx="780">
                  <c:v>-50.109300000000076</c:v>
                </c:pt>
                <c:pt idx="781">
                  <c:v>-45.500900000000001</c:v>
                </c:pt>
                <c:pt idx="782">
                  <c:v>-44.3149999999996</c:v>
                </c:pt>
                <c:pt idx="783">
                  <c:v>-57.237600000000384</c:v>
                </c:pt>
                <c:pt idx="784">
                  <c:v>-24.481399999999667</c:v>
                </c:pt>
                <c:pt idx="785">
                  <c:v>-37.06919999999991</c:v>
                </c:pt>
                <c:pt idx="786">
                  <c:v>-2.8743999999996959</c:v>
                </c:pt>
                <c:pt idx="787">
                  <c:v>-6.360899999999674</c:v>
                </c:pt>
                <c:pt idx="788">
                  <c:v>3.879399999999805</c:v>
                </c:pt>
                <c:pt idx="789">
                  <c:v>-7.9270999999998821</c:v>
                </c:pt>
                <c:pt idx="790">
                  <c:v>-26.190800000000309</c:v>
                </c:pt>
                <c:pt idx="791">
                  <c:v>-14.116699999999582</c:v>
                </c:pt>
                <c:pt idx="792">
                  <c:v>-22.893500000000131</c:v>
                </c:pt>
                <c:pt idx="793">
                  <c:v>3.4934999999995853</c:v>
                </c:pt>
                <c:pt idx="794">
                  <c:v>0.67370000000028085</c:v>
                </c:pt>
                <c:pt idx="795">
                  <c:v>-11.690200000000004</c:v>
                </c:pt>
                <c:pt idx="796">
                  <c:v>17.451100000000224</c:v>
                </c:pt>
                <c:pt idx="797">
                  <c:v>-23.006900000000314</c:v>
                </c:pt>
                <c:pt idx="798">
                  <c:v>-25.796299999999974</c:v>
                </c:pt>
                <c:pt idx="799">
                  <c:v>-52.720800000000054</c:v>
                </c:pt>
                <c:pt idx="800">
                  <c:v>-40.401300000000447</c:v>
                </c:pt>
                <c:pt idx="801">
                  <c:v>-54.384399999999914</c:v>
                </c:pt>
                <c:pt idx="802">
                  <c:v>-52.917099999999664</c:v>
                </c:pt>
                <c:pt idx="803">
                  <c:v>-63.205899999999929</c:v>
                </c:pt>
                <c:pt idx="804">
                  <c:v>-22.637400000000525</c:v>
                </c:pt>
                <c:pt idx="805">
                  <c:v>-25.764100000000326</c:v>
                </c:pt>
                <c:pt idx="806">
                  <c:v>-8.9021000000002459</c:v>
                </c:pt>
                <c:pt idx="807">
                  <c:v>-34.502300000000105</c:v>
                </c:pt>
                <c:pt idx="808">
                  <c:v>-59.569300000000112</c:v>
                </c:pt>
                <c:pt idx="809">
                  <c:v>-61.516200000000026</c:v>
                </c:pt>
                <c:pt idx="810">
                  <c:v>-17.886800000000221</c:v>
                </c:pt>
                <c:pt idx="811">
                  <c:v>-35.417300000000068</c:v>
                </c:pt>
                <c:pt idx="812">
                  <c:v>-24.900700000000143</c:v>
                </c:pt>
                <c:pt idx="813">
                  <c:v>-14.401400000000649</c:v>
                </c:pt>
                <c:pt idx="814">
                  <c:v>-41.080899999999929</c:v>
                </c:pt>
                <c:pt idx="815">
                  <c:v>-19.337900000000445</c:v>
                </c:pt>
                <c:pt idx="816">
                  <c:v>-13.6895999999997</c:v>
                </c:pt>
                <c:pt idx="817">
                  <c:v>2.3926000000001295</c:v>
                </c:pt>
                <c:pt idx="818">
                  <c:v>-16.888199999999415</c:v>
                </c:pt>
                <c:pt idx="819">
                  <c:v>-77.727700000000368</c:v>
                </c:pt>
                <c:pt idx="820">
                  <c:v>-67.475100000000566</c:v>
                </c:pt>
                <c:pt idx="821">
                  <c:v>-75.654599999999846</c:v>
                </c:pt>
                <c:pt idx="822">
                  <c:v>-58.760699999999815</c:v>
                </c:pt>
                <c:pt idx="823">
                  <c:v>-54.914999999999964</c:v>
                </c:pt>
                <c:pt idx="824">
                  <c:v>-70.431700000000092</c:v>
                </c:pt>
                <c:pt idx="825">
                  <c:v>-51.237299999999777</c:v>
                </c:pt>
                <c:pt idx="826">
                  <c:v>-53.644000000000233</c:v>
                </c:pt>
                <c:pt idx="827">
                  <c:v>-28.23490000000038</c:v>
                </c:pt>
                <c:pt idx="828">
                  <c:v>-29.644099999999526</c:v>
                </c:pt>
                <c:pt idx="829">
                  <c:v>-38.567200000000412</c:v>
                </c:pt>
                <c:pt idx="830">
                  <c:v>-27.82759999999962</c:v>
                </c:pt>
                <c:pt idx="831">
                  <c:v>-10.886199999999917</c:v>
                </c:pt>
                <c:pt idx="832">
                  <c:v>10.296800000000076</c:v>
                </c:pt>
                <c:pt idx="833">
                  <c:v>-15.819399999999405</c:v>
                </c:pt>
                <c:pt idx="834">
                  <c:v>5.6347999999998137</c:v>
                </c:pt>
                <c:pt idx="835">
                  <c:v>-9.4612999999999374</c:v>
                </c:pt>
                <c:pt idx="836">
                  <c:v>-11.221999999999753</c:v>
                </c:pt>
                <c:pt idx="837">
                  <c:v>-23.309199999999691</c:v>
                </c:pt>
                <c:pt idx="838">
                  <c:v>-65.394199999999728</c:v>
                </c:pt>
                <c:pt idx="839">
                  <c:v>-52.801400000000285</c:v>
                </c:pt>
                <c:pt idx="840">
                  <c:v>-64.369999999999891</c:v>
                </c:pt>
                <c:pt idx="841">
                  <c:v>-27.274599999999737</c:v>
                </c:pt>
                <c:pt idx="842">
                  <c:v>-19.682699999999386</c:v>
                </c:pt>
                <c:pt idx="843">
                  <c:v>-44.14469999999983</c:v>
                </c:pt>
                <c:pt idx="844">
                  <c:v>-24.351999999999862</c:v>
                </c:pt>
                <c:pt idx="845">
                  <c:v>7.9025999999994383</c:v>
                </c:pt>
                <c:pt idx="846">
                  <c:v>-28.277799999999843</c:v>
                </c:pt>
                <c:pt idx="847">
                  <c:v>-25.337500000000546</c:v>
                </c:pt>
                <c:pt idx="848">
                  <c:v>-31.331099999999424</c:v>
                </c:pt>
                <c:pt idx="849">
                  <c:v>-35.129700000000412</c:v>
                </c:pt>
                <c:pt idx="850">
                  <c:v>-16.945299999999406</c:v>
                </c:pt>
                <c:pt idx="851">
                  <c:v>-31.38629999999921</c:v>
                </c:pt>
                <c:pt idx="852">
                  <c:v>-21.239300000000185</c:v>
                </c:pt>
                <c:pt idx="853">
                  <c:v>-15.340199999999641</c:v>
                </c:pt>
                <c:pt idx="854">
                  <c:v>-15.879299999999603</c:v>
                </c:pt>
                <c:pt idx="855">
                  <c:v>-28.294300000000476</c:v>
                </c:pt>
                <c:pt idx="856">
                  <c:v>0.36810000000059517</c:v>
                </c:pt>
                <c:pt idx="857">
                  <c:v>56.20010000000002</c:v>
                </c:pt>
                <c:pt idx="858">
                  <c:v>-42.35570000000007</c:v>
                </c:pt>
                <c:pt idx="859">
                  <c:v>-48.309300000000803</c:v>
                </c:pt>
                <c:pt idx="860">
                  <c:v>-37.708800000000338</c:v>
                </c:pt>
                <c:pt idx="861">
                  <c:v>-37.398400000000038</c:v>
                </c:pt>
                <c:pt idx="862">
                  <c:v>-44.732500000000073</c:v>
                </c:pt>
                <c:pt idx="863">
                  <c:v>-57.635499999999411</c:v>
                </c:pt>
                <c:pt idx="864">
                  <c:v>-34.556000000000495</c:v>
                </c:pt>
                <c:pt idx="865">
                  <c:v>-34.232699999999568</c:v>
                </c:pt>
                <c:pt idx="866">
                  <c:v>-42.565499999999702</c:v>
                </c:pt>
                <c:pt idx="867">
                  <c:v>-38.914400000000569</c:v>
                </c:pt>
                <c:pt idx="868">
                  <c:v>-35.821100000000115</c:v>
                </c:pt>
                <c:pt idx="869">
                  <c:v>-2.5961000000006607</c:v>
                </c:pt>
                <c:pt idx="870">
                  <c:v>-21.714599999999336</c:v>
                </c:pt>
                <c:pt idx="871">
                  <c:v>-34.334600000000137</c:v>
                </c:pt>
                <c:pt idx="872">
                  <c:v>-12.511300000000119</c:v>
                </c:pt>
                <c:pt idx="873">
                  <c:v>-31.674600000000282</c:v>
                </c:pt>
                <c:pt idx="874">
                  <c:v>-32.080600000000231</c:v>
                </c:pt>
                <c:pt idx="875">
                  <c:v>-31.05580000000009</c:v>
                </c:pt>
                <c:pt idx="876">
                  <c:v>-13.158599999999751</c:v>
                </c:pt>
                <c:pt idx="877">
                  <c:v>-2.4530000000004293</c:v>
                </c:pt>
                <c:pt idx="878">
                  <c:v>-13.809299999999894</c:v>
                </c:pt>
                <c:pt idx="879">
                  <c:v>-11.186599999999999</c:v>
                </c:pt>
                <c:pt idx="880">
                  <c:v>-1.1047000000007756</c:v>
                </c:pt>
                <c:pt idx="881">
                  <c:v>2.5943999999999505</c:v>
                </c:pt>
                <c:pt idx="882">
                  <c:v>33.284099999999853</c:v>
                </c:pt>
                <c:pt idx="883">
                  <c:v>-44.079899999999725</c:v>
                </c:pt>
                <c:pt idx="884">
                  <c:v>-34.404499999999643</c:v>
                </c:pt>
                <c:pt idx="885">
                  <c:v>-37.176900000000387</c:v>
                </c:pt>
                <c:pt idx="886">
                  <c:v>-44.296100000000479</c:v>
                </c:pt>
                <c:pt idx="887">
                  <c:v>-29.373899999999594</c:v>
                </c:pt>
                <c:pt idx="888">
                  <c:v>-38.402000000000044</c:v>
                </c:pt>
                <c:pt idx="889">
                  <c:v>-18.927300000000287</c:v>
                </c:pt>
                <c:pt idx="890">
                  <c:v>-16.345500000000357</c:v>
                </c:pt>
                <c:pt idx="891">
                  <c:v>-11.768500000000131</c:v>
                </c:pt>
                <c:pt idx="892">
                  <c:v>-19.227300000000469</c:v>
                </c:pt>
                <c:pt idx="893">
                  <c:v>-24.246500000000196</c:v>
                </c:pt>
                <c:pt idx="894">
                  <c:v>-18.970699999999852</c:v>
                </c:pt>
                <c:pt idx="895">
                  <c:v>-8.5644000000002052</c:v>
                </c:pt>
                <c:pt idx="896">
                  <c:v>-2.9751999999998588</c:v>
                </c:pt>
                <c:pt idx="897">
                  <c:v>-2.3723999999992884</c:v>
                </c:pt>
                <c:pt idx="898">
                  <c:v>-7.8219999999992069</c:v>
                </c:pt>
                <c:pt idx="899">
                  <c:v>2.8370000000004438</c:v>
                </c:pt>
                <c:pt idx="900">
                  <c:v>-7.1963999999998123</c:v>
                </c:pt>
                <c:pt idx="901">
                  <c:v>52.69629999999961</c:v>
                </c:pt>
                <c:pt idx="902">
                  <c:v>-36.349299999999857</c:v>
                </c:pt>
                <c:pt idx="903">
                  <c:v>-39.692199999999502</c:v>
                </c:pt>
                <c:pt idx="904">
                  <c:v>-29.381000000000313</c:v>
                </c:pt>
                <c:pt idx="905">
                  <c:v>-27.285399999999754</c:v>
                </c:pt>
                <c:pt idx="906">
                  <c:v>-16.201900000000023</c:v>
                </c:pt>
                <c:pt idx="907">
                  <c:v>-1.9181000000007771</c:v>
                </c:pt>
                <c:pt idx="908">
                  <c:v>-7.4530999999997221</c:v>
                </c:pt>
                <c:pt idx="909">
                  <c:v>2.480199999999968</c:v>
                </c:pt>
                <c:pt idx="910">
                  <c:v>18.918800000000374</c:v>
                </c:pt>
                <c:pt idx="911">
                  <c:v>-3.8629000000000815</c:v>
                </c:pt>
                <c:pt idx="912">
                  <c:v>4.0891000000001441</c:v>
                </c:pt>
                <c:pt idx="913">
                  <c:v>-1.7062999999998283</c:v>
                </c:pt>
                <c:pt idx="914">
                  <c:v>-7.6536999999998443</c:v>
                </c:pt>
                <c:pt idx="915">
                  <c:v>-0.13550000000032014</c:v>
                </c:pt>
                <c:pt idx="916">
                  <c:v>10.361100000000079</c:v>
                </c:pt>
                <c:pt idx="917">
                  <c:v>-13.19630000000052</c:v>
                </c:pt>
                <c:pt idx="918">
                  <c:v>-0.47370000000046275</c:v>
                </c:pt>
                <c:pt idx="919">
                  <c:v>8.4773999999997613</c:v>
                </c:pt>
                <c:pt idx="920">
                  <c:v>15.737900000000081</c:v>
                </c:pt>
                <c:pt idx="921">
                  <c:v>8.3189000000002125</c:v>
                </c:pt>
                <c:pt idx="922">
                  <c:v>0.29689999999936845</c:v>
                </c:pt>
                <c:pt idx="923">
                  <c:v>-6.1809999999995853</c:v>
                </c:pt>
                <c:pt idx="924">
                  <c:v>4.1990999999998166</c:v>
                </c:pt>
                <c:pt idx="925">
                  <c:v>8.19629999999961</c:v>
                </c:pt>
                <c:pt idx="926">
                  <c:v>-10.797199999999975</c:v>
                </c:pt>
                <c:pt idx="927">
                  <c:v>-2.106300000000374</c:v>
                </c:pt>
                <c:pt idx="928">
                  <c:v>24.254899999999907</c:v>
                </c:pt>
                <c:pt idx="929">
                  <c:v>3.5961999999999534</c:v>
                </c:pt>
                <c:pt idx="930">
                  <c:v>6.2812999999996464</c:v>
                </c:pt>
                <c:pt idx="931">
                  <c:v>22.737099999999373</c:v>
                </c:pt>
                <c:pt idx="932">
                  <c:v>-5.0088000000005195</c:v>
                </c:pt>
                <c:pt idx="933">
                  <c:v>10.543599999999969</c:v>
                </c:pt>
                <c:pt idx="934">
                  <c:v>2.3713999999999942</c:v>
                </c:pt>
                <c:pt idx="935">
                  <c:v>16.304900000000089</c:v>
                </c:pt>
                <c:pt idx="936">
                  <c:v>0.97890000000006694</c:v>
                </c:pt>
                <c:pt idx="937">
                  <c:v>-3.1129000000000815</c:v>
                </c:pt>
                <c:pt idx="938">
                  <c:v>-5.1837999999997919</c:v>
                </c:pt>
                <c:pt idx="939">
                  <c:v>2.4825999999993655</c:v>
                </c:pt>
                <c:pt idx="940">
                  <c:v>-2.0052000000005137</c:v>
                </c:pt>
                <c:pt idx="941">
                  <c:v>22.152299999999741</c:v>
                </c:pt>
                <c:pt idx="942">
                  <c:v>14.490799999999581</c:v>
                </c:pt>
                <c:pt idx="943">
                  <c:v>11.20010000000002</c:v>
                </c:pt>
                <c:pt idx="944">
                  <c:v>12.995100000000093</c:v>
                </c:pt>
                <c:pt idx="945">
                  <c:v>13.334100000000035</c:v>
                </c:pt>
                <c:pt idx="946">
                  <c:v>8.340900000000147</c:v>
                </c:pt>
                <c:pt idx="947">
                  <c:v>19.515699999999924</c:v>
                </c:pt>
                <c:pt idx="948">
                  <c:v>8.9786000000003696</c:v>
                </c:pt>
                <c:pt idx="949">
                  <c:v>7.6535000000003492</c:v>
                </c:pt>
                <c:pt idx="950">
                  <c:v>3.897899999999936</c:v>
                </c:pt>
                <c:pt idx="951">
                  <c:v>7.9872999999997774</c:v>
                </c:pt>
                <c:pt idx="952">
                  <c:v>-5.5243999999993321</c:v>
                </c:pt>
                <c:pt idx="953">
                  <c:v>3.3485000000000582</c:v>
                </c:pt>
                <c:pt idx="954">
                  <c:v>-2.8051000000004933</c:v>
                </c:pt>
                <c:pt idx="955">
                  <c:v>5.9165000000002692</c:v>
                </c:pt>
                <c:pt idx="956">
                  <c:v>11.899099999999635</c:v>
                </c:pt>
                <c:pt idx="957">
                  <c:v>14.790800000000672</c:v>
                </c:pt>
                <c:pt idx="958">
                  <c:v>15.33849999999984</c:v>
                </c:pt>
                <c:pt idx="959">
                  <c:v>7.6144000000003871</c:v>
                </c:pt>
                <c:pt idx="960">
                  <c:v>-1.8787000000002081</c:v>
                </c:pt>
                <c:pt idx="961">
                  <c:v>-20.062699999999495</c:v>
                </c:pt>
                <c:pt idx="962">
                  <c:v>35.324900000000525</c:v>
                </c:pt>
                <c:pt idx="963">
                  <c:v>19.368599999999788</c:v>
                </c:pt>
                <c:pt idx="964">
                  <c:v>19.965000000000146</c:v>
                </c:pt>
                <c:pt idx="965">
                  <c:v>22.944499999999607</c:v>
                </c:pt>
                <c:pt idx="966">
                  <c:v>28.454200000000128</c:v>
                </c:pt>
                <c:pt idx="967">
                  <c:v>17.344500000000153</c:v>
                </c:pt>
                <c:pt idx="968">
                  <c:v>11.937800000000607</c:v>
                </c:pt>
                <c:pt idx="969">
                  <c:v>20.303299999999581</c:v>
                </c:pt>
                <c:pt idx="970">
                  <c:v>11.99789999999939</c:v>
                </c:pt>
                <c:pt idx="971">
                  <c:v>6.3330999999998312</c:v>
                </c:pt>
                <c:pt idx="972">
                  <c:v>2.9031000000004497</c:v>
                </c:pt>
                <c:pt idx="973">
                  <c:v>4.5461999999997715</c:v>
                </c:pt>
                <c:pt idx="974">
                  <c:v>8.9358999999994921</c:v>
                </c:pt>
                <c:pt idx="975">
                  <c:v>11.384799999999814</c:v>
                </c:pt>
                <c:pt idx="976">
                  <c:v>-6.4192999999995664</c:v>
                </c:pt>
                <c:pt idx="977">
                  <c:v>3.5032000000001062</c:v>
                </c:pt>
                <c:pt idx="978">
                  <c:v>11.043499999999767</c:v>
                </c:pt>
                <c:pt idx="979">
                  <c:v>6.3129000000008091</c:v>
                </c:pt>
                <c:pt idx="980">
                  <c:v>24.309799999999996</c:v>
                </c:pt>
                <c:pt idx="981">
                  <c:v>5.8227999999999156</c:v>
                </c:pt>
                <c:pt idx="982">
                  <c:v>4.5608999999994921</c:v>
                </c:pt>
                <c:pt idx="983">
                  <c:v>1.9442999999992026</c:v>
                </c:pt>
                <c:pt idx="984">
                  <c:v>6.873899999999594</c:v>
                </c:pt>
                <c:pt idx="985">
                  <c:v>-7.2336999999997715</c:v>
                </c:pt>
                <c:pt idx="986">
                  <c:v>-0.72719999999935681</c:v>
                </c:pt>
                <c:pt idx="987">
                  <c:v>12.850000000000364</c:v>
                </c:pt>
                <c:pt idx="988">
                  <c:v>-4.9050999999999476</c:v>
                </c:pt>
                <c:pt idx="989">
                  <c:v>-1.1410999999998239</c:v>
                </c:pt>
                <c:pt idx="990">
                  <c:v>-0.48610000000007858</c:v>
                </c:pt>
                <c:pt idx="991">
                  <c:v>9.865099999999984</c:v>
                </c:pt>
                <c:pt idx="992">
                  <c:v>2.7623000000003231</c:v>
                </c:pt>
                <c:pt idx="993">
                  <c:v>-2.2758999999996377</c:v>
                </c:pt>
                <c:pt idx="994">
                  <c:v>8.4380000000001019</c:v>
                </c:pt>
                <c:pt idx="995">
                  <c:v>3.1479999999992287</c:v>
                </c:pt>
                <c:pt idx="996">
                  <c:v>-12.627900000000409</c:v>
                </c:pt>
                <c:pt idx="997">
                  <c:v>-1.414600000000064</c:v>
                </c:pt>
                <c:pt idx="998">
                  <c:v>-5.3478999999997541</c:v>
                </c:pt>
                <c:pt idx="999">
                  <c:v>-17.278600000000552</c:v>
                </c:pt>
                <c:pt idx="1000">
                  <c:v>21.39469999999983</c:v>
                </c:pt>
                <c:pt idx="1001">
                  <c:v>-18.467799999999443</c:v>
                </c:pt>
                <c:pt idx="1002">
                  <c:v>-28.424799999999777</c:v>
                </c:pt>
                <c:pt idx="1003">
                  <c:v>-12.068400000000111</c:v>
                </c:pt>
                <c:pt idx="1004">
                  <c:v>-8.5201999999999316</c:v>
                </c:pt>
                <c:pt idx="1005">
                  <c:v>-1.4435000000003129</c:v>
                </c:pt>
                <c:pt idx="1006">
                  <c:v>-4.6057000000000698</c:v>
                </c:pt>
                <c:pt idx="1007">
                  <c:v>-11.735200000000077</c:v>
                </c:pt>
                <c:pt idx="1008">
                  <c:v>-15.141099999999824</c:v>
                </c:pt>
                <c:pt idx="1009">
                  <c:v>-1.2322000000003754</c:v>
                </c:pt>
                <c:pt idx="1010">
                  <c:v>-17.71769999999924</c:v>
                </c:pt>
                <c:pt idx="1011">
                  <c:v>-31.219100000000253</c:v>
                </c:pt>
                <c:pt idx="1012">
                  <c:v>-7.6985999999997148</c:v>
                </c:pt>
                <c:pt idx="1013">
                  <c:v>-13.515699999999924</c:v>
                </c:pt>
                <c:pt idx="1014">
                  <c:v>-7.7521000000006097</c:v>
                </c:pt>
                <c:pt idx="1015">
                  <c:v>-1.8989000000001397</c:v>
                </c:pt>
                <c:pt idx="1016">
                  <c:v>-3.202900000000227</c:v>
                </c:pt>
                <c:pt idx="1017">
                  <c:v>7.6031000000002678</c:v>
                </c:pt>
                <c:pt idx="1018">
                  <c:v>3.7599999999993088</c:v>
                </c:pt>
                <c:pt idx="1019">
                  <c:v>14.168300000000272</c:v>
                </c:pt>
                <c:pt idx="1020">
                  <c:v>17.015699999999924</c:v>
                </c:pt>
                <c:pt idx="1021">
                  <c:v>4.8459000000002561</c:v>
                </c:pt>
                <c:pt idx="1022">
                  <c:v>-8.4792999999999665</c:v>
                </c:pt>
                <c:pt idx="1023">
                  <c:v>-5.5384000000003653</c:v>
                </c:pt>
                <c:pt idx="1024">
                  <c:v>-6.9584999999997308</c:v>
                </c:pt>
                <c:pt idx="1025">
                  <c:v>-1.4978999999993903</c:v>
                </c:pt>
                <c:pt idx="1026">
                  <c:v>-15.399800000000141</c:v>
                </c:pt>
                <c:pt idx="1027">
                  <c:v>7.8783000000003085</c:v>
                </c:pt>
                <c:pt idx="1028">
                  <c:v>0.64899999999943248</c:v>
                </c:pt>
                <c:pt idx="1029">
                  <c:v>16.822699999999713</c:v>
                </c:pt>
                <c:pt idx="1030">
                  <c:v>7.1817000000000917</c:v>
                </c:pt>
                <c:pt idx="1031">
                  <c:v>-7.8073000000003958</c:v>
                </c:pt>
                <c:pt idx="1032">
                  <c:v>6.1005999999997584</c:v>
                </c:pt>
                <c:pt idx="1033">
                  <c:v>-5.4456000000000131</c:v>
                </c:pt>
                <c:pt idx="1034">
                  <c:v>-7.4664000000002488</c:v>
                </c:pt>
                <c:pt idx="1035">
                  <c:v>9.8781999999991967</c:v>
                </c:pt>
                <c:pt idx="1036">
                  <c:v>-4.8770000000004075</c:v>
                </c:pt>
                <c:pt idx="1037">
                  <c:v>-7.2390999999997803</c:v>
                </c:pt>
                <c:pt idx="1038">
                  <c:v>3.3536999999996624</c:v>
                </c:pt>
                <c:pt idx="1039">
                  <c:v>-7.2687999999998283</c:v>
                </c:pt>
                <c:pt idx="1040">
                  <c:v>-4.8396000000002459</c:v>
                </c:pt>
                <c:pt idx="1041">
                  <c:v>-10.853100000000268</c:v>
                </c:pt>
                <c:pt idx="1042">
                  <c:v>-2.3695999999999913</c:v>
                </c:pt>
                <c:pt idx="1043">
                  <c:v>-7.7564000000002125</c:v>
                </c:pt>
                <c:pt idx="1044">
                  <c:v>39.055400000000191</c:v>
                </c:pt>
                <c:pt idx="1045">
                  <c:v>-4.779700000000048</c:v>
                </c:pt>
                <c:pt idx="1046">
                  <c:v>-9.552599999999984</c:v>
                </c:pt>
                <c:pt idx="1047">
                  <c:v>-10.55409999999938</c:v>
                </c:pt>
                <c:pt idx="1048">
                  <c:v>13.463999999999942</c:v>
                </c:pt>
                <c:pt idx="1049">
                  <c:v>13.355900000000474</c:v>
                </c:pt>
                <c:pt idx="1050">
                  <c:v>-5.7890999999999622</c:v>
                </c:pt>
                <c:pt idx="1051">
                  <c:v>-4.1759000000001834</c:v>
                </c:pt>
                <c:pt idx="1052">
                  <c:v>-19.182800000000498</c:v>
                </c:pt>
                <c:pt idx="1053">
                  <c:v>-6.3756999999995969</c:v>
                </c:pt>
                <c:pt idx="1054">
                  <c:v>-6.6093000000000757</c:v>
                </c:pt>
                <c:pt idx="1055">
                  <c:v>-7.0703000000003158</c:v>
                </c:pt>
                <c:pt idx="1056">
                  <c:v>-9.4463999999998123</c:v>
                </c:pt>
                <c:pt idx="1057">
                  <c:v>-5.188799999999901</c:v>
                </c:pt>
                <c:pt idx="1058">
                  <c:v>2.3728999999993903</c:v>
                </c:pt>
                <c:pt idx="1059">
                  <c:v>-6.0518000000001848</c:v>
                </c:pt>
                <c:pt idx="1060">
                  <c:v>-5.5761999999995169</c:v>
                </c:pt>
                <c:pt idx="1061">
                  <c:v>3.7166999999999462</c:v>
                </c:pt>
                <c:pt idx="1062">
                  <c:v>-21.51509999999962</c:v>
                </c:pt>
                <c:pt idx="1063">
                  <c:v>-22.029700000000048</c:v>
                </c:pt>
                <c:pt idx="1064">
                  <c:v>-12.991299999999683</c:v>
                </c:pt>
                <c:pt idx="1065">
                  <c:v>-21.58849999999984</c:v>
                </c:pt>
                <c:pt idx="1066">
                  <c:v>-12.38339999999971</c:v>
                </c:pt>
                <c:pt idx="1067">
                  <c:v>-9.355199999999968</c:v>
                </c:pt>
                <c:pt idx="1068">
                  <c:v>-13.70889999999963</c:v>
                </c:pt>
                <c:pt idx="1069">
                  <c:v>-14.202099999999518</c:v>
                </c:pt>
                <c:pt idx="1070">
                  <c:v>-4.4602999999997337</c:v>
                </c:pt>
                <c:pt idx="1071">
                  <c:v>-8.8181000000004133</c:v>
                </c:pt>
                <c:pt idx="1072">
                  <c:v>-17.105899999999565</c:v>
                </c:pt>
                <c:pt idx="1073">
                  <c:v>-21.420199999999568</c:v>
                </c:pt>
                <c:pt idx="1074">
                  <c:v>-16.011000000000422</c:v>
                </c:pt>
                <c:pt idx="1075">
                  <c:v>-6.9477000000006228</c:v>
                </c:pt>
                <c:pt idx="1076">
                  <c:v>-0.18260000000009313</c:v>
                </c:pt>
                <c:pt idx="1077">
                  <c:v>-11.712199999999939</c:v>
                </c:pt>
                <c:pt idx="1078">
                  <c:v>-4.0370999999995547</c:v>
                </c:pt>
                <c:pt idx="1079">
                  <c:v>-1.2766000000001441</c:v>
                </c:pt>
                <c:pt idx="1080">
                  <c:v>-3.2074999999995271</c:v>
                </c:pt>
                <c:pt idx="1081">
                  <c:v>-3.0124999999998181</c:v>
                </c:pt>
                <c:pt idx="1082">
                  <c:v>-21.584899999999834</c:v>
                </c:pt>
                <c:pt idx="1083">
                  <c:v>-19.913300000000163</c:v>
                </c:pt>
                <c:pt idx="1084">
                  <c:v>-11.645500000000538</c:v>
                </c:pt>
                <c:pt idx="1085">
                  <c:v>2.9675999999999476</c:v>
                </c:pt>
                <c:pt idx="1086">
                  <c:v>-25.002900000000409</c:v>
                </c:pt>
                <c:pt idx="1087">
                  <c:v>-10.711199999999735</c:v>
                </c:pt>
                <c:pt idx="1088">
                  <c:v>-14.178200000000288</c:v>
                </c:pt>
                <c:pt idx="1089">
                  <c:v>-5.9292999999997846</c:v>
                </c:pt>
                <c:pt idx="1090">
                  <c:v>-21.912200000000666</c:v>
                </c:pt>
                <c:pt idx="1091">
                  <c:v>-17.857700000000477</c:v>
                </c:pt>
                <c:pt idx="1092">
                  <c:v>-13.621200000000499</c:v>
                </c:pt>
                <c:pt idx="1093">
                  <c:v>-21.952499999999418</c:v>
                </c:pt>
                <c:pt idx="1094">
                  <c:v>-10.60570000000007</c:v>
                </c:pt>
                <c:pt idx="1095">
                  <c:v>-16.081400000000031</c:v>
                </c:pt>
                <c:pt idx="1096">
                  <c:v>-9.6317999999992026</c:v>
                </c:pt>
                <c:pt idx="1097">
                  <c:v>-3.9938000000001921</c:v>
                </c:pt>
                <c:pt idx="1098">
                  <c:v>7.1417000000001281</c:v>
                </c:pt>
                <c:pt idx="1099">
                  <c:v>-4.3188000000000102</c:v>
                </c:pt>
                <c:pt idx="1100">
                  <c:v>-6.0895000000000437</c:v>
                </c:pt>
                <c:pt idx="1101">
                  <c:v>-4.3998000000001412</c:v>
                </c:pt>
                <c:pt idx="1102">
                  <c:v>-0.21259999999983847</c:v>
                </c:pt>
                <c:pt idx="1103">
                  <c:v>3.7156999999997424</c:v>
                </c:pt>
                <c:pt idx="1104">
                  <c:v>-6.2255000000004657</c:v>
                </c:pt>
                <c:pt idx="1105">
                  <c:v>-0.31410000000050786</c:v>
                </c:pt>
                <c:pt idx="1106">
                  <c:v>2.9688000000005559</c:v>
                </c:pt>
                <c:pt idx="1107">
                  <c:v>3.4597999999996318</c:v>
                </c:pt>
                <c:pt idx="1108">
                  <c:v>2.8157000000001062</c:v>
                </c:pt>
                <c:pt idx="1109">
                  <c:v>8.956199999999626</c:v>
                </c:pt>
                <c:pt idx="1110">
                  <c:v>6.1568999999999505</c:v>
                </c:pt>
                <c:pt idx="1111">
                  <c:v>0.12110000000029686</c:v>
                </c:pt>
                <c:pt idx="1112">
                  <c:v>-1.6644999999998618</c:v>
                </c:pt>
                <c:pt idx="1113">
                  <c:v>-5.486800000000585</c:v>
                </c:pt>
                <c:pt idx="1114">
                  <c:v>-1.9559999999992215</c:v>
                </c:pt>
                <c:pt idx="1115">
                  <c:v>13.669299999999566</c:v>
                </c:pt>
                <c:pt idx="1116">
                  <c:v>11.098100000000159</c:v>
                </c:pt>
                <c:pt idx="1117">
                  <c:v>14.249399999999696</c:v>
                </c:pt>
                <c:pt idx="1118">
                  <c:v>-1.310500000000502</c:v>
                </c:pt>
                <c:pt idx="1119">
                  <c:v>-3.1502000000000407</c:v>
                </c:pt>
                <c:pt idx="1120">
                  <c:v>-5.0028999999994994</c:v>
                </c:pt>
                <c:pt idx="1121">
                  <c:v>0.42180000000007567</c:v>
                </c:pt>
                <c:pt idx="1122">
                  <c:v>1.7844999999997526</c:v>
                </c:pt>
                <c:pt idx="1123">
                  <c:v>-2.1608999999998559</c:v>
                </c:pt>
                <c:pt idx="1124">
                  <c:v>35.002800000000207</c:v>
                </c:pt>
                <c:pt idx="1125">
                  <c:v>4.0217000000002372</c:v>
                </c:pt>
                <c:pt idx="1126">
                  <c:v>-9.8605999999999767</c:v>
                </c:pt>
                <c:pt idx="1127">
                  <c:v>8.1001000000005661</c:v>
                </c:pt>
                <c:pt idx="1128">
                  <c:v>-2.4728999999997541</c:v>
                </c:pt>
                <c:pt idx="1129">
                  <c:v>6.5884000000005472</c:v>
                </c:pt>
                <c:pt idx="1130">
                  <c:v>3.0594999999993888</c:v>
                </c:pt>
                <c:pt idx="1131">
                  <c:v>0.88450000000011642</c:v>
                </c:pt>
                <c:pt idx="1132">
                  <c:v>-4.5533999999997832</c:v>
                </c:pt>
                <c:pt idx="1133">
                  <c:v>3.0015999999995984</c:v>
                </c:pt>
                <c:pt idx="1134">
                  <c:v>0.19729999999981374</c:v>
                </c:pt>
                <c:pt idx="1135">
                  <c:v>4.0160000000005311</c:v>
                </c:pt>
                <c:pt idx="1136">
                  <c:v>-1.314900000000307</c:v>
                </c:pt>
                <c:pt idx="1137">
                  <c:v>-4.1806000000005952</c:v>
                </c:pt>
                <c:pt idx="1138">
                  <c:v>-1.1007999999992535</c:v>
                </c:pt>
                <c:pt idx="1139">
                  <c:v>-11.622699999999895</c:v>
                </c:pt>
                <c:pt idx="1140">
                  <c:v>-14.730499999999665</c:v>
                </c:pt>
                <c:pt idx="1141">
                  <c:v>-1.9259000000001834</c:v>
                </c:pt>
                <c:pt idx="1142">
                  <c:v>-2.9972999999999956</c:v>
                </c:pt>
                <c:pt idx="1143">
                  <c:v>7.2979999999997744</c:v>
                </c:pt>
                <c:pt idx="1144">
                  <c:v>-10.063199999999597</c:v>
                </c:pt>
                <c:pt idx="1145">
                  <c:v>11.911300000000665</c:v>
                </c:pt>
                <c:pt idx="1146">
                  <c:v>19.699300000000221</c:v>
                </c:pt>
                <c:pt idx="1147">
                  <c:v>17.593800000000556</c:v>
                </c:pt>
                <c:pt idx="1148">
                  <c:v>10.881400000000212</c:v>
                </c:pt>
                <c:pt idx="1149">
                  <c:v>27.783200000000761</c:v>
                </c:pt>
                <c:pt idx="1150">
                  <c:v>20.535799999999654</c:v>
                </c:pt>
                <c:pt idx="1151">
                  <c:v>25.145599999999831</c:v>
                </c:pt>
                <c:pt idx="1152">
                  <c:v>25.654900000000453</c:v>
                </c:pt>
                <c:pt idx="1153">
                  <c:v>4.2303000000001703</c:v>
                </c:pt>
                <c:pt idx="1154">
                  <c:v>0.11679999999978463</c:v>
                </c:pt>
                <c:pt idx="1155">
                  <c:v>5.028599999999642</c:v>
                </c:pt>
                <c:pt idx="1156">
                  <c:v>-8.5886000000000422</c:v>
                </c:pt>
                <c:pt idx="1157">
                  <c:v>-5.8418999999994412</c:v>
                </c:pt>
                <c:pt idx="1158">
                  <c:v>10.416900000000169</c:v>
                </c:pt>
                <c:pt idx="1159">
                  <c:v>5.5334000000002561</c:v>
                </c:pt>
                <c:pt idx="1160">
                  <c:v>-5.9423000000006141</c:v>
                </c:pt>
                <c:pt idx="1161">
                  <c:v>2.8011999999998807</c:v>
                </c:pt>
                <c:pt idx="1162">
                  <c:v>4.1729999999997744</c:v>
                </c:pt>
                <c:pt idx="1163">
                  <c:v>6.7251999999998588</c:v>
                </c:pt>
                <c:pt idx="1164">
                  <c:v>-23.334300000000439</c:v>
                </c:pt>
                <c:pt idx="1165">
                  <c:v>-36.212300000000141</c:v>
                </c:pt>
                <c:pt idx="1166">
                  <c:v>-28.198300000000017</c:v>
                </c:pt>
                <c:pt idx="1167">
                  <c:v>-19.53400000000056</c:v>
                </c:pt>
                <c:pt idx="1168">
                  <c:v>-5.0273999999999432</c:v>
                </c:pt>
                <c:pt idx="1169">
                  <c:v>-18.58809999999994</c:v>
                </c:pt>
                <c:pt idx="1170">
                  <c:v>-12.838500000000749</c:v>
                </c:pt>
                <c:pt idx="1171">
                  <c:v>-2.7662000000000262</c:v>
                </c:pt>
                <c:pt idx="1172">
                  <c:v>-5.1699999999982538E-2</c:v>
                </c:pt>
                <c:pt idx="1173">
                  <c:v>-7.556999999999789</c:v>
                </c:pt>
                <c:pt idx="1174">
                  <c:v>-9.0621000000001004</c:v>
                </c:pt>
                <c:pt idx="1175">
                  <c:v>-13.098299999999654</c:v>
                </c:pt>
                <c:pt idx="1176">
                  <c:v>-15.017300000000432</c:v>
                </c:pt>
                <c:pt idx="1177">
                  <c:v>-9.256800000000112</c:v>
                </c:pt>
                <c:pt idx="1178">
                  <c:v>-11.899900000000343</c:v>
                </c:pt>
                <c:pt idx="1179">
                  <c:v>-14.968799999999646</c:v>
                </c:pt>
                <c:pt idx="1180">
                  <c:v>-13.953399999999419</c:v>
                </c:pt>
                <c:pt idx="1181">
                  <c:v>-9.0169999999998254</c:v>
                </c:pt>
                <c:pt idx="1182">
                  <c:v>5.4393000000000029</c:v>
                </c:pt>
                <c:pt idx="1183">
                  <c:v>-12.223300000000563</c:v>
                </c:pt>
                <c:pt idx="1184">
                  <c:v>-26.772700000000441</c:v>
                </c:pt>
                <c:pt idx="1185">
                  <c:v>-23.884399999999914</c:v>
                </c:pt>
                <c:pt idx="1186">
                  <c:v>-22.09860000000026</c:v>
                </c:pt>
                <c:pt idx="1187">
                  <c:v>-10.589100000000144</c:v>
                </c:pt>
                <c:pt idx="1188">
                  <c:v>-19.620499999999993</c:v>
                </c:pt>
                <c:pt idx="1189">
                  <c:v>-20.106900000000678</c:v>
                </c:pt>
                <c:pt idx="1190">
                  <c:v>-29.695499999999811</c:v>
                </c:pt>
                <c:pt idx="1191">
                  <c:v>-14.134900000000016</c:v>
                </c:pt>
                <c:pt idx="1192">
                  <c:v>-26.850400000000263</c:v>
                </c:pt>
                <c:pt idx="1193">
                  <c:v>-30.868900000000394</c:v>
                </c:pt>
                <c:pt idx="1194">
                  <c:v>-36.868199999999888</c:v>
                </c:pt>
                <c:pt idx="1195">
                  <c:v>-24.208800000000338</c:v>
                </c:pt>
                <c:pt idx="1196">
                  <c:v>-14.423999999999978</c:v>
                </c:pt>
                <c:pt idx="1197">
                  <c:v>-4.1355000000003201</c:v>
                </c:pt>
                <c:pt idx="1198">
                  <c:v>0.4102999999995518</c:v>
                </c:pt>
                <c:pt idx="1199">
                  <c:v>-6.6538000000000466</c:v>
                </c:pt>
                <c:pt idx="1200">
                  <c:v>4.0221999999994296</c:v>
                </c:pt>
                <c:pt idx="1201">
                  <c:v>6.0871999999999389</c:v>
                </c:pt>
                <c:pt idx="1202">
                  <c:v>10.673300000000381</c:v>
                </c:pt>
                <c:pt idx="1203">
                  <c:v>6.2136000000000422</c:v>
                </c:pt>
                <c:pt idx="1204">
                  <c:v>-1.4701999999997497</c:v>
                </c:pt>
                <c:pt idx="1205">
                  <c:v>-6.6734999999998763</c:v>
                </c:pt>
                <c:pt idx="1206">
                  <c:v>10.913499999999658</c:v>
                </c:pt>
                <c:pt idx="1207">
                  <c:v>-3.1619999999993524</c:v>
                </c:pt>
                <c:pt idx="1208">
                  <c:v>10.709799999999632</c:v>
                </c:pt>
                <c:pt idx="1209">
                  <c:v>0.82539999999971769</c:v>
                </c:pt>
                <c:pt idx="1210">
                  <c:v>12.115899999999783</c:v>
                </c:pt>
                <c:pt idx="1211">
                  <c:v>-2.7300999999997657</c:v>
                </c:pt>
                <c:pt idx="1212">
                  <c:v>5.2034000000003289</c:v>
                </c:pt>
                <c:pt idx="1213">
                  <c:v>2.5712000000003172</c:v>
                </c:pt>
                <c:pt idx="1214">
                  <c:v>-15.255400000000009</c:v>
                </c:pt>
                <c:pt idx="1215">
                  <c:v>-12.795000000000073</c:v>
                </c:pt>
                <c:pt idx="1216">
                  <c:v>-7.5216000000000349</c:v>
                </c:pt>
                <c:pt idx="1217">
                  <c:v>0.32889999999952124</c:v>
                </c:pt>
                <c:pt idx="1218">
                  <c:v>-37.099699999999757</c:v>
                </c:pt>
                <c:pt idx="1219">
                  <c:v>-25.653000000000247</c:v>
                </c:pt>
                <c:pt idx="1220">
                  <c:v>-19.278400000000147</c:v>
                </c:pt>
                <c:pt idx="1221">
                  <c:v>-14.263299999999617</c:v>
                </c:pt>
                <c:pt idx="1222">
                  <c:v>-17.57799999999952</c:v>
                </c:pt>
                <c:pt idx="1223">
                  <c:v>-15.095600000000559</c:v>
                </c:pt>
                <c:pt idx="1224">
                  <c:v>-16.9975000000004</c:v>
                </c:pt>
                <c:pt idx="1225">
                  <c:v>-43.73949999999968</c:v>
                </c:pt>
                <c:pt idx="1226">
                  <c:v>-21.957900000000336</c:v>
                </c:pt>
                <c:pt idx="1227">
                  <c:v>11.766799999999421</c:v>
                </c:pt>
                <c:pt idx="1228">
                  <c:v>-135.3747999999996</c:v>
                </c:pt>
                <c:pt idx="1229">
                  <c:v>-65.343000000000757</c:v>
                </c:pt>
                <c:pt idx="1230">
                  <c:v>-43.500900000000001</c:v>
                </c:pt>
                <c:pt idx="1231">
                  <c:v>-13.177899999999681</c:v>
                </c:pt>
                <c:pt idx="1232">
                  <c:v>-34.493199999999888</c:v>
                </c:pt>
                <c:pt idx="1233">
                  <c:v>-34.713700000000244</c:v>
                </c:pt>
                <c:pt idx="1234">
                  <c:v>-47.190799999999399</c:v>
                </c:pt>
                <c:pt idx="1235">
                  <c:v>-39.579600000000028</c:v>
                </c:pt>
                <c:pt idx="1236">
                  <c:v>-29.93080000000009</c:v>
                </c:pt>
                <c:pt idx="1237">
                  <c:v>-50.422099999999773</c:v>
                </c:pt>
                <c:pt idx="1238">
                  <c:v>-80.263500000000022</c:v>
                </c:pt>
                <c:pt idx="1239">
                  <c:v>16.698699999999917</c:v>
                </c:pt>
                <c:pt idx="1240">
                  <c:v>30.631499999999505</c:v>
                </c:pt>
                <c:pt idx="1241">
                  <c:v>4.1711999999997715</c:v>
                </c:pt>
                <c:pt idx="1242">
                  <c:v>-36.003699999999299</c:v>
                </c:pt>
                <c:pt idx="1243">
                  <c:v>-43.5575000000008</c:v>
                </c:pt>
                <c:pt idx="1244">
                  <c:v>-31.837199999999939</c:v>
                </c:pt>
                <c:pt idx="1245">
                  <c:v>-17.143100000000231</c:v>
                </c:pt>
                <c:pt idx="1246">
                  <c:v>-11.711500000000342</c:v>
                </c:pt>
                <c:pt idx="1247">
                  <c:v>-27.264200000000528</c:v>
                </c:pt>
                <c:pt idx="1248">
                  <c:v>-4.2999999996027327E-3</c:v>
                </c:pt>
                <c:pt idx="1249">
                  <c:v>-8.8470999999999549</c:v>
                </c:pt>
                <c:pt idx="1250">
                  <c:v>-0.39290000000073633</c:v>
                </c:pt>
                <c:pt idx="1251">
                  <c:v>3.5518000000001848</c:v>
                </c:pt>
                <c:pt idx="1252">
                  <c:v>-11.819999999999709</c:v>
                </c:pt>
                <c:pt idx="1253">
                  <c:v>-17.026799999999639</c:v>
                </c:pt>
                <c:pt idx="1254">
                  <c:v>-7.3015999999997803</c:v>
                </c:pt>
                <c:pt idx="1255">
                  <c:v>-4.8987999999999374</c:v>
                </c:pt>
                <c:pt idx="1256">
                  <c:v>-3.3950000000004366</c:v>
                </c:pt>
                <c:pt idx="1257">
                  <c:v>15.149300000000039</c:v>
                </c:pt>
                <c:pt idx="1258">
                  <c:v>3.8816999999999098</c:v>
                </c:pt>
                <c:pt idx="1259">
                  <c:v>1.8873999999996158</c:v>
                </c:pt>
                <c:pt idx="1260">
                  <c:v>6.0733000000000175</c:v>
                </c:pt>
                <c:pt idx="1261">
                  <c:v>-41.94630000000052</c:v>
                </c:pt>
                <c:pt idx="1262">
                  <c:v>4.5529999999998836</c:v>
                </c:pt>
                <c:pt idx="1263">
                  <c:v>-6.0248000000001412</c:v>
                </c:pt>
                <c:pt idx="1264">
                  <c:v>-7.4139999999997599</c:v>
                </c:pt>
                <c:pt idx="1265">
                  <c:v>-8.028599999999642</c:v>
                </c:pt>
                <c:pt idx="1266">
                  <c:v>-17.565599999999904</c:v>
                </c:pt>
                <c:pt idx="1267">
                  <c:v>-0.94629999999961001</c:v>
                </c:pt>
                <c:pt idx="1268">
                  <c:v>-17.018800000000738</c:v>
                </c:pt>
                <c:pt idx="1269">
                  <c:v>-6.0839999999998327</c:v>
                </c:pt>
                <c:pt idx="1270">
                  <c:v>-7.0059999999994034</c:v>
                </c:pt>
                <c:pt idx="1271">
                  <c:v>2.2388000000000829</c:v>
                </c:pt>
                <c:pt idx="1272">
                  <c:v>2.7750999999998385</c:v>
                </c:pt>
                <c:pt idx="1273">
                  <c:v>0.57090000000061991</c:v>
                </c:pt>
                <c:pt idx="1274">
                  <c:v>-2.5954000000001543</c:v>
                </c:pt>
                <c:pt idx="1275">
                  <c:v>-12.391200000000026</c:v>
                </c:pt>
                <c:pt idx="1276">
                  <c:v>-8.6981999999998152</c:v>
                </c:pt>
                <c:pt idx="1277">
                  <c:v>-6.472700000000259</c:v>
                </c:pt>
                <c:pt idx="1278">
                  <c:v>1.190599999999904</c:v>
                </c:pt>
                <c:pt idx="1279">
                  <c:v>-14.019000000000233</c:v>
                </c:pt>
                <c:pt idx="1280">
                  <c:v>5.2776999999996406</c:v>
                </c:pt>
                <c:pt idx="1281">
                  <c:v>6.4459999999999127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A0-428E-8B3D-5F1D06F7E0E7}"/>
            </c:ext>
          </c:extLst>
        </c:ser>
        <c:ser>
          <c:idx val="1"/>
          <c:order val="1"/>
          <c:tx>
            <c:strRef>
              <c:f>历史数据!$G$1</c:f>
              <c:strCache>
                <c:ptCount val="1"/>
                <c:pt idx="0">
                  <c:v>置信区间上限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历史数据!$B$2:$B$3390</c:f>
              <c:numCache>
                <c:formatCode>yyyy\-mm\-dd</c:formatCode>
                <c:ptCount val="3389"/>
                <c:pt idx="0">
                  <c:v>43467</c:v>
                </c:pt>
                <c:pt idx="1">
                  <c:v>43468</c:v>
                </c:pt>
                <c:pt idx="2">
                  <c:v>43469</c:v>
                </c:pt>
                <c:pt idx="3">
                  <c:v>43472</c:v>
                </c:pt>
                <c:pt idx="4">
                  <c:v>43473</c:v>
                </c:pt>
                <c:pt idx="5">
                  <c:v>43474</c:v>
                </c:pt>
                <c:pt idx="6">
                  <c:v>43475</c:v>
                </c:pt>
                <c:pt idx="7">
                  <c:v>43476</c:v>
                </c:pt>
                <c:pt idx="8">
                  <c:v>43479</c:v>
                </c:pt>
                <c:pt idx="9">
                  <c:v>43480</c:v>
                </c:pt>
                <c:pt idx="10">
                  <c:v>43481</c:v>
                </c:pt>
                <c:pt idx="11">
                  <c:v>43482</c:v>
                </c:pt>
                <c:pt idx="12">
                  <c:v>43483</c:v>
                </c:pt>
                <c:pt idx="13">
                  <c:v>43486</c:v>
                </c:pt>
                <c:pt idx="14">
                  <c:v>43487</c:v>
                </c:pt>
                <c:pt idx="15">
                  <c:v>43488</c:v>
                </c:pt>
                <c:pt idx="16">
                  <c:v>43489</c:v>
                </c:pt>
                <c:pt idx="17">
                  <c:v>43490</c:v>
                </c:pt>
                <c:pt idx="18">
                  <c:v>43493</c:v>
                </c:pt>
                <c:pt idx="19">
                  <c:v>43494</c:v>
                </c:pt>
                <c:pt idx="20">
                  <c:v>43495</c:v>
                </c:pt>
                <c:pt idx="21">
                  <c:v>43496</c:v>
                </c:pt>
                <c:pt idx="22">
                  <c:v>43497</c:v>
                </c:pt>
                <c:pt idx="23">
                  <c:v>43507</c:v>
                </c:pt>
                <c:pt idx="24">
                  <c:v>43508</c:v>
                </c:pt>
                <c:pt idx="25">
                  <c:v>43509</c:v>
                </c:pt>
                <c:pt idx="26">
                  <c:v>43510</c:v>
                </c:pt>
                <c:pt idx="27">
                  <c:v>43511</c:v>
                </c:pt>
                <c:pt idx="28">
                  <c:v>43514</c:v>
                </c:pt>
                <c:pt idx="29">
                  <c:v>43515</c:v>
                </c:pt>
                <c:pt idx="30">
                  <c:v>43516</c:v>
                </c:pt>
                <c:pt idx="31">
                  <c:v>43517</c:v>
                </c:pt>
                <c:pt idx="32">
                  <c:v>43518</c:v>
                </c:pt>
                <c:pt idx="33">
                  <c:v>43521</c:v>
                </c:pt>
                <c:pt idx="34">
                  <c:v>43522</c:v>
                </c:pt>
                <c:pt idx="35">
                  <c:v>43523</c:v>
                </c:pt>
                <c:pt idx="36">
                  <c:v>43524</c:v>
                </c:pt>
                <c:pt idx="37">
                  <c:v>43525</c:v>
                </c:pt>
                <c:pt idx="38">
                  <c:v>43528</c:v>
                </c:pt>
                <c:pt idx="39">
                  <c:v>43529</c:v>
                </c:pt>
                <c:pt idx="40">
                  <c:v>43530</c:v>
                </c:pt>
                <c:pt idx="41">
                  <c:v>43531</c:v>
                </c:pt>
                <c:pt idx="42">
                  <c:v>43532</c:v>
                </c:pt>
                <c:pt idx="43">
                  <c:v>43535</c:v>
                </c:pt>
                <c:pt idx="44">
                  <c:v>43536</c:v>
                </c:pt>
                <c:pt idx="45">
                  <c:v>43537</c:v>
                </c:pt>
                <c:pt idx="46">
                  <c:v>43538</c:v>
                </c:pt>
                <c:pt idx="47">
                  <c:v>43539</c:v>
                </c:pt>
                <c:pt idx="48">
                  <c:v>43542</c:v>
                </c:pt>
                <c:pt idx="49">
                  <c:v>43543</c:v>
                </c:pt>
                <c:pt idx="50">
                  <c:v>43544</c:v>
                </c:pt>
                <c:pt idx="51">
                  <c:v>43545</c:v>
                </c:pt>
                <c:pt idx="52">
                  <c:v>43546</c:v>
                </c:pt>
                <c:pt idx="53">
                  <c:v>43549</c:v>
                </c:pt>
                <c:pt idx="54">
                  <c:v>43550</c:v>
                </c:pt>
                <c:pt idx="55">
                  <c:v>43551</c:v>
                </c:pt>
                <c:pt idx="56">
                  <c:v>43552</c:v>
                </c:pt>
                <c:pt idx="57">
                  <c:v>43553</c:v>
                </c:pt>
                <c:pt idx="58">
                  <c:v>43556</c:v>
                </c:pt>
                <c:pt idx="59">
                  <c:v>43557</c:v>
                </c:pt>
                <c:pt idx="60">
                  <c:v>43558</c:v>
                </c:pt>
                <c:pt idx="61">
                  <c:v>43559</c:v>
                </c:pt>
                <c:pt idx="62">
                  <c:v>43563</c:v>
                </c:pt>
                <c:pt idx="63">
                  <c:v>43564</c:v>
                </c:pt>
                <c:pt idx="64">
                  <c:v>43565</c:v>
                </c:pt>
                <c:pt idx="65">
                  <c:v>43566</c:v>
                </c:pt>
                <c:pt idx="66">
                  <c:v>43567</c:v>
                </c:pt>
                <c:pt idx="67">
                  <c:v>43570</c:v>
                </c:pt>
                <c:pt idx="68">
                  <c:v>43571</c:v>
                </c:pt>
                <c:pt idx="69">
                  <c:v>43572</c:v>
                </c:pt>
                <c:pt idx="70">
                  <c:v>43573</c:v>
                </c:pt>
                <c:pt idx="71">
                  <c:v>43574</c:v>
                </c:pt>
                <c:pt idx="72">
                  <c:v>43577</c:v>
                </c:pt>
                <c:pt idx="73">
                  <c:v>43578</c:v>
                </c:pt>
                <c:pt idx="74">
                  <c:v>43579</c:v>
                </c:pt>
                <c:pt idx="75">
                  <c:v>43580</c:v>
                </c:pt>
                <c:pt idx="76">
                  <c:v>43581</c:v>
                </c:pt>
                <c:pt idx="77">
                  <c:v>43584</c:v>
                </c:pt>
                <c:pt idx="78">
                  <c:v>43585</c:v>
                </c:pt>
                <c:pt idx="79">
                  <c:v>43591</c:v>
                </c:pt>
                <c:pt idx="80">
                  <c:v>43592</c:v>
                </c:pt>
                <c:pt idx="81">
                  <c:v>43593</c:v>
                </c:pt>
                <c:pt idx="82">
                  <c:v>43594</c:v>
                </c:pt>
                <c:pt idx="83">
                  <c:v>43595</c:v>
                </c:pt>
                <c:pt idx="84">
                  <c:v>43598</c:v>
                </c:pt>
                <c:pt idx="85">
                  <c:v>43599</c:v>
                </c:pt>
                <c:pt idx="86">
                  <c:v>43600</c:v>
                </c:pt>
                <c:pt idx="87">
                  <c:v>43601</c:v>
                </c:pt>
                <c:pt idx="88">
                  <c:v>43602</c:v>
                </c:pt>
                <c:pt idx="89">
                  <c:v>43605</c:v>
                </c:pt>
                <c:pt idx="90">
                  <c:v>43606</c:v>
                </c:pt>
                <c:pt idx="91">
                  <c:v>43607</c:v>
                </c:pt>
                <c:pt idx="92">
                  <c:v>43608</c:v>
                </c:pt>
                <c:pt idx="93">
                  <c:v>43609</c:v>
                </c:pt>
                <c:pt idx="94">
                  <c:v>43612</c:v>
                </c:pt>
                <c:pt idx="95">
                  <c:v>43613</c:v>
                </c:pt>
                <c:pt idx="96">
                  <c:v>43614</c:v>
                </c:pt>
                <c:pt idx="97">
                  <c:v>43615</c:v>
                </c:pt>
                <c:pt idx="98">
                  <c:v>43616</c:v>
                </c:pt>
                <c:pt idx="99">
                  <c:v>43619</c:v>
                </c:pt>
                <c:pt idx="100">
                  <c:v>43620</c:v>
                </c:pt>
                <c:pt idx="101">
                  <c:v>43621</c:v>
                </c:pt>
                <c:pt idx="102">
                  <c:v>43622</c:v>
                </c:pt>
                <c:pt idx="103">
                  <c:v>43626</c:v>
                </c:pt>
                <c:pt idx="104">
                  <c:v>43627</c:v>
                </c:pt>
                <c:pt idx="105">
                  <c:v>43628</c:v>
                </c:pt>
                <c:pt idx="106">
                  <c:v>43629</c:v>
                </c:pt>
                <c:pt idx="107">
                  <c:v>43630</c:v>
                </c:pt>
                <c:pt idx="108">
                  <c:v>43633</c:v>
                </c:pt>
                <c:pt idx="109">
                  <c:v>43634</c:v>
                </c:pt>
                <c:pt idx="110">
                  <c:v>43635</c:v>
                </c:pt>
                <c:pt idx="111">
                  <c:v>43636</c:v>
                </c:pt>
                <c:pt idx="112">
                  <c:v>43637</c:v>
                </c:pt>
                <c:pt idx="113">
                  <c:v>43640</c:v>
                </c:pt>
                <c:pt idx="114">
                  <c:v>43641</c:v>
                </c:pt>
                <c:pt idx="115">
                  <c:v>43642</c:v>
                </c:pt>
                <c:pt idx="116">
                  <c:v>43643</c:v>
                </c:pt>
                <c:pt idx="117">
                  <c:v>43644</c:v>
                </c:pt>
                <c:pt idx="118">
                  <c:v>43647</c:v>
                </c:pt>
                <c:pt idx="119">
                  <c:v>43648</c:v>
                </c:pt>
                <c:pt idx="120">
                  <c:v>43649</c:v>
                </c:pt>
                <c:pt idx="121">
                  <c:v>43650</c:v>
                </c:pt>
                <c:pt idx="122">
                  <c:v>43651</c:v>
                </c:pt>
                <c:pt idx="123">
                  <c:v>43654</c:v>
                </c:pt>
                <c:pt idx="124">
                  <c:v>43655</c:v>
                </c:pt>
                <c:pt idx="125">
                  <c:v>43656</c:v>
                </c:pt>
                <c:pt idx="126">
                  <c:v>43657</c:v>
                </c:pt>
                <c:pt idx="127">
                  <c:v>43658</c:v>
                </c:pt>
                <c:pt idx="128">
                  <c:v>43661</c:v>
                </c:pt>
                <c:pt idx="129">
                  <c:v>43662</c:v>
                </c:pt>
                <c:pt idx="130">
                  <c:v>43663</c:v>
                </c:pt>
                <c:pt idx="131">
                  <c:v>43664</c:v>
                </c:pt>
                <c:pt idx="132">
                  <c:v>43665</c:v>
                </c:pt>
                <c:pt idx="133">
                  <c:v>43668</c:v>
                </c:pt>
                <c:pt idx="134">
                  <c:v>43669</c:v>
                </c:pt>
                <c:pt idx="135">
                  <c:v>43670</c:v>
                </c:pt>
                <c:pt idx="136">
                  <c:v>43671</c:v>
                </c:pt>
                <c:pt idx="137">
                  <c:v>43672</c:v>
                </c:pt>
                <c:pt idx="138">
                  <c:v>43675</c:v>
                </c:pt>
                <c:pt idx="139">
                  <c:v>43676</c:v>
                </c:pt>
                <c:pt idx="140">
                  <c:v>43677</c:v>
                </c:pt>
                <c:pt idx="141">
                  <c:v>43678</c:v>
                </c:pt>
                <c:pt idx="142">
                  <c:v>43679</c:v>
                </c:pt>
                <c:pt idx="143">
                  <c:v>43682</c:v>
                </c:pt>
                <c:pt idx="144">
                  <c:v>43683</c:v>
                </c:pt>
                <c:pt idx="145">
                  <c:v>43684</c:v>
                </c:pt>
                <c:pt idx="146">
                  <c:v>43685</c:v>
                </c:pt>
                <c:pt idx="147">
                  <c:v>43686</c:v>
                </c:pt>
                <c:pt idx="148">
                  <c:v>43689</c:v>
                </c:pt>
                <c:pt idx="149">
                  <c:v>43690</c:v>
                </c:pt>
                <c:pt idx="150">
                  <c:v>43691</c:v>
                </c:pt>
                <c:pt idx="151">
                  <c:v>43692</c:v>
                </c:pt>
                <c:pt idx="152">
                  <c:v>43693</c:v>
                </c:pt>
                <c:pt idx="153">
                  <c:v>43696</c:v>
                </c:pt>
                <c:pt idx="154">
                  <c:v>43697</c:v>
                </c:pt>
                <c:pt idx="155">
                  <c:v>43698</c:v>
                </c:pt>
                <c:pt idx="156">
                  <c:v>43699</c:v>
                </c:pt>
                <c:pt idx="157">
                  <c:v>43700</c:v>
                </c:pt>
                <c:pt idx="158">
                  <c:v>43703</c:v>
                </c:pt>
                <c:pt idx="159">
                  <c:v>43704</c:v>
                </c:pt>
                <c:pt idx="160">
                  <c:v>43705</c:v>
                </c:pt>
                <c:pt idx="161">
                  <c:v>43706</c:v>
                </c:pt>
                <c:pt idx="162">
                  <c:v>43707</c:v>
                </c:pt>
                <c:pt idx="163">
                  <c:v>43710</c:v>
                </c:pt>
                <c:pt idx="164">
                  <c:v>43711</c:v>
                </c:pt>
                <c:pt idx="165">
                  <c:v>43712</c:v>
                </c:pt>
                <c:pt idx="166">
                  <c:v>43713</c:v>
                </c:pt>
                <c:pt idx="167">
                  <c:v>43714</c:v>
                </c:pt>
                <c:pt idx="168">
                  <c:v>43717</c:v>
                </c:pt>
                <c:pt idx="169">
                  <c:v>43718</c:v>
                </c:pt>
                <c:pt idx="170">
                  <c:v>43719</c:v>
                </c:pt>
                <c:pt idx="171">
                  <c:v>43720</c:v>
                </c:pt>
                <c:pt idx="172">
                  <c:v>43724</c:v>
                </c:pt>
                <c:pt idx="173">
                  <c:v>43725</c:v>
                </c:pt>
                <c:pt idx="174">
                  <c:v>43726</c:v>
                </c:pt>
                <c:pt idx="175">
                  <c:v>43727</c:v>
                </c:pt>
                <c:pt idx="176">
                  <c:v>43728</c:v>
                </c:pt>
                <c:pt idx="177">
                  <c:v>43731</c:v>
                </c:pt>
                <c:pt idx="178">
                  <c:v>43732</c:v>
                </c:pt>
                <c:pt idx="179">
                  <c:v>43733</c:v>
                </c:pt>
                <c:pt idx="180">
                  <c:v>43734</c:v>
                </c:pt>
                <c:pt idx="181">
                  <c:v>43735</c:v>
                </c:pt>
                <c:pt idx="182">
                  <c:v>43738</c:v>
                </c:pt>
                <c:pt idx="183">
                  <c:v>43746</c:v>
                </c:pt>
                <c:pt idx="184">
                  <c:v>43747</c:v>
                </c:pt>
                <c:pt idx="185">
                  <c:v>43748</c:v>
                </c:pt>
                <c:pt idx="186">
                  <c:v>43749</c:v>
                </c:pt>
                <c:pt idx="187">
                  <c:v>43752</c:v>
                </c:pt>
                <c:pt idx="188">
                  <c:v>43753</c:v>
                </c:pt>
                <c:pt idx="189">
                  <c:v>43754</c:v>
                </c:pt>
                <c:pt idx="190">
                  <c:v>43755</c:v>
                </c:pt>
                <c:pt idx="191">
                  <c:v>43756</c:v>
                </c:pt>
                <c:pt idx="192">
                  <c:v>43759</c:v>
                </c:pt>
                <c:pt idx="193">
                  <c:v>43760</c:v>
                </c:pt>
                <c:pt idx="194">
                  <c:v>43761</c:v>
                </c:pt>
                <c:pt idx="195">
                  <c:v>43762</c:v>
                </c:pt>
                <c:pt idx="196">
                  <c:v>43763</c:v>
                </c:pt>
                <c:pt idx="197">
                  <c:v>43766</c:v>
                </c:pt>
                <c:pt idx="198">
                  <c:v>43767</c:v>
                </c:pt>
                <c:pt idx="199">
                  <c:v>43768</c:v>
                </c:pt>
                <c:pt idx="200">
                  <c:v>43769</c:v>
                </c:pt>
                <c:pt idx="201">
                  <c:v>43770</c:v>
                </c:pt>
                <c:pt idx="202">
                  <c:v>43773</c:v>
                </c:pt>
                <c:pt idx="203">
                  <c:v>43774</c:v>
                </c:pt>
                <c:pt idx="204">
                  <c:v>43775</c:v>
                </c:pt>
                <c:pt idx="205">
                  <c:v>43776</c:v>
                </c:pt>
                <c:pt idx="206">
                  <c:v>43777</c:v>
                </c:pt>
                <c:pt idx="207">
                  <c:v>43780</c:v>
                </c:pt>
                <c:pt idx="208">
                  <c:v>43781</c:v>
                </c:pt>
                <c:pt idx="209">
                  <c:v>43782</c:v>
                </c:pt>
                <c:pt idx="210">
                  <c:v>43783</c:v>
                </c:pt>
                <c:pt idx="211">
                  <c:v>43784</c:v>
                </c:pt>
                <c:pt idx="212">
                  <c:v>43787</c:v>
                </c:pt>
                <c:pt idx="213">
                  <c:v>43788</c:v>
                </c:pt>
                <c:pt idx="214">
                  <c:v>43789</c:v>
                </c:pt>
                <c:pt idx="215">
                  <c:v>43790</c:v>
                </c:pt>
                <c:pt idx="216">
                  <c:v>43791</c:v>
                </c:pt>
                <c:pt idx="217">
                  <c:v>43794</c:v>
                </c:pt>
                <c:pt idx="218">
                  <c:v>43795</c:v>
                </c:pt>
                <c:pt idx="219">
                  <c:v>43796</c:v>
                </c:pt>
                <c:pt idx="220">
                  <c:v>43797</c:v>
                </c:pt>
                <c:pt idx="221">
                  <c:v>43798</c:v>
                </c:pt>
                <c:pt idx="222">
                  <c:v>43801</c:v>
                </c:pt>
                <c:pt idx="223">
                  <c:v>43802</c:v>
                </c:pt>
                <c:pt idx="224">
                  <c:v>43803</c:v>
                </c:pt>
                <c:pt idx="225">
                  <c:v>43804</c:v>
                </c:pt>
                <c:pt idx="226">
                  <c:v>43805</c:v>
                </c:pt>
                <c:pt idx="227">
                  <c:v>43808</c:v>
                </c:pt>
                <c:pt idx="228">
                  <c:v>43809</c:v>
                </c:pt>
                <c:pt idx="229">
                  <c:v>43810</c:v>
                </c:pt>
                <c:pt idx="230">
                  <c:v>43811</c:v>
                </c:pt>
                <c:pt idx="231">
                  <c:v>43812</c:v>
                </c:pt>
                <c:pt idx="232">
                  <c:v>43815</c:v>
                </c:pt>
                <c:pt idx="233">
                  <c:v>43816</c:v>
                </c:pt>
                <c:pt idx="234">
                  <c:v>43817</c:v>
                </c:pt>
                <c:pt idx="235">
                  <c:v>43818</c:v>
                </c:pt>
                <c:pt idx="236">
                  <c:v>43819</c:v>
                </c:pt>
                <c:pt idx="237">
                  <c:v>43822</c:v>
                </c:pt>
                <c:pt idx="238">
                  <c:v>43823</c:v>
                </c:pt>
                <c:pt idx="239">
                  <c:v>43824</c:v>
                </c:pt>
                <c:pt idx="240">
                  <c:v>43825</c:v>
                </c:pt>
                <c:pt idx="241">
                  <c:v>43826</c:v>
                </c:pt>
                <c:pt idx="242">
                  <c:v>43829</c:v>
                </c:pt>
                <c:pt idx="243">
                  <c:v>43830</c:v>
                </c:pt>
                <c:pt idx="244">
                  <c:v>43832</c:v>
                </c:pt>
                <c:pt idx="245">
                  <c:v>43833</c:v>
                </c:pt>
                <c:pt idx="246">
                  <c:v>43836</c:v>
                </c:pt>
                <c:pt idx="247">
                  <c:v>43837</c:v>
                </c:pt>
                <c:pt idx="248">
                  <c:v>43838</c:v>
                </c:pt>
                <c:pt idx="249">
                  <c:v>43839</c:v>
                </c:pt>
                <c:pt idx="250">
                  <c:v>43840</c:v>
                </c:pt>
                <c:pt idx="251">
                  <c:v>43843</c:v>
                </c:pt>
                <c:pt idx="252">
                  <c:v>43844</c:v>
                </c:pt>
                <c:pt idx="253">
                  <c:v>43845</c:v>
                </c:pt>
                <c:pt idx="254">
                  <c:v>43846</c:v>
                </c:pt>
                <c:pt idx="255">
                  <c:v>43847</c:v>
                </c:pt>
                <c:pt idx="256">
                  <c:v>43850</c:v>
                </c:pt>
                <c:pt idx="257">
                  <c:v>43851</c:v>
                </c:pt>
                <c:pt idx="258">
                  <c:v>43852</c:v>
                </c:pt>
                <c:pt idx="259">
                  <c:v>43853</c:v>
                </c:pt>
                <c:pt idx="260">
                  <c:v>43864</c:v>
                </c:pt>
                <c:pt idx="261">
                  <c:v>43865</c:v>
                </c:pt>
                <c:pt idx="262">
                  <c:v>43866</c:v>
                </c:pt>
                <c:pt idx="263">
                  <c:v>43867</c:v>
                </c:pt>
                <c:pt idx="264">
                  <c:v>43868</c:v>
                </c:pt>
                <c:pt idx="265">
                  <c:v>43871</c:v>
                </c:pt>
                <c:pt idx="266">
                  <c:v>43872</c:v>
                </c:pt>
                <c:pt idx="267">
                  <c:v>43873</c:v>
                </c:pt>
                <c:pt idx="268">
                  <c:v>43874</c:v>
                </c:pt>
                <c:pt idx="269">
                  <c:v>43875</c:v>
                </c:pt>
                <c:pt idx="270">
                  <c:v>43878</c:v>
                </c:pt>
                <c:pt idx="271">
                  <c:v>43879</c:v>
                </c:pt>
                <c:pt idx="272">
                  <c:v>43880</c:v>
                </c:pt>
                <c:pt idx="273">
                  <c:v>43881</c:v>
                </c:pt>
                <c:pt idx="274">
                  <c:v>43882</c:v>
                </c:pt>
                <c:pt idx="275">
                  <c:v>43885</c:v>
                </c:pt>
                <c:pt idx="276">
                  <c:v>43886</c:v>
                </c:pt>
                <c:pt idx="277">
                  <c:v>43887</c:v>
                </c:pt>
                <c:pt idx="278">
                  <c:v>43888</c:v>
                </c:pt>
                <c:pt idx="279">
                  <c:v>43889</c:v>
                </c:pt>
                <c:pt idx="280">
                  <c:v>43892</c:v>
                </c:pt>
                <c:pt idx="281">
                  <c:v>43893</c:v>
                </c:pt>
                <c:pt idx="282">
                  <c:v>43894</c:v>
                </c:pt>
                <c:pt idx="283">
                  <c:v>43895</c:v>
                </c:pt>
                <c:pt idx="284">
                  <c:v>43896</c:v>
                </c:pt>
                <c:pt idx="285">
                  <c:v>43899</c:v>
                </c:pt>
                <c:pt idx="286">
                  <c:v>43900</c:v>
                </c:pt>
                <c:pt idx="287">
                  <c:v>43901</c:v>
                </c:pt>
                <c:pt idx="288">
                  <c:v>43902</c:v>
                </c:pt>
                <c:pt idx="289">
                  <c:v>43903</c:v>
                </c:pt>
                <c:pt idx="290">
                  <c:v>43906</c:v>
                </c:pt>
                <c:pt idx="291">
                  <c:v>43907</c:v>
                </c:pt>
                <c:pt idx="292">
                  <c:v>43908</c:v>
                </c:pt>
                <c:pt idx="293">
                  <c:v>43909</c:v>
                </c:pt>
                <c:pt idx="294">
                  <c:v>43910</c:v>
                </c:pt>
                <c:pt idx="295">
                  <c:v>43913</c:v>
                </c:pt>
                <c:pt idx="296">
                  <c:v>43914</c:v>
                </c:pt>
                <c:pt idx="297">
                  <c:v>43915</c:v>
                </c:pt>
                <c:pt idx="298">
                  <c:v>43916</c:v>
                </c:pt>
                <c:pt idx="299">
                  <c:v>43917</c:v>
                </c:pt>
                <c:pt idx="300">
                  <c:v>43920</c:v>
                </c:pt>
                <c:pt idx="301">
                  <c:v>43921</c:v>
                </c:pt>
                <c:pt idx="302">
                  <c:v>43922</c:v>
                </c:pt>
                <c:pt idx="303">
                  <c:v>43923</c:v>
                </c:pt>
                <c:pt idx="304">
                  <c:v>43924</c:v>
                </c:pt>
                <c:pt idx="305">
                  <c:v>43928</c:v>
                </c:pt>
                <c:pt idx="306">
                  <c:v>43929</c:v>
                </c:pt>
                <c:pt idx="307">
                  <c:v>43930</c:v>
                </c:pt>
                <c:pt idx="308">
                  <c:v>43931</c:v>
                </c:pt>
                <c:pt idx="309">
                  <c:v>43934</c:v>
                </c:pt>
                <c:pt idx="310">
                  <c:v>43935</c:v>
                </c:pt>
                <c:pt idx="311">
                  <c:v>43936</c:v>
                </c:pt>
                <c:pt idx="312">
                  <c:v>43937</c:v>
                </c:pt>
                <c:pt idx="313">
                  <c:v>43938</c:v>
                </c:pt>
                <c:pt idx="314">
                  <c:v>43941</c:v>
                </c:pt>
                <c:pt idx="315">
                  <c:v>43942</c:v>
                </c:pt>
                <c:pt idx="316">
                  <c:v>43943</c:v>
                </c:pt>
                <c:pt idx="317">
                  <c:v>43944</c:v>
                </c:pt>
                <c:pt idx="318">
                  <c:v>43945</c:v>
                </c:pt>
                <c:pt idx="319">
                  <c:v>43948</c:v>
                </c:pt>
                <c:pt idx="320">
                  <c:v>43949</c:v>
                </c:pt>
                <c:pt idx="321">
                  <c:v>43950</c:v>
                </c:pt>
                <c:pt idx="322">
                  <c:v>43951</c:v>
                </c:pt>
                <c:pt idx="323">
                  <c:v>43957</c:v>
                </c:pt>
                <c:pt idx="324">
                  <c:v>43958</c:v>
                </c:pt>
                <c:pt idx="325">
                  <c:v>43959</c:v>
                </c:pt>
                <c:pt idx="326">
                  <c:v>43962</c:v>
                </c:pt>
                <c:pt idx="327">
                  <c:v>43963</c:v>
                </c:pt>
                <c:pt idx="328">
                  <c:v>43964</c:v>
                </c:pt>
                <c:pt idx="329">
                  <c:v>43965</c:v>
                </c:pt>
                <c:pt idx="330">
                  <c:v>43966</c:v>
                </c:pt>
                <c:pt idx="331">
                  <c:v>43969</c:v>
                </c:pt>
                <c:pt idx="332">
                  <c:v>43970</c:v>
                </c:pt>
                <c:pt idx="333">
                  <c:v>43971</c:v>
                </c:pt>
                <c:pt idx="334">
                  <c:v>43972</c:v>
                </c:pt>
                <c:pt idx="335">
                  <c:v>43973</c:v>
                </c:pt>
                <c:pt idx="336">
                  <c:v>43976</c:v>
                </c:pt>
                <c:pt idx="337">
                  <c:v>43977</c:v>
                </c:pt>
                <c:pt idx="338">
                  <c:v>43978</c:v>
                </c:pt>
                <c:pt idx="339">
                  <c:v>43979</c:v>
                </c:pt>
                <c:pt idx="340">
                  <c:v>43980</c:v>
                </c:pt>
                <c:pt idx="341">
                  <c:v>43983</c:v>
                </c:pt>
                <c:pt idx="342">
                  <c:v>43984</c:v>
                </c:pt>
                <c:pt idx="343">
                  <c:v>43985</c:v>
                </c:pt>
                <c:pt idx="344">
                  <c:v>43986</c:v>
                </c:pt>
                <c:pt idx="345">
                  <c:v>43987</c:v>
                </c:pt>
                <c:pt idx="346">
                  <c:v>43990</c:v>
                </c:pt>
                <c:pt idx="347">
                  <c:v>43991</c:v>
                </c:pt>
                <c:pt idx="348">
                  <c:v>43992</c:v>
                </c:pt>
                <c:pt idx="349">
                  <c:v>43993</c:v>
                </c:pt>
                <c:pt idx="350">
                  <c:v>43994</c:v>
                </c:pt>
                <c:pt idx="351">
                  <c:v>43997</c:v>
                </c:pt>
                <c:pt idx="352">
                  <c:v>43998</c:v>
                </c:pt>
                <c:pt idx="353">
                  <c:v>43999</c:v>
                </c:pt>
                <c:pt idx="354">
                  <c:v>44000</c:v>
                </c:pt>
                <c:pt idx="355">
                  <c:v>44001</c:v>
                </c:pt>
                <c:pt idx="356">
                  <c:v>44004</c:v>
                </c:pt>
                <c:pt idx="357">
                  <c:v>44005</c:v>
                </c:pt>
                <c:pt idx="358">
                  <c:v>44006</c:v>
                </c:pt>
                <c:pt idx="359">
                  <c:v>44011</c:v>
                </c:pt>
                <c:pt idx="360">
                  <c:v>44012</c:v>
                </c:pt>
                <c:pt idx="361">
                  <c:v>44013</c:v>
                </c:pt>
                <c:pt idx="362">
                  <c:v>44014</c:v>
                </c:pt>
                <c:pt idx="363">
                  <c:v>44015</c:v>
                </c:pt>
                <c:pt idx="364">
                  <c:v>44018</c:v>
                </c:pt>
                <c:pt idx="365">
                  <c:v>44019</c:v>
                </c:pt>
                <c:pt idx="366">
                  <c:v>44020</c:v>
                </c:pt>
                <c:pt idx="367">
                  <c:v>44021</c:v>
                </c:pt>
                <c:pt idx="368">
                  <c:v>44022</c:v>
                </c:pt>
                <c:pt idx="369">
                  <c:v>44025</c:v>
                </c:pt>
                <c:pt idx="370">
                  <c:v>44026</c:v>
                </c:pt>
                <c:pt idx="371">
                  <c:v>44027</c:v>
                </c:pt>
                <c:pt idx="372">
                  <c:v>44028</c:v>
                </c:pt>
                <c:pt idx="373">
                  <c:v>44029</c:v>
                </c:pt>
                <c:pt idx="374">
                  <c:v>44032</c:v>
                </c:pt>
                <c:pt idx="375">
                  <c:v>44033</c:v>
                </c:pt>
                <c:pt idx="376">
                  <c:v>44034</c:v>
                </c:pt>
                <c:pt idx="377">
                  <c:v>44035</c:v>
                </c:pt>
                <c:pt idx="378">
                  <c:v>44036</c:v>
                </c:pt>
                <c:pt idx="379">
                  <c:v>44039</c:v>
                </c:pt>
                <c:pt idx="380">
                  <c:v>44040</c:v>
                </c:pt>
                <c:pt idx="381">
                  <c:v>44041</c:v>
                </c:pt>
                <c:pt idx="382">
                  <c:v>44042</c:v>
                </c:pt>
                <c:pt idx="383">
                  <c:v>44043</c:v>
                </c:pt>
                <c:pt idx="384">
                  <c:v>44046</c:v>
                </c:pt>
                <c:pt idx="385">
                  <c:v>44047</c:v>
                </c:pt>
                <c:pt idx="386">
                  <c:v>44048</c:v>
                </c:pt>
                <c:pt idx="387">
                  <c:v>44049</c:v>
                </c:pt>
                <c:pt idx="388">
                  <c:v>44050</c:v>
                </c:pt>
                <c:pt idx="389">
                  <c:v>44053</c:v>
                </c:pt>
                <c:pt idx="390">
                  <c:v>44054</c:v>
                </c:pt>
                <c:pt idx="391">
                  <c:v>44055</c:v>
                </c:pt>
                <c:pt idx="392">
                  <c:v>44056</c:v>
                </c:pt>
                <c:pt idx="393">
                  <c:v>44057</c:v>
                </c:pt>
                <c:pt idx="394">
                  <c:v>44060</c:v>
                </c:pt>
                <c:pt idx="395">
                  <c:v>44061</c:v>
                </c:pt>
                <c:pt idx="396">
                  <c:v>44062</c:v>
                </c:pt>
                <c:pt idx="397">
                  <c:v>44063</c:v>
                </c:pt>
                <c:pt idx="398">
                  <c:v>44064</c:v>
                </c:pt>
                <c:pt idx="399">
                  <c:v>44067</c:v>
                </c:pt>
                <c:pt idx="400">
                  <c:v>44068</c:v>
                </c:pt>
                <c:pt idx="401">
                  <c:v>44069</c:v>
                </c:pt>
                <c:pt idx="402">
                  <c:v>44070</c:v>
                </c:pt>
                <c:pt idx="403">
                  <c:v>44071</c:v>
                </c:pt>
                <c:pt idx="404">
                  <c:v>44074</c:v>
                </c:pt>
                <c:pt idx="405">
                  <c:v>44075</c:v>
                </c:pt>
                <c:pt idx="406">
                  <c:v>44076</c:v>
                </c:pt>
                <c:pt idx="407">
                  <c:v>44077</c:v>
                </c:pt>
                <c:pt idx="408">
                  <c:v>44078</c:v>
                </c:pt>
                <c:pt idx="409">
                  <c:v>44081</c:v>
                </c:pt>
                <c:pt idx="410">
                  <c:v>44082</c:v>
                </c:pt>
                <c:pt idx="411">
                  <c:v>44083</c:v>
                </c:pt>
                <c:pt idx="412">
                  <c:v>44084</c:v>
                </c:pt>
                <c:pt idx="413">
                  <c:v>44085</c:v>
                </c:pt>
                <c:pt idx="414">
                  <c:v>44088</c:v>
                </c:pt>
                <c:pt idx="415">
                  <c:v>44089</c:v>
                </c:pt>
                <c:pt idx="416">
                  <c:v>44090</c:v>
                </c:pt>
                <c:pt idx="417">
                  <c:v>44091</c:v>
                </c:pt>
                <c:pt idx="418">
                  <c:v>44092</c:v>
                </c:pt>
                <c:pt idx="419">
                  <c:v>44095</c:v>
                </c:pt>
                <c:pt idx="420">
                  <c:v>44096</c:v>
                </c:pt>
                <c:pt idx="421">
                  <c:v>44097</c:v>
                </c:pt>
                <c:pt idx="422">
                  <c:v>44098</c:v>
                </c:pt>
                <c:pt idx="423">
                  <c:v>44099</c:v>
                </c:pt>
                <c:pt idx="424">
                  <c:v>44102</c:v>
                </c:pt>
                <c:pt idx="425">
                  <c:v>44103</c:v>
                </c:pt>
                <c:pt idx="426">
                  <c:v>44104</c:v>
                </c:pt>
                <c:pt idx="427">
                  <c:v>44113</c:v>
                </c:pt>
                <c:pt idx="428">
                  <c:v>44116</c:v>
                </c:pt>
                <c:pt idx="429">
                  <c:v>44117</c:v>
                </c:pt>
                <c:pt idx="430">
                  <c:v>44118</c:v>
                </c:pt>
                <c:pt idx="431">
                  <c:v>44119</c:v>
                </c:pt>
                <c:pt idx="432">
                  <c:v>44120</c:v>
                </c:pt>
                <c:pt idx="433">
                  <c:v>44123</c:v>
                </c:pt>
                <c:pt idx="434">
                  <c:v>44124</c:v>
                </c:pt>
                <c:pt idx="435">
                  <c:v>44125</c:v>
                </c:pt>
                <c:pt idx="436">
                  <c:v>44126</c:v>
                </c:pt>
                <c:pt idx="437">
                  <c:v>44127</c:v>
                </c:pt>
                <c:pt idx="438">
                  <c:v>44130</c:v>
                </c:pt>
                <c:pt idx="439">
                  <c:v>44131</c:v>
                </c:pt>
                <c:pt idx="440">
                  <c:v>44132</c:v>
                </c:pt>
                <c:pt idx="441">
                  <c:v>44133</c:v>
                </c:pt>
                <c:pt idx="442">
                  <c:v>44134</c:v>
                </c:pt>
                <c:pt idx="443">
                  <c:v>44137</c:v>
                </c:pt>
                <c:pt idx="444">
                  <c:v>44138</c:v>
                </c:pt>
                <c:pt idx="445">
                  <c:v>44139</c:v>
                </c:pt>
                <c:pt idx="446">
                  <c:v>44140</c:v>
                </c:pt>
                <c:pt idx="447">
                  <c:v>44141</c:v>
                </c:pt>
                <c:pt idx="448">
                  <c:v>44144</c:v>
                </c:pt>
                <c:pt idx="449">
                  <c:v>44145</c:v>
                </c:pt>
                <c:pt idx="450">
                  <c:v>44146</c:v>
                </c:pt>
                <c:pt idx="451">
                  <c:v>44147</c:v>
                </c:pt>
                <c:pt idx="452">
                  <c:v>44148</c:v>
                </c:pt>
                <c:pt idx="453">
                  <c:v>44151</c:v>
                </c:pt>
                <c:pt idx="454">
                  <c:v>44152</c:v>
                </c:pt>
                <c:pt idx="455">
                  <c:v>44153</c:v>
                </c:pt>
                <c:pt idx="456">
                  <c:v>44154</c:v>
                </c:pt>
                <c:pt idx="457">
                  <c:v>44155</c:v>
                </c:pt>
                <c:pt idx="458">
                  <c:v>44158</c:v>
                </c:pt>
                <c:pt idx="459">
                  <c:v>44159</c:v>
                </c:pt>
                <c:pt idx="460">
                  <c:v>44160</c:v>
                </c:pt>
                <c:pt idx="461">
                  <c:v>44161</c:v>
                </c:pt>
                <c:pt idx="462">
                  <c:v>44162</c:v>
                </c:pt>
                <c:pt idx="463">
                  <c:v>44165</c:v>
                </c:pt>
                <c:pt idx="464">
                  <c:v>44166</c:v>
                </c:pt>
                <c:pt idx="465">
                  <c:v>44167</c:v>
                </c:pt>
                <c:pt idx="466">
                  <c:v>44168</c:v>
                </c:pt>
                <c:pt idx="467">
                  <c:v>44169</c:v>
                </c:pt>
                <c:pt idx="468">
                  <c:v>44172</c:v>
                </c:pt>
                <c:pt idx="469">
                  <c:v>44173</c:v>
                </c:pt>
                <c:pt idx="470">
                  <c:v>44174</c:v>
                </c:pt>
                <c:pt idx="471">
                  <c:v>44175</c:v>
                </c:pt>
                <c:pt idx="472">
                  <c:v>44176</c:v>
                </c:pt>
                <c:pt idx="473">
                  <c:v>44179</c:v>
                </c:pt>
                <c:pt idx="474">
                  <c:v>44180</c:v>
                </c:pt>
                <c:pt idx="475">
                  <c:v>44181</c:v>
                </c:pt>
                <c:pt idx="476">
                  <c:v>44182</c:v>
                </c:pt>
                <c:pt idx="477">
                  <c:v>44183</c:v>
                </c:pt>
                <c:pt idx="478">
                  <c:v>44186</c:v>
                </c:pt>
                <c:pt idx="479">
                  <c:v>44187</c:v>
                </c:pt>
                <c:pt idx="480">
                  <c:v>44188</c:v>
                </c:pt>
                <c:pt idx="481">
                  <c:v>44189</c:v>
                </c:pt>
                <c:pt idx="482">
                  <c:v>44190</c:v>
                </c:pt>
                <c:pt idx="483">
                  <c:v>44193</c:v>
                </c:pt>
                <c:pt idx="484">
                  <c:v>44194</c:v>
                </c:pt>
                <c:pt idx="485">
                  <c:v>44195</c:v>
                </c:pt>
                <c:pt idx="486">
                  <c:v>44196</c:v>
                </c:pt>
                <c:pt idx="487">
                  <c:v>44200</c:v>
                </c:pt>
                <c:pt idx="488">
                  <c:v>44201</c:v>
                </c:pt>
                <c:pt idx="489">
                  <c:v>44202</c:v>
                </c:pt>
                <c:pt idx="490">
                  <c:v>44203</c:v>
                </c:pt>
                <c:pt idx="491">
                  <c:v>44204</c:v>
                </c:pt>
                <c:pt idx="492">
                  <c:v>44207</c:v>
                </c:pt>
                <c:pt idx="493">
                  <c:v>44208</c:v>
                </c:pt>
                <c:pt idx="494">
                  <c:v>44209</c:v>
                </c:pt>
                <c:pt idx="495">
                  <c:v>44210</c:v>
                </c:pt>
                <c:pt idx="496">
                  <c:v>44211</c:v>
                </c:pt>
                <c:pt idx="497">
                  <c:v>44214</c:v>
                </c:pt>
                <c:pt idx="498">
                  <c:v>44215</c:v>
                </c:pt>
                <c:pt idx="499">
                  <c:v>44216</c:v>
                </c:pt>
                <c:pt idx="500">
                  <c:v>44217</c:v>
                </c:pt>
                <c:pt idx="501">
                  <c:v>44218</c:v>
                </c:pt>
                <c:pt idx="502">
                  <c:v>44221</c:v>
                </c:pt>
                <c:pt idx="503">
                  <c:v>44222</c:v>
                </c:pt>
                <c:pt idx="504">
                  <c:v>44223</c:v>
                </c:pt>
                <c:pt idx="505">
                  <c:v>44224</c:v>
                </c:pt>
                <c:pt idx="506">
                  <c:v>44225</c:v>
                </c:pt>
                <c:pt idx="507">
                  <c:v>44228</c:v>
                </c:pt>
                <c:pt idx="508">
                  <c:v>44229</c:v>
                </c:pt>
                <c:pt idx="509">
                  <c:v>44230</c:v>
                </c:pt>
                <c:pt idx="510">
                  <c:v>44231</c:v>
                </c:pt>
                <c:pt idx="511">
                  <c:v>44232</c:v>
                </c:pt>
                <c:pt idx="512">
                  <c:v>44235</c:v>
                </c:pt>
                <c:pt idx="513">
                  <c:v>44236</c:v>
                </c:pt>
                <c:pt idx="514">
                  <c:v>44237</c:v>
                </c:pt>
                <c:pt idx="515">
                  <c:v>44245</c:v>
                </c:pt>
                <c:pt idx="516">
                  <c:v>44246</c:v>
                </c:pt>
                <c:pt idx="517">
                  <c:v>44249</c:v>
                </c:pt>
                <c:pt idx="518">
                  <c:v>44250</c:v>
                </c:pt>
                <c:pt idx="519">
                  <c:v>44251</c:v>
                </c:pt>
                <c:pt idx="520">
                  <c:v>44252</c:v>
                </c:pt>
                <c:pt idx="521">
                  <c:v>44253</c:v>
                </c:pt>
                <c:pt idx="522">
                  <c:v>44256</c:v>
                </c:pt>
                <c:pt idx="523">
                  <c:v>44257</c:v>
                </c:pt>
                <c:pt idx="524">
                  <c:v>44258</c:v>
                </c:pt>
                <c:pt idx="525">
                  <c:v>44259</c:v>
                </c:pt>
                <c:pt idx="526">
                  <c:v>44260</c:v>
                </c:pt>
                <c:pt idx="527">
                  <c:v>44263</c:v>
                </c:pt>
                <c:pt idx="528">
                  <c:v>44264</c:v>
                </c:pt>
                <c:pt idx="529">
                  <c:v>44265</c:v>
                </c:pt>
                <c:pt idx="530">
                  <c:v>44266</c:v>
                </c:pt>
                <c:pt idx="531">
                  <c:v>44267</c:v>
                </c:pt>
                <c:pt idx="532">
                  <c:v>44270</c:v>
                </c:pt>
                <c:pt idx="533">
                  <c:v>44271</c:v>
                </c:pt>
                <c:pt idx="534">
                  <c:v>44272</c:v>
                </c:pt>
                <c:pt idx="535">
                  <c:v>44273</c:v>
                </c:pt>
                <c:pt idx="536">
                  <c:v>44274</c:v>
                </c:pt>
                <c:pt idx="537">
                  <c:v>44277</c:v>
                </c:pt>
                <c:pt idx="538">
                  <c:v>44278</c:v>
                </c:pt>
                <c:pt idx="539">
                  <c:v>44279</c:v>
                </c:pt>
                <c:pt idx="540">
                  <c:v>44280</c:v>
                </c:pt>
                <c:pt idx="541">
                  <c:v>44281</c:v>
                </c:pt>
                <c:pt idx="542">
                  <c:v>44284</c:v>
                </c:pt>
                <c:pt idx="543">
                  <c:v>44285</c:v>
                </c:pt>
                <c:pt idx="544">
                  <c:v>44286</c:v>
                </c:pt>
                <c:pt idx="545">
                  <c:v>44287</c:v>
                </c:pt>
                <c:pt idx="546">
                  <c:v>44288</c:v>
                </c:pt>
                <c:pt idx="547">
                  <c:v>44292</c:v>
                </c:pt>
                <c:pt idx="548">
                  <c:v>44293</c:v>
                </c:pt>
                <c:pt idx="549">
                  <c:v>44294</c:v>
                </c:pt>
                <c:pt idx="550">
                  <c:v>44295</c:v>
                </c:pt>
                <c:pt idx="551">
                  <c:v>44298</c:v>
                </c:pt>
                <c:pt idx="552">
                  <c:v>44299</c:v>
                </c:pt>
                <c:pt idx="553">
                  <c:v>44300</c:v>
                </c:pt>
                <c:pt idx="554">
                  <c:v>44301</c:v>
                </c:pt>
                <c:pt idx="555">
                  <c:v>44302</c:v>
                </c:pt>
                <c:pt idx="556">
                  <c:v>44305</c:v>
                </c:pt>
                <c:pt idx="557">
                  <c:v>44306</c:v>
                </c:pt>
                <c:pt idx="558">
                  <c:v>44307</c:v>
                </c:pt>
                <c:pt idx="559">
                  <c:v>44308</c:v>
                </c:pt>
                <c:pt idx="560">
                  <c:v>44309</c:v>
                </c:pt>
                <c:pt idx="561">
                  <c:v>44312</c:v>
                </c:pt>
                <c:pt idx="562">
                  <c:v>44313</c:v>
                </c:pt>
                <c:pt idx="563">
                  <c:v>44314</c:v>
                </c:pt>
                <c:pt idx="564">
                  <c:v>44315</c:v>
                </c:pt>
                <c:pt idx="565">
                  <c:v>44316</c:v>
                </c:pt>
                <c:pt idx="566">
                  <c:v>44322</c:v>
                </c:pt>
                <c:pt idx="567">
                  <c:v>44323</c:v>
                </c:pt>
                <c:pt idx="568">
                  <c:v>44326</c:v>
                </c:pt>
                <c:pt idx="569">
                  <c:v>44327</c:v>
                </c:pt>
                <c:pt idx="570">
                  <c:v>44328</c:v>
                </c:pt>
                <c:pt idx="571">
                  <c:v>44329</c:v>
                </c:pt>
                <c:pt idx="572">
                  <c:v>44330</c:v>
                </c:pt>
                <c:pt idx="573">
                  <c:v>44333</c:v>
                </c:pt>
                <c:pt idx="574">
                  <c:v>44334</c:v>
                </c:pt>
                <c:pt idx="575">
                  <c:v>44335</c:v>
                </c:pt>
                <c:pt idx="576">
                  <c:v>44336</c:v>
                </c:pt>
                <c:pt idx="577">
                  <c:v>44337</c:v>
                </c:pt>
                <c:pt idx="578">
                  <c:v>44340</c:v>
                </c:pt>
                <c:pt idx="579">
                  <c:v>44341</c:v>
                </c:pt>
                <c:pt idx="580">
                  <c:v>44342</c:v>
                </c:pt>
                <c:pt idx="581">
                  <c:v>44343</c:v>
                </c:pt>
                <c:pt idx="582">
                  <c:v>44344</c:v>
                </c:pt>
                <c:pt idx="583">
                  <c:v>44347</c:v>
                </c:pt>
                <c:pt idx="584">
                  <c:v>44348</c:v>
                </c:pt>
                <c:pt idx="585">
                  <c:v>44349</c:v>
                </c:pt>
                <c:pt idx="586">
                  <c:v>44350</c:v>
                </c:pt>
                <c:pt idx="587">
                  <c:v>44351</c:v>
                </c:pt>
                <c:pt idx="588">
                  <c:v>44354</c:v>
                </c:pt>
                <c:pt idx="589">
                  <c:v>44355</c:v>
                </c:pt>
                <c:pt idx="590">
                  <c:v>44356</c:v>
                </c:pt>
                <c:pt idx="591">
                  <c:v>44357</c:v>
                </c:pt>
                <c:pt idx="592">
                  <c:v>44358</c:v>
                </c:pt>
                <c:pt idx="593">
                  <c:v>44362</c:v>
                </c:pt>
                <c:pt idx="594">
                  <c:v>44363</c:v>
                </c:pt>
                <c:pt idx="595">
                  <c:v>44364</c:v>
                </c:pt>
                <c:pt idx="596">
                  <c:v>44365</c:v>
                </c:pt>
                <c:pt idx="597">
                  <c:v>44368</c:v>
                </c:pt>
                <c:pt idx="598">
                  <c:v>44369</c:v>
                </c:pt>
                <c:pt idx="599">
                  <c:v>44370</c:v>
                </c:pt>
                <c:pt idx="600">
                  <c:v>44371</c:v>
                </c:pt>
                <c:pt idx="601">
                  <c:v>44372</c:v>
                </c:pt>
                <c:pt idx="602">
                  <c:v>44375</c:v>
                </c:pt>
                <c:pt idx="603">
                  <c:v>44376</c:v>
                </c:pt>
                <c:pt idx="604">
                  <c:v>44377</c:v>
                </c:pt>
                <c:pt idx="605">
                  <c:v>44378</c:v>
                </c:pt>
                <c:pt idx="606">
                  <c:v>44379</c:v>
                </c:pt>
                <c:pt idx="607">
                  <c:v>44382</c:v>
                </c:pt>
                <c:pt idx="608">
                  <c:v>44383</c:v>
                </c:pt>
                <c:pt idx="609">
                  <c:v>44384</c:v>
                </c:pt>
                <c:pt idx="610">
                  <c:v>44385</c:v>
                </c:pt>
                <c:pt idx="611">
                  <c:v>44386</c:v>
                </c:pt>
                <c:pt idx="612">
                  <c:v>44389</c:v>
                </c:pt>
                <c:pt idx="613">
                  <c:v>44390</c:v>
                </c:pt>
                <c:pt idx="614">
                  <c:v>44391</c:v>
                </c:pt>
                <c:pt idx="615">
                  <c:v>44392</c:v>
                </c:pt>
                <c:pt idx="616">
                  <c:v>44393</c:v>
                </c:pt>
                <c:pt idx="617">
                  <c:v>44396</c:v>
                </c:pt>
                <c:pt idx="618">
                  <c:v>44397</c:v>
                </c:pt>
                <c:pt idx="619">
                  <c:v>44398</c:v>
                </c:pt>
                <c:pt idx="620">
                  <c:v>44399</c:v>
                </c:pt>
                <c:pt idx="621">
                  <c:v>44400</c:v>
                </c:pt>
                <c:pt idx="622">
                  <c:v>44403</c:v>
                </c:pt>
                <c:pt idx="623">
                  <c:v>44404</c:v>
                </c:pt>
                <c:pt idx="624">
                  <c:v>44405</c:v>
                </c:pt>
                <c:pt idx="625">
                  <c:v>44406</c:v>
                </c:pt>
                <c:pt idx="626">
                  <c:v>44407</c:v>
                </c:pt>
                <c:pt idx="627">
                  <c:v>44410</c:v>
                </c:pt>
                <c:pt idx="628">
                  <c:v>44411</c:v>
                </c:pt>
                <c:pt idx="629">
                  <c:v>44412</c:v>
                </c:pt>
                <c:pt idx="630">
                  <c:v>44413</c:v>
                </c:pt>
                <c:pt idx="631">
                  <c:v>44414</c:v>
                </c:pt>
                <c:pt idx="632">
                  <c:v>44417</c:v>
                </c:pt>
                <c:pt idx="633">
                  <c:v>44418</c:v>
                </c:pt>
                <c:pt idx="634">
                  <c:v>44419</c:v>
                </c:pt>
                <c:pt idx="635">
                  <c:v>44420</c:v>
                </c:pt>
                <c:pt idx="636">
                  <c:v>44421</c:v>
                </c:pt>
                <c:pt idx="637">
                  <c:v>44424</c:v>
                </c:pt>
                <c:pt idx="638">
                  <c:v>44425</c:v>
                </c:pt>
                <c:pt idx="639">
                  <c:v>44426</c:v>
                </c:pt>
                <c:pt idx="640">
                  <c:v>44427</c:v>
                </c:pt>
                <c:pt idx="641">
                  <c:v>44428</c:v>
                </c:pt>
                <c:pt idx="642">
                  <c:v>44431</c:v>
                </c:pt>
                <c:pt idx="643">
                  <c:v>44432</c:v>
                </c:pt>
                <c:pt idx="644">
                  <c:v>44433</c:v>
                </c:pt>
                <c:pt idx="645">
                  <c:v>44434</c:v>
                </c:pt>
                <c:pt idx="646">
                  <c:v>44435</c:v>
                </c:pt>
                <c:pt idx="647">
                  <c:v>44438</c:v>
                </c:pt>
                <c:pt idx="648">
                  <c:v>44439</c:v>
                </c:pt>
                <c:pt idx="649">
                  <c:v>44440</c:v>
                </c:pt>
                <c:pt idx="650">
                  <c:v>44441</c:v>
                </c:pt>
                <c:pt idx="651">
                  <c:v>44442</c:v>
                </c:pt>
                <c:pt idx="652">
                  <c:v>44445</c:v>
                </c:pt>
                <c:pt idx="653">
                  <c:v>44446</c:v>
                </c:pt>
                <c:pt idx="654">
                  <c:v>44447</c:v>
                </c:pt>
                <c:pt idx="655">
                  <c:v>44448</c:v>
                </c:pt>
                <c:pt idx="656">
                  <c:v>44449</c:v>
                </c:pt>
                <c:pt idx="657">
                  <c:v>44452</c:v>
                </c:pt>
                <c:pt idx="658">
                  <c:v>44453</c:v>
                </c:pt>
                <c:pt idx="659">
                  <c:v>44454</c:v>
                </c:pt>
                <c:pt idx="660">
                  <c:v>44455</c:v>
                </c:pt>
                <c:pt idx="661">
                  <c:v>44456</c:v>
                </c:pt>
                <c:pt idx="662">
                  <c:v>44461</c:v>
                </c:pt>
                <c:pt idx="663">
                  <c:v>44462</c:v>
                </c:pt>
                <c:pt idx="664">
                  <c:v>44463</c:v>
                </c:pt>
                <c:pt idx="665">
                  <c:v>44466</c:v>
                </c:pt>
                <c:pt idx="666">
                  <c:v>44467</c:v>
                </c:pt>
                <c:pt idx="667">
                  <c:v>44468</c:v>
                </c:pt>
                <c:pt idx="668">
                  <c:v>44469</c:v>
                </c:pt>
                <c:pt idx="669">
                  <c:v>44477</c:v>
                </c:pt>
                <c:pt idx="670">
                  <c:v>44480</c:v>
                </c:pt>
                <c:pt idx="671">
                  <c:v>44481</c:v>
                </c:pt>
                <c:pt idx="672">
                  <c:v>44482</c:v>
                </c:pt>
                <c:pt idx="673">
                  <c:v>44483</c:v>
                </c:pt>
                <c:pt idx="674">
                  <c:v>44484</c:v>
                </c:pt>
                <c:pt idx="675">
                  <c:v>44487</c:v>
                </c:pt>
                <c:pt idx="676">
                  <c:v>44488</c:v>
                </c:pt>
                <c:pt idx="677">
                  <c:v>44489</c:v>
                </c:pt>
                <c:pt idx="678">
                  <c:v>44490</c:v>
                </c:pt>
                <c:pt idx="679">
                  <c:v>44491</c:v>
                </c:pt>
                <c:pt idx="680">
                  <c:v>44494</c:v>
                </c:pt>
                <c:pt idx="681">
                  <c:v>44495</c:v>
                </c:pt>
                <c:pt idx="682">
                  <c:v>44496</c:v>
                </c:pt>
                <c:pt idx="683">
                  <c:v>44497</c:v>
                </c:pt>
                <c:pt idx="684">
                  <c:v>44498</c:v>
                </c:pt>
                <c:pt idx="685">
                  <c:v>44501</c:v>
                </c:pt>
                <c:pt idx="686">
                  <c:v>44502</c:v>
                </c:pt>
                <c:pt idx="687">
                  <c:v>44503</c:v>
                </c:pt>
                <c:pt idx="688">
                  <c:v>44504</c:v>
                </c:pt>
                <c:pt idx="689">
                  <c:v>44505</c:v>
                </c:pt>
                <c:pt idx="690">
                  <c:v>44508</c:v>
                </c:pt>
                <c:pt idx="691">
                  <c:v>44509</c:v>
                </c:pt>
                <c:pt idx="692">
                  <c:v>44510</c:v>
                </c:pt>
                <c:pt idx="693">
                  <c:v>44511</c:v>
                </c:pt>
                <c:pt idx="694">
                  <c:v>44512</c:v>
                </c:pt>
                <c:pt idx="695">
                  <c:v>44515</c:v>
                </c:pt>
                <c:pt idx="696">
                  <c:v>44516</c:v>
                </c:pt>
                <c:pt idx="697">
                  <c:v>44517</c:v>
                </c:pt>
                <c:pt idx="698">
                  <c:v>44518</c:v>
                </c:pt>
                <c:pt idx="699">
                  <c:v>44519</c:v>
                </c:pt>
                <c:pt idx="700">
                  <c:v>44522</c:v>
                </c:pt>
                <c:pt idx="701">
                  <c:v>44523</c:v>
                </c:pt>
                <c:pt idx="702">
                  <c:v>44524</c:v>
                </c:pt>
                <c:pt idx="703">
                  <c:v>44525</c:v>
                </c:pt>
                <c:pt idx="704">
                  <c:v>44526</c:v>
                </c:pt>
                <c:pt idx="705">
                  <c:v>44529</c:v>
                </c:pt>
                <c:pt idx="706">
                  <c:v>44530</c:v>
                </c:pt>
                <c:pt idx="707">
                  <c:v>44531</c:v>
                </c:pt>
                <c:pt idx="708">
                  <c:v>44532</c:v>
                </c:pt>
                <c:pt idx="709">
                  <c:v>44533</c:v>
                </c:pt>
                <c:pt idx="710">
                  <c:v>44536</c:v>
                </c:pt>
                <c:pt idx="711">
                  <c:v>44537</c:v>
                </c:pt>
                <c:pt idx="712">
                  <c:v>44538</c:v>
                </c:pt>
                <c:pt idx="713">
                  <c:v>44539</c:v>
                </c:pt>
                <c:pt idx="714">
                  <c:v>44540</c:v>
                </c:pt>
                <c:pt idx="715">
                  <c:v>44543</c:v>
                </c:pt>
                <c:pt idx="716">
                  <c:v>44544</c:v>
                </c:pt>
                <c:pt idx="717">
                  <c:v>44545</c:v>
                </c:pt>
                <c:pt idx="718">
                  <c:v>44546</c:v>
                </c:pt>
                <c:pt idx="719">
                  <c:v>44547</c:v>
                </c:pt>
                <c:pt idx="720">
                  <c:v>44550</c:v>
                </c:pt>
                <c:pt idx="721">
                  <c:v>44551</c:v>
                </c:pt>
                <c:pt idx="722">
                  <c:v>44552</c:v>
                </c:pt>
                <c:pt idx="723">
                  <c:v>44553</c:v>
                </c:pt>
                <c:pt idx="724">
                  <c:v>44554</c:v>
                </c:pt>
                <c:pt idx="725">
                  <c:v>44557</c:v>
                </c:pt>
                <c:pt idx="726">
                  <c:v>44558</c:v>
                </c:pt>
                <c:pt idx="727">
                  <c:v>44559</c:v>
                </c:pt>
                <c:pt idx="728">
                  <c:v>44560</c:v>
                </c:pt>
                <c:pt idx="729">
                  <c:v>44561</c:v>
                </c:pt>
                <c:pt idx="730">
                  <c:v>44565</c:v>
                </c:pt>
                <c:pt idx="731">
                  <c:v>44566</c:v>
                </c:pt>
                <c:pt idx="732">
                  <c:v>44567</c:v>
                </c:pt>
                <c:pt idx="733">
                  <c:v>44568</c:v>
                </c:pt>
                <c:pt idx="734">
                  <c:v>44571</c:v>
                </c:pt>
                <c:pt idx="735">
                  <c:v>44572</c:v>
                </c:pt>
                <c:pt idx="736">
                  <c:v>44573</c:v>
                </c:pt>
                <c:pt idx="737">
                  <c:v>44574</c:v>
                </c:pt>
                <c:pt idx="738">
                  <c:v>44575</c:v>
                </c:pt>
                <c:pt idx="739">
                  <c:v>44578</c:v>
                </c:pt>
                <c:pt idx="740">
                  <c:v>44579</c:v>
                </c:pt>
                <c:pt idx="741">
                  <c:v>44580</c:v>
                </c:pt>
                <c:pt idx="742">
                  <c:v>44581</c:v>
                </c:pt>
                <c:pt idx="743">
                  <c:v>44582</c:v>
                </c:pt>
                <c:pt idx="744">
                  <c:v>44585</c:v>
                </c:pt>
                <c:pt idx="745">
                  <c:v>44586</c:v>
                </c:pt>
                <c:pt idx="746">
                  <c:v>44587</c:v>
                </c:pt>
                <c:pt idx="747">
                  <c:v>44588</c:v>
                </c:pt>
                <c:pt idx="748">
                  <c:v>44589</c:v>
                </c:pt>
                <c:pt idx="749">
                  <c:v>44599</c:v>
                </c:pt>
                <c:pt idx="750">
                  <c:v>44600</c:v>
                </c:pt>
                <c:pt idx="751">
                  <c:v>44601</c:v>
                </c:pt>
                <c:pt idx="752">
                  <c:v>44602</c:v>
                </c:pt>
                <c:pt idx="753">
                  <c:v>44603</c:v>
                </c:pt>
                <c:pt idx="754">
                  <c:v>44606</c:v>
                </c:pt>
                <c:pt idx="755">
                  <c:v>44607</c:v>
                </c:pt>
                <c:pt idx="756">
                  <c:v>44608</c:v>
                </c:pt>
                <c:pt idx="757">
                  <c:v>44609</c:v>
                </c:pt>
                <c:pt idx="758">
                  <c:v>44610</c:v>
                </c:pt>
                <c:pt idx="759">
                  <c:v>44613</c:v>
                </c:pt>
                <c:pt idx="760">
                  <c:v>44614</c:v>
                </c:pt>
                <c:pt idx="761">
                  <c:v>44615</c:v>
                </c:pt>
                <c:pt idx="762">
                  <c:v>44616</c:v>
                </c:pt>
                <c:pt idx="763">
                  <c:v>44617</c:v>
                </c:pt>
                <c:pt idx="764">
                  <c:v>44620</c:v>
                </c:pt>
                <c:pt idx="765">
                  <c:v>44621</c:v>
                </c:pt>
                <c:pt idx="766">
                  <c:v>44622</c:v>
                </c:pt>
                <c:pt idx="767">
                  <c:v>44623</c:v>
                </c:pt>
                <c:pt idx="768">
                  <c:v>44624</c:v>
                </c:pt>
                <c:pt idx="769">
                  <c:v>44627</c:v>
                </c:pt>
                <c:pt idx="770">
                  <c:v>44628</c:v>
                </c:pt>
                <c:pt idx="771">
                  <c:v>44629</c:v>
                </c:pt>
                <c:pt idx="772">
                  <c:v>44630</c:v>
                </c:pt>
                <c:pt idx="773">
                  <c:v>44631</c:v>
                </c:pt>
                <c:pt idx="774">
                  <c:v>44634</c:v>
                </c:pt>
                <c:pt idx="775">
                  <c:v>44635</c:v>
                </c:pt>
                <c:pt idx="776">
                  <c:v>44636</c:v>
                </c:pt>
                <c:pt idx="777">
                  <c:v>44637</c:v>
                </c:pt>
                <c:pt idx="778">
                  <c:v>44638</c:v>
                </c:pt>
                <c:pt idx="779">
                  <c:v>44641</c:v>
                </c:pt>
                <c:pt idx="780">
                  <c:v>44642</c:v>
                </c:pt>
                <c:pt idx="781">
                  <c:v>44643</c:v>
                </c:pt>
                <c:pt idx="782">
                  <c:v>44644</c:v>
                </c:pt>
                <c:pt idx="783">
                  <c:v>44645</c:v>
                </c:pt>
                <c:pt idx="784">
                  <c:v>44648</c:v>
                </c:pt>
                <c:pt idx="785">
                  <c:v>44649</c:v>
                </c:pt>
                <c:pt idx="786">
                  <c:v>44650</c:v>
                </c:pt>
                <c:pt idx="787">
                  <c:v>44651</c:v>
                </c:pt>
                <c:pt idx="788">
                  <c:v>44652</c:v>
                </c:pt>
                <c:pt idx="789">
                  <c:v>44657</c:v>
                </c:pt>
                <c:pt idx="790">
                  <c:v>44658</c:v>
                </c:pt>
                <c:pt idx="791">
                  <c:v>44659</c:v>
                </c:pt>
                <c:pt idx="792">
                  <c:v>44662</c:v>
                </c:pt>
                <c:pt idx="793">
                  <c:v>44663</c:v>
                </c:pt>
                <c:pt idx="794">
                  <c:v>44664</c:v>
                </c:pt>
                <c:pt idx="795">
                  <c:v>44665</c:v>
                </c:pt>
                <c:pt idx="796">
                  <c:v>44666</c:v>
                </c:pt>
                <c:pt idx="797">
                  <c:v>44669</c:v>
                </c:pt>
                <c:pt idx="798">
                  <c:v>44670</c:v>
                </c:pt>
                <c:pt idx="799">
                  <c:v>44671</c:v>
                </c:pt>
                <c:pt idx="800">
                  <c:v>44672</c:v>
                </c:pt>
                <c:pt idx="801">
                  <c:v>44673</c:v>
                </c:pt>
                <c:pt idx="802">
                  <c:v>44676</c:v>
                </c:pt>
                <c:pt idx="803">
                  <c:v>44677</c:v>
                </c:pt>
                <c:pt idx="804">
                  <c:v>44678</c:v>
                </c:pt>
                <c:pt idx="805">
                  <c:v>44679</c:v>
                </c:pt>
                <c:pt idx="806">
                  <c:v>44680</c:v>
                </c:pt>
                <c:pt idx="807">
                  <c:v>44686</c:v>
                </c:pt>
                <c:pt idx="808">
                  <c:v>44687</c:v>
                </c:pt>
                <c:pt idx="809">
                  <c:v>44690</c:v>
                </c:pt>
                <c:pt idx="810">
                  <c:v>44691</c:v>
                </c:pt>
                <c:pt idx="811">
                  <c:v>44692</c:v>
                </c:pt>
                <c:pt idx="812">
                  <c:v>44693</c:v>
                </c:pt>
                <c:pt idx="813">
                  <c:v>44694</c:v>
                </c:pt>
                <c:pt idx="814">
                  <c:v>44697</c:v>
                </c:pt>
                <c:pt idx="815">
                  <c:v>44698</c:v>
                </c:pt>
                <c:pt idx="816">
                  <c:v>44699</c:v>
                </c:pt>
                <c:pt idx="817">
                  <c:v>44700</c:v>
                </c:pt>
                <c:pt idx="818">
                  <c:v>44701</c:v>
                </c:pt>
                <c:pt idx="819">
                  <c:v>44704</c:v>
                </c:pt>
                <c:pt idx="820">
                  <c:v>44705</c:v>
                </c:pt>
                <c:pt idx="821">
                  <c:v>44706</c:v>
                </c:pt>
                <c:pt idx="822">
                  <c:v>44707</c:v>
                </c:pt>
                <c:pt idx="823">
                  <c:v>44708</c:v>
                </c:pt>
                <c:pt idx="824">
                  <c:v>44711</c:v>
                </c:pt>
                <c:pt idx="825">
                  <c:v>44712</c:v>
                </c:pt>
                <c:pt idx="826">
                  <c:v>44713</c:v>
                </c:pt>
                <c:pt idx="827">
                  <c:v>44714</c:v>
                </c:pt>
                <c:pt idx="828">
                  <c:v>44718</c:v>
                </c:pt>
                <c:pt idx="829">
                  <c:v>44719</c:v>
                </c:pt>
                <c:pt idx="830">
                  <c:v>44720</c:v>
                </c:pt>
                <c:pt idx="831">
                  <c:v>44721</c:v>
                </c:pt>
                <c:pt idx="832">
                  <c:v>44722</c:v>
                </c:pt>
                <c:pt idx="833">
                  <c:v>44725</c:v>
                </c:pt>
                <c:pt idx="834">
                  <c:v>44726</c:v>
                </c:pt>
                <c:pt idx="835">
                  <c:v>44727</c:v>
                </c:pt>
                <c:pt idx="836">
                  <c:v>44728</c:v>
                </c:pt>
                <c:pt idx="837">
                  <c:v>44729</c:v>
                </c:pt>
                <c:pt idx="838">
                  <c:v>44732</c:v>
                </c:pt>
                <c:pt idx="839">
                  <c:v>44733</c:v>
                </c:pt>
                <c:pt idx="840">
                  <c:v>44734</c:v>
                </c:pt>
                <c:pt idx="841">
                  <c:v>44735</c:v>
                </c:pt>
                <c:pt idx="842">
                  <c:v>44736</c:v>
                </c:pt>
                <c:pt idx="843">
                  <c:v>44739</c:v>
                </c:pt>
                <c:pt idx="844">
                  <c:v>44740</c:v>
                </c:pt>
                <c:pt idx="845">
                  <c:v>44741</c:v>
                </c:pt>
                <c:pt idx="846">
                  <c:v>44742</c:v>
                </c:pt>
                <c:pt idx="847">
                  <c:v>44743</c:v>
                </c:pt>
                <c:pt idx="848">
                  <c:v>44746</c:v>
                </c:pt>
                <c:pt idx="849">
                  <c:v>44747</c:v>
                </c:pt>
                <c:pt idx="850">
                  <c:v>44748</c:v>
                </c:pt>
                <c:pt idx="851">
                  <c:v>44749</c:v>
                </c:pt>
                <c:pt idx="852">
                  <c:v>44750</c:v>
                </c:pt>
                <c:pt idx="853">
                  <c:v>44753</c:v>
                </c:pt>
                <c:pt idx="854">
                  <c:v>44754</c:v>
                </c:pt>
                <c:pt idx="855">
                  <c:v>44755</c:v>
                </c:pt>
                <c:pt idx="856">
                  <c:v>44756</c:v>
                </c:pt>
                <c:pt idx="857">
                  <c:v>44757</c:v>
                </c:pt>
                <c:pt idx="858">
                  <c:v>44760</c:v>
                </c:pt>
                <c:pt idx="859">
                  <c:v>44761</c:v>
                </c:pt>
                <c:pt idx="860">
                  <c:v>44762</c:v>
                </c:pt>
                <c:pt idx="861">
                  <c:v>44763</c:v>
                </c:pt>
                <c:pt idx="862">
                  <c:v>44764</c:v>
                </c:pt>
                <c:pt idx="863">
                  <c:v>44767</c:v>
                </c:pt>
                <c:pt idx="864">
                  <c:v>44768</c:v>
                </c:pt>
                <c:pt idx="865">
                  <c:v>44769</c:v>
                </c:pt>
                <c:pt idx="866">
                  <c:v>44770</c:v>
                </c:pt>
                <c:pt idx="867">
                  <c:v>44771</c:v>
                </c:pt>
                <c:pt idx="868">
                  <c:v>44774</c:v>
                </c:pt>
                <c:pt idx="869">
                  <c:v>44775</c:v>
                </c:pt>
                <c:pt idx="870">
                  <c:v>44776</c:v>
                </c:pt>
                <c:pt idx="871">
                  <c:v>44777</c:v>
                </c:pt>
                <c:pt idx="872">
                  <c:v>44778</c:v>
                </c:pt>
                <c:pt idx="873">
                  <c:v>44781</c:v>
                </c:pt>
                <c:pt idx="874">
                  <c:v>44782</c:v>
                </c:pt>
                <c:pt idx="875">
                  <c:v>44783</c:v>
                </c:pt>
                <c:pt idx="876">
                  <c:v>44784</c:v>
                </c:pt>
                <c:pt idx="877">
                  <c:v>44785</c:v>
                </c:pt>
                <c:pt idx="878">
                  <c:v>44788</c:v>
                </c:pt>
                <c:pt idx="879">
                  <c:v>44789</c:v>
                </c:pt>
                <c:pt idx="880">
                  <c:v>44790</c:v>
                </c:pt>
                <c:pt idx="881">
                  <c:v>44791</c:v>
                </c:pt>
                <c:pt idx="882">
                  <c:v>44792</c:v>
                </c:pt>
                <c:pt idx="883">
                  <c:v>44795</c:v>
                </c:pt>
                <c:pt idx="884">
                  <c:v>44796</c:v>
                </c:pt>
                <c:pt idx="885">
                  <c:v>44797</c:v>
                </c:pt>
                <c:pt idx="886">
                  <c:v>44798</c:v>
                </c:pt>
                <c:pt idx="887">
                  <c:v>44799</c:v>
                </c:pt>
                <c:pt idx="888">
                  <c:v>44802</c:v>
                </c:pt>
                <c:pt idx="889">
                  <c:v>44803</c:v>
                </c:pt>
                <c:pt idx="890">
                  <c:v>44804</c:v>
                </c:pt>
                <c:pt idx="891">
                  <c:v>44805</c:v>
                </c:pt>
                <c:pt idx="892">
                  <c:v>44806</c:v>
                </c:pt>
                <c:pt idx="893">
                  <c:v>44809</c:v>
                </c:pt>
                <c:pt idx="894">
                  <c:v>44810</c:v>
                </c:pt>
                <c:pt idx="895">
                  <c:v>44811</c:v>
                </c:pt>
                <c:pt idx="896">
                  <c:v>44812</c:v>
                </c:pt>
                <c:pt idx="897">
                  <c:v>44813</c:v>
                </c:pt>
                <c:pt idx="898">
                  <c:v>44817</c:v>
                </c:pt>
                <c:pt idx="899">
                  <c:v>44818</c:v>
                </c:pt>
                <c:pt idx="900">
                  <c:v>44819</c:v>
                </c:pt>
                <c:pt idx="901">
                  <c:v>44820</c:v>
                </c:pt>
                <c:pt idx="902">
                  <c:v>44823</c:v>
                </c:pt>
                <c:pt idx="903">
                  <c:v>44824</c:v>
                </c:pt>
                <c:pt idx="904">
                  <c:v>44825</c:v>
                </c:pt>
                <c:pt idx="905">
                  <c:v>44826</c:v>
                </c:pt>
                <c:pt idx="906">
                  <c:v>44827</c:v>
                </c:pt>
                <c:pt idx="907">
                  <c:v>44830</c:v>
                </c:pt>
                <c:pt idx="908">
                  <c:v>44831</c:v>
                </c:pt>
                <c:pt idx="909">
                  <c:v>44832</c:v>
                </c:pt>
                <c:pt idx="910">
                  <c:v>44833</c:v>
                </c:pt>
                <c:pt idx="911">
                  <c:v>44834</c:v>
                </c:pt>
                <c:pt idx="912">
                  <c:v>44844</c:v>
                </c:pt>
                <c:pt idx="913">
                  <c:v>44845</c:v>
                </c:pt>
                <c:pt idx="914">
                  <c:v>44846</c:v>
                </c:pt>
                <c:pt idx="915">
                  <c:v>44847</c:v>
                </c:pt>
                <c:pt idx="916">
                  <c:v>44848</c:v>
                </c:pt>
                <c:pt idx="917">
                  <c:v>44851</c:v>
                </c:pt>
                <c:pt idx="918">
                  <c:v>44852</c:v>
                </c:pt>
                <c:pt idx="919">
                  <c:v>44853</c:v>
                </c:pt>
                <c:pt idx="920">
                  <c:v>44854</c:v>
                </c:pt>
                <c:pt idx="921">
                  <c:v>44855</c:v>
                </c:pt>
                <c:pt idx="922">
                  <c:v>44858</c:v>
                </c:pt>
                <c:pt idx="923">
                  <c:v>44859</c:v>
                </c:pt>
                <c:pt idx="924">
                  <c:v>44860</c:v>
                </c:pt>
                <c:pt idx="925">
                  <c:v>44861</c:v>
                </c:pt>
                <c:pt idx="926">
                  <c:v>44862</c:v>
                </c:pt>
                <c:pt idx="927">
                  <c:v>44865</c:v>
                </c:pt>
                <c:pt idx="928">
                  <c:v>44866</c:v>
                </c:pt>
                <c:pt idx="929">
                  <c:v>44867</c:v>
                </c:pt>
                <c:pt idx="930">
                  <c:v>44868</c:v>
                </c:pt>
                <c:pt idx="931">
                  <c:v>44869</c:v>
                </c:pt>
                <c:pt idx="932">
                  <c:v>44872</c:v>
                </c:pt>
                <c:pt idx="933">
                  <c:v>44873</c:v>
                </c:pt>
                <c:pt idx="934">
                  <c:v>44874</c:v>
                </c:pt>
                <c:pt idx="935">
                  <c:v>44875</c:v>
                </c:pt>
                <c:pt idx="936">
                  <c:v>44876</c:v>
                </c:pt>
                <c:pt idx="937">
                  <c:v>44879</c:v>
                </c:pt>
                <c:pt idx="938">
                  <c:v>44880</c:v>
                </c:pt>
                <c:pt idx="939">
                  <c:v>44881</c:v>
                </c:pt>
                <c:pt idx="940">
                  <c:v>44882</c:v>
                </c:pt>
                <c:pt idx="941">
                  <c:v>44883</c:v>
                </c:pt>
                <c:pt idx="942">
                  <c:v>44886</c:v>
                </c:pt>
                <c:pt idx="943">
                  <c:v>44887</c:v>
                </c:pt>
                <c:pt idx="944">
                  <c:v>44888</c:v>
                </c:pt>
                <c:pt idx="945">
                  <c:v>44889</c:v>
                </c:pt>
                <c:pt idx="946">
                  <c:v>44890</c:v>
                </c:pt>
                <c:pt idx="947">
                  <c:v>44893</c:v>
                </c:pt>
                <c:pt idx="948">
                  <c:v>44894</c:v>
                </c:pt>
                <c:pt idx="949">
                  <c:v>44895</c:v>
                </c:pt>
                <c:pt idx="950">
                  <c:v>44896</c:v>
                </c:pt>
                <c:pt idx="951">
                  <c:v>44897</c:v>
                </c:pt>
                <c:pt idx="952">
                  <c:v>44900</c:v>
                </c:pt>
                <c:pt idx="953">
                  <c:v>44901</c:v>
                </c:pt>
                <c:pt idx="954">
                  <c:v>44902</c:v>
                </c:pt>
                <c:pt idx="955">
                  <c:v>44903</c:v>
                </c:pt>
                <c:pt idx="956">
                  <c:v>44904</c:v>
                </c:pt>
                <c:pt idx="957">
                  <c:v>44907</c:v>
                </c:pt>
                <c:pt idx="958">
                  <c:v>44908</c:v>
                </c:pt>
                <c:pt idx="959">
                  <c:v>44909</c:v>
                </c:pt>
                <c:pt idx="960">
                  <c:v>44910</c:v>
                </c:pt>
                <c:pt idx="961">
                  <c:v>44911</c:v>
                </c:pt>
                <c:pt idx="962">
                  <c:v>44914</c:v>
                </c:pt>
                <c:pt idx="963">
                  <c:v>44915</c:v>
                </c:pt>
                <c:pt idx="964">
                  <c:v>44916</c:v>
                </c:pt>
                <c:pt idx="965">
                  <c:v>44917</c:v>
                </c:pt>
                <c:pt idx="966">
                  <c:v>44918</c:v>
                </c:pt>
                <c:pt idx="967">
                  <c:v>44921</c:v>
                </c:pt>
                <c:pt idx="968">
                  <c:v>44922</c:v>
                </c:pt>
                <c:pt idx="969">
                  <c:v>44923</c:v>
                </c:pt>
                <c:pt idx="970">
                  <c:v>44924</c:v>
                </c:pt>
                <c:pt idx="971">
                  <c:v>44925</c:v>
                </c:pt>
                <c:pt idx="972">
                  <c:v>44929</c:v>
                </c:pt>
                <c:pt idx="973">
                  <c:v>44930</c:v>
                </c:pt>
                <c:pt idx="974">
                  <c:v>44931</c:v>
                </c:pt>
                <c:pt idx="975">
                  <c:v>44932</c:v>
                </c:pt>
                <c:pt idx="976">
                  <c:v>44935</c:v>
                </c:pt>
                <c:pt idx="977">
                  <c:v>44936</c:v>
                </c:pt>
                <c:pt idx="978">
                  <c:v>44937</c:v>
                </c:pt>
                <c:pt idx="979">
                  <c:v>44938</c:v>
                </c:pt>
                <c:pt idx="980">
                  <c:v>44939</c:v>
                </c:pt>
                <c:pt idx="981">
                  <c:v>44942</c:v>
                </c:pt>
                <c:pt idx="982">
                  <c:v>44943</c:v>
                </c:pt>
                <c:pt idx="983">
                  <c:v>44944</c:v>
                </c:pt>
                <c:pt idx="984">
                  <c:v>44945</c:v>
                </c:pt>
                <c:pt idx="985">
                  <c:v>44946</c:v>
                </c:pt>
                <c:pt idx="986">
                  <c:v>44956</c:v>
                </c:pt>
                <c:pt idx="987">
                  <c:v>44957</c:v>
                </c:pt>
                <c:pt idx="988">
                  <c:v>44958</c:v>
                </c:pt>
                <c:pt idx="989">
                  <c:v>44959</c:v>
                </c:pt>
                <c:pt idx="990">
                  <c:v>44960</c:v>
                </c:pt>
                <c:pt idx="991">
                  <c:v>44963</c:v>
                </c:pt>
                <c:pt idx="992">
                  <c:v>44964</c:v>
                </c:pt>
                <c:pt idx="993">
                  <c:v>44965</c:v>
                </c:pt>
                <c:pt idx="994">
                  <c:v>44966</c:v>
                </c:pt>
                <c:pt idx="995">
                  <c:v>44967</c:v>
                </c:pt>
                <c:pt idx="996">
                  <c:v>44970</c:v>
                </c:pt>
                <c:pt idx="997">
                  <c:v>44971</c:v>
                </c:pt>
                <c:pt idx="998">
                  <c:v>44972</c:v>
                </c:pt>
                <c:pt idx="999">
                  <c:v>44973</c:v>
                </c:pt>
                <c:pt idx="1000">
                  <c:v>44974</c:v>
                </c:pt>
                <c:pt idx="1001">
                  <c:v>44977</c:v>
                </c:pt>
                <c:pt idx="1002">
                  <c:v>44978</c:v>
                </c:pt>
                <c:pt idx="1003">
                  <c:v>44979</c:v>
                </c:pt>
                <c:pt idx="1004">
                  <c:v>44980</c:v>
                </c:pt>
                <c:pt idx="1005">
                  <c:v>44981</c:v>
                </c:pt>
                <c:pt idx="1006">
                  <c:v>44984</c:v>
                </c:pt>
                <c:pt idx="1007">
                  <c:v>44985</c:v>
                </c:pt>
                <c:pt idx="1008">
                  <c:v>44986</c:v>
                </c:pt>
                <c:pt idx="1009">
                  <c:v>44987</c:v>
                </c:pt>
                <c:pt idx="1010">
                  <c:v>44988</c:v>
                </c:pt>
                <c:pt idx="1011">
                  <c:v>44991</c:v>
                </c:pt>
                <c:pt idx="1012">
                  <c:v>44992</c:v>
                </c:pt>
                <c:pt idx="1013">
                  <c:v>44993</c:v>
                </c:pt>
                <c:pt idx="1014">
                  <c:v>44994</c:v>
                </c:pt>
                <c:pt idx="1015">
                  <c:v>44995</c:v>
                </c:pt>
                <c:pt idx="1016">
                  <c:v>44998</c:v>
                </c:pt>
                <c:pt idx="1017">
                  <c:v>44999</c:v>
                </c:pt>
                <c:pt idx="1018">
                  <c:v>45000</c:v>
                </c:pt>
                <c:pt idx="1019">
                  <c:v>45001</c:v>
                </c:pt>
                <c:pt idx="1020">
                  <c:v>45002</c:v>
                </c:pt>
                <c:pt idx="1021">
                  <c:v>45005</c:v>
                </c:pt>
                <c:pt idx="1022">
                  <c:v>45006</c:v>
                </c:pt>
                <c:pt idx="1023">
                  <c:v>45007</c:v>
                </c:pt>
                <c:pt idx="1024">
                  <c:v>45008</c:v>
                </c:pt>
                <c:pt idx="1025">
                  <c:v>45009</c:v>
                </c:pt>
                <c:pt idx="1026">
                  <c:v>45012</c:v>
                </c:pt>
                <c:pt idx="1027">
                  <c:v>45013</c:v>
                </c:pt>
                <c:pt idx="1028">
                  <c:v>45014</c:v>
                </c:pt>
                <c:pt idx="1029">
                  <c:v>45015</c:v>
                </c:pt>
                <c:pt idx="1030">
                  <c:v>45016</c:v>
                </c:pt>
                <c:pt idx="1031">
                  <c:v>45019</c:v>
                </c:pt>
                <c:pt idx="1032">
                  <c:v>45020</c:v>
                </c:pt>
                <c:pt idx="1033">
                  <c:v>45022</c:v>
                </c:pt>
                <c:pt idx="1034">
                  <c:v>45023</c:v>
                </c:pt>
                <c:pt idx="1035">
                  <c:v>45026</c:v>
                </c:pt>
                <c:pt idx="1036">
                  <c:v>45027</c:v>
                </c:pt>
                <c:pt idx="1037">
                  <c:v>45028</c:v>
                </c:pt>
                <c:pt idx="1038">
                  <c:v>45029</c:v>
                </c:pt>
                <c:pt idx="1039">
                  <c:v>45030</c:v>
                </c:pt>
                <c:pt idx="1040">
                  <c:v>45033</c:v>
                </c:pt>
                <c:pt idx="1041">
                  <c:v>45034</c:v>
                </c:pt>
                <c:pt idx="1042">
                  <c:v>45035</c:v>
                </c:pt>
                <c:pt idx="1043">
                  <c:v>45036</c:v>
                </c:pt>
                <c:pt idx="1044">
                  <c:v>45037</c:v>
                </c:pt>
                <c:pt idx="1045">
                  <c:v>45040</c:v>
                </c:pt>
                <c:pt idx="1046">
                  <c:v>45041</c:v>
                </c:pt>
                <c:pt idx="1047">
                  <c:v>45042</c:v>
                </c:pt>
                <c:pt idx="1048">
                  <c:v>45043</c:v>
                </c:pt>
                <c:pt idx="1049">
                  <c:v>45044</c:v>
                </c:pt>
                <c:pt idx="1050">
                  <c:v>45050</c:v>
                </c:pt>
                <c:pt idx="1051">
                  <c:v>45051</c:v>
                </c:pt>
                <c:pt idx="1052">
                  <c:v>45054</c:v>
                </c:pt>
                <c:pt idx="1053">
                  <c:v>45055</c:v>
                </c:pt>
                <c:pt idx="1054">
                  <c:v>45056</c:v>
                </c:pt>
                <c:pt idx="1055">
                  <c:v>45057</c:v>
                </c:pt>
                <c:pt idx="1056">
                  <c:v>45058</c:v>
                </c:pt>
                <c:pt idx="1057">
                  <c:v>45061</c:v>
                </c:pt>
                <c:pt idx="1058">
                  <c:v>45062</c:v>
                </c:pt>
                <c:pt idx="1059">
                  <c:v>45063</c:v>
                </c:pt>
                <c:pt idx="1060">
                  <c:v>45064</c:v>
                </c:pt>
                <c:pt idx="1061">
                  <c:v>45065</c:v>
                </c:pt>
                <c:pt idx="1062">
                  <c:v>45068</c:v>
                </c:pt>
                <c:pt idx="1063">
                  <c:v>45069</c:v>
                </c:pt>
                <c:pt idx="1064">
                  <c:v>45070</c:v>
                </c:pt>
                <c:pt idx="1065">
                  <c:v>45071</c:v>
                </c:pt>
                <c:pt idx="1066">
                  <c:v>45072</c:v>
                </c:pt>
                <c:pt idx="1067">
                  <c:v>45075</c:v>
                </c:pt>
                <c:pt idx="1068">
                  <c:v>45076</c:v>
                </c:pt>
                <c:pt idx="1069">
                  <c:v>45077</c:v>
                </c:pt>
                <c:pt idx="1070">
                  <c:v>45078</c:v>
                </c:pt>
                <c:pt idx="1071">
                  <c:v>45079</c:v>
                </c:pt>
                <c:pt idx="1072">
                  <c:v>45082</c:v>
                </c:pt>
                <c:pt idx="1073">
                  <c:v>45083</c:v>
                </c:pt>
                <c:pt idx="1074">
                  <c:v>45084</c:v>
                </c:pt>
                <c:pt idx="1075">
                  <c:v>45085</c:v>
                </c:pt>
                <c:pt idx="1076">
                  <c:v>45086</c:v>
                </c:pt>
                <c:pt idx="1077">
                  <c:v>45089</c:v>
                </c:pt>
                <c:pt idx="1078">
                  <c:v>45090</c:v>
                </c:pt>
                <c:pt idx="1079">
                  <c:v>45091</c:v>
                </c:pt>
                <c:pt idx="1080">
                  <c:v>45092</c:v>
                </c:pt>
                <c:pt idx="1081">
                  <c:v>45093</c:v>
                </c:pt>
                <c:pt idx="1082">
                  <c:v>45096</c:v>
                </c:pt>
                <c:pt idx="1083">
                  <c:v>45097</c:v>
                </c:pt>
                <c:pt idx="1084">
                  <c:v>45098</c:v>
                </c:pt>
                <c:pt idx="1085">
                  <c:v>45103</c:v>
                </c:pt>
                <c:pt idx="1086">
                  <c:v>45104</c:v>
                </c:pt>
                <c:pt idx="1087">
                  <c:v>45105</c:v>
                </c:pt>
                <c:pt idx="1088">
                  <c:v>45106</c:v>
                </c:pt>
                <c:pt idx="1089">
                  <c:v>45107</c:v>
                </c:pt>
                <c:pt idx="1090">
                  <c:v>45110</c:v>
                </c:pt>
                <c:pt idx="1091">
                  <c:v>45111</c:v>
                </c:pt>
                <c:pt idx="1092">
                  <c:v>45112</c:v>
                </c:pt>
                <c:pt idx="1093">
                  <c:v>45113</c:v>
                </c:pt>
                <c:pt idx="1094">
                  <c:v>45114</c:v>
                </c:pt>
                <c:pt idx="1095">
                  <c:v>45117</c:v>
                </c:pt>
                <c:pt idx="1096">
                  <c:v>45118</c:v>
                </c:pt>
                <c:pt idx="1097">
                  <c:v>45119</c:v>
                </c:pt>
                <c:pt idx="1098">
                  <c:v>45120</c:v>
                </c:pt>
                <c:pt idx="1099">
                  <c:v>45121</c:v>
                </c:pt>
                <c:pt idx="1100">
                  <c:v>45124</c:v>
                </c:pt>
                <c:pt idx="1101">
                  <c:v>45125</c:v>
                </c:pt>
                <c:pt idx="1102">
                  <c:v>45126</c:v>
                </c:pt>
                <c:pt idx="1103">
                  <c:v>45127</c:v>
                </c:pt>
                <c:pt idx="1104">
                  <c:v>45128</c:v>
                </c:pt>
                <c:pt idx="1105">
                  <c:v>45131</c:v>
                </c:pt>
                <c:pt idx="1106">
                  <c:v>45132</c:v>
                </c:pt>
                <c:pt idx="1107">
                  <c:v>45133</c:v>
                </c:pt>
                <c:pt idx="1108">
                  <c:v>45134</c:v>
                </c:pt>
                <c:pt idx="1109">
                  <c:v>45135</c:v>
                </c:pt>
                <c:pt idx="1110">
                  <c:v>45138</c:v>
                </c:pt>
                <c:pt idx="1111">
                  <c:v>45139</c:v>
                </c:pt>
                <c:pt idx="1112">
                  <c:v>45140</c:v>
                </c:pt>
                <c:pt idx="1113">
                  <c:v>45141</c:v>
                </c:pt>
                <c:pt idx="1114">
                  <c:v>45142</c:v>
                </c:pt>
                <c:pt idx="1115">
                  <c:v>45145</c:v>
                </c:pt>
                <c:pt idx="1116">
                  <c:v>45146</c:v>
                </c:pt>
                <c:pt idx="1117">
                  <c:v>45147</c:v>
                </c:pt>
                <c:pt idx="1118">
                  <c:v>45148</c:v>
                </c:pt>
                <c:pt idx="1119">
                  <c:v>45149</c:v>
                </c:pt>
                <c:pt idx="1120">
                  <c:v>45152</c:v>
                </c:pt>
                <c:pt idx="1121">
                  <c:v>45153</c:v>
                </c:pt>
                <c:pt idx="1122">
                  <c:v>45154</c:v>
                </c:pt>
                <c:pt idx="1123">
                  <c:v>45155</c:v>
                </c:pt>
                <c:pt idx="1124">
                  <c:v>45156</c:v>
                </c:pt>
                <c:pt idx="1125">
                  <c:v>45159</c:v>
                </c:pt>
                <c:pt idx="1126">
                  <c:v>45160</c:v>
                </c:pt>
                <c:pt idx="1127">
                  <c:v>45161</c:v>
                </c:pt>
                <c:pt idx="1128">
                  <c:v>45162</c:v>
                </c:pt>
                <c:pt idx="1129">
                  <c:v>45163</c:v>
                </c:pt>
                <c:pt idx="1130">
                  <c:v>45166</c:v>
                </c:pt>
                <c:pt idx="1131">
                  <c:v>45167</c:v>
                </c:pt>
                <c:pt idx="1132">
                  <c:v>45168</c:v>
                </c:pt>
                <c:pt idx="1133">
                  <c:v>45169</c:v>
                </c:pt>
                <c:pt idx="1134">
                  <c:v>45170</c:v>
                </c:pt>
                <c:pt idx="1135">
                  <c:v>45173</c:v>
                </c:pt>
                <c:pt idx="1136">
                  <c:v>45174</c:v>
                </c:pt>
                <c:pt idx="1137">
                  <c:v>45175</c:v>
                </c:pt>
                <c:pt idx="1138">
                  <c:v>45176</c:v>
                </c:pt>
                <c:pt idx="1139">
                  <c:v>45177</c:v>
                </c:pt>
                <c:pt idx="1140">
                  <c:v>45180</c:v>
                </c:pt>
                <c:pt idx="1141">
                  <c:v>45181</c:v>
                </c:pt>
                <c:pt idx="1142">
                  <c:v>45182</c:v>
                </c:pt>
                <c:pt idx="1143">
                  <c:v>45183</c:v>
                </c:pt>
                <c:pt idx="1144">
                  <c:v>45184</c:v>
                </c:pt>
                <c:pt idx="1145">
                  <c:v>45187</c:v>
                </c:pt>
                <c:pt idx="1146">
                  <c:v>45188</c:v>
                </c:pt>
                <c:pt idx="1147">
                  <c:v>45189</c:v>
                </c:pt>
                <c:pt idx="1148">
                  <c:v>45190</c:v>
                </c:pt>
                <c:pt idx="1149">
                  <c:v>45191</c:v>
                </c:pt>
                <c:pt idx="1150">
                  <c:v>45194</c:v>
                </c:pt>
                <c:pt idx="1151">
                  <c:v>45195</c:v>
                </c:pt>
                <c:pt idx="1152">
                  <c:v>45196</c:v>
                </c:pt>
                <c:pt idx="1153">
                  <c:v>45197</c:v>
                </c:pt>
                <c:pt idx="1154">
                  <c:v>45208</c:v>
                </c:pt>
                <c:pt idx="1155">
                  <c:v>45209</c:v>
                </c:pt>
                <c:pt idx="1156">
                  <c:v>45210</c:v>
                </c:pt>
                <c:pt idx="1157">
                  <c:v>45211</c:v>
                </c:pt>
                <c:pt idx="1158">
                  <c:v>45212</c:v>
                </c:pt>
                <c:pt idx="1159">
                  <c:v>45215</c:v>
                </c:pt>
                <c:pt idx="1160">
                  <c:v>45216</c:v>
                </c:pt>
                <c:pt idx="1161">
                  <c:v>45217</c:v>
                </c:pt>
                <c:pt idx="1162">
                  <c:v>45218</c:v>
                </c:pt>
                <c:pt idx="1163">
                  <c:v>45219</c:v>
                </c:pt>
                <c:pt idx="1164">
                  <c:v>45222</c:v>
                </c:pt>
                <c:pt idx="1165">
                  <c:v>45223</c:v>
                </c:pt>
                <c:pt idx="1166">
                  <c:v>45224</c:v>
                </c:pt>
                <c:pt idx="1167">
                  <c:v>45225</c:v>
                </c:pt>
                <c:pt idx="1168">
                  <c:v>45226</c:v>
                </c:pt>
                <c:pt idx="1169">
                  <c:v>45229</c:v>
                </c:pt>
                <c:pt idx="1170">
                  <c:v>45230</c:v>
                </c:pt>
                <c:pt idx="1171">
                  <c:v>45231</c:v>
                </c:pt>
                <c:pt idx="1172">
                  <c:v>45232</c:v>
                </c:pt>
                <c:pt idx="1173">
                  <c:v>45233</c:v>
                </c:pt>
                <c:pt idx="1174">
                  <c:v>45236</c:v>
                </c:pt>
                <c:pt idx="1175">
                  <c:v>45237</c:v>
                </c:pt>
                <c:pt idx="1176">
                  <c:v>45238</c:v>
                </c:pt>
                <c:pt idx="1177">
                  <c:v>45239</c:v>
                </c:pt>
                <c:pt idx="1178">
                  <c:v>45240</c:v>
                </c:pt>
                <c:pt idx="1179">
                  <c:v>45243</c:v>
                </c:pt>
                <c:pt idx="1180">
                  <c:v>45244</c:v>
                </c:pt>
                <c:pt idx="1181">
                  <c:v>45245</c:v>
                </c:pt>
                <c:pt idx="1182">
                  <c:v>45246</c:v>
                </c:pt>
                <c:pt idx="1183">
                  <c:v>45247</c:v>
                </c:pt>
                <c:pt idx="1184">
                  <c:v>45250</c:v>
                </c:pt>
                <c:pt idx="1185">
                  <c:v>45251</c:v>
                </c:pt>
                <c:pt idx="1186">
                  <c:v>45252</c:v>
                </c:pt>
                <c:pt idx="1187">
                  <c:v>45253</c:v>
                </c:pt>
                <c:pt idx="1188">
                  <c:v>45254</c:v>
                </c:pt>
                <c:pt idx="1189">
                  <c:v>45257</c:v>
                </c:pt>
                <c:pt idx="1190">
                  <c:v>45258</c:v>
                </c:pt>
                <c:pt idx="1191">
                  <c:v>45259</c:v>
                </c:pt>
                <c:pt idx="1192">
                  <c:v>45260</c:v>
                </c:pt>
                <c:pt idx="1193">
                  <c:v>45261</c:v>
                </c:pt>
                <c:pt idx="1194">
                  <c:v>45264</c:v>
                </c:pt>
                <c:pt idx="1195">
                  <c:v>45265</c:v>
                </c:pt>
                <c:pt idx="1196">
                  <c:v>45266</c:v>
                </c:pt>
                <c:pt idx="1197">
                  <c:v>45267</c:v>
                </c:pt>
                <c:pt idx="1198">
                  <c:v>45268</c:v>
                </c:pt>
                <c:pt idx="1199">
                  <c:v>45271</c:v>
                </c:pt>
                <c:pt idx="1200">
                  <c:v>45272</c:v>
                </c:pt>
                <c:pt idx="1201">
                  <c:v>45273</c:v>
                </c:pt>
                <c:pt idx="1202">
                  <c:v>45274</c:v>
                </c:pt>
                <c:pt idx="1203">
                  <c:v>45275</c:v>
                </c:pt>
                <c:pt idx="1204">
                  <c:v>45278</c:v>
                </c:pt>
                <c:pt idx="1205">
                  <c:v>45279</c:v>
                </c:pt>
                <c:pt idx="1206">
                  <c:v>45280</c:v>
                </c:pt>
                <c:pt idx="1207">
                  <c:v>45281</c:v>
                </c:pt>
                <c:pt idx="1208">
                  <c:v>45282</c:v>
                </c:pt>
                <c:pt idx="1209">
                  <c:v>45285</c:v>
                </c:pt>
                <c:pt idx="1210">
                  <c:v>45286</c:v>
                </c:pt>
                <c:pt idx="1211">
                  <c:v>45287</c:v>
                </c:pt>
                <c:pt idx="1212">
                  <c:v>45288</c:v>
                </c:pt>
                <c:pt idx="1213">
                  <c:v>45289</c:v>
                </c:pt>
                <c:pt idx="1214">
                  <c:v>45293</c:v>
                </c:pt>
                <c:pt idx="1215">
                  <c:v>45294</c:v>
                </c:pt>
                <c:pt idx="1216">
                  <c:v>45295</c:v>
                </c:pt>
                <c:pt idx="1217">
                  <c:v>45296</c:v>
                </c:pt>
                <c:pt idx="1218">
                  <c:v>45299</c:v>
                </c:pt>
                <c:pt idx="1219">
                  <c:v>45300</c:v>
                </c:pt>
                <c:pt idx="1220">
                  <c:v>45301</c:v>
                </c:pt>
                <c:pt idx="1221">
                  <c:v>45302</c:v>
                </c:pt>
                <c:pt idx="1222">
                  <c:v>45303</c:v>
                </c:pt>
                <c:pt idx="1223">
                  <c:v>45306</c:v>
                </c:pt>
                <c:pt idx="1224">
                  <c:v>45307</c:v>
                </c:pt>
                <c:pt idx="1225">
                  <c:v>45308</c:v>
                </c:pt>
                <c:pt idx="1226">
                  <c:v>45309</c:v>
                </c:pt>
                <c:pt idx="1227">
                  <c:v>45310</c:v>
                </c:pt>
                <c:pt idx="1228">
                  <c:v>45313</c:v>
                </c:pt>
                <c:pt idx="1229">
                  <c:v>45314</c:v>
                </c:pt>
                <c:pt idx="1230">
                  <c:v>45315</c:v>
                </c:pt>
                <c:pt idx="1231">
                  <c:v>45316</c:v>
                </c:pt>
                <c:pt idx="1232">
                  <c:v>45317</c:v>
                </c:pt>
                <c:pt idx="1233">
                  <c:v>45320</c:v>
                </c:pt>
                <c:pt idx="1234">
                  <c:v>45321</c:v>
                </c:pt>
                <c:pt idx="1235">
                  <c:v>45322</c:v>
                </c:pt>
                <c:pt idx="1236">
                  <c:v>45323</c:v>
                </c:pt>
                <c:pt idx="1237">
                  <c:v>45324</c:v>
                </c:pt>
                <c:pt idx="1238">
                  <c:v>45327</c:v>
                </c:pt>
                <c:pt idx="1239">
                  <c:v>45328</c:v>
                </c:pt>
                <c:pt idx="1240">
                  <c:v>45329</c:v>
                </c:pt>
                <c:pt idx="1241">
                  <c:v>45330</c:v>
                </c:pt>
                <c:pt idx="1242">
                  <c:v>45341</c:v>
                </c:pt>
                <c:pt idx="1243">
                  <c:v>45342</c:v>
                </c:pt>
                <c:pt idx="1244">
                  <c:v>45343</c:v>
                </c:pt>
                <c:pt idx="1245">
                  <c:v>45344</c:v>
                </c:pt>
                <c:pt idx="1246">
                  <c:v>45345</c:v>
                </c:pt>
                <c:pt idx="1247">
                  <c:v>45348</c:v>
                </c:pt>
                <c:pt idx="1248">
                  <c:v>45349</c:v>
                </c:pt>
                <c:pt idx="1249">
                  <c:v>45350</c:v>
                </c:pt>
                <c:pt idx="1250">
                  <c:v>45351</c:v>
                </c:pt>
                <c:pt idx="1251">
                  <c:v>45352</c:v>
                </c:pt>
                <c:pt idx="1252">
                  <c:v>45355</c:v>
                </c:pt>
                <c:pt idx="1253">
                  <c:v>45356</c:v>
                </c:pt>
                <c:pt idx="1254">
                  <c:v>45357</c:v>
                </c:pt>
                <c:pt idx="1255">
                  <c:v>45358</c:v>
                </c:pt>
                <c:pt idx="1256">
                  <c:v>45359</c:v>
                </c:pt>
                <c:pt idx="1257">
                  <c:v>45362</c:v>
                </c:pt>
                <c:pt idx="1258">
                  <c:v>45363</c:v>
                </c:pt>
                <c:pt idx="1259">
                  <c:v>45364</c:v>
                </c:pt>
                <c:pt idx="1260">
                  <c:v>45365</c:v>
                </c:pt>
                <c:pt idx="1261">
                  <c:v>45366</c:v>
                </c:pt>
                <c:pt idx="1262">
                  <c:v>45369</c:v>
                </c:pt>
                <c:pt idx="1263">
                  <c:v>45370</c:v>
                </c:pt>
                <c:pt idx="1264">
                  <c:v>45371</c:v>
                </c:pt>
                <c:pt idx="1265">
                  <c:v>45372</c:v>
                </c:pt>
                <c:pt idx="1266">
                  <c:v>45373</c:v>
                </c:pt>
                <c:pt idx="1267">
                  <c:v>45376</c:v>
                </c:pt>
                <c:pt idx="1268">
                  <c:v>45377</c:v>
                </c:pt>
                <c:pt idx="1269">
                  <c:v>45378</c:v>
                </c:pt>
                <c:pt idx="1270">
                  <c:v>45379</c:v>
                </c:pt>
                <c:pt idx="1271">
                  <c:v>45380</c:v>
                </c:pt>
                <c:pt idx="1272">
                  <c:v>45383</c:v>
                </c:pt>
                <c:pt idx="1273">
                  <c:v>45384</c:v>
                </c:pt>
                <c:pt idx="1274">
                  <c:v>45385</c:v>
                </c:pt>
                <c:pt idx="1275">
                  <c:v>45390</c:v>
                </c:pt>
                <c:pt idx="1276">
                  <c:v>45391</c:v>
                </c:pt>
                <c:pt idx="1277">
                  <c:v>45392</c:v>
                </c:pt>
                <c:pt idx="1278">
                  <c:v>45393</c:v>
                </c:pt>
                <c:pt idx="1279">
                  <c:v>45394</c:v>
                </c:pt>
                <c:pt idx="1280">
                  <c:v>45397</c:v>
                </c:pt>
                <c:pt idx="1281">
                  <c:v>45398</c:v>
                </c:pt>
              </c:numCache>
            </c:numRef>
          </c:cat>
          <c:val>
            <c:numRef>
              <c:f>历史数据!$G$2:$G$3390</c:f>
              <c:numCache>
                <c:formatCode>General</c:formatCode>
                <c:ptCount val="3389"/>
                <c:pt idx="0">
                  <c:v>-71.408500000000458</c:v>
                </c:pt>
                <c:pt idx="1">
                  <c:v>-71.408500000000458</c:v>
                </c:pt>
                <c:pt idx="2">
                  <c:v>-71.408500000000458</c:v>
                </c:pt>
                <c:pt idx="3">
                  <c:v>-71.408500000000458</c:v>
                </c:pt>
                <c:pt idx="4">
                  <c:v>-71.408500000000458</c:v>
                </c:pt>
                <c:pt idx="5">
                  <c:v>-71.408500000000458</c:v>
                </c:pt>
                <c:pt idx="6">
                  <c:v>-71.408500000000458</c:v>
                </c:pt>
                <c:pt idx="7">
                  <c:v>-71.408500000000458</c:v>
                </c:pt>
                <c:pt idx="8">
                  <c:v>-71.408500000000458</c:v>
                </c:pt>
                <c:pt idx="9">
                  <c:v>-71.408500000000458</c:v>
                </c:pt>
                <c:pt idx="10">
                  <c:v>-71.408500000000458</c:v>
                </c:pt>
                <c:pt idx="11">
                  <c:v>-71.408500000000458</c:v>
                </c:pt>
                <c:pt idx="12">
                  <c:v>-71.408500000000458</c:v>
                </c:pt>
                <c:pt idx="13">
                  <c:v>-71.408500000000458</c:v>
                </c:pt>
                <c:pt idx="14">
                  <c:v>-71.408500000000458</c:v>
                </c:pt>
                <c:pt idx="15">
                  <c:v>-71.408500000000458</c:v>
                </c:pt>
                <c:pt idx="16">
                  <c:v>-71.408500000000458</c:v>
                </c:pt>
                <c:pt idx="17">
                  <c:v>-71.408500000000458</c:v>
                </c:pt>
                <c:pt idx="18">
                  <c:v>-71.408500000000458</c:v>
                </c:pt>
                <c:pt idx="19">
                  <c:v>-71.408500000000458</c:v>
                </c:pt>
                <c:pt idx="20">
                  <c:v>-71.408500000000458</c:v>
                </c:pt>
                <c:pt idx="21">
                  <c:v>-71.408500000000458</c:v>
                </c:pt>
                <c:pt idx="22">
                  <c:v>-71.408500000000458</c:v>
                </c:pt>
                <c:pt idx="23">
                  <c:v>-71.408500000000458</c:v>
                </c:pt>
                <c:pt idx="24">
                  <c:v>-71.408500000000458</c:v>
                </c:pt>
                <c:pt idx="25">
                  <c:v>-71.408500000000458</c:v>
                </c:pt>
                <c:pt idx="26">
                  <c:v>-71.408500000000458</c:v>
                </c:pt>
                <c:pt idx="27">
                  <c:v>-71.408500000000458</c:v>
                </c:pt>
                <c:pt idx="28">
                  <c:v>-71.408500000000458</c:v>
                </c:pt>
                <c:pt idx="29">
                  <c:v>-71.408500000000458</c:v>
                </c:pt>
                <c:pt idx="30">
                  <c:v>-71.408500000000458</c:v>
                </c:pt>
                <c:pt idx="31">
                  <c:v>-71.408500000000458</c:v>
                </c:pt>
                <c:pt idx="32">
                  <c:v>-71.408500000000458</c:v>
                </c:pt>
                <c:pt idx="33">
                  <c:v>-71.408500000000458</c:v>
                </c:pt>
                <c:pt idx="34">
                  <c:v>-71.408500000000458</c:v>
                </c:pt>
                <c:pt idx="35">
                  <c:v>-71.408500000000458</c:v>
                </c:pt>
                <c:pt idx="36">
                  <c:v>-71.408500000000458</c:v>
                </c:pt>
                <c:pt idx="37">
                  <c:v>-71.408500000000458</c:v>
                </c:pt>
                <c:pt idx="38">
                  <c:v>-71.408500000000458</c:v>
                </c:pt>
                <c:pt idx="39">
                  <c:v>-71.408500000000458</c:v>
                </c:pt>
                <c:pt idx="40">
                  <c:v>-71.408500000000458</c:v>
                </c:pt>
                <c:pt idx="41">
                  <c:v>-71.408500000000458</c:v>
                </c:pt>
                <c:pt idx="42">
                  <c:v>-71.408500000000458</c:v>
                </c:pt>
                <c:pt idx="43">
                  <c:v>-71.408500000000458</c:v>
                </c:pt>
                <c:pt idx="44">
                  <c:v>-71.408500000000458</c:v>
                </c:pt>
                <c:pt idx="45">
                  <c:v>-71.408500000000458</c:v>
                </c:pt>
                <c:pt idx="46">
                  <c:v>-71.408500000000458</c:v>
                </c:pt>
                <c:pt idx="47">
                  <c:v>-71.408500000000458</c:v>
                </c:pt>
                <c:pt idx="48">
                  <c:v>-71.408500000000458</c:v>
                </c:pt>
                <c:pt idx="49">
                  <c:v>-71.408500000000458</c:v>
                </c:pt>
                <c:pt idx="50">
                  <c:v>-71.408500000000458</c:v>
                </c:pt>
                <c:pt idx="51">
                  <c:v>-71.408500000000458</c:v>
                </c:pt>
                <c:pt idx="52">
                  <c:v>-71.408500000000458</c:v>
                </c:pt>
                <c:pt idx="53">
                  <c:v>-71.408500000000458</c:v>
                </c:pt>
                <c:pt idx="54">
                  <c:v>-71.408500000000458</c:v>
                </c:pt>
                <c:pt idx="55">
                  <c:v>-71.408500000000458</c:v>
                </c:pt>
                <c:pt idx="56">
                  <c:v>-71.408500000000458</c:v>
                </c:pt>
                <c:pt idx="57">
                  <c:v>-71.408500000000458</c:v>
                </c:pt>
                <c:pt idx="58">
                  <c:v>-71.408500000000458</c:v>
                </c:pt>
                <c:pt idx="59">
                  <c:v>-71.408500000000458</c:v>
                </c:pt>
                <c:pt idx="60">
                  <c:v>-71.408500000000458</c:v>
                </c:pt>
                <c:pt idx="61">
                  <c:v>-71.408500000000458</c:v>
                </c:pt>
                <c:pt idx="62">
                  <c:v>-71.408500000000458</c:v>
                </c:pt>
                <c:pt idx="63">
                  <c:v>-71.408500000000458</c:v>
                </c:pt>
                <c:pt idx="64">
                  <c:v>-71.408500000000458</c:v>
                </c:pt>
                <c:pt idx="65">
                  <c:v>-71.408500000000458</c:v>
                </c:pt>
                <c:pt idx="66">
                  <c:v>-71.408500000000458</c:v>
                </c:pt>
                <c:pt idx="67">
                  <c:v>-71.408500000000458</c:v>
                </c:pt>
                <c:pt idx="68">
                  <c:v>-71.408500000000458</c:v>
                </c:pt>
                <c:pt idx="69">
                  <c:v>-71.408500000000458</c:v>
                </c:pt>
                <c:pt idx="70">
                  <c:v>-71.408500000000458</c:v>
                </c:pt>
                <c:pt idx="71">
                  <c:v>-71.408500000000458</c:v>
                </c:pt>
                <c:pt idx="72">
                  <c:v>-71.408500000000458</c:v>
                </c:pt>
                <c:pt idx="73">
                  <c:v>-71.408500000000458</c:v>
                </c:pt>
                <c:pt idx="74">
                  <c:v>-71.408500000000458</c:v>
                </c:pt>
                <c:pt idx="75">
                  <c:v>-71.408500000000458</c:v>
                </c:pt>
                <c:pt idx="76">
                  <c:v>-71.408500000000458</c:v>
                </c:pt>
                <c:pt idx="77">
                  <c:v>-71.408500000000458</c:v>
                </c:pt>
                <c:pt idx="78">
                  <c:v>-71.408500000000458</c:v>
                </c:pt>
                <c:pt idx="79">
                  <c:v>-71.408500000000458</c:v>
                </c:pt>
                <c:pt idx="80">
                  <c:v>-71.408500000000458</c:v>
                </c:pt>
                <c:pt idx="81">
                  <c:v>-71.408500000000458</c:v>
                </c:pt>
                <c:pt idx="82">
                  <c:v>-71.408500000000458</c:v>
                </c:pt>
                <c:pt idx="83">
                  <c:v>-71.408500000000458</c:v>
                </c:pt>
                <c:pt idx="84">
                  <c:v>-71.408500000000458</c:v>
                </c:pt>
                <c:pt idx="85">
                  <c:v>-71.408500000000458</c:v>
                </c:pt>
                <c:pt idx="86">
                  <c:v>-71.408500000000458</c:v>
                </c:pt>
                <c:pt idx="87">
                  <c:v>-71.408500000000458</c:v>
                </c:pt>
                <c:pt idx="88">
                  <c:v>-71.408500000000458</c:v>
                </c:pt>
                <c:pt idx="89">
                  <c:v>-71.408500000000458</c:v>
                </c:pt>
                <c:pt idx="90">
                  <c:v>-71.408500000000458</c:v>
                </c:pt>
                <c:pt idx="91">
                  <c:v>-71.408500000000458</c:v>
                </c:pt>
                <c:pt idx="92">
                  <c:v>-71.408500000000458</c:v>
                </c:pt>
                <c:pt idx="93">
                  <c:v>-71.408500000000458</c:v>
                </c:pt>
                <c:pt idx="94">
                  <c:v>-71.408500000000458</c:v>
                </c:pt>
                <c:pt idx="95">
                  <c:v>-71.408500000000458</c:v>
                </c:pt>
                <c:pt idx="96">
                  <c:v>-71.408500000000458</c:v>
                </c:pt>
                <c:pt idx="97">
                  <c:v>-71.408500000000458</c:v>
                </c:pt>
                <c:pt idx="98">
                  <c:v>-71.408500000000458</c:v>
                </c:pt>
                <c:pt idx="99">
                  <c:v>-71.408500000000458</c:v>
                </c:pt>
                <c:pt idx="100">
                  <c:v>-71.408500000000458</c:v>
                </c:pt>
                <c:pt idx="101">
                  <c:v>-71.408500000000458</c:v>
                </c:pt>
                <c:pt idx="102">
                  <c:v>-71.408500000000458</c:v>
                </c:pt>
                <c:pt idx="103">
                  <c:v>-71.408500000000458</c:v>
                </c:pt>
                <c:pt idx="104">
                  <c:v>-71.408500000000458</c:v>
                </c:pt>
                <c:pt idx="105">
                  <c:v>-71.408500000000458</c:v>
                </c:pt>
                <c:pt idx="106">
                  <c:v>-71.408500000000458</c:v>
                </c:pt>
                <c:pt idx="107">
                  <c:v>-71.408500000000458</c:v>
                </c:pt>
                <c:pt idx="108">
                  <c:v>-71.408500000000458</c:v>
                </c:pt>
                <c:pt idx="109">
                  <c:v>-71.408500000000458</c:v>
                </c:pt>
                <c:pt idx="110">
                  <c:v>-71.408500000000458</c:v>
                </c:pt>
                <c:pt idx="111">
                  <c:v>-71.408500000000458</c:v>
                </c:pt>
                <c:pt idx="112">
                  <c:v>-71.408500000000458</c:v>
                </c:pt>
                <c:pt idx="113">
                  <c:v>-71.408500000000458</c:v>
                </c:pt>
                <c:pt idx="114">
                  <c:v>-71.408500000000458</c:v>
                </c:pt>
                <c:pt idx="115">
                  <c:v>-71.408500000000458</c:v>
                </c:pt>
                <c:pt idx="116">
                  <c:v>-71.408500000000458</c:v>
                </c:pt>
                <c:pt idx="117">
                  <c:v>-71.408500000000458</c:v>
                </c:pt>
                <c:pt idx="118">
                  <c:v>-71.408500000000458</c:v>
                </c:pt>
                <c:pt idx="119">
                  <c:v>-71.408500000000458</c:v>
                </c:pt>
                <c:pt idx="120">
                  <c:v>-71.408500000000458</c:v>
                </c:pt>
                <c:pt idx="121">
                  <c:v>-71.408500000000458</c:v>
                </c:pt>
                <c:pt idx="122">
                  <c:v>-71.408500000000458</c:v>
                </c:pt>
                <c:pt idx="123">
                  <c:v>-71.408500000000458</c:v>
                </c:pt>
                <c:pt idx="124">
                  <c:v>-71.408500000000458</c:v>
                </c:pt>
                <c:pt idx="125">
                  <c:v>-71.408500000000458</c:v>
                </c:pt>
                <c:pt idx="126">
                  <c:v>-71.408500000000458</c:v>
                </c:pt>
                <c:pt idx="127">
                  <c:v>-71.408500000000458</c:v>
                </c:pt>
                <c:pt idx="128">
                  <c:v>-71.408500000000458</c:v>
                </c:pt>
                <c:pt idx="129">
                  <c:v>-71.408500000000458</c:v>
                </c:pt>
                <c:pt idx="130">
                  <c:v>-71.408500000000458</c:v>
                </c:pt>
                <c:pt idx="131">
                  <c:v>-71.408500000000458</c:v>
                </c:pt>
                <c:pt idx="132">
                  <c:v>-71.408500000000458</c:v>
                </c:pt>
                <c:pt idx="133">
                  <c:v>-71.408500000000458</c:v>
                </c:pt>
                <c:pt idx="134">
                  <c:v>-71.408500000000458</c:v>
                </c:pt>
                <c:pt idx="135">
                  <c:v>-71.408500000000458</c:v>
                </c:pt>
                <c:pt idx="136">
                  <c:v>-71.408500000000458</c:v>
                </c:pt>
                <c:pt idx="137">
                  <c:v>-71.408500000000458</c:v>
                </c:pt>
                <c:pt idx="138">
                  <c:v>-71.408500000000458</c:v>
                </c:pt>
                <c:pt idx="139">
                  <c:v>-71.408500000000458</c:v>
                </c:pt>
                <c:pt idx="140">
                  <c:v>-71.408500000000458</c:v>
                </c:pt>
                <c:pt idx="141">
                  <c:v>-71.408500000000458</c:v>
                </c:pt>
                <c:pt idx="142">
                  <c:v>-71.408500000000458</c:v>
                </c:pt>
                <c:pt idx="143">
                  <c:v>-71.408500000000458</c:v>
                </c:pt>
                <c:pt idx="144">
                  <c:v>-71.408500000000458</c:v>
                </c:pt>
                <c:pt idx="145">
                  <c:v>-71.408500000000458</c:v>
                </c:pt>
                <c:pt idx="146">
                  <c:v>-71.408500000000458</c:v>
                </c:pt>
                <c:pt idx="147">
                  <c:v>-71.408500000000458</c:v>
                </c:pt>
                <c:pt idx="148">
                  <c:v>-71.408500000000458</c:v>
                </c:pt>
                <c:pt idx="149">
                  <c:v>-71.408500000000458</c:v>
                </c:pt>
                <c:pt idx="150">
                  <c:v>-71.408500000000458</c:v>
                </c:pt>
                <c:pt idx="151">
                  <c:v>-71.408500000000458</c:v>
                </c:pt>
                <c:pt idx="152">
                  <c:v>-71.408500000000458</c:v>
                </c:pt>
                <c:pt idx="153">
                  <c:v>-71.408500000000458</c:v>
                </c:pt>
                <c:pt idx="154">
                  <c:v>-71.408500000000458</c:v>
                </c:pt>
                <c:pt idx="155">
                  <c:v>-71.408500000000458</c:v>
                </c:pt>
                <c:pt idx="156">
                  <c:v>-71.408500000000458</c:v>
                </c:pt>
                <c:pt idx="157">
                  <c:v>-71.408500000000458</c:v>
                </c:pt>
                <c:pt idx="158">
                  <c:v>-71.408500000000458</c:v>
                </c:pt>
                <c:pt idx="159">
                  <c:v>-71.408500000000458</c:v>
                </c:pt>
                <c:pt idx="160">
                  <c:v>-71.408500000000458</c:v>
                </c:pt>
                <c:pt idx="161">
                  <c:v>-71.408500000000458</c:v>
                </c:pt>
                <c:pt idx="162">
                  <c:v>-71.408500000000458</c:v>
                </c:pt>
                <c:pt idx="163">
                  <c:v>-71.408500000000458</c:v>
                </c:pt>
                <c:pt idx="164">
                  <c:v>-71.408500000000458</c:v>
                </c:pt>
                <c:pt idx="165">
                  <c:v>-71.408500000000458</c:v>
                </c:pt>
                <c:pt idx="166">
                  <c:v>-71.408500000000458</c:v>
                </c:pt>
                <c:pt idx="167">
                  <c:v>-71.408500000000458</c:v>
                </c:pt>
                <c:pt idx="168">
                  <c:v>-71.408500000000458</c:v>
                </c:pt>
                <c:pt idx="169">
                  <c:v>-71.408500000000458</c:v>
                </c:pt>
                <c:pt idx="170">
                  <c:v>-71.408500000000458</c:v>
                </c:pt>
                <c:pt idx="171">
                  <c:v>-71.408500000000458</c:v>
                </c:pt>
                <c:pt idx="172">
                  <c:v>-71.408500000000458</c:v>
                </c:pt>
                <c:pt idx="173">
                  <c:v>-71.408500000000458</c:v>
                </c:pt>
                <c:pt idx="174">
                  <c:v>-71.408500000000458</c:v>
                </c:pt>
                <c:pt idx="175">
                  <c:v>-71.408500000000458</c:v>
                </c:pt>
                <c:pt idx="176">
                  <c:v>-71.408500000000458</c:v>
                </c:pt>
                <c:pt idx="177">
                  <c:v>-71.408500000000458</c:v>
                </c:pt>
                <c:pt idx="178">
                  <c:v>-71.408500000000458</c:v>
                </c:pt>
                <c:pt idx="179">
                  <c:v>-71.408500000000458</c:v>
                </c:pt>
                <c:pt idx="180">
                  <c:v>-71.408500000000458</c:v>
                </c:pt>
                <c:pt idx="181">
                  <c:v>-71.408500000000458</c:v>
                </c:pt>
                <c:pt idx="182">
                  <c:v>-71.408500000000458</c:v>
                </c:pt>
                <c:pt idx="183">
                  <c:v>-71.408500000000458</c:v>
                </c:pt>
                <c:pt idx="184">
                  <c:v>-71.408500000000458</c:v>
                </c:pt>
                <c:pt idx="185">
                  <c:v>-71.408500000000458</c:v>
                </c:pt>
                <c:pt idx="186">
                  <c:v>-71.408500000000458</c:v>
                </c:pt>
                <c:pt idx="187">
                  <c:v>-71.408500000000458</c:v>
                </c:pt>
                <c:pt idx="188">
                  <c:v>-71.408500000000458</c:v>
                </c:pt>
                <c:pt idx="189">
                  <c:v>-71.408500000000458</c:v>
                </c:pt>
                <c:pt idx="190">
                  <c:v>-71.408500000000458</c:v>
                </c:pt>
                <c:pt idx="191">
                  <c:v>-71.408500000000458</c:v>
                </c:pt>
                <c:pt idx="192">
                  <c:v>-71.408500000000458</c:v>
                </c:pt>
                <c:pt idx="193">
                  <c:v>-71.408500000000458</c:v>
                </c:pt>
                <c:pt idx="194">
                  <c:v>-71.408500000000458</c:v>
                </c:pt>
                <c:pt idx="195">
                  <c:v>-71.408500000000458</c:v>
                </c:pt>
                <c:pt idx="196">
                  <c:v>-71.408500000000458</c:v>
                </c:pt>
                <c:pt idx="197">
                  <c:v>-71.408500000000458</c:v>
                </c:pt>
                <c:pt idx="198">
                  <c:v>-71.408500000000458</c:v>
                </c:pt>
                <c:pt idx="199">
                  <c:v>-71.408500000000458</c:v>
                </c:pt>
                <c:pt idx="200">
                  <c:v>-71.408500000000458</c:v>
                </c:pt>
                <c:pt idx="201">
                  <c:v>-71.408500000000458</c:v>
                </c:pt>
                <c:pt idx="202">
                  <c:v>-71.408500000000458</c:v>
                </c:pt>
                <c:pt idx="203">
                  <c:v>-71.408500000000458</c:v>
                </c:pt>
                <c:pt idx="204">
                  <c:v>-71.408500000000458</c:v>
                </c:pt>
                <c:pt idx="205">
                  <c:v>-71.408500000000458</c:v>
                </c:pt>
                <c:pt idx="206">
                  <c:v>-71.408500000000458</c:v>
                </c:pt>
                <c:pt idx="207">
                  <c:v>-71.408500000000458</c:v>
                </c:pt>
                <c:pt idx="208">
                  <c:v>-71.408500000000458</c:v>
                </c:pt>
                <c:pt idx="209">
                  <c:v>-71.408500000000458</c:v>
                </c:pt>
                <c:pt idx="210">
                  <c:v>-71.408500000000458</c:v>
                </c:pt>
                <c:pt idx="211">
                  <c:v>-71.408500000000458</c:v>
                </c:pt>
                <c:pt idx="212">
                  <c:v>-71.408500000000458</c:v>
                </c:pt>
                <c:pt idx="213">
                  <c:v>-71.408500000000458</c:v>
                </c:pt>
                <c:pt idx="214">
                  <c:v>-71.408500000000458</c:v>
                </c:pt>
                <c:pt idx="215">
                  <c:v>-71.408500000000458</c:v>
                </c:pt>
                <c:pt idx="216">
                  <c:v>-71.408500000000458</c:v>
                </c:pt>
                <c:pt idx="217">
                  <c:v>-71.408500000000458</c:v>
                </c:pt>
                <c:pt idx="218">
                  <c:v>-71.408500000000458</c:v>
                </c:pt>
                <c:pt idx="219">
                  <c:v>-71.408500000000458</c:v>
                </c:pt>
                <c:pt idx="220">
                  <c:v>-71.408500000000458</c:v>
                </c:pt>
                <c:pt idx="221">
                  <c:v>-71.408500000000458</c:v>
                </c:pt>
                <c:pt idx="222">
                  <c:v>-71.408500000000458</c:v>
                </c:pt>
                <c:pt idx="223">
                  <c:v>-71.408500000000458</c:v>
                </c:pt>
                <c:pt idx="224">
                  <c:v>-71.408500000000458</c:v>
                </c:pt>
                <c:pt idx="225">
                  <c:v>-71.408500000000458</c:v>
                </c:pt>
                <c:pt idx="226">
                  <c:v>-71.408500000000458</c:v>
                </c:pt>
                <c:pt idx="227">
                  <c:v>-71.408500000000458</c:v>
                </c:pt>
                <c:pt idx="228">
                  <c:v>-71.408500000000458</c:v>
                </c:pt>
                <c:pt idx="229">
                  <c:v>-71.408500000000458</c:v>
                </c:pt>
                <c:pt idx="230">
                  <c:v>-71.408500000000458</c:v>
                </c:pt>
                <c:pt idx="231">
                  <c:v>-71.408500000000458</c:v>
                </c:pt>
                <c:pt idx="232">
                  <c:v>-71.408500000000458</c:v>
                </c:pt>
                <c:pt idx="233">
                  <c:v>-71.408500000000458</c:v>
                </c:pt>
                <c:pt idx="234">
                  <c:v>-71.408500000000458</c:v>
                </c:pt>
                <c:pt idx="235">
                  <c:v>-71.408500000000458</c:v>
                </c:pt>
                <c:pt idx="236">
                  <c:v>-71.408500000000458</c:v>
                </c:pt>
                <c:pt idx="237">
                  <c:v>-71.408500000000458</c:v>
                </c:pt>
                <c:pt idx="238">
                  <c:v>-71.408500000000458</c:v>
                </c:pt>
                <c:pt idx="239">
                  <c:v>-71.408500000000458</c:v>
                </c:pt>
                <c:pt idx="240">
                  <c:v>-71.408500000000458</c:v>
                </c:pt>
                <c:pt idx="241">
                  <c:v>-71.408500000000458</c:v>
                </c:pt>
                <c:pt idx="242">
                  <c:v>-71.408500000000458</c:v>
                </c:pt>
                <c:pt idx="243">
                  <c:v>-71.408500000000458</c:v>
                </c:pt>
                <c:pt idx="244">
                  <c:v>-71.408500000000458</c:v>
                </c:pt>
                <c:pt idx="245">
                  <c:v>-71.408500000000458</c:v>
                </c:pt>
                <c:pt idx="246">
                  <c:v>-71.408500000000458</c:v>
                </c:pt>
                <c:pt idx="247">
                  <c:v>-71.408500000000458</c:v>
                </c:pt>
                <c:pt idx="248">
                  <c:v>-71.408500000000458</c:v>
                </c:pt>
                <c:pt idx="249">
                  <c:v>-71.408500000000458</c:v>
                </c:pt>
                <c:pt idx="250">
                  <c:v>-71.408500000000458</c:v>
                </c:pt>
                <c:pt idx="251">
                  <c:v>-71.408500000000458</c:v>
                </c:pt>
                <c:pt idx="252">
                  <c:v>-71.408500000000458</c:v>
                </c:pt>
                <c:pt idx="253">
                  <c:v>-71.408500000000458</c:v>
                </c:pt>
                <c:pt idx="254">
                  <c:v>-71.408500000000458</c:v>
                </c:pt>
                <c:pt idx="255">
                  <c:v>-71.408500000000458</c:v>
                </c:pt>
                <c:pt idx="256">
                  <c:v>-71.408500000000458</c:v>
                </c:pt>
                <c:pt idx="257">
                  <c:v>-71.408500000000458</c:v>
                </c:pt>
                <c:pt idx="258">
                  <c:v>-71.408500000000458</c:v>
                </c:pt>
                <c:pt idx="259">
                  <c:v>-71.408500000000458</c:v>
                </c:pt>
                <c:pt idx="260">
                  <c:v>-71.408500000000458</c:v>
                </c:pt>
                <c:pt idx="261">
                  <c:v>-71.408500000000458</c:v>
                </c:pt>
                <c:pt idx="262">
                  <c:v>-71.408500000000458</c:v>
                </c:pt>
                <c:pt idx="263">
                  <c:v>-71.408500000000458</c:v>
                </c:pt>
                <c:pt idx="264">
                  <c:v>-71.408500000000458</c:v>
                </c:pt>
                <c:pt idx="265">
                  <c:v>-71.408500000000458</c:v>
                </c:pt>
                <c:pt idx="266">
                  <c:v>-71.408500000000458</c:v>
                </c:pt>
                <c:pt idx="267">
                  <c:v>-71.408500000000458</c:v>
                </c:pt>
                <c:pt idx="268">
                  <c:v>-71.408500000000458</c:v>
                </c:pt>
                <c:pt idx="269">
                  <c:v>-71.408500000000458</c:v>
                </c:pt>
                <c:pt idx="270">
                  <c:v>-71.408500000000458</c:v>
                </c:pt>
                <c:pt idx="271">
                  <c:v>-71.408500000000458</c:v>
                </c:pt>
                <c:pt idx="272">
                  <c:v>-71.408500000000458</c:v>
                </c:pt>
                <c:pt idx="273">
                  <c:v>-71.408500000000458</c:v>
                </c:pt>
                <c:pt idx="274">
                  <c:v>-71.408500000000458</c:v>
                </c:pt>
                <c:pt idx="275">
                  <c:v>-71.408500000000458</c:v>
                </c:pt>
                <c:pt idx="276">
                  <c:v>-71.408500000000458</c:v>
                </c:pt>
                <c:pt idx="277">
                  <c:v>-71.408500000000458</c:v>
                </c:pt>
                <c:pt idx="278">
                  <c:v>-71.408500000000458</c:v>
                </c:pt>
                <c:pt idx="279">
                  <c:v>-71.408500000000458</c:v>
                </c:pt>
                <c:pt idx="280">
                  <c:v>-71.408500000000458</c:v>
                </c:pt>
                <c:pt idx="281">
                  <c:v>-71.408500000000458</c:v>
                </c:pt>
                <c:pt idx="282">
                  <c:v>-71.408500000000458</c:v>
                </c:pt>
                <c:pt idx="283">
                  <c:v>-71.408500000000458</c:v>
                </c:pt>
                <c:pt idx="284">
                  <c:v>-71.408500000000458</c:v>
                </c:pt>
                <c:pt idx="285">
                  <c:v>-71.408500000000458</c:v>
                </c:pt>
                <c:pt idx="286">
                  <c:v>-71.408500000000458</c:v>
                </c:pt>
                <c:pt idx="287">
                  <c:v>-71.408500000000458</c:v>
                </c:pt>
                <c:pt idx="288">
                  <c:v>-71.408500000000458</c:v>
                </c:pt>
                <c:pt idx="289">
                  <c:v>-71.408500000000458</c:v>
                </c:pt>
                <c:pt idx="290">
                  <c:v>-71.408500000000458</c:v>
                </c:pt>
                <c:pt idx="291">
                  <c:v>-71.408500000000458</c:v>
                </c:pt>
                <c:pt idx="292">
                  <c:v>-71.408500000000458</c:v>
                </c:pt>
                <c:pt idx="293">
                  <c:v>-71.408500000000458</c:v>
                </c:pt>
                <c:pt idx="294">
                  <c:v>-71.408500000000458</c:v>
                </c:pt>
                <c:pt idx="295">
                  <c:v>-71.408500000000458</c:v>
                </c:pt>
                <c:pt idx="296">
                  <c:v>-71.408500000000458</c:v>
                </c:pt>
                <c:pt idx="297">
                  <c:v>-71.408500000000458</c:v>
                </c:pt>
                <c:pt idx="298">
                  <c:v>-71.408500000000458</c:v>
                </c:pt>
                <c:pt idx="299">
                  <c:v>-71.408500000000458</c:v>
                </c:pt>
                <c:pt idx="300">
                  <c:v>-71.408500000000458</c:v>
                </c:pt>
                <c:pt idx="301">
                  <c:v>-71.408500000000458</c:v>
                </c:pt>
                <c:pt idx="302">
                  <c:v>-71.408500000000458</c:v>
                </c:pt>
                <c:pt idx="303">
                  <c:v>-71.408500000000458</c:v>
                </c:pt>
                <c:pt idx="304">
                  <c:v>-71.408500000000458</c:v>
                </c:pt>
                <c:pt idx="305">
                  <c:v>-71.408500000000458</c:v>
                </c:pt>
                <c:pt idx="306">
                  <c:v>-71.408500000000458</c:v>
                </c:pt>
                <c:pt idx="307">
                  <c:v>-71.408500000000458</c:v>
                </c:pt>
                <c:pt idx="308">
                  <c:v>-71.408500000000458</c:v>
                </c:pt>
                <c:pt idx="309">
                  <c:v>-71.408500000000458</c:v>
                </c:pt>
                <c:pt idx="310">
                  <c:v>-71.408500000000458</c:v>
                </c:pt>
                <c:pt idx="311">
                  <c:v>-71.408500000000458</c:v>
                </c:pt>
                <c:pt idx="312">
                  <c:v>-71.408500000000458</c:v>
                </c:pt>
                <c:pt idx="313">
                  <c:v>-71.408500000000458</c:v>
                </c:pt>
                <c:pt idx="314">
                  <c:v>-71.408500000000458</c:v>
                </c:pt>
                <c:pt idx="315">
                  <c:v>-71.408500000000458</c:v>
                </c:pt>
                <c:pt idx="316">
                  <c:v>-71.408500000000458</c:v>
                </c:pt>
                <c:pt idx="317">
                  <c:v>-71.408500000000458</c:v>
                </c:pt>
                <c:pt idx="318">
                  <c:v>-71.408500000000458</c:v>
                </c:pt>
                <c:pt idx="319">
                  <c:v>-71.408500000000458</c:v>
                </c:pt>
                <c:pt idx="320">
                  <c:v>-71.408500000000458</c:v>
                </c:pt>
                <c:pt idx="321">
                  <c:v>-71.408500000000458</c:v>
                </c:pt>
                <c:pt idx="322">
                  <c:v>-71.408500000000458</c:v>
                </c:pt>
                <c:pt idx="323">
                  <c:v>-71.408500000000458</c:v>
                </c:pt>
                <c:pt idx="324">
                  <c:v>-71.408500000000458</c:v>
                </c:pt>
                <c:pt idx="325">
                  <c:v>-71.408500000000458</c:v>
                </c:pt>
                <c:pt idx="326">
                  <c:v>-71.408500000000458</c:v>
                </c:pt>
                <c:pt idx="327">
                  <c:v>-71.408500000000458</c:v>
                </c:pt>
                <c:pt idx="328">
                  <c:v>-71.408500000000458</c:v>
                </c:pt>
                <c:pt idx="329">
                  <c:v>-71.408500000000458</c:v>
                </c:pt>
                <c:pt idx="330">
                  <c:v>-71.408500000000458</c:v>
                </c:pt>
                <c:pt idx="331">
                  <c:v>-71.408500000000458</c:v>
                </c:pt>
                <c:pt idx="332">
                  <c:v>-71.408500000000458</c:v>
                </c:pt>
                <c:pt idx="333">
                  <c:v>-71.408500000000458</c:v>
                </c:pt>
                <c:pt idx="334">
                  <c:v>-71.408500000000458</c:v>
                </c:pt>
                <c:pt idx="335">
                  <c:v>-71.408500000000458</c:v>
                </c:pt>
                <c:pt idx="336">
                  <c:v>-71.408500000000458</c:v>
                </c:pt>
                <c:pt idx="337">
                  <c:v>-71.408500000000458</c:v>
                </c:pt>
                <c:pt idx="338">
                  <c:v>-71.408500000000458</c:v>
                </c:pt>
                <c:pt idx="339">
                  <c:v>-71.408500000000458</c:v>
                </c:pt>
                <c:pt idx="340">
                  <c:v>-71.408500000000458</c:v>
                </c:pt>
                <c:pt idx="341">
                  <c:v>-71.408500000000458</c:v>
                </c:pt>
                <c:pt idx="342">
                  <c:v>-71.408500000000458</c:v>
                </c:pt>
                <c:pt idx="343">
                  <c:v>-71.408500000000458</c:v>
                </c:pt>
                <c:pt idx="344">
                  <c:v>-71.408500000000458</c:v>
                </c:pt>
                <c:pt idx="345">
                  <c:v>-71.408500000000458</c:v>
                </c:pt>
                <c:pt idx="346">
                  <c:v>-71.408500000000458</c:v>
                </c:pt>
                <c:pt idx="347">
                  <c:v>-71.408500000000458</c:v>
                </c:pt>
                <c:pt idx="348">
                  <c:v>-71.408500000000458</c:v>
                </c:pt>
                <c:pt idx="349">
                  <c:v>-71.408500000000458</c:v>
                </c:pt>
                <c:pt idx="350">
                  <c:v>-71.408500000000458</c:v>
                </c:pt>
                <c:pt idx="351">
                  <c:v>-71.408500000000458</c:v>
                </c:pt>
                <c:pt idx="352">
                  <c:v>-71.408500000000458</c:v>
                </c:pt>
                <c:pt idx="353">
                  <c:v>-71.408500000000458</c:v>
                </c:pt>
                <c:pt idx="354">
                  <c:v>-71.408500000000458</c:v>
                </c:pt>
                <c:pt idx="355">
                  <c:v>-71.408500000000458</c:v>
                </c:pt>
                <c:pt idx="356">
                  <c:v>-71.408500000000458</c:v>
                </c:pt>
                <c:pt idx="357">
                  <c:v>-71.408500000000458</c:v>
                </c:pt>
                <c:pt idx="358">
                  <c:v>-71.408500000000458</c:v>
                </c:pt>
                <c:pt idx="359">
                  <c:v>-71.408500000000458</c:v>
                </c:pt>
                <c:pt idx="360">
                  <c:v>-71.408500000000458</c:v>
                </c:pt>
                <c:pt idx="361">
                  <c:v>-71.408500000000458</c:v>
                </c:pt>
                <c:pt idx="362">
                  <c:v>-71.408500000000458</c:v>
                </c:pt>
                <c:pt idx="363">
                  <c:v>-71.408500000000458</c:v>
                </c:pt>
                <c:pt idx="364">
                  <c:v>-71.408500000000458</c:v>
                </c:pt>
                <c:pt idx="365">
                  <c:v>-71.408500000000458</c:v>
                </c:pt>
                <c:pt idx="366">
                  <c:v>-71.408500000000458</c:v>
                </c:pt>
                <c:pt idx="367">
                  <c:v>-71.408500000000458</c:v>
                </c:pt>
                <c:pt idx="368">
                  <c:v>-71.408500000000458</c:v>
                </c:pt>
                <c:pt idx="369">
                  <c:v>-71.408500000000458</c:v>
                </c:pt>
                <c:pt idx="370">
                  <c:v>-71.408500000000458</c:v>
                </c:pt>
                <c:pt idx="371">
                  <c:v>-71.408500000000458</c:v>
                </c:pt>
                <c:pt idx="372">
                  <c:v>-71.408500000000458</c:v>
                </c:pt>
                <c:pt idx="373">
                  <c:v>-71.408500000000458</c:v>
                </c:pt>
                <c:pt idx="374">
                  <c:v>-71.408500000000458</c:v>
                </c:pt>
                <c:pt idx="375">
                  <c:v>-71.408500000000458</c:v>
                </c:pt>
                <c:pt idx="376">
                  <c:v>-71.408500000000458</c:v>
                </c:pt>
                <c:pt idx="377">
                  <c:v>-71.408500000000458</c:v>
                </c:pt>
                <c:pt idx="378">
                  <c:v>-71.408500000000458</c:v>
                </c:pt>
                <c:pt idx="379">
                  <c:v>-71.408500000000458</c:v>
                </c:pt>
                <c:pt idx="380">
                  <c:v>-71.408500000000458</c:v>
                </c:pt>
                <c:pt idx="381">
                  <c:v>-71.408500000000458</c:v>
                </c:pt>
                <c:pt idx="382">
                  <c:v>-71.408500000000458</c:v>
                </c:pt>
                <c:pt idx="383">
                  <c:v>-71.408500000000458</c:v>
                </c:pt>
                <c:pt idx="384">
                  <c:v>-71.408500000000458</c:v>
                </c:pt>
                <c:pt idx="385">
                  <c:v>-71.408500000000458</c:v>
                </c:pt>
                <c:pt idx="386">
                  <c:v>-71.408500000000458</c:v>
                </c:pt>
                <c:pt idx="387">
                  <c:v>-71.408500000000458</c:v>
                </c:pt>
                <c:pt idx="388">
                  <c:v>-71.408500000000458</c:v>
                </c:pt>
                <c:pt idx="389">
                  <c:v>-71.408500000000458</c:v>
                </c:pt>
                <c:pt idx="390">
                  <c:v>-71.408500000000458</c:v>
                </c:pt>
                <c:pt idx="391">
                  <c:v>-71.408500000000458</c:v>
                </c:pt>
                <c:pt idx="392">
                  <c:v>-71.408500000000458</c:v>
                </c:pt>
                <c:pt idx="393">
                  <c:v>-71.408500000000458</c:v>
                </c:pt>
                <c:pt idx="394">
                  <c:v>-71.408500000000458</c:v>
                </c:pt>
                <c:pt idx="395">
                  <c:v>-71.408500000000458</c:v>
                </c:pt>
                <c:pt idx="396">
                  <c:v>-71.408500000000458</c:v>
                </c:pt>
                <c:pt idx="397">
                  <c:v>-71.408500000000458</c:v>
                </c:pt>
                <c:pt idx="398">
                  <c:v>-71.408500000000458</c:v>
                </c:pt>
                <c:pt idx="399">
                  <c:v>-71.408500000000458</c:v>
                </c:pt>
                <c:pt idx="400">
                  <c:v>-71.408500000000458</c:v>
                </c:pt>
                <c:pt idx="401">
                  <c:v>-71.408500000000458</c:v>
                </c:pt>
                <c:pt idx="402">
                  <c:v>-71.408500000000458</c:v>
                </c:pt>
                <c:pt idx="403">
                  <c:v>-71.408500000000458</c:v>
                </c:pt>
                <c:pt idx="404">
                  <c:v>-71.408500000000458</c:v>
                </c:pt>
                <c:pt idx="405">
                  <c:v>-71.408500000000458</c:v>
                </c:pt>
                <c:pt idx="406">
                  <c:v>-71.408500000000458</c:v>
                </c:pt>
                <c:pt idx="407">
                  <c:v>-71.408500000000458</c:v>
                </c:pt>
                <c:pt idx="408">
                  <c:v>-71.408500000000458</c:v>
                </c:pt>
                <c:pt idx="409">
                  <c:v>-71.408500000000458</c:v>
                </c:pt>
                <c:pt idx="410">
                  <c:v>-71.408500000000458</c:v>
                </c:pt>
                <c:pt idx="411">
                  <c:v>-71.408500000000458</c:v>
                </c:pt>
                <c:pt idx="412">
                  <c:v>-71.408500000000458</c:v>
                </c:pt>
                <c:pt idx="413">
                  <c:v>-71.408500000000458</c:v>
                </c:pt>
                <c:pt idx="414">
                  <c:v>-71.408500000000458</c:v>
                </c:pt>
                <c:pt idx="415">
                  <c:v>-71.408500000000458</c:v>
                </c:pt>
                <c:pt idx="416">
                  <c:v>-71.408500000000458</c:v>
                </c:pt>
                <c:pt idx="417">
                  <c:v>-71.408500000000458</c:v>
                </c:pt>
                <c:pt idx="418">
                  <c:v>-71.408500000000458</c:v>
                </c:pt>
                <c:pt idx="419">
                  <c:v>-71.408500000000458</c:v>
                </c:pt>
                <c:pt idx="420">
                  <c:v>-71.408500000000458</c:v>
                </c:pt>
                <c:pt idx="421">
                  <c:v>-71.408500000000458</c:v>
                </c:pt>
                <c:pt idx="422">
                  <c:v>-71.408500000000458</c:v>
                </c:pt>
                <c:pt idx="423">
                  <c:v>-71.408500000000458</c:v>
                </c:pt>
                <c:pt idx="424">
                  <c:v>-71.408500000000458</c:v>
                </c:pt>
                <c:pt idx="425">
                  <c:v>-71.408500000000458</c:v>
                </c:pt>
                <c:pt idx="426">
                  <c:v>-71.408500000000458</c:v>
                </c:pt>
                <c:pt idx="427">
                  <c:v>-71.408500000000458</c:v>
                </c:pt>
                <c:pt idx="428">
                  <c:v>-71.408500000000458</c:v>
                </c:pt>
                <c:pt idx="429">
                  <c:v>-71.408500000000458</c:v>
                </c:pt>
                <c:pt idx="430">
                  <c:v>-71.408500000000458</c:v>
                </c:pt>
                <c:pt idx="431">
                  <c:v>-71.408500000000458</c:v>
                </c:pt>
                <c:pt idx="432">
                  <c:v>-71.408500000000458</c:v>
                </c:pt>
                <c:pt idx="433">
                  <c:v>-71.408500000000458</c:v>
                </c:pt>
                <c:pt idx="434">
                  <c:v>-71.408500000000458</c:v>
                </c:pt>
                <c:pt idx="435">
                  <c:v>-71.408500000000458</c:v>
                </c:pt>
                <c:pt idx="436">
                  <c:v>-71.408500000000458</c:v>
                </c:pt>
                <c:pt idx="437">
                  <c:v>-71.408500000000458</c:v>
                </c:pt>
                <c:pt idx="438">
                  <c:v>-71.408500000000458</c:v>
                </c:pt>
                <c:pt idx="439">
                  <c:v>-71.408500000000458</c:v>
                </c:pt>
                <c:pt idx="440">
                  <c:v>-71.408500000000458</c:v>
                </c:pt>
                <c:pt idx="441">
                  <c:v>-71.408500000000458</c:v>
                </c:pt>
                <c:pt idx="442">
                  <c:v>-71.408500000000458</c:v>
                </c:pt>
                <c:pt idx="443">
                  <c:v>-71.408500000000458</c:v>
                </c:pt>
                <c:pt idx="444">
                  <c:v>-71.408500000000458</c:v>
                </c:pt>
                <c:pt idx="445">
                  <c:v>-71.408500000000458</c:v>
                </c:pt>
                <c:pt idx="446">
                  <c:v>-71.408500000000458</c:v>
                </c:pt>
                <c:pt idx="447">
                  <c:v>-71.408500000000458</c:v>
                </c:pt>
                <c:pt idx="448">
                  <c:v>-71.408500000000458</c:v>
                </c:pt>
                <c:pt idx="449">
                  <c:v>-71.408500000000458</c:v>
                </c:pt>
                <c:pt idx="450">
                  <c:v>-71.408500000000458</c:v>
                </c:pt>
                <c:pt idx="451">
                  <c:v>-71.408500000000458</c:v>
                </c:pt>
                <c:pt idx="452">
                  <c:v>-71.408500000000458</c:v>
                </c:pt>
                <c:pt idx="453">
                  <c:v>-71.408500000000458</c:v>
                </c:pt>
                <c:pt idx="454">
                  <c:v>-71.408500000000458</c:v>
                </c:pt>
                <c:pt idx="455">
                  <c:v>-71.408500000000458</c:v>
                </c:pt>
                <c:pt idx="456">
                  <c:v>-71.408500000000458</c:v>
                </c:pt>
                <c:pt idx="457">
                  <c:v>-71.408500000000458</c:v>
                </c:pt>
                <c:pt idx="458">
                  <c:v>-71.408500000000458</c:v>
                </c:pt>
                <c:pt idx="459">
                  <c:v>-71.408500000000458</c:v>
                </c:pt>
                <c:pt idx="460">
                  <c:v>-71.408500000000458</c:v>
                </c:pt>
                <c:pt idx="461">
                  <c:v>-71.408500000000458</c:v>
                </c:pt>
                <c:pt idx="462">
                  <c:v>-71.408500000000458</c:v>
                </c:pt>
                <c:pt idx="463">
                  <c:v>-71.408500000000458</c:v>
                </c:pt>
                <c:pt idx="464">
                  <c:v>-71.408500000000458</c:v>
                </c:pt>
                <c:pt idx="465">
                  <c:v>-71.408500000000458</c:v>
                </c:pt>
                <c:pt idx="466">
                  <c:v>-71.408500000000458</c:v>
                </c:pt>
                <c:pt idx="467">
                  <c:v>-71.408500000000458</c:v>
                </c:pt>
                <c:pt idx="468">
                  <c:v>-71.408500000000458</c:v>
                </c:pt>
                <c:pt idx="469">
                  <c:v>-71.408500000000458</c:v>
                </c:pt>
                <c:pt idx="470">
                  <c:v>-71.408500000000458</c:v>
                </c:pt>
                <c:pt idx="471">
                  <c:v>-71.408500000000458</c:v>
                </c:pt>
                <c:pt idx="472">
                  <c:v>-71.408500000000458</c:v>
                </c:pt>
                <c:pt idx="473">
                  <c:v>-71.408500000000458</c:v>
                </c:pt>
                <c:pt idx="474">
                  <c:v>-71.408500000000458</c:v>
                </c:pt>
                <c:pt idx="475">
                  <c:v>-71.408500000000458</c:v>
                </c:pt>
                <c:pt idx="476">
                  <c:v>-71.408500000000458</c:v>
                </c:pt>
                <c:pt idx="477">
                  <c:v>-71.408500000000458</c:v>
                </c:pt>
                <c:pt idx="478">
                  <c:v>-71.408500000000458</c:v>
                </c:pt>
                <c:pt idx="479">
                  <c:v>-71.408500000000458</c:v>
                </c:pt>
                <c:pt idx="480">
                  <c:v>-71.408500000000458</c:v>
                </c:pt>
                <c:pt idx="481">
                  <c:v>-71.408500000000458</c:v>
                </c:pt>
                <c:pt idx="482">
                  <c:v>-71.408500000000458</c:v>
                </c:pt>
                <c:pt idx="483">
                  <c:v>-71.408500000000458</c:v>
                </c:pt>
                <c:pt idx="484">
                  <c:v>-71.408500000000458</c:v>
                </c:pt>
                <c:pt idx="485">
                  <c:v>-71.408500000000458</c:v>
                </c:pt>
                <c:pt idx="486">
                  <c:v>-71.408500000000458</c:v>
                </c:pt>
                <c:pt idx="487">
                  <c:v>-71.408500000000458</c:v>
                </c:pt>
                <c:pt idx="488">
                  <c:v>-71.408500000000458</c:v>
                </c:pt>
                <c:pt idx="489">
                  <c:v>-71.408500000000458</c:v>
                </c:pt>
                <c:pt idx="490">
                  <c:v>-71.408500000000458</c:v>
                </c:pt>
                <c:pt idx="491">
                  <c:v>-71.408500000000458</c:v>
                </c:pt>
                <c:pt idx="492">
                  <c:v>-71.408500000000458</c:v>
                </c:pt>
                <c:pt idx="493">
                  <c:v>-71.408500000000458</c:v>
                </c:pt>
                <c:pt idx="494">
                  <c:v>-71.408500000000458</c:v>
                </c:pt>
                <c:pt idx="495">
                  <c:v>-71.408500000000458</c:v>
                </c:pt>
                <c:pt idx="496">
                  <c:v>-71.408500000000458</c:v>
                </c:pt>
                <c:pt idx="497">
                  <c:v>-71.408500000000458</c:v>
                </c:pt>
                <c:pt idx="498">
                  <c:v>-71.408500000000458</c:v>
                </c:pt>
                <c:pt idx="499">
                  <c:v>-71.408500000000458</c:v>
                </c:pt>
                <c:pt idx="500">
                  <c:v>-71.408500000000458</c:v>
                </c:pt>
                <c:pt idx="501">
                  <c:v>-71.408500000000458</c:v>
                </c:pt>
                <c:pt idx="502">
                  <c:v>-71.408500000000458</c:v>
                </c:pt>
                <c:pt idx="503">
                  <c:v>-71.408500000000458</c:v>
                </c:pt>
                <c:pt idx="504">
                  <c:v>-71.408500000000458</c:v>
                </c:pt>
                <c:pt idx="505">
                  <c:v>-71.408500000000458</c:v>
                </c:pt>
                <c:pt idx="506">
                  <c:v>-71.408500000000458</c:v>
                </c:pt>
                <c:pt idx="507">
                  <c:v>-71.408500000000458</c:v>
                </c:pt>
                <c:pt idx="508">
                  <c:v>-71.408500000000458</c:v>
                </c:pt>
                <c:pt idx="509">
                  <c:v>-71.408500000000458</c:v>
                </c:pt>
                <c:pt idx="510">
                  <c:v>-71.408500000000458</c:v>
                </c:pt>
                <c:pt idx="511">
                  <c:v>-71.408500000000458</c:v>
                </c:pt>
                <c:pt idx="512">
                  <c:v>-71.408500000000458</c:v>
                </c:pt>
                <c:pt idx="513">
                  <c:v>-71.408500000000458</c:v>
                </c:pt>
                <c:pt idx="514">
                  <c:v>-71.408500000000458</c:v>
                </c:pt>
                <c:pt idx="515">
                  <c:v>-71.408500000000458</c:v>
                </c:pt>
                <c:pt idx="516">
                  <c:v>-71.408500000000458</c:v>
                </c:pt>
                <c:pt idx="517">
                  <c:v>-71.408500000000458</c:v>
                </c:pt>
                <c:pt idx="518">
                  <c:v>-71.408500000000458</c:v>
                </c:pt>
                <c:pt idx="519">
                  <c:v>-71.408500000000458</c:v>
                </c:pt>
                <c:pt idx="520">
                  <c:v>-71.408500000000458</c:v>
                </c:pt>
                <c:pt idx="521">
                  <c:v>-71.408500000000458</c:v>
                </c:pt>
                <c:pt idx="522">
                  <c:v>-71.408500000000458</c:v>
                </c:pt>
                <c:pt idx="523">
                  <c:v>-71.408500000000458</c:v>
                </c:pt>
                <c:pt idx="524">
                  <c:v>-71.408500000000458</c:v>
                </c:pt>
                <c:pt idx="525">
                  <c:v>-71.408500000000458</c:v>
                </c:pt>
                <c:pt idx="526">
                  <c:v>-71.408500000000458</c:v>
                </c:pt>
                <c:pt idx="527">
                  <c:v>-71.408500000000458</c:v>
                </c:pt>
                <c:pt idx="528">
                  <c:v>-71.408500000000458</c:v>
                </c:pt>
                <c:pt idx="529">
                  <c:v>-71.408500000000458</c:v>
                </c:pt>
                <c:pt idx="530">
                  <c:v>-71.408500000000458</c:v>
                </c:pt>
                <c:pt idx="531">
                  <c:v>-71.408500000000458</c:v>
                </c:pt>
                <c:pt idx="532">
                  <c:v>-71.408500000000458</c:v>
                </c:pt>
                <c:pt idx="533">
                  <c:v>-71.408500000000458</c:v>
                </c:pt>
                <c:pt idx="534">
                  <c:v>-71.408500000000458</c:v>
                </c:pt>
                <c:pt idx="535">
                  <c:v>-71.408500000000458</c:v>
                </c:pt>
                <c:pt idx="536">
                  <c:v>-71.408500000000458</c:v>
                </c:pt>
                <c:pt idx="537">
                  <c:v>-71.408500000000458</c:v>
                </c:pt>
                <c:pt idx="538">
                  <c:v>-71.408500000000458</c:v>
                </c:pt>
                <c:pt idx="539">
                  <c:v>-71.408500000000458</c:v>
                </c:pt>
                <c:pt idx="540">
                  <c:v>-71.408500000000458</c:v>
                </c:pt>
                <c:pt idx="541">
                  <c:v>-71.408500000000458</c:v>
                </c:pt>
                <c:pt idx="542">
                  <c:v>-71.408500000000458</c:v>
                </c:pt>
                <c:pt idx="543">
                  <c:v>-71.408500000000458</c:v>
                </c:pt>
                <c:pt idx="544">
                  <c:v>-71.408500000000458</c:v>
                </c:pt>
                <c:pt idx="545">
                  <c:v>-71.408500000000458</c:v>
                </c:pt>
                <c:pt idx="546">
                  <c:v>-71.408500000000458</c:v>
                </c:pt>
                <c:pt idx="547">
                  <c:v>-71.408500000000458</c:v>
                </c:pt>
                <c:pt idx="548">
                  <c:v>-71.408500000000458</c:v>
                </c:pt>
                <c:pt idx="549">
                  <c:v>-71.408500000000458</c:v>
                </c:pt>
                <c:pt idx="550">
                  <c:v>-71.408500000000458</c:v>
                </c:pt>
                <c:pt idx="551">
                  <c:v>-71.408500000000458</c:v>
                </c:pt>
                <c:pt idx="552">
                  <c:v>-71.408500000000458</c:v>
                </c:pt>
                <c:pt idx="553">
                  <c:v>-71.408500000000458</c:v>
                </c:pt>
                <c:pt idx="554">
                  <c:v>-71.408500000000458</c:v>
                </c:pt>
                <c:pt idx="555">
                  <c:v>-71.408500000000458</c:v>
                </c:pt>
                <c:pt idx="556">
                  <c:v>-71.408500000000458</c:v>
                </c:pt>
                <c:pt idx="557">
                  <c:v>-71.408500000000458</c:v>
                </c:pt>
                <c:pt idx="558">
                  <c:v>-71.408500000000458</c:v>
                </c:pt>
                <c:pt idx="559">
                  <c:v>-71.408500000000458</c:v>
                </c:pt>
                <c:pt idx="560">
                  <c:v>-71.408500000000458</c:v>
                </c:pt>
                <c:pt idx="561">
                  <c:v>-71.408500000000458</c:v>
                </c:pt>
                <c:pt idx="562">
                  <c:v>-71.408500000000458</c:v>
                </c:pt>
                <c:pt idx="563">
                  <c:v>-71.408500000000458</c:v>
                </c:pt>
                <c:pt idx="564">
                  <c:v>-71.408500000000458</c:v>
                </c:pt>
                <c:pt idx="565">
                  <c:v>-71.408500000000458</c:v>
                </c:pt>
                <c:pt idx="566">
                  <c:v>-71.408500000000458</c:v>
                </c:pt>
                <c:pt idx="567">
                  <c:v>-71.408500000000458</c:v>
                </c:pt>
                <c:pt idx="568">
                  <c:v>-71.408500000000458</c:v>
                </c:pt>
                <c:pt idx="569">
                  <c:v>-71.408500000000458</c:v>
                </c:pt>
                <c:pt idx="570">
                  <c:v>-71.408500000000458</c:v>
                </c:pt>
                <c:pt idx="571">
                  <c:v>-71.408500000000458</c:v>
                </c:pt>
                <c:pt idx="572">
                  <c:v>-71.408500000000458</c:v>
                </c:pt>
                <c:pt idx="573">
                  <c:v>-71.408500000000458</c:v>
                </c:pt>
                <c:pt idx="574">
                  <c:v>-71.408500000000458</c:v>
                </c:pt>
                <c:pt idx="575">
                  <c:v>-71.408500000000458</c:v>
                </c:pt>
                <c:pt idx="576">
                  <c:v>-71.408500000000458</c:v>
                </c:pt>
                <c:pt idx="577">
                  <c:v>-71.408500000000458</c:v>
                </c:pt>
                <c:pt idx="578">
                  <c:v>-71.408500000000458</c:v>
                </c:pt>
                <c:pt idx="579">
                  <c:v>-71.408500000000458</c:v>
                </c:pt>
                <c:pt idx="580">
                  <c:v>-71.408500000000458</c:v>
                </c:pt>
                <c:pt idx="581">
                  <c:v>-71.408500000000458</c:v>
                </c:pt>
                <c:pt idx="582">
                  <c:v>-71.408500000000458</c:v>
                </c:pt>
                <c:pt idx="583">
                  <c:v>-71.408500000000458</c:v>
                </c:pt>
                <c:pt idx="584">
                  <c:v>-71.408500000000458</c:v>
                </c:pt>
                <c:pt idx="585">
                  <c:v>-71.408500000000458</c:v>
                </c:pt>
                <c:pt idx="586">
                  <c:v>-71.408500000000458</c:v>
                </c:pt>
                <c:pt idx="587">
                  <c:v>-71.408500000000458</c:v>
                </c:pt>
                <c:pt idx="588">
                  <c:v>-71.408500000000458</c:v>
                </c:pt>
                <c:pt idx="589">
                  <c:v>-71.408500000000458</c:v>
                </c:pt>
                <c:pt idx="590">
                  <c:v>-71.408500000000458</c:v>
                </c:pt>
                <c:pt idx="591">
                  <c:v>-71.408500000000458</c:v>
                </c:pt>
                <c:pt idx="592">
                  <c:v>-71.408500000000458</c:v>
                </c:pt>
                <c:pt idx="593">
                  <c:v>-71.408500000000458</c:v>
                </c:pt>
                <c:pt idx="594">
                  <c:v>-71.408500000000458</c:v>
                </c:pt>
                <c:pt idx="595">
                  <c:v>-71.408500000000458</c:v>
                </c:pt>
                <c:pt idx="596">
                  <c:v>-71.408500000000458</c:v>
                </c:pt>
                <c:pt idx="597">
                  <c:v>-71.408500000000458</c:v>
                </c:pt>
                <c:pt idx="598">
                  <c:v>-71.408500000000458</c:v>
                </c:pt>
                <c:pt idx="599">
                  <c:v>-71.408500000000458</c:v>
                </c:pt>
                <c:pt idx="600">
                  <c:v>-71.408500000000458</c:v>
                </c:pt>
                <c:pt idx="601">
                  <c:v>-71.408500000000458</c:v>
                </c:pt>
                <c:pt idx="602">
                  <c:v>-71.408500000000458</c:v>
                </c:pt>
                <c:pt idx="603">
                  <c:v>-71.408500000000458</c:v>
                </c:pt>
                <c:pt idx="604">
                  <c:v>-71.408500000000458</c:v>
                </c:pt>
                <c:pt idx="605">
                  <c:v>-71.408500000000458</c:v>
                </c:pt>
                <c:pt idx="606">
                  <c:v>-71.408500000000458</c:v>
                </c:pt>
                <c:pt idx="607">
                  <c:v>-71.408500000000458</c:v>
                </c:pt>
                <c:pt idx="608">
                  <c:v>-71.408500000000458</c:v>
                </c:pt>
                <c:pt idx="609">
                  <c:v>-71.408500000000458</c:v>
                </c:pt>
                <c:pt idx="610">
                  <c:v>-71.408500000000458</c:v>
                </c:pt>
                <c:pt idx="611">
                  <c:v>-71.408500000000458</c:v>
                </c:pt>
                <c:pt idx="612">
                  <c:v>-71.408500000000458</c:v>
                </c:pt>
                <c:pt idx="613">
                  <c:v>-71.408500000000458</c:v>
                </c:pt>
                <c:pt idx="614">
                  <c:v>-71.408500000000458</c:v>
                </c:pt>
                <c:pt idx="615">
                  <c:v>-71.408500000000458</c:v>
                </c:pt>
                <c:pt idx="616">
                  <c:v>-71.408500000000458</c:v>
                </c:pt>
                <c:pt idx="617">
                  <c:v>-71.408500000000458</c:v>
                </c:pt>
                <c:pt idx="618">
                  <c:v>-71.408500000000458</c:v>
                </c:pt>
                <c:pt idx="619">
                  <c:v>-71.408500000000458</c:v>
                </c:pt>
                <c:pt idx="620">
                  <c:v>-71.408500000000458</c:v>
                </c:pt>
                <c:pt idx="621">
                  <c:v>-71.408500000000458</c:v>
                </c:pt>
                <c:pt idx="622">
                  <c:v>-71.408500000000458</c:v>
                </c:pt>
                <c:pt idx="623">
                  <c:v>-71.408500000000458</c:v>
                </c:pt>
                <c:pt idx="624">
                  <c:v>-71.408500000000458</c:v>
                </c:pt>
                <c:pt idx="625">
                  <c:v>-71.408500000000458</c:v>
                </c:pt>
                <c:pt idx="626">
                  <c:v>-71.408500000000458</c:v>
                </c:pt>
                <c:pt idx="627">
                  <c:v>-71.408500000000458</c:v>
                </c:pt>
                <c:pt idx="628">
                  <c:v>-71.408500000000458</c:v>
                </c:pt>
                <c:pt idx="629">
                  <c:v>-71.408500000000458</c:v>
                </c:pt>
                <c:pt idx="630">
                  <c:v>-71.408500000000458</c:v>
                </c:pt>
                <c:pt idx="631">
                  <c:v>-71.408500000000458</c:v>
                </c:pt>
                <c:pt idx="632">
                  <c:v>-71.408500000000458</c:v>
                </c:pt>
                <c:pt idx="633">
                  <c:v>-71.408500000000458</c:v>
                </c:pt>
                <c:pt idx="634">
                  <c:v>-71.408500000000458</c:v>
                </c:pt>
                <c:pt idx="635">
                  <c:v>-71.408500000000458</c:v>
                </c:pt>
                <c:pt idx="636">
                  <c:v>-71.408500000000458</c:v>
                </c:pt>
                <c:pt idx="637">
                  <c:v>-71.408500000000458</c:v>
                </c:pt>
                <c:pt idx="638">
                  <c:v>-71.408500000000458</c:v>
                </c:pt>
                <c:pt idx="639">
                  <c:v>-71.408500000000458</c:v>
                </c:pt>
                <c:pt idx="640">
                  <c:v>-71.408500000000458</c:v>
                </c:pt>
                <c:pt idx="641">
                  <c:v>-71.408500000000458</c:v>
                </c:pt>
                <c:pt idx="642">
                  <c:v>-71.408500000000458</c:v>
                </c:pt>
                <c:pt idx="643">
                  <c:v>-71.408500000000458</c:v>
                </c:pt>
                <c:pt idx="644">
                  <c:v>-71.408500000000458</c:v>
                </c:pt>
                <c:pt idx="645">
                  <c:v>-71.408500000000458</c:v>
                </c:pt>
                <c:pt idx="646">
                  <c:v>-71.408500000000458</c:v>
                </c:pt>
                <c:pt idx="647">
                  <c:v>-71.408500000000458</c:v>
                </c:pt>
                <c:pt idx="648">
                  <c:v>-71.408500000000458</c:v>
                </c:pt>
                <c:pt idx="649">
                  <c:v>-71.408500000000458</c:v>
                </c:pt>
                <c:pt idx="650">
                  <c:v>-71.408500000000458</c:v>
                </c:pt>
                <c:pt idx="651">
                  <c:v>-71.408500000000458</c:v>
                </c:pt>
                <c:pt idx="652">
                  <c:v>-71.408500000000458</c:v>
                </c:pt>
                <c:pt idx="653">
                  <c:v>-71.408500000000458</c:v>
                </c:pt>
                <c:pt idx="654">
                  <c:v>-71.408500000000458</c:v>
                </c:pt>
                <c:pt idx="655">
                  <c:v>-71.408500000000458</c:v>
                </c:pt>
                <c:pt idx="656">
                  <c:v>-71.408500000000458</c:v>
                </c:pt>
                <c:pt idx="657">
                  <c:v>-71.408500000000458</c:v>
                </c:pt>
                <c:pt idx="658">
                  <c:v>-71.408500000000458</c:v>
                </c:pt>
                <c:pt idx="659">
                  <c:v>-71.408500000000458</c:v>
                </c:pt>
                <c:pt idx="660">
                  <c:v>-71.408500000000458</c:v>
                </c:pt>
                <c:pt idx="661">
                  <c:v>-71.408500000000458</c:v>
                </c:pt>
                <c:pt idx="662">
                  <c:v>-71.408500000000458</c:v>
                </c:pt>
                <c:pt idx="663">
                  <c:v>-71.408500000000458</c:v>
                </c:pt>
                <c:pt idx="664">
                  <c:v>-71.408500000000458</c:v>
                </c:pt>
                <c:pt idx="665">
                  <c:v>-71.408500000000458</c:v>
                </c:pt>
                <c:pt idx="666">
                  <c:v>-71.408500000000458</c:v>
                </c:pt>
                <c:pt idx="667">
                  <c:v>-71.408500000000458</c:v>
                </c:pt>
                <c:pt idx="668">
                  <c:v>-71.408500000000458</c:v>
                </c:pt>
                <c:pt idx="669">
                  <c:v>-71.408500000000458</c:v>
                </c:pt>
                <c:pt idx="670">
                  <c:v>-71.408500000000458</c:v>
                </c:pt>
                <c:pt idx="671">
                  <c:v>-71.408500000000458</c:v>
                </c:pt>
                <c:pt idx="672">
                  <c:v>-71.408500000000458</c:v>
                </c:pt>
                <c:pt idx="673">
                  <c:v>-71.408500000000458</c:v>
                </c:pt>
                <c:pt idx="674">
                  <c:v>-71.408500000000458</c:v>
                </c:pt>
                <c:pt idx="675">
                  <c:v>-71.408500000000458</c:v>
                </c:pt>
                <c:pt idx="676">
                  <c:v>-71.408500000000458</c:v>
                </c:pt>
                <c:pt idx="677">
                  <c:v>-71.408500000000458</c:v>
                </c:pt>
                <c:pt idx="678">
                  <c:v>-71.408500000000458</c:v>
                </c:pt>
                <c:pt idx="679">
                  <c:v>-71.408500000000458</c:v>
                </c:pt>
                <c:pt idx="680">
                  <c:v>-71.408500000000458</c:v>
                </c:pt>
                <c:pt idx="681">
                  <c:v>-71.408500000000458</c:v>
                </c:pt>
                <c:pt idx="682">
                  <c:v>-71.408500000000458</c:v>
                </c:pt>
                <c:pt idx="683">
                  <c:v>-71.408500000000458</c:v>
                </c:pt>
                <c:pt idx="684">
                  <c:v>-71.408500000000458</c:v>
                </c:pt>
                <c:pt idx="685">
                  <c:v>-71.408500000000458</c:v>
                </c:pt>
                <c:pt idx="686">
                  <c:v>-71.408500000000458</c:v>
                </c:pt>
                <c:pt idx="687">
                  <c:v>-71.408500000000458</c:v>
                </c:pt>
                <c:pt idx="688">
                  <c:v>-71.408500000000458</c:v>
                </c:pt>
                <c:pt idx="689">
                  <c:v>-71.408500000000458</c:v>
                </c:pt>
                <c:pt idx="690">
                  <c:v>-71.408500000000458</c:v>
                </c:pt>
                <c:pt idx="691">
                  <c:v>-71.408500000000458</c:v>
                </c:pt>
                <c:pt idx="692">
                  <c:v>-71.408500000000458</c:v>
                </c:pt>
                <c:pt idx="693">
                  <c:v>-71.408500000000458</c:v>
                </c:pt>
                <c:pt idx="694">
                  <c:v>-71.408500000000458</c:v>
                </c:pt>
                <c:pt idx="695">
                  <c:v>-71.408500000000458</c:v>
                </c:pt>
                <c:pt idx="696">
                  <c:v>-71.408500000000458</c:v>
                </c:pt>
                <c:pt idx="697">
                  <c:v>-71.408500000000458</c:v>
                </c:pt>
                <c:pt idx="698">
                  <c:v>-71.408500000000458</c:v>
                </c:pt>
                <c:pt idx="699">
                  <c:v>-71.408500000000458</c:v>
                </c:pt>
                <c:pt idx="700">
                  <c:v>-71.408500000000458</c:v>
                </c:pt>
                <c:pt idx="701">
                  <c:v>-71.408500000000458</c:v>
                </c:pt>
                <c:pt idx="702">
                  <c:v>-71.408500000000458</c:v>
                </c:pt>
                <c:pt idx="703">
                  <c:v>-71.408500000000458</c:v>
                </c:pt>
                <c:pt idx="704">
                  <c:v>-71.408500000000458</c:v>
                </c:pt>
                <c:pt idx="705">
                  <c:v>-71.408500000000458</c:v>
                </c:pt>
                <c:pt idx="706">
                  <c:v>-71.408500000000458</c:v>
                </c:pt>
                <c:pt idx="707">
                  <c:v>-71.408500000000458</c:v>
                </c:pt>
                <c:pt idx="708">
                  <c:v>-71.408500000000458</c:v>
                </c:pt>
                <c:pt idx="709">
                  <c:v>-71.408500000000458</c:v>
                </c:pt>
                <c:pt idx="710">
                  <c:v>-71.408500000000458</c:v>
                </c:pt>
                <c:pt idx="711">
                  <c:v>-71.408500000000458</c:v>
                </c:pt>
                <c:pt idx="712">
                  <c:v>-71.408500000000458</c:v>
                </c:pt>
                <c:pt idx="713">
                  <c:v>-71.408500000000458</c:v>
                </c:pt>
                <c:pt idx="714">
                  <c:v>-71.408500000000458</c:v>
                </c:pt>
                <c:pt idx="715">
                  <c:v>-71.408500000000458</c:v>
                </c:pt>
                <c:pt idx="716">
                  <c:v>-71.408500000000458</c:v>
                </c:pt>
                <c:pt idx="717">
                  <c:v>-71.408500000000458</c:v>
                </c:pt>
                <c:pt idx="718">
                  <c:v>-71.408500000000458</c:v>
                </c:pt>
                <c:pt idx="719">
                  <c:v>-71.408500000000458</c:v>
                </c:pt>
                <c:pt idx="720">
                  <c:v>-71.408500000000458</c:v>
                </c:pt>
                <c:pt idx="721">
                  <c:v>-71.408500000000458</c:v>
                </c:pt>
                <c:pt idx="722">
                  <c:v>-71.408500000000458</c:v>
                </c:pt>
                <c:pt idx="723">
                  <c:v>-71.408500000000458</c:v>
                </c:pt>
                <c:pt idx="724">
                  <c:v>-71.408500000000458</c:v>
                </c:pt>
                <c:pt idx="725">
                  <c:v>-71.408500000000458</c:v>
                </c:pt>
                <c:pt idx="726">
                  <c:v>-71.408500000000458</c:v>
                </c:pt>
                <c:pt idx="727">
                  <c:v>-71.408500000000458</c:v>
                </c:pt>
                <c:pt idx="728">
                  <c:v>-71.408500000000458</c:v>
                </c:pt>
                <c:pt idx="729">
                  <c:v>-71.408500000000458</c:v>
                </c:pt>
                <c:pt idx="730">
                  <c:v>-71.408500000000458</c:v>
                </c:pt>
                <c:pt idx="731">
                  <c:v>-71.408500000000458</c:v>
                </c:pt>
                <c:pt idx="732">
                  <c:v>-71.408500000000458</c:v>
                </c:pt>
                <c:pt idx="733">
                  <c:v>-71.408500000000458</c:v>
                </c:pt>
                <c:pt idx="734">
                  <c:v>-71.408500000000458</c:v>
                </c:pt>
                <c:pt idx="735">
                  <c:v>-71.408500000000458</c:v>
                </c:pt>
                <c:pt idx="736">
                  <c:v>-71.408500000000458</c:v>
                </c:pt>
                <c:pt idx="737">
                  <c:v>-71.408500000000458</c:v>
                </c:pt>
                <c:pt idx="738">
                  <c:v>-71.408500000000458</c:v>
                </c:pt>
                <c:pt idx="739">
                  <c:v>-71.408500000000458</c:v>
                </c:pt>
                <c:pt idx="740">
                  <c:v>-71.408500000000458</c:v>
                </c:pt>
                <c:pt idx="741">
                  <c:v>-71.408500000000458</c:v>
                </c:pt>
                <c:pt idx="742">
                  <c:v>-71.408500000000458</c:v>
                </c:pt>
                <c:pt idx="743">
                  <c:v>-71.408500000000458</c:v>
                </c:pt>
                <c:pt idx="744">
                  <c:v>-71.408500000000458</c:v>
                </c:pt>
                <c:pt idx="745">
                  <c:v>-71.408500000000458</c:v>
                </c:pt>
                <c:pt idx="746">
                  <c:v>-71.408500000000458</c:v>
                </c:pt>
                <c:pt idx="747">
                  <c:v>-71.408500000000458</c:v>
                </c:pt>
                <c:pt idx="748">
                  <c:v>-71.408500000000458</c:v>
                </c:pt>
                <c:pt idx="749">
                  <c:v>-71.408500000000458</c:v>
                </c:pt>
                <c:pt idx="750">
                  <c:v>-71.408500000000458</c:v>
                </c:pt>
                <c:pt idx="751">
                  <c:v>-71.408500000000458</c:v>
                </c:pt>
                <c:pt idx="752">
                  <c:v>-71.408500000000458</c:v>
                </c:pt>
                <c:pt idx="753">
                  <c:v>-71.408500000000458</c:v>
                </c:pt>
                <c:pt idx="754">
                  <c:v>-71.408500000000458</c:v>
                </c:pt>
                <c:pt idx="755">
                  <c:v>-71.408500000000458</c:v>
                </c:pt>
                <c:pt idx="756">
                  <c:v>-71.408500000000458</c:v>
                </c:pt>
                <c:pt idx="757">
                  <c:v>-71.408500000000458</c:v>
                </c:pt>
                <c:pt idx="758">
                  <c:v>-71.408500000000458</c:v>
                </c:pt>
                <c:pt idx="759">
                  <c:v>-71.408500000000458</c:v>
                </c:pt>
                <c:pt idx="760">
                  <c:v>-71.408500000000458</c:v>
                </c:pt>
                <c:pt idx="761">
                  <c:v>-71.408500000000458</c:v>
                </c:pt>
                <c:pt idx="762">
                  <c:v>-71.408500000000458</c:v>
                </c:pt>
                <c:pt idx="763">
                  <c:v>-71.408500000000458</c:v>
                </c:pt>
                <c:pt idx="764">
                  <c:v>-71.408500000000458</c:v>
                </c:pt>
                <c:pt idx="765">
                  <c:v>-71.408500000000458</c:v>
                </c:pt>
                <c:pt idx="766">
                  <c:v>-71.408500000000458</c:v>
                </c:pt>
                <c:pt idx="767">
                  <c:v>-71.408500000000458</c:v>
                </c:pt>
                <c:pt idx="768">
                  <c:v>-71.408500000000458</c:v>
                </c:pt>
                <c:pt idx="769">
                  <c:v>-71.408500000000458</c:v>
                </c:pt>
                <c:pt idx="770">
                  <c:v>-71.408500000000458</c:v>
                </c:pt>
                <c:pt idx="771">
                  <c:v>-71.408500000000458</c:v>
                </c:pt>
                <c:pt idx="772">
                  <c:v>-71.408500000000458</c:v>
                </c:pt>
                <c:pt idx="773">
                  <c:v>-71.408500000000458</c:v>
                </c:pt>
                <c:pt idx="774">
                  <c:v>-71.408500000000458</c:v>
                </c:pt>
                <c:pt idx="775">
                  <c:v>-71.408500000000458</c:v>
                </c:pt>
                <c:pt idx="776">
                  <c:v>-71.408500000000458</c:v>
                </c:pt>
                <c:pt idx="777">
                  <c:v>-71.408500000000458</c:v>
                </c:pt>
                <c:pt idx="778">
                  <c:v>-71.408500000000458</c:v>
                </c:pt>
                <c:pt idx="779">
                  <c:v>-71.408500000000458</c:v>
                </c:pt>
                <c:pt idx="780">
                  <c:v>-71.408500000000458</c:v>
                </c:pt>
                <c:pt idx="781">
                  <c:v>-71.408500000000458</c:v>
                </c:pt>
                <c:pt idx="782">
                  <c:v>-71.408500000000458</c:v>
                </c:pt>
                <c:pt idx="783">
                  <c:v>-71.408500000000458</c:v>
                </c:pt>
                <c:pt idx="784">
                  <c:v>-71.408500000000458</c:v>
                </c:pt>
                <c:pt idx="785">
                  <c:v>-71.408500000000458</c:v>
                </c:pt>
                <c:pt idx="786">
                  <c:v>-71.408500000000458</c:v>
                </c:pt>
                <c:pt idx="787">
                  <c:v>-71.408500000000458</c:v>
                </c:pt>
                <c:pt idx="788">
                  <c:v>-71.408500000000458</c:v>
                </c:pt>
                <c:pt idx="789">
                  <c:v>-71.408500000000458</c:v>
                </c:pt>
                <c:pt idx="790">
                  <c:v>-71.408500000000458</c:v>
                </c:pt>
                <c:pt idx="791">
                  <c:v>-71.408500000000458</c:v>
                </c:pt>
                <c:pt idx="792">
                  <c:v>-71.408500000000458</c:v>
                </c:pt>
                <c:pt idx="793">
                  <c:v>-71.408500000000458</c:v>
                </c:pt>
                <c:pt idx="794">
                  <c:v>-71.408500000000458</c:v>
                </c:pt>
                <c:pt idx="795">
                  <c:v>-71.408500000000458</c:v>
                </c:pt>
                <c:pt idx="796">
                  <c:v>-71.408500000000458</c:v>
                </c:pt>
                <c:pt idx="797">
                  <c:v>-71.408500000000458</c:v>
                </c:pt>
                <c:pt idx="798">
                  <c:v>-71.408500000000458</c:v>
                </c:pt>
                <c:pt idx="799">
                  <c:v>-71.408500000000458</c:v>
                </c:pt>
                <c:pt idx="800">
                  <c:v>-71.408500000000458</c:v>
                </c:pt>
                <c:pt idx="801">
                  <c:v>-71.408500000000458</c:v>
                </c:pt>
                <c:pt idx="802">
                  <c:v>-71.408500000000458</c:v>
                </c:pt>
                <c:pt idx="803">
                  <c:v>-71.408500000000458</c:v>
                </c:pt>
                <c:pt idx="804">
                  <c:v>-71.408500000000458</c:v>
                </c:pt>
                <c:pt idx="805">
                  <c:v>-71.408500000000458</c:v>
                </c:pt>
                <c:pt idx="806">
                  <c:v>-71.408500000000458</c:v>
                </c:pt>
                <c:pt idx="807">
                  <c:v>-71.408500000000458</c:v>
                </c:pt>
                <c:pt idx="808">
                  <c:v>-71.408500000000458</c:v>
                </c:pt>
                <c:pt idx="809">
                  <c:v>-71.408500000000458</c:v>
                </c:pt>
                <c:pt idx="810">
                  <c:v>-71.408500000000458</c:v>
                </c:pt>
                <c:pt idx="811">
                  <c:v>-71.408500000000458</c:v>
                </c:pt>
                <c:pt idx="812">
                  <c:v>-71.408500000000458</c:v>
                </c:pt>
                <c:pt idx="813">
                  <c:v>-71.408500000000458</c:v>
                </c:pt>
                <c:pt idx="814">
                  <c:v>-71.408500000000458</c:v>
                </c:pt>
                <c:pt idx="815">
                  <c:v>-71.408500000000458</c:v>
                </c:pt>
                <c:pt idx="816">
                  <c:v>-71.408500000000458</c:v>
                </c:pt>
                <c:pt idx="817">
                  <c:v>-71.408500000000458</c:v>
                </c:pt>
                <c:pt idx="818">
                  <c:v>-71.408500000000458</c:v>
                </c:pt>
                <c:pt idx="819">
                  <c:v>-71.408500000000458</c:v>
                </c:pt>
                <c:pt idx="820">
                  <c:v>-71.408500000000458</c:v>
                </c:pt>
                <c:pt idx="821">
                  <c:v>-71.408500000000458</c:v>
                </c:pt>
                <c:pt idx="822">
                  <c:v>-71.408500000000458</c:v>
                </c:pt>
                <c:pt idx="823">
                  <c:v>-71.408500000000458</c:v>
                </c:pt>
                <c:pt idx="824">
                  <c:v>-71.408500000000458</c:v>
                </c:pt>
                <c:pt idx="825">
                  <c:v>-71.408500000000458</c:v>
                </c:pt>
                <c:pt idx="826">
                  <c:v>-71.408500000000458</c:v>
                </c:pt>
                <c:pt idx="827">
                  <c:v>-71.408500000000458</c:v>
                </c:pt>
                <c:pt idx="828">
                  <c:v>-71.408500000000458</c:v>
                </c:pt>
                <c:pt idx="829">
                  <c:v>-71.408500000000458</c:v>
                </c:pt>
                <c:pt idx="830">
                  <c:v>-71.408500000000458</c:v>
                </c:pt>
                <c:pt idx="831">
                  <c:v>-71.408500000000458</c:v>
                </c:pt>
                <c:pt idx="832">
                  <c:v>-71.408500000000458</c:v>
                </c:pt>
                <c:pt idx="833">
                  <c:v>-71.408500000000458</c:v>
                </c:pt>
                <c:pt idx="834">
                  <c:v>-71.408500000000458</c:v>
                </c:pt>
                <c:pt idx="835">
                  <c:v>-71.408500000000458</c:v>
                </c:pt>
                <c:pt idx="836">
                  <c:v>-71.408500000000458</c:v>
                </c:pt>
                <c:pt idx="837">
                  <c:v>-71.408500000000458</c:v>
                </c:pt>
                <c:pt idx="838">
                  <c:v>-71.408500000000458</c:v>
                </c:pt>
                <c:pt idx="839">
                  <c:v>-71.408500000000458</c:v>
                </c:pt>
                <c:pt idx="840">
                  <c:v>-71.408500000000458</c:v>
                </c:pt>
                <c:pt idx="841">
                  <c:v>-71.408500000000458</c:v>
                </c:pt>
                <c:pt idx="842">
                  <c:v>-71.408500000000458</c:v>
                </c:pt>
                <c:pt idx="843">
                  <c:v>-71.408500000000458</c:v>
                </c:pt>
                <c:pt idx="844">
                  <c:v>-71.408500000000458</c:v>
                </c:pt>
                <c:pt idx="845">
                  <c:v>-71.408500000000458</c:v>
                </c:pt>
                <c:pt idx="846">
                  <c:v>-71.408500000000458</c:v>
                </c:pt>
                <c:pt idx="847">
                  <c:v>-71.408500000000458</c:v>
                </c:pt>
                <c:pt idx="848">
                  <c:v>-71.408500000000458</c:v>
                </c:pt>
                <c:pt idx="849">
                  <c:v>-71.408500000000458</c:v>
                </c:pt>
                <c:pt idx="850">
                  <c:v>-71.408500000000458</c:v>
                </c:pt>
                <c:pt idx="851">
                  <c:v>-71.408500000000458</c:v>
                </c:pt>
                <c:pt idx="852">
                  <c:v>-71.408500000000458</c:v>
                </c:pt>
                <c:pt idx="853">
                  <c:v>-71.408500000000458</c:v>
                </c:pt>
                <c:pt idx="854">
                  <c:v>-71.408500000000458</c:v>
                </c:pt>
                <c:pt idx="855">
                  <c:v>-71.408500000000458</c:v>
                </c:pt>
                <c:pt idx="856">
                  <c:v>-71.408500000000458</c:v>
                </c:pt>
                <c:pt idx="857">
                  <c:v>-71.408500000000458</c:v>
                </c:pt>
                <c:pt idx="858">
                  <c:v>-71.408500000000458</c:v>
                </c:pt>
                <c:pt idx="859">
                  <c:v>-71.408500000000458</c:v>
                </c:pt>
                <c:pt idx="860">
                  <c:v>-71.408500000000458</c:v>
                </c:pt>
                <c:pt idx="861">
                  <c:v>-71.408500000000458</c:v>
                </c:pt>
                <c:pt idx="862">
                  <c:v>-71.408500000000458</c:v>
                </c:pt>
                <c:pt idx="863">
                  <c:v>-71.408500000000458</c:v>
                </c:pt>
                <c:pt idx="864">
                  <c:v>-71.408500000000458</c:v>
                </c:pt>
                <c:pt idx="865">
                  <c:v>-71.408500000000458</c:v>
                </c:pt>
                <c:pt idx="866">
                  <c:v>-71.408500000000458</c:v>
                </c:pt>
                <c:pt idx="867">
                  <c:v>-71.408500000000458</c:v>
                </c:pt>
                <c:pt idx="868">
                  <c:v>-71.408500000000458</c:v>
                </c:pt>
                <c:pt idx="869">
                  <c:v>-71.408500000000458</c:v>
                </c:pt>
                <c:pt idx="870">
                  <c:v>-71.408500000000458</c:v>
                </c:pt>
                <c:pt idx="871">
                  <c:v>-71.408500000000458</c:v>
                </c:pt>
                <c:pt idx="872">
                  <c:v>-71.408500000000458</c:v>
                </c:pt>
                <c:pt idx="873">
                  <c:v>-71.408500000000458</c:v>
                </c:pt>
                <c:pt idx="874">
                  <c:v>-71.408500000000458</c:v>
                </c:pt>
                <c:pt idx="875">
                  <c:v>-71.408500000000458</c:v>
                </c:pt>
                <c:pt idx="876">
                  <c:v>-71.408500000000458</c:v>
                </c:pt>
                <c:pt idx="877">
                  <c:v>-71.408500000000458</c:v>
                </c:pt>
                <c:pt idx="878">
                  <c:v>-71.408500000000458</c:v>
                </c:pt>
                <c:pt idx="879">
                  <c:v>-71.408500000000458</c:v>
                </c:pt>
                <c:pt idx="880">
                  <c:v>-71.408500000000458</c:v>
                </c:pt>
                <c:pt idx="881">
                  <c:v>-71.408500000000458</c:v>
                </c:pt>
                <c:pt idx="882">
                  <c:v>-71.408500000000458</c:v>
                </c:pt>
                <c:pt idx="883">
                  <c:v>-71.408500000000458</c:v>
                </c:pt>
                <c:pt idx="884">
                  <c:v>-71.408500000000458</c:v>
                </c:pt>
                <c:pt idx="885">
                  <c:v>-71.408500000000458</c:v>
                </c:pt>
                <c:pt idx="886">
                  <c:v>-71.408500000000458</c:v>
                </c:pt>
                <c:pt idx="887">
                  <c:v>-71.408500000000458</c:v>
                </c:pt>
                <c:pt idx="888">
                  <c:v>-71.408500000000458</c:v>
                </c:pt>
                <c:pt idx="889">
                  <c:v>-71.408500000000458</c:v>
                </c:pt>
                <c:pt idx="890">
                  <c:v>-71.408500000000458</c:v>
                </c:pt>
                <c:pt idx="891">
                  <c:v>-71.408500000000458</c:v>
                </c:pt>
                <c:pt idx="892">
                  <c:v>-71.408500000000458</c:v>
                </c:pt>
                <c:pt idx="893">
                  <c:v>-71.408500000000458</c:v>
                </c:pt>
                <c:pt idx="894">
                  <c:v>-71.408500000000458</c:v>
                </c:pt>
                <c:pt idx="895">
                  <c:v>-71.408500000000458</c:v>
                </c:pt>
                <c:pt idx="896">
                  <c:v>-71.408500000000458</c:v>
                </c:pt>
                <c:pt idx="897">
                  <c:v>-71.408500000000458</c:v>
                </c:pt>
                <c:pt idx="898">
                  <c:v>-71.408500000000458</c:v>
                </c:pt>
                <c:pt idx="899">
                  <c:v>-71.408500000000458</c:v>
                </c:pt>
                <c:pt idx="900">
                  <c:v>-71.408500000000458</c:v>
                </c:pt>
                <c:pt idx="901">
                  <c:v>-71.408500000000458</c:v>
                </c:pt>
                <c:pt idx="902">
                  <c:v>-71.408500000000458</c:v>
                </c:pt>
                <c:pt idx="903">
                  <c:v>-71.408500000000458</c:v>
                </c:pt>
                <c:pt idx="904">
                  <c:v>-71.408500000000458</c:v>
                </c:pt>
                <c:pt idx="905">
                  <c:v>-71.408500000000458</c:v>
                </c:pt>
                <c:pt idx="906">
                  <c:v>-71.408500000000458</c:v>
                </c:pt>
                <c:pt idx="907">
                  <c:v>-71.408500000000458</c:v>
                </c:pt>
                <c:pt idx="908">
                  <c:v>-71.408500000000458</c:v>
                </c:pt>
                <c:pt idx="909">
                  <c:v>-71.408500000000458</c:v>
                </c:pt>
                <c:pt idx="910">
                  <c:v>-71.408500000000458</c:v>
                </c:pt>
                <c:pt idx="911">
                  <c:v>-71.408500000000458</c:v>
                </c:pt>
                <c:pt idx="912">
                  <c:v>-71.408500000000458</c:v>
                </c:pt>
                <c:pt idx="913">
                  <c:v>-71.408500000000458</c:v>
                </c:pt>
                <c:pt idx="914">
                  <c:v>-71.408500000000458</c:v>
                </c:pt>
                <c:pt idx="915">
                  <c:v>-71.408500000000458</c:v>
                </c:pt>
                <c:pt idx="916">
                  <c:v>-71.408500000000458</c:v>
                </c:pt>
                <c:pt idx="917">
                  <c:v>-71.408500000000458</c:v>
                </c:pt>
                <c:pt idx="918">
                  <c:v>-71.408500000000458</c:v>
                </c:pt>
                <c:pt idx="919">
                  <c:v>-71.408500000000458</c:v>
                </c:pt>
                <c:pt idx="920">
                  <c:v>-71.408500000000458</c:v>
                </c:pt>
                <c:pt idx="921">
                  <c:v>-71.408500000000458</c:v>
                </c:pt>
                <c:pt idx="922">
                  <c:v>-71.408500000000458</c:v>
                </c:pt>
                <c:pt idx="923">
                  <c:v>-71.408500000000458</c:v>
                </c:pt>
                <c:pt idx="924">
                  <c:v>-71.408500000000458</c:v>
                </c:pt>
                <c:pt idx="925">
                  <c:v>-71.408500000000458</c:v>
                </c:pt>
                <c:pt idx="926">
                  <c:v>-71.408500000000458</c:v>
                </c:pt>
                <c:pt idx="927">
                  <c:v>-71.408500000000458</c:v>
                </c:pt>
                <c:pt idx="928">
                  <c:v>-71.408500000000458</c:v>
                </c:pt>
                <c:pt idx="929">
                  <c:v>-71.408500000000458</c:v>
                </c:pt>
                <c:pt idx="930">
                  <c:v>-71.408500000000458</c:v>
                </c:pt>
                <c:pt idx="931">
                  <c:v>-71.408500000000458</c:v>
                </c:pt>
                <c:pt idx="932">
                  <c:v>-71.408500000000458</c:v>
                </c:pt>
                <c:pt idx="933">
                  <c:v>-71.408500000000458</c:v>
                </c:pt>
                <c:pt idx="934">
                  <c:v>-71.408500000000458</c:v>
                </c:pt>
                <c:pt idx="935">
                  <c:v>-71.408500000000458</c:v>
                </c:pt>
                <c:pt idx="936">
                  <c:v>-71.408500000000458</c:v>
                </c:pt>
                <c:pt idx="937">
                  <c:v>-71.408500000000458</c:v>
                </c:pt>
                <c:pt idx="938">
                  <c:v>-71.408500000000458</c:v>
                </c:pt>
                <c:pt idx="939">
                  <c:v>-71.408500000000458</c:v>
                </c:pt>
                <c:pt idx="940">
                  <c:v>-71.408500000000458</c:v>
                </c:pt>
                <c:pt idx="941">
                  <c:v>-71.408500000000458</c:v>
                </c:pt>
                <c:pt idx="942">
                  <c:v>-71.408500000000458</c:v>
                </c:pt>
                <c:pt idx="943">
                  <c:v>-71.408500000000458</c:v>
                </c:pt>
                <c:pt idx="944">
                  <c:v>-71.408500000000458</c:v>
                </c:pt>
                <c:pt idx="945">
                  <c:v>-71.408500000000458</c:v>
                </c:pt>
                <c:pt idx="946">
                  <c:v>-71.408500000000458</c:v>
                </c:pt>
                <c:pt idx="947">
                  <c:v>-71.408500000000458</c:v>
                </c:pt>
                <c:pt idx="948">
                  <c:v>-71.408500000000458</c:v>
                </c:pt>
                <c:pt idx="949">
                  <c:v>-71.408500000000458</c:v>
                </c:pt>
                <c:pt idx="950">
                  <c:v>-71.408500000000458</c:v>
                </c:pt>
                <c:pt idx="951">
                  <c:v>-71.408500000000458</c:v>
                </c:pt>
                <c:pt idx="952">
                  <c:v>-71.408500000000458</c:v>
                </c:pt>
                <c:pt idx="953">
                  <c:v>-71.408500000000458</c:v>
                </c:pt>
                <c:pt idx="954">
                  <c:v>-71.408500000000458</c:v>
                </c:pt>
                <c:pt idx="955">
                  <c:v>-71.408500000000458</c:v>
                </c:pt>
                <c:pt idx="956">
                  <c:v>-71.408500000000458</c:v>
                </c:pt>
                <c:pt idx="957">
                  <c:v>-71.408500000000458</c:v>
                </c:pt>
                <c:pt idx="958">
                  <c:v>-71.408500000000458</c:v>
                </c:pt>
                <c:pt idx="959">
                  <c:v>-71.408500000000458</c:v>
                </c:pt>
                <c:pt idx="960">
                  <c:v>-71.408500000000458</c:v>
                </c:pt>
                <c:pt idx="961">
                  <c:v>-71.408500000000458</c:v>
                </c:pt>
                <c:pt idx="962">
                  <c:v>-71.408500000000458</c:v>
                </c:pt>
                <c:pt idx="963">
                  <c:v>-71.408500000000458</c:v>
                </c:pt>
                <c:pt idx="964">
                  <c:v>-71.408500000000458</c:v>
                </c:pt>
                <c:pt idx="965">
                  <c:v>-71.408500000000458</c:v>
                </c:pt>
                <c:pt idx="966">
                  <c:v>-71.408500000000458</c:v>
                </c:pt>
                <c:pt idx="967">
                  <c:v>-71.408500000000458</c:v>
                </c:pt>
                <c:pt idx="968">
                  <c:v>-71.408500000000458</c:v>
                </c:pt>
                <c:pt idx="969">
                  <c:v>-71.408500000000458</c:v>
                </c:pt>
                <c:pt idx="970">
                  <c:v>-71.408500000000458</c:v>
                </c:pt>
                <c:pt idx="971">
                  <c:v>-71.408500000000458</c:v>
                </c:pt>
                <c:pt idx="972">
                  <c:v>-71.408500000000458</c:v>
                </c:pt>
                <c:pt idx="973">
                  <c:v>-71.408500000000458</c:v>
                </c:pt>
                <c:pt idx="974">
                  <c:v>-71.408500000000458</c:v>
                </c:pt>
                <c:pt idx="975">
                  <c:v>-71.408500000000458</c:v>
                </c:pt>
                <c:pt idx="976">
                  <c:v>-71.408500000000458</c:v>
                </c:pt>
                <c:pt idx="977">
                  <c:v>-71.408500000000458</c:v>
                </c:pt>
                <c:pt idx="978">
                  <c:v>-71.408500000000458</c:v>
                </c:pt>
                <c:pt idx="979">
                  <c:v>-71.408500000000458</c:v>
                </c:pt>
                <c:pt idx="980">
                  <c:v>-71.408500000000458</c:v>
                </c:pt>
                <c:pt idx="981">
                  <c:v>-71.408500000000458</c:v>
                </c:pt>
                <c:pt idx="982">
                  <c:v>-71.408500000000458</c:v>
                </c:pt>
                <c:pt idx="983">
                  <c:v>-71.408500000000458</c:v>
                </c:pt>
                <c:pt idx="984">
                  <c:v>-71.408500000000458</c:v>
                </c:pt>
                <c:pt idx="985">
                  <c:v>-71.408500000000458</c:v>
                </c:pt>
                <c:pt idx="986">
                  <c:v>-71.408500000000458</c:v>
                </c:pt>
                <c:pt idx="987">
                  <c:v>-71.408500000000458</c:v>
                </c:pt>
                <c:pt idx="988">
                  <c:v>-71.408500000000458</c:v>
                </c:pt>
                <c:pt idx="989">
                  <c:v>-71.408500000000458</c:v>
                </c:pt>
                <c:pt idx="990">
                  <c:v>-71.408500000000458</c:v>
                </c:pt>
                <c:pt idx="991">
                  <c:v>-71.408500000000458</c:v>
                </c:pt>
                <c:pt idx="992">
                  <c:v>-71.408500000000458</c:v>
                </c:pt>
                <c:pt idx="993">
                  <c:v>-71.408500000000458</c:v>
                </c:pt>
                <c:pt idx="994">
                  <c:v>-71.408500000000458</c:v>
                </c:pt>
                <c:pt idx="995">
                  <c:v>-71.408500000000458</c:v>
                </c:pt>
                <c:pt idx="996">
                  <c:v>-71.408500000000458</c:v>
                </c:pt>
                <c:pt idx="997">
                  <c:v>-71.408500000000458</c:v>
                </c:pt>
                <c:pt idx="998">
                  <c:v>-71.408500000000458</c:v>
                </c:pt>
                <c:pt idx="999">
                  <c:v>-71.408500000000458</c:v>
                </c:pt>
                <c:pt idx="1000">
                  <c:v>-71.408500000000458</c:v>
                </c:pt>
                <c:pt idx="1001">
                  <c:v>-71.408500000000458</c:v>
                </c:pt>
                <c:pt idx="1002">
                  <c:v>-71.408500000000458</c:v>
                </c:pt>
                <c:pt idx="1003">
                  <c:v>-71.408500000000458</c:v>
                </c:pt>
                <c:pt idx="1004">
                  <c:v>-71.408500000000458</c:v>
                </c:pt>
                <c:pt idx="1005">
                  <c:v>-71.408500000000458</c:v>
                </c:pt>
                <c:pt idx="1006">
                  <c:v>-71.408500000000458</c:v>
                </c:pt>
                <c:pt idx="1007">
                  <c:v>-71.408500000000458</c:v>
                </c:pt>
                <c:pt idx="1008">
                  <c:v>-71.408500000000458</c:v>
                </c:pt>
                <c:pt idx="1009">
                  <c:v>-71.408500000000458</c:v>
                </c:pt>
                <c:pt idx="1010">
                  <c:v>-71.408500000000458</c:v>
                </c:pt>
                <c:pt idx="1011">
                  <c:v>-71.408500000000458</c:v>
                </c:pt>
                <c:pt idx="1012">
                  <c:v>-71.408500000000458</c:v>
                </c:pt>
                <c:pt idx="1013">
                  <c:v>-71.408500000000458</c:v>
                </c:pt>
                <c:pt idx="1014">
                  <c:v>-71.408500000000458</c:v>
                </c:pt>
                <c:pt idx="1015">
                  <c:v>-71.408500000000458</c:v>
                </c:pt>
                <c:pt idx="1016">
                  <c:v>-71.408500000000458</c:v>
                </c:pt>
                <c:pt idx="1017">
                  <c:v>-71.408500000000458</c:v>
                </c:pt>
                <c:pt idx="1018">
                  <c:v>-71.408500000000458</c:v>
                </c:pt>
                <c:pt idx="1019">
                  <c:v>-71.408500000000458</c:v>
                </c:pt>
                <c:pt idx="1020">
                  <c:v>-71.408500000000458</c:v>
                </c:pt>
                <c:pt idx="1021">
                  <c:v>-71.408500000000458</c:v>
                </c:pt>
                <c:pt idx="1022">
                  <c:v>-71.408500000000458</c:v>
                </c:pt>
                <c:pt idx="1023">
                  <c:v>-71.408500000000458</c:v>
                </c:pt>
                <c:pt idx="1024">
                  <c:v>-71.408500000000458</c:v>
                </c:pt>
                <c:pt idx="1025">
                  <c:v>-71.408500000000458</c:v>
                </c:pt>
                <c:pt idx="1026">
                  <c:v>-71.408500000000458</c:v>
                </c:pt>
                <c:pt idx="1027">
                  <c:v>-71.408500000000458</c:v>
                </c:pt>
                <c:pt idx="1028">
                  <c:v>-71.408500000000458</c:v>
                </c:pt>
                <c:pt idx="1029">
                  <c:v>-71.408500000000458</c:v>
                </c:pt>
                <c:pt idx="1030">
                  <c:v>-71.408500000000458</c:v>
                </c:pt>
                <c:pt idx="1031">
                  <c:v>-71.408500000000458</c:v>
                </c:pt>
                <c:pt idx="1032">
                  <c:v>-71.408500000000458</c:v>
                </c:pt>
                <c:pt idx="1033">
                  <c:v>-71.408500000000458</c:v>
                </c:pt>
                <c:pt idx="1034">
                  <c:v>-71.408500000000458</c:v>
                </c:pt>
                <c:pt idx="1035">
                  <c:v>-71.408500000000458</c:v>
                </c:pt>
                <c:pt idx="1036">
                  <c:v>-71.408500000000458</c:v>
                </c:pt>
                <c:pt idx="1037">
                  <c:v>-71.408500000000458</c:v>
                </c:pt>
                <c:pt idx="1038">
                  <c:v>-71.408500000000458</c:v>
                </c:pt>
                <c:pt idx="1039">
                  <c:v>-71.408500000000458</c:v>
                </c:pt>
                <c:pt idx="1040">
                  <c:v>-71.408500000000458</c:v>
                </c:pt>
                <c:pt idx="1041">
                  <c:v>-71.408500000000458</c:v>
                </c:pt>
                <c:pt idx="1042">
                  <c:v>-71.408500000000458</c:v>
                </c:pt>
                <c:pt idx="1043">
                  <c:v>-71.408500000000458</c:v>
                </c:pt>
                <c:pt idx="1044">
                  <c:v>-71.408500000000458</c:v>
                </c:pt>
                <c:pt idx="1045">
                  <c:v>-71.408500000000458</c:v>
                </c:pt>
                <c:pt idx="1046">
                  <c:v>-71.408500000000458</c:v>
                </c:pt>
                <c:pt idx="1047">
                  <c:v>-71.408500000000458</c:v>
                </c:pt>
                <c:pt idx="1048">
                  <c:v>-71.408500000000458</c:v>
                </c:pt>
                <c:pt idx="1049">
                  <c:v>-71.408500000000458</c:v>
                </c:pt>
                <c:pt idx="1050">
                  <c:v>-71.408500000000458</c:v>
                </c:pt>
                <c:pt idx="1051">
                  <c:v>-71.408500000000458</c:v>
                </c:pt>
                <c:pt idx="1052">
                  <c:v>-71.408500000000458</c:v>
                </c:pt>
                <c:pt idx="1053">
                  <c:v>-71.408500000000458</c:v>
                </c:pt>
                <c:pt idx="1054">
                  <c:v>-71.408500000000458</c:v>
                </c:pt>
                <c:pt idx="1055">
                  <c:v>-71.408500000000458</c:v>
                </c:pt>
                <c:pt idx="1056">
                  <c:v>-71.408500000000458</c:v>
                </c:pt>
                <c:pt idx="1057">
                  <c:v>-71.408500000000458</c:v>
                </c:pt>
                <c:pt idx="1058">
                  <c:v>-71.408500000000458</c:v>
                </c:pt>
                <c:pt idx="1059">
                  <c:v>-71.408500000000458</c:v>
                </c:pt>
                <c:pt idx="1060">
                  <c:v>-71.408500000000458</c:v>
                </c:pt>
                <c:pt idx="1061">
                  <c:v>-71.408500000000458</c:v>
                </c:pt>
                <c:pt idx="1062">
                  <c:v>-71.408500000000458</c:v>
                </c:pt>
                <c:pt idx="1063">
                  <c:v>-71.408500000000458</c:v>
                </c:pt>
                <c:pt idx="1064">
                  <c:v>-71.408500000000458</c:v>
                </c:pt>
                <c:pt idx="1065">
                  <c:v>-71.408500000000458</c:v>
                </c:pt>
                <c:pt idx="1066">
                  <c:v>-71.408500000000458</c:v>
                </c:pt>
                <c:pt idx="1067">
                  <c:v>-71.408500000000458</c:v>
                </c:pt>
                <c:pt idx="1068">
                  <c:v>-71.408500000000458</c:v>
                </c:pt>
                <c:pt idx="1069">
                  <c:v>-71.408500000000458</c:v>
                </c:pt>
                <c:pt idx="1070">
                  <c:v>-71.408500000000458</c:v>
                </c:pt>
                <c:pt idx="1071">
                  <c:v>-71.408500000000458</c:v>
                </c:pt>
                <c:pt idx="1072">
                  <c:v>-71.408500000000458</c:v>
                </c:pt>
                <c:pt idx="1073">
                  <c:v>-71.408500000000458</c:v>
                </c:pt>
                <c:pt idx="1074">
                  <c:v>-71.408500000000458</c:v>
                </c:pt>
                <c:pt idx="1075">
                  <c:v>-71.408500000000458</c:v>
                </c:pt>
                <c:pt idx="1076">
                  <c:v>-71.408500000000458</c:v>
                </c:pt>
                <c:pt idx="1077">
                  <c:v>-71.408500000000458</c:v>
                </c:pt>
                <c:pt idx="1078">
                  <c:v>-71.408500000000458</c:v>
                </c:pt>
                <c:pt idx="1079">
                  <c:v>-71.408500000000458</c:v>
                </c:pt>
                <c:pt idx="1080">
                  <c:v>-71.408500000000458</c:v>
                </c:pt>
                <c:pt idx="1081">
                  <c:v>-71.408500000000458</c:v>
                </c:pt>
                <c:pt idx="1082">
                  <c:v>-71.408500000000458</c:v>
                </c:pt>
                <c:pt idx="1083">
                  <c:v>-71.408500000000458</c:v>
                </c:pt>
                <c:pt idx="1084">
                  <c:v>-71.408500000000458</c:v>
                </c:pt>
                <c:pt idx="1085">
                  <c:v>-71.408500000000458</c:v>
                </c:pt>
                <c:pt idx="1086">
                  <c:v>-71.408500000000458</c:v>
                </c:pt>
                <c:pt idx="1087">
                  <c:v>-71.408500000000458</c:v>
                </c:pt>
                <c:pt idx="1088">
                  <c:v>-71.408500000000458</c:v>
                </c:pt>
                <c:pt idx="1089">
                  <c:v>-71.408500000000458</c:v>
                </c:pt>
                <c:pt idx="1090">
                  <c:v>-71.408500000000458</c:v>
                </c:pt>
                <c:pt idx="1091">
                  <c:v>-71.408500000000458</c:v>
                </c:pt>
                <c:pt idx="1092">
                  <c:v>-71.408500000000458</c:v>
                </c:pt>
                <c:pt idx="1093">
                  <c:v>-71.408500000000458</c:v>
                </c:pt>
                <c:pt idx="1094">
                  <c:v>-71.408500000000458</c:v>
                </c:pt>
                <c:pt idx="1095">
                  <c:v>-71.408500000000458</c:v>
                </c:pt>
                <c:pt idx="1096">
                  <c:v>-71.408500000000458</c:v>
                </c:pt>
                <c:pt idx="1097">
                  <c:v>-71.408500000000458</c:v>
                </c:pt>
                <c:pt idx="1098">
                  <c:v>-71.408500000000458</c:v>
                </c:pt>
                <c:pt idx="1099">
                  <c:v>-71.408500000000458</c:v>
                </c:pt>
                <c:pt idx="1100">
                  <c:v>-71.408500000000458</c:v>
                </c:pt>
                <c:pt idx="1101">
                  <c:v>-71.408500000000458</c:v>
                </c:pt>
                <c:pt idx="1102">
                  <c:v>-71.408500000000458</c:v>
                </c:pt>
                <c:pt idx="1103">
                  <c:v>-71.408500000000458</c:v>
                </c:pt>
                <c:pt idx="1104">
                  <c:v>-71.408500000000458</c:v>
                </c:pt>
                <c:pt idx="1105">
                  <c:v>-71.408500000000458</c:v>
                </c:pt>
                <c:pt idx="1106">
                  <c:v>-71.408500000000458</c:v>
                </c:pt>
                <c:pt idx="1107">
                  <c:v>-71.408500000000458</c:v>
                </c:pt>
                <c:pt idx="1108">
                  <c:v>-71.408500000000458</c:v>
                </c:pt>
                <c:pt idx="1109">
                  <c:v>-71.408500000000458</c:v>
                </c:pt>
                <c:pt idx="1110">
                  <c:v>-71.408500000000458</c:v>
                </c:pt>
                <c:pt idx="1111">
                  <c:v>-71.408500000000458</c:v>
                </c:pt>
                <c:pt idx="1112">
                  <c:v>-71.408500000000458</c:v>
                </c:pt>
                <c:pt idx="1113">
                  <c:v>-71.408500000000458</c:v>
                </c:pt>
                <c:pt idx="1114">
                  <c:v>-71.408500000000458</c:v>
                </c:pt>
                <c:pt idx="1115">
                  <c:v>-71.408500000000458</c:v>
                </c:pt>
                <c:pt idx="1116">
                  <c:v>-71.408500000000458</c:v>
                </c:pt>
                <c:pt idx="1117">
                  <c:v>-71.408500000000458</c:v>
                </c:pt>
                <c:pt idx="1118">
                  <c:v>-71.408500000000458</c:v>
                </c:pt>
                <c:pt idx="1119">
                  <c:v>-71.408500000000458</c:v>
                </c:pt>
                <c:pt idx="1120">
                  <c:v>-71.408500000000458</c:v>
                </c:pt>
                <c:pt idx="1121">
                  <c:v>-71.408500000000458</c:v>
                </c:pt>
                <c:pt idx="1122">
                  <c:v>-71.408500000000458</c:v>
                </c:pt>
                <c:pt idx="1123">
                  <c:v>-71.408500000000458</c:v>
                </c:pt>
                <c:pt idx="1124">
                  <c:v>-71.408500000000458</c:v>
                </c:pt>
                <c:pt idx="1125">
                  <c:v>-71.408500000000458</c:v>
                </c:pt>
                <c:pt idx="1126">
                  <c:v>-71.408500000000458</c:v>
                </c:pt>
                <c:pt idx="1127">
                  <c:v>-71.408500000000458</c:v>
                </c:pt>
                <c:pt idx="1128">
                  <c:v>-71.408500000000458</c:v>
                </c:pt>
                <c:pt idx="1129">
                  <c:v>-71.408500000000458</c:v>
                </c:pt>
                <c:pt idx="1130">
                  <c:v>-71.408500000000458</c:v>
                </c:pt>
                <c:pt idx="1131">
                  <c:v>-71.408500000000458</c:v>
                </c:pt>
                <c:pt idx="1132">
                  <c:v>-71.408500000000458</c:v>
                </c:pt>
                <c:pt idx="1133">
                  <c:v>-71.408500000000458</c:v>
                </c:pt>
                <c:pt idx="1134">
                  <c:v>-71.408500000000458</c:v>
                </c:pt>
                <c:pt idx="1135">
                  <c:v>-71.408500000000458</c:v>
                </c:pt>
                <c:pt idx="1136">
                  <c:v>-71.408500000000458</c:v>
                </c:pt>
                <c:pt idx="1137">
                  <c:v>-71.408500000000458</c:v>
                </c:pt>
                <c:pt idx="1138">
                  <c:v>-71.408500000000458</c:v>
                </c:pt>
                <c:pt idx="1139">
                  <c:v>-71.408500000000458</c:v>
                </c:pt>
                <c:pt idx="1140">
                  <c:v>-71.408500000000458</c:v>
                </c:pt>
                <c:pt idx="1141">
                  <c:v>-71.408500000000458</c:v>
                </c:pt>
                <c:pt idx="1142">
                  <c:v>-71.408500000000458</c:v>
                </c:pt>
                <c:pt idx="1143">
                  <c:v>-71.408500000000458</c:v>
                </c:pt>
                <c:pt idx="1144">
                  <c:v>-71.408500000000458</c:v>
                </c:pt>
                <c:pt idx="1145">
                  <c:v>-71.408500000000458</c:v>
                </c:pt>
                <c:pt idx="1146">
                  <c:v>-71.408500000000458</c:v>
                </c:pt>
                <c:pt idx="1147">
                  <c:v>-71.408500000000458</c:v>
                </c:pt>
                <c:pt idx="1148">
                  <c:v>-71.408500000000458</c:v>
                </c:pt>
                <c:pt idx="1149">
                  <c:v>-71.408500000000458</c:v>
                </c:pt>
                <c:pt idx="1150">
                  <c:v>-71.408500000000458</c:v>
                </c:pt>
                <c:pt idx="1151">
                  <c:v>-71.408500000000458</c:v>
                </c:pt>
                <c:pt idx="1152">
                  <c:v>-71.408500000000458</c:v>
                </c:pt>
                <c:pt idx="1153">
                  <c:v>-71.408500000000458</c:v>
                </c:pt>
                <c:pt idx="1154">
                  <c:v>-71.408500000000458</c:v>
                </c:pt>
                <c:pt idx="1155">
                  <c:v>-71.408500000000458</c:v>
                </c:pt>
                <c:pt idx="1156">
                  <c:v>-71.408500000000458</c:v>
                </c:pt>
                <c:pt idx="1157">
                  <c:v>-71.408500000000458</c:v>
                </c:pt>
                <c:pt idx="1158">
                  <c:v>-71.408500000000458</c:v>
                </c:pt>
                <c:pt idx="1159">
                  <c:v>-71.408500000000458</c:v>
                </c:pt>
                <c:pt idx="1160">
                  <c:v>-71.408500000000458</c:v>
                </c:pt>
                <c:pt idx="1161">
                  <c:v>-71.408500000000458</c:v>
                </c:pt>
                <c:pt idx="1162">
                  <c:v>-71.408500000000458</c:v>
                </c:pt>
                <c:pt idx="1163">
                  <c:v>-71.408500000000458</c:v>
                </c:pt>
                <c:pt idx="1164">
                  <c:v>-71.408500000000458</c:v>
                </c:pt>
                <c:pt idx="1165">
                  <c:v>-71.408500000000458</c:v>
                </c:pt>
                <c:pt idx="1166">
                  <c:v>-71.408500000000458</c:v>
                </c:pt>
                <c:pt idx="1167">
                  <c:v>-71.408500000000458</c:v>
                </c:pt>
                <c:pt idx="1168">
                  <c:v>-71.408500000000458</c:v>
                </c:pt>
                <c:pt idx="1169">
                  <c:v>-71.408500000000458</c:v>
                </c:pt>
                <c:pt idx="1170">
                  <c:v>-71.408500000000458</c:v>
                </c:pt>
                <c:pt idx="1171">
                  <c:v>-71.408500000000458</c:v>
                </c:pt>
                <c:pt idx="1172">
                  <c:v>-71.408500000000458</c:v>
                </c:pt>
                <c:pt idx="1173">
                  <c:v>-71.408500000000458</c:v>
                </c:pt>
                <c:pt idx="1174">
                  <c:v>-71.408500000000458</c:v>
                </c:pt>
                <c:pt idx="1175">
                  <c:v>-71.408500000000458</c:v>
                </c:pt>
                <c:pt idx="1176">
                  <c:v>-71.408500000000458</c:v>
                </c:pt>
                <c:pt idx="1177">
                  <c:v>-71.408500000000458</c:v>
                </c:pt>
                <c:pt idx="1178">
                  <c:v>-71.408500000000458</c:v>
                </c:pt>
                <c:pt idx="1179">
                  <c:v>-71.408500000000458</c:v>
                </c:pt>
                <c:pt idx="1180">
                  <c:v>-71.408500000000458</c:v>
                </c:pt>
                <c:pt idx="1181">
                  <c:v>-71.408500000000458</c:v>
                </c:pt>
                <c:pt idx="1182">
                  <c:v>-71.408500000000458</c:v>
                </c:pt>
                <c:pt idx="1183">
                  <c:v>-71.408500000000458</c:v>
                </c:pt>
                <c:pt idx="1184">
                  <c:v>-71.408500000000458</c:v>
                </c:pt>
                <c:pt idx="1185">
                  <c:v>-71.408500000000458</c:v>
                </c:pt>
                <c:pt idx="1186">
                  <c:v>-71.408500000000458</c:v>
                </c:pt>
                <c:pt idx="1187">
                  <c:v>-71.408500000000458</c:v>
                </c:pt>
                <c:pt idx="1188">
                  <c:v>-71.408500000000458</c:v>
                </c:pt>
                <c:pt idx="1189">
                  <c:v>-71.408500000000458</c:v>
                </c:pt>
                <c:pt idx="1190">
                  <c:v>-71.408500000000458</c:v>
                </c:pt>
                <c:pt idx="1191">
                  <c:v>-71.408500000000458</c:v>
                </c:pt>
                <c:pt idx="1192">
                  <c:v>-71.408500000000458</c:v>
                </c:pt>
                <c:pt idx="1193">
                  <c:v>-71.408500000000458</c:v>
                </c:pt>
                <c:pt idx="1194">
                  <c:v>-71.408500000000458</c:v>
                </c:pt>
                <c:pt idx="1195">
                  <c:v>-71.408500000000458</c:v>
                </c:pt>
                <c:pt idx="1196">
                  <c:v>-71.408500000000458</c:v>
                </c:pt>
                <c:pt idx="1197">
                  <c:v>-71.408500000000458</c:v>
                </c:pt>
                <c:pt idx="1198">
                  <c:v>-71.408500000000458</c:v>
                </c:pt>
                <c:pt idx="1199">
                  <c:v>-71.408500000000458</c:v>
                </c:pt>
                <c:pt idx="1200">
                  <c:v>-71.408500000000458</c:v>
                </c:pt>
                <c:pt idx="1201">
                  <c:v>-71.408500000000458</c:v>
                </c:pt>
                <c:pt idx="1202">
                  <c:v>-71.408500000000458</c:v>
                </c:pt>
                <c:pt idx="1203">
                  <c:v>-71.408500000000458</c:v>
                </c:pt>
                <c:pt idx="1204">
                  <c:v>-71.408500000000458</c:v>
                </c:pt>
                <c:pt idx="1205">
                  <c:v>-71.408500000000458</c:v>
                </c:pt>
                <c:pt idx="1206">
                  <c:v>-71.408500000000458</c:v>
                </c:pt>
                <c:pt idx="1207">
                  <c:v>-71.408500000000458</c:v>
                </c:pt>
                <c:pt idx="1208">
                  <c:v>-71.408500000000458</c:v>
                </c:pt>
                <c:pt idx="1209">
                  <c:v>-71.408500000000458</c:v>
                </c:pt>
                <c:pt idx="1210">
                  <c:v>-71.408500000000458</c:v>
                </c:pt>
                <c:pt idx="1211">
                  <c:v>-71.408500000000458</c:v>
                </c:pt>
                <c:pt idx="1212">
                  <c:v>-71.408500000000458</c:v>
                </c:pt>
                <c:pt idx="1213">
                  <c:v>-71.408500000000458</c:v>
                </c:pt>
                <c:pt idx="1214">
                  <c:v>-71.408500000000458</c:v>
                </c:pt>
                <c:pt idx="1215">
                  <c:v>-71.408500000000458</c:v>
                </c:pt>
                <c:pt idx="1216">
                  <c:v>-71.408500000000458</c:v>
                </c:pt>
                <c:pt idx="1217">
                  <c:v>-71.408500000000458</c:v>
                </c:pt>
                <c:pt idx="1218">
                  <c:v>-71.408500000000458</c:v>
                </c:pt>
                <c:pt idx="1219">
                  <c:v>-71.408500000000458</c:v>
                </c:pt>
                <c:pt idx="1220">
                  <c:v>-71.408500000000458</c:v>
                </c:pt>
                <c:pt idx="1221">
                  <c:v>-71.408500000000458</c:v>
                </c:pt>
                <c:pt idx="1222">
                  <c:v>-71.408500000000458</c:v>
                </c:pt>
                <c:pt idx="1223">
                  <c:v>-71.408500000000458</c:v>
                </c:pt>
                <c:pt idx="1224">
                  <c:v>-71.408500000000458</c:v>
                </c:pt>
                <c:pt idx="1225">
                  <c:v>-71.408500000000458</c:v>
                </c:pt>
                <c:pt idx="1226">
                  <c:v>-71.408500000000458</c:v>
                </c:pt>
                <c:pt idx="1227">
                  <c:v>-71.408500000000458</c:v>
                </c:pt>
                <c:pt idx="1228">
                  <c:v>-71.408500000000458</c:v>
                </c:pt>
                <c:pt idx="1229">
                  <c:v>-71.408500000000458</c:v>
                </c:pt>
                <c:pt idx="1230">
                  <c:v>-71.408500000000458</c:v>
                </c:pt>
                <c:pt idx="1231">
                  <c:v>-71.408500000000458</c:v>
                </c:pt>
                <c:pt idx="1232">
                  <c:v>-71.408500000000458</c:v>
                </c:pt>
                <c:pt idx="1233">
                  <c:v>-71.408500000000458</c:v>
                </c:pt>
                <c:pt idx="1234">
                  <c:v>-71.408500000000458</c:v>
                </c:pt>
                <c:pt idx="1235">
                  <c:v>-71.408500000000458</c:v>
                </c:pt>
                <c:pt idx="1236">
                  <c:v>-71.408500000000458</c:v>
                </c:pt>
                <c:pt idx="1237">
                  <c:v>-71.408500000000458</c:v>
                </c:pt>
                <c:pt idx="1238">
                  <c:v>-71.408500000000458</c:v>
                </c:pt>
                <c:pt idx="1239">
                  <c:v>-71.408500000000458</c:v>
                </c:pt>
                <c:pt idx="1240">
                  <c:v>-71.408500000000458</c:v>
                </c:pt>
                <c:pt idx="1241">
                  <c:v>-71.408500000000458</c:v>
                </c:pt>
                <c:pt idx="1242">
                  <c:v>-71.408500000000458</c:v>
                </c:pt>
                <c:pt idx="1243">
                  <c:v>-71.408500000000458</c:v>
                </c:pt>
                <c:pt idx="1244">
                  <c:v>-71.408500000000458</c:v>
                </c:pt>
                <c:pt idx="1245">
                  <c:v>-71.408500000000458</c:v>
                </c:pt>
                <c:pt idx="1246">
                  <c:v>-71.408500000000458</c:v>
                </c:pt>
                <c:pt idx="1247">
                  <c:v>-71.408500000000458</c:v>
                </c:pt>
                <c:pt idx="1248">
                  <c:v>-71.408500000000458</c:v>
                </c:pt>
                <c:pt idx="1249">
                  <c:v>-71.408500000000458</c:v>
                </c:pt>
                <c:pt idx="1250">
                  <c:v>-71.408500000000458</c:v>
                </c:pt>
                <c:pt idx="1251">
                  <c:v>-71.408500000000458</c:v>
                </c:pt>
                <c:pt idx="1252">
                  <c:v>-71.408500000000458</c:v>
                </c:pt>
                <c:pt idx="1253">
                  <c:v>-71.408500000000458</c:v>
                </c:pt>
                <c:pt idx="1254">
                  <c:v>-71.408500000000458</c:v>
                </c:pt>
                <c:pt idx="1255">
                  <c:v>-71.408500000000458</c:v>
                </c:pt>
                <c:pt idx="1256">
                  <c:v>-71.408500000000458</c:v>
                </c:pt>
                <c:pt idx="1257">
                  <c:v>-71.408500000000458</c:v>
                </c:pt>
                <c:pt idx="1258">
                  <c:v>-71.408500000000458</c:v>
                </c:pt>
                <c:pt idx="1259">
                  <c:v>-71.408500000000458</c:v>
                </c:pt>
                <c:pt idx="1260">
                  <c:v>-71.408500000000458</c:v>
                </c:pt>
                <c:pt idx="1261">
                  <c:v>-71.408500000000458</c:v>
                </c:pt>
                <c:pt idx="1262">
                  <c:v>-71.408500000000458</c:v>
                </c:pt>
                <c:pt idx="1263">
                  <c:v>-71.408500000000458</c:v>
                </c:pt>
                <c:pt idx="1264">
                  <c:v>-71.408500000000458</c:v>
                </c:pt>
                <c:pt idx="1265">
                  <c:v>-71.408500000000458</c:v>
                </c:pt>
                <c:pt idx="1266">
                  <c:v>-71.408500000000458</c:v>
                </c:pt>
                <c:pt idx="1267">
                  <c:v>-71.408500000000458</c:v>
                </c:pt>
                <c:pt idx="1268">
                  <c:v>-71.408500000000458</c:v>
                </c:pt>
                <c:pt idx="1269">
                  <c:v>-71.408500000000458</c:v>
                </c:pt>
                <c:pt idx="1270">
                  <c:v>-71.408500000000458</c:v>
                </c:pt>
                <c:pt idx="1271">
                  <c:v>-71.408500000000458</c:v>
                </c:pt>
                <c:pt idx="1272">
                  <c:v>-71.408500000000458</c:v>
                </c:pt>
                <c:pt idx="1273">
                  <c:v>-71.408500000000458</c:v>
                </c:pt>
                <c:pt idx="1274">
                  <c:v>-71.408500000000458</c:v>
                </c:pt>
                <c:pt idx="1275">
                  <c:v>-71.408500000000458</c:v>
                </c:pt>
                <c:pt idx="1276">
                  <c:v>-71.408500000000458</c:v>
                </c:pt>
                <c:pt idx="1277">
                  <c:v>-71.408500000000458</c:v>
                </c:pt>
                <c:pt idx="1278">
                  <c:v>-71.408500000000458</c:v>
                </c:pt>
                <c:pt idx="1279">
                  <c:v>-71.408500000000458</c:v>
                </c:pt>
                <c:pt idx="1280">
                  <c:v>-71.408500000000458</c:v>
                </c:pt>
                <c:pt idx="1281">
                  <c:v>-71.408500000000458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00-40CA-A96B-4DD3E67A72F4}"/>
            </c:ext>
          </c:extLst>
        </c:ser>
        <c:ser>
          <c:idx val="2"/>
          <c:order val="2"/>
          <c:tx>
            <c:strRef>
              <c:f>历史数据!$H$1</c:f>
              <c:strCache>
                <c:ptCount val="1"/>
                <c:pt idx="0">
                  <c:v>置信区间下限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历史数据!$B$2:$B$3390</c:f>
              <c:numCache>
                <c:formatCode>yyyy\-mm\-dd</c:formatCode>
                <c:ptCount val="3389"/>
                <c:pt idx="0">
                  <c:v>43467</c:v>
                </c:pt>
                <c:pt idx="1">
                  <c:v>43468</c:v>
                </c:pt>
                <c:pt idx="2">
                  <c:v>43469</c:v>
                </c:pt>
                <c:pt idx="3">
                  <c:v>43472</c:v>
                </c:pt>
                <c:pt idx="4">
                  <c:v>43473</c:v>
                </c:pt>
                <c:pt idx="5">
                  <c:v>43474</c:v>
                </c:pt>
                <c:pt idx="6">
                  <c:v>43475</c:v>
                </c:pt>
                <c:pt idx="7">
                  <c:v>43476</c:v>
                </c:pt>
                <c:pt idx="8">
                  <c:v>43479</c:v>
                </c:pt>
                <c:pt idx="9">
                  <c:v>43480</c:v>
                </c:pt>
                <c:pt idx="10">
                  <c:v>43481</c:v>
                </c:pt>
                <c:pt idx="11">
                  <c:v>43482</c:v>
                </c:pt>
                <c:pt idx="12">
                  <c:v>43483</c:v>
                </c:pt>
                <c:pt idx="13">
                  <c:v>43486</c:v>
                </c:pt>
                <c:pt idx="14">
                  <c:v>43487</c:v>
                </c:pt>
                <c:pt idx="15">
                  <c:v>43488</c:v>
                </c:pt>
                <c:pt idx="16">
                  <c:v>43489</c:v>
                </c:pt>
                <c:pt idx="17">
                  <c:v>43490</c:v>
                </c:pt>
                <c:pt idx="18">
                  <c:v>43493</c:v>
                </c:pt>
                <c:pt idx="19">
                  <c:v>43494</c:v>
                </c:pt>
                <c:pt idx="20">
                  <c:v>43495</c:v>
                </c:pt>
                <c:pt idx="21">
                  <c:v>43496</c:v>
                </c:pt>
                <c:pt idx="22">
                  <c:v>43497</c:v>
                </c:pt>
                <c:pt idx="23">
                  <c:v>43507</c:v>
                </c:pt>
                <c:pt idx="24">
                  <c:v>43508</c:v>
                </c:pt>
                <c:pt idx="25">
                  <c:v>43509</c:v>
                </c:pt>
                <c:pt idx="26">
                  <c:v>43510</c:v>
                </c:pt>
                <c:pt idx="27">
                  <c:v>43511</c:v>
                </c:pt>
                <c:pt idx="28">
                  <c:v>43514</c:v>
                </c:pt>
                <c:pt idx="29">
                  <c:v>43515</c:v>
                </c:pt>
                <c:pt idx="30">
                  <c:v>43516</c:v>
                </c:pt>
                <c:pt idx="31">
                  <c:v>43517</c:v>
                </c:pt>
                <c:pt idx="32">
                  <c:v>43518</c:v>
                </c:pt>
                <c:pt idx="33">
                  <c:v>43521</c:v>
                </c:pt>
                <c:pt idx="34">
                  <c:v>43522</c:v>
                </c:pt>
                <c:pt idx="35">
                  <c:v>43523</c:v>
                </c:pt>
                <c:pt idx="36">
                  <c:v>43524</c:v>
                </c:pt>
                <c:pt idx="37">
                  <c:v>43525</c:v>
                </c:pt>
                <c:pt idx="38">
                  <c:v>43528</c:v>
                </c:pt>
                <c:pt idx="39">
                  <c:v>43529</c:v>
                </c:pt>
                <c:pt idx="40">
                  <c:v>43530</c:v>
                </c:pt>
                <c:pt idx="41">
                  <c:v>43531</c:v>
                </c:pt>
                <c:pt idx="42">
                  <c:v>43532</c:v>
                </c:pt>
                <c:pt idx="43">
                  <c:v>43535</c:v>
                </c:pt>
                <c:pt idx="44">
                  <c:v>43536</c:v>
                </c:pt>
                <c:pt idx="45">
                  <c:v>43537</c:v>
                </c:pt>
                <c:pt idx="46">
                  <c:v>43538</c:v>
                </c:pt>
                <c:pt idx="47">
                  <c:v>43539</c:v>
                </c:pt>
                <c:pt idx="48">
                  <c:v>43542</c:v>
                </c:pt>
                <c:pt idx="49">
                  <c:v>43543</c:v>
                </c:pt>
                <c:pt idx="50">
                  <c:v>43544</c:v>
                </c:pt>
                <c:pt idx="51">
                  <c:v>43545</c:v>
                </c:pt>
                <c:pt idx="52">
                  <c:v>43546</c:v>
                </c:pt>
                <c:pt idx="53">
                  <c:v>43549</c:v>
                </c:pt>
                <c:pt idx="54">
                  <c:v>43550</c:v>
                </c:pt>
                <c:pt idx="55">
                  <c:v>43551</c:v>
                </c:pt>
                <c:pt idx="56">
                  <c:v>43552</c:v>
                </c:pt>
                <c:pt idx="57">
                  <c:v>43553</c:v>
                </c:pt>
                <c:pt idx="58">
                  <c:v>43556</c:v>
                </c:pt>
                <c:pt idx="59">
                  <c:v>43557</c:v>
                </c:pt>
                <c:pt idx="60">
                  <c:v>43558</c:v>
                </c:pt>
                <c:pt idx="61">
                  <c:v>43559</c:v>
                </c:pt>
                <c:pt idx="62">
                  <c:v>43563</c:v>
                </c:pt>
                <c:pt idx="63">
                  <c:v>43564</c:v>
                </c:pt>
                <c:pt idx="64">
                  <c:v>43565</c:v>
                </c:pt>
                <c:pt idx="65">
                  <c:v>43566</c:v>
                </c:pt>
                <c:pt idx="66">
                  <c:v>43567</c:v>
                </c:pt>
                <c:pt idx="67">
                  <c:v>43570</c:v>
                </c:pt>
                <c:pt idx="68">
                  <c:v>43571</c:v>
                </c:pt>
                <c:pt idx="69">
                  <c:v>43572</c:v>
                </c:pt>
                <c:pt idx="70">
                  <c:v>43573</c:v>
                </c:pt>
                <c:pt idx="71">
                  <c:v>43574</c:v>
                </c:pt>
                <c:pt idx="72">
                  <c:v>43577</c:v>
                </c:pt>
                <c:pt idx="73">
                  <c:v>43578</c:v>
                </c:pt>
                <c:pt idx="74">
                  <c:v>43579</c:v>
                </c:pt>
                <c:pt idx="75">
                  <c:v>43580</c:v>
                </c:pt>
                <c:pt idx="76">
                  <c:v>43581</c:v>
                </c:pt>
                <c:pt idx="77">
                  <c:v>43584</c:v>
                </c:pt>
                <c:pt idx="78">
                  <c:v>43585</c:v>
                </c:pt>
                <c:pt idx="79">
                  <c:v>43591</c:v>
                </c:pt>
                <c:pt idx="80">
                  <c:v>43592</c:v>
                </c:pt>
                <c:pt idx="81">
                  <c:v>43593</c:v>
                </c:pt>
                <c:pt idx="82">
                  <c:v>43594</c:v>
                </c:pt>
                <c:pt idx="83">
                  <c:v>43595</c:v>
                </c:pt>
                <c:pt idx="84">
                  <c:v>43598</c:v>
                </c:pt>
                <c:pt idx="85">
                  <c:v>43599</c:v>
                </c:pt>
                <c:pt idx="86">
                  <c:v>43600</c:v>
                </c:pt>
                <c:pt idx="87">
                  <c:v>43601</c:v>
                </c:pt>
                <c:pt idx="88">
                  <c:v>43602</c:v>
                </c:pt>
                <c:pt idx="89">
                  <c:v>43605</c:v>
                </c:pt>
                <c:pt idx="90">
                  <c:v>43606</c:v>
                </c:pt>
                <c:pt idx="91">
                  <c:v>43607</c:v>
                </c:pt>
                <c:pt idx="92">
                  <c:v>43608</c:v>
                </c:pt>
                <c:pt idx="93">
                  <c:v>43609</c:v>
                </c:pt>
                <c:pt idx="94">
                  <c:v>43612</c:v>
                </c:pt>
                <c:pt idx="95">
                  <c:v>43613</c:v>
                </c:pt>
                <c:pt idx="96">
                  <c:v>43614</c:v>
                </c:pt>
                <c:pt idx="97">
                  <c:v>43615</c:v>
                </c:pt>
                <c:pt idx="98">
                  <c:v>43616</c:v>
                </c:pt>
                <c:pt idx="99">
                  <c:v>43619</c:v>
                </c:pt>
                <c:pt idx="100">
                  <c:v>43620</c:v>
                </c:pt>
                <c:pt idx="101">
                  <c:v>43621</c:v>
                </c:pt>
                <c:pt idx="102">
                  <c:v>43622</c:v>
                </c:pt>
                <c:pt idx="103">
                  <c:v>43626</c:v>
                </c:pt>
                <c:pt idx="104">
                  <c:v>43627</c:v>
                </c:pt>
                <c:pt idx="105">
                  <c:v>43628</c:v>
                </c:pt>
                <c:pt idx="106">
                  <c:v>43629</c:v>
                </c:pt>
                <c:pt idx="107">
                  <c:v>43630</c:v>
                </c:pt>
                <c:pt idx="108">
                  <c:v>43633</c:v>
                </c:pt>
                <c:pt idx="109">
                  <c:v>43634</c:v>
                </c:pt>
                <c:pt idx="110">
                  <c:v>43635</c:v>
                </c:pt>
                <c:pt idx="111">
                  <c:v>43636</c:v>
                </c:pt>
                <c:pt idx="112">
                  <c:v>43637</c:v>
                </c:pt>
                <c:pt idx="113">
                  <c:v>43640</c:v>
                </c:pt>
                <c:pt idx="114">
                  <c:v>43641</c:v>
                </c:pt>
                <c:pt idx="115">
                  <c:v>43642</c:v>
                </c:pt>
                <c:pt idx="116">
                  <c:v>43643</c:v>
                </c:pt>
                <c:pt idx="117">
                  <c:v>43644</c:v>
                </c:pt>
                <c:pt idx="118">
                  <c:v>43647</c:v>
                </c:pt>
                <c:pt idx="119">
                  <c:v>43648</c:v>
                </c:pt>
                <c:pt idx="120">
                  <c:v>43649</c:v>
                </c:pt>
                <c:pt idx="121">
                  <c:v>43650</c:v>
                </c:pt>
                <c:pt idx="122">
                  <c:v>43651</c:v>
                </c:pt>
                <c:pt idx="123">
                  <c:v>43654</c:v>
                </c:pt>
                <c:pt idx="124">
                  <c:v>43655</c:v>
                </c:pt>
                <c:pt idx="125">
                  <c:v>43656</c:v>
                </c:pt>
                <c:pt idx="126">
                  <c:v>43657</c:v>
                </c:pt>
                <c:pt idx="127">
                  <c:v>43658</c:v>
                </c:pt>
                <c:pt idx="128">
                  <c:v>43661</c:v>
                </c:pt>
                <c:pt idx="129">
                  <c:v>43662</c:v>
                </c:pt>
                <c:pt idx="130">
                  <c:v>43663</c:v>
                </c:pt>
                <c:pt idx="131">
                  <c:v>43664</c:v>
                </c:pt>
                <c:pt idx="132">
                  <c:v>43665</c:v>
                </c:pt>
                <c:pt idx="133">
                  <c:v>43668</c:v>
                </c:pt>
                <c:pt idx="134">
                  <c:v>43669</c:v>
                </c:pt>
                <c:pt idx="135">
                  <c:v>43670</c:v>
                </c:pt>
                <c:pt idx="136">
                  <c:v>43671</c:v>
                </c:pt>
                <c:pt idx="137">
                  <c:v>43672</c:v>
                </c:pt>
                <c:pt idx="138">
                  <c:v>43675</c:v>
                </c:pt>
                <c:pt idx="139">
                  <c:v>43676</c:v>
                </c:pt>
                <c:pt idx="140">
                  <c:v>43677</c:v>
                </c:pt>
                <c:pt idx="141">
                  <c:v>43678</c:v>
                </c:pt>
                <c:pt idx="142">
                  <c:v>43679</c:v>
                </c:pt>
                <c:pt idx="143">
                  <c:v>43682</c:v>
                </c:pt>
                <c:pt idx="144">
                  <c:v>43683</c:v>
                </c:pt>
                <c:pt idx="145">
                  <c:v>43684</c:v>
                </c:pt>
                <c:pt idx="146">
                  <c:v>43685</c:v>
                </c:pt>
                <c:pt idx="147">
                  <c:v>43686</c:v>
                </c:pt>
                <c:pt idx="148">
                  <c:v>43689</c:v>
                </c:pt>
                <c:pt idx="149">
                  <c:v>43690</c:v>
                </c:pt>
                <c:pt idx="150">
                  <c:v>43691</c:v>
                </c:pt>
                <c:pt idx="151">
                  <c:v>43692</c:v>
                </c:pt>
                <c:pt idx="152">
                  <c:v>43693</c:v>
                </c:pt>
                <c:pt idx="153">
                  <c:v>43696</c:v>
                </c:pt>
                <c:pt idx="154">
                  <c:v>43697</c:v>
                </c:pt>
                <c:pt idx="155">
                  <c:v>43698</c:v>
                </c:pt>
                <c:pt idx="156">
                  <c:v>43699</c:v>
                </c:pt>
                <c:pt idx="157">
                  <c:v>43700</c:v>
                </c:pt>
                <c:pt idx="158">
                  <c:v>43703</c:v>
                </c:pt>
                <c:pt idx="159">
                  <c:v>43704</c:v>
                </c:pt>
                <c:pt idx="160">
                  <c:v>43705</c:v>
                </c:pt>
                <c:pt idx="161">
                  <c:v>43706</c:v>
                </c:pt>
                <c:pt idx="162">
                  <c:v>43707</c:v>
                </c:pt>
                <c:pt idx="163">
                  <c:v>43710</c:v>
                </c:pt>
                <c:pt idx="164">
                  <c:v>43711</c:v>
                </c:pt>
                <c:pt idx="165">
                  <c:v>43712</c:v>
                </c:pt>
                <c:pt idx="166">
                  <c:v>43713</c:v>
                </c:pt>
                <c:pt idx="167">
                  <c:v>43714</c:v>
                </c:pt>
                <c:pt idx="168">
                  <c:v>43717</c:v>
                </c:pt>
                <c:pt idx="169">
                  <c:v>43718</c:v>
                </c:pt>
                <c:pt idx="170">
                  <c:v>43719</c:v>
                </c:pt>
                <c:pt idx="171">
                  <c:v>43720</c:v>
                </c:pt>
                <c:pt idx="172">
                  <c:v>43724</c:v>
                </c:pt>
                <c:pt idx="173">
                  <c:v>43725</c:v>
                </c:pt>
                <c:pt idx="174">
                  <c:v>43726</c:v>
                </c:pt>
                <c:pt idx="175">
                  <c:v>43727</c:v>
                </c:pt>
                <c:pt idx="176">
                  <c:v>43728</c:v>
                </c:pt>
                <c:pt idx="177">
                  <c:v>43731</c:v>
                </c:pt>
                <c:pt idx="178">
                  <c:v>43732</c:v>
                </c:pt>
                <c:pt idx="179">
                  <c:v>43733</c:v>
                </c:pt>
                <c:pt idx="180">
                  <c:v>43734</c:v>
                </c:pt>
                <c:pt idx="181">
                  <c:v>43735</c:v>
                </c:pt>
                <c:pt idx="182">
                  <c:v>43738</c:v>
                </c:pt>
                <c:pt idx="183">
                  <c:v>43746</c:v>
                </c:pt>
                <c:pt idx="184">
                  <c:v>43747</c:v>
                </c:pt>
                <c:pt idx="185">
                  <c:v>43748</c:v>
                </c:pt>
                <c:pt idx="186">
                  <c:v>43749</c:v>
                </c:pt>
                <c:pt idx="187">
                  <c:v>43752</c:v>
                </c:pt>
                <c:pt idx="188">
                  <c:v>43753</c:v>
                </c:pt>
                <c:pt idx="189">
                  <c:v>43754</c:v>
                </c:pt>
                <c:pt idx="190">
                  <c:v>43755</c:v>
                </c:pt>
                <c:pt idx="191">
                  <c:v>43756</c:v>
                </c:pt>
                <c:pt idx="192">
                  <c:v>43759</c:v>
                </c:pt>
                <c:pt idx="193">
                  <c:v>43760</c:v>
                </c:pt>
                <c:pt idx="194">
                  <c:v>43761</c:v>
                </c:pt>
                <c:pt idx="195">
                  <c:v>43762</c:v>
                </c:pt>
                <c:pt idx="196">
                  <c:v>43763</c:v>
                </c:pt>
                <c:pt idx="197">
                  <c:v>43766</c:v>
                </c:pt>
                <c:pt idx="198">
                  <c:v>43767</c:v>
                </c:pt>
                <c:pt idx="199">
                  <c:v>43768</c:v>
                </c:pt>
                <c:pt idx="200">
                  <c:v>43769</c:v>
                </c:pt>
                <c:pt idx="201">
                  <c:v>43770</c:v>
                </c:pt>
                <c:pt idx="202">
                  <c:v>43773</c:v>
                </c:pt>
                <c:pt idx="203">
                  <c:v>43774</c:v>
                </c:pt>
                <c:pt idx="204">
                  <c:v>43775</c:v>
                </c:pt>
                <c:pt idx="205">
                  <c:v>43776</c:v>
                </c:pt>
                <c:pt idx="206">
                  <c:v>43777</c:v>
                </c:pt>
                <c:pt idx="207">
                  <c:v>43780</c:v>
                </c:pt>
                <c:pt idx="208">
                  <c:v>43781</c:v>
                </c:pt>
                <c:pt idx="209">
                  <c:v>43782</c:v>
                </c:pt>
                <c:pt idx="210">
                  <c:v>43783</c:v>
                </c:pt>
                <c:pt idx="211">
                  <c:v>43784</c:v>
                </c:pt>
                <c:pt idx="212">
                  <c:v>43787</c:v>
                </c:pt>
                <c:pt idx="213">
                  <c:v>43788</c:v>
                </c:pt>
                <c:pt idx="214">
                  <c:v>43789</c:v>
                </c:pt>
                <c:pt idx="215">
                  <c:v>43790</c:v>
                </c:pt>
                <c:pt idx="216">
                  <c:v>43791</c:v>
                </c:pt>
                <c:pt idx="217">
                  <c:v>43794</c:v>
                </c:pt>
                <c:pt idx="218">
                  <c:v>43795</c:v>
                </c:pt>
                <c:pt idx="219">
                  <c:v>43796</c:v>
                </c:pt>
                <c:pt idx="220">
                  <c:v>43797</c:v>
                </c:pt>
                <c:pt idx="221">
                  <c:v>43798</c:v>
                </c:pt>
                <c:pt idx="222">
                  <c:v>43801</c:v>
                </c:pt>
                <c:pt idx="223">
                  <c:v>43802</c:v>
                </c:pt>
                <c:pt idx="224">
                  <c:v>43803</c:v>
                </c:pt>
                <c:pt idx="225">
                  <c:v>43804</c:v>
                </c:pt>
                <c:pt idx="226">
                  <c:v>43805</c:v>
                </c:pt>
                <c:pt idx="227">
                  <c:v>43808</c:v>
                </c:pt>
                <c:pt idx="228">
                  <c:v>43809</c:v>
                </c:pt>
                <c:pt idx="229">
                  <c:v>43810</c:v>
                </c:pt>
                <c:pt idx="230">
                  <c:v>43811</c:v>
                </c:pt>
                <c:pt idx="231">
                  <c:v>43812</c:v>
                </c:pt>
                <c:pt idx="232">
                  <c:v>43815</c:v>
                </c:pt>
                <c:pt idx="233">
                  <c:v>43816</c:v>
                </c:pt>
                <c:pt idx="234">
                  <c:v>43817</c:v>
                </c:pt>
                <c:pt idx="235">
                  <c:v>43818</c:v>
                </c:pt>
                <c:pt idx="236">
                  <c:v>43819</c:v>
                </c:pt>
                <c:pt idx="237">
                  <c:v>43822</c:v>
                </c:pt>
                <c:pt idx="238">
                  <c:v>43823</c:v>
                </c:pt>
                <c:pt idx="239">
                  <c:v>43824</c:v>
                </c:pt>
                <c:pt idx="240">
                  <c:v>43825</c:v>
                </c:pt>
                <c:pt idx="241">
                  <c:v>43826</c:v>
                </c:pt>
                <c:pt idx="242">
                  <c:v>43829</c:v>
                </c:pt>
                <c:pt idx="243">
                  <c:v>43830</c:v>
                </c:pt>
                <c:pt idx="244">
                  <c:v>43832</c:v>
                </c:pt>
                <c:pt idx="245">
                  <c:v>43833</c:v>
                </c:pt>
                <c:pt idx="246">
                  <c:v>43836</c:v>
                </c:pt>
                <c:pt idx="247">
                  <c:v>43837</c:v>
                </c:pt>
                <c:pt idx="248">
                  <c:v>43838</c:v>
                </c:pt>
                <c:pt idx="249">
                  <c:v>43839</c:v>
                </c:pt>
                <c:pt idx="250">
                  <c:v>43840</c:v>
                </c:pt>
                <c:pt idx="251">
                  <c:v>43843</c:v>
                </c:pt>
                <c:pt idx="252">
                  <c:v>43844</c:v>
                </c:pt>
                <c:pt idx="253">
                  <c:v>43845</c:v>
                </c:pt>
                <c:pt idx="254">
                  <c:v>43846</c:v>
                </c:pt>
                <c:pt idx="255">
                  <c:v>43847</c:v>
                </c:pt>
                <c:pt idx="256">
                  <c:v>43850</c:v>
                </c:pt>
                <c:pt idx="257">
                  <c:v>43851</c:v>
                </c:pt>
                <c:pt idx="258">
                  <c:v>43852</c:v>
                </c:pt>
                <c:pt idx="259">
                  <c:v>43853</c:v>
                </c:pt>
                <c:pt idx="260">
                  <c:v>43864</c:v>
                </c:pt>
                <c:pt idx="261">
                  <c:v>43865</c:v>
                </c:pt>
                <c:pt idx="262">
                  <c:v>43866</c:v>
                </c:pt>
                <c:pt idx="263">
                  <c:v>43867</c:v>
                </c:pt>
                <c:pt idx="264">
                  <c:v>43868</c:v>
                </c:pt>
                <c:pt idx="265">
                  <c:v>43871</c:v>
                </c:pt>
                <c:pt idx="266">
                  <c:v>43872</c:v>
                </c:pt>
                <c:pt idx="267">
                  <c:v>43873</c:v>
                </c:pt>
                <c:pt idx="268">
                  <c:v>43874</c:v>
                </c:pt>
                <c:pt idx="269">
                  <c:v>43875</c:v>
                </c:pt>
                <c:pt idx="270">
                  <c:v>43878</c:v>
                </c:pt>
                <c:pt idx="271">
                  <c:v>43879</c:v>
                </c:pt>
                <c:pt idx="272">
                  <c:v>43880</c:v>
                </c:pt>
                <c:pt idx="273">
                  <c:v>43881</c:v>
                </c:pt>
                <c:pt idx="274">
                  <c:v>43882</c:v>
                </c:pt>
                <c:pt idx="275">
                  <c:v>43885</c:v>
                </c:pt>
                <c:pt idx="276">
                  <c:v>43886</c:v>
                </c:pt>
                <c:pt idx="277">
                  <c:v>43887</c:v>
                </c:pt>
                <c:pt idx="278">
                  <c:v>43888</c:v>
                </c:pt>
                <c:pt idx="279">
                  <c:v>43889</c:v>
                </c:pt>
                <c:pt idx="280">
                  <c:v>43892</c:v>
                </c:pt>
                <c:pt idx="281">
                  <c:v>43893</c:v>
                </c:pt>
                <c:pt idx="282">
                  <c:v>43894</c:v>
                </c:pt>
                <c:pt idx="283">
                  <c:v>43895</c:v>
                </c:pt>
                <c:pt idx="284">
                  <c:v>43896</c:v>
                </c:pt>
                <c:pt idx="285">
                  <c:v>43899</c:v>
                </c:pt>
                <c:pt idx="286">
                  <c:v>43900</c:v>
                </c:pt>
                <c:pt idx="287">
                  <c:v>43901</c:v>
                </c:pt>
                <c:pt idx="288">
                  <c:v>43902</c:v>
                </c:pt>
                <c:pt idx="289">
                  <c:v>43903</c:v>
                </c:pt>
                <c:pt idx="290">
                  <c:v>43906</c:v>
                </c:pt>
                <c:pt idx="291">
                  <c:v>43907</c:v>
                </c:pt>
                <c:pt idx="292">
                  <c:v>43908</c:v>
                </c:pt>
                <c:pt idx="293">
                  <c:v>43909</c:v>
                </c:pt>
                <c:pt idx="294">
                  <c:v>43910</c:v>
                </c:pt>
                <c:pt idx="295">
                  <c:v>43913</c:v>
                </c:pt>
                <c:pt idx="296">
                  <c:v>43914</c:v>
                </c:pt>
                <c:pt idx="297">
                  <c:v>43915</c:v>
                </c:pt>
                <c:pt idx="298">
                  <c:v>43916</c:v>
                </c:pt>
                <c:pt idx="299">
                  <c:v>43917</c:v>
                </c:pt>
                <c:pt idx="300">
                  <c:v>43920</c:v>
                </c:pt>
                <c:pt idx="301">
                  <c:v>43921</c:v>
                </c:pt>
                <c:pt idx="302">
                  <c:v>43922</c:v>
                </c:pt>
                <c:pt idx="303">
                  <c:v>43923</c:v>
                </c:pt>
                <c:pt idx="304">
                  <c:v>43924</c:v>
                </c:pt>
                <c:pt idx="305">
                  <c:v>43928</c:v>
                </c:pt>
                <c:pt idx="306">
                  <c:v>43929</c:v>
                </c:pt>
                <c:pt idx="307">
                  <c:v>43930</c:v>
                </c:pt>
                <c:pt idx="308">
                  <c:v>43931</c:v>
                </c:pt>
                <c:pt idx="309">
                  <c:v>43934</c:v>
                </c:pt>
                <c:pt idx="310">
                  <c:v>43935</c:v>
                </c:pt>
                <c:pt idx="311">
                  <c:v>43936</c:v>
                </c:pt>
                <c:pt idx="312">
                  <c:v>43937</c:v>
                </c:pt>
                <c:pt idx="313">
                  <c:v>43938</c:v>
                </c:pt>
                <c:pt idx="314">
                  <c:v>43941</c:v>
                </c:pt>
                <c:pt idx="315">
                  <c:v>43942</c:v>
                </c:pt>
                <c:pt idx="316">
                  <c:v>43943</c:v>
                </c:pt>
                <c:pt idx="317">
                  <c:v>43944</c:v>
                </c:pt>
                <c:pt idx="318">
                  <c:v>43945</c:v>
                </c:pt>
                <c:pt idx="319">
                  <c:v>43948</c:v>
                </c:pt>
                <c:pt idx="320">
                  <c:v>43949</c:v>
                </c:pt>
                <c:pt idx="321">
                  <c:v>43950</c:v>
                </c:pt>
                <c:pt idx="322">
                  <c:v>43951</c:v>
                </c:pt>
                <c:pt idx="323">
                  <c:v>43957</c:v>
                </c:pt>
                <c:pt idx="324">
                  <c:v>43958</c:v>
                </c:pt>
                <c:pt idx="325">
                  <c:v>43959</c:v>
                </c:pt>
                <c:pt idx="326">
                  <c:v>43962</c:v>
                </c:pt>
                <c:pt idx="327">
                  <c:v>43963</c:v>
                </c:pt>
                <c:pt idx="328">
                  <c:v>43964</c:v>
                </c:pt>
                <c:pt idx="329">
                  <c:v>43965</c:v>
                </c:pt>
                <c:pt idx="330">
                  <c:v>43966</c:v>
                </c:pt>
                <c:pt idx="331">
                  <c:v>43969</c:v>
                </c:pt>
                <c:pt idx="332">
                  <c:v>43970</c:v>
                </c:pt>
                <c:pt idx="333">
                  <c:v>43971</c:v>
                </c:pt>
                <c:pt idx="334">
                  <c:v>43972</c:v>
                </c:pt>
                <c:pt idx="335">
                  <c:v>43973</c:v>
                </c:pt>
                <c:pt idx="336">
                  <c:v>43976</c:v>
                </c:pt>
                <c:pt idx="337">
                  <c:v>43977</c:v>
                </c:pt>
                <c:pt idx="338">
                  <c:v>43978</c:v>
                </c:pt>
                <c:pt idx="339">
                  <c:v>43979</c:v>
                </c:pt>
                <c:pt idx="340">
                  <c:v>43980</c:v>
                </c:pt>
                <c:pt idx="341">
                  <c:v>43983</c:v>
                </c:pt>
                <c:pt idx="342">
                  <c:v>43984</c:v>
                </c:pt>
                <c:pt idx="343">
                  <c:v>43985</c:v>
                </c:pt>
                <c:pt idx="344">
                  <c:v>43986</c:v>
                </c:pt>
                <c:pt idx="345">
                  <c:v>43987</c:v>
                </c:pt>
                <c:pt idx="346">
                  <c:v>43990</c:v>
                </c:pt>
                <c:pt idx="347">
                  <c:v>43991</c:v>
                </c:pt>
                <c:pt idx="348">
                  <c:v>43992</c:v>
                </c:pt>
                <c:pt idx="349">
                  <c:v>43993</c:v>
                </c:pt>
                <c:pt idx="350">
                  <c:v>43994</c:v>
                </c:pt>
                <c:pt idx="351">
                  <c:v>43997</c:v>
                </c:pt>
                <c:pt idx="352">
                  <c:v>43998</c:v>
                </c:pt>
                <c:pt idx="353">
                  <c:v>43999</c:v>
                </c:pt>
                <c:pt idx="354">
                  <c:v>44000</c:v>
                </c:pt>
                <c:pt idx="355">
                  <c:v>44001</c:v>
                </c:pt>
                <c:pt idx="356">
                  <c:v>44004</c:v>
                </c:pt>
                <c:pt idx="357">
                  <c:v>44005</c:v>
                </c:pt>
                <c:pt idx="358">
                  <c:v>44006</c:v>
                </c:pt>
                <c:pt idx="359">
                  <c:v>44011</c:v>
                </c:pt>
                <c:pt idx="360">
                  <c:v>44012</c:v>
                </c:pt>
                <c:pt idx="361">
                  <c:v>44013</c:v>
                </c:pt>
                <c:pt idx="362">
                  <c:v>44014</c:v>
                </c:pt>
                <c:pt idx="363">
                  <c:v>44015</c:v>
                </c:pt>
                <c:pt idx="364">
                  <c:v>44018</c:v>
                </c:pt>
                <c:pt idx="365">
                  <c:v>44019</c:v>
                </c:pt>
                <c:pt idx="366">
                  <c:v>44020</c:v>
                </c:pt>
                <c:pt idx="367">
                  <c:v>44021</c:v>
                </c:pt>
                <c:pt idx="368">
                  <c:v>44022</c:v>
                </c:pt>
                <c:pt idx="369">
                  <c:v>44025</c:v>
                </c:pt>
                <c:pt idx="370">
                  <c:v>44026</c:v>
                </c:pt>
                <c:pt idx="371">
                  <c:v>44027</c:v>
                </c:pt>
                <c:pt idx="372">
                  <c:v>44028</c:v>
                </c:pt>
                <c:pt idx="373">
                  <c:v>44029</c:v>
                </c:pt>
                <c:pt idx="374">
                  <c:v>44032</c:v>
                </c:pt>
                <c:pt idx="375">
                  <c:v>44033</c:v>
                </c:pt>
                <c:pt idx="376">
                  <c:v>44034</c:v>
                </c:pt>
                <c:pt idx="377">
                  <c:v>44035</c:v>
                </c:pt>
                <c:pt idx="378">
                  <c:v>44036</c:v>
                </c:pt>
                <c:pt idx="379">
                  <c:v>44039</c:v>
                </c:pt>
                <c:pt idx="380">
                  <c:v>44040</c:v>
                </c:pt>
                <c:pt idx="381">
                  <c:v>44041</c:v>
                </c:pt>
                <c:pt idx="382">
                  <c:v>44042</c:v>
                </c:pt>
                <c:pt idx="383">
                  <c:v>44043</c:v>
                </c:pt>
                <c:pt idx="384">
                  <c:v>44046</c:v>
                </c:pt>
                <c:pt idx="385">
                  <c:v>44047</c:v>
                </c:pt>
                <c:pt idx="386">
                  <c:v>44048</c:v>
                </c:pt>
                <c:pt idx="387">
                  <c:v>44049</c:v>
                </c:pt>
                <c:pt idx="388">
                  <c:v>44050</c:v>
                </c:pt>
                <c:pt idx="389">
                  <c:v>44053</c:v>
                </c:pt>
                <c:pt idx="390">
                  <c:v>44054</c:v>
                </c:pt>
                <c:pt idx="391">
                  <c:v>44055</c:v>
                </c:pt>
                <c:pt idx="392">
                  <c:v>44056</c:v>
                </c:pt>
                <c:pt idx="393">
                  <c:v>44057</c:v>
                </c:pt>
                <c:pt idx="394">
                  <c:v>44060</c:v>
                </c:pt>
                <c:pt idx="395">
                  <c:v>44061</c:v>
                </c:pt>
                <c:pt idx="396">
                  <c:v>44062</c:v>
                </c:pt>
                <c:pt idx="397">
                  <c:v>44063</c:v>
                </c:pt>
                <c:pt idx="398">
                  <c:v>44064</c:v>
                </c:pt>
                <c:pt idx="399">
                  <c:v>44067</c:v>
                </c:pt>
                <c:pt idx="400">
                  <c:v>44068</c:v>
                </c:pt>
                <c:pt idx="401">
                  <c:v>44069</c:v>
                </c:pt>
                <c:pt idx="402">
                  <c:v>44070</c:v>
                </c:pt>
                <c:pt idx="403">
                  <c:v>44071</c:v>
                </c:pt>
                <c:pt idx="404">
                  <c:v>44074</c:v>
                </c:pt>
                <c:pt idx="405">
                  <c:v>44075</c:v>
                </c:pt>
                <c:pt idx="406">
                  <c:v>44076</c:v>
                </c:pt>
                <c:pt idx="407">
                  <c:v>44077</c:v>
                </c:pt>
                <c:pt idx="408">
                  <c:v>44078</c:v>
                </c:pt>
                <c:pt idx="409">
                  <c:v>44081</c:v>
                </c:pt>
                <c:pt idx="410">
                  <c:v>44082</c:v>
                </c:pt>
                <c:pt idx="411">
                  <c:v>44083</c:v>
                </c:pt>
                <c:pt idx="412">
                  <c:v>44084</c:v>
                </c:pt>
                <c:pt idx="413">
                  <c:v>44085</c:v>
                </c:pt>
                <c:pt idx="414">
                  <c:v>44088</c:v>
                </c:pt>
                <c:pt idx="415">
                  <c:v>44089</c:v>
                </c:pt>
                <c:pt idx="416">
                  <c:v>44090</c:v>
                </c:pt>
                <c:pt idx="417">
                  <c:v>44091</c:v>
                </c:pt>
                <c:pt idx="418">
                  <c:v>44092</c:v>
                </c:pt>
                <c:pt idx="419">
                  <c:v>44095</c:v>
                </c:pt>
                <c:pt idx="420">
                  <c:v>44096</c:v>
                </c:pt>
                <c:pt idx="421">
                  <c:v>44097</c:v>
                </c:pt>
                <c:pt idx="422">
                  <c:v>44098</c:v>
                </c:pt>
                <c:pt idx="423">
                  <c:v>44099</c:v>
                </c:pt>
                <c:pt idx="424">
                  <c:v>44102</c:v>
                </c:pt>
                <c:pt idx="425">
                  <c:v>44103</c:v>
                </c:pt>
                <c:pt idx="426">
                  <c:v>44104</c:v>
                </c:pt>
                <c:pt idx="427">
                  <c:v>44113</c:v>
                </c:pt>
                <c:pt idx="428">
                  <c:v>44116</c:v>
                </c:pt>
                <c:pt idx="429">
                  <c:v>44117</c:v>
                </c:pt>
                <c:pt idx="430">
                  <c:v>44118</c:v>
                </c:pt>
                <c:pt idx="431">
                  <c:v>44119</c:v>
                </c:pt>
                <c:pt idx="432">
                  <c:v>44120</c:v>
                </c:pt>
                <c:pt idx="433">
                  <c:v>44123</c:v>
                </c:pt>
                <c:pt idx="434">
                  <c:v>44124</c:v>
                </c:pt>
                <c:pt idx="435">
                  <c:v>44125</c:v>
                </c:pt>
                <c:pt idx="436">
                  <c:v>44126</c:v>
                </c:pt>
                <c:pt idx="437">
                  <c:v>44127</c:v>
                </c:pt>
                <c:pt idx="438">
                  <c:v>44130</c:v>
                </c:pt>
                <c:pt idx="439">
                  <c:v>44131</c:v>
                </c:pt>
                <c:pt idx="440">
                  <c:v>44132</c:v>
                </c:pt>
                <c:pt idx="441">
                  <c:v>44133</c:v>
                </c:pt>
                <c:pt idx="442">
                  <c:v>44134</c:v>
                </c:pt>
                <c:pt idx="443">
                  <c:v>44137</c:v>
                </c:pt>
                <c:pt idx="444">
                  <c:v>44138</c:v>
                </c:pt>
                <c:pt idx="445">
                  <c:v>44139</c:v>
                </c:pt>
                <c:pt idx="446">
                  <c:v>44140</c:v>
                </c:pt>
                <c:pt idx="447">
                  <c:v>44141</c:v>
                </c:pt>
                <c:pt idx="448">
                  <c:v>44144</c:v>
                </c:pt>
                <c:pt idx="449">
                  <c:v>44145</c:v>
                </c:pt>
                <c:pt idx="450">
                  <c:v>44146</c:v>
                </c:pt>
                <c:pt idx="451">
                  <c:v>44147</c:v>
                </c:pt>
                <c:pt idx="452">
                  <c:v>44148</c:v>
                </c:pt>
                <c:pt idx="453">
                  <c:v>44151</c:v>
                </c:pt>
                <c:pt idx="454">
                  <c:v>44152</c:v>
                </c:pt>
                <c:pt idx="455">
                  <c:v>44153</c:v>
                </c:pt>
                <c:pt idx="456">
                  <c:v>44154</c:v>
                </c:pt>
                <c:pt idx="457">
                  <c:v>44155</c:v>
                </c:pt>
                <c:pt idx="458">
                  <c:v>44158</c:v>
                </c:pt>
                <c:pt idx="459">
                  <c:v>44159</c:v>
                </c:pt>
                <c:pt idx="460">
                  <c:v>44160</c:v>
                </c:pt>
                <c:pt idx="461">
                  <c:v>44161</c:v>
                </c:pt>
                <c:pt idx="462">
                  <c:v>44162</c:v>
                </c:pt>
                <c:pt idx="463">
                  <c:v>44165</c:v>
                </c:pt>
                <c:pt idx="464">
                  <c:v>44166</c:v>
                </c:pt>
                <c:pt idx="465">
                  <c:v>44167</c:v>
                </c:pt>
                <c:pt idx="466">
                  <c:v>44168</c:v>
                </c:pt>
                <c:pt idx="467">
                  <c:v>44169</c:v>
                </c:pt>
                <c:pt idx="468">
                  <c:v>44172</c:v>
                </c:pt>
                <c:pt idx="469">
                  <c:v>44173</c:v>
                </c:pt>
                <c:pt idx="470">
                  <c:v>44174</c:v>
                </c:pt>
                <c:pt idx="471">
                  <c:v>44175</c:v>
                </c:pt>
                <c:pt idx="472">
                  <c:v>44176</c:v>
                </c:pt>
                <c:pt idx="473">
                  <c:v>44179</c:v>
                </c:pt>
                <c:pt idx="474">
                  <c:v>44180</c:v>
                </c:pt>
                <c:pt idx="475">
                  <c:v>44181</c:v>
                </c:pt>
                <c:pt idx="476">
                  <c:v>44182</c:v>
                </c:pt>
                <c:pt idx="477">
                  <c:v>44183</c:v>
                </c:pt>
                <c:pt idx="478">
                  <c:v>44186</c:v>
                </c:pt>
                <c:pt idx="479">
                  <c:v>44187</c:v>
                </c:pt>
                <c:pt idx="480">
                  <c:v>44188</c:v>
                </c:pt>
                <c:pt idx="481">
                  <c:v>44189</c:v>
                </c:pt>
                <c:pt idx="482">
                  <c:v>44190</c:v>
                </c:pt>
                <c:pt idx="483">
                  <c:v>44193</c:v>
                </c:pt>
                <c:pt idx="484">
                  <c:v>44194</c:v>
                </c:pt>
                <c:pt idx="485">
                  <c:v>44195</c:v>
                </c:pt>
                <c:pt idx="486">
                  <c:v>44196</c:v>
                </c:pt>
                <c:pt idx="487">
                  <c:v>44200</c:v>
                </c:pt>
                <c:pt idx="488">
                  <c:v>44201</c:v>
                </c:pt>
                <c:pt idx="489">
                  <c:v>44202</c:v>
                </c:pt>
                <c:pt idx="490">
                  <c:v>44203</c:v>
                </c:pt>
                <c:pt idx="491">
                  <c:v>44204</c:v>
                </c:pt>
                <c:pt idx="492">
                  <c:v>44207</c:v>
                </c:pt>
                <c:pt idx="493">
                  <c:v>44208</c:v>
                </c:pt>
                <c:pt idx="494">
                  <c:v>44209</c:v>
                </c:pt>
                <c:pt idx="495">
                  <c:v>44210</c:v>
                </c:pt>
                <c:pt idx="496">
                  <c:v>44211</c:v>
                </c:pt>
                <c:pt idx="497">
                  <c:v>44214</c:v>
                </c:pt>
                <c:pt idx="498">
                  <c:v>44215</c:v>
                </c:pt>
                <c:pt idx="499">
                  <c:v>44216</c:v>
                </c:pt>
                <c:pt idx="500">
                  <c:v>44217</c:v>
                </c:pt>
                <c:pt idx="501">
                  <c:v>44218</c:v>
                </c:pt>
                <c:pt idx="502">
                  <c:v>44221</c:v>
                </c:pt>
                <c:pt idx="503">
                  <c:v>44222</c:v>
                </c:pt>
                <c:pt idx="504">
                  <c:v>44223</c:v>
                </c:pt>
                <c:pt idx="505">
                  <c:v>44224</c:v>
                </c:pt>
                <c:pt idx="506">
                  <c:v>44225</c:v>
                </c:pt>
                <c:pt idx="507">
                  <c:v>44228</c:v>
                </c:pt>
                <c:pt idx="508">
                  <c:v>44229</c:v>
                </c:pt>
                <c:pt idx="509">
                  <c:v>44230</c:v>
                </c:pt>
                <c:pt idx="510">
                  <c:v>44231</c:v>
                </c:pt>
                <c:pt idx="511">
                  <c:v>44232</c:v>
                </c:pt>
                <c:pt idx="512">
                  <c:v>44235</c:v>
                </c:pt>
                <c:pt idx="513">
                  <c:v>44236</c:v>
                </c:pt>
                <c:pt idx="514">
                  <c:v>44237</c:v>
                </c:pt>
                <c:pt idx="515">
                  <c:v>44245</c:v>
                </c:pt>
                <c:pt idx="516">
                  <c:v>44246</c:v>
                </c:pt>
                <c:pt idx="517">
                  <c:v>44249</c:v>
                </c:pt>
                <c:pt idx="518">
                  <c:v>44250</c:v>
                </c:pt>
                <c:pt idx="519">
                  <c:v>44251</c:v>
                </c:pt>
                <c:pt idx="520">
                  <c:v>44252</c:v>
                </c:pt>
                <c:pt idx="521">
                  <c:v>44253</c:v>
                </c:pt>
                <c:pt idx="522">
                  <c:v>44256</c:v>
                </c:pt>
                <c:pt idx="523">
                  <c:v>44257</c:v>
                </c:pt>
                <c:pt idx="524">
                  <c:v>44258</c:v>
                </c:pt>
                <c:pt idx="525">
                  <c:v>44259</c:v>
                </c:pt>
                <c:pt idx="526">
                  <c:v>44260</c:v>
                </c:pt>
                <c:pt idx="527">
                  <c:v>44263</c:v>
                </c:pt>
                <c:pt idx="528">
                  <c:v>44264</c:v>
                </c:pt>
                <c:pt idx="529">
                  <c:v>44265</c:v>
                </c:pt>
                <c:pt idx="530">
                  <c:v>44266</c:v>
                </c:pt>
                <c:pt idx="531">
                  <c:v>44267</c:v>
                </c:pt>
                <c:pt idx="532">
                  <c:v>44270</c:v>
                </c:pt>
                <c:pt idx="533">
                  <c:v>44271</c:v>
                </c:pt>
                <c:pt idx="534">
                  <c:v>44272</c:v>
                </c:pt>
                <c:pt idx="535">
                  <c:v>44273</c:v>
                </c:pt>
                <c:pt idx="536">
                  <c:v>44274</c:v>
                </c:pt>
                <c:pt idx="537">
                  <c:v>44277</c:v>
                </c:pt>
                <c:pt idx="538">
                  <c:v>44278</c:v>
                </c:pt>
                <c:pt idx="539">
                  <c:v>44279</c:v>
                </c:pt>
                <c:pt idx="540">
                  <c:v>44280</c:v>
                </c:pt>
                <c:pt idx="541">
                  <c:v>44281</c:v>
                </c:pt>
                <c:pt idx="542">
                  <c:v>44284</c:v>
                </c:pt>
                <c:pt idx="543">
                  <c:v>44285</c:v>
                </c:pt>
                <c:pt idx="544">
                  <c:v>44286</c:v>
                </c:pt>
                <c:pt idx="545">
                  <c:v>44287</c:v>
                </c:pt>
                <c:pt idx="546">
                  <c:v>44288</c:v>
                </c:pt>
                <c:pt idx="547">
                  <c:v>44292</c:v>
                </c:pt>
                <c:pt idx="548">
                  <c:v>44293</c:v>
                </c:pt>
                <c:pt idx="549">
                  <c:v>44294</c:v>
                </c:pt>
                <c:pt idx="550">
                  <c:v>44295</c:v>
                </c:pt>
                <c:pt idx="551">
                  <c:v>44298</c:v>
                </c:pt>
                <c:pt idx="552">
                  <c:v>44299</c:v>
                </c:pt>
                <c:pt idx="553">
                  <c:v>44300</c:v>
                </c:pt>
                <c:pt idx="554">
                  <c:v>44301</c:v>
                </c:pt>
                <c:pt idx="555">
                  <c:v>44302</c:v>
                </c:pt>
                <c:pt idx="556">
                  <c:v>44305</c:v>
                </c:pt>
                <c:pt idx="557">
                  <c:v>44306</c:v>
                </c:pt>
                <c:pt idx="558">
                  <c:v>44307</c:v>
                </c:pt>
                <c:pt idx="559">
                  <c:v>44308</c:v>
                </c:pt>
                <c:pt idx="560">
                  <c:v>44309</c:v>
                </c:pt>
                <c:pt idx="561">
                  <c:v>44312</c:v>
                </c:pt>
                <c:pt idx="562">
                  <c:v>44313</c:v>
                </c:pt>
                <c:pt idx="563">
                  <c:v>44314</c:v>
                </c:pt>
                <c:pt idx="564">
                  <c:v>44315</c:v>
                </c:pt>
                <c:pt idx="565">
                  <c:v>44316</c:v>
                </c:pt>
                <c:pt idx="566">
                  <c:v>44322</c:v>
                </c:pt>
                <c:pt idx="567">
                  <c:v>44323</c:v>
                </c:pt>
                <c:pt idx="568">
                  <c:v>44326</c:v>
                </c:pt>
                <c:pt idx="569">
                  <c:v>44327</c:v>
                </c:pt>
                <c:pt idx="570">
                  <c:v>44328</c:v>
                </c:pt>
                <c:pt idx="571">
                  <c:v>44329</c:v>
                </c:pt>
                <c:pt idx="572">
                  <c:v>44330</c:v>
                </c:pt>
                <c:pt idx="573">
                  <c:v>44333</c:v>
                </c:pt>
                <c:pt idx="574">
                  <c:v>44334</c:v>
                </c:pt>
                <c:pt idx="575">
                  <c:v>44335</c:v>
                </c:pt>
                <c:pt idx="576">
                  <c:v>44336</c:v>
                </c:pt>
                <c:pt idx="577">
                  <c:v>44337</c:v>
                </c:pt>
                <c:pt idx="578">
                  <c:v>44340</c:v>
                </c:pt>
                <c:pt idx="579">
                  <c:v>44341</c:v>
                </c:pt>
                <c:pt idx="580">
                  <c:v>44342</c:v>
                </c:pt>
                <c:pt idx="581">
                  <c:v>44343</c:v>
                </c:pt>
                <c:pt idx="582">
                  <c:v>44344</c:v>
                </c:pt>
                <c:pt idx="583">
                  <c:v>44347</c:v>
                </c:pt>
                <c:pt idx="584">
                  <c:v>44348</c:v>
                </c:pt>
                <c:pt idx="585">
                  <c:v>44349</c:v>
                </c:pt>
                <c:pt idx="586">
                  <c:v>44350</c:v>
                </c:pt>
                <c:pt idx="587">
                  <c:v>44351</c:v>
                </c:pt>
                <c:pt idx="588">
                  <c:v>44354</c:v>
                </c:pt>
                <c:pt idx="589">
                  <c:v>44355</c:v>
                </c:pt>
                <c:pt idx="590">
                  <c:v>44356</c:v>
                </c:pt>
                <c:pt idx="591">
                  <c:v>44357</c:v>
                </c:pt>
                <c:pt idx="592">
                  <c:v>44358</c:v>
                </c:pt>
                <c:pt idx="593">
                  <c:v>44362</c:v>
                </c:pt>
                <c:pt idx="594">
                  <c:v>44363</c:v>
                </c:pt>
                <c:pt idx="595">
                  <c:v>44364</c:v>
                </c:pt>
                <c:pt idx="596">
                  <c:v>44365</c:v>
                </c:pt>
                <c:pt idx="597">
                  <c:v>44368</c:v>
                </c:pt>
                <c:pt idx="598">
                  <c:v>44369</c:v>
                </c:pt>
                <c:pt idx="599">
                  <c:v>44370</c:v>
                </c:pt>
                <c:pt idx="600">
                  <c:v>44371</c:v>
                </c:pt>
                <c:pt idx="601">
                  <c:v>44372</c:v>
                </c:pt>
                <c:pt idx="602">
                  <c:v>44375</c:v>
                </c:pt>
                <c:pt idx="603">
                  <c:v>44376</c:v>
                </c:pt>
                <c:pt idx="604">
                  <c:v>44377</c:v>
                </c:pt>
                <c:pt idx="605">
                  <c:v>44378</c:v>
                </c:pt>
                <c:pt idx="606">
                  <c:v>44379</c:v>
                </c:pt>
                <c:pt idx="607">
                  <c:v>44382</c:v>
                </c:pt>
                <c:pt idx="608">
                  <c:v>44383</c:v>
                </c:pt>
                <c:pt idx="609">
                  <c:v>44384</c:v>
                </c:pt>
                <c:pt idx="610">
                  <c:v>44385</c:v>
                </c:pt>
                <c:pt idx="611">
                  <c:v>44386</c:v>
                </c:pt>
                <c:pt idx="612">
                  <c:v>44389</c:v>
                </c:pt>
                <c:pt idx="613">
                  <c:v>44390</c:v>
                </c:pt>
                <c:pt idx="614">
                  <c:v>44391</c:v>
                </c:pt>
                <c:pt idx="615">
                  <c:v>44392</c:v>
                </c:pt>
                <c:pt idx="616">
                  <c:v>44393</c:v>
                </c:pt>
                <c:pt idx="617">
                  <c:v>44396</c:v>
                </c:pt>
                <c:pt idx="618">
                  <c:v>44397</c:v>
                </c:pt>
                <c:pt idx="619">
                  <c:v>44398</c:v>
                </c:pt>
                <c:pt idx="620">
                  <c:v>44399</c:v>
                </c:pt>
                <c:pt idx="621">
                  <c:v>44400</c:v>
                </c:pt>
                <c:pt idx="622">
                  <c:v>44403</c:v>
                </c:pt>
                <c:pt idx="623">
                  <c:v>44404</c:v>
                </c:pt>
                <c:pt idx="624">
                  <c:v>44405</c:v>
                </c:pt>
                <c:pt idx="625">
                  <c:v>44406</c:v>
                </c:pt>
                <c:pt idx="626">
                  <c:v>44407</c:v>
                </c:pt>
                <c:pt idx="627">
                  <c:v>44410</c:v>
                </c:pt>
                <c:pt idx="628">
                  <c:v>44411</c:v>
                </c:pt>
                <c:pt idx="629">
                  <c:v>44412</c:v>
                </c:pt>
                <c:pt idx="630">
                  <c:v>44413</c:v>
                </c:pt>
                <c:pt idx="631">
                  <c:v>44414</c:v>
                </c:pt>
                <c:pt idx="632">
                  <c:v>44417</c:v>
                </c:pt>
                <c:pt idx="633">
                  <c:v>44418</c:v>
                </c:pt>
                <c:pt idx="634">
                  <c:v>44419</c:v>
                </c:pt>
                <c:pt idx="635">
                  <c:v>44420</c:v>
                </c:pt>
                <c:pt idx="636">
                  <c:v>44421</c:v>
                </c:pt>
                <c:pt idx="637">
                  <c:v>44424</c:v>
                </c:pt>
                <c:pt idx="638">
                  <c:v>44425</c:v>
                </c:pt>
                <c:pt idx="639">
                  <c:v>44426</c:v>
                </c:pt>
                <c:pt idx="640">
                  <c:v>44427</c:v>
                </c:pt>
                <c:pt idx="641">
                  <c:v>44428</c:v>
                </c:pt>
                <c:pt idx="642">
                  <c:v>44431</c:v>
                </c:pt>
                <c:pt idx="643">
                  <c:v>44432</c:v>
                </c:pt>
                <c:pt idx="644">
                  <c:v>44433</c:v>
                </c:pt>
                <c:pt idx="645">
                  <c:v>44434</c:v>
                </c:pt>
                <c:pt idx="646">
                  <c:v>44435</c:v>
                </c:pt>
                <c:pt idx="647">
                  <c:v>44438</c:v>
                </c:pt>
                <c:pt idx="648">
                  <c:v>44439</c:v>
                </c:pt>
                <c:pt idx="649">
                  <c:v>44440</c:v>
                </c:pt>
                <c:pt idx="650">
                  <c:v>44441</c:v>
                </c:pt>
                <c:pt idx="651">
                  <c:v>44442</c:v>
                </c:pt>
                <c:pt idx="652">
                  <c:v>44445</c:v>
                </c:pt>
                <c:pt idx="653">
                  <c:v>44446</c:v>
                </c:pt>
                <c:pt idx="654">
                  <c:v>44447</c:v>
                </c:pt>
                <c:pt idx="655">
                  <c:v>44448</c:v>
                </c:pt>
                <c:pt idx="656">
                  <c:v>44449</c:v>
                </c:pt>
                <c:pt idx="657">
                  <c:v>44452</c:v>
                </c:pt>
                <c:pt idx="658">
                  <c:v>44453</c:v>
                </c:pt>
                <c:pt idx="659">
                  <c:v>44454</c:v>
                </c:pt>
                <c:pt idx="660">
                  <c:v>44455</c:v>
                </c:pt>
                <c:pt idx="661">
                  <c:v>44456</c:v>
                </c:pt>
                <c:pt idx="662">
                  <c:v>44461</c:v>
                </c:pt>
                <c:pt idx="663">
                  <c:v>44462</c:v>
                </c:pt>
                <c:pt idx="664">
                  <c:v>44463</c:v>
                </c:pt>
                <c:pt idx="665">
                  <c:v>44466</c:v>
                </c:pt>
                <c:pt idx="666">
                  <c:v>44467</c:v>
                </c:pt>
                <c:pt idx="667">
                  <c:v>44468</c:v>
                </c:pt>
                <c:pt idx="668">
                  <c:v>44469</c:v>
                </c:pt>
                <c:pt idx="669">
                  <c:v>44477</c:v>
                </c:pt>
                <c:pt idx="670">
                  <c:v>44480</c:v>
                </c:pt>
                <c:pt idx="671">
                  <c:v>44481</c:v>
                </c:pt>
                <c:pt idx="672">
                  <c:v>44482</c:v>
                </c:pt>
                <c:pt idx="673">
                  <c:v>44483</c:v>
                </c:pt>
                <c:pt idx="674">
                  <c:v>44484</c:v>
                </c:pt>
                <c:pt idx="675">
                  <c:v>44487</c:v>
                </c:pt>
                <c:pt idx="676">
                  <c:v>44488</c:v>
                </c:pt>
                <c:pt idx="677">
                  <c:v>44489</c:v>
                </c:pt>
                <c:pt idx="678">
                  <c:v>44490</c:v>
                </c:pt>
                <c:pt idx="679">
                  <c:v>44491</c:v>
                </c:pt>
                <c:pt idx="680">
                  <c:v>44494</c:v>
                </c:pt>
                <c:pt idx="681">
                  <c:v>44495</c:v>
                </c:pt>
                <c:pt idx="682">
                  <c:v>44496</c:v>
                </c:pt>
                <c:pt idx="683">
                  <c:v>44497</c:v>
                </c:pt>
                <c:pt idx="684">
                  <c:v>44498</c:v>
                </c:pt>
                <c:pt idx="685">
                  <c:v>44501</c:v>
                </c:pt>
                <c:pt idx="686">
                  <c:v>44502</c:v>
                </c:pt>
                <c:pt idx="687">
                  <c:v>44503</c:v>
                </c:pt>
                <c:pt idx="688">
                  <c:v>44504</c:v>
                </c:pt>
                <c:pt idx="689">
                  <c:v>44505</c:v>
                </c:pt>
                <c:pt idx="690">
                  <c:v>44508</c:v>
                </c:pt>
                <c:pt idx="691">
                  <c:v>44509</c:v>
                </c:pt>
                <c:pt idx="692">
                  <c:v>44510</c:v>
                </c:pt>
                <c:pt idx="693">
                  <c:v>44511</c:v>
                </c:pt>
                <c:pt idx="694">
                  <c:v>44512</c:v>
                </c:pt>
                <c:pt idx="695">
                  <c:v>44515</c:v>
                </c:pt>
                <c:pt idx="696">
                  <c:v>44516</c:v>
                </c:pt>
                <c:pt idx="697">
                  <c:v>44517</c:v>
                </c:pt>
                <c:pt idx="698">
                  <c:v>44518</c:v>
                </c:pt>
                <c:pt idx="699">
                  <c:v>44519</c:v>
                </c:pt>
                <c:pt idx="700">
                  <c:v>44522</c:v>
                </c:pt>
                <c:pt idx="701">
                  <c:v>44523</c:v>
                </c:pt>
                <c:pt idx="702">
                  <c:v>44524</c:v>
                </c:pt>
                <c:pt idx="703">
                  <c:v>44525</c:v>
                </c:pt>
                <c:pt idx="704">
                  <c:v>44526</c:v>
                </c:pt>
                <c:pt idx="705">
                  <c:v>44529</c:v>
                </c:pt>
                <c:pt idx="706">
                  <c:v>44530</c:v>
                </c:pt>
                <c:pt idx="707">
                  <c:v>44531</c:v>
                </c:pt>
                <c:pt idx="708">
                  <c:v>44532</c:v>
                </c:pt>
                <c:pt idx="709">
                  <c:v>44533</c:v>
                </c:pt>
                <c:pt idx="710">
                  <c:v>44536</c:v>
                </c:pt>
                <c:pt idx="711">
                  <c:v>44537</c:v>
                </c:pt>
                <c:pt idx="712">
                  <c:v>44538</c:v>
                </c:pt>
                <c:pt idx="713">
                  <c:v>44539</c:v>
                </c:pt>
                <c:pt idx="714">
                  <c:v>44540</c:v>
                </c:pt>
                <c:pt idx="715">
                  <c:v>44543</c:v>
                </c:pt>
                <c:pt idx="716">
                  <c:v>44544</c:v>
                </c:pt>
                <c:pt idx="717">
                  <c:v>44545</c:v>
                </c:pt>
                <c:pt idx="718">
                  <c:v>44546</c:v>
                </c:pt>
                <c:pt idx="719">
                  <c:v>44547</c:v>
                </c:pt>
                <c:pt idx="720">
                  <c:v>44550</c:v>
                </c:pt>
                <c:pt idx="721">
                  <c:v>44551</c:v>
                </c:pt>
                <c:pt idx="722">
                  <c:v>44552</c:v>
                </c:pt>
                <c:pt idx="723">
                  <c:v>44553</c:v>
                </c:pt>
                <c:pt idx="724">
                  <c:v>44554</c:v>
                </c:pt>
                <c:pt idx="725">
                  <c:v>44557</c:v>
                </c:pt>
                <c:pt idx="726">
                  <c:v>44558</c:v>
                </c:pt>
                <c:pt idx="727">
                  <c:v>44559</c:v>
                </c:pt>
                <c:pt idx="728">
                  <c:v>44560</c:v>
                </c:pt>
                <c:pt idx="729">
                  <c:v>44561</c:v>
                </c:pt>
                <c:pt idx="730">
                  <c:v>44565</c:v>
                </c:pt>
                <c:pt idx="731">
                  <c:v>44566</c:v>
                </c:pt>
                <c:pt idx="732">
                  <c:v>44567</c:v>
                </c:pt>
                <c:pt idx="733">
                  <c:v>44568</c:v>
                </c:pt>
                <c:pt idx="734">
                  <c:v>44571</c:v>
                </c:pt>
                <c:pt idx="735">
                  <c:v>44572</c:v>
                </c:pt>
                <c:pt idx="736">
                  <c:v>44573</c:v>
                </c:pt>
                <c:pt idx="737">
                  <c:v>44574</c:v>
                </c:pt>
                <c:pt idx="738">
                  <c:v>44575</c:v>
                </c:pt>
                <c:pt idx="739">
                  <c:v>44578</c:v>
                </c:pt>
                <c:pt idx="740">
                  <c:v>44579</c:v>
                </c:pt>
                <c:pt idx="741">
                  <c:v>44580</c:v>
                </c:pt>
                <c:pt idx="742">
                  <c:v>44581</c:v>
                </c:pt>
                <c:pt idx="743">
                  <c:v>44582</c:v>
                </c:pt>
                <c:pt idx="744">
                  <c:v>44585</c:v>
                </c:pt>
                <c:pt idx="745">
                  <c:v>44586</c:v>
                </c:pt>
                <c:pt idx="746">
                  <c:v>44587</c:v>
                </c:pt>
                <c:pt idx="747">
                  <c:v>44588</c:v>
                </c:pt>
                <c:pt idx="748">
                  <c:v>44589</c:v>
                </c:pt>
                <c:pt idx="749">
                  <c:v>44599</c:v>
                </c:pt>
                <c:pt idx="750">
                  <c:v>44600</c:v>
                </c:pt>
                <c:pt idx="751">
                  <c:v>44601</c:v>
                </c:pt>
                <c:pt idx="752">
                  <c:v>44602</c:v>
                </c:pt>
                <c:pt idx="753">
                  <c:v>44603</c:v>
                </c:pt>
                <c:pt idx="754">
                  <c:v>44606</c:v>
                </c:pt>
                <c:pt idx="755">
                  <c:v>44607</c:v>
                </c:pt>
                <c:pt idx="756">
                  <c:v>44608</c:v>
                </c:pt>
                <c:pt idx="757">
                  <c:v>44609</c:v>
                </c:pt>
                <c:pt idx="758">
                  <c:v>44610</c:v>
                </c:pt>
                <c:pt idx="759">
                  <c:v>44613</c:v>
                </c:pt>
                <c:pt idx="760">
                  <c:v>44614</c:v>
                </c:pt>
                <c:pt idx="761">
                  <c:v>44615</c:v>
                </c:pt>
                <c:pt idx="762">
                  <c:v>44616</c:v>
                </c:pt>
                <c:pt idx="763">
                  <c:v>44617</c:v>
                </c:pt>
                <c:pt idx="764">
                  <c:v>44620</c:v>
                </c:pt>
                <c:pt idx="765">
                  <c:v>44621</c:v>
                </c:pt>
                <c:pt idx="766">
                  <c:v>44622</c:v>
                </c:pt>
                <c:pt idx="767">
                  <c:v>44623</c:v>
                </c:pt>
                <c:pt idx="768">
                  <c:v>44624</c:v>
                </c:pt>
                <c:pt idx="769">
                  <c:v>44627</c:v>
                </c:pt>
                <c:pt idx="770">
                  <c:v>44628</c:v>
                </c:pt>
                <c:pt idx="771">
                  <c:v>44629</c:v>
                </c:pt>
                <c:pt idx="772">
                  <c:v>44630</c:v>
                </c:pt>
                <c:pt idx="773">
                  <c:v>44631</c:v>
                </c:pt>
                <c:pt idx="774">
                  <c:v>44634</c:v>
                </c:pt>
                <c:pt idx="775">
                  <c:v>44635</c:v>
                </c:pt>
                <c:pt idx="776">
                  <c:v>44636</c:v>
                </c:pt>
                <c:pt idx="777">
                  <c:v>44637</c:v>
                </c:pt>
                <c:pt idx="778">
                  <c:v>44638</c:v>
                </c:pt>
                <c:pt idx="779">
                  <c:v>44641</c:v>
                </c:pt>
                <c:pt idx="780">
                  <c:v>44642</c:v>
                </c:pt>
                <c:pt idx="781">
                  <c:v>44643</c:v>
                </c:pt>
                <c:pt idx="782">
                  <c:v>44644</c:v>
                </c:pt>
                <c:pt idx="783">
                  <c:v>44645</c:v>
                </c:pt>
                <c:pt idx="784">
                  <c:v>44648</c:v>
                </c:pt>
                <c:pt idx="785">
                  <c:v>44649</c:v>
                </c:pt>
                <c:pt idx="786">
                  <c:v>44650</c:v>
                </c:pt>
                <c:pt idx="787">
                  <c:v>44651</c:v>
                </c:pt>
                <c:pt idx="788">
                  <c:v>44652</c:v>
                </c:pt>
                <c:pt idx="789">
                  <c:v>44657</c:v>
                </c:pt>
                <c:pt idx="790">
                  <c:v>44658</c:v>
                </c:pt>
                <c:pt idx="791">
                  <c:v>44659</c:v>
                </c:pt>
                <c:pt idx="792">
                  <c:v>44662</c:v>
                </c:pt>
                <c:pt idx="793">
                  <c:v>44663</c:v>
                </c:pt>
                <c:pt idx="794">
                  <c:v>44664</c:v>
                </c:pt>
                <c:pt idx="795">
                  <c:v>44665</c:v>
                </c:pt>
                <c:pt idx="796">
                  <c:v>44666</c:v>
                </c:pt>
                <c:pt idx="797">
                  <c:v>44669</c:v>
                </c:pt>
                <c:pt idx="798">
                  <c:v>44670</c:v>
                </c:pt>
                <c:pt idx="799">
                  <c:v>44671</c:v>
                </c:pt>
                <c:pt idx="800">
                  <c:v>44672</c:v>
                </c:pt>
                <c:pt idx="801">
                  <c:v>44673</c:v>
                </c:pt>
                <c:pt idx="802">
                  <c:v>44676</c:v>
                </c:pt>
                <c:pt idx="803">
                  <c:v>44677</c:v>
                </c:pt>
                <c:pt idx="804">
                  <c:v>44678</c:v>
                </c:pt>
                <c:pt idx="805">
                  <c:v>44679</c:v>
                </c:pt>
                <c:pt idx="806">
                  <c:v>44680</c:v>
                </c:pt>
                <c:pt idx="807">
                  <c:v>44686</c:v>
                </c:pt>
                <c:pt idx="808">
                  <c:v>44687</c:v>
                </c:pt>
                <c:pt idx="809">
                  <c:v>44690</c:v>
                </c:pt>
                <c:pt idx="810">
                  <c:v>44691</c:v>
                </c:pt>
                <c:pt idx="811">
                  <c:v>44692</c:v>
                </c:pt>
                <c:pt idx="812">
                  <c:v>44693</c:v>
                </c:pt>
                <c:pt idx="813">
                  <c:v>44694</c:v>
                </c:pt>
                <c:pt idx="814">
                  <c:v>44697</c:v>
                </c:pt>
                <c:pt idx="815">
                  <c:v>44698</c:v>
                </c:pt>
                <c:pt idx="816">
                  <c:v>44699</c:v>
                </c:pt>
                <c:pt idx="817">
                  <c:v>44700</c:v>
                </c:pt>
                <c:pt idx="818">
                  <c:v>44701</c:v>
                </c:pt>
                <c:pt idx="819">
                  <c:v>44704</c:v>
                </c:pt>
                <c:pt idx="820">
                  <c:v>44705</c:v>
                </c:pt>
                <c:pt idx="821">
                  <c:v>44706</c:v>
                </c:pt>
                <c:pt idx="822">
                  <c:v>44707</c:v>
                </c:pt>
                <c:pt idx="823">
                  <c:v>44708</c:v>
                </c:pt>
                <c:pt idx="824">
                  <c:v>44711</c:v>
                </c:pt>
                <c:pt idx="825">
                  <c:v>44712</c:v>
                </c:pt>
                <c:pt idx="826">
                  <c:v>44713</c:v>
                </c:pt>
                <c:pt idx="827">
                  <c:v>44714</c:v>
                </c:pt>
                <c:pt idx="828">
                  <c:v>44718</c:v>
                </c:pt>
                <c:pt idx="829">
                  <c:v>44719</c:v>
                </c:pt>
                <c:pt idx="830">
                  <c:v>44720</c:v>
                </c:pt>
                <c:pt idx="831">
                  <c:v>44721</c:v>
                </c:pt>
                <c:pt idx="832">
                  <c:v>44722</c:v>
                </c:pt>
                <c:pt idx="833">
                  <c:v>44725</c:v>
                </c:pt>
                <c:pt idx="834">
                  <c:v>44726</c:v>
                </c:pt>
                <c:pt idx="835">
                  <c:v>44727</c:v>
                </c:pt>
                <c:pt idx="836">
                  <c:v>44728</c:v>
                </c:pt>
                <c:pt idx="837">
                  <c:v>44729</c:v>
                </c:pt>
                <c:pt idx="838">
                  <c:v>44732</c:v>
                </c:pt>
                <c:pt idx="839">
                  <c:v>44733</c:v>
                </c:pt>
                <c:pt idx="840">
                  <c:v>44734</c:v>
                </c:pt>
                <c:pt idx="841">
                  <c:v>44735</c:v>
                </c:pt>
                <c:pt idx="842">
                  <c:v>44736</c:v>
                </c:pt>
                <c:pt idx="843">
                  <c:v>44739</c:v>
                </c:pt>
                <c:pt idx="844">
                  <c:v>44740</c:v>
                </c:pt>
                <c:pt idx="845">
                  <c:v>44741</c:v>
                </c:pt>
                <c:pt idx="846">
                  <c:v>44742</c:v>
                </c:pt>
                <c:pt idx="847">
                  <c:v>44743</c:v>
                </c:pt>
                <c:pt idx="848">
                  <c:v>44746</c:v>
                </c:pt>
                <c:pt idx="849">
                  <c:v>44747</c:v>
                </c:pt>
                <c:pt idx="850">
                  <c:v>44748</c:v>
                </c:pt>
                <c:pt idx="851">
                  <c:v>44749</c:v>
                </c:pt>
                <c:pt idx="852">
                  <c:v>44750</c:v>
                </c:pt>
                <c:pt idx="853">
                  <c:v>44753</c:v>
                </c:pt>
                <c:pt idx="854">
                  <c:v>44754</c:v>
                </c:pt>
                <c:pt idx="855">
                  <c:v>44755</c:v>
                </c:pt>
                <c:pt idx="856">
                  <c:v>44756</c:v>
                </c:pt>
                <c:pt idx="857">
                  <c:v>44757</c:v>
                </c:pt>
                <c:pt idx="858">
                  <c:v>44760</c:v>
                </c:pt>
                <c:pt idx="859">
                  <c:v>44761</c:v>
                </c:pt>
                <c:pt idx="860">
                  <c:v>44762</c:v>
                </c:pt>
                <c:pt idx="861">
                  <c:v>44763</c:v>
                </c:pt>
                <c:pt idx="862">
                  <c:v>44764</c:v>
                </c:pt>
                <c:pt idx="863">
                  <c:v>44767</c:v>
                </c:pt>
                <c:pt idx="864">
                  <c:v>44768</c:v>
                </c:pt>
                <c:pt idx="865">
                  <c:v>44769</c:v>
                </c:pt>
                <c:pt idx="866">
                  <c:v>44770</c:v>
                </c:pt>
                <c:pt idx="867">
                  <c:v>44771</c:v>
                </c:pt>
                <c:pt idx="868">
                  <c:v>44774</c:v>
                </c:pt>
                <c:pt idx="869">
                  <c:v>44775</c:v>
                </c:pt>
                <c:pt idx="870">
                  <c:v>44776</c:v>
                </c:pt>
                <c:pt idx="871">
                  <c:v>44777</c:v>
                </c:pt>
                <c:pt idx="872">
                  <c:v>44778</c:v>
                </c:pt>
                <c:pt idx="873">
                  <c:v>44781</c:v>
                </c:pt>
                <c:pt idx="874">
                  <c:v>44782</c:v>
                </c:pt>
                <c:pt idx="875">
                  <c:v>44783</c:v>
                </c:pt>
                <c:pt idx="876">
                  <c:v>44784</c:v>
                </c:pt>
                <c:pt idx="877">
                  <c:v>44785</c:v>
                </c:pt>
                <c:pt idx="878">
                  <c:v>44788</c:v>
                </c:pt>
                <c:pt idx="879">
                  <c:v>44789</c:v>
                </c:pt>
                <c:pt idx="880">
                  <c:v>44790</c:v>
                </c:pt>
                <c:pt idx="881">
                  <c:v>44791</c:v>
                </c:pt>
                <c:pt idx="882">
                  <c:v>44792</c:v>
                </c:pt>
                <c:pt idx="883">
                  <c:v>44795</c:v>
                </c:pt>
                <c:pt idx="884">
                  <c:v>44796</c:v>
                </c:pt>
                <c:pt idx="885">
                  <c:v>44797</c:v>
                </c:pt>
                <c:pt idx="886">
                  <c:v>44798</c:v>
                </c:pt>
                <c:pt idx="887">
                  <c:v>44799</c:v>
                </c:pt>
                <c:pt idx="888">
                  <c:v>44802</c:v>
                </c:pt>
                <c:pt idx="889">
                  <c:v>44803</c:v>
                </c:pt>
                <c:pt idx="890">
                  <c:v>44804</c:v>
                </c:pt>
                <c:pt idx="891">
                  <c:v>44805</c:v>
                </c:pt>
                <c:pt idx="892">
                  <c:v>44806</c:v>
                </c:pt>
                <c:pt idx="893">
                  <c:v>44809</c:v>
                </c:pt>
                <c:pt idx="894">
                  <c:v>44810</c:v>
                </c:pt>
                <c:pt idx="895">
                  <c:v>44811</c:v>
                </c:pt>
                <c:pt idx="896">
                  <c:v>44812</c:v>
                </c:pt>
                <c:pt idx="897">
                  <c:v>44813</c:v>
                </c:pt>
                <c:pt idx="898">
                  <c:v>44817</c:v>
                </c:pt>
                <c:pt idx="899">
                  <c:v>44818</c:v>
                </c:pt>
                <c:pt idx="900">
                  <c:v>44819</c:v>
                </c:pt>
                <c:pt idx="901">
                  <c:v>44820</c:v>
                </c:pt>
                <c:pt idx="902">
                  <c:v>44823</c:v>
                </c:pt>
                <c:pt idx="903">
                  <c:v>44824</c:v>
                </c:pt>
                <c:pt idx="904">
                  <c:v>44825</c:v>
                </c:pt>
                <c:pt idx="905">
                  <c:v>44826</c:v>
                </c:pt>
                <c:pt idx="906">
                  <c:v>44827</c:v>
                </c:pt>
                <c:pt idx="907">
                  <c:v>44830</c:v>
                </c:pt>
                <c:pt idx="908">
                  <c:v>44831</c:v>
                </c:pt>
                <c:pt idx="909">
                  <c:v>44832</c:v>
                </c:pt>
                <c:pt idx="910">
                  <c:v>44833</c:v>
                </c:pt>
                <c:pt idx="911">
                  <c:v>44834</c:v>
                </c:pt>
                <c:pt idx="912">
                  <c:v>44844</c:v>
                </c:pt>
                <c:pt idx="913">
                  <c:v>44845</c:v>
                </c:pt>
                <c:pt idx="914">
                  <c:v>44846</c:v>
                </c:pt>
                <c:pt idx="915">
                  <c:v>44847</c:v>
                </c:pt>
                <c:pt idx="916">
                  <c:v>44848</c:v>
                </c:pt>
                <c:pt idx="917">
                  <c:v>44851</c:v>
                </c:pt>
                <c:pt idx="918">
                  <c:v>44852</c:v>
                </c:pt>
                <c:pt idx="919">
                  <c:v>44853</c:v>
                </c:pt>
                <c:pt idx="920">
                  <c:v>44854</c:v>
                </c:pt>
                <c:pt idx="921">
                  <c:v>44855</c:v>
                </c:pt>
                <c:pt idx="922">
                  <c:v>44858</c:v>
                </c:pt>
                <c:pt idx="923">
                  <c:v>44859</c:v>
                </c:pt>
                <c:pt idx="924">
                  <c:v>44860</c:v>
                </c:pt>
                <c:pt idx="925">
                  <c:v>44861</c:v>
                </c:pt>
                <c:pt idx="926">
                  <c:v>44862</c:v>
                </c:pt>
                <c:pt idx="927">
                  <c:v>44865</c:v>
                </c:pt>
                <c:pt idx="928">
                  <c:v>44866</c:v>
                </c:pt>
                <c:pt idx="929">
                  <c:v>44867</c:v>
                </c:pt>
                <c:pt idx="930">
                  <c:v>44868</c:v>
                </c:pt>
                <c:pt idx="931">
                  <c:v>44869</c:v>
                </c:pt>
                <c:pt idx="932">
                  <c:v>44872</c:v>
                </c:pt>
                <c:pt idx="933">
                  <c:v>44873</c:v>
                </c:pt>
                <c:pt idx="934">
                  <c:v>44874</c:v>
                </c:pt>
                <c:pt idx="935">
                  <c:v>44875</c:v>
                </c:pt>
                <c:pt idx="936">
                  <c:v>44876</c:v>
                </c:pt>
                <c:pt idx="937">
                  <c:v>44879</c:v>
                </c:pt>
                <c:pt idx="938">
                  <c:v>44880</c:v>
                </c:pt>
                <c:pt idx="939">
                  <c:v>44881</c:v>
                </c:pt>
                <c:pt idx="940">
                  <c:v>44882</c:v>
                </c:pt>
                <c:pt idx="941">
                  <c:v>44883</c:v>
                </c:pt>
                <c:pt idx="942">
                  <c:v>44886</c:v>
                </c:pt>
                <c:pt idx="943">
                  <c:v>44887</c:v>
                </c:pt>
                <c:pt idx="944">
                  <c:v>44888</c:v>
                </c:pt>
                <c:pt idx="945">
                  <c:v>44889</c:v>
                </c:pt>
                <c:pt idx="946">
                  <c:v>44890</c:v>
                </c:pt>
                <c:pt idx="947">
                  <c:v>44893</c:v>
                </c:pt>
                <c:pt idx="948">
                  <c:v>44894</c:v>
                </c:pt>
                <c:pt idx="949">
                  <c:v>44895</c:v>
                </c:pt>
                <c:pt idx="950">
                  <c:v>44896</c:v>
                </c:pt>
                <c:pt idx="951">
                  <c:v>44897</c:v>
                </c:pt>
                <c:pt idx="952">
                  <c:v>44900</c:v>
                </c:pt>
                <c:pt idx="953">
                  <c:v>44901</c:v>
                </c:pt>
                <c:pt idx="954">
                  <c:v>44902</c:v>
                </c:pt>
                <c:pt idx="955">
                  <c:v>44903</c:v>
                </c:pt>
                <c:pt idx="956">
                  <c:v>44904</c:v>
                </c:pt>
                <c:pt idx="957">
                  <c:v>44907</c:v>
                </c:pt>
                <c:pt idx="958">
                  <c:v>44908</c:v>
                </c:pt>
                <c:pt idx="959">
                  <c:v>44909</c:v>
                </c:pt>
                <c:pt idx="960">
                  <c:v>44910</c:v>
                </c:pt>
                <c:pt idx="961">
                  <c:v>44911</c:v>
                </c:pt>
                <c:pt idx="962">
                  <c:v>44914</c:v>
                </c:pt>
                <c:pt idx="963">
                  <c:v>44915</c:v>
                </c:pt>
                <c:pt idx="964">
                  <c:v>44916</c:v>
                </c:pt>
                <c:pt idx="965">
                  <c:v>44917</c:v>
                </c:pt>
                <c:pt idx="966">
                  <c:v>44918</c:v>
                </c:pt>
                <c:pt idx="967">
                  <c:v>44921</c:v>
                </c:pt>
                <c:pt idx="968">
                  <c:v>44922</c:v>
                </c:pt>
                <c:pt idx="969">
                  <c:v>44923</c:v>
                </c:pt>
                <c:pt idx="970">
                  <c:v>44924</c:v>
                </c:pt>
                <c:pt idx="971">
                  <c:v>44925</c:v>
                </c:pt>
                <c:pt idx="972">
                  <c:v>44929</c:v>
                </c:pt>
                <c:pt idx="973">
                  <c:v>44930</c:v>
                </c:pt>
                <c:pt idx="974">
                  <c:v>44931</c:v>
                </c:pt>
                <c:pt idx="975">
                  <c:v>44932</c:v>
                </c:pt>
                <c:pt idx="976">
                  <c:v>44935</c:v>
                </c:pt>
                <c:pt idx="977">
                  <c:v>44936</c:v>
                </c:pt>
                <c:pt idx="978">
                  <c:v>44937</c:v>
                </c:pt>
                <c:pt idx="979">
                  <c:v>44938</c:v>
                </c:pt>
                <c:pt idx="980">
                  <c:v>44939</c:v>
                </c:pt>
                <c:pt idx="981">
                  <c:v>44942</c:v>
                </c:pt>
                <c:pt idx="982">
                  <c:v>44943</c:v>
                </c:pt>
                <c:pt idx="983">
                  <c:v>44944</c:v>
                </c:pt>
                <c:pt idx="984">
                  <c:v>44945</c:v>
                </c:pt>
                <c:pt idx="985">
                  <c:v>44946</c:v>
                </c:pt>
                <c:pt idx="986">
                  <c:v>44956</c:v>
                </c:pt>
                <c:pt idx="987">
                  <c:v>44957</c:v>
                </c:pt>
                <c:pt idx="988">
                  <c:v>44958</c:v>
                </c:pt>
                <c:pt idx="989">
                  <c:v>44959</c:v>
                </c:pt>
                <c:pt idx="990">
                  <c:v>44960</c:v>
                </c:pt>
                <c:pt idx="991">
                  <c:v>44963</c:v>
                </c:pt>
                <c:pt idx="992">
                  <c:v>44964</c:v>
                </c:pt>
                <c:pt idx="993">
                  <c:v>44965</c:v>
                </c:pt>
                <c:pt idx="994">
                  <c:v>44966</c:v>
                </c:pt>
                <c:pt idx="995">
                  <c:v>44967</c:v>
                </c:pt>
                <c:pt idx="996">
                  <c:v>44970</c:v>
                </c:pt>
                <c:pt idx="997">
                  <c:v>44971</c:v>
                </c:pt>
                <c:pt idx="998">
                  <c:v>44972</c:v>
                </c:pt>
                <c:pt idx="999">
                  <c:v>44973</c:v>
                </c:pt>
                <c:pt idx="1000">
                  <c:v>44974</c:v>
                </c:pt>
                <c:pt idx="1001">
                  <c:v>44977</c:v>
                </c:pt>
                <c:pt idx="1002">
                  <c:v>44978</c:v>
                </c:pt>
                <c:pt idx="1003">
                  <c:v>44979</c:v>
                </c:pt>
                <c:pt idx="1004">
                  <c:v>44980</c:v>
                </c:pt>
                <c:pt idx="1005">
                  <c:v>44981</c:v>
                </c:pt>
                <c:pt idx="1006">
                  <c:v>44984</c:v>
                </c:pt>
                <c:pt idx="1007">
                  <c:v>44985</c:v>
                </c:pt>
                <c:pt idx="1008">
                  <c:v>44986</c:v>
                </c:pt>
                <c:pt idx="1009">
                  <c:v>44987</c:v>
                </c:pt>
                <c:pt idx="1010">
                  <c:v>44988</c:v>
                </c:pt>
                <c:pt idx="1011">
                  <c:v>44991</c:v>
                </c:pt>
                <c:pt idx="1012">
                  <c:v>44992</c:v>
                </c:pt>
                <c:pt idx="1013">
                  <c:v>44993</c:v>
                </c:pt>
                <c:pt idx="1014">
                  <c:v>44994</c:v>
                </c:pt>
                <c:pt idx="1015">
                  <c:v>44995</c:v>
                </c:pt>
                <c:pt idx="1016">
                  <c:v>44998</c:v>
                </c:pt>
                <c:pt idx="1017">
                  <c:v>44999</c:v>
                </c:pt>
                <c:pt idx="1018">
                  <c:v>45000</c:v>
                </c:pt>
                <c:pt idx="1019">
                  <c:v>45001</c:v>
                </c:pt>
                <c:pt idx="1020">
                  <c:v>45002</c:v>
                </c:pt>
                <c:pt idx="1021">
                  <c:v>45005</c:v>
                </c:pt>
                <c:pt idx="1022">
                  <c:v>45006</c:v>
                </c:pt>
                <c:pt idx="1023">
                  <c:v>45007</c:v>
                </c:pt>
                <c:pt idx="1024">
                  <c:v>45008</c:v>
                </c:pt>
                <c:pt idx="1025">
                  <c:v>45009</c:v>
                </c:pt>
                <c:pt idx="1026">
                  <c:v>45012</c:v>
                </c:pt>
                <c:pt idx="1027">
                  <c:v>45013</c:v>
                </c:pt>
                <c:pt idx="1028">
                  <c:v>45014</c:v>
                </c:pt>
                <c:pt idx="1029">
                  <c:v>45015</c:v>
                </c:pt>
                <c:pt idx="1030">
                  <c:v>45016</c:v>
                </c:pt>
                <c:pt idx="1031">
                  <c:v>45019</c:v>
                </c:pt>
                <c:pt idx="1032">
                  <c:v>45020</c:v>
                </c:pt>
                <c:pt idx="1033">
                  <c:v>45022</c:v>
                </c:pt>
                <c:pt idx="1034">
                  <c:v>45023</c:v>
                </c:pt>
                <c:pt idx="1035">
                  <c:v>45026</c:v>
                </c:pt>
                <c:pt idx="1036">
                  <c:v>45027</c:v>
                </c:pt>
                <c:pt idx="1037">
                  <c:v>45028</c:v>
                </c:pt>
                <c:pt idx="1038">
                  <c:v>45029</c:v>
                </c:pt>
                <c:pt idx="1039">
                  <c:v>45030</c:v>
                </c:pt>
                <c:pt idx="1040">
                  <c:v>45033</c:v>
                </c:pt>
                <c:pt idx="1041">
                  <c:v>45034</c:v>
                </c:pt>
                <c:pt idx="1042">
                  <c:v>45035</c:v>
                </c:pt>
                <c:pt idx="1043">
                  <c:v>45036</c:v>
                </c:pt>
                <c:pt idx="1044">
                  <c:v>45037</c:v>
                </c:pt>
                <c:pt idx="1045">
                  <c:v>45040</c:v>
                </c:pt>
                <c:pt idx="1046">
                  <c:v>45041</c:v>
                </c:pt>
                <c:pt idx="1047">
                  <c:v>45042</c:v>
                </c:pt>
                <c:pt idx="1048">
                  <c:v>45043</c:v>
                </c:pt>
                <c:pt idx="1049">
                  <c:v>45044</c:v>
                </c:pt>
                <c:pt idx="1050">
                  <c:v>45050</c:v>
                </c:pt>
                <c:pt idx="1051">
                  <c:v>45051</c:v>
                </c:pt>
                <c:pt idx="1052">
                  <c:v>45054</c:v>
                </c:pt>
                <c:pt idx="1053">
                  <c:v>45055</c:v>
                </c:pt>
                <c:pt idx="1054">
                  <c:v>45056</c:v>
                </c:pt>
                <c:pt idx="1055">
                  <c:v>45057</c:v>
                </c:pt>
                <c:pt idx="1056">
                  <c:v>45058</c:v>
                </c:pt>
                <c:pt idx="1057">
                  <c:v>45061</c:v>
                </c:pt>
                <c:pt idx="1058">
                  <c:v>45062</c:v>
                </c:pt>
                <c:pt idx="1059">
                  <c:v>45063</c:v>
                </c:pt>
                <c:pt idx="1060">
                  <c:v>45064</c:v>
                </c:pt>
                <c:pt idx="1061">
                  <c:v>45065</c:v>
                </c:pt>
                <c:pt idx="1062">
                  <c:v>45068</c:v>
                </c:pt>
                <c:pt idx="1063">
                  <c:v>45069</c:v>
                </c:pt>
                <c:pt idx="1064">
                  <c:v>45070</c:v>
                </c:pt>
                <c:pt idx="1065">
                  <c:v>45071</c:v>
                </c:pt>
                <c:pt idx="1066">
                  <c:v>45072</c:v>
                </c:pt>
                <c:pt idx="1067">
                  <c:v>45075</c:v>
                </c:pt>
                <c:pt idx="1068">
                  <c:v>45076</c:v>
                </c:pt>
                <c:pt idx="1069">
                  <c:v>45077</c:v>
                </c:pt>
                <c:pt idx="1070">
                  <c:v>45078</c:v>
                </c:pt>
                <c:pt idx="1071">
                  <c:v>45079</c:v>
                </c:pt>
                <c:pt idx="1072">
                  <c:v>45082</c:v>
                </c:pt>
                <c:pt idx="1073">
                  <c:v>45083</c:v>
                </c:pt>
                <c:pt idx="1074">
                  <c:v>45084</c:v>
                </c:pt>
                <c:pt idx="1075">
                  <c:v>45085</c:v>
                </c:pt>
                <c:pt idx="1076">
                  <c:v>45086</c:v>
                </c:pt>
                <c:pt idx="1077">
                  <c:v>45089</c:v>
                </c:pt>
                <c:pt idx="1078">
                  <c:v>45090</c:v>
                </c:pt>
                <c:pt idx="1079">
                  <c:v>45091</c:v>
                </c:pt>
                <c:pt idx="1080">
                  <c:v>45092</c:v>
                </c:pt>
                <c:pt idx="1081">
                  <c:v>45093</c:v>
                </c:pt>
                <c:pt idx="1082">
                  <c:v>45096</c:v>
                </c:pt>
                <c:pt idx="1083">
                  <c:v>45097</c:v>
                </c:pt>
                <c:pt idx="1084">
                  <c:v>45098</c:v>
                </c:pt>
                <c:pt idx="1085">
                  <c:v>45103</c:v>
                </c:pt>
                <c:pt idx="1086">
                  <c:v>45104</c:v>
                </c:pt>
                <c:pt idx="1087">
                  <c:v>45105</c:v>
                </c:pt>
                <c:pt idx="1088">
                  <c:v>45106</c:v>
                </c:pt>
                <c:pt idx="1089">
                  <c:v>45107</c:v>
                </c:pt>
                <c:pt idx="1090">
                  <c:v>45110</c:v>
                </c:pt>
                <c:pt idx="1091">
                  <c:v>45111</c:v>
                </c:pt>
                <c:pt idx="1092">
                  <c:v>45112</c:v>
                </c:pt>
                <c:pt idx="1093">
                  <c:v>45113</c:v>
                </c:pt>
                <c:pt idx="1094">
                  <c:v>45114</c:v>
                </c:pt>
                <c:pt idx="1095">
                  <c:v>45117</c:v>
                </c:pt>
                <c:pt idx="1096">
                  <c:v>45118</c:v>
                </c:pt>
                <c:pt idx="1097">
                  <c:v>45119</c:v>
                </c:pt>
                <c:pt idx="1098">
                  <c:v>45120</c:v>
                </c:pt>
                <c:pt idx="1099">
                  <c:v>45121</c:v>
                </c:pt>
                <c:pt idx="1100">
                  <c:v>45124</c:v>
                </c:pt>
                <c:pt idx="1101">
                  <c:v>45125</c:v>
                </c:pt>
                <c:pt idx="1102">
                  <c:v>45126</c:v>
                </c:pt>
                <c:pt idx="1103">
                  <c:v>45127</c:v>
                </c:pt>
                <c:pt idx="1104">
                  <c:v>45128</c:v>
                </c:pt>
                <c:pt idx="1105">
                  <c:v>45131</c:v>
                </c:pt>
                <c:pt idx="1106">
                  <c:v>45132</c:v>
                </c:pt>
                <c:pt idx="1107">
                  <c:v>45133</c:v>
                </c:pt>
                <c:pt idx="1108">
                  <c:v>45134</c:v>
                </c:pt>
                <c:pt idx="1109">
                  <c:v>45135</c:v>
                </c:pt>
                <c:pt idx="1110">
                  <c:v>45138</c:v>
                </c:pt>
                <c:pt idx="1111">
                  <c:v>45139</c:v>
                </c:pt>
                <c:pt idx="1112">
                  <c:v>45140</c:v>
                </c:pt>
                <c:pt idx="1113">
                  <c:v>45141</c:v>
                </c:pt>
                <c:pt idx="1114">
                  <c:v>45142</c:v>
                </c:pt>
                <c:pt idx="1115">
                  <c:v>45145</c:v>
                </c:pt>
                <c:pt idx="1116">
                  <c:v>45146</c:v>
                </c:pt>
                <c:pt idx="1117">
                  <c:v>45147</c:v>
                </c:pt>
                <c:pt idx="1118">
                  <c:v>45148</c:v>
                </c:pt>
                <c:pt idx="1119">
                  <c:v>45149</c:v>
                </c:pt>
                <c:pt idx="1120">
                  <c:v>45152</c:v>
                </c:pt>
                <c:pt idx="1121">
                  <c:v>45153</c:v>
                </c:pt>
                <c:pt idx="1122">
                  <c:v>45154</c:v>
                </c:pt>
                <c:pt idx="1123">
                  <c:v>45155</c:v>
                </c:pt>
                <c:pt idx="1124">
                  <c:v>45156</c:v>
                </c:pt>
                <c:pt idx="1125">
                  <c:v>45159</c:v>
                </c:pt>
                <c:pt idx="1126">
                  <c:v>45160</c:v>
                </c:pt>
                <c:pt idx="1127">
                  <c:v>45161</c:v>
                </c:pt>
                <c:pt idx="1128">
                  <c:v>45162</c:v>
                </c:pt>
                <c:pt idx="1129">
                  <c:v>45163</c:v>
                </c:pt>
                <c:pt idx="1130">
                  <c:v>45166</c:v>
                </c:pt>
                <c:pt idx="1131">
                  <c:v>45167</c:v>
                </c:pt>
                <c:pt idx="1132">
                  <c:v>45168</c:v>
                </c:pt>
                <c:pt idx="1133">
                  <c:v>45169</c:v>
                </c:pt>
                <c:pt idx="1134">
                  <c:v>45170</c:v>
                </c:pt>
                <c:pt idx="1135">
                  <c:v>45173</c:v>
                </c:pt>
                <c:pt idx="1136">
                  <c:v>45174</c:v>
                </c:pt>
                <c:pt idx="1137">
                  <c:v>45175</c:v>
                </c:pt>
                <c:pt idx="1138">
                  <c:v>45176</c:v>
                </c:pt>
                <c:pt idx="1139">
                  <c:v>45177</c:v>
                </c:pt>
                <c:pt idx="1140">
                  <c:v>45180</c:v>
                </c:pt>
                <c:pt idx="1141">
                  <c:v>45181</c:v>
                </c:pt>
                <c:pt idx="1142">
                  <c:v>45182</c:v>
                </c:pt>
                <c:pt idx="1143">
                  <c:v>45183</c:v>
                </c:pt>
                <c:pt idx="1144">
                  <c:v>45184</c:v>
                </c:pt>
                <c:pt idx="1145">
                  <c:v>45187</c:v>
                </c:pt>
                <c:pt idx="1146">
                  <c:v>45188</c:v>
                </c:pt>
                <c:pt idx="1147">
                  <c:v>45189</c:v>
                </c:pt>
                <c:pt idx="1148">
                  <c:v>45190</c:v>
                </c:pt>
                <c:pt idx="1149">
                  <c:v>45191</c:v>
                </c:pt>
                <c:pt idx="1150">
                  <c:v>45194</c:v>
                </c:pt>
                <c:pt idx="1151">
                  <c:v>45195</c:v>
                </c:pt>
                <c:pt idx="1152">
                  <c:v>45196</c:v>
                </c:pt>
                <c:pt idx="1153">
                  <c:v>45197</c:v>
                </c:pt>
                <c:pt idx="1154">
                  <c:v>45208</c:v>
                </c:pt>
                <c:pt idx="1155">
                  <c:v>45209</c:v>
                </c:pt>
                <c:pt idx="1156">
                  <c:v>45210</c:v>
                </c:pt>
                <c:pt idx="1157">
                  <c:v>45211</c:v>
                </c:pt>
                <c:pt idx="1158">
                  <c:v>45212</c:v>
                </c:pt>
                <c:pt idx="1159">
                  <c:v>45215</c:v>
                </c:pt>
                <c:pt idx="1160">
                  <c:v>45216</c:v>
                </c:pt>
                <c:pt idx="1161">
                  <c:v>45217</c:v>
                </c:pt>
                <c:pt idx="1162">
                  <c:v>45218</c:v>
                </c:pt>
                <c:pt idx="1163">
                  <c:v>45219</c:v>
                </c:pt>
                <c:pt idx="1164">
                  <c:v>45222</c:v>
                </c:pt>
                <c:pt idx="1165">
                  <c:v>45223</c:v>
                </c:pt>
                <c:pt idx="1166">
                  <c:v>45224</c:v>
                </c:pt>
                <c:pt idx="1167">
                  <c:v>45225</c:v>
                </c:pt>
                <c:pt idx="1168">
                  <c:v>45226</c:v>
                </c:pt>
                <c:pt idx="1169">
                  <c:v>45229</c:v>
                </c:pt>
                <c:pt idx="1170">
                  <c:v>45230</c:v>
                </c:pt>
                <c:pt idx="1171">
                  <c:v>45231</c:v>
                </c:pt>
                <c:pt idx="1172">
                  <c:v>45232</c:v>
                </c:pt>
                <c:pt idx="1173">
                  <c:v>45233</c:v>
                </c:pt>
                <c:pt idx="1174">
                  <c:v>45236</c:v>
                </c:pt>
                <c:pt idx="1175">
                  <c:v>45237</c:v>
                </c:pt>
                <c:pt idx="1176">
                  <c:v>45238</c:v>
                </c:pt>
                <c:pt idx="1177">
                  <c:v>45239</c:v>
                </c:pt>
                <c:pt idx="1178">
                  <c:v>45240</c:v>
                </c:pt>
                <c:pt idx="1179">
                  <c:v>45243</c:v>
                </c:pt>
                <c:pt idx="1180">
                  <c:v>45244</c:v>
                </c:pt>
                <c:pt idx="1181">
                  <c:v>45245</c:v>
                </c:pt>
                <c:pt idx="1182">
                  <c:v>45246</c:v>
                </c:pt>
                <c:pt idx="1183">
                  <c:v>45247</c:v>
                </c:pt>
                <c:pt idx="1184">
                  <c:v>45250</c:v>
                </c:pt>
                <c:pt idx="1185">
                  <c:v>45251</c:v>
                </c:pt>
                <c:pt idx="1186">
                  <c:v>45252</c:v>
                </c:pt>
                <c:pt idx="1187">
                  <c:v>45253</c:v>
                </c:pt>
                <c:pt idx="1188">
                  <c:v>45254</c:v>
                </c:pt>
                <c:pt idx="1189">
                  <c:v>45257</c:v>
                </c:pt>
                <c:pt idx="1190">
                  <c:v>45258</c:v>
                </c:pt>
                <c:pt idx="1191">
                  <c:v>45259</c:v>
                </c:pt>
                <c:pt idx="1192">
                  <c:v>45260</c:v>
                </c:pt>
                <c:pt idx="1193">
                  <c:v>45261</c:v>
                </c:pt>
                <c:pt idx="1194">
                  <c:v>45264</c:v>
                </c:pt>
                <c:pt idx="1195">
                  <c:v>45265</c:v>
                </c:pt>
                <c:pt idx="1196">
                  <c:v>45266</c:v>
                </c:pt>
                <c:pt idx="1197">
                  <c:v>45267</c:v>
                </c:pt>
                <c:pt idx="1198">
                  <c:v>45268</c:v>
                </c:pt>
                <c:pt idx="1199">
                  <c:v>45271</c:v>
                </c:pt>
                <c:pt idx="1200">
                  <c:v>45272</c:v>
                </c:pt>
                <c:pt idx="1201">
                  <c:v>45273</c:v>
                </c:pt>
                <c:pt idx="1202">
                  <c:v>45274</c:v>
                </c:pt>
                <c:pt idx="1203">
                  <c:v>45275</c:v>
                </c:pt>
                <c:pt idx="1204">
                  <c:v>45278</c:v>
                </c:pt>
                <c:pt idx="1205">
                  <c:v>45279</c:v>
                </c:pt>
                <c:pt idx="1206">
                  <c:v>45280</c:v>
                </c:pt>
                <c:pt idx="1207">
                  <c:v>45281</c:v>
                </c:pt>
                <c:pt idx="1208">
                  <c:v>45282</c:v>
                </c:pt>
                <c:pt idx="1209">
                  <c:v>45285</c:v>
                </c:pt>
                <c:pt idx="1210">
                  <c:v>45286</c:v>
                </c:pt>
                <c:pt idx="1211">
                  <c:v>45287</c:v>
                </c:pt>
                <c:pt idx="1212">
                  <c:v>45288</c:v>
                </c:pt>
                <c:pt idx="1213">
                  <c:v>45289</c:v>
                </c:pt>
                <c:pt idx="1214">
                  <c:v>45293</c:v>
                </c:pt>
                <c:pt idx="1215">
                  <c:v>45294</c:v>
                </c:pt>
                <c:pt idx="1216">
                  <c:v>45295</c:v>
                </c:pt>
                <c:pt idx="1217">
                  <c:v>45296</c:v>
                </c:pt>
                <c:pt idx="1218">
                  <c:v>45299</c:v>
                </c:pt>
                <c:pt idx="1219">
                  <c:v>45300</c:v>
                </c:pt>
                <c:pt idx="1220">
                  <c:v>45301</c:v>
                </c:pt>
                <c:pt idx="1221">
                  <c:v>45302</c:v>
                </c:pt>
                <c:pt idx="1222">
                  <c:v>45303</c:v>
                </c:pt>
                <c:pt idx="1223">
                  <c:v>45306</c:v>
                </c:pt>
                <c:pt idx="1224">
                  <c:v>45307</c:v>
                </c:pt>
                <c:pt idx="1225">
                  <c:v>45308</c:v>
                </c:pt>
                <c:pt idx="1226">
                  <c:v>45309</c:v>
                </c:pt>
                <c:pt idx="1227">
                  <c:v>45310</c:v>
                </c:pt>
                <c:pt idx="1228">
                  <c:v>45313</c:v>
                </c:pt>
                <c:pt idx="1229">
                  <c:v>45314</c:v>
                </c:pt>
                <c:pt idx="1230">
                  <c:v>45315</c:v>
                </c:pt>
                <c:pt idx="1231">
                  <c:v>45316</c:v>
                </c:pt>
                <c:pt idx="1232">
                  <c:v>45317</c:v>
                </c:pt>
                <c:pt idx="1233">
                  <c:v>45320</c:v>
                </c:pt>
                <c:pt idx="1234">
                  <c:v>45321</c:v>
                </c:pt>
                <c:pt idx="1235">
                  <c:v>45322</c:v>
                </c:pt>
                <c:pt idx="1236">
                  <c:v>45323</c:v>
                </c:pt>
                <c:pt idx="1237">
                  <c:v>45324</c:v>
                </c:pt>
                <c:pt idx="1238">
                  <c:v>45327</c:v>
                </c:pt>
                <c:pt idx="1239">
                  <c:v>45328</c:v>
                </c:pt>
                <c:pt idx="1240">
                  <c:v>45329</c:v>
                </c:pt>
                <c:pt idx="1241">
                  <c:v>45330</c:v>
                </c:pt>
                <c:pt idx="1242">
                  <c:v>45341</c:v>
                </c:pt>
                <c:pt idx="1243">
                  <c:v>45342</c:v>
                </c:pt>
                <c:pt idx="1244">
                  <c:v>45343</c:v>
                </c:pt>
                <c:pt idx="1245">
                  <c:v>45344</c:v>
                </c:pt>
                <c:pt idx="1246">
                  <c:v>45345</c:v>
                </c:pt>
                <c:pt idx="1247">
                  <c:v>45348</c:v>
                </c:pt>
                <c:pt idx="1248">
                  <c:v>45349</c:v>
                </c:pt>
                <c:pt idx="1249">
                  <c:v>45350</c:v>
                </c:pt>
                <c:pt idx="1250">
                  <c:v>45351</c:v>
                </c:pt>
                <c:pt idx="1251">
                  <c:v>45352</c:v>
                </c:pt>
                <c:pt idx="1252">
                  <c:v>45355</c:v>
                </c:pt>
                <c:pt idx="1253">
                  <c:v>45356</c:v>
                </c:pt>
                <c:pt idx="1254">
                  <c:v>45357</c:v>
                </c:pt>
                <c:pt idx="1255">
                  <c:v>45358</c:v>
                </c:pt>
                <c:pt idx="1256">
                  <c:v>45359</c:v>
                </c:pt>
                <c:pt idx="1257">
                  <c:v>45362</c:v>
                </c:pt>
                <c:pt idx="1258">
                  <c:v>45363</c:v>
                </c:pt>
                <c:pt idx="1259">
                  <c:v>45364</c:v>
                </c:pt>
                <c:pt idx="1260">
                  <c:v>45365</c:v>
                </c:pt>
                <c:pt idx="1261">
                  <c:v>45366</c:v>
                </c:pt>
                <c:pt idx="1262">
                  <c:v>45369</c:v>
                </c:pt>
                <c:pt idx="1263">
                  <c:v>45370</c:v>
                </c:pt>
                <c:pt idx="1264">
                  <c:v>45371</c:v>
                </c:pt>
                <c:pt idx="1265">
                  <c:v>45372</c:v>
                </c:pt>
                <c:pt idx="1266">
                  <c:v>45373</c:v>
                </c:pt>
                <c:pt idx="1267">
                  <c:v>45376</c:v>
                </c:pt>
                <c:pt idx="1268">
                  <c:v>45377</c:v>
                </c:pt>
                <c:pt idx="1269">
                  <c:v>45378</c:v>
                </c:pt>
                <c:pt idx="1270">
                  <c:v>45379</c:v>
                </c:pt>
                <c:pt idx="1271">
                  <c:v>45380</c:v>
                </c:pt>
                <c:pt idx="1272">
                  <c:v>45383</c:v>
                </c:pt>
                <c:pt idx="1273">
                  <c:v>45384</c:v>
                </c:pt>
                <c:pt idx="1274">
                  <c:v>45385</c:v>
                </c:pt>
                <c:pt idx="1275">
                  <c:v>45390</c:v>
                </c:pt>
                <c:pt idx="1276">
                  <c:v>45391</c:v>
                </c:pt>
                <c:pt idx="1277">
                  <c:v>45392</c:v>
                </c:pt>
                <c:pt idx="1278">
                  <c:v>45393</c:v>
                </c:pt>
                <c:pt idx="1279">
                  <c:v>45394</c:v>
                </c:pt>
                <c:pt idx="1280">
                  <c:v>45397</c:v>
                </c:pt>
                <c:pt idx="1281">
                  <c:v>45398</c:v>
                </c:pt>
              </c:numCache>
            </c:numRef>
          </c:cat>
          <c:val>
            <c:numRef>
              <c:f>历史数据!$H$2:$H$3390</c:f>
              <c:numCache>
                <c:formatCode>General</c:formatCode>
                <c:ptCount val="3389"/>
                <c:pt idx="0">
                  <c:v>15.737900000000081</c:v>
                </c:pt>
                <c:pt idx="1">
                  <c:v>15.737900000000081</c:v>
                </c:pt>
                <c:pt idx="2">
                  <c:v>15.737900000000081</c:v>
                </c:pt>
                <c:pt idx="3">
                  <c:v>15.737900000000081</c:v>
                </c:pt>
                <c:pt idx="4">
                  <c:v>15.737900000000081</c:v>
                </c:pt>
                <c:pt idx="5">
                  <c:v>15.737900000000081</c:v>
                </c:pt>
                <c:pt idx="6">
                  <c:v>15.737900000000081</c:v>
                </c:pt>
                <c:pt idx="7">
                  <c:v>15.737900000000081</c:v>
                </c:pt>
                <c:pt idx="8">
                  <c:v>15.737900000000081</c:v>
                </c:pt>
                <c:pt idx="9">
                  <c:v>15.737900000000081</c:v>
                </c:pt>
                <c:pt idx="10">
                  <c:v>15.737900000000081</c:v>
                </c:pt>
                <c:pt idx="11">
                  <c:v>15.737900000000081</c:v>
                </c:pt>
                <c:pt idx="12">
                  <c:v>15.737900000000081</c:v>
                </c:pt>
                <c:pt idx="13">
                  <c:v>15.737900000000081</c:v>
                </c:pt>
                <c:pt idx="14">
                  <c:v>15.737900000000081</c:v>
                </c:pt>
                <c:pt idx="15">
                  <c:v>15.737900000000081</c:v>
                </c:pt>
                <c:pt idx="16">
                  <c:v>15.737900000000081</c:v>
                </c:pt>
                <c:pt idx="17">
                  <c:v>15.737900000000081</c:v>
                </c:pt>
                <c:pt idx="18">
                  <c:v>15.737900000000081</c:v>
                </c:pt>
                <c:pt idx="19">
                  <c:v>15.737900000000081</c:v>
                </c:pt>
                <c:pt idx="20">
                  <c:v>15.737900000000081</c:v>
                </c:pt>
                <c:pt idx="21">
                  <c:v>15.737900000000081</c:v>
                </c:pt>
                <c:pt idx="22">
                  <c:v>15.737900000000081</c:v>
                </c:pt>
                <c:pt idx="23">
                  <c:v>15.737900000000081</c:v>
                </c:pt>
                <c:pt idx="24">
                  <c:v>15.737900000000081</c:v>
                </c:pt>
                <c:pt idx="25">
                  <c:v>15.737900000000081</c:v>
                </c:pt>
                <c:pt idx="26">
                  <c:v>15.737900000000081</c:v>
                </c:pt>
                <c:pt idx="27">
                  <c:v>15.737900000000081</c:v>
                </c:pt>
                <c:pt idx="28">
                  <c:v>15.737900000000081</c:v>
                </c:pt>
                <c:pt idx="29">
                  <c:v>15.737900000000081</c:v>
                </c:pt>
                <c:pt idx="30">
                  <c:v>15.737900000000081</c:v>
                </c:pt>
                <c:pt idx="31">
                  <c:v>15.737900000000081</c:v>
                </c:pt>
                <c:pt idx="32">
                  <c:v>15.737900000000081</c:v>
                </c:pt>
                <c:pt idx="33">
                  <c:v>15.737900000000081</c:v>
                </c:pt>
                <c:pt idx="34">
                  <c:v>15.737900000000081</c:v>
                </c:pt>
                <c:pt idx="35">
                  <c:v>15.737900000000081</c:v>
                </c:pt>
                <c:pt idx="36">
                  <c:v>15.737900000000081</c:v>
                </c:pt>
                <c:pt idx="37">
                  <c:v>15.737900000000081</c:v>
                </c:pt>
                <c:pt idx="38">
                  <c:v>15.737900000000081</c:v>
                </c:pt>
                <c:pt idx="39">
                  <c:v>15.737900000000081</c:v>
                </c:pt>
                <c:pt idx="40">
                  <c:v>15.737900000000081</c:v>
                </c:pt>
                <c:pt idx="41">
                  <c:v>15.737900000000081</c:v>
                </c:pt>
                <c:pt idx="42">
                  <c:v>15.737900000000081</c:v>
                </c:pt>
                <c:pt idx="43">
                  <c:v>15.737900000000081</c:v>
                </c:pt>
                <c:pt idx="44">
                  <c:v>15.737900000000081</c:v>
                </c:pt>
                <c:pt idx="45">
                  <c:v>15.737900000000081</c:v>
                </c:pt>
                <c:pt idx="46">
                  <c:v>15.737900000000081</c:v>
                </c:pt>
                <c:pt idx="47">
                  <c:v>15.737900000000081</c:v>
                </c:pt>
                <c:pt idx="48">
                  <c:v>15.737900000000081</c:v>
                </c:pt>
                <c:pt idx="49">
                  <c:v>15.737900000000081</c:v>
                </c:pt>
                <c:pt idx="50">
                  <c:v>15.737900000000081</c:v>
                </c:pt>
                <c:pt idx="51">
                  <c:v>15.737900000000081</c:v>
                </c:pt>
                <c:pt idx="52">
                  <c:v>15.737900000000081</c:v>
                </c:pt>
                <c:pt idx="53">
                  <c:v>15.737900000000081</c:v>
                </c:pt>
                <c:pt idx="54">
                  <c:v>15.737900000000081</c:v>
                </c:pt>
                <c:pt idx="55">
                  <c:v>15.737900000000081</c:v>
                </c:pt>
                <c:pt idx="56">
                  <c:v>15.737900000000081</c:v>
                </c:pt>
                <c:pt idx="57">
                  <c:v>15.737900000000081</c:v>
                </c:pt>
                <c:pt idx="58">
                  <c:v>15.737900000000081</c:v>
                </c:pt>
                <c:pt idx="59">
                  <c:v>15.737900000000081</c:v>
                </c:pt>
                <c:pt idx="60">
                  <c:v>15.737900000000081</c:v>
                </c:pt>
                <c:pt idx="61">
                  <c:v>15.737900000000081</c:v>
                </c:pt>
                <c:pt idx="62">
                  <c:v>15.737900000000081</c:v>
                </c:pt>
                <c:pt idx="63">
                  <c:v>15.737900000000081</c:v>
                </c:pt>
                <c:pt idx="64">
                  <c:v>15.737900000000081</c:v>
                </c:pt>
                <c:pt idx="65">
                  <c:v>15.737900000000081</c:v>
                </c:pt>
                <c:pt idx="66">
                  <c:v>15.737900000000081</c:v>
                </c:pt>
                <c:pt idx="67">
                  <c:v>15.737900000000081</c:v>
                </c:pt>
                <c:pt idx="68">
                  <c:v>15.737900000000081</c:v>
                </c:pt>
                <c:pt idx="69">
                  <c:v>15.737900000000081</c:v>
                </c:pt>
                <c:pt idx="70">
                  <c:v>15.737900000000081</c:v>
                </c:pt>
                <c:pt idx="71">
                  <c:v>15.737900000000081</c:v>
                </c:pt>
                <c:pt idx="72">
                  <c:v>15.737900000000081</c:v>
                </c:pt>
                <c:pt idx="73">
                  <c:v>15.737900000000081</c:v>
                </c:pt>
                <c:pt idx="74">
                  <c:v>15.737900000000081</c:v>
                </c:pt>
                <c:pt idx="75">
                  <c:v>15.737900000000081</c:v>
                </c:pt>
                <c:pt idx="76">
                  <c:v>15.737900000000081</c:v>
                </c:pt>
                <c:pt idx="77">
                  <c:v>15.737900000000081</c:v>
                </c:pt>
                <c:pt idx="78">
                  <c:v>15.737900000000081</c:v>
                </c:pt>
                <c:pt idx="79">
                  <c:v>15.737900000000081</c:v>
                </c:pt>
                <c:pt idx="80">
                  <c:v>15.737900000000081</c:v>
                </c:pt>
                <c:pt idx="81">
                  <c:v>15.737900000000081</c:v>
                </c:pt>
                <c:pt idx="82">
                  <c:v>15.737900000000081</c:v>
                </c:pt>
                <c:pt idx="83">
                  <c:v>15.737900000000081</c:v>
                </c:pt>
                <c:pt idx="84">
                  <c:v>15.737900000000081</c:v>
                </c:pt>
                <c:pt idx="85">
                  <c:v>15.737900000000081</c:v>
                </c:pt>
                <c:pt idx="86">
                  <c:v>15.737900000000081</c:v>
                </c:pt>
                <c:pt idx="87">
                  <c:v>15.737900000000081</c:v>
                </c:pt>
                <c:pt idx="88">
                  <c:v>15.737900000000081</c:v>
                </c:pt>
                <c:pt idx="89">
                  <c:v>15.737900000000081</c:v>
                </c:pt>
                <c:pt idx="90">
                  <c:v>15.737900000000081</c:v>
                </c:pt>
                <c:pt idx="91">
                  <c:v>15.737900000000081</c:v>
                </c:pt>
                <c:pt idx="92">
                  <c:v>15.737900000000081</c:v>
                </c:pt>
                <c:pt idx="93">
                  <c:v>15.737900000000081</c:v>
                </c:pt>
                <c:pt idx="94">
                  <c:v>15.737900000000081</c:v>
                </c:pt>
                <c:pt idx="95">
                  <c:v>15.737900000000081</c:v>
                </c:pt>
                <c:pt idx="96">
                  <c:v>15.737900000000081</c:v>
                </c:pt>
                <c:pt idx="97">
                  <c:v>15.737900000000081</c:v>
                </c:pt>
                <c:pt idx="98">
                  <c:v>15.737900000000081</c:v>
                </c:pt>
                <c:pt idx="99">
                  <c:v>15.737900000000081</c:v>
                </c:pt>
                <c:pt idx="100">
                  <c:v>15.737900000000081</c:v>
                </c:pt>
                <c:pt idx="101">
                  <c:v>15.737900000000081</c:v>
                </c:pt>
                <c:pt idx="102">
                  <c:v>15.737900000000081</c:v>
                </c:pt>
                <c:pt idx="103">
                  <c:v>15.737900000000081</c:v>
                </c:pt>
                <c:pt idx="104">
                  <c:v>15.737900000000081</c:v>
                </c:pt>
                <c:pt idx="105">
                  <c:v>15.737900000000081</c:v>
                </c:pt>
                <c:pt idx="106">
                  <c:v>15.737900000000081</c:v>
                </c:pt>
                <c:pt idx="107">
                  <c:v>15.737900000000081</c:v>
                </c:pt>
                <c:pt idx="108">
                  <c:v>15.737900000000081</c:v>
                </c:pt>
                <c:pt idx="109">
                  <c:v>15.737900000000081</c:v>
                </c:pt>
                <c:pt idx="110">
                  <c:v>15.737900000000081</c:v>
                </c:pt>
                <c:pt idx="111">
                  <c:v>15.737900000000081</c:v>
                </c:pt>
                <c:pt idx="112">
                  <c:v>15.737900000000081</c:v>
                </c:pt>
                <c:pt idx="113">
                  <c:v>15.737900000000081</c:v>
                </c:pt>
                <c:pt idx="114">
                  <c:v>15.737900000000081</c:v>
                </c:pt>
                <c:pt idx="115">
                  <c:v>15.737900000000081</c:v>
                </c:pt>
                <c:pt idx="116">
                  <c:v>15.737900000000081</c:v>
                </c:pt>
                <c:pt idx="117">
                  <c:v>15.737900000000081</c:v>
                </c:pt>
                <c:pt idx="118">
                  <c:v>15.737900000000081</c:v>
                </c:pt>
                <c:pt idx="119">
                  <c:v>15.737900000000081</c:v>
                </c:pt>
                <c:pt idx="120">
                  <c:v>15.737900000000081</c:v>
                </c:pt>
                <c:pt idx="121">
                  <c:v>15.737900000000081</c:v>
                </c:pt>
                <c:pt idx="122">
                  <c:v>15.737900000000081</c:v>
                </c:pt>
                <c:pt idx="123">
                  <c:v>15.737900000000081</c:v>
                </c:pt>
                <c:pt idx="124">
                  <c:v>15.737900000000081</c:v>
                </c:pt>
                <c:pt idx="125">
                  <c:v>15.737900000000081</c:v>
                </c:pt>
                <c:pt idx="126">
                  <c:v>15.737900000000081</c:v>
                </c:pt>
                <c:pt idx="127">
                  <c:v>15.737900000000081</c:v>
                </c:pt>
                <c:pt idx="128">
                  <c:v>15.737900000000081</c:v>
                </c:pt>
                <c:pt idx="129">
                  <c:v>15.737900000000081</c:v>
                </c:pt>
                <c:pt idx="130">
                  <c:v>15.737900000000081</c:v>
                </c:pt>
                <c:pt idx="131">
                  <c:v>15.737900000000081</c:v>
                </c:pt>
                <c:pt idx="132">
                  <c:v>15.737900000000081</c:v>
                </c:pt>
                <c:pt idx="133">
                  <c:v>15.737900000000081</c:v>
                </c:pt>
                <c:pt idx="134">
                  <c:v>15.737900000000081</c:v>
                </c:pt>
                <c:pt idx="135">
                  <c:v>15.737900000000081</c:v>
                </c:pt>
                <c:pt idx="136">
                  <c:v>15.737900000000081</c:v>
                </c:pt>
                <c:pt idx="137">
                  <c:v>15.737900000000081</c:v>
                </c:pt>
                <c:pt idx="138">
                  <c:v>15.737900000000081</c:v>
                </c:pt>
                <c:pt idx="139">
                  <c:v>15.737900000000081</c:v>
                </c:pt>
                <c:pt idx="140">
                  <c:v>15.737900000000081</c:v>
                </c:pt>
                <c:pt idx="141">
                  <c:v>15.737900000000081</c:v>
                </c:pt>
                <c:pt idx="142">
                  <c:v>15.737900000000081</c:v>
                </c:pt>
                <c:pt idx="143">
                  <c:v>15.737900000000081</c:v>
                </c:pt>
                <c:pt idx="144">
                  <c:v>15.737900000000081</c:v>
                </c:pt>
                <c:pt idx="145">
                  <c:v>15.737900000000081</c:v>
                </c:pt>
                <c:pt idx="146">
                  <c:v>15.737900000000081</c:v>
                </c:pt>
                <c:pt idx="147">
                  <c:v>15.737900000000081</c:v>
                </c:pt>
                <c:pt idx="148">
                  <c:v>15.737900000000081</c:v>
                </c:pt>
                <c:pt idx="149">
                  <c:v>15.737900000000081</c:v>
                </c:pt>
                <c:pt idx="150">
                  <c:v>15.737900000000081</c:v>
                </c:pt>
                <c:pt idx="151">
                  <c:v>15.737900000000081</c:v>
                </c:pt>
                <c:pt idx="152">
                  <c:v>15.737900000000081</c:v>
                </c:pt>
                <c:pt idx="153">
                  <c:v>15.737900000000081</c:v>
                </c:pt>
                <c:pt idx="154">
                  <c:v>15.737900000000081</c:v>
                </c:pt>
                <c:pt idx="155">
                  <c:v>15.737900000000081</c:v>
                </c:pt>
                <c:pt idx="156">
                  <c:v>15.737900000000081</c:v>
                </c:pt>
                <c:pt idx="157">
                  <c:v>15.737900000000081</c:v>
                </c:pt>
                <c:pt idx="158">
                  <c:v>15.737900000000081</c:v>
                </c:pt>
                <c:pt idx="159">
                  <c:v>15.737900000000081</c:v>
                </c:pt>
                <c:pt idx="160">
                  <c:v>15.737900000000081</c:v>
                </c:pt>
                <c:pt idx="161">
                  <c:v>15.737900000000081</c:v>
                </c:pt>
                <c:pt idx="162">
                  <c:v>15.737900000000081</c:v>
                </c:pt>
                <c:pt idx="163">
                  <c:v>15.737900000000081</c:v>
                </c:pt>
                <c:pt idx="164">
                  <c:v>15.737900000000081</c:v>
                </c:pt>
                <c:pt idx="165">
                  <c:v>15.737900000000081</c:v>
                </c:pt>
                <c:pt idx="166">
                  <c:v>15.737900000000081</c:v>
                </c:pt>
                <c:pt idx="167">
                  <c:v>15.737900000000081</c:v>
                </c:pt>
                <c:pt idx="168">
                  <c:v>15.737900000000081</c:v>
                </c:pt>
                <c:pt idx="169">
                  <c:v>15.737900000000081</c:v>
                </c:pt>
                <c:pt idx="170">
                  <c:v>15.737900000000081</c:v>
                </c:pt>
                <c:pt idx="171">
                  <c:v>15.737900000000081</c:v>
                </c:pt>
                <c:pt idx="172">
                  <c:v>15.737900000000081</c:v>
                </c:pt>
                <c:pt idx="173">
                  <c:v>15.737900000000081</c:v>
                </c:pt>
                <c:pt idx="174">
                  <c:v>15.737900000000081</c:v>
                </c:pt>
                <c:pt idx="175">
                  <c:v>15.737900000000081</c:v>
                </c:pt>
                <c:pt idx="176">
                  <c:v>15.737900000000081</c:v>
                </c:pt>
                <c:pt idx="177">
                  <c:v>15.737900000000081</c:v>
                </c:pt>
                <c:pt idx="178">
                  <c:v>15.737900000000081</c:v>
                </c:pt>
                <c:pt idx="179">
                  <c:v>15.737900000000081</c:v>
                </c:pt>
                <c:pt idx="180">
                  <c:v>15.737900000000081</c:v>
                </c:pt>
                <c:pt idx="181">
                  <c:v>15.737900000000081</c:v>
                </c:pt>
                <c:pt idx="182">
                  <c:v>15.737900000000081</c:v>
                </c:pt>
                <c:pt idx="183">
                  <c:v>15.737900000000081</c:v>
                </c:pt>
                <c:pt idx="184">
                  <c:v>15.737900000000081</c:v>
                </c:pt>
                <c:pt idx="185">
                  <c:v>15.737900000000081</c:v>
                </c:pt>
                <c:pt idx="186">
                  <c:v>15.737900000000081</c:v>
                </c:pt>
                <c:pt idx="187">
                  <c:v>15.737900000000081</c:v>
                </c:pt>
                <c:pt idx="188">
                  <c:v>15.737900000000081</c:v>
                </c:pt>
                <c:pt idx="189">
                  <c:v>15.737900000000081</c:v>
                </c:pt>
                <c:pt idx="190">
                  <c:v>15.737900000000081</c:v>
                </c:pt>
                <c:pt idx="191">
                  <c:v>15.737900000000081</c:v>
                </c:pt>
                <c:pt idx="192">
                  <c:v>15.737900000000081</c:v>
                </c:pt>
                <c:pt idx="193">
                  <c:v>15.737900000000081</c:v>
                </c:pt>
                <c:pt idx="194">
                  <c:v>15.737900000000081</c:v>
                </c:pt>
                <c:pt idx="195">
                  <c:v>15.737900000000081</c:v>
                </c:pt>
                <c:pt idx="196">
                  <c:v>15.737900000000081</c:v>
                </c:pt>
                <c:pt idx="197">
                  <c:v>15.737900000000081</c:v>
                </c:pt>
                <c:pt idx="198">
                  <c:v>15.737900000000081</c:v>
                </c:pt>
                <c:pt idx="199">
                  <c:v>15.737900000000081</c:v>
                </c:pt>
                <c:pt idx="200">
                  <c:v>15.737900000000081</c:v>
                </c:pt>
                <c:pt idx="201">
                  <c:v>15.737900000000081</c:v>
                </c:pt>
                <c:pt idx="202">
                  <c:v>15.737900000000081</c:v>
                </c:pt>
                <c:pt idx="203">
                  <c:v>15.737900000000081</c:v>
                </c:pt>
                <c:pt idx="204">
                  <c:v>15.737900000000081</c:v>
                </c:pt>
                <c:pt idx="205">
                  <c:v>15.737900000000081</c:v>
                </c:pt>
                <c:pt idx="206">
                  <c:v>15.737900000000081</c:v>
                </c:pt>
                <c:pt idx="207">
                  <c:v>15.737900000000081</c:v>
                </c:pt>
                <c:pt idx="208">
                  <c:v>15.737900000000081</c:v>
                </c:pt>
                <c:pt idx="209">
                  <c:v>15.737900000000081</c:v>
                </c:pt>
                <c:pt idx="210">
                  <c:v>15.737900000000081</c:v>
                </c:pt>
                <c:pt idx="211">
                  <c:v>15.737900000000081</c:v>
                </c:pt>
                <c:pt idx="212">
                  <c:v>15.737900000000081</c:v>
                </c:pt>
                <c:pt idx="213">
                  <c:v>15.737900000000081</c:v>
                </c:pt>
                <c:pt idx="214">
                  <c:v>15.737900000000081</c:v>
                </c:pt>
                <c:pt idx="215">
                  <c:v>15.737900000000081</c:v>
                </c:pt>
                <c:pt idx="216">
                  <c:v>15.737900000000081</c:v>
                </c:pt>
                <c:pt idx="217">
                  <c:v>15.737900000000081</c:v>
                </c:pt>
                <c:pt idx="218">
                  <c:v>15.737900000000081</c:v>
                </c:pt>
                <c:pt idx="219">
                  <c:v>15.737900000000081</c:v>
                </c:pt>
                <c:pt idx="220">
                  <c:v>15.737900000000081</c:v>
                </c:pt>
                <c:pt idx="221">
                  <c:v>15.737900000000081</c:v>
                </c:pt>
                <c:pt idx="222">
                  <c:v>15.737900000000081</c:v>
                </c:pt>
                <c:pt idx="223">
                  <c:v>15.737900000000081</c:v>
                </c:pt>
                <c:pt idx="224">
                  <c:v>15.737900000000081</c:v>
                </c:pt>
                <c:pt idx="225">
                  <c:v>15.737900000000081</c:v>
                </c:pt>
                <c:pt idx="226">
                  <c:v>15.737900000000081</c:v>
                </c:pt>
                <c:pt idx="227">
                  <c:v>15.737900000000081</c:v>
                </c:pt>
                <c:pt idx="228">
                  <c:v>15.737900000000081</c:v>
                </c:pt>
                <c:pt idx="229">
                  <c:v>15.737900000000081</c:v>
                </c:pt>
                <c:pt idx="230">
                  <c:v>15.737900000000081</c:v>
                </c:pt>
                <c:pt idx="231">
                  <c:v>15.737900000000081</c:v>
                </c:pt>
                <c:pt idx="232">
                  <c:v>15.737900000000081</c:v>
                </c:pt>
                <c:pt idx="233">
                  <c:v>15.737900000000081</c:v>
                </c:pt>
                <c:pt idx="234">
                  <c:v>15.737900000000081</c:v>
                </c:pt>
                <c:pt idx="235">
                  <c:v>15.737900000000081</c:v>
                </c:pt>
                <c:pt idx="236">
                  <c:v>15.737900000000081</c:v>
                </c:pt>
                <c:pt idx="237">
                  <c:v>15.737900000000081</c:v>
                </c:pt>
                <c:pt idx="238">
                  <c:v>15.737900000000081</c:v>
                </c:pt>
                <c:pt idx="239">
                  <c:v>15.737900000000081</c:v>
                </c:pt>
                <c:pt idx="240">
                  <c:v>15.737900000000081</c:v>
                </c:pt>
                <c:pt idx="241">
                  <c:v>15.737900000000081</c:v>
                </c:pt>
                <c:pt idx="242">
                  <c:v>15.737900000000081</c:v>
                </c:pt>
                <c:pt idx="243">
                  <c:v>15.737900000000081</c:v>
                </c:pt>
                <c:pt idx="244">
                  <c:v>15.737900000000081</c:v>
                </c:pt>
                <c:pt idx="245">
                  <c:v>15.737900000000081</c:v>
                </c:pt>
                <c:pt idx="246">
                  <c:v>15.737900000000081</c:v>
                </c:pt>
                <c:pt idx="247">
                  <c:v>15.737900000000081</c:v>
                </c:pt>
                <c:pt idx="248">
                  <c:v>15.737900000000081</c:v>
                </c:pt>
                <c:pt idx="249">
                  <c:v>15.737900000000081</c:v>
                </c:pt>
                <c:pt idx="250">
                  <c:v>15.737900000000081</c:v>
                </c:pt>
                <c:pt idx="251">
                  <c:v>15.737900000000081</c:v>
                </c:pt>
                <c:pt idx="252">
                  <c:v>15.737900000000081</c:v>
                </c:pt>
                <c:pt idx="253">
                  <c:v>15.737900000000081</c:v>
                </c:pt>
                <c:pt idx="254">
                  <c:v>15.737900000000081</c:v>
                </c:pt>
                <c:pt idx="255">
                  <c:v>15.737900000000081</c:v>
                </c:pt>
                <c:pt idx="256">
                  <c:v>15.737900000000081</c:v>
                </c:pt>
                <c:pt idx="257">
                  <c:v>15.737900000000081</c:v>
                </c:pt>
                <c:pt idx="258">
                  <c:v>15.737900000000081</c:v>
                </c:pt>
                <c:pt idx="259">
                  <c:v>15.737900000000081</c:v>
                </c:pt>
                <c:pt idx="260">
                  <c:v>15.737900000000081</c:v>
                </c:pt>
                <c:pt idx="261">
                  <c:v>15.737900000000081</c:v>
                </c:pt>
                <c:pt idx="262">
                  <c:v>15.737900000000081</c:v>
                </c:pt>
                <c:pt idx="263">
                  <c:v>15.737900000000081</c:v>
                </c:pt>
                <c:pt idx="264">
                  <c:v>15.737900000000081</c:v>
                </c:pt>
                <c:pt idx="265">
                  <c:v>15.737900000000081</c:v>
                </c:pt>
                <c:pt idx="266">
                  <c:v>15.737900000000081</c:v>
                </c:pt>
                <c:pt idx="267">
                  <c:v>15.737900000000081</c:v>
                </c:pt>
                <c:pt idx="268">
                  <c:v>15.737900000000081</c:v>
                </c:pt>
                <c:pt idx="269">
                  <c:v>15.737900000000081</c:v>
                </c:pt>
                <c:pt idx="270">
                  <c:v>15.737900000000081</c:v>
                </c:pt>
                <c:pt idx="271">
                  <c:v>15.737900000000081</c:v>
                </c:pt>
                <c:pt idx="272">
                  <c:v>15.737900000000081</c:v>
                </c:pt>
                <c:pt idx="273">
                  <c:v>15.737900000000081</c:v>
                </c:pt>
                <c:pt idx="274">
                  <c:v>15.737900000000081</c:v>
                </c:pt>
                <c:pt idx="275">
                  <c:v>15.737900000000081</c:v>
                </c:pt>
                <c:pt idx="276">
                  <c:v>15.737900000000081</c:v>
                </c:pt>
                <c:pt idx="277">
                  <c:v>15.737900000000081</c:v>
                </c:pt>
                <c:pt idx="278">
                  <c:v>15.737900000000081</c:v>
                </c:pt>
                <c:pt idx="279">
                  <c:v>15.737900000000081</c:v>
                </c:pt>
                <c:pt idx="280">
                  <c:v>15.737900000000081</c:v>
                </c:pt>
                <c:pt idx="281">
                  <c:v>15.737900000000081</c:v>
                </c:pt>
                <c:pt idx="282">
                  <c:v>15.737900000000081</c:v>
                </c:pt>
                <c:pt idx="283">
                  <c:v>15.737900000000081</c:v>
                </c:pt>
                <c:pt idx="284">
                  <c:v>15.737900000000081</c:v>
                </c:pt>
                <c:pt idx="285">
                  <c:v>15.737900000000081</c:v>
                </c:pt>
                <c:pt idx="286">
                  <c:v>15.737900000000081</c:v>
                </c:pt>
                <c:pt idx="287">
                  <c:v>15.737900000000081</c:v>
                </c:pt>
                <c:pt idx="288">
                  <c:v>15.737900000000081</c:v>
                </c:pt>
                <c:pt idx="289">
                  <c:v>15.737900000000081</c:v>
                </c:pt>
                <c:pt idx="290">
                  <c:v>15.737900000000081</c:v>
                </c:pt>
                <c:pt idx="291">
                  <c:v>15.737900000000081</c:v>
                </c:pt>
                <c:pt idx="292">
                  <c:v>15.737900000000081</c:v>
                </c:pt>
                <c:pt idx="293">
                  <c:v>15.737900000000081</c:v>
                </c:pt>
                <c:pt idx="294">
                  <c:v>15.737900000000081</c:v>
                </c:pt>
                <c:pt idx="295">
                  <c:v>15.737900000000081</c:v>
                </c:pt>
                <c:pt idx="296">
                  <c:v>15.737900000000081</c:v>
                </c:pt>
                <c:pt idx="297">
                  <c:v>15.737900000000081</c:v>
                </c:pt>
                <c:pt idx="298">
                  <c:v>15.737900000000081</c:v>
                </c:pt>
                <c:pt idx="299">
                  <c:v>15.737900000000081</c:v>
                </c:pt>
                <c:pt idx="300">
                  <c:v>15.737900000000081</c:v>
                </c:pt>
                <c:pt idx="301">
                  <c:v>15.737900000000081</c:v>
                </c:pt>
                <c:pt idx="302">
                  <c:v>15.737900000000081</c:v>
                </c:pt>
                <c:pt idx="303">
                  <c:v>15.737900000000081</c:v>
                </c:pt>
                <c:pt idx="304">
                  <c:v>15.737900000000081</c:v>
                </c:pt>
                <c:pt idx="305">
                  <c:v>15.737900000000081</c:v>
                </c:pt>
                <c:pt idx="306">
                  <c:v>15.737900000000081</c:v>
                </c:pt>
                <c:pt idx="307">
                  <c:v>15.737900000000081</c:v>
                </c:pt>
                <c:pt idx="308">
                  <c:v>15.737900000000081</c:v>
                </c:pt>
                <c:pt idx="309">
                  <c:v>15.737900000000081</c:v>
                </c:pt>
                <c:pt idx="310">
                  <c:v>15.737900000000081</c:v>
                </c:pt>
                <c:pt idx="311">
                  <c:v>15.737900000000081</c:v>
                </c:pt>
                <c:pt idx="312">
                  <c:v>15.737900000000081</c:v>
                </c:pt>
                <c:pt idx="313">
                  <c:v>15.737900000000081</c:v>
                </c:pt>
                <c:pt idx="314">
                  <c:v>15.737900000000081</c:v>
                </c:pt>
                <c:pt idx="315">
                  <c:v>15.737900000000081</c:v>
                </c:pt>
                <c:pt idx="316">
                  <c:v>15.737900000000081</c:v>
                </c:pt>
                <c:pt idx="317">
                  <c:v>15.737900000000081</c:v>
                </c:pt>
                <c:pt idx="318">
                  <c:v>15.737900000000081</c:v>
                </c:pt>
                <c:pt idx="319">
                  <c:v>15.737900000000081</c:v>
                </c:pt>
                <c:pt idx="320">
                  <c:v>15.737900000000081</c:v>
                </c:pt>
                <c:pt idx="321">
                  <c:v>15.737900000000081</c:v>
                </c:pt>
                <c:pt idx="322">
                  <c:v>15.737900000000081</c:v>
                </c:pt>
                <c:pt idx="323">
                  <c:v>15.737900000000081</c:v>
                </c:pt>
                <c:pt idx="324">
                  <c:v>15.737900000000081</c:v>
                </c:pt>
                <c:pt idx="325">
                  <c:v>15.737900000000081</c:v>
                </c:pt>
                <c:pt idx="326">
                  <c:v>15.737900000000081</c:v>
                </c:pt>
                <c:pt idx="327">
                  <c:v>15.737900000000081</c:v>
                </c:pt>
                <c:pt idx="328">
                  <c:v>15.737900000000081</c:v>
                </c:pt>
                <c:pt idx="329">
                  <c:v>15.737900000000081</c:v>
                </c:pt>
                <c:pt idx="330">
                  <c:v>15.737900000000081</c:v>
                </c:pt>
                <c:pt idx="331">
                  <c:v>15.737900000000081</c:v>
                </c:pt>
                <c:pt idx="332">
                  <c:v>15.737900000000081</c:v>
                </c:pt>
                <c:pt idx="333">
                  <c:v>15.737900000000081</c:v>
                </c:pt>
                <c:pt idx="334">
                  <c:v>15.737900000000081</c:v>
                </c:pt>
                <c:pt idx="335">
                  <c:v>15.737900000000081</c:v>
                </c:pt>
                <c:pt idx="336">
                  <c:v>15.737900000000081</c:v>
                </c:pt>
                <c:pt idx="337">
                  <c:v>15.737900000000081</c:v>
                </c:pt>
                <c:pt idx="338">
                  <c:v>15.737900000000081</c:v>
                </c:pt>
                <c:pt idx="339">
                  <c:v>15.737900000000081</c:v>
                </c:pt>
                <c:pt idx="340">
                  <c:v>15.737900000000081</c:v>
                </c:pt>
                <c:pt idx="341">
                  <c:v>15.737900000000081</c:v>
                </c:pt>
                <c:pt idx="342">
                  <c:v>15.737900000000081</c:v>
                </c:pt>
                <c:pt idx="343">
                  <c:v>15.737900000000081</c:v>
                </c:pt>
                <c:pt idx="344">
                  <c:v>15.737900000000081</c:v>
                </c:pt>
                <c:pt idx="345">
                  <c:v>15.737900000000081</c:v>
                </c:pt>
                <c:pt idx="346">
                  <c:v>15.737900000000081</c:v>
                </c:pt>
                <c:pt idx="347">
                  <c:v>15.737900000000081</c:v>
                </c:pt>
                <c:pt idx="348">
                  <c:v>15.737900000000081</c:v>
                </c:pt>
                <c:pt idx="349">
                  <c:v>15.737900000000081</c:v>
                </c:pt>
                <c:pt idx="350">
                  <c:v>15.737900000000081</c:v>
                </c:pt>
                <c:pt idx="351">
                  <c:v>15.737900000000081</c:v>
                </c:pt>
                <c:pt idx="352">
                  <c:v>15.737900000000081</c:v>
                </c:pt>
                <c:pt idx="353">
                  <c:v>15.737900000000081</c:v>
                </c:pt>
                <c:pt idx="354">
                  <c:v>15.737900000000081</c:v>
                </c:pt>
                <c:pt idx="355">
                  <c:v>15.737900000000081</c:v>
                </c:pt>
                <c:pt idx="356">
                  <c:v>15.737900000000081</c:v>
                </c:pt>
                <c:pt idx="357">
                  <c:v>15.737900000000081</c:v>
                </c:pt>
                <c:pt idx="358">
                  <c:v>15.737900000000081</c:v>
                </c:pt>
                <c:pt idx="359">
                  <c:v>15.737900000000081</c:v>
                </c:pt>
                <c:pt idx="360">
                  <c:v>15.737900000000081</c:v>
                </c:pt>
                <c:pt idx="361">
                  <c:v>15.737900000000081</c:v>
                </c:pt>
                <c:pt idx="362">
                  <c:v>15.737900000000081</c:v>
                </c:pt>
                <c:pt idx="363">
                  <c:v>15.737900000000081</c:v>
                </c:pt>
                <c:pt idx="364">
                  <c:v>15.737900000000081</c:v>
                </c:pt>
                <c:pt idx="365">
                  <c:v>15.737900000000081</c:v>
                </c:pt>
                <c:pt idx="366">
                  <c:v>15.737900000000081</c:v>
                </c:pt>
                <c:pt idx="367">
                  <c:v>15.737900000000081</c:v>
                </c:pt>
                <c:pt idx="368">
                  <c:v>15.737900000000081</c:v>
                </c:pt>
                <c:pt idx="369">
                  <c:v>15.737900000000081</c:v>
                </c:pt>
                <c:pt idx="370">
                  <c:v>15.737900000000081</c:v>
                </c:pt>
                <c:pt idx="371">
                  <c:v>15.737900000000081</c:v>
                </c:pt>
                <c:pt idx="372">
                  <c:v>15.737900000000081</c:v>
                </c:pt>
                <c:pt idx="373">
                  <c:v>15.737900000000081</c:v>
                </c:pt>
                <c:pt idx="374">
                  <c:v>15.737900000000081</c:v>
                </c:pt>
                <c:pt idx="375">
                  <c:v>15.737900000000081</c:v>
                </c:pt>
                <c:pt idx="376">
                  <c:v>15.737900000000081</c:v>
                </c:pt>
                <c:pt idx="377">
                  <c:v>15.737900000000081</c:v>
                </c:pt>
                <c:pt idx="378">
                  <c:v>15.737900000000081</c:v>
                </c:pt>
                <c:pt idx="379">
                  <c:v>15.737900000000081</c:v>
                </c:pt>
                <c:pt idx="380">
                  <c:v>15.737900000000081</c:v>
                </c:pt>
                <c:pt idx="381">
                  <c:v>15.737900000000081</c:v>
                </c:pt>
                <c:pt idx="382">
                  <c:v>15.737900000000081</c:v>
                </c:pt>
                <c:pt idx="383">
                  <c:v>15.737900000000081</c:v>
                </c:pt>
                <c:pt idx="384">
                  <c:v>15.737900000000081</c:v>
                </c:pt>
                <c:pt idx="385">
                  <c:v>15.737900000000081</c:v>
                </c:pt>
                <c:pt idx="386">
                  <c:v>15.737900000000081</c:v>
                </c:pt>
                <c:pt idx="387">
                  <c:v>15.737900000000081</c:v>
                </c:pt>
                <c:pt idx="388">
                  <c:v>15.737900000000081</c:v>
                </c:pt>
                <c:pt idx="389">
                  <c:v>15.737900000000081</c:v>
                </c:pt>
                <c:pt idx="390">
                  <c:v>15.737900000000081</c:v>
                </c:pt>
                <c:pt idx="391">
                  <c:v>15.737900000000081</c:v>
                </c:pt>
                <c:pt idx="392">
                  <c:v>15.737900000000081</c:v>
                </c:pt>
                <c:pt idx="393">
                  <c:v>15.737900000000081</c:v>
                </c:pt>
                <c:pt idx="394">
                  <c:v>15.737900000000081</c:v>
                </c:pt>
                <c:pt idx="395">
                  <c:v>15.737900000000081</c:v>
                </c:pt>
                <c:pt idx="396">
                  <c:v>15.737900000000081</c:v>
                </c:pt>
                <c:pt idx="397">
                  <c:v>15.737900000000081</c:v>
                </c:pt>
                <c:pt idx="398">
                  <c:v>15.737900000000081</c:v>
                </c:pt>
                <c:pt idx="399">
                  <c:v>15.737900000000081</c:v>
                </c:pt>
                <c:pt idx="400">
                  <c:v>15.737900000000081</c:v>
                </c:pt>
                <c:pt idx="401">
                  <c:v>15.737900000000081</c:v>
                </c:pt>
                <c:pt idx="402">
                  <c:v>15.737900000000081</c:v>
                </c:pt>
                <c:pt idx="403">
                  <c:v>15.737900000000081</c:v>
                </c:pt>
                <c:pt idx="404">
                  <c:v>15.737900000000081</c:v>
                </c:pt>
                <c:pt idx="405">
                  <c:v>15.737900000000081</c:v>
                </c:pt>
                <c:pt idx="406">
                  <c:v>15.737900000000081</c:v>
                </c:pt>
                <c:pt idx="407">
                  <c:v>15.737900000000081</c:v>
                </c:pt>
                <c:pt idx="408">
                  <c:v>15.737900000000081</c:v>
                </c:pt>
                <c:pt idx="409">
                  <c:v>15.737900000000081</c:v>
                </c:pt>
                <c:pt idx="410">
                  <c:v>15.737900000000081</c:v>
                </c:pt>
                <c:pt idx="411">
                  <c:v>15.737900000000081</c:v>
                </c:pt>
                <c:pt idx="412">
                  <c:v>15.737900000000081</c:v>
                </c:pt>
                <c:pt idx="413">
                  <c:v>15.737900000000081</c:v>
                </c:pt>
                <c:pt idx="414">
                  <c:v>15.737900000000081</c:v>
                </c:pt>
                <c:pt idx="415">
                  <c:v>15.737900000000081</c:v>
                </c:pt>
                <c:pt idx="416">
                  <c:v>15.737900000000081</c:v>
                </c:pt>
                <c:pt idx="417">
                  <c:v>15.737900000000081</c:v>
                </c:pt>
                <c:pt idx="418">
                  <c:v>15.737900000000081</c:v>
                </c:pt>
                <c:pt idx="419">
                  <c:v>15.737900000000081</c:v>
                </c:pt>
                <c:pt idx="420">
                  <c:v>15.737900000000081</c:v>
                </c:pt>
                <c:pt idx="421">
                  <c:v>15.737900000000081</c:v>
                </c:pt>
                <c:pt idx="422">
                  <c:v>15.737900000000081</c:v>
                </c:pt>
                <c:pt idx="423">
                  <c:v>15.737900000000081</c:v>
                </c:pt>
                <c:pt idx="424">
                  <c:v>15.737900000000081</c:v>
                </c:pt>
                <c:pt idx="425">
                  <c:v>15.737900000000081</c:v>
                </c:pt>
                <c:pt idx="426">
                  <c:v>15.737900000000081</c:v>
                </c:pt>
                <c:pt idx="427">
                  <c:v>15.737900000000081</c:v>
                </c:pt>
                <c:pt idx="428">
                  <c:v>15.737900000000081</c:v>
                </c:pt>
                <c:pt idx="429">
                  <c:v>15.737900000000081</c:v>
                </c:pt>
                <c:pt idx="430">
                  <c:v>15.737900000000081</c:v>
                </c:pt>
                <c:pt idx="431">
                  <c:v>15.737900000000081</c:v>
                </c:pt>
                <c:pt idx="432">
                  <c:v>15.737900000000081</c:v>
                </c:pt>
                <c:pt idx="433">
                  <c:v>15.737900000000081</c:v>
                </c:pt>
                <c:pt idx="434">
                  <c:v>15.737900000000081</c:v>
                </c:pt>
                <c:pt idx="435">
                  <c:v>15.737900000000081</c:v>
                </c:pt>
                <c:pt idx="436">
                  <c:v>15.737900000000081</c:v>
                </c:pt>
                <c:pt idx="437">
                  <c:v>15.737900000000081</c:v>
                </c:pt>
                <c:pt idx="438">
                  <c:v>15.737900000000081</c:v>
                </c:pt>
                <c:pt idx="439">
                  <c:v>15.737900000000081</c:v>
                </c:pt>
                <c:pt idx="440">
                  <c:v>15.737900000000081</c:v>
                </c:pt>
                <c:pt idx="441">
                  <c:v>15.737900000000081</c:v>
                </c:pt>
                <c:pt idx="442">
                  <c:v>15.737900000000081</c:v>
                </c:pt>
                <c:pt idx="443">
                  <c:v>15.737900000000081</c:v>
                </c:pt>
                <c:pt idx="444">
                  <c:v>15.737900000000081</c:v>
                </c:pt>
                <c:pt idx="445">
                  <c:v>15.737900000000081</c:v>
                </c:pt>
                <c:pt idx="446">
                  <c:v>15.737900000000081</c:v>
                </c:pt>
                <c:pt idx="447">
                  <c:v>15.737900000000081</c:v>
                </c:pt>
                <c:pt idx="448">
                  <c:v>15.737900000000081</c:v>
                </c:pt>
                <c:pt idx="449">
                  <c:v>15.737900000000081</c:v>
                </c:pt>
                <c:pt idx="450">
                  <c:v>15.737900000000081</c:v>
                </c:pt>
                <c:pt idx="451">
                  <c:v>15.737900000000081</c:v>
                </c:pt>
                <c:pt idx="452">
                  <c:v>15.737900000000081</c:v>
                </c:pt>
                <c:pt idx="453">
                  <c:v>15.737900000000081</c:v>
                </c:pt>
                <c:pt idx="454">
                  <c:v>15.737900000000081</c:v>
                </c:pt>
                <c:pt idx="455">
                  <c:v>15.737900000000081</c:v>
                </c:pt>
                <c:pt idx="456">
                  <c:v>15.737900000000081</c:v>
                </c:pt>
                <c:pt idx="457">
                  <c:v>15.737900000000081</c:v>
                </c:pt>
                <c:pt idx="458">
                  <c:v>15.737900000000081</c:v>
                </c:pt>
                <c:pt idx="459">
                  <c:v>15.737900000000081</c:v>
                </c:pt>
                <c:pt idx="460">
                  <c:v>15.737900000000081</c:v>
                </c:pt>
                <c:pt idx="461">
                  <c:v>15.737900000000081</c:v>
                </c:pt>
                <c:pt idx="462">
                  <c:v>15.737900000000081</c:v>
                </c:pt>
                <c:pt idx="463">
                  <c:v>15.737900000000081</c:v>
                </c:pt>
                <c:pt idx="464">
                  <c:v>15.737900000000081</c:v>
                </c:pt>
                <c:pt idx="465">
                  <c:v>15.737900000000081</c:v>
                </c:pt>
                <c:pt idx="466">
                  <c:v>15.737900000000081</c:v>
                </c:pt>
                <c:pt idx="467">
                  <c:v>15.737900000000081</c:v>
                </c:pt>
                <c:pt idx="468">
                  <c:v>15.737900000000081</c:v>
                </c:pt>
                <c:pt idx="469">
                  <c:v>15.737900000000081</c:v>
                </c:pt>
                <c:pt idx="470">
                  <c:v>15.737900000000081</c:v>
                </c:pt>
                <c:pt idx="471">
                  <c:v>15.737900000000081</c:v>
                </c:pt>
                <c:pt idx="472">
                  <c:v>15.737900000000081</c:v>
                </c:pt>
                <c:pt idx="473">
                  <c:v>15.737900000000081</c:v>
                </c:pt>
                <c:pt idx="474">
                  <c:v>15.737900000000081</c:v>
                </c:pt>
                <c:pt idx="475">
                  <c:v>15.737900000000081</c:v>
                </c:pt>
                <c:pt idx="476">
                  <c:v>15.737900000000081</c:v>
                </c:pt>
                <c:pt idx="477">
                  <c:v>15.737900000000081</c:v>
                </c:pt>
                <c:pt idx="478">
                  <c:v>15.737900000000081</c:v>
                </c:pt>
                <c:pt idx="479">
                  <c:v>15.737900000000081</c:v>
                </c:pt>
                <c:pt idx="480">
                  <c:v>15.737900000000081</c:v>
                </c:pt>
                <c:pt idx="481">
                  <c:v>15.737900000000081</c:v>
                </c:pt>
                <c:pt idx="482">
                  <c:v>15.737900000000081</c:v>
                </c:pt>
                <c:pt idx="483">
                  <c:v>15.737900000000081</c:v>
                </c:pt>
                <c:pt idx="484">
                  <c:v>15.737900000000081</c:v>
                </c:pt>
                <c:pt idx="485">
                  <c:v>15.737900000000081</c:v>
                </c:pt>
                <c:pt idx="486">
                  <c:v>15.737900000000081</c:v>
                </c:pt>
                <c:pt idx="487">
                  <c:v>15.737900000000081</c:v>
                </c:pt>
                <c:pt idx="488">
                  <c:v>15.737900000000081</c:v>
                </c:pt>
                <c:pt idx="489">
                  <c:v>15.737900000000081</c:v>
                </c:pt>
                <c:pt idx="490">
                  <c:v>15.737900000000081</c:v>
                </c:pt>
                <c:pt idx="491">
                  <c:v>15.737900000000081</c:v>
                </c:pt>
                <c:pt idx="492">
                  <c:v>15.737900000000081</c:v>
                </c:pt>
                <c:pt idx="493">
                  <c:v>15.737900000000081</c:v>
                </c:pt>
                <c:pt idx="494">
                  <c:v>15.737900000000081</c:v>
                </c:pt>
                <c:pt idx="495">
                  <c:v>15.737900000000081</c:v>
                </c:pt>
                <c:pt idx="496">
                  <c:v>15.737900000000081</c:v>
                </c:pt>
                <c:pt idx="497">
                  <c:v>15.737900000000081</c:v>
                </c:pt>
                <c:pt idx="498">
                  <c:v>15.737900000000081</c:v>
                </c:pt>
                <c:pt idx="499">
                  <c:v>15.737900000000081</c:v>
                </c:pt>
                <c:pt idx="500">
                  <c:v>15.737900000000081</c:v>
                </c:pt>
                <c:pt idx="501">
                  <c:v>15.737900000000081</c:v>
                </c:pt>
                <c:pt idx="502">
                  <c:v>15.737900000000081</c:v>
                </c:pt>
                <c:pt idx="503">
                  <c:v>15.737900000000081</c:v>
                </c:pt>
                <c:pt idx="504">
                  <c:v>15.737900000000081</c:v>
                </c:pt>
                <c:pt idx="505">
                  <c:v>15.737900000000081</c:v>
                </c:pt>
                <c:pt idx="506">
                  <c:v>15.737900000000081</c:v>
                </c:pt>
                <c:pt idx="507">
                  <c:v>15.737900000000081</c:v>
                </c:pt>
                <c:pt idx="508">
                  <c:v>15.737900000000081</c:v>
                </c:pt>
                <c:pt idx="509">
                  <c:v>15.737900000000081</c:v>
                </c:pt>
                <c:pt idx="510">
                  <c:v>15.737900000000081</c:v>
                </c:pt>
                <c:pt idx="511">
                  <c:v>15.737900000000081</c:v>
                </c:pt>
                <c:pt idx="512">
                  <c:v>15.737900000000081</c:v>
                </c:pt>
                <c:pt idx="513">
                  <c:v>15.737900000000081</c:v>
                </c:pt>
                <c:pt idx="514">
                  <c:v>15.737900000000081</c:v>
                </c:pt>
                <c:pt idx="515">
                  <c:v>15.737900000000081</c:v>
                </c:pt>
                <c:pt idx="516">
                  <c:v>15.737900000000081</c:v>
                </c:pt>
                <c:pt idx="517">
                  <c:v>15.737900000000081</c:v>
                </c:pt>
                <c:pt idx="518">
                  <c:v>15.737900000000081</c:v>
                </c:pt>
                <c:pt idx="519">
                  <c:v>15.737900000000081</c:v>
                </c:pt>
                <c:pt idx="520">
                  <c:v>15.737900000000081</c:v>
                </c:pt>
                <c:pt idx="521">
                  <c:v>15.737900000000081</c:v>
                </c:pt>
                <c:pt idx="522">
                  <c:v>15.737900000000081</c:v>
                </c:pt>
                <c:pt idx="523">
                  <c:v>15.737900000000081</c:v>
                </c:pt>
                <c:pt idx="524">
                  <c:v>15.737900000000081</c:v>
                </c:pt>
                <c:pt idx="525">
                  <c:v>15.737900000000081</c:v>
                </c:pt>
                <c:pt idx="526">
                  <c:v>15.737900000000081</c:v>
                </c:pt>
                <c:pt idx="527">
                  <c:v>15.737900000000081</c:v>
                </c:pt>
                <c:pt idx="528">
                  <c:v>15.737900000000081</c:v>
                </c:pt>
                <c:pt idx="529">
                  <c:v>15.737900000000081</c:v>
                </c:pt>
                <c:pt idx="530">
                  <c:v>15.737900000000081</c:v>
                </c:pt>
                <c:pt idx="531">
                  <c:v>15.737900000000081</c:v>
                </c:pt>
                <c:pt idx="532">
                  <c:v>15.737900000000081</c:v>
                </c:pt>
                <c:pt idx="533">
                  <c:v>15.737900000000081</c:v>
                </c:pt>
                <c:pt idx="534">
                  <c:v>15.737900000000081</c:v>
                </c:pt>
                <c:pt idx="535">
                  <c:v>15.737900000000081</c:v>
                </c:pt>
                <c:pt idx="536">
                  <c:v>15.737900000000081</c:v>
                </c:pt>
                <c:pt idx="537">
                  <c:v>15.737900000000081</c:v>
                </c:pt>
                <c:pt idx="538">
                  <c:v>15.737900000000081</c:v>
                </c:pt>
                <c:pt idx="539">
                  <c:v>15.737900000000081</c:v>
                </c:pt>
                <c:pt idx="540">
                  <c:v>15.737900000000081</c:v>
                </c:pt>
                <c:pt idx="541">
                  <c:v>15.737900000000081</c:v>
                </c:pt>
                <c:pt idx="542">
                  <c:v>15.737900000000081</c:v>
                </c:pt>
                <c:pt idx="543">
                  <c:v>15.737900000000081</c:v>
                </c:pt>
                <c:pt idx="544">
                  <c:v>15.737900000000081</c:v>
                </c:pt>
                <c:pt idx="545">
                  <c:v>15.737900000000081</c:v>
                </c:pt>
                <c:pt idx="546">
                  <c:v>15.737900000000081</c:v>
                </c:pt>
                <c:pt idx="547">
                  <c:v>15.737900000000081</c:v>
                </c:pt>
                <c:pt idx="548">
                  <c:v>15.737900000000081</c:v>
                </c:pt>
                <c:pt idx="549">
                  <c:v>15.737900000000081</c:v>
                </c:pt>
                <c:pt idx="550">
                  <c:v>15.737900000000081</c:v>
                </c:pt>
                <c:pt idx="551">
                  <c:v>15.737900000000081</c:v>
                </c:pt>
                <c:pt idx="552">
                  <c:v>15.737900000000081</c:v>
                </c:pt>
                <c:pt idx="553">
                  <c:v>15.737900000000081</c:v>
                </c:pt>
                <c:pt idx="554">
                  <c:v>15.737900000000081</c:v>
                </c:pt>
                <c:pt idx="555">
                  <c:v>15.737900000000081</c:v>
                </c:pt>
                <c:pt idx="556">
                  <c:v>15.737900000000081</c:v>
                </c:pt>
                <c:pt idx="557">
                  <c:v>15.737900000000081</c:v>
                </c:pt>
                <c:pt idx="558">
                  <c:v>15.737900000000081</c:v>
                </c:pt>
                <c:pt idx="559">
                  <c:v>15.737900000000081</c:v>
                </c:pt>
                <c:pt idx="560">
                  <c:v>15.737900000000081</c:v>
                </c:pt>
                <c:pt idx="561">
                  <c:v>15.737900000000081</c:v>
                </c:pt>
                <c:pt idx="562">
                  <c:v>15.737900000000081</c:v>
                </c:pt>
                <c:pt idx="563">
                  <c:v>15.737900000000081</c:v>
                </c:pt>
                <c:pt idx="564">
                  <c:v>15.737900000000081</c:v>
                </c:pt>
                <c:pt idx="565">
                  <c:v>15.737900000000081</c:v>
                </c:pt>
                <c:pt idx="566">
                  <c:v>15.737900000000081</c:v>
                </c:pt>
                <c:pt idx="567">
                  <c:v>15.737900000000081</c:v>
                </c:pt>
                <c:pt idx="568">
                  <c:v>15.737900000000081</c:v>
                </c:pt>
                <c:pt idx="569">
                  <c:v>15.737900000000081</c:v>
                </c:pt>
                <c:pt idx="570">
                  <c:v>15.737900000000081</c:v>
                </c:pt>
                <c:pt idx="571">
                  <c:v>15.737900000000081</c:v>
                </c:pt>
                <c:pt idx="572">
                  <c:v>15.737900000000081</c:v>
                </c:pt>
                <c:pt idx="573">
                  <c:v>15.737900000000081</c:v>
                </c:pt>
                <c:pt idx="574">
                  <c:v>15.737900000000081</c:v>
                </c:pt>
                <c:pt idx="575">
                  <c:v>15.737900000000081</c:v>
                </c:pt>
                <c:pt idx="576">
                  <c:v>15.737900000000081</c:v>
                </c:pt>
                <c:pt idx="577">
                  <c:v>15.737900000000081</c:v>
                </c:pt>
                <c:pt idx="578">
                  <c:v>15.737900000000081</c:v>
                </c:pt>
                <c:pt idx="579">
                  <c:v>15.737900000000081</c:v>
                </c:pt>
                <c:pt idx="580">
                  <c:v>15.737900000000081</c:v>
                </c:pt>
                <c:pt idx="581">
                  <c:v>15.737900000000081</c:v>
                </c:pt>
                <c:pt idx="582">
                  <c:v>15.737900000000081</c:v>
                </c:pt>
                <c:pt idx="583">
                  <c:v>15.737900000000081</c:v>
                </c:pt>
                <c:pt idx="584">
                  <c:v>15.737900000000081</c:v>
                </c:pt>
                <c:pt idx="585">
                  <c:v>15.737900000000081</c:v>
                </c:pt>
                <c:pt idx="586">
                  <c:v>15.737900000000081</c:v>
                </c:pt>
                <c:pt idx="587">
                  <c:v>15.737900000000081</c:v>
                </c:pt>
                <c:pt idx="588">
                  <c:v>15.737900000000081</c:v>
                </c:pt>
                <c:pt idx="589">
                  <c:v>15.737900000000081</c:v>
                </c:pt>
                <c:pt idx="590">
                  <c:v>15.737900000000081</c:v>
                </c:pt>
                <c:pt idx="591">
                  <c:v>15.737900000000081</c:v>
                </c:pt>
                <c:pt idx="592">
                  <c:v>15.737900000000081</c:v>
                </c:pt>
                <c:pt idx="593">
                  <c:v>15.737900000000081</c:v>
                </c:pt>
                <c:pt idx="594">
                  <c:v>15.737900000000081</c:v>
                </c:pt>
                <c:pt idx="595">
                  <c:v>15.737900000000081</c:v>
                </c:pt>
                <c:pt idx="596">
                  <c:v>15.737900000000081</c:v>
                </c:pt>
                <c:pt idx="597">
                  <c:v>15.737900000000081</c:v>
                </c:pt>
                <c:pt idx="598">
                  <c:v>15.737900000000081</c:v>
                </c:pt>
                <c:pt idx="599">
                  <c:v>15.737900000000081</c:v>
                </c:pt>
                <c:pt idx="600">
                  <c:v>15.737900000000081</c:v>
                </c:pt>
                <c:pt idx="601">
                  <c:v>15.737900000000081</c:v>
                </c:pt>
                <c:pt idx="602">
                  <c:v>15.737900000000081</c:v>
                </c:pt>
                <c:pt idx="603">
                  <c:v>15.737900000000081</c:v>
                </c:pt>
                <c:pt idx="604">
                  <c:v>15.737900000000081</c:v>
                </c:pt>
                <c:pt idx="605">
                  <c:v>15.737900000000081</c:v>
                </c:pt>
                <c:pt idx="606">
                  <c:v>15.737900000000081</c:v>
                </c:pt>
                <c:pt idx="607">
                  <c:v>15.737900000000081</c:v>
                </c:pt>
                <c:pt idx="608">
                  <c:v>15.737900000000081</c:v>
                </c:pt>
                <c:pt idx="609">
                  <c:v>15.737900000000081</c:v>
                </c:pt>
                <c:pt idx="610">
                  <c:v>15.737900000000081</c:v>
                </c:pt>
                <c:pt idx="611">
                  <c:v>15.737900000000081</c:v>
                </c:pt>
                <c:pt idx="612">
                  <c:v>15.737900000000081</c:v>
                </c:pt>
                <c:pt idx="613">
                  <c:v>15.737900000000081</c:v>
                </c:pt>
                <c:pt idx="614">
                  <c:v>15.737900000000081</c:v>
                </c:pt>
                <c:pt idx="615">
                  <c:v>15.737900000000081</c:v>
                </c:pt>
                <c:pt idx="616">
                  <c:v>15.737900000000081</c:v>
                </c:pt>
                <c:pt idx="617">
                  <c:v>15.737900000000081</c:v>
                </c:pt>
                <c:pt idx="618">
                  <c:v>15.737900000000081</c:v>
                </c:pt>
                <c:pt idx="619">
                  <c:v>15.737900000000081</c:v>
                </c:pt>
                <c:pt idx="620">
                  <c:v>15.737900000000081</c:v>
                </c:pt>
                <c:pt idx="621">
                  <c:v>15.737900000000081</c:v>
                </c:pt>
                <c:pt idx="622">
                  <c:v>15.737900000000081</c:v>
                </c:pt>
                <c:pt idx="623">
                  <c:v>15.737900000000081</c:v>
                </c:pt>
                <c:pt idx="624">
                  <c:v>15.737900000000081</c:v>
                </c:pt>
                <c:pt idx="625">
                  <c:v>15.737900000000081</c:v>
                </c:pt>
                <c:pt idx="626">
                  <c:v>15.737900000000081</c:v>
                </c:pt>
                <c:pt idx="627">
                  <c:v>15.737900000000081</c:v>
                </c:pt>
                <c:pt idx="628">
                  <c:v>15.737900000000081</c:v>
                </c:pt>
                <c:pt idx="629">
                  <c:v>15.737900000000081</c:v>
                </c:pt>
                <c:pt idx="630">
                  <c:v>15.737900000000081</c:v>
                </c:pt>
                <c:pt idx="631">
                  <c:v>15.737900000000081</c:v>
                </c:pt>
                <c:pt idx="632">
                  <c:v>15.737900000000081</c:v>
                </c:pt>
                <c:pt idx="633">
                  <c:v>15.737900000000081</c:v>
                </c:pt>
                <c:pt idx="634">
                  <c:v>15.737900000000081</c:v>
                </c:pt>
                <c:pt idx="635">
                  <c:v>15.737900000000081</c:v>
                </c:pt>
                <c:pt idx="636">
                  <c:v>15.737900000000081</c:v>
                </c:pt>
                <c:pt idx="637">
                  <c:v>15.737900000000081</c:v>
                </c:pt>
                <c:pt idx="638">
                  <c:v>15.737900000000081</c:v>
                </c:pt>
                <c:pt idx="639">
                  <c:v>15.737900000000081</c:v>
                </c:pt>
                <c:pt idx="640">
                  <c:v>15.737900000000081</c:v>
                </c:pt>
                <c:pt idx="641">
                  <c:v>15.737900000000081</c:v>
                </c:pt>
                <c:pt idx="642">
                  <c:v>15.737900000000081</c:v>
                </c:pt>
                <c:pt idx="643">
                  <c:v>15.737900000000081</c:v>
                </c:pt>
                <c:pt idx="644">
                  <c:v>15.737900000000081</c:v>
                </c:pt>
                <c:pt idx="645">
                  <c:v>15.737900000000081</c:v>
                </c:pt>
                <c:pt idx="646">
                  <c:v>15.737900000000081</c:v>
                </c:pt>
                <c:pt idx="647">
                  <c:v>15.737900000000081</c:v>
                </c:pt>
                <c:pt idx="648">
                  <c:v>15.737900000000081</c:v>
                </c:pt>
                <c:pt idx="649">
                  <c:v>15.737900000000081</c:v>
                </c:pt>
                <c:pt idx="650">
                  <c:v>15.737900000000081</c:v>
                </c:pt>
                <c:pt idx="651">
                  <c:v>15.737900000000081</c:v>
                </c:pt>
                <c:pt idx="652">
                  <c:v>15.737900000000081</c:v>
                </c:pt>
                <c:pt idx="653">
                  <c:v>15.737900000000081</c:v>
                </c:pt>
                <c:pt idx="654">
                  <c:v>15.737900000000081</c:v>
                </c:pt>
                <c:pt idx="655">
                  <c:v>15.737900000000081</c:v>
                </c:pt>
                <c:pt idx="656">
                  <c:v>15.737900000000081</c:v>
                </c:pt>
                <c:pt idx="657">
                  <c:v>15.737900000000081</c:v>
                </c:pt>
                <c:pt idx="658">
                  <c:v>15.737900000000081</c:v>
                </c:pt>
                <c:pt idx="659">
                  <c:v>15.737900000000081</c:v>
                </c:pt>
                <c:pt idx="660">
                  <c:v>15.737900000000081</c:v>
                </c:pt>
                <c:pt idx="661">
                  <c:v>15.737900000000081</c:v>
                </c:pt>
                <c:pt idx="662">
                  <c:v>15.737900000000081</c:v>
                </c:pt>
                <c:pt idx="663">
                  <c:v>15.737900000000081</c:v>
                </c:pt>
                <c:pt idx="664">
                  <c:v>15.737900000000081</c:v>
                </c:pt>
                <c:pt idx="665">
                  <c:v>15.737900000000081</c:v>
                </c:pt>
                <c:pt idx="666">
                  <c:v>15.737900000000081</c:v>
                </c:pt>
                <c:pt idx="667">
                  <c:v>15.737900000000081</c:v>
                </c:pt>
                <c:pt idx="668">
                  <c:v>15.737900000000081</c:v>
                </c:pt>
                <c:pt idx="669">
                  <c:v>15.737900000000081</c:v>
                </c:pt>
                <c:pt idx="670">
                  <c:v>15.737900000000081</c:v>
                </c:pt>
                <c:pt idx="671">
                  <c:v>15.737900000000081</c:v>
                </c:pt>
                <c:pt idx="672">
                  <c:v>15.737900000000081</c:v>
                </c:pt>
                <c:pt idx="673">
                  <c:v>15.737900000000081</c:v>
                </c:pt>
                <c:pt idx="674">
                  <c:v>15.737900000000081</c:v>
                </c:pt>
                <c:pt idx="675">
                  <c:v>15.737900000000081</c:v>
                </c:pt>
                <c:pt idx="676">
                  <c:v>15.737900000000081</c:v>
                </c:pt>
                <c:pt idx="677">
                  <c:v>15.737900000000081</c:v>
                </c:pt>
                <c:pt idx="678">
                  <c:v>15.737900000000081</c:v>
                </c:pt>
                <c:pt idx="679">
                  <c:v>15.737900000000081</c:v>
                </c:pt>
                <c:pt idx="680">
                  <c:v>15.737900000000081</c:v>
                </c:pt>
                <c:pt idx="681">
                  <c:v>15.737900000000081</c:v>
                </c:pt>
                <c:pt idx="682">
                  <c:v>15.737900000000081</c:v>
                </c:pt>
                <c:pt idx="683">
                  <c:v>15.737900000000081</c:v>
                </c:pt>
                <c:pt idx="684">
                  <c:v>15.737900000000081</c:v>
                </c:pt>
                <c:pt idx="685">
                  <c:v>15.737900000000081</c:v>
                </c:pt>
                <c:pt idx="686">
                  <c:v>15.737900000000081</c:v>
                </c:pt>
                <c:pt idx="687">
                  <c:v>15.737900000000081</c:v>
                </c:pt>
                <c:pt idx="688">
                  <c:v>15.737900000000081</c:v>
                </c:pt>
                <c:pt idx="689">
                  <c:v>15.737900000000081</c:v>
                </c:pt>
                <c:pt idx="690">
                  <c:v>15.737900000000081</c:v>
                </c:pt>
                <c:pt idx="691">
                  <c:v>15.737900000000081</c:v>
                </c:pt>
                <c:pt idx="692">
                  <c:v>15.737900000000081</c:v>
                </c:pt>
                <c:pt idx="693">
                  <c:v>15.737900000000081</c:v>
                </c:pt>
                <c:pt idx="694">
                  <c:v>15.737900000000081</c:v>
                </c:pt>
                <c:pt idx="695">
                  <c:v>15.737900000000081</c:v>
                </c:pt>
                <c:pt idx="696">
                  <c:v>15.737900000000081</c:v>
                </c:pt>
                <c:pt idx="697">
                  <c:v>15.737900000000081</c:v>
                </c:pt>
                <c:pt idx="698">
                  <c:v>15.737900000000081</c:v>
                </c:pt>
                <c:pt idx="699">
                  <c:v>15.737900000000081</c:v>
                </c:pt>
                <c:pt idx="700">
                  <c:v>15.737900000000081</c:v>
                </c:pt>
                <c:pt idx="701">
                  <c:v>15.737900000000081</c:v>
                </c:pt>
                <c:pt idx="702">
                  <c:v>15.737900000000081</c:v>
                </c:pt>
                <c:pt idx="703">
                  <c:v>15.737900000000081</c:v>
                </c:pt>
                <c:pt idx="704">
                  <c:v>15.737900000000081</c:v>
                </c:pt>
                <c:pt idx="705">
                  <c:v>15.737900000000081</c:v>
                </c:pt>
                <c:pt idx="706">
                  <c:v>15.737900000000081</c:v>
                </c:pt>
                <c:pt idx="707">
                  <c:v>15.737900000000081</c:v>
                </c:pt>
                <c:pt idx="708">
                  <c:v>15.737900000000081</c:v>
                </c:pt>
                <c:pt idx="709">
                  <c:v>15.737900000000081</c:v>
                </c:pt>
                <c:pt idx="710">
                  <c:v>15.737900000000081</c:v>
                </c:pt>
                <c:pt idx="711">
                  <c:v>15.737900000000081</c:v>
                </c:pt>
                <c:pt idx="712">
                  <c:v>15.737900000000081</c:v>
                </c:pt>
                <c:pt idx="713">
                  <c:v>15.737900000000081</c:v>
                </c:pt>
                <c:pt idx="714">
                  <c:v>15.737900000000081</c:v>
                </c:pt>
                <c:pt idx="715">
                  <c:v>15.737900000000081</c:v>
                </c:pt>
                <c:pt idx="716">
                  <c:v>15.737900000000081</c:v>
                </c:pt>
                <c:pt idx="717">
                  <c:v>15.737900000000081</c:v>
                </c:pt>
                <c:pt idx="718">
                  <c:v>15.737900000000081</c:v>
                </c:pt>
                <c:pt idx="719">
                  <c:v>15.737900000000081</c:v>
                </c:pt>
                <c:pt idx="720">
                  <c:v>15.737900000000081</c:v>
                </c:pt>
                <c:pt idx="721">
                  <c:v>15.737900000000081</c:v>
                </c:pt>
                <c:pt idx="722">
                  <c:v>15.737900000000081</c:v>
                </c:pt>
                <c:pt idx="723">
                  <c:v>15.737900000000081</c:v>
                </c:pt>
                <c:pt idx="724">
                  <c:v>15.737900000000081</c:v>
                </c:pt>
                <c:pt idx="725">
                  <c:v>15.737900000000081</c:v>
                </c:pt>
                <c:pt idx="726">
                  <c:v>15.737900000000081</c:v>
                </c:pt>
                <c:pt idx="727">
                  <c:v>15.737900000000081</c:v>
                </c:pt>
                <c:pt idx="728">
                  <c:v>15.737900000000081</c:v>
                </c:pt>
                <c:pt idx="729">
                  <c:v>15.737900000000081</c:v>
                </c:pt>
                <c:pt idx="730">
                  <c:v>15.737900000000081</c:v>
                </c:pt>
                <c:pt idx="731">
                  <c:v>15.737900000000081</c:v>
                </c:pt>
                <c:pt idx="732">
                  <c:v>15.737900000000081</c:v>
                </c:pt>
                <c:pt idx="733">
                  <c:v>15.737900000000081</c:v>
                </c:pt>
                <c:pt idx="734">
                  <c:v>15.737900000000081</c:v>
                </c:pt>
                <c:pt idx="735">
                  <c:v>15.737900000000081</c:v>
                </c:pt>
                <c:pt idx="736">
                  <c:v>15.737900000000081</c:v>
                </c:pt>
                <c:pt idx="737">
                  <c:v>15.737900000000081</c:v>
                </c:pt>
                <c:pt idx="738">
                  <c:v>15.737900000000081</c:v>
                </c:pt>
                <c:pt idx="739">
                  <c:v>15.737900000000081</c:v>
                </c:pt>
                <c:pt idx="740">
                  <c:v>15.737900000000081</c:v>
                </c:pt>
                <c:pt idx="741">
                  <c:v>15.737900000000081</c:v>
                </c:pt>
                <c:pt idx="742">
                  <c:v>15.737900000000081</c:v>
                </c:pt>
                <c:pt idx="743">
                  <c:v>15.737900000000081</c:v>
                </c:pt>
                <c:pt idx="744">
                  <c:v>15.737900000000081</c:v>
                </c:pt>
                <c:pt idx="745">
                  <c:v>15.737900000000081</c:v>
                </c:pt>
                <c:pt idx="746">
                  <c:v>15.737900000000081</c:v>
                </c:pt>
                <c:pt idx="747">
                  <c:v>15.737900000000081</c:v>
                </c:pt>
                <c:pt idx="748">
                  <c:v>15.737900000000081</c:v>
                </c:pt>
                <c:pt idx="749">
                  <c:v>15.737900000000081</c:v>
                </c:pt>
                <c:pt idx="750">
                  <c:v>15.737900000000081</c:v>
                </c:pt>
                <c:pt idx="751">
                  <c:v>15.737900000000081</c:v>
                </c:pt>
                <c:pt idx="752">
                  <c:v>15.737900000000081</c:v>
                </c:pt>
                <c:pt idx="753">
                  <c:v>15.737900000000081</c:v>
                </c:pt>
                <c:pt idx="754">
                  <c:v>15.737900000000081</c:v>
                </c:pt>
                <c:pt idx="755">
                  <c:v>15.737900000000081</c:v>
                </c:pt>
                <c:pt idx="756">
                  <c:v>15.737900000000081</c:v>
                </c:pt>
                <c:pt idx="757">
                  <c:v>15.737900000000081</c:v>
                </c:pt>
                <c:pt idx="758">
                  <c:v>15.737900000000081</c:v>
                </c:pt>
                <c:pt idx="759">
                  <c:v>15.737900000000081</c:v>
                </c:pt>
                <c:pt idx="760">
                  <c:v>15.737900000000081</c:v>
                </c:pt>
                <c:pt idx="761">
                  <c:v>15.737900000000081</c:v>
                </c:pt>
                <c:pt idx="762">
                  <c:v>15.737900000000081</c:v>
                </c:pt>
                <c:pt idx="763">
                  <c:v>15.737900000000081</c:v>
                </c:pt>
                <c:pt idx="764">
                  <c:v>15.737900000000081</c:v>
                </c:pt>
                <c:pt idx="765">
                  <c:v>15.737900000000081</c:v>
                </c:pt>
                <c:pt idx="766">
                  <c:v>15.737900000000081</c:v>
                </c:pt>
                <c:pt idx="767">
                  <c:v>15.737900000000081</c:v>
                </c:pt>
                <c:pt idx="768">
                  <c:v>15.737900000000081</c:v>
                </c:pt>
                <c:pt idx="769">
                  <c:v>15.737900000000081</c:v>
                </c:pt>
                <c:pt idx="770">
                  <c:v>15.737900000000081</c:v>
                </c:pt>
                <c:pt idx="771">
                  <c:v>15.737900000000081</c:v>
                </c:pt>
                <c:pt idx="772">
                  <c:v>15.737900000000081</c:v>
                </c:pt>
                <c:pt idx="773">
                  <c:v>15.737900000000081</c:v>
                </c:pt>
                <c:pt idx="774">
                  <c:v>15.737900000000081</c:v>
                </c:pt>
                <c:pt idx="775">
                  <c:v>15.737900000000081</c:v>
                </c:pt>
                <c:pt idx="776">
                  <c:v>15.737900000000081</c:v>
                </c:pt>
                <c:pt idx="777">
                  <c:v>15.737900000000081</c:v>
                </c:pt>
                <c:pt idx="778">
                  <c:v>15.737900000000081</c:v>
                </c:pt>
                <c:pt idx="779">
                  <c:v>15.737900000000081</c:v>
                </c:pt>
                <c:pt idx="780">
                  <c:v>15.737900000000081</c:v>
                </c:pt>
                <c:pt idx="781">
                  <c:v>15.737900000000081</c:v>
                </c:pt>
                <c:pt idx="782">
                  <c:v>15.737900000000081</c:v>
                </c:pt>
                <c:pt idx="783">
                  <c:v>15.737900000000081</c:v>
                </c:pt>
                <c:pt idx="784">
                  <c:v>15.737900000000081</c:v>
                </c:pt>
                <c:pt idx="785">
                  <c:v>15.737900000000081</c:v>
                </c:pt>
                <c:pt idx="786">
                  <c:v>15.737900000000081</c:v>
                </c:pt>
                <c:pt idx="787">
                  <c:v>15.737900000000081</c:v>
                </c:pt>
                <c:pt idx="788">
                  <c:v>15.737900000000081</c:v>
                </c:pt>
                <c:pt idx="789">
                  <c:v>15.737900000000081</c:v>
                </c:pt>
                <c:pt idx="790">
                  <c:v>15.737900000000081</c:v>
                </c:pt>
                <c:pt idx="791">
                  <c:v>15.737900000000081</c:v>
                </c:pt>
                <c:pt idx="792">
                  <c:v>15.737900000000081</c:v>
                </c:pt>
                <c:pt idx="793">
                  <c:v>15.737900000000081</c:v>
                </c:pt>
                <c:pt idx="794">
                  <c:v>15.737900000000081</c:v>
                </c:pt>
                <c:pt idx="795">
                  <c:v>15.737900000000081</c:v>
                </c:pt>
                <c:pt idx="796">
                  <c:v>15.737900000000081</c:v>
                </c:pt>
                <c:pt idx="797">
                  <c:v>15.737900000000081</c:v>
                </c:pt>
                <c:pt idx="798">
                  <c:v>15.737900000000081</c:v>
                </c:pt>
                <c:pt idx="799">
                  <c:v>15.737900000000081</c:v>
                </c:pt>
                <c:pt idx="800">
                  <c:v>15.737900000000081</c:v>
                </c:pt>
                <c:pt idx="801">
                  <c:v>15.737900000000081</c:v>
                </c:pt>
                <c:pt idx="802">
                  <c:v>15.737900000000081</c:v>
                </c:pt>
                <c:pt idx="803">
                  <c:v>15.737900000000081</c:v>
                </c:pt>
                <c:pt idx="804">
                  <c:v>15.737900000000081</c:v>
                </c:pt>
                <c:pt idx="805">
                  <c:v>15.737900000000081</c:v>
                </c:pt>
                <c:pt idx="806">
                  <c:v>15.737900000000081</c:v>
                </c:pt>
                <c:pt idx="807">
                  <c:v>15.737900000000081</c:v>
                </c:pt>
                <c:pt idx="808">
                  <c:v>15.737900000000081</c:v>
                </c:pt>
                <c:pt idx="809">
                  <c:v>15.737900000000081</c:v>
                </c:pt>
                <c:pt idx="810">
                  <c:v>15.737900000000081</c:v>
                </c:pt>
                <c:pt idx="811">
                  <c:v>15.737900000000081</c:v>
                </c:pt>
                <c:pt idx="812">
                  <c:v>15.737900000000081</c:v>
                </c:pt>
                <c:pt idx="813">
                  <c:v>15.737900000000081</c:v>
                </c:pt>
                <c:pt idx="814">
                  <c:v>15.737900000000081</c:v>
                </c:pt>
                <c:pt idx="815">
                  <c:v>15.737900000000081</c:v>
                </c:pt>
                <c:pt idx="816">
                  <c:v>15.737900000000081</c:v>
                </c:pt>
                <c:pt idx="817">
                  <c:v>15.737900000000081</c:v>
                </c:pt>
                <c:pt idx="818">
                  <c:v>15.737900000000081</c:v>
                </c:pt>
                <c:pt idx="819">
                  <c:v>15.737900000000081</c:v>
                </c:pt>
                <c:pt idx="820">
                  <c:v>15.737900000000081</c:v>
                </c:pt>
                <c:pt idx="821">
                  <c:v>15.737900000000081</c:v>
                </c:pt>
                <c:pt idx="822">
                  <c:v>15.737900000000081</c:v>
                </c:pt>
                <c:pt idx="823">
                  <c:v>15.737900000000081</c:v>
                </c:pt>
                <c:pt idx="824">
                  <c:v>15.737900000000081</c:v>
                </c:pt>
                <c:pt idx="825">
                  <c:v>15.737900000000081</c:v>
                </c:pt>
                <c:pt idx="826">
                  <c:v>15.737900000000081</c:v>
                </c:pt>
                <c:pt idx="827">
                  <c:v>15.737900000000081</c:v>
                </c:pt>
                <c:pt idx="828">
                  <c:v>15.737900000000081</c:v>
                </c:pt>
                <c:pt idx="829">
                  <c:v>15.737900000000081</c:v>
                </c:pt>
                <c:pt idx="830">
                  <c:v>15.737900000000081</c:v>
                </c:pt>
                <c:pt idx="831">
                  <c:v>15.737900000000081</c:v>
                </c:pt>
                <c:pt idx="832">
                  <c:v>15.737900000000081</c:v>
                </c:pt>
                <c:pt idx="833">
                  <c:v>15.737900000000081</c:v>
                </c:pt>
                <c:pt idx="834">
                  <c:v>15.737900000000081</c:v>
                </c:pt>
                <c:pt idx="835">
                  <c:v>15.737900000000081</c:v>
                </c:pt>
                <c:pt idx="836">
                  <c:v>15.737900000000081</c:v>
                </c:pt>
                <c:pt idx="837">
                  <c:v>15.737900000000081</c:v>
                </c:pt>
                <c:pt idx="838">
                  <c:v>15.737900000000081</c:v>
                </c:pt>
                <c:pt idx="839">
                  <c:v>15.737900000000081</c:v>
                </c:pt>
                <c:pt idx="840">
                  <c:v>15.737900000000081</c:v>
                </c:pt>
                <c:pt idx="841">
                  <c:v>15.737900000000081</c:v>
                </c:pt>
                <c:pt idx="842">
                  <c:v>15.737900000000081</c:v>
                </c:pt>
                <c:pt idx="843">
                  <c:v>15.737900000000081</c:v>
                </c:pt>
                <c:pt idx="844">
                  <c:v>15.737900000000081</c:v>
                </c:pt>
                <c:pt idx="845">
                  <c:v>15.737900000000081</c:v>
                </c:pt>
                <c:pt idx="846">
                  <c:v>15.737900000000081</c:v>
                </c:pt>
                <c:pt idx="847">
                  <c:v>15.737900000000081</c:v>
                </c:pt>
                <c:pt idx="848">
                  <c:v>15.737900000000081</c:v>
                </c:pt>
                <c:pt idx="849">
                  <c:v>15.737900000000081</c:v>
                </c:pt>
                <c:pt idx="850">
                  <c:v>15.737900000000081</c:v>
                </c:pt>
                <c:pt idx="851">
                  <c:v>15.737900000000081</c:v>
                </c:pt>
                <c:pt idx="852">
                  <c:v>15.737900000000081</c:v>
                </c:pt>
                <c:pt idx="853">
                  <c:v>15.737900000000081</c:v>
                </c:pt>
                <c:pt idx="854">
                  <c:v>15.737900000000081</c:v>
                </c:pt>
                <c:pt idx="855">
                  <c:v>15.737900000000081</c:v>
                </c:pt>
                <c:pt idx="856">
                  <c:v>15.737900000000081</c:v>
                </c:pt>
                <c:pt idx="857">
                  <c:v>15.737900000000081</c:v>
                </c:pt>
                <c:pt idx="858">
                  <c:v>15.737900000000081</c:v>
                </c:pt>
                <c:pt idx="859">
                  <c:v>15.737900000000081</c:v>
                </c:pt>
                <c:pt idx="860">
                  <c:v>15.737900000000081</c:v>
                </c:pt>
                <c:pt idx="861">
                  <c:v>15.737900000000081</c:v>
                </c:pt>
                <c:pt idx="862">
                  <c:v>15.737900000000081</c:v>
                </c:pt>
                <c:pt idx="863">
                  <c:v>15.737900000000081</c:v>
                </c:pt>
                <c:pt idx="864">
                  <c:v>15.737900000000081</c:v>
                </c:pt>
                <c:pt idx="865">
                  <c:v>15.737900000000081</c:v>
                </c:pt>
                <c:pt idx="866">
                  <c:v>15.737900000000081</c:v>
                </c:pt>
                <c:pt idx="867">
                  <c:v>15.737900000000081</c:v>
                </c:pt>
                <c:pt idx="868">
                  <c:v>15.737900000000081</c:v>
                </c:pt>
                <c:pt idx="869">
                  <c:v>15.737900000000081</c:v>
                </c:pt>
                <c:pt idx="870">
                  <c:v>15.737900000000081</c:v>
                </c:pt>
                <c:pt idx="871">
                  <c:v>15.737900000000081</c:v>
                </c:pt>
                <c:pt idx="872">
                  <c:v>15.737900000000081</c:v>
                </c:pt>
                <c:pt idx="873">
                  <c:v>15.737900000000081</c:v>
                </c:pt>
                <c:pt idx="874">
                  <c:v>15.737900000000081</c:v>
                </c:pt>
                <c:pt idx="875">
                  <c:v>15.737900000000081</c:v>
                </c:pt>
                <c:pt idx="876">
                  <c:v>15.737900000000081</c:v>
                </c:pt>
                <c:pt idx="877">
                  <c:v>15.737900000000081</c:v>
                </c:pt>
                <c:pt idx="878">
                  <c:v>15.737900000000081</c:v>
                </c:pt>
                <c:pt idx="879">
                  <c:v>15.737900000000081</c:v>
                </c:pt>
                <c:pt idx="880">
                  <c:v>15.737900000000081</c:v>
                </c:pt>
                <c:pt idx="881">
                  <c:v>15.737900000000081</c:v>
                </c:pt>
                <c:pt idx="882">
                  <c:v>15.737900000000081</c:v>
                </c:pt>
                <c:pt idx="883">
                  <c:v>15.737900000000081</c:v>
                </c:pt>
                <c:pt idx="884">
                  <c:v>15.737900000000081</c:v>
                </c:pt>
                <c:pt idx="885">
                  <c:v>15.737900000000081</c:v>
                </c:pt>
                <c:pt idx="886">
                  <c:v>15.737900000000081</c:v>
                </c:pt>
                <c:pt idx="887">
                  <c:v>15.737900000000081</c:v>
                </c:pt>
                <c:pt idx="888">
                  <c:v>15.737900000000081</c:v>
                </c:pt>
                <c:pt idx="889">
                  <c:v>15.737900000000081</c:v>
                </c:pt>
                <c:pt idx="890">
                  <c:v>15.737900000000081</c:v>
                </c:pt>
                <c:pt idx="891">
                  <c:v>15.737900000000081</c:v>
                </c:pt>
                <c:pt idx="892">
                  <c:v>15.737900000000081</c:v>
                </c:pt>
                <c:pt idx="893">
                  <c:v>15.737900000000081</c:v>
                </c:pt>
                <c:pt idx="894">
                  <c:v>15.737900000000081</c:v>
                </c:pt>
                <c:pt idx="895">
                  <c:v>15.737900000000081</c:v>
                </c:pt>
                <c:pt idx="896">
                  <c:v>15.737900000000081</c:v>
                </c:pt>
                <c:pt idx="897">
                  <c:v>15.737900000000081</c:v>
                </c:pt>
                <c:pt idx="898">
                  <c:v>15.737900000000081</c:v>
                </c:pt>
                <c:pt idx="899">
                  <c:v>15.737900000000081</c:v>
                </c:pt>
                <c:pt idx="900">
                  <c:v>15.737900000000081</c:v>
                </c:pt>
                <c:pt idx="901">
                  <c:v>15.737900000000081</c:v>
                </c:pt>
                <c:pt idx="902">
                  <c:v>15.737900000000081</c:v>
                </c:pt>
                <c:pt idx="903">
                  <c:v>15.737900000000081</c:v>
                </c:pt>
                <c:pt idx="904">
                  <c:v>15.737900000000081</c:v>
                </c:pt>
                <c:pt idx="905">
                  <c:v>15.737900000000081</c:v>
                </c:pt>
                <c:pt idx="906">
                  <c:v>15.737900000000081</c:v>
                </c:pt>
                <c:pt idx="907">
                  <c:v>15.737900000000081</c:v>
                </c:pt>
                <c:pt idx="908">
                  <c:v>15.737900000000081</c:v>
                </c:pt>
                <c:pt idx="909">
                  <c:v>15.737900000000081</c:v>
                </c:pt>
                <c:pt idx="910">
                  <c:v>15.737900000000081</c:v>
                </c:pt>
                <c:pt idx="911">
                  <c:v>15.737900000000081</c:v>
                </c:pt>
                <c:pt idx="912">
                  <c:v>15.737900000000081</c:v>
                </c:pt>
                <c:pt idx="913">
                  <c:v>15.737900000000081</c:v>
                </c:pt>
                <c:pt idx="914">
                  <c:v>15.737900000000081</c:v>
                </c:pt>
                <c:pt idx="915">
                  <c:v>15.737900000000081</c:v>
                </c:pt>
                <c:pt idx="916">
                  <c:v>15.737900000000081</c:v>
                </c:pt>
                <c:pt idx="917">
                  <c:v>15.737900000000081</c:v>
                </c:pt>
                <c:pt idx="918">
                  <c:v>15.737900000000081</c:v>
                </c:pt>
                <c:pt idx="919">
                  <c:v>15.737900000000081</c:v>
                </c:pt>
                <c:pt idx="920">
                  <c:v>15.737900000000081</c:v>
                </c:pt>
                <c:pt idx="921">
                  <c:v>15.737900000000081</c:v>
                </c:pt>
                <c:pt idx="922">
                  <c:v>15.737900000000081</c:v>
                </c:pt>
                <c:pt idx="923">
                  <c:v>15.737900000000081</c:v>
                </c:pt>
                <c:pt idx="924">
                  <c:v>15.737900000000081</c:v>
                </c:pt>
                <c:pt idx="925">
                  <c:v>15.737900000000081</c:v>
                </c:pt>
                <c:pt idx="926">
                  <c:v>15.737900000000081</c:v>
                </c:pt>
                <c:pt idx="927">
                  <c:v>15.737900000000081</c:v>
                </c:pt>
                <c:pt idx="928">
                  <c:v>15.737900000000081</c:v>
                </c:pt>
                <c:pt idx="929">
                  <c:v>15.737900000000081</c:v>
                </c:pt>
                <c:pt idx="930">
                  <c:v>15.737900000000081</c:v>
                </c:pt>
                <c:pt idx="931">
                  <c:v>15.737900000000081</c:v>
                </c:pt>
                <c:pt idx="932">
                  <c:v>15.737900000000081</c:v>
                </c:pt>
                <c:pt idx="933">
                  <c:v>15.737900000000081</c:v>
                </c:pt>
                <c:pt idx="934">
                  <c:v>15.737900000000081</c:v>
                </c:pt>
                <c:pt idx="935">
                  <c:v>15.737900000000081</c:v>
                </c:pt>
                <c:pt idx="936">
                  <c:v>15.737900000000081</c:v>
                </c:pt>
                <c:pt idx="937">
                  <c:v>15.737900000000081</c:v>
                </c:pt>
                <c:pt idx="938">
                  <c:v>15.737900000000081</c:v>
                </c:pt>
                <c:pt idx="939">
                  <c:v>15.737900000000081</c:v>
                </c:pt>
                <c:pt idx="940">
                  <c:v>15.737900000000081</c:v>
                </c:pt>
                <c:pt idx="941">
                  <c:v>15.737900000000081</c:v>
                </c:pt>
                <c:pt idx="942">
                  <c:v>15.737900000000081</c:v>
                </c:pt>
                <c:pt idx="943">
                  <c:v>15.737900000000081</c:v>
                </c:pt>
                <c:pt idx="944">
                  <c:v>15.737900000000081</c:v>
                </c:pt>
                <c:pt idx="945">
                  <c:v>15.737900000000081</c:v>
                </c:pt>
                <c:pt idx="946">
                  <c:v>15.737900000000081</c:v>
                </c:pt>
                <c:pt idx="947">
                  <c:v>15.737900000000081</c:v>
                </c:pt>
                <c:pt idx="948">
                  <c:v>15.737900000000081</c:v>
                </c:pt>
                <c:pt idx="949">
                  <c:v>15.737900000000081</c:v>
                </c:pt>
                <c:pt idx="950">
                  <c:v>15.737900000000081</c:v>
                </c:pt>
                <c:pt idx="951">
                  <c:v>15.737900000000081</c:v>
                </c:pt>
                <c:pt idx="952">
                  <c:v>15.737900000000081</c:v>
                </c:pt>
                <c:pt idx="953">
                  <c:v>15.737900000000081</c:v>
                </c:pt>
                <c:pt idx="954">
                  <c:v>15.737900000000081</c:v>
                </c:pt>
                <c:pt idx="955">
                  <c:v>15.737900000000081</c:v>
                </c:pt>
                <c:pt idx="956">
                  <c:v>15.737900000000081</c:v>
                </c:pt>
                <c:pt idx="957">
                  <c:v>15.737900000000081</c:v>
                </c:pt>
                <c:pt idx="958">
                  <c:v>15.737900000000081</c:v>
                </c:pt>
                <c:pt idx="959">
                  <c:v>15.737900000000081</c:v>
                </c:pt>
                <c:pt idx="960">
                  <c:v>15.737900000000081</c:v>
                </c:pt>
                <c:pt idx="961">
                  <c:v>15.737900000000081</c:v>
                </c:pt>
                <c:pt idx="962">
                  <c:v>15.737900000000081</c:v>
                </c:pt>
                <c:pt idx="963">
                  <c:v>15.737900000000081</c:v>
                </c:pt>
                <c:pt idx="964">
                  <c:v>15.737900000000081</c:v>
                </c:pt>
                <c:pt idx="965">
                  <c:v>15.737900000000081</c:v>
                </c:pt>
                <c:pt idx="966">
                  <c:v>15.737900000000081</c:v>
                </c:pt>
                <c:pt idx="967">
                  <c:v>15.737900000000081</c:v>
                </c:pt>
                <c:pt idx="968">
                  <c:v>15.737900000000081</c:v>
                </c:pt>
                <c:pt idx="969">
                  <c:v>15.737900000000081</c:v>
                </c:pt>
                <c:pt idx="970">
                  <c:v>15.737900000000081</c:v>
                </c:pt>
                <c:pt idx="971">
                  <c:v>15.737900000000081</c:v>
                </c:pt>
                <c:pt idx="972">
                  <c:v>15.737900000000081</c:v>
                </c:pt>
                <c:pt idx="973">
                  <c:v>15.737900000000081</c:v>
                </c:pt>
                <c:pt idx="974">
                  <c:v>15.737900000000081</c:v>
                </c:pt>
                <c:pt idx="975">
                  <c:v>15.737900000000081</c:v>
                </c:pt>
                <c:pt idx="976">
                  <c:v>15.737900000000081</c:v>
                </c:pt>
                <c:pt idx="977">
                  <c:v>15.737900000000081</c:v>
                </c:pt>
                <c:pt idx="978">
                  <c:v>15.737900000000081</c:v>
                </c:pt>
                <c:pt idx="979">
                  <c:v>15.737900000000081</c:v>
                </c:pt>
                <c:pt idx="980">
                  <c:v>15.737900000000081</c:v>
                </c:pt>
                <c:pt idx="981">
                  <c:v>15.737900000000081</c:v>
                </c:pt>
                <c:pt idx="982">
                  <c:v>15.737900000000081</c:v>
                </c:pt>
                <c:pt idx="983">
                  <c:v>15.737900000000081</c:v>
                </c:pt>
                <c:pt idx="984">
                  <c:v>15.737900000000081</c:v>
                </c:pt>
                <c:pt idx="985">
                  <c:v>15.737900000000081</c:v>
                </c:pt>
                <c:pt idx="986">
                  <c:v>15.737900000000081</c:v>
                </c:pt>
                <c:pt idx="987">
                  <c:v>15.737900000000081</c:v>
                </c:pt>
                <c:pt idx="988">
                  <c:v>15.737900000000081</c:v>
                </c:pt>
                <c:pt idx="989">
                  <c:v>15.737900000000081</c:v>
                </c:pt>
                <c:pt idx="990">
                  <c:v>15.737900000000081</c:v>
                </c:pt>
                <c:pt idx="991">
                  <c:v>15.737900000000081</c:v>
                </c:pt>
                <c:pt idx="992">
                  <c:v>15.737900000000081</c:v>
                </c:pt>
                <c:pt idx="993">
                  <c:v>15.737900000000081</c:v>
                </c:pt>
                <c:pt idx="994">
                  <c:v>15.737900000000081</c:v>
                </c:pt>
                <c:pt idx="995">
                  <c:v>15.737900000000081</c:v>
                </c:pt>
                <c:pt idx="996">
                  <c:v>15.737900000000081</c:v>
                </c:pt>
                <c:pt idx="997">
                  <c:v>15.737900000000081</c:v>
                </c:pt>
                <c:pt idx="998">
                  <c:v>15.737900000000081</c:v>
                </c:pt>
                <c:pt idx="999">
                  <c:v>15.737900000000081</c:v>
                </c:pt>
                <c:pt idx="1000">
                  <c:v>15.737900000000081</c:v>
                </c:pt>
                <c:pt idx="1001">
                  <c:v>15.737900000000081</c:v>
                </c:pt>
                <c:pt idx="1002">
                  <c:v>15.737900000000081</c:v>
                </c:pt>
                <c:pt idx="1003">
                  <c:v>15.737900000000081</c:v>
                </c:pt>
                <c:pt idx="1004">
                  <c:v>15.737900000000081</c:v>
                </c:pt>
                <c:pt idx="1005">
                  <c:v>15.737900000000081</c:v>
                </c:pt>
                <c:pt idx="1006">
                  <c:v>15.737900000000081</c:v>
                </c:pt>
                <c:pt idx="1007">
                  <c:v>15.737900000000081</c:v>
                </c:pt>
                <c:pt idx="1008">
                  <c:v>15.737900000000081</c:v>
                </c:pt>
                <c:pt idx="1009">
                  <c:v>15.737900000000081</c:v>
                </c:pt>
                <c:pt idx="1010">
                  <c:v>15.737900000000081</c:v>
                </c:pt>
                <c:pt idx="1011">
                  <c:v>15.737900000000081</c:v>
                </c:pt>
                <c:pt idx="1012">
                  <c:v>15.737900000000081</c:v>
                </c:pt>
                <c:pt idx="1013">
                  <c:v>15.737900000000081</c:v>
                </c:pt>
                <c:pt idx="1014">
                  <c:v>15.737900000000081</c:v>
                </c:pt>
                <c:pt idx="1015">
                  <c:v>15.737900000000081</c:v>
                </c:pt>
                <c:pt idx="1016">
                  <c:v>15.737900000000081</c:v>
                </c:pt>
                <c:pt idx="1017">
                  <c:v>15.737900000000081</c:v>
                </c:pt>
                <c:pt idx="1018">
                  <c:v>15.737900000000081</c:v>
                </c:pt>
                <c:pt idx="1019">
                  <c:v>15.737900000000081</c:v>
                </c:pt>
                <c:pt idx="1020">
                  <c:v>15.737900000000081</c:v>
                </c:pt>
                <c:pt idx="1021">
                  <c:v>15.737900000000081</c:v>
                </c:pt>
                <c:pt idx="1022">
                  <c:v>15.737900000000081</c:v>
                </c:pt>
                <c:pt idx="1023">
                  <c:v>15.737900000000081</c:v>
                </c:pt>
                <c:pt idx="1024">
                  <c:v>15.737900000000081</c:v>
                </c:pt>
                <c:pt idx="1025">
                  <c:v>15.737900000000081</c:v>
                </c:pt>
                <c:pt idx="1026">
                  <c:v>15.737900000000081</c:v>
                </c:pt>
                <c:pt idx="1027">
                  <c:v>15.737900000000081</c:v>
                </c:pt>
                <c:pt idx="1028">
                  <c:v>15.737900000000081</c:v>
                </c:pt>
                <c:pt idx="1029">
                  <c:v>15.737900000000081</c:v>
                </c:pt>
                <c:pt idx="1030">
                  <c:v>15.737900000000081</c:v>
                </c:pt>
                <c:pt idx="1031">
                  <c:v>15.737900000000081</c:v>
                </c:pt>
                <c:pt idx="1032">
                  <c:v>15.737900000000081</c:v>
                </c:pt>
                <c:pt idx="1033">
                  <c:v>15.737900000000081</c:v>
                </c:pt>
                <c:pt idx="1034">
                  <c:v>15.737900000000081</c:v>
                </c:pt>
                <c:pt idx="1035">
                  <c:v>15.737900000000081</c:v>
                </c:pt>
                <c:pt idx="1036">
                  <c:v>15.737900000000081</c:v>
                </c:pt>
                <c:pt idx="1037">
                  <c:v>15.737900000000081</c:v>
                </c:pt>
                <c:pt idx="1038">
                  <c:v>15.737900000000081</c:v>
                </c:pt>
                <c:pt idx="1039">
                  <c:v>15.737900000000081</c:v>
                </c:pt>
                <c:pt idx="1040">
                  <c:v>15.737900000000081</c:v>
                </c:pt>
                <c:pt idx="1041">
                  <c:v>15.737900000000081</c:v>
                </c:pt>
                <c:pt idx="1042">
                  <c:v>15.737900000000081</c:v>
                </c:pt>
                <c:pt idx="1043">
                  <c:v>15.737900000000081</c:v>
                </c:pt>
                <c:pt idx="1044">
                  <c:v>15.737900000000081</c:v>
                </c:pt>
                <c:pt idx="1045">
                  <c:v>15.737900000000081</c:v>
                </c:pt>
                <c:pt idx="1046">
                  <c:v>15.737900000000081</c:v>
                </c:pt>
                <c:pt idx="1047">
                  <c:v>15.737900000000081</c:v>
                </c:pt>
                <c:pt idx="1048">
                  <c:v>15.737900000000081</c:v>
                </c:pt>
                <c:pt idx="1049">
                  <c:v>15.737900000000081</c:v>
                </c:pt>
                <c:pt idx="1050">
                  <c:v>15.737900000000081</c:v>
                </c:pt>
                <c:pt idx="1051">
                  <c:v>15.737900000000081</c:v>
                </c:pt>
                <c:pt idx="1052">
                  <c:v>15.737900000000081</c:v>
                </c:pt>
                <c:pt idx="1053">
                  <c:v>15.737900000000081</c:v>
                </c:pt>
                <c:pt idx="1054">
                  <c:v>15.737900000000081</c:v>
                </c:pt>
                <c:pt idx="1055">
                  <c:v>15.737900000000081</c:v>
                </c:pt>
                <c:pt idx="1056">
                  <c:v>15.737900000000081</c:v>
                </c:pt>
                <c:pt idx="1057">
                  <c:v>15.737900000000081</c:v>
                </c:pt>
                <c:pt idx="1058">
                  <c:v>15.737900000000081</c:v>
                </c:pt>
                <c:pt idx="1059">
                  <c:v>15.737900000000081</c:v>
                </c:pt>
                <c:pt idx="1060">
                  <c:v>15.737900000000081</c:v>
                </c:pt>
                <c:pt idx="1061">
                  <c:v>15.737900000000081</c:v>
                </c:pt>
                <c:pt idx="1062">
                  <c:v>15.737900000000081</c:v>
                </c:pt>
                <c:pt idx="1063">
                  <c:v>15.737900000000081</c:v>
                </c:pt>
                <c:pt idx="1064">
                  <c:v>15.737900000000081</c:v>
                </c:pt>
                <c:pt idx="1065">
                  <c:v>15.737900000000081</c:v>
                </c:pt>
                <c:pt idx="1066">
                  <c:v>15.737900000000081</c:v>
                </c:pt>
                <c:pt idx="1067">
                  <c:v>15.737900000000081</c:v>
                </c:pt>
                <c:pt idx="1068">
                  <c:v>15.737900000000081</c:v>
                </c:pt>
                <c:pt idx="1069">
                  <c:v>15.737900000000081</c:v>
                </c:pt>
                <c:pt idx="1070">
                  <c:v>15.737900000000081</c:v>
                </c:pt>
                <c:pt idx="1071">
                  <c:v>15.737900000000081</c:v>
                </c:pt>
                <c:pt idx="1072">
                  <c:v>15.737900000000081</c:v>
                </c:pt>
                <c:pt idx="1073">
                  <c:v>15.737900000000081</c:v>
                </c:pt>
                <c:pt idx="1074">
                  <c:v>15.737900000000081</c:v>
                </c:pt>
                <c:pt idx="1075">
                  <c:v>15.737900000000081</c:v>
                </c:pt>
                <c:pt idx="1076">
                  <c:v>15.737900000000081</c:v>
                </c:pt>
                <c:pt idx="1077">
                  <c:v>15.737900000000081</c:v>
                </c:pt>
                <c:pt idx="1078">
                  <c:v>15.737900000000081</c:v>
                </c:pt>
                <c:pt idx="1079">
                  <c:v>15.737900000000081</c:v>
                </c:pt>
                <c:pt idx="1080">
                  <c:v>15.737900000000081</c:v>
                </c:pt>
                <c:pt idx="1081">
                  <c:v>15.737900000000081</c:v>
                </c:pt>
                <c:pt idx="1082">
                  <c:v>15.737900000000081</c:v>
                </c:pt>
                <c:pt idx="1083">
                  <c:v>15.737900000000081</c:v>
                </c:pt>
                <c:pt idx="1084">
                  <c:v>15.737900000000081</c:v>
                </c:pt>
                <c:pt idx="1085">
                  <c:v>15.737900000000081</c:v>
                </c:pt>
                <c:pt idx="1086">
                  <c:v>15.737900000000081</c:v>
                </c:pt>
                <c:pt idx="1087">
                  <c:v>15.737900000000081</c:v>
                </c:pt>
                <c:pt idx="1088">
                  <c:v>15.737900000000081</c:v>
                </c:pt>
                <c:pt idx="1089">
                  <c:v>15.737900000000081</c:v>
                </c:pt>
                <c:pt idx="1090">
                  <c:v>15.737900000000081</c:v>
                </c:pt>
                <c:pt idx="1091">
                  <c:v>15.737900000000081</c:v>
                </c:pt>
                <c:pt idx="1092">
                  <c:v>15.737900000000081</c:v>
                </c:pt>
                <c:pt idx="1093">
                  <c:v>15.737900000000081</c:v>
                </c:pt>
                <c:pt idx="1094">
                  <c:v>15.737900000000081</c:v>
                </c:pt>
                <c:pt idx="1095">
                  <c:v>15.737900000000081</c:v>
                </c:pt>
                <c:pt idx="1096">
                  <c:v>15.737900000000081</c:v>
                </c:pt>
                <c:pt idx="1097">
                  <c:v>15.737900000000081</c:v>
                </c:pt>
                <c:pt idx="1098">
                  <c:v>15.737900000000081</c:v>
                </c:pt>
                <c:pt idx="1099">
                  <c:v>15.737900000000081</c:v>
                </c:pt>
                <c:pt idx="1100">
                  <c:v>15.737900000000081</c:v>
                </c:pt>
                <c:pt idx="1101">
                  <c:v>15.737900000000081</c:v>
                </c:pt>
                <c:pt idx="1102">
                  <c:v>15.737900000000081</c:v>
                </c:pt>
                <c:pt idx="1103">
                  <c:v>15.737900000000081</c:v>
                </c:pt>
                <c:pt idx="1104">
                  <c:v>15.737900000000081</c:v>
                </c:pt>
                <c:pt idx="1105">
                  <c:v>15.737900000000081</c:v>
                </c:pt>
                <c:pt idx="1106">
                  <c:v>15.737900000000081</c:v>
                </c:pt>
                <c:pt idx="1107">
                  <c:v>15.737900000000081</c:v>
                </c:pt>
                <c:pt idx="1108">
                  <c:v>15.737900000000081</c:v>
                </c:pt>
                <c:pt idx="1109">
                  <c:v>15.737900000000081</c:v>
                </c:pt>
                <c:pt idx="1110">
                  <c:v>15.737900000000081</c:v>
                </c:pt>
                <c:pt idx="1111">
                  <c:v>15.737900000000081</c:v>
                </c:pt>
                <c:pt idx="1112">
                  <c:v>15.737900000000081</c:v>
                </c:pt>
                <c:pt idx="1113">
                  <c:v>15.737900000000081</c:v>
                </c:pt>
                <c:pt idx="1114">
                  <c:v>15.737900000000081</c:v>
                </c:pt>
                <c:pt idx="1115">
                  <c:v>15.737900000000081</c:v>
                </c:pt>
                <c:pt idx="1116">
                  <c:v>15.737900000000081</c:v>
                </c:pt>
                <c:pt idx="1117">
                  <c:v>15.737900000000081</c:v>
                </c:pt>
                <c:pt idx="1118">
                  <c:v>15.737900000000081</c:v>
                </c:pt>
                <c:pt idx="1119">
                  <c:v>15.737900000000081</c:v>
                </c:pt>
                <c:pt idx="1120">
                  <c:v>15.737900000000081</c:v>
                </c:pt>
                <c:pt idx="1121">
                  <c:v>15.737900000000081</c:v>
                </c:pt>
                <c:pt idx="1122">
                  <c:v>15.737900000000081</c:v>
                </c:pt>
                <c:pt idx="1123">
                  <c:v>15.737900000000081</c:v>
                </c:pt>
                <c:pt idx="1124">
                  <c:v>15.737900000000081</c:v>
                </c:pt>
                <c:pt idx="1125">
                  <c:v>15.737900000000081</c:v>
                </c:pt>
                <c:pt idx="1126">
                  <c:v>15.737900000000081</c:v>
                </c:pt>
                <c:pt idx="1127">
                  <c:v>15.737900000000081</c:v>
                </c:pt>
                <c:pt idx="1128">
                  <c:v>15.737900000000081</c:v>
                </c:pt>
                <c:pt idx="1129">
                  <c:v>15.737900000000081</c:v>
                </c:pt>
                <c:pt idx="1130">
                  <c:v>15.737900000000081</c:v>
                </c:pt>
                <c:pt idx="1131">
                  <c:v>15.737900000000081</c:v>
                </c:pt>
                <c:pt idx="1132">
                  <c:v>15.737900000000081</c:v>
                </c:pt>
                <c:pt idx="1133">
                  <c:v>15.737900000000081</c:v>
                </c:pt>
                <c:pt idx="1134">
                  <c:v>15.737900000000081</c:v>
                </c:pt>
                <c:pt idx="1135">
                  <c:v>15.737900000000081</c:v>
                </c:pt>
                <c:pt idx="1136">
                  <c:v>15.737900000000081</c:v>
                </c:pt>
                <c:pt idx="1137">
                  <c:v>15.737900000000081</c:v>
                </c:pt>
                <c:pt idx="1138">
                  <c:v>15.737900000000081</c:v>
                </c:pt>
                <c:pt idx="1139">
                  <c:v>15.737900000000081</c:v>
                </c:pt>
                <c:pt idx="1140">
                  <c:v>15.737900000000081</c:v>
                </c:pt>
                <c:pt idx="1141">
                  <c:v>15.737900000000081</c:v>
                </c:pt>
                <c:pt idx="1142">
                  <c:v>15.737900000000081</c:v>
                </c:pt>
                <c:pt idx="1143">
                  <c:v>15.737900000000081</c:v>
                </c:pt>
                <c:pt idx="1144">
                  <c:v>15.737900000000081</c:v>
                </c:pt>
                <c:pt idx="1145">
                  <c:v>15.737900000000081</c:v>
                </c:pt>
                <c:pt idx="1146">
                  <c:v>15.737900000000081</c:v>
                </c:pt>
                <c:pt idx="1147">
                  <c:v>15.737900000000081</c:v>
                </c:pt>
                <c:pt idx="1148">
                  <c:v>15.737900000000081</c:v>
                </c:pt>
                <c:pt idx="1149">
                  <c:v>15.737900000000081</c:v>
                </c:pt>
                <c:pt idx="1150">
                  <c:v>15.737900000000081</c:v>
                </c:pt>
                <c:pt idx="1151">
                  <c:v>15.737900000000081</c:v>
                </c:pt>
                <c:pt idx="1152">
                  <c:v>15.737900000000081</c:v>
                </c:pt>
                <c:pt idx="1153">
                  <c:v>15.737900000000081</c:v>
                </c:pt>
                <c:pt idx="1154">
                  <c:v>15.737900000000081</c:v>
                </c:pt>
                <c:pt idx="1155">
                  <c:v>15.737900000000081</c:v>
                </c:pt>
                <c:pt idx="1156">
                  <c:v>15.737900000000081</c:v>
                </c:pt>
                <c:pt idx="1157">
                  <c:v>15.737900000000081</c:v>
                </c:pt>
                <c:pt idx="1158">
                  <c:v>15.737900000000081</c:v>
                </c:pt>
                <c:pt idx="1159">
                  <c:v>15.737900000000081</c:v>
                </c:pt>
                <c:pt idx="1160">
                  <c:v>15.737900000000081</c:v>
                </c:pt>
                <c:pt idx="1161">
                  <c:v>15.737900000000081</c:v>
                </c:pt>
                <c:pt idx="1162">
                  <c:v>15.737900000000081</c:v>
                </c:pt>
                <c:pt idx="1163">
                  <c:v>15.737900000000081</c:v>
                </c:pt>
                <c:pt idx="1164">
                  <c:v>15.737900000000081</c:v>
                </c:pt>
                <c:pt idx="1165">
                  <c:v>15.737900000000081</c:v>
                </c:pt>
                <c:pt idx="1166">
                  <c:v>15.737900000000081</c:v>
                </c:pt>
                <c:pt idx="1167">
                  <c:v>15.737900000000081</c:v>
                </c:pt>
                <c:pt idx="1168">
                  <c:v>15.737900000000081</c:v>
                </c:pt>
                <c:pt idx="1169">
                  <c:v>15.737900000000081</c:v>
                </c:pt>
                <c:pt idx="1170">
                  <c:v>15.737900000000081</c:v>
                </c:pt>
                <c:pt idx="1171">
                  <c:v>15.737900000000081</c:v>
                </c:pt>
                <c:pt idx="1172">
                  <c:v>15.737900000000081</c:v>
                </c:pt>
                <c:pt idx="1173">
                  <c:v>15.737900000000081</c:v>
                </c:pt>
                <c:pt idx="1174">
                  <c:v>15.737900000000081</c:v>
                </c:pt>
                <c:pt idx="1175">
                  <c:v>15.737900000000081</c:v>
                </c:pt>
                <c:pt idx="1176">
                  <c:v>15.737900000000081</c:v>
                </c:pt>
                <c:pt idx="1177">
                  <c:v>15.737900000000081</c:v>
                </c:pt>
                <c:pt idx="1178">
                  <c:v>15.737900000000081</c:v>
                </c:pt>
                <c:pt idx="1179">
                  <c:v>15.737900000000081</c:v>
                </c:pt>
                <c:pt idx="1180">
                  <c:v>15.737900000000081</c:v>
                </c:pt>
                <c:pt idx="1181">
                  <c:v>15.737900000000081</c:v>
                </c:pt>
                <c:pt idx="1182">
                  <c:v>15.737900000000081</c:v>
                </c:pt>
                <c:pt idx="1183">
                  <c:v>15.737900000000081</c:v>
                </c:pt>
                <c:pt idx="1184">
                  <c:v>15.737900000000081</c:v>
                </c:pt>
                <c:pt idx="1185">
                  <c:v>15.737900000000081</c:v>
                </c:pt>
                <c:pt idx="1186">
                  <c:v>15.737900000000081</c:v>
                </c:pt>
                <c:pt idx="1187">
                  <c:v>15.737900000000081</c:v>
                </c:pt>
                <c:pt idx="1188">
                  <c:v>15.737900000000081</c:v>
                </c:pt>
                <c:pt idx="1189">
                  <c:v>15.737900000000081</c:v>
                </c:pt>
                <c:pt idx="1190">
                  <c:v>15.737900000000081</c:v>
                </c:pt>
                <c:pt idx="1191">
                  <c:v>15.737900000000081</c:v>
                </c:pt>
                <c:pt idx="1192">
                  <c:v>15.737900000000081</c:v>
                </c:pt>
                <c:pt idx="1193">
                  <c:v>15.737900000000081</c:v>
                </c:pt>
                <c:pt idx="1194">
                  <c:v>15.737900000000081</c:v>
                </c:pt>
                <c:pt idx="1195">
                  <c:v>15.737900000000081</c:v>
                </c:pt>
                <c:pt idx="1196">
                  <c:v>15.737900000000081</c:v>
                </c:pt>
                <c:pt idx="1197">
                  <c:v>15.737900000000081</c:v>
                </c:pt>
                <c:pt idx="1198">
                  <c:v>15.737900000000081</c:v>
                </c:pt>
                <c:pt idx="1199">
                  <c:v>15.737900000000081</c:v>
                </c:pt>
                <c:pt idx="1200">
                  <c:v>15.737900000000081</c:v>
                </c:pt>
                <c:pt idx="1201">
                  <c:v>15.737900000000081</c:v>
                </c:pt>
                <c:pt idx="1202">
                  <c:v>15.737900000000081</c:v>
                </c:pt>
                <c:pt idx="1203">
                  <c:v>15.737900000000081</c:v>
                </c:pt>
                <c:pt idx="1204">
                  <c:v>15.737900000000081</c:v>
                </c:pt>
                <c:pt idx="1205">
                  <c:v>15.737900000000081</c:v>
                </c:pt>
                <c:pt idx="1206">
                  <c:v>15.737900000000081</c:v>
                </c:pt>
                <c:pt idx="1207">
                  <c:v>15.737900000000081</c:v>
                </c:pt>
                <c:pt idx="1208">
                  <c:v>15.737900000000081</c:v>
                </c:pt>
                <c:pt idx="1209">
                  <c:v>15.737900000000081</c:v>
                </c:pt>
                <c:pt idx="1210">
                  <c:v>15.737900000000081</c:v>
                </c:pt>
                <c:pt idx="1211">
                  <c:v>15.737900000000081</c:v>
                </c:pt>
                <c:pt idx="1212">
                  <c:v>15.737900000000081</c:v>
                </c:pt>
                <c:pt idx="1213">
                  <c:v>15.737900000000081</c:v>
                </c:pt>
                <c:pt idx="1214">
                  <c:v>15.737900000000081</c:v>
                </c:pt>
                <c:pt idx="1215">
                  <c:v>15.737900000000081</c:v>
                </c:pt>
                <c:pt idx="1216">
                  <c:v>15.737900000000081</c:v>
                </c:pt>
                <c:pt idx="1217">
                  <c:v>15.737900000000081</c:v>
                </c:pt>
                <c:pt idx="1218">
                  <c:v>15.737900000000081</c:v>
                </c:pt>
                <c:pt idx="1219">
                  <c:v>15.737900000000081</c:v>
                </c:pt>
                <c:pt idx="1220">
                  <c:v>15.737900000000081</c:v>
                </c:pt>
                <c:pt idx="1221">
                  <c:v>15.737900000000081</c:v>
                </c:pt>
                <c:pt idx="1222">
                  <c:v>15.737900000000081</c:v>
                </c:pt>
                <c:pt idx="1223">
                  <c:v>15.737900000000081</c:v>
                </c:pt>
                <c:pt idx="1224">
                  <c:v>15.737900000000081</c:v>
                </c:pt>
                <c:pt idx="1225">
                  <c:v>15.737900000000081</c:v>
                </c:pt>
                <c:pt idx="1226">
                  <c:v>15.737900000000081</c:v>
                </c:pt>
                <c:pt idx="1227">
                  <c:v>15.737900000000081</c:v>
                </c:pt>
                <c:pt idx="1228">
                  <c:v>15.737900000000081</c:v>
                </c:pt>
                <c:pt idx="1229">
                  <c:v>15.737900000000081</c:v>
                </c:pt>
                <c:pt idx="1230">
                  <c:v>15.737900000000081</c:v>
                </c:pt>
                <c:pt idx="1231">
                  <c:v>15.737900000000081</c:v>
                </c:pt>
                <c:pt idx="1232">
                  <c:v>15.737900000000081</c:v>
                </c:pt>
                <c:pt idx="1233">
                  <c:v>15.737900000000081</c:v>
                </c:pt>
                <c:pt idx="1234">
                  <c:v>15.737900000000081</c:v>
                </c:pt>
                <c:pt idx="1235">
                  <c:v>15.737900000000081</c:v>
                </c:pt>
                <c:pt idx="1236">
                  <c:v>15.737900000000081</c:v>
                </c:pt>
                <c:pt idx="1237">
                  <c:v>15.737900000000081</c:v>
                </c:pt>
                <c:pt idx="1238">
                  <c:v>15.737900000000081</c:v>
                </c:pt>
                <c:pt idx="1239">
                  <c:v>15.737900000000081</c:v>
                </c:pt>
                <c:pt idx="1240">
                  <c:v>15.737900000000081</c:v>
                </c:pt>
                <c:pt idx="1241">
                  <c:v>15.737900000000081</c:v>
                </c:pt>
                <c:pt idx="1242">
                  <c:v>15.737900000000081</c:v>
                </c:pt>
                <c:pt idx="1243">
                  <c:v>15.737900000000081</c:v>
                </c:pt>
                <c:pt idx="1244">
                  <c:v>15.737900000000081</c:v>
                </c:pt>
                <c:pt idx="1245">
                  <c:v>15.737900000000081</c:v>
                </c:pt>
                <c:pt idx="1246">
                  <c:v>15.737900000000081</c:v>
                </c:pt>
                <c:pt idx="1247">
                  <c:v>15.737900000000081</c:v>
                </c:pt>
                <c:pt idx="1248">
                  <c:v>15.737900000000081</c:v>
                </c:pt>
                <c:pt idx="1249">
                  <c:v>15.737900000000081</c:v>
                </c:pt>
                <c:pt idx="1250">
                  <c:v>15.737900000000081</c:v>
                </c:pt>
                <c:pt idx="1251">
                  <c:v>15.737900000000081</c:v>
                </c:pt>
                <c:pt idx="1252">
                  <c:v>15.737900000000081</c:v>
                </c:pt>
                <c:pt idx="1253">
                  <c:v>15.737900000000081</c:v>
                </c:pt>
                <c:pt idx="1254">
                  <c:v>15.737900000000081</c:v>
                </c:pt>
                <c:pt idx="1255">
                  <c:v>15.737900000000081</c:v>
                </c:pt>
                <c:pt idx="1256">
                  <c:v>15.737900000000081</c:v>
                </c:pt>
                <c:pt idx="1257">
                  <c:v>15.737900000000081</c:v>
                </c:pt>
                <c:pt idx="1258">
                  <c:v>15.737900000000081</c:v>
                </c:pt>
                <c:pt idx="1259">
                  <c:v>15.737900000000081</c:v>
                </c:pt>
                <c:pt idx="1260">
                  <c:v>15.737900000000081</c:v>
                </c:pt>
                <c:pt idx="1261">
                  <c:v>15.737900000000081</c:v>
                </c:pt>
                <c:pt idx="1262">
                  <c:v>15.737900000000081</c:v>
                </c:pt>
                <c:pt idx="1263">
                  <c:v>15.737900000000081</c:v>
                </c:pt>
                <c:pt idx="1264">
                  <c:v>15.737900000000081</c:v>
                </c:pt>
                <c:pt idx="1265">
                  <c:v>15.737900000000081</c:v>
                </c:pt>
                <c:pt idx="1266">
                  <c:v>15.737900000000081</c:v>
                </c:pt>
                <c:pt idx="1267">
                  <c:v>15.737900000000081</c:v>
                </c:pt>
                <c:pt idx="1268">
                  <c:v>15.737900000000081</c:v>
                </c:pt>
                <c:pt idx="1269">
                  <c:v>15.737900000000081</c:v>
                </c:pt>
                <c:pt idx="1270">
                  <c:v>15.737900000000081</c:v>
                </c:pt>
                <c:pt idx="1271">
                  <c:v>15.737900000000081</c:v>
                </c:pt>
                <c:pt idx="1272">
                  <c:v>15.737900000000081</c:v>
                </c:pt>
                <c:pt idx="1273">
                  <c:v>15.737900000000081</c:v>
                </c:pt>
                <c:pt idx="1274">
                  <c:v>15.737900000000081</c:v>
                </c:pt>
                <c:pt idx="1275">
                  <c:v>15.737900000000081</c:v>
                </c:pt>
                <c:pt idx="1276">
                  <c:v>15.737900000000081</c:v>
                </c:pt>
                <c:pt idx="1277">
                  <c:v>15.737900000000081</c:v>
                </c:pt>
                <c:pt idx="1278">
                  <c:v>15.737900000000081</c:v>
                </c:pt>
                <c:pt idx="1279">
                  <c:v>15.737900000000081</c:v>
                </c:pt>
                <c:pt idx="1280">
                  <c:v>15.737900000000081</c:v>
                </c:pt>
                <c:pt idx="1281">
                  <c:v>15.737900000000081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300-40CA-A96B-4DD3E67A72F4}"/>
            </c:ext>
          </c:extLst>
        </c:ser>
        <c:ser>
          <c:idx val="3"/>
          <c:order val="3"/>
          <c:tx>
            <c:strRef>
              <c:f>历史数据!$I$1</c:f>
              <c:strCache>
                <c:ptCount val="1"/>
                <c:pt idx="0">
                  <c:v>均值</c:v>
                </c:pt>
              </c:strCache>
            </c:strRef>
          </c:tx>
          <c:spPr>
            <a:ln w="127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历史数据!$B$2:$B$3390</c:f>
              <c:numCache>
                <c:formatCode>yyyy\-mm\-dd</c:formatCode>
                <c:ptCount val="3389"/>
                <c:pt idx="0">
                  <c:v>43467</c:v>
                </c:pt>
                <c:pt idx="1">
                  <c:v>43468</c:v>
                </c:pt>
                <c:pt idx="2">
                  <c:v>43469</c:v>
                </c:pt>
                <c:pt idx="3">
                  <c:v>43472</c:v>
                </c:pt>
                <c:pt idx="4">
                  <c:v>43473</c:v>
                </c:pt>
                <c:pt idx="5">
                  <c:v>43474</c:v>
                </c:pt>
                <c:pt idx="6">
                  <c:v>43475</c:v>
                </c:pt>
                <c:pt idx="7">
                  <c:v>43476</c:v>
                </c:pt>
                <c:pt idx="8">
                  <c:v>43479</c:v>
                </c:pt>
                <c:pt idx="9">
                  <c:v>43480</c:v>
                </c:pt>
                <c:pt idx="10">
                  <c:v>43481</c:v>
                </c:pt>
                <c:pt idx="11">
                  <c:v>43482</c:v>
                </c:pt>
                <c:pt idx="12">
                  <c:v>43483</c:v>
                </c:pt>
                <c:pt idx="13">
                  <c:v>43486</c:v>
                </c:pt>
                <c:pt idx="14">
                  <c:v>43487</c:v>
                </c:pt>
                <c:pt idx="15">
                  <c:v>43488</c:v>
                </c:pt>
                <c:pt idx="16">
                  <c:v>43489</c:v>
                </c:pt>
                <c:pt idx="17">
                  <c:v>43490</c:v>
                </c:pt>
                <c:pt idx="18">
                  <c:v>43493</c:v>
                </c:pt>
                <c:pt idx="19">
                  <c:v>43494</c:v>
                </c:pt>
                <c:pt idx="20">
                  <c:v>43495</c:v>
                </c:pt>
                <c:pt idx="21">
                  <c:v>43496</c:v>
                </c:pt>
                <c:pt idx="22">
                  <c:v>43497</c:v>
                </c:pt>
                <c:pt idx="23">
                  <c:v>43507</c:v>
                </c:pt>
                <c:pt idx="24">
                  <c:v>43508</c:v>
                </c:pt>
                <c:pt idx="25">
                  <c:v>43509</c:v>
                </c:pt>
                <c:pt idx="26">
                  <c:v>43510</c:v>
                </c:pt>
                <c:pt idx="27">
                  <c:v>43511</c:v>
                </c:pt>
                <c:pt idx="28">
                  <c:v>43514</c:v>
                </c:pt>
                <c:pt idx="29">
                  <c:v>43515</c:v>
                </c:pt>
                <c:pt idx="30">
                  <c:v>43516</c:v>
                </c:pt>
                <c:pt idx="31">
                  <c:v>43517</c:v>
                </c:pt>
                <c:pt idx="32">
                  <c:v>43518</c:v>
                </c:pt>
                <c:pt idx="33">
                  <c:v>43521</c:v>
                </c:pt>
                <c:pt idx="34">
                  <c:v>43522</c:v>
                </c:pt>
                <c:pt idx="35">
                  <c:v>43523</c:v>
                </c:pt>
                <c:pt idx="36">
                  <c:v>43524</c:v>
                </c:pt>
                <c:pt idx="37">
                  <c:v>43525</c:v>
                </c:pt>
                <c:pt idx="38">
                  <c:v>43528</c:v>
                </c:pt>
                <c:pt idx="39">
                  <c:v>43529</c:v>
                </c:pt>
                <c:pt idx="40">
                  <c:v>43530</c:v>
                </c:pt>
                <c:pt idx="41">
                  <c:v>43531</c:v>
                </c:pt>
                <c:pt idx="42">
                  <c:v>43532</c:v>
                </c:pt>
                <c:pt idx="43">
                  <c:v>43535</c:v>
                </c:pt>
                <c:pt idx="44">
                  <c:v>43536</c:v>
                </c:pt>
                <c:pt idx="45">
                  <c:v>43537</c:v>
                </c:pt>
                <c:pt idx="46">
                  <c:v>43538</c:v>
                </c:pt>
                <c:pt idx="47">
                  <c:v>43539</c:v>
                </c:pt>
                <c:pt idx="48">
                  <c:v>43542</c:v>
                </c:pt>
                <c:pt idx="49">
                  <c:v>43543</c:v>
                </c:pt>
                <c:pt idx="50">
                  <c:v>43544</c:v>
                </c:pt>
                <c:pt idx="51">
                  <c:v>43545</c:v>
                </c:pt>
                <c:pt idx="52">
                  <c:v>43546</c:v>
                </c:pt>
                <c:pt idx="53">
                  <c:v>43549</c:v>
                </c:pt>
                <c:pt idx="54">
                  <c:v>43550</c:v>
                </c:pt>
                <c:pt idx="55">
                  <c:v>43551</c:v>
                </c:pt>
                <c:pt idx="56">
                  <c:v>43552</c:v>
                </c:pt>
                <c:pt idx="57">
                  <c:v>43553</c:v>
                </c:pt>
                <c:pt idx="58">
                  <c:v>43556</c:v>
                </c:pt>
                <c:pt idx="59">
                  <c:v>43557</c:v>
                </c:pt>
                <c:pt idx="60">
                  <c:v>43558</c:v>
                </c:pt>
                <c:pt idx="61">
                  <c:v>43559</c:v>
                </c:pt>
                <c:pt idx="62">
                  <c:v>43563</c:v>
                </c:pt>
                <c:pt idx="63">
                  <c:v>43564</c:v>
                </c:pt>
                <c:pt idx="64">
                  <c:v>43565</c:v>
                </c:pt>
                <c:pt idx="65">
                  <c:v>43566</c:v>
                </c:pt>
                <c:pt idx="66">
                  <c:v>43567</c:v>
                </c:pt>
                <c:pt idx="67">
                  <c:v>43570</c:v>
                </c:pt>
                <c:pt idx="68">
                  <c:v>43571</c:v>
                </c:pt>
                <c:pt idx="69">
                  <c:v>43572</c:v>
                </c:pt>
                <c:pt idx="70">
                  <c:v>43573</c:v>
                </c:pt>
                <c:pt idx="71">
                  <c:v>43574</c:v>
                </c:pt>
                <c:pt idx="72">
                  <c:v>43577</c:v>
                </c:pt>
                <c:pt idx="73">
                  <c:v>43578</c:v>
                </c:pt>
                <c:pt idx="74">
                  <c:v>43579</c:v>
                </c:pt>
                <c:pt idx="75">
                  <c:v>43580</c:v>
                </c:pt>
                <c:pt idx="76">
                  <c:v>43581</c:v>
                </c:pt>
                <c:pt idx="77">
                  <c:v>43584</c:v>
                </c:pt>
                <c:pt idx="78">
                  <c:v>43585</c:v>
                </c:pt>
                <c:pt idx="79">
                  <c:v>43591</c:v>
                </c:pt>
                <c:pt idx="80">
                  <c:v>43592</c:v>
                </c:pt>
                <c:pt idx="81">
                  <c:v>43593</c:v>
                </c:pt>
                <c:pt idx="82">
                  <c:v>43594</c:v>
                </c:pt>
                <c:pt idx="83">
                  <c:v>43595</c:v>
                </c:pt>
                <c:pt idx="84">
                  <c:v>43598</c:v>
                </c:pt>
                <c:pt idx="85">
                  <c:v>43599</c:v>
                </c:pt>
                <c:pt idx="86">
                  <c:v>43600</c:v>
                </c:pt>
                <c:pt idx="87">
                  <c:v>43601</c:v>
                </c:pt>
                <c:pt idx="88">
                  <c:v>43602</c:v>
                </c:pt>
                <c:pt idx="89">
                  <c:v>43605</c:v>
                </c:pt>
                <c:pt idx="90">
                  <c:v>43606</c:v>
                </c:pt>
                <c:pt idx="91">
                  <c:v>43607</c:v>
                </c:pt>
                <c:pt idx="92">
                  <c:v>43608</c:v>
                </c:pt>
                <c:pt idx="93">
                  <c:v>43609</c:v>
                </c:pt>
                <c:pt idx="94">
                  <c:v>43612</c:v>
                </c:pt>
                <c:pt idx="95">
                  <c:v>43613</c:v>
                </c:pt>
                <c:pt idx="96">
                  <c:v>43614</c:v>
                </c:pt>
                <c:pt idx="97">
                  <c:v>43615</c:v>
                </c:pt>
                <c:pt idx="98">
                  <c:v>43616</c:v>
                </c:pt>
                <c:pt idx="99">
                  <c:v>43619</c:v>
                </c:pt>
                <c:pt idx="100">
                  <c:v>43620</c:v>
                </c:pt>
                <c:pt idx="101">
                  <c:v>43621</c:v>
                </c:pt>
                <c:pt idx="102">
                  <c:v>43622</c:v>
                </c:pt>
                <c:pt idx="103">
                  <c:v>43626</c:v>
                </c:pt>
                <c:pt idx="104">
                  <c:v>43627</c:v>
                </c:pt>
                <c:pt idx="105">
                  <c:v>43628</c:v>
                </c:pt>
                <c:pt idx="106">
                  <c:v>43629</c:v>
                </c:pt>
                <c:pt idx="107">
                  <c:v>43630</c:v>
                </c:pt>
                <c:pt idx="108">
                  <c:v>43633</c:v>
                </c:pt>
                <c:pt idx="109">
                  <c:v>43634</c:v>
                </c:pt>
                <c:pt idx="110">
                  <c:v>43635</c:v>
                </c:pt>
                <c:pt idx="111">
                  <c:v>43636</c:v>
                </c:pt>
                <c:pt idx="112">
                  <c:v>43637</c:v>
                </c:pt>
                <c:pt idx="113">
                  <c:v>43640</c:v>
                </c:pt>
                <c:pt idx="114">
                  <c:v>43641</c:v>
                </c:pt>
                <c:pt idx="115">
                  <c:v>43642</c:v>
                </c:pt>
                <c:pt idx="116">
                  <c:v>43643</c:v>
                </c:pt>
                <c:pt idx="117">
                  <c:v>43644</c:v>
                </c:pt>
                <c:pt idx="118">
                  <c:v>43647</c:v>
                </c:pt>
                <c:pt idx="119">
                  <c:v>43648</c:v>
                </c:pt>
                <c:pt idx="120">
                  <c:v>43649</c:v>
                </c:pt>
                <c:pt idx="121">
                  <c:v>43650</c:v>
                </c:pt>
                <c:pt idx="122">
                  <c:v>43651</c:v>
                </c:pt>
                <c:pt idx="123">
                  <c:v>43654</c:v>
                </c:pt>
                <c:pt idx="124">
                  <c:v>43655</c:v>
                </c:pt>
                <c:pt idx="125">
                  <c:v>43656</c:v>
                </c:pt>
                <c:pt idx="126">
                  <c:v>43657</c:v>
                </c:pt>
                <c:pt idx="127">
                  <c:v>43658</c:v>
                </c:pt>
                <c:pt idx="128">
                  <c:v>43661</c:v>
                </c:pt>
                <c:pt idx="129">
                  <c:v>43662</c:v>
                </c:pt>
                <c:pt idx="130">
                  <c:v>43663</c:v>
                </c:pt>
                <c:pt idx="131">
                  <c:v>43664</c:v>
                </c:pt>
                <c:pt idx="132">
                  <c:v>43665</c:v>
                </c:pt>
                <c:pt idx="133">
                  <c:v>43668</c:v>
                </c:pt>
                <c:pt idx="134">
                  <c:v>43669</c:v>
                </c:pt>
                <c:pt idx="135">
                  <c:v>43670</c:v>
                </c:pt>
                <c:pt idx="136">
                  <c:v>43671</c:v>
                </c:pt>
                <c:pt idx="137">
                  <c:v>43672</c:v>
                </c:pt>
                <c:pt idx="138">
                  <c:v>43675</c:v>
                </c:pt>
                <c:pt idx="139">
                  <c:v>43676</c:v>
                </c:pt>
                <c:pt idx="140">
                  <c:v>43677</c:v>
                </c:pt>
                <c:pt idx="141">
                  <c:v>43678</c:v>
                </c:pt>
                <c:pt idx="142">
                  <c:v>43679</c:v>
                </c:pt>
                <c:pt idx="143">
                  <c:v>43682</c:v>
                </c:pt>
                <c:pt idx="144">
                  <c:v>43683</c:v>
                </c:pt>
                <c:pt idx="145">
                  <c:v>43684</c:v>
                </c:pt>
                <c:pt idx="146">
                  <c:v>43685</c:v>
                </c:pt>
                <c:pt idx="147">
                  <c:v>43686</c:v>
                </c:pt>
                <c:pt idx="148">
                  <c:v>43689</c:v>
                </c:pt>
                <c:pt idx="149">
                  <c:v>43690</c:v>
                </c:pt>
                <c:pt idx="150">
                  <c:v>43691</c:v>
                </c:pt>
                <c:pt idx="151">
                  <c:v>43692</c:v>
                </c:pt>
                <c:pt idx="152">
                  <c:v>43693</c:v>
                </c:pt>
                <c:pt idx="153">
                  <c:v>43696</c:v>
                </c:pt>
                <c:pt idx="154">
                  <c:v>43697</c:v>
                </c:pt>
                <c:pt idx="155">
                  <c:v>43698</c:v>
                </c:pt>
                <c:pt idx="156">
                  <c:v>43699</c:v>
                </c:pt>
                <c:pt idx="157">
                  <c:v>43700</c:v>
                </c:pt>
                <c:pt idx="158">
                  <c:v>43703</c:v>
                </c:pt>
                <c:pt idx="159">
                  <c:v>43704</c:v>
                </c:pt>
                <c:pt idx="160">
                  <c:v>43705</c:v>
                </c:pt>
                <c:pt idx="161">
                  <c:v>43706</c:v>
                </c:pt>
                <c:pt idx="162">
                  <c:v>43707</c:v>
                </c:pt>
                <c:pt idx="163">
                  <c:v>43710</c:v>
                </c:pt>
                <c:pt idx="164">
                  <c:v>43711</c:v>
                </c:pt>
                <c:pt idx="165">
                  <c:v>43712</c:v>
                </c:pt>
                <c:pt idx="166">
                  <c:v>43713</c:v>
                </c:pt>
                <c:pt idx="167">
                  <c:v>43714</c:v>
                </c:pt>
                <c:pt idx="168">
                  <c:v>43717</c:v>
                </c:pt>
                <c:pt idx="169">
                  <c:v>43718</c:v>
                </c:pt>
                <c:pt idx="170">
                  <c:v>43719</c:v>
                </c:pt>
                <c:pt idx="171">
                  <c:v>43720</c:v>
                </c:pt>
                <c:pt idx="172">
                  <c:v>43724</c:v>
                </c:pt>
                <c:pt idx="173">
                  <c:v>43725</c:v>
                </c:pt>
                <c:pt idx="174">
                  <c:v>43726</c:v>
                </c:pt>
                <c:pt idx="175">
                  <c:v>43727</c:v>
                </c:pt>
                <c:pt idx="176">
                  <c:v>43728</c:v>
                </c:pt>
                <c:pt idx="177">
                  <c:v>43731</c:v>
                </c:pt>
                <c:pt idx="178">
                  <c:v>43732</c:v>
                </c:pt>
                <c:pt idx="179">
                  <c:v>43733</c:v>
                </c:pt>
                <c:pt idx="180">
                  <c:v>43734</c:v>
                </c:pt>
                <c:pt idx="181">
                  <c:v>43735</c:v>
                </c:pt>
                <c:pt idx="182">
                  <c:v>43738</c:v>
                </c:pt>
                <c:pt idx="183">
                  <c:v>43746</c:v>
                </c:pt>
                <c:pt idx="184">
                  <c:v>43747</c:v>
                </c:pt>
                <c:pt idx="185">
                  <c:v>43748</c:v>
                </c:pt>
                <c:pt idx="186">
                  <c:v>43749</c:v>
                </c:pt>
                <c:pt idx="187">
                  <c:v>43752</c:v>
                </c:pt>
                <c:pt idx="188">
                  <c:v>43753</c:v>
                </c:pt>
                <c:pt idx="189">
                  <c:v>43754</c:v>
                </c:pt>
                <c:pt idx="190">
                  <c:v>43755</c:v>
                </c:pt>
                <c:pt idx="191">
                  <c:v>43756</c:v>
                </c:pt>
                <c:pt idx="192">
                  <c:v>43759</c:v>
                </c:pt>
                <c:pt idx="193">
                  <c:v>43760</c:v>
                </c:pt>
                <c:pt idx="194">
                  <c:v>43761</c:v>
                </c:pt>
                <c:pt idx="195">
                  <c:v>43762</c:v>
                </c:pt>
                <c:pt idx="196">
                  <c:v>43763</c:v>
                </c:pt>
                <c:pt idx="197">
                  <c:v>43766</c:v>
                </c:pt>
                <c:pt idx="198">
                  <c:v>43767</c:v>
                </c:pt>
                <c:pt idx="199">
                  <c:v>43768</c:v>
                </c:pt>
                <c:pt idx="200">
                  <c:v>43769</c:v>
                </c:pt>
                <c:pt idx="201">
                  <c:v>43770</c:v>
                </c:pt>
                <c:pt idx="202">
                  <c:v>43773</c:v>
                </c:pt>
                <c:pt idx="203">
                  <c:v>43774</c:v>
                </c:pt>
                <c:pt idx="204">
                  <c:v>43775</c:v>
                </c:pt>
                <c:pt idx="205">
                  <c:v>43776</c:v>
                </c:pt>
                <c:pt idx="206">
                  <c:v>43777</c:v>
                </c:pt>
                <c:pt idx="207">
                  <c:v>43780</c:v>
                </c:pt>
                <c:pt idx="208">
                  <c:v>43781</c:v>
                </c:pt>
                <c:pt idx="209">
                  <c:v>43782</c:v>
                </c:pt>
                <c:pt idx="210">
                  <c:v>43783</c:v>
                </c:pt>
                <c:pt idx="211">
                  <c:v>43784</c:v>
                </c:pt>
                <c:pt idx="212">
                  <c:v>43787</c:v>
                </c:pt>
                <c:pt idx="213">
                  <c:v>43788</c:v>
                </c:pt>
                <c:pt idx="214">
                  <c:v>43789</c:v>
                </c:pt>
                <c:pt idx="215">
                  <c:v>43790</c:v>
                </c:pt>
                <c:pt idx="216">
                  <c:v>43791</c:v>
                </c:pt>
                <c:pt idx="217">
                  <c:v>43794</c:v>
                </c:pt>
                <c:pt idx="218">
                  <c:v>43795</c:v>
                </c:pt>
                <c:pt idx="219">
                  <c:v>43796</c:v>
                </c:pt>
                <c:pt idx="220">
                  <c:v>43797</c:v>
                </c:pt>
                <c:pt idx="221">
                  <c:v>43798</c:v>
                </c:pt>
                <c:pt idx="222">
                  <c:v>43801</c:v>
                </c:pt>
                <c:pt idx="223">
                  <c:v>43802</c:v>
                </c:pt>
                <c:pt idx="224">
                  <c:v>43803</c:v>
                </c:pt>
                <c:pt idx="225">
                  <c:v>43804</c:v>
                </c:pt>
                <c:pt idx="226">
                  <c:v>43805</c:v>
                </c:pt>
                <c:pt idx="227">
                  <c:v>43808</c:v>
                </c:pt>
                <c:pt idx="228">
                  <c:v>43809</c:v>
                </c:pt>
                <c:pt idx="229">
                  <c:v>43810</c:v>
                </c:pt>
                <c:pt idx="230">
                  <c:v>43811</c:v>
                </c:pt>
                <c:pt idx="231">
                  <c:v>43812</c:v>
                </c:pt>
                <c:pt idx="232">
                  <c:v>43815</c:v>
                </c:pt>
                <c:pt idx="233">
                  <c:v>43816</c:v>
                </c:pt>
                <c:pt idx="234">
                  <c:v>43817</c:v>
                </c:pt>
                <c:pt idx="235">
                  <c:v>43818</c:v>
                </c:pt>
                <c:pt idx="236">
                  <c:v>43819</c:v>
                </c:pt>
                <c:pt idx="237">
                  <c:v>43822</c:v>
                </c:pt>
                <c:pt idx="238">
                  <c:v>43823</c:v>
                </c:pt>
                <c:pt idx="239">
                  <c:v>43824</c:v>
                </c:pt>
                <c:pt idx="240">
                  <c:v>43825</c:v>
                </c:pt>
                <c:pt idx="241">
                  <c:v>43826</c:v>
                </c:pt>
                <c:pt idx="242">
                  <c:v>43829</c:v>
                </c:pt>
                <c:pt idx="243">
                  <c:v>43830</c:v>
                </c:pt>
                <c:pt idx="244">
                  <c:v>43832</c:v>
                </c:pt>
                <c:pt idx="245">
                  <c:v>43833</c:v>
                </c:pt>
                <c:pt idx="246">
                  <c:v>43836</c:v>
                </c:pt>
                <c:pt idx="247">
                  <c:v>43837</c:v>
                </c:pt>
                <c:pt idx="248">
                  <c:v>43838</c:v>
                </c:pt>
                <c:pt idx="249">
                  <c:v>43839</c:v>
                </c:pt>
                <c:pt idx="250">
                  <c:v>43840</c:v>
                </c:pt>
                <c:pt idx="251">
                  <c:v>43843</c:v>
                </c:pt>
                <c:pt idx="252">
                  <c:v>43844</c:v>
                </c:pt>
                <c:pt idx="253">
                  <c:v>43845</c:v>
                </c:pt>
                <c:pt idx="254">
                  <c:v>43846</c:v>
                </c:pt>
                <c:pt idx="255">
                  <c:v>43847</c:v>
                </c:pt>
                <c:pt idx="256">
                  <c:v>43850</c:v>
                </c:pt>
                <c:pt idx="257">
                  <c:v>43851</c:v>
                </c:pt>
                <c:pt idx="258">
                  <c:v>43852</c:v>
                </c:pt>
                <c:pt idx="259">
                  <c:v>43853</c:v>
                </c:pt>
                <c:pt idx="260">
                  <c:v>43864</c:v>
                </c:pt>
                <c:pt idx="261">
                  <c:v>43865</c:v>
                </c:pt>
                <c:pt idx="262">
                  <c:v>43866</c:v>
                </c:pt>
                <c:pt idx="263">
                  <c:v>43867</c:v>
                </c:pt>
                <c:pt idx="264">
                  <c:v>43868</c:v>
                </c:pt>
                <c:pt idx="265">
                  <c:v>43871</c:v>
                </c:pt>
                <c:pt idx="266">
                  <c:v>43872</c:v>
                </c:pt>
                <c:pt idx="267">
                  <c:v>43873</c:v>
                </c:pt>
                <c:pt idx="268">
                  <c:v>43874</c:v>
                </c:pt>
                <c:pt idx="269">
                  <c:v>43875</c:v>
                </c:pt>
                <c:pt idx="270">
                  <c:v>43878</c:v>
                </c:pt>
                <c:pt idx="271">
                  <c:v>43879</c:v>
                </c:pt>
                <c:pt idx="272">
                  <c:v>43880</c:v>
                </c:pt>
                <c:pt idx="273">
                  <c:v>43881</c:v>
                </c:pt>
                <c:pt idx="274">
                  <c:v>43882</c:v>
                </c:pt>
                <c:pt idx="275">
                  <c:v>43885</c:v>
                </c:pt>
                <c:pt idx="276">
                  <c:v>43886</c:v>
                </c:pt>
                <c:pt idx="277">
                  <c:v>43887</c:v>
                </c:pt>
                <c:pt idx="278">
                  <c:v>43888</c:v>
                </c:pt>
                <c:pt idx="279">
                  <c:v>43889</c:v>
                </c:pt>
                <c:pt idx="280">
                  <c:v>43892</c:v>
                </c:pt>
                <c:pt idx="281">
                  <c:v>43893</c:v>
                </c:pt>
                <c:pt idx="282">
                  <c:v>43894</c:v>
                </c:pt>
                <c:pt idx="283">
                  <c:v>43895</c:v>
                </c:pt>
                <c:pt idx="284">
                  <c:v>43896</c:v>
                </c:pt>
                <c:pt idx="285">
                  <c:v>43899</c:v>
                </c:pt>
                <c:pt idx="286">
                  <c:v>43900</c:v>
                </c:pt>
                <c:pt idx="287">
                  <c:v>43901</c:v>
                </c:pt>
                <c:pt idx="288">
                  <c:v>43902</c:v>
                </c:pt>
                <c:pt idx="289">
                  <c:v>43903</c:v>
                </c:pt>
                <c:pt idx="290">
                  <c:v>43906</c:v>
                </c:pt>
                <c:pt idx="291">
                  <c:v>43907</c:v>
                </c:pt>
                <c:pt idx="292">
                  <c:v>43908</c:v>
                </c:pt>
                <c:pt idx="293">
                  <c:v>43909</c:v>
                </c:pt>
                <c:pt idx="294">
                  <c:v>43910</c:v>
                </c:pt>
                <c:pt idx="295">
                  <c:v>43913</c:v>
                </c:pt>
                <c:pt idx="296">
                  <c:v>43914</c:v>
                </c:pt>
                <c:pt idx="297">
                  <c:v>43915</c:v>
                </c:pt>
                <c:pt idx="298">
                  <c:v>43916</c:v>
                </c:pt>
                <c:pt idx="299">
                  <c:v>43917</c:v>
                </c:pt>
                <c:pt idx="300">
                  <c:v>43920</c:v>
                </c:pt>
                <c:pt idx="301">
                  <c:v>43921</c:v>
                </c:pt>
                <c:pt idx="302">
                  <c:v>43922</c:v>
                </c:pt>
                <c:pt idx="303">
                  <c:v>43923</c:v>
                </c:pt>
                <c:pt idx="304">
                  <c:v>43924</c:v>
                </c:pt>
                <c:pt idx="305">
                  <c:v>43928</c:v>
                </c:pt>
                <c:pt idx="306">
                  <c:v>43929</c:v>
                </c:pt>
                <c:pt idx="307">
                  <c:v>43930</c:v>
                </c:pt>
                <c:pt idx="308">
                  <c:v>43931</c:v>
                </c:pt>
                <c:pt idx="309">
                  <c:v>43934</c:v>
                </c:pt>
                <c:pt idx="310">
                  <c:v>43935</c:v>
                </c:pt>
                <c:pt idx="311">
                  <c:v>43936</c:v>
                </c:pt>
                <c:pt idx="312">
                  <c:v>43937</c:v>
                </c:pt>
                <c:pt idx="313">
                  <c:v>43938</c:v>
                </c:pt>
                <c:pt idx="314">
                  <c:v>43941</c:v>
                </c:pt>
                <c:pt idx="315">
                  <c:v>43942</c:v>
                </c:pt>
                <c:pt idx="316">
                  <c:v>43943</c:v>
                </c:pt>
                <c:pt idx="317">
                  <c:v>43944</c:v>
                </c:pt>
                <c:pt idx="318">
                  <c:v>43945</c:v>
                </c:pt>
                <c:pt idx="319">
                  <c:v>43948</c:v>
                </c:pt>
                <c:pt idx="320">
                  <c:v>43949</c:v>
                </c:pt>
                <c:pt idx="321">
                  <c:v>43950</c:v>
                </c:pt>
                <c:pt idx="322">
                  <c:v>43951</c:v>
                </c:pt>
                <c:pt idx="323">
                  <c:v>43957</c:v>
                </c:pt>
                <c:pt idx="324">
                  <c:v>43958</c:v>
                </c:pt>
                <c:pt idx="325">
                  <c:v>43959</c:v>
                </c:pt>
                <c:pt idx="326">
                  <c:v>43962</c:v>
                </c:pt>
                <c:pt idx="327">
                  <c:v>43963</c:v>
                </c:pt>
                <c:pt idx="328">
                  <c:v>43964</c:v>
                </c:pt>
                <c:pt idx="329">
                  <c:v>43965</c:v>
                </c:pt>
                <c:pt idx="330">
                  <c:v>43966</c:v>
                </c:pt>
                <c:pt idx="331">
                  <c:v>43969</c:v>
                </c:pt>
                <c:pt idx="332">
                  <c:v>43970</c:v>
                </c:pt>
                <c:pt idx="333">
                  <c:v>43971</c:v>
                </c:pt>
                <c:pt idx="334">
                  <c:v>43972</c:v>
                </c:pt>
                <c:pt idx="335">
                  <c:v>43973</c:v>
                </c:pt>
                <c:pt idx="336">
                  <c:v>43976</c:v>
                </c:pt>
                <c:pt idx="337">
                  <c:v>43977</c:v>
                </c:pt>
                <c:pt idx="338">
                  <c:v>43978</c:v>
                </c:pt>
                <c:pt idx="339">
                  <c:v>43979</c:v>
                </c:pt>
                <c:pt idx="340">
                  <c:v>43980</c:v>
                </c:pt>
                <c:pt idx="341">
                  <c:v>43983</c:v>
                </c:pt>
                <c:pt idx="342">
                  <c:v>43984</c:v>
                </c:pt>
                <c:pt idx="343">
                  <c:v>43985</c:v>
                </c:pt>
                <c:pt idx="344">
                  <c:v>43986</c:v>
                </c:pt>
                <c:pt idx="345">
                  <c:v>43987</c:v>
                </c:pt>
                <c:pt idx="346">
                  <c:v>43990</c:v>
                </c:pt>
                <c:pt idx="347">
                  <c:v>43991</c:v>
                </c:pt>
                <c:pt idx="348">
                  <c:v>43992</c:v>
                </c:pt>
                <c:pt idx="349">
                  <c:v>43993</c:v>
                </c:pt>
                <c:pt idx="350">
                  <c:v>43994</c:v>
                </c:pt>
                <c:pt idx="351">
                  <c:v>43997</c:v>
                </c:pt>
                <c:pt idx="352">
                  <c:v>43998</c:v>
                </c:pt>
                <c:pt idx="353">
                  <c:v>43999</c:v>
                </c:pt>
                <c:pt idx="354">
                  <c:v>44000</c:v>
                </c:pt>
                <c:pt idx="355">
                  <c:v>44001</c:v>
                </c:pt>
                <c:pt idx="356">
                  <c:v>44004</c:v>
                </c:pt>
                <c:pt idx="357">
                  <c:v>44005</c:v>
                </c:pt>
                <c:pt idx="358">
                  <c:v>44006</c:v>
                </c:pt>
                <c:pt idx="359">
                  <c:v>44011</c:v>
                </c:pt>
                <c:pt idx="360">
                  <c:v>44012</c:v>
                </c:pt>
                <c:pt idx="361">
                  <c:v>44013</c:v>
                </c:pt>
                <c:pt idx="362">
                  <c:v>44014</c:v>
                </c:pt>
                <c:pt idx="363">
                  <c:v>44015</c:v>
                </c:pt>
                <c:pt idx="364">
                  <c:v>44018</c:v>
                </c:pt>
                <c:pt idx="365">
                  <c:v>44019</c:v>
                </c:pt>
                <c:pt idx="366">
                  <c:v>44020</c:v>
                </c:pt>
                <c:pt idx="367">
                  <c:v>44021</c:v>
                </c:pt>
                <c:pt idx="368">
                  <c:v>44022</c:v>
                </c:pt>
                <c:pt idx="369">
                  <c:v>44025</c:v>
                </c:pt>
                <c:pt idx="370">
                  <c:v>44026</c:v>
                </c:pt>
                <c:pt idx="371">
                  <c:v>44027</c:v>
                </c:pt>
                <c:pt idx="372">
                  <c:v>44028</c:v>
                </c:pt>
                <c:pt idx="373">
                  <c:v>44029</c:v>
                </c:pt>
                <c:pt idx="374">
                  <c:v>44032</c:v>
                </c:pt>
                <c:pt idx="375">
                  <c:v>44033</c:v>
                </c:pt>
                <c:pt idx="376">
                  <c:v>44034</c:v>
                </c:pt>
                <c:pt idx="377">
                  <c:v>44035</c:v>
                </c:pt>
                <c:pt idx="378">
                  <c:v>44036</c:v>
                </c:pt>
                <c:pt idx="379">
                  <c:v>44039</c:v>
                </c:pt>
                <c:pt idx="380">
                  <c:v>44040</c:v>
                </c:pt>
                <c:pt idx="381">
                  <c:v>44041</c:v>
                </c:pt>
                <c:pt idx="382">
                  <c:v>44042</c:v>
                </c:pt>
                <c:pt idx="383">
                  <c:v>44043</c:v>
                </c:pt>
                <c:pt idx="384">
                  <c:v>44046</c:v>
                </c:pt>
                <c:pt idx="385">
                  <c:v>44047</c:v>
                </c:pt>
                <c:pt idx="386">
                  <c:v>44048</c:v>
                </c:pt>
                <c:pt idx="387">
                  <c:v>44049</c:v>
                </c:pt>
                <c:pt idx="388">
                  <c:v>44050</c:v>
                </c:pt>
                <c:pt idx="389">
                  <c:v>44053</c:v>
                </c:pt>
                <c:pt idx="390">
                  <c:v>44054</c:v>
                </c:pt>
                <c:pt idx="391">
                  <c:v>44055</c:v>
                </c:pt>
                <c:pt idx="392">
                  <c:v>44056</c:v>
                </c:pt>
                <c:pt idx="393">
                  <c:v>44057</c:v>
                </c:pt>
                <c:pt idx="394">
                  <c:v>44060</c:v>
                </c:pt>
                <c:pt idx="395">
                  <c:v>44061</c:v>
                </c:pt>
                <c:pt idx="396">
                  <c:v>44062</c:v>
                </c:pt>
                <c:pt idx="397">
                  <c:v>44063</c:v>
                </c:pt>
                <c:pt idx="398">
                  <c:v>44064</c:v>
                </c:pt>
                <c:pt idx="399">
                  <c:v>44067</c:v>
                </c:pt>
                <c:pt idx="400">
                  <c:v>44068</c:v>
                </c:pt>
                <c:pt idx="401">
                  <c:v>44069</c:v>
                </c:pt>
                <c:pt idx="402">
                  <c:v>44070</c:v>
                </c:pt>
                <c:pt idx="403">
                  <c:v>44071</c:v>
                </c:pt>
                <c:pt idx="404">
                  <c:v>44074</c:v>
                </c:pt>
                <c:pt idx="405">
                  <c:v>44075</c:v>
                </c:pt>
                <c:pt idx="406">
                  <c:v>44076</c:v>
                </c:pt>
                <c:pt idx="407">
                  <c:v>44077</c:v>
                </c:pt>
                <c:pt idx="408">
                  <c:v>44078</c:v>
                </c:pt>
                <c:pt idx="409">
                  <c:v>44081</c:v>
                </c:pt>
                <c:pt idx="410">
                  <c:v>44082</c:v>
                </c:pt>
                <c:pt idx="411">
                  <c:v>44083</c:v>
                </c:pt>
                <c:pt idx="412">
                  <c:v>44084</c:v>
                </c:pt>
                <c:pt idx="413">
                  <c:v>44085</c:v>
                </c:pt>
                <c:pt idx="414">
                  <c:v>44088</c:v>
                </c:pt>
                <c:pt idx="415">
                  <c:v>44089</c:v>
                </c:pt>
                <c:pt idx="416">
                  <c:v>44090</c:v>
                </c:pt>
                <c:pt idx="417">
                  <c:v>44091</c:v>
                </c:pt>
                <c:pt idx="418">
                  <c:v>44092</c:v>
                </c:pt>
                <c:pt idx="419">
                  <c:v>44095</c:v>
                </c:pt>
                <c:pt idx="420">
                  <c:v>44096</c:v>
                </c:pt>
                <c:pt idx="421">
                  <c:v>44097</c:v>
                </c:pt>
                <c:pt idx="422">
                  <c:v>44098</c:v>
                </c:pt>
                <c:pt idx="423">
                  <c:v>44099</c:v>
                </c:pt>
                <c:pt idx="424">
                  <c:v>44102</c:v>
                </c:pt>
                <c:pt idx="425">
                  <c:v>44103</c:v>
                </c:pt>
                <c:pt idx="426">
                  <c:v>44104</c:v>
                </c:pt>
                <c:pt idx="427">
                  <c:v>44113</c:v>
                </c:pt>
                <c:pt idx="428">
                  <c:v>44116</c:v>
                </c:pt>
                <c:pt idx="429">
                  <c:v>44117</c:v>
                </c:pt>
                <c:pt idx="430">
                  <c:v>44118</c:v>
                </c:pt>
                <c:pt idx="431">
                  <c:v>44119</c:v>
                </c:pt>
                <c:pt idx="432">
                  <c:v>44120</c:v>
                </c:pt>
                <c:pt idx="433">
                  <c:v>44123</c:v>
                </c:pt>
                <c:pt idx="434">
                  <c:v>44124</c:v>
                </c:pt>
                <c:pt idx="435">
                  <c:v>44125</c:v>
                </c:pt>
                <c:pt idx="436">
                  <c:v>44126</c:v>
                </c:pt>
                <c:pt idx="437">
                  <c:v>44127</c:v>
                </c:pt>
                <c:pt idx="438">
                  <c:v>44130</c:v>
                </c:pt>
                <c:pt idx="439">
                  <c:v>44131</c:v>
                </c:pt>
                <c:pt idx="440">
                  <c:v>44132</c:v>
                </c:pt>
                <c:pt idx="441">
                  <c:v>44133</c:v>
                </c:pt>
                <c:pt idx="442">
                  <c:v>44134</c:v>
                </c:pt>
                <c:pt idx="443">
                  <c:v>44137</c:v>
                </c:pt>
                <c:pt idx="444">
                  <c:v>44138</c:v>
                </c:pt>
                <c:pt idx="445">
                  <c:v>44139</c:v>
                </c:pt>
                <c:pt idx="446">
                  <c:v>44140</c:v>
                </c:pt>
                <c:pt idx="447">
                  <c:v>44141</c:v>
                </c:pt>
                <c:pt idx="448">
                  <c:v>44144</c:v>
                </c:pt>
                <c:pt idx="449">
                  <c:v>44145</c:v>
                </c:pt>
                <c:pt idx="450">
                  <c:v>44146</c:v>
                </c:pt>
                <c:pt idx="451">
                  <c:v>44147</c:v>
                </c:pt>
                <c:pt idx="452">
                  <c:v>44148</c:v>
                </c:pt>
                <c:pt idx="453">
                  <c:v>44151</c:v>
                </c:pt>
                <c:pt idx="454">
                  <c:v>44152</c:v>
                </c:pt>
                <c:pt idx="455">
                  <c:v>44153</c:v>
                </c:pt>
                <c:pt idx="456">
                  <c:v>44154</c:v>
                </c:pt>
                <c:pt idx="457">
                  <c:v>44155</c:v>
                </c:pt>
                <c:pt idx="458">
                  <c:v>44158</c:v>
                </c:pt>
                <c:pt idx="459">
                  <c:v>44159</c:v>
                </c:pt>
                <c:pt idx="460">
                  <c:v>44160</c:v>
                </c:pt>
                <c:pt idx="461">
                  <c:v>44161</c:v>
                </c:pt>
                <c:pt idx="462">
                  <c:v>44162</c:v>
                </c:pt>
                <c:pt idx="463">
                  <c:v>44165</c:v>
                </c:pt>
                <c:pt idx="464">
                  <c:v>44166</c:v>
                </c:pt>
                <c:pt idx="465">
                  <c:v>44167</c:v>
                </c:pt>
                <c:pt idx="466">
                  <c:v>44168</c:v>
                </c:pt>
                <c:pt idx="467">
                  <c:v>44169</c:v>
                </c:pt>
                <c:pt idx="468">
                  <c:v>44172</c:v>
                </c:pt>
                <c:pt idx="469">
                  <c:v>44173</c:v>
                </c:pt>
                <c:pt idx="470">
                  <c:v>44174</c:v>
                </c:pt>
                <c:pt idx="471">
                  <c:v>44175</c:v>
                </c:pt>
                <c:pt idx="472">
                  <c:v>44176</c:v>
                </c:pt>
                <c:pt idx="473">
                  <c:v>44179</c:v>
                </c:pt>
                <c:pt idx="474">
                  <c:v>44180</c:v>
                </c:pt>
                <c:pt idx="475">
                  <c:v>44181</c:v>
                </c:pt>
                <c:pt idx="476">
                  <c:v>44182</c:v>
                </c:pt>
                <c:pt idx="477">
                  <c:v>44183</c:v>
                </c:pt>
                <c:pt idx="478">
                  <c:v>44186</c:v>
                </c:pt>
                <c:pt idx="479">
                  <c:v>44187</c:v>
                </c:pt>
                <c:pt idx="480">
                  <c:v>44188</c:v>
                </c:pt>
                <c:pt idx="481">
                  <c:v>44189</c:v>
                </c:pt>
                <c:pt idx="482">
                  <c:v>44190</c:v>
                </c:pt>
                <c:pt idx="483">
                  <c:v>44193</c:v>
                </c:pt>
                <c:pt idx="484">
                  <c:v>44194</c:v>
                </c:pt>
                <c:pt idx="485">
                  <c:v>44195</c:v>
                </c:pt>
                <c:pt idx="486">
                  <c:v>44196</c:v>
                </c:pt>
                <c:pt idx="487">
                  <c:v>44200</c:v>
                </c:pt>
                <c:pt idx="488">
                  <c:v>44201</c:v>
                </c:pt>
                <c:pt idx="489">
                  <c:v>44202</c:v>
                </c:pt>
                <c:pt idx="490">
                  <c:v>44203</c:v>
                </c:pt>
                <c:pt idx="491">
                  <c:v>44204</c:v>
                </c:pt>
                <c:pt idx="492">
                  <c:v>44207</c:v>
                </c:pt>
                <c:pt idx="493">
                  <c:v>44208</c:v>
                </c:pt>
                <c:pt idx="494">
                  <c:v>44209</c:v>
                </c:pt>
                <c:pt idx="495">
                  <c:v>44210</c:v>
                </c:pt>
                <c:pt idx="496">
                  <c:v>44211</c:v>
                </c:pt>
                <c:pt idx="497">
                  <c:v>44214</c:v>
                </c:pt>
                <c:pt idx="498">
                  <c:v>44215</c:v>
                </c:pt>
                <c:pt idx="499">
                  <c:v>44216</c:v>
                </c:pt>
                <c:pt idx="500">
                  <c:v>44217</c:v>
                </c:pt>
                <c:pt idx="501">
                  <c:v>44218</c:v>
                </c:pt>
                <c:pt idx="502">
                  <c:v>44221</c:v>
                </c:pt>
                <c:pt idx="503">
                  <c:v>44222</c:v>
                </c:pt>
                <c:pt idx="504">
                  <c:v>44223</c:v>
                </c:pt>
                <c:pt idx="505">
                  <c:v>44224</c:v>
                </c:pt>
                <c:pt idx="506">
                  <c:v>44225</c:v>
                </c:pt>
                <c:pt idx="507">
                  <c:v>44228</c:v>
                </c:pt>
                <c:pt idx="508">
                  <c:v>44229</c:v>
                </c:pt>
                <c:pt idx="509">
                  <c:v>44230</c:v>
                </c:pt>
                <c:pt idx="510">
                  <c:v>44231</c:v>
                </c:pt>
                <c:pt idx="511">
                  <c:v>44232</c:v>
                </c:pt>
                <c:pt idx="512">
                  <c:v>44235</c:v>
                </c:pt>
                <c:pt idx="513">
                  <c:v>44236</c:v>
                </c:pt>
                <c:pt idx="514">
                  <c:v>44237</c:v>
                </c:pt>
                <c:pt idx="515">
                  <c:v>44245</c:v>
                </c:pt>
                <c:pt idx="516">
                  <c:v>44246</c:v>
                </c:pt>
                <c:pt idx="517">
                  <c:v>44249</c:v>
                </c:pt>
                <c:pt idx="518">
                  <c:v>44250</c:v>
                </c:pt>
                <c:pt idx="519">
                  <c:v>44251</c:v>
                </c:pt>
                <c:pt idx="520">
                  <c:v>44252</c:v>
                </c:pt>
                <c:pt idx="521">
                  <c:v>44253</c:v>
                </c:pt>
                <c:pt idx="522">
                  <c:v>44256</c:v>
                </c:pt>
                <c:pt idx="523">
                  <c:v>44257</c:v>
                </c:pt>
                <c:pt idx="524">
                  <c:v>44258</c:v>
                </c:pt>
                <c:pt idx="525">
                  <c:v>44259</c:v>
                </c:pt>
                <c:pt idx="526">
                  <c:v>44260</c:v>
                </c:pt>
                <c:pt idx="527">
                  <c:v>44263</c:v>
                </c:pt>
                <c:pt idx="528">
                  <c:v>44264</c:v>
                </c:pt>
                <c:pt idx="529">
                  <c:v>44265</c:v>
                </c:pt>
                <c:pt idx="530">
                  <c:v>44266</c:v>
                </c:pt>
                <c:pt idx="531">
                  <c:v>44267</c:v>
                </c:pt>
                <c:pt idx="532">
                  <c:v>44270</c:v>
                </c:pt>
                <c:pt idx="533">
                  <c:v>44271</c:v>
                </c:pt>
                <c:pt idx="534">
                  <c:v>44272</c:v>
                </c:pt>
                <c:pt idx="535">
                  <c:v>44273</c:v>
                </c:pt>
                <c:pt idx="536">
                  <c:v>44274</c:v>
                </c:pt>
                <c:pt idx="537">
                  <c:v>44277</c:v>
                </c:pt>
                <c:pt idx="538">
                  <c:v>44278</c:v>
                </c:pt>
                <c:pt idx="539">
                  <c:v>44279</c:v>
                </c:pt>
                <c:pt idx="540">
                  <c:v>44280</c:v>
                </c:pt>
                <c:pt idx="541">
                  <c:v>44281</c:v>
                </c:pt>
                <c:pt idx="542">
                  <c:v>44284</c:v>
                </c:pt>
                <c:pt idx="543">
                  <c:v>44285</c:v>
                </c:pt>
                <c:pt idx="544">
                  <c:v>44286</c:v>
                </c:pt>
                <c:pt idx="545">
                  <c:v>44287</c:v>
                </c:pt>
                <c:pt idx="546">
                  <c:v>44288</c:v>
                </c:pt>
                <c:pt idx="547">
                  <c:v>44292</c:v>
                </c:pt>
                <c:pt idx="548">
                  <c:v>44293</c:v>
                </c:pt>
                <c:pt idx="549">
                  <c:v>44294</c:v>
                </c:pt>
                <c:pt idx="550">
                  <c:v>44295</c:v>
                </c:pt>
                <c:pt idx="551">
                  <c:v>44298</c:v>
                </c:pt>
                <c:pt idx="552">
                  <c:v>44299</c:v>
                </c:pt>
                <c:pt idx="553">
                  <c:v>44300</c:v>
                </c:pt>
                <c:pt idx="554">
                  <c:v>44301</c:v>
                </c:pt>
                <c:pt idx="555">
                  <c:v>44302</c:v>
                </c:pt>
                <c:pt idx="556">
                  <c:v>44305</c:v>
                </c:pt>
                <c:pt idx="557">
                  <c:v>44306</c:v>
                </c:pt>
                <c:pt idx="558">
                  <c:v>44307</c:v>
                </c:pt>
                <c:pt idx="559">
                  <c:v>44308</c:v>
                </c:pt>
                <c:pt idx="560">
                  <c:v>44309</c:v>
                </c:pt>
                <c:pt idx="561">
                  <c:v>44312</c:v>
                </c:pt>
                <c:pt idx="562">
                  <c:v>44313</c:v>
                </c:pt>
                <c:pt idx="563">
                  <c:v>44314</c:v>
                </c:pt>
                <c:pt idx="564">
                  <c:v>44315</c:v>
                </c:pt>
                <c:pt idx="565">
                  <c:v>44316</c:v>
                </c:pt>
                <c:pt idx="566">
                  <c:v>44322</c:v>
                </c:pt>
                <c:pt idx="567">
                  <c:v>44323</c:v>
                </c:pt>
                <c:pt idx="568">
                  <c:v>44326</c:v>
                </c:pt>
                <c:pt idx="569">
                  <c:v>44327</c:v>
                </c:pt>
                <c:pt idx="570">
                  <c:v>44328</c:v>
                </c:pt>
                <c:pt idx="571">
                  <c:v>44329</c:v>
                </c:pt>
                <c:pt idx="572">
                  <c:v>44330</c:v>
                </c:pt>
                <c:pt idx="573">
                  <c:v>44333</c:v>
                </c:pt>
                <c:pt idx="574">
                  <c:v>44334</c:v>
                </c:pt>
                <c:pt idx="575">
                  <c:v>44335</c:v>
                </c:pt>
                <c:pt idx="576">
                  <c:v>44336</c:v>
                </c:pt>
                <c:pt idx="577">
                  <c:v>44337</c:v>
                </c:pt>
                <c:pt idx="578">
                  <c:v>44340</c:v>
                </c:pt>
                <c:pt idx="579">
                  <c:v>44341</c:v>
                </c:pt>
                <c:pt idx="580">
                  <c:v>44342</c:v>
                </c:pt>
                <c:pt idx="581">
                  <c:v>44343</c:v>
                </c:pt>
                <c:pt idx="582">
                  <c:v>44344</c:v>
                </c:pt>
                <c:pt idx="583">
                  <c:v>44347</c:v>
                </c:pt>
                <c:pt idx="584">
                  <c:v>44348</c:v>
                </c:pt>
                <c:pt idx="585">
                  <c:v>44349</c:v>
                </c:pt>
                <c:pt idx="586">
                  <c:v>44350</c:v>
                </c:pt>
                <c:pt idx="587">
                  <c:v>44351</c:v>
                </c:pt>
                <c:pt idx="588">
                  <c:v>44354</c:v>
                </c:pt>
                <c:pt idx="589">
                  <c:v>44355</c:v>
                </c:pt>
                <c:pt idx="590">
                  <c:v>44356</c:v>
                </c:pt>
                <c:pt idx="591">
                  <c:v>44357</c:v>
                </c:pt>
                <c:pt idx="592">
                  <c:v>44358</c:v>
                </c:pt>
                <c:pt idx="593">
                  <c:v>44362</c:v>
                </c:pt>
                <c:pt idx="594">
                  <c:v>44363</c:v>
                </c:pt>
                <c:pt idx="595">
                  <c:v>44364</c:v>
                </c:pt>
                <c:pt idx="596">
                  <c:v>44365</c:v>
                </c:pt>
                <c:pt idx="597">
                  <c:v>44368</c:v>
                </c:pt>
                <c:pt idx="598">
                  <c:v>44369</c:v>
                </c:pt>
                <c:pt idx="599">
                  <c:v>44370</c:v>
                </c:pt>
                <c:pt idx="600">
                  <c:v>44371</c:v>
                </c:pt>
                <c:pt idx="601">
                  <c:v>44372</c:v>
                </c:pt>
                <c:pt idx="602">
                  <c:v>44375</c:v>
                </c:pt>
                <c:pt idx="603">
                  <c:v>44376</c:v>
                </c:pt>
                <c:pt idx="604">
                  <c:v>44377</c:v>
                </c:pt>
                <c:pt idx="605">
                  <c:v>44378</c:v>
                </c:pt>
                <c:pt idx="606">
                  <c:v>44379</c:v>
                </c:pt>
                <c:pt idx="607">
                  <c:v>44382</c:v>
                </c:pt>
                <c:pt idx="608">
                  <c:v>44383</c:v>
                </c:pt>
                <c:pt idx="609">
                  <c:v>44384</c:v>
                </c:pt>
                <c:pt idx="610">
                  <c:v>44385</c:v>
                </c:pt>
                <c:pt idx="611">
                  <c:v>44386</c:v>
                </c:pt>
                <c:pt idx="612">
                  <c:v>44389</c:v>
                </c:pt>
                <c:pt idx="613">
                  <c:v>44390</c:v>
                </c:pt>
                <c:pt idx="614">
                  <c:v>44391</c:v>
                </c:pt>
                <c:pt idx="615">
                  <c:v>44392</c:v>
                </c:pt>
                <c:pt idx="616">
                  <c:v>44393</c:v>
                </c:pt>
                <c:pt idx="617">
                  <c:v>44396</c:v>
                </c:pt>
                <c:pt idx="618">
                  <c:v>44397</c:v>
                </c:pt>
                <c:pt idx="619">
                  <c:v>44398</c:v>
                </c:pt>
                <c:pt idx="620">
                  <c:v>44399</c:v>
                </c:pt>
                <c:pt idx="621">
                  <c:v>44400</c:v>
                </c:pt>
                <c:pt idx="622">
                  <c:v>44403</c:v>
                </c:pt>
                <c:pt idx="623">
                  <c:v>44404</c:v>
                </c:pt>
                <c:pt idx="624">
                  <c:v>44405</c:v>
                </c:pt>
                <c:pt idx="625">
                  <c:v>44406</c:v>
                </c:pt>
                <c:pt idx="626">
                  <c:v>44407</c:v>
                </c:pt>
                <c:pt idx="627">
                  <c:v>44410</c:v>
                </c:pt>
                <c:pt idx="628">
                  <c:v>44411</c:v>
                </c:pt>
                <c:pt idx="629">
                  <c:v>44412</c:v>
                </c:pt>
                <c:pt idx="630">
                  <c:v>44413</c:v>
                </c:pt>
                <c:pt idx="631">
                  <c:v>44414</c:v>
                </c:pt>
                <c:pt idx="632">
                  <c:v>44417</c:v>
                </c:pt>
                <c:pt idx="633">
                  <c:v>44418</c:v>
                </c:pt>
                <c:pt idx="634">
                  <c:v>44419</c:v>
                </c:pt>
                <c:pt idx="635">
                  <c:v>44420</c:v>
                </c:pt>
                <c:pt idx="636">
                  <c:v>44421</c:v>
                </c:pt>
                <c:pt idx="637">
                  <c:v>44424</c:v>
                </c:pt>
                <c:pt idx="638">
                  <c:v>44425</c:v>
                </c:pt>
                <c:pt idx="639">
                  <c:v>44426</c:v>
                </c:pt>
                <c:pt idx="640">
                  <c:v>44427</c:v>
                </c:pt>
                <c:pt idx="641">
                  <c:v>44428</c:v>
                </c:pt>
                <c:pt idx="642">
                  <c:v>44431</c:v>
                </c:pt>
                <c:pt idx="643">
                  <c:v>44432</c:v>
                </c:pt>
                <c:pt idx="644">
                  <c:v>44433</c:v>
                </c:pt>
                <c:pt idx="645">
                  <c:v>44434</c:v>
                </c:pt>
                <c:pt idx="646">
                  <c:v>44435</c:v>
                </c:pt>
                <c:pt idx="647">
                  <c:v>44438</c:v>
                </c:pt>
                <c:pt idx="648">
                  <c:v>44439</c:v>
                </c:pt>
                <c:pt idx="649">
                  <c:v>44440</c:v>
                </c:pt>
                <c:pt idx="650">
                  <c:v>44441</c:v>
                </c:pt>
                <c:pt idx="651">
                  <c:v>44442</c:v>
                </c:pt>
                <c:pt idx="652">
                  <c:v>44445</c:v>
                </c:pt>
                <c:pt idx="653">
                  <c:v>44446</c:v>
                </c:pt>
                <c:pt idx="654">
                  <c:v>44447</c:v>
                </c:pt>
                <c:pt idx="655">
                  <c:v>44448</c:v>
                </c:pt>
                <c:pt idx="656">
                  <c:v>44449</c:v>
                </c:pt>
                <c:pt idx="657">
                  <c:v>44452</c:v>
                </c:pt>
                <c:pt idx="658">
                  <c:v>44453</c:v>
                </c:pt>
                <c:pt idx="659">
                  <c:v>44454</c:v>
                </c:pt>
                <c:pt idx="660">
                  <c:v>44455</c:v>
                </c:pt>
                <c:pt idx="661">
                  <c:v>44456</c:v>
                </c:pt>
                <c:pt idx="662">
                  <c:v>44461</c:v>
                </c:pt>
                <c:pt idx="663">
                  <c:v>44462</c:v>
                </c:pt>
                <c:pt idx="664">
                  <c:v>44463</c:v>
                </c:pt>
                <c:pt idx="665">
                  <c:v>44466</c:v>
                </c:pt>
                <c:pt idx="666">
                  <c:v>44467</c:v>
                </c:pt>
                <c:pt idx="667">
                  <c:v>44468</c:v>
                </c:pt>
                <c:pt idx="668">
                  <c:v>44469</c:v>
                </c:pt>
                <c:pt idx="669">
                  <c:v>44477</c:v>
                </c:pt>
                <c:pt idx="670">
                  <c:v>44480</c:v>
                </c:pt>
                <c:pt idx="671">
                  <c:v>44481</c:v>
                </c:pt>
                <c:pt idx="672">
                  <c:v>44482</c:v>
                </c:pt>
                <c:pt idx="673">
                  <c:v>44483</c:v>
                </c:pt>
                <c:pt idx="674">
                  <c:v>44484</c:v>
                </c:pt>
                <c:pt idx="675">
                  <c:v>44487</c:v>
                </c:pt>
                <c:pt idx="676">
                  <c:v>44488</c:v>
                </c:pt>
                <c:pt idx="677">
                  <c:v>44489</c:v>
                </c:pt>
                <c:pt idx="678">
                  <c:v>44490</c:v>
                </c:pt>
                <c:pt idx="679">
                  <c:v>44491</c:v>
                </c:pt>
                <c:pt idx="680">
                  <c:v>44494</c:v>
                </c:pt>
                <c:pt idx="681">
                  <c:v>44495</c:v>
                </c:pt>
                <c:pt idx="682">
                  <c:v>44496</c:v>
                </c:pt>
                <c:pt idx="683">
                  <c:v>44497</c:v>
                </c:pt>
                <c:pt idx="684">
                  <c:v>44498</c:v>
                </c:pt>
                <c:pt idx="685">
                  <c:v>44501</c:v>
                </c:pt>
                <c:pt idx="686">
                  <c:v>44502</c:v>
                </c:pt>
                <c:pt idx="687">
                  <c:v>44503</c:v>
                </c:pt>
                <c:pt idx="688">
                  <c:v>44504</c:v>
                </c:pt>
                <c:pt idx="689">
                  <c:v>44505</c:v>
                </c:pt>
                <c:pt idx="690">
                  <c:v>44508</c:v>
                </c:pt>
                <c:pt idx="691">
                  <c:v>44509</c:v>
                </c:pt>
                <c:pt idx="692">
                  <c:v>44510</c:v>
                </c:pt>
                <c:pt idx="693">
                  <c:v>44511</c:v>
                </c:pt>
                <c:pt idx="694">
                  <c:v>44512</c:v>
                </c:pt>
                <c:pt idx="695">
                  <c:v>44515</c:v>
                </c:pt>
                <c:pt idx="696">
                  <c:v>44516</c:v>
                </c:pt>
                <c:pt idx="697">
                  <c:v>44517</c:v>
                </c:pt>
                <c:pt idx="698">
                  <c:v>44518</c:v>
                </c:pt>
                <c:pt idx="699">
                  <c:v>44519</c:v>
                </c:pt>
                <c:pt idx="700">
                  <c:v>44522</c:v>
                </c:pt>
                <c:pt idx="701">
                  <c:v>44523</c:v>
                </c:pt>
                <c:pt idx="702">
                  <c:v>44524</c:v>
                </c:pt>
                <c:pt idx="703">
                  <c:v>44525</c:v>
                </c:pt>
                <c:pt idx="704">
                  <c:v>44526</c:v>
                </c:pt>
                <c:pt idx="705">
                  <c:v>44529</c:v>
                </c:pt>
                <c:pt idx="706">
                  <c:v>44530</c:v>
                </c:pt>
                <c:pt idx="707">
                  <c:v>44531</c:v>
                </c:pt>
                <c:pt idx="708">
                  <c:v>44532</c:v>
                </c:pt>
                <c:pt idx="709">
                  <c:v>44533</c:v>
                </c:pt>
                <c:pt idx="710">
                  <c:v>44536</c:v>
                </c:pt>
                <c:pt idx="711">
                  <c:v>44537</c:v>
                </c:pt>
                <c:pt idx="712">
                  <c:v>44538</c:v>
                </c:pt>
                <c:pt idx="713">
                  <c:v>44539</c:v>
                </c:pt>
                <c:pt idx="714">
                  <c:v>44540</c:v>
                </c:pt>
                <c:pt idx="715">
                  <c:v>44543</c:v>
                </c:pt>
                <c:pt idx="716">
                  <c:v>44544</c:v>
                </c:pt>
                <c:pt idx="717">
                  <c:v>44545</c:v>
                </c:pt>
                <c:pt idx="718">
                  <c:v>44546</c:v>
                </c:pt>
                <c:pt idx="719">
                  <c:v>44547</c:v>
                </c:pt>
                <c:pt idx="720">
                  <c:v>44550</c:v>
                </c:pt>
                <c:pt idx="721">
                  <c:v>44551</c:v>
                </c:pt>
                <c:pt idx="722">
                  <c:v>44552</c:v>
                </c:pt>
                <c:pt idx="723">
                  <c:v>44553</c:v>
                </c:pt>
                <c:pt idx="724">
                  <c:v>44554</c:v>
                </c:pt>
                <c:pt idx="725">
                  <c:v>44557</c:v>
                </c:pt>
                <c:pt idx="726">
                  <c:v>44558</c:v>
                </c:pt>
                <c:pt idx="727">
                  <c:v>44559</c:v>
                </c:pt>
                <c:pt idx="728">
                  <c:v>44560</c:v>
                </c:pt>
                <c:pt idx="729">
                  <c:v>44561</c:v>
                </c:pt>
                <c:pt idx="730">
                  <c:v>44565</c:v>
                </c:pt>
                <c:pt idx="731">
                  <c:v>44566</c:v>
                </c:pt>
                <c:pt idx="732">
                  <c:v>44567</c:v>
                </c:pt>
                <c:pt idx="733">
                  <c:v>44568</c:v>
                </c:pt>
                <c:pt idx="734">
                  <c:v>44571</c:v>
                </c:pt>
                <c:pt idx="735">
                  <c:v>44572</c:v>
                </c:pt>
                <c:pt idx="736">
                  <c:v>44573</c:v>
                </c:pt>
                <c:pt idx="737">
                  <c:v>44574</c:v>
                </c:pt>
                <c:pt idx="738">
                  <c:v>44575</c:v>
                </c:pt>
                <c:pt idx="739">
                  <c:v>44578</c:v>
                </c:pt>
                <c:pt idx="740">
                  <c:v>44579</c:v>
                </c:pt>
                <c:pt idx="741">
                  <c:v>44580</c:v>
                </c:pt>
                <c:pt idx="742">
                  <c:v>44581</c:v>
                </c:pt>
                <c:pt idx="743">
                  <c:v>44582</c:v>
                </c:pt>
                <c:pt idx="744">
                  <c:v>44585</c:v>
                </c:pt>
                <c:pt idx="745">
                  <c:v>44586</c:v>
                </c:pt>
                <c:pt idx="746">
                  <c:v>44587</c:v>
                </c:pt>
                <c:pt idx="747">
                  <c:v>44588</c:v>
                </c:pt>
                <c:pt idx="748">
                  <c:v>44589</c:v>
                </c:pt>
                <c:pt idx="749">
                  <c:v>44599</c:v>
                </c:pt>
                <c:pt idx="750">
                  <c:v>44600</c:v>
                </c:pt>
                <c:pt idx="751">
                  <c:v>44601</c:v>
                </c:pt>
                <c:pt idx="752">
                  <c:v>44602</c:v>
                </c:pt>
                <c:pt idx="753">
                  <c:v>44603</c:v>
                </c:pt>
                <c:pt idx="754">
                  <c:v>44606</c:v>
                </c:pt>
                <c:pt idx="755">
                  <c:v>44607</c:v>
                </c:pt>
                <c:pt idx="756">
                  <c:v>44608</c:v>
                </c:pt>
                <c:pt idx="757">
                  <c:v>44609</c:v>
                </c:pt>
                <c:pt idx="758">
                  <c:v>44610</c:v>
                </c:pt>
                <c:pt idx="759">
                  <c:v>44613</c:v>
                </c:pt>
                <c:pt idx="760">
                  <c:v>44614</c:v>
                </c:pt>
                <c:pt idx="761">
                  <c:v>44615</c:v>
                </c:pt>
                <c:pt idx="762">
                  <c:v>44616</c:v>
                </c:pt>
                <c:pt idx="763">
                  <c:v>44617</c:v>
                </c:pt>
                <c:pt idx="764">
                  <c:v>44620</c:v>
                </c:pt>
                <c:pt idx="765">
                  <c:v>44621</c:v>
                </c:pt>
                <c:pt idx="766">
                  <c:v>44622</c:v>
                </c:pt>
                <c:pt idx="767">
                  <c:v>44623</c:v>
                </c:pt>
                <c:pt idx="768">
                  <c:v>44624</c:v>
                </c:pt>
                <c:pt idx="769">
                  <c:v>44627</c:v>
                </c:pt>
                <c:pt idx="770">
                  <c:v>44628</c:v>
                </c:pt>
                <c:pt idx="771">
                  <c:v>44629</c:v>
                </c:pt>
                <c:pt idx="772">
                  <c:v>44630</c:v>
                </c:pt>
                <c:pt idx="773">
                  <c:v>44631</c:v>
                </c:pt>
                <c:pt idx="774">
                  <c:v>44634</c:v>
                </c:pt>
                <c:pt idx="775">
                  <c:v>44635</c:v>
                </c:pt>
                <c:pt idx="776">
                  <c:v>44636</c:v>
                </c:pt>
                <c:pt idx="777">
                  <c:v>44637</c:v>
                </c:pt>
                <c:pt idx="778">
                  <c:v>44638</c:v>
                </c:pt>
                <c:pt idx="779">
                  <c:v>44641</c:v>
                </c:pt>
                <c:pt idx="780">
                  <c:v>44642</c:v>
                </c:pt>
                <c:pt idx="781">
                  <c:v>44643</c:v>
                </c:pt>
                <c:pt idx="782">
                  <c:v>44644</c:v>
                </c:pt>
                <c:pt idx="783">
                  <c:v>44645</c:v>
                </c:pt>
                <c:pt idx="784">
                  <c:v>44648</c:v>
                </c:pt>
                <c:pt idx="785">
                  <c:v>44649</c:v>
                </c:pt>
                <c:pt idx="786">
                  <c:v>44650</c:v>
                </c:pt>
                <c:pt idx="787">
                  <c:v>44651</c:v>
                </c:pt>
                <c:pt idx="788">
                  <c:v>44652</c:v>
                </c:pt>
                <c:pt idx="789">
                  <c:v>44657</c:v>
                </c:pt>
                <c:pt idx="790">
                  <c:v>44658</c:v>
                </c:pt>
                <c:pt idx="791">
                  <c:v>44659</c:v>
                </c:pt>
                <c:pt idx="792">
                  <c:v>44662</c:v>
                </c:pt>
                <c:pt idx="793">
                  <c:v>44663</c:v>
                </c:pt>
                <c:pt idx="794">
                  <c:v>44664</c:v>
                </c:pt>
                <c:pt idx="795">
                  <c:v>44665</c:v>
                </c:pt>
                <c:pt idx="796">
                  <c:v>44666</c:v>
                </c:pt>
                <c:pt idx="797">
                  <c:v>44669</c:v>
                </c:pt>
                <c:pt idx="798">
                  <c:v>44670</c:v>
                </c:pt>
                <c:pt idx="799">
                  <c:v>44671</c:v>
                </c:pt>
                <c:pt idx="800">
                  <c:v>44672</c:v>
                </c:pt>
                <c:pt idx="801">
                  <c:v>44673</c:v>
                </c:pt>
                <c:pt idx="802">
                  <c:v>44676</c:v>
                </c:pt>
                <c:pt idx="803">
                  <c:v>44677</c:v>
                </c:pt>
                <c:pt idx="804">
                  <c:v>44678</c:v>
                </c:pt>
                <c:pt idx="805">
                  <c:v>44679</c:v>
                </c:pt>
                <c:pt idx="806">
                  <c:v>44680</c:v>
                </c:pt>
                <c:pt idx="807">
                  <c:v>44686</c:v>
                </c:pt>
                <c:pt idx="808">
                  <c:v>44687</c:v>
                </c:pt>
                <c:pt idx="809">
                  <c:v>44690</c:v>
                </c:pt>
                <c:pt idx="810">
                  <c:v>44691</c:v>
                </c:pt>
                <c:pt idx="811">
                  <c:v>44692</c:v>
                </c:pt>
                <c:pt idx="812">
                  <c:v>44693</c:v>
                </c:pt>
                <c:pt idx="813">
                  <c:v>44694</c:v>
                </c:pt>
                <c:pt idx="814">
                  <c:v>44697</c:v>
                </c:pt>
                <c:pt idx="815">
                  <c:v>44698</c:v>
                </c:pt>
                <c:pt idx="816">
                  <c:v>44699</c:v>
                </c:pt>
                <c:pt idx="817">
                  <c:v>44700</c:v>
                </c:pt>
                <c:pt idx="818">
                  <c:v>44701</c:v>
                </c:pt>
                <c:pt idx="819">
                  <c:v>44704</c:v>
                </c:pt>
                <c:pt idx="820">
                  <c:v>44705</c:v>
                </c:pt>
                <c:pt idx="821">
                  <c:v>44706</c:v>
                </c:pt>
                <c:pt idx="822">
                  <c:v>44707</c:v>
                </c:pt>
                <c:pt idx="823">
                  <c:v>44708</c:v>
                </c:pt>
                <c:pt idx="824">
                  <c:v>44711</c:v>
                </c:pt>
                <c:pt idx="825">
                  <c:v>44712</c:v>
                </c:pt>
                <c:pt idx="826">
                  <c:v>44713</c:v>
                </c:pt>
                <c:pt idx="827">
                  <c:v>44714</c:v>
                </c:pt>
                <c:pt idx="828">
                  <c:v>44718</c:v>
                </c:pt>
                <c:pt idx="829">
                  <c:v>44719</c:v>
                </c:pt>
                <c:pt idx="830">
                  <c:v>44720</c:v>
                </c:pt>
                <c:pt idx="831">
                  <c:v>44721</c:v>
                </c:pt>
                <c:pt idx="832">
                  <c:v>44722</c:v>
                </c:pt>
                <c:pt idx="833">
                  <c:v>44725</c:v>
                </c:pt>
                <c:pt idx="834">
                  <c:v>44726</c:v>
                </c:pt>
                <c:pt idx="835">
                  <c:v>44727</c:v>
                </c:pt>
                <c:pt idx="836">
                  <c:v>44728</c:v>
                </c:pt>
                <c:pt idx="837">
                  <c:v>44729</c:v>
                </c:pt>
                <c:pt idx="838">
                  <c:v>44732</c:v>
                </c:pt>
                <c:pt idx="839">
                  <c:v>44733</c:v>
                </c:pt>
                <c:pt idx="840">
                  <c:v>44734</c:v>
                </c:pt>
                <c:pt idx="841">
                  <c:v>44735</c:v>
                </c:pt>
                <c:pt idx="842">
                  <c:v>44736</c:v>
                </c:pt>
                <c:pt idx="843">
                  <c:v>44739</c:v>
                </c:pt>
                <c:pt idx="844">
                  <c:v>44740</c:v>
                </c:pt>
                <c:pt idx="845">
                  <c:v>44741</c:v>
                </c:pt>
                <c:pt idx="846">
                  <c:v>44742</c:v>
                </c:pt>
                <c:pt idx="847">
                  <c:v>44743</c:v>
                </c:pt>
                <c:pt idx="848">
                  <c:v>44746</c:v>
                </c:pt>
                <c:pt idx="849">
                  <c:v>44747</c:v>
                </c:pt>
                <c:pt idx="850">
                  <c:v>44748</c:v>
                </c:pt>
                <c:pt idx="851">
                  <c:v>44749</c:v>
                </c:pt>
                <c:pt idx="852">
                  <c:v>44750</c:v>
                </c:pt>
                <c:pt idx="853">
                  <c:v>44753</c:v>
                </c:pt>
                <c:pt idx="854">
                  <c:v>44754</c:v>
                </c:pt>
                <c:pt idx="855">
                  <c:v>44755</c:v>
                </c:pt>
                <c:pt idx="856">
                  <c:v>44756</c:v>
                </c:pt>
                <c:pt idx="857">
                  <c:v>44757</c:v>
                </c:pt>
                <c:pt idx="858">
                  <c:v>44760</c:v>
                </c:pt>
                <c:pt idx="859">
                  <c:v>44761</c:v>
                </c:pt>
                <c:pt idx="860">
                  <c:v>44762</c:v>
                </c:pt>
                <c:pt idx="861">
                  <c:v>44763</c:v>
                </c:pt>
                <c:pt idx="862">
                  <c:v>44764</c:v>
                </c:pt>
                <c:pt idx="863">
                  <c:v>44767</c:v>
                </c:pt>
                <c:pt idx="864">
                  <c:v>44768</c:v>
                </c:pt>
                <c:pt idx="865">
                  <c:v>44769</c:v>
                </c:pt>
                <c:pt idx="866">
                  <c:v>44770</c:v>
                </c:pt>
                <c:pt idx="867">
                  <c:v>44771</c:v>
                </c:pt>
                <c:pt idx="868">
                  <c:v>44774</c:v>
                </c:pt>
                <c:pt idx="869">
                  <c:v>44775</c:v>
                </c:pt>
                <c:pt idx="870">
                  <c:v>44776</c:v>
                </c:pt>
                <c:pt idx="871">
                  <c:v>44777</c:v>
                </c:pt>
                <c:pt idx="872">
                  <c:v>44778</c:v>
                </c:pt>
                <c:pt idx="873">
                  <c:v>44781</c:v>
                </c:pt>
                <c:pt idx="874">
                  <c:v>44782</c:v>
                </c:pt>
                <c:pt idx="875">
                  <c:v>44783</c:v>
                </c:pt>
                <c:pt idx="876">
                  <c:v>44784</c:v>
                </c:pt>
                <c:pt idx="877">
                  <c:v>44785</c:v>
                </c:pt>
                <c:pt idx="878">
                  <c:v>44788</c:v>
                </c:pt>
                <c:pt idx="879">
                  <c:v>44789</c:v>
                </c:pt>
                <c:pt idx="880">
                  <c:v>44790</c:v>
                </c:pt>
                <c:pt idx="881">
                  <c:v>44791</c:v>
                </c:pt>
                <c:pt idx="882">
                  <c:v>44792</c:v>
                </c:pt>
                <c:pt idx="883">
                  <c:v>44795</c:v>
                </c:pt>
                <c:pt idx="884">
                  <c:v>44796</c:v>
                </c:pt>
                <c:pt idx="885">
                  <c:v>44797</c:v>
                </c:pt>
                <c:pt idx="886">
                  <c:v>44798</c:v>
                </c:pt>
                <c:pt idx="887">
                  <c:v>44799</c:v>
                </c:pt>
                <c:pt idx="888">
                  <c:v>44802</c:v>
                </c:pt>
                <c:pt idx="889">
                  <c:v>44803</c:v>
                </c:pt>
                <c:pt idx="890">
                  <c:v>44804</c:v>
                </c:pt>
                <c:pt idx="891">
                  <c:v>44805</c:v>
                </c:pt>
                <c:pt idx="892">
                  <c:v>44806</c:v>
                </c:pt>
                <c:pt idx="893">
                  <c:v>44809</c:v>
                </c:pt>
                <c:pt idx="894">
                  <c:v>44810</c:v>
                </c:pt>
                <c:pt idx="895">
                  <c:v>44811</c:v>
                </c:pt>
                <c:pt idx="896">
                  <c:v>44812</c:v>
                </c:pt>
                <c:pt idx="897">
                  <c:v>44813</c:v>
                </c:pt>
                <c:pt idx="898">
                  <c:v>44817</c:v>
                </c:pt>
                <c:pt idx="899">
                  <c:v>44818</c:v>
                </c:pt>
                <c:pt idx="900">
                  <c:v>44819</c:v>
                </c:pt>
                <c:pt idx="901">
                  <c:v>44820</c:v>
                </c:pt>
                <c:pt idx="902">
                  <c:v>44823</c:v>
                </c:pt>
                <c:pt idx="903">
                  <c:v>44824</c:v>
                </c:pt>
                <c:pt idx="904">
                  <c:v>44825</c:v>
                </c:pt>
                <c:pt idx="905">
                  <c:v>44826</c:v>
                </c:pt>
                <c:pt idx="906">
                  <c:v>44827</c:v>
                </c:pt>
                <c:pt idx="907">
                  <c:v>44830</c:v>
                </c:pt>
                <c:pt idx="908">
                  <c:v>44831</c:v>
                </c:pt>
                <c:pt idx="909">
                  <c:v>44832</c:v>
                </c:pt>
                <c:pt idx="910">
                  <c:v>44833</c:v>
                </c:pt>
                <c:pt idx="911">
                  <c:v>44834</c:v>
                </c:pt>
                <c:pt idx="912">
                  <c:v>44844</c:v>
                </c:pt>
                <c:pt idx="913">
                  <c:v>44845</c:v>
                </c:pt>
                <c:pt idx="914">
                  <c:v>44846</c:v>
                </c:pt>
                <c:pt idx="915">
                  <c:v>44847</c:v>
                </c:pt>
                <c:pt idx="916">
                  <c:v>44848</c:v>
                </c:pt>
                <c:pt idx="917">
                  <c:v>44851</c:v>
                </c:pt>
                <c:pt idx="918">
                  <c:v>44852</c:v>
                </c:pt>
                <c:pt idx="919">
                  <c:v>44853</c:v>
                </c:pt>
                <c:pt idx="920">
                  <c:v>44854</c:v>
                </c:pt>
                <c:pt idx="921">
                  <c:v>44855</c:v>
                </c:pt>
                <c:pt idx="922">
                  <c:v>44858</c:v>
                </c:pt>
                <c:pt idx="923">
                  <c:v>44859</c:v>
                </c:pt>
                <c:pt idx="924">
                  <c:v>44860</c:v>
                </c:pt>
                <c:pt idx="925">
                  <c:v>44861</c:v>
                </c:pt>
                <c:pt idx="926">
                  <c:v>44862</c:v>
                </c:pt>
                <c:pt idx="927">
                  <c:v>44865</c:v>
                </c:pt>
                <c:pt idx="928">
                  <c:v>44866</c:v>
                </c:pt>
                <c:pt idx="929">
                  <c:v>44867</c:v>
                </c:pt>
                <c:pt idx="930">
                  <c:v>44868</c:v>
                </c:pt>
                <c:pt idx="931">
                  <c:v>44869</c:v>
                </c:pt>
                <c:pt idx="932">
                  <c:v>44872</c:v>
                </c:pt>
                <c:pt idx="933">
                  <c:v>44873</c:v>
                </c:pt>
                <c:pt idx="934">
                  <c:v>44874</c:v>
                </c:pt>
                <c:pt idx="935">
                  <c:v>44875</c:v>
                </c:pt>
                <c:pt idx="936">
                  <c:v>44876</c:v>
                </c:pt>
                <c:pt idx="937">
                  <c:v>44879</c:v>
                </c:pt>
                <c:pt idx="938">
                  <c:v>44880</c:v>
                </c:pt>
                <c:pt idx="939">
                  <c:v>44881</c:v>
                </c:pt>
                <c:pt idx="940">
                  <c:v>44882</c:v>
                </c:pt>
                <c:pt idx="941">
                  <c:v>44883</c:v>
                </c:pt>
                <c:pt idx="942">
                  <c:v>44886</c:v>
                </c:pt>
                <c:pt idx="943">
                  <c:v>44887</c:v>
                </c:pt>
                <c:pt idx="944">
                  <c:v>44888</c:v>
                </c:pt>
                <c:pt idx="945">
                  <c:v>44889</c:v>
                </c:pt>
                <c:pt idx="946">
                  <c:v>44890</c:v>
                </c:pt>
                <c:pt idx="947">
                  <c:v>44893</c:v>
                </c:pt>
                <c:pt idx="948">
                  <c:v>44894</c:v>
                </c:pt>
                <c:pt idx="949">
                  <c:v>44895</c:v>
                </c:pt>
                <c:pt idx="950">
                  <c:v>44896</c:v>
                </c:pt>
                <c:pt idx="951">
                  <c:v>44897</c:v>
                </c:pt>
                <c:pt idx="952">
                  <c:v>44900</c:v>
                </c:pt>
                <c:pt idx="953">
                  <c:v>44901</c:v>
                </c:pt>
                <c:pt idx="954">
                  <c:v>44902</c:v>
                </c:pt>
                <c:pt idx="955">
                  <c:v>44903</c:v>
                </c:pt>
                <c:pt idx="956">
                  <c:v>44904</c:v>
                </c:pt>
                <c:pt idx="957">
                  <c:v>44907</c:v>
                </c:pt>
                <c:pt idx="958">
                  <c:v>44908</c:v>
                </c:pt>
                <c:pt idx="959">
                  <c:v>44909</c:v>
                </c:pt>
                <c:pt idx="960">
                  <c:v>44910</c:v>
                </c:pt>
                <c:pt idx="961">
                  <c:v>44911</c:v>
                </c:pt>
                <c:pt idx="962">
                  <c:v>44914</c:v>
                </c:pt>
                <c:pt idx="963">
                  <c:v>44915</c:v>
                </c:pt>
                <c:pt idx="964">
                  <c:v>44916</c:v>
                </c:pt>
                <c:pt idx="965">
                  <c:v>44917</c:v>
                </c:pt>
                <c:pt idx="966">
                  <c:v>44918</c:v>
                </c:pt>
                <c:pt idx="967">
                  <c:v>44921</c:v>
                </c:pt>
                <c:pt idx="968">
                  <c:v>44922</c:v>
                </c:pt>
                <c:pt idx="969">
                  <c:v>44923</c:v>
                </c:pt>
                <c:pt idx="970">
                  <c:v>44924</c:v>
                </c:pt>
                <c:pt idx="971">
                  <c:v>44925</c:v>
                </c:pt>
                <c:pt idx="972">
                  <c:v>44929</c:v>
                </c:pt>
                <c:pt idx="973">
                  <c:v>44930</c:v>
                </c:pt>
                <c:pt idx="974">
                  <c:v>44931</c:v>
                </c:pt>
                <c:pt idx="975">
                  <c:v>44932</c:v>
                </c:pt>
                <c:pt idx="976">
                  <c:v>44935</c:v>
                </c:pt>
                <c:pt idx="977">
                  <c:v>44936</c:v>
                </c:pt>
                <c:pt idx="978">
                  <c:v>44937</c:v>
                </c:pt>
                <c:pt idx="979">
                  <c:v>44938</c:v>
                </c:pt>
                <c:pt idx="980">
                  <c:v>44939</c:v>
                </c:pt>
                <c:pt idx="981">
                  <c:v>44942</c:v>
                </c:pt>
                <c:pt idx="982">
                  <c:v>44943</c:v>
                </c:pt>
                <c:pt idx="983">
                  <c:v>44944</c:v>
                </c:pt>
                <c:pt idx="984">
                  <c:v>44945</c:v>
                </c:pt>
                <c:pt idx="985">
                  <c:v>44946</c:v>
                </c:pt>
                <c:pt idx="986">
                  <c:v>44956</c:v>
                </c:pt>
                <c:pt idx="987">
                  <c:v>44957</c:v>
                </c:pt>
                <c:pt idx="988">
                  <c:v>44958</c:v>
                </c:pt>
                <c:pt idx="989">
                  <c:v>44959</c:v>
                </c:pt>
                <c:pt idx="990">
                  <c:v>44960</c:v>
                </c:pt>
                <c:pt idx="991">
                  <c:v>44963</c:v>
                </c:pt>
                <c:pt idx="992">
                  <c:v>44964</c:v>
                </c:pt>
                <c:pt idx="993">
                  <c:v>44965</c:v>
                </c:pt>
                <c:pt idx="994">
                  <c:v>44966</c:v>
                </c:pt>
                <c:pt idx="995">
                  <c:v>44967</c:v>
                </c:pt>
                <c:pt idx="996">
                  <c:v>44970</c:v>
                </c:pt>
                <c:pt idx="997">
                  <c:v>44971</c:v>
                </c:pt>
                <c:pt idx="998">
                  <c:v>44972</c:v>
                </c:pt>
                <c:pt idx="999">
                  <c:v>44973</c:v>
                </c:pt>
                <c:pt idx="1000">
                  <c:v>44974</c:v>
                </c:pt>
                <c:pt idx="1001">
                  <c:v>44977</c:v>
                </c:pt>
                <c:pt idx="1002">
                  <c:v>44978</c:v>
                </c:pt>
                <c:pt idx="1003">
                  <c:v>44979</c:v>
                </c:pt>
                <c:pt idx="1004">
                  <c:v>44980</c:v>
                </c:pt>
                <c:pt idx="1005">
                  <c:v>44981</c:v>
                </c:pt>
                <c:pt idx="1006">
                  <c:v>44984</c:v>
                </c:pt>
                <c:pt idx="1007">
                  <c:v>44985</c:v>
                </c:pt>
                <c:pt idx="1008">
                  <c:v>44986</c:v>
                </c:pt>
                <c:pt idx="1009">
                  <c:v>44987</c:v>
                </c:pt>
                <c:pt idx="1010">
                  <c:v>44988</c:v>
                </c:pt>
                <c:pt idx="1011">
                  <c:v>44991</c:v>
                </c:pt>
                <c:pt idx="1012">
                  <c:v>44992</c:v>
                </c:pt>
                <c:pt idx="1013">
                  <c:v>44993</c:v>
                </c:pt>
                <c:pt idx="1014">
                  <c:v>44994</c:v>
                </c:pt>
                <c:pt idx="1015">
                  <c:v>44995</c:v>
                </c:pt>
                <c:pt idx="1016">
                  <c:v>44998</c:v>
                </c:pt>
                <c:pt idx="1017">
                  <c:v>44999</c:v>
                </c:pt>
                <c:pt idx="1018">
                  <c:v>45000</c:v>
                </c:pt>
                <c:pt idx="1019">
                  <c:v>45001</c:v>
                </c:pt>
                <c:pt idx="1020">
                  <c:v>45002</c:v>
                </c:pt>
                <c:pt idx="1021">
                  <c:v>45005</c:v>
                </c:pt>
                <c:pt idx="1022">
                  <c:v>45006</c:v>
                </c:pt>
                <c:pt idx="1023">
                  <c:v>45007</c:v>
                </c:pt>
                <c:pt idx="1024">
                  <c:v>45008</c:v>
                </c:pt>
                <c:pt idx="1025">
                  <c:v>45009</c:v>
                </c:pt>
                <c:pt idx="1026">
                  <c:v>45012</c:v>
                </c:pt>
                <c:pt idx="1027">
                  <c:v>45013</c:v>
                </c:pt>
                <c:pt idx="1028">
                  <c:v>45014</c:v>
                </c:pt>
                <c:pt idx="1029">
                  <c:v>45015</c:v>
                </c:pt>
                <c:pt idx="1030">
                  <c:v>45016</c:v>
                </c:pt>
                <c:pt idx="1031">
                  <c:v>45019</c:v>
                </c:pt>
                <c:pt idx="1032">
                  <c:v>45020</c:v>
                </c:pt>
                <c:pt idx="1033">
                  <c:v>45022</c:v>
                </c:pt>
                <c:pt idx="1034">
                  <c:v>45023</c:v>
                </c:pt>
                <c:pt idx="1035">
                  <c:v>45026</c:v>
                </c:pt>
                <c:pt idx="1036">
                  <c:v>45027</c:v>
                </c:pt>
                <c:pt idx="1037">
                  <c:v>45028</c:v>
                </c:pt>
                <c:pt idx="1038">
                  <c:v>45029</c:v>
                </c:pt>
                <c:pt idx="1039">
                  <c:v>45030</c:v>
                </c:pt>
                <c:pt idx="1040">
                  <c:v>45033</c:v>
                </c:pt>
                <c:pt idx="1041">
                  <c:v>45034</c:v>
                </c:pt>
                <c:pt idx="1042">
                  <c:v>45035</c:v>
                </c:pt>
                <c:pt idx="1043">
                  <c:v>45036</c:v>
                </c:pt>
                <c:pt idx="1044">
                  <c:v>45037</c:v>
                </c:pt>
                <c:pt idx="1045">
                  <c:v>45040</c:v>
                </c:pt>
                <c:pt idx="1046">
                  <c:v>45041</c:v>
                </c:pt>
                <c:pt idx="1047">
                  <c:v>45042</c:v>
                </c:pt>
                <c:pt idx="1048">
                  <c:v>45043</c:v>
                </c:pt>
                <c:pt idx="1049">
                  <c:v>45044</c:v>
                </c:pt>
                <c:pt idx="1050">
                  <c:v>45050</c:v>
                </c:pt>
                <c:pt idx="1051">
                  <c:v>45051</c:v>
                </c:pt>
                <c:pt idx="1052">
                  <c:v>45054</c:v>
                </c:pt>
                <c:pt idx="1053">
                  <c:v>45055</c:v>
                </c:pt>
                <c:pt idx="1054">
                  <c:v>45056</c:v>
                </c:pt>
                <c:pt idx="1055">
                  <c:v>45057</c:v>
                </c:pt>
                <c:pt idx="1056">
                  <c:v>45058</c:v>
                </c:pt>
                <c:pt idx="1057">
                  <c:v>45061</c:v>
                </c:pt>
                <c:pt idx="1058">
                  <c:v>45062</c:v>
                </c:pt>
                <c:pt idx="1059">
                  <c:v>45063</c:v>
                </c:pt>
                <c:pt idx="1060">
                  <c:v>45064</c:v>
                </c:pt>
                <c:pt idx="1061">
                  <c:v>45065</c:v>
                </c:pt>
                <c:pt idx="1062">
                  <c:v>45068</c:v>
                </c:pt>
                <c:pt idx="1063">
                  <c:v>45069</c:v>
                </c:pt>
                <c:pt idx="1064">
                  <c:v>45070</c:v>
                </c:pt>
                <c:pt idx="1065">
                  <c:v>45071</c:v>
                </c:pt>
                <c:pt idx="1066">
                  <c:v>45072</c:v>
                </c:pt>
                <c:pt idx="1067">
                  <c:v>45075</c:v>
                </c:pt>
                <c:pt idx="1068">
                  <c:v>45076</c:v>
                </c:pt>
                <c:pt idx="1069">
                  <c:v>45077</c:v>
                </c:pt>
                <c:pt idx="1070">
                  <c:v>45078</c:v>
                </c:pt>
                <c:pt idx="1071">
                  <c:v>45079</c:v>
                </c:pt>
                <c:pt idx="1072">
                  <c:v>45082</c:v>
                </c:pt>
                <c:pt idx="1073">
                  <c:v>45083</c:v>
                </c:pt>
                <c:pt idx="1074">
                  <c:v>45084</c:v>
                </c:pt>
                <c:pt idx="1075">
                  <c:v>45085</c:v>
                </c:pt>
                <c:pt idx="1076">
                  <c:v>45086</c:v>
                </c:pt>
                <c:pt idx="1077">
                  <c:v>45089</c:v>
                </c:pt>
                <c:pt idx="1078">
                  <c:v>45090</c:v>
                </c:pt>
                <c:pt idx="1079">
                  <c:v>45091</c:v>
                </c:pt>
                <c:pt idx="1080">
                  <c:v>45092</c:v>
                </c:pt>
                <c:pt idx="1081">
                  <c:v>45093</c:v>
                </c:pt>
                <c:pt idx="1082">
                  <c:v>45096</c:v>
                </c:pt>
                <c:pt idx="1083">
                  <c:v>45097</c:v>
                </c:pt>
                <c:pt idx="1084">
                  <c:v>45098</c:v>
                </c:pt>
                <c:pt idx="1085">
                  <c:v>45103</c:v>
                </c:pt>
                <c:pt idx="1086">
                  <c:v>45104</c:v>
                </c:pt>
                <c:pt idx="1087">
                  <c:v>45105</c:v>
                </c:pt>
                <c:pt idx="1088">
                  <c:v>45106</c:v>
                </c:pt>
                <c:pt idx="1089">
                  <c:v>45107</c:v>
                </c:pt>
                <c:pt idx="1090">
                  <c:v>45110</c:v>
                </c:pt>
                <c:pt idx="1091">
                  <c:v>45111</c:v>
                </c:pt>
                <c:pt idx="1092">
                  <c:v>45112</c:v>
                </c:pt>
                <c:pt idx="1093">
                  <c:v>45113</c:v>
                </c:pt>
                <c:pt idx="1094">
                  <c:v>45114</c:v>
                </c:pt>
                <c:pt idx="1095">
                  <c:v>45117</c:v>
                </c:pt>
                <c:pt idx="1096">
                  <c:v>45118</c:v>
                </c:pt>
                <c:pt idx="1097">
                  <c:v>45119</c:v>
                </c:pt>
                <c:pt idx="1098">
                  <c:v>45120</c:v>
                </c:pt>
                <c:pt idx="1099">
                  <c:v>45121</c:v>
                </c:pt>
                <c:pt idx="1100">
                  <c:v>45124</c:v>
                </c:pt>
                <c:pt idx="1101">
                  <c:v>45125</c:v>
                </c:pt>
                <c:pt idx="1102">
                  <c:v>45126</c:v>
                </c:pt>
                <c:pt idx="1103">
                  <c:v>45127</c:v>
                </c:pt>
                <c:pt idx="1104">
                  <c:v>45128</c:v>
                </c:pt>
                <c:pt idx="1105">
                  <c:v>45131</c:v>
                </c:pt>
                <c:pt idx="1106">
                  <c:v>45132</c:v>
                </c:pt>
                <c:pt idx="1107">
                  <c:v>45133</c:v>
                </c:pt>
                <c:pt idx="1108">
                  <c:v>45134</c:v>
                </c:pt>
                <c:pt idx="1109">
                  <c:v>45135</c:v>
                </c:pt>
                <c:pt idx="1110">
                  <c:v>45138</c:v>
                </c:pt>
                <c:pt idx="1111">
                  <c:v>45139</c:v>
                </c:pt>
                <c:pt idx="1112">
                  <c:v>45140</c:v>
                </c:pt>
                <c:pt idx="1113">
                  <c:v>45141</c:v>
                </c:pt>
                <c:pt idx="1114">
                  <c:v>45142</c:v>
                </c:pt>
                <c:pt idx="1115">
                  <c:v>45145</c:v>
                </c:pt>
                <c:pt idx="1116">
                  <c:v>45146</c:v>
                </c:pt>
                <c:pt idx="1117">
                  <c:v>45147</c:v>
                </c:pt>
                <c:pt idx="1118">
                  <c:v>45148</c:v>
                </c:pt>
                <c:pt idx="1119">
                  <c:v>45149</c:v>
                </c:pt>
                <c:pt idx="1120">
                  <c:v>45152</c:v>
                </c:pt>
                <c:pt idx="1121">
                  <c:v>45153</c:v>
                </c:pt>
                <c:pt idx="1122">
                  <c:v>45154</c:v>
                </c:pt>
                <c:pt idx="1123">
                  <c:v>45155</c:v>
                </c:pt>
                <c:pt idx="1124">
                  <c:v>45156</c:v>
                </c:pt>
                <c:pt idx="1125">
                  <c:v>45159</c:v>
                </c:pt>
                <c:pt idx="1126">
                  <c:v>45160</c:v>
                </c:pt>
                <c:pt idx="1127">
                  <c:v>45161</c:v>
                </c:pt>
                <c:pt idx="1128">
                  <c:v>45162</c:v>
                </c:pt>
                <c:pt idx="1129">
                  <c:v>45163</c:v>
                </c:pt>
                <c:pt idx="1130">
                  <c:v>45166</c:v>
                </c:pt>
                <c:pt idx="1131">
                  <c:v>45167</c:v>
                </c:pt>
                <c:pt idx="1132">
                  <c:v>45168</c:v>
                </c:pt>
                <c:pt idx="1133">
                  <c:v>45169</c:v>
                </c:pt>
                <c:pt idx="1134">
                  <c:v>45170</c:v>
                </c:pt>
                <c:pt idx="1135">
                  <c:v>45173</c:v>
                </c:pt>
                <c:pt idx="1136">
                  <c:v>45174</c:v>
                </c:pt>
                <c:pt idx="1137">
                  <c:v>45175</c:v>
                </c:pt>
                <c:pt idx="1138">
                  <c:v>45176</c:v>
                </c:pt>
                <c:pt idx="1139">
                  <c:v>45177</c:v>
                </c:pt>
                <c:pt idx="1140">
                  <c:v>45180</c:v>
                </c:pt>
                <c:pt idx="1141">
                  <c:v>45181</c:v>
                </c:pt>
                <c:pt idx="1142">
                  <c:v>45182</c:v>
                </c:pt>
                <c:pt idx="1143">
                  <c:v>45183</c:v>
                </c:pt>
                <c:pt idx="1144">
                  <c:v>45184</c:v>
                </c:pt>
                <c:pt idx="1145">
                  <c:v>45187</c:v>
                </c:pt>
                <c:pt idx="1146">
                  <c:v>45188</c:v>
                </c:pt>
                <c:pt idx="1147">
                  <c:v>45189</c:v>
                </c:pt>
                <c:pt idx="1148">
                  <c:v>45190</c:v>
                </c:pt>
                <c:pt idx="1149">
                  <c:v>45191</c:v>
                </c:pt>
                <c:pt idx="1150">
                  <c:v>45194</c:v>
                </c:pt>
                <c:pt idx="1151">
                  <c:v>45195</c:v>
                </c:pt>
                <c:pt idx="1152">
                  <c:v>45196</c:v>
                </c:pt>
                <c:pt idx="1153">
                  <c:v>45197</c:v>
                </c:pt>
                <c:pt idx="1154">
                  <c:v>45208</c:v>
                </c:pt>
                <c:pt idx="1155">
                  <c:v>45209</c:v>
                </c:pt>
                <c:pt idx="1156">
                  <c:v>45210</c:v>
                </c:pt>
                <c:pt idx="1157">
                  <c:v>45211</c:v>
                </c:pt>
                <c:pt idx="1158">
                  <c:v>45212</c:v>
                </c:pt>
                <c:pt idx="1159">
                  <c:v>45215</c:v>
                </c:pt>
                <c:pt idx="1160">
                  <c:v>45216</c:v>
                </c:pt>
                <c:pt idx="1161">
                  <c:v>45217</c:v>
                </c:pt>
                <c:pt idx="1162">
                  <c:v>45218</c:v>
                </c:pt>
                <c:pt idx="1163">
                  <c:v>45219</c:v>
                </c:pt>
                <c:pt idx="1164">
                  <c:v>45222</c:v>
                </c:pt>
                <c:pt idx="1165">
                  <c:v>45223</c:v>
                </c:pt>
                <c:pt idx="1166">
                  <c:v>45224</c:v>
                </c:pt>
                <c:pt idx="1167">
                  <c:v>45225</c:v>
                </c:pt>
                <c:pt idx="1168">
                  <c:v>45226</c:v>
                </c:pt>
                <c:pt idx="1169">
                  <c:v>45229</c:v>
                </c:pt>
                <c:pt idx="1170">
                  <c:v>45230</c:v>
                </c:pt>
                <c:pt idx="1171">
                  <c:v>45231</c:v>
                </c:pt>
                <c:pt idx="1172">
                  <c:v>45232</c:v>
                </c:pt>
                <c:pt idx="1173">
                  <c:v>45233</c:v>
                </c:pt>
                <c:pt idx="1174">
                  <c:v>45236</c:v>
                </c:pt>
                <c:pt idx="1175">
                  <c:v>45237</c:v>
                </c:pt>
                <c:pt idx="1176">
                  <c:v>45238</c:v>
                </c:pt>
                <c:pt idx="1177">
                  <c:v>45239</c:v>
                </c:pt>
                <c:pt idx="1178">
                  <c:v>45240</c:v>
                </c:pt>
                <c:pt idx="1179">
                  <c:v>45243</c:v>
                </c:pt>
                <c:pt idx="1180">
                  <c:v>45244</c:v>
                </c:pt>
                <c:pt idx="1181">
                  <c:v>45245</c:v>
                </c:pt>
                <c:pt idx="1182">
                  <c:v>45246</c:v>
                </c:pt>
                <c:pt idx="1183">
                  <c:v>45247</c:v>
                </c:pt>
                <c:pt idx="1184">
                  <c:v>45250</c:v>
                </c:pt>
                <c:pt idx="1185">
                  <c:v>45251</c:v>
                </c:pt>
                <c:pt idx="1186">
                  <c:v>45252</c:v>
                </c:pt>
                <c:pt idx="1187">
                  <c:v>45253</c:v>
                </c:pt>
                <c:pt idx="1188">
                  <c:v>45254</c:v>
                </c:pt>
                <c:pt idx="1189">
                  <c:v>45257</c:v>
                </c:pt>
                <c:pt idx="1190">
                  <c:v>45258</c:v>
                </c:pt>
                <c:pt idx="1191">
                  <c:v>45259</c:v>
                </c:pt>
                <c:pt idx="1192">
                  <c:v>45260</c:v>
                </c:pt>
                <c:pt idx="1193">
                  <c:v>45261</c:v>
                </c:pt>
                <c:pt idx="1194">
                  <c:v>45264</c:v>
                </c:pt>
                <c:pt idx="1195">
                  <c:v>45265</c:v>
                </c:pt>
                <c:pt idx="1196">
                  <c:v>45266</c:v>
                </c:pt>
                <c:pt idx="1197">
                  <c:v>45267</c:v>
                </c:pt>
                <c:pt idx="1198">
                  <c:v>45268</c:v>
                </c:pt>
                <c:pt idx="1199">
                  <c:v>45271</c:v>
                </c:pt>
                <c:pt idx="1200">
                  <c:v>45272</c:v>
                </c:pt>
                <c:pt idx="1201">
                  <c:v>45273</c:v>
                </c:pt>
                <c:pt idx="1202">
                  <c:v>45274</c:v>
                </c:pt>
                <c:pt idx="1203">
                  <c:v>45275</c:v>
                </c:pt>
                <c:pt idx="1204">
                  <c:v>45278</c:v>
                </c:pt>
                <c:pt idx="1205">
                  <c:v>45279</c:v>
                </c:pt>
                <c:pt idx="1206">
                  <c:v>45280</c:v>
                </c:pt>
                <c:pt idx="1207">
                  <c:v>45281</c:v>
                </c:pt>
                <c:pt idx="1208">
                  <c:v>45282</c:v>
                </c:pt>
                <c:pt idx="1209">
                  <c:v>45285</c:v>
                </c:pt>
                <c:pt idx="1210">
                  <c:v>45286</c:v>
                </c:pt>
                <c:pt idx="1211">
                  <c:v>45287</c:v>
                </c:pt>
                <c:pt idx="1212">
                  <c:v>45288</c:v>
                </c:pt>
                <c:pt idx="1213">
                  <c:v>45289</c:v>
                </c:pt>
                <c:pt idx="1214">
                  <c:v>45293</c:v>
                </c:pt>
                <c:pt idx="1215">
                  <c:v>45294</c:v>
                </c:pt>
                <c:pt idx="1216">
                  <c:v>45295</c:v>
                </c:pt>
                <c:pt idx="1217">
                  <c:v>45296</c:v>
                </c:pt>
                <c:pt idx="1218">
                  <c:v>45299</c:v>
                </c:pt>
                <c:pt idx="1219">
                  <c:v>45300</c:v>
                </c:pt>
                <c:pt idx="1220">
                  <c:v>45301</c:v>
                </c:pt>
                <c:pt idx="1221">
                  <c:v>45302</c:v>
                </c:pt>
                <c:pt idx="1222">
                  <c:v>45303</c:v>
                </c:pt>
                <c:pt idx="1223">
                  <c:v>45306</c:v>
                </c:pt>
                <c:pt idx="1224">
                  <c:v>45307</c:v>
                </c:pt>
                <c:pt idx="1225">
                  <c:v>45308</c:v>
                </c:pt>
                <c:pt idx="1226">
                  <c:v>45309</c:v>
                </c:pt>
                <c:pt idx="1227">
                  <c:v>45310</c:v>
                </c:pt>
                <c:pt idx="1228">
                  <c:v>45313</c:v>
                </c:pt>
                <c:pt idx="1229">
                  <c:v>45314</c:v>
                </c:pt>
                <c:pt idx="1230">
                  <c:v>45315</c:v>
                </c:pt>
                <c:pt idx="1231">
                  <c:v>45316</c:v>
                </c:pt>
                <c:pt idx="1232">
                  <c:v>45317</c:v>
                </c:pt>
                <c:pt idx="1233">
                  <c:v>45320</c:v>
                </c:pt>
                <c:pt idx="1234">
                  <c:v>45321</c:v>
                </c:pt>
                <c:pt idx="1235">
                  <c:v>45322</c:v>
                </c:pt>
                <c:pt idx="1236">
                  <c:v>45323</c:v>
                </c:pt>
                <c:pt idx="1237">
                  <c:v>45324</c:v>
                </c:pt>
                <c:pt idx="1238">
                  <c:v>45327</c:v>
                </c:pt>
                <c:pt idx="1239">
                  <c:v>45328</c:v>
                </c:pt>
                <c:pt idx="1240">
                  <c:v>45329</c:v>
                </c:pt>
                <c:pt idx="1241">
                  <c:v>45330</c:v>
                </c:pt>
                <c:pt idx="1242">
                  <c:v>45341</c:v>
                </c:pt>
                <c:pt idx="1243">
                  <c:v>45342</c:v>
                </c:pt>
                <c:pt idx="1244">
                  <c:v>45343</c:v>
                </c:pt>
                <c:pt idx="1245">
                  <c:v>45344</c:v>
                </c:pt>
                <c:pt idx="1246">
                  <c:v>45345</c:v>
                </c:pt>
                <c:pt idx="1247">
                  <c:v>45348</c:v>
                </c:pt>
                <c:pt idx="1248">
                  <c:v>45349</c:v>
                </c:pt>
                <c:pt idx="1249">
                  <c:v>45350</c:v>
                </c:pt>
                <c:pt idx="1250">
                  <c:v>45351</c:v>
                </c:pt>
                <c:pt idx="1251">
                  <c:v>45352</c:v>
                </c:pt>
                <c:pt idx="1252">
                  <c:v>45355</c:v>
                </c:pt>
                <c:pt idx="1253">
                  <c:v>45356</c:v>
                </c:pt>
                <c:pt idx="1254">
                  <c:v>45357</c:v>
                </c:pt>
                <c:pt idx="1255">
                  <c:v>45358</c:v>
                </c:pt>
                <c:pt idx="1256">
                  <c:v>45359</c:v>
                </c:pt>
                <c:pt idx="1257">
                  <c:v>45362</c:v>
                </c:pt>
                <c:pt idx="1258">
                  <c:v>45363</c:v>
                </c:pt>
                <c:pt idx="1259">
                  <c:v>45364</c:v>
                </c:pt>
                <c:pt idx="1260">
                  <c:v>45365</c:v>
                </c:pt>
                <c:pt idx="1261">
                  <c:v>45366</c:v>
                </c:pt>
                <c:pt idx="1262">
                  <c:v>45369</c:v>
                </c:pt>
                <c:pt idx="1263">
                  <c:v>45370</c:v>
                </c:pt>
                <c:pt idx="1264">
                  <c:v>45371</c:v>
                </c:pt>
                <c:pt idx="1265">
                  <c:v>45372</c:v>
                </c:pt>
                <c:pt idx="1266">
                  <c:v>45373</c:v>
                </c:pt>
                <c:pt idx="1267">
                  <c:v>45376</c:v>
                </c:pt>
                <c:pt idx="1268">
                  <c:v>45377</c:v>
                </c:pt>
                <c:pt idx="1269">
                  <c:v>45378</c:v>
                </c:pt>
                <c:pt idx="1270">
                  <c:v>45379</c:v>
                </c:pt>
                <c:pt idx="1271">
                  <c:v>45380</c:v>
                </c:pt>
                <c:pt idx="1272">
                  <c:v>45383</c:v>
                </c:pt>
                <c:pt idx="1273">
                  <c:v>45384</c:v>
                </c:pt>
                <c:pt idx="1274">
                  <c:v>45385</c:v>
                </c:pt>
                <c:pt idx="1275">
                  <c:v>45390</c:v>
                </c:pt>
                <c:pt idx="1276">
                  <c:v>45391</c:v>
                </c:pt>
                <c:pt idx="1277">
                  <c:v>45392</c:v>
                </c:pt>
                <c:pt idx="1278">
                  <c:v>45393</c:v>
                </c:pt>
                <c:pt idx="1279">
                  <c:v>45394</c:v>
                </c:pt>
                <c:pt idx="1280">
                  <c:v>45397</c:v>
                </c:pt>
                <c:pt idx="1281">
                  <c:v>45398</c:v>
                </c:pt>
              </c:numCache>
            </c:numRef>
          </c:cat>
          <c:val>
            <c:numRef>
              <c:f>历史数据!$I$2:$I$3390</c:f>
              <c:numCache>
                <c:formatCode>General</c:formatCode>
                <c:ptCount val="3389"/>
                <c:pt idx="0">
                  <c:v>-19.923978315132629</c:v>
                </c:pt>
                <c:pt idx="1">
                  <c:v>-19.923978315132629</c:v>
                </c:pt>
                <c:pt idx="2">
                  <c:v>-19.923978315132629</c:v>
                </c:pt>
                <c:pt idx="3">
                  <c:v>-19.923978315132629</c:v>
                </c:pt>
                <c:pt idx="4">
                  <c:v>-19.923978315132629</c:v>
                </c:pt>
                <c:pt idx="5">
                  <c:v>-19.923978315132629</c:v>
                </c:pt>
                <c:pt idx="6">
                  <c:v>-19.923978315132629</c:v>
                </c:pt>
                <c:pt idx="7">
                  <c:v>-19.923978315132629</c:v>
                </c:pt>
                <c:pt idx="8">
                  <c:v>-19.923978315132629</c:v>
                </c:pt>
                <c:pt idx="9">
                  <c:v>-19.923978315132629</c:v>
                </c:pt>
                <c:pt idx="10">
                  <c:v>-19.923978315132629</c:v>
                </c:pt>
                <c:pt idx="11">
                  <c:v>-19.923978315132629</c:v>
                </c:pt>
                <c:pt idx="12">
                  <c:v>-19.923978315132629</c:v>
                </c:pt>
                <c:pt idx="13">
                  <c:v>-19.923978315132629</c:v>
                </c:pt>
                <c:pt idx="14">
                  <c:v>-19.923978315132629</c:v>
                </c:pt>
                <c:pt idx="15">
                  <c:v>-19.923978315132629</c:v>
                </c:pt>
                <c:pt idx="16">
                  <c:v>-19.923978315132629</c:v>
                </c:pt>
                <c:pt idx="17">
                  <c:v>-19.923978315132629</c:v>
                </c:pt>
                <c:pt idx="18">
                  <c:v>-19.923978315132629</c:v>
                </c:pt>
                <c:pt idx="19">
                  <c:v>-19.923978315132629</c:v>
                </c:pt>
                <c:pt idx="20">
                  <c:v>-19.923978315132629</c:v>
                </c:pt>
                <c:pt idx="21">
                  <c:v>-19.923978315132629</c:v>
                </c:pt>
                <c:pt idx="22">
                  <c:v>-19.923978315132629</c:v>
                </c:pt>
                <c:pt idx="23">
                  <c:v>-19.923978315132629</c:v>
                </c:pt>
                <c:pt idx="24">
                  <c:v>-19.923978315132629</c:v>
                </c:pt>
                <c:pt idx="25">
                  <c:v>-19.923978315132629</c:v>
                </c:pt>
                <c:pt idx="26">
                  <c:v>-19.923978315132629</c:v>
                </c:pt>
                <c:pt idx="27">
                  <c:v>-19.923978315132629</c:v>
                </c:pt>
                <c:pt idx="28">
                  <c:v>-19.923978315132629</c:v>
                </c:pt>
                <c:pt idx="29">
                  <c:v>-19.923978315132629</c:v>
                </c:pt>
                <c:pt idx="30">
                  <c:v>-19.923978315132629</c:v>
                </c:pt>
                <c:pt idx="31">
                  <c:v>-19.923978315132629</c:v>
                </c:pt>
                <c:pt idx="32">
                  <c:v>-19.923978315132629</c:v>
                </c:pt>
                <c:pt idx="33">
                  <c:v>-19.923978315132629</c:v>
                </c:pt>
                <c:pt idx="34">
                  <c:v>-19.923978315132629</c:v>
                </c:pt>
                <c:pt idx="35">
                  <c:v>-19.923978315132629</c:v>
                </c:pt>
                <c:pt idx="36">
                  <c:v>-19.923978315132629</c:v>
                </c:pt>
                <c:pt idx="37">
                  <c:v>-19.923978315132629</c:v>
                </c:pt>
                <c:pt idx="38">
                  <c:v>-19.923978315132629</c:v>
                </c:pt>
                <c:pt idx="39">
                  <c:v>-19.923978315132629</c:v>
                </c:pt>
                <c:pt idx="40">
                  <c:v>-19.923978315132629</c:v>
                </c:pt>
                <c:pt idx="41">
                  <c:v>-19.923978315132629</c:v>
                </c:pt>
                <c:pt idx="42">
                  <c:v>-19.923978315132629</c:v>
                </c:pt>
                <c:pt idx="43">
                  <c:v>-19.923978315132629</c:v>
                </c:pt>
                <c:pt idx="44">
                  <c:v>-19.923978315132629</c:v>
                </c:pt>
                <c:pt idx="45">
                  <c:v>-19.923978315132629</c:v>
                </c:pt>
                <c:pt idx="46">
                  <c:v>-19.923978315132629</c:v>
                </c:pt>
                <c:pt idx="47">
                  <c:v>-19.923978315132629</c:v>
                </c:pt>
                <c:pt idx="48">
                  <c:v>-19.923978315132629</c:v>
                </c:pt>
                <c:pt idx="49">
                  <c:v>-19.923978315132629</c:v>
                </c:pt>
                <c:pt idx="50">
                  <c:v>-19.923978315132629</c:v>
                </c:pt>
                <c:pt idx="51">
                  <c:v>-19.923978315132629</c:v>
                </c:pt>
                <c:pt idx="52">
                  <c:v>-19.923978315132629</c:v>
                </c:pt>
                <c:pt idx="53">
                  <c:v>-19.923978315132629</c:v>
                </c:pt>
                <c:pt idx="54">
                  <c:v>-19.923978315132629</c:v>
                </c:pt>
                <c:pt idx="55">
                  <c:v>-19.923978315132629</c:v>
                </c:pt>
                <c:pt idx="56">
                  <c:v>-19.923978315132629</c:v>
                </c:pt>
                <c:pt idx="57">
                  <c:v>-19.923978315132629</c:v>
                </c:pt>
                <c:pt idx="58">
                  <c:v>-19.923978315132629</c:v>
                </c:pt>
                <c:pt idx="59">
                  <c:v>-19.923978315132629</c:v>
                </c:pt>
                <c:pt idx="60">
                  <c:v>-19.923978315132629</c:v>
                </c:pt>
                <c:pt idx="61">
                  <c:v>-19.923978315132629</c:v>
                </c:pt>
                <c:pt idx="62">
                  <c:v>-19.923978315132629</c:v>
                </c:pt>
                <c:pt idx="63">
                  <c:v>-19.923978315132629</c:v>
                </c:pt>
                <c:pt idx="64">
                  <c:v>-19.923978315132629</c:v>
                </c:pt>
                <c:pt idx="65">
                  <c:v>-19.923978315132629</c:v>
                </c:pt>
                <c:pt idx="66">
                  <c:v>-19.923978315132629</c:v>
                </c:pt>
                <c:pt idx="67">
                  <c:v>-19.923978315132629</c:v>
                </c:pt>
                <c:pt idx="68">
                  <c:v>-19.923978315132629</c:v>
                </c:pt>
                <c:pt idx="69">
                  <c:v>-19.923978315132629</c:v>
                </c:pt>
                <c:pt idx="70">
                  <c:v>-19.923978315132629</c:v>
                </c:pt>
                <c:pt idx="71">
                  <c:v>-19.923978315132629</c:v>
                </c:pt>
                <c:pt idx="72">
                  <c:v>-19.923978315132629</c:v>
                </c:pt>
                <c:pt idx="73">
                  <c:v>-19.923978315132629</c:v>
                </c:pt>
                <c:pt idx="74">
                  <c:v>-19.923978315132629</c:v>
                </c:pt>
                <c:pt idx="75">
                  <c:v>-19.923978315132629</c:v>
                </c:pt>
                <c:pt idx="76">
                  <c:v>-19.923978315132629</c:v>
                </c:pt>
                <c:pt idx="77">
                  <c:v>-19.923978315132629</c:v>
                </c:pt>
                <c:pt idx="78">
                  <c:v>-19.923978315132629</c:v>
                </c:pt>
                <c:pt idx="79">
                  <c:v>-19.923978315132629</c:v>
                </c:pt>
                <c:pt idx="80">
                  <c:v>-19.923978315132629</c:v>
                </c:pt>
                <c:pt idx="81">
                  <c:v>-19.923978315132629</c:v>
                </c:pt>
                <c:pt idx="82">
                  <c:v>-19.923978315132629</c:v>
                </c:pt>
                <c:pt idx="83">
                  <c:v>-19.923978315132629</c:v>
                </c:pt>
                <c:pt idx="84">
                  <c:v>-19.923978315132629</c:v>
                </c:pt>
                <c:pt idx="85">
                  <c:v>-19.923978315132629</c:v>
                </c:pt>
                <c:pt idx="86">
                  <c:v>-19.923978315132629</c:v>
                </c:pt>
                <c:pt idx="87">
                  <c:v>-19.923978315132629</c:v>
                </c:pt>
                <c:pt idx="88">
                  <c:v>-19.923978315132629</c:v>
                </c:pt>
                <c:pt idx="89">
                  <c:v>-19.923978315132629</c:v>
                </c:pt>
                <c:pt idx="90">
                  <c:v>-19.923978315132629</c:v>
                </c:pt>
                <c:pt idx="91">
                  <c:v>-19.923978315132629</c:v>
                </c:pt>
                <c:pt idx="92">
                  <c:v>-19.923978315132629</c:v>
                </c:pt>
                <c:pt idx="93">
                  <c:v>-19.923978315132629</c:v>
                </c:pt>
                <c:pt idx="94">
                  <c:v>-19.923978315132629</c:v>
                </c:pt>
                <c:pt idx="95">
                  <c:v>-19.923978315132629</c:v>
                </c:pt>
                <c:pt idx="96">
                  <c:v>-19.923978315132629</c:v>
                </c:pt>
                <c:pt idx="97">
                  <c:v>-19.923978315132629</c:v>
                </c:pt>
                <c:pt idx="98">
                  <c:v>-19.923978315132629</c:v>
                </c:pt>
                <c:pt idx="99">
                  <c:v>-19.923978315132629</c:v>
                </c:pt>
                <c:pt idx="100">
                  <c:v>-19.923978315132629</c:v>
                </c:pt>
                <c:pt idx="101">
                  <c:v>-19.923978315132629</c:v>
                </c:pt>
                <c:pt idx="102">
                  <c:v>-19.923978315132629</c:v>
                </c:pt>
                <c:pt idx="103">
                  <c:v>-19.923978315132629</c:v>
                </c:pt>
                <c:pt idx="104">
                  <c:v>-19.923978315132629</c:v>
                </c:pt>
                <c:pt idx="105">
                  <c:v>-19.923978315132629</c:v>
                </c:pt>
                <c:pt idx="106">
                  <c:v>-19.923978315132629</c:v>
                </c:pt>
                <c:pt idx="107">
                  <c:v>-19.923978315132629</c:v>
                </c:pt>
                <c:pt idx="108">
                  <c:v>-19.923978315132629</c:v>
                </c:pt>
                <c:pt idx="109">
                  <c:v>-19.923978315132629</c:v>
                </c:pt>
                <c:pt idx="110">
                  <c:v>-19.923978315132629</c:v>
                </c:pt>
                <c:pt idx="111">
                  <c:v>-19.923978315132629</c:v>
                </c:pt>
                <c:pt idx="112">
                  <c:v>-19.923978315132629</c:v>
                </c:pt>
                <c:pt idx="113">
                  <c:v>-19.923978315132629</c:v>
                </c:pt>
                <c:pt idx="114">
                  <c:v>-19.923978315132629</c:v>
                </c:pt>
                <c:pt idx="115">
                  <c:v>-19.923978315132629</c:v>
                </c:pt>
                <c:pt idx="116">
                  <c:v>-19.923978315132629</c:v>
                </c:pt>
                <c:pt idx="117">
                  <c:v>-19.923978315132629</c:v>
                </c:pt>
                <c:pt idx="118">
                  <c:v>-19.923978315132629</c:v>
                </c:pt>
                <c:pt idx="119">
                  <c:v>-19.923978315132629</c:v>
                </c:pt>
                <c:pt idx="120">
                  <c:v>-19.923978315132629</c:v>
                </c:pt>
                <c:pt idx="121">
                  <c:v>-19.923978315132629</c:v>
                </c:pt>
                <c:pt idx="122">
                  <c:v>-19.923978315132629</c:v>
                </c:pt>
                <c:pt idx="123">
                  <c:v>-19.923978315132629</c:v>
                </c:pt>
                <c:pt idx="124">
                  <c:v>-19.923978315132629</c:v>
                </c:pt>
                <c:pt idx="125">
                  <c:v>-19.923978315132629</c:v>
                </c:pt>
                <c:pt idx="126">
                  <c:v>-19.923978315132629</c:v>
                </c:pt>
                <c:pt idx="127">
                  <c:v>-19.923978315132629</c:v>
                </c:pt>
                <c:pt idx="128">
                  <c:v>-19.923978315132629</c:v>
                </c:pt>
                <c:pt idx="129">
                  <c:v>-19.923978315132629</c:v>
                </c:pt>
                <c:pt idx="130">
                  <c:v>-19.923978315132629</c:v>
                </c:pt>
                <c:pt idx="131">
                  <c:v>-19.923978315132629</c:v>
                </c:pt>
                <c:pt idx="132">
                  <c:v>-19.923978315132629</c:v>
                </c:pt>
                <c:pt idx="133">
                  <c:v>-19.923978315132629</c:v>
                </c:pt>
                <c:pt idx="134">
                  <c:v>-19.923978315132629</c:v>
                </c:pt>
                <c:pt idx="135">
                  <c:v>-19.923978315132629</c:v>
                </c:pt>
                <c:pt idx="136">
                  <c:v>-19.923978315132629</c:v>
                </c:pt>
                <c:pt idx="137">
                  <c:v>-19.923978315132629</c:v>
                </c:pt>
                <c:pt idx="138">
                  <c:v>-19.923978315132629</c:v>
                </c:pt>
                <c:pt idx="139">
                  <c:v>-19.923978315132629</c:v>
                </c:pt>
                <c:pt idx="140">
                  <c:v>-19.923978315132629</c:v>
                </c:pt>
                <c:pt idx="141">
                  <c:v>-19.923978315132629</c:v>
                </c:pt>
                <c:pt idx="142">
                  <c:v>-19.923978315132629</c:v>
                </c:pt>
                <c:pt idx="143">
                  <c:v>-19.923978315132629</c:v>
                </c:pt>
                <c:pt idx="144">
                  <c:v>-19.923978315132629</c:v>
                </c:pt>
                <c:pt idx="145">
                  <c:v>-19.923978315132629</c:v>
                </c:pt>
                <c:pt idx="146">
                  <c:v>-19.923978315132629</c:v>
                </c:pt>
                <c:pt idx="147">
                  <c:v>-19.923978315132629</c:v>
                </c:pt>
                <c:pt idx="148">
                  <c:v>-19.923978315132629</c:v>
                </c:pt>
                <c:pt idx="149">
                  <c:v>-19.923978315132629</c:v>
                </c:pt>
                <c:pt idx="150">
                  <c:v>-19.923978315132629</c:v>
                </c:pt>
                <c:pt idx="151">
                  <c:v>-19.923978315132629</c:v>
                </c:pt>
                <c:pt idx="152">
                  <c:v>-19.923978315132629</c:v>
                </c:pt>
                <c:pt idx="153">
                  <c:v>-19.923978315132629</c:v>
                </c:pt>
                <c:pt idx="154">
                  <c:v>-19.923978315132629</c:v>
                </c:pt>
                <c:pt idx="155">
                  <c:v>-19.923978315132629</c:v>
                </c:pt>
                <c:pt idx="156">
                  <c:v>-19.923978315132629</c:v>
                </c:pt>
                <c:pt idx="157">
                  <c:v>-19.923978315132629</c:v>
                </c:pt>
                <c:pt idx="158">
                  <c:v>-19.923978315132629</c:v>
                </c:pt>
                <c:pt idx="159">
                  <c:v>-19.923978315132629</c:v>
                </c:pt>
                <c:pt idx="160">
                  <c:v>-19.923978315132629</c:v>
                </c:pt>
                <c:pt idx="161">
                  <c:v>-19.923978315132629</c:v>
                </c:pt>
                <c:pt idx="162">
                  <c:v>-19.923978315132629</c:v>
                </c:pt>
                <c:pt idx="163">
                  <c:v>-19.923978315132629</c:v>
                </c:pt>
                <c:pt idx="164">
                  <c:v>-19.923978315132629</c:v>
                </c:pt>
                <c:pt idx="165">
                  <c:v>-19.923978315132629</c:v>
                </c:pt>
                <c:pt idx="166">
                  <c:v>-19.923978315132629</c:v>
                </c:pt>
                <c:pt idx="167">
                  <c:v>-19.923978315132629</c:v>
                </c:pt>
                <c:pt idx="168">
                  <c:v>-19.923978315132629</c:v>
                </c:pt>
                <c:pt idx="169">
                  <c:v>-19.923978315132629</c:v>
                </c:pt>
                <c:pt idx="170">
                  <c:v>-19.923978315132629</c:v>
                </c:pt>
                <c:pt idx="171">
                  <c:v>-19.923978315132629</c:v>
                </c:pt>
                <c:pt idx="172">
                  <c:v>-19.923978315132629</c:v>
                </c:pt>
                <c:pt idx="173">
                  <c:v>-19.923978315132629</c:v>
                </c:pt>
                <c:pt idx="174">
                  <c:v>-19.923978315132629</c:v>
                </c:pt>
                <c:pt idx="175">
                  <c:v>-19.923978315132629</c:v>
                </c:pt>
                <c:pt idx="176">
                  <c:v>-19.923978315132629</c:v>
                </c:pt>
                <c:pt idx="177">
                  <c:v>-19.923978315132629</c:v>
                </c:pt>
                <c:pt idx="178">
                  <c:v>-19.923978315132629</c:v>
                </c:pt>
                <c:pt idx="179">
                  <c:v>-19.923978315132629</c:v>
                </c:pt>
                <c:pt idx="180">
                  <c:v>-19.923978315132629</c:v>
                </c:pt>
                <c:pt idx="181">
                  <c:v>-19.923978315132629</c:v>
                </c:pt>
                <c:pt idx="182">
                  <c:v>-19.923978315132629</c:v>
                </c:pt>
                <c:pt idx="183">
                  <c:v>-19.923978315132629</c:v>
                </c:pt>
                <c:pt idx="184">
                  <c:v>-19.923978315132629</c:v>
                </c:pt>
                <c:pt idx="185">
                  <c:v>-19.923978315132629</c:v>
                </c:pt>
                <c:pt idx="186">
                  <c:v>-19.923978315132629</c:v>
                </c:pt>
                <c:pt idx="187">
                  <c:v>-19.923978315132629</c:v>
                </c:pt>
                <c:pt idx="188">
                  <c:v>-19.923978315132629</c:v>
                </c:pt>
                <c:pt idx="189">
                  <c:v>-19.923978315132629</c:v>
                </c:pt>
                <c:pt idx="190">
                  <c:v>-19.923978315132629</c:v>
                </c:pt>
                <c:pt idx="191">
                  <c:v>-19.923978315132629</c:v>
                </c:pt>
                <c:pt idx="192">
                  <c:v>-19.923978315132629</c:v>
                </c:pt>
                <c:pt idx="193">
                  <c:v>-19.923978315132629</c:v>
                </c:pt>
                <c:pt idx="194">
                  <c:v>-19.923978315132629</c:v>
                </c:pt>
                <c:pt idx="195">
                  <c:v>-19.923978315132629</c:v>
                </c:pt>
                <c:pt idx="196">
                  <c:v>-19.923978315132629</c:v>
                </c:pt>
                <c:pt idx="197">
                  <c:v>-19.923978315132629</c:v>
                </c:pt>
                <c:pt idx="198">
                  <c:v>-19.923978315132629</c:v>
                </c:pt>
                <c:pt idx="199">
                  <c:v>-19.923978315132629</c:v>
                </c:pt>
                <c:pt idx="200">
                  <c:v>-19.923978315132629</c:v>
                </c:pt>
                <c:pt idx="201">
                  <c:v>-19.923978315132629</c:v>
                </c:pt>
                <c:pt idx="202">
                  <c:v>-19.923978315132629</c:v>
                </c:pt>
                <c:pt idx="203">
                  <c:v>-19.923978315132629</c:v>
                </c:pt>
                <c:pt idx="204">
                  <c:v>-19.923978315132629</c:v>
                </c:pt>
                <c:pt idx="205">
                  <c:v>-19.923978315132629</c:v>
                </c:pt>
                <c:pt idx="206">
                  <c:v>-19.923978315132629</c:v>
                </c:pt>
                <c:pt idx="207">
                  <c:v>-19.923978315132629</c:v>
                </c:pt>
                <c:pt idx="208">
                  <c:v>-19.923978315132629</c:v>
                </c:pt>
                <c:pt idx="209">
                  <c:v>-19.923978315132629</c:v>
                </c:pt>
                <c:pt idx="210">
                  <c:v>-19.923978315132629</c:v>
                </c:pt>
                <c:pt idx="211">
                  <c:v>-19.923978315132629</c:v>
                </c:pt>
                <c:pt idx="212">
                  <c:v>-19.923978315132629</c:v>
                </c:pt>
                <c:pt idx="213">
                  <c:v>-19.923978315132629</c:v>
                </c:pt>
                <c:pt idx="214">
                  <c:v>-19.923978315132629</c:v>
                </c:pt>
                <c:pt idx="215">
                  <c:v>-19.923978315132629</c:v>
                </c:pt>
                <c:pt idx="216">
                  <c:v>-19.923978315132629</c:v>
                </c:pt>
                <c:pt idx="217">
                  <c:v>-19.923978315132629</c:v>
                </c:pt>
                <c:pt idx="218">
                  <c:v>-19.923978315132629</c:v>
                </c:pt>
                <c:pt idx="219">
                  <c:v>-19.923978315132629</c:v>
                </c:pt>
                <c:pt idx="220">
                  <c:v>-19.923978315132629</c:v>
                </c:pt>
                <c:pt idx="221">
                  <c:v>-19.923978315132629</c:v>
                </c:pt>
                <c:pt idx="222">
                  <c:v>-19.923978315132629</c:v>
                </c:pt>
                <c:pt idx="223">
                  <c:v>-19.923978315132629</c:v>
                </c:pt>
                <c:pt idx="224">
                  <c:v>-19.923978315132629</c:v>
                </c:pt>
                <c:pt idx="225">
                  <c:v>-19.923978315132629</c:v>
                </c:pt>
                <c:pt idx="226">
                  <c:v>-19.923978315132629</c:v>
                </c:pt>
                <c:pt idx="227">
                  <c:v>-19.923978315132629</c:v>
                </c:pt>
                <c:pt idx="228">
                  <c:v>-19.923978315132629</c:v>
                </c:pt>
                <c:pt idx="229">
                  <c:v>-19.923978315132629</c:v>
                </c:pt>
                <c:pt idx="230">
                  <c:v>-19.923978315132629</c:v>
                </c:pt>
                <c:pt idx="231">
                  <c:v>-19.923978315132629</c:v>
                </c:pt>
                <c:pt idx="232">
                  <c:v>-19.923978315132629</c:v>
                </c:pt>
                <c:pt idx="233">
                  <c:v>-19.923978315132629</c:v>
                </c:pt>
                <c:pt idx="234">
                  <c:v>-19.923978315132629</c:v>
                </c:pt>
                <c:pt idx="235">
                  <c:v>-19.923978315132629</c:v>
                </c:pt>
                <c:pt idx="236">
                  <c:v>-19.923978315132629</c:v>
                </c:pt>
                <c:pt idx="237">
                  <c:v>-19.923978315132629</c:v>
                </c:pt>
                <c:pt idx="238">
                  <c:v>-19.923978315132629</c:v>
                </c:pt>
                <c:pt idx="239">
                  <c:v>-19.923978315132629</c:v>
                </c:pt>
                <c:pt idx="240">
                  <c:v>-19.923978315132629</c:v>
                </c:pt>
                <c:pt idx="241">
                  <c:v>-19.923978315132629</c:v>
                </c:pt>
                <c:pt idx="242">
                  <c:v>-19.923978315132629</c:v>
                </c:pt>
                <c:pt idx="243">
                  <c:v>-19.923978315132629</c:v>
                </c:pt>
                <c:pt idx="244">
                  <c:v>-19.923978315132629</c:v>
                </c:pt>
                <c:pt idx="245">
                  <c:v>-19.923978315132629</c:v>
                </c:pt>
                <c:pt idx="246">
                  <c:v>-19.923978315132629</c:v>
                </c:pt>
                <c:pt idx="247">
                  <c:v>-19.923978315132629</c:v>
                </c:pt>
                <c:pt idx="248">
                  <c:v>-19.923978315132629</c:v>
                </c:pt>
                <c:pt idx="249">
                  <c:v>-19.923978315132629</c:v>
                </c:pt>
                <c:pt idx="250">
                  <c:v>-19.923978315132629</c:v>
                </c:pt>
                <c:pt idx="251">
                  <c:v>-19.923978315132629</c:v>
                </c:pt>
                <c:pt idx="252">
                  <c:v>-19.923978315132629</c:v>
                </c:pt>
                <c:pt idx="253">
                  <c:v>-19.923978315132629</c:v>
                </c:pt>
                <c:pt idx="254">
                  <c:v>-19.923978315132629</c:v>
                </c:pt>
                <c:pt idx="255">
                  <c:v>-19.923978315132629</c:v>
                </c:pt>
                <c:pt idx="256">
                  <c:v>-19.923978315132629</c:v>
                </c:pt>
                <c:pt idx="257">
                  <c:v>-19.923978315132629</c:v>
                </c:pt>
                <c:pt idx="258">
                  <c:v>-19.923978315132629</c:v>
                </c:pt>
                <c:pt idx="259">
                  <c:v>-19.923978315132629</c:v>
                </c:pt>
                <c:pt idx="260">
                  <c:v>-19.923978315132629</c:v>
                </c:pt>
                <c:pt idx="261">
                  <c:v>-19.923978315132629</c:v>
                </c:pt>
                <c:pt idx="262">
                  <c:v>-19.923978315132629</c:v>
                </c:pt>
                <c:pt idx="263">
                  <c:v>-19.923978315132629</c:v>
                </c:pt>
                <c:pt idx="264">
                  <c:v>-19.923978315132629</c:v>
                </c:pt>
                <c:pt idx="265">
                  <c:v>-19.923978315132629</c:v>
                </c:pt>
                <c:pt idx="266">
                  <c:v>-19.923978315132629</c:v>
                </c:pt>
                <c:pt idx="267">
                  <c:v>-19.923978315132629</c:v>
                </c:pt>
                <c:pt idx="268">
                  <c:v>-19.923978315132629</c:v>
                </c:pt>
                <c:pt idx="269">
                  <c:v>-19.923978315132629</c:v>
                </c:pt>
                <c:pt idx="270">
                  <c:v>-19.923978315132629</c:v>
                </c:pt>
                <c:pt idx="271">
                  <c:v>-19.923978315132629</c:v>
                </c:pt>
                <c:pt idx="272">
                  <c:v>-19.923978315132629</c:v>
                </c:pt>
                <c:pt idx="273">
                  <c:v>-19.923978315132629</c:v>
                </c:pt>
                <c:pt idx="274">
                  <c:v>-19.923978315132629</c:v>
                </c:pt>
                <c:pt idx="275">
                  <c:v>-19.923978315132629</c:v>
                </c:pt>
                <c:pt idx="276">
                  <c:v>-19.923978315132629</c:v>
                </c:pt>
                <c:pt idx="277">
                  <c:v>-19.923978315132629</c:v>
                </c:pt>
                <c:pt idx="278">
                  <c:v>-19.923978315132629</c:v>
                </c:pt>
                <c:pt idx="279">
                  <c:v>-19.923978315132629</c:v>
                </c:pt>
                <c:pt idx="280">
                  <c:v>-19.923978315132629</c:v>
                </c:pt>
                <c:pt idx="281">
                  <c:v>-19.923978315132629</c:v>
                </c:pt>
                <c:pt idx="282">
                  <c:v>-19.923978315132629</c:v>
                </c:pt>
                <c:pt idx="283">
                  <c:v>-19.923978315132629</c:v>
                </c:pt>
                <c:pt idx="284">
                  <c:v>-19.923978315132629</c:v>
                </c:pt>
                <c:pt idx="285">
                  <c:v>-19.923978315132629</c:v>
                </c:pt>
                <c:pt idx="286">
                  <c:v>-19.923978315132629</c:v>
                </c:pt>
                <c:pt idx="287">
                  <c:v>-19.923978315132629</c:v>
                </c:pt>
                <c:pt idx="288">
                  <c:v>-19.923978315132629</c:v>
                </c:pt>
                <c:pt idx="289">
                  <c:v>-19.923978315132629</c:v>
                </c:pt>
                <c:pt idx="290">
                  <c:v>-19.923978315132629</c:v>
                </c:pt>
                <c:pt idx="291">
                  <c:v>-19.923978315132629</c:v>
                </c:pt>
                <c:pt idx="292">
                  <c:v>-19.923978315132629</c:v>
                </c:pt>
                <c:pt idx="293">
                  <c:v>-19.923978315132629</c:v>
                </c:pt>
                <c:pt idx="294">
                  <c:v>-19.923978315132629</c:v>
                </c:pt>
                <c:pt idx="295">
                  <c:v>-19.923978315132629</c:v>
                </c:pt>
                <c:pt idx="296">
                  <c:v>-19.923978315132629</c:v>
                </c:pt>
                <c:pt idx="297">
                  <c:v>-19.923978315132629</c:v>
                </c:pt>
                <c:pt idx="298">
                  <c:v>-19.923978315132629</c:v>
                </c:pt>
                <c:pt idx="299">
                  <c:v>-19.923978315132629</c:v>
                </c:pt>
                <c:pt idx="300">
                  <c:v>-19.923978315132629</c:v>
                </c:pt>
                <c:pt idx="301">
                  <c:v>-19.923978315132629</c:v>
                </c:pt>
                <c:pt idx="302">
                  <c:v>-19.923978315132629</c:v>
                </c:pt>
                <c:pt idx="303">
                  <c:v>-19.923978315132629</c:v>
                </c:pt>
                <c:pt idx="304">
                  <c:v>-19.923978315132629</c:v>
                </c:pt>
                <c:pt idx="305">
                  <c:v>-19.923978315132629</c:v>
                </c:pt>
                <c:pt idx="306">
                  <c:v>-19.923978315132629</c:v>
                </c:pt>
                <c:pt idx="307">
                  <c:v>-19.923978315132629</c:v>
                </c:pt>
                <c:pt idx="308">
                  <c:v>-19.923978315132629</c:v>
                </c:pt>
                <c:pt idx="309">
                  <c:v>-19.923978315132629</c:v>
                </c:pt>
                <c:pt idx="310">
                  <c:v>-19.923978315132629</c:v>
                </c:pt>
                <c:pt idx="311">
                  <c:v>-19.923978315132629</c:v>
                </c:pt>
                <c:pt idx="312">
                  <c:v>-19.923978315132629</c:v>
                </c:pt>
                <c:pt idx="313">
                  <c:v>-19.923978315132629</c:v>
                </c:pt>
                <c:pt idx="314">
                  <c:v>-19.923978315132629</c:v>
                </c:pt>
                <c:pt idx="315">
                  <c:v>-19.923978315132629</c:v>
                </c:pt>
                <c:pt idx="316">
                  <c:v>-19.923978315132629</c:v>
                </c:pt>
                <c:pt idx="317">
                  <c:v>-19.923978315132629</c:v>
                </c:pt>
                <c:pt idx="318">
                  <c:v>-19.923978315132629</c:v>
                </c:pt>
                <c:pt idx="319">
                  <c:v>-19.923978315132629</c:v>
                </c:pt>
                <c:pt idx="320">
                  <c:v>-19.923978315132629</c:v>
                </c:pt>
                <c:pt idx="321">
                  <c:v>-19.923978315132629</c:v>
                </c:pt>
                <c:pt idx="322">
                  <c:v>-19.923978315132629</c:v>
                </c:pt>
                <c:pt idx="323">
                  <c:v>-19.923978315132629</c:v>
                </c:pt>
                <c:pt idx="324">
                  <c:v>-19.923978315132629</c:v>
                </c:pt>
                <c:pt idx="325">
                  <c:v>-19.923978315132629</c:v>
                </c:pt>
                <c:pt idx="326">
                  <c:v>-19.923978315132629</c:v>
                </c:pt>
                <c:pt idx="327">
                  <c:v>-19.923978315132629</c:v>
                </c:pt>
                <c:pt idx="328">
                  <c:v>-19.923978315132629</c:v>
                </c:pt>
                <c:pt idx="329">
                  <c:v>-19.923978315132629</c:v>
                </c:pt>
                <c:pt idx="330">
                  <c:v>-19.923978315132629</c:v>
                </c:pt>
                <c:pt idx="331">
                  <c:v>-19.923978315132629</c:v>
                </c:pt>
                <c:pt idx="332">
                  <c:v>-19.923978315132629</c:v>
                </c:pt>
                <c:pt idx="333">
                  <c:v>-19.923978315132629</c:v>
                </c:pt>
                <c:pt idx="334">
                  <c:v>-19.923978315132629</c:v>
                </c:pt>
                <c:pt idx="335">
                  <c:v>-19.923978315132629</c:v>
                </c:pt>
                <c:pt idx="336">
                  <c:v>-19.923978315132629</c:v>
                </c:pt>
                <c:pt idx="337">
                  <c:v>-19.923978315132629</c:v>
                </c:pt>
                <c:pt idx="338">
                  <c:v>-19.923978315132629</c:v>
                </c:pt>
                <c:pt idx="339">
                  <c:v>-19.923978315132629</c:v>
                </c:pt>
                <c:pt idx="340">
                  <c:v>-19.923978315132629</c:v>
                </c:pt>
                <c:pt idx="341">
                  <c:v>-19.923978315132629</c:v>
                </c:pt>
                <c:pt idx="342">
                  <c:v>-19.923978315132629</c:v>
                </c:pt>
                <c:pt idx="343">
                  <c:v>-19.923978315132629</c:v>
                </c:pt>
                <c:pt idx="344">
                  <c:v>-19.923978315132629</c:v>
                </c:pt>
                <c:pt idx="345">
                  <c:v>-19.923978315132629</c:v>
                </c:pt>
                <c:pt idx="346">
                  <c:v>-19.923978315132629</c:v>
                </c:pt>
                <c:pt idx="347">
                  <c:v>-19.923978315132629</c:v>
                </c:pt>
                <c:pt idx="348">
                  <c:v>-19.923978315132629</c:v>
                </c:pt>
                <c:pt idx="349">
                  <c:v>-19.923978315132629</c:v>
                </c:pt>
                <c:pt idx="350">
                  <c:v>-19.923978315132629</c:v>
                </c:pt>
                <c:pt idx="351">
                  <c:v>-19.923978315132629</c:v>
                </c:pt>
                <c:pt idx="352">
                  <c:v>-19.923978315132629</c:v>
                </c:pt>
                <c:pt idx="353">
                  <c:v>-19.923978315132629</c:v>
                </c:pt>
                <c:pt idx="354">
                  <c:v>-19.923978315132629</c:v>
                </c:pt>
                <c:pt idx="355">
                  <c:v>-19.923978315132629</c:v>
                </c:pt>
                <c:pt idx="356">
                  <c:v>-19.923978315132629</c:v>
                </c:pt>
                <c:pt idx="357">
                  <c:v>-19.923978315132629</c:v>
                </c:pt>
                <c:pt idx="358">
                  <c:v>-19.923978315132629</c:v>
                </c:pt>
                <c:pt idx="359">
                  <c:v>-19.923978315132629</c:v>
                </c:pt>
                <c:pt idx="360">
                  <c:v>-19.923978315132629</c:v>
                </c:pt>
                <c:pt idx="361">
                  <c:v>-19.923978315132629</c:v>
                </c:pt>
                <c:pt idx="362">
                  <c:v>-19.923978315132629</c:v>
                </c:pt>
                <c:pt idx="363">
                  <c:v>-19.923978315132629</c:v>
                </c:pt>
                <c:pt idx="364">
                  <c:v>-19.923978315132629</c:v>
                </c:pt>
                <c:pt idx="365">
                  <c:v>-19.923978315132629</c:v>
                </c:pt>
                <c:pt idx="366">
                  <c:v>-19.923978315132629</c:v>
                </c:pt>
                <c:pt idx="367">
                  <c:v>-19.923978315132629</c:v>
                </c:pt>
                <c:pt idx="368">
                  <c:v>-19.923978315132629</c:v>
                </c:pt>
                <c:pt idx="369">
                  <c:v>-19.923978315132629</c:v>
                </c:pt>
                <c:pt idx="370">
                  <c:v>-19.923978315132629</c:v>
                </c:pt>
                <c:pt idx="371">
                  <c:v>-19.923978315132629</c:v>
                </c:pt>
                <c:pt idx="372">
                  <c:v>-19.923978315132629</c:v>
                </c:pt>
                <c:pt idx="373">
                  <c:v>-19.923978315132629</c:v>
                </c:pt>
                <c:pt idx="374">
                  <c:v>-19.923978315132629</c:v>
                </c:pt>
                <c:pt idx="375">
                  <c:v>-19.923978315132629</c:v>
                </c:pt>
                <c:pt idx="376">
                  <c:v>-19.923978315132629</c:v>
                </c:pt>
                <c:pt idx="377">
                  <c:v>-19.923978315132629</c:v>
                </c:pt>
                <c:pt idx="378">
                  <c:v>-19.923978315132629</c:v>
                </c:pt>
                <c:pt idx="379">
                  <c:v>-19.923978315132629</c:v>
                </c:pt>
                <c:pt idx="380">
                  <c:v>-19.923978315132629</c:v>
                </c:pt>
                <c:pt idx="381">
                  <c:v>-19.923978315132629</c:v>
                </c:pt>
                <c:pt idx="382">
                  <c:v>-19.923978315132629</c:v>
                </c:pt>
                <c:pt idx="383">
                  <c:v>-19.923978315132629</c:v>
                </c:pt>
                <c:pt idx="384">
                  <c:v>-19.923978315132629</c:v>
                </c:pt>
                <c:pt idx="385">
                  <c:v>-19.923978315132629</c:v>
                </c:pt>
                <c:pt idx="386">
                  <c:v>-19.923978315132629</c:v>
                </c:pt>
                <c:pt idx="387">
                  <c:v>-19.923978315132629</c:v>
                </c:pt>
                <c:pt idx="388">
                  <c:v>-19.923978315132629</c:v>
                </c:pt>
                <c:pt idx="389">
                  <c:v>-19.923978315132629</c:v>
                </c:pt>
                <c:pt idx="390">
                  <c:v>-19.923978315132629</c:v>
                </c:pt>
                <c:pt idx="391">
                  <c:v>-19.923978315132629</c:v>
                </c:pt>
                <c:pt idx="392">
                  <c:v>-19.923978315132629</c:v>
                </c:pt>
                <c:pt idx="393">
                  <c:v>-19.923978315132629</c:v>
                </c:pt>
                <c:pt idx="394">
                  <c:v>-19.923978315132629</c:v>
                </c:pt>
                <c:pt idx="395">
                  <c:v>-19.923978315132629</c:v>
                </c:pt>
                <c:pt idx="396">
                  <c:v>-19.923978315132629</c:v>
                </c:pt>
                <c:pt idx="397">
                  <c:v>-19.923978315132629</c:v>
                </c:pt>
                <c:pt idx="398">
                  <c:v>-19.923978315132629</c:v>
                </c:pt>
                <c:pt idx="399">
                  <c:v>-19.923978315132629</c:v>
                </c:pt>
                <c:pt idx="400">
                  <c:v>-19.923978315132629</c:v>
                </c:pt>
                <c:pt idx="401">
                  <c:v>-19.923978315132629</c:v>
                </c:pt>
                <c:pt idx="402">
                  <c:v>-19.923978315132629</c:v>
                </c:pt>
                <c:pt idx="403">
                  <c:v>-19.923978315132629</c:v>
                </c:pt>
                <c:pt idx="404">
                  <c:v>-19.923978315132629</c:v>
                </c:pt>
                <c:pt idx="405">
                  <c:v>-19.923978315132629</c:v>
                </c:pt>
                <c:pt idx="406">
                  <c:v>-19.923978315132629</c:v>
                </c:pt>
                <c:pt idx="407">
                  <c:v>-19.923978315132629</c:v>
                </c:pt>
                <c:pt idx="408">
                  <c:v>-19.923978315132629</c:v>
                </c:pt>
                <c:pt idx="409">
                  <c:v>-19.923978315132629</c:v>
                </c:pt>
                <c:pt idx="410">
                  <c:v>-19.923978315132629</c:v>
                </c:pt>
                <c:pt idx="411">
                  <c:v>-19.923978315132629</c:v>
                </c:pt>
                <c:pt idx="412">
                  <c:v>-19.923978315132629</c:v>
                </c:pt>
                <c:pt idx="413">
                  <c:v>-19.923978315132629</c:v>
                </c:pt>
                <c:pt idx="414">
                  <c:v>-19.923978315132629</c:v>
                </c:pt>
                <c:pt idx="415">
                  <c:v>-19.923978315132629</c:v>
                </c:pt>
                <c:pt idx="416">
                  <c:v>-19.923978315132629</c:v>
                </c:pt>
                <c:pt idx="417">
                  <c:v>-19.923978315132629</c:v>
                </c:pt>
                <c:pt idx="418">
                  <c:v>-19.923978315132629</c:v>
                </c:pt>
                <c:pt idx="419">
                  <c:v>-19.923978315132629</c:v>
                </c:pt>
                <c:pt idx="420">
                  <c:v>-19.923978315132629</c:v>
                </c:pt>
                <c:pt idx="421">
                  <c:v>-19.923978315132629</c:v>
                </c:pt>
                <c:pt idx="422">
                  <c:v>-19.923978315132629</c:v>
                </c:pt>
                <c:pt idx="423">
                  <c:v>-19.923978315132629</c:v>
                </c:pt>
                <c:pt idx="424">
                  <c:v>-19.923978315132629</c:v>
                </c:pt>
                <c:pt idx="425">
                  <c:v>-19.923978315132629</c:v>
                </c:pt>
                <c:pt idx="426">
                  <c:v>-19.923978315132629</c:v>
                </c:pt>
                <c:pt idx="427">
                  <c:v>-19.923978315132629</c:v>
                </c:pt>
                <c:pt idx="428">
                  <c:v>-19.923978315132629</c:v>
                </c:pt>
                <c:pt idx="429">
                  <c:v>-19.923978315132629</c:v>
                </c:pt>
                <c:pt idx="430">
                  <c:v>-19.923978315132629</c:v>
                </c:pt>
                <c:pt idx="431">
                  <c:v>-19.923978315132629</c:v>
                </c:pt>
                <c:pt idx="432">
                  <c:v>-19.923978315132629</c:v>
                </c:pt>
                <c:pt idx="433">
                  <c:v>-19.923978315132629</c:v>
                </c:pt>
                <c:pt idx="434">
                  <c:v>-19.923978315132629</c:v>
                </c:pt>
                <c:pt idx="435">
                  <c:v>-19.923978315132629</c:v>
                </c:pt>
                <c:pt idx="436">
                  <c:v>-19.923978315132629</c:v>
                </c:pt>
                <c:pt idx="437">
                  <c:v>-19.923978315132629</c:v>
                </c:pt>
                <c:pt idx="438">
                  <c:v>-19.923978315132629</c:v>
                </c:pt>
                <c:pt idx="439">
                  <c:v>-19.923978315132629</c:v>
                </c:pt>
                <c:pt idx="440">
                  <c:v>-19.923978315132629</c:v>
                </c:pt>
                <c:pt idx="441">
                  <c:v>-19.923978315132629</c:v>
                </c:pt>
                <c:pt idx="442">
                  <c:v>-19.923978315132629</c:v>
                </c:pt>
                <c:pt idx="443">
                  <c:v>-19.923978315132629</c:v>
                </c:pt>
                <c:pt idx="444">
                  <c:v>-19.923978315132629</c:v>
                </c:pt>
                <c:pt idx="445">
                  <c:v>-19.923978315132629</c:v>
                </c:pt>
                <c:pt idx="446">
                  <c:v>-19.923978315132629</c:v>
                </c:pt>
                <c:pt idx="447">
                  <c:v>-19.923978315132629</c:v>
                </c:pt>
                <c:pt idx="448">
                  <c:v>-19.923978315132629</c:v>
                </c:pt>
                <c:pt idx="449">
                  <c:v>-19.923978315132629</c:v>
                </c:pt>
                <c:pt idx="450">
                  <c:v>-19.923978315132629</c:v>
                </c:pt>
                <c:pt idx="451">
                  <c:v>-19.923978315132629</c:v>
                </c:pt>
                <c:pt idx="452">
                  <c:v>-19.923978315132629</c:v>
                </c:pt>
                <c:pt idx="453">
                  <c:v>-19.923978315132629</c:v>
                </c:pt>
                <c:pt idx="454">
                  <c:v>-19.923978315132629</c:v>
                </c:pt>
                <c:pt idx="455">
                  <c:v>-19.923978315132629</c:v>
                </c:pt>
                <c:pt idx="456">
                  <c:v>-19.923978315132629</c:v>
                </c:pt>
                <c:pt idx="457">
                  <c:v>-19.923978315132629</c:v>
                </c:pt>
                <c:pt idx="458">
                  <c:v>-19.923978315132629</c:v>
                </c:pt>
                <c:pt idx="459">
                  <c:v>-19.923978315132629</c:v>
                </c:pt>
                <c:pt idx="460">
                  <c:v>-19.923978315132629</c:v>
                </c:pt>
                <c:pt idx="461">
                  <c:v>-19.923978315132629</c:v>
                </c:pt>
                <c:pt idx="462">
                  <c:v>-19.923978315132629</c:v>
                </c:pt>
                <c:pt idx="463">
                  <c:v>-19.923978315132629</c:v>
                </c:pt>
                <c:pt idx="464">
                  <c:v>-19.923978315132629</c:v>
                </c:pt>
                <c:pt idx="465">
                  <c:v>-19.923978315132629</c:v>
                </c:pt>
                <c:pt idx="466">
                  <c:v>-19.923978315132629</c:v>
                </c:pt>
                <c:pt idx="467">
                  <c:v>-19.923978315132629</c:v>
                </c:pt>
                <c:pt idx="468">
                  <c:v>-19.923978315132629</c:v>
                </c:pt>
                <c:pt idx="469">
                  <c:v>-19.923978315132629</c:v>
                </c:pt>
                <c:pt idx="470">
                  <c:v>-19.923978315132629</c:v>
                </c:pt>
                <c:pt idx="471">
                  <c:v>-19.923978315132629</c:v>
                </c:pt>
                <c:pt idx="472">
                  <c:v>-19.923978315132629</c:v>
                </c:pt>
                <c:pt idx="473">
                  <c:v>-19.923978315132629</c:v>
                </c:pt>
                <c:pt idx="474">
                  <c:v>-19.923978315132629</c:v>
                </c:pt>
                <c:pt idx="475">
                  <c:v>-19.923978315132629</c:v>
                </c:pt>
                <c:pt idx="476">
                  <c:v>-19.923978315132629</c:v>
                </c:pt>
                <c:pt idx="477">
                  <c:v>-19.923978315132629</c:v>
                </c:pt>
                <c:pt idx="478">
                  <c:v>-19.923978315132629</c:v>
                </c:pt>
                <c:pt idx="479">
                  <c:v>-19.923978315132629</c:v>
                </c:pt>
                <c:pt idx="480">
                  <c:v>-19.923978315132629</c:v>
                </c:pt>
                <c:pt idx="481">
                  <c:v>-19.923978315132629</c:v>
                </c:pt>
                <c:pt idx="482">
                  <c:v>-19.923978315132629</c:v>
                </c:pt>
                <c:pt idx="483">
                  <c:v>-19.923978315132629</c:v>
                </c:pt>
                <c:pt idx="484">
                  <c:v>-19.923978315132629</c:v>
                </c:pt>
                <c:pt idx="485">
                  <c:v>-19.923978315132629</c:v>
                </c:pt>
                <c:pt idx="486">
                  <c:v>-19.923978315132629</c:v>
                </c:pt>
                <c:pt idx="487">
                  <c:v>-19.923978315132629</c:v>
                </c:pt>
                <c:pt idx="488">
                  <c:v>-19.923978315132629</c:v>
                </c:pt>
                <c:pt idx="489">
                  <c:v>-19.923978315132629</c:v>
                </c:pt>
                <c:pt idx="490">
                  <c:v>-19.923978315132629</c:v>
                </c:pt>
                <c:pt idx="491">
                  <c:v>-19.923978315132629</c:v>
                </c:pt>
                <c:pt idx="492">
                  <c:v>-19.923978315132629</c:v>
                </c:pt>
                <c:pt idx="493">
                  <c:v>-19.923978315132629</c:v>
                </c:pt>
                <c:pt idx="494">
                  <c:v>-19.923978315132629</c:v>
                </c:pt>
                <c:pt idx="495">
                  <c:v>-19.923978315132629</c:v>
                </c:pt>
                <c:pt idx="496">
                  <c:v>-19.923978315132629</c:v>
                </c:pt>
                <c:pt idx="497">
                  <c:v>-19.923978315132629</c:v>
                </c:pt>
                <c:pt idx="498">
                  <c:v>-19.923978315132629</c:v>
                </c:pt>
                <c:pt idx="499">
                  <c:v>-19.923978315132629</c:v>
                </c:pt>
                <c:pt idx="500">
                  <c:v>-19.923978315132629</c:v>
                </c:pt>
                <c:pt idx="501">
                  <c:v>-19.923978315132629</c:v>
                </c:pt>
                <c:pt idx="502">
                  <c:v>-19.923978315132629</c:v>
                </c:pt>
                <c:pt idx="503">
                  <c:v>-19.923978315132629</c:v>
                </c:pt>
                <c:pt idx="504">
                  <c:v>-19.923978315132629</c:v>
                </c:pt>
                <c:pt idx="505">
                  <c:v>-19.923978315132629</c:v>
                </c:pt>
                <c:pt idx="506">
                  <c:v>-19.923978315132629</c:v>
                </c:pt>
                <c:pt idx="507">
                  <c:v>-19.923978315132629</c:v>
                </c:pt>
                <c:pt idx="508">
                  <c:v>-19.923978315132629</c:v>
                </c:pt>
                <c:pt idx="509">
                  <c:v>-19.923978315132629</c:v>
                </c:pt>
                <c:pt idx="510">
                  <c:v>-19.923978315132629</c:v>
                </c:pt>
                <c:pt idx="511">
                  <c:v>-19.923978315132629</c:v>
                </c:pt>
                <c:pt idx="512">
                  <c:v>-19.923978315132629</c:v>
                </c:pt>
                <c:pt idx="513">
                  <c:v>-19.923978315132629</c:v>
                </c:pt>
                <c:pt idx="514">
                  <c:v>-19.923978315132629</c:v>
                </c:pt>
                <c:pt idx="515">
                  <c:v>-19.923978315132629</c:v>
                </c:pt>
                <c:pt idx="516">
                  <c:v>-19.923978315132629</c:v>
                </c:pt>
                <c:pt idx="517">
                  <c:v>-19.923978315132629</c:v>
                </c:pt>
                <c:pt idx="518">
                  <c:v>-19.923978315132629</c:v>
                </c:pt>
                <c:pt idx="519">
                  <c:v>-19.923978315132629</c:v>
                </c:pt>
                <c:pt idx="520">
                  <c:v>-19.923978315132629</c:v>
                </c:pt>
                <c:pt idx="521">
                  <c:v>-19.923978315132629</c:v>
                </c:pt>
                <c:pt idx="522">
                  <c:v>-19.923978315132629</c:v>
                </c:pt>
                <c:pt idx="523">
                  <c:v>-19.923978315132629</c:v>
                </c:pt>
                <c:pt idx="524">
                  <c:v>-19.923978315132629</c:v>
                </c:pt>
                <c:pt idx="525">
                  <c:v>-19.923978315132629</c:v>
                </c:pt>
                <c:pt idx="526">
                  <c:v>-19.923978315132629</c:v>
                </c:pt>
                <c:pt idx="527">
                  <c:v>-19.923978315132629</c:v>
                </c:pt>
                <c:pt idx="528">
                  <c:v>-19.923978315132629</c:v>
                </c:pt>
                <c:pt idx="529">
                  <c:v>-19.923978315132629</c:v>
                </c:pt>
                <c:pt idx="530">
                  <c:v>-19.923978315132629</c:v>
                </c:pt>
                <c:pt idx="531">
                  <c:v>-19.923978315132629</c:v>
                </c:pt>
                <c:pt idx="532">
                  <c:v>-19.923978315132629</c:v>
                </c:pt>
                <c:pt idx="533">
                  <c:v>-19.923978315132629</c:v>
                </c:pt>
                <c:pt idx="534">
                  <c:v>-19.923978315132629</c:v>
                </c:pt>
                <c:pt idx="535">
                  <c:v>-19.923978315132629</c:v>
                </c:pt>
                <c:pt idx="536">
                  <c:v>-19.923978315132629</c:v>
                </c:pt>
                <c:pt idx="537">
                  <c:v>-19.923978315132629</c:v>
                </c:pt>
                <c:pt idx="538">
                  <c:v>-19.923978315132629</c:v>
                </c:pt>
                <c:pt idx="539">
                  <c:v>-19.923978315132629</c:v>
                </c:pt>
                <c:pt idx="540">
                  <c:v>-19.923978315132629</c:v>
                </c:pt>
                <c:pt idx="541">
                  <c:v>-19.923978315132629</c:v>
                </c:pt>
                <c:pt idx="542">
                  <c:v>-19.923978315132629</c:v>
                </c:pt>
                <c:pt idx="543">
                  <c:v>-19.923978315132629</c:v>
                </c:pt>
                <c:pt idx="544">
                  <c:v>-19.923978315132629</c:v>
                </c:pt>
                <c:pt idx="545">
                  <c:v>-19.923978315132629</c:v>
                </c:pt>
                <c:pt idx="546">
                  <c:v>-19.923978315132629</c:v>
                </c:pt>
                <c:pt idx="547">
                  <c:v>-19.923978315132629</c:v>
                </c:pt>
                <c:pt idx="548">
                  <c:v>-19.923978315132629</c:v>
                </c:pt>
                <c:pt idx="549">
                  <c:v>-19.923978315132629</c:v>
                </c:pt>
                <c:pt idx="550">
                  <c:v>-19.923978315132629</c:v>
                </c:pt>
                <c:pt idx="551">
                  <c:v>-19.923978315132629</c:v>
                </c:pt>
                <c:pt idx="552">
                  <c:v>-19.923978315132629</c:v>
                </c:pt>
                <c:pt idx="553">
                  <c:v>-19.923978315132629</c:v>
                </c:pt>
                <c:pt idx="554">
                  <c:v>-19.923978315132629</c:v>
                </c:pt>
                <c:pt idx="555">
                  <c:v>-19.923978315132629</c:v>
                </c:pt>
                <c:pt idx="556">
                  <c:v>-19.923978315132629</c:v>
                </c:pt>
                <c:pt idx="557">
                  <c:v>-19.923978315132629</c:v>
                </c:pt>
                <c:pt idx="558">
                  <c:v>-19.923978315132629</c:v>
                </c:pt>
                <c:pt idx="559">
                  <c:v>-19.923978315132629</c:v>
                </c:pt>
                <c:pt idx="560">
                  <c:v>-19.923978315132629</c:v>
                </c:pt>
                <c:pt idx="561">
                  <c:v>-19.923978315132629</c:v>
                </c:pt>
                <c:pt idx="562">
                  <c:v>-19.923978315132629</c:v>
                </c:pt>
                <c:pt idx="563">
                  <c:v>-19.923978315132629</c:v>
                </c:pt>
                <c:pt idx="564">
                  <c:v>-19.923978315132629</c:v>
                </c:pt>
                <c:pt idx="565">
                  <c:v>-19.923978315132629</c:v>
                </c:pt>
                <c:pt idx="566">
                  <c:v>-19.923978315132629</c:v>
                </c:pt>
                <c:pt idx="567">
                  <c:v>-19.923978315132629</c:v>
                </c:pt>
                <c:pt idx="568">
                  <c:v>-19.923978315132629</c:v>
                </c:pt>
                <c:pt idx="569">
                  <c:v>-19.923978315132629</c:v>
                </c:pt>
                <c:pt idx="570">
                  <c:v>-19.923978315132629</c:v>
                </c:pt>
                <c:pt idx="571">
                  <c:v>-19.923978315132629</c:v>
                </c:pt>
                <c:pt idx="572">
                  <c:v>-19.923978315132629</c:v>
                </c:pt>
                <c:pt idx="573">
                  <c:v>-19.923978315132629</c:v>
                </c:pt>
                <c:pt idx="574">
                  <c:v>-19.923978315132629</c:v>
                </c:pt>
                <c:pt idx="575">
                  <c:v>-19.923978315132629</c:v>
                </c:pt>
                <c:pt idx="576">
                  <c:v>-19.923978315132629</c:v>
                </c:pt>
                <c:pt idx="577">
                  <c:v>-19.923978315132629</c:v>
                </c:pt>
                <c:pt idx="578">
                  <c:v>-19.923978315132629</c:v>
                </c:pt>
                <c:pt idx="579">
                  <c:v>-19.923978315132629</c:v>
                </c:pt>
                <c:pt idx="580">
                  <c:v>-19.923978315132629</c:v>
                </c:pt>
                <c:pt idx="581">
                  <c:v>-19.923978315132629</c:v>
                </c:pt>
                <c:pt idx="582">
                  <c:v>-19.923978315132629</c:v>
                </c:pt>
                <c:pt idx="583">
                  <c:v>-19.923978315132629</c:v>
                </c:pt>
                <c:pt idx="584">
                  <c:v>-19.923978315132629</c:v>
                </c:pt>
                <c:pt idx="585">
                  <c:v>-19.923978315132629</c:v>
                </c:pt>
                <c:pt idx="586">
                  <c:v>-19.923978315132629</c:v>
                </c:pt>
                <c:pt idx="587">
                  <c:v>-19.923978315132629</c:v>
                </c:pt>
                <c:pt idx="588">
                  <c:v>-19.923978315132629</c:v>
                </c:pt>
                <c:pt idx="589">
                  <c:v>-19.923978315132629</c:v>
                </c:pt>
                <c:pt idx="590">
                  <c:v>-19.923978315132629</c:v>
                </c:pt>
                <c:pt idx="591">
                  <c:v>-19.923978315132629</c:v>
                </c:pt>
                <c:pt idx="592">
                  <c:v>-19.923978315132629</c:v>
                </c:pt>
                <c:pt idx="593">
                  <c:v>-19.923978315132629</c:v>
                </c:pt>
                <c:pt idx="594">
                  <c:v>-19.923978315132629</c:v>
                </c:pt>
                <c:pt idx="595">
                  <c:v>-19.923978315132629</c:v>
                </c:pt>
                <c:pt idx="596">
                  <c:v>-19.923978315132629</c:v>
                </c:pt>
                <c:pt idx="597">
                  <c:v>-19.923978315132629</c:v>
                </c:pt>
                <c:pt idx="598">
                  <c:v>-19.923978315132629</c:v>
                </c:pt>
                <c:pt idx="599">
                  <c:v>-19.923978315132629</c:v>
                </c:pt>
                <c:pt idx="600">
                  <c:v>-19.923978315132629</c:v>
                </c:pt>
                <c:pt idx="601">
                  <c:v>-19.923978315132629</c:v>
                </c:pt>
                <c:pt idx="602">
                  <c:v>-19.923978315132629</c:v>
                </c:pt>
                <c:pt idx="603">
                  <c:v>-19.923978315132629</c:v>
                </c:pt>
                <c:pt idx="604">
                  <c:v>-19.923978315132629</c:v>
                </c:pt>
                <c:pt idx="605">
                  <c:v>-19.923978315132629</c:v>
                </c:pt>
                <c:pt idx="606">
                  <c:v>-19.923978315132629</c:v>
                </c:pt>
                <c:pt idx="607">
                  <c:v>-19.923978315132629</c:v>
                </c:pt>
                <c:pt idx="608">
                  <c:v>-19.923978315132629</c:v>
                </c:pt>
                <c:pt idx="609">
                  <c:v>-19.923978315132629</c:v>
                </c:pt>
                <c:pt idx="610">
                  <c:v>-19.923978315132629</c:v>
                </c:pt>
                <c:pt idx="611">
                  <c:v>-19.923978315132629</c:v>
                </c:pt>
                <c:pt idx="612">
                  <c:v>-19.923978315132629</c:v>
                </c:pt>
                <c:pt idx="613">
                  <c:v>-19.923978315132629</c:v>
                </c:pt>
                <c:pt idx="614">
                  <c:v>-19.923978315132629</c:v>
                </c:pt>
                <c:pt idx="615">
                  <c:v>-19.923978315132629</c:v>
                </c:pt>
                <c:pt idx="616">
                  <c:v>-19.923978315132629</c:v>
                </c:pt>
                <c:pt idx="617">
                  <c:v>-19.923978315132629</c:v>
                </c:pt>
                <c:pt idx="618">
                  <c:v>-19.923978315132629</c:v>
                </c:pt>
                <c:pt idx="619">
                  <c:v>-19.923978315132629</c:v>
                </c:pt>
                <c:pt idx="620">
                  <c:v>-19.923978315132629</c:v>
                </c:pt>
                <c:pt idx="621">
                  <c:v>-19.923978315132629</c:v>
                </c:pt>
                <c:pt idx="622">
                  <c:v>-19.923978315132629</c:v>
                </c:pt>
                <c:pt idx="623">
                  <c:v>-19.923978315132629</c:v>
                </c:pt>
                <c:pt idx="624">
                  <c:v>-19.923978315132629</c:v>
                </c:pt>
                <c:pt idx="625">
                  <c:v>-19.923978315132629</c:v>
                </c:pt>
                <c:pt idx="626">
                  <c:v>-19.923978315132629</c:v>
                </c:pt>
                <c:pt idx="627">
                  <c:v>-19.923978315132629</c:v>
                </c:pt>
                <c:pt idx="628">
                  <c:v>-19.923978315132629</c:v>
                </c:pt>
                <c:pt idx="629">
                  <c:v>-19.923978315132629</c:v>
                </c:pt>
                <c:pt idx="630">
                  <c:v>-19.923978315132629</c:v>
                </c:pt>
                <c:pt idx="631">
                  <c:v>-19.923978315132629</c:v>
                </c:pt>
                <c:pt idx="632">
                  <c:v>-19.923978315132629</c:v>
                </c:pt>
                <c:pt idx="633">
                  <c:v>-19.923978315132629</c:v>
                </c:pt>
                <c:pt idx="634">
                  <c:v>-19.923978315132629</c:v>
                </c:pt>
                <c:pt idx="635">
                  <c:v>-19.923978315132629</c:v>
                </c:pt>
                <c:pt idx="636">
                  <c:v>-19.923978315132629</c:v>
                </c:pt>
                <c:pt idx="637">
                  <c:v>-19.923978315132629</c:v>
                </c:pt>
                <c:pt idx="638">
                  <c:v>-19.923978315132629</c:v>
                </c:pt>
                <c:pt idx="639">
                  <c:v>-19.923978315132629</c:v>
                </c:pt>
                <c:pt idx="640">
                  <c:v>-19.923978315132629</c:v>
                </c:pt>
                <c:pt idx="641">
                  <c:v>-19.923978315132629</c:v>
                </c:pt>
                <c:pt idx="642">
                  <c:v>-19.923978315132629</c:v>
                </c:pt>
                <c:pt idx="643">
                  <c:v>-19.923978315132629</c:v>
                </c:pt>
                <c:pt idx="644">
                  <c:v>-19.923978315132629</c:v>
                </c:pt>
                <c:pt idx="645">
                  <c:v>-19.923978315132629</c:v>
                </c:pt>
                <c:pt idx="646">
                  <c:v>-19.923978315132629</c:v>
                </c:pt>
                <c:pt idx="647">
                  <c:v>-19.923978315132629</c:v>
                </c:pt>
                <c:pt idx="648">
                  <c:v>-19.923978315132629</c:v>
                </c:pt>
                <c:pt idx="649">
                  <c:v>-19.923978315132629</c:v>
                </c:pt>
                <c:pt idx="650">
                  <c:v>-19.923978315132629</c:v>
                </c:pt>
                <c:pt idx="651">
                  <c:v>-19.923978315132629</c:v>
                </c:pt>
                <c:pt idx="652">
                  <c:v>-19.923978315132629</c:v>
                </c:pt>
                <c:pt idx="653">
                  <c:v>-19.923978315132629</c:v>
                </c:pt>
                <c:pt idx="654">
                  <c:v>-19.923978315132629</c:v>
                </c:pt>
                <c:pt idx="655">
                  <c:v>-19.923978315132629</c:v>
                </c:pt>
                <c:pt idx="656">
                  <c:v>-19.923978315132629</c:v>
                </c:pt>
                <c:pt idx="657">
                  <c:v>-19.923978315132629</c:v>
                </c:pt>
                <c:pt idx="658">
                  <c:v>-19.923978315132629</c:v>
                </c:pt>
                <c:pt idx="659">
                  <c:v>-19.923978315132629</c:v>
                </c:pt>
                <c:pt idx="660">
                  <c:v>-19.923978315132629</c:v>
                </c:pt>
                <c:pt idx="661">
                  <c:v>-19.923978315132629</c:v>
                </c:pt>
                <c:pt idx="662">
                  <c:v>-19.923978315132629</c:v>
                </c:pt>
                <c:pt idx="663">
                  <c:v>-19.923978315132629</c:v>
                </c:pt>
                <c:pt idx="664">
                  <c:v>-19.923978315132629</c:v>
                </c:pt>
                <c:pt idx="665">
                  <c:v>-19.923978315132629</c:v>
                </c:pt>
                <c:pt idx="666">
                  <c:v>-19.923978315132629</c:v>
                </c:pt>
                <c:pt idx="667">
                  <c:v>-19.923978315132629</c:v>
                </c:pt>
                <c:pt idx="668">
                  <c:v>-19.923978315132629</c:v>
                </c:pt>
                <c:pt idx="669">
                  <c:v>-19.923978315132629</c:v>
                </c:pt>
                <c:pt idx="670">
                  <c:v>-19.923978315132629</c:v>
                </c:pt>
                <c:pt idx="671">
                  <c:v>-19.923978315132629</c:v>
                </c:pt>
                <c:pt idx="672">
                  <c:v>-19.923978315132629</c:v>
                </c:pt>
                <c:pt idx="673">
                  <c:v>-19.923978315132629</c:v>
                </c:pt>
                <c:pt idx="674">
                  <c:v>-19.923978315132629</c:v>
                </c:pt>
                <c:pt idx="675">
                  <c:v>-19.923978315132629</c:v>
                </c:pt>
                <c:pt idx="676">
                  <c:v>-19.923978315132629</c:v>
                </c:pt>
                <c:pt idx="677">
                  <c:v>-19.923978315132629</c:v>
                </c:pt>
                <c:pt idx="678">
                  <c:v>-19.923978315132629</c:v>
                </c:pt>
                <c:pt idx="679">
                  <c:v>-19.923978315132629</c:v>
                </c:pt>
                <c:pt idx="680">
                  <c:v>-19.923978315132629</c:v>
                </c:pt>
                <c:pt idx="681">
                  <c:v>-19.923978315132629</c:v>
                </c:pt>
                <c:pt idx="682">
                  <c:v>-19.923978315132629</c:v>
                </c:pt>
                <c:pt idx="683">
                  <c:v>-19.923978315132629</c:v>
                </c:pt>
                <c:pt idx="684">
                  <c:v>-19.923978315132629</c:v>
                </c:pt>
                <c:pt idx="685">
                  <c:v>-19.923978315132629</c:v>
                </c:pt>
                <c:pt idx="686">
                  <c:v>-19.923978315132629</c:v>
                </c:pt>
                <c:pt idx="687">
                  <c:v>-19.923978315132629</c:v>
                </c:pt>
                <c:pt idx="688">
                  <c:v>-19.923978315132629</c:v>
                </c:pt>
                <c:pt idx="689">
                  <c:v>-19.923978315132629</c:v>
                </c:pt>
                <c:pt idx="690">
                  <c:v>-19.923978315132629</c:v>
                </c:pt>
                <c:pt idx="691">
                  <c:v>-19.923978315132629</c:v>
                </c:pt>
                <c:pt idx="692">
                  <c:v>-19.923978315132629</c:v>
                </c:pt>
                <c:pt idx="693">
                  <c:v>-19.923978315132629</c:v>
                </c:pt>
                <c:pt idx="694">
                  <c:v>-19.923978315132629</c:v>
                </c:pt>
                <c:pt idx="695">
                  <c:v>-19.923978315132629</c:v>
                </c:pt>
                <c:pt idx="696">
                  <c:v>-19.923978315132629</c:v>
                </c:pt>
                <c:pt idx="697">
                  <c:v>-19.923978315132629</c:v>
                </c:pt>
                <c:pt idx="698">
                  <c:v>-19.923978315132629</c:v>
                </c:pt>
                <c:pt idx="699">
                  <c:v>-19.923978315132629</c:v>
                </c:pt>
                <c:pt idx="700">
                  <c:v>-19.923978315132629</c:v>
                </c:pt>
                <c:pt idx="701">
                  <c:v>-19.923978315132629</c:v>
                </c:pt>
                <c:pt idx="702">
                  <c:v>-19.923978315132629</c:v>
                </c:pt>
                <c:pt idx="703">
                  <c:v>-19.923978315132629</c:v>
                </c:pt>
                <c:pt idx="704">
                  <c:v>-19.923978315132629</c:v>
                </c:pt>
                <c:pt idx="705">
                  <c:v>-19.923978315132629</c:v>
                </c:pt>
                <c:pt idx="706">
                  <c:v>-19.923978315132629</c:v>
                </c:pt>
                <c:pt idx="707">
                  <c:v>-19.923978315132629</c:v>
                </c:pt>
                <c:pt idx="708">
                  <c:v>-19.923978315132629</c:v>
                </c:pt>
                <c:pt idx="709">
                  <c:v>-19.923978315132629</c:v>
                </c:pt>
                <c:pt idx="710">
                  <c:v>-19.923978315132629</c:v>
                </c:pt>
                <c:pt idx="711">
                  <c:v>-19.923978315132629</c:v>
                </c:pt>
                <c:pt idx="712">
                  <c:v>-19.923978315132629</c:v>
                </c:pt>
                <c:pt idx="713">
                  <c:v>-19.923978315132629</c:v>
                </c:pt>
                <c:pt idx="714">
                  <c:v>-19.923978315132629</c:v>
                </c:pt>
                <c:pt idx="715">
                  <c:v>-19.923978315132629</c:v>
                </c:pt>
                <c:pt idx="716">
                  <c:v>-19.923978315132629</c:v>
                </c:pt>
                <c:pt idx="717">
                  <c:v>-19.923978315132629</c:v>
                </c:pt>
                <c:pt idx="718">
                  <c:v>-19.923978315132629</c:v>
                </c:pt>
                <c:pt idx="719">
                  <c:v>-19.923978315132629</c:v>
                </c:pt>
                <c:pt idx="720">
                  <c:v>-19.923978315132629</c:v>
                </c:pt>
                <c:pt idx="721">
                  <c:v>-19.923978315132629</c:v>
                </c:pt>
                <c:pt idx="722">
                  <c:v>-19.923978315132629</c:v>
                </c:pt>
                <c:pt idx="723">
                  <c:v>-19.923978315132629</c:v>
                </c:pt>
                <c:pt idx="724">
                  <c:v>-19.923978315132629</c:v>
                </c:pt>
                <c:pt idx="725">
                  <c:v>-19.923978315132629</c:v>
                </c:pt>
                <c:pt idx="726">
                  <c:v>-19.923978315132629</c:v>
                </c:pt>
                <c:pt idx="727">
                  <c:v>-19.923978315132629</c:v>
                </c:pt>
                <c:pt idx="728">
                  <c:v>-19.923978315132629</c:v>
                </c:pt>
                <c:pt idx="729">
                  <c:v>-19.923978315132629</c:v>
                </c:pt>
                <c:pt idx="730">
                  <c:v>-19.923978315132629</c:v>
                </c:pt>
                <c:pt idx="731">
                  <c:v>-19.923978315132629</c:v>
                </c:pt>
                <c:pt idx="732">
                  <c:v>-19.923978315132629</c:v>
                </c:pt>
                <c:pt idx="733">
                  <c:v>-19.923978315132629</c:v>
                </c:pt>
                <c:pt idx="734">
                  <c:v>-19.923978315132629</c:v>
                </c:pt>
                <c:pt idx="735">
                  <c:v>-19.923978315132629</c:v>
                </c:pt>
                <c:pt idx="736">
                  <c:v>-19.923978315132629</c:v>
                </c:pt>
                <c:pt idx="737">
                  <c:v>-19.923978315132629</c:v>
                </c:pt>
                <c:pt idx="738">
                  <c:v>-19.923978315132629</c:v>
                </c:pt>
                <c:pt idx="739">
                  <c:v>-19.923978315132629</c:v>
                </c:pt>
                <c:pt idx="740">
                  <c:v>-19.923978315132629</c:v>
                </c:pt>
                <c:pt idx="741">
                  <c:v>-19.923978315132629</c:v>
                </c:pt>
                <c:pt idx="742">
                  <c:v>-19.923978315132629</c:v>
                </c:pt>
                <c:pt idx="743">
                  <c:v>-19.923978315132629</c:v>
                </c:pt>
                <c:pt idx="744">
                  <c:v>-19.923978315132629</c:v>
                </c:pt>
                <c:pt idx="745">
                  <c:v>-19.923978315132629</c:v>
                </c:pt>
                <c:pt idx="746">
                  <c:v>-19.923978315132629</c:v>
                </c:pt>
                <c:pt idx="747">
                  <c:v>-19.923978315132629</c:v>
                </c:pt>
                <c:pt idx="748">
                  <c:v>-19.923978315132629</c:v>
                </c:pt>
                <c:pt idx="749">
                  <c:v>-19.923978315132629</c:v>
                </c:pt>
                <c:pt idx="750">
                  <c:v>-19.923978315132629</c:v>
                </c:pt>
                <c:pt idx="751">
                  <c:v>-19.923978315132629</c:v>
                </c:pt>
                <c:pt idx="752">
                  <c:v>-19.923978315132629</c:v>
                </c:pt>
                <c:pt idx="753">
                  <c:v>-19.923978315132629</c:v>
                </c:pt>
                <c:pt idx="754">
                  <c:v>-19.923978315132629</c:v>
                </c:pt>
                <c:pt idx="755">
                  <c:v>-19.923978315132629</c:v>
                </c:pt>
                <c:pt idx="756">
                  <c:v>-19.923978315132629</c:v>
                </c:pt>
                <c:pt idx="757">
                  <c:v>-19.923978315132629</c:v>
                </c:pt>
                <c:pt idx="758">
                  <c:v>-19.923978315132629</c:v>
                </c:pt>
                <c:pt idx="759">
                  <c:v>-19.923978315132629</c:v>
                </c:pt>
                <c:pt idx="760">
                  <c:v>-19.923978315132629</c:v>
                </c:pt>
                <c:pt idx="761">
                  <c:v>-19.923978315132629</c:v>
                </c:pt>
                <c:pt idx="762">
                  <c:v>-19.923978315132629</c:v>
                </c:pt>
                <c:pt idx="763">
                  <c:v>-19.923978315132629</c:v>
                </c:pt>
                <c:pt idx="764">
                  <c:v>-19.923978315132629</c:v>
                </c:pt>
                <c:pt idx="765">
                  <c:v>-19.923978315132629</c:v>
                </c:pt>
                <c:pt idx="766">
                  <c:v>-19.923978315132629</c:v>
                </c:pt>
                <c:pt idx="767">
                  <c:v>-19.923978315132629</c:v>
                </c:pt>
                <c:pt idx="768">
                  <c:v>-19.923978315132629</c:v>
                </c:pt>
                <c:pt idx="769">
                  <c:v>-19.923978315132629</c:v>
                </c:pt>
                <c:pt idx="770">
                  <c:v>-19.923978315132629</c:v>
                </c:pt>
                <c:pt idx="771">
                  <c:v>-19.923978315132629</c:v>
                </c:pt>
                <c:pt idx="772">
                  <c:v>-19.923978315132629</c:v>
                </c:pt>
                <c:pt idx="773">
                  <c:v>-19.923978315132629</c:v>
                </c:pt>
                <c:pt idx="774">
                  <c:v>-19.923978315132629</c:v>
                </c:pt>
                <c:pt idx="775">
                  <c:v>-19.923978315132629</c:v>
                </c:pt>
                <c:pt idx="776">
                  <c:v>-19.923978315132629</c:v>
                </c:pt>
                <c:pt idx="777">
                  <c:v>-19.923978315132629</c:v>
                </c:pt>
                <c:pt idx="778">
                  <c:v>-19.923978315132629</c:v>
                </c:pt>
                <c:pt idx="779">
                  <c:v>-19.923978315132629</c:v>
                </c:pt>
                <c:pt idx="780">
                  <c:v>-19.923978315132629</c:v>
                </c:pt>
                <c:pt idx="781">
                  <c:v>-19.923978315132629</c:v>
                </c:pt>
                <c:pt idx="782">
                  <c:v>-19.923978315132629</c:v>
                </c:pt>
                <c:pt idx="783">
                  <c:v>-19.923978315132629</c:v>
                </c:pt>
                <c:pt idx="784">
                  <c:v>-19.923978315132629</c:v>
                </c:pt>
                <c:pt idx="785">
                  <c:v>-19.923978315132629</c:v>
                </c:pt>
                <c:pt idx="786">
                  <c:v>-19.923978315132629</c:v>
                </c:pt>
                <c:pt idx="787">
                  <c:v>-19.923978315132629</c:v>
                </c:pt>
                <c:pt idx="788">
                  <c:v>-19.923978315132629</c:v>
                </c:pt>
                <c:pt idx="789">
                  <c:v>-19.923978315132629</c:v>
                </c:pt>
                <c:pt idx="790">
                  <c:v>-19.923978315132629</c:v>
                </c:pt>
                <c:pt idx="791">
                  <c:v>-19.923978315132629</c:v>
                </c:pt>
                <c:pt idx="792">
                  <c:v>-19.923978315132629</c:v>
                </c:pt>
                <c:pt idx="793">
                  <c:v>-19.923978315132629</c:v>
                </c:pt>
                <c:pt idx="794">
                  <c:v>-19.923978315132629</c:v>
                </c:pt>
                <c:pt idx="795">
                  <c:v>-19.923978315132629</c:v>
                </c:pt>
                <c:pt idx="796">
                  <c:v>-19.923978315132629</c:v>
                </c:pt>
                <c:pt idx="797">
                  <c:v>-19.923978315132629</c:v>
                </c:pt>
                <c:pt idx="798">
                  <c:v>-19.923978315132629</c:v>
                </c:pt>
                <c:pt idx="799">
                  <c:v>-19.923978315132629</c:v>
                </c:pt>
                <c:pt idx="800">
                  <c:v>-19.923978315132629</c:v>
                </c:pt>
                <c:pt idx="801">
                  <c:v>-19.923978315132629</c:v>
                </c:pt>
                <c:pt idx="802">
                  <c:v>-19.923978315132629</c:v>
                </c:pt>
                <c:pt idx="803">
                  <c:v>-19.923978315132629</c:v>
                </c:pt>
                <c:pt idx="804">
                  <c:v>-19.923978315132629</c:v>
                </c:pt>
                <c:pt idx="805">
                  <c:v>-19.923978315132629</c:v>
                </c:pt>
                <c:pt idx="806">
                  <c:v>-19.923978315132629</c:v>
                </c:pt>
                <c:pt idx="807">
                  <c:v>-19.923978315132629</c:v>
                </c:pt>
                <c:pt idx="808">
                  <c:v>-19.923978315132629</c:v>
                </c:pt>
                <c:pt idx="809">
                  <c:v>-19.923978315132629</c:v>
                </c:pt>
                <c:pt idx="810">
                  <c:v>-19.923978315132629</c:v>
                </c:pt>
                <c:pt idx="811">
                  <c:v>-19.923978315132629</c:v>
                </c:pt>
                <c:pt idx="812">
                  <c:v>-19.923978315132629</c:v>
                </c:pt>
                <c:pt idx="813">
                  <c:v>-19.923978315132629</c:v>
                </c:pt>
                <c:pt idx="814">
                  <c:v>-19.923978315132629</c:v>
                </c:pt>
                <c:pt idx="815">
                  <c:v>-19.923978315132629</c:v>
                </c:pt>
                <c:pt idx="816">
                  <c:v>-19.923978315132629</c:v>
                </c:pt>
                <c:pt idx="817">
                  <c:v>-19.923978315132629</c:v>
                </c:pt>
                <c:pt idx="818">
                  <c:v>-19.923978315132629</c:v>
                </c:pt>
                <c:pt idx="819">
                  <c:v>-19.923978315132629</c:v>
                </c:pt>
                <c:pt idx="820">
                  <c:v>-19.923978315132629</c:v>
                </c:pt>
                <c:pt idx="821">
                  <c:v>-19.923978315132629</c:v>
                </c:pt>
                <c:pt idx="822">
                  <c:v>-19.923978315132629</c:v>
                </c:pt>
                <c:pt idx="823">
                  <c:v>-19.923978315132629</c:v>
                </c:pt>
                <c:pt idx="824">
                  <c:v>-19.923978315132629</c:v>
                </c:pt>
                <c:pt idx="825">
                  <c:v>-19.923978315132629</c:v>
                </c:pt>
                <c:pt idx="826">
                  <c:v>-19.923978315132629</c:v>
                </c:pt>
                <c:pt idx="827">
                  <c:v>-19.923978315132629</c:v>
                </c:pt>
                <c:pt idx="828">
                  <c:v>-19.923978315132629</c:v>
                </c:pt>
                <c:pt idx="829">
                  <c:v>-19.923978315132629</c:v>
                </c:pt>
                <c:pt idx="830">
                  <c:v>-19.923978315132629</c:v>
                </c:pt>
                <c:pt idx="831">
                  <c:v>-19.923978315132629</c:v>
                </c:pt>
                <c:pt idx="832">
                  <c:v>-19.923978315132629</c:v>
                </c:pt>
                <c:pt idx="833">
                  <c:v>-19.923978315132629</c:v>
                </c:pt>
                <c:pt idx="834">
                  <c:v>-19.923978315132629</c:v>
                </c:pt>
                <c:pt idx="835">
                  <c:v>-19.923978315132629</c:v>
                </c:pt>
                <c:pt idx="836">
                  <c:v>-19.923978315132629</c:v>
                </c:pt>
                <c:pt idx="837">
                  <c:v>-19.923978315132629</c:v>
                </c:pt>
                <c:pt idx="838">
                  <c:v>-19.923978315132629</c:v>
                </c:pt>
                <c:pt idx="839">
                  <c:v>-19.923978315132629</c:v>
                </c:pt>
                <c:pt idx="840">
                  <c:v>-19.923978315132629</c:v>
                </c:pt>
                <c:pt idx="841">
                  <c:v>-19.923978315132629</c:v>
                </c:pt>
                <c:pt idx="842">
                  <c:v>-19.923978315132629</c:v>
                </c:pt>
                <c:pt idx="843">
                  <c:v>-19.923978315132629</c:v>
                </c:pt>
                <c:pt idx="844">
                  <c:v>-19.923978315132629</c:v>
                </c:pt>
                <c:pt idx="845">
                  <c:v>-19.923978315132629</c:v>
                </c:pt>
                <c:pt idx="846">
                  <c:v>-19.923978315132629</c:v>
                </c:pt>
                <c:pt idx="847">
                  <c:v>-19.923978315132629</c:v>
                </c:pt>
                <c:pt idx="848">
                  <c:v>-19.923978315132629</c:v>
                </c:pt>
                <c:pt idx="849">
                  <c:v>-19.923978315132629</c:v>
                </c:pt>
                <c:pt idx="850">
                  <c:v>-19.923978315132629</c:v>
                </c:pt>
                <c:pt idx="851">
                  <c:v>-19.923978315132629</c:v>
                </c:pt>
                <c:pt idx="852">
                  <c:v>-19.923978315132629</c:v>
                </c:pt>
                <c:pt idx="853">
                  <c:v>-19.923978315132629</c:v>
                </c:pt>
                <c:pt idx="854">
                  <c:v>-19.923978315132629</c:v>
                </c:pt>
                <c:pt idx="855">
                  <c:v>-19.923978315132629</c:v>
                </c:pt>
                <c:pt idx="856">
                  <c:v>-19.923978315132629</c:v>
                </c:pt>
                <c:pt idx="857">
                  <c:v>-19.923978315132629</c:v>
                </c:pt>
                <c:pt idx="858">
                  <c:v>-19.923978315132629</c:v>
                </c:pt>
                <c:pt idx="859">
                  <c:v>-19.923978315132629</c:v>
                </c:pt>
                <c:pt idx="860">
                  <c:v>-19.923978315132629</c:v>
                </c:pt>
                <c:pt idx="861">
                  <c:v>-19.923978315132629</c:v>
                </c:pt>
                <c:pt idx="862">
                  <c:v>-19.923978315132629</c:v>
                </c:pt>
                <c:pt idx="863">
                  <c:v>-19.923978315132629</c:v>
                </c:pt>
                <c:pt idx="864">
                  <c:v>-19.923978315132629</c:v>
                </c:pt>
                <c:pt idx="865">
                  <c:v>-19.923978315132629</c:v>
                </c:pt>
                <c:pt idx="866">
                  <c:v>-19.923978315132629</c:v>
                </c:pt>
                <c:pt idx="867">
                  <c:v>-19.923978315132629</c:v>
                </c:pt>
                <c:pt idx="868">
                  <c:v>-19.923978315132629</c:v>
                </c:pt>
                <c:pt idx="869">
                  <c:v>-19.923978315132629</c:v>
                </c:pt>
                <c:pt idx="870">
                  <c:v>-19.923978315132629</c:v>
                </c:pt>
                <c:pt idx="871">
                  <c:v>-19.923978315132629</c:v>
                </c:pt>
                <c:pt idx="872">
                  <c:v>-19.923978315132629</c:v>
                </c:pt>
                <c:pt idx="873">
                  <c:v>-19.923978315132629</c:v>
                </c:pt>
                <c:pt idx="874">
                  <c:v>-19.923978315132629</c:v>
                </c:pt>
                <c:pt idx="875">
                  <c:v>-19.923978315132629</c:v>
                </c:pt>
                <c:pt idx="876">
                  <c:v>-19.923978315132629</c:v>
                </c:pt>
                <c:pt idx="877">
                  <c:v>-19.923978315132629</c:v>
                </c:pt>
                <c:pt idx="878">
                  <c:v>-19.923978315132629</c:v>
                </c:pt>
                <c:pt idx="879">
                  <c:v>-19.923978315132629</c:v>
                </c:pt>
                <c:pt idx="880">
                  <c:v>-19.923978315132629</c:v>
                </c:pt>
                <c:pt idx="881">
                  <c:v>-19.923978315132629</c:v>
                </c:pt>
                <c:pt idx="882">
                  <c:v>-19.923978315132629</c:v>
                </c:pt>
                <c:pt idx="883">
                  <c:v>-19.923978315132629</c:v>
                </c:pt>
                <c:pt idx="884">
                  <c:v>-19.923978315132629</c:v>
                </c:pt>
                <c:pt idx="885">
                  <c:v>-19.923978315132629</c:v>
                </c:pt>
                <c:pt idx="886">
                  <c:v>-19.923978315132629</c:v>
                </c:pt>
                <c:pt idx="887">
                  <c:v>-19.923978315132629</c:v>
                </c:pt>
                <c:pt idx="888">
                  <c:v>-19.923978315132629</c:v>
                </c:pt>
                <c:pt idx="889">
                  <c:v>-19.923978315132629</c:v>
                </c:pt>
                <c:pt idx="890">
                  <c:v>-19.923978315132629</c:v>
                </c:pt>
                <c:pt idx="891">
                  <c:v>-19.923978315132629</c:v>
                </c:pt>
                <c:pt idx="892">
                  <c:v>-19.923978315132629</c:v>
                </c:pt>
                <c:pt idx="893">
                  <c:v>-19.923978315132629</c:v>
                </c:pt>
                <c:pt idx="894">
                  <c:v>-19.923978315132629</c:v>
                </c:pt>
                <c:pt idx="895">
                  <c:v>-19.923978315132629</c:v>
                </c:pt>
                <c:pt idx="896">
                  <c:v>-19.923978315132629</c:v>
                </c:pt>
                <c:pt idx="897">
                  <c:v>-19.923978315132629</c:v>
                </c:pt>
                <c:pt idx="898">
                  <c:v>-19.923978315132629</c:v>
                </c:pt>
                <c:pt idx="899">
                  <c:v>-19.923978315132629</c:v>
                </c:pt>
                <c:pt idx="900">
                  <c:v>-19.923978315132629</c:v>
                </c:pt>
                <c:pt idx="901">
                  <c:v>-19.923978315132629</c:v>
                </c:pt>
                <c:pt idx="902">
                  <c:v>-19.923978315132629</c:v>
                </c:pt>
                <c:pt idx="903">
                  <c:v>-19.923978315132629</c:v>
                </c:pt>
                <c:pt idx="904">
                  <c:v>-19.923978315132629</c:v>
                </c:pt>
                <c:pt idx="905">
                  <c:v>-19.923978315132629</c:v>
                </c:pt>
                <c:pt idx="906">
                  <c:v>-19.923978315132629</c:v>
                </c:pt>
                <c:pt idx="907">
                  <c:v>-19.923978315132629</c:v>
                </c:pt>
                <c:pt idx="908">
                  <c:v>-19.923978315132629</c:v>
                </c:pt>
                <c:pt idx="909">
                  <c:v>-19.923978315132629</c:v>
                </c:pt>
                <c:pt idx="910">
                  <c:v>-19.923978315132629</c:v>
                </c:pt>
                <c:pt idx="911">
                  <c:v>-19.923978315132629</c:v>
                </c:pt>
                <c:pt idx="912">
                  <c:v>-19.923978315132629</c:v>
                </c:pt>
                <c:pt idx="913">
                  <c:v>-19.923978315132629</c:v>
                </c:pt>
                <c:pt idx="914">
                  <c:v>-19.923978315132629</c:v>
                </c:pt>
                <c:pt idx="915">
                  <c:v>-19.923978315132629</c:v>
                </c:pt>
                <c:pt idx="916">
                  <c:v>-19.923978315132629</c:v>
                </c:pt>
                <c:pt idx="917">
                  <c:v>-19.923978315132629</c:v>
                </c:pt>
                <c:pt idx="918">
                  <c:v>-19.923978315132629</c:v>
                </c:pt>
                <c:pt idx="919">
                  <c:v>-19.923978315132629</c:v>
                </c:pt>
                <c:pt idx="920">
                  <c:v>-19.923978315132629</c:v>
                </c:pt>
                <c:pt idx="921">
                  <c:v>-19.923978315132629</c:v>
                </c:pt>
                <c:pt idx="922">
                  <c:v>-19.923978315132629</c:v>
                </c:pt>
                <c:pt idx="923">
                  <c:v>-19.923978315132629</c:v>
                </c:pt>
                <c:pt idx="924">
                  <c:v>-19.923978315132629</c:v>
                </c:pt>
                <c:pt idx="925">
                  <c:v>-19.923978315132629</c:v>
                </c:pt>
                <c:pt idx="926">
                  <c:v>-19.923978315132629</c:v>
                </c:pt>
                <c:pt idx="927">
                  <c:v>-19.923978315132629</c:v>
                </c:pt>
                <c:pt idx="928">
                  <c:v>-19.923978315132629</c:v>
                </c:pt>
                <c:pt idx="929">
                  <c:v>-19.923978315132629</c:v>
                </c:pt>
                <c:pt idx="930">
                  <c:v>-19.923978315132629</c:v>
                </c:pt>
                <c:pt idx="931">
                  <c:v>-19.923978315132629</c:v>
                </c:pt>
                <c:pt idx="932">
                  <c:v>-19.923978315132629</c:v>
                </c:pt>
                <c:pt idx="933">
                  <c:v>-19.923978315132629</c:v>
                </c:pt>
                <c:pt idx="934">
                  <c:v>-19.923978315132629</c:v>
                </c:pt>
                <c:pt idx="935">
                  <c:v>-19.923978315132629</c:v>
                </c:pt>
                <c:pt idx="936">
                  <c:v>-19.923978315132629</c:v>
                </c:pt>
                <c:pt idx="937">
                  <c:v>-19.923978315132629</c:v>
                </c:pt>
                <c:pt idx="938">
                  <c:v>-19.923978315132629</c:v>
                </c:pt>
                <c:pt idx="939">
                  <c:v>-19.923978315132629</c:v>
                </c:pt>
                <c:pt idx="940">
                  <c:v>-19.923978315132629</c:v>
                </c:pt>
                <c:pt idx="941">
                  <c:v>-19.923978315132629</c:v>
                </c:pt>
                <c:pt idx="942">
                  <c:v>-19.923978315132629</c:v>
                </c:pt>
                <c:pt idx="943">
                  <c:v>-19.923978315132629</c:v>
                </c:pt>
                <c:pt idx="944">
                  <c:v>-19.923978315132629</c:v>
                </c:pt>
                <c:pt idx="945">
                  <c:v>-19.923978315132629</c:v>
                </c:pt>
                <c:pt idx="946">
                  <c:v>-19.923978315132629</c:v>
                </c:pt>
                <c:pt idx="947">
                  <c:v>-19.923978315132629</c:v>
                </c:pt>
                <c:pt idx="948">
                  <c:v>-19.923978315132629</c:v>
                </c:pt>
                <c:pt idx="949">
                  <c:v>-19.923978315132629</c:v>
                </c:pt>
                <c:pt idx="950">
                  <c:v>-19.923978315132629</c:v>
                </c:pt>
                <c:pt idx="951">
                  <c:v>-19.923978315132629</c:v>
                </c:pt>
                <c:pt idx="952">
                  <c:v>-19.923978315132629</c:v>
                </c:pt>
                <c:pt idx="953">
                  <c:v>-19.923978315132629</c:v>
                </c:pt>
                <c:pt idx="954">
                  <c:v>-19.923978315132629</c:v>
                </c:pt>
                <c:pt idx="955">
                  <c:v>-19.923978315132629</c:v>
                </c:pt>
                <c:pt idx="956">
                  <c:v>-19.923978315132629</c:v>
                </c:pt>
                <c:pt idx="957">
                  <c:v>-19.923978315132629</c:v>
                </c:pt>
                <c:pt idx="958">
                  <c:v>-19.923978315132629</c:v>
                </c:pt>
                <c:pt idx="959">
                  <c:v>-19.923978315132629</c:v>
                </c:pt>
                <c:pt idx="960">
                  <c:v>-19.923978315132629</c:v>
                </c:pt>
                <c:pt idx="961">
                  <c:v>-19.923978315132629</c:v>
                </c:pt>
                <c:pt idx="962">
                  <c:v>-19.923978315132629</c:v>
                </c:pt>
                <c:pt idx="963">
                  <c:v>-19.923978315132629</c:v>
                </c:pt>
                <c:pt idx="964">
                  <c:v>-19.923978315132629</c:v>
                </c:pt>
                <c:pt idx="965">
                  <c:v>-19.923978315132629</c:v>
                </c:pt>
                <c:pt idx="966">
                  <c:v>-19.923978315132629</c:v>
                </c:pt>
                <c:pt idx="967">
                  <c:v>-19.923978315132629</c:v>
                </c:pt>
                <c:pt idx="968">
                  <c:v>-19.923978315132629</c:v>
                </c:pt>
                <c:pt idx="969">
                  <c:v>-19.923978315132629</c:v>
                </c:pt>
                <c:pt idx="970">
                  <c:v>-19.923978315132629</c:v>
                </c:pt>
                <c:pt idx="971">
                  <c:v>-19.923978315132629</c:v>
                </c:pt>
                <c:pt idx="972">
                  <c:v>-19.923978315132629</c:v>
                </c:pt>
                <c:pt idx="973">
                  <c:v>-19.923978315132629</c:v>
                </c:pt>
                <c:pt idx="974">
                  <c:v>-19.923978315132629</c:v>
                </c:pt>
                <c:pt idx="975">
                  <c:v>-19.923978315132629</c:v>
                </c:pt>
                <c:pt idx="976">
                  <c:v>-19.923978315132629</c:v>
                </c:pt>
                <c:pt idx="977">
                  <c:v>-19.923978315132629</c:v>
                </c:pt>
                <c:pt idx="978">
                  <c:v>-19.923978315132629</c:v>
                </c:pt>
                <c:pt idx="979">
                  <c:v>-19.923978315132629</c:v>
                </c:pt>
                <c:pt idx="980">
                  <c:v>-19.923978315132629</c:v>
                </c:pt>
                <c:pt idx="981">
                  <c:v>-19.923978315132629</c:v>
                </c:pt>
                <c:pt idx="982">
                  <c:v>-19.923978315132629</c:v>
                </c:pt>
                <c:pt idx="983">
                  <c:v>-19.923978315132629</c:v>
                </c:pt>
                <c:pt idx="984">
                  <c:v>-19.923978315132629</c:v>
                </c:pt>
                <c:pt idx="985">
                  <c:v>-19.923978315132629</c:v>
                </c:pt>
                <c:pt idx="986">
                  <c:v>-19.923978315132629</c:v>
                </c:pt>
                <c:pt idx="987">
                  <c:v>-19.923978315132629</c:v>
                </c:pt>
                <c:pt idx="988">
                  <c:v>-19.923978315132629</c:v>
                </c:pt>
                <c:pt idx="989">
                  <c:v>-19.923978315132629</c:v>
                </c:pt>
                <c:pt idx="990">
                  <c:v>-19.923978315132629</c:v>
                </c:pt>
                <c:pt idx="991">
                  <c:v>-19.923978315132629</c:v>
                </c:pt>
                <c:pt idx="992">
                  <c:v>-19.923978315132629</c:v>
                </c:pt>
                <c:pt idx="993">
                  <c:v>-19.923978315132629</c:v>
                </c:pt>
                <c:pt idx="994">
                  <c:v>-19.923978315132629</c:v>
                </c:pt>
                <c:pt idx="995">
                  <c:v>-19.923978315132629</c:v>
                </c:pt>
                <c:pt idx="996">
                  <c:v>-19.923978315132629</c:v>
                </c:pt>
                <c:pt idx="997">
                  <c:v>-19.923978315132629</c:v>
                </c:pt>
                <c:pt idx="998">
                  <c:v>-19.923978315132629</c:v>
                </c:pt>
                <c:pt idx="999">
                  <c:v>-19.923978315132629</c:v>
                </c:pt>
                <c:pt idx="1000">
                  <c:v>-19.923978315132629</c:v>
                </c:pt>
                <c:pt idx="1001">
                  <c:v>-19.923978315132629</c:v>
                </c:pt>
                <c:pt idx="1002">
                  <c:v>-19.923978315132629</c:v>
                </c:pt>
                <c:pt idx="1003">
                  <c:v>-19.923978315132629</c:v>
                </c:pt>
                <c:pt idx="1004">
                  <c:v>-19.923978315132629</c:v>
                </c:pt>
                <c:pt idx="1005">
                  <c:v>-19.923978315132629</c:v>
                </c:pt>
                <c:pt idx="1006">
                  <c:v>-19.923978315132629</c:v>
                </c:pt>
                <c:pt idx="1007">
                  <c:v>-19.923978315132629</c:v>
                </c:pt>
                <c:pt idx="1008">
                  <c:v>-19.923978315132629</c:v>
                </c:pt>
                <c:pt idx="1009">
                  <c:v>-19.923978315132629</c:v>
                </c:pt>
                <c:pt idx="1010">
                  <c:v>-19.923978315132629</c:v>
                </c:pt>
                <c:pt idx="1011">
                  <c:v>-19.923978315132629</c:v>
                </c:pt>
                <c:pt idx="1012">
                  <c:v>-19.923978315132629</c:v>
                </c:pt>
                <c:pt idx="1013">
                  <c:v>-19.923978315132629</c:v>
                </c:pt>
                <c:pt idx="1014">
                  <c:v>-19.923978315132629</c:v>
                </c:pt>
                <c:pt idx="1015">
                  <c:v>-19.923978315132629</c:v>
                </c:pt>
                <c:pt idx="1016">
                  <c:v>-19.923978315132629</c:v>
                </c:pt>
                <c:pt idx="1017">
                  <c:v>-19.923978315132629</c:v>
                </c:pt>
                <c:pt idx="1018">
                  <c:v>-19.923978315132629</c:v>
                </c:pt>
                <c:pt idx="1019">
                  <c:v>-19.923978315132629</c:v>
                </c:pt>
                <c:pt idx="1020">
                  <c:v>-19.923978315132629</c:v>
                </c:pt>
                <c:pt idx="1021">
                  <c:v>-19.923978315132629</c:v>
                </c:pt>
                <c:pt idx="1022">
                  <c:v>-19.923978315132629</c:v>
                </c:pt>
                <c:pt idx="1023">
                  <c:v>-19.923978315132629</c:v>
                </c:pt>
                <c:pt idx="1024">
                  <c:v>-19.923978315132629</c:v>
                </c:pt>
                <c:pt idx="1025">
                  <c:v>-19.923978315132629</c:v>
                </c:pt>
                <c:pt idx="1026">
                  <c:v>-19.923978315132629</c:v>
                </c:pt>
                <c:pt idx="1027">
                  <c:v>-19.923978315132629</c:v>
                </c:pt>
                <c:pt idx="1028">
                  <c:v>-19.923978315132629</c:v>
                </c:pt>
                <c:pt idx="1029">
                  <c:v>-19.923978315132629</c:v>
                </c:pt>
                <c:pt idx="1030">
                  <c:v>-19.923978315132629</c:v>
                </c:pt>
                <c:pt idx="1031">
                  <c:v>-19.923978315132629</c:v>
                </c:pt>
                <c:pt idx="1032">
                  <c:v>-19.923978315132629</c:v>
                </c:pt>
                <c:pt idx="1033">
                  <c:v>-19.923978315132629</c:v>
                </c:pt>
                <c:pt idx="1034">
                  <c:v>-19.923978315132629</c:v>
                </c:pt>
                <c:pt idx="1035">
                  <c:v>-19.923978315132629</c:v>
                </c:pt>
                <c:pt idx="1036">
                  <c:v>-19.923978315132629</c:v>
                </c:pt>
                <c:pt idx="1037">
                  <c:v>-19.923978315132629</c:v>
                </c:pt>
                <c:pt idx="1038">
                  <c:v>-19.923978315132629</c:v>
                </c:pt>
                <c:pt idx="1039">
                  <c:v>-19.923978315132629</c:v>
                </c:pt>
                <c:pt idx="1040">
                  <c:v>-19.923978315132629</c:v>
                </c:pt>
                <c:pt idx="1041">
                  <c:v>-19.923978315132629</c:v>
                </c:pt>
                <c:pt idx="1042">
                  <c:v>-19.923978315132629</c:v>
                </c:pt>
                <c:pt idx="1043">
                  <c:v>-19.923978315132629</c:v>
                </c:pt>
                <c:pt idx="1044">
                  <c:v>-19.923978315132629</c:v>
                </c:pt>
                <c:pt idx="1045">
                  <c:v>-19.923978315132629</c:v>
                </c:pt>
                <c:pt idx="1046">
                  <c:v>-19.923978315132629</c:v>
                </c:pt>
                <c:pt idx="1047">
                  <c:v>-19.923978315132629</c:v>
                </c:pt>
                <c:pt idx="1048">
                  <c:v>-19.923978315132629</c:v>
                </c:pt>
                <c:pt idx="1049">
                  <c:v>-19.923978315132629</c:v>
                </c:pt>
                <c:pt idx="1050">
                  <c:v>-19.923978315132629</c:v>
                </c:pt>
                <c:pt idx="1051">
                  <c:v>-19.923978315132629</c:v>
                </c:pt>
                <c:pt idx="1052">
                  <c:v>-19.923978315132629</c:v>
                </c:pt>
                <c:pt idx="1053">
                  <c:v>-19.923978315132629</c:v>
                </c:pt>
                <c:pt idx="1054">
                  <c:v>-19.923978315132629</c:v>
                </c:pt>
                <c:pt idx="1055">
                  <c:v>-19.923978315132629</c:v>
                </c:pt>
                <c:pt idx="1056">
                  <c:v>-19.923978315132629</c:v>
                </c:pt>
                <c:pt idx="1057">
                  <c:v>-19.923978315132629</c:v>
                </c:pt>
                <c:pt idx="1058">
                  <c:v>-19.923978315132629</c:v>
                </c:pt>
                <c:pt idx="1059">
                  <c:v>-19.923978315132629</c:v>
                </c:pt>
                <c:pt idx="1060">
                  <c:v>-19.923978315132629</c:v>
                </c:pt>
                <c:pt idx="1061">
                  <c:v>-19.923978315132629</c:v>
                </c:pt>
                <c:pt idx="1062">
                  <c:v>-19.923978315132629</c:v>
                </c:pt>
                <c:pt idx="1063">
                  <c:v>-19.923978315132629</c:v>
                </c:pt>
                <c:pt idx="1064">
                  <c:v>-19.923978315132629</c:v>
                </c:pt>
                <c:pt idx="1065">
                  <c:v>-19.923978315132629</c:v>
                </c:pt>
                <c:pt idx="1066">
                  <c:v>-19.923978315132629</c:v>
                </c:pt>
                <c:pt idx="1067">
                  <c:v>-19.923978315132629</c:v>
                </c:pt>
                <c:pt idx="1068">
                  <c:v>-19.923978315132629</c:v>
                </c:pt>
                <c:pt idx="1069">
                  <c:v>-19.923978315132629</c:v>
                </c:pt>
                <c:pt idx="1070">
                  <c:v>-19.923978315132629</c:v>
                </c:pt>
                <c:pt idx="1071">
                  <c:v>-19.923978315132629</c:v>
                </c:pt>
                <c:pt idx="1072">
                  <c:v>-19.923978315132629</c:v>
                </c:pt>
                <c:pt idx="1073">
                  <c:v>-19.923978315132629</c:v>
                </c:pt>
                <c:pt idx="1074">
                  <c:v>-19.923978315132629</c:v>
                </c:pt>
                <c:pt idx="1075">
                  <c:v>-19.923978315132629</c:v>
                </c:pt>
                <c:pt idx="1076">
                  <c:v>-19.923978315132629</c:v>
                </c:pt>
                <c:pt idx="1077">
                  <c:v>-19.923978315132629</c:v>
                </c:pt>
                <c:pt idx="1078">
                  <c:v>-19.923978315132629</c:v>
                </c:pt>
                <c:pt idx="1079">
                  <c:v>-19.923978315132629</c:v>
                </c:pt>
                <c:pt idx="1080">
                  <c:v>-19.923978315132629</c:v>
                </c:pt>
                <c:pt idx="1081">
                  <c:v>-19.923978315132629</c:v>
                </c:pt>
                <c:pt idx="1082">
                  <c:v>-19.923978315132629</c:v>
                </c:pt>
                <c:pt idx="1083">
                  <c:v>-19.923978315132629</c:v>
                </c:pt>
                <c:pt idx="1084">
                  <c:v>-19.923978315132629</c:v>
                </c:pt>
                <c:pt idx="1085">
                  <c:v>-19.923978315132629</c:v>
                </c:pt>
                <c:pt idx="1086">
                  <c:v>-19.923978315132629</c:v>
                </c:pt>
                <c:pt idx="1087">
                  <c:v>-19.923978315132629</c:v>
                </c:pt>
                <c:pt idx="1088">
                  <c:v>-19.923978315132629</c:v>
                </c:pt>
                <c:pt idx="1089">
                  <c:v>-19.923978315132629</c:v>
                </c:pt>
                <c:pt idx="1090">
                  <c:v>-19.923978315132629</c:v>
                </c:pt>
                <c:pt idx="1091">
                  <c:v>-19.923978315132629</c:v>
                </c:pt>
                <c:pt idx="1092">
                  <c:v>-19.923978315132629</c:v>
                </c:pt>
                <c:pt idx="1093">
                  <c:v>-19.923978315132629</c:v>
                </c:pt>
                <c:pt idx="1094">
                  <c:v>-19.923978315132629</c:v>
                </c:pt>
                <c:pt idx="1095">
                  <c:v>-19.923978315132629</c:v>
                </c:pt>
                <c:pt idx="1096">
                  <c:v>-19.923978315132629</c:v>
                </c:pt>
                <c:pt idx="1097">
                  <c:v>-19.923978315132629</c:v>
                </c:pt>
                <c:pt idx="1098">
                  <c:v>-19.923978315132629</c:v>
                </c:pt>
                <c:pt idx="1099">
                  <c:v>-19.923978315132629</c:v>
                </c:pt>
                <c:pt idx="1100">
                  <c:v>-19.923978315132629</c:v>
                </c:pt>
                <c:pt idx="1101">
                  <c:v>-19.923978315132629</c:v>
                </c:pt>
                <c:pt idx="1102">
                  <c:v>-19.923978315132629</c:v>
                </c:pt>
                <c:pt idx="1103">
                  <c:v>-19.923978315132629</c:v>
                </c:pt>
                <c:pt idx="1104">
                  <c:v>-19.923978315132629</c:v>
                </c:pt>
                <c:pt idx="1105">
                  <c:v>-19.923978315132629</c:v>
                </c:pt>
                <c:pt idx="1106">
                  <c:v>-19.923978315132629</c:v>
                </c:pt>
                <c:pt idx="1107">
                  <c:v>-19.923978315132629</c:v>
                </c:pt>
                <c:pt idx="1108">
                  <c:v>-19.923978315132629</c:v>
                </c:pt>
                <c:pt idx="1109">
                  <c:v>-19.923978315132629</c:v>
                </c:pt>
                <c:pt idx="1110">
                  <c:v>-19.923978315132629</c:v>
                </c:pt>
                <c:pt idx="1111">
                  <c:v>-19.923978315132629</c:v>
                </c:pt>
                <c:pt idx="1112">
                  <c:v>-19.923978315132629</c:v>
                </c:pt>
                <c:pt idx="1113">
                  <c:v>-19.923978315132629</c:v>
                </c:pt>
                <c:pt idx="1114">
                  <c:v>-19.923978315132629</c:v>
                </c:pt>
                <c:pt idx="1115">
                  <c:v>-19.923978315132629</c:v>
                </c:pt>
                <c:pt idx="1116">
                  <c:v>-19.923978315132629</c:v>
                </c:pt>
                <c:pt idx="1117">
                  <c:v>-19.923978315132629</c:v>
                </c:pt>
                <c:pt idx="1118">
                  <c:v>-19.923978315132629</c:v>
                </c:pt>
                <c:pt idx="1119">
                  <c:v>-19.923978315132629</c:v>
                </c:pt>
                <c:pt idx="1120">
                  <c:v>-19.923978315132629</c:v>
                </c:pt>
                <c:pt idx="1121">
                  <c:v>-19.923978315132629</c:v>
                </c:pt>
                <c:pt idx="1122">
                  <c:v>-19.923978315132629</c:v>
                </c:pt>
                <c:pt idx="1123">
                  <c:v>-19.923978315132629</c:v>
                </c:pt>
                <c:pt idx="1124">
                  <c:v>-19.923978315132629</c:v>
                </c:pt>
                <c:pt idx="1125">
                  <c:v>-19.923978315132629</c:v>
                </c:pt>
                <c:pt idx="1126">
                  <c:v>-19.923978315132629</c:v>
                </c:pt>
                <c:pt idx="1127">
                  <c:v>-19.923978315132629</c:v>
                </c:pt>
                <c:pt idx="1128">
                  <c:v>-19.923978315132629</c:v>
                </c:pt>
                <c:pt idx="1129">
                  <c:v>-19.923978315132629</c:v>
                </c:pt>
                <c:pt idx="1130">
                  <c:v>-19.923978315132629</c:v>
                </c:pt>
                <c:pt idx="1131">
                  <c:v>-19.923978315132629</c:v>
                </c:pt>
                <c:pt idx="1132">
                  <c:v>-19.923978315132629</c:v>
                </c:pt>
                <c:pt idx="1133">
                  <c:v>-19.923978315132629</c:v>
                </c:pt>
                <c:pt idx="1134">
                  <c:v>-19.923978315132629</c:v>
                </c:pt>
                <c:pt idx="1135">
                  <c:v>-19.923978315132629</c:v>
                </c:pt>
                <c:pt idx="1136">
                  <c:v>-19.923978315132629</c:v>
                </c:pt>
                <c:pt idx="1137">
                  <c:v>-19.923978315132629</c:v>
                </c:pt>
                <c:pt idx="1138">
                  <c:v>-19.923978315132629</c:v>
                </c:pt>
                <c:pt idx="1139">
                  <c:v>-19.923978315132629</c:v>
                </c:pt>
                <c:pt idx="1140">
                  <c:v>-19.923978315132629</c:v>
                </c:pt>
                <c:pt idx="1141">
                  <c:v>-19.923978315132629</c:v>
                </c:pt>
                <c:pt idx="1142">
                  <c:v>-19.923978315132629</c:v>
                </c:pt>
                <c:pt idx="1143">
                  <c:v>-19.923978315132629</c:v>
                </c:pt>
                <c:pt idx="1144">
                  <c:v>-19.923978315132629</c:v>
                </c:pt>
                <c:pt idx="1145">
                  <c:v>-19.923978315132629</c:v>
                </c:pt>
                <c:pt idx="1146">
                  <c:v>-19.923978315132629</c:v>
                </c:pt>
                <c:pt idx="1147">
                  <c:v>-19.923978315132629</c:v>
                </c:pt>
                <c:pt idx="1148">
                  <c:v>-19.923978315132629</c:v>
                </c:pt>
                <c:pt idx="1149">
                  <c:v>-19.923978315132629</c:v>
                </c:pt>
                <c:pt idx="1150">
                  <c:v>-19.923978315132629</c:v>
                </c:pt>
                <c:pt idx="1151">
                  <c:v>-19.923978315132629</c:v>
                </c:pt>
                <c:pt idx="1152">
                  <c:v>-19.923978315132629</c:v>
                </c:pt>
                <c:pt idx="1153">
                  <c:v>-19.923978315132629</c:v>
                </c:pt>
                <c:pt idx="1154">
                  <c:v>-19.923978315132629</c:v>
                </c:pt>
                <c:pt idx="1155">
                  <c:v>-19.923978315132629</c:v>
                </c:pt>
                <c:pt idx="1156">
                  <c:v>-19.923978315132629</c:v>
                </c:pt>
                <c:pt idx="1157">
                  <c:v>-19.923978315132629</c:v>
                </c:pt>
                <c:pt idx="1158">
                  <c:v>-19.923978315132629</c:v>
                </c:pt>
                <c:pt idx="1159">
                  <c:v>-19.923978315132629</c:v>
                </c:pt>
                <c:pt idx="1160">
                  <c:v>-19.923978315132629</c:v>
                </c:pt>
                <c:pt idx="1161">
                  <c:v>-19.923978315132629</c:v>
                </c:pt>
                <c:pt idx="1162">
                  <c:v>-19.923978315132629</c:v>
                </c:pt>
                <c:pt idx="1163">
                  <c:v>-19.923978315132629</c:v>
                </c:pt>
                <c:pt idx="1164">
                  <c:v>-19.923978315132629</c:v>
                </c:pt>
                <c:pt idx="1165">
                  <c:v>-19.923978315132629</c:v>
                </c:pt>
                <c:pt idx="1166">
                  <c:v>-19.923978315132629</c:v>
                </c:pt>
                <c:pt idx="1167">
                  <c:v>-19.923978315132629</c:v>
                </c:pt>
                <c:pt idx="1168">
                  <c:v>-19.923978315132629</c:v>
                </c:pt>
                <c:pt idx="1169">
                  <c:v>-19.923978315132629</c:v>
                </c:pt>
                <c:pt idx="1170">
                  <c:v>-19.923978315132629</c:v>
                </c:pt>
                <c:pt idx="1171">
                  <c:v>-19.923978315132629</c:v>
                </c:pt>
                <c:pt idx="1172">
                  <c:v>-19.923978315132629</c:v>
                </c:pt>
                <c:pt idx="1173">
                  <c:v>-19.923978315132629</c:v>
                </c:pt>
                <c:pt idx="1174">
                  <c:v>-19.923978315132629</c:v>
                </c:pt>
                <c:pt idx="1175">
                  <c:v>-19.923978315132629</c:v>
                </c:pt>
                <c:pt idx="1176">
                  <c:v>-19.923978315132629</c:v>
                </c:pt>
                <c:pt idx="1177">
                  <c:v>-19.923978315132629</c:v>
                </c:pt>
                <c:pt idx="1178">
                  <c:v>-19.923978315132629</c:v>
                </c:pt>
                <c:pt idx="1179">
                  <c:v>-19.923978315132629</c:v>
                </c:pt>
                <c:pt idx="1180">
                  <c:v>-19.923978315132629</c:v>
                </c:pt>
                <c:pt idx="1181">
                  <c:v>-19.923978315132629</c:v>
                </c:pt>
                <c:pt idx="1182">
                  <c:v>-19.923978315132629</c:v>
                </c:pt>
                <c:pt idx="1183">
                  <c:v>-19.923978315132629</c:v>
                </c:pt>
                <c:pt idx="1184">
                  <c:v>-19.923978315132629</c:v>
                </c:pt>
                <c:pt idx="1185">
                  <c:v>-19.923978315132629</c:v>
                </c:pt>
                <c:pt idx="1186">
                  <c:v>-19.923978315132629</c:v>
                </c:pt>
                <c:pt idx="1187">
                  <c:v>-19.923978315132629</c:v>
                </c:pt>
                <c:pt idx="1188">
                  <c:v>-19.923978315132629</c:v>
                </c:pt>
                <c:pt idx="1189">
                  <c:v>-19.923978315132629</c:v>
                </c:pt>
                <c:pt idx="1190">
                  <c:v>-19.923978315132629</c:v>
                </c:pt>
                <c:pt idx="1191">
                  <c:v>-19.923978315132629</c:v>
                </c:pt>
                <c:pt idx="1192">
                  <c:v>-19.923978315132629</c:v>
                </c:pt>
                <c:pt idx="1193">
                  <c:v>-19.923978315132629</c:v>
                </c:pt>
                <c:pt idx="1194">
                  <c:v>-19.923978315132629</c:v>
                </c:pt>
                <c:pt idx="1195">
                  <c:v>-19.923978315132629</c:v>
                </c:pt>
                <c:pt idx="1196">
                  <c:v>-19.923978315132629</c:v>
                </c:pt>
                <c:pt idx="1197">
                  <c:v>-19.923978315132629</c:v>
                </c:pt>
                <c:pt idx="1198">
                  <c:v>-19.923978315132629</c:v>
                </c:pt>
                <c:pt idx="1199">
                  <c:v>-19.923978315132629</c:v>
                </c:pt>
                <c:pt idx="1200">
                  <c:v>-19.923978315132629</c:v>
                </c:pt>
                <c:pt idx="1201">
                  <c:v>-19.923978315132629</c:v>
                </c:pt>
                <c:pt idx="1202">
                  <c:v>-19.923978315132629</c:v>
                </c:pt>
                <c:pt idx="1203">
                  <c:v>-19.923978315132629</c:v>
                </c:pt>
                <c:pt idx="1204">
                  <c:v>-19.923978315132629</c:v>
                </c:pt>
                <c:pt idx="1205">
                  <c:v>-19.923978315132629</c:v>
                </c:pt>
                <c:pt idx="1206">
                  <c:v>-19.923978315132629</c:v>
                </c:pt>
                <c:pt idx="1207">
                  <c:v>-19.923978315132629</c:v>
                </c:pt>
                <c:pt idx="1208">
                  <c:v>-19.923978315132629</c:v>
                </c:pt>
                <c:pt idx="1209">
                  <c:v>-19.923978315132629</c:v>
                </c:pt>
                <c:pt idx="1210">
                  <c:v>-19.923978315132629</c:v>
                </c:pt>
                <c:pt idx="1211">
                  <c:v>-19.923978315132629</c:v>
                </c:pt>
                <c:pt idx="1212">
                  <c:v>-19.923978315132629</c:v>
                </c:pt>
                <c:pt idx="1213">
                  <c:v>-19.923978315132629</c:v>
                </c:pt>
                <c:pt idx="1214">
                  <c:v>-19.923978315132629</c:v>
                </c:pt>
                <c:pt idx="1215">
                  <c:v>-19.923978315132629</c:v>
                </c:pt>
                <c:pt idx="1216">
                  <c:v>-19.923978315132629</c:v>
                </c:pt>
                <c:pt idx="1217">
                  <c:v>-19.923978315132629</c:v>
                </c:pt>
                <c:pt idx="1218">
                  <c:v>-19.923978315132629</c:v>
                </c:pt>
                <c:pt idx="1219">
                  <c:v>-19.923978315132629</c:v>
                </c:pt>
                <c:pt idx="1220">
                  <c:v>-19.923978315132629</c:v>
                </c:pt>
                <c:pt idx="1221">
                  <c:v>-19.923978315132629</c:v>
                </c:pt>
                <c:pt idx="1222">
                  <c:v>-19.923978315132629</c:v>
                </c:pt>
                <c:pt idx="1223">
                  <c:v>-19.923978315132629</c:v>
                </c:pt>
                <c:pt idx="1224">
                  <c:v>-19.923978315132629</c:v>
                </c:pt>
                <c:pt idx="1225">
                  <c:v>-19.923978315132629</c:v>
                </c:pt>
                <c:pt idx="1226">
                  <c:v>-19.923978315132629</c:v>
                </c:pt>
                <c:pt idx="1227">
                  <c:v>-19.923978315132629</c:v>
                </c:pt>
                <c:pt idx="1228">
                  <c:v>-19.923978315132629</c:v>
                </c:pt>
                <c:pt idx="1229">
                  <c:v>-19.923978315132629</c:v>
                </c:pt>
                <c:pt idx="1230">
                  <c:v>-19.923978315132629</c:v>
                </c:pt>
                <c:pt idx="1231">
                  <c:v>-19.923978315132629</c:v>
                </c:pt>
                <c:pt idx="1232">
                  <c:v>-19.923978315132629</c:v>
                </c:pt>
                <c:pt idx="1233">
                  <c:v>-19.923978315132629</c:v>
                </c:pt>
                <c:pt idx="1234">
                  <c:v>-19.923978315132629</c:v>
                </c:pt>
                <c:pt idx="1235">
                  <c:v>-19.923978315132629</c:v>
                </c:pt>
                <c:pt idx="1236">
                  <c:v>-19.923978315132629</c:v>
                </c:pt>
                <c:pt idx="1237">
                  <c:v>-19.923978315132629</c:v>
                </c:pt>
                <c:pt idx="1238">
                  <c:v>-19.923978315132629</c:v>
                </c:pt>
                <c:pt idx="1239">
                  <c:v>-19.923978315132629</c:v>
                </c:pt>
                <c:pt idx="1240">
                  <c:v>-19.923978315132629</c:v>
                </c:pt>
                <c:pt idx="1241">
                  <c:v>-19.923978315132629</c:v>
                </c:pt>
                <c:pt idx="1242">
                  <c:v>-19.923978315132629</c:v>
                </c:pt>
                <c:pt idx="1243">
                  <c:v>-19.923978315132629</c:v>
                </c:pt>
                <c:pt idx="1244">
                  <c:v>-19.923978315132629</c:v>
                </c:pt>
                <c:pt idx="1245">
                  <c:v>-19.923978315132629</c:v>
                </c:pt>
                <c:pt idx="1246">
                  <c:v>-19.923978315132629</c:v>
                </c:pt>
                <c:pt idx="1247">
                  <c:v>-19.923978315132629</c:v>
                </c:pt>
                <c:pt idx="1248">
                  <c:v>-19.923978315132629</c:v>
                </c:pt>
                <c:pt idx="1249">
                  <c:v>-19.923978315132629</c:v>
                </c:pt>
                <c:pt idx="1250">
                  <c:v>-19.923978315132629</c:v>
                </c:pt>
                <c:pt idx="1251">
                  <c:v>-19.923978315132629</c:v>
                </c:pt>
                <c:pt idx="1252">
                  <c:v>-19.923978315132629</c:v>
                </c:pt>
                <c:pt idx="1253">
                  <c:v>-19.923978315132629</c:v>
                </c:pt>
                <c:pt idx="1254">
                  <c:v>-19.923978315132629</c:v>
                </c:pt>
                <c:pt idx="1255">
                  <c:v>-19.923978315132629</c:v>
                </c:pt>
                <c:pt idx="1256">
                  <c:v>-19.923978315132629</c:v>
                </c:pt>
                <c:pt idx="1257">
                  <c:v>-19.923978315132629</c:v>
                </c:pt>
                <c:pt idx="1258">
                  <c:v>-19.923978315132629</c:v>
                </c:pt>
                <c:pt idx="1259">
                  <c:v>-19.923978315132629</c:v>
                </c:pt>
                <c:pt idx="1260">
                  <c:v>-19.923978315132629</c:v>
                </c:pt>
                <c:pt idx="1261">
                  <c:v>-19.923978315132629</c:v>
                </c:pt>
                <c:pt idx="1262">
                  <c:v>-19.923978315132629</c:v>
                </c:pt>
                <c:pt idx="1263">
                  <c:v>-19.923978315132629</c:v>
                </c:pt>
                <c:pt idx="1264">
                  <c:v>-19.923978315132629</c:v>
                </c:pt>
                <c:pt idx="1265">
                  <c:v>-19.923978315132629</c:v>
                </c:pt>
                <c:pt idx="1266">
                  <c:v>-19.923978315132629</c:v>
                </c:pt>
                <c:pt idx="1267">
                  <c:v>-19.923978315132629</c:v>
                </c:pt>
                <c:pt idx="1268">
                  <c:v>-19.923978315132629</c:v>
                </c:pt>
                <c:pt idx="1269">
                  <c:v>-19.923978315132629</c:v>
                </c:pt>
                <c:pt idx="1270">
                  <c:v>-19.923978315132629</c:v>
                </c:pt>
                <c:pt idx="1271">
                  <c:v>-19.923978315132629</c:v>
                </c:pt>
                <c:pt idx="1272">
                  <c:v>-19.923978315132629</c:v>
                </c:pt>
                <c:pt idx="1273">
                  <c:v>-19.923978315132629</c:v>
                </c:pt>
                <c:pt idx="1274">
                  <c:v>-19.923978315132629</c:v>
                </c:pt>
                <c:pt idx="1275">
                  <c:v>-19.923978315132629</c:v>
                </c:pt>
                <c:pt idx="1276">
                  <c:v>-19.923978315132629</c:v>
                </c:pt>
                <c:pt idx="1277">
                  <c:v>-19.923978315132629</c:v>
                </c:pt>
                <c:pt idx="1278">
                  <c:v>-19.923978315132629</c:v>
                </c:pt>
                <c:pt idx="1279">
                  <c:v>-19.923978315132629</c:v>
                </c:pt>
                <c:pt idx="1280">
                  <c:v>-19.923978315132629</c:v>
                </c:pt>
                <c:pt idx="1281">
                  <c:v>-19.923978315132629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300-40CA-A96B-4DD3E67A72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0439696"/>
        <c:axId val="570430544"/>
      </c:lineChart>
      <c:dateAx>
        <c:axId val="570439696"/>
        <c:scaling>
          <c:orientation val="minMax"/>
        </c:scaling>
        <c:delete val="0"/>
        <c:axPos val="b"/>
        <c:numFmt formatCode="yyyy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70430544"/>
        <c:crosses val="autoZero"/>
        <c:auto val="0"/>
        <c:lblOffset val="100"/>
        <c:baseTimeUnit val="days"/>
        <c:majorUnit val="1"/>
        <c:majorTimeUnit val="years"/>
      </c:dateAx>
      <c:valAx>
        <c:axId val="570430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70439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历史数据!$N$2</c:f>
              <c:strCache>
                <c:ptCount val="1"/>
                <c:pt idx="0">
                  <c:v>频数个数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历史数据!$M$3:$M$12</c:f>
              <c:strCache>
                <c:ptCount val="10"/>
                <c:pt idx="0">
                  <c:v> &lt;= -146</c:v>
                </c:pt>
                <c:pt idx="1">
                  <c:v>&lt;=-121</c:v>
                </c:pt>
                <c:pt idx="2">
                  <c:v>&lt;=-96</c:v>
                </c:pt>
                <c:pt idx="3">
                  <c:v>&lt;=-71</c:v>
                </c:pt>
                <c:pt idx="4">
                  <c:v>&lt;=-46</c:v>
                </c:pt>
                <c:pt idx="5">
                  <c:v>&lt;=-21</c:v>
                </c:pt>
                <c:pt idx="6">
                  <c:v>&lt;=4</c:v>
                </c:pt>
                <c:pt idx="7">
                  <c:v>&lt;=29</c:v>
                </c:pt>
                <c:pt idx="8">
                  <c:v>&lt;=79</c:v>
                </c:pt>
                <c:pt idx="9">
                  <c:v>&gt;79</c:v>
                </c:pt>
              </c:strCache>
            </c:strRef>
          </c:cat>
          <c:val>
            <c:numRef>
              <c:f>历史数据!$N$3:$N$12</c:f>
              <c:numCache>
                <c:formatCode>General</c:formatCode>
                <c:ptCount val="10"/>
                <c:pt idx="0">
                  <c:v>0</c:v>
                </c:pt>
                <c:pt idx="1">
                  <c:v>3</c:v>
                </c:pt>
                <c:pt idx="2">
                  <c:v>10</c:v>
                </c:pt>
                <c:pt idx="3">
                  <c:v>54</c:v>
                </c:pt>
                <c:pt idx="4">
                  <c:v>145</c:v>
                </c:pt>
                <c:pt idx="5">
                  <c:v>305</c:v>
                </c:pt>
                <c:pt idx="6">
                  <c:v>558</c:v>
                </c:pt>
                <c:pt idx="7">
                  <c:v>190</c:v>
                </c:pt>
                <c:pt idx="8">
                  <c:v>17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3E-4EDA-94A7-407AD64F067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2041766256"/>
        <c:axId val="2041763760"/>
      </c:barChart>
      <c:lineChart>
        <c:grouping val="standard"/>
        <c:varyColors val="0"/>
        <c:ser>
          <c:idx val="1"/>
          <c:order val="1"/>
          <c:tx>
            <c:v>分布个数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历史数据!$N$3:$N$12</c:f>
              <c:numCache>
                <c:formatCode>General</c:formatCode>
                <c:ptCount val="10"/>
                <c:pt idx="0">
                  <c:v>0</c:v>
                </c:pt>
                <c:pt idx="1">
                  <c:v>3</c:v>
                </c:pt>
                <c:pt idx="2">
                  <c:v>10</c:v>
                </c:pt>
                <c:pt idx="3">
                  <c:v>54</c:v>
                </c:pt>
                <c:pt idx="4">
                  <c:v>145</c:v>
                </c:pt>
                <c:pt idx="5">
                  <c:v>305</c:v>
                </c:pt>
                <c:pt idx="6">
                  <c:v>558</c:v>
                </c:pt>
                <c:pt idx="7">
                  <c:v>190</c:v>
                </c:pt>
                <c:pt idx="8">
                  <c:v>17</c:v>
                </c:pt>
                <c:pt idx="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03E-4EDA-94A7-407AD64F067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041766256"/>
        <c:axId val="2041763760"/>
      </c:lineChart>
      <c:catAx>
        <c:axId val="2041766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2041763760"/>
        <c:crosses val="autoZero"/>
        <c:auto val="1"/>
        <c:lblAlgn val="ctr"/>
        <c:lblOffset val="100"/>
        <c:noMultiLvlLbl val="0"/>
      </c:catAx>
      <c:valAx>
        <c:axId val="2041763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2041766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24848</xdr:colOff>
      <xdr:row>13</xdr:row>
      <xdr:rowOff>82825</xdr:rowOff>
    </xdr:from>
    <xdr:to>
      <xdr:col>14</xdr:col>
      <xdr:colOff>0</xdr:colOff>
      <xdr:row>26</xdr:row>
      <xdr:rowOff>118042</xdr:rowOff>
    </xdr:to>
    <xdr:graphicFrame macro="">
      <xdr:nvGraphicFramePr>
        <xdr:cNvPr id="4" name="图表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28142</xdr:colOff>
      <xdr:row>13</xdr:row>
      <xdr:rowOff>74544</xdr:rowOff>
    </xdr:from>
    <xdr:to>
      <xdr:col>7</xdr:col>
      <xdr:colOff>1085022</xdr:colOff>
      <xdr:row>26</xdr:row>
      <xdr:rowOff>109761</xdr:rowOff>
    </xdr:to>
    <xdr:graphicFrame macro="">
      <xdr:nvGraphicFramePr>
        <xdr:cNvPr id="6" name="图表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0</xdr:col>
      <xdr:colOff>176006</xdr:colOff>
      <xdr:row>0</xdr:row>
      <xdr:rowOff>86967</xdr:rowOff>
    </xdr:from>
    <xdr:ext cx="607152" cy="219075"/>
    <xdr:pic>
      <xdr:nvPicPr>
        <xdr:cNvPr id="5" name="图片 4">
          <a:extLst>
            <a:ext uri="{FF2B5EF4-FFF2-40B4-BE49-F238E27FC236}">
              <a16:creationId xmlns:a16="http://schemas.microsoft.com/office/drawing/2014/main" id="{B14FCFAF-B093-46EB-A7C7-03D9D00247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006" y="86967"/>
          <a:ext cx="607152" cy="2190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\Wind.NET.Client\WindNET\DataBrowse\XLA\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s_dq_close"/>
      <definedName name="S_INFO_NAME"/>
      <definedName name="TDays"/>
      <definedName name="TDaysOffset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rgb="FF63636D"/>
  </sheetPr>
  <dimension ref="A1:S38"/>
  <sheetViews>
    <sheetView showGridLines="0" tabSelected="1" zoomScaleNormal="100" workbookViewId="0">
      <selection activeCell="A40" sqref="A40"/>
    </sheetView>
  </sheetViews>
  <sheetFormatPr defaultRowHeight="14.25" x14ac:dyDescent="0.2"/>
  <cols>
    <col min="1" max="1" width="2.625" customWidth="1"/>
    <col min="2" max="2" width="1.625" customWidth="1"/>
    <col min="3" max="3" width="14" customWidth="1"/>
    <col min="4" max="4" width="15.5" customWidth="1"/>
    <col min="5" max="5" width="10.75" customWidth="1"/>
    <col min="6" max="6" width="10.375" customWidth="1"/>
    <col min="7" max="7" width="12.75" bestFit="1" customWidth="1"/>
    <col min="8" max="8" width="14.625" bestFit="1" customWidth="1"/>
    <col min="9" max="9" width="2.125" customWidth="1"/>
    <col min="10" max="10" width="13.375" customWidth="1"/>
    <col min="11" max="14" width="12.625" customWidth="1"/>
    <col min="15" max="15" width="1.625" customWidth="1"/>
    <col min="16" max="16" width="2.625" customWidth="1"/>
  </cols>
  <sheetData>
    <row r="1" spans="1:19" s="18" customFormat="1" ht="27.75" customHeight="1" x14ac:dyDescent="0.3">
      <c r="A1" s="19"/>
      <c r="B1" s="19"/>
      <c r="C1" s="19"/>
      <c r="D1" s="46" t="s">
        <v>11</v>
      </c>
      <c r="E1" s="46"/>
      <c r="F1" s="46"/>
      <c r="G1" s="46"/>
      <c r="H1" s="46"/>
      <c r="I1" s="46"/>
      <c r="J1" s="46"/>
      <c r="K1" s="46"/>
      <c r="L1" s="46"/>
      <c r="M1" s="25"/>
      <c r="N1" s="25"/>
      <c r="O1" s="25"/>
      <c r="P1" s="25"/>
    </row>
    <row r="2" spans="1:19" ht="14.1" customHeight="1" x14ac:dyDescent="0.3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18"/>
    </row>
    <row r="3" spans="1:19" ht="12" customHeight="1" x14ac:dyDescent="0.3">
      <c r="A3" s="20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20"/>
      <c r="Q3" s="18"/>
    </row>
    <row r="4" spans="1:19" ht="16.5" x14ac:dyDescent="0.3">
      <c r="A4" s="20"/>
      <c r="C4" s="21" t="s">
        <v>12</v>
      </c>
      <c r="D4" s="21"/>
      <c r="E4" s="21"/>
      <c r="F4" s="21"/>
      <c r="G4" s="21"/>
      <c r="H4" s="21"/>
      <c r="P4" s="20"/>
    </row>
    <row r="5" spans="1:19" ht="19.5" x14ac:dyDescent="0.35">
      <c r="A5" s="20"/>
      <c r="C5" s="27" t="s">
        <v>13</v>
      </c>
      <c r="D5" s="22" t="s">
        <v>39</v>
      </c>
      <c r="E5" s="29" t="str">
        <f>VLOOKUP(D5,合约信息!A:F,2,0)</f>
        <v>000905.SH</v>
      </c>
      <c r="F5" s="29"/>
      <c r="G5" s="27" t="s">
        <v>21</v>
      </c>
      <c r="H5" s="23">
        <v>43466</v>
      </c>
      <c r="I5" s="12"/>
      <c r="J5" s="12"/>
      <c r="K5" s="12"/>
      <c r="L5" s="12"/>
      <c r="M5" s="12"/>
      <c r="N5" s="12"/>
      <c r="O5" s="12"/>
      <c r="P5" s="20"/>
      <c r="Q5" s="12"/>
      <c r="R5" s="12"/>
      <c r="S5" s="12"/>
    </row>
    <row r="6" spans="1:19" ht="19.5" x14ac:dyDescent="0.35">
      <c r="A6" s="20"/>
      <c r="C6" s="28" t="s">
        <v>20</v>
      </c>
      <c r="D6" s="22" t="s">
        <v>9</v>
      </c>
      <c r="E6" s="30" t="str">
        <f>VLOOKUP(D5,合约信息!A:F,RIGHT(D6,1)+3,0)</f>
        <v>IC00.CFE</v>
      </c>
      <c r="F6" s="30"/>
      <c r="G6" s="28" t="s">
        <v>22</v>
      </c>
      <c r="H6" s="23">
        <f ca="1">[1]!TDaysOffset(TODAY(),"Offset=-1")</f>
        <v>45398</v>
      </c>
      <c r="I6" s="12"/>
      <c r="J6" s="12"/>
      <c r="K6" s="12"/>
      <c r="L6" s="12"/>
      <c r="M6" s="12"/>
      <c r="N6" s="12"/>
      <c r="O6" s="12"/>
      <c r="P6" s="20"/>
      <c r="Q6" s="12"/>
      <c r="R6" s="12"/>
      <c r="S6" s="12"/>
    </row>
    <row r="7" spans="1:19" ht="19.5" x14ac:dyDescent="0.35">
      <c r="A7" s="20"/>
      <c r="C7" s="27" t="s">
        <v>14</v>
      </c>
      <c r="D7" s="22">
        <v>0.9</v>
      </c>
      <c r="E7" s="27"/>
      <c r="F7" s="27"/>
      <c r="G7" s="27"/>
      <c r="H7" s="27"/>
      <c r="I7" s="12"/>
      <c r="J7" s="12"/>
      <c r="K7" s="12"/>
      <c r="L7" s="12"/>
      <c r="M7" s="12"/>
      <c r="N7" s="12"/>
      <c r="O7" s="12"/>
      <c r="P7" s="20"/>
      <c r="Q7" s="12"/>
      <c r="R7" s="12"/>
      <c r="S7" s="12"/>
    </row>
    <row r="8" spans="1:19" ht="12" customHeight="1" x14ac:dyDescent="0.3">
      <c r="A8" s="20"/>
      <c r="I8" s="12"/>
      <c r="J8" s="12"/>
      <c r="K8" s="12"/>
      <c r="L8" s="12"/>
      <c r="M8" s="12"/>
      <c r="N8" s="12"/>
      <c r="O8" s="12"/>
      <c r="P8" s="20"/>
      <c r="Q8" s="12"/>
      <c r="R8" s="12"/>
      <c r="S8" s="12"/>
    </row>
    <row r="9" spans="1:19" ht="16.5" x14ac:dyDescent="0.3">
      <c r="A9" s="20"/>
      <c r="C9" s="21" t="s">
        <v>17</v>
      </c>
      <c r="D9" s="21"/>
      <c r="E9" s="21"/>
      <c r="F9" s="21"/>
      <c r="G9" s="21"/>
      <c r="H9" s="21"/>
      <c r="I9" s="21"/>
      <c r="J9" s="21"/>
      <c r="K9" s="21"/>
      <c r="L9" s="21"/>
      <c r="M9" s="21"/>
      <c r="N9" s="12"/>
      <c r="O9" s="12"/>
      <c r="P9" s="20"/>
      <c r="Q9" s="12"/>
      <c r="R9" s="12"/>
      <c r="S9" s="12"/>
    </row>
    <row r="10" spans="1:19" ht="17.25" x14ac:dyDescent="0.35">
      <c r="A10" s="20"/>
      <c r="C10" s="31" t="s">
        <v>23</v>
      </c>
      <c r="D10" s="31" t="s">
        <v>0</v>
      </c>
      <c r="E10" s="31" t="s">
        <v>2</v>
      </c>
      <c r="F10" s="32" t="s">
        <v>24</v>
      </c>
      <c r="G10" s="32" t="s">
        <v>25</v>
      </c>
      <c r="H10" s="32" t="s">
        <v>26</v>
      </c>
      <c r="I10" s="32"/>
      <c r="J10" s="32" t="s">
        <v>27</v>
      </c>
      <c r="K10" s="32" t="s">
        <v>28</v>
      </c>
      <c r="L10" s="32" t="s">
        <v>29</v>
      </c>
      <c r="M10" s="32" t="s">
        <v>30</v>
      </c>
      <c r="N10" s="32" t="s">
        <v>31</v>
      </c>
      <c r="O10" s="12"/>
      <c r="P10" s="20"/>
      <c r="Q10" s="12"/>
      <c r="R10" s="12"/>
      <c r="S10" s="12"/>
    </row>
    <row r="11" spans="1:19" ht="16.5" x14ac:dyDescent="0.3">
      <c r="A11" s="20"/>
      <c r="C11" s="33">
        <f ca="1">COUNT(历史数据!B2:B9997)</f>
        <v>1282</v>
      </c>
      <c r="D11" s="34">
        <f ca="1">AVERAGE(历史数据!F:F)</f>
        <v>-19.923978315132629</v>
      </c>
      <c r="E11" s="35">
        <f ca="1">STDEV(历史数据!F:F)</f>
        <v>27.222854976622124</v>
      </c>
      <c r="F11" s="33">
        <f ca="1">ROUND(C11/2,0)</f>
        <v>641</v>
      </c>
      <c r="G11" s="35">
        <f ca="1">VLOOKUP(F11,历史数据!E:F,2,0)</f>
        <v>-14.051800000000185</v>
      </c>
      <c r="H11" s="33">
        <f ca="1">ROUND(C11*D7,0)</f>
        <v>1154</v>
      </c>
      <c r="I11" s="33"/>
      <c r="J11" s="35">
        <f ca="1">VLOOKUP(H11,历史数据!E:F,2,0)</f>
        <v>-58.435999999999694</v>
      </c>
      <c r="K11" s="33">
        <f ca="1">F11-ROUND(H11/2,0)</f>
        <v>64</v>
      </c>
      <c r="L11" s="35">
        <f ca="1">VLOOKUP(K11,历史数据!E:F,2,0)</f>
        <v>15.737900000000081</v>
      </c>
      <c r="M11" s="33">
        <f ca="1">F11+ROUND((H11/2),0)-1</f>
        <v>1217</v>
      </c>
      <c r="N11" s="35">
        <f ca="1">VLOOKUP(M11,历史数据!E:F,2,0)</f>
        <v>-71.408500000000458</v>
      </c>
      <c r="O11" s="12"/>
      <c r="P11" s="20"/>
      <c r="Q11" s="12"/>
      <c r="R11" s="12"/>
      <c r="S11" s="12"/>
    </row>
    <row r="12" spans="1:19" ht="12" customHeight="1" x14ac:dyDescent="0.3">
      <c r="A12" s="20"/>
      <c r="K12" s="12"/>
      <c r="L12" s="12"/>
      <c r="M12" s="12"/>
      <c r="N12" s="12"/>
      <c r="O12" s="12"/>
      <c r="P12" s="20"/>
      <c r="Q12" s="12"/>
      <c r="R12" s="12"/>
      <c r="S12" s="12"/>
    </row>
    <row r="13" spans="1:19" ht="16.5" x14ac:dyDescent="0.3">
      <c r="A13" s="20"/>
      <c r="C13" s="21" t="s">
        <v>18</v>
      </c>
      <c r="D13" s="21"/>
      <c r="E13" s="21"/>
      <c r="F13" s="21"/>
      <c r="G13" s="21"/>
      <c r="H13" s="21"/>
      <c r="J13" s="45" t="s">
        <v>19</v>
      </c>
      <c r="K13" s="26"/>
      <c r="L13" s="21"/>
      <c r="M13" s="21"/>
      <c r="N13" s="21"/>
      <c r="P13" s="20"/>
    </row>
    <row r="14" spans="1:19" ht="16.5" x14ac:dyDescent="0.3">
      <c r="A14" s="20"/>
      <c r="P14" s="20"/>
    </row>
    <row r="15" spans="1:19" ht="16.5" x14ac:dyDescent="0.3">
      <c r="A15" s="20"/>
      <c r="P15" s="20"/>
    </row>
    <row r="16" spans="1:19" ht="16.5" x14ac:dyDescent="0.3">
      <c r="A16" s="20"/>
      <c r="P16" s="20"/>
    </row>
    <row r="17" spans="1:16" ht="16.5" x14ac:dyDescent="0.3">
      <c r="A17" s="20"/>
      <c r="P17" s="20"/>
    </row>
    <row r="18" spans="1:16" ht="16.5" x14ac:dyDescent="0.3">
      <c r="A18" s="20"/>
      <c r="P18" s="20"/>
    </row>
    <row r="19" spans="1:16" ht="16.5" x14ac:dyDescent="0.3">
      <c r="A19" s="20"/>
      <c r="P19" s="20"/>
    </row>
    <row r="20" spans="1:16" ht="16.5" x14ac:dyDescent="0.3">
      <c r="A20" s="20"/>
      <c r="P20" s="20"/>
    </row>
    <row r="21" spans="1:16" ht="16.5" x14ac:dyDescent="0.3">
      <c r="A21" s="20"/>
      <c r="P21" s="20"/>
    </row>
    <row r="22" spans="1:16" ht="16.5" x14ac:dyDescent="0.3">
      <c r="A22" s="20"/>
      <c r="P22" s="20"/>
    </row>
    <row r="23" spans="1:16" ht="16.5" x14ac:dyDescent="0.3">
      <c r="A23" s="20"/>
      <c r="P23" s="20"/>
    </row>
    <row r="24" spans="1:16" ht="16.5" x14ac:dyDescent="0.3">
      <c r="A24" s="20"/>
      <c r="P24" s="20"/>
    </row>
    <row r="25" spans="1:16" ht="16.5" x14ac:dyDescent="0.3">
      <c r="A25" s="20"/>
      <c r="P25" s="20"/>
    </row>
    <row r="26" spans="1:16" ht="16.5" x14ac:dyDescent="0.3">
      <c r="A26" s="20"/>
      <c r="P26" s="20"/>
    </row>
    <row r="27" spans="1:16" ht="16.5" x14ac:dyDescent="0.3">
      <c r="A27" s="20"/>
      <c r="P27" s="20"/>
    </row>
    <row r="28" spans="1:16" ht="16.5" x14ac:dyDescent="0.3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</row>
    <row r="29" spans="1:16" ht="16.5" x14ac:dyDescent="0.3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</row>
    <row r="30" spans="1:16" ht="16.5" x14ac:dyDescent="0.3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</row>
    <row r="31" spans="1:16" ht="16.5" x14ac:dyDescent="0.3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</row>
    <row r="32" spans="1:16" ht="16.5" x14ac:dyDescent="0.3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</row>
    <row r="33" spans="1:16" ht="16.5" x14ac:dyDescent="0.3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</row>
    <row r="34" spans="1:16" ht="16.5" x14ac:dyDescent="0.3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</row>
    <row r="35" spans="1:16" ht="16.5" x14ac:dyDescent="0.3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</row>
    <row r="36" spans="1:16" ht="16.5" x14ac:dyDescent="0.3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</row>
    <row r="37" spans="1:16" ht="16.5" x14ac:dyDescent="0.3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</row>
    <row r="38" spans="1:16" ht="16.5" x14ac:dyDescent="0.3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</row>
  </sheetData>
  <mergeCells count="1">
    <mergeCell ref="D1:L1"/>
  </mergeCells>
  <phoneticPr fontId="5" type="noConversion"/>
  <pageMargins left="0.7" right="0.7" top="0.75" bottom="0.75" header="0.3" footer="0.3"/>
  <pageSetup paperSize="9" orientation="portrait" verticalDpi="0" r:id="rId1"/>
  <ignoredErrors>
    <ignoredError sqref="M11" formula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合约信息!$C$1:$F$1</xm:f>
          </x14:formula1>
          <xm:sqref>D6</xm:sqref>
        </x14:dataValidation>
        <x14:dataValidation type="list" allowBlank="1" showInputMessage="1" showErrorMessage="1">
          <x14:formula1>
            <xm:f>合约信息!$A$2:$A$5</xm:f>
          </x14:formula1>
          <xm:sqref>D5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Q3998"/>
  <sheetViews>
    <sheetView showGridLines="0" topLeftCell="B1" zoomScaleNormal="100" workbookViewId="0">
      <pane ySplit="1" topLeftCell="A2" activePane="bottomLeft" state="frozen"/>
      <selection pane="bottomLeft" activeCell="B39" sqref="B39"/>
    </sheetView>
  </sheetViews>
  <sheetFormatPr defaultRowHeight="15" customHeight="1" x14ac:dyDescent="0.25"/>
  <cols>
    <col min="1" max="1" width="1.75" hidden="1" customWidth="1"/>
    <col min="2" max="2" width="14" style="17" customWidth="1"/>
    <col min="3" max="3" width="20.625" style="2" customWidth="1"/>
    <col min="4" max="4" width="20.625" style="3" customWidth="1"/>
    <col min="5" max="5" width="9" style="1" customWidth="1"/>
    <col min="6" max="6" width="20.625" style="3" customWidth="1"/>
    <col min="7" max="8" width="14.125" style="3" bestFit="1" customWidth="1"/>
    <col min="9" max="9" width="15.25" style="16" bestFit="1" customWidth="1"/>
    <col min="12" max="14" width="9" style="36"/>
  </cols>
  <sheetData>
    <row r="1" spans="2:17" ht="18" x14ac:dyDescent="0.35">
      <c r="B1" s="14" t="s">
        <v>4</v>
      </c>
      <c r="C1" s="13" t="s">
        <v>5</v>
      </c>
      <c r="D1" s="13" t="s">
        <v>5</v>
      </c>
      <c r="E1" s="13" t="s">
        <v>38</v>
      </c>
      <c r="F1" s="13" t="s">
        <v>6</v>
      </c>
      <c r="G1" s="13" t="s">
        <v>3</v>
      </c>
      <c r="H1" s="13" t="s">
        <v>8</v>
      </c>
      <c r="I1" s="15" t="s">
        <v>7</v>
      </c>
    </row>
    <row r="2" spans="2:17" ht="15" customHeight="1" x14ac:dyDescent="0.2">
      <c r="B2" s="7">
        <f ca="1">[1]!TDays(股指期货基差分析!H5,股指期货基差分析!H6,"TradingCalendar=CFFEX","cols=1;rows=1282")</f>
        <v>43467</v>
      </c>
      <c r="C2" s="5">
        <f ca="1">IF(B2="","",[1]!s_dq_close(股指期货基差分析!$E$5,$B2))</f>
        <v>4131.9566999999997</v>
      </c>
      <c r="D2" s="5">
        <f ca="1">IF(B2="","",[1]!s_dq_close(股指期货基差分析!$E$6,$B2))</f>
        <v>4096.8</v>
      </c>
      <c r="E2" s="5">
        <f ca="1">RANK(F2,F:F)+COUNTIF(F$2:F2,F2)-1</f>
        <v>960</v>
      </c>
      <c r="F2" s="5">
        <f t="shared" ref="F2:F65" ca="1" si="0">IF(B2="","",D2-C2)</f>
        <v>-35.156699999999546</v>
      </c>
      <c r="G2" s="5">
        <f ca="1">IF(B2="","",股指期货基差分析!$N$11)</f>
        <v>-71.408500000000458</v>
      </c>
      <c r="H2" s="5">
        <f ca="1">IF(B2="","",股指期货基差分析!$L$11)</f>
        <v>15.737900000000081</v>
      </c>
      <c r="I2" s="9">
        <f ca="1">IF(B2="","",股指期货基差分析!$D$11)</f>
        <v>-19.923978315132629</v>
      </c>
      <c r="L2" s="37" t="s">
        <v>15</v>
      </c>
      <c r="M2" s="38" t="s">
        <v>32</v>
      </c>
      <c r="N2" s="37" t="s">
        <v>1</v>
      </c>
    </row>
    <row r="3" spans="2:17" ht="15" customHeight="1" x14ac:dyDescent="0.2">
      <c r="B3" s="8">
        <v>43468</v>
      </c>
      <c r="C3" s="6">
        <f>IF(B3="","",[1]!s_dq_close(股指期货基差分析!$E$5,$B3))</f>
        <v>4112.8069999999998</v>
      </c>
      <c r="D3" s="6">
        <f>IF(B3="","",[1]!s_dq_close(股指期货基差分析!$E$6,$B3))</f>
        <v>4086.6</v>
      </c>
      <c r="E3" s="6">
        <f ca="1">RANK(F3,F:F)+COUNTIF(F$2:F3,F3)-1</f>
        <v>832</v>
      </c>
      <c r="F3" s="6">
        <f t="shared" si="0"/>
        <v>-26.20699999999988</v>
      </c>
      <c r="G3" s="6">
        <f ca="1">IF(B3="","",股指期货基差分析!$N$11)</f>
        <v>-71.408500000000458</v>
      </c>
      <c r="H3" s="6">
        <f ca="1">IF(B3="","",股指期货基差分析!$L$11)</f>
        <v>15.737900000000081</v>
      </c>
      <c r="I3" s="10">
        <f ca="1">IF(B3="","",股指期货基差分析!$D$11)</f>
        <v>-19.923978315132629</v>
      </c>
      <c r="L3" s="39">
        <f ca="1">ROUND(MIN(历史数据!F$2:F$1048576),0)</f>
        <v>-146</v>
      </c>
      <c r="M3" s="39" t="str">
        <f ca="1">" &lt;= "&amp;L3</f>
        <v xml:space="preserve"> &lt;= -146</v>
      </c>
      <c r="N3" s="40">
        <f t="array" aca="1" ref="N3:N12" ca="1">FREQUENCY(历史数据!F:F,L3:L11)</f>
        <v>0</v>
      </c>
    </row>
    <row r="4" spans="2:17" ht="15" customHeight="1" x14ac:dyDescent="0.2">
      <c r="B4" s="7">
        <v>43469</v>
      </c>
      <c r="C4" s="5">
        <f>IF(B4="","",[1]!s_dq_close(股指期货基差分析!$E$5,$B4))</f>
        <v>4210.8786</v>
      </c>
      <c r="D4" s="5">
        <f>IF(B4="","",[1]!s_dq_close(股指期货基差分析!$E$6,$B4))</f>
        <v>4207.8</v>
      </c>
      <c r="E4" s="5">
        <f ca="1">RANK(F4,F:F)+COUNTIF(F$2:F4,F4)-1</f>
        <v>373</v>
      </c>
      <c r="F4" s="5">
        <f t="shared" si="0"/>
        <v>-3.0785999999998239</v>
      </c>
      <c r="G4" s="5">
        <f ca="1">IF(B4="","",股指期货基差分析!$N$11)</f>
        <v>-71.408500000000458</v>
      </c>
      <c r="H4" s="5">
        <f ca="1">IF(B4="","",股指期货基差分析!$L$11)</f>
        <v>15.737900000000081</v>
      </c>
      <c r="I4" s="9">
        <f ca="1">IF(B4="","",股指期货基差分析!$D$11)</f>
        <v>-19.923978315132629</v>
      </c>
      <c r="L4" s="39">
        <f ca="1">ROUND(L3+(L11-L3)/9,0)</f>
        <v>-121</v>
      </c>
      <c r="M4" s="39" t="str">
        <f t="shared" ref="M4:M11" ca="1" si="1">"&lt;="&amp;L4</f>
        <v>&lt;=-121</v>
      </c>
      <c r="N4" s="40">
        <f ca="1"/>
        <v>3</v>
      </c>
    </row>
    <row r="5" spans="2:17" ht="15" customHeight="1" x14ac:dyDescent="0.2">
      <c r="B5" s="8">
        <v>43472</v>
      </c>
      <c r="C5" s="6">
        <f>IF(B5="","",[1]!s_dq_close(股指期货基差分析!$E$5,$B5))</f>
        <v>4288.3234000000002</v>
      </c>
      <c r="D5" s="6">
        <f>IF(B5="","",[1]!s_dq_close(股指期货基差分析!$E$6,$B5))</f>
        <v>4268.6000000000004</v>
      </c>
      <c r="E5" s="6">
        <f ca="1">RANK(F5,F:F)+COUNTIF(F$2:F5,F5)-1</f>
        <v>746</v>
      </c>
      <c r="F5" s="6">
        <f t="shared" si="0"/>
        <v>-19.723399999999856</v>
      </c>
      <c r="G5" s="6">
        <f ca="1">IF(B5="","",股指期货基差分析!$N$11)</f>
        <v>-71.408500000000458</v>
      </c>
      <c r="H5" s="6">
        <f ca="1">IF(B5="","",股指期货基差分析!$L$11)</f>
        <v>15.737900000000081</v>
      </c>
      <c r="I5" s="10">
        <f ca="1">IF(B5="","",股指期货基差分析!$D$11)</f>
        <v>-19.923978315132629</v>
      </c>
      <c r="L5" s="39">
        <f ca="1">ROUND(L3+2*(L11-L3)/9,0)</f>
        <v>-96</v>
      </c>
      <c r="M5" s="39" t="str">
        <f t="shared" ca="1" si="1"/>
        <v>&lt;=-96</v>
      </c>
      <c r="N5" s="40">
        <f ca="1"/>
        <v>10</v>
      </c>
    </row>
    <row r="6" spans="2:17" ht="15" customHeight="1" x14ac:dyDescent="0.2">
      <c r="B6" s="7">
        <v>43473</v>
      </c>
      <c r="C6" s="5">
        <f>IF(B6="","",[1]!s_dq_close(股指期货基差分析!$E$5,$B6))</f>
        <v>4277.2966999999999</v>
      </c>
      <c r="D6" s="5">
        <f>IF(B6="","",[1]!s_dq_close(股指期货基差分析!$E$6,$B6))</f>
        <v>4270.8</v>
      </c>
      <c r="E6" s="5">
        <f ca="1">RANK(F6,F:F)+COUNTIF(F$2:F6,F6)-1</f>
        <v>458</v>
      </c>
      <c r="F6" s="5">
        <f t="shared" si="0"/>
        <v>-6.4966999999996915</v>
      </c>
      <c r="G6" s="5">
        <f ca="1">IF(B6="","",股指期货基差分析!$N$11)</f>
        <v>-71.408500000000458</v>
      </c>
      <c r="H6" s="5">
        <f ca="1">IF(B6="","",股指期货基差分析!$L$11)</f>
        <v>15.737900000000081</v>
      </c>
      <c r="I6" s="9">
        <f ca="1">IF(B6="","",股指期货基差分析!$D$11)</f>
        <v>-19.923978315132629</v>
      </c>
      <c r="L6" s="39">
        <f ca="1">ROUND(L3+3*(L11-L3)/9,0)</f>
        <v>-71</v>
      </c>
      <c r="M6" s="39" t="str">
        <f t="shared" ca="1" si="1"/>
        <v>&lt;=-71</v>
      </c>
      <c r="N6" s="40">
        <f ca="1"/>
        <v>54</v>
      </c>
    </row>
    <row r="7" spans="2:17" ht="15" customHeight="1" x14ac:dyDescent="0.2">
      <c r="B7" s="8">
        <v>43474</v>
      </c>
      <c r="C7" s="6">
        <f>IF(B7="","",[1]!s_dq_close(股指期货基差分析!$E$5,$B7))</f>
        <v>4288.7717000000002</v>
      </c>
      <c r="D7" s="6">
        <f>IF(B7="","",[1]!s_dq_close(股指期货基差分析!$E$6,$B7))</f>
        <v>4273.8</v>
      </c>
      <c r="E7" s="6">
        <f ca="1">RANK(F7,F:F)+COUNTIF(F$2:F7,F7)-1</f>
        <v>658</v>
      </c>
      <c r="F7" s="6">
        <f t="shared" si="0"/>
        <v>-14.971700000000055</v>
      </c>
      <c r="G7" s="6">
        <f ca="1">IF(B7="","",股指期货基差分析!$N$11)</f>
        <v>-71.408500000000458</v>
      </c>
      <c r="H7" s="6">
        <f ca="1">IF(B7="","",股指期货基差分析!$L$11)</f>
        <v>15.737900000000081</v>
      </c>
      <c r="I7" s="10">
        <f ca="1">IF(B7="","",股指期货基差分析!$D$11)</f>
        <v>-19.923978315132629</v>
      </c>
      <c r="L7" s="39">
        <f ca="1">ROUND(L3+4*(L11-L3)/9,0)</f>
        <v>-46</v>
      </c>
      <c r="M7" s="39" t="str">
        <f t="shared" ca="1" si="1"/>
        <v>&lt;=-46</v>
      </c>
      <c r="N7" s="40">
        <f ca="1"/>
        <v>145</v>
      </c>
      <c r="Q7" s="11"/>
    </row>
    <row r="8" spans="2:17" ht="15" customHeight="1" x14ac:dyDescent="0.2">
      <c r="B8" s="7">
        <v>43475</v>
      </c>
      <c r="C8" s="5">
        <f>IF(B8="","",[1]!s_dq_close(股指期货基差分析!$E$5,$B8))</f>
        <v>4281.8606</v>
      </c>
      <c r="D8" s="5">
        <f>IF(B8="","",[1]!s_dq_close(股指期货基差分析!$E$6,$B8))</f>
        <v>4277.3999999999996</v>
      </c>
      <c r="E8" s="5">
        <f ca="1">RANK(F8,F:F)+COUNTIF(F$2:F8,F8)-1</f>
        <v>397</v>
      </c>
      <c r="F8" s="5">
        <f t="shared" si="0"/>
        <v>-4.4606000000003405</v>
      </c>
      <c r="G8" s="5">
        <f ca="1">IF(B8="","",股指期货基差分析!$N$11)</f>
        <v>-71.408500000000458</v>
      </c>
      <c r="H8" s="5">
        <f ca="1">IF(B8="","",股指期货基差分析!$L$11)</f>
        <v>15.737900000000081</v>
      </c>
      <c r="I8" s="9">
        <f ca="1">IF(B8="","",股指期货基差分析!$D$11)</f>
        <v>-19.923978315132629</v>
      </c>
      <c r="L8" s="39">
        <f ca="1">ROUND(L3+5*(L11-L3)/9,0)</f>
        <v>-21</v>
      </c>
      <c r="M8" s="39" t="str">
        <f t="shared" ca="1" si="1"/>
        <v>&lt;=-21</v>
      </c>
      <c r="N8" s="40">
        <f ca="1"/>
        <v>305</v>
      </c>
      <c r="Q8" s="11"/>
    </row>
    <row r="9" spans="2:17" ht="15" customHeight="1" x14ac:dyDescent="0.2">
      <c r="B9" s="8">
        <v>43476</v>
      </c>
      <c r="C9" s="6">
        <f>IF(B9="","",[1]!s_dq_close(股指期货基差分析!$E$5,$B9))</f>
        <v>4314.8756999999996</v>
      </c>
      <c r="D9" s="6">
        <f>IF(B9="","",[1]!s_dq_close(股指期货基差分析!$E$6,$B9))</f>
        <v>4312</v>
      </c>
      <c r="E9" s="6">
        <f ca="1">RANK(F9,F:F)+COUNTIF(F$2:F9,F9)-1</f>
        <v>367</v>
      </c>
      <c r="F9" s="6">
        <f t="shared" si="0"/>
        <v>-2.8756999999995969</v>
      </c>
      <c r="G9" s="6">
        <f ca="1">IF(B9="","",股指期货基差分析!$N$11)</f>
        <v>-71.408500000000458</v>
      </c>
      <c r="H9" s="6">
        <f ca="1">IF(B9="","",股指期货基差分析!$L$11)</f>
        <v>15.737900000000081</v>
      </c>
      <c r="I9" s="10">
        <f ca="1">IF(B9="","",股指期货基差分析!$D$11)</f>
        <v>-19.923978315132629</v>
      </c>
      <c r="L9" s="39">
        <f ca="1">ROUND(L3+6*(L11-L3)/9,0)</f>
        <v>4</v>
      </c>
      <c r="M9" s="39" t="str">
        <f t="shared" ca="1" si="1"/>
        <v>&lt;=4</v>
      </c>
      <c r="N9" s="40">
        <f ca="1"/>
        <v>558</v>
      </c>
      <c r="Q9" s="11"/>
    </row>
    <row r="10" spans="2:17" ht="15" customHeight="1" x14ac:dyDescent="0.2">
      <c r="B10" s="7">
        <v>43479</v>
      </c>
      <c r="C10" s="5">
        <f>IF(B10="","",[1]!s_dq_close(股指期货基差分析!$E$5,$B10))</f>
        <v>4286.5474000000004</v>
      </c>
      <c r="D10" s="5">
        <f>IF(B10="","",[1]!s_dq_close(股指期货基差分析!$E$6,$B10))</f>
        <v>4290.2</v>
      </c>
      <c r="E10" s="5">
        <f ca="1">RANK(F10,F:F)+COUNTIF(F$2:F10,F10)-1</f>
        <v>216</v>
      </c>
      <c r="F10" s="5">
        <f t="shared" si="0"/>
        <v>3.6525999999994383</v>
      </c>
      <c r="G10" s="5">
        <f ca="1">IF(B10="","",股指期货基差分析!$N$11)</f>
        <v>-71.408500000000458</v>
      </c>
      <c r="H10" s="5">
        <f ca="1">IF(B10="","",股指期货基差分析!$L$11)</f>
        <v>15.737900000000081</v>
      </c>
      <c r="I10" s="9">
        <f ca="1">IF(B10="","",股指期货基差分析!$D$11)</f>
        <v>-19.923978315132629</v>
      </c>
      <c r="L10" s="39">
        <f ca="1">ROUND(L3+7*(L11-L3)/9,0)</f>
        <v>29</v>
      </c>
      <c r="M10" s="39" t="str">
        <f t="shared" ca="1" si="1"/>
        <v>&lt;=29</v>
      </c>
      <c r="N10" s="40">
        <f ca="1"/>
        <v>190</v>
      </c>
      <c r="Q10" s="11"/>
    </row>
    <row r="11" spans="2:17" ht="15" customHeight="1" x14ac:dyDescent="0.2">
      <c r="B11" s="8">
        <v>43480</v>
      </c>
      <c r="C11" s="6">
        <f>IF(B11="","",[1]!s_dq_close(股指期货基差分析!$E$5,$B11))</f>
        <v>4347.3554999999997</v>
      </c>
      <c r="D11" s="6">
        <f>IF(B11="","",[1]!s_dq_close(股指期货基差分析!$E$6,$B11))</f>
        <v>4351.3999999999996</v>
      </c>
      <c r="E11" s="6">
        <f ca="1">RANK(F11,F:F)+COUNTIF(F$2:F11,F11)-1</f>
        <v>204</v>
      </c>
      <c r="F11" s="6">
        <f t="shared" si="0"/>
        <v>4.0444999999999709</v>
      </c>
      <c r="G11" s="6">
        <f ca="1">IF(B11="","",股指期货基差分析!$N$11)</f>
        <v>-71.408500000000458</v>
      </c>
      <c r="H11" s="6">
        <f ca="1">IF(B11="","",股指期货基差分析!$L$11)</f>
        <v>15.737900000000081</v>
      </c>
      <c r="I11" s="10">
        <f ca="1">IF(B11="","",股指期货基差分析!$D$11)</f>
        <v>-19.923978315132629</v>
      </c>
      <c r="L11" s="39">
        <f ca="1">ROUND(MAX(历史数据!F$2:F$1048576),0)</f>
        <v>79</v>
      </c>
      <c r="M11" s="39" t="str">
        <f t="shared" ca="1" si="1"/>
        <v>&lt;=79</v>
      </c>
      <c r="N11" s="40">
        <f ca="1"/>
        <v>17</v>
      </c>
      <c r="Q11" s="11"/>
    </row>
    <row r="12" spans="2:17" ht="15" customHeight="1" x14ac:dyDescent="0.2">
      <c r="B12" s="7">
        <v>43481</v>
      </c>
      <c r="C12" s="5">
        <f>IF(B12="","",[1]!s_dq_close(股指期货基差分析!$E$5,$B12))</f>
        <v>4336.8779000000004</v>
      </c>
      <c r="D12" s="5">
        <f>IF(B12="","",[1]!s_dq_close(股指期货基差分析!$E$6,$B12))</f>
        <v>4341</v>
      </c>
      <c r="E12" s="5">
        <f ca="1">RANK(F12,F:F)+COUNTIF(F$2:F12,F12)-1</f>
        <v>201</v>
      </c>
      <c r="F12" s="5">
        <f t="shared" si="0"/>
        <v>4.1220999999995911</v>
      </c>
      <c r="G12" s="5">
        <f ca="1">IF(B12="","",股指期货基差分析!$N$11)</f>
        <v>-71.408500000000458</v>
      </c>
      <c r="H12" s="5">
        <f ca="1">IF(B12="","",股指期货基差分析!$L$11)</f>
        <v>15.737900000000081</v>
      </c>
      <c r="I12" s="9">
        <f ca="1">IF(B12="","",股指期货基差分析!$D$11)</f>
        <v>-19.923978315132629</v>
      </c>
      <c r="L12" s="41"/>
      <c r="M12" s="41" t="str">
        <f ca="1">"&gt;"&amp;L11</f>
        <v>&gt;79</v>
      </c>
      <c r="N12" s="42">
        <f ca="1"/>
        <v>0</v>
      </c>
      <c r="Q12" s="11"/>
    </row>
    <row r="13" spans="2:17" ht="15" customHeight="1" x14ac:dyDescent="0.2">
      <c r="B13" s="8">
        <v>43482</v>
      </c>
      <c r="C13" s="6">
        <f>IF(B13="","",[1]!s_dq_close(股指期货基差分析!$E$5,$B13))</f>
        <v>4303.7308000000003</v>
      </c>
      <c r="D13" s="6">
        <f>IF(B13="","",[1]!s_dq_close(股指期货基差分析!$E$6,$B13))</f>
        <v>4307.3999999999996</v>
      </c>
      <c r="E13" s="6">
        <f ca="1">RANK(F13,F:F)+COUNTIF(F$2:F13,F13)-1</f>
        <v>215</v>
      </c>
      <c r="F13" s="6">
        <f t="shared" si="0"/>
        <v>3.6691999999993641</v>
      </c>
      <c r="G13" s="6">
        <f ca="1">IF(B13="","",股指期货基差分析!$N$11)</f>
        <v>-71.408500000000458</v>
      </c>
      <c r="H13" s="6">
        <f ca="1">IF(B13="","",股指期货基差分析!$L$11)</f>
        <v>15.737900000000081</v>
      </c>
      <c r="I13" s="10">
        <f ca="1">IF(B13="","",股指期货基差分析!$D$11)</f>
        <v>-19.923978315132629</v>
      </c>
      <c r="Q13" s="11"/>
    </row>
    <row r="14" spans="2:17" ht="15" customHeight="1" x14ac:dyDescent="0.2">
      <c r="B14" s="7">
        <v>43483</v>
      </c>
      <c r="C14" s="5">
        <f>IF(B14="","",[1]!s_dq_close(股指期货基差分析!$E$5,$B14))</f>
        <v>4347.8112000000001</v>
      </c>
      <c r="D14" s="5">
        <f>IF(B14="","",[1]!s_dq_close(股指期货基差分析!$E$6,$B14))</f>
        <v>4330</v>
      </c>
      <c r="E14" s="5">
        <f ca="1">RANK(F14,F:F)+COUNTIF(F$2:F14,F14)-1</f>
        <v>715</v>
      </c>
      <c r="F14" s="5">
        <f t="shared" si="0"/>
        <v>-17.811200000000099</v>
      </c>
      <c r="G14" s="5">
        <f ca="1">IF(B14="","",股指期货基差分析!$N$11)</f>
        <v>-71.408500000000458</v>
      </c>
      <c r="H14" s="5">
        <f ca="1">IF(B14="","",股指期货基差分析!$L$11)</f>
        <v>15.737900000000081</v>
      </c>
      <c r="I14" s="9">
        <f ca="1">IF(B14="","",股指期货基差分析!$D$11)</f>
        <v>-19.923978315132629</v>
      </c>
      <c r="Q14" s="11"/>
    </row>
    <row r="15" spans="2:17" ht="15" customHeight="1" x14ac:dyDescent="0.2">
      <c r="B15" s="8">
        <v>43486</v>
      </c>
      <c r="C15" s="6">
        <f>IF(B15="","",[1]!s_dq_close(股指期货基差分析!$E$5,$B15))</f>
        <v>4373.6333000000004</v>
      </c>
      <c r="D15" s="6">
        <f>IF(B15="","",[1]!s_dq_close(股指期货基差分析!$E$6,$B15))</f>
        <v>4360</v>
      </c>
      <c r="E15" s="6">
        <f ca="1">RANK(F15,F:F)+COUNTIF(F$2:F15,F15)-1</f>
        <v>630</v>
      </c>
      <c r="F15" s="6">
        <f t="shared" si="0"/>
        <v>-13.633300000000418</v>
      </c>
      <c r="G15" s="6">
        <f ca="1">IF(B15="","",股指期货基差分析!$N$11)</f>
        <v>-71.408500000000458</v>
      </c>
      <c r="H15" s="6">
        <f ca="1">IF(B15="","",股指期货基差分析!$L$11)</f>
        <v>15.737900000000081</v>
      </c>
      <c r="I15" s="10">
        <f ca="1">IF(B15="","",股指期货基差分析!$D$11)</f>
        <v>-19.923978315132629</v>
      </c>
      <c r="Q15" s="11"/>
    </row>
    <row r="16" spans="2:17" ht="15" customHeight="1" x14ac:dyDescent="0.2">
      <c r="B16" s="7">
        <v>43487</v>
      </c>
      <c r="C16" s="5">
        <f>IF(B16="","",[1]!s_dq_close(股指期货基差分析!$E$5,$B16))</f>
        <v>4308.2518</v>
      </c>
      <c r="D16" s="5">
        <f>IF(B16="","",[1]!s_dq_close(股指期货基差分析!$E$6,$B16))</f>
        <v>4294.2</v>
      </c>
      <c r="E16" s="5">
        <f ca="1">RANK(F16,F:F)+COUNTIF(F$2:F16,F16)-1</f>
        <v>641</v>
      </c>
      <c r="F16" s="5">
        <f t="shared" si="0"/>
        <v>-14.051800000000185</v>
      </c>
      <c r="G16" s="5">
        <f ca="1">IF(B16="","",股指期货基差分析!$N$11)</f>
        <v>-71.408500000000458</v>
      </c>
      <c r="H16" s="5">
        <f ca="1">IF(B16="","",股指期货基差分析!$L$11)</f>
        <v>15.737900000000081</v>
      </c>
      <c r="I16" s="9">
        <f ca="1">IF(B16="","",股指期货基差分析!$D$11)</f>
        <v>-19.923978315132629</v>
      </c>
      <c r="Q16" s="11"/>
    </row>
    <row r="17" spans="2:17" ht="15" customHeight="1" x14ac:dyDescent="0.2">
      <c r="B17" s="8">
        <v>43488</v>
      </c>
      <c r="C17" s="6">
        <f>IF(B17="","",[1]!s_dq_close(股指期货基差分析!$E$5,$B17))</f>
        <v>4315.6845999999996</v>
      </c>
      <c r="D17" s="6">
        <f>IF(B17="","",[1]!s_dq_close(股指期货基差分析!$E$6,$B17))</f>
        <v>4302.6000000000004</v>
      </c>
      <c r="E17" s="6">
        <f ca="1">RANK(F17,F:F)+COUNTIF(F$2:F17,F17)-1</f>
        <v>617</v>
      </c>
      <c r="F17" s="6">
        <f t="shared" si="0"/>
        <v>-13.084599999999227</v>
      </c>
      <c r="G17" s="6">
        <f ca="1">IF(B17="","",股指期货基差分析!$N$11)</f>
        <v>-71.408500000000458</v>
      </c>
      <c r="H17" s="6">
        <f ca="1">IF(B17="","",股指期货基差分析!$L$11)</f>
        <v>15.737900000000081</v>
      </c>
      <c r="I17" s="10">
        <f ca="1">IF(B17="","",股指期货基差分析!$D$11)</f>
        <v>-19.923978315132629</v>
      </c>
      <c r="Q17" s="11"/>
    </row>
    <row r="18" spans="2:17" ht="15" customHeight="1" x14ac:dyDescent="0.2">
      <c r="B18" s="7">
        <v>43489</v>
      </c>
      <c r="C18" s="5">
        <f>IF(B18="","",[1]!s_dq_close(股指期货基差分析!$E$5,$B18))</f>
        <v>4338.17</v>
      </c>
      <c r="D18" s="5">
        <f>IF(B18="","",[1]!s_dq_close(股指期货基差分析!$E$6,$B18))</f>
        <v>4330.8</v>
      </c>
      <c r="E18" s="5">
        <f ca="1">RANK(F18,F:F)+COUNTIF(F$2:F18,F18)-1</f>
        <v>482</v>
      </c>
      <c r="F18" s="5">
        <f t="shared" si="0"/>
        <v>-7.3699999999998909</v>
      </c>
      <c r="G18" s="5">
        <f ca="1">IF(B18="","",股指期货基差分析!$N$11)</f>
        <v>-71.408500000000458</v>
      </c>
      <c r="H18" s="5">
        <f ca="1">IF(B18="","",股指期货基差分析!$L$11)</f>
        <v>15.737900000000081</v>
      </c>
      <c r="I18" s="9">
        <f ca="1">IF(B18="","",股指期货基差分析!$D$11)</f>
        <v>-19.923978315132629</v>
      </c>
      <c r="Q18" s="11"/>
    </row>
    <row r="19" spans="2:17" ht="15" customHeight="1" x14ac:dyDescent="0.2">
      <c r="B19" s="8">
        <v>43490</v>
      </c>
      <c r="C19" s="6">
        <f>IF(B19="","",[1]!s_dq_close(股指期货基差分析!$E$5,$B19))</f>
        <v>4318.4417000000003</v>
      </c>
      <c r="D19" s="6">
        <f>IF(B19="","",[1]!s_dq_close(股指期货基差分析!$E$6,$B19))</f>
        <v>4310</v>
      </c>
      <c r="E19" s="6">
        <f ca="1">RANK(F19,F:F)+COUNTIF(F$2:F19,F19)-1</f>
        <v>511</v>
      </c>
      <c r="F19" s="6">
        <f t="shared" si="0"/>
        <v>-8.44170000000031</v>
      </c>
      <c r="G19" s="6">
        <f ca="1">IF(B19="","",股指期货基差分析!$N$11)</f>
        <v>-71.408500000000458</v>
      </c>
      <c r="H19" s="6">
        <f ca="1">IF(B19="","",股指期货基差分析!$L$11)</f>
        <v>15.737900000000081</v>
      </c>
      <c r="I19" s="10">
        <f ca="1">IF(B19="","",股指期货基差分析!$D$11)</f>
        <v>-19.923978315132629</v>
      </c>
      <c r="L19" s="43"/>
      <c r="Q19" s="11"/>
    </row>
    <row r="20" spans="2:17" ht="15" customHeight="1" x14ac:dyDescent="0.2">
      <c r="B20" s="7">
        <v>43493</v>
      </c>
      <c r="C20" s="5">
        <f>IF(B20="","",[1]!s_dq_close(股指期货基差分析!$E$5,$B20))</f>
        <v>4307.2196000000004</v>
      </c>
      <c r="D20" s="5">
        <f>IF(B20="","",[1]!s_dq_close(股指期货基差分析!$E$6,$B20))</f>
        <v>4291.6000000000004</v>
      </c>
      <c r="E20" s="5">
        <f ca="1">RANK(F20,F:F)+COUNTIF(F$2:F20,F20)-1</f>
        <v>673</v>
      </c>
      <c r="F20" s="5">
        <f t="shared" si="0"/>
        <v>-15.619599999999991</v>
      </c>
      <c r="G20" s="5">
        <f ca="1">IF(B20="","",股指期货基差分析!$N$11)</f>
        <v>-71.408500000000458</v>
      </c>
      <c r="H20" s="5">
        <f ca="1">IF(B20="","",股指期货基差分析!$L$11)</f>
        <v>15.737900000000081</v>
      </c>
      <c r="I20" s="9">
        <f ca="1">IF(B20="","",股指期货基差分析!$D$11)</f>
        <v>-19.923978315132629</v>
      </c>
      <c r="L20" s="43"/>
      <c r="Q20" s="11"/>
    </row>
    <row r="21" spans="2:17" ht="15" customHeight="1" x14ac:dyDescent="0.2">
      <c r="B21" s="8">
        <v>43494</v>
      </c>
      <c r="C21" s="6">
        <f>IF(B21="","",[1]!s_dq_close(股指期货基差分析!$E$5,$B21))</f>
        <v>4254.2875000000004</v>
      </c>
      <c r="D21" s="6">
        <f>IF(B21="","",[1]!s_dq_close(股指期货基差分析!$E$6,$B21))</f>
        <v>4242.3999999999996</v>
      </c>
      <c r="E21" s="6">
        <f ca="1">RANK(F21,F:F)+COUNTIF(F$2:F21,F21)-1</f>
        <v>593</v>
      </c>
      <c r="F21" s="6">
        <f t="shared" si="0"/>
        <v>-11.887500000000728</v>
      </c>
      <c r="G21" s="6">
        <f ca="1">IF(B21="","",股指期货基差分析!$N$11)</f>
        <v>-71.408500000000458</v>
      </c>
      <c r="H21" s="6">
        <f ca="1">IF(B21="","",股指期货基差分析!$L$11)</f>
        <v>15.737900000000081</v>
      </c>
      <c r="I21" s="10">
        <f ca="1">IF(B21="","",股指期货基差分析!$D$11)</f>
        <v>-19.923978315132629</v>
      </c>
      <c r="L21" s="43"/>
      <c r="Q21" s="11"/>
    </row>
    <row r="22" spans="2:17" ht="15" customHeight="1" x14ac:dyDescent="0.2">
      <c r="B22" s="7">
        <v>43495</v>
      </c>
      <c r="C22" s="5">
        <f>IF(B22="","",[1]!s_dq_close(股指期货基差分析!$E$5,$B22))</f>
        <v>4211.6234999999997</v>
      </c>
      <c r="D22" s="5">
        <f>IF(B22="","",[1]!s_dq_close(股指期货基差分析!$E$6,$B22))</f>
        <v>4201.8</v>
      </c>
      <c r="E22" s="5">
        <f ca="1">RANK(F22,F:F)+COUNTIF(F$2:F22,F22)-1</f>
        <v>549</v>
      </c>
      <c r="F22" s="5">
        <f t="shared" si="0"/>
        <v>-9.8234999999995125</v>
      </c>
      <c r="G22" s="5">
        <f ca="1">IF(B22="","",股指期货基差分析!$N$11)</f>
        <v>-71.408500000000458</v>
      </c>
      <c r="H22" s="5">
        <f ca="1">IF(B22="","",股指期货基差分析!$L$11)</f>
        <v>15.737900000000081</v>
      </c>
      <c r="I22" s="9">
        <f ca="1">IF(B22="","",股指期货基差分析!$D$11)</f>
        <v>-19.923978315132629</v>
      </c>
      <c r="L22" s="43"/>
      <c r="Q22" s="11"/>
    </row>
    <row r="23" spans="2:17" ht="15" customHeight="1" x14ac:dyDescent="0.2">
      <c r="B23" s="8">
        <v>43496</v>
      </c>
      <c r="C23" s="6">
        <f>IF(B23="","",[1]!s_dq_close(股指期货基差分析!$E$5,$B23))</f>
        <v>4176.4739</v>
      </c>
      <c r="D23" s="6">
        <f>IF(B23="","",[1]!s_dq_close(股指期货基差分析!$E$6,$B23))</f>
        <v>4183.6000000000004</v>
      </c>
      <c r="E23" s="6">
        <f ca="1">RANK(F23,F:F)+COUNTIF(F$2:F23,F23)-1</f>
        <v>151</v>
      </c>
      <c r="F23" s="6">
        <f t="shared" si="0"/>
        <v>7.126100000000406</v>
      </c>
      <c r="G23" s="6">
        <f ca="1">IF(B23="","",股指期货基差分析!$N$11)</f>
        <v>-71.408500000000458</v>
      </c>
      <c r="H23" s="6">
        <f ca="1">IF(B23="","",股指期货基差分析!$L$11)</f>
        <v>15.737900000000081</v>
      </c>
      <c r="I23" s="10">
        <f ca="1">IF(B23="","",股指期货基差分析!$D$11)</f>
        <v>-19.923978315132629</v>
      </c>
      <c r="L23" s="43"/>
      <c r="Q23" s="11"/>
    </row>
    <row r="24" spans="2:17" ht="15" customHeight="1" x14ac:dyDescent="0.2">
      <c r="B24" s="7">
        <v>43497</v>
      </c>
      <c r="C24" s="5">
        <f>IF(B24="","",[1]!s_dq_close(股指期货基差分析!$E$5,$B24))</f>
        <v>4294.2695999999996</v>
      </c>
      <c r="D24" s="5">
        <f>IF(B24="","",[1]!s_dq_close(股指期货基差分析!$E$6,$B24))</f>
        <v>4313.2</v>
      </c>
      <c r="E24" s="5">
        <f ca="1">RANK(F24,F:F)+COUNTIF(F$2:F24,F24)-1</f>
        <v>47</v>
      </c>
      <c r="F24" s="5">
        <f t="shared" si="0"/>
        <v>18.930400000000191</v>
      </c>
      <c r="G24" s="5">
        <f ca="1">IF(B24="","",股指期货基差分析!$N$11)</f>
        <v>-71.408500000000458</v>
      </c>
      <c r="H24" s="5">
        <f ca="1">IF(B24="","",股指期货基差分析!$L$11)</f>
        <v>15.737900000000081</v>
      </c>
      <c r="I24" s="9">
        <f ca="1">IF(B24="","",股指期货基差分析!$D$11)</f>
        <v>-19.923978315132629</v>
      </c>
      <c r="L24" s="43"/>
      <c r="Q24" s="11"/>
    </row>
    <row r="25" spans="2:17" ht="15" customHeight="1" x14ac:dyDescent="0.2">
      <c r="B25" s="8">
        <v>43507</v>
      </c>
      <c r="C25" s="6">
        <f>IF(B25="","",[1]!s_dq_close(股指期货基差分析!$E$5,$B25))</f>
        <v>4402.8667999999998</v>
      </c>
      <c r="D25" s="6">
        <f>IF(B25="","",[1]!s_dq_close(股指期货基差分析!$E$6,$B25))</f>
        <v>4406.8</v>
      </c>
      <c r="E25" s="6">
        <f ca="1">RANK(F25,F:F)+COUNTIF(F$2:F25,F25)-1</f>
        <v>208</v>
      </c>
      <c r="F25" s="6">
        <f t="shared" si="0"/>
        <v>3.9332000000003973</v>
      </c>
      <c r="G25" s="6">
        <f ca="1">IF(B25="","",股指期货基差分析!$N$11)</f>
        <v>-71.408500000000458</v>
      </c>
      <c r="H25" s="6">
        <f ca="1">IF(B25="","",股指期货基差分析!$L$11)</f>
        <v>15.737900000000081</v>
      </c>
      <c r="I25" s="10">
        <f ca="1">IF(B25="","",股指期货基差分析!$D$11)</f>
        <v>-19.923978315132629</v>
      </c>
      <c r="L25" s="43"/>
      <c r="Q25" s="11"/>
    </row>
    <row r="26" spans="2:17" ht="15" customHeight="1" x14ac:dyDescent="0.2">
      <c r="B26" s="7">
        <v>43508</v>
      </c>
      <c r="C26" s="5">
        <f>IF(B26="","",[1]!s_dq_close(股指期货基差分析!$E$5,$B26))</f>
        <v>4439.4849999999997</v>
      </c>
      <c r="D26" s="5">
        <f>IF(B26="","",[1]!s_dq_close(股指期货基差分析!$E$6,$B26))</f>
        <v>4433.3999999999996</v>
      </c>
      <c r="E26" s="5">
        <f ca="1">RANK(F26,F:F)+COUNTIF(F$2:F26,F26)-1</f>
        <v>445</v>
      </c>
      <c r="F26" s="5">
        <f t="shared" si="0"/>
        <v>-6.0850000000000364</v>
      </c>
      <c r="G26" s="5">
        <f ca="1">IF(B26="","",股指期货基差分析!$N$11)</f>
        <v>-71.408500000000458</v>
      </c>
      <c r="H26" s="5">
        <f ca="1">IF(B26="","",股指期货基差分析!$L$11)</f>
        <v>15.737900000000081</v>
      </c>
      <c r="I26" s="9">
        <f ca="1">IF(B26="","",股指期货基差分析!$D$11)</f>
        <v>-19.923978315132629</v>
      </c>
      <c r="L26" s="43"/>
      <c r="Q26" s="11"/>
    </row>
    <row r="27" spans="2:17" ht="15" customHeight="1" x14ac:dyDescent="0.2">
      <c r="B27" s="8">
        <v>43509</v>
      </c>
      <c r="C27" s="6">
        <f>IF(B27="","",[1]!s_dq_close(股指期货基差分析!$E$5,$B27))</f>
        <v>4512.4088000000002</v>
      </c>
      <c r="D27" s="6">
        <f>IF(B27="","",[1]!s_dq_close(股指期货基差分析!$E$6,$B27))</f>
        <v>4512</v>
      </c>
      <c r="E27" s="6">
        <f ca="1">RANK(F27,F:F)+COUNTIF(F$2:F27,F27)-1</f>
        <v>305</v>
      </c>
      <c r="F27" s="6">
        <f t="shared" si="0"/>
        <v>-0.40880000000015571</v>
      </c>
      <c r="G27" s="6">
        <f ca="1">IF(B27="","",股指期货基差分析!$N$11)</f>
        <v>-71.408500000000458</v>
      </c>
      <c r="H27" s="6">
        <f ca="1">IF(B27="","",股指期货基差分析!$L$11)</f>
        <v>15.737900000000081</v>
      </c>
      <c r="I27" s="10">
        <f ca="1">IF(B27="","",股指期货基差分析!$D$11)</f>
        <v>-19.923978315132629</v>
      </c>
      <c r="L27" s="43"/>
      <c r="Q27" s="11"/>
    </row>
    <row r="28" spans="2:17" ht="15" customHeight="1" x14ac:dyDescent="0.2">
      <c r="B28" s="7">
        <v>43510</v>
      </c>
      <c r="C28" s="5">
        <f>IF(B28="","",[1]!s_dq_close(股指期货基差分析!$E$5,$B28))</f>
        <v>4532.1698999999999</v>
      </c>
      <c r="D28" s="5">
        <f>IF(B28="","",[1]!s_dq_close(股指期货基差分析!$E$6,$B28))</f>
        <v>4533.8</v>
      </c>
      <c r="E28" s="5">
        <f ca="1">RANK(F28,F:F)+COUNTIF(F$2:F28,F28)-1</f>
        <v>261</v>
      </c>
      <c r="F28" s="5">
        <f t="shared" si="0"/>
        <v>1.6301000000003114</v>
      </c>
      <c r="G28" s="5">
        <f ca="1">IF(B28="","",股指期货基差分析!$N$11)</f>
        <v>-71.408500000000458</v>
      </c>
      <c r="H28" s="5">
        <f ca="1">IF(B28="","",股指期货基差分析!$L$11)</f>
        <v>15.737900000000081</v>
      </c>
      <c r="I28" s="9">
        <f ca="1">IF(B28="","",股指期货基差分析!$D$11)</f>
        <v>-19.923978315132629</v>
      </c>
      <c r="L28" s="43"/>
      <c r="Q28" s="11"/>
    </row>
    <row r="29" spans="2:17" ht="15" customHeight="1" x14ac:dyDescent="0.2">
      <c r="B29" s="8">
        <v>43511</v>
      </c>
      <c r="C29" s="6">
        <f>IF(B29="","",[1]!s_dq_close(股指期货基差分析!$E$5,$B29))</f>
        <v>4502.7348000000002</v>
      </c>
      <c r="D29" s="6">
        <f>IF(B29="","",[1]!s_dq_close(股指期货基差分析!$E$6,$B29))</f>
        <v>4522.6000000000004</v>
      </c>
      <c r="E29" s="6">
        <f ca="1">RANK(F29,F:F)+COUNTIF(F$2:F29,F29)-1</f>
        <v>41</v>
      </c>
      <c r="F29" s="6">
        <f t="shared" si="0"/>
        <v>19.865200000000186</v>
      </c>
      <c r="G29" s="6">
        <f ca="1">IF(B29="","",股指期货基差分析!$N$11)</f>
        <v>-71.408500000000458</v>
      </c>
      <c r="H29" s="6">
        <f ca="1">IF(B29="","",股指期货基差分析!$L$11)</f>
        <v>15.737900000000081</v>
      </c>
      <c r="I29" s="10">
        <f ca="1">IF(B29="","",股指期货基差分析!$D$11)</f>
        <v>-19.923978315132629</v>
      </c>
      <c r="L29" s="43"/>
      <c r="Q29" s="11"/>
    </row>
    <row r="30" spans="2:17" ht="15" customHeight="1" x14ac:dyDescent="0.2">
      <c r="B30" s="7">
        <v>43514</v>
      </c>
      <c r="C30" s="5">
        <f>IF(B30="","",[1]!s_dq_close(股指期货基差分析!$E$5,$B30))</f>
        <v>4660.9989999999998</v>
      </c>
      <c r="D30" s="5">
        <f>IF(B30="","",[1]!s_dq_close(股指期货基差分析!$E$6,$B30))</f>
        <v>4677</v>
      </c>
      <c r="E30" s="5">
        <f ca="1">RANK(F30,F:F)+COUNTIF(F$2:F30,F30)-1</f>
        <v>63</v>
      </c>
      <c r="F30" s="5">
        <f t="shared" si="0"/>
        <v>16.001000000000204</v>
      </c>
      <c r="G30" s="5">
        <f ca="1">IF(B30="","",股指期货基差分析!$N$11)</f>
        <v>-71.408500000000458</v>
      </c>
      <c r="H30" s="5">
        <f ca="1">IF(B30="","",股指期货基差分析!$L$11)</f>
        <v>15.737900000000081</v>
      </c>
      <c r="I30" s="9">
        <f ca="1">IF(B30="","",股指期货基差分析!$D$11)</f>
        <v>-19.923978315132629</v>
      </c>
      <c r="L30" s="43"/>
      <c r="Q30" s="11"/>
    </row>
    <row r="31" spans="2:17" ht="15" customHeight="1" x14ac:dyDescent="0.2">
      <c r="B31" s="8">
        <v>43515</v>
      </c>
      <c r="C31" s="6">
        <f>IF(B31="","",[1]!s_dq_close(股指期货基差分析!$E$5,$B31))</f>
        <v>4667.2835999999998</v>
      </c>
      <c r="D31" s="6">
        <f>IF(B31="","",[1]!s_dq_close(股指期货基差分析!$E$6,$B31))</f>
        <v>4659</v>
      </c>
      <c r="E31" s="6">
        <f ca="1">RANK(F31,F:F)+COUNTIF(F$2:F31,F31)-1</f>
        <v>507</v>
      </c>
      <c r="F31" s="6">
        <f t="shared" si="0"/>
        <v>-8.2835999999997512</v>
      </c>
      <c r="G31" s="6">
        <f ca="1">IF(B31="","",股指期货基差分析!$N$11)</f>
        <v>-71.408500000000458</v>
      </c>
      <c r="H31" s="6">
        <f ca="1">IF(B31="","",股指期货基差分析!$L$11)</f>
        <v>15.737900000000081</v>
      </c>
      <c r="I31" s="10">
        <f ca="1">IF(B31="","",股指期货基差分析!$D$11)</f>
        <v>-19.923978315132629</v>
      </c>
      <c r="L31" s="43"/>
      <c r="Q31" s="11"/>
    </row>
    <row r="32" spans="2:17" ht="15" customHeight="1" x14ac:dyDescent="0.2">
      <c r="B32" s="7">
        <v>43516</v>
      </c>
      <c r="C32" s="5">
        <f>IF(B32="","",[1]!s_dq_close(股指期货基差分析!$E$5,$B32))</f>
        <v>4667.6243000000004</v>
      </c>
      <c r="D32" s="5">
        <f>IF(B32="","",[1]!s_dq_close(股指期货基差分析!$E$6,$B32))</f>
        <v>4652</v>
      </c>
      <c r="E32" s="5">
        <f ca="1">RANK(F32,F:F)+COUNTIF(F$2:F32,F32)-1</f>
        <v>674</v>
      </c>
      <c r="F32" s="5">
        <f t="shared" si="0"/>
        <v>-15.624300000000403</v>
      </c>
      <c r="G32" s="5">
        <f ca="1">IF(B32="","",股指期货基差分析!$N$11)</f>
        <v>-71.408500000000458</v>
      </c>
      <c r="H32" s="5">
        <f ca="1">IF(B32="","",股指期货基差分析!$L$11)</f>
        <v>15.737900000000081</v>
      </c>
      <c r="I32" s="9">
        <f ca="1">IF(B32="","",股指期货基差分析!$D$11)</f>
        <v>-19.923978315132629</v>
      </c>
      <c r="L32" s="43"/>
      <c r="Q32" s="11"/>
    </row>
    <row r="33" spans="2:17" ht="15" customHeight="1" x14ac:dyDescent="0.2">
      <c r="B33" s="8">
        <v>43517</v>
      </c>
      <c r="C33" s="6">
        <f>IF(B33="","",[1]!s_dq_close(股指期货基差分析!$E$5,$B33))</f>
        <v>4659.1431000000002</v>
      </c>
      <c r="D33" s="6">
        <f>IF(B33="","",[1]!s_dq_close(股指期货基差分析!$E$6,$B33))</f>
        <v>4662</v>
      </c>
      <c r="E33" s="6">
        <f ca="1">RANK(F33,F:F)+COUNTIF(F$2:F33,F33)-1</f>
        <v>238</v>
      </c>
      <c r="F33" s="6">
        <f t="shared" si="0"/>
        <v>2.8568999999997686</v>
      </c>
      <c r="G33" s="6">
        <f ca="1">IF(B33="","",股指期货基差分析!$N$11)</f>
        <v>-71.408500000000458</v>
      </c>
      <c r="H33" s="6">
        <f ca="1">IF(B33="","",股指期货基差分析!$L$11)</f>
        <v>15.737900000000081</v>
      </c>
      <c r="I33" s="10">
        <f ca="1">IF(B33="","",股指期货基差分析!$D$11)</f>
        <v>-19.923978315132629</v>
      </c>
      <c r="L33" s="43"/>
      <c r="Q33" s="11"/>
    </row>
    <row r="34" spans="2:17" ht="15" customHeight="1" x14ac:dyDescent="0.2">
      <c r="B34" s="7">
        <v>43518</v>
      </c>
      <c r="C34" s="5">
        <f>IF(B34="","",[1]!s_dq_close(股指期货基差分析!$E$5,$B34))</f>
        <v>4777.2977000000001</v>
      </c>
      <c r="D34" s="5">
        <f>IF(B34="","",[1]!s_dq_close(股指期货基差分析!$E$6,$B34))</f>
        <v>4804.8</v>
      </c>
      <c r="E34" s="5">
        <f ca="1">RANK(F34,F:F)+COUNTIF(F$2:F34,F34)-1</f>
        <v>20</v>
      </c>
      <c r="F34" s="5">
        <f t="shared" si="0"/>
        <v>27.502300000000105</v>
      </c>
      <c r="G34" s="5">
        <f ca="1">IF(B34="","",股指期货基差分析!$N$11)</f>
        <v>-71.408500000000458</v>
      </c>
      <c r="H34" s="5">
        <f ca="1">IF(B34="","",股指期货基差分析!$L$11)</f>
        <v>15.737900000000081</v>
      </c>
      <c r="I34" s="9">
        <f ca="1">IF(B34="","",股指期货基差分析!$D$11)</f>
        <v>-19.923978315132629</v>
      </c>
      <c r="L34" s="43"/>
      <c r="Q34" s="11"/>
    </row>
    <row r="35" spans="2:17" ht="15" customHeight="1" x14ac:dyDescent="0.2">
      <c r="B35" s="8">
        <v>43521</v>
      </c>
      <c r="C35" s="6">
        <f>IF(B35="","",[1]!s_dq_close(股指期货基差分析!$E$5,$B35))</f>
        <v>5044.3465999999999</v>
      </c>
      <c r="D35" s="6">
        <f>IF(B35="","",[1]!s_dq_close(股指期货基差分析!$E$6,$B35))</f>
        <v>5123</v>
      </c>
      <c r="E35" s="6">
        <f ca="1">RANK(F35,F:F)+COUNTIF(F$2:F35,F35)-1</f>
        <v>1</v>
      </c>
      <c r="F35" s="6">
        <f t="shared" si="0"/>
        <v>78.653400000000147</v>
      </c>
      <c r="G35" s="6">
        <f ca="1">IF(B35="","",股指期货基差分析!$N$11)</f>
        <v>-71.408500000000458</v>
      </c>
      <c r="H35" s="6">
        <f ca="1">IF(B35="","",股指期货基差分析!$L$11)</f>
        <v>15.737900000000081</v>
      </c>
      <c r="I35" s="10">
        <f ca="1">IF(B35="","",股指期货基差分析!$D$11)</f>
        <v>-19.923978315132629</v>
      </c>
      <c r="L35" s="43"/>
      <c r="Q35" s="11"/>
    </row>
    <row r="36" spans="2:17" ht="15" customHeight="1" x14ac:dyDescent="0.2">
      <c r="B36" s="7">
        <v>43522</v>
      </c>
      <c r="C36" s="5">
        <f>IF(B36="","",[1]!s_dq_close(股指期货基差分析!$E$5,$B36))</f>
        <v>5038.5434999999998</v>
      </c>
      <c r="D36" s="5">
        <f>IF(B36="","",[1]!s_dq_close(股指期货基差分析!$E$6,$B36))</f>
        <v>5063.2</v>
      </c>
      <c r="E36" s="5">
        <f ca="1">RANK(F36,F:F)+COUNTIF(F$2:F36,F36)-1</f>
        <v>26</v>
      </c>
      <c r="F36" s="5">
        <f t="shared" si="0"/>
        <v>24.656500000000051</v>
      </c>
      <c r="G36" s="5">
        <f ca="1">IF(B36="","",股指期货基差分析!$N$11)</f>
        <v>-71.408500000000458</v>
      </c>
      <c r="H36" s="5">
        <f ca="1">IF(B36="","",股指期货基差分析!$L$11)</f>
        <v>15.737900000000081</v>
      </c>
      <c r="I36" s="9">
        <f ca="1">IF(B36="","",股指期货基差分析!$D$11)</f>
        <v>-19.923978315132629</v>
      </c>
      <c r="L36" s="43"/>
      <c r="Q36" s="11"/>
    </row>
    <row r="37" spans="2:17" ht="15" customHeight="1" x14ac:dyDescent="0.2">
      <c r="B37" s="8">
        <v>43523</v>
      </c>
      <c r="C37" s="6">
        <f>IF(B37="","",[1]!s_dq_close(股指期货基差分析!$E$5,$B37))</f>
        <v>5017.8842000000004</v>
      </c>
      <c r="D37" s="6">
        <f>IF(B37="","",[1]!s_dq_close(股指期货基差分析!$E$6,$B37))</f>
        <v>5017.3999999999996</v>
      </c>
      <c r="E37" s="6">
        <f ca="1">RANK(F37,F:F)+COUNTIF(F$2:F37,F37)-1</f>
        <v>308</v>
      </c>
      <c r="F37" s="6">
        <f t="shared" si="0"/>
        <v>-0.48420000000078289</v>
      </c>
      <c r="G37" s="6">
        <f ca="1">IF(B37="","",股指期货基差分析!$N$11)</f>
        <v>-71.408500000000458</v>
      </c>
      <c r="H37" s="6">
        <f ca="1">IF(B37="","",股指期货基差分析!$L$11)</f>
        <v>15.737900000000081</v>
      </c>
      <c r="I37" s="10">
        <f ca="1">IF(B37="","",股指期货基差分析!$D$11)</f>
        <v>-19.923978315132629</v>
      </c>
      <c r="L37" s="43"/>
      <c r="Q37" s="11"/>
    </row>
    <row r="38" spans="2:17" ht="15" customHeight="1" x14ac:dyDescent="0.2">
      <c r="B38" s="7">
        <v>43524</v>
      </c>
      <c r="C38" s="5">
        <f>IF(B38="","",[1]!s_dq_close(股指期货基差分析!$E$5,$B38))</f>
        <v>5025.2912999999999</v>
      </c>
      <c r="D38" s="5">
        <f>IF(B38="","",[1]!s_dq_close(股指期货基差分析!$E$6,$B38))</f>
        <v>5034.6000000000004</v>
      </c>
      <c r="E38" s="5">
        <f ca="1">RANK(F38,F:F)+COUNTIF(F$2:F38,F38)-1</f>
        <v>116</v>
      </c>
      <c r="F38" s="5">
        <f t="shared" si="0"/>
        <v>9.3087000000004991</v>
      </c>
      <c r="G38" s="5">
        <f ca="1">IF(B38="","",股指期货基差分析!$N$11)</f>
        <v>-71.408500000000458</v>
      </c>
      <c r="H38" s="5">
        <f ca="1">IF(B38="","",股指期货基差分析!$L$11)</f>
        <v>15.737900000000081</v>
      </c>
      <c r="I38" s="9">
        <f ca="1">IF(B38="","",股指期货基差分析!$D$11)</f>
        <v>-19.923978315132629</v>
      </c>
      <c r="L38" s="43"/>
      <c r="Q38" s="11"/>
    </row>
    <row r="39" spans="2:17" ht="15" customHeight="1" x14ac:dyDescent="0.2">
      <c r="B39" s="8">
        <v>43525</v>
      </c>
      <c r="C39" s="6">
        <f>IF(B39="","",[1]!s_dq_close(股指期货基差分析!$E$5,$B39))</f>
        <v>5067.2250000000004</v>
      </c>
      <c r="D39" s="6">
        <f>IF(B39="","",[1]!s_dq_close(股指期货基差分析!$E$6,$B39))</f>
        <v>5081.2</v>
      </c>
      <c r="E39" s="6">
        <f ca="1">RANK(F39,F:F)+COUNTIF(F$2:F39,F39)-1</f>
        <v>73</v>
      </c>
      <c r="F39" s="6">
        <f t="shared" si="0"/>
        <v>13.974999999999454</v>
      </c>
      <c r="G39" s="6">
        <f ca="1">IF(B39="","",股指期货基差分析!$N$11)</f>
        <v>-71.408500000000458</v>
      </c>
      <c r="H39" s="6">
        <f ca="1">IF(B39="","",股指期货基差分析!$L$11)</f>
        <v>15.737900000000081</v>
      </c>
      <c r="I39" s="10">
        <f ca="1">IF(B39="","",股指期货基差分析!$D$11)</f>
        <v>-19.923978315132629</v>
      </c>
      <c r="L39" s="43"/>
      <c r="Q39" s="11"/>
    </row>
    <row r="40" spans="2:17" ht="15" customHeight="1" x14ac:dyDescent="0.2">
      <c r="B40" s="7">
        <v>43528</v>
      </c>
      <c r="C40" s="5">
        <f>IF(B40="","",[1]!s_dq_close(股指期货基差分析!$E$5,$B40))</f>
        <v>5158.2466999999997</v>
      </c>
      <c r="D40" s="5">
        <f>IF(B40="","",[1]!s_dq_close(股指期货基差分析!$E$6,$B40))</f>
        <v>5144.3999999999996</v>
      </c>
      <c r="E40" s="5">
        <f ca="1">RANK(F40,F:F)+COUNTIF(F$2:F40,F40)-1</f>
        <v>634</v>
      </c>
      <c r="F40" s="5">
        <f t="shared" si="0"/>
        <v>-13.846700000000055</v>
      </c>
      <c r="G40" s="5">
        <f ca="1">IF(B40="","",股指期货基差分析!$N$11)</f>
        <v>-71.408500000000458</v>
      </c>
      <c r="H40" s="5">
        <f ca="1">IF(B40="","",股指期货基差分析!$L$11)</f>
        <v>15.737900000000081</v>
      </c>
      <c r="I40" s="9">
        <f ca="1">IF(B40="","",股指期货基差分析!$D$11)</f>
        <v>-19.923978315132629</v>
      </c>
      <c r="L40" s="43"/>
      <c r="Q40" s="11"/>
    </row>
    <row r="41" spans="2:17" ht="15" customHeight="1" x14ac:dyDescent="0.2">
      <c r="B41" s="8">
        <v>43529</v>
      </c>
      <c r="C41" s="6">
        <f>IF(B41="","",[1]!s_dq_close(股指期货基差分析!$E$5,$B41))</f>
        <v>5295.2878000000001</v>
      </c>
      <c r="D41" s="6">
        <f>IF(B41="","",[1]!s_dq_close(股指期货基差分析!$E$6,$B41))</f>
        <v>5298.8</v>
      </c>
      <c r="E41" s="6">
        <f ca="1">RANK(F41,F:F)+COUNTIF(F$2:F41,F41)-1</f>
        <v>220</v>
      </c>
      <c r="F41" s="6">
        <f t="shared" si="0"/>
        <v>3.5122000000001208</v>
      </c>
      <c r="G41" s="6">
        <f ca="1">IF(B41="","",股指期货基差分析!$N$11)</f>
        <v>-71.408500000000458</v>
      </c>
      <c r="H41" s="6">
        <f ca="1">IF(B41="","",股指期货基差分析!$L$11)</f>
        <v>15.737900000000081</v>
      </c>
      <c r="I41" s="10">
        <f ca="1">IF(B41="","",股指期货基差分析!$D$11)</f>
        <v>-19.923978315132629</v>
      </c>
      <c r="L41" s="43"/>
      <c r="Q41" s="11"/>
    </row>
    <row r="42" spans="2:17" ht="15" customHeight="1" x14ac:dyDescent="0.2">
      <c r="B42" s="7">
        <v>43530</v>
      </c>
      <c r="C42" s="5">
        <f>IF(B42="","",[1]!s_dq_close(股指期货基差分析!$E$5,$B42))</f>
        <v>5390.0294000000004</v>
      </c>
      <c r="D42" s="5">
        <f>IF(B42="","",[1]!s_dq_close(股指期货基差分析!$E$6,$B42))</f>
        <v>5400</v>
      </c>
      <c r="E42" s="5">
        <f ca="1">RANK(F42,F:F)+COUNTIF(F$2:F42,F42)-1</f>
        <v>112</v>
      </c>
      <c r="F42" s="5">
        <f t="shared" si="0"/>
        <v>9.9705999999996493</v>
      </c>
      <c r="G42" s="5">
        <f ca="1">IF(B42="","",股指期货基差分析!$N$11)</f>
        <v>-71.408500000000458</v>
      </c>
      <c r="H42" s="5">
        <f ca="1">IF(B42="","",股指期货基差分析!$L$11)</f>
        <v>15.737900000000081</v>
      </c>
      <c r="I42" s="9">
        <f ca="1">IF(B42="","",股指期货基差分析!$D$11)</f>
        <v>-19.923978315132629</v>
      </c>
      <c r="L42" s="43"/>
      <c r="Q42" s="11"/>
    </row>
    <row r="43" spans="2:17" ht="15" customHeight="1" x14ac:dyDescent="0.2">
      <c r="B43" s="8">
        <v>43531</v>
      </c>
      <c r="C43" s="6">
        <f>IF(B43="","",[1]!s_dq_close(股指期货基差分析!$E$5,$B43))</f>
        <v>5458.6153000000004</v>
      </c>
      <c r="D43" s="6">
        <f>IF(B43="","",[1]!s_dq_close(股指期货基差分析!$E$6,$B43))</f>
        <v>5442.4</v>
      </c>
      <c r="E43" s="6">
        <f ca="1">RANK(F43,F:F)+COUNTIF(F$2:F43,F43)-1</f>
        <v>682</v>
      </c>
      <c r="F43" s="6">
        <f t="shared" si="0"/>
        <v>-16.215300000000752</v>
      </c>
      <c r="G43" s="6">
        <f ca="1">IF(B43="","",股指期货基差分析!$N$11)</f>
        <v>-71.408500000000458</v>
      </c>
      <c r="H43" s="6">
        <f ca="1">IF(B43="","",股指期货基差分析!$L$11)</f>
        <v>15.737900000000081</v>
      </c>
      <c r="I43" s="10">
        <f ca="1">IF(B43="","",股指期货基差分析!$D$11)</f>
        <v>-19.923978315132629</v>
      </c>
      <c r="L43" s="43"/>
      <c r="Q43" s="11"/>
    </row>
    <row r="44" spans="2:17" ht="15" customHeight="1" x14ac:dyDescent="0.2">
      <c r="B44" s="7">
        <v>43532</v>
      </c>
      <c r="C44" s="5">
        <f>IF(B44="","",[1]!s_dq_close(股指期货基差分析!$E$5,$B44))</f>
        <v>5245.6998999999996</v>
      </c>
      <c r="D44" s="5">
        <f>IF(B44="","",[1]!s_dq_close(股指期货基差分析!$E$6,$B44))</f>
        <v>5296.4</v>
      </c>
      <c r="E44" s="5">
        <f ca="1">RANK(F44,F:F)+COUNTIF(F$2:F44,F44)-1</f>
        <v>4</v>
      </c>
      <c r="F44" s="5">
        <f t="shared" si="0"/>
        <v>50.70010000000002</v>
      </c>
      <c r="G44" s="5">
        <f ca="1">IF(B44="","",股指期货基差分析!$N$11)</f>
        <v>-71.408500000000458</v>
      </c>
      <c r="H44" s="5">
        <f ca="1">IF(B44="","",股指期货基差分析!$L$11)</f>
        <v>15.737900000000081</v>
      </c>
      <c r="I44" s="9">
        <f ca="1">IF(B44="","",股指期货基差分析!$D$11)</f>
        <v>-19.923978315132629</v>
      </c>
      <c r="L44" s="43"/>
      <c r="Q44" s="11"/>
    </row>
    <row r="45" spans="2:17" ht="15" customHeight="1" x14ac:dyDescent="0.2">
      <c r="B45" s="8">
        <v>43535</v>
      </c>
      <c r="C45" s="6">
        <f>IF(B45="","",[1]!s_dq_close(股指期货基差分析!$E$5,$B45))</f>
        <v>5456.3810000000003</v>
      </c>
      <c r="D45" s="6">
        <f>IF(B45="","",[1]!s_dq_close(股指期货基差分析!$E$6,$B45))</f>
        <v>5448.8</v>
      </c>
      <c r="E45" s="6">
        <f ca="1">RANK(F45,F:F)+COUNTIF(F$2:F45,F45)-1</f>
        <v>491</v>
      </c>
      <c r="F45" s="6">
        <f t="shared" si="0"/>
        <v>-7.581000000000131</v>
      </c>
      <c r="G45" s="6">
        <f ca="1">IF(B45="","",股指期货基差分析!$N$11)</f>
        <v>-71.408500000000458</v>
      </c>
      <c r="H45" s="6">
        <f ca="1">IF(B45="","",股指期货基差分析!$L$11)</f>
        <v>15.737900000000081</v>
      </c>
      <c r="I45" s="10">
        <f ca="1">IF(B45="","",股指期货基差分析!$D$11)</f>
        <v>-19.923978315132629</v>
      </c>
      <c r="L45" s="43"/>
      <c r="Q45" s="11"/>
    </row>
    <row r="46" spans="2:17" ht="15" customHeight="1" x14ac:dyDescent="0.2">
      <c r="B46" s="7">
        <v>43536</v>
      </c>
      <c r="C46" s="5">
        <f>IF(B46="","",[1]!s_dq_close(股指期货基差分析!$E$5,$B46))</f>
        <v>5551.0029000000004</v>
      </c>
      <c r="D46" s="5">
        <f>IF(B46="","",[1]!s_dq_close(股指期货基差分析!$E$6,$B46))</f>
        <v>5546.2</v>
      </c>
      <c r="E46" s="5">
        <f ca="1">RANK(F46,F:F)+COUNTIF(F$2:F46,F46)-1</f>
        <v>409</v>
      </c>
      <c r="F46" s="5">
        <f t="shared" si="0"/>
        <v>-4.8029000000005908</v>
      </c>
      <c r="G46" s="5">
        <f ca="1">IF(B46="","",股指期货基差分析!$N$11)</f>
        <v>-71.408500000000458</v>
      </c>
      <c r="H46" s="5">
        <f ca="1">IF(B46="","",股指期货基差分析!$L$11)</f>
        <v>15.737900000000081</v>
      </c>
      <c r="I46" s="9">
        <f ca="1">IF(B46="","",股指期货基差分析!$D$11)</f>
        <v>-19.923978315132629</v>
      </c>
      <c r="L46" s="43"/>
      <c r="Q46" s="11"/>
    </row>
    <row r="47" spans="2:17" ht="15" customHeight="1" x14ac:dyDescent="0.2">
      <c r="B47" s="8">
        <v>43537</v>
      </c>
      <c r="C47" s="6">
        <f>IF(B47="","",[1]!s_dq_close(股指期货基差分析!$E$5,$B47))</f>
        <v>5424.8642</v>
      </c>
      <c r="D47" s="6">
        <f>IF(B47="","",[1]!s_dq_close(股指期货基差分析!$E$6,$B47))</f>
        <v>5403.6</v>
      </c>
      <c r="E47" s="6">
        <f ca="1">RANK(F47,F:F)+COUNTIF(F$2:F47,F47)-1</f>
        <v>771</v>
      </c>
      <c r="F47" s="6">
        <f t="shared" si="0"/>
        <v>-21.264199999999619</v>
      </c>
      <c r="G47" s="6">
        <f ca="1">IF(B47="","",股指期货基差分析!$N$11)</f>
        <v>-71.408500000000458</v>
      </c>
      <c r="H47" s="6">
        <f ca="1">IF(B47="","",股指期货基差分析!$L$11)</f>
        <v>15.737900000000081</v>
      </c>
      <c r="I47" s="10">
        <f ca="1">IF(B47="","",股指期货基差分析!$D$11)</f>
        <v>-19.923978315132629</v>
      </c>
      <c r="L47" s="43"/>
      <c r="Q47" s="11"/>
    </row>
    <row r="48" spans="2:17" ht="15" customHeight="1" x14ac:dyDescent="0.2">
      <c r="B48" s="7">
        <v>43538</v>
      </c>
      <c r="C48" s="5">
        <f>IF(B48="","",[1]!s_dq_close(股指期货基差分析!$E$5,$B48))</f>
        <v>5298.5024000000003</v>
      </c>
      <c r="D48" s="5">
        <f>IF(B48="","",[1]!s_dq_close(股指期货基差分析!$E$6,$B48))</f>
        <v>5289.6</v>
      </c>
      <c r="E48" s="5">
        <f ca="1">RANK(F48,F:F)+COUNTIF(F$2:F48,F48)-1</f>
        <v>528</v>
      </c>
      <c r="F48" s="5">
        <f t="shared" si="0"/>
        <v>-8.9023999999999432</v>
      </c>
      <c r="G48" s="5">
        <f ca="1">IF(B48="","",股指期货基差分析!$N$11)</f>
        <v>-71.408500000000458</v>
      </c>
      <c r="H48" s="5">
        <f ca="1">IF(B48="","",股指期货基差分析!$L$11)</f>
        <v>15.737900000000081</v>
      </c>
      <c r="I48" s="9">
        <f ca="1">IF(B48="","",股指期货基差分析!$D$11)</f>
        <v>-19.923978315132629</v>
      </c>
      <c r="L48" s="43"/>
      <c r="Q48" s="11"/>
    </row>
    <row r="49" spans="2:17" ht="15" customHeight="1" x14ac:dyDescent="0.2">
      <c r="B49" s="8">
        <v>43539</v>
      </c>
      <c r="C49" s="6">
        <f>IF(B49="","",[1]!s_dq_close(股指期货基差分析!$E$5,$B49))</f>
        <v>5359.0087000000003</v>
      </c>
      <c r="D49" s="6">
        <f>IF(B49="","",[1]!s_dq_close(股指期货基差分析!$E$6,$B49))</f>
        <v>5351.2</v>
      </c>
      <c r="E49" s="6">
        <f ca="1">RANK(F49,F:F)+COUNTIF(F$2:F49,F49)-1</f>
        <v>499</v>
      </c>
      <c r="F49" s="6">
        <f t="shared" si="0"/>
        <v>-7.8087000000004991</v>
      </c>
      <c r="G49" s="6">
        <f ca="1">IF(B49="","",股指期货基差分析!$N$11)</f>
        <v>-71.408500000000458</v>
      </c>
      <c r="H49" s="6">
        <f ca="1">IF(B49="","",股指期货基差分析!$L$11)</f>
        <v>15.737900000000081</v>
      </c>
      <c r="I49" s="10">
        <f ca="1">IF(B49="","",股指期货基差分析!$D$11)</f>
        <v>-19.923978315132629</v>
      </c>
      <c r="L49" s="43"/>
      <c r="Q49" s="11"/>
    </row>
    <row r="50" spans="2:17" ht="15" customHeight="1" x14ac:dyDescent="0.2">
      <c r="B50" s="7">
        <v>43542</v>
      </c>
      <c r="C50" s="5">
        <f>IF(B50="","",[1]!s_dq_close(股指期货基差分析!$E$5,$B50))</f>
        <v>5501.183</v>
      </c>
      <c r="D50" s="5">
        <f>IF(B50="","",[1]!s_dq_close(股指期货基差分析!$E$6,$B50))</f>
        <v>5513.8</v>
      </c>
      <c r="E50" s="5">
        <f ca="1">RANK(F50,F:F)+COUNTIF(F$2:F50,F50)-1</f>
        <v>83</v>
      </c>
      <c r="F50" s="5">
        <f t="shared" si="0"/>
        <v>12.617000000000189</v>
      </c>
      <c r="G50" s="5">
        <f ca="1">IF(B50="","",股指期货基差分析!$N$11)</f>
        <v>-71.408500000000458</v>
      </c>
      <c r="H50" s="5">
        <f ca="1">IF(B50="","",股指期货基差分析!$L$11)</f>
        <v>15.737900000000081</v>
      </c>
      <c r="I50" s="9">
        <f ca="1">IF(B50="","",股指期货基差分析!$D$11)</f>
        <v>-19.923978315132629</v>
      </c>
      <c r="L50" s="43"/>
      <c r="Q50" s="11"/>
    </row>
    <row r="51" spans="2:17" ht="15" customHeight="1" x14ac:dyDescent="0.2">
      <c r="B51" s="8">
        <v>43543</v>
      </c>
      <c r="C51" s="6">
        <f>IF(B51="","",[1]!s_dq_close(股指期货基差分析!$E$5,$B51))</f>
        <v>5522.1800999999996</v>
      </c>
      <c r="D51" s="6">
        <f>IF(B51="","",[1]!s_dq_close(股指期货基差分析!$E$6,$B51))</f>
        <v>5487.4</v>
      </c>
      <c r="E51" s="6">
        <f ca="1">RANK(F51,F:F)+COUNTIF(F$2:F51,F51)-1</f>
        <v>955</v>
      </c>
      <c r="F51" s="6">
        <f t="shared" si="0"/>
        <v>-34.780099999999948</v>
      </c>
      <c r="G51" s="6">
        <f ca="1">IF(B51="","",股指期货基差分析!$N$11)</f>
        <v>-71.408500000000458</v>
      </c>
      <c r="H51" s="6">
        <f ca="1">IF(B51="","",股指期货基差分析!$L$11)</f>
        <v>15.737900000000081</v>
      </c>
      <c r="I51" s="10">
        <f ca="1">IF(B51="","",股指期货基差分析!$D$11)</f>
        <v>-19.923978315132629</v>
      </c>
      <c r="L51" s="43"/>
      <c r="Q51" s="11"/>
    </row>
    <row r="52" spans="2:17" ht="15" customHeight="1" x14ac:dyDescent="0.2">
      <c r="B52" s="7">
        <v>43544</v>
      </c>
      <c r="C52" s="5">
        <f>IF(B52="","",[1]!s_dq_close(股指期货基差分析!$E$5,$B52))</f>
        <v>5515.7856000000002</v>
      </c>
      <c r="D52" s="5">
        <f>IF(B52="","",[1]!s_dq_close(股指期货基差分析!$E$6,$B52))</f>
        <v>5470</v>
      </c>
      <c r="E52" s="5">
        <f ca="1">RANK(F52,F:F)+COUNTIF(F$2:F52,F52)-1</f>
        <v>1069</v>
      </c>
      <c r="F52" s="5">
        <f t="shared" si="0"/>
        <v>-45.785600000000159</v>
      </c>
      <c r="G52" s="5">
        <f ca="1">IF(B52="","",股指期货基差分析!$N$11)</f>
        <v>-71.408500000000458</v>
      </c>
      <c r="H52" s="5">
        <f ca="1">IF(B52="","",股指期货基差分析!$L$11)</f>
        <v>15.737900000000081</v>
      </c>
      <c r="I52" s="9">
        <f ca="1">IF(B52="","",股指期货基差分析!$D$11)</f>
        <v>-19.923978315132629</v>
      </c>
      <c r="L52" s="43"/>
      <c r="Q52" s="11"/>
    </row>
    <row r="53" spans="2:17" ht="15" customHeight="1" x14ac:dyDescent="0.2">
      <c r="B53" s="8">
        <v>43545</v>
      </c>
      <c r="C53" s="6">
        <f>IF(B53="","",[1]!s_dq_close(股指期货基差分析!$E$5,$B53))</f>
        <v>5589.4780000000001</v>
      </c>
      <c r="D53" s="6">
        <f>IF(B53="","",[1]!s_dq_close(股指期货基差分析!$E$6,$B53))</f>
        <v>5541.4</v>
      </c>
      <c r="E53" s="6">
        <f ca="1">RANK(F53,F:F)+COUNTIF(F$2:F53,F53)-1</f>
        <v>1086</v>
      </c>
      <c r="F53" s="6">
        <f t="shared" si="0"/>
        <v>-48.078000000000429</v>
      </c>
      <c r="G53" s="6">
        <f ca="1">IF(B53="","",股指期货基差分析!$N$11)</f>
        <v>-71.408500000000458</v>
      </c>
      <c r="H53" s="6">
        <f ca="1">IF(B53="","",股指期货基差分析!$L$11)</f>
        <v>15.737900000000081</v>
      </c>
      <c r="I53" s="10">
        <f ca="1">IF(B53="","",股指期货基差分析!$D$11)</f>
        <v>-19.923978315132629</v>
      </c>
      <c r="L53" s="43"/>
      <c r="Q53" s="11"/>
    </row>
    <row r="54" spans="2:17" ht="15" customHeight="1" x14ac:dyDescent="0.2">
      <c r="B54" s="7">
        <v>43546</v>
      </c>
      <c r="C54" s="5">
        <f>IF(B54="","",[1]!s_dq_close(股指期货基差分析!$E$5,$B54))</f>
        <v>5622.1401999999998</v>
      </c>
      <c r="D54" s="5">
        <f>IF(B54="","",[1]!s_dq_close(股指期货基差分析!$E$6,$B54))</f>
        <v>5611.2</v>
      </c>
      <c r="E54" s="5">
        <f ca="1">RANK(F54,F:F)+COUNTIF(F$2:F54,F54)-1</f>
        <v>574</v>
      </c>
      <c r="F54" s="5">
        <f t="shared" si="0"/>
        <v>-10.940200000000004</v>
      </c>
      <c r="G54" s="5">
        <f ca="1">IF(B54="","",股指期货基差分析!$N$11)</f>
        <v>-71.408500000000458</v>
      </c>
      <c r="H54" s="5">
        <f ca="1">IF(B54="","",股指期货基差分析!$L$11)</f>
        <v>15.737900000000081</v>
      </c>
      <c r="I54" s="9">
        <f ca="1">IF(B54="","",股指期货基差分析!$D$11)</f>
        <v>-19.923978315132629</v>
      </c>
      <c r="L54" s="43"/>
      <c r="Q54" s="11"/>
    </row>
    <row r="55" spans="2:17" ht="15" customHeight="1" x14ac:dyDescent="0.2">
      <c r="B55" s="8">
        <v>43549</v>
      </c>
      <c r="C55" s="6">
        <f>IF(B55="","",[1]!s_dq_close(股指期货基差分析!$E$5,$B55))</f>
        <v>5549.6710999999996</v>
      </c>
      <c r="D55" s="6">
        <f>IF(B55="","",[1]!s_dq_close(股指期货基差分析!$E$6,$B55))</f>
        <v>5518.6</v>
      </c>
      <c r="E55" s="6">
        <f ca="1">RANK(F55,F:F)+COUNTIF(F$2:F55,F55)-1</f>
        <v>903</v>
      </c>
      <c r="F55" s="6">
        <f t="shared" si="0"/>
        <v>-31.071099999999205</v>
      </c>
      <c r="G55" s="6">
        <f ca="1">IF(B55="","",股指期货基差分析!$N$11)</f>
        <v>-71.408500000000458</v>
      </c>
      <c r="H55" s="6">
        <f ca="1">IF(B55="","",股指期货基差分析!$L$11)</f>
        <v>15.737900000000081</v>
      </c>
      <c r="I55" s="10">
        <f ca="1">IF(B55="","",股指期货基差分析!$D$11)</f>
        <v>-19.923978315132629</v>
      </c>
      <c r="L55" s="43"/>
      <c r="Q55" s="11"/>
    </row>
    <row r="56" spans="2:17" ht="15" customHeight="1" x14ac:dyDescent="0.2">
      <c r="B56" s="7">
        <v>43550</v>
      </c>
      <c r="C56" s="5">
        <f>IF(B56="","",[1]!s_dq_close(股指期货基差分析!$E$5,$B56))</f>
        <v>5394.8787000000002</v>
      </c>
      <c r="D56" s="5">
        <f>IF(B56="","",[1]!s_dq_close(股指期货基差分析!$E$6,$B56))</f>
        <v>5358</v>
      </c>
      <c r="E56" s="5">
        <f ca="1">RANK(F56,F:F)+COUNTIF(F$2:F56,F56)-1</f>
        <v>975</v>
      </c>
      <c r="F56" s="5">
        <f t="shared" si="0"/>
        <v>-36.878700000000208</v>
      </c>
      <c r="G56" s="5">
        <f ca="1">IF(B56="","",股指期货基差分析!$N$11)</f>
        <v>-71.408500000000458</v>
      </c>
      <c r="H56" s="5">
        <f ca="1">IF(B56="","",股指期货基差分析!$L$11)</f>
        <v>15.737900000000081</v>
      </c>
      <c r="I56" s="9">
        <f ca="1">IF(B56="","",股指期货基差分析!$D$11)</f>
        <v>-19.923978315132629</v>
      </c>
      <c r="L56" s="43"/>
      <c r="Q56" s="11"/>
    </row>
    <row r="57" spans="2:17" ht="15" customHeight="1" x14ac:dyDescent="0.2">
      <c r="B57" s="8">
        <v>43551</v>
      </c>
      <c r="C57" s="6">
        <f>IF(B57="","",[1]!s_dq_close(股指期货基差分析!$E$5,$B57))</f>
        <v>5447.8795</v>
      </c>
      <c r="D57" s="6">
        <f>IF(B57="","",[1]!s_dq_close(股指期货基差分析!$E$6,$B57))</f>
        <v>5391.6</v>
      </c>
      <c r="E57" s="6">
        <f ca="1">RANK(F57,F:F)+COUNTIF(F$2:F57,F57)-1</f>
        <v>1142</v>
      </c>
      <c r="F57" s="6">
        <f t="shared" si="0"/>
        <v>-56.279499999999643</v>
      </c>
      <c r="G57" s="6">
        <f ca="1">IF(B57="","",股指期货基差分析!$N$11)</f>
        <v>-71.408500000000458</v>
      </c>
      <c r="H57" s="6">
        <f ca="1">IF(B57="","",股指期货基差分析!$L$11)</f>
        <v>15.737900000000081</v>
      </c>
      <c r="I57" s="10">
        <f ca="1">IF(B57="","",股指期货基差分析!$D$11)</f>
        <v>-19.923978315132629</v>
      </c>
      <c r="L57" s="43"/>
      <c r="Q57" s="11"/>
    </row>
    <row r="58" spans="2:17" ht="15" customHeight="1" x14ac:dyDescent="0.2">
      <c r="B58" s="7">
        <v>43552</v>
      </c>
      <c r="C58" s="5">
        <f>IF(B58="","",[1]!s_dq_close(股指期货基差分析!$E$5,$B58))</f>
        <v>5370.1234000000004</v>
      </c>
      <c r="D58" s="5">
        <f>IF(B58="","",[1]!s_dq_close(股指期货基差分析!$E$6,$B58))</f>
        <v>5318.6</v>
      </c>
      <c r="E58" s="5">
        <f ca="1">RANK(F58,F:F)+COUNTIF(F$2:F58,F58)-1</f>
        <v>1112</v>
      </c>
      <c r="F58" s="5">
        <f t="shared" si="0"/>
        <v>-51.523400000000038</v>
      </c>
      <c r="G58" s="5">
        <f ca="1">IF(B58="","",股指期货基差分析!$N$11)</f>
        <v>-71.408500000000458</v>
      </c>
      <c r="H58" s="5">
        <f ca="1">IF(B58="","",股指期货基差分析!$L$11)</f>
        <v>15.737900000000081</v>
      </c>
      <c r="I58" s="9">
        <f ca="1">IF(B58="","",股指期货基差分析!$D$11)</f>
        <v>-19.923978315132629</v>
      </c>
      <c r="L58" s="43"/>
      <c r="Q58" s="11"/>
    </row>
    <row r="59" spans="2:17" ht="15" customHeight="1" x14ac:dyDescent="0.2">
      <c r="B59" s="8">
        <v>43553</v>
      </c>
      <c r="C59" s="6">
        <f>IF(B59="","",[1]!s_dq_close(股指期货基差分析!$E$5,$B59))</f>
        <v>5547.6561000000002</v>
      </c>
      <c r="D59" s="6">
        <f>IF(B59="","",[1]!s_dq_close(股指期货基差分析!$E$6,$B59))</f>
        <v>5534.4</v>
      </c>
      <c r="E59" s="6">
        <f ca="1">RANK(F59,F:F)+COUNTIF(F$2:F59,F59)-1</f>
        <v>623</v>
      </c>
      <c r="F59" s="6">
        <f t="shared" si="0"/>
        <v>-13.256100000000515</v>
      </c>
      <c r="G59" s="6">
        <f ca="1">IF(B59="","",股指期货基差分析!$N$11)</f>
        <v>-71.408500000000458</v>
      </c>
      <c r="H59" s="6">
        <f ca="1">IF(B59="","",股指期货基差分析!$L$11)</f>
        <v>15.737900000000081</v>
      </c>
      <c r="I59" s="10">
        <f ca="1">IF(B59="","",股指期货基差分析!$D$11)</f>
        <v>-19.923978315132629</v>
      </c>
      <c r="L59" s="43"/>
      <c r="Q59" s="11"/>
    </row>
    <row r="60" spans="2:17" ht="15" customHeight="1" x14ac:dyDescent="0.2">
      <c r="B60" s="7">
        <v>43556</v>
      </c>
      <c r="C60" s="5">
        <f>IF(B60="","",[1]!s_dq_close(股指期货基差分析!$E$5,$B60))</f>
        <v>5757.8379000000004</v>
      </c>
      <c r="D60" s="5">
        <f>IF(B60="","",[1]!s_dq_close(股指期货基差分析!$E$6,$B60))</f>
        <v>5766</v>
      </c>
      <c r="E60" s="5">
        <f ca="1">RANK(F60,F:F)+COUNTIF(F$2:F60,F60)-1</f>
        <v>135</v>
      </c>
      <c r="F60" s="5">
        <f t="shared" si="0"/>
        <v>8.1620999999995547</v>
      </c>
      <c r="G60" s="5">
        <f ca="1">IF(B60="","",股指期货基差分析!$N$11)</f>
        <v>-71.408500000000458</v>
      </c>
      <c r="H60" s="5">
        <f ca="1">IF(B60="","",股指期货基差分析!$L$11)</f>
        <v>15.737900000000081</v>
      </c>
      <c r="I60" s="9">
        <f ca="1">IF(B60="","",股指期货基差分析!$D$11)</f>
        <v>-19.923978315132629</v>
      </c>
      <c r="L60" s="43"/>
      <c r="Q60" s="11"/>
    </row>
    <row r="61" spans="2:17" ht="15" customHeight="1" x14ac:dyDescent="0.2">
      <c r="B61" s="8">
        <v>43557</v>
      </c>
      <c r="C61" s="6">
        <f>IF(B61="","",[1]!s_dq_close(股指期货基差分析!$E$5,$B61))</f>
        <v>5775.5496999999996</v>
      </c>
      <c r="D61" s="6">
        <f>IF(B61="","",[1]!s_dq_close(股指期货基差分析!$E$6,$B61))</f>
        <v>5746.6</v>
      </c>
      <c r="E61" s="6">
        <f ca="1">RANK(F61,F:F)+COUNTIF(F$2:F61,F61)-1</f>
        <v>874</v>
      </c>
      <c r="F61" s="6">
        <f t="shared" si="0"/>
        <v>-28.949699999999211</v>
      </c>
      <c r="G61" s="6">
        <f ca="1">IF(B61="","",股指期货基差分析!$N$11)</f>
        <v>-71.408500000000458</v>
      </c>
      <c r="H61" s="6">
        <f ca="1">IF(B61="","",股指期货基差分析!$L$11)</f>
        <v>15.737900000000081</v>
      </c>
      <c r="I61" s="10">
        <f ca="1">IF(B61="","",股指期货基差分析!$D$11)</f>
        <v>-19.923978315132629</v>
      </c>
      <c r="L61" s="43"/>
      <c r="Q61" s="11"/>
    </row>
    <row r="62" spans="2:17" ht="15" customHeight="1" x14ac:dyDescent="0.2">
      <c r="B62" s="7">
        <v>43558</v>
      </c>
      <c r="C62" s="5">
        <f>IF(B62="","",[1]!s_dq_close(股指期货基差分析!$E$5,$B62))</f>
        <v>5836.0369000000001</v>
      </c>
      <c r="D62" s="5">
        <f>IF(B62="","",[1]!s_dq_close(股指期货基差分析!$E$6,$B62))</f>
        <v>5828.6</v>
      </c>
      <c r="E62" s="5">
        <f ca="1">RANK(F62,F:F)+COUNTIF(F$2:F62,F62)-1</f>
        <v>485</v>
      </c>
      <c r="F62" s="5">
        <f t="shared" si="0"/>
        <v>-7.4368999999996959</v>
      </c>
      <c r="G62" s="5">
        <f ca="1">IF(B62="","",股指期货基差分析!$N$11)</f>
        <v>-71.408500000000458</v>
      </c>
      <c r="H62" s="5">
        <f ca="1">IF(B62="","",股指期货基差分析!$L$11)</f>
        <v>15.737900000000081</v>
      </c>
      <c r="I62" s="9">
        <f ca="1">IF(B62="","",股指期货基差分析!$D$11)</f>
        <v>-19.923978315132629</v>
      </c>
      <c r="L62" s="43"/>
      <c r="Q62" s="11"/>
    </row>
    <row r="63" spans="2:17" ht="15" customHeight="1" x14ac:dyDescent="0.2">
      <c r="B63" s="8">
        <v>43559</v>
      </c>
      <c r="C63" s="6">
        <f>IF(B63="","",[1]!s_dq_close(股指期货基差分析!$E$5,$B63))</f>
        <v>5871.5574999999999</v>
      </c>
      <c r="D63" s="6">
        <f>IF(B63="","",[1]!s_dq_close(股指期货基差分析!$E$6,$B63))</f>
        <v>5882.6</v>
      </c>
      <c r="E63" s="6">
        <f ca="1">RANK(F63,F:F)+COUNTIF(F$2:F63,F63)-1</f>
        <v>99</v>
      </c>
      <c r="F63" s="6">
        <f t="shared" si="0"/>
        <v>11.042500000000473</v>
      </c>
      <c r="G63" s="6">
        <f ca="1">IF(B63="","",股指期货基差分析!$N$11)</f>
        <v>-71.408500000000458</v>
      </c>
      <c r="H63" s="6">
        <f ca="1">IF(B63="","",股指期货基差分析!$L$11)</f>
        <v>15.737900000000081</v>
      </c>
      <c r="I63" s="10">
        <f ca="1">IF(B63="","",股指期货基差分析!$D$11)</f>
        <v>-19.923978315132629</v>
      </c>
      <c r="L63" s="43"/>
      <c r="Q63" s="11"/>
    </row>
    <row r="64" spans="2:17" ht="15" customHeight="1" x14ac:dyDescent="0.2">
      <c r="B64" s="7">
        <v>43563</v>
      </c>
      <c r="C64" s="5">
        <f>IF(B64="","",[1]!s_dq_close(股指期货基差分析!$E$5,$B64))</f>
        <v>5847.6296000000002</v>
      </c>
      <c r="D64" s="5">
        <f>IF(B64="","",[1]!s_dq_close(股指期货基差分析!$E$6,$B64))</f>
        <v>5800.8</v>
      </c>
      <c r="E64" s="5">
        <f ca="1">RANK(F64,F:F)+COUNTIF(F$2:F64,F64)-1</f>
        <v>1076</v>
      </c>
      <c r="F64" s="5">
        <f t="shared" si="0"/>
        <v>-46.829600000000028</v>
      </c>
      <c r="G64" s="5">
        <f ca="1">IF(B64="","",股指期货基差分析!$N$11)</f>
        <v>-71.408500000000458</v>
      </c>
      <c r="H64" s="5">
        <f ca="1">IF(B64="","",股指期货基差分析!$L$11)</f>
        <v>15.737900000000081</v>
      </c>
      <c r="I64" s="9">
        <f ca="1">IF(B64="","",股指期货基差分析!$D$11)</f>
        <v>-19.923978315132629</v>
      </c>
      <c r="L64" s="43"/>
      <c r="Q64" s="11"/>
    </row>
    <row r="65" spans="2:17" ht="15" customHeight="1" x14ac:dyDescent="0.2">
      <c r="B65" s="8">
        <v>43564</v>
      </c>
      <c r="C65" s="6">
        <f>IF(B65="","",[1]!s_dq_close(股指期货基差分析!$E$5,$B65))</f>
        <v>5858.0464000000002</v>
      </c>
      <c r="D65" s="6">
        <f>IF(B65="","",[1]!s_dq_close(股指期货基差分析!$E$6,$B65))</f>
        <v>5836.8</v>
      </c>
      <c r="E65" s="6">
        <f ca="1">RANK(F65,F:F)+COUNTIF(F$2:F65,F65)-1</f>
        <v>769</v>
      </c>
      <c r="F65" s="6">
        <f t="shared" si="0"/>
        <v>-21.246399999999994</v>
      </c>
      <c r="G65" s="6">
        <f ca="1">IF(B65="","",股指期货基差分析!$N$11)</f>
        <v>-71.408500000000458</v>
      </c>
      <c r="H65" s="6">
        <f ca="1">IF(B65="","",股指期货基差分析!$L$11)</f>
        <v>15.737900000000081</v>
      </c>
      <c r="I65" s="10">
        <f ca="1">IF(B65="","",股指期货基差分析!$D$11)</f>
        <v>-19.923978315132629</v>
      </c>
      <c r="L65" s="43"/>
      <c r="Q65" s="11"/>
    </row>
    <row r="66" spans="2:17" ht="15" customHeight="1" x14ac:dyDescent="0.2">
      <c r="B66" s="7">
        <v>43565</v>
      </c>
      <c r="C66" s="5">
        <f>IF(B66="","",[1]!s_dq_close(股指期货基差分析!$E$5,$B66))</f>
        <v>5850.7609000000002</v>
      </c>
      <c r="D66" s="5">
        <f>IF(B66="","",[1]!s_dq_close(股指期货基差分析!$E$6,$B66))</f>
        <v>5818.8</v>
      </c>
      <c r="E66" s="5">
        <f ca="1">RANK(F66,F:F)+COUNTIF(F$2:F66,F66)-1</f>
        <v>917</v>
      </c>
      <c r="F66" s="5">
        <f t="shared" ref="F66:F129" si="2">IF(B66="","",D66-C66)</f>
        <v>-31.960900000000038</v>
      </c>
      <c r="G66" s="5">
        <f ca="1">IF(B66="","",股指期货基差分析!$N$11)</f>
        <v>-71.408500000000458</v>
      </c>
      <c r="H66" s="5">
        <f ca="1">IF(B66="","",股指期货基差分析!$L$11)</f>
        <v>15.737900000000081</v>
      </c>
      <c r="I66" s="9">
        <f ca="1">IF(B66="","",股指期货基差分析!$D$11)</f>
        <v>-19.923978315132629</v>
      </c>
      <c r="L66" s="43"/>
      <c r="Q66" s="11"/>
    </row>
    <row r="67" spans="2:17" ht="15" customHeight="1" x14ac:dyDescent="0.2">
      <c r="B67" s="8">
        <v>43566</v>
      </c>
      <c r="C67" s="6">
        <f>IF(B67="","",[1]!s_dq_close(股指期货基差分析!$E$5,$B67))</f>
        <v>5727.1749</v>
      </c>
      <c r="D67" s="6">
        <f>IF(B67="","",[1]!s_dq_close(股指期货基差分析!$E$6,$B67))</f>
        <v>5721.2</v>
      </c>
      <c r="E67" s="6">
        <f ca="1">RANK(F67,F:F)+COUNTIF(F$2:F67,F67)-1</f>
        <v>439</v>
      </c>
      <c r="F67" s="6">
        <f t="shared" si="2"/>
        <v>-5.9749000000001615</v>
      </c>
      <c r="G67" s="6">
        <f ca="1">IF(B67="","",股指期货基差分析!$N$11)</f>
        <v>-71.408500000000458</v>
      </c>
      <c r="H67" s="6">
        <f ca="1">IF(B67="","",股指期货基差分析!$L$11)</f>
        <v>15.737900000000081</v>
      </c>
      <c r="I67" s="10">
        <f ca="1">IF(B67="","",股指期货基差分析!$D$11)</f>
        <v>-19.923978315132629</v>
      </c>
      <c r="L67" s="43"/>
      <c r="Q67" s="11"/>
    </row>
    <row r="68" spans="2:17" ht="15" customHeight="1" x14ac:dyDescent="0.2">
      <c r="B68" s="7">
        <v>43567</v>
      </c>
      <c r="C68" s="5">
        <f>IF(B68="","",[1]!s_dq_close(股指期货基差分析!$E$5,$B68))</f>
        <v>5714.3675999999996</v>
      </c>
      <c r="D68" s="5">
        <f>IF(B68="","",[1]!s_dq_close(股指期货基差分析!$E$6,$B68))</f>
        <v>5701.2</v>
      </c>
      <c r="E68" s="5">
        <f ca="1">RANK(F68,F:F)+COUNTIF(F$2:F68,F68)-1</f>
        <v>620</v>
      </c>
      <c r="F68" s="5">
        <f t="shared" si="2"/>
        <v>-13.167599999999766</v>
      </c>
      <c r="G68" s="5">
        <f ca="1">IF(B68="","",股指期货基差分析!$N$11)</f>
        <v>-71.408500000000458</v>
      </c>
      <c r="H68" s="5">
        <f ca="1">IF(B68="","",股指期货基差分析!$L$11)</f>
        <v>15.737900000000081</v>
      </c>
      <c r="I68" s="9">
        <f ca="1">IF(B68="","",股指期货基差分析!$D$11)</f>
        <v>-19.923978315132629</v>
      </c>
      <c r="L68" s="43"/>
      <c r="Q68" s="11"/>
    </row>
    <row r="69" spans="2:17" ht="15" customHeight="1" x14ac:dyDescent="0.2">
      <c r="B69" s="8">
        <v>43570</v>
      </c>
      <c r="C69" s="6">
        <f>IF(B69="","",[1]!s_dq_close(股指期货基差分析!$E$5,$B69))</f>
        <v>5655.9825000000001</v>
      </c>
      <c r="D69" s="6">
        <f>IF(B69="","",[1]!s_dq_close(股指期货基差分析!$E$6,$B69))</f>
        <v>5609</v>
      </c>
      <c r="E69" s="6">
        <f ca="1">RANK(F69,F:F)+COUNTIF(F$2:F69,F69)-1</f>
        <v>1079</v>
      </c>
      <c r="F69" s="6">
        <f t="shared" si="2"/>
        <v>-46.982500000000073</v>
      </c>
      <c r="G69" s="6">
        <f ca="1">IF(B69="","",股指期货基差分析!$N$11)</f>
        <v>-71.408500000000458</v>
      </c>
      <c r="H69" s="6">
        <f ca="1">IF(B69="","",股指期货基差分析!$L$11)</f>
        <v>15.737900000000081</v>
      </c>
      <c r="I69" s="10">
        <f ca="1">IF(B69="","",股指期货基差分析!$D$11)</f>
        <v>-19.923978315132629</v>
      </c>
      <c r="L69" s="43"/>
      <c r="Q69" s="11"/>
    </row>
    <row r="70" spans="2:17" ht="15" customHeight="1" x14ac:dyDescent="0.2">
      <c r="B70" s="7">
        <v>43571</v>
      </c>
      <c r="C70" s="5">
        <f>IF(B70="","",[1]!s_dq_close(股指期货基差分析!$E$5,$B70))</f>
        <v>5777.0110999999997</v>
      </c>
      <c r="D70" s="5">
        <f>IF(B70="","",[1]!s_dq_close(股指期货基差分析!$E$6,$B70))</f>
        <v>5759.2</v>
      </c>
      <c r="E70" s="5">
        <f ca="1">RANK(F70,F:F)+COUNTIF(F$2:F70,F70)-1</f>
        <v>714</v>
      </c>
      <c r="F70" s="5">
        <f t="shared" si="2"/>
        <v>-17.811099999999897</v>
      </c>
      <c r="G70" s="5">
        <f ca="1">IF(B70="","",股指期货基差分析!$N$11)</f>
        <v>-71.408500000000458</v>
      </c>
      <c r="H70" s="5">
        <f ca="1">IF(B70="","",股指期货基差分析!$L$11)</f>
        <v>15.737900000000081</v>
      </c>
      <c r="I70" s="9">
        <f ca="1">IF(B70="","",股指期货基差分析!$D$11)</f>
        <v>-19.923978315132629</v>
      </c>
      <c r="L70" s="43"/>
      <c r="Q70" s="11"/>
    </row>
    <row r="71" spans="2:17" ht="15" customHeight="1" x14ac:dyDescent="0.2">
      <c r="B71" s="8">
        <v>43572</v>
      </c>
      <c r="C71" s="6">
        <f>IF(B71="","",[1]!s_dq_close(股指期货基差分析!$E$5,$B71))</f>
        <v>5807.7287999999999</v>
      </c>
      <c r="D71" s="6">
        <f>IF(B71="","",[1]!s_dq_close(股指期货基差分析!$E$6,$B71))</f>
        <v>5772.4</v>
      </c>
      <c r="E71" s="6">
        <f ca="1">RANK(F71,F:F)+COUNTIF(F$2:F71,F71)-1</f>
        <v>961</v>
      </c>
      <c r="F71" s="6">
        <f t="shared" si="2"/>
        <v>-35.328800000000228</v>
      </c>
      <c r="G71" s="6">
        <f ca="1">IF(B71="","",股指期货基差分析!$N$11)</f>
        <v>-71.408500000000458</v>
      </c>
      <c r="H71" s="6">
        <f ca="1">IF(B71="","",股指期货基差分析!$L$11)</f>
        <v>15.737900000000081</v>
      </c>
      <c r="I71" s="10">
        <f ca="1">IF(B71="","",股指期货基差分析!$D$11)</f>
        <v>-19.923978315132629</v>
      </c>
      <c r="L71" s="43"/>
      <c r="Q71" s="11"/>
    </row>
    <row r="72" spans="2:17" ht="15" customHeight="1" x14ac:dyDescent="0.2">
      <c r="B72" s="7">
        <v>43573</v>
      </c>
      <c r="C72" s="5">
        <f>IF(B72="","",[1]!s_dq_close(股指期货基差分析!$E$5,$B72))</f>
        <v>5775.1710000000003</v>
      </c>
      <c r="D72" s="5">
        <f>IF(B72="","",[1]!s_dq_close(股指期货基差分析!$E$6,$B72))</f>
        <v>5765.2</v>
      </c>
      <c r="E72" s="5">
        <f ca="1">RANK(F72,F:F)+COUNTIF(F$2:F72,F72)-1</f>
        <v>552</v>
      </c>
      <c r="F72" s="5">
        <f t="shared" si="2"/>
        <v>-9.9710000000004584</v>
      </c>
      <c r="G72" s="5">
        <f ca="1">IF(B72="","",股指期货基差分析!$N$11)</f>
        <v>-71.408500000000458</v>
      </c>
      <c r="H72" s="5">
        <f ca="1">IF(B72="","",股指期货基差分析!$L$11)</f>
        <v>15.737900000000081</v>
      </c>
      <c r="I72" s="9">
        <f ca="1">IF(B72="","",股指期货基差分析!$D$11)</f>
        <v>-19.923978315132629</v>
      </c>
      <c r="L72" s="43"/>
      <c r="Q72" s="11"/>
    </row>
    <row r="73" spans="2:17" ht="15" customHeight="1" x14ac:dyDescent="0.2">
      <c r="B73" s="8">
        <v>43574</v>
      </c>
      <c r="C73" s="6">
        <f>IF(B73="","",[1]!s_dq_close(股指期货基差分析!$E$5,$B73))</f>
        <v>5810.1797999999999</v>
      </c>
      <c r="D73" s="6">
        <f>IF(B73="","",[1]!s_dq_close(股指期货基差分析!$E$6,$B73))</f>
        <v>5781.2</v>
      </c>
      <c r="E73" s="6">
        <f ca="1">RANK(F73,F:F)+COUNTIF(F$2:F73,F73)-1</f>
        <v>876</v>
      </c>
      <c r="F73" s="6">
        <f t="shared" si="2"/>
        <v>-28.979800000000068</v>
      </c>
      <c r="G73" s="6">
        <f ca="1">IF(B73="","",股指期货基差分析!$N$11)</f>
        <v>-71.408500000000458</v>
      </c>
      <c r="H73" s="6">
        <f ca="1">IF(B73="","",股指期货基差分析!$L$11)</f>
        <v>15.737900000000081</v>
      </c>
      <c r="I73" s="10">
        <f ca="1">IF(B73="","",股指期货基差分析!$D$11)</f>
        <v>-19.923978315132629</v>
      </c>
      <c r="L73" s="43"/>
      <c r="Q73" s="11"/>
    </row>
    <row r="74" spans="2:17" ht="15" customHeight="1" x14ac:dyDescent="0.2">
      <c r="B74" s="7">
        <v>43577</v>
      </c>
      <c r="C74" s="5">
        <f>IF(B74="","",[1]!s_dq_close(股指期货基差分析!$E$5,$B74))</f>
        <v>5723.0416999999998</v>
      </c>
      <c r="D74" s="5">
        <f>IF(B74="","",[1]!s_dq_close(股指期货基差分析!$E$6,$B74))</f>
        <v>5677</v>
      </c>
      <c r="E74" s="5">
        <f ca="1">RANK(F74,F:F)+COUNTIF(F$2:F74,F74)-1</f>
        <v>1071</v>
      </c>
      <c r="F74" s="5">
        <f t="shared" si="2"/>
        <v>-46.041699999999764</v>
      </c>
      <c r="G74" s="5">
        <f ca="1">IF(B74="","",股指期货基差分析!$N$11)</f>
        <v>-71.408500000000458</v>
      </c>
      <c r="H74" s="5">
        <f ca="1">IF(B74="","",股指期货基差分析!$L$11)</f>
        <v>15.737900000000081</v>
      </c>
      <c r="I74" s="9">
        <f ca="1">IF(B74="","",股指期货基差分析!$D$11)</f>
        <v>-19.923978315132629</v>
      </c>
      <c r="L74" s="43"/>
      <c r="Q74" s="11"/>
    </row>
    <row r="75" spans="2:17" ht="15" customHeight="1" x14ac:dyDescent="0.2">
      <c r="B75" s="8">
        <v>43578</v>
      </c>
      <c r="C75" s="6">
        <f>IF(B75="","",[1]!s_dq_close(股指期货基差分析!$E$5,$B75))</f>
        <v>5628.0623999999998</v>
      </c>
      <c r="D75" s="6">
        <f>IF(B75="","",[1]!s_dq_close(股指期货基差分析!$E$6,$B75))</f>
        <v>5552.8</v>
      </c>
      <c r="E75" s="6">
        <f ca="1">RANK(F75,F:F)+COUNTIF(F$2:F75,F75)-1</f>
        <v>1228</v>
      </c>
      <c r="F75" s="6">
        <f t="shared" si="2"/>
        <v>-75.262399999999616</v>
      </c>
      <c r="G75" s="6">
        <f ca="1">IF(B75="","",股指期货基差分析!$N$11)</f>
        <v>-71.408500000000458</v>
      </c>
      <c r="H75" s="6">
        <f ca="1">IF(B75="","",股指期货基差分析!$L$11)</f>
        <v>15.737900000000081</v>
      </c>
      <c r="I75" s="10">
        <f ca="1">IF(B75="","",股指期货基差分析!$D$11)</f>
        <v>-19.923978315132629</v>
      </c>
      <c r="L75" s="43"/>
      <c r="Q75" s="11"/>
    </row>
    <row r="76" spans="2:17" ht="15" customHeight="1" x14ac:dyDescent="0.2">
      <c r="B76" s="7">
        <v>43579</v>
      </c>
      <c r="C76" s="5">
        <f>IF(B76="","",[1]!s_dq_close(股指期货基差分析!$E$5,$B76))</f>
        <v>5679.7255999999998</v>
      </c>
      <c r="D76" s="5">
        <f>IF(B76="","",[1]!s_dq_close(股指期货基差分析!$E$6,$B76))</f>
        <v>5627</v>
      </c>
      <c r="E76" s="5">
        <f ca="1">RANK(F76,F:F)+COUNTIF(F$2:F76,F76)-1</f>
        <v>1123</v>
      </c>
      <c r="F76" s="5">
        <f t="shared" si="2"/>
        <v>-52.725599999999758</v>
      </c>
      <c r="G76" s="5">
        <f ca="1">IF(B76="","",股指期货基差分析!$N$11)</f>
        <v>-71.408500000000458</v>
      </c>
      <c r="H76" s="5">
        <f ca="1">IF(B76="","",股指期货基差分析!$L$11)</f>
        <v>15.737900000000081</v>
      </c>
      <c r="I76" s="9">
        <f ca="1">IF(B76="","",股指期货基差分析!$D$11)</f>
        <v>-19.923978315132629</v>
      </c>
      <c r="L76" s="43"/>
      <c r="Q76" s="11"/>
    </row>
    <row r="77" spans="2:17" ht="15" customHeight="1" x14ac:dyDescent="0.2">
      <c r="B77" s="8">
        <v>43580</v>
      </c>
      <c r="C77" s="6">
        <f>IF(B77="","",[1]!s_dq_close(股指期货基差分析!$E$5,$B77))</f>
        <v>5458.4193999999998</v>
      </c>
      <c r="D77" s="6">
        <f>IF(B77="","",[1]!s_dq_close(股指期货基差分析!$E$6,$B77))</f>
        <v>5411.2</v>
      </c>
      <c r="E77" s="6">
        <f ca="1">RANK(F77,F:F)+COUNTIF(F$2:F77,F77)-1</f>
        <v>1083</v>
      </c>
      <c r="F77" s="6">
        <f t="shared" si="2"/>
        <v>-47.219399999999951</v>
      </c>
      <c r="G77" s="6">
        <f ca="1">IF(B77="","",股指期货基差分析!$N$11)</f>
        <v>-71.408500000000458</v>
      </c>
      <c r="H77" s="6">
        <f ca="1">IF(B77="","",股指期货基差分析!$L$11)</f>
        <v>15.737900000000081</v>
      </c>
      <c r="I77" s="10">
        <f ca="1">IF(B77="","",股指期货基差分析!$D$11)</f>
        <v>-19.923978315132629</v>
      </c>
      <c r="L77" s="43"/>
      <c r="Q77" s="11"/>
    </row>
    <row r="78" spans="2:17" ht="15" customHeight="1" x14ac:dyDescent="0.2">
      <c r="B78" s="7">
        <v>43581</v>
      </c>
      <c r="C78" s="5">
        <f>IF(B78="","",[1]!s_dq_close(股指期货基差分析!$E$5,$B78))</f>
        <v>5408.0306</v>
      </c>
      <c r="D78" s="5">
        <f>IF(B78="","",[1]!s_dq_close(股指期货基差分析!$E$6,$B78))</f>
        <v>5375.2</v>
      </c>
      <c r="E78" s="5">
        <f ca="1">RANK(F78,F:F)+COUNTIF(F$2:F78,F78)-1</f>
        <v>929</v>
      </c>
      <c r="F78" s="5">
        <f t="shared" si="2"/>
        <v>-32.830600000000231</v>
      </c>
      <c r="G78" s="5">
        <f ca="1">IF(B78="","",股指期货基差分析!$N$11)</f>
        <v>-71.408500000000458</v>
      </c>
      <c r="H78" s="5">
        <f ca="1">IF(B78="","",股指期货基差分析!$L$11)</f>
        <v>15.737900000000081</v>
      </c>
      <c r="I78" s="9">
        <f ca="1">IF(B78="","",股指期货基差分析!$D$11)</f>
        <v>-19.923978315132629</v>
      </c>
      <c r="L78" s="43"/>
      <c r="Q78" s="11"/>
    </row>
    <row r="79" spans="2:17" ht="15" customHeight="1" x14ac:dyDescent="0.2">
      <c r="B79" s="8">
        <v>43584</v>
      </c>
      <c r="C79" s="6">
        <f>IF(B79="","",[1]!s_dq_close(股指期货基差分析!$E$5,$B79))</f>
        <v>5265.6010999999999</v>
      </c>
      <c r="D79" s="6">
        <f>IF(B79="","",[1]!s_dq_close(股指期货基差分析!$E$6,$B79))</f>
        <v>5258.8</v>
      </c>
      <c r="E79" s="6">
        <f ca="1">RANK(F79,F:F)+COUNTIF(F$2:F79,F79)-1</f>
        <v>466</v>
      </c>
      <c r="F79" s="6">
        <f t="shared" si="2"/>
        <v>-6.8010999999996784</v>
      </c>
      <c r="G79" s="6">
        <f ca="1">IF(B79="","",股指期货基差分析!$N$11)</f>
        <v>-71.408500000000458</v>
      </c>
      <c r="H79" s="6">
        <f ca="1">IF(B79="","",股指期货基差分析!$L$11)</f>
        <v>15.737900000000081</v>
      </c>
      <c r="I79" s="10">
        <f ca="1">IF(B79="","",股指期货基差分析!$D$11)</f>
        <v>-19.923978315132629</v>
      </c>
      <c r="L79" s="43"/>
      <c r="Q79" s="11"/>
    </row>
    <row r="80" spans="2:17" ht="15" customHeight="1" x14ac:dyDescent="0.2">
      <c r="B80" s="7">
        <v>43585</v>
      </c>
      <c r="C80" s="5">
        <f>IF(B80="","",[1]!s_dq_close(股指期货基差分析!$E$5,$B80))</f>
        <v>5307.56</v>
      </c>
      <c r="D80" s="5">
        <f>IF(B80="","",[1]!s_dq_close(股指期货基差分析!$E$6,$B80))</f>
        <v>5267.2</v>
      </c>
      <c r="E80" s="5">
        <f ca="1">RANK(F80,F:F)+COUNTIF(F$2:F80,F80)-1</f>
        <v>1008</v>
      </c>
      <c r="F80" s="5">
        <f t="shared" si="2"/>
        <v>-40.360000000000582</v>
      </c>
      <c r="G80" s="5">
        <f ca="1">IF(B80="","",股指期货基差分析!$N$11)</f>
        <v>-71.408500000000458</v>
      </c>
      <c r="H80" s="5">
        <f ca="1">IF(B80="","",股指期货基差分析!$L$11)</f>
        <v>15.737900000000081</v>
      </c>
      <c r="I80" s="9">
        <f ca="1">IF(B80="","",股指期货基差分析!$D$11)</f>
        <v>-19.923978315132629</v>
      </c>
      <c r="L80" s="43"/>
      <c r="Q80" s="11"/>
    </row>
    <row r="81" spans="2:17" ht="15" customHeight="1" x14ac:dyDescent="0.2">
      <c r="B81" s="8">
        <v>43591</v>
      </c>
      <c r="C81" s="6">
        <f>IF(B81="","",[1]!s_dq_close(股指期货基差分析!$E$5,$B81))</f>
        <v>4908.7983999999997</v>
      </c>
      <c r="D81" s="6">
        <f>IF(B81="","",[1]!s_dq_close(股指期货基差分析!$E$6,$B81))</f>
        <v>4810</v>
      </c>
      <c r="E81" s="6">
        <f ca="1">RANK(F81,F:F)+COUNTIF(F$2:F81,F81)-1</f>
        <v>1273</v>
      </c>
      <c r="F81" s="6">
        <f t="shared" si="2"/>
        <v>-98.798399999999674</v>
      </c>
      <c r="G81" s="6">
        <f ca="1">IF(B81="","",股指期货基差分析!$N$11)</f>
        <v>-71.408500000000458</v>
      </c>
      <c r="H81" s="6">
        <f ca="1">IF(B81="","",股指期货基差分析!$L$11)</f>
        <v>15.737900000000081</v>
      </c>
      <c r="I81" s="10">
        <f ca="1">IF(B81="","",股指期货基差分析!$D$11)</f>
        <v>-19.923978315132629</v>
      </c>
      <c r="L81" s="43"/>
      <c r="Q81" s="11"/>
    </row>
    <row r="82" spans="2:17" ht="15" customHeight="1" x14ac:dyDescent="0.2">
      <c r="B82" s="7">
        <v>43592</v>
      </c>
      <c r="C82" s="5">
        <f>IF(B82="","",[1]!s_dq_close(股指期货基差分析!$E$5,$B82))</f>
        <v>4973.4043000000001</v>
      </c>
      <c r="D82" s="5">
        <f>IF(B82="","",[1]!s_dq_close(股指期货基差分析!$E$6,$B82))</f>
        <v>4906</v>
      </c>
      <c r="E82" s="5">
        <f ca="1">RANK(F82,F:F)+COUNTIF(F$2:F82,F82)-1</f>
        <v>1204</v>
      </c>
      <c r="F82" s="5">
        <f t="shared" si="2"/>
        <v>-67.404300000000148</v>
      </c>
      <c r="G82" s="5">
        <f ca="1">IF(B82="","",股指期货基差分析!$N$11)</f>
        <v>-71.408500000000458</v>
      </c>
      <c r="H82" s="5">
        <f ca="1">IF(B82="","",股指期货基差分析!$L$11)</f>
        <v>15.737900000000081</v>
      </c>
      <c r="I82" s="9">
        <f ca="1">IF(B82="","",股指期货基差分析!$D$11)</f>
        <v>-19.923978315132629</v>
      </c>
      <c r="L82" s="43"/>
      <c r="Q82" s="11"/>
    </row>
    <row r="83" spans="2:17" ht="15" customHeight="1" x14ac:dyDescent="0.2">
      <c r="B83" s="8">
        <v>43593</v>
      </c>
      <c r="C83" s="6">
        <f>IF(B83="","",[1]!s_dq_close(股指期货基差分析!$E$5,$B83))</f>
        <v>4947.7419</v>
      </c>
      <c r="D83" s="6">
        <f>IF(B83="","",[1]!s_dq_close(股指期货基差分析!$E$6,$B83))</f>
        <v>4873.2</v>
      </c>
      <c r="E83" s="6">
        <f ca="1">RANK(F83,F:F)+COUNTIF(F$2:F83,F83)-1</f>
        <v>1226</v>
      </c>
      <c r="F83" s="6">
        <f t="shared" si="2"/>
        <v>-74.541900000000169</v>
      </c>
      <c r="G83" s="6">
        <f ca="1">IF(B83="","",股指期货基差分析!$N$11)</f>
        <v>-71.408500000000458</v>
      </c>
      <c r="H83" s="6">
        <f ca="1">IF(B83="","",股指期货基差分析!$L$11)</f>
        <v>15.737900000000081</v>
      </c>
      <c r="I83" s="10">
        <f ca="1">IF(B83="","",股指期货基差分析!$D$11)</f>
        <v>-19.923978315132629</v>
      </c>
      <c r="L83" s="43"/>
      <c r="Q83" s="11"/>
    </row>
    <row r="84" spans="2:17" ht="15" customHeight="1" x14ac:dyDescent="0.2">
      <c r="B84" s="7">
        <v>43594</v>
      </c>
      <c r="C84" s="5">
        <f>IF(B84="","",[1]!s_dq_close(股指期货基差分析!$E$5,$B84))</f>
        <v>4888.4128000000001</v>
      </c>
      <c r="D84" s="5">
        <f>IF(B84="","",[1]!s_dq_close(股指期货基差分析!$E$6,$B84))</f>
        <v>4842.8</v>
      </c>
      <c r="E84" s="5">
        <f ca="1">RANK(F84,F:F)+COUNTIF(F$2:F84,F84)-1</f>
        <v>1067</v>
      </c>
      <c r="F84" s="5">
        <f t="shared" si="2"/>
        <v>-45.612799999999879</v>
      </c>
      <c r="G84" s="5">
        <f ca="1">IF(B84="","",股指期货基差分析!$N$11)</f>
        <v>-71.408500000000458</v>
      </c>
      <c r="H84" s="5">
        <f ca="1">IF(B84="","",股指期货基差分析!$L$11)</f>
        <v>15.737900000000081</v>
      </c>
      <c r="I84" s="9">
        <f ca="1">IF(B84="","",股指期货基差分析!$D$11)</f>
        <v>-19.923978315132629</v>
      </c>
      <c r="L84" s="43"/>
      <c r="Q84" s="11"/>
    </row>
    <row r="85" spans="2:17" ht="15" customHeight="1" x14ac:dyDescent="0.2">
      <c r="B85" s="8">
        <v>43595</v>
      </c>
      <c r="C85" s="6">
        <f>IF(B85="","",[1]!s_dq_close(股指期货基差分析!$E$5,$B85))</f>
        <v>5064.3230000000003</v>
      </c>
      <c r="D85" s="6">
        <f>IF(B85="","",[1]!s_dq_close(股指期货基差分析!$E$6,$B85))</f>
        <v>5018</v>
      </c>
      <c r="E85" s="6">
        <f ca="1">RANK(F85,F:F)+COUNTIF(F$2:F85,F85)-1</f>
        <v>1073</v>
      </c>
      <c r="F85" s="6">
        <f t="shared" si="2"/>
        <v>-46.32300000000032</v>
      </c>
      <c r="G85" s="6">
        <f ca="1">IF(B85="","",股指期货基差分析!$N$11)</f>
        <v>-71.408500000000458</v>
      </c>
      <c r="H85" s="6">
        <f ca="1">IF(B85="","",股指期货基差分析!$L$11)</f>
        <v>15.737900000000081</v>
      </c>
      <c r="I85" s="10">
        <f ca="1">IF(B85="","",股指期货基差分析!$D$11)</f>
        <v>-19.923978315132629</v>
      </c>
      <c r="L85" s="43"/>
      <c r="Q85" s="11"/>
    </row>
    <row r="86" spans="2:17" ht="15" customHeight="1" x14ac:dyDescent="0.2">
      <c r="B86" s="7">
        <v>43598</v>
      </c>
      <c r="C86" s="5">
        <f>IF(B86="","",[1]!s_dq_close(股指期货基差分析!$E$5,$B86))</f>
        <v>5005.9044000000004</v>
      </c>
      <c r="D86" s="5">
        <f>IF(B86="","",[1]!s_dq_close(股指期货基差分析!$E$6,$B86))</f>
        <v>4938.3999999999996</v>
      </c>
      <c r="E86" s="5">
        <f ca="1">RANK(F86,F:F)+COUNTIF(F$2:F86,F86)-1</f>
        <v>1206</v>
      </c>
      <c r="F86" s="5">
        <f t="shared" si="2"/>
        <v>-67.504400000000714</v>
      </c>
      <c r="G86" s="5">
        <f ca="1">IF(B86="","",股指期货基差分析!$N$11)</f>
        <v>-71.408500000000458</v>
      </c>
      <c r="H86" s="5">
        <f ca="1">IF(B86="","",股指期货基差分析!$L$11)</f>
        <v>15.737900000000081</v>
      </c>
      <c r="I86" s="9">
        <f ca="1">IF(B86="","",股指期货基差分析!$D$11)</f>
        <v>-19.923978315132629</v>
      </c>
      <c r="L86" s="43"/>
      <c r="Q86" s="11"/>
    </row>
    <row r="87" spans="2:17" ht="15" customHeight="1" x14ac:dyDescent="0.2">
      <c r="B87" s="8">
        <v>43599</v>
      </c>
      <c r="C87" s="6">
        <f>IF(B87="","",[1]!s_dq_close(股指期货基差分析!$E$5,$B87))</f>
        <v>4965.6124</v>
      </c>
      <c r="D87" s="6">
        <f>IF(B87="","",[1]!s_dq_close(股指期货基差分析!$E$6,$B87))</f>
        <v>4938.8</v>
      </c>
      <c r="E87" s="6">
        <f ca="1">RANK(F87,F:F)+COUNTIF(F$2:F87,F87)-1</f>
        <v>839</v>
      </c>
      <c r="F87" s="6">
        <f t="shared" si="2"/>
        <v>-26.812399999999798</v>
      </c>
      <c r="G87" s="6">
        <f ca="1">IF(B87="","",股指期货基差分析!$N$11)</f>
        <v>-71.408500000000458</v>
      </c>
      <c r="H87" s="6">
        <f ca="1">IF(B87="","",股指期货基差分析!$L$11)</f>
        <v>15.737900000000081</v>
      </c>
      <c r="I87" s="10">
        <f ca="1">IF(B87="","",股指期货基差分析!$D$11)</f>
        <v>-19.923978315132629</v>
      </c>
      <c r="L87" s="43"/>
      <c r="Q87" s="11"/>
    </row>
    <row r="88" spans="2:17" ht="15" customHeight="1" x14ac:dyDescent="0.2">
      <c r="B88" s="7">
        <v>43600</v>
      </c>
      <c r="C88" s="5">
        <f>IF(B88="","",[1]!s_dq_close(股指期货基差分析!$E$5,$B88))</f>
        <v>5076.5550000000003</v>
      </c>
      <c r="D88" s="5">
        <f>IF(B88="","",[1]!s_dq_close(股指期货基差分析!$E$6,$B88))</f>
        <v>5046.2</v>
      </c>
      <c r="E88" s="5">
        <f ca="1">RANK(F88,F:F)+COUNTIF(F$2:F88,F88)-1</f>
        <v>895</v>
      </c>
      <c r="F88" s="5">
        <f t="shared" si="2"/>
        <v>-30.355000000000473</v>
      </c>
      <c r="G88" s="5">
        <f ca="1">IF(B88="","",股指期货基差分析!$N$11)</f>
        <v>-71.408500000000458</v>
      </c>
      <c r="H88" s="5">
        <f ca="1">IF(B88="","",股指期货基差分析!$L$11)</f>
        <v>15.737900000000081</v>
      </c>
      <c r="I88" s="9">
        <f ca="1">IF(B88="","",股指期货基差分析!$D$11)</f>
        <v>-19.923978315132629</v>
      </c>
      <c r="L88" s="43"/>
      <c r="Q88" s="11"/>
    </row>
    <row r="89" spans="2:17" ht="15" customHeight="1" x14ac:dyDescent="0.2">
      <c r="B89" s="8">
        <v>43601</v>
      </c>
      <c r="C89" s="6">
        <f>IF(B89="","",[1]!s_dq_close(股指期货基差分析!$E$5,$B89))</f>
        <v>5108.3588</v>
      </c>
      <c r="D89" s="6">
        <f>IF(B89="","",[1]!s_dq_close(股指期货基差分析!$E$6,$B89))</f>
        <v>5091.3999999999996</v>
      </c>
      <c r="E89" s="6">
        <f ca="1">RANK(F89,F:F)+COUNTIF(F$2:F89,F89)-1</f>
        <v>697</v>
      </c>
      <c r="F89" s="6">
        <f t="shared" si="2"/>
        <v>-16.958800000000338</v>
      </c>
      <c r="G89" s="6">
        <f ca="1">IF(B89="","",股指期货基差分析!$N$11)</f>
        <v>-71.408500000000458</v>
      </c>
      <c r="H89" s="6">
        <f ca="1">IF(B89="","",股指期货基差分析!$L$11)</f>
        <v>15.737900000000081</v>
      </c>
      <c r="I89" s="10">
        <f ca="1">IF(B89="","",股指期货基差分析!$D$11)</f>
        <v>-19.923978315132629</v>
      </c>
      <c r="L89" s="43"/>
      <c r="Q89" s="11"/>
    </row>
    <row r="90" spans="2:17" ht="15" customHeight="1" x14ac:dyDescent="0.2">
      <c r="B90" s="7">
        <v>43602</v>
      </c>
      <c r="C90" s="5">
        <f>IF(B90="","",[1]!s_dq_close(股指期货基差分析!$E$5,$B90))</f>
        <v>4942.5792000000001</v>
      </c>
      <c r="D90" s="5">
        <f>IF(B90="","",[1]!s_dq_close(股指期货基差分析!$E$6,$B90))</f>
        <v>4984</v>
      </c>
      <c r="E90" s="5">
        <f ca="1">RANK(F90,F:F)+COUNTIF(F$2:F90,F90)-1</f>
        <v>6</v>
      </c>
      <c r="F90" s="5">
        <f t="shared" si="2"/>
        <v>41.420799999999872</v>
      </c>
      <c r="G90" s="5">
        <f ca="1">IF(B90="","",股指期货基差分析!$N$11)</f>
        <v>-71.408500000000458</v>
      </c>
      <c r="H90" s="5">
        <f ca="1">IF(B90="","",股指期货基差分析!$L$11)</f>
        <v>15.737900000000081</v>
      </c>
      <c r="I90" s="9">
        <f ca="1">IF(B90="","",股指期货基差分析!$D$11)</f>
        <v>-19.923978315132629</v>
      </c>
      <c r="L90" s="43"/>
      <c r="Q90" s="11"/>
    </row>
    <row r="91" spans="2:17" ht="15" customHeight="1" x14ac:dyDescent="0.2">
      <c r="B91" s="8">
        <v>43605</v>
      </c>
      <c r="C91" s="6">
        <f>IF(B91="","",[1]!s_dq_close(股指期货基差分析!$E$5,$B91))</f>
        <v>4923.5589</v>
      </c>
      <c r="D91" s="6">
        <f>IF(B91="","",[1]!s_dq_close(股指期货基差分析!$E$6,$B91))</f>
        <v>4825</v>
      </c>
      <c r="E91" s="6">
        <f ca="1">RANK(F91,F:F)+COUNTIF(F$2:F91,F91)-1</f>
        <v>1272</v>
      </c>
      <c r="F91" s="6">
        <f t="shared" si="2"/>
        <v>-98.558899999999994</v>
      </c>
      <c r="G91" s="6">
        <f ca="1">IF(B91="","",股指期货基差分析!$N$11)</f>
        <v>-71.408500000000458</v>
      </c>
      <c r="H91" s="6">
        <f ca="1">IF(B91="","",股指期货基差分析!$L$11)</f>
        <v>15.737900000000081</v>
      </c>
      <c r="I91" s="10">
        <f ca="1">IF(B91="","",股指期货基差分析!$D$11)</f>
        <v>-19.923978315132629</v>
      </c>
      <c r="L91" s="43"/>
      <c r="Q91" s="11"/>
    </row>
    <row r="92" spans="2:17" ht="15" customHeight="1" x14ac:dyDescent="0.2">
      <c r="B92" s="7">
        <v>43606</v>
      </c>
      <c r="C92" s="5">
        <f>IF(B92="","",[1]!s_dq_close(股指期货基差分析!$E$5,$B92))</f>
        <v>5009.8725000000004</v>
      </c>
      <c r="D92" s="5">
        <f>IF(B92="","",[1]!s_dq_close(股指期货基差分析!$E$6,$B92))</f>
        <v>4903.6000000000004</v>
      </c>
      <c r="E92" s="5">
        <f ca="1">RANK(F92,F:F)+COUNTIF(F$2:F92,F92)-1</f>
        <v>1278</v>
      </c>
      <c r="F92" s="5">
        <f t="shared" si="2"/>
        <v>-106.27250000000004</v>
      </c>
      <c r="G92" s="5">
        <f ca="1">IF(B92="","",股指期货基差分析!$N$11)</f>
        <v>-71.408500000000458</v>
      </c>
      <c r="H92" s="5">
        <f ca="1">IF(B92="","",股指期货基差分析!$L$11)</f>
        <v>15.737900000000081</v>
      </c>
      <c r="I92" s="9">
        <f ca="1">IF(B92="","",股指期货基差分析!$D$11)</f>
        <v>-19.923978315132629</v>
      </c>
      <c r="L92" s="43"/>
      <c r="Q92" s="11"/>
    </row>
    <row r="93" spans="2:17" ht="15" customHeight="1" x14ac:dyDescent="0.2">
      <c r="B93" s="8">
        <v>43607</v>
      </c>
      <c r="C93" s="6">
        <f>IF(B93="","",[1]!s_dq_close(股指期货基差分析!$E$5,$B93))</f>
        <v>4976.3928999999998</v>
      </c>
      <c r="D93" s="6">
        <f>IF(B93="","",[1]!s_dq_close(股指期货基差分析!$E$6,$B93))</f>
        <v>4889.8</v>
      </c>
      <c r="E93" s="6">
        <f ca="1">RANK(F93,F:F)+COUNTIF(F$2:F93,F93)-1</f>
        <v>1258</v>
      </c>
      <c r="F93" s="6">
        <f t="shared" si="2"/>
        <v>-86.592899999999645</v>
      </c>
      <c r="G93" s="6">
        <f ca="1">IF(B93="","",股指期货基差分析!$N$11)</f>
        <v>-71.408500000000458</v>
      </c>
      <c r="H93" s="6">
        <f ca="1">IF(B93="","",股指期货基差分析!$L$11)</f>
        <v>15.737900000000081</v>
      </c>
      <c r="I93" s="10">
        <f ca="1">IF(B93="","",股指期货基差分析!$D$11)</f>
        <v>-19.923978315132629</v>
      </c>
      <c r="L93" s="43"/>
      <c r="Q93" s="11"/>
    </row>
    <row r="94" spans="2:17" ht="15" customHeight="1" x14ac:dyDescent="0.2">
      <c r="B94" s="7">
        <v>43608</v>
      </c>
      <c r="C94" s="5">
        <f>IF(B94="","",[1]!s_dq_close(股指期货基差分析!$E$5,$B94))</f>
        <v>4872.9201999999996</v>
      </c>
      <c r="D94" s="5">
        <f>IF(B94="","",[1]!s_dq_close(股指期货基差分析!$E$6,$B94))</f>
        <v>4788.2</v>
      </c>
      <c r="E94" s="5">
        <f ca="1">RANK(F94,F:F)+COUNTIF(F$2:F94,F94)-1</f>
        <v>1255</v>
      </c>
      <c r="F94" s="5">
        <f t="shared" si="2"/>
        <v>-84.72019999999975</v>
      </c>
      <c r="G94" s="5">
        <f ca="1">IF(B94="","",股指期货基差分析!$N$11)</f>
        <v>-71.408500000000458</v>
      </c>
      <c r="H94" s="5">
        <f ca="1">IF(B94="","",股指期货基差分析!$L$11)</f>
        <v>15.737900000000081</v>
      </c>
      <c r="I94" s="9">
        <f ca="1">IF(B94="","",股指期货基差分析!$D$11)</f>
        <v>-19.923978315132629</v>
      </c>
      <c r="L94" s="43"/>
      <c r="Q94" s="11"/>
    </row>
    <row r="95" spans="2:17" ht="15" customHeight="1" x14ac:dyDescent="0.2">
      <c r="B95" s="8">
        <v>43609</v>
      </c>
      <c r="C95" s="6">
        <f>IF(B95="","",[1]!s_dq_close(股指期货基差分析!$E$5,$B95))</f>
        <v>4841.7573000000002</v>
      </c>
      <c r="D95" s="6">
        <f>IF(B95="","",[1]!s_dq_close(股指期货基差分析!$E$6,$B95))</f>
        <v>4772.6000000000004</v>
      </c>
      <c r="E95" s="6">
        <f ca="1">RANK(F95,F:F)+COUNTIF(F$2:F95,F95)-1</f>
        <v>1213</v>
      </c>
      <c r="F95" s="6">
        <f t="shared" si="2"/>
        <v>-69.15729999999985</v>
      </c>
      <c r="G95" s="6">
        <f ca="1">IF(B95="","",股指期货基差分析!$N$11)</f>
        <v>-71.408500000000458</v>
      </c>
      <c r="H95" s="6">
        <f ca="1">IF(B95="","",股指期货基差分析!$L$11)</f>
        <v>15.737900000000081</v>
      </c>
      <c r="I95" s="10">
        <f ca="1">IF(B95="","",股指期货基差分析!$D$11)</f>
        <v>-19.923978315132629</v>
      </c>
      <c r="L95" s="43"/>
      <c r="Q95" s="11"/>
    </row>
    <row r="96" spans="2:17" ht="15" customHeight="1" x14ac:dyDescent="0.2">
      <c r="B96" s="7">
        <v>43612</v>
      </c>
      <c r="C96" s="5">
        <f>IF(B96="","",[1]!s_dq_close(股指期货基差分析!$E$5,$B96))</f>
        <v>4962.9470000000001</v>
      </c>
      <c r="D96" s="5">
        <f>IF(B96="","",[1]!s_dq_close(股指期货基差分析!$E$6,$B96))</f>
        <v>4903</v>
      </c>
      <c r="E96" s="5">
        <f ca="1">RANK(F96,F:F)+COUNTIF(F$2:F96,F96)-1</f>
        <v>1161</v>
      </c>
      <c r="F96" s="5">
        <f t="shared" si="2"/>
        <v>-59.947000000000116</v>
      </c>
      <c r="G96" s="5">
        <f ca="1">IF(B96="","",股指期货基差分析!$N$11)</f>
        <v>-71.408500000000458</v>
      </c>
      <c r="H96" s="5">
        <f ca="1">IF(B96="","",股指期货基差分析!$L$11)</f>
        <v>15.737900000000081</v>
      </c>
      <c r="I96" s="9">
        <f ca="1">IF(B96="","",股指期货基差分析!$D$11)</f>
        <v>-19.923978315132629</v>
      </c>
      <c r="L96" s="43"/>
      <c r="Q96" s="11"/>
    </row>
    <row r="97" spans="2:17" ht="15" customHeight="1" x14ac:dyDescent="0.2">
      <c r="B97" s="8">
        <v>43613</v>
      </c>
      <c r="C97" s="6">
        <f>IF(B97="","",[1]!s_dq_close(股指期货基差分析!$E$5,$B97))</f>
        <v>4955.4854999999998</v>
      </c>
      <c r="D97" s="6">
        <f>IF(B97="","",[1]!s_dq_close(股指期货基差分析!$E$6,$B97))</f>
        <v>4888.8</v>
      </c>
      <c r="E97" s="6">
        <f ca="1">RANK(F97,F:F)+COUNTIF(F$2:F97,F97)-1</f>
        <v>1198</v>
      </c>
      <c r="F97" s="6">
        <f t="shared" si="2"/>
        <v>-66.685499999999593</v>
      </c>
      <c r="G97" s="6">
        <f ca="1">IF(B97="","",股指期货基差分析!$N$11)</f>
        <v>-71.408500000000458</v>
      </c>
      <c r="H97" s="6">
        <f ca="1">IF(B97="","",股指期货基差分析!$L$11)</f>
        <v>15.737900000000081</v>
      </c>
      <c r="I97" s="10">
        <f ca="1">IF(B97="","",股指期货基差分析!$D$11)</f>
        <v>-19.923978315132629</v>
      </c>
      <c r="L97" s="43"/>
      <c r="Q97" s="11"/>
    </row>
    <row r="98" spans="2:17" ht="15" customHeight="1" x14ac:dyDescent="0.2">
      <c r="B98" s="7">
        <v>43614</v>
      </c>
      <c r="C98" s="5">
        <f>IF(B98="","",[1]!s_dq_close(股指期货基差分析!$E$5,$B98))</f>
        <v>4956.8638000000001</v>
      </c>
      <c r="D98" s="5">
        <f>IF(B98="","",[1]!s_dq_close(股指期货基差分析!$E$6,$B98))</f>
        <v>4866</v>
      </c>
      <c r="E98" s="5">
        <f ca="1">RANK(F98,F:F)+COUNTIF(F$2:F98,F98)-1</f>
        <v>1266</v>
      </c>
      <c r="F98" s="5">
        <f t="shared" si="2"/>
        <v>-90.863800000000083</v>
      </c>
      <c r="G98" s="5">
        <f ca="1">IF(B98="","",股指期货基差分析!$N$11)</f>
        <v>-71.408500000000458</v>
      </c>
      <c r="H98" s="5">
        <f ca="1">IF(B98="","",股指期货基差分析!$L$11)</f>
        <v>15.737900000000081</v>
      </c>
      <c r="I98" s="9">
        <f ca="1">IF(B98="","",股指期货基差分析!$D$11)</f>
        <v>-19.923978315132629</v>
      </c>
      <c r="L98" s="43"/>
      <c r="Q98" s="11"/>
    </row>
    <row r="99" spans="2:17" ht="15" customHeight="1" x14ac:dyDescent="0.2">
      <c r="B99" s="8">
        <v>43615</v>
      </c>
      <c r="C99" s="6">
        <f>IF(B99="","",[1]!s_dq_close(股指期货基差分析!$E$5,$B99))</f>
        <v>4926.4030000000002</v>
      </c>
      <c r="D99" s="6">
        <f>IF(B99="","",[1]!s_dq_close(股指期货基差分析!$E$6,$B99))</f>
        <v>4868.6000000000004</v>
      </c>
      <c r="E99" s="6">
        <f ca="1">RANK(F99,F:F)+COUNTIF(F$2:F99,F99)-1</f>
        <v>1150</v>
      </c>
      <c r="F99" s="6">
        <f t="shared" si="2"/>
        <v>-57.802999999999884</v>
      </c>
      <c r="G99" s="6">
        <f ca="1">IF(B99="","",股指期货基差分析!$N$11)</f>
        <v>-71.408500000000458</v>
      </c>
      <c r="H99" s="6">
        <f ca="1">IF(B99="","",股指期货基差分析!$L$11)</f>
        <v>15.737900000000081</v>
      </c>
      <c r="I99" s="10">
        <f ca="1">IF(B99="","",股指期货基差分析!$D$11)</f>
        <v>-19.923978315132629</v>
      </c>
      <c r="L99" s="43"/>
      <c r="Q99" s="11"/>
    </row>
    <row r="100" spans="2:17" ht="15" customHeight="1" x14ac:dyDescent="0.2">
      <c r="B100" s="7">
        <v>43616</v>
      </c>
      <c r="C100" s="5">
        <f>IF(B100="","",[1]!s_dq_close(股指期货基差分析!$E$5,$B100))</f>
        <v>4912.0005000000001</v>
      </c>
      <c r="D100" s="5">
        <f>IF(B100="","",[1]!s_dq_close(股指期货基差分析!$E$6,$B100))</f>
        <v>4808.8</v>
      </c>
      <c r="E100" s="5">
        <f ca="1">RANK(F100,F:F)+COUNTIF(F$2:F100,F100)-1</f>
        <v>1275</v>
      </c>
      <c r="F100" s="5">
        <f t="shared" si="2"/>
        <v>-103.20049999999992</v>
      </c>
      <c r="G100" s="5">
        <f ca="1">IF(B100="","",股指期货基差分析!$N$11)</f>
        <v>-71.408500000000458</v>
      </c>
      <c r="H100" s="5">
        <f ca="1">IF(B100="","",股指期货基差分析!$L$11)</f>
        <v>15.737900000000081</v>
      </c>
      <c r="I100" s="9">
        <f ca="1">IF(B100="","",股指期货基差分析!$D$11)</f>
        <v>-19.923978315132629</v>
      </c>
      <c r="L100" s="43"/>
      <c r="Q100" s="11"/>
    </row>
    <row r="101" spans="2:17" ht="15" customHeight="1" x14ac:dyDescent="0.2">
      <c r="B101" s="8">
        <v>43619</v>
      </c>
      <c r="C101" s="6">
        <f>IF(B101="","",[1]!s_dq_close(股指期货基差分析!$E$5,$B101))</f>
        <v>4853.8153000000002</v>
      </c>
      <c r="D101" s="6">
        <f>IF(B101="","",[1]!s_dq_close(股指期货基差分析!$E$6,$B101))</f>
        <v>4788</v>
      </c>
      <c r="E101" s="6">
        <f ca="1">RANK(F101,F:F)+COUNTIF(F$2:F101,F101)-1</f>
        <v>1192</v>
      </c>
      <c r="F101" s="6">
        <f t="shared" si="2"/>
        <v>-65.815300000000207</v>
      </c>
      <c r="G101" s="6">
        <f ca="1">IF(B101="","",股指期货基差分析!$N$11)</f>
        <v>-71.408500000000458</v>
      </c>
      <c r="H101" s="6">
        <f ca="1">IF(B101="","",股指期货基差分析!$L$11)</f>
        <v>15.737900000000081</v>
      </c>
      <c r="I101" s="10">
        <f ca="1">IF(B101="","",股指期货基差分析!$D$11)</f>
        <v>-19.923978315132629</v>
      </c>
      <c r="L101" s="43"/>
      <c r="Q101" s="11"/>
    </row>
    <row r="102" spans="2:17" ht="15" customHeight="1" x14ac:dyDescent="0.2">
      <c r="B102" s="7">
        <v>43620</v>
      </c>
      <c r="C102" s="5">
        <f>IF(B102="","",[1]!s_dq_close(股指期货基差分析!$E$5,$B102))</f>
        <v>4795.4129000000003</v>
      </c>
      <c r="D102" s="5">
        <f>IF(B102="","",[1]!s_dq_close(股指期货基差分析!$E$6,$B102))</f>
        <v>4746.8</v>
      </c>
      <c r="E102" s="5">
        <f ca="1">RANK(F102,F:F)+COUNTIF(F$2:F102,F102)-1</f>
        <v>1091</v>
      </c>
      <c r="F102" s="5">
        <f t="shared" si="2"/>
        <v>-48.612900000000081</v>
      </c>
      <c r="G102" s="5">
        <f ca="1">IF(B102="","",股指期货基差分析!$N$11)</f>
        <v>-71.408500000000458</v>
      </c>
      <c r="H102" s="5">
        <f ca="1">IF(B102="","",股指期货基差分析!$L$11)</f>
        <v>15.737900000000081</v>
      </c>
      <c r="I102" s="9">
        <f ca="1">IF(B102="","",股指期货基差分析!$D$11)</f>
        <v>-19.923978315132629</v>
      </c>
      <c r="L102" s="43"/>
      <c r="Q102" s="11"/>
    </row>
    <row r="103" spans="2:17" ht="15" customHeight="1" x14ac:dyDescent="0.2">
      <c r="B103" s="8">
        <v>43621</v>
      </c>
      <c r="C103" s="6">
        <f>IF(B103="","",[1]!s_dq_close(股指期货基差分析!$E$5,$B103))</f>
        <v>4783.8244999999997</v>
      </c>
      <c r="D103" s="6">
        <f>IF(B103="","",[1]!s_dq_close(股指期货基差分析!$E$6,$B103))</f>
        <v>4721.8</v>
      </c>
      <c r="E103" s="6">
        <f ca="1">RANK(F103,F:F)+COUNTIF(F$2:F103,F103)-1</f>
        <v>1176</v>
      </c>
      <c r="F103" s="6">
        <f t="shared" si="2"/>
        <v>-62.024499999999534</v>
      </c>
      <c r="G103" s="6">
        <f ca="1">IF(B103="","",股指期货基差分析!$N$11)</f>
        <v>-71.408500000000458</v>
      </c>
      <c r="H103" s="6">
        <f ca="1">IF(B103="","",股指期货基差分析!$L$11)</f>
        <v>15.737900000000081</v>
      </c>
      <c r="I103" s="10">
        <f ca="1">IF(B103="","",股指期货基差分析!$D$11)</f>
        <v>-19.923978315132629</v>
      </c>
      <c r="L103" s="43"/>
      <c r="Q103" s="11"/>
    </row>
    <row r="104" spans="2:17" ht="15" customHeight="1" x14ac:dyDescent="0.2">
      <c r="B104" s="7">
        <v>43622</v>
      </c>
      <c r="C104" s="5">
        <f>IF(B104="","",[1]!s_dq_close(股指期货基差分析!$E$5,$B104))</f>
        <v>4678.7843999999996</v>
      </c>
      <c r="D104" s="5">
        <f>IF(B104="","",[1]!s_dq_close(股指期货基差分析!$E$6,$B104))</f>
        <v>4611.8</v>
      </c>
      <c r="E104" s="5">
        <f ca="1">RANK(F104,F:F)+COUNTIF(F$2:F104,F104)-1</f>
        <v>1201</v>
      </c>
      <c r="F104" s="5">
        <f t="shared" si="2"/>
        <v>-66.984399999999368</v>
      </c>
      <c r="G104" s="5">
        <f ca="1">IF(B104="","",股指期货基差分析!$N$11)</f>
        <v>-71.408500000000458</v>
      </c>
      <c r="H104" s="5">
        <f ca="1">IF(B104="","",股指期货基差分析!$L$11)</f>
        <v>15.737900000000081</v>
      </c>
      <c r="I104" s="9">
        <f ca="1">IF(B104="","",股指期货基差分析!$D$11)</f>
        <v>-19.923978315132629</v>
      </c>
      <c r="L104" s="43"/>
      <c r="Q104" s="11"/>
    </row>
    <row r="105" spans="2:17" ht="15" customHeight="1" x14ac:dyDescent="0.2">
      <c r="B105" s="8">
        <v>43626</v>
      </c>
      <c r="C105" s="6">
        <f>IF(B105="","",[1]!s_dq_close(股指期货基差分析!$E$5,$B105))</f>
        <v>4725.2642999999998</v>
      </c>
      <c r="D105" s="6">
        <f>IF(B105="","",[1]!s_dq_close(股指期货基差分析!$E$6,$B105))</f>
        <v>4658</v>
      </c>
      <c r="E105" s="6">
        <f ca="1">RANK(F105,F:F)+COUNTIF(F$2:F105,F105)-1</f>
        <v>1203</v>
      </c>
      <c r="F105" s="6">
        <f t="shared" si="2"/>
        <v>-67.264299999999821</v>
      </c>
      <c r="G105" s="6">
        <f ca="1">IF(B105="","",股指期货基差分析!$N$11)</f>
        <v>-71.408500000000458</v>
      </c>
      <c r="H105" s="6">
        <f ca="1">IF(B105="","",股指期货基差分析!$L$11)</f>
        <v>15.737900000000081</v>
      </c>
      <c r="I105" s="10">
        <f ca="1">IF(B105="","",股指期货基差分析!$D$11)</f>
        <v>-19.923978315132629</v>
      </c>
      <c r="L105" s="43"/>
      <c r="Q105" s="11"/>
    </row>
    <row r="106" spans="2:17" ht="15" customHeight="1" x14ac:dyDescent="0.2">
      <c r="B106" s="7">
        <v>43627</v>
      </c>
      <c r="C106" s="5">
        <f>IF(B106="","",[1]!s_dq_close(股指期货基差分析!$E$5,$B106))</f>
        <v>4901.4723000000004</v>
      </c>
      <c r="D106" s="5">
        <f>IF(B106="","",[1]!s_dq_close(股指期货基差分析!$E$6,$B106))</f>
        <v>4876.6000000000004</v>
      </c>
      <c r="E106" s="5">
        <f ca="1">RANK(F106,F:F)+COUNTIF(F$2:F106,F106)-1</f>
        <v>813</v>
      </c>
      <c r="F106" s="5">
        <f t="shared" si="2"/>
        <v>-24.872299999999996</v>
      </c>
      <c r="G106" s="5">
        <f ca="1">IF(B106="","",股指期货基差分析!$N$11)</f>
        <v>-71.408500000000458</v>
      </c>
      <c r="H106" s="5">
        <f ca="1">IF(B106="","",股指期货基差分析!$L$11)</f>
        <v>15.737900000000081</v>
      </c>
      <c r="I106" s="9">
        <f ca="1">IF(B106="","",股指期货基差分析!$D$11)</f>
        <v>-19.923978315132629</v>
      </c>
      <c r="L106" s="43"/>
      <c r="Q106" s="11"/>
    </row>
    <row r="107" spans="2:17" ht="15" customHeight="1" x14ac:dyDescent="0.2">
      <c r="B107" s="8">
        <v>43628</v>
      </c>
      <c r="C107" s="6">
        <f>IF(B107="","",[1]!s_dq_close(股指期货基差分析!$E$5,$B107))</f>
        <v>4863.4921999999997</v>
      </c>
      <c r="D107" s="6">
        <f>IF(B107="","",[1]!s_dq_close(股指期货基差分析!$E$6,$B107))</f>
        <v>4816.3999999999996</v>
      </c>
      <c r="E107" s="6">
        <f ca="1">RANK(F107,F:F)+COUNTIF(F$2:F107,F107)-1</f>
        <v>1080</v>
      </c>
      <c r="F107" s="6">
        <f t="shared" si="2"/>
        <v>-47.092200000000048</v>
      </c>
      <c r="G107" s="6">
        <f ca="1">IF(B107="","",股指期货基差分析!$N$11)</f>
        <v>-71.408500000000458</v>
      </c>
      <c r="H107" s="6">
        <f ca="1">IF(B107="","",股指期货基差分析!$L$11)</f>
        <v>15.737900000000081</v>
      </c>
      <c r="I107" s="10">
        <f ca="1">IF(B107="","",股指期货基差分析!$D$11)</f>
        <v>-19.923978315132629</v>
      </c>
      <c r="L107" s="43"/>
      <c r="Q107" s="11"/>
    </row>
    <row r="108" spans="2:17" ht="15" customHeight="1" x14ac:dyDescent="0.2">
      <c r="B108" s="7">
        <v>43629</v>
      </c>
      <c r="C108" s="5">
        <f>IF(B108="","",[1]!s_dq_close(股指期货基差分析!$E$5,$B108))</f>
        <v>4877.6504999999997</v>
      </c>
      <c r="D108" s="5">
        <f>IF(B108="","",[1]!s_dq_close(股指期货基差分析!$E$6,$B108))</f>
        <v>4838.6000000000004</v>
      </c>
      <c r="E108" s="5">
        <f ca="1">RANK(F108,F:F)+COUNTIF(F$2:F108,F108)-1</f>
        <v>997</v>
      </c>
      <c r="F108" s="5">
        <f t="shared" si="2"/>
        <v>-39.050499999999374</v>
      </c>
      <c r="G108" s="5">
        <f ca="1">IF(B108="","",股指期货基差分析!$N$11)</f>
        <v>-71.408500000000458</v>
      </c>
      <c r="H108" s="5">
        <f ca="1">IF(B108="","",股指期货基差分析!$L$11)</f>
        <v>15.737900000000081</v>
      </c>
      <c r="I108" s="9">
        <f ca="1">IF(B108="","",股指期货基差分析!$D$11)</f>
        <v>-19.923978315132629</v>
      </c>
      <c r="L108" s="43"/>
      <c r="Q108" s="11"/>
    </row>
    <row r="109" spans="2:17" ht="15" customHeight="1" x14ac:dyDescent="0.2">
      <c r="B109" s="8">
        <v>43630</v>
      </c>
      <c r="C109" s="6">
        <f>IF(B109="","",[1]!s_dq_close(股指期货基差分析!$E$5,$B109))</f>
        <v>4795.5267000000003</v>
      </c>
      <c r="D109" s="6">
        <f>IF(B109="","",[1]!s_dq_close(股指期货基差分析!$E$6,$B109))</f>
        <v>4769.2</v>
      </c>
      <c r="E109" s="6">
        <f ca="1">RANK(F109,F:F)+COUNTIF(F$2:F109,F109)-1</f>
        <v>833</v>
      </c>
      <c r="F109" s="6">
        <f t="shared" si="2"/>
        <v>-26.326700000000528</v>
      </c>
      <c r="G109" s="6">
        <f ca="1">IF(B109="","",股指期货基差分析!$N$11)</f>
        <v>-71.408500000000458</v>
      </c>
      <c r="H109" s="6">
        <f ca="1">IF(B109="","",股指期货基差分析!$L$11)</f>
        <v>15.737900000000081</v>
      </c>
      <c r="I109" s="10">
        <f ca="1">IF(B109="","",股指期货基差分析!$D$11)</f>
        <v>-19.923978315132629</v>
      </c>
      <c r="L109" s="43"/>
      <c r="Q109" s="11"/>
    </row>
    <row r="110" spans="2:17" ht="15" customHeight="1" x14ac:dyDescent="0.2">
      <c r="B110" s="7">
        <v>43633</v>
      </c>
      <c r="C110" s="5">
        <f>IF(B110="","",[1]!s_dq_close(股指期货基差分析!$E$5,$B110))</f>
        <v>4802.8185000000003</v>
      </c>
      <c r="D110" s="5">
        <f>IF(B110="","",[1]!s_dq_close(股指期货基差分析!$E$6,$B110))</f>
        <v>4792.8</v>
      </c>
      <c r="E110" s="5">
        <f ca="1">RANK(F110,F:F)+COUNTIF(F$2:F110,F110)-1</f>
        <v>553</v>
      </c>
      <c r="F110" s="5">
        <f t="shared" si="2"/>
        <v>-10.018500000000131</v>
      </c>
      <c r="G110" s="5">
        <f ca="1">IF(B110="","",股指期货基差分析!$N$11)</f>
        <v>-71.408500000000458</v>
      </c>
      <c r="H110" s="5">
        <f ca="1">IF(B110="","",股指期货基差分析!$L$11)</f>
        <v>15.737900000000081</v>
      </c>
      <c r="I110" s="9">
        <f ca="1">IF(B110="","",股指期货基差分析!$D$11)</f>
        <v>-19.923978315132629</v>
      </c>
      <c r="L110" s="43"/>
      <c r="Q110" s="11"/>
    </row>
    <row r="111" spans="2:17" ht="15" customHeight="1" x14ac:dyDescent="0.2">
      <c r="B111" s="8">
        <v>43634</v>
      </c>
      <c r="C111" s="6">
        <f>IF(B111="","",[1]!s_dq_close(股指期货基差分析!$E$5,$B111))</f>
        <v>4797.1468000000004</v>
      </c>
      <c r="D111" s="6">
        <f>IF(B111="","",[1]!s_dq_close(股指期货基差分析!$E$6,$B111))</f>
        <v>4790.8</v>
      </c>
      <c r="E111" s="6">
        <f ca="1">RANK(F111,F:F)+COUNTIF(F$2:F111,F111)-1</f>
        <v>452</v>
      </c>
      <c r="F111" s="6">
        <f t="shared" si="2"/>
        <v>-6.3468000000002576</v>
      </c>
      <c r="G111" s="6">
        <f ca="1">IF(B111="","",股指期货基差分析!$N$11)</f>
        <v>-71.408500000000458</v>
      </c>
      <c r="H111" s="6">
        <f ca="1">IF(B111="","",股指期货基差分析!$L$11)</f>
        <v>15.737900000000081</v>
      </c>
      <c r="I111" s="10">
        <f ca="1">IF(B111="","",股指期货基差分析!$D$11)</f>
        <v>-19.923978315132629</v>
      </c>
      <c r="L111" s="43"/>
      <c r="Q111" s="11"/>
    </row>
    <row r="112" spans="2:17" ht="15" customHeight="1" x14ac:dyDescent="0.2">
      <c r="B112" s="7">
        <v>43635</v>
      </c>
      <c r="C112" s="5">
        <f>IF(B112="","",[1]!s_dq_close(股指期货基差分析!$E$5,$B112))</f>
        <v>4858.9164000000001</v>
      </c>
      <c r="D112" s="5">
        <f>IF(B112="","",[1]!s_dq_close(股指期货基差分析!$E$6,$B112))</f>
        <v>4855</v>
      </c>
      <c r="E112" s="5">
        <f ca="1">RANK(F112,F:F)+COUNTIF(F$2:F112,F112)-1</f>
        <v>385</v>
      </c>
      <c r="F112" s="5">
        <f t="shared" si="2"/>
        <v>-3.9164000000000669</v>
      </c>
      <c r="G112" s="5">
        <f ca="1">IF(B112="","",股指期货基差分析!$N$11)</f>
        <v>-71.408500000000458</v>
      </c>
      <c r="H112" s="5">
        <f ca="1">IF(B112="","",股指期货基差分析!$L$11)</f>
        <v>15.737900000000081</v>
      </c>
      <c r="I112" s="9">
        <f ca="1">IF(B112="","",股指期货基差分析!$D$11)</f>
        <v>-19.923978315132629</v>
      </c>
      <c r="L112" s="43"/>
      <c r="Q112" s="11"/>
    </row>
    <row r="113" spans="2:17" ht="15" customHeight="1" x14ac:dyDescent="0.2">
      <c r="B113" s="8">
        <v>43636</v>
      </c>
      <c r="C113" s="6">
        <f>IF(B113="","",[1]!s_dq_close(股指期货基差分析!$E$5,$B113))</f>
        <v>4954.7338</v>
      </c>
      <c r="D113" s="6">
        <f>IF(B113="","",[1]!s_dq_close(股指期货基差分析!$E$6,$B113))</f>
        <v>4954.2</v>
      </c>
      <c r="E113" s="6">
        <f ca="1">RANK(F113,F:F)+COUNTIF(F$2:F113,F113)-1</f>
        <v>310</v>
      </c>
      <c r="F113" s="6">
        <f t="shared" si="2"/>
        <v>-0.53380000000015571</v>
      </c>
      <c r="G113" s="6">
        <f ca="1">IF(B113="","",股指期货基差分析!$N$11)</f>
        <v>-71.408500000000458</v>
      </c>
      <c r="H113" s="6">
        <f ca="1">IF(B113="","",股指期货基差分析!$L$11)</f>
        <v>15.737900000000081</v>
      </c>
      <c r="I113" s="10">
        <f ca="1">IF(B113="","",股指期货基差分析!$D$11)</f>
        <v>-19.923978315132629</v>
      </c>
      <c r="L113" s="43"/>
      <c r="Q113" s="11"/>
    </row>
    <row r="114" spans="2:17" ht="15" customHeight="1" x14ac:dyDescent="0.2">
      <c r="B114" s="7">
        <v>43637</v>
      </c>
      <c r="C114" s="5">
        <f>IF(B114="","",[1]!s_dq_close(股指期货基差分析!$E$5,$B114))</f>
        <v>5021.3050999999996</v>
      </c>
      <c r="D114" s="5">
        <f>IF(B114="","",[1]!s_dq_close(股指期货基差分析!$E$6,$B114))</f>
        <v>5012</v>
      </c>
      <c r="E114" s="5">
        <f ca="1">RANK(F114,F:F)+COUNTIF(F$2:F114,F114)-1</f>
        <v>539</v>
      </c>
      <c r="F114" s="5">
        <f t="shared" si="2"/>
        <v>-9.3050999999995838</v>
      </c>
      <c r="G114" s="5">
        <f ca="1">IF(B114="","",股指期货基差分析!$N$11)</f>
        <v>-71.408500000000458</v>
      </c>
      <c r="H114" s="5">
        <f ca="1">IF(B114="","",股指期货基差分析!$L$11)</f>
        <v>15.737900000000081</v>
      </c>
      <c r="I114" s="9">
        <f ca="1">IF(B114="","",股指期货基差分析!$D$11)</f>
        <v>-19.923978315132629</v>
      </c>
      <c r="L114" s="43"/>
      <c r="Q114" s="11"/>
    </row>
    <row r="115" spans="2:17" ht="15" customHeight="1" x14ac:dyDescent="0.2">
      <c r="B115" s="8">
        <v>43640</v>
      </c>
      <c r="C115" s="6">
        <f>IF(B115="","",[1]!s_dq_close(股指期货基差分析!$E$5,$B115))</f>
        <v>5024.2046</v>
      </c>
      <c r="D115" s="6">
        <f>IF(B115="","",[1]!s_dq_close(股指期货基差分析!$E$6,$B115))</f>
        <v>4974.6000000000004</v>
      </c>
      <c r="E115" s="6">
        <f ca="1">RANK(F115,F:F)+COUNTIF(F$2:F115,F115)-1</f>
        <v>1094</v>
      </c>
      <c r="F115" s="6">
        <f t="shared" si="2"/>
        <v>-49.604599999999664</v>
      </c>
      <c r="G115" s="6">
        <f ca="1">IF(B115="","",股指期货基差分析!$N$11)</f>
        <v>-71.408500000000458</v>
      </c>
      <c r="H115" s="6">
        <f ca="1">IF(B115="","",股指期货基差分析!$L$11)</f>
        <v>15.737900000000081</v>
      </c>
      <c r="I115" s="10">
        <f ca="1">IF(B115="","",股指期货基差分析!$D$11)</f>
        <v>-19.923978315132629</v>
      </c>
      <c r="L115" s="43"/>
      <c r="Q115" s="11"/>
    </row>
    <row r="116" spans="2:17" ht="15" customHeight="1" x14ac:dyDescent="0.2">
      <c r="B116" s="7">
        <v>43641</v>
      </c>
      <c r="C116" s="5">
        <f>IF(B116="","",[1]!s_dq_close(股指期货基差分析!$E$5,$B116))</f>
        <v>4974.9881999999998</v>
      </c>
      <c r="D116" s="5">
        <f>IF(B116="","",[1]!s_dq_close(股指期货基差分析!$E$6,$B116))</f>
        <v>4920.8</v>
      </c>
      <c r="E116" s="5">
        <f ca="1">RANK(F116,F:F)+COUNTIF(F$2:F116,F116)-1</f>
        <v>1133</v>
      </c>
      <c r="F116" s="5">
        <f t="shared" si="2"/>
        <v>-54.188199999999597</v>
      </c>
      <c r="G116" s="5">
        <f ca="1">IF(B116="","",股指期货基差分析!$N$11)</f>
        <v>-71.408500000000458</v>
      </c>
      <c r="H116" s="5">
        <f ca="1">IF(B116="","",股指期货基差分析!$L$11)</f>
        <v>15.737900000000081</v>
      </c>
      <c r="I116" s="9">
        <f ca="1">IF(B116="","",股指期货基差分析!$D$11)</f>
        <v>-19.923978315132629</v>
      </c>
      <c r="L116" s="43"/>
      <c r="Q116" s="11"/>
    </row>
    <row r="117" spans="2:17" ht="15" customHeight="1" x14ac:dyDescent="0.2">
      <c r="B117" s="8">
        <v>43642</v>
      </c>
      <c r="C117" s="6">
        <f>IF(B117="","",[1]!s_dq_close(股指期货基差分析!$E$5,$B117))</f>
        <v>4962.5936000000002</v>
      </c>
      <c r="D117" s="6">
        <f>IF(B117="","",[1]!s_dq_close(股指期货基差分析!$E$6,$B117))</f>
        <v>4916.2</v>
      </c>
      <c r="E117" s="6">
        <f ca="1">RANK(F117,F:F)+COUNTIF(F$2:F117,F117)-1</f>
        <v>1074</v>
      </c>
      <c r="F117" s="6">
        <f t="shared" si="2"/>
        <v>-46.393600000000333</v>
      </c>
      <c r="G117" s="6">
        <f ca="1">IF(B117="","",股指期货基差分析!$N$11)</f>
        <v>-71.408500000000458</v>
      </c>
      <c r="H117" s="6">
        <f ca="1">IF(B117="","",股指期货基差分析!$L$11)</f>
        <v>15.737900000000081</v>
      </c>
      <c r="I117" s="10">
        <f ca="1">IF(B117="","",股指期货基差分析!$D$11)</f>
        <v>-19.923978315132629</v>
      </c>
      <c r="L117" s="43"/>
      <c r="Q117" s="11"/>
    </row>
    <row r="118" spans="2:17" ht="15" customHeight="1" x14ac:dyDescent="0.2">
      <c r="B118" s="7">
        <v>43643</v>
      </c>
      <c r="C118" s="5">
        <f>IF(B118="","",[1]!s_dq_close(股指期货基差分析!$E$5,$B118))</f>
        <v>5007.4832999999999</v>
      </c>
      <c r="D118" s="5">
        <f>IF(B118="","",[1]!s_dq_close(股指期货基差分析!$E$6,$B118))</f>
        <v>4957.2</v>
      </c>
      <c r="E118" s="5">
        <f ca="1">RANK(F118,F:F)+COUNTIF(F$2:F118,F118)-1</f>
        <v>1099</v>
      </c>
      <c r="F118" s="5">
        <f t="shared" si="2"/>
        <v>-50.283300000000054</v>
      </c>
      <c r="G118" s="5">
        <f ca="1">IF(B118="","",股指期货基差分析!$N$11)</f>
        <v>-71.408500000000458</v>
      </c>
      <c r="H118" s="5">
        <f ca="1">IF(B118="","",股指期货基差分析!$L$11)</f>
        <v>15.737900000000081</v>
      </c>
      <c r="I118" s="9">
        <f ca="1">IF(B118="","",股指期货基差分析!$D$11)</f>
        <v>-19.923978315132629</v>
      </c>
      <c r="L118" s="43"/>
      <c r="Q118" s="11"/>
    </row>
    <row r="119" spans="2:17" ht="15" customHeight="1" x14ac:dyDescent="0.2">
      <c r="B119" s="8">
        <v>43644</v>
      </c>
      <c r="C119" s="6">
        <f>IF(B119="","",[1]!s_dq_close(股指期货基差分析!$E$5,$B119))</f>
        <v>4950.4798000000001</v>
      </c>
      <c r="D119" s="6">
        <f>IF(B119="","",[1]!s_dq_close(股指期货基差分析!$E$6,$B119))</f>
        <v>4920</v>
      </c>
      <c r="E119" s="6">
        <f ca="1">RANK(F119,F:F)+COUNTIF(F$2:F119,F119)-1</f>
        <v>897</v>
      </c>
      <c r="F119" s="6">
        <f t="shared" si="2"/>
        <v>-30.479800000000068</v>
      </c>
      <c r="G119" s="6">
        <f ca="1">IF(B119="","",股指期货基差分析!$N$11)</f>
        <v>-71.408500000000458</v>
      </c>
      <c r="H119" s="6">
        <f ca="1">IF(B119="","",股指期货基差分析!$L$11)</f>
        <v>15.737900000000081</v>
      </c>
      <c r="I119" s="10">
        <f ca="1">IF(B119="","",股指期货基差分析!$D$11)</f>
        <v>-19.923978315132629</v>
      </c>
      <c r="L119" s="43"/>
      <c r="Q119" s="11"/>
    </row>
    <row r="120" spans="2:17" ht="15" customHeight="1" x14ac:dyDescent="0.2">
      <c r="B120" s="7">
        <v>43647</v>
      </c>
      <c r="C120" s="5">
        <f>IF(B120="","",[1]!s_dq_close(股指期货基差分析!$E$5,$B120))</f>
        <v>5100.2619000000004</v>
      </c>
      <c r="D120" s="5">
        <f>IF(B120="","",[1]!s_dq_close(股指期货基差分析!$E$6,$B120))</f>
        <v>5050</v>
      </c>
      <c r="E120" s="5">
        <f ca="1">RANK(F120,F:F)+COUNTIF(F$2:F120,F120)-1</f>
        <v>1098</v>
      </c>
      <c r="F120" s="5">
        <f t="shared" si="2"/>
        <v>-50.261900000000423</v>
      </c>
      <c r="G120" s="5">
        <f ca="1">IF(B120="","",股指期货基差分析!$N$11)</f>
        <v>-71.408500000000458</v>
      </c>
      <c r="H120" s="5">
        <f ca="1">IF(B120="","",股指期货基差分析!$L$11)</f>
        <v>15.737900000000081</v>
      </c>
      <c r="I120" s="9">
        <f ca="1">IF(B120="","",股指期货基差分析!$D$11)</f>
        <v>-19.923978315132629</v>
      </c>
      <c r="L120" s="43"/>
      <c r="Q120" s="11"/>
    </row>
    <row r="121" spans="2:17" ht="15" customHeight="1" x14ac:dyDescent="0.2">
      <c r="B121" s="8">
        <v>43648</v>
      </c>
      <c r="C121" s="6">
        <f>IF(B121="","",[1]!s_dq_close(股指期货基差分析!$E$5,$B121))</f>
        <v>5084.41</v>
      </c>
      <c r="D121" s="6">
        <f>IF(B121="","",[1]!s_dq_close(股指期货基差分析!$E$6,$B121))</f>
        <v>5033.3999999999996</v>
      </c>
      <c r="E121" s="6">
        <f ca="1">RANK(F121,F:F)+COUNTIF(F$2:F121,F121)-1</f>
        <v>1106</v>
      </c>
      <c r="F121" s="6">
        <f t="shared" si="2"/>
        <v>-51.010000000000218</v>
      </c>
      <c r="G121" s="6">
        <f ca="1">IF(B121="","",股指期货基差分析!$N$11)</f>
        <v>-71.408500000000458</v>
      </c>
      <c r="H121" s="6">
        <f ca="1">IF(B121="","",股指期货基差分析!$L$11)</f>
        <v>15.737900000000081</v>
      </c>
      <c r="I121" s="10">
        <f ca="1">IF(B121="","",股指期货基差分析!$D$11)</f>
        <v>-19.923978315132629</v>
      </c>
      <c r="L121" s="43"/>
      <c r="Q121" s="11"/>
    </row>
    <row r="122" spans="2:17" ht="15" customHeight="1" x14ac:dyDescent="0.2">
      <c r="B122" s="7">
        <v>43649</v>
      </c>
      <c r="C122" s="5">
        <f>IF(B122="","",[1]!s_dq_close(股指期货基差分析!$E$5,$B122))</f>
        <v>5040.7227000000003</v>
      </c>
      <c r="D122" s="5">
        <f>IF(B122="","",[1]!s_dq_close(股指期货基差分析!$E$6,$B122))</f>
        <v>5004.6000000000004</v>
      </c>
      <c r="E122" s="5">
        <f ca="1">RANK(F122,F:F)+COUNTIF(F$2:F122,F122)-1</f>
        <v>969</v>
      </c>
      <c r="F122" s="5">
        <f t="shared" si="2"/>
        <v>-36.122699999999895</v>
      </c>
      <c r="G122" s="5">
        <f ca="1">IF(B122="","",股指期货基差分析!$N$11)</f>
        <v>-71.408500000000458</v>
      </c>
      <c r="H122" s="5">
        <f ca="1">IF(B122="","",股指期货基差分析!$L$11)</f>
        <v>15.737900000000081</v>
      </c>
      <c r="I122" s="9">
        <f ca="1">IF(B122="","",股指期货基差分析!$D$11)</f>
        <v>-19.923978315132629</v>
      </c>
      <c r="L122" s="43"/>
      <c r="Q122" s="11"/>
    </row>
    <row r="123" spans="2:17" ht="15" customHeight="1" x14ac:dyDescent="0.2">
      <c r="B123" s="8">
        <v>43650</v>
      </c>
      <c r="C123" s="6">
        <f>IF(B123="","",[1]!s_dq_close(股指期货基差分析!$E$5,$B123))</f>
        <v>5025.0207</v>
      </c>
      <c r="D123" s="6">
        <f>IF(B123="","",[1]!s_dq_close(股指期货基差分析!$E$6,$B123))</f>
        <v>4984</v>
      </c>
      <c r="E123" s="6">
        <f ca="1">RANK(F123,F:F)+COUNTIF(F$2:F123,F123)-1</f>
        <v>1016</v>
      </c>
      <c r="F123" s="6">
        <f t="shared" si="2"/>
        <v>-41.020700000000033</v>
      </c>
      <c r="G123" s="6">
        <f ca="1">IF(B123="","",股指期货基差分析!$N$11)</f>
        <v>-71.408500000000458</v>
      </c>
      <c r="H123" s="6">
        <f ca="1">IF(B123="","",股指期货基差分析!$L$11)</f>
        <v>15.737900000000081</v>
      </c>
      <c r="I123" s="10">
        <f ca="1">IF(B123="","",股指期货基差分析!$D$11)</f>
        <v>-19.923978315132629</v>
      </c>
      <c r="L123" s="43"/>
      <c r="Q123" s="11"/>
    </row>
    <row r="124" spans="2:17" ht="15" customHeight="1" x14ac:dyDescent="0.2">
      <c r="B124" s="7">
        <v>43651</v>
      </c>
      <c r="C124" s="5">
        <f>IF(B124="","",[1]!s_dq_close(股指期货基差分析!$E$5,$B124))</f>
        <v>5042.6598999999997</v>
      </c>
      <c r="D124" s="5">
        <f>IF(B124="","",[1]!s_dq_close(股指期货基差分析!$E$6,$B124))</f>
        <v>5017</v>
      </c>
      <c r="E124" s="5">
        <f ca="1">RANK(F124,F:F)+COUNTIF(F$2:F124,F124)-1</f>
        <v>826</v>
      </c>
      <c r="F124" s="5">
        <f t="shared" si="2"/>
        <v>-25.659899999999652</v>
      </c>
      <c r="G124" s="5">
        <f ca="1">IF(B124="","",股指期货基差分析!$N$11)</f>
        <v>-71.408500000000458</v>
      </c>
      <c r="H124" s="5">
        <f ca="1">IF(B124="","",股指期货基差分析!$L$11)</f>
        <v>15.737900000000081</v>
      </c>
      <c r="I124" s="9">
        <f ca="1">IF(B124="","",股指期货基差分析!$D$11)</f>
        <v>-19.923978315132629</v>
      </c>
      <c r="L124" s="43"/>
      <c r="Q124" s="11"/>
    </row>
    <row r="125" spans="2:17" ht="15" customHeight="1" x14ac:dyDescent="0.2">
      <c r="B125" s="8">
        <v>43654</v>
      </c>
      <c r="C125" s="6">
        <f>IF(B125="","",[1]!s_dq_close(股指期货基差分析!$E$5,$B125))</f>
        <v>4870.7807000000003</v>
      </c>
      <c r="D125" s="6">
        <f>IF(B125="","",[1]!s_dq_close(股指期货基差分析!$E$6,$B125))</f>
        <v>4821.6000000000004</v>
      </c>
      <c r="E125" s="6">
        <f ca="1">RANK(F125,F:F)+COUNTIF(F$2:F125,F125)-1</f>
        <v>1092</v>
      </c>
      <c r="F125" s="6">
        <f t="shared" si="2"/>
        <v>-49.180699999999888</v>
      </c>
      <c r="G125" s="6">
        <f ca="1">IF(B125="","",股指期货基差分析!$N$11)</f>
        <v>-71.408500000000458</v>
      </c>
      <c r="H125" s="6">
        <f ca="1">IF(B125="","",股指期货基差分析!$L$11)</f>
        <v>15.737900000000081</v>
      </c>
      <c r="I125" s="10">
        <f ca="1">IF(B125="","",股指期货基差分析!$D$11)</f>
        <v>-19.923978315132629</v>
      </c>
      <c r="L125" s="43"/>
      <c r="Q125" s="11"/>
    </row>
    <row r="126" spans="2:17" ht="15" customHeight="1" x14ac:dyDescent="0.2">
      <c r="B126" s="7">
        <v>43655</v>
      </c>
      <c r="C126" s="5">
        <f>IF(B126="","",[1]!s_dq_close(股指期货基差分析!$E$5,$B126))</f>
        <v>4881.6234999999997</v>
      </c>
      <c r="D126" s="5">
        <f>IF(B126="","",[1]!s_dq_close(股指期货基差分析!$E$6,$B126))</f>
        <v>4829.3999999999996</v>
      </c>
      <c r="E126" s="5">
        <f ca="1">RANK(F126,F:F)+COUNTIF(F$2:F126,F126)-1</f>
        <v>1116</v>
      </c>
      <c r="F126" s="5">
        <f t="shared" si="2"/>
        <v>-52.223500000000058</v>
      </c>
      <c r="G126" s="5">
        <f ca="1">IF(B126="","",股指期货基差分析!$N$11)</f>
        <v>-71.408500000000458</v>
      </c>
      <c r="H126" s="5">
        <f ca="1">IF(B126="","",股指期货基差分析!$L$11)</f>
        <v>15.737900000000081</v>
      </c>
      <c r="I126" s="9">
        <f ca="1">IF(B126="","",股指期货基差分析!$D$11)</f>
        <v>-19.923978315132629</v>
      </c>
      <c r="L126" s="43"/>
      <c r="Q126" s="11"/>
    </row>
    <row r="127" spans="2:17" ht="15" customHeight="1" x14ac:dyDescent="0.2">
      <c r="B127" s="8">
        <v>43656</v>
      </c>
      <c r="C127" s="6">
        <f>IF(B127="","",[1]!s_dq_close(股指期货基差分析!$E$5,$B127))</f>
        <v>4843.8648999999996</v>
      </c>
      <c r="D127" s="6">
        <f>IF(B127="","",[1]!s_dq_close(股指期货基差分析!$E$6,$B127))</f>
        <v>4809.8</v>
      </c>
      <c r="E127" s="6">
        <f ca="1">RANK(F127,F:F)+COUNTIF(F$2:F127,F127)-1</f>
        <v>936</v>
      </c>
      <c r="F127" s="6">
        <f t="shared" si="2"/>
        <v>-34.064899999999398</v>
      </c>
      <c r="G127" s="6">
        <f ca="1">IF(B127="","",股指期货基差分析!$N$11)</f>
        <v>-71.408500000000458</v>
      </c>
      <c r="H127" s="6">
        <f ca="1">IF(B127="","",股指期货基差分析!$L$11)</f>
        <v>15.737900000000081</v>
      </c>
      <c r="I127" s="10">
        <f ca="1">IF(B127="","",股指期货基差分析!$D$11)</f>
        <v>-19.923978315132629</v>
      </c>
      <c r="L127" s="43"/>
      <c r="Q127" s="11"/>
    </row>
    <row r="128" spans="2:17" ht="15" customHeight="1" x14ac:dyDescent="0.2">
      <c r="B128" s="7">
        <v>43657</v>
      </c>
      <c r="C128" s="5">
        <f>IF(B128="","",[1]!s_dq_close(股指期货基差分析!$E$5,$B128))</f>
        <v>4844.5474000000004</v>
      </c>
      <c r="D128" s="5">
        <f>IF(B128="","",[1]!s_dq_close(股指期货基差分析!$E$6,$B128))</f>
        <v>4800.6000000000004</v>
      </c>
      <c r="E128" s="5">
        <f ca="1">RANK(F128,F:F)+COUNTIF(F$2:F128,F128)-1</f>
        <v>1042</v>
      </c>
      <c r="F128" s="5">
        <f t="shared" si="2"/>
        <v>-43.947400000000016</v>
      </c>
      <c r="G128" s="5">
        <f ca="1">IF(B128="","",股指期货基差分析!$N$11)</f>
        <v>-71.408500000000458</v>
      </c>
      <c r="H128" s="5">
        <f ca="1">IF(B128="","",股指期货基差分析!$L$11)</f>
        <v>15.737900000000081</v>
      </c>
      <c r="I128" s="9">
        <f ca="1">IF(B128="","",股指期货基差分析!$D$11)</f>
        <v>-19.923978315132629</v>
      </c>
      <c r="L128" s="43"/>
      <c r="Q128" s="11"/>
    </row>
    <row r="129" spans="2:17" ht="15" customHeight="1" x14ac:dyDescent="0.2">
      <c r="B129" s="8">
        <v>43658</v>
      </c>
      <c r="C129" s="6">
        <f>IF(B129="","",[1]!s_dq_close(股指期货基差分析!$E$5,$B129))</f>
        <v>4861.5679</v>
      </c>
      <c r="D129" s="6">
        <f>IF(B129="","",[1]!s_dq_close(股指期货基差分析!$E$6,$B129))</f>
        <v>4843</v>
      </c>
      <c r="E129" s="6">
        <f ca="1">RANK(F129,F:F)+COUNTIF(F$2:F129,F129)-1</f>
        <v>723</v>
      </c>
      <c r="F129" s="6">
        <f t="shared" si="2"/>
        <v>-18.567900000000009</v>
      </c>
      <c r="G129" s="6">
        <f ca="1">IF(B129="","",股指期货基差分析!$N$11)</f>
        <v>-71.408500000000458</v>
      </c>
      <c r="H129" s="6">
        <f ca="1">IF(B129="","",股指期货基差分析!$L$11)</f>
        <v>15.737900000000081</v>
      </c>
      <c r="I129" s="10">
        <f ca="1">IF(B129="","",股指期货基差分析!$D$11)</f>
        <v>-19.923978315132629</v>
      </c>
      <c r="L129" s="43"/>
      <c r="Q129" s="11"/>
    </row>
    <row r="130" spans="2:17" ht="15" customHeight="1" x14ac:dyDescent="0.2">
      <c r="B130" s="7">
        <v>43661</v>
      </c>
      <c r="C130" s="5">
        <f>IF(B130="","",[1]!s_dq_close(股指期货基差分析!$E$5,$B130))</f>
        <v>4925.3243000000002</v>
      </c>
      <c r="D130" s="5">
        <f>IF(B130="","",[1]!s_dq_close(股指期货基差分析!$E$6,$B130))</f>
        <v>4906</v>
      </c>
      <c r="E130" s="5">
        <f ca="1">RANK(F130,F:F)+COUNTIF(F$2:F130,F130)-1</f>
        <v>735</v>
      </c>
      <c r="F130" s="5">
        <f t="shared" ref="F130:F193" si="3">IF(B130="","",D130-C130)</f>
        <v>-19.324300000000221</v>
      </c>
      <c r="G130" s="5">
        <f ca="1">IF(B130="","",股指期货基差分析!$N$11)</f>
        <v>-71.408500000000458</v>
      </c>
      <c r="H130" s="5">
        <f ca="1">IF(B130="","",股指期货基差分析!$L$11)</f>
        <v>15.737900000000081</v>
      </c>
      <c r="I130" s="9">
        <f ca="1">IF(B130="","",股指期货基差分析!$D$11)</f>
        <v>-19.923978315132629</v>
      </c>
      <c r="L130" s="43"/>
      <c r="Q130" s="11"/>
    </row>
    <row r="131" spans="2:17" ht="15" customHeight="1" x14ac:dyDescent="0.2">
      <c r="B131" s="8">
        <v>43662</v>
      </c>
      <c r="C131" s="6">
        <f>IF(B131="","",[1]!s_dq_close(股指期货基差分析!$E$5,$B131))</f>
        <v>4932.0457999999999</v>
      </c>
      <c r="D131" s="6">
        <f>IF(B131="","",[1]!s_dq_close(股指期货基差分析!$E$6,$B131))</f>
        <v>4921.2</v>
      </c>
      <c r="E131" s="6">
        <f ca="1">RANK(F131,F:F)+COUNTIF(F$2:F131,F131)-1</f>
        <v>570</v>
      </c>
      <c r="F131" s="6">
        <f t="shared" si="3"/>
        <v>-10.845800000000054</v>
      </c>
      <c r="G131" s="6">
        <f ca="1">IF(B131="","",股指期货基差分析!$N$11)</f>
        <v>-71.408500000000458</v>
      </c>
      <c r="H131" s="6">
        <f ca="1">IF(B131="","",股指期货基差分析!$L$11)</f>
        <v>15.737900000000081</v>
      </c>
      <c r="I131" s="10">
        <f ca="1">IF(B131="","",股指期货基差分析!$D$11)</f>
        <v>-19.923978315132629</v>
      </c>
      <c r="L131" s="43"/>
      <c r="Q131" s="11"/>
    </row>
    <row r="132" spans="2:17" ht="15" customHeight="1" x14ac:dyDescent="0.2">
      <c r="B132" s="7">
        <v>43663</v>
      </c>
      <c r="C132" s="5">
        <f>IF(B132="","",[1]!s_dq_close(股指期货基差分析!$E$5,$B132))</f>
        <v>4929.085</v>
      </c>
      <c r="D132" s="5">
        <f>IF(B132="","",[1]!s_dq_close(股指期货基差分析!$E$6,$B132))</f>
        <v>4911.3999999999996</v>
      </c>
      <c r="E132" s="5">
        <f ca="1">RANK(F132,F:F)+COUNTIF(F$2:F132,F132)-1</f>
        <v>712</v>
      </c>
      <c r="F132" s="5">
        <f t="shared" si="3"/>
        <v>-17.6850000000004</v>
      </c>
      <c r="G132" s="5">
        <f ca="1">IF(B132="","",股指期货基差分析!$N$11)</f>
        <v>-71.408500000000458</v>
      </c>
      <c r="H132" s="5">
        <f ca="1">IF(B132="","",股指期货基差分析!$L$11)</f>
        <v>15.737900000000081</v>
      </c>
      <c r="I132" s="9">
        <f ca="1">IF(B132="","",股指期货基差分析!$D$11)</f>
        <v>-19.923978315132629</v>
      </c>
      <c r="L132" s="43"/>
      <c r="Q132" s="11"/>
    </row>
    <row r="133" spans="2:17" ht="15" customHeight="1" x14ac:dyDescent="0.2">
      <c r="B133" s="8">
        <v>43664</v>
      </c>
      <c r="C133" s="6">
        <f>IF(B133="","",[1]!s_dq_close(股指期货基差分析!$E$5,$B133))</f>
        <v>4844.1086999999998</v>
      </c>
      <c r="D133" s="6">
        <f>IF(B133="","",[1]!s_dq_close(股指期货基差分析!$E$6,$B133))</f>
        <v>4848.2</v>
      </c>
      <c r="E133" s="6">
        <f ca="1">RANK(F133,F:F)+COUNTIF(F$2:F133,F133)-1</f>
        <v>202</v>
      </c>
      <c r="F133" s="6">
        <f t="shared" si="3"/>
        <v>4.0913000000000466</v>
      </c>
      <c r="G133" s="6">
        <f ca="1">IF(B133="","",股指期货基差分析!$N$11)</f>
        <v>-71.408500000000458</v>
      </c>
      <c r="H133" s="6">
        <f ca="1">IF(B133="","",股指期货基差分析!$L$11)</f>
        <v>15.737900000000081</v>
      </c>
      <c r="I133" s="10">
        <f ca="1">IF(B133="","",股指期货基差分析!$D$11)</f>
        <v>-19.923978315132629</v>
      </c>
      <c r="L133" s="43"/>
      <c r="Q133" s="11"/>
    </row>
    <row r="134" spans="2:17" ht="15" customHeight="1" x14ac:dyDescent="0.2">
      <c r="B134" s="7">
        <v>43665</v>
      </c>
      <c r="C134" s="5">
        <f>IF(B134="","",[1]!s_dq_close(股指期货基差分析!$E$5,$B134))</f>
        <v>4878.6903000000002</v>
      </c>
      <c r="D134" s="5">
        <f>IF(B134="","",[1]!s_dq_close(股指期货基差分析!$E$6,$B134))</f>
        <v>4881.3999999999996</v>
      </c>
      <c r="E134" s="5">
        <f ca="1">RANK(F134,F:F)+COUNTIF(F$2:F134,F134)-1</f>
        <v>245</v>
      </c>
      <c r="F134" s="5">
        <f t="shared" si="3"/>
        <v>2.7096999999994296</v>
      </c>
      <c r="G134" s="5">
        <f ca="1">IF(B134="","",股指期货基差分析!$N$11)</f>
        <v>-71.408500000000458</v>
      </c>
      <c r="H134" s="5">
        <f ca="1">IF(B134="","",股指期货基差分析!$L$11)</f>
        <v>15.737900000000081</v>
      </c>
      <c r="I134" s="9">
        <f ca="1">IF(B134="","",股指期货基差分析!$D$11)</f>
        <v>-19.923978315132629</v>
      </c>
      <c r="L134" s="43"/>
      <c r="Q134" s="11"/>
    </row>
    <row r="135" spans="2:17" ht="15" customHeight="1" x14ac:dyDescent="0.2">
      <c r="B135" s="8">
        <v>43668</v>
      </c>
      <c r="C135" s="6">
        <f>IF(B135="","",[1]!s_dq_close(股指期货基差分析!$E$5,$B135))</f>
        <v>4776.5748999999996</v>
      </c>
      <c r="D135" s="6">
        <f>IF(B135="","",[1]!s_dq_close(股指期货基差分析!$E$6,$B135))</f>
        <v>4733.2</v>
      </c>
      <c r="E135" s="6">
        <f ca="1">RANK(F135,F:F)+COUNTIF(F$2:F135,F135)-1</f>
        <v>1034</v>
      </c>
      <c r="F135" s="6">
        <f t="shared" si="3"/>
        <v>-43.374899999999798</v>
      </c>
      <c r="G135" s="6">
        <f ca="1">IF(B135="","",股指期货基差分析!$N$11)</f>
        <v>-71.408500000000458</v>
      </c>
      <c r="H135" s="6">
        <f ca="1">IF(B135="","",股指期货基差分析!$L$11)</f>
        <v>15.737900000000081</v>
      </c>
      <c r="I135" s="10">
        <f ca="1">IF(B135="","",股指期货基差分析!$D$11)</f>
        <v>-19.923978315132629</v>
      </c>
      <c r="L135" s="43"/>
      <c r="Q135" s="11"/>
    </row>
    <row r="136" spans="2:17" ht="15" customHeight="1" x14ac:dyDescent="0.2">
      <c r="B136" s="7">
        <v>43669</v>
      </c>
      <c r="C136" s="5">
        <f>IF(B136="","",[1]!s_dq_close(股指期货基差分析!$E$5,$B136))</f>
        <v>4823.9182000000001</v>
      </c>
      <c r="D136" s="5">
        <f>IF(B136="","",[1]!s_dq_close(股指期货基差分析!$E$6,$B136))</f>
        <v>4776.3999999999996</v>
      </c>
      <c r="E136" s="5">
        <f ca="1">RANK(F136,F:F)+COUNTIF(F$2:F136,F136)-1</f>
        <v>1084</v>
      </c>
      <c r="F136" s="5">
        <f t="shared" si="3"/>
        <v>-47.518200000000434</v>
      </c>
      <c r="G136" s="5">
        <f ca="1">IF(B136="","",股指期货基差分析!$N$11)</f>
        <v>-71.408500000000458</v>
      </c>
      <c r="H136" s="5">
        <f ca="1">IF(B136="","",股指期货基差分析!$L$11)</f>
        <v>15.737900000000081</v>
      </c>
      <c r="I136" s="9">
        <f ca="1">IF(B136="","",股指期货基差分析!$D$11)</f>
        <v>-19.923978315132629</v>
      </c>
      <c r="L136" s="43"/>
      <c r="Q136" s="11"/>
    </row>
    <row r="137" spans="2:17" ht="15" customHeight="1" x14ac:dyDescent="0.2">
      <c r="B137" s="8">
        <v>43670</v>
      </c>
      <c r="C137" s="6">
        <f>IF(B137="","",[1]!s_dq_close(股指期货基差分析!$E$5,$B137))</f>
        <v>4873.0271000000002</v>
      </c>
      <c r="D137" s="6">
        <f>IF(B137="","",[1]!s_dq_close(股指期货基差分析!$E$6,$B137))</f>
        <v>4820.3999999999996</v>
      </c>
      <c r="E137" s="6">
        <f ca="1">RANK(F137,F:F)+COUNTIF(F$2:F137,F137)-1</f>
        <v>1121</v>
      </c>
      <c r="F137" s="6">
        <f t="shared" si="3"/>
        <v>-52.62710000000061</v>
      </c>
      <c r="G137" s="6">
        <f ca="1">IF(B137="","",股指期货基差分析!$N$11)</f>
        <v>-71.408500000000458</v>
      </c>
      <c r="H137" s="6">
        <f ca="1">IF(B137="","",股指期货基差分析!$L$11)</f>
        <v>15.737900000000081</v>
      </c>
      <c r="I137" s="10">
        <f ca="1">IF(B137="","",股指期货基差分析!$D$11)</f>
        <v>-19.923978315132629</v>
      </c>
      <c r="L137" s="43"/>
      <c r="Q137" s="11"/>
    </row>
    <row r="138" spans="2:17" ht="15" customHeight="1" x14ac:dyDescent="0.2">
      <c r="B138" s="7">
        <v>43671</v>
      </c>
      <c r="C138" s="5">
        <f>IF(B138="","",[1]!s_dq_close(股指期货基差分析!$E$5,$B138))</f>
        <v>4891.6432000000004</v>
      </c>
      <c r="D138" s="5">
        <f>IF(B138="","",[1]!s_dq_close(股指期货基差分析!$E$6,$B138))</f>
        <v>4846.3999999999996</v>
      </c>
      <c r="E138" s="5">
        <f ca="1">RANK(F138,F:F)+COUNTIF(F$2:F138,F138)-1</f>
        <v>1061</v>
      </c>
      <c r="F138" s="5">
        <f t="shared" si="3"/>
        <v>-45.243200000000797</v>
      </c>
      <c r="G138" s="5">
        <f ca="1">IF(B138="","",股指期货基差分析!$N$11)</f>
        <v>-71.408500000000458</v>
      </c>
      <c r="H138" s="5">
        <f ca="1">IF(B138="","",股指期货基差分析!$L$11)</f>
        <v>15.737900000000081</v>
      </c>
      <c r="I138" s="9">
        <f ca="1">IF(B138="","",股指期货基差分析!$D$11)</f>
        <v>-19.923978315132629</v>
      </c>
      <c r="L138" s="43"/>
      <c r="Q138" s="11"/>
    </row>
    <row r="139" spans="2:17" ht="15" customHeight="1" x14ac:dyDescent="0.2">
      <c r="B139" s="8">
        <v>43672</v>
      </c>
      <c r="C139" s="6">
        <f>IF(B139="","",[1]!s_dq_close(股指期货基差分析!$E$5,$B139))</f>
        <v>4898.1099000000004</v>
      </c>
      <c r="D139" s="6">
        <f>IF(B139="","",[1]!s_dq_close(股指期货基差分析!$E$6,$B139))</f>
        <v>4859.2</v>
      </c>
      <c r="E139" s="6">
        <f ca="1">RANK(F139,F:F)+COUNTIF(F$2:F139,F139)-1</f>
        <v>994</v>
      </c>
      <c r="F139" s="6">
        <f t="shared" si="3"/>
        <v>-38.909900000000562</v>
      </c>
      <c r="G139" s="6">
        <f ca="1">IF(B139="","",股指期货基差分析!$N$11)</f>
        <v>-71.408500000000458</v>
      </c>
      <c r="H139" s="6">
        <f ca="1">IF(B139="","",股指期货基差分析!$L$11)</f>
        <v>15.737900000000081</v>
      </c>
      <c r="I139" s="10">
        <f ca="1">IF(B139="","",股指期货基差分析!$D$11)</f>
        <v>-19.923978315132629</v>
      </c>
      <c r="L139" s="43"/>
      <c r="Q139" s="11"/>
    </row>
    <row r="140" spans="2:17" ht="15" customHeight="1" x14ac:dyDescent="0.2">
      <c r="B140" s="7">
        <v>43675</v>
      </c>
      <c r="C140" s="5">
        <f>IF(B140="","",[1]!s_dq_close(股指期货基差分析!$E$5,$B140))</f>
        <v>4897.0182999999997</v>
      </c>
      <c r="D140" s="5">
        <f>IF(B140="","",[1]!s_dq_close(股指期货基差分析!$E$6,$B140))</f>
        <v>4844</v>
      </c>
      <c r="E140" s="5">
        <f ca="1">RANK(F140,F:F)+COUNTIF(F$2:F140,F140)-1</f>
        <v>1127</v>
      </c>
      <c r="F140" s="5">
        <f t="shared" si="3"/>
        <v>-53.018299999999726</v>
      </c>
      <c r="G140" s="5">
        <f ca="1">IF(B140="","",股指期货基差分析!$N$11)</f>
        <v>-71.408500000000458</v>
      </c>
      <c r="H140" s="5">
        <f ca="1">IF(B140="","",股指期货基差分析!$L$11)</f>
        <v>15.737900000000081</v>
      </c>
      <c r="I140" s="9">
        <f ca="1">IF(B140="","",股指期货基差分析!$D$11)</f>
        <v>-19.923978315132629</v>
      </c>
      <c r="L140" s="43"/>
      <c r="Q140" s="11"/>
    </row>
    <row r="141" spans="2:17" ht="15" customHeight="1" x14ac:dyDescent="0.2">
      <c r="B141" s="8">
        <v>43676</v>
      </c>
      <c r="C141" s="6">
        <f>IF(B141="","",[1]!s_dq_close(股指期货基差分析!$E$5,$B141))</f>
        <v>4922.9174999999996</v>
      </c>
      <c r="D141" s="6">
        <f>IF(B141="","",[1]!s_dq_close(股指期货基差分析!$E$6,$B141))</f>
        <v>4877.6000000000004</v>
      </c>
      <c r="E141" s="6">
        <f ca="1">RANK(F141,F:F)+COUNTIF(F$2:F141,F141)-1</f>
        <v>1063</v>
      </c>
      <c r="F141" s="6">
        <f t="shared" si="3"/>
        <v>-45.3174999999992</v>
      </c>
      <c r="G141" s="6">
        <f ca="1">IF(B141="","",股指期货基差分析!$N$11)</f>
        <v>-71.408500000000458</v>
      </c>
      <c r="H141" s="6">
        <f ca="1">IF(B141="","",股指期货基差分析!$L$11)</f>
        <v>15.737900000000081</v>
      </c>
      <c r="I141" s="10">
        <f ca="1">IF(B141="","",股指期货基差分析!$D$11)</f>
        <v>-19.923978315132629</v>
      </c>
      <c r="L141" s="43"/>
      <c r="Q141" s="11"/>
    </row>
    <row r="142" spans="2:17" ht="15" customHeight="1" x14ac:dyDescent="0.2">
      <c r="B142" s="7">
        <v>43677</v>
      </c>
      <c r="C142" s="5">
        <f>IF(B142="","",[1]!s_dq_close(股指期货基差分析!$E$5,$B142))</f>
        <v>4903.2030000000004</v>
      </c>
      <c r="D142" s="5">
        <f>IF(B142="","",[1]!s_dq_close(股指期货基差分析!$E$6,$B142))</f>
        <v>4874</v>
      </c>
      <c r="E142" s="5">
        <f ca="1">RANK(F142,F:F)+COUNTIF(F$2:F142,F142)-1</f>
        <v>879</v>
      </c>
      <c r="F142" s="5">
        <f t="shared" si="3"/>
        <v>-29.203000000000429</v>
      </c>
      <c r="G142" s="5">
        <f ca="1">IF(B142="","",股指期货基差分析!$N$11)</f>
        <v>-71.408500000000458</v>
      </c>
      <c r="H142" s="5">
        <f ca="1">IF(B142="","",股指期货基差分析!$L$11)</f>
        <v>15.737900000000081</v>
      </c>
      <c r="I142" s="9">
        <f ca="1">IF(B142="","",股指期货基差分析!$D$11)</f>
        <v>-19.923978315132629</v>
      </c>
      <c r="L142" s="43"/>
      <c r="Q142" s="11"/>
    </row>
    <row r="143" spans="2:17" ht="15" customHeight="1" x14ac:dyDescent="0.2">
      <c r="B143" s="8">
        <v>43678</v>
      </c>
      <c r="C143" s="6">
        <f>IF(B143="","",[1]!s_dq_close(股指期货基差分析!$E$5,$B143))</f>
        <v>4870.4690000000001</v>
      </c>
      <c r="D143" s="6">
        <f>IF(B143="","",[1]!s_dq_close(股指期货基差分析!$E$6,$B143))</f>
        <v>4841</v>
      </c>
      <c r="E143" s="6">
        <f ca="1">RANK(F143,F:F)+COUNTIF(F$2:F143,F143)-1</f>
        <v>884</v>
      </c>
      <c r="F143" s="6">
        <f t="shared" si="3"/>
        <v>-29.469000000000051</v>
      </c>
      <c r="G143" s="6">
        <f ca="1">IF(B143="","",股指期货基差分析!$N$11)</f>
        <v>-71.408500000000458</v>
      </c>
      <c r="H143" s="6">
        <f ca="1">IF(B143="","",股指期货基差分析!$L$11)</f>
        <v>15.737900000000081</v>
      </c>
      <c r="I143" s="10">
        <f ca="1">IF(B143="","",股指期货基差分析!$D$11)</f>
        <v>-19.923978315132629</v>
      </c>
      <c r="L143" s="43"/>
      <c r="Q143" s="11"/>
    </row>
    <row r="144" spans="2:17" ht="15" customHeight="1" x14ac:dyDescent="0.2">
      <c r="B144" s="7">
        <v>43679</v>
      </c>
      <c r="C144" s="5">
        <f>IF(B144="","",[1]!s_dq_close(股指期货基差分析!$E$5,$B144))</f>
        <v>4809.9197999999997</v>
      </c>
      <c r="D144" s="5">
        <f>IF(B144="","",[1]!s_dq_close(股指期货基差分析!$E$6,$B144))</f>
        <v>4779.2</v>
      </c>
      <c r="E144" s="5">
        <f ca="1">RANK(F144,F:F)+COUNTIF(F$2:F144,F144)-1</f>
        <v>899</v>
      </c>
      <c r="F144" s="5">
        <f t="shared" si="3"/>
        <v>-30.71979999999985</v>
      </c>
      <c r="G144" s="5">
        <f ca="1">IF(B144="","",股指期货基差分析!$N$11)</f>
        <v>-71.408500000000458</v>
      </c>
      <c r="H144" s="5">
        <f ca="1">IF(B144="","",股指期货基差分析!$L$11)</f>
        <v>15.737900000000081</v>
      </c>
      <c r="I144" s="9">
        <f ca="1">IF(B144="","",股指期货基差分析!$D$11)</f>
        <v>-19.923978315132629</v>
      </c>
      <c r="L144" s="43"/>
      <c r="Q144" s="11"/>
    </row>
    <row r="145" spans="2:17" ht="15" customHeight="1" x14ac:dyDescent="0.2">
      <c r="B145" s="8">
        <v>43682</v>
      </c>
      <c r="C145" s="6">
        <f>IF(B145="","",[1]!s_dq_close(股指期货基差分析!$E$5,$B145))</f>
        <v>4751.9845999999998</v>
      </c>
      <c r="D145" s="6">
        <f>IF(B145="","",[1]!s_dq_close(股指期货基差分析!$E$6,$B145))</f>
        <v>4725</v>
      </c>
      <c r="E145" s="6">
        <f ca="1">RANK(F145,F:F)+COUNTIF(F$2:F145,F145)-1</f>
        <v>843</v>
      </c>
      <c r="F145" s="6">
        <f t="shared" si="3"/>
        <v>-26.984599999999773</v>
      </c>
      <c r="G145" s="6">
        <f ca="1">IF(B145="","",股指期货基差分析!$N$11)</f>
        <v>-71.408500000000458</v>
      </c>
      <c r="H145" s="6">
        <f ca="1">IF(B145="","",股指期货基差分析!$L$11)</f>
        <v>15.737900000000081</v>
      </c>
      <c r="I145" s="10">
        <f ca="1">IF(B145="","",股指期货基差分析!$D$11)</f>
        <v>-19.923978315132629</v>
      </c>
      <c r="L145" s="43"/>
      <c r="Q145" s="11"/>
    </row>
    <row r="146" spans="2:17" ht="15" customHeight="1" x14ac:dyDescent="0.2">
      <c r="B146" s="7">
        <v>43683</v>
      </c>
      <c r="C146" s="5">
        <f>IF(B146="","",[1]!s_dq_close(股指期货基差分析!$E$5,$B146))</f>
        <v>4650.5627000000004</v>
      </c>
      <c r="D146" s="5">
        <f>IF(B146="","",[1]!s_dq_close(股指期货基差分析!$E$6,$B146))</f>
        <v>4626.8</v>
      </c>
      <c r="E146" s="5">
        <f ca="1">RANK(F146,F:F)+COUNTIF(F$2:F146,F146)-1</f>
        <v>799</v>
      </c>
      <c r="F146" s="5">
        <f t="shared" si="3"/>
        <v>-23.762700000000223</v>
      </c>
      <c r="G146" s="5">
        <f ca="1">IF(B146="","",股指期货基差分析!$N$11)</f>
        <v>-71.408500000000458</v>
      </c>
      <c r="H146" s="5">
        <f ca="1">IF(B146="","",股指期货基差分析!$L$11)</f>
        <v>15.737900000000081</v>
      </c>
      <c r="I146" s="9">
        <f ca="1">IF(B146="","",股指期货基差分析!$D$11)</f>
        <v>-19.923978315132629</v>
      </c>
      <c r="L146" s="43"/>
      <c r="Q146" s="11"/>
    </row>
    <row r="147" spans="2:17" ht="15" customHeight="1" x14ac:dyDescent="0.2">
      <c r="B147" s="8">
        <v>43684</v>
      </c>
      <c r="C147" s="6">
        <f>IF(B147="","",[1]!s_dq_close(股指期货基差分析!$E$5,$B147))</f>
        <v>4626.3640999999998</v>
      </c>
      <c r="D147" s="6">
        <f>IF(B147="","",[1]!s_dq_close(股指期货基差分析!$E$6,$B147))</f>
        <v>4591.6000000000004</v>
      </c>
      <c r="E147" s="6">
        <f ca="1">RANK(F147,F:F)+COUNTIF(F$2:F147,F147)-1</f>
        <v>954</v>
      </c>
      <c r="F147" s="6">
        <f t="shared" si="3"/>
        <v>-34.764099999999416</v>
      </c>
      <c r="G147" s="6">
        <f ca="1">IF(B147="","",股指期货基差分析!$N$11)</f>
        <v>-71.408500000000458</v>
      </c>
      <c r="H147" s="6">
        <f ca="1">IF(B147="","",股指期货基差分析!$L$11)</f>
        <v>15.737900000000081</v>
      </c>
      <c r="I147" s="10">
        <f ca="1">IF(B147="","",股指期货基差分析!$D$11)</f>
        <v>-19.923978315132629</v>
      </c>
      <c r="L147" s="43"/>
      <c r="Q147" s="11"/>
    </row>
    <row r="148" spans="2:17" ht="15" customHeight="1" x14ac:dyDescent="0.2">
      <c r="B148" s="7">
        <v>43685</v>
      </c>
      <c r="C148" s="5">
        <f>IF(B148="","",[1]!s_dq_close(股指期货基差分析!$E$5,$B148))</f>
        <v>4656.1009000000004</v>
      </c>
      <c r="D148" s="5">
        <f>IF(B148="","",[1]!s_dq_close(股指期货基差分析!$E$6,$B148))</f>
        <v>4616.6000000000004</v>
      </c>
      <c r="E148" s="5">
        <f ca="1">RANK(F148,F:F)+COUNTIF(F$2:F148,F148)-1</f>
        <v>999</v>
      </c>
      <c r="F148" s="5">
        <f t="shared" si="3"/>
        <v>-39.500900000000001</v>
      </c>
      <c r="G148" s="5">
        <f ca="1">IF(B148="","",股指期货基差分析!$N$11)</f>
        <v>-71.408500000000458</v>
      </c>
      <c r="H148" s="5">
        <f ca="1">IF(B148="","",股指期货基差分析!$L$11)</f>
        <v>15.737900000000081</v>
      </c>
      <c r="I148" s="9">
        <f ca="1">IF(B148="","",股指期货基差分析!$D$11)</f>
        <v>-19.923978315132629</v>
      </c>
      <c r="L148" s="43"/>
      <c r="Q148" s="11"/>
    </row>
    <row r="149" spans="2:17" ht="15" customHeight="1" x14ac:dyDescent="0.2">
      <c r="B149" s="8">
        <v>43686</v>
      </c>
      <c r="C149" s="6">
        <f>IF(B149="","",[1]!s_dq_close(股指期货基差分析!$E$5,$B149))</f>
        <v>4600.3526000000002</v>
      </c>
      <c r="D149" s="6">
        <f>IF(B149="","",[1]!s_dq_close(股指期货基差分析!$E$6,$B149))</f>
        <v>4570.6000000000004</v>
      </c>
      <c r="E149" s="6">
        <f ca="1">RANK(F149,F:F)+COUNTIF(F$2:F149,F149)-1</f>
        <v>890</v>
      </c>
      <c r="F149" s="6">
        <f t="shared" si="3"/>
        <v>-29.752599999999802</v>
      </c>
      <c r="G149" s="6">
        <f ca="1">IF(B149="","",股指期货基差分析!$N$11)</f>
        <v>-71.408500000000458</v>
      </c>
      <c r="H149" s="6">
        <f ca="1">IF(B149="","",股指期货基差分析!$L$11)</f>
        <v>15.737900000000081</v>
      </c>
      <c r="I149" s="10">
        <f ca="1">IF(B149="","",股指期货基差分析!$D$11)</f>
        <v>-19.923978315132629</v>
      </c>
      <c r="L149" s="43"/>
      <c r="Q149" s="11"/>
    </row>
    <row r="150" spans="2:17" ht="15" customHeight="1" x14ac:dyDescent="0.2">
      <c r="B150" s="7">
        <v>43689</v>
      </c>
      <c r="C150" s="5">
        <f>IF(B150="","",[1]!s_dq_close(股指期货基差分析!$E$5,$B150))</f>
        <v>4685.0450000000001</v>
      </c>
      <c r="D150" s="5">
        <f>IF(B150="","",[1]!s_dq_close(股指期货基差分析!$E$6,$B150))</f>
        <v>4665.8</v>
      </c>
      <c r="E150" s="5">
        <f ca="1">RANK(F150,F:F)+COUNTIF(F$2:F150,F150)-1</f>
        <v>733</v>
      </c>
      <c r="F150" s="5">
        <f t="shared" si="3"/>
        <v>-19.244999999999891</v>
      </c>
      <c r="G150" s="5">
        <f ca="1">IF(B150="","",股指期货基差分析!$N$11)</f>
        <v>-71.408500000000458</v>
      </c>
      <c r="H150" s="5">
        <f ca="1">IF(B150="","",股指期货基差分析!$L$11)</f>
        <v>15.737900000000081</v>
      </c>
      <c r="I150" s="9">
        <f ca="1">IF(B150="","",股指期货基差分析!$D$11)</f>
        <v>-19.923978315132629</v>
      </c>
      <c r="L150" s="43"/>
      <c r="Q150" s="11"/>
    </row>
    <row r="151" spans="2:17" ht="15" customHeight="1" x14ac:dyDescent="0.2">
      <c r="B151" s="8">
        <v>43690</v>
      </c>
      <c r="C151" s="6">
        <f>IF(B151="","",[1]!s_dq_close(股指期货基差分析!$E$5,$B151))</f>
        <v>4658.3883999999998</v>
      </c>
      <c r="D151" s="6">
        <f>IF(B151="","",[1]!s_dq_close(股指期货基差分析!$E$6,$B151))</f>
        <v>4646.8</v>
      </c>
      <c r="E151" s="6">
        <f ca="1">RANK(F151,F:F)+COUNTIF(F$2:F151,F151)-1</f>
        <v>583</v>
      </c>
      <c r="F151" s="6">
        <f t="shared" si="3"/>
        <v>-11.588399999999638</v>
      </c>
      <c r="G151" s="6">
        <f ca="1">IF(B151="","",股指期货基差分析!$N$11)</f>
        <v>-71.408500000000458</v>
      </c>
      <c r="H151" s="6">
        <f ca="1">IF(B151="","",股指期货基差分析!$L$11)</f>
        <v>15.737900000000081</v>
      </c>
      <c r="I151" s="10">
        <f ca="1">IF(B151="","",股指期货基差分析!$D$11)</f>
        <v>-19.923978315132629</v>
      </c>
      <c r="L151" s="43"/>
      <c r="Q151" s="11"/>
    </row>
    <row r="152" spans="2:17" ht="15" customHeight="1" x14ac:dyDescent="0.2">
      <c r="B152" s="7">
        <v>43691</v>
      </c>
      <c r="C152" s="5">
        <f>IF(B152="","",[1]!s_dq_close(股指期货基差分析!$E$5,$B152))</f>
        <v>4683.8402999999998</v>
      </c>
      <c r="D152" s="5">
        <f>IF(B152="","",[1]!s_dq_close(股指期货基差分析!$E$6,$B152))</f>
        <v>4672</v>
      </c>
      <c r="E152" s="5">
        <f ca="1">RANK(F152,F:F)+COUNTIF(F$2:F152,F152)-1</f>
        <v>592</v>
      </c>
      <c r="F152" s="5">
        <f t="shared" si="3"/>
        <v>-11.840299999999843</v>
      </c>
      <c r="G152" s="5">
        <f ca="1">IF(B152="","",股指期货基差分析!$N$11)</f>
        <v>-71.408500000000458</v>
      </c>
      <c r="H152" s="5">
        <f ca="1">IF(B152="","",股指期货基差分析!$L$11)</f>
        <v>15.737900000000081</v>
      </c>
      <c r="I152" s="9">
        <f ca="1">IF(B152="","",股指期货基差分析!$D$11)</f>
        <v>-19.923978315132629</v>
      </c>
      <c r="L152" s="43"/>
      <c r="Q152" s="11"/>
    </row>
    <row r="153" spans="2:17" ht="15" customHeight="1" x14ac:dyDescent="0.2">
      <c r="B153" s="8">
        <v>43692</v>
      </c>
      <c r="C153" s="6">
        <f>IF(B153="","",[1]!s_dq_close(股指期货基差分析!$E$5,$B153))</f>
        <v>4706.5504000000001</v>
      </c>
      <c r="D153" s="6">
        <f>IF(B153="","",[1]!s_dq_close(股指期货基差分析!$E$6,$B153))</f>
        <v>4701.8</v>
      </c>
      <c r="E153" s="6">
        <f ca="1">RANK(F153,F:F)+COUNTIF(F$2:F153,F153)-1</f>
        <v>405</v>
      </c>
      <c r="F153" s="6">
        <f t="shared" si="3"/>
        <v>-4.7503999999998996</v>
      </c>
      <c r="G153" s="6">
        <f ca="1">IF(B153="","",股指期货基差分析!$N$11)</f>
        <v>-71.408500000000458</v>
      </c>
      <c r="H153" s="6">
        <f ca="1">IF(B153="","",股指期货基差分析!$L$11)</f>
        <v>15.737900000000081</v>
      </c>
      <c r="I153" s="10">
        <f ca="1">IF(B153="","",股指期货基差分析!$D$11)</f>
        <v>-19.923978315132629</v>
      </c>
      <c r="L153" s="43"/>
      <c r="Q153" s="11"/>
    </row>
    <row r="154" spans="2:17" ht="15" customHeight="1" x14ac:dyDescent="0.2">
      <c r="B154" s="7">
        <v>43693</v>
      </c>
      <c r="C154" s="5">
        <f>IF(B154="","",[1]!s_dq_close(股指期货基差分析!$E$5,$B154))</f>
        <v>4722.6625000000004</v>
      </c>
      <c r="D154" s="5">
        <f>IF(B154="","",[1]!s_dq_close(股指期货基差分析!$E$6,$B154))</f>
        <v>4741.2</v>
      </c>
      <c r="E154" s="5">
        <f ca="1">RANK(F154,F:F)+COUNTIF(F$2:F154,F154)-1</f>
        <v>49</v>
      </c>
      <c r="F154" s="5">
        <f t="shared" si="3"/>
        <v>18.537499999999454</v>
      </c>
      <c r="G154" s="5">
        <f ca="1">IF(B154="","",股指期货基差分析!$N$11)</f>
        <v>-71.408500000000458</v>
      </c>
      <c r="H154" s="5">
        <f ca="1">IF(B154="","",股指期货基差分析!$L$11)</f>
        <v>15.737900000000081</v>
      </c>
      <c r="I154" s="9">
        <f ca="1">IF(B154="","",股指期货基差分析!$D$11)</f>
        <v>-19.923978315132629</v>
      </c>
      <c r="L154" s="43"/>
      <c r="Q154" s="11"/>
    </row>
    <row r="155" spans="2:17" ht="15" customHeight="1" x14ac:dyDescent="0.2">
      <c r="B155" s="8">
        <v>43696</v>
      </c>
      <c r="C155" s="6">
        <f>IF(B155="","",[1]!s_dq_close(股指期货基差分析!$E$5,$B155))</f>
        <v>4875.0362999999998</v>
      </c>
      <c r="D155" s="6">
        <f>IF(B155="","",[1]!s_dq_close(股指期货基差分析!$E$6,$B155))</f>
        <v>4853.8</v>
      </c>
      <c r="E155" s="6">
        <f ca="1">RANK(F155,F:F)+COUNTIF(F$2:F155,F155)-1</f>
        <v>767</v>
      </c>
      <c r="F155" s="6">
        <f t="shared" si="3"/>
        <v>-21.236299999999574</v>
      </c>
      <c r="G155" s="6">
        <f ca="1">IF(B155="","",股指期货基差分析!$N$11)</f>
        <v>-71.408500000000458</v>
      </c>
      <c r="H155" s="6">
        <f ca="1">IF(B155="","",股指期货基差分析!$L$11)</f>
        <v>15.737900000000081</v>
      </c>
      <c r="I155" s="10">
        <f ca="1">IF(B155="","",股指期货基差分析!$D$11)</f>
        <v>-19.923978315132629</v>
      </c>
      <c r="L155" s="43"/>
      <c r="Q155" s="11"/>
    </row>
    <row r="156" spans="2:17" ht="15" customHeight="1" x14ac:dyDescent="0.2">
      <c r="B156" s="7">
        <v>43697</v>
      </c>
      <c r="C156" s="5">
        <f>IF(B156="","",[1]!s_dq_close(股指期货基差分析!$E$5,$B156))</f>
        <v>4872.6061</v>
      </c>
      <c r="D156" s="5">
        <f>IF(B156="","",[1]!s_dq_close(股指期货基差分析!$E$6,$B156))</f>
        <v>4831.8</v>
      </c>
      <c r="E156" s="5">
        <f ca="1">RANK(F156,F:F)+COUNTIF(F$2:F156,F156)-1</f>
        <v>1014</v>
      </c>
      <c r="F156" s="5">
        <f t="shared" si="3"/>
        <v>-40.806099999999788</v>
      </c>
      <c r="G156" s="5">
        <f ca="1">IF(B156="","",股指期货基差分析!$N$11)</f>
        <v>-71.408500000000458</v>
      </c>
      <c r="H156" s="5">
        <f ca="1">IF(B156="","",股指期货基差分析!$L$11)</f>
        <v>15.737900000000081</v>
      </c>
      <c r="I156" s="9">
        <f ca="1">IF(B156="","",股指期货基差分析!$D$11)</f>
        <v>-19.923978315132629</v>
      </c>
      <c r="L156" s="43"/>
      <c r="Q156" s="11"/>
    </row>
    <row r="157" spans="2:17" ht="15" customHeight="1" x14ac:dyDescent="0.2">
      <c r="B157" s="8">
        <v>43698</v>
      </c>
      <c r="C157" s="6">
        <f>IF(B157="","",[1]!s_dq_close(股指期货基差分析!$E$5,$B157))</f>
        <v>4882.7213000000002</v>
      </c>
      <c r="D157" s="6">
        <f>IF(B157="","",[1]!s_dq_close(股指期货基差分析!$E$6,$B157))</f>
        <v>4842.8</v>
      </c>
      <c r="E157" s="6">
        <f ca="1">RANK(F157,F:F)+COUNTIF(F$2:F157,F157)-1</f>
        <v>1006</v>
      </c>
      <c r="F157" s="6">
        <f t="shared" si="3"/>
        <v>-39.921299999999974</v>
      </c>
      <c r="G157" s="6">
        <f ca="1">IF(B157="","",股指期货基差分析!$N$11)</f>
        <v>-71.408500000000458</v>
      </c>
      <c r="H157" s="6">
        <f ca="1">IF(B157="","",股指期货基差分析!$L$11)</f>
        <v>15.737900000000081</v>
      </c>
      <c r="I157" s="10">
        <f ca="1">IF(B157="","",股指期货基差分析!$D$11)</f>
        <v>-19.923978315132629</v>
      </c>
      <c r="L157" s="43"/>
      <c r="Q157" s="11"/>
    </row>
    <row r="158" spans="2:17" ht="15" customHeight="1" x14ac:dyDescent="0.2">
      <c r="B158" s="7">
        <v>43699</v>
      </c>
      <c r="C158" s="5">
        <f>IF(B158="","",[1]!s_dq_close(股指期货基差分析!$E$5,$B158))</f>
        <v>4887.9142000000002</v>
      </c>
      <c r="D158" s="5">
        <f>IF(B158="","",[1]!s_dq_close(股指期货基差分析!$E$6,$B158))</f>
        <v>4837.2</v>
      </c>
      <c r="E158" s="5">
        <f ca="1">RANK(F158,F:F)+COUNTIF(F$2:F158,F158)-1</f>
        <v>1104</v>
      </c>
      <c r="F158" s="5">
        <f t="shared" si="3"/>
        <v>-50.714200000000346</v>
      </c>
      <c r="G158" s="5">
        <f ca="1">IF(B158="","",股指期货基差分析!$N$11)</f>
        <v>-71.408500000000458</v>
      </c>
      <c r="H158" s="5">
        <f ca="1">IF(B158="","",股指期货基差分析!$L$11)</f>
        <v>15.737900000000081</v>
      </c>
      <c r="I158" s="9">
        <f ca="1">IF(B158="","",股指期货基差分析!$D$11)</f>
        <v>-19.923978315132629</v>
      </c>
      <c r="L158" s="43"/>
      <c r="Q158" s="11"/>
    </row>
    <row r="159" spans="2:17" ht="15" customHeight="1" x14ac:dyDescent="0.2">
      <c r="B159" s="8">
        <v>43700</v>
      </c>
      <c r="C159" s="6">
        <f>IF(B159="","",[1]!s_dq_close(股指期货基差分析!$E$5,$B159))</f>
        <v>4887.9023999999999</v>
      </c>
      <c r="D159" s="6">
        <f>IF(B159="","",[1]!s_dq_close(股指期货基差分析!$E$6,$B159))</f>
        <v>4841.8</v>
      </c>
      <c r="E159" s="6">
        <f ca="1">RANK(F159,F:F)+COUNTIF(F$2:F159,F159)-1</f>
        <v>1072</v>
      </c>
      <c r="F159" s="6">
        <f t="shared" si="3"/>
        <v>-46.102399999999761</v>
      </c>
      <c r="G159" s="6">
        <f ca="1">IF(B159="","",股指期货基差分析!$N$11)</f>
        <v>-71.408500000000458</v>
      </c>
      <c r="H159" s="6">
        <f ca="1">IF(B159="","",股指期货基差分析!$L$11)</f>
        <v>15.737900000000081</v>
      </c>
      <c r="I159" s="10">
        <f ca="1">IF(B159="","",股指期货基差分析!$D$11)</f>
        <v>-19.923978315132629</v>
      </c>
      <c r="L159" s="43"/>
      <c r="Q159" s="11"/>
    </row>
    <row r="160" spans="2:17" ht="15" customHeight="1" x14ac:dyDescent="0.2">
      <c r="B160" s="7">
        <v>43703</v>
      </c>
      <c r="C160" s="5">
        <f>IF(B160="","",[1]!s_dq_close(股指期货基差分析!$E$5,$B160))</f>
        <v>4855.4584000000004</v>
      </c>
      <c r="D160" s="5">
        <f>IF(B160="","",[1]!s_dq_close(股指期货基差分析!$E$6,$B160))</f>
        <v>4815</v>
      </c>
      <c r="E160" s="5">
        <f ca="1">RANK(F160,F:F)+COUNTIF(F$2:F160,F160)-1</f>
        <v>1010</v>
      </c>
      <c r="F160" s="5">
        <f t="shared" si="3"/>
        <v>-40.458400000000438</v>
      </c>
      <c r="G160" s="5">
        <f ca="1">IF(B160="","",股指期货基差分析!$N$11)</f>
        <v>-71.408500000000458</v>
      </c>
      <c r="H160" s="5">
        <f ca="1">IF(B160="","",股指期货基差分析!$L$11)</f>
        <v>15.737900000000081</v>
      </c>
      <c r="I160" s="9">
        <f ca="1">IF(B160="","",股指期货基差分析!$D$11)</f>
        <v>-19.923978315132629</v>
      </c>
      <c r="L160" s="43"/>
      <c r="Q160" s="11"/>
    </row>
    <row r="161" spans="2:17" ht="15" customHeight="1" x14ac:dyDescent="0.2">
      <c r="B161" s="8">
        <v>43704</v>
      </c>
      <c r="C161" s="6">
        <f>IF(B161="","",[1]!s_dq_close(股指期货基差分析!$E$5,$B161))</f>
        <v>4936.1238000000003</v>
      </c>
      <c r="D161" s="6">
        <f>IF(B161="","",[1]!s_dq_close(股指期货基差分析!$E$6,$B161))</f>
        <v>4874.3999999999996</v>
      </c>
      <c r="E161" s="6">
        <f ca="1">RANK(F161,F:F)+COUNTIF(F$2:F161,F161)-1</f>
        <v>1170</v>
      </c>
      <c r="F161" s="6">
        <f t="shared" si="3"/>
        <v>-61.723800000000665</v>
      </c>
      <c r="G161" s="6">
        <f ca="1">IF(B161="","",股指期货基差分析!$N$11)</f>
        <v>-71.408500000000458</v>
      </c>
      <c r="H161" s="6">
        <f ca="1">IF(B161="","",股指期货基差分析!$L$11)</f>
        <v>15.737900000000081</v>
      </c>
      <c r="I161" s="10">
        <f ca="1">IF(B161="","",股指期货基差分析!$D$11)</f>
        <v>-19.923978315132629</v>
      </c>
      <c r="L161" s="43"/>
      <c r="Q161" s="11"/>
    </row>
    <row r="162" spans="2:17" ht="15" customHeight="1" x14ac:dyDescent="0.2">
      <c r="B162" s="7">
        <v>43705</v>
      </c>
      <c r="C162" s="5">
        <f>IF(B162="","",[1]!s_dq_close(股指期货基差分析!$E$5,$B162))</f>
        <v>4928.1935000000003</v>
      </c>
      <c r="D162" s="5">
        <f>IF(B162="","",[1]!s_dq_close(股指期货基差分析!$E$6,$B162))</f>
        <v>4885.8</v>
      </c>
      <c r="E162" s="5">
        <f ca="1">RANK(F162,F:F)+COUNTIF(F$2:F162,F162)-1</f>
        <v>1022</v>
      </c>
      <c r="F162" s="5">
        <f t="shared" si="3"/>
        <v>-42.393500000000131</v>
      </c>
      <c r="G162" s="5">
        <f ca="1">IF(B162="","",股指期货基差分析!$N$11)</f>
        <v>-71.408500000000458</v>
      </c>
      <c r="H162" s="5">
        <f ca="1">IF(B162="","",股指期货基差分析!$L$11)</f>
        <v>15.737900000000081</v>
      </c>
      <c r="I162" s="9">
        <f ca="1">IF(B162="","",股指期货基差分析!$D$11)</f>
        <v>-19.923978315132629</v>
      </c>
      <c r="L162" s="43"/>
      <c r="Q162" s="11"/>
    </row>
    <row r="163" spans="2:17" ht="15" customHeight="1" x14ac:dyDescent="0.2">
      <c r="B163" s="8">
        <v>43706</v>
      </c>
      <c r="C163" s="6">
        <f>IF(B163="","",[1]!s_dq_close(股指期货基差分析!$E$5,$B163))</f>
        <v>4934.1837999999998</v>
      </c>
      <c r="D163" s="6">
        <f>IF(B163="","",[1]!s_dq_close(股指期货基差分析!$E$6,$B163))</f>
        <v>4891.2</v>
      </c>
      <c r="E163" s="6">
        <f ca="1">RANK(F163,F:F)+COUNTIF(F$2:F163,F163)-1</f>
        <v>1027</v>
      </c>
      <c r="F163" s="6">
        <f t="shared" si="3"/>
        <v>-42.983799999999974</v>
      </c>
      <c r="G163" s="6">
        <f ca="1">IF(B163="","",股指期货基差分析!$N$11)</f>
        <v>-71.408500000000458</v>
      </c>
      <c r="H163" s="6">
        <f ca="1">IF(B163="","",股指期货基差分析!$L$11)</f>
        <v>15.737900000000081</v>
      </c>
      <c r="I163" s="10">
        <f ca="1">IF(B163="","",股指期货基差分析!$D$11)</f>
        <v>-19.923978315132629</v>
      </c>
      <c r="L163" s="43"/>
      <c r="Q163" s="11"/>
    </row>
    <row r="164" spans="2:17" ht="15" customHeight="1" x14ac:dyDescent="0.2">
      <c r="B164" s="7">
        <v>43707</v>
      </c>
      <c r="C164" s="5">
        <f>IF(B164="","",[1]!s_dq_close(股指期货基差分析!$E$5,$B164))</f>
        <v>4886.4939999999997</v>
      </c>
      <c r="D164" s="5">
        <f>IF(B164="","",[1]!s_dq_close(股指期货基差分析!$E$6,$B164))</f>
        <v>4859</v>
      </c>
      <c r="E164" s="5">
        <f ca="1">RANK(F164,F:F)+COUNTIF(F$2:F164,F164)-1</f>
        <v>855</v>
      </c>
      <c r="F164" s="5">
        <f t="shared" si="3"/>
        <v>-27.493999999999687</v>
      </c>
      <c r="G164" s="5">
        <f ca="1">IF(B164="","",股指期货基差分析!$N$11)</f>
        <v>-71.408500000000458</v>
      </c>
      <c r="H164" s="5">
        <f ca="1">IF(B164="","",股指期货基差分析!$L$11)</f>
        <v>15.737900000000081</v>
      </c>
      <c r="I164" s="9">
        <f ca="1">IF(B164="","",股指期货基差分析!$D$11)</f>
        <v>-19.923978315132629</v>
      </c>
      <c r="L164" s="43"/>
      <c r="Q164" s="11"/>
    </row>
    <row r="165" spans="2:17" ht="15" customHeight="1" x14ac:dyDescent="0.2">
      <c r="B165" s="8">
        <v>43710</v>
      </c>
      <c r="C165" s="6">
        <f>IF(B165="","",[1]!s_dq_close(股指期货基差分析!$E$5,$B165))</f>
        <v>5008.2957999999999</v>
      </c>
      <c r="D165" s="6">
        <f>IF(B165="","",[1]!s_dq_close(股指期货基差分析!$E$6,$B165))</f>
        <v>4977.3999999999996</v>
      </c>
      <c r="E165" s="6">
        <f ca="1">RANK(F165,F:F)+COUNTIF(F$2:F165,F165)-1</f>
        <v>901</v>
      </c>
      <c r="F165" s="6">
        <f t="shared" si="3"/>
        <v>-30.895800000000236</v>
      </c>
      <c r="G165" s="6">
        <f ca="1">IF(B165="","",股指期货基差分析!$N$11)</f>
        <v>-71.408500000000458</v>
      </c>
      <c r="H165" s="6">
        <f ca="1">IF(B165="","",股指期货基差分析!$L$11)</f>
        <v>15.737900000000081</v>
      </c>
      <c r="I165" s="10">
        <f ca="1">IF(B165="","",股指期货基差分析!$D$11)</f>
        <v>-19.923978315132629</v>
      </c>
      <c r="L165" s="43"/>
      <c r="Q165" s="11"/>
    </row>
    <row r="166" spans="2:17" ht="15" customHeight="1" x14ac:dyDescent="0.2">
      <c r="B166" s="7">
        <v>43711</v>
      </c>
      <c r="C166" s="5">
        <f>IF(B166="","",[1]!s_dq_close(股指期货基差分析!$E$5,$B166))</f>
        <v>5044.1805000000004</v>
      </c>
      <c r="D166" s="5">
        <f>IF(B166="","",[1]!s_dq_close(股指期货基差分析!$E$6,$B166))</f>
        <v>5004</v>
      </c>
      <c r="E166" s="5">
        <f ca="1">RANK(F166,F:F)+COUNTIF(F$2:F166,F166)-1</f>
        <v>1007</v>
      </c>
      <c r="F166" s="5">
        <f t="shared" si="3"/>
        <v>-40.180500000000393</v>
      </c>
      <c r="G166" s="5">
        <f ca="1">IF(B166="","",股指期货基差分析!$N$11)</f>
        <v>-71.408500000000458</v>
      </c>
      <c r="H166" s="5">
        <f ca="1">IF(B166="","",股指期货基差分析!$L$11)</f>
        <v>15.737900000000081</v>
      </c>
      <c r="I166" s="9">
        <f ca="1">IF(B166="","",股指期货基差分析!$D$11)</f>
        <v>-19.923978315132629</v>
      </c>
      <c r="L166" s="43"/>
      <c r="Q166" s="11"/>
    </row>
    <row r="167" spans="2:17" ht="15" customHeight="1" x14ac:dyDescent="0.2">
      <c r="B167" s="8">
        <v>43712</v>
      </c>
      <c r="C167" s="6">
        <f>IF(B167="","",[1]!s_dq_close(股指期货基差分析!$E$5,$B167))</f>
        <v>5093.2662</v>
      </c>
      <c r="D167" s="6">
        <f>IF(B167="","",[1]!s_dq_close(股指期货基差分析!$E$6,$B167))</f>
        <v>5098</v>
      </c>
      <c r="E167" s="6">
        <f ca="1">RANK(F167,F:F)+COUNTIF(F$2:F167,F167)-1</f>
        <v>191</v>
      </c>
      <c r="F167" s="6">
        <f t="shared" si="3"/>
        <v>4.7337999999999738</v>
      </c>
      <c r="G167" s="6">
        <f ca="1">IF(B167="","",股指期货基差分析!$N$11)</f>
        <v>-71.408500000000458</v>
      </c>
      <c r="H167" s="6">
        <f ca="1">IF(B167="","",股指期货基差分析!$L$11)</f>
        <v>15.737900000000081</v>
      </c>
      <c r="I167" s="10">
        <f ca="1">IF(B167="","",股指期货基差分析!$D$11)</f>
        <v>-19.923978315132629</v>
      </c>
      <c r="L167" s="43"/>
      <c r="Q167" s="11"/>
    </row>
    <row r="168" spans="2:17" ht="15" customHeight="1" x14ac:dyDescent="0.2">
      <c r="B168" s="7">
        <v>43713</v>
      </c>
      <c r="C168" s="5">
        <f>IF(B168="","",[1]!s_dq_close(股指期货基差分析!$E$5,$B168))</f>
        <v>5138.4050999999999</v>
      </c>
      <c r="D168" s="5">
        <f>IF(B168="","",[1]!s_dq_close(股指期货基差分析!$E$6,$B168))</f>
        <v>5125.8</v>
      </c>
      <c r="E168" s="5">
        <f ca="1">RANK(F168,F:F)+COUNTIF(F$2:F168,F168)-1</f>
        <v>606</v>
      </c>
      <c r="F168" s="5">
        <f t="shared" si="3"/>
        <v>-12.605099999999766</v>
      </c>
      <c r="G168" s="5">
        <f ca="1">IF(B168="","",股指期货基差分析!$N$11)</f>
        <v>-71.408500000000458</v>
      </c>
      <c r="H168" s="5">
        <f ca="1">IF(B168="","",股指期货基差分析!$L$11)</f>
        <v>15.737900000000081</v>
      </c>
      <c r="I168" s="9">
        <f ca="1">IF(B168="","",股指期货基差分析!$D$11)</f>
        <v>-19.923978315132629</v>
      </c>
      <c r="L168" s="43"/>
      <c r="Q168" s="11"/>
    </row>
    <row r="169" spans="2:17" ht="15" customHeight="1" x14ac:dyDescent="0.2">
      <c r="B169" s="8">
        <v>43714</v>
      </c>
      <c r="C169" s="6">
        <f>IF(B169="","",[1]!s_dq_close(股指期货基差分析!$E$5,$B169))</f>
        <v>5154.6378000000004</v>
      </c>
      <c r="D169" s="6">
        <f>IF(B169="","",[1]!s_dq_close(股指期货基差分析!$E$6,$B169))</f>
        <v>5151.3999999999996</v>
      </c>
      <c r="E169" s="6">
        <f ca="1">RANK(F169,F:F)+COUNTIF(F$2:F169,F169)-1</f>
        <v>379</v>
      </c>
      <c r="F169" s="6">
        <f t="shared" si="3"/>
        <v>-3.2378000000007887</v>
      </c>
      <c r="G169" s="6">
        <f ca="1">IF(B169="","",股指期货基差分析!$N$11)</f>
        <v>-71.408500000000458</v>
      </c>
      <c r="H169" s="6">
        <f ca="1">IF(B169="","",股指期货基差分析!$L$11)</f>
        <v>15.737900000000081</v>
      </c>
      <c r="I169" s="10">
        <f ca="1">IF(B169="","",股指期货基差分析!$D$11)</f>
        <v>-19.923978315132629</v>
      </c>
      <c r="L169" s="43"/>
      <c r="Q169" s="11"/>
    </row>
    <row r="170" spans="2:17" ht="15" customHeight="1" x14ac:dyDescent="0.2">
      <c r="B170" s="7">
        <v>43717</v>
      </c>
      <c r="C170" s="5">
        <f>IF(B170="","",[1]!s_dq_close(股指期货基差分析!$E$5,$B170))</f>
        <v>5263.4593999999997</v>
      </c>
      <c r="D170" s="5">
        <f>IF(B170="","",[1]!s_dq_close(股指期货基差分析!$E$6,$B170))</f>
        <v>5248.6</v>
      </c>
      <c r="E170" s="5">
        <f ca="1">RANK(F170,F:F)+COUNTIF(F$2:F170,F170)-1</f>
        <v>656</v>
      </c>
      <c r="F170" s="5">
        <f t="shared" si="3"/>
        <v>-14.859399999999368</v>
      </c>
      <c r="G170" s="5">
        <f ca="1">IF(B170="","",股指期货基差分析!$N$11)</f>
        <v>-71.408500000000458</v>
      </c>
      <c r="H170" s="5">
        <f ca="1">IF(B170="","",股指期货基差分析!$L$11)</f>
        <v>15.737900000000081</v>
      </c>
      <c r="I170" s="9">
        <f ca="1">IF(B170="","",股指期货基差分析!$D$11)</f>
        <v>-19.923978315132629</v>
      </c>
      <c r="L170" s="43"/>
      <c r="Q170" s="11"/>
    </row>
    <row r="171" spans="2:17" ht="15" customHeight="1" x14ac:dyDescent="0.2">
      <c r="B171" s="8">
        <v>43718</v>
      </c>
      <c r="C171" s="6">
        <f>IF(B171="","",[1]!s_dq_close(股指期货基差分析!$E$5,$B171))</f>
        <v>5245.3050000000003</v>
      </c>
      <c r="D171" s="6">
        <f>IF(B171="","",[1]!s_dq_close(股指期货基差分析!$E$6,$B171))</f>
        <v>5236.3999999999996</v>
      </c>
      <c r="E171" s="6">
        <f ca="1">RANK(F171,F:F)+COUNTIF(F$2:F171,F171)-1</f>
        <v>529</v>
      </c>
      <c r="F171" s="6">
        <f t="shared" si="3"/>
        <v>-8.9050000000006548</v>
      </c>
      <c r="G171" s="6">
        <f ca="1">IF(B171="","",股指期货基差分析!$N$11)</f>
        <v>-71.408500000000458</v>
      </c>
      <c r="H171" s="6">
        <f ca="1">IF(B171="","",股指期货基差分析!$L$11)</f>
        <v>15.737900000000081</v>
      </c>
      <c r="I171" s="10">
        <f ca="1">IF(B171="","",股指期货基差分析!$D$11)</f>
        <v>-19.923978315132629</v>
      </c>
      <c r="L171" s="43"/>
      <c r="Q171" s="11"/>
    </row>
    <row r="172" spans="2:17" ht="15" customHeight="1" x14ac:dyDescent="0.2">
      <c r="B172" s="7">
        <v>43719</v>
      </c>
      <c r="C172" s="5">
        <f>IF(B172="","",[1]!s_dq_close(股指期货基差分析!$E$5,$B172))</f>
        <v>5217.2912999999999</v>
      </c>
      <c r="D172" s="5">
        <f>IF(B172="","",[1]!s_dq_close(股指期货基差分析!$E$6,$B172))</f>
        <v>5218</v>
      </c>
      <c r="E172" s="5">
        <f ca="1">RANK(F172,F:F)+COUNTIF(F$2:F172,F172)-1</f>
        <v>275</v>
      </c>
      <c r="F172" s="5">
        <f t="shared" si="3"/>
        <v>0.70870000000013533</v>
      </c>
      <c r="G172" s="5">
        <f ca="1">IF(B172="","",股指期货基差分析!$N$11)</f>
        <v>-71.408500000000458</v>
      </c>
      <c r="H172" s="5">
        <f ca="1">IF(B172="","",股指期货基差分析!$L$11)</f>
        <v>15.737900000000081</v>
      </c>
      <c r="I172" s="9">
        <f ca="1">IF(B172="","",股指期货基差分析!$D$11)</f>
        <v>-19.923978315132629</v>
      </c>
      <c r="L172" s="43"/>
      <c r="Q172" s="11"/>
    </row>
    <row r="173" spans="2:17" ht="15" customHeight="1" x14ac:dyDescent="0.2">
      <c r="B173" s="8">
        <v>43720</v>
      </c>
      <c r="C173" s="6">
        <f>IF(B173="","",[1]!s_dq_close(股指期货基差分析!$E$5,$B173))</f>
        <v>5242.6115</v>
      </c>
      <c r="D173" s="6">
        <f>IF(B173="","",[1]!s_dq_close(股指期货基差分析!$E$6,$B173))</f>
        <v>5240.2</v>
      </c>
      <c r="E173" s="6">
        <f ca="1">RANK(F173,F:F)+COUNTIF(F$2:F173,F173)-1</f>
        <v>357</v>
      </c>
      <c r="F173" s="6">
        <f t="shared" si="3"/>
        <v>-2.4115000000001601</v>
      </c>
      <c r="G173" s="6">
        <f ca="1">IF(B173="","",股指期货基差分析!$N$11)</f>
        <v>-71.408500000000458</v>
      </c>
      <c r="H173" s="6">
        <f ca="1">IF(B173="","",股指期货基差分析!$L$11)</f>
        <v>15.737900000000081</v>
      </c>
      <c r="I173" s="10">
        <f ca="1">IF(B173="","",股指期货基差分析!$D$11)</f>
        <v>-19.923978315132629</v>
      </c>
      <c r="L173" s="43"/>
      <c r="Q173" s="11"/>
    </row>
    <row r="174" spans="2:17" ht="15" customHeight="1" x14ac:dyDescent="0.2">
      <c r="B174" s="7">
        <v>43724</v>
      </c>
      <c r="C174" s="5">
        <f>IF(B174="","",[1]!s_dq_close(股指期货基差分析!$E$5,$B174))</f>
        <v>5250.3397999999997</v>
      </c>
      <c r="D174" s="5">
        <f>IF(B174="","",[1]!s_dq_close(股指期货基差分析!$E$6,$B174))</f>
        <v>5237.3999999999996</v>
      </c>
      <c r="E174" s="5">
        <f ca="1">RANK(F174,F:F)+COUNTIF(F$2:F174,F174)-1</f>
        <v>613</v>
      </c>
      <c r="F174" s="5">
        <f t="shared" si="3"/>
        <v>-12.939800000000105</v>
      </c>
      <c r="G174" s="5">
        <f ca="1">IF(B174="","",股指期货基差分析!$N$11)</f>
        <v>-71.408500000000458</v>
      </c>
      <c r="H174" s="5">
        <f ca="1">IF(B174="","",股指期货基差分析!$L$11)</f>
        <v>15.737900000000081</v>
      </c>
      <c r="I174" s="9">
        <f ca="1">IF(B174="","",股指期货基差分析!$D$11)</f>
        <v>-19.923978315132629</v>
      </c>
      <c r="L174" s="43"/>
      <c r="Q174" s="11"/>
    </row>
    <row r="175" spans="2:17" ht="15" customHeight="1" x14ac:dyDescent="0.2">
      <c r="B175" s="8">
        <v>43725</v>
      </c>
      <c r="C175" s="6">
        <f>IF(B175="","",[1]!s_dq_close(股指期货基差分析!$E$5,$B175))</f>
        <v>5140.4502000000002</v>
      </c>
      <c r="D175" s="6">
        <f>IF(B175="","",[1]!s_dq_close(股指期货基差分析!$E$6,$B175))</f>
        <v>5130</v>
      </c>
      <c r="E175" s="6">
        <f ca="1">RANK(F175,F:F)+COUNTIF(F$2:F175,F175)-1</f>
        <v>561</v>
      </c>
      <c r="F175" s="6">
        <f t="shared" si="3"/>
        <v>-10.450200000000223</v>
      </c>
      <c r="G175" s="6">
        <f ca="1">IF(B175="","",股指期货基差分析!$N$11)</f>
        <v>-71.408500000000458</v>
      </c>
      <c r="H175" s="6">
        <f ca="1">IF(B175="","",股指期货基差分析!$L$11)</f>
        <v>15.737900000000081</v>
      </c>
      <c r="I175" s="10">
        <f ca="1">IF(B175="","",股指期货基差分析!$D$11)</f>
        <v>-19.923978315132629</v>
      </c>
      <c r="L175" s="43"/>
      <c r="Q175" s="11"/>
    </row>
    <row r="176" spans="2:17" ht="15" customHeight="1" x14ac:dyDescent="0.2">
      <c r="B176" s="7">
        <v>43726</v>
      </c>
      <c r="C176" s="5">
        <f>IF(B176="","",[1]!s_dq_close(股指期货基差分析!$E$5,$B176))</f>
        <v>5141.0380999999998</v>
      </c>
      <c r="D176" s="5">
        <f>IF(B176="","",[1]!s_dq_close(股指期货基差分析!$E$6,$B176))</f>
        <v>5130.8</v>
      </c>
      <c r="E176" s="5">
        <f ca="1">RANK(F176,F:F)+COUNTIF(F$2:F176,F176)-1</f>
        <v>557</v>
      </c>
      <c r="F176" s="5">
        <f t="shared" si="3"/>
        <v>-10.238099999999577</v>
      </c>
      <c r="G176" s="5">
        <f ca="1">IF(B176="","",股指期货基差分析!$N$11)</f>
        <v>-71.408500000000458</v>
      </c>
      <c r="H176" s="5">
        <f ca="1">IF(B176="","",股指期货基差分析!$L$11)</f>
        <v>15.737900000000081</v>
      </c>
      <c r="I176" s="9">
        <f ca="1">IF(B176="","",股指期货基差分析!$D$11)</f>
        <v>-19.923978315132629</v>
      </c>
      <c r="L176" s="43"/>
      <c r="Q176" s="11"/>
    </row>
    <row r="177" spans="2:17" ht="15" customHeight="1" x14ac:dyDescent="0.2">
      <c r="B177" s="8">
        <v>43727</v>
      </c>
      <c r="C177" s="6">
        <f>IF(B177="","",[1]!s_dq_close(股指期货基差分析!$E$5,$B177))</f>
        <v>5191.6687000000002</v>
      </c>
      <c r="D177" s="6">
        <f>IF(B177="","",[1]!s_dq_close(股指期货基差分析!$E$6,$B177))</f>
        <v>5185.6000000000004</v>
      </c>
      <c r="E177" s="6">
        <f ca="1">RANK(F177,F:F)+COUNTIF(F$2:F177,F177)-1</f>
        <v>443</v>
      </c>
      <c r="F177" s="6">
        <f t="shared" si="3"/>
        <v>-6.0686999999998079</v>
      </c>
      <c r="G177" s="6">
        <f ca="1">IF(B177="","",股指期货基差分析!$N$11)</f>
        <v>-71.408500000000458</v>
      </c>
      <c r="H177" s="6">
        <f ca="1">IF(B177="","",股指期货基差分析!$L$11)</f>
        <v>15.737900000000081</v>
      </c>
      <c r="I177" s="10">
        <f ca="1">IF(B177="","",股指期货基差分析!$D$11)</f>
        <v>-19.923978315132629</v>
      </c>
      <c r="L177" s="43"/>
      <c r="Q177" s="11"/>
    </row>
    <row r="178" spans="2:17" ht="15" customHeight="1" x14ac:dyDescent="0.2">
      <c r="B178" s="7">
        <v>43728</v>
      </c>
      <c r="C178" s="5">
        <f>IF(B178="","",[1]!s_dq_close(股指期货基差分析!$E$5,$B178))</f>
        <v>5204.4848000000002</v>
      </c>
      <c r="D178" s="5">
        <f>IF(B178="","",[1]!s_dq_close(股指期货基差分析!$E$6,$B178))</f>
        <v>5203.6000000000004</v>
      </c>
      <c r="E178" s="5">
        <f ca="1">RANK(F178,F:F)+COUNTIF(F$2:F178,F178)-1</f>
        <v>314</v>
      </c>
      <c r="F178" s="5">
        <f t="shared" si="3"/>
        <v>-0.88479999999981374</v>
      </c>
      <c r="G178" s="5">
        <f ca="1">IF(B178="","",股指期货基差分析!$N$11)</f>
        <v>-71.408500000000458</v>
      </c>
      <c r="H178" s="5">
        <f ca="1">IF(B178="","",股指期货基差分析!$L$11)</f>
        <v>15.737900000000081</v>
      </c>
      <c r="I178" s="9">
        <f ca="1">IF(B178="","",股指期货基差分析!$D$11)</f>
        <v>-19.923978315132629</v>
      </c>
      <c r="L178" s="43"/>
      <c r="Q178" s="11"/>
    </row>
    <row r="179" spans="2:17" ht="15" customHeight="1" x14ac:dyDescent="0.2">
      <c r="B179" s="8">
        <v>43731</v>
      </c>
      <c r="C179" s="6">
        <f>IF(B179="","",[1]!s_dq_close(股指期货基差分析!$E$5,$B179))</f>
        <v>5171.4840000000004</v>
      </c>
      <c r="D179" s="6">
        <f>IF(B179="","",[1]!s_dq_close(股指期货基差分析!$E$6,$B179))</f>
        <v>5139.3999999999996</v>
      </c>
      <c r="E179" s="6">
        <f ca="1">RANK(F179,F:F)+COUNTIF(F$2:F179,F179)-1</f>
        <v>921</v>
      </c>
      <c r="F179" s="6">
        <f t="shared" si="3"/>
        <v>-32.084000000000742</v>
      </c>
      <c r="G179" s="6">
        <f ca="1">IF(B179="","",股指期货基差分析!$N$11)</f>
        <v>-71.408500000000458</v>
      </c>
      <c r="H179" s="6">
        <f ca="1">IF(B179="","",股指期货基差分析!$L$11)</f>
        <v>15.737900000000081</v>
      </c>
      <c r="I179" s="10">
        <f ca="1">IF(B179="","",股指期货基差分析!$D$11)</f>
        <v>-19.923978315132629</v>
      </c>
      <c r="L179" s="43"/>
      <c r="Q179" s="11"/>
    </row>
    <row r="180" spans="2:17" ht="15" customHeight="1" x14ac:dyDescent="0.2">
      <c r="B180" s="7">
        <v>43732</v>
      </c>
      <c r="C180" s="5">
        <f>IF(B180="","",[1]!s_dq_close(股指期货基差分析!$E$5,$B180))</f>
        <v>5180.7417999999998</v>
      </c>
      <c r="D180" s="5">
        <f>IF(B180="","",[1]!s_dq_close(股指期货基差分析!$E$6,$B180))</f>
        <v>5127.2</v>
      </c>
      <c r="E180" s="5">
        <f ca="1">RANK(F180,F:F)+COUNTIF(F$2:F180,F180)-1</f>
        <v>1129</v>
      </c>
      <c r="F180" s="5">
        <f t="shared" si="3"/>
        <v>-53.541799999999967</v>
      </c>
      <c r="G180" s="5">
        <f ca="1">IF(B180="","",股指期货基差分析!$N$11)</f>
        <v>-71.408500000000458</v>
      </c>
      <c r="H180" s="5">
        <f ca="1">IF(B180="","",股指期货基差分析!$L$11)</f>
        <v>15.737900000000081</v>
      </c>
      <c r="I180" s="9">
        <f ca="1">IF(B180="","",股指期货基差分析!$D$11)</f>
        <v>-19.923978315132629</v>
      </c>
      <c r="L180" s="43"/>
      <c r="Q180" s="11"/>
    </row>
    <row r="181" spans="2:17" ht="15" customHeight="1" x14ac:dyDescent="0.2">
      <c r="B181" s="8">
        <v>43733</v>
      </c>
      <c r="C181" s="6">
        <f>IF(B181="","",[1]!s_dq_close(股指期货基差分析!$E$5,$B181))</f>
        <v>5087.0091000000002</v>
      </c>
      <c r="D181" s="6">
        <f>IF(B181="","",[1]!s_dq_close(股指期货基差分析!$E$6,$B181))</f>
        <v>5047.6000000000004</v>
      </c>
      <c r="E181" s="6">
        <f ca="1">RANK(F181,F:F)+COUNTIF(F$2:F181,F181)-1</f>
        <v>998</v>
      </c>
      <c r="F181" s="6">
        <f t="shared" si="3"/>
        <v>-39.409099999999853</v>
      </c>
      <c r="G181" s="6">
        <f ca="1">IF(B181="","",股指期货基差分析!$N$11)</f>
        <v>-71.408500000000458</v>
      </c>
      <c r="H181" s="6">
        <f ca="1">IF(B181="","",股指期货基差分析!$L$11)</f>
        <v>15.737900000000081</v>
      </c>
      <c r="I181" s="10">
        <f ca="1">IF(B181="","",股指期货基差分析!$D$11)</f>
        <v>-19.923978315132629</v>
      </c>
      <c r="L181" s="43"/>
      <c r="Q181" s="11"/>
    </row>
    <row r="182" spans="2:17" ht="15" customHeight="1" x14ac:dyDescent="0.2">
      <c r="B182" s="7">
        <v>43734</v>
      </c>
      <c r="C182" s="5">
        <f>IF(B182="","",[1]!s_dq_close(股指期货基差分析!$E$5,$B182))</f>
        <v>4970.2403000000004</v>
      </c>
      <c r="D182" s="5">
        <f>IF(B182="","",[1]!s_dq_close(股指期货基差分析!$E$6,$B182))</f>
        <v>4953.2</v>
      </c>
      <c r="E182" s="5">
        <f ca="1">RANK(F182,F:F)+COUNTIF(F$2:F182,F182)-1</f>
        <v>701</v>
      </c>
      <c r="F182" s="5">
        <f t="shared" si="3"/>
        <v>-17.04030000000057</v>
      </c>
      <c r="G182" s="5">
        <f ca="1">IF(B182="","",股指期货基差分析!$N$11)</f>
        <v>-71.408500000000458</v>
      </c>
      <c r="H182" s="5">
        <f ca="1">IF(B182="","",股指期货基差分析!$L$11)</f>
        <v>15.737900000000081</v>
      </c>
      <c r="I182" s="9">
        <f ca="1">IF(B182="","",股指期货基差分析!$D$11)</f>
        <v>-19.923978315132629</v>
      </c>
      <c r="L182" s="43"/>
      <c r="Q182" s="11"/>
    </row>
    <row r="183" spans="2:17" ht="15" customHeight="1" x14ac:dyDescent="0.2">
      <c r="B183" s="8">
        <v>43735</v>
      </c>
      <c r="C183" s="6">
        <f>IF(B183="","",[1]!s_dq_close(股指期货基差分析!$E$5,$B183))</f>
        <v>5005.6298999999999</v>
      </c>
      <c r="D183" s="6">
        <f>IF(B183="","",[1]!s_dq_close(股指期货基差分析!$E$6,$B183))</f>
        <v>4978.6000000000004</v>
      </c>
      <c r="E183" s="6">
        <f ca="1">RANK(F183,F:F)+COUNTIF(F$2:F183,F183)-1</f>
        <v>844</v>
      </c>
      <c r="F183" s="6">
        <f t="shared" si="3"/>
        <v>-27.029899999999543</v>
      </c>
      <c r="G183" s="6">
        <f ca="1">IF(B183="","",股指期货基差分析!$N$11)</f>
        <v>-71.408500000000458</v>
      </c>
      <c r="H183" s="6">
        <f ca="1">IF(B183="","",股指期货基差分析!$L$11)</f>
        <v>15.737900000000081</v>
      </c>
      <c r="I183" s="10">
        <f ca="1">IF(B183="","",股指期货基差分析!$D$11)</f>
        <v>-19.923978315132629</v>
      </c>
      <c r="L183" s="43"/>
      <c r="Q183" s="11"/>
    </row>
    <row r="184" spans="2:17" ht="15" customHeight="1" x14ac:dyDescent="0.2">
      <c r="B184" s="7">
        <v>43738</v>
      </c>
      <c r="C184" s="5">
        <f>IF(B184="","",[1]!s_dq_close(股指期货基差分析!$E$5,$B184))</f>
        <v>4940.9030000000002</v>
      </c>
      <c r="D184" s="5">
        <f>IF(B184="","",[1]!s_dq_close(股指期货基差分析!$E$6,$B184))</f>
        <v>4894</v>
      </c>
      <c r="E184" s="5">
        <f ca="1">RANK(F184,F:F)+COUNTIF(F$2:F184,F184)-1</f>
        <v>1077</v>
      </c>
      <c r="F184" s="5">
        <f t="shared" si="3"/>
        <v>-46.903000000000247</v>
      </c>
      <c r="G184" s="5">
        <f ca="1">IF(B184="","",股指期货基差分析!$N$11)</f>
        <v>-71.408500000000458</v>
      </c>
      <c r="H184" s="5">
        <f ca="1">IF(B184="","",股指期货基差分析!$L$11)</f>
        <v>15.737900000000081</v>
      </c>
      <c r="I184" s="9">
        <f ca="1">IF(B184="","",股指期货基差分析!$D$11)</f>
        <v>-19.923978315132629</v>
      </c>
      <c r="L184" s="43"/>
      <c r="Q184" s="11"/>
    </row>
    <row r="185" spans="2:17" ht="15" customHeight="1" x14ac:dyDescent="0.2">
      <c r="B185" s="8">
        <v>43746</v>
      </c>
      <c r="C185" s="6">
        <f>IF(B185="","",[1]!s_dq_close(股指期货基差分析!$E$5,$B185))</f>
        <v>4941.7606999999998</v>
      </c>
      <c r="D185" s="6">
        <f>IF(B185="","",[1]!s_dq_close(股指期货基差分析!$E$6,$B185))</f>
        <v>4916.6000000000004</v>
      </c>
      <c r="E185" s="6">
        <f ca="1">RANK(F185,F:F)+COUNTIF(F$2:F185,F185)-1</f>
        <v>819</v>
      </c>
      <c r="F185" s="6">
        <f t="shared" si="3"/>
        <v>-25.160699999999451</v>
      </c>
      <c r="G185" s="6">
        <f ca="1">IF(B185="","",股指期货基差分析!$N$11)</f>
        <v>-71.408500000000458</v>
      </c>
      <c r="H185" s="6">
        <f ca="1">IF(B185="","",股指期货基差分析!$L$11)</f>
        <v>15.737900000000081</v>
      </c>
      <c r="I185" s="10">
        <f ca="1">IF(B185="","",股指期货基差分析!$D$11)</f>
        <v>-19.923978315132629</v>
      </c>
      <c r="L185" s="43"/>
      <c r="Q185" s="11"/>
    </row>
    <row r="186" spans="2:17" ht="15" customHeight="1" x14ac:dyDescent="0.2">
      <c r="B186" s="7">
        <v>43747</v>
      </c>
      <c r="C186" s="5">
        <f>IF(B186="","",[1]!s_dq_close(股指期货基差分析!$E$5,$B186))</f>
        <v>4982.9534999999996</v>
      </c>
      <c r="D186" s="5">
        <f>IF(B186="","",[1]!s_dq_close(股指期货基差分析!$E$6,$B186))</f>
        <v>4959.8</v>
      </c>
      <c r="E186" s="5">
        <f ca="1">RANK(F186,F:F)+COUNTIF(F$2:F186,F186)-1</f>
        <v>793</v>
      </c>
      <c r="F186" s="5">
        <f t="shared" si="3"/>
        <v>-23.15349999999944</v>
      </c>
      <c r="G186" s="5">
        <f ca="1">IF(B186="","",股指期货基差分析!$N$11)</f>
        <v>-71.408500000000458</v>
      </c>
      <c r="H186" s="5">
        <f ca="1">IF(B186="","",股指期货基差分析!$L$11)</f>
        <v>15.737900000000081</v>
      </c>
      <c r="I186" s="9">
        <f ca="1">IF(B186="","",股指期货基差分析!$D$11)</f>
        <v>-19.923978315132629</v>
      </c>
      <c r="L186" s="43"/>
      <c r="Q186" s="11"/>
    </row>
    <row r="187" spans="2:17" ht="15" customHeight="1" x14ac:dyDescent="0.2">
      <c r="B187" s="8">
        <v>43748</v>
      </c>
      <c r="C187" s="6">
        <f>IF(B187="","",[1]!s_dq_close(股指期货基差分析!$E$5,$B187))</f>
        <v>5046.3594000000003</v>
      </c>
      <c r="D187" s="6">
        <f>IF(B187="","",[1]!s_dq_close(股指期货基差分析!$E$6,$B187))</f>
        <v>5023.2</v>
      </c>
      <c r="E187" s="6">
        <f ca="1">RANK(F187,F:F)+COUNTIF(F$2:F187,F187)-1</f>
        <v>794</v>
      </c>
      <c r="F187" s="6">
        <f t="shared" si="3"/>
        <v>-23.15940000000046</v>
      </c>
      <c r="G187" s="6">
        <f ca="1">IF(B187="","",股指期货基差分析!$N$11)</f>
        <v>-71.408500000000458</v>
      </c>
      <c r="H187" s="6">
        <f ca="1">IF(B187="","",股指期货基差分析!$L$11)</f>
        <v>15.737900000000081</v>
      </c>
      <c r="I187" s="10">
        <f ca="1">IF(B187="","",股指期货基差分析!$D$11)</f>
        <v>-19.923978315132629</v>
      </c>
      <c r="L187" s="43"/>
      <c r="Q187" s="11"/>
    </row>
    <row r="188" spans="2:17" ht="15" customHeight="1" x14ac:dyDescent="0.2">
      <c r="B188" s="7">
        <v>43749</v>
      </c>
      <c r="C188" s="5">
        <f>IF(B188="","",[1]!s_dq_close(股指期货基差分析!$E$5,$B188))</f>
        <v>5055.5164999999997</v>
      </c>
      <c r="D188" s="5">
        <f>IF(B188="","",[1]!s_dq_close(股指期货基差分析!$E$6,$B188))</f>
        <v>5055.6000000000004</v>
      </c>
      <c r="E188" s="5">
        <f ca="1">RANK(F188,F:F)+COUNTIF(F$2:F188,F188)-1</f>
        <v>294</v>
      </c>
      <c r="F188" s="5">
        <f t="shared" si="3"/>
        <v>8.3500000000640284E-2</v>
      </c>
      <c r="G188" s="5">
        <f ca="1">IF(B188="","",股指期货基差分析!$N$11)</f>
        <v>-71.408500000000458</v>
      </c>
      <c r="H188" s="5">
        <f ca="1">IF(B188="","",股指期货基差分析!$L$11)</f>
        <v>15.737900000000081</v>
      </c>
      <c r="I188" s="9">
        <f ca="1">IF(B188="","",股指期货基差分析!$D$11)</f>
        <v>-19.923978315132629</v>
      </c>
      <c r="L188" s="43"/>
      <c r="Q188" s="11"/>
    </row>
    <row r="189" spans="2:17" ht="15" customHeight="1" x14ac:dyDescent="0.2">
      <c r="B189" s="8">
        <v>43752</v>
      </c>
      <c r="C189" s="6">
        <f>IF(B189="","",[1]!s_dq_close(股指期货基差分析!$E$5,$B189))</f>
        <v>5131.1311999999998</v>
      </c>
      <c r="D189" s="6">
        <f>IF(B189="","",[1]!s_dq_close(股指期货基差分析!$E$6,$B189))</f>
        <v>5103</v>
      </c>
      <c r="E189" s="6">
        <f ca="1">RANK(F189,F:F)+COUNTIF(F$2:F189,F189)-1</f>
        <v>863</v>
      </c>
      <c r="F189" s="6">
        <f t="shared" si="3"/>
        <v>-28.131199999999808</v>
      </c>
      <c r="G189" s="6">
        <f ca="1">IF(B189="","",股指期货基差分析!$N$11)</f>
        <v>-71.408500000000458</v>
      </c>
      <c r="H189" s="6">
        <f ca="1">IF(B189="","",股指期货基差分析!$L$11)</f>
        <v>15.737900000000081</v>
      </c>
      <c r="I189" s="10">
        <f ca="1">IF(B189="","",股指期货基差分析!$D$11)</f>
        <v>-19.923978315132629</v>
      </c>
      <c r="L189" s="43"/>
      <c r="Q189" s="11"/>
    </row>
    <row r="190" spans="2:17" ht="15" customHeight="1" x14ac:dyDescent="0.2">
      <c r="B190" s="7">
        <v>43753</v>
      </c>
      <c r="C190" s="5">
        <f>IF(B190="","",[1]!s_dq_close(股指期货基差分析!$E$5,$B190))</f>
        <v>5061.0029000000004</v>
      </c>
      <c r="D190" s="5">
        <f>IF(B190="","",[1]!s_dq_close(股指期货基差分析!$E$6,$B190))</f>
        <v>5051.8</v>
      </c>
      <c r="E190" s="5">
        <f ca="1">RANK(F190,F:F)+COUNTIF(F$2:F190,F190)-1</f>
        <v>536</v>
      </c>
      <c r="F190" s="5">
        <f t="shared" si="3"/>
        <v>-9.202900000000227</v>
      </c>
      <c r="G190" s="5">
        <f ca="1">IF(B190="","",股指期货基差分析!$N$11)</f>
        <v>-71.408500000000458</v>
      </c>
      <c r="H190" s="5">
        <f ca="1">IF(B190="","",股指期货基差分析!$L$11)</f>
        <v>15.737900000000081</v>
      </c>
      <c r="I190" s="9">
        <f ca="1">IF(B190="","",股指期货基差分析!$D$11)</f>
        <v>-19.923978315132629</v>
      </c>
      <c r="L190" s="43"/>
      <c r="Q190" s="11"/>
    </row>
    <row r="191" spans="2:17" ht="15" customHeight="1" x14ac:dyDescent="0.2">
      <c r="B191" s="8">
        <v>43754</v>
      </c>
      <c r="C191" s="6">
        <f>IF(B191="","",[1]!s_dq_close(股指期货基差分析!$E$5,$B191))</f>
        <v>5038.3559999999998</v>
      </c>
      <c r="D191" s="6">
        <f>IF(B191="","",[1]!s_dq_close(股指期货基差分析!$E$6,$B191))</f>
        <v>5021</v>
      </c>
      <c r="E191" s="6">
        <f ca="1">RANK(F191,F:F)+COUNTIF(F$2:F191,F191)-1</f>
        <v>708</v>
      </c>
      <c r="F191" s="6">
        <f t="shared" si="3"/>
        <v>-17.355999999999767</v>
      </c>
      <c r="G191" s="6">
        <f ca="1">IF(B191="","",股指期货基差分析!$N$11)</f>
        <v>-71.408500000000458</v>
      </c>
      <c r="H191" s="6">
        <f ca="1">IF(B191="","",股指期货基差分析!$L$11)</f>
        <v>15.737900000000081</v>
      </c>
      <c r="I191" s="10">
        <f ca="1">IF(B191="","",股指期货基差分析!$D$11)</f>
        <v>-19.923978315132629</v>
      </c>
      <c r="L191" s="43"/>
      <c r="Q191" s="11"/>
    </row>
    <row r="192" spans="2:17" ht="15" customHeight="1" x14ac:dyDescent="0.2">
      <c r="B192" s="7">
        <v>43755</v>
      </c>
      <c r="C192" s="5">
        <f>IF(B192="","",[1]!s_dq_close(股指期货基差分析!$E$5,$B192))</f>
        <v>5029.8540000000003</v>
      </c>
      <c r="D192" s="5">
        <f>IF(B192="","",[1]!s_dq_close(股指期货基差分析!$E$6,$B192))</f>
        <v>5028.2</v>
      </c>
      <c r="E192" s="5">
        <f ca="1">RANK(F192,F:F)+COUNTIF(F$2:F192,F192)-1</f>
        <v>336</v>
      </c>
      <c r="F192" s="5">
        <f t="shared" si="3"/>
        <v>-1.6540000000004511</v>
      </c>
      <c r="G192" s="5">
        <f ca="1">IF(B192="","",股指期货基差分析!$N$11)</f>
        <v>-71.408500000000458</v>
      </c>
      <c r="H192" s="5">
        <f ca="1">IF(B192="","",股指期货基差分析!$L$11)</f>
        <v>15.737900000000081</v>
      </c>
      <c r="I192" s="9">
        <f ca="1">IF(B192="","",股指期货基差分析!$D$11)</f>
        <v>-19.923978315132629</v>
      </c>
      <c r="L192" s="43"/>
      <c r="Q192" s="11"/>
    </row>
    <row r="193" spans="2:17" ht="15" customHeight="1" x14ac:dyDescent="0.2">
      <c r="B193" s="8">
        <v>43756</v>
      </c>
      <c r="C193" s="6">
        <f>IF(B193="","",[1]!s_dq_close(股指期货基差分析!$E$5,$B193))</f>
        <v>4961.8072000000002</v>
      </c>
      <c r="D193" s="6">
        <f>IF(B193="","",[1]!s_dq_close(股指期货基差分析!$E$6,$B193))</f>
        <v>4976.2</v>
      </c>
      <c r="E193" s="6">
        <f ca="1">RANK(F193,F:F)+COUNTIF(F$2:F193,F193)-1</f>
        <v>70</v>
      </c>
      <c r="F193" s="6">
        <f t="shared" si="3"/>
        <v>14.392799999999625</v>
      </c>
      <c r="G193" s="6">
        <f ca="1">IF(B193="","",股指期货基差分析!$N$11)</f>
        <v>-71.408500000000458</v>
      </c>
      <c r="H193" s="6">
        <f ca="1">IF(B193="","",股指期货基差分析!$L$11)</f>
        <v>15.737900000000081</v>
      </c>
      <c r="I193" s="10">
        <f ca="1">IF(B193="","",股指期货基差分析!$D$11)</f>
        <v>-19.923978315132629</v>
      </c>
      <c r="L193" s="43"/>
      <c r="Q193" s="11"/>
    </row>
    <row r="194" spans="2:17" ht="15" customHeight="1" x14ac:dyDescent="0.2">
      <c r="B194" s="7">
        <v>43759</v>
      </c>
      <c r="C194" s="5">
        <f>IF(B194="","",[1]!s_dq_close(股指期货基差分析!$E$5,$B194))</f>
        <v>4951.0353999999998</v>
      </c>
      <c r="D194" s="5">
        <f>IF(B194="","",[1]!s_dq_close(股指期货基差分析!$E$6,$B194))</f>
        <v>4902.6000000000004</v>
      </c>
      <c r="E194" s="5">
        <f ca="1">RANK(F194,F:F)+COUNTIF(F$2:F194,F194)-1</f>
        <v>1088</v>
      </c>
      <c r="F194" s="5">
        <f t="shared" ref="F194:F257" si="4">IF(B194="","",D194-C194)</f>
        <v>-48.43539999999939</v>
      </c>
      <c r="G194" s="5">
        <f ca="1">IF(B194="","",股指期货基差分析!$N$11)</f>
        <v>-71.408500000000458</v>
      </c>
      <c r="H194" s="5">
        <f ca="1">IF(B194="","",股指期货基差分析!$L$11)</f>
        <v>15.737900000000081</v>
      </c>
      <c r="I194" s="9">
        <f ca="1">IF(B194="","",股指期货基差分析!$D$11)</f>
        <v>-19.923978315132629</v>
      </c>
      <c r="L194" s="43"/>
      <c r="Q194" s="11"/>
    </row>
    <row r="195" spans="2:17" ht="15" customHeight="1" x14ac:dyDescent="0.2">
      <c r="B195" s="8">
        <v>43760</v>
      </c>
      <c r="C195" s="6">
        <f>IF(B195="","",[1]!s_dq_close(股指期货基差分析!$E$5,$B195))</f>
        <v>5005.5524999999998</v>
      </c>
      <c r="D195" s="6">
        <f>IF(B195="","",[1]!s_dq_close(股指期货基差分析!$E$6,$B195))</f>
        <v>4954.8</v>
      </c>
      <c r="E195" s="6">
        <f ca="1">RANK(F195,F:F)+COUNTIF(F$2:F195,F195)-1</f>
        <v>1105</v>
      </c>
      <c r="F195" s="6">
        <f t="shared" si="4"/>
        <v>-50.7524999999996</v>
      </c>
      <c r="G195" s="6">
        <f ca="1">IF(B195="","",股指期货基差分析!$N$11)</f>
        <v>-71.408500000000458</v>
      </c>
      <c r="H195" s="6">
        <f ca="1">IF(B195="","",股指期货基差分析!$L$11)</f>
        <v>15.737900000000081</v>
      </c>
      <c r="I195" s="10">
        <f ca="1">IF(B195="","",股指期货基差分析!$D$11)</f>
        <v>-19.923978315132629</v>
      </c>
      <c r="L195" s="43"/>
      <c r="Q195" s="11"/>
    </row>
    <row r="196" spans="2:17" ht="15" customHeight="1" x14ac:dyDescent="0.2">
      <c r="B196" s="7">
        <v>43761</v>
      </c>
      <c r="C196" s="5">
        <f>IF(B196="","",[1]!s_dq_close(股指期货基差分析!$E$5,$B196))</f>
        <v>4967.1949000000004</v>
      </c>
      <c r="D196" s="5">
        <f>IF(B196="","",[1]!s_dq_close(股指期货基差分析!$E$6,$B196))</f>
        <v>4923</v>
      </c>
      <c r="E196" s="5">
        <f ca="1">RANK(F196,F:F)+COUNTIF(F$2:F196,F196)-1</f>
        <v>1047</v>
      </c>
      <c r="F196" s="5">
        <f t="shared" si="4"/>
        <v>-44.194900000000416</v>
      </c>
      <c r="G196" s="5">
        <f ca="1">IF(B196="","",股指期货基差分析!$N$11)</f>
        <v>-71.408500000000458</v>
      </c>
      <c r="H196" s="5">
        <f ca="1">IF(B196="","",股指期货基差分析!$L$11)</f>
        <v>15.737900000000081</v>
      </c>
      <c r="I196" s="9">
        <f ca="1">IF(B196="","",股指期货基差分析!$D$11)</f>
        <v>-19.923978315132629</v>
      </c>
      <c r="L196" s="43"/>
      <c r="Q196" s="11"/>
    </row>
    <row r="197" spans="2:17" ht="15" customHeight="1" x14ac:dyDescent="0.2">
      <c r="B197" s="8">
        <v>43762</v>
      </c>
      <c r="C197" s="6">
        <f>IF(B197="","",[1]!s_dq_close(股指期货基差分析!$E$5,$B197))</f>
        <v>4958.2465000000002</v>
      </c>
      <c r="D197" s="6">
        <f>IF(B197="","",[1]!s_dq_close(股指期货基差分析!$E$6,$B197))</f>
        <v>4924</v>
      </c>
      <c r="E197" s="6">
        <f ca="1">RANK(F197,F:F)+COUNTIF(F$2:F197,F197)-1</f>
        <v>942</v>
      </c>
      <c r="F197" s="6">
        <f t="shared" si="4"/>
        <v>-34.246500000000196</v>
      </c>
      <c r="G197" s="6">
        <f ca="1">IF(B197="","",股指期货基差分析!$N$11)</f>
        <v>-71.408500000000458</v>
      </c>
      <c r="H197" s="6">
        <f ca="1">IF(B197="","",股指期货基差分析!$L$11)</f>
        <v>15.737900000000081</v>
      </c>
      <c r="I197" s="10">
        <f ca="1">IF(B197="","",股指期货基差分析!$D$11)</f>
        <v>-19.923978315132629</v>
      </c>
      <c r="L197" s="43"/>
      <c r="Q197" s="11"/>
    </row>
    <row r="198" spans="2:17" ht="15" customHeight="1" x14ac:dyDescent="0.2">
      <c r="B198" s="7">
        <v>43763</v>
      </c>
      <c r="C198" s="5">
        <f>IF(B198="","",[1]!s_dq_close(股指期货基差分析!$E$5,$B198))</f>
        <v>4994.5684000000001</v>
      </c>
      <c r="D198" s="5">
        <f>IF(B198="","",[1]!s_dq_close(股指期货基差分析!$E$6,$B198))</f>
        <v>4974.2</v>
      </c>
      <c r="E198" s="5">
        <f ca="1">RANK(F198,F:F)+COUNTIF(F$2:F198,F198)-1</f>
        <v>759</v>
      </c>
      <c r="F198" s="5">
        <f t="shared" si="4"/>
        <v>-20.368400000000292</v>
      </c>
      <c r="G198" s="5">
        <f ca="1">IF(B198="","",股指期货基差分析!$N$11)</f>
        <v>-71.408500000000458</v>
      </c>
      <c r="H198" s="5">
        <f ca="1">IF(B198="","",股指期货基差分析!$L$11)</f>
        <v>15.737900000000081</v>
      </c>
      <c r="I198" s="9">
        <f ca="1">IF(B198="","",股指期货基差分析!$D$11)</f>
        <v>-19.923978315132629</v>
      </c>
      <c r="L198" s="43"/>
      <c r="Q198" s="11"/>
    </row>
    <row r="199" spans="2:17" ht="15" customHeight="1" x14ac:dyDescent="0.2">
      <c r="B199" s="8">
        <v>43766</v>
      </c>
      <c r="C199" s="6">
        <f>IF(B199="","",[1]!s_dq_close(股指期货基差分析!$E$5,$B199))</f>
        <v>5084.4677000000001</v>
      </c>
      <c r="D199" s="6">
        <f>IF(B199="","",[1]!s_dq_close(股指期货基差分析!$E$6,$B199))</f>
        <v>5046.3999999999996</v>
      </c>
      <c r="E199" s="6">
        <f ca="1">RANK(F199,F:F)+COUNTIF(F$2:F199,F199)-1</f>
        <v>984</v>
      </c>
      <c r="F199" s="6">
        <f t="shared" si="4"/>
        <v>-38.067700000000514</v>
      </c>
      <c r="G199" s="6">
        <f ca="1">IF(B199="","",股指期货基差分析!$N$11)</f>
        <v>-71.408500000000458</v>
      </c>
      <c r="H199" s="6">
        <f ca="1">IF(B199="","",股指期货基差分析!$L$11)</f>
        <v>15.737900000000081</v>
      </c>
      <c r="I199" s="10">
        <f ca="1">IF(B199="","",股指期货基差分析!$D$11)</f>
        <v>-19.923978315132629</v>
      </c>
      <c r="L199" s="43"/>
      <c r="Q199" s="11"/>
    </row>
    <row r="200" spans="2:17" ht="15" customHeight="1" x14ac:dyDescent="0.2">
      <c r="B200" s="7">
        <v>43767</v>
      </c>
      <c r="C200" s="5">
        <f>IF(B200="","",[1]!s_dq_close(股指期货基差分析!$E$5,$B200))</f>
        <v>5007.7125999999998</v>
      </c>
      <c r="D200" s="5">
        <f>IF(B200="","",[1]!s_dq_close(股指期货基差分析!$E$6,$B200))</f>
        <v>4979.6000000000004</v>
      </c>
      <c r="E200" s="5">
        <f ca="1">RANK(F200,F:F)+COUNTIF(F$2:F200,F200)-1</f>
        <v>862</v>
      </c>
      <c r="F200" s="5">
        <f t="shared" si="4"/>
        <v>-28.112599999999475</v>
      </c>
      <c r="G200" s="5">
        <f ca="1">IF(B200="","",股指期货基差分析!$N$11)</f>
        <v>-71.408500000000458</v>
      </c>
      <c r="H200" s="5">
        <f ca="1">IF(B200="","",股指期货基差分析!$L$11)</f>
        <v>15.737900000000081</v>
      </c>
      <c r="I200" s="9">
        <f ca="1">IF(B200="","",股指期货基差分析!$D$11)</f>
        <v>-19.923978315132629</v>
      </c>
      <c r="L200" s="43"/>
      <c r="Q200" s="11"/>
    </row>
    <row r="201" spans="2:17" ht="15" customHeight="1" x14ac:dyDescent="0.2">
      <c r="B201" s="8">
        <v>43768</v>
      </c>
      <c r="C201" s="6">
        <f>IF(B201="","",[1]!s_dq_close(股指期货基差分析!$E$5,$B201))</f>
        <v>4947.8954000000003</v>
      </c>
      <c r="D201" s="6">
        <f>IF(B201="","",[1]!s_dq_close(股指期货基差分析!$E$6,$B201))</f>
        <v>4916</v>
      </c>
      <c r="E201" s="6">
        <f ca="1">RANK(F201,F:F)+COUNTIF(F$2:F201,F201)-1</f>
        <v>916</v>
      </c>
      <c r="F201" s="6">
        <f t="shared" si="4"/>
        <v>-31.895400000000336</v>
      </c>
      <c r="G201" s="6">
        <f ca="1">IF(B201="","",股指期货基差分析!$N$11)</f>
        <v>-71.408500000000458</v>
      </c>
      <c r="H201" s="6">
        <f ca="1">IF(B201="","",股指期货基差分析!$L$11)</f>
        <v>15.737900000000081</v>
      </c>
      <c r="I201" s="10">
        <f ca="1">IF(B201="","",股指期货基差分析!$D$11)</f>
        <v>-19.923978315132629</v>
      </c>
      <c r="L201" s="43"/>
      <c r="Q201" s="11"/>
    </row>
    <row r="202" spans="2:17" ht="15" customHeight="1" x14ac:dyDescent="0.2">
      <c r="B202" s="7">
        <v>43769</v>
      </c>
      <c r="C202" s="5">
        <f>IF(B202="","",[1]!s_dq_close(股指期货基差分析!$E$5,$B202))</f>
        <v>4917.4174000000003</v>
      </c>
      <c r="D202" s="5">
        <f>IF(B202="","",[1]!s_dq_close(股指期货基差分析!$E$6,$B202))</f>
        <v>4892.8</v>
      </c>
      <c r="E202" s="5">
        <f ca="1">RANK(F202,F:F)+COUNTIF(F$2:F202,F202)-1</f>
        <v>811</v>
      </c>
      <c r="F202" s="5">
        <f t="shared" si="4"/>
        <v>-24.617400000000089</v>
      </c>
      <c r="G202" s="5">
        <f ca="1">IF(B202="","",股指期货基差分析!$N$11)</f>
        <v>-71.408500000000458</v>
      </c>
      <c r="H202" s="5">
        <f ca="1">IF(B202="","",股指期货基差分析!$L$11)</f>
        <v>15.737900000000081</v>
      </c>
      <c r="I202" s="9">
        <f ca="1">IF(B202="","",股指期货基差分析!$D$11)</f>
        <v>-19.923978315132629</v>
      </c>
      <c r="L202" s="43"/>
      <c r="Q202" s="11"/>
    </row>
    <row r="203" spans="2:17" ht="15" customHeight="1" x14ac:dyDescent="0.2">
      <c r="B203" s="8">
        <v>43770</v>
      </c>
      <c r="C203" s="6">
        <f>IF(B203="","",[1]!s_dq_close(股指期货基差分析!$E$5,$B203))</f>
        <v>4962.3495000000003</v>
      </c>
      <c r="D203" s="6">
        <f>IF(B203="","",[1]!s_dq_close(股指期货基差分析!$E$6,$B203))</f>
        <v>4948.2</v>
      </c>
      <c r="E203" s="6">
        <f ca="1">RANK(F203,F:F)+COUNTIF(F$2:F203,F203)-1</f>
        <v>644</v>
      </c>
      <c r="F203" s="6">
        <f t="shared" si="4"/>
        <v>-14.149500000000444</v>
      </c>
      <c r="G203" s="6">
        <f ca="1">IF(B203="","",股指期货基差分析!$N$11)</f>
        <v>-71.408500000000458</v>
      </c>
      <c r="H203" s="6">
        <f ca="1">IF(B203="","",股指期货基差分析!$L$11)</f>
        <v>15.737900000000081</v>
      </c>
      <c r="I203" s="10">
        <f ca="1">IF(B203="","",股指期货基差分析!$D$11)</f>
        <v>-19.923978315132629</v>
      </c>
      <c r="L203" s="43"/>
      <c r="Q203" s="11"/>
    </row>
    <row r="204" spans="2:17" ht="15" customHeight="1" x14ac:dyDescent="0.2">
      <c r="B204" s="7">
        <v>43773</v>
      </c>
      <c r="C204" s="5">
        <f>IF(B204="","",[1]!s_dq_close(股指期货基差分析!$E$5,$B204))</f>
        <v>4987.8364000000001</v>
      </c>
      <c r="D204" s="5">
        <f>IF(B204="","",[1]!s_dq_close(股指期货基差分析!$E$6,$B204))</f>
        <v>4957.8</v>
      </c>
      <c r="E204" s="5">
        <f ca="1">RANK(F204,F:F)+COUNTIF(F$2:F204,F204)-1</f>
        <v>893</v>
      </c>
      <c r="F204" s="5">
        <f t="shared" si="4"/>
        <v>-30.036399999999958</v>
      </c>
      <c r="G204" s="5">
        <f ca="1">IF(B204="","",股指期货基差分析!$N$11)</f>
        <v>-71.408500000000458</v>
      </c>
      <c r="H204" s="5">
        <f ca="1">IF(B204="","",股指期货基差分析!$L$11)</f>
        <v>15.737900000000081</v>
      </c>
      <c r="I204" s="9">
        <f ca="1">IF(B204="","",股指期货基差分析!$D$11)</f>
        <v>-19.923978315132629</v>
      </c>
      <c r="L204" s="43"/>
      <c r="Q204" s="11"/>
    </row>
    <row r="205" spans="2:17" ht="15" customHeight="1" x14ac:dyDescent="0.2">
      <c r="B205" s="8">
        <v>43774</v>
      </c>
      <c r="C205" s="6">
        <f>IF(B205="","",[1]!s_dq_close(股指期货基差分析!$E$5,$B205))</f>
        <v>5025.3028999999997</v>
      </c>
      <c r="D205" s="6">
        <f>IF(B205="","",[1]!s_dq_close(股指期货基差分析!$E$6,$B205))</f>
        <v>4998.2</v>
      </c>
      <c r="E205" s="6">
        <f ca="1">RANK(F205,F:F)+COUNTIF(F$2:F205,F205)-1</f>
        <v>847</v>
      </c>
      <c r="F205" s="6">
        <f t="shared" si="4"/>
        <v>-27.102899999999863</v>
      </c>
      <c r="G205" s="6">
        <f ca="1">IF(B205="","",股指期货基差分析!$N$11)</f>
        <v>-71.408500000000458</v>
      </c>
      <c r="H205" s="6">
        <f ca="1">IF(B205="","",股指期货基差分析!$L$11)</f>
        <v>15.737900000000081</v>
      </c>
      <c r="I205" s="10">
        <f ca="1">IF(B205="","",股指期货基差分析!$D$11)</f>
        <v>-19.923978315132629</v>
      </c>
      <c r="L205" s="43"/>
      <c r="Q205" s="11"/>
    </row>
    <row r="206" spans="2:17" ht="15" customHeight="1" x14ac:dyDescent="0.2">
      <c r="B206" s="7">
        <v>43775</v>
      </c>
      <c r="C206" s="5">
        <f>IF(B206="","",[1]!s_dq_close(股指期货基差分析!$E$5,$B206))</f>
        <v>4974.7343000000001</v>
      </c>
      <c r="D206" s="5">
        <f>IF(B206="","",[1]!s_dq_close(股指期货基差分析!$E$6,$B206))</f>
        <v>4955.3999999999996</v>
      </c>
      <c r="E206" s="5">
        <f ca="1">RANK(F206,F:F)+COUNTIF(F$2:F206,F206)-1</f>
        <v>736</v>
      </c>
      <c r="F206" s="5">
        <f t="shared" si="4"/>
        <v>-19.334300000000439</v>
      </c>
      <c r="G206" s="5">
        <f ca="1">IF(B206="","",股指期货基差分析!$N$11)</f>
        <v>-71.408500000000458</v>
      </c>
      <c r="H206" s="5">
        <f ca="1">IF(B206="","",股指期货基差分析!$L$11)</f>
        <v>15.737900000000081</v>
      </c>
      <c r="I206" s="9">
        <f ca="1">IF(B206="","",股指期货基差分析!$D$11)</f>
        <v>-19.923978315132629</v>
      </c>
      <c r="L206" s="43"/>
      <c r="Q206" s="11"/>
    </row>
    <row r="207" spans="2:17" ht="15" customHeight="1" x14ac:dyDescent="0.2">
      <c r="B207" s="8">
        <v>43776</v>
      </c>
      <c r="C207" s="6">
        <f>IF(B207="","",[1]!s_dq_close(股指期货基差分析!$E$5,$B207))</f>
        <v>5007.0666000000001</v>
      </c>
      <c r="D207" s="6">
        <f>IF(B207="","",[1]!s_dq_close(股指期货基差分析!$E$6,$B207))</f>
        <v>4990.3999999999996</v>
      </c>
      <c r="E207" s="6">
        <f ca="1">RANK(F207,F:F)+COUNTIF(F$2:F207,F207)-1</f>
        <v>690</v>
      </c>
      <c r="F207" s="6">
        <f t="shared" si="4"/>
        <v>-16.666600000000471</v>
      </c>
      <c r="G207" s="6">
        <f ca="1">IF(B207="","",股指期货基差分析!$N$11)</f>
        <v>-71.408500000000458</v>
      </c>
      <c r="H207" s="6">
        <f ca="1">IF(B207="","",股指期货基差分析!$L$11)</f>
        <v>15.737900000000081</v>
      </c>
      <c r="I207" s="10">
        <f ca="1">IF(B207="","",股指期货基差分析!$D$11)</f>
        <v>-19.923978315132629</v>
      </c>
      <c r="L207" s="43"/>
      <c r="Q207" s="11"/>
    </row>
    <row r="208" spans="2:17" ht="15" customHeight="1" x14ac:dyDescent="0.2">
      <c r="B208" s="7">
        <v>43777</v>
      </c>
      <c r="C208" s="5">
        <f>IF(B208="","",[1]!s_dq_close(股指期货基差分析!$E$5,$B208))</f>
        <v>4988.2938000000004</v>
      </c>
      <c r="D208" s="5">
        <f>IF(B208="","",[1]!s_dq_close(股指期货基差分析!$E$6,$B208))</f>
        <v>4970.8</v>
      </c>
      <c r="E208" s="5">
        <f ca="1">RANK(F208,F:F)+COUNTIF(F$2:F208,F208)-1</f>
        <v>709</v>
      </c>
      <c r="F208" s="5">
        <f t="shared" si="4"/>
        <v>-17.493800000000192</v>
      </c>
      <c r="G208" s="5">
        <f ca="1">IF(B208="","",股指期货基差分析!$N$11)</f>
        <v>-71.408500000000458</v>
      </c>
      <c r="H208" s="5">
        <f ca="1">IF(B208="","",股指期货基差分析!$L$11)</f>
        <v>15.737900000000081</v>
      </c>
      <c r="I208" s="9">
        <f ca="1">IF(B208="","",股指期货基差分析!$D$11)</f>
        <v>-19.923978315132629</v>
      </c>
      <c r="L208" s="43"/>
      <c r="Q208" s="11"/>
    </row>
    <row r="209" spans="2:17" ht="15" customHeight="1" x14ac:dyDescent="0.2">
      <c r="B209" s="8">
        <v>43780</v>
      </c>
      <c r="C209" s="6">
        <f>IF(B209="","",[1]!s_dq_close(股指期货基差分析!$E$5,$B209))</f>
        <v>4876.1593999999996</v>
      </c>
      <c r="D209" s="6">
        <f>IF(B209="","",[1]!s_dq_close(股指期货基差分析!$E$6,$B209))</f>
        <v>4862</v>
      </c>
      <c r="E209" s="6">
        <f ca="1">RANK(F209,F:F)+COUNTIF(F$2:F209,F209)-1</f>
        <v>645</v>
      </c>
      <c r="F209" s="6">
        <f t="shared" si="4"/>
        <v>-14.15939999999955</v>
      </c>
      <c r="G209" s="6">
        <f ca="1">IF(B209="","",股指期货基差分析!$N$11)</f>
        <v>-71.408500000000458</v>
      </c>
      <c r="H209" s="6">
        <f ca="1">IF(B209="","",股指期货基差分析!$L$11)</f>
        <v>15.737900000000081</v>
      </c>
      <c r="I209" s="10">
        <f ca="1">IF(B209="","",股指期货基差分析!$D$11)</f>
        <v>-19.923978315132629</v>
      </c>
      <c r="L209" s="43"/>
      <c r="Q209" s="11"/>
    </row>
    <row r="210" spans="2:17" ht="15" customHeight="1" x14ac:dyDescent="0.2">
      <c r="B210" s="7">
        <v>43781</v>
      </c>
      <c r="C210" s="5">
        <f>IF(B210="","",[1]!s_dq_close(股指期货基差分析!$E$5,$B210))</f>
        <v>4881.6144000000004</v>
      </c>
      <c r="D210" s="5">
        <f>IF(B210="","",[1]!s_dq_close(股指期货基差分析!$E$6,$B210))</f>
        <v>4867.3999999999996</v>
      </c>
      <c r="E210" s="5">
        <f ca="1">RANK(F210,F:F)+COUNTIF(F$2:F210,F210)-1</f>
        <v>648</v>
      </c>
      <c r="F210" s="5">
        <f t="shared" si="4"/>
        <v>-14.214400000000751</v>
      </c>
      <c r="G210" s="5">
        <f ca="1">IF(B210="","",股指期货基差分析!$N$11)</f>
        <v>-71.408500000000458</v>
      </c>
      <c r="H210" s="5">
        <f ca="1">IF(B210="","",股指期货基差分析!$L$11)</f>
        <v>15.737900000000081</v>
      </c>
      <c r="I210" s="9">
        <f ca="1">IF(B210="","",股指期货基差分析!$D$11)</f>
        <v>-19.923978315132629</v>
      </c>
      <c r="L210" s="43"/>
      <c r="Q210" s="11"/>
    </row>
    <row r="211" spans="2:17" ht="15" customHeight="1" x14ac:dyDescent="0.2">
      <c r="B211" s="8">
        <v>43782</v>
      </c>
      <c r="C211" s="6">
        <f>IF(B211="","",[1]!s_dq_close(股指期货基差分析!$E$5,$B211))</f>
        <v>4875.5429999999997</v>
      </c>
      <c r="D211" s="6">
        <f>IF(B211="","",[1]!s_dq_close(股指期货基差分析!$E$6,$B211))</f>
        <v>4872.2</v>
      </c>
      <c r="E211" s="6">
        <f ca="1">RANK(F211,F:F)+COUNTIF(F$2:F211,F211)-1</f>
        <v>381</v>
      </c>
      <c r="F211" s="6">
        <f t="shared" si="4"/>
        <v>-3.3429999999998472</v>
      </c>
      <c r="G211" s="6">
        <f ca="1">IF(B211="","",股指期货基差分析!$N$11)</f>
        <v>-71.408500000000458</v>
      </c>
      <c r="H211" s="6">
        <f ca="1">IF(B211="","",股指期货基差分析!$L$11)</f>
        <v>15.737900000000081</v>
      </c>
      <c r="I211" s="10">
        <f ca="1">IF(B211="","",股指期货基差分析!$D$11)</f>
        <v>-19.923978315132629</v>
      </c>
      <c r="L211" s="43"/>
      <c r="Q211" s="11"/>
    </row>
    <row r="212" spans="2:17" ht="15" customHeight="1" x14ac:dyDescent="0.2">
      <c r="B212" s="7">
        <v>43783</v>
      </c>
      <c r="C212" s="5">
        <f>IF(B212="","",[1]!s_dq_close(股指期货基差分析!$E$5,$B212))</f>
        <v>4912.1075000000001</v>
      </c>
      <c r="D212" s="5">
        <f>IF(B212="","",[1]!s_dq_close(股指期货基差分析!$E$6,$B212))</f>
        <v>4903</v>
      </c>
      <c r="E212" s="5">
        <f ca="1">RANK(F212,F:F)+COUNTIF(F$2:F212,F212)-1</f>
        <v>533</v>
      </c>
      <c r="F212" s="5">
        <f t="shared" si="4"/>
        <v>-9.1075000000000728</v>
      </c>
      <c r="G212" s="5">
        <f ca="1">IF(B212="","",股指期货基差分析!$N$11)</f>
        <v>-71.408500000000458</v>
      </c>
      <c r="H212" s="5">
        <f ca="1">IF(B212="","",股指期货基差分析!$L$11)</f>
        <v>15.737900000000081</v>
      </c>
      <c r="I212" s="9">
        <f ca="1">IF(B212="","",股指期货基差分析!$D$11)</f>
        <v>-19.923978315132629</v>
      </c>
      <c r="L212" s="43"/>
      <c r="Q212" s="11"/>
    </row>
    <row r="213" spans="2:17" ht="15" customHeight="1" x14ac:dyDescent="0.2">
      <c r="B213" s="8">
        <v>43784</v>
      </c>
      <c r="C213" s="6">
        <f>IF(B213="","",[1]!s_dq_close(股指期货基差分析!$E$5,$B213))</f>
        <v>4868.4367000000002</v>
      </c>
      <c r="D213" s="6">
        <f>IF(B213="","",[1]!s_dq_close(股指期货基差分析!$E$6,$B213))</f>
        <v>4898.3999999999996</v>
      </c>
      <c r="E213" s="6">
        <f ca="1">RANK(F213,F:F)+COUNTIF(F$2:F213,F213)-1</f>
        <v>17</v>
      </c>
      <c r="F213" s="6">
        <f t="shared" si="4"/>
        <v>29.963299999999435</v>
      </c>
      <c r="G213" s="6">
        <f ca="1">IF(B213="","",股指期货基差分析!$N$11)</f>
        <v>-71.408500000000458</v>
      </c>
      <c r="H213" s="6">
        <f ca="1">IF(B213="","",股指期货基差分析!$L$11)</f>
        <v>15.737900000000081</v>
      </c>
      <c r="I213" s="10">
        <f ca="1">IF(B213="","",股指期货基差分析!$D$11)</f>
        <v>-19.923978315132629</v>
      </c>
      <c r="L213" s="43"/>
      <c r="Q213" s="11"/>
    </row>
    <row r="214" spans="2:17" ht="15" customHeight="1" x14ac:dyDescent="0.2">
      <c r="B214" s="7">
        <v>43787</v>
      </c>
      <c r="C214" s="5">
        <f>IF(B214="","",[1]!s_dq_close(股指期货基差分析!$E$5,$B214))</f>
        <v>4892.4609</v>
      </c>
      <c r="D214" s="5">
        <f>IF(B214="","",[1]!s_dq_close(股指期货基差分析!$E$6,$B214))</f>
        <v>4855</v>
      </c>
      <c r="E214" s="5">
        <f ca="1">RANK(F214,F:F)+COUNTIF(F$2:F214,F214)-1</f>
        <v>981</v>
      </c>
      <c r="F214" s="5">
        <f t="shared" si="4"/>
        <v>-37.460900000000038</v>
      </c>
      <c r="G214" s="5">
        <f ca="1">IF(B214="","",股指期货基差分析!$N$11)</f>
        <v>-71.408500000000458</v>
      </c>
      <c r="H214" s="5">
        <f ca="1">IF(B214="","",股指期货基差分析!$L$11)</f>
        <v>15.737900000000081</v>
      </c>
      <c r="I214" s="9">
        <f ca="1">IF(B214="","",股指期货基差分析!$D$11)</f>
        <v>-19.923978315132629</v>
      </c>
      <c r="L214" s="43"/>
      <c r="Q214" s="11"/>
    </row>
    <row r="215" spans="2:17" ht="15" customHeight="1" x14ac:dyDescent="0.2">
      <c r="B215" s="8">
        <v>43788</v>
      </c>
      <c r="C215" s="6">
        <f>IF(B215="","",[1]!s_dq_close(股指期货基差分析!$E$5,$B215))</f>
        <v>4975.1127999999999</v>
      </c>
      <c r="D215" s="6">
        <f>IF(B215="","",[1]!s_dq_close(股指期货基差分析!$E$6,$B215))</f>
        <v>4943.6000000000004</v>
      </c>
      <c r="E215" s="6">
        <f ca="1">RANK(F215,F:F)+COUNTIF(F$2:F215,F215)-1</f>
        <v>910</v>
      </c>
      <c r="F215" s="6">
        <f t="shared" si="4"/>
        <v>-31.512799999999515</v>
      </c>
      <c r="G215" s="6">
        <f ca="1">IF(B215="","",股指期货基差分析!$N$11)</f>
        <v>-71.408500000000458</v>
      </c>
      <c r="H215" s="6">
        <f ca="1">IF(B215="","",股指期货基差分析!$L$11)</f>
        <v>15.737900000000081</v>
      </c>
      <c r="I215" s="10">
        <f ca="1">IF(B215="","",股指期货基差分析!$D$11)</f>
        <v>-19.923978315132629</v>
      </c>
      <c r="L215" s="43"/>
      <c r="Q215" s="11"/>
    </row>
    <row r="216" spans="2:17" ht="15" customHeight="1" x14ac:dyDescent="0.2">
      <c r="B216" s="7">
        <v>43789</v>
      </c>
      <c r="C216" s="5">
        <f>IF(B216="","",[1]!s_dq_close(股指期货基差分析!$E$5,$B216))</f>
        <v>4946.2757000000001</v>
      </c>
      <c r="D216" s="5">
        <f>IF(B216="","",[1]!s_dq_close(股指期货基差分析!$E$6,$B216))</f>
        <v>4900.3999999999996</v>
      </c>
      <c r="E216" s="5">
        <f ca="1">RANK(F216,F:F)+COUNTIF(F$2:F216,F216)-1</f>
        <v>1070</v>
      </c>
      <c r="F216" s="5">
        <f t="shared" si="4"/>
        <v>-45.875700000000506</v>
      </c>
      <c r="G216" s="5">
        <f ca="1">IF(B216="","",股指期货基差分析!$N$11)</f>
        <v>-71.408500000000458</v>
      </c>
      <c r="H216" s="5">
        <f ca="1">IF(B216="","",股指期货基差分析!$L$11)</f>
        <v>15.737900000000081</v>
      </c>
      <c r="I216" s="9">
        <f ca="1">IF(B216="","",股指期货基差分析!$D$11)</f>
        <v>-19.923978315132629</v>
      </c>
      <c r="L216" s="43"/>
      <c r="Q216" s="11"/>
    </row>
    <row r="217" spans="2:17" ht="15" customHeight="1" x14ac:dyDescent="0.2">
      <c r="B217" s="8">
        <v>43790</v>
      </c>
      <c r="C217" s="6">
        <f>IF(B217="","",[1]!s_dq_close(股指期货基差分析!$E$5,$B217))</f>
        <v>4945.7187999999996</v>
      </c>
      <c r="D217" s="6">
        <f>IF(B217="","",[1]!s_dq_close(股指期货基差分析!$E$6,$B217))</f>
        <v>4917</v>
      </c>
      <c r="E217" s="6">
        <f ca="1">RANK(F217,F:F)+COUNTIF(F$2:F217,F217)-1</f>
        <v>871</v>
      </c>
      <c r="F217" s="6">
        <f t="shared" si="4"/>
        <v>-28.718799999999646</v>
      </c>
      <c r="G217" s="6">
        <f ca="1">IF(B217="","",股指期货基差分析!$N$11)</f>
        <v>-71.408500000000458</v>
      </c>
      <c r="H217" s="6">
        <f ca="1">IF(B217="","",股指期货基差分析!$L$11)</f>
        <v>15.737900000000081</v>
      </c>
      <c r="I217" s="10">
        <f ca="1">IF(B217="","",股指期货基差分析!$D$11)</f>
        <v>-19.923978315132629</v>
      </c>
      <c r="L217" s="43"/>
      <c r="Q217" s="11"/>
    </row>
    <row r="218" spans="2:17" ht="15" customHeight="1" x14ac:dyDescent="0.2">
      <c r="B218" s="7">
        <v>43791</v>
      </c>
      <c r="C218" s="5">
        <f>IF(B218="","",[1]!s_dq_close(股指期货基差分析!$E$5,$B218))</f>
        <v>4904.0828000000001</v>
      </c>
      <c r="D218" s="5">
        <f>IF(B218="","",[1]!s_dq_close(股指期货基差分析!$E$6,$B218))</f>
        <v>4853</v>
      </c>
      <c r="E218" s="5">
        <f ca="1">RANK(F218,F:F)+COUNTIF(F$2:F218,F218)-1</f>
        <v>1107</v>
      </c>
      <c r="F218" s="5">
        <f t="shared" si="4"/>
        <v>-51.082800000000134</v>
      </c>
      <c r="G218" s="5">
        <f ca="1">IF(B218="","",股指期货基差分析!$N$11)</f>
        <v>-71.408500000000458</v>
      </c>
      <c r="H218" s="5">
        <f ca="1">IF(B218="","",股指期货基差分析!$L$11)</f>
        <v>15.737900000000081</v>
      </c>
      <c r="I218" s="9">
        <f ca="1">IF(B218="","",股指期货基差分析!$D$11)</f>
        <v>-19.923978315132629</v>
      </c>
      <c r="L218" s="43"/>
      <c r="Q218" s="11"/>
    </row>
    <row r="219" spans="2:17" ht="15" customHeight="1" x14ac:dyDescent="0.2">
      <c r="B219" s="8">
        <v>43794</v>
      </c>
      <c r="C219" s="6">
        <f>IF(B219="","",[1]!s_dq_close(股指期货基差分析!$E$5,$B219))</f>
        <v>4901.5020999999997</v>
      </c>
      <c r="D219" s="6">
        <f>IF(B219="","",[1]!s_dq_close(股指期货基差分析!$E$6,$B219))</f>
        <v>4874.3999999999996</v>
      </c>
      <c r="E219" s="6">
        <f ca="1">RANK(F219,F:F)+COUNTIF(F$2:F219,F219)-1</f>
        <v>846</v>
      </c>
      <c r="F219" s="6">
        <f t="shared" si="4"/>
        <v>-27.102100000000064</v>
      </c>
      <c r="G219" s="6">
        <f ca="1">IF(B219="","",股指期货基差分析!$N$11)</f>
        <v>-71.408500000000458</v>
      </c>
      <c r="H219" s="6">
        <f ca="1">IF(B219="","",股指期货基差分析!$L$11)</f>
        <v>15.737900000000081</v>
      </c>
      <c r="I219" s="10">
        <f ca="1">IF(B219="","",股指期货基差分析!$D$11)</f>
        <v>-19.923978315132629</v>
      </c>
      <c r="L219" s="43"/>
      <c r="Q219" s="11"/>
    </row>
    <row r="220" spans="2:17" ht="15" customHeight="1" x14ac:dyDescent="0.2">
      <c r="B220" s="7">
        <v>43795</v>
      </c>
      <c r="C220" s="5">
        <f>IF(B220="","",[1]!s_dq_close(股指期货基差分析!$E$5,$B220))</f>
        <v>4882.1624000000002</v>
      </c>
      <c r="D220" s="5">
        <f>IF(B220="","",[1]!s_dq_close(股指期货基差分析!$E$6,$B220))</f>
        <v>4853.2</v>
      </c>
      <c r="E220" s="5">
        <f ca="1">RANK(F220,F:F)+COUNTIF(F$2:F220,F220)-1</f>
        <v>875</v>
      </c>
      <c r="F220" s="5">
        <f t="shared" si="4"/>
        <v>-28.962400000000343</v>
      </c>
      <c r="G220" s="5">
        <f ca="1">IF(B220="","",股指期货基差分析!$N$11)</f>
        <v>-71.408500000000458</v>
      </c>
      <c r="H220" s="5">
        <f ca="1">IF(B220="","",股指期货基差分析!$L$11)</f>
        <v>15.737900000000081</v>
      </c>
      <c r="I220" s="9">
        <f ca="1">IF(B220="","",股指期货基差分析!$D$11)</f>
        <v>-19.923978315132629</v>
      </c>
      <c r="L220" s="43"/>
      <c r="Q220" s="11"/>
    </row>
    <row r="221" spans="2:17" ht="15" customHeight="1" x14ac:dyDescent="0.2">
      <c r="B221" s="8">
        <v>43796</v>
      </c>
      <c r="C221" s="6">
        <f>IF(B221="","",[1]!s_dq_close(股指期货基差分析!$E$5,$B221))</f>
        <v>4904.2568000000001</v>
      </c>
      <c r="D221" s="6">
        <f>IF(B221="","",[1]!s_dq_close(股指期货基差分析!$E$6,$B221))</f>
        <v>4880.2</v>
      </c>
      <c r="E221" s="6">
        <f ca="1">RANK(F221,F:F)+COUNTIF(F$2:F221,F221)-1</f>
        <v>802</v>
      </c>
      <c r="F221" s="6">
        <f t="shared" si="4"/>
        <v>-24.056800000000294</v>
      </c>
      <c r="G221" s="6">
        <f ca="1">IF(B221="","",股指期货基差分析!$N$11)</f>
        <v>-71.408500000000458</v>
      </c>
      <c r="H221" s="6">
        <f ca="1">IF(B221="","",股指期货基差分析!$L$11)</f>
        <v>15.737900000000081</v>
      </c>
      <c r="I221" s="10">
        <f ca="1">IF(B221="","",股指期货基差分析!$D$11)</f>
        <v>-19.923978315132629</v>
      </c>
      <c r="L221" s="43"/>
      <c r="Q221" s="11"/>
    </row>
    <row r="222" spans="2:17" ht="15" customHeight="1" x14ac:dyDescent="0.2">
      <c r="B222" s="7">
        <v>43797</v>
      </c>
      <c r="C222" s="5">
        <f>IF(B222="","",[1]!s_dq_close(股指期货基差分析!$E$5,$B222))</f>
        <v>4889.2595000000001</v>
      </c>
      <c r="D222" s="5">
        <f>IF(B222="","",[1]!s_dq_close(股指期货基差分析!$E$6,$B222))</f>
        <v>4875.8</v>
      </c>
      <c r="E222" s="5">
        <f ca="1">RANK(F222,F:F)+COUNTIF(F$2:F222,F222)-1</f>
        <v>625</v>
      </c>
      <c r="F222" s="5">
        <f t="shared" si="4"/>
        <v>-13.459499999999935</v>
      </c>
      <c r="G222" s="5">
        <f ca="1">IF(B222="","",股指期货基差分析!$N$11)</f>
        <v>-71.408500000000458</v>
      </c>
      <c r="H222" s="5">
        <f ca="1">IF(B222="","",股指期货基差分析!$L$11)</f>
        <v>15.737900000000081</v>
      </c>
      <c r="I222" s="9">
        <f ca="1">IF(B222="","",股指期货基差分析!$D$11)</f>
        <v>-19.923978315132629</v>
      </c>
      <c r="L222" s="43"/>
      <c r="Q222" s="11"/>
    </row>
    <row r="223" spans="2:17" ht="15" customHeight="1" x14ac:dyDescent="0.2">
      <c r="B223" s="8">
        <v>43798</v>
      </c>
      <c r="C223" s="6">
        <f>IF(B223="","",[1]!s_dq_close(股指期货基差分析!$E$5,$B223))</f>
        <v>4894.9416000000001</v>
      </c>
      <c r="D223" s="6">
        <f>IF(B223="","",[1]!s_dq_close(股指期货基差分析!$E$6,$B223))</f>
        <v>4881</v>
      </c>
      <c r="E223" s="6">
        <f ca="1">RANK(F223,F:F)+COUNTIF(F$2:F223,F223)-1</f>
        <v>637</v>
      </c>
      <c r="F223" s="6">
        <f t="shared" si="4"/>
        <v>-13.941600000000108</v>
      </c>
      <c r="G223" s="6">
        <f ca="1">IF(B223="","",股指期货基差分析!$N$11)</f>
        <v>-71.408500000000458</v>
      </c>
      <c r="H223" s="6">
        <f ca="1">IF(B223="","",股指期货基差分析!$L$11)</f>
        <v>15.737900000000081</v>
      </c>
      <c r="I223" s="10">
        <f ca="1">IF(B223="","",股指期货基差分析!$D$11)</f>
        <v>-19.923978315132629</v>
      </c>
      <c r="L223" s="43"/>
      <c r="Q223" s="11"/>
    </row>
    <row r="224" spans="2:17" ht="15" customHeight="1" x14ac:dyDescent="0.2">
      <c r="B224" s="7">
        <v>43801</v>
      </c>
      <c r="C224" s="5">
        <f>IF(B224="","",[1]!s_dq_close(股指期货基差分析!$E$5,$B224))</f>
        <v>4905.4209000000001</v>
      </c>
      <c r="D224" s="5">
        <f>IF(B224="","",[1]!s_dq_close(股指期货基差分析!$E$6,$B224))</f>
        <v>4896</v>
      </c>
      <c r="E224" s="5">
        <f ca="1">RANK(F224,F:F)+COUNTIF(F$2:F224,F224)-1</f>
        <v>542</v>
      </c>
      <c r="F224" s="5">
        <f t="shared" si="4"/>
        <v>-9.4209000000000742</v>
      </c>
      <c r="G224" s="5">
        <f ca="1">IF(B224="","",股指期货基差分析!$N$11)</f>
        <v>-71.408500000000458</v>
      </c>
      <c r="H224" s="5">
        <f ca="1">IF(B224="","",股指期货基差分析!$L$11)</f>
        <v>15.737900000000081</v>
      </c>
      <c r="I224" s="9">
        <f ca="1">IF(B224="","",股指期货基差分析!$D$11)</f>
        <v>-19.923978315132629</v>
      </c>
      <c r="L224" s="43"/>
      <c r="Q224" s="11"/>
    </row>
    <row r="225" spans="2:17" ht="15" customHeight="1" x14ac:dyDescent="0.2">
      <c r="B225" s="8">
        <v>43802</v>
      </c>
      <c r="C225" s="6">
        <f>IF(B225="","",[1]!s_dq_close(股指期货基差分析!$E$5,$B225))</f>
        <v>4926.4548000000004</v>
      </c>
      <c r="D225" s="6">
        <f>IF(B225="","",[1]!s_dq_close(股指期货基差分析!$E$6,$B225))</f>
        <v>4924.8</v>
      </c>
      <c r="E225" s="6">
        <f ca="1">RANK(F225,F:F)+COUNTIF(F$2:F225,F225)-1</f>
        <v>337</v>
      </c>
      <c r="F225" s="6">
        <f t="shared" si="4"/>
        <v>-1.6548000000002503</v>
      </c>
      <c r="G225" s="6">
        <f ca="1">IF(B225="","",股指期货基差分析!$N$11)</f>
        <v>-71.408500000000458</v>
      </c>
      <c r="H225" s="6">
        <f ca="1">IF(B225="","",股指期货基差分析!$L$11)</f>
        <v>15.737900000000081</v>
      </c>
      <c r="I225" s="10">
        <f ca="1">IF(B225="","",股指期货基差分析!$D$11)</f>
        <v>-19.923978315132629</v>
      </c>
      <c r="L225" s="43"/>
      <c r="Q225" s="11"/>
    </row>
    <row r="226" spans="2:17" ht="15" customHeight="1" x14ac:dyDescent="0.2">
      <c r="B226" s="7">
        <v>43803</v>
      </c>
      <c r="C226" s="5">
        <f>IF(B226="","",[1]!s_dq_close(股指期货基差分析!$E$5,$B226))</f>
        <v>4920.6682000000001</v>
      </c>
      <c r="D226" s="5">
        <f>IF(B226="","",[1]!s_dq_close(股指期货基差分析!$E$6,$B226))</f>
        <v>4911.8</v>
      </c>
      <c r="E226" s="5">
        <f ca="1">RANK(F226,F:F)+COUNTIF(F$2:F226,F226)-1</f>
        <v>525</v>
      </c>
      <c r="F226" s="5">
        <f t="shared" si="4"/>
        <v>-8.868199999999888</v>
      </c>
      <c r="G226" s="5">
        <f ca="1">IF(B226="","",股指期货基差分析!$N$11)</f>
        <v>-71.408500000000458</v>
      </c>
      <c r="H226" s="5">
        <f ca="1">IF(B226="","",股指期货基差分析!$L$11)</f>
        <v>15.737900000000081</v>
      </c>
      <c r="I226" s="9">
        <f ca="1">IF(B226="","",股指期货基差分析!$D$11)</f>
        <v>-19.923978315132629</v>
      </c>
      <c r="L226" s="43"/>
      <c r="Q226" s="11"/>
    </row>
    <row r="227" spans="2:17" ht="15" customHeight="1" x14ac:dyDescent="0.2">
      <c r="B227" s="8">
        <v>43804</v>
      </c>
      <c r="C227" s="6">
        <f>IF(B227="","",[1]!s_dq_close(股指期货基差分析!$E$5,$B227))</f>
        <v>4967.6021000000001</v>
      </c>
      <c r="D227" s="6">
        <f>IF(B227="","",[1]!s_dq_close(股指期货基差分析!$E$6,$B227))</f>
        <v>4960.2</v>
      </c>
      <c r="E227" s="6">
        <f ca="1">RANK(F227,F:F)+COUNTIF(F$2:F227,F227)-1</f>
        <v>483</v>
      </c>
      <c r="F227" s="6">
        <f t="shared" si="4"/>
        <v>-7.4021000000002459</v>
      </c>
      <c r="G227" s="6">
        <f ca="1">IF(B227="","",股指期货基差分析!$N$11)</f>
        <v>-71.408500000000458</v>
      </c>
      <c r="H227" s="6">
        <f ca="1">IF(B227="","",股指期货基差分析!$L$11)</f>
        <v>15.737900000000081</v>
      </c>
      <c r="I227" s="10">
        <f ca="1">IF(B227="","",股指期货基差分析!$D$11)</f>
        <v>-19.923978315132629</v>
      </c>
      <c r="L227" s="43"/>
      <c r="Q227" s="11"/>
    </row>
    <row r="228" spans="2:17" ht="15" customHeight="1" x14ac:dyDescent="0.2">
      <c r="B228" s="7">
        <v>43805</v>
      </c>
      <c r="C228" s="5">
        <f>IF(B228="","",[1]!s_dq_close(股指期货基差分析!$E$5,$B228))</f>
        <v>5010.5104000000001</v>
      </c>
      <c r="D228" s="5">
        <f>IF(B228="","",[1]!s_dq_close(股指期货基差分析!$E$6,$B228))</f>
        <v>5015.6000000000004</v>
      </c>
      <c r="E228" s="5">
        <f ca="1">RANK(F228,F:F)+COUNTIF(F$2:F228,F228)-1</f>
        <v>186</v>
      </c>
      <c r="F228" s="5">
        <f t="shared" si="4"/>
        <v>5.0896000000002459</v>
      </c>
      <c r="G228" s="5">
        <f ca="1">IF(B228="","",股指期货基差分析!$N$11)</f>
        <v>-71.408500000000458</v>
      </c>
      <c r="H228" s="5">
        <f ca="1">IF(B228="","",股指期货基差分析!$L$11)</f>
        <v>15.737900000000081</v>
      </c>
      <c r="I228" s="9">
        <f ca="1">IF(B228="","",股指期货基差分析!$D$11)</f>
        <v>-19.923978315132629</v>
      </c>
      <c r="L228" s="43"/>
      <c r="Q228" s="11"/>
    </row>
    <row r="229" spans="2:17" ht="15" customHeight="1" x14ac:dyDescent="0.2">
      <c r="B229" s="8">
        <v>43808</v>
      </c>
      <c r="C229" s="6">
        <f>IF(B229="","",[1]!s_dq_close(股指期货基差分析!$E$5,$B229))</f>
        <v>5024.6040000000003</v>
      </c>
      <c r="D229" s="6">
        <f>IF(B229="","",[1]!s_dq_close(股指期货基差分析!$E$6,$B229))</f>
        <v>5025.6000000000004</v>
      </c>
      <c r="E229" s="6">
        <f ca="1">RANK(F229,F:F)+COUNTIF(F$2:F229,F229)-1</f>
        <v>269</v>
      </c>
      <c r="F229" s="6">
        <f t="shared" si="4"/>
        <v>0.99600000000009459</v>
      </c>
      <c r="G229" s="6">
        <f ca="1">IF(B229="","",股指期货基差分析!$N$11)</f>
        <v>-71.408500000000458</v>
      </c>
      <c r="H229" s="6">
        <f ca="1">IF(B229="","",股指期货基差分析!$L$11)</f>
        <v>15.737900000000081</v>
      </c>
      <c r="I229" s="10">
        <f ca="1">IF(B229="","",股指期货基差分析!$D$11)</f>
        <v>-19.923978315132629</v>
      </c>
      <c r="L229" s="43"/>
      <c r="Q229" s="11"/>
    </row>
    <row r="230" spans="2:17" ht="15" customHeight="1" x14ac:dyDescent="0.2">
      <c r="B230" s="7">
        <v>43809</v>
      </c>
      <c r="C230" s="5">
        <f>IF(B230="","",[1]!s_dq_close(股指期货基差分析!$E$5,$B230))</f>
        <v>5049.0514000000003</v>
      </c>
      <c r="D230" s="5">
        <f>IF(B230="","",[1]!s_dq_close(股指期货基差分析!$E$6,$B230))</f>
        <v>5050.2</v>
      </c>
      <c r="E230" s="5">
        <f ca="1">RANK(F230,F:F)+COUNTIF(F$2:F230,F230)-1</f>
        <v>267</v>
      </c>
      <c r="F230" s="5">
        <f t="shared" si="4"/>
        <v>1.1485999999995329</v>
      </c>
      <c r="G230" s="5">
        <f ca="1">IF(B230="","",股指期货基差分析!$N$11)</f>
        <v>-71.408500000000458</v>
      </c>
      <c r="H230" s="5">
        <f ca="1">IF(B230="","",股指期货基差分析!$L$11)</f>
        <v>15.737900000000081</v>
      </c>
      <c r="I230" s="9">
        <f ca="1">IF(B230="","",股指期货基差分析!$D$11)</f>
        <v>-19.923978315132629</v>
      </c>
      <c r="L230" s="43"/>
      <c r="Q230" s="11"/>
    </row>
    <row r="231" spans="2:17" ht="15" customHeight="1" x14ac:dyDescent="0.2">
      <c r="B231" s="8">
        <v>43810</v>
      </c>
      <c r="C231" s="6">
        <f>IF(B231="","",[1]!s_dq_close(股指期货基差分析!$E$5,$B231))</f>
        <v>5027.2784000000001</v>
      </c>
      <c r="D231" s="6">
        <f>IF(B231="","",[1]!s_dq_close(股指期货基差分析!$E$6,$B231))</f>
        <v>5031.6000000000004</v>
      </c>
      <c r="E231" s="6">
        <f ca="1">RANK(F231,F:F)+COUNTIF(F$2:F231,F231)-1</f>
        <v>195</v>
      </c>
      <c r="F231" s="6">
        <f t="shared" si="4"/>
        <v>4.3216000000002168</v>
      </c>
      <c r="G231" s="6">
        <f ca="1">IF(B231="","",股指期货基差分析!$N$11)</f>
        <v>-71.408500000000458</v>
      </c>
      <c r="H231" s="6">
        <f ca="1">IF(B231="","",股指期货基差分析!$L$11)</f>
        <v>15.737900000000081</v>
      </c>
      <c r="I231" s="10">
        <f ca="1">IF(B231="","",股指期货基差分析!$D$11)</f>
        <v>-19.923978315132629</v>
      </c>
      <c r="L231" s="43"/>
      <c r="Q231" s="11"/>
    </row>
    <row r="232" spans="2:17" ht="15" customHeight="1" x14ac:dyDescent="0.2">
      <c r="B232" s="7">
        <v>43811</v>
      </c>
      <c r="C232" s="5">
        <f>IF(B232="","",[1]!s_dq_close(股指期货基差分析!$E$5,$B232))</f>
        <v>5012.0011000000004</v>
      </c>
      <c r="D232" s="5">
        <f>IF(B232="","",[1]!s_dq_close(股指期货基差分析!$E$6,$B232))</f>
        <v>5017.8</v>
      </c>
      <c r="E232" s="5">
        <f ca="1">RANK(F232,F:F)+COUNTIF(F$2:F232,F232)-1</f>
        <v>174</v>
      </c>
      <c r="F232" s="5">
        <f t="shared" si="4"/>
        <v>5.7988999999997759</v>
      </c>
      <c r="G232" s="5">
        <f ca="1">IF(B232="","",股指期货基差分析!$N$11)</f>
        <v>-71.408500000000458</v>
      </c>
      <c r="H232" s="5">
        <f ca="1">IF(B232="","",股指期货基差分析!$L$11)</f>
        <v>15.737900000000081</v>
      </c>
      <c r="I232" s="9">
        <f ca="1">IF(B232="","",股指期货基差分析!$D$11)</f>
        <v>-19.923978315132629</v>
      </c>
      <c r="L232" s="43"/>
      <c r="Q232" s="11"/>
    </row>
    <row r="233" spans="2:17" ht="15" customHeight="1" x14ac:dyDescent="0.2">
      <c r="B233" s="8">
        <v>43812</v>
      </c>
      <c r="C233" s="6">
        <f>IF(B233="","",[1]!s_dq_close(股指期货基差分析!$E$5,$B233))</f>
        <v>5073.6858000000002</v>
      </c>
      <c r="D233" s="6">
        <f>IF(B233="","",[1]!s_dq_close(股指期货基差分析!$E$6,$B233))</f>
        <v>5093</v>
      </c>
      <c r="E233" s="6">
        <f ca="1">RANK(F233,F:F)+COUNTIF(F$2:F233,F233)-1</f>
        <v>46</v>
      </c>
      <c r="F233" s="6">
        <f t="shared" si="4"/>
        <v>19.314199999999801</v>
      </c>
      <c r="G233" s="6">
        <f ca="1">IF(B233="","",股指期货基差分析!$N$11)</f>
        <v>-71.408500000000458</v>
      </c>
      <c r="H233" s="6">
        <f ca="1">IF(B233="","",股指期货基差分析!$L$11)</f>
        <v>15.737900000000081</v>
      </c>
      <c r="I233" s="10">
        <f ca="1">IF(B233="","",股指期货基差分析!$D$11)</f>
        <v>-19.923978315132629</v>
      </c>
      <c r="L233" s="43"/>
      <c r="Q233" s="11"/>
    </row>
    <row r="234" spans="2:17" ht="15" customHeight="1" x14ac:dyDescent="0.2">
      <c r="B234" s="7">
        <v>43815</v>
      </c>
      <c r="C234" s="5">
        <f>IF(B234="","",[1]!s_dq_close(股指期货基差分析!$E$5,$B234))</f>
        <v>5166.0391</v>
      </c>
      <c r="D234" s="5">
        <f>IF(B234="","",[1]!s_dq_close(股指期货基差分析!$E$6,$B234))</f>
        <v>5164.3999999999996</v>
      </c>
      <c r="E234" s="5">
        <f ca="1">RANK(F234,F:F)+COUNTIF(F$2:F234,F234)-1</f>
        <v>335</v>
      </c>
      <c r="F234" s="5">
        <f t="shared" si="4"/>
        <v>-1.639100000000326</v>
      </c>
      <c r="G234" s="5">
        <f ca="1">IF(B234="","",股指期货基差分析!$N$11)</f>
        <v>-71.408500000000458</v>
      </c>
      <c r="H234" s="5">
        <f ca="1">IF(B234="","",股指期货基差分析!$L$11)</f>
        <v>15.737900000000081</v>
      </c>
      <c r="I234" s="9">
        <f ca="1">IF(B234="","",股指期货基差分析!$D$11)</f>
        <v>-19.923978315132629</v>
      </c>
      <c r="L234" s="43"/>
      <c r="Q234" s="11"/>
    </row>
    <row r="235" spans="2:17" ht="15" customHeight="1" x14ac:dyDescent="0.2">
      <c r="B235" s="8">
        <v>43816</v>
      </c>
      <c r="C235" s="6">
        <f>IF(B235="","",[1]!s_dq_close(股指期货基差分析!$E$5,$B235))</f>
        <v>5236.0623999999998</v>
      </c>
      <c r="D235" s="6">
        <f>IF(B235="","",[1]!s_dq_close(股指期货基差分析!$E$6,$B235))</f>
        <v>5245</v>
      </c>
      <c r="E235" s="6">
        <f ca="1">RANK(F235,F:F)+COUNTIF(F$2:F235,F235)-1</f>
        <v>121</v>
      </c>
      <c r="F235" s="6">
        <f t="shared" si="4"/>
        <v>8.9376000000002023</v>
      </c>
      <c r="G235" s="6">
        <f ca="1">IF(B235="","",股指期货基差分析!$N$11)</f>
        <v>-71.408500000000458</v>
      </c>
      <c r="H235" s="6">
        <f ca="1">IF(B235="","",股指期货基差分析!$L$11)</f>
        <v>15.737900000000081</v>
      </c>
      <c r="I235" s="10">
        <f ca="1">IF(B235="","",股指期货基差分析!$D$11)</f>
        <v>-19.923978315132629</v>
      </c>
      <c r="L235" s="43"/>
      <c r="Q235" s="11"/>
    </row>
    <row r="236" spans="2:17" ht="15" customHeight="1" x14ac:dyDescent="0.2">
      <c r="B236" s="7">
        <v>43817</v>
      </c>
      <c r="C236" s="5">
        <f>IF(B236="","",[1]!s_dq_close(股指期货基差分析!$E$5,$B236))</f>
        <v>5235.1247999999996</v>
      </c>
      <c r="D236" s="5">
        <f>IF(B236="","",[1]!s_dq_close(股指期货基差分析!$E$6,$B236))</f>
        <v>5244.4</v>
      </c>
      <c r="E236" s="5">
        <f ca="1">RANK(F236,F:F)+COUNTIF(F$2:F236,F236)-1</f>
        <v>117</v>
      </c>
      <c r="F236" s="5">
        <f t="shared" si="4"/>
        <v>9.2752000000000407</v>
      </c>
      <c r="G236" s="5">
        <f ca="1">IF(B236="","",股指期货基差分析!$N$11)</f>
        <v>-71.408500000000458</v>
      </c>
      <c r="H236" s="5">
        <f ca="1">IF(B236="","",股指期货基差分析!$L$11)</f>
        <v>15.737900000000081</v>
      </c>
      <c r="I236" s="9">
        <f ca="1">IF(B236="","",股指期货基差分析!$D$11)</f>
        <v>-19.923978315132629</v>
      </c>
      <c r="L236" s="43"/>
      <c r="Q236" s="11"/>
    </row>
    <row r="237" spans="2:17" ht="15" customHeight="1" x14ac:dyDescent="0.2">
      <c r="B237" s="8">
        <v>43818</v>
      </c>
      <c r="C237" s="6">
        <f>IF(B237="","",[1]!s_dq_close(股指期货基差分析!$E$5,$B237))</f>
        <v>5241.7376000000004</v>
      </c>
      <c r="D237" s="6">
        <f>IF(B237="","",[1]!s_dq_close(股指期货基差分析!$E$6,$B237))</f>
        <v>5250.6</v>
      </c>
      <c r="E237" s="6">
        <f ca="1">RANK(F237,F:F)+COUNTIF(F$2:F237,F237)-1</f>
        <v>123</v>
      </c>
      <c r="F237" s="6">
        <f t="shared" si="4"/>
        <v>8.8623999999999796</v>
      </c>
      <c r="G237" s="6">
        <f ca="1">IF(B237="","",股指期货基差分析!$N$11)</f>
        <v>-71.408500000000458</v>
      </c>
      <c r="H237" s="6">
        <f ca="1">IF(B237="","",股指期货基差分析!$L$11)</f>
        <v>15.737900000000081</v>
      </c>
      <c r="I237" s="10">
        <f ca="1">IF(B237="","",股指期货基差分析!$D$11)</f>
        <v>-19.923978315132629</v>
      </c>
      <c r="L237" s="43"/>
      <c r="Q237" s="11"/>
    </row>
    <row r="238" spans="2:17" ht="15" customHeight="1" x14ac:dyDescent="0.2">
      <c r="B238" s="7">
        <v>43819</v>
      </c>
      <c r="C238" s="5">
        <f>IF(B238="","",[1]!s_dq_close(股指期货基差分析!$E$5,$B238))</f>
        <v>5184.6751999999997</v>
      </c>
      <c r="D238" s="5">
        <f>IF(B238="","",[1]!s_dq_close(股指期货基差分析!$E$6,$B238))</f>
        <v>5209.3999999999996</v>
      </c>
      <c r="E238" s="5">
        <f ca="1">RANK(F238,F:F)+COUNTIF(F$2:F238,F238)-1</f>
        <v>25</v>
      </c>
      <c r="F238" s="5">
        <f t="shared" si="4"/>
        <v>24.724799999999959</v>
      </c>
      <c r="G238" s="5">
        <f ca="1">IF(B238="","",股指期货基差分析!$N$11)</f>
        <v>-71.408500000000458</v>
      </c>
      <c r="H238" s="5">
        <f ca="1">IF(B238="","",股指期货基差分析!$L$11)</f>
        <v>15.737900000000081</v>
      </c>
      <c r="I238" s="9">
        <f ca="1">IF(B238="","",股指期货基差分析!$D$11)</f>
        <v>-19.923978315132629</v>
      </c>
      <c r="L238" s="43"/>
      <c r="Q238" s="11"/>
    </row>
    <row r="239" spans="2:17" ht="15" customHeight="1" x14ac:dyDescent="0.2">
      <c r="B239" s="8">
        <v>43822</v>
      </c>
      <c r="C239" s="6">
        <f>IF(B239="","",[1]!s_dq_close(股指期货基差分析!$E$5,$B239))</f>
        <v>5084.3504999999996</v>
      </c>
      <c r="D239" s="6">
        <f>IF(B239="","",[1]!s_dq_close(股指期货基差分析!$E$6,$B239))</f>
        <v>5074.2</v>
      </c>
      <c r="E239" s="6">
        <f ca="1">RANK(F239,F:F)+COUNTIF(F$2:F239,F239)-1</f>
        <v>555</v>
      </c>
      <c r="F239" s="6">
        <f t="shared" si="4"/>
        <v>-10.150499999999738</v>
      </c>
      <c r="G239" s="6">
        <f ca="1">IF(B239="","",股指期货基差分析!$N$11)</f>
        <v>-71.408500000000458</v>
      </c>
      <c r="H239" s="6">
        <f ca="1">IF(B239="","",股指期货基差分析!$L$11)</f>
        <v>15.737900000000081</v>
      </c>
      <c r="I239" s="10">
        <f ca="1">IF(B239="","",股指期货基差分析!$D$11)</f>
        <v>-19.923978315132629</v>
      </c>
      <c r="L239" s="43"/>
      <c r="Q239" s="11"/>
    </row>
    <row r="240" spans="2:17" ht="15" customHeight="1" x14ac:dyDescent="0.2">
      <c r="B240" s="7">
        <v>43823</v>
      </c>
      <c r="C240" s="5">
        <f>IF(B240="","",[1]!s_dq_close(股指期货基差分析!$E$5,$B240))</f>
        <v>5162.0702000000001</v>
      </c>
      <c r="D240" s="5">
        <f>IF(B240="","",[1]!s_dq_close(股指期货基差分析!$E$6,$B240))</f>
        <v>5143.2</v>
      </c>
      <c r="E240" s="5">
        <f ca="1">RANK(F240,F:F)+COUNTIF(F$2:F240,F240)-1</f>
        <v>726</v>
      </c>
      <c r="F240" s="5">
        <f t="shared" si="4"/>
        <v>-18.870200000000295</v>
      </c>
      <c r="G240" s="5">
        <f ca="1">IF(B240="","",股指期货基差分析!$N$11)</f>
        <v>-71.408500000000458</v>
      </c>
      <c r="H240" s="5">
        <f ca="1">IF(B240="","",股指期货基差分析!$L$11)</f>
        <v>15.737900000000081</v>
      </c>
      <c r="I240" s="9">
        <f ca="1">IF(B240="","",股指期货基差分析!$D$11)</f>
        <v>-19.923978315132629</v>
      </c>
      <c r="L240" s="43"/>
      <c r="Q240" s="11"/>
    </row>
    <row r="241" spans="2:17" ht="15" customHeight="1" x14ac:dyDescent="0.2">
      <c r="B241" s="8">
        <v>43824</v>
      </c>
      <c r="C241" s="6">
        <f>IF(B241="","",[1]!s_dq_close(股指期货基差分析!$E$5,$B241))</f>
        <v>5183.0986000000003</v>
      </c>
      <c r="D241" s="6">
        <f>IF(B241="","",[1]!s_dq_close(股指期货基差分析!$E$6,$B241))</f>
        <v>5167.8</v>
      </c>
      <c r="E241" s="6">
        <f ca="1">RANK(F241,F:F)+COUNTIF(F$2:F241,F241)-1</f>
        <v>666</v>
      </c>
      <c r="F241" s="6">
        <f t="shared" si="4"/>
        <v>-15.298600000000079</v>
      </c>
      <c r="G241" s="6">
        <f ca="1">IF(B241="","",股指期货基差分析!$N$11)</f>
        <v>-71.408500000000458</v>
      </c>
      <c r="H241" s="6">
        <f ca="1">IF(B241="","",股指期货基差分析!$L$11)</f>
        <v>15.737900000000081</v>
      </c>
      <c r="I241" s="10">
        <f ca="1">IF(B241="","",股指期货基差分析!$D$11)</f>
        <v>-19.923978315132629</v>
      </c>
      <c r="L241" s="43"/>
      <c r="Q241" s="11"/>
    </row>
    <row r="242" spans="2:17" ht="15" customHeight="1" x14ac:dyDescent="0.2">
      <c r="B242" s="7">
        <v>43825</v>
      </c>
      <c r="C242" s="5">
        <f>IF(B242="","",[1]!s_dq_close(股指期货基差分析!$E$5,$B242))</f>
        <v>5219.1404000000002</v>
      </c>
      <c r="D242" s="5">
        <f>IF(B242="","",[1]!s_dq_close(股指期货基差分析!$E$6,$B242))</f>
        <v>5202.8</v>
      </c>
      <c r="E242" s="5">
        <f ca="1">RANK(F242,F:F)+COUNTIF(F$2:F242,F242)-1</f>
        <v>684</v>
      </c>
      <c r="F242" s="5">
        <f t="shared" si="4"/>
        <v>-16.340400000000045</v>
      </c>
      <c r="G242" s="5">
        <f ca="1">IF(B242="","",股指期货基差分析!$N$11)</f>
        <v>-71.408500000000458</v>
      </c>
      <c r="H242" s="5">
        <f ca="1">IF(B242="","",股指期货基差分析!$L$11)</f>
        <v>15.737900000000081</v>
      </c>
      <c r="I242" s="9">
        <f ca="1">IF(B242="","",股指期货基差分析!$D$11)</f>
        <v>-19.923978315132629</v>
      </c>
      <c r="L242" s="43"/>
      <c r="Q242" s="11"/>
    </row>
    <row r="243" spans="2:17" ht="15" customHeight="1" x14ac:dyDescent="0.2">
      <c r="B243" s="8">
        <v>43826</v>
      </c>
      <c r="C243" s="6">
        <f>IF(B243="","",[1]!s_dq_close(股指期货基差分析!$E$5,$B243))</f>
        <v>5179.1929</v>
      </c>
      <c r="D243" s="6">
        <f>IF(B243="","",[1]!s_dq_close(股指期货基差分析!$E$6,$B243))</f>
        <v>5163.6000000000004</v>
      </c>
      <c r="E243" s="6">
        <f ca="1">RANK(F243,F:F)+COUNTIF(F$2:F243,F243)-1</f>
        <v>672</v>
      </c>
      <c r="F243" s="6">
        <f t="shared" si="4"/>
        <v>-15.592899999999645</v>
      </c>
      <c r="G243" s="6">
        <f ca="1">IF(B243="","",股指期货基差分析!$N$11)</f>
        <v>-71.408500000000458</v>
      </c>
      <c r="H243" s="6">
        <f ca="1">IF(B243="","",股指期货基差分析!$L$11)</f>
        <v>15.737900000000081</v>
      </c>
      <c r="I243" s="10">
        <f ca="1">IF(B243="","",股指期货基差分析!$D$11)</f>
        <v>-19.923978315132629</v>
      </c>
      <c r="L243" s="43"/>
      <c r="Q243" s="11"/>
    </row>
    <row r="244" spans="2:17" ht="15" customHeight="1" x14ac:dyDescent="0.2">
      <c r="B244" s="7">
        <v>43829</v>
      </c>
      <c r="C244" s="5">
        <f>IF(B244="","",[1]!s_dq_close(股指期货基差分析!$E$5,$B244))</f>
        <v>5241.9382999999998</v>
      </c>
      <c r="D244" s="5">
        <f>IF(B244="","",[1]!s_dq_close(股指期货基差分析!$E$6,$B244))</f>
        <v>5245</v>
      </c>
      <c r="E244" s="5">
        <f ca="1">RANK(F244,F:F)+COUNTIF(F$2:F244,F244)-1</f>
        <v>232</v>
      </c>
      <c r="F244" s="5">
        <f t="shared" si="4"/>
        <v>3.0617000000002008</v>
      </c>
      <c r="G244" s="5">
        <f ca="1">IF(B244="","",股指期货基差分析!$N$11)</f>
        <v>-71.408500000000458</v>
      </c>
      <c r="H244" s="5">
        <f ca="1">IF(B244="","",股指期货基差分析!$L$11)</f>
        <v>15.737900000000081</v>
      </c>
      <c r="I244" s="9">
        <f ca="1">IF(B244="","",股指期货基差分析!$D$11)</f>
        <v>-19.923978315132629</v>
      </c>
      <c r="L244" s="43"/>
      <c r="Q244" s="11"/>
    </row>
    <row r="245" spans="2:17" ht="15" customHeight="1" x14ac:dyDescent="0.2">
      <c r="B245" s="8">
        <v>43830</v>
      </c>
      <c r="C245" s="6">
        <f>IF(B245="","",[1]!s_dq_close(股指期货基差分析!$E$5,$B245))</f>
        <v>5267.6621999999998</v>
      </c>
      <c r="D245" s="6">
        <f>IF(B245="","",[1]!s_dq_close(股指期货基差分析!$E$6,$B245))</f>
        <v>5269.8</v>
      </c>
      <c r="E245" s="6">
        <f ca="1">RANK(F245,F:F)+COUNTIF(F$2:F245,F245)-1</f>
        <v>257</v>
      </c>
      <c r="F245" s="6">
        <f t="shared" si="4"/>
        <v>2.1378000000004249</v>
      </c>
      <c r="G245" s="6">
        <f ca="1">IF(B245="","",股指期货基差分析!$N$11)</f>
        <v>-71.408500000000458</v>
      </c>
      <c r="H245" s="6">
        <f ca="1">IF(B245="","",股指期货基差分析!$L$11)</f>
        <v>15.737900000000081</v>
      </c>
      <c r="I245" s="10">
        <f ca="1">IF(B245="","",股指期货基差分析!$D$11)</f>
        <v>-19.923978315132629</v>
      </c>
      <c r="L245" s="43"/>
      <c r="Q245" s="11"/>
    </row>
    <row r="246" spans="2:17" ht="15" customHeight="1" x14ac:dyDescent="0.2">
      <c r="B246" s="7">
        <v>43832</v>
      </c>
      <c r="C246" s="5">
        <f>IF(B246="","",[1]!s_dq_close(股指期货基差分析!$E$5,$B246))</f>
        <v>5366.1374999999998</v>
      </c>
      <c r="D246" s="5">
        <f>IF(B246="","",[1]!s_dq_close(股指期货基差分析!$E$6,$B246))</f>
        <v>5361.8</v>
      </c>
      <c r="E246" s="5">
        <f ca="1">RANK(F246,F:F)+COUNTIF(F$2:F246,F246)-1</f>
        <v>394</v>
      </c>
      <c r="F246" s="5">
        <f t="shared" si="4"/>
        <v>-4.3374999999996362</v>
      </c>
      <c r="G246" s="5">
        <f ca="1">IF(B246="","",股指期货基差分析!$N$11)</f>
        <v>-71.408500000000458</v>
      </c>
      <c r="H246" s="5">
        <f ca="1">IF(B246="","",股指期货基差分析!$L$11)</f>
        <v>15.737900000000081</v>
      </c>
      <c r="I246" s="9">
        <f ca="1">IF(B246="","",股指期货基差分析!$D$11)</f>
        <v>-19.923978315132629</v>
      </c>
      <c r="L246" s="43"/>
      <c r="Q246" s="11"/>
    </row>
    <row r="247" spans="2:17" ht="15" customHeight="1" x14ac:dyDescent="0.2">
      <c r="B247" s="8">
        <v>43833</v>
      </c>
      <c r="C247" s="6">
        <f>IF(B247="","",[1]!s_dq_close(股指期货基差分析!$E$5,$B247))</f>
        <v>5380.6372000000001</v>
      </c>
      <c r="D247" s="6">
        <f>IF(B247="","",[1]!s_dq_close(股指期货基差分析!$E$6,$B247))</f>
        <v>5378</v>
      </c>
      <c r="E247" s="6">
        <f ca="1">RANK(F247,F:F)+COUNTIF(F$2:F247,F247)-1</f>
        <v>362</v>
      </c>
      <c r="F247" s="6">
        <f t="shared" si="4"/>
        <v>-2.6372000000001208</v>
      </c>
      <c r="G247" s="6">
        <f ca="1">IF(B247="","",股指期货基差分析!$N$11)</f>
        <v>-71.408500000000458</v>
      </c>
      <c r="H247" s="6">
        <f ca="1">IF(B247="","",股指期货基差分析!$L$11)</f>
        <v>15.737900000000081</v>
      </c>
      <c r="I247" s="10">
        <f ca="1">IF(B247="","",股指期货基差分析!$D$11)</f>
        <v>-19.923978315132629</v>
      </c>
      <c r="L247" s="43"/>
      <c r="Q247" s="11"/>
    </row>
    <row r="248" spans="2:17" ht="15" customHeight="1" x14ac:dyDescent="0.2">
      <c r="B248" s="7">
        <v>43836</v>
      </c>
      <c r="C248" s="5">
        <f>IF(B248="","",[1]!s_dq_close(股指期货基差分析!$E$5,$B248))</f>
        <v>5434.8503000000001</v>
      </c>
      <c r="D248" s="5">
        <f>IF(B248="","",[1]!s_dq_close(股指期货基差分析!$E$6,$B248))</f>
        <v>5433</v>
      </c>
      <c r="E248" s="5">
        <f ca="1">RANK(F248,F:F)+COUNTIF(F$2:F248,F248)-1</f>
        <v>341</v>
      </c>
      <c r="F248" s="5">
        <f t="shared" si="4"/>
        <v>-1.8503000000000611</v>
      </c>
      <c r="G248" s="5">
        <f ca="1">IF(B248="","",股指期货基差分析!$N$11)</f>
        <v>-71.408500000000458</v>
      </c>
      <c r="H248" s="5">
        <f ca="1">IF(B248="","",股指期货基差分析!$L$11)</f>
        <v>15.737900000000081</v>
      </c>
      <c r="I248" s="9">
        <f ca="1">IF(B248="","",股指期货基差分析!$D$11)</f>
        <v>-19.923978315132629</v>
      </c>
      <c r="L248" s="43"/>
      <c r="Q248" s="11"/>
    </row>
    <row r="249" spans="2:17" ht="15" customHeight="1" x14ac:dyDescent="0.2">
      <c r="B249" s="8">
        <v>43837</v>
      </c>
      <c r="C249" s="6">
        <f>IF(B249="","",[1]!s_dq_close(股指期货基差分析!$E$5,$B249))</f>
        <v>5499.8395</v>
      </c>
      <c r="D249" s="6">
        <f>IF(B249="","",[1]!s_dq_close(股指期货基差分析!$E$6,$B249))</f>
        <v>5501</v>
      </c>
      <c r="E249" s="6">
        <f ca="1">RANK(F249,F:F)+COUNTIF(F$2:F249,F249)-1</f>
        <v>266</v>
      </c>
      <c r="F249" s="6">
        <f t="shared" si="4"/>
        <v>1.1604999999999563</v>
      </c>
      <c r="G249" s="6">
        <f ca="1">IF(B249="","",股指期货基差分析!$N$11)</f>
        <v>-71.408500000000458</v>
      </c>
      <c r="H249" s="6">
        <f ca="1">IF(B249="","",股指期货基差分析!$L$11)</f>
        <v>15.737900000000081</v>
      </c>
      <c r="I249" s="10">
        <f ca="1">IF(B249="","",股指期货基差分析!$D$11)</f>
        <v>-19.923978315132629</v>
      </c>
      <c r="L249" s="43"/>
      <c r="Q249" s="11"/>
    </row>
    <row r="250" spans="2:17" ht="15" customHeight="1" x14ac:dyDescent="0.2">
      <c r="B250" s="7">
        <v>43838</v>
      </c>
      <c r="C250" s="5">
        <f>IF(B250="","",[1]!s_dq_close(股指期货基差分析!$E$5,$B250))</f>
        <v>5423.7965999999997</v>
      </c>
      <c r="D250" s="5">
        <f>IF(B250="","",[1]!s_dq_close(股指期货基差分析!$E$6,$B250))</f>
        <v>5433.6</v>
      </c>
      <c r="E250" s="5">
        <f ca="1">RANK(F250,F:F)+COUNTIF(F$2:F250,F250)-1</f>
        <v>115</v>
      </c>
      <c r="F250" s="5">
        <f t="shared" si="4"/>
        <v>9.8034000000006927</v>
      </c>
      <c r="G250" s="5">
        <f ca="1">IF(B250="","",股指期货基差分析!$N$11)</f>
        <v>-71.408500000000458</v>
      </c>
      <c r="H250" s="5">
        <f ca="1">IF(B250="","",股指期货基差分析!$L$11)</f>
        <v>15.737900000000081</v>
      </c>
      <c r="I250" s="9">
        <f ca="1">IF(B250="","",股指期货基差分析!$D$11)</f>
        <v>-19.923978315132629</v>
      </c>
      <c r="L250" s="43"/>
      <c r="Q250" s="11"/>
    </row>
    <row r="251" spans="2:17" ht="15" customHeight="1" x14ac:dyDescent="0.2">
      <c r="B251" s="8">
        <v>43839</v>
      </c>
      <c r="C251" s="6">
        <f>IF(B251="","",[1]!s_dq_close(股指期货基差分析!$E$5,$B251))</f>
        <v>5497.5429000000004</v>
      </c>
      <c r="D251" s="6">
        <f>IF(B251="","",[1]!s_dq_close(股指期货基差分析!$E$6,$B251))</f>
        <v>5498</v>
      </c>
      <c r="E251" s="6">
        <f ca="1">RANK(F251,F:F)+COUNTIF(F$2:F251,F251)-1</f>
        <v>280</v>
      </c>
      <c r="F251" s="6">
        <f t="shared" si="4"/>
        <v>0.45709999999962747</v>
      </c>
      <c r="G251" s="6">
        <f ca="1">IF(B251="","",股指期货基差分析!$N$11)</f>
        <v>-71.408500000000458</v>
      </c>
      <c r="H251" s="6">
        <f ca="1">IF(B251="","",股指期货基差分析!$L$11)</f>
        <v>15.737900000000081</v>
      </c>
      <c r="I251" s="10">
        <f ca="1">IF(B251="","",股指期货基差分析!$D$11)</f>
        <v>-19.923978315132629</v>
      </c>
      <c r="L251" s="43"/>
      <c r="Q251" s="11"/>
    </row>
    <row r="252" spans="2:17" ht="15" customHeight="1" x14ac:dyDescent="0.2">
      <c r="B252" s="7">
        <v>43840</v>
      </c>
      <c r="C252" s="5">
        <f>IF(B252="","",[1]!s_dq_close(股指期货基差分析!$E$5,$B252))</f>
        <v>5480.2278999999999</v>
      </c>
      <c r="D252" s="5">
        <f>IF(B252="","",[1]!s_dq_close(股指期货基差分析!$E$6,$B252))</f>
        <v>5468</v>
      </c>
      <c r="E252" s="5">
        <f ca="1">RANK(F252,F:F)+COUNTIF(F$2:F252,F252)-1</f>
        <v>601</v>
      </c>
      <c r="F252" s="5">
        <f t="shared" si="4"/>
        <v>-12.227899999999863</v>
      </c>
      <c r="G252" s="5">
        <f ca="1">IF(B252="","",股指期货基差分析!$N$11)</f>
        <v>-71.408500000000458</v>
      </c>
      <c r="H252" s="5">
        <f ca="1">IF(B252="","",股指期货基差分析!$L$11)</f>
        <v>15.737900000000081</v>
      </c>
      <c r="I252" s="9">
        <f ca="1">IF(B252="","",股指期货基差分析!$D$11)</f>
        <v>-19.923978315132629</v>
      </c>
      <c r="L252" s="43"/>
      <c r="Q252" s="11"/>
    </row>
    <row r="253" spans="2:17" ht="15" customHeight="1" x14ac:dyDescent="0.2">
      <c r="B253" s="8">
        <v>43843</v>
      </c>
      <c r="C253" s="6">
        <f>IF(B253="","",[1]!s_dq_close(股指期货基差分析!$E$5,$B253))</f>
        <v>5559.6271999999999</v>
      </c>
      <c r="D253" s="6">
        <f>IF(B253="","",[1]!s_dq_close(股指期货基差分析!$E$6,$B253))</f>
        <v>5571.2</v>
      </c>
      <c r="E253" s="6">
        <f ca="1">RANK(F253,F:F)+COUNTIF(F$2:F253,F253)-1</f>
        <v>93</v>
      </c>
      <c r="F253" s="6">
        <f t="shared" si="4"/>
        <v>11.572799999999916</v>
      </c>
      <c r="G253" s="6">
        <f ca="1">IF(B253="","",股指期货基差分析!$N$11)</f>
        <v>-71.408500000000458</v>
      </c>
      <c r="H253" s="6">
        <f ca="1">IF(B253="","",股指期货基差分析!$L$11)</f>
        <v>15.737900000000081</v>
      </c>
      <c r="I253" s="10">
        <f ca="1">IF(B253="","",股指期货基差分析!$D$11)</f>
        <v>-19.923978315132629</v>
      </c>
      <c r="L253" s="43"/>
      <c r="Q253" s="11"/>
    </row>
    <row r="254" spans="2:17" ht="15" customHeight="1" x14ac:dyDescent="0.2">
      <c r="B254" s="7">
        <v>43844</v>
      </c>
      <c r="C254" s="5">
        <f>IF(B254="","",[1]!s_dq_close(股指期货基差分析!$E$5,$B254))</f>
        <v>5542.3316000000004</v>
      </c>
      <c r="D254" s="5">
        <f>IF(B254="","",[1]!s_dq_close(股指期货基差分析!$E$6,$B254))</f>
        <v>5543.6</v>
      </c>
      <c r="E254" s="5">
        <f ca="1">RANK(F254,F:F)+COUNTIF(F$2:F254,F254)-1</f>
        <v>262</v>
      </c>
      <c r="F254" s="5">
        <f t="shared" si="4"/>
        <v>1.2683999999999287</v>
      </c>
      <c r="G254" s="5">
        <f ca="1">IF(B254="","",股指期货基差分析!$N$11)</f>
        <v>-71.408500000000458</v>
      </c>
      <c r="H254" s="5">
        <f ca="1">IF(B254="","",股指期货基差分析!$L$11)</f>
        <v>15.737900000000081</v>
      </c>
      <c r="I254" s="9">
        <f ca="1">IF(B254="","",股指期货基差分析!$D$11)</f>
        <v>-19.923978315132629</v>
      </c>
      <c r="L254" s="43"/>
      <c r="Q254" s="11"/>
    </row>
    <row r="255" spans="2:17" ht="15" customHeight="1" x14ac:dyDescent="0.2">
      <c r="B255" s="8">
        <v>43845</v>
      </c>
      <c r="C255" s="6">
        <f>IF(B255="","",[1]!s_dq_close(股指期货基差分析!$E$5,$B255))</f>
        <v>5530.0266000000001</v>
      </c>
      <c r="D255" s="6">
        <f>IF(B255="","",[1]!s_dq_close(股指期货基差分析!$E$6,$B255))</f>
        <v>5523.6</v>
      </c>
      <c r="E255" s="6">
        <f ca="1">RANK(F255,F:F)+COUNTIF(F$2:F255,F255)-1</f>
        <v>456</v>
      </c>
      <c r="F255" s="6">
        <f t="shared" si="4"/>
        <v>-6.4265999999997803</v>
      </c>
      <c r="G255" s="6">
        <f ca="1">IF(B255="","",股指期货基差分析!$N$11)</f>
        <v>-71.408500000000458</v>
      </c>
      <c r="H255" s="6">
        <f ca="1">IF(B255="","",股指期货基差分析!$L$11)</f>
        <v>15.737900000000081</v>
      </c>
      <c r="I255" s="10">
        <f ca="1">IF(B255="","",股指期货基差分析!$D$11)</f>
        <v>-19.923978315132629</v>
      </c>
      <c r="L255" s="43"/>
      <c r="Q255" s="11"/>
    </row>
    <row r="256" spans="2:17" ht="15" customHeight="1" x14ac:dyDescent="0.2">
      <c r="B256" s="7">
        <v>43846</v>
      </c>
      <c r="C256" s="5">
        <f>IF(B256="","",[1]!s_dq_close(股指期货基差分析!$E$5,$B256))</f>
        <v>5527.6675999999998</v>
      </c>
      <c r="D256" s="5">
        <f>IF(B256="","",[1]!s_dq_close(股指期货基差分析!$E$6,$B256))</f>
        <v>5538.4</v>
      </c>
      <c r="E256" s="5">
        <f ca="1">RANK(F256,F:F)+COUNTIF(F$2:F256,F256)-1</f>
        <v>103</v>
      </c>
      <c r="F256" s="5">
        <f t="shared" si="4"/>
        <v>10.73239999999987</v>
      </c>
      <c r="G256" s="5">
        <f ca="1">IF(B256="","",股指期货基差分析!$N$11)</f>
        <v>-71.408500000000458</v>
      </c>
      <c r="H256" s="5">
        <f ca="1">IF(B256="","",股指期货基差分析!$L$11)</f>
        <v>15.737900000000081</v>
      </c>
      <c r="I256" s="9">
        <f ca="1">IF(B256="","",股指期货基差分析!$D$11)</f>
        <v>-19.923978315132629</v>
      </c>
      <c r="L256" s="43"/>
      <c r="Q256" s="11"/>
    </row>
    <row r="257" spans="2:17" ht="15" customHeight="1" x14ac:dyDescent="0.2">
      <c r="B257" s="8">
        <v>43847</v>
      </c>
      <c r="C257" s="6">
        <f>IF(B257="","",[1]!s_dq_close(股指期货基差分析!$E$5,$B257))</f>
        <v>5510.0452999999998</v>
      </c>
      <c r="D257" s="6">
        <f>IF(B257="","",[1]!s_dq_close(股指期货基差分析!$E$6,$B257))</f>
        <v>5515</v>
      </c>
      <c r="E257" s="6">
        <f ca="1">RANK(F257,F:F)+COUNTIF(F$2:F257,F257)-1</f>
        <v>188</v>
      </c>
      <c r="F257" s="6">
        <f t="shared" si="4"/>
        <v>4.9547000000002299</v>
      </c>
      <c r="G257" s="6">
        <f ca="1">IF(B257="","",股指期货基差分析!$N$11)</f>
        <v>-71.408500000000458</v>
      </c>
      <c r="H257" s="6">
        <f ca="1">IF(B257="","",股指期货基差分析!$L$11)</f>
        <v>15.737900000000081</v>
      </c>
      <c r="I257" s="10">
        <f ca="1">IF(B257="","",股指期货基差分析!$D$11)</f>
        <v>-19.923978315132629</v>
      </c>
      <c r="L257" s="43"/>
      <c r="Q257" s="11"/>
    </row>
    <row r="258" spans="2:17" ht="15" customHeight="1" x14ac:dyDescent="0.2">
      <c r="B258" s="7">
        <v>43850</v>
      </c>
      <c r="C258" s="5">
        <f>IF(B258="","",[1]!s_dq_close(股指期货基差分析!$E$5,$B258))</f>
        <v>5587.5358999999999</v>
      </c>
      <c r="D258" s="5">
        <f>IF(B258="","",[1]!s_dq_close(股指期货基差分析!$E$6,$B258))</f>
        <v>5598.8</v>
      </c>
      <c r="E258" s="5">
        <f ca="1">RANK(F258,F:F)+COUNTIF(F$2:F258,F258)-1</f>
        <v>95</v>
      </c>
      <c r="F258" s="5">
        <f t="shared" ref="F258:F321" si="5">IF(B258="","",D258-C258)</f>
        <v>11.264100000000326</v>
      </c>
      <c r="G258" s="5">
        <f ca="1">IF(B258="","",股指期货基差分析!$N$11)</f>
        <v>-71.408500000000458</v>
      </c>
      <c r="H258" s="5">
        <f ca="1">IF(B258="","",股指期货基差分析!$L$11)</f>
        <v>15.737900000000081</v>
      </c>
      <c r="I258" s="9">
        <f ca="1">IF(B258="","",股指期货基差分析!$D$11)</f>
        <v>-19.923978315132629</v>
      </c>
      <c r="L258" s="43"/>
      <c r="Q258" s="11"/>
    </row>
    <row r="259" spans="2:17" ht="15" customHeight="1" x14ac:dyDescent="0.2">
      <c r="B259" s="8">
        <v>43851</v>
      </c>
      <c r="C259" s="6">
        <f>IF(B259="","",[1]!s_dq_close(股指期货基差分析!$E$5,$B259))</f>
        <v>5523.9418999999998</v>
      </c>
      <c r="D259" s="6">
        <f>IF(B259="","",[1]!s_dq_close(股指期货基差分析!$E$6,$B259))</f>
        <v>5516.6</v>
      </c>
      <c r="E259" s="6">
        <f ca="1">RANK(F259,F:F)+COUNTIF(F$2:F259,F259)-1</f>
        <v>481</v>
      </c>
      <c r="F259" s="6">
        <f t="shared" si="5"/>
        <v>-7.3418999999994412</v>
      </c>
      <c r="G259" s="6">
        <f ca="1">IF(B259="","",股指期货基差分析!$N$11)</f>
        <v>-71.408500000000458</v>
      </c>
      <c r="H259" s="6">
        <f ca="1">IF(B259="","",股指期货基差分析!$L$11)</f>
        <v>15.737900000000081</v>
      </c>
      <c r="I259" s="10">
        <f ca="1">IF(B259="","",股指期货基差分析!$D$11)</f>
        <v>-19.923978315132629</v>
      </c>
      <c r="L259" s="43"/>
      <c r="Q259" s="11"/>
    </row>
    <row r="260" spans="2:17" ht="15" customHeight="1" x14ac:dyDescent="0.2">
      <c r="B260" s="7">
        <v>43852</v>
      </c>
      <c r="C260" s="5">
        <f>IF(B260="","",[1]!s_dq_close(股指期货基差分析!$E$5,$B260))</f>
        <v>5575.5126</v>
      </c>
      <c r="D260" s="5">
        <f>IF(B260="","",[1]!s_dq_close(股指期货基差分析!$E$6,$B260))</f>
        <v>5580.8</v>
      </c>
      <c r="E260" s="5">
        <f ca="1">RANK(F260,F:F)+COUNTIF(F$2:F260,F260)-1</f>
        <v>182</v>
      </c>
      <c r="F260" s="5">
        <f t="shared" si="5"/>
        <v>5.2874000000001615</v>
      </c>
      <c r="G260" s="5">
        <f ca="1">IF(B260="","",股指期货基差分析!$N$11)</f>
        <v>-71.408500000000458</v>
      </c>
      <c r="H260" s="5">
        <f ca="1">IF(B260="","",股指期货基差分析!$L$11)</f>
        <v>15.737900000000081</v>
      </c>
      <c r="I260" s="9">
        <f ca="1">IF(B260="","",股指期货基差分析!$D$11)</f>
        <v>-19.923978315132629</v>
      </c>
      <c r="L260" s="43"/>
      <c r="Q260" s="11"/>
    </row>
    <row r="261" spans="2:17" ht="15" customHeight="1" x14ac:dyDescent="0.2">
      <c r="B261" s="8">
        <v>43853</v>
      </c>
      <c r="C261" s="6">
        <f>IF(B261="","",[1]!s_dq_close(股指期货基差分析!$E$5,$B261))</f>
        <v>5377.7411000000002</v>
      </c>
      <c r="D261" s="6">
        <f>IF(B261="","",[1]!s_dq_close(股指期货基差分析!$E$6,$B261))</f>
        <v>5346.4</v>
      </c>
      <c r="E261" s="6">
        <f ca="1">RANK(F261,F:F)+COUNTIF(F$2:F261,F261)-1</f>
        <v>908</v>
      </c>
      <c r="F261" s="6">
        <f t="shared" si="5"/>
        <v>-31.341100000000552</v>
      </c>
      <c r="G261" s="6">
        <f ca="1">IF(B261="","",股指期货基差分析!$N$11)</f>
        <v>-71.408500000000458</v>
      </c>
      <c r="H261" s="6">
        <f ca="1">IF(B261="","",股指期货基差分析!$L$11)</f>
        <v>15.737900000000081</v>
      </c>
      <c r="I261" s="10">
        <f ca="1">IF(B261="","",股指期货基差分析!$D$11)</f>
        <v>-19.923978315132629</v>
      </c>
      <c r="L261" s="43"/>
      <c r="Q261" s="11"/>
    </row>
    <row r="262" spans="2:17" ht="15" customHeight="1" x14ac:dyDescent="0.2">
      <c r="B262" s="7">
        <v>43864</v>
      </c>
      <c r="C262" s="5">
        <f>IF(B262="","",[1]!s_dq_close(股指期货基差分析!$E$5,$B262))</f>
        <v>4910.9011</v>
      </c>
      <c r="D262" s="5">
        <f>IF(B262="","",[1]!s_dq_close(股指期货基差分析!$E$6,$B262))</f>
        <v>4805.3999999999996</v>
      </c>
      <c r="E262" s="5">
        <f ca="1">RANK(F262,F:F)+COUNTIF(F$2:F262,F262)-1</f>
        <v>1277</v>
      </c>
      <c r="F262" s="5">
        <f t="shared" si="5"/>
        <v>-105.50110000000041</v>
      </c>
      <c r="G262" s="5">
        <f ca="1">IF(B262="","",股指期货基差分析!$N$11)</f>
        <v>-71.408500000000458</v>
      </c>
      <c r="H262" s="5">
        <f ca="1">IF(B262="","",股指期货基差分析!$L$11)</f>
        <v>15.737900000000081</v>
      </c>
      <c r="I262" s="9">
        <f ca="1">IF(B262="","",股指期货基差分析!$D$11)</f>
        <v>-19.923978315132629</v>
      </c>
      <c r="L262" s="43"/>
      <c r="Q262" s="11"/>
    </row>
    <row r="263" spans="2:17" ht="15" customHeight="1" x14ac:dyDescent="0.2">
      <c r="B263" s="8">
        <v>43865</v>
      </c>
      <c r="C263" s="6">
        <f>IF(B263="","",[1]!s_dq_close(股指期货基差分析!$E$5,$B263))</f>
        <v>4996.4742999999999</v>
      </c>
      <c r="D263" s="6">
        <f>IF(B263="","",[1]!s_dq_close(股指期货基差分析!$E$6,$B263))</f>
        <v>4953</v>
      </c>
      <c r="E263" s="6">
        <f ca="1">RANK(F263,F:F)+COUNTIF(F$2:F263,F263)-1</f>
        <v>1036</v>
      </c>
      <c r="F263" s="6">
        <f t="shared" si="5"/>
        <v>-43.474299999999857</v>
      </c>
      <c r="G263" s="6">
        <f ca="1">IF(B263="","",股指期货基差分析!$N$11)</f>
        <v>-71.408500000000458</v>
      </c>
      <c r="H263" s="6">
        <f ca="1">IF(B263="","",股指期货基差分析!$L$11)</f>
        <v>15.737900000000081</v>
      </c>
      <c r="I263" s="10">
        <f ca="1">IF(B263="","",股指期货基差分析!$D$11)</f>
        <v>-19.923978315132629</v>
      </c>
      <c r="L263" s="43"/>
      <c r="Q263" s="11"/>
    </row>
    <row r="264" spans="2:17" ht="15" customHeight="1" x14ac:dyDescent="0.2">
      <c r="B264" s="7">
        <v>43866</v>
      </c>
      <c r="C264" s="5">
        <f>IF(B264="","",[1]!s_dq_close(股指期货基差分析!$E$5,$B264))</f>
        <v>5123.9619000000002</v>
      </c>
      <c r="D264" s="5">
        <f>IF(B264="","",[1]!s_dq_close(股指期货基差分析!$E$6,$B264))</f>
        <v>5064.3999999999996</v>
      </c>
      <c r="E264" s="5">
        <f ca="1">RANK(F264,F:F)+COUNTIF(F$2:F264,F264)-1</f>
        <v>1158</v>
      </c>
      <c r="F264" s="5">
        <f t="shared" si="5"/>
        <v>-59.561900000000605</v>
      </c>
      <c r="G264" s="5">
        <f ca="1">IF(B264="","",股指期货基差分析!$N$11)</f>
        <v>-71.408500000000458</v>
      </c>
      <c r="H264" s="5">
        <f ca="1">IF(B264="","",股指期货基差分析!$L$11)</f>
        <v>15.737900000000081</v>
      </c>
      <c r="I264" s="9">
        <f ca="1">IF(B264="","",股指期货基差分析!$D$11)</f>
        <v>-19.923978315132629</v>
      </c>
      <c r="L264" s="43"/>
      <c r="Q264" s="11"/>
    </row>
    <row r="265" spans="2:17" ht="15" customHeight="1" x14ac:dyDescent="0.2">
      <c r="B265" s="8">
        <v>43867</v>
      </c>
      <c r="C265" s="6">
        <f>IF(B265="","",[1]!s_dq_close(股指期货基差分析!$E$5,$B265))</f>
        <v>5282.8922000000002</v>
      </c>
      <c r="D265" s="6">
        <f>IF(B265="","",[1]!s_dq_close(股指期货基差分析!$E$6,$B265))</f>
        <v>5250.4</v>
      </c>
      <c r="E265" s="6">
        <f ca="1">RANK(F265,F:F)+COUNTIF(F$2:F265,F265)-1</f>
        <v>924</v>
      </c>
      <c r="F265" s="6">
        <f t="shared" si="5"/>
        <v>-32.492200000000594</v>
      </c>
      <c r="G265" s="6">
        <f ca="1">IF(B265="","",股指期货基差分析!$N$11)</f>
        <v>-71.408500000000458</v>
      </c>
      <c r="H265" s="6">
        <f ca="1">IF(B265="","",股指期货基差分析!$L$11)</f>
        <v>15.737900000000081</v>
      </c>
      <c r="I265" s="10">
        <f ca="1">IF(B265="","",股指期货基差分析!$D$11)</f>
        <v>-19.923978315132629</v>
      </c>
      <c r="L265" s="43"/>
      <c r="Q265" s="11"/>
    </row>
    <row r="266" spans="2:17" ht="15" customHeight="1" x14ac:dyDescent="0.2">
      <c r="B266" s="7">
        <v>43868</v>
      </c>
      <c r="C266" s="5">
        <f>IF(B266="","",[1]!s_dq_close(股指期货基差分析!$E$5,$B266))</f>
        <v>5327.0369000000001</v>
      </c>
      <c r="D266" s="5">
        <f>IF(B266="","",[1]!s_dq_close(股指期货基差分析!$E$6,$B266))</f>
        <v>5300.4</v>
      </c>
      <c r="E266" s="5">
        <f ca="1">RANK(F266,F:F)+COUNTIF(F$2:F266,F266)-1</f>
        <v>837</v>
      </c>
      <c r="F266" s="5">
        <f t="shared" si="5"/>
        <v>-26.636900000000423</v>
      </c>
      <c r="G266" s="5">
        <f ca="1">IF(B266="","",股指期货基差分析!$N$11)</f>
        <v>-71.408500000000458</v>
      </c>
      <c r="H266" s="5">
        <f ca="1">IF(B266="","",股指期货基差分析!$L$11)</f>
        <v>15.737900000000081</v>
      </c>
      <c r="I266" s="9">
        <f ca="1">IF(B266="","",股指期货基差分析!$D$11)</f>
        <v>-19.923978315132629</v>
      </c>
      <c r="L266" s="43"/>
      <c r="Q266" s="11"/>
    </row>
    <row r="267" spans="2:17" ht="15" customHeight="1" x14ac:dyDescent="0.2">
      <c r="B267" s="8">
        <v>43871</v>
      </c>
      <c r="C267" s="6">
        <f>IF(B267="","",[1]!s_dq_close(股指期货基差分析!$E$5,$B267))</f>
        <v>5388.4349000000002</v>
      </c>
      <c r="D267" s="6">
        <f>IF(B267="","",[1]!s_dq_close(股指期货基差分析!$E$6,$B267))</f>
        <v>5326.4</v>
      </c>
      <c r="E267" s="6">
        <f ca="1">RANK(F267,F:F)+COUNTIF(F$2:F267,F267)-1</f>
        <v>1177</v>
      </c>
      <c r="F267" s="6">
        <f t="shared" si="5"/>
        <v>-62.034900000000562</v>
      </c>
      <c r="G267" s="6">
        <f ca="1">IF(B267="","",股指期货基差分析!$N$11)</f>
        <v>-71.408500000000458</v>
      </c>
      <c r="H267" s="6">
        <f ca="1">IF(B267="","",股指期货基差分析!$L$11)</f>
        <v>15.737900000000081</v>
      </c>
      <c r="I267" s="10">
        <f ca="1">IF(B267="","",股指期货基差分析!$D$11)</f>
        <v>-19.923978315132629</v>
      </c>
      <c r="L267" s="43"/>
      <c r="Q267" s="11"/>
    </row>
    <row r="268" spans="2:17" ht="15" customHeight="1" x14ac:dyDescent="0.2">
      <c r="B268" s="7">
        <v>43872</v>
      </c>
      <c r="C268" s="5">
        <f>IF(B268="","",[1]!s_dq_close(股指期货基差分析!$E$5,$B268))</f>
        <v>5361.2767999999996</v>
      </c>
      <c r="D268" s="5">
        <f>IF(B268="","",[1]!s_dq_close(股指期货基差分析!$E$6,$B268))</f>
        <v>5316.4</v>
      </c>
      <c r="E268" s="5">
        <f ca="1">RANK(F268,F:F)+COUNTIF(F$2:F268,F268)-1</f>
        <v>1056</v>
      </c>
      <c r="F268" s="5">
        <f t="shared" si="5"/>
        <v>-44.876800000000003</v>
      </c>
      <c r="G268" s="5">
        <f ca="1">IF(B268="","",股指期货基差分析!$N$11)</f>
        <v>-71.408500000000458</v>
      </c>
      <c r="H268" s="5">
        <f ca="1">IF(B268="","",股指期货基差分析!$L$11)</f>
        <v>15.737900000000081</v>
      </c>
      <c r="I268" s="9">
        <f ca="1">IF(B268="","",股指期货基差分析!$D$11)</f>
        <v>-19.923978315132629</v>
      </c>
      <c r="L268" s="43"/>
      <c r="Q268" s="11"/>
    </row>
    <row r="269" spans="2:17" ht="15" customHeight="1" x14ac:dyDescent="0.2">
      <c r="B269" s="8">
        <v>43873</v>
      </c>
      <c r="C269" s="6">
        <f>IF(B269="","",[1]!s_dq_close(股指期货基差分析!$E$5,$B269))</f>
        <v>5459.9461000000001</v>
      </c>
      <c r="D269" s="6">
        <f>IF(B269="","",[1]!s_dq_close(股指期货基差分析!$E$6,$B269))</f>
        <v>5437</v>
      </c>
      <c r="E269" s="6">
        <f ca="1">RANK(F269,F:F)+COUNTIF(F$2:F269,F269)-1</f>
        <v>791</v>
      </c>
      <c r="F269" s="6">
        <f t="shared" si="5"/>
        <v>-22.946100000000115</v>
      </c>
      <c r="G269" s="6">
        <f ca="1">IF(B269="","",股指期货基差分析!$N$11)</f>
        <v>-71.408500000000458</v>
      </c>
      <c r="H269" s="6">
        <f ca="1">IF(B269="","",股指期货基差分析!$L$11)</f>
        <v>15.737900000000081</v>
      </c>
      <c r="I269" s="10">
        <f ca="1">IF(B269="","",股指期货基差分析!$D$11)</f>
        <v>-19.923978315132629</v>
      </c>
      <c r="L269" s="43"/>
      <c r="Q269" s="11"/>
    </row>
    <row r="270" spans="2:17" ht="15" customHeight="1" x14ac:dyDescent="0.2">
      <c r="B270" s="7">
        <v>43874</v>
      </c>
      <c r="C270" s="5">
        <f>IF(B270="","",[1]!s_dq_close(股指期货基差分析!$E$5,$B270))</f>
        <v>5412.8418000000001</v>
      </c>
      <c r="D270" s="5">
        <f>IF(B270="","",[1]!s_dq_close(股指期货基差分析!$E$6,$B270))</f>
        <v>5392</v>
      </c>
      <c r="E270" s="5">
        <f ca="1">RANK(F270,F:F)+COUNTIF(F$2:F270,F270)-1</f>
        <v>764</v>
      </c>
      <c r="F270" s="5">
        <f t="shared" si="5"/>
        <v>-20.841800000000148</v>
      </c>
      <c r="G270" s="5">
        <f ca="1">IF(B270="","",股指期货基差分析!$N$11)</f>
        <v>-71.408500000000458</v>
      </c>
      <c r="H270" s="5">
        <f ca="1">IF(B270="","",股指期货基差分析!$L$11)</f>
        <v>15.737900000000081</v>
      </c>
      <c r="I270" s="9">
        <f ca="1">IF(B270="","",股指期货基差分析!$D$11)</f>
        <v>-19.923978315132629</v>
      </c>
      <c r="L270" s="43"/>
      <c r="Q270" s="11"/>
    </row>
    <row r="271" spans="2:17" ht="15" customHeight="1" x14ac:dyDescent="0.2">
      <c r="B271" s="8">
        <v>43875</v>
      </c>
      <c r="C271" s="6">
        <f>IF(B271="","",[1]!s_dq_close(股指期货基差分析!$E$5,$B271))</f>
        <v>5420.8024999999998</v>
      </c>
      <c r="D271" s="6">
        <f>IF(B271="","",[1]!s_dq_close(股指期货基差分析!$E$6,$B271))</f>
        <v>5405.6</v>
      </c>
      <c r="E271" s="6">
        <f ca="1">RANK(F271,F:F)+COUNTIF(F$2:F271,F271)-1</f>
        <v>663</v>
      </c>
      <c r="F271" s="6">
        <f t="shared" si="5"/>
        <v>-15.202499999999418</v>
      </c>
      <c r="G271" s="6">
        <f ca="1">IF(B271="","",股指期货基差分析!$N$11)</f>
        <v>-71.408500000000458</v>
      </c>
      <c r="H271" s="6">
        <f ca="1">IF(B271="","",股指期货基差分析!$L$11)</f>
        <v>15.737900000000081</v>
      </c>
      <c r="I271" s="10">
        <f ca="1">IF(B271="","",股指期货基差分析!$D$11)</f>
        <v>-19.923978315132629</v>
      </c>
      <c r="L271" s="43"/>
      <c r="Q271" s="11"/>
    </row>
    <row r="272" spans="2:17" ht="15" customHeight="1" x14ac:dyDescent="0.2">
      <c r="B272" s="7">
        <v>43878</v>
      </c>
      <c r="C272" s="5">
        <f>IF(B272="","",[1]!s_dq_close(股指期货基差分析!$E$5,$B272))</f>
        <v>5594.4366</v>
      </c>
      <c r="D272" s="5">
        <f>IF(B272="","",[1]!s_dq_close(股指期货基差分析!$E$6,$B272))</f>
        <v>5595.6</v>
      </c>
      <c r="E272" s="5">
        <f ca="1">RANK(F272,F:F)+COUNTIF(F$2:F272,F272)-1</f>
        <v>265</v>
      </c>
      <c r="F272" s="5">
        <f t="shared" si="5"/>
        <v>1.1634000000003653</v>
      </c>
      <c r="G272" s="5">
        <f ca="1">IF(B272="","",股指期货基差分析!$N$11)</f>
        <v>-71.408500000000458</v>
      </c>
      <c r="H272" s="5">
        <f ca="1">IF(B272="","",股指期货基差分析!$L$11)</f>
        <v>15.737900000000081</v>
      </c>
      <c r="I272" s="9">
        <f ca="1">IF(B272="","",股指期货基差分析!$D$11)</f>
        <v>-19.923978315132629</v>
      </c>
      <c r="L272" s="43"/>
      <c r="Q272" s="11"/>
    </row>
    <row r="273" spans="2:17" ht="15" customHeight="1" x14ac:dyDescent="0.2">
      <c r="B273" s="8">
        <v>43879</v>
      </c>
      <c r="C273" s="6">
        <f>IF(B273="","",[1]!s_dq_close(股指期货基差分析!$E$5,$B273))</f>
        <v>5660.8141999999998</v>
      </c>
      <c r="D273" s="6">
        <f>IF(B273="","",[1]!s_dq_close(股指期货基差分析!$E$6,$B273))</f>
        <v>5628.6</v>
      </c>
      <c r="E273" s="6">
        <f ca="1">RANK(F273,F:F)+COUNTIF(F$2:F273,F273)-1</f>
        <v>923</v>
      </c>
      <c r="F273" s="6">
        <f t="shared" si="5"/>
        <v>-32.214199999999437</v>
      </c>
      <c r="G273" s="6">
        <f ca="1">IF(B273="","",股指期货基差分析!$N$11)</f>
        <v>-71.408500000000458</v>
      </c>
      <c r="H273" s="6">
        <f ca="1">IF(B273="","",股指期货基差分析!$L$11)</f>
        <v>15.737900000000081</v>
      </c>
      <c r="I273" s="10">
        <f ca="1">IF(B273="","",股指期货基差分析!$D$11)</f>
        <v>-19.923978315132629</v>
      </c>
      <c r="L273" s="43"/>
      <c r="Q273" s="11"/>
    </row>
    <row r="274" spans="2:17" ht="15" customHeight="1" x14ac:dyDescent="0.2">
      <c r="B274" s="7">
        <v>43880</v>
      </c>
      <c r="C274" s="5">
        <f>IF(B274="","",[1]!s_dq_close(股指期货基差分析!$E$5,$B274))</f>
        <v>5603.2626</v>
      </c>
      <c r="D274" s="5">
        <f>IF(B274="","",[1]!s_dq_close(股指期货基差分析!$E$6,$B274))</f>
        <v>5603.8</v>
      </c>
      <c r="E274" s="5">
        <f ca="1">RANK(F274,F:F)+COUNTIF(F$2:F274,F274)-1</f>
        <v>279</v>
      </c>
      <c r="F274" s="5">
        <f t="shared" si="5"/>
        <v>0.53740000000016153</v>
      </c>
      <c r="G274" s="5">
        <f ca="1">IF(B274="","",股指期货基差分析!$N$11)</f>
        <v>-71.408500000000458</v>
      </c>
      <c r="H274" s="5">
        <f ca="1">IF(B274="","",股指期货基差分析!$L$11)</f>
        <v>15.737900000000081</v>
      </c>
      <c r="I274" s="9">
        <f ca="1">IF(B274="","",股指期货基差分析!$D$11)</f>
        <v>-19.923978315132629</v>
      </c>
      <c r="L274" s="43"/>
      <c r="Q274" s="11"/>
    </row>
    <row r="275" spans="2:17" ht="15" customHeight="1" x14ac:dyDescent="0.2">
      <c r="B275" s="8">
        <v>43881</v>
      </c>
      <c r="C275" s="6">
        <f>IF(B275="","",[1]!s_dq_close(股指期货基差分析!$E$5,$B275))</f>
        <v>5706.7127</v>
      </c>
      <c r="D275" s="6">
        <f>IF(B275="","",[1]!s_dq_close(股指期货基差分析!$E$6,$B275))</f>
        <v>5704.8</v>
      </c>
      <c r="E275" s="6">
        <f ca="1">RANK(F275,F:F)+COUNTIF(F$2:F275,F275)-1</f>
        <v>344</v>
      </c>
      <c r="F275" s="6">
        <f t="shared" si="5"/>
        <v>-1.9126999999998588</v>
      </c>
      <c r="G275" s="6">
        <f ca="1">IF(B275="","",股指期货基差分析!$N$11)</f>
        <v>-71.408500000000458</v>
      </c>
      <c r="H275" s="6">
        <f ca="1">IF(B275="","",股指期货基差分析!$L$11)</f>
        <v>15.737900000000081</v>
      </c>
      <c r="I275" s="10">
        <f ca="1">IF(B275="","",股指期货基差分析!$D$11)</f>
        <v>-19.923978315132629</v>
      </c>
      <c r="L275" s="43"/>
      <c r="Q275" s="11"/>
    </row>
    <row r="276" spans="2:17" ht="15" customHeight="1" x14ac:dyDescent="0.2">
      <c r="B276" s="7">
        <v>43882</v>
      </c>
      <c r="C276" s="5">
        <f>IF(B276="","",[1]!s_dq_close(股指期货基差分析!$E$5,$B276))</f>
        <v>5784.0321000000004</v>
      </c>
      <c r="D276" s="5">
        <f>IF(B276="","",[1]!s_dq_close(股指期货基差分析!$E$6,$B276))</f>
        <v>5782.6</v>
      </c>
      <c r="E276" s="5">
        <f ca="1">RANK(F276,F:F)+COUNTIF(F$2:F276,F276)-1</f>
        <v>330</v>
      </c>
      <c r="F276" s="5">
        <f t="shared" si="5"/>
        <v>-1.4320999999999913</v>
      </c>
      <c r="G276" s="5">
        <f ca="1">IF(B276="","",股指期货基差分析!$N$11)</f>
        <v>-71.408500000000458</v>
      </c>
      <c r="H276" s="5">
        <f ca="1">IF(B276="","",股指期货基差分析!$L$11)</f>
        <v>15.737900000000081</v>
      </c>
      <c r="I276" s="9">
        <f ca="1">IF(B276="","",股指期货基差分析!$D$11)</f>
        <v>-19.923978315132629</v>
      </c>
      <c r="L276" s="43"/>
      <c r="Q276" s="11"/>
    </row>
    <row r="277" spans="2:17" ht="15" customHeight="1" x14ac:dyDescent="0.2">
      <c r="B277" s="8">
        <v>43885</v>
      </c>
      <c r="C277" s="6">
        <f>IF(B277="","",[1]!s_dq_close(股指期货基差分析!$E$5,$B277))</f>
        <v>5865.4665000000005</v>
      </c>
      <c r="D277" s="6">
        <f>IF(B277="","",[1]!s_dq_close(股指期货基差分析!$E$6,$B277))</f>
        <v>5806</v>
      </c>
      <c r="E277" s="6">
        <f ca="1">RANK(F277,F:F)+COUNTIF(F$2:F277,F277)-1</f>
        <v>1157</v>
      </c>
      <c r="F277" s="6">
        <f t="shared" si="5"/>
        <v>-59.466500000000451</v>
      </c>
      <c r="G277" s="6">
        <f ca="1">IF(B277="","",股指期货基差分析!$N$11)</f>
        <v>-71.408500000000458</v>
      </c>
      <c r="H277" s="6">
        <f ca="1">IF(B277="","",股指期货基差分析!$L$11)</f>
        <v>15.737900000000081</v>
      </c>
      <c r="I277" s="10">
        <f ca="1">IF(B277="","",股指期货基差分析!$D$11)</f>
        <v>-19.923978315132629</v>
      </c>
      <c r="L277" s="43"/>
      <c r="Q277" s="11"/>
    </row>
    <row r="278" spans="2:17" ht="15" customHeight="1" x14ac:dyDescent="0.2">
      <c r="B278" s="7">
        <v>43886</v>
      </c>
      <c r="C278" s="5">
        <f>IF(B278="","",[1]!s_dq_close(股指期货基差分析!$E$5,$B278))</f>
        <v>5897.7218999999996</v>
      </c>
      <c r="D278" s="5">
        <f>IF(B278="","",[1]!s_dq_close(股指期货基差分析!$E$6,$B278))</f>
        <v>5852.6</v>
      </c>
      <c r="E278" s="5">
        <f ca="1">RANK(F278,F:F)+COUNTIF(F$2:F278,F278)-1</f>
        <v>1060</v>
      </c>
      <c r="F278" s="5">
        <f t="shared" si="5"/>
        <v>-45.121899999999187</v>
      </c>
      <c r="G278" s="5">
        <f ca="1">IF(B278="","",股指期货基差分析!$N$11)</f>
        <v>-71.408500000000458</v>
      </c>
      <c r="H278" s="5">
        <f ca="1">IF(B278="","",股指期货基差分析!$L$11)</f>
        <v>15.737900000000081</v>
      </c>
      <c r="I278" s="9">
        <f ca="1">IF(B278="","",股指期货基差分析!$D$11)</f>
        <v>-19.923978315132629</v>
      </c>
      <c r="L278" s="43"/>
      <c r="Q278" s="11"/>
    </row>
    <row r="279" spans="2:17" ht="15" customHeight="1" x14ac:dyDescent="0.2">
      <c r="B279" s="8">
        <v>43887</v>
      </c>
      <c r="C279" s="6">
        <f>IF(B279="","",[1]!s_dq_close(股指期货基差分析!$E$5,$B279))</f>
        <v>5743.3928999999998</v>
      </c>
      <c r="D279" s="6">
        <f>IF(B279="","",[1]!s_dq_close(股指期货基差分析!$E$6,$B279))</f>
        <v>5715.4</v>
      </c>
      <c r="E279" s="6">
        <f ca="1">RANK(F279,F:F)+COUNTIF(F$2:F279,F279)-1</f>
        <v>861</v>
      </c>
      <c r="F279" s="6">
        <f t="shared" si="5"/>
        <v>-27.992900000000191</v>
      </c>
      <c r="G279" s="6">
        <f ca="1">IF(B279="","",股指期货基差分析!$N$11)</f>
        <v>-71.408500000000458</v>
      </c>
      <c r="H279" s="6">
        <f ca="1">IF(B279="","",股指期货基差分析!$L$11)</f>
        <v>15.737900000000081</v>
      </c>
      <c r="I279" s="10">
        <f ca="1">IF(B279="","",股指期货基差分析!$D$11)</f>
        <v>-19.923978315132629</v>
      </c>
      <c r="L279" s="43"/>
      <c r="Q279" s="11"/>
    </row>
    <row r="280" spans="2:17" ht="15" customHeight="1" x14ac:dyDescent="0.2">
      <c r="B280" s="7">
        <v>43888</v>
      </c>
      <c r="C280" s="5">
        <f>IF(B280="","",[1]!s_dq_close(股指期货基差分析!$E$5,$B280))</f>
        <v>5753.7277000000004</v>
      </c>
      <c r="D280" s="5">
        <f>IF(B280="","",[1]!s_dq_close(股指期货基差分析!$E$6,$B280))</f>
        <v>5710</v>
      </c>
      <c r="E280" s="5">
        <f ca="1">RANK(F280,F:F)+COUNTIF(F$2:F280,F280)-1</f>
        <v>1039</v>
      </c>
      <c r="F280" s="5">
        <f t="shared" si="5"/>
        <v>-43.727700000000368</v>
      </c>
      <c r="G280" s="5">
        <f ca="1">IF(B280="","",股指期货基差分析!$N$11)</f>
        <v>-71.408500000000458</v>
      </c>
      <c r="H280" s="5">
        <f ca="1">IF(B280="","",股指期货基差分析!$L$11)</f>
        <v>15.737900000000081</v>
      </c>
      <c r="I280" s="9">
        <f ca="1">IF(B280="","",股指期货基差分析!$D$11)</f>
        <v>-19.923978315132629</v>
      </c>
      <c r="L280" s="43"/>
      <c r="Q280" s="11"/>
    </row>
    <row r="281" spans="2:17" ht="15" customHeight="1" x14ac:dyDescent="0.2">
      <c r="B281" s="8">
        <v>43889</v>
      </c>
      <c r="C281" s="6">
        <f>IF(B281="","",[1]!s_dq_close(股指期货基差分析!$E$5,$B281))</f>
        <v>5451.2897000000003</v>
      </c>
      <c r="D281" s="6">
        <f>IF(B281="","",[1]!s_dq_close(股指期货基差分析!$E$6,$B281))</f>
        <v>5383</v>
      </c>
      <c r="E281" s="6">
        <f ca="1">RANK(F281,F:F)+COUNTIF(F$2:F281,F281)-1</f>
        <v>1209</v>
      </c>
      <c r="F281" s="6">
        <f t="shared" si="5"/>
        <v>-68.289700000000266</v>
      </c>
      <c r="G281" s="6">
        <f ca="1">IF(B281="","",股指期货基差分析!$N$11)</f>
        <v>-71.408500000000458</v>
      </c>
      <c r="H281" s="6">
        <f ca="1">IF(B281="","",股指期货基差分析!$L$11)</f>
        <v>15.737900000000081</v>
      </c>
      <c r="I281" s="10">
        <f ca="1">IF(B281="","",股指期货基差分析!$D$11)</f>
        <v>-19.923978315132629</v>
      </c>
      <c r="L281" s="43"/>
      <c r="Q281" s="11"/>
    </row>
    <row r="282" spans="2:17" ht="15" customHeight="1" x14ac:dyDescent="0.2">
      <c r="B282" s="7">
        <v>43892</v>
      </c>
      <c r="C282" s="5">
        <f>IF(B282="","",[1]!s_dq_close(股指期货基差分析!$E$5,$B282))</f>
        <v>5656.4192999999996</v>
      </c>
      <c r="D282" s="5">
        <f>IF(B282="","",[1]!s_dq_close(股指期货基差分析!$E$6,$B282))</f>
        <v>5598.6</v>
      </c>
      <c r="E282" s="5">
        <f ca="1">RANK(F282,F:F)+COUNTIF(F$2:F282,F282)-1</f>
        <v>1152</v>
      </c>
      <c r="F282" s="5">
        <f t="shared" si="5"/>
        <v>-57.819299999999203</v>
      </c>
      <c r="G282" s="5">
        <f ca="1">IF(B282="","",股指期货基差分析!$N$11)</f>
        <v>-71.408500000000458</v>
      </c>
      <c r="H282" s="5">
        <f ca="1">IF(B282="","",股指期货基差分析!$L$11)</f>
        <v>15.737900000000081</v>
      </c>
      <c r="I282" s="9">
        <f ca="1">IF(B282="","",股指期货基差分析!$D$11)</f>
        <v>-19.923978315132629</v>
      </c>
      <c r="L282" s="43"/>
      <c r="Q282" s="11"/>
    </row>
    <row r="283" spans="2:17" ht="15" customHeight="1" x14ac:dyDescent="0.2">
      <c r="B283" s="8">
        <v>43893</v>
      </c>
      <c r="C283" s="6">
        <f>IF(B283="","",[1]!s_dq_close(股指期货基差分析!$E$5,$B283))</f>
        <v>5710.0235000000002</v>
      </c>
      <c r="D283" s="6">
        <f>IF(B283="","",[1]!s_dq_close(股指期货基差分析!$E$6,$B283))</f>
        <v>5620.4</v>
      </c>
      <c r="E283" s="6">
        <f ca="1">RANK(F283,F:F)+COUNTIF(F$2:F283,F283)-1</f>
        <v>1263</v>
      </c>
      <c r="F283" s="6">
        <f t="shared" si="5"/>
        <v>-89.623500000000604</v>
      </c>
      <c r="G283" s="6">
        <f ca="1">IF(B283="","",股指期货基差分析!$N$11)</f>
        <v>-71.408500000000458</v>
      </c>
      <c r="H283" s="6">
        <f ca="1">IF(B283="","",股指期货基差分析!$L$11)</f>
        <v>15.737900000000081</v>
      </c>
      <c r="I283" s="10">
        <f ca="1">IF(B283="","",股指期货基差分析!$D$11)</f>
        <v>-19.923978315132629</v>
      </c>
      <c r="L283" s="43"/>
      <c r="Q283" s="11"/>
    </row>
    <row r="284" spans="2:17" ht="15" customHeight="1" x14ac:dyDescent="0.2">
      <c r="B284" s="7">
        <v>43894</v>
      </c>
      <c r="C284" s="5">
        <f>IF(B284="","",[1]!s_dq_close(股指期货基差分析!$E$5,$B284))</f>
        <v>5716.5111999999999</v>
      </c>
      <c r="D284" s="5">
        <f>IF(B284="","",[1]!s_dq_close(股指期货基差分析!$E$6,$B284))</f>
        <v>5658.4</v>
      </c>
      <c r="E284" s="5">
        <f ca="1">RANK(F284,F:F)+COUNTIF(F$2:F284,F284)-1</f>
        <v>1153</v>
      </c>
      <c r="F284" s="5">
        <f t="shared" si="5"/>
        <v>-58.111200000000281</v>
      </c>
      <c r="G284" s="5">
        <f ca="1">IF(B284="","",股指期货基差分析!$N$11)</f>
        <v>-71.408500000000458</v>
      </c>
      <c r="H284" s="5">
        <f ca="1">IF(B284="","",股指期货基差分析!$L$11)</f>
        <v>15.737900000000081</v>
      </c>
      <c r="I284" s="9">
        <f ca="1">IF(B284="","",股指期货基差分析!$D$11)</f>
        <v>-19.923978315132629</v>
      </c>
      <c r="L284" s="43"/>
      <c r="Q284" s="11"/>
    </row>
    <row r="285" spans="2:17" ht="15" customHeight="1" x14ac:dyDescent="0.2">
      <c r="B285" s="8">
        <v>43895</v>
      </c>
      <c r="C285" s="6">
        <f>IF(B285="","",[1]!s_dq_close(股指期货基差分析!$E$5,$B285))</f>
        <v>5801.1198999999997</v>
      </c>
      <c r="D285" s="6">
        <f>IF(B285="","",[1]!s_dq_close(股指期货基差分析!$E$6,$B285))</f>
        <v>5728.6</v>
      </c>
      <c r="E285" s="6">
        <f ca="1">RANK(F285,F:F)+COUNTIF(F$2:F285,F285)-1</f>
        <v>1222</v>
      </c>
      <c r="F285" s="6">
        <f t="shared" si="5"/>
        <v>-72.519899999999325</v>
      </c>
      <c r="G285" s="6">
        <f ca="1">IF(B285="","",股指期货基差分析!$N$11)</f>
        <v>-71.408500000000458</v>
      </c>
      <c r="H285" s="6">
        <f ca="1">IF(B285="","",股指期货基差分析!$L$11)</f>
        <v>15.737900000000081</v>
      </c>
      <c r="I285" s="10">
        <f ca="1">IF(B285="","",股指期货基差分析!$D$11)</f>
        <v>-19.923978315132629</v>
      </c>
      <c r="L285" s="43"/>
      <c r="Q285" s="11"/>
    </row>
    <row r="286" spans="2:17" ht="15" customHeight="1" x14ac:dyDescent="0.2">
      <c r="B286" s="7">
        <v>43896</v>
      </c>
      <c r="C286" s="5">
        <f>IF(B286="","",[1]!s_dq_close(股指期货基差分析!$E$5,$B286))</f>
        <v>5763.8602000000001</v>
      </c>
      <c r="D286" s="5">
        <f>IF(B286="","",[1]!s_dq_close(股指期货基差分析!$E$6,$B286))</f>
        <v>5681</v>
      </c>
      <c r="E286" s="5">
        <f ca="1">RANK(F286,F:F)+COUNTIF(F$2:F286,F286)-1</f>
        <v>1252</v>
      </c>
      <c r="F286" s="5">
        <f t="shared" si="5"/>
        <v>-82.860200000000077</v>
      </c>
      <c r="G286" s="5">
        <f ca="1">IF(B286="","",股指期货基差分析!$N$11)</f>
        <v>-71.408500000000458</v>
      </c>
      <c r="H286" s="5">
        <f ca="1">IF(B286="","",股指期货基差分析!$L$11)</f>
        <v>15.737900000000081</v>
      </c>
      <c r="I286" s="9">
        <f ca="1">IF(B286="","",股指期货基差分析!$D$11)</f>
        <v>-19.923978315132629</v>
      </c>
      <c r="L286" s="43"/>
      <c r="Q286" s="11"/>
    </row>
    <row r="287" spans="2:17" ht="15" customHeight="1" x14ac:dyDescent="0.2">
      <c r="B287" s="8">
        <v>43899</v>
      </c>
      <c r="C287" s="6">
        <f>IF(B287="","",[1]!s_dq_close(股指期货基差分析!$E$5,$B287))</f>
        <v>5525.8167000000003</v>
      </c>
      <c r="D287" s="6">
        <f>IF(B287="","",[1]!s_dq_close(股指期货基差分析!$E$6,$B287))</f>
        <v>5468.4</v>
      </c>
      <c r="E287" s="6">
        <f ca="1">RANK(F287,F:F)+COUNTIF(F$2:F287,F287)-1</f>
        <v>1147</v>
      </c>
      <c r="F287" s="6">
        <f t="shared" si="5"/>
        <v>-57.416700000000674</v>
      </c>
      <c r="G287" s="6">
        <f ca="1">IF(B287="","",股指期货基差分析!$N$11)</f>
        <v>-71.408500000000458</v>
      </c>
      <c r="H287" s="6">
        <f ca="1">IF(B287="","",股指期货基差分析!$L$11)</f>
        <v>15.737900000000081</v>
      </c>
      <c r="I287" s="10">
        <f ca="1">IF(B287="","",股指期货基差分析!$D$11)</f>
        <v>-19.923978315132629</v>
      </c>
      <c r="L287" s="43"/>
      <c r="Q287" s="11"/>
    </row>
    <row r="288" spans="2:17" ht="15" customHeight="1" x14ac:dyDescent="0.2">
      <c r="B288" s="7">
        <v>43900</v>
      </c>
      <c r="C288" s="5">
        <f>IF(B288="","",[1]!s_dq_close(股指期货基差分析!$E$5,$B288))</f>
        <v>5675.1112999999996</v>
      </c>
      <c r="D288" s="5">
        <f>IF(B288="","",[1]!s_dq_close(股指期货基差分析!$E$6,$B288))</f>
        <v>5635.2</v>
      </c>
      <c r="E288" s="5">
        <f ca="1">RANK(F288,F:F)+COUNTIF(F$2:F288,F288)-1</f>
        <v>1005</v>
      </c>
      <c r="F288" s="5">
        <f t="shared" si="5"/>
        <v>-39.911299999999756</v>
      </c>
      <c r="G288" s="5">
        <f ca="1">IF(B288="","",股指期货基差分析!$N$11)</f>
        <v>-71.408500000000458</v>
      </c>
      <c r="H288" s="5">
        <f ca="1">IF(B288="","",股指期货基差分析!$L$11)</f>
        <v>15.737900000000081</v>
      </c>
      <c r="I288" s="9">
        <f ca="1">IF(B288="","",股指期货基差分析!$D$11)</f>
        <v>-19.923978315132629</v>
      </c>
      <c r="L288" s="43"/>
      <c r="Q288" s="11"/>
    </row>
    <row r="289" spans="2:17" ht="15" customHeight="1" x14ac:dyDescent="0.2">
      <c r="B289" s="8">
        <v>43901</v>
      </c>
      <c r="C289" s="6">
        <f>IF(B289="","",[1]!s_dq_close(股指期货基差分析!$E$5,$B289))</f>
        <v>5589.5311000000002</v>
      </c>
      <c r="D289" s="6">
        <f>IF(B289="","",[1]!s_dq_close(股指期货基差分析!$E$6,$B289))</f>
        <v>5525</v>
      </c>
      <c r="E289" s="6">
        <f ca="1">RANK(F289,F:F)+COUNTIF(F$2:F289,F289)-1</f>
        <v>1186</v>
      </c>
      <c r="F289" s="6">
        <f t="shared" si="5"/>
        <v>-64.531100000000151</v>
      </c>
      <c r="G289" s="6">
        <f ca="1">IF(B289="","",股指期货基差分析!$N$11)</f>
        <v>-71.408500000000458</v>
      </c>
      <c r="H289" s="6">
        <f ca="1">IF(B289="","",股指期货基差分析!$L$11)</f>
        <v>15.737900000000081</v>
      </c>
      <c r="I289" s="10">
        <f ca="1">IF(B289="","",股指期货基差分析!$D$11)</f>
        <v>-19.923978315132629</v>
      </c>
      <c r="L289" s="43"/>
      <c r="Q289" s="11"/>
    </row>
    <row r="290" spans="2:17" ht="15" customHeight="1" x14ac:dyDescent="0.2">
      <c r="B290" s="7">
        <v>43902</v>
      </c>
      <c r="C290" s="5">
        <f>IF(B290="","",[1]!s_dq_close(股指期货基差分析!$E$5,$B290))</f>
        <v>5493.8837999999996</v>
      </c>
      <c r="D290" s="5">
        <f>IF(B290="","",[1]!s_dq_close(股指期货基差分析!$E$6,$B290))</f>
        <v>5477</v>
      </c>
      <c r="E290" s="5">
        <f ca="1">RANK(F290,F:F)+COUNTIF(F$2:F290,F290)-1</f>
        <v>694</v>
      </c>
      <c r="F290" s="5">
        <f t="shared" si="5"/>
        <v>-16.88379999999961</v>
      </c>
      <c r="G290" s="5">
        <f ca="1">IF(B290="","",股指期货基差分析!$N$11)</f>
        <v>-71.408500000000458</v>
      </c>
      <c r="H290" s="5">
        <f ca="1">IF(B290="","",股指期货基差分析!$L$11)</f>
        <v>15.737900000000081</v>
      </c>
      <c r="I290" s="9">
        <f ca="1">IF(B290="","",股指期货基差分析!$D$11)</f>
        <v>-19.923978315132629</v>
      </c>
      <c r="L290" s="43"/>
      <c r="Q290" s="11"/>
    </row>
    <row r="291" spans="2:17" ht="15" customHeight="1" x14ac:dyDescent="0.2">
      <c r="B291" s="8">
        <v>43903</v>
      </c>
      <c r="C291" s="6">
        <f>IF(B291="","",[1]!s_dq_close(股指期货基差分析!$E$5,$B291))</f>
        <v>5457.2006000000001</v>
      </c>
      <c r="D291" s="6">
        <f>IF(B291="","",[1]!s_dq_close(股指期货基差分析!$E$6,$B291))</f>
        <v>5447</v>
      </c>
      <c r="E291" s="6">
        <f ca="1">RANK(F291,F:F)+COUNTIF(F$2:F291,F291)-1</f>
        <v>556</v>
      </c>
      <c r="F291" s="6">
        <f t="shared" si="5"/>
        <v>-10.200600000000122</v>
      </c>
      <c r="G291" s="6">
        <f ca="1">IF(B291="","",股指期货基差分析!$N$11)</f>
        <v>-71.408500000000458</v>
      </c>
      <c r="H291" s="6">
        <f ca="1">IF(B291="","",股指期货基差分析!$L$11)</f>
        <v>15.737900000000081</v>
      </c>
      <c r="I291" s="10">
        <f ca="1">IF(B291="","",股指期货基差分析!$D$11)</f>
        <v>-19.923978315132629</v>
      </c>
      <c r="L291" s="43"/>
      <c r="Q291" s="11"/>
    </row>
    <row r="292" spans="2:17" ht="15" customHeight="1" x14ac:dyDescent="0.2">
      <c r="B292" s="7">
        <v>43906</v>
      </c>
      <c r="C292" s="5">
        <f>IF(B292="","",[1]!s_dq_close(股指期货基差分析!$E$5,$B292))</f>
        <v>5200.1142</v>
      </c>
      <c r="D292" s="5">
        <f>IF(B292="","",[1]!s_dq_close(股指期货基差分析!$E$6,$B292))</f>
        <v>5148.8</v>
      </c>
      <c r="E292" s="5">
        <f ca="1">RANK(F292,F:F)+COUNTIF(F$2:F292,F292)-1</f>
        <v>1111</v>
      </c>
      <c r="F292" s="5">
        <f t="shared" si="5"/>
        <v>-51.314199999999801</v>
      </c>
      <c r="G292" s="5">
        <f ca="1">IF(B292="","",股指期货基差分析!$N$11)</f>
        <v>-71.408500000000458</v>
      </c>
      <c r="H292" s="5">
        <f ca="1">IF(B292="","",股指期货基差分析!$L$11)</f>
        <v>15.737900000000081</v>
      </c>
      <c r="I292" s="9">
        <f ca="1">IF(B292="","",股指期货基差分析!$D$11)</f>
        <v>-19.923978315132629</v>
      </c>
      <c r="L292" s="43"/>
      <c r="Q292" s="11"/>
    </row>
    <row r="293" spans="2:17" ht="15" customHeight="1" x14ac:dyDescent="0.2">
      <c r="B293" s="8">
        <v>43907</v>
      </c>
      <c r="C293" s="6">
        <f>IF(B293="","",[1]!s_dq_close(股指期货基差分析!$E$5,$B293))</f>
        <v>5212.0618999999997</v>
      </c>
      <c r="D293" s="6">
        <f>IF(B293="","",[1]!s_dq_close(股指期货基差分析!$E$6,$B293))</f>
        <v>5165.3999999999996</v>
      </c>
      <c r="E293" s="6">
        <f ca="1">RANK(F293,F:F)+COUNTIF(F$2:F293,F293)-1</f>
        <v>1075</v>
      </c>
      <c r="F293" s="6">
        <f t="shared" si="5"/>
        <v>-46.66190000000006</v>
      </c>
      <c r="G293" s="6">
        <f ca="1">IF(B293="","",股指期货基差分析!$N$11)</f>
        <v>-71.408500000000458</v>
      </c>
      <c r="H293" s="6">
        <f ca="1">IF(B293="","",股指期货基差分析!$L$11)</f>
        <v>15.737900000000081</v>
      </c>
      <c r="I293" s="10">
        <f ca="1">IF(B293="","",股指期货基差分析!$D$11)</f>
        <v>-19.923978315132629</v>
      </c>
      <c r="L293" s="43"/>
      <c r="Q293" s="11"/>
    </row>
    <row r="294" spans="2:17" ht="15" customHeight="1" x14ac:dyDescent="0.2">
      <c r="B294" s="7">
        <v>43908</v>
      </c>
      <c r="C294" s="5">
        <f>IF(B294="","",[1]!s_dq_close(股指期货基差分析!$E$5,$B294))</f>
        <v>5119.4715999999999</v>
      </c>
      <c r="D294" s="5">
        <f>IF(B294="","",[1]!s_dq_close(股指期货基差分析!$E$6,$B294))</f>
        <v>5087.3999999999996</v>
      </c>
      <c r="E294" s="5">
        <f ca="1">RANK(F294,F:F)+COUNTIF(F$2:F294,F294)-1</f>
        <v>919</v>
      </c>
      <c r="F294" s="5">
        <f t="shared" si="5"/>
        <v>-32.071600000000217</v>
      </c>
      <c r="G294" s="5">
        <f ca="1">IF(B294="","",股指期货基差分析!$N$11)</f>
        <v>-71.408500000000458</v>
      </c>
      <c r="H294" s="5">
        <f ca="1">IF(B294="","",股指期货基差分析!$L$11)</f>
        <v>15.737900000000081</v>
      </c>
      <c r="I294" s="9">
        <f ca="1">IF(B294="","",股指期货基差分析!$D$11)</f>
        <v>-19.923978315132629</v>
      </c>
      <c r="L294" s="43"/>
      <c r="Q294" s="11"/>
    </row>
    <row r="295" spans="2:17" ht="15" customHeight="1" x14ac:dyDescent="0.2">
      <c r="B295" s="8">
        <v>43909</v>
      </c>
      <c r="C295" s="6">
        <f>IF(B295="","",[1]!s_dq_close(股指期货基差分析!$E$5,$B295))</f>
        <v>5157.8235000000004</v>
      </c>
      <c r="D295" s="6">
        <f>IF(B295="","",[1]!s_dq_close(股指期货基差分析!$E$6,$B295))</f>
        <v>5147.3999999999996</v>
      </c>
      <c r="E295" s="6">
        <f ca="1">RANK(F295,F:F)+COUNTIF(F$2:F295,F295)-1</f>
        <v>560</v>
      </c>
      <c r="F295" s="6">
        <f t="shared" si="5"/>
        <v>-10.423500000000786</v>
      </c>
      <c r="G295" s="6">
        <f ca="1">IF(B295="","",股指期货基差分析!$N$11)</f>
        <v>-71.408500000000458</v>
      </c>
      <c r="H295" s="6">
        <f ca="1">IF(B295="","",股指期货基差分析!$L$11)</f>
        <v>15.737900000000081</v>
      </c>
      <c r="I295" s="10">
        <f ca="1">IF(B295="","",股指期货基差分析!$D$11)</f>
        <v>-19.923978315132629</v>
      </c>
      <c r="L295" s="43"/>
      <c r="Q295" s="11"/>
    </row>
    <row r="296" spans="2:17" ht="15" customHeight="1" x14ac:dyDescent="0.2">
      <c r="B296" s="7">
        <v>43910</v>
      </c>
      <c r="C296" s="5">
        <f>IF(B296="","",[1]!s_dq_close(股指期货基差分析!$E$5,$B296))</f>
        <v>5219.2808999999997</v>
      </c>
      <c r="D296" s="5">
        <f>IF(B296="","",[1]!s_dq_close(股指期货基差分析!$E$6,$B296))</f>
        <v>5176.2</v>
      </c>
      <c r="E296" s="5">
        <f ca="1">RANK(F296,F:F)+COUNTIF(F$2:F296,F296)-1</f>
        <v>1028</v>
      </c>
      <c r="F296" s="5">
        <f t="shared" si="5"/>
        <v>-43.080899999999929</v>
      </c>
      <c r="G296" s="5">
        <f ca="1">IF(B296="","",股指期货基差分析!$N$11)</f>
        <v>-71.408500000000458</v>
      </c>
      <c r="H296" s="5">
        <f ca="1">IF(B296="","",股指期货基差分析!$L$11)</f>
        <v>15.737900000000081</v>
      </c>
      <c r="I296" s="9">
        <f ca="1">IF(B296="","",股指期货基差分析!$D$11)</f>
        <v>-19.923978315132629</v>
      </c>
      <c r="L296" s="43"/>
      <c r="Q296" s="11"/>
    </row>
    <row r="297" spans="2:17" ht="15" customHeight="1" x14ac:dyDescent="0.2">
      <c r="B297" s="8">
        <v>43913</v>
      </c>
      <c r="C297" s="6">
        <f>IF(B297="","",[1]!s_dq_close(股指期货基差分析!$E$5,$B297))</f>
        <v>4998.9094999999998</v>
      </c>
      <c r="D297" s="6">
        <f>IF(B297="","",[1]!s_dq_close(股指期货基差分析!$E$6,$B297))</f>
        <v>4964.2</v>
      </c>
      <c r="E297" s="6">
        <f ca="1">RANK(F297,F:F)+COUNTIF(F$2:F297,F297)-1</f>
        <v>950</v>
      </c>
      <c r="F297" s="6">
        <f t="shared" si="5"/>
        <v>-34.709499999999935</v>
      </c>
      <c r="G297" s="6">
        <f ca="1">IF(B297="","",股指期货基差分析!$N$11)</f>
        <v>-71.408500000000458</v>
      </c>
      <c r="H297" s="6">
        <f ca="1">IF(B297="","",股指期货基差分析!$L$11)</f>
        <v>15.737900000000081</v>
      </c>
      <c r="I297" s="10">
        <f ca="1">IF(B297="","",股指期货基差分析!$D$11)</f>
        <v>-19.923978315132629</v>
      </c>
      <c r="L297" s="43"/>
      <c r="Q297" s="11"/>
    </row>
    <row r="298" spans="2:17" ht="15" customHeight="1" x14ac:dyDescent="0.2">
      <c r="B298" s="7">
        <v>43914</v>
      </c>
      <c r="C298" s="5">
        <f>IF(B298="","",[1]!s_dq_close(股指期货基差分析!$E$5,$B298))</f>
        <v>5096.0407999999998</v>
      </c>
      <c r="D298" s="5">
        <f>IF(B298="","",[1]!s_dq_close(股指期货基差分析!$E$6,$B298))</f>
        <v>5030</v>
      </c>
      <c r="E298" s="5">
        <f ca="1">RANK(F298,F:F)+COUNTIF(F$2:F298,F298)-1</f>
        <v>1193</v>
      </c>
      <c r="F298" s="5">
        <f t="shared" si="5"/>
        <v>-66.040799999999763</v>
      </c>
      <c r="G298" s="5">
        <f ca="1">IF(B298="","",股指期货基差分析!$N$11)</f>
        <v>-71.408500000000458</v>
      </c>
      <c r="H298" s="5">
        <f ca="1">IF(B298="","",股指期货基差分析!$L$11)</f>
        <v>15.737900000000081</v>
      </c>
      <c r="I298" s="9">
        <f ca="1">IF(B298="","",股指期货基差分析!$D$11)</f>
        <v>-19.923978315132629</v>
      </c>
      <c r="L298" s="43"/>
      <c r="Q298" s="11"/>
    </row>
    <row r="299" spans="2:17" ht="15" customHeight="1" x14ac:dyDescent="0.2">
      <c r="B299" s="8">
        <v>43915</v>
      </c>
      <c r="C299" s="6">
        <f>IF(B299="","",[1]!s_dq_close(股指期货基差分析!$E$5,$B299))</f>
        <v>5217.4237000000003</v>
      </c>
      <c r="D299" s="6">
        <f>IF(B299="","",[1]!s_dq_close(股指期货基差分析!$E$6,$B299))</f>
        <v>5141.6000000000004</v>
      </c>
      <c r="E299" s="6">
        <f ca="1">RANK(F299,F:F)+COUNTIF(F$2:F299,F299)-1</f>
        <v>1230</v>
      </c>
      <c r="F299" s="6">
        <f t="shared" si="5"/>
        <v>-75.823699999999917</v>
      </c>
      <c r="G299" s="6">
        <f ca="1">IF(B299="","",股指期货基差分析!$N$11)</f>
        <v>-71.408500000000458</v>
      </c>
      <c r="H299" s="6">
        <f ca="1">IF(B299="","",股指期货基差分析!$L$11)</f>
        <v>15.737900000000081</v>
      </c>
      <c r="I299" s="10">
        <f ca="1">IF(B299="","",股指期货基差分析!$D$11)</f>
        <v>-19.923978315132629</v>
      </c>
      <c r="L299" s="43"/>
      <c r="Q299" s="11"/>
    </row>
    <row r="300" spans="2:17" ht="15" customHeight="1" x14ac:dyDescent="0.2">
      <c r="B300" s="7">
        <v>43916</v>
      </c>
      <c r="C300" s="5">
        <f>IF(B300="","",[1]!s_dq_close(股指期货基差分析!$E$5,$B300))</f>
        <v>5166.1090999999997</v>
      </c>
      <c r="D300" s="5">
        <f>IF(B300="","",[1]!s_dq_close(股指期货基差分析!$E$6,$B300))</f>
        <v>5089</v>
      </c>
      <c r="E300" s="5">
        <f ca="1">RANK(F300,F:F)+COUNTIF(F$2:F300,F300)-1</f>
        <v>1235</v>
      </c>
      <c r="F300" s="5">
        <f t="shared" si="5"/>
        <v>-77.109099999999671</v>
      </c>
      <c r="G300" s="5">
        <f ca="1">IF(B300="","",股指期货基差分析!$N$11)</f>
        <v>-71.408500000000458</v>
      </c>
      <c r="H300" s="5">
        <f ca="1">IF(B300="","",股指期货基差分析!$L$11)</f>
        <v>15.737900000000081</v>
      </c>
      <c r="I300" s="9">
        <f ca="1">IF(B300="","",股指期货基差分析!$D$11)</f>
        <v>-19.923978315132629</v>
      </c>
      <c r="L300" s="43"/>
      <c r="Q300" s="11"/>
    </row>
    <row r="301" spans="2:17" ht="15" customHeight="1" x14ac:dyDescent="0.2">
      <c r="B301" s="8">
        <v>43917</v>
      </c>
      <c r="C301" s="6">
        <f>IF(B301="","",[1]!s_dq_close(股指期货基差分析!$E$5,$B301))</f>
        <v>5137.3370999999997</v>
      </c>
      <c r="D301" s="6">
        <f>IF(B301="","",[1]!s_dq_close(股指期货基差分析!$E$6,$B301))</f>
        <v>5053.6000000000004</v>
      </c>
      <c r="E301" s="6">
        <f ca="1">RANK(F301,F:F)+COUNTIF(F$2:F301,F301)-1</f>
        <v>1254</v>
      </c>
      <c r="F301" s="6">
        <f t="shared" si="5"/>
        <v>-83.737099999999373</v>
      </c>
      <c r="G301" s="6">
        <f ca="1">IF(B301="","",股指期货基差分析!$N$11)</f>
        <v>-71.408500000000458</v>
      </c>
      <c r="H301" s="6">
        <f ca="1">IF(B301="","",股指期货基差分析!$L$11)</f>
        <v>15.737900000000081</v>
      </c>
      <c r="I301" s="10">
        <f ca="1">IF(B301="","",股指期货基差分析!$D$11)</f>
        <v>-19.923978315132629</v>
      </c>
      <c r="L301" s="43"/>
      <c r="Q301" s="11"/>
    </row>
    <row r="302" spans="2:17" ht="15" customHeight="1" x14ac:dyDescent="0.2">
      <c r="B302" s="7">
        <v>43920</v>
      </c>
      <c r="C302" s="5">
        <f>IF(B302="","",[1]!s_dq_close(股指期货基差分析!$E$5,$B302))</f>
        <v>5027.4856</v>
      </c>
      <c r="D302" s="5">
        <f>IF(B302="","",[1]!s_dq_close(股指期货基差分析!$E$6,$B302))</f>
        <v>4975.2</v>
      </c>
      <c r="E302" s="5">
        <f ca="1">RANK(F302,F:F)+COUNTIF(F$2:F302,F302)-1</f>
        <v>1117</v>
      </c>
      <c r="F302" s="5">
        <f t="shared" si="5"/>
        <v>-52.285600000000159</v>
      </c>
      <c r="G302" s="5">
        <f ca="1">IF(B302="","",股指期货基差分析!$N$11)</f>
        <v>-71.408500000000458</v>
      </c>
      <c r="H302" s="5">
        <f ca="1">IF(B302="","",股指期货基差分析!$L$11)</f>
        <v>15.737900000000081</v>
      </c>
      <c r="I302" s="9">
        <f ca="1">IF(B302="","",股指期货基差分析!$D$11)</f>
        <v>-19.923978315132629</v>
      </c>
      <c r="L302" s="43"/>
      <c r="Q302" s="11"/>
    </row>
    <row r="303" spans="2:17" ht="15" customHeight="1" x14ac:dyDescent="0.2">
      <c r="B303" s="8">
        <v>43921</v>
      </c>
      <c r="C303" s="6">
        <f>IF(B303="","",[1]!s_dq_close(股指期货基差分析!$E$5,$B303))</f>
        <v>5041.4534000000003</v>
      </c>
      <c r="D303" s="6">
        <f>IF(B303="","",[1]!s_dq_close(股指期货基差分析!$E$6,$B303))</f>
        <v>4958.8</v>
      </c>
      <c r="E303" s="6">
        <f ca="1">RANK(F303,F:F)+COUNTIF(F$2:F303,F303)-1</f>
        <v>1251</v>
      </c>
      <c r="F303" s="6">
        <f t="shared" si="5"/>
        <v>-82.653400000000147</v>
      </c>
      <c r="G303" s="6">
        <f ca="1">IF(B303="","",股指期货基差分析!$N$11)</f>
        <v>-71.408500000000458</v>
      </c>
      <c r="H303" s="6">
        <f ca="1">IF(B303="","",股指期货基差分析!$L$11)</f>
        <v>15.737900000000081</v>
      </c>
      <c r="I303" s="10">
        <f ca="1">IF(B303="","",股指期货基差分析!$D$11)</f>
        <v>-19.923978315132629</v>
      </c>
      <c r="L303" s="43"/>
      <c r="Q303" s="11"/>
    </row>
    <row r="304" spans="2:17" ht="15" customHeight="1" x14ac:dyDescent="0.2">
      <c r="B304" s="7">
        <v>43922</v>
      </c>
      <c r="C304" s="5">
        <f>IF(B304="","",[1]!s_dq_close(股指期货基差分析!$E$5,$B304))</f>
        <v>5019.2187000000004</v>
      </c>
      <c r="D304" s="5">
        <f>IF(B304="","",[1]!s_dq_close(股指期货基差分析!$E$6,$B304))</f>
        <v>4950.3999999999996</v>
      </c>
      <c r="E304" s="5">
        <f ca="1">RANK(F304,F:F)+COUNTIF(F$2:F304,F304)-1</f>
        <v>1211</v>
      </c>
      <c r="F304" s="5">
        <f t="shared" si="5"/>
        <v>-68.818700000000717</v>
      </c>
      <c r="G304" s="5">
        <f ca="1">IF(B304="","",股指期货基差分析!$N$11)</f>
        <v>-71.408500000000458</v>
      </c>
      <c r="H304" s="5">
        <f ca="1">IF(B304="","",股指期货基差分析!$L$11)</f>
        <v>15.737900000000081</v>
      </c>
      <c r="I304" s="9">
        <f ca="1">IF(B304="","",股指期货基差分析!$D$11)</f>
        <v>-19.923978315132629</v>
      </c>
      <c r="L304" s="43"/>
      <c r="Q304" s="11"/>
    </row>
    <row r="305" spans="2:17" ht="15" customHeight="1" x14ac:dyDescent="0.2">
      <c r="B305" s="8">
        <v>43923</v>
      </c>
      <c r="C305" s="6">
        <f>IF(B305="","",[1]!s_dq_close(股指期货基差分析!$E$5,$B305))</f>
        <v>5147.2019</v>
      </c>
      <c r="D305" s="6">
        <f>IF(B305="","",[1]!s_dq_close(股指期货基差分析!$E$6,$B305))</f>
        <v>5130.3999999999996</v>
      </c>
      <c r="E305" s="6">
        <f ca="1">RANK(F305,F:F)+COUNTIF(F$2:F305,F305)-1</f>
        <v>693</v>
      </c>
      <c r="F305" s="6">
        <f t="shared" si="5"/>
        <v>-16.801900000000387</v>
      </c>
      <c r="G305" s="6">
        <f ca="1">IF(B305="","",股指期货基差分析!$N$11)</f>
        <v>-71.408500000000458</v>
      </c>
      <c r="H305" s="6">
        <f ca="1">IF(B305="","",股指期货基差分析!$L$11)</f>
        <v>15.737900000000081</v>
      </c>
      <c r="I305" s="10">
        <f ca="1">IF(B305="","",股指期货基差分析!$D$11)</f>
        <v>-19.923978315132629</v>
      </c>
      <c r="L305" s="43"/>
      <c r="Q305" s="11"/>
    </row>
    <row r="306" spans="2:17" ht="15" customHeight="1" x14ac:dyDescent="0.2">
      <c r="B306" s="7">
        <v>43924</v>
      </c>
      <c r="C306" s="5">
        <f>IF(B306="","",[1]!s_dq_close(股指期货基差分析!$E$5,$B306))</f>
        <v>5107.0393000000004</v>
      </c>
      <c r="D306" s="5">
        <f>IF(B306="","",[1]!s_dq_close(股指期货基差分析!$E$6,$B306))</f>
        <v>5061.6000000000004</v>
      </c>
      <c r="E306" s="5">
        <f ca="1">RANK(F306,F:F)+COUNTIF(F$2:F306,F306)-1</f>
        <v>1065</v>
      </c>
      <c r="F306" s="5">
        <f t="shared" si="5"/>
        <v>-45.439300000000003</v>
      </c>
      <c r="G306" s="5">
        <f ca="1">IF(B306="","",股指期货基差分析!$N$11)</f>
        <v>-71.408500000000458</v>
      </c>
      <c r="H306" s="5">
        <f ca="1">IF(B306="","",股指期货基差分析!$L$11)</f>
        <v>15.737900000000081</v>
      </c>
      <c r="I306" s="9">
        <f ca="1">IF(B306="","",股指期货基差分析!$D$11)</f>
        <v>-19.923978315132629</v>
      </c>
      <c r="L306" s="43"/>
      <c r="Q306" s="11"/>
    </row>
    <row r="307" spans="2:17" ht="15" customHeight="1" x14ac:dyDescent="0.2">
      <c r="B307" s="8">
        <v>43928</v>
      </c>
      <c r="C307" s="6">
        <f>IF(B307="","",[1]!s_dq_close(股指期货基差分析!$E$5,$B307))</f>
        <v>5267.0730000000003</v>
      </c>
      <c r="D307" s="6">
        <f>IF(B307="","",[1]!s_dq_close(股指期货基差分析!$E$6,$B307))</f>
        <v>5213</v>
      </c>
      <c r="E307" s="6">
        <f ca="1">RANK(F307,F:F)+COUNTIF(F$2:F307,F307)-1</f>
        <v>1131</v>
      </c>
      <c r="F307" s="6">
        <f t="shared" si="5"/>
        <v>-54.07300000000032</v>
      </c>
      <c r="G307" s="6">
        <f ca="1">IF(B307="","",股指期货基差分析!$N$11)</f>
        <v>-71.408500000000458</v>
      </c>
      <c r="H307" s="6">
        <f ca="1">IF(B307="","",股指期货基差分析!$L$11)</f>
        <v>15.737900000000081</v>
      </c>
      <c r="I307" s="10">
        <f ca="1">IF(B307="","",股指期货基差分析!$D$11)</f>
        <v>-19.923978315132629</v>
      </c>
      <c r="L307" s="43"/>
      <c r="Q307" s="11"/>
    </row>
    <row r="308" spans="2:17" ht="15" customHeight="1" x14ac:dyDescent="0.2">
      <c r="B308" s="7">
        <v>43929</v>
      </c>
      <c r="C308" s="5">
        <f>IF(B308="","",[1]!s_dq_close(股指期货基差分析!$E$5,$B308))</f>
        <v>5271.7960999999996</v>
      </c>
      <c r="D308" s="5">
        <f>IF(B308="","",[1]!s_dq_close(股指期货基差分析!$E$6,$B308))</f>
        <v>5229.2</v>
      </c>
      <c r="E308" s="5">
        <f ca="1">RANK(F308,F:F)+COUNTIF(F$2:F308,F308)-1</f>
        <v>1025</v>
      </c>
      <c r="F308" s="5">
        <f t="shared" si="5"/>
        <v>-42.596099999999751</v>
      </c>
      <c r="G308" s="5">
        <f ca="1">IF(B308="","",股指期货基差分析!$N$11)</f>
        <v>-71.408500000000458</v>
      </c>
      <c r="H308" s="5">
        <f ca="1">IF(B308="","",股指期货基差分析!$L$11)</f>
        <v>15.737900000000081</v>
      </c>
      <c r="I308" s="9">
        <f ca="1">IF(B308="","",股指期货基差分析!$D$11)</f>
        <v>-19.923978315132629</v>
      </c>
      <c r="L308" s="43"/>
      <c r="Q308" s="11"/>
    </row>
    <row r="309" spans="2:17" ht="15" customHeight="1" x14ac:dyDescent="0.2">
      <c r="B309" s="8">
        <v>43930</v>
      </c>
      <c r="C309" s="6">
        <f>IF(B309="","",[1]!s_dq_close(股指期货基差分析!$E$5,$B309))</f>
        <v>5322.4614000000001</v>
      </c>
      <c r="D309" s="6">
        <f>IF(B309="","",[1]!s_dq_close(股指期货基差分析!$E$6,$B309))</f>
        <v>5273.2</v>
      </c>
      <c r="E309" s="6">
        <f ca="1">RANK(F309,F:F)+COUNTIF(F$2:F309,F309)-1</f>
        <v>1093</v>
      </c>
      <c r="F309" s="6">
        <f t="shared" si="5"/>
        <v>-49.261400000000322</v>
      </c>
      <c r="G309" s="6">
        <f ca="1">IF(B309="","",股指期货基差分析!$N$11)</f>
        <v>-71.408500000000458</v>
      </c>
      <c r="H309" s="6">
        <f ca="1">IF(B309="","",股指期货基差分析!$L$11)</f>
        <v>15.737900000000081</v>
      </c>
      <c r="I309" s="10">
        <f ca="1">IF(B309="","",股指期货基差分析!$D$11)</f>
        <v>-19.923978315132629</v>
      </c>
      <c r="L309" s="43"/>
      <c r="Q309" s="11"/>
    </row>
    <row r="310" spans="2:17" ht="15" customHeight="1" x14ac:dyDescent="0.2">
      <c r="B310" s="7">
        <v>43931</v>
      </c>
      <c r="C310" s="5">
        <f>IF(B310="","",[1]!s_dq_close(股指期货基差分析!$E$5,$B310))</f>
        <v>5208.5101999999997</v>
      </c>
      <c r="D310" s="5">
        <f>IF(B310="","",[1]!s_dq_close(股指期货基差分析!$E$6,$B310))</f>
        <v>5195.8</v>
      </c>
      <c r="E310" s="5">
        <f ca="1">RANK(F310,F:F)+COUNTIF(F$2:F310,F310)-1</f>
        <v>608</v>
      </c>
      <c r="F310" s="5">
        <f t="shared" si="5"/>
        <v>-12.710199999999531</v>
      </c>
      <c r="G310" s="5">
        <f ca="1">IF(B310="","",股指期货基差分析!$N$11)</f>
        <v>-71.408500000000458</v>
      </c>
      <c r="H310" s="5">
        <f ca="1">IF(B310="","",股指期货基差分析!$L$11)</f>
        <v>15.737900000000081</v>
      </c>
      <c r="I310" s="9">
        <f ca="1">IF(B310="","",股指期货基差分析!$D$11)</f>
        <v>-19.923978315132629</v>
      </c>
      <c r="L310" s="43"/>
      <c r="Q310" s="11"/>
    </row>
    <row r="311" spans="2:17" ht="15" customHeight="1" x14ac:dyDescent="0.2">
      <c r="B311" s="8">
        <v>43934</v>
      </c>
      <c r="C311" s="6">
        <f>IF(B311="","",[1]!s_dq_close(股指期货基差分析!$E$5,$B311))</f>
        <v>5169.1756999999998</v>
      </c>
      <c r="D311" s="6">
        <f>IF(B311="","",[1]!s_dq_close(股指期货基差分析!$E$6,$B311))</f>
        <v>5139.8</v>
      </c>
      <c r="E311" s="6">
        <f ca="1">RANK(F311,F:F)+COUNTIF(F$2:F311,F311)-1</f>
        <v>881</v>
      </c>
      <c r="F311" s="6">
        <f t="shared" si="5"/>
        <v>-29.375699999999597</v>
      </c>
      <c r="G311" s="6">
        <f ca="1">IF(B311="","",股指期货基差分析!$N$11)</f>
        <v>-71.408500000000458</v>
      </c>
      <c r="H311" s="6">
        <f ca="1">IF(B311="","",股指期货基差分析!$L$11)</f>
        <v>15.737900000000081</v>
      </c>
      <c r="I311" s="10">
        <f ca="1">IF(B311="","",股指期货基差分析!$D$11)</f>
        <v>-19.923978315132629</v>
      </c>
      <c r="L311" s="43"/>
      <c r="Q311" s="11"/>
    </row>
    <row r="312" spans="2:17" ht="15" customHeight="1" x14ac:dyDescent="0.2">
      <c r="B312" s="7">
        <v>43935</v>
      </c>
      <c r="C312" s="5">
        <f>IF(B312="","",[1]!s_dq_close(股指期货基差分析!$E$5,$B312))</f>
        <v>5288.5929999999998</v>
      </c>
      <c r="D312" s="5">
        <f>IF(B312="","",[1]!s_dq_close(股指期货基差分析!$E$6,$B312))</f>
        <v>5262</v>
      </c>
      <c r="E312" s="5">
        <f ca="1">RANK(F312,F:F)+COUNTIF(F$2:F312,F312)-1</f>
        <v>836</v>
      </c>
      <c r="F312" s="5">
        <f t="shared" si="5"/>
        <v>-26.592999999999847</v>
      </c>
      <c r="G312" s="5">
        <f ca="1">IF(B312="","",股指期货基差分析!$N$11)</f>
        <v>-71.408500000000458</v>
      </c>
      <c r="H312" s="5">
        <f ca="1">IF(B312="","",股指期货基差分析!$L$11)</f>
        <v>15.737900000000081</v>
      </c>
      <c r="I312" s="9">
        <f ca="1">IF(B312="","",股指期货基差分析!$D$11)</f>
        <v>-19.923978315132629</v>
      </c>
      <c r="L312" s="43"/>
      <c r="Q312" s="11"/>
    </row>
    <row r="313" spans="2:17" ht="15" customHeight="1" x14ac:dyDescent="0.2">
      <c r="B313" s="8">
        <v>43936</v>
      </c>
      <c r="C313" s="6">
        <f>IF(B313="","",[1]!s_dq_close(股指期货基差分析!$E$5,$B313))</f>
        <v>5268.7497000000003</v>
      </c>
      <c r="D313" s="6">
        <f>IF(B313="","",[1]!s_dq_close(股指期货基差分析!$E$6,$B313))</f>
        <v>5251.4</v>
      </c>
      <c r="E313" s="6">
        <f ca="1">RANK(F313,F:F)+COUNTIF(F$2:F313,F313)-1</f>
        <v>707</v>
      </c>
      <c r="F313" s="6">
        <f t="shared" si="5"/>
        <v>-17.349700000000666</v>
      </c>
      <c r="G313" s="6">
        <f ca="1">IF(B313="","",股指期货基差分析!$N$11)</f>
        <v>-71.408500000000458</v>
      </c>
      <c r="H313" s="6">
        <f ca="1">IF(B313="","",股指期货基差分析!$L$11)</f>
        <v>15.737900000000081</v>
      </c>
      <c r="I313" s="10">
        <f ca="1">IF(B313="","",股指期货基差分析!$D$11)</f>
        <v>-19.923978315132629</v>
      </c>
      <c r="L313" s="43"/>
      <c r="Q313" s="11"/>
    </row>
    <row r="314" spans="2:17" ht="15" customHeight="1" x14ac:dyDescent="0.2">
      <c r="B314" s="7">
        <v>43937</v>
      </c>
      <c r="C314" s="5">
        <f>IF(B314="","",[1]!s_dq_close(股指期货基差分析!$E$5,$B314))</f>
        <v>5316.9706999999999</v>
      </c>
      <c r="D314" s="5">
        <f>IF(B314="","",[1]!s_dq_close(股指期货基差分析!$E$6,$B314))</f>
        <v>5308.4</v>
      </c>
      <c r="E314" s="5">
        <f ca="1">RANK(F314,F:F)+COUNTIF(F$2:F314,F314)-1</f>
        <v>516</v>
      </c>
      <c r="F314" s="5">
        <f t="shared" si="5"/>
        <v>-8.5707000000002154</v>
      </c>
      <c r="G314" s="5">
        <f ca="1">IF(B314="","",股指期货基差分析!$N$11)</f>
        <v>-71.408500000000458</v>
      </c>
      <c r="H314" s="5">
        <f ca="1">IF(B314="","",股指期货基差分析!$L$11)</f>
        <v>15.737900000000081</v>
      </c>
      <c r="I314" s="9">
        <f ca="1">IF(B314="","",股指期货基差分析!$D$11)</f>
        <v>-19.923978315132629</v>
      </c>
      <c r="L314" s="43"/>
      <c r="Q314" s="11"/>
    </row>
    <row r="315" spans="2:17" ht="15" customHeight="1" x14ac:dyDescent="0.2">
      <c r="B315" s="8">
        <v>43938</v>
      </c>
      <c r="C315" s="6">
        <f>IF(B315="","",[1]!s_dq_close(股指期货基差分析!$E$5,$B315))</f>
        <v>5318.4547000000002</v>
      </c>
      <c r="D315" s="6">
        <f>IF(B315="","",[1]!s_dq_close(股指期货基差分析!$E$6,$B315))</f>
        <v>5342</v>
      </c>
      <c r="E315" s="6">
        <f ca="1">RANK(F315,F:F)+COUNTIF(F$2:F315,F315)-1</f>
        <v>30</v>
      </c>
      <c r="F315" s="6">
        <f t="shared" si="5"/>
        <v>23.54529999999977</v>
      </c>
      <c r="G315" s="6">
        <f ca="1">IF(B315="","",股指期货基差分析!$N$11)</f>
        <v>-71.408500000000458</v>
      </c>
      <c r="H315" s="6">
        <f ca="1">IF(B315="","",股指期货基差分析!$L$11)</f>
        <v>15.737900000000081</v>
      </c>
      <c r="I315" s="10">
        <f ca="1">IF(B315="","",股指期货基差分析!$D$11)</f>
        <v>-19.923978315132629</v>
      </c>
      <c r="L315" s="43"/>
      <c r="Q315" s="11"/>
    </row>
    <row r="316" spans="2:17" ht="15" customHeight="1" x14ac:dyDescent="0.2">
      <c r="B316" s="7">
        <v>43941</v>
      </c>
      <c r="C316" s="5">
        <f>IF(B316="","",[1]!s_dq_close(股指期货基差分析!$E$5,$B316))</f>
        <v>5381.7857000000004</v>
      </c>
      <c r="D316" s="5">
        <f>IF(B316="","",[1]!s_dq_close(股指期货基差分析!$E$6,$B316))</f>
        <v>5295.2</v>
      </c>
      <c r="E316" s="5">
        <f ca="1">RANK(F316,F:F)+COUNTIF(F$2:F316,F316)-1</f>
        <v>1257</v>
      </c>
      <c r="F316" s="5">
        <f t="shared" si="5"/>
        <v>-86.585700000000543</v>
      </c>
      <c r="G316" s="5">
        <f ca="1">IF(B316="","",股指期货基差分析!$N$11)</f>
        <v>-71.408500000000458</v>
      </c>
      <c r="H316" s="5">
        <f ca="1">IF(B316="","",股指期货基差分析!$L$11)</f>
        <v>15.737900000000081</v>
      </c>
      <c r="I316" s="9">
        <f ca="1">IF(B316="","",股指期货基差分析!$D$11)</f>
        <v>-19.923978315132629</v>
      </c>
      <c r="L316" s="43"/>
      <c r="Q316" s="11"/>
    </row>
    <row r="317" spans="2:17" ht="15" customHeight="1" x14ac:dyDescent="0.2">
      <c r="B317" s="8">
        <v>43942</v>
      </c>
      <c r="C317" s="6">
        <f>IF(B317="","",[1]!s_dq_close(股指期货基差分析!$E$5,$B317))</f>
        <v>5343.8806000000004</v>
      </c>
      <c r="D317" s="6">
        <f>IF(B317="","",[1]!s_dq_close(股指期货基差分析!$E$6,$B317))</f>
        <v>5255.8</v>
      </c>
      <c r="E317" s="6">
        <f ca="1">RANK(F317,F:F)+COUNTIF(F$2:F317,F317)-1</f>
        <v>1260</v>
      </c>
      <c r="F317" s="6">
        <f t="shared" si="5"/>
        <v>-88.080600000000231</v>
      </c>
      <c r="G317" s="6">
        <f ca="1">IF(B317="","",股指期货基差分析!$N$11)</f>
        <v>-71.408500000000458</v>
      </c>
      <c r="H317" s="6">
        <f ca="1">IF(B317="","",股指期货基差分析!$L$11)</f>
        <v>15.737900000000081</v>
      </c>
      <c r="I317" s="10">
        <f ca="1">IF(B317="","",股指期货基差分析!$D$11)</f>
        <v>-19.923978315132629</v>
      </c>
      <c r="L317" s="43"/>
      <c r="Q317" s="11"/>
    </row>
    <row r="318" spans="2:17" ht="15" customHeight="1" x14ac:dyDescent="0.2">
      <c r="B318" s="7">
        <v>43943</v>
      </c>
      <c r="C318" s="5">
        <f>IF(B318="","",[1]!s_dq_close(股指期货基差分析!$E$5,$B318))</f>
        <v>5387.6233000000002</v>
      </c>
      <c r="D318" s="5">
        <f>IF(B318="","",[1]!s_dq_close(股指期货基差分析!$E$6,$B318))</f>
        <v>5319</v>
      </c>
      <c r="E318" s="5">
        <f ca="1">RANK(F318,F:F)+COUNTIF(F$2:F318,F318)-1</f>
        <v>1210</v>
      </c>
      <c r="F318" s="5">
        <f t="shared" si="5"/>
        <v>-68.623300000000199</v>
      </c>
      <c r="G318" s="5">
        <f ca="1">IF(B318="","",股指期货基差分析!$N$11)</f>
        <v>-71.408500000000458</v>
      </c>
      <c r="H318" s="5">
        <f ca="1">IF(B318="","",股指期货基差分析!$L$11)</f>
        <v>15.737900000000081</v>
      </c>
      <c r="I318" s="9">
        <f ca="1">IF(B318="","",股指期货基差分析!$D$11)</f>
        <v>-19.923978315132629</v>
      </c>
      <c r="L318" s="43"/>
      <c r="Q318" s="11"/>
    </row>
    <row r="319" spans="2:17" ht="15" customHeight="1" x14ac:dyDescent="0.2">
      <c r="B319" s="8">
        <v>43944</v>
      </c>
      <c r="C319" s="6">
        <f>IF(B319="","",[1]!s_dq_close(股指期货基差分析!$E$5,$B319))</f>
        <v>5357.7903999999999</v>
      </c>
      <c r="D319" s="6">
        <f>IF(B319="","",[1]!s_dq_close(股指期货基差分析!$E$6,$B319))</f>
        <v>5282.6</v>
      </c>
      <c r="E319" s="6">
        <f ca="1">RANK(F319,F:F)+COUNTIF(F$2:F319,F319)-1</f>
        <v>1227</v>
      </c>
      <c r="F319" s="6">
        <f t="shared" si="5"/>
        <v>-75.190399999999499</v>
      </c>
      <c r="G319" s="6">
        <f ca="1">IF(B319="","",股指期货基差分析!$N$11)</f>
        <v>-71.408500000000458</v>
      </c>
      <c r="H319" s="6">
        <f ca="1">IF(B319="","",股指期货基差分析!$L$11)</f>
        <v>15.737900000000081</v>
      </c>
      <c r="I319" s="10">
        <f ca="1">IF(B319="","",股指期货基差分析!$D$11)</f>
        <v>-19.923978315132629</v>
      </c>
      <c r="L319" s="43"/>
      <c r="Q319" s="11"/>
    </row>
    <row r="320" spans="2:17" ht="15" customHeight="1" x14ac:dyDescent="0.2">
      <c r="B320" s="7">
        <v>43945</v>
      </c>
      <c r="C320" s="5">
        <f>IF(B320="","",[1]!s_dq_close(股指期货基差分析!$E$5,$B320))</f>
        <v>5273.5474000000004</v>
      </c>
      <c r="D320" s="5">
        <f>IF(B320="","",[1]!s_dq_close(股指期货基差分析!$E$6,$B320))</f>
        <v>5216.2</v>
      </c>
      <c r="E320" s="5">
        <f ca="1">RANK(F320,F:F)+COUNTIF(F$2:F320,F320)-1</f>
        <v>1146</v>
      </c>
      <c r="F320" s="5">
        <f t="shared" si="5"/>
        <v>-57.347400000000562</v>
      </c>
      <c r="G320" s="5">
        <f ca="1">IF(B320="","",股指期货基差分析!$N$11)</f>
        <v>-71.408500000000458</v>
      </c>
      <c r="H320" s="5">
        <f ca="1">IF(B320="","",股指期货基差分析!$L$11)</f>
        <v>15.737900000000081</v>
      </c>
      <c r="I320" s="9">
        <f ca="1">IF(B320="","",股指期货基差分析!$D$11)</f>
        <v>-19.923978315132629</v>
      </c>
      <c r="L320" s="43"/>
      <c r="Q320" s="11"/>
    </row>
    <row r="321" spans="2:17" ht="15" customHeight="1" x14ac:dyDescent="0.2">
      <c r="B321" s="8">
        <v>43948</v>
      </c>
      <c r="C321" s="6">
        <f>IF(B321="","",[1]!s_dq_close(股指期货基差分析!$E$5,$B321))</f>
        <v>5265.7248</v>
      </c>
      <c r="D321" s="6">
        <f>IF(B321="","",[1]!s_dq_close(股指期货基差分析!$E$6,$B321))</f>
        <v>5202.8</v>
      </c>
      <c r="E321" s="6">
        <f ca="1">RANK(F321,F:F)+COUNTIF(F$2:F321,F321)-1</f>
        <v>1178</v>
      </c>
      <c r="F321" s="6">
        <f t="shared" si="5"/>
        <v>-62.924799999999777</v>
      </c>
      <c r="G321" s="6">
        <f ca="1">IF(B321="","",股指期货基差分析!$N$11)</f>
        <v>-71.408500000000458</v>
      </c>
      <c r="H321" s="6">
        <f ca="1">IF(B321="","",股指期货基差分析!$L$11)</f>
        <v>15.737900000000081</v>
      </c>
      <c r="I321" s="10">
        <f ca="1">IF(B321="","",股指期货基差分析!$D$11)</f>
        <v>-19.923978315132629</v>
      </c>
      <c r="L321" s="43"/>
      <c r="Q321" s="11"/>
    </row>
    <row r="322" spans="2:17" ht="15" customHeight="1" x14ac:dyDescent="0.2">
      <c r="B322" s="7">
        <v>43949</v>
      </c>
      <c r="C322" s="5">
        <f>IF(B322="","",[1]!s_dq_close(股指期货基差分析!$E$5,$B322))</f>
        <v>5227.8459999999995</v>
      </c>
      <c r="D322" s="5">
        <f>IF(B322="","",[1]!s_dq_close(股指期货基差分析!$E$6,$B322))</f>
        <v>5162.2</v>
      </c>
      <c r="E322" s="5">
        <f ca="1">RANK(F322,F:F)+COUNTIF(F$2:F322,F322)-1</f>
        <v>1190</v>
      </c>
      <c r="F322" s="5">
        <f t="shared" ref="F322:F385" si="6">IF(B322="","",D322-C322)</f>
        <v>-65.645999999999731</v>
      </c>
      <c r="G322" s="5">
        <f ca="1">IF(B322="","",股指期货基差分析!$N$11)</f>
        <v>-71.408500000000458</v>
      </c>
      <c r="H322" s="5">
        <f ca="1">IF(B322="","",股指期货基差分析!$L$11)</f>
        <v>15.737900000000081</v>
      </c>
      <c r="I322" s="9">
        <f ca="1">IF(B322="","",股指期货基差分析!$D$11)</f>
        <v>-19.923978315132629</v>
      </c>
      <c r="L322" s="43"/>
      <c r="Q322" s="11"/>
    </row>
    <row r="323" spans="2:17" ht="15" customHeight="1" x14ac:dyDescent="0.2">
      <c r="B323" s="8">
        <v>43950</v>
      </c>
      <c r="C323" s="6">
        <f>IF(B323="","",[1]!s_dq_close(股指期货基差分析!$E$5,$B323))</f>
        <v>5226.8116</v>
      </c>
      <c r="D323" s="6">
        <f>IF(B323="","",[1]!s_dq_close(股指期货基差分析!$E$6,$B323))</f>
        <v>5188.2</v>
      </c>
      <c r="E323" s="6">
        <f ca="1">RANK(F323,F:F)+COUNTIF(F$2:F323,F323)-1</f>
        <v>990</v>
      </c>
      <c r="F323" s="6">
        <f t="shared" si="6"/>
        <v>-38.61160000000018</v>
      </c>
      <c r="G323" s="6">
        <f ca="1">IF(B323="","",股指期货基差分析!$N$11)</f>
        <v>-71.408500000000458</v>
      </c>
      <c r="H323" s="6">
        <f ca="1">IF(B323="","",股指期货基差分析!$L$11)</f>
        <v>15.737900000000081</v>
      </c>
      <c r="I323" s="10">
        <f ca="1">IF(B323="","",股指期货基差分析!$D$11)</f>
        <v>-19.923978315132629</v>
      </c>
      <c r="L323" s="43"/>
      <c r="Q323" s="11"/>
    </row>
    <row r="324" spans="2:17" ht="15" customHeight="1" x14ac:dyDescent="0.2">
      <c r="B324" s="7">
        <v>43951</v>
      </c>
      <c r="C324" s="5">
        <f>IF(B324="","",[1]!s_dq_close(股指期货基差分析!$E$5,$B324))</f>
        <v>5353.8594999999996</v>
      </c>
      <c r="D324" s="5">
        <f>IF(B324="","",[1]!s_dq_close(股指期货基差分析!$E$6,$B324))</f>
        <v>5332</v>
      </c>
      <c r="E324" s="5">
        <f ca="1">RANK(F324,F:F)+COUNTIF(F$2:F324,F324)-1</f>
        <v>780</v>
      </c>
      <c r="F324" s="5">
        <f t="shared" si="6"/>
        <v>-21.859499999999571</v>
      </c>
      <c r="G324" s="5">
        <f ca="1">IF(B324="","",股指期货基差分析!$N$11)</f>
        <v>-71.408500000000458</v>
      </c>
      <c r="H324" s="5">
        <f ca="1">IF(B324="","",股指期货基差分析!$L$11)</f>
        <v>15.737900000000081</v>
      </c>
      <c r="I324" s="9">
        <f ca="1">IF(B324="","",股指期货基差分析!$D$11)</f>
        <v>-19.923978315132629</v>
      </c>
      <c r="L324" s="43"/>
      <c r="Q324" s="11"/>
    </row>
    <row r="325" spans="2:17" ht="15" customHeight="1" x14ac:dyDescent="0.2">
      <c r="B325" s="8">
        <v>43957</v>
      </c>
      <c r="C325" s="6">
        <f>IF(B325="","",[1]!s_dq_close(股指期货基差分析!$E$5,$B325))</f>
        <v>5451.3158999999996</v>
      </c>
      <c r="D325" s="6">
        <f>IF(B325="","",[1]!s_dq_close(股指期货基差分析!$E$6,$B325))</f>
        <v>5413.6</v>
      </c>
      <c r="E325" s="6">
        <f ca="1">RANK(F325,F:F)+COUNTIF(F$2:F325,F325)-1</f>
        <v>983</v>
      </c>
      <c r="F325" s="6">
        <f t="shared" si="6"/>
        <v>-37.715899999999237</v>
      </c>
      <c r="G325" s="6">
        <f ca="1">IF(B325="","",股指期货基差分析!$N$11)</f>
        <v>-71.408500000000458</v>
      </c>
      <c r="H325" s="6">
        <f ca="1">IF(B325="","",股指期货基差分析!$L$11)</f>
        <v>15.737900000000081</v>
      </c>
      <c r="I325" s="10">
        <f ca="1">IF(B325="","",股指期货基差分析!$D$11)</f>
        <v>-19.923978315132629</v>
      </c>
      <c r="L325" s="43"/>
      <c r="Q325" s="11"/>
    </row>
    <row r="326" spans="2:17" ht="15" customHeight="1" x14ac:dyDescent="0.2">
      <c r="B326" s="7">
        <v>43958</v>
      </c>
      <c r="C326" s="5">
        <f>IF(B326="","",[1]!s_dq_close(股指期货基差分析!$E$5,$B326))</f>
        <v>5445.7519000000002</v>
      </c>
      <c r="D326" s="5">
        <f>IF(B326="","",[1]!s_dq_close(股指期货基差分析!$E$6,$B326))</f>
        <v>5402.6</v>
      </c>
      <c r="E326" s="5">
        <f ca="1">RANK(F326,F:F)+COUNTIF(F$2:F326,F326)-1</f>
        <v>1031</v>
      </c>
      <c r="F326" s="5">
        <f t="shared" si="6"/>
        <v>-43.151899999999841</v>
      </c>
      <c r="G326" s="5">
        <f ca="1">IF(B326="","",股指期货基差分析!$N$11)</f>
        <v>-71.408500000000458</v>
      </c>
      <c r="H326" s="5">
        <f ca="1">IF(B326="","",股指期货基差分析!$L$11)</f>
        <v>15.737900000000081</v>
      </c>
      <c r="I326" s="9">
        <f ca="1">IF(B326="","",股指期货基差分析!$D$11)</f>
        <v>-19.923978315132629</v>
      </c>
      <c r="L326" s="43"/>
      <c r="Q326" s="11"/>
    </row>
    <row r="327" spans="2:17" ht="15" customHeight="1" x14ac:dyDescent="0.2">
      <c r="B327" s="8">
        <v>43959</v>
      </c>
      <c r="C327" s="6">
        <f>IF(B327="","",[1]!s_dq_close(股指期货基差分析!$E$5,$B327))</f>
        <v>5507.6965</v>
      </c>
      <c r="D327" s="6">
        <f>IF(B327="","",[1]!s_dq_close(股指期货基差分析!$E$6,$B327))</f>
        <v>5479.8</v>
      </c>
      <c r="E327" s="6">
        <f ca="1">RANK(F327,F:F)+COUNTIF(F$2:F327,F327)-1</f>
        <v>857</v>
      </c>
      <c r="F327" s="6">
        <f t="shared" si="6"/>
        <v>-27.896499999999833</v>
      </c>
      <c r="G327" s="6">
        <f ca="1">IF(B327="","",股指期货基差分析!$N$11)</f>
        <v>-71.408500000000458</v>
      </c>
      <c r="H327" s="6">
        <f ca="1">IF(B327="","",股指期货基差分析!$L$11)</f>
        <v>15.737900000000081</v>
      </c>
      <c r="I327" s="10">
        <f ca="1">IF(B327="","",股指期货基差分析!$D$11)</f>
        <v>-19.923978315132629</v>
      </c>
      <c r="L327" s="43"/>
      <c r="Q327" s="11"/>
    </row>
    <row r="328" spans="2:17" ht="15" customHeight="1" x14ac:dyDescent="0.2">
      <c r="B328" s="7">
        <v>43962</v>
      </c>
      <c r="C328" s="5">
        <f>IF(B328="","",[1]!s_dq_close(股指期货基差分析!$E$5,$B328))</f>
        <v>5496.192</v>
      </c>
      <c r="D328" s="5">
        <f>IF(B328="","",[1]!s_dq_close(股指期货基差分析!$E$6,$B328))</f>
        <v>5468.2</v>
      </c>
      <c r="E328" s="5">
        <f ca="1">RANK(F328,F:F)+COUNTIF(F$2:F328,F328)-1</f>
        <v>860</v>
      </c>
      <c r="F328" s="5">
        <f t="shared" si="6"/>
        <v>-27.992000000000189</v>
      </c>
      <c r="G328" s="5">
        <f ca="1">IF(B328="","",股指期货基差分析!$N$11)</f>
        <v>-71.408500000000458</v>
      </c>
      <c r="H328" s="5">
        <f ca="1">IF(B328="","",股指期货基差分析!$L$11)</f>
        <v>15.737900000000081</v>
      </c>
      <c r="I328" s="9">
        <f ca="1">IF(B328="","",股指期货基差分析!$D$11)</f>
        <v>-19.923978315132629</v>
      </c>
      <c r="L328" s="43"/>
      <c r="Q328" s="11"/>
    </row>
    <row r="329" spans="2:17" ht="15" customHeight="1" x14ac:dyDescent="0.2">
      <c r="B329" s="8">
        <v>43963</v>
      </c>
      <c r="C329" s="6">
        <f>IF(B329="","",[1]!s_dq_close(股指期货基差分析!$E$5,$B329))</f>
        <v>5512.4639999999999</v>
      </c>
      <c r="D329" s="6">
        <f>IF(B329="","",[1]!s_dq_close(股指期货基差分析!$E$6,$B329))</f>
        <v>5486</v>
      </c>
      <c r="E329" s="6">
        <f ca="1">RANK(F329,F:F)+COUNTIF(F$2:F329,F329)-1</f>
        <v>834</v>
      </c>
      <c r="F329" s="6">
        <f t="shared" si="6"/>
        <v>-26.463999999999942</v>
      </c>
      <c r="G329" s="6">
        <f ca="1">IF(B329="","",股指期货基差分析!$N$11)</f>
        <v>-71.408500000000458</v>
      </c>
      <c r="H329" s="6">
        <f ca="1">IF(B329="","",股指期货基差分析!$L$11)</f>
        <v>15.737900000000081</v>
      </c>
      <c r="I329" s="10">
        <f ca="1">IF(B329="","",股指期货基差分析!$D$11)</f>
        <v>-19.923978315132629</v>
      </c>
      <c r="L329" s="43"/>
      <c r="Q329" s="11"/>
    </row>
    <row r="330" spans="2:17" ht="15" customHeight="1" x14ac:dyDescent="0.2">
      <c r="B330" s="7">
        <v>43964</v>
      </c>
      <c r="C330" s="5">
        <f>IF(B330="","",[1]!s_dq_close(股指期货基差分析!$E$5,$B330))</f>
        <v>5536.2802000000001</v>
      </c>
      <c r="D330" s="5">
        <f>IF(B330="","",[1]!s_dq_close(股指期货基差分析!$E$6,$B330))</f>
        <v>5519</v>
      </c>
      <c r="E330" s="5">
        <f ca="1">RANK(F330,F:F)+COUNTIF(F$2:F330,F330)-1</f>
        <v>706</v>
      </c>
      <c r="F330" s="5">
        <f t="shared" si="6"/>
        <v>-17.28020000000015</v>
      </c>
      <c r="G330" s="5">
        <f ca="1">IF(B330="","",股指期货基差分析!$N$11)</f>
        <v>-71.408500000000458</v>
      </c>
      <c r="H330" s="5">
        <f ca="1">IF(B330="","",股指期货基差分析!$L$11)</f>
        <v>15.737900000000081</v>
      </c>
      <c r="I330" s="9">
        <f ca="1">IF(B330="","",股指期货基差分析!$D$11)</f>
        <v>-19.923978315132629</v>
      </c>
      <c r="L330" s="43"/>
      <c r="Q330" s="11"/>
    </row>
    <row r="331" spans="2:17" ht="15" customHeight="1" x14ac:dyDescent="0.2">
      <c r="B331" s="8">
        <v>43965</v>
      </c>
      <c r="C331" s="6">
        <f>IF(B331="","",[1]!s_dq_close(股指期货基差分析!$E$5,$B331))</f>
        <v>5487.107</v>
      </c>
      <c r="D331" s="6">
        <f>IF(B331="","",[1]!s_dq_close(股指期货基差分析!$E$6,$B331))</f>
        <v>5490.4</v>
      </c>
      <c r="E331" s="6">
        <f ca="1">RANK(F331,F:F)+COUNTIF(F$2:F331,F331)-1</f>
        <v>229</v>
      </c>
      <c r="F331" s="6">
        <f t="shared" si="6"/>
        <v>3.2929999999996653</v>
      </c>
      <c r="G331" s="6">
        <f ca="1">IF(B331="","",股指期货基差分析!$N$11)</f>
        <v>-71.408500000000458</v>
      </c>
      <c r="H331" s="6">
        <f ca="1">IF(B331="","",股指期货基差分析!$L$11)</f>
        <v>15.737900000000081</v>
      </c>
      <c r="I331" s="10">
        <f ca="1">IF(B331="","",股指期货基差分析!$D$11)</f>
        <v>-19.923978315132629</v>
      </c>
      <c r="L331" s="43"/>
      <c r="Q331" s="11"/>
    </row>
    <row r="332" spans="2:17" ht="15" customHeight="1" x14ac:dyDescent="0.2">
      <c r="B332" s="7">
        <v>43966</v>
      </c>
      <c r="C332" s="5">
        <f>IF(B332="","",[1]!s_dq_close(股指期货基差分析!$E$5,$B332))</f>
        <v>5507.9336000000003</v>
      </c>
      <c r="D332" s="5">
        <f>IF(B332="","",[1]!s_dq_close(股指期货基差分析!$E$6,$B332))</f>
        <v>5526.4</v>
      </c>
      <c r="E332" s="5">
        <f ca="1">RANK(F332,F:F)+COUNTIF(F$2:F332,F332)-1</f>
        <v>50</v>
      </c>
      <c r="F332" s="5">
        <f t="shared" si="6"/>
        <v>18.466399999999339</v>
      </c>
      <c r="G332" s="5">
        <f ca="1">IF(B332="","",股指期货基差分析!$N$11)</f>
        <v>-71.408500000000458</v>
      </c>
      <c r="H332" s="5">
        <f ca="1">IF(B332="","",股指期货基差分析!$L$11)</f>
        <v>15.737900000000081</v>
      </c>
      <c r="I332" s="9">
        <f ca="1">IF(B332="","",股指期货基差分析!$D$11)</f>
        <v>-19.923978315132629</v>
      </c>
      <c r="L332" s="43"/>
      <c r="Q332" s="11"/>
    </row>
    <row r="333" spans="2:17" ht="15" customHeight="1" x14ac:dyDescent="0.2">
      <c r="B333" s="8">
        <v>43969</v>
      </c>
      <c r="C333" s="6">
        <f>IF(B333="","",[1]!s_dq_close(股指期货基差分析!$E$5,$B333))</f>
        <v>5478.8217999999997</v>
      </c>
      <c r="D333" s="6">
        <f>IF(B333="","",[1]!s_dq_close(股指期货基差分析!$E$6,$B333))</f>
        <v>5389.4</v>
      </c>
      <c r="E333" s="6">
        <f ca="1">RANK(F333,F:F)+COUNTIF(F$2:F333,F333)-1</f>
        <v>1262</v>
      </c>
      <c r="F333" s="6">
        <f t="shared" si="6"/>
        <v>-89.421800000000076</v>
      </c>
      <c r="G333" s="6">
        <f ca="1">IF(B333="","",股指期货基差分析!$N$11)</f>
        <v>-71.408500000000458</v>
      </c>
      <c r="H333" s="6">
        <f ca="1">IF(B333="","",股指期货基差分析!$L$11)</f>
        <v>15.737900000000081</v>
      </c>
      <c r="I333" s="10">
        <f ca="1">IF(B333="","",股指期货基差分析!$D$11)</f>
        <v>-19.923978315132629</v>
      </c>
      <c r="L333" s="43"/>
      <c r="Q333" s="11"/>
    </row>
    <row r="334" spans="2:17" ht="15" customHeight="1" x14ac:dyDescent="0.2">
      <c r="B334" s="7">
        <v>43970</v>
      </c>
      <c r="C334" s="5">
        <f>IF(B334="","",[1]!s_dq_close(股指期货基差分析!$E$5,$B334))</f>
        <v>5547.8759</v>
      </c>
      <c r="D334" s="5">
        <f>IF(B334="","",[1]!s_dq_close(股指期货基差分析!$E$6,$B334))</f>
        <v>5454.2</v>
      </c>
      <c r="E334" s="5">
        <f ca="1">RANK(F334,F:F)+COUNTIF(F$2:F334,F334)-1</f>
        <v>1269</v>
      </c>
      <c r="F334" s="5">
        <f t="shared" si="6"/>
        <v>-93.675900000000183</v>
      </c>
      <c r="G334" s="5">
        <f ca="1">IF(B334="","",股指期货基差分析!$N$11)</f>
        <v>-71.408500000000458</v>
      </c>
      <c r="H334" s="5">
        <f ca="1">IF(B334="","",股指期货基差分析!$L$11)</f>
        <v>15.737900000000081</v>
      </c>
      <c r="I334" s="9">
        <f ca="1">IF(B334="","",股指期货基差分析!$D$11)</f>
        <v>-19.923978315132629</v>
      </c>
      <c r="L334" s="43"/>
      <c r="Q334" s="11"/>
    </row>
    <row r="335" spans="2:17" ht="15" customHeight="1" x14ac:dyDescent="0.2">
      <c r="B335" s="8">
        <v>43971</v>
      </c>
      <c r="C335" s="6">
        <f>IF(B335="","",[1]!s_dq_close(股指期货基差分析!$E$5,$B335))</f>
        <v>5489.7024000000001</v>
      </c>
      <c r="D335" s="6">
        <f>IF(B335="","",[1]!s_dq_close(股指期货基差分析!$E$6,$B335))</f>
        <v>5410.2</v>
      </c>
      <c r="E335" s="6">
        <f ca="1">RANK(F335,F:F)+COUNTIF(F$2:F335,F335)-1</f>
        <v>1243</v>
      </c>
      <c r="F335" s="6">
        <f t="shared" si="6"/>
        <v>-79.502400000000307</v>
      </c>
      <c r="G335" s="6">
        <f ca="1">IF(B335="","",股指期货基差分析!$N$11)</f>
        <v>-71.408500000000458</v>
      </c>
      <c r="H335" s="6">
        <f ca="1">IF(B335="","",股指期货基差分析!$L$11)</f>
        <v>15.737900000000081</v>
      </c>
      <c r="I335" s="10">
        <f ca="1">IF(B335="","",股指期货基差分析!$D$11)</f>
        <v>-19.923978315132629</v>
      </c>
      <c r="L335" s="43"/>
      <c r="Q335" s="11"/>
    </row>
    <row r="336" spans="2:17" ht="15" customHeight="1" x14ac:dyDescent="0.2">
      <c r="B336" s="7">
        <v>43972</v>
      </c>
      <c r="C336" s="5">
        <f>IF(B336="","",[1]!s_dq_close(股指期货基差分析!$E$5,$B336))</f>
        <v>5426.1745000000001</v>
      </c>
      <c r="D336" s="5">
        <f>IF(B336="","",[1]!s_dq_close(股指期货基差分析!$E$6,$B336))</f>
        <v>5343.2</v>
      </c>
      <c r="E336" s="5">
        <f ca="1">RANK(F336,F:F)+COUNTIF(F$2:F336,F336)-1</f>
        <v>1253</v>
      </c>
      <c r="F336" s="5">
        <f t="shared" si="6"/>
        <v>-82.974500000000262</v>
      </c>
      <c r="G336" s="5">
        <f ca="1">IF(B336="","",股指期货基差分析!$N$11)</f>
        <v>-71.408500000000458</v>
      </c>
      <c r="H336" s="5">
        <f ca="1">IF(B336="","",股指期货基差分析!$L$11)</f>
        <v>15.737900000000081</v>
      </c>
      <c r="I336" s="9">
        <f ca="1">IF(B336="","",股指期货基差分析!$D$11)</f>
        <v>-19.923978315132629</v>
      </c>
      <c r="L336" s="43"/>
      <c r="Q336" s="11"/>
    </row>
    <row r="337" spans="2:17" ht="15" customHeight="1" x14ac:dyDescent="0.2">
      <c r="B337" s="8">
        <v>43973</v>
      </c>
      <c r="C337" s="6">
        <f>IF(B337="","",[1]!s_dq_close(股指期货基差分析!$E$5,$B337))</f>
        <v>5328.2268000000004</v>
      </c>
      <c r="D337" s="6">
        <f>IF(B337="","",[1]!s_dq_close(股指期货基差分析!$E$6,$B337))</f>
        <v>5267.8</v>
      </c>
      <c r="E337" s="6">
        <f ca="1">RANK(F337,F:F)+COUNTIF(F$2:F337,F337)-1</f>
        <v>1164</v>
      </c>
      <c r="F337" s="6">
        <f t="shared" si="6"/>
        <v>-60.426800000000185</v>
      </c>
      <c r="G337" s="6">
        <f ca="1">IF(B337="","",股指期货基差分析!$N$11)</f>
        <v>-71.408500000000458</v>
      </c>
      <c r="H337" s="6">
        <f ca="1">IF(B337="","",股指期货基差分析!$L$11)</f>
        <v>15.737900000000081</v>
      </c>
      <c r="I337" s="10">
        <f ca="1">IF(B337="","",股指期货基差分析!$D$11)</f>
        <v>-19.923978315132629</v>
      </c>
      <c r="L337" s="43"/>
      <c r="Q337" s="11"/>
    </row>
    <row r="338" spans="2:17" ht="15" customHeight="1" x14ac:dyDescent="0.2">
      <c r="B338" s="7">
        <v>43976</v>
      </c>
      <c r="C338" s="5">
        <f>IF(B338="","",[1]!s_dq_close(股指期货基差分析!$E$5,$B338))</f>
        <v>5316.6036000000004</v>
      </c>
      <c r="D338" s="5">
        <f>IF(B338="","",[1]!s_dq_close(股指期货基差分析!$E$6,$B338))</f>
        <v>5254.6</v>
      </c>
      <c r="E338" s="5">
        <f ca="1">RANK(F338,F:F)+COUNTIF(F$2:F338,F338)-1</f>
        <v>1174</v>
      </c>
      <c r="F338" s="5">
        <f t="shared" si="6"/>
        <v>-62.003600000000006</v>
      </c>
      <c r="G338" s="5">
        <f ca="1">IF(B338="","",股指期货基差分析!$N$11)</f>
        <v>-71.408500000000458</v>
      </c>
      <c r="H338" s="5">
        <f ca="1">IF(B338="","",股指期货基差分析!$L$11)</f>
        <v>15.737900000000081</v>
      </c>
      <c r="I338" s="9">
        <f ca="1">IF(B338="","",股指期货基差分析!$D$11)</f>
        <v>-19.923978315132629</v>
      </c>
      <c r="L338" s="43"/>
      <c r="Q338" s="11"/>
    </row>
    <row r="339" spans="2:17" ht="15" customHeight="1" x14ac:dyDescent="0.2">
      <c r="B339" s="8">
        <v>43977</v>
      </c>
      <c r="C339" s="6">
        <f>IF(B339="","",[1]!s_dq_close(股指期货基差分析!$E$5,$B339))</f>
        <v>5420.2125999999998</v>
      </c>
      <c r="D339" s="6">
        <f>IF(B339="","",[1]!s_dq_close(股指期货基差分析!$E$6,$B339))</f>
        <v>5343.6</v>
      </c>
      <c r="E339" s="6">
        <f ca="1">RANK(F339,F:F)+COUNTIF(F$2:F339,F339)-1</f>
        <v>1232</v>
      </c>
      <c r="F339" s="6">
        <f t="shared" si="6"/>
        <v>-76.612599999999475</v>
      </c>
      <c r="G339" s="6">
        <f ca="1">IF(B339="","",股指期货基差分析!$N$11)</f>
        <v>-71.408500000000458</v>
      </c>
      <c r="H339" s="6">
        <f ca="1">IF(B339="","",股指期货基差分析!$L$11)</f>
        <v>15.737900000000081</v>
      </c>
      <c r="I339" s="10">
        <f ca="1">IF(B339="","",股指期货基差分析!$D$11)</f>
        <v>-19.923978315132629</v>
      </c>
      <c r="L339" s="43"/>
      <c r="Q339" s="11"/>
    </row>
    <row r="340" spans="2:17" ht="15" customHeight="1" x14ac:dyDescent="0.2">
      <c r="B340" s="7">
        <v>43978</v>
      </c>
      <c r="C340" s="5">
        <f>IF(B340="","",[1]!s_dq_close(股指期货基差分析!$E$5,$B340))</f>
        <v>5369.4992000000002</v>
      </c>
      <c r="D340" s="5">
        <f>IF(B340="","",[1]!s_dq_close(股指期货基差分析!$E$6,$B340))</f>
        <v>5301.4</v>
      </c>
      <c r="E340" s="5">
        <f ca="1">RANK(F340,F:F)+COUNTIF(F$2:F340,F340)-1</f>
        <v>1208</v>
      </c>
      <c r="F340" s="5">
        <f t="shared" si="6"/>
        <v>-68.099200000000565</v>
      </c>
      <c r="G340" s="5">
        <f ca="1">IF(B340="","",股指期货基差分析!$N$11)</f>
        <v>-71.408500000000458</v>
      </c>
      <c r="H340" s="5">
        <f ca="1">IF(B340="","",股指期货基差分析!$L$11)</f>
        <v>15.737900000000081</v>
      </c>
      <c r="I340" s="9">
        <f ca="1">IF(B340="","",股指期货基差分析!$D$11)</f>
        <v>-19.923978315132629</v>
      </c>
      <c r="L340" s="43"/>
      <c r="Q340" s="11"/>
    </row>
    <row r="341" spans="2:17" ht="15" customHeight="1" x14ac:dyDescent="0.2">
      <c r="B341" s="8">
        <v>43979</v>
      </c>
      <c r="C341" s="6">
        <f>IF(B341="","",[1]!s_dq_close(股指期货基差分析!$E$5,$B341))</f>
        <v>5361.1670000000004</v>
      </c>
      <c r="D341" s="6">
        <f>IF(B341="","",[1]!s_dq_close(股指期货基差分析!$E$6,$B341))</f>
        <v>5282.6</v>
      </c>
      <c r="E341" s="6">
        <f ca="1">RANK(F341,F:F)+COUNTIF(F$2:F341,F341)-1</f>
        <v>1242</v>
      </c>
      <c r="F341" s="6">
        <f t="shared" si="6"/>
        <v>-78.567000000000007</v>
      </c>
      <c r="G341" s="6">
        <f ca="1">IF(B341="","",股指期货基差分析!$N$11)</f>
        <v>-71.408500000000458</v>
      </c>
      <c r="H341" s="6">
        <f ca="1">IF(B341="","",股指期货基差分析!$L$11)</f>
        <v>15.737900000000081</v>
      </c>
      <c r="I341" s="10">
        <f ca="1">IF(B341="","",股指期货基差分析!$D$11)</f>
        <v>-19.923978315132629</v>
      </c>
      <c r="L341" s="43"/>
      <c r="Q341" s="11"/>
    </row>
    <row r="342" spans="2:17" ht="15" customHeight="1" x14ac:dyDescent="0.2">
      <c r="B342" s="7">
        <v>43980</v>
      </c>
      <c r="C342" s="5">
        <f>IF(B342="","",[1]!s_dq_close(股指期货基差分析!$E$5,$B342))</f>
        <v>5406.3402999999998</v>
      </c>
      <c r="D342" s="5">
        <f>IF(B342="","",[1]!s_dq_close(股指期货基差分析!$E$6,$B342))</f>
        <v>5318.8</v>
      </c>
      <c r="E342" s="5">
        <f ca="1">RANK(F342,F:F)+COUNTIF(F$2:F342,F342)-1</f>
        <v>1259</v>
      </c>
      <c r="F342" s="5">
        <f t="shared" si="6"/>
        <v>-87.540299999999661</v>
      </c>
      <c r="G342" s="5">
        <f ca="1">IF(B342="","",股指期货基差分析!$N$11)</f>
        <v>-71.408500000000458</v>
      </c>
      <c r="H342" s="5">
        <f ca="1">IF(B342="","",股指期货基差分析!$L$11)</f>
        <v>15.737900000000081</v>
      </c>
      <c r="I342" s="9">
        <f ca="1">IF(B342="","",股指期货基差分析!$D$11)</f>
        <v>-19.923978315132629</v>
      </c>
      <c r="L342" s="43"/>
      <c r="Q342" s="11"/>
    </row>
    <row r="343" spans="2:17" ht="15" customHeight="1" x14ac:dyDescent="0.2">
      <c r="B343" s="8">
        <v>43983</v>
      </c>
      <c r="C343" s="6">
        <f>IF(B343="","",[1]!s_dq_close(股指期货基差分析!$E$5,$B343))</f>
        <v>5569.48</v>
      </c>
      <c r="D343" s="6">
        <f>IF(B343="","",[1]!s_dq_close(股指期货基差分析!$E$6,$B343))</f>
        <v>5524.2</v>
      </c>
      <c r="E343" s="6">
        <f ca="1">RANK(F343,F:F)+COUNTIF(F$2:F343,F343)-1</f>
        <v>1062</v>
      </c>
      <c r="F343" s="6">
        <f t="shared" si="6"/>
        <v>-45.279999999999745</v>
      </c>
      <c r="G343" s="6">
        <f ca="1">IF(B343="","",股指期货基差分析!$N$11)</f>
        <v>-71.408500000000458</v>
      </c>
      <c r="H343" s="6">
        <f ca="1">IF(B343="","",股指期货基差分析!$L$11)</f>
        <v>15.737900000000081</v>
      </c>
      <c r="I343" s="10">
        <f ca="1">IF(B343="","",股指期货基差分析!$D$11)</f>
        <v>-19.923978315132629</v>
      </c>
      <c r="L343" s="43"/>
      <c r="Q343" s="11"/>
    </row>
    <row r="344" spans="2:17" ht="15" customHeight="1" x14ac:dyDescent="0.2">
      <c r="B344" s="7">
        <v>43984</v>
      </c>
      <c r="C344" s="5">
        <f>IF(B344="","",[1]!s_dq_close(股指期货基差分析!$E$5,$B344))</f>
        <v>5566.4438</v>
      </c>
      <c r="D344" s="5">
        <f>IF(B344="","",[1]!s_dq_close(股指期货基差分析!$E$6,$B344))</f>
        <v>5523</v>
      </c>
      <c r="E344" s="5">
        <f ca="1">RANK(F344,F:F)+COUNTIF(F$2:F344,F344)-1</f>
        <v>1035</v>
      </c>
      <c r="F344" s="5">
        <f t="shared" si="6"/>
        <v>-43.44380000000001</v>
      </c>
      <c r="G344" s="5">
        <f ca="1">IF(B344="","",股指期货基差分析!$N$11)</f>
        <v>-71.408500000000458</v>
      </c>
      <c r="H344" s="5">
        <f ca="1">IF(B344="","",股指期货基差分析!$L$11)</f>
        <v>15.737900000000081</v>
      </c>
      <c r="I344" s="9">
        <f ca="1">IF(B344="","",股指期货基差分析!$D$11)</f>
        <v>-19.923978315132629</v>
      </c>
      <c r="L344" s="43"/>
      <c r="Q344" s="11"/>
    </row>
    <row r="345" spans="2:17" ht="15" customHeight="1" x14ac:dyDescent="0.2">
      <c r="B345" s="8">
        <v>43985</v>
      </c>
      <c r="C345" s="6">
        <f>IF(B345="","",[1]!s_dq_close(股指期货基差分析!$E$5,$B345))</f>
        <v>5572.3125</v>
      </c>
      <c r="D345" s="6">
        <f>IF(B345="","",[1]!s_dq_close(股指期货基差分析!$E$6,$B345))</f>
        <v>5512</v>
      </c>
      <c r="E345" s="6">
        <f ca="1">RANK(F345,F:F)+COUNTIF(F$2:F345,F345)-1</f>
        <v>1162</v>
      </c>
      <c r="F345" s="6">
        <f t="shared" si="6"/>
        <v>-60.3125</v>
      </c>
      <c r="G345" s="6">
        <f ca="1">IF(B345="","",股指期货基差分析!$N$11)</f>
        <v>-71.408500000000458</v>
      </c>
      <c r="H345" s="6">
        <f ca="1">IF(B345="","",股指期货基差分析!$L$11)</f>
        <v>15.737900000000081</v>
      </c>
      <c r="I345" s="10">
        <f ca="1">IF(B345="","",股指期货基差分析!$D$11)</f>
        <v>-19.923978315132629</v>
      </c>
      <c r="L345" s="43"/>
      <c r="Q345" s="11"/>
    </row>
    <row r="346" spans="2:17" ht="15" customHeight="1" x14ac:dyDescent="0.2">
      <c r="B346" s="7">
        <v>43986</v>
      </c>
      <c r="C346" s="5">
        <f>IF(B346="","",[1]!s_dq_close(股指期货基差分析!$E$5,$B346))</f>
        <v>5576.7534999999998</v>
      </c>
      <c r="D346" s="5">
        <f>IF(B346="","",[1]!s_dq_close(股指期货基差分析!$E$6,$B346))</f>
        <v>5517.4</v>
      </c>
      <c r="E346" s="5">
        <f ca="1">RANK(F346,F:F)+COUNTIF(F$2:F346,F346)-1</f>
        <v>1156</v>
      </c>
      <c r="F346" s="5">
        <f t="shared" si="6"/>
        <v>-59.353500000000167</v>
      </c>
      <c r="G346" s="5">
        <f ca="1">IF(B346="","",股指期货基差分析!$N$11)</f>
        <v>-71.408500000000458</v>
      </c>
      <c r="H346" s="5">
        <f ca="1">IF(B346="","",股指期货基差分析!$L$11)</f>
        <v>15.737900000000081</v>
      </c>
      <c r="I346" s="9">
        <f ca="1">IF(B346="","",股指期货基差分析!$D$11)</f>
        <v>-19.923978315132629</v>
      </c>
      <c r="L346" s="43"/>
      <c r="Q346" s="11"/>
    </row>
    <row r="347" spans="2:17" ht="15" customHeight="1" x14ac:dyDescent="0.2">
      <c r="B347" s="8">
        <v>43987</v>
      </c>
      <c r="C347" s="6">
        <f>IF(B347="","",[1]!s_dq_close(股指期货基差分析!$E$5,$B347))</f>
        <v>5585.4231</v>
      </c>
      <c r="D347" s="6">
        <f>IF(B347="","",[1]!s_dq_close(股指期货基差分析!$E$6,$B347))</f>
        <v>5541</v>
      </c>
      <c r="E347" s="6">
        <f ca="1">RANK(F347,F:F)+COUNTIF(F$2:F347,F347)-1</f>
        <v>1051</v>
      </c>
      <c r="F347" s="6">
        <f t="shared" si="6"/>
        <v>-44.423099999999977</v>
      </c>
      <c r="G347" s="6">
        <f ca="1">IF(B347="","",股指期货基差分析!$N$11)</f>
        <v>-71.408500000000458</v>
      </c>
      <c r="H347" s="6">
        <f ca="1">IF(B347="","",股指期货基差分析!$L$11)</f>
        <v>15.737900000000081</v>
      </c>
      <c r="I347" s="10">
        <f ca="1">IF(B347="","",股指期货基差分析!$D$11)</f>
        <v>-19.923978315132629</v>
      </c>
      <c r="L347" s="43"/>
      <c r="Q347" s="11"/>
    </row>
    <row r="348" spans="2:17" ht="15" customHeight="1" x14ac:dyDescent="0.2">
      <c r="B348" s="7">
        <v>43990</v>
      </c>
      <c r="C348" s="5">
        <f>IF(B348="","",[1]!s_dq_close(股指期货基差分析!$E$5,$B348))</f>
        <v>5575.3036000000002</v>
      </c>
      <c r="D348" s="5">
        <f>IF(B348="","",[1]!s_dq_close(股指期货基差分析!$E$6,$B348))</f>
        <v>5522.2</v>
      </c>
      <c r="E348" s="5">
        <f ca="1">RANK(F348,F:F)+COUNTIF(F$2:F348,F348)-1</f>
        <v>1128</v>
      </c>
      <c r="F348" s="5">
        <f t="shared" si="6"/>
        <v>-53.10360000000037</v>
      </c>
      <c r="G348" s="5">
        <f ca="1">IF(B348="","",股指期货基差分析!$N$11)</f>
        <v>-71.408500000000458</v>
      </c>
      <c r="H348" s="5">
        <f ca="1">IF(B348="","",股指期货基差分析!$L$11)</f>
        <v>15.737900000000081</v>
      </c>
      <c r="I348" s="9">
        <f ca="1">IF(B348="","",股指期货基差分析!$D$11)</f>
        <v>-19.923978315132629</v>
      </c>
      <c r="L348" s="43"/>
      <c r="Q348" s="11"/>
    </row>
    <row r="349" spans="2:17" ht="15" customHeight="1" x14ac:dyDescent="0.2">
      <c r="B349" s="8">
        <v>43991</v>
      </c>
      <c r="C349" s="6">
        <f>IF(B349="","",[1]!s_dq_close(股指期货基差分析!$E$5,$B349))</f>
        <v>5610.3774000000003</v>
      </c>
      <c r="D349" s="6">
        <f>IF(B349="","",[1]!s_dq_close(股指期货基差分析!$E$6,$B349))</f>
        <v>5559.2</v>
      </c>
      <c r="E349" s="6">
        <f ca="1">RANK(F349,F:F)+COUNTIF(F$2:F349,F349)-1</f>
        <v>1109</v>
      </c>
      <c r="F349" s="6">
        <f t="shared" si="6"/>
        <v>-51.177400000000489</v>
      </c>
      <c r="G349" s="6">
        <f ca="1">IF(B349="","",股指期货基差分析!$N$11)</f>
        <v>-71.408500000000458</v>
      </c>
      <c r="H349" s="6">
        <f ca="1">IF(B349="","",股指期货基差分析!$L$11)</f>
        <v>15.737900000000081</v>
      </c>
      <c r="I349" s="10">
        <f ca="1">IF(B349="","",股指期货基差分析!$D$11)</f>
        <v>-19.923978315132629</v>
      </c>
      <c r="L349" s="43"/>
      <c r="Q349" s="11"/>
    </row>
    <row r="350" spans="2:17" ht="15" customHeight="1" x14ac:dyDescent="0.2">
      <c r="B350" s="7">
        <v>43992</v>
      </c>
      <c r="C350" s="5">
        <f>IF(B350="","",[1]!s_dq_close(股指期货基差分析!$E$5,$B350))</f>
        <v>5615.2416999999996</v>
      </c>
      <c r="D350" s="5">
        <f>IF(B350="","",[1]!s_dq_close(股指期货基差分析!$E$6,$B350))</f>
        <v>5563.4</v>
      </c>
      <c r="E350" s="5">
        <f ca="1">RANK(F350,F:F)+COUNTIF(F$2:F350,F350)-1</f>
        <v>1114</v>
      </c>
      <c r="F350" s="5">
        <f t="shared" si="6"/>
        <v>-51.841699999999946</v>
      </c>
      <c r="G350" s="5">
        <f ca="1">IF(B350="","",股指期货基差分析!$N$11)</f>
        <v>-71.408500000000458</v>
      </c>
      <c r="H350" s="5">
        <f ca="1">IF(B350="","",股指期货基差分析!$L$11)</f>
        <v>15.737900000000081</v>
      </c>
      <c r="I350" s="9">
        <f ca="1">IF(B350="","",股指期货基差分析!$D$11)</f>
        <v>-19.923978315132629</v>
      </c>
      <c r="L350" s="43"/>
      <c r="Q350" s="11"/>
    </row>
    <row r="351" spans="2:17" ht="15" customHeight="1" x14ac:dyDescent="0.2">
      <c r="B351" s="8">
        <v>43993</v>
      </c>
      <c r="C351" s="6">
        <f>IF(B351="","",[1]!s_dq_close(股指期货基差分析!$E$5,$B351))</f>
        <v>5589.1018999999997</v>
      </c>
      <c r="D351" s="6">
        <f>IF(B351="","",[1]!s_dq_close(股指期货基差分析!$E$6,$B351))</f>
        <v>5556.6</v>
      </c>
      <c r="E351" s="6">
        <f ca="1">RANK(F351,F:F)+COUNTIF(F$2:F351,F351)-1</f>
        <v>925</v>
      </c>
      <c r="F351" s="6">
        <f t="shared" si="6"/>
        <v>-32.501899999999296</v>
      </c>
      <c r="G351" s="6">
        <f ca="1">IF(B351="","",股指期货基差分析!$N$11)</f>
        <v>-71.408500000000458</v>
      </c>
      <c r="H351" s="6">
        <f ca="1">IF(B351="","",股指期货基差分析!$L$11)</f>
        <v>15.737900000000081</v>
      </c>
      <c r="I351" s="10">
        <f ca="1">IF(B351="","",股指期货基差分析!$D$11)</f>
        <v>-19.923978315132629</v>
      </c>
      <c r="L351" s="43"/>
      <c r="Q351" s="11"/>
    </row>
    <row r="352" spans="2:17" ht="15" customHeight="1" x14ac:dyDescent="0.2">
      <c r="B352" s="7">
        <v>43994</v>
      </c>
      <c r="C352" s="5">
        <f>IF(B352="","",[1]!s_dq_close(股指期货基差分析!$E$5,$B352))</f>
        <v>5591.4871000000003</v>
      </c>
      <c r="D352" s="5">
        <f>IF(B352="","",[1]!s_dq_close(股指期货基差分析!$E$6,$B352))</f>
        <v>5578.2</v>
      </c>
      <c r="E352" s="5">
        <f ca="1">RANK(F352,F:F)+COUNTIF(F$2:F352,F352)-1</f>
        <v>624</v>
      </c>
      <c r="F352" s="5">
        <f t="shared" si="6"/>
        <v>-13.287100000000464</v>
      </c>
      <c r="G352" s="5">
        <f ca="1">IF(B352="","",股指期货基差分析!$N$11)</f>
        <v>-71.408500000000458</v>
      </c>
      <c r="H352" s="5">
        <f ca="1">IF(B352="","",股指期货基差分析!$L$11)</f>
        <v>15.737900000000081</v>
      </c>
      <c r="I352" s="9">
        <f ca="1">IF(B352="","",股指期货基差分析!$D$11)</f>
        <v>-19.923978315132629</v>
      </c>
      <c r="L352" s="43"/>
      <c r="Q352" s="11"/>
    </row>
    <row r="353" spans="2:17" ht="15" customHeight="1" x14ac:dyDescent="0.2">
      <c r="B353" s="8">
        <v>43997</v>
      </c>
      <c r="C353" s="6">
        <f>IF(B353="","",[1]!s_dq_close(股指期货基差分析!$E$5,$B353))</f>
        <v>5590.6435000000001</v>
      </c>
      <c r="D353" s="6">
        <f>IF(B353="","",[1]!s_dq_close(股指期货基差分析!$E$6,$B353))</f>
        <v>5557</v>
      </c>
      <c r="E353" s="6">
        <f ca="1">RANK(F353,F:F)+COUNTIF(F$2:F353,F353)-1</f>
        <v>934</v>
      </c>
      <c r="F353" s="6">
        <f t="shared" si="6"/>
        <v>-33.643500000000131</v>
      </c>
      <c r="G353" s="6">
        <f ca="1">IF(B353="","",股指期货基差分析!$N$11)</f>
        <v>-71.408500000000458</v>
      </c>
      <c r="H353" s="6">
        <f ca="1">IF(B353="","",股指期货基差分析!$L$11)</f>
        <v>15.737900000000081</v>
      </c>
      <c r="I353" s="10">
        <f ca="1">IF(B353="","",股指期货基差分析!$D$11)</f>
        <v>-19.923978315132629</v>
      </c>
      <c r="L353" s="43"/>
      <c r="Q353" s="11"/>
    </row>
    <row r="354" spans="2:17" ht="15" customHeight="1" x14ac:dyDescent="0.2">
      <c r="B354" s="7">
        <v>43998</v>
      </c>
      <c r="C354" s="5">
        <f>IF(B354="","",[1]!s_dq_close(股指期货基差分析!$E$5,$B354))</f>
        <v>5695.3006999999998</v>
      </c>
      <c r="D354" s="5">
        <f>IF(B354="","",[1]!s_dq_close(股指期货基差分析!$E$6,$B354))</f>
        <v>5678.8</v>
      </c>
      <c r="E354" s="5">
        <f ca="1">RANK(F354,F:F)+COUNTIF(F$2:F354,F354)-1</f>
        <v>688</v>
      </c>
      <c r="F354" s="5">
        <f t="shared" si="6"/>
        <v>-16.500699999999597</v>
      </c>
      <c r="G354" s="5">
        <f ca="1">IF(B354="","",股指期货基差分析!$N$11)</f>
        <v>-71.408500000000458</v>
      </c>
      <c r="H354" s="5">
        <f ca="1">IF(B354="","",股指期货基差分析!$L$11)</f>
        <v>15.737900000000081</v>
      </c>
      <c r="I354" s="9">
        <f ca="1">IF(B354="","",股指期货基差分析!$D$11)</f>
        <v>-19.923978315132629</v>
      </c>
      <c r="L354" s="43"/>
      <c r="Q354" s="11"/>
    </row>
    <row r="355" spans="2:17" ht="15" customHeight="1" x14ac:dyDescent="0.2">
      <c r="B355" s="8">
        <v>43999</v>
      </c>
      <c r="C355" s="6">
        <f>IF(B355="","",[1]!s_dq_close(股指期货基差分析!$E$5,$B355))</f>
        <v>5735.4183000000003</v>
      </c>
      <c r="D355" s="6">
        <f>IF(B355="","",[1]!s_dq_close(股指期货基差分析!$E$6,$B355))</f>
        <v>5706</v>
      </c>
      <c r="E355" s="6">
        <f ca="1">RANK(F355,F:F)+COUNTIF(F$2:F355,F355)-1</f>
        <v>883</v>
      </c>
      <c r="F355" s="6">
        <f t="shared" si="6"/>
        <v>-29.418300000000272</v>
      </c>
      <c r="G355" s="6">
        <f ca="1">IF(B355="","",股指期货基差分析!$N$11)</f>
        <v>-71.408500000000458</v>
      </c>
      <c r="H355" s="6">
        <f ca="1">IF(B355="","",股指期货基差分析!$L$11)</f>
        <v>15.737900000000081</v>
      </c>
      <c r="I355" s="10">
        <f ca="1">IF(B355="","",股指期货基差分析!$D$11)</f>
        <v>-19.923978315132629</v>
      </c>
      <c r="L355" s="43"/>
      <c r="Q355" s="11"/>
    </row>
    <row r="356" spans="2:17" ht="15" customHeight="1" x14ac:dyDescent="0.2">
      <c r="B356" s="7">
        <v>44000</v>
      </c>
      <c r="C356" s="5">
        <f>IF(B356="","",[1]!s_dq_close(股指期货基差分析!$E$5,$B356))</f>
        <v>5734.4030000000002</v>
      </c>
      <c r="D356" s="5">
        <f>IF(B356="","",[1]!s_dq_close(股指期货基差分析!$E$6,$B356))</f>
        <v>5743.2</v>
      </c>
      <c r="E356" s="5">
        <f ca="1">RANK(F356,F:F)+COUNTIF(F$2:F356,F356)-1</f>
        <v>126</v>
      </c>
      <c r="F356" s="5">
        <f t="shared" si="6"/>
        <v>8.7969999999995707</v>
      </c>
      <c r="G356" s="5">
        <f ca="1">IF(B356="","",股指期货基差分析!$N$11)</f>
        <v>-71.408500000000458</v>
      </c>
      <c r="H356" s="5">
        <f ca="1">IF(B356="","",股指期货基差分析!$L$11)</f>
        <v>15.737900000000081</v>
      </c>
      <c r="I356" s="9">
        <f ca="1">IF(B356="","",股指期货基差分析!$D$11)</f>
        <v>-19.923978315132629</v>
      </c>
      <c r="L356" s="43"/>
      <c r="Q356" s="11"/>
    </row>
    <row r="357" spans="2:17" ht="15" customHeight="1" x14ac:dyDescent="0.2">
      <c r="B357" s="8">
        <v>44001</v>
      </c>
      <c r="C357" s="6">
        <f>IF(B357="","",[1]!s_dq_close(股指期货基差分析!$E$5,$B357))</f>
        <v>5787.1481999999996</v>
      </c>
      <c r="D357" s="6">
        <f>IF(B357="","",[1]!s_dq_close(股指期货基差分析!$E$6,$B357))</f>
        <v>5782</v>
      </c>
      <c r="E357" s="6">
        <f ca="1">RANK(F357,F:F)+COUNTIF(F$2:F357,F357)-1</f>
        <v>418</v>
      </c>
      <c r="F357" s="6">
        <f t="shared" si="6"/>
        <v>-5.1481999999996333</v>
      </c>
      <c r="G357" s="6">
        <f ca="1">IF(B357="","",股指期货基差分析!$N$11)</f>
        <v>-71.408500000000458</v>
      </c>
      <c r="H357" s="6">
        <f ca="1">IF(B357="","",股指期货基差分析!$L$11)</f>
        <v>15.737900000000081</v>
      </c>
      <c r="I357" s="10">
        <f ca="1">IF(B357="","",股指期货基差分析!$D$11)</f>
        <v>-19.923978315132629</v>
      </c>
      <c r="L357" s="43"/>
      <c r="Q357" s="11"/>
    </row>
    <row r="358" spans="2:17" ht="15" customHeight="1" x14ac:dyDescent="0.2">
      <c r="B358" s="7">
        <v>44004</v>
      </c>
      <c r="C358" s="5">
        <f>IF(B358="","",[1]!s_dq_close(股指期货基差分析!$E$5,$B358))</f>
        <v>5784.0268999999998</v>
      </c>
      <c r="D358" s="5">
        <f>IF(B358="","",[1]!s_dq_close(股指期货基差分析!$E$6,$B358))</f>
        <v>5711.4</v>
      </c>
      <c r="E358" s="5">
        <f ca="1">RANK(F358,F:F)+COUNTIF(F$2:F358,F358)-1</f>
        <v>1223</v>
      </c>
      <c r="F358" s="5">
        <f t="shared" si="6"/>
        <v>-72.626900000000205</v>
      </c>
      <c r="G358" s="5">
        <f ca="1">IF(B358="","",股指期货基差分析!$N$11)</f>
        <v>-71.408500000000458</v>
      </c>
      <c r="H358" s="5">
        <f ca="1">IF(B358="","",股指期货基差分析!$L$11)</f>
        <v>15.737900000000081</v>
      </c>
      <c r="I358" s="9">
        <f ca="1">IF(B358="","",股指期货基差分析!$D$11)</f>
        <v>-19.923978315132629</v>
      </c>
      <c r="L358" s="43"/>
      <c r="Q358" s="11"/>
    </row>
    <row r="359" spans="2:17" ht="15" customHeight="1" x14ac:dyDescent="0.2">
      <c r="B359" s="8">
        <v>44005</v>
      </c>
      <c r="C359" s="6">
        <f>IF(B359="","",[1]!s_dq_close(股指期货基差分析!$E$5,$B359))</f>
        <v>5804.3429999999998</v>
      </c>
      <c r="D359" s="6">
        <f>IF(B359="","",[1]!s_dq_close(股指期货基差分析!$E$6,$B359))</f>
        <v>5737.2</v>
      </c>
      <c r="E359" s="6">
        <f ca="1">RANK(F359,F:F)+COUNTIF(F$2:F359,F359)-1</f>
        <v>1202</v>
      </c>
      <c r="F359" s="6">
        <f t="shared" si="6"/>
        <v>-67.143000000000029</v>
      </c>
      <c r="G359" s="6">
        <f ca="1">IF(B359="","",股指期货基差分析!$N$11)</f>
        <v>-71.408500000000458</v>
      </c>
      <c r="H359" s="6">
        <f ca="1">IF(B359="","",股指期货基差分析!$L$11)</f>
        <v>15.737900000000081</v>
      </c>
      <c r="I359" s="10">
        <f ca="1">IF(B359="","",股指期货基差分析!$D$11)</f>
        <v>-19.923978315132629</v>
      </c>
      <c r="L359" s="43"/>
      <c r="Q359" s="11"/>
    </row>
    <row r="360" spans="2:17" ht="15" customHeight="1" x14ac:dyDescent="0.2">
      <c r="B360" s="7">
        <v>44006</v>
      </c>
      <c r="C360" s="5">
        <f>IF(B360="","",[1]!s_dq_close(股指期货基差分析!$E$5,$B360))</f>
        <v>5789.0892999999996</v>
      </c>
      <c r="D360" s="5">
        <f>IF(B360="","",[1]!s_dq_close(股指期货基差分析!$E$6,$B360))</f>
        <v>5744.2</v>
      </c>
      <c r="E360" s="5">
        <f ca="1">RANK(F360,F:F)+COUNTIF(F$2:F360,F360)-1</f>
        <v>1057</v>
      </c>
      <c r="F360" s="5">
        <f t="shared" si="6"/>
        <v>-44.889299999999821</v>
      </c>
      <c r="G360" s="5">
        <f ca="1">IF(B360="","",股指期货基差分析!$N$11)</f>
        <v>-71.408500000000458</v>
      </c>
      <c r="H360" s="5">
        <f ca="1">IF(B360="","",股指期货基差分析!$L$11)</f>
        <v>15.737900000000081</v>
      </c>
      <c r="I360" s="9">
        <f ca="1">IF(B360="","",股指期货基差分析!$D$11)</f>
        <v>-19.923978315132629</v>
      </c>
      <c r="L360" s="43"/>
      <c r="Q360" s="11"/>
    </row>
    <row r="361" spans="2:17" ht="15" customHeight="1" x14ac:dyDescent="0.2">
      <c r="B361" s="8">
        <v>44011</v>
      </c>
      <c r="C361" s="6">
        <f>IF(B361="","",[1]!s_dq_close(股指期货基差分析!$E$5,$B361))</f>
        <v>5762.4377999999997</v>
      </c>
      <c r="D361" s="6">
        <f>IF(B361="","",[1]!s_dq_close(股指期货基差分析!$E$6,$B361))</f>
        <v>5710.6</v>
      </c>
      <c r="E361" s="6">
        <f ca="1">RANK(F361,F:F)+COUNTIF(F$2:F361,F361)-1</f>
        <v>1113</v>
      </c>
      <c r="F361" s="6">
        <f t="shared" si="6"/>
        <v>-51.837799999999334</v>
      </c>
      <c r="G361" s="6">
        <f ca="1">IF(B361="","",股指期货基差分析!$N$11)</f>
        <v>-71.408500000000458</v>
      </c>
      <c r="H361" s="6">
        <f ca="1">IF(B361="","",股指期货基差分析!$L$11)</f>
        <v>15.737900000000081</v>
      </c>
      <c r="I361" s="10">
        <f ca="1">IF(B361="","",股指期货基差分析!$D$11)</f>
        <v>-19.923978315132629</v>
      </c>
      <c r="L361" s="43"/>
      <c r="Q361" s="11"/>
    </row>
    <row r="362" spans="2:17" ht="15" customHeight="1" x14ac:dyDescent="0.2">
      <c r="B362" s="7">
        <v>44012</v>
      </c>
      <c r="C362" s="5">
        <f>IF(B362="","",[1]!s_dq_close(股指期货基差分析!$E$5,$B362))</f>
        <v>5864.4164000000001</v>
      </c>
      <c r="D362" s="5">
        <f>IF(B362="","",[1]!s_dq_close(股指期货基差分析!$E$6,$B362))</f>
        <v>5802.4</v>
      </c>
      <c r="E362" s="5">
        <f ca="1">RANK(F362,F:F)+COUNTIF(F$2:F362,F362)-1</f>
        <v>1175</v>
      </c>
      <c r="F362" s="5">
        <f t="shared" si="6"/>
        <v>-62.016400000000431</v>
      </c>
      <c r="G362" s="5">
        <f ca="1">IF(B362="","",股指期货基差分析!$N$11)</f>
        <v>-71.408500000000458</v>
      </c>
      <c r="H362" s="5">
        <f ca="1">IF(B362="","",股指期货基差分析!$L$11)</f>
        <v>15.737900000000081</v>
      </c>
      <c r="I362" s="9">
        <f ca="1">IF(B362="","",股指期货基差分析!$D$11)</f>
        <v>-19.923978315132629</v>
      </c>
      <c r="L362" s="43"/>
      <c r="Q362" s="11"/>
    </row>
    <row r="363" spans="2:17" ht="15" customHeight="1" x14ac:dyDescent="0.2">
      <c r="B363" s="8">
        <v>44013</v>
      </c>
      <c r="C363" s="6">
        <f>IF(B363="","",[1]!s_dq_close(股指期货基差分析!$E$5,$B363))</f>
        <v>5881.8874999999998</v>
      </c>
      <c r="D363" s="6">
        <f>IF(B363="","",[1]!s_dq_close(股指期货基差分析!$E$6,$B363))</f>
        <v>5829.4</v>
      </c>
      <c r="E363" s="6">
        <f ca="1">RANK(F363,F:F)+COUNTIF(F$2:F363,F363)-1</f>
        <v>1120</v>
      </c>
      <c r="F363" s="6">
        <f t="shared" si="6"/>
        <v>-52.487500000000182</v>
      </c>
      <c r="G363" s="6">
        <f ca="1">IF(B363="","",股指期货基差分析!$N$11)</f>
        <v>-71.408500000000458</v>
      </c>
      <c r="H363" s="6">
        <f ca="1">IF(B363="","",股指期货基差分析!$L$11)</f>
        <v>15.737900000000081</v>
      </c>
      <c r="I363" s="10">
        <f ca="1">IF(B363="","",股指期货基差分析!$D$11)</f>
        <v>-19.923978315132629</v>
      </c>
      <c r="L363" s="43"/>
      <c r="Q363" s="11"/>
    </row>
    <row r="364" spans="2:17" ht="15" customHeight="1" x14ac:dyDescent="0.2">
      <c r="B364" s="7">
        <v>44014</v>
      </c>
      <c r="C364" s="5">
        <f>IF(B364="","",[1]!s_dq_close(股指期货基差分析!$E$5,$B364))</f>
        <v>5975.2794000000004</v>
      </c>
      <c r="D364" s="5">
        <f>IF(B364="","",[1]!s_dq_close(股指期货基差分析!$E$6,$B364))</f>
        <v>5954.2</v>
      </c>
      <c r="E364" s="5">
        <f ca="1">RANK(F364,F:F)+COUNTIF(F$2:F364,F364)-1</f>
        <v>766</v>
      </c>
      <c r="F364" s="5">
        <f t="shared" si="6"/>
        <v>-21.079400000000533</v>
      </c>
      <c r="G364" s="5">
        <f ca="1">IF(B364="","",股指期货基差分析!$N$11)</f>
        <v>-71.408500000000458</v>
      </c>
      <c r="H364" s="5">
        <f ca="1">IF(B364="","",股指期货基差分析!$L$11)</f>
        <v>15.737900000000081</v>
      </c>
      <c r="I364" s="9">
        <f ca="1">IF(B364="","",股指期货基差分析!$D$11)</f>
        <v>-19.923978315132629</v>
      </c>
      <c r="L364" s="43"/>
      <c r="Q364" s="11"/>
    </row>
    <row r="365" spans="2:17" ht="15" customHeight="1" x14ac:dyDescent="0.2">
      <c r="B365" s="8">
        <v>44015</v>
      </c>
      <c r="C365" s="6">
        <f>IF(B365="","",[1]!s_dq_close(股指期货基差分析!$E$5,$B365))</f>
        <v>6051.5099</v>
      </c>
      <c r="D365" s="6">
        <f>IF(B365="","",[1]!s_dq_close(股指期货基差分析!$E$6,$B365))</f>
        <v>6034.8</v>
      </c>
      <c r="E365" s="6">
        <f ca="1">RANK(F365,F:F)+COUNTIF(F$2:F365,F365)-1</f>
        <v>691</v>
      </c>
      <c r="F365" s="6">
        <f t="shared" si="6"/>
        <v>-16.709899999999834</v>
      </c>
      <c r="G365" s="6">
        <f ca="1">IF(B365="","",股指期货基差分析!$N$11)</f>
        <v>-71.408500000000458</v>
      </c>
      <c r="H365" s="6">
        <f ca="1">IF(B365="","",股指期货基差分析!$L$11)</f>
        <v>15.737900000000081</v>
      </c>
      <c r="I365" s="10">
        <f ca="1">IF(B365="","",股指期货基差分析!$D$11)</f>
        <v>-19.923978315132629</v>
      </c>
      <c r="L365" s="43"/>
      <c r="Q365" s="11"/>
    </row>
    <row r="366" spans="2:17" ht="15" customHeight="1" x14ac:dyDescent="0.2">
      <c r="B366" s="7">
        <v>44018</v>
      </c>
      <c r="C366" s="5">
        <f>IF(B366="","",[1]!s_dq_close(股指期货基差分析!$E$5,$B366))</f>
        <v>6299.8550999999998</v>
      </c>
      <c r="D366" s="5">
        <f>IF(B366="","",[1]!s_dq_close(股指期货基差分析!$E$6,$B366))</f>
        <v>6305.2</v>
      </c>
      <c r="E366" s="5">
        <f ca="1">RANK(F366,F:F)+COUNTIF(F$2:F366,F366)-1</f>
        <v>180</v>
      </c>
      <c r="F366" s="5">
        <f t="shared" si="6"/>
        <v>5.3449000000000524</v>
      </c>
      <c r="G366" s="5">
        <f ca="1">IF(B366="","",股指期货基差分析!$N$11)</f>
        <v>-71.408500000000458</v>
      </c>
      <c r="H366" s="5">
        <f ca="1">IF(B366="","",股指期货基差分析!$L$11)</f>
        <v>15.737900000000081</v>
      </c>
      <c r="I366" s="9">
        <f ca="1">IF(B366="","",股指期货基差分析!$D$11)</f>
        <v>-19.923978315132629</v>
      </c>
      <c r="L366" s="43"/>
      <c r="Q366" s="11"/>
    </row>
    <row r="367" spans="2:17" ht="15" customHeight="1" x14ac:dyDescent="0.2">
      <c r="B367" s="8">
        <v>44019</v>
      </c>
      <c r="C367" s="6">
        <f>IF(B367="","",[1]!s_dq_close(股指期货基差分析!$E$5,$B367))</f>
        <v>6380.0276000000003</v>
      </c>
      <c r="D367" s="6">
        <f>IF(B367="","",[1]!s_dq_close(股指期货基差分析!$E$6,$B367))</f>
        <v>6400.4</v>
      </c>
      <c r="E367" s="6">
        <f ca="1">RANK(F367,F:F)+COUNTIF(F$2:F367,F367)-1</f>
        <v>38</v>
      </c>
      <c r="F367" s="6">
        <f t="shared" si="6"/>
        <v>20.372399999999288</v>
      </c>
      <c r="G367" s="6">
        <f ca="1">IF(B367="","",股指期货基差分析!$N$11)</f>
        <v>-71.408500000000458</v>
      </c>
      <c r="H367" s="6">
        <f ca="1">IF(B367="","",股指期货基差分析!$L$11)</f>
        <v>15.737900000000081</v>
      </c>
      <c r="I367" s="10">
        <f ca="1">IF(B367="","",股指期货基差分析!$D$11)</f>
        <v>-19.923978315132629</v>
      </c>
      <c r="L367" s="43"/>
      <c r="Q367" s="11"/>
    </row>
    <row r="368" spans="2:17" ht="15" customHeight="1" x14ac:dyDescent="0.2">
      <c r="B368" s="7">
        <v>44020</v>
      </c>
      <c r="C368" s="5">
        <f>IF(B368="","",[1]!s_dq_close(股指期货基差分析!$E$5,$B368))</f>
        <v>6535.4151000000002</v>
      </c>
      <c r="D368" s="5">
        <f>IF(B368="","",[1]!s_dq_close(股指期货基差分析!$E$6,$B368))</f>
        <v>6515.8</v>
      </c>
      <c r="E368" s="5">
        <f ca="1">RANK(F368,F:F)+COUNTIF(F$2:F368,F368)-1</f>
        <v>743</v>
      </c>
      <c r="F368" s="5">
        <f t="shared" si="6"/>
        <v>-19.615099999999984</v>
      </c>
      <c r="G368" s="5">
        <f ca="1">IF(B368="","",股指期货基差分析!$N$11)</f>
        <v>-71.408500000000458</v>
      </c>
      <c r="H368" s="5">
        <f ca="1">IF(B368="","",股指期货基差分析!$L$11)</f>
        <v>15.737900000000081</v>
      </c>
      <c r="I368" s="9">
        <f ca="1">IF(B368="","",股指期货基差分析!$D$11)</f>
        <v>-19.923978315132629</v>
      </c>
      <c r="L368" s="43"/>
      <c r="Q368" s="11"/>
    </row>
    <row r="369" spans="2:17" ht="15" customHeight="1" x14ac:dyDescent="0.2">
      <c r="B369" s="8">
        <v>44021</v>
      </c>
      <c r="C369" s="6">
        <f>IF(B369="","",[1]!s_dq_close(股指期货基差分析!$E$5,$B369))</f>
        <v>6693.7452000000003</v>
      </c>
      <c r="D369" s="6">
        <f>IF(B369="","",[1]!s_dq_close(股指期货基差分析!$E$6,$B369))</f>
        <v>6707.6</v>
      </c>
      <c r="E369" s="6">
        <f ca="1">RANK(F369,F:F)+COUNTIF(F$2:F369,F369)-1</f>
        <v>74</v>
      </c>
      <c r="F369" s="6">
        <f t="shared" si="6"/>
        <v>13.854800000000068</v>
      </c>
      <c r="G369" s="6">
        <f ca="1">IF(B369="","",股指期货基差分析!$N$11)</f>
        <v>-71.408500000000458</v>
      </c>
      <c r="H369" s="6">
        <f ca="1">IF(B369="","",股指期货基差分析!$L$11)</f>
        <v>15.737900000000081</v>
      </c>
      <c r="I369" s="10">
        <f ca="1">IF(B369="","",股指期货基差分析!$D$11)</f>
        <v>-19.923978315132629</v>
      </c>
      <c r="L369" s="43"/>
      <c r="Q369" s="11"/>
    </row>
    <row r="370" spans="2:17" ht="15" customHeight="1" x14ac:dyDescent="0.2">
      <c r="B370" s="7">
        <v>44022</v>
      </c>
      <c r="C370" s="5">
        <f>IF(B370="","",[1]!s_dq_close(股指期货基差分析!$E$5,$B370))</f>
        <v>6676.4372999999996</v>
      </c>
      <c r="D370" s="5">
        <f>IF(B370="","",[1]!s_dq_close(股指期货基差分析!$E$6,$B370))</f>
        <v>6689.2</v>
      </c>
      <c r="E370" s="5">
        <f ca="1">RANK(F370,F:F)+COUNTIF(F$2:F370,F370)-1</f>
        <v>82</v>
      </c>
      <c r="F370" s="5">
        <f t="shared" si="6"/>
        <v>12.762700000000223</v>
      </c>
      <c r="G370" s="5">
        <f ca="1">IF(B370="","",股指期货基差分析!$N$11)</f>
        <v>-71.408500000000458</v>
      </c>
      <c r="H370" s="5">
        <f ca="1">IF(B370="","",股指期货基差分析!$L$11)</f>
        <v>15.737900000000081</v>
      </c>
      <c r="I370" s="9">
        <f ca="1">IF(B370="","",股指期货基差分析!$D$11)</f>
        <v>-19.923978315132629</v>
      </c>
      <c r="L370" s="43"/>
      <c r="Q370" s="11"/>
    </row>
    <row r="371" spans="2:17" ht="15" customHeight="1" x14ac:dyDescent="0.2">
      <c r="B371" s="8">
        <v>44025</v>
      </c>
      <c r="C371" s="6">
        <f>IF(B371="","",[1]!s_dq_close(股指期货基差分析!$E$5,$B371))</f>
        <v>6899.5174999999999</v>
      </c>
      <c r="D371" s="6">
        <f>IF(B371="","",[1]!s_dq_close(股指期货基差分析!$E$6,$B371))</f>
        <v>6898.6</v>
      </c>
      <c r="E371" s="6">
        <f ca="1">RANK(F371,F:F)+COUNTIF(F$2:F371,F371)-1</f>
        <v>315</v>
      </c>
      <c r="F371" s="6">
        <f t="shared" si="6"/>
        <v>-0.91749999999956344</v>
      </c>
      <c r="G371" s="6">
        <f ca="1">IF(B371="","",股指期货基差分析!$N$11)</f>
        <v>-71.408500000000458</v>
      </c>
      <c r="H371" s="6">
        <f ca="1">IF(B371="","",股指期货基差分析!$L$11)</f>
        <v>15.737900000000081</v>
      </c>
      <c r="I371" s="10">
        <f ca="1">IF(B371="","",股指期货基差分析!$D$11)</f>
        <v>-19.923978315132629</v>
      </c>
      <c r="L371" s="43"/>
      <c r="Q371" s="11"/>
    </row>
    <row r="372" spans="2:17" ht="15" customHeight="1" x14ac:dyDescent="0.2">
      <c r="B372" s="7">
        <v>44026</v>
      </c>
      <c r="C372" s="5">
        <f>IF(B372="","",[1]!s_dq_close(股指期货基差分析!$E$5,$B372))</f>
        <v>6807.7269999999999</v>
      </c>
      <c r="D372" s="5">
        <f>IF(B372="","",[1]!s_dq_close(股指期货基差分析!$E$6,$B372))</f>
        <v>6791</v>
      </c>
      <c r="E372" s="5">
        <f ca="1">RANK(F372,F:F)+COUNTIF(F$2:F372,F372)-1</f>
        <v>692</v>
      </c>
      <c r="F372" s="5">
        <f t="shared" si="6"/>
        <v>-16.726999999999862</v>
      </c>
      <c r="G372" s="5">
        <f ca="1">IF(B372="","",股指期货基差分析!$N$11)</f>
        <v>-71.408500000000458</v>
      </c>
      <c r="H372" s="5">
        <f ca="1">IF(B372="","",股指期货基差分析!$L$11)</f>
        <v>15.737900000000081</v>
      </c>
      <c r="I372" s="9">
        <f ca="1">IF(B372="","",股指期货基差分析!$D$11)</f>
        <v>-19.923978315132629</v>
      </c>
      <c r="L372" s="43"/>
      <c r="Q372" s="11"/>
    </row>
    <row r="373" spans="2:17" ht="15" customHeight="1" x14ac:dyDescent="0.2">
      <c r="B373" s="8">
        <v>44027</v>
      </c>
      <c r="C373" s="6">
        <f>IF(B373="","",[1]!s_dq_close(股指期货基差分析!$E$5,$B373))</f>
        <v>6638.8383999999996</v>
      </c>
      <c r="D373" s="6">
        <f>IF(B373="","",[1]!s_dq_close(股指期货基差分析!$E$6,$B373))</f>
        <v>6635</v>
      </c>
      <c r="E373" s="6">
        <f ca="1">RANK(F373,F:F)+COUNTIF(F$2:F373,F373)-1</f>
        <v>383</v>
      </c>
      <c r="F373" s="6">
        <f t="shared" si="6"/>
        <v>-3.8383999999996377</v>
      </c>
      <c r="G373" s="6">
        <f ca="1">IF(B373="","",股指期货基差分析!$N$11)</f>
        <v>-71.408500000000458</v>
      </c>
      <c r="H373" s="6">
        <f ca="1">IF(B373="","",股指期货基差分析!$L$11)</f>
        <v>15.737900000000081</v>
      </c>
      <c r="I373" s="10">
        <f ca="1">IF(B373="","",股指期货基差分析!$D$11)</f>
        <v>-19.923978315132629</v>
      </c>
      <c r="L373" s="43"/>
      <c r="Q373" s="11"/>
    </row>
    <row r="374" spans="2:17" ht="15" customHeight="1" x14ac:dyDescent="0.2">
      <c r="B374" s="7">
        <v>44028</v>
      </c>
      <c r="C374" s="5">
        <f>IF(B374="","",[1]!s_dq_close(股指期货基差分析!$E$5,$B374))</f>
        <v>6319.9980999999998</v>
      </c>
      <c r="D374" s="5">
        <f>IF(B374="","",[1]!s_dq_close(股指期货基差分析!$E$6,$B374))</f>
        <v>6309.2</v>
      </c>
      <c r="E374" s="5">
        <f ca="1">RANK(F374,F:F)+COUNTIF(F$2:F374,F374)-1</f>
        <v>569</v>
      </c>
      <c r="F374" s="5">
        <f t="shared" si="6"/>
        <v>-10.798099999999977</v>
      </c>
      <c r="G374" s="5">
        <f ca="1">IF(B374="","",股指期货基差分析!$N$11)</f>
        <v>-71.408500000000458</v>
      </c>
      <c r="H374" s="5">
        <f ca="1">IF(B374="","",股指期货基差分析!$L$11)</f>
        <v>15.737900000000081</v>
      </c>
      <c r="I374" s="9">
        <f ca="1">IF(B374="","",股指期货基差分析!$D$11)</f>
        <v>-19.923978315132629</v>
      </c>
      <c r="L374" s="43"/>
      <c r="Q374" s="11"/>
    </row>
    <row r="375" spans="2:17" ht="15" customHeight="1" x14ac:dyDescent="0.2">
      <c r="B375" s="8">
        <v>44029</v>
      </c>
      <c r="C375" s="6">
        <f>IF(B375="","",[1]!s_dq_close(股指期货基差分析!$E$5,$B375))</f>
        <v>6344.5911999999998</v>
      </c>
      <c r="D375" s="6">
        <f>IF(B375="","",[1]!s_dq_close(股指期货基差分析!$E$6,$B375))</f>
        <v>6323.8</v>
      </c>
      <c r="E375" s="6">
        <f ca="1">RANK(F375,F:F)+COUNTIF(F$2:F375,F375)-1</f>
        <v>763</v>
      </c>
      <c r="F375" s="6">
        <f t="shared" si="6"/>
        <v>-20.791199999999662</v>
      </c>
      <c r="G375" s="6">
        <f ca="1">IF(B375="","",股指期货基差分析!$N$11)</f>
        <v>-71.408500000000458</v>
      </c>
      <c r="H375" s="6">
        <f ca="1">IF(B375="","",股指期货基差分析!$L$11)</f>
        <v>15.737900000000081</v>
      </c>
      <c r="I375" s="10">
        <f ca="1">IF(B375="","",股指期货基差分析!$D$11)</f>
        <v>-19.923978315132629</v>
      </c>
      <c r="L375" s="43"/>
      <c r="Q375" s="11"/>
    </row>
    <row r="376" spans="2:17" ht="15" customHeight="1" x14ac:dyDescent="0.2">
      <c r="B376" s="7">
        <v>44032</v>
      </c>
      <c r="C376" s="5">
        <f>IF(B376="","",[1]!s_dq_close(股指期货基差分析!$E$5,$B376))</f>
        <v>6526.8325000000004</v>
      </c>
      <c r="D376" s="5">
        <f>IF(B376="","",[1]!s_dq_close(股指期货基差分析!$E$6,$B376))</f>
        <v>6446</v>
      </c>
      <c r="E376" s="5">
        <f ca="1">RANK(F376,F:F)+COUNTIF(F$2:F376,F376)-1</f>
        <v>1249</v>
      </c>
      <c r="F376" s="5">
        <f t="shared" si="6"/>
        <v>-80.832500000000437</v>
      </c>
      <c r="G376" s="5">
        <f ca="1">IF(B376="","",股指期货基差分析!$N$11)</f>
        <v>-71.408500000000458</v>
      </c>
      <c r="H376" s="5">
        <f ca="1">IF(B376="","",股指期货基差分析!$L$11)</f>
        <v>15.737900000000081</v>
      </c>
      <c r="I376" s="9">
        <f ca="1">IF(B376="","",股指期货基差分析!$D$11)</f>
        <v>-19.923978315132629</v>
      </c>
      <c r="L376" s="43"/>
      <c r="Q376" s="11"/>
    </row>
    <row r="377" spans="2:17" ht="15" customHeight="1" x14ac:dyDescent="0.2">
      <c r="B377" s="8">
        <v>44033</v>
      </c>
      <c r="C377" s="6">
        <f>IF(B377="","",[1]!s_dq_close(股指期货基差分析!$E$5,$B377))</f>
        <v>6563.3239000000003</v>
      </c>
      <c r="D377" s="6">
        <f>IF(B377="","",[1]!s_dq_close(股指期货基差分析!$E$6,$B377))</f>
        <v>6491.4</v>
      </c>
      <c r="E377" s="6">
        <f ca="1">RANK(F377,F:F)+COUNTIF(F$2:F377,F377)-1</f>
        <v>1218</v>
      </c>
      <c r="F377" s="6">
        <f t="shared" si="6"/>
        <v>-71.923900000000685</v>
      </c>
      <c r="G377" s="6">
        <f ca="1">IF(B377="","",股指期货基差分析!$N$11)</f>
        <v>-71.408500000000458</v>
      </c>
      <c r="H377" s="6">
        <f ca="1">IF(B377="","",股指期货基差分析!$L$11)</f>
        <v>15.737900000000081</v>
      </c>
      <c r="I377" s="10">
        <f ca="1">IF(B377="","",股指期货基差分析!$D$11)</f>
        <v>-19.923978315132629</v>
      </c>
      <c r="L377" s="43"/>
      <c r="Q377" s="11"/>
    </row>
    <row r="378" spans="2:17" ht="15" customHeight="1" x14ac:dyDescent="0.2">
      <c r="B378" s="7">
        <v>44034</v>
      </c>
      <c r="C378" s="5">
        <f>IF(B378="","",[1]!s_dq_close(股指期货基差分析!$E$5,$B378))</f>
        <v>6620.6893</v>
      </c>
      <c r="D378" s="5">
        <f>IF(B378="","",[1]!s_dq_close(股指期货基差分析!$E$6,$B378))</f>
        <v>6539</v>
      </c>
      <c r="E378" s="5">
        <f ca="1">RANK(F378,F:F)+COUNTIF(F$2:F378,F378)-1</f>
        <v>1250</v>
      </c>
      <c r="F378" s="5">
        <f t="shared" si="6"/>
        <v>-81.689300000000003</v>
      </c>
      <c r="G378" s="5">
        <f ca="1">IF(B378="","",股指期货基差分析!$N$11)</f>
        <v>-71.408500000000458</v>
      </c>
      <c r="H378" s="5">
        <f ca="1">IF(B378="","",股指期货基差分析!$L$11)</f>
        <v>15.737900000000081</v>
      </c>
      <c r="I378" s="9">
        <f ca="1">IF(B378="","",股指期货基差分析!$D$11)</f>
        <v>-19.923978315132629</v>
      </c>
      <c r="L378" s="43"/>
      <c r="Q378" s="11"/>
    </row>
    <row r="379" spans="2:17" ht="15" customHeight="1" x14ac:dyDescent="0.2">
      <c r="B379" s="8">
        <v>44035</v>
      </c>
      <c r="C379" s="6">
        <f>IF(B379="","",[1]!s_dq_close(股指期货基差分析!$E$5,$B379))</f>
        <v>6620.0859</v>
      </c>
      <c r="D379" s="6">
        <f>IF(B379="","",[1]!s_dq_close(股指期货基差分析!$E$6,$B379))</f>
        <v>6548</v>
      </c>
      <c r="E379" s="6">
        <f ca="1">RANK(F379,F:F)+COUNTIF(F$2:F379,F379)-1</f>
        <v>1219</v>
      </c>
      <c r="F379" s="6">
        <f t="shared" si="6"/>
        <v>-72.085900000000038</v>
      </c>
      <c r="G379" s="6">
        <f ca="1">IF(B379="","",股指期货基差分析!$N$11)</f>
        <v>-71.408500000000458</v>
      </c>
      <c r="H379" s="6">
        <f ca="1">IF(B379="","",股指期货基差分析!$L$11)</f>
        <v>15.737900000000081</v>
      </c>
      <c r="I379" s="10">
        <f ca="1">IF(B379="","",股指期货基差分析!$D$11)</f>
        <v>-19.923978315132629</v>
      </c>
      <c r="L379" s="43"/>
      <c r="Q379" s="11"/>
    </row>
    <row r="380" spans="2:17" ht="15" customHeight="1" x14ac:dyDescent="0.2">
      <c r="B380" s="7">
        <v>44036</v>
      </c>
      <c r="C380" s="5">
        <f>IF(B380="","",[1]!s_dq_close(股指期货基差分析!$E$5,$B380))</f>
        <v>6283.9831000000004</v>
      </c>
      <c r="D380" s="5">
        <f>IF(B380="","",[1]!s_dq_close(股指期货基差分析!$E$6,$B380))</f>
        <v>6204</v>
      </c>
      <c r="E380" s="5">
        <f ca="1">RANK(F380,F:F)+COUNTIF(F$2:F380,F380)-1</f>
        <v>1245</v>
      </c>
      <c r="F380" s="5">
        <f t="shared" si="6"/>
        <v>-79.983100000000377</v>
      </c>
      <c r="G380" s="5">
        <f ca="1">IF(B380="","",股指期货基差分析!$N$11)</f>
        <v>-71.408500000000458</v>
      </c>
      <c r="H380" s="5">
        <f ca="1">IF(B380="","",股指期货基差分析!$L$11)</f>
        <v>15.737900000000081</v>
      </c>
      <c r="I380" s="9">
        <f ca="1">IF(B380="","",股指期货基差分析!$D$11)</f>
        <v>-19.923978315132629</v>
      </c>
      <c r="L380" s="43"/>
      <c r="Q380" s="11"/>
    </row>
    <row r="381" spans="2:17" ht="15" customHeight="1" x14ac:dyDescent="0.2">
      <c r="B381" s="8">
        <v>44039</v>
      </c>
      <c r="C381" s="6">
        <f>IF(B381="","",[1]!s_dq_close(股指期货基差分析!$E$5,$B381))</f>
        <v>6298.7350999999999</v>
      </c>
      <c r="D381" s="6">
        <f>IF(B381="","",[1]!s_dq_close(股指期货基差分析!$E$6,$B381))</f>
        <v>6207.6</v>
      </c>
      <c r="E381" s="6">
        <f ca="1">RANK(F381,F:F)+COUNTIF(F$2:F381,F381)-1</f>
        <v>1267</v>
      </c>
      <c r="F381" s="6">
        <f t="shared" si="6"/>
        <v>-91.135099999999511</v>
      </c>
      <c r="G381" s="6">
        <f ca="1">IF(B381="","",股指期货基差分析!$N$11)</f>
        <v>-71.408500000000458</v>
      </c>
      <c r="H381" s="6">
        <f ca="1">IF(B381="","",股指期货基差分析!$L$11)</f>
        <v>15.737900000000081</v>
      </c>
      <c r="I381" s="10">
        <f ca="1">IF(B381="","",股指期货基差分析!$D$11)</f>
        <v>-19.923978315132629</v>
      </c>
      <c r="L381" s="43"/>
      <c r="Q381" s="11"/>
    </row>
    <row r="382" spans="2:17" ht="15" customHeight="1" x14ac:dyDescent="0.2">
      <c r="B382" s="7">
        <v>44040</v>
      </c>
      <c r="C382" s="5">
        <f>IF(B382="","",[1]!s_dq_close(股指期货基差分析!$E$5,$B382))</f>
        <v>6359.6637000000001</v>
      </c>
      <c r="D382" s="5">
        <f>IF(B382="","",[1]!s_dq_close(股指期货基差分析!$E$6,$B382))</f>
        <v>6252</v>
      </c>
      <c r="E382" s="5">
        <f ca="1">RANK(F382,F:F)+COUNTIF(F$2:F382,F382)-1</f>
        <v>1279</v>
      </c>
      <c r="F382" s="5">
        <f t="shared" si="6"/>
        <v>-107.66370000000006</v>
      </c>
      <c r="G382" s="5">
        <f ca="1">IF(B382="","",股指期货基差分析!$N$11)</f>
        <v>-71.408500000000458</v>
      </c>
      <c r="H382" s="5">
        <f ca="1">IF(B382="","",股指期货基差分析!$L$11)</f>
        <v>15.737900000000081</v>
      </c>
      <c r="I382" s="9">
        <f ca="1">IF(B382="","",股指期货基差分析!$D$11)</f>
        <v>-19.923978315132629</v>
      </c>
      <c r="L382" s="43"/>
      <c r="Q382" s="11"/>
    </row>
    <row r="383" spans="2:17" ht="15" customHeight="1" x14ac:dyDescent="0.2">
      <c r="B383" s="8">
        <v>44041</v>
      </c>
      <c r="C383" s="6">
        <f>IF(B383="","",[1]!s_dq_close(股指期货基差分析!$E$5,$B383))</f>
        <v>6530.2712000000001</v>
      </c>
      <c r="D383" s="6">
        <f>IF(B383="","",[1]!s_dq_close(股指期货基差分析!$E$6,$B383))</f>
        <v>6501.4</v>
      </c>
      <c r="E383" s="6">
        <f ca="1">RANK(F383,F:F)+COUNTIF(F$2:F383,F383)-1</f>
        <v>872</v>
      </c>
      <c r="F383" s="6">
        <f t="shared" si="6"/>
        <v>-28.871200000000499</v>
      </c>
      <c r="G383" s="6">
        <f ca="1">IF(B383="","",股指期货基差分析!$N$11)</f>
        <v>-71.408500000000458</v>
      </c>
      <c r="H383" s="6">
        <f ca="1">IF(B383="","",股指期货基差分析!$L$11)</f>
        <v>15.737900000000081</v>
      </c>
      <c r="I383" s="10">
        <f ca="1">IF(B383="","",股指期货基差分析!$D$11)</f>
        <v>-19.923978315132629</v>
      </c>
      <c r="L383" s="43"/>
      <c r="Q383" s="11"/>
    </row>
    <row r="384" spans="2:17" ht="15" customHeight="1" x14ac:dyDescent="0.2">
      <c r="B384" s="7">
        <v>44042</v>
      </c>
      <c r="C384" s="5">
        <f>IF(B384="","",[1]!s_dq_close(股指期货基差分析!$E$5,$B384))</f>
        <v>6511.4359999999997</v>
      </c>
      <c r="D384" s="5">
        <f>IF(B384="","",[1]!s_dq_close(股指期货基差分析!$E$6,$B384))</f>
        <v>6453</v>
      </c>
      <c r="E384" s="5">
        <f ca="1">RANK(F384,F:F)+COUNTIF(F$2:F384,F384)-1</f>
        <v>1154</v>
      </c>
      <c r="F384" s="5">
        <f t="shared" si="6"/>
        <v>-58.435999999999694</v>
      </c>
      <c r="G384" s="5">
        <f ca="1">IF(B384="","",股指期货基差分析!$N$11)</f>
        <v>-71.408500000000458</v>
      </c>
      <c r="H384" s="5">
        <f ca="1">IF(B384="","",股指期货基差分析!$L$11)</f>
        <v>15.737900000000081</v>
      </c>
      <c r="I384" s="9">
        <f ca="1">IF(B384="","",股指期货基差分析!$D$11)</f>
        <v>-19.923978315132629</v>
      </c>
      <c r="L384" s="43"/>
      <c r="Q384" s="11"/>
    </row>
    <row r="385" spans="2:17" ht="15" customHeight="1" x14ac:dyDescent="0.2">
      <c r="B385" s="8">
        <v>44043</v>
      </c>
      <c r="C385" s="6">
        <f>IF(B385="","",[1]!s_dq_close(股指期货基差分析!$E$5,$B385))</f>
        <v>6579.6696000000002</v>
      </c>
      <c r="D385" s="6">
        <f>IF(B385="","",[1]!s_dq_close(股指期货基差分析!$E$6,$B385))</f>
        <v>6516</v>
      </c>
      <c r="E385" s="6">
        <f ca="1">RANK(F385,F:F)+COUNTIF(F$2:F385,F385)-1</f>
        <v>1182</v>
      </c>
      <c r="F385" s="6">
        <f t="shared" si="6"/>
        <v>-63.669600000000173</v>
      </c>
      <c r="G385" s="6">
        <f ca="1">IF(B385="","",股指期货基差分析!$N$11)</f>
        <v>-71.408500000000458</v>
      </c>
      <c r="H385" s="6">
        <f ca="1">IF(B385="","",股指期货基差分析!$L$11)</f>
        <v>15.737900000000081</v>
      </c>
      <c r="I385" s="10">
        <f ca="1">IF(B385="","",股指期货基差分析!$D$11)</f>
        <v>-19.923978315132629</v>
      </c>
      <c r="L385" s="43"/>
      <c r="Q385" s="11"/>
    </row>
    <row r="386" spans="2:17" ht="15" customHeight="1" x14ac:dyDescent="0.2">
      <c r="B386" s="7">
        <v>44046</v>
      </c>
      <c r="C386" s="5">
        <f>IF(B386="","",[1]!s_dq_close(股指期货基差分析!$E$5,$B386))</f>
        <v>6739.8085000000001</v>
      </c>
      <c r="D386" s="5">
        <f>IF(B386="","",[1]!s_dq_close(股指期货基差分析!$E$6,$B386))</f>
        <v>6668.4</v>
      </c>
      <c r="E386" s="5">
        <f ca="1">RANK(F386,F:F)+COUNTIF(F$2:F386,F386)-1</f>
        <v>1217</v>
      </c>
      <c r="F386" s="5">
        <f t="shared" ref="F386:F449" si="7">IF(B386="","",D386-C386)</f>
        <v>-71.408500000000458</v>
      </c>
      <c r="G386" s="5">
        <f ca="1">IF(B386="","",股指期货基差分析!$N$11)</f>
        <v>-71.408500000000458</v>
      </c>
      <c r="H386" s="5">
        <f ca="1">IF(B386="","",股指期货基差分析!$L$11)</f>
        <v>15.737900000000081</v>
      </c>
      <c r="I386" s="9">
        <f ca="1">IF(B386="","",股指期货基差分析!$D$11)</f>
        <v>-19.923978315132629</v>
      </c>
      <c r="L386" s="43"/>
      <c r="Q386" s="11"/>
    </row>
    <row r="387" spans="2:17" ht="15" customHeight="1" x14ac:dyDescent="0.2">
      <c r="B387" s="8">
        <v>44047</v>
      </c>
      <c r="C387" s="6">
        <f>IF(B387="","",[1]!s_dq_close(股指期货基差分析!$E$5,$B387))</f>
        <v>6697.7070999999996</v>
      </c>
      <c r="D387" s="6">
        <f>IF(B387="","",[1]!s_dq_close(股指期货基差分析!$E$6,$B387))</f>
        <v>6634.4</v>
      </c>
      <c r="E387" s="6">
        <f ca="1">RANK(F387,F:F)+COUNTIF(F$2:F387,F387)-1</f>
        <v>1181</v>
      </c>
      <c r="F387" s="6">
        <f t="shared" si="7"/>
        <v>-63.307099999999991</v>
      </c>
      <c r="G387" s="6">
        <f ca="1">IF(B387="","",股指期货基差分析!$N$11)</f>
        <v>-71.408500000000458</v>
      </c>
      <c r="H387" s="6">
        <f ca="1">IF(B387="","",股指期货基差分析!$L$11)</f>
        <v>15.737900000000081</v>
      </c>
      <c r="I387" s="10">
        <f ca="1">IF(B387="","",股指期货基差分析!$D$11)</f>
        <v>-19.923978315132629</v>
      </c>
      <c r="L387" s="43"/>
      <c r="Q387" s="11"/>
    </row>
    <row r="388" spans="2:17" ht="15" customHeight="1" x14ac:dyDescent="0.2">
      <c r="B388" s="7">
        <v>44048</v>
      </c>
      <c r="C388" s="5">
        <f>IF(B388="","",[1]!s_dq_close(股指期货基差分析!$E$5,$B388))</f>
        <v>6772.8422</v>
      </c>
      <c r="D388" s="5">
        <f>IF(B388="","",[1]!s_dq_close(股指期货基差分析!$E$6,$B388))</f>
        <v>6683</v>
      </c>
      <c r="E388" s="5">
        <f ca="1">RANK(F388,F:F)+COUNTIF(F$2:F388,F388)-1</f>
        <v>1264</v>
      </c>
      <c r="F388" s="5">
        <f t="shared" si="7"/>
        <v>-89.842200000000048</v>
      </c>
      <c r="G388" s="5">
        <f ca="1">IF(B388="","",股指期货基差分析!$N$11)</f>
        <v>-71.408500000000458</v>
      </c>
      <c r="H388" s="5">
        <f ca="1">IF(B388="","",股指期货基差分析!$L$11)</f>
        <v>15.737900000000081</v>
      </c>
      <c r="I388" s="9">
        <f ca="1">IF(B388="","",股指期货基差分析!$D$11)</f>
        <v>-19.923978315132629</v>
      </c>
      <c r="L388" s="43"/>
      <c r="Q388" s="11"/>
    </row>
    <row r="389" spans="2:17" ht="15" customHeight="1" x14ac:dyDescent="0.2">
      <c r="B389" s="8">
        <v>44049</v>
      </c>
      <c r="C389" s="6">
        <f>IF(B389="","",[1]!s_dq_close(股指期货基差分析!$E$5,$B389))</f>
        <v>6770.3015999999998</v>
      </c>
      <c r="D389" s="6">
        <f>IF(B389="","",[1]!s_dq_close(股指期货基差分析!$E$6,$B389))</f>
        <v>6693.8</v>
      </c>
      <c r="E389" s="6">
        <f ca="1">RANK(F389,F:F)+COUNTIF(F$2:F389,F389)-1</f>
        <v>1231</v>
      </c>
      <c r="F389" s="6">
        <f t="shared" si="7"/>
        <v>-76.501599999999598</v>
      </c>
      <c r="G389" s="6">
        <f ca="1">IF(B389="","",股指期货基差分析!$N$11)</f>
        <v>-71.408500000000458</v>
      </c>
      <c r="H389" s="6">
        <f ca="1">IF(B389="","",股指期货基差分析!$L$11)</f>
        <v>15.737900000000081</v>
      </c>
      <c r="I389" s="10">
        <f ca="1">IF(B389="","",股指期货基差分析!$D$11)</f>
        <v>-19.923978315132629</v>
      </c>
      <c r="L389" s="43"/>
      <c r="Q389" s="11"/>
    </row>
    <row r="390" spans="2:17" ht="15" customHeight="1" x14ac:dyDescent="0.2">
      <c r="B390" s="7">
        <v>44050</v>
      </c>
      <c r="C390" s="5">
        <f>IF(B390="","",[1]!s_dq_close(股指期货基差分析!$E$5,$B390))</f>
        <v>6688.8822</v>
      </c>
      <c r="D390" s="5">
        <f>IF(B390="","",[1]!s_dq_close(股指期货基差分析!$E$6,$B390))</f>
        <v>6622.2</v>
      </c>
      <c r="E390" s="5">
        <f ca="1">RANK(F390,F:F)+COUNTIF(F$2:F390,F390)-1</f>
        <v>1197</v>
      </c>
      <c r="F390" s="5">
        <f t="shared" si="7"/>
        <v>-66.682200000000194</v>
      </c>
      <c r="G390" s="5">
        <f ca="1">IF(B390="","",股指期货基差分析!$N$11)</f>
        <v>-71.408500000000458</v>
      </c>
      <c r="H390" s="5">
        <f ca="1">IF(B390="","",股指期货基差分析!$L$11)</f>
        <v>15.737900000000081</v>
      </c>
      <c r="I390" s="9">
        <f ca="1">IF(B390="","",股指期货基差分析!$D$11)</f>
        <v>-19.923978315132629</v>
      </c>
      <c r="L390" s="43"/>
      <c r="Q390" s="11"/>
    </row>
    <row r="391" spans="2:17" ht="15" customHeight="1" x14ac:dyDescent="0.2">
      <c r="B391" s="8">
        <v>44053</v>
      </c>
      <c r="C391" s="6">
        <f>IF(B391="","",[1]!s_dq_close(股指期货基差分析!$E$5,$B391))</f>
        <v>6725.2956000000004</v>
      </c>
      <c r="D391" s="6">
        <f>IF(B391="","",[1]!s_dq_close(股指期货基差分析!$E$6,$B391))</f>
        <v>6663.4</v>
      </c>
      <c r="E391" s="6">
        <f ca="1">RANK(F391,F:F)+COUNTIF(F$2:F391,F391)-1</f>
        <v>1172</v>
      </c>
      <c r="F391" s="6">
        <f t="shared" si="7"/>
        <v>-61.895600000000741</v>
      </c>
      <c r="G391" s="6">
        <f ca="1">IF(B391="","",股指期货基差分析!$N$11)</f>
        <v>-71.408500000000458</v>
      </c>
      <c r="H391" s="6">
        <f ca="1">IF(B391="","",股指期货基差分析!$L$11)</f>
        <v>15.737900000000081</v>
      </c>
      <c r="I391" s="10">
        <f ca="1">IF(B391="","",股指期货基差分析!$D$11)</f>
        <v>-19.923978315132629</v>
      </c>
      <c r="L391" s="43"/>
      <c r="Q391" s="11"/>
    </row>
    <row r="392" spans="2:17" ht="15" customHeight="1" x14ac:dyDescent="0.2">
      <c r="B392" s="7">
        <v>44054</v>
      </c>
      <c r="C392" s="5">
        <f>IF(B392="","",[1]!s_dq_close(股指期货基差分析!$E$5,$B392))</f>
        <v>6600.8472000000002</v>
      </c>
      <c r="D392" s="5">
        <f>IF(B392="","",[1]!s_dq_close(股指期货基差分析!$E$6,$B392))</f>
        <v>6521</v>
      </c>
      <c r="E392" s="5">
        <f ca="1">RANK(F392,F:F)+COUNTIF(F$2:F392,F392)-1</f>
        <v>1244</v>
      </c>
      <c r="F392" s="5">
        <f t="shared" si="7"/>
        <v>-79.847200000000157</v>
      </c>
      <c r="G392" s="5">
        <f ca="1">IF(B392="","",股指期货基差分析!$N$11)</f>
        <v>-71.408500000000458</v>
      </c>
      <c r="H392" s="5">
        <f ca="1">IF(B392="","",股指期货基差分析!$L$11)</f>
        <v>15.737900000000081</v>
      </c>
      <c r="I392" s="9">
        <f ca="1">IF(B392="","",股指期货基差分析!$D$11)</f>
        <v>-19.923978315132629</v>
      </c>
      <c r="L392" s="43"/>
      <c r="Q392" s="11"/>
    </row>
    <row r="393" spans="2:17" ht="15" customHeight="1" x14ac:dyDescent="0.2">
      <c r="B393" s="8">
        <v>44055</v>
      </c>
      <c r="C393" s="6">
        <f>IF(B393="","",[1]!s_dq_close(股指期货基差分析!$E$5,$B393))</f>
        <v>6528.3999000000003</v>
      </c>
      <c r="D393" s="6">
        <f>IF(B393="","",[1]!s_dq_close(股指期货基差分析!$E$6,$B393))</f>
        <v>6447.6</v>
      </c>
      <c r="E393" s="6">
        <f ca="1">RANK(F393,F:F)+COUNTIF(F$2:F393,F393)-1</f>
        <v>1248</v>
      </c>
      <c r="F393" s="6">
        <f t="shared" si="7"/>
        <v>-80.79989999999998</v>
      </c>
      <c r="G393" s="6">
        <f ca="1">IF(B393="","",股指期货基差分析!$N$11)</f>
        <v>-71.408500000000458</v>
      </c>
      <c r="H393" s="6">
        <f ca="1">IF(B393="","",股指期货基差分析!$L$11)</f>
        <v>15.737900000000081</v>
      </c>
      <c r="I393" s="10">
        <f ca="1">IF(B393="","",股指期货基差分析!$D$11)</f>
        <v>-19.923978315132629</v>
      </c>
      <c r="L393" s="43"/>
      <c r="Q393" s="11"/>
    </row>
    <row r="394" spans="2:17" ht="15" customHeight="1" x14ac:dyDescent="0.2">
      <c r="B394" s="7">
        <v>44056</v>
      </c>
      <c r="C394" s="5">
        <f>IF(B394="","",[1]!s_dq_close(股指期货基差分析!$E$5,$B394))</f>
        <v>6552.6566999999995</v>
      </c>
      <c r="D394" s="5">
        <f>IF(B394="","",[1]!s_dq_close(股指期货基差分析!$E$6,$B394))</f>
        <v>6475.6</v>
      </c>
      <c r="E394" s="5">
        <f ca="1">RANK(F394,F:F)+COUNTIF(F$2:F394,F394)-1</f>
        <v>1234</v>
      </c>
      <c r="F394" s="5">
        <f t="shared" si="7"/>
        <v>-77.056699999999182</v>
      </c>
      <c r="G394" s="5">
        <f ca="1">IF(B394="","",股指期货基差分析!$N$11)</f>
        <v>-71.408500000000458</v>
      </c>
      <c r="H394" s="5">
        <f ca="1">IF(B394="","",股指期货基差分析!$L$11)</f>
        <v>15.737900000000081</v>
      </c>
      <c r="I394" s="9">
        <f ca="1">IF(B394="","",股指期货基差分析!$D$11)</f>
        <v>-19.923978315132629</v>
      </c>
      <c r="L394" s="43"/>
      <c r="Q394" s="11"/>
    </row>
    <row r="395" spans="2:17" ht="15" customHeight="1" x14ac:dyDescent="0.2">
      <c r="B395" s="8">
        <v>44057</v>
      </c>
      <c r="C395" s="6">
        <f>IF(B395="","",[1]!s_dq_close(股指期货基差分析!$E$5,$B395))</f>
        <v>6623.5632999999998</v>
      </c>
      <c r="D395" s="6">
        <f>IF(B395="","",[1]!s_dq_close(股指期货基差分析!$E$6,$B395))</f>
        <v>6630.4</v>
      </c>
      <c r="E395" s="6">
        <f ca="1">RANK(F395,F:F)+COUNTIF(F$2:F395,F395)-1</f>
        <v>156</v>
      </c>
      <c r="F395" s="6">
        <f t="shared" si="7"/>
        <v>6.836699999999837</v>
      </c>
      <c r="G395" s="6">
        <f ca="1">IF(B395="","",股指期货基差分析!$N$11)</f>
        <v>-71.408500000000458</v>
      </c>
      <c r="H395" s="6">
        <f ca="1">IF(B395="","",股指期货基差分析!$L$11)</f>
        <v>15.737900000000081</v>
      </c>
      <c r="I395" s="10">
        <f ca="1">IF(B395="","",股指期货基差分析!$D$11)</f>
        <v>-19.923978315132629</v>
      </c>
      <c r="L395" s="43"/>
      <c r="Q395" s="11"/>
    </row>
    <row r="396" spans="2:17" ht="15" customHeight="1" x14ac:dyDescent="0.2">
      <c r="B396" s="7">
        <v>44060</v>
      </c>
      <c r="C396" s="5">
        <f>IF(B396="","",[1]!s_dq_close(股指期货基差分析!$E$5,$B396))</f>
        <v>6744.5468000000001</v>
      </c>
      <c r="D396" s="5">
        <f>IF(B396="","",[1]!s_dq_close(股指期货基差分析!$E$6,$B396))</f>
        <v>6713</v>
      </c>
      <c r="E396" s="5">
        <f ca="1">RANK(F396,F:F)+COUNTIF(F$2:F396,F396)-1</f>
        <v>911</v>
      </c>
      <c r="F396" s="5">
        <f t="shared" si="7"/>
        <v>-31.546800000000076</v>
      </c>
      <c r="G396" s="5">
        <f ca="1">IF(B396="","",股指期货基差分析!$N$11)</f>
        <v>-71.408500000000458</v>
      </c>
      <c r="H396" s="5">
        <f ca="1">IF(B396="","",股指期货基差分析!$L$11)</f>
        <v>15.737900000000081</v>
      </c>
      <c r="I396" s="9">
        <f ca="1">IF(B396="","",股指期货基差分析!$D$11)</f>
        <v>-19.923978315132629</v>
      </c>
      <c r="L396" s="43"/>
      <c r="Q396" s="11"/>
    </row>
    <row r="397" spans="2:17" ht="15" customHeight="1" x14ac:dyDescent="0.2">
      <c r="B397" s="8">
        <v>44061</v>
      </c>
      <c r="C397" s="6">
        <f>IF(B397="","",[1]!s_dq_close(股指期货基差分析!$E$5,$B397))</f>
        <v>6789.3978999999999</v>
      </c>
      <c r="D397" s="6">
        <f>IF(B397="","",[1]!s_dq_close(股指期货基差分析!$E$6,$B397))</f>
        <v>6746.6</v>
      </c>
      <c r="E397" s="6">
        <f ca="1">RANK(F397,F:F)+COUNTIF(F$2:F397,F397)-1</f>
        <v>1026</v>
      </c>
      <c r="F397" s="6">
        <f t="shared" si="7"/>
        <v>-42.797899999999572</v>
      </c>
      <c r="G397" s="6">
        <f ca="1">IF(B397="","",股指期货基差分析!$N$11)</f>
        <v>-71.408500000000458</v>
      </c>
      <c r="H397" s="6">
        <f ca="1">IF(B397="","",股指期货基差分析!$L$11)</f>
        <v>15.737900000000081</v>
      </c>
      <c r="I397" s="10">
        <f ca="1">IF(B397="","",股指期货基差分析!$D$11)</f>
        <v>-19.923978315132629</v>
      </c>
      <c r="L397" s="43"/>
      <c r="Q397" s="11"/>
    </row>
    <row r="398" spans="2:17" ht="15" customHeight="1" x14ac:dyDescent="0.2">
      <c r="B398" s="7">
        <v>44062</v>
      </c>
      <c r="C398" s="5">
        <f>IF(B398="","",[1]!s_dq_close(股指期货基差分析!$E$5,$B398))</f>
        <v>6666.2740000000003</v>
      </c>
      <c r="D398" s="5">
        <f>IF(B398="","",[1]!s_dq_close(股指期货基差分析!$E$6,$B398))</f>
        <v>6639.8</v>
      </c>
      <c r="E398" s="5">
        <f ca="1">RANK(F398,F:F)+COUNTIF(F$2:F398,F398)-1</f>
        <v>835</v>
      </c>
      <c r="F398" s="5">
        <f t="shared" si="7"/>
        <v>-26.47400000000016</v>
      </c>
      <c r="G398" s="5">
        <f ca="1">IF(B398="","",股指期货基差分析!$N$11)</f>
        <v>-71.408500000000458</v>
      </c>
      <c r="H398" s="5">
        <f ca="1">IF(B398="","",股指期货基差分析!$L$11)</f>
        <v>15.737900000000081</v>
      </c>
      <c r="I398" s="9">
        <f ca="1">IF(B398="","",股指期货基差分析!$D$11)</f>
        <v>-19.923978315132629</v>
      </c>
      <c r="L398" s="43"/>
      <c r="Q398" s="11"/>
    </row>
    <row r="399" spans="2:17" ht="15" customHeight="1" x14ac:dyDescent="0.2">
      <c r="B399" s="8">
        <v>44063</v>
      </c>
      <c r="C399" s="6">
        <f>IF(B399="","",[1]!s_dq_close(股指期货基差分析!$E$5,$B399))</f>
        <v>6593.7849999999999</v>
      </c>
      <c r="D399" s="6">
        <f>IF(B399="","",[1]!s_dq_close(股指期货基差分析!$E$6,$B399))</f>
        <v>6587.2</v>
      </c>
      <c r="E399" s="6">
        <f ca="1">RANK(F399,F:F)+COUNTIF(F$2:F399,F399)-1</f>
        <v>459</v>
      </c>
      <c r="F399" s="6">
        <f t="shared" si="7"/>
        <v>-6.5850000000000364</v>
      </c>
      <c r="G399" s="6">
        <f ca="1">IF(B399="","",股指期货基差分析!$N$11)</f>
        <v>-71.408500000000458</v>
      </c>
      <c r="H399" s="6">
        <f ca="1">IF(B399="","",股指期货基差分析!$L$11)</f>
        <v>15.737900000000081</v>
      </c>
      <c r="I399" s="10">
        <f ca="1">IF(B399="","",股指期货基差分析!$D$11)</f>
        <v>-19.923978315132629</v>
      </c>
      <c r="L399" s="43"/>
      <c r="Q399" s="11"/>
    </row>
    <row r="400" spans="2:17" ht="15" customHeight="1" x14ac:dyDescent="0.2">
      <c r="B400" s="7">
        <v>44064</v>
      </c>
      <c r="C400" s="5">
        <f>IF(B400="","",[1]!s_dq_close(股指期货基差分析!$E$5,$B400))</f>
        <v>6643.9444000000003</v>
      </c>
      <c r="D400" s="5">
        <f>IF(B400="","",[1]!s_dq_close(股指期货基差分析!$E$6,$B400))</f>
        <v>6638</v>
      </c>
      <c r="E400" s="5">
        <f ca="1">RANK(F400,F:F)+COUNTIF(F$2:F400,F400)-1</f>
        <v>438</v>
      </c>
      <c r="F400" s="5">
        <f t="shared" si="7"/>
        <v>-5.9444000000003143</v>
      </c>
      <c r="G400" s="5">
        <f ca="1">IF(B400="","",股指期货基差分析!$N$11)</f>
        <v>-71.408500000000458</v>
      </c>
      <c r="H400" s="5">
        <f ca="1">IF(B400="","",股指期货基差分析!$L$11)</f>
        <v>15.737900000000081</v>
      </c>
      <c r="I400" s="9">
        <f ca="1">IF(B400="","",股指期货基差分析!$D$11)</f>
        <v>-19.923978315132629</v>
      </c>
      <c r="L400" s="43"/>
      <c r="Q400" s="11"/>
    </row>
    <row r="401" spans="2:17" ht="15" customHeight="1" x14ac:dyDescent="0.2">
      <c r="B401" s="8">
        <v>44067</v>
      </c>
      <c r="C401" s="6">
        <f>IF(B401="","",[1]!s_dq_close(股指期货基差分析!$E$5,$B401))</f>
        <v>6688.9647000000004</v>
      </c>
      <c r="D401" s="6">
        <f>IF(B401="","",[1]!s_dq_close(股指期货基差分析!$E$6,$B401))</f>
        <v>6543.4</v>
      </c>
      <c r="E401" s="6">
        <f ca="1">RANK(F401,F:F)+COUNTIF(F$2:F401,F401)-1</f>
        <v>1282</v>
      </c>
      <c r="F401" s="6">
        <f t="shared" si="7"/>
        <v>-145.56470000000081</v>
      </c>
      <c r="G401" s="6">
        <f ca="1">IF(B401="","",股指期货基差分析!$N$11)</f>
        <v>-71.408500000000458</v>
      </c>
      <c r="H401" s="6">
        <f ca="1">IF(B401="","",股指期货基差分析!$L$11)</f>
        <v>15.737900000000081</v>
      </c>
      <c r="I401" s="10">
        <f ca="1">IF(B401="","",股指期货基差分析!$D$11)</f>
        <v>-19.923978315132629</v>
      </c>
      <c r="L401" s="43"/>
      <c r="Q401" s="11"/>
    </row>
    <row r="402" spans="2:17" ht="15" customHeight="1" x14ac:dyDescent="0.2">
      <c r="B402" s="7">
        <v>44068</v>
      </c>
      <c r="C402" s="5">
        <f>IF(B402="","",[1]!s_dq_close(股指期货基差分析!$E$5,$B402))</f>
        <v>6652.5478000000003</v>
      </c>
      <c r="D402" s="5">
        <f>IF(B402="","",[1]!s_dq_close(股指期货基差分析!$E$6,$B402))</f>
        <v>6523.6</v>
      </c>
      <c r="E402" s="5">
        <f ca="1">RANK(F402,F:F)+COUNTIF(F$2:F402,F402)-1</f>
        <v>1280</v>
      </c>
      <c r="F402" s="5">
        <f t="shared" si="7"/>
        <v>-128.94779999999992</v>
      </c>
      <c r="G402" s="5">
        <f ca="1">IF(B402="","",股指期货基差分析!$N$11)</f>
        <v>-71.408500000000458</v>
      </c>
      <c r="H402" s="5">
        <f ca="1">IF(B402="","",股指期货基差分析!$L$11)</f>
        <v>15.737900000000081</v>
      </c>
      <c r="I402" s="9">
        <f ca="1">IF(B402="","",股指期货基差分析!$D$11)</f>
        <v>-19.923978315132629</v>
      </c>
      <c r="L402" s="43"/>
      <c r="Q402" s="11"/>
    </row>
    <row r="403" spans="2:17" ht="15" customHeight="1" x14ac:dyDescent="0.2">
      <c r="B403" s="8">
        <v>44069</v>
      </c>
      <c r="C403" s="6">
        <f>IF(B403="","",[1]!s_dq_close(股指期货基差分析!$E$5,$B403))</f>
        <v>6525.8786</v>
      </c>
      <c r="D403" s="6">
        <f>IF(B403="","",[1]!s_dq_close(股指期货基差分析!$E$6,$B403))</f>
        <v>6436</v>
      </c>
      <c r="E403" s="6">
        <f ca="1">RANK(F403,F:F)+COUNTIF(F$2:F403,F403)-1</f>
        <v>1265</v>
      </c>
      <c r="F403" s="6">
        <f t="shared" si="7"/>
        <v>-89.878600000000006</v>
      </c>
      <c r="G403" s="6">
        <f ca="1">IF(B403="","",股指期货基差分析!$N$11)</f>
        <v>-71.408500000000458</v>
      </c>
      <c r="H403" s="6">
        <f ca="1">IF(B403="","",股指期货基差分析!$L$11)</f>
        <v>15.737900000000081</v>
      </c>
      <c r="I403" s="10">
        <f ca="1">IF(B403="","",股指期货基差分析!$D$11)</f>
        <v>-19.923978315132629</v>
      </c>
      <c r="L403" s="43"/>
      <c r="Q403" s="11"/>
    </row>
    <row r="404" spans="2:17" ht="15" customHeight="1" x14ac:dyDescent="0.2">
      <c r="B404" s="7">
        <v>44070</v>
      </c>
      <c r="C404" s="5">
        <f>IF(B404="","",[1]!s_dq_close(股指期货基差分析!$E$5,$B404))</f>
        <v>6578.7911999999997</v>
      </c>
      <c r="D404" s="5">
        <f>IF(B404="","",[1]!s_dq_close(股指期货基差分析!$E$6,$B404))</f>
        <v>6509.4</v>
      </c>
      <c r="E404" s="5">
        <f ca="1">RANK(F404,F:F)+COUNTIF(F$2:F404,F404)-1</f>
        <v>1214</v>
      </c>
      <c r="F404" s="5">
        <f t="shared" si="7"/>
        <v>-69.391200000000026</v>
      </c>
      <c r="G404" s="5">
        <f ca="1">IF(B404="","",股指期货基差分析!$N$11)</f>
        <v>-71.408500000000458</v>
      </c>
      <c r="H404" s="5">
        <f ca="1">IF(B404="","",股指期货基差分析!$L$11)</f>
        <v>15.737900000000081</v>
      </c>
      <c r="I404" s="9">
        <f ca="1">IF(B404="","",股指期货基差分析!$D$11)</f>
        <v>-19.923978315132629</v>
      </c>
      <c r="L404" s="43"/>
      <c r="Q404" s="11"/>
    </row>
    <row r="405" spans="2:17" ht="15" customHeight="1" x14ac:dyDescent="0.2">
      <c r="B405" s="8">
        <v>44071</v>
      </c>
      <c r="C405" s="6">
        <f>IF(B405="","",[1]!s_dq_close(股指期货基差分析!$E$5,$B405))</f>
        <v>6691.2096000000001</v>
      </c>
      <c r="D405" s="6">
        <f>IF(B405="","",[1]!s_dq_close(股指期货基差分析!$E$6,$B405))</f>
        <v>6660</v>
      </c>
      <c r="E405" s="6">
        <f ca="1">RANK(F405,F:F)+COUNTIF(F$2:F405,F405)-1</f>
        <v>905</v>
      </c>
      <c r="F405" s="6">
        <f t="shared" si="7"/>
        <v>-31.209600000000137</v>
      </c>
      <c r="G405" s="6">
        <f ca="1">IF(B405="","",股指期货基差分析!$N$11)</f>
        <v>-71.408500000000458</v>
      </c>
      <c r="H405" s="6">
        <f ca="1">IF(B405="","",股指期货基差分析!$L$11)</f>
        <v>15.737900000000081</v>
      </c>
      <c r="I405" s="10">
        <f ca="1">IF(B405="","",股指期货基差分析!$D$11)</f>
        <v>-19.923978315132629</v>
      </c>
      <c r="L405" s="43"/>
      <c r="Q405" s="11"/>
    </row>
    <row r="406" spans="2:17" ht="15" customHeight="1" x14ac:dyDescent="0.2">
      <c r="B406" s="7">
        <v>44074</v>
      </c>
      <c r="C406" s="5">
        <f>IF(B406="","",[1]!s_dq_close(股指期货基差分析!$E$5,$B406))</f>
        <v>6668.4331000000002</v>
      </c>
      <c r="D406" s="5">
        <f>IF(B406="","",[1]!s_dq_close(股指期货基差分析!$E$6,$B406))</f>
        <v>6590</v>
      </c>
      <c r="E406" s="5">
        <f ca="1">RANK(F406,F:F)+COUNTIF(F$2:F406,F406)-1</f>
        <v>1241</v>
      </c>
      <c r="F406" s="5">
        <f t="shared" si="7"/>
        <v>-78.433100000000195</v>
      </c>
      <c r="G406" s="5">
        <f ca="1">IF(B406="","",股指期货基差分析!$N$11)</f>
        <v>-71.408500000000458</v>
      </c>
      <c r="H406" s="5">
        <f ca="1">IF(B406="","",股指期货基差分析!$L$11)</f>
        <v>15.737900000000081</v>
      </c>
      <c r="I406" s="9">
        <f ca="1">IF(B406="","",股指期货基差分析!$D$11)</f>
        <v>-19.923978315132629</v>
      </c>
      <c r="L406" s="43"/>
      <c r="Q406" s="11"/>
    </row>
    <row r="407" spans="2:17" ht="15" customHeight="1" x14ac:dyDescent="0.2">
      <c r="B407" s="8">
        <v>44075</v>
      </c>
      <c r="C407" s="6">
        <f>IF(B407="","",[1]!s_dq_close(股指期货基差分析!$E$5,$B407))</f>
        <v>6710.4598999999998</v>
      </c>
      <c r="D407" s="6">
        <f>IF(B407="","",[1]!s_dq_close(股指期货基差分析!$E$6,$B407))</f>
        <v>6655.2</v>
      </c>
      <c r="E407" s="6">
        <f ca="1">RANK(F407,F:F)+COUNTIF(F$2:F407,F407)-1</f>
        <v>1138</v>
      </c>
      <c r="F407" s="6">
        <f t="shared" si="7"/>
        <v>-55.259900000000016</v>
      </c>
      <c r="G407" s="6">
        <f ca="1">IF(B407="","",股指期货基差分析!$N$11)</f>
        <v>-71.408500000000458</v>
      </c>
      <c r="H407" s="6">
        <f ca="1">IF(B407="","",股指期货基差分析!$L$11)</f>
        <v>15.737900000000081</v>
      </c>
      <c r="I407" s="10">
        <f ca="1">IF(B407="","",股指期货基差分析!$D$11)</f>
        <v>-19.923978315132629</v>
      </c>
      <c r="L407" s="43"/>
      <c r="Q407" s="11"/>
    </row>
    <row r="408" spans="2:17" ht="15" customHeight="1" x14ac:dyDescent="0.2">
      <c r="B408" s="7">
        <v>44076</v>
      </c>
      <c r="C408" s="5">
        <f>IF(B408="","",[1]!s_dq_close(股指期货基差分析!$E$5,$B408))</f>
        <v>6717.5578999999998</v>
      </c>
      <c r="D408" s="5">
        <f>IF(B408="","",[1]!s_dq_close(股指期货基差分析!$E$6,$B408))</f>
        <v>6619</v>
      </c>
      <c r="E408" s="5">
        <f ca="1">RANK(F408,F:F)+COUNTIF(F$2:F408,F408)-1</f>
        <v>1271</v>
      </c>
      <c r="F408" s="5">
        <f t="shared" si="7"/>
        <v>-98.55789999999979</v>
      </c>
      <c r="G408" s="5">
        <f ca="1">IF(B408="","",股指期货基差分析!$N$11)</f>
        <v>-71.408500000000458</v>
      </c>
      <c r="H408" s="5">
        <f ca="1">IF(B408="","",股指期货基差分析!$L$11)</f>
        <v>15.737900000000081</v>
      </c>
      <c r="I408" s="9">
        <f ca="1">IF(B408="","",股指期货基差分析!$D$11)</f>
        <v>-19.923978315132629</v>
      </c>
      <c r="L408" s="43"/>
      <c r="Q408" s="11"/>
    </row>
    <row r="409" spans="2:17" ht="15" customHeight="1" x14ac:dyDescent="0.2">
      <c r="B409" s="8">
        <v>44077</v>
      </c>
      <c r="C409" s="6">
        <f>IF(B409="","",[1]!s_dq_close(股指期货基差分析!$E$5,$B409))</f>
        <v>6662.2515000000003</v>
      </c>
      <c r="D409" s="6">
        <f>IF(B409="","",[1]!s_dq_close(股指期货基差分析!$E$6,$B409))</f>
        <v>6596</v>
      </c>
      <c r="E409" s="6">
        <f ca="1">RANK(F409,F:F)+COUNTIF(F$2:F409,F409)-1</f>
        <v>1194</v>
      </c>
      <c r="F409" s="6">
        <f t="shared" si="7"/>
        <v>-66.251500000000306</v>
      </c>
      <c r="G409" s="6">
        <f ca="1">IF(B409="","",股指期货基差分析!$N$11)</f>
        <v>-71.408500000000458</v>
      </c>
      <c r="H409" s="6">
        <f ca="1">IF(B409="","",股指期货基差分析!$L$11)</f>
        <v>15.737900000000081</v>
      </c>
      <c r="I409" s="10">
        <f ca="1">IF(B409="","",股指期货基差分析!$D$11)</f>
        <v>-19.923978315132629</v>
      </c>
      <c r="L409" s="43"/>
      <c r="Q409" s="11"/>
    </row>
    <row r="410" spans="2:17" ht="15" customHeight="1" x14ac:dyDescent="0.2">
      <c r="B410" s="7">
        <v>44078</v>
      </c>
      <c r="C410" s="5">
        <f>IF(B410="","",[1]!s_dq_close(股指期货基差分析!$E$5,$B410))</f>
        <v>6618.5762000000004</v>
      </c>
      <c r="D410" s="5">
        <f>IF(B410="","",[1]!s_dq_close(股指期货基差分析!$E$6,$B410))</f>
        <v>6578.8</v>
      </c>
      <c r="E410" s="5">
        <f ca="1">RANK(F410,F:F)+COUNTIF(F$2:F410,F410)-1</f>
        <v>1002</v>
      </c>
      <c r="F410" s="5">
        <f t="shared" si="7"/>
        <v>-39.776200000000244</v>
      </c>
      <c r="G410" s="5">
        <f ca="1">IF(B410="","",股指期货基差分析!$N$11)</f>
        <v>-71.408500000000458</v>
      </c>
      <c r="H410" s="5">
        <f ca="1">IF(B410="","",股指期货基差分析!$L$11)</f>
        <v>15.737900000000081</v>
      </c>
      <c r="I410" s="9">
        <f ca="1">IF(B410="","",股指期货基差分析!$D$11)</f>
        <v>-19.923978315132629</v>
      </c>
      <c r="L410" s="43"/>
      <c r="Q410" s="11"/>
    </row>
    <row r="411" spans="2:17" ht="15" customHeight="1" x14ac:dyDescent="0.2">
      <c r="B411" s="8">
        <v>44081</v>
      </c>
      <c r="C411" s="6">
        <f>IF(B411="","",[1]!s_dq_close(股指期货基差分析!$E$5,$B411))</f>
        <v>6478.8123999999998</v>
      </c>
      <c r="D411" s="6">
        <f>IF(B411="","",[1]!s_dq_close(股指期货基差分析!$E$6,$B411))</f>
        <v>6421</v>
      </c>
      <c r="E411" s="6">
        <f ca="1">RANK(F411,F:F)+COUNTIF(F$2:F411,F411)-1</f>
        <v>1151</v>
      </c>
      <c r="F411" s="6">
        <f t="shared" si="7"/>
        <v>-57.812399999999798</v>
      </c>
      <c r="G411" s="6">
        <f ca="1">IF(B411="","",股指期货基差分析!$N$11)</f>
        <v>-71.408500000000458</v>
      </c>
      <c r="H411" s="6">
        <f ca="1">IF(B411="","",股指期货基差分析!$L$11)</f>
        <v>15.737900000000081</v>
      </c>
      <c r="I411" s="10">
        <f ca="1">IF(B411="","",股指期货基差分析!$D$11)</f>
        <v>-19.923978315132629</v>
      </c>
      <c r="L411" s="43"/>
      <c r="Q411" s="11"/>
    </row>
    <row r="412" spans="2:17" ht="15" customHeight="1" x14ac:dyDescent="0.2">
      <c r="B412" s="7">
        <v>44082</v>
      </c>
      <c r="C412" s="5">
        <f>IF(B412="","",[1]!s_dq_close(股指期货基差分析!$E$5,$B412))</f>
        <v>6525.098</v>
      </c>
      <c r="D412" s="5">
        <f>IF(B412="","",[1]!s_dq_close(股指期货基差分析!$E$6,$B412))</f>
        <v>6491</v>
      </c>
      <c r="E412" s="5">
        <f ca="1">RANK(F412,F:F)+COUNTIF(F$2:F412,F412)-1</f>
        <v>939</v>
      </c>
      <c r="F412" s="5">
        <f t="shared" si="7"/>
        <v>-34.097999999999956</v>
      </c>
      <c r="G412" s="5">
        <f ca="1">IF(B412="","",股指期货基差分析!$N$11)</f>
        <v>-71.408500000000458</v>
      </c>
      <c r="H412" s="5">
        <f ca="1">IF(B412="","",股指期货基差分析!$L$11)</f>
        <v>15.737900000000081</v>
      </c>
      <c r="I412" s="9">
        <f ca="1">IF(B412="","",股指期货基差分析!$D$11)</f>
        <v>-19.923978315132629</v>
      </c>
      <c r="L412" s="43"/>
      <c r="Q412" s="11"/>
    </row>
    <row r="413" spans="2:17" ht="15" customHeight="1" x14ac:dyDescent="0.2">
      <c r="B413" s="8">
        <v>44083</v>
      </c>
      <c r="C413" s="6">
        <f>IF(B413="","",[1]!s_dq_close(股指期货基差分析!$E$5,$B413))</f>
        <v>6349.2233999999999</v>
      </c>
      <c r="D413" s="6">
        <f>IF(B413="","",[1]!s_dq_close(股指期货基差分析!$E$6,$B413))</f>
        <v>6326</v>
      </c>
      <c r="E413" s="6">
        <f ca="1">RANK(F413,F:F)+COUNTIF(F$2:F413,F413)-1</f>
        <v>795</v>
      </c>
      <c r="F413" s="6">
        <f t="shared" si="7"/>
        <v>-23.223399999999856</v>
      </c>
      <c r="G413" s="6">
        <f ca="1">IF(B413="","",股指期货基差分析!$N$11)</f>
        <v>-71.408500000000458</v>
      </c>
      <c r="H413" s="6">
        <f ca="1">IF(B413="","",股指期货基差分析!$L$11)</f>
        <v>15.737900000000081</v>
      </c>
      <c r="I413" s="10">
        <f ca="1">IF(B413="","",股指期货基差分析!$D$11)</f>
        <v>-19.923978315132629</v>
      </c>
      <c r="L413" s="43"/>
      <c r="Q413" s="11"/>
    </row>
    <row r="414" spans="2:17" ht="15" customHeight="1" x14ac:dyDescent="0.2">
      <c r="B414" s="7">
        <v>44084</v>
      </c>
      <c r="C414" s="5">
        <f>IF(B414="","",[1]!s_dq_close(股指期货基差分析!$E$5,$B414))</f>
        <v>6235.5686999999998</v>
      </c>
      <c r="D414" s="5">
        <f>IF(B414="","",[1]!s_dq_close(股指期货基差分析!$E$6,$B414))</f>
        <v>6222</v>
      </c>
      <c r="E414" s="5">
        <f ca="1">RANK(F414,F:F)+COUNTIF(F$2:F414,F414)-1</f>
        <v>627</v>
      </c>
      <c r="F414" s="5">
        <f t="shared" si="7"/>
        <v>-13.568699999999808</v>
      </c>
      <c r="G414" s="5">
        <f ca="1">IF(B414="","",股指期货基差分析!$N$11)</f>
        <v>-71.408500000000458</v>
      </c>
      <c r="H414" s="5">
        <f ca="1">IF(B414="","",股指期货基差分析!$L$11)</f>
        <v>15.737900000000081</v>
      </c>
      <c r="I414" s="9">
        <f ca="1">IF(B414="","",股指期货基差分析!$D$11)</f>
        <v>-19.923978315132629</v>
      </c>
      <c r="L414" s="43"/>
      <c r="Q414" s="11"/>
    </row>
    <row r="415" spans="2:17" ht="15" customHeight="1" x14ac:dyDescent="0.2">
      <c r="B415" s="8">
        <v>44085</v>
      </c>
      <c r="C415" s="6">
        <f>IF(B415="","",[1]!s_dq_close(股指期货基差分析!$E$5,$B415))</f>
        <v>6311.9669999999996</v>
      </c>
      <c r="D415" s="6">
        <f>IF(B415="","",[1]!s_dq_close(股指期货基差分析!$E$6,$B415))</f>
        <v>6280</v>
      </c>
      <c r="E415" s="6">
        <f ca="1">RANK(F415,F:F)+COUNTIF(F$2:F415,F415)-1</f>
        <v>918</v>
      </c>
      <c r="F415" s="6">
        <f t="shared" si="7"/>
        <v>-31.966999999999643</v>
      </c>
      <c r="G415" s="6">
        <f ca="1">IF(B415="","",股指期货基差分析!$N$11)</f>
        <v>-71.408500000000458</v>
      </c>
      <c r="H415" s="6">
        <f ca="1">IF(B415="","",股指期货基差分析!$L$11)</f>
        <v>15.737900000000081</v>
      </c>
      <c r="I415" s="10">
        <f ca="1">IF(B415="","",股指期货基差分析!$D$11)</f>
        <v>-19.923978315132629</v>
      </c>
      <c r="L415" s="43"/>
      <c r="Q415" s="11"/>
    </row>
    <row r="416" spans="2:17" ht="15" customHeight="1" x14ac:dyDescent="0.2">
      <c r="B416" s="7">
        <v>44088</v>
      </c>
      <c r="C416" s="5">
        <f>IF(B416="","",[1]!s_dq_close(股指期货基差分析!$E$5,$B416))</f>
        <v>6351.2421999999997</v>
      </c>
      <c r="D416" s="5">
        <f>IF(B416="","",[1]!s_dq_close(股指期货基差分析!$E$6,$B416))</f>
        <v>6332.6</v>
      </c>
      <c r="E416" s="5">
        <f ca="1">RANK(F416,F:F)+COUNTIF(F$2:F416,F416)-1</f>
        <v>725</v>
      </c>
      <c r="F416" s="5">
        <f t="shared" si="7"/>
        <v>-18.64219999999932</v>
      </c>
      <c r="G416" s="5">
        <f ca="1">IF(B416="","",股指期货基差分析!$N$11)</f>
        <v>-71.408500000000458</v>
      </c>
      <c r="H416" s="5">
        <f ca="1">IF(B416="","",股指期货基差分析!$L$11)</f>
        <v>15.737900000000081</v>
      </c>
      <c r="I416" s="9">
        <f ca="1">IF(B416="","",股指期货基差分析!$D$11)</f>
        <v>-19.923978315132629</v>
      </c>
      <c r="L416" s="43"/>
      <c r="Q416" s="11"/>
    </row>
    <row r="417" spans="2:17" ht="15" customHeight="1" x14ac:dyDescent="0.2">
      <c r="B417" s="8">
        <v>44089</v>
      </c>
      <c r="C417" s="6">
        <f>IF(B417="","",[1]!s_dq_close(股指期货基差分析!$E$5,$B417))</f>
        <v>6387.8805000000002</v>
      </c>
      <c r="D417" s="6">
        <f>IF(B417="","",[1]!s_dq_close(股指期货基差分析!$E$6,$B417))</f>
        <v>6366.2</v>
      </c>
      <c r="E417" s="6">
        <f ca="1">RANK(F417,F:F)+COUNTIF(F$2:F417,F417)-1</f>
        <v>778</v>
      </c>
      <c r="F417" s="6">
        <f t="shared" si="7"/>
        <v>-21.680500000000393</v>
      </c>
      <c r="G417" s="6">
        <f ca="1">IF(B417="","",股指期货基差分析!$N$11)</f>
        <v>-71.408500000000458</v>
      </c>
      <c r="H417" s="6">
        <f ca="1">IF(B417="","",股指期货基差分析!$L$11)</f>
        <v>15.737900000000081</v>
      </c>
      <c r="I417" s="10">
        <f ca="1">IF(B417="","",股指期货基差分析!$D$11)</f>
        <v>-19.923978315132629</v>
      </c>
      <c r="L417" s="43"/>
      <c r="Q417" s="11"/>
    </row>
    <row r="418" spans="2:17" ht="15" customHeight="1" x14ac:dyDescent="0.2">
      <c r="B418" s="7">
        <v>44090</v>
      </c>
      <c r="C418" s="5">
        <f>IF(B418="","",[1]!s_dq_close(股指期货基差分析!$E$5,$B418))</f>
        <v>6353.8360000000002</v>
      </c>
      <c r="D418" s="5">
        <f>IF(B418="","",[1]!s_dq_close(股指期货基差分析!$E$6,$B418))</f>
        <v>6353.6</v>
      </c>
      <c r="E418" s="5">
        <f ca="1">RANK(F418,F:F)+COUNTIF(F$2:F418,F418)-1</f>
        <v>301</v>
      </c>
      <c r="F418" s="5">
        <f t="shared" si="7"/>
        <v>-0.23599999999987631</v>
      </c>
      <c r="G418" s="5">
        <f ca="1">IF(B418="","",股指期货基差分析!$N$11)</f>
        <v>-71.408500000000458</v>
      </c>
      <c r="H418" s="5">
        <f ca="1">IF(B418="","",股指期货基差分析!$L$11)</f>
        <v>15.737900000000081</v>
      </c>
      <c r="I418" s="9">
        <f ca="1">IF(B418="","",股指期货基差分析!$D$11)</f>
        <v>-19.923978315132629</v>
      </c>
      <c r="L418" s="43"/>
      <c r="Q418" s="11"/>
    </row>
    <row r="419" spans="2:17" ht="15" customHeight="1" x14ac:dyDescent="0.2">
      <c r="B419" s="8">
        <v>44091</v>
      </c>
      <c r="C419" s="6">
        <f>IF(B419="","",[1]!s_dq_close(股指期货基差分析!$E$5,$B419))</f>
        <v>6367.0205999999998</v>
      </c>
      <c r="D419" s="6">
        <f>IF(B419="","",[1]!s_dq_close(股指期货基差分析!$E$6,$B419))</f>
        <v>6374</v>
      </c>
      <c r="E419" s="6">
        <f ca="1">RANK(F419,F:F)+COUNTIF(F$2:F419,F419)-1</f>
        <v>154</v>
      </c>
      <c r="F419" s="6">
        <f t="shared" si="7"/>
        <v>6.9794000000001688</v>
      </c>
      <c r="G419" s="6">
        <f ca="1">IF(B419="","",股指期货基差分析!$N$11)</f>
        <v>-71.408500000000458</v>
      </c>
      <c r="H419" s="6">
        <f ca="1">IF(B419="","",股指期货基差分析!$L$11)</f>
        <v>15.737900000000081</v>
      </c>
      <c r="I419" s="10">
        <f ca="1">IF(B419="","",股指期货基差分析!$D$11)</f>
        <v>-19.923978315132629</v>
      </c>
      <c r="L419" s="43"/>
      <c r="Q419" s="11"/>
    </row>
    <row r="420" spans="2:17" ht="15" customHeight="1" x14ac:dyDescent="0.2">
      <c r="B420" s="7">
        <v>44092</v>
      </c>
      <c r="C420" s="5">
        <f>IF(B420="","",[1]!s_dq_close(股指期货基差分析!$E$5,$B420))</f>
        <v>6469.4691999999995</v>
      </c>
      <c r="D420" s="5">
        <f>IF(B420="","",[1]!s_dq_close(股指期货基差分析!$E$6,$B420))</f>
        <v>6440.8</v>
      </c>
      <c r="E420" s="5">
        <f ca="1">RANK(F420,F:F)+COUNTIF(F$2:F420,F420)-1</f>
        <v>870</v>
      </c>
      <c r="F420" s="5">
        <f t="shared" si="7"/>
        <v>-28.669199999999364</v>
      </c>
      <c r="G420" s="5">
        <f ca="1">IF(B420="","",股指期货基差分析!$N$11)</f>
        <v>-71.408500000000458</v>
      </c>
      <c r="H420" s="5">
        <f ca="1">IF(B420="","",股指期货基差分析!$L$11)</f>
        <v>15.737900000000081</v>
      </c>
      <c r="I420" s="9">
        <f ca="1">IF(B420="","",股指期货基差分析!$D$11)</f>
        <v>-19.923978315132629</v>
      </c>
      <c r="L420" s="43"/>
      <c r="Q420" s="11"/>
    </row>
    <row r="421" spans="2:17" ht="15" customHeight="1" x14ac:dyDescent="0.2">
      <c r="B421" s="8">
        <v>44095</v>
      </c>
      <c r="C421" s="6">
        <f>IF(B421="","",[1]!s_dq_close(股指期货基差分析!$E$5,$B421))</f>
        <v>6445.9648999999999</v>
      </c>
      <c r="D421" s="6">
        <f>IF(B421="","",[1]!s_dq_close(股指期货基差分析!$E$6,$B421))</f>
        <v>6373.8</v>
      </c>
      <c r="E421" s="6">
        <f ca="1">RANK(F421,F:F)+COUNTIF(F$2:F421,F421)-1</f>
        <v>1220</v>
      </c>
      <c r="F421" s="6">
        <f t="shared" si="7"/>
        <v>-72.164899999999761</v>
      </c>
      <c r="G421" s="6">
        <f ca="1">IF(B421="","",股指期货基差分析!$N$11)</f>
        <v>-71.408500000000458</v>
      </c>
      <c r="H421" s="6">
        <f ca="1">IF(B421="","",股指期货基差分析!$L$11)</f>
        <v>15.737900000000081</v>
      </c>
      <c r="I421" s="10">
        <f ca="1">IF(B421="","",股指期货基差分析!$D$11)</f>
        <v>-19.923978315132629</v>
      </c>
      <c r="L421" s="43"/>
      <c r="Q421" s="11"/>
    </row>
    <row r="422" spans="2:17" ht="15" customHeight="1" x14ac:dyDescent="0.2">
      <c r="B422" s="7">
        <v>44096</v>
      </c>
      <c r="C422" s="5">
        <f>IF(B422="","",[1]!s_dq_close(股指期货基差分析!$E$5,$B422))</f>
        <v>6358.652</v>
      </c>
      <c r="D422" s="5">
        <f>IF(B422="","",[1]!s_dq_close(股指期货基差分析!$E$6,$B422))</f>
        <v>6292.2</v>
      </c>
      <c r="E422" s="5">
        <f ca="1">RANK(F422,F:F)+COUNTIF(F$2:F422,F422)-1</f>
        <v>1196</v>
      </c>
      <c r="F422" s="5">
        <f t="shared" si="7"/>
        <v>-66.452000000000226</v>
      </c>
      <c r="G422" s="5">
        <f ca="1">IF(B422="","",股指期货基差分析!$N$11)</f>
        <v>-71.408500000000458</v>
      </c>
      <c r="H422" s="5">
        <f ca="1">IF(B422="","",股指期货基差分析!$L$11)</f>
        <v>15.737900000000081</v>
      </c>
      <c r="I422" s="9">
        <f ca="1">IF(B422="","",股指期货基差分析!$D$11)</f>
        <v>-19.923978315132629</v>
      </c>
      <c r="L422" s="43"/>
      <c r="Q422" s="11"/>
    </row>
    <row r="423" spans="2:17" ht="15" customHeight="1" x14ac:dyDescent="0.2">
      <c r="B423" s="8">
        <v>44097</v>
      </c>
      <c r="C423" s="6">
        <f>IF(B423="","",[1]!s_dq_close(股指期货基差分析!$E$5,$B423))</f>
        <v>6392.0329000000002</v>
      </c>
      <c r="D423" s="6">
        <f>IF(B423="","",[1]!s_dq_close(股指期货基差分析!$E$6,$B423))</f>
        <v>6323</v>
      </c>
      <c r="E423" s="6">
        <f ca="1">RANK(F423,F:F)+COUNTIF(F$2:F423,F423)-1</f>
        <v>1212</v>
      </c>
      <c r="F423" s="6">
        <f t="shared" si="7"/>
        <v>-69.032900000000154</v>
      </c>
      <c r="G423" s="6">
        <f ca="1">IF(B423="","",股指期货基差分析!$N$11)</f>
        <v>-71.408500000000458</v>
      </c>
      <c r="H423" s="6">
        <f ca="1">IF(B423="","",股指期货基差分析!$L$11)</f>
        <v>15.737900000000081</v>
      </c>
      <c r="I423" s="10">
        <f ca="1">IF(B423="","",股指期货基差分析!$D$11)</f>
        <v>-19.923978315132629</v>
      </c>
      <c r="L423" s="43"/>
      <c r="Q423" s="11"/>
    </row>
    <row r="424" spans="2:17" ht="15" customHeight="1" x14ac:dyDescent="0.2">
      <c r="B424" s="7">
        <v>44098</v>
      </c>
      <c r="C424" s="5">
        <f>IF(B424="","",[1]!s_dq_close(股指期货基差分析!$E$5,$B424))</f>
        <v>6244.6388999999999</v>
      </c>
      <c r="D424" s="5">
        <f>IF(B424="","",[1]!s_dq_close(股指期货基差分析!$E$6,$B424))</f>
        <v>6190.2</v>
      </c>
      <c r="E424" s="5">
        <f ca="1">RANK(F424,F:F)+COUNTIF(F$2:F424,F424)-1</f>
        <v>1136</v>
      </c>
      <c r="F424" s="5">
        <f t="shared" si="7"/>
        <v>-54.438900000000103</v>
      </c>
      <c r="G424" s="5">
        <f ca="1">IF(B424="","",股指期货基差分析!$N$11)</f>
        <v>-71.408500000000458</v>
      </c>
      <c r="H424" s="5">
        <f ca="1">IF(B424="","",股指期货基差分析!$L$11)</f>
        <v>15.737900000000081</v>
      </c>
      <c r="I424" s="9">
        <f ca="1">IF(B424="","",股指期货基差分析!$D$11)</f>
        <v>-19.923978315132629</v>
      </c>
      <c r="L424" s="43"/>
      <c r="Q424" s="11"/>
    </row>
    <row r="425" spans="2:17" ht="15" customHeight="1" x14ac:dyDescent="0.2">
      <c r="B425" s="8">
        <v>44099</v>
      </c>
      <c r="C425" s="6">
        <f>IF(B425="","",[1]!s_dq_close(股指期货基差分析!$E$5,$B425))</f>
        <v>6236.8904000000002</v>
      </c>
      <c r="D425" s="6">
        <f>IF(B425="","",[1]!s_dq_close(股指期货基差分析!$E$6,$B425))</f>
        <v>6209.6</v>
      </c>
      <c r="E425" s="6">
        <f ca="1">RANK(F425,F:F)+COUNTIF(F$2:F425,F425)-1</f>
        <v>851</v>
      </c>
      <c r="F425" s="6">
        <f t="shared" si="7"/>
        <v>-27.290399999999863</v>
      </c>
      <c r="G425" s="6">
        <f ca="1">IF(B425="","",股指期货基差分析!$N$11)</f>
        <v>-71.408500000000458</v>
      </c>
      <c r="H425" s="6">
        <f ca="1">IF(B425="","",股指期货基差分析!$L$11)</f>
        <v>15.737900000000081</v>
      </c>
      <c r="I425" s="10">
        <f ca="1">IF(B425="","",股指期货基差分析!$D$11)</f>
        <v>-19.923978315132629</v>
      </c>
      <c r="L425" s="43"/>
      <c r="Q425" s="11"/>
    </row>
    <row r="426" spans="2:17" ht="15" customHeight="1" x14ac:dyDescent="0.2">
      <c r="B426" s="7">
        <v>44102</v>
      </c>
      <c r="C426" s="5">
        <f>IF(B426="","",[1]!s_dq_close(股指期货基差分析!$E$5,$B426))</f>
        <v>6178.4692999999997</v>
      </c>
      <c r="D426" s="5">
        <f>IF(B426="","",[1]!s_dq_close(股指期货基差分析!$E$6,$B426))</f>
        <v>6157.2</v>
      </c>
      <c r="E426" s="5">
        <f ca="1">RANK(F426,F:F)+COUNTIF(F$2:F426,F426)-1</f>
        <v>772</v>
      </c>
      <c r="F426" s="5">
        <f t="shared" si="7"/>
        <v>-21.26929999999993</v>
      </c>
      <c r="G426" s="5">
        <f ca="1">IF(B426="","",股指期货基差分析!$N$11)</f>
        <v>-71.408500000000458</v>
      </c>
      <c r="H426" s="5">
        <f ca="1">IF(B426="","",股指期货基差分析!$L$11)</f>
        <v>15.737900000000081</v>
      </c>
      <c r="I426" s="9">
        <f ca="1">IF(B426="","",股指期货基差分析!$D$11)</f>
        <v>-19.923978315132629</v>
      </c>
      <c r="L426" s="43"/>
      <c r="Q426" s="11"/>
    </row>
    <row r="427" spans="2:17" ht="15" customHeight="1" x14ac:dyDescent="0.2">
      <c r="B427" s="8">
        <v>44103</v>
      </c>
      <c r="C427" s="6">
        <f>IF(B427="","",[1]!s_dq_close(股指期货基差分析!$E$5,$B427))</f>
        <v>6228.7708000000002</v>
      </c>
      <c r="D427" s="6">
        <f>IF(B427="","",[1]!s_dq_close(股指期货基差分析!$E$6,$B427))</f>
        <v>6213.4</v>
      </c>
      <c r="E427" s="6">
        <f ca="1">RANK(F427,F:F)+COUNTIF(F$2:F427,F427)-1</f>
        <v>668</v>
      </c>
      <c r="F427" s="6">
        <f t="shared" si="7"/>
        <v>-15.3708000000006</v>
      </c>
      <c r="G427" s="6">
        <f ca="1">IF(B427="","",股指期货基差分析!$N$11)</f>
        <v>-71.408500000000458</v>
      </c>
      <c r="H427" s="6">
        <f ca="1">IF(B427="","",股指期货基差分析!$L$11)</f>
        <v>15.737900000000081</v>
      </c>
      <c r="I427" s="10">
        <f ca="1">IF(B427="","",股指期货基差分析!$D$11)</f>
        <v>-19.923978315132629</v>
      </c>
      <c r="L427" s="43"/>
      <c r="Q427" s="11"/>
    </row>
    <row r="428" spans="2:17" ht="15" customHeight="1" x14ac:dyDescent="0.2">
      <c r="B428" s="7">
        <v>44104</v>
      </c>
      <c r="C428" s="5">
        <f>IF(B428="","",[1]!s_dq_close(股指期货基差分析!$E$5,$B428))</f>
        <v>6192.5045</v>
      </c>
      <c r="D428" s="5">
        <f>IF(B428="","",[1]!s_dq_close(股指期货基差分析!$E$6,$B428))</f>
        <v>6163</v>
      </c>
      <c r="E428" s="5">
        <f ca="1">RANK(F428,F:F)+COUNTIF(F$2:F428,F428)-1</f>
        <v>885</v>
      </c>
      <c r="F428" s="5">
        <f t="shared" si="7"/>
        <v>-29.504500000000007</v>
      </c>
      <c r="G428" s="5">
        <f ca="1">IF(B428="","",股指期货基差分析!$N$11)</f>
        <v>-71.408500000000458</v>
      </c>
      <c r="H428" s="5">
        <f ca="1">IF(B428="","",股指期货基差分析!$L$11)</f>
        <v>15.737900000000081</v>
      </c>
      <c r="I428" s="9">
        <f ca="1">IF(B428="","",股指期货基差分析!$D$11)</f>
        <v>-19.923978315132629</v>
      </c>
      <c r="L428" s="43"/>
      <c r="Q428" s="11"/>
    </row>
    <row r="429" spans="2:17" ht="15" customHeight="1" x14ac:dyDescent="0.2">
      <c r="B429" s="8">
        <v>44113</v>
      </c>
      <c r="C429" s="6">
        <f>IF(B429="","",[1]!s_dq_close(股指期货基差分析!$E$5,$B429))</f>
        <v>6357.9710999999998</v>
      </c>
      <c r="D429" s="6">
        <f>IF(B429="","",[1]!s_dq_close(股指期货基差分析!$E$6,$B429))</f>
        <v>6332.6</v>
      </c>
      <c r="E429" s="6">
        <f ca="1">RANK(F429,F:F)+COUNTIF(F$2:F429,F429)-1</f>
        <v>823</v>
      </c>
      <c r="F429" s="6">
        <f t="shared" si="7"/>
        <v>-25.371099999999387</v>
      </c>
      <c r="G429" s="6">
        <f ca="1">IF(B429="","",股指期货基差分析!$N$11)</f>
        <v>-71.408500000000458</v>
      </c>
      <c r="H429" s="6">
        <f ca="1">IF(B429="","",股指期货基差分析!$L$11)</f>
        <v>15.737900000000081</v>
      </c>
      <c r="I429" s="10">
        <f ca="1">IF(B429="","",股指期货基差分析!$D$11)</f>
        <v>-19.923978315132629</v>
      </c>
      <c r="L429" s="43"/>
      <c r="Q429" s="11"/>
    </row>
    <row r="430" spans="2:17" ht="15" customHeight="1" x14ac:dyDescent="0.2">
      <c r="B430" s="7">
        <v>44116</v>
      </c>
      <c r="C430" s="5">
        <f>IF(B430="","",[1]!s_dq_close(股指期货基差分析!$E$5,$B430))</f>
        <v>6541.1760000000004</v>
      </c>
      <c r="D430" s="5">
        <f>IF(B430="","",[1]!s_dq_close(股指期货基差分析!$E$6,$B430))</f>
        <v>6539.8</v>
      </c>
      <c r="E430" s="5">
        <f ca="1">RANK(F430,F:F)+COUNTIF(F$2:F430,F430)-1</f>
        <v>327</v>
      </c>
      <c r="F430" s="5">
        <f t="shared" si="7"/>
        <v>-1.3760000000002037</v>
      </c>
      <c r="G430" s="5">
        <f ca="1">IF(B430="","",股指期货基差分析!$N$11)</f>
        <v>-71.408500000000458</v>
      </c>
      <c r="H430" s="5">
        <f ca="1">IF(B430="","",股指期货基差分析!$L$11)</f>
        <v>15.737900000000081</v>
      </c>
      <c r="I430" s="9">
        <f ca="1">IF(B430="","",股指期货基差分析!$D$11)</f>
        <v>-19.923978315132629</v>
      </c>
      <c r="L430" s="43"/>
      <c r="Q430" s="11"/>
    </row>
    <row r="431" spans="2:17" ht="15" customHeight="1" x14ac:dyDescent="0.2">
      <c r="B431" s="8">
        <v>44117</v>
      </c>
      <c r="C431" s="6">
        <f>IF(B431="","",[1]!s_dq_close(股指期货基差分析!$E$5,$B431))</f>
        <v>6551.3986999999997</v>
      </c>
      <c r="D431" s="6">
        <f>IF(B431="","",[1]!s_dq_close(股指期货基差分析!$E$6,$B431))</f>
        <v>6538.4</v>
      </c>
      <c r="E431" s="6">
        <f ca="1">RANK(F431,F:F)+COUNTIF(F$2:F431,F431)-1</f>
        <v>615</v>
      </c>
      <c r="F431" s="6">
        <f t="shared" si="7"/>
        <v>-12.998700000000099</v>
      </c>
      <c r="G431" s="6">
        <f ca="1">IF(B431="","",股指期货基差分析!$N$11)</f>
        <v>-71.408500000000458</v>
      </c>
      <c r="H431" s="6">
        <f ca="1">IF(B431="","",股指期货基差分析!$L$11)</f>
        <v>15.737900000000081</v>
      </c>
      <c r="I431" s="10">
        <f ca="1">IF(B431="","",股指期货基差分析!$D$11)</f>
        <v>-19.923978315132629</v>
      </c>
      <c r="L431" s="43"/>
      <c r="Q431" s="11"/>
    </row>
    <row r="432" spans="2:17" ht="15" customHeight="1" x14ac:dyDescent="0.2">
      <c r="B432" s="7">
        <v>44118</v>
      </c>
      <c r="C432" s="5">
        <f>IF(B432="","",[1]!s_dq_close(股指期货基差分析!$E$5,$B432))</f>
        <v>6508.3743000000004</v>
      </c>
      <c r="D432" s="5">
        <f>IF(B432="","",[1]!s_dq_close(股指期货基差分析!$E$6,$B432))</f>
        <v>6511</v>
      </c>
      <c r="E432" s="5">
        <f ca="1">RANK(F432,F:F)+COUNTIF(F$2:F432,F432)-1</f>
        <v>246</v>
      </c>
      <c r="F432" s="5">
        <f t="shared" si="7"/>
        <v>2.6256999999995969</v>
      </c>
      <c r="G432" s="5">
        <f ca="1">IF(B432="","",股指期货基差分析!$N$11)</f>
        <v>-71.408500000000458</v>
      </c>
      <c r="H432" s="5">
        <f ca="1">IF(B432="","",股指期货基差分析!$L$11)</f>
        <v>15.737900000000081</v>
      </c>
      <c r="I432" s="9">
        <f ca="1">IF(B432="","",股指期货基差分析!$D$11)</f>
        <v>-19.923978315132629</v>
      </c>
      <c r="L432" s="43"/>
      <c r="Q432" s="11"/>
    </row>
    <row r="433" spans="2:17" ht="15" customHeight="1" x14ac:dyDescent="0.2">
      <c r="B433" s="8">
        <v>44119</v>
      </c>
      <c r="C433" s="6">
        <f>IF(B433="","",[1]!s_dq_close(股指期货基差分析!$E$5,$B433))</f>
        <v>6460.0407999999998</v>
      </c>
      <c r="D433" s="6">
        <f>IF(B433="","",[1]!s_dq_close(股指期货基差分析!$E$6,$B433))</f>
        <v>6466</v>
      </c>
      <c r="E433" s="6">
        <f ca="1">RANK(F433,F:F)+COUNTIF(F$2:F433,F433)-1</f>
        <v>171</v>
      </c>
      <c r="F433" s="6">
        <f t="shared" si="7"/>
        <v>5.9592000000002372</v>
      </c>
      <c r="G433" s="6">
        <f ca="1">IF(B433="","",股指期货基差分析!$N$11)</f>
        <v>-71.408500000000458</v>
      </c>
      <c r="H433" s="6">
        <f ca="1">IF(B433="","",股指期货基差分析!$L$11)</f>
        <v>15.737900000000081</v>
      </c>
      <c r="I433" s="10">
        <f ca="1">IF(B433="","",股指期货基差分析!$D$11)</f>
        <v>-19.923978315132629</v>
      </c>
      <c r="L433" s="43"/>
      <c r="Q433" s="11"/>
    </row>
    <row r="434" spans="2:17" ht="15" customHeight="1" x14ac:dyDescent="0.2">
      <c r="B434" s="7">
        <v>44120</v>
      </c>
      <c r="C434" s="5">
        <f>IF(B434="","",[1]!s_dq_close(股指期货基差分析!$E$5,$B434))</f>
        <v>6428.6822000000002</v>
      </c>
      <c r="D434" s="5">
        <f>IF(B434="","",[1]!s_dq_close(股指期货基差分析!$E$6,$B434))</f>
        <v>6419.6</v>
      </c>
      <c r="E434" s="5">
        <f ca="1">RANK(F434,F:F)+COUNTIF(F$2:F434,F434)-1</f>
        <v>532</v>
      </c>
      <c r="F434" s="5">
        <f t="shared" si="7"/>
        <v>-9.0821999999998297</v>
      </c>
      <c r="G434" s="5">
        <f ca="1">IF(B434="","",股指期货基差分析!$N$11)</f>
        <v>-71.408500000000458</v>
      </c>
      <c r="H434" s="5">
        <f ca="1">IF(B434="","",股指期货基差分析!$L$11)</f>
        <v>15.737900000000081</v>
      </c>
      <c r="I434" s="9">
        <f ca="1">IF(B434="","",股指期货基差分析!$D$11)</f>
        <v>-19.923978315132629</v>
      </c>
      <c r="L434" s="43"/>
      <c r="Q434" s="11"/>
    </row>
    <row r="435" spans="2:17" ht="15" customHeight="1" x14ac:dyDescent="0.2">
      <c r="B435" s="8">
        <v>44123</v>
      </c>
      <c r="C435" s="6">
        <f>IF(B435="","",[1]!s_dq_close(股指期货基差分析!$E$5,$B435))</f>
        <v>6358.3212999999996</v>
      </c>
      <c r="D435" s="6">
        <f>IF(B435="","",[1]!s_dq_close(股指期货基差分析!$E$6,$B435))</f>
        <v>6281.6</v>
      </c>
      <c r="E435" s="6">
        <f ca="1">RANK(F435,F:F)+COUNTIF(F$2:F435,F435)-1</f>
        <v>1233</v>
      </c>
      <c r="F435" s="6">
        <f t="shared" si="7"/>
        <v>-76.721299999999246</v>
      </c>
      <c r="G435" s="6">
        <f ca="1">IF(B435="","",股指期货基差分析!$N$11)</f>
        <v>-71.408500000000458</v>
      </c>
      <c r="H435" s="6">
        <f ca="1">IF(B435="","",股指期货基差分析!$L$11)</f>
        <v>15.737900000000081</v>
      </c>
      <c r="I435" s="10">
        <f ca="1">IF(B435="","",股指期货基差分析!$D$11)</f>
        <v>-19.923978315132629</v>
      </c>
      <c r="L435" s="43"/>
      <c r="Q435" s="11"/>
    </row>
    <row r="436" spans="2:17" ht="15" customHeight="1" x14ac:dyDescent="0.2">
      <c r="B436" s="7">
        <v>44124</v>
      </c>
      <c r="C436" s="5">
        <f>IF(B436="","",[1]!s_dq_close(股指期货基差分析!$E$5,$B436))</f>
        <v>6423.1127999999999</v>
      </c>
      <c r="D436" s="5">
        <f>IF(B436="","",[1]!s_dq_close(股指期货基差分析!$E$6,$B436))</f>
        <v>6356.4</v>
      </c>
      <c r="E436" s="5">
        <f ca="1">RANK(F436,F:F)+COUNTIF(F$2:F436,F436)-1</f>
        <v>1199</v>
      </c>
      <c r="F436" s="5">
        <f t="shared" si="7"/>
        <v>-66.712800000000243</v>
      </c>
      <c r="G436" s="5">
        <f ca="1">IF(B436="","",股指期货基差分析!$N$11)</f>
        <v>-71.408500000000458</v>
      </c>
      <c r="H436" s="5">
        <f ca="1">IF(B436="","",股指期货基差分析!$L$11)</f>
        <v>15.737900000000081</v>
      </c>
      <c r="I436" s="9">
        <f ca="1">IF(B436="","",股指期货基差分析!$D$11)</f>
        <v>-19.923978315132629</v>
      </c>
      <c r="L436" s="43"/>
      <c r="Q436" s="11"/>
    </row>
    <row r="437" spans="2:17" ht="15" customHeight="1" x14ac:dyDescent="0.2">
      <c r="B437" s="8">
        <v>44125</v>
      </c>
      <c r="C437" s="6">
        <f>IF(B437="","",[1]!s_dq_close(股指期货基差分析!$E$5,$B437))</f>
        <v>6350.0127000000002</v>
      </c>
      <c r="D437" s="6">
        <f>IF(B437="","",[1]!s_dq_close(股指期货基差分析!$E$6,$B437))</f>
        <v>6289.6</v>
      </c>
      <c r="E437" s="6">
        <f ca="1">RANK(F437,F:F)+COUNTIF(F$2:F437,F437)-1</f>
        <v>1163</v>
      </c>
      <c r="F437" s="6">
        <f t="shared" si="7"/>
        <v>-60.412699999999859</v>
      </c>
      <c r="G437" s="6">
        <f ca="1">IF(B437="","",股指期货基差分析!$N$11)</f>
        <v>-71.408500000000458</v>
      </c>
      <c r="H437" s="6">
        <f ca="1">IF(B437="","",股指期货基差分析!$L$11)</f>
        <v>15.737900000000081</v>
      </c>
      <c r="I437" s="10">
        <f ca="1">IF(B437="","",股指期货基差分析!$D$11)</f>
        <v>-19.923978315132629</v>
      </c>
      <c r="L437" s="43"/>
      <c r="Q437" s="11"/>
    </row>
    <row r="438" spans="2:17" ht="15" customHeight="1" x14ac:dyDescent="0.2">
      <c r="B438" s="7">
        <v>44126</v>
      </c>
      <c r="C438" s="5">
        <f>IF(B438="","",[1]!s_dq_close(股指期货基差分析!$E$5,$B438))</f>
        <v>6317.1437999999998</v>
      </c>
      <c r="D438" s="5">
        <f>IF(B438="","",[1]!s_dq_close(股指期货基差分析!$E$6,$B438))</f>
        <v>6261.2</v>
      </c>
      <c r="E438" s="5">
        <f ca="1">RANK(F438,F:F)+COUNTIF(F$2:F438,F438)-1</f>
        <v>1140</v>
      </c>
      <c r="F438" s="5">
        <f t="shared" si="7"/>
        <v>-55.94380000000001</v>
      </c>
      <c r="G438" s="5">
        <f ca="1">IF(B438="","",股指期货基差分析!$N$11)</f>
        <v>-71.408500000000458</v>
      </c>
      <c r="H438" s="5">
        <f ca="1">IF(B438="","",股指期货基差分析!$L$11)</f>
        <v>15.737900000000081</v>
      </c>
      <c r="I438" s="9">
        <f ca="1">IF(B438="","",股指期货基差分析!$D$11)</f>
        <v>-19.923978315132629</v>
      </c>
      <c r="L438" s="43"/>
      <c r="Q438" s="11"/>
    </row>
    <row r="439" spans="2:17" ht="15" customHeight="1" x14ac:dyDescent="0.2">
      <c r="B439" s="8">
        <v>44127</v>
      </c>
      <c r="C439" s="6">
        <f>IF(B439="","",[1]!s_dq_close(股指期货基差分析!$E$5,$B439))</f>
        <v>6213.2626</v>
      </c>
      <c r="D439" s="6">
        <f>IF(B439="","",[1]!s_dq_close(股指期货基差分析!$E$6,$B439))</f>
        <v>6168.8</v>
      </c>
      <c r="E439" s="6">
        <f ca="1">RANK(F439,F:F)+COUNTIF(F$2:F439,F439)-1</f>
        <v>1053</v>
      </c>
      <c r="F439" s="6">
        <f t="shared" si="7"/>
        <v>-44.462599999999838</v>
      </c>
      <c r="G439" s="6">
        <f ca="1">IF(B439="","",股指期货基差分析!$N$11)</f>
        <v>-71.408500000000458</v>
      </c>
      <c r="H439" s="6">
        <f ca="1">IF(B439="","",股指期货基差分析!$L$11)</f>
        <v>15.737900000000081</v>
      </c>
      <c r="I439" s="10">
        <f ca="1">IF(B439="","",股指期货基差分析!$D$11)</f>
        <v>-19.923978315132629</v>
      </c>
      <c r="L439" s="43"/>
      <c r="Q439" s="11"/>
    </row>
    <row r="440" spans="2:17" ht="15" customHeight="1" x14ac:dyDescent="0.2">
      <c r="B440" s="7">
        <v>44130</v>
      </c>
      <c r="C440" s="5">
        <f>IF(B440="","",[1]!s_dq_close(股指期货基差分析!$E$5,$B440))</f>
        <v>6214.3779000000004</v>
      </c>
      <c r="D440" s="5">
        <f>IF(B440="","",[1]!s_dq_close(股指期货基差分析!$E$6,$B440))</f>
        <v>6180.2</v>
      </c>
      <c r="E440" s="5">
        <f ca="1">RANK(F440,F:F)+COUNTIF(F$2:F440,F440)-1</f>
        <v>940</v>
      </c>
      <c r="F440" s="5">
        <f t="shared" si="7"/>
        <v>-34.177900000000591</v>
      </c>
      <c r="G440" s="5">
        <f ca="1">IF(B440="","",股指期货基差分析!$N$11)</f>
        <v>-71.408500000000458</v>
      </c>
      <c r="H440" s="5">
        <f ca="1">IF(B440="","",股指期货基差分析!$L$11)</f>
        <v>15.737900000000081</v>
      </c>
      <c r="I440" s="9">
        <f ca="1">IF(B440="","",股指期货基差分析!$D$11)</f>
        <v>-19.923978315132629</v>
      </c>
      <c r="L440" s="43"/>
      <c r="Q440" s="11"/>
    </row>
    <row r="441" spans="2:17" ht="15" customHeight="1" x14ac:dyDescent="0.2">
      <c r="B441" s="8">
        <v>44131</v>
      </c>
      <c r="C441" s="6">
        <f>IF(B441="","",[1]!s_dq_close(股指期货基差分析!$E$5,$B441))</f>
        <v>6221.3414000000002</v>
      </c>
      <c r="D441" s="6">
        <f>IF(B441="","",[1]!s_dq_close(股指期货基差分析!$E$6,$B441))</f>
        <v>6172.8</v>
      </c>
      <c r="E441" s="6">
        <f ca="1">RANK(F441,F:F)+COUNTIF(F$2:F441,F441)-1</f>
        <v>1089</v>
      </c>
      <c r="F441" s="6">
        <f t="shared" si="7"/>
        <v>-48.541400000000067</v>
      </c>
      <c r="G441" s="6">
        <f ca="1">IF(B441="","",股指期货基差分析!$N$11)</f>
        <v>-71.408500000000458</v>
      </c>
      <c r="H441" s="6">
        <f ca="1">IF(B441="","",股指期货基差分析!$L$11)</f>
        <v>15.737900000000081</v>
      </c>
      <c r="I441" s="10">
        <f ca="1">IF(B441="","",股指期货基差分析!$D$11)</f>
        <v>-19.923978315132629</v>
      </c>
      <c r="L441" s="43"/>
      <c r="Q441" s="11"/>
    </row>
    <row r="442" spans="2:17" ht="15" customHeight="1" x14ac:dyDescent="0.2">
      <c r="B442" s="7">
        <v>44132</v>
      </c>
      <c r="C442" s="5">
        <f>IF(B442="","",[1]!s_dq_close(股指期货基差分析!$E$5,$B442))</f>
        <v>6245.9985999999999</v>
      </c>
      <c r="D442" s="5">
        <f>IF(B442="","",[1]!s_dq_close(股指期货基差分析!$E$6,$B442))</f>
        <v>6211.6</v>
      </c>
      <c r="E442" s="5">
        <f ca="1">RANK(F442,F:F)+COUNTIF(F$2:F442,F442)-1</f>
        <v>945</v>
      </c>
      <c r="F442" s="5">
        <f t="shared" si="7"/>
        <v>-34.398599999999533</v>
      </c>
      <c r="G442" s="5">
        <f ca="1">IF(B442="","",股指期货基差分析!$N$11)</f>
        <v>-71.408500000000458</v>
      </c>
      <c r="H442" s="5">
        <f ca="1">IF(B442="","",股指期货基差分析!$L$11)</f>
        <v>15.737900000000081</v>
      </c>
      <c r="I442" s="9">
        <f ca="1">IF(B442="","",股指期货基差分析!$D$11)</f>
        <v>-19.923978315132629</v>
      </c>
      <c r="L442" s="43"/>
      <c r="Q442" s="11"/>
    </row>
    <row r="443" spans="2:17" ht="15" customHeight="1" x14ac:dyDescent="0.2">
      <c r="B443" s="8">
        <v>44133</v>
      </c>
      <c r="C443" s="6">
        <f>IF(B443="","",[1]!s_dq_close(股指期货基差分析!$E$5,$B443))</f>
        <v>6255.1932999999999</v>
      </c>
      <c r="D443" s="6">
        <f>IF(B443="","",[1]!s_dq_close(股指期货基差分析!$E$6,$B443))</f>
        <v>6231</v>
      </c>
      <c r="E443" s="6">
        <f ca="1">RANK(F443,F:F)+COUNTIF(F$2:F443,F443)-1</f>
        <v>804</v>
      </c>
      <c r="F443" s="6">
        <f t="shared" si="7"/>
        <v>-24.193299999999908</v>
      </c>
      <c r="G443" s="6">
        <f ca="1">IF(B443="","",股指期货基差分析!$N$11)</f>
        <v>-71.408500000000458</v>
      </c>
      <c r="H443" s="6">
        <f ca="1">IF(B443="","",股指期货基差分析!$L$11)</f>
        <v>15.737900000000081</v>
      </c>
      <c r="I443" s="10">
        <f ca="1">IF(B443="","",股指期货基差分析!$D$11)</f>
        <v>-19.923978315132629</v>
      </c>
      <c r="L443" s="43"/>
      <c r="Q443" s="11"/>
    </row>
    <row r="444" spans="2:17" ht="15" customHeight="1" x14ac:dyDescent="0.2">
      <c r="B444" s="7">
        <v>44134</v>
      </c>
      <c r="C444" s="5">
        <f>IF(B444="","",[1]!s_dq_close(股指期货基差分析!$E$5,$B444))</f>
        <v>6111.4803000000002</v>
      </c>
      <c r="D444" s="5">
        <f>IF(B444="","",[1]!s_dq_close(股指期货基差分析!$E$6,$B444))</f>
        <v>6068.2</v>
      </c>
      <c r="E444" s="5">
        <f ca="1">RANK(F444,F:F)+COUNTIF(F$2:F444,F444)-1</f>
        <v>1033</v>
      </c>
      <c r="F444" s="5">
        <f t="shared" si="7"/>
        <v>-43.280300000000352</v>
      </c>
      <c r="G444" s="5">
        <f ca="1">IF(B444="","",股指期货基差分析!$N$11)</f>
        <v>-71.408500000000458</v>
      </c>
      <c r="H444" s="5">
        <f ca="1">IF(B444="","",股指期货基差分析!$L$11)</f>
        <v>15.737900000000081</v>
      </c>
      <c r="I444" s="9">
        <f ca="1">IF(B444="","",股指期货基差分析!$D$11)</f>
        <v>-19.923978315132629</v>
      </c>
      <c r="L444" s="43"/>
      <c r="Q444" s="11"/>
    </row>
    <row r="445" spans="2:17" ht="15" customHeight="1" x14ac:dyDescent="0.2">
      <c r="B445" s="8">
        <v>44137</v>
      </c>
      <c r="C445" s="6">
        <f>IF(B445="","",[1]!s_dq_close(股指期货基差分析!$E$5,$B445))</f>
        <v>6143.1157000000003</v>
      </c>
      <c r="D445" s="6">
        <f>IF(B445="","",[1]!s_dq_close(股指期货基差分析!$E$6,$B445))</f>
        <v>6109.8</v>
      </c>
      <c r="E445" s="6">
        <f ca="1">RANK(F445,F:F)+COUNTIF(F$2:F445,F445)-1</f>
        <v>933</v>
      </c>
      <c r="F445" s="6">
        <f t="shared" si="7"/>
        <v>-33.315700000000106</v>
      </c>
      <c r="G445" s="6">
        <f ca="1">IF(B445="","",股指期货基差分析!$N$11)</f>
        <v>-71.408500000000458</v>
      </c>
      <c r="H445" s="6">
        <f ca="1">IF(B445="","",股指期货基差分析!$L$11)</f>
        <v>15.737900000000081</v>
      </c>
      <c r="I445" s="10">
        <f ca="1">IF(B445="","",股指期货基差分析!$D$11)</f>
        <v>-19.923978315132629</v>
      </c>
      <c r="L445" s="43"/>
      <c r="Q445" s="11"/>
    </row>
    <row r="446" spans="2:17" ht="15" customHeight="1" x14ac:dyDescent="0.2">
      <c r="B446" s="7">
        <v>44138</v>
      </c>
      <c r="C446" s="5">
        <f>IF(B446="","",[1]!s_dq_close(股指期货基差分析!$E$5,$B446))</f>
        <v>6241.7676000000001</v>
      </c>
      <c r="D446" s="5">
        <f>IF(B446="","",[1]!s_dq_close(股指期货基差分析!$E$6,$B446))</f>
        <v>6209.2</v>
      </c>
      <c r="E446" s="5">
        <f ca="1">RANK(F446,F:F)+COUNTIF(F$2:F446,F446)-1</f>
        <v>927</v>
      </c>
      <c r="F446" s="5">
        <f t="shared" si="7"/>
        <v>-32.567600000000311</v>
      </c>
      <c r="G446" s="5">
        <f ca="1">IF(B446="","",股指期货基差分析!$N$11)</f>
        <v>-71.408500000000458</v>
      </c>
      <c r="H446" s="5">
        <f ca="1">IF(B446="","",股指期货基差分析!$L$11)</f>
        <v>15.737900000000081</v>
      </c>
      <c r="I446" s="9">
        <f ca="1">IF(B446="","",股指期货基差分析!$D$11)</f>
        <v>-19.923978315132629</v>
      </c>
      <c r="L446" s="43"/>
      <c r="Q446" s="11"/>
    </row>
    <row r="447" spans="2:17" ht="15" customHeight="1" x14ac:dyDescent="0.2">
      <c r="B447" s="8">
        <v>44139</v>
      </c>
      <c r="C447" s="6">
        <f>IF(B447="","",[1]!s_dq_close(股指期货基差分析!$E$5,$B447))</f>
        <v>6234.1580000000004</v>
      </c>
      <c r="D447" s="6">
        <f>IF(B447="","",[1]!s_dq_close(股指期货基差分析!$E$6,$B447))</f>
        <v>6200.2</v>
      </c>
      <c r="E447" s="6">
        <f ca="1">RANK(F447,F:F)+COUNTIF(F$2:F447,F447)-1</f>
        <v>935</v>
      </c>
      <c r="F447" s="6">
        <f t="shared" si="7"/>
        <v>-33.958000000000538</v>
      </c>
      <c r="G447" s="6">
        <f ca="1">IF(B447="","",股指期货基差分析!$N$11)</f>
        <v>-71.408500000000458</v>
      </c>
      <c r="H447" s="6">
        <f ca="1">IF(B447="","",股指期货基差分析!$L$11)</f>
        <v>15.737900000000081</v>
      </c>
      <c r="I447" s="10">
        <f ca="1">IF(B447="","",股指期货基差分析!$D$11)</f>
        <v>-19.923978315132629</v>
      </c>
      <c r="L447" s="43"/>
      <c r="Q447" s="11"/>
    </row>
    <row r="448" spans="2:17" ht="15" customHeight="1" x14ac:dyDescent="0.2">
      <c r="B448" s="7">
        <v>44140</v>
      </c>
      <c r="C448" s="5">
        <f>IF(B448="","",[1]!s_dq_close(股指期货基差分析!$E$5,$B448))</f>
        <v>6351.9789000000001</v>
      </c>
      <c r="D448" s="5">
        <f>IF(B448="","",[1]!s_dq_close(股指期货基差分析!$E$6,$B448))</f>
        <v>6333.8</v>
      </c>
      <c r="E448" s="5">
        <f ca="1">RANK(F448,F:F)+COUNTIF(F$2:F448,F448)-1</f>
        <v>719</v>
      </c>
      <c r="F448" s="5">
        <f t="shared" si="7"/>
        <v>-18.178899999999885</v>
      </c>
      <c r="G448" s="5">
        <f ca="1">IF(B448="","",股指期货基差分析!$N$11)</f>
        <v>-71.408500000000458</v>
      </c>
      <c r="H448" s="5">
        <f ca="1">IF(B448="","",股指期货基差分析!$L$11)</f>
        <v>15.737900000000081</v>
      </c>
      <c r="I448" s="9">
        <f ca="1">IF(B448="","",股指期货基差分析!$D$11)</f>
        <v>-19.923978315132629</v>
      </c>
      <c r="L448" s="43"/>
      <c r="Q448" s="11"/>
    </row>
    <row r="449" spans="2:17" ht="15" customHeight="1" x14ac:dyDescent="0.2">
      <c r="B449" s="8">
        <v>44141</v>
      </c>
      <c r="C449" s="6">
        <f>IF(B449="","",[1]!s_dq_close(股指期货基差分析!$E$5,$B449))</f>
        <v>6301.2476999999999</v>
      </c>
      <c r="D449" s="6">
        <f>IF(B449="","",[1]!s_dq_close(股指期货基差分析!$E$6,$B449))</f>
        <v>6288.4</v>
      </c>
      <c r="E449" s="6">
        <f ca="1">RANK(F449,F:F)+COUNTIF(F$2:F449,F449)-1</f>
        <v>612</v>
      </c>
      <c r="F449" s="6">
        <f t="shared" si="7"/>
        <v>-12.847700000000259</v>
      </c>
      <c r="G449" s="6">
        <f ca="1">IF(B449="","",股指期货基差分析!$N$11)</f>
        <v>-71.408500000000458</v>
      </c>
      <c r="H449" s="6">
        <f ca="1">IF(B449="","",股指期货基差分析!$L$11)</f>
        <v>15.737900000000081</v>
      </c>
      <c r="I449" s="10">
        <f ca="1">IF(B449="","",股指期货基差分析!$D$11)</f>
        <v>-19.923978315132629</v>
      </c>
      <c r="L449" s="43"/>
      <c r="Q449" s="11"/>
    </row>
    <row r="450" spans="2:17" ht="15" customHeight="1" x14ac:dyDescent="0.2">
      <c r="B450" s="7">
        <v>44144</v>
      </c>
      <c r="C450" s="5">
        <f>IF(B450="","",[1]!s_dq_close(股指期货基差分析!$E$5,$B450))</f>
        <v>6421.6505999999999</v>
      </c>
      <c r="D450" s="5">
        <f>IF(B450="","",[1]!s_dq_close(股指期货基差分析!$E$6,$B450))</f>
        <v>6383.2</v>
      </c>
      <c r="E450" s="5">
        <f ca="1">RANK(F450,F:F)+COUNTIF(F$2:F450,F450)-1</f>
        <v>988</v>
      </c>
      <c r="F450" s="5">
        <f t="shared" ref="F450:F513" si="8">IF(B450="","",D450-C450)</f>
        <v>-38.450600000000122</v>
      </c>
      <c r="G450" s="5">
        <f ca="1">IF(B450="","",股指期货基差分析!$N$11)</f>
        <v>-71.408500000000458</v>
      </c>
      <c r="H450" s="5">
        <f ca="1">IF(B450="","",股指期货基差分析!$L$11)</f>
        <v>15.737900000000081</v>
      </c>
      <c r="I450" s="9">
        <f ca="1">IF(B450="","",股指期货基差分析!$D$11)</f>
        <v>-19.923978315132629</v>
      </c>
      <c r="L450" s="43"/>
      <c r="Q450" s="11"/>
    </row>
    <row r="451" spans="2:17" ht="15" customHeight="1" x14ac:dyDescent="0.2">
      <c r="B451" s="8">
        <v>44145</v>
      </c>
      <c r="C451" s="6">
        <f>IF(B451="","",[1]!s_dq_close(股指期货基差分析!$E$5,$B451))</f>
        <v>6373.0852999999997</v>
      </c>
      <c r="D451" s="6">
        <f>IF(B451="","",[1]!s_dq_close(股指期货基差分析!$E$6,$B451))</f>
        <v>6344.2</v>
      </c>
      <c r="E451" s="6">
        <f ca="1">RANK(F451,F:F)+COUNTIF(F$2:F451,F451)-1</f>
        <v>873</v>
      </c>
      <c r="F451" s="6">
        <f t="shared" si="8"/>
        <v>-28.885299999999916</v>
      </c>
      <c r="G451" s="6">
        <f ca="1">IF(B451="","",股指期货基差分析!$N$11)</f>
        <v>-71.408500000000458</v>
      </c>
      <c r="H451" s="6">
        <f ca="1">IF(B451="","",股指期货基差分析!$L$11)</f>
        <v>15.737900000000081</v>
      </c>
      <c r="I451" s="10">
        <f ca="1">IF(B451="","",股指期货基差分析!$D$11)</f>
        <v>-19.923978315132629</v>
      </c>
      <c r="L451" s="43"/>
      <c r="Q451" s="11"/>
    </row>
    <row r="452" spans="2:17" ht="15" customHeight="1" x14ac:dyDescent="0.2">
      <c r="B452" s="7">
        <v>44146</v>
      </c>
      <c r="C452" s="5">
        <f>IF(B452="","",[1]!s_dq_close(股指期货基差分析!$E$5,$B452))</f>
        <v>6294.6054999999997</v>
      </c>
      <c r="D452" s="5">
        <f>IF(B452="","",[1]!s_dq_close(股指期货基差分析!$E$6,$B452))</f>
        <v>6268.4</v>
      </c>
      <c r="E452" s="5">
        <f ca="1">RANK(F452,F:F)+COUNTIF(F$2:F452,F452)-1</f>
        <v>831</v>
      </c>
      <c r="F452" s="5">
        <f t="shared" si="8"/>
        <v>-26.205500000000029</v>
      </c>
      <c r="G452" s="5">
        <f ca="1">IF(B452="","",股指期货基差分析!$N$11)</f>
        <v>-71.408500000000458</v>
      </c>
      <c r="H452" s="5">
        <f ca="1">IF(B452="","",股指期货基差分析!$L$11)</f>
        <v>15.737900000000081</v>
      </c>
      <c r="I452" s="9">
        <f ca="1">IF(B452="","",股指期货基差分析!$D$11)</f>
        <v>-19.923978315132629</v>
      </c>
      <c r="L452" s="43"/>
      <c r="Q452" s="11"/>
    </row>
    <row r="453" spans="2:17" ht="15" customHeight="1" x14ac:dyDescent="0.2">
      <c r="B453" s="8">
        <v>44147</v>
      </c>
      <c r="C453" s="6">
        <f>IF(B453="","",[1]!s_dq_close(股指期货基差分析!$E$5,$B453))</f>
        <v>6315.4938000000002</v>
      </c>
      <c r="D453" s="6">
        <f>IF(B453="","",[1]!s_dq_close(股指期货基差分析!$E$6,$B453))</f>
        <v>6290.2</v>
      </c>
      <c r="E453" s="6">
        <f ca="1">RANK(F453,F:F)+COUNTIF(F$2:F453,F453)-1</f>
        <v>821</v>
      </c>
      <c r="F453" s="6">
        <f t="shared" si="8"/>
        <v>-25.293800000000374</v>
      </c>
      <c r="G453" s="6">
        <f ca="1">IF(B453="","",股指期货基差分析!$N$11)</f>
        <v>-71.408500000000458</v>
      </c>
      <c r="H453" s="6">
        <f ca="1">IF(B453="","",股指期货基差分析!$L$11)</f>
        <v>15.737900000000081</v>
      </c>
      <c r="I453" s="10">
        <f ca="1">IF(B453="","",股指期货基差分析!$D$11)</f>
        <v>-19.923978315132629</v>
      </c>
      <c r="L453" s="43"/>
      <c r="Q453" s="11"/>
    </row>
    <row r="454" spans="2:17" ht="15" customHeight="1" x14ac:dyDescent="0.2">
      <c r="B454" s="7">
        <v>44148</v>
      </c>
      <c r="C454" s="5">
        <f>IF(B454="","",[1]!s_dq_close(股指期货基差分析!$E$5,$B454))</f>
        <v>6306.97</v>
      </c>
      <c r="D454" s="5">
        <f>IF(B454="","",[1]!s_dq_close(股指期货基差分析!$E$6,$B454))</f>
        <v>6292.2</v>
      </c>
      <c r="E454" s="5">
        <f ca="1">RANK(F454,F:F)+COUNTIF(F$2:F454,F454)-1</f>
        <v>654</v>
      </c>
      <c r="F454" s="5">
        <f t="shared" si="8"/>
        <v>-14.770000000000437</v>
      </c>
      <c r="G454" s="5">
        <f ca="1">IF(B454="","",股指期货基差分析!$N$11)</f>
        <v>-71.408500000000458</v>
      </c>
      <c r="H454" s="5">
        <f ca="1">IF(B454="","",股指期货基差分析!$L$11)</f>
        <v>15.737900000000081</v>
      </c>
      <c r="I454" s="9">
        <f ca="1">IF(B454="","",股指期货基差分析!$D$11)</f>
        <v>-19.923978315132629</v>
      </c>
      <c r="L454" s="43"/>
      <c r="Q454" s="11"/>
    </row>
    <row r="455" spans="2:17" ht="15" customHeight="1" x14ac:dyDescent="0.2">
      <c r="B455" s="8">
        <v>44151</v>
      </c>
      <c r="C455" s="6">
        <f>IF(B455="","",[1]!s_dq_close(股指期货基差分析!$E$5,$B455))</f>
        <v>6387.3710000000001</v>
      </c>
      <c r="D455" s="6">
        <f>IF(B455="","",[1]!s_dq_close(股指期货基差分析!$E$6,$B455))</f>
        <v>6370.8</v>
      </c>
      <c r="E455" s="6">
        <f ca="1">RANK(F455,F:F)+COUNTIF(F$2:F455,F455)-1</f>
        <v>689</v>
      </c>
      <c r="F455" s="6">
        <f t="shared" si="8"/>
        <v>-16.570999999999913</v>
      </c>
      <c r="G455" s="6">
        <f ca="1">IF(B455="","",股指期货基差分析!$N$11)</f>
        <v>-71.408500000000458</v>
      </c>
      <c r="H455" s="6">
        <f ca="1">IF(B455="","",股指期货基差分析!$L$11)</f>
        <v>15.737900000000081</v>
      </c>
      <c r="I455" s="10">
        <f ca="1">IF(B455="","",股指期货基差分析!$D$11)</f>
        <v>-19.923978315132629</v>
      </c>
      <c r="L455" s="43"/>
      <c r="Q455" s="11"/>
    </row>
    <row r="456" spans="2:17" ht="15" customHeight="1" x14ac:dyDescent="0.2">
      <c r="B456" s="7">
        <v>44152</v>
      </c>
      <c r="C456" s="5">
        <f>IF(B456="","",[1]!s_dq_close(股指期货基差分析!$E$5,$B456))</f>
        <v>6336.9405999999999</v>
      </c>
      <c r="D456" s="5">
        <f>IF(B456="","",[1]!s_dq_close(股指期货基差分析!$E$6,$B456))</f>
        <v>6334</v>
      </c>
      <c r="E456" s="5">
        <f ca="1">RANK(F456,F:F)+COUNTIF(F$2:F456,F456)-1</f>
        <v>368</v>
      </c>
      <c r="F456" s="5">
        <f t="shared" si="8"/>
        <v>-2.940599999999904</v>
      </c>
      <c r="G456" s="5">
        <f ca="1">IF(B456="","",股指期货基差分析!$N$11)</f>
        <v>-71.408500000000458</v>
      </c>
      <c r="H456" s="5">
        <f ca="1">IF(B456="","",股指期货基差分析!$L$11)</f>
        <v>15.737900000000081</v>
      </c>
      <c r="I456" s="9">
        <f ca="1">IF(B456="","",股指期货基差分析!$D$11)</f>
        <v>-19.923978315132629</v>
      </c>
      <c r="L456" s="43"/>
      <c r="Q456" s="11"/>
    </row>
    <row r="457" spans="2:17" ht="15" customHeight="1" x14ac:dyDescent="0.2">
      <c r="B457" s="8">
        <v>44153</v>
      </c>
      <c r="C457" s="6">
        <f>IF(B457="","",[1]!s_dq_close(股指期货基差分析!$E$5,$B457))</f>
        <v>6341.0136000000002</v>
      </c>
      <c r="D457" s="6">
        <f>IF(B457="","",[1]!s_dq_close(股指期货基差分析!$E$6,$B457))</f>
        <v>6330.4</v>
      </c>
      <c r="E457" s="6">
        <f ca="1">RANK(F457,F:F)+COUNTIF(F$2:F457,F457)-1</f>
        <v>566</v>
      </c>
      <c r="F457" s="6">
        <f t="shared" si="8"/>
        <v>-10.613600000000588</v>
      </c>
      <c r="G457" s="6">
        <f ca="1">IF(B457="","",股指期货基差分析!$N$11)</f>
        <v>-71.408500000000458</v>
      </c>
      <c r="H457" s="6">
        <f ca="1">IF(B457="","",股指期货基差分析!$L$11)</f>
        <v>15.737900000000081</v>
      </c>
      <c r="I457" s="10">
        <f ca="1">IF(B457="","",股指期货基差分析!$D$11)</f>
        <v>-19.923978315132629</v>
      </c>
      <c r="L457" s="43"/>
      <c r="Q457" s="11"/>
    </row>
    <row r="458" spans="2:17" ht="15" customHeight="1" x14ac:dyDescent="0.2">
      <c r="B458" s="7">
        <v>44154</v>
      </c>
      <c r="C458" s="5">
        <f>IF(B458="","",[1]!s_dq_close(股指期货基差分析!$E$5,$B458))</f>
        <v>6360.5998</v>
      </c>
      <c r="D458" s="5">
        <f>IF(B458="","",[1]!s_dq_close(股指期货基差分析!$E$6,$B458))</f>
        <v>6373</v>
      </c>
      <c r="E458" s="5">
        <f ca="1">RANK(F458,F:F)+COUNTIF(F$2:F458,F458)-1</f>
        <v>84</v>
      </c>
      <c r="F458" s="5">
        <f t="shared" si="8"/>
        <v>12.400200000000041</v>
      </c>
      <c r="G458" s="5">
        <f ca="1">IF(B458="","",股指期货基差分析!$N$11)</f>
        <v>-71.408500000000458</v>
      </c>
      <c r="H458" s="5">
        <f ca="1">IF(B458="","",股指期货基差分析!$L$11)</f>
        <v>15.737900000000081</v>
      </c>
      <c r="I458" s="9">
        <f ca="1">IF(B458="","",股指期货基差分析!$D$11)</f>
        <v>-19.923978315132629</v>
      </c>
      <c r="L458" s="43"/>
      <c r="Q458" s="11"/>
    </row>
    <row r="459" spans="2:17" ht="15" customHeight="1" x14ac:dyDescent="0.2">
      <c r="B459" s="8">
        <v>44155</v>
      </c>
      <c r="C459" s="6">
        <f>IF(B459="","",[1]!s_dq_close(股指期货基差分析!$E$5,$B459))</f>
        <v>6422.9853999999996</v>
      </c>
      <c r="D459" s="6">
        <f>IF(B459="","",[1]!s_dq_close(股指期货基差分析!$E$6,$B459))</f>
        <v>6411</v>
      </c>
      <c r="E459" s="6">
        <f ca="1">RANK(F459,F:F)+COUNTIF(F$2:F459,F459)-1</f>
        <v>596</v>
      </c>
      <c r="F459" s="6">
        <f t="shared" si="8"/>
        <v>-11.985399999999572</v>
      </c>
      <c r="G459" s="6">
        <f ca="1">IF(B459="","",股指期货基差分析!$N$11)</f>
        <v>-71.408500000000458</v>
      </c>
      <c r="H459" s="6">
        <f ca="1">IF(B459="","",股指期货基差分析!$L$11)</f>
        <v>15.737900000000081</v>
      </c>
      <c r="I459" s="10">
        <f ca="1">IF(B459="","",股指期货基差分析!$D$11)</f>
        <v>-19.923978315132629</v>
      </c>
      <c r="L459" s="43"/>
      <c r="Q459" s="11"/>
    </row>
    <row r="460" spans="2:17" ht="15" customHeight="1" x14ac:dyDescent="0.2">
      <c r="B460" s="7">
        <v>44158</v>
      </c>
      <c r="C460" s="5">
        <f>IF(B460="","",[1]!s_dq_close(股指期货基差分析!$E$5,$B460))</f>
        <v>6472.9300999999996</v>
      </c>
      <c r="D460" s="5">
        <f>IF(B460="","",[1]!s_dq_close(股指期货基差分析!$E$6,$B460))</f>
        <v>6434</v>
      </c>
      <c r="E460" s="5">
        <f ca="1">RANK(F460,F:F)+COUNTIF(F$2:F460,F460)-1</f>
        <v>996</v>
      </c>
      <c r="F460" s="5">
        <f t="shared" si="8"/>
        <v>-38.930099999999584</v>
      </c>
      <c r="G460" s="5">
        <f ca="1">IF(B460="","",股指期货基差分析!$N$11)</f>
        <v>-71.408500000000458</v>
      </c>
      <c r="H460" s="5">
        <f ca="1">IF(B460="","",股指期货基差分析!$L$11)</f>
        <v>15.737900000000081</v>
      </c>
      <c r="I460" s="9">
        <f ca="1">IF(B460="","",股指期货基差分析!$D$11)</f>
        <v>-19.923978315132629</v>
      </c>
      <c r="L460" s="43"/>
      <c r="Q460" s="11"/>
    </row>
    <row r="461" spans="2:17" ht="15" customHeight="1" x14ac:dyDescent="0.2">
      <c r="B461" s="8">
        <v>44159</v>
      </c>
      <c r="C461" s="6">
        <f>IF(B461="","",[1]!s_dq_close(股指期货基差分析!$E$5,$B461))</f>
        <v>6475.1881000000003</v>
      </c>
      <c r="D461" s="6">
        <f>IF(B461="","",[1]!s_dq_close(股指期货基差分析!$E$6,$B461))</f>
        <v>6425.2</v>
      </c>
      <c r="E461" s="6">
        <f ca="1">RANK(F461,F:F)+COUNTIF(F$2:F461,F461)-1</f>
        <v>1095</v>
      </c>
      <c r="F461" s="6">
        <f t="shared" si="8"/>
        <v>-49.988100000000486</v>
      </c>
      <c r="G461" s="6">
        <f ca="1">IF(B461="","",股指期货基差分析!$N$11)</f>
        <v>-71.408500000000458</v>
      </c>
      <c r="H461" s="6">
        <f ca="1">IF(B461="","",股指期货基差分析!$L$11)</f>
        <v>15.737900000000081</v>
      </c>
      <c r="I461" s="10">
        <f ca="1">IF(B461="","",股指期货基差分析!$D$11)</f>
        <v>-19.923978315132629</v>
      </c>
      <c r="L461" s="43"/>
      <c r="Q461" s="11"/>
    </row>
    <row r="462" spans="2:17" ht="15" customHeight="1" x14ac:dyDescent="0.2">
      <c r="B462" s="7">
        <v>44160</v>
      </c>
      <c r="C462" s="5">
        <f>IF(B462="","",[1]!s_dq_close(股指期货基差分析!$E$5,$B462))</f>
        <v>6350.3666999999996</v>
      </c>
      <c r="D462" s="5">
        <f>IF(B462="","",[1]!s_dq_close(股指期货基差分析!$E$6,$B462))</f>
        <v>6325.4</v>
      </c>
      <c r="E462" s="5">
        <f ca="1">RANK(F462,F:F)+COUNTIF(F$2:F462,F462)-1</f>
        <v>815</v>
      </c>
      <c r="F462" s="5">
        <f t="shared" si="8"/>
        <v>-24.966699999999946</v>
      </c>
      <c r="G462" s="5">
        <f ca="1">IF(B462="","",股指期货基差分析!$N$11)</f>
        <v>-71.408500000000458</v>
      </c>
      <c r="H462" s="5">
        <f ca="1">IF(B462="","",股指期货基差分析!$L$11)</f>
        <v>15.737900000000081</v>
      </c>
      <c r="I462" s="9">
        <f ca="1">IF(B462="","",股指期货基差分析!$D$11)</f>
        <v>-19.923978315132629</v>
      </c>
      <c r="L462" s="43"/>
      <c r="Q462" s="11"/>
    </row>
    <row r="463" spans="2:17" ht="15" customHeight="1" x14ac:dyDescent="0.2">
      <c r="B463" s="8">
        <v>44161</v>
      </c>
      <c r="C463" s="6">
        <f>IF(B463="","",[1]!s_dq_close(股指期货基差分析!$E$5,$B463))</f>
        <v>6334.3041999999996</v>
      </c>
      <c r="D463" s="6">
        <f>IF(B463="","",[1]!s_dq_close(股指期货基差分析!$E$6,$B463))</f>
        <v>6314.4</v>
      </c>
      <c r="E463" s="6">
        <f ca="1">RANK(F463,F:F)+COUNTIF(F$2:F463,F463)-1</f>
        <v>748</v>
      </c>
      <c r="F463" s="6">
        <f t="shared" si="8"/>
        <v>-19.904199999999946</v>
      </c>
      <c r="G463" s="6">
        <f ca="1">IF(B463="","",股指期货基差分析!$N$11)</f>
        <v>-71.408500000000458</v>
      </c>
      <c r="H463" s="6">
        <f ca="1">IF(B463="","",股指期货基差分析!$L$11)</f>
        <v>15.737900000000081</v>
      </c>
      <c r="I463" s="10">
        <f ca="1">IF(B463="","",股指期货基差分析!$D$11)</f>
        <v>-19.923978315132629</v>
      </c>
      <c r="L463" s="43"/>
      <c r="Q463" s="11"/>
    </row>
    <row r="464" spans="2:17" ht="15" customHeight="1" x14ac:dyDescent="0.2">
      <c r="B464" s="7">
        <v>44162</v>
      </c>
      <c r="C464" s="5">
        <f>IF(B464="","",[1]!s_dq_close(股指期货基差分析!$E$5,$B464))</f>
        <v>6351.6118999999999</v>
      </c>
      <c r="D464" s="5">
        <f>IF(B464="","",[1]!s_dq_close(股指期货基差分析!$E$6,$B464))</f>
        <v>6344</v>
      </c>
      <c r="E464" s="5">
        <f ca="1">RANK(F464,F:F)+COUNTIF(F$2:F464,F464)-1</f>
        <v>492</v>
      </c>
      <c r="F464" s="5">
        <f t="shared" si="8"/>
        <v>-7.6118999999998778</v>
      </c>
      <c r="G464" s="5">
        <f ca="1">IF(B464="","",股指期货基差分析!$N$11)</f>
        <v>-71.408500000000458</v>
      </c>
      <c r="H464" s="5">
        <f ca="1">IF(B464="","",股指期货基差分析!$L$11)</f>
        <v>15.737900000000081</v>
      </c>
      <c r="I464" s="9">
        <f ca="1">IF(B464="","",股指期货基差分析!$D$11)</f>
        <v>-19.923978315132629</v>
      </c>
      <c r="L464" s="43"/>
      <c r="Q464" s="11"/>
    </row>
    <row r="465" spans="2:17" ht="15" customHeight="1" x14ac:dyDescent="0.2">
      <c r="B465" s="8">
        <v>44165</v>
      </c>
      <c r="C465" s="6">
        <f>IF(B465="","",[1]!s_dq_close(股指期货基差分析!$E$5,$B465))</f>
        <v>6320.9440999999997</v>
      </c>
      <c r="D465" s="6">
        <f>IF(B465="","",[1]!s_dq_close(股指期货基差分析!$E$6,$B465))</f>
        <v>6293</v>
      </c>
      <c r="E465" s="6">
        <f ca="1">RANK(F465,F:F)+COUNTIF(F$2:F465,F465)-1</f>
        <v>859</v>
      </c>
      <c r="F465" s="6">
        <f t="shared" si="8"/>
        <v>-27.944099999999708</v>
      </c>
      <c r="G465" s="6">
        <f ca="1">IF(B465="","",股指期货基差分析!$N$11)</f>
        <v>-71.408500000000458</v>
      </c>
      <c r="H465" s="6">
        <f ca="1">IF(B465="","",股指期货基差分析!$L$11)</f>
        <v>15.737900000000081</v>
      </c>
      <c r="I465" s="10">
        <f ca="1">IF(B465="","",股指期货基差分析!$D$11)</f>
        <v>-19.923978315132629</v>
      </c>
      <c r="L465" s="43"/>
      <c r="Q465" s="11"/>
    </row>
    <row r="466" spans="2:17" ht="15" customHeight="1" x14ac:dyDescent="0.2">
      <c r="B466" s="7">
        <v>44166</v>
      </c>
      <c r="C466" s="5">
        <f>IF(B466="","",[1]!s_dq_close(股指期货基差分析!$E$5,$B466))</f>
        <v>6426.6154999999999</v>
      </c>
      <c r="D466" s="5">
        <f>IF(B466="","",[1]!s_dq_close(股指期货基差分析!$E$6,$B466))</f>
        <v>6406.6</v>
      </c>
      <c r="E466" s="5">
        <f ca="1">RANK(F466,F:F)+COUNTIF(F$2:F466,F466)-1</f>
        <v>751</v>
      </c>
      <c r="F466" s="5">
        <f t="shared" si="8"/>
        <v>-20.01549999999952</v>
      </c>
      <c r="G466" s="5">
        <f ca="1">IF(B466="","",股指期货基差分析!$N$11)</f>
        <v>-71.408500000000458</v>
      </c>
      <c r="H466" s="5">
        <f ca="1">IF(B466="","",股指期货基差分析!$L$11)</f>
        <v>15.737900000000081</v>
      </c>
      <c r="I466" s="9">
        <f ca="1">IF(B466="","",股指期货基差分析!$D$11)</f>
        <v>-19.923978315132629</v>
      </c>
      <c r="L466" s="43"/>
      <c r="Q466" s="11"/>
    </row>
    <row r="467" spans="2:17" ht="15" customHeight="1" x14ac:dyDescent="0.2">
      <c r="B467" s="8">
        <v>44167</v>
      </c>
      <c r="C467" s="6">
        <f>IF(B467="","",[1]!s_dq_close(股指期货基差分析!$E$5,$B467))</f>
        <v>6434.9790999999996</v>
      </c>
      <c r="D467" s="6">
        <f>IF(B467="","",[1]!s_dq_close(股指期货基差分析!$E$6,$B467))</f>
        <v>6402</v>
      </c>
      <c r="E467" s="6">
        <f ca="1">RANK(F467,F:F)+COUNTIF(F$2:F467,F467)-1</f>
        <v>930</v>
      </c>
      <c r="F467" s="6">
        <f t="shared" si="8"/>
        <v>-32.979099999999562</v>
      </c>
      <c r="G467" s="6">
        <f ca="1">IF(B467="","",股指期货基差分析!$N$11)</f>
        <v>-71.408500000000458</v>
      </c>
      <c r="H467" s="6">
        <f ca="1">IF(B467="","",股指期货基差分析!$L$11)</f>
        <v>15.737900000000081</v>
      </c>
      <c r="I467" s="10">
        <f ca="1">IF(B467="","",股指期货基差分析!$D$11)</f>
        <v>-19.923978315132629</v>
      </c>
      <c r="L467" s="43"/>
      <c r="Q467" s="11"/>
    </row>
    <row r="468" spans="2:17" ht="15" customHeight="1" x14ac:dyDescent="0.2">
      <c r="B468" s="7">
        <v>44168</v>
      </c>
      <c r="C468" s="5">
        <f>IF(B468="","",[1]!s_dq_close(股指期货基差分析!$E$5,$B468))</f>
        <v>6440.8807999999999</v>
      </c>
      <c r="D468" s="5">
        <f>IF(B468="","",[1]!s_dq_close(股指期货基差分析!$E$6,$B468))</f>
        <v>6429.4</v>
      </c>
      <c r="E468" s="5">
        <f ca="1">RANK(F468,F:F)+COUNTIF(F$2:F468,F468)-1</f>
        <v>582</v>
      </c>
      <c r="F468" s="5">
        <f t="shared" si="8"/>
        <v>-11.480800000000272</v>
      </c>
      <c r="G468" s="5">
        <f ca="1">IF(B468="","",股指期货基差分析!$N$11)</f>
        <v>-71.408500000000458</v>
      </c>
      <c r="H468" s="5">
        <f ca="1">IF(B468="","",股指期货基差分析!$L$11)</f>
        <v>15.737900000000081</v>
      </c>
      <c r="I468" s="9">
        <f ca="1">IF(B468="","",股指期货基差分析!$D$11)</f>
        <v>-19.923978315132629</v>
      </c>
      <c r="L468" s="43"/>
      <c r="Q468" s="11"/>
    </row>
    <row r="469" spans="2:17" ht="15" customHeight="1" x14ac:dyDescent="0.2">
      <c r="B469" s="8">
        <v>44169</v>
      </c>
      <c r="C469" s="6">
        <f>IF(B469="","",[1]!s_dq_close(股指期货基差分析!$E$5,$B469))</f>
        <v>6464.7344999999996</v>
      </c>
      <c r="D469" s="6">
        <f>IF(B469="","",[1]!s_dq_close(股指期货基差分析!$E$6,$B469))</f>
        <v>6458.4</v>
      </c>
      <c r="E469" s="6">
        <f ca="1">RANK(F469,F:F)+COUNTIF(F$2:F469,F469)-1</f>
        <v>451</v>
      </c>
      <c r="F469" s="6">
        <f t="shared" si="8"/>
        <v>-6.3344999999999345</v>
      </c>
      <c r="G469" s="6">
        <f ca="1">IF(B469="","",股指期货基差分析!$N$11)</f>
        <v>-71.408500000000458</v>
      </c>
      <c r="H469" s="6">
        <f ca="1">IF(B469="","",股指期货基差分析!$L$11)</f>
        <v>15.737900000000081</v>
      </c>
      <c r="I469" s="10">
        <f ca="1">IF(B469="","",股指期货基差分析!$D$11)</f>
        <v>-19.923978315132629</v>
      </c>
      <c r="L469" s="43"/>
      <c r="Q469" s="11"/>
    </row>
    <row r="470" spans="2:17" ht="15" customHeight="1" x14ac:dyDescent="0.2">
      <c r="B470" s="7">
        <v>44172</v>
      </c>
      <c r="C470" s="5">
        <f>IF(B470="","",[1]!s_dq_close(股指期货基差分析!$E$5,$B470))</f>
        <v>6424.6823000000004</v>
      </c>
      <c r="D470" s="5">
        <f>IF(B470="","",[1]!s_dq_close(股指期货基差分析!$E$6,$B470))</f>
        <v>6397.6</v>
      </c>
      <c r="E470" s="5">
        <f ca="1">RANK(F470,F:F)+COUNTIF(F$2:F470,F470)-1</f>
        <v>845</v>
      </c>
      <c r="F470" s="5">
        <f t="shared" si="8"/>
        <v>-27.082300000000032</v>
      </c>
      <c r="G470" s="5">
        <f ca="1">IF(B470="","",股指期货基差分析!$N$11)</f>
        <v>-71.408500000000458</v>
      </c>
      <c r="H470" s="5">
        <f ca="1">IF(B470="","",股指期货基差分析!$L$11)</f>
        <v>15.737900000000081</v>
      </c>
      <c r="I470" s="9">
        <f ca="1">IF(B470="","",股指期货基差分析!$D$11)</f>
        <v>-19.923978315132629</v>
      </c>
      <c r="L470" s="43"/>
      <c r="Q470" s="11"/>
    </row>
    <row r="471" spans="2:17" ht="15" customHeight="1" x14ac:dyDescent="0.2">
      <c r="B471" s="8">
        <v>44173</v>
      </c>
      <c r="C471" s="6">
        <f>IF(B471="","",[1]!s_dq_close(股指期货基差分析!$E$5,$B471))</f>
        <v>6423.6513000000004</v>
      </c>
      <c r="D471" s="6">
        <f>IF(B471="","",[1]!s_dq_close(股指期货基差分析!$E$6,$B471))</f>
        <v>6402.8</v>
      </c>
      <c r="E471" s="6">
        <f ca="1">RANK(F471,F:F)+COUNTIF(F$2:F471,F471)-1</f>
        <v>765</v>
      </c>
      <c r="F471" s="6">
        <f t="shared" si="8"/>
        <v>-20.851300000000265</v>
      </c>
      <c r="G471" s="6">
        <f ca="1">IF(B471="","",股指期货基差分析!$N$11)</f>
        <v>-71.408500000000458</v>
      </c>
      <c r="H471" s="6">
        <f ca="1">IF(B471="","",股指期货基差分析!$L$11)</f>
        <v>15.737900000000081</v>
      </c>
      <c r="I471" s="10">
        <f ca="1">IF(B471="","",股指期货基差分析!$D$11)</f>
        <v>-19.923978315132629</v>
      </c>
      <c r="L471" s="43"/>
      <c r="Q471" s="11"/>
    </row>
    <row r="472" spans="2:17" ht="15" customHeight="1" x14ac:dyDescent="0.2">
      <c r="B472" s="7">
        <v>44174</v>
      </c>
      <c r="C472" s="5">
        <f>IF(B472="","",[1]!s_dq_close(股指期货基差分析!$E$5,$B472))</f>
        <v>6307.2206999999999</v>
      </c>
      <c r="D472" s="5">
        <f>IF(B472="","",[1]!s_dq_close(股指期货基差分析!$E$6,$B472))</f>
        <v>6305</v>
      </c>
      <c r="E472" s="5">
        <f ca="1">RANK(F472,F:F)+COUNTIF(F$2:F472,F472)-1</f>
        <v>352</v>
      </c>
      <c r="F472" s="5">
        <f t="shared" si="8"/>
        <v>-2.2206999999998516</v>
      </c>
      <c r="G472" s="5">
        <f ca="1">IF(B472="","",股指期货基差分析!$N$11)</f>
        <v>-71.408500000000458</v>
      </c>
      <c r="H472" s="5">
        <f ca="1">IF(B472="","",股指期货基差分析!$L$11)</f>
        <v>15.737900000000081</v>
      </c>
      <c r="I472" s="9">
        <f ca="1">IF(B472="","",股指期货基差分析!$D$11)</f>
        <v>-19.923978315132629</v>
      </c>
      <c r="L472" s="43"/>
      <c r="Q472" s="11"/>
    </row>
    <row r="473" spans="2:17" ht="15" customHeight="1" x14ac:dyDescent="0.2">
      <c r="B473" s="8">
        <v>44175</v>
      </c>
      <c r="C473" s="6">
        <f>IF(B473="","",[1]!s_dq_close(股指期货基差分析!$E$5,$B473))</f>
        <v>6320.0955999999996</v>
      </c>
      <c r="D473" s="6">
        <f>IF(B473="","",[1]!s_dq_close(股指期货基差分析!$E$6,$B473))</f>
        <v>6315.6</v>
      </c>
      <c r="E473" s="6">
        <f ca="1">RANK(F473,F:F)+COUNTIF(F$2:F473,F473)-1</f>
        <v>398</v>
      </c>
      <c r="F473" s="6">
        <f t="shared" si="8"/>
        <v>-4.4955999999992855</v>
      </c>
      <c r="G473" s="6">
        <f ca="1">IF(B473="","",股指期货基差分析!$N$11)</f>
        <v>-71.408500000000458</v>
      </c>
      <c r="H473" s="6">
        <f ca="1">IF(B473="","",股指期货基差分析!$L$11)</f>
        <v>15.737900000000081</v>
      </c>
      <c r="I473" s="10">
        <f ca="1">IF(B473="","",股指期货基差分析!$D$11)</f>
        <v>-19.923978315132629</v>
      </c>
      <c r="L473" s="43"/>
      <c r="Q473" s="11"/>
    </row>
    <row r="474" spans="2:17" ht="15" customHeight="1" x14ac:dyDescent="0.2">
      <c r="B474" s="7">
        <v>44176</v>
      </c>
      <c r="C474" s="5">
        <f>IF(B474="","",[1]!s_dq_close(股指期货基差分析!$E$5,$B474))</f>
        <v>6209.4269999999997</v>
      </c>
      <c r="D474" s="5">
        <f>IF(B474="","",[1]!s_dq_close(股指期货基差分析!$E$6,$B474))</f>
        <v>6196.4</v>
      </c>
      <c r="E474" s="5">
        <f ca="1">RANK(F474,F:F)+COUNTIF(F$2:F474,F474)-1</f>
        <v>616</v>
      </c>
      <c r="F474" s="5">
        <f t="shared" si="8"/>
        <v>-13.027000000000044</v>
      </c>
      <c r="G474" s="5">
        <f ca="1">IF(B474="","",股指期货基差分析!$N$11)</f>
        <v>-71.408500000000458</v>
      </c>
      <c r="H474" s="5">
        <f ca="1">IF(B474="","",股指期货基差分析!$L$11)</f>
        <v>15.737900000000081</v>
      </c>
      <c r="I474" s="9">
        <f ca="1">IF(B474="","",股指期货基差分析!$D$11)</f>
        <v>-19.923978315132629</v>
      </c>
      <c r="L474" s="43"/>
      <c r="Q474" s="11"/>
    </row>
    <row r="475" spans="2:17" ht="15" customHeight="1" x14ac:dyDescent="0.2">
      <c r="B475" s="8">
        <v>44179</v>
      </c>
      <c r="C475" s="6">
        <f>IF(B475="","",[1]!s_dq_close(股指期货基差分析!$E$5,$B475))</f>
        <v>6259.0174999999999</v>
      </c>
      <c r="D475" s="6">
        <f>IF(B475="","",[1]!s_dq_close(股指期货基差分析!$E$6,$B475))</f>
        <v>6253.2</v>
      </c>
      <c r="E475" s="6">
        <f ca="1">RANK(F475,F:F)+COUNTIF(F$2:F475,F475)-1</f>
        <v>432</v>
      </c>
      <c r="F475" s="6">
        <f t="shared" si="8"/>
        <v>-5.8175000000001091</v>
      </c>
      <c r="G475" s="6">
        <f ca="1">IF(B475="","",股指期货基差分析!$N$11)</f>
        <v>-71.408500000000458</v>
      </c>
      <c r="H475" s="6">
        <f ca="1">IF(B475="","",股指期货基差分析!$L$11)</f>
        <v>15.737900000000081</v>
      </c>
      <c r="I475" s="10">
        <f ca="1">IF(B475="","",股指期货基差分析!$D$11)</f>
        <v>-19.923978315132629</v>
      </c>
      <c r="L475" s="43"/>
      <c r="Q475" s="11"/>
    </row>
    <row r="476" spans="2:17" ht="15" customHeight="1" x14ac:dyDescent="0.2">
      <c r="B476" s="7">
        <v>44180</v>
      </c>
      <c r="C476" s="5">
        <f>IF(B476="","",[1]!s_dq_close(股指期货基差分析!$E$5,$B476))</f>
        <v>6265.5819000000001</v>
      </c>
      <c r="D476" s="5">
        <f>IF(B476="","",[1]!s_dq_close(股指期货基差分析!$E$6,$B476))</f>
        <v>6256.8</v>
      </c>
      <c r="E476" s="5">
        <f ca="1">RANK(F476,F:F)+COUNTIF(F$2:F476,F476)-1</f>
        <v>522</v>
      </c>
      <c r="F476" s="5">
        <f t="shared" si="8"/>
        <v>-8.7818999999999505</v>
      </c>
      <c r="G476" s="5">
        <f ca="1">IF(B476="","",股指期货基差分析!$N$11)</f>
        <v>-71.408500000000458</v>
      </c>
      <c r="H476" s="5">
        <f ca="1">IF(B476="","",股指期货基差分析!$L$11)</f>
        <v>15.737900000000081</v>
      </c>
      <c r="I476" s="9">
        <f ca="1">IF(B476="","",股指期货基差分析!$D$11)</f>
        <v>-19.923978315132629</v>
      </c>
      <c r="L476" s="43"/>
      <c r="Q476" s="11"/>
    </row>
    <row r="477" spans="2:17" ht="15" customHeight="1" x14ac:dyDescent="0.2">
      <c r="B477" s="8">
        <v>44181</v>
      </c>
      <c r="C477" s="6">
        <f>IF(B477="","",[1]!s_dq_close(股指期货基差分析!$E$5,$B477))</f>
        <v>6235.4351999999999</v>
      </c>
      <c r="D477" s="6">
        <f>IF(B477="","",[1]!s_dq_close(股指期货基差分析!$E$6,$B477))</f>
        <v>6239.6</v>
      </c>
      <c r="E477" s="6">
        <f ca="1">RANK(F477,F:F)+COUNTIF(F$2:F477,F477)-1</f>
        <v>200</v>
      </c>
      <c r="F477" s="6">
        <f t="shared" si="8"/>
        <v>4.1648000000004686</v>
      </c>
      <c r="G477" s="6">
        <f ca="1">IF(B477="","",股指期货基差分析!$N$11)</f>
        <v>-71.408500000000458</v>
      </c>
      <c r="H477" s="6">
        <f ca="1">IF(B477="","",股指期货基差分析!$L$11)</f>
        <v>15.737900000000081</v>
      </c>
      <c r="I477" s="10">
        <f ca="1">IF(B477="","",股指期货基差分析!$D$11)</f>
        <v>-19.923978315132629</v>
      </c>
      <c r="L477" s="43"/>
      <c r="Q477" s="11"/>
    </row>
    <row r="478" spans="2:17" ht="15" customHeight="1" x14ac:dyDescent="0.2">
      <c r="B478" s="7">
        <v>44182</v>
      </c>
      <c r="C478" s="5">
        <f>IF(B478="","",[1]!s_dq_close(股指期货基差分析!$E$5,$B478))</f>
        <v>6308.9013000000004</v>
      </c>
      <c r="D478" s="5">
        <f>IF(B478="","",[1]!s_dq_close(股指期货基差分析!$E$6,$B478))</f>
        <v>6313.8</v>
      </c>
      <c r="E478" s="5">
        <f ca="1">RANK(F478,F:F)+COUNTIF(F$2:F478,F478)-1</f>
        <v>189</v>
      </c>
      <c r="F478" s="5">
        <f t="shared" si="8"/>
        <v>4.8986999999997352</v>
      </c>
      <c r="G478" s="5">
        <f ca="1">IF(B478="","",股指期货基差分析!$N$11)</f>
        <v>-71.408500000000458</v>
      </c>
      <c r="H478" s="5">
        <f ca="1">IF(B478="","",股指期货基差分析!$L$11)</f>
        <v>15.737900000000081</v>
      </c>
      <c r="I478" s="9">
        <f ca="1">IF(B478="","",股指期货基差分析!$D$11)</f>
        <v>-19.923978315132629</v>
      </c>
      <c r="L478" s="43"/>
      <c r="Q478" s="11"/>
    </row>
    <row r="479" spans="2:17" ht="15" customHeight="1" x14ac:dyDescent="0.2">
      <c r="B479" s="8">
        <v>44183</v>
      </c>
      <c r="C479" s="6">
        <f>IF(B479="","",[1]!s_dq_close(股指期货基差分析!$E$5,$B479))</f>
        <v>6291.9179999999997</v>
      </c>
      <c r="D479" s="6">
        <f>IF(B479="","",[1]!s_dq_close(股指期货基差分析!$E$6,$B479))</f>
        <v>6294.4</v>
      </c>
      <c r="E479" s="6">
        <f ca="1">RANK(F479,F:F)+COUNTIF(F$2:F479,F479)-1</f>
        <v>250</v>
      </c>
      <c r="F479" s="6">
        <f t="shared" si="8"/>
        <v>2.4819999999999709</v>
      </c>
      <c r="G479" s="6">
        <f ca="1">IF(B479="","",股指期货基差分析!$N$11)</f>
        <v>-71.408500000000458</v>
      </c>
      <c r="H479" s="6">
        <f ca="1">IF(B479="","",股指期货基差分析!$L$11)</f>
        <v>15.737900000000081</v>
      </c>
      <c r="I479" s="10">
        <f ca="1">IF(B479="","",股指期货基差分析!$D$11)</f>
        <v>-19.923978315132629</v>
      </c>
      <c r="L479" s="43"/>
      <c r="Q479" s="11"/>
    </row>
    <row r="480" spans="2:17" ht="15" customHeight="1" x14ac:dyDescent="0.2">
      <c r="B480" s="7">
        <v>44186</v>
      </c>
      <c r="C480" s="5">
        <f>IF(B480="","",[1]!s_dq_close(股指期货基差分析!$E$5,$B480))</f>
        <v>6398.5986999999996</v>
      </c>
      <c r="D480" s="5">
        <f>IF(B480="","",[1]!s_dq_close(股指期货基差分析!$E$6,$B480))</f>
        <v>6354.8</v>
      </c>
      <c r="E480" s="5">
        <f ca="1">RANK(F480,F:F)+COUNTIF(F$2:F480,F480)-1</f>
        <v>1041</v>
      </c>
      <c r="F480" s="5">
        <f t="shared" si="8"/>
        <v>-43.798699999999371</v>
      </c>
      <c r="G480" s="5">
        <f ca="1">IF(B480="","",股指期货基差分析!$N$11)</f>
        <v>-71.408500000000458</v>
      </c>
      <c r="H480" s="5">
        <f ca="1">IF(B480="","",股指期货基差分析!$L$11)</f>
        <v>15.737900000000081</v>
      </c>
      <c r="I480" s="9">
        <f ca="1">IF(B480="","",股指期货基差分析!$D$11)</f>
        <v>-19.923978315132629</v>
      </c>
      <c r="L480" s="43"/>
      <c r="Q480" s="11"/>
    </row>
    <row r="481" spans="2:17" ht="15" customHeight="1" x14ac:dyDescent="0.2">
      <c r="B481" s="8">
        <v>44187</v>
      </c>
      <c r="C481" s="6">
        <f>IF(B481="","",[1]!s_dq_close(股指期货基差分析!$E$5,$B481))</f>
        <v>6250.0605999999998</v>
      </c>
      <c r="D481" s="6">
        <f>IF(B481="","",[1]!s_dq_close(股指期货基差分析!$E$6,$B481))</f>
        <v>6238.8</v>
      </c>
      <c r="E481" s="6">
        <f ca="1">RANK(F481,F:F)+COUNTIF(F$2:F481,F481)-1</f>
        <v>579</v>
      </c>
      <c r="F481" s="6">
        <f t="shared" si="8"/>
        <v>-11.260599999999613</v>
      </c>
      <c r="G481" s="6">
        <f ca="1">IF(B481="","",股指期货基差分析!$N$11)</f>
        <v>-71.408500000000458</v>
      </c>
      <c r="H481" s="6">
        <f ca="1">IF(B481="","",股指期货基差分析!$L$11)</f>
        <v>15.737900000000081</v>
      </c>
      <c r="I481" s="10">
        <f ca="1">IF(B481="","",股指期货基差分析!$D$11)</f>
        <v>-19.923978315132629</v>
      </c>
      <c r="L481" s="43"/>
      <c r="Q481" s="11"/>
    </row>
    <row r="482" spans="2:17" ht="15" customHeight="1" x14ac:dyDescent="0.2">
      <c r="B482" s="7">
        <v>44188</v>
      </c>
      <c r="C482" s="5">
        <f>IF(B482="","",[1]!s_dq_close(股指期货基差分析!$E$5,$B482))</f>
        <v>6307.6040000000003</v>
      </c>
      <c r="D482" s="5">
        <f>IF(B482="","",[1]!s_dq_close(股指期货基差分析!$E$6,$B482))</f>
        <v>6270.6</v>
      </c>
      <c r="E482" s="5">
        <f ca="1">RANK(F482,F:F)+COUNTIF(F$2:F482,F482)-1</f>
        <v>976</v>
      </c>
      <c r="F482" s="5">
        <f t="shared" si="8"/>
        <v>-37.003999999999905</v>
      </c>
      <c r="G482" s="5">
        <f ca="1">IF(B482="","",股指期货基差分析!$N$11)</f>
        <v>-71.408500000000458</v>
      </c>
      <c r="H482" s="5">
        <f ca="1">IF(B482="","",股指期货基差分析!$L$11)</f>
        <v>15.737900000000081</v>
      </c>
      <c r="I482" s="9">
        <f ca="1">IF(B482="","",股指期货基差分析!$D$11)</f>
        <v>-19.923978315132629</v>
      </c>
      <c r="L482" s="43"/>
      <c r="Q482" s="11"/>
    </row>
    <row r="483" spans="2:17" ht="15" customHeight="1" x14ac:dyDescent="0.2">
      <c r="B483" s="8">
        <v>44189</v>
      </c>
      <c r="C483" s="6">
        <f>IF(B483="","",[1]!s_dq_close(股指期货基差分析!$E$5,$B483))</f>
        <v>6205.2246999999998</v>
      </c>
      <c r="D483" s="6">
        <f>IF(B483="","",[1]!s_dq_close(股指期货基差分析!$E$6,$B483))</f>
        <v>6191.2</v>
      </c>
      <c r="E483" s="6">
        <f ca="1">RANK(F483,F:F)+COUNTIF(F$2:F483,F483)-1</f>
        <v>640</v>
      </c>
      <c r="F483" s="6">
        <f t="shared" si="8"/>
        <v>-14.024699999999939</v>
      </c>
      <c r="G483" s="6">
        <f ca="1">IF(B483="","",股指期货基差分析!$N$11)</f>
        <v>-71.408500000000458</v>
      </c>
      <c r="H483" s="6">
        <f ca="1">IF(B483="","",股指期货基差分析!$L$11)</f>
        <v>15.737900000000081</v>
      </c>
      <c r="I483" s="10">
        <f ca="1">IF(B483="","",股指期货基差分析!$D$11)</f>
        <v>-19.923978315132629</v>
      </c>
      <c r="L483" s="43"/>
      <c r="Q483" s="11"/>
    </row>
    <row r="484" spans="2:17" ht="15" customHeight="1" x14ac:dyDescent="0.2">
      <c r="B484" s="7">
        <v>44190</v>
      </c>
      <c r="C484" s="5">
        <f>IF(B484="","",[1]!s_dq_close(股指期货基差分析!$E$5,$B484))</f>
        <v>6278.4980999999998</v>
      </c>
      <c r="D484" s="5">
        <f>IF(B484="","",[1]!s_dq_close(股指期货基差分析!$E$6,$B484))</f>
        <v>6262</v>
      </c>
      <c r="E484" s="5">
        <f ca="1">RANK(F484,F:F)+COUNTIF(F$2:F484,F484)-1</f>
        <v>687</v>
      </c>
      <c r="F484" s="5">
        <f t="shared" si="8"/>
        <v>-16.498099999999795</v>
      </c>
      <c r="G484" s="5">
        <f ca="1">IF(B484="","",股指期货基差分析!$N$11)</f>
        <v>-71.408500000000458</v>
      </c>
      <c r="H484" s="5">
        <f ca="1">IF(B484="","",股指期货基差分析!$L$11)</f>
        <v>15.737900000000081</v>
      </c>
      <c r="I484" s="9">
        <f ca="1">IF(B484="","",股指期货基差分析!$D$11)</f>
        <v>-19.923978315132629</v>
      </c>
      <c r="L484" s="43"/>
      <c r="Q484" s="11"/>
    </row>
    <row r="485" spans="2:17" ht="15" customHeight="1" x14ac:dyDescent="0.2">
      <c r="B485" s="8">
        <v>44193</v>
      </c>
      <c r="C485" s="6">
        <f>IF(B485="","",[1]!s_dq_close(股指期货基差分析!$E$5,$B485))</f>
        <v>6244.4817999999996</v>
      </c>
      <c r="D485" s="6">
        <f>IF(B485="","",[1]!s_dq_close(股指期货基差分析!$E$6,$B485))</f>
        <v>6214.8</v>
      </c>
      <c r="E485" s="6">
        <f ca="1">RANK(F485,F:F)+COUNTIF(F$2:F485,F485)-1</f>
        <v>888</v>
      </c>
      <c r="F485" s="6">
        <f t="shared" si="8"/>
        <v>-29.681799999999384</v>
      </c>
      <c r="G485" s="6">
        <f ca="1">IF(B485="","",股指期货基差分析!$N$11)</f>
        <v>-71.408500000000458</v>
      </c>
      <c r="H485" s="6">
        <f ca="1">IF(B485="","",股指期货基差分析!$L$11)</f>
        <v>15.737900000000081</v>
      </c>
      <c r="I485" s="10">
        <f ca="1">IF(B485="","",股指期货基差分析!$D$11)</f>
        <v>-19.923978315132629</v>
      </c>
      <c r="L485" s="43"/>
      <c r="Q485" s="11"/>
    </row>
    <row r="486" spans="2:17" ht="15" customHeight="1" x14ac:dyDescent="0.2">
      <c r="B486" s="7">
        <v>44194</v>
      </c>
      <c r="C486" s="5">
        <f>IF(B486="","",[1]!s_dq_close(股指期货基差分析!$E$5,$B486))</f>
        <v>6199.8522999999996</v>
      </c>
      <c r="D486" s="5">
        <f>IF(B486="","",[1]!s_dq_close(股指期货基差分析!$E$6,$B486))</f>
        <v>6198.4</v>
      </c>
      <c r="E486" s="5">
        <f ca="1">RANK(F486,F:F)+COUNTIF(F$2:F486,F486)-1</f>
        <v>332</v>
      </c>
      <c r="F486" s="5">
        <f t="shared" si="8"/>
        <v>-1.4522999999999229</v>
      </c>
      <c r="G486" s="5">
        <f ca="1">IF(B486="","",股指期货基差分析!$N$11)</f>
        <v>-71.408500000000458</v>
      </c>
      <c r="H486" s="5">
        <f ca="1">IF(B486="","",股指期货基差分析!$L$11)</f>
        <v>15.737900000000081</v>
      </c>
      <c r="I486" s="9">
        <f ca="1">IF(B486="","",股指期货基差分析!$D$11)</f>
        <v>-19.923978315132629</v>
      </c>
      <c r="L486" s="43"/>
      <c r="Q486" s="11"/>
    </row>
    <row r="487" spans="2:17" ht="15" customHeight="1" x14ac:dyDescent="0.2">
      <c r="B487" s="8">
        <v>44195</v>
      </c>
      <c r="C487" s="6">
        <f>IF(B487="","",[1]!s_dq_close(股指期货基差分析!$E$5,$B487))</f>
        <v>6269.2484000000004</v>
      </c>
      <c r="D487" s="6">
        <f>IF(B487="","",[1]!s_dq_close(股指期货基差分析!$E$6,$B487))</f>
        <v>6248</v>
      </c>
      <c r="E487" s="6">
        <f ca="1">RANK(F487,F:F)+COUNTIF(F$2:F487,F487)-1</f>
        <v>770</v>
      </c>
      <c r="F487" s="6">
        <f t="shared" si="8"/>
        <v>-21.248400000000402</v>
      </c>
      <c r="G487" s="6">
        <f ca="1">IF(B487="","",股指期货基差分析!$N$11)</f>
        <v>-71.408500000000458</v>
      </c>
      <c r="H487" s="6">
        <f ca="1">IF(B487="","",股指期货基差分析!$L$11)</f>
        <v>15.737900000000081</v>
      </c>
      <c r="I487" s="10">
        <f ca="1">IF(B487="","",股指期货基差分析!$D$11)</f>
        <v>-19.923978315132629</v>
      </c>
      <c r="L487" s="43"/>
      <c r="Q487" s="11"/>
    </row>
    <row r="488" spans="2:17" ht="15" customHeight="1" x14ac:dyDescent="0.2">
      <c r="B488" s="7">
        <v>44196</v>
      </c>
      <c r="C488" s="5">
        <f>IF(B488="","",[1]!s_dq_close(股指期货基差分析!$E$5,$B488))</f>
        <v>6367.1148999999996</v>
      </c>
      <c r="D488" s="5">
        <f>IF(B488="","",[1]!s_dq_close(股指期货基差分析!$E$6,$B488))</f>
        <v>6348</v>
      </c>
      <c r="E488" s="5">
        <f ca="1">RANK(F488,F:F)+COUNTIF(F$2:F488,F488)-1</f>
        <v>730</v>
      </c>
      <c r="F488" s="5">
        <f t="shared" si="8"/>
        <v>-19.114899999999579</v>
      </c>
      <c r="G488" s="5">
        <f ca="1">IF(B488="","",股指期货基差分析!$N$11)</f>
        <v>-71.408500000000458</v>
      </c>
      <c r="H488" s="5">
        <f ca="1">IF(B488="","",股指期货基差分析!$L$11)</f>
        <v>15.737900000000081</v>
      </c>
      <c r="I488" s="9">
        <f ca="1">IF(B488="","",股指期货基差分析!$D$11)</f>
        <v>-19.923978315132629</v>
      </c>
      <c r="L488" s="43"/>
      <c r="Q488" s="11"/>
    </row>
    <row r="489" spans="2:17" ht="15" customHeight="1" x14ac:dyDescent="0.2">
      <c r="B489" s="8">
        <v>44200</v>
      </c>
      <c r="C489" s="6">
        <f>IF(B489="","",[1]!s_dq_close(股指期货基差分析!$E$5,$B489))</f>
        <v>6482.7867999999999</v>
      </c>
      <c r="D489" s="6">
        <f>IF(B489="","",[1]!s_dq_close(股指期货基差分析!$E$6,$B489))</f>
        <v>6434.2</v>
      </c>
      <c r="E489" s="6">
        <f ca="1">RANK(F489,F:F)+COUNTIF(F$2:F489,F489)-1</f>
        <v>1090</v>
      </c>
      <c r="F489" s="6">
        <f t="shared" si="8"/>
        <v>-48.586800000000039</v>
      </c>
      <c r="G489" s="6">
        <f ca="1">IF(B489="","",股指期货基差分析!$N$11)</f>
        <v>-71.408500000000458</v>
      </c>
      <c r="H489" s="6">
        <f ca="1">IF(B489="","",股指期货基差分析!$L$11)</f>
        <v>15.737900000000081</v>
      </c>
      <c r="I489" s="10">
        <f ca="1">IF(B489="","",股指期货基差分析!$D$11)</f>
        <v>-19.923978315132629</v>
      </c>
      <c r="L489" s="43"/>
      <c r="Q489" s="11"/>
    </row>
    <row r="490" spans="2:17" ht="15" customHeight="1" x14ac:dyDescent="0.2">
      <c r="B490" s="7">
        <v>44201</v>
      </c>
      <c r="C490" s="5">
        <f>IF(B490="","",[1]!s_dq_close(股指期货基差分析!$E$5,$B490))</f>
        <v>6539.7314999999999</v>
      </c>
      <c r="D490" s="5">
        <f>IF(B490="","",[1]!s_dq_close(股指期货基差分析!$E$6,$B490))</f>
        <v>6476.6</v>
      </c>
      <c r="E490" s="5">
        <f ca="1">RANK(F490,F:F)+COUNTIF(F$2:F490,F490)-1</f>
        <v>1179</v>
      </c>
      <c r="F490" s="5">
        <f t="shared" si="8"/>
        <v>-63.131499999999505</v>
      </c>
      <c r="G490" s="5">
        <f ca="1">IF(B490="","",股指期货基差分析!$N$11)</f>
        <v>-71.408500000000458</v>
      </c>
      <c r="H490" s="5">
        <f ca="1">IF(B490="","",股指期货基差分析!$L$11)</f>
        <v>15.737900000000081</v>
      </c>
      <c r="I490" s="9">
        <f ca="1">IF(B490="","",股指期货基差分析!$D$11)</f>
        <v>-19.923978315132629</v>
      </c>
      <c r="L490" s="43"/>
      <c r="Q490" s="11"/>
    </row>
    <row r="491" spans="2:17" ht="15" customHeight="1" x14ac:dyDescent="0.2">
      <c r="B491" s="8">
        <v>44202</v>
      </c>
      <c r="C491" s="6">
        <f>IF(B491="","",[1]!s_dq_close(股指期货基差分析!$E$5,$B491))</f>
        <v>6528.1424999999999</v>
      </c>
      <c r="D491" s="6">
        <f>IF(B491="","",[1]!s_dq_close(股指期货基差分析!$E$6,$B491))</f>
        <v>6485</v>
      </c>
      <c r="E491" s="6">
        <f ca="1">RANK(F491,F:F)+COUNTIF(F$2:F491,F491)-1</f>
        <v>1029</v>
      </c>
      <c r="F491" s="6">
        <f t="shared" si="8"/>
        <v>-43.142499999999927</v>
      </c>
      <c r="G491" s="6">
        <f ca="1">IF(B491="","",股指期货基差分析!$N$11)</f>
        <v>-71.408500000000458</v>
      </c>
      <c r="H491" s="6">
        <f ca="1">IF(B491="","",股指期货基差分析!$L$11)</f>
        <v>15.737900000000081</v>
      </c>
      <c r="I491" s="10">
        <f ca="1">IF(B491="","",股指期货基差分析!$D$11)</f>
        <v>-19.923978315132629</v>
      </c>
      <c r="L491" s="43"/>
      <c r="Q491" s="11"/>
    </row>
    <row r="492" spans="2:17" ht="15" customHeight="1" x14ac:dyDescent="0.2">
      <c r="B492" s="7">
        <v>44203</v>
      </c>
      <c r="C492" s="5">
        <f>IF(B492="","",[1]!s_dq_close(股指期货基差分析!$E$5,$B492))</f>
        <v>6538.1162000000004</v>
      </c>
      <c r="D492" s="5">
        <f>IF(B492="","",[1]!s_dq_close(股指期货基差分析!$E$6,$B492))</f>
        <v>6526</v>
      </c>
      <c r="E492" s="5">
        <f ca="1">RANK(F492,F:F)+COUNTIF(F$2:F492,F492)-1</f>
        <v>598</v>
      </c>
      <c r="F492" s="5">
        <f t="shared" si="8"/>
        <v>-12.11620000000039</v>
      </c>
      <c r="G492" s="5">
        <f ca="1">IF(B492="","",股指期货基差分析!$N$11)</f>
        <v>-71.408500000000458</v>
      </c>
      <c r="H492" s="5">
        <f ca="1">IF(B492="","",股指期货基差分析!$L$11)</f>
        <v>15.737900000000081</v>
      </c>
      <c r="I492" s="9">
        <f ca="1">IF(B492="","",股指期货基差分析!$D$11)</f>
        <v>-19.923978315132629</v>
      </c>
      <c r="L492" s="43"/>
      <c r="Q492" s="11"/>
    </row>
    <row r="493" spans="2:17" ht="15" customHeight="1" x14ac:dyDescent="0.2">
      <c r="B493" s="8">
        <v>44204</v>
      </c>
      <c r="C493" s="6">
        <f>IF(B493="","",[1]!s_dq_close(股指期货基差分析!$E$5,$B493))</f>
        <v>6557.5964000000004</v>
      </c>
      <c r="D493" s="6">
        <f>IF(B493="","",[1]!s_dq_close(股指期货基差分析!$E$6,$B493))</f>
        <v>6550.6</v>
      </c>
      <c r="E493" s="6">
        <f ca="1">RANK(F493,F:F)+COUNTIF(F$2:F493,F493)-1</f>
        <v>470</v>
      </c>
      <c r="F493" s="6">
        <f t="shared" si="8"/>
        <v>-6.9963999999999942</v>
      </c>
      <c r="G493" s="6">
        <f ca="1">IF(B493="","",股指期货基差分析!$N$11)</f>
        <v>-71.408500000000458</v>
      </c>
      <c r="H493" s="6">
        <f ca="1">IF(B493="","",股指期货基差分析!$L$11)</f>
        <v>15.737900000000081</v>
      </c>
      <c r="I493" s="10">
        <f ca="1">IF(B493="","",股指期货基差分析!$D$11)</f>
        <v>-19.923978315132629</v>
      </c>
      <c r="L493" s="43"/>
      <c r="Q493" s="11"/>
    </row>
    <row r="494" spans="2:17" ht="15" customHeight="1" x14ac:dyDescent="0.2">
      <c r="B494" s="7">
        <v>44207</v>
      </c>
      <c r="C494" s="5">
        <f>IF(B494="","",[1]!s_dq_close(股指期货基差分析!$E$5,$B494))</f>
        <v>6455.3986999999997</v>
      </c>
      <c r="D494" s="5">
        <f>IF(B494="","",[1]!s_dq_close(股指期货基差分析!$E$6,$B494))</f>
        <v>6446.8</v>
      </c>
      <c r="E494" s="5">
        <f ca="1">RANK(F494,F:F)+COUNTIF(F$2:F494,F494)-1</f>
        <v>518</v>
      </c>
      <c r="F494" s="5">
        <f t="shared" si="8"/>
        <v>-8.5986999999995533</v>
      </c>
      <c r="G494" s="5">
        <f ca="1">IF(B494="","",股指期货基差分析!$N$11)</f>
        <v>-71.408500000000458</v>
      </c>
      <c r="H494" s="5">
        <f ca="1">IF(B494="","",股指期货基差分析!$L$11)</f>
        <v>15.737900000000081</v>
      </c>
      <c r="I494" s="9">
        <f ca="1">IF(B494="","",股指期货基差分析!$D$11)</f>
        <v>-19.923978315132629</v>
      </c>
      <c r="L494" s="43"/>
      <c r="Q494" s="11"/>
    </row>
    <row r="495" spans="2:17" ht="15" customHeight="1" x14ac:dyDescent="0.2">
      <c r="B495" s="8">
        <v>44208</v>
      </c>
      <c r="C495" s="6">
        <f>IF(B495="","",[1]!s_dq_close(股指期货基差分析!$E$5,$B495))</f>
        <v>6543.2286000000004</v>
      </c>
      <c r="D495" s="6">
        <f>IF(B495="","",[1]!s_dq_close(股指期货基差分析!$E$6,$B495))</f>
        <v>6521.6</v>
      </c>
      <c r="E495" s="6">
        <f ca="1">RANK(F495,F:F)+COUNTIF(F$2:F495,F495)-1</f>
        <v>777</v>
      </c>
      <c r="F495" s="6">
        <f t="shared" si="8"/>
        <v>-21.628600000000006</v>
      </c>
      <c r="G495" s="6">
        <f ca="1">IF(B495="","",股指期货基差分析!$N$11)</f>
        <v>-71.408500000000458</v>
      </c>
      <c r="H495" s="6">
        <f ca="1">IF(B495="","",股指期货基差分析!$L$11)</f>
        <v>15.737900000000081</v>
      </c>
      <c r="I495" s="10">
        <f ca="1">IF(B495="","",股指期货基差分析!$D$11)</f>
        <v>-19.923978315132629</v>
      </c>
      <c r="L495" s="43"/>
      <c r="Q495" s="11"/>
    </row>
    <row r="496" spans="2:17" ht="15" customHeight="1" x14ac:dyDescent="0.2">
      <c r="B496" s="7">
        <v>44209</v>
      </c>
      <c r="C496" s="5">
        <f>IF(B496="","",[1]!s_dq_close(股指期货基差分析!$E$5,$B496))</f>
        <v>6496.9130999999998</v>
      </c>
      <c r="D496" s="5">
        <f>IF(B496="","",[1]!s_dq_close(股指期货基差分析!$E$6,$B496))</f>
        <v>6487.2</v>
      </c>
      <c r="E496" s="5">
        <f ca="1">RANK(F496,F:F)+COUNTIF(F$2:F496,F496)-1</f>
        <v>547</v>
      </c>
      <c r="F496" s="5">
        <f t="shared" si="8"/>
        <v>-9.7130999999999403</v>
      </c>
      <c r="G496" s="5">
        <f ca="1">IF(B496="","",股指期货基差分析!$N$11)</f>
        <v>-71.408500000000458</v>
      </c>
      <c r="H496" s="5">
        <f ca="1">IF(B496="","",股指期货基差分析!$L$11)</f>
        <v>15.737900000000081</v>
      </c>
      <c r="I496" s="9">
        <f ca="1">IF(B496="","",股指期货基差分析!$D$11)</f>
        <v>-19.923978315132629</v>
      </c>
      <c r="L496" s="43"/>
      <c r="Q496" s="11"/>
    </row>
    <row r="497" spans="2:17" ht="15" customHeight="1" x14ac:dyDescent="0.2">
      <c r="B497" s="8">
        <v>44210</v>
      </c>
      <c r="C497" s="6">
        <f>IF(B497="","",[1]!s_dq_close(股指期货基差分析!$E$5,$B497))</f>
        <v>6439.8854000000001</v>
      </c>
      <c r="D497" s="6">
        <f>IF(B497="","",[1]!s_dq_close(股指期货基差分析!$E$6,$B497))</f>
        <v>6446.6</v>
      </c>
      <c r="E497" s="6">
        <f ca="1">RANK(F497,F:F)+COUNTIF(F$2:F497,F497)-1</f>
        <v>158</v>
      </c>
      <c r="F497" s="6">
        <f t="shared" si="8"/>
        <v>6.7146000000002459</v>
      </c>
      <c r="G497" s="6">
        <f ca="1">IF(B497="","",股指期货基差分析!$N$11)</f>
        <v>-71.408500000000458</v>
      </c>
      <c r="H497" s="6">
        <f ca="1">IF(B497="","",股指期货基差分析!$L$11)</f>
        <v>15.737900000000081</v>
      </c>
      <c r="I497" s="10">
        <f ca="1">IF(B497="","",股指期货基差分析!$D$11)</f>
        <v>-19.923978315132629</v>
      </c>
      <c r="L497" s="43"/>
      <c r="Q497" s="11"/>
    </row>
    <row r="498" spans="2:17" ht="15" customHeight="1" x14ac:dyDescent="0.2">
      <c r="B498" s="7">
        <v>44211</v>
      </c>
      <c r="C498" s="5">
        <f>IF(B498="","",[1]!s_dq_close(股指期货基差分析!$E$5,$B498))</f>
        <v>6417.5011000000004</v>
      </c>
      <c r="D498" s="5">
        <f>IF(B498="","",[1]!s_dq_close(股指期货基差分析!$E$6,$B498))</f>
        <v>6390.2</v>
      </c>
      <c r="E498" s="5">
        <f ca="1">RANK(F498,F:F)+COUNTIF(F$2:F498,F498)-1</f>
        <v>852</v>
      </c>
      <c r="F498" s="5">
        <f t="shared" si="8"/>
        <v>-27.301100000000588</v>
      </c>
      <c r="G498" s="5">
        <f ca="1">IF(B498="","",股指期货基差分析!$N$11)</f>
        <v>-71.408500000000458</v>
      </c>
      <c r="H498" s="5">
        <f ca="1">IF(B498="","",股指期货基差分析!$L$11)</f>
        <v>15.737900000000081</v>
      </c>
      <c r="I498" s="9">
        <f ca="1">IF(B498="","",股指期货基差分析!$D$11)</f>
        <v>-19.923978315132629</v>
      </c>
      <c r="L498" s="43"/>
      <c r="Q498" s="11"/>
    </row>
    <row r="499" spans="2:17" ht="15" customHeight="1" x14ac:dyDescent="0.2">
      <c r="B499" s="8">
        <v>44214</v>
      </c>
      <c r="C499" s="6">
        <f>IF(B499="","",[1]!s_dq_close(股指期货基差分析!$E$5,$B499))</f>
        <v>6514.4643999999998</v>
      </c>
      <c r="D499" s="6">
        <f>IF(B499="","",[1]!s_dq_close(股指期货基差分析!$E$6,$B499))</f>
        <v>6442.2</v>
      </c>
      <c r="E499" s="6">
        <f ca="1">RANK(F499,F:F)+COUNTIF(F$2:F499,F499)-1</f>
        <v>1221</v>
      </c>
      <c r="F499" s="6">
        <f t="shared" si="8"/>
        <v>-72.264400000000023</v>
      </c>
      <c r="G499" s="6">
        <f ca="1">IF(B499="","",股指期货基差分析!$N$11)</f>
        <v>-71.408500000000458</v>
      </c>
      <c r="H499" s="6">
        <f ca="1">IF(B499="","",股指期货基差分析!$L$11)</f>
        <v>15.737900000000081</v>
      </c>
      <c r="I499" s="10">
        <f ca="1">IF(B499="","",股指期货基差分析!$D$11)</f>
        <v>-19.923978315132629</v>
      </c>
      <c r="L499" s="43"/>
      <c r="Q499" s="11"/>
    </row>
    <row r="500" spans="2:17" ht="15" customHeight="1" x14ac:dyDescent="0.2">
      <c r="B500" s="7">
        <v>44215</v>
      </c>
      <c r="C500" s="5">
        <f>IF(B500="","",[1]!s_dq_close(股指期货基差分析!$E$5,$B500))</f>
        <v>6476.3735999999999</v>
      </c>
      <c r="D500" s="5">
        <f>IF(B500="","",[1]!s_dq_close(股指期货基差分析!$E$6,$B500))</f>
        <v>6410.8</v>
      </c>
      <c r="E500" s="5">
        <f ca="1">RANK(F500,F:F)+COUNTIF(F$2:F500,F500)-1</f>
        <v>1189</v>
      </c>
      <c r="F500" s="5">
        <f t="shared" si="8"/>
        <v>-65.573599999999715</v>
      </c>
      <c r="G500" s="5">
        <f ca="1">IF(B500="","",股指期货基差分析!$N$11)</f>
        <v>-71.408500000000458</v>
      </c>
      <c r="H500" s="5">
        <f ca="1">IF(B500="","",股指期货基差分析!$L$11)</f>
        <v>15.737900000000081</v>
      </c>
      <c r="I500" s="9">
        <f ca="1">IF(B500="","",股指期货基差分析!$D$11)</f>
        <v>-19.923978315132629</v>
      </c>
      <c r="L500" s="43"/>
      <c r="Q500" s="11"/>
    </row>
    <row r="501" spans="2:17" ht="15" customHeight="1" x14ac:dyDescent="0.2">
      <c r="B501" s="8">
        <v>44216</v>
      </c>
      <c r="C501" s="6">
        <f>IF(B501="","",[1]!s_dq_close(股指期货基差分析!$E$5,$B501))</f>
        <v>6535.4184999999998</v>
      </c>
      <c r="D501" s="6">
        <f>IF(B501="","",[1]!s_dq_close(股指期货基差分析!$E$6,$B501))</f>
        <v>6479.4</v>
      </c>
      <c r="E501" s="6">
        <f ca="1">RANK(F501,F:F)+COUNTIF(F$2:F501,F501)-1</f>
        <v>1141</v>
      </c>
      <c r="F501" s="6">
        <f t="shared" si="8"/>
        <v>-56.018500000000131</v>
      </c>
      <c r="G501" s="6">
        <f ca="1">IF(B501="","",股指期货基差分析!$N$11)</f>
        <v>-71.408500000000458</v>
      </c>
      <c r="H501" s="6">
        <f ca="1">IF(B501="","",股指期货基差分析!$L$11)</f>
        <v>15.737900000000081</v>
      </c>
      <c r="I501" s="10">
        <f ca="1">IF(B501="","",股指期货基差分析!$D$11)</f>
        <v>-19.923978315132629</v>
      </c>
      <c r="L501" s="43"/>
      <c r="Q501" s="11"/>
    </row>
    <row r="502" spans="2:17" ht="15" customHeight="1" x14ac:dyDescent="0.2">
      <c r="B502" s="7">
        <v>44217</v>
      </c>
      <c r="C502" s="5">
        <f>IF(B502="","",[1]!s_dq_close(股指期货基差分析!$E$5,$B502))</f>
        <v>6622.4958999999999</v>
      </c>
      <c r="D502" s="5">
        <f>IF(B502="","",[1]!s_dq_close(股指期货基差分析!$E$6,$B502))</f>
        <v>6565.4</v>
      </c>
      <c r="E502" s="5">
        <f ca="1">RANK(F502,F:F)+COUNTIF(F$2:F502,F502)-1</f>
        <v>1144</v>
      </c>
      <c r="F502" s="5">
        <f t="shared" si="8"/>
        <v>-57.095900000000256</v>
      </c>
      <c r="G502" s="5">
        <f ca="1">IF(B502="","",股指期货基差分析!$N$11)</f>
        <v>-71.408500000000458</v>
      </c>
      <c r="H502" s="5">
        <f ca="1">IF(B502="","",股指期货基差分析!$L$11)</f>
        <v>15.737900000000081</v>
      </c>
      <c r="I502" s="9">
        <f ca="1">IF(B502="","",股指期货基差分析!$D$11)</f>
        <v>-19.923978315132629</v>
      </c>
      <c r="L502" s="43"/>
      <c r="Q502" s="11"/>
    </row>
    <row r="503" spans="2:17" ht="15" customHeight="1" x14ac:dyDescent="0.2">
      <c r="B503" s="8">
        <v>44218</v>
      </c>
      <c r="C503" s="6">
        <f>IF(B503="","",[1]!s_dq_close(股指期货基差分析!$E$5,$B503))</f>
        <v>6637.8051999999998</v>
      </c>
      <c r="D503" s="6">
        <f>IF(B503="","",[1]!s_dq_close(股指期货基差分析!$E$6,$B503))</f>
        <v>6566.6</v>
      </c>
      <c r="E503" s="6">
        <f ca="1">RANK(F503,F:F)+COUNTIF(F$2:F503,F503)-1</f>
        <v>1216</v>
      </c>
      <c r="F503" s="6">
        <f t="shared" si="8"/>
        <v>-71.205199999999422</v>
      </c>
      <c r="G503" s="6">
        <f ca="1">IF(B503="","",股指期货基差分析!$N$11)</f>
        <v>-71.408500000000458</v>
      </c>
      <c r="H503" s="6">
        <f ca="1">IF(B503="","",股指期货基差分析!$L$11)</f>
        <v>15.737900000000081</v>
      </c>
      <c r="I503" s="10">
        <f ca="1">IF(B503="","",股指期货基差分析!$D$11)</f>
        <v>-19.923978315132629</v>
      </c>
      <c r="L503" s="43"/>
      <c r="Q503" s="11"/>
    </row>
    <row r="504" spans="2:17" ht="15" customHeight="1" x14ac:dyDescent="0.2">
      <c r="B504" s="7">
        <v>44221</v>
      </c>
      <c r="C504" s="5">
        <f>IF(B504="","",[1]!s_dq_close(股指期货基差分析!$E$5,$B504))</f>
        <v>6645.3136999999997</v>
      </c>
      <c r="D504" s="5">
        <f>IF(B504="","",[1]!s_dq_close(股指期货基差分析!$E$6,$B504))</f>
        <v>6560.4</v>
      </c>
      <c r="E504" s="5">
        <f ca="1">RANK(F504,F:F)+COUNTIF(F$2:F504,F504)-1</f>
        <v>1256</v>
      </c>
      <c r="F504" s="5">
        <f t="shared" si="8"/>
        <v>-84.913700000000063</v>
      </c>
      <c r="G504" s="5">
        <f ca="1">IF(B504="","",股指期货基差分析!$N$11)</f>
        <v>-71.408500000000458</v>
      </c>
      <c r="H504" s="5">
        <f ca="1">IF(B504="","",股指期货基差分析!$L$11)</f>
        <v>15.737900000000081</v>
      </c>
      <c r="I504" s="9">
        <f ca="1">IF(B504="","",股指期货基差分析!$D$11)</f>
        <v>-19.923978315132629</v>
      </c>
      <c r="L504" s="43"/>
      <c r="Q504" s="11"/>
    </row>
    <row r="505" spans="2:17" ht="15" customHeight="1" x14ac:dyDescent="0.2">
      <c r="B505" s="8">
        <v>44222</v>
      </c>
      <c r="C505" s="6">
        <f>IF(B505="","",[1]!s_dq_close(股指期货基差分析!$E$5,$B505))</f>
        <v>6532.9610000000002</v>
      </c>
      <c r="D505" s="6">
        <f>IF(B505="","",[1]!s_dq_close(股指期货基差分析!$E$6,$B505))</f>
        <v>6486</v>
      </c>
      <c r="E505" s="6">
        <f ca="1">RANK(F505,F:F)+COUNTIF(F$2:F505,F505)-1</f>
        <v>1078</v>
      </c>
      <c r="F505" s="6">
        <f t="shared" si="8"/>
        <v>-46.96100000000024</v>
      </c>
      <c r="G505" s="6">
        <f ca="1">IF(B505="","",股指期货基差分析!$N$11)</f>
        <v>-71.408500000000458</v>
      </c>
      <c r="H505" s="6">
        <f ca="1">IF(B505="","",股指期货基差分析!$L$11)</f>
        <v>15.737900000000081</v>
      </c>
      <c r="I505" s="10">
        <f ca="1">IF(B505="","",股指期货基差分析!$D$11)</f>
        <v>-19.923978315132629</v>
      </c>
      <c r="L505" s="43"/>
      <c r="Q505" s="11"/>
    </row>
    <row r="506" spans="2:17" ht="15" customHeight="1" x14ac:dyDescent="0.2">
      <c r="B506" s="7">
        <v>44223</v>
      </c>
      <c r="C506" s="5">
        <f>IF(B506="","",[1]!s_dq_close(股指期货基差分析!$E$5,$B506))</f>
        <v>6557.1607999999997</v>
      </c>
      <c r="D506" s="5">
        <f>IF(B506="","",[1]!s_dq_close(股指期货基差分析!$E$6,$B506))</f>
        <v>6480</v>
      </c>
      <c r="E506" s="5">
        <f ca="1">RANK(F506,F:F)+COUNTIF(F$2:F506,F506)-1</f>
        <v>1236</v>
      </c>
      <c r="F506" s="5">
        <f t="shared" si="8"/>
        <v>-77.160799999999654</v>
      </c>
      <c r="G506" s="5">
        <f ca="1">IF(B506="","",股指期货基差分析!$N$11)</f>
        <v>-71.408500000000458</v>
      </c>
      <c r="H506" s="5">
        <f ca="1">IF(B506="","",股指期货基差分析!$L$11)</f>
        <v>15.737900000000081</v>
      </c>
      <c r="I506" s="9">
        <f ca="1">IF(B506="","",股指期货基差分析!$D$11)</f>
        <v>-19.923978315132629</v>
      </c>
      <c r="L506" s="43"/>
      <c r="Q506" s="11"/>
    </row>
    <row r="507" spans="2:17" ht="15" customHeight="1" x14ac:dyDescent="0.2">
      <c r="B507" s="8">
        <v>44224</v>
      </c>
      <c r="C507" s="6">
        <f>IF(B507="","",[1]!s_dq_close(股指期货基差分析!$E$5,$B507))</f>
        <v>6414.3810999999996</v>
      </c>
      <c r="D507" s="6">
        <f>IF(B507="","",[1]!s_dq_close(股指期货基差分析!$E$6,$B507))</f>
        <v>6394.4</v>
      </c>
      <c r="E507" s="6">
        <f ca="1">RANK(F507,F:F)+COUNTIF(F$2:F507,F507)-1</f>
        <v>750</v>
      </c>
      <c r="F507" s="6">
        <f t="shared" si="8"/>
        <v>-19.981099999999969</v>
      </c>
      <c r="G507" s="6">
        <f ca="1">IF(B507="","",股指期货基差分析!$N$11)</f>
        <v>-71.408500000000458</v>
      </c>
      <c r="H507" s="6">
        <f ca="1">IF(B507="","",股指期货基差分析!$L$11)</f>
        <v>15.737900000000081</v>
      </c>
      <c r="I507" s="10">
        <f ca="1">IF(B507="","",股指期货基差分析!$D$11)</f>
        <v>-19.923978315132629</v>
      </c>
      <c r="L507" s="43"/>
      <c r="Q507" s="11"/>
    </row>
    <row r="508" spans="2:17" ht="15" customHeight="1" x14ac:dyDescent="0.2">
      <c r="B508" s="7">
        <v>44225</v>
      </c>
      <c r="C508" s="5">
        <f>IF(B508="","",[1]!s_dq_close(股指期货基差分析!$E$5,$B508))</f>
        <v>6346.1370999999999</v>
      </c>
      <c r="D508" s="5">
        <f>IF(B508="","",[1]!s_dq_close(股指期货基差分析!$E$6,$B508))</f>
        <v>6313.6</v>
      </c>
      <c r="E508" s="5">
        <f ca="1">RANK(F508,F:F)+COUNTIF(F$2:F508,F508)-1</f>
        <v>926</v>
      </c>
      <c r="F508" s="5">
        <f t="shared" si="8"/>
        <v>-32.537099999999555</v>
      </c>
      <c r="G508" s="5">
        <f ca="1">IF(B508="","",股指期货基差分析!$N$11)</f>
        <v>-71.408500000000458</v>
      </c>
      <c r="H508" s="5">
        <f ca="1">IF(B508="","",股指期货基差分析!$L$11)</f>
        <v>15.737900000000081</v>
      </c>
      <c r="I508" s="9">
        <f ca="1">IF(B508="","",股指期货基差分析!$D$11)</f>
        <v>-19.923978315132629</v>
      </c>
      <c r="L508" s="43"/>
      <c r="Q508" s="11"/>
    </row>
    <row r="509" spans="2:17" ht="15" customHeight="1" x14ac:dyDescent="0.2">
      <c r="B509" s="8">
        <v>44228</v>
      </c>
      <c r="C509" s="6">
        <f>IF(B509="","",[1]!s_dq_close(股指期货基差分析!$E$5,$B509))</f>
        <v>6393.2780000000002</v>
      </c>
      <c r="D509" s="6">
        <f>IF(B509="","",[1]!s_dq_close(股指期货基差分析!$E$6,$B509))</f>
        <v>6357.8</v>
      </c>
      <c r="E509" s="6">
        <f ca="1">RANK(F509,F:F)+COUNTIF(F$2:F509,F509)-1</f>
        <v>964</v>
      </c>
      <c r="F509" s="6">
        <f t="shared" si="8"/>
        <v>-35.478000000000065</v>
      </c>
      <c r="G509" s="6">
        <f ca="1">IF(B509="","",股指期货基差分析!$N$11)</f>
        <v>-71.408500000000458</v>
      </c>
      <c r="H509" s="6">
        <f ca="1">IF(B509="","",股指期货基差分析!$L$11)</f>
        <v>15.737900000000081</v>
      </c>
      <c r="I509" s="10">
        <f ca="1">IF(B509="","",股指期货基差分析!$D$11)</f>
        <v>-19.923978315132629</v>
      </c>
      <c r="L509" s="43"/>
      <c r="Q509" s="11"/>
    </row>
    <row r="510" spans="2:17" ht="15" customHeight="1" x14ac:dyDescent="0.2">
      <c r="B510" s="7">
        <v>44229</v>
      </c>
      <c r="C510" s="5">
        <f>IF(B510="","",[1]!s_dq_close(股指期货基差分析!$E$5,$B510))</f>
        <v>6454.7852999999996</v>
      </c>
      <c r="D510" s="5">
        <f>IF(B510="","",[1]!s_dq_close(股指期货基差分析!$E$6,$B510))</f>
        <v>6409</v>
      </c>
      <c r="E510" s="5">
        <f ca="1">RANK(F510,F:F)+COUNTIF(F$2:F510,F510)-1</f>
        <v>1068</v>
      </c>
      <c r="F510" s="5">
        <f t="shared" si="8"/>
        <v>-45.785299999999552</v>
      </c>
      <c r="G510" s="5">
        <f ca="1">IF(B510="","",股指期货基差分析!$N$11)</f>
        <v>-71.408500000000458</v>
      </c>
      <c r="H510" s="5">
        <f ca="1">IF(B510="","",股指期货基差分析!$L$11)</f>
        <v>15.737900000000081</v>
      </c>
      <c r="I510" s="9">
        <f ca="1">IF(B510="","",股指期货基差分析!$D$11)</f>
        <v>-19.923978315132629</v>
      </c>
      <c r="L510" s="43"/>
      <c r="Q510" s="11"/>
    </row>
    <row r="511" spans="2:17" ht="15" customHeight="1" x14ac:dyDescent="0.2">
      <c r="B511" s="8">
        <v>44230</v>
      </c>
      <c r="C511" s="6">
        <f>IF(B511="","",[1]!s_dq_close(股指期货基差分析!$E$5,$B511))</f>
        <v>6399.3315000000002</v>
      </c>
      <c r="D511" s="6">
        <f>IF(B511="","",[1]!s_dq_close(股指期货基差分析!$E$6,$B511))</f>
        <v>6379</v>
      </c>
      <c r="E511" s="6">
        <f ca="1">RANK(F511,F:F)+COUNTIF(F$2:F511,F511)-1</f>
        <v>757</v>
      </c>
      <c r="F511" s="6">
        <f t="shared" si="8"/>
        <v>-20.331500000000233</v>
      </c>
      <c r="G511" s="6">
        <f ca="1">IF(B511="","",股指期货基差分析!$N$11)</f>
        <v>-71.408500000000458</v>
      </c>
      <c r="H511" s="6">
        <f ca="1">IF(B511="","",股指期货基差分析!$L$11)</f>
        <v>15.737900000000081</v>
      </c>
      <c r="I511" s="10">
        <f ca="1">IF(B511="","",股指期货基差分析!$D$11)</f>
        <v>-19.923978315132629</v>
      </c>
      <c r="L511" s="43"/>
      <c r="Q511" s="11"/>
    </row>
    <row r="512" spans="2:17" ht="15" customHeight="1" x14ac:dyDescent="0.2">
      <c r="B512" s="7">
        <v>44231</v>
      </c>
      <c r="C512" s="5">
        <f>IF(B512="","",[1]!s_dq_close(股指期货基差分析!$E$5,$B512))</f>
        <v>6328.7880999999998</v>
      </c>
      <c r="D512" s="5">
        <f>IF(B512="","",[1]!s_dq_close(股指期货基差分析!$E$6,$B512))</f>
        <v>6320.8</v>
      </c>
      <c r="E512" s="5">
        <f ca="1">RANK(F512,F:F)+COUNTIF(F$2:F512,F512)-1</f>
        <v>503</v>
      </c>
      <c r="F512" s="5">
        <f t="shared" si="8"/>
        <v>-7.9880999999995765</v>
      </c>
      <c r="G512" s="5">
        <f ca="1">IF(B512="","",股指期货基差分析!$N$11)</f>
        <v>-71.408500000000458</v>
      </c>
      <c r="H512" s="5">
        <f ca="1">IF(B512="","",股指期货基差分析!$L$11)</f>
        <v>15.737900000000081</v>
      </c>
      <c r="I512" s="9">
        <f ca="1">IF(B512="","",股指期货基差分析!$D$11)</f>
        <v>-19.923978315132629</v>
      </c>
      <c r="L512" s="43"/>
      <c r="Q512" s="11"/>
    </row>
    <row r="513" spans="2:17" ht="15" customHeight="1" x14ac:dyDescent="0.2">
      <c r="B513" s="8">
        <v>44232</v>
      </c>
      <c r="C513" s="6">
        <f>IF(B513="","",[1]!s_dq_close(股指期货基差分析!$E$5,$B513))</f>
        <v>6239.8708999999999</v>
      </c>
      <c r="D513" s="6">
        <f>IF(B513="","",[1]!s_dq_close(股指期货基差分析!$E$6,$B513))</f>
        <v>6231.2</v>
      </c>
      <c r="E513" s="6">
        <f ca="1">RANK(F513,F:F)+COUNTIF(F$2:F513,F513)-1</f>
        <v>519</v>
      </c>
      <c r="F513" s="6">
        <f t="shared" si="8"/>
        <v>-8.6709000000000742</v>
      </c>
      <c r="G513" s="6">
        <f ca="1">IF(B513="","",股指期货基差分析!$N$11)</f>
        <v>-71.408500000000458</v>
      </c>
      <c r="H513" s="6">
        <f ca="1">IF(B513="","",股指期货基差分析!$L$11)</f>
        <v>15.737900000000081</v>
      </c>
      <c r="I513" s="10">
        <f ca="1">IF(B513="","",股指期货基差分析!$D$11)</f>
        <v>-19.923978315132629</v>
      </c>
      <c r="L513" s="43"/>
      <c r="Q513" s="11"/>
    </row>
    <row r="514" spans="2:17" ht="15" customHeight="1" x14ac:dyDescent="0.2">
      <c r="B514" s="7">
        <v>44235</v>
      </c>
      <c r="C514" s="5">
        <f>IF(B514="","",[1]!s_dq_close(股指期货基差分析!$E$5,$B514))</f>
        <v>6323.1621999999998</v>
      </c>
      <c r="D514" s="5">
        <f>IF(B514="","",[1]!s_dq_close(股指期货基差分析!$E$6,$B514))</f>
        <v>6313.8</v>
      </c>
      <c r="E514" s="5">
        <f ca="1">RANK(F514,F:F)+COUNTIF(F$2:F514,F514)-1</f>
        <v>541</v>
      </c>
      <c r="F514" s="5">
        <f t="shared" ref="F514:F577" si="9">IF(B514="","",D514-C514)</f>
        <v>-9.3621999999995751</v>
      </c>
      <c r="G514" s="5">
        <f ca="1">IF(B514="","",股指期货基差分析!$N$11)</f>
        <v>-71.408500000000458</v>
      </c>
      <c r="H514" s="5">
        <f ca="1">IF(B514="","",股指期货基差分析!$L$11)</f>
        <v>15.737900000000081</v>
      </c>
      <c r="I514" s="9">
        <f ca="1">IF(B514="","",股指期货基差分析!$D$11)</f>
        <v>-19.923978315132629</v>
      </c>
      <c r="L514" s="43"/>
      <c r="Q514" s="11"/>
    </row>
    <row r="515" spans="2:17" ht="15" customHeight="1" x14ac:dyDescent="0.2">
      <c r="B515" s="8">
        <v>44236</v>
      </c>
      <c r="C515" s="6">
        <f>IF(B515="","",[1]!s_dq_close(股指期货基差分析!$E$5,$B515))</f>
        <v>6457.8814000000002</v>
      </c>
      <c r="D515" s="6">
        <f>IF(B515="","",[1]!s_dq_close(股指期货基差分析!$E$6,$B515))</f>
        <v>6435.8</v>
      </c>
      <c r="E515" s="6">
        <f ca="1">RANK(F515,F:F)+COUNTIF(F$2:F515,F515)-1</f>
        <v>786</v>
      </c>
      <c r="F515" s="6">
        <f t="shared" si="9"/>
        <v>-22.081400000000031</v>
      </c>
      <c r="G515" s="6">
        <f ca="1">IF(B515="","",股指期货基差分析!$N$11)</f>
        <v>-71.408500000000458</v>
      </c>
      <c r="H515" s="6">
        <f ca="1">IF(B515="","",股指期货基差分析!$L$11)</f>
        <v>15.737900000000081</v>
      </c>
      <c r="I515" s="10">
        <f ca="1">IF(B515="","",股指期货基差分析!$D$11)</f>
        <v>-19.923978315132629</v>
      </c>
      <c r="L515" s="43"/>
      <c r="Q515" s="11"/>
    </row>
    <row r="516" spans="2:17" ht="15" customHeight="1" x14ac:dyDescent="0.2">
      <c r="B516" s="7">
        <v>44237</v>
      </c>
      <c r="C516" s="5">
        <f>IF(B516="","",[1]!s_dq_close(股指期货基差分析!$E$5,$B516))</f>
        <v>6525.1657999999998</v>
      </c>
      <c r="D516" s="5">
        <f>IF(B516="","",[1]!s_dq_close(股指期货基差分析!$E$6,$B516))</f>
        <v>6492</v>
      </c>
      <c r="E516" s="5">
        <f ca="1">RANK(F516,F:F)+COUNTIF(F$2:F516,F516)-1</f>
        <v>932</v>
      </c>
      <c r="F516" s="5">
        <f t="shared" si="9"/>
        <v>-33.165799999999763</v>
      </c>
      <c r="G516" s="5">
        <f ca="1">IF(B516="","",股指期货基差分析!$N$11)</f>
        <v>-71.408500000000458</v>
      </c>
      <c r="H516" s="5">
        <f ca="1">IF(B516="","",股指期货基差分析!$L$11)</f>
        <v>15.737900000000081</v>
      </c>
      <c r="I516" s="9">
        <f ca="1">IF(B516="","",股指期货基差分析!$D$11)</f>
        <v>-19.923978315132629</v>
      </c>
      <c r="L516" s="43"/>
      <c r="Q516" s="11"/>
    </row>
    <row r="517" spans="2:17" ht="15" customHeight="1" x14ac:dyDescent="0.2">
      <c r="B517" s="8">
        <v>44245</v>
      </c>
      <c r="C517" s="6">
        <f>IF(B517="","",[1]!s_dq_close(股指期货基差分析!$E$5,$B517))</f>
        <v>6614.5442999999996</v>
      </c>
      <c r="D517" s="6">
        <f>IF(B517="","",[1]!s_dq_close(股指期货基差分析!$E$6,$B517))</f>
        <v>6579.6</v>
      </c>
      <c r="E517" s="6">
        <f ca="1">RANK(F517,F:F)+COUNTIF(F$2:F517,F517)-1</f>
        <v>958</v>
      </c>
      <c r="F517" s="6">
        <f t="shared" si="9"/>
        <v>-34.944299999999203</v>
      </c>
      <c r="G517" s="6">
        <f ca="1">IF(B517="","",股指期货基差分析!$N$11)</f>
        <v>-71.408500000000458</v>
      </c>
      <c r="H517" s="6">
        <f ca="1">IF(B517="","",股指期货基差分析!$L$11)</f>
        <v>15.737900000000081</v>
      </c>
      <c r="I517" s="10">
        <f ca="1">IF(B517="","",股指期货基差分析!$D$11)</f>
        <v>-19.923978315132629</v>
      </c>
      <c r="L517" s="43"/>
      <c r="Q517" s="11"/>
    </row>
    <row r="518" spans="2:17" ht="15" customHeight="1" x14ac:dyDescent="0.2">
      <c r="B518" s="7">
        <v>44246</v>
      </c>
      <c r="C518" s="5">
        <f>IF(B518="","",[1]!s_dq_close(股指期货基差分析!$E$5,$B518))</f>
        <v>6703.4821000000002</v>
      </c>
      <c r="D518" s="5">
        <f>IF(B518="","",[1]!s_dq_close(股指期货基差分析!$E$6,$B518))</f>
        <v>6673.6</v>
      </c>
      <c r="E518" s="5">
        <f ca="1">RANK(F518,F:F)+COUNTIF(F$2:F518,F518)-1</f>
        <v>891</v>
      </c>
      <c r="F518" s="5">
        <f t="shared" si="9"/>
        <v>-29.882099999999809</v>
      </c>
      <c r="G518" s="5">
        <f ca="1">IF(B518="","",股指期货基差分析!$N$11)</f>
        <v>-71.408500000000458</v>
      </c>
      <c r="H518" s="5">
        <f ca="1">IF(B518="","",股指期货基差分析!$L$11)</f>
        <v>15.737900000000081</v>
      </c>
      <c r="I518" s="9">
        <f ca="1">IF(B518="","",股指期货基差分析!$D$11)</f>
        <v>-19.923978315132629</v>
      </c>
      <c r="L518" s="43"/>
      <c r="Q518" s="11"/>
    </row>
    <row r="519" spans="2:17" ht="15" customHeight="1" x14ac:dyDescent="0.2">
      <c r="B519" s="8">
        <v>44249</v>
      </c>
      <c r="C519" s="6">
        <f>IF(B519="","",[1]!s_dq_close(股指期货基差分析!$E$5,$B519))</f>
        <v>6657.0559999999996</v>
      </c>
      <c r="D519" s="6">
        <f>IF(B519="","",[1]!s_dq_close(股指期货基差分析!$E$6,$B519))</f>
        <v>6576.8</v>
      </c>
      <c r="E519" s="6">
        <f ca="1">RANK(F519,F:F)+COUNTIF(F$2:F519,F519)-1</f>
        <v>1246</v>
      </c>
      <c r="F519" s="6">
        <f t="shared" si="9"/>
        <v>-80.255999999999403</v>
      </c>
      <c r="G519" s="6">
        <f ca="1">IF(B519="","",股指期货基差分析!$N$11)</f>
        <v>-71.408500000000458</v>
      </c>
      <c r="H519" s="6">
        <f ca="1">IF(B519="","",股指期货基差分析!$L$11)</f>
        <v>15.737900000000081</v>
      </c>
      <c r="I519" s="10">
        <f ca="1">IF(B519="","",股指期货基差分析!$D$11)</f>
        <v>-19.923978315132629</v>
      </c>
      <c r="L519" s="43"/>
      <c r="Q519" s="11"/>
    </row>
    <row r="520" spans="2:17" ht="15" customHeight="1" x14ac:dyDescent="0.2">
      <c r="B520" s="7">
        <v>44250</v>
      </c>
      <c r="C520" s="5">
        <f>IF(B520="","",[1]!s_dq_close(股指期货基差分析!$E$5,$B520))</f>
        <v>6631.2286000000004</v>
      </c>
      <c r="D520" s="5">
        <f>IF(B520="","",[1]!s_dq_close(股指期货基差分析!$E$6,$B520))</f>
        <v>6569.8</v>
      </c>
      <c r="E520" s="5">
        <f ca="1">RANK(F520,F:F)+COUNTIF(F$2:F520,F520)-1</f>
        <v>1165</v>
      </c>
      <c r="F520" s="5">
        <f t="shared" si="9"/>
        <v>-61.428600000000188</v>
      </c>
      <c r="G520" s="5">
        <f ca="1">IF(B520="","",股指期货基差分析!$N$11)</f>
        <v>-71.408500000000458</v>
      </c>
      <c r="H520" s="5">
        <f ca="1">IF(B520="","",股指期货基差分析!$L$11)</f>
        <v>15.737900000000081</v>
      </c>
      <c r="I520" s="9">
        <f ca="1">IF(B520="","",股指期货基差分析!$D$11)</f>
        <v>-19.923978315132629</v>
      </c>
      <c r="L520" s="43"/>
      <c r="Q520" s="11"/>
    </row>
    <row r="521" spans="2:17" ht="15" customHeight="1" x14ac:dyDescent="0.2">
      <c r="B521" s="8">
        <v>44251</v>
      </c>
      <c r="C521" s="6">
        <f>IF(B521="","",[1]!s_dq_close(股指期货基差分析!$E$5,$B521))</f>
        <v>6536.1860999999999</v>
      </c>
      <c r="D521" s="6">
        <f>IF(B521="","",[1]!s_dq_close(股指期货基差分析!$E$6,$B521))</f>
        <v>6491.2</v>
      </c>
      <c r="E521" s="6">
        <f ca="1">RANK(F521,F:F)+COUNTIF(F$2:F521,F521)-1</f>
        <v>1059</v>
      </c>
      <c r="F521" s="6">
        <f t="shared" si="9"/>
        <v>-44.986100000000079</v>
      </c>
      <c r="G521" s="6">
        <f ca="1">IF(B521="","",股指期货基差分析!$N$11)</f>
        <v>-71.408500000000458</v>
      </c>
      <c r="H521" s="6">
        <f ca="1">IF(B521="","",股指期货基差分析!$L$11)</f>
        <v>15.737900000000081</v>
      </c>
      <c r="I521" s="10">
        <f ca="1">IF(B521="","",股指期货基差分析!$D$11)</f>
        <v>-19.923978315132629</v>
      </c>
      <c r="L521" s="43"/>
      <c r="Q521" s="11"/>
    </row>
    <row r="522" spans="2:17" ht="15" customHeight="1" x14ac:dyDescent="0.2">
      <c r="B522" s="7">
        <v>44252</v>
      </c>
      <c r="C522" s="5">
        <f>IF(B522="","",[1]!s_dq_close(股指期货基差分析!$E$5,$B522))</f>
        <v>6499.1527999999998</v>
      </c>
      <c r="D522" s="5">
        <f>IF(B522="","",[1]!s_dq_close(股指期货基差分析!$E$6,$B522))</f>
        <v>6472.2</v>
      </c>
      <c r="E522" s="5">
        <f ca="1">RANK(F522,F:F)+COUNTIF(F$2:F522,F522)-1</f>
        <v>842</v>
      </c>
      <c r="F522" s="5">
        <f t="shared" si="9"/>
        <v>-26.952800000000025</v>
      </c>
      <c r="G522" s="5">
        <f ca="1">IF(B522="","",股指期货基差分析!$N$11)</f>
        <v>-71.408500000000458</v>
      </c>
      <c r="H522" s="5">
        <f ca="1">IF(B522="","",股指期货基差分析!$L$11)</f>
        <v>15.737900000000081</v>
      </c>
      <c r="I522" s="9">
        <f ca="1">IF(B522="","",股指期货基差分析!$D$11)</f>
        <v>-19.923978315132629</v>
      </c>
      <c r="L522" s="43"/>
      <c r="Q522" s="11"/>
    </row>
    <row r="523" spans="2:17" ht="15" customHeight="1" x14ac:dyDescent="0.2">
      <c r="B523" s="8">
        <v>44253</v>
      </c>
      <c r="C523" s="6">
        <f>IF(B523="","",[1]!s_dq_close(股指期货基差分析!$E$5,$B523))</f>
        <v>6364.3528999999999</v>
      </c>
      <c r="D523" s="6">
        <f>IF(B523="","",[1]!s_dq_close(股指期货基差分析!$E$6,$B523))</f>
        <v>6320.4</v>
      </c>
      <c r="E523" s="6">
        <f ca="1">RANK(F523,F:F)+COUNTIF(F$2:F523,F523)-1</f>
        <v>1043</v>
      </c>
      <c r="F523" s="6">
        <f t="shared" si="9"/>
        <v>-43.952900000000227</v>
      </c>
      <c r="G523" s="6">
        <f ca="1">IF(B523="","",股指期货基差分析!$N$11)</f>
        <v>-71.408500000000458</v>
      </c>
      <c r="H523" s="6">
        <f ca="1">IF(B523="","",股指期货基差分析!$L$11)</f>
        <v>15.737900000000081</v>
      </c>
      <c r="I523" s="10">
        <f ca="1">IF(B523="","",股指期货基差分析!$D$11)</f>
        <v>-19.923978315132629</v>
      </c>
      <c r="L523" s="43"/>
      <c r="Q523" s="11"/>
    </row>
    <row r="524" spans="2:17" ht="15" customHeight="1" x14ac:dyDescent="0.2">
      <c r="B524" s="7">
        <v>44256</v>
      </c>
      <c r="C524" s="5">
        <f>IF(B524="","",[1]!s_dq_close(股指期货基差分析!$E$5,$B524))</f>
        <v>6488.4387999999999</v>
      </c>
      <c r="D524" s="5">
        <f>IF(B524="","",[1]!s_dq_close(股指期货基差分析!$E$6,$B524))</f>
        <v>6438</v>
      </c>
      <c r="E524" s="5">
        <f ca="1">RANK(F524,F:F)+COUNTIF(F$2:F524,F524)-1</f>
        <v>1102</v>
      </c>
      <c r="F524" s="5">
        <f t="shared" si="9"/>
        <v>-50.438799999999901</v>
      </c>
      <c r="G524" s="5">
        <f ca="1">IF(B524="","",股指期货基差分析!$N$11)</f>
        <v>-71.408500000000458</v>
      </c>
      <c r="H524" s="5">
        <f ca="1">IF(B524="","",股指期货基差分析!$L$11)</f>
        <v>15.737900000000081</v>
      </c>
      <c r="I524" s="9">
        <f ca="1">IF(B524="","",股指期货基差分析!$D$11)</f>
        <v>-19.923978315132629</v>
      </c>
      <c r="L524" s="43"/>
      <c r="Q524" s="11"/>
    </row>
    <row r="525" spans="2:17" ht="15" customHeight="1" x14ac:dyDescent="0.2">
      <c r="B525" s="8">
        <v>44257</v>
      </c>
      <c r="C525" s="6">
        <f>IF(B525="","",[1]!s_dq_close(股指期货基差分析!$E$5,$B525))</f>
        <v>6433.3281999999999</v>
      </c>
      <c r="D525" s="6">
        <f>IF(B525="","",[1]!s_dq_close(股指期货基差分析!$E$6,$B525))</f>
        <v>6380.6</v>
      </c>
      <c r="E525" s="6">
        <f ca="1">RANK(F525,F:F)+COUNTIF(F$2:F525,F525)-1</f>
        <v>1124</v>
      </c>
      <c r="F525" s="6">
        <f t="shared" si="9"/>
        <v>-52.728199999999561</v>
      </c>
      <c r="G525" s="6">
        <f ca="1">IF(B525="","",股指期货基差分析!$N$11)</f>
        <v>-71.408500000000458</v>
      </c>
      <c r="H525" s="6">
        <f ca="1">IF(B525="","",股指期货基差分析!$L$11)</f>
        <v>15.737900000000081</v>
      </c>
      <c r="I525" s="10">
        <f ca="1">IF(B525="","",股指期货基差分析!$D$11)</f>
        <v>-19.923978315132629</v>
      </c>
      <c r="L525" s="43"/>
      <c r="Q525" s="11"/>
    </row>
    <row r="526" spans="2:17" ht="15" customHeight="1" x14ac:dyDescent="0.2">
      <c r="B526" s="7">
        <v>44258</v>
      </c>
      <c r="C526" s="5">
        <f>IF(B526="","",[1]!s_dq_close(股指期货基差分析!$E$5,$B526))</f>
        <v>6524.7512999999999</v>
      </c>
      <c r="D526" s="5">
        <f>IF(B526="","",[1]!s_dq_close(股指期货基差分析!$E$6,$B526))</f>
        <v>6463</v>
      </c>
      <c r="E526" s="5">
        <f ca="1">RANK(F526,F:F)+COUNTIF(F$2:F526,F526)-1</f>
        <v>1171</v>
      </c>
      <c r="F526" s="5">
        <f t="shared" si="9"/>
        <v>-61.751299999999901</v>
      </c>
      <c r="G526" s="5">
        <f ca="1">IF(B526="","",股指期货基差分析!$N$11)</f>
        <v>-71.408500000000458</v>
      </c>
      <c r="H526" s="5">
        <f ca="1">IF(B526="","",股指期货基差分析!$L$11)</f>
        <v>15.737900000000081</v>
      </c>
      <c r="I526" s="9">
        <f ca="1">IF(B526="","",股指期货基差分析!$D$11)</f>
        <v>-19.923978315132629</v>
      </c>
      <c r="L526" s="43"/>
      <c r="Q526" s="11"/>
    </row>
    <row r="527" spans="2:17" ht="15" customHeight="1" x14ac:dyDescent="0.2">
      <c r="B527" s="8">
        <v>44259</v>
      </c>
      <c r="C527" s="6">
        <f>IF(B527="","",[1]!s_dq_close(股指期货基差分析!$E$5,$B527))</f>
        <v>6401.9916999999996</v>
      </c>
      <c r="D527" s="6">
        <f>IF(B527="","",[1]!s_dq_close(股指期货基差分析!$E$6,$B527))</f>
        <v>6372.8</v>
      </c>
      <c r="E527" s="6">
        <f ca="1">RANK(F527,F:F)+COUNTIF(F$2:F527,F527)-1</f>
        <v>878</v>
      </c>
      <c r="F527" s="6">
        <f t="shared" si="9"/>
        <v>-29.1916999999994</v>
      </c>
      <c r="G527" s="6">
        <f ca="1">IF(B527="","",股指期货基差分析!$N$11)</f>
        <v>-71.408500000000458</v>
      </c>
      <c r="H527" s="6">
        <f ca="1">IF(B527="","",股指期货基差分析!$L$11)</f>
        <v>15.737900000000081</v>
      </c>
      <c r="I527" s="10">
        <f ca="1">IF(B527="","",股指期货基差分析!$D$11)</f>
        <v>-19.923978315132629</v>
      </c>
      <c r="L527" s="43"/>
      <c r="Q527" s="11"/>
    </row>
    <row r="528" spans="2:17" ht="15" customHeight="1" x14ac:dyDescent="0.2">
      <c r="B528" s="7">
        <v>44260</v>
      </c>
      <c r="C528" s="5">
        <f>IF(B528="","",[1]!s_dq_close(股指期货基差分析!$E$5,$B528))</f>
        <v>6403.4964</v>
      </c>
      <c r="D528" s="5">
        <f>IF(B528="","",[1]!s_dq_close(股指期货基差分析!$E$6,$B528))</f>
        <v>6399</v>
      </c>
      <c r="E528" s="5">
        <f ca="1">RANK(F528,F:F)+COUNTIF(F$2:F528,F528)-1</f>
        <v>399</v>
      </c>
      <c r="F528" s="5">
        <f t="shared" si="9"/>
        <v>-4.4963999999999942</v>
      </c>
      <c r="G528" s="5">
        <f ca="1">IF(B528="","",股指期货基差分析!$N$11)</f>
        <v>-71.408500000000458</v>
      </c>
      <c r="H528" s="5">
        <f ca="1">IF(B528="","",股指期货基差分析!$L$11)</f>
        <v>15.737900000000081</v>
      </c>
      <c r="I528" s="9">
        <f ca="1">IF(B528="","",股指期货基差分析!$D$11)</f>
        <v>-19.923978315132629</v>
      </c>
      <c r="L528" s="43"/>
      <c r="Q528" s="11"/>
    </row>
    <row r="529" spans="2:17" ht="15" customHeight="1" x14ac:dyDescent="0.2">
      <c r="B529" s="8">
        <v>44263</v>
      </c>
      <c r="C529" s="6">
        <f>IF(B529="","",[1]!s_dq_close(股指期货基差分析!$E$5,$B529))</f>
        <v>6256.4092000000001</v>
      </c>
      <c r="D529" s="6">
        <f>IF(B529="","",[1]!s_dq_close(股指期货基差分析!$E$6,$B529))</f>
        <v>6243.6</v>
      </c>
      <c r="E529" s="6">
        <f ca="1">RANK(F529,F:F)+COUNTIF(F$2:F529,F529)-1</f>
        <v>610</v>
      </c>
      <c r="F529" s="6">
        <f t="shared" si="9"/>
        <v>-12.809199999999691</v>
      </c>
      <c r="G529" s="6">
        <f ca="1">IF(B529="","",股指期货基差分析!$N$11)</f>
        <v>-71.408500000000458</v>
      </c>
      <c r="H529" s="6">
        <f ca="1">IF(B529="","",股指期货基差分析!$L$11)</f>
        <v>15.737900000000081</v>
      </c>
      <c r="I529" s="10">
        <f ca="1">IF(B529="","",股指期货基差分析!$D$11)</f>
        <v>-19.923978315132629</v>
      </c>
      <c r="L529" s="43"/>
      <c r="Q529" s="11"/>
    </row>
    <row r="530" spans="2:17" ht="15" customHeight="1" x14ac:dyDescent="0.2">
      <c r="B530" s="7">
        <v>44264</v>
      </c>
      <c r="C530" s="5">
        <f>IF(B530="","",[1]!s_dq_close(股指期货基差分析!$E$5,$B530))</f>
        <v>6108.0027</v>
      </c>
      <c r="D530" s="5">
        <f>IF(B530="","",[1]!s_dq_close(股指期货基差分析!$E$6,$B530))</f>
        <v>6126.4</v>
      </c>
      <c r="E530" s="5">
        <f ca="1">RANK(F530,F:F)+COUNTIF(F$2:F530,F530)-1</f>
        <v>51</v>
      </c>
      <c r="F530" s="5">
        <f t="shared" si="9"/>
        <v>18.397299999999632</v>
      </c>
      <c r="G530" s="5">
        <f ca="1">IF(B530="","",股指期货基差分析!$N$11)</f>
        <v>-71.408500000000458</v>
      </c>
      <c r="H530" s="5">
        <f ca="1">IF(B530="","",股指期货基差分析!$L$11)</f>
        <v>15.737900000000081</v>
      </c>
      <c r="I530" s="9">
        <f ca="1">IF(B530="","",股指期货基差分析!$D$11)</f>
        <v>-19.923978315132629</v>
      </c>
      <c r="L530" s="43"/>
      <c r="Q530" s="11"/>
    </row>
    <row r="531" spans="2:17" ht="15" customHeight="1" x14ac:dyDescent="0.2">
      <c r="B531" s="8">
        <v>44265</v>
      </c>
      <c r="C531" s="6">
        <f>IF(B531="","",[1]!s_dq_close(股指期货基差分析!$E$5,$B531))</f>
        <v>6062.2551999999996</v>
      </c>
      <c r="D531" s="6">
        <f>IF(B531="","",[1]!s_dq_close(股指期货基差分析!$E$6,$B531))</f>
        <v>6042.8</v>
      </c>
      <c r="E531" s="6">
        <f ca="1">RANK(F531,F:F)+COUNTIF(F$2:F531,F531)-1</f>
        <v>740</v>
      </c>
      <c r="F531" s="6">
        <f t="shared" si="9"/>
        <v>-19.455199999999422</v>
      </c>
      <c r="G531" s="6">
        <f ca="1">IF(B531="","",股指期货基差分析!$N$11)</f>
        <v>-71.408500000000458</v>
      </c>
      <c r="H531" s="6">
        <f ca="1">IF(B531="","",股指期货基差分析!$L$11)</f>
        <v>15.737900000000081</v>
      </c>
      <c r="I531" s="10">
        <f ca="1">IF(B531="","",股指期货基差分析!$D$11)</f>
        <v>-19.923978315132629</v>
      </c>
      <c r="L531" s="43"/>
      <c r="Q531" s="11"/>
    </row>
    <row r="532" spans="2:17" ht="15" customHeight="1" x14ac:dyDescent="0.2">
      <c r="B532" s="7">
        <v>44266</v>
      </c>
      <c r="C532" s="5">
        <f>IF(B532="","",[1]!s_dq_close(股指期货基差分析!$E$5,$B532))</f>
        <v>6213.8319000000001</v>
      </c>
      <c r="D532" s="5">
        <f>IF(B532="","",[1]!s_dq_close(股指期货基差分析!$E$6,$B532))</f>
        <v>6212.4</v>
      </c>
      <c r="E532" s="5">
        <f ca="1">RANK(F532,F:F)+COUNTIF(F$2:F532,F532)-1</f>
        <v>329</v>
      </c>
      <c r="F532" s="5">
        <f t="shared" si="9"/>
        <v>-1.4319000000004962</v>
      </c>
      <c r="G532" s="5">
        <f ca="1">IF(B532="","",股指期货基差分析!$N$11)</f>
        <v>-71.408500000000458</v>
      </c>
      <c r="H532" s="5">
        <f ca="1">IF(B532="","",股指期货基差分析!$L$11)</f>
        <v>15.737900000000081</v>
      </c>
      <c r="I532" s="9">
        <f ca="1">IF(B532="","",股指期货基差分析!$D$11)</f>
        <v>-19.923978315132629</v>
      </c>
      <c r="L532" s="43"/>
      <c r="Q532" s="11"/>
    </row>
    <row r="533" spans="2:17" ht="15" customHeight="1" x14ac:dyDescent="0.2">
      <c r="B533" s="8">
        <v>44267</v>
      </c>
      <c r="C533" s="6">
        <f>IF(B533="","",[1]!s_dq_close(股指期货基差分析!$E$5,$B533))</f>
        <v>6222.3801999999996</v>
      </c>
      <c r="D533" s="6">
        <f>IF(B533="","",[1]!s_dq_close(股指期货基差分析!$E$6,$B533))</f>
        <v>6215.2</v>
      </c>
      <c r="E533" s="6">
        <f ca="1">RANK(F533,F:F)+COUNTIF(F$2:F533,F533)-1</f>
        <v>475</v>
      </c>
      <c r="F533" s="6">
        <f t="shared" si="9"/>
        <v>-7.1801999999997861</v>
      </c>
      <c r="G533" s="6">
        <f ca="1">IF(B533="","",股指期货基差分析!$N$11)</f>
        <v>-71.408500000000458</v>
      </c>
      <c r="H533" s="6">
        <f ca="1">IF(B533="","",股指期货基差分析!$L$11)</f>
        <v>15.737900000000081</v>
      </c>
      <c r="I533" s="10">
        <f ca="1">IF(B533="","",股指期货基差分析!$D$11)</f>
        <v>-19.923978315132629</v>
      </c>
      <c r="L533" s="43"/>
      <c r="Q533" s="11"/>
    </row>
    <row r="534" spans="2:17" ht="15" customHeight="1" x14ac:dyDescent="0.2">
      <c r="B534" s="7">
        <v>44270</v>
      </c>
      <c r="C534" s="5">
        <f>IF(B534="","",[1]!s_dq_close(股指期货基差分析!$E$5,$B534))</f>
        <v>6173.8720999999996</v>
      </c>
      <c r="D534" s="5">
        <f>IF(B534="","",[1]!s_dq_close(股指期货基差分析!$E$6,$B534))</f>
        <v>6183</v>
      </c>
      <c r="E534" s="5">
        <f ca="1">RANK(F534,F:F)+COUNTIF(F$2:F534,F534)-1</f>
        <v>118</v>
      </c>
      <c r="F534" s="5">
        <f t="shared" si="9"/>
        <v>9.1279000000004089</v>
      </c>
      <c r="G534" s="5">
        <f ca="1">IF(B534="","",股指期货基差分析!$N$11)</f>
        <v>-71.408500000000458</v>
      </c>
      <c r="H534" s="5">
        <f ca="1">IF(B534="","",股指期货基差分析!$L$11)</f>
        <v>15.737900000000081</v>
      </c>
      <c r="I534" s="9">
        <f ca="1">IF(B534="","",股指期货基差分析!$D$11)</f>
        <v>-19.923978315132629</v>
      </c>
      <c r="L534" s="43"/>
      <c r="Q534" s="11"/>
    </row>
    <row r="535" spans="2:17" ht="15" customHeight="1" x14ac:dyDescent="0.2">
      <c r="B535" s="8">
        <v>44271</v>
      </c>
      <c r="C535" s="6">
        <f>IF(B535="","",[1]!s_dq_close(股指期货基差分析!$E$5,$B535))</f>
        <v>6195.2438000000002</v>
      </c>
      <c r="D535" s="6">
        <f>IF(B535="","",[1]!s_dq_close(股指期货基差分析!$E$6,$B535))</f>
        <v>6179.2</v>
      </c>
      <c r="E535" s="6">
        <f ca="1">RANK(F535,F:F)+COUNTIF(F$2:F535,F535)-1</f>
        <v>679</v>
      </c>
      <c r="F535" s="6">
        <f t="shared" si="9"/>
        <v>-16.043800000000374</v>
      </c>
      <c r="G535" s="6">
        <f ca="1">IF(B535="","",股指期货基差分析!$N$11)</f>
        <v>-71.408500000000458</v>
      </c>
      <c r="H535" s="6">
        <f ca="1">IF(B535="","",股指期货基差分析!$L$11)</f>
        <v>15.737900000000081</v>
      </c>
      <c r="I535" s="10">
        <f ca="1">IF(B535="","",股指期货基差分析!$D$11)</f>
        <v>-19.923978315132629</v>
      </c>
      <c r="L535" s="43"/>
      <c r="Q535" s="11"/>
    </row>
    <row r="536" spans="2:17" ht="15" customHeight="1" x14ac:dyDescent="0.2">
      <c r="B536" s="7">
        <v>44272</v>
      </c>
      <c r="C536" s="5">
        <f>IF(B536="","",[1]!s_dq_close(股指期货基差分析!$E$5,$B536))</f>
        <v>6225.3588</v>
      </c>
      <c r="D536" s="5">
        <f>IF(B536="","",[1]!s_dq_close(股指期货基差分析!$E$6,$B536))</f>
        <v>6213.2</v>
      </c>
      <c r="E536" s="5">
        <f ca="1">RANK(F536,F:F)+COUNTIF(F$2:F536,F536)-1</f>
        <v>599</v>
      </c>
      <c r="F536" s="5">
        <f t="shared" si="9"/>
        <v>-12.158800000000156</v>
      </c>
      <c r="G536" s="5">
        <f ca="1">IF(B536="","",股指期货基差分析!$N$11)</f>
        <v>-71.408500000000458</v>
      </c>
      <c r="H536" s="5">
        <f ca="1">IF(B536="","",股指期货基差分析!$L$11)</f>
        <v>15.737900000000081</v>
      </c>
      <c r="I536" s="9">
        <f ca="1">IF(B536="","",股指期货基差分析!$D$11)</f>
        <v>-19.923978315132629</v>
      </c>
      <c r="L536" s="43"/>
      <c r="Q536" s="11"/>
    </row>
    <row r="537" spans="2:17" ht="15" customHeight="1" x14ac:dyDescent="0.2">
      <c r="B537" s="8">
        <v>44273</v>
      </c>
      <c r="C537" s="6">
        <f>IF(B537="","",[1]!s_dq_close(股指期货基差分析!$E$5,$B537))</f>
        <v>6273.8555999999999</v>
      </c>
      <c r="D537" s="6">
        <f>IF(B537="","",[1]!s_dq_close(股指期货基差分析!$E$6,$B537))</f>
        <v>6263</v>
      </c>
      <c r="E537" s="6">
        <f ca="1">RANK(F537,F:F)+COUNTIF(F$2:F537,F537)-1</f>
        <v>572</v>
      </c>
      <c r="F537" s="6">
        <f t="shared" si="9"/>
        <v>-10.855599999999868</v>
      </c>
      <c r="G537" s="6">
        <f ca="1">IF(B537="","",股指期货基差分析!$N$11)</f>
        <v>-71.408500000000458</v>
      </c>
      <c r="H537" s="6">
        <f ca="1">IF(B537="","",股指期货基差分析!$L$11)</f>
        <v>15.737900000000081</v>
      </c>
      <c r="I537" s="10">
        <f ca="1">IF(B537="","",股指期货基差分析!$D$11)</f>
        <v>-19.923978315132629</v>
      </c>
      <c r="L537" s="43"/>
      <c r="Q537" s="11"/>
    </row>
    <row r="538" spans="2:17" ht="15" customHeight="1" x14ac:dyDescent="0.2">
      <c r="B538" s="7">
        <v>44274</v>
      </c>
      <c r="C538" s="5">
        <f>IF(B538="","",[1]!s_dq_close(股指期货基差分析!$E$5,$B538))</f>
        <v>6206.6022999999996</v>
      </c>
      <c r="D538" s="5">
        <f>IF(B538="","",[1]!s_dq_close(股指期货基差分析!$E$6,$B538))</f>
        <v>6196.8</v>
      </c>
      <c r="E538" s="5">
        <f ca="1">RANK(F538,F:F)+COUNTIF(F$2:F538,F538)-1</f>
        <v>548</v>
      </c>
      <c r="F538" s="5">
        <f t="shared" si="9"/>
        <v>-9.8022999999993772</v>
      </c>
      <c r="G538" s="5">
        <f ca="1">IF(B538="","",股指期货基差分析!$N$11)</f>
        <v>-71.408500000000458</v>
      </c>
      <c r="H538" s="5">
        <f ca="1">IF(B538="","",股指期货基差分析!$L$11)</f>
        <v>15.737900000000081</v>
      </c>
      <c r="I538" s="9">
        <f ca="1">IF(B538="","",股指期货基差分析!$D$11)</f>
        <v>-19.923978315132629</v>
      </c>
      <c r="L538" s="43"/>
      <c r="Q538" s="11"/>
    </row>
    <row r="539" spans="2:17" ht="15" customHeight="1" x14ac:dyDescent="0.2">
      <c r="B539" s="8">
        <v>44277</v>
      </c>
      <c r="C539" s="6">
        <f>IF(B539="","",[1]!s_dq_close(股指期货基差分析!$E$5,$B539))</f>
        <v>6305.6918999999998</v>
      </c>
      <c r="D539" s="6">
        <f>IF(B539="","",[1]!s_dq_close(股指期货基差分析!$E$6,$B539))</f>
        <v>6246</v>
      </c>
      <c r="E539" s="6">
        <f ca="1">RANK(F539,F:F)+COUNTIF(F$2:F539,F539)-1</f>
        <v>1160</v>
      </c>
      <c r="F539" s="6">
        <f t="shared" si="9"/>
        <v>-59.691899999999805</v>
      </c>
      <c r="G539" s="6">
        <f ca="1">IF(B539="","",股指期货基差分析!$N$11)</f>
        <v>-71.408500000000458</v>
      </c>
      <c r="H539" s="6">
        <f ca="1">IF(B539="","",股指期货基差分析!$L$11)</f>
        <v>15.737900000000081</v>
      </c>
      <c r="I539" s="10">
        <f ca="1">IF(B539="","",股指期货基差分析!$D$11)</f>
        <v>-19.923978315132629</v>
      </c>
      <c r="L539" s="43"/>
      <c r="Q539" s="11"/>
    </row>
    <row r="540" spans="2:17" ht="15" customHeight="1" x14ac:dyDescent="0.2">
      <c r="B540" s="7">
        <v>44278</v>
      </c>
      <c r="C540" s="5">
        <f>IF(B540="","",[1]!s_dq_close(股指期货基差分析!$E$5,$B540))</f>
        <v>6219.1665999999996</v>
      </c>
      <c r="D540" s="5">
        <f>IF(B540="","",[1]!s_dq_close(股指期货基差分析!$E$6,$B540))</f>
        <v>6188</v>
      </c>
      <c r="E540" s="5">
        <f ca="1">RANK(F540,F:F)+COUNTIF(F$2:F540,F540)-1</f>
        <v>904</v>
      </c>
      <c r="F540" s="5">
        <f t="shared" si="9"/>
        <v>-31.166599999999562</v>
      </c>
      <c r="G540" s="5">
        <f ca="1">IF(B540="","",股指期货基差分析!$N$11)</f>
        <v>-71.408500000000458</v>
      </c>
      <c r="H540" s="5">
        <f ca="1">IF(B540="","",股指期货基差分析!$L$11)</f>
        <v>15.737900000000081</v>
      </c>
      <c r="I540" s="9">
        <f ca="1">IF(B540="","",股指期货基差分析!$D$11)</f>
        <v>-19.923978315132629</v>
      </c>
      <c r="L540" s="43"/>
      <c r="Q540" s="11"/>
    </row>
    <row r="541" spans="2:17" ht="15" customHeight="1" x14ac:dyDescent="0.2">
      <c r="B541" s="8">
        <v>44279</v>
      </c>
      <c r="C541" s="6">
        <f>IF(B541="","",[1]!s_dq_close(股指期货基差分析!$E$5,$B541))</f>
        <v>6142.5438999999997</v>
      </c>
      <c r="D541" s="6">
        <f>IF(B541="","",[1]!s_dq_close(股指期货基差分析!$E$6,$B541))</f>
        <v>6133.4</v>
      </c>
      <c r="E541" s="6">
        <f ca="1">RANK(F541,F:F)+COUNTIF(F$2:F541,F541)-1</f>
        <v>534</v>
      </c>
      <c r="F541" s="6">
        <f t="shared" si="9"/>
        <v>-9.1439000000000306</v>
      </c>
      <c r="G541" s="6">
        <f ca="1">IF(B541="","",股指期货基差分析!$N$11)</f>
        <v>-71.408500000000458</v>
      </c>
      <c r="H541" s="6">
        <f ca="1">IF(B541="","",股指期货基差分析!$L$11)</f>
        <v>15.737900000000081</v>
      </c>
      <c r="I541" s="10">
        <f ca="1">IF(B541="","",股指期货基差分析!$D$11)</f>
        <v>-19.923978315132629</v>
      </c>
      <c r="L541" s="43"/>
      <c r="Q541" s="11"/>
    </row>
    <row r="542" spans="2:17" ht="15" customHeight="1" x14ac:dyDescent="0.2">
      <c r="B542" s="7">
        <v>44280</v>
      </c>
      <c r="C542" s="5">
        <f>IF(B542="","",[1]!s_dq_close(股指期货基差分析!$E$5,$B542))</f>
        <v>6157.4071999999996</v>
      </c>
      <c r="D542" s="5">
        <f>IF(B542="","",[1]!s_dq_close(股指期货基差分析!$E$6,$B542))</f>
        <v>6155.6</v>
      </c>
      <c r="E542" s="5">
        <f ca="1">RANK(F542,F:F)+COUNTIF(F$2:F542,F542)-1</f>
        <v>340</v>
      </c>
      <c r="F542" s="5">
        <f t="shared" si="9"/>
        <v>-1.807199999999284</v>
      </c>
      <c r="G542" s="5">
        <f ca="1">IF(B542="","",股指期货基差分析!$N$11)</f>
        <v>-71.408500000000458</v>
      </c>
      <c r="H542" s="5">
        <f ca="1">IF(B542="","",股指期货基差分析!$L$11)</f>
        <v>15.737900000000081</v>
      </c>
      <c r="I542" s="9">
        <f ca="1">IF(B542="","",股指期货基差分析!$D$11)</f>
        <v>-19.923978315132629</v>
      </c>
      <c r="L542" s="43"/>
      <c r="Q542" s="11"/>
    </row>
    <row r="543" spans="2:17" ht="15" customHeight="1" x14ac:dyDescent="0.2">
      <c r="B543" s="8">
        <v>44281</v>
      </c>
      <c r="C543" s="6">
        <f>IF(B543="","",[1]!s_dq_close(股指期货基差分析!$E$5,$B543))</f>
        <v>6251.7941000000001</v>
      </c>
      <c r="D543" s="6">
        <f>IF(B543="","",[1]!s_dq_close(股指期货基差分析!$E$6,$B543))</f>
        <v>6232.4</v>
      </c>
      <c r="E543" s="6">
        <f ca="1">RANK(F543,F:F)+COUNTIF(F$2:F543,F543)-1</f>
        <v>738</v>
      </c>
      <c r="F543" s="6">
        <f t="shared" si="9"/>
        <v>-19.394100000000435</v>
      </c>
      <c r="G543" s="6">
        <f ca="1">IF(B543="","",股指期货基差分析!$N$11)</f>
        <v>-71.408500000000458</v>
      </c>
      <c r="H543" s="6">
        <f ca="1">IF(B543="","",股指期货基差分析!$L$11)</f>
        <v>15.737900000000081</v>
      </c>
      <c r="I543" s="10">
        <f ca="1">IF(B543="","",股指期货基差分析!$D$11)</f>
        <v>-19.923978315132629</v>
      </c>
      <c r="L543" s="43"/>
      <c r="Q543" s="11"/>
    </row>
    <row r="544" spans="2:17" ht="15" customHeight="1" x14ac:dyDescent="0.2">
      <c r="B544" s="7">
        <v>44284</v>
      </c>
      <c r="C544" s="5">
        <f>IF(B544="","",[1]!s_dq_close(股指期货基差分析!$E$5,$B544))</f>
        <v>6254.9426000000003</v>
      </c>
      <c r="D544" s="5">
        <f>IF(B544="","",[1]!s_dq_close(股指期货基差分析!$E$6,$B544))</f>
        <v>6230.6</v>
      </c>
      <c r="E544" s="5">
        <f ca="1">RANK(F544,F:F)+COUNTIF(F$2:F544,F544)-1</f>
        <v>807</v>
      </c>
      <c r="F544" s="5">
        <f t="shared" si="9"/>
        <v>-24.342599999999948</v>
      </c>
      <c r="G544" s="5">
        <f ca="1">IF(B544="","",股指期货基差分析!$N$11)</f>
        <v>-71.408500000000458</v>
      </c>
      <c r="H544" s="5">
        <f ca="1">IF(B544="","",股指期货基差分析!$L$11)</f>
        <v>15.737900000000081</v>
      </c>
      <c r="I544" s="9">
        <f ca="1">IF(B544="","",股指期货基差分析!$D$11)</f>
        <v>-19.923978315132629</v>
      </c>
      <c r="L544" s="43"/>
      <c r="Q544" s="11"/>
    </row>
    <row r="545" spans="2:17" ht="15" customHeight="1" x14ac:dyDescent="0.2">
      <c r="B545" s="8">
        <v>44285</v>
      </c>
      <c r="C545" s="6">
        <f>IF(B545="","",[1]!s_dq_close(股指期货基差分析!$E$5,$B545))</f>
        <v>6280.3590000000004</v>
      </c>
      <c r="D545" s="6">
        <f>IF(B545="","",[1]!s_dq_close(股指期货基差分析!$E$6,$B545))</f>
        <v>6245</v>
      </c>
      <c r="E545" s="6">
        <f ca="1">RANK(F545,F:F)+COUNTIF(F$2:F545,F545)-1</f>
        <v>962</v>
      </c>
      <c r="F545" s="6">
        <f t="shared" si="9"/>
        <v>-35.359000000000378</v>
      </c>
      <c r="G545" s="6">
        <f ca="1">IF(B545="","",股指期货基差分析!$N$11)</f>
        <v>-71.408500000000458</v>
      </c>
      <c r="H545" s="6">
        <f ca="1">IF(B545="","",股指期货基差分析!$L$11)</f>
        <v>15.737900000000081</v>
      </c>
      <c r="I545" s="10">
        <f ca="1">IF(B545="","",股指期货基差分析!$D$11)</f>
        <v>-19.923978315132629</v>
      </c>
      <c r="L545" s="43"/>
      <c r="Q545" s="11"/>
    </row>
    <row r="546" spans="2:17" ht="15" customHeight="1" x14ac:dyDescent="0.2">
      <c r="B546" s="7">
        <v>44286</v>
      </c>
      <c r="C546" s="5">
        <f>IF(B546="","",[1]!s_dq_close(股指期货基差分析!$E$5,$B546))</f>
        <v>6254.0694999999996</v>
      </c>
      <c r="D546" s="5">
        <f>IF(B546="","",[1]!s_dq_close(股指期货基差分析!$E$6,$B546))</f>
        <v>6237.8</v>
      </c>
      <c r="E546" s="5">
        <f ca="1">RANK(F546,F:F)+COUNTIF(F$2:F546,F546)-1</f>
        <v>683</v>
      </c>
      <c r="F546" s="5">
        <f t="shared" si="9"/>
        <v>-16.269499999999425</v>
      </c>
      <c r="G546" s="5">
        <f ca="1">IF(B546="","",股指期货基差分析!$N$11)</f>
        <v>-71.408500000000458</v>
      </c>
      <c r="H546" s="5">
        <f ca="1">IF(B546="","",股指期货基差分析!$L$11)</f>
        <v>15.737900000000081</v>
      </c>
      <c r="I546" s="9">
        <f ca="1">IF(B546="","",股指期货基差分析!$D$11)</f>
        <v>-19.923978315132629</v>
      </c>
      <c r="L546" s="43"/>
      <c r="Q546" s="11"/>
    </row>
    <row r="547" spans="2:17" ht="15" customHeight="1" x14ac:dyDescent="0.2">
      <c r="B547" s="8">
        <v>44287</v>
      </c>
      <c r="C547" s="6">
        <f>IF(B547="","",[1]!s_dq_close(股指期货基差分析!$E$5,$B547))</f>
        <v>6311.6643999999997</v>
      </c>
      <c r="D547" s="6">
        <f>IF(B547="","",[1]!s_dq_close(股指期货基差分析!$E$6,$B547))</f>
        <v>6291</v>
      </c>
      <c r="E547" s="6">
        <f ca="1">RANK(F547,F:F)+COUNTIF(F$2:F547,F547)-1</f>
        <v>762</v>
      </c>
      <c r="F547" s="6">
        <f t="shared" si="9"/>
        <v>-20.664399999999659</v>
      </c>
      <c r="G547" s="6">
        <f ca="1">IF(B547="","",股指期货基差分析!$N$11)</f>
        <v>-71.408500000000458</v>
      </c>
      <c r="H547" s="6">
        <f ca="1">IF(B547="","",股指期货基差分析!$L$11)</f>
        <v>15.737900000000081</v>
      </c>
      <c r="I547" s="10">
        <f ca="1">IF(B547="","",股指期货基差分析!$D$11)</f>
        <v>-19.923978315132629</v>
      </c>
      <c r="L547" s="43"/>
      <c r="Q547" s="11"/>
    </row>
    <row r="548" spans="2:17" ht="15" customHeight="1" x14ac:dyDescent="0.2">
      <c r="B548" s="7">
        <v>44288</v>
      </c>
      <c r="C548" s="5">
        <f>IF(B548="","",[1]!s_dq_close(股指期货基差分析!$E$5,$B548))</f>
        <v>6326.6058999999996</v>
      </c>
      <c r="D548" s="5">
        <f>IF(B548="","",[1]!s_dq_close(股指期货基差分析!$E$6,$B548))</f>
        <v>6296.4</v>
      </c>
      <c r="E548" s="5">
        <f ca="1">RANK(F548,F:F)+COUNTIF(F$2:F548,F548)-1</f>
        <v>894</v>
      </c>
      <c r="F548" s="5">
        <f t="shared" si="9"/>
        <v>-30.205899999999929</v>
      </c>
      <c r="G548" s="5">
        <f ca="1">IF(B548="","",股指期货基差分析!$N$11)</f>
        <v>-71.408500000000458</v>
      </c>
      <c r="H548" s="5">
        <f ca="1">IF(B548="","",股指期货基差分析!$L$11)</f>
        <v>15.737900000000081</v>
      </c>
      <c r="I548" s="9">
        <f ca="1">IF(B548="","",股指期货基差分析!$D$11)</f>
        <v>-19.923978315132629</v>
      </c>
      <c r="L548" s="43"/>
      <c r="Q548" s="11"/>
    </row>
    <row r="549" spans="2:17" ht="15" customHeight="1" x14ac:dyDescent="0.2">
      <c r="B549" s="8">
        <v>44292</v>
      </c>
      <c r="C549" s="6">
        <f>IF(B549="","",[1]!s_dq_close(股指期货基差分析!$E$5,$B549))</f>
        <v>6343.0962</v>
      </c>
      <c r="D549" s="6">
        <f>IF(B549="","",[1]!s_dq_close(股指期货基差分析!$E$6,$B549))</f>
        <v>6300.6</v>
      </c>
      <c r="E549" s="6">
        <f ca="1">RANK(F549,F:F)+COUNTIF(F$2:F549,F549)-1</f>
        <v>1023</v>
      </c>
      <c r="F549" s="6">
        <f t="shared" si="9"/>
        <v>-42.49619999999959</v>
      </c>
      <c r="G549" s="6">
        <f ca="1">IF(B549="","",股指期货基差分析!$N$11)</f>
        <v>-71.408500000000458</v>
      </c>
      <c r="H549" s="6">
        <f ca="1">IF(B549="","",股指期货基差分析!$L$11)</f>
        <v>15.737900000000081</v>
      </c>
      <c r="I549" s="10">
        <f ca="1">IF(B549="","",股指期货基差分析!$D$11)</f>
        <v>-19.923978315132629</v>
      </c>
      <c r="L549" s="43"/>
      <c r="Q549" s="11"/>
    </row>
    <row r="550" spans="2:17" ht="15" customHeight="1" x14ac:dyDescent="0.2">
      <c r="B550" s="7">
        <v>44293</v>
      </c>
      <c r="C550" s="5">
        <f>IF(B550="","",[1]!s_dq_close(股指期货基差分析!$E$5,$B550))</f>
        <v>6348.0761000000002</v>
      </c>
      <c r="D550" s="5">
        <f>IF(B550="","",[1]!s_dq_close(股指期货基差分析!$E$6,$B550))</f>
        <v>6314</v>
      </c>
      <c r="E550" s="5">
        <f ca="1">RANK(F550,F:F)+COUNTIF(F$2:F550,F550)-1</f>
        <v>937</v>
      </c>
      <c r="F550" s="5">
        <f t="shared" si="9"/>
        <v>-34.076100000000224</v>
      </c>
      <c r="G550" s="5">
        <f ca="1">IF(B550="","",股指期货基差分析!$N$11)</f>
        <v>-71.408500000000458</v>
      </c>
      <c r="H550" s="5">
        <f ca="1">IF(B550="","",股指期货基差分析!$L$11)</f>
        <v>15.737900000000081</v>
      </c>
      <c r="I550" s="9">
        <f ca="1">IF(B550="","",股指期货基差分析!$D$11)</f>
        <v>-19.923978315132629</v>
      </c>
      <c r="L550" s="43"/>
      <c r="Q550" s="11"/>
    </row>
    <row r="551" spans="2:17" ht="15" customHeight="1" x14ac:dyDescent="0.2">
      <c r="B551" s="8">
        <v>44294</v>
      </c>
      <c r="C551" s="6">
        <f>IF(B551="","",[1]!s_dq_close(股指期货基差分析!$E$5,$B551))</f>
        <v>6356.7525999999998</v>
      </c>
      <c r="D551" s="6">
        <f>IF(B551="","",[1]!s_dq_close(股指期货基差分析!$E$6,$B551))</f>
        <v>6345.8</v>
      </c>
      <c r="E551" s="6">
        <f ca="1">RANK(F551,F:F)+COUNTIF(F$2:F551,F551)-1</f>
        <v>575</v>
      </c>
      <c r="F551" s="6">
        <f t="shared" si="9"/>
        <v>-10.95259999999962</v>
      </c>
      <c r="G551" s="6">
        <f ca="1">IF(B551="","",股指期货基差分析!$N$11)</f>
        <v>-71.408500000000458</v>
      </c>
      <c r="H551" s="6">
        <f ca="1">IF(B551="","",股指期货基差分析!$L$11)</f>
        <v>15.737900000000081</v>
      </c>
      <c r="I551" s="10">
        <f ca="1">IF(B551="","",股指期货基差分析!$D$11)</f>
        <v>-19.923978315132629</v>
      </c>
      <c r="L551" s="43"/>
      <c r="Q551" s="11"/>
    </row>
    <row r="552" spans="2:17" ht="15" customHeight="1" x14ac:dyDescent="0.2">
      <c r="B552" s="7">
        <v>44295</v>
      </c>
      <c r="C552" s="5">
        <f>IF(B552="","",[1]!s_dq_close(股指期货基差分析!$E$5,$B552))</f>
        <v>6335.2393000000002</v>
      </c>
      <c r="D552" s="5">
        <f>IF(B552="","",[1]!s_dq_close(股指期货基差分析!$E$6,$B552))</f>
        <v>6326.8</v>
      </c>
      <c r="E552" s="5">
        <f ca="1">RANK(F552,F:F)+COUNTIF(F$2:F552,F552)-1</f>
        <v>510</v>
      </c>
      <c r="F552" s="5">
        <f t="shared" si="9"/>
        <v>-8.4393000000000029</v>
      </c>
      <c r="G552" s="5">
        <f ca="1">IF(B552="","",股指期货基差分析!$N$11)</f>
        <v>-71.408500000000458</v>
      </c>
      <c r="H552" s="5">
        <f ca="1">IF(B552="","",股指期货基差分析!$L$11)</f>
        <v>15.737900000000081</v>
      </c>
      <c r="I552" s="9">
        <f ca="1">IF(B552="","",股指期货基差分析!$D$11)</f>
        <v>-19.923978315132629</v>
      </c>
      <c r="L552" s="43"/>
      <c r="Q552" s="11"/>
    </row>
    <row r="553" spans="2:17" ht="15" customHeight="1" x14ac:dyDescent="0.2">
      <c r="B553" s="8">
        <v>44298</v>
      </c>
      <c r="C553" s="6">
        <f>IF(B553="","",[1]!s_dq_close(股指期货基差分析!$E$5,$B553))</f>
        <v>6226.4182000000001</v>
      </c>
      <c r="D553" s="6">
        <f>IF(B553="","",[1]!s_dq_close(股指期货基差分析!$E$6,$B553))</f>
        <v>6237.2</v>
      </c>
      <c r="E553" s="6">
        <f ca="1">RANK(F553,F:F)+COUNTIF(F$2:F553,F553)-1</f>
        <v>102</v>
      </c>
      <c r="F553" s="6">
        <f t="shared" si="9"/>
        <v>10.781799999999748</v>
      </c>
      <c r="G553" s="6">
        <f ca="1">IF(B553="","",股指期货基差分析!$N$11)</f>
        <v>-71.408500000000458</v>
      </c>
      <c r="H553" s="6">
        <f ca="1">IF(B553="","",股指期货基差分析!$L$11)</f>
        <v>15.737900000000081</v>
      </c>
      <c r="I553" s="10">
        <f ca="1">IF(B553="","",股指期货基差分析!$D$11)</f>
        <v>-19.923978315132629</v>
      </c>
      <c r="L553" s="43"/>
      <c r="Q553" s="11"/>
    </row>
    <row r="554" spans="2:17" ht="15" customHeight="1" x14ac:dyDescent="0.2">
      <c r="B554" s="7">
        <v>44299</v>
      </c>
      <c r="C554" s="5">
        <f>IF(B554="","",[1]!s_dq_close(股指期货基差分析!$E$5,$B554))</f>
        <v>6209.7800999999999</v>
      </c>
      <c r="D554" s="5">
        <f>IF(B554="","",[1]!s_dq_close(股指期货基差分析!$E$6,$B554))</f>
        <v>6219.8</v>
      </c>
      <c r="E554" s="5">
        <f ca="1">RANK(F554,F:F)+COUNTIF(F$2:F554,F554)-1</f>
        <v>111</v>
      </c>
      <c r="F554" s="5">
        <f t="shared" si="9"/>
        <v>10.019900000000234</v>
      </c>
      <c r="G554" s="5">
        <f ca="1">IF(B554="","",股指期货基差分析!$N$11)</f>
        <v>-71.408500000000458</v>
      </c>
      <c r="H554" s="5">
        <f ca="1">IF(B554="","",股指期货基差分析!$L$11)</f>
        <v>15.737900000000081</v>
      </c>
      <c r="I554" s="9">
        <f ca="1">IF(B554="","",股指期货基差分析!$D$11)</f>
        <v>-19.923978315132629</v>
      </c>
      <c r="L554" s="43"/>
      <c r="Q554" s="11"/>
    </row>
    <row r="555" spans="2:17" ht="15" customHeight="1" x14ac:dyDescent="0.2">
      <c r="B555" s="8">
        <v>44300</v>
      </c>
      <c r="C555" s="6">
        <f>IF(B555="","",[1]!s_dq_close(股指期货基差分析!$E$5,$B555))</f>
        <v>6277.2111000000004</v>
      </c>
      <c r="D555" s="6">
        <f>IF(B555="","",[1]!s_dq_close(股指期货基差分析!$E$6,$B555))</f>
        <v>6271</v>
      </c>
      <c r="E555" s="6">
        <f ca="1">RANK(F555,F:F)+COUNTIF(F$2:F555,F555)-1</f>
        <v>449</v>
      </c>
      <c r="F555" s="6">
        <f t="shared" si="9"/>
        <v>-6.2111000000004424</v>
      </c>
      <c r="G555" s="6">
        <f ca="1">IF(B555="","",股指期货基差分析!$N$11)</f>
        <v>-71.408500000000458</v>
      </c>
      <c r="H555" s="6">
        <f ca="1">IF(B555="","",股指期货基差分析!$L$11)</f>
        <v>15.737900000000081</v>
      </c>
      <c r="I555" s="10">
        <f ca="1">IF(B555="","",股指期货基差分析!$D$11)</f>
        <v>-19.923978315132629</v>
      </c>
      <c r="L555" s="43"/>
      <c r="Q555" s="11"/>
    </row>
    <row r="556" spans="2:17" ht="15" customHeight="1" x14ac:dyDescent="0.2">
      <c r="B556" s="7">
        <v>44301</v>
      </c>
      <c r="C556" s="5">
        <f>IF(B556="","",[1]!s_dq_close(股指期货基差分析!$E$5,$B556))</f>
        <v>6276.4609</v>
      </c>
      <c r="D556" s="5">
        <f>IF(B556="","",[1]!s_dq_close(股指期货基差分析!$E$6,$B556))</f>
        <v>6276.4</v>
      </c>
      <c r="E556" s="5">
        <f ca="1">RANK(F556,F:F)+COUNTIF(F$2:F556,F556)-1</f>
        <v>297</v>
      </c>
      <c r="F556" s="5">
        <f t="shared" si="9"/>
        <v>-6.0900000000401633E-2</v>
      </c>
      <c r="G556" s="5">
        <f ca="1">IF(B556="","",股指期货基差分析!$N$11)</f>
        <v>-71.408500000000458</v>
      </c>
      <c r="H556" s="5">
        <f ca="1">IF(B556="","",股指期货基差分析!$L$11)</f>
        <v>15.737900000000081</v>
      </c>
      <c r="I556" s="9">
        <f ca="1">IF(B556="","",股指期货基差分析!$D$11)</f>
        <v>-19.923978315132629</v>
      </c>
      <c r="L556" s="43"/>
      <c r="Q556" s="11"/>
    </row>
    <row r="557" spans="2:17" ht="15" customHeight="1" x14ac:dyDescent="0.2">
      <c r="B557" s="8">
        <v>44302</v>
      </c>
      <c r="C557" s="6">
        <f>IF(B557="","",[1]!s_dq_close(股指期货基差分析!$E$5,$B557))</f>
        <v>6339.5906000000004</v>
      </c>
      <c r="D557" s="6">
        <f>IF(B557="","",[1]!s_dq_close(股指期货基差分析!$E$6,$B557))</f>
        <v>6332.6</v>
      </c>
      <c r="E557" s="6">
        <f ca="1">RANK(F557,F:F)+COUNTIF(F$2:F557,F557)-1</f>
        <v>469</v>
      </c>
      <c r="F557" s="6">
        <f t="shared" si="9"/>
        <v>-6.9906000000000859</v>
      </c>
      <c r="G557" s="6">
        <f ca="1">IF(B557="","",股指期货基差分析!$N$11)</f>
        <v>-71.408500000000458</v>
      </c>
      <c r="H557" s="6">
        <f ca="1">IF(B557="","",股指期货基差分析!$L$11)</f>
        <v>15.737900000000081</v>
      </c>
      <c r="I557" s="10">
        <f ca="1">IF(B557="","",股指期货基差分析!$D$11)</f>
        <v>-19.923978315132629</v>
      </c>
      <c r="L557" s="43"/>
      <c r="Q557" s="11"/>
    </row>
    <row r="558" spans="2:17" ht="15" customHeight="1" x14ac:dyDescent="0.2">
      <c r="B558" s="7">
        <v>44305</v>
      </c>
      <c r="C558" s="5">
        <f>IF(B558="","",[1]!s_dq_close(股指期货基差分析!$E$5,$B558))</f>
        <v>6425.2605999999996</v>
      </c>
      <c r="D558" s="5">
        <f>IF(B558="","",[1]!s_dq_close(股指期货基差分析!$E$6,$B558))</f>
        <v>6385.4</v>
      </c>
      <c r="E558" s="5">
        <f ca="1">RANK(F558,F:F)+COUNTIF(F$2:F558,F558)-1</f>
        <v>1004</v>
      </c>
      <c r="F558" s="5">
        <f t="shared" si="9"/>
        <v>-39.860599999999977</v>
      </c>
      <c r="G558" s="5">
        <f ca="1">IF(B558="","",股指期货基差分析!$N$11)</f>
        <v>-71.408500000000458</v>
      </c>
      <c r="H558" s="5">
        <f ca="1">IF(B558="","",股指期货基差分析!$L$11)</f>
        <v>15.737900000000081</v>
      </c>
      <c r="I558" s="9">
        <f ca="1">IF(B558="","",股指期货基差分析!$D$11)</f>
        <v>-19.923978315132629</v>
      </c>
      <c r="L558" s="43"/>
      <c r="Q558" s="11"/>
    </row>
    <row r="559" spans="2:17" ht="15" customHeight="1" x14ac:dyDescent="0.2">
      <c r="B559" s="8">
        <v>44306</v>
      </c>
      <c r="C559" s="6">
        <f>IF(B559="","",[1]!s_dq_close(股指期货基差分析!$E$5,$B559))</f>
        <v>6428.5411000000004</v>
      </c>
      <c r="D559" s="6">
        <f>IF(B559="","",[1]!s_dq_close(股指期货基差分析!$E$6,$B559))</f>
        <v>6400</v>
      </c>
      <c r="E559" s="6">
        <f ca="1">RANK(F559,F:F)+COUNTIF(F$2:F559,F559)-1</f>
        <v>869</v>
      </c>
      <c r="F559" s="6">
        <f t="shared" si="9"/>
        <v>-28.54110000000037</v>
      </c>
      <c r="G559" s="6">
        <f ca="1">IF(B559="","",股指期货基差分析!$N$11)</f>
        <v>-71.408500000000458</v>
      </c>
      <c r="H559" s="6">
        <f ca="1">IF(B559="","",股指期货基差分析!$L$11)</f>
        <v>15.737900000000081</v>
      </c>
      <c r="I559" s="10">
        <f ca="1">IF(B559="","",股指期货基差分析!$D$11)</f>
        <v>-19.923978315132629</v>
      </c>
      <c r="L559" s="43"/>
      <c r="Q559" s="11"/>
    </row>
    <row r="560" spans="2:17" ht="15" customHeight="1" x14ac:dyDescent="0.2">
      <c r="B560" s="7">
        <v>44307</v>
      </c>
      <c r="C560" s="5">
        <f>IF(B560="","",[1]!s_dq_close(股指期货基差分析!$E$5,$B560))</f>
        <v>6420.2587000000003</v>
      </c>
      <c r="D560" s="5">
        <f>IF(B560="","",[1]!s_dq_close(股指期货基差分析!$E$6,$B560))</f>
        <v>6385.4</v>
      </c>
      <c r="E560" s="5">
        <f ca="1">RANK(F560,F:F)+COUNTIF(F$2:F560,F560)-1</f>
        <v>956</v>
      </c>
      <c r="F560" s="5">
        <f t="shared" si="9"/>
        <v>-34.858700000000681</v>
      </c>
      <c r="G560" s="5">
        <f ca="1">IF(B560="","",股指期货基差分析!$N$11)</f>
        <v>-71.408500000000458</v>
      </c>
      <c r="H560" s="5">
        <f ca="1">IF(B560="","",股指期货基差分析!$L$11)</f>
        <v>15.737900000000081</v>
      </c>
      <c r="I560" s="9">
        <f ca="1">IF(B560="","",股指期货基差分析!$D$11)</f>
        <v>-19.923978315132629</v>
      </c>
      <c r="L560" s="43"/>
      <c r="Q560" s="11"/>
    </row>
    <row r="561" spans="2:17" ht="15" customHeight="1" x14ac:dyDescent="0.2">
      <c r="B561" s="8">
        <v>44308</v>
      </c>
      <c r="C561" s="6">
        <f>IF(B561="","",[1]!s_dq_close(股指期货基差分析!$E$5,$B561))</f>
        <v>6445.4656999999997</v>
      </c>
      <c r="D561" s="6">
        <f>IF(B561="","",[1]!s_dq_close(股指期货基差分析!$E$6,$B561))</f>
        <v>6397.4</v>
      </c>
      <c r="E561" s="6">
        <f ca="1">RANK(F561,F:F)+COUNTIF(F$2:F561,F561)-1</f>
        <v>1085</v>
      </c>
      <c r="F561" s="6">
        <f t="shared" si="9"/>
        <v>-48.065700000000106</v>
      </c>
      <c r="G561" s="6">
        <f ca="1">IF(B561="","",股指期货基差分析!$N$11)</f>
        <v>-71.408500000000458</v>
      </c>
      <c r="H561" s="6">
        <f ca="1">IF(B561="","",股指期货基差分析!$L$11)</f>
        <v>15.737900000000081</v>
      </c>
      <c r="I561" s="10">
        <f ca="1">IF(B561="","",股指期货基差分析!$D$11)</f>
        <v>-19.923978315132629</v>
      </c>
      <c r="L561" s="43"/>
      <c r="Q561" s="11"/>
    </row>
    <row r="562" spans="2:17" ht="15" customHeight="1" x14ac:dyDescent="0.2">
      <c r="B562" s="7">
        <v>44309</v>
      </c>
      <c r="C562" s="5">
        <f>IF(B562="","",[1]!s_dq_close(股指期货基差分析!$E$5,$B562))</f>
        <v>6462.7557999999999</v>
      </c>
      <c r="D562" s="5">
        <f>IF(B562="","",[1]!s_dq_close(股指期货基差分析!$E$6,$B562))</f>
        <v>6443</v>
      </c>
      <c r="E562" s="5">
        <f ca="1">RANK(F562,F:F)+COUNTIF(F$2:F562,F562)-1</f>
        <v>747</v>
      </c>
      <c r="F562" s="5">
        <f t="shared" si="9"/>
        <v>-19.755799999999908</v>
      </c>
      <c r="G562" s="5">
        <f ca="1">IF(B562="","",股指期货基差分析!$N$11)</f>
        <v>-71.408500000000458</v>
      </c>
      <c r="H562" s="5">
        <f ca="1">IF(B562="","",股指期货基差分析!$L$11)</f>
        <v>15.737900000000081</v>
      </c>
      <c r="I562" s="9">
        <f ca="1">IF(B562="","",股指期货基差分析!$D$11)</f>
        <v>-19.923978315132629</v>
      </c>
      <c r="L562" s="43"/>
      <c r="Q562" s="11"/>
    </row>
    <row r="563" spans="2:17" ht="15" customHeight="1" x14ac:dyDescent="0.2">
      <c r="B563" s="8">
        <v>44312</v>
      </c>
      <c r="C563" s="6">
        <f>IF(B563="","",[1]!s_dq_close(股指期货基差分析!$E$5,$B563))</f>
        <v>6442.6450999999997</v>
      </c>
      <c r="D563" s="6">
        <f>IF(B563="","",[1]!s_dq_close(股指期货基差分析!$E$6,$B563))</f>
        <v>6417.6</v>
      </c>
      <c r="E563" s="6">
        <f ca="1">RANK(F563,F:F)+COUNTIF(F$2:F563,F563)-1</f>
        <v>817</v>
      </c>
      <c r="F563" s="6">
        <f t="shared" si="9"/>
        <v>-25.045099999999366</v>
      </c>
      <c r="G563" s="6">
        <f ca="1">IF(B563="","",股指期货基差分析!$N$11)</f>
        <v>-71.408500000000458</v>
      </c>
      <c r="H563" s="6">
        <f ca="1">IF(B563="","",股指期货基差分析!$L$11)</f>
        <v>15.737900000000081</v>
      </c>
      <c r="I563" s="10">
        <f ca="1">IF(B563="","",股指期货基差分析!$D$11)</f>
        <v>-19.923978315132629</v>
      </c>
      <c r="L563" s="43"/>
      <c r="Q563" s="11"/>
    </row>
    <row r="564" spans="2:17" ht="15" customHeight="1" x14ac:dyDescent="0.2">
      <c r="B564" s="7">
        <v>44313</v>
      </c>
      <c r="C564" s="5">
        <f>IF(B564="","",[1]!s_dq_close(股指期货基差分析!$E$5,$B564))</f>
        <v>6446.2821999999996</v>
      </c>
      <c r="D564" s="5">
        <f>IF(B564="","",[1]!s_dq_close(股指期货基差分析!$E$6,$B564))</f>
        <v>6413.2</v>
      </c>
      <c r="E564" s="5">
        <f ca="1">RANK(F564,F:F)+COUNTIF(F$2:F564,F564)-1</f>
        <v>931</v>
      </c>
      <c r="F564" s="5">
        <f t="shared" si="9"/>
        <v>-33.08219999999983</v>
      </c>
      <c r="G564" s="5">
        <f ca="1">IF(B564="","",股指期货基差分析!$N$11)</f>
        <v>-71.408500000000458</v>
      </c>
      <c r="H564" s="5">
        <f ca="1">IF(B564="","",股指期货基差分析!$L$11)</f>
        <v>15.737900000000081</v>
      </c>
      <c r="I564" s="9">
        <f ca="1">IF(B564="","",股指期货基差分析!$D$11)</f>
        <v>-19.923978315132629</v>
      </c>
      <c r="L564" s="43"/>
      <c r="Q564" s="11"/>
    </row>
    <row r="565" spans="2:17" ht="15" customHeight="1" x14ac:dyDescent="0.2">
      <c r="B565" s="8">
        <v>44314</v>
      </c>
      <c r="C565" s="6">
        <f>IF(B565="","",[1]!s_dq_close(股指期货基差分析!$E$5,$B565))</f>
        <v>6489.7440999999999</v>
      </c>
      <c r="D565" s="6">
        <f>IF(B565="","",[1]!s_dq_close(股指期货基差分析!$E$6,$B565))</f>
        <v>6462.4</v>
      </c>
      <c r="E565" s="6">
        <f ca="1">RANK(F565,F:F)+COUNTIF(F$2:F565,F565)-1</f>
        <v>853</v>
      </c>
      <c r="F565" s="6">
        <f t="shared" si="9"/>
        <v>-27.344100000000253</v>
      </c>
      <c r="G565" s="6">
        <f ca="1">IF(B565="","",股指期货基差分析!$N$11)</f>
        <v>-71.408500000000458</v>
      </c>
      <c r="H565" s="6">
        <f ca="1">IF(B565="","",股指期货基差分析!$L$11)</f>
        <v>15.737900000000081</v>
      </c>
      <c r="I565" s="10">
        <f ca="1">IF(B565="","",股指期货基差分析!$D$11)</f>
        <v>-19.923978315132629</v>
      </c>
      <c r="L565" s="43"/>
      <c r="Q565" s="11"/>
    </row>
    <row r="566" spans="2:17" ht="15" customHeight="1" x14ac:dyDescent="0.2">
      <c r="B566" s="7">
        <v>44315</v>
      </c>
      <c r="C566" s="5">
        <f>IF(B566="","",[1]!s_dq_close(股指期货基差分析!$E$5,$B566))</f>
        <v>6491.9281000000001</v>
      </c>
      <c r="D566" s="5">
        <f>IF(B566="","",[1]!s_dq_close(股指期货基差分析!$E$6,$B566))</f>
        <v>6464</v>
      </c>
      <c r="E566" s="5">
        <f ca="1">RANK(F566,F:F)+COUNTIF(F$2:F566,F566)-1</f>
        <v>858</v>
      </c>
      <c r="F566" s="5">
        <f t="shared" si="9"/>
        <v>-27.928100000000086</v>
      </c>
      <c r="G566" s="5">
        <f ca="1">IF(B566="","",股指期货基差分析!$N$11)</f>
        <v>-71.408500000000458</v>
      </c>
      <c r="H566" s="5">
        <f ca="1">IF(B566="","",股指期货基差分析!$L$11)</f>
        <v>15.737900000000081</v>
      </c>
      <c r="I566" s="9">
        <f ca="1">IF(B566="","",股指期货基差分析!$D$11)</f>
        <v>-19.923978315132629</v>
      </c>
      <c r="L566" s="43"/>
      <c r="Q566" s="11"/>
    </row>
    <row r="567" spans="2:17" ht="15" customHeight="1" x14ac:dyDescent="0.2">
      <c r="B567" s="8">
        <v>44316</v>
      </c>
      <c r="C567" s="6">
        <f>IF(B567="","",[1]!s_dq_close(股指期货基差分析!$E$5,$B567))</f>
        <v>6485.7075000000004</v>
      </c>
      <c r="D567" s="6">
        <f>IF(B567="","",[1]!s_dq_close(股指期货基差分析!$E$6,$B567))</f>
        <v>6477.6</v>
      </c>
      <c r="E567" s="6">
        <f ca="1">RANK(F567,F:F)+COUNTIF(F$2:F567,F567)-1</f>
        <v>505</v>
      </c>
      <c r="F567" s="6">
        <f t="shared" si="9"/>
        <v>-8.1075000000000728</v>
      </c>
      <c r="G567" s="6">
        <f ca="1">IF(B567="","",股指期货基差分析!$N$11)</f>
        <v>-71.408500000000458</v>
      </c>
      <c r="H567" s="6">
        <f ca="1">IF(B567="","",股指期货基差分析!$L$11)</f>
        <v>15.737900000000081</v>
      </c>
      <c r="I567" s="10">
        <f ca="1">IF(B567="","",股指期货基差分析!$D$11)</f>
        <v>-19.923978315132629</v>
      </c>
      <c r="L567" s="43"/>
      <c r="Q567" s="11"/>
    </row>
    <row r="568" spans="2:17" ht="15" customHeight="1" x14ac:dyDescent="0.2">
      <c r="B568" s="7">
        <v>44322</v>
      </c>
      <c r="C568" s="5">
        <f>IF(B568="","",[1]!s_dq_close(股指期货基差分析!$E$5,$B568))</f>
        <v>6489.3485000000001</v>
      </c>
      <c r="D568" s="5">
        <f>IF(B568="","",[1]!s_dq_close(股指期货基差分析!$E$6,$B568))</f>
        <v>6446.2</v>
      </c>
      <c r="E568" s="5">
        <f ca="1">RANK(F568,F:F)+COUNTIF(F$2:F568,F568)-1</f>
        <v>1030</v>
      </c>
      <c r="F568" s="5">
        <f t="shared" si="9"/>
        <v>-43.14850000000024</v>
      </c>
      <c r="G568" s="5">
        <f ca="1">IF(B568="","",股指期货基差分析!$N$11)</f>
        <v>-71.408500000000458</v>
      </c>
      <c r="H568" s="5">
        <f ca="1">IF(B568="","",股指期货基差分析!$L$11)</f>
        <v>15.737900000000081</v>
      </c>
      <c r="I568" s="9">
        <f ca="1">IF(B568="","",股指期货基差分析!$D$11)</f>
        <v>-19.923978315132629</v>
      </c>
      <c r="L568" s="43"/>
      <c r="Q568" s="11"/>
    </row>
    <row r="569" spans="2:17" ht="15" customHeight="1" x14ac:dyDescent="0.2">
      <c r="B569" s="8">
        <v>44323</v>
      </c>
      <c r="C569" s="6">
        <f>IF(B569="","",[1]!s_dq_close(股指期货基差分析!$E$5,$B569))</f>
        <v>6444.4429</v>
      </c>
      <c r="D569" s="6">
        <f>IF(B569="","",[1]!s_dq_close(股指期货基差分析!$E$6,$B569))</f>
        <v>6430.2</v>
      </c>
      <c r="E569" s="6">
        <f ca="1">RANK(F569,F:F)+COUNTIF(F$2:F569,F569)-1</f>
        <v>649</v>
      </c>
      <c r="F569" s="6">
        <f t="shared" si="9"/>
        <v>-14.242900000000191</v>
      </c>
      <c r="G569" s="6">
        <f ca="1">IF(B569="","",股指期货基差分析!$N$11)</f>
        <v>-71.408500000000458</v>
      </c>
      <c r="H569" s="6">
        <f ca="1">IF(B569="","",股指期货基差分析!$L$11)</f>
        <v>15.737900000000081</v>
      </c>
      <c r="I569" s="10">
        <f ca="1">IF(B569="","",股指期货基差分析!$D$11)</f>
        <v>-19.923978315132629</v>
      </c>
      <c r="L569" s="43"/>
      <c r="Q569" s="11"/>
    </row>
    <row r="570" spans="2:17" ht="15" customHeight="1" x14ac:dyDescent="0.2">
      <c r="B570" s="7">
        <v>44326</v>
      </c>
      <c r="C570" s="5">
        <f>IF(B570="","",[1]!s_dq_close(股指期货基差分析!$E$5,$B570))</f>
        <v>6475.9938000000002</v>
      </c>
      <c r="D570" s="5">
        <f>IF(B570="","",[1]!s_dq_close(股指期货基差分析!$E$6,$B570))</f>
        <v>6443.8</v>
      </c>
      <c r="E570" s="5">
        <f ca="1">RANK(F570,F:F)+COUNTIF(F$2:F570,F570)-1</f>
        <v>922</v>
      </c>
      <c r="F570" s="5">
        <f t="shared" si="9"/>
        <v>-32.19380000000001</v>
      </c>
      <c r="G570" s="5">
        <f ca="1">IF(B570="","",股指期货基差分析!$N$11)</f>
        <v>-71.408500000000458</v>
      </c>
      <c r="H570" s="5">
        <f ca="1">IF(B570="","",股指期货基差分析!$L$11)</f>
        <v>15.737900000000081</v>
      </c>
      <c r="I570" s="9">
        <f ca="1">IF(B570="","",股指期货基差分析!$D$11)</f>
        <v>-19.923978315132629</v>
      </c>
      <c r="L570" s="43"/>
      <c r="Q570" s="11"/>
    </row>
    <row r="571" spans="2:17" ht="15" customHeight="1" x14ac:dyDescent="0.2">
      <c r="B571" s="8">
        <v>44327</v>
      </c>
      <c r="C571" s="6">
        <f>IF(B571="","",[1]!s_dq_close(股指期货基差分析!$E$5,$B571))</f>
        <v>6456.0375999999997</v>
      </c>
      <c r="D571" s="6">
        <f>IF(B571="","",[1]!s_dq_close(股指期货基差分析!$E$6,$B571))</f>
        <v>6437.8</v>
      </c>
      <c r="E571" s="6">
        <f ca="1">RANK(F571,F:F)+COUNTIF(F$2:F571,F571)-1</f>
        <v>720</v>
      </c>
      <c r="F571" s="6">
        <f t="shared" si="9"/>
        <v>-18.237599999999475</v>
      </c>
      <c r="G571" s="6">
        <f ca="1">IF(B571="","",股指期货基差分析!$N$11)</f>
        <v>-71.408500000000458</v>
      </c>
      <c r="H571" s="6">
        <f ca="1">IF(B571="","",股指期货基差分析!$L$11)</f>
        <v>15.737900000000081</v>
      </c>
      <c r="I571" s="10">
        <f ca="1">IF(B571="","",股指期货基差分析!$D$11)</f>
        <v>-19.923978315132629</v>
      </c>
      <c r="L571" s="43"/>
      <c r="Q571" s="11"/>
    </row>
    <row r="572" spans="2:17" ht="15" customHeight="1" x14ac:dyDescent="0.2">
      <c r="B572" s="7">
        <v>44328</v>
      </c>
      <c r="C572" s="5">
        <f>IF(B572="","",[1]!s_dq_close(股指期货基差分析!$E$5,$B572))</f>
        <v>6512.0501000000004</v>
      </c>
      <c r="D572" s="5">
        <f>IF(B572="","",[1]!s_dq_close(股指期货基差分析!$E$6,$B572))</f>
        <v>6506.6</v>
      </c>
      <c r="E572" s="5">
        <f ca="1">RANK(F572,F:F)+COUNTIF(F$2:F572,F572)-1</f>
        <v>424</v>
      </c>
      <c r="F572" s="5">
        <f t="shared" si="9"/>
        <v>-5.4501000000000204</v>
      </c>
      <c r="G572" s="5">
        <f ca="1">IF(B572="","",股指期货基差分析!$N$11)</f>
        <v>-71.408500000000458</v>
      </c>
      <c r="H572" s="5">
        <f ca="1">IF(B572="","",股指期货基差分析!$L$11)</f>
        <v>15.737900000000081</v>
      </c>
      <c r="I572" s="9">
        <f ca="1">IF(B572="","",股指期货基差分析!$D$11)</f>
        <v>-19.923978315132629</v>
      </c>
      <c r="L572" s="43"/>
      <c r="Q572" s="11"/>
    </row>
    <row r="573" spans="2:17" ht="15" customHeight="1" x14ac:dyDescent="0.2">
      <c r="B573" s="8">
        <v>44329</v>
      </c>
      <c r="C573" s="6">
        <f>IF(B573="","",[1]!s_dq_close(股指期货基差分析!$E$5,$B573))</f>
        <v>6439.0272999999997</v>
      </c>
      <c r="D573" s="6">
        <f>IF(B573="","",[1]!s_dq_close(股指期货基差分析!$E$6,$B573))</f>
        <v>6435</v>
      </c>
      <c r="E573" s="6">
        <f ca="1">RANK(F573,F:F)+COUNTIF(F$2:F573,F573)-1</f>
        <v>387</v>
      </c>
      <c r="F573" s="6">
        <f t="shared" si="9"/>
        <v>-4.027299999999741</v>
      </c>
      <c r="G573" s="6">
        <f ca="1">IF(B573="","",股指期货基差分析!$N$11)</f>
        <v>-71.408500000000458</v>
      </c>
      <c r="H573" s="6">
        <f ca="1">IF(B573="","",股指期货基差分析!$L$11)</f>
        <v>15.737900000000081</v>
      </c>
      <c r="I573" s="10">
        <f ca="1">IF(B573="","",股指期货基差分析!$D$11)</f>
        <v>-19.923978315132629</v>
      </c>
      <c r="L573" s="43"/>
      <c r="Q573" s="11"/>
    </row>
    <row r="574" spans="2:17" ht="15" customHeight="1" x14ac:dyDescent="0.2">
      <c r="B574" s="7">
        <v>44330</v>
      </c>
      <c r="C574" s="5">
        <f>IF(B574="","",[1]!s_dq_close(股指期货基差分析!$E$5,$B574))</f>
        <v>6525.8036000000002</v>
      </c>
      <c r="D574" s="5">
        <f>IF(B574="","",[1]!s_dq_close(股指期货基差分析!$E$6,$B574))</f>
        <v>6545.2</v>
      </c>
      <c r="E574" s="5">
        <f ca="1">RANK(F574,F:F)+COUNTIF(F$2:F574,F574)-1</f>
        <v>44</v>
      </c>
      <c r="F574" s="5">
        <f t="shared" si="9"/>
        <v>19.39639999999963</v>
      </c>
      <c r="G574" s="5">
        <f ca="1">IF(B574="","",股指期货基差分析!$N$11)</f>
        <v>-71.408500000000458</v>
      </c>
      <c r="H574" s="5">
        <f ca="1">IF(B574="","",股指期货基差分析!$L$11)</f>
        <v>15.737900000000081</v>
      </c>
      <c r="I574" s="9">
        <f ca="1">IF(B574="","",股指期货基差分析!$D$11)</f>
        <v>-19.923978315132629</v>
      </c>
      <c r="L574" s="43"/>
      <c r="Q574" s="11"/>
    </row>
    <row r="575" spans="2:17" ht="15" customHeight="1" x14ac:dyDescent="0.2">
      <c r="B575" s="8">
        <v>44333</v>
      </c>
      <c r="C575" s="6">
        <f>IF(B575="","",[1]!s_dq_close(股指期货基差分析!$E$5,$B575))</f>
        <v>6578.1401999999998</v>
      </c>
      <c r="D575" s="6">
        <f>IF(B575="","",[1]!s_dq_close(股指期货基差分析!$E$6,$B575))</f>
        <v>6572.2</v>
      </c>
      <c r="E575" s="6">
        <f ca="1">RANK(F575,F:F)+COUNTIF(F$2:F575,F575)-1</f>
        <v>436</v>
      </c>
      <c r="F575" s="6">
        <f t="shared" si="9"/>
        <v>-5.9402000000000044</v>
      </c>
      <c r="G575" s="6">
        <f ca="1">IF(B575="","",股指期货基差分析!$N$11)</f>
        <v>-71.408500000000458</v>
      </c>
      <c r="H575" s="6">
        <f ca="1">IF(B575="","",股指期货基差分析!$L$11)</f>
        <v>15.737900000000081</v>
      </c>
      <c r="I575" s="10">
        <f ca="1">IF(B575="","",股指期货基差分析!$D$11)</f>
        <v>-19.923978315132629</v>
      </c>
      <c r="L575" s="43"/>
      <c r="Q575" s="11"/>
    </row>
    <row r="576" spans="2:17" ht="15" customHeight="1" x14ac:dyDescent="0.2">
      <c r="B576" s="7">
        <v>44334</v>
      </c>
      <c r="C576" s="5">
        <f>IF(B576="","",[1]!s_dq_close(股指期货基差分析!$E$5,$B576))</f>
        <v>6599.5985000000001</v>
      </c>
      <c r="D576" s="5">
        <f>IF(B576="","",[1]!s_dq_close(股指期货基差分析!$E$6,$B576))</f>
        <v>6595</v>
      </c>
      <c r="E576" s="5">
        <f ca="1">RANK(F576,F:F)+COUNTIF(F$2:F576,F576)-1</f>
        <v>402</v>
      </c>
      <c r="F576" s="5">
        <f t="shared" si="9"/>
        <v>-4.5985000000000582</v>
      </c>
      <c r="G576" s="5">
        <f ca="1">IF(B576="","",股指期货基差分析!$N$11)</f>
        <v>-71.408500000000458</v>
      </c>
      <c r="H576" s="5">
        <f ca="1">IF(B576="","",股指期货基差分析!$L$11)</f>
        <v>15.737900000000081</v>
      </c>
      <c r="I576" s="9">
        <f ca="1">IF(B576="","",股指期货基差分析!$D$11)</f>
        <v>-19.923978315132629</v>
      </c>
      <c r="L576" s="43"/>
      <c r="Q576" s="11"/>
    </row>
    <row r="577" spans="2:17" ht="15" customHeight="1" x14ac:dyDescent="0.2">
      <c r="B577" s="8">
        <v>44335</v>
      </c>
      <c r="C577" s="6">
        <f>IF(B577="","",[1]!s_dq_close(股指期货基差分析!$E$5,$B577))</f>
        <v>6584.3869000000004</v>
      </c>
      <c r="D577" s="6">
        <f>IF(B577="","",[1]!s_dq_close(股指期货基差分析!$E$6,$B577))</f>
        <v>6586.8</v>
      </c>
      <c r="E577" s="6">
        <f ca="1">RANK(F577,F:F)+COUNTIF(F$2:F577,F577)-1</f>
        <v>252</v>
      </c>
      <c r="F577" s="6">
        <f t="shared" si="9"/>
        <v>2.4130999999997584</v>
      </c>
      <c r="G577" s="6">
        <f ca="1">IF(B577="","",股指期货基差分析!$N$11)</f>
        <v>-71.408500000000458</v>
      </c>
      <c r="H577" s="6">
        <f ca="1">IF(B577="","",股指期货基差分析!$L$11)</f>
        <v>15.737900000000081</v>
      </c>
      <c r="I577" s="10">
        <f ca="1">IF(B577="","",股指期货基差分析!$D$11)</f>
        <v>-19.923978315132629</v>
      </c>
      <c r="L577" s="43"/>
      <c r="Q577" s="11"/>
    </row>
    <row r="578" spans="2:17" ht="15" customHeight="1" x14ac:dyDescent="0.2">
      <c r="B578" s="7">
        <v>44336</v>
      </c>
      <c r="C578" s="5">
        <f>IF(B578="","",[1]!s_dq_close(股指期货基差分析!$E$5,$B578))</f>
        <v>6548.7111000000004</v>
      </c>
      <c r="D578" s="5">
        <f>IF(B578="","",[1]!s_dq_close(股指期货基差分析!$E$6,$B578))</f>
        <v>6556.4</v>
      </c>
      <c r="E578" s="5">
        <f ca="1">RANK(F578,F:F)+COUNTIF(F$2:F578,F578)-1</f>
        <v>141</v>
      </c>
      <c r="F578" s="5">
        <f t="shared" ref="F578:F641" si="10">IF(B578="","",D578-C578)</f>
        <v>7.6888999999991938</v>
      </c>
      <c r="G578" s="5">
        <f ca="1">IF(B578="","",股指期货基差分析!$N$11)</f>
        <v>-71.408500000000458</v>
      </c>
      <c r="H578" s="5">
        <f ca="1">IF(B578="","",股指期货基差分析!$L$11)</f>
        <v>15.737900000000081</v>
      </c>
      <c r="I578" s="9">
        <f ca="1">IF(B578="","",股指期货基差分析!$D$11)</f>
        <v>-19.923978315132629</v>
      </c>
      <c r="L578" s="43"/>
      <c r="Q578" s="11"/>
    </row>
    <row r="579" spans="2:17" ht="15" customHeight="1" x14ac:dyDescent="0.2">
      <c r="B579" s="8">
        <v>44337</v>
      </c>
      <c r="C579" s="6">
        <f>IF(B579="","",[1]!s_dq_close(股指期货基差分析!$E$5,$B579))</f>
        <v>6527.8639999999996</v>
      </c>
      <c r="D579" s="6">
        <f>IF(B579="","",[1]!s_dq_close(股指期货基差分析!$E$6,$B579))</f>
        <v>6535.2</v>
      </c>
      <c r="E579" s="6">
        <f ca="1">RANK(F579,F:F)+COUNTIF(F$2:F579,F579)-1</f>
        <v>146</v>
      </c>
      <c r="F579" s="6">
        <f t="shared" si="10"/>
        <v>7.3360000000002401</v>
      </c>
      <c r="G579" s="6">
        <f ca="1">IF(B579="","",股指期货基差分析!$N$11)</f>
        <v>-71.408500000000458</v>
      </c>
      <c r="H579" s="6">
        <f ca="1">IF(B579="","",股指期货基差分析!$L$11)</f>
        <v>15.737900000000081</v>
      </c>
      <c r="I579" s="10">
        <f ca="1">IF(B579="","",股指期货基差分析!$D$11)</f>
        <v>-19.923978315132629</v>
      </c>
      <c r="L579" s="43"/>
      <c r="Q579" s="11"/>
    </row>
    <row r="580" spans="2:17" ht="15" customHeight="1" x14ac:dyDescent="0.2">
      <c r="B580" s="7">
        <v>44340</v>
      </c>
      <c r="C580" s="5">
        <f>IF(B580="","",[1]!s_dq_close(股指期货基差分析!$E$5,$B580))</f>
        <v>6544.1217999999999</v>
      </c>
      <c r="D580" s="5">
        <f>IF(B580="","",[1]!s_dq_close(股指期货基差分析!$E$6,$B580))</f>
        <v>6515</v>
      </c>
      <c r="E580" s="5">
        <f ca="1">RANK(F580,F:F)+COUNTIF(F$2:F580,F580)-1</f>
        <v>877</v>
      </c>
      <c r="F580" s="5">
        <f t="shared" si="10"/>
        <v>-29.121799999999894</v>
      </c>
      <c r="G580" s="5">
        <f ca="1">IF(B580="","",股指期货基差分析!$N$11)</f>
        <v>-71.408500000000458</v>
      </c>
      <c r="H580" s="5">
        <f ca="1">IF(B580="","",股指期货基差分析!$L$11)</f>
        <v>15.737900000000081</v>
      </c>
      <c r="I580" s="9">
        <f ca="1">IF(B580="","",股指期货基差分析!$D$11)</f>
        <v>-19.923978315132629</v>
      </c>
      <c r="L580" s="43"/>
      <c r="Q580" s="11"/>
    </row>
    <row r="581" spans="2:17" ht="15" customHeight="1" x14ac:dyDescent="0.2">
      <c r="B581" s="8">
        <v>44341</v>
      </c>
      <c r="C581" s="6">
        <f>IF(B581="","",[1]!s_dq_close(股指期货基差分析!$E$5,$B581))</f>
        <v>6619.6706999999997</v>
      </c>
      <c r="D581" s="6">
        <f>IF(B581="","",[1]!s_dq_close(股指期货基差分析!$E$6,$B581))</f>
        <v>6589</v>
      </c>
      <c r="E581" s="6">
        <f ca="1">RANK(F581,F:F)+COUNTIF(F$2:F581,F581)-1</f>
        <v>898</v>
      </c>
      <c r="F581" s="6">
        <f t="shared" si="10"/>
        <v>-30.67069999999967</v>
      </c>
      <c r="G581" s="6">
        <f ca="1">IF(B581="","",股指期货基差分析!$N$11)</f>
        <v>-71.408500000000458</v>
      </c>
      <c r="H581" s="6">
        <f ca="1">IF(B581="","",股指期货基差分析!$L$11)</f>
        <v>15.737900000000081</v>
      </c>
      <c r="I581" s="10">
        <f ca="1">IF(B581="","",股指期货基差分析!$D$11)</f>
        <v>-19.923978315132629</v>
      </c>
      <c r="L581" s="43"/>
      <c r="Q581" s="11"/>
    </row>
    <row r="582" spans="2:17" ht="15" customHeight="1" x14ac:dyDescent="0.2">
      <c r="B582" s="7">
        <v>44342</v>
      </c>
      <c r="C582" s="5">
        <f>IF(B582="","",[1]!s_dq_close(股指期货基差分析!$E$5,$B582))</f>
        <v>6628.2065000000002</v>
      </c>
      <c r="D582" s="5">
        <f>IF(B582="","",[1]!s_dq_close(股指期货基差分析!$E$6,$B582))</f>
        <v>6600.8</v>
      </c>
      <c r="E582" s="5">
        <f ca="1">RANK(F582,F:F)+COUNTIF(F$2:F582,F582)-1</f>
        <v>854</v>
      </c>
      <c r="F582" s="5">
        <f t="shared" si="10"/>
        <v>-27.406500000000051</v>
      </c>
      <c r="G582" s="5">
        <f ca="1">IF(B582="","",股指期货基差分析!$N$11)</f>
        <v>-71.408500000000458</v>
      </c>
      <c r="H582" s="5">
        <f ca="1">IF(B582="","",股指期货基差分析!$L$11)</f>
        <v>15.737900000000081</v>
      </c>
      <c r="I582" s="9">
        <f ca="1">IF(B582="","",股指期货基差分析!$D$11)</f>
        <v>-19.923978315132629</v>
      </c>
      <c r="L582" s="43"/>
      <c r="Q582" s="11"/>
    </row>
    <row r="583" spans="2:17" ht="15" customHeight="1" x14ac:dyDescent="0.2">
      <c r="B583" s="8">
        <v>44343</v>
      </c>
      <c r="C583" s="6">
        <f>IF(B583="","",[1]!s_dq_close(股指期货基差分析!$E$5,$B583))</f>
        <v>6685.4053999999996</v>
      </c>
      <c r="D583" s="6">
        <f>IF(B583="","",[1]!s_dq_close(股指期货基差分析!$E$6,$B583))</f>
        <v>6645.6</v>
      </c>
      <c r="E583" s="6">
        <f ca="1">RANK(F583,F:F)+COUNTIF(F$2:F583,F583)-1</f>
        <v>1003</v>
      </c>
      <c r="F583" s="6">
        <f t="shared" si="10"/>
        <v>-39.805399999999281</v>
      </c>
      <c r="G583" s="6">
        <f ca="1">IF(B583="","",股指期货基差分析!$N$11)</f>
        <v>-71.408500000000458</v>
      </c>
      <c r="H583" s="6">
        <f ca="1">IF(B583="","",股指期货基差分析!$L$11)</f>
        <v>15.737900000000081</v>
      </c>
      <c r="I583" s="10">
        <f ca="1">IF(B583="","",股指期货基差分析!$D$11)</f>
        <v>-19.923978315132629</v>
      </c>
      <c r="L583" s="43"/>
      <c r="Q583" s="11"/>
    </row>
    <row r="584" spans="2:17" ht="15" customHeight="1" x14ac:dyDescent="0.2">
      <c r="B584" s="7">
        <v>44344</v>
      </c>
      <c r="C584" s="5">
        <f>IF(B584="","",[1]!s_dq_close(股指期货基差分析!$E$5,$B584))</f>
        <v>6668.1696000000002</v>
      </c>
      <c r="D584" s="5">
        <f>IF(B584="","",[1]!s_dq_close(股指期货基差分析!$E$6,$B584))</f>
        <v>6651.8</v>
      </c>
      <c r="E584" s="5">
        <f ca="1">RANK(F584,F:F)+COUNTIF(F$2:F584,F584)-1</f>
        <v>686</v>
      </c>
      <c r="F584" s="5">
        <f t="shared" si="10"/>
        <v>-16.369599999999991</v>
      </c>
      <c r="G584" s="5">
        <f ca="1">IF(B584="","",股指期货基差分析!$N$11)</f>
        <v>-71.408500000000458</v>
      </c>
      <c r="H584" s="5">
        <f ca="1">IF(B584="","",股指期货基差分析!$L$11)</f>
        <v>15.737900000000081</v>
      </c>
      <c r="I584" s="9">
        <f ca="1">IF(B584="","",股指期货基差分析!$D$11)</f>
        <v>-19.923978315132629</v>
      </c>
      <c r="L584" s="43"/>
      <c r="Q584" s="11"/>
    </row>
    <row r="585" spans="2:17" ht="15" customHeight="1" x14ac:dyDescent="0.2">
      <c r="B585" s="8">
        <v>44347</v>
      </c>
      <c r="C585" s="6">
        <f>IF(B585="","",[1]!s_dq_close(股指期货基差分析!$E$5,$B585))</f>
        <v>6728.9906000000001</v>
      </c>
      <c r="D585" s="6">
        <f>IF(B585="","",[1]!s_dq_close(股指期货基差分析!$E$6,$B585))</f>
        <v>6679</v>
      </c>
      <c r="E585" s="6">
        <f ca="1">RANK(F585,F:F)+COUNTIF(F$2:F585,F585)-1</f>
        <v>1096</v>
      </c>
      <c r="F585" s="6">
        <f t="shared" si="10"/>
        <v>-49.990600000000086</v>
      </c>
      <c r="G585" s="6">
        <f ca="1">IF(B585="","",股指期货基差分析!$N$11)</f>
        <v>-71.408500000000458</v>
      </c>
      <c r="H585" s="6">
        <f ca="1">IF(B585="","",股指期货基差分析!$L$11)</f>
        <v>15.737900000000081</v>
      </c>
      <c r="I585" s="10">
        <f ca="1">IF(B585="","",股指期货基差分析!$D$11)</f>
        <v>-19.923978315132629</v>
      </c>
      <c r="L585" s="43"/>
      <c r="Q585" s="11"/>
    </row>
    <row r="586" spans="2:17" ht="15" customHeight="1" x14ac:dyDescent="0.2">
      <c r="B586" s="7">
        <v>44348</v>
      </c>
      <c r="C586" s="5">
        <f>IF(B586="","",[1]!s_dq_close(股指期货基差分析!$E$5,$B586))</f>
        <v>6739.7623999999996</v>
      </c>
      <c r="D586" s="5">
        <f>IF(B586="","",[1]!s_dq_close(股指期货基差分析!$E$6,$B586))</f>
        <v>6675.4</v>
      </c>
      <c r="E586" s="5">
        <f ca="1">RANK(F586,F:F)+COUNTIF(F$2:F586,F586)-1</f>
        <v>1184</v>
      </c>
      <c r="F586" s="5">
        <f t="shared" si="10"/>
        <v>-64.36239999999998</v>
      </c>
      <c r="G586" s="5">
        <f ca="1">IF(B586="","",股指期货基差分析!$N$11)</f>
        <v>-71.408500000000458</v>
      </c>
      <c r="H586" s="5">
        <f ca="1">IF(B586="","",股指期货基差分析!$L$11)</f>
        <v>15.737900000000081</v>
      </c>
      <c r="I586" s="9">
        <f ca="1">IF(B586="","",股指期货基差分析!$D$11)</f>
        <v>-19.923978315132629</v>
      </c>
      <c r="L586" s="43"/>
      <c r="Q586" s="11"/>
    </row>
    <row r="587" spans="2:17" ht="15" customHeight="1" x14ac:dyDescent="0.2">
      <c r="B587" s="8">
        <v>44349</v>
      </c>
      <c r="C587" s="6">
        <f>IF(B587="","",[1]!s_dq_close(股指期货基差分析!$E$5,$B587))</f>
        <v>6681.4285</v>
      </c>
      <c r="D587" s="6">
        <f>IF(B587="","",[1]!s_dq_close(股指期货基差分析!$E$6,$B587))</f>
        <v>6645</v>
      </c>
      <c r="E587" s="6">
        <f ca="1">RANK(F587,F:F)+COUNTIF(F$2:F587,F587)-1</f>
        <v>973</v>
      </c>
      <c r="F587" s="6">
        <f t="shared" si="10"/>
        <v>-36.428499999999985</v>
      </c>
      <c r="G587" s="6">
        <f ca="1">IF(B587="","",股指期货基差分析!$N$11)</f>
        <v>-71.408500000000458</v>
      </c>
      <c r="H587" s="6">
        <f ca="1">IF(B587="","",股指期货基差分析!$L$11)</f>
        <v>15.737900000000081</v>
      </c>
      <c r="I587" s="10">
        <f ca="1">IF(B587="","",股指期货基差分析!$D$11)</f>
        <v>-19.923978315132629</v>
      </c>
      <c r="L587" s="43"/>
      <c r="Q587" s="11"/>
    </row>
    <row r="588" spans="2:17" ht="15" customHeight="1" x14ac:dyDescent="0.2">
      <c r="B588" s="7">
        <v>44350</v>
      </c>
      <c r="C588" s="5">
        <f>IF(B588="","",[1]!s_dq_close(股指期货基差分析!$E$5,$B588))</f>
        <v>6667.7263999999996</v>
      </c>
      <c r="D588" s="5">
        <f>IF(B588="","",[1]!s_dq_close(股指期货基差分析!$E$6,$B588))</f>
        <v>6601</v>
      </c>
      <c r="E588" s="5">
        <f ca="1">RANK(F588,F:F)+COUNTIF(F$2:F588,F588)-1</f>
        <v>1200</v>
      </c>
      <c r="F588" s="5">
        <f t="shared" si="10"/>
        <v>-66.726399999999558</v>
      </c>
      <c r="G588" s="5">
        <f ca="1">IF(B588="","",股指期货基差分析!$N$11)</f>
        <v>-71.408500000000458</v>
      </c>
      <c r="H588" s="5">
        <f ca="1">IF(B588="","",股指期货基差分析!$L$11)</f>
        <v>15.737900000000081</v>
      </c>
      <c r="I588" s="9">
        <f ca="1">IF(B588="","",股指期货基差分析!$D$11)</f>
        <v>-19.923978315132629</v>
      </c>
      <c r="L588" s="43"/>
      <c r="Q588" s="11"/>
    </row>
    <row r="589" spans="2:17" ht="15" customHeight="1" x14ac:dyDescent="0.2">
      <c r="B589" s="8">
        <v>44351</v>
      </c>
      <c r="C589" s="6">
        <f>IF(B589="","",[1]!s_dq_close(股指期货基差分析!$E$5,$B589))</f>
        <v>6693.0573999999997</v>
      </c>
      <c r="D589" s="6">
        <f>IF(B589="","",[1]!s_dq_close(股指期货基差分析!$E$6,$B589))</f>
        <v>6669</v>
      </c>
      <c r="E589" s="6">
        <f ca="1">RANK(F589,F:F)+COUNTIF(F$2:F589,F589)-1</f>
        <v>803</v>
      </c>
      <c r="F589" s="6">
        <f t="shared" si="10"/>
        <v>-24.057399999999689</v>
      </c>
      <c r="G589" s="6">
        <f ca="1">IF(B589="","",股指期货基差分析!$N$11)</f>
        <v>-71.408500000000458</v>
      </c>
      <c r="H589" s="6">
        <f ca="1">IF(B589="","",股指期货基差分析!$L$11)</f>
        <v>15.737900000000081</v>
      </c>
      <c r="I589" s="10">
        <f ca="1">IF(B589="","",股指期货基差分析!$D$11)</f>
        <v>-19.923978315132629</v>
      </c>
      <c r="L589" s="43"/>
      <c r="Q589" s="11"/>
    </row>
    <row r="590" spans="2:17" ht="15" customHeight="1" x14ac:dyDescent="0.2">
      <c r="B590" s="7">
        <v>44354</v>
      </c>
      <c r="C590" s="5">
        <f>IF(B590="","",[1]!s_dq_close(股指期货基差分析!$E$5,$B590))</f>
        <v>6721.5019000000002</v>
      </c>
      <c r="D590" s="5">
        <f>IF(B590="","",[1]!s_dq_close(股指期货基差分析!$E$6,$B590))</f>
        <v>6669.6</v>
      </c>
      <c r="E590" s="5">
        <f ca="1">RANK(F590,F:F)+COUNTIF(F$2:F590,F590)-1</f>
        <v>1115</v>
      </c>
      <c r="F590" s="5">
        <f t="shared" si="10"/>
        <v>-51.901899999999841</v>
      </c>
      <c r="G590" s="5">
        <f ca="1">IF(B590="","",股指期货基差分析!$N$11)</f>
        <v>-71.408500000000458</v>
      </c>
      <c r="H590" s="5">
        <f ca="1">IF(B590="","",股指期货基差分析!$L$11)</f>
        <v>15.737900000000081</v>
      </c>
      <c r="I590" s="9">
        <f ca="1">IF(B590="","",股指期货基差分析!$D$11)</f>
        <v>-19.923978315132629</v>
      </c>
      <c r="L590" s="43"/>
      <c r="Q590" s="11"/>
    </row>
    <row r="591" spans="2:17" ht="15" customHeight="1" x14ac:dyDescent="0.2">
      <c r="B591" s="8">
        <v>44355</v>
      </c>
      <c r="C591" s="6">
        <f>IF(B591="","",[1]!s_dq_close(股指期货基差分析!$E$5,$B591))</f>
        <v>6684.5626000000002</v>
      </c>
      <c r="D591" s="6">
        <f>IF(B591="","",[1]!s_dq_close(股指期货基差分析!$E$6,$B591))</f>
        <v>6653</v>
      </c>
      <c r="E591" s="6">
        <f ca="1">RANK(F591,F:F)+COUNTIF(F$2:F591,F591)-1</f>
        <v>913</v>
      </c>
      <c r="F591" s="6">
        <f t="shared" si="10"/>
        <v>-31.562600000000202</v>
      </c>
      <c r="G591" s="6">
        <f ca="1">IF(B591="","",股指期货基差分析!$N$11)</f>
        <v>-71.408500000000458</v>
      </c>
      <c r="H591" s="6">
        <f ca="1">IF(B591="","",股指期货基差分析!$L$11)</f>
        <v>15.737900000000081</v>
      </c>
      <c r="I591" s="10">
        <f ca="1">IF(B591="","",股指期货基差分析!$D$11)</f>
        <v>-19.923978315132629</v>
      </c>
      <c r="L591" s="43"/>
      <c r="Q591" s="11"/>
    </row>
    <row r="592" spans="2:17" ht="15" customHeight="1" x14ac:dyDescent="0.2">
      <c r="B592" s="7">
        <v>44356</v>
      </c>
      <c r="C592" s="5">
        <f>IF(B592="","",[1]!s_dq_close(股指期货基差分析!$E$5,$B592))</f>
        <v>6692.9049000000005</v>
      </c>
      <c r="D592" s="5">
        <f>IF(B592="","",[1]!s_dq_close(股指期货基差分析!$E$6,$B592))</f>
        <v>6658</v>
      </c>
      <c r="E592" s="5">
        <f ca="1">RANK(F592,F:F)+COUNTIF(F$2:F592,F592)-1</f>
        <v>957</v>
      </c>
      <c r="F592" s="5">
        <f t="shared" si="10"/>
        <v>-34.904900000000453</v>
      </c>
      <c r="G592" s="5">
        <f ca="1">IF(B592="","",股指期货基差分析!$N$11)</f>
        <v>-71.408500000000458</v>
      </c>
      <c r="H592" s="5">
        <f ca="1">IF(B592="","",股指期货基差分析!$L$11)</f>
        <v>15.737900000000081</v>
      </c>
      <c r="I592" s="9">
        <f ca="1">IF(B592="","",股指期货基差分析!$D$11)</f>
        <v>-19.923978315132629</v>
      </c>
      <c r="L592" s="43"/>
      <c r="Q592" s="11"/>
    </row>
    <row r="593" spans="2:17" ht="15" customHeight="1" x14ac:dyDescent="0.2">
      <c r="B593" s="8">
        <v>44357</v>
      </c>
      <c r="C593" s="6">
        <f>IF(B593="","",[1]!s_dq_close(股指期货基差分析!$E$5,$B593))</f>
        <v>6765.6436000000003</v>
      </c>
      <c r="D593" s="6">
        <f>IF(B593="","",[1]!s_dq_close(股指期货基差分析!$E$6,$B593))</f>
        <v>6746.2</v>
      </c>
      <c r="E593" s="6">
        <f ca="1">RANK(F593,F:F)+COUNTIF(F$2:F593,F593)-1</f>
        <v>739</v>
      </c>
      <c r="F593" s="6">
        <f t="shared" si="10"/>
        <v>-19.443600000000515</v>
      </c>
      <c r="G593" s="6">
        <f ca="1">IF(B593="","",股指期货基差分析!$N$11)</f>
        <v>-71.408500000000458</v>
      </c>
      <c r="H593" s="6">
        <f ca="1">IF(B593="","",股指期货基差分析!$L$11)</f>
        <v>15.737900000000081</v>
      </c>
      <c r="I593" s="10">
        <f ca="1">IF(B593="","",股指期货基差分析!$D$11)</f>
        <v>-19.923978315132629</v>
      </c>
      <c r="L593" s="43"/>
      <c r="Q593" s="11"/>
    </row>
    <row r="594" spans="2:17" ht="15" customHeight="1" x14ac:dyDescent="0.2">
      <c r="B594" s="7">
        <v>44358</v>
      </c>
      <c r="C594" s="5">
        <f>IF(B594="","",[1]!s_dq_close(股指期货基差分析!$E$5,$B594))</f>
        <v>6725.9152000000004</v>
      </c>
      <c r="D594" s="5">
        <f>IF(B594="","",[1]!s_dq_close(股指期货基差分析!$E$6,$B594))</f>
        <v>6726</v>
      </c>
      <c r="E594" s="5">
        <f ca="1">RANK(F594,F:F)+COUNTIF(F$2:F594,F594)-1</f>
        <v>293</v>
      </c>
      <c r="F594" s="5">
        <f t="shared" si="10"/>
        <v>8.4799999999631837E-2</v>
      </c>
      <c r="G594" s="5">
        <f ca="1">IF(B594="","",股指期货基差分析!$N$11)</f>
        <v>-71.408500000000458</v>
      </c>
      <c r="H594" s="5">
        <f ca="1">IF(B594="","",股指期货基差分析!$L$11)</f>
        <v>15.737900000000081</v>
      </c>
      <c r="I594" s="9">
        <f ca="1">IF(B594="","",股指期货基差分析!$D$11)</f>
        <v>-19.923978315132629</v>
      </c>
      <c r="L594" s="43"/>
      <c r="Q594" s="11"/>
    </row>
    <row r="595" spans="2:17" ht="15" customHeight="1" x14ac:dyDescent="0.2">
      <c r="B595" s="8">
        <v>44362</v>
      </c>
      <c r="C595" s="6">
        <f>IF(B595="","",[1]!s_dq_close(股指期货基差分析!$E$5,$B595))</f>
        <v>6663.6623</v>
      </c>
      <c r="D595" s="6">
        <f>IF(B595="","",[1]!s_dq_close(股指期货基差分析!$E$6,$B595))</f>
        <v>6652.4</v>
      </c>
      <c r="E595" s="6">
        <f ca="1">RANK(F595,F:F)+COUNTIF(F$2:F595,F595)-1</f>
        <v>580</v>
      </c>
      <c r="F595" s="6">
        <f t="shared" si="10"/>
        <v>-11.262300000000323</v>
      </c>
      <c r="G595" s="6">
        <f ca="1">IF(B595="","",股指期货基差分析!$N$11)</f>
        <v>-71.408500000000458</v>
      </c>
      <c r="H595" s="6">
        <f ca="1">IF(B595="","",股指期货基差分析!$L$11)</f>
        <v>15.737900000000081</v>
      </c>
      <c r="I595" s="10">
        <f ca="1">IF(B595="","",股指期货基差分析!$D$11)</f>
        <v>-19.923978315132629</v>
      </c>
      <c r="L595" s="43"/>
      <c r="Q595" s="11"/>
    </row>
    <row r="596" spans="2:17" ht="15" customHeight="1" x14ac:dyDescent="0.2">
      <c r="B596" s="7">
        <v>44363</v>
      </c>
      <c r="C596" s="5">
        <f>IF(B596="","",[1]!s_dq_close(股指期货基差分析!$E$5,$B596))</f>
        <v>6566.2860000000001</v>
      </c>
      <c r="D596" s="5">
        <f>IF(B596="","",[1]!s_dq_close(股指期货基差分析!$E$6,$B596))</f>
        <v>6571.4</v>
      </c>
      <c r="E596" s="5">
        <f ca="1">RANK(F596,F:F)+COUNTIF(F$2:F596,F596)-1</f>
        <v>185</v>
      </c>
      <c r="F596" s="5">
        <f t="shared" si="10"/>
        <v>5.113999999999578</v>
      </c>
      <c r="G596" s="5">
        <f ca="1">IF(B596="","",股指期货基差分析!$N$11)</f>
        <v>-71.408500000000458</v>
      </c>
      <c r="H596" s="5">
        <f ca="1">IF(B596="","",股指期货基差分析!$L$11)</f>
        <v>15.737900000000081</v>
      </c>
      <c r="I596" s="9">
        <f ca="1">IF(B596="","",股指期货基差分析!$D$11)</f>
        <v>-19.923978315132629</v>
      </c>
      <c r="L596" s="43"/>
      <c r="Q596" s="11"/>
    </row>
    <row r="597" spans="2:17" ht="15" customHeight="1" x14ac:dyDescent="0.2">
      <c r="B597" s="8">
        <v>44364</v>
      </c>
      <c r="C597" s="6">
        <f>IF(B597="","",[1]!s_dq_close(股指期货基差分析!$E$5,$B597))</f>
        <v>6616.174</v>
      </c>
      <c r="D597" s="6">
        <f>IF(B597="","",[1]!s_dq_close(股指期货基差分析!$E$6,$B597))</f>
        <v>6608</v>
      </c>
      <c r="E597" s="6">
        <f ca="1">RANK(F597,F:F)+COUNTIF(F$2:F597,F597)-1</f>
        <v>506</v>
      </c>
      <c r="F597" s="6">
        <f t="shared" si="10"/>
        <v>-8.1739999999999782</v>
      </c>
      <c r="G597" s="6">
        <f ca="1">IF(B597="","",股指期货基差分析!$N$11)</f>
        <v>-71.408500000000458</v>
      </c>
      <c r="H597" s="6">
        <f ca="1">IF(B597="","",股指期货基差分析!$L$11)</f>
        <v>15.737900000000081</v>
      </c>
      <c r="I597" s="10">
        <f ca="1">IF(B597="","",股指期货基差分析!$D$11)</f>
        <v>-19.923978315132629</v>
      </c>
      <c r="L597" s="43"/>
      <c r="Q597" s="11"/>
    </row>
    <row r="598" spans="2:17" ht="15" customHeight="1" x14ac:dyDescent="0.2">
      <c r="B598" s="7">
        <v>44365</v>
      </c>
      <c r="C598" s="5">
        <f>IF(B598="","",[1]!s_dq_close(股指期货基差分析!$E$5,$B598))</f>
        <v>6657.7635</v>
      </c>
      <c r="D598" s="5">
        <f>IF(B598="","",[1]!s_dq_close(股指期货基差分析!$E$6,$B598))</f>
        <v>6648.6</v>
      </c>
      <c r="E598" s="5">
        <f ca="1">RANK(F598,F:F)+COUNTIF(F$2:F598,F598)-1</f>
        <v>535</v>
      </c>
      <c r="F598" s="5">
        <f t="shared" si="10"/>
        <v>-9.163499999999658</v>
      </c>
      <c r="G598" s="5">
        <f ca="1">IF(B598="","",股指期货基差分析!$N$11)</f>
        <v>-71.408500000000458</v>
      </c>
      <c r="H598" s="5">
        <f ca="1">IF(B598="","",股指期货基差分析!$L$11)</f>
        <v>15.737900000000081</v>
      </c>
      <c r="I598" s="9">
        <f ca="1">IF(B598="","",股指期货基差分析!$D$11)</f>
        <v>-19.923978315132629</v>
      </c>
      <c r="L598" s="43"/>
      <c r="Q598" s="11"/>
    </row>
    <row r="599" spans="2:17" ht="15" customHeight="1" x14ac:dyDescent="0.2">
      <c r="B599" s="8">
        <v>44368</v>
      </c>
      <c r="C599" s="6">
        <f>IF(B599="","",[1]!s_dq_close(股指期货基差分析!$E$5,$B599))</f>
        <v>6707.1761999999999</v>
      </c>
      <c r="D599" s="6">
        <f>IF(B599="","",[1]!s_dq_close(股指期货基差分析!$E$6,$B599))</f>
        <v>6654.8</v>
      </c>
      <c r="E599" s="6">
        <f ca="1">RANK(F599,F:F)+COUNTIF(F$2:F599,F599)-1</f>
        <v>1119</v>
      </c>
      <c r="F599" s="6">
        <f t="shared" si="10"/>
        <v>-52.376199999999699</v>
      </c>
      <c r="G599" s="6">
        <f ca="1">IF(B599="","",股指期货基差分析!$N$11)</f>
        <v>-71.408500000000458</v>
      </c>
      <c r="H599" s="6">
        <f ca="1">IF(B599="","",股指期货基差分析!$L$11)</f>
        <v>15.737900000000081</v>
      </c>
      <c r="I599" s="10">
        <f ca="1">IF(B599="","",股指期货基差分析!$D$11)</f>
        <v>-19.923978315132629</v>
      </c>
      <c r="L599" s="43"/>
      <c r="Q599" s="11"/>
    </row>
    <row r="600" spans="2:17" ht="15" customHeight="1" x14ac:dyDescent="0.2">
      <c r="B600" s="7">
        <v>44369</v>
      </c>
      <c r="C600" s="5">
        <f>IF(B600="","",[1]!s_dq_close(股指期货基差分析!$E$5,$B600))</f>
        <v>6739.7938999999997</v>
      </c>
      <c r="D600" s="5">
        <f>IF(B600="","",[1]!s_dq_close(股指期货基差分析!$E$6,$B600))</f>
        <v>6678.2</v>
      </c>
      <c r="E600" s="5">
        <f ca="1">RANK(F600,F:F)+COUNTIF(F$2:F600,F600)-1</f>
        <v>1167</v>
      </c>
      <c r="F600" s="5">
        <f t="shared" si="10"/>
        <v>-61.593899999999849</v>
      </c>
      <c r="G600" s="5">
        <f ca="1">IF(B600="","",股指期货基差分析!$N$11)</f>
        <v>-71.408500000000458</v>
      </c>
      <c r="H600" s="5">
        <f ca="1">IF(B600="","",股指期货基差分析!$L$11)</f>
        <v>15.737900000000081</v>
      </c>
      <c r="I600" s="9">
        <f ca="1">IF(B600="","",股指期货基差分析!$D$11)</f>
        <v>-19.923978315132629</v>
      </c>
      <c r="L600" s="43"/>
      <c r="Q600" s="11"/>
    </row>
    <row r="601" spans="2:17" ht="15" customHeight="1" x14ac:dyDescent="0.2">
      <c r="B601" s="8">
        <v>44370</v>
      </c>
      <c r="C601" s="6">
        <f>IF(B601="","",[1]!s_dq_close(股指期货基差分析!$E$5,$B601))</f>
        <v>6789.9463999999998</v>
      </c>
      <c r="D601" s="6">
        <f>IF(B601="","",[1]!s_dq_close(股指期货基差分析!$E$6,$B601))</f>
        <v>6755.2</v>
      </c>
      <c r="E601" s="6">
        <f ca="1">RANK(F601,F:F)+COUNTIF(F$2:F601,F601)-1</f>
        <v>953</v>
      </c>
      <c r="F601" s="6">
        <f t="shared" si="10"/>
        <v>-34.746399999999994</v>
      </c>
      <c r="G601" s="6">
        <f ca="1">IF(B601="","",股指期货基差分析!$N$11)</f>
        <v>-71.408500000000458</v>
      </c>
      <c r="H601" s="6">
        <f ca="1">IF(B601="","",股指期货基差分析!$L$11)</f>
        <v>15.737900000000081</v>
      </c>
      <c r="I601" s="10">
        <f ca="1">IF(B601="","",股指期货基差分析!$D$11)</f>
        <v>-19.923978315132629</v>
      </c>
      <c r="L601" s="43"/>
      <c r="Q601" s="11"/>
    </row>
    <row r="602" spans="2:17" ht="15" customHeight="1" x14ac:dyDescent="0.2">
      <c r="B602" s="7">
        <v>44371</v>
      </c>
      <c r="C602" s="5">
        <f>IF(B602="","",[1]!s_dq_close(股指期货基差分析!$E$5,$B602))</f>
        <v>6754.8657000000003</v>
      </c>
      <c r="D602" s="5">
        <f>IF(B602="","",[1]!s_dq_close(股指期货基差分析!$E$6,$B602))</f>
        <v>6739.6</v>
      </c>
      <c r="E602" s="5">
        <f ca="1">RANK(F602,F:F)+COUNTIF(F$2:F602,F602)-1</f>
        <v>665</v>
      </c>
      <c r="F602" s="5">
        <f t="shared" si="10"/>
        <v>-15.265699999999924</v>
      </c>
      <c r="G602" s="5">
        <f ca="1">IF(B602="","",股指期货基差分析!$N$11)</f>
        <v>-71.408500000000458</v>
      </c>
      <c r="H602" s="5">
        <f ca="1">IF(B602="","",股指期货基差分析!$L$11)</f>
        <v>15.737900000000081</v>
      </c>
      <c r="I602" s="9">
        <f ca="1">IF(B602="","",股指期货基差分析!$D$11)</f>
        <v>-19.923978315132629</v>
      </c>
      <c r="L602" s="43"/>
      <c r="Q602" s="11"/>
    </row>
    <row r="603" spans="2:17" ht="15" customHeight="1" x14ac:dyDescent="0.2">
      <c r="B603" s="8">
        <v>44372</v>
      </c>
      <c r="C603" s="6">
        <f>IF(B603="","",[1]!s_dq_close(股指期货基差分析!$E$5,$B603))</f>
        <v>6813.4138000000003</v>
      </c>
      <c r="D603" s="6">
        <f>IF(B603="","",[1]!s_dq_close(股指期货基差分析!$E$6,$B603))</f>
        <v>6799.8</v>
      </c>
      <c r="E603" s="6">
        <f ca="1">RANK(F603,F:F)+COUNTIF(F$2:F603,F603)-1</f>
        <v>628</v>
      </c>
      <c r="F603" s="6">
        <f t="shared" si="10"/>
        <v>-13.613800000000083</v>
      </c>
      <c r="G603" s="6">
        <f ca="1">IF(B603="","",股指期货基差分析!$N$11)</f>
        <v>-71.408500000000458</v>
      </c>
      <c r="H603" s="6">
        <f ca="1">IF(B603="","",股指期货基差分析!$L$11)</f>
        <v>15.737900000000081</v>
      </c>
      <c r="I603" s="10">
        <f ca="1">IF(B603="","",股指期货基差分析!$D$11)</f>
        <v>-19.923978315132629</v>
      </c>
      <c r="L603" s="43"/>
      <c r="Q603" s="11"/>
    </row>
    <row r="604" spans="2:17" ht="15" customHeight="1" x14ac:dyDescent="0.2">
      <c r="B604" s="7">
        <v>44375</v>
      </c>
      <c r="C604" s="5">
        <f>IF(B604="","",[1]!s_dq_close(股指期货基差分析!$E$5,$B604))</f>
        <v>6828.5162</v>
      </c>
      <c r="D604" s="5">
        <f>IF(B604="","",[1]!s_dq_close(股指期货基差分析!$E$6,$B604))</f>
        <v>6793</v>
      </c>
      <c r="E604" s="5">
        <f ca="1">RANK(F604,F:F)+COUNTIF(F$2:F604,F604)-1</f>
        <v>965</v>
      </c>
      <c r="F604" s="5">
        <f t="shared" si="10"/>
        <v>-35.516200000000026</v>
      </c>
      <c r="G604" s="5">
        <f ca="1">IF(B604="","",股指期货基差分析!$N$11)</f>
        <v>-71.408500000000458</v>
      </c>
      <c r="H604" s="5">
        <f ca="1">IF(B604="","",股指期货基差分析!$L$11)</f>
        <v>15.737900000000081</v>
      </c>
      <c r="I604" s="9">
        <f ca="1">IF(B604="","",股指期货基差分析!$D$11)</f>
        <v>-19.923978315132629</v>
      </c>
      <c r="L604" s="43"/>
      <c r="Q604" s="11"/>
    </row>
    <row r="605" spans="2:17" ht="15" customHeight="1" x14ac:dyDescent="0.2">
      <c r="B605" s="8">
        <v>44376</v>
      </c>
      <c r="C605" s="6">
        <f>IF(B605="","",[1]!s_dq_close(股指期货基差分析!$E$5,$B605))</f>
        <v>6765.4201000000003</v>
      </c>
      <c r="D605" s="6">
        <f>IF(B605="","",[1]!s_dq_close(股指期货基差分析!$E$6,$B605))</f>
        <v>6744.8</v>
      </c>
      <c r="E605" s="6">
        <f ca="1">RANK(F605,F:F)+COUNTIF(F$2:F605,F605)-1</f>
        <v>761</v>
      </c>
      <c r="F605" s="6">
        <f t="shared" si="10"/>
        <v>-20.620100000000093</v>
      </c>
      <c r="G605" s="6">
        <f ca="1">IF(B605="","",股指期货基差分析!$N$11)</f>
        <v>-71.408500000000458</v>
      </c>
      <c r="H605" s="6">
        <f ca="1">IF(B605="","",股指期货基差分析!$L$11)</f>
        <v>15.737900000000081</v>
      </c>
      <c r="I605" s="10">
        <f ca="1">IF(B605="","",股指期货基差分析!$D$11)</f>
        <v>-19.923978315132629</v>
      </c>
      <c r="L605" s="43"/>
      <c r="Q605" s="11"/>
    </row>
    <row r="606" spans="2:17" ht="15" customHeight="1" x14ac:dyDescent="0.2">
      <c r="B606" s="7">
        <v>44377</v>
      </c>
      <c r="C606" s="5">
        <f>IF(B606="","",[1]!s_dq_close(股指期货基差分析!$E$5,$B606))</f>
        <v>6808.1831000000002</v>
      </c>
      <c r="D606" s="5">
        <f>IF(B606="","",[1]!s_dq_close(股指期货基差分析!$E$6,$B606))</f>
        <v>6764</v>
      </c>
      <c r="E606" s="5">
        <f ca="1">RANK(F606,F:F)+COUNTIF(F$2:F606,F606)-1</f>
        <v>1046</v>
      </c>
      <c r="F606" s="5">
        <f t="shared" si="10"/>
        <v>-44.183100000000195</v>
      </c>
      <c r="G606" s="5">
        <f ca="1">IF(B606="","",股指期货基差分析!$N$11)</f>
        <v>-71.408500000000458</v>
      </c>
      <c r="H606" s="5">
        <f ca="1">IF(B606="","",股指期货基差分析!$L$11)</f>
        <v>15.737900000000081</v>
      </c>
      <c r="I606" s="9">
        <f ca="1">IF(B606="","",股指期货基差分析!$D$11)</f>
        <v>-19.923978315132629</v>
      </c>
      <c r="L606" s="43"/>
      <c r="Q606" s="11"/>
    </row>
    <row r="607" spans="2:17" ht="15" customHeight="1" x14ac:dyDescent="0.2">
      <c r="B607" s="8">
        <v>44378</v>
      </c>
      <c r="C607" s="6">
        <f>IF(B607="","",[1]!s_dq_close(股指期货基差分析!$E$5,$B607))</f>
        <v>6716.6657999999998</v>
      </c>
      <c r="D607" s="6">
        <f>IF(B607="","",[1]!s_dq_close(股指期货基差分析!$E$6,$B607))</f>
        <v>6686.2</v>
      </c>
      <c r="E607" s="6">
        <f ca="1">RANK(F607,F:F)+COUNTIF(F$2:F607,F607)-1</f>
        <v>896</v>
      </c>
      <c r="F607" s="6">
        <f t="shared" si="10"/>
        <v>-30.465799999999945</v>
      </c>
      <c r="G607" s="6">
        <f ca="1">IF(B607="","",股指期货基差分析!$N$11)</f>
        <v>-71.408500000000458</v>
      </c>
      <c r="H607" s="6">
        <f ca="1">IF(B607="","",股指期货基差分析!$L$11)</f>
        <v>15.737900000000081</v>
      </c>
      <c r="I607" s="10">
        <f ca="1">IF(B607="","",股指期货基差分析!$D$11)</f>
        <v>-19.923978315132629</v>
      </c>
      <c r="L607" s="43"/>
      <c r="Q607" s="11"/>
    </row>
    <row r="608" spans="2:17" ht="15" customHeight="1" x14ac:dyDescent="0.2">
      <c r="B608" s="7">
        <v>44379</v>
      </c>
      <c r="C608" s="5">
        <f>IF(B608="","",[1]!s_dq_close(股指期货基差分析!$E$5,$B608))</f>
        <v>6658.0451000000003</v>
      </c>
      <c r="D608" s="5">
        <f>IF(B608="","",[1]!s_dq_close(股指期货基差分析!$E$6,$B608))</f>
        <v>6639</v>
      </c>
      <c r="E608" s="5">
        <f ca="1">RANK(F608,F:F)+COUNTIF(F$2:F608,F608)-1</f>
        <v>729</v>
      </c>
      <c r="F608" s="5">
        <f t="shared" si="10"/>
        <v>-19.045100000000275</v>
      </c>
      <c r="G608" s="5">
        <f ca="1">IF(B608="","",股指期货基差分析!$N$11)</f>
        <v>-71.408500000000458</v>
      </c>
      <c r="H608" s="5">
        <f ca="1">IF(B608="","",股指期货基差分析!$L$11)</f>
        <v>15.737900000000081</v>
      </c>
      <c r="I608" s="9">
        <f ca="1">IF(B608="","",股指期货基差分析!$D$11)</f>
        <v>-19.923978315132629</v>
      </c>
      <c r="L608" s="43"/>
      <c r="Q608" s="11"/>
    </row>
    <row r="609" spans="2:17" ht="15" customHeight="1" x14ac:dyDescent="0.2">
      <c r="B609" s="8">
        <v>44382</v>
      </c>
      <c r="C609" s="6">
        <f>IF(B609="","",[1]!s_dq_close(股指期货基差分析!$E$5,$B609))</f>
        <v>6711.0136000000002</v>
      </c>
      <c r="D609" s="6">
        <f>IF(B609="","",[1]!s_dq_close(股指期货基差分析!$E$6,$B609))</f>
        <v>6678.4</v>
      </c>
      <c r="E609" s="6">
        <f ca="1">RANK(F609,F:F)+COUNTIF(F$2:F609,F609)-1</f>
        <v>928</v>
      </c>
      <c r="F609" s="6">
        <f t="shared" si="10"/>
        <v>-32.613600000000588</v>
      </c>
      <c r="G609" s="6">
        <f ca="1">IF(B609="","",股指期货基差分析!$N$11)</f>
        <v>-71.408500000000458</v>
      </c>
      <c r="H609" s="6">
        <f ca="1">IF(B609="","",股指期货基差分析!$L$11)</f>
        <v>15.737900000000081</v>
      </c>
      <c r="I609" s="10">
        <f ca="1">IF(B609="","",股指期货基差分析!$D$11)</f>
        <v>-19.923978315132629</v>
      </c>
      <c r="L609" s="43"/>
      <c r="Q609" s="11"/>
    </row>
    <row r="610" spans="2:17" ht="15" customHeight="1" x14ac:dyDescent="0.2">
      <c r="B610" s="7">
        <v>44383</v>
      </c>
      <c r="C610" s="5">
        <f>IF(B610="","",[1]!s_dq_close(股指期货基差分析!$E$5,$B610))</f>
        <v>6709.4983000000002</v>
      </c>
      <c r="D610" s="5">
        <f>IF(B610="","",[1]!s_dq_close(股指期货基差分析!$E$6,$B610))</f>
        <v>6675.2</v>
      </c>
      <c r="E610" s="5">
        <f ca="1">RANK(F610,F:F)+COUNTIF(F$2:F610,F610)-1</f>
        <v>943</v>
      </c>
      <c r="F610" s="5">
        <f t="shared" si="10"/>
        <v>-34.298300000000381</v>
      </c>
      <c r="G610" s="5">
        <f ca="1">IF(B610="","",股指期货基差分析!$N$11)</f>
        <v>-71.408500000000458</v>
      </c>
      <c r="H610" s="5">
        <f ca="1">IF(B610="","",股指期货基差分析!$L$11)</f>
        <v>15.737900000000081</v>
      </c>
      <c r="I610" s="9">
        <f ca="1">IF(B610="","",股指期货基差分析!$D$11)</f>
        <v>-19.923978315132629</v>
      </c>
      <c r="L610" s="43"/>
      <c r="Q610" s="11"/>
    </row>
    <row r="611" spans="2:17" ht="15" customHeight="1" x14ac:dyDescent="0.2">
      <c r="B611" s="8">
        <v>44384</v>
      </c>
      <c r="C611" s="6">
        <f>IF(B611="","",[1]!s_dq_close(股指期货基差分析!$E$5,$B611))</f>
        <v>6764.1319000000003</v>
      </c>
      <c r="D611" s="6">
        <f>IF(B611="","",[1]!s_dq_close(股指期货基差分析!$E$6,$B611))</f>
        <v>6739</v>
      </c>
      <c r="E611" s="6">
        <f ca="1">RANK(F611,F:F)+COUNTIF(F$2:F611,F611)-1</f>
        <v>818</v>
      </c>
      <c r="F611" s="6">
        <f t="shared" si="10"/>
        <v>-25.131900000000314</v>
      </c>
      <c r="G611" s="6">
        <f ca="1">IF(B611="","",股指期货基差分析!$N$11)</f>
        <v>-71.408500000000458</v>
      </c>
      <c r="H611" s="6">
        <f ca="1">IF(B611="","",股指期货基差分析!$L$11)</f>
        <v>15.737900000000081</v>
      </c>
      <c r="I611" s="10">
        <f ca="1">IF(B611="","",股指期货基差分析!$D$11)</f>
        <v>-19.923978315132629</v>
      </c>
      <c r="L611" s="43"/>
      <c r="Q611" s="11"/>
    </row>
    <row r="612" spans="2:17" ht="15" customHeight="1" x14ac:dyDescent="0.2">
      <c r="B612" s="7">
        <v>44385</v>
      </c>
      <c r="C612" s="5">
        <f>IF(B612="","",[1]!s_dq_close(股指期货基差分析!$E$5,$B612))</f>
        <v>6748.6540000000005</v>
      </c>
      <c r="D612" s="5">
        <f>IF(B612="","",[1]!s_dq_close(股指期货基差分析!$E$6,$B612))</f>
        <v>6721.8</v>
      </c>
      <c r="E612" s="5">
        <f ca="1">RANK(F612,F:F)+COUNTIF(F$2:F612,F612)-1</f>
        <v>841</v>
      </c>
      <c r="F612" s="5">
        <f t="shared" si="10"/>
        <v>-26.854000000000269</v>
      </c>
      <c r="G612" s="5">
        <f ca="1">IF(B612="","",股指期货基差分析!$N$11)</f>
        <v>-71.408500000000458</v>
      </c>
      <c r="H612" s="5">
        <f ca="1">IF(B612="","",股指期货基差分析!$L$11)</f>
        <v>15.737900000000081</v>
      </c>
      <c r="I612" s="9">
        <f ca="1">IF(B612="","",股指期货基差分析!$D$11)</f>
        <v>-19.923978315132629</v>
      </c>
      <c r="L612" s="43"/>
      <c r="Q612" s="11"/>
    </row>
    <row r="613" spans="2:17" ht="15" customHeight="1" x14ac:dyDescent="0.2">
      <c r="B613" s="8">
        <v>44386</v>
      </c>
      <c r="C613" s="6">
        <f>IF(B613="","",[1]!s_dq_close(股指期货基差分析!$E$5,$B613))</f>
        <v>6804.5388999999996</v>
      </c>
      <c r="D613" s="6">
        <f>IF(B613="","",[1]!s_dq_close(股指期货基差分析!$E$6,$B613))</f>
        <v>6784.2</v>
      </c>
      <c r="E613" s="6">
        <f ca="1">RANK(F613,F:F)+COUNTIF(F$2:F613,F613)-1</f>
        <v>758</v>
      </c>
      <c r="F613" s="6">
        <f t="shared" si="10"/>
        <v>-20.33889999999974</v>
      </c>
      <c r="G613" s="6">
        <f ca="1">IF(B613="","",股指期货基差分析!$N$11)</f>
        <v>-71.408500000000458</v>
      </c>
      <c r="H613" s="6">
        <f ca="1">IF(B613="","",股指期货基差分析!$L$11)</f>
        <v>15.737900000000081</v>
      </c>
      <c r="I613" s="10">
        <f ca="1">IF(B613="","",股指期货基差分析!$D$11)</f>
        <v>-19.923978315132629</v>
      </c>
      <c r="L613" s="43"/>
      <c r="Q613" s="11"/>
    </row>
    <row r="614" spans="2:17" ht="15" customHeight="1" x14ac:dyDescent="0.2">
      <c r="B614" s="7">
        <v>44389</v>
      </c>
      <c r="C614" s="5">
        <f>IF(B614="","",[1]!s_dq_close(股指期货基差分析!$E$5,$B614))</f>
        <v>6904.3818000000001</v>
      </c>
      <c r="D614" s="5">
        <f>IF(B614="","",[1]!s_dq_close(股指期货基差分析!$E$6,$B614))</f>
        <v>6866</v>
      </c>
      <c r="E614" s="5">
        <f ca="1">RANK(F614,F:F)+COUNTIF(F$2:F614,F614)-1</f>
        <v>986</v>
      </c>
      <c r="F614" s="5">
        <f t="shared" si="10"/>
        <v>-38.381800000000112</v>
      </c>
      <c r="G614" s="5">
        <f ca="1">IF(B614="","",股指期货基差分析!$N$11)</f>
        <v>-71.408500000000458</v>
      </c>
      <c r="H614" s="5">
        <f ca="1">IF(B614="","",股指期货基差分析!$L$11)</f>
        <v>15.737900000000081</v>
      </c>
      <c r="I614" s="9">
        <f ca="1">IF(B614="","",股指期货基差分析!$D$11)</f>
        <v>-19.923978315132629</v>
      </c>
      <c r="L614" s="43"/>
      <c r="Q614" s="11"/>
    </row>
    <row r="615" spans="2:17" ht="15" customHeight="1" x14ac:dyDescent="0.2">
      <c r="B615" s="8">
        <v>44390</v>
      </c>
      <c r="C615" s="6">
        <f>IF(B615="","",[1]!s_dq_close(股指期货基差分析!$E$5,$B615))</f>
        <v>6961.8474999999999</v>
      </c>
      <c r="D615" s="6">
        <f>IF(B615="","",[1]!s_dq_close(股指期货基差分析!$E$6,$B615))</f>
        <v>6941.6</v>
      </c>
      <c r="E615" s="6">
        <f ca="1">RANK(F615,F:F)+COUNTIF(F$2:F615,F615)-1</f>
        <v>755</v>
      </c>
      <c r="F615" s="6">
        <f t="shared" si="10"/>
        <v>-20.247499999999491</v>
      </c>
      <c r="G615" s="6">
        <f ca="1">IF(B615="","",股指期货基差分析!$N$11)</f>
        <v>-71.408500000000458</v>
      </c>
      <c r="H615" s="6">
        <f ca="1">IF(B615="","",股指期货基差分析!$L$11)</f>
        <v>15.737900000000081</v>
      </c>
      <c r="I615" s="10">
        <f ca="1">IF(B615="","",股指期货基差分析!$D$11)</f>
        <v>-19.923978315132629</v>
      </c>
      <c r="L615" s="43"/>
      <c r="Q615" s="11"/>
    </row>
    <row r="616" spans="2:17" ht="15" customHeight="1" x14ac:dyDescent="0.2">
      <c r="B616" s="7">
        <v>44391</v>
      </c>
      <c r="C616" s="5">
        <f>IF(B616="","",[1]!s_dq_close(股指期货基差分析!$E$5,$B616))</f>
        <v>6898.7502000000004</v>
      </c>
      <c r="D616" s="5">
        <f>IF(B616="","",[1]!s_dq_close(股指期货基差分析!$E$6,$B616))</f>
        <v>6909.2</v>
      </c>
      <c r="E616" s="5">
        <f ca="1">RANK(F616,F:F)+COUNTIF(F$2:F616,F616)-1</f>
        <v>107</v>
      </c>
      <c r="F616" s="5">
        <f t="shared" si="10"/>
        <v>10.449799999999414</v>
      </c>
      <c r="G616" s="5">
        <f ca="1">IF(B616="","",股指期货基差分析!$N$11)</f>
        <v>-71.408500000000458</v>
      </c>
      <c r="H616" s="5">
        <f ca="1">IF(B616="","",股指期货基差分析!$L$11)</f>
        <v>15.737900000000081</v>
      </c>
      <c r="I616" s="9">
        <f ca="1">IF(B616="","",股指期货基差分析!$D$11)</f>
        <v>-19.923978315132629</v>
      </c>
      <c r="L616" s="43"/>
      <c r="Q616" s="11"/>
    </row>
    <row r="617" spans="2:17" ht="15" customHeight="1" x14ac:dyDescent="0.2">
      <c r="B617" s="8">
        <v>44392</v>
      </c>
      <c r="C617" s="6">
        <f>IF(B617="","",[1]!s_dq_close(股指期货基差分析!$E$5,$B617))</f>
        <v>6932.4059999999999</v>
      </c>
      <c r="D617" s="6">
        <f>IF(B617="","",[1]!s_dq_close(股指期货基差分析!$E$6,$B617))</f>
        <v>6920</v>
      </c>
      <c r="E617" s="6">
        <f ca="1">RANK(F617,F:F)+COUNTIF(F$2:F617,F617)-1</f>
        <v>604</v>
      </c>
      <c r="F617" s="6">
        <f t="shared" si="10"/>
        <v>-12.405999999999949</v>
      </c>
      <c r="G617" s="6">
        <f ca="1">IF(B617="","",股指期货基差分析!$N$11)</f>
        <v>-71.408500000000458</v>
      </c>
      <c r="H617" s="6">
        <f ca="1">IF(B617="","",股指期货基差分析!$L$11)</f>
        <v>15.737900000000081</v>
      </c>
      <c r="I617" s="10">
        <f ca="1">IF(B617="","",股指期货基差分析!$D$11)</f>
        <v>-19.923978315132629</v>
      </c>
      <c r="L617" s="43"/>
      <c r="Q617" s="11"/>
    </row>
    <row r="618" spans="2:17" ht="15" customHeight="1" x14ac:dyDescent="0.2">
      <c r="B618" s="7">
        <v>44393</v>
      </c>
      <c r="C618" s="5">
        <f>IF(B618="","",[1]!s_dq_close(股指期货基差分析!$E$5,$B618))</f>
        <v>6925.1232</v>
      </c>
      <c r="D618" s="5">
        <f>IF(B618="","",[1]!s_dq_close(股指期货基差分析!$E$6,$B618))</f>
        <v>6956.2</v>
      </c>
      <c r="E618" s="5">
        <f ca="1">RANK(F618,F:F)+COUNTIF(F$2:F618,F618)-1</f>
        <v>14</v>
      </c>
      <c r="F618" s="5">
        <f t="shared" si="10"/>
        <v>31.076799999999821</v>
      </c>
      <c r="G618" s="5">
        <f ca="1">IF(B618="","",股指期货基差分析!$N$11)</f>
        <v>-71.408500000000458</v>
      </c>
      <c r="H618" s="5">
        <f ca="1">IF(B618="","",股指期货基差分析!$L$11)</f>
        <v>15.737900000000081</v>
      </c>
      <c r="I618" s="9">
        <f ca="1">IF(B618="","",股指期货基差分析!$D$11)</f>
        <v>-19.923978315132629</v>
      </c>
      <c r="L618" s="43"/>
      <c r="Q618" s="11"/>
    </row>
    <row r="619" spans="2:17" ht="15" customHeight="1" x14ac:dyDescent="0.2">
      <c r="B619" s="8">
        <v>44396</v>
      </c>
      <c r="C619" s="6">
        <f>IF(B619="","",[1]!s_dq_close(股指期货基差分析!$E$5,$B619))</f>
        <v>6889.3374999999996</v>
      </c>
      <c r="D619" s="6">
        <f>IF(B619="","",[1]!s_dq_close(股指期货基差分析!$E$6,$B619))</f>
        <v>6853.6</v>
      </c>
      <c r="E619" s="6">
        <f ca="1">RANK(F619,F:F)+COUNTIF(F$2:F619,F619)-1</f>
        <v>966</v>
      </c>
      <c r="F619" s="6">
        <f t="shared" si="10"/>
        <v>-35.737499999999272</v>
      </c>
      <c r="G619" s="6">
        <f ca="1">IF(B619="","",股指期货基差分析!$N$11)</f>
        <v>-71.408500000000458</v>
      </c>
      <c r="H619" s="6">
        <f ca="1">IF(B619="","",股指期货基差分析!$L$11)</f>
        <v>15.737900000000081</v>
      </c>
      <c r="I619" s="10">
        <f ca="1">IF(B619="","",股指期货基差分析!$D$11)</f>
        <v>-19.923978315132629</v>
      </c>
      <c r="L619" s="43"/>
      <c r="Q619" s="11"/>
    </row>
    <row r="620" spans="2:17" ht="15" customHeight="1" x14ac:dyDescent="0.2">
      <c r="B620" s="7">
        <v>44397</v>
      </c>
      <c r="C620" s="5">
        <f>IF(B620="","",[1]!s_dq_close(股指期货基差分析!$E$5,$B620))</f>
        <v>6901.1318000000001</v>
      </c>
      <c r="D620" s="5">
        <f>IF(B620="","",[1]!s_dq_close(股指期货基差分析!$E$6,$B620))</f>
        <v>6860.4</v>
      </c>
      <c r="E620" s="5">
        <f ca="1">RANK(F620,F:F)+COUNTIF(F$2:F620,F620)-1</f>
        <v>1013</v>
      </c>
      <c r="F620" s="5">
        <f t="shared" si="10"/>
        <v>-40.731800000000476</v>
      </c>
      <c r="G620" s="5">
        <f ca="1">IF(B620="","",股指期货基差分析!$N$11)</f>
        <v>-71.408500000000458</v>
      </c>
      <c r="H620" s="5">
        <f ca="1">IF(B620="","",股指期货基差分析!$L$11)</f>
        <v>15.737900000000081</v>
      </c>
      <c r="I620" s="9">
        <f ca="1">IF(B620="","",股指期货基差分析!$D$11)</f>
        <v>-19.923978315132629</v>
      </c>
      <c r="L620" s="43"/>
      <c r="Q620" s="11"/>
    </row>
    <row r="621" spans="2:17" ht="15" customHeight="1" x14ac:dyDescent="0.2">
      <c r="B621" s="8">
        <v>44398</v>
      </c>
      <c r="C621" s="6">
        <f>IF(B621="","",[1]!s_dq_close(股指期货基差分析!$E$5,$B621))</f>
        <v>6984.5418</v>
      </c>
      <c r="D621" s="6">
        <f>IF(B621="","",[1]!s_dq_close(股指期货基差分析!$E$6,$B621))</f>
        <v>6939.2</v>
      </c>
      <c r="E621" s="6">
        <f ca="1">RANK(F621,F:F)+COUNTIF(F$2:F621,F621)-1</f>
        <v>1064</v>
      </c>
      <c r="F621" s="6">
        <f t="shared" si="10"/>
        <v>-45.341800000000148</v>
      </c>
      <c r="G621" s="6">
        <f ca="1">IF(B621="","",股指期货基差分析!$N$11)</f>
        <v>-71.408500000000458</v>
      </c>
      <c r="H621" s="6">
        <f ca="1">IF(B621="","",股指期货基差分析!$L$11)</f>
        <v>15.737900000000081</v>
      </c>
      <c r="I621" s="10">
        <f ca="1">IF(B621="","",股指期货基差分析!$D$11)</f>
        <v>-19.923978315132629</v>
      </c>
      <c r="L621" s="43"/>
      <c r="Q621" s="11"/>
    </row>
    <row r="622" spans="2:17" ht="15" customHeight="1" x14ac:dyDescent="0.2">
      <c r="B622" s="7">
        <v>44399</v>
      </c>
      <c r="C622" s="5">
        <f>IF(B622="","",[1]!s_dq_close(股指期货基差分析!$E$5,$B622))</f>
        <v>7026.5482000000002</v>
      </c>
      <c r="D622" s="5">
        <f>IF(B622="","",[1]!s_dq_close(股指期货基差分析!$E$6,$B622))</f>
        <v>6975.4</v>
      </c>
      <c r="E622" s="5">
        <f ca="1">RANK(F622,F:F)+COUNTIF(F$2:F622,F622)-1</f>
        <v>1108</v>
      </c>
      <c r="F622" s="5">
        <f t="shared" si="10"/>
        <v>-51.148200000000543</v>
      </c>
      <c r="G622" s="5">
        <f ca="1">IF(B622="","",股指期货基差分析!$N$11)</f>
        <v>-71.408500000000458</v>
      </c>
      <c r="H622" s="5">
        <f ca="1">IF(B622="","",股指期货基差分析!$L$11)</f>
        <v>15.737900000000081</v>
      </c>
      <c r="I622" s="9">
        <f ca="1">IF(B622="","",股指期货基差分析!$D$11)</f>
        <v>-19.923978315132629</v>
      </c>
      <c r="L622" s="43"/>
      <c r="Q622" s="11"/>
    </row>
    <row r="623" spans="2:17" ht="15" customHeight="1" x14ac:dyDescent="0.2">
      <c r="B623" s="8">
        <v>44400</v>
      </c>
      <c r="C623" s="6">
        <f>IF(B623="","",[1]!s_dq_close(股指期货基差分析!$E$5,$B623))</f>
        <v>6985.7498999999998</v>
      </c>
      <c r="D623" s="6">
        <f>IF(B623="","",[1]!s_dq_close(股指期货基差分析!$E$6,$B623))</f>
        <v>6947</v>
      </c>
      <c r="E623" s="6">
        <f ca="1">RANK(F623,F:F)+COUNTIF(F$2:F623,F623)-1</f>
        <v>992</v>
      </c>
      <c r="F623" s="6">
        <f t="shared" si="10"/>
        <v>-38.749899999999798</v>
      </c>
      <c r="G623" s="6">
        <f ca="1">IF(B623="","",股指期货基差分析!$N$11)</f>
        <v>-71.408500000000458</v>
      </c>
      <c r="H623" s="6">
        <f ca="1">IF(B623="","",股指期货基差分析!$L$11)</f>
        <v>15.737900000000081</v>
      </c>
      <c r="I623" s="10">
        <f ca="1">IF(B623="","",股指期货基差分析!$D$11)</f>
        <v>-19.923978315132629</v>
      </c>
      <c r="L623" s="43"/>
      <c r="Q623" s="11"/>
    </row>
    <row r="624" spans="2:17" ht="15" customHeight="1" x14ac:dyDescent="0.2">
      <c r="B624" s="7">
        <v>44403</v>
      </c>
      <c r="C624" s="5">
        <f>IF(B624="","",[1]!s_dq_close(股指期货基差分析!$E$5,$B624))</f>
        <v>6868.2074000000002</v>
      </c>
      <c r="D624" s="5">
        <f>IF(B624="","",[1]!s_dq_close(股指期货基差分析!$E$6,$B624))</f>
        <v>6827.2</v>
      </c>
      <c r="E624" s="5">
        <f ca="1">RANK(F624,F:F)+COUNTIF(F$2:F624,F624)-1</f>
        <v>1015</v>
      </c>
      <c r="F624" s="5">
        <f t="shared" si="10"/>
        <v>-41.007400000000416</v>
      </c>
      <c r="G624" s="5">
        <f ca="1">IF(B624="","",股指期货基差分析!$N$11)</f>
        <v>-71.408500000000458</v>
      </c>
      <c r="H624" s="5">
        <f ca="1">IF(B624="","",股指期货基差分析!$L$11)</f>
        <v>15.737900000000081</v>
      </c>
      <c r="I624" s="9">
        <f ca="1">IF(B624="","",股指期货基差分析!$D$11)</f>
        <v>-19.923978315132629</v>
      </c>
      <c r="L624" s="43"/>
      <c r="Q624" s="11"/>
    </row>
    <row r="625" spans="2:17" ht="15" customHeight="1" x14ac:dyDescent="0.2">
      <c r="B625" s="8">
        <v>44404</v>
      </c>
      <c r="C625" s="6">
        <f>IF(B625="","",[1]!s_dq_close(股指期货基差分析!$E$5,$B625))</f>
        <v>6719.2556999999997</v>
      </c>
      <c r="D625" s="6">
        <f>IF(B625="","",[1]!s_dq_close(股指期货基差分析!$E$6,$B625))</f>
        <v>6719.4</v>
      </c>
      <c r="E625" s="6">
        <f ca="1">RANK(F625,F:F)+COUNTIF(F$2:F625,F625)-1</f>
        <v>290</v>
      </c>
      <c r="F625" s="6">
        <f t="shared" si="10"/>
        <v>0.14429999999993015</v>
      </c>
      <c r="G625" s="6">
        <f ca="1">IF(B625="","",股指期货基差分析!$N$11)</f>
        <v>-71.408500000000458</v>
      </c>
      <c r="H625" s="6">
        <f ca="1">IF(B625="","",股指期货基差分析!$L$11)</f>
        <v>15.737900000000081</v>
      </c>
      <c r="I625" s="10">
        <f ca="1">IF(B625="","",股指期货基差分析!$D$11)</f>
        <v>-19.923978315132629</v>
      </c>
      <c r="L625" s="43"/>
      <c r="Q625" s="11"/>
    </row>
    <row r="626" spans="2:17" ht="15" customHeight="1" x14ac:dyDescent="0.2">
      <c r="B626" s="7">
        <v>44405</v>
      </c>
      <c r="C626" s="5">
        <f>IF(B626="","",[1]!s_dq_close(股指期货基差分析!$E$5,$B626))</f>
        <v>6621.9844999999996</v>
      </c>
      <c r="D626" s="5">
        <f>IF(B626="","",[1]!s_dq_close(股指期货基差分析!$E$6,$B626))</f>
        <v>6628</v>
      </c>
      <c r="E626" s="5">
        <f ca="1">RANK(F626,F:F)+COUNTIF(F$2:F626,F626)-1</f>
        <v>170</v>
      </c>
      <c r="F626" s="5">
        <f t="shared" si="10"/>
        <v>6.0155000000004293</v>
      </c>
      <c r="G626" s="5">
        <f ca="1">IF(B626="","",股指期货基差分析!$N$11)</f>
        <v>-71.408500000000458</v>
      </c>
      <c r="H626" s="5">
        <f ca="1">IF(B626="","",股指期货基差分析!$L$11)</f>
        <v>15.737900000000081</v>
      </c>
      <c r="I626" s="9">
        <f ca="1">IF(B626="","",股指期货基差分析!$D$11)</f>
        <v>-19.923978315132629</v>
      </c>
      <c r="L626" s="43"/>
      <c r="Q626" s="11"/>
    </row>
    <row r="627" spans="2:17" ht="15" customHeight="1" x14ac:dyDescent="0.2">
      <c r="B627" s="8">
        <v>44406</v>
      </c>
      <c r="C627" s="6">
        <f>IF(B627="","",[1]!s_dq_close(股指期货基差分析!$E$5,$B627))</f>
        <v>6758.8869000000004</v>
      </c>
      <c r="D627" s="6">
        <f>IF(B627="","",[1]!s_dq_close(股指期货基差分析!$E$6,$B627))</f>
        <v>6736.8</v>
      </c>
      <c r="E627" s="6">
        <f ca="1">RANK(F627,F:F)+COUNTIF(F$2:F627,F627)-1</f>
        <v>787</v>
      </c>
      <c r="F627" s="6">
        <f t="shared" si="10"/>
        <v>-22.086900000000242</v>
      </c>
      <c r="G627" s="6">
        <f ca="1">IF(B627="","",股指期货基差分析!$N$11)</f>
        <v>-71.408500000000458</v>
      </c>
      <c r="H627" s="6">
        <f ca="1">IF(B627="","",股指期货基差分析!$L$11)</f>
        <v>15.737900000000081</v>
      </c>
      <c r="I627" s="10">
        <f ca="1">IF(B627="","",股指期货基差分析!$D$11)</f>
        <v>-19.923978315132629</v>
      </c>
      <c r="L627" s="43"/>
      <c r="Q627" s="11"/>
    </row>
    <row r="628" spans="2:17" ht="15" customHeight="1" x14ac:dyDescent="0.2">
      <c r="B628" s="7">
        <v>44407</v>
      </c>
      <c r="C628" s="5">
        <f>IF(B628="","",[1]!s_dq_close(股指期货基差分析!$E$5,$B628))</f>
        <v>6767.3159999999998</v>
      </c>
      <c r="D628" s="5">
        <f>IF(B628="","",[1]!s_dq_close(股指期货基差分析!$E$6,$B628))</f>
        <v>6758.6</v>
      </c>
      <c r="E628" s="5">
        <f ca="1">RANK(F628,F:F)+COUNTIF(F$2:F628,F628)-1</f>
        <v>521</v>
      </c>
      <c r="F628" s="5">
        <f t="shared" si="10"/>
        <v>-8.7159999999994398</v>
      </c>
      <c r="G628" s="5">
        <f ca="1">IF(B628="","",股指期货基差分析!$N$11)</f>
        <v>-71.408500000000458</v>
      </c>
      <c r="H628" s="5">
        <f ca="1">IF(B628="","",股指期货基差分析!$L$11)</f>
        <v>15.737900000000081</v>
      </c>
      <c r="I628" s="9">
        <f ca="1">IF(B628="","",股指期货基差分析!$D$11)</f>
        <v>-19.923978315132629</v>
      </c>
      <c r="L628" s="43"/>
      <c r="Q628" s="11"/>
    </row>
    <row r="629" spans="2:17" ht="15" customHeight="1" x14ac:dyDescent="0.2">
      <c r="B629" s="8">
        <v>44410</v>
      </c>
      <c r="C629" s="6">
        <f>IF(B629="","",[1]!s_dq_close(股指期货基差分析!$E$5,$B629))</f>
        <v>6872.0003999999999</v>
      </c>
      <c r="D629" s="6">
        <f>IF(B629="","",[1]!s_dq_close(股指期货基差分析!$E$6,$B629))</f>
        <v>6833.8</v>
      </c>
      <c r="E629" s="6">
        <f ca="1">RANK(F629,F:F)+COUNTIF(F$2:F629,F629)-1</f>
        <v>985</v>
      </c>
      <c r="F629" s="6">
        <f t="shared" si="10"/>
        <v>-38.200399999999718</v>
      </c>
      <c r="G629" s="6">
        <f ca="1">IF(B629="","",股指期货基差分析!$N$11)</f>
        <v>-71.408500000000458</v>
      </c>
      <c r="H629" s="6">
        <f ca="1">IF(B629="","",股指期货基差分析!$L$11)</f>
        <v>15.737900000000081</v>
      </c>
      <c r="I629" s="10">
        <f ca="1">IF(B629="","",股指期货基差分析!$D$11)</f>
        <v>-19.923978315132629</v>
      </c>
      <c r="L629" s="43"/>
      <c r="Q629" s="11"/>
    </row>
    <row r="630" spans="2:17" ht="15" customHeight="1" x14ac:dyDescent="0.2">
      <c r="B630" s="7">
        <v>44411</v>
      </c>
      <c r="C630" s="5">
        <f>IF(B630="","",[1]!s_dq_close(股指期货基差分析!$E$5,$B630))</f>
        <v>6816.0106999999998</v>
      </c>
      <c r="D630" s="5">
        <f>IF(B630="","",[1]!s_dq_close(股指期货基差分析!$E$6,$B630))</f>
        <v>6795.8</v>
      </c>
      <c r="E630" s="5">
        <f ca="1">RANK(F630,F:F)+COUNTIF(F$2:F630,F630)-1</f>
        <v>754</v>
      </c>
      <c r="F630" s="5">
        <f t="shared" si="10"/>
        <v>-20.210699999999633</v>
      </c>
      <c r="G630" s="5">
        <f ca="1">IF(B630="","",股指期货基差分析!$N$11)</f>
        <v>-71.408500000000458</v>
      </c>
      <c r="H630" s="5">
        <f ca="1">IF(B630="","",股指期货基差分析!$L$11)</f>
        <v>15.737900000000081</v>
      </c>
      <c r="I630" s="9">
        <f ca="1">IF(B630="","",股指期货基差分析!$D$11)</f>
        <v>-19.923978315132629</v>
      </c>
      <c r="L630" s="43"/>
      <c r="Q630" s="11"/>
    </row>
    <row r="631" spans="2:17" ht="15" customHeight="1" x14ac:dyDescent="0.2">
      <c r="B631" s="8">
        <v>44412</v>
      </c>
      <c r="C631" s="6">
        <f>IF(B631="","",[1]!s_dq_close(股指期货基差分析!$E$5,$B631))</f>
        <v>6931.3365000000003</v>
      </c>
      <c r="D631" s="6">
        <f>IF(B631="","",[1]!s_dq_close(股指期货基差分析!$E$6,$B631))</f>
        <v>6867.2</v>
      </c>
      <c r="E631" s="6">
        <f ca="1">RANK(F631,F:F)+COUNTIF(F$2:F631,F631)-1</f>
        <v>1183</v>
      </c>
      <c r="F631" s="6">
        <f t="shared" si="10"/>
        <v>-64.136500000000524</v>
      </c>
      <c r="G631" s="6">
        <f ca="1">IF(B631="","",股指期货基差分析!$N$11)</f>
        <v>-71.408500000000458</v>
      </c>
      <c r="H631" s="6">
        <f ca="1">IF(B631="","",股指期货基差分析!$L$11)</f>
        <v>15.737900000000081</v>
      </c>
      <c r="I631" s="10">
        <f ca="1">IF(B631="","",股指期货基差分析!$D$11)</f>
        <v>-19.923978315132629</v>
      </c>
      <c r="L631" s="43"/>
      <c r="Q631" s="11"/>
    </row>
    <row r="632" spans="2:17" ht="15" customHeight="1" x14ac:dyDescent="0.2">
      <c r="B632" s="7">
        <v>44413</v>
      </c>
      <c r="C632" s="5">
        <f>IF(B632="","",[1]!s_dq_close(股指期货基差分析!$E$5,$B632))</f>
        <v>6911.8292000000001</v>
      </c>
      <c r="D632" s="5">
        <f>IF(B632="","",[1]!s_dq_close(股指期货基差分析!$E$6,$B632))</f>
        <v>6867.4</v>
      </c>
      <c r="E632" s="5">
        <f ca="1">RANK(F632,F:F)+COUNTIF(F$2:F632,F632)-1</f>
        <v>1052</v>
      </c>
      <c r="F632" s="5">
        <f t="shared" si="10"/>
        <v>-44.429200000000492</v>
      </c>
      <c r="G632" s="5">
        <f ca="1">IF(B632="","",股指期货基差分析!$N$11)</f>
        <v>-71.408500000000458</v>
      </c>
      <c r="H632" s="5">
        <f ca="1">IF(B632="","",股指期货基差分析!$L$11)</f>
        <v>15.737900000000081</v>
      </c>
      <c r="I632" s="9">
        <f ca="1">IF(B632="","",股指期货基差分析!$D$11)</f>
        <v>-19.923978315132629</v>
      </c>
      <c r="L632" s="43"/>
      <c r="Q632" s="11"/>
    </row>
    <row r="633" spans="2:17" ht="15" customHeight="1" x14ac:dyDescent="0.2">
      <c r="B633" s="8">
        <v>44414</v>
      </c>
      <c r="C633" s="6">
        <f>IF(B633="","",[1]!s_dq_close(股指期货基差分析!$E$5,$B633))</f>
        <v>6938.8679000000002</v>
      </c>
      <c r="D633" s="6">
        <f>IF(B633="","",[1]!s_dq_close(股指期货基差分析!$E$6,$B633))</f>
        <v>6898.2</v>
      </c>
      <c r="E633" s="6">
        <f ca="1">RANK(F633,F:F)+COUNTIF(F$2:F633,F633)-1</f>
        <v>1012</v>
      </c>
      <c r="F633" s="6">
        <f t="shared" si="10"/>
        <v>-40.667900000000373</v>
      </c>
      <c r="G633" s="6">
        <f ca="1">IF(B633="","",股指期货基差分析!$N$11)</f>
        <v>-71.408500000000458</v>
      </c>
      <c r="H633" s="6">
        <f ca="1">IF(B633="","",股指期货基差分析!$L$11)</f>
        <v>15.737900000000081</v>
      </c>
      <c r="I633" s="10">
        <f ca="1">IF(B633="","",股指期货基差分析!$D$11)</f>
        <v>-19.923978315132629</v>
      </c>
      <c r="L633" s="43"/>
      <c r="Q633" s="11"/>
    </row>
    <row r="634" spans="2:17" ht="15" customHeight="1" x14ac:dyDescent="0.2">
      <c r="B634" s="7">
        <v>44417</v>
      </c>
      <c r="C634" s="5">
        <f>IF(B634="","",[1]!s_dq_close(股指期货基差分析!$E$5,$B634))</f>
        <v>6979.5255999999999</v>
      </c>
      <c r="D634" s="5">
        <f>IF(B634="","",[1]!s_dq_close(股指期货基差分析!$E$6,$B634))</f>
        <v>6913.8</v>
      </c>
      <c r="E634" s="5">
        <f ca="1">RANK(F634,F:F)+COUNTIF(F$2:F634,F634)-1</f>
        <v>1191</v>
      </c>
      <c r="F634" s="5">
        <f t="shared" si="10"/>
        <v>-65.725599999999758</v>
      </c>
      <c r="G634" s="5">
        <f ca="1">IF(B634="","",股指期货基差分析!$N$11)</f>
        <v>-71.408500000000458</v>
      </c>
      <c r="H634" s="5">
        <f ca="1">IF(B634="","",股指期货基差分析!$L$11)</f>
        <v>15.737900000000081</v>
      </c>
      <c r="I634" s="9">
        <f ca="1">IF(B634="","",股指期货基差分析!$D$11)</f>
        <v>-19.923978315132629</v>
      </c>
      <c r="L634" s="43"/>
      <c r="Q634" s="11"/>
    </row>
    <row r="635" spans="2:17" ht="15" customHeight="1" x14ac:dyDescent="0.2">
      <c r="B635" s="8">
        <v>44418</v>
      </c>
      <c r="C635" s="6">
        <f>IF(B635="","",[1]!s_dq_close(股指期货基差分析!$E$5,$B635))</f>
        <v>7019.2284</v>
      </c>
      <c r="D635" s="6">
        <f>IF(B635="","",[1]!s_dq_close(股指期货基差分析!$E$6,$B635))</f>
        <v>6963.6</v>
      </c>
      <c r="E635" s="6">
        <f ca="1">RANK(F635,F:F)+COUNTIF(F$2:F635,F635)-1</f>
        <v>1139</v>
      </c>
      <c r="F635" s="6">
        <f t="shared" si="10"/>
        <v>-55.628399999999601</v>
      </c>
      <c r="G635" s="6">
        <f ca="1">IF(B635="","",股指期货基差分析!$N$11)</f>
        <v>-71.408500000000458</v>
      </c>
      <c r="H635" s="6">
        <f ca="1">IF(B635="","",股指期货基差分析!$L$11)</f>
        <v>15.737900000000081</v>
      </c>
      <c r="I635" s="10">
        <f ca="1">IF(B635="","",股指期货基差分析!$D$11)</f>
        <v>-19.923978315132629</v>
      </c>
      <c r="L635" s="43"/>
      <c r="Q635" s="11"/>
    </row>
    <row r="636" spans="2:17" ht="15" customHeight="1" x14ac:dyDescent="0.2">
      <c r="B636" s="7">
        <v>44419</v>
      </c>
      <c r="C636" s="5">
        <f>IF(B636="","",[1]!s_dq_close(股指期货基差分析!$E$5,$B636))</f>
        <v>7073.5218999999997</v>
      </c>
      <c r="D636" s="5">
        <f>IF(B636="","",[1]!s_dq_close(股指期货基差分析!$E$6,$B636))</f>
        <v>6996.2</v>
      </c>
      <c r="E636" s="5">
        <f ca="1">RANK(F636,F:F)+COUNTIF(F$2:F636,F636)-1</f>
        <v>1237</v>
      </c>
      <c r="F636" s="5">
        <f t="shared" si="10"/>
        <v>-77.321899999999914</v>
      </c>
      <c r="G636" s="5">
        <f ca="1">IF(B636="","",股指期货基差分析!$N$11)</f>
        <v>-71.408500000000458</v>
      </c>
      <c r="H636" s="5">
        <f ca="1">IF(B636="","",股指期货基差分析!$L$11)</f>
        <v>15.737900000000081</v>
      </c>
      <c r="I636" s="9">
        <f ca="1">IF(B636="","",股指期货基差分析!$D$11)</f>
        <v>-19.923978315132629</v>
      </c>
      <c r="L636" s="43"/>
      <c r="Q636" s="11"/>
    </row>
    <row r="637" spans="2:17" ht="15" customHeight="1" x14ac:dyDescent="0.2">
      <c r="B637" s="8">
        <v>44420</v>
      </c>
      <c r="C637" s="6">
        <f>IF(B637="","",[1]!s_dq_close(股指期货基差分析!$E$5,$B637))</f>
        <v>7095.2024000000001</v>
      </c>
      <c r="D637" s="6">
        <f>IF(B637="","",[1]!s_dq_close(股指期货基差分析!$E$6,$B637))</f>
        <v>7054.6</v>
      </c>
      <c r="E637" s="6">
        <f ca="1">RANK(F637,F:F)+COUNTIF(F$2:F637,F637)-1</f>
        <v>1011</v>
      </c>
      <c r="F637" s="6">
        <f t="shared" si="10"/>
        <v>-40.602399999999761</v>
      </c>
      <c r="G637" s="6">
        <f ca="1">IF(B637="","",股指期货基差分析!$N$11)</f>
        <v>-71.408500000000458</v>
      </c>
      <c r="H637" s="6">
        <f ca="1">IF(B637="","",股指期货基差分析!$L$11)</f>
        <v>15.737900000000081</v>
      </c>
      <c r="I637" s="10">
        <f ca="1">IF(B637="","",股指期货基差分析!$D$11)</f>
        <v>-19.923978315132629</v>
      </c>
      <c r="L637" s="43"/>
      <c r="Q637" s="11"/>
    </row>
    <row r="638" spans="2:17" ht="15" customHeight="1" x14ac:dyDescent="0.2">
      <c r="B638" s="7">
        <v>44421</v>
      </c>
      <c r="C638" s="5">
        <f>IF(B638="","",[1]!s_dq_close(股指期货基差分析!$E$5,$B638))</f>
        <v>7088.8876</v>
      </c>
      <c r="D638" s="5">
        <f>IF(B638="","",[1]!s_dq_close(股指期货基差分析!$E$6,$B638))</f>
        <v>7080</v>
      </c>
      <c r="E638" s="5">
        <f ca="1">RANK(F638,F:F)+COUNTIF(F$2:F638,F638)-1</f>
        <v>526</v>
      </c>
      <c r="F638" s="5">
        <f t="shared" si="10"/>
        <v>-8.8876000000000204</v>
      </c>
      <c r="G638" s="5">
        <f ca="1">IF(B638="","",股指期货基差分析!$N$11)</f>
        <v>-71.408500000000458</v>
      </c>
      <c r="H638" s="5">
        <f ca="1">IF(B638="","",股指期货基差分析!$L$11)</f>
        <v>15.737900000000081</v>
      </c>
      <c r="I638" s="9">
        <f ca="1">IF(B638="","",股指期货基差分析!$D$11)</f>
        <v>-19.923978315132629</v>
      </c>
      <c r="L638" s="43"/>
      <c r="Q638" s="11"/>
    </row>
    <row r="639" spans="2:17" ht="15" customHeight="1" x14ac:dyDescent="0.2">
      <c r="B639" s="8">
        <v>44424</v>
      </c>
      <c r="C639" s="6">
        <f>IF(B639="","",[1]!s_dq_close(股指期货基差分析!$E$5,$B639))</f>
        <v>7052.4876000000004</v>
      </c>
      <c r="D639" s="6">
        <f>IF(B639="","",[1]!s_dq_close(股指期货基差分析!$E$6,$B639))</f>
        <v>7045.4</v>
      </c>
      <c r="E639" s="6">
        <f ca="1">RANK(F639,F:F)+COUNTIF(F$2:F639,F639)-1</f>
        <v>473</v>
      </c>
      <c r="F639" s="6">
        <f t="shared" si="10"/>
        <v>-7.087600000000748</v>
      </c>
      <c r="G639" s="6">
        <f ca="1">IF(B639="","",股指期货基差分析!$N$11)</f>
        <v>-71.408500000000458</v>
      </c>
      <c r="H639" s="6">
        <f ca="1">IF(B639="","",股指期货基差分析!$L$11)</f>
        <v>15.737900000000081</v>
      </c>
      <c r="I639" s="10">
        <f ca="1">IF(B639="","",股指期货基差分析!$D$11)</f>
        <v>-19.923978315132629</v>
      </c>
      <c r="L639" s="43"/>
      <c r="Q639" s="11"/>
    </row>
    <row r="640" spans="2:17" ht="15" customHeight="1" x14ac:dyDescent="0.2">
      <c r="B640" s="7">
        <v>44425</v>
      </c>
      <c r="C640" s="5">
        <f>IF(B640="","",[1]!s_dq_close(股指期货基差分析!$E$5,$B640))</f>
        <v>6894.4041999999999</v>
      </c>
      <c r="D640" s="5">
        <f>IF(B640="","",[1]!s_dq_close(股指期货基差分析!$E$6,$B640))</f>
        <v>6894.6</v>
      </c>
      <c r="E640" s="5">
        <f ca="1">RANK(F640,F:F)+COUNTIF(F$2:F640,F640)-1</f>
        <v>289</v>
      </c>
      <c r="F640" s="5">
        <f t="shared" si="10"/>
        <v>0.19580000000041764</v>
      </c>
      <c r="G640" s="5">
        <f ca="1">IF(B640="","",股指期货基差分析!$N$11)</f>
        <v>-71.408500000000458</v>
      </c>
      <c r="H640" s="5">
        <f ca="1">IF(B640="","",股指期货基差分析!$L$11)</f>
        <v>15.737900000000081</v>
      </c>
      <c r="I640" s="9">
        <f ca="1">IF(B640="","",股指期货基差分析!$D$11)</f>
        <v>-19.923978315132629</v>
      </c>
      <c r="L640" s="43"/>
      <c r="Q640" s="11"/>
    </row>
    <row r="641" spans="2:17" ht="15" customHeight="1" x14ac:dyDescent="0.2">
      <c r="B641" s="8">
        <v>44426</v>
      </c>
      <c r="C641" s="6">
        <f>IF(B641="","",[1]!s_dq_close(股指期货基差分析!$E$5,$B641))</f>
        <v>6941.0079999999998</v>
      </c>
      <c r="D641" s="6">
        <f>IF(B641="","",[1]!s_dq_close(股指期货基差分析!$E$6,$B641))</f>
        <v>6916.6</v>
      </c>
      <c r="E641" s="6">
        <f ca="1">RANK(F641,F:F)+COUNTIF(F$2:F641,F641)-1</f>
        <v>809</v>
      </c>
      <c r="F641" s="6">
        <f t="shared" si="10"/>
        <v>-24.407999999999447</v>
      </c>
      <c r="G641" s="6">
        <f ca="1">IF(B641="","",股指期货基差分析!$N$11)</f>
        <v>-71.408500000000458</v>
      </c>
      <c r="H641" s="6">
        <f ca="1">IF(B641="","",股指期货基差分析!$L$11)</f>
        <v>15.737900000000081</v>
      </c>
      <c r="I641" s="10">
        <f ca="1">IF(B641="","",股指期货基差分析!$D$11)</f>
        <v>-19.923978315132629</v>
      </c>
      <c r="L641" s="43"/>
      <c r="Q641" s="11"/>
    </row>
    <row r="642" spans="2:17" ht="15" customHeight="1" x14ac:dyDescent="0.2">
      <c r="B642" s="7">
        <v>44427</v>
      </c>
      <c r="C642" s="5">
        <f>IF(B642="","",[1]!s_dq_close(股指期货基差分析!$E$5,$B642))</f>
        <v>6947.0564000000004</v>
      </c>
      <c r="D642" s="5">
        <f>IF(B642="","",[1]!s_dq_close(股指期货基差分析!$E$6,$B642))</f>
        <v>6952.4</v>
      </c>
      <c r="E642" s="5">
        <f ca="1">RANK(F642,F:F)+COUNTIF(F$2:F642,F642)-1</f>
        <v>181</v>
      </c>
      <c r="F642" s="5">
        <f t="shared" ref="F642:F705" si="11">IF(B642="","",D642-C642)</f>
        <v>5.3435999999992418</v>
      </c>
      <c r="G642" s="5">
        <f ca="1">IF(B642="","",股指期货基差分析!$N$11)</f>
        <v>-71.408500000000458</v>
      </c>
      <c r="H642" s="5">
        <f ca="1">IF(B642="","",股指期货基差分析!$L$11)</f>
        <v>15.737900000000081</v>
      </c>
      <c r="I642" s="9">
        <f ca="1">IF(B642="","",股指期货基差分析!$D$11)</f>
        <v>-19.923978315132629</v>
      </c>
      <c r="L642" s="43"/>
      <c r="Q642" s="11"/>
    </row>
    <row r="643" spans="2:17" ht="15" customHeight="1" x14ac:dyDescent="0.2">
      <c r="B643" s="8">
        <v>44428</v>
      </c>
      <c r="C643" s="6">
        <f>IF(B643="","",[1]!s_dq_close(股指期货基差分析!$E$5,$B643))</f>
        <v>6920.0248000000001</v>
      </c>
      <c r="D643" s="6">
        <f>IF(B643="","",[1]!s_dq_close(股指期货基差分析!$E$6,$B643))</f>
        <v>6878.8</v>
      </c>
      <c r="E643" s="6">
        <f ca="1">RANK(F643,F:F)+COUNTIF(F$2:F643,F643)-1</f>
        <v>1018</v>
      </c>
      <c r="F643" s="6">
        <f t="shared" si="11"/>
        <v>-41.224799999999959</v>
      </c>
      <c r="G643" s="6">
        <f ca="1">IF(B643="","",股指期货基差分析!$N$11)</f>
        <v>-71.408500000000458</v>
      </c>
      <c r="H643" s="6">
        <f ca="1">IF(B643="","",股指期货基差分析!$L$11)</f>
        <v>15.737900000000081</v>
      </c>
      <c r="I643" s="10">
        <f ca="1">IF(B643="","",股指期货基差分析!$D$11)</f>
        <v>-19.923978315132629</v>
      </c>
      <c r="L643" s="43"/>
      <c r="Q643" s="11"/>
    </row>
    <row r="644" spans="2:17" ht="15" customHeight="1" x14ac:dyDescent="0.2">
      <c r="B644" s="7">
        <v>44431</v>
      </c>
      <c r="C644" s="5">
        <f>IF(B644="","",[1]!s_dq_close(股指期货基差分析!$E$5,$B644))</f>
        <v>7024.5646999999999</v>
      </c>
      <c r="D644" s="5">
        <f>IF(B644="","",[1]!s_dq_close(股指期货基差分析!$E$6,$B644))</f>
        <v>6946.8</v>
      </c>
      <c r="E644" s="5">
        <f ca="1">RANK(F644,F:F)+COUNTIF(F$2:F644,F644)-1</f>
        <v>1239</v>
      </c>
      <c r="F644" s="5">
        <f t="shared" si="11"/>
        <v>-77.764699999999721</v>
      </c>
      <c r="G644" s="5">
        <f ca="1">IF(B644="","",股指期货基差分析!$N$11)</f>
        <v>-71.408500000000458</v>
      </c>
      <c r="H644" s="5">
        <f ca="1">IF(B644="","",股指期货基差分析!$L$11)</f>
        <v>15.737900000000081</v>
      </c>
      <c r="I644" s="9">
        <f ca="1">IF(B644="","",股指期货基差分析!$D$11)</f>
        <v>-19.923978315132629</v>
      </c>
      <c r="L644" s="43"/>
      <c r="Q644" s="11"/>
    </row>
    <row r="645" spans="2:17" ht="15" customHeight="1" x14ac:dyDescent="0.2">
      <c r="B645" s="8">
        <v>44432</v>
      </c>
      <c r="C645" s="6">
        <f>IF(B645="","",[1]!s_dq_close(股指期货基差分析!$E$5,$B645))</f>
        <v>7090.7816999999995</v>
      </c>
      <c r="D645" s="6">
        <f>IF(B645="","",[1]!s_dq_close(股指期货基差分析!$E$6,$B645))</f>
        <v>7024.4</v>
      </c>
      <c r="E645" s="6">
        <f ca="1">RANK(F645,F:F)+COUNTIF(F$2:F645,F645)-1</f>
        <v>1195</v>
      </c>
      <c r="F645" s="6">
        <f t="shared" si="11"/>
        <v>-66.38169999999991</v>
      </c>
      <c r="G645" s="6">
        <f ca="1">IF(B645="","",股指期货基差分析!$N$11)</f>
        <v>-71.408500000000458</v>
      </c>
      <c r="H645" s="6">
        <f ca="1">IF(B645="","",股指期货基差分析!$L$11)</f>
        <v>15.737900000000081</v>
      </c>
      <c r="I645" s="10">
        <f ca="1">IF(B645="","",股指期货基差分析!$D$11)</f>
        <v>-19.923978315132629</v>
      </c>
      <c r="L645" s="43"/>
      <c r="Q645" s="11"/>
    </row>
    <row r="646" spans="2:17" ht="15" customHeight="1" x14ac:dyDescent="0.2">
      <c r="B646" s="7">
        <v>44433</v>
      </c>
      <c r="C646" s="5">
        <f>IF(B646="","",[1]!s_dq_close(股指期货基差分析!$E$5,$B646))</f>
        <v>7153.0042999999996</v>
      </c>
      <c r="D646" s="5">
        <f>IF(B646="","",[1]!s_dq_close(股指期货基差分析!$E$6,$B646))</f>
        <v>7061.6</v>
      </c>
      <c r="E646" s="5">
        <f ca="1">RANK(F646,F:F)+COUNTIF(F$2:F646,F646)-1</f>
        <v>1268</v>
      </c>
      <c r="F646" s="5">
        <f t="shared" si="11"/>
        <v>-91.404299999999239</v>
      </c>
      <c r="G646" s="5">
        <f ca="1">IF(B646="","",股指期货基差分析!$N$11)</f>
        <v>-71.408500000000458</v>
      </c>
      <c r="H646" s="5">
        <f ca="1">IF(B646="","",股指期货基差分析!$L$11)</f>
        <v>15.737900000000081</v>
      </c>
      <c r="I646" s="9">
        <f ca="1">IF(B646="","",股指期货基差分析!$D$11)</f>
        <v>-19.923978315132629</v>
      </c>
      <c r="L646" s="43"/>
      <c r="Q646" s="11"/>
    </row>
    <row r="647" spans="2:17" ht="15" customHeight="1" x14ac:dyDescent="0.2">
      <c r="B647" s="8">
        <v>44434</v>
      </c>
      <c r="C647" s="6">
        <f>IF(B647="","",[1]!s_dq_close(股指期货基差分析!$E$5,$B647))</f>
        <v>7118.8441999999995</v>
      </c>
      <c r="D647" s="6">
        <f>IF(B647="","",[1]!s_dq_close(股指期货基差分析!$E$6,$B647))</f>
        <v>7061.2</v>
      </c>
      <c r="E647" s="6">
        <f ca="1">RANK(F647,F:F)+COUNTIF(F$2:F647,F647)-1</f>
        <v>1149</v>
      </c>
      <c r="F647" s="6">
        <f t="shared" si="11"/>
        <v>-57.644199999999728</v>
      </c>
      <c r="G647" s="6">
        <f ca="1">IF(B647="","",股指期货基差分析!$N$11)</f>
        <v>-71.408500000000458</v>
      </c>
      <c r="H647" s="6">
        <f ca="1">IF(B647="","",股指期货基差分析!$L$11)</f>
        <v>15.737900000000081</v>
      </c>
      <c r="I647" s="10">
        <f ca="1">IF(B647="","",股指期货基差分析!$D$11)</f>
        <v>-19.923978315132629</v>
      </c>
      <c r="L647" s="43"/>
      <c r="Q647" s="11"/>
    </row>
    <row r="648" spans="2:17" ht="15" customHeight="1" x14ac:dyDescent="0.2">
      <c r="B648" s="7">
        <v>44435</v>
      </c>
      <c r="C648" s="5">
        <f>IF(B648="","",[1]!s_dq_close(股指期货基差分析!$E$5,$B648))</f>
        <v>7180.1088</v>
      </c>
      <c r="D648" s="5">
        <f>IF(B648="","",[1]!s_dq_close(股指期货基差分析!$E$6,$B648))</f>
        <v>7106.8</v>
      </c>
      <c r="E648" s="5">
        <f ca="1">RANK(F648,F:F)+COUNTIF(F$2:F648,F648)-1</f>
        <v>1224</v>
      </c>
      <c r="F648" s="5">
        <f t="shared" si="11"/>
        <v>-73.308799999999792</v>
      </c>
      <c r="G648" s="5">
        <f ca="1">IF(B648="","",股指期货基差分析!$N$11)</f>
        <v>-71.408500000000458</v>
      </c>
      <c r="H648" s="5">
        <f ca="1">IF(B648="","",股指期货基差分析!$L$11)</f>
        <v>15.737900000000081</v>
      </c>
      <c r="I648" s="9">
        <f ca="1">IF(B648="","",股指期货基差分析!$D$11)</f>
        <v>-19.923978315132629</v>
      </c>
      <c r="L648" s="43"/>
      <c r="Q648" s="11"/>
    </row>
    <row r="649" spans="2:17" ht="15" customHeight="1" x14ac:dyDescent="0.2">
      <c r="B649" s="8">
        <v>44438</v>
      </c>
      <c r="C649" s="6">
        <f>IF(B649="","",[1]!s_dq_close(股指期货基差分析!$E$5,$B649))</f>
        <v>7226.8823000000002</v>
      </c>
      <c r="D649" s="6">
        <f>IF(B649="","",[1]!s_dq_close(股指期货基差分析!$E$6,$B649))</f>
        <v>7123.2</v>
      </c>
      <c r="E649" s="6">
        <f ca="1">RANK(F649,F:F)+COUNTIF(F$2:F649,F649)-1</f>
        <v>1276</v>
      </c>
      <c r="F649" s="6">
        <f t="shared" si="11"/>
        <v>-103.6823000000004</v>
      </c>
      <c r="G649" s="6">
        <f ca="1">IF(B649="","",股指期货基差分析!$N$11)</f>
        <v>-71.408500000000458</v>
      </c>
      <c r="H649" s="6">
        <f ca="1">IF(B649="","",股指期货基差分析!$L$11)</f>
        <v>15.737900000000081</v>
      </c>
      <c r="I649" s="10">
        <f ca="1">IF(B649="","",股指期货基差分析!$D$11)</f>
        <v>-19.923978315132629</v>
      </c>
      <c r="L649" s="43"/>
      <c r="Q649" s="11"/>
    </row>
    <row r="650" spans="2:17" ht="15" customHeight="1" x14ac:dyDescent="0.2">
      <c r="B650" s="7">
        <v>44439</v>
      </c>
      <c r="C650" s="5">
        <f>IF(B650="","",[1]!s_dq_close(股指期货基差分析!$E$5,$B650))</f>
        <v>7255.3418000000001</v>
      </c>
      <c r="D650" s="5">
        <f>IF(B650="","",[1]!s_dq_close(股指期货基差分析!$E$6,$B650))</f>
        <v>7155.2</v>
      </c>
      <c r="E650" s="5">
        <f ca="1">RANK(F650,F:F)+COUNTIF(F$2:F650,F650)-1</f>
        <v>1274</v>
      </c>
      <c r="F650" s="5">
        <f t="shared" si="11"/>
        <v>-100.14180000000033</v>
      </c>
      <c r="G650" s="5">
        <f ca="1">IF(B650="","",股指期货基差分析!$N$11)</f>
        <v>-71.408500000000458</v>
      </c>
      <c r="H650" s="5">
        <f ca="1">IF(B650="","",股指期货基差分析!$L$11)</f>
        <v>15.737900000000081</v>
      </c>
      <c r="I650" s="9">
        <f ca="1">IF(B650="","",股指期货基差分析!$D$11)</f>
        <v>-19.923978315132629</v>
      </c>
      <c r="L650" s="43"/>
      <c r="Q650" s="11"/>
    </row>
    <row r="651" spans="2:17" ht="15" customHeight="1" x14ac:dyDescent="0.2">
      <c r="B651" s="8">
        <v>44440</v>
      </c>
      <c r="C651" s="6">
        <f>IF(B651="","",[1]!s_dq_close(股指期货基差分析!$E$5,$B651))</f>
        <v>7193.1</v>
      </c>
      <c r="D651" s="6">
        <f>IF(B651="","",[1]!s_dq_close(股指期货基差分析!$E$6,$B651))</f>
        <v>7119</v>
      </c>
      <c r="E651" s="6">
        <f ca="1">RANK(F651,F:F)+COUNTIF(F$2:F651,F651)-1</f>
        <v>1225</v>
      </c>
      <c r="F651" s="6">
        <f t="shared" si="11"/>
        <v>-74.100000000000364</v>
      </c>
      <c r="G651" s="6">
        <f ca="1">IF(B651="","",股指期货基差分析!$N$11)</f>
        <v>-71.408500000000458</v>
      </c>
      <c r="H651" s="6">
        <f ca="1">IF(B651="","",股指期货基差分析!$L$11)</f>
        <v>15.737900000000081</v>
      </c>
      <c r="I651" s="10">
        <f ca="1">IF(B651="","",股指期货基差分析!$D$11)</f>
        <v>-19.923978315132629</v>
      </c>
      <c r="L651" s="43"/>
      <c r="Q651" s="11"/>
    </row>
    <row r="652" spans="2:17" ht="15" customHeight="1" x14ac:dyDescent="0.2">
      <c r="B652" s="7">
        <v>44441</v>
      </c>
      <c r="C652" s="5">
        <f>IF(B652="","",[1]!s_dq_close(股指期货基差分析!$E$5,$B652))</f>
        <v>7307.0083999999997</v>
      </c>
      <c r="D652" s="5">
        <f>IF(B652="","",[1]!s_dq_close(股指期货基差分析!$E$6,$B652))</f>
        <v>7218.8</v>
      </c>
      <c r="E652" s="5">
        <f ca="1">RANK(F652,F:F)+COUNTIF(F$2:F652,F652)-1</f>
        <v>1261</v>
      </c>
      <c r="F652" s="5">
        <f t="shared" si="11"/>
        <v>-88.208399999999529</v>
      </c>
      <c r="G652" s="5">
        <f ca="1">IF(B652="","",股指期货基差分析!$N$11)</f>
        <v>-71.408500000000458</v>
      </c>
      <c r="H652" s="5">
        <f ca="1">IF(B652="","",股指期货基差分析!$L$11)</f>
        <v>15.737900000000081</v>
      </c>
      <c r="I652" s="9">
        <f ca="1">IF(B652="","",股指期货基差分析!$D$11)</f>
        <v>-19.923978315132629</v>
      </c>
      <c r="L652" s="43"/>
      <c r="Q652" s="11"/>
    </row>
    <row r="653" spans="2:17" ht="15" customHeight="1" x14ac:dyDescent="0.2">
      <c r="B653" s="8">
        <v>44442</v>
      </c>
      <c r="C653" s="6">
        <f>IF(B653="","",[1]!s_dq_close(股指期货基差分析!$E$5,$B653))</f>
        <v>7278.6809000000003</v>
      </c>
      <c r="D653" s="6">
        <f>IF(B653="","",[1]!s_dq_close(股指期货基差分析!$E$6,$B653))</f>
        <v>7217</v>
      </c>
      <c r="E653" s="6">
        <f ca="1">RANK(F653,F:F)+COUNTIF(F$2:F653,F653)-1</f>
        <v>1169</v>
      </c>
      <c r="F653" s="6">
        <f t="shared" si="11"/>
        <v>-61.680900000000292</v>
      </c>
      <c r="G653" s="6">
        <f ca="1">IF(B653="","",股指期货基差分析!$N$11)</f>
        <v>-71.408500000000458</v>
      </c>
      <c r="H653" s="6">
        <f ca="1">IF(B653="","",股指期货基差分析!$L$11)</f>
        <v>15.737900000000081</v>
      </c>
      <c r="I653" s="10">
        <f ca="1">IF(B653="","",股指期货基差分析!$D$11)</f>
        <v>-19.923978315132629</v>
      </c>
      <c r="L653" s="43"/>
      <c r="Q653" s="11"/>
    </row>
    <row r="654" spans="2:17" ht="15" customHeight="1" x14ac:dyDescent="0.2">
      <c r="B654" s="7">
        <v>44445</v>
      </c>
      <c r="C654" s="5">
        <f>IF(B654="","",[1]!s_dq_close(股指期货基差分析!$E$5,$B654))</f>
        <v>7355.4013000000004</v>
      </c>
      <c r="D654" s="5">
        <f>IF(B654="","",[1]!s_dq_close(股指期货基差分析!$E$6,$B654))</f>
        <v>7258.6</v>
      </c>
      <c r="E654" s="5">
        <f ca="1">RANK(F654,F:F)+COUNTIF(F$2:F654,F654)-1</f>
        <v>1270</v>
      </c>
      <c r="F654" s="5">
        <f t="shared" si="11"/>
        <v>-96.801300000000083</v>
      </c>
      <c r="G654" s="5">
        <f ca="1">IF(B654="","",股指期货基差分析!$N$11)</f>
        <v>-71.408500000000458</v>
      </c>
      <c r="H654" s="5">
        <f ca="1">IF(B654="","",股指期货基差分析!$L$11)</f>
        <v>15.737900000000081</v>
      </c>
      <c r="I654" s="9">
        <f ca="1">IF(B654="","",股指期货基差分析!$D$11)</f>
        <v>-19.923978315132629</v>
      </c>
      <c r="L654" s="43"/>
      <c r="Q654" s="11"/>
    </row>
    <row r="655" spans="2:17" ht="15" customHeight="1" x14ac:dyDescent="0.2">
      <c r="B655" s="8">
        <v>44446</v>
      </c>
      <c r="C655" s="6">
        <f>IF(B655="","",[1]!s_dq_close(股指期货基差分析!$E$5,$B655))</f>
        <v>7498.9255000000003</v>
      </c>
      <c r="D655" s="6">
        <f>IF(B655="","",[1]!s_dq_close(股指期货基差分析!$E$6,$B655))</f>
        <v>7444.8</v>
      </c>
      <c r="E655" s="6">
        <f ca="1">RANK(F655,F:F)+COUNTIF(F$2:F655,F655)-1</f>
        <v>1132</v>
      </c>
      <c r="F655" s="6">
        <f t="shared" si="11"/>
        <v>-54.125500000000102</v>
      </c>
      <c r="G655" s="6">
        <f ca="1">IF(B655="","",股指期货基差分析!$N$11)</f>
        <v>-71.408500000000458</v>
      </c>
      <c r="H655" s="6">
        <f ca="1">IF(B655="","",股指期货基差分析!$L$11)</f>
        <v>15.737900000000081</v>
      </c>
      <c r="I655" s="10">
        <f ca="1">IF(B655="","",股指期货基差分析!$D$11)</f>
        <v>-19.923978315132629</v>
      </c>
      <c r="L655" s="43"/>
      <c r="Q655" s="11"/>
    </row>
    <row r="656" spans="2:17" ht="15" customHeight="1" x14ac:dyDescent="0.2">
      <c r="B656" s="7">
        <v>44447</v>
      </c>
      <c r="C656" s="5">
        <f>IF(B656="","",[1]!s_dq_close(股指期货基差分析!$E$5,$B656))</f>
        <v>7544.0411000000004</v>
      </c>
      <c r="D656" s="5">
        <f>IF(B656="","",[1]!s_dq_close(股指期货基差分析!$E$6,$B656))</f>
        <v>7482.4</v>
      </c>
      <c r="E656" s="5">
        <f ca="1">RANK(F656,F:F)+COUNTIF(F$2:F656,F656)-1</f>
        <v>1168</v>
      </c>
      <c r="F656" s="5">
        <f t="shared" si="11"/>
        <v>-61.641100000000733</v>
      </c>
      <c r="G656" s="5">
        <f ca="1">IF(B656="","",股指期货基差分析!$N$11)</f>
        <v>-71.408500000000458</v>
      </c>
      <c r="H656" s="5">
        <f ca="1">IF(B656="","",股指期货基差分析!$L$11)</f>
        <v>15.737900000000081</v>
      </c>
      <c r="I656" s="9">
        <f ca="1">IF(B656="","",股指期货基差分析!$D$11)</f>
        <v>-19.923978315132629</v>
      </c>
      <c r="L656" s="43"/>
      <c r="Q656" s="11"/>
    </row>
    <row r="657" spans="2:17" ht="15" customHeight="1" x14ac:dyDescent="0.2">
      <c r="B657" s="8">
        <v>44448</v>
      </c>
      <c r="C657" s="6">
        <f>IF(B657="","",[1]!s_dq_close(股指期货基差分析!$E$5,$B657))</f>
        <v>7617.4504999999999</v>
      </c>
      <c r="D657" s="6">
        <f>IF(B657="","",[1]!s_dq_close(股指期货基差分析!$E$6,$B657))</f>
        <v>7560.8</v>
      </c>
      <c r="E657" s="6">
        <f ca="1">RANK(F657,F:F)+COUNTIF(F$2:F657,F657)-1</f>
        <v>1143</v>
      </c>
      <c r="F657" s="6">
        <f t="shared" si="11"/>
        <v>-56.650499999999738</v>
      </c>
      <c r="G657" s="6">
        <f ca="1">IF(B657="","",股指期货基差分析!$N$11)</f>
        <v>-71.408500000000458</v>
      </c>
      <c r="H657" s="6">
        <f ca="1">IF(B657="","",股指期货基差分析!$L$11)</f>
        <v>15.737900000000081</v>
      </c>
      <c r="I657" s="10">
        <f ca="1">IF(B657="","",股指期货基差分析!$D$11)</f>
        <v>-19.923978315132629</v>
      </c>
      <c r="L657" s="43"/>
      <c r="Q657" s="11"/>
    </row>
    <row r="658" spans="2:17" ht="15" customHeight="1" x14ac:dyDescent="0.2">
      <c r="B658" s="7">
        <v>44449</v>
      </c>
      <c r="C658" s="5">
        <f>IF(B658="","",[1]!s_dq_close(股指期货基差分析!$E$5,$B658))</f>
        <v>7607.6749</v>
      </c>
      <c r="D658" s="5">
        <f>IF(B658="","",[1]!s_dq_close(股指期货基差分析!$E$6,$B658))</f>
        <v>7593.8</v>
      </c>
      <c r="E658" s="5">
        <f ca="1">RANK(F658,F:F)+COUNTIF(F$2:F658,F658)-1</f>
        <v>635</v>
      </c>
      <c r="F658" s="5">
        <f t="shared" si="11"/>
        <v>-13.874899999999798</v>
      </c>
      <c r="G658" s="5">
        <f ca="1">IF(B658="","",股指期货基差分析!$N$11)</f>
        <v>-71.408500000000458</v>
      </c>
      <c r="H658" s="5">
        <f ca="1">IF(B658="","",股指期货基差分析!$L$11)</f>
        <v>15.737900000000081</v>
      </c>
      <c r="I658" s="9">
        <f ca="1">IF(B658="","",股指期货基差分析!$D$11)</f>
        <v>-19.923978315132629</v>
      </c>
      <c r="L658" s="43"/>
      <c r="Q658" s="11"/>
    </row>
    <row r="659" spans="2:17" ht="15" customHeight="1" x14ac:dyDescent="0.2">
      <c r="B659" s="8">
        <v>44452</v>
      </c>
      <c r="C659" s="6">
        <f>IF(B659="","",[1]!s_dq_close(股指期货基差分析!$E$5,$B659))</f>
        <v>7648.7480999999998</v>
      </c>
      <c r="D659" s="6">
        <f>IF(B659="","",[1]!s_dq_close(股指期货基差分析!$E$6,$B659))</f>
        <v>7596.4</v>
      </c>
      <c r="E659" s="6">
        <f ca="1">RANK(F659,F:F)+COUNTIF(F$2:F659,F659)-1</f>
        <v>1118</v>
      </c>
      <c r="F659" s="6">
        <f t="shared" si="11"/>
        <v>-52.348100000000159</v>
      </c>
      <c r="G659" s="6">
        <f ca="1">IF(B659="","",股指期货基差分析!$N$11)</f>
        <v>-71.408500000000458</v>
      </c>
      <c r="H659" s="6">
        <f ca="1">IF(B659="","",股指期货基差分析!$L$11)</f>
        <v>15.737900000000081</v>
      </c>
      <c r="I659" s="10">
        <f ca="1">IF(B659="","",股指期货基差分析!$D$11)</f>
        <v>-19.923978315132629</v>
      </c>
      <c r="L659" s="43"/>
      <c r="Q659" s="11"/>
    </row>
    <row r="660" spans="2:17" ht="15" customHeight="1" x14ac:dyDescent="0.2">
      <c r="B660" s="7">
        <v>44453</v>
      </c>
      <c r="C660" s="5">
        <f>IF(B660="","",[1]!s_dq_close(股指期货基差分析!$E$5,$B660))</f>
        <v>7556.6157000000003</v>
      </c>
      <c r="D660" s="5">
        <f>IF(B660="","",[1]!s_dq_close(股指期货基差分析!$E$6,$B660))</f>
        <v>7545.2</v>
      </c>
      <c r="E660" s="5">
        <f ca="1">RANK(F660,F:F)+COUNTIF(F$2:F660,F660)-1</f>
        <v>581</v>
      </c>
      <c r="F660" s="5">
        <f t="shared" si="11"/>
        <v>-11.41570000000047</v>
      </c>
      <c r="G660" s="5">
        <f ca="1">IF(B660="","",股指期货基差分析!$N$11)</f>
        <v>-71.408500000000458</v>
      </c>
      <c r="H660" s="5">
        <f ca="1">IF(B660="","",股指期货基差分析!$L$11)</f>
        <v>15.737900000000081</v>
      </c>
      <c r="I660" s="9">
        <f ca="1">IF(B660="","",股指期货基差分析!$D$11)</f>
        <v>-19.923978315132629</v>
      </c>
      <c r="L660" s="43"/>
      <c r="Q660" s="11"/>
    </row>
    <row r="661" spans="2:17" ht="15" customHeight="1" x14ac:dyDescent="0.2">
      <c r="B661" s="8">
        <v>44454</v>
      </c>
      <c r="C661" s="6">
        <f>IF(B661="","",[1]!s_dq_close(股指期货基差分析!$E$5,$B661))</f>
        <v>7592.3059000000003</v>
      </c>
      <c r="D661" s="6">
        <f>IF(B661="","",[1]!s_dq_close(股指期货基差分析!$E$6,$B661))</f>
        <v>7571.8</v>
      </c>
      <c r="E661" s="6">
        <f ca="1">RANK(F661,F:F)+COUNTIF(F$2:F661,F661)-1</f>
        <v>760</v>
      </c>
      <c r="F661" s="6">
        <f t="shared" si="11"/>
        <v>-20.505900000000111</v>
      </c>
      <c r="G661" s="6">
        <f ca="1">IF(B661="","",股指期货基差分析!$N$11)</f>
        <v>-71.408500000000458</v>
      </c>
      <c r="H661" s="6">
        <f ca="1">IF(B661="","",股指期货基差分析!$L$11)</f>
        <v>15.737900000000081</v>
      </c>
      <c r="I661" s="10">
        <f ca="1">IF(B661="","",股指期货基差分析!$D$11)</f>
        <v>-19.923978315132629</v>
      </c>
      <c r="L661" s="43"/>
      <c r="Q661" s="11"/>
    </row>
    <row r="662" spans="2:17" ht="15" customHeight="1" x14ac:dyDescent="0.2">
      <c r="B662" s="7">
        <v>44455</v>
      </c>
      <c r="C662" s="5">
        <f>IF(B662="","",[1]!s_dq_close(股指期货基差分析!$E$5,$B662))</f>
        <v>7446.9353000000001</v>
      </c>
      <c r="D662" s="5">
        <f>IF(B662="","",[1]!s_dq_close(股指期货基差分析!$E$6,$B662))</f>
        <v>7442.4</v>
      </c>
      <c r="E662" s="5">
        <f ca="1">RANK(F662,F:F)+COUNTIF(F$2:F662,F662)-1</f>
        <v>400</v>
      </c>
      <c r="F662" s="5">
        <f t="shared" si="11"/>
        <v>-4.5353000000004613</v>
      </c>
      <c r="G662" s="5">
        <f ca="1">IF(B662="","",股指期货基差分析!$N$11)</f>
        <v>-71.408500000000458</v>
      </c>
      <c r="H662" s="5">
        <f ca="1">IF(B662="","",股指期货基差分析!$L$11)</f>
        <v>15.737900000000081</v>
      </c>
      <c r="I662" s="9">
        <f ca="1">IF(B662="","",股指期货基差分析!$D$11)</f>
        <v>-19.923978315132629</v>
      </c>
      <c r="L662" s="43"/>
      <c r="Q662" s="11"/>
    </row>
    <row r="663" spans="2:17" ht="15" customHeight="1" x14ac:dyDescent="0.2">
      <c r="B663" s="8">
        <v>44456</v>
      </c>
      <c r="C663" s="6">
        <f>IF(B663="","",[1]!s_dq_close(股指期货基差分析!$E$5,$B663))</f>
        <v>7395.5645000000004</v>
      </c>
      <c r="D663" s="6">
        <f>IF(B663="","",[1]!s_dq_close(股指期货基差分析!$E$6,$B663))</f>
        <v>7354</v>
      </c>
      <c r="E663" s="6">
        <f ca="1">RANK(F663,F:F)+COUNTIF(F$2:F663,F663)-1</f>
        <v>1019</v>
      </c>
      <c r="F663" s="6">
        <f t="shared" si="11"/>
        <v>-41.564500000000407</v>
      </c>
      <c r="G663" s="6">
        <f ca="1">IF(B663="","",股指期货基差分析!$N$11)</f>
        <v>-71.408500000000458</v>
      </c>
      <c r="H663" s="6">
        <f ca="1">IF(B663="","",股指期货基差分析!$L$11)</f>
        <v>15.737900000000081</v>
      </c>
      <c r="I663" s="10">
        <f ca="1">IF(B663="","",股指期货基差分析!$D$11)</f>
        <v>-19.923978315132629</v>
      </c>
      <c r="L663" s="43"/>
      <c r="Q663" s="11"/>
    </row>
    <row r="664" spans="2:17" ht="15" customHeight="1" x14ac:dyDescent="0.2">
      <c r="B664" s="7">
        <v>44461</v>
      </c>
      <c r="C664" s="5">
        <f>IF(B664="","",[1]!s_dq_close(股指期货基差分析!$E$5,$B664))</f>
        <v>7453.6247000000003</v>
      </c>
      <c r="D664" s="5">
        <f>IF(B664="","",[1]!s_dq_close(股指期货基差分析!$E$6,$B664))</f>
        <v>7385.8</v>
      </c>
      <c r="E664" s="5">
        <f ca="1">RANK(F664,F:F)+COUNTIF(F$2:F664,F664)-1</f>
        <v>1207</v>
      </c>
      <c r="F664" s="5">
        <f t="shared" si="11"/>
        <v>-67.824700000000121</v>
      </c>
      <c r="G664" s="5">
        <f ca="1">IF(B664="","",股指期货基差分析!$N$11)</f>
        <v>-71.408500000000458</v>
      </c>
      <c r="H664" s="5">
        <f ca="1">IF(B664="","",股指期货基差分析!$L$11)</f>
        <v>15.737900000000081</v>
      </c>
      <c r="I664" s="9">
        <f ca="1">IF(B664="","",股指期货基差分析!$D$11)</f>
        <v>-19.923978315132629</v>
      </c>
      <c r="L664" s="43"/>
      <c r="Q664" s="11"/>
    </row>
    <row r="665" spans="2:17" ht="15" customHeight="1" x14ac:dyDescent="0.2">
      <c r="B665" s="8">
        <v>44462</v>
      </c>
      <c r="C665" s="6">
        <f>IF(B665="","",[1]!s_dq_close(股指期货基差分析!$E$5,$B665))</f>
        <v>7502.8391000000001</v>
      </c>
      <c r="D665" s="6">
        <f>IF(B665="","",[1]!s_dq_close(股指期货基差分析!$E$6,$B665))</f>
        <v>7425</v>
      </c>
      <c r="E665" s="6">
        <f ca="1">RANK(F665,F:F)+COUNTIF(F$2:F665,F665)-1</f>
        <v>1240</v>
      </c>
      <c r="F665" s="6">
        <f t="shared" si="11"/>
        <v>-77.839100000000144</v>
      </c>
      <c r="G665" s="6">
        <f ca="1">IF(B665="","",股指期货基差分析!$N$11)</f>
        <v>-71.408500000000458</v>
      </c>
      <c r="H665" s="6">
        <f ca="1">IF(B665="","",股指期货基差分析!$L$11)</f>
        <v>15.737900000000081</v>
      </c>
      <c r="I665" s="10">
        <f ca="1">IF(B665="","",股指期货基差分析!$D$11)</f>
        <v>-19.923978315132629</v>
      </c>
      <c r="L665" s="43"/>
      <c r="Q665" s="11"/>
    </row>
    <row r="666" spans="2:17" ht="15" customHeight="1" x14ac:dyDescent="0.2">
      <c r="B666" s="7">
        <v>44463</v>
      </c>
      <c r="C666" s="5">
        <f>IF(B666="","",[1]!s_dq_close(股指期货基差分析!$E$5,$B666))</f>
        <v>7380.3842999999997</v>
      </c>
      <c r="D666" s="5">
        <f>IF(B666="","",[1]!s_dq_close(股指期货基差分析!$E$6,$B666))</f>
        <v>7370</v>
      </c>
      <c r="E666" s="5">
        <f ca="1">RANK(F666,F:F)+COUNTIF(F$2:F666,F666)-1</f>
        <v>559</v>
      </c>
      <c r="F666" s="5">
        <f t="shared" si="11"/>
        <v>-10.384299999999712</v>
      </c>
      <c r="G666" s="5">
        <f ca="1">IF(B666="","",股指期货基差分析!$N$11)</f>
        <v>-71.408500000000458</v>
      </c>
      <c r="H666" s="5">
        <f ca="1">IF(B666="","",股指期货基差分析!$L$11)</f>
        <v>15.737900000000081</v>
      </c>
      <c r="I666" s="9">
        <f ca="1">IF(B666="","",股指期货基差分析!$D$11)</f>
        <v>-19.923978315132629</v>
      </c>
      <c r="L666" s="43"/>
      <c r="Q666" s="11"/>
    </row>
    <row r="667" spans="2:17" ht="15" customHeight="1" x14ac:dyDescent="0.2">
      <c r="B667" s="8">
        <v>44466</v>
      </c>
      <c r="C667" s="6">
        <f>IF(B667="","",[1]!s_dq_close(股指期货基差分析!$E$5,$B667))</f>
        <v>7170.5898999999999</v>
      </c>
      <c r="D667" s="6">
        <f>IF(B667="","",[1]!s_dq_close(股指期货基差分析!$E$6,$B667))</f>
        <v>7178.2</v>
      </c>
      <c r="E667" s="6">
        <f ca="1">RANK(F667,F:F)+COUNTIF(F$2:F667,F667)-1</f>
        <v>144</v>
      </c>
      <c r="F667" s="6">
        <f t="shared" si="11"/>
        <v>7.6100999999998749</v>
      </c>
      <c r="G667" s="6">
        <f ca="1">IF(B667="","",股指期货基差分析!$N$11)</f>
        <v>-71.408500000000458</v>
      </c>
      <c r="H667" s="6">
        <f ca="1">IF(B667="","",股指期货基差分析!$L$11)</f>
        <v>15.737900000000081</v>
      </c>
      <c r="I667" s="10">
        <f ca="1">IF(B667="","",股指期货基差分析!$D$11)</f>
        <v>-19.923978315132629</v>
      </c>
      <c r="L667" s="43"/>
      <c r="Q667" s="11"/>
    </row>
    <row r="668" spans="2:17" ht="15" customHeight="1" x14ac:dyDescent="0.2">
      <c r="B668" s="7">
        <v>44467</v>
      </c>
      <c r="C668" s="5">
        <f>IF(B668="","",[1]!s_dq_close(股指期货基差分析!$E$5,$B668))</f>
        <v>7198.8966</v>
      </c>
      <c r="D668" s="5">
        <f>IF(B668="","",[1]!s_dq_close(股指期货基差分析!$E$6,$B668))</f>
        <v>7187</v>
      </c>
      <c r="E668" s="5">
        <f ca="1">RANK(F668,F:F)+COUNTIF(F$2:F668,F668)-1</f>
        <v>594</v>
      </c>
      <c r="F668" s="5">
        <f t="shared" si="11"/>
        <v>-11.896600000000035</v>
      </c>
      <c r="G668" s="5">
        <f ca="1">IF(B668="","",股指期货基差分析!$N$11)</f>
        <v>-71.408500000000458</v>
      </c>
      <c r="H668" s="5">
        <f ca="1">IF(B668="","",股指期货基差分析!$L$11)</f>
        <v>15.737900000000081</v>
      </c>
      <c r="I668" s="9">
        <f ca="1">IF(B668="","",股指期货基差分析!$D$11)</f>
        <v>-19.923978315132629</v>
      </c>
      <c r="L668" s="43"/>
      <c r="Q668" s="11"/>
    </row>
    <row r="669" spans="2:17" ht="15" customHeight="1" x14ac:dyDescent="0.2">
      <c r="B669" s="8">
        <v>44468</v>
      </c>
      <c r="C669" s="6">
        <f>IF(B669="","",[1]!s_dq_close(股指期货基差分析!$E$5,$B669))</f>
        <v>7010.2191999999995</v>
      </c>
      <c r="D669" s="6">
        <f>IF(B669="","",[1]!s_dq_close(股指期货基差分析!$E$6,$B669))</f>
        <v>7047</v>
      </c>
      <c r="E669" s="6">
        <f ca="1">RANK(F669,F:F)+COUNTIF(F$2:F669,F669)-1</f>
        <v>8</v>
      </c>
      <c r="F669" s="6">
        <f t="shared" si="11"/>
        <v>36.780800000000454</v>
      </c>
      <c r="G669" s="6">
        <f ca="1">IF(B669="","",股指期货基差分析!$N$11)</f>
        <v>-71.408500000000458</v>
      </c>
      <c r="H669" s="6">
        <f ca="1">IF(B669="","",股指期货基差分析!$L$11)</f>
        <v>15.737900000000081</v>
      </c>
      <c r="I669" s="10">
        <f ca="1">IF(B669="","",股指期货基差分析!$D$11)</f>
        <v>-19.923978315132629</v>
      </c>
      <c r="L669" s="43"/>
      <c r="Q669" s="11"/>
    </row>
    <row r="670" spans="2:17" ht="15" customHeight="1" x14ac:dyDescent="0.2">
      <c r="B670" s="7">
        <v>44469</v>
      </c>
      <c r="C670" s="5">
        <f>IF(B670="","",[1]!s_dq_close(股指期货基差分析!$E$5,$B670))</f>
        <v>7103.6076000000003</v>
      </c>
      <c r="D670" s="5">
        <f>IF(B670="","",[1]!s_dq_close(股指期货基差分析!$E$6,$B670))</f>
        <v>7095.2</v>
      </c>
      <c r="E670" s="5">
        <f ca="1">RANK(F670,F:F)+COUNTIF(F$2:F670,F670)-1</f>
        <v>509</v>
      </c>
      <c r="F670" s="5">
        <f t="shared" si="11"/>
        <v>-8.4076000000004569</v>
      </c>
      <c r="G670" s="5">
        <f ca="1">IF(B670="","",股指期货基差分析!$N$11)</f>
        <v>-71.408500000000458</v>
      </c>
      <c r="H670" s="5">
        <f ca="1">IF(B670="","",股指期货基差分析!$L$11)</f>
        <v>15.737900000000081</v>
      </c>
      <c r="I670" s="9">
        <f ca="1">IF(B670="","",股指期货基差分析!$D$11)</f>
        <v>-19.923978315132629</v>
      </c>
      <c r="L670" s="43"/>
      <c r="Q670" s="11"/>
    </row>
    <row r="671" spans="2:17" ht="15" customHeight="1" x14ac:dyDescent="0.2">
      <c r="B671" s="8">
        <v>44477</v>
      </c>
      <c r="C671" s="6">
        <f>IF(B671="","",[1]!s_dq_close(股指期货基差分析!$E$5,$B671))</f>
        <v>7091.3356000000003</v>
      </c>
      <c r="D671" s="6">
        <f>IF(B671="","",[1]!s_dq_close(股指期货基差分析!$E$6,$B671))</f>
        <v>7081.4</v>
      </c>
      <c r="E671" s="6">
        <f ca="1">RANK(F671,F:F)+COUNTIF(F$2:F671,F671)-1</f>
        <v>551</v>
      </c>
      <c r="F671" s="6">
        <f t="shared" si="11"/>
        <v>-9.9356000000007043</v>
      </c>
      <c r="G671" s="6">
        <f ca="1">IF(B671="","",股指期货基差分析!$N$11)</f>
        <v>-71.408500000000458</v>
      </c>
      <c r="H671" s="6">
        <f ca="1">IF(B671="","",股指期货基差分析!$L$11)</f>
        <v>15.737900000000081</v>
      </c>
      <c r="I671" s="10">
        <f ca="1">IF(B671="","",股指期货基差分析!$D$11)</f>
        <v>-19.923978315132629</v>
      </c>
      <c r="L671" s="43"/>
      <c r="Q671" s="11"/>
    </row>
    <row r="672" spans="2:17" ht="15" customHeight="1" x14ac:dyDescent="0.2">
      <c r="B672" s="7">
        <v>44480</v>
      </c>
      <c r="C672" s="5">
        <f>IF(B672="","",[1]!s_dq_close(股指期货基差分析!$E$5,$B672))</f>
        <v>7090.4673000000003</v>
      </c>
      <c r="D672" s="5">
        <f>IF(B672="","",[1]!s_dq_close(股指期货基差分析!$E$6,$B672))</f>
        <v>7083</v>
      </c>
      <c r="E672" s="5">
        <f ca="1">RANK(F672,F:F)+COUNTIF(F$2:F672,F672)-1</f>
        <v>488</v>
      </c>
      <c r="F672" s="5">
        <f t="shared" si="11"/>
        <v>-7.4673000000002503</v>
      </c>
      <c r="G672" s="5">
        <f ca="1">IF(B672="","",股指期货基差分析!$N$11)</f>
        <v>-71.408500000000458</v>
      </c>
      <c r="H672" s="5">
        <f ca="1">IF(B672="","",股指期货基差分析!$L$11)</f>
        <v>15.737900000000081</v>
      </c>
      <c r="I672" s="9">
        <f ca="1">IF(B672="","",股指期货基差分析!$D$11)</f>
        <v>-19.923978315132629</v>
      </c>
      <c r="L672" s="43"/>
      <c r="Q672" s="11"/>
    </row>
    <row r="673" spans="2:17" ht="15" customHeight="1" x14ac:dyDescent="0.2">
      <c r="B673" s="8">
        <v>44481</v>
      </c>
      <c r="C673" s="6">
        <f>IF(B673="","",[1]!s_dq_close(股指期货基差分析!$E$5,$B673))</f>
        <v>6952.1903000000002</v>
      </c>
      <c r="D673" s="6">
        <f>IF(B673="","",[1]!s_dq_close(股指期货基差分析!$E$6,$B673))</f>
        <v>6946.2</v>
      </c>
      <c r="E673" s="6">
        <f ca="1">RANK(F673,F:F)+COUNTIF(F$2:F673,F673)-1</f>
        <v>440</v>
      </c>
      <c r="F673" s="6">
        <f t="shared" si="11"/>
        <v>-5.9903000000003885</v>
      </c>
      <c r="G673" s="6">
        <f ca="1">IF(B673="","",股指期货基差分析!$N$11)</f>
        <v>-71.408500000000458</v>
      </c>
      <c r="H673" s="6">
        <f ca="1">IF(B673="","",股指期货基差分析!$L$11)</f>
        <v>15.737900000000081</v>
      </c>
      <c r="I673" s="10">
        <f ca="1">IF(B673="","",股指期货基差分析!$D$11)</f>
        <v>-19.923978315132629</v>
      </c>
      <c r="L673" s="43"/>
      <c r="Q673" s="11"/>
    </row>
    <row r="674" spans="2:17" ht="15" customHeight="1" x14ac:dyDescent="0.2">
      <c r="B674" s="7">
        <v>44482</v>
      </c>
      <c r="C674" s="5">
        <f>IF(B674="","",[1]!s_dq_close(股指期货基差分析!$E$5,$B674))</f>
        <v>6981.5946999999996</v>
      </c>
      <c r="D674" s="5">
        <f>IF(B674="","",[1]!s_dq_close(股指期货基差分析!$E$6,$B674))</f>
        <v>6981</v>
      </c>
      <c r="E674" s="5">
        <f ca="1">RANK(F674,F:F)+COUNTIF(F$2:F674,F674)-1</f>
        <v>311</v>
      </c>
      <c r="F674" s="5">
        <f t="shared" si="11"/>
        <v>-0.59469999999964784</v>
      </c>
      <c r="G674" s="5">
        <f ca="1">IF(B674="","",股指期货基差分析!$N$11)</f>
        <v>-71.408500000000458</v>
      </c>
      <c r="H674" s="5">
        <f ca="1">IF(B674="","",股指期货基差分析!$L$11)</f>
        <v>15.737900000000081</v>
      </c>
      <c r="I674" s="9">
        <f ca="1">IF(B674="","",股指期货基差分析!$D$11)</f>
        <v>-19.923978315132629</v>
      </c>
      <c r="L674" s="43"/>
      <c r="Q674" s="11"/>
    </row>
    <row r="675" spans="2:17" ht="15" customHeight="1" x14ac:dyDescent="0.2">
      <c r="B675" s="8">
        <v>44483</v>
      </c>
      <c r="C675" s="6">
        <f>IF(B675="","",[1]!s_dq_close(股指期货基差分析!$E$5,$B675))</f>
        <v>7008.3325999999997</v>
      </c>
      <c r="D675" s="6">
        <f>IF(B675="","",[1]!s_dq_close(股指期货基差分析!$E$6,$B675))</f>
        <v>7006.2</v>
      </c>
      <c r="E675" s="6">
        <f ca="1">RANK(F675,F:F)+COUNTIF(F$2:F675,F675)-1</f>
        <v>350</v>
      </c>
      <c r="F675" s="6">
        <f t="shared" si="11"/>
        <v>-2.1325999999999112</v>
      </c>
      <c r="G675" s="6">
        <f ca="1">IF(B675="","",股指期货基差分析!$N$11)</f>
        <v>-71.408500000000458</v>
      </c>
      <c r="H675" s="6">
        <f ca="1">IF(B675="","",股指期货基差分析!$L$11)</f>
        <v>15.737900000000081</v>
      </c>
      <c r="I675" s="10">
        <f ca="1">IF(B675="","",股指期货基差分析!$D$11)</f>
        <v>-19.923978315132629</v>
      </c>
      <c r="L675" s="43"/>
      <c r="Q675" s="11"/>
    </row>
    <row r="676" spans="2:17" ht="15" customHeight="1" x14ac:dyDescent="0.2">
      <c r="B676" s="7">
        <v>44484</v>
      </c>
      <c r="C676" s="5">
        <f>IF(B676="","",[1]!s_dq_close(股指期货基差分析!$E$5,$B676))</f>
        <v>7024.1596</v>
      </c>
      <c r="D676" s="5">
        <f>IF(B676="","",[1]!s_dq_close(股指期货基差分析!$E$6,$B676))</f>
        <v>7025</v>
      </c>
      <c r="E676" s="5">
        <f ca="1">RANK(F676,F:F)+COUNTIF(F$2:F676,F676)-1</f>
        <v>272</v>
      </c>
      <c r="F676" s="5">
        <f t="shared" si="11"/>
        <v>0.84040000000004511</v>
      </c>
      <c r="G676" s="5">
        <f ca="1">IF(B676="","",股指期货基差分析!$N$11)</f>
        <v>-71.408500000000458</v>
      </c>
      <c r="H676" s="5">
        <f ca="1">IF(B676="","",股指期货基差分析!$L$11)</f>
        <v>15.737900000000081</v>
      </c>
      <c r="I676" s="9">
        <f ca="1">IF(B676="","",股指期货基差分析!$D$11)</f>
        <v>-19.923978315132629</v>
      </c>
      <c r="L676" s="43"/>
      <c r="Q676" s="11"/>
    </row>
    <row r="677" spans="2:17" ht="15" customHeight="1" x14ac:dyDescent="0.2">
      <c r="B677" s="8">
        <v>44487</v>
      </c>
      <c r="C677" s="6">
        <f>IF(B677="","",[1]!s_dq_close(股指期货基差分析!$E$5,$B677))</f>
        <v>7068.1048000000001</v>
      </c>
      <c r="D677" s="6">
        <f>IF(B677="","",[1]!s_dq_close(股指期货基差分析!$E$6,$B677))</f>
        <v>7021</v>
      </c>
      <c r="E677" s="6">
        <f ca="1">RANK(F677,F:F)+COUNTIF(F$2:F677,F677)-1</f>
        <v>1081</v>
      </c>
      <c r="F677" s="6">
        <f t="shared" si="11"/>
        <v>-47.104800000000068</v>
      </c>
      <c r="G677" s="6">
        <f ca="1">IF(B677="","",股指期货基差分析!$N$11)</f>
        <v>-71.408500000000458</v>
      </c>
      <c r="H677" s="6">
        <f ca="1">IF(B677="","",股指期货基差分析!$L$11)</f>
        <v>15.737900000000081</v>
      </c>
      <c r="I677" s="10">
        <f ca="1">IF(B677="","",股指期货基差分析!$D$11)</f>
        <v>-19.923978315132629</v>
      </c>
      <c r="L677" s="43"/>
      <c r="Q677" s="11"/>
    </row>
    <row r="678" spans="2:17" ht="15" customHeight="1" x14ac:dyDescent="0.2">
      <c r="B678" s="7">
        <v>44488</v>
      </c>
      <c r="C678" s="5">
        <f>IF(B678="","",[1]!s_dq_close(股指期货基差分析!$E$5,$B678))</f>
        <v>7120.3793999999998</v>
      </c>
      <c r="D678" s="5">
        <f>IF(B678="","",[1]!s_dq_close(股指期货基差分析!$E$6,$B678))</f>
        <v>7070</v>
      </c>
      <c r="E678" s="5">
        <f ca="1">RANK(F678,F:F)+COUNTIF(F$2:F678,F678)-1</f>
        <v>1100</v>
      </c>
      <c r="F678" s="5">
        <f t="shared" si="11"/>
        <v>-50.379399999999805</v>
      </c>
      <c r="G678" s="5">
        <f ca="1">IF(B678="","",股指期货基差分析!$N$11)</f>
        <v>-71.408500000000458</v>
      </c>
      <c r="H678" s="5">
        <f ca="1">IF(B678="","",股指期货基差分析!$L$11)</f>
        <v>15.737900000000081</v>
      </c>
      <c r="I678" s="9">
        <f ca="1">IF(B678="","",股指期货基差分析!$D$11)</f>
        <v>-19.923978315132629</v>
      </c>
      <c r="L678" s="43"/>
      <c r="Q678" s="11"/>
    </row>
    <row r="679" spans="2:17" ht="15" customHeight="1" x14ac:dyDescent="0.2">
      <c r="B679" s="8">
        <v>44489</v>
      </c>
      <c r="C679" s="6">
        <f>IF(B679="","",[1]!s_dq_close(股指期货基差分析!$E$5,$B679))</f>
        <v>7118.7959000000001</v>
      </c>
      <c r="D679" s="6">
        <f>IF(B679="","",[1]!s_dq_close(股指期货基差分析!$E$6,$B679))</f>
        <v>7075.6</v>
      </c>
      <c r="E679" s="6">
        <f ca="1">RANK(F679,F:F)+COUNTIF(F$2:F679,F679)-1</f>
        <v>1032</v>
      </c>
      <c r="F679" s="6">
        <f t="shared" si="11"/>
        <v>-43.19589999999971</v>
      </c>
      <c r="G679" s="6">
        <f ca="1">IF(B679="","",股指期货基差分析!$N$11)</f>
        <v>-71.408500000000458</v>
      </c>
      <c r="H679" s="6">
        <f ca="1">IF(B679="","",股指期货基差分析!$L$11)</f>
        <v>15.737900000000081</v>
      </c>
      <c r="I679" s="10">
        <f ca="1">IF(B679="","",股指期货基差分析!$D$11)</f>
        <v>-19.923978315132629</v>
      </c>
      <c r="L679" s="43"/>
      <c r="Q679" s="11"/>
    </row>
    <row r="680" spans="2:17" ht="15" customHeight="1" x14ac:dyDescent="0.2">
      <c r="B680" s="7">
        <v>44490</v>
      </c>
      <c r="C680" s="5">
        <f>IF(B680="","",[1]!s_dq_close(股指期货基差分析!$E$5,$B680))</f>
        <v>7098.2542000000003</v>
      </c>
      <c r="D680" s="5">
        <f>IF(B680="","",[1]!s_dq_close(股指期货基差分析!$E$6,$B680))</f>
        <v>7054</v>
      </c>
      <c r="E680" s="5">
        <f ca="1">RANK(F680,F:F)+COUNTIF(F$2:F680,F680)-1</f>
        <v>1048</v>
      </c>
      <c r="F680" s="5">
        <f t="shared" si="11"/>
        <v>-44.25420000000031</v>
      </c>
      <c r="G680" s="5">
        <f ca="1">IF(B680="","",股指期货基差分析!$N$11)</f>
        <v>-71.408500000000458</v>
      </c>
      <c r="H680" s="5">
        <f ca="1">IF(B680="","",股指期货基差分析!$L$11)</f>
        <v>15.737900000000081</v>
      </c>
      <c r="I680" s="9">
        <f ca="1">IF(B680="","",股指期货基差分析!$D$11)</f>
        <v>-19.923978315132629</v>
      </c>
      <c r="L680" s="43"/>
      <c r="Q680" s="11"/>
    </row>
    <row r="681" spans="2:17" ht="15" customHeight="1" x14ac:dyDescent="0.2">
      <c r="B681" s="8">
        <v>44491</v>
      </c>
      <c r="C681" s="6">
        <f>IF(B681="","",[1]!s_dq_close(股指期货基差分析!$E$5,$B681))</f>
        <v>7026.0676000000003</v>
      </c>
      <c r="D681" s="6">
        <f>IF(B681="","",[1]!s_dq_close(股指期货基差分析!$E$6,$B681))</f>
        <v>7004.2</v>
      </c>
      <c r="E681" s="6">
        <f ca="1">RANK(F681,F:F)+COUNTIF(F$2:F681,F681)-1</f>
        <v>781</v>
      </c>
      <c r="F681" s="6">
        <f t="shared" si="11"/>
        <v>-21.867600000000493</v>
      </c>
      <c r="G681" s="6">
        <f ca="1">IF(B681="","",股指期货基差分析!$N$11)</f>
        <v>-71.408500000000458</v>
      </c>
      <c r="H681" s="6">
        <f ca="1">IF(B681="","",股指期货基差分析!$L$11)</f>
        <v>15.737900000000081</v>
      </c>
      <c r="I681" s="10">
        <f ca="1">IF(B681="","",股指期货基差分析!$D$11)</f>
        <v>-19.923978315132629</v>
      </c>
      <c r="L681" s="43"/>
      <c r="Q681" s="11"/>
    </row>
    <row r="682" spans="2:17" ht="15" customHeight="1" x14ac:dyDescent="0.2">
      <c r="B682" s="7">
        <v>44494</v>
      </c>
      <c r="C682" s="5">
        <f>IF(B682="","",[1]!s_dq_close(股指期货基差分析!$E$5,$B682))</f>
        <v>7103.9856</v>
      </c>
      <c r="D682" s="5">
        <f>IF(B682="","",[1]!s_dq_close(股指期货基差分析!$E$6,$B682))</f>
        <v>7059</v>
      </c>
      <c r="E682" s="5">
        <f ca="1">RANK(F682,F:F)+COUNTIF(F$2:F682,F682)-1</f>
        <v>1058</v>
      </c>
      <c r="F682" s="5">
        <f t="shared" si="11"/>
        <v>-44.985599999999977</v>
      </c>
      <c r="G682" s="5">
        <f ca="1">IF(B682="","",股指期货基差分析!$N$11)</f>
        <v>-71.408500000000458</v>
      </c>
      <c r="H682" s="5">
        <f ca="1">IF(B682="","",股指期货基差分析!$L$11)</f>
        <v>15.737900000000081</v>
      </c>
      <c r="I682" s="9">
        <f ca="1">IF(B682="","",股指期货基差分析!$D$11)</f>
        <v>-19.923978315132629</v>
      </c>
      <c r="L682" s="43"/>
      <c r="Q682" s="11"/>
    </row>
    <row r="683" spans="2:17" ht="15" customHeight="1" x14ac:dyDescent="0.2">
      <c r="B683" s="8">
        <v>44495</v>
      </c>
      <c r="C683" s="6">
        <f>IF(B683="","",[1]!s_dq_close(股指期货基差分析!$E$5,$B683))</f>
        <v>7102.4335000000001</v>
      </c>
      <c r="D683" s="6">
        <f>IF(B683="","",[1]!s_dq_close(股指期货基差分析!$E$6,$B683))</f>
        <v>7063.6</v>
      </c>
      <c r="E683" s="6">
        <f ca="1">RANK(F683,F:F)+COUNTIF(F$2:F683,F683)-1</f>
        <v>993</v>
      </c>
      <c r="F683" s="6">
        <f t="shared" si="11"/>
        <v>-38.833499999999731</v>
      </c>
      <c r="G683" s="6">
        <f ca="1">IF(B683="","",股指期货基差分析!$N$11)</f>
        <v>-71.408500000000458</v>
      </c>
      <c r="H683" s="6">
        <f ca="1">IF(B683="","",股指期货基差分析!$L$11)</f>
        <v>15.737900000000081</v>
      </c>
      <c r="I683" s="10">
        <f ca="1">IF(B683="","",股指期货基差分析!$D$11)</f>
        <v>-19.923978315132629</v>
      </c>
      <c r="L683" s="43"/>
      <c r="Q683" s="11"/>
    </row>
    <row r="684" spans="2:17" ht="15" customHeight="1" x14ac:dyDescent="0.2">
      <c r="B684" s="7">
        <v>44496</v>
      </c>
      <c r="C684" s="5">
        <f>IF(B684="","",[1]!s_dq_close(股指期货基差分析!$E$5,$B684))</f>
        <v>7048.6040000000003</v>
      </c>
      <c r="D684" s="5">
        <f>IF(B684="","",[1]!s_dq_close(股指期货基差分析!$E$6,$B684))</f>
        <v>6998</v>
      </c>
      <c r="E684" s="5">
        <f ca="1">RANK(F684,F:F)+COUNTIF(F$2:F684,F684)-1</f>
        <v>1103</v>
      </c>
      <c r="F684" s="5">
        <f t="shared" si="11"/>
        <v>-50.604000000000269</v>
      </c>
      <c r="G684" s="5">
        <f ca="1">IF(B684="","",股指期货基差分析!$N$11)</f>
        <v>-71.408500000000458</v>
      </c>
      <c r="H684" s="5">
        <f ca="1">IF(B684="","",股指期货基差分析!$L$11)</f>
        <v>15.737900000000081</v>
      </c>
      <c r="I684" s="9">
        <f ca="1">IF(B684="","",股指期货基差分析!$D$11)</f>
        <v>-19.923978315132629</v>
      </c>
      <c r="L684" s="43"/>
      <c r="Q684" s="11"/>
    </row>
    <row r="685" spans="2:17" ht="15" customHeight="1" x14ac:dyDescent="0.2">
      <c r="B685" s="8">
        <v>44497</v>
      </c>
      <c r="C685" s="6">
        <f>IF(B685="","",[1]!s_dq_close(股指期货基差分析!$E$5,$B685))</f>
        <v>6950.2767999999996</v>
      </c>
      <c r="D685" s="6">
        <f>IF(B685="","",[1]!s_dq_close(股指期货基差分析!$E$6,$B685))</f>
        <v>6941</v>
      </c>
      <c r="E685" s="6">
        <f ca="1">RANK(F685,F:F)+COUNTIF(F$2:F685,F685)-1</f>
        <v>538</v>
      </c>
      <c r="F685" s="6">
        <f t="shared" si="11"/>
        <v>-9.2767999999996391</v>
      </c>
      <c r="G685" s="6">
        <f ca="1">IF(B685="","",股指期货基差分析!$N$11)</f>
        <v>-71.408500000000458</v>
      </c>
      <c r="H685" s="6">
        <f ca="1">IF(B685="","",股指期货基差分析!$L$11)</f>
        <v>15.737900000000081</v>
      </c>
      <c r="I685" s="10">
        <f ca="1">IF(B685="","",股指期货基差分析!$D$11)</f>
        <v>-19.923978315132629</v>
      </c>
      <c r="L685" s="43"/>
      <c r="Q685" s="11"/>
    </row>
    <row r="686" spans="2:17" ht="15" customHeight="1" x14ac:dyDescent="0.2">
      <c r="B686" s="7">
        <v>44498</v>
      </c>
      <c r="C686" s="5">
        <f>IF(B686="","",[1]!s_dq_close(股指期货基差分析!$E$5,$B686))</f>
        <v>7022.4992000000002</v>
      </c>
      <c r="D686" s="5">
        <f>IF(B686="","",[1]!s_dq_close(股指期货基差分析!$E$6,$B686))</f>
        <v>7015.4</v>
      </c>
      <c r="E686" s="5">
        <f ca="1">RANK(F686,F:F)+COUNTIF(F$2:F686,F686)-1</f>
        <v>474</v>
      </c>
      <c r="F686" s="5">
        <f t="shared" si="11"/>
        <v>-7.0992000000005646</v>
      </c>
      <c r="G686" s="5">
        <f ca="1">IF(B686="","",股指期货基差分析!$N$11)</f>
        <v>-71.408500000000458</v>
      </c>
      <c r="H686" s="5">
        <f ca="1">IF(B686="","",股指期货基差分析!$L$11)</f>
        <v>15.737900000000081</v>
      </c>
      <c r="I686" s="9">
        <f ca="1">IF(B686="","",股指期货基差分析!$D$11)</f>
        <v>-19.923978315132629</v>
      </c>
      <c r="L686" s="43"/>
      <c r="Q686" s="11"/>
    </row>
    <row r="687" spans="2:17" ht="15" customHeight="1" x14ac:dyDescent="0.2">
      <c r="B687" s="8">
        <v>44501</v>
      </c>
      <c r="C687" s="6">
        <f>IF(B687="","",[1]!s_dq_close(股指期货基差分析!$E$5,$B687))</f>
        <v>7060.7560000000003</v>
      </c>
      <c r="D687" s="6">
        <f>IF(B687="","",[1]!s_dq_close(股指期货基差分析!$E$6,$B687))</f>
        <v>7043.6</v>
      </c>
      <c r="E687" s="6">
        <f ca="1">RANK(F687,F:F)+COUNTIF(F$2:F687,F687)-1</f>
        <v>704</v>
      </c>
      <c r="F687" s="6">
        <f t="shared" si="11"/>
        <v>-17.155999999999949</v>
      </c>
      <c r="G687" s="6">
        <f ca="1">IF(B687="","",股指期货基差分析!$N$11)</f>
        <v>-71.408500000000458</v>
      </c>
      <c r="H687" s="6">
        <f ca="1">IF(B687="","",股指期货基差分析!$L$11)</f>
        <v>15.737900000000081</v>
      </c>
      <c r="I687" s="10">
        <f ca="1">IF(B687="","",股指期货基差分析!$D$11)</f>
        <v>-19.923978315132629</v>
      </c>
      <c r="L687" s="43"/>
      <c r="Q687" s="11"/>
    </row>
    <row r="688" spans="2:17" ht="15" customHeight="1" x14ac:dyDescent="0.2">
      <c r="B688" s="7">
        <v>44502</v>
      </c>
      <c r="C688" s="5">
        <f>IF(B688="","",[1]!s_dq_close(股指期货基差分析!$E$5,$B688))</f>
        <v>6985.0998</v>
      </c>
      <c r="D688" s="5">
        <f>IF(B688="","",[1]!s_dq_close(股指期货基差分析!$E$6,$B688))</f>
        <v>6988.6</v>
      </c>
      <c r="E688" s="5">
        <f ca="1">RANK(F688,F:F)+COUNTIF(F$2:F688,F688)-1</f>
        <v>223</v>
      </c>
      <c r="F688" s="5">
        <f t="shared" si="11"/>
        <v>3.5002000000004045</v>
      </c>
      <c r="G688" s="5">
        <f ca="1">IF(B688="","",股指期货基差分析!$N$11)</f>
        <v>-71.408500000000458</v>
      </c>
      <c r="H688" s="5">
        <f ca="1">IF(B688="","",股指期货基差分析!$L$11)</f>
        <v>15.737900000000081</v>
      </c>
      <c r="I688" s="9">
        <f ca="1">IF(B688="","",股指期货基差分析!$D$11)</f>
        <v>-19.923978315132629</v>
      </c>
      <c r="L688" s="43"/>
      <c r="Q688" s="11"/>
    </row>
    <row r="689" spans="2:17" ht="15" customHeight="1" x14ac:dyDescent="0.2">
      <c r="B689" s="8">
        <v>44503</v>
      </c>
      <c r="C689" s="6">
        <f>IF(B689="","",[1]!s_dq_close(股指期货基差分析!$E$5,$B689))</f>
        <v>7017.8540999999996</v>
      </c>
      <c r="D689" s="6">
        <f>IF(B689="","",[1]!s_dq_close(股指期货基差分析!$E$6,$B689))</f>
        <v>7009.4</v>
      </c>
      <c r="E689" s="6">
        <f ca="1">RANK(F689,F:F)+COUNTIF(F$2:F689,F689)-1</f>
        <v>512</v>
      </c>
      <c r="F689" s="6">
        <f t="shared" si="11"/>
        <v>-8.4540999999999258</v>
      </c>
      <c r="G689" s="6">
        <f ca="1">IF(B689="","",股指期货基差分析!$N$11)</f>
        <v>-71.408500000000458</v>
      </c>
      <c r="H689" s="6">
        <f ca="1">IF(B689="","",股指期货基差分析!$L$11)</f>
        <v>15.737900000000081</v>
      </c>
      <c r="I689" s="10">
        <f ca="1">IF(B689="","",股指期货基差分析!$D$11)</f>
        <v>-19.923978315132629</v>
      </c>
      <c r="L689" s="43"/>
      <c r="Q689" s="11"/>
    </row>
    <row r="690" spans="2:17" ht="15" customHeight="1" x14ac:dyDescent="0.2">
      <c r="B690" s="7">
        <v>44504</v>
      </c>
      <c r="C690" s="5">
        <f>IF(B690="","",[1]!s_dq_close(股指期货基差分析!$E$5,$B690))</f>
        <v>7073.8522000000003</v>
      </c>
      <c r="D690" s="5">
        <f>IF(B690="","",[1]!s_dq_close(股指期货基差分析!$E$6,$B690))</f>
        <v>7066.2</v>
      </c>
      <c r="E690" s="5">
        <f ca="1">RANK(F690,F:F)+COUNTIF(F$2:F690,F690)-1</f>
        <v>493</v>
      </c>
      <c r="F690" s="5">
        <f t="shared" si="11"/>
        <v>-7.6522000000004482</v>
      </c>
      <c r="G690" s="5">
        <f ca="1">IF(B690="","",股指期货基差分析!$N$11)</f>
        <v>-71.408500000000458</v>
      </c>
      <c r="H690" s="5">
        <f ca="1">IF(B690="","",股指期货基差分析!$L$11)</f>
        <v>15.737900000000081</v>
      </c>
      <c r="I690" s="9">
        <f ca="1">IF(B690="","",股指期货基差分析!$D$11)</f>
        <v>-19.923978315132629</v>
      </c>
      <c r="L690" s="43"/>
      <c r="Q690" s="11"/>
    </row>
    <row r="691" spans="2:17" ht="15" customHeight="1" x14ac:dyDescent="0.2">
      <c r="B691" s="8">
        <v>44505</v>
      </c>
      <c r="C691" s="6">
        <f>IF(B691="","",[1]!s_dq_close(股指期货基差分析!$E$5,$B691))</f>
        <v>6991.9076999999997</v>
      </c>
      <c r="D691" s="6">
        <f>IF(B691="","",[1]!s_dq_close(股指期货基差分析!$E$6,$B691))</f>
        <v>7003.6</v>
      </c>
      <c r="E691" s="6">
        <f ca="1">RANK(F691,F:F)+COUNTIF(F$2:F691,F691)-1</f>
        <v>92</v>
      </c>
      <c r="F691" s="6">
        <f t="shared" si="11"/>
        <v>11.692300000000614</v>
      </c>
      <c r="G691" s="6">
        <f ca="1">IF(B691="","",股指期货基差分析!$N$11)</f>
        <v>-71.408500000000458</v>
      </c>
      <c r="H691" s="6">
        <f ca="1">IF(B691="","",股指期货基差分析!$L$11)</f>
        <v>15.737900000000081</v>
      </c>
      <c r="I691" s="10">
        <f ca="1">IF(B691="","",股指期货基差分析!$D$11)</f>
        <v>-19.923978315132629</v>
      </c>
      <c r="L691" s="43"/>
      <c r="Q691" s="11"/>
    </row>
    <row r="692" spans="2:17" ht="15" customHeight="1" x14ac:dyDescent="0.2">
      <c r="B692" s="7">
        <v>44508</v>
      </c>
      <c r="C692" s="5">
        <f>IF(B692="","",[1]!s_dq_close(股指期货基差分析!$E$5,$B692))</f>
        <v>7026.9714999999997</v>
      </c>
      <c r="D692" s="5">
        <f>IF(B692="","",[1]!s_dq_close(股指期货基差分析!$E$6,$B692))</f>
        <v>7022.2</v>
      </c>
      <c r="E692" s="5">
        <f ca="1">RANK(F692,F:F)+COUNTIF(F$2:F692,F692)-1</f>
        <v>407</v>
      </c>
      <c r="F692" s="5">
        <f t="shared" si="11"/>
        <v>-4.7714999999998327</v>
      </c>
      <c r="G692" s="5">
        <f ca="1">IF(B692="","",股指期货基差分析!$N$11)</f>
        <v>-71.408500000000458</v>
      </c>
      <c r="H692" s="5">
        <f ca="1">IF(B692="","",股指期货基差分析!$L$11)</f>
        <v>15.737900000000081</v>
      </c>
      <c r="I692" s="9">
        <f ca="1">IF(B692="","",股指期货基差分析!$D$11)</f>
        <v>-19.923978315132629</v>
      </c>
      <c r="L692" s="43"/>
      <c r="Q692" s="11"/>
    </row>
    <row r="693" spans="2:17" ht="15" customHeight="1" x14ac:dyDescent="0.2">
      <c r="B693" s="8">
        <v>44509</v>
      </c>
      <c r="C693" s="6">
        <f>IF(B693="","",[1]!s_dq_close(股指期货基差分析!$E$5,$B693))</f>
        <v>7081.7538999999997</v>
      </c>
      <c r="D693" s="6">
        <f>IF(B693="","",[1]!s_dq_close(股指期货基差分析!$E$6,$B693))</f>
        <v>7071.2</v>
      </c>
      <c r="E693" s="6">
        <f ca="1">RANK(F693,F:F)+COUNTIF(F$2:F693,F693)-1</f>
        <v>562</v>
      </c>
      <c r="F693" s="6">
        <f t="shared" si="11"/>
        <v>-10.553899999999885</v>
      </c>
      <c r="G693" s="6">
        <f ca="1">IF(B693="","",股指期货基差分析!$N$11)</f>
        <v>-71.408500000000458</v>
      </c>
      <c r="H693" s="6">
        <f ca="1">IF(B693="","",股指期货基差分析!$L$11)</f>
        <v>15.737900000000081</v>
      </c>
      <c r="I693" s="10">
        <f ca="1">IF(B693="","",股指期货基差分析!$D$11)</f>
        <v>-19.923978315132629</v>
      </c>
      <c r="L693" s="43"/>
      <c r="Q693" s="11"/>
    </row>
    <row r="694" spans="2:17" ht="15" customHeight="1" x14ac:dyDescent="0.2">
      <c r="B694" s="7">
        <v>44510</v>
      </c>
      <c r="C694" s="5">
        <f>IF(B694="","",[1]!s_dq_close(股指期货基差分析!$E$5,$B694))</f>
        <v>7062.3312999999998</v>
      </c>
      <c r="D694" s="5">
        <f>IF(B694="","",[1]!s_dq_close(股指期货基差分析!$E$6,$B694))</f>
        <v>7055.6</v>
      </c>
      <c r="E694" s="5">
        <f ca="1">RANK(F694,F:F)+COUNTIF(F$2:F694,F694)-1</f>
        <v>465</v>
      </c>
      <c r="F694" s="5">
        <f t="shared" si="11"/>
        <v>-6.7312999999994645</v>
      </c>
      <c r="G694" s="5">
        <f ca="1">IF(B694="","",股指期货基差分析!$N$11)</f>
        <v>-71.408500000000458</v>
      </c>
      <c r="H694" s="5">
        <f ca="1">IF(B694="","",股指期货基差分析!$L$11)</f>
        <v>15.737900000000081</v>
      </c>
      <c r="I694" s="9">
        <f ca="1">IF(B694="","",股指期货基差分析!$D$11)</f>
        <v>-19.923978315132629</v>
      </c>
      <c r="L694" s="43"/>
      <c r="Q694" s="11"/>
    </row>
    <row r="695" spans="2:17" ht="15" customHeight="1" x14ac:dyDescent="0.2">
      <c r="B695" s="8">
        <v>44511</v>
      </c>
      <c r="C695" s="6">
        <f>IF(B695="","",[1]!s_dq_close(股指期货基差分析!$E$5,$B695))</f>
        <v>7119.8589000000002</v>
      </c>
      <c r="D695" s="6">
        <f>IF(B695="","",[1]!s_dq_close(股指期货基差分析!$E$6,$B695))</f>
        <v>7114</v>
      </c>
      <c r="E695" s="6">
        <f ca="1">RANK(F695,F:F)+COUNTIF(F$2:F695,F695)-1</f>
        <v>434</v>
      </c>
      <c r="F695" s="6">
        <f t="shared" si="11"/>
        <v>-5.8589000000001761</v>
      </c>
      <c r="G695" s="6">
        <f ca="1">IF(B695="","",股指期货基差分析!$N$11)</f>
        <v>-71.408500000000458</v>
      </c>
      <c r="H695" s="6">
        <f ca="1">IF(B695="","",股指期货基差分析!$L$11)</f>
        <v>15.737900000000081</v>
      </c>
      <c r="I695" s="10">
        <f ca="1">IF(B695="","",股指期货基差分析!$D$11)</f>
        <v>-19.923978315132629</v>
      </c>
      <c r="L695" s="43"/>
      <c r="Q695" s="11"/>
    </row>
    <row r="696" spans="2:17" ht="15" customHeight="1" x14ac:dyDescent="0.2">
      <c r="B696" s="7">
        <v>44512</v>
      </c>
      <c r="C696" s="5">
        <f>IF(B696="","",[1]!s_dq_close(股指期货基差分析!$E$5,$B696))</f>
        <v>7156.6126999999997</v>
      </c>
      <c r="D696" s="5">
        <f>IF(B696="","",[1]!s_dq_close(股指期货基差分析!$E$6,$B696))</f>
        <v>7165</v>
      </c>
      <c r="E696" s="5">
        <f ca="1">RANK(F696,F:F)+COUNTIF(F$2:F696,F696)-1</f>
        <v>131</v>
      </c>
      <c r="F696" s="5">
        <f t="shared" si="11"/>
        <v>8.3873000000003231</v>
      </c>
      <c r="G696" s="5">
        <f ca="1">IF(B696="","",股指期货基差分析!$N$11)</f>
        <v>-71.408500000000458</v>
      </c>
      <c r="H696" s="5">
        <f ca="1">IF(B696="","",股指期货基差分析!$L$11)</f>
        <v>15.737900000000081</v>
      </c>
      <c r="I696" s="9">
        <f ca="1">IF(B696="","",股指期货基差分析!$D$11)</f>
        <v>-19.923978315132629</v>
      </c>
      <c r="L696" s="43"/>
      <c r="Q696" s="11"/>
    </row>
    <row r="697" spans="2:17" ht="15" customHeight="1" x14ac:dyDescent="0.2">
      <c r="B697" s="8">
        <v>44515</v>
      </c>
      <c r="C697" s="6">
        <f>IF(B697="","",[1]!s_dq_close(股指期货基差分析!$E$5,$B697))</f>
        <v>7098.2129000000004</v>
      </c>
      <c r="D697" s="6">
        <f>IF(B697="","",[1]!s_dq_close(股指期货基差分析!$E$6,$B697))</f>
        <v>7104.8</v>
      </c>
      <c r="E697" s="6">
        <f ca="1">RANK(F697,F:F)+COUNTIF(F$2:F697,F697)-1</f>
        <v>160</v>
      </c>
      <c r="F697" s="6">
        <f t="shared" si="11"/>
        <v>6.5870999999997366</v>
      </c>
      <c r="G697" s="6">
        <f ca="1">IF(B697="","",股指期货基差分析!$N$11)</f>
        <v>-71.408500000000458</v>
      </c>
      <c r="H697" s="6">
        <f ca="1">IF(B697="","",股指期货基差分析!$L$11)</f>
        <v>15.737900000000081</v>
      </c>
      <c r="I697" s="10">
        <f ca="1">IF(B697="","",股指期货基差分析!$D$11)</f>
        <v>-19.923978315132629</v>
      </c>
      <c r="L697" s="43"/>
      <c r="Q697" s="11"/>
    </row>
    <row r="698" spans="2:17" ht="15" customHeight="1" x14ac:dyDescent="0.2">
      <c r="B698" s="7">
        <v>44516</v>
      </c>
      <c r="C698" s="5">
        <f>IF(B698="","",[1]!s_dq_close(股指期货基差分析!$E$5,$B698))</f>
        <v>7045.9386999999997</v>
      </c>
      <c r="D698" s="5">
        <f>IF(B698="","",[1]!s_dq_close(股指期货基差分析!$E$6,$B698))</f>
        <v>7054.8</v>
      </c>
      <c r="E698" s="5">
        <f ca="1">RANK(F698,F:F)+COUNTIF(F$2:F698,F698)-1</f>
        <v>124</v>
      </c>
      <c r="F698" s="5">
        <f t="shared" si="11"/>
        <v>8.8613000000004831</v>
      </c>
      <c r="G698" s="5">
        <f ca="1">IF(B698="","",股指期货基差分析!$N$11)</f>
        <v>-71.408500000000458</v>
      </c>
      <c r="H698" s="5">
        <f ca="1">IF(B698="","",股指期货基差分析!$L$11)</f>
        <v>15.737900000000081</v>
      </c>
      <c r="I698" s="9">
        <f ca="1">IF(B698="","",股指期货基差分析!$D$11)</f>
        <v>-19.923978315132629</v>
      </c>
      <c r="L698" s="43"/>
      <c r="Q698" s="11"/>
    </row>
    <row r="699" spans="2:17" ht="15" customHeight="1" x14ac:dyDescent="0.2">
      <c r="B699" s="8">
        <v>44517</v>
      </c>
      <c r="C699" s="6">
        <f>IF(B699="","",[1]!s_dq_close(股指期货基差分析!$E$5,$B699))</f>
        <v>7104.5343999999996</v>
      </c>
      <c r="D699" s="6">
        <f>IF(B699="","",[1]!s_dq_close(股指期货基差分析!$E$6,$B699))</f>
        <v>7094.2</v>
      </c>
      <c r="E699" s="6">
        <f ca="1">RANK(F699,F:F)+COUNTIF(F$2:F699,F699)-1</f>
        <v>558</v>
      </c>
      <c r="F699" s="6">
        <f t="shared" si="11"/>
        <v>-10.334399999999732</v>
      </c>
      <c r="G699" s="6">
        <f ca="1">IF(B699="","",股指期货基差分析!$N$11)</f>
        <v>-71.408500000000458</v>
      </c>
      <c r="H699" s="6">
        <f ca="1">IF(B699="","",股指期货基差分析!$L$11)</f>
        <v>15.737900000000081</v>
      </c>
      <c r="I699" s="10">
        <f ca="1">IF(B699="","",股指期货基差分析!$D$11)</f>
        <v>-19.923978315132629</v>
      </c>
      <c r="L699" s="43"/>
      <c r="Q699" s="11"/>
    </row>
    <row r="700" spans="2:17" ht="15" customHeight="1" x14ac:dyDescent="0.2">
      <c r="B700" s="7">
        <v>44518</v>
      </c>
      <c r="C700" s="5">
        <f>IF(B700="","",[1]!s_dq_close(股指期货基差分析!$E$5,$B700))</f>
        <v>7084.6827000000003</v>
      </c>
      <c r="D700" s="5">
        <f>IF(B700="","",[1]!s_dq_close(股指期货基差分析!$E$6,$B700))</f>
        <v>7085.8</v>
      </c>
      <c r="E700" s="5">
        <f ca="1">RANK(F700,F:F)+COUNTIF(F$2:F700,F700)-1</f>
        <v>268</v>
      </c>
      <c r="F700" s="5">
        <f t="shared" si="11"/>
        <v>1.1172999999998865</v>
      </c>
      <c r="G700" s="5">
        <f ca="1">IF(B700="","",股指期货基差分析!$N$11)</f>
        <v>-71.408500000000458</v>
      </c>
      <c r="H700" s="5">
        <f ca="1">IF(B700="","",股指期货基差分析!$L$11)</f>
        <v>15.737900000000081</v>
      </c>
      <c r="I700" s="9">
        <f ca="1">IF(B700="","",股指期货基差分析!$D$11)</f>
        <v>-19.923978315132629</v>
      </c>
      <c r="L700" s="43"/>
      <c r="Q700" s="11"/>
    </row>
    <row r="701" spans="2:17" ht="15" customHeight="1" x14ac:dyDescent="0.2">
      <c r="B701" s="8">
        <v>44519</v>
      </c>
      <c r="C701" s="6">
        <f>IF(B701="","",[1]!s_dq_close(股指期货基差分析!$E$5,$B701))</f>
        <v>7169.8759</v>
      </c>
      <c r="D701" s="6">
        <f>IF(B701="","",[1]!s_dq_close(股指期货基差分析!$E$6,$B701))</f>
        <v>7149.6</v>
      </c>
      <c r="E701" s="6">
        <f ca="1">RANK(F701,F:F)+COUNTIF(F$2:F701,F701)-1</f>
        <v>756</v>
      </c>
      <c r="F701" s="6">
        <f t="shared" si="11"/>
        <v>-20.275899999999638</v>
      </c>
      <c r="G701" s="6">
        <f ca="1">IF(B701="","",股指期货基差分析!$N$11)</f>
        <v>-71.408500000000458</v>
      </c>
      <c r="H701" s="6">
        <f ca="1">IF(B701="","",股指期货基差分析!$L$11)</f>
        <v>15.737900000000081</v>
      </c>
      <c r="I701" s="10">
        <f ca="1">IF(B701="","",股指期货基差分析!$D$11)</f>
        <v>-19.923978315132629</v>
      </c>
      <c r="L701" s="43"/>
      <c r="Q701" s="11"/>
    </row>
    <row r="702" spans="2:17" ht="15" customHeight="1" x14ac:dyDescent="0.2">
      <c r="B702" s="7">
        <v>44522</v>
      </c>
      <c r="C702" s="5">
        <f>IF(B702="","",[1]!s_dq_close(股指期货基差分析!$E$5,$B702))</f>
        <v>7255.0735999999997</v>
      </c>
      <c r="D702" s="5">
        <f>IF(B702="","",[1]!s_dq_close(股指期货基差分析!$E$6,$B702))</f>
        <v>7210.2</v>
      </c>
      <c r="E702" s="5">
        <f ca="1">RANK(F702,F:F)+COUNTIF(F$2:F702,F702)-1</f>
        <v>1055</v>
      </c>
      <c r="F702" s="5">
        <f t="shared" si="11"/>
        <v>-44.873599999999897</v>
      </c>
      <c r="G702" s="5">
        <f ca="1">IF(B702="","",股指期货基差分析!$N$11)</f>
        <v>-71.408500000000458</v>
      </c>
      <c r="H702" s="5">
        <f ca="1">IF(B702="","",股指期货基差分析!$L$11)</f>
        <v>15.737900000000081</v>
      </c>
      <c r="I702" s="9">
        <f ca="1">IF(B702="","",股指期货基差分析!$D$11)</f>
        <v>-19.923978315132629</v>
      </c>
      <c r="L702" s="43"/>
      <c r="Q702" s="11"/>
    </row>
    <row r="703" spans="2:17" ht="15" customHeight="1" x14ac:dyDescent="0.2">
      <c r="B703" s="8">
        <v>44523</v>
      </c>
      <c r="C703" s="6">
        <f>IF(B703="","",[1]!s_dq_close(股指期货基差分析!$E$5,$B703))</f>
        <v>7261.3791000000001</v>
      </c>
      <c r="D703" s="6">
        <f>IF(B703="","",[1]!s_dq_close(股指期货基差分析!$E$6,$B703))</f>
        <v>7225</v>
      </c>
      <c r="E703" s="6">
        <f ca="1">RANK(F703,F:F)+COUNTIF(F$2:F703,F703)-1</f>
        <v>972</v>
      </c>
      <c r="F703" s="6">
        <f t="shared" si="11"/>
        <v>-36.379100000000108</v>
      </c>
      <c r="G703" s="6">
        <f ca="1">IF(B703="","",股指期货基差分析!$N$11)</f>
        <v>-71.408500000000458</v>
      </c>
      <c r="H703" s="6">
        <f ca="1">IF(B703="","",股指期货基差分析!$L$11)</f>
        <v>15.737900000000081</v>
      </c>
      <c r="I703" s="10">
        <f ca="1">IF(B703="","",股指期货基差分析!$D$11)</f>
        <v>-19.923978315132629</v>
      </c>
      <c r="L703" s="43"/>
      <c r="Q703" s="11"/>
    </row>
    <row r="704" spans="2:17" ht="15" customHeight="1" x14ac:dyDescent="0.2">
      <c r="B704" s="7">
        <v>44524</v>
      </c>
      <c r="C704" s="5">
        <f>IF(B704="","",[1]!s_dq_close(股指期货基差分析!$E$5,$B704))</f>
        <v>7256.1117000000004</v>
      </c>
      <c r="D704" s="5">
        <f>IF(B704="","",[1]!s_dq_close(股指期货基差分析!$E$6,$B704))</f>
        <v>7221.4</v>
      </c>
      <c r="E704" s="5">
        <f ca="1">RANK(F704,F:F)+COUNTIF(F$2:F704,F704)-1</f>
        <v>951</v>
      </c>
      <c r="F704" s="5">
        <f t="shared" si="11"/>
        <v>-34.711700000000747</v>
      </c>
      <c r="G704" s="5">
        <f ca="1">IF(B704="","",股指期货基差分析!$N$11)</f>
        <v>-71.408500000000458</v>
      </c>
      <c r="H704" s="5">
        <f ca="1">IF(B704="","",股指期货基差分析!$L$11)</f>
        <v>15.737900000000081</v>
      </c>
      <c r="I704" s="9">
        <f ca="1">IF(B704="","",股指期货基差分析!$D$11)</f>
        <v>-19.923978315132629</v>
      </c>
      <c r="L704" s="43"/>
      <c r="Q704" s="11"/>
    </row>
    <row r="705" spans="2:17" ht="15" customHeight="1" x14ac:dyDescent="0.2">
      <c r="B705" s="8">
        <v>44525</v>
      </c>
      <c r="C705" s="6">
        <f>IF(B705="","",[1]!s_dq_close(股指期货基差分析!$E$5,$B705))</f>
        <v>7233.5423000000001</v>
      </c>
      <c r="D705" s="6">
        <f>IF(B705="","",[1]!s_dq_close(股指期货基差分析!$E$6,$B705))</f>
        <v>7218</v>
      </c>
      <c r="E705" s="6">
        <f ca="1">RANK(F705,F:F)+COUNTIF(F$2:F705,F705)-1</f>
        <v>671</v>
      </c>
      <c r="F705" s="6">
        <f t="shared" si="11"/>
        <v>-15.542300000000068</v>
      </c>
      <c r="G705" s="6">
        <f ca="1">IF(B705="","",股指期货基差分析!$N$11)</f>
        <v>-71.408500000000458</v>
      </c>
      <c r="H705" s="6">
        <f ca="1">IF(B705="","",股指期货基差分析!$L$11)</f>
        <v>15.737900000000081</v>
      </c>
      <c r="I705" s="10">
        <f ca="1">IF(B705="","",股指期货基差分析!$D$11)</f>
        <v>-19.923978315132629</v>
      </c>
      <c r="L705" s="43"/>
      <c r="Q705" s="11"/>
    </row>
    <row r="706" spans="2:17" ht="15" customHeight="1" x14ac:dyDescent="0.2">
      <c r="B706" s="7">
        <v>44526</v>
      </c>
      <c r="C706" s="5">
        <f>IF(B706="","",[1]!s_dq_close(股指期货基差分析!$E$5,$B706))</f>
        <v>7219.8621999999996</v>
      </c>
      <c r="D706" s="5">
        <f>IF(B706="","",[1]!s_dq_close(股指期货基差分析!$E$6,$B706))</f>
        <v>7196.4</v>
      </c>
      <c r="E706" s="5">
        <f ca="1">RANK(F706,F:F)+COUNTIF(F$2:F706,F706)-1</f>
        <v>798</v>
      </c>
      <c r="F706" s="5">
        <f t="shared" ref="F706:F769" si="12">IF(B706="","",D706-C706)</f>
        <v>-23.462199999999939</v>
      </c>
      <c r="G706" s="5">
        <f ca="1">IF(B706="","",股指期货基差分析!$N$11)</f>
        <v>-71.408500000000458</v>
      </c>
      <c r="H706" s="5">
        <f ca="1">IF(B706="","",股指期货基差分析!$L$11)</f>
        <v>15.737900000000081</v>
      </c>
      <c r="I706" s="9">
        <f ca="1">IF(B706="","",股指期货基差分析!$D$11)</f>
        <v>-19.923978315132629</v>
      </c>
      <c r="L706" s="43"/>
      <c r="Q706" s="11"/>
    </row>
    <row r="707" spans="2:17" ht="15" customHeight="1" x14ac:dyDescent="0.2">
      <c r="B707" s="8">
        <v>44529</v>
      </c>
      <c r="C707" s="6">
        <f>IF(B707="","",[1]!s_dq_close(股指期货基差分析!$E$5,$B707))</f>
        <v>7221.8977999999997</v>
      </c>
      <c r="D707" s="6">
        <f>IF(B707="","",[1]!s_dq_close(股指期货基差分析!$E$6,$B707))</f>
        <v>7215.2</v>
      </c>
      <c r="E707" s="6">
        <f ca="1">RANK(F707,F:F)+COUNTIF(F$2:F707,F707)-1</f>
        <v>464</v>
      </c>
      <c r="F707" s="6">
        <f t="shared" si="12"/>
        <v>-6.6977999999999156</v>
      </c>
      <c r="G707" s="6">
        <f ca="1">IF(B707="","",股指期货基差分析!$N$11)</f>
        <v>-71.408500000000458</v>
      </c>
      <c r="H707" s="6">
        <f ca="1">IF(B707="","",股指期货基差分析!$L$11)</f>
        <v>15.737900000000081</v>
      </c>
      <c r="I707" s="10">
        <f ca="1">IF(B707="","",股指期货基差分析!$D$11)</f>
        <v>-19.923978315132629</v>
      </c>
      <c r="L707" s="43"/>
      <c r="Q707" s="11"/>
    </row>
    <row r="708" spans="2:17" ht="15" customHeight="1" x14ac:dyDescent="0.2">
      <c r="B708" s="7">
        <v>44530</v>
      </c>
      <c r="C708" s="5">
        <f>IF(B708="","",[1]!s_dq_close(股指期货基差分析!$E$5,$B708))</f>
        <v>7252.7551999999996</v>
      </c>
      <c r="D708" s="5">
        <f>IF(B708="","",[1]!s_dq_close(股指期货基差分析!$E$6,$B708))</f>
        <v>7221.2</v>
      </c>
      <c r="E708" s="5">
        <f ca="1">RANK(F708,F:F)+COUNTIF(F$2:F708,F708)-1</f>
        <v>912</v>
      </c>
      <c r="F708" s="5">
        <f t="shared" si="12"/>
        <v>-31.555199999999786</v>
      </c>
      <c r="G708" s="5">
        <f ca="1">IF(B708="","",股指期货基差分析!$N$11)</f>
        <v>-71.408500000000458</v>
      </c>
      <c r="H708" s="5">
        <f ca="1">IF(B708="","",股指期货基差分析!$L$11)</f>
        <v>15.737900000000081</v>
      </c>
      <c r="I708" s="9">
        <f ca="1">IF(B708="","",股指期货基差分析!$D$11)</f>
        <v>-19.923978315132629</v>
      </c>
      <c r="L708" s="43"/>
      <c r="Q708" s="11"/>
    </row>
    <row r="709" spans="2:17" ht="15" customHeight="1" x14ac:dyDescent="0.2">
      <c r="B709" s="8">
        <v>44531</v>
      </c>
      <c r="C709" s="6">
        <f>IF(B709="","",[1]!s_dq_close(股指期货基差分析!$E$5,$B709))</f>
        <v>7272.8370000000004</v>
      </c>
      <c r="D709" s="6">
        <f>IF(B709="","",[1]!s_dq_close(股指期货基差分析!$E$6,$B709))</f>
        <v>7267.2</v>
      </c>
      <c r="E709" s="6">
        <f ca="1">RANK(F709,F:F)+COUNTIF(F$2:F709,F709)-1</f>
        <v>430</v>
      </c>
      <c r="F709" s="6">
        <f t="shared" si="12"/>
        <v>-5.6370000000006257</v>
      </c>
      <c r="G709" s="6">
        <f ca="1">IF(B709="","",股指期货基差分析!$N$11)</f>
        <v>-71.408500000000458</v>
      </c>
      <c r="H709" s="6">
        <f ca="1">IF(B709="","",股指期货基差分析!$L$11)</f>
        <v>15.737900000000081</v>
      </c>
      <c r="I709" s="10">
        <f ca="1">IF(B709="","",股指期货基差分析!$D$11)</f>
        <v>-19.923978315132629</v>
      </c>
      <c r="L709" s="43"/>
      <c r="Q709" s="11"/>
    </row>
    <row r="710" spans="2:17" ht="15" customHeight="1" x14ac:dyDescent="0.2">
      <c r="B710" s="7">
        <v>44532</v>
      </c>
      <c r="C710" s="5">
        <f>IF(B710="","",[1]!s_dq_close(股指期货基差分析!$E$5,$B710))</f>
        <v>7229.9880000000003</v>
      </c>
      <c r="D710" s="5">
        <f>IF(B710="","",[1]!s_dq_close(股指期货基差分析!$E$6,$B710))</f>
        <v>7215.2</v>
      </c>
      <c r="E710" s="5">
        <f ca="1">RANK(F710,F:F)+COUNTIF(F$2:F710,F710)-1</f>
        <v>655</v>
      </c>
      <c r="F710" s="5">
        <f t="shared" si="12"/>
        <v>-14.788000000000466</v>
      </c>
      <c r="G710" s="5">
        <f ca="1">IF(B710="","",股指期货基差分析!$N$11)</f>
        <v>-71.408500000000458</v>
      </c>
      <c r="H710" s="5">
        <f ca="1">IF(B710="","",股指期货基差分析!$L$11)</f>
        <v>15.737900000000081</v>
      </c>
      <c r="I710" s="9">
        <f ca="1">IF(B710="","",股指期货基差分析!$D$11)</f>
        <v>-19.923978315132629</v>
      </c>
      <c r="L710" s="43"/>
      <c r="Q710" s="11"/>
    </row>
    <row r="711" spans="2:17" ht="15" customHeight="1" x14ac:dyDescent="0.2">
      <c r="B711" s="8">
        <v>44533</v>
      </c>
      <c r="C711" s="6">
        <f>IF(B711="","",[1]!s_dq_close(股指期货基差分析!$E$5,$B711))</f>
        <v>7301.9173000000001</v>
      </c>
      <c r="D711" s="6">
        <f>IF(B711="","",[1]!s_dq_close(股指期货基差分析!$E$6,$B711))</f>
        <v>7288</v>
      </c>
      <c r="E711" s="6">
        <f ca="1">RANK(F711,F:F)+COUNTIF(F$2:F711,F711)-1</f>
        <v>636</v>
      </c>
      <c r="F711" s="6">
        <f t="shared" si="12"/>
        <v>-13.917300000000068</v>
      </c>
      <c r="G711" s="6">
        <f ca="1">IF(B711="","",股指期货基差分析!$N$11)</f>
        <v>-71.408500000000458</v>
      </c>
      <c r="H711" s="6">
        <f ca="1">IF(B711="","",股指期货基差分析!$L$11)</f>
        <v>15.737900000000081</v>
      </c>
      <c r="I711" s="10">
        <f ca="1">IF(B711="","",股指期货基差分析!$D$11)</f>
        <v>-19.923978315132629</v>
      </c>
      <c r="L711" s="43"/>
      <c r="Q711" s="11"/>
    </row>
    <row r="712" spans="2:17" ht="15" customHeight="1" x14ac:dyDescent="0.2">
      <c r="B712" s="7">
        <v>44536</v>
      </c>
      <c r="C712" s="5">
        <f>IF(B712="","",[1]!s_dq_close(股指期货基差分析!$E$5,$B712))</f>
        <v>7240.4557999999997</v>
      </c>
      <c r="D712" s="5">
        <f>IF(B712="","",[1]!s_dq_close(股指期货基差分析!$E$6,$B712))</f>
        <v>7215.2</v>
      </c>
      <c r="E712" s="5">
        <f ca="1">RANK(F712,F:F)+COUNTIF(F$2:F712,F712)-1</f>
        <v>820</v>
      </c>
      <c r="F712" s="5">
        <f t="shared" si="12"/>
        <v>-25.255799999999908</v>
      </c>
      <c r="G712" s="5">
        <f ca="1">IF(B712="","",股指期货基差分析!$N$11)</f>
        <v>-71.408500000000458</v>
      </c>
      <c r="H712" s="5">
        <f ca="1">IF(B712="","",股指期货基差分析!$L$11)</f>
        <v>15.737900000000081</v>
      </c>
      <c r="I712" s="9">
        <f ca="1">IF(B712="","",股指期货基差分析!$D$11)</f>
        <v>-19.923978315132629</v>
      </c>
      <c r="L712" s="43"/>
      <c r="Q712" s="11"/>
    </row>
    <row r="713" spans="2:17" ht="15" customHeight="1" x14ac:dyDescent="0.2">
      <c r="B713" s="8">
        <v>44537</v>
      </c>
      <c r="C713" s="6">
        <f>IF(B713="","",[1]!s_dq_close(股指期货基差分析!$E$5,$B713))</f>
        <v>7206.8257000000003</v>
      </c>
      <c r="D713" s="6">
        <f>IF(B713="","",[1]!s_dq_close(股指期货基差分析!$E$6,$B713))</f>
        <v>7177.2</v>
      </c>
      <c r="E713" s="6">
        <f ca="1">RANK(F713,F:F)+COUNTIF(F$2:F713,F713)-1</f>
        <v>886</v>
      </c>
      <c r="F713" s="6">
        <f t="shared" si="12"/>
        <v>-29.625700000000506</v>
      </c>
      <c r="G713" s="6">
        <f ca="1">IF(B713="","",股指期货基差分析!$N$11)</f>
        <v>-71.408500000000458</v>
      </c>
      <c r="H713" s="6">
        <f ca="1">IF(B713="","",股指期货基差分析!$L$11)</f>
        <v>15.737900000000081</v>
      </c>
      <c r="I713" s="10">
        <f ca="1">IF(B713="","",股指期货基差分析!$D$11)</f>
        <v>-19.923978315132629</v>
      </c>
      <c r="L713" s="43"/>
      <c r="Q713" s="11"/>
    </row>
    <row r="714" spans="2:17" ht="15" customHeight="1" x14ac:dyDescent="0.2">
      <c r="B714" s="7">
        <v>44538</v>
      </c>
      <c r="C714" s="5">
        <f>IF(B714="","",[1]!s_dq_close(股指期货基差分析!$E$5,$B714))</f>
        <v>7302.9904999999999</v>
      </c>
      <c r="D714" s="5">
        <f>IF(B714="","",[1]!s_dq_close(股指期货基差分析!$E$6,$B714))</f>
        <v>7277.6</v>
      </c>
      <c r="E714" s="5">
        <f ca="1">RANK(F714,F:F)+COUNTIF(F$2:F714,F714)-1</f>
        <v>824</v>
      </c>
      <c r="F714" s="5">
        <f t="shared" si="12"/>
        <v>-25.39049999999952</v>
      </c>
      <c r="G714" s="5">
        <f ca="1">IF(B714="","",股指期货基差分析!$N$11)</f>
        <v>-71.408500000000458</v>
      </c>
      <c r="H714" s="5">
        <f ca="1">IF(B714="","",股指期货基差分析!$L$11)</f>
        <v>15.737900000000081</v>
      </c>
      <c r="I714" s="9">
        <f ca="1">IF(B714="","",股指期货基差分析!$D$11)</f>
        <v>-19.923978315132629</v>
      </c>
      <c r="L714" s="43"/>
      <c r="Q714" s="11"/>
    </row>
    <row r="715" spans="2:17" ht="15" customHeight="1" x14ac:dyDescent="0.2">
      <c r="B715" s="8">
        <v>44539</v>
      </c>
      <c r="C715" s="6">
        <f>IF(B715="","",[1]!s_dq_close(股指期货基差分析!$E$5,$B715))</f>
        <v>7320.3176999999996</v>
      </c>
      <c r="D715" s="6">
        <f>IF(B715="","",[1]!s_dq_close(股指期货基差分析!$E$6,$B715))</f>
        <v>7302.4</v>
      </c>
      <c r="E715" s="6">
        <f ca="1">RANK(F715,F:F)+COUNTIF(F$2:F715,F715)-1</f>
        <v>718</v>
      </c>
      <c r="F715" s="6">
        <f t="shared" si="12"/>
        <v>-17.917699999999968</v>
      </c>
      <c r="G715" s="6">
        <f ca="1">IF(B715="","",股指期货基差分析!$N$11)</f>
        <v>-71.408500000000458</v>
      </c>
      <c r="H715" s="6">
        <f ca="1">IF(B715="","",股指期货基差分析!$L$11)</f>
        <v>15.737900000000081</v>
      </c>
      <c r="I715" s="10">
        <f ca="1">IF(B715="","",股指期货基差分析!$D$11)</f>
        <v>-19.923978315132629</v>
      </c>
      <c r="L715" s="43"/>
      <c r="Q715" s="11"/>
    </row>
    <row r="716" spans="2:17" ht="15" customHeight="1" x14ac:dyDescent="0.2">
      <c r="B716" s="7">
        <v>44540</v>
      </c>
      <c r="C716" s="5">
        <f>IF(B716="","",[1]!s_dq_close(股指期货基差分析!$E$5,$B716))</f>
        <v>7306.6459999999997</v>
      </c>
      <c r="D716" s="5">
        <f>IF(B716="","",[1]!s_dq_close(股指期货基差分析!$E$6,$B716))</f>
        <v>7322</v>
      </c>
      <c r="E716" s="5">
        <f ca="1">RANK(F716,F:F)+COUNTIF(F$2:F716,F716)-1</f>
        <v>65</v>
      </c>
      <c r="F716" s="5">
        <f t="shared" si="12"/>
        <v>15.354000000000269</v>
      </c>
      <c r="G716" s="5">
        <f ca="1">IF(B716="","",股指期货基差分析!$N$11)</f>
        <v>-71.408500000000458</v>
      </c>
      <c r="H716" s="5">
        <f ca="1">IF(B716="","",股指期货基差分析!$L$11)</f>
        <v>15.737900000000081</v>
      </c>
      <c r="I716" s="9">
        <f ca="1">IF(B716="","",股指期货基差分析!$D$11)</f>
        <v>-19.923978315132629</v>
      </c>
      <c r="L716" s="43"/>
      <c r="Q716" s="11"/>
    </row>
    <row r="717" spans="2:17" ht="15" customHeight="1" x14ac:dyDescent="0.2">
      <c r="B717" s="8">
        <v>44543</v>
      </c>
      <c r="C717" s="6">
        <f>IF(B717="","",[1]!s_dq_close(股指期货基差分析!$E$5,$B717))</f>
        <v>7353.0306</v>
      </c>
      <c r="D717" s="6">
        <f>IF(B717="","",[1]!s_dq_close(股指期货基差分析!$E$6,$B717))</f>
        <v>7334.6</v>
      </c>
      <c r="E717" s="6">
        <f ca="1">RANK(F717,F:F)+COUNTIF(F$2:F717,F717)-1</f>
        <v>721</v>
      </c>
      <c r="F717" s="6">
        <f t="shared" si="12"/>
        <v>-18.430599999999686</v>
      </c>
      <c r="G717" s="6">
        <f ca="1">IF(B717="","",股指期货基差分析!$N$11)</f>
        <v>-71.408500000000458</v>
      </c>
      <c r="H717" s="6">
        <f ca="1">IF(B717="","",股指期货基差分析!$L$11)</f>
        <v>15.737900000000081</v>
      </c>
      <c r="I717" s="10">
        <f ca="1">IF(B717="","",股指期货基差分析!$D$11)</f>
        <v>-19.923978315132629</v>
      </c>
      <c r="L717" s="43"/>
      <c r="Q717" s="11"/>
    </row>
    <row r="718" spans="2:17" ht="15" customHeight="1" x14ac:dyDescent="0.2">
      <c r="B718" s="7">
        <v>44544</v>
      </c>
      <c r="C718" s="5">
        <f>IF(B718="","",[1]!s_dq_close(股指期货基差分析!$E$5,$B718))</f>
        <v>7324.1331</v>
      </c>
      <c r="D718" s="5">
        <f>IF(B718="","",[1]!s_dq_close(股指期货基差分析!$E$6,$B718))</f>
        <v>7332.2</v>
      </c>
      <c r="E718" s="5">
        <f ca="1">RANK(F718,F:F)+COUNTIF(F$2:F718,F718)-1</f>
        <v>137</v>
      </c>
      <c r="F718" s="5">
        <f t="shared" si="12"/>
        <v>8.066899999999805</v>
      </c>
      <c r="G718" s="5">
        <f ca="1">IF(B718="","",股指期货基差分析!$N$11)</f>
        <v>-71.408500000000458</v>
      </c>
      <c r="H718" s="5">
        <f ca="1">IF(B718="","",股指期货基差分析!$L$11)</f>
        <v>15.737900000000081</v>
      </c>
      <c r="I718" s="9">
        <f ca="1">IF(B718="","",股指期货基差分析!$D$11)</f>
        <v>-19.923978315132629</v>
      </c>
      <c r="L718" s="43"/>
      <c r="Q718" s="11"/>
    </row>
    <row r="719" spans="2:17" ht="15" customHeight="1" x14ac:dyDescent="0.2">
      <c r="B719" s="8">
        <v>44545</v>
      </c>
      <c r="C719" s="6">
        <f>IF(B719="","",[1]!s_dq_close(股指期货基差分析!$E$5,$B719))</f>
        <v>7314.2586000000001</v>
      </c>
      <c r="D719" s="6">
        <f>IF(B719="","",[1]!s_dq_close(股指期货基差分析!$E$6,$B719))</f>
        <v>7314.6</v>
      </c>
      <c r="E719" s="6">
        <f ca="1">RANK(F719,F:F)+COUNTIF(F$2:F719,F719)-1</f>
        <v>284</v>
      </c>
      <c r="F719" s="6">
        <f t="shared" si="12"/>
        <v>0.34140000000024884</v>
      </c>
      <c r="G719" s="6">
        <f ca="1">IF(B719="","",股指期货基差分析!$N$11)</f>
        <v>-71.408500000000458</v>
      </c>
      <c r="H719" s="6">
        <f ca="1">IF(B719="","",股指期货基差分析!$L$11)</f>
        <v>15.737900000000081</v>
      </c>
      <c r="I719" s="10">
        <f ca="1">IF(B719="","",股指期货基差分析!$D$11)</f>
        <v>-19.923978315132629</v>
      </c>
      <c r="L719" s="43"/>
      <c r="Q719" s="11"/>
    </row>
    <row r="720" spans="2:17" ht="15" customHeight="1" x14ac:dyDescent="0.2">
      <c r="B720" s="7">
        <v>44546</v>
      </c>
      <c r="C720" s="5">
        <f>IF(B720="","",[1]!s_dq_close(股指期货基差分析!$E$5,$B720))</f>
        <v>7380.9974000000002</v>
      </c>
      <c r="D720" s="5">
        <f>IF(B720="","",[1]!s_dq_close(股指期货基差分析!$E$6,$B720))</f>
        <v>7380.6</v>
      </c>
      <c r="E720" s="5">
        <f ca="1">RANK(F720,F:F)+COUNTIF(F$2:F720,F720)-1</f>
        <v>304</v>
      </c>
      <c r="F720" s="5">
        <f t="shared" si="12"/>
        <v>-0.39739999999983411</v>
      </c>
      <c r="G720" s="5">
        <f ca="1">IF(B720="","",股指期货基差分析!$N$11)</f>
        <v>-71.408500000000458</v>
      </c>
      <c r="H720" s="5">
        <f ca="1">IF(B720="","",股指期货基差分析!$L$11)</f>
        <v>15.737900000000081</v>
      </c>
      <c r="I720" s="9">
        <f ca="1">IF(B720="","",股指期货基差分析!$D$11)</f>
        <v>-19.923978315132629</v>
      </c>
      <c r="L720" s="43"/>
      <c r="Q720" s="11"/>
    </row>
    <row r="721" spans="2:17" ht="15" customHeight="1" x14ac:dyDescent="0.2">
      <c r="B721" s="8">
        <v>44547</v>
      </c>
      <c r="C721" s="6">
        <f>IF(B721="","",[1]!s_dq_close(股指期货基差分析!$E$5,$B721))</f>
        <v>7314.5600999999997</v>
      </c>
      <c r="D721" s="6">
        <f>IF(B721="","",[1]!s_dq_close(股指期货基差分析!$E$6,$B721))</f>
        <v>7323.4</v>
      </c>
      <c r="E721" s="6">
        <f ca="1">RANK(F721,F:F)+COUNTIF(F$2:F721,F721)-1</f>
        <v>125</v>
      </c>
      <c r="F721" s="6">
        <f t="shared" si="12"/>
        <v>8.8398999999999432</v>
      </c>
      <c r="G721" s="6">
        <f ca="1">IF(B721="","",股指期货基差分析!$N$11)</f>
        <v>-71.408500000000458</v>
      </c>
      <c r="H721" s="6">
        <f ca="1">IF(B721="","",股指期货基差分析!$L$11)</f>
        <v>15.737900000000081</v>
      </c>
      <c r="I721" s="10">
        <f ca="1">IF(B721="","",股指期货基差分析!$D$11)</f>
        <v>-19.923978315132629</v>
      </c>
      <c r="L721" s="43"/>
      <c r="Q721" s="11"/>
    </row>
    <row r="722" spans="2:17" ht="15" customHeight="1" x14ac:dyDescent="0.2">
      <c r="B722" s="7">
        <v>44550</v>
      </c>
      <c r="C722" s="5">
        <f>IF(B722="","",[1]!s_dq_close(股指期货基差分析!$E$5,$B722))</f>
        <v>7195.9732000000004</v>
      </c>
      <c r="D722" s="5">
        <f>IF(B722="","",[1]!s_dq_close(股指期货基差分析!$E$6,$B722))</f>
        <v>7230</v>
      </c>
      <c r="E722" s="5">
        <f ca="1">RANK(F722,F:F)+COUNTIF(F$2:F722,F722)-1</f>
        <v>11</v>
      </c>
      <c r="F722" s="5">
        <f t="shared" si="12"/>
        <v>34.026799999999639</v>
      </c>
      <c r="G722" s="5">
        <f ca="1">IF(B722="","",股指期货基差分析!$N$11)</f>
        <v>-71.408500000000458</v>
      </c>
      <c r="H722" s="5">
        <f ca="1">IF(B722="","",股指期货基差分析!$L$11)</f>
        <v>15.737900000000081</v>
      </c>
      <c r="I722" s="9">
        <f ca="1">IF(B722="","",股指期货基差分析!$D$11)</f>
        <v>-19.923978315132629</v>
      </c>
      <c r="L722" s="43"/>
      <c r="Q722" s="11"/>
    </row>
    <row r="723" spans="2:17" ht="15" customHeight="1" x14ac:dyDescent="0.2">
      <c r="B723" s="8">
        <v>44551</v>
      </c>
      <c r="C723" s="6">
        <f>IF(B723="","",[1]!s_dq_close(股指期货基差分析!$E$5,$B723))</f>
        <v>7275.4674999999997</v>
      </c>
      <c r="D723" s="6">
        <f>IF(B723="","",[1]!s_dq_close(股指期货基差分析!$E$6,$B723))</f>
        <v>7268.8</v>
      </c>
      <c r="E723" s="6">
        <f ca="1">RANK(F723,F:F)+COUNTIF(F$2:F723,F723)-1</f>
        <v>462</v>
      </c>
      <c r="F723" s="6">
        <f t="shared" si="12"/>
        <v>-6.6674999999995634</v>
      </c>
      <c r="G723" s="6">
        <f ca="1">IF(B723="","",股指期货基差分析!$N$11)</f>
        <v>-71.408500000000458</v>
      </c>
      <c r="H723" s="6">
        <f ca="1">IF(B723="","",股指期货基差分析!$L$11)</f>
        <v>15.737900000000081</v>
      </c>
      <c r="I723" s="10">
        <f ca="1">IF(B723="","",股指期货基差分析!$D$11)</f>
        <v>-19.923978315132629</v>
      </c>
      <c r="L723" s="43"/>
      <c r="Q723" s="11"/>
    </row>
    <row r="724" spans="2:17" ht="15" customHeight="1" x14ac:dyDescent="0.2">
      <c r="B724" s="7">
        <v>44552</v>
      </c>
      <c r="C724" s="5">
        <f>IF(B724="","",[1]!s_dq_close(股指期货基差分析!$E$5,$B724))</f>
        <v>7302.4629999999997</v>
      </c>
      <c r="D724" s="5">
        <f>IF(B724="","",[1]!s_dq_close(股指期货基差分析!$E$6,$B724))</f>
        <v>7297</v>
      </c>
      <c r="E724" s="5">
        <f ca="1">RANK(F724,F:F)+COUNTIF(F$2:F724,F724)-1</f>
        <v>425</v>
      </c>
      <c r="F724" s="5">
        <f t="shared" si="12"/>
        <v>-5.4629999999997381</v>
      </c>
      <c r="G724" s="5">
        <f ca="1">IF(B724="","",股指期货基差分析!$N$11)</f>
        <v>-71.408500000000458</v>
      </c>
      <c r="H724" s="5">
        <f ca="1">IF(B724="","",股指期货基差分析!$L$11)</f>
        <v>15.737900000000081</v>
      </c>
      <c r="I724" s="9">
        <f ca="1">IF(B724="","",股指期货基差分析!$D$11)</f>
        <v>-19.923978315132629</v>
      </c>
      <c r="L724" s="43"/>
      <c r="Q724" s="11"/>
    </row>
    <row r="725" spans="2:17" ht="15" customHeight="1" x14ac:dyDescent="0.2">
      <c r="B725" s="8">
        <v>44553</v>
      </c>
      <c r="C725" s="6">
        <f>IF(B725="","",[1]!s_dq_close(股指期货基差分析!$E$5,$B725))</f>
        <v>7337.19</v>
      </c>
      <c r="D725" s="6">
        <f>IF(B725="","",[1]!s_dq_close(股指期货基差分析!$E$6,$B725))</f>
        <v>7342.8</v>
      </c>
      <c r="E725" s="6">
        <f ca="1">RANK(F725,F:F)+COUNTIF(F$2:F725,F725)-1</f>
        <v>176</v>
      </c>
      <c r="F725" s="6">
        <f t="shared" si="12"/>
        <v>5.6100000000005821</v>
      </c>
      <c r="G725" s="6">
        <f ca="1">IF(B725="","",股指期货基差分析!$N$11)</f>
        <v>-71.408500000000458</v>
      </c>
      <c r="H725" s="6">
        <f ca="1">IF(B725="","",股指期货基差分析!$L$11)</f>
        <v>15.737900000000081</v>
      </c>
      <c r="I725" s="10">
        <f ca="1">IF(B725="","",股指期货基差分析!$D$11)</f>
        <v>-19.923978315132629</v>
      </c>
      <c r="L725" s="43"/>
      <c r="Q725" s="11"/>
    </row>
    <row r="726" spans="2:17" ht="15" customHeight="1" x14ac:dyDescent="0.2">
      <c r="B726" s="7">
        <v>44554</v>
      </c>
      <c r="C726" s="5">
        <f>IF(B726="","",[1]!s_dq_close(股指期货基差分析!$E$5,$B726))</f>
        <v>7278.7556000000004</v>
      </c>
      <c r="D726" s="5">
        <f>IF(B726="","",[1]!s_dq_close(股指期货基差分析!$E$6,$B726))</f>
        <v>7309.4</v>
      </c>
      <c r="E726" s="5">
        <f ca="1">RANK(F726,F:F)+COUNTIF(F$2:F726,F726)-1</f>
        <v>15</v>
      </c>
      <c r="F726" s="5">
        <f t="shared" si="12"/>
        <v>30.644399999999223</v>
      </c>
      <c r="G726" s="5">
        <f ca="1">IF(B726="","",股指期货基差分析!$N$11)</f>
        <v>-71.408500000000458</v>
      </c>
      <c r="H726" s="5">
        <f ca="1">IF(B726="","",股指期货基差分析!$L$11)</f>
        <v>15.737900000000081</v>
      </c>
      <c r="I726" s="9">
        <f ca="1">IF(B726="","",股指期货基差分析!$D$11)</f>
        <v>-19.923978315132629</v>
      </c>
      <c r="L726" s="43"/>
      <c r="Q726" s="11"/>
    </row>
    <row r="727" spans="2:17" ht="15" customHeight="1" x14ac:dyDescent="0.2">
      <c r="B727" s="8">
        <v>44557</v>
      </c>
      <c r="C727" s="6">
        <f>IF(B727="","",[1]!s_dq_close(股指期货基差分析!$E$5,$B727))</f>
        <v>7272.7493000000004</v>
      </c>
      <c r="D727" s="6">
        <f>IF(B727="","",[1]!s_dq_close(股指期货基差分析!$E$6,$B727))</f>
        <v>7298.4</v>
      </c>
      <c r="E727" s="6">
        <f ca="1">RANK(F727,F:F)+COUNTIF(F$2:F727,F727)-1</f>
        <v>22</v>
      </c>
      <c r="F727" s="6">
        <f t="shared" si="12"/>
        <v>25.650699999999233</v>
      </c>
      <c r="G727" s="6">
        <f ca="1">IF(B727="","",股指期货基差分析!$N$11)</f>
        <v>-71.408500000000458</v>
      </c>
      <c r="H727" s="6">
        <f ca="1">IF(B727="","",股指期货基差分析!$L$11)</f>
        <v>15.737900000000081</v>
      </c>
      <c r="I727" s="10">
        <f ca="1">IF(B727="","",股指期货基差分析!$D$11)</f>
        <v>-19.923978315132629</v>
      </c>
      <c r="L727" s="43"/>
      <c r="Q727" s="11"/>
    </row>
    <row r="728" spans="2:17" ht="15" customHeight="1" x14ac:dyDescent="0.2">
      <c r="B728" s="7">
        <v>44558</v>
      </c>
      <c r="C728" s="5">
        <f>IF(B728="","",[1]!s_dq_close(股指期货基差分析!$E$5,$B728))</f>
        <v>7286.0335999999998</v>
      </c>
      <c r="D728" s="5">
        <f>IF(B728="","",[1]!s_dq_close(股指期货基差分析!$E$6,$B728))</f>
        <v>7310</v>
      </c>
      <c r="E728" s="5">
        <f ca="1">RANK(F728,F:F)+COUNTIF(F$2:F728,F728)-1</f>
        <v>29</v>
      </c>
      <c r="F728" s="5">
        <f t="shared" si="12"/>
        <v>23.966400000000249</v>
      </c>
      <c r="G728" s="5">
        <f ca="1">IF(B728="","",股指期货基差分析!$N$11)</f>
        <v>-71.408500000000458</v>
      </c>
      <c r="H728" s="5">
        <f ca="1">IF(B728="","",股指期货基差分析!$L$11)</f>
        <v>15.737900000000081</v>
      </c>
      <c r="I728" s="9">
        <f ca="1">IF(B728="","",股指期货基差分析!$D$11)</f>
        <v>-19.923978315132629</v>
      </c>
      <c r="L728" s="43"/>
      <c r="Q728" s="11"/>
    </row>
    <row r="729" spans="2:17" ht="15" customHeight="1" x14ac:dyDescent="0.2">
      <c r="B729" s="8">
        <v>44559</v>
      </c>
      <c r="C729" s="6">
        <f>IF(B729="","",[1]!s_dq_close(股指期货基差分析!$E$5,$B729))</f>
        <v>7247.7740999999996</v>
      </c>
      <c r="D729" s="6">
        <f>IF(B729="","",[1]!s_dq_close(股指期货基差分析!$E$6,$B729))</f>
        <v>7291.2</v>
      </c>
      <c r="E729" s="6">
        <f ca="1">RANK(F729,F:F)+COUNTIF(F$2:F729,F729)-1</f>
        <v>5</v>
      </c>
      <c r="F729" s="6">
        <f t="shared" si="12"/>
        <v>43.425900000000183</v>
      </c>
      <c r="G729" s="6">
        <f ca="1">IF(B729="","",股指期货基差分析!$N$11)</f>
        <v>-71.408500000000458</v>
      </c>
      <c r="H729" s="6">
        <f ca="1">IF(B729="","",股指期货基差分析!$L$11)</f>
        <v>15.737900000000081</v>
      </c>
      <c r="I729" s="10">
        <f ca="1">IF(B729="","",股指期货基差分析!$D$11)</f>
        <v>-19.923978315132629</v>
      </c>
      <c r="L729" s="43"/>
      <c r="Q729" s="11"/>
    </row>
    <row r="730" spans="2:17" ht="15" customHeight="1" x14ac:dyDescent="0.2">
      <c r="B730" s="7">
        <v>44560</v>
      </c>
      <c r="C730" s="5">
        <f>IF(B730="","",[1]!s_dq_close(股指期货基差分析!$E$5,$B730))</f>
        <v>7310.96</v>
      </c>
      <c r="D730" s="5">
        <f>IF(B730="","",[1]!s_dq_close(股指期货基差分析!$E$6,$B730))</f>
        <v>7342.8</v>
      </c>
      <c r="E730" s="5">
        <f ca="1">RANK(F730,F:F)+COUNTIF(F$2:F730,F730)-1</f>
        <v>13</v>
      </c>
      <c r="F730" s="5">
        <f t="shared" si="12"/>
        <v>31.840000000000146</v>
      </c>
      <c r="G730" s="5">
        <f ca="1">IF(B730="","",股指期货基差分析!$N$11)</f>
        <v>-71.408500000000458</v>
      </c>
      <c r="H730" s="5">
        <f ca="1">IF(B730="","",股指期货基差分析!$L$11)</f>
        <v>15.737900000000081</v>
      </c>
      <c r="I730" s="9">
        <f ca="1">IF(B730="","",股指期货基差分析!$D$11)</f>
        <v>-19.923978315132629</v>
      </c>
      <c r="L730" s="43"/>
      <c r="Q730" s="11"/>
    </row>
    <row r="731" spans="2:17" ht="15" customHeight="1" x14ac:dyDescent="0.2">
      <c r="B731" s="8">
        <v>44561</v>
      </c>
      <c r="C731" s="6">
        <f>IF(B731="","",[1]!s_dq_close(股指期货基差分析!$E$5,$B731))</f>
        <v>7359.4023999999999</v>
      </c>
      <c r="D731" s="6">
        <f>IF(B731="","",[1]!s_dq_close(股指期货基差分析!$E$6,$B731))</f>
        <v>7371.8</v>
      </c>
      <c r="E731" s="6">
        <f ca="1">RANK(F731,F:F)+COUNTIF(F$2:F731,F731)-1</f>
        <v>85</v>
      </c>
      <c r="F731" s="6">
        <f t="shared" si="12"/>
        <v>12.397600000000239</v>
      </c>
      <c r="G731" s="6">
        <f ca="1">IF(B731="","",股指期货基差分析!$N$11)</f>
        <v>-71.408500000000458</v>
      </c>
      <c r="H731" s="6">
        <f ca="1">IF(B731="","",股指期货基差分析!$L$11)</f>
        <v>15.737900000000081</v>
      </c>
      <c r="I731" s="10">
        <f ca="1">IF(B731="","",股指期货基差分析!$D$11)</f>
        <v>-19.923978315132629</v>
      </c>
      <c r="L731" s="43"/>
      <c r="Q731" s="11"/>
    </row>
    <row r="732" spans="2:17" ht="15" customHeight="1" x14ac:dyDescent="0.2">
      <c r="B732" s="7">
        <v>44565</v>
      </c>
      <c r="C732" s="5">
        <f>IF(B732="","",[1]!s_dq_close(股指期货基差分析!$E$5,$B732))</f>
        <v>7354.4561999999996</v>
      </c>
      <c r="D732" s="5">
        <f>IF(B732="","",[1]!s_dq_close(股指期货基差分析!$E$6,$B732))</f>
        <v>7371</v>
      </c>
      <c r="E732" s="5">
        <f ca="1">RANK(F732,F:F)+COUNTIF(F$2:F732,F732)-1</f>
        <v>59</v>
      </c>
      <c r="F732" s="5">
        <f t="shared" si="12"/>
        <v>16.543800000000374</v>
      </c>
      <c r="G732" s="5">
        <f ca="1">IF(B732="","",股指期货基差分析!$N$11)</f>
        <v>-71.408500000000458</v>
      </c>
      <c r="H732" s="5">
        <f ca="1">IF(B732="","",股指期货基差分析!$L$11)</f>
        <v>15.737900000000081</v>
      </c>
      <c r="I732" s="9">
        <f ca="1">IF(B732="","",股指期货基差分析!$D$11)</f>
        <v>-19.923978315132629</v>
      </c>
      <c r="L732" s="43"/>
      <c r="Q732" s="11"/>
    </row>
    <row r="733" spans="2:17" ht="15" customHeight="1" x14ac:dyDescent="0.2">
      <c r="B733" s="8">
        <v>44566</v>
      </c>
      <c r="C733" s="6">
        <f>IF(B733="","",[1]!s_dq_close(股指期货基差分析!$E$5,$B733))</f>
        <v>7222.6746999999996</v>
      </c>
      <c r="D733" s="6">
        <f>IF(B733="","",[1]!s_dq_close(股指期货基差分析!$E$6,$B733))</f>
        <v>7221.8</v>
      </c>
      <c r="E733" s="6">
        <f ca="1">RANK(F733,F:F)+COUNTIF(F$2:F733,F733)-1</f>
        <v>313</v>
      </c>
      <c r="F733" s="6">
        <f t="shared" si="12"/>
        <v>-0.87469999999939319</v>
      </c>
      <c r="G733" s="6">
        <f ca="1">IF(B733="","",股指期货基差分析!$N$11)</f>
        <v>-71.408500000000458</v>
      </c>
      <c r="H733" s="6">
        <f ca="1">IF(B733="","",股指期货基差分析!$L$11)</f>
        <v>15.737900000000081</v>
      </c>
      <c r="I733" s="10">
        <f ca="1">IF(B733="","",股指期货基差分析!$D$11)</f>
        <v>-19.923978315132629</v>
      </c>
      <c r="L733" s="43"/>
      <c r="Q733" s="11"/>
    </row>
    <row r="734" spans="2:17" ht="15" customHeight="1" x14ac:dyDescent="0.2">
      <c r="B734" s="7">
        <v>44567</v>
      </c>
      <c r="C734" s="5">
        <f>IF(B734="","",[1]!s_dq_close(股指期货基差分析!$E$5,$B734))</f>
        <v>7229.9601000000002</v>
      </c>
      <c r="D734" s="5">
        <f>IF(B734="","",[1]!s_dq_close(股指期货基差分析!$E$6,$B734))</f>
        <v>7225.2</v>
      </c>
      <c r="E734" s="5">
        <f ca="1">RANK(F734,F:F)+COUNTIF(F$2:F734,F734)-1</f>
        <v>406</v>
      </c>
      <c r="F734" s="5">
        <f t="shared" si="12"/>
        <v>-4.7601000000004206</v>
      </c>
      <c r="G734" s="5">
        <f ca="1">IF(B734="","",股指期货基差分析!$N$11)</f>
        <v>-71.408500000000458</v>
      </c>
      <c r="H734" s="5">
        <f ca="1">IF(B734="","",股指期货基差分析!$L$11)</f>
        <v>15.737900000000081</v>
      </c>
      <c r="I734" s="9">
        <f ca="1">IF(B734="","",股指期货基差分析!$D$11)</f>
        <v>-19.923978315132629</v>
      </c>
      <c r="L734" s="43"/>
      <c r="Q734" s="11"/>
    </row>
    <row r="735" spans="2:17" ht="15" customHeight="1" x14ac:dyDescent="0.2">
      <c r="B735" s="8">
        <v>44568</v>
      </c>
      <c r="C735" s="6">
        <f>IF(B735="","",[1]!s_dq_close(股指期货基差分析!$E$5,$B735))</f>
        <v>7175.6760000000004</v>
      </c>
      <c r="D735" s="6">
        <f>IF(B735="","",[1]!s_dq_close(股指期货基差分析!$E$6,$B735))</f>
        <v>7192</v>
      </c>
      <c r="E735" s="6">
        <f ca="1">RANK(F735,F:F)+COUNTIF(F$2:F735,F735)-1</f>
        <v>60</v>
      </c>
      <c r="F735" s="6">
        <f t="shared" si="12"/>
        <v>16.323999999999614</v>
      </c>
      <c r="G735" s="6">
        <f ca="1">IF(B735="","",股指期货基差分析!$N$11)</f>
        <v>-71.408500000000458</v>
      </c>
      <c r="H735" s="6">
        <f ca="1">IF(B735="","",股指期货基差分析!$L$11)</f>
        <v>15.737900000000081</v>
      </c>
      <c r="I735" s="10">
        <f ca="1">IF(B735="","",股指期货基差分析!$D$11)</f>
        <v>-19.923978315132629</v>
      </c>
      <c r="L735" s="43"/>
      <c r="Q735" s="11"/>
    </row>
    <row r="736" spans="2:17" ht="15" customHeight="1" x14ac:dyDescent="0.2">
      <c r="B736" s="7">
        <v>44571</v>
      </c>
      <c r="C736" s="5">
        <f>IF(B736="","",[1]!s_dq_close(股指期货基差分析!$E$5,$B736))</f>
        <v>7191.4511000000002</v>
      </c>
      <c r="D736" s="5">
        <f>IF(B736="","",[1]!s_dq_close(股指期货基差分析!$E$6,$B736))</f>
        <v>7191</v>
      </c>
      <c r="E736" s="5">
        <f ca="1">RANK(F736,F:F)+COUNTIF(F$2:F736,F736)-1</f>
        <v>306</v>
      </c>
      <c r="F736" s="5">
        <f t="shared" si="12"/>
        <v>-0.4511000000002241</v>
      </c>
      <c r="G736" s="5">
        <f ca="1">IF(B736="","",股指期货基差分析!$N$11)</f>
        <v>-71.408500000000458</v>
      </c>
      <c r="H736" s="5">
        <f ca="1">IF(B736="","",股指期货基差分析!$L$11)</f>
        <v>15.737900000000081</v>
      </c>
      <c r="I736" s="9">
        <f ca="1">IF(B736="","",股指期货基差分析!$D$11)</f>
        <v>-19.923978315132629</v>
      </c>
      <c r="L736" s="43"/>
      <c r="Q736" s="11"/>
    </row>
    <row r="737" spans="2:17" ht="15" customHeight="1" x14ac:dyDescent="0.2">
      <c r="B737" s="8">
        <v>44572</v>
      </c>
      <c r="C737" s="6">
        <f>IF(B737="","",[1]!s_dq_close(股指期货基差分析!$E$5,$B737))</f>
        <v>7135.2232000000004</v>
      </c>
      <c r="D737" s="6">
        <f>IF(B737="","",[1]!s_dq_close(股指期货基差分析!$E$6,$B737))</f>
        <v>7157.8</v>
      </c>
      <c r="E737" s="6">
        <f ca="1">RANK(F737,F:F)+COUNTIF(F$2:F737,F737)-1</f>
        <v>33</v>
      </c>
      <c r="F737" s="6">
        <f t="shared" si="12"/>
        <v>22.576799999999821</v>
      </c>
      <c r="G737" s="6">
        <f ca="1">IF(B737="","",股指期货基差分析!$N$11)</f>
        <v>-71.408500000000458</v>
      </c>
      <c r="H737" s="6">
        <f ca="1">IF(B737="","",股指期货基差分析!$L$11)</f>
        <v>15.737900000000081</v>
      </c>
      <c r="I737" s="10">
        <f ca="1">IF(B737="","",股指期货基差分析!$D$11)</f>
        <v>-19.923978315132629</v>
      </c>
      <c r="L737" s="43"/>
      <c r="Q737" s="11"/>
    </row>
    <row r="738" spans="2:17" ht="15" customHeight="1" x14ac:dyDescent="0.2">
      <c r="B738" s="7">
        <v>44573</v>
      </c>
      <c r="C738" s="5">
        <f>IF(B738="","",[1]!s_dq_close(股指期货基差分析!$E$5,$B738))</f>
        <v>7196.9327000000003</v>
      </c>
      <c r="D738" s="5">
        <f>IF(B738="","",[1]!s_dq_close(股指期货基差分析!$E$6,$B738))</f>
        <v>7200</v>
      </c>
      <c r="E738" s="5">
        <f ca="1">RANK(F738,F:F)+COUNTIF(F$2:F738,F738)-1</f>
        <v>231</v>
      </c>
      <c r="F738" s="5">
        <f t="shared" si="12"/>
        <v>3.0672999999997046</v>
      </c>
      <c r="G738" s="5">
        <f ca="1">IF(B738="","",股指期货基差分析!$N$11)</f>
        <v>-71.408500000000458</v>
      </c>
      <c r="H738" s="5">
        <f ca="1">IF(B738="","",股指期货基差分析!$L$11)</f>
        <v>15.737900000000081</v>
      </c>
      <c r="I738" s="9">
        <f ca="1">IF(B738="","",股指期货基差分析!$D$11)</f>
        <v>-19.923978315132629</v>
      </c>
      <c r="L738" s="43"/>
      <c r="Q738" s="11"/>
    </row>
    <row r="739" spans="2:17" ht="15" customHeight="1" x14ac:dyDescent="0.2">
      <c r="B739" s="8">
        <v>44574</v>
      </c>
      <c r="C739" s="6">
        <f>IF(B739="","",[1]!s_dq_close(股指期货基差分析!$E$5,$B739))</f>
        <v>7097.7593999999999</v>
      </c>
      <c r="D739" s="6">
        <f>IF(B739="","",[1]!s_dq_close(股指期货基差分析!$E$6,$B739))</f>
        <v>7118.8</v>
      </c>
      <c r="E739" s="6">
        <f ca="1">RANK(F739,F:F)+COUNTIF(F$2:F739,F739)-1</f>
        <v>36</v>
      </c>
      <c r="F739" s="6">
        <f t="shared" si="12"/>
        <v>21.040600000000268</v>
      </c>
      <c r="G739" s="6">
        <f ca="1">IF(B739="","",股指期货基差分析!$N$11)</f>
        <v>-71.408500000000458</v>
      </c>
      <c r="H739" s="6">
        <f ca="1">IF(B739="","",股指期货基差分析!$L$11)</f>
        <v>15.737900000000081</v>
      </c>
      <c r="I739" s="10">
        <f ca="1">IF(B739="","",股指期货基差分析!$D$11)</f>
        <v>-19.923978315132629</v>
      </c>
      <c r="L739" s="43"/>
      <c r="Q739" s="11"/>
    </row>
    <row r="740" spans="2:17" ht="15" customHeight="1" x14ac:dyDescent="0.2">
      <c r="B740" s="7">
        <v>44575</v>
      </c>
      <c r="C740" s="5">
        <f>IF(B740="","",[1]!s_dq_close(股指期货基差分析!$E$5,$B740))</f>
        <v>7081.1408000000001</v>
      </c>
      <c r="D740" s="5">
        <f>IF(B740="","",[1]!s_dq_close(股指期货基差分析!$E$6,$B740))</f>
        <v>7088.4</v>
      </c>
      <c r="E740" s="5">
        <f ca="1">RANK(F740,F:F)+COUNTIF(F$2:F740,F740)-1</f>
        <v>148</v>
      </c>
      <c r="F740" s="5">
        <f t="shared" si="12"/>
        <v>7.2591999999995096</v>
      </c>
      <c r="G740" s="5">
        <f ca="1">IF(B740="","",股指期货基差分析!$N$11)</f>
        <v>-71.408500000000458</v>
      </c>
      <c r="H740" s="5">
        <f ca="1">IF(B740="","",股指期货基差分析!$L$11)</f>
        <v>15.737900000000081</v>
      </c>
      <c r="I740" s="9">
        <f ca="1">IF(B740="","",股指期货基差分析!$D$11)</f>
        <v>-19.923978315132629</v>
      </c>
      <c r="L740" s="43"/>
      <c r="Q740" s="11"/>
    </row>
    <row r="741" spans="2:17" ht="15" customHeight="1" x14ac:dyDescent="0.2">
      <c r="B741" s="8">
        <v>44578</v>
      </c>
      <c r="C741" s="6">
        <f>IF(B741="","",[1]!s_dq_close(股指期货基差分析!$E$5,$B741))</f>
        <v>7157.8593000000001</v>
      </c>
      <c r="D741" s="6">
        <f>IF(B741="","",[1]!s_dq_close(股指期货基差分析!$E$6,$B741))</f>
        <v>7154.6</v>
      </c>
      <c r="E741" s="6">
        <f ca="1">RANK(F741,F:F)+COUNTIF(F$2:F741,F741)-1</f>
        <v>380</v>
      </c>
      <c r="F741" s="6">
        <f t="shared" si="12"/>
        <v>-3.2592999999997119</v>
      </c>
      <c r="G741" s="6">
        <f ca="1">IF(B741="","",股指期货基差分析!$N$11)</f>
        <v>-71.408500000000458</v>
      </c>
      <c r="H741" s="6">
        <f ca="1">IF(B741="","",股指期货基差分析!$L$11)</f>
        <v>15.737900000000081</v>
      </c>
      <c r="I741" s="10">
        <f ca="1">IF(B741="","",股指期货基差分析!$D$11)</f>
        <v>-19.923978315132629</v>
      </c>
      <c r="L741" s="43"/>
      <c r="Q741" s="11"/>
    </row>
    <row r="742" spans="2:17" ht="15" customHeight="1" x14ac:dyDescent="0.2">
      <c r="B742" s="7">
        <v>44579</v>
      </c>
      <c r="C742" s="5">
        <f>IF(B742="","",[1]!s_dq_close(股指期货基差分析!$E$5,$B742))</f>
        <v>7163.1585999999998</v>
      </c>
      <c r="D742" s="5">
        <f>IF(B742="","",[1]!s_dq_close(股指期货基差分析!$E$6,$B742))</f>
        <v>7166</v>
      </c>
      <c r="E742" s="5">
        <f ca="1">RANK(F742,F:F)+COUNTIF(F$2:F742,F742)-1</f>
        <v>239</v>
      </c>
      <c r="F742" s="5">
        <f t="shared" si="12"/>
        <v>2.8414000000002488</v>
      </c>
      <c r="G742" s="5">
        <f ca="1">IF(B742="","",股指期货基差分析!$N$11)</f>
        <v>-71.408500000000458</v>
      </c>
      <c r="H742" s="5">
        <f ca="1">IF(B742="","",股指期货基差分析!$L$11)</f>
        <v>15.737900000000081</v>
      </c>
      <c r="I742" s="9">
        <f ca="1">IF(B742="","",股指期货基差分析!$D$11)</f>
        <v>-19.923978315132629</v>
      </c>
      <c r="L742" s="43"/>
      <c r="Q742" s="11"/>
    </row>
    <row r="743" spans="2:17" ht="15" customHeight="1" x14ac:dyDescent="0.2">
      <c r="B743" s="8">
        <v>44580</v>
      </c>
      <c r="C743" s="6">
        <f>IF(B743="","",[1]!s_dq_close(股指期货基差分析!$E$5,$B743))</f>
        <v>7118.7619999999997</v>
      </c>
      <c r="D743" s="6">
        <f>IF(B743="","",[1]!s_dq_close(股指期货基差分析!$E$6,$B743))</f>
        <v>7122.2</v>
      </c>
      <c r="E743" s="6">
        <f ca="1">RANK(F743,F:F)+COUNTIF(F$2:F743,F743)-1</f>
        <v>226</v>
      </c>
      <c r="F743" s="6">
        <f t="shared" si="12"/>
        <v>3.4380000000001019</v>
      </c>
      <c r="G743" s="6">
        <f ca="1">IF(B743="","",股指期货基差分析!$N$11)</f>
        <v>-71.408500000000458</v>
      </c>
      <c r="H743" s="6">
        <f ca="1">IF(B743="","",股指期货基差分析!$L$11)</f>
        <v>15.737900000000081</v>
      </c>
      <c r="I743" s="10">
        <f ca="1">IF(B743="","",股指期货基差分析!$D$11)</f>
        <v>-19.923978315132629</v>
      </c>
      <c r="L743" s="43"/>
      <c r="Q743" s="11"/>
    </row>
    <row r="744" spans="2:17" ht="15" customHeight="1" x14ac:dyDescent="0.2">
      <c r="B744" s="7">
        <v>44581</v>
      </c>
      <c r="C744" s="5">
        <f>IF(B744="","",[1]!s_dq_close(股指期货基差分析!$E$5,$B744))</f>
        <v>7056.7853999999998</v>
      </c>
      <c r="D744" s="5">
        <f>IF(B744="","",[1]!s_dq_close(股指期货基差分析!$E$6,$B744))</f>
        <v>7063.8</v>
      </c>
      <c r="E744" s="5">
        <f ca="1">RANK(F744,F:F)+COUNTIF(F$2:F744,F744)-1</f>
        <v>153</v>
      </c>
      <c r="F744" s="5">
        <f t="shared" si="12"/>
        <v>7.0146000000004278</v>
      </c>
      <c r="G744" s="5">
        <f ca="1">IF(B744="","",股指期货基差分析!$N$11)</f>
        <v>-71.408500000000458</v>
      </c>
      <c r="H744" s="5">
        <f ca="1">IF(B744="","",股指期货基差分析!$L$11)</f>
        <v>15.737900000000081</v>
      </c>
      <c r="I744" s="9">
        <f ca="1">IF(B744="","",股指期货基差分析!$D$11)</f>
        <v>-19.923978315132629</v>
      </c>
      <c r="L744" s="43"/>
      <c r="Q744" s="11"/>
    </row>
    <row r="745" spans="2:17" ht="15" customHeight="1" x14ac:dyDescent="0.2">
      <c r="B745" s="8">
        <v>44582</v>
      </c>
      <c r="C745" s="6">
        <f>IF(B745="","",[1]!s_dq_close(股指期货基差分析!$E$5,$B745))</f>
        <v>6976.6154999999999</v>
      </c>
      <c r="D745" s="6">
        <f>IF(B745="","",[1]!s_dq_close(股指期货基差分析!$E$6,$B745))</f>
        <v>6982.2</v>
      </c>
      <c r="E745" s="6">
        <f ca="1">RANK(F745,F:F)+COUNTIF(F$2:F745,F745)-1</f>
        <v>177</v>
      </c>
      <c r="F745" s="6">
        <f t="shared" si="12"/>
        <v>5.5844999999999345</v>
      </c>
      <c r="G745" s="6">
        <f ca="1">IF(B745="","",股指期货基差分析!$N$11)</f>
        <v>-71.408500000000458</v>
      </c>
      <c r="H745" s="6">
        <f ca="1">IF(B745="","",股指期货基差分析!$L$11)</f>
        <v>15.737900000000081</v>
      </c>
      <c r="I745" s="10">
        <f ca="1">IF(B745="","",股指期货基差分析!$D$11)</f>
        <v>-19.923978315132629</v>
      </c>
      <c r="L745" s="43"/>
      <c r="Q745" s="11"/>
    </row>
    <row r="746" spans="2:17" ht="15" customHeight="1" x14ac:dyDescent="0.2">
      <c r="B746" s="7">
        <v>44585</v>
      </c>
      <c r="C746" s="5">
        <f>IF(B746="","",[1]!s_dq_close(股指期货基差分析!$E$5,$B746))</f>
        <v>6979.2456000000002</v>
      </c>
      <c r="D746" s="5">
        <f>IF(B746="","",[1]!s_dq_close(股指期货基差分析!$E$6,$B746))</f>
        <v>7004.2</v>
      </c>
      <c r="E746" s="5">
        <f ca="1">RANK(F746,F:F)+COUNTIF(F$2:F746,F746)-1</f>
        <v>24</v>
      </c>
      <c r="F746" s="5">
        <f t="shared" si="12"/>
        <v>24.954399999999623</v>
      </c>
      <c r="G746" s="5">
        <f ca="1">IF(B746="","",股指期货基差分析!$N$11)</f>
        <v>-71.408500000000458</v>
      </c>
      <c r="H746" s="5">
        <f ca="1">IF(B746="","",股指期货基差分析!$L$11)</f>
        <v>15.737900000000081</v>
      </c>
      <c r="I746" s="9">
        <f ca="1">IF(B746="","",股指期货基差分析!$D$11)</f>
        <v>-19.923978315132629</v>
      </c>
      <c r="L746" s="43"/>
      <c r="Q746" s="11"/>
    </row>
    <row r="747" spans="2:17" ht="15" customHeight="1" x14ac:dyDescent="0.2">
      <c r="B747" s="8">
        <v>44586</v>
      </c>
      <c r="C747" s="6">
        <f>IF(B747="","",[1]!s_dq_close(股指期货基差分析!$E$5,$B747))</f>
        <v>6743.9566000000004</v>
      </c>
      <c r="D747" s="6">
        <f>IF(B747="","",[1]!s_dq_close(股指期货基差分析!$E$6,$B747))</f>
        <v>6762.2</v>
      </c>
      <c r="E747" s="6">
        <f ca="1">RANK(F747,F:F)+COUNTIF(F$2:F747,F747)-1</f>
        <v>52</v>
      </c>
      <c r="F747" s="6">
        <f t="shared" si="12"/>
        <v>18.243399999999383</v>
      </c>
      <c r="G747" s="6">
        <f ca="1">IF(B747="","",股指期货基差分析!$N$11)</f>
        <v>-71.408500000000458</v>
      </c>
      <c r="H747" s="6">
        <f ca="1">IF(B747="","",股指期货基差分析!$L$11)</f>
        <v>15.737900000000081</v>
      </c>
      <c r="I747" s="10">
        <f ca="1">IF(B747="","",股指期货基差分析!$D$11)</f>
        <v>-19.923978315132629</v>
      </c>
      <c r="L747" s="43"/>
      <c r="Q747" s="11"/>
    </row>
    <row r="748" spans="2:17" ht="15" customHeight="1" x14ac:dyDescent="0.2">
      <c r="B748" s="7">
        <v>44587</v>
      </c>
      <c r="C748" s="5">
        <f>IF(B748="","",[1]!s_dq_close(股指期货基差分析!$E$5,$B748))</f>
        <v>6782.5762999999997</v>
      </c>
      <c r="D748" s="5">
        <f>IF(B748="","",[1]!s_dq_close(股指期货基差分析!$E$6,$B748))</f>
        <v>6786.2</v>
      </c>
      <c r="E748" s="5">
        <f ca="1">RANK(F748,F:F)+COUNTIF(F$2:F748,F748)-1</f>
        <v>217</v>
      </c>
      <c r="F748" s="5">
        <f t="shared" si="12"/>
        <v>3.623700000000099</v>
      </c>
      <c r="G748" s="5">
        <f ca="1">IF(B748="","",股指期货基差分析!$N$11)</f>
        <v>-71.408500000000458</v>
      </c>
      <c r="H748" s="5">
        <f ca="1">IF(B748="","",股指期货基差分析!$L$11)</f>
        <v>15.737900000000081</v>
      </c>
      <c r="I748" s="9">
        <f ca="1">IF(B748="","",股指期货基差分析!$D$11)</f>
        <v>-19.923978315132629</v>
      </c>
      <c r="L748" s="43"/>
      <c r="Q748" s="11"/>
    </row>
    <row r="749" spans="2:17" ht="15" customHeight="1" x14ac:dyDescent="0.2">
      <c r="B749" s="8">
        <v>44588</v>
      </c>
      <c r="C749" s="6">
        <f>IF(B749="","",[1]!s_dq_close(股指期货基差分析!$E$5,$B749))</f>
        <v>6605.9159</v>
      </c>
      <c r="D749" s="6">
        <f>IF(B749="","",[1]!s_dq_close(股指期货基差分析!$E$6,$B749))</f>
        <v>6622</v>
      </c>
      <c r="E749" s="6">
        <f ca="1">RANK(F749,F:F)+COUNTIF(F$2:F749,F749)-1</f>
        <v>62</v>
      </c>
      <c r="F749" s="6">
        <f t="shared" si="12"/>
        <v>16.084100000000035</v>
      </c>
      <c r="G749" s="6">
        <f ca="1">IF(B749="","",股指期货基差分析!$N$11)</f>
        <v>-71.408500000000458</v>
      </c>
      <c r="H749" s="6">
        <f ca="1">IF(B749="","",股指期货基差分析!$L$11)</f>
        <v>15.737900000000081</v>
      </c>
      <c r="I749" s="10">
        <f ca="1">IF(B749="","",股指期货基差分析!$D$11)</f>
        <v>-19.923978315132629</v>
      </c>
      <c r="L749" s="43"/>
      <c r="Q749" s="11"/>
    </row>
    <row r="750" spans="2:17" ht="15" customHeight="1" x14ac:dyDescent="0.2">
      <c r="B750" s="7">
        <v>44589</v>
      </c>
      <c r="C750" s="5">
        <f>IF(B750="","",[1]!s_dq_close(股指期货基差分析!$E$5,$B750))</f>
        <v>6580.53</v>
      </c>
      <c r="D750" s="5">
        <f>IF(B750="","",[1]!s_dq_close(股指期货基差分析!$E$6,$B750))</f>
        <v>6561</v>
      </c>
      <c r="E750" s="5">
        <f ca="1">RANK(F750,F:F)+COUNTIF(F$2:F750,F750)-1</f>
        <v>741</v>
      </c>
      <c r="F750" s="5">
        <f t="shared" si="12"/>
        <v>-19.529999999999745</v>
      </c>
      <c r="G750" s="5">
        <f ca="1">IF(B750="","",股指期货基差分析!$N$11)</f>
        <v>-71.408500000000458</v>
      </c>
      <c r="H750" s="5">
        <f ca="1">IF(B750="","",股指期货基差分析!$L$11)</f>
        <v>15.737900000000081</v>
      </c>
      <c r="I750" s="9">
        <f ca="1">IF(B750="","",股指期货基差分析!$D$11)</f>
        <v>-19.923978315132629</v>
      </c>
      <c r="L750" s="43"/>
      <c r="Q750" s="11"/>
    </row>
    <row r="751" spans="2:17" ht="15" customHeight="1" x14ac:dyDescent="0.2">
      <c r="B751" s="8">
        <v>44599</v>
      </c>
      <c r="C751" s="6">
        <f>IF(B751="","",[1]!s_dq_close(股指期货基差分析!$E$5,$B751))</f>
        <v>6676.6121999999996</v>
      </c>
      <c r="D751" s="6">
        <f>IF(B751="","",[1]!s_dq_close(股指期货基差分析!$E$6,$B751))</f>
        <v>6661.6</v>
      </c>
      <c r="E751" s="6">
        <f ca="1">RANK(F751,F:F)+COUNTIF(F$2:F751,F751)-1</f>
        <v>659</v>
      </c>
      <c r="F751" s="6">
        <f t="shared" si="12"/>
        <v>-15.012199999999211</v>
      </c>
      <c r="G751" s="6">
        <f ca="1">IF(B751="","",股指期货基差分析!$N$11)</f>
        <v>-71.408500000000458</v>
      </c>
      <c r="H751" s="6">
        <f ca="1">IF(B751="","",股指期货基差分析!$L$11)</f>
        <v>15.737900000000081</v>
      </c>
      <c r="I751" s="10">
        <f ca="1">IF(B751="","",股指期货基差分析!$D$11)</f>
        <v>-19.923978315132629</v>
      </c>
      <c r="L751" s="43"/>
      <c r="Q751" s="11"/>
    </row>
    <row r="752" spans="2:17" ht="15" customHeight="1" x14ac:dyDescent="0.2">
      <c r="B752" s="7">
        <v>44600</v>
      </c>
      <c r="C752" s="5">
        <f>IF(B752="","",[1]!s_dq_close(股指期货基差分析!$E$5,$B752))</f>
        <v>6742.1921000000002</v>
      </c>
      <c r="D752" s="5">
        <f>IF(B752="","",[1]!s_dq_close(股指期货基差分析!$E$6,$B752))</f>
        <v>6742.4</v>
      </c>
      <c r="E752" s="5">
        <f ca="1">RANK(F752,F:F)+COUNTIF(F$2:F752,F752)-1</f>
        <v>287</v>
      </c>
      <c r="F752" s="5">
        <f t="shared" si="12"/>
        <v>0.20789999999942665</v>
      </c>
      <c r="G752" s="5">
        <f ca="1">IF(B752="","",股指期货基差分析!$N$11)</f>
        <v>-71.408500000000458</v>
      </c>
      <c r="H752" s="5">
        <f ca="1">IF(B752="","",股指期货基差分析!$L$11)</f>
        <v>15.737900000000081</v>
      </c>
      <c r="I752" s="9">
        <f ca="1">IF(B752="","",股指期货基差分析!$D$11)</f>
        <v>-19.923978315132629</v>
      </c>
      <c r="L752" s="43"/>
      <c r="Q752" s="11"/>
    </row>
    <row r="753" spans="2:17" ht="15" customHeight="1" x14ac:dyDescent="0.2">
      <c r="B753" s="8">
        <v>44601</v>
      </c>
      <c r="C753" s="6">
        <f>IF(B753="","",[1]!s_dq_close(股指期货基差分析!$E$5,$B753))</f>
        <v>6843.0271000000002</v>
      </c>
      <c r="D753" s="6">
        <f>IF(B753="","",[1]!s_dq_close(股指期货基差分析!$E$6,$B753))</f>
        <v>6841.8</v>
      </c>
      <c r="E753" s="6">
        <f ca="1">RANK(F753,F:F)+COUNTIF(F$2:F753,F753)-1</f>
        <v>321</v>
      </c>
      <c r="F753" s="6">
        <f t="shared" si="12"/>
        <v>-1.227100000000064</v>
      </c>
      <c r="G753" s="6">
        <f ca="1">IF(B753="","",股指期货基差分析!$N$11)</f>
        <v>-71.408500000000458</v>
      </c>
      <c r="H753" s="6">
        <f ca="1">IF(B753="","",股指期货基差分析!$L$11)</f>
        <v>15.737900000000081</v>
      </c>
      <c r="I753" s="10">
        <f ca="1">IF(B753="","",股指期货基差分析!$D$11)</f>
        <v>-19.923978315132629</v>
      </c>
      <c r="L753" s="43"/>
      <c r="Q753" s="11"/>
    </row>
    <row r="754" spans="2:17" ht="15" customHeight="1" x14ac:dyDescent="0.2">
      <c r="B754" s="7">
        <v>44602</v>
      </c>
      <c r="C754" s="5">
        <f>IF(B754="","",[1]!s_dq_close(股指期货基差分析!$E$5,$B754))</f>
        <v>6840.4849999999997</v>
      </c>
      <c r="D754" s="5">
        <f>IF(B754="","",[1]!s_dq_close(股指期货基差分析!$E$6,$B754))</f>
        <v>6836.4</v>
      </c>
      <c r="E754" s="5">
        <f ca="1">RANK(F754,F:F)+COUNTIF(F$2:F754,F754)-1</f>
        <v>389</v>
      </c>
      <c r="F754" s="5">
        <f t="shared" si="12"/>
        <v>-4.0850000000000364</v>
      </c>
      <c r="G754" s="5">
        <f ca="1">IF(B754="","",股指期货基差分析!$N$11)</f>
        <v>-71.408500000000458</v>
      </c>
      <c r="H754" s="5">
        <f ca="1">IF(B754="","",股指期货基差分析!$L$11)</f>
        <v>15.737900000000081</v>
      </c>
      <c r="I754" s="9">
        <f ca="1">IF(B754="","",股指期货基差分析!$D$11)</f>
        <v>-19.923978315132629</v>
      </c>
      <c r="L754" s="43"/>
      <c r="Q754" s="11"/>
    </row>
    <row r="755" spans="2:17" ht="15" customHeight="1" x14ac:dyDescent="0.2">
      <c r="B755" s="8">
        <v>44603</v>
      </c>
      <c r="C755" s="6">
        <f>IF(B755="","",[1]!s_dq_close(股指期货基差分析!$E$5,$B755))</f>
        <v>6745.0235000000002</v>
      </c>
      <c r="D755" s="6">
        <f>IF(B755="","",[1]!s_dq_close(股指期货基差分析!$E$6,$B755))</f>
        <v>6753.8</v>
      </c>
      <c r="E755" s="6">
        <f ca="1">RANK(F755,F:F)+COUNTIF(F$2:F755,F755)-1</f>
        <v>127</v>
      </c>
      <c r="F755" s="6">
        <f t="shared" si="12"/>
        <v>8.7764999999999418</v>
      </c>
      <c r="G755" s="6">
        <f ca="1">IF(B755="","",股指期货基差分析!$N$11)</f>
        <v>-71.408500000000458</v>
      </c>
      <c r="H755" s="6">
        <f ca="1">IF(B755="","",股指期货基差分析!$L$11)</f>
        <v>15.737900000000081</v>
      </c>
      <c r="I755" s="10">
        <f ca="1">IF(B755="","",股指期货基差分析!$D$11)</f>
        <v>-19.923978315132629</v>
      </c>
      <c r="L755" s="43"/>
      <c r="Q755" s="11"/>
    </row>
    <row r="756" spans="2:17" ht="15" customHeight="1" x14ac:dyDescent="0.2">
      <c r="B756" s="7">
        <v>44606</v>
      </c>
      <c r="C756" s="5">
        <f>IF(B756="","",[1]!s_dq_close(股指期货基差分析!$E$5,$B756))</f>
        <v>6695.6958000000004</v>
      </c>
      <c r="D756" s="5">
        <f>IF(B756="","",[1]!s_dq_close(股指期货基差分析!$E$6,$B756))</f>
        <v>6699.2</v>
      </c>
      <c r="E756" s="5">
        <f ca="1">RANK(F756,F:F)+COUNTIF(F$2:F756,F756)-1</f>
        <v>221</v>
      </c>
      <c r="F756" s="5">
        <f t="shared" si="12"/>
        <v>3.5041999999994005</v>
      </c>
      <c r="G756" s="5">
        <f ca="1">IF(B756="","",股指期货基差分析!$N$11)</f>
        <v>-71.408500000000458</v>
      </c>
      <c r="H756" s="5">
        <f ca="1">IF(B756="","",股指期货基差分析!$L$11)</f>
        <v>15.737900000000081</v>
      </c>
      <c r="I756" s="9">
        <f ca="1">IF(B756="","",股指期货基差分析!$D$11)</f>
        <v>-19.923978315132629</v>
      </c>
      <c r="L756" s="43"/>
      <c r="Q756" s="11"/>
    </row>
    <row r="757" spans="2:17" ht="15" customHeight="1" x14ac:dyDescent="0.2">
      <c r="B757" s="8">
        <v>44607</v>
      </c>
      <c r="C757" s="6">
        <f>IF(B757="","",[1]!s_dq_close(股指期货基差分析!$E$5,$B757))</f>
        <v>6760.2776000000003</v>
      </c>
      <c r="D757" s="6">
        <f>IF(B757="","",[1]!s_dq_close(股指期货基差分析!$E$6,$B757))</f>
        <v>6755.4</v>
      </c>
      <c r="E757" s="6">
        <f ca="1">RANK(F757,F:F)+COUNTIF(F$2:F757,F757)-1</f>
        <v>412</v>
      </c>
      <c r="F757" s="6">
        <f t="shared" si="12"/>
        <v>-4.8776000000007116</v>
      </c>
      <c r="G757" s="6">
        <f ca="1">IF(B757="","",股指期货基差分析!$N$11)</f>
        <v>-71.408500000000458</v>
      </c>
      <c r="H757" s="6">
        <f ca="1">IF(B757="","",股指期货基差分析!$L$11)</f>
        <v>15.737900000000081</v>
      </c>
      <c r="I757" s="10">
        <f ca="1">IF(B757="","",股指期货基差分析!$D$11)</f>
        <v>-19.923978315132629</v>
      </c>
      <c r="L757" s="43"/>
      <c r="Q757" s="11"/>
    </row>
    <row r="758" spans="2:17" ht="15" customHeight="1" x14ac:dyDescent="0.2">
      <c r="B758" s="7">
        <v>44608</v>
      </c>
      <c r="C758" s="5">
        <f>IF(B758="","",[1]!s_dq_close(股指期货基差分析!$E$5,$B758))</f>
        <v>6772.0335999999998</v>
      </c>
      <c r="D758" s="5">
        <f>IF(B758="","",[1]!s_dq_close(股指期货基差分析!$E$6,$B758))</f>
        <v>6767.4</v>
      </c>
      <c r="E758" s="5">
        <f ca="1">RANK(F758,F:F)+COUNTIF(F$2:F758,F758)-1</f>
        <v>404</v>
      </c>
      <c r="F758" s="5">
        <f t="shared" si="12"/>
        <v>-4.633600000000115</v>
      </c>
      <c r="G758" s="5">
        <f ca="1">IF(B758="","",股指期货基差分析!$N$11)</f>
        <v>-71.408500000000458</v>
      </c>
      <c r="H758" s="5">
        <f ca="1">IF(B758="","",股指期货基差分析!$L$11)</f>
        <v>15.737900000000081</v>
      </c>
      <c r="I758" s="9">
        <f ca="1">IF(B758="","",股指期货基差分析!$D$11)</f>
        <v>-19.923978315132629</v>
      </c>
      <c r="L758" s="43"/>
      <c r="Q758" s="11"/>
    </row>
    <row r="759" spans="2:17" ht="15" customHeight="1" x14ac:dyDescent="0.2">
      <c r="B759" s="8">
        <v>44609</v>
      </c>
      <c r="C759" s="6">
        <f>IF(B759="","",[1]!s_dq_close(股指期货基差分析!$E$5,$B759))</f>
        <v>6768.7888000000003</v>
      </c>
      <c r="D759" s="6">
        <f>IF(B759="","",[1]!s_dq_close(股指期货基差分析!$E$6,$B759))</f>
        <v>6767.8</v>
      </c>
      <c r="E759" s="6">
        <f ca="1">RANK(F759,F:F)+COUNTIF(F$2:F759,F759)-1</f>
        <v>317</v>
      </c>
      <c r="F759" s="6">
        <f t="shared" si="12"/>
        <v>-0.98880000000008295</v>
      </c>
      <c r="G759" s="6">
        <f ca="1">IF(B759="","",股指期货基差分析!$N$11)</f>
        <v>-71.408500000000458</v>
      </c>
      <c r="H759" s="6">
        <f ca="1">IF(B759="","",股指期货基差分析!$L$11)</f>
        <v>15.737900000000081</v>
      </c>
      <c r="I759" s="10">
        <f ca="1">IF(B759="","",股指期货基差分析!$D$11)</f>
        <v>-19.923978315132629</v>
      </c>
      <c r="L759" s="43"/>
      <c r="Q759" s="11"/>
    </row>
    <row r="760" spans="2:17" ht="15" customHeight="1" x14ac:dyDescent="0.2">
      <c r="B760" s="7">
        <v>44610</v>
      </c>
      <c r="C760" s="5">
        <f>IF(B760="","",[1]!s_dq_close(股指期货基差分析!$E$5,$B760))</f>
        <v>6835.0217000000002</v>
      </c>
      <c r="D760" s="5">
        <f>IF(B760="","",[1]!s_dq_close(股指期货基差分析!$E$6,$B760))</f>
        <v>6819</v>
      </c>
      <c r="E760" s="5">
        <f ca="1">RANK(F760,F:F)+COUNTIF(F$2:F760,F760)-1</f>
        <v>678</v>
      </c>
      <c r="F760" s="5">
        <f t="shared" si="12"/>
        <v>-16.021700000000237</v>
      </c>
      <c r="G760" s="5">
        <f ca="1">IF(B760="","",股指期货基差分析!$N$11)</f>
        <v>-71.408500000000458</v>
      </c>
      <c r="H760" s="5">
        <f ca="1">IF(B760="","",股指期货基差分析!$L$11)</f>
        <v>15.737900000000081</v>
      </c>
      <c r="I760" s="9">
        <f ca="1">IF(B760="","",股指期货基差分析!$D$11)</f>
        <v>-19.923978315132629</v>
      </c>
      <c r="L760" s="43"/>
      <c r="Q760" s="11"/>
    </row>
    <row r="761" spans="2:17" ht="15" customHeight="1" x14ac:dyDescent="0.2">
      <c r="B761" s="8">
        <v>44613</v>
      </c>
      <c r="C761" s="6">
        <f>IF(B761="","",[1]!s_dq_close(股指期货基差分析!$E$5,$B761))</f>
        <v>6867.1129000000001</v>
      </c>
      <c r="D761" s="6">
        <f>IF(B761="","",[1]!s_dq_close(股指期货基差分析!$E$6,$B761))</f>
        <v>6843.2</v>
      </c>
      <c r="E761" s="6">
        <f ca="1">RANK(F761,F:F)+COUNTIF(F$2:F761,F761)-1</f>
        <v>801</v>
      </c>
      <c r="F761" s="6">
        <f t="shared" si="12"/>
        <v>-23.912900000000263</v>
      </c>
      <c r="G761" s="6">
        <f ca="1">IF(B761="","",股指期货基差分析!$N$11)</f>
        <v>-71.408500000000458</v>
      </c>
      <c r="H761" s="6">
        <f ca="1">IF(B761="","",股指期货基差分析!$L$11)</f>
        <v>15.737900000000081</v>
      </c>
      <c r="I761" s="10">
        <f ca="1">IF(B761="","",股指期货基差分析!$D$11)</f>
        <v>-19.923978315132629</v>
      </c>
      <c r="L761" s="43"/>
      <c r="Q761" s="11"/>
    </row>
    <row r="762" spans="2:17" ht="15" customHeight="1" x14ac:dyDescent="0.2">
      <c r="B762" s="7">
        <v>44614</v>
      </c>
      <c r="C762" s="5">
        <f>IF(B762="","",[1]!s_dq_close(股指期货基差分析!$E$5,$B762))</f>
        <v>6784.7622000000001</v>
      </c>
      <c r="D762" s="5">
        <f>IF(B762="","",[1]!s_dq_close(股指期货基差分析!$E$6,$B762))</f>
        <v>6785.6</v>
      </c>
      <c r="E762" s="5">
        <f ca="1">RANK(F762,F:F)+COUNTIF(F$2:F762,F762)-1</f>
        <v>273</v>
      </c>
      <c r="F762" s="5">
        <f t="shared" si="12"/>
        <v>0.83780000000024302</v>
      </c>
      <c r="G762" s="5">
        <f ca="1">IF(B762="","",股指期货基差分析!$N$11)</f>
        <v>-71.408500000000458</v>
      </c>
      <c r="H762" s="5">
        <f ca="1">IF(B762="","",股指期货基差分析!$L$11)</f>
        <v>15.737900000000081</v>
      </c>
      <c r="I762" s="9">
        <f ca="1">IF(B762="","",股指期货基差分析!$D$11)</f>
        <v>-19.923978315132629</v>
      </c>
      <c r="L762" s="43"/>
      <c r="Q762" s="11"/>
    </row>
    <row r="763" spans="2:17" ht="15" customHeight="1" x14ac:dyDescent="0.2">
      <c r="B763" s="8">
        <v>44615</v>
      </c>
      <c r="C763" s="6">
        <f>IF(B763="","",[1]!s_dq_close(股指期货基差分析!$E$5,$B763))</f>
        <v>6887.4236000000001</v>
      </c>
      <c r="D763" s="6">
        <f>IF(B763="","",[1]!s_dq_close(股指期货基差分析!$E$6,$B763))</f>
        <v>6885.2</v>
      </c>
      <c r="E763" s="6">
        <f ca="1">RANK(F763,F:F)+COUNTIF(F$2:F763,F763)-1</f>
        <v>353</v>
      </c>
      <c r="F763" s="6">
        <f t="shared" si="12"/>
        <v>-2.2236000000002605</v>
      </c>
      <c r="G763" s="6">
        <f ca="1">IF(B763="","",股指期货基差分析!$N$11)</f>
        <v>-71.408500000000458</v>
      </c>
      <c r="H763" s="6">
        <f ca="1">IF(B763="","",股指期货基差分析!$L$11)</f>
        <v>15.737900000000081</v>
      </c>
      <c r="I763" s="10">
        <f ca="1">IF(B763="","",股指期货基差分析!$D$11)</f>
        <v>-19.923978315132629</v>
      </c>
      <c r="L763" s="43"/>
      <c r="Q763" s="11"/>
    </row>
    <row r="764" spans="2:17" ht="15" customHeight="1" x14ac:dyDescent="0.2">
      <c r="B764" s="7">
        <v>44616</v>
      </c>
      <c r="C764" s="5">
        <f>IF(B764="","",[1]!s_dq_close(股指期货基差分析!$E$5,$B764))</f>
        <v>6764.8756000000003</v>
      </c>
      <c r="D764" s="5">
        <f>IF(B764="","",[1]!s_dq_close(股指期货基差分析!$E$6,$B764))</f>
        <v>6773.6</v>
      </c>
      <c r="E764" s="5">
        <f ca="1">RANK(F764,F:F)+COUNTIF(F$2:F764,F764)-1</f>
        <v>128</v>
      </c>
      <c r="F764" s="5">
        <f t="shared" si="12"/>
        <v>8.7244000000000597</v>
      </c>
      <c r="G764" s="5">
        <f ca="1">IF(B764="","",股指期货基差分析!$N$11)</f>
        <v>-71.408500000000458</v>
      </c>
      <c r="H764" s="5">
        <f ca="1">IF(B764="","",股指期货基差分析!$L$11)</f>
        <v>15.737900000000081</v>
      </c>
      <c r="I764" s="9">
        <f ca="1">IF(B764="","",股指期货基差分析!$D$11)</f>
        <v>-19.923978315132629</v>
      </c>
      <c r="L764" s="43"/>
      <c r="Q764" s="11"/>
    </row>
    <row r="765" spans="2:17" ht="15" customHeight="1" x14ac:dyDescent="0.2">
      <c r="B765" s="8">
        <v>44617</v>
      </c>
      <c r="C765" s="6">
        <f>IF(B765="","",[1]!s_dq_close(股指期货基差分析!$E$5,$B765))</f>
        <v>6819.4310999999998</v>
      </c>
      <c r="D765" s="6">
        <f>IF(B765="","",[1]!s_dq_close(股指期货基差分析!$E$6,$B765))</f>
        <v>6818.2</v>
      </c>
      <c r="E765" s="6">
        <f ca="1">RANK(F765,F:F)+COUNTIF(F$2:F765,F765)-1</f>
        <v>322</v>
      </c>
      <c r="F765" s="6">
        <f t="shared" si="12"/>
        <v>-1.2310999999999694</v>
      </c>
      <c r="G765" s="6">
        <f ca="1">IF(B765="","",股指期货基差分析!$N$11)</f>
        <v>-71.408500000000458</v>
      </c>
      <c r="H765" s="6">
        <f ca="1">IF(B765="","",股指期货基差分析!$L$11)</f>
        <v>15.737900000000081</v>
      </c>
      <c r="I765" s="10">
        <f ca="1">IF(B765="","",股指期货基差分析!$D$11)</f>
        <v>-19.923978315132629</v>
      </c>
      <c r="L765" s="43"/>
      <c r="Q765" s="11"/>
    </row>
    <row r="766" spans="2:17" ht="15" customHeight="1" x14ac:dyDescent="0.2">
      <c r="B766" s="7">
        <v>44620</v>
      </c>
      <c r="C766" s="5">
        <f>IF(B766="","",[1]!s_dq_close(股指期货基差分析!$E$5,$B766))</f>
        <v>6853.3081000000002</v>
      </c>
      <c r="D766" s="5">
        <f>IF(B766="","",[1]!s_dq_close(股指期货基差分析!$E$6,$B766))</f>
        <v>6848</v>
      </c>
      <c r="E766" s="5">
        <f ca="1">RANK(F766,F:F)+COUNTIF(F$2:F766,F766)-1</f>
        <v>421</v>
      </c>
      <c r="F766" s="5">
        <f t="shared" si="12"/>
        <v>-5.308100000000195</v>
      </c>
      <c r="G766" s="5">
        <f ca="1">IF(B766="","",股指期货基差分析!$N$11)</f>
        <v>-71.408500000000458</v>
      </c>
      <c r="H766" s="5">
        <f ca="1">IF(B766="","",股指期货基差分析!$L$11)</f>
        <v>15.737900000000081</v>
      </c>
      <c r="I766" s="9">
        <f ca="1">IF(B766="","",股指期货基差分析!$D$11)</f>
        <v>-19.923978315132629</v>
      </c>
      <c r="L766" s="43"/>
      <c r="Q766" s="11"/>
    </row>
    <row r="767" spans="2:17" ht="15" customHeight="1" x14ac:dyDescent="0.2">
      <c r="B767" s="8">
        <v>44621</v>
      </c>
      <c r="C767" s="6">
        <f>IF(B767="","",[1]!s_dq_close(股指期货基差分析!$E$5,$B767))</f>
        <v>6874.0447000000004</v>
      </c>
      <c r="D767" s="6">
        <f>IF(B767="","",[1]!s_dq_close(股指期货基差分析!$E$6,$B767))</f>
        <v>6858.6</v>
      </c>
      <c r="E767" s="6">
        <f ca="1">RANK(F767,F:F)+COUNTIF(F$2:F767,F767)-1</f>
        <v>670</v>
      </c>
      <c r="F767" s="6">
        <f t="shared" si="12"/>
        <v>-15.444700000000012</v>
      </c>
      <c r="G767" s="6">
        <f ca="1">IF(B767="","",股指期货基差分析!$N$11)</f>
        <v>-71.408500000000458</v>
      </c>
      <c r="H767" s="6">
        <f ca="1">IF(B767="","",股指期货基差分析!$L$11)</f>
        <v>15.737900000000081</v>
      </c>
      <c r="I767" s="10">
        <f ca="1">IF(B767="","",股指期货基差分析!$D$11)</f>
        <v>-19.923978315132629</v>
      </c>
      <c r="L767" s="43"/>
      <c r="Q767" s="11"/>
    </row>
    <row r="768" spans="2:17" ht="15" customHeight="1" x14ac:dyDescent="0.2">
      <c r="B768" s="7">
        <v>44622</v>
      </c>
      <c r="C768" s="5">
        <f>IF(B768="","",[1]!s_dq_close(股指期货基差分析!$E$5,$B768))</f>
        <v>6875.2403999999997</v>
      </c>
      <c r="D768" s="5">
        <f>IF(B768="","",[1]!s_dq_close(股指期货基差分析!$E$6,$B768))</f>
        <v>6867.4</v>
      </c>
      <c r="E768" s="5">
        <f ca="1">RANK(F768,F:F)+COUNTIF(F$2:F768,F768)-1</f>
        <v>501</v>
      </c>
      <c r="F768" s="5">
        <f t="shared" si="12"/>
        <v>-7.8404000000000451</v>
      </c>
      <c r="G768" s="5">
        <f ca="1">IF(B768="","",股指期货基差分析!$N$11)</f>
        <v>-71.408500000000458</v>
      </c>
      <c r="H768" s="5">
        <f ca="1">IF(B768="","",股指期货基差分析!$L$11)</f>
        <v>15.737900000000081</v>
      </c>
      <c r="I768" s="9">
        <f ca="1">IF(B768="","",股指期货基差分析!$D$11)</f>
        <v>-19.923978315132629</v>
      </c>
      <c r="L768" s="43"/>
      <c r="Q768" s="11"/>
    </row>
    <row r="769" spans="2:17" ht="15" customHeight="1" x14ac:dyDescent="0.2">
      <c r="B769" s="8">
        <v>44623</v>
      </c>
      <c r="C769" s="6">
        <f>IF(B769="","",[1]!s_dq_close(股指期货基差分析!$E$5,$B769))</f>
        <v>6859.5522000000001</v>
      </c>
      <c r="D769" s="6">
        <f>IF(B769="","",[1]!s_dq_close(股指期货基差分析!$E$6,$B769))</f>
        <v>6853.4</v>
      </c>
      <c r="E769" s="6">
        <f ca="1">RANK(F769,F:F)+COUNTIF(F$2:F769,F769)-1</f>
        <v>447</v>
      </c>
      <c r="F769" s="6">
        <f t="shared" si="12"/>
        <v>-6.1522000000004482</v>
      </c>
      <c r="G769" s="6">
        <f ca="1">IF(B769="","",股指期货基差分析!$N$11)</f>
        <v>-71.408500000000458</v>
      </c>
      <c r="H769" s="6">
        <f ca="1">IF(B769="","",股指期货基差分析!$L$11)</f>
        <v>15.737900000000081</v>
      </c>
      <c r="I769" s="10">
        <f ca="1">IF(B769="","",股指期货基差分析!$D$11)</f>
        <v>-19.923978315132629</v>
      </c>
      <c r="L769" s="43"/>
      <c r="Q769" s="11"/>
    </row>
    <row r="770" spans="2:17" ht="15" customHeight="1" x14ac:dyDescent="0.2">
      <c r="B770" s="7">
        <v>44624</v>
      </c>
      <c r="C770" s="5">
        <f>IF(B770="","",[1]!s_dq_close(股指期货基差分析!$E$5,$B770))</f>
        <v>6803.8337000000001</v>
      </c>
      <c r="D770" s="5">
        <f>IF(B770="","",[1]!s_dq_close(股指期货基差分析!$E$6,$B770))</f>
        <v>6817</v>
      </c>
      <c r="E770" s="5">
        <f ca="1">RANK(F770,F:F)+COUNTIF(F$2:F770,F770)-1</f>
        <v>79</v>
      </c>
      <c r="F770" s="5">
        <f t="shared" ref="F770:F833" si="13">IF(B770="","",D770-C770)</f>
        <v>13.166299999999865</v>
      </c>
      <c r="G770" s="5">
        <f ca="1">IF(B770="","",股指期货基差分析!$N$11)</f>
        <v>-71.408500000000458</v>
      </c>
      <c r="H770" s="5">
        <f ca="1">IF(B770="","",股指期货基差分析!$L$11)</f>
        <v>15.737900000000081</v>
      </c>
      <c r="I770" s="9">
        <f ca="1">IF(B770="","",股指期货基差分析!$D$11)</f>
        <v>-19.923978315132629</v>
      </c>
      <c r="L770" s="43"/>
      <c r="Q770" s="11"/>
    </row>
    <row r="771" spans="2:17" ht="15" customHeight="1" x14ac:dyDescent="0.2">
      <c r="B771" s="8">
        <v>44627</v>
      </c>
      <c r="C771" s="6">
        <f>IF(B771="","",[1]!s_dq_close(股指期货基差分析!$E$5,$B771))</f>
        <v>6659.3901999999998</v>
      </c>
      <c r="D771" s="6">
        <f>IF(B771="","",[1]!s_dq_close(股指期货基差分析!$E$6,$B771))</f>
        <v>6660.6</v>
      </c>
      <c r="E771" s="6">
        <f ca="1">RANK(F771,F:F)+COUNTIF(F$2:F771,F771)-1</f>
        <v>263</v>
      </c>
      <c r="F771" s="6">
        <f t="shared" si="13"/>
        <v>1.2098000000005413</v>
      </c>
      <c r="G771" s="6">
        <f ca="1">IF(B771="","",股指期货基差分析!$N$11)</f>
        <v>-71.408500000000458</v>
      </c>
      <c r="H771" s="6">
        <f ca="1">IF(B771="","",股指期货基差分析!$L$11)</f>
        <v>15.737900000000081</v>
      </c>
      <c r="I771" s="10">
        <f ca="1">IF(B771="","",股指期货基差分析!$D$11)</f>
        <v>-19.923978315132629</v>
      </c>
      <c r="L771" s="43"/>
      <c r="Q771" s="11"/>
    </row>
    <row r="772" spans="2:17" ht="15" customHeight="1" x14ac:dyDescent="0.2">
      <c r="B772" s="7">
        <v>44628</v>
      </c>
      <c r="C772" s="5">
        <f>IF(B772="","",[1]!s_dq_close(股指期货基差分析!$E$5,$B772))</f>
        <v>6429.8887999999997</v>
      </c>
      <c r="D772" s="5">
        <f>IF(B772="","",[1]!s_dq_close(股指期货基差分析!$E$6,$B772))</f>
        <v>6395.8</v>
      </c>
      <c r="E772" s="5">
        <f ca="1">RANK(F772,F:F)+COUNTIF(F$2:F772,F772)-1</f>
        <v>938</v>
      </c>
      <c r="F772" s="5">
        <f t="shared" si="13"/>
        <v>-34.088799999999537</v>
      </c>
      <c r="G772" s="5">
        <f ca="1">IF(B772="","",股指期货基差分析!$N$11)</f>
        <v>-71.408500000000458</v>
      </c>
      <c r="H772" s="5">
        <f ca="1">IF(B772="","",股指期货基差分析!$L$11)</f>
        <v>15.737900000000081</v>
      </c>
      <c r="I772" s="9">
        <f ca="1">IF(B772="","",股指期货基差分析!$D$11)</f>
        <v>-19.923978315132629</v>
      </c>
      <c r="L772" s="43"/>
      <c r="Q772" s="11"/>
    </row>
    <row r="773" spans="2:17" ht="15" customHeight="1" x14ac:dyDescent="0.2">
      <c r="B773" s="8">
        <v>44629</v>
      </c>
      <c r="C773" s="6">
        <f>IF(B773="","",[1]!s_dq_close(股指期货基差分析!$E$5,$B773))</f>
        <v>6305.6093000000001</v>
      </c>
      <c r="D773" s="6">
        <f>IF(B773="","",[1]!s_dq_close(股指期货基差分析!$E$6,$B773))</f>
        <v>6280.8</v>
      </c>
      <c r="E773" s="6">
        <f ca="1">RANK(F773,F:F)+COUNTIF(F$2:F773,F773)-1</f>
        <v>812</v>
      </c>
      <c r="F773" s="6">
        <f t="shared" si="13"/>
        <v>-24.809299999999894</v>
      </c>
      <c r="G773" s="6">
        <f ca="1">IF(B773="","",股指期货基差分析!$N$11)</f>
        <v>-71.408500000000458</v>
      </c>
      <c r="H773" s="6">
        <f ca="1">IF(B773="","",股指期货基差分析!$L$11)</f>
        <v>15.737900000000081</v>
      </c>
      <c r="I773" s="10">
        <f ca="1">IF(B773="","",股指期货基差分析!$D$11)</f>
        <v>-19.923978315132629</v>
      </c>
      <c r="L773" s="43"/>
      <c r="Q773" s="11"/>
    </row>
    <row r="774" spans="2:17" ht="15" customHeight="1" x14ac:dyDescent="0.2">
      <c r="B774" s="7">
        <v>44630</v>
      </c>
      <c r="C774" s="5">
        <f>IF(B774="","",[1]!s_dq_close(股指期货基差分析!$E$5,$B774))</f>
        <v>6414.9402</v>
      </c>
      <c r="D774" s="5">
        <f>IF(B774="","",[1]!s_dq_close(股指期货基差分析!$E$6,$B774))</f>
        <v>6376.2</v>
      </c>
      <c r="E774" s="5">
        <f ca="1">RANK(F774,F:F)+COUNTIF(F$2:F774,F774)-1</f>
        <v>991</v>
      </c>
      <c r="F774" s="5">
        <f t="shared" si="13"/>
        <v>-38.740200000000186</v>
      </c>
      <c r="G774" s="5">
        <f ca="1">IF(B774="","",股指期货基差分析!$N$11)</f>
        <v>-71.408500000000458</v>
      </c>
      <c r="H774" s="5">
        <f ca="1">IF(B774="","",股指期货基差分析!$L$11)</f>
        <v>15.737900000000081</v>
      </c>
      <c r="I774" s="9">
        <f ca="1">IF(B774="","",股指期货基差分析!$D$11)</f>
        <v>-19.923978315132629</v>
      </c>
      <c r="L774" s="43"/>
      <c r="Q774" s="11"/>
    </row>
    <row r="775" spans="2:17" ht="15" customHeight="1" x14ac:dyDescent="0.2">
      <c r="B775" s="8">
        <v>44631</v>
      </c>
      <c r="C775" s="6">
        <f>IF(B775="","",[1]!s_dq_close(股指期货基差分析!$E$5,$B775))</f>
        <v>6474.1269000000002</v>
      </c>
      <c r="D775" s="6">
        <f>IF(B775="","",[1]!s_dq_close(股指期货基差分析!$E$6,$B775))</f>
        <v>6481.2</v>
      </c>
      <c r="E775" s="6">
        <f ca="1">RANK(F775,F:F)+COUNTIF(F$2:F775,F775)-1</f>
        <v>152</v>
      </c>
      <c r="F775" s="6">
        <f t="shared" si="13"/>
        <v>7.0730999999996129</v>
      </c>
      <c r="G775" s="6">
        <f ca="1">IF(B775="","",股指期货基差分析!$N$11)</f>
        <v>-71.408500000000458</v>
      </c>
      <c r="H775" s="6">
        <f ca="1">IF(B775="","",股指期货基差分析!$L$11)</f>
        <v>15.737900000000081</v>
      </c>
      <c r="I775" s="10">
        <f ca="1">IF(B775="","",股指期货基差分析!$D$11)</f>
        <v>-19.923978315132629</v>
      </c>
      <c r="L775" s="43"/>
      <c r="Q775" s="11"/>
    </row>
    <row r="776" spans="2:17" ht="15" customHeight="1" x14ac:dyDescent="0.2">
      <c r="B776" s="7">
        <v>44634</v>
      </c>
      <c r="C776" s="5">
        <f>IF(B776="","",[1]!s_dq_close(股指期货基差分析!$E$5,$B776))</f>
        <v>6323.5779000000002</v>
      </c>
      <c r="D776" s="5">
        <f>IF(B776="","",[1]!s_dq_close(股指期货基差分析!$E$6,$B776))</f>
        <v>6312.6</v>
      </c>
      <c r="E776" s="5">
        <f ca="1">RANK(F776,F:F)+COUNTIF(F$2:F776,F776)-1</f>
        <v>576</v>
      </c>
      <c r="F776" s="5">
        <f t="shared" si="13"/>
        <v>-10.977899999999863</v>
      </c>
      <c r="G776" s="5">
        <f ca="1">IF(B776="","",股指期货基差分析!$N$11)</f>
        <v>-71.408500000000458</v>
      </c>
      <c r="H776" s="5">
        <f ca="1">IF(B776="","",股指期货基差分析!$L$11)</f>
        <v>15.737900000000081</v>
      </c>
      <c r="I776" s="9">
        <f ca="1">IF(B776="","",股指期货基差分析!$D$11)</f>
        <v>-19.923978315132629</v>
      </c>
      <c r="L776" s="43"/>
      <c r="Q776" s="11"/>
    </row>
    <row r="777" spans="2:17" ht="15" customHeight="1" x14ac:dyDescent="0.2">
      <c r="B777" s="8">
        <v>44635</v>
      </c>
      <c r="C777" s="6">
        <f>IF(B777="","",[1]!s_dq_close(股指期货基差分析!$E$5,$B777))</f>
        <v>5964.9813000000004</v>
      </c>
      <c r="D777" s="6">
        <f>IF(B777="","",[1]!s_dq_close(股指期货基差分析!$E$6,$B777))</f>
        <v>5903</v>
      </c>
      <c r="E777" s="6">
        <f ca="1">RANK(F777,F:F)+COUNTIF(F$2:F777,F777)-1</f>
        <v>1173</v>
      </c>
      <c r="F777" s="6">
        <f t="shared" si="13"/>
        <v>-61.981300000000374</v>
      </c>
      <c r="G777" s="6">
        <f ca="1">IF(B777="","",股指期货基差分析!$N$11)</f>
        <v>-71.408500000000458</v>
      </c>
      <c r="H777" s="6">
        <f ca="1">IF(B777="","",股指期货基差分析!$L$11)</f>
        <v>15.737900000000081</v>
      </c>
      <c r="I777" s="10">
        <f ca="1">IF(B777="","",股指期货基差分析!$D$11)</f>
        <v>-19.923978315132629</v>
      </c>
      <c r="L777" s="43"/>
      <c r="Q777" s="11"/>
    </row>
    <row r="778" spans="2:17" ht="15" customHeight="1" x14ac:dyDescent="0.2">
      <c r="B778" s="7">
        <v>44636</v>
      </c>
      <c r="C778" s="5">
        <f>IF(B778="","",[1]!s_dq_close(股指期货基差分析!$E$5,$B778))</f>
        <v>6156.2713999999996</v>
      </c>
      <c r="D778" s="5">
        <f>IF(B778="","",[1]!s_dq_close(股指期货基差分析!$E$6,$B778))</f>
        <v>6153.2</v>
      </c>
      <c r="E778" s="5">
        <f ca="1">RANK(F778,F:F)+COUNTIF(F$2:F778,F778)-1</f>
        <v>372</v>
      </c>
      <c r="F778" s="5">
        <f t="shared" si="13"/>
        <v>-3.0713999999998123</v>
      </c>
      <c r="G778" s="5">
        <f ca="1">IF(B778="","",股指期货基差分析!$N$11)</f>
        <v>-71.408500000000458</v>
      </c>
      <c r="H778" s="5">
        <f ca="1">IF(B778="","",股指期货基差分析!$L$11)</f>
        <v>15.737900000000081</v>
      </c>
      <c r="I778" s="9">
        <f ca="1">IF(B778="","",股指期货基差分析!$D$11)</f>
        <v>-19.923978315132629</v>
      </c>
      <c r="L778" s="43"/>
      <c r="Q778" s="11"/>
    </row>
    <row r="779" spans="2:17" ht="15" customHeight="1" x14ac:dyDescent="0.2">
      <c r="B779" s="8">
        <v>44637</v>
      </c>
      <c r="C779" s="6">
        <f>IF(B779="","",[1]!s_dq_close(股指期货基差分析!$E$5,$B779))</f>
        <v>6267.5244000000002</v>
      </c>
      <c r="D779" s="6">
        <f>IF(B779="","",[1]!s_dq_close(股指期货基差分析!$E$6,$B779))</f>
        <v>6259.2</v>
      </c>
      <c r="E779" s="6">
        <f ca="1">RANK(F779,F:F)+COUNTIF(F$2:F779,F779)-1</f>
        <v>508</v>
      </c>
      <c r="F779" s="6">
        <f t="shared" si="13"/>
        <v>-8.3244000000004235</v>
      </c>
      <c r="G779" s="6">
        <f ca="1">IF(B779="","",股指期货基差分析!$N$11)</f>
        <v>-71.408500000000458</v>
      </c>
      <c r="H779" s="6">
        <f ca="1">IF(B779="","",股指期货基差分析!$L$11)</f>
        <v>15.737900000000081</v>
      </c>
      <c r="I779" s="10">
        <f ca="1">IF(B779="","",股指期货基差分析!$D$11)</f>
        <v>-19.923978315132629</v>
      </c>
      <c r="L779" s="43"/>
      <c r="Q779" s="11"/>
    </row>
    <row r="780" spans="2:17" ht="15" customHeight="1" x14ac:dyDescent="0.2">
      <c r="B780" s="7">
        <v>44638</v>
      </c>
      <c r="C780" s="5">
        <f>IF(B780="","",[1]!s_dq_close(股指期货基差分析!$E$5,$B780))</f>
        <v>6332.2165999999997</v>
      </c>
      <c r="D780" s="5">
        <f>IF(B780="","",[1]!s_dq_close(股指期货基差分析!$E$6,$B780))</f>
        <v>6306.2</v>
      </c>
      <c r="E780" s="5">
        <f ca="1">RANK(F780,F:F)+COUNTIF(F$2:F780,F780)-1</f>
        <v>829</v>
      </c>
      <c r="F780" s="5">
        <f t="shared" si="13"/>
        <v>-26.016599999999926</v>
      </c>
      <c r="G780" s="5">
        <f ca="1">IF(B780="","",股指期货基差分析!$N$11)</f>
        <v>-71.408500000000458</v>
      </c>
      <c r="H780" s="5">
        <f ca="1">IF(B780="","",股指期货基差分析!$L$11)</f>
        <v>15.737900000000081</v>
      </c>
      <c r="I780" s="9">
        <f ca="1">IF(B780="","",股指期货基差分析!$D$11)</f>
        <v>-19.923978315132629</v>
      </c>
      <c r="L780" s="43"/>
      <c r="Q780" s="11"/>
    </row>
    <row r="781" spans="2:17" ht="15" customHeight="1" x14ac:dyDescent="0.2">
      <c r="B781" s="8">
        <v>44641</v>
      </c>
      <c r="C781" s="6">
        <f>IF(B781="","",[1]!s_dq_close(股指期货基差分析!$E$5,$B781))</f>
        <v>6358.9430000000002</v>
      </c>
      <c r="D781" s="6">
        <f>IF(B781="","",[1]!s_dq_close(股指期货基差分析!$E$6,$B781))</f>
        <v>6304.6</v>
      </c>
      <c r="E781" s="6">
        <f ca="1">RANK(F781,F:F)+COUNTIF(F$2:F781,F781)-1</f>
        <v>1134</v>
      </c>
      <c r="F781" s="6">
        <f t="shared" si="13"/>
        <v>-54.342999999999847</v>
      </c>
      <c r="G781" s="6">
        <f ca="1">IF(B781="","",股指期货基差分析!$N$11)</f>
        <v>-71.408500000000458</v>
      </c>
      <c r="H781" s="6">
        <f ca="1">IF(B781="","",股指期货基差分析!$L$11)</f>
        <v>15.737900000000081</v>
      </c>
      <c r="I781" s="10">
        <f ca="1">IF(B781="","",股指期货基差分析!$D$11)</f>
        <v>-19.923978315132629</v>
      </c>
      <c r="L781" s="43"/>
      <c r="Q781" s="11"/>
    </row>
    <row r="782" spans="2:17" ht="15" customHeight="1" x14ac:dyDescent="0.2">
      <c r="B782" s="7">
        <v>44642</v>
      </c>
      <c r="C782" s="5">
        <f>IF(B782="","",[1]!s_dq_close(股指期货基差分析!$E$5,$B782))</f>
        <v>6358.1093000000001</v>
      </c>
      <c r="D782" s="5">
        <f>IF(B782="","",[1]!s_dq_close(股指期货基差分析!$E$6,$B782))</f>
        <v>6308</v>
      </c>
      <c r="E782" s="5">
        <f ca="1">RANK(F782,F:F)+COUNTIF(F$2:F782,F782)-1</f>
        <v>1097</v>
      </c>
      <c r="F782" s="5">
        <f t="shared" si="13"/>
        <v>-50.109300000000076</v>
      </c>
      <c r="G782" s="5">
        <f ca="1">IF(B782="","",股指期货基差分析!$N$11)</f>
        <v>-71.408500000000458</v>
      </c>
      <c r="H782" s="5">
        <f ca="1">IF(B782="","",股指期货基差分析!$L$11)</f>
        <v>15.737900000000081</v>
      </c>
      <c r="I782" s="9">
        <f ca="1">IF(B782="","",股指期货基差分析!$D$11)</f>
        <v>-19.923978315132629</v>
      </c>
      <c r="L782" s="43"/>
      <c r="Q782" s="11"/>
    </row>
    <row r="783" spans="2:17" ht="15" customHeight="1" x14ac:dyDescent="0.2">
      <c r="B783" s="8">
        <v>44643</v>
      </c>
      <c r="C783" s="6">
        <f>IF(B783="","",[1]!s_dq_close(股指期货基差分析!$E$5,$B783))</f>
        <v>6398.1009000000004</v>
      </c>
      <c r="D783" s="6">
        <f>IF(B783="","",[1]!s_dq_close(股指期货基差分析!$E$6,$B783))</f>
        <v>6352.6</v>
      </c>
      <c r="E783" s="6">
        <f ca="1">RANK(F783,F:F)+COUNTIF(F$2:F783,F783)-1</f>
        <v>1066</v>
      </c>
      <c r="F783" s="6">
        <f t="shared" si="13"/>
        <v>-45.500900000000001</v>
      </c>
      <c r="G783" s="6">
        <f ca="1">IF(B783="","",股指期货基差分析!$N$11)</f>
        <v>-71.408500000000458</v>
      </c>
      <c r="H783" s="6">
        <f ca="1">IF(B783="","",股指期货基差分析!$L$11)</f>
        <v>15.737900000000081</v>
      </c>
      <c r="I783" s="10">
        <f ca="1">IF(B783="","",股指期货基差分析!$D$11)</f>
        <v>-19.923978315132629</v>
      </c>
      <c r="L783" s="43"/>
      <c r="Q783" s="11"/>
    </row>
    <row r="784" spans="2:17" ht="15" customHeight="1" x14ac:dyDescent="0.2">
      <c r="B784" s="7">
        <v>44644</v>
      </c>
      <c r="C784" s="5">
        <f>IF(B784="","",[1]!s_dq_close(股指期货基差分析!$E$5,$B784))</f>
        <v>6344.1149999999998</v>
      </c>
      <c r="D784" s="5">
        <f>IF(B784="","",[1]!s_dq_close(股指期货基差分析!$E$6,$B784))</f>
        <v>6299.8</v>
      </c>
      <c r="E784" s="5">
        <f ca="1">RANK(F784,F:F)+COUNTIF(F$2:F784,F784)-1</f>
        <v>1050</v>
      </c>
      <c r="F784" s="5">
        <f t="shared" si="13"/>
        <v>-44.3149999999996</v>
      </c>
      <c r="G784" s="5">
        <f ca="1">IF(B784="","",股指期货基差分析!$N$11)</f>
        <v>-71.408500000000458</v>
      </c>
      <c r="H784" s="5">
        <f ca="1">IF(B784="","",股指期货基差分析!$L$11)</f>
        <v>15.737900000000081</v>
      </c>
      <c r="I784" s="9">
        <f ca="1">IF(B784="","",股指期货基差分析!$D$11)</f>
        <v>-19.923978315132629</v>
      </c>
      <c r="L784" s="43"/>
      <c r="Q784" s="11"/>
    </row>
    <row r="785" spans="2:17" ht="15" customHeight="1" x14ac:dyDescent="0.2">
      <c r="B785" s="8">
        <v>44645</v>
      </c>
      <c r="C785" s="6">
        <f>IF(B785="","",[1]!s_dq_close(股指期货基差分析!$E$5,$B785))</f>
        <v>6268.2376000000004</v>
      </c>
      <c r="D785" s="6">
        <f>IF(B785="","",[1]!s_dq_close(股指期货基差分析!$E$6,$B785))</f>
        <v>6211</v>
      </c>
      <c r="E785" s="6">
        <f ca="1">RANK(F785,F:F)+COUNTIF(F$2:F785,F785)-1</f>
        <v>1145</v>
      </c>
      <c r="F785" s="6">
        <f t="shared" si="13"/>
        <v>-57.237600000000384</v>
      </c>
      <c r="G785" s="6">
        <f ca="1">IF(B785="","",股指期货基差分析!$N$11)</f>
        <v>-71.408500000000458</v>
      </c>
      <c r="H785" s="6">
        <f ca="1">IF(B785="","",股指期货基差分析!$L$11)</f>
        <v>15.737900000000081</v>
      </c>
      <c r="I785" s="10">
        <f ca="1">IF(B785="","",股指期货基差分析!$D$11)</f>
        <v>-19.923978315132629</v>
      </c>
      <c r="L785" s="43"/>
      <c r="Q785" s="11"/>
    </row>
    <row r="786" spans="2:17" ht="15" customHeight="1" x14ac:dyDescent="0.2">
      <c r="B786" s="7">
        <v>44648</v>
      </c>
      <c r="C786" s="5">
        <f>IF(B786="","",[1]!s_dq_close(股指期货基差分析!$E$5,$B786))</f>
        <v>6283.2813999999998</v>
      </c>
      <c r="D786" s="5">
        <f>IF(B786="","",[1]!s_dq_close(股指期货基差分析!$E$6,$B786))</f>
        <v>6258.8</v>
      </c>
      <c r="E786" s="5">
        <f ca="1">RANK(F786,F:F)+COUNTIF(F$2:F786,F786)-1</f>
        <v>810</v>
      </c>
      <c r="F786" s="5">
        <f t="shared" si="13"/>
        <v>-24.481399999999667</v>
      </c>
      <c r="G786" s="5">
        <f ca="1">IF(B786="","",股指期货基差分析!$N$11)</f>
        <v>-71.408500000000458</v>
      </c>
      <c r="H786" s="5">
        <f ca="1">IF(B786="","",股指期货基差分析!$L$11)</f>
        <v>15.737900000000081</v>
      </c>
      <c r="I786" s="9">
        <f ca="1">IF(B786="","",股指期货基差分析!$D$11)</f>
        <v>-19.923978315132629</v>
      </c>
      <c r="L786" s="43"/>
      <c r="Q786" s="11"/>
    </row>
    <row r="787" spans="2:17" ht="15" customHeight="1" x14ac:dyDescent="0.2">
      <c r="B787" s="8">
        <v>44649</v>
      </c>
      <c r="C787" s="6">
        <f>IF(B787="","",[1]!s_dq_close(股指期货基差分析!$E$5,$B787))</f>
        <v>6253.0691999999999</v>
      </c>
      <c r="D787" s="6">
        <f>IF(B787="","",[1]!s_dq_close(股指期货基差分析!$E$6,$B787))</f>
        <v>6216</v>
      </c>
      <c r="E787" s="6">
        <f ca="1">RANK(F787,F:F)+COUNTIF(F$2:F787,F787)-1</f>
        <v>977</v>
      </c>
      <c r="F787" s="6">
        <f t="shared" si="13"/>
        <v>-37.06919999999991</v>
      </c>
      <c r="G787" s="6">
        <f ca="1">IF(B787="","",股指期货基差分析!$N$11)</f>
        <v>-71.408500000000458</v>
      </c>
      <c r="H787" s="6">
        <f ca="1">IF(B787="","",股指期货基差分析!$L$11)</f>
        <v>15.737900000000081</v>
      </c>
      <c r="I787" s="10">
        <f ca="1">IF(B787="","",股指期货基差分析!$D$11)</f>
        <v>-19.923978315132629</v>
      </c>
      <c r="L787" s="43"/>
      <c r="Q787" s="11"/>
    </row>
    <row r="788" spans="2:17" ht="15" customHeight="1" x14ac:dyDescent="0.2">
      <c r="B788" s="7">
        <v>44650</v>
      </c>
      <c r="C788" s="5">
        <f>IF(B788="","",[1]!s_dq_close(股指期货基差分析!$E$5,$B788))</f>
        <v>6377.8743999999997</v>
      </c>
      <c r="D788" s="5">
        <f>IF(B788="","",[1]!s_dq_close(股指期货基差分析!$E$6,$B788))</f>
        <v>6375</v>
      </c>
      <c r="E788" s="5">
        <f ca="1">RANK(F788,F:F)+COUNTIF(F$2:F788,F788)-1</f>
        <v>366</v>
      </c>
      <c r="F788" s="5">
        <f t="shared" si="13"/>
        <v>-2.8743999999996959</v>
      </c>
      <c r="G788" s="5">
        <f ca="1">IF(B788="","",股指期货基差分析!$N$11)</f>
        <v>-71.408500000000458</v>
      </c>
      <c r="H788" s="5">
        <f ca="1">IF(B788="","",股指期货基差分析!$L$11)</f>
        <v>15.737900000000081</v>
      </c>
      <c r="I788" s="9">
        <f ca="1">IF(B788="","",股指期货基差分析!$D$11)</f>
        <v>-19.923978315132629</v>
      </c>
      <c r="L788" s="43"/>
      <c r="Q788" s="11"/>
    </row>
    <row r="789" spans="2:17" ht="15" customHeight="1" x14ac:dyDescent="0.2">
      <c r="B789" s="8">
        <v>44651</v>
      </c>
      <c r="C789" s="6">
        <f>IF(B789="","",[1]!s_dq_close(股指期货基差分析!$E$5,$B789))</f>
        <v>6324.9609</v>
      </c>
      <c r="D789" s="6">
        <f>IF(B789="","",[1]!s_dq_close(股指期货基差分析!$E$6,$B789))</f>
        <v>6318.6</v>
      </c>
      <c r="E789" s="6">
        <f ca="1">RANK(F789,F:F)+COUNTIF(F$2:F789,F789)-1</f>
        <v>453</v>
      </c>
      <c r="F789" s="6">
        <f t="shared" si="13"/>
        <v>-6.360899999999674</v>
      </c>
      <c r="G789" s="6">
        <f ca="1">IF(B789="","",股指期货基差分析!$N$11)</f>
        <v>-71.408500000000458</v>
      </c>
      <c r="H789" s="6">
        <f ca="1">IF(B789="","",股指期货基差分析!$L$11)</f>
        <v>15.737900000000081</v>
      </c>
      <c r="I789" s="10">
        <f ca="1">IF(B789="","",股指期货基差分析!$D$11)</f>
        <v>-19.923978315132629</v>
      </c>
      <c r="L789" s="43"/>
      <c r="Q789" s="11"/>
    </row>
    <row r="790" spans="2:17" ht="15" customHeight="1" x14ac:dyDescent="0.2">
      <c r="B790" s="7">
        <v>44652</v>
      </c>
      <c r="C790" s="5">
        <f>IF(B790="","",[1]!s_dq_close(股指期货基差分析!$E$5,$B790))</f>
        <v>6364.5205999999998</v>
      </c>
      <c r="D790" s="5">
        <f>IF(B790="","",[1]!s_dq_close(股指期货基差分析!$E$6,$B790))</f>
        <v>6368.4</v>
      </c>
      <c r="E790" s="5">
        <f ca="1">RANK(F790,F:F)+COUNTIF(F$2:F790,F790)-1</f>
        <v>211</v>
      </c>
      <c r="F790" s="5">
        <f t="shared" si="13"/>
        <v>3.879399999999805</v>
      </c>
      <c r="G790" s="5">
        <f ca="1">IF(B790="","",股指期货基差分析!$N$11)</f>
        <v>-71.408500000000458</v>
      </c>
      <c r="H790" s="5">
        <f ca="1">IF(B790="","",股指期货基差分析!$L$11)</f>
        <v>15.737900000000081</v>
      </c>
      <c r="I790" s="9">
        <f ca="1">IF(B790="","",股指期货基差分析!$D$11)</f>
        <v>-19.923978315132629</v>
      </c>
      <c r="L790" s="43"/>
      <c r="Q790" s="11"/>
    </row>
    <row r="791" spans="2:17" ht="15" customHeight="1" x14ac:dyDescent="0.2">
      <c r="B791" s="8">
        <v>44657</v>
      </c>
      <c r="C791" s="6">
        <f>IF(B791="","",[1]!s_dq_close(股指期货基差分析!$E$5,$B791))</f>
        <v>6356.9270999999999</v>
      </c>
      <c r="D791" s="6">
        <f>IF(B791="","",[1]!s_dq_close(股指期货基差分析!$E$6,$B791))</f>
        <v>6349</v>
      </c>
      <c r="E791" s="6">
        <f ca="1">RANK(F791,F:F)+COUNTIF(F$2:F791,F791)-1</f>
        <v>502</v>
      </c>
      <c r="F791" s="6">
        <f t="shared" si="13"/>
        <v>-7.9270999999998821</v>
      </c>
      <c r="G791" s="6">
        <f ca="1">IF(B791="","",股指期货基差分析!$N$11)</f>
        <v>-71.408500000000458</v>
      </c>
      <c r="H791" s="6">
        <f ca="1">IF(B791="","",股指期货基差分析!$L$11)</f>
        <v>15.737900000000081</v>
      </c>
      <c r="I791" s="10">
        <f ca="1">IF(B791="","",股指期货基差分析!$D$11)</f>
        <v>-19.923978315132629</v>
      </c>
      <c r="L791" s="43"/>
      <c r="Q791" s="11"/>
    </row>
    <row r="792" spans="2:17" ht="15" customHeight="1" x14ac:dyDescent="0.2">
      <c r="B792" s="7">
        <v>44658</v>
      </c>
      <c r="C792" s="5">
        <f>IF(B792="","",[1]!s_dq_close(股指期货基差分析!$E$5,$B792))</f>
        <v>6221.5907999999999</v>
      </c>
      <c r="D792" s="5">
        <f>IF(B792="","",[1]!s_dq_close(股指期货基差分析!$E$6,$B792))</f>
        <v>6195.4</v>
      </c>
      <c r="E792" s="5">
        <f ca="1">RANK(F792,F:F)+COUNTIF(F$2:F792,F792)-1</f>
        <v>830</v>
      </c>
      <c r="F792" s="5">
        <f t="shared" si="13"/>
        <v>-26.190800000000309</v>
      </c>
      <c r="G792" s="5">
        <f ca="1">IF(B792="","",股指期货基差分析!$N$11)</f>
        <v>-71.408500000000458</v>
      </c>
      <c r="H792" s="5">
        <f ca="1">IF(B792="","",股指期货基差分析!$L$11)</f>
        <v>15.737900000000081</v>
      </c>
      <c r="I792" s="9">
        <f ca="1">IF(B792="","",股指期货基差分析!$D$11)</f>
        <v>-19.923978315132629</v>
      </c>
      <c r="L792" s="43"/>
      <c r="Q792" s="11"/>
    </row>
    <row r="793" spans="2:17" ht="15" customHeight="1" x14ac:dyDescent="0.2">
      <c r="B793" s="8">
        <v>44659</v>
      </c>
      <c r="C793" s="6">
        <f>IF(B793="","",[1]!s_dq_close(股指期货基差分析!$E$5,$B793))</f>
        <v>6224.1166999999996</v>
      </c>
      <c r="D793" s="6">
        <f>IF(B793="","",[1]!s_dq_close(股指期货基差分析!$E$6,$B793))</f>
        <v>6210</v>
      </c>
      <c r="E793" s="6">
        <f ca="1">RANK(F793,F:F)+COUNTIF(F$2:F793,F793)-1</f>
        <v>642</v>
      </c>
      <c r="F793" s="6">
        <f t="shared" si="13"/>
        <v>-14.116699999999582</v>
      </c>
      <c r="G793" s="6">
        <f ca="1">IF(B793="","",股指期货基差分析!$N$11)</f>
        <v>-71.408500000000458</v>
      </c>
      <c r="H793" s="6">
        <f ca="1">IF(B793="","",股指期货基差分析!$L$11)</f>
        <v>15.737900000000081</v>
      </c>
      <c r="I793" s="10">
        <f ca="1">IF(B793="","",股指期货基差分析!$D$11)</f>
        <v>-19.923978315132629</v>
      </c>
      <c r="L793" s="43"/>
      <c r="Q793" s="11"/>
    </row>
    <row r="794" spans="2:17" ht="15" customHeight="1" x14ac:dyDescent="0.2">
      <c r="B794" s="7">
        <v>44662</v>
      </c>
      <c r="C794" s="5">
        <f>IF(B794="","",[1]!s_dq_close(股指期货基差分析!$E$5,$B794))</f>
        <v>6029.8935000000001</v>
      </c>
      <c r="D794" s="5">
        <f>IF(B794="","",[1]!s_dq_close(股指期货基差分析!$E$6,$B794))</f>
        <v>6007</v>
      </c>
      <c r="E794" s="5">
        <f ca="1">RANK(F794,F:F)+COUNTIF(F$2:F794,F794)-1</f>
        <v>790</v>
      </c>
      <c r="F794" s="5">
        <f t="shared" si="13"/>
        <v>-22.893500000000131</v>
      </c>
      <c r="G794" s="5">
        <f ca="1">IF(B794="","",股指期货基差分析!$N$11)</f>
        <v>-71.408500000000458</v>
      </c>
      <c r="H794" s="5">
        <f ca="1">IF(B794="","",股指期货基差分析!$L$11)</f>
        <v>15.737900000000081</v>
      </c>
      <c r="I794" s="9">
        <f ca="1">IF(B794="","",股指期货基差分析!$D$11)</f>
        <v>-19.923978315132629</v>
      </c>
      <c r="L794" s="43"/>
      <c r="Q794" s="11"/>
    </row>
    <row r="795" spans="2:17" ht="15" customHeight="1" x14ac:dyDescent="0.2">
      <c r="B795" s="8">
        <v>44663</v>
      </c>
      <c r="C795" s="6">
        <f>IF(B795="","",[1]!s_dq_close(股指期货基差分析!$E$5,$B795))</f>
        <v>6126.9065000000001</v>
      </c>
      <c r="D795" s="6">
        <f>IF(B795="","",[1]!s_dq_close(股指期货基差分析!$E$6,$B795))</f>
        <v>6130.4</v>
      </c>
      <c r="E795" s="6">
        <f ca="1">RANK(F795,F:F)+COUNTIF(F$2:F795,F795)-1</f>
        <v>224</v>
      </c>
      <c r="F795" s="6">
        <f t="shared" si="13"/>
        <v>3.4934999999995853</v>
      </c>
      <c r="G795" s="6">
        <f ca="1">IF(B795="","",股指期货基差分析!$N$11)</f>
        <v>-71.408500000000458</v>
      </c>
      <c r="H795" s="6">
        <f ca="1">IF(B795="","",股指期货基差分析!$L$11)</f>
        <v>15.737900000000081</v>
      </c>
      <c r="I795" s="10">
        <f ca="1">IF(B795="","",股指期货基差分析!$D$11)</f>
        <v>-19.923978315132629</v>
      </c>
      <c r="L795" s="43"/>
      <c r="Q795" s="11"/>
    </row>
    <row r="796" spans="2:17" ht="15" customHeight="1" x14ac:dyDescent="0.2">
      <c r="B796" s="7">
        <v>44664</v>
      </c>
      <c r="C796" s="5">
        <f>IF(B796="","",[1]!s_dq_close(股指期货基差分析!$E$5,$B796))</f>
        <v>6044.3262999999997</v>
      </c>
      <c r="D796" s="5">
        <f>IF(B796="","",[1]!s_dq_close(股指期货基差分析!$E$6,$B796))</f>
        <v>6045</v>
      </c>
      <c r="E796" s="5">
        <f ca="1">RANK(F796,F:F)+COUNTIF(F$2:F796,F796)-1</f>
        <v>276</v>
      </c>
      <c r="F796" s="5">
        <f t="shared" si="13"/>
        <v>0.67370000000028085</v>
      </c>
      <c r="G796" s="5">
        <f ca="1">IF(B796="","",股指期货基差分析!$N$11)</f>
        <v>-71.408500000000458</v>
      </c>
      <c r="H796" s="5">
        <f ca="1">IF(B796="","",股指期货基差分析!$L$11)</f>
        <v>15.737900000000081</v>
      </c>
      <c r="I796" s="9">
        <f ca="1">IF(B796="","",股指期货基差分析!$D$11)</f>
        <v>-19.923978315132629</v>
      </c>
      <c r="L796" s="43"/>
      <c r="Q796" s="11"/>
    </row>
    <row r="797" spans="2:17" ht="15" customHeight="1" x14ac:dyDescent="0.2">
      <c r="B797" s="8">
        <v>44665</v>
      </c>
      <c r="C797" s="6">
        <f>IF(B797="","",[1]!s_dq_close(股指期货基差分析!$E$5,$B797))</f>
        <v>6126.4902000000002</v>
      </c>
      <c r="D797" s="6">
        <f>IF(B797="","",[1]!s_dq_close(股指期货基差分析!$E$6,$B797))</f>
        <v>6114.8</v>
      </c>
      <c r="E797" s="6">
        <f ca="1">RANK(F797,F:F)+COUNTIF(F$2:F797,F797)-1</f>
        <v>586</v>
      </c>
      <c r="F797" s="6">
        <f t="shared" si="13"/>
        <v>-11.690200000000004</v>
      </c>
      <c r="G797" s="6">
        <f ca="1">IF(B797="","",股指期货基差分析!$N$11)</f>
        <v>-71.408500000000458</v>
      </c>
      <c r="H797" s="6">
        <f ca="1">IF(B797="","",股指期货基差分析!$L$11)</f>
        <v>15.737900000000081</v>
      </c>
      <c r="I797" s="10">
        <f ca="1">IF(B797="","",股指期货基差分析!$D$11)</f>
        <v>-19.923978315132629</v>
      </c>
      <c r="L797" s="43"/>
      <c r="Q797" s="11"/>
    </row>
    <row r="798" spans="2:17" ht="15" customHeight="1" x14ac:dyDescent="0.2">
      <c r="B798" s="7">
        <v>44666</v>
      </c>
      <c r="C798" s="5">
        <f>IF(B798="","",[1]!s_dq_close(股指期货基差分析!$E$5,$B798))</f>
        <v>6070.7488999999996</v>
      </c>
      <c r="D798" s="5">
        <f>IF(B798="","",[1]!s_dq_close(股指期货基差分析!$E$6,$B798))</f>
        <v>6088.2</v>
      </c>
      <c r="E798" s="5">
        <f ca="1">RANK(F798,F:F)+COUNTIF(F$2:F798,F798)-1</f>
        <v>54</v>
      </c>
      <c r="F798" s="5">
        <f t="shared" si="13"/>
        <v>17.451100000000224</v>
      </c>
      <c r="G798" s="5">
        <f ca="1">IF(B798="","",股指期货基差分析!$N$11)</f>
        <v>-71.408500000000458</v>
      </c>
      <c r="H798" s="5">
        <f ca="1">IF(B798="","",股指期货基差分析!$L$11)</f>
        <v>15.737900000000081</v>
      </c>
      <c r="I798" s="9">
        <f ca="1">IF(B798="","",股指期货基差分析!$D$11)</f>
        <v>-19.923978315132629</v>
      </c>
      <c r="L798" s="43"/>
      <c r="Q798" s="11"/>
    </row>
    <row r="799" spans="2:17" ht="15" customHeight="1" x14ac:dyDescent="0.2">
      <c r="B799" s="8">
        <v>44669</v>
      </c>
      <c r="C799" s="6">
        <f>IF(B799="","",[1]!s_dq_close(股指期货基差分析!$E$5,$B799))</f>
        <v>6074.0069000000003</v>
      </c>
      <c r="D799" s="6">
        <f>IF(B799="","",[1]!s_dq_close(股指期货基差分析!$E$6,$B799))</f>
        <v>6051</v>
      </c>
      <c r="E799" s="6">
        <f ca="1">RANK(F799,F:F)+COUNTIF(F$2:F799,F799)-1</f>
        <v>792</v>
      </c>
      <c r="F799" s="6">
        <f t="shared" si="13"/>
        <v>-23.006900000000314</v>
      </c>
      <c r="G799" s="6">
        <f ca="1">IF(B799="","",股指期货基差分析!$N$11)</f>
        <v>-71.408500000000458</v>
      </c>
      <c r="H799" s="6">
        <f ca="1">IF(B799="","",股指期货基差分析!$L$11)</f>
        <v>15.737900000000081</v>
      </c>
      <c r="I799" s="10">
        <f ca="1">IF(B799="","",股指期货基差分析!$D$11)</f>
        <v>-19.923978315132629</v>
      </c>
      <c r="L799" s="43"/>
      <c r="Q799" s="11"/>
    </row>
    <row r="800" spans="2:17" ht="15" customHeight="1" x14ac:dyDescent="0.2">
      <c r="B800" s="7">
        <v>44670</v>
      </c>
      <c r="C800" s="5">
        <f>IF(B800="","",[1]!s_dq_close(股指期货基差分析!$E$5,$B800))</f>
        <v>6092.3963000000003</v>
      </c>
      <c r="D800" s="5">
        <f>IF(B800="","",[1]!s_dq_close(股指期货基差分析!$E$6,$B800))</f>
        <v>6066.6</v>
      </c>
      <c r="E800" s="5">
        <f ca="1">RANK(F800,F:F)+COUNTIF(F$2:F800,F800)-1</f>
        <v>828</v>
      </c>
      <c r="F800" s="5">
        <f t="shared" si="13"/>
        <v>-25.796299999999974</v>
      </c>
      <c r="G800" s="5">
        <f ca="1">IF(B800="","",股指期货基差分析!$N$11)</f>
        <v>-71.408500000000458</v>
      </c>
      <c r="H800" s="5">
        <f ca="1">IF(B800="","",股指期货基差分析!$L$11)</f>
        <v>15.737900000000081</v>
      </c>
      <c r="I800" s="9">
        <f ca="1">IF(B800="","",股指期货基差分析!$D$11)</f>
        <v>-19.923978315132629</v>
      </c>
      <c r="L800" s="43"/>
      <c r="Q800" s="11"/>
    </row>
    <row r="801" spans="2:17" ht="15" customHeight="1" x14ac:dyDescent="0.2">
      <c r="B801" s="8">
        <v>44671</v>
      </c>
      <c r="C801" s="6">
        <f>IF(B801="","",[1]!s_dq_close(股指期货基差分析!$E$5,$B801))</f>
        <v>5956.9207999999999</v>
      </c>
      <c r="D801" s="6">
        <f>IF(B801="","",[1]!s_dq_close(股指期货基差分析!$E$6,$B801))</f>
        <v>5904.2</v>
      </c>
      <c r="E801" s="6">
        <f ca="1">RANK(F801,F:F)+COUNTIF(F$2:F801,F801)-1</f>
        <v>1122</v>
      </c>
      <c r="F801" s="6">
        <f t="shared" si="13"/>
        <v>-52.720800000000054</v>
      </c>
      <c r="G801" s="6">
        <f ca="1">IF(B801="","",股指期货基差分析!$N$11)</f>
        <v>-71.408500000000458</v>
      </c>
      <c r="H801" s="6">
        <f ca="1">IF(B801="","",股指期货基差分析!$L$11)</f>
        <v>15.737900000000081</v>
      </c>
      <c r="I801" s="10">
        <f ca="1">IF(B801="","",股指期货基差分析!$D$11)</f>
        <v>-19.923978315132629</v>
      </c>
      <c r="L801" s="43"/>
      <c r="Q801" s="11"/>
    </row>
    <row r="802" spans="2:17" ht="15" customHeight="1" x14ac:dyDescent="0.2">
      <c r="B802" s="7">
        <v>44672</v>
      </c>
      <c r="C802" s="5">
        <f>IF(B802="","",[1]!s_dq_close(股指期货基差分析!$E$5,$B802))</f>
        <v>5759.8013000000001</v>
      </c>
      <c r="D802" s="5">
        <f>IF(B802="","",[1]!s_dq_close(股指期货基差分析!$E$6,$B802))</f>
        <v>5719.4</v>
      </c>
      <c r="E802" s="5">
        <f ca="1">RANK(F802,F:F)+COUNTIF(F$2:F802,F802)-1</f>
        <v>1009</v>
      </c>
      <c r="F802" s="5">
        <f t="shared" si="13"/>
        <v>-40.401300000000447</v>
      </c>
      <c r="G802" s="5">
        <f ca="1">IF(B802="","",股指期货基差分析!$N$11)</f>
        <v>-71.408500000000458</v>
      </c>
      <c r="H802" s="5">
        <f ca="1">IF(B802="","",股指期货基差分析!$L$11)</f>
        <v>15.737900000000081</v>
      </c>
      <c r="I802" s="9">
        <f ca="1">IF(B802="","",股指期货基差分析!$D$11)</f>
        <v>-19.923978315132629</v>
      </c>
      <c r="L802" s="43"/>
      <c r="Q802" s="11"/>
    </row>
    <row r="803" spans="2:17" ht="15" customHeight="1" x14ac:dyDescent="0.2">
      <c r="B803" s="8">
        <v>44673</v>
      </c>
      <c r="C803" s="6">
        <f>IF(B803="","",[1]!s_dq_close(股指期货基差分析!$E$5,$B803))</f>
        <v>5740.9844000000003</v>
      </c>
      <c r="D803" s="6">
        <f>IF(B803="","",[1]!s_dq_close(股指期货基差分析!$E$6,$B803))</f>
        <v>5686.6</v>
      </c>
      <c r="E803" s="6">
        <f ca="1">RANK(F803,F:F)+COUNTIF(F$2:F803,F803)-1</f>
        <v>1135</v>
      </c>
      <c r="F803" s="6">
        <f t="shared" si="13"/>
        <v>-54.384399999999914</v>
      </c>
      <c r="G803" s="6">
        <f ca="1">IF(B803="","",股指期货基差分析!$N$11)</f>
        <v>-71.408500000000458</v>
      </c>
      <c r="H803" s="6">
        <f ca="1">IF(B803="","",股指期货基差分析!$L$11)</f>
        <v>15.737900000000081</v>
      </c>
      <c r="I803" s="10">
        <f ca="1">IF(B803="","",股指期货基差分析!$D$11)</f>
        <v>-19.923978315132629</v>
      </c>
      <c r="L803" s="43"/>
      <c r="Q803" s="11"/>
    </row>
    <row r="804" spans="2:17" ht="15" customHeight="1" x14ac:dyDescent="0.2">
      <c r="B804" s="7">
        <v>44676</v>
      </c>
      <c r="C804" s="5">
        <f>IF(B804="","",[1]!s_dq_close(股指期货基差分析!$E$5,$B804))</f>
        <v>5369.7170999999998</v>
      </c>
      <c r="D804" s="5">
        <f>IF(B804="","",[1]!s_dq_close(股指期货基差分析!$E$6,$B804))</f>
        <v>5316.8</v>
      </c>
      <c r="E804" s="5">
        <f ca="1">RANK(F804,F:F)+COUNTIF(F$2:F804,F804)-1</f>
        <v>1126</v>
      </c>
      <c r="F804" s="5">
        <f t="shared" si="13"/>
        <v>-52.917099999999664</v>
      </c>
      <c r="G804" s="5">
        <f ca="1">IF(B804="","",股指期货基差分析!$N$11)</f>
        <v>-71.408500000000458</v>
      </c>
      <c r="H804" s="5">
        <f ca="1">IF(B804="","",股指期货基差分析!$L$11)</f>
        <v>15.737900000000081</v>
      </c>
      <c r="I804" s="9">
        <f ca="1">IF(B804="","",股指期货基差分析!$D$11)</f>
        <v>-19.923978315132629</v>
      </c>
      <c r="L804" s="43"/>
      <c r="Q804" s="11"/>
    </row>
    <row r="805" spans="2:17" ht="15" customHeight="1" x14ac:dyDescent="0.2">
      <c r="B805" s="8">
        <v>44677</v>
      </c>
      <c r="C805" s="6">
        <f>IF(B805="","",[1]!s_dq_close(股指期货基差分析!$E$5,$B805))</f>
        <v>5234.0059000000001</v>
      </c>
      <c r="D805" s="6">
        <f>IF(B805="","",[1]!s_dq_close(股指期货基差分析!$E$6,$B805))</f>
        <v>5170.8</v>
      </c>
      <c r="E805" s="6">
        <f ca="1">RANK(F805,F:F)+COUNTIF(F$2:F805,F805)-1</f>
        <v>1180</v>
      </c>
      <c r="F805" s="6">
        <f t="shared" si="13"/>
        <v>-63.205899999999929</v>
      </c>
      <c r="G805" s="6">
        <f ca="1">IF(B805="","",股指期货基差分析!$N$11)</f>
        <v>-71.408500000000458</v>
      </c>
      <c r="H805" s="6">
        <f ca="1">IF(B805="","",股指期货基差分析!$L$11)</f>
        <v>15.737900000000081</v>
      </c>
      <c r="I805" s="10">
        <f ca="1">IF(B805="","",股指期货基差分析!$D$11)</f>
        <v>-19.923978315132629</v>
      </c>
      <c r="L805" s="43"/>
      <c r="Q805" s="11"/>
    </row>
    <row r="806" spans="2:17" ht="15" customHeight="1" x14ac:dyDescent="0.2">
      <c r="B806" s="7">
        <v>44678</v>
      </c>
      <c r="C806" s="5">
        <f>IF(B806="","",[1]!s_dq_close(股指期货基差分析!$E$5,$B806))</f>
        <v>5437.0374000000002</v>
      </c>
      <c r="D806" s="5">
        <f>IF(B806="","",[1]!s_dq_close(股指期货基差分析!$E$6,$B806))</f>
        <v>5414.4</v>
      </c>
      <c r="E806" s="5">
        <f ca="1">RANK(F806,F:F)+COUNTIF(F$2:F806,F806)-1</f>
        <v>789</v>
      </c>
      <c r="F806" s="5">
        <f t="shared" si="13"/>
        <v>-22.637400000000525</v>
      </c>
      <c r="G806" s="5">
        <f ca="1">IF(B806="","",股指期货基差分析!$N$11)</f>
        <v>-71.408500000000458</v>
      </c>
      <c r="H806" s="5">
        <f ca="1">IF(B806="","",股指期货基差分析!$L$11)</f>
        <v>15.737900000000081</v>
      </c>
      <c r="I806" s="9">
        <f ca="1">IF(B806="","",股指期货基差分析!$D$11)</f>
        <v>-19.923978315132629</v>
      </c>
      <c r="L806" s="43"/>
      <c r="Q806" s="11"/>
    </row>
    <row r="807" spans="2:17" ht="15" customHeight="1" x14ac:dyDescent="0.2">
      <c r="B807" s="8">
        <v>44679</v>
      </c>
      <c r="C807" s="6">
        <f>IF(B807="","",[1]!s_dq_close(股指期货基差分析!$E$5,$B807))</f>
        <v>5418.7641000000003</v>
      </c>
      <c r="D807" s="6">
        <f>IF(B807="","",[1]!s_dq_close(股指期货基差分析!$E$6,$B807))</f>
        <v>5393</v>
      </c>
      <c r="E807" s="6">
        <f ca="1">RANK(F807,F:F)+COUNTIF(F$2:F807,F807)-1</f>
        <v>827</v>
      </c>
      <c r="F807" s="6">
        <f t="shared" si="13"/>
        <v>-25.764100000000326</v>
      </c>
      <c r="G807" s="6">
        <f ca="1">IF(B807="","",股指期货基差分析!$N$11)</f>
        <v>-71.408500000000458</v>
      </c>
      <c r="H807" s="6">
        <f ca="1">IF(B807="","",股指期货基差分析!$L$11)</f>
        <v>15.737900000000081</v>
      </c>
      <c r="I807" s="10">
        <f ca="1">IF(B807="","",股指期货基差分析!$D$11)</f>
        <v>-19.923978315132629</v>
      </c>
      <c r="L807" s="43"/>
      <c r="Q807" s="11"/>
    </row>
    <row r="808" spans="2:17" ht="15" customHeight="1" x14ac:dyDescent="0.2">
      <c r="B808" s="7">
        <v>44680</v>
      </c>
      <c r="C808" s="5">
        <f>IF(B808="","",[1]!s_dq_close(股指期货基差分析!$E$5,$B808))</f>
        <v>5627.9021000000002</v>
      </c>
      <c r="D808" s="5">
        <f>IF(B808="","",[1]!s_dq_close(股指期货基差分析!$E$6,$B808))</f>
        <v>5619</v>
      </c>
      <c r="E808" s="5">
        <f ca="1">RANK(F808,F:F)+COUNTIF(F$2:F808,F808)-1</f>
        <v>527</v>
      </c>
      <c r="F808" s="5">
        <f t="shared" si="13"/>
        <v>-8.9021000000002459</v>
      </c>
      <c r="G808" s="5">
        <f ca="1">IF(B808="","",股指期货基差分析!$N$11)</f>
        <v>-71.408500000000458</v>
      </c>
      <c r="H808" s="5">
        <f ca="1">IF(B808="","",股指期货基差分析!$L$11)</f>
        <v>15.737900000000081</v>
      </c>
      <c r="I808" s="9">
        <f ca="1">IF(B808="","",股指期货基差分析!$D$11)</f>
        <v>-19.923978315132629</v>
      </c>
      <c r="L808" s="43"/>
      <c r="Q808" s="11"/>
    </row>
    <row r="809" spans="2:17" ht="15" customHeight="1" x14ac:dyDescent="0.2">
      <c r="B809" s="8">
        <v>44686</v>
      </c>
      <c r="C809" s="6">
        <f>IF(B809="","",[1]!s_dq_close(股指期货基差分析!$E$5,$B809))</f>
        <v>5686.7022999999999</v>
      </c>
      <c r="D809" s="6">
        <f>IF(B809="","",[1]!s_dq_close(股指期货基差分析!$E$6,$B809))</f>
        <v>5652.2</v>
      </c>
      <c r="E809" s="6">
        <f ca="1">RANK(F809,F:F)+COUNTIF(F$2:F809,F809)-1</f>
        <v>948</v>
      </c>
      <c r="F809" s="6">
        <f t="shared" si="13"/>
        <v>-34.502300000000105</v>
      </c>
      <c r="G809" s="6">
        <f ca="1">IF(B809="","",股指期货基差分析!$N$11)</f>
        <v>-71.408500000000458</v>
      </c>
      <c r="H809" s="6">
        <f ca="1">IF(B809="","",股指期货基差分析!$L$11)</f>
        <v>15.737900000000081</v>
      </c>
      <c r="I809" s="10">
        <f ca="1">IF(B809="","",股指期货基差分析!$D$11)</f>
        <v>-19.923978315132629</v>
      </c>
      <c r="L809" s="43"/>
      <c r="Q809" s="11"/>
    </row>
    <row r="810" spans="2:17" ht="15" customHeight="1" x14ac:dyDescent="0.2">
      <c r="B810" s="7">
        <v>44687</v>
      </c>
      <c r="C810" s="5">
        <f>IF(B810="","",[1]!s_dq_close(股指期货基差分析!$E$5,$B810))</f>
        <v>5563.7692999999999</v>
      </c>
      <c r="D810" s="5">
        <f>IF(B810="","",[1]!s_dq_close(股指期货基差分析!$E$6,$B810))</f>
        <v>5504.2</v>
      </c>
      <c r="E810" s="5">
        <f ca="1">RANK(F810,F:F)+COUNTIF(F$2:F810,F810)-1</f>
        <v>1159</v>
      </c>
      <c r="F810" s="5">
        <f t="shared" si="13"/>
        <v>-59.569300000000112</v>
      </c>
      <c r="G810" s="5">
        <f ca="1">IF(B810="","",股指期货基差分析!$N$11)</f>
        <v>-71.408500000000458</v>
      </c>
      <c r="H810" s="5">
        <f ca="1">IF(B810="","",股指期货基差分析!$L$11)</f>
        <v>15.737900000000081</v>
      </c>
      <c r="I810" s="9">
        <f ca="1">IF(B810="","",股指期货基差分析!$D$11)</f>
        <v>-19.923978315132629</v>
      </c>
      <c r="L810" s="43"/>
      <c r="Q810" s="11"/>
    </row>
    <row r="811" spans="2:17" ht="15" customHeight="1" x14ac:dyDescent="0.2">
      <c r="B811" s="8">
        <v>44690</v>
      </c>
      <c r="C811" s="6">
        <f>IF(B811="","",[1]!s_dq_close(股指期货基差分析!$E$5,$B811))</f>
        <v>5608.5162</v>
      </c>
      <c r="D811" s="6">
        <f>IF(B811="","",[1]!s_dq_close(股指期货基差分析!$E$6,$B811))</f>
        <v>5547</v>
      </c>
      <c r="E811" s="6">
        <f ca="1">RANK(F811,F:F)+COUNTIF(F$2:F811,F811)-1</f>
        <v>1166</v>
      </c>
      <c r="F811" s="6">
        <f t="shared" si="13"/>
        <v>-61.516200000000026</v>
      </c>
      <c r="G811" s="6">
        <f ca="1">IF(B811="","",股指期货基差分析!$N$11)</f>
        <v>-71.408500000000458</v>
      </c>
      <c r="H811" s="6">
        <f ca="1">IF(B811="","",股指期货基差分析!$L$11)</f>
        <v>15.737900000000081</v>
      </c>
      <c r="I811" s="10">
        <f ca="1">IF(B811="","",股指期货基差分析!$D$11)</f>
        <v>-19.923978315132629</v>
      </c>
      <c r="L811" s="43"/>
      <c r="Q811" s="11"/>
    </row>
    <row r="812" spans="2:17" ht="15" customHeight="1" x14ac:dyDescent="0.2">
      <c r="B812" s="7">
        <v>44691</v>
      </c>
      <c r="C812" s="5">
        <f>IF(B812="","",[1]!s_dq_close(股指期货基差分析!$E$5,$B812))</f>
        <v>5690.0868</v>
      </c>
      <c r="D812" s="5">
        <f>IF(B812="","",[1]!s_dq_close(股指期货基差分析!$E$6,$B812))</f>
        <v>5672.2</v>
      </c>
      <c r="E812" s="5">
        <f ca="1">RANK(F812,F:F)+COUNTIF(F$2:F812,F812)-1</f>
        <v>717</v>
      </c>
      <c r="F812" s="5">
        <f t="shared" si="13"/>
        <v>-17.886800000000221</v>
      </c>
      <c r="G812" s="5">
        <f ca="1">IF(B812="","",股指期货基差分析!$N$11)</f>
        <v>-71.408500000000458</v>
      </c>
      <c r="H812" s="5">
        <f ca="1">IF(B812="","",股指期货基差分析!$L$11)</f>
        <v>15.737900000000081</v>
      </c>
      <c r="I812" s="9">
        <f ca="1">IF(B812="","",股指期货基差分析!$D$11)</f>
        <v>-19.923978315132629</v>
      </c>
      <c r="L812" s="43"/>
      <c r="Q812" s="11"/>
    </row>
    <row r="813" spans="2:17" ht="15" customHeight="1" x14ac:dyDescent="0.2">
      <c r="B813" s="8">
        <v>44692</v>
      </c>
      <c r="C813" s="6">
        <f>IF(B813="","",[1]!s_dq_close(股指期货基差分析!$E$5,$B813))</f>
        <v>5737.8172999999997</v>
      </c>
      <c r="D813" s="6">
        <f>IF(B813="","",[1]!s_dq_close(股指期货基差分析!$E$6,$B813))</f>
        <v>5702.4</v>
      </c>
      <c r="E813" s="6">
        <f ca="1">RANK(F813,F:F)+COUNTIF(F$2:F813,F813)-1</f>
        <v>963</v>
      </c>
      <c r="F813" s="6">
        <f t="shared" si="13"/>
        <v>-35.417300000000068</v>
      </c>
      <c r="G813" s="6">
        <f ca="1">IF(B813="","",股指期货基差分析!$N$11)</f>
        <v>-71.408500000000458</v>
      </c>
      <c r="H813" s="6">
        <f ca="1">IF(B813="","",股指期货基差分析!$L$11)</f>
        <v>15.737900000000081</v>
      </c>
      <c r="I813" s="10">
        <f ca="1">IF(B813="","",股指期货基差分析!$D$11)</f>
        <v>-19.923978315132629</v>
      </c>
      <c r="L813" s="43"/>
      <c r="Q813" s="11"/>
    </row>
    <row r="814" spans="2:17" ht="15" customHeight="1" x14ac:dyDescent="0.2">
      <c r="B814" s="7">
        <v>44693</v>
      </c>
      <c r="C814" s="5">
        <f>IF(B814="","",[1]!s_dq_close(股指期货基差分析!$E$5,$B814))</f>
        <v>5743.1007</v>
      </c>
      <c r="D814" s="5">
        <f>IF(B814="","",[1]!s_dq_close(股指期货基差分析!$E$6,$B814))</f>
        <v>5718.2</v>
      </c>
      <c r="E814" s="5">
        <f ca="1">RANK(F814,F:F)+COUNTIF(F$2:F814,F814)-1</f>
        <v>814</v>
      </c>
      <c r="F814" s="5">
        <f t="shared" si="13"/>
        <v>-24.900700000000143</v>
      </c>
      <c r="G814" s="5">
        <f ca="1">IF(B814="","",股指期货基差分析!$N$11)</f>
        <v>-71.408500000000458</v>
      </c>
      <c r="H814" s="5">
        <f ca="1">IF(B814="","",股指期货基差分析!$L$11)</f>
        <v>15.737900000000081</v>
      </c>
      <c r="I814" s="9">
        <f ca="1">IF(B814="","",股指期货基差分析!$D$11)</f>
        <v>-19.923978315132629</v>
      </c>
      <c r="L814" s="43"/>
      <c r="Q814" s="11"/>
    </row>
    <row r="815" spans="2:17" ht="15" customHeight="1" x14ac:dyDescent="0.2">
      <c r="B815" s="8">
        <v>44694</v>
      </c>
      <c r="C815" s="6">
        <f>IF(B815="","",[1]!s_dq_close(股指期货基差分析!$E$5,$B815))</f>
        <v>5796.8014000000003</v>
      </c>
      <c r="D815" s="6">
        <f>IF(B815="","",[1]!s_dq_close(股指期货基差分析!$E$6,$B815))</f>
        <v>5782.4</v>
      </c>
      <c r="E815" s="6">
        <f ca="1">RANK(F815,F:F)+COUNTIF(F$2:F815,F815)-1</f>
        <v>651</v>
      </c>
      <c r="F815" s="6">
        <f t="shared" si="13"/>
        <v>-14.401400000000649</v>
      </c>
      <c r="G815" s="6">
        <f ca="1">IF(B815="","",股指期货基差分析!$N$11)</f>
        <v>-71.408500000000458</v>
      </c>
      <c r="H815" s="6">
        <f ca="1">IF(B815="","",股指期货基差分析!$L$11)</f>
        <v>15.737900000000081</v>
      </c>
      <c r="I815" s="10">
        <f ca="1">IF(B815="","",股指期货基差分析!$D$11)</f>
        <v>-19.923978315132629</v>
      </c>
      <c r="L815" s="43"/>
      <c r="Q815" s="11"/>
    </row>
    <row r="816" spans="2:17" ht="15" customHeight="1" x14ac:dyDescent="0.2">
      <c r="B816" s="7">
        <v>44697</v>
      </c>
      <c r="C816" s="5">
        <f>IF(B816="","",[1]!s_dq_close(股指期货基差分析!$E$5,$B816))</f>
        <v>5791.0808999999999</v>
      </c>
      <c r="D816" s="5">
        <f>IF(B816="","",[1]!s_dq_close(股指期货基差分析!$E$6,$B816))</f>
        <v>5750</v>
      </c>
      <c r="E816" s="5">
        <f ca="1">RANK(F816,F:F)+COUNTIF(F$2:F816,F816)-1</f>
        <v>1017</v>
      </c>
      <c r="F816" s="5">
        <f t="shared" si="13"/>
        <v>-41.080899999999929</v>
      </c>
      <c r="G816" s="5">
        <f ca="1">IF(B816="","",股指期货基差分析!$N$11)</f>
        <v>-71.408500000000458</v>
      </c>
      <c r="H816" s="5">
        <f ca="1">IF(B816="","",股指期货基差分析!$L$11)</f>
        <v>15.737900000000081</v>
      </c>
      <c r="I816" s="9">
        <f ca="1">IF(B816="","",股指期货基差分析!$D$11)</f>
        <v>-19.923978315132629</v>
      </c>
      <c r="L816" s="43"/>
      <c r="Q816" s="11"/>
    </row>
    <row r="817" spans="2:17" ht="15" customHeight="1" x14ac:dyDescent="0.2">
      <c r="B817" s="8">
        <v>44698</v>
      </c>
      <c r="C817" s="6">
        <f>IF(B817="","",[1]!s_dq_close(股指期货基差分析!$E$5,$B817))</f>
        <v>5816.3379000000004</v>
      </c>
      <c r="D817" s="6">
        <f>IF(B817="","",[1]!s_dq_close(股指期货基差分析!$E$6,$B817))</f>
        <v>5797</v>
      </c>
      <c r="E817" s="6">
        <f ca="1">RANK(F817,F:F)+COUNTIF(F$2:F817,F817)-1</f>
        <v>737</v>
      </c>
      <c r="F817" s="6">
        <f t="shared" si="13"/>
        <v>-19.337900000000445</v>
      </c>
      <c r="G817" s="6">
        <f ca="1">IF(B817="","",股指期货基差分析!$N$11)</f>
        <v>-71.408500000000458</v>
      </c>
      <c r="H817" s="6">
        <f ca="1">IF(B817="","",股指期货基差分析!$L$11)</f>
        <v>15.737900000000081</v>
      </c>
      <c r="I817" s="10">
        <f ca="1">IF(B817="","",股指期货基差分析!$D$11)</f>
        <v>-19.923978315132629</v>
      </c>
      <c r="L817" s="43"/>
      <c r="Q817" s="11"/>
    </row>
    <row r="818" spans="2:17" ht="15" customHeight="1" x14ac:dyDescent="0.2">
      <c r="B818" s="7">
        <v>44699</v>
      </c>
      <c r="C818" s="5">
        <f>IF(B818="","",[1]!s_dq_close(股指期货基差分析!$E$5,$B818))</f>
        <v>5797.4895999999999</v>
      </c>
      <c r="D818" s="5">
        <f>IF(B818="","",[1]!s_dq_close(股指期货基差分析!$E$6,$B818))</f>
        <v>5783.8</v>
      </c>
      <c r="E818" s="5">
        <f ca="1">RANK(F818,F:F)+COUNTIF(F$2:F818,F818)-1</f>
        <v>631</v>
      </c>
      <c r="F818" s="5">
        <f t="shared" si="13"/>
        <v>-13.6895999999997</v>
      </c>
      <c r="G818" s="5">
        <f ca="1">IF(B818="","",股指期货基差分析!$N$11)</f>
        <v>-71.408500000000458</v>
      </c>
      <c r="H818" s="5">
        <f ca="1">IF(B818="","",股指期货基差分析!$L$11)</f>
        <v>15.737900000000081</v>
      </c>
      <c r="I818" s="9">
        <f ca="1">IF(B818="","",股指期货基差分析!$D$11)</f>
        <v>-19.923978315132629</v>
      </c>
      <c r="L818" s="43"/>
      <c r="Q818" s="11"/>
    </row>
    <row r="819" spans="2:17" ht="15" customHeight="1" x14ac:dyDescent="0.2">
      <c r="B819" s="8">
        <v>44700</v>
      </c>
      <c r="C819" s="6">
        <f>IF(B819="","",[1]!s_dq_close(股指期货基差分析!$E$5,$B819))</f>
        <v>5838.4074000000001</v>
      </c>
      <c r="D819" s="6">
        <f>IF(B819="","",[1]!s_dq_close(股指期货基差分析!$E$6,$B819))</f>
        <v>5840.8</v>
      </c>
      <c r="E819" s="6">
        <f ca="1">RANK(F819,F:F)+COUNTIF(F$2:F819,F819)-1</f>
        <v>253</v>
      </c>
      <c r="F819" s="6">
        <f t="shared" si="13"/>
        <v>2.3926000000001295</v>
      </c>
      <c r="G819" s="6">
        <f ca="1">IF(B819="","",股指期货基差分析!$N$11)</f>
        <v>-71.408500000000458</v>
      </c>
      <c r="H819" s="6">
        <f ca="1">IF(B819="","",股指期货基差分析!$L$11)</f>
        <v>15.737900000000081</v>
      </c>
      <c r="I819" s="10">
        <f ca="1">IF(B819="","",股指期货基差分析!$D$11)</f>
        <v>-19.923978315132629</v>
      </c>
      <c r="L819" s="43"/>
      <c r="Q819" s="11"/>
    </row>
    <row r="820" spans="2:17" ht="15" customHeight="1" x14ac:dyDescent="0.2">
      <c r="B820" s="7">
        <v>44701</v>
      </c>
      <c r="C820" s="5">
        <f>IF(B820="","",[1]!s_dq_close(股指期货基差分析!$E$5,$B820))</f>
        <v>5929.4881999999998</v>
      </c>
      <c r="D820" s="5">
        <f>IF(B820="","",[1]!s_dq_close(股指期货基差分析!$E$6,$B820))</f>
        <v>5912.6</v>
      </c>
      <c r="E820" s="5">
        <f ca="1">RANK(F820,F:F)+COUNTIF(F$2:F820,F820)-1</f>
        <v>695</v>
      </c>
      <c r="F820" s="5">
        <f t="shared" si="13"/>
        <v>-16.888199999999415</v>
      </c>
      <c r="G820" s="5">
        <f ca="1">IF(B820="","",股指期货基差分析!$N$11)</f>
        <v>-71.408500000000458</v>
      </c>
      <c r="H820" s="5">
        <f ca="1">IF(B820="","",股指期货基差分析!$L$11)</f>
        <v>15.737900000000081</v>
      </c>
      <c r="I820" s="9">
        <f ca="1">IF(B820="","",股指期货基差分析!$D$11)</f>
        <v>-19.923978315132629</v>
      </c>
      <c r="L820" s="43"/>
      <c r="Q820" s="11"/>
    </row>
    <row r="821" spans="2:17" ht="15" customHeight="1" x14ac:dyDescent="0.2">
      <c r="B821" s="8">
        <v>44704</v>
      </c>
      <c r="C821" s="6">
        <f>IF(B821="","",[1]!s_dq_close(股指期货基差分析!$E$5,$B821))</f>
        <v>5965.7277000000004</v>
      </c>
      <c r="D821" s="6">
        <f>IF(B821="","",[1]!s_dq_close(股指期货基差分析!$E$6,$B821))</f>
        <v>5888</v>
      </c>
      <c r="E821" s="6">
        <f ca="1">RANK(F821,F:F)+COUNTIF(F$2:F821,F821)-1</f>
        <v>1238</v>
      </c>
      <c r="F821" s="6">
        <f t="shared" si="13"/>
        <v>-77.727700000000368</v>
      </c>
      <c r="G821" s="6">
        <f ca="1">IF(B821="","",股指期货基差分析!$N$11)</f>
        <v>-71.408500000000458</v>
      </c>
      <c r="H821" s="6">
        <f ca="1">IF(B821="","",股指期货基差分析!$L$11)</f>
        <v>15.737900000000081</v>
      </c>
      <c r="I821" s="10">
        <f ca="1">IF(B821="","",股指期货基差分析!$D$11)</f>
        <v>-19.923978315132629</v>
      </c>
      <c r="L821" s="43"/>
      <c r="Q821" s="11"/>
    </row>
    <row r="822" spans="2:17" ht="15" customHeight="1" x14ac:dyDescent="0.2">
      <c r="B822" s="7">
        <v>44705</v>
      </c>
      <c r="C822" s="5">
        <f>IF(B822="","",[1]!s_dq_close(股指期货基差分析!$E$5,$B822))</f>
        <v>5745.6751000000004</v>
      </c>
      <c r="D822" s="5">
        <f>IF(B822="","",[1]!s_dq_close(股指期货基差分析!$E$6,$B822))</f>
        <v>5678.2</v>
      </c>
      <c r="E822" s="5">
        <f ca="1">RANK(F822,F:F)+COUNTIF(F$2:F822,F822)-1</f>
        <v>1205</v>
      </c>
      <c r="F822" s="5">
        <f t="shared" si="13"/>
        <v>-67.475100000000566</v>
      </c>
      <c r="G822" s="5">
        <f ca="1">IF(B822="","",股指期货基差分析!$N$11)</f>
        <v>-71.408500000000458</v>
      </c>
      <c r="H822" s="5">
        <f ca="1">IF(B822="","",股指期货基差分析!$L$11)</f>
        <v>15.737900000000081</v>
      </c>
      <c r="I822" s="9">
        <f ca="1">IF(B822="","",股指期货基差分析!$D$11)</f>
        <v>-19.923978315132629</v>
      </c>
      <c r="L822" s="43"/>
      <c r="Q822" s="11"/>
    </row>
    <row r="823" spans="2:17" ht="15" customHeight="1" x14ac:dyDescent="0.2">
      <c r="B823" s="8">
        <v>44706</v>
      </c>
      <c r="C823" s="6">
        <f>IF(B823="","",[1]!s_dq_close(股指期货基差分析!$E$5,$B823))</f>
        <v>5844.2546000000002</v>
      </c>
      <c r="D823" s="6">
        <f>IF(B823="","",[1]!s_dq_close(股指期货基差分析!$E$6,$B823))</f>
        <v>5768.6</v>
      </c>
      <c r="E823" s="6">
        <f ca="1">RANK(F823,F:F)+COUNTIF(F$2:F823,F823)-1</f>
        <v>1229</v>
      </c>
      <c r="F823" s="6">
        <f t="shared" si="13"/>
        <v>-75.654599999999846</v>
      </c>
      <c r="G823" s="6">
        <f ca="1">IF(B823="","",股指期货基差分析!$N$11)</f>
        <v>-71.408500000000458</v>
      </c>
      <c r="H823" s="6">
        <f ca="1">IF(B823="","",股指期货基差分析!$L$11)</f>
        <v>15.737900000000081</v>
      </c>
      <c r="I823" s="10">
        <f ca="1">IF(B823="","",股指期货基差分析!$D$11)</f>
        <v>-19.923978315132629</v>
      </c>
      <c r="L823" s="43"/>
      <c r="Q823" s="11"/>
    </row>
    <row r="824" spans="2:17" ht="15" customHeight="1" x14ac:dyDescent="0.2">
      <c r="B824" s="7">
        <v>44707</v>
      </c>
      <c r="C824" s="5">
        <f>IF(B824="","",[1]!s_dq_close(股指期货基差分析!$E$5,$B824))</f>
        <v>5911.5607</v>
      </c>
      <c r="D824" s="5">
        <f>IF(B824="","",[1]!s_dq_close(股指期货基差分析!$E$6,$B824))</f>
        <v>5852.8</v>
      </c>
      <c r="E824" s="5">
        <f ca="1">RANK(F824,F:F)+COUNTIF(F$2:F824,F824)-1</f>
        <v>1155</v>
      </c>
      <c r="F824" s="5">
        <f t="shared" si="13"/>
        <v>-58.760699999999815</v>
      </c>
      <c r="G824" s="5">
        <f ca="1">IF(B824="","",股指期货基差分析!$N$11)</f>
        <v>-71.408500000000458</v>
      </c>
      <c r="H824" s="5">
        <f ca="1">IF(B824="","",股指期货基差分析!$L$11)</f>
        <v>15.737900000000081</v>
      </c>
      <c r="I824" s="9">
        <f ca="1">IF(B824="","",股指期货基差分析!$D$11)</f>
        <v>-19.923978315132629</v>
      </c>
      <c r="L824" s="43"/>
      <c r="Q824" s="11"/>
    </row>
    <row r="825" spans="2:17" ht="15" customHeight="1" x14ac:dyDescent="0.2">
      <c r="B825" s="8">
        <v>44708</v>
      </c>
      <c r="C825" s="6">
        <f>IF(B825="","",[1]!s_dq_close(股指期货基差分析!$E$5,$B825))</f>
        <v>5899.915</v>
      </c>
      <c r="D825" s="6">
        <f>IF(B825="","",[1]!s_dq_close(股指期货基差分析!$E$6,$B825))</f>
        <v>5845</v>
      </c>
      <c r="E825" s="6">
        <f ca="1">RANK(F825,F:F)+COUNTIF(F$2:F825,F825)-1</f>
        <v>1137</v>
      </c>
      <c r="F825" s="6">
        <f t="shared" si="13"/>
        <v>-54.914999999999964</v>
      </c>
      <c r="G825" s="6">
        <f ca="1">IF(B825="","",股指期货基差分析!$N$11)</f>
        <v>-71.408500000000458</v>
      </c>
      <c r="H825" s="6">
        <f ca="1">IF(B825="","",股指期货基差分析!$L$11)</f>
        <v>15.737900000000081</v>
      </c>
      <c r="I825" s="10">
        <f ca="1">IF(B825="","",股指期货基差分析!$D$11)</f>
        <v>-19.923978315132629</v>
      </c>
      <c r="L825" s="43"/>
      <c r="Q825" s="11"/>
    </row>
    <row r="826" spans="2:17" ht="15" customHeight="1" x14ac:dyDescent="0.2">
      <c r="B826" s="7">
        <v>44711</v>
      </c>
      <c r="C826" s="5">
        <f>IF(B826="","",[1]!s_dq_close(股指期货基差分析!$E$5,$B826))</f>
        <v>5942.8316999999997</v>
      </c>
      <c r="D826" s="5">
        <f>IF(B826="","",[1]!s_dq_close(股指期货基差分析!$E$6,$B826))</f>
        <v>5872.4</v>
      </c>
      <c r="E826" s="5">
        <f ca="1">RANK(F826,F:F)+COUNTIF(F$2:F826,F826)-1</f>
        <v>1215</v>
      </c>
      <c r="F826" s="5">
        <f t="shared" si="13"/>
        <v>-70.431700000000092</v>
      </c>
      <c r="G826" s="5">
        <f ca="1">IF(B826="","",股指期货基差分析!$N$11)</f>
        <v>-71.408500000000458</v>
      </c>
      <c r="H826" s="5">
        <f ca="1">IF(B826="","",股指期货基差分析!$L$11)</f>
        <v>15.737900000000081</v>
      </c>
      <c r="I826" s="9">
        <f ca="1">IF(B826="","",股指期货基差分析!$D$11)</f>
        <v>-19.923978315132629</v>
      </c>
      <c r="L826" s="43"/>
      <c r="Q826" s="11"/>
    </row>
    <row r="827" spans="2:17" ht="15" customHeight="1" x14ac:dyDescent="0.2">
      <c r="B827" s="8">
        <v>44712</v>
      </c>
      <c r="C827" s="6">
        <f>IF(B827="","",[1]!s_dq_close(股指期货基差分析!$E$5,$B827))</f>
        <v>6026.2372999999998</v>
      </c>
      <c r="D827" s="6">
        <f>IF(B827="","",[1]!s_dq_close(股指期货基差分析!$E$6,$B827))</f>
        <v>5975</v>
      </c>
      <c r="E827" s="6">
        <f ca="1">RANK(F827,F:F)+COUNTIF(F$2:F827,F827)-1</f>
        <v>1110</v>
      </c>
      <c r="F827" s="6">
        <f t="shared" si="13"/>
        <v>-51.237299999999777</v>
      </c>
      <c r="G827" s="6">
        <f ca="1">IF(B827="","",股指期货基差分析!$N$11)</f>
        <v>-71.408500000000458</v>
      </c>
      <c r="H827" s="6">
        <f ca="1">IF(B827="","",股指期货基差分析!$L$11)</f>
        <v>15.737900000000081</v>
      </c>
      <c r="I827" s="10">
        <f ca="1">IF(B827="","",股指期货基差分析!$D$11)</f>
        <v>-19.923978315132629</v>
      </c>
      <c r="L827" s="43"/>
      <c r="Q827" s="11"/>
    </row>
    <row r="828" spans="2:17" ht="15" customHeight="1" x14ac:dyDescent="0.2">
      <c r="B828" s="7">
        <v>44713</v>
      </c>
      <c r="C828" s="5">
        <f>IF(B828="","",[1]!s_dq_close(股指期货基差分析!$E$5,$B828))</f>
        <v>6023.6440000000002</v>
      </c>
      <c r="D828" s="5">
        <f>IF(B828="","",[1]!s_dq_close(股指期货基差分析!$E$6,$B828))</f>
        <v>5970</v>
      </c>
      <c r="E828" s="5">
        <f ca="1">RANK(F828,F:F)+COUNTIF(F$2:F828,F828)-1</f>
        <v>1130</v>
      </c>
      <c r="F828" s="5">
        <f t="shared" si="13"/>
        <v>-53.644000000000233</v>
      </c>
      <c r="G828" s="5">
        <f ca="1">IF(B828="","",股指期货基差分析!$N$11)</f>
        <v>-71.408500000000458</v>
      </c>
      <c r="H828" s="5">
        <f ca="1">IF(B828="","",股指期货基差分析!$L$11)</f>
        <v>15.737900000000081</v>
      </c>
      <c r="I828" s="9">
        <f ca="1">IF(B828="","",股指期货基差分析!$D$11)</f>
        <v>-19.923978315132629</v>
      </c>
      <c r="L828" s="43"/>
      <c r="Q828" s="11"/>
    </row>
    <row r="829" spans="2:17" ht="15" customHeight="1" x14ac:dyDescent="0.2">
      <c r="B829" s="8">
        <v>44714</v>
      </c>
      <c r="C829" s="6">
        <f>IF(B829="","",[1]!s_dq_close(股指期货基差分析!$E$5,$B829))</f>
        <v>6078.4349000000002</v>
      </c>
      <c r="D829" s="6">
        <f>IF(B829="","",[1]!s_dq_close(股指期货基差分析!$E$6,$B829))</f>
        <v>6050.2</v>
      </c>
      <c r="E829" s="6">
        <f ca="1">RANK(F829,F:F)+COUNTIF(F$2:F829,F829)-1</f>
        <v>865</v>
      </c>
      <c r="F829" s="6">
        <f t="shared" si="13"/>
        <v>-28.23490000000038</v>
      </c>
      <c r="G829" s="6">
        <f ca="1">IF(B829="","",股指期货基差分析!$N$11)</f>
        <v>-71.408500000000458</v>
      </c>
      <c r="H829" s="6">
        <f ca="1">IF(B829="","",股指期货基差分析!$L$11)</f>
        <v>15.737900000000081</v>
      </c>
      <c r="I829" s="10">
        <f ca="1">IF(B829="","",股指期货基差分析!$D$11)</f>
        <v>-19.923978315132629</v>
      </c>
      <c r="L829" s="43"/>
      <c r="Q829" s="11"/>
    </row>
    <row r="830" spans="2:17" ht="15" customHeight="1" x14ac:dyDescent="0.2">
      <c r="B830" s="7">
        <v>44718</v>
      </c>
      <c r="C830" s="5">
        <f>IF(B830="","",[1]!s_dq_close(股指期货基差分析!$E$5,$B830))</f>
        <v>6187.4440999999997</v>
      </c>
      <c r="D830" s="5">
        <f>IF(B830="","",[1]!s_dq_close(股指期货基差分析!$E$6,$B830))</f>
        <v>6157.8</v>
      </c>
      <c r="E830" s="5">
        <f ca="1">RANK(F830,F:F)+COUNTIF(F$2:F830,F830)-1</f>
        <v>887</v>
      </c>
      <c r="F830" s="5">
        <f t="shared" si="13"/>
        <v>-29.644099999999526</v>
      </c>
      <c r="G830" s="5">
        <f ca="1">IF(B830="","",股指期货基差分析!$N$11)</f>
        <v>-71.408500000000458</v>
      </c>
      <c r="H830" s="5">
        <f ca="1">IF(B830="","",股指期货基差分析!$L$11)</f>
        <v>15.737900000000081</v>
      </c>
      <c r="I830" s="9">
        <f ca="1">IF(B830="","",股指期货基差分析!$D$11)</f>
        <v>-19.923978315132629</v>
      </c>
      <c r="L830" s="43"/>
      <c r="Q830" s="11"/>
    </row>
    <row r="831" spans="2:17" ht="15" customHeight="1" x14ac:dyDescent="0.2">
      <c r="B831" s="8">
        <v>44719</v>
      </c>
      <c r="C831" s="6">
        <f>IF(B831="","",[1]!s_dq_close(股指期货基差分析!$E$5,$B831))</f>
        <v>6186.5672000000004</v>
      </c>
      <c r="D831" s="6">
        <f>IF(B831="","",[1]!s_dq_close(股指期货基差分析!$E$6,$B831))</f>
        <v>6148</v>
      </c>
      <c r="E831" s="6">
        <f ca="1">RANK(F831,F:F)+COUNTIF(F$2:F831,F831)-1</f>
        <v>989</v>
      </c>
      <c r="F831" s="6">
        <f t="shared" si="13"/>
        <v>-38.567200000000412</v>
      </c>
      <c r="G831" s="6">
        <f ca="1">IF(B831="","",股指期货基差分析!$N$11)</f>
        <v>-71.408500000000458</v>
      </c>
      <c r="H831" s="6">
        <f ca="1">IF(B831="","",股指期货基差分析!$L$11)</f>
        <v>15.737900000000081</v>
      </c>
      <c r="I831" s="10">
        <f ca="1">IF(B831="","",股指期货基差分析!$D$11)</f>
        <v>-19.923978315132629</v>
      </c>
      <c r="L831" s="43"/>
      <c r="Q831" s="11"/>
    </row>
    <row r="832" spans="2:17" ht="15" customHeight="1" x14ac:dyDescent="0.2">
      <c r="B832" s="7">
        <v>44720</v>
      </c>
      <c r="C832" s="5">
        <f>IF(B832="","",[1]!s_dq_close(股指期货基差分析!$E$5,$B832))</f>
        <v>6217.8275999999996</v>
      </c>
      <c r="D832" s="5">
        <f>IF(B832="","",[1]!s_dq_close(股指期货基差分析!$E$6,$B832))</f>
        <v>6190</v>
      </c>
      <c r="E832" s="5">
        <f ca="1">RANK(F832,F:F)+COUNTIF(F$2:F832,F832)-1</f>
        <v>856</v>
      </c>
      <c r="F832" s="5">
        <f t="shared" si="13"/>
        <v>-27.82759999999962</v>
      </c>
      <c r="G832" s="5">
        <f ca="1">IF(B832="","",股指期货基差分析!$N$11)</f>
        <v>-71.408500000000458</v>
      </c>
      <c r="H832" s="5">
        <f ca="1">IF(B832="","",股指期货基差分析!$L$11)</f>
        <v>15.737900000000081</v>
      </c>
      <c r="I832" s="9">
        <f ca="1">IF(B832="","",股指期货基差分析!$D$11)</f>
        <v>-19.923978315132629</v>
      </c>
      <c r="L832" s="43"/>
      <c r="Q832" s="11"/>
    </row>
    <row r="833" spans="2:17" ht="15" customHeight="1" x14ac:dyDescent="0.2">
      <c r="B833" s="8">
        <v>44721</v>
      </c>
      <c r="C833" s="6">
        <f>IF(B833="","",[1]!s_dq_close(股指期货基差分析!$E$5,$B833))</f>
        <v>6130.6862000000001</v>
      </c>
      <c r="D833" s="6">
        <f>IF(B833="","",[1]!s_dq_close(股指期货基差分析!$E$6,$B833))</f>
        <v>6119.8</v>
      </c>
      <c r="E833" s="6">
        <f ca="1">RANK(F833,F:F)+COUNTIF(F$2:F833,F833)-1</f>
        <v>573</v>
      </c>
      <c r="F833" s="6">
        <f t="shared" si="13"/>
        <v>-10.886199999999917</v>
      </c>
      <c r="G833" s="6">
        <f ca="1">IF(B833="","",股指期货基差分析!$N$11)</f>
        <v>-71.408500000000458</v>
      </c>
      <c r="H833" s="6">
        <f ca="1">IF(B833="","",股指期货基差分析!$L$11)</f>
        <v>15.737900000000081</v>
      </c>
      <c r="I833" s="10">
        <f ca="1">IF(B833="","",股指期货基差分析!$D$11)</f>
        <v>-19.923978315132629</v>
      </c>
      <c r="L833" s="43"/>
      <c r="Q833" s="11"/>
    </row>
    <row r="834" spans="2:17" ht="15" customHeight="1" x14ac:dyDescent="0.2">
      <c r="B834" s="7">
        <v>44722</v>
      </c>
      <c r="C834" s="5">
        <f>IF(B834="","",[1]!s_dq_close(股指期货基差分析!$E$5,$B834))</f>
        <v>6240.1031999999996</v>
      </c>
      <c r="D834" s="5">
        <f>IF(B834="","",[1]!s_dq_close(股指期货基差分析!$E$6,$B834))</f>
        <v>6250.4</v>
      </c>
      <c r="E834" s="5">
        <f ca="1">RANK(F834,F:F)+COUNTIF(F$2:F834,F834)-1</f>
        <v>110</v>
      </c>
      <c r="F834" s="5">
        <f t="shared" ref="F834:F897" si="14">IF(B834="","",D834-C834)</f>
        <v>10.296800000000076</v>
      </c>
      <c r="G834" s="5">
        <f ca="1">IF(B834="","",股指期货基差分析!$N$11)</f>
        <v>-71.408500000000458</v>
      </c>
      <c r="H834" s="5">
        <f ca="1">IF(B834="","",股指期货基差分析!$L$11)</f>
        <v>15.737900000000081</v>
      </c>
      <c r="I834" s="9">
        <f ca="1">IF(B834="","",股指期货基差分析!$D$11)</f>
        <v>-19.923978315132629</v>
      </c>
      <c r="L834" s="43"/>
      <c r="Q834" s="11"/>
    </row>
    <row r="835" spans="2:17" ht="15" customHeight="1" x14ac:dyDescent="0.2">
      <c r="B835" s="8">
        <v>44725</v>
      </c>
      <c r="C835" s="6">
        <f>IF(B835="","",[1]!s_dq_close(股指期货基差分析!$E$5,$B835))</f>
        <v>6233.6193999999996</v>
      </c>
      <c r="D835" s="6">
        <f>IF(B835="","",[1]!s_dq_close(股指期货基差分析!$E$6,$B835))</f>
        <v>6217.8</v>
      </c>
      <c r="E835" s="6">
        <f ca="1">RANK(F835,F:F)+COUNTIF(F$2:F835,F835)-1</f>
        <v>675</v>
      </c>
      <c r="F835" s="6">
        <f t="shared" si="14"/>
        <v>-15.819399999999405</v>
      </c>
      <c r="G835" s="6">
        <f ca="1">IF(B835="","",股指期货基差分析!$N$11)</f>
        <v>-71.408500000000458</v>
      </c>
      <c r="H835" s="6">
        <f ca="1">IF(B835="","",股指期货基差分析!$L$11)</f>
        <v>15.737900000000081</v>
      </c>
      <c r="I835" s="10">
        <f ca="1">IF(B835="","",股指期货基差分析!$D$11)</f>
        <v>-19.923978315132629</v>
      </c>
      <c r="L835" s="43"/>
      <c r="Q835" s="11"/>
    </row>
    <row r="836" spans="2:17" ht="15" customHeight="1" x14ac:dyDescent="0.2">
      <c r="B836" s="7">
        <v>44726</v>
      </c>
      <c r="C836" s="5">
        <f>IF(B836="","",[1]!s_dq_close(股指期货基差分析!$E$5,$B836))</f>
        <v>6275.5652</v>
      </c>
      <c r="D836" s="5">
        <f>IF(B836="","",[1]!s_dq_close(股指期货基差分析!$E$6,$B836))</f>
        <v>6281.2</v>
      </c>
      <c r="E836" s="5">
        <f ca="1">RANK(F836,F:F)+COUNTIF(F$2:F836,F836)-1</f>
        <v>175</v>
      </c>
      <c r="F836" s="5">
        <f t="shared" si="14"/>
        <v>5.6347999999998137</v>
      </c>
      <c r="G836" s="5">
        <f ca="1">IF(B836="","",股指期货基差分析!$N$11)</f>
        <v>-71.408500000000458</v>
      </c>
      <c r="H836" s="5">
        <f ca="1">IF(B836="","",股指期货基差分析!$L$11)</f>
        <v>15.737900000000081</v>
      </c>
      <c r="I836" s="9">
        <f ca="1">IF(B836="","",股指期货基差分析!$D$11)</f>
        <v>-19.923978315132629</v>
      </c>
      <c r="L836" s="43"/>
      <c r="Q836" s="11"/>
    </row>
    <row r="837" spans="2:17" ht="15" customHeight="1" x14ac:dyDescent="0.2">
      <c r="B837" s="8">
        <v>44727</v>
      </c>
      <c r="C837" s="6">
        <f>IF(B837="","",[1]!s_dq_close(股指期货基差分析!$E$5,$B837))</f>
        <v>6261.0613000000003</v>
      </c>
      <c r="D837" s="6">
        <f>IF(B837="","",[1]!s_dq_close(股指期货基差分析!$E$6,$B837))</f>
        <v>6251.6</v>
      </c>
      <c r="E837" s="6">
        <f ca="1">RANK(F837,F:F)+COUNTIF(F$2:F837,F837)-1</f>
        <v>544</v>
      </c>
      <c r="F837" s="6">
        <f t="shared" si="14"/>
        <v>-9.4612999999999374</v>
      </c>
      <c r="G837" s="6">
        <f ca="1">IF(B837="","",股指期货基差分析!$N$11)</f>
        <v>-71.408500000000458</v>
      </c>
      <c r="H837" s="6">
        <f ca="1">IF(B837="","",股指期货基差分析!$L$11)</f>
        <v>15.737900000000081</v>
      </c>
      <c r="I837" s="10">
        <f ca="1">IF(B837="","",股指期货基差分析!$D$11)</f>
        <v>-19.923978315132629</v>
      </c>
      <c r="L837" s="43"/>
      <c r="Q837" s="11"/>
    </row>
    <row r="838" spans="2:17" ht="15" customHeight="1" x14ac:dyDescent="0.2">
      <c r="B838" s="7">
        <v>44728</v>
      </c>
      <c r="C838" s="5">
        <f>IF(B838="","",[1]!s_dq_close(股指期货基差分析!$E$5,$B838))</f>
        <v>6264.8220000000001</v>
      </c>
      <c r="D838" s="5">
        <f>IF(B838="","",[1]!s_dq_close(股指期货基差分析!$E$6,$B838))</f>
        <v>6253.6</v>
      </c>
      <c r="E838" s="5">
        <f ca="1">RANK(F838,F:F)+COUNTIF(F$2:F838,F838)-1</f>
        <v>578</v>
      </c>
      <c r="F838" s="5">
        <f t="shared" si="14"/>
        <v>-11.221999999999753</v>
      </c>
      <c r="G838" s="5">
        <f ca="1">IF(B838="","",股指期货基差分析!$N$11)</f>
        <v>-71.408500000000458</v>
      </c>
      <c r="H838" s="5">
        <f ca="1">IF(B838="","",股指期货基差分析!$L$11)</f>
        <v>15.737900000000081</v>
      </c>
      <c r="I838" s="9">
        <f ca="1">IF(B838="","",股指期货基差分析!$D$11)</f>
        <v>-19.923978315132629</v>
      </c>
      <c r="L838" s="43"/>
      <c r="Q838" s="11"/>
    </row>
    <row r="839" spans="2:17" ht="15" customHeight="1" x14ac:dyDescent="0.2">
      <c r="B839" s="8">
        <v>44729</v>
      </c>
      <c r="C839" s="6">
        <f>IF(B839="","",[1]!s_dq_close(股指期货基差分析!$E$5,$B839))</f>
        <v>6316.3091999999997</v>
      </c>
      <c r="D839" s="6">
        <f>IF(B839="","",[1]!s_dq_close(股指期货基差分析!$E$6,$B839))</f>
        <v>6293</v>
      </c>
      <c r="E839" s="6">
        <f ca="1">RANK(F839,F:F)+COUNTIF(F$2:F839,F839)-1</f>
        <v>796</v>
      </c>
      <c r="F839" s="6">
        <f t="shared" si="14"/>
        <v>-23.309199999999691</v>
      </c>
      <c r="G839" s="6">
        <f ca="1">IF(B839="","",股指期货基差分析!$N$11)</f>
        <v>-71.408500000000458</v>
      </c>
      <c r="H839" s="6">
        <f ca="1">IF(B839="","",股指期货基差分析!$L$11)</f>
        <v>15.737900000000081</v>
      </c>
      <c r="I839" s="10">
        <f ca="1">IF(B839="","",股指期货基差分析!$D$11)</f>
        <v>-19.923978315132629</v>
      </c>
      <c r="L839" s="43"/>
      <c r="Q839" s="11"/>
    </row>
    <row r="840" spans="2:17" ht="15" customHeight="1" x14ac:dyDescent="0.2">
      <c r="B840" s="7">
        <v>44732</v>
      </c>
      <c r="C840" s="5">
        <f>IF(B840="","",[1]!s_dq_close(股指期货基差分析!$E$5,$B840))</f>
        <v>6330.3941999999997</v>
      </c>
      <c r="D840" s="5">
        <f>IF(B840="","",[1]!s_dq_close(股指期货基差分析!$E$6,$B840))</f>
        <v>6265</v>
      </c>
      <c r="E840" s="5">
        <f ca="1">RANK(F840,F:F)+COUNTIF(F$2:F840,F840)-1</f>
        <v>1188</v>
      </c>
      <c r="F840" s="5">
        <f t="shared" si="14"/>
        <v>-65.394199999999728</v>
      </c>
      <c r="G840" s="5">
        <f ca="1">IF(B840="","",股指期货基差分析!$N$11)</f>
        <v>-71.408500000000458</v>
      </c>
      <c r="H840" s="5">
        <f ca="1">IF(B840="","",股指期货基差分析!$L$11)</f>
        <v>15.737900000000081</v>
      </c>
      <c r="I840" s="9">
        <f ca="1">IF(B840="","",股指期货基差分析!$D$11)</f>
        <v>-19.923978315132629</v>
      </c>
      <c r="L840" s="43"/>
      <c r="Q840" s="11"/>
    </row>
    <row r="841" spans="2:17" ht="15" customHeight="1" x14ac:dyDescent="0.2">
      <c r="B841" s="8">
        <v>44733</v>
      </c>
      <c r="C841" s="6">
        <f>IF(B841="","",[1]!s_dq_close(股指期货基差分析!$E$5,$B841))</f>
        <v>6277.0014000000001</v>
      </c>
      <c r="D841" s="6">
        <f>IF(B841="","",[1]!s_dq_close(股指期货基差分析!$E$6,$B841))</f>
        <v>6224.2</v>
      </c>
      <c r="E841" s="6">
        <f ca="1">RANK(F841,F:F)+COUNTIF(F$2:F841,F841)-1</f>
        <v>1125</v>
      </c>
      <c r="F841" s="6">
        <f t="shared" si="14"/>
        <v>-52.801400000000285</v>
      </c>
      <c r="G841" s="6">
        <f ca="1">IF(B841="","",股指期货基差分析!$N$11)</f>
        <v>-71.408500000000458</v>
      </c>
      <c r="H841" s="6">
        <f ca="1">IF(B841="","",股指期货基差分析!$L$11)</f>
        <v>15.737900000000081</v>
      </c>
      <c r="I841" s="10">
        <f ca="1">IF(B841="","",股指期货基差分析!$D$11)</f>
        <v>-19.923978315132629</v>
      </c>
      <c r="L841" s="43"/>
      <c r="Q841" s="11"/>
    </row>
    <row r="842" spans="2:17" ht="15" customHeight="1" x14ac:dyDescent="0.2">
      <c r="B842" s="7">
        <v>44734</v>
      </c>
      <c r="C842" s="5">
        <f>IF(B842="","",[1]!s_dq_close(股指期货基差分析!$E$5,$B842))</f>
        <v>6179.57</v>
      </c>
      <c r="D842" s="5">
        <f>IF(B842="","",[1]!s_dq_close(股指期货基差分析!$E$6,$B842))</f>
        <v>6115.2</v>
      </c>
      <c r="E842" s="5">
        <f ca="1">RANK(F842,F:F)+COUNTIF(F$2:F842,F842)-1</f>
        <v>1185</v>
      </c>
      <c r="F842" s="5">
        <f t="shared" si="14"/>
        <v>-64.369999999999891</v>
      </c>
      <c r="G842" s="5">
        <f ca="1">IF(B842="","",股指期货基差分析!$N$11)</f>
        <v>-71.408500000000458</v>
      </c>
      <c r="H842" s="5">
        <f ca="1">IF(B842="","",股指期货基差分析!$L$11)</f>
        <v>15.737900000000081</v>
      </c>
      <c r="I842" s="9">
        <f ca="1">IF(B842="","",股指期货基差分析!$D$11)</f>
        <v>-19.923978315132629</v>
      </c>
      <c r="L842" s="43"/>
      <c r="Q842" s="11"/>
    </row>
    <row r="843" spans="2:17" ht="15" customHeight="1" x14ac:dyDescent="0.2">
      <c r="B843" s="8">
        <v>44735</v>
      </c>
      <c r="C843" s="6">
        <f>IF(B843="","",[1]!s_dq_close(股指期货基差分析!$E$5,$B843))</f>
        <v>6300.4745999999996</v>
      </c>
      <c r="D843" s="6">
        <f>IF(B843="","",[1]!s_dq_close(股指期货基差分析!$E$6,$B843))</f>
        <v>6273.2</v>
      </c>
      <c r="E843" s="6">
        <f ca="1">RANK(F843,F:F)+COUNTIF(F$2:F843,F843)-1</f>
        <v>849</v>
      </c>
      <c r="F843" s="6">
        <f t="shared" si="14"/>
        <v>-27.274599999999737</v>
      </c>
      <c r="G843" s="6">
        <f ca="1">IF(B843="","",股指期货基差分析!$N$11)</f>
        <v>-71.408500000000458</v>
      </c>
      <c r="H843" s="6">
        <f ca="1">IF(B843="","",股指期货基差分析!$L$11)</f>
        <v>15.737900000000081</v>
      </c>
      <c r="I843" s="10">
        <f ca="1">IF(B843="","",股指期货基差分析!$D$11)</f>
        <v>-19.923978315132629</v>
      </c>
      <c r="L843" s="43"/>
      <c r="Q843" s="11"/>
    </row>
    <row r="844" spans="2:17" ht="15" customHeight="1" x14ac:dyDescent="0.2">
      <c r="B844" s="7">
        <v>44736</v>
      </c>
      <c r="C844" s="5">
        <f>IF(B844="","",[1]!s_dq_close(股指期货基差分析!$E$5,$B844))</f>
        <v>6368.2826999999997</v>
      </c>
      <c r="D844" s="5">
        <f>IF(B844="","",[1]!s_dq_close(股指期货基差分析!$E$6,$B844))</f>
        <v>6348.6</v>
      </c>
      <c r="E844" s="5">
        <f ca="1">RANK(F844,F:F)+COUNTIF(F$2:F844,F844)-1</f>
        <v>745</v>
      </c>
      <c r="F844" s="5">
        <f t="shared" si="14"/>
        <v>-19.682699999999386</v>
      </c>
      <c r="G844" s="5">
        <f ca="1">IF(B844="","",股指期货基差分析!$N$11)</f>
        <v>-71.408500000000458</v>
      </c>
      <c r="H844" s="5">
        <f ca="1">IF(B844="","",股指期货基差分析!$L$11)</f>
        <v>15.737900000000081</v>
      </c>
      <c r="I844" s="9">
        <f ca="1">IF(B844="","",股指期货基差分析!$D$11)</f>
        <v>-19.923978315132629</v>
      </c>
      <c r="L844" s="43"/>
      <c r="Q844" s="11"/>
    </row>
    <row r="845" spans="2:17" ht="15" customHeight="1" x14ac:dyDescent="0.2">
      <c r="B845" s="8">
        <v>44739</v>
      </c>
      <c r="C845" s="6">
        <f>IF(B845="","",[1]!s_dq_close(股指期货基差分析!$E$5,$B845))</f>
        <v>6407.7447000000002</v>
      </c>
      <c r="D845" s="6">
        <f>IF(B845="","",[1]!s_dq_close(股指期货基差分析!$E$6,$B845))</f>
        <v>6363.6</v>
      </c>
      <c r="E845" s="6">
        <f ca="1">RANK(F845,F:F)+COUNTIF(F$2:F845,F845)-1</f>
        <v>1045</v>
      </c>
      <c r="F845" s="6">
        <f t="shared" si="14"/>
        <v>-44.14469999999983</v>
      </c>
      <c r="G845" s="6">
        <f ca="1">IF(B845="","",股指期货基差分析!$N$11)</f>
        <v>-71.408500000000458</v>
      </c>
      <c r="H845" s="6">
        <f ca="1">IF(B845="","",股指期货基差分析!$L$11)</f>
        <v>15.737900000000081</v>
      </c>
      <c r="I845" s="10">
        <f ca="1">IF(B845="","",股指期货基差分析!$D$11)</f>
        <v>-19.923978315132629</v>
      </c>
      <c r="L845" s="43"/>
      <c r="Q845" s="11"/>
    </row>
    <row r="846" spans="2:17" ht="15" customHeight="1" x14ac:dyDescent="0.2">
      <c r="B846" s="7">
        <v>44740</v>
      </c>
      <c r="C846" s="5">
        <f>IF(B846="","",[1]!s_dq_close(股指期货基差分析!$E$5,$B846))</f>
        <v>6501.3519999999999</v>
      </c>
      <c r="D846" s="5">
        <f>IF(B846="","",[1]!s_dq_close(股指期货基差分析!$E$6,$B846))</f>
        <v>6477</v>
      </c>
      <c r="E846" s="5">
        <f ca="1">RANK(F846,F:F)+COUNTIF(F$2:F846,F846)-1</f>
        <v>808</v>
      </c>
      <c r="F846" s="5">
        <f t="shared" si="14"/>
        <v>-24.351999999999862</v>
      </c>
      <c r="G846" s="5">
        <f ca="1">IF(B846="","",股指期货基差分析!$N$11)</f>
        <v>-71.408500000000458</v>
      </c>
      <c r="H846" s="5">
        <f ca="1">IF(B846="","",股指期货基差分析!$L$11)</f>
        <v>15.737900000000081</v>
      </c>
      <c r="I846" s="9">
        <f ca="1">IF(B846="","",股指期货基差分析!$D$11)</f>
        <v>-19.923978315132629</v>
      </c>
      <c r="L846" s="43"/>
      <c r="Q846" s="11"/>
    </row>
    <row r="847" spans="2:17" ht="15" customHeight="1" x14ac:dyDescent="0.2">
      <c r="B847" s="8">
        <v>44741</v>
      </c>
      <c r="C847" s="6">
        <f>IF(B847="","",[1]!s_dq_close(股指期货基差分析!$E$5,$B847))</f>
        <v>6374.2974000000004</v>
      </c>
      <c r="D847" s="6">
        <f>IF(B847="","",[1]!s_dq_close(股指期货基差分析!$E$6,$B847))</f>
        <v>6382.2</v>
      </c>
      <c r="E847" s="6">
        <f ca="1">RANK(F847,F:F)+COUNTIF(F$2:F847,F847)-1</f>
        <v>139</v>
      </c>
      <c r="F847" s="6">
        <f t="shared" si="14"/>
        <v>7.9025999999994383</v>
      </c>
      <c r="G847" s="6">
        <f ca="1">IF(B847="","",股指期货基差分析!$N$11)</f>
        <v>-71.408500000000458</v>
      </c>
      <c r="H847" s="6">
        <f ca="1">IF(B847="","",股指期货基差分析!$L$11)</f>
        <v>15.737900000000081</v>
      </c>
      <c r="I847" s="10">
        <f ca="1">IF(B847="","",股指期货基差分析!$D$11)</f>
        <v>-19.923978315132629</v>
      </c>
      <c r="L847" s="43"/>
      <c r="Q847" s="11"/>
    </row>
    <row r="848" spans="2:17" ht="15" customHeight="1" x14ac:dyDescent="0.2">
      <c r="B848" s="7">
        <v>44742</v>
      </c>
      <c r="C848" s="5">
        <f>IF(B848="","",[1]!s_dq_close(股指期货基差分析!$E$5,$B848))</f>
        <v>6454.0778</v>
      </c>
      <c r="D848" s="5">
        <f>IF(B848="","",[1]!s_dq_close(股指期货基差分析!$E$6,$B848))</f>
        <v>6425.8</v>
      </c>
      <c r="E848" s="5">
        <f ca="1">RANK(F848,F:F)+COUNTIF(F$2:F848,F848)-1</f>
        <v>866</v>
      </c>
      <c r="F848" s="5">
        <f t="shared" si="14"/>
        <v>-28.277799999999843</v>
      </c>
      <c r="G848" s="5">
        <f ca="1">IF(B848="","",股指期货基差分析!$N$11)</f>
        <v>-71.408500000000458</v>
      </c>
      <c r="H848" s="5">
        <f ca="1">IF(B848="","",股指期货基差分析!$L$11)</f>
        <v>15.737900000000081</v>
      </c>
      <c r="I848" s="9">
        <f ca="1">IF(B848="","",股指期货基差分析!$D$11)</f>
        <v>-19.923978315132629</v>
      </c>
      <c r="L848" s="43"/>
      <c r="Q848" s="11"/>
    </row>
    <row r="849" spans="2:17" ht="15" customHeight="1" x14ac:dyDescent="0.2">
      <c r="B849" s="8">
        <v>44743</v>
      </c>
      <c r="C849" s="6">
        <f>IF(B849="","",[1]!s_dq_close(股指期货基差分析!$E$5,$B849))</f>
        <v>6438.5375000000004</v>
      </c>
      <c r="D849" s="6">
        <f>IF(B849="","",[1]!s_dq_close(股指期货基差分析!$E$6,$B849))</f>
        <v>6413.2</v>
      </c>
      <c r="E849" s="6">
        <f ca="1">RANK(F849,F:F)+COUNTIF(F$2:F849,F849)-1</f>
        <v>822</v>
      </c>
      <c r="F849" s="6">
        <f t="shared" si="14"/>
        <v>-25.337500000000546</v>
      </c>
      <c r="G849" s="6">
        <f ca="1">IF(B849="","",股指期货基差分析!$N$11)</f>
        <v>-71.408500000000458</v>
      </c>
      <c r="H849" s="6">
        <f ca="1">IF(B849="","",股指期货基差分析!$L$11)</f>
        <v>15.737900000000081</v>
      </c>
      <c r="I849" s="10">
        <f ca="1">IF(B849="","",股指期货基差分析!$D$11)</f>
        <v>-19.923978315132629</v>
      </c>
      <c r="L849" s="43"/>
      <c r="Q849" s="11"/>
    </row>
    <row r="850" spans="2:17" ht="15" customHeight="1" x14ac:dyDescent="0.2">
      <c r="B850" s="7">
        <v>44746</v>
      </c>
      <c r="C850" s="5">
        <f>IF(B850="","",[1]!s_dq_close(股指期货基差分析!$E$5,$B850))</f>
        <v>6523.1310999999996</v>
      </c>
      <c r="D850" s="5">
        <f>IF(B850="","",[1]!s_dq_close(股指期货基差分析!$E$6,$B850))</f>
        <v>6491.8</v>
      </c>
      <c r="E850" s="5">
        <f ca="1">RANK(F850,F:F)+COUNTIF(F$2:F850,F850)-1</f>
        <v>907</v>
      </c>
      <c r="F850" s="5">
        <f t="shared" si="14"/>
        <v>-31.331099999999424</v>
      </c>
      <c r="G850" s="5">
        <f ca="1">IF(B850="","",股指期货基差分析!$N$11)</f>
        <v>-71.408500000000458</v>
      </c>
      <c r="H850" s="5">
        <f ca="1">IF(B850="","",股指期货基差分析!$L$11)</f>
        <v>15.737900000000081</v>
      </c>
      <c r="I850" s="9">
        <f ca="1">IF(B850="","",股指期货基差分析!$D$11)</f>
        <v>-19.923978315132629</v>
      </c>
      <c r="L850" s="43"/>
      <c r="Q850" s="11"/>
    </row>
    <row r="851" spans="2:17" ht="15" customHeight="1" x14ac:dyDescent="0.2">
      <c r="B851" s="8">
        <v>44747</v>
      </c>
      <c r="C851" s="6">
        <f>IF(B851="","",[1]!s_dq_close(股指期货基差分析!$E$5,$B851))</f>
        <v>6511.5297</v>
      </c>
      <c r="D851" s="6">
        <f>IF(B851="","",[1]!s_dq_close(股指期货基差分析!$E$6,$B851))</f>
        <v>6476.4</v>
      </c>
      <c r="E851" s="6">
        <f ca="1">RANK(F851,F:F)+COUNTIF(F$2:F851,F851)-1</f>
        <v>959</v>
      </c>
      <c r="F851" s="6">
        <f t="shared" si="14"/>
        <v>-35.129700000000412</v>
      </c>
      <c r="G851" s="6">
        <f ca="1">IF(B851="","",股指期货基差分析!$N$11)</f>
        <v>-71.408500000000458</v>
      </c>
      <c r="H851" s="6">
        <f ca="1">IF(B851="","",股指期货基差分析!$L$11)</f>
        <v>15.737900000000081</v>
      </c>
      <c r="I851" s="10">
        <f ca="1">IF(B851="","",股指期货基差分析!$D$11)</f>
        <v>-19.923978315132629</v>
      </c>
      <c r="L851" s="43"/>
      <c r="Q851" s="11"/>
    </row>
    <row r="852" spans="2:17" ht="15" customHeight="1" x14ac:dyDescent="0.2">
      <c r="B852" s="7">
        <v>44748</v>
      </c>
      <c r="C852" s="5">
        <f>IF(B852="","",[1]!s_dq_close(股指期货基差分析!$E$5,$B852))</f>
        <v>6418.5452999999998</v>
      </c>
      <c r="D852" s="5">
        <f>IF(B852="","",[1]!s_dq_close(股指期货基差分析!$E$6,$B852))</f>
        <v>6401.6</v>
      </c>
      <c r="E852" s="5">
        <f ca="1">RANK(F852,F:F)+COUNTIF(F$2:F852,F852)-1</f>
        <v>696</v>
      </c>
      <c r="F852" s="5">
        <f t="shared" si="14"/>
        <v>-16.945299999999406</v>
      </c>
      <c r="G852" s="5">
        <f ca="1">IF(B852="","",股指期货基差分析!$N$11)</f>
        <v>-71.408500000000458</v>
      </c>
      <c r="H852" s="5">
        <f ca="1">IF(B852="","",股指期货基差分析!$L$11)</f>
        <v>15.737900000000081</v>
      </c>
      <c r="I852" s="9">
        <f ca="1">IF(B852="","",股指期货基差分析!$D$11)</f>
        <v>-19.923978315132629</v>
      </c>
      <c r="L852" s="43"/>
      <c r="Q852" s="11"/>
    </row>
    <row r="853" spans="2:17" ht="15" customHeight="1" x14ac:dyDescent="0.2">
      <c r="B853" s="8">
        <v>44749</v>
      </c>
      <c r="C853" s="6">
        <f>IF(B853="","",[1]!s_dq_close(股指期货基差分析!$E$5,$B853))</f>
        <v>6452.9862999999996</v>
      </c>
      <c r="D853" s="6">
        <f>IF(B853="","",[1]!s_dq_close(股指期货基差分析!$E$6,$B853))</f>
        <v>6421.6</v>
      </c>
      <c r="E853" s="6">
        <f ca="1">RANK(F853,F:F)+COUNTIF(F$2:F853,F853)-1</f>
        <v>909</v>
      </c>
      <c r="F853" s="6">
        <f t="shared" si="14"/>
        <v>-31.38629999999921</v>
      </c>
      <c r="G853" s="6">
        <f ca="1">IF(B853="","",股指期货基差分析!$N$11)</f>
        <v>-71.408500000000458</v>
      </c>
      <c r="H853" s="6">
        <f ca="1">IF(B853="","",股指期货基差分析!$L$11)</f>
        <v>15.737900000000081</v>
      </c>
      <c r="I853" s="10">
        <f ca="1">IF(B853="","",股指期货基差分析!$D$11)</f>
        <v>-19.923978315132629</v>
      </c>
      <c r="L853" s="43"/>
      <c r="Q853" s="11"/>
    </row>
    <row r="854" spans="2:17" ht="15" customHeight="1" x14ac:dyDescent="0.2">
      <c r="B854" s="7">
        <v>44750</v>
      </c>
      <c r="C854" s="5">
        <f>IF(B854="","",[1]!s_dq_close(股指期货基差分析!$E$5,$B854))</f>
        <v>6404.4393</v>
      </c>
      <c r="D854" s="5">
        <f>IF(B854="","",[1]!s_dq_close(股指期货基差分析!$E$6,$B854))</f>
        <v>6383.2</v>
      </c>
      <c r="E854" s="5">
        <f ca="1">RANK(F854,F:F)+COUNTIF(F$2:F854,F854)-1</f>
        <v>768</v>
      </c>
      <c r="F854" s="5">
        <f t="shared" si="14"/>
        <v>-21.239300000000185</v>
      </c>
      <c r="G854" s="5">
        <f ca="1">IF(B854="","",股指期货基差分析!$N$11)</f>
        <v>-71.408500000000458</v>
      </c>
      <c r="H854" s="5">
        <f ca="1">IF(B854="","",股指期货基差分析!$L$11)</f>
        <v>15.737900000000081</v>
      </c>
      <c r="I854" s="9">
        <f ca="1">IF(B854="","",股指期货基差分析!$D$11)</f>
        <v>-19.923978315132629</v>
      </c>
      <c r="L854" s="43"/>
      <c r="Q854" s="11"/>
    </row>
    <row r="855" spans="2:17" ht="15" customHeight="1" x14ac:dyDescent="0.2">
      <c r="B855" s="8">
        <v>44753</v>
      </c>
      <c r="C855" s="6">
        <f>IF(B855="","",[1]!s_dq_close(股指期货基差分析!$E$5,$B855))</f>
        <v>6319.1401999999998</v>
      </c>
      <c r="D855" s="6">
        <f>IF(B855="","",[1]!s_dq_close(股指期货基差分析!$E$6,$B855))</f>
        <v>6303.8</v>
      </c>
      <c r="E855" s="6">
        <f ca="1">RANK(F855,F:F)+COUNTIF(F$2:F855,F855)-1</f>
        <v>667</v>
      </c>
      <c r="F855" s="6">
        <f t="shared" si="14"/>
        <v>-15.340199999999641</v>
      </c>
      <c r="G855" s="6">
        <f ca="1">IF(B855="","",股指期货基差分析!$N$11)</f>
        <v>-71.408500000000458</v>
      </c>
      <c r="H855" s="6">
        <f ca="1">IF(B855="","",股指期货基差分析!$L$11)</f>
        <v>15.737900000000081</v>
      </c>
      <c r="I855" s="10">
        <f ca="1">IF(B855="","",股指期货基差分析!$D$11)</f>
        <v>-19.923978315132629</v>
      </c>
      <c r="L855" s="43"/>
      <c r="Q855" s="11"/>
    </row>
    <row r="856" spans="2:17" ht="15" customHeight="1" x14ac:dyDescent="0.2">
      <c r="B856" s="7">
        <v>44754</v>
      </c>
      <c r="C856" s="5">
        <f>IF(B856="","",[1]!s_dq_close(股指期货基差分析!$E$5,$B856))</f>
        <v>6241.4793</v>
      </c>
      <c r="D856" s="5">
        <f>IF(B856="","",[1]!s_dq_close(股指期货基差分析!$E$6,$B856))</f>
        <v>6225.6</v>
      </c>
      <c r="E856" s="5">
        <f ca="1">RANK(F856,F:F)+COUNTIF(F$2:F856,F856)-1</f>
        <v>676</v>
      </c>
      <c r="F856" s="5">
        <f t="shared" si="14"/>
        <v>-15.879299999999603</v>
      </c>
      <c r="G856" s="5">
        <f ca="1">IF(B856="","",股指期货基差分析!$N$11)</f>
        <v>-71.408500000000458</v>
      </c>
      <c r="H856" s="5">
        <f ca="1">IF(B856="","",股指期货基差分析!$L$11)</f>
        <v>15.737900000000081</v>
      </c>
      <c r="I856" s="9">
        <f ca="1">IF(B856="","",股指期货基差分析!$D$11)</f>
        <v>-19.923978315132629</v>
      </c>
      <c r="L856" s="43"/>
      <c r="Q856" s="11"/>
    </row>
    <row r="857" spans="2:17" ht="15" customHeight="1" x14ac:dyDescent="0.2">
      <c r="B857" s="8">
        <v>44755</v>
      </c>
      <c r="C857" s="6">
        <f>IF(B857="","",[1]!s_dq_close(股指期货基差分析!$E$5,$B857))</f>
        <v>6268.4943000000003</v>
      </c>
      <c r="D857" s="6">
        <f>IF(B857="","",[1]!s_dq_close(股指期货基差分析!$E$6,$B857))</f>
        <v>6240.2</v>
      </c>
      <c r="E857" s="6">
        <f ca="1">RANK(F857,F:F)+COUNTIF(F$2:F857,F857)-1</f>
        <v>867</v>
      </c>
      <c r="F857" s="6">
        <f t="shared" si="14"/>
        <v>-28.294300000000476</v>
      </c>
      <c r="G857" s="6">
        <f ca="1">IF(B857="","",股指期货基差分析!$N$11)</f>
        <v>-71.408500000000458</v>
      </c>
      <c r="H857" s="6">
        <f ca="1">IF(B857="","",股指期货基差分析!$L$11)</f>
        <v>15.737900000000081</v>
      </c>
      <c r="I857" s="10">
        <f ca="1">IF(B857="","",股指期货基差分析!$D$11)</f>
        <v>-19.923978315132629</v>
      </c>
      <c r="L857" s="43"/>
      <c r="Q857" s="11"/>
    </row>
    <row r="858" spans="2:17" ht="15" customHeight="1" x14ac:dyDescent="0.2">
      <c r="B858" s="7">
        <v>44756</v>
      </c>
      <c r="C858" s="5">
        <f>IF(B858="","",[1]!s_dq_close(股指期货基差分析!$E$5,$B858))</f>
        <v>6302.4318999999996</v>
      </c>
      <c r="D858" s="5">
        <f>IF(B858="","",[1]!s_dq_close(股指期货基差分析!$E$6,$B858))</f>
        <v>6302.8</v>
      </c>
      <c r="E858" s="5">
        <f ca="1">RANK(F858,F:F)+COUNTIF(F$2:F858,F858)-1</f>
        <v>283</v>
      </c>
      <c r="F858" s="5">
        <f t="shared" si="14"/>
        <v>0.36810000000059517</v>
      </c>
      <c r="G858" s="5">
        <f ca="1">IF(B858="","",股指期货基差分析!$N$11)</f>
        <v>-71.408500000000458</v>
      </c>
      <c r="H858" s="5">
        <f ca="1">IF(B858="","",股指期货基差分析!$L$11)</f>
        <v>15.737900000000081</v>
      </c>
      <c r="I858" s="9">
        <f ca="1">IF(B858="","",股指期货基差分析!$D$11)</f>
        <v>-19.923978315132629</v>
      </c>
      <c r="L858" s="43"/>
      <c r="Q858" s="11"/>
    </row>
    <row r="859" spans="2:17" ht="15" customHeight="1" x14ac:dyDescent="0.2">
      <c r="B859" s="8">
        <v>44757</v>
      </c>
      <c r="C859" s="6">
        <f>IF(B859="","",[1]!s_dq_close(股指期货基差分析!$E$5,$B859))</f>
        <v>6196.7999</v>
      </c>
      <c r="D859" s="6">
        <f>IF(B859="","",[1]!s_dq_close(股指期货基差分析!$E$6,$B859))</f>
        <v>6253</v>
      </c>
      <c r="E859" s="6">
        <f ca="1">RANK(F859,F:F)+COUNTIF(F$2:F859,F859)-1</f>
        <v>2</v>
      </c>
      <c r="F859" s="6">
        <f t="shared" si="14"/>
        <v>56.20010000000002</v>
      </c>
      <c r="G859" s="6">
        <f ca="1">IF(B859="","",股指期货基差分析!$N$11)</f>
        <v>-71.408500000000458</v>
      </c>
      <c r="H859" s="6">
        <f ca="1">IF(B859="","",股指期货基差分析!$L$11)</f>
        <v>15.737900000000081</v>
      </c>
      <c r="I859" s="10">
        <f ca="1">IF(B859="","",股指期货基差分析!$D$11)</f>
        <v>-19.923978315132629</v>
      </c>
      <c r="L859" s="43"/>
      <c r="Q859" s="11"/>
    </row>
    <row r="860" spans="2:17" ht="15" customHeight="1" x14ac:dyDescent="0.2">
      <c r="B860" s="7">
        <v>44760</v>
      </c>
      <c r="C860" s="5">
        <f>IF(B860="","",[1]!s_dq_close(股指期货基差分析!$E$5,$B860))</f>
        <v>6312.3557000000001</v>
      </c>
      <c r="D860" s="5">
        <f>IF(B860="","",[1]!s_dq_close(股指期货基差分析!$E$6,$B860))</f>
        <v>6270</v>
      </c>
      <c r="E860" s="5">
        <f ca="1">RANK(F860,F:F)+COUNTIF(F$2:F860,F860)-1</f>
        <v>1021</v>
      </c>
      <c r="F860" s="5">
        <f t="shared" si="14"/>
        <v>-42.35570000000007</v>
      </c>
      <c r="G860" s="5">
        <f ca="1">IF(B860="","",股指期货基差分析!$N$11)</f>
        <v>-71.408500000000458</v>
      </c>
      <c r="H860" s="5">
        <f ca="1">IF(B860="","",股指期货基差分析!$L$11)</f>
        <v>15.737900000000081</v>
      </c>
      <c r="I860" s="9">
        <f ca="1">IF(B860="","",股指期货基差分析!$D$11)</f>
        <v>-19.923978315132629</v>
      </c>
      <c r="L860" s="43"/>
      <c r="Q860" s="11"/>
    </row>
    <row r="861" spans="2:17" ht="15" customHeight="1" x14ac:dyDescent="0.2">
      <c r="B861" s="8">
        <v>44761</v>
      </c>
      <c r="C861" s="6">
        <f>IF(B861="","",[1]!s_dq_close(股指期货基差分析!$E$5,$B861))</f>
        <v>6335.7093000000004</v>
      </c>
      <c r="D861" s="6">
        <f>IF(B861="","",[1]!s_dq_close(股指期货基差分析!$E$6,$B861))</f>
        <v>6287.4</v>
      </c>
      <c r="E861" s="6">
        <f ca="1">RANK(F861,F:F)+COUNTIF(F$2:F861,F861)-1</f>
        <v>1087</v>
      </c>
      <c r="F861" s="6">
        <f t="shared" si="14"/>
        <v>-48.309300000000803</v>
      </c>
      <c r="G861" s="6">
        <f ca="1">IF(B861="","",股指期货基差分析!$N$11)</f>
        <v>-71.408500000000458</v>
      </c>
      <c r="H861" s="6">
        <f ca="1">IF(B861="","",股指期货基差分析!$L$11)</f>
        <v>15.737900000000081</v>
      </c>
      <c r="I861" s="10">
        <f ca="1">IF(B861="","",股指期货基差分析!$D$11)</f>
        <v>-19.923978315132629</v>
      </c>
      <c r="L861" s="43"/>
      <c r="Q861" s="11"/>
    </row>
    <row r="862" spans="2:17" ht="15" customHeight="1" x14ac:dyDescent="0.2">
      <c r="B862" s="7">
        <v>44762</v>
      </c>
      <c r="C862" s="5">
        <f>IF(B862="","",[1]!s_dq_close(股指期货基差分析!$E$5,$B862))</f>
        <v>6410.7088000000003</v>
      </c>
      <c r="D862" s="5">
        <f>IF(B862="","",[1]!s_dq_close(股指期货基差分析!$E$6,$B862))</f>
        <v>6373</v>
      </c>
      <c r="E862" s="5">
        <f ca="1">RANK(F862,F:F)+COUNTIF(F$2:F862,F862)-1</f>
        <v>982</v>
      </c>
      <c r="F862" s="5">
        <f t="shared" si="14"/>
        <v>-37.708800000000338</v>
      </c>
      <c r="G862" s="5">
        <f ca="1">IF(B862="","",股指期货基差分析!$N$11)</f>
        <v>-71.408500000000458</v>
      </c>
      <c r="H862" s="5">
        <f ca="1">IF(B862="","",股指期货基差分析!$L$11)</f>
        <v>15.737900000000081</v>
      </c>
      <c r="I862" s="9">
        <f ca="1">IF(B862="","",股指期货基差分析!$D$11)</f>
        <v>-19.923978315132629</v>
      </c>
      <c r="L862" s="43"/>
      <c r="Q862" s="11"/>
    </row>
    <row r="863" spans="2:17" ht="15" customHeight="1" x14ac:dyDescent="0.2">
      <c r="B863" s="8">
        <v>44763</v>
      </c>
      <c r="C863" s="6">
        <f>IF(B863="","",[1]!s_dq_close(股指期货基差分析!$E$5,$B863))</f>
        <v>6347.5983999999999</v>
      </c>
      <c r="D863" s="6">
        <f>IF(B863="","",[1]!s_dq_close(股指期货基差分析!$E$6,$B863))</f>
        <v>6310.2</v>
      </c>
      <c r="E863" s="6">
        <f ca="1">RANK(F863,F:F)+COUNTIF(F$2:F863,F863)-1</f>
        <v>980</v>
      </c>
      <c r="F863" s="6">
        <f t="shared" si="14"/>
        <v>-37.398400000000038</v>
      </c>
      <c r="G863" s="6">
        <f ca="1">IF(B863="","",股指期货基差分析!$N$11)</f>
        <v>-71.408500000000458</v>
      </c>
      <c r="H863" s="6">
        <f ca="1">IF(B863="","",股指期货基差分析!$L$11)</f>
        <v>15.737900000000081</v>
      </c>
      <c r="I863" s="10">
        <f ca="1">IF(B863="","",股指期货基差分析!$D$11)</f>
        <v>-19.923978315132629</v>
      </c>
      <c r="L863" s="43"/>
      <c r="Q863" s="11"/>
    </row>
    <row r="864" spans="2:17" ht="15" customHeight="1" x14ac:dyDescent="0.2">
      <c r="B864" s="7">
        <v>44764</v>
      </c>
      <c r="C864" s="5">
        <f>IF(B864="","",[1]!s_dq_close(股指期货基差分析!$E$5,$B864))</f>
        <v>6289.5325000000003</v>
      </c>
      <c r="D864" s="5">
        <f>IF(B864="","",[1]!s_dq_close(股指期货基差分析!$E$6,$B864))</f>
        <v>6244.8</v>
      </c>
      <c r="E864" s="5">
        <f ca="1">RANK(F864,F:F)+COUNTIF(F$2:F864,F864)-1</f>
        <v>1054</v>
      </c>
      <c r="F864" s="5">
        <f t="shared" si="14"/>
        <v>-44.732500000000073</v>
      </c>
      <c r="G864" s="5">
        <f ca="1">IF(B864="","",股指期货基差分析!$N$11)</f>
        <v>-71.408500000000458</v>
      </c>
      <c r="H864" s="5">
        <f ca="1">IF(B864="","",股指期货基差分析!$L$11)</f>
        <v>15.737900000000081</v>
      </c>
      <c r="I864" s="9">
        <f ca="1">IF(B864="","",股指期货基差分析!$D$11)</f>
        <v>-19.923978315132629</v>
      </c>
      <c r="L864" s="43"/>
      <c r="Q864" s="11"/>
    </row>
    <row r="865" spans="2:17" ht="15" customHeight="1" x14ac:dyDescent="0.2">
      <c r="B865" s="8">
        <v>44767</v>
      </c>
      <c r="C865" s="6">
        <f>IF(B865="","",[1]!s_dq_close(股指期货基差分析!$E$5,$B865))</f>
        <v>6231.2354999999998</v>
      </c>
      <c r="D865" s="6">
        <f>IF(B865="","",[1]!s_dq_close(股指期货基差分析!$E$6,$B865))</f>
        <v>6173.6</v>
      </c>
      <c r="E865" s="6">
        <f ca="1">RANK(F865,F:F)+COUNTIF(F$2:F865,F865)-1</f>
        <v>1148</v>
      </c>
      <c r="F865" s="6">
        <f t="shared" si="14"/>
        <v>-57.635499999999411</v>
      </c>
      <c r="G865" s="6">
        <f ca="1">IF(B865="","",股指期货基差分析!$N$11)</f>
        <v>-71.408500000000458</v>
      </c>
      <c r="H865" s="6">
        <f ca="1">IF(B865="","",股指期货基差分析!$L$11)</f>
        <v>15.737900000000081</v>
      </c>
      <c r="I865" s="10">
        <f ca="1">IF(B865="","",股指期货基差分析!$D$11)</f>
        <v>-19.923978315132629</v>
      </c>
      <c r="L865" s="43"/>
      <c r="Q865" s="11"/>
    </row>
    <row r="866" spans="2:17" ht="15" customHeight="1" x14ac:dyDescent="0.2">
      <c r="B866" s="7">
        <v>44768</v>
      </c>
      <c r="C866" s="5">
        <f>IF(B866="","",[1]!s_dq_close(股指期货基差分析!$E$5,$B866))</f>
        <v>6307.9560000000001</v>
      </c>
      <c r="D866" s="5">
        <f>IF(B866="","",[1]!s_dq_close(股指期货基差分析!$E$6,$B866))</f>
        <v>6273.4</v>
      </c>
      <c r="E866" s="5">
        <f ca="1">RANK(F866,F:F)+COUNTIF(F$2:F866,F866)-1</f>
        <v>949</v>
      </c>
      <c r="F866" s="5">
        <f t="shared" si="14"/>
        <v>-34.556000000000495</v>
      </c>
      <c r="G866" s="5">
        <f ca="1">IF(B866="","",股指期货基差分析!$N$11)</f>
        <v>-71.408500000000458</v>
      </c>
      <c r="H866" s="5">
        <f ca="1">IF(B866="","",股指期货基差分析!$L$11)</f>
        <v>15.737900000000081</v>
      </c>
      <c r="I866" s="9">
        <f ca="1">IF(B866="","",股指期货基差分析!$D$11)</f>
        <v>-19.923978315132629</v>
      </c>
      <c r="L866" s="43"/>
      <c r="Q866" s="11"/>
    </row>
    <row r="867" spans="2:17" ht="15" customHeight="1" x14ac:dyDescent="0.2">
      <c r="B867" s="8">
        <v>44769</v>
      </c>
      <c r="C867" s="6">
        <f>IF(B867="","",[1]!s_dq_close(股指期货基差分析!$E$5,$B867))</f>
        <v>6332.2326999999996</v>
      </c>
      <c r="D867" s="6">
        <f>IF(B867="","",[1]!s_dq_close(股指期货基差分析!$E$6,$B867))</f>
        <v>6298</v>
      </c>
      <c r="E867" s="6">
        <f ca="1">RANK(F867,F:F)+COUNTIF(F$2:F867,F867)-1</f>
        <v>941</v>
      </c>
      <c r="F867" s="6">
        <f t="shared" si="14"/>
        <v>-34.232699999999568</v>
      </c>
      <c r="G867" s="6">
        <f ca="1">IF(B867="","",股指期货基差分析!$N$11)</f>
        <v>-71.408500000000458</v>
      </c>
      <c r="H867" s="6">
        <f ca="1">IF(B867="","",股指期货基差分析!$L$11)</f>
        <v>15.737900000000081</v>
      </c>
      <c r="I867" s="10">
        <f ca="1">IF(B867="","",股指期货基差分析!$D$11)</f>
        <v>-19.923978315132629</v>
      </c>
      <c r="L867" s="43"/>
      <c r="Q867" s="11"/>
    </row>
    <row r="868" spans="2:17" ht="15" customHeight="1" x14ac:dyDescent="0.2">
      <c r="B868" s="7">
        <v>44770</v>
      </c>
      <c r="C868" s="5">
        <f>IF(B868="","",[1]!s_dq_close(股指期货基差分析!$E$5,$B868))</f>
        <v>6348.1655000000001</v>
      </c>
      <c r="D868" s="5">
        <f>IF(B868="","",[1]!s_dq_close(股指期货基差分析!$E$6,$B868))</f>
        <v>6305.6</v>
      </c>
      <c r="E868" s="5">
        <f ca="1">RANK(F868,F:F)+COUNTIF(F$2:F868,F868)-1</f>
        <v>1024</v>
      </c>
      <c r="F868" s="5">
        <f t="shared" si="14"/>
        <v>-42.565499999999702</v>
      </c>
      <c r="G868" s="5">
        <f ca="1">IF(B868="","",股指期货基差分析!$N$11)</f>
        <v>-71.408500000000458</v>
      </c>
      <c r="H868" s="5">
        <f ca="1">IF(B868="","",股指期货基差分析!$L$11)</f>
        <v>15.737900000000081</v>
      </c>
      <c r="I868" s="9">
        <f ca="1">IF(B868="","",股指期货基差分析!$D$11)</f>
        <v>-19.923978315132629</v>
      </c>
      <c r="L868" s="43"/>
      <c r="Q868" s="11"/>
    </row>
    <row r="869" spans="2:17" ht="15" customHeight="1" x14ac:dyDescent="0.2">
      <c r="B869" s="8">
        <v>44771</v>
      </c>
      <c r="C869" s="6">
        <f>IF(B869="","",[1]!s_dq_close(股指期货基差分析!$E$5,$B869))</f>
        <v>6294.1144000000004</v>
      </c>
      <c r="D869" s="6">
        <f>IF(B869="","",[1]!s_dq_close(股指期货基差分析!$E$6,$B869))</f>
        <v>6255.2</v>
      </c>
      <c r="E869" s="6">
        <f ca="1">RANK(F869,F:F)+COUNTIF(F$2:F869,F869)-1</f>
        <v>995</v>
      </c>
      <c r="F869" s="6">
        <f t="shared" si="14"/>
        <v>-38.914400000000569</v>
      </c>
      <c r="G869" s="6">
        <f ca="1">IF(B869="","",股指期货基差分析!$N$11)</f>
        <v>-71.408500000000458</v>
      </c>
      <c r="H869" s="6">
        <f ca="1">IF(B869="","",股指期货基差分析!$L$11)</f>
        <v>15.737900000000081</v>
      </c>
      <c r="I869" s="10">
        <f ca="1">IF(B869="","",股指期货基差分析!$D$11)</f>
        <v>-19.923978315132629</v>
      </c>
      <c r="L869" s="43"/>
      <c r="Q869" s="11"/>
    </row>
    <row r="870" spans="2:17" ht="15" customHeight="1" x14ac:dyDescent="0.2">
      <c r="B870" s="7">
        <v>44774</v>
      </c>
      <c r="C870" s="5">
        <f>IF(B870="","",[1]!s_dq_close(股指期货基差分析!$E$5,$B870))</f>
        <v>6347.2210999999998</v>
      </c>
      <c r="D870" s="5">
        <f>IF(B870="","",[1]!s_dq_close(股指期货基差分析!$E$6,$B870))</f>
        <v>6311.4</v>
      </c>
      <c r="E870" s="5">
        <f ca="1">RANK(F870,F:F)+COUNTIF(F$2:F870,F870)-1</f>
        <v>967</v>
      </c>
      <c r="F870" s="5">
        <f t="shared" si="14"/>
        <v>-35.821100000000115</v>
      </c>
      <c r="G870" s="5">
        <f ca="1">IF(B870="","",股指期货基差分析!$N$11)</f>
        <v>-71.408500000000458</v>
      </c>
      <c r="H870" s="5">
        <f ca="1">IF(B870="","",股指期货基差分析!$L$11)</f>
        <v>15.737900000000081</v>
      </c>
      <c r="I870" s="9">
        <f ca="1">IF(B870="","",股指期货基差分析!$D$11)</f>
        <v>-19.923978315132629</v>
      </c>
      <c r="L870" s="43"/>
      <c r="Q870" s="11"/>
    </row>
    <row r="871" spans="2:17" ht="15" customHeight="1" x14ac:dyDescent="0.2">
      <c r="B871" s="8">
        <v>44775</v>
      </c>
      <c r="C871" s="6">
        <f>IF(B871="","",[1]!s_dq_close(股指期货基差分析!$E$5,$B871))</f>
        <v>6169.9961000000003</v>
      </c>
      <c r="D871" s="6">
        <f>IF(B871="","",[1]!s_dq_close(股指期货基差分析!$E$6,$B871))</f>
        <v>6167.4</v>
      </c>
      <c r="E871" s="6">
        <f ca="1">RANK(F871,F:F)+COUNTIF(F$2:F871,F871)-1</f>
        <v>361</v>
      </c>
      <c r="F871" s="6">
        <f t="shared" si="14"/>
        <v>-2.5961000000006607</v>
      </c>
      <c r="G871" s="6">
        <f ca="1">IF(B871="","",股指期货基差分析!$N$11)</f>
        <v>-71.408500000000458</v>
      </c>
      <c r="H871" s="6">
        <f ca="1">IF(B871="","",股指期货基差分析!$L$11)</f>
        <v>15.737900000000081</v>
      </c>
      <c r="I871" s="10">
        <f ca="1">IF(B871="","",股指期货基差分析!$D$11)</f>
        <v>-19.923978315132629</v>
      </c>
      <c r="L871" s="43"/>
      <c r="Q871" s="11"/>
    </row>
    <row r="872" spans="2:17" ht="15" customHeight="1" x14ac:dyDescent="0.2">
      <c r="B872" s="7">
        <v>44776</v>
      </c>
      <c r="C872" s="5">
        <f>IF(B872="","",[1]!s_dq_close(股指期货基差分析!$E$5,$B872))</f>
        <v>6124.3145999999997</v>
      </c>
      <c r="D872" s="5">
        <f>IF(B872="","",[1]!s_dq_close(股指期货基差分析!$E$6,$B872))</f>
        <v>6102.6</v>
      </c>
      <c r="E872" s="5">
        <f ca="1">RANK(F872,F:F)+COUNTIF(F$2:F872,F872)-1</f>
        <v>779</v>
      </c>
      <c r="F872" s="5">
        <f t="shared" si="14"/>
        <v>-21.714599999999336</v>
      </c>
      <c r="G872" s="5">
        <f ca="1">IF(B872="","",股指期货基差分析!$N$11)</f>
        <v>-71.408500000000458</v>
      </c>
      <c r="H872" s="5">
        <f ca="1">IF(B872="","",股指期货基差分析!$L$11)</f>
        <v>15.737900000000081</v>
      </c>
      <c r="I872" s="9">
        <f ca="1">IF(B872="","",股指期货基差分析!$D$11)</f>
        <v>-19.923978315132629</v>
      </c>
      <c r="L872" s="43"/>
      <c r="Q872" s="11"/>
    </row>
    <row r="873" spans="2:17" ht="15" customHeight="1" x14ac:dyDescent="0.2">
      <c r="B873" s="8">
        <v>44777</v>
      </c>
      <c r="C873" s="6">
        <f>IF(B873="","",[1]!s_dq_close(股指期货基差分析!$E$5,$B873))</f>
        <v>6158.7345999999998</v>
      </c>
      <c r="D873" s="6">
        <f>IF(B873="","",[1]!s_dq_close(股指期货基差分析!$E$6,$B873))</f>
        <v>6124.4</v>
      </c>
      <c r="E873" s="6">
        <f ca="1">RANK(F873,F:F)+COUNTIF(F$2:F873,F873)-1</f>
        <v>944</v>
      </c>
      <c r="F873" s="6">
        <f t="shared" si="14"/>
        <v>-34.334600000000137</v>
      </c>
      <c r="G873" s="6">
        <f ca="1">IF(B873="","",股指期货基差分析!$N$11)</f>
        <v>-71.408500000000458</v>
      </c>
      <c r="H873" s="6">
        <f ca="1">IF(B873="","",股指期货基差分析!$L$11)</f>
        <v>15.737900000000081</v>
      </c>
      <c r="I873" s="10">
        <f ca="1">IF(B873="","",股指期货基差分析!$D$11)</f>
        <v>-19.923978315132629</v>
      </c>
      <c r="L873" s="43"/>
      <c r="Q873" s="11"/>
    </row>
    <row r="874" spans="2:17" ht="15" customHeight="1" x14ac:dyDescent="0.2">
      <c r="B874" s="7">
        <v>44778</v>
      </c>
      <c r="C874" s="5">
        <f>IF(B874="","",[1]!s_dq_close(股指期货基差分析!$E$5,$B874))</f>
        <v>6270.5113000000001</v>
      </c>
      <c r="D874" s="5">
        <f>IF(B874="","",[1]!s_dq_close(股指期货基差分析!$E$6,$B874))</f>
        <v>6258</v>
      </c>
      <c r="E874" s="5">
        <f ca="1">RANK(F874,F:F)+COUNTIF(F$2:F874,F874)-1</f>
        <v>605</v>
      </c>
      <c r="F874" s="5">
        <f t="shared" si="14"/>
        <v>-12.511300000000119</v>
      </c>
      <c r="G874" s="5">
        <f ca="1">IF(B874="","",股指期货基差分析!$N$11)</f>
        <v>-71.408500000000458</v>
      </c>
      <c r="H874" s="5">
        <f ca="1">IF(B874="","",股指期货基差分析!$L$11)</f>
        <v>15.737900000000081</v>
      </c>
      <c r="I874" s="9">
        <f ca="1">IF(B874="","",股指期货基差分析!$D$11)</f>
        <v>-19.923978315132629</v>
      </c>
      <c r="L874" s="43"/>
      <c r="Q874" s="11"/>
    </row>
    <row r="875" spans="2:17" ht="15" customHeight="1" x14ac:dyDescent="0.2">
      <c r="B875" s="8">
        <v>44781</v>
      </c>
      <c r="C875" s="6">
        <f>IF(B875="","",[1]!s_dq_close(股指期货基差分析!$E$5,$B875))</f>
        <v>6323.0745999999999</v>
      </c>
      <c r="D875" s="6">
        <f>IF(B875="","",[1]!s_dq_close(股指期货基差分析!$E$6,$B875))</f>
        <v>6291.4</v>
      </c>
      <c r="E875" s="6">
        <f ca="1">RANK(F875,F:F)+COUNTIF(F$2:F875,F875)-1</f>
        <v>914</v>
      </c>
      <c r="F875" s="6">
        <f t="shared" si="14"/>
        <v>-31.674600000000282</v>
      </c>
      <c r="G875" s="6">
        <f ca="1">IF(B875="","",股指期货基差分析!$N$11)</f>
        <v>-71.408500000000458</v>
      </c>
      <c r="H875" s="6">
        <f ca="1">IF(B875="","",股指期货基差分析!$L$11)</f>
        <v>15.737900000000081</v>
      </c>
      <c r="I875" s="10">
        <f ca="1">IF(B875="","",股指期货基差分析!$D$11)</f>
        <v>-19.923978315132629</v>
      </c>
      <c r="L875" s="43"/>
      <c r="Q875" s="11"/>
    </row>
    <row r="876" spans="2:17" ht="15" customHeight="1" x14ac:dyDescent="0.2">
      <c r="B876" s="7">
        <v>44782</v>
      </c>
      <c r="C876" s="5">
        <f>IF(B876="","",[1]!s_dq_close(股指期货基差分析!$E$5,$B876))</f>
        <v>6341.4805999999999</v>
      </c>
      <c r="D876" s="5">
        <f>IF(B876="","",[1]!s_dq_close(股指期货基差分析!$E$6,$B876))</f>
        <v>6309.4</v>
      </c>
      <c r="E876" s="5">
        <f ca="1">RANK(F876,F:F)+COUNTIF(F$2:F876,F876)-1</f>
        <v>920</v>
      </c>
      <c r="F876" s="5">
        <f t="shared" si="14"/>
        <v>-32.080600000000231</v>
      </c>
      <c r="G876" s="5">
        <f ca="1">IF(B876="","",股指期货基差分析!$N$11)</f>
        <v>-71.408500000000458</v>
      </c>
      <c r="H876" s="5">
        <f ca="1">IF(B876="","",股指期货基差分析!$L$11)</f>
        <v>15.737900000000081</v>
      </c>
      <c r="I876" s="9">
        <f ca="1">IF(B876="","",股指期货基差分析!$D$11)</f>
        <v>-19.923978315132629</v>
      </c>
      <c r="L876" s="43"/>
      <c r="Q876" s="11"/>
    </row>
    <row r="877" spans="2:17" ht="15" customHeight="1" x14ac:dyDescent="0.2">
      <c r="B877" s="8">
        <v>44783</v>
      </c>
      <c r="C877" s="6">
        <f>IF(B877="","",[1]!s_dq_close(股指期货基差分析!$E$5,$B877))</f>
        <v>6322.0558000000001</v>
      </c>
      <c r="D877" s="6">
        <f>IF(B877="","",[1]!s_dq_close(股指期货基差分析!$E$6,$B877))</f>
        <v>6291</v>
      </c>
      <c r="E877" s="6">
        <f ca="1">RANK(F877,F:F)+COUNTIF(F$2:F877,F877)-1</f>
        <v>902</v>
      </c>
      <c r="F877" s="6">
        <f t="shared" si="14"/>
        <v>-31.05580000000009</v>
      </c>
      <c r="G877" s="6">
        <f ca="1">IF(B877="","",股指期货基差分析!$N$11)</f>
        <v>-71.408500000000458</v>
      </c>
      <c r="H877" s="6">
        <f ca="1">IF(B877="","",股指期货基差分析!$L$11)</f>
        <v>15.737900000000081</v>
      </c>
      <c r="I877" s="10">
        <f ca="1">IF(B877="","",股指期货基差分析!$D$11)</f>
        <v>-19.923978315132629</v>
      </c>
      <c r="L877" s="43"/>
      <c r="Q877" s="11"/>
    </row>
    <row r="878" spans="2:17" ht="15" customHeight="1" x14ac:dyDescent="0.2">
      <c r="B878" s="7">
        <v>44784</v>
      </c>
      <c r="C878" s="5">
        <f>IF(B878="","",[1]!s_dq_close(股指期货基差分析!$E$5,$B878))</f>
        <v>6439.3585999999996</v>
      </c>
      <c r="D878" s="5">
        <f>IF(B878="","",[1]!s_dq_close(股指期货基差分析!$E$6,$B878))</f>
        <v>6426.2</v>
      </c>
      <c r="E878" s="5">
        <f ca="1">RANK(F878,F:F)+COUNTIF(F$2:F878,F878)-1</f>
        <v>619</v>
      </c>
      <c r="F878" s="5">
        <f t="shared" si="14"/>
        <v>-13.158599999999751</v>
      </c>
      <c r="G878" s="5">
        <f ca="1">IF(B878="","",股指期货基差分析!$N$11)</f>
        <v>-71.408500000000458</v>
      </c>
      <c r="H878" s="5">
        <f ca="1">IF(B878="","",股指期货基差分析!$L$11)</f>
        <v>15.737900000000081</v>
      </c>
      <c r="I878" s="9">
        <f ca="1">IF(B878="","",股指期货基差分析!$D$11)</f>
        <v>-19.923978315132629</v>
      </c>
      <c r="L878" s="43"/>
      <c r="Q878" s="11"/>
    </row>
    <row r="879" spans="2:17" ht="15" customHeight="1" x14ac:dyDescent="0.2">
      <c r="B879" s="8">
        <v>44785</v>
      </c>
      <c r="C879" s="6">
        <f>IF(B879="","",[1]!s_dq_close(股指期货基差分析!$E$5,$B879))</f>
        <v>6420.8530000000001</v>
      </c>
      <c r="D879" s="6">
        <f>IF(B879="","",[1]!s_dq_close(股指期货基差分析!$E$6,$B879))</f>
        <v>6418.4</v>
      </c>
      <c r="E879" s="6">
        <f ca="1">RANK(F879,F:F)+COUNTIF(F$2:F879,F879)-1</f>
        <v>358</v>
      </c>
      <c r="F879" s="6">
        <f t="shared" si="14"/>
        <v>-2.4530000000004293</v>
      </c>
      <c r="G879" s="6">
        <f ca="1">IF(B879="","",股指期货基差分析!$N$11)</f>
        <v>-71.408500000000458</v>
      </c>
      <c r="H879" s="6">
        <f ca="1">IF(B879="","",股指期货基差分析!$L$11)</f>
        <v>15.737900000000081</v>
      </c>
      <c r="I879" s="10">
        <f ca="1">IF(B879="","",股指期货基差分析!$D$11)</f>
        <v>-19.923978315132629</v>
      </c>
      <c r="L879" s="43"/>
      <c r="Q879" s="11"/>
    </row>
    <row r="880" spans="2:17" ht="15" customHeight="1" x14ac:dyDescent="0.2">
      <c r="B880" s="7">
        <v>44788</v>
      </c>
      <c r="C880" s="5">
        <f>IF(B880="","",[1]!s_dq_close(股指期货基差分析!$E$5,$B880))</f>
        <v>6442.8092999999999</v>
      </c>
      <c r="D880" s="5">
        <f>IF(B880="","",[1]!s_dq_close(股指期货基差分析!$E$6,$B880))</f>
        <v>6429</v>
      </c>
      <c r="E880" s="5">
        <f ca="1">RANK(F880,F:F)+COUNTIF(F$2:F880,F880)-1</f>
        <v>633</v>
      </c>
      <c r="F880" s="5">
        <f t="shared" si="14"/>
        <v>-13.809299999999894</v>
      </c>
      <c r="G880" s="5">
        <f ca="1">IF(B880="","",股指期货基差分析!$N$11)</f>
        <v>-71.408500000000458</v>
      </c>
      <c r="H880" s="5">
        <f ca="1">IF(B880="","",股指期货基差分析!$L$11)</f>
        <v>15.737900000000081</v>
      </c>
      <c r="I880" s="9">
        <f ca="1">IF(B880="","",股指期货基差分析!$D$11)</f>
        <v>-19.923978315132629</v>
      </c>
      <c r="L880" s="43"/>
      <c r="Q880" s="11"/>
    </row>
    <row r="881" spans="2:17" ht="15" customHeight="1" x14ac:dyDescent="0.2">
      <c r="B881" s="8">
        <v>44789</v>
      </c>
      <c r="C881" s="6">
        <f>IF(B881="","",[1]!s_dq_close(股指期货基差分析!$E$5,$B881))</f>
        <v>6465.1866</v>
      </c>
      <c r="D881" s="6">
        <f>IF(B881="","",[1]!s_dq_close(股指期货基差分析!$E$6,$B881))</f>
        <v>6454</v>
      </c>
      <c r="E881" s="6">
        <f ca="1">RANK(F881,F:F)+COUNTIF(F$2:F881,F881)-1</f>
        <v>577</v>
      </c>
      <c r="F881" s="6">
        <f t="shared" si="14"/>
        <v>-11.186599999999999</v>
      </c>
      <c r="G881" s="6">
        <f ca="1">IF(B881="","",股指期货基差分析!$N$11)</f>
        <v>-71.408500000000458</v>
      </c>
      <c r="H881" s="6">
        <f ca="1">IF(B881="","",股指期货基差分析!$L$11)</f>
        <v>15.737900000000081</v>
      </c>
      <c r="I881" s="10">
        <f ca="1">IF(B881="","",股指期货基差分析!$D$11)</f>
        <v>-19.923978315132629</v>
      </c>
      <c r="L881" s="43"/>
      <c r="Q881" s="11"/>
    </row>
    <row r="882" spans="2:17" ht="15" customHeight="1" x14ac:dyDescent="0.2">
      <c r="B882" s="7">
        <v>44790</v>
      </c>
      <c r="C882" s="5">
        <f>IF(B882="","",[1]!s_dq_close(股指期货基差分析!$E$5,$B882))</f>
        <v>6493.5047000000004</v>
      </c>
      <c r="D882" s="5">
        <f>IF(B882="","",[1]!s_dq_close(股指期货基差分析!$E$6,$B882))</f>
        <v>6492.4</v>
      </c>
      <c r="E882" s="5">
        <f ca="1">RANK(F882,F:F)+COUNTIF(F$2:F882,F882)-1</f>
        <v>319</v>
      </c>
      <c r="F882" s="5">
        <f t="shared" si="14"/>
        <v>-1.1047000000007756</v>
      </c>
      <c r="G882" s="5">
        <f ca="1">IF(B882="","",股指期货基差分析!$N$11)</f>
        <v>-71.408500000000458</v>
      </c>
      <c r="H882" s="5">
        <f ca="1">IF(B882="","",股指期货基差分析!$L$11)</f>
        <v>15.737900000000081</v>
      </c>
      <c r="I882" s="9">
        <f ca="1">IF(B882="","",股指期货基差分析!$D$11)</f>
        <v>-19.923978315132629</v>
      </c>
      <c r="L882" s="43"/>
      <c r="Q882" s="11"/>
    </row>
    <row r="883" spans="2:17" ht="15" customHeight="1" x14ac:dyDescent="0.2">
      <c r="B883" s="8">
        <v>44791</v>
      </c>
      <c r="C883" s="6">
        <f>IF(B883="","",[1]!s_dq_close(股指期货基差分析!$E$5,$B883))</f>
        <v>6468.8055999999997</v>
      </c>
      <c r="D883" s="6">
        <f>IF(B883="","",[1]!s_dq_close(股指期货基差分析!$E$6,$B883))</f>
        <v>6471.4</v>
      </c>
      <c r="E883" s="6">
        <f ca="1">RANK(F883,F:F)+COUNTIF(F$2:F883,F883)-1</f>
        <v>247</v>
      </c>
      <c r="F883" s="6">
        <f t="shared" si="14"/>
        <v>2.5943999999999505</v>
      </c>
      <c r="G883" s="6">
        <f ca="1">IF(B883="","",股指期货基差分析!$N$11)</f>
        <v>-71.408500000000458</v>
      </c>
      <c r="H883" s="6">
        <f ca="1">IF(B883="","",股指期货基差分析!$L$11)</f>
        <v>15.737900000000081</v>
      </c>
      <c r="I883" s="10">
        <f ca="1">IF(B883="","",股指期货基差分析!$D$11)</f>
        <v>-19.923978315132629</v>
      </c>
      <c r="L883" s="43"/>
      <c r="Q883" s="11"/>
    </row>
    <row r="884" spans="2:17" ht="15" customHeight="1" x14ac:dyDescent="0.2">
      <c r="B884" s="7">
        <v>44792</v>
      </c>
      <c r="C884" s="5">
        <f>IF(B884="","",[1]!s_dq_close(股指期货基差分析!$E$5,$B884))</f>
        <v>6391.7159000000001</v>
      </c>
      <c r="D884" s="5">
        <f>IF(B884="","",[1]!s_dq_close(股指期货基差分析!$E$6,$B884))</f>
        <v>6425</v>
      </c>
      <c r="E884" s="5">
        <f ca="1">RANK(F884,F:F)+COUNTIF(F$2:F884,F884)-1</f>
        <v>12</v>
      </c>
      <c r="F884" s="5">
        <f t="shared" si="14"/>
        <v>33.284099999999853</v>
      </c>
      <c r="G884" s="5">
        <f ca="1">IF(B884="","",股指期货基差分析!$N$11)</f>
        <v>-71.408500000000458</v>
      </c>
      <c r="H884" s="5">
        <f ca="1">IF(B884="","",股指期货基差分析!$L$11)</f>
        <v>15.737900000000081</v>
      </c>
      <c r="I884" s="9">
        <f ca="1">IF(B884="","",股指期货基差分析!$D$11)</f>
        <v>-19.923978315132629</v>
      </c>
      <c r="L884" s="43"/>
      <c r="Q884" s="11"/>
    </row>
    <row r="885" spans="2:17" ht="15" customHeight="1" x14ac:dyDescent="0.2">
      <c r="B885" s="8">
        <v>44795</v>
      </c>
      <c r="C885" s="6">
        <f>IF(B885="","",[1]!s_dq_close(股指期货基差分析!$E$5,$B885))</f>
        <v>6472.6799000000001</v>
      </c>
      <c r="D885" s="6">
        <f>IF(B885="","",[1]!s_dq_close(股指期货基差分析!$E$6,$B885))</f>
        <v>6428.6</v>
      </c>
      <c r="E885" s="6">
        <f ca="1">RANK(F885,F:F)+COUNTIF(F$2:F885,F885)-1</f>
        <v>1044</v>
      </c>
      <c r="F885" s="6">
        <f t="shared" si="14"/>
        <v>-44.079899999999725</v>
      </c>
      <c r="G885" s="6">
        <f ca="1">IF(B885="","",股指期货基差分析!$N$11)</f>
        <v>-71.408500000000458</v>
      </c>
      <c r="H885" s="6">
        <f ca="1">IF(B885="","",股指期货基差分析!$L$11)</f>
        <v>15.737900000000081</v>
      </c>
      <c r="I885" s="10">
        <f ca="1">IF(B885="","",股指期货基差分析!$D$11)</f>
        <v>-19.923978315132629</v>
      </c>
      <c r="L885" s="43"/>
      <c r="Q885" s="11"/>
    </row>
    <row r="886" spans="2:17" ht="15" customHeight="1" x14ac:dyDescent="0.2">
      <c r="B886" s="7">
        <v>44796</v>
      </c>
      <c r="C886" s="5">
        <f>IF(B886="","",[1]!s_dq_close(股指期货基差分析!$E$5,$B886))</f>
        <v>6466.4044999999996</v>
      </c>
      <c r="D886" s="5">
        <f>IF(B886="","",[1]!s_dq_close(股指期货基差分析!$E$6,$B886))</f>
        <v>6432</v>
      </c>
      <c r="E886" s="5">
        <f ca="1">RANK(F886,F:F)+COUNTIF(F$2:F886,F886)-1</f>
        <v>946</v>
      </c>
      <c r="F886" s="5">
        <f t="shared" si="14"/>
        <v>-34.404499999999643</v>
      </c>
      <c r="G886" s="5">
        <f ca="1">IF(B886="","",股指期货基差分析!$N$11)</f>
        <v>-71.408500000000458</v>
      </c>
      <c r="H886" s="5">
        <f ca="1">IF(B886="","",股指期货基差分析!$L$11)</f>
        <v>15.737900000000081</v>
      </c>
      <c r="I886" s="9">
        <f ca="1">IF(B886="","",股指期货基差分析!$D$11)</f>
        <v>-19.923978315132629</v>
      </c>
      <c r="L886" s="43"/>
      <c r="Q886" s="11"/>
    </row>
    <row r="887" spans="2:17" ht="15" customHeight="1" x14ac:dyDescent="0.2">
      <c r="B887" s="8">
        <v>44797</v>
      </c>
      <c r="C887" s="6">
        <f>IF(B887="","",[1]!s_dq_close(股指期货基差分析!$E$5,$B887))</f>
        <v>6284.5769</v>
      </c>
      <c r="D887" s="6">
        <f>IF(B887="","",[1]!s_dq_close(股指期货基差分析!$E$6,$B887))</f>
        <v>6247.4</v>
      </c>
      <c r="E887" s="6">
        <f ca="1">RANK(F887,F:F)+COUNTIF(F$2:F887,F887)-1</f>
        <v>979</v>
      </c>
      <c r="F887" s="6">
        <f t="shared" si="14"/>
        <v>-37.176900000000387</v>
      </c>
      <c r="G887" s="6">
        <f ca="1">IF(B887="","",股指期货基差分析!$N$11)</f>
        <v>-71.408500000000458</v>
      </c>
      <c r="H887" s="6">
        <f ca="1">IF(B887="","",股指期货基差分析!$L$11)</f>
        <v>15.737900000000081</v>
      </c>
      <c r="I887" s="10">
        <f ca="1">IF(B887="","",股指期货基差分析!$D$11)</f>
        <v>-19.923978315132629</v>
      </c>
      <c r="L887" s="43"/>
      <c r="Q887" s="11"/>
    </row>
    <row r="888" spans="2:17" ht="15" customHeight="1" x14ac:dyDescent="0.2">
      <c r="B888" s="7">
        <v>44798</v>
      </c>
      <c r="C888" s="5">
        <f>IF(B888="","",[1]!s_dq_close(股指期货基差分析!$E$5,$B888))</f>
        <v>6322.6961000000001</v>
      </c>
      <c r="D888" s="5">
        <f>IF(B888="","",[1]!s_dq_close(股指期货基差分析!$E$6,$B888))</f>
        <v>6278.4</v>
      </c>
      <c r="E888" s="5">
        <f ca="1">RANK(F888,F:F)+COUNTIF(F$2:F888,F888)-1</f>
        <v>1049</v>
      </c>
      <c r="F888" s="5">
        <f t="shared" si="14"/>
        <v>-44.296100000000479</v>
      </c>
      <c r="G888" s="5">
        <f ca="1">IF(B888="","",股指期货基差分析!$N$11)</f>
        <v>-71.408500000000458</v>
      </c>
      <c r="H888" s="5">
        <f ca="1">IF(B888="","",股指期货基差分析!$L$11)</f>
        <v>15.737900000000081</v>
      </c>
      <c r="I888" s="9">
        <f ca="1">IF(B888="","",股指期货基差分析!$D$11)</f>
        <v>-19.923978315132629</v>
      </c>
      <c r="L888" s="43"/>
      <c r="Q888" s="11"/>
    </row>
    <row r="889" spans="2:17" ht="15" customHeight="1" x14ac:dyDescent="0.2">
      <c r="B889" s="8">
        <v>44799</v>
      </c>
      <c r="C889" s="6">
        <f>IF(B889="","",[1]!s_dq_close(股指期货基差分析!$E$5,$B889))</f>
        <v>6298.3738999999996</v>
      </c>
      <c r="D889" s="6">
        <f>IF(B889="","",[1]!s_dq_close(股指期货基差分析!$E$6,$B889))</f>
        <v>6269</v>
      </c>
      <c r="E889" s="6">
        <f ca="1">RANK(F889,F:F)+COUNTIF(F$2:F889,F889)-1</f>
        <v>880</v>
      </c>
      <c r="F889" s="6">
        <f t="shared" si="14"/>
        <v>-29.373899999999594</v>
      </c>
      <c r="G889" s="6">
        <f ca="1">IF(B889="","",股指期货基差分析!$N$11)</f>
        <v>-71.408500000000458</v>
      </c>
      <c r="H889" s="6">
        <f ca="1">IF(B889="","",股指期货基差分析!$L$11)</f>
        <v>15.737900000000081</v>
      </c>
      <c r="I889" s="10">
        <f ca="1">IF(B889="","",股指期货基差分析!$D$11)</f>
        <v>-19.923978315132629</v>
      </c>
      <c r="L889" s="43"/>
      <c r="Q889" s="11"/>
    </row>
    <row r="890" spans="2:17" ht="15" customHeight="1" x14ac:dyDescent="0.2">
      <c r="B890" s="7">
        <v>44802</v>
      </c>
      <c r="C890" s="5">
        <f>IF(B890="","",[1]!s_dq_close(股指期货基差分析!$E$5,$B890))</f>
        <v>6310.402</v>
      </c>
      <c r="D890" s="5">
        <f>IF(B890="","",[1]!s_dq_close(股指期货基差分析!$E$6,$B890))</f>
        <v>6272</v>
      </c>
      <c r="E890" s="5">
        <f ca="1">RANK(F890,F:F)+COUNTIF(F$2:F890,F890)-1</f>
        <v>987</v>
      </c>
      <c r="F890" s="5">
        <f t="shared" si="14"/>
        <v>-38.402000000000044</v>
      </c>
      <c r="G890" s="5">
        <f ca="1">IF(B890="","",股指期货基差分析!$N$11)</f>
        <v>-71.408500000000458</v>
      </c>
      <c r="H890" s="5">
        <f ca="1">IF(B890="","",股指期货基差分析!$L$11)</f>
        <v>15.737900000000081</v>
      </c>
      <c r="I890" s="9">
        <f ca="1">IF(B890="","",股指期货基差分析!$D$11)</f>
        <v>-19.923978315132629</v>
      </c>
      <c r="L890" s="43"/>
      <c r="Q890" s="11"/>
    </row>
    <row r="891" spans="2:17" ht="15" customHeight="1" x14ac:dyDescent="0.2">
      <c r="B891" s="8">
        <v>44803</v>
      </c>
      <c r="C891" s="6">
        <f>IF(B891="","",[1]!s_dq_close(股指期货基差分析!$E$5,$B891))</f>
        <v>6285.9273000000003</v>
      </c>
      <c r="D891" s="6">
        <f>IF(B891="","",[1]!s_dq_close(股指期货基差分析!$E$6,$B891))</f>
        <v>6267</v>
      </c>
      <c r="E891" s="6">
        <f ca="1">RANK(F891,F:F)+COUNTIF(F$2:F891,F891)-1</f>
        <v>727</v>
      </c>
      <c r="F891" s="6">
        <f t="shared" si="14"/>
        <v>-18.927300000000287</v>
      </c>
      <c r="G891" s="6">
        <f ca="1">IF(B891="","",股指期货基差分析!$N$11)</f>
        <v>-71.408500000000458</v>
      </c>
      <c r="H891" s="6">
        <f ca="1">IF(B891="","",股指期货基差分析!$L$11)</f>
        <v>15.737900000000081</v>
      </c>
      <c r="I891" s="10">
        <f ca="1">IF(B891="","",股指期货基差分析!$D$11)</f>
        <v>-19.923978315132629</v>
      </c>
      <c r="L891" s="43"/>
      <c r="Q891" s="11"/>
    </row>
    <row r="892" spans="2:17" ht="15" customHeight="1" x14ac:dyDescent="0.2">
      <c r="B892" s="7">
        <v>44804</v>
      </c>
      <c r="C892" s="5">
        <f>IF(B892="","",[1]!s_dq_close(股指期货基差分析!$E$5,$B892))</f>
        <v>6155.7455</v>
      </c>
      <c r="D892" s="5">
        <f>IF(B892="","",[1]!s_dq_close(股指期货基差分析!$E$6,$B892))</f>
        <v>6139.4</v>
      </c>
      <c r="E892" s="5">
        <f ca="1">RANK(F892,F:F)+COUNTIF(F$2:F892,F892)-1</f>
        <v>685</v>
      </c>
      <c r="F892" s="5">
        <f t="shared" si="14"/>
        <v>-16.345500000000357</v>
      </c>
      <c r="G892" s="5">
        <f ca="1">IF(B892="","",股指期货基差分析!$N$11)</f>
        <v>-71.408500000000458</v>
      </c>
      <c r="H892" s="5">
        <f ca="1">IF(B892="","",股指期货基差分析!$L$11)</f>
        <v>15.737900000000081</v>
      </c>
      <c r="I892" s="9">
        <f ca="1">IF(B892="","",股指期货基差分析!$D$11)</f>
        <v>-19.923978315132629</v>
      </c>
      <c r="L892" s="43"/>
      <c r="Q892" s="11"/>
    </row>
    <row r="893" spans="2:17" ht="15" customHeight="1" x14ac:dyDescent="0.2">
      <c r="B893" s="8">
        <v>44805</v>
      </c>
      <c r="C893" s="6">
        <f>IF(B893="","",[1]!s_dq_close(股指期货基差分析!$E$5,$B893))</f>
        <v>6126.7685000000001</v>
      </c>
      <c r="D893" s="6">
        <f>IF(B893="","",[1]!s_dq_close(股指期货基差分析!$E$6,$B893))</f>
        <v>6115</v>
      </c>
      <c r="E893" s="6">
        <f ca="1">RANK(F893,F:F)+COUNTIF(F$2:F893,F893)-1</f>
        <v>590</v>
      </c>
      <c r="F893" s="6">
        <f t="shared" si="14"/>
        <v>-11.768500000000131</v>
      </c>
      <c r="G893" s="6">
        <f ca="1">IF(B893="","",股指期货基差分析!$N$11)</f>
        <v>-71.408500000000458</v>
      </c>
      <c r="H893" s="6">
        <f ca="1">IF(B893="","",股指期货基差分析!$L$11)</f>
        <v>15.737900000000081</v>
      </c>
      <c r="I893" s="10">
        <f ca="1">IF(B893="","",股指期货基差分析!$D$11)</f>
        <v>-19.923978315132629</v>
      </c>
      <c r="L893" s="43"/>
      <c r="Q893" s="11"/>
    </row>
    <row r="894" spans="2:17" ht="15" customHeight="1" x14ac:dyDescent="0.2">
      <c r="B894" s="7">
        <v>44806</v>
      </c>
      <c r="C894" s="5">
        <f>IF(B894="","",[1]!s_dq_close(股指期货基差分析!$E$5,$B894))</f>
        <v>6149.4273000000003</v>
      </c>
      <c r="D894" s="5">
        <f>IF(B894="","",[1]!s_dq_close(股指期货基差分析!$E$6,$B894))</f>
        <v>6130.2</v>
      </c>
      <c r="E894" s="5">
        <f ca="1">RANK(F894,F:F)+COUNTIF(F$2:F894,F894)-1</f>
        <v>732</v>
      </c>
      <c r="F894" s="5">
        <f t="shared" si="14"/>
        <v>-19.227300000000469</v>
      </c>
      <c r="G894" s="5">
        <f ca="1">IF(B894="","",股指期货基差分析!$N$11)</f>
        <v>-71.408500000000458</v>
      </c>
      <c r="H894" s="5">
        <f ca="1">IF(B894="","",股指期货基差分析!$L$11)</f>
        <v>15.737900000000081</v>
      </c>
      <c r="I894" s="9">
        <f ca="1">IF(B894="","",股指期货基差分析!$D$11)</f>
        <v>-19.923978315132629</v>
      </c>
      <c r="L894" s="43"/>
      <c r="Q894" s="11"/>
    </row>
    <row r="895" spans="2:17" ht="15" customHeight="1" x14ac:dyDescent="0.2">
      <c r="B895" s="8">
        <v>44809</v>
      </c>
      <c r="C895" s="6">
        <f>IF(B895="","",[1]!s_dq_close(股指期货基差分析!$E$5,$B895))</f>
        <v>6182.6464999999998</v>
      </c>
      <c r="D895" s="6">
        <f>IF(B895="","",[1]!s_dq_close(股指期货基差分析!$E$6,$B895))</f>
        <v>6158.4</v>
      </c>
      <c r="E895" s="6">
        <f ca="1">RANK(F895,F:F)+COUNTIF(F$2:F895,F895)-1</f>
        <v>806</v>
      </c>
      <c r="F895" s="6">
        <f t="shared" si="14"/>
        <v>-24.246500000000196</v>
      </c>
      <c r="G895" s="6">
        <f ca="1">IF(B895="","",股指期货基差分析!$N$11)</f>
        <v>-71.408500000000458</v>
      </c>
      <c r="H895" s="6">
        <f ca="1">IF(B895="","",股指期货基差分析!$L$11)</f>
        <v>15.737900000000081</v>
      </c>
      <c r="I895" s="10">
        <f ca="1">IF(B895="","",股指期货基差分析!$D$11)</f>
        <v>-19.923978315132629</v>
      </c>
      <c r="L895" s="43"/>
      <c r="Q895" s="11"/>
    </row>
    <row r="896" spans="2:17" ht="15" customHeight="1" x14ac:dyDescent="0.2">
      <c r="B896" s="7">
        <v>44810</v>
      </c>
      <c r="C896" s="5">
        <f>IF(B896="","",[1]!s_dq_close(股指期货基差分析!$E$5,$B896))</f>
        <v>6291.5707000000002</v>
      </c>
      <c r="D896" s="5">
        <f>IF(B896="","",[1]!s_dq_close(股指期货基差分析!$E$6,$B896))</f>
        <v>6272.6</v>
      </c>
      <c r="E896" s="5">
        <f ca="1">RANK(F896,F:F)+COUNTIF(F$2:F896,F896)-1</f>
        <v>728</v>
      </c>
      <c r="F896" s="5">
        <f t="shared" si="14"/>
        <v>-18.970699999999852</v>
      </c>
      <c r="G896" s="5">
        <f ca="1">IF(B896="","",股指期货基差分析!$N$11)</f>
        <v>-71.408500000000458</v>
      </c>
      <c r="H896" s="5">
        <f ca="1">IF(B896="","",股指期货基差分析!$L$11)</f>
        <v>15.737900000000081</v>
      </c>
      <c r="I896" s="9">
        <f ca="1">IF(B896="","",股指期货基差分析!$D$11)</f>
        <v>-19.923978315132629</v>
      </c>
      <c r="L896" s="43"/>
      <c r="Q896" s="11"/>
    </row>
    <row r="897" spans="2:17" ht="15" customHeight="1" x14ac:dyDescent="0.2">
      <c r="B897" s="8">
        <v>44811</v>
      </c>
      <c r="C897" s="6">
        <f>IF(B897="","",[1]!s_dq_close(股指期货基差分析!$E$5,$B897))</f>
        <v>6301.5644000000002</v>
      </c>
      <c r="D897" s="6">
        <f>IF(B897="","",[1]!s_dq_close(股指期货基差分析!$E$6,$B897))</f>
        <v>6293</v>
      </c>
      <c r="E897" s="6">
        <f ca="1">RANK(F897,F:F)+COUNTIF(F$2:F897,F897)-1</f>
        <v>515</v>
      </c>
      <c r="F897" s="6">
        <f t="shared" si="14"/>
        <v>-8.5644000000002052</v>
      </c>
      <c r="G897" s="6">
        <f ca="1">IF(B897="","",股指期货基差分析!$N$11)</f>
        <v>-71.408500000000458</v>
      </c>
      <c r="H897" s="6">
        <f ca="1">IF(B897="","",股指期货基差分析!$L$11)</f>
        <v>15.737900000000081</v>
      </c>
      <c r="I897" s="10">
        <f ca="1">IF(B897="","",股指期货基差分析!$D$11)</f>
        <v>-19.923978315132629</v>
      </c>
      <c r="L897" s="43"/>
      <c r="Q897" s="11"/>
    </row>
    <row r="898" spans="2:17" ht="15" customHeight="1" x14ac:dyDescent="0.2">
      <c r="B898" s="7">
        <v>44812</v>
      </c>
      <c r="C898" s="5">
        <f>IF(B898="","",[1]!s_dq_close(股指期货基差分析!$E$5,$B898))</f>
        <v>6272.5752000000002</v>
      </c>
      <c r="D898" s="5">
        <f>IF(B898="","",[1]!s_dq_close(股指期货基差分析!$E$6,$B898))</f>
        <v>6269.6</v>
      </c>
      <c r="E898" s="5">
        <f ca="1">RANK(F898,F:F)+COUNTIF(F$2:F898,F898)-1</f>
        <v>369</v>
      </c>
      <c r="F898" s="5">
        <f t="shared" ref="F898:F961" si="15">IF(B898="","",D898-C898)</f>
        <v>-2.9751999999998588</v>
      </c>
      <c r="G898" s="5">
        <f ca="1">IF(B898="","",股指期货基差分析!$N$11)</f>
        <v>-71.408500000000458</v>
      </c>
      <c r="H898" s="5">
        <f ca="1">IF(B898="","",股指期货基差分析!$L$11)</f>
        <v>15.737900000000081</v>
      </c>
      <c r="I898" s="9">
        <f ca="1">IF(B898="","",股指期货基差分析!$D$11)</f>
        <v>-19.923978315132629</v>
      </c>
      <c r="L898" s="43"/>
      <c r="Q898" s="11"/>
    </row>
    <row r="899" spans="2:17" ht="15" customHeight="1" x14ac:dyDescent="0.2">
      <c r="B899" s="8">
        <v>44813</v>
      </c>
      <c r="C899" s="6">
        <f>IF(B899="","",[1]!s_dq_close(股指期货基差分析!$E$5,$B899))</f>
        <v>6316.9723999999997</v>
      </c>
      <c r="D899" s="6">
        <f>IF(B899="","",[1]!s_dq_close(股指期货基差分析!$E$6,$B899))</f>
        <v>6314.6</v>
      </c>
      <c r="E899" s="6">
        <f ca="1">RANK(F899,F:F)+COUNTIF(F$2:F899,F899)-1</f>
        <v>356</v>
      </c>
      <c r="F899" s="6">
        <f t="shared" si="15"/>
        <v>-2.3723999999992884</v>
      </c>
      <c r="G899" s="6">
        <f ca="1">IF(B899="","",股指期货基差分析!$N$11)</f>
        <v>-71.408500000000458</v>
      </c>
      <c r="H899" s="6">
        <f ca="1">IF(B899="","",股指期货基差分析!$L$11)</f>
        <v>15.737900000000081</v>
      </c>
      <c r="I899" s="10">
        <f ca="1">IF(B899="","",股指期货基差分析!$D$11)</f>
        <v>-19.923978315132629</v>
      </c>
      <c r="L899" s="43"/>
      <c r="Q899" s="11"/>
    </row>
    <row r="900" spans="2:17" ht="15" customHeight="1" x14ac:dyDescent="0.2">
      <c r="B900" s="7">
        <v>44817</v>
      </c>
      <c r="C900" s="5">
        <f>IF(B900="","",[1]!s_dq_close(股指期货基差分析!$E$5,$B900))</f>
        <v>6300.4219999999996</v>
      </c>
      <c r="D900" s="5">
        <f>IF(B900="","",[1]!s_dq_close(股指期货基差分析!$E$6,$B900))</f>
        <v>6292.6</v>
      </c>
      <c r="E900" s="5">
        <f ca="1">RANK(F900,F:F)+COUNTIF(F$2:F900,F900)-1</f>
        <v>500</v>
      </c>
      <c r="F900" s="5">
        <f t="shared" si="15"/>
        <v>-7.8219999999992069</v>
      </c>
      <c r="G900" s="5">
        <f ca="1">IF(B900="","",股指期货基差分析!$N$11)</f>
        <v>-71.408500000000458</v>
      </c>
      <c r="H900" s="5">
        <f ca="1">IF(B900="","",股指期货基差分析!$L$11)</f>
        <v>15.737900000000081</v>
      </c>
      <c r="I900" s="9">
        <f ca="1">IF(B900="","",股指期货基差分析!$D$11)</f>
        <v>-19.923978315132629</v>
      </c>
      <c r="L900" s="43"/>
      <c r="Q900" s="11"/>
    </row>
    <row r="901" spans="2:17" ht="15" customHeight="1" x14ac:dyDescent="0.2">
      <c r="B901" s="8">
        <v>44818</v>
      </c>
      <c r="C901" s="6">
        <f>IF(B901="","",[1]!s_dq_close(股指期货基差分析!$E$5,$B901))</f>
        <v>6249.9629999999997</v>
      </c>
      <c r="D901" s="6">
        <f>IF(B901="","",[1]!s_dq_close(股指期货基差分析!$E$6,$B901))</f>
        <v>6252.8</v>
      </c>
      <c r="E901" s="6">
        <f ca="1">RANK(F901,F:F)+COUNTIF(F$2:F901,F901)-1</f>
        <v>240</v>
      </c>
      <c r="F901" s="6">
        <f t="shared" si="15"/>
        <v>2.8370000000004438</v>
      </c>
      <c r="G901" s="6">
        <f ca="1">IF(B901="","",股指期货基差分析!$N$11)</f>
        <v>-71.408500000000458</v>
      </c>
      <c r="H901" s="6">
        <f ca="1">IF(B901="","",股指期货基差分析!$L$11)</f>
        <v>15.737900000000081</v>
      </c>
      <c r="I901" s="10">
        <f ca="1">IF(B901="","",股指期货基差分析!$D$11)</f>
        <v>-19.923978315132629</v>
      </c>
      <c r="L901" s="43"/>
      <c r="Q901" s="11"/>
    </row>
    <row r="902" spans="2:17" ht="15" customHeight="1" x14ac:dyDescent="0.2">
      <c r="B902" s="7">
        <v>44819</v>
      </c>
      <c r="C902" s="5">
        <f>IF(B902="","",[1]!s_dq_close(股指期货基差分析!$E$5,$B902))</f>
        <v>6107.7964000000002</v>
      </c>
      <c r="D902" s="5">
        <f>IF(B902="","",[1]!s_dq_close(股指期货基差分析!$E$6,$B902))</f>
        <v>6100.6</v>
      </c>
      <c r="E902" s="5">
        <f ca="1">RANK(F902,F:F)+COUNTIF(F$2:F902,F902)-1</f>
        <v>476</v>
      </c>
      <c r="F902" s="5">
        <f t="shared" si="15"/>
        <v>-7.1963999999998123</v>
      </c>
      <c r="G902" s="5">
        <f ca="1">IF(B902="","",股指期货基差分析!$N$11)</f>
        <v>-71.408500000000458</v>
      </c>
      <c r="H902" s="5">
        <f ca="1">IF(B902="","",股指期货基差分析!$L$11)</f>
        <v>15.737900000000081</v>
      </c>
      <c r="I902" s="9">
        <f ca="1">IF(B902="","",股指期货基差分析!$D$11)</f>
        <v>-19.923978315132629</v>
      </c>
      <c r="L902" s="43"/>
      <c r="Q902" s="11"/>
    </row>
    <row r="903" spans="2:17" ht="15" customHeight="1" x14ac:dyDescent="0.2">
      <c r="B903" s="8">
        <v>44820</v>
      </c>
      <c r="C903" s="6">
        <f>IF(B903="","",[1]!s_dq_close(股指期货基差分析!$E$5,$B903))</f>
        <v>5954.5037000000002</v>
      </c>
      <c r="D903" s="6">
        <f>IF(B903="","",[1]!s_dq_close(股指期货基差分析!$E$6,$B903))</f>
        <v>6007.2</v>
      </c>
      <c r="E903" s="6">
        <f ca="1">RANK(F903,F:F)+COUNTIF(F$2:F903,F903)-1</f>
        <v>3</v>
      </c>
      <c r="F903" s="6">
        <f t="shared" si="15"/>
        <v>52.69629999999961</v>
      </c>
      <c r="G903" s="6">
        <f ca="1">IF(B903="","",股指期货基差分析!$N$11)</f>
        <v>-71.408500000000458</v>
      </c>
      <c r="H903" s="6">
        <f ca="1">IF(B903="","",股指期货基差分析!$L$11)</f>
        <v>15.737900000000081</v>
      </c>
      <c r="I903" s="10">
        <f ca="1">IF(B903="","",股指期货基差分析!$D$11)</f>
        <v>-19.923978315132629</v>
      </c>
      <c r="L903" s="43"/>
      <c r="Q903" s="11"/>
    </row>
    <row r="904" spans="2:17" ht="15" customHeight="1" x14ac:dyDescent="0.2">
      <c r="B904" s="7">
        <v>44823</v>
      </c>
      <c r="C904" s="5">
        <f>IF(B904="","",[1]!s_dq_close(股指期货基差分析!$E$5,$B904))</f>
        <v>5913.1493</v>
      </c>
      <c r="D904" s="5">
        <f>IF(B904="","",[1]!s_dq_close(股指期货基差分析!$E$6,$B904))</f>
        <v>5876.8</v>
      </c>
      <c r="E904" s="5">
        <f ca="1">RANK(F904,F:F)+COUNTIF(F$2:F904,F904)-1</f>
        <v>971</v>
      </c>
      <c r="F904" s="5">
        <f t="shared" si="15"/>
        <v>-36.349299999999857</v>
      </c>
      <c r="G904" s="5">
        <f ca="1">IF(B904="","",股指期货基差分析!$N$11)</f>
        <v>-71.408500000000458</v>
      </c>
      <c r="H904" s="5">
        <f ca="1">IF(B904="","",股指期货基差分析!$L$11)</f>
        <v>15.737900000000081</v>
      </c>
      <c r="I904" s="9">
        <f ca="1">IF(B904="","",股指期货基差分析!$D$11)</f>
        <v>-19.923978315132629</v>
      </c>
      <c r="L904" s="43"/>
      <c r="Q904" s="11"/>
    </row>
    <row r="905" spans="2:17" ht="15" customHeight="1" x14ac:dyDescent="0.2">
      <c r="B905" s="8">
        <v>44824</v>
      </c>
      <c r="C905" s="6">
        <f>IF(B905="","",[1]!s_dq_close(股指期货基差分析!$E$5,$B905))</f>
        <v>5958.2921999999999</v>
      </c>
      <c r="D905" s="6">
        <f>IF(B905="","",[1]!s_dq_close(股指期货基差分析!$E$6,$B905))</f>
        <v>5918.6</v>
      </c>
      <c r="E905" s="6">
        <f ca="1">RANK(F905,F:F)+COUNTIF(F$2:F905,F905)-1</f>
        <v>1001</v>
      </c>
      <c r="F905" s="6">
        <f t="shared" si="15"/>
        <v>-39.692199999999502</v>
      </c>
      <c r="G905" s="6">
        <f ca="1">IF(B905="","",股指期货基差分析!$N$11)</f>
        <v>-71.408500000000458</v>
      </c>
      <c r="H905" s="6">
        <f ca="1">IF(B905="","",股指期货基差分析!$L$11)</f>
        <v>15.737900000000081</v>
      </c>
      <c r="I905" s="10">
        <f ca="1">IF(B905="","",股指期货基差分析!$D$11)</f>
        <v>-19.923978315132629</v>
      </c>
      <c r="L905" s="43"/>
      <c r="Q905" s="11"/>
    </row>
    <row r="906" spans="2:17" ht="15" customHeight="1" x14ac:dyDescent="0.2">
      <c r="B906" s="7">
        <v>44825</v>
      </c>
      <c r="C906" s="5">
        <f>IF(B906="","",[1]!s_dq_close(股指期货基差分析!$E$5,$B906))</f>
        <v>5978.5810000000001</v>
      </c>
      <c r="D906" s="5">
        <f>IF(B906="","",[1]!s_dq_close(股指期货基差分析!$E$6,$B906))</f>
        <v>5949.2</v>
      </c>
      <c r="E906" s="5">
        <f ca="1">RANK(F906,F:F)+COUNTIF(F$2:F906,F906)-1</f>
        <v>882</v>
      </c>
      <c r="F906" s="5">
        <f t="shared" si="15"/>
        <v>-29.381000000000313</v>
      </c>
      <c r="G906" s="5">
        <f ca="1">IF(B906="","",股指期货基差分析!$N$11)</f>
        <v>-71.408500000000458</v>
      </c>
      <c r="H906" s="5">
        <f ca="1">IF(B906="","",股指期货基差分析!$L$11)</f>
        <v>15.737900000000081</v>
      </c>
      <c r="I906" s="9">
        <f ca="1">IF(B906="","",股指期货基差分析!$D$11)</f>
        <v>-19.923978315132629</v>
      </c>
      <c r="L906" s="43"/>
      <c r="Q906" s="11"/>
    </row>
    <row r="907" spans="2:17" ht="15" customHeight="1" x14ac:dyDescent="0.2">
      <c r="B907" s="8">
        <v>44826</v>
      </c>
      <c r="C907" s="6">
        <f>IF(B907="","",[1]!s_dq_close(股指期货基差分析!$E$5,$B907))</f>
        <v>5965.8854000000001</v>
      </c>
      <c r="D907" s="6">
        <f>IF(B907="","",[1]!s_dq_close(股指期货基差分析!$E$6,$B907))</f>
        <v>5938.6</v>
      </c>
      <c r="E907" s="6">
        <f ca="1">RANK(F907,F:F)+COUNTIF(F$2:F907,F907)-1</f>
        <v>850</v>
      </c>
      <c r="F907" s="6">
        <f t="shared" si="15"/>
        <v>-27.285399999999754</v>
      </c>
      <c r="G907" s="6">
        <f ca="1">IF(B907="","",股指期货基差分析!$N$11)</f>
        <v>-71.408500000000458</v>
      </c>
      <c r="H907" s="6">
        <f ca="1">IF(B907="","",股指期货基差分析!$L$11)</f>
        <v>15.737900000000081</v>
      </c>
      <c r="I907" s="10">
        <f ca="1">IF(B907="","",股指期货基差分析!$D$11)</f>
        <v>-19.923978315132629</v>
      </c>
      <c r="L907" s="43"/>
      <c r="Q907" s="11"/>
    </row>
    <row r="908" spans="2:17" ht="15" customHeight="1" x14ac:dyDescent="0.2">
      <c r="B908" s="7">
        <v>44827</v>
      </c>
      <c r="C908" s="5">
        <f>IF(B908="","",[1]!s_dq_close(股指期货基差分析!$E$5,$B908))</f>
        <v>5889.6018999999997</v>
      </c>
      <c r="D908" s="5">
        <f>IF(B908="","",[1]!s_dq_close(股指期货基差分析!$E$6,$B908))</f>
        <v>5873.4</v>
      </c>
      <c r="E908" s="5">
        <f ca="1">RANK(F908,F:F)+COUNTIF(F$2:F908,F908)-1</f>
        <v>681</v>
      </c>
      <c r="F908" s="5">
        <f t="shared" si="15"/>
        <v>-16.201900000000023</v>
      </c>
      <c r="G908" s="5">
        <f ca="1">IF(B908="","",股指期货基差分析!$N$11)</f>
        <v>-71.408500000000458</v>
      </c>
      <c r="H908" s="5">
        <f ca="1">IF(B908="","",股指期货基差分析!$L$11)</f>
        <v>15.737900000000081</v>
      </c>
      <c r="I908" s="9">
        <f ca="1">IF(B908="","",股指期货基差分析!$D$11)</f>
        <v>-19.923978315132629</v>
      </c>
      <c r="L908" s="43"/>
      <c r="Q908" s="11"/>
    </row>
    <row r="909" spans="2:17" ht="15" customHeight="1" x14ac:dyDescent="0.2">
      <c r="B909" s="8">
        <v>44830</v>
      </c>
      <c r="C909" s="6">
        <f>IF(B909="","",[1]!s_dq_close(股指期货基差分析!$E$5,$B909))</f>
        <v>5806.3181000000004</v>
      </c>
      <c r="D909" s="6">
        <f>IF(B909="","",[1]!s_dq_close(股指期货基差分析!$E$6,$B909))</f>
        <v>5804.4</v>
      </c>
      <c r="E909" s="6">
        <f ca="1">RANK(F909,F:F)+COUNTIF(F$2:F909,F909)-1</f>
        <v>345</v>
      </c>
      <c r="F909" s="6">
        <f t="shared" si="15"/>
        <v>-1.9181000000007771</v>
      </c>
      <c r="G909" s="6">
        <f ca="1">IF(B909="","",股指期货基差分析!$N$11)</f>
        <v>-71.408500000000458</v>
      </c>
      <c r="H909" s="6">
        <f ca="1">IF(B909="","",股指期货基差分析!$L$11)</f>
        <v>15.737900000000081</v>
      </c>
      <c r="I909" s="10">
        <f ca="1">IF(B909="","",股指期货基差分析!$D$11)</f>
        <v>-19.923978315132629</v>
      </c>
      <c r="L909" s="43"/>
      <c r="Q909" s="11"/>
    </row>
    <row r="910" spans="2:17" ht="15" customHeight="1" x14ac:dyDescent="0.2">
      <c r="B910" s="7">
        <v>44831</v>
      </c>
      <c r="C910" s="5">
        <f>IF(B910="","",[1]!s_dq_close(股指期货基差分析!$E$5,$B910))</f>
        <v>5920.0531000000001</v>
      </c>
      <c r="D910" s="5">
        <f>IF(B910="","",[1]!s_dq_close(股指期货基差分析!$E$6,$B910))</f>
        <v>5912.6</v>
      </c>
      <c r="E910" s="5">
        <f ca="1">RANK(F910,F:F)+COUNTIF(F$2:F910,F910)-1</f>
        <v>486</v>
      </c>
      <c r="F910" s="5">
        <f t="shared" si="15"/>
        <v>-7.4530999999997221</v>
      </c>
      <c r="G910" s="5">
        <f ca="1">IF(B910="","",股指期货基差分析!$N$11)</f>
        <v>-71.408500000000458</v>
      </c>
      <c r="H910" s="5">
        <f ca="1">IF(B910="","",股指期货基差分析!$L$11)</f>
        <v>15.737900000000081</v>
      </c>
      <c r="I910" s="9">
        <f ca="1">IF(B910="","",股指期货基差分析!$D$11)</f>
        <v>-19.923978315132629</v>
      </c>
      <c r="L910" s="43"/>
      <c r="Q910" s="11"/>
    </row>
    <row r="911" spans="2:17" ht="15" customHeight="1" x14ac:dyDescent="0.2">
      <c r="B911" s="8">
        <v>44832</v>
      </c>
      <c r="C911" s="6">
        <f>IF(B911="","",[1]!s_dq_close(股指期货基差分析!$E$5,$B911))</f>
        <v>5769.5198</v>
      </c>
      <c r="D911" s="6">
        <f>IF(B911="","",[1]!s_dq_close(股指期货基差分析!$E$6,$B911))</f>
        <v>5772</v>
      </c>
      <c r="E911" s="6">
        <f ca="1">RANK(F911,F:F)+COUNTIF(F$2:F911,F911)-1</f>
        <v>251</v>
      </c>
      <c r="F911" s="6">
        <f t="shared" si="15"/>
        <v>2.480199999999968</v>
      </c>
      <c r="G911" s="6">
        <f ca="1">IF(B911="","",股指期货基差分析!$N$11)</f>
        <v>-71.408500000000458</v>
      </c>
      <c r="H911" s="6">
        <f ca="1">IF(B911="","",股指期货基差分析!$L$11)</f>
        <v>15.737900000000081</v>
      </c>
      <c r="I911" s="10">
        <f ca="1">IF(B911="","",股指期货基差分析!$D$11)</f>
        <v>-19.923978315132629</v>
      </c>
      <c r="L911" s="43"/>
      <c r="Q911" s="11"/>
    </row>
    <row r="912" spans="2:17" ht="15" customHeight="1" x14ac:dyDescent="0.2">
      <c r="B912" s="7">
        <v>44833</v>
      </c>
      <c r="C912" s="5">
        <f>IF(B912="","",[1]!s_dq_close(股指期货基差分析!$E$5,$B912))</f>
        <v>5771.8811999999998</v>
      </c>
      <c r="D912" s="5">
        <f>IF(B912="","",[1]!s_dq_close(股指期货基差分析!$E$6,$B912))</f>
        <v>5790.8</v>
      </c>
      <c r="E912" s="5">
        <f ca="1">RANK(F912,F:F)+COUNTIF(F$2:F912,F912)-1</f>
        <v>48</v>
      </c>
      <c r="F912" s="5">
        <f t="shared" si="15"/>
        <v>18.918800000000374</v>
      </c>
      <c r="G912" s="5">
        <f ca="1">IF(B912="","",股指期货基差分析!$N$11)</f>
        <v>-71.408500000000458</v>
      </c>
      <c r="H912" s="5">
        <f ca="1">IF(B912="","",股指期货基差分析!$L$11)</f>
        <v>15.737900000000081</v>
      </c>
      <c r="I912" s="9">
        <f ca="1">IF(B912="","",股指期货基差分析!$D$11)</f>
        <v>-19.923978315132629</v>
      </c>
      <c r="L912" s="43"/>
      <c r="Q912" s="11"/>
    </row>
    <row r="913" spans="2:17" ht="15" customHeight="1" x14ac:dyDescent="0.2">
      <c r="B913" s="8">
        <v>44834</v>
      </c>
      <c r="C913" s="6">
        <f>IF(B913="","",[1]!s_dq_close(股指期货基差分析!$E$5,$B913))</f>
        <v>5714.0628999999999</v>
      </c>
      <c r="D913" s="6">
        <f>IF(B913="","",[1]!s_dq_close(股指期货基差分析!$E$6,$B913))</f>
        <v>5710.2</v>
      </c>
      <c r="E913" s="6">
        <f ca="1">RANK(F913,F:F)+COUNTIF(F$2:F913,F913)-1</f>
        <v>384</v>
      </c>
      <c r="F913" s="6">
        <f t="shared" si="15"/>
        <v>-3.8629000000000815</v>
      </c>
      <c r="G913" s="6">
        <f ca="1">IF(B913="","",股指期货基差分析!$N$11)</f>
        <v>-71.408500000000458</v>
      </c>
      <c r="H913" s="6">
        <f ca="1">IF(B913="","",股指期货基差分析!$L$11)</f>
        <v>15.737900000000081</v>
      </c>
      <c r="I913" s="10">
        <f ca="1">IF(B913="","",股指期货基差分析!$D$11)</f>
        <v>-19.923978315132629</v>
      </c>
      <c r="L913" s="43"/>
      <c r="Q913" s="11"/>
    </row>
    <row r="914" spans="2:17" ht="15" customHeight="1" x14ac:dyDescent="0.2">
      <c r="B914" s="7">
        <v>44844</v>
      </c>
      <c r="C914" s="5">
        <f>IF(B914="","",[1]!s_dq_close(股指期货基差分析!$E$5,$B914))</f>
        <v>5635.7109</v>
      </c>
      <c r="D914" s="5">
        <f>IF(B914="","",[1]!s_dq_close(股指期货基差分析!$E$6,$B914))</f>
        <v>5639.8</v>
      </c>
      <c r="E914" s="5">
        <f ca="1">RANK(F914,F:F)+COUNTIF(F$2:F914,F914)-1</f>
        <v>203</v>
      </c>
      <c r="F914" s="5">
        <f t="shared" si="15"/>
        <v>4.0891000000001441</v>
      </c>
      <c r="G914" s="5">
        <f ca="1">IF(B914="","",股指期货基差分析!$N$11)</f>
        <v>-71.408500000000458</v>
      </c>
      <c r="H914" s="5">
        <f ca="1">IF(B914="","",股指期货基差分析!$L$11)</f>
        <v>15.737900000000081</v>
      </c>
      <c r="I914" s="9">
        <f ca="1">IF(B914="","",股指期货基差分析!$D$11)</f>
        <v>-19.923978315132629</v>
      </c>
      <c r="L914" s="43"/>
      <c r="Q914" s="11"/>
    </row>
    <row r="915" spans="2:17" ht="15" customHeight="1" x14ac:dyDescent="0.2">
      <c r="B915" s="8">
        <v>44845</v>
      </c>
      <c r="C915" s="6">
        <f>IF(B915="","",[1]!s_dq_close(股指期货基差分析!$E$5,$B915))</f>
        <v>5684.5063</v>
      </c>
      <c r="D915" s="6">
        <f>IF(B915="","",[1]!s_dq_close(股指期货基差分析!$E$6,$B915))</f>
        <v>5682.8</v>
      </c>
      <c r="E915" s="6">
        <f ca="1">RANK(F915,F:F)+COUNTIF(F$2:F915,F915)-1</f>
        <v>339</v>
      </c>
      <c r="F915" s="6">
        <f t="shared" si="15"/>
        <v>-1.7062999999998283</v>
      </c>
      <c r="G915" s="6">
        <f ca="1">IF(B915="","",股指期货基差分析!$N$11)</f>
        <v>-71.408500000000458</v>
      </c>
      <c r="H915" s="6">
        <f ca="1">IF(B915="","",股指期货基差分析!$L$11)</f>
        <v>15.737900000000081</v>
      </c>
      <c r="I915" s="10">
        <f ca="1">IF(B915="","",股指期货基差分析!$D$11)</f>
        <v>-19.923978315132629</v>
      </c>
      <c r="L915" s="43"/>
      <c r="Q915" s="11"/>
    </row>
    <row r="916" spans="2:17" ht="15" customHeight="1" x14ac:dyDescent="0.2">
      <c r="B916" s="7">
        <v>44846</v>
      </c>
      <c r="C916" s="5">
        <f>IF(B916="","",[1]!s_dq_close(股指期货基差分析!$E$5,$B916))</f>
        <v>5820.4537</v>
      </c>
      <c r="D916" s="5">
        <f>IF(B916="","",[1]!s_dq_close(股指期货基差分析!$E$6,$B916))</f>
        <v>5812.8</v>
      </c>
      <c r="E916" s="5">
        <f ca="1">RANK(F916,F:F)+COUNTIF(F$2:F916,F916)-1</f>
        <v>494</v>
      </c>
      <c r="F916" s="5">
        <f t="shared" si="15"/>
        <v>-7.6536999999998443</v>
      </c>
      <c r="G916" s="5">
        <f ca="1">IF(B916="","",股指期货基差分析!$N$11)</f>
        <v>-71.408500000000458</v>
      </c>
      <c r="H916" s="5">
        <f ca="1">IF(B916="","",股指期货基差分析!$L$11)</f>
        <v>15.737900000000081</v>
      </c>
      <c r="I916" s="9">
        <f ca="1">IF(B916="","",股指期货基差分析!$D$11)</f>
        <v>-19.923978315132629</v>
      </c>
      <c r="L916" s="43"/>
      <c r="Q916" s="11"/>
    </row>
    <row r="917" spans="2:17" ht="15" customHeight="1" x14ac:dyDescent="0.2">
      <c r="B917" s="8">
        <v>44847</v>
      </c>
      <c r="C917" s="6">
        <f>IF(B917="","",[1]!s_dq_close(股指期货基差分析!$E$5,$B917))</f>
        <v>5830.3355000000001</v>
      </c>
      <c r="D917" s="6">
        <f>IF(B917="","",[1]!s_dq_close(股指期货基差分析!$E$6,$B917))</f>
        <v>5830.2</v>
      </c>
      <c r="E917" s="6">
        <f ca="1">RANK(F917,F:F)+COUNTIF(F$2:F917,F917)-1</f>
        <v>298</v>
      </c>
      <c r="F917" s="6">
        <f t="shared" si="15"/>
        <v>-0.13550000000032014</v>
      </c>
      <c r="G917" s="6">
        <f ca="1">IF(B917="","",股指期货基差分析!$N$11)</f>
        <v>-71.408500000000458</v>
      </c>
      <c r="H917" s="6">
        <f ca="1">IF(B917="","",股指期货基差分析!$L$11)</f>
        <v>15.737900000000081</v>
      </c>
      <c r="I917" s="10">
        <f ca="1">IF(B917="","",股指期货基差分析!$D$11)</f>
        <v>-19.923978315132629</v>
      </c>
      <c r="L917" s="43"/>
      <c r="Q917" s="11"/>
    </row>
    <row r="918" spans="2:17" ht="15" customHeight="1" x14ac:dyDescent="0.2">
      <c r="B918" s="7">
        <v>44848</v>
      </c>
      <c r="C918" s="5">
        <f>IF(B918="","",[1]!s_dq_close(股指期货基差分析!$E$5,$B918))</f>
        <v>5973.4389000000001</v>
      </c>
      <c r="D918" s="5">
        <f>IF(B918="","",[1]!s_dq_close(股指期货基差分析!$E$6,$B918))</f>
        <v>5983.8</v>
      </c>
      <c r="E918" s="5">
        <f ca="1">RANK(F918,F:F)+COUNTIF(F$2:F918,F918)-1</f>
        <v>109</v>
      </c>
      <c r="F918" s="5">
        <f t="shared" si="15"/>
        <v>10.361100000000079</v>
      </c>
      <c r="G918" s="5">
        <f ca="1">IF(B918="","",股指期货基差分析!$N$11)</f>
        <v>-71.408500000000458</v>
      </c>
      <c r="H918" s="5">
        <f ca="1">IF(B918="","",股指期货基差分析!$L$11)</f>
        <v>15.737900000000081</v>
      </c>
      <c r="I918" s="9">
        <f ca="1">IF(B918="","",股指期货基差分析!$D$11)</f>
        <v>-19.923978315132629</v>
      </c>
      <c r="L918" s="43"/>
      <c r="Q918" s="11"/>
    </row>
    <row r="919" spans="2:17" ht="15" customHeight="1" x14ac:dyDescent="0.2">
      <c r="B919" s="8">
        <v>44851</v>
      </c>
      <c r="C919" s="6">
        <f>IF(B919="","",[1]!s_dq_close(股指期货基差分析!$E$5,$B919))</f>
        <v>6015.5963000000002</v>
      </c>
      <c r="D919" s="6">
        <f>IF(B919="","",[1]!s_dq_close(股指期货基差分析!$E$6,$B919))</f>
        <v>6002.4</v>
      </c>
      <c r="E919" s="6">
        <f ca="1">RANK(F919,F:F)+COUNTIF(F$2:F919,F919)-1</f>
        <v>622</v>
      </c>
      <c r="F919" s="6">
        <f t="shared" si="15"/>
        <v>-13.19630000000052</v>
      </c>
      <c r="G919" s="6">
        <f ca="1">IF(B919="","",股指期货基差分析!$N$11)</f>
        <v>-71.408500000000458</v>
      </c>
      <c r="H919" s="6">
        <f ca="1">IF(B919="","",股指期货基差分析!$L$11)</f>
        <v>15.737900000000081</v>
      </c>
      <c r="I919" s="10">
        <f ca="1">IF(B919="","",股指期货基差分析!$D$11)</f>
        <v>-19.923978315132629</v>
      </c>
      <c r="L919" s="43"/>
      <c r="Q919" s="11"/>
    </row>
    <row r="920" spans="2:17" ht="15" customHeight="1" x14ac:dyDescent="0.2">
      <c r="B920" s="7">
        <v>44852</v>
      </c>
      <c r="C920" s="5">
        <f>IF(B920="","",[1]!s_dq_close(股指期货基差分析!$E$5,$B920))</f>
        <v>6035.6737000000003</v>
      </c>
      <c r="D920" s="5">
        <f>IF(B920="","",[1]!s_dq_close(股指期货基差分析!$E$6,$B920))</f>
        <v>6035.2</v>
      </c>
      <c r="E920" s="5">
        <f ca="1">RANK(F920,F:F)+COUNTIF(F$2:F920,F920)-1</f>
        <v>307</v>
      </c>
      <c r="F920" s="5">
        <f t="shared" si="15"/>
        <v>-0.47370000000046275</v>
      </c>
      <c r="G920" s="5">
        <f ca="1">IF(B920="","",股指期货基差分析!$N$11)</f>
        <v>-71.408500000000458</v>
      </c>
      <c r="H920" s="5">
        <f ca="1">IF(B920="","",股指期货基差分析!$L$11)</f>
        <v>15.737900000000081</v>
      </c>
      <c r="I920" s="9">
        <f ca="1">IF(B920="","",股指期货基差分析!$D$11)</f>
        <v>-19.923978315132629</v>
      </c>
      <c r="L920" s="43"/>
      <c r="Q920" s="11"/>
    </row>
    <row r="921" spans="2:17" ht="15" customHeight="1" x14ac:dyDescent="0.2">
      <c r="B921" s="8">
        <v>44853</v>
      </c>
      <c r="C921" s="6">
        <f>IF(B921="","",[1]!s_dq_close(股指期货基差分析!$E$5,$B921))</f>
        <v>5972.7226000000001</v>
      </c>
      <c r="D921" s="6">
        <f>IF(B921="","",[1]!s_dq_close(股指期货基差分析!$E$6,$B921))</f>
        <v>5981.2</v>
      </c>
      <c r="E921" s="6">
        <f ca="1">RANK(F921,F:F)+COUNTIF(F$2:F921,F921)-1</f>
        <v>129</v>
      </c>
      <c r="F921" s="6">
        <f t="shared" si="15"/>
        <v>8.4773999999997613</v>
      </c>
      <c r="G921" s="6">
        <f ca="1">IF(B921="","",股指期货基差分析!$N$11)</f>
        <v>-71.408500000000458</v>
      </c>
      <c r="H921" s="6">
        <f ca="1">IF(B921="","",股指期货基差分析!$L$11)</f>
        <v>15.737900000000081</v>
      </c>
      <c r="I921" s="10">
        <f ca="1">IF(B921="","",股指期货基差分析!$D$11)</f>
        <v>-19.923978315132629</v>
      </c>
      <c r="L921" s="43"/>
      <c r="Q921" s="11"/>
    </row>
    <row r="922" spans="2:17" ht="15" customHeight="1" x14ac:dyDescent="0.2">
      <c r="B922" s="7">
        <v>44854</v>
      </c>
      <c r="C922" s="5">
        <f>IF(B922="","",[1]!s_dq_close(股指期货基差分析!$E$5,$B922))</f>
        <v>5948.8621000000003</v>
      </c>
      <c r="D922" s="5">
        <f>IF(B922="","",[1]!s_dq_close(股指期货基差分析!$E$6,$B922))</f>
        <v>5964.6</v>
      </c>
      <c r="E922" s="5">
        <f ca="1">RANK(F922,F:F)+COUNTIF(F$2:F922,F922)-1</f>
        <v>64</v>
      </c>
      <c r="F922" s="5">
        <f t="shared" si="15"/>
        <v>15.737900000000081</v>
      </c>
      <c r="G922" s="5">
        <f ca="1">IF(B922="","",股指期货基差分析!$N$11)</f>
        <v>-71.408500000000458</v>
      </c>
      <c r="H922" s="5">
        <f ca="1">IF(B922="","",股指期货基差分析!$L$11)</f>
        <v>15.737900000000081</v>
      </c>
      <c r="I922" s="9">
        <f ca="1">IF(B922="","",股指期货基差分析!$D$11)</f>
        <v>-19.923978315132629</v>
      </c>
      <c r="L922" s="43"/>
      <c r="Q922" s="11"/>
    </row>
    <row r="923" spans="2:17" ht="15" customHeight="1" x14ac:dyDescent="0.2">
      <c r="B923" s="8">
        <v>44855</v>
      </c>
      <c r="C923" s="6">
        <f>IF(B923="","",[1]!s_dq_close(股指期货基差分析!$E$5,$B923))</f>
        <v>5956.8810999999996</v>
      </c>
      <c r="D923" s="6">
        <f>IF(B923="","",[1]!s_dq_close(股指期货基差分析!$E$6,$B923))</f>
        <v>5965.2</v>
      </c>
      <c r="E923" s="6">
        <f ca="1">RANK(F923,F:F)+COUNTIF(F$2:F923,F923)-1</f>
        <v>133</v>
      </c>
      <c r="F923" s="6">
        <f t="shared" si="15"/>
        <v>8.3189000000002125</v>
      </c>
      <c r="G923" s="6">
        <f ca="1">IF(B923="","",股指期货基差分析!$N$11)</f>
        <v>-71.408500000000458</v>
      </c>
      <c r="H923" s="6">
        <f ca="1">IF(B923="","",股指期货基差分析!$L$11)</f>
        <v>15.737900000000081</v>
      </c>
      <c r="I923" s="10">
        <f ca="1">IF(B923="","",股指期货基差分析!$D$11)</f>
        <v>-19.923978315132629</v>
      </c>
      <c r="L923" s="43"/>
      <c r="Q923" s="11"/>
    </row>
    <row r="924" spans="2:17" ht="15" customHeight="1" x14ac:dyDescent="0.2">
      <c r="B924" s="7">
        <v>44858</v>
      </c>
      <c r="C924" s="5">
        <f>IF(B924="","",[1]!s_dq_close(股指期货基差分析!$E$5,$B924))</f>
        <v>5896.9031000000004</v>
      </c>
      <c r="D924" s="5">
        <f>IF(B924="","",[1]!s_dq_close(股指期货基差分析!$E$6,$B924))</f>
        <v>5897.2</v>
      </c>
      <c r="E924" s="5">
        <f ca="1">RANK(F924,F:F)+COUNTIF(F$2:F924,F924)-1</f>
        <v>286</v>
      </c>
      <c r="F924" s="5">
        <f t="shared" si="15"/>
        <v>0.29689999999936845</v>
      </c>
      <c r="G924" s="5">
        <f ca="1">IF(B924="","",股指期货基差分析!$N$11)</f>
        <v>-71.408500000000458</v>
      </c>
      <c r="H924" s="5">
        <f ca="1">IF(B924="","",股指期货基差分析!$L$11)</f>
        <v>15.737900000000081</v>
      </c>
      <c r="I924" s="9">
        <f ca="1">IF(B924="","",股指期货基差分析!$D$11)</f>
        <v>-19.923978315132629</v>
      </c>
      <c r="L924" s="43"/>
      <c r="Q924" s="11"/>
    </row>
    <row r="925" spans="2:17" ht="15" customHeight="1" x14ac:dyDescent="0.2">
      <c r="B925" s="8">
        <v>44859</v>
      </c>
      <c r="C925" s="6">
        <f>IF(B925="","",[1]!s_dq_close(股指期货基差分析!$E$5,$B925))</f>
        <v>5869.7809999999999</v>
      </c>
      <c r="D925" s="6">
        <f>IF(B925="","",[1]!s_dq_close(股指期货基差分析!$E$6,$B925))</f>
        <v>5863.6</v>
      </c>
      <c r="E925" s="6">
        <f ca="1">RANK(F925,F:F)+COUNTIF(F$2:F925,F925)-1</f>
        <v>448</v>
      </c>
      <c r="F925" s="6">
        <f t="shared" si="15"/>
        <v>-6.1809999999995853</v>
      </c>
      <c r="G925" s="6">
        <f ca="1">IF(B925="","",股指期货基差分析!$N$11)</f>
        <v>-71.408500000000458</v>
      </c>
      <c r="H925" s="6">
        <f ca="1">IF(B925="","",股指期货基差分析!$L$11)</f>
        <v>15.737900000000081</v>
      </c>
      <c r="I925" s="10">
        <f ca="1">IF(B925="","",股指期货基差分析!$D$11)</f>
        <v>-19.923978315132629</v>
      </c>
      <c r="L925" s="43"/>
      <c r="Q925" s="11"/>
    </row>
    <row r="926" spans="2:17" ht="15" customHeight="1" x14ac:dyDescent="0.2">
      <c r="B926" s="7">
        <v>44860</v>
      </c>
      <c r="C926" s="5">
        <f>IF(B926="","",[1]!s_dq_close(股指期货基差分析!$E$5,$B926))</f>
        <v>5971.6009000000004</v>
      </c>
      <c r="D926" s="5">
        <f>IF(B926="","",[1]!s_dq_close(股指期货基差分析!$E$6,$B926))</f>
        <v>5975.8</v>
      </c>
      <c r="E926" s="5">
        <f ca="1">RANK(F926,F:F)+COUNTIF(F$2:F926,F926)-1</f>
        <v>197</v>
      </c>
      <c r="F926" s="5">
        <f t="shared" si="15"/>
        <v>4.1990999999998166</v>
      </c>
      <c r="G926" s="5">
        <f ca="1">IF(B926="","",股指期货基差分析!$N$11)</f>
        <v>-71.408500000000458</v>
      </c>
      <c r="H926" s="5">
        <f ca="1">IF(B926="","",股指期货基差分析!$L$11)</f>
        <v>15.737900000000081</v>
      </c>
      <c r="I926" s="9">
        <f ca="1">IF(B926="","",股指期货基差分析!$D$11)</f>
        <v>-19.923978315132629</v>
      </c>
      <c r="L926" s="43"/>
      <c r="Q926" s="11"/>
    </row>
    <row r="927" spans="2:17" ht="15" customHeight="1" x14ac:dyDescent="0.2">
      <c r="B927" s="8">
        <v>44861</v>
      </c>
      <c r="C927" s="6">
        <f>IF(B927="","",[1]!s_dq_close(股指期货基差分析!$E$5,$B927))</f>
        <v>5963.0037000000002</v>
      </c>
      <c r="D927" s="6">
        <f>IF(B927="","",[1]!s_dq_close(股指期货基差分析!$E$6,$B927))</f>
        <v>5971.2</v>
      </c>
      <c r="E927" s="6">
        <f ca="1">RANK(F927,F:F)+COUNTIF(F$2:F927,F927)-1</f>
        <v>134</v>
      </c>
      <c r="F927" s="6">
        <f t="shared" si="15"/>
        <v>8.19629999999961</v>
      </c>
      <c r="G927" s="6">
        <f ca="1">IF(B927="","",股指期货基差分析!$N$11)</f>
        <v>-71.408500000000458</v>
      </c>
      <c r="H927" s="6">
        <f ca="1">IF(B927="","",股指期货基差分析!$L$11)</f>
        <v>15.737900000000081</v>
      </c>
      <c r="I927" s="10">
        <f ca="1">IF(B927="","",股指期货基差分析!$D$11)</f>
        <v>-19.923978315132629</v>
      </c>
      <c r="L927" s="43"/>
      <c r="Q927" s="11"/>
    </row>
    <row r="928" spans="2:17" ht="15" customHeight="1" x14ac:dyDescent="0.2">
      <c r="B928" s="7">
        <v>44862</v>
      </c>
      <c r="C928" s="5">
        <f>IF(B928="","",[1]!s_dq_close(股指期货基差分析!$E$5,$B928))</f>
        <v>5781.7972</v>
      </c>
      <c r="D928" s="5">
        <f>IF(B928="","",[1]!s_dq_close(股指期货基差分析!$E$6,$B928))</f>
        <v>5771</v>
      </c>
      <c r="E928" s="5">
        <f ca="1">RANK(F928,F:F)+COUNTIF(F$2:F928,F928)-1</f>
        <v>568</v>
      </c>
      <c r="F928" s="5">
        <f t="shared" si="15"/>
        <v>-10.797199999999975</v>
      </c>
      <c r="G928" s="5">
        <f ca="1">IF(B928="","",股指期货基差分析!$N$11)</f>
        <v>-71.408500000000458</v>
      </c>
      <c r="H928" s="5">
        <f ca="1">IF(B928="","",股指期货基差分析!$L$11)</f>
        <v>15.737900000000081</v>
      </c>
      <c r="I928" s="9">
        <f ca="1">IF(B928="","",股指期货基差分析!$D$11)</f>
        <v>-19.923978315132629</v>
      </c>
      <c r="L928" s="43"/>
      <c r="Q928" s="11"/>
    </row>
    <row r="929" spans="2:17" ht="15" customHeight="1" x14ac:dyDescent="0.2">
      <c r="B929" s="8">
        <v>44865</v>
      </c>
      <c r="C929" s="6">
        <f>IF(B929="","",[1]!s_dq_close(股指期货基差分析!$E$5,$B929))</f>
        <v>5807.1063000000004</v>
      </c>
      <c r="D929" s="6">
        <f>IF(B929="","",[1]!s_dq_close(股指期货基差分析!$E$6,$B929))</f>
        <v>5805</v>
      </c>
      <c r="E929" s="6">
        <f ca="1">RANK(F929,F:F)+COUNTIF(F$2:F929,F929)-1</f>
        <v>349</v>
      </c>
      <c r="F929" s="6">
        <f t="shared" si="15"/>
        <v>-2.106300000000374</v>
      </c>
      <c r="G929" s="6">
        <f ca="1">IF(B929="","",股指期货基差分析!$N$11)</f>
        <v>-71.408500000000458</v>
      </c>
      <c r="H929" s="6">
        <f ca="1">IF(B929="","",股指期货基差分析!$L$11)</f>
        <v>15.737900000000081</v>
      </c>
      <c r="I929" s="10">
        <f ca="1">IF(B929="","",股指期货基差分析!$D$11)</f>
        <v>-19.923978315132629</v>
      </c>
      <c r="L929" s="43"/>
      <c r="Q929" s="11"/>
    </row>
    <row r="930" spans="2:17" ht="15" customHeight="1" x14ac:dyDescent="0.2">
      <c r="B930" s="7">
        <v>44866</v>
      </c>
      <c r="C930" s="5">
        <f>IF(B930="","",[1]!s_dq_close(股指期货基差分析!$E$5,$B930))</f>
        <v>5941.1450999999997</v>
      </c>
      <c r="D930" s="5">
        <f>IF(B930="","",[1]!s_dq_close(股指期货基差分析!$E$6,$B930))</f>
        <v>5965.4</v>
      </c>
      <c r="E930" s="5">
        <f ca="1">RANK(F930,F:F)+COUNTIF(F$2:F930,F930)-1</f>
        <v>28</v>
      </c>
      <c r="F930" s="5">
        <f t="shared" si="15"/>
        <v>24.254899999999907</v>
      </c>
      <c r="G930" s="5">
        <f ca="1">IF(B930="","",股指期货基差分析!$N$11)</f>
        <v>-71.408500000000458</v>
      </c>
      <c r="H930" s="5">
        <f ca="1">IF(B930="","",股指期货基差分析!$L$11)</f>
        <v>15.737900000000081</v>
      </c>
      <c r="I930" s="9">
        <f ca="1">IF(B930="","",股指期货基差分析!$D$11)</f>
        <v>-19.923978315132629</v>
      </c>
      <c r="L930" s="43"/>
      <c r="Q930" s="11"/>
    </row>
    <row r="931" spans="2:17" ht="15" customHeight="1" x14ac:dyDescent="0.2">
      <c r="B931" s="8">
        <v>44867</v>
      </c>
      <c r="C931" s="6">
        <f>IF(B931="","",[1]!s_dq_close(股指期货基差分析!$E$5,$B931))</f>
        <v>5997.8037999999997</v>
      </c>
      <c r="D931" s="6">
        <f>IF(B931="","",[1]!s_dq_close(股指期货基差分析!$E$6,$B931))</f>
        <v>6001.4</v>
      </c>
      <c r="E931" s="6">
        <f ca="1">RANK(F931,F:F)+COUNTIF(F$2:F931,F931)-1</f>
        <v>218</v>
      </c>
      <c r="F931" s="6">
        <f t="shared" si="15"/>
        <v>3.5961999999999534</v>
      </c>
      <c r="G931" s="6">
        <f ca="1">IF(B931="","",股指期货基差分析!$N$11)</f>
        <v>-71.408500000000458</v>
      </c>
      <c r="H931" s="6">
        <f ca="1">IF(B931="","",股指期货基差分析!$L$11)</f>
        <v>15.737900000000081</v>
      </c>
      <c r="I931" s="10">
        <f ca="1">IF(B931="","",股指期货基差分析!$D$11)</f>
        <v>-19.923978315132629</v>
      </c>
      <c r="L931" s="43"/>
      <c r="Q931" s="11"/>
    </row>
    <row r="932" spans="2:17" ht="15" customHeight="1" x14ac:dyDescent="0.2">
      <c r="B932" s="7">
        <v>44868</v>
      </c>
      <c r="C932" s="5">
        <f>IF(B932="","",[1]!s_dq_close(股指期货基差分析!$E$5,$B932))</f>
        <v>5996.7187000000004</v>
      </c>
      <c r="D932" s="5">
        <f>IF(B932="","",[1]!s_dq_close(股指期货基差分析!$E$6,$B932))</f>
        <v>6003</v>
      </c>
      <c r="E932" s="5">
        <f ca="1">RANK(F932,F:F)+COUNTIF(F$2:F932,F932)-1</f>
        <v>164</v>
      </c>
      <c r="F932" s="5">
        <f t="shared" si="15"/>
        <v>6.2812999999996464</v>
      </c>
      <c r="G932" s="5">
        <f ca="1">IF(B932="","",股指期货基差分析!$N$11)</f>
        <v>-71.408500000000458</v>
      </c>
      <c r="H932" s="5">
        <f ca="1">IF(B932="","",股指期货基差分析!$L$11)</f>
        <v>15.737900000000081</v>
      </c>
      <c r="I932" s="9">
        <f ca="1">IF(B932="","",股指期货基差分析!$D$11)</f>
        <v>-19.923978315132629</v>
      </c>
      <c r="L932" s="43"/>
      <c r="Q932" s="11"/>
    </row>
    <row r="933" spans="2:17" ht="15" customHeight="1" x14ac:dyDescent="0.2">
      <c r="B933" s="8">
        <v>44869</v>
      </c>
      <c r="C933" s="6">
        <f>IF(B933="","",[1]!s_dq_close(股指期货基差分析!$E$5,$B933))</f>
        <v>6133.4629000000004</v>
      </c>
      <c r="D933" s="6">
        <f>IF(B933="","",[1]!s_dq_close(股指期货基差分析!$E$6,$B933))</f>
        <v>6156.2</v>
      </c>
      <c r="E933" s="6">
        <f ca="1">RANK(F933,F:F)+COUNTIF(F$2:F933,F933)-1</f>
        <v>32</v>
      </c>
      <c r="F933" s="6">
        <f t="shared" si="15"/>
        <v>22.737099999999373</v>
      </c>
      <c r="G933" s="6">
        <f ca="1">IF(B933="","",股指期货基差分析!$N$11)</f>
        <v>-71.408500000000458</v>
      </c>
      <c r="H933" s="6">
        <f ca="1">IF(B933="","",股指期货基差分析!$L$11)</f>
        <v>15.737900000000081</v>
      </c>
      <c r="I933" s="10">
        <f ca="1">IF(B933="","",股指期货基差分析!$D$11)</f>
        <v>-19.923978315132629</v>
      </c>
      <c r="L933" s="43"/>
      <c r="Q933" s="11"/>
    </row>
    <row r="934" spans="2:17" ht="15" customHeight="1" x14ac:dyDescent="0.2">
      <c r="B934" s="7">
        <v>44872</v>
      </c>
      <c r="C934" s="5">
        <f>IF(B934="","",[1]!s_dq_close(股指期货基差分析!$E$5,$B934))</f>
        <v>6141.4088000000002</v>
      </c>
      <c r="D934" s="5">
        <f>IF(B934="","",[1]!s_dq_close(股指期货基差分析!$E$6,$B934))</f>
        <v>6136.4</v>
      </c>
      <c r="E934" s="5">
        <f ca="1">RANK(F934,F:F)+COUNTIF(F$2:F934,F934)-1</f>
        <v>416</v>
      </c>
      <c r="F934" s="5">
        <f t="shared" si="15"/>
        <v>-5.0088000000005195</v>
      </c>
      <c r="G934" s="5">
        <f ca="1">IF(B934="","",股指期货基差分析!$N$11)</f>
        <v>-71.408500000000458</v>
      </c>
      <c r="H934" s="5">
        <f ca="1">IF(B934="","",股指期货基差分析!$L$11)</f>
        <v>15.737900000000081</v>
      </c>
      <c r="I934" s="9">
        <f ca="1">IF(B934="","",股指期货基差分析!$D$11)</f>
        <v>-19.923978315132629</v>
      </c>
      <c r="L934" s="43"/>
      <c r="Q934" s="11"/>
    </row>
    <row r="935" spans="2:17" ht="15" customHeight="1" x14ac:dyDescent="0.2">
      <c r="B935" s="8">
        <v>44873</v>
      </c>
      <c r="C935" s="6">
        <f>IF(B935="","",[1]!s_dq_close(股指期货基差分析!$E$5,$B935))</f>
        <v>6134.2564000000002</v>
      </c>
      <c r="D935" s="6">
        <f>IF(B935="","",[1]!s_dq_close(股指期货基差分析!$E$6,$B935))</f>
        <v>6144.8</v>
      </c>
      <c r="E935" s="6">
        <f ca="1">RANK(F935,F:F)+COUNTIF(F$2:F935,F935)-1</f>
        <v>106</v>
      </c>
      <c r="F935" s="6">
        <f t="shared" si="15"/>
        <v>10.543599999999969</v>
      </c>
      <c r="G935" s="6">
        <f ca="1">IF(B935="","",股指期货基差分析!$N$11)</f>
        <v>-71.408500000000458</v>
      </c>
      <c r="H935" s="6">
        <f ca="1">IF(B935="","",股指期货基差分析!$L$11)</f>
        <v>15.737900000000081</v>
      </c>
      <c r="I935" s="10">
        <f ca="1">IF(B935="","",股指期货基差分析!$D$11)</f>
        <v>-19.923978315132629</v>
      </c>
      <c r="L935" s="43"/>
      <c r="Q935" s="11"/>
    </row>
    <row r="936" spans="2:17" ht="15" customHeight="1" x14ac:dyDescent="0.2">
      <c r="B936" s="7">
        <v>44874</v>
      </c>
      <c r="C936" s="5">
        <f>IF(B936="","",[1]!s_dq_close(股指期货基差分析!$E$5,$B936))</f>
        <v>6120.8285999999998</v>
      </c>
      <c r="D936" s="5">
        <f>IF(B936="","",[1]!s_dq_close(股指期货基差分析!$E$6,$B936))</f>
        <v>6123.2</v>
      </c>
      <c r="E936" s="5">
        <f ca="1">RANK(F936,F:F)+COUNTIF(F$2:F936,F936)-1</f>
        <v>255</v>
      </c>
      <c r="F936" s="5">
        <f t="shared" si="15"/>
        <v>2.3713999999999942</v>
      </c>
      <c r="G936" s="5">
        <f ca="1">IF(B936="","",股指期货基差分析!$N$11)</f>
        <v>-71.408500000000458</v>
      </c>
      <c r="H936" s="5">
        <f ca="1">IF(B936="","",股指期货基差分析!$L$11)</f>
        <v>15.737900000000081</v>
      </c>
      <c r="I936" s="9">
        <f ca="1">IF(B936="","",股指期货基差分析!$D$11)</f>
        <v>-19.923978315132629</v>
      </c>
      <c r="L936" s="43"/>
      <c r="Q936" s="11"/>
    </row>
    <row r="937" spans="2:17" ht="15" customHeight="1" x14ac:dyDescent="0.2">
      <c r="B937" s="8">
        <v>44875</v>
      </c>
      <c r="C937" s="6">
        <f>IF(B937="","",[1]!s_dq_close(股指期货基差分析!$E$5,$B937))</f>
        <v>6089.6950999999999</v>
      </c>
      <c r="D937" s="6">
        <f>IF(B937="","",[1]!s_dq_close(股指期货基差分析!$E$6,$B937))</f>
        <v>6106</v>
      </c>
      <c r="E937" s="6">
        <f ca="1">RANK(F937,F:F)+COUNTIF(F$2:F937,F937)-1</f>
        <v>61</v>
      </c>
      <c r="F937" s="6">
        <f t="shared" si="15"/>
        <v>16.304900000000089</v>
      </c>
      <c r="G937" s="6">
        <f ca="1">IF(B937="","",股指期货基差分析!$N$11)</f>
        <v>-71.408500000000458</v>
      </c>
      <c r="H937" s="6">
        <f ca="1">IF(B937="","",股指期货基差分析!$L$11)</f>
        <v>15.737900000000081</v>
      </c>
      <c r="I937" s="10">
        <f ca="1">IF(B937="","",股指期货基差分析!$D$11)</f>
        <v>-19.923978315132629</v>
      </c>
      <c r="L937" s="43"/>
      <c r="Q937" s="11"/>
    </row>
    <row r="938" spans="2:17" ht="15" customHeight="1" x14ac:dyDescent="0.2">
      <c r="B938" s="7">
        <v>44876</v>
      </c>
      <c r="C938" s="5">
        <f>IF(B938="","",[1]!s_dq_close(股指期货基差分析!$E$5,$B938))</f>
        <v>6138.6211000000003</v>
      </c>
      <c r="D938" s="5">
        <f>IF(B938="","",[1]!s_dq_close(股指期货基差分析!$E$6,$B938))</f>
        <v>6139.6</v>
      </c>
      <c r="E938" s="5">
        <f ca="1">RANK(F938,F:F)+COUNTIF(F$2:F938,F938)-1</f>
        <v>270</v>
      </c>
      <c r="F938" s="5">
        <f t="shared" si="15"/>
        <v>0.97890000000006694</v>
      </c>
      <c r="G938" s="5">
        <f ca="1">IF(B938="","",股指期货基差分析!$N$11)</f>
        <v>-71.408500000000458</v>
      </c>
      <c r="H938" s="5">
        <f ca="1">IF(B938="","",股指期货基差分析!$L$11)</f>
        <v>15.737900000000081</v>
      </c>
      <c r="I938" s="9">
        <f ca="1">IF(B938="","",股指期货基差分析!$D$11)</f>
        <v>-19.923978315132629</v>
      </c>
      <c r="L938" s="43"/>
      <c r="Q938" s="11"/>
    </row>
    <row r="939" spans="2:17" ht="15" customHeight="1" x14ac:dyDescent="0.2">
      <c r="B939" s="8">
        <v>44879</v>
      </c>
      <c r="C939" s="6">
        <f>IF(B939="","",[1]!s_dq_close(股指期货基差分析!$E$5,$B939))</f>
        <v>6129.5128999999997</v>
      </c>
      <c r="D939" s="6">
        <f>IF(B939="","",[1]!s_dq_close(股指期货基差分析!$E$6,$B939))</f>
        <v>6126.4</v>
      </c>
      <c r="E939" s="6">
        <f ca="1">RANK(F939,F:F)+COUNTIF(F$2:F939,F939)-1</f>
        <v>374</v>
      </c>
      <c r="F939" s="6">
        <f t="shared" si="15"/>
        <v>-3.1129000000000815</v>
      </c>
      <c r="G939" s="6">
        <f ca="1">IF(B939="","",股指期货基差分析!$N$11)</f>
        <v>-71.408500000000458</v>
      </c>
      <c r="H939" s="6">
        <f ca="1">IF(B939="","",股指期货基差分析!$L$11)</f>
        <v>15.737900000000081</v>
      </c>
      <c r="I939" s="10">
        <f ca="1">IF(B939="","",股指期货基差分析!$D$11)</f>
        <v>-19.923978315132629</v>
      </c>
      <c r="L939" s="43"/>
      <c r="Q939" s="11"/>
    </row>
    <row r="940" spans="2:17" ht="15" customHeight="1" x14ac:dyDescent="0.2">
      <c r="B940" s="7">
        <v>44880</v>
      </c>
      <c r="C940" s="5">
        <f>IF(B940="","",[1]!s_dq_close(股指期货基差分析!$E$5,$B940))</f>
        <v>6236.3837999999996</v>
      </c>
      <c r="D940" s="5">
        <f>IF(B940="","",[1]!s_dq_close(股指期货基差分析!$E$6,$B940))</f>
        <v>6231.2</v>
      </c>
      <c r="E940" s="5">
        <f ca="1">RANK(F940,F:F)+COUNTIF(F$2:F940,F940)-1</f>
        <v>419</v>
      </c>
      <c r="F940" s="5">
        <f t="shared" si="15"/>
        <v>-5.1837999999997919</v>
      </c>
      <c r="G940" s="5">
        <f ca="1">IF(B940="","",股指期货基差分析!$N$11)</f>
        <v>-71.408500000000458</v>
      </c>
      <c r="H940" s="5">
        <f ca="1">IF(B940="","",股指期货基差分析!$L$11)</f>
        <v>15.737900000000081</v>
      </c>
      <c r="I940" s="9">
        <f ca="1">IF(B940="","",股指期货基差分析!$D$11)</f>
        <v>-19.923978315132629</v>
      </c>
      <c r="L940" s="43"/>
      <c r="Q940" s="11"/>
    </row>
    <row r="941" spans="2:17" ht="15" customHeight="1" x14ac:dyDescent="0.2">
      <c r="B941" s="8">
        <v>44881</v>
      </c>
      <c r="C941" s="6">
        <f>IF(B941="","",[1]!s_dq_close(股指期货基差分析!$E$5,$B941))</f>
        <v>6203.9174000000003</v>
      </c>
      <c r="D941" s="6">
        <f>IF(B941="","",[1]!s_dq_close(股指期货基差分析!$E$6,$B941))</f>
        <v>6206.4</v>
      </c>
      <c r="E941" s="6">
        <f ca="1">RANK(F941,F:F)+COUNTIF(F$2:F941,F941)-1</f>
        <v>249</v>
      </c>
      <c r="F941" s="6">
        <f t="shared" si="15"/>
        <v>2.4825999999993655</v>
      </c>
      <c r="G941" s="6">
        <f ca="1">IF(B941="","",股指期货基差分析!$N$11)</f>
        <v>-71.408500000000458</v>
      </c>
      <c r="H941" s="6">
        <f ca="1">IF(B941="","",股指期货基差分析!$L$11)</f>
        <v>15.737900000000081</v>
      </c>
      <c r="I941" s="10">
        <f ca="1">IF(B941="","",股指期货基差分析!$D$11)</f>
        <v>-19.923978315132629</v>
      </c>
      <c r="L941" s="43"/>
      <c r="Q941" s="11"/>
    </row>
    <row r="942" spans="2:17" ht="15" customHeight="1" x14ac:dyDescent="0.2">
      <c r="B942" s="7">
        <v>44882</v>
      </c>
      <c r="C942" s="5">
        <f>IF(B942="","",[1]!s_dq_close(股指期货基差分析!$E$5,$B942))</f>
        <v>6217.2052000000003</v>
      </c>
      <c r="D942" s="5">
        <f>IF(B942="","",[1]!s_dq_close(股指期货基差分析!$E$6,$B942))</f>
        <v>6215.2</v>
      </c>
      <c r="E942" s="5">
        <f ca="1">RANK(F942,F:F)+COUNTIF(F$2:F942,F942)-1</f>
        <v>348</v>
      </c>
      <c r="F942" s="5">
        <f t="shared" si="15"/>
        <v>-2.0052000000005137</v>
      </c>
      <c r="G942" s="5">
        <f ca="1">IF(B942="","",股指期货基差分析!$N$11)</f>
        <v>-71.408500000000458</v>
      </c>
      <c r="H942" s="5">
        <f ca="1">IF(B942="","",股指期货基差分析!$L$11)</f>
        <v>15.737900000000081</v>
      </c>
      <c r="I942" s="9">
        <f ca="1">IF(B942="","",股指期货基差分析!$D$11)</f>
        <v>-19.923978315132629</v>
      </c>
      <c r="L942" s="43"/>
      <c r="Q942" s="11"/>
    </row>
    <row r="943" spans="2:17" ht="15" customHeight="1" x14ac:dyDescent="0.2">
      <c r="B943" s="8">
        <v>44883</v>
      </c>
      <c r="C943" s="6">
        <f>IF(B943="","",[1]!s_dq_close(股指期货基差分析!$E$5,$B943))</f>
        <v>6191.6477000000004</v>
      </c>
      <c r="D943" s="6">
        <f>IF(B943="","",[1]!s_dq_close(股指期货基差分析!$E$6,$B943))</f>
        <v>6213.8</v>
      </c>
      <c r="E943" s="6">
        <f ca="1">RANK(F943,F:F)+COUNTIF(F$2:F943,F943)-1</f>
        <v>34</v>
      </c>
      <c r="F943" s="6">
        <f t="shared" si="15"/>
        <v>22.152299999999741</v>
      </c>
      <c r="G943" s="6">
        <f ca="1">IF(B943="","",股指期货基差分析!$N$11)</f>
        <v>-71.408500000000458</v>
      </c>
      <c r="H943" s="6">
        <f ca="1">IF(B943="","",股指期货基差分析!$L$11)</f>
        <v>15.737900000000081</v>
      </c>
      <c r="I943" s="10">
        <f ca="1">IF(B943="","",股指期货基差分析!$D$11)</f>
        <v>-19.923978315132629</v>
      </c>
      <c r="L943" s="43"/>
      <c r="Q943" s="11"/>
    </row>
    <row r="944" spans="2:17" ht="15" customHeight="1" x14ac:dyDescent="0.2">
      <c r="B944" s="7">
        <v>44886</v>
      </c>
      <c r="C944" s="5">
        <f>IF(B944="","",[1]!s_dq_close(股指期货基差分析!$E$5,$B944))</f>
        <v>6189.7092000000002</v>
      </c>
      <c r="D944" s="5">
        <f>IF(B944="","",[1]!s_dq_close(股指期货基差分析!$E$6,$B944))</f>
        <v>6204.2</v>
      </c>
      <c r="E944" s="5">
        <f ca="1">RANK(F944,F:F)+COUNTIF(F$2:F944,F944)-1</f>
        <v>69</v>
      </c>
      <c r="F944" s="5">
        <f t="shared" si="15"/>
        <v>14.490799999999581</v>
      </c>
      <c r="G944" s="5">
        <f ca="1">IF(B944="","",股指期货基差分析!$N$11)</f>
        <v>-71.408500000000458</v>
      </c>
      <c r="H944" s="5">
        <f ca="1">IF(B944="","",股指期货基差分析!$L$11)</f>
        <v>15.737900000000081</v>
      </c>
      <c r="I944" s="9">
        <f ca="1">IF(B944="","",股指期货基差分析!$D$11)</f>
        <v>-19.923978315132629</v>
      </c>
      <c r="L944" s="43"/>
      <c r="Q944" s="11"/>
    </row>
    <row r="945" spans="2:17" ht="15" customHeight="1" x14ac:dyDescent="0.2">
      <c r="B945" s="8">
        <v>44887</v>
      </c>
      <c r="C945" s="6">
        <f>IF(B945="","",[1]!s_dq_close(股指期货基差分析!$E$5,$B945))</f>
        <v>6125.3999000000003</v>
      </c>
      <c r="D945" s="6">
        <f>IF(B945="","",[1]!s_dq_close(股指期货基差分析!$E$6,$B945))</f>
        <v>6136.6</v>
      </c>
      <c r="E945" s="6">
        <f ca="1">RANK(F945,F:F)+COUNTIF(F$2:F945,F945)-1</f>
        <v>96</v>
      </c>
      <c r="F945" s="6">
        <f t="shared" si="15"/>
        <v>11.20010000000002</v>
      </c>
      <c r="G945" s="6">
        <f ca="1">IF(B945="","",股指期货基差分析!$N$11)</f>
        <v>-71.408500000000458</v>
      </c>
      <c r="H945" s="6">
        <f ca="1">IF(B945="","",股指期货基差分析!$L$11)</f>
        <v>15.737900000000081</v>
      </c>
      <c r="I945" s="10">
        <f ca="1">IF(B945="","",股指期货基差分析!$D$11)</f>
        <v>-19.923978315132629</v>
      </c>
      <c r="L945" s="43"/>
      <c r="Q945" s="11"/>
    </row>
    <row r="946" spans="2:17" ht="15" customHeight="1" x14ac:dyDescent="0.2">
      <c r="B946" s="7">
        <v>44888</v>
      </c>
      <c r="C946" s="5">
        <f>IF(B946="","",[1]!s_dq_close(股指期货基差分析!$E$5,$B946))</f>
        <v>6115.6049000000003</v>
      </c>
      <c r="D946" s="5">
        <f>IF(B946="","",[1]!s_dq_close(股指期货基差分析!$E$6,$B946))</f>
        <v>6128.6</v>
      </c>
      <c r="E946" s="5">
        <f ca="1">RANK(F946,F:F)+COUNTIF(F$2:F946,F946)-1</f>
        <v>80</v>
      </c>
      <c r="F946" s="5">
        <f t="shared" si="15"/>
        <v>12.995100000000093</v>
      </c>
      <c r="G946" s="5">
        <f ca="1">IF(B946="","",股指期货基差分析!$N$11)</f>
        <v>-71.408500000000458</v>
      </c>
      <c r="H946" s="5">
        <f ca="1">IF(B946="","",股指期货基差分析!$L$11)</f>
        <v>15.737900000000081</v>
      </c>
      <c r="I946" s="9">
        <f ca="1">IF(B946="","",股指期货基差分析!$D$11)</f>
        <v>-19.923978315132629</v>
      </c>
      <c r="L946" s="43"/>
      <c r="Q946" s="11"/>
    </row>
    <row r="947" spans="2:17" ht="15" customHeight="1" x14ac:dyDescent="0.2">
      <c r="B947" s="8">
        <v>44889</v>
      </c>
      <c r="C947" s="6">
        <f>IF(B947="","",[1]!s_dq_close(股指期货基差分析!$E$5,$B947))</f>
        <v>6120.0658999999996</v>
      </c>
      <c r="D947" s="6">
        <f>IF(B947="","",[1]!s_dq_close(股指期货基差分析!$E$6,$B947))</f>
        <v>6133.4</v>
      </c>
      <c r="E947" s="6">
        <f ca="1">RANK(F947,F:F)+COUNTIF(F$2:F947,F947)-1</f>
        <v>78</v>
      </c>
      <c r="F947" s="6">
        <f t="shared" si="15"/>
        <v>13.334100000000035</v>
      </c>
      <c r="G947" s="6">
        <f ca="1">IF(B947="","",股指期货基差分析!$N$11)</f>
        <v>-71.408500000000458</v>
      </c>
      <c r="H947" s="6">
        <f ca="1">IF(B947="","",股指期货基差分析!$L$11)</f>
        <v>15.737900000000081</v>
      </c>
      <c r="I947" s="10">
        <f ca="1">IF(B947="","",股指期货基差分析!$D$11)</f>
        <v>-19.923978315132629</v>
      </c>
      <c r="L947" s="43"/>
      <c r="Q947" s="11"/>
    </row>
    <row r="948" spans="2:17" ht="15" customHeight="1" x14ac:dyDescent="0.2">
      <c r="B948" s="7">
        <v>44890</v>
      </c>
      <c r="C948" s="5">
        <f>IF(B948="","",[1]!s_dq_close(股指期货基差分析!$E$5,$B948))</f>
        <v>6087.8590999999997</v>
      </c>
      <c r="D948" s="5">
        <f>IF(B948="","",[1]!s_dq_close(股指期货基差分析!$E$6,$B948))</f>
        <v>6096.2</v>
      </c>
      <c r="E948" s="5">
        <f ca="1">RANK(F948,F:F)+COUNTIF(F$2:F948,F948)-1</f>
        <v>132</v>
      </c>
      <c r="F948" s="5">
        <f t="shared" si="15"/>
        <v>8.340900000000147</v>
      </c>
      <c r="G948" s="5">
        <f ca="1">IF(B948="","",股指期货基差分析!$N$11)</f>
        <v>-71.408500000000458</v>
      </c>
      <c r="H948" s="5">
        <f ca="1">IF(B948="","",股指期货基差分析!$L$11)</f>
        <v>15.737900000000081</v>
      </c>
      <c r="I948" s="9">
        <f ca="1">IF(B948="","",股指期货基差分析!$D$11)</f>
        <v>-19.923978315132629</v>
      </c>
      <c r="L948" s="43"/>
      <c r="Q948" s="11"/>
    </row>
    <row r="949" spans="2:17" ht="15" customHeight="1" x14ac:dyDescent="0.2">
      <c r="B949" s="8">
        <v>44893</v>
      </c>
      <c r="C949" s="6">
        <f>IF(B949="","",[1]!s_dq_close(股指期货基差分析!$E$5,$B949))</f>
        <v>6055.2843000000003</v>
      </c>
      <c r="D949" s="6">
        <f>IF(B949="","",[1]!s_dq_close(股指期货基差分析!$E$6,$B949))</f>
        <v>6074.8</v>
      </c>
      <c r="E949" s="6">
        <f ca="1">RANK(F949,F:F)+COUNTIF(F$2:F949,F949)-1</f>
        <v>43</v>
      </c>
      <c r="F949" s="6">
        <f t="shared" si="15"/>
        <v>19.515699999999924</v>
      </c>
      <c r="G949" s="6">
        <f ca="1">IF(B949="","",股指期货基差分析!$N$11)</f>
        <v>-71.408500000000458</v>
      </c>
      <c r="H949" s="6">
        <f ca="1">IF(B949="","",股指期货基差分析!$L$11)</f>
        <v>15.737900000000081</v>
      </c>
      <c r="I949" s="10">
        <f ca="1">IF(B949="","",股指期货基差分析!$D$11)</f>
        <v>-19.923978315132629</v>
      </c>
      <c r="L949" s="43"/>
      <c r="Q949" s="11"/>
    </row>
    <row r="950" spans="2:17" ht="15" customHeight="1" x14ac:dyDescent="0.2">
      <c r="B950" s="7">
        <v>44894</v>
      </c>
      <c r="C950" s="5">
        <f>IF(B950="","",[1]!s_dq_close(股指期货基差分析!$E$5,$B950))</f>
        <v>6163.8213999999998</v>
      </c>
      <c r="D950" s="5">
        <f>IF(B950="","",[1]!s_dq_close(股指期货基差分析!$E$6,$B950))</f>
        <v>6172.8</v>
      </c>
      <c r="E950" s="5">
        <f ca="1">RANK(F950,F:F)+COUNTIF(F$2:F950,F950)-1</f>
        <v>119</v>
      </c>
      <c r="F950" s="5">
        <f t="shared" si="15"/>
        <v>8.9786000000003696</v>
      </c>
      <c r="G950" s="5">
        <f ca="1">IF(B950="","",股指期货基差分析!$N$11)</f>
        <v>-71.408500000000458</v>
      </c>
      <c r="H950" s="5">
        <f ca="1">IF(B950="","",股指期货基差分析!$L$11)</f>
        <v>15.737900000000081</v>
      </c>
      <c r="I950" s="9">
        <f ca="1">IF(B950="","",股指期货基差分析!$D$11)</f>
        <v>-19.923978315132629</v>
      </c>
      <c r="L950" s="43"/>
      <c r="Q950" s="11"/>
    </row>
    <row r="951" spans="2:17" ht="15" customHeight="1" x14ac:dyDescent="0.2">
      <c r="B951" s="8">
        <v>44895</v>
      </c>
      <c r="C951" s="6">
        <f>IF(B951="","",[1]!s_dq_close(股指期货基差分析!$E$5,$B951))</f>
        <v>6156.1464999999998</v>
      </c>
      <c r="D951" s="6">
        <f>IF(B951="","",[1]!s_dq_close(股指期货基差分析!$E$6,$B951))</f>
        <v>6163.8</v>
      </c>
      <c r="E951" s="6">
        <f ca="1">RANK(F951,F:F)+COUNTIF(F$2:F951,F951)-1</f>
        <v>142</v>
      </c>
      <c r="F951" s="6">
        <f t="shared" si="15"/>
        <v>7.6535000000003492</v>
      </c>
      <c r="G951" s="6">
        <f ca="1">IF(B951="","",股指期货基差分析!$N$11)</f>
        <v>-71.408500000000458</v>
      </c>
      <c r="H951" s="6">
        <f ca="1">IF(B951="","",股指期货基差分析!$L$11)</f>
        <v>15.737900000000081</v>
      </c>
      <c r="I951" s="10">
        <f ca="1">IF(B951="","",股指期货基差分析!$D$11)</f>
        <v>-19.923978315132629</v>
      </c>
      <c r="L951" s="43"/>
      <c r="Q951" s="11"/>
    </row>
    <row r="952" spans="2:17" ht="15" customHeight="1" x14ac:dyDescent="0.2">
      <c r="B952" s="7">
        <v>44896</v>
      </c>
      <c r="C952" s="5">
        <f>IF(B952="","",[1]!s_dq_close(股指期货基差分析!$E$5,$B952))</f>
        <v>6186.1021000000001</v>
      </c>
      <c r="D952" s="5">
        <f>IF(B952="","",[1]!s_dq_close(股指期货基差分析!$E$6,$B952))</f>
        <v>6190</v>
      </c>
      <c r="E952" s="5">
        <f ca="1">RANK(F952,F:F)+COUNTIF(F$2:F952,F952)-1</f>
        <v>209</v>
      </c>
      <c r="F952" s="5">
        <f t="shared" si="15"/>
        <v>3.897899999999936</v>
      </c>
      <c r="G952" s="5">
        <f ca="1">IF(B952="","",股指期货基差分析!$N$11)</f>
        <v>-71.408500000000458</v>
      </c>
      <c r="H952" s="5">
        <f ca="1">IF(B952="","",股指期货基差分析!$L$11)</f>
        <v>15.737900000000081</v>
      </c>
      <c r="I952" s="9">
        <f ca="1">IF(B952="","",股指期货基差分析!$D$11)</f>
        <v>-19.923978315132629</v>
      </c>
      <c r="L952" s="43"/>
      <c r="Q952" s="11"/>
    </row>
    <row r="953" spans="2:17" ht="15" customHeight="1" x14ac:dyDescent="0.2">
      <c r="B953" s="8">
        <v>44897</v>
      </c>
      <c r="C953" s="6">
        <f>IF(B953="","",[1]!s_dq_close(股指期货基差分析!$E$5,$B953))</f>
        <v>6168.0127000000002</v>
      </c>
      <c r="D953" s="6">
        <f>IF(B953="","",[1]!s_dq_close(股指期货基差分析!$E$6,$B953))</f>
        <v>6176</v>
      </c>
      <c r="E953" s="6">
        <f ca="1">RANK(F953,F:F)+COUNTIF(F$2:F953,F953)-1</f>
        <v>138</v>
      </c>
      <c r="F953" s="6">
        <f t="shared" si="15"/>
        <v>7.9872999999997774</v>
      </c>
      <c r="G953" s="6">
        <f ca="1">IF(B953="","",股指期货基差分析!$N$11)</f>
        <v>-71.408500000000458</v>
      </c>
      <c r="H953" s="6">
        <f ca="1">IF(B953="","",股指期货基差分析!$L$11)</f>
        <v>15.737900000000081</v>
      </c>
      <c r="I953" s="10">
        <f ca="1">IF(B953="","",股指期货基差分析!$D$11)</f>
        <v>-19.923978315132629</v>
      </c>
      <c r="L953" s="43"/>
      <c r="Q953" s="11"/>
    </row>
    <row r="954" spans="2:17" ht="15" customHeight="1" x14ac:dyDescent="0.2">
      <c r="B954" s="7">
        <v>44900</v>
      </c>
      <c r="C954" s="5">
        <f>IF(B954="","",[1]!s_dq_close(股指期货基差分析!$E$5,$B954))</f>
        <v>6215.1243999999997</v>
      </c>
      <c r="D954" s="5">
        <f>IF(B954="","",[1]!s_dq_close(股指期货基差分析!$E$6,$B954))</f>
        <v>6209.6</v>
      </c>
      <c r="E954" s="5">
        <f ca="1">RANK(F954,F:F)+COUNTIF(F$2:F954,F954)-1</f>
        <v>427</v>
      </c>
      <c r="F954" s="5">
        <f t="shared" si="15"/>
        <v>-5.5243999999993321</v>
      </c>
      <c r="G954" s="5">
        <f ca="1">IF(B954="","",股指期货基差分析!$N$11)</f>
        <v>-71.408500000000458</v>
      </c>
      <c r="H954" s="5">
        <f ca="1">IF(B954="","",股指期货基差分析!$L$11)</f>
        <v>15.737900000000081</v>
      </c>
      <c r="I954" s="9">
        <f ca="1">IF(B954="","",股指期货基差分析!$D$11)</f>
        <v>-19.923978315132629</v>
      </c>
      <c r="L954" s="43"/>
      <c r="Q954" s="11"/>
    </row>
    <row r="955" spans="2:17" ht="15" customHeight="1" x14ac:dyDescent="0.2">
      <c r="B955" s="8">
        <v>44901</v>
      </c>
      <c r="C955" s="6">
        <f>IF(B955="","",[1]!s_dq_close(股指期货基差分析!$E$5,$B955))</f>
        <v>6211.2515000000003</v>
      </c>
      <c r="D955" s="6">
        <f>IF(B955="","",[1]!s_dq_close(股指期货基差分析!$E$6,$B955))</f>
        <v>6214.6</v>
      </c>
      <c r="E955" s="6">
        <f ca="1">RANK(F955,F:F)+COUNTIF(F$2:F955,F955)-1</f>
        <v>228</v>
      </c>
      <c r="F955" s="6">
        <f t="shared" si="15"/>
        <v>3.3485000000000582</v>
      </c>
      <c r="G955" s="6">
        <f ca="1">IF(B955="","",股指期货基差分析!$N$11)</f>
        <v>-71.408500000000458</v>
      </c>
      <c r="H955" s="6">
        <f ca="1">IF(B955="","",股指期货基差分析!$L$11)</f>
        <v>15.737900000000081</v>
      </c>
      <c r="I955" s="10">
        <f ca="1">IF(B955="","",股指期货基差分析!$D$11)</f>
        <v>-19.923978315132629</v>
      </c>
      <c r="L955" s="43"/>
      <c r="Q955" s="11"/>
    </row>
    <row r="956" spans="2:17" ht="15" customHeight="1" x14ac:dyDescent="0.2">
      <c r="B956" s="7">
        <v>44902</v>
      </c>
      <c r="C956" s="5">
        <f>IF(B956="","",[1]!s_dq_close(股指期货基差分析!$E$5,$B956))</f>
        <v>6204.0051000000003</v>
      </c>
      <c r="D956" s="5">
        <f>IF(B956="","",[1]!s_dq_close(股指期货基差分析!$E$6,$B956))</f>
        <v>6201.2</v>
      </c>
      <c r="E956" s="5">
        <f ca="1">RANK(F956,F:F)+COUNTIF(F$2:F956,F956)-1</f>
        <v>365</v>
      </c>
      <c r="F956" s="5">
        <f t="shared" si="15"/>
        <v>-2.8051000000004933</v>
      </c>
      <c r="G956" s="5">
        <f ca="1">IF(B956="","",股指期货基差分析!$N$11)</f>
        <v>-71.408500000000458</v>
      </c>
      <c r="H956" s="5">
        <f ca="1">IF(B956="","",股指期货基差分析!$L$11)</f>
        <v>15.737900000000081</v>
      </c>
      <c r="I956" s="9">
        <f ca="1">IF(B956="","",股指期货基差分析!$D$11)</f>
        <v>-19.923978315132629</v>
      </c>
      <c r="L956" s="43"/>
      <c r="Q956" s="11"/>
    </row>
    <row r="957" spans="2:17" ht="15" customHeight="1" x14ac:dyDescent="0.2">
      <c r="B957" s="8">
        <v>44903</v>
      </c>
      <c r="C957" s="6">
        <f>IF(B957="","",[1]!s_dq_close(股指期货基差分析!$E$5,$B957))</f>
        <v>6186.2834999999995</v>
      </c>
      <c r="D957" s="6">
        <f>IF(B957="","",[1]!s_dq_close(股指期货基差分析!$E$6,$B957))</f>
        <v>6192.2</v>
      </c>
      <c r="E957" s="6">
        <f ca="1">RANK(F957,F:F)+COUNTIF(F$2:F957,F957)-1</f>
        <v>172</v>
      </c>
      <c r="F957" s="6">
        <f t="shared" si="15"/>
        <v>5.9165000000002692</v>
      </c>
      <c r="G957" s="6">
        <f ca="1">IF(B957="","",股指期货基差分析!$N$11)</f>
        <v>-71.408500000000458</v>
      </c>
      <c r="H957" s="6">
        <f ca="1">IF(B957="","",股指期货基差分析!$L$11)</f>
        <v>15.737900000000081</v>
      </c>
      <c r="I957" s="10">
        <f ca="1">IF(B957="","",股指期货基差分析!$D$11)</f>
        <v>-19.923978315132629</v>
      </c>
      <c r="L957" s="43"/>
      <c r="Q957" s="11"/>
    </row>
    <row r="958" spans="2:17" ht="15" customHeight="1" x14ac:dyDescent="0.2">
      <c r="B958" s="7">
        <v>44904</v>
      </c>
      <c r="C958" s="5">
        <f>IF(B958="","",[1]!s_dq_close(股指期货基差分析!$E$5,$B958))</f>
        <v>6192.3009000000002</v>
      </c>
      <c r="D958" s="5">
        <f>IF(B958="","",[1]!s_dq_close(股指期货基差分析!$E$6,$B958))</f>
        <v>6204.2</v>
      </c>
      <c r="E958" s="5">
        <f ca="1">RANK(F958,F:F)+COUNTIF(F$2:F958,F958)-1</f>
        <v>90</v>
      </c>
      <c r="F958" s="5">
        <f t="shared" si="15"/>
        <v>11.899099999999635</v>
      </c>
      <c r="G958" s="5">
        <f ca="1">IF(B958="","",股指期货基差分析!$N$11)</f>
        <v>-71.408500000000458</v>
      </c>
      <c r="H958" s="5">
        <f ca="1">IF(B958="","",股指期货基差分析!$L$11)</f>
        <v>15.737900000000081</v>
      </c>
      <c r="I958" s="9">
        <f ca="1">IF(B958="","",股指期货基差分析!$D$11)</f>
        <v>-19.923978315132629</v>
      </c>
      <c r="L958" s="43"/>
      <c r="Q958" s="11"/>
    </row>
    <row r="959" spans="2:17" ht="15" customHeight="1" x14ac:dyDescent="0.2">
      <c r="B959" s="8">
        <v>44907</v>
      </c>
      <c r="C959" s="6">
        <f>IF(B959="","",[1]!s_dq_close(股指期货基差分析!$E$5,$B959))</f>
        <v>6154.8091999999997</v>
      </c>
      <c r="D959" s="6">
        <f>IF(B959="","",[1]!s_dq_close(股指期货基差分析!$E$6,$B959))</f>
        <v>6169.6</v>
      </c>
      <c r="E959" s="6">
        <f ca="1">RANK(F959,F:F)+COUNTIF(F$2:F959,F959)-1</f>
        <v>68</v>
      </c>
      <c r="F959" s="6">
        <f t="shared" si="15"/>
        <v>14.790800000000672</v>
      </c>
      <c r="G959" s="6">
        <f ca="1">IF(B959="","",股指期货基差分析!$N$11)</f>
        <v>-71.408500000000458</v>
      </c>
      <c r="H959" s="6">
        <f ca="1">IF(B959="","",股指期货基差分析!$L$11)</f>
        <v>15.737900000000081</v>
      </c>
      <c r="I959" s="10">
        <f ca="1">IF(B959="","",股指期货基差分析!$D$11)</f>
        <v>-19.923978315132629</v>
      </c>
      <c r="L959" s="43"/>
      <c r="Q959" s="11"/>
    </row>
    <row r="960" spans="2:17" ht="15" customHeight="1" x14ac:dyDescent="0.2">
      <c r="B960" s="7">
        <v>44908</v>
      </c>
      <c r="C960" s="5">
        <f>IF(B960="","",[1]!s_dq_close(股指期货基差分析!$E$5,$B960))</f>
        <v>6121.6615000000002</v>
      </c>
      <c r="D960" s="5">
        <f>IF(B960="","",[1]!s_dq_close(股指期货基差分析!$E$6,$B960))</f>
        <v>6137</v>
      </c>
      <c r="E960" s="5">
        <f ca="1">RANK(F960,F:F)+COUNTIF(F$2:F960,F960)-1</f>
        <v>66</v>
      </c>
      <c r="F960" s="5">
        <f t="shared" si="15"/>
        <v>15.33849999999984</v>
      </c>
      <c r="G960" s="5">
        <f ca="1">IF(B960="","",股指期货基差分析!$N$11)</f>
        <v>-71.408500000000458</v>
      </c>
      <c r="H960" s="5">
        <f ca="1">IF(B960="","",股指期货基差分析!$L$11)</f>
        <v>15.737900000000081</v>
      </c>
      <c r="I960" s="9">
        <f ca="1">IF(B960="","",股指期货基差分析!$D$11)</f>
        <v>-19.923978315132629</v>
      </c>
      <c r="L960" s="43"/>
      <c r="Q960" s="11"/>
    </row>
    <row r="961" spans="2:17" ht="15" customHeight="1" x14ac:dyDescent="0.2">
      <c r="B961" s="8">
        <v>44909</v>
      </c>
      <c r="C961" s="6">
        <f>IF(B961="","",[1]!s_dq_close(股指期货基差分析!$E$5,$B961))</f>
        <v>6096.3855999999996</v>
      </c>
      <c r="D961" s="6">
        <f>IF(B961="","",[1]!s_dq_close(股指期货基差分析!$E$6,$B961))</f>
        <v>6104</v>
      </c>
      <c r="E961" s="6">
        <f ca="1">RANK(F961,F:F)+COUNTIF(F$2:F961,F961)-1</f>
        <v>143</v>
      </c>
      <c r="F961" s="6">
        <f t="shared" si="15"/>
        <v>7.6144000000003871</v>
      </c>
      <c r="G961" s="6">
        <f ca="1">IF(B961="","",股指期货基差分析!$N$11)</f>
        <v>-71.408500000000458</v>
      </c>
      <c r="H961" s="6">
        <f ca="1">IF(B961="","",股指期货基差分析!$L$11)</f>
        <v>15.737900000000081</v>
      </c>
      <c r="I961" s="10">
        <f ca="1">IF(B961="","",股指期货基差分析!$D$11)</f>
        <v>-19.923978315132629</v>
      </c>
      <c r="L961" s="43"/>
      <c r="Q961" s="11"/>
    </row>
    <row r="962" spans="2:17" ht="15" customHeight="1" x14ac:dyDescent="0.2">
      <c r="B962" s="7">
        <v>44910</v>
      </c>
      <c r="C962" s="5">
        <f>IF(B962="","",[1]!s_dq_close(股指期货基差分析!$E$5,$B962))</f>
        <v>6101.8787000000002</v>
      </c>
      <c r="D962" s="5">
        <f>IF(B962="","",[1]!s_dq_close(股指期货基差分析!$E$6,$B962))</f>
        <v>6100</v>
      </c>
      <c r="E962" s="5">
        <f ca="1">RANK(F962,F:F)+COUNTIF(F$2:F962,F962)-1</f>
        <v>342</v>
      </c>
      <c r="F962" s="5">
        <f t="shared" ref="F962:F1025" si="16">IF(B962="","",D962-C962)</f>
        <v>-1.8787000000002081</v>
      </c>
      <c r="G962" s="5">
        <f ca="1">IF(B962="","",股指期货基差分析!$N$11)</f>
        <v>-71.408500000000458</v>
      </c>
      <c r="H962" s="5">
        <f ca="1">IF(B962="","",股指期货基差分析!$L$11)</f>
        <v>15.737900000000081</v>
      </c>
      <c r="I962" s="9">
        <f ca="1">IF(B962="","",股指期货基差分析!$D$11)</f>
        <v>-19.923978315132629</v>
      </c>
      <c r="L962" s="43"/>
      <c r="Q962" s="11"/>
    </row>
    <row r="963" spans="2:17" ht="15" customHeight="1" x14ac:dyDescent="0.2">
      <c r="B963" s="8">
        <v>44911</v>
      </c>
      <c r="C963" s="6">
        <f>IF(B963="","",[1]!s_dq_close(股指期货基差分析!$E$5,$B963))</f>
        <v>6072.8626999999997</v>
      </c>
      <c r="D963" s="6">
        <f>IF(B963="","",[1]!s_dq_close(股指期货基差分析!$E$6,$B963))</f>
        <v>6052.8</v>
      </c>
      <c r="E963" s="6">
        <f ca="1">RANK(F963,F:F)+COUNTIF(F$2:F963,F963)-1</f>
        <v>752</v>
      </c>
      <c r="F963" s="6">
        <f t="shared" si="16"/>
        <v>-20.062699999999495</v>
      </c>
      <c r="G963" s="6">
        <f ca="1">IF(B963="","",股指期货基差分析!$N$11)</f>
        <v>-71.408500000000458</v>
      </c>
      <c r="H963" s="6">
        <f ca="1">IF(B963="","",股指期货基差分析!$L$11)</f>
        <v>15.737900000000081</v>
      </c>
      <c r="I963" s="10">
        <f ca="1">IF(B963="","",股指期货基差分析!$D$11)</f>
        <v>-19.923978315132629</v>
      </c>
      <c r="L963" s="43"/>
      <c r="Q963" s="11"/>
    </row>
    <row r="964" spans="2:17" ht="15" customHeight="1" x14ac:dyDescent="0.2">
      <c r="B964" s="7">
        <v>44914</v>
      </c>
      <c r="C964" s="5">
        <f>IF(B964="","",[1]!s_dq_close(股指期货基差分析!$E$5,$B964))</f>
        <v>5936.4750999999997</v>
      </c>
      <c r="D964" s="5">
        <f>IF(B964="","",[1]!s_dq_close(股指期货基差分析!$E$6,$B964))</f>
        <v>5971.8</v>
      </c>
      <c r="E964" s="5">
        <f ca="1">RANK(F964,F:F)+COUNTIF(F$2:F964,F964)-1</f>
        <v>9</v>
      </c>
      <c r="F964" s="5">
        <f t="shared" si="16"/>
        <v>35.324900000000525</v>
      </c>
      <c r="G964" s="5">
        <f ca="1">IF(B964="","",股指期货基差分析!$N$11)</f>
        <v>-71.408500000000458</v>
      </c>
      <c r="H964" s="5">
        <f ca="1">IF(B964="","",股指期货基差分析!$L$11)</f>
        <v>15.737900000000081</v>
      </c>
      <c r="I964" s="9">
        <f ca="1">IF(B964="","",股指期货基差分析!$D$11)</f>
        <v>-19.923978315132629</v>
      </c>
      <c r="L964" s="43"/>
      <c r="Q964" s="11"/>
    </row>
    <row r="965" spans="2:17" ht="15" customHeight="1" x14ac:dyDescent="0.2">
      <c r="B965" s="8">
        <v>44915</v>
      </c>
      <c r="C965" s="6">
        <f>IF(B965="","",[1]!s_dq_close(股指期货基差分析!$E$5,$B965))</f>
        <v>5878.0313999999998</v>
      </c>
      <c r="D965" s="6">
        <f>IF(B965="","",[1]!s_dq_close(股指期货基差分析!$E$6,$B965))</f>
        <v>5897.4</v>
      </c>
      <c r="E965" s="6">
        <f ca="1">RANK(F965,F:F)+COUNTIF(F$2:F965,F965)-1</f>
        <v>45</v>
      </c>
      <c r="F965" s="6">
        <f t="shared" si="16"/>
        <v>19.368599999999788</v>
      </c>
      <c r="G965" s="6">
        <f ca="1">IF(B965="","",股指期货基差分析!$N$11)</f>
        <v>-71.408500000000458</v>
      </c>
      <c r="H965" s="6">
        <f ca="1">IF(B965="","",股指期货基差分析!$L$11)</f>
        <v>15.737900000000081</v>
      </c>
      <c r="I965" s="10">
        <f ca="1">IF(B965="","",股指期货基差分析!$D$11)</f>
        <v>-19.923978315132629</v>
      </c>
      <c r="L965" s="43"/>
      <c r="Q965" s="11"/>
    </row>
    <row r="966" spans="2:17" ht="15" customHeight="1" x14ac:dyDescent="0.2">
      <c r="B966" s="7">
        <v>44916</v>
      </c>
      <c r="C966" s="5">
        <f>IF(B966="","",[1]!s_dq_close(股指期货基差分析!$E$5,$B966))</f>
        <v>5845.835</v>
      </c>
      <c r="D966" s="5">
        <f>IF(B966="","",[1]!s_dq_close(股指期货基差分析!$E$6,$B966))</f>
        <v>5865.8</v>
      </c>
      <c r="E966" s="5">
        <f ca="1">RANK(F966,F:F)+COUNTIF(F$2:F966,F966)-1</f>
        <v>40</v>
      </c>
      <c r="F966" s="5">
        <f t="shared" si="16"/>
        <v>19.965000000000146</v>
      </c>
      <c r="G966" s="5">
        <f ca="1">IF(B966="","",股指期货基差分析!$N$11)</f>
        <v>-71.408500000000458</v>
      </c>
      <c r="H966" s="5">
        <f ca="1">IF(B966="","",股指期货基差分析!$L$11)</f>
        <v>15.737900000000081</v>
      </c>
      <c r="I966" s="9">
        <f ca="1">IF(B966="","",股指期货基差分析!$D$11)</f>
        <v>-19.923978315132629</v>
      </c>
      <c r="L966" s="43"/>
      <c r="Q966" s="11"/>
    </row>
    <row r="967" spans="2:17" ht="15" customHeight="1" x14ac:dyDescent="0.2">
      <c r="B967" s="8">
        <v>44917</v>
      </c>
      <c r="C967" s="6">
        <f>IF(B967="","",[1]!s_dq_close(股指期货基差分析!$E$5,$B967))</f>
        <v>5779.0555000000004</v>
      </c>
      <c r="D967" s="6">
        <f>IF(B967="","",[1]!s_dq_close(股指期货基差分析!$E$6,$B967))</f>
        <v>5802</v>
      </c>
      <c r="E967" s="6">
        <f ca="1">RANK(F967,F:F)+COUNTIF(F$2:F967,F967)-1</f>
        <v>31</v>
      </c>
      <c r="F967" s="6">
        <f t="shared" si="16"/>
        <v>22.944499999999607</v>
      </c>
      <c r="G967" s="6">
        <f ca="1">IF(B967="","",股指期货基差分析!$N$11)</f>
        <v>-71.408500000000458</v>
      </c>
      <c r="H967" s="6">
        <f ca="1">IF(B967="","",股指期货基差分析!$L$11)</f>
        <v>15.737900000000081</v>
      </c>
      <c r="I967" s="10">
        <f ca="1">IF(B967="","",股指期货基差分析!$D$11)</f>
        <v>-19.923978315132629</v>
      </c>
      <c r="L967" s="43"/>
      <c r="Q967" s="11"/>
    </row>
    <row r="968" spans="2:17" ht="15" customHeight="1" x14ac:dyDescent="0.2">
      <c r="B968" s="7">
        <v>44918</v>
      </c>
      <c r="C968" s="5">
        <f>IF(B968="","",[1]!s_dq_close(股指期货基差分析!$E$5,$B968))</f>
        <v>5763.3458000000001</v>
      </c>
      <c r="D968" s="5">
        <f>IF(B968="","",[1]!s_dq_close(股指期货基差分析!$E$6,$B968))</f>
        <v>5791.8</v>
      </c>
      <c r="E968" s="5">
        <f ca="1">RANK(F968,F:F)+COUNTIF(F$2:F968,F968)-1</f>
        <v>18</v>
      </c>
      <c r="F968" s="5">
        <f t="shared" si="16"/>
        <v>28.454200000000128</v>
      </c>
      <c r="G968" s="5">
        <f ca="1">IF(B968="","",股指期货基差分析!$N$11)</f>
        <v>-71.408500000000458</v>
      </c>
      <c r="H968" s="5">
        <f ca="1">IF(B968="","",股指期货基差分析!$L$11)</f>
        <v>15.737900000000081</v>
      </c>
      <c r="I968" s="9">
        <f ca="1">IF(B968="","",股指期货基差分析!$D$11)</f>
        <v>-19.923978315132629</v>
      </c>
      <c r="L968" s="43"/>
      <c r="Q968" s="11"/>
    </row>
    <row r="969" spans="2:17" ht="15" customHeight="1" x14ac:dyDescent="0.2">
      <c r="B969" s="8">
        <v>44921</v>
      </c>
      <c r="C969" s="6">
        <f>IF(B969="","",[1]!s_dq_close(股指期货基差分析!$E$5,$B969))</f>
        <v>5843.2555000000002</v>
      </c>
      <c r="D969" s="6">
        <f>IF(B969="","",[1]!s_dq_close(股指期货基差分析!$E$6,$B969))</f>
        <v>5860.6</v>
      </c>
      <c r="E969" s="6">
        <f ca="1">RANK(F969,F:F)+COUNTIF(F$2:F969,F969)-1</f>
        <v>55</v>
      </c>
      <c r="F969" s="6">
        <f t="shared" si="16"/>
        <v>17.344500000000153</v>
      </c>
      <c r="G969" s="6">
        <f ca="1">IF(B969="","",股指期货基差分析!$N$11)</f>
        <v>-71.408500000000458</v>
      </c>
      <c r="H969" s="6">
        <f ca="1">IF(B969="","",股指期货基差分析!$L$11)</f>
        <v>15.737900000000081</v>
      </c>
      <c r="I969" s="10">
        <f ca="1">IF(B969="","",股指期货基差分析!$D$11)</f>
        <v>-19.923978315132629</v>
      </c>
      <c r="L969" s="43"/>
      <c r="Q969" s="11"/>
    </row>
    <row r="970" spans="2:17" ht="15" customHeight="1" x14ac:dyDescent="0.2">
      <c r="B970" s="7">
        <v>44922</v>
      </c>
      <c r="C970" s="5">
        <f>IF(B970="","",[1]!s_dq_close(股指期货基差分析!$E$5,$B970))</f>
        <v>5885.6621999999998</v>
      </c>
      <c r="D970" s="5">
        <f>IF(B970="","",[1]!s_dq_close(股指期货基差分析!$E$6,$B970))</f>
        <v>5897.6</v>
      </c>
      <c r="E970" s="5">
        <f ca="1">RANK(F970,F:F)+COUNTIF(F$2:F970,F970)-1</f>
        <v>88</v>
      </c>
      <c r="F970" s="5">
        <f t="shared" si="16"/>
        <v>11.937800000000607</v>
      </c>
      <c r="G970" s="5">
        <f ca="1">IF(B970="","",股指期货基差分析!$N$11)</f>
        <v>-71.408500000000458</v>
      </c>
      <c r="H970" s="5">
        <f ca="1">IF(B970="","",股指期货基差分析!$L$11)</f>
        <v>15.737900000000081</v>
      </c>
      <c r="I970" s="9">
        <f ca="1">IF(B970="","",股指期货基差分析!$D$11)</f>
        <v>-19.923978315132629</v>
      </c>
      <c r="L970" s="43"/>
      <c r="Q970" s="11"/>
    </row>
    <row r="971" spans="2:17" ht="15" customHeight="1" x14ac:dyDescent="0.2">
      <c r="B971" s="8">
        <v>44923</v>
      </c>
      <c r="C971" s="6">
        <f>IF(B971="","",[1]!s_dq_close(股指期货基差分析!$E$5,$B971))</f>
        <v>5862.0967000000001</v>
      </c>
      <c r="D971" s="6">
        <f>IF(B971="","",[1]!s_dq_close(股指期货基差分析!$E$6,$B971))</f>
        <v>5882.4</v>
      </c>
      <c r="E971" s="6">
        <f ca="1">RANK(F971,F:F)+COUNTIF(F$2:F971,F971)-1</f>
        <v>39</v>
      </c>
      <c r="F971" s="6">
        <f t="shared" si="16"/>
        <v>20.303299999999581</v>
      </c>
      <c r="G971" s="6">
        <f ca="1">IF(B971="","",股指期货基差分析!$N$11)</f>
        <v>-71.408500000000458</v>
      </c>
      <c r="H971" s="6">
        <f ca="1">IF(B971="","",股指期货基差分析!$L$11)</f>
        <v>15.737900000000081</v>
      </c>
      <c r="I971" s="10">
        <f ca="1">IF(B971="","",股指期货基差分析!$D$11)</f>
        <v>-19.923978315132629</v>
      </c>
      <c r="L971" s="43"/>
      <c r="Q971" s="11"/>
    </row>
    <row r="972" spans="2:17" ht="15" customHeight="1" x14ac:dyDescent="0.2">
      <c r="B972" s="7">
        <v>44924</v>
      </c>
      <c r="C972" s="5">
        <f>IF(B972="","",[1]!s_dq_close(股指期货基差分析!$E$5,$B972))</f>
        <v>5857.4021000000002</v>
      </c>
      <c r="D972" s="5">
        <f>IF(B972="","",[1]!s_dq_close(股指期货基差分析!$E$6,$B972))</f>
        <v>5869.4</v>
      </c>
      <c r="E972" s="5">
        <f ca="1">RANK(F972,F:F)+COUNTIF(F$2:F972,F972)-1</f>
        <v>87</v>
      </c>
      <c r="F972" s="5">
        <f t="shared" si="16"/>
        <v>11.99789999999939</v>
      </c>
      <c r="G972" s="5">
        <f ca="1">IF(B972="","",股指期货基差分析!$N$11)</f>
        <v>-71.408500000000458</v>
      </c>
      <c r="H972" s="5">
        <f ca="1">IF(B972="","",股指期货基差分析!$L$11)</f>
        <v>15.737900000000081</v>
      </c>
      <c r="I972" s="9">
        <f ca="1">IF(B972="","",股指期货基差分析!$D$11)</f>
        <v>-19.923978315132629</v>
      </c>
      <c r="L972" s="43"/>
      <c r="Q972" s="11"/>
    </row>
    <row r="973" spans="2:17" ht="15" customHeight="1" x14ac:dyDescent="0.2">
      <c r="B973" s="8">
        <v>44925</v>
      </c>
      <c r="C973" s="6">
        <f>IF(B973="","",[1]!s_dq_close(股指期货基差分析!$E$5,$B973))</f>
        <v>5864.4669000000004</v>
      </c>
      <c r="D973" s="6">
        <f>IF(B973="","",[1]!s_dq_close(股指期货基差分析!$E$6,$B973))</f>
        <v>5870.8</v>
      </c>
      <c r="E973" s="6">
        <f ca="1">RANK(F973,F:F)+COUNTIF(F$2:F973,F973)-1</f>
        <v>162</v>
      </c>
      <c r="F973" s="6">
        <f t="shared" si="16"/>
        <v>6.3330999999998312</v>
      </c>
      <c r="G973" s="6">
        <f ca="1">IF(B973="","",股指期货基差分析!$N$11)</f>
        <v>-71.408500000000458</v>
      </c>
      <c r="H973" s="6">
        <f ca="1">IF(B973="","",股指期货基差分析!$L$11)</f>
        <v>15.737900000000081</v>
      </c>
      <c r="I973" s="10">
        <f ca="1">IF(B973="","",股指期货基差分析!$D$11)</f>
        <v>-19.923978315132629</v>
      </c>
      <c r="L973" s="43"/>
      <c r="Q973" s="11"/>
    </row>
    <row r="974" spans="2:17" ht="15" customHeight="1" x14ac:dyDescent="0.2">
      <c r="B974" s="7">
        <v>44929</v>
      </c>
      <c r="C974" s="5">
        <f>IF(B974="","",[1]!s_dq_close(股指期货基差分析!$E$5,$B974))</f>
        <v>5955.8968999999997</v>
      </c>
      <c r="D974" s="5">
        <f>IF(B974="","",[1]!s_dq_close(股指期货基差分析!$E$6,$B974))</f>
        <v>5958.8</v>
      </c>
      <c r="E974" s="5">
        <f ca="1">RANK(F974,F:F)+COUNTIF(F$2:F974,F974)-1</f>
        <v>237</v>
      </c>
      <c r="F974" s="5">
        <f t="shared" si="16"/>
        <v>2.9031000000004497</v>
      </c>
      <c r="G974" s="5">
        <f ca="1">IF(B974="","",股指期货基差分析!$N$11)</f>
        <v>-71.408500000000458</v>
      </c>
      <c r="H974" s="5">
        <f ca="1">IF(B974="","",股指期货基差分析!$L$11)</f>
        <v>15.737900000000081</v>
      </c>
      <c r="I974" s="9">
        <f ca="1">IF(B974="","",股指期货基差分析!$D$11)</f>
        <v>-19.923978315132629</v>
      </c>
      <c r="L974" s="43"/>
      <c r="Q974" s="11"/>
    </row>
    <row r="975" spans="2:17" ht="15" customHeight="1" x14ac:dyDescent="0.2">
      <c r="B975" s="8">
        <v>44930</v>
      </c>
      <c r="C975" s="6">
        <f>IF(B975="","",[1]!s_dq_close(股指期货基差分析!$E$5,$B975))</f>
        <v>5952.4538000000002</v>
      </c>
      <c r="D975" s="6">
        <f>IF(B975="","",[1]!s_dq_close(股指期货基差分析!$E$6,$B975))</f>
        <v>5957</v>
      </c>
      <c r="E975" s="6">
        <f ca="1">RANK(F975,F:F)+COUNTIF(F$2:F975,F975)-1</f>
        <v>194</v>
      </c>
      <c r="F975" s="6">
        <f t="shared" si="16"/>
        <v>4.5461999999997715</v>
      </c>
      <c r="G975" s="6">
        <f ca="1">IF(B975="","",股指期货基差分析!$N$11)</f>
        <v>-71.408500000000458</v>
      </c>
      <c r="H975" s="6">
        <f ca="1">IF(B975="","",股指期货基差分析!$L$11)</f>
        <v>15.737900000000081</v>
      </c>
      <c r="I975" s="10">
        <f ca="1">IF(B975="","",股指期货基差分析!$D$11)</f>
        <v>-19.923978315132629</v>
      </c>
      <c r="L975" s="43"/>
      <c r="Q975" s="11"/>
    </row>
    <row r="976" spans="2:17" ht="15" customHeight="1" x14ac:dyDescent="0.2">
      <c r="B976" s="7">
        <v>44931</v>
      </c>
      <c r="C976" s="5">
        <f>IF(B976="","",[1]!s_dq_close(股指期货基差分析!$E$5,$B976))</f>
        <v>6010.4641000000001</v>
      </c>
      <c r="D976" s="5">
        <f>IF(B976="","",[1]!s_dq_close(股指期货基差分析!$E$6,$B976))</f>
        <v>6019.4</v>
      </c>
      <c r="E976" s="5">
        <f ca="1">RANK(F976,F:F)+COUNTIF(F$2:F976,F976)-1</f>
        <v>122</v>
      </c>
      <c r="F976" s="5">
        <f t="shared" si="16"/>
        <v>8.9358999999994921</v>
      </c>
      <c r="G976" s="5">
        <f ca="1">IF(B976="","",股指期货基差分析!$N$11)</f>
        <v>-71.408500000000458</v>
      </c>
      <c r="H976" s="5">
        <f ca="1">IF(B976="","",股指期货基差分析!$L$11)</f>
        <v>15.737900000000081</v>
      </c>
      <c r="I976" s="9">
        <f ca="1">IF(B976="","",股指期货基差分析!$D$11)</f>
        <v>-19.923978315132629</v>
      </c>
      <c r="L976" s="43"/>
      <c r="Q976" s="11"/>
    </row>
    <row r="977" spans="2:17" ht="15" customHeight="1" x14ac:dyDescent="0.2">
      <c r="B977" s="8">
        <v>44932</v>
      </c>
      <c r="C977" s="6">
        <f>IF(B977="","",[1]!s_dq_close(股指期货基差分析!$E$5,$B977))</f>
        <v>6012.8152</v>
      </c>
      <c r="D977" s="6">
        <f>IF(B977="","",[1]!s_dq_close(股指期货基差分析!$E$6,$B977))</f>
        <v>6024.2</v>
      </c>
      <c r="E977" s="6">
        <f ca="1">RANK(F977,F:F)+COUNTIF(F$2:F977,F977)-1</f>
        <v>94</v>
      </c>
      <c r="F977" s="6">
        <f t="shared" si="16"/>
        <v>11.384799999999814</v>
      </c>
      <c r="G977" s="6">
        <f ca="1">IF(B977="","",股指期货基差分析!$N$11)</f>
        <v>-71.408500000000458</v>
      </c>
      <c r="H977" s="6">
        <f ca="1">IF(B977="","",股指期货基差分析!$L$11)</f>
        <v>15.737900000000081</v>
      </c>
      <c r="I977" s="10">
        <f ca="1">IF(B977="","",股指期货基差分析!$D$11)</f>
        <v>-19.923978315132629</v>
      </c>
      <c r="L977" s="43"/>
      <c r="Q977" s="11"/>
    </row>
    <row r="978" spans="2:17" ht="15" customHeight="1" x14ac:dyDescent="0.2">
      <c r="B978" s="7">
        <v>44935</v>
      </c>
      <c r="C978" s="5">
        <f>IF(B978="","",[1]!s_dq_close(股指期货基差分析!$E$5,$B978))</f>
        <v>6040.0192999999999</v>
      </c>
      <c r="D978" s="5">
        <f>IF(B978="","",[1]!s_dq_close(股指期货基差分析!$E$6,$B978))</f>
        <v>6033.6</v>
      </c>
      <c r="E978" s="5">
        <f ca="1">RANK(F978,F:F)+COUNTIF(F$2:F978,F978)-1</f>
        <v>455</v>
      </c>
      <c r="F978" s="5">
        <f t="shared" si="16"/>
        <v>-6.4192999999995664</v>
      </c>
      <c r="G978" s="5">
        <f ca="1">IF(B978="","",股指期货基差分析!$N$11)</f>
        <v>-71.408500000000458</v>
      </c>
      <c r="H978" s="5">
        <f ca="1">IF(B978="","",股指期货基差分析!$L$11)</f>
        <v>15.737900000000081</v>
      </c>
      <c r="I978" s="9">
        <f ca="1">IF(B978="","",股指期货基差分析!$D$11)</f>
        <v>-19.923978315132629</v>
      </c>
      <c r="L978" s="43"/>
      <c r="Q978" s="11"/>
    </row>
    <row r="979" spans="2:17" ht="15" customHeight="1" x14ac:dyDescent="0.2">
      <c r="B979" s="8">
        <v>44936</v>
      </c>
      <c r="C979" s="6">
        <f>IF(B979="","",[1]!s_dq_close(股指期货基差分析!$E$5,$B979))</f>
        <v>6048.2968000000001</v>
      </c>
      <c r="D979" s="6">
        <f>IF(B979="","",[1]!s_dq_close(股指期货基差分析!$E$6,$B979))</f>
        <v>6051.8</v>
      </c>
      <c r="E979" s="6">
        <f ca="1">RANK(F979,F:F)+COUNTIF(F$2:F979,F979)-1</f>
        <v>222</v>
      </c>
      <c r="F979" s="6">
        <f t="shared" si="16"/>
        <v>3.5032000000001062</v>
      </c>
      <c r="G979" s="6">
        <f ca="1">IF(B979="","",股指期货基差分析!$N$11)</f>
        <v>-71.408500000000458</v>
      </c>
      <c r="H979" s="6">
        <f ca="1">IF(B979="","",股指期货基差分析!$L$11)</f>
        <v>15.737900000000081</v>
      </c>
      <c r="I979" s="10">
        <f ca="1">IF(B979="","",股指期货基差分析!$D$11)</f>
        <v>-19.923978315132629</v>
      </c>
      <c r="L979" s="43"/>
      <c r="Q979" s="11"/>
    </row>
    <row r="980" spans="2:17" ht="15" customHeight="1" x14ac:dyDescent="0.2">
      <c r="B980" s="7">
        <v>44937</v>
      </c>
      <c r="C980" s="5">
        <f>IF(B980="","",[1]!s_dq_close(股指期货基差分析!$E$5,$B980))</f>
        <v>6014.1565000000001</v>
      </c>
      <c r="D980" s="5">
        <f>IF(B980="","",[1]!s_dq_close(股指期货基差分析!$E$6,$B980))</f>
        <v>6025.2</v>
      </c>
      <c r="E980" s="5">
        <f ca="1">RANK(F980,F:F)+COUNTIF(F$2:F980,F980)-1</f>
        <v>98</v>
      </c>
      <c r="F980" s="5">
        <f t="shared" si="16"/>
        <v>11.043499999999767</v>
      </c>
      <c r="G980" s="5">
        <f ca="1">IF(B980="","",股指期货基差分析!$N$11)</f>
        <v>-71.408500000000458</v>
      </c>
      <c r="H980" s="5">
        <f ca="1">IF(B980="","",股指期货基差分析!$L$11)</f>
        <v>15.737900000000081</v>
      </c>
      <c r="I980" s="9">
        <f ca="1">IF(B980="","",股指期货基差分析!$D$11)</f>
        <v>-19.923978315132629</v>
      </c>
      <c r="L980" s="43"/>
      <c r="Q980" s="11"/>
    </row>
    <row r="981" spans="2:17" ht="15" customHeight="1" x14ac:dyDescent="0.2">
      <c r="B981" s="8">
        <v>44938</v>
      </c>
      <c r="C981" s="6">
        <f>IF(B981="","",[1]!s_dq_close(股指期货基差分析!$E$5,$B981))</f>
        <v>6015.2870999999996</v>
      </c>
      <c r="D981" s="6">
        <f>IF(B981="","",[1]!s_dq_close(股指期货基差分析!$E$6,$B981))</f>
        <v>6021.6</v>
      </c>
      <c r="E981" s="6">
        <f ca="1">RANK(F981,F:F)+COUNTIF(F$2:F981,F981)-1</f>
        <v>163</v>
      </c>
      <c r="F981" s="6">
        <f t="shared" si="16"/>
        <v>6.3129000000008091</v>
      </c>
      <c r="G981" s="6">
        <f ca="1">IF(B981="","",股指期货基差分析!$N$11)</f>
        <v>-71.408500000000458</v>
      </c>
      <c r="H981" s="6">
        <f ca="1">IF(B981="","",股指期货基差分析!$L$11)</f>
        <v>15.737900000000081</v>
      </c>
      <c r="I981" s="10">
        <f ca="1">IF(B981="","",股指期货基差分析!$D$11)</f>
        <v>-19.923978315132629</v>
      </c>
      <c r="L981" s="43"/>
      <c r="Q981" s="11"/>
    </row>
    <row r="982" spans="2:17" ht="15" customHeight="1" x14ac:dyDescent="0.2">
      <c r="B982" s="7">
        <v>44939</v>
      </c>
      <c r="C982" s="5">
        <f>IF(B982="","",[1]!s_dq_close(股指期货基差分析!$E$5,$B982))</f>
        <v>6057.6902</v>
      </c>
      <c r="D982" s="5">
        <f>IF(B982="","",[1]!s_dq_close(股指期货基差分析!$E$6,$B982))</f>
        <v>6082</v>
      </c>
      <c r="E982" s="5">
        <f ca="1">RANK(F982,F:F)+COUNTIF(F$2:F982,F982)-1</f>
        <v>27</v>
      </c>
      <c r="F982" s="5">
        <f t="shared" si="16"/>
        <v>24.309799999999996</v>
      </c>
      <c r="G982" s="5">
        <f ca="1">IF(B982="","",股指期货基差分析!$N$11)</f>
        <v>-71.408500000000458</v>
      </c>
      <c r="H982" s="5">
        <f ca="1">IF(B982="","",股指期货基差分析!$L$11)</f>
        <v>15.737900000000081</v>
      </c>
      <c r="I982" s="9">
        <f ca="1">IF(B982="","",股指期货基差分析!$D$11)</f>
        <v>-19.923978315132629</v>
      </c>
      <c r="L982" s="43"/>
      <c r="Q982" s="11"/>
    </row>
    <row r="983" spans="2:17" ht="15" customHeight="1" x14ac:dyDescent="0.2">
      <c r="B983" s="8">
        <v>44942</v>
      </c>
      <c r="C983" s="6">
        <f>IF(B983="","",[1]!s_dq_close(股指期货基差分析!$E$5,$B983))</f>
        <v>6126.1772000000001</v>
      </c>
      <c r="D983" s="6">
        <f>IF(B983="","",[1]!s_dq_close(股指期货基差分析!$E$6,$B983))</f>
        <v>6132</v>
      </c>
      <c r="E983" s="6">
        <f ca="1">RANK(F983,F:F)+COUNTIF(F$2:F983,F983)-1</f>
        <v>173</v>
      </c>
      <c r="F983" s="6">
        <f t="shared" si="16"/>
        <v>5.8227999999999156</v>
      </c>
      <c r="G983" s="6">
        <f ca="1">IF(B983="","",股指期货基差分析!$N$11)</f>
        <v>-71.408500000000458</v>
      </c>
      <c r="H983" s="6">
        <f ca="1">IF(B983="","",股指期货基差分析!$L$11)</f>
        <v>15.737900000000081</v>
      </c>
      <c r="I983" s="10">
        <f ca="1">IF(B983="","",股指期货基差分析!$D$11)</f>
        <v>-19.923978315132629</v>
      </c>
      <c r="L983" s="43"/>
      <c r="Q983" s="11"/>
    </row>
    <row r="984" spans="2:17" ht="15" customHeight="1" x14ac:dyDescent="0.2">
      <c r="B984" s="7">
        <v>44943</v>
      </c>
      <c r="C984" s="5">
        <f>IF(B984="","",[1]!s_dq_close(股指期货基差分析!$E$5,$B984))</f>
        <v>6132.6391000000003</v>
      </c>
      <c r="D984" s="5">
        <f>IF(B984="","",[1]!s_dq_close(股指期货基差分析!$E$6,$B984))</f>
        <v>6137.2</v>
      </c>
      <c r="E984" s="5">
        <f ca="1">RANK(F984,F:F)+COUNTIF(F$2:F984,F984)-1</f>
        <v>192</v>
      </c>
      <c r="F984" s="5">
        <f t="shared" si="16"/>
        <v>4.5608999999994921</v>
      </c>
      <c r="G984" s="5">
        <f ca="1">IF(B984="","",股指期货基差分析!$N$11)</f>
        <v>-71.408500000000458</v>
      </c>
      <c r="H984" s="5">
        <f ca="1">IF(B984="","",股指期货基差分析!$L$11)</f>
        <v>15.737900000000081</v>
      </c>
      <c r="I984" s="9">
        <f ca="1">IF(B984="","",股指期货基差分析!$D$11)</f>
        <v>-19.923978315132629</v>
      </c>
      <c r="L984" s="43"/>
      <c r="Q984" s="11"/>
    </row>
    <row r="985" spans="2:17" ht="15" customHeight="1" x14ac:dyDescent="0.2">
      <c r="B985" s="8">
        <v>44944</v>
      </c>
      <c r="C985" s="6">
        <f>IF(B985="","",[1]!s_dq_close(股指期货基差分析!$E$5,$B985))</f>
        <v>6151.4557000000004</v>
      </c>
      <c r="D985" s="6">
        <f>IF(B985="","",[1]!s_dq_close(股指期货基差分析!$E$6,$B985))</f>
        <v>6153.4</v>
      </c>
      <c r="E985" s="6">
        <f ca="1">RANK(F985,F:F)+COUNTIF(F$2:F985,F985)-1</f>
        <v>258</v>
      </c>
      <c r="F985" s="6">
        <f t="shared" si="16"/>
        <v>1.9442999999992026</v>
      </c>
      <c r="G985" s="6">
        <f ca="1">IF(B985="","",股指期货基差分析!$N$11)</f>
        <v>-71.408500000000458</v>
      </c>
      <c r="H985" s="6">
        <f ca="1">IF(B985="","",股指期货基差分析!$L$11)</f>
        <v>15.737900000000081</v>
      </c>
      <c r="I985" s="10">
        <f ca="1">IF(B985="","",股指期货基差分析!$D$11)</f>
        <v>-19.923978315132629</v>
      </c>
      <c r="L985" s="43"/>
      <c r="Q985" s="11"/>
    </row>
    <row r="986" spans="2:17" ht="15" customHeight="1" x14ac:dyDescent="0.2">
      <c r="B986" s="7">
        <v>44945</v>
      </c>
      <c r="C986" s="5">
        <f>IF(B986="","",[1]!s_dq_close(股指期货基差分析!$E$5,$B986))</f>
        <v>6204.3261000000002</v>
      </c>
      <c r="D986" s="5">
        <f>IF(B986="","",[1]!s_dq_close(股指期货基差分析!$E$6,$B986))</f>
        <v>6211.2</v>
      </c>
      <c r="E986" s="5">
        <f ca="1">RANK(F986,F:F)+COUNTIF(F$2:F986,F986)-1</f>
        <v>155</v>
      </c>
      <c r="F986" s="5">
        <f t="shared" si="16"/>
        <v>6.873899999999594</v>
      </c>
      <c r="G986" s="5">
        <f ca="1">IF(B986="","",股指期货基差分析!$N$11)</f>
        <v>-71.408500000000458</v>
      </c>
      <c r="H986" s="5">
        <f ca="1">IF(B986="","",股指期货基差分析!$L$11)</f>
        <v>15.737900000000081</v>
      </c>
      <c r="I986" s="9">
        <f ca="1">IF(B986="","",股指期货基差分析!$D$11)</f>
        <v>-19.923978315132629</v>
      </c>
      <c r="L986" s="43"/>
      <c r="Q986" s="11"/>
    </row>
    <row r="987" spans="2:17" ht="15" customHeight="1" x14ac:dyDescent="0.2">
      <c r="B987" s="8">
        <v>44946</v>
      </c>
      <c r="C987" s="6">
        <f>IF(B987="","",[1]!s_dq_close(股指期货基差分析!$E$5,$B987))</f>
        <v>6251.4336999999996</v>
      </c>
      <c r="D987" s="6">
        <f>IF(B987="","",[1]!s_dq_close(股指期货基差分析!$E$6,$B987))</f>
        <v>6244.2</v>
      </c>
      <c r="E987" s="6">
        <f ca="1">RANK(F987,F:F)+COUNTIF(F$2:F987,F987)-1</f>
        <v>477</v>
      </c>
      <c r="F987" s="6">
        <f t="shared" si="16"/>
        <v>-7.2336999999997715</v>
      </c>
      <c r="G987" s="6">
        <f ca="1">IF(B987="","",股指期货基差分析!$N$11)</f>
        <v>-71.408500000000458</v>
      </c>
      <c r="H987" s="6">
        <f ca="1">IF(B987="","",股指期货基差分析!$L$11)</f>
        <v>15.737900000000081</v>
      </c>
      <c r="I987" s="10">
        <f ca="1">IF(B987="","",股指期货基差分析!$D$11)</f>
        <v>-19.923978315132629</v>
      </c>
      <c r="L987" s="43"/>
      <c r="Q987" s="11"/>
    </row>
    <row r="988" spans="2:17" ht="15" customHeight="1" x14ac:dyDescent="0.2">
      <c r="B988" s="7">
        <v>44956</v>
      </c>
      <c r="C988" s="5">
        <f>IF(B988="","",[1]!s_dq_close(股指期货基差分析!$E$5,$B988))</f>
        <v>6283.3271999999997</v>
      </c>
      <c r="D988" s="5">
        <f>IF(B988="","",[1]!s_dq_close(股指期货基差分析!$E$6,$B988))</f>
        <v>6282.6</v>
      </c>
      <c r="E988" s="5">
        <f ca="1">RANK(F988,F:F)+COUNTIF(F$2:F988,F988)-1</f>
        <v>312</v>
      </c>
      <c r="F988" s="5">
        <f t="shared" si="16"/>
        <v>-0.72719999999935681</v>
      </c>
      <c r="G988" s="5">
        <f ca="1">IF(B988="","",股指期货基差分析!$N$11)</f>
        <v>-71.408500000000458</v>
      </c>
      <c r="H988" s="5">
        <f ca="1">IF(B988="","",股指期货基差分析!$L$11)</f>
        <v>15.737900000000081</v>
      </c>
      <c r="I988" s="9">
        <f ca="1">IF(B988="","",股指期货基差分析!$D$11)</f>
        <v>-19.923978315132629</v>
      </c>
      <c r="L988" s="43"/>
      <c r="Q988" s="11"/>
    </row>
    <row r="989" spans="2:17" ht="15" customHeight="1" x14ac:dyDescent="0.2">
      <c r="B989" s="8">
        <v>44957</v>
      </c>
      <c r="C989" s="6">
        <f>IF(B989="","",[1]!s_dq_close(股指期货基差分析!$E$5,$B989))</f>
        <v>6289.15</v>
      </c>
      <c r="D989" s="6">
        <f>IF(B989="","",[1]!s_dq_close(股指期货基差分析!$E$6,$B989))</f>
        <v>6302</v>
      </c>
      <c r="E989" s="6">
        <f ca="1">RANK(F989,F:F)+COUNTIF(F$2:F989,F989)-1</f>
        <v>81</v>
      </c>
      <c r="F989" s="6">
        <f t="shared" si="16"/>
        <v>12.850000000000364</v>
      </c>
      <c r="G989" s="6">
        <f ca="1">IF(B989="","",股指期货基差分析!$N$11)</f>
        <v>-71.408500000000458</v>
      </c>
      <c r="H989" s="6">
        <f ca="1">IF(B989="","",股指期货基差分析!$L$11)</f>
        <v>15.737900000000081</v>
      </c>
      <c r="I989" s="10">
        <f ca="1">IF(B989="","",股指期货基差分析!$D$11)</f>
        <v>-19.923978315132629</v>
      </c>
      <c r="L989" s="43"/>
      <c r="Q989" s="11"/>
    </row>
    <row r="990" spans="2:17" ht="15" customHeight="1" x14ac:dyDescent="0.2">
      <c r="B990" s="7">
        <v>44958</v>
      </c>
      <c r="C990" s="5">
        <f>IF(B990="","",[1]!s_dq_close(股指期货基差分析!$E$5,$B990))</f>
        <v>6365.9050999999999</v>
      </c>
      <c r="D990" s="5">
        <f>IF(B990="","",[1]!s_dq_close(股指期货基差分析!$E$6,$B990))</f>
        <v>6361</v>
      </c>
      <c r="E990" s="5">
        <f ca="1">RANK(F990,F:F)+COUNTIF(F$2:F990,F990)-1</f>
        <v>414</v>
      </c>
      <c r="F990" s="5">
        <f t="shared" si="16"/>
        <v>-4.9050999999999476</v>
      </c>
      <c r="G990" s="5">
        <f ca="1">IF(B990="","",股指期货基差分析!$N$11)</f>
        <v>-71.408500000000458</v>
      </c>
      <c r="H990" s="5">
        <f ca="1">IF(B990="","",股指期货基差分析!$L$11)</f>
        <v>15.737900000000081</v>
      </c>
      <c r="I990" s="9">
        <f ca="1">IF(B990="","",股指期货基差分析!$D$11)</f>
        <v>-19.923978315132629</v>
      </c>
      <c r="L990" s="43"/>
      <c r="Q990" s="11"/>
    </row>
    <row r="991" spans="2:17" ht="15" customHeight="1" x14ac:dyDescent="0.2">
      <c r="B991" s="8">
        <v>44959</v>
      </c>
      <c r="C991" s="6">
        <f>IF(B991="","",[1]!s_dq_close(股指期货基差分析!$E$5,$B991))</f>
        <v>6370.1410999999998</v>
      </c>
      <c r="D991" s="6">
        <f>IF(B991="","",[1]!s_dq_close(股指期货基差分析!$E$6,$B991))</f>
        <v>6369</v>
      </c>
      <c r="E991" s="6">
        <f ca="1">RANK(F991,F:F)+COUNTIF(F$2:F991,F991)-1</f>
        <v>320</v>
      </c>
      <c r="F991" s="6">
        <f t="shared" si="16"/>
        <v>-1.1410999999998239</v>
      </c>
      <c r="G991" s="6">
        <f ca="1">IF(B991="","",股指期货基差分析!$N$11)</f>
        <v>-71.408500000000458</v>
      </c>
      <c r="H991" s="6">
        <f ca="1">IF(B991="","",股指期货基差分析!$L$11)</f>
        <v>15.737900000000081</v>
      </c>
      <c r="I991" s="10">
        <f ca="1">IF(B991="","",股指期货基差分析!$D$11)</f>
        <v>-19.923978315132629</v>
      </c>
      <c r="L991" s="43"/>
      <c r="Q991" s="11"/>
    </row>
    <row r="992" spans="2:17" ht="15" customHeight="1" x14ac:dyDescent="0.2">
      <c r="B992" s="7">
        <v>44960</v>
      </c>
      <c r="C992" s="5">
        <f>IF(B992="","",[1]!s_dq_close(股指期货基差分析!$E$5,$B992))</f>
        <v>6343.6860999999999</v>
      </c>
      <c r="D992" s="5">
        <f>IF(B992="","",[1]!s_dq_close(股指期货基差分析!$E$6,$B992))</f>
        <v>6343.2</v>
      </c>
      <c r="E992" s="5">
        <f ca="1">RANK(F992,F:F)+COUNTIF(F$2:F992,F992)-1</f>
        <v>309</v>
      </c>
      <c r="F992" s="5">
        <f t="shared" si="16"/>
        <v>-0.48610000000007858</v>
      </c>
      <c r="G992" s="5">
        <f ca="1">IF(B992="","",股指期货基差分析!$N$11)</f>
        <v>-71.408500000000458</v>
      </c>
      <c r="H992" s="5">
        <f ca="1">IF(B992="","",股指期货基差分析!$L$11)</f>
        <v>15.737900000000081</v>
      </c>
      <c r="I992" s="9">
        <f ca="1">IF(B992="","",股指期货基差分析!$D$11)</f>
        <v>-19.923978315132629</v>
      </c>
      <c r="L992" s="43"/>
      <c r="Q992" s="11"/>
    </row>
    <row r="993" spans="2:17" ht="15" customHeight="1" x14ac:dyDescent="0.2">
      <c r="B993" s="8">
        <v>44963</v>
      </c>
      <c r="C993" s="6">
        <f>IF(B993="","",[1]!s_dq_close(股指期货基差分析!$E$5,$B993))</f>
        <v>6302.3348999999998</v>
      </c>
      <c r="D993" s="6">
        <f>IF(B993="","",[1]!s_dq_close(股指期货基差分析!$E$6,$B993))</f>
        <v>6312.2</v>
      </c>
      <c r="E993" s="6">
        <f ca="1">RANK(F993,F:F)+COUNTIF(F$2:F993,F993)-1</f>
        <v>114</v>
      </c>
      <c r="F993" s="6">
        <f t="shared" si="16"/>
        <v>9.865099999999984</v>
      </c>
      <c r="G993" s="6">
        <f ca="1">IF(B993="","",股指期货基差分析!$N$11)</f>
        <v>-71.408500000000458</v>
      </c>
      <c r="H993" s="6">
        <f ca="1">IF(B993="","",股指期货基差分析!$L$11)</f>
        <v>15.737900000000081</v>
      </c>
      <c r="I993" s="10">
        <f ca="1">IF(B993="","",股指期货基差分析!$D$11)</f>
        <v>-19.923978315132629</v>
      </c>
      <c r="L993" s="43"/>
      <c r="Q993" s="11"/>
    </row>
    <row r="994" spans="2:17" ht="15" customHeight="1" x14ac:dyDescent="0.2">
      <c r="B994" s="7">
        <v>44964</v>
      </c>
      <c r="C994" s="5">
        <f>IF(B994="","",[1]!s_dq_close(股指期货基差分析!$E$5,$B994))</f>
        <v>6317.2376999999997</v>
      </c>
      <c r="D994" s="5">
        <f>IF(B994="","",[1]!s_dq_close(股指期货基差分析!$E$6,$B994))</f>
        <v>6320</v>
      </c>
      <c r="E994" s="5">
        <f ca="1">RANK(F994,F:F)+COUNTIF(F$2:F994,F994)-1</f>
        <v>244</v>
      </c>
      <c r="F994" s="5">
        <f t="shared" si="16"/>
        <v>2.7623000000003231</v>
      </c>
      <c r="G994" s="5">
        <f ca="1">IF(B994="","",股指期货基差分析!$N$11)</f>
        <v>-71.408500000000458</v>
      </c>
      <c r="H994" s="5">
        <f ca="1">IF(B994="","",股指期货基差分析!$L$11)</f>
        <v>15.737900000000081</v>
      </c>
      <c r="I994" s="9">
        <f ca="1">IF(B994="","",股指期货基差分析!$D$11)</f>
        <v>-19.923978315132629</v>
      </c>
      <c r="L994" s="43"/>
      <c r="Q994" s="11"/>
    </row>
    <row r="995" spans="2:17" ht="15" customHeight="1" x14ac:dyDescent="0.2">
      <c r="B995" s="8">
        <v>44965</v>
      </c>
      <c r="C995" s="6">
        <f>IF(B995="","",[1]!s_dq_close(股指期货基差分析!$E$5,$B995))</f>
        <v>6268.2758999999996</v>
      </c>
      <c r="D995" s="6">
        <f>IF(B995="","",[1]!s_dq_close(股指期货基差分析!$E$6,$B995))</f>
        <v>6266</v>
      </c>
      <c r="E995" s="6">
        <f ca="1">RANK(F995,F:F)+COUNTIF(F$2:F995,F995)-1</f>
        <v>354</v>
      </c>
      <c r="F995" s="6">
        <f t="shared" si="16"/>
        <v>-2.2758999999996377</v>
      </c>
      <c r="G995" s="6">
        <f ca="1">IF(B995="","",股指期货基差分析!$N$11)</f>
        <v>-71.408500000000458</v>
      </c>
      <c r="H995" s="6">
        <f ca="1">IF(B995="","",股指期货基差分析!$L$11)</f>
        <v>15.737900000000081</v>
      </c>
      <c r="I995" s="10">
        <f ca="1">IF(B995="","",股指期货基差分析!$D$11)</f>
        <v>-19.923978315132629</v>
      </c>
      <c r="L995" s="43"/>
      <c r="Q995" s="11"/>
    </row>
    <row r="996" spans="2:17" ht="15" customHeight="1" x14ac:dyDescent="0.2">
      <c r="B996" s="7">
        <v>44966</v>
      </c>
      <c r="C996" s="5">
        <f>IF(B996="","",[1]!s_dq_close(股指期货基差分析!$E$5,$B996))</f>
        <v>6354.5619999999999</v>
      </c>
      <c r="D996" s="5">
        <f>IF(B996="","",[1]!s_dq_close(股指期货基差分析!$E$6,$B996))</f>
        <v>6363</v>
      </c>
      <c r="E996" s="5">
        <f ca="1">RANK(F996,F:F)+COUNTIF(F$2:F996,F996)-1</f>
        <v>130</v>
      </c>
      <c r="F996" s="5">
        <f t="shared" si="16"/>
        <v>8.4380000000001019</v>
      </c>
      <c r="G996" s="5">
        <f ca="1">IF(B996="","",股指期货基差分析!$N$11)</f>
        <v>-71.408500000000458</v>
      </c>
      <c r="H996" s="5">
        <f ca="1">IF(B996="","",股指期货基差分析!$L$11)</f>
        <v>15.737900000000081</v>
      </c>
      <c r="I996" s="9">
        <f ca="1">IF(B996="","",股指期货基差分析!$D$11)</f>
        <v>-19.923978315132629</v>
      </c>
      <c r="L996" s="43"/>
      <c r="Q996" s="11"/>
    </row>
    <row r="997" spans="2:17" ht="15" customHeight="1" x14ac:dyDescent="0.2">
      <c r="B997" s="8">
        <v>44967</v>
      </c>
      <c r="C997" s="6">
        <f>IF(B997="","",[1]!s_dq_close(股指期货基差分析!$E$5,$B997))</f>
        <v>6334.2520000000004</v>
      </c>
      <c r="D997" s="6">
        <f>IF(B997="","",[1]!s_dq_close(股指期货基差分析!$E$6,$B997))</f>
        <v>6337.4</v>
      </c>
      <c r="E997" s="6">
        <f ca="1">RANK(F997,F:F)+COUNTIF(F$2:F997,F997)-1</f>
        <v>230</v>
      </c>
      <c r="F997" s="6">
        <f t="shared" si="16"/>
        <v>3.1479999999992287</v>
      </c>
      <c r="G997" s="6">
        <f ca="1">IF(B997="","",股指期货基差分析!$N$11)</f>
        <v>-71.408500000000458</v>
      </c>
      <c r="H997" s="6">
        <f ca="1">IF(B997="","",股指期货基差分析!$L$11)</f>
        <v>15.737900000000081</v>
      </c>
      <c r="I997" s="10">
        <f ca="1">IF(B997="","",股指期货基差分析!$D$11)</f>
        <v>-19.923978315132629</v>
      </c>
      <c r="L997" s="43"/>
      <c r="Q997" s="11"/>
    </row>
    <row r="998" spans="2:17" ht="15" customHeight="1" x14ac:dyDescent="0.2">
      <c r="B998" s="7">
        <v>44970</v>
      </c>
      <c r="C998" s="5">
        <f>IF(B998="","",[1]!s_dq_close(股指期货基差分析!$E$5,$B998))</f>
        <v>6383.8279000000002</v>
      </c>
      <c r="D998" s="5">
        <f>IF(B998="","",[1]!s_dq_close(股指期货基差分析!$E$6,$B998))</f>
        <v>6371.2</v>
      </c>
      <c r="E998" s="5">
        <f ca="1">RANK(F998,F:F)+COUNTIF(F$2:F998,F998)-1</f>
        <v>607</v>
      </c>
      <c r="F998" s="5">
        <f t="shared" si="16"/>
        <v>-12.627900000000409</v>
      </c>
      <c r="G998" s="5">
        <f ca="1">IF(B998="","",股指期货基差分析!$N$11)</f>
        <v>-71.408500000000458</v>
      </c>
      <c r="H998" s="5">
        <f ca="1">IF(B998="","",股指期货基差分析!$L$11)</f>
        <v>15.737900000000081</v>
      </c>
      <c r="I998" s="9">
        <f ca="1">IF(B998="","",股指期货基差分析!$D$11)</f>
        <v>-19.923978315132629</v>
      </c>
      <c r="L998" s="43"/>
      <c r="Q998" s="11"/>
    </row>
    <row r="999" spans="2:17" ht="15" customHeight="1" x14ac:dyDescent="0.2">
      <c r="B999" s="8">
        <v>44971</v>
      </c>
      <c r="C999" s="6">
        <f>IF(B999="","",[1]!s_dq_close(股指期货基差分析!$E$5,$B999))</f>
        <v>6397.2146000000002</v>
      </c>
      <c r="D999" s="6">
        <f>IF(B999="","",[1]!s_dq_close(股指期货基差分析!$E$6,$B999))</f>
        <v>6395.8</v>
      </c>
      <c r="E999" s="6">
        <f ca="1">RANK(F999,F:F)+COUNTIF(F$2:F999,F999)-1</f>
        <v>328</v>
      </c>
      <c r="F999" s="6">
        <f t="shared" si="16"/>
        <v>-1.414600000000064</v>
      </c>
      <c r="G999" s="6">
        <f ca="1">IF(B999="","",股指期货基差分析!$N$11)</f>
        <v>-71.408500000000458</v>
      </c>
      <c r="H999" s="6">
        <f ca="1">IF(B999="","",股指期货基差分析!$L$11)</f>
        <v>15.737900000000081</v>
      </c>
      <c r="I999" s="10">
        <f ca="1">IF(B999="","",股指期货基差分析!$D$11)</f>
        <v>-19.923978315132629</v>
      </c>
      <c r="L999" s="43"/>
      <c r="Q999" s="11"/>
    </row>
    <row r="1000" spans="2:17" ht="15" customHeight="1" x14ac:dyDescent="0.2">
      <c r="B1000" s="7">
        <v>44972</v>
      </c>
      <c r="C1000" s="5">
        <f>IF(B1000="","",[1]!s_dq_close(股指期货基差分析!$E$5,$B1000))</f>
        <v>6384.3478999999998</v>
      </c>
      <c r="D1000" s="5">
        <f>IF(B1000="","",[1]!s_dq_close(股指期货基差分析!$E$6,$B1000))</f>
        <v>6379</v>
      </c>
      <c r="E1000" s="5">
        <f ca="1">RANK(F1000,F:F)+COUNTIF(F$2:F1000,F1000)-1</f>
        <v>422</v>
      </c>
      <c r="F1000" s="5">
        <f t="shared" si="16"/>
        <v>-5.3478999999997541</v>
      </c>
      <c r="G1000" s="5">
        <f ca="1">IF(B1000="","",股指期货基差分析!$N$11)</f>
        <v>-71.408500000000458</v>
      </c>
      <c r="H1000" s="5">
        <f ca="1">IF(B1000="","",股指期货基差分析!$L$11)</f>
        <v>15.737900000000081</v>
      </c>
      <c r="I1000" s="9">
        <f ca="1">IF(B1000="","",股指期货基差分析!$D$11)</f>
        <v>-19.923978315132629</v>
      </c>
      <c r="L1000" s="43"/>
      <c r="Q1000" s="11"/>
    </row>
    <row r="1001" spans="2:17" ht="15" customHeight="1" x14ac:dyDescent="0.2">
      <c r="B1001" s="8">
        <v>44973</v>
      </c>
      <c r="C1001" s="6">
        <f>IF(B1001="","",[1]!s_dq_close(股指期货基差分析!$E$5,$B1001))</f>
        <v>6289.4786000000004</v>
      </c>
      <c r="D1001" s="6">
        <f>IF(B1001="","",[1]!s_dq_close(股指期货基差分析!$E$6,$B1001))</f>
        <v>6272.2</v>
      </c>
      <c r="E1001" s="6">
        <f ca="1">RANK(F1001,F:F)+COUNTIF(F$2:F1001,F1001)-1</f>
        <v>705</v>
      </c>
      <c r="F1001" s="6">
        <f t="shared" si="16"/>
        <v>-17.278600000000552</v>
      </c>
      <c r="G1001" s="6">
        <f ca="1">IF(B1001="","",股指期货基差分析!$N$11)</f>
        <v>-71.408500000000458</v>
      </c>
      <c r="H1001" s="6">
        <f ca="1">IF(B1001="","",股指期货基差分析!$L$11)</f>
        <v>15.737900000000081</v>
      </c>
      <c r="I1001" s="10">
        <f ca="1">IF(B1001="","",股指期货基差分析!$D$11)</f>
        <v>-19.923978315132629</v>
      </c>
      <c r="L1001" s="43"/>
      <c r="Q1001" s="11"/>
    </row>
    <row r="1002" spans="2:17" ht="15" customHeight="1" x14ac:dyDescent="0.2">
      <c r="B1002" s="7">
        <v>44974</v>
      </c>
      <c r="C1002" s="5">
        <f>IF(B1002="","",[1]!s_dq_close(股指期货基差分析!$E$5,$B1002))</f>
        <v>6237.4053000000004</v>
      </c>
      <c r="D1002" s="5">
        <f>IF(B1002="","",[1]!s_dq_close(股指期货基差分析!$E$6,$B1002))</f>
        <v>6258.8</v>
      </c>
      <c r="E1002" s="5">
        <f ca="1">RANK(F1002,F:F)+COUNTIF(F$2:F1002,F1002)-1</f>
        <v>35</v>
      </c>
      <c r="F1002" s="5">
        <f t="shared" si="16"/>
        <v>21.39469999999983</v>
      </c>
      <c r="G1002" s="5">
        <f ca="1">IF(B1002="","",股指期货基差分析!$N$11)</f>
        <v>-71.408500000000458</v>
      </c>
      <c r="H1002" s="5">
        <f ca="1">IF(B1002="","",股指期货基差分析!$L$11)</f>
        <v>15.737900000000081</v>
      </c>
      <c r="I1002" s="9">
        <f ca="1">IF(B1002="","",股指期货基差分析!$D$11)</f>
        <v>-19.923978315132629</v>
      </c>
      <c r="L1002" s="43"/>
      <c r="Q1002" s="11"/>
    </row>
    <row r="1003" spans="2:17" ht="15" customHeight="1" x14ac:dyDescent="0.2">
      <c r="B1003" s="8">
        <v>44977</v>
      </c>
      <c r="C1003" s="6">
        <f>IF(B1003="","",[1]!s_dq_close(股指期货基差分析!$E$5,$B1003))</f>
        <v>6346.0677999999998</v>
      </c>
      <c r="D1003" s="6">
        <f>IF(B1003="","",[1]!s_dq_close(股指期货基差分析!$E$6,$B1003))</f>
        <v>6327.6</v>
      </c>
      <c r="E1003" s="6">
        <f ca="1">RANK(F1003,F:F)+COUNTIF(F$2:F1003,F1003)-1</f>
        <v>722</v>
      </c>
      <c r="F1003" s="6">
        <f t="shared" si="16"/>
        <v>-18.467799999999443</v>
      </c>
      <c r="G1003" s="6">
        <f ca="1">IF(B1003="","",股指期货基差分析!$N$11)</f>
        <v>-71.408500000000458</v>
      </c>
      <c r="H1003" s="6">
        <f ca="1">IF(B1003="","",股指期货基差分析!$L$11)</f>
        <v>15.737900000000081</v>
      </c>
      <c r="I1003" s="10">
        <f ca="1">IF(B1003="","",股指期货基差分析!$D$11)</f>
        <v>-19.923978315132629</v>
      </c>
      <c r="L1003" s="43"/>
      <c r="Q1003" s="11"/>
    </row>
    <row r="1004" spans="2:17" ht="15" customHeight="1" x14ac:dyDescent="0.2">
      <c r="B1004" s="7">
        <v>44978</v>
      </c>
      <c r="C1004" s="5">
        <f>IF(B1004="","",[1]!s_dq_close(股指期货基差分析!$E$5,$B1004))</f>
        <v>6383.4247999999998</v>
      </c>
      <c r="D1004" s="5">
        <f>IF(B1004="","",[1]!s_dq_close(股指期货基差分析!$E$6,$B1004))</f>
        <v>6355</v>
      </c>
      <c r="E1004" s="5">
        <f ca="1">RANK(F1004,F:F)+COUNTIF(F$2:F1004,F1004)-1</f>
        <v>868</v>
      </c>
      <c r="F1004" s="5">
        <f t="shared" si="16"/>
        <v>-28.424799999999777</v>
      </c>
      <c r="G1004" s="5">
        <f ca="1">IF(B1004="","",股指期货基差分析!$N$11)</f>
        <v>-71.408500000000458</v>
      </c>
      <c r="H1004" s="5">
        <f ca="1">IF(B1004="","",股指期货基差分析!$L$11)</f>
        <v>15.737900000000081</v>
      </c>
      <c r="I1004" s="9">
        <f ca="1">IF(B1004="","",股指期货基差分析!$D$11)</f>
        <v>-19.923978315132629</v>
      </c>
      <c r="L1004" s="43"/>
      <c r="Q1004" s="11"/>
    </row>
    <row r="1005" spans="2:17" ht="15" customHeight="1" x14ac:dyDescent="0.2">
      <c r="B1005" s="8">
        <v>44979</v>
      </c>
      <c r="C1005" s="6">
        <f>IF(B1005="","",[1]!s_dq_close(股指期货基差分析!$E$5,$B1005))</f>
        <v>6375.0684000000001</v>
      </c>
      <c r="D1005" s="6">
        <f>IF(B1005="","",[1]!s_dq_close(股指期货基差分析!$E$6,$B1005))</f>
        <v>6363</v>
      </c>
      <c r="E1005" s="6">
        <f ca="1">RANK(F1005,F:F)+COUNTIF(F$2:F1005,F1005)-1</f>
        <v>597</v>
      </c>
      <c r="F1005" s="6">
        <f t="shared" si="16"/>
        <v>-12.068400000000111</v>
      </c>
      <c r="G1005" s="6">
        <f ca="1">IF(B1005="","",股指期货基差分析!$N$11)</f>
        <v>-71.408500000000458</v>
      </c>
      <c r="H1005" s="6">
        <f ca="1">IF(B1005="","",股指期货基差分析!$L$11)</f>
        <v>15.737900000000081</v>
      </c>
      <c r="I1005" s="10">
        <f ca="1">IF(B1005="","",股指期货基差分析!$D$11)</f>
        <v>-19.923978315132629</v>
      </c>
      <c r="L1005" s="43"/>
      <c r="Q1005" s="11"/>
    </row>
    <row r="1006" spans="2:17" ht="15" customHeight="1" x14ac:dyDescent="0.2">
      <c r="B1006" s="7">
        <v>44980</v>
      </c>
      <c r="C1006" s="5">
        <f>IF(B1006="","",[1]!s_dq_close(股指期货基差分析!$E$5,$B1006))</f>
        <v>6360.3202000000001</v>
      </c>
      <c r="D1006" s="5">
        <f>IF(B1006="","",[1]!s_dq_close(股指期货基差分析!$E$6,$B1006))</f>
        <v>6351.8</v>
      </c>
      <c r="E1006" s="5">
        <f ca="1">RANK(F1006,F:F)+COUNTIF(F$2:F1006,F1006)-1</f>
        <v>514</v>
      </c>
      <c r="F1006" s="5">
        <f t="shared" si="16"/>
        <v>-8.5201999999999316</v>
      </c>
      <c r="G1006" s="5">
        <f ca="1">IF(B1006="","",股指期货基差分析!$N$11)</f>
        <v>-71.408500000000458</v>
      </c>
      <c r="H1006" s="5">
        <f ca="1">IF(B1006="","",股指期货基差分析!$L$11)</f>
        <v>15.737900000000081</v>
      </c>
      <c r="I1006" s="9">
        <f ca="1">IF(B1006="","",股指期货基差分析!$D$11)</f>
        <v>-19.923978315132629</v>
      </c>
      <c r="L1006" s="43"/>
      <c r="Q1006" s="11"/>
    </row>
    <row r="1007" spans="2:17" ht="15" customHeight="1" x14ac:dyDescent="0.2">
      <c r="B1007" s="8">
        <v>44981</v>
      </c>
      <c r="C1007" s="6">
        <f>IF(B1007="","",[1]!s_dq_close(股指期货基差分析!$E$5,$B1007))</f>
        <v>6340.8434999999999</v>
      </c>
      <c r="D1007" s="6">
        <f>IF(B1007="","",[1]!s_dq_close(股指期货基差分析!$E$6,$B1007))</f>
        <v>6339.4</v>
      </c>
      <c r="E1007" s="6">
        <f ca="1">RANK(F1007,F:F)+COUNTIF(F$2:F1007,F1007)-1</f>
        <v>331</v>
      </c>
      <c r="F1007" s="6">
        <f t="shared" si="16"/>
        <v>-1.4435000000003129</v>
      </c>
      <c r="G1007" s="6">
        <f ca="1">IF(B1007="","",股指期货基差分析!$N$11)</f>
        <v>-71.408500000000458</v>
      </c>
      <c r="H1007" s="6">
        <f ca="1">IF(B1007="","",股指期货基差分析!$L$11)</f>
        <v>15.737900000000081</v>
      </c>
      <c r="I1007" s="10">
        <f ca="1">IF(B1007="","",股指期货基差分析!$D$11)</f>
        <v>-19.923978315132629</v>
      </c>
      <c r="L1007" s="43"/>
      <c r="Q1007" s="11"/>
    </row>
    <row r="1008" spans="2:17" ht="15" customHeight="1" x14ac:dyDescent="0.2">
      <c r="B1008" s="7">
        <v>44984</v>
      </c>
      <c r="C1008" s="5">
        <f>IF(B1008="","",[1]!s_dq_close(股指期货基差分析!$E$5,$B1008))</f>
        <v>6307.2057000000004</v>
      </c>
      <c r="D1008" s="5">
        <f>IF(B1008="","",[1]!s_dq_close(股指期货基差分析!$E$6,$B1008))</f>
        <v>6302.6</v>
      </c>
      <c r="E1008" s="5">
        <f ca="1">RANK(F1008,F:F)+COUNTIF(F$2:F1008,F1008)-1</f>
        <v>403</v>
      </c>
      <c r="F1008" s="5">
        <f t="shared" si="16"/>
        <v>-4.6057000000000698</v>
      </c>
      <c r="G1008" s="5">
        <f ca="1">IF(B1008="","",股指期货基差分析!$N$11)</f>
        <v>-71.408500000000458</v>
      </c>
      <c r="H1008" s="5">
        <f ca="1">IF(B1008="","",股指期货基差分析!$L$11)</f>
        <v>15.737900000000081</v>
      </c>
      <c r="I1008" s="9">
        <f ca="1">IF(B1008="","",股指期货基差分析!$D$11)</f>
        <v>-19.923978315132629</v>
      </c>
      <c r="L1008" s="43"/>
      <c r="Q1008" s="11"/>
    </row>
    <row r="1009" spans="2:17" ht="15" customHeight="1" x14ac:dyDescent="0.2">
      <c r="B1009" s="8">
        <v>44985</v>
      </c>
      <c r="C1009" s="6">
        <f>IF(B1009="","",[1]!s_dq_close(股指期货基差分析!$E$5,$B1009))</f>
        <v>6357.5352000000003</v>
      </c>
      <c r="D1009" s="6">
        <f>IF(B1009="","",[1]!s_dq_close(股指期货基差分析!$E$6,$B1009))</f>
        <v>6345.8</v>
      </c>
      <c r="E1009" s="6">
        <f ca="1">RANK(F1009,F:F)+COUNTIF(F$2:F1009,F1009)-1</f>
        <v>589</v>
      </c>
      <c r="F1009" s="6">
        <f t="shared" si="16"/>
        <v>-11.735200000000077</v>
      </c>
      <c r="G1009" s="6">
        <f ca="1">IF(B1009="","",股指期货基差分析!$N$11)</f>
        <v>-71.408500000000458</v>
      </c>
      <c r="H1009" s="6">
        <f ca="1">IF(B1009="","",股指期货基差分析!$L$11)</f>
        <v>15.737900000000081</v>
      </c>
      <c r="I1009" s="10">
        <f ca="1">IF(B1009="","",股指期货基差分析!$D$11)</f>
        <v>-19.923978315132629</v>
      </c>
      <c r="L1009" s="43"/>
      <c r="Q1009" s="11"/>
    </row>
    <row r="1010" spans="2:17" ht="15" customHeight="1" x14ac:dyDescent="0.2">
      <c r="B1010" s="7">
        <v>44986</v>
      </c>
      <c r="C1010" s="5">
        <f>IF(B1010="","",[1]!s_dq_close(股指期货基差分析!$E$5,$B1010))</f>
        <v>6402.1410999999998</v>
      </c>
      <c r="D1010" s="5">
        <f>IF(B1010="","",[1]!s_dq_close(股指期货基差分析!$E$6,$B1010))</f>
        <v>6387</v>
      </c>
      <c r="E1010" s="5">
        <f ca="1">RANK(F1010,F:F)+COUNTIF(F$2:F1010,F1010)-1</f>
        <v>662</v>
      </c>
      <c r="F1010" s="5">
        <f t="shared" si="16"/>
        <v>-15.141099999999824</v>
      </c>
      <c r="G1010" s="5">
        <f ca="1">IF(B1010="","",股指期货基差分析!$N$11)</f>
        <v>-71.408500000000458</v>
      </c>
      <c r="H1010" s="5">
        <f ca="1">IF(B1010="","",股指期货基差分析!$L$11)</f>
        <v>15.737900000000081</v>
      </c>
      <c r="I1010" s="9">
        <f ca="1">IF(B1010="","",股指期货基差分析!$D$11)</f>
        <v>-19.923978315132629</v>
      </c>
      <c r="L1010" s="43"/>
      <c r="Q1010" s="11"/>
    </row>
    <row r="1011" spans="2:17" ht="15" customHeight="1" x14ac:dyDescent="0.2">
      <c r="B1011" s="8">
        <v>44987</v>
      </c>
      <c r="C1011" s="6">
        <f>IF(B1011="","",[1]!s_dq_close(股指期货基差分析!$E$5,$B1011))</f>
        <v>6382.2322000000004</v>
      </c>
      <c r="D1011" s="6">
        <f>IF(B1011="","",[1]!s_dq_close(股指期货基差分析!$E$6,$B1011))</f>
        <v>6381</v>
      </c>
      <c r="E1011" s="6">
        <f ca="1">RANK(F1011,F:F)+COUNTIF(F$2:F1011,F1011)-1</f>
        <v>323</v>
      </c>
      <c r="F1011" s="6">
        <f t="shared" si="16"/>
        <v>-1.2322000000003754</v>
      </c>
      <c r="G1011" s="6">
        <f ca="1">IF(B1011="","",股指期货基差分析!$N$11)</f>
        <v>-71.408500000000458</v>
      </c>
      <c r="H1011" s="6">
        <f ca="1">IF(B1011="","",股指期货基差分析!$L$11)</f>
        <v>15.737900000000081</v>
      </c>
      <c r="I1011" s="10">
        <f ca="1">IF(B1011="","",股指期货基差分析!$D$11)</f>
        <v>-19.923978315132629</v>
      </c>
      <c r="L1011" s="43"/>
      <c r="Q1011" s="11"/>
    </row>
    <row r="1012" spans="2:17" ht="15" customHeight="1" x14ac:dyDescent="0.2">
      <c r="B1012" s="7">
        <v>44988</v>
      </c>
      <c r="C1012" s="5">
        <f>IF(B1012="","",[1]!s_dq_close(股指期货基差分析!$E$5,$B1012))</f>
        <v>6390.3176999999996</v>
      </c>
      <c r="D1012" s="5">
        <f>IF(B1012="","",[1]!s_dq_close(股指期货基差分析!$E$6,$B1012))</f>
        <v>6372.6</v>
      </c>
      <c r="E1012" s="5">
        <f ca="1">RANK(F1012,F:F)+COUNTIF(F$2:F1012,F1012)-1</f>
        <v>713</v>
      </c>
      <c r="F1012" s="5">
        <f t="shared" si="16"/>
        <v>-17.71769999999924</v>
      </c>
      <c r="G1012" s="5">
        <f ca="1">IF(B1012="","",股指期货基差分析!$N$11)</f>
        <v>-71.408500000000458</v>
      </c>
      <c r="H1012" s="5">
        <f ca="1">IF(B1012="","",股指期货基差分析!$L$11)</f>
        <v>15.737900000000081</v>
      </c>
      <c r="I1012" s="9">
        <f ca="1">IF(B1012="","",股指期货基差分析!$D$11)</f>
        <v>-19.923978315132629</v>
      </c>
      <c r="L1012" s="43"/>
      <c r="Q1012" s="11"/>
    </row>
    <row r="1013" spans="2:17" ht="15" customHeight="1" x14ac:dyDescent="0.2">
      <c r="B1013" s="8">
        <v>44991</v>
      </c>
      <c r="C1013" s="6">
        <f>IF(B1013="","",[1]!s_dq_close(股指期货基差分析!$E$5,$B1013))</f>
        <v>6395.2191000000003</v>
      </c>
      <c r="D1013" s="6">
        <f>IF(B1013="","",[1]!s_dq_close(股指期货基差分析!$E$6,$B1013))</f>
        <v>6364</v>
      </c>
      <c r="E1013" s="6">
        <f ca="1">RANK(F1013,F:F)+COUNTIF(F$2:F1013,F1013)-1</f>
        <v>906</v>
      </c>
      <c r="F1013" s="6">
        <f t="shared" si="16"/>
        <v>-31.219100000000253</v>
      </c>
      <c r="G1013" s="6">
        <f ca="1">IF(B1013="","",股指期货基差分析!$N$11)</f>
        <v>-71.408500000000458</v>
      </c>
      <c r="H1013" s="6">
        <f ca="1">IF(B1013="","",股指期货基差分析!$L$11)</f>
        <v>15.737900000000081</v>
      </c>
      <c r="I1013" s="10">
        <f ca="1">IF(B1013="","",股指期货基差分析!$D$11)</f>
        <v>-19.923978315132629</v>
      </c>
      <c r="L1013" s="43"/>
      <c r="Q1013" s="11"/>
    </row>
    <row r="1014" spans="2:17" ht="15" customHeight="1" x14ac:dyDescent="0.2">
      <c r="B1014" s="7">
        <v>44992</v>
      </c>
      <c r="C1014" s="5">
        <f>IF(B1014="","",[1]!s_dq_close(股指期货基差分析!$E$5,$B1014))</f>
        <v>6284.2986000000001</v>
      </c>
      <c r="D1014" s="5">
        <f>IF(B1014="","",[1]!s_dq_close(股指期货基差分析!$E$6,$B1014))</f>
        <v>6276.6</v>
      </c>
      <c r="E1014" s="5">
        <f ca="1">RANK(F1014,F:F)+COUNTIF(F$2:F1014,F1014)-1</f>
        <v>495</v>
      </c>
      <c r="F1014" s="5">
        <f t="shared" si="16"/>
        <v>-7.6985999999997148</v>
      </c>
      <c r="G1014" s="5">
        <f ca="1">IF(B1014="","",股指期货基差分析!$N$11)</f>
        <v>-71.408500000000458</v>
      </c>
      <c r="H1014" s="5">
        <f ca="1">IF(B1014="","",股指期货基差分析!$L$11)</f>
        <v>15.737900000000081</v>
      </c>
      <c r="I1014" s="9">
        <f ca="1">IF(B1014="","",股指期货基差分析!$D$11)</f>
        <v>-19.923978315132629</v>
      </c>
      <c r="L1014" s="43"/>
      <c r="Q1014" s="11"/>
    </row>
    <row r="1015" spans="2:17" ht="15" customHeight="1" x14ac:dyDescent="0.2">
      <c r="B1015" s="8">
        <v>44993</v>
      </c>
      <c r="C1015" s="6">
        <f>IF(B1015="","",[1]!s_dq_close(股指期货基差分析!$E$5,$B1015))</f>
        <v>6301.5156999999999</v>
      </c>
      <c r="D1015" s="6">
        <f>IF(B1015="","",[1]!s_dq_close(股指期货基差分析!$E$6,$B1015))</f>
        <v>6288</v>
      </c>
      <c r="E1015" s="6">
        <f ca="1">RANK(F1015,F:F)+COUNTIF(F$2:F1015,F1015)-1</f>
        <v>626</v>
      </c>
      <c r="F1015" s="6">
        <f t="shared" si="16"/>
        <v>-13.515699999999924</v>
      </c>
      <c r="G1015" s="6">
        <f ca="1">IF(B1015="","",股指期货基差分析!$N$11)</f>
        <v>-71.408500000000458</v>
      </c>
      <c r="H1015" s="6">
        <f ca="1">IF(B1015="","",股指期货基差分析!$L$11)</f>
        <v>15.737900000000081</v>
      </c>
      <c r="I1015" s="10">
        <f ca="1">IF(B1015="","",股指期货基差分析!$D$11)</f>
        <v>-19.923978315132629</v>
      </c>
      <c r="L1015" s="43"/>
      <c r="Q1015" s="11"/>
    </row>
    <row r="1016" spans="2:17" ht="15" customHeight="1" x14ac:dyDescent="0.2">
      <c r="B1016" s="7">
        <v>44994</v>
      </c>
      <c r="C1016" s="5">
        <f>IF(B1016="","",[1]!s_dq_close(股指期货基差分析!$E$5,$B1016))</f>
        <v>6285.9521000000004</v>
      </c>
      <c r="D1016" s="5">
        <f>IF(B1016="","",[1]!s_dq_close(股指期货基差分析!$E$6,$B1016))</f>
        <v>6278.2</v>
      </c>
      <c r="E1016" s="5">
        <f ca="1">RANK(F1016,F:F)+COUNTIF(F$2:F1016,F1016)-1</f>
        <v>496</v>
      </c>
      <c r="F1016" s="5">
        <f t="shared" si="16"/>
        <v>-7.7521000000006097</v>
      </c>
      <c r="G1016" s="5">
        <f ca="1">IF(B1016="","",股指期货基差分析!$N$11)</f>
        <v>-71.408500000000458</v>
      </c>
      <c r="H1016" s="5">
        <f ca="1">IF(B1016="","",股指期货基差分析!$L$11)</f>
        <v>15.737900000000081</v>
      </c>
      <c r="I1016" s="9">
        <f ca="1">IF(B1016="","",股指期货基差分析!$D$11)</f>
        <v>-19.923978315132629</v>
      </c>
      <c r="L1016" s="43"/>
      <c r="Q1016" s="11"/>
    </row>
    <row r="1017" spans="2:17" ht="15" customHeight="1" x14ac:dyDescent="0.2">
      <c r="B1017" s="8">
        <v>44995</v>
      </c>
      <c r="C1017" s="6">
        <f>IF(B1017="","",[1]!s_dq_close(股指期货基差分析!$E$5,$B1017))</f>
        <v>6204.8989000000001</v>
      </c>
      <c r="D1017" s="6">
        <f>IF(B1017="","",[1]!s_dq_close(股指期货基差分析!$E$6,$B1017))</f>
        <v>6203</v>
      </c>
      <c r="E1017" s="6">
        <f ca="1">RANK(F1017,F:F)+COUNTIF(F$2:F1017,F1017)-1</f>
        <v>343</v>
      </c>
      <c r="F1017" s="6">
        <f t="shared" si="16"/>
        <v>-1.8989000000001397</v>
      </c>
      <c r="G1017" s="6">
        <f ca="1">IF(B1017="","",股指期货基差分析!$N$11)</f>
        <v>-71.408500000000458</v>
      </c>
      <c r="H1017" s="6">
        <f ca="1">IF(B1017="","",股指期货基差分析!$L$11)</f>
        <v>15.737900000000081</v>
      </c>
      <c r="I1017" s="10">
        <f ca="1">IF(B1017="","",股指期货基差分析!$D$11)</f>
        <v>-19.923978315132629</v>
      </c>
      <c r="L1017" s="43"/>
      <c r="Q1017" s="11"/>
    </row>
    <row r="1018" spans="2:17" ht="15" customHeight="1" x14ac:dyDescent="0.2">
      <c r="B1018" s="7">
        <v>44998</v>
      </c>
      <c r="C1018" s="5">
        <f>IF(B1018="","",[1]!s_dq_close(股指期货基差分析!$E$5,$B1018))</f>
        <v>6245.0029000000004</v>
      </c>
      <c r="D1018" s="5">
        <f>IF(B1018="","",[1]!s_dq_close(股指期货基差分析!$E$6,$B1018))</f>
        <v>6241.8</v>
      </c>
      <c r="E1018" s="5">
        <f ca="1">RANK(F1018,F:F)+COUNTIF(F$2:F1018,F1018)-1</f>
        <v>377</v>
      </c>
      <c r="F1018" s="5">
        <f t="shared" si="16"/>
        <v>-3.202900000000227</v>
      </c>
      <c r="G1018" s="5">
        <f ca="1">IF(B1018="","",股指期货基差分析!$N$11)</f>
        <v>-71.408500000000458</v>
      </c>
      <c r="H1018" s="5">
        <f ca="1">IF(B1018="","",股指期货基差分析!$L$11)</f>
        <v>15.737900000000081</v>
      </c>
      <c r="I1018" s="9">
        <f ca="1">IF(B1018="","",股指期货基差分析!$D$11)</f>
        <v>-19.923978315132629</v>
      </c>
      <c r="L1018" s="43"/>
      <c r="Q1018" s="11"/>
    </row>
    <row r="1019" spans="2:17" ht="15" customHeight="1" x14ac:dyDescent="0.2">
      <c r="B1019" s="8">
        <v>44999</v>
      </c>
      <c r="C1019" s="6">
        <f>IF(B1019="","",[1]!s_dq_close(股指期货基差分析!$E$5,$B1019))</f>
        <v>6189.3968999999997</v>
      </c>
      <c r="D1019" s="6">
        <f>IF(B1019="","",[1]!s_dq_close(股指期货基差分析!$E$6,$B1019))</f>
        <v>6197</v>
      </c>
      <c r="E1019" s="6">
        <f ca="1">RANK(F1019,F:F)+COUNTIF(F$2:F1019,F1019)-1</f>
        <v>145</v>
      </c>
      <c r="F1019" s="6">
        <f t="shared" si="16"/>
        <v>7.6031000000002678</v>
      </c>
      <c r="G1019" s="6">
        <f ca="1">IF(B1019="","",股指期货基差分析!$N$11)</f>
        <v>-71.408500000000458</v>
      </c>
      <c r="H1019" s="6">
        <f ca="1">IF(B1019="","",股指期货基差分析!$L$11)</f>
        <v>15.737900000000081</v>
      </c>
      <c r="I1019" s="10">
        <f ca="1">IF(B1019="","",股指期货基差分析!$D$11)</f>
        <v>-19.923978315132629</v>
      </c>
      <c r="L1019" s="43"/>
      <c r="Q1019" s="11"/>
    </row>
    <row r="1020" spans="2:17" ht="15" customHeight="1" x14ac:dyDescent="0.2">
      <c r="B1020" s="7">
        <v>45000</v>
      </c>
      <c r="C1020" s="5">
        <f>IF(B1020="","",[1]!s_dq_close(股指期货基差分析!$E$5,$B1020))</f>
        <v>6224.64</v>
      </c>
      <c r="D1020" s="5">
        <f>IF(B1020="","",[1]!s_dq_close(股指期货基差分析!$E$6,$B1020))</f>
        <v>6228.4</v>
      </c>
      <c r="E1020" s="5">
        <f ca="1">RANK(F1020,F:F)+COUNTIF(F$2:F1020,F1020)-1</f>
        <v>212</v>
      </c>
      <c r="F1020" s="5">
        <f t="shared" si="16"/>
        <v>3.7599999999993088</v>
      </c>
      <c r="G1020" s="5">
        <f ca="1">IF(B1020="","",股指期货基差分析!$N$11)</f>
        <v>-71.408500000000458</v>
      </c>
      <c r="H1020" s="5">
        <f ca="1">IF(B1020="","",股指期货基差分析!$L$11)</f>
        <v>15.737900000000081</v>
      </c>
      <c r="I1020" s="9">
        <f ca="1">IF(B1020="","",股指期货基差分析!$D$11)</f>
        <v>-19.923978315132629</v>
      </c>
      <c r="L1020" s="43"/>
      <c r="Q1020" s="11"/>
    </row>
    <row r="1021" spans="2:17" ht="15" customHeight="1" x14ac:dyDescent="0.2">
      <c r="B1021" s="8">
        <v>45001</v>
      </c>
      <c r="C1021" s="6">
        <f>IF(B1021="","",[1]!s_dq_close(股指期货基差分析!$E$5,$B1021))</f>
        <v>6140.8316999999997</v>
      </c>
      <c r="D1021" s="6">
        <f>IF(B1021="","",[1]!s_dq_close(股指期货基差分析!$E$6,$B1021))</f>
        <v>6155</v>
      </c>
      <c r="E1021" s="6">
        <f ca="1">RANK(F1021,F:F)+COUNTIF(F$2:F1021,F1021)-1</f>
        <v>72</v>
      </c>
      <c r="F1021" s="6">
        <f t="shared" si="16"/>
        <v>14.168300000000272</v>
      </c>
      <c r="G1021" s="6">
        <f ca="1">IF(B1021="","",股指期货基差分析!$N$11)</f>
        <v>-71.408500000000458</v>
      </c>
      <c r="H1021" s="6">
        <f ca="1">IF(B1021="","",股指期货基差分析!$L$11)</f>
        <v>15.737900000000081</v>
      </c>
      <c r="I1021" s="10">
        <f ca="1">IF(B1021="","",股指期货基差分析!$D$11)</f>
        <v>-19.923978315132629</v>
      </c>
      <c r="L1021" s="43"/>
      <c r="Q1021" s="11"/>
    </row>
    <row r="1022" spans="2:17" ht="15" customHeight="1" x14ac:dyDescent="0.2">
      <c r="B1022" s="7">
        <v>45002</v>
      </c>
      <c r="C1022" s="5">
        <f>IF(B1022="","",[1]!s_dq_close(股指期货基差分析!$E$5,$B1022))</f>
        <v>6183.1842999999999</v>
      </c>
      <c r="D1022" s="5">
        <f>IF(B1022="","",[1]!s_dq_close(股指期货基差分析!$E$6,$B1022))</f>
        <v>6200.2</v>
      </c>
      <c r="E1022" s="5">
        <f ca="1">RANK(F1022,F:F)+COUNTIF(F$2:F1022,F1022)-1</f>
        <v>56</v>
      </c>
      <c r="F1022" s="5">
        <f t="shared" si="16"/>
        <v>17.015699999999924</v>
      </c>
      <c r="G1022" s="5">
        <f ca="1">IF(B1022="","",股指期货基差分析!$N$11)</f>
        <v>-71.408500000000458</v>
      </c>
      <c r="H1022" s="5">
        <f ca="1">IF(B1022="","",股指期货基差分析!$L$11)</f>
        <v>15.737900000000081</v>
      </c>
      <c r="I1022" s="9">
        <f ca="1">IF(B1022="","",股指期货基差分析!$D$11)</f>
        <v>-19.923978315132629</v>
      </c>
      <c r="L1022" s="43"/>
      <c r="Q1022" s="11"/>
    </row>
    <row r="1023" spans="2:17" ht="15" customHeight="1" x14ac:dyDescent="0.2">
      <c r="B1023" s="8">
        <v>45005</v>
      </c>
      <c r="C1023" s="6">
        <f>IF(B1023="","",[1]!s_dq_close(股指期货基差分析!$E$5,$B1023))</f>
        <v>6160.3540999999996</v>
      </c>
      <c r="D1023" s="6">
        <f>IF(B1023="","",[1]!s_dq_close(股指期货基差分析!$E$6,$B1023))</f>
        <v>6165.2</v>
      </c>
      <c r="E1023" s="6">
        <f ca="1">RANK(F1023,F:F)+COUNTIF(F$2:F1023,F1023)-1</f>
        <v>190</v>
      </c>
      <c r="F1023" s="6">
        <f t="shared" si="16"/>
        <v>4.8459000000002561</v>
      </c>
      <c r="G1023" s="6">
        <f ca="1">IF(B1023="","",股指期货基差分析!$N$11)</f>
        <v>-71.408500000000458</v>
      </c>
      <c r="H1023" s="6">
        <f ca="1">IF(B1023="","",股指期货基差分析!$L$11)</f>
        <v>15.737900000000081</v>
      </c>
      <c r="I1023" s="10">
        <f ca="1">IF(B1023="","",股指期货基差分析!$D$11)</f>
        <v>-19.923978315132629</v>
      </c>
      <c r="L1023" s="43"/>
      <c r="Q1023" s="11"/>
    </row>
    <row r="1024" spans="2:17" ht="15" customHeight="1" x14ac:dyDescent="0.2">
      <c r="B1024" s="7">
        <v>45006</v>
      </c>
      <c r="C1024" s="5">
        <f>IF(B1024="","",[1]!s_dq_close(股指期货基差分析!$E$5,$B1024))</f>
        <v>6234.6792999999998</v>
      </c>
      <c r="D1024" s="5">
        <f>IF(B1024="","",[1]!s_dq_close(股指期货基差分析!$E$6,$B1024))</f>
        <v>6226.2</v>
      </c>
      <c r="E1024" s="5">
        <f ca="1">RANK(F1024,F:F)+COUNTIF(F$2:F1024,F1024)-1</f>
        <v>513</v>
      </c>
      <c r="F1024" s="5">
        <f t="shared" si="16"/>
        <v>-8.4792999999999665</v>
      </c>
      <c r="G1024" s="5">
        <f ca="1">IF(B1024="","",股指期货基差分析!$N$11)</f>
        <v>-71.408500000000458</v>
      </c>
      <c r="H1024" s="5">
        <f ca="1">IF(B1024="","",股指期货基差分析!$L$11)</f>
        <v>15.737900000000081</v>
      </c>
      <c r="I1024" s="9">
        <f ca="1">IF(B1024="","",股指期货基差分析!$D$11)</f>
        <v>-19.923978315132629</v>
      </c>
      <c r="L1024" s="43"/>
      <c r="Q1024" s="11"/>
    </row>
    <row r="1025" spans="2:17" ht="15" customHeight="1" x14ac:dyDescent="0.2">
      <c r="B1025" s="8">
        <v>45007</v>
      </c>
      <c r="C1025" s="6">
        <f>IF(B1025="","",[1]!s_dq_close(股指期货基差分析!$E$5,$B1025))</f>
        <v>6269.7384000000002</v>
      </c>
      <c r="D1025" s="6">
        <f>IF(B1025="","",[1]!s_dq_close(股指期货基差分析!$E$6,$B1025))</f>
        <v>6264.2</v>
      </c>
      <c r="E1025" s="6">
        <f ca="1">RANK(F1025,F:F)+COUNTIF(F$2:F1025,F1025)-1</f>
        <v>428</v>
      </c>
      <c r="F1025" s="6">
        <f t="shared" si="16"/>
        <v>-5.5384000000003653</v>
      </c>
      <c r="G1025" s="6">
        <f ca="1">IF(B1025="","",股指期货基差分析!$N$11)</f>
        <v>-71.408500000000458</v>
      </c>
      <c r="H1025" s="6">
        <f ca="1">IF(B1025="","",股指期货基差分析!$L$11)</f>
        <v>15.737900000000081</v>
      </c>
      <c r="I1025" s="10">
        <f ca="1">IF(B1025="","",股指期货基差分析!$D$11)</f>
        <v>-19.923978315132629</v>
      </c>
      <c r="L1025" s="43"/>
      <c r="Q1025" s="11"/>
    </row>
    <row r="1026" spans="2:17" ht="15" customHeight="1" x14ac:dyDescent="0.2">
      <c r="B1026" s="7">
        <v>45008</v>
      </c>
      <c r="C1026" s="5">
        <f>IF(B1026="","",[1]!s_dq_close(股指期货基差分析!$E$5,$B1026))</f>
        <v>6305.7584999999999</v>
      </c>
      <c r="D1026" s="5">
        <f>IF(B1026="","",[1]!s_dq_close(股指期货基差分析!$E$6,$B1026))</f>
        <v>6298.8</v>
      </c>
      <c r="E1026" s="5">
        <f ca="1">RANK(F1026,F:F)+COUNTIF(F$2:F1026,F1026)-1</f>
        <v>468</v>
      </c>
      <c r="F1026" s="5">
        <f t="shared" ref="F1026:F1089" si="17">IF(B1026="","",D1026-C1026)</f>
        <v>-6.9584999999997308</v>
      </c>
      <c r="G1026" s="5">
        <f ca="1">IF(B1026="","",股指期货基差分析!$N$11)</f>
        <v>-71.408500000000458</v>
      </c>
      <c r="H1026" s="5">
        <f ca="1">IF(B1026="","",股指期货基差分析!$L$11)</f>
        <v>15.737900000000081</v>
      </c>
      <c r="I1026" s="9">
        <f ca="1">IF(B1026="","",股指期货基差分析!$D$11)</f>
        <v>-19.923978315132629</v>
      </c>
      <c r="L1026" s="43"/>
      <c r="Q1026" s="11"/>
    </row>
    <row r="1027" spans="2:17" ht="15" customHeight="1" x14ac:dyDescent="0.2">
      <c r="B1027" s="8">
        <v>45009</v>
      </c>
      <c r="C1027" s="6">
        <f>IF(B1027="","",[1]!s_dq_close(股指期货基差分析!$E$5,$B1027))</f>
        <v>6310.0978999999998</v>
      </c>
      <c r="D1027" s="6">
        <f>IF(B1027="","",[1]!s_dq_close(股指期货基差分析!$E$6,$B1027))</f>
        <v>6308.6</v>
      </c>
      <c r="E1027" s="6">
        <f ca="1">RANK(F1027,F:F)+COUNTIF(F$2:F1027,F1027)-1</f>
        <v>334</v>
      </c>
      <c r="F1027" s="6">
        <f t="shared" si="17"/>
        <v>-1.4978999999993903</v>
      </c>
      <c r="G1027" s="6">
        <f ca="1">IF(B1027="","",股指期货基差分析!$N$11)</f>
        <v>-71.408500000000458</v>
      </c>
      <c r="H1027" s="6">
        <f ca="1">IF(B1027="","",股指期货基差分析!$L$11)</f>
        <v>15.737900000000081</v>
      </c>
      <c r="I1027" s="10">
        <f ca="1">IF(B1027="","",股指期货基差分析!$D$11)</f>
        <v>-19.923978315132629</v>
      </c>
      <c r="L1027" s="43"/>
      <c r="Q1027" s="11"/>
    </row>
    <row r="1028" spans="2:17" ht="15" customHeight="1" x14ac:dyDescent="0.2">
      <c r="B1028" s="7">
        <v>45012</v>
      </c>
      <c r="C1028" s="5">
        <f>IF(B1028="","",[1]!s_dq_close(股指期货基差分析!$E$5,$B1028))</f>
        <v>6311.5998</v>
      </c>
      <c r="D1028" s="5">
        <f>IF(B1028="","",[1]!s_dq_close(股指期货基差分析!$E$6,$B1028))</f>
        <v>6296.2</v>
      </c>
      <c r="E1028" s="5">
        <f ca="1">RANK(F1028,F:F)+COUNTIF(F$2:F1028,F1028)-1</f>
        <v>669</v>
      </c>
      <c r="F1028" s="5">
        <f t="shared" si="17"/>
        <v>-15.399800000000141</v>
      </c>
      <c r="G1028" s="5">
        <f ca="1">IF(B1028="","",股指期货基差分析!$N$11)</f>
        <v>-71.408500000000458</v>
      </c>
      <c r="H1028" s="5">
        <f ca="1">IF(B1028="","",股指期货基差分析!$L$11)</f>
        <v>15.737900000000081</v>
      </c>
      <c r="I1028" s="9">
        <f ca="1">IF(B1028="","",股指期货基差分析!$D$11)</f>
        <v>-19.923978315132629</v>
      </c>
      <c r="L1028" s="43"/>
      <c r="Q1028" s="11"/>
    </row>
    <row r="1029" spans="2:17" ht="15" customHeight="1" x14ac:dyDescent="0.2">
      <c r="B1029" s="8">
        <v>45013</v>
      </c>
      <c r="C1029" s="6">
        <f>IF(B1029="","",[1]!s_dq_close(股指期货基差分析!$E$5,$B1029))</f>
        <v>6279.9216999999999</v>
      </c>
      <c r="D1029" s="6">
        <f>IF(B1029="","",[1]!s_dq_close(股指期货基差分析!$E$6,$B1029))</f>
        <v>6287.8</v>
      </c>
      <c r="E1029" s="6">
        <f ca="1">RANK(F1029,F:F)+COUNTIF(F$2:F1029,F1029)-1</f>
        <v>140</v>
      </c>
      <c r="F1029" s="6">
        <f t="shared" si="17"/>
        <v>7.8783000000003085</v>
      </c>
      <c r="G1029" s="6">
        <f ca="1">IF(B1029="","",股指期货基差分析!$N$11)</f>
        <v>-71.408500000000458</v>
      </c>
      <c r="H1029" s="6">
        <f ca="1">IF(B1029="","",股指期货基差分析!$L$11)</f>
        <v>15.737900000000081</v>
      </c>
      <c r="I1029" s="10">
        <f ca="1">IF(B1029="","",股指期货基差分析!$D$11)</f>
        <v>-19.923978315132629</v>
      </c>
      <c r="L1029" s="43"/>
      <c r="Q1029" s="11"/>
    </row>
    <row r="1030" spans="2:17" ht="15" customHeight="1" x14ac:dyDescent="0.2">
      <c r="B1030" s="7">
        <v>45014</v>
      </c>
      <c r="C1030" s="5">
        <f>IF(B1030="","",[1]!s_dq_close(股指期货基差分析!$E$5,$B1030))</f>
        <v>6260.5510000000004</v>
      </c>
      <c r="D1030" s="5">
        <f>IF(B1030="","",[1]!s_dq_close(股指期货基差分析!$E$6,$B1030))</f>
        <v>6261.2</v>
      </c>
      <c r="E1030" s="5">
        <f ca="1">RANK(F1030,F:F)+COUNTIF(F$2:F1030,F1030)-1</f>
        <v>277</v>
      </c>
      <c r="F1030" s="5">
        <f t="shared" si="17"/>
        <v>0.64899999999943248</v>
      </c>
      <c r="G1030" s="5">
        <f ca="1">IF(B1030="","",股指期货基差分析!$N$11)</f>
        <v>-71.408500000000458</v>
      </c>
      <c r="H1030" s="5">
        <f ca="1">IF(B1030="","",股指期货基差分析!$L$11)</f>
        <v>15.737900000000081</v>
      </c>
      <c r="I1030" s="9">
        <f ca="1">IF(B1030="","",股指期货基差分析!$D$11)</f>
        <v>-19.923978315132629</v>
      </c>
      <c r="L1030" s="43"/>
      <c r="Q1030" s="11"/>
    </row>
    <row r="1031" spans="2:17" ht="15" customHeight="1" x14ac:dyDescent="0.2">
      <c r="B1031" s="8">
        <v>45015</v>
      </c>
      <c r="C1031" s="6">
        <f>IF(B1031="","",[1]!s_dq_close(股指期货基差分析!$E$5,$B1031))</f>
        <v>6286.1773000000003</v>
      </c>
      <c r="D1031" s="6">
        <f>IF(B1031="","",[1]!s_dq_close(股指期货基差分析!$E$6,$B1031))</f>
        <v>6303</v>
      </c>
      <c r="E1031" s="6">
        <f ca="1">RANK(F1031,F:F)+COUNTIF(F$2:F1031,F1031)-1</f>
        <v>57</v>
      </c>
      <c r="F1031" s="6">
        <f t="shared" si="17"/>
        <v>16.822699999999713</v>
      </c>
      <c r="G1031" s="6">
        <f ca="1">IF(B1031="","",股指期货基差分析!$N$11)</f>
        <v>-71.408500000000458</v>
      </c>
      <c r="H1031" s="6">
        <f ca="1">IF(B1031="","",股指期货基差分析!$L$11)</f>
        <v>15.737900000000081</v>
      </c>
      <c r="I1031" s="10">
        <f ca="1">IF(B1031="","",股指期货基差分析!$D$11)</f>
        <v>-19.923978315132629</v>
      </c>
      <c r="L1031" s="43"/>
      <c r="Q1031" s="11"/>
    </row>
    <row r="1032" spans="2:17" ht="15" customHeight="1" x14ac:dyDescent="0.2">
      <c r="B1032" s="7">
        <v>45016</v>
      </c>
      <c r="C1032" s="5">
        <f>IF(B1032="","",[1]!s_dq_close(股指期货基差分析!$E$5,$B1032))</f>
        <v>6339.8182999999999</v>
      </c>
      <c r="D1032" s="5">
        <f>IF(B1032="","",[1]!s_dq_close(股指期货基差分析!$E$6,$B1032))</f>
        <v>6347</v>
      </c>
      <c r="E1032" s="5">
        <f ca="1">RANK(F1032,F:F)+COUNTIF(F$2:F1032,F1032)-1</f>
        <v>149</v>
      </c>
      <c r="F1032" s="5">
        <f t="shared" si="17"/>
        <v>7.1817000000000917</v>
      </c>
      <c r="G1032" s="5">
        <f ca="1">IF(B1032="","",股指期货基差分析!$N$11)</f>
        <v>-71.408500000000458</v>
      </c>
      <c r="H1032" s="5">
        <f ca="1">IF(B1032="","",股指期货基差分析!$L$11)</f>
        <v>15.737900000000081</v>
      </c>
      <c r="I1032" s="9">
        <f ca="1">IF(B1032="","",股指期货基差分析!$D$11)</f>
        <v>-19.923978315132629</v>
      </c>
      <c r="L1032" s="43"/>
      <c r="Q1032" s="11"/>
    </row>
    <row r="1033" spans="2:17" ht="15" customHeight="1" x14ac:dyDescent="0.2">
      <c r="B1033" s="8">
        <v>45019</v>
      </c>
      <c r="C1033" s="6">
        <f>IF(B1033="","",[1]!s_dq_close(股指期货基差分析!$E$5,$B1033))</f>
        <v>6413.8073000000004</v>
      </c>
      <c r="D1033" s="6">
        <f>IF(B1033="","",[1]!s_dq_close(股指期货基差分析!$E$6,$B1033))</f>
        <v>6406</v>
      </c>
      <c r="E1033" s="6">
        <f ca="1">RANK(F1033,F:F)+COUNTIF(F$2:F1033,F1033)-1</f>
        <v>498</v>
      </c>
      <c r="F1033" s="6">
        <f t="shared" si="17"/>
        <v>-7.8073000000003958</v>
      </c>
      <c r="G1033" s="6">
        <f ca="1">IF(B1033="","",股指期货基差分析!$N$11)</f>
        <v>-71.408500000000458</v>
      </c>
      <c r="H1033" s="6">
        <f ca="1">IF(B1033="","",股指期货基差分析!$L$11)</f>
        <v>15.737900000000081</v>
      </c>
      <c r="I1033" s="10">
        <f ca="1">IF(B1033="","",股指期货基差分析!$D$11)</f>
        <v>-19.923978315132629</v>
      </c>
      <c r="L1033" s="43"/>
      <c r="Q1033" s="11"/>
    </row>
    <row r="1034" spans="2:17" ht="15" customHeight="1" x14ac:dyDescent="0.2">
      <c r="B1034" s="7">
        <v>45020</v>
      </c>
      <c r="C1034" s="5">
        <f>IF(B1034="","",[1]!s_dq_close(股指期货基差分析!$E$5,$B1034))</f>
        <v>6408.8994000000002</v>
      </c>
      <c r="D1034" s="5">
        <f>IF(B1034="","",[1]!s_dq_close(股指期货基差分析!$E$6,$B1034))</f>
        <v>6415</v>
      </c>
      <c r="E1034" s="5">
        <f ca="1">RANK(F1034,F:F)+COUNTIF(F$2:F1034,F1034)-1</f>
        <v>167</v>
      </c>
      <c r="F1034" s="5">
        <f t="shared" si="17"/>
        <v>6.1005999999997584</v>
      </c>
      <c r="G1034" s="5">
        <f ca="1">IF(B1034="","",股指期货基差分析!$N$11)</f>
        <v>-71.408500000000458</v>
      </c>
      <c r="H1034" s="5">
        <f ca="1">IF(B1034="","",股指期货基差分析!$L$11)</f>
        <v>15.737900000000081</v>
      </c>
      <c r="I1034" s="9">
        <f ca="1">IF(B1034="","",股指期货基差分析!$D$11)</f>
        <v>-19.923978315132629</v>
      </c>
      <c r="L1034" s="43"/>
      <c r="Q1034" s="11"/>
    </row>
    <row r="1035" spans="2:17" ht="15" customHeight="1" x14ac:dyDescent="0.2">
      <c r="B1035" s="8">
        <v>45022</v>
      </c>
      <c r="C1035" s="6">
        <f>IF(B1035="","",[1]!s_dq_close(股指期货基差分析!$E$5,$B1035))</f>
        <v>6416.8455999999996</v>
      </c>
      <c r="D1035" s="6">
        <f>IF(B1035="","",[1]!s_dq_close(股指期货基差分析!$E$6,$B1035))</f>
        <v>6411.4</v>
      </c>
      <c r="E1035" s="6">
        <f ca="1">RANK(F1035,F:F)+COUNTIF(F$2:F1035,F1035)-1</f>
        <v>423</v>
      </c>
      <c r="F1035" s="6">
        <f t="shared" si="17"/>
        <v>-5.4456000000000131</v>
      </c>
      <c r="G1035" s="6">
        <f ca="1">IF(B1035="","",股指期货基差分析!$N$11)</f>
        <v>-71.408500000000458</v>
      </c>
      <c r="H1035" s="6">
        <f ca="1">IF(B1035="","",股指期货基差分析!$L$11)</f>
        <v>15.737900000000081</v>
      </c>
      <c r="I1035" s="10">
        <f ca="1">IF(B1035="","",股指期货基差分析!$D$11)</f>
        <v>-19.923978315132629</v>
      </c>
      <c r="L1035" s="43"/>
      <c r="Q1035" s="11"/>
    </row>
    <row r="1036" spans="2:17" ht="15" customHeight="1" x14ac:dyDescent="0.2">
      <c r="B1036" s="7">
        <v>45023</v>
      </c>
      <c r="C1036" s="5">
        <f>IF(B1036="","",[1]!s_dq_close(股指期货基差分析!$E$5,$B1036))</f>
        <v>6464.4664000000002</v>
      </c>
      <c r="D1036" s="5">
        <f>IF(B1036="","",[1]!s_dq_close(股指期货基差分析!$E$6,$B1036))</f>
        <v>6457</v>
      </c>
      <c r="E1036" s="5">
        <f ca="1">RANK(F1036,F:F)+COUNTIF(F$2:F1036,F1036)-1</f>
        <v>487</v>
      </c>
      <c r="F1036" s="5">
        <f t="shared" si="17"/>
        <v>-7.4664000000002488</v>
      </c>
      <c r="G1036" s="5">
        <f ca="1">IF(B1036="","",股指期货基差分析!$N$11)</f>
        <v>-71.408500000000458</v>
      </c>
      <c r="H1036" s="5">
        <f ca="1">IF(B1036="","",股指期货基差分析!$L$11)</f>
        <v>15.737900000000081</v>
      </c>
      <c r="I1036" s="9">
        <f ca="1">IF(B1036="","",股指期货基差分析!$D$11)</f>
        <v>-19.923978315132629</v>
      </c>
      <c r="L1036" s="43"/>
      <c r="Q1036" s="11"/>
    </row>
    <row r="1037" spans="2:17" ht="15" customHeight="1" x14ac:dyDescent="0.2">
      <c r="B1037" s="8">
        <v>45026</v>
      </c>
      <c r="C1037" s="6">
        <f>IF(B1037="","",[1]!s_dq_close(股指期货基差分析!$E$5,$B1037))</f>
        <v>6410.5218000000004</v>
      </c>
      <c r="D1037" s="6">
        <f>IF(B1037="","",[1]!s_dq_close(股指期货基差分析!$E$6,$B1037))</f>
        <v>6420.4</v>
      </c>
      <c r="E1037" s="6">
        <f ca="1">RANK(F1037,F:F)+COUNTIF(F$2:F1037,F1037)-1</f>
        <v>113</v>
      </c>
      <c r="F1037" s="6">
        <f t="shared" si="17"/>
        <v>9.8781999999991967</v>
      </c>
      <c r="G1037" s="6">
        <f ca="1">IF(B1037="","",股指期货基差分析!$N$11)</f>
        <v>-71.408500000000458</v>
      </c>
      <c r="H1037" s="6">
        <f ca="1">IF(B1037="","",股指期货基差分析!$L$11)</f>
        <v>15.737900000000081</v>
      </c>
      <c r="I1037" s="10">
        <f ca="1">IF(B1037="","",股指期货基差分析!$D$11)</f>
        <v>-19.923978315132629</v>
      </c>
      <c r="L1037" s="43"/>
      <c r="Q1037" s="11"/>
    </row>
    <row r="1038" spans="2:17" ht="15" customHeight="1" x14ac:dyDescent="0.2">
      <c r="B1038" s="7">
        <v>45027</v>
      </c>
      <c r="C1038" s="5">
        <f>IF(B1038="","",[1]!s_dq_close(股指期货基差分析!$E$5,$B1038))</f>
        <v>6420.8770000000004</v>
      </c>
      <c r="D1038" s="5">
        <f>IF(B1038="","",[1]!s_dq_close(股指期货基差分析!$E$6,$B1038))</f>
        <v>6416</v>
      </c>
      <c r="E1038" s="5">
        <f ca="1">RANK(F1038,F:F)+COUNTIF(F$2:F1038,F1038)-1</f>
        <v>411</v>
      </c>
      <c r="F1038" s="5">
        <f t="shared" si="17"/>
        <v>-4.8770000000004075</v>
      </c>
      <c r="G1038" s="5">
        <f ca="1">IF(B1038="","",股指期货基差分析!$N$11)</f>
        <v>-71.408500000000458</v>
      </c>
      <c r="H1038" s="5">
        <f ca="1">IF(B1038="","",股指期货基差分析!$L$11)</f>
        <v>15.737900000000081</v>
      </c>
      <c r="I1038" s="9">
        <f ca="1">IF(B1038="","",股指期货基差分析!$D$11)</f>
        <v>-19.923978315132629</v>
      </c>
      <c r="L1038" s="43"/>
      <c r="Q1038" s="11"/>
    </row>
    <row r="1039" spans="2:17" ht="15" customHeight="1" x14ac:dyDescent="0.2">
      <c r="B1039" s="8">
        <v>45028</v>
      </c>
      <c r="C1039" s="6">
        <f>IF(B1039="","",[1]!s_dq_close(股指期货基差分析!$E$5,$B1039))</f>
        <v>6443.4390999999996</v>
      </c>
      <c r="D1039" s="6">
        <f>IF(B1039="","",[1]!s_dq_close(股指期货基差分析!$E$6,$B1039))</f>
        <v>6436.2</v>
      </c>
      <c r="E1039" s="6">
        <f ca="1">RANK(F1039,F:F)+COUNTIF(F$2:F1039,F1039)-1</f>
        <v>478</v>
      </c>
      <c r="F1039" s="6">
        <f t="shared" si="17"/>
        <v>-7.2390999999997803</v>
      </c>
      <c r="G1039" s="6">
        <f ca="1">IF(B1039="","",股指期货基差分析!$N$11)</f>
        <v>-71.408500000000458</v>
      </c>
      <c r="H1039" s="6">
        <f ca="1">IF(B1039="","",股指期货基差分析!$L$11)</f>
        <v>15.737900000000081</v>
      </c>
      <c r="I1039" s="10">
        <f ca="1">IF(B1039="","",股指期货基差分析!$D$11)</f>
        <v>-19.923978315132629</v>
      </c>
      <c r="L1039" s="43"/>
      <c r="Q1039" s="11"/>
    </row>
    <row r="1040" spans="2:17" ht="15" customHeight="1" x14ac:dyDescent="0.2">
      <c r="B1040" s="7">
        <v>45029</v>
      </c>
      <c r="C1040" s="5">
        <f>IF(B1040="","",[1]!s_dq_close(股指期货基差分析!$E$5,$B1040))</f>
        <v>6404.6463000000003</v>
      </c>
      <c r="D1040" s="5">
        <f>IF(B1040="","",[1]!s_dq_close(股指期货基差分析!$E$6,$B1040))</f>
        <v>6408</v>
      </c>
      <c r="E1040" s="5">
        <f ca="1">RANK(F1040,F:F)+COUNTIF(F$2:F1040,F1040)-1</f>
        <v>227</v>
      </c>
      <c r="F1040" s="5">
        <f t="shared" si="17"/>
        <v>3.3536999999996624</v>
      </c>
      <c r="G1040" s="5">
        <f ca="1">IF(B1040="","",股指期货基差分析!$N$11)</f>
        <v>-71.408500000000458</v>
      </c>
      <c r="H1040" s="5">
        <f ca="1">IF(B1040="","",股指期货基差分析!$L$11)</f>
        <v>15.737900000000081</v>
      </c>
      <c r="I1040" s="9">
        <f ca="1">IF(B1040="","",股指期货基差分析!$D$11)</f>
        <v>-19.923978315132629</v>
      </c>
      <c r="L1040" s="43"/>
      <c r="Q1040" s="11"/>
    </row>
    <row r="1041" spans="2:17" ht="15" customHeight="1" x14ac:dyDescent="0.2">
      <c r="B1041" s="8">
        <v>45030</v>
      </c>
      <c r="C1041" s="6">
        <f>IF(B1041="","",[1]!s_dq_close(股指期货基差分析!$E$5,$B1041))</f>
        <v>6431.0688</v>
      </c>
      <c r="D1041" s="6">
        <f>IF(B1041="","",[1]!s_dq_close(股指期货基差分析!$E$6,$B1041))</f>
        <v>6423.8</v>
      </c>
      <c r="E1041" s="6">
        <f ca="1">RANK(F1041,F:F)+COUNTIF(F$2:F1041,F1041)-1</f>
        <v>479</v>
      </c>
      <c r="F1041" s="6">
        <f t="shared" si="17"/>
        <v>-7.2687999999998283</v>
      </c>
      <c r="G1041" s="6">
        <f ca="1">IF(B1041="","",股指期货基差分析!$N$11)</f>
        <v>-71.408500000000458</v>
      </c>
      <c r="H1041" s="6">
        <f ca="1">IF(B1041="","",股指期货基差分析!$L$11)</f>
        <v>15.737900000000081</v>
      </c>
      <c r="I1041" s="10">
        <f ca="1">IF(B1041="","",股指期货基差分析!$D$11)</f>
        <v>-19.923978315132629</v>
      </c>
      <c r="L1041" s="43"/>
      <c r="Q1041" s="11"/>
    </row>
    <row r="1042" spans="2:17" ht="15" customHeight="1" x14ac:dyDescent="0.2">
      <c r="B1042" s="7">
        <v>45033</v>
      </c>
      <c r="C1042" s="5">
        <f>IF(B1042="","",[1]!s_dq_close(股指期货基差分析!$E$5,$B1042))</f>
        <v>6459.2395999999999</v>
      </c>
      <c r="D1042" s="5">
        <f>IF(B1042="","",[1]!s_dq_close(股指期货基差分析!$E$6,$B1042))</f>
        <v>6454.4</v>
      </c>
      <c r="E1042" s="5">
        <f ca="1">RANK(F1042,F:F)+COUNTIF(F$2:F1042,F1042)-1</f>
        <v>410</v>
      </c>
      <c r="F1042" s="5">
        <f t="shared" si="17"/>
        <v>-4.8396000000002459</v>
      </c>
      <c r="G1042" s="5">
        <f ca="1">IF(B1042="","",股指期货基差分析!$N$11)</f>
        <v>-71.408500000000458</v>
      </c>
      <c r="H1042" s="5">
        <f ca="1">IF(B1042="","",股指期货基差分析!$L$11)</f>
        <v>15.737900000000081</v>
      </c>
      <c r="I1042" s="9">
        <f ca="1">IF(B1042="","",股指期货基差分析!$D$11)</f>
        <v>-19.923978315132629</v>
      </c>
      <c r="L1042" s="43"/>
      <c r="Q1042" s="11"/>
    </row>
    <row r="1043" spans="2:17" ht="15" customHeight="1" x14ac:dyDescent="0.2">
      <c r="B1043" s="8">
        <v>45034</v>
      </c>
      <c r="C1043" s="6">
        <f>IF(B1043="","",[1]!s_dq_close(股指期货基差分析!$E$5,$B1043))</f>
        <v>6449.8531000000003</v>
      </c>
      <c r="D1043" s="6">
        <f>IF(B1043="","",[1]!s_dq_close(股指期货基差分析!$E$6,$B1043))</f>
        <v>6439</v>
      </c>
      <c r="E1043" s="6">
        <f ca="1">RANK(F1043,F:F)+COUNTIF(F$2:F1043,F1043)-1</f>
        <v>571</v>
      </c>
      <c r="F1043" s="6">
        <f t="shared" si="17"/>
        <v>-10.853100000000268</v>
      </c>
      <c r="G1043" s="6">
        <f ca="1">IF(B1043="","",股指期货基差分析!$N$11)</f>
        <v>-71.408500000000458</v>
      </c>
      <c r="H1043" s="6">
        <f ca="1">IF(B1043="","",股指期货基差分析!$L$11)</f>
        <v>15.737900000000081</v>
      </c>
      <c r="I1043" s="10">
        <f ca="1">IF(B1043="","",股指期货基差分析!$D$11)</f>
        <v>-19.923978315132629</v>
      </c>
      <c r="L1043" s="43"/>
      <c r="Q1043" s="11"/>
    </row>
    <row r="1044" spans="2:17" ht="15" customHeight="1" x14ac:dyDescent="0.2">
      <c r="B1044" s="7">
        <v>45035</v>
      </c>
      <c r="C1044" s="5">
        <f>IF(B1044="","",[1]!s_dq_close(股指期货基差分析!$E$5,$B1044))</f>
        <v>6416.9696000000004</v>
      </c>
      <c r="D1044" s="5">
        <f>IF(B1044="","",[1]!s_dq_close(股指期货基差分析!$E$6,$B1044))</f>
        <v>6414.6</v>
      </c>
      <c r="E1044" s="5">
        <f ca="1">RANK(F1044,F:F)+COUNTIF(F$2:F1044,F1044)-1</f>
        <v>355</v>
      </c>
      <c r="F1044" s="5">
        <f t="shared" si="17"/>
        <v>-2.3695999999999913</v>
      </c>
      <c r="G1044" s="5">
        <f ca="1">IF(B1044="","",股指期货基差分析!$N$11)</f>
        <v>-71.408500000000458</v>
      </c>
      <c r="H1044" s="5">
        <f ca="1">IF(B1044="","",股指期货基差分析!$L$11)</f>
        <v>15.737900000000081</v>
      </c>
      <c r="I1044" s="9">
        <f ca="1">IF(B1044="","",股指期货基差分析!$D$11)</f>
        <v>-19.923978315132629</v>
      </c>
      <c r="L1044" s="43"/>
      <c r="Q1044" s="11"/>
    </row>
    <row r="1045" spans="2:17" ht="15" customHeight="1" x14ac:dyDescent="0.2">
      <c r="B1045" s="8">
        <v>45036</v>
      </c>
      <c r="C1045" s="6">
        <f>IF(B1045="","",[1]!s_dq_close(股指期货基差分析!$E$5,$B1045))</f>
        <v>6411.7564000000002</v>
      </c>
      <c r="D1045" s="6">
        <f>IF(B1045="","",[1]!s_dq_close(股指期货基差分析!$E$6,$B1045))</f>
        <v>6404</v>
      </c>
      <c r="E1045" s="6">
        <f ca="1">RANK(F1045,F:F)+COUNTIF(F$2:F1045,F1045)-1</f>
        <v>497</v>
      </c>
      <c r="F1045" s="6">
        <f t="shared" si="17"/>
        <v>-7.7564000000002125</v>
      </c>
      <c r="G1045" s="6">
        <f ca="1">IF(B1045="","",股指期货基差分析!$N$11)</f>
        <v>-71.408500000000458</v>
      </c>
      <c r="H1045" s="6">
        <f ca="1">IF(B1045="","",股指期货基差分析!$L$11)</f>
        <v>15.737900000000081</v>
      </c>
      <c r="I1045" s="10">
        <f ca="1">IF(B1045="","",股指期货基差分析!$D$11)</f>
        <v>-19.923978315132629</v>
      </c>
      <c r="L1045" s="43"/>
      <c r="Q1045" s="11"/>
    </row>
    <row r="1046" spans="2:17" ht="15" customHeight="1" x14ac:dyDescent="0.2">
      <c r="B1046" s="7">
        <v>45037</v>
      </c>
      <c r="C1046" s="5">
        <f>IF(B1046="","",[1]!s_dq_close(股指期货基差分析!$E$5,$B1046))</f>
        <v>6250.5446000000002</v>
      </c>
      <c r="D1046" s="5">
        <f>IF(B1046="","",[1]!s_dq_close(股指期货基差分析!$E$6,$B1046))</f>
        <v>6289.6</v>
      </c>
      <c r="E1046" s="5">
        <f ca="1">RANK(F1046,F:F)+COUNTIF(F$2:F1046,F1046)-1</f>
        <v>7</v>
      </c>
      <c r="F1046" s="5">
        <f t="shared" si="17"/>
        <v>39.055400000000191</v>
      </c>
      <c r="G1046" s="5">
        <f ca="1">IF(B1046="","",股指期货基差分析!$N$11)</f>
        <v>-71.408500000000458</v>
      </c>
      <c r="H1046" s="5">
        <f ca="1">IF(B1046="","",股指期货基差分析!$L$11)</f>
        <v>15.737900000000081</v>
      </c>
      <c r="I1046" s="9">
        <f ca="1">IF(B1046="","",股指期货基差分析!$D$11)</f>
        <v>-19.923978315132629</v>
      </c>
      <c r="L1046" s="43"/>
      <c r="Q1046" s="11"/>
    </row>
    <row r="1047" spans="2:17" ht="15" customHeight="1" x14ac:dyDescent="0.2">
      <c r="B1047" s="8">
        <v>45040</v>
      </c>
      <c r="C1047" s="6">
        <f>IF(B1047="","",[1]!s_dq_close(股指期货基差分析!$E$5,$B1047))</f>
        <v>6208.7797</v>
      </c>
      <c r="D1047" s="6">
        <f>IF(B1047="","",[1]!s_dq_close(股指期货基差分析!$E$6,$B1047))</f>
        <v>6204</v>
      </c>
      <c r="E1047" s="6">
        <f ca="1">RANK(F1047,F:F)+COUNTIF(F$2:F1047,F1047)-1</f>
        <v>408</v>
      </c>
      <c r="F1047" s="6">
        <f t="shared" si="17"/>
        <v>-4.779700000000048</v>
      </c>
      <c r="G1047" s="6">
        <f ca="1">IF(B1047="","",股指期货基差分析!$N$11)</f>
        <v>-71.408500000000458</v>
      </c>
      <c r="H1047" s="6">
        <f ca="1">IF(B1047="","",股指期货基差分析!$L$11)</f>
        <v>15.737900000000081</v>
      </c>
      <c r="I1047" s="10">
        <f ca="1">IF(B1047="","",股指期货基差分析!$D$11)</f>
        <v>-19.923978315132629</v>
      </c>
      <c r="L1047" s="43"/>
      <c r="Q1047" s="11"/>
    </row>
    <row r="1048" spans="2:17" ht="15" customHeight="1" x14ac:dyDescent="0.2">
      <c r="B1048" s="7">
        <v>45041</v>
      </c>
      <c r="C1048" s="5">
        <f>IF(B1048="","",[1]!s_dq_close(股指期货基差分析!$E$5,$B1048))</f>
        <v>6118.1526000000003</v>
      </c>
      <c r="D1048" s="5">
        <f>IF(B1048="","",[1]!s_dq_close(股指期货基差分析!$E$6,$B1048))</f>
        <v>6108.6</v>
      </c>
      <c r="E1048" s="5">
        <f ca="1">RANK(F1048,F:F)+COUNTIF(F$2:F1048,F1048)-1</f>
        <v>545</v>
      </c>
      <c r="F1048" s="5">
        <f t="shared" si="17"/>
        <v>-9.552599999999984</v>
      </c>
      <c r="G1048" s="5">
        <f ca="1">IF(B1048="","",股指期货基差分析!$N$11)</f>
        <v>-71.408500000000458</v>
      </c>
      <c r="H1048" s="5">
        <f ca="1">IF(B1048="","",股指期货基差分析!$L$11)</f>
        <v>15.737900000000081</v>
      </c>
      <c r="I1048" s="9">
        <f ca="1">IF(B1048="","",股指期货基差分析!$D$11)</f>
        <v>-19.923978315132629</v>
      </c>
      <c r="L1048" s="43"/>
      <c r="Q1048" s="11"/>
    </row>
    <row r="1049" spans="2:17" ht="15" customHeight="1" x14ac:dyDescent="0.2">
      <c r="B1049" s="8">
        <v>45042</v>
      </c>
      <c r="C1049" s="6">
        <f>IF(B1049="","",[1]!s_dq_close(股指期货基差分析!$E$5,$B1049))</f>
        <v>6142.1540999999997</v>
      </c>
      <c r="D1049" s="6">
        <f>IF(B1049="","",[1]!s_dq_close(股指期货基差分析!$E$6,$B1049))</f>
        <v>6131.6</v>
      </c>
      <c r="E1049" s="6">
        <f ca="1">RANK(F1049,F:F)+COUNTIF(F$2:F1049,F1049)-1</f>
        <v>563</v>
      </c>
      <c r="F1049" s="6">
        <f t="shared" si="17"/>
        <v>-10.55409999999938</v>
      </c>
      <c r="G1049" s="6">
        <f ca="1">IF(B1049="","",股指期货基差分析!$N$11)</f>
        <v>-71.408500000000458</v>
      </c>
      <c r="H1049" s="6">
        <f ca="1">IF(B1049="","",股指期货基差分析!$L$11)</f>
        <v>15.737900000000081</v>
      </c>
      <c r="I1049" s="10">
        <f ca="1">IF(B1049="","",股指期货基差分析!$D$11)</f>
        <v>-19.923978315132629</v>
      </c>
      <c r="L1049" s="43"/>
      <c r="Q1049" s="11"/>
    </row>
    <row r="1050" spans="2:17" ht="15" customHeight="1" x14ac:dyDescent="0.2">
      <c r="B1050" s="7">
        <v>45043</v>
      </c>
      <c r="C1050" s="5">
        <f>IF(B1050="","",[1]!s_dq_close(股指期货基差分析!$E$5,$B1050))</f>
        <v>6157.9359999999997</v>
      </c>
      <c r="D1050" s="5">
        <f>IF(B1050="","",[1]!s_dq_close(股指期货基差分析!$E$6,$B1050))</f>
        <v>6171.4</v>
      </c>
      <c r="E1050" s="5">
        <f ca="1">RANK(F1050,F:F)+COUNTIF(F$2:F1050,F1050)-1</f>
        <v>76</v>
      </c>
      <c r="F1050" s="5">
        <f t="shared" si="17"/>
        <v>13.463999999999942</v>
      </c>
      <c r="G1050" s="5">
        <f ca="1">IF(B1050="","",股指期货基差分析!$N$11)</f>
        <v>-71.408500000000458</v>
      </c>
      <c r="H1050" s="5">
        <f ca="1">IF(B1050="","",股指期货基差分析!$L$11)</f>
        <v>15.737900000000081</v>
      </c>
      <c r="I1050" s="9">
        <f ca="1">IF(B1050="","",股指期货基差分析!$D$11)</f>
        <v>-19.923978315132629</v>
      </c>
      <c r="L1050" s="43"/>
      <c r="Q1050" s="11"/>
    </row>
    <row r="1051" spans="2:17" ht="15" customHeight="1" x14ac:dyDescent="0.2">
      <c r="B1051" s="8">
        <v>45044</v>
      </c>
      <c r="C1051" s="6">
        <f>IF(B1051="","",[1]!s_dq_close(股指期货基差分析!$E$5,$B1051))</f>
        <v>6241.2440999999999</v>
      </c>
      <c r="D1051" s="6">
        <f>IF(B1051="","",[1]!s_dq_close(股指期货基差分析!$E$6,$B1051))</f>
        <v>6254.6</v>
      </c>
      <c r="E1051" s="6">
        <f ca="1">RANK(F1051,F:F)+COUNTIF(F$2:F1051,F1051)-1</f>
        <v>77</v>
      </c>
      <c r="F1051" s="6">
        <f t="shared" si="17"/>
        <v>13.355900000000474</v>
      </c>
      <c r="G1051" s="6">
        <f ca="1">IF(B1051="","",股指期货基差分析!$N$11)</f>
        <v>-71.408500000000458</v>
      </c>
      <c r="H1051" s="6">
        <f ca="1">IF(B1051="","",股指期货基差分析!$L$11)</f>
        <v>15.737900000000081</v>
      </c>
      <c r="I1051" s="10">
        <f ca="1">IF(B1051="","",股指期货基差分析!$D$11)</f>
        <v>-19.923978315132629</v>
      </c>
      <c r="L1051" s="43"/>
      <c r="Q1051" s="11"/>
    </row>
    <row r="1052" spans="2:17" ht="15" customHeight="1" x14ac:dyDescent="0.2">
      <c r="B1052" s="7">
        <v>45050</v>
      </c>
      <c r="C1052" s="5">
        <f>IF(B1052="","",[1]!s_dq_close(股指期货基差分析!$E$5,$B1052))</f>
        <v>6262.3891000000003</v>
      </c>
      <c r="D1052" s="5">
        <f>IF(B1052="","",[1]!s_dq_close(股指期货基差分析!$E$6,$B1052))</f>
        <v>6256.6</v>
      </c>
      <c r="E1052" s="5">
        <f ca="1">RANK(F1052,F:F)+COUNTIF(F$2:F1052,F1052)-1</f>
        <v>431</v>
      </c>
      <c r="F1052" s="5">
        <f t="shared" si="17"/>
        <v>-5.7890999999999622</v>
      </c>
      <c r="G1052" s="5">
        <f ca="1">IF(B1052="","",股指期货基差分析!$N$11)</f>
        <v>-71.408500000000458</v>
      </c>
      <c r="H1052" s="5">
        <f ca="1">IF(B1052="","",股指期货基差分析!$L$11)</f>
        <v>15.737900000000081</v>
      </c>
      <c r="I1052" s="9">
        <f ca="1">IF(B1052="","",股指期货基差分析!$D$11)</f>
        <v>-19.923978315132629</v>
      </c>
      <c r="L1052" s="43"/>
      <c r="Q1052" s="11"/>
    </row>
    <row r="1053" spans="2:17" ht="15" customHeight="1" x14ac:dyDescent="0.2">
      <c r="B1053" s="8">
        <v>45051</v>
      </c>
      <c r="C1053" s="6">
        <f>IF(B1053="","",[1]!s_dq_close(股指期货基差分析!$E$5,$B1053))</f>
        <v>6200.5758999999998</v>
      </c>
      <c r="D1053" s="6">
        <f>IF(B1053="","",[1]!s_dq_close(股指期货基差分析!$E$6,$B1053))</f>
        <v>6196.4</v>
      </c>
      <c r="E1053" s="6">
        <f ca="1">RANK(F1053,F:F)+COUNTIF(F$2:F1053,F1053)-1</f>
        <v>391</v>
      </c>
      <c r="F1053" s="6">
        <f t="shared" si="17"/>
        <v>-4.1759000000001834</v>
      </c>
      <c r="G1053" s="6">
        <f ca="1">IF(B1053="","",股指期货基差分析!$N$11)</f>
        <v>-71.408500000000458</v>
      </c>
      <c r="H1053" s="6">
        <f ca="1">IF(B1053="","",股指期货基差分析!$L$11)</f>
        <v>15.737900000000081</v>
      </c>
      <c r="I1053" s="10">
        <f ca="1">IF(B1053="","",股指期货基差分析!$D$11)</f>
        <v>-19.923978315132629</v>
      </c>
      <c r="L1053" s="43"/>
      <c r="Q1053" s="11"/>
    </row>
    <row r="1054" spans="2:17" ht="15" customHeight="1" x14ac:dyDescent="0.2">
      <c r="B1054" s="7">
        <v>45054</v>
      </c>
      <c r="C1054" s="5">
        <f>IF(B1054="","",[1]!s_dq_close(股指期货基差分析!$E$5,$B1054))</f>
        <v>6248.5828000000001</v>
      </c>
      <c r="D1054" s="5">
        <f>IF(B1054="","",[1]!s_dq_close(股指期货基差分析!$E$6,$B1054))</f>
        <v>6229.4</v>
      </c>
      <c r="E1054" s="5">
        <f ca="1">RANK(F1054,F:F)+COUNTIF(F$2:F1054,F1054)-1</f>
        <v>731</v>
      </c>
      <c r="F1054" s="5">
        <f t="shared" si="17"/>
        <v>-19.182800000000498</v>
      </c>
      <c r="G1054" s="5">
        <f ca="1">IF(B1054="","",股指期货基差分析!$N$11)</f>
        <v>-71.408500000000458</v>
      </c>
      <c r="H1054" s="5">
        <f ca="1">IF(B1054="","",股指期货基差分析!$L$11)</f>
        <v>15.737900000000081</v>
      </c>
      <c r="I1054" s="9">
        <f ca="1">IF(B1054="","",股指期货基差分析!$D$11)</f>
        <v>-19.923978315132629</v>
      </c>
      <c r="L1054" s="43"/>
      <c r="Q1054" s="11"/>
    </row>
    <row r="1055" spans="2:17" ht="15" customHeight="1" x14ac:dyDescent="0.2">
      <c r="B1055" s="8">
        <v>45055</v>
      </c>
      <c r="C1055" s="6">
        <f>IF(B1055="","",[1]!s_dq_close(股指期货基差分析!$E$5,$B1055))</f>
        <v>6181.9757</v>
      </c>
      <c r="D1055" s="6">
        <f>IF(B1055="","",[1]!s_dq_close(股指期货基差分析!$E$6,$B1055))</f>
        <v>6175.6</v>
      </c>
      <c r="E1055" s="6">
        <f ca="1">RANK(F1055,F:F)+COUNTIF(F$2:F1055,F1055)-1</f>
        <v>454</v>
      </c>
      <c r="F1055" s="6">
        <f t="shared" si="17"/>
        <v>-6.3756999999995969</v>
      </c>
      <c r="G1055" s="6">
        <f ca="1">IF(B1055="","",股指期货基差分析!$N$11)</f>
        <v>-71.408500000000458</v>
      </c>
      <c r="H1055" s="6">
        <f ca="1">IF(B1055="","",股指期货基差分析!$L$11)</f>
        <v>15.737900000000081</v>
      </c>
      <c r="I1055" s="10">
        <f ca="1">IF(B1055="","",股指期货基差分析!$D$11)</f>
        <v>-19.923978315132629</v>
      </c>
      <c r="L1055" s="43"/>
      <c r="Q1055" s="11"/>
    </row>
    <row r="1056" spans="2:17" ht="15" customHeight="1" x14ac:dyDescent="0.2">
      <c r="B1056" s="7">
        <v>45056</v>
      </c>
      <c r="C1056" s="5">
        <f>IF(B1056="","",[1]!s_dq_close(股指期货基差分析!$E$5,$B1056))</f>
        <v>6173.8092999999999</v>
      </c>
      <c r="D1056" s="5">
        <f>IF(B1056="","",[1]!s_dq_close(股指期货基差分析!$E$6,$B1056))</f>
        <v>6167.2</v>
      </c>
      <c r="E1056" s="5">
        <f ca="1">RANK(F1056,F:F)+COUNTIF(F$2:F1056,F1056)-1</f>
        <v>460</v>
      </c>
      <c r="F1056" s="5">
        <f t="shared" si="17"/>
        <v>-6.6093000000000757</v>
      </c>
      <c r="G1056" s="5">
        <f ca="1">IF(B1056="","",股指期货基差分析!$N$11)</f>
        <v>-71.408500000000458</v>
      </c>
      <c r="H1056" s="5">
        <f ca="1">IF(B1056="","",股指期货基差分析!$L$11)</f>
        <v>15.737900000000081</v>
      </c>
      <c r="I1056" s="9">
        <f ca="1">IF(B1056="","",股指期货基差分析!$D$11)</f>
        <v>-19.923978315132629</v>
      </c>
      <c r="L1056" s="43"/>
      <c r="Q1056" s="11"/>
    </row>
    <row r="1057" spans="2:17" ht="15" customHeight="1" x14ac:dyDescent="0.2">
      <c r="B1057" s="8">
        <v>45057</v>
      </c>
      <c r="C1057" s="6">
        <f>IF(B1057="","",[1]!s_dq_close(股指期货基差分析!$E$5,$B1057))</f>
        <v>6154.4703</v>
      </c>
      <c r="D1057" s="6">
        <f>IF(B1057="","",[1]!s_dq_close(股指期货基差分析!$E$6,$B1057))</f>
        <v>6147.4</v>
      </c>
      <c r="E1057" s="6">
        <f ca="1">RANK(F1057,F:F)+COUNTIF(F$2:F1057,F1057)-1</f>
        <v>472</v>
      </c>
      <c r="F1057" s="6">
        <f t="shared" si="17"/>
        <v>-7.0703000000003158</v>
      </c>
      <c r="G1057" s="6">
        <f ca="1">IF(B1057="","",股指期货基差分析!$N$11)</f>
        <v>-71.408500000000458</v>
      </c>
      <c r="H1057" s="6">
        <f ca="1">IF(B1057="","",股指期货基差分析!$L$11)</f>
        <v>15.737900000000081</v>
      </c>
      <c r="I1057" s="10">
        <f ca="1">IF(B1057="","",股指期货基差分析!$D$11)</f>
        <v>-19.923978315132629</v>
      </c>
      <c r="L1057" s="43"/>
      <c r="Q1057" s="11"/>
    </row>
    <row r="1058" spans="2:17" ht="15" customHeight="1" x14ac:dyDescent="0.2">
      <c r="B1058" s="7">
        <v>45058</v>
      </c>
      <c r="C1058" s="5">
        <f>IF(B1058="","",[1]!s_dq_close(股指期货基差分析!$E$5,$B1058))</f>
        <v>6091.6463999999996</v>
      </c>
      <c r="D1058" s="5">
        <f>IF(B1058="","",[1]!s_dq_close(股指期货基差分析!$E$6,$B1058))</f>
        <v>6082.2</v>
      </c>
      <c r="E1058" s="5">
        <f ca="1">RANK(F1058,F:F)+COUNTIF(F$2:F1058,F1058)-1</f>
        <v>543</v>
      </c>
      <c r="F1058" s="5">
        <f t="shared" si="17"/>
        <v>-9.4463999999998123</v>
      </c>
      <c r="G1058" s="5">
        <f ca="1">IF(B1058="","",股指期货基差分析!$N$11)</f>
        <v>-71.408500000000458</v>
      </c>
      <c r="H1058" s="5">
        <f ca="1">IF(B1058="","",股指期货基差分析!$L$11)</f>
        <v>15.737900000000081</v>
      </c>
      <c r="I1058" s="9">
        <f ca="1">IF(B1058="","",股指期货基差分析!$D$11)</f>
        <v>-19.923978315132629</v>
      </c>
      <c r="L1058" s="43"/>
      <c r="Q1058" s="11"/>
    </row>
    <row r="1059" spans="2:17" ht="15" customHeight="1" x14ac:dyDescent="0.2">
      <c r="B1059" s="8">
        <v>45061</v>
      </c>
      <c r="C1059" s="6">
        <f>IF(B1059="","",[1]!s_dq_close(股指期货基差分析!$E$5,$B1059))</f>
        <v>6159.3887999999997</v>
      </c>
      <c r="D1059" s="6">
        <f>IF(B1059="","",[1]!s_dq_close(股指期货基差分析!$E$6,$B1059))</f>
        <v>6154.2</v>
      </c>
      <c r="E1059" s="6">
        <f ca="1">RANK(F1059,F:F)+COUNTIF(F$2:F1059,F1059)-1</f>
        <v>420</v>
      </c>
      <c r="F1059" s="6">
        <f t="shared" si="17"/>
        <v>-5.188799999999901</v>
      </c>
      <c r="G1059" s="6">
        <f ca="1">IF(B1059="","",股指期货基差分析!$N$11)</f>
        <v>-71.408500000000458</v>
      </c>
      <c r="H1059" s="6">
        <f ca="1">IF(B1059="","",股指期货基差分析!$L$11)</f>
        <v>15.737900000000081</v>
      </c>
      <c r="I1059" s="10">
        <f ca="1">IF(B1059="","",股指期货基差分析!$D$11)</f>
        <v>-19.923978315132629</v>
      </c>
      <c r="L1059" s="43"/>
      <c r="Q1059" s="11"/>
    </row>
    <row r="1060" spans="2:17" ht="15" customHeight="1" x14ac:dyDescent="0.2">
      <c r="B1060" s="7">
        <v>45062</v>
      </c>
      <c r="C1060" s="5">
        <f>IF(B1060="","",[1]!s_dq_close(股指期货基差分析!$E$5,$B1060))</f>
        <v>6110.8271000000004</v>
      </c>
      <c r="D1060" s="5">
        <f>IF(B1060="","",[1]!s_dq_close(股指期货基差分析!$E$6,$B1060))</f>
        <v>6113.2</v>
      </c>
      <c r="E1060" s="5">
        <f ca="1">RANK(F1060,F:F)+COUNTIF(F$2:F1060,F1060)-1</f>
        <v>254</v>
      </c>
      <c r="F1060" s="5">
        <f t="shared" si="17"/>
        <v>2.3728999999993903</v>
      </c>
      <c r="G1060" s="5">
        <f ca="1">IF(B1060="","",股指期货基差分析!$N$11)</f>
        <v>-71.408500000000458</v>
      </c>
      <c r="H1060" s="5">
        <f ca="1">IF(B1060="","",股指期货基差分析!$L$11)</f>
        <v>15.737900000000081</v>
      </c>
      <c r="I1060" s="9">
        <f ca="1">IF(B1060="","",股指期货基差分析!$D$11)</f>
        <v>-19.923978315132629</v>
      </c>
      <c r="L1060" s="43"/>
      <c r="Q1060" s="11"/>
    </row>
    <row r="1061" spans="2:17" ht="15" customHeight="1" x14ac:dyDescent="0.2">
      <c r="B1061" s="8">
        <v>45063</v>
      </c>
      <c r="C1061" s="6">
        <f>IF(B1061="","",[1]!s_dq_close(股指期货基差分析!$E$5,$B1061))</f>
        <v>6122.0518000000002</v>
      </c>
      <c r="D1061" s="6">
        <f>IF(B1061="","",[1]!s_dq_close(股指期货基差分析!$E$6,$B1061))</f>
        <v>6116</v>
      </c>
      <c r="E1061" s="6">
        <f ca="1">RANK(F1061,F:F)+COUNTIF(F$2:F1061,F1061)-1</f>
        <v>442</v>
      </c>
      <c r="F1061" s="6">
        <f t="shared" si="17"/>
        <v>-6.0518000000001848</v>
      </c>
      <c r="G1061" s="6">
        <f ca="1">IF(B1061="","",股指期货基差分析!$N$11)</f>
        <v>-71.408500000000458</v>
      </c>
      <c r="H1061" s="6">
        <f ca="1">IF(B1061="","",股指期货基差分析!$L$11)</f>
        <v>15.737900000000081</v>
      </c>
      <c r="I1061" s="10">
        <f ca="1">IF(B1061="","",股指期货基差分析!$D$11)</f>
        <v>-19.923978315132629</v>
      </c>
      <c r="L1061" s="43"/>
      <c r="Q1061" s="11"/>
    </row>
    <row r="1062" spans="2:17" ht="15" customHeight="1" x14ac:dyDescent="0.2">
      <c r="B1062" s="7">
        <v>45064</v>
      </c>
      <c r="C1062" s="5">
        <f>IF(B1062="","",[1]!s_dq_close(股指期货基差分析!$E$5,$B1062))</f>
        <v>6128.1761999999999</v>
      </c>
      <c r="D1062" s="5">
        <f>IF(B1062="","",[1]!s_dq_close(股指期货基差分析!$E$6,$B1062))</f>
        <v>6122.6</v>
      </c>
      <c r="E1062" s="5">
        <f ca="1">RANK(F1062,F:F)+COUNTIF(F$2:F1062,F1062)-1</f>
        <v>429</v>
      </c>
      <c r="F1062" s="5">
        <f t="shared" si="17"/>
        <v>-5.5761999999995169</v>
      </c>
      <c r="G1062" s="5">
        <f ca="1">IF(B1062="","",股指期货基差分析!$N$11)</f>
        <v>-71.408500000000458</v>
      </c>
      <c r="H1062" s="5">
        <f ca="1">IF(B1062="","",股指期货基差分析!$L$11)</f>
        <v>15.737900000000081</v>
      </c>
      <c r="I1062" s="9">
        <f ca="1">IF(B1062="","",股指期货基差分析!$D$11)</f>
        <v>-19.923978315132629</v>
      </c>
      <c r="L1062" s="43"/>
      <c r="Q1062" s="11"/>
    </row>
    <row r="1063" spans="2:17" ht="15" customHeight="1" x14ac:dyDescent="0.2">
      <c r="B1063" s="8">
        <v>45065</v>
      </c>
      <c r="C1063" s="6">
        <f>IF(B1063="","",[1]!s_dq_close(股指期货基差分析!$E$5,$B1063))</f>
        <v>6117.0833000000002</v>
      </c>
      <c r="D1063" s="6">
        <f>IF(B1063="","",[1]!s_dq_close(股指期货基差分析!$E$6,$B1063))</f>
        <v>6120.8</v>
      </c>
      <c r="E1063" s="6">
        <f ca="1">RANK(F1063,F:F)+COUNTIF(F$2:F1063,F1063)-1</f>
        <v>213</v>
      </c>
      <c r="F1063" s="6">
        <f t="shared" si="17"/>
        <v>3.7166999999999462</v>
      </c>
      <c r="G1063" s="6">
        <f ca="1">IF(B1063="","",股指期货基差分析!$N$11)</f>
        <v>-71.408500000000458</v>
      </c>
      <c r="H1063" s="6">
        <f ca="1">IF(B1063="","",股指期货基差分析!$L$11)</f>
        <v>15.737900000000081</v>
      </c>
      <c r="I1063" s="10">
        <f ca="1">IF(B1063="","",股指期货基差分析!$D$11)</f>
        <v>-19.923978315132629</v>
      </c>
      <c r="L1063" s="43"/>
      <c r="Q1063" s="11"/>
    </row>
    <row r="1064" spans="2:17" ht="15" customHeight="1" x14ac:dyDescent="0.2">
      <c r="B1064" s="7">
        <v>45068</v>
      </c>
      <c r="C1064" s="5">
        <f>IF(B1064="","",[1]!s_dq_close(股指期货基差分析!$E$5,$B1064))</f>
        <v>6115.3150999999998</v>
      </c>
      <c r="D1064" s="5">
        <f>IF(B1064="","",[1]!s_dq_close(股指期货基差分析!$E$6,$B1064))</f>
        <v>6093.8</v>
      </c>
      <c r="E1064" s="5">
        <f ca="1">RANK(F1064,F:F)+COUNTIF(F$2:F1064,F1064)-1</f>
        <v>774</v>
      </c>
      <c r="F1064" s="5">
        <f t="shared" si="17"/>
        <v>-21.51509999999962</v>
      </c>
      <c r="G1064" s="5">
        <f ca="1">IF(B1064="","",股指期货基差分析!$N$11)</f>
        <v>-71.408500000000458</v>
      </c>
      <c r="H1064" s="5">
        <f ca="1">IF(B1064="","",股指期货基差分析!$L$11)</f>
        <v>15.737900000000081</v>
      </c>
      <c r="I1064" s="9">
        <f ca="1">IF(B1064="","",股指期货基差分析!$D$11)</f>
        <v>-19.923978315132629</v>
      </c>
      <c r="L1064" s="43"/>
      <c r="Q1064" s="11"/>
    </row>
    <row r="1065" spans="2:17" ht="15" customHeight="1" x14ac:dyDescent="0.2">
      <c r="B1065" s="8">
        <v>45069</v>
      </c>
      <c r="C1065" s="6">
        <f>IF(B1065="","",[1]!s_dq_close(股指期货基差分析!$E$5,$B1065))</f>
        <v>6052.4296999999997</v>
      </c>
      <c r="D1065" s="6">
        <f>IF(B1065="","",[1]!s_dq_close(股指期货基差分析!$E$6,$B1065))</f>
        <v>6030.4</v>
      </c>
      <c r="E1065" s="6">
        <f ca="1">RANK(F1065,F:F)+COUNTIF(F$2:F1065,F1065)-1</f>
        <v>785</v>
      </c>
      <c r="F1065" s="6">
        <f t="shared" si="17"/>
        <v>-22.029700000000048</v>
      </c>
      <c r="G1065" s="6">
        <f ca="1">IF(B1065="","",股指期货基差分析!$N$11)</f>
        <v>-71.408500000000458</v>
      </c>
      <c r="H1065" s="6">
        <f ca="1">IF(B1065="","",股指期货基差分析!$L$11)</f>
        <v>15.737900000000081</v>
      </c>
      <c r="I1065" s="10">
        <f ca="1">IF(B1065="","",股指期货基差分析!$D$11)</f>
        <v>-19.923978315132629</v>
      </c>
      <c r="L1065" s="43"/>
      <c r="Q1065" s="11"/>
    </row>
    <row r="1066" spans="2:17" ht="15" customHeight="1" x14ac:dyDescent="0.2">
      <c r="B1066" s="7">
        <v>45070</v>
      </c>
      <c r="C1066" s="5">
        <f>IF(B1066="","",[1]!s_dq_close(股指期货基差分析!$E$5,$B1066))</f>
        <v>6005.7912999999999</v>
      </c>
      <c r="D1066" s="5">
        <f>IF(B1066="","",[1]!s_dq_close(股指期货基差分析!$E$6,$B1066))</f>
        <v>5992.8</v>
      </c>
      <c r="E1066" s="5">
        <f ca="1">RANK(F1066,F:F)+COUNTIF(F$2:F1066,F1066)-1</f>
        <v>614</v>
      </c>
      <c r="F1066" s="5">
        <f t="shared" si="17"/>
        <v>-12.991299999999683</v>
      </c>
      <c r="G1066" s="5">
        <f ca="1">IF(B1066="","",股指期货基差分析!$N$11)</f>
        <v>-71.408500000000458</v>
      </c>
      <c r="H1066" s="5">
        <f ca="1">IF(B1066="","",股指期货基差分析!$L$11)</f>
        <v>15.737900000000081</v>
      </c>
      <c r="I1066" s="9">
        <f ca="1">IF(B1066="","",股指期货基差分析!$D$11)</f>
        <v>-19.923978315132629</v>
      </c>
      <c r="L1066" s="43"/>
      <c r="Q1066" s="11"/>
    </row>
    <row r="1067" spans="2:17" ht="15" customHeight="1" x14ac:dyDescent="0.2">
      <c r="B1067" s="8">
        <v>45071</v>
      </c>
      <c r="C1067" s="6">
        <f>IF(B1067="","",[1]!s_dq_close(股指期货基差分析!$E$5,$B1067))</f>
        <v>5988.1885000000002</v>
      </c>
      <c r="D1067" s="6">
        <f>IF(B1067="","",[1]!s_dq_close(股指期货基差分析!$E$6,$B1067))</f>
        <v>5966.6</v>
      </c>
      <c r="E1067" s="6">
        <f ca="1">RANK(F1067,F:F)+COUNTIF(F$2:F1067,F1067)-1</f>
        <v>776</v>
      </c>
      <c r="F1067" s="6">
        <f t="shared" si="17"/>
        <v>-21.58849999999984</v>
      </c>
      <c r="G1067" s="6">
        <f ca="1">IF(B1067="","",股指期货基差分析!$N$11)</f>
        <v>-71.408500000000458</v>
      </c>
      <c r="H1067" s="6">
        <f ca="1">IF(B1067="","",股指期货基差分析!$L$11)</f>
        <v>15.737900000000081</v>
      </c>
      <c r="I1067" s="10">
        <f ca="1">IF(B1067="","",股指期货基差分析!$D$11)</f>
        <v>-19.923978315132629</v>
      </c>
      <c r="L1067" s="43"/>
      <c r="Q1067" s="11"/>
    </row>
    <row r="1068" spans="2:17" ht="15" customHeight="1" x14ac:dyDescent="0.2">
      <c r="B1068" s="7">
        <v>45072</v>
      </c>
      <c r="C1068" s="5">
        <f>IF(B1068="","",[1]!s_dq_close(股指期货基差分析!$E$5,$B1068))</f>
        <v>6034.9834000000001</v>
      </c>
      <c r="D1068" s="5">
        <f>IF(B1068="","",[1]!s_dq_close(股指期货基差分析!$E$6,$B1068))</f>
        <v>6022.6</v>
      </c>
      <c r="E1068" s="5">
        <f ca="1">RANK(F1068,F:F)+COUNTIF(F$2:F1068,F1068)-1</f>
        <v>602</v>
      </c>
      <c r="F1068" s="5">
        <f t="shared" si="17"/>
        <v>-12.38339999999971</v>
      </c>
      <c r="G1068" s="5">
        <f ca="1">IF(B1068="","",股指期货基差分析!$N$11)</f>
        <v>-71.408500000000458</v>
      </c>
      <c r="H1068" s="5">
        <f ca="1">IF(B1068="","",股指期货基差分析!$L$11)</f>
        <v>15.737900000000081</v>
      </c>
      <c r="I1068" s="9">
        <f ca="1">IF(B1068="","",股指期货基差分析!$D$11)</f>
        <v>-19.923978315132629</v>
      </c>
      <c r="L1068" s="43"/>
      <c r="Q1068" s="11"/>
    </row>
    <row r="1069" spans="2:17" ht="15" customHeight="1" x14ac:dyDescent="0.2">
      <c r="B1069" s="8">
        <v>45075</v>
      </c>
      <c r="C1069" s="6">
        <f>IF(B1069="","",[1]!s_dq_close(股指期货基差分析!$E$5,$B1069))</f>
        <v>6025.1552000000001</v>
      </c>
      <c r="D1069" s="6">
        <f>IF(B1069="","",[1]!s_dq_close(股指期货基差分析!$E$6,$B1069))</f>
        <v>6015.8</v>
      </c>
      <c r="E1069" s="6">
        <f ca="1">RANK(F1069,F:F)+COUNTIF(F$2:F1069,F1069)-1</f>
        <v>540</v>
      </c>
      <c r="F1069" s="6">
        <f t="shared" si="17"/>
        <v>-9.355199999999968</v>
      </c>
      <c r="G1069" s="6">
        <f ca="1">IF(B1069="","",股指期货基差分析!$N$11)</f>
        <v>-71.408500000000458</v>
      </c>
      <c r="H1069" s="6">
        <f ca="1">IF(B1069="","",股指期货基差分析!$L$11)</f>
        <v>15.737900000000081</v>
      </c>
      <c r="I1069" s="10">
        <f ca="1">IF(B1069="","",股指期货基差分析!$D$11)</f>
        <v>-19.923978315132629</v>
      </c>
      <c r="L1069" s="43"/>
      <c r="Q1069" s="11"/>
    </row>
    <row r="1070" spans="2:17" ht="15" customHeight="1" x14ac:dyDescent="0.2">
      <c r="B1070" s="7">
        <v>45076</v>
      </c>
      <c r="C1070" s="5">
        <f>IF(B1070="","",[1]!s_dq_close(股指期货基差分析!$E$5,$B1070))</f>
        <v>6061.3089</v>
      </c>
      <c r="D1070" s="5">
        <f>IF(B1070="","",[1]!s_dq_close(股指期货基差分析!$E$6,$B1070))</f>
        <v>6047.6</v>
      </c>
      <c r="E1070" s="5">
        <f ca="1">RANK(F1070,F:F)+COUNTIF(F$2:F1070,F1070)-1</f>
        <v>632</v>
      </c>
      <c r="F1070" s="5">
        <f t="shared" si="17"/>
        <v>-13.70889999999963</v>
      </c>
      <c r="G1070" s="5">
        <f ca="1">IF(B1070="","",股指期货基差分析!$N$11)</f>
        <v>-71.408500000000458</v>
      </c>
      <c r="H1070" s="5">
        <f ca="1">IF(B1070="","",股指期货基差分析!$L$11)</f>
        <v>15.737900000000081</v>
      </c>
      <c r="I1070" s="9">
        <f ca="1">IF(B1070="","",股指期货基差分析!$D$11)</f>
        <v>-19.923978315132629</v>
      </c>
      <c r="L1070" s="43"/>
      <c r="Q1070" s="11"/>
    </row>
    <row r="1071" spans="2:17" ht="15" customHeight="1" x14ac:dyDescent="0.2">
      <c r="B1071" s="8">
        <v>45077</v>
      </c>
      <c r="C1071" s="6">
        <f>IF(B1071="","",[1]!s_dq_close(股指期货基差分析!$E$5,$B1071))</f>
        <v>6047.8020999999999</v>
      </c>
      <c r="D1071" s="6">
        <f>IF(B1071="","",[1]!s_dq_close(股指期货基差分析!$E$6,$B1071))</f>
        <v>6033.6</v>
      </c>
      <c r="E1071" s="6">
        <f ca="1">RANK(F1071,F:F)+COUNTIF(F$2:F1071,F1071)-1</f>
        <v>647</v>
      </c>
      <c r="F1071" s="6">
        <f t="shared" si="17"/>
        <v>-14.202099999999518</v>
      </c>
      <c r="G1071" s="6">
        <f ca="1">IF(B1071="","",股指期货基差分析!$N$11)</f>
        <v>-71.408500000000458</v>
      </c>
      <c r="H1071" s="6">
        <f ca="1">IF(B1071="","",股指期货基差分析!$L$11)</f>
        <v>15.737900000000081</v>
      </c>
      <c r="I1071" s="10">
        <f ca="1">IF(B1071="","",股指期货基差分析!$D$11)</f>
        <v>-19.923978315132629</v>
      </c>
      <c r="L1071" s="43"/>
      <c r="Q1071" s="11"/>
    </row>
    <row r="1072" spans="2:17" ht="15" customHeight="1" x14ac:dyDescent="0.2">
      <c r="B1072" s="7">
        <v>45078</v>
      </c>
      <c r="C1072" s="5">
        <f>IF(B1072="","",[1]!s_dq_close(股指期货基差分析!$E$5,$B1072))</f>
        <v>6051.4602999999997</v>
      </c>
      <c r="D1072" s="5">
        <f>IF(B1072="","",[1]!s_dq_close(股指期货基差分析!$E$6,$B1072))</f>
        <v>6047</v>
      </c>
      <c r="E1072" s="5">
        <f ca="1">RANK(F1072,F:F)+COUNTIF(F$2:F1072,F1072)-1</f>
        <v>396</v>
      </c>
      <c r="F1072" s="5">
        <f t="shared" si="17"/>
        <v>-4.4602999999997337</v>
      </c>
      <c r="G1072" s="5">
        <f ca="1">IF(B1072="","",股指期货基差分析!$N$11)</f>
        <v>-71.408500000000458</v>
      </c>
      <c r="H1072" s="5">
        <f ca="1">IF(B1072="","",股指期货基差分析!$L$11)</f>
        <v>15.737900000000081</v>
      </c>
      <c r="I1072" s="9">
        <f ca="1">IF(B1072="","",股指期货基差分析!$D$11)</f>
        <v>-19.923978315132629</v>
      </c>
      <c r="L1072" s="43"/>
      <c r="Q1072" s="11"/>
    </row>
    <row r="1073" spans="2:17" ht="15" customHeight="1" x14ac:dyDescent="0.2">
      <c r="B1073" s="8">
        <v>45079</v>
      </c>
      <c r="C1073" s="6">
        <f>IF(B1073="","",[1]!s_dq_close(股指期货基差分析!$E$5,$B1073))</f>
        <v>6105.2181</v>
      </c>
      <c r="D1073" s="6">
        <f>IF(B1073="","",[1]!s_dq_close(股指期货基差分析!$E$6,$B1073))</f>
        <v>6096.4</v>
      </c>
      <c r="E1073" s="6">
        <f ca="1">RANK(F1073,F:F)+COUNTIF(F$2:F1073,F1073)-1</f>
        <v>523</v>
      </c>
      <c r="F1073" s="6">
        <f t="shared" si="17"/>
        <v>-8.8181000000004133</v>
      </c>
      <c r="G1073" s="6">
        <f ca="1">IF(B1073="","",股指期货基差分析!$N$11)</f>
        <v>-71.408500000000458</v>
      </c>
      <c r="H1073" s="6">
        <f ca="1">IF(B1073="","",股指期货基差分析!$L$11)</f>
        <v>15.737900000000081</v>
      </c>
      <c r="I1073" s="10">
        <f ca="1">IF(B1073="","",股指期货基差分析!$D$11)</f>
        <v>-19.923978315132629</v>
      </c>
      <c r="L1073" s="43"/>
      <c r="Q1073" s="11"/>
    </row>
    <row r="1074" spans="2:17" ht="15" customHeight="1" x14ac:dyDescent="0.2">
      <c r="B1074" s="7">
        <v>45082</v>
      </c>
      <c r="C1074" s="5">
        <f>IF(B1074="","",[1]!s_dq_close(股指期货基差分析!$E$5,$B1074))</f>
        <v>6097.1058999999996</v>
      </c>
      <c r="D1074" s="5">
        <f>IF(B1074="","",[1]!s_dq_close(股指期货基差分析!$E$6,$B1074))</f>
        <v>6080</v>
      </c>
      <c r="E1074" s="5">
        <f ca="1">RANK(F1074,F:F)+COUNTIF(F$2:F1074,F1074)-1</f>
        <v>702</v>
      </c>
      <c r="F1074" s="5">
        <f t="shared" si="17"/>
        <v>-17.105899999999565</v>
      </c>
      <c r="G1074" s="5">
        <f ca="1">IF(B1074="","",股指期货基差分析!$N$11)</f>
        <v>-71.408500000000458</v>
      </c>
      <c r="H1074" s="5">
        <f ca="1">IF(B1074="","",股指期货基差分析!$L$11)</f>
        <v>15.737900000000081</v>
      </c>
      <c r="I1074" s="9">
        <f ca="1">IF(B1074="","",股指期货基差分析!$D$11)</f>
        <v>-19.923978315132629</v>
      </c>
      <c r="L1074" s="43"/>
      <c r="Q1074" s="11"/>
    </row>
    <row r="1075" spans="2:17" ht="15" customHeight="1" x14ac:dyDescent="0.2">
      <c r="B1075" s="8">
        <v>45083</v>
      </c>
      <c r="C1075" s="6">
        <f>IF(B1075="","",[1]!s_dq_close(股指期货基差分析!$E$5,$B1075))</f>
        <v>5983.4201999999996</v>
      </c>
      <c r="D1075" s="6">
        <f>IF(B1075="","",[1]!s_dq_close(股指期货基差分析!$E$6,$B1075))</f>
        <v>5962</v>
      </c>
      <c r="E1075" s="6">
        <f ca="1">RANK(F1075,F:F)+COUNTIF(F$2:F1075,F1075)-1</f>
        <v>773</v>
      </c>
      <c r="F1075" s="6">
        <f t="shared" si="17"/>
        <v>-21.420199999999568</v>
      </c>
      <c r="G1075" s="6">
        <f ca="1">IF(B1075="","",股指期货基差分析!$N$11)</f>
        <v>-71.408500000000458</v>
      </c>
      <c r="H1075" s="6">
        <f ca="1">IF(B1075="","",股指期货基差分析!$L$11)</f>
        <v>15.737900000000081</v>
      </c>
      <c r="I1075" s="10">
        <f ca="1">IF(B1075="","",股指期货基差分析!$D$11)</f>
        <v>-19.923978315132629</v>
      </c>
      <c r="L1075" s="43"/>
      <c r="Q1075" s="11"/>
    </row>
    <row r="1076" spans="2:17" ht="15" customHeight="1" x14ac:dyDescent="0.2">
      <c r="B1076" s="7">
        <v>45084</v>
      </c>
      <c r="C1076" s="5">
        <f>IF(B1076="","",[1]!s_dq_close(股指期货基差分析!$E$5,$B1076))</f>
        <v>5987.0110000000004</v>
      </c>
      <c r="D1076" s="5">
        <f>IF(B1076="","",[1]!s_dq_close(股指期货基差分析!$E$6,$B1076))</f>
        <v>5971</v>
      </c>
      <c r="E1076" s="5">
        <f ca="1">RANK(F1076,F:F)+COUNTIF(F$2:F1076,F1076)-1</f>
        <v>677</v>
      </c>
      <c r="F1076" s="5">
        <f t="shared" si="17"/>
        <v>-16.011000000000422</v>
      </c>
      <c r="G1076" s="5">
        <f ca="1">IF(B1076="","",股指期货基差分析!$N$11)</f>
        <v>-71.408500000000458</v>
      </c>
      <c r="H1076" s="5">
        <f ca="1">IF(B1076="","",股指期货基差分析!$L$11)</f>
        <v>15.737900000000081</v>
      </c>
      <c r="I1076" s="9">
        <f ca="1">IF(B1076="","",股指期货基差分析!$D$11)</f>
        <v>-19.923978315132629</v>
      </c>
      <c r="L1076" s="43"/>
      <c r="Q1076" s="11"/>
    </row>
    <row r="1077" spans="2:17" ht="15" customHeight="1" x14ac:dyDescent="0.2">
      <c r="B1077" s="8">
        <v>45085</v>
      </c>
      <c r="C1077" s="6">
        <f>IF(B1077="","",[1]!s_dq_close(股指期货基差分析!$E$5,$B1077))</f>
        <v>5966.1477000000004</v>
      </c>
      <c r="D1077" s="6">
        <f>IF(B1077="","",[1]!s_dq_close(股指期货基差分析!$E$6,$B1077))</f>
        <v>5959.2</v>
      </c>
      <c r="E1077" s="6">
        <f ca="1">RANK(F1077,F:F)+COUNTIF(F$2:F1077,F1077)-1</f>
        <v>467</v>
      </c>
      <c r="F1077" s="6">
        <f t="shared" si="17"/>
        <v>-6.9477000000006228</v>
      </c>
      <c r="G1077" s="6">
        <f ca="1">IF(B1077="","",股指期货基差分析!$N$11)</f>
        <v>-71.408500000000458</v>
      </c>
      <c r="H1077" s="6">
        <f ca="1">IF(B1077="","",股指期货基差分析!$L$11)</f>
        <v>15.737900000000081</v>
      </c>
      <c r="I1077" s="10">
        <f ca="1">IF(B1077="","",股指期货基差分析!$D$11)</f>
        <v>-19.923978315132629</v>
      </c>
      <c r="L1077" s="43"/>
      <c r="Q1077" s="11"/>
    </row>
    <row r="1078" spans="2:17" ht="15" customHeight="1" x14ac:dyDescent="0.2">
      <c r="B1078" s="7">
        <v>45086</v>
      </c>
      <c r="C1078" s="5">
        <f>IF(B1078="","",[1]!s_dq_close(股指期货基差分析!$E$5,$B1078))</f>
        <v>6009.5825999999997</v>
      </c>
      <c r="D1078" s="5">
        <f>IF(B1078="","",[1]!s_dq_close(股指期货基差分析!$E$6,$B1078))</f>
        <v>6009.4</v>
      </c>
      <c r="E1078" s="5">
        <f ca="1">RANK(F1078,F:F)+COUNTIF(F$2:F1078,F1078)-1</f>
        <v>299</v>
      </c>
      <c r="F1078" s="5">
        <f t="shared" si="17"/>
        <v>-0.18260000000009313</v>
      </c>
      <c r="G1078" s="5">
        <f ca="1">IF(B1078="","",股指期货基差分析!$N$11)</f>
        <v>-71.408500000000458</v>
      </c>
      <c r="H1078" s="5">
        <f ca="1">IF(B1078="","",股指期货基差分析!$L$11)</f>
        <v>15.737900000000081</v>
      </c>
      <c r="I1078" s="9">
        <f ca="1">IF(B1078="","",股指期货基差分析!$D$11)</f>
        <v>-19.923978315132629</v>
      </c>
      <c r="L1078" s="43"/>
      <c r="Q1078" s="11"/>
    </row>
    <row r="1079" spans="2:17" ht="15" customHeight="1" x14ac:dyDescent="0.2">
      <c r="B1079" s="8">
        <v>45089</v>
      </c>
      <c r="C1079" s="6">
        <f>IF(B1079="","",[1]!s_dq_close(股指期货基差分析!$E$5,$B1079))</f>
        <v>6027.7121999999999</v>
      </c>
      <c r="D1079" s="6">
        <f>IF(B1079="","",[1]!s_dq_close(股指期货基差分析!$E$6,$B1079))</f>
        <v>6016</v>
      </c>
      <c r="E1079" s="6">
        <f ca="1">RANK(F1079,F:F)+COUNTIF(F$2:F1079,F1079)-1</f>
        <v>588</v>
      </c>
      <c r="F1079" s="6">
        <f t="shared" si="17"/>
        <v>-11.712199999999939</v>
      </c>
      <c r="G1079" s="6">
        <f ca="1">IF(B1079="","",股指期货基差分析!$N$11)</f>
        <v>-71.408500000000458</v>
      </c>
      <c r="H1079" s="6">
        <f ca="1">IF(B1079="","",股指期货基差分析!$L$11)</f>
        <v>15.737900000000081</v>
      </c>
      <c r="I1079" s="10">
        <f ca="1">IF(B1079="","",股指期货基差分析!$D$11)</f>
        <v>-19.923978315132629</v>
      </c>
      <c r="L1079" s="43"/>
      <c r="Q1079" s="11"/>
    </row>
    <row r="1080" spans="2:17" ht="15" customHeight="1" x14ac:dyDescent="0.2">
      <c r="B1080" s="7">
        <v>45090</v>
      </c>
      <c r="C1080" s="5">
        <f>IF(B1080="","",[1]!s_dq_close(股指期货基差分析!$E$5,$B1080))</f>
        <v>6044.0370999999996</v>
      </c>
      <c r="D1080" s="5">
        <f>IF(B1080="","",[1]!s_dq_close(股指期货基差分析!$E$6,$B1080))</f>
        <v>6040</v>
      </c>
      <c r="E1080" s="5">
        <f ca="1">RANK(F1080,F:F)+COUNTIF(F$2:F1080,F1080)-1</f>
        <v>388</v>
      </c>
      <c r="F1080" s="5">
        <f t="shared" si="17"/>
        <v>-4.0370999999995547</v>
      </c>
      <c r="G1080" s="5">
        <f ca="1">IF(B1080="","",股指期货基差分析!$N$11)</f>
        <v>-71.408500000000458</v>
      </c>
      <c r="H1080" s="5">
        <f ca="1">IF(B1080="","",股指期货基差分析!$L$11)</f>
        <v>15.737900000000081</v>
      </c>
      <c r="I1080" s="9">
        <f ca="1">IF(B1080="","",股指期货基差分析!$D$11)</f>
        <v>-19.923978315132629</v>
      </c>
      <c r="L1080" s="43"/>
      <c r="Q1080" s="11"/>
    </row>
    <row r="1081" spans="2:17" ht="15" customHeight="1" x14ac:dyDescent="0.2">
      <c r="B1081" s="8">
        <v>45091</v>
      </c>
      <c r="C1081" s="6">
        <f>IF(B1081="","",[1]!s_dq_close(股指期货基差分析!$E$5,$B1081))</f>
        <v>6044.0766000000003</v>
      </c>
      <c r="D1081" s="6">
        <f>IF(B1081="","",[1]!s_dq_close(股指期货基差分析!$E$6,$B1081))</f>
        <v>6042.8</v>
      </c>
      <c r="E1081" s="6">
        <f ca="1">RANK(F1081,F:F)+COUNTIF(F$2:F1081,F1081)-1</f>
        <v>324</v>
      </c>
      <c r="F1081" s="6">
        <f t="shared" si="17"/>
        <v>-1.2766000000001441</v>
      </c>
      <c r="G1081" s="6">
        <f ca="1">IF(B1081="","",股指期货基差分析!$N$11)</f>
        <v>-71.408500000000458</v>
      </c>
      <c r="H1081" s="6">
        <f ca="1">IF(B1081="","",股指期货基差分析!$L$11)</f>
        <v>15.737900000000081</v>
      </c>
      <c r="I1081" s="10">
        <f ca="1">IF(B1081="","",股指期货基差分析!$D$11)</f>
        <v>-19.923978315132629</v>
      </c>
      <c r="L1081" s="43"/>
      <c r="Q1081" s="11"/>
    </row>
    <row r="1082" spans="2:17" ht="15" customHeight="1" x14ac:dyDescent="0.2">
      <c r="B1082" s="7">
        <v>45092</v>
      </c>
      <c r="C1082" s="5">
        <f>IF(B1082="","",[1]!s_dq_close(股指期货基差分析!$E$5,$B1082))</f>
        <v>6096.8074999999999</v>
      </c>
      <c r="D1082" s="5">
        <f>IF(B1082="","",[1]!s_dq_close(股指期货基差分析!$E$6,$B1082))</f>
        <v>6093.6</v>
      </c>
      <c r="E1082" s="5">
        <f ca="1">RANK(F1082,F:F)+COUNTIF(F$2:F1082,F1082)-1</f>
        <v>378</v>
      </c>
      <c r="F1082" s="5">
        <f t="shared" si="17"/>
        <v>-3.2074999999995271</v>
      </c>
      <c r="G1082" s="5">
        <f ca="1">IF(B1082="","",股指期货基差分析!$N$11)</f>
        <v>-71.408500000000458</v>
      </c>
      <c r="H1082" s="5">
        <f ca="1">IF(B1082="","",股指期货基差分析!$L$11)</f>
        <v>15.737900000000081</v>
      </c>
      <c r="I1082" s="9">
        <f ca="1">IF(B1082="","",股指期货基差分析!$D$11)</f>
        <v>-19.923978315132629</v>
      </c>
      <c r="L1082" s="43"/>
      <c r="Q1082" s="11"/>
    </row>
    <row r="1083" spans="2:17" ht="15" customHeight="1" x14ac:dyDescent="0.2">
      <c r="B1083" s="8">
        <v>45093</v>
      </c>
      <c r="C1083" s="6">
        <f>IF(B1083="","",[1]!s_dq_close(股指期货基差分析!$E$5,$B1083))</f>
        <v>6148.0124999999998</v>
      </c>
      <c r="D1083" s="6">
        <f>IF(B1083="","",[1]!s_dq_close(股指期货基差分析!$E$6,$B1083))</f>
        <v>6145</v>
      </c>
      <c r="E1083" s="6">
        <f ca="1">RANK(F1083,F:F)+COUNTIF(F$2:F1083,F1083)-1</f>
        <v>371</v>
      </c>
      <c r="F1083" s="6">
        <f t="shared" si="17"/>
        <v>-3.0124999999998181</v>
      </c>
      <c r="G1083" s="6">
        <f ca="1">IF(B1083="","",股指期货基差分析!$N$11)</f>
        <v>-71.408500000000458</v>
      </c>
      <c r="H1083" s="6">
        <f ca="1">IF(B1083="","",股指期货基差分析!$L$11)</f>
        <v>15.737900000000081</v>
      </c>
      <c r="I1083" s="10">
        <f ca="1">IF(B1083="","",股指期货基差分析!$D$11)</f>
        <v>-19.923978315132629</v>
      </c>
      <c r="L1083" s="43"/>
      <c r="Q1083" s="11"/>
    </row>
    <row r="1084" spans="2:17" ht="15" customHeight="1" x14ac:dyDescent="0.2">
      <c r="B1084" s="7">
        <v>45096</v>
      </c>
      <c r="C1084" s="5">
        <f>IF(B1084="","",[1]!s_dq_close(股指期货基差分析!$E$5,$B1084))</f>
        <v>6131.3849</v>
      </c>
      <c r="D1084" s="5">
        <f>IF(B1084="","",[1]!s_dq_close(股指期货基差分析!$E$6,$B1084))</f>
        <v>6109.8</v>
      </c>
      <c r="E1084" s="5">
        <f ca="1">RANK(F1084,F:F)+COUNTIF(F$2:F1084,F1084)-1</f>
        <v>775</v>
      </c>
      <c r="F1084" s="5">
        <f t="shared" si="17"/>
        <v>-21.584899999999834</v>
      </c>
      <c r="G1084" s="5">
        <f ca="1">IF(B1084="","",股指期货基差分析!$N$11)</f>
        <v>-71.408500000000458</v>
      </c>
      <c r="H1084" s="5">
        <f ca="1">IF(B1084="","",股指期货基差分析!$L$11)</f>
        <v>15.737900000000081</v>
      </c>
      <c r="I1084" s="9">
        <f ca="1">IF(B1084="","",股指期货基差分析!$D$11)</f>
        <v>-19.923978315132629</v>
      </c>
      <c r="L1084" s="43"/>
      <c r="Q1084" s="11"/>
    </row>
    <row r="1085" spans="2:17" ht="15" customHeight="1" x14ac:dyDescent="0.2">
      <c r="B1085" s="8">
        <v>45097</v>
      </c>
      <c r="C1085" s="6">
        <f>IF(B1085="","",[1]!s_dq_close(股指期货基差分析!$E$5,$B1085))</f>
        <v>6126.1133</v>
      </c>
      <c r="D1085" s="6">
        <f>IF(B1085="","",[1]!s_dq_close(股指期货基差分析!$E$6,$B1085))</f>
        <v>6106.2</v>
      </c>
      <c r="E1085" s="6">
        <f ca="1">RANK(F1085,F:F)+COUNTIF(F$2:F1085,F1085)-1</f>
        <v>749</v>
      </c>
      <c r="F1085" s="6">
        <f t="shared" si="17"/>
        <v>-19.913300000000163</v>
      </c>
      <c r="G1085" s="6">
        <f ca="1">IF(B1085="","",股指期货基差分析!$N$11)</f>
        <v>-71.408500000000458</v>
      </c>
      <c r="H1085" s="6">
        <f ca="1">IF(B1085="","",股指期货基差分析!$L$11)</f>
        <v>15.737900000000081</v>
      </c>
      <c r="I1085" s="10">
        <f ca="1">IF(B1085="","",股指期货基差分析!$D$11)</f>
        <v>-19.923978315132629</v>
      </c>
      <c r="L1085" s="43"/>
      <c r="Q1085" s="11"/>
    </row>
    <row r="1086" spans="2:17" ht="15" customHeight="1" x14ac:dyDescent="0.2">
      <c r="B1086" s="7">
        <v>45098</v>
      </c>
      <c r="C1086" s="5">
        <f>IF(B1086="","",[1]!s_dq_close(股指期货基差分析!$E$5,$B1086))</f>
        <v>5990.8455000000004</v>
      </c>
      <c r="D1086" s="5">
        <f>IF(B1086="","",[1]!s_dq_close(股指期货基差分析!$E$6,$B1086))</f>
        <v>5979.2</v>
      </c>
      <c r="E1086" s="5">
        <f ca="1">RANK(F1086,F:F)+COUNTIF(F$2:F1086,F1086)-1</f>
        <v>585</v>
      </c>
      <c r="F1086" s="5">
        <f t="shared" si="17"/>
        <v>-11.645500000000538</v>
      </c>
      <c r="G1086" s="5">
        <f ca="1">IF(B1086="","",股指期货基差分析!$N$11)</f>
        <v>-71.408500000000458</v>
      </c>
      <c r="H1086" s="5">
        <f ca="1">IF(B1086="","",股指期货基差分析!$L$11)</f>
        <v>15.737900000000081</v>
      </c>
      <c r="I1086" s="9">
        <f ca="1">IF(B1086="","",股指期货基差分析!$D$11)</f>
        <v>-19.923978315132629</v>
      </c>
      <c r="L1086" s="43"/>
      <c r="Q1086" s="11"/>
    </row>
    <row r="1087" spans="2:17" ht="15" customHeight="1" x14ac:dyDescent="0.2">
      <c r="B1087" s="8">
        <v>45103</v>
      </c>
      <c r="C1087" s="6">
        <f>IF(B1087="","",[1]!s_dq_close(股指期货基差分析!$E$5,$B1087))</f>
        <v>5887.0324000000001</v>
      </c>
      <c r="D1087" s="6">
        <f>IF(B1087="","",[1]!s_dq_close(股指期货基差分析!$E$6,$B1087))</f>
        <v>5890</v>
      </c>
      <c r="E1087" s="6">
        <f ca="1">RANK(F1087,F:F)+COUNTIF(F$2:F1087,F1087)-1</f>
        <v>236</v>
      </c>
      <c r="F1087" s="6">
        <f t="shared" si="17"/>
        <v>2.9675999999999476</v>
      </c>
      <c r="G1087" s="6">
        <f ca="1">IF(B1087="","",股指期货基差分析!$N$11)</f>
        <v>-71.408500000000458</v>
      </c>
      <c r="H1087" s="6">
        <f ca="1">IF(B1087="","",股指期货基差分析!$L$11)</f>
        <v>15.737900000000081</v>
      </c>
      <c r="I1087" s="10">
        <f ca="1">IF(B1087="","",股指期货基差分析!$D$11)</f>
        <v>-19.923978315132629</v>
      </c>
      <c r="L1087" s="43"/>
      <c r="Q1087" s="11"/>
    </row>
    <row r="1088" spans="2:17" ht="15" customHeight="1" x14ac:dyDescent="0.2">
      <c r="B1088" s="7">
        <v>45104</v>
      </c>
      <c r="C1088" s="5">
        <f>IF(B1088="","",[1]!s_dq_close(股指期货基差分析!$E$5,$B1088))</f>
        <v>5948.0029000000004</v>
      </c>
      <c r="D1088" s="5">
        <f>IF(B1088="","",[1]!s_dq_close(股指期货基差分析!$E$6,$B1088))</f>
        <v>5923</v>
      </c>
      <c r="E1088" s="5">
        <f ca="1">RANK(F1088,F:F)+COUNTIF(F$2:F1088,F1088)-1</f>
        <v>816</v>
      </c>
      <c r="F1088" s="5">
        <f t="shared" si="17"/>
        <v>-25.002900000000409</v>
      </c>
      <c r="G1088" s="5">
        <f ca="1">IF(B1088="","",股指期货基差分析!$N$11)</f>
        <v>-71.408500000000458</v>
      </c>
      <c r="H1088" s="5">
        <f ca="1">IF(B1088="","",股指期货基差分析!$L$11)</f>
        <v>15.737900000000081</v>
      </c>
      <c r="I1088" s="9">
        <f ca="1">IF(B1088="","",股指期货基差分析!$D$11)</f>
        <v>-19.923978315132629</v>
      </c>
      <c r="L1088" s="43"/>
      <c r="Q1088" s="11"/>
    </row>
    <row r="1089" spans="2:17" ht="15" customHeight="1" x14ac:dyDescent="0.2">
      <c r="B1089" s="8">
        <v>45105</v>
      </c>
      <c r="C1089" s="6">
        <f>IF(B1089="","",[1]!s_dq_close(股指期货基差分析!$E$5,$B1089))</f>
        <v>5942.3112000000001</v>
      </c>
      <c r="D1089" s="6">
        <f>IF(B1089="","",[1]!s_dq_close(股指期货基差分析!$E$6,$B1089))</f>
        <v>5931.6</v>
      </c>
      <c r="E1089" s="6">
        <f ca="1">RANK(F1089,F:F)+COUNTIF(F$2:F1089,F1089)-1</f>
        <v>567</v>
      </c>
      <c r="F1089" s="6">
        <f t="shared" si="17"/>
        <v>-10.711199999999735</v>
      </c>
      <c r="G1089" s="6">
        <f ca="1">IF(B1089="","",股指期货基差分析!$N$11)</f>
        <v>-71.408500000000458</v>
      </c>
      <c r="H1089" s="6">
        <f ca="1">IF(B1089="","",股指期货基差分析!$L$11)</f>
        <v>15.737900000000081</v>
      </c>
      <c r="I1089" s="10">
        <f ca="1">IF(B1089="","",股指期货基差分析!$D$11)</f>
        <v>-19.923978315132629</v>
      </c>
      <c r="L1089" s="43"/>
      <c r="Q1089" s="11"/>
    </row>
    <row r="1090" spans="2:17" ht="15" customHeight="1" x14ac:dyDescent="0.2">
      <c r="B1090" s="7">
        <v>45106</v>
      </c>
      <c r="C1090" s="5">
        <f>IF(B1090="","",[1]!s_dq_close(股指期货基差分析!$E$5,$B1090))</f>
        <v>5940.5781999999999</v>
      </c>
      <c r="D1090" s="5">
        <f>IF(B1090="","",[1]!s_dq_close(股指期货基差分析!$E$6,$B1090))</f>
        <v>5926.4</v>
      </c>
      <c r="E1090" s="5">
        <f ca="1">RANK(F1090,F:F)+COUNTIF(F$2:F1090,F1090)-1</f>
        <v>646</v>
      </c>
      <c r="F1090" s="5">
        <f t="shared" ref="F1090:F1153" si="18">IF(B1090="","",D1090-C1090)</f>
        <v>-14.178200000000288</v>
      </c>
      <c r="G1090" s="5">
        <f ca="1">IF(B1090="","",股指期货基差分析!$N$11)</f>
        <v>-71.408500000000458</v>
      </c>
      <c r="H1090" s="5">
        <f ca="1">IF(B1090="","",股指期货基差分析!$L$11)</f>
        <v>15.737900000000081</v>
      </c>
      <c r="I1090" s="9">
        <f ca="1">IF(B1090="","",股指期货基差分析!$D$11)</f>
        <v>-19.923978315132629</v>
      </c>
      <c r="L1090" s="43"/>
      <c r="Q1090" s="11"/>
    </row>
    <row r="1091" spans="2:17" ht="15" customHeight="1" x14ac:dyDescent="0.2">
      <c r="B1091" s="8">
        <v>45107</v>
      </c>
      <c r="C1091" s="6">
        <f>IF(B1091="","",[1]!s_dq_close(股指期货基差分析!$E$5,$B1091))</f>
        <v>5998.7293</v>
      </c>
      <c r="D1091" s="6">
        <f>IF(B1091="","",[1]!s_dq_close(股指期货基差分析!$E$6,$B1091))</f>
        <v>5992.8</v>
      </c>
      <c r="E1091" s="6">
        <f ca="1">RANK(F1091,F:F)+COUNTIF(F$2:F1091,F1091)-1</f>
        <v>435</v>
      </c>
      <c r="F1091" s="6">
        <f t="shared" si="18"/>
        <v>-5.9292999999997846</v>
      </c>
      <c r="G1091" s="6">
        <f ca="1">IF(B1091="","",股指期货基差分析!$N$11)</f>
        <v>-71.408500000000458</v>
      </c>
      <c r="H1091" s="6">
        <f ca="1">IF(B1091="","",股指期货基差分析!$L$11)</f>
        <v>15.737900000000081</v>
      </c>
      <c r="I1091" s="10">
        <f ca="1">IF(B1091="","",股指期货基差分析!$D$11)</f>
        <v>-19.923978315132629</v>
      </c>
      <c r="L1091" s="43"/>
      <c r="Q1091" s="11"/>
    </row>
    <row r="1092" spans="2:17" ht="15" customHeight="1" x14ac:dyDescent="0.2">
      <c r="B1092" s="7">
        <v>45110</v>
      </c>
      <c r="C1092" s="5">
        <f>IF(B1092="","",[1]!s_dq_close(股指期货基差分析!$E$5,$B1092))</f>
        <v>6042.3122000000003</v>
      </c>
      <c r="D1092" s="5">
        <f>IF(B1092="","",[1]!s_dq_close(股指期货基差分析!$E$6,$B1092))</f>
        <v>6020.4</v>
      </c>
      <c r="E1092" s="5">
        <f ca="1">RANK(F1092,F:F)+COUNTIF(F$2:F1092,F1092)-1</f>
        <v>782</v>
      </c>
      <c r="F1092" s="5">
        <f t="shared" si="18"/>
        <v>-21.912200000000666</v>
      </c>
      <c r="G1092" s="5">
        <f ca="1">IF(B1092="","",股指期货基差分析!$N$11)</f>
        <v>-71.408500000000458</v>
      </c>
      <c r="H1092" s="5">
        <f ca="1">IF(B1092="","",股指期货基差分析!$L$11)</f>
        <v>15.737900000000081</v>
      </c>
      <c r="I1092" s="9">
        <f ca="1">IF(B1092="","",股指期货基差分析!$D$11)</f>
        <v>-19.923978315132629</v>
      </c>
      <c r="L1092" s="43"/>
      <c r="Q1092" s="11"/>
    </row>
    <row r="1093" spans="2:17" ht="15" customHeight="1" x14ac:dyDescent="0.2">
      <c r="B1093" s="8">
        <v>45111</v>
      </c>
      <c r="C1093" s="6">
        <f>IF(B1093="","",[1]!s_dq_close(股指期货基差分析!$E$5,$B1093))</f>
        <v>6055.2577000000001</v>
      </c>
      <c r="D1093" s="6">
        <f>IF(B1093="","",[1]!s_dq_close(股指期货基差分析!$E$6,$B1093))</f>
        <v>6037.4</v>
      </c>
      <c r="E1093" s="6">
        <f ca="1">RANK(F1093,F:F)+COUNTIF(F$2:F1093,F1093)-1</f>
        <v>716</v>
      </c>
      <c r="F1093" s="6">
        <f t="shared" si="18"/>
        <v>-17.857700000000477</v>
      </c>
      <c r="G1093" s="6">
        <f ca="1">IF(B1093="","",股指期货基差分析!$N$11)</f>
        <v>-71.408500000000458</v>
      </c>
      <c r="H1093" s="6">
        <f ca="1">IF(B1093="","",股指期货基差分析!$L$11)</f>
        <v>15.737900000000081</v>
      </c>
      <c r="I1093" s="10">
        <f ca="1">IF(B1093="","",股指期货基差分析!$D$11)</f>
        <v>-19.923978315132629</v>
      </c>
      <c r="L1093" s="43"/>
      <c r="Q1093" s="11"/>
    </row>
    <row r="1094" spans="2:17" ht="15" customHeight="1" x14ac:dyDescent="0.2">
      <c r="B1094" s="7">
        <v>45112</v>
      </c>
      <c r="C1094" s="5">
        <f>IF(B1094="","",[1]!s_dq_close(股指期货基差分析!$E$5,$B1094))</f>
        <v>6020.8212000000003</v>
      </c>
      <c r="D1094" s="5">
        <f>IF(B1094="","",[1]!s_dq_close(股指期货基差分析!$E$6,$B1094))</f>
        <v>6007.2</v>
      </c>
      <c r="E1094" s="5">
        <f ca="1">RANK(F1094,F:F)+COUNTIF(F$2:F1094,F1094)-1</f>
        <v>629</v>
      </c>
      <c r="F1094" s="5">
        <f t="shared" si="18"/>
        <v>-13.621200000000499</v>
      </c>
      <c r="G1094" s="5">
        <f ca="1">IF(B1094="","",股指期货基差分析!$N$11)</f>
        <v>-71.408500000000458</v>
      </c>
      <c r="H1094" s="5">
        <f ca="1">IF(B1094="","",股指期货基差分析!$L$11)</f>
        <v>15.737900000000081</v>
      </c>
      <c r="I1094" s="9">
        <f ca="1">IF(B1094="","",股指期货基差分析!$D$11)</f>
        <v>-19.923978315132629</v>
      </c>
      <c r="L1094" s="43"/>
      <c r="Q1094" s="11"/>
    </row>
    <row r="1095" spans="2:17" ht="15" customHeight="1" x14ac:dyDescent="0.2">
      <c r="B1095" s="8">
        <v>45113</v>
      </c>
      <c r="C1095" s="6">
        <f>IF(B1095="","",[1]!s_dq_close(股指期货基差分析!$E$5,$B1095))</f>
        <v>5988.5524999999998</v>
      </c>
      <c r="D1095" s="6">
        <f>IF(B1095="","",[1]!s_dq_close(股指期货基差分析!$E$6,$B1095))</f>
        <v>5966.6</v>
      </c>
      <c r="E1095" s="6">
        <f ca="1">RANK(F1095,F:F)+COUNTIF(F$2:F1095,F1095)-1</f>
        <v>783</v>
      </c>
      <c r="F1095" s="6">
        <f t="shared" si="18"/>
        <v>-21.952499999999418</v>
      </c>
      <c r="G1095" s="6">
        <f ca="1">IF(B1095="","",股指期货基差分析!$N$11)</f>
        <v>-71.408500000000458</v>
      </c>
      <c r="H1095" s="6">
        <f ca="1">IF(B1095="","",股指期货基差分析!$L$11)</f>
        <v>15.737900000000081</v>
      </c>
      <c r="I1095" s="10">
        <f ca="1">IF(B1095="","",股指期货基差分析!$D$11)</f>
        <v>-19.923978315132629</v>
      </c>
      <c r="L1095" s="43"/>
      <c r="Q1095" s="11"/>
    </row>
    <row r="1096" spans="2:17" ht="15" customHeight="1" x14ac:dyDescent="0.2">
      <c r="B1096" s="7">
        <v>45114</v>
      </c>
      <c r="C1096" s="5">
        <f>IF(B1096="","",[1]!s_dq_close(股指期货基差分析!$E$5,$B1096))</f>
        <v>5961.6057000000001</v>
      </c>
      <c r="D1096" s="5">
        <f>IF(B1096="","",[1]!s_dq_close(股指期货基差分析!$E$6,$B1096))</f>
        <v>5951</v>
      </c>
      <c r="E1096" s="5">
        <f ca="1">RANK(F1096,F:F)+COUNTIF(F$2:F1096,F1096)-1</f>
        <v>565</v>
      </c>
      <c r="F1096" s="5">
        <f t="shared" si="18"/>
        <v>-10.60570000000007</v>
      </c>
      <c r="G1096" s="5">
        <f ca="1">IF(B1096="","",股指期货基差分析!$N$11)</f>
        <v>-71.408500000000458</v>
      </c>
      <c r="H1096" s="5">
        <f ca="1">IF(B1096="","",股指期货基差分析!$L$11)</f>
        <v>15.737900000000081</v>
      </c>
      <c r="I1096" s="9">
        <f ca="1">IF(B1096="","",股指期货基差分析!$D$11)</f>
        <v>-19.923978315132629</v>
      </c>
      <c r="L1096" s="43"/>
      <c r="Q1096" s="11"/>
    </row>
    <row r="1097" spans="2:17" ht="15" customHeight="1" x14ac:dyDescent="0.2">
      <c r="B1097" s="8">
        <v>45117</v>
      </c>
      <c r="C1097" s="6">
        <f>IF(B1097="","",[1]!s_dq_close(股指期货基差分析!$E$5,$B1097))</f>
        <v>5984.2813999999998</v>
      </c>
      <c r="D1097" s="6">
        <f>IF(B1097="","",[1]!s_dq_close(股指期货基差分析!$E$6,$B1097))</f>
        <v>5968.2</v>
      </c>
      <c r="E1097" s="6">
        <f ca="1">RANK(F1097,F:F)+COUNTIF(F$2:F1097,F1097)-1</f>
        <v>680</v>
      </c>
      <c r="F1097" s="6">
        <f t="shared" si="18"/>
        <v>-16.081400000000031</v>
      </c>
      <c r="G1097" s="6">
        <f ca="1">IF(B1097="","",股指期货基差分析!$N$11)</f>
        <v>-71.408500000000458</v>
      </c>
      <c r="H1097" s="6">
        <f ca="1">IF(B1097="","",股指期货基差分析!$L$11)</f>
        <v>15.737900000000081</v>
      </c>
      <c r="I1097" s="10">
        <f ca="1">IF(B1097="","",股指期货基差分析!$D$11)</f>
        <v>-19.923978315132629</v>
      </c>
      <c r="L1097" s="43"/>
      <c r="Q1097" s="11"/>
    </row>
    <row r="1098" spans="2:17" ht="15" customHeight="1" x14ac:dyDescent="0.2">
      <c r="B1098" s="7">
        <v>45118</v>
      </c>
      <c r="C1098" s="5">
        <f>IF(B1098="","",[1]!s_dq_close(股指期货基差分析!$E$5,$B1098))</f>
        <v>6029.2317999999996</v>
      </c>
      <c r="D1098" s="5">
        <f>IF(B1098="","",[1]!s_dq_close(股指期货基差分析!$E$6,$B1098))</f>
        <v>6019.6</v>
      </c>
      <c r="E1098" s="5">
        <f ca="1">RANK(F1098,F:F)+COUNTIF(F$2:F1098,F1098)-1</f>
        <v>546</v>
      </c>
      <c r="F1098" s="5">
        <f t="shared" si="18"/>
        <v>-9.6317999999992026</v>
      </c>
      <c r="G1098" s="5">
        <f ca="1">IF(B1098="","",股指期货基差分析!$N$11)</f>
        <v>-71.408500000000458</v>
      </c>
      <c r="H1098" s="5">
        <f ca="1">IF(B1098="","",股指期货基差分析!$L$11)</f>
        <v>15.737900000000081</v>
      </c>
      <c r="I1098" s="9">
        <f ca="1">IF(B1098="","",股指期货基差分析!$D$11)</f>
        <v>-19.923978315132629</v>
      </c>
      <c r="L1098" s="43"/>
      <c r="Q1098" s="11"/>
    </row>
    <row r="1099" spans="2:17" ht="15" customHeight="1" x14ac:dyDescent="0.2">
      <c r="B1099" s="8">
        <v>45119</v>
      </c>
      <c r="C1099" s="6">
        <f>IF(B1099="","",[1]!s_dq_close(股指期货基差分析!$E$5,$B1099))</f>
        <v>5962.7938000000004</v>
      </c>
      <c r="D1099" s="6">
        <f>IF(B1099="","",[1]!s_dq_close(股指期货基差分析!$E$6,$B1099))</f>
        <v>5958.8</v>
      </c>
      <c r="E1099" s="6">
        <f ca="1">RANK(F1099,F:F)+COUNTIF(F$2:F1099,F1099)-1</f>
        <v>386</v>
      </c>
      <c r="F1099" s="6">
        <f t="shared" si="18"/>
        <v>-3.9938000000001921</v>
      </c>
      <c r="G1099" s="6">
        <f ca="1">IF(B1099="","",股指期货基差分析!$N$11)</f>
        <v>-71.408500000000458</v>
      </c>
      <c r="H1099" s="6">
        <f ca="1">IF(B1099="","",股指期货基差分析!$L$11)</f>
        <v>15.737900000000081</v>
      </c>
      <c r="I1099" s="10">
        <f ca="1">IF(B1099="","",股指期货基差分析!$D$11)</f>
        <v>-19.923978315132629</v>
      </c>
      <c r="L1099" s="43"/>
      <c r="Q1099" s="11"/>
    </row>
    <row r="1100" spans="2:17" ht="15" customHeight="1" x14ac:dyDescent="0.2">
      <c r="B1100" s="7">
        <v>45120</v>
      </c>
      <c r="C1100" s="5">
        <f>IF(B1100="","",[1]!s_dq_close(股指期货基差分析!$E$5,$B1100))</f>
        <v>6044.0582999999997</v>
      </c>
      <c r="D1100" s="5">
        <f>IF(B1100="","",[1]!s_dq_close(股指期货基差分析!$E$6,$B1100))</f>
        <v>6051.2</v>
      </c>
      <c r="E1100" s="5">
        <f ca="1">RANK(F1100,F:F)+COUNTIF(F$2:F1100,F1100)-1</f>
        <v>150</v>
      </c>
      <c r="F1100" s="5">
        <f t="shared" si="18"/>
        <v>7.1417000000001281</v>
      </c>
      <c r="G1100" s="5">
        <f ca="1">IF(B1100="","",股指期货基差分析!$N$11)</f>
        <v>-71.408500000000458</v>
      </c>
      <c r="H1100" s="5">
        <f ca="1">IF(B1100="","",股指期货基差分析!$L$11)</f>
        <v>15.737900000000081</v>
      </c>
      <c r="I1100" s="9">
        <f ca="1">IF(B1100="","",股指期货基差分析!$D$11)</f>
        <v>-19.923978315132629</v>
      </c>
      <c r="L1100" s="43"/>
      <c r="Q1100" s="11"/>
    </row>
    <row r="1101" spans="2:17" ht="15" customHeight="1" x14ac:dyDescent="0.2">
      <c r="B1101" s="8">
        <v>45121</v>
      </c>
      <c r="C1101" s="6">
        <f>IF(B1101="","",[1]!s_dq_close(股指期货基差分析!$E$5,$B1101))</f>
        <v>6030.5187999999998</v>
      </c>
      <c r="D1101" s="6">
        <f>IF(B1101="","",[1]!s_dq_close(股指期货基差分析!$E$6,$B1101))</f>
        <v>6026.2</v>
      </c>
      <c r="E1101" s="6">
        <f ca="1">RANK(F1101,F:F)+COUNTIF(F$2:F1101,F1101)-1</f>
        <v>393</v>
      </c>
      <c r="F1101" s="6">
        <f t="shared" si="18"/>
        <v>-4.3188000000000102</v>
      </c>
      <c r="G1101" s="6">
        <f ca="1">IF(B1101="","",股指期货基差分析!$N$11)</f>
        <v>-71.408500000000458</v>
      </c>
      <c r="H1101" s="6">
        <f ca="1">IF(B1101="","",股指期货基差分析!$L$11)</f>
        <v>15.737900000000081</v>
      </c>
      <c r="I1101" s="10">
        <f ca="1">IF(B1101="","",股指期货基差分析!$D$11)</f>
        <v>-19.923978315132629</v>
      </c>
      <c r="L1101" s="43"/>
      <c r="Q1101" s="11"/>
    </row>
    <row r="1102" spans="2:17" ht="15" customHeight="1" x14ac:dyDescent="0.2">
      <c r="B1102" s="7">
        <v>45124</v>
      </c>
      <c r="C1102" s="5">
        <f>IF(B1102="","",[1]!s_dq_close(股指期货基差分析!$E$5,$B1102))</f>
        <v>6012.6895000000004</v>
      </c>
      <c r="D1102" s="5">
        <f>IF(B1102="","",[1]!s_dq_close(股指期货基差分析!$E$6,$B1102))</f>
        <v>6006.6</v>
      </c>
      <c r="E1102" s="5">
        <f ca="1">RANK(F1102,F:F)+COUNTIF(F$2:F1102,F1102)-1</f>
        <v>446</v>
      </c>
      <c r="F1102" s="5">
        <f t="shared" si="18"/>
        <v>-6.0895000000000437</v>
      </c>
      <c r="G1102" s="5">
        <f ca="1">IF(B1102="","",股指期货基差分析!$N$11)</f>
        <v>-71.408500000000458</v>
      </c>
      <c r="H1102" s="5">
        <f ca="1">IF(B1102="","",股指期货基差分析!$L$11)</f>
        <v>15.737900000000081</v>
      </c>
      <c r="I1102" s="9">
        <f ca="1">IF(B1102="","",股指期货基差分析!$D$11)</f>
        <v>-19.923978315132629</v>
      </c>
      <c r="L1102" s="43"/>
      <c r="Q1102" s="11"/>
    </row>
    <row r="1103" spans="2:17" ht="15" customHeight="1" x14ac:dyDescent="0.2">
      <c r="B1103" s="8">
        <v>45125</v>
      </c>
      <c r="C1103" s="6">
        <f>IF(B1103="","",[1]!s_dq_close(股指期货基差分析!$E$5,$B1103))</f>
        <v>6001.7997999999998</v>
      </c>
      <c r="D1103" s="6">
        <f>IF(B1103="","",[1]!s_dq_close(股指期货基差分析!$E$6,$B1103))</f>
        <v>5997.4</v>
      </c>
      <c r="E1103" s="6">
        <f ca="1">RANK(F1103,F:F)+COUNTIF(F$2:F1103,F1103)-1</f>
        <v>395</v>
      </c>
      <c r="F1103" s="6">
        <f t="shared" si="18"/>
        <v>-4.3998000000001412</v>
      </c>
      <c r="G1103" s="6">
        <f ca="1">IF(B1103="","",股指期货基差分析!$N$11)</f>
        <v>-71.408500000000458</v>
      </c>
      <c r="H1103" s="6">
        <f ca="1">IF(B1103="","",股指期货基差分析!$L$11)</f>
        <v>15.737900000000081</v>
      </c>
      <c r="I1103" s="10">
        <f ca="1">IF(B1103="","",股指期货基差分析!$D$11)</f>
        <v>-19.923978315132629</v>
      </c>
      <c r="L1103" s="43"/>
      <c r="Q1103" s="11"/>
    </row>
    <row r="1104" spans="2:17" ht="15" customHeight="1" x14ac:dyDescent="0.2">
      <c r="B1104" s="7">
        <v>45126</v>
      </c>
      <c r="C1104" s="5">
        <f>IF(B1104="","",[1]!s_dq_close(股指期货基差分析!$E$5,$B1104))</f>
        <v>5993.4125999999997</v>
      </c>
      <c r="D1104" s="5">
        <f>IF(B1104="","",[1]!s_dq_close(股指期货基差分析!$E$6,$B1104))</f>
        <v>5993.2</v>
      </c>
      <c r="E1104" s="5">
        <f ca="1">RANK(F1104,F:F)+COUNTIF(F$2:F1104,F1104)-1</f>
        <v>300</v>
      </c>
      <c r="F1104" s="5">
        <f t="shared" si="18"/>
        <v>-0.21259999999983847</v>
      </c>
      <c r="G1104" s="5">
        <f ca="1">IF(B1104="","",股指期货基差分析!$N$11)</f>
        <v>-71.408500000000458</v>
      </c>
      <c r="H1104" s="5">
        <f ca="1">IF(B1104="","",股指期货基差分析!$L$11)</f>
        <v>15.737900000000081</v>
      </c>
      <c r="I1104" s="9">
        <f ca="1">IF(B1104="","",股指期货基差分析!$D$11)</f>
        <v>-19.923978315132629</v>
      </c>
      <c r="L1104" s="43"/>
      <c r="Q1104" s="11"/>
    </row>
    <row r="1105" spans="2:17" ht="15" customHeight="1" x14ac:dyDescent="0.2">
      <c r="B1105" s="8">
        <v>45127</v>
      </c>
      <c r="C1105" s="6">
        <f>IF(B1105="","",[1]!s_dq_close(股指期货基差分析!$E$5,$B1105))</f>
        <v>5925.4843000000001</v>
      </c>
      <c r="D1105" s="6">
        <f>IF(B1105="","",[1]!s_dq_close(股指期货基差分析!$E$6,$B1105))</f>
        <v>5929.2</v>
      </c>
      <c r="E1105" s="6">
        <f ca="1">RANK(F1105,F:F)+COUNTIF(F$2:F1105,F1105)-1</f>
        <v>214</v>
      </c>
      <c r="F1105" s="6">
        <f t="shared" si="18"/>
        <v>3.7156999999997424</v>
      </c>
      <c r="G1105" s="6">
        <f ca="1">IF(B1105="","",股指期货基差分析!$N$11)</f>
        <v>-71.408500000000458</v>
      </c>
      <c r="H1105" s="6">
        <f ca="1">IF(B1105="","",股指期货基差分析!$L$11)</f>
        <v>15.737900000000081</v>
      </c>
      <c r="I1105" s="10">
        <f ca="1">IF(B1105="","",股指期货基差分析!$D$11)</f>
        <v>-19.923978315132629</v>
      </c>
      <c r="L1105" s="43"/>
      <c r="Q1105" s="11"/>
    </row>
    <row r="1106" spans="2:17" ht="15" customHeight="1" x14ac:dyDescent="0.2">
      <c r="B1106" s="7">
        <v>45128</v>
      </c>
      <c r="C1106" s="5">
        <f>IF(B1106="","",[1]!s_dq_close(股指期货基差分析!$E$5,$B1106))</f>
        <v>5925.6255000000001</v>
      </c>
      <c r="D1106" s="5">
        <f>IF(B1106="","",[1]!s_dq_close(股指期货基差分析!$E$6,$B1106))</f>
        <v>5919.4</v>
      </c>
      <c r="E1106" s="5">
        <f ca="1">RANK(F1106,F:F)+COUNTIF(F$2:F1106,F1106)-1</f>
        <v>450</v>
      </c>
      <c r="F1106" s="5">
        <f t="shared" si="18"/>
        <v>-6.2255000000004657</v>
      </c>
      <c r="G1106" s="5">
        <f ca="1">IF(B1106="","",股指期货基差分析!$N$11)</f>
        <v>-71.408500000000458</v>
      </c>
      <c r="H1106" s="5">
        <f ca="1">IF(B1106="","",股指期货基差分析!$L$11)</f>
        <v>15.737900000000081</v>
      </c>
      <c r="I1106" s="9">
        <f ca="1">IF(B1106="","",股指期货基差分析!$D$11)</f>
        <v>-19.923978315132629</v>
      </c>
      <c r="L1106" s="43"/>
      <c r="Q1106" s="11"/>
    </row>
    <row r="1107" spans="2:17" ht="15" customHeight="1" x14ac:dyDescent="0.2">
      <c r="B1107" s="8">
        <v>45131</v>
      </c>
      <c r="C1107" s="6">
        <f>IF(B1107="","",[1]!s_dq_close(股指期货基差分析!$E$5,$B1107))</f>
        <v>5916.7141000000001</v>
      </c>
      <c r="D1107" s="6">
        <f>IF(B1107="","",[1]!s_dq_close(股指期货基差分析!$E$6,$B1107))</f>
        <v>5916.4</v>
      </c>
      <c r="E1107" s="6">
        <f ca="1">RANK(F1107,F:F)+COUNTIF(F$2:F1107,F1107)-1</f>
        <v>302</v>
      </c>
      <c r="F1107" s="6">
        <f t="shared" si="18"/>
        <v>-0.31410000000050786</v>
      </c>
      <c r="G1107" s="6">
        <f ca="1">IF(B1107="","",股指期货基差分析!$N$11)</f>
        <v>-71.408500000000458</v>
      </c>
      <c r="H1107" s="6">
        <f ca="1">IF(B1107="","",股指期货基差分析!$L$11)</f>
        <v>15.737900000000081</v>
      </c>
      <c r="I1107" s="10">
        <f ca="1">IF(B1107="","",股指期货基差分析!$D$11)</f>
        <v>-19.923978315132629</v>
      </c>
      <c r="L1107" s="43"/>
      <c r="Q1107" s="11"/>
    </row>
    <row r="1108" spans="2:17" ht="15" customHeight="1" x14ac:dyDescent="0.2">
      <c r="B1108" s="7">
        <v>45132</v>
      </c>
      <c r="C1108" s="5">
        <f>IF(B1108="","",[1]!s_dq_close(股指期货基差分析!$E$5,$B1108))</f>
        <v>6016.6311999999998</v>
      </c>
      <c r="D1108" s="5">
        <f>IF(B1108="","",[1]!s_dq_close(股指期货基差分析!$E$6,$B1108))</f>
        <v>6019.6</v>
      </c>
      <c r="E1108" s="5">
        <f ca="1">RANK(F1108,F:F)+COUNTIF(F$2:F1108,F1108)-1</f>
        <v>235</v>
      </c>
      <c r="F1108" s="5">
        <f t="shared" si="18"/>
        <v>2.9688000000005559</v>
      </c>
      <c r="G1108" s="5">
        <f ca="1">IF(B1108="","",股指期货基差分析!$N$11)</f>
        <v>-71.408500000000458</v>
      </c>
      <c r="H1108" s="5">
        <f ca="1">IF(B1108="","",股指期货基差分析!$L$11)</f>
        <v>15.737900000000081</v>
      </c>
      <c r="I1108" s="9">
        <f ca="1">IF(B1108="","",股指期货基差分析!$D$11)</f>
        <v>-19.923978315132629</v>
      </c>
      <c r="L1108" s="43"/>
      <c r="Q1108" s="11"/>
    </row>
    <row r="1109" spans="2:17" ht="15" customHeight="1" x14ac:dyDescent="0.2">
      <c r="B1109" s="8">
        <v>45133</v>
      </c>
      <c r="C1109" s="6">
        <f>IF(B1109="","",[1]!s_dq_close(股指期货基差分析!$E$5,$B1109))</f>
        <v>6001.5402000000004</v>
      </c>
      <c r="D1109" s="6">
        <f>IF(B1109="","",[1]!s_dq_close(股指期货基差分析!$E$6,$B1109))</f>
        <v>6005</v>
      </c>
      <c r="E1109" s="6">
        <f ca="1">RANK(F1109,F:F)+COUNTIF(F$2:F1109,F1109)-1</f>
        <v>225</v>
      </c>
      <c r="F1109" s="6">
        <f t="shared" si="18"/>
        <v>3.4597999999996318</v>
      </c>
      <c r="G1109" s="6">
        <f ca="1">IF(B1109="","",股指期货基差分析!$N$11)</f>
        <v>-71.408500000000458</v>
      </c>
      <c r="H1109" s="6">
        <f ca="1">IF(B1109="","",股指期货基差分析!$L$11)</f>
        <v>15.737900000000081</v>
      </c>
      <c r="I1109" s="10">
        <f ca="1">IF(B1109="","",股指期货基差分析!$D$11)</f>
        <v>-19.923978315132629</v>
      </c>
      <c r="L1109" s="43"/>
      <c r="Q1109" s="11"/>
    </row>
    <row r="1110" spans="2:17" ht="15" customHeight="1" x14ac:dyDescent="0.2">
      <c r="B1110" s="7">
        <v>45134</v>
      </c>
      <c r="C1110" s="5">
        <f>IF(B1110="","",[1]!s_dq_close(股指期货基差分析!$E$5,$B1110))</f>
        <v>5961.1842999999999</v>
      </c>
      <c r="D1110" s="5">
        <f>IF(B1110="","",[1]!s_dq_close(股指期货基差分析!$E$6,$B1110))</f>
        <v>5964</v>
      </c>
      <c r="E1110" s="5">
        <f ca="1">RANK(F1110,F:F)+COUNTIF(F$2:F1110,F1110)-1</f>
        <v>241</v>
      </c>
      <c r="F1110" s="5">
        <f t="shared" si="18"/>
        <v>2.8157000000001062</v>
      </c>
      <c r="G1110" s="5">
        <f ca="1">IF(B1110="","",股指期货基差分析!$N$11)</f>
        <v>-71.408500000000458</v>
      </c>
      <c r="H1110" s="5">
        <f ca="1">IF(B1110="","",股指期货基差分析!$L$11)</f>
        <v>15.737900000000081</v>
      </c>
      <c r="I1110" s="9">
        <f ca="1">IF(B1110="","",股指期货基差分析!$D$11)</f>
        <v>-19.923978315132629</v>
      </c>
      <c r="L1110" s="43"/>
      <c r="Q1110" s="11"/>
    </row>
    <row r="1111" spans="2:17" ht="15" customHeight="1" x14ac:dyDescent="0.2">
      <c r="B1111" s="8">
        <v>45135</v>
      </c>
      <c r="C1111" s="6">
        <f>IF(B1111="","",[1]!s_dq_close(股指期货基差分析!$E$5,$B1111))</f>
        <v>6043.2438000000002</v>
      </c>
      <c r="D1111" s="6">
        <f>IF(B1111="","",[1]!s_dq_close(股指期货基差分析!$E$6,$B1111))</f>
        <v>6052.2</v>
      </c>
      <c r="E1111" s="6">
        <f ca="1">RANK(F1111,F:F)+COUNTIF(F$2:F1111,F1111)-1</f>
        <v>120</v>
      </c>
      <c r="F1111" s="6">
        <f t="shared" si="18"/>
        <v>8.956199999999626</v>
      </c>
      <c r="G1111" s="6">
        <f ca="1">IF(B1111="","",股指期货基差分析!$N$11)</f>
        <v>-71.408500000000458</v>
      </c>
      <c r="H1111" s="6">
        <f ca="1">IF(B1111="","",股指期货基差分析!$L$11)</f>
        <v>15.737900000000081</v>
      </c>
      <c r="I1111" s="10">
        <f ca="1">IF(B1111="","",股指期货基差分析!$D$11)</f>
        <v>-19.923978315132629</v>
      </c>
      <c r="L1111" s="43"/>
      <c r="Q1111" s="11"/>
    </row>
    <row r="1112" spans="2:17" ht="15" customHeight="1" x14ac:dyDescent="0.2">
      <c r="B1112" s="7">
        <v>45138</v>
      </c>
      <c r="C1112" s="5">
        <f>IF(B1112="","",[1]!s_dq_close(股指期货基差分析!$E$5,$B1112))</f>
        <v>6088.2430999999997</v>
      </c>
      <c r="D1112" s="5">
        <f>IF(B1112="","",[1]!s_dq_close(股指期货基差分析!$E$6,$B1112))</f>
        <v>6094.4</v>
      </c>
      <c r="E1112" s="5">
        <f ca="1">RANK(F1112,F:F)+COUNTIF(F$2:F1112,F1112)-1</f>
        <v>166</v>
      </c>
      <c r="F1112" s="5">
        <f t="shared" si="18"/>
        <v>6.1568999999999505</v>
      </c>
      <c r="G1112" s="5">
        <f ca="1">IF(B1112="","",股指期货基差分析!$N$11)</f>
        <v>-71.408500000000458</v>
      </c>
      <c r="H1112" s="5">
        <f ca="1">IF(B1112="","",股指期货基差分析!$L$11)</f>
        <v>15.737900000000081</v>
      </c>
      <c r="I1112" s="9">
        <f ca="1">IF(B1112="","",股指期货基差分析!$D$11)</f>
        <v>-19.923978315132629</v>
      </c>
      <c r="L1112" s="43"/>
      <c r="Q1112" s="11"/>
    </row>
    <row r="1113" spans="2:17" ht="15" customHeight="1" x14ac:dyDescent="0.2">
      <c r="B1113" s="8">
        <v>45139</v>
      </c>
      <c r="C1113" s="6">
        <f>IF(B1113="","",[1]!s_dq_close(股指期货基差分析!$E$5,$B1113))</f>
        <v>6098.8788999999997</v>
      </c>
      <c r="D1113" s="6">
        <f>IF(B1113="","",[1]!s_dq_close(股指期货基差分析!$E$6,$B1113))</f>
        <v>6099</v>
      </c>
      <c r="E1113" s="6">
        <f ca="1">RANK(F1113,F:F)+COUNTIF(F$2:F1113,F1113)-1</f>
        <v>291</v>
      </c>
      <c r="F1113" s="6">
        <f t="shared" si="18"/>
        <v>0.12110000000029686</v>
      </c>
      <c r="G1113" s="6">
        <f ca="1">IF(B1113="","",股指期货基差分析!$N$11)</f>
        <v>-71.408500000000458</v>
      </c>
      <c r="H1113" s="6">
        <f ca="1">IF(B1113="","",股指期货基差分析!$L$11)</f>
        <v>15.737900000000081</v>
      </c>
      <c r="I1113" s="10">
        <f ca="1">IF(B1113="","",股指期货基差分析!$D$11)</f>
        <v>-19.923978315132629</v>
      </c>
      <c r="L1113" s="43"/>
      <c r="Q1113" s="11"/>
    </row>
    <row r="1114" spans="2:17" ht="15" customHeight="1" x14ac:dyDescent="0.2">
      <c r="B1114" s="7">
        <v>45140</v>
      </c>
      <c r="C1114" s="5">
        <f>IF(B1114="","",[1]!s_dq_close(股指期货基差分析!$E$5,$B1114))</f>
        <v>6077.4645</v>
      </c>
      <c r="D1114" s="5">
        <f>IF(B1114="","",[1]!s_dq_close(股指期货基差分析!$E$6,$B1114))</f>
        <v>6075.8</v>
      </c>
      <c r="E1114" s="5">
        <f ca="1">RANK(F1114,F:F)+COUNTIF(F$2:F1114,F1114)-1</f>
        <v>338</v>
      </c>
      <c r="F1114" s="5">
        <f t="shared" si="18"/>
        <v>-1.6644999999998618</v>
      </c>
      <c r="G1114" s="5">
        <f ca="1">IF(B1114="","",股指期货基差分析!$N$11)</f>
        <v>-71.408500000000458</v>
      </c>
      <c r="H1114" s="5">
        <f ca="1">IF(B1114="","",股指期货基差分析!$L$11)</f>
        <v>15.737900000000081</v>
      </c>
      <c r="I1114" s="9">
        <f ca="1">IF(B1114="","",股指期货基差分析!$D$11)</f>
        <v>-19.923978315132629</v>
      </c>
      <c r="L1114" s="43"/>
      <c r="Q1114" s="11"/>
    </row>
    <row r="1115" spans="2:17" ht="15" customHeight="1" x14ac:dyDescent="0.2">
      <c r="B1115" s="8">
        <v>45141</v>
      </c>
      <c r="C1115" s="6">
        <f>IF(B1115="","",[1]!s_dq_close(股指期货基差分析!$E$5,$B1115))</f>
        <v>6098.6868000000004</v>
      </c>
      <c r="D1115" s="6">
        <f>IF(B1115="","",[1]!s_dq_close(股指期货基差分析!$E$6,$B1115))</f>
        <v>6093.2</v>
      </c>
      <c r="E1115" s="6">
        <f ca="1">RANK(F1115,F:F)+COUNTIF(F$2:F1115,F1115)-1</f>
        <v>426</v>
      </c>
      <c r="F1115" s="6">
        <f t="shared" si="18"/>
        <v>-5.486800000000585</v>
      </c>
      <c r="G1115" s="6">
        <f ca="1">IF(B1115="","",股指期货基差分析!$N$11)</f>
        <v>-71.408500000000458</v>
      </c>
      <c r="H1115" s="6">
        <f ca="1">IF(B1115="","",股指期货基差分析!$L$11)</f>
        <v>15.737900000000081</v>
      </c>
      <c r="I1115" s="10">
        <f ca="1">IF(B1115="","",股指期货基差分析!$D$11)</f>
        <v>-19.923978315132629</v>
      </c>
      <c r="L1115" s="43"/>
      <c r="Q1115" s="11"/>
    </row>
    <row r="1116" spans="2:17" ht="15" customHeight="1" x14ac:dyDescent="0.2">
      <c r="B1116" s="7">
        <v>45142</v>
      </c>
      <c r="C1116" s="5">
        <f>IF(B1116="","",[1]!s_dq_close(股指期货基差分析!$E$5,$B1116))</f>
        <v>6128.5559999999996</v>
      </c>
      <c r="D1116" s="5">
        <f>IF(B1116="","",[1]!s_dq_close(股指期货基差分析!$E$6,$B1116))</f>
        <v>6126.6</v>
      </c>
      <c r="E1116" s="5">
        <f ca="1">RANK(F1116,F:F)+COUNTIF(F$2:F1116,F1116)-1</f>
        <v>347</v>
      </c>
      <c r="F1116" s="5">
        <f t="shared" si="18"/>
        <v>-1.9559999999992215</v>
      </c>
      <c r="G1116" s="5">
        <f ca="1">IF(B1116="","",股指期货基差分析!$N$11)</f>
        <v>-71.408500000000458</v>
      </c>
      <c r="H1116" s="5">
        <f ca="1">IF(B1116="","",股指期货基差分析!$L$11)</f>
        <v>15.737900000000081</v>
      </c>
      <c r="I1116" s="9">
        <f ca="1">IF(B1116="","",股指期货基差分析!$D$11)</f>
        <v>-19.923978315132629</v>
      </c>
      <c r="L1116" s="43"/>
      <c r="Q1116" s="11"/>
    </row>
    <row r="1117" spans="2:17" ht="15" customHeight="1" x14ac:dyDescent="0.2">
      <c r="B1117" s="8">
        <v>45145</v>
      </c>
      <c r="C1117" s="6">
        <f>IF(B1117="","",[1]!s_dq_close(股指期货基差分析!$E$5,$B1117))</f>
        <v>6090.7307000000001</v>
      </c>
      <c r="D1117" s="6">
        <f>IF(B1117="","",[1]!s_dq_close(股指期货基差分析!$E$6,$B1117))</f>
        <v>6104.4</v>
      </c>
      <c r="E1117" s="6">
        <f ca="1">RANK(F1117,F:F)+COUNTIF(F$2:F1117,F1117)-1</f>
        <v>75</v>
      </c>
      <c r="F1117" s="6">
        <f t="shared" si="18"/>
        <v>13.669299999999566</v>
      </c>
      <c r="G1117" s="6">
        <f ca="1">IF(B1117="","",股指期货基差分析!$N$11)</f>
        <v>-71.408500000000458</v>
      </c>
      <c r="H1117" s="6">
        <f ca="1">IF(B1117="","",股指期货基差分析!$L$11)</f>
        <v>15.737900000000081</v>
      </c>
      <c r="I1117" s="10">
        <f ca="1">IF(B1117="","",股指期货基差分析!$D$11)</f>
        <v>-19.923978315132629</v>
      </c>
      <c r="L1117" s="43"/>
      <c r="Q1117" s="11"/>
    </row>
    <row r="1118" spans="2:17" ht="15" customHeight="1" x14ac:dyDescent="0.2">
      <c r="B1118" s="7">
        <v>45146</v>
      </c>
      <c r="C1118" s="5">
        <f>IF(B1118="","",[1]!s_dq_close(股指期货基差分析!$E$5,$B1118))</f>
        <v>6066.1018999999997</v>
      </c>
      <c r="D1118" s="5">
        <f>IF(B1118="","",[1]!s_dq_close(股指期货基差分析!$E$6,$B1118))</f>
        <v>6077.2</v>
      </c>
      <c r="E1118" s="5">
        <f ca="1">RANK(F1118,F:F)+COUNTIF(F$2:F1118,F1118)-1</f>
        <v>97</v>
      </c>
      <c r="F1118" s="5">
        <f t="shared" si="18"/>
        <v>11.098100000000159</v>
      </c>
      <c r="G1118" s="5">
        <f ca="1">IF(B1118="","",股指期货基差分析!$N$11)</f>
        <v>-71.408500000000458</v>
      </c>
      <c r="H1118" s="5">
        <f ca="1">IF(B1118="","",股指期货基差分析!$L$11)</f>
        <v>15.737900000000081</v>
      </c>
      <c r="I1118" s="9">
        <f ca="1">IF(B1118="","",股指期货基差分析!$D$11)</f>
        <v>-19.923978315132629</v>
      </c>
      <c r="L1118" s="43"/>
      <c r="Q1118" s="11"/>
    </row>
    <row r="1119" spans="2:17" ht="15" customHeight="1" x14ac:dyDescent="0.2">
      <c r="B1119" s="8">
        <v>45147</v>
      </c>
      <c r="C1119" s="6">
        <f>IF(B1119="","",[1]!s_dq_close(股指期货基差分析!$E$5,$B1119))</f>
        <v>6021.7506000000003</v>
      </c>
      <c r="D1119" s="6">
        <f>IF(B1119="","",[1]!s_dq_close(股指期货基差分析!$E$6,$B1119))</f>
        <v>6036</v>
      </c>
      <c r="E1119" s="6">
        <f ca="1">RANK(F1119,F:F)+COUNTIF(F$2:F1119,F1119)-1</f>
        <v>71</v>
      </c>
      <c r="F1119" s="6">
        <f t="shared" si="18"/>
        <v>14.249399999999696</v>
      </c>
      <c r="G1119" s="6">
        <f ca="1">IF(B1119="","",股指期货基差分析!$N$11)</f>
        <v>-71.408500000000458</v>
      </c>
      <c r="H1119" s="6">
        <f ca="1">IF(B1119="","",股指期货基差分析!$L$11)</f>
        <v>15.737900000000081</v>
      </c>
      <c r="I1119" s="10">
        <f ca="1">IF(B1119="","",股指期货基差分析!$D$11)</f>
        <v>-19.923978315132629</v>
      </c>
      <c r="L1119" s="43"/>
      <c r="Q1119" s="11"/>
    </row>
    <row r="1120" spans="2:17" ht="15" customHeight="1" x14ac:dyDescent="0.2">
      <c r="B1120" s="7">
        <v>45148</v>
      </c>
      <c r="C1120" s="5">
        <f>IF(B1120="","",[1]!s_dq_close(股指期货基差分析!$E$5,$B1120))</f>
        <v>6031.7105000000001</v>
      </c>
      <c r="D1120" s="5">
        <f>IF(B1120="","",[1]!s_dq_close(股指期货基差分析!$E$6,$B1120))</f>
        <v>6030.4</v>
      </c>
      <c r="E1120" s="5">
        <f ca="1">RANK(F1120,F:F)+COUNTIF(F$2:F1120,F1120)-1</f>
        <v>325</v>
      </c>
      <c r="F1120" s="5">
        <f t="shared" si="18"/>
        <v>-1.310500000000502</v>
      </c>
      <c r="G1120" s="5">
        <f ca="1">IF(B1120="","",股指期货基差分析!$N$11)</f>
        <v>-71.408500000000458</v>
      </c>
      <c r="H1120" s="5">
        <f ca="1">IF(B1120="","",股指期货基差分析!$L$11)</f>
        <v>15.737900000000081</v>
      </c>
      <c r="I1120" s="9">
        <f ca="1">IF(B1120="","",股指期货基差分析!$D$11)</f>
        <v>-19.923978315132629</v>
      </c>
      <c r="L1120" s="43"/>
      <c r="Q1120" s="11"/>
    </row>
    <row r="1121" spans="2:17" ht="15" customHeight="1" x14ac:dyDescent="0.2">
      <c r="B1121" s="8">
        <v>45149</v>
      </c>
      <c r="C1121" s="6">
        <f>IF(B1121="","",[1]!s_dq_close(股指期货基差分析!$E$5,$B1121))</f>
        <v>5913.3501999999999</v>
      </c>
      <c r="D1121" s="6">
        <f>IF(B1121="","",[1]!s_dq_close(股指期货基差分析!$E$6,$B1121))</f>
        <v>5910.2</v>
      </c>
      <c r="E1121" s="6">
        <f ca="1">RANK(F1121,F:F)+COUNTIF(F$2:F1121,F1121)-1</f>
        <v>375</v>
      </c>
      <c r="F1121" s="6">
        <f t="shared" si="18"/>
        <v>-3.1502000000000407</v>
      </c>
      <c r="G1121" s="6">
        <f ca="1">IF(B1121="","",股指期货基差分析!$N$11)</f>
        <v>-71.408500000000458</v>
      </c>
      <c r="H1121" s="6">
        <f ca="1">IF(B1121="","",股指期货基差分析!$L$11)</f>
        <v>15.737900000000081</v>
      </c>
      <c r="I1121" s="10">
        <f ca="1">IF(B1121="","",股指期货基差分析!$D$11)</f>
        <v>-19.923978315132629</v>
      </c>
      <c r="L1121" s="43"/>
      <c r="Q1121" s="11"/>
    </row>
    <row r="1122" spans="2:17" ht="15" customHeight="1" x14ac:dyDescent="0.2">
      <c r="B1122" s="7">
        <v>45152</v>
      </c>
      <c r="C1122" s="5">
        <f>IF(B1122="","",[1]!s_dq_close(股指期货基差分析!$E$5,$B1122))</f>
        <v>5916.8028999999997</v>
      </c>
      <c r="D1122" s="5">
        <f>IF(B1122="","",[1]!s_dq_close(股指期货基差分析!$E$6,$B1122))</f>
        <v>5911.8</v>
      </c>
      <c r="E1122" s="5">
        <f ca="1">RANK(F1122,F:F)+COUNTIF(F$2:F1122,F1122)-1</f>
        <v>415</v>
      </c>
      <c r="F1122" s="5">
        <f t="shared" si="18"/>
        <v>-5.0028999999994994</v>
      </c>
      <c r="G1122" s="5">
        <f ca="1">IF(B1122="","",股指期货基差分析!$N$11)</f>
        <v>-71.408500000000458</v>
      </c>
      <c r="H1122" s="5">
        <f ca="1">IF(B1122="","",股指期货基差分析!$L$11)</f>
        <v>15.737900000000081</v>
      </c>
      <c r="I1122" s="9">
        <f ca="1">IF(B1122="","",股指期货基差分析!$D$11)</f>
        <v>-19.923978315132629</v>
      </c>
      <c r="L1122" s="43"/>
      <c r="Q1122" s="11"/>
    </row>
    <row r="1123" spans="2:17" ht="15" customHeight="1" x14ac:dyDescent="0.2">
      <c r="B1123" s="8">
        <v>45153</v>
      </c>
      <c r="C1123" s="6">
        <f>IF(B1123="","",[1]!s_dq_close(股指期货基差分析!$E$5,$B1123))</f>
        <v>5879.7781999999997</v>
      </c>
      <c r="D1123" s="6">
        <f>IF(B1123="","",[1]!s_dq_close(股指期货基差分析!$E$6,$B1123))</f>
        <v>5880.2</v>
      </c>
      <c r="E1123" s="6">
        <f ca="1">RANK(F1123,F:F)+COUNTIF(F$2:F1123,F1123)-1</f>
        <v>281</v>
      </c>
      <c r="F1123" s="6">
        <f t="shared" si="18"/>
        <v>0.42180000000007567</v>
      </c>
      <c r="G1123" s="6">
        <f ca="1">IF(B1123="","",股指期货基差分析!$N$11)</f>
        <v>-71.408500000000458</v>
      </c>
      <c r="H1123" s="6">
        <f ca="1">IF(B1123="","",股指期货基差分析!$L$11)</f>
        <v>15.737900000000081</v>
      </c>
      <c r="I1123" s="10">
        <f ca="1">IF(B1123="","",股指期货基差分析!$D$11)</f>
        <v>-19.923978315132629</v>
      </c>
      <c r="L1123" s="43"/>
      <c r="Q1123" s="11"/>
    </row>
    <row r="1124" spans="2:17" ht="15" customHeight="1" x14ac:dyDescent="0.2">
      <c r="B1124" s="7">
        <v>45154</v>
      </c>
      <c r="C1124" s="5">
        <f>IF(B1124="","",[1]!s_dq_close(股指期货基差分析!$E$5,$B1124))</f>
        <v>5833.2155000000002</v>
      </c>
      <c r="D1124" s="5">
        <f>IF(B1124="","",[1]!s_dq_close(股指期货基差分析!$E$6,$B1124))</f>
        <v>5835</v>
      </c>
      <c r="E1124" s="5">
        <f ca="1">RANK(F1124,F:F)+COUNTIF(F$2:F1124,F1124)-1</f>
        <v>260</v>
      </c>
      <c r="F1124" s="5">
        <f t="shared" si="18"/>
        <v>1.7844999999997526</v>
      </c>
      <c r="G1124" s="5">
        <f ca="1">IF(B1124="","",股指期货基差分析!$N$11)</f>
        <v>-71.408500000000458</v>
      </c>
      <c r="H1124" s="5">
        <f ca="1">IF(B1124="","",股指期货基差分析!$L$11)</f>
        <v>15.737900000000081</v>
      </c>
      <c r="I1124" s="9">
        <f ca="1">IF(B1124="","",股指期货基差分析!$D$11)</f>
        <v>-19.923978315132629</v>
      </c>
      <c r="L1124" s="43"/>
      <c r="Q1124" s="11"/>
    </row>
    <row r="1125" spans="2:17" ht="15" customHeight="1" x14ac:dyDescent="0.2">
      <c r="B1125" s="8">
        <v>45155</v>
      </c>
      <c r="C1125" s="6">
        <f>IF(B1125="","",[1]!s_dq_close(股指期货基差分析!$E$5,$B1125))</f>
        <v>5874.3608999999997</v>
      </c>
      <c r="D1125" s="6">
        <f>IF(B1125="","",[1]!s_dq_close(股指期货基差分析!$E$6,$B1125))</f>
        <v>5872.2</v>
      </c>
      <c r="E1125" s="6">
        <f ca="1">RANK(F1125,F:F)+COUNTIF(F$2:F1125,F1125)-1</f>
        <v>351</v>
      </c>
      <c r="F1125" s="6">
        <f t="shared" si="18"/>
        <v>-2.1608999999998559</v>
      </c>
      <c r="G1125" s="6">
        <f ca="1">IF(B1125="","",股指期货基差分析!$N$11)</f>
        <v>-71.408500000000458</v>
      </c>
      <c r="H1125" s="6">
        <f ca="1">IF(B1125="","",股指期货基差分析!$L$11)</f>
        <v>15.737900000000081</v>
      </c>
      <c r="I1125" s="10">
        <f ca="1">IF(B1125="","",股指期货基差分析!$D$11)</f>
        <v>-19.923978315132629</v>
      </c>
      <c r="L1125" s="43"/>
      <c r="Q1125" s="11"/>
    </row>
    <row r="1126" spans="2:17" ht="15" customHeight="1" x14ac:dyDescent="0.2">
      <c r="B1126" s="7">
        <v>45156</v>
      </c>
      <c r="C1126" s="5">
        <f>IF(B1126="","",[1]!s_dq_close(股指期货基差分析!$E$5,$B1126))</f>
        <v>5777.7972</v>
      </c>
      <c r="D1126" s="5">
        <f>IF(B1126="","",[1]!s_dq_close(股指期货基差分析!$E$6,$B1126))</f>
        <v>5812.8</v>
      </c>
      <c r="E1126" s="5">
        <f ca="1">RANK(F1126,F:F)+COUNTIF(F$2:F1126,F1126)-1</f>
        <v>10</v>
      </c>
      <c r="F1126" s="5">
        <f t="shared" si="18"/>
        <v>35.002800000000207</v>
      </c>
      <c r="G1126" s="5">
        <f ca="1">IF(B1126="","",股指期货基差分析!$N$11)</f>
        <v>-71.408500000000458</v>
      </c>
      <c r="H1126" s="5">
        <f ca="1">IF(B1126="","",股指期货基差分析!$L$11)</f>
        <v>15.737900000000081</v>
      </c>
      <c r="I1126" s="9">
        <f ca="1">IF(B1126="","",股指期货基差分析!$D$11)</f>
        <v>-19.923978315132629</v>
      </c>
      <c r="L1126" s="43"/>
      <c r="Q1126" s="11"/>
    </row>
    <row r="1127" spans="2:17" ht="15" customHeight="1" x14ac:dyDescent="0.2">
      <c r="B1127" s="8">
        <v>45159</v>
      </c>
      <c r="C1127" s="6">
        <f>IF(B1127="","",[1]!s_dq_close(股指期货基差分析!$E$5,$B1127))</f>
        <v>5710.7782999999999</v>
      </c>
      <c r="D1127" s="6">
        <f>IF(B1127="","",[1]!s_dq_close(股指期货基差分析!$E$6,$B1127))</f>
        <v>5714.8</v>
      </c>
      <c r="E1127" s="6">
        <f ca="1">RANK(F1127,F:F)+COUNTIF(F$2:F1127,F1127)-1</f>
        <v>206</v>
      </c>
      <c r="F1127" s="6">
        <f t="shared" si="18"/>
        <v>4.0217000000002372</v>
      </c>
      <c r="G1127" s="6">
        <f ca="1">IF(B1127="","",股指期货基差分析!$N$11)</f>
        <v>-71.408500000000458</v>
      </c>
      <c r="H1127" s="6">
        <f ca="1">IF(B1127="","",股指期货基差分析!$L$11)</f>
        <v>15.737900000000081</v>
      </c>
      <c r="I1127" s="10">
        <f ca="1">IF(B1127="","",股指期货基差分析!$D$11)</f>
        <v>-19.923978315132629</v>
      </c>
      <c r="L1127" s="43"/>
      <c r="Q1127" s="11"/>
    </row>
    <row r="1128" spans="2:17" ht="15" customHeight="1" x14ac:dyDescent="0.2">
      <c r="B1128" s="7">
        <v>45160</v>
      </c>
      <c r="C1128" s="5">
        <f>IF(B1128="","",[1]!s_dq_close(股指期货基差分析!$E$5,$B1128))</f>
        <v>5741.0605999999998</v>
      </c>
      <c r="D1128" s="5">
        <f>IF(B1128="","",[1]!s_dq_close(股指期货基差分析!$E$6,$B1128))</f>
        <v>5731.2</v>
      </c>
      <c r="E1128" s="5">
        <f ca="1">RANK(F1128,F:F)+COUNTIF(F$2:F1128,F1128)-1</f>
        <v>550</v>
      </c>
      <c r="F1128" s="5">
        <f t="shared" si="18"/>
        <v>-9.8605999999999767</v>
      </c>
      <c r="G1128" s="5">
        <f ca="1">IF(B1128="","",股指期货基差分析!$N$11)</f>
        <v>-71.408500000000458</v>
      </c>
      <c r="H1128" s="5">
        <f ca="1">IF(B1128="","",股指期货基差分析!$L$11)</f>
        <v>15.737900000000081</v>
      </c>
      <c r="I1128" s="9">
        <f ca="1">IF(B1128="","",股指期货基差分析!$D$11)</f>
        <v>-19.923978315132629</v>
      </c>
      <c r="L1128" s="43"/>
      <c r="Q1128" s="11"/>
    </row>
    <row r="1129" spans="2:17" ht="15" customHeight="1" x14ac:dyDescent="0.2">
      <c r="B1129" s="8">
        <v>45161</v>
      </c>
      <c r="C1129" s="6">
        <f>IF(B1129="","",[1]!s_dq_close(股指期货基差分析!$E$5,$B1129))</f>
        <v>5629.4998999999998</v>
      </c>
      <c r="D1129" s="6">
        <f>IF(B1129="","",[1]!s_dq_close(股指期货基差分析!$E$6,$B1129))</f>
        <v>5637.6</v>
      </c>
      <c r="E1129" s="6">
        <f ca="1">RANK(F1129,F:F)+COUNTIF(F$2:F1129,F1129)-1</f>
        <v>136</v>
      </c>
      <c r="F1129" s="6">
        <f t="shared" si="18"/>
        <v>8.1001000000005661</v>
      </c>
      <c r="G1129" s="6">
        <f ca="1">IF(B1129="","",股指期货基差分析!$N$11)</f>
        <v>-71.408500000000458</v>
      </c>
      <c r="H1129" s="6">
        <f ca="1">IF(B1129="","",股指期货基差分析!$L$11)</f>
        <v>15.737900000000081</v>
      </c>
      <c r="I1129" s="10">
        <f ca="1">IF(B1129="","",股指期货基差分析!$D$11)</f>
        <v>-19.923978315132629</v>
      </c>
      <c r="L1129" s="43"/>
      <c r="Q1129" s="11"/>
    </row>
    <row r="1130" spans="2:17" ht="15" customHeight="1" x14ac:dyDescent="0.2">
      <c r="B1130" s="7">
        <v>45162</v>
      </c>
      <c r="C1130" s="5">
        <f>IF(B1130="","",[1]!s_dq_close(股指期货基差分析!$E$5,$B1130))</f>
        <v>5652.6728999999996</v>
      </c>
      <c r="D1130" s="5">
        <f>IF(B1130="","",[1]!s_dq_close(股指期货基差分析!$E$6,$B1130))</f>
        <v>5650.2</v>
      </c>
      <c r="E1130" s="5">
        <f ca="1">RANK(F1130,F:F)+COUNTIF(F$2:F1130,F1130)-1</f>
        <v>359</v>
      </c>
      <c r="F1130" s="5">
        <f t="shared" si="18"/>
        <v>-2.4728999999997541</v>
      </c>
      <c r="G1130" s="5">
        <f ca="1">IF(B1130="","",股指期货基差分析!$N$11)</f>
        <v>-71.408500000000458</v>
      </c>
      <c r="H1130" s="5">
        <f ca="1">IF(B1130="","",股指期货基差分析!$L$11)</f>
        <v>15.737900000000081</v>
      </c>
      <c r="I1130" s="9">
        <f ca="1">IF(B1130="","",股指期货基差分析!$D$11)</f>
        <v>-19.923978315132629</v>
      </c>
      <c r="L1130" s="43"/>
      <c r="Q1130" s="11"/>
    </row>
    <row r="1131" spans="2:17" ht="15" customHeight="1" x14ac:dyDescent="0.2">
      <c r="B1131" s="8">
        <v>45163</v>
      </c>
      <c r="C1131" s="6">
        <f>IF(B1131="","",[1]!s_dq_close(股指期货基差分析!$E$5,$B1131))</f>
        <v>5581.2115999999996</v>
      </c>
      <c r="D1131" s="6">
        <f>IF(B1131="","",[1]!s_dq_close(股指期货基差分析!$E$6,$B1131))</f>
        <v>5587.8</v>
      </c>
      <c r="E1131" s="6">
        <f ca="1">RANK(F1131,F:F)+COUNTIF(F$2:F1131,F1131)-1</f>
        <v>159</v>
      </c>
      <c r="F1131" s="6">
        <f t="shared" si="18"/>
        <v>6.5884000000005472</v>
      </c>
      <c r="G1131" s="6">
        <f ca="1">IF(B1131="","",股指期货基差分析!$N$11)</f>
        <v>-71.408500000000458</v>
      </c>
      <c r="H1131" s="6">
        <f ca="1">IF(B1131="","",股指期货基差分析!$L$11)</f>
        <v>15.737900000000081</v>
      </c>
      <c r="I1131" s="10">
        <f ca="1">IF(B1131="","",股指期货基差分析!$D$11)</f>
        <v>-19.923978315132629</v>
      </c>
      <c r="L1131" s="43"/>
      <c r="Q1131" s="11"/>
    </row>
    <row r="1132" spans="2:17" ht="15" customHeight="1" x14ac:dyDescent="0.2">
      <c r="B1132" s="7">
        <v>45166</v>
      </c>
      <c r="C1132" s="5">
        <f>IF(B1132="","",[1]!s_dq_close(股指期货基差分析!$E$5,$B1132))</f>
        <v>5644.1405000000004</v>
      </c>
      <c r="D1132" s="5">
        <f>IF(B1132="","",[1]!s_dq_close(股指期货基差分析!$E$6,$B1132))</f>
        <v>5647.2</v>
      </c>
      <c r="E1132" s="5">
        <f ca="1">RANK(F1132,F:F)+COUNTIF(F$2:F1132,F1132)-1</f>
        <v>233</v>
      </c>
      <c r="F1132" s="5">
        <f t="shared" si="18"/>
        <v>3.0594999999993888</v>
      </c>
      <c r="G1132" s="5">
        <f ca="1">IF(B1132="","",股指期货基差分析!$N$11)</f>
        <v>-71.408500000000458</v>
      </c>
      <c r="H1132" s="5">
        <f ca="1">IF(B1132="","",股指期货基差分析!$L$11)</f>
        <v>15.737900000000081</v>
      </c>
      <c r="I1132" s="9">
        <f ca="1">IF(B1132="","",股指期货基差分析!$D$11)</f>
        <v>-19.923978315132629</v>
      </c>
      <c r="L1132" s="43"/>
      <c r="Q1132" s="11"/>
    </row>
    <row r="1133" spans="2:17" ht="15" customHeight="1" x14ac:dyDescent="0.2">
      <c r="B1133" s="8">
        <v>45167</v>
      </c>
      <c r="C1133" s="6">
        <f>IF(B1133="","",[1]!s_dq_close(股指期货基差分析!$E$5,$B1133))</f>
        <v>5770.3154999999997</v>
      </c>
      <c r="D1133" s="6">
        <f>IF(B1133="","",[1]!s_dq_close(股指期货基差分析!$E$6,$B1133))</f>
        <v>5771.2</v>
      </c>
      <c r="E1133" s="6">
        <f ca="1">RANK(F1133,F:F)+COUNTIF(F$2:F1133,F1133)-1</f>
        <v>271</v>
      </c>
      <c r="F1133" s="6">
        <f t="shared" si="18"/>
        <v>0.88450000000011642</v>
      </c>
      <c r="G1133" s="6">
        <f ca="1">IF(B1133="","",股指期货基差分析!$N$11)</f>
        <v>-71.408500000000458</v>
      </c>
      <c r="H1133" s="6">
        <f ca="1">IF(B1133="","",股指期货基差分析!$L$11)</f>
        <v>15.737900000000081</v>
      </c>
      <c r="I1133" s="10">
        <f ca="1">IF(B1133="","",股指期货基差分析!$D$11)</f>
        <v>-19.923978315132629</v>
      </c>
      <c r="L1133" s="43"/>
      <c r="Q1133" s="11"/>
    </row>
    <row r="1134" spans="2:17" ht="15" customHeight="1" x14ac:dyDescent="0.2">
      <c r="B1134" s="7">
        <v>45168</v>
      </c>
      <c r="C1134" s="5">
        <f>IF(B1134="","",[1]!s_dq_close(股指期货基差分析!$E$5,$B1134))</f>
        <v>5775.1534000000001</v>
      </c>
      <c r="D1134" s="5">
        <f>IF(B1134="","",[1]!s_dq_close(股指期货基差分析!$E$6,$B1134))</f>
        <v>5770.6</v>
      </c>
      <c r="E1134" s="5">
        <f ca="1">RANK(F1134,F:F)+COUNTIF(F$2:F1134,F1134)-1</f>
        <v>401</v>
      </c>
      <c r="F1134" s="5">
        <f t="shared" si="18"/>
        <v>-4.5533999999997832</v>
      </c>
      <c r="G1134" s="5">
        <f ca="1">IF(B1134="","",股指期货基差分析!$N$11)</f>
        <v>-71.408500000000458</v>
      </c>
      <c r="H1134" s="5">
        <f ca="1">IF(B1134="","",股指期货基差分析!$L$11)</f>
        <v>15.737900000000081</v>
      </c>
      <c r="I1134" s="9">
        <f ca="1">IF(B1134="","",股指期货基差分析!$D$11)</f>
        <v>-19.923978315132629</v>
      </c>
      <c r="L1134" s="43"/>
      <c r="Q1134" s="11"/>
    </row>
    <row r="1135" spans="2:17" ht="15" customHeight="1" x14ac:dyDescent="0.2">
      <c r="B1135" s="8">
        <v>45169</v>
      </c>
      <c r="C1135" s="6">
        <f>IF(B1135="","",[1]!s_dq_close(股指期货基差分析!$E$5,$B1135))</f>
        <v>5739.3984</v>
      </c>
      <c r="D1135" s="6">
        <f>IF(B1135="","",[1]!s_dq_close(股指期货基差分析!$E$6,$B1135))</f>
        <v>5742.4</v>
      </c>
      <c r="E1135" s="6">
        <f ca="1">RANK(F1135,F:F)+COUNTIF(F$2:F1135,F1135)-1</f>
        <v>234</v>
      </c>
      <c r="F1135" s="6">
        <f t="shared" si="18"/>
        <v>3.0015999999995984</v>
      </c>
      <c r="G1135" s="6">
        <f ca="1">IF(B1135="","",股指期货基差分析!$N$11)</f>
        <v>-71.408500000000458</v>
      </c>
      <c r="H1135" s="6">
        <f ca="1">IF(B1135="","",股指期货基差分析!$L$11)</f>
        <v>15.737900000000081</v>
      </c>
      <c r="I1135" s="10">
        <f ca="1">IF(B1135="","",股指期货基差分析!$D$11)</f>
        <v>-19.923978315132629</v>
      </c>
      <c r="L1135" s="43"/>
      <c r="Q1135" s="11"/>
    </row>
    <row r="1136" spans="2:17" ht="15" customHeight="1" x14ac:dyDescent="0.2">
      <c r="B1136" s="7">
        <v>45170</v>
      </c>
      <c r="C1136" s="5">
        <f>IF(B1136="","",[1]!s_dq_close(股指期货基差分析!$E$5,$B1136))</f>
        <v>5750.8027000000002</v>
      </c>
      <c r="D1136" s="5">
        <f>IF(B1136="","",[1]!s_dq_close(股指期货基差分析!$E$6,$B1136))</f>
        <v>5751</v>
      </c>
      <c r="E1136" s="5">
        <f ca="1">RANK(F1136,F:F)+COUNTIF(F$2:F1136,F1136)-1</f>
        <v>288</v>
      </c>
      <c r="F1136" s="5">
        <f t="shared" si="18"/>
        <v>0.19729999999981374</v>
      </c>
      <c r="G1136" s="5">
        <f ca="1">IF(B1136="","",股指期货基差分析!$N$11)</f>
        <v>-71.408500000000458</v>
      </c>
      <c r="H1136" s="5">
        <f ca="1">IF(B1136="","",股指期货基差分析!$L$11)</f>
        <v>15.737900000000081</v>
      </c>
      <c r="I1136" s="9">
        <f ca="1">IF(B1136="","",股指期货基差分析!$D$11)</f>
        <v>-19.923978315132629</v>
      </c>
      <c r="L1136" s="43"/>
      <c r="Q1136" s="11"/>
    </row>
    <row r="1137" spans="2:17" ht="15" customHeight="1" x14ac:dyDescent="0.2">
      <c r="B1137" s="8">
        <v>45173</v>
      </c>
      <c r="C1137" s="6">
        <f>IF(B1137="","",[1]!s_dq_close(股指期货基差分析!$E$5,$B1137))</f>
        <v>5829.7839999999997</v>
      </c>
      <c r="D1137" s="6">
        <f>IF(B1137="","",[1]!s_dq_close(股指期货基差分析!$E$6,$B1137))</f>
        <v>5833.8</v>
      </c>
      <c r="E1137" s="6">
        <f ca="1">RANK(F1137,F:F)+COUNTIF(F$2:F1137,F1137)-1</f>
        <v>207</v>
      </c>
      <c r="F1137" s="6">
        <f t="shared" si="18"/>
        <v>4.0160000000005311</v>
      </c>
      <c r="G1137" s="6">
        <f ca="1">IF(B1137="","",股指期货基差分析!$N$11)</f>
        <v>-71.408500000000458</v>
      </c>
      <c r="H1137" s="6">
        <f ca="1">IF(B1137="","",股指期货基差分析!$L$11)</f>
        <v>15.737900000000081</v>
      </c>
      <c r="I1137" s="10">
        <f ca="1">IF(B1137="","",股指期货基差分析!$D$11)</f>
        <v>-19.923978315132629</v>
      </c>
      <c r="L1137" s="43"/>
      <c r="Q1137" s="11"/>
    </row>
    <row r="1138" spans="2:17" ht="15" customHeight="1" x14ac:dyDescent="0.2">
      <c r="B1138" s="7">
        <v>45174</v>
      </c>
      <c r="C1138" s="5">
        <f>IF(B1138="","",[1]!s_dq_close(股指期货基差分析!$E$5,$B1138))</f>
        <v>5788.7148999999999</v>
      </c>
      <c r="D1138" s="5">
        <f>IF(B1138="","",[1]!s_dq_close(股指期货基差分析!$E$6,$B1138))</f>
        <v>5787.4</v>
      </c>
      <c r="E1138" s="5">
        <f ca="1">RANK(F1138,F:F)+COUNTIF(F$2:F1138,F1138)-1</f>
        <v>326</v>
      </c>
      <c r="F1138" s="5">
        <f t="shared" si="18"/>
        <v>-1.314900000000307</v>
      </c>
      <c r="G1138" s="5">
        <f ca="1">IF(B1138="","",股指期货基差分析!$N$11)</f>
        <v>-71.408500000000458</v>
      </c>
      <c r="H1138" s="5">
        <f ca="1">IF(B1138="","",股指期货基差分析!$L$11)</f>
        <v>15.737900000000081</v>
      </c>
      <c r="I1138" s="9">
        <f ca="1">IF(B1138="","",股指期货基差分析!$D$11)</f>
        <v>-19.923978315132629</v>
      </c>
      <c r="L1138" s="43"/>
      <c r="Q1138" s="11"/>
    </row>
    <row r="1139" spans="2:17" ht="15" customHeight="1" x14ac:dyDescent="0.2">
      <c r="B1139" s="8">
        <v>45175</v>
      </c>
      <c r="C1139" s="6">
        <f>IF(B1139="","",[1]!s_dq_close(股指期货基差分析!$E$5,$B1139))</f>
        <v>5790.3806000000004</v>
      </c>
      <c r="D1139" s="6">
        <f>IF(B1139="","",[1]!s_dq_close(股指期货基差分析!$E$6,$B1139))</f>
        <v>5786.2</v>
      </c>
      <c r="E1139" s="6">
        <f ca="1">RANK(F1139,F:F)+COUNTIF(F$2:F1139,F1139)-1</f>
        <v>392</v>
      </c>
      <c r="F1139" s="6">
        <f t="shared" si="18"/>
        <v>-4.1806000000005952</v>
      </c>
      <c r="G1139" s="6">
        <f ca="1">IF(B1139="","",股指期货基差分析!$N$11)</f>
        <v>-71.408500000000458</v>
      </c>
      <c r="H1139" s="6">
        <f ca="1">IF(B1139="","",股指期货基差分析!$L$11)</f>
        <v>15.737900000000081</v>
      </c>
      <c r="I1139" s="10">
        <f ca="1">IF(B1139="","",股指期货基差分析!$D$11)</f>
        <v>-19.923978315132629</v>
      </c>
      <c r="L1139" s="43"/>
      <c r="Q1139" s="11"/>
    </row>
    <row r="1140" spans="2:17" ht="15" customHeight="1" x14ac:dyDescent="0.2">
      <c r="B1140" s="7">
        <v>45176</v>
      </c>
      <c r="C1140" s="5">
        <f>IF(B1140="","",[1]!s_dq_close(股指期货基差分析!$E$5,$B1140))</f>
        <v>5702.7007999999996</v>
      </c>
      <c r="D1140" s="5">
        <f>IF(B1140="","",[1]!s_dq_close(股指期货基差分析!$E$6,$B1140))</f>
        <v>5701.6</v>
      </c>
      <c r="E1140" s="5">
        <f ca="1">RANK(F1140,F:F)+COUNTIF(F$2:F1140,F1140)-1</f>
        <v>318</v>
      </c>
      <c r="F1140" s="5">
        <f t="shared" si="18"/>
        <v>-1.1007999999992535</v>
      </c>
      <c r="G1140" s="5">
        <f ca="1">IF(B1140="","",股指期货基差分析!$N$11)</f>
        <v>-71.408500000000458</v>
      </c>
      <c r="H1140" s="5">
        <f ca="1">IF(B1140="","",股指期货基差分析!$L$11)</f>
        <v>15.737900000000081</v>
      </c>
      <c r="I1140" s="9">
        <f ca="1">IF(B1140="","",股指期货基差分析!$D$11)</f>
        <v>-19.923978315132629</v>
      </c>
      <c r="L1140" s="43"/>
      <c r="Q1140" s="11"/>
    </row>
    <row r="1141" spans="2:17" ht="15" customHeight="1" x14ac:dyDescent="0.2">
      <c r="B1141" s="8">
        <v>45177</v>
      </c>
      <c r="C1141" s="6">
        <f>IF(B1141="","",[1]!s_dq_close(股指期货基差分析!$E$5,$B1141))</f>
        <v>5708.6226999999999</v>
      </c>
      <c r="D1141" s="6">
        <f>IF(B1141="","",[1]!s_dq_close(股指期货基差分析!$E$6,$B1141))</f>
        <v>5697</v>
      </c>
      <c r="E1141" s="6">
        <f ca="1">RANK(F1141,F:F)+COUNTIF(F$2:F1141,F1141)-1</f>
        <v>584</v>
      </c>
      <c r="F1141" s="6">
        <f t="shared" si="18"/>
        <v>-11.622699999999895</v>
      </c>
      <c r="G1141" s="6">
        <f ca="1">IF(B1141="","",股指期货基差分析!$N$11)</f>
        <v>-71.408500000000458</v>
      </c>
      <c r="H1141" s="6">
        <f ca="1">IF(B1141="","",股指期货基差分析!$L$11)</f>
        <v>15.737900000000081</v>
      </c>
      <c r="I1141" s="10">
        <f ca="1">IF(B1141="","",股指期货基差分析!$D$11)</f>
        <v>-19.923978315132629</v>
      </c>
      <c r="L1141" s="43"/>
      <c r="Q1141" s="11"/>
    </row>
    <row r="1142" spans="2:17" ht="15" customHeight="1" x14ac:dyDescent="0.2">
      <c r="B1142" s="7">
        <v>45180</v>
      </c>
      <c r="C1142" s="5">
        <f>IF(B1142="","",[1]!s_dq_close(股指期货基差分析!$E$5,$B1142))</f>
        <v>5774.7304999999997</v>
      </c>
      <c r="D1142" s="5">
        <f>IF(B1142="","",[1]!s_dq_close(股指期货基差分析!$E$6,$B1142))</f>
        <v>5760</v>
      </c>
      <c r="E1142" s="5">
        <f ca="1">RANK(F1142,F:F)+COUNTIF(F$2:F1142,F1142)-1</f>
        <v>653</v>
      </c>
      <c r="F1142" s="5">
        <f t="shared" si="18"/>
        <v>-14.730499999999665</v>
      </c>
      <c r="G1142" s="5">
        <f ca="1">IF(B1142="","",股指期货基差分析!$N$11)</f>
        <v>-71.408500000000458</v>
      </c>
      <c r="H1142" s="5">
        <f ca="1">IF(B1142="","",股指期货基差分析!$L$11)</f>
        <v>15.737900000000081</v>
      </c>
      <c r="I1142" s="9">
        <f ca="1">IF(B1142="","",股指期货基差分析!$D$11)</f>
        <v>-19.923978315132629</v>
      </c>
      <c r="L1142" s="43"/>
      <c r="Q1142" s="11"/>
    </row>
    <row r="1143" spans="2:17" ht="15" customHeight="1" x14ac:dyDescent="0.2">
      <c r="B1143" s="8">
        <v>45181</v>
      </c>
      <c r="C1143" s="6">
        <f>IF(B1143="","",[1]!s_dq_close(股指期货基差分析!$E$5,$B1143))</f>
        <v>5770.9259000000002</v>
      </c>
      <c r="D1143" s="6">
        <f>IF(B1143="","",[1]!s_dq_close(股指期货基差分析!$E$6,$B1143))</f>
        <v>5769</v>
      </c>
      <c r="E1143" s="6">
        <f ca="1">RANK(F1143,F:F)+COUNTIF(F$2:F1143,F1143)-1</f>
        <v>346</v>
      </c>
      <c r="F1143" s="6">
        <f t="shared" si="18"/>
        <v>-1.9259000000001834</v>
      </c>
      <c r="G1143" s="6">
        <f ca="1">IF(B1143="","",股指期货基差分析!$N$11)</f>
        <v>-71.408500000000458</v>
      </c>
      <c r="H1143" s="6">
        <f ca="1">IF(B1143="","",股指期货基差分析!$L$11)</f>
        <v>15.737900000000081</v>
      </c>
      <c r="I1143" s="10">
        <f ca="1">IF(B1143="","",股指期货基差分析!$D$11)</f>
        <v>-19.923978315132629</v>
      </c>
      <c r="L1143" s="43"/>
      <c r="Q1143" s="11"/>
    </row>
    <row r="1144" spans="2:17" ht="15" customHeight="1" x14ac:dyDescent="0.2">
      <c r="B1144" s="7">
        <v>45182</v>
      </c>
      <c r="C1144" s="5">
        <f>IF(B1144="","",[1]!s_dq_close(股指期货基差分析!$E$5,$B1144))</f>
        <v>5715.3972999999996</v>
      </c>
      <c r="D1144" s="5">
        <f>IF(B1144="","",[1]!s_dq_close(股指期货基差分析!$E$6,$B1144))</f>
        <v>5712.4</v>
      </c>
      <c r="E1144" s="5">
        <f ca="1">RANK(F1144,F:F)+COUNTIF(F$2:F1144,F1144)-1</f>
        <v>370</v>
      </c>
      <c r="F1144" s="5">
        <f t="shared" si="18"/>
        <v>-2.9972999999999956</v>
      </c>
      <c r="G1144" s="5">
        <f ca="1">IF(B1144="","",股指期货基差分析!$N$11)</f>
        <v>-71.408500000000458</v>
      </c>
      <c r="H1144" s="5">
        <f ca="1">IF(B1144="","",股指期货基差分析!$L$11)</f>
        <v>15.737900000000081</v>
      </c>
      <c r="I1144" s="9">
        <f ca="1">IF(B1144="","",股指期货基差分析!$D$11)</f>
        <v>-19.923978315132629</v>
      </c>
      <c r="L1144" s="43"/>
      <c r="Q1144" s="11"/>
    </row>
    <row r="1145" spans="2:17" ht="15" customHeight="1" x14ac:dyDescent="0.2">
      <c r="B1145" s="8">
        <v>45183</v>
      </c>
      <c r="C1145" s="6">
        <f>IF(B1145="","",[1]!s_dq_close(股指期货基差分析!$E$5,$B1145))</f>
        <v>5702.1019999999999</v>
      </c>
      <c r="D1145" s="6">
        <f>IF(B1145="","",[1]!s_dq_close(股指期货基差分析!$E$6,$B1145))</f>
        <v>5709.4</v>
      </c>
      <c r="E1145" s="6">
        <f ca="1">RANK(F1145,F:F)+COUNTIF(F$2:F1145,F1145)-1</f>
        <v>147</v>
      </c>
      <c r="F1145" s="6">
        <f t="shared" si="18"/>
        <v>7.2979999999997744</v>
      </c>
      <c r="G1145" s="6">
        <f ca="1">IF(B1145="","",股指期货基差分析!$N$11)</f>
        <v>-71.408500000000458</v>
      </c>
      <c r="H1145" s="6">
        <f ca="1">IF(B1145="","",股指期货基差分析!$L$11)</f>
        <v>15.737900000000081</v>
      </c>
      <c r="I1145" s="10">
        <f ca="1">IF(B1145="","",股指期货基差分析!$D$11)</f>
        <v>-19.923978315132629</v>
      </c>
      <c r="L1145" s="43"/>
      <c r="Q1145" s="11"/>
    </row>
    <row r="1146" spans="2:17" ht="15" customHeight="1" x14ac:dyDescent="0.2">
      <c r="B1146" s="7">
        <v>45184</v>
      </c>
      <c r="C1146" s="5">
        <f>IF(B1146="","",[1]!s_dq_close(股指期货基差分析!$E$5,$B1146))</f>
        <v>5704.6632</v>
      </c>
      <c r="D1146" s="5">
        <f>IF(B1146="","",[1]!s_dq_close(股指期货基差分析!$E$6,$B1146))</f>
        <v>5694.6</v>
      </c>
      <c r="E1146" s="5">
        <f ca="1">RANK(F1146,F:F)+COUNTIF(F$2:F1146,F1146)-1</f>
        <v>554</v>
      </c>
      <c r="F1146" s="5">
        <f t="shared" si="18"/>
        <v>-10.063199999999597</v>
      </c>
      <c r="G1146" s="5">
        <f ca="1">IF(B1146="","",股指期货基差分析!$N$11)</f>
        <v>-71.408500000000458</v>
      </c>
      <c r="H1146" s="5">
        <f ca="1">IF(B1146="","",股指期货基差分析!$L$11)</f>
        <v>15.737900000000081</v>
      </c>
      <c r="I1146" s="9">
        <f ca="1">IF(B1146="","",股指期货基差分析!$D$11)</f>
        <v>-19.923978315132629</v>
      </c>
      <c r="L1146" s="43"/>
      <c r="Q1146" s="11"/>
    </row>
    <row r="1147" spans="2:17" ht="15" customHeight="1" x14ac:dyDescent="0.2">
      <c r="B1147" s="8">
        <v>45187</v>
      </c>
      <c r="C1147" s="6">
        <f>IF(B1147="","",[1]!s_dq_close(股指期货基差分析!$E$5,$B1147))</f>
        <v>5719.6886999999997</v>
      </c>
      <c r="D1147" s="6">
        <f>IF(B1147="","",[1]!s_dq_close(股指期货基差分析!$E$6,$B1147))</f>
        <v>5731.6</v>
      </c>
      <c r="E1147" s="6">
        <f ca="1">RANK(F1147,F:F)+COUNTIF(F$2:F1147,F1147)-1</f>
        <v>89</v>
      </c>
      <c r="F1147" s="6">
        <f t="shared" si="18"/>
        <v>11.911300000000665</v>
      </c>
      <c r="G1147" s="6">
        <f ca="1">IF(B1147="","",股指期货基差分析!$N$11)</f>
        <v>-71.408500000000458</v>
      </c>
      <c r="H1147" s="6">
        <f ca="1">IF(B1147="","",股指期货基差分析!$L$11)</f>
        <v>15.737900000000081</v>
      </c>
      <c r="I1147" s="10">
        <f ca="1">IF(B1147="","",股指期货基差分析!$D$11)</f>
        <v>-19.923978315132629</v>
      </c>
      <c r="L1147" s="43"/>
      <c r="Q1147" s="11"/>
    </row>
    <row r="1148" spans="2:17" ht="15" customHeight="1" x14ac:dyDescent="0.2">
      <c r="B1148" s="7">
        <v>45188</v>
      </c>
      <c r="C1148" s="5">
        <f>IF(B1148="","",[1]!s_dq_close(股指期货基差分析!$E$5,$B1148))</f>
        <v>5687.9007000000001</v>
      </c>
      <c r="D1148" s="5">
        <f>IF(B1148="","",[1]!s_dq_close(股指期货基差分析!$E$6,$B1148))</f>
        <v>5707.6</v>
      </c>
      <c r="E1148" s="5">
        <f ca="1">RANK(F1148,F:F)+COUNTIF(F$2:F1148,F1148)-1</f>
        <v>42</v>
      </c>
      <c r="F1148" s="5">
        <f t="shared" si="18"/>
        <v>19.699300000000221</v>
      </c>
      <c r="G1148" s="5">
        <f ca="1">IF(B1148="","",股指期货基差分析!$N$11)</f>
        <v>-71.408500000000458</v>
      </c>
      <c r="H1148" s="5">
        <f ca="1">IF(B1148="","",股指期货基差分析!$L$11)</f>
        <v>15.737900000000081</v>
      </c>
      <c r="I1148" s="9">
        <f ca="1">IF(B1148="","",股指期货基差分析!$D$11)</f>
        <v>-19.923978315132629</v>
      </c>
      <c r="L1148" s="43"/>
      <c r="Q1148" s="11"/>
    </row>
    <row r="1149" spans="2:17" ht="15" customHeight="1" x14ac:dyDescent="0.2">
      <c r="B1149" s="8">
        <v>45189</v>
      </c>
      <c r="C1149" s="6">
        <f>IF(B1149="","",[1]!s_dq_close(股指期货基差分析!$E$5,$B1149))</f>
        <v>5651.0061999999998</v>
      </c>
      <c r="D1149" s="6">
        <f>IF(B1149="","",[1]!s_dq_close(股指期货基差分析!$E$6,$B1149))</f>
        <v>5668.6</v>
      </c>
      <c r="E1149" s="6">
        <f ca="1">RANK(F1149,F:F)+COUNTIF(F$2:F1149,F1149)-1</f>
        <v>53</v>
      </c>
      <c r="F1149" s="6">
        <f t="shared" si="18"/>
        <v>17.593800000000556</v>
      </c>
      <c r="G1149" s="6">
        <f ca="1">IF(B1149="","",股指期货基差分析!$N$11)</f>
        <v>-71.408500000000458</v>
      </c>
      <c r="H1149" s="6">
        <f ca="1">IF(B1149="","",股指期货基差分析!$L$11)</f>
        <v>15.737900000000081</v>
      </c>
      <c r="I1149" s="10">
        <f ca="1">IF(B1149="","",股指期货基差分析!$D$11)</f>
        <v>-19.923978315132629</v>
      </c>
      <c r="L1149" s="43"/>
      <c r="Q1149" s="11"/>
    </row>
    <row r="1150" spans="2:17" ht="15" customHeight="1" x14ac:dyDescent="0.2">
      <c r="B1150" s="7">
        <v>45190</v>
      </c>
      <c r="C1150" s="5">
        <f>IF(B1150="","",[1]!s_dq_close(股指期货基差分析!$E$5,$B1150))</f>
        <v>5611.9186</v>
      </c>
      <c r="D1150" s="5">
        <f>IF(B1150="","",[1]!s_dq_close(股指期货基差分析!$E$6,$B1150))</f>
        <v>5622.8</v>
      </c>
      <c r="E1150" s="5">
        <f ca="1">RANK(F1150,F:F)+COUNTIF(F$2:F1150,F1150)-1</f>
        <v>101</v>
      </c>
      <c r="F1150" s="5">
        <f t="shared" si="18"/>
        <v>10.881400000000212</v>
      </c>
      <c r="G1150" s="5">
        <f ca="1">IF(B1150="","",股指期货基差分析!$N$11)</f>
        <v>-71.408500000000458</v>
      </c>
      <c r="H1150" s="5">
        <f ca="1">IF(B1150="","",股指期货基差分析!$L$11)</f>
        <v>15.737900000000081</v>
      </c>
      <c r="I1150" s="9">
        <f ca="1">IF(B1150="","",股指期货基差分析!$D$11)</f>
        <v>-19.923978315132629</v>
      </c>
      <c r="L1150" s="43"/>
      <c r="Q1150" s="11"/>
    </row>
    <row r="1151" spans="2:17" ht="15" customHeight="1" x14ac:dyDescent="0.2">
      <c r="B1151" s="8">
        <v>45191</v>
      </c>
      <c r="C1151" s="6">
        <f>IF(B1151="","",[1]!s_dq_close(股指期货基差分析!$E$5,$B1151))</f>
        <v>5698.8167999999996</v>
      </c>
      <c r="D1151" s="6">
        <f>IF(B1151="","",[1]!s_dq_close(股指期货基差分析!$E$6,$B1151))</f>
        <v>5726.6</v>
      </c>
      <c r="E1151" s="6">
        <f ca="1">RANK(F1151,F:F)+COUNTIF(F$2:F1151,F1151)-1</f>
        <v>19</v>
      </c>
      <c r="F1151" s="6">
        <f t="shared" si="18"/>
        <v>27.783200000000761</v>
      </c>
      <c r="G1151" s="6">
        <f ca="1">IF(B1151="","",股指期货基差分析!$N$11)</f>
        <v>-71.408500000000458</v>
      </c>
      <c r="H1151" s="6">
        <f ca="1">IF(B1151="","",股指期货基差分析!$L$11)</f>
        <v>15.737900000000081</v>
      </c>
      <c r="I1151" s="10">
        <f ca="1">IF(B1151="","",股指期货基差分析!$D$11)</f>
        <v>-19.923978315132629</v>
      </c>
      <c r="L1151" s="43"/>
      <c r="Q1151" s="11"/>
    </row>
    <row r="1152" spans="2:17" ht="15" customHeight="1" x14ac:dyDescent="0.2">
      <c r="B1152" s="7">
        <v>45194</v>
      </c>
      <c r="C1152" s="5">
        <f>IF(B1152="","",[1]!s_dq_close(股指期货基差分析!$E$5,$B1152))</f>
        <v>5666.6642000000002</v>
      </c>
      <c r="D1152" s="5">
        <f>IF(B1152="","",[1]!s_dq_close(股指期货基差分析!$E$6,$B1152))</f>
        <v>5687.2</v>
      </c>
      <c r="E1152" s="5">
        <f ca="1">RANK(F1152,F:F)+COUNTIF(F$2:F1152,F1152)-1</f>
        <v>37</v>
      </c>
      <c r="F1152" s="5">
        <f t="shared" si="18"/>
        <v>20.535799999999654</v>
      </c>
      <c r="G1152" s="5">
        <f ca="1">IF(B1152="","",股指期货基差分析!$N$11)</f>
        <v>-71.408500000000458</v>
      </c>
      <c r="H1152" s="5">
        <f ca="1">IF(B1152="","",股指期货基差分析!$L$11)</f>
        <v>15.737900000000081</v>
      </c>
      <c r="I1152" s="9">
        <f ca="1">IF(B1152="","",股指期货基差分析!$D$11)</f>
        <v>-19.923978315132629</v>
      </c>
      <c r="L1152" s="43"/>
      <c r="Q1152" s="11"/>
    </row>
    <row r="1153" spans="2:17" ht="15" customHeight="1" x14ac:dyDescent="0.2">
      <c r="B1153" s="8">
        <v>45195</v>
      </c>
      <c r="C1153" s="6">
        <f>IF(B1153="","",[1]!s_dq_close(股指期货基差分析!$E$5,$B1153))</f>
        <v>5646.6544000000004</v>
      </c>
      <c r="D1153" s="6">
        <f>IF(B1153="","",[1]!s_dq_close(股指期货基差分析!$E$6,$B1153))</f>
        <v>5671.8</v>
      </c>
      <c r="E1153" s="6">
        <f ca="1">RANK(F1153,F:F)+COUNTIF(F$2:F1153,F1153)-1</f>
        <v>23</v>
      </c>
      <c r="F1153" s="6">
        <f t="shared" si="18"/>
        <v>25.145599999999831</v>
      </c>
      <c r="G1153" s="6">
        <f ca="1">IF(B1153="","",股指期货基差分析!$N$11)</f>
        <v>-71.408500000000458</v>
      </c>
      <c r="H1153" s="6">
        <f ca="1">IF(B1153="","",股指期货基差分析!$L$11)</f>
        <v>15.737900000000081</v>
      </c>
      <c r="I1153" s="10">
        <f ca="1">IF(B1153="","",股指期货基差分析!$D$11)</f>
        <v>-19.923978315132629</v>
      </c>
      <c r="L1153" s="43"/>
      <c r="Q1153" s="11"/>
    </row>
    <row r="1154" spans="2:17" ht="15" customHeight="1" x14ac:dyDescent="0.2">
      <c r="B1154" s="7">
        <v>45196</v>
      </c>
      <c r="C1154" s="5">
        <f>IF(B1154="","",[1]!s_dq_close(股指期货基差分析!$E$5,$B1154))</f>
        <v>5674.3450999999995</v>
      </c>
      <c r="D1154" s="5">
        <f>IF(B1154="","",[1]!s_dq_close(股指期货基差分析!$E$6,$B1154))</f>
        <v>5700</v>
      </c>
      <c r="E1154" s="5">
        <f ca="1">RANK(F1154,F:F)+COUNTIF(F$2:F1154,F1154)-1</f>
        <v>21</v>
      </c>
      <c r="F1154" s="5">
        <f t="shared" ref="F1154:F1217" si="19">IF(B1154="","",D1154-C1154)</f>
        <v>25.654900000000453</v>
      </c>
      <c r="G1154" s="5">
        <f ca="1">IF(B1154="","",股指期货基差分析!$N$11)</f>
        <v>-71.408500000000458</v>
      </c>
      <c r="H1154" s="5">
        <f ca="1">IF(B1154="","",股指期货基差分析!$L$11)</f>
        <v>15.737900000000081</v>
      </c>
      <c r="I1154" s="9">
        <f ca="1">IF(B1154="","",股指期货基差分析!$D$11)</f>
        <v>-19.923978315132629</v>
      </c>
      <c r="L1154" s="43"/>
      <c r="Q1154" s="11"/>
    </row>
    <row r="1155" spans="2:17" ht="15" customHeight="1" x14ac:dyDescent="0.2">
      <c r="B1155" s="8">
        <v>45197</v>
      </c>
      <c r="C1155" s="6">
        <f>IF(B1155="","",[1]!s_dq_close(股指期货基差分析!$E$5,$B1155))</f>
        <v>5690.7696999999998</v>
      </c>
      <c r="D1155" s="6">
        <f>IF(B1155="","",[1]!s_dq_close(股指期货基差分析!$E$6,$B1155))</f>
        <v>5695</v>
      </c>
      <c r="E1155" s="6">
        <f ca="1">RANK(F1155,F:F)+COUNTIF(F$2:F1155,F1155)-1</f>
        <v>196</v>
      </c>
      <c r="F1155" s="6">
        <f t="shared" si="19"/>
        <v>4.2303000000001703</v>
      </c>
      <c r="G1155" s="6">
        <f ca="1">IF(B1155="","",股指期货基差分析!$N$11)</f>
        <v>-71.408500000000458</v>
      </c>
      <c r="H1155" s="6">
        <f ca="1">IF(B1155="","",股指期货基差分析!$L$11)</f>
        <v>15.737900000000081</v>
      </c>
      <c r="I1155" s="10">
        <f ca="1">IF(B1155="","",股指期货基差分析!$D$11)</f>
        <v>-19.923978315132629</v>
      </c>
      <c r="L1155" s="43"/>
      <c r="Q1155" s="11"/>
    </row>
    <row r="1156" spans="2:17" ht="15" customHeight="1" x14ac:dyDescent="0.2">
      <c r="B1156" s="7">
        <v>45208</v>
      </c>
      <c r="C1156" s="5">
        <f>IF(B1156="","",[1]!s_dq_close(股指期货基差分析!$E$5,$B1156))</f>
        <v>5658.0832</v>
      </c>
      <c r="D1156" s="5">
        <f>IF(B1156="","",[1]!s_dq_close(股指期货基差分析!$E$6,$B1156))</f>
        <v>5658.2</v>
      </c>
      <c r="E1156" s="5">
        <f ca="1">RANK(F1156,F:F)+COUNTIF(F$2:F1156,F1156)-1</f>
        <v>292</v>
      </c>
      <c r="F1156" s="5">
        <f t="shared" si="19"/>
        <v>0.11679999999978463</v>
      </c>
      <c r="G1156" s="5">
        <f ca="1">IF(B1156="","",股指期货基差分析!$N$11)</f>
        <v>-71.408500000000458</v>
      </c>
      <c r="H1156" s="5">
        <f ca="1">IF(B1156="","",股指期货基差分析!$L$11)</f>
        <v>15.737900000000081</v>
      </c>
      <c r="I1156" s="9">
        <f ca="1">IF(B1156="","",股指期货基差分析!$D$11)</f>
        <v>-19.923978315132629</v>
      </c>
      <c r="L1156" s="43"/>
      <c r="Q1156" s="11"/>
    </row>
    <row r="1157" spans="2:17" ht="15" customHeight="1" x14ac:dyDescent="0.2">
      <c r="B1157" s="8">
        <v>45209</v>
      </c>
      <c r="C1157" s="6">
        <f>IF(B1157="","",[1]!s_dq_close(股指期货基差分析!$E$5,$B1157))</f>
        <v>5630.3714</v>
      </c>
      <c r="D1157" s="6">
        <f>IF(B1157="","",[1]!s_dq_close(股指期货基差分析!$E$6,$B1157))</f>
        <v>5635.4</v>
      </c>
      <c r="E1157" s="6">
        <f ca="1">RANK(F1157,F:F)+COUNTIF(F$2:F1157,F1157)-1</f>
        <v>187</v>
      </c>
      <c r="F1157" s="6">
        <f t="shared" si="19"/>
        <v>5.028599999999642</v>
      </c>
      <c r="G1157" s="6">
        <f ca="1">IF(B1157="","",股指期货基差分析!$N$11)</f>
        <v>-71.408500000000458</v>
      </c>
      <c r="H1157" s="6">
        <f ca="1">IF(B1157="","",股指期货基差分析!$L$11)</f>
        <v>15.737900000000081</v>
      </c>
      <c r="I1157" s="10">
        <f ca="1">IF(B1157="","",股指期货基差分析!$D$11)</f>
        <v>-19.923978315132629</v>
      </c>
      <c r="L1157" s="43"/>
      <c r="Q1157" s="11"/>
    </row>
    <row r="1158" spans="2:17" ht="15" customHeight="1" x14ac:dyDescent="0.2">
      <c r="B1158" s="7">
        <v>45210</v>
      </c>
      <c r="C1158" s="5">
        <f>IF(B1158="","",[1]!s_dq_close(股指期货基差分析!$E$5,$B1158))</f>
        <v>5629.7885999999999</v>
      </c>
      <c r="D1158" s="5">
        <f>IF(B1158="","",[1]!s_dq_close(股指期货基差分析!$E$6,$B1158))</f>
        <v>5621.2</v>
      </c>
      <c r="E1158" s="5">
        <f ca="1">RANK(F1158,F:F)+COUNTIF(F$2:F1158,F1158)-1</f>
        <v>517</v>
      </c>
      <c r="F1158" s="5">
        <f t="shared" si="19"/>
        <v>-8.5886000000000422</v>
      </c>
      <c r="G1158" s="5">
        <f ca="1">IF(B1158="","",股指期货基差分析!$N$11)</f>
        <v>-71.408500000000458</v>
      </c>
      <c r="H1158" s="5">
        <f ca="1">IF(B1158="","",股指期货基差分析!$L$11)</f>
        <v>15.737900000000081</v>
      </c>
      <c r="I1158" s="9">
        <f ca="1">IF(B1158="","",股指期货基差分析!$D$11)</f>
        <v>-19.923978315132629</v>
      </c>
      <c r="L1158" s="43"/>
      <c r="Q1158" s="11"/>
    </row>
    <row r="1159" spans="2:17" ht="15" customHeight="1" x14ac:dyDescent="0.2">
      <c r="B1159" s="8">
        <v>45211</v>
      </c>
      <c r="C1159" s="6">
        <f>IF(B1159="","",[1]!s_dq_close(股指期货基差分析!$E$5,$B1159))</f>
        <v>5671.6418999999996</v>
      </c>
      <c r="D1159" s="6">
        <f>IF(B1159="","",[1]!s_dq_close(股指期货基差分析!$E$6,$B1159))</f>
        <v>5665.8</v>
      </c>
      <c r="E1159" s="6">
        <f ca="1">RANK(F1159,F:F)+COUNTIF(F$2:F1159,F1159)-1</f>
        <v>433</v>
      </c>
      <c r="F1159" s="6">
        <f t="shared" si="19"/>
        <v>-5.8418999999994412</v>
      </c>
      <c r="G1159" s="6">
        <f ca="1">IF(B1159="","",股指期货基差分析!$N$11)</f>
        <v>-71.408500000000458</v>
      </c>
      <c r="H1159" s="6">
        <f ca="1">IF(B1159="","",股指期货基差分析!$L$11)</f>
        <v>15.737900000000081</v>
      </c>
      <c r="I1159" s="10">
        <f ca="1">IF(B1159="","",股指期货基差分析!$D$11)</f>
        <v>-19.923978315132629</v>
      </c>
      <c r="L1159" s="43"/>
      <c r="Q1159" s="11"/>
    </row>
    <row r="1160" spans="2:17" ht="15" customHeight="1" x14ac:dyDescent="0.2">
      <c r="B1160" s="7">
        <v>45212</v>
      </c>
      <c r="C1160" s="5">
        <f>IF(B1160="","",[1]!s_dq_close(股指期货基差分析!$E$5,$B1160))</f>
        <v>5633.3831</v>
      </c>
      <c r="D1160" s="5">
        <f>IF(B1160="","",[1]!s_dq_close(股指期货基差分析!$E$6,$B1160))</f>
        <v>5643.8</v>
      </c>
      <c r="E1160" s="5">
        <f ca="1">RANK(F1160,F:F)+COUNTIF(F$2:F1160,F1160)-1</f>
        <v>108</v>
      </c>
      <c r="F1160" s="5">
        <f t="shared" si="19"/>
        <v>10.416900000000169</v>
      </c>
      <c r="G1160" s="5">
        <f ca="1">IF(B1160="","",股指期货基差分析!$N$11)</f>
        <v>-71.408500000000458</v>
      </c>
      <c r="H1160" s="5">
        <f ca="1">IF(B1160="","",股指期货基差分析!$L$11)</f>
        <v>15.737900000000081</v>
      </c>
      <c r="I1160" s="9">
        <f ca="1">IF(B1160="","",股指期货基差分析!$D$11)</f>
        <v>-19.923978315132629</v>
      </c>
      <c r="L1160" s="43"/>
      <c r="Q1160" s="11"/>
    </row>
    <row r="1161" spans="2:17" ht="15" customHeight="1" x14ac:dyDescent="0.2">
      <c r="B1161" s="8">
        <v>45215</v>
      </c>
      <c r="C1161" s="6">
        <f>IF(B1161="","",[1]!s_dq_close(股指期货基差分析!$E$5,$B1161))</f>
        <v>5580.6665999999996</v>
      </c>
      <c r="D1161" s="6">
        <f>IF(B1161="","",[1]!s_dq_close(股指期货基差分析!$E$6,$B1161))</f>
        <v>5586.2</v>
      </c>
      <c r="E1161" s="6">
        <f ca="1">RANK(F1161,F:F)+COUNTIF(F$2:F1161,F1161)-1</f>
        <v>178</v>
      </c>
      <c r="F1161" s="6">
        <f t="shared" si="19"/>
        <v>5.5334000000002561</v>
      </c>
      <c r="G1161" s="6">
        <f ca="1">IF(B1161="","",股指期货基差分析!$N$11)</f>
        <v>-71.408500000000458</v>
      </c>
      <c r="H1161" s="6">
        <f ca="1">IF(B1161="","",股指期货基差分析!$L$11)</f>
        <v>15.737900000000081</v>
      </c>
      <c r="I1161" s="10">
        <f ca="1">IF(B1161="","",股指期货基差分析!$D$11)</f>
        <v>-19.923978315132629</v>
      </c>
      <c r="L1161" s="43"/>
      <c r="Q1161" s="11"/>
    </row>
    <row r="1162" spans="2:17" ht="15" customHeight="1" x14ac:dyDescent="0.2">
      <c r="B1162" s="7">
        <v>45216</v>
      </c>
      <c r="C1162" s="5">
        <f>IF(B1162="","",[1]!s_dq_close(股指期货基差分析!$E$5,$B1162))</f>
        <v>5595.3423000000003</v>
      </c>
      <c r="D1162" s="5">
        <f>IF(B1162="","",[1]!s_dq_close(股指期货基差分析!$E$6,$B1162))</f>
        <v>5589.4</v>
      </c>
      <c r="E1162" s="5">
        <f ca="1">RANK(F1162,F:F)+COUNTIF(F$2:F1162,F1162)-1</f>
        <v>437</v>
      </c>
      <c r="F1162" s="5">
        <f t="shared" si="19"/>
        <v>-5.9423000000006141</v>
      </c>
      <c r="G1162" s="5">
        <f ca="1">IF(B1162="","",股指期货基差分析!$N$11)</f>
        <v>-71.408500000000458</v>
      </c>
      <c r="H1162" s="5">
        <f ca="1">IF(B1162="","",股指期货基差分析!$L$11)</f>
        <v>15.737900000000081</v>
      </c>
      <c r="I1162" s="9">
        <f ca="1">IF(B1162="","",股指期货基差分析!$D$11)</f>
        <v>-19.923978315132629</v>
      </c>
      <c r="L1162" s="43"/>
      <c r="Q1162" s="11"/>
    </row>
    <row r="1163" spans="2:17" ht="15" customHeight="1" x14ac:dyDescent="0.2">
      <c r="B1163" s="8">
        <v>45217</v>
      </c>
      <c r="C1163" s="6">
        <f>IF(B1163="","",[1]!s_dq_close(股指期货基差分析!$E$5,$B1163))</f>
        <v>5524.5987999999998</v>
      </c>
      <c r="D1163" s="6">
        <f>IF(B1163="","",[1]!s_dq_close(股指期货基差分析!$E$6,$B1163))</f>
        <v>5527.4</v>
      </c>
      <c r="E1163" s="6">
        <f ca="1">RANK(F1163,F:F)+COUNTIF(F$2:F1163,F1163)-1</f>
        <v>242</v>
      </c>
      <c r="F1163" s="6">
        <f t="shared" si="19"/>
        <v>2.8011999999998807</v>
      </c>
      <c r="G1163" s="6">
        <f ca="1">IF(B1163="","",股指期货基差分析!$N$11)</f>
        <v>-71.408500000000458</v>
      </c>
      <c r="H1163" s="6">
        <f ca="1">IF(B1163="","",股指期货基差分析!$L$11)</f>
        <v>15.737900000000081</v>
      </c>
      <c r="I1163" s="10">
        <f ca="1">IF(B1163="","",股指期货基差分析!$D$11)</f>
        <v>-19.923978315132629</v>
      </c>
      <c r="L1163" s="43"/>
      <c r="Q1163" s="11"/>
    </row>
    <row r="1164" spans="2:17" ht="15" customHeight="1" x14ac:dyDescent="0.2">
      <c r="B1164" s="7">
        <v>45218</v>
      </c>
      <c r="C1164" s="5">
        <f>IF(B1164="","",[1]!s_dq_close(股指期货基差分析!$E$5,$B1164))</f>
        <v>5464.027</v>
      </c>
      <c r="D1164" s="5">
        <f>IF(B1164="","",[1]!s_dq_close(股指期货基差分析!$E$6,$B1164))</f>
        <v>5468.2</v>
      </c>
      <c r="E1164" s="5">
        <f ca="1">RANK(F1164,F:F)+COUNTIF(F$2:F1164,F1164)-1</f>
        <v>198</v>
      </c>
      <c r="F1164" s="5">
        <f t="shared" si="19"/>
        <v>4.1729999999997744</v>
      </c>
      <c r="G1164" s="5">
        <f ca="1">IF(B1164="","",股指期货基差分析!$N$11)</f>
        <v>-71.408500000000458</v>
      </c>
      <c r="H1164" s="5">
        <f ca="1">IF(B1164="","",股指期货基差分析!$L$11)</f>
        <v>15.737900000000081</v>
      </c>
      <c r="I1164" s="9">
        <f ca="1">IF(B1164="","",股指期货基差分析!$D$11)</f>
        <v>-19.923978315132629</v>
      </c>
      <c r="L1164" s="43"/>
      <c r="Q1164" s="11"/>
    </row>
    <row r="1165" spans="2:17" ht="15" customHeight="1" x14ac:dyDescent="0.2">
      <c r="B1165" s="8">
        <v>45219</v>
      </c>
      <c r="C1165" s="6">
        <f>IF(B1165="","",[1]!s_dq_close(股指期货基差分析!$E$5,$B1165))</f>
        <v>5423.6747999999998</v>
      </c>
      <c r="D1165" s="6">
        <f>IF(B1165="","",[1]!s_dq_close(股指期货基差分析!$E$6,$B1165))</f>
        <v>5430.4</v>
      </c>
      <c r="E1165" s="6">
        <f ca="1">RANK(F1165,F:F)+COUNTIF(F$2:F1165,F1165)-1</f>
        <v>157</v>
      </c>
      <c r="F1165" s="6">
        <f t="shared" si="19"/>
        <v>6.7251999999998588</v>
      </c>
      <c r="G1165" s="6">
        <f ca="1">IF(B1165="","",股指期货基差分析!$N$11)</f>
        <v>-71.408500000000458</v>
      </c>
      <c r="H1165" s="6">
        <f ca="1">IF(B1165="","",股指期货基差分析!$L$11)</f>
        <v>15.737900000000081</v>
      </c>
      <c r="I1165" s="10">
        <f ca="1">IF(B1165="","",股指期货基差分析!$D$11)</f>
        <v>-19.923978315132629</v>
      </c>
      <c r="L1165" s="43"/>
      <c r="Q1165" s="11"/>
    </row>
    <row r="1166" spans="2:17" ht="15" customHeight="1" x14ac:dyDescent="0.2">
      <c r="B1166" s="7">
        <v>45222</v>
      </c>
      <c r="C1166" s="5">
        <f>IF(B1166="","",[1]!s_dq_close(股指期货基差分析!$E$5,$B1166))</f>
        <v>5290.3343000000004</v>
      </c>
      <c r="D1166" s="5">
        <f>IF(B1166="","",[1]!s_dq_close(股指期货基差分析!$E$6,$B1166))</f>
        <v>5267</v>
      </c>
      <c r="E1166" s="5">
        <f ca="1">RANK(F1166,F:F)+COUNTIF(F$2:F1166,F1166)-1</f>
        <v>797</v>
      </c>
      <c r="F1166" s="5">
        <f t="shared" si="19"/>
        <v>-23.334300000000439</v>
      </c>
      <c r="G1166" s="5">
        <f ca="1">IF(B1166="","",股指期货基差分析!$N$11)</f>
        <v>-71.408500000000458</v>
      </c>
      <c r="H1166" s="5">
        <f ca="1">IF(B1166="","",股指期货基差分析!$L$11)</f>
        <v>15.737900000000081</v>
      </c>
      <c r="I1166" s="9">
        <f ca="1">IF(B1166="","",股指期货基差分析!$D$11)</f>
        <v>-19.923978315132629</v>
      </c>
      <c r="L1166" s="43"/>
      <c r="Q1166" s="11"/>
    </row>
    <row r="1167" spans="2:17" ht="15" customHeight="1" x14ac:dyDescent="0.2">
      <c r="B1167" s="8">
        <v>45223</v>
      </c>
      <c r="C1167" s="6">
        <f>IF(B1167="","",[1]!s_dq_close(股指期货基差分析!$E$5,$B1167))</f>
        <v>5352.0123000000003</v>
      </c>
      <c r="D1167" s="6">
        <f>IF(B1167="","",[1]!s_dq_close(股指期货基差分析!$E$6,$B1167))</f>
        <v>5315.8</v>
      </c>
      <c r="E1167" s="6">
        <f ca="1">RANK(F1167,F:F)+COUNTIF(F$2:F1167,F1167)-1</f>
        <v>970</v>
      </c>
      <c r="F1167" s="6">
        <f t="shared" si="19"/>
        <v>-36.212300000000141</v>
      </c>
      <c r="G1167" s="6">
        <f ca="1">IF(B1167="","",股指期货基差分析!$N$11)</f>
        <v>-71.408500000000458</v>
      </c>
      <c r="H1167" s="6">
        <f ca="1">IF(B1167="","",股指期货基差分析!$L$11)</f>
        <v>15.737900000000081</v>
      </c>
      <c r="I1167" s="10">
        <f ca="1">IF(B1167="","",股指期货基差分析!$D$11)</f>
        <v>-19.923978315132629</v>
      </c>
      <c r="L1167" s="43"/>
      <c r="Q1167" s="11"/>
    </row>
    <row r="1168" spans="2:17" ht="15" customHeight="1" x14ac:dyDescent="0.2">
      <c r="B1168" s="7">
        <v>45224</v>
      </c>
      <c r="C1168" s="5">
        <f>IF(B1168="","",[1]!s_dq_close(股指期货基差分析!$E$5,$B1168))</f>
        <v>5375.9983000000002</v>
      </c>
      <c r="D1168" s="5">
        <f>IF(B1168="","",[1]!s_dq_close(股指期货基差分析!$E$6,$B1168))</f>
        <v>5347.8</v>
      </c>
      <c r="E1168" s="5">
        <f ca="1">RANK(F1168,F:F)+COUNTIF(F$2:F1168,F1168)-1</f>
        <v>864</v>
      </c>
      <c r="F1168" s="5">
        <f t="shared" si="19"/>
        <v>-28.198300000000017</v>
      </c>
      <c r="G1168" s="5">
        <f ca="1">IF(B1168="","",股指期货基差分析!$N$11)</f>
        <v>-71.408500000000458</v>
      </c>
      <c r="H1168" s="5">
        <f ca="1">IF(B1168="","",股指期货基差分析!$L$11)</f>
        <v>15.737900000000081</v>
      </c>
      <c r="I1168" s="9">
        <f ca="1">IF(B1168="","",股指期货基差分析!$D$11)</f>
        <v>-19.923978315132629</v>
      </c>
      <c r="L1168" s="43"/>
      <c r="Q1168" s="11"/>
    </row>
    <row r="1169" spans="2:17" ht="15" customHeight="1" x14ac:dyDescent="0.2">
      <c r="B1169" s="8">
        <v>45225</v>
      </c>
      <c r="C1169" s="6">
        <f>IF(B1169="","",[1]!s_dq_close(股指期货基差分析!$E$5,$B1169))</f>
        <v>5398.9340000000002</v>
      </c>
      <c r="D1169" s="6">
        <f>IF(B1169="","",[1]!s_dq_close(股指期货基差分析!$E$6,$B1169))</f>
        <v>5379.4</v>
      </c>
      <c r="E1169" s="6">
        <f ca="1">RANK(F1169,F:F)+COUNTIF(F$2:F1169,F1169)-1</f>
        <v>742</v>
      </c>
      <c r="F1169" s="6">
        <f t="shared" si="19"/>
        <v>-19.53400000000056</v>
      </c>
      <c r="G1169" s="6">
        <f ca="1">IF(B1169="","",股指期货基差分析!$N$11)</f>
        <v>-71.408500000000458</v>
      </c>
      <c r="H1169" s="6">
        <f ca="1">IF(B1169="","",股指期货基差分析!$L$11)</f>
        <v>15.737900000000081</v>
      </c>
      <c r="I1169" s="10">
        <f ca="1">IF(B1169="","",股指期货基差分析!$D$11)</f>
        <v>-19.923978315132629</v>
      </c>
      <c r="L1169" s="43"/>
      <c r="Q1169" s="11"/>
    </row>
    <row r="1170" spans="2:17" ht="15" customHeight="1" x14ac:dyDescent="0.2">
      <c r="B1170" s="7">
        <v>45226</v>
      </c>
      <c r="C1170" s="5">
        <f>IF(B1170="","",[1]!s_dq_close(股指期货基差分析!$E$5,$B1170))</f>
        <v>5492.0273999999999</v>
      </c>
      <c r="D1170" s="5">
        <f>IF(B1170="","",[1]!s_dq_close(股指期货基差分析!$E$6,$B1170))</f>
        <v>5487</v>
      </c>
      <c r="E1170" s="5">
        <f ca="1">RANK(F1170,F:F)+COUNTIF(F$2:F1170,F1170)-1</f>
        <v>417</v>
      </c>
      <c r="F1170" s="5">
        <f t="shared" si="19"/>
        <v>-5.0273999999999432</v>
      </c>
      <c r="G1170" s="5">
        <f ca="1">IF(B1170="","",股指期货基差分析!$N$11)</f>
        <v>-71.408500000000458</v>
      </c>
      <c r="H1170" s="5">
        <f ca="1">IF(B1170="","",股指期货基差分析!$L$11)</f>
        <v>15.737900000000081</v>
      </c>
      <c r="I1170" s="9">
        <f ca="1">IF(B1170="","",股指期货基差分析!$D$11)</f>
        <v>-19.923978315132629</v>
      </c>
      <c r="L1170" s="43"/>
      <c r="Q1170" s="11"/>
    </row>
    <row r="1171" spans="2:17" ht="15" customHeight="1" x14ac:dyDescent="0.2">
      <c r="B1171" s="8">
        <v>45229</v>
      </c>
      <c r="C1171" s="6">
        <f>IF(B1171="","",[1]!s_dq_close(股指期货基差分析!$E$5,$B1171))</f>
        <v>5546.3881000000001</v>
      </c>
      <c r="D1171" s="6">
        <f>IF(B1171="","",[1]!s_dq_close(股指期货基差分析!$E$6,$B1171))</f>
        <v>5527.8</v>
      </c>
      <c r="E1171" s="6">
        <f ca="1">RANK(F1171,F:F)+COUNTIF(F$2:F1171,F1171)-1</f>
        <v>724</v>
      </c>
      <c r="F1171" s="6">
        <f t="shared" si="19"/>
        <v>-18.58809999999994</v>
      </c>
      <c r="G1171" s="6">
        <f ca="1">IF(B1171="","",股指期货基差分析!$N$11)</f>
        <v>-71.408500000000458</v>
      </c>
      <c r="H1171" s="6">
        <f ca="1">IF(B1171="","",股指期货基差分析!$L$11)</f>
        <v>15.737900000000081</v>
      </c>
      <c r="I1171" s="10">
        <f ca="1">IF(B1171="","",股指期货基差分析!$D$11)</f>
        <v>-19.923978315132629</v>
      </c>
      <c r="L1171" s="43"/>
      <c r="Q1171" s="11"/>
    </row>
    <row r="1172" spans="2:17" ht="15" customHeight="1" x14ac:dyDescent="0.2">
      <c r="B1172" s="7">
        <v>45230</v>
      </c>
      <c r="C1172" s="5">
        <f>IF(B1172="","",[1]!s_dq_close(股指期货基差分析!$E$5,$B1172))</f>
        <v>5528.2385000000004</v>
      </c>
      <c r="D1172" s="5">
        <f>IF(B1172="","",[1]!s_dq_close(股指期货基差分析!$E$6,$B1172))</f>
        <v>5515.4</v>
      </c>
      <c r="E1172" s="5">
        <f ca="1">RANK(F1172,F:F)+COUNTIF(F$2:F1172,F1172)-1</f>
        <v>611</v>
      </c>
      <c r="F1172" s="5">
        <f t="shared" si="19"/>
        <v>-12.838500000000749</v>
      </c>
      <c r="G1172" s="5">
        <f ca="1">IF(B1172="","",股指期货基差分析!$N$11)</f>
        <v>-71.408500000000458</v>
      </c>
      <c r="H1172" s="5">
        <f ca="1">IF(B1172="","",股指期货基差分析!$L$11)</f>
        <v>15.737900000000081</v>
      </c>
      <c r="I1172" s="9">
        <f ca="1">IF(B1172="","",股指期货基差分析!$D$11)</f>
        <v>-19.923978315132629</v>
      </c>
      <c r="L1172" s="43"/>
      <c r="Q1172" s="11"/>
    </row>
    <row r="1173" spans="2:17" ht="15" customHeight="1" x14ac:dyDescent="0.2">
      <c r="B1173" s="8">
        <v>45231</v>
      </c>
      <c r="C1173" s="6">
        <f>IF(B1173="","",[1]!s_dq_close(股指期货基差分析!$E$5,$B1173))</f>
        <v>5509.9661999999998</v>
      </c>
      <c r="D1173" s="6">
        <f>IF(B1173="","",[1]!s_dq_close(股指期货基差分析!$E$6,$B1173))</f>
        <v>5507.2</v>
      </c>
      <c r="E1173" s="6">
        <f ca="1">RANK(F1173,F:F)+COUNTIF(F$2:F1173,F1173)-1</f>
        <v>364</v>
      </c>
      <c r="F1173" s="6">
        <f t="shared" si="19"/>
        <v>-2.7662000000000262</v>
      </c>
      <c r="G1173" s="6">
        <f ca="1">IF(B1173="","",股指期货基差分析!$N$11)</f>
        <v>-71.408500000000458</v>
      </c>
      <c r="H1173" s="6">
        <f ca="1">IF(B1173="","",股指期货基差分析!$L$11)</f>
        <v>15.737900000000081</v>
      </c>
      <c r="I1173" s="10">
        <f ca="1">IF(B1173="","",股指期货基差分析!$D$11)</f>
        <v>-19.923978315132629</v>
      </c>
      <c r="L1173" s="43"/>
      <c r="Q1173" s="11"/>
    </row>
    <row r="1174" spans="2:17" ht="15" customHeight="1" x14ac:dyDescent="0.2">
      <c r="B1174" s="7">
        <v>45232</v>
      </c>
      <c r="C1174" s="5">
        <f>IF(B1174="","",[1]!s_dq_close(股指期货基差分析!$E$5,$B1174))</f>
        <v>5459.4516999999996</v>
      </c>
      <c r="D1174" s="5">
        <f>IF(B1174="","",[1]!s_dq_close(股指期货基差分析!$E$6,$B1174))</f>
        <v>5459.4</v>
      </c>
      <c r="E1174" s="5">
        <f ca="1">RANK(F1174,F:F)+COUNTIF(F$2:F1174,F1174)-1</f>
        <v>296</v>
      </c>
      <c r="F1174" s="5">
        <f t="shared" si="19"/>
        <v>-5.1699999999982538E-2</v>
      </c>
      <c r="G1174" s="5">
        <f ca="1">IF(B1174="","",股指期货基差分析!$N$11)</f>
        <v>-71.408500000000458</v>
      </c>
      <c r="H1174" s="5">
        <f ca="1">IF(B1174="","",股指期货基差分析!$L$11)</f>
        <v>15.737900000000081</v>
      </c>
      <c r="I1174" s="9">
        <f ca="1">IF(B1174="","",股指期货基差分析!$D$11)</f>
        <v>-19.923978315132629</v>
      </c>
      <c r="L1174" s="43"/>
      <c r="Q1174" s="11"/>
    </row>
    <row r="1175" spans="2:17" ht="15" customHeight="1" x14ac:dyDescent="0.2">
      <c r="B1175" s="8">
        <v>45233</v>
      </c>
      <c r="C1175" s="6">
        <f>IF(B1175="","",[1]!s_dq_close(股指期货基差分析!$E$5,$B1175))</f>
        <v>5510.357</v>
      </c>
      <c r="D1175" s="6">
        <f>IF(B1175="","",[1]!s_dq_close(股指期货基差分析!$E$6,$B1175))</f>
        <v>5502.8</v>
      </c>
      <c r="E1175" s="6">
        <f ca="1">RANK(F1175,F:F)+COUNTIF(F$2:F1175,F1175)-1</f>
        <v>490</v>
      </c>
      <c r="F1175" s="6">
        <f t="shared" si="19"/>
        <v>-7.556999999999789</v>
      </c>
      <c r="G1175" s="6">
        <f ca="1">IF(B1175="","",股指期货基差分析!$N$11)</f>
        <v>-71.408500000000458</v>
      </c>
      <c r="H1175" s="6">
        <f ca="1">IF(B1175="","",股指期货基差分析!$L$11)</f>
        <v>15.737900000000081</v>
      </c>
      <c r="I1175" s="10">
        <f ca="1">IF(B1175="","",股指期货基差分析!$D$11)</f>
        <v>-19.923978315132629</v>
      </c>
      <c r="L1175" s="43"/>
      <c r="Q1175" s="11"/>
    </row>
    <row r="1176" spans="2:17" ht="15" customHeight="1" x14ac:dyDescent="0.2">
      <c r="B1176" s="7">
        <v>45236</v>
      </c>
      <c r="C1176" s="5">
        <f>IF(B1176="","",[1]!s_dq_close(股指期货基差分析!$E$5,$B1176))</f>
        <v>5605.0621000000001</v>
      </c>
      <c r="D1176" s="5">
        <f>IF(B1176="","",[1]!s_dq_close(股指期货基差分析!$E$6,$B1176))</f>
        <v>5596</v>
      </c>
      <c r="E1176" s="5">
        <f ca="1">RANK(F1176,F:F)+COUNTIF(F$2:F1176,F1176)-1</f>
        <v>531</v>
      </c>
      <c r="F1176" s="5">
        <f t="shared" si="19"/>
        <v>-9.0621000000001004</v>
      </c>
      <c r="G1176" s="5">
        <f ca="1">IF(B1176="","",股指期货基差分析!$N$11)</f>
        <v>-71.408500000000458</v>
      </c>
      <c r="H1176" s="5">
        <f ca="1">IF(B1176="","",股指期货基差分析!$L$11)</f>
        <v>15.737900000000081</v>
      </c>
      <c r="I1176" s="9">
        <f ca="1">IF(B1176="","",股指期货基差分析!$D$11)</f>
        <v>-19.923978315132629</v>
      </c>
      <c r="L1176" s="43"/>
      <c r="Q1176" s="11"/>
    </row>
    <row r="1177" spans="2:17" ht="15" customHeight="1" x14ac:dyDescent="0.2">
      <c r="B1177" s="8">
        <v>45237</v>
      </c>
      <c r="C1177" s="6">
        <f>IF(B1177="","",[1]!s_dq_close(股指期货基差分析!$E$5,$B1177))</f>
        <v>5611.0982999999997</v>
      </c>
      <c r="D1177" s="6">
        <f>IF(B1177="","",[1]!s_dq_close(股指期货基差分析!$E$6,$B1177))</f>
        <v>5598</v>
      </c>
      <c r="E1177" s="6">
        <f ca="1">RANK(F1177,F:F)+COUNTIF(F$2:F1177,F1177)-1</f>
        <v>618</v>
      </c>
      <c r="F1177" s="6">
        <f t="shared" si="19"/>
        <v>-13.098299999999654</v>
      </c>
      <c r="G1177" s="6">
        <f ca="1">IF(B1177="","",股指期货基差分析!$N$11)</f>
        <v>-71.408500000000458</v>
      </c>
      <c r="H1177" s="6">
        <f ca="1">IF(B1177="","",股指期货基差分析!$L$11)</f>
        <v>15.737900000000081</v>
      </c>
      <c r="I1177" s="10">
        <f ca="1">IF(B1177="","",股指期货基差分析!$D$11)</f>
        <v>-19.923978315132629</v>
      </c>
      <c r="L1177" s="43"/>
      <c r="Q1177" s="11"/>
    </row>
    <row r="1178" spans="2:17" ht="15" customHeight="1" x14ac:dyDescent="0.2">
      <c r="B1178" s="7">
        <v>45238</v>
      </c>
      <c r="C1178" s="5">
        <f>IF(B1178="","",[1]!s_dq_close(股指期货基差分析!$E$5,$B1178))</f>
        <v>5608.0173000000004</v>
      </c>
      <c r="D1178" s="5">
        <f>IF(B1178="","",[1]!s_dq_close(股指期货基差分析!$E$6,$B1178))</f>
        <v>5593</v>
      </c>
      <c r="E1178" s="5">
        <f ca="1">RANK(F1178,F:F)+COUNTIF(F$2:F1178,F1178)-1</f>
        <v>660</v>
      </c>
      <c r="F1178" s="5">
        <f t="shared" si="19"/>
        <v>-15.017300000000432</v>
      </c>
      <c r="G1178" s="5">
        <f ca="1">IF(B1178="","",股指期货基差分析!$N$11)</f>
        <v>-71.408500000000458</v>
      </c>
      <c r="H1178" s="5">
        <f ca="1">IF(B1178="","",股指期货基差分析!$L$11)</f>
        <v>15.737900000000081</v>
      </c>
      <c r="I1178" s="9">
        <f ca="1">IF(B1178="","",股指期货基差分析!$D$11)</f>
        <v>-19.923978315132629</v>
      </c>
      <c r="L1178" s="43"/>
      <c r="Q1178" s="11"/>
    </row>
    <row r="1179" spans="2:17" ht="15" customHeight="1" x14ac:dyDescent="0.2">
      <c r="B1179" s="8">
        <v>45239</v>
      </c>
      <c r="C1179" s="6">
        <f>IF(B1179="","",[1]!s_dq_close(股指期货基差分析!$E$5,$B1179))</f>
        <v>5592.0568000000003</v>
      </c>
      <c r="D1179" s="6">
        <f>IF(B1179="","",[1]!s_dq_close(股指期货基差分析!$E$6,$B1179))</f>
        <v>5582.8</v>
      </c>
      <c r="E1179" s="6">
        <f ca="1">RANK(F1179,F:F)+COUNTIF(F$2:F1179,F1179)-1</f>
        <v>537</v>
      </c>
      <c r="F1179" s="6">
        <f t="shared" si="19"/>
        <v>-9.256800000000112</v>
      </c>
      <c r="G1179" s="6">
        <f ca="1">IF(B1179="","",股指期货基差分析!$N$11)</f>
        <v>-71.408500000000458</v>
      </c>
      <c r="H1179" s="6">
        <f ca="1">IF(B1179="","",股指期货基差分析!$L$11)</f>
        <v>15.737900000000081</v>
      </c>
      <c r="I1179" s="10">
        <f ca="1">IF(B1179="","",股指期货基差分析!$D$11)</f>
        <v>-19.923978315132629</v>
      </c>
      <c r="L1179" s="43"/>
      <c r="Q1179" s="11"/>
    </row>
    <row r="1180" spans="2:17" ht="15" customHeight="1" x14ac:dyDescent="0.2">
      <c r="B1180" s="7">
        <v>45240</v>
      </c>
      <c r="C1180" s="5">
        <f>IF(B1180="","",[1]!s_dq_close(股指期货基差分析!$E$5,$B1180))</f>
        <v>5573.0999000000002</v>
      </c>
      <c r="D1180" s="5">
        <f>IF(B1180="","",[1]!s_dq_close(股指期货基差分析!$E$6,$B1180))</f>
        <v>5561.2</v>
      </c>
      <c r="E1180" s="5">
        <f ca="1">RANK(F1180,F:F)+COUNTIF(F$2:F1180,F1180)-1</f>
        <v>595</v>
      </c>
      <c r="F1180" s="5">
        <f t="shared" si="19"/>
        <v>-11.899900000000343</v>
      </c>
      <c r="G1180" s="5">
        <f ca="1">IF(B1180="","",股指期货基差分析!$N$11)</f>
        <v>-71.408500000000458</v>
      </c>
      <c r="H1180" s="5">
        <f ca="1">IF(B1180="","",股指期货基差分析!$L$11)</f>
        <v>15.737900000000081</v>
      </c>
      <c r="I1180" s="9">
        <f ca="1">IF(B1180="","",股指期货基差分析!$D$11)</f>
        <v>-19.923978315132629</v>
      </c>
      <c r="L1180" s="43"/>
      <c r="Q1180" s="11"/>
    </row>
    <row r="1181" spans="2:17" ht="15" customHeight="1" x14ac:dyDescent="0.2">
      <c r="B1181" s="8">
        <v>45243</v>
      </c>
      <c r="C1181" s="6">
        <f>IF(B1181="","",[1]!s_dq_close(股指期货基差分析!$E$5,$B1181))</f>
        <v>5605.5688</v>
      </c>
      <c r="D1181" s="6">
        <f>IF(B1181="","",[1]!s_dq_close(股指期货基差分析!$E$6,$B1181))</f>
        <v>5590.6</v>
      </c>
      <c r="E1181" s="6">
        <f ca="1">RANK(F1181,F:F)+COUNTIF(F$2:F1181,F1181)-1</f>
        <v>657</v>
      </c>
      <c r="F1181" s="6">
        <f t="shared" si="19"/>
        <v>-14.968799999999646</v>
      </c>
      <c r="G1181" s="6">
        <f ca="1">IF(B1181="","",股指期货基差分析!$N$11)</f>
        <v>-71.408500000000458</v>
      </c>
      <c r="H1181" s="6">
        <f ca="1">IF(B1181="","",股指期货基差分析!$L$11)</f>
        <v>15.737900000000081</v>
      </c>
      <c r="I1181" s="10">
        <f ca="1">IF(B1181="","",股指期货基差分析!$D$11)</f>
        <v>-19.923978315132629</v>
      </c>
      <c r="L1181" s="43"/>
      <c r="Q1181" s="11"/>
    </row>
    <row r="1182" spans="2:17" ht="15" customHeight="1" x14ac:dyDescent="0.2">
      <c r="B1182" s="7">
        <v>45244</v>
      </c>
      <c r="C1182" s="5">
        <f>IF(B1182="","",[1]!s_dq_close(股指期货基差分析!$E$5,$B1182))</f>
        <v>5630.5533999999998</v>
      </c>
      <c r="D1182" s="5">
        <f>IF(B1182="","",[1]!s_dq_close(股指期货基差分析!$E$6,$B1182))</f>
        <v>5616.6</v>
      </c>
      <c r="E1182" s="5">
        <f ca="1">RANK(F1182,F:F)+COUNTIF(F$2:F1182,F1182)-1</f>
        <v>638</v>
      </c>
      <c r="F1182" s="5">
        <f t="shared" si="19"/>
        <v>-13.953399999999419</v>
      </c>
      <c r="G1182" s="5">
        <f ca="1">IF(B1182="","",股指期货基差分析!$N$11)</f>
        <v>-71.408500000000458</v>
      </c>
      <c r="H1182" s="5">
        <f ca="1">IF(B1182="","",股指期货基差分析!$L$11)</f>
        <v>15.737900000000081</v>
      </c>
      <c r="I1182" s="9">
        <f ca="1">IF(B1182="","",股指期货基差分析!$D$11)</f>
        <v>-19.923978315132629</v>
      </c>
      <c r="L1182" s="43"/>
      <c r="Q1182" s="11"/>
    </row>
    <row r="1183" spans="2:17" ht="15" customHeight="1" x14ac:dyDescent="0.2">
      <c r="B1183" s="8">
        <v>45245</v>
      </c>
      <c r="C1183" s="6">
        <f>IF(B1183="","",[1]!s_dq_close(股指期货基差分析!$E$5,$B1183))</f>
        <v>5664.6170000000002</v>
      </c>
      <c r="D1183" s="6">
        <f>IF(B1183="","",[1]!s_dq_close(股指期货基差分析!$E$6,$B1183))</f>
        <v>5655.6</v>
      </c>
      <c r="E1183" s="6">
        <f ca="1">RANK(F1183,F:F)+COUNTIF(F$2:F1183,F1183)-1</f>
        <v>530</v>
      </c>
      <c r="F1183" s="6">
        <f t="shared" si="19"/>
        <v>-9.0169999999998254</v>
      </c>
      <c r="G1183" s="6">
        <f ca="1">IF(B1183="","",股指期货基差分析!$N$11)</f>
        <v>-71.408500000000458</v>
      </c>
      <c r="H1183" s="6">
        <f ca="1">IF(B1183="","",股指期货基差分析!$L$11)</f>
        <v>15.737900000000081</v>
      </c>
      <c r="I1183" s="10">
        <f ca="1">IF(B1183="","",股指期货基差分析!$D$11)</f>
        <v>-19.923978315132629</v>
      </c>
      <c r="L1183" s="43"/>
      <c r="Q1183" s="11"/>
    </row>
    <row r="1184" spans="2:17" ht="15" customHeight="1" x14ac:dyDescent="0.2">
      <c r="B1184" s="7">
        <v>45246</v>
      </c>
      <c r="C1184" s="5">
        <f>IF(B1184="","",[1]!s_dq_close(股指期货基差分析!$E$5,$B1184))</f>
        <v>5609.3607000000002</v>
      </c>
      <c r="D1184" s="5">
        <f>IF(B1184="","",[1]!s_dq_close(股指期货基差分析!$E$6,$B1184))</f>
        <v>5614.8</v>
      </c>
      <c r="E1184" s="5">
        <f ca="1">RANK(F1184,F:F)+COUNTIF(F$2:F1184,F1184)-1</f>
        <v>179</v>
      </c>
      <c r="F1184" s="5">
        <f t="shared" si="19"/>
        <v>5.4393000000000029</v>
      </c>
      <c r="G1184" s="5">
        <f ca="1">IF(B1184="","",股指期货基差分析!$N$11)</f>
        <v>-71.408500000000458</v>
      </c>
      <c r="H1184" s="5">
        <f ca="1">IF(B1184="","",股指期货基差分析!$L$11)</f>
        <v>15.737900000000081</v>
      </c>
      <c r="I1184" s="9">
        <f ca="1">IF(B1184="","",股指期货基差分析!$D$11)</f>
        <v>-19.923978315132629</v>
      </c>
      <c r="L1184" s="43"/>
      <c r="Q1184" s="11"/>
    </row>
    <row r="1185" spans="2:17" ht="15" customHeight="1" x14ac:dyDescent="0.2">
      <c r="B1185" s="8">
        <v>45247</v>
      </c>
      <c r="C1185" s="6">
        <f>IF(B1185="","",[1]!s_dq_close(股指期货基差分析!$E$5,$B1185))</f>
        <v>5631.4233000000004</v>
      </c>
      <c r="D1185" s="6">
        <f>IF(B1185="","",[1]!s_dq_close(股指期货基差分析!$E$6,$B1185))</f>
        <v>5619.2</v>
      </c>
      <c r="E1185" s="6">
        <f ca="1">RANK(F1185,F:F)+COUNTIF(F$2:F1185,F1185)-1</f>
        <v>600</v>
      </c>
      <c r="F1185" s="6">
        <f t="shared" si="19"/>
        <v>-12.223300000000563</v>
      </c>
      <c r="G1185" s="6">
        <f ca="1">IF(B1185="","",股指期货基差分析!$N$11)</f>
        <v>-71.408500000000458</v>
      </c>
      <c r="H1185" s="6">
        <f ca="1">IF(B1185="","",股指期货基差分析!$L$11)</f>
        <v>15.737900000000081</v>
      </c>
      <c r="I1185" s="10">
        <f ca="1">IF(B1185="","",股指期货基差分析!$D$11)</f>
        <v>-19.923978315132629</v>
      </c>
      <c r="L1185" s="43"/>
      <c r="Q1185" s="11"/>
    </row>
    <row r="1186" spans="2:17" ht="15" customHeight="1" x14ac:dyDescent="0.2">
      <c r="B1186" s="7">
        <v>45250</v>
      </c>
      <c r="C1186" s="5">
        <f>IF(B1186="","",[1]!s_dq_close(股指期货基差分析!$E$5,$B1186))</f>
        <v>5659.7727000000004</v>
      </c>
      <c r="D1186" s="5">
        <f>IF(B1186="","",[1]!s_dq_close(股指期货基差分析!$E$6,$B1186))</f>
        <v>5633</v>
      </c>
      <c r="E1186" s="5">
        <f ca="1">RANK(F1186,F:F)+COUNTIF(F$2:F1186,F1186)-1</f>
        <v>838</v>
      </c>
      <c r="F1186" s="5">
        <f t="shared" si="19"/>
        <v>-26.772700000000441</v>
      </c>
      <c r="G1186" s="5">
        <f ca="1">IF(B1186="","",股指期货基差分析!$N$11)</f>
        <v>-71.408500000000458</v>
      </c>
      <c r="H1186" s="5">
        <f ca="1">IF(B1186="","",股指期货基差分析!$L$11)</f>
        <v>15.737900000000081</v>
      </c>
      <c r="I1186" s="9">
        <f ca="1">IF(B1186="","",股指期货基差分析!$D$11)</f>
        <v>-19.923978315132629</v>
      </c>
      <c r="L1186" s="43"/>
      <c r="Q1186" s="11"/>
    </row>
    <row r="1187" spans="2:17" ht="15" customHeight="1" x14ac:dyDescent="0.2">
      <c r="B1187" s="8">
        <v>45251</v>
      </c>
      <c r="C1187" s="6">
        <f>IF(B1187="","",[1]!s_dq_close(股指期货基差分析!$E$5,$B1187))</f>
        <v>5641.0843999999997</v>
      </c>
      <c r="D1187" s="6">
        <f>IF(B1187="","",[1]!s_dq_close(股指期货基差分析!$E$6,$B1187))</f>
        <v>5617.2</v>
      </c>
      <c r="E1187" s="6">
        <f ca="1">RANK(F1187,F:F)+COUNTIF(F$2:F1187,F1187)-1</f>
        <v>800</v>
      </c>
      <c r="F1187" s="6">
        <f t="shared" si="19"/>
        <v>-23.884399999999914</v>
      </c>
      <c r="G1187" s="6">
        <f ca="1">IF(B1187="","",股指期货基差分析!$N$11)</f>
        <v>-71.408500000000458</v>
      </c>
      <c r="H1187" s="6">
        <f ca="1">IF(B1187="","",股指期货基差分析!$L$11)</f>
        <v>15.737900000000081</v>
      </c>
      <c r="I1187" s="10">
        <f ca="1">IF(B1187="","",股指期货基差分析!$D$11)</f>
        <v>-19.923978315132629</v>
      </c>
      <c r="L1187" s="43"/>
      <c r="Q1187" s="11"/>
    </row>
    <row r="1188" spans="2:17" ht="15" customHeight="1" x14ac:dyDescent="0.2">
      <c r="B1188" s="7">
        <v>45252</v>
      </c>
      <c r="C1188" s="5">
        <f>IF(B1188="","",[1]!s_dq_close(股指期货基差分析!$E$5,$B1188))</f>
        <v>5572.8986000000004</v>
      </c>
      <c r="D1188" s="5">
        <f>IF(B1188="","",[1]!s_dq_close(股指期货基差分析!$E$6,$B1188))</f>
        <v>5550.8</v>
      </c>
      <c r="E1188" s="5">
        <f ca="1">RANK(F1188,F:F)+COUNTIF(F$2:F1188,F1188)-1</f>
        <v>788</v>
      </c>
      <c r="F1188" s="5">
        <f t="shared" si="19"/>
        <v>-22.09860000000026</v>
      </c>
      <c r="G1188" s="5">
        <f ca="1">IF(B1188="","",股指期货基差分析!$N$11)</f>
        <v>-71.408500000000458</v>
      </c>
      <c r="H1188" s="5">
        <f ca="1">IF(B1188="","",股指期货基差分析!$L$11)</f>
        <v>15.737900000000081</v>
      </c>
      <c r="I1188" s="9">
        <f ca="1">IF(B1188="","",股指期货基差分析!$D$11)</f>
        <v>-19.923978315132629</v>
      </c>
      <c r="L1188" s="43"/>
      <c r="Q1188" s="11"/>
    </row>
    <row r="1189" spans="2:17" ht="15" customHeight="1" x14ac:dyDescent="0.2">
      <c r="B1189" s="8">
        <v>45253</v>
      </c>
      <c r="C1189" s="6">
        <f>IF(B1189="","",[1]!s_dq_close(股指期货基差分析!$E$5,$B1189))</f>
        <v>5622.9890999999998</v>
      </c>
      <c r="D1189" s="6">
        <f>IF(B1189="","",[1]!s_dq_close(股指期货基差分析!$E$6,$B1189))</f>
        <v>5612.4</v>
      </c>
      <c r="E1189" s="6">
        <f ca="1">RANK(F1189,F:F)+COUNTIF(F$2:F1189,F1189)-1</f>
        <v>564</v>
      </c>
      <c r="F1189" s="6">
        <f t="shared" si="19"/>
        <v>-10.589100000000144</v>
      </c>
      <c r="G1189" s="6">
        <f ca="1">IF(B1189="","",股指期货基差分析!$N$11)</f>
        <v>-71.408500000000458</v>
      </c>
      <c r="H1189" s="6">
        <f ca="1">IF(B1189="","",股指期货基差分析!$L$11)</f>
        <v>15.737900000000081</v>
      </c>
      <c r="I1189" s="10">
        <f ca="1">IF(B1189="","",股指期货基差分析!$D$11)</f>
        <v>-19.923978315132629</v>
      </c>
      <c r="L1189" s="43"/>
      <c r="Q1189" s="11"/>
    </row>
    <row r="1190" spans="2:17" ht="15" customHeight="1" x14ac:dyDescent="0.2">
      <c r="B1190" s="7">
        <v>45254</v>
      </c>
      <c r="C1190" s="5">
        <f>IF(B1190="","",[1]!s_dq_close(股指期货基差分析!$E$5,$B1190))</f>
        <v>5570.4205000000002</v>
      </c>
      <c r="D1190" s="5">
        <f>IF(B1190="","",[1]!s_dq_close(股指期货基差分析!$E$6,$B1190))</f>
        <v>5550.8</v>
      </c>
      <c r="E1190" s="5">
        <f ca="1">RANK(F1190,F:F)+COUNTIF(F$2:F1190,F1190)-1</f>
        <v>744</v>
      </c>
      <c r="F1190" s="5">
        <f t="shared" si="19"/>
        <v>-19.620499999999993</v>
      </c>
      <c r="G1190" s="5">
        <f ca="1">IF(B1190="","",股指期货基差分析!$N$11)</f>
        <v>-71.408500000000458</v>
      </c>
      <c r="H1190" s="5">
        <f ca="1">IF(B1190="","",股指期货基差分析!$L$11)</f>
        <v>15.737900000000081</v>
      </c>
      <c r="I1190" s="9">
        <f ca="1">IF(B1190="","",股指期货基差分析!$D$11)</f>
        <v>-19.923978315132629</v>
      </c>
      <c r="L1190" s="43"/>
      <c r="Q1190" s="11"/>
    </row>
    <row r="1191" spans="2:17" ht="15" customHeight="1" x14ac:dyDescent="0.2">
      <c r="B1191" s="8">
        <v>45257</v>
      </c>
      <c r="C1191" s="6">
        <f>IF(B1191="","",[1]!s_dq_close(股指期货基差分析!$E$5,$B1191))</f>
        <v>5566.5069000000003</v>
      </c>
      <c r="D1191" s="6">
        <f>IF(B1191="","",[1]!s_dq_close(股指期货基差分析!$E$6,$B1191))</f>
        <v>5546.4</v>
      </c>
      <c r="E1191" s="6">
        <f ca="1">RANK(F1191,F:F)+COUNTIF(F$2:F1191,F1191)-1</f>
        <v>753</v>
      </c>
      <c r="F1191" s="6">
        <f t="shared" si="19"/>
        <v>-20.106900000000678</v>
      </c>
      <c r="G1191" s="6">
        <f ca="1">IF(B1191="","",股指期货基差分析!$N$11)</f>
        <v>-71.408500000000458</v>
      </c>
      <c r="H1191" s="6">
        <f ca="1">IF(B1191="","",股指期货基差分析!$L$11)</f>
        <v>15.737900000000081</v>
      </c>
      <c r="I1191" s="10">
        <f ca="1">IF(B1191="","",股指期货基差分析!$D$11)</f>
        <v>-19.923978315132629</v>
      </c>
      <c r="L1191" s="43"/>
      <c r="Q1191" s="11"/>
    </row>
    <row r="1192" spans="2:17" ht="15" customHeight="1" x14ac:dyDescent="0.2">
      <c r="B1192" s="7">
        <v>45258</v>
      </c>
      <c r="C1192" s="5">
        <f>IF(B1192="","",[1]!s_dq_close(股指期货基差分析!$E$5,$B1192))</f>
        <v>5591.4955</v>
      </c>
      <c r="D1192" s="5">
        <f>IF(B1192="","",[1]!s_dq_close(股指期货基差分析!$E$6,$B1192))</f>
        <v>5561.8</v>
      </c>
      <c r="E1192" s="5">
        <f ca="1">RANK(F1192,F:F)+COUNTIF(F$2:F1192,F1192)-1</f>
        <v>889</v>
      </c>
      <c r="F1192" s="5">
        <f t="shared" si="19"/>
        <v>-29.695499999999811</v>
      </c>
      <c r="G1192" s="5">
        <f ca="1">IF(B1192="","",股指期货基差分析!$N$11)</f>
        <v>-71.408500000000458</v>
      </c>
      <c r="H1192" s="5">
        <f ca="1">IF(B1192="","",股指期货基差分析!$L$11)</f>
        <v>15.737900000000081</v>
      </c>
      <c r="I1192" s="9">
        <f ca="1">IF(B1192="","",股指期货基差分析!$D$11)</f>
        <v>-19.923978315132629</v>
      </c>
      <c r="L1192" s="43"/>
      <c r="Q1192" s="11"/>
    </row>
    <row r="1193" spans="2:17" ht="15" customHeight="1" x14ac:dyDescent="0.2">
      <c r="B1193" s="8">
        <v>45259</v>
      </c>
      <c r="C1193" s="6">
        <f>IF(B1193="","",[1]!s_dq_close(股指期货基差分析!$E$5,$B1193))</f>
        <v>5553.3348999999998</v>
      </c>
      <c r="D1193" s="6">
        <f>IF(B1193="","",[1]!s_dq_close(股指期货基差分析!$E$6,$B1193))</f>
        <v>5539.2</v>
      </c>
      <c r="E1193" s="6">
        <f ca="1">RANK(F1193,F:F)+COUNTIF(F$2:F1193,F1193)-1</f>
        <v>643</v>
      </c>
      <c r="F1193" s="6">
        <f t="shared" si="19"/>
        <v>-14.134900000000016</v>
      </c>
      <c r="G1193" s="6">
        <f ca="1">IF(B1193="","",股指期货基差分析!$N$11)</f>
        <v>-71.408500000000458</v>
      </c>
      <c r="H1193" s="6">
        <f ca="1">IF(B1193="","",股指期货基差分析!$L$11)</f>
        <v>15.737900000000081</v>
      </c>
      <c r="I1193" s="10">
        <f ca="1">IF(B1193="","",股指期货基差分析!$D$11)</f>
        <v>-19.923978315132629</v>
      </c>
      <c r="L1193" s="43"/>
      <c r="Q1193" s="11"/>
    </row>
    <row r="1194" spans="2:17" ht="15" customHeight="1" x14ac:dyDescent="0.2">
      <c r="B1194" s="7">
        <v>45260</v>
      </c>
      <c r="C1194" s="5">
        <f>IF(B1194="","",[1]!s_dq_close(股指期货基差分析!$E$5,$B1194))</f>
        <v>5545.0504000000001</v>
      </c>
      <c r="D1194" s="5">
        <f>IF(B1194="","",[1]!s_dq_close(股指期货基差分析!$E$6,$B1194))</f>
        <v>5518.2</v>
      </c>
      <c r="E1194" s="5">
        <f ca="1">RANK(F1194,F:F)+COUNTIF(F$2:F1194,F1194)-1</f>
        <v>840</v>
      </c>
      <c r="F1194" s="5">
        <f t="shared" si="19"/>
        <v>-26.850400000000263</v>
      </c>
      <c r="G1194" s="5">
        <f ca="1">IF(B1194="","",股指期货基差分析!$N$11)</f>
        <v>-71.408500000000458</v>
      </c>
      <c r="H1194" s="5">
        <f ca="1">IF(B1194="","",股指期货基差分析!$L$11)</f>
        <v>15.737900000000081</v>
      </c>
      <c r="I1194" s="9">
        <f ca="1">IF(B1194="","",股指期货基差分析!$D$11)</f>
        <v>-19.923978315132629</v>
      </c>
      <c r="L1194" s="43"/>
      <c r="Q1194" s="11"/>
    </row>
    <row r="1195" spans="2:17" ht="15" customHeight="1" x14ac:dyDescent="0.2">
      <c r="B1195" s="8">
        <v>45261</v>
      </c>
      <c r="C1195" s="6">
        <f>IF(B1195="","",[1]!s_dq_close(股指期货基差分析!$E$5,$B1195))</f>
        <v>5566.8689000000004</v>
      </c>
      <c r="D1195" s="6">
        <f>IF(B1195="","",[1]!s_dq_close(股指期货基差分析!$E$6,$B1195))</f>
        <v>5536</v>
      </c>
      <c r="E1195" s="6">
        <f ca="1">RANK(F1195,F:F)+COUNTIF(F$2:F1195,F1195)-1</f>
        <v>900</v>
      </c>
      <c r="F1195" s="6">
        <f t="shared" si="19"/>
        <v>-30.868900000000394</v>
      </c>
      <c r="G1195" s="6">
        <f ca="1">IF(B1195="","",股指期货基差分析!$N$11)</f>
        <v>-71.408500000000458</v>
      </c>
      <c r="H1195" s="6">
        <f ca="1">IF(B1195="","",股指期货基差分析!$L$11)</f>
        <v>15.737900000000081</v>
      </c>
      <c r="I1195" s="10">
        <f ca="1">IF(B1195="","",股指期货基差分析!$D$11)</f>
        <v>-19.923978315132629</v>
      </c>
      <c r="L1195" s="43"/>
      <c r="Q1195" s="11"/>
    </row>
    <row r="1196" spans="2:17" ht="15" customHeight="1" x14ac:dyDescent="0.2">
      <c r="B1196" s="7">
        <v>45264</v>
      </c>
      <c r="C1196" s="5">
        <f>IF(B1196="","",[1]!s_dq_close(股指期货基差分析!$E$5,$B1196))</f>
        <v>5559.0681999999997</v>
      </c>
      <c r="D1196" s="5">
        <f>IF(B1196="","",[1]!s_dq_close(股指期货基差分析!$E$6,$B1196))</f>
        <v>5522.2</v>
      </c>
      <c r="E1196" s="5">
        <f ca="1">RANK(F1196,F:F)+COUNTIF(F$2:F1196,F1196)-1</f>
        <v>974</v>
      </c>
      <c r="F1196" s="5">
        <f t="shared" si="19"/>
        <v>-36.868199999999888</v>
      </c>
      <c r="G1196" s="5">
        <f ca="1">IF(B1196="","",股指期货基差分析!$N$11)</f>
        <v>-71.408500000000458</v>
      </c>
      <c r="H1196" s="5">
        <f ca="1">IF(B1196="","",股指期货基差分析!$L$11)</f>
        <v>15.737900000000081</v>
      </c>
      <c r="I1196" s="9">
        <f ca="1">IF(B1196="","",股指期货基差分析!$D$11)</f>
        <v>-19.923978315132629</v>
      </c>
      <c r="L1196" s="43"/>
      <c r="Q1196" s="11"/>
    </row>
    <row r="1197" spans="2:17" ht="15" customHeight="1" x14ac:dyDescent="0.2">
      <c r="B1197" s="8">
        <v>45265</v>
      </c>
      <c r="C1197" s="6">
        <f>IF(B1197="","",[1]!s_dq_close(股指期货基差分析!$E$5,$B1197))</f>
        <v>5460.4088000000002</v>
      </c>
      <c r="D1197" s="6">
        <f>IF(B1197="","",[1]!s_dq_close(股指期货基差分析!$E$6,$B1197))</f>
        <v>5436.2</v>
      </c>
      <c r="E1197" s="6">
        <f ca="1">RANK(F1197,F:F)+COUNTIF(F$2:F1197,F1197)-1</f>
        <v>805</v>
      </c>
      <c r="F1197" s="6">
        <f t="shared" si="19"/>
        <v>-24.208800000000338</v>
      </c>
      <c r="G1197" s="6">
        <f ca="1">IF(B1197="","",股指期货基差分析!$N$11)</f>
        <v>-71.408500000000458</v>
      </c>
      <c r="H1197" s="6">
        <f ca="1">IF(B1197="","",股指期货基差分析!$L$11)</f>
        <v>15.737900000000081</v>
      </c>
      <c r="I1197" s="10">
        <f ca="1">IF(B1197="","",股指期货基差分析!$D$11)</f>
        <v>-19.923978315132629</v>
      </c>
      <c r="L1197" s="43"/>
      <c r="Q1197" s="11"/>
    </row>
    <row r="1198" spans="2:17" ht="15" customHeight="1" x14ac:dyDescent="0.2">
      <c r="B1198" s="7">
        <v>45266</v>
      </c>
      <c r="C1198" s="5">
        <f>IF(B1198="","",[1]!s_dq_close(股指期货基差分析!$E$5,$B1198))</f>
        <v>5481.8239999999996</v>
      </c>
      <c r="D1198" s="5">
        <f>IF(B1198="","",[1]!s_dq_close(股指期货基差分析!$E$6,$B1198))</f>
        <v>5467.4</v>
      </c>
      <c r="E1198" s="5">
        <f ca="1">RANK(F1198,F:F)+COUNTIF(F$2:F1198,F1198)-1</f>
        <v>652</v>
      </c>
      <c r="F1198" s="5">
        <f t="shared" si="19"/>
        <v>-14.423999999999978</v>
      </c>
      <c r="G1198" s="5">
        <f ca="1">IF(B1198="","",股指期货基差分析!$N$11)</f>
        <v>-71.408500000000458</v>
      </c>
      <c r="H1198" s="5">
        <f ca="1">IF(B1198="","",股指期货基差分析!$L$11)</f>
        <v>15.737900000000081</v>
      </c>
      <c r="I1198" s="9">
        <f ca="1">IF(B1198="","",股指期货基差分析!$D$11)</f>
        <v>-19.923978315132629</v>
      </c>
      <c r="L1198" s="43"/>
      <c r="Q1198" s="11"/>
    </row>
    <row r="1199" spans="2:17" ht="15" customHeight="1" x14ac:dyDescent="0.2">
      <c r="B1199" s="8">
        <v>45267</v>
      </c>
      <c r="C1199" s="6">
        <f>IF(B1199="","",[1]!s_dq_close(股指期货基差分析!$E$5,$B1199))</f>
        <v>5481.1355000000003</v>
      </c>
      <c r="D1199" s="6">
        <f>IF(B1199="","",[1]!s_dq_close(股指期货基差分析!$E$6,$B1199))</f>
        <v>5477</v>
      </c>
      <c r="E1199" s="6">
        <f ca="1">RANK(F1199,F:F)+COUNTIF(F$2:F1199,F1199)-1</f>
        <v>390</v>
      </c>
      <c r="F1199" s="6">
        <f t="shared" si="19"/>
        <v>-4.1355000000003201</v>
      </c>
      <c r="G1199" s="6">
        <f ca="1">IF(B1199="","",股指期货基差分析!$N$11)</f>
        <v>-71.408500000000458</v>
      </c>
      <c r="H1199" s="6">
        <f ca="1">IF(B1199="","",股指期货基差分析!$L$11)</f>
        <v>15.737900000000081</v>
      </c>
      <c r="I1199" s="10">
        <f ca="1">IF(B1199="","",股指期货基差分析!$D$11)</f>
        <v>-19.923978315132629</v>
      </c>
      <c r="L1199" s="43"/>
      <c r="Q1199" s="11"/>
    </row>
    <row r="1200" spans="2:17" ht="15" customHeight="1" x14ac:dyDescent="0.2">
      <c r="B1200" s="7">
        <v>45268</v>
      </c>
      <c r="C1200" s="5">
        <f>IF(B1200="","",[1]!s_dq_close(股指期货基差分析!$E$5,$B1200))</f>
        <v>5497.9897000000001</v>
      </c>
      <c r="D1200" s="5">
        <f>IF(B1200="","",[1]!s_dq_close(股指期货基差分析!$E$6,$B1200))</f>
        <v>5498.4</v>
      </c>
      <c r="E1200" s="5">
        <f ca="1">RANK(F1200,F:F)+COUNTIF(F$2:F1200,F1200)-1</f>
        <v>282</v>
      </c>
      <c r="F1200" s="5">
        <f t="shared" si="19"/>
        <v>0.4102999999995518</v>
      </c>
      <c r="G1200" s="5">
        <f ca="1">IF(B1200="","",股指期货基差分析!$N$11)</f>
        <v>-71.408500000000458</v>
      </c>
      <c r="H1200" s="5">
        <f ca="1">IF(B1200="","",股指期货基差分析!$L$11)</f>
        <v>15.737900000000081</v>
      </c>
      <c r="I1200" s="9">
        <f ca="1">IF(B1200="","",股指期货基差分析!$D$11)</f>
        <v>-19.923978315132629</v>
      </c>
      <c r="L1200" s="43"/>
      <c r="Q1200" s="11"/>
    </row>
    <row r="1201" spans="2:17" ht="15" customHeight="1" x14ac:dyDescent="0.2">
      <c r="B1201" s="8">
        <v>45271</v>
      </c>
      <c r="C1201" s="6">
        <f>IF(B1201="","",[1]!s_dq_close(股指期货基差分析!$E$5,$B1201))</f>
        <v>5564.8537999999999</v>
      </c>
      <c r="D1201" s="6">
        <f>IF(B1201="","",[1]!s_dq_close(股指期货基差分析!$E$6,$B1201))</f>
        <v>5558.2</v>
      </c>
      <c r="E1201" s="6">
        <f ca="1">RANK(F1201,F:F)+COUNTIF(F$2:F1201,F1201)-1</f>
        <v>461</v>
      </c>
      <c r="F1201" s="6">
        <f t="shared" si="19"/>
        <v>-6.6538000000000466</v>
      </c>
      <c r="G1201" s="6">
        <f ca="1">IF(B1201="","",股指期货基差分析!$N$11)</f>
        <v>-71.408500000000458</v>
      </c>
      <c r="H1201" s="6">
        <f ca="1">IF(B1201="","",股指期货基差分析!$L$11)</f>
        <v>15.737900000000081</v>
      </c>
      <c r="I1201" s="10">
        <f ca="1">IF(B1201="","",股指期货基差分析!$D$11)</f>
        <v>-19.923978315132629</v>
      </c>
      <c r="L1201" s="43"/>
      <c r="Q1201" s="11"/>
    </row>
    <row r="1202" spans="2:17" ht="15" customHeight="1" x14ac:dyDescent="0.2">
      <c r="B1202" s="7">
        <v>45272</v>
      </c>
      <c r="C1202" s="5">
        <f>IF(B1202="","",[1]!s_dq_close(股指期货基差分析!$E$5,$B1202))</f>
        <v>5566.1778000000004</v>
      </c>
      <c r="D1202" s="5">
        <f>IF(B1202="","",[1]!s_dq_close(股指期货基差分析!$E$6,$B1202))</f>
        <v>5570.2</v>
      </c>
      <c r="E1202" s="5">
        <f ca="1">RANK(F1202,F:F)+COUNTIF(F$2:F1202,F1202)-1</f>
        <v>205</v>
      </c>
      <c r="F1202" s="5">
        <f t="shared" si="19"/>
        <v>4.0221999999994296</v>
      </c>
      <c r="G1202" s="5">
        <f ca="1">IF(B1202="","",股指期货基差分析!$N$11)</f>
        <v>-71.408500000000458</v>
      </c>
      <c r="H1202" s="5">
        <f ca="1">IF(B1202="","",股指期货基差分析!$L$11)</f>
        <v>15.737900000000081</v>
      </c>
      <c r="I1202" s="9">
        <f ca="1">IF(B1202="","",股指期货基差分析!$D$11)</f>
        <v>-19.923978315132629</v>
      </c>
      <c r="L1202" s="43"/>
      <c r="Q1202" s="11"/>
    </row>
    <row r="1203" spans="2:17" ht="15" customHeight="1" x14ac:dyDescent="0.2">
      <c r="B1203" s="8">
        <v>45273</v>
      </c>
      <c r="C1203" s="6">
        <f>IF(B1203="","",[1]!s_dq_close(股指期货基差分析!$E$5,$B1203))</f>
        <v>5507.5128000000004</v>
      </c>
      <c r="D1203" s="6">
        <f>IF(B1203="","",[1]!s_dq_close(股指期货基差分析!$E$6,$B1203))</f>
        <v>5513.6</v>
      </c>
      <c r="E1203" s="6">
        <f ca="1">RANK(F1203,F:F)+COUNTIF(F$2:F1203,F1203)-1</f>
        <v>168</v>
      </c>
      <c r="F1203" s="6">
        <f t="shared" si="19"/>
        <v>6.0871999999999389</v>
      </c>
      <c r="G1203" s="6">
        <f ca="1">IF(B1203="","",股指期货基差分析!$N$11)</f>
        <v>-71.408500000000458</v>
      </c>
      <c r="H1203" s="6">
        <f ca="1">IF(B1203="","",股指期货基差分析!$L$11)</f>
        <v>15.737900000000081</v>
      </c>
      <c r="I1203" s="10">
        <f ca="1">IF(B1203="","",股指期货基差分析!$D$11)</f>
        <v>-19.923978315132629</v>
      </c>
      <c r="L1203" s="43"/>
      <c r="Q1203" s="11"/>
    </row>
    <row r="1204" spans="2:17" ht="15" customHeight="1" x14ac:dyDescent="0.2">
      <c r="B1204" s="7">
        <v>45274</v>
      </c>
      <c r="C1204" s="5">
        <f>IF(B1204="","",[1]!s_dq_close(股指期货基差分析!$E$5,$B1204))</f>
        <v>5489.3266999999996</v>
      </c>
      <c r="D1204" s="5">
        <f>IF(B1204="","",[1]!s_dq_close(股指期货基差分析!$E$6,$B1204))</f>
        <v>5500</v>
      </c>
      <c r="E1204" s="5">
        <f ca="1">RANK(F1204,F:F)+COUNTIF(F$2:F1204,F1204)-1</f>
        <v>105</v>
      </c>
      <c r="F1204" s="5">
        <f t="shared" si="19"/>
        <v>10.673300000000381</v>
      </c>
      <c r="G1204" s="5">
        <f ca="1">IF(B1204="","",股指期货基差分析!$N$11)</f>
        <v>-71.408500000000458</v>
      </c>
      <c r="H1204" s="5">
        <f ca="1">IF(B1204="","",股指期货基差分析!$L$11)</f>
        <v>15.737900000000081</v>
      </c>
      <c r="I1204" s="9">
        <f ca="1">IF(B1204="","",股指期货基差分析!$D$11)</f>
        <v>-19.923978315132629</v>
      </c>
      <c r="L1204" s="43"/>
      <c r="Q1204" s="11"/>
    </row>
    <row r="1205" spans="2:17" ht="15" customHeight="1" x14ac:dyDescent="0.2">
      <c r="B1205" s="8">
        <v>45275</v>
      </c>
      <c r="C1205" s="6">
        <f>IF(B1205="","",[1]!s_dq_close(股指期货基差分析!$E$5,$B1205))</f>
        <v>5449.7864</v>
      </c>
      <c r="D1205" s="6">
        <f>IF(B1205="","",[1]!s_dq_close(股指期货基差分析!$E$6,$B1205))</f>
        <v>5456</v>
      </c>
      <c r="E1205" s="6">
        <f ca="1">RANK(F1205,F:F)+COUNTIF(F$2:F1205,F1205)-1</f>
        <v>165</v>
      </c>
      <c r="F1205" s="6">
        <f t="shared" si="19"/>
        <v>6.2136000000000422</v>
      </c>
      <c r="G1205" s="6">
        <f ca="1">IF(B1205="","",股指期货基差分析!$N$11)</f>
        <v>-71.408500000000458</v>
      </c>
      <c r="H1205" s="6">
        <f ca="1">IF(B1205="","",股指期货基差分析!$L$11)</f>
        <v>15.737900000000081</v>
      </c>
      <c r="I1205" s="10">
        <f ca="1">IF(B1205="","",股指期货基差分析!$D$11)</f>
        <v>-19.923978315132629</v>
      </c>
      <c r="L1205" s="43"/>
      <c r="Q1205" s="11"/>
    </row>
    <row r="1206" spans="2:17" ht="15" customHeight="1" x14ac:dyDescent="0.2">
      <c r="B1206" s="7">
        <v>45278</v>
      </c>
      <c r="C1206" s="5">
        <f>IF(B1206="","",[1]!s_dq_close(股指期货基差分析!$E$5,$B1206))</f>
        <v>5385.2701999999999</v>
      </c>
      <c r="D1206" s="5">
        <f>IF(B1206="","",[1]!s_dq_close(股指期货基差分析!$E$6,$B1206))</f>
        <v>5383.8</v>
      </c>
      <c r="E1206" s="5">
        <f ca="1">RANK(F1206,F:F)+COUNTIF(F$2:F1206,F1206)-1</f>
        <v>333</v>
      </c>
      <c r="F1206" s="5">
        <f t="shared" si="19"/>
        <v>-1.4701999999997497</v>
      </c>
      <c r="G1206" s="5">
        <f ca="1">IF(B1206="","",股指期货基差分析!$N$11)</f>
        <v>-71.408500000000458</v>
      </c>
      <c r="H1206" s="5">
        <f ca="1">IF(B1206="","",股指期货基差分析!$L$11)</f>
        <v>15.737900000000081</v>
      </c>
      <c r="I1206" s="9">
        <f ca="1">IF(B1206="","",股指期货基差分析!$D$11)</f>
        <v>-19.923978315132629</v>
      </c>
      <c r="L1206" s="43"/>
      <c r="Q1206" s="11"/>
    </row>
    <row r="1207" spans="2:17" ht="15" customHeight="1" x14ac:dyDescent="0.2">
      <c r="B1207" s="8">
        <v>45279</v>
      </c>
      <c r="C1207" s="6">
        <f>IF(B1207="","",[1]!s_dq_close(股指期货基差分析!$E$5,$B1207))</f>
        <v>5379.8734999999997</v>
      </c>
      <c r="D1207" s="6">
        <f>IF(B1207="","",[1]!s_dq_close(股指期货基差分析!$E$6,$B1207))</f>
        <v>5373.2</v>
      </c>
      <c r="E1207" s="6">
        <f ca="1">RANK(F1207,F:F)+COUNTIF(F$2:F1207,F1207)-1</f>
        <v>463</v>
      </c>
      <c r="F1207" s="6">
        <f t="shared" si="19"/>
        <v>-6.6734999999998763</v>
      </c>
      <c r="G1207" s="6">
        <f ca="1">IF(B1207="","",股指期货基差分析!$N$11)</f>
        <v>-71.408500000000458</v>
      </c>
      <c r="H1207" s="6">
        <f ca="1">IF(B1207="","",股指期货基差分析!$L$11)</f>
        <v>15.737900000000081</v>
      </c>
      <c r="I1207" s="10">
        <f ca="1">IF(B1207="","",股指期货基差分析!$D$11)</f>
        <v>-19.923978315132629</v>
      </c>
      <c r="L1207" s="43"/>
      <c r="Q1207" s="11"/>
    </row>
    <row r="1208" spans="2:17" ht="15" customHeight="1" x14ac:dyDescent="0.2">
      <c r="B1208" s="7">
        <v>45280</v>
      </c>
      <c r="C1208" s="5">
        <f>IF(B1208="","",[1]!s_dq_close(股指期货基差分析!$E$5,$B1208))</f>
        <v>5309.2865000000002</v>
      </c>
      <c r="D1208" s="5">
        <f>IF(B1208="","",[1]!s_dq_close(股指期货基差分析!$E$6,$B1208))</f>
        <v>5320.2</v>
      </c>
      <c r="E1208" s="5">
        <f ca="1">RANK(F1208,F:F)+COUNTIF(F$2:F1208,F1208)-1</f>
        <v>100</v>
      </c>
      <c r="F1208" s="5">
        <f t="shared" si="19"/>
        <v>10.913499999999658</v>
      </c>
      <c r="G1208" s="5">
        <f ca="1">IF(B1208="","",股指期货基差分析!$N$11)</f>
        <v>-71.408500000000458</v>
      </c>
      <c r="H1208" s="5">
        <f ca="1">IF(B1208="","",股指期货基差分析!$L$11)</f>
        <v>15.737900000000081</v>
      </c>
      <c r="I1208" s="9">
        <f ca="1">IF(B1208="","",股指期货基差分析!$D$11)</f>
        <v>-19.923978315132629</v>
      </c>
      <c r="L1208" s="43"/>
      <c r="Q1208" s="11"/>
    </row>
    <row r="1209" spans="2:17" ht="15" customHeight="1" x14ac:dyDescent="0.2">
      <c r="B1209" s="8">
        <v>45281</v>
      </c>
      <c r="C1209" s="6">
        <f>IF(B1209="","",[1]!s_dq_close(股指期货基差分析!$E$5,$B1209))</f>
        <v>5338.7619999999997</v>
      </c>
      <c r="D1209" s="6">
        <f>IF(B1209="","",[1]!s_dq_close(股指期货基差分析!$E$6,$B1209))</f>
        <v>5335.6</v>
      </c>
      <c r="E1209" s="6">
        <f ca="1">RANK(F1209,F:F)+COUNTIF(F$2:F1209,F1209)-1</f>
        <v>376</v>
      </c>
      <c r="F1209" s="6">
        <f t="shared" si="19"/>
        <v>-3.1619999999993524</v>
      </c>
      <c r="G1209" s="6">
        <f ca="1">IF(B1209="","",股指期货基差分析!$N$11)</f>
        <v>-71.408500000000458</v>
      </c>
      <c r="H1209" s="6">
        <f ca="1">IF(B1209="","",股指期货基差分析!$L$11)</f>
        <v>15.737900000000081</v>
      </c>
      <c r="I1209" s="10">
        <f ca="1">IF(B1209="","",股指期货基差分析!$D$11)</f>
        <v>-19.923978315132629</v>
      </c>
      <c r="L1209" s="43"/>
      <c r="Q1209" s="11"/>
    </row>
    <row r="1210" spans="2:17" ht="15" customHeight="1" x14ac:dyDescent="0.2">
      <c r="B1210" s="7">
        <v>45282</v>
      </c>
      <c r="C1210" s="5">
        <f>IF(B1210="","",[1]!s_dq_close(股指期货基差分析!$E$5,$B1210))</f>
        <v>5311.6902</v>
      </c>
      <c r="D1210" s="5">
        <f>IF(B1210="","",[1]!s_dq_close(股指期货基差分析!$E$6,$B1210))</f>
        <v>5322.4</v>
      </c>
      <c r="E1210" s="5">
        <f ca="1">RANK(F1210,F:F)+COUNTIF(F$2:F1210,F1210)-1</f>
        <v>104</v>
      </c>
      <c r="F1210" s="5">
        <f t="shared" si="19"/>
        <v>10.709799999999632</v>
      </c>
      <c r="G1210" s="5">
        <f ca="1">IF(B1210="","",股指期货基差分析!$N$11)</f>
        <v>-71.408500000000458</v>
      </c>
      <c r="H1210" s="5">
        <f ca="1">IF(B1210="","",股指期货基差分析!$L$11)</f>
        <v>15.737900000000081</v>
      </c>
      <c r="I1210" s="9">
        <f ca="1">IF(B1210="","",股指期货基差分析!$D$11)</f>
        <v>-19.923978315132629</v>
      </c>
      <c r="L1210" s="43"/>
      <c r="Q1210" s="11"/>
    </row>
    <row r="1211" spans="2:17" ht="15" customHeight="1" x14ac:dyDescent="0.2">
      <c r="B1211" s="8">
        <v>45285</v>
      </c>
      <c r="C1211" s="6">
        <f>IF(B1211="","",[1]!s_dq_close(股指期货基差分析!$E$5,$B1211))</f>
        <v>5315.3746000000001</v>
      </c>
      <c r="D1211" s="6">
        <f>IF(B1211="","",[1]!s_dq_close(股指期货基差分析!$E$6,$B1211))</f>
        <v>5316.2</v>
      </c>
      <c r="E1211" s="6">
        <f ca="1">RANK(F1211,F:F)+COUNTIF(F$2:F1211,F1211)-1</f>
        <v>274</v>
      </c>
      <c r="F1211" s="6">
        <f t="shared" si="19"/>
        <v>0.82539999999971769</v>
      </c>
      <c r="G1211" s="6">
        <f ca="1">IF(B1211="","",股指期货基差分析!$N$11)</f>
        <v>-71.408500000000458</v>
      </c>
      <c r="H1211" s="6">
        <f ca="1">IF(B1211="","",股指期货基差分析!$L$11)</f>
        <v>15.737900000000081</v>
      </c>
      <c r="I1211" s="10">
        <f ca="1">IF(B1211="","",股指期货基差分析!$D$11)</f>
        <v>-19.923978315132629</v>
      </c>
      <c r="L1211" s="43"/>
      <c r="Q1211" s="11"/>
    </row>
    <row r="1212" spans="2:17" ht="15" customHeight="1" x14ac:dyDescent="0.2">
      <c r="B1212" s="7">
        <v>45286</v>
      </c>
      <c r="C1212" s="5">
        <f>IF(B1212="","",[1]!s_dq_close(股指期货基差分析!$E$5,$B1212))</f>
        <v>5258.2840999999999</v>
      </c>
      <c r="D1212" s="5">
        <f>IF(B1212="","",[1]!s_dq_close(股指期货基差分析!$E$6,$B1212))</f>
        <v>5270.4</v>
      </c>
      <c r="E1212" s="5">
        <f ca="1">RANK(F1212,F:F)+COUNTIF(F$2:F1212,F1212)-1</f>
        <v>86</v>
      </c>
      <c r="F1212" s="5">
        <f t="shared" si="19"/>
        <v>12.115899999999783</v>
      </c>
      <c r="G1212" s="5">
        <f ca="1">IF(B1212="","",股指期货基差分析!$N$11)</f>
        <v>-71.408500000000458</v>
      </c>
      <c r="H1212" s="5">
        <f ca="1">IF(B1212="","",股指期货基差分析!$L$11)</f>
        <v>15.737900000000081</v>
      </c>
      <c r="I1212" s="9">
        <f ca="1">IF(B1212="","",股指期货基差分析!$D$11)</f>
        <v>-19.923978315132629</v>
      </c>
      <c r="L1212" s="43"/>
      <c r="Q1212" s="11"/>
    </row>
    <row r="1213" spans="2:17" ht="15" customHeight="1" x14ac:dyDescent="0.2">
      <c r="B1213" s="8">
        <v>45287</v>
      </c>
      <c r="C1213" s="6">
        <f>IF(B1213="","",[1]!s_dq_close(股指期货基差分析!$E$5,$B1213))</f>
        <v>5285.5300999999999</v>
      </c>
      <c r="D1213" s="6">
        <f>IF(B1213="","",[1]!s_dq_close(股指期货基差分析!$E$6,$B1213))</f>
        <v>5282.8</v>
      </c>
      <c r="E1213" s="6">
        <f ca="1">RANK(F1213,F:F)+COUNTIF(F$2:F1213,F1213)-1</f>
        <v>363</v>
      </c>
      <c r="F1213" s="6">
        <f t="shared" si="19"/>
        <v>-2.7300999999997657</v>
      </c>
      <c r="G1213" s="6">
        <f ca="1">IF(B1213="","",股指期货基差分析!$N$11)</f>
        <v>-71.408500000000458</v>
      </c>
      <c r="H1213" s="6">
        <f ca="1">IF(B1213="","",股指期货基差分析!$L$11)</f>
        <v>15.737900000000081</v>
      </c>
      <c r="I1213" s="10">
        <f ca="1">IF(B1213="","",股指期货基差分析!$D$11)</f>
        <v>-19.923978315132629</v>
      </c>
      <c r="L1213" s="43"/>
      <c r="Q1213" s="11"/>
    </row>
    <row r="1214" spans="2:17" ht="15" customHeight="1" x14ac:dyDescent="0.2">
      <c r="B1214" s="7">
        <v>45288</v>
      </c>
      <c r="C1214" s="5">
        <f>IF(B1214="","",[1]!s_dq_close(股指期货基差分析!$E$5,$B1214))</f>
        <v>5382.7965999999997</v>
      </c>
      <c r="D1214" s="5">
        <f>IF(B1214="","",[1]!s_dq_close(股指期货基差分析!$E$6,$B1214))</f>
        <v>5388</v>
      </c>
      <c r="E1214" s="5">
        <f ca="1">RANK(F1214,F:F)+COUNTIF(F$2:F1214,F1214)-1</f>
        <v>184</v>
      </c>
      <c r="F1214" s="5">
        <f t="shared" si="19"/>
        <v>5.2034000000003289</v>
      </c>
      <c r="G1214" s="5">
        <f ca="1">IF(B1214="","",股指期货基差分析!$N$11)</f>
        <v>-71.408500000000458</v>
      </c>
      <c r="H1214" s="5">
        <f ca="1">IF(B1214="","",股指期货基差分析!$L$11)</f>
        <v>15.737900000000081</v>
      </c>
      <c r="I1214" s="9">
        <f ca="1">IF(B1214="","",股指期货基差分析!$D$11)</f>
        <v>-19.923978315132629</v>
      </c>
      <c r="L1214" s="43"/>
      <c r="Q1214" s="11"/>
    </row>
    <row r="1215" spans="2:17" ht="15" customHeight="1" x14ac:dyDescent="0.2">
      <c r="B1215" s="8">
        <v>45289</v>
      </c>
      <c r="C1215" s="6">
        <f>IF(B1215="","",[1]!s_dq_close(股指期货基差分析!$E$5,$B1215))</f>
        <v>5429.2287999999999</v>
      </c>
      <c r="D1215" s="6">
        <f>IF(B1215="","",[1]!s_dq_close(股指期货基差分析!$E$6,$B1215))</f>
        <v>5431.8</v>
      </c>
      <c r="E1215" s="6">
        <f ca="1">RANK(F1215,F:F)+COUNTIF(F$2:F1215,F1215)-1</f>
        <v>248</v>
      </c>
      <c r="F1215" s="6">
        <f t="shared" si="19"/>
        <v>2.5712000000003172</v>
      </c>
      <c r="G1215" s="6">
        <f ca="1">IF(B1215="","",股指期货基差分析!$N$11)</f>
        <v>-71.408500000000458</v>
      </c>
      <c r="H1215" s="6">
        <f ca="1">IF(B1215="","",股指期货基差分析!$L$11)</f>
        <v>15.737900000000081</v>
      </c>
      <c r="I1215" s="10">
        <f ca="1">IF(B1215="","",股指期货基差分析!$D$11)</f>
        <v>-19.923978315132629</v>
      </c>
      <c r="L1215" s="43"/>
      <c r="Q1215" s="11"/>
    </row>
    <row r="1216" spans="2:17" ht="15" customHeight="1" x14ac:dyDescent="0.2">
      <c r="B1216" s="7">
        <v>45293</v>
      </c>
      <c r="C1216" s="5">
        <f>IF(B1216="","",[1]!s_dq_close(股指期货基差分析!$E$5,$B1216))</f>
        <v>5409.4553999999998</v>
      </c>
      <c r="D1216" s="5">
        <f>IF(B1216="","",[1]!s_dq_close(股指期货基差分析!$E$6,$B1216))</f>
        <v>5394.2</v>
      </c>
      <c r="E1216" s="5">
        <f ca="1">RANK(F1216,F:F)+COUNTIF(F$2:F1216,F1216)-1</f>
        <v>664</v>
      </c>
      <c r="F1216" s="5">
        <f t="shared" si="19"/>
        <v>-15.255400000000009</v>
      </c>
      <c r="G1216" s="5">
        <f ca="1">IF(B1216="","",股指期货基差分析!$N$11)</f>
        <v>-71.408500000000458</v>
      </c>
      <c r="H1216" s="5">
        <f ca="1">IF(B1216="","",股指期货基差分析!$L$11)</f>
        <v>15.737900000000081</v>
      </c>
      <c r="I1216" s="9">
        <f ca="1">IF(B1216="","",股指期货基差分析!$D$11)</f>
        <v>-19.923978315132629</v>
      </c>
      <c r="L1216" s="43"/>
      <c r="Q1216" s="11"/>
    </row>
    <row r="1217" spans="2:17" ht="15" customHeight="1" x14ac:dyDescent="0.2">
      <c r="B1217" s="8">
        <v>45294</v>
      </c>
      <c r="C1217" s="6">
        <f>IF(B1217="","",[1]!s_dq_close(股指期货基差分析!$E$5,$B1217))</f>
        <v>5401.3950000000004</v>
      </c>
      <c r="D1217" s="6">
        <f>IF(B1217="","",[1]!s_dq_close(股指期货基差分析!$E$6,$B1217))</f>
        <v>5388.6</v>
      </c>
      <c r="E1217" s="6">
        <f ca="1">RANK(F1217,F:F)+COUNTIF(F$2:F1217,F1217)-1</f>
        <v>609</v>
      </c>
      <c r="F1217" s="6">
        <f t="shared" si="19"/>
        <v>-12.795000000000073</v>
      </c>
      <c r="G1217" s="6">
        <f ca="1">IF(B1217="","",股指期货基差分析!$N$11)</f>
        <v>-71.408500000000458</v>
      </c>
      <c r="H1217" s="6">
        <f ca="1">IF(B1217="","",股指期货基差分析!$L$11)</f>
        <v>15.737900000000081</v>
      </c>
      <c r="I1217" s="10">
        <f ca="1">IF(B1217="","",股指期货基差分析!$D$11)</f>
        <v>-19.923978315132629</v>
      </c>
      <c r="L1217" s="43"/>
      <c r="Q1217" s="11"/>
    </row>
    <row r="1218" spans="2:17" ht="15" customHeight="1" x14ac:dyDescent="0.2">
      <c r="B1218" s="7">
        <v>45295</v>
      </c>
      <c r="C1218" s="5">
        <f>IF(B1218="","",[1]!s_dq_close(股指期货基差分析!$E$5,$B1218))</f>
        <v>5355.3216000000002</v>
      </c>
      <c r="D1218" s="5">
        <f>IF(B1218="","",[1]!s_dq_close(股指期货基差分析!$E$6,$B1218))</f>
        <v>5347.8</v>
      </c>
      <c r="E1218" s="5">
        <f ca="1">RANK(F1218,F:F)+COUNTIF(F$2:F1218,F1218)-1</f>
        <v>489</v>
      </c>
      <c r="F1218" s="5">
        <f t="shared" ref="F1218:F1281" si="20">IF(B1218="","",D1218-C1218)</f>
        <v>-7.5216000000000349</v>
      </c>
      <c r="G1218" s="5">
        <f ca="1">IF(B1218="","",股指期货基差分析!$N$11)</f>
        <v>-71.408500000000458</v>
      </c>
      <c r="H1218" s="5">
        <f ca="1">IF(B1218="","",股指期货基差分析!$L$11)</f>
        <v>15.737900000000081</v>
      </c>
      <c r="I1218" s="9">
        <f ca="1">IF(B1218="","",股指期货基差分析!$D$11)</f>
        <v>-19.923978315132629</v>
      </c>
      <c r="L1218" s="43"/>
      <c r="Q1218" s="11"/>
    </row>
    <row r="1219" spans="2:17" ht="15" customHeight="1" x14ac:dyDescent="0.2">
      <c r="B1219" s="8">
        <v>45296</v>
      </c>
      <c r="C1219" s="6">
        <f>IF(B1219="","",[1]!s_dq_close(股指期货基差分析!$E$5,$B1219))</f>
        <v>5281.8711000000003</v>
      </c>
      <c r="D1219" s="6">
        <f>IF(B1219="","",[1]!s_dq_close(股指期货基差分析!$E$6,$B1219))</f>
        <v>5282.2</v>
      </c>
      <c r="E1219" s="6">
        <f ca="1">RANK(F1219,F:F)+COUNTIF(F$2:F1219,F1219)-1</f>
        <v>285</v>
      </c>
      <c r="F1219" s="6">
        <f t="shared" si="20"/>
        <v>0.32889999999952124</v>
      </c>
      <c r="G1219" s="6">
        <f ca="1">IF(B1219="","",股指期货基差分析!$N$11)</f>
        <v>-71.408500000000458</v>
      </c>
      <c r="H1219" s="6">
        <f ca="1">IF(B1219="","",股指期货基差分析!$L$11)</f>
        <v>15.737900000000081</v>
      </c>
      <c r="I1219" s="10">
        <f ca="1">IF(B1219="","",股指期货基差分析!$D$11)</f>
        <v>-19.923978315132629</v>
      </c>
      <c r="L1219" s="43"/>
      <c r="Q1219" s="11"/>
    </row>
    <row r="1220" spans="2:17" ht="15" customHeight="1" x14ac:dyDescent="0.2">
      <c r="B1220" s="7">
        <v>45299</v>
      </c>
      <c r="C1220" s="5">
        <f>IF(B1220="","",[1]!s_dq_close(股指期货基差分析!$E$5,$B1220))</f>
        <v>5167.6997000000001</v>
      </c>
      <c r="D1220" s="5">
        <f>IF(B1220="","",[1]!s_dq_close(股指期货基差分析!$E$6,$B1220))</f>
        <v>5130.6000000000004</v>
      </c>
      <c r="E1220" s="5">
        <f ca="1">RANK(F1220,F:F)+COUNTIF(F$2:F1220,F1220)-1</f>
        <v>978</v>
      </c>
      <c r="F1220" s="5">
        <f t="shared" si="20"/>
        <v>-37.099699999999757</v>
      </c>
      <c r="G1220" s="5">
        <f ca="1">IF(B1220="","",股指期货基差分析!$N$11)</f>
        <v>-71.408500000000458</v>
      </c>
      <c r="H1220" s="5">
        <f ca="1">IF(B1220="","",股指期货基差分析!$L$11)</f>
        <v>15.737900000000081</v>
      </c>
      <c r="I1220" s="9">
        <f ca="1">IF(B1220="","",股指期货基差分析!$D$11)</f>
        <v>-19.923978315132629</v>
      </c>
      <c r="L1220" s="43"/>
      <c r="Q1220" s="11"/>
    </row>
    <row r="1221" spans="2:17" ht="15" customHeight="1" x14ac:dyDescent="0.2">
      <c r="B1221" s="8">
        <v>45300</v>
      </c>
      <c r="C1221" s="6">
        <f>IF(B1221="","",[1]!s_dq_close(股指期货基差分析!$E$5,$B1221))</f>
        <v>5180.6530000000002</v>
      </c>
      <c r="D1221" s="6">
        <f>IF(B1221="","",[1]!s_dq_close(股指期货基差分析!$E$6,$B1221))</f>
        <v>5155</v>
      </c>
      <c r="E1221" s="6">
        <f ca="1">RANK(F1221,F:F)+COUNTIF(F$2:F1221,F1221)-1</f>
        <v>825</v>
      </c>
      <c r="F1221" s="6">
        <f t="shared" si="20"/>
        <v>-25.653000000000247</v>
      </c>
      <c r="G1221" s="6">
        <f ca="1">IF(B1221="","",股指期货基差分析!$N$11)</f>
        <v>-71.408500000000458</v>
      </c>
      <c r="H1221" s="6">
        <f ca="1">IF(B1221="","",股指期货基差分析!$L$11)</f>
        <v>15.737900000000081</v>
      </c>
      <c r="I1221" s="10">
        <f ca="1">IF(B1221="","",股指期货基差分析!$D$11)</f>
        <v>-19.923978315132629</v>
      </c>
      <c r="L1221" s="43"/>
      <c r="Q1221" s="11"/>
    </row>
    <row r="1222" spans="2:17" ht="15" customHeight="1" x14ac:dyDescent="0.2">
      <c r="B1222" s="7">
        <v>45301</v>
      </c>
      <c r="C1222" s="5">
        <f>IF(B1222="","",[1]!s_dq_close(股指期货基差分析!$E$5,$B1222))</f>
        <v>5158.0784000000003</v>
      </c>
      <c r="D1222" s="5">
        <f>IF(B1222="","",[1]!s_dq_close(股指期货基差分析!$E$6,$B1222))</f>
        <v>5138.8</v>
      </c>
      <c r="E1222" s="5">
        <f ca="1">RANK(F1222,F:F)+COUNTIF(F$2:F1222,F1222)-1</f>
        <v>734</v>
      </c>
      <c r="F1222" s="5">
        <f t="shared" si="20"/>
        <v>-19.278400000000147</v>
      </c>
      <c r="G1222" s="5">
        <f ca="1">IF(B1222="","",股指期货基差分析!$N$11)</f>
        <v>-71.408500000000458</v>
      </c>
      <c r="H1222" s="5">
        <f ca="1">IF(B1222="","",股指期货基差分析!$L$11)</f>
        <v>15.737900000000081</v>
      </c>
      <c r="I1222" s="9">
        <f ca="1">IF(B1222="","",股指期货基差分析!$D$11)</f>
        <v>-19.923978315132629</v>
      </c>
      <c r="L1222" s="43"/>
      <c r="Q1222" s="11"/>
    </row>
    <row r="1223" spans="2:17" ht="15" customHeight="1" x14ac:dyDescent="0.2">
      <c r="B1223" s="8">
        <v>45302</v>
      </c>
      <c r="C1223" s="6">
        <f>IF(B1223="","",[1]!s_dq_close(股指期货基差分析!$E$5,$B1223))</f>
        <v>5223.8633</v>
      </c>
      <c r="D1223" s="6">
        <f>IF(B1223="","",[1]!s_dq_close(股指期货基差分析!$E$6,$B1223))</f>
        <v>5209.6000000000004</v>
      </c>
      <c r="E1223" s="6">
        <f ca="1">RANK(F1223,F:F)+COUNTIF(F$2:F1223,F1223)-1</f>
        <v>650</v>
      </c>
      <c r="F1223" s="6">
        <f t="shared" si="20"/>
        <v>-14.263299999999617</v>
      </c>
      <c r="G1223" s="6">
        <f ca="1">IF(B1223="","",股指期货基差分析!$N$11)</f>
        <v>-71.408500000000458</v>
      </c>
      <c r="H1223" s="6">
        <f ca="1">IF(B1223="","",股指期货基差分析!$L$11)</f>
        <v>15.737900000000081</v>
      </c>
      <c r="I1223" s="10">
        <f ca="1">IF(B1223="","",股指期货基差分析!$D$11)</f>
        <v>-19.923978315132629</v>
      </c>
      <c r="L1223" s="43"/>
      <c r="Q1223" s="11"/>
    </row>
    <row r="1224" spans="2:17" ht="15" customHeight="1" x14ac:dyDescent="0.2">
      <c r="B1224" s="7">
        <v>45303</v>
      </c>
      <c r="C1224" s="5">
        <f>IF(B1224="","",[1]!s_dq_close(股指期货基差分析!$E$5,$B1224))</f>
        <v>5206.1779999999999</v>
      </c>
      <c r="D1224" s="5">
        <f>IF(B1224="","",[1]!s_dq_close(股指期货基差分析!$E$6,$B1224))</f>
        <v>5188.6000000000004</v>
      </c>
      <c r="E1224" s="5">
        <f ca="1">RANK(F1224,F:F)+COUNTIF(F$2:F1224,F1224)-1</f>
        <v>711</v>
      </c>
      <c r="F1224" s="5">
        <f t="shared" si="20"/>
        <v>-17.57799999999952</v>
      </c>
      <c r="G1224" s="5">
        <f ca="1">IF(B1224="","",股指期货基差分析!$N$11)</f>
        <v>-71.408500000000458</v>
      </c>
      <c r="H1224" s="5">
        <f ca="1">IF(B1224="","",股指期货基差分析!$L$11)</f>
        <v>15.737900000000081</v>
      </c>
      <c r="I1224" s="9">
        <f ca="1">IF(B1224="","",股指期货基差分析!$D$11)</f>
        <v>-19.923978315132629</v>
      </c>
      <c r="L1224" s="43"/>
      <c r="Q1224" s="11"/>
    </row>
    <row r="1225" spans="2:17" ht="15" customHeight="1" x14ac:dyDescent="0.2">
      <c r="B1225" s="8">
        <v>45306</v>
      </c>
      <c r="C1225" s="6">
        <f>IF(B1225="","",[1]!s_dq_close(股指期货基差分析!$E$5,$B1225))</f>
        <v>5193.2956000000004</v>
      </c>
      <c r="D1225" s="6">
        <f>IF(B1225="","",[1]!s_dq_close(股指期货基差分析!$E$6,$B1225))</f>
        <v>5178.2</v>
      </c>
      <c r="E1225" s="6">
        <f ca="1">RANK(F1225,F:F)+COUNTIF(F$2:F1225,F1225)-1</f>
        <v>661</v>
      </c>
      <c r="F1225" s="6">
        <f t="shared" si="20"/>
        <v>-15.095600000000559</v>
      </c>
      <c r="G1225" s="6">
        <f ca="1">IF(B1225="","",股指期货基差分析!$N$11)</f>
        <v>-71.408500000000458</v>
      </c>
      <c r="H1225" s="6">
        <f ca="1">IF(B1225="","",股指期货基差分析!$L$11)</f>
        <v>15.737900000000081</v>
      </c>
      <c r="I1225" s="10">
        <f ca="1">IF(B1225="","",股指期货基差分析!$D$11)</f>
        <v>-19.923978315132629</v>
      </c>
      <c r="L1225" s="43"/>
      <c r="Q1225" s="11"/>
    </row>
    <row r="1226" spans="2:17" ht="15" customHeight="1" x14ac:dyDescent="0.2">
      <c r="B1226" s="7">
        <v>45307</v>
      </c>
      <c r="C1226" s="5">
        <f>IF(B1226="","",[1]!s_dq_close(股指期货基差分析!$E$5,$B1226))</f>
        <v>5190.3975</v>
      </c>
      <c r="D1226" s="5">
        <f>IF(B1226="","",[1]!s_dq_close(股指期货基差分析!$E$6,$B1226))</f>
        <v>5173.3999999999996</v>
      </c>
      <c r="E1226" s="5">
        <f ca="1">RANK(F1226,F:F)+COUNTIF(F$2:F1226,F1226)-1</f>
        <v>698</v>
      </c>
      <c r="F1226" s="5">
        <f t="shared" si="20"/>
        <v>-16.9975000000004</v>
      </c>
      <c r="G1226" s="5">
        <f ca="1">IF(B1226="","",股指期货基差分析!$N$11)</f>
        <v>-71.408500000000458</v>
      </c>
      <c r="H1226" s="5">
        <f ca="1">IF(B1226="","",股指期货基差分析!$L$11)</f>
        <v>15.737900000000081</v>
      </c>
      <c r="I1226" s="9">
        <f ca="1">IF(B1226="","",股指期货基差分析!$D$11)</f>
        <v>-19.923978315132629</v>
      </c>
      <c r="L1226" s="43"/>
      <c r="Q1226" s="11"/>
    </row>
    <row r="1227" spans="2:17" ht="15" customHeight="1" x14ac:dyDescent="0.2">
      <c r="B1227" s="8">
        <v>45308</v>
      </c>
      <c r="C1227" s="6">
        <f>IF(B1227="","",[1]!s_dq_close(股指期货基差分析!$E$5,$B1227))</f>
        <v>5061.5394999999999</v>
      </c>
      <c r="D1227" s="6">
        <f>IF(B1227="","",[1]!s_dq_close(股指期货基差分析!$E$6,$B1227))</f>
        <v>5017.8</v>
      </c>
      <c r="E1227" s="6">
        <f ca="1">RANK(F1227,F:F)+COUNTIF(F$2:F1227,F1227)-1</f>
        <v>1040</v>
      </c>
      <c r="F1227" s="6">
        <f t="shared" si="20"/>
        <v>-43.73949999999968</v>
      </c>
      <c r="G1227" s="6">
        <f ca="1">IF(B1227="","",股指期货基差分析!$N$11)</f>
        <v>-71.408500000000458</v>
      </c>
      <c r="H1227" s="6">
        <f ca="1">IF(B1227="","",股指期货基差分析!$L$11)</f>
        <v>15.737900000000081</v>
      </c>
      <c r="I1227" s="10">
        <f ca="1">IF(B1227="","",股指期货基差分析!$D$11)</f>
        <v>-19.923978315132629</v>
      </c>
      <c r="L1227" s="43"/>
      <c r="Q1227" s="11"/>
    </row>
    <row r="1228" spans="2:17" ht="15" customHeight="1" x14ac:dyDescent="0.2">
      <c r="B1228" s="7">
        <v>45309</v>
      </c>
      <c r="C1228" s="5">
        <f>IF(B1228="","",[1]!s_dq_close(股指期货基差分析!$E$5,$B1228))</f>
        <v>5066.9579000000003</v>
      </c>
      <c r="D1228" s="5">
        <f>IF(B1228="","",[1]!s_dq_close(股指期货基差分析!$E$6,$B1228))</f>
        <v>5045</v>
      </c>
      <c r="E1228" s="5">
        <f ca="1">RANK(F1228,F:F)+COUNTIF(F$2:F1228,F1228)-1</f>
        <v>784</v>
      </c>
      <c r="F1228" s="5">
        <f t="shared" si="20"/>
        <v>-21.957900000000336</v>
      </c>
      <c r="G1228" s="5">
        <f ca="1">IF(B1228="","",股指期货基差分析!$N$11)</f>
        <v>-71.408500000000458</v>
      </c>
      <c r="H1228" s="5">
        <f ca="1">IF(B1228="","",股指期货基差分析!$L$11)</f>
        <v>15.737900000000081</v>
      </c>
      <c r="I1228" s="9">
        <f ca="1">IF(B1228="","",股指期货基差分析!$D$11)</f>
        <v>-19.923978315132629</v>
      </c>
      <c r="L1228" s="43"/>
      <c r="Q1228" s="11"/>
    </row>
    <row r="1229" spans="2:17" ht="15" customHeight="1" x14ac:dyDescent="0.2">
      <c r="B1229" s="8">
        <v>45310</v>
      </c>
      <c r="C1229" s="6">
        <f>IF(B1229="","",[1]!s_dq_close(股指期货基差分析!$E$5,$B1229))</f>
        <v>5018.4332000000004</v>
      </c>
      <c r="D1229" s="6">
        <f>IF(B1229="","",[1]!s_dq_close(股指期货基差分析!$E$6,$B1229))</f>
        <v>5030.2</v>
      </c>
      <c r="E1229" s="6">
        <f ca="1">RANK(F1229,F:F)+COUNTIF(F$2:F1229,F1229)-1</f>
        <v>91</v>
      </c>
      <c r="F1229" s="6">
        <f t="shared" si="20"/>
        <v>11.766799999999421</v>
      </c>
      <c r="G1229" s="6">
        <f ca="1">IF(B1229="","",股指期货基差分析!$N$11)</f>
        <v>-71.408500000000458</v>
      </c>
      <c r="H1229" s="6">
        <f ca="1">IF(B1229="","",股指期货基差分析!$L$11)</f>
        <v>15.737900000000081</v>
      </c>
      <c r="I1229" s="10">
        <f ca="1">IF(B1229="","",股指期货基差分析!$D$11)</f>
        <v>-19.923978315132629</v>
      </c>
      <c r="L1229" s="43"/>
      <c r="Q1229" s="11"/>
    </row>
    <row r="1230" spans="2:17" ht="15" customHeight="1" x14ac:dyDescent="0.2">
      <c r="B1230" s="7">
        <v>45313</v>
      </c>
      <c r="C1230" s="5">
        <f>IF(B1230="","",[1]!s_dq_close(股指期货基差分析!$E$5,$B1230))</f>
        <v>4780.9748</v>
      </c>
      <c r="D1230" s="5">
        <f>IF(B1230="","",[1]!s_dq_close(股指期货基差分析!$E$6,$B1230))</f>
        <v>4645.6000000000004</v>
      </c>
      <c r="E1230" s="5">
        <f ca="1">RANK(F1230,F:F)+COUNTIF(F$2:F1230,F1230)-1</f>
        <v>1281</v>
      </c>
      <c r="F1230" s="5">
        <f t="shared" si="20"/>
        <v>-135.3747999999996</v>
      </c>
      <c r="G1230" s="5">
        <f ca="1">IF(B1230="","",股指期货基差分析!$N$11)</f>
        <v>-71.408500000000458</v>
      </c>
      <c r="H1230" s="5">
        <f ca="1">IF(B1230="","",股指期货基差分析!$L$11)</f>
        <v>15.737900000000081</v>
      </c>
      <c r="I1230" s="9">
        <f ca="1">IF(B1230="","",股指期货基差分析!$D$11)</f>
        <v>-19.923978315132629</v>
      </c>
      <c r="L1230" s="43"/>
      <c r="Q1230" s="11"/>
    </row>
    <row r="1231" spans="2:17" ht="15" customHeight="1" x14ac:dyDescent="0.2">
      <c r="B1231" s="8">
        <v>45314</v>
      </c>
      <c r="C1231" s="6">
        <f>IF(B1231="","",[1]!s_dq_close(股指期货基差分析!$E$5,$B1231))</f>
        <v>4865.7430000000004</v>
      </c>
      <c r="D1231" s="6">
        <f>IF(B1231="","",[1]!s_dq_close(股指期货基差分析!$E$6,$B1231))</f>
        <v>4800.3999999999996</v>
      </c>
      <c r="E1231" s="6">
        <f ca="1">RANK(F1231,F:F)+COUNTIF(F$2:F1231,F1231)-1</f>
        <v>1187</v>
      </c>
      <c r="F1231" s="6">
        <f t="shared" si="20"/>
        <v>-65.343000000000757</v>
      </c>
      <c r="G1231" s="6">
        <f ca="1">IF(B1231="","",股指期货基差分析!$N$11)</f>
        <v>-71.408500000000458</v>
      </c>
      <c r="H1231" s="6">
        <f ca="1">IF(B1231="","",股指期货基差分析!$L$11)</f>
        <v>15.737900000000081</v>
      </c>
      <c r="I1231" s="10">
        <f ca="1">IF(B1231="","",股指期货基差分析!$D$11)</f>
        <v>-19.923978315132629</v>
      </c>
      <c r="L1231" s="43"/>
      <c r="Q1231" s="11"/>
    </row>
    <row r="1232" spans="2:17" ht="15" customHeight="1" x14ac:dyDescent="0.2">
      <c r="B1232" s="7">
        <v>45315</v>
      </c>
      <c r="C1232" s="5">
        <f>IF(B1232="","",[1]!s_dq_close(股指期货基差分析!$E$5,$B1232))</f>
        <v>4933.7008999999998</v>
      </c>
      <c r="D1232" s="5">
        <f>IF(B1232="","",[1]!s_dq_close(股指期货基差分析!$E$6,$B1232))</f>
        <v>4890.2</v>
      </c>
      <c r="E1232" s="5">
        <f ca="1">RANK(F1232,F:F)+COUNTIF(F$2:F1232,F1232)-1</f>
        <v>1037</v>
      </c>
      <c r="F1232" s="5">
        <f t="shared" si="20"/>
        <v>-43.500900000000001</v>
      </c>
      <c r="G1232" s="5">
        <f ca="1">IF(B1232="","",股指期货基差分析!$N$11)</f>
        <v>-71.408500000000458</v>
      </c>
      <c r="H1232" s="5">
        <f ca="1">IF(B1232="","",股指期货基差分析!$L$11)</f>
        <v>15.737900000000081</v>
      </c>
      <c r="I1232" s="9">
        <f ca="1">IF(B1232="","",股指期货基差分析!$D$11)</f>
        <v>-19.923978315132629</v>
      </c>
      <c r="L1232" s="43"/>
      <c r="Q1232" s="11"/>
    </row>
    <row r="1233" spans="2:17" ht="15" customHeight="1" x14ac:dyDescent="0.2">
      <c r="B1233" s="8">
        <v>45316</v>
      </c>
      <c r="C1233" s="6">
        <f>IF(B1233="","",[1]!s_dq_close(股指期货基差分析!$E$5,$B1233))</f>
        <v>5073.1778999999997</v>
      </c>
      <c r="D1233" s="6">
        <f>IF(B1233="","",[1]!s_dq_close(股指期货基差分析!$E$6,$B1233))</f>
        <v>5060</v>
      </c>
      <c r="E1233" s="6">
        <f ca="1">RANK(F1233,F:F)+COUNTIF(F$2:F1233,F1233)-1</f>
        <v>621</v>
      </c>
      <c r="F1233" s="6">
        <f t="shared" si="20"/>
        <v>-13.177899999999681</v>
      </c>
      <c r="G1233" s="6">
        <f ca="1">IF(B1233="","",股指期货基差分析!$N$11)</f>
        <v>-71.408500000000458</v>
      </c>
      <c r="H1233" s="6">
        <f ca="1">IF(B1233="","",股指期货基差分析!$L$11)</f>
        <v>15.737900000000081</v>
      </c>
      <c r="I1233" s="10">
        <f ca="1">IF(B1233="","",股指期货基差分析!$D$11)</f>
        <v>-19.923978315132629</v>
      </c>
      <c r="L1233" s="43"/>
      <c r="Q1233" s="11"/>
    </row>
    <row r="1234" spans="2:17" ht="15" customHeight="1" x14ac:dyDescent="0.2">
      <c r="B1234" s="7">
        <v>45317</v>
      </c>
      <c r="C1234" s="5">
        <f>IF(B1234="","",[1]!s_dq_close(股指期货基差分析!$E$5,$B1234))</f>
        <v>5027.0932000000003</v>
      </c>
      <c r="D1234" s="5">
        <f>IF(B1234="","",[1]!s_dq_close(股指期货基差分析!$E$6,$B1234))</f>
        <v>4992.6000000000004</v>
      </c>
      <c r="E1234" s="5">
        <f ca="1">RANK(F1234,F:F)+COUNTIF(F$2:F1234,F1234)-1</f>
        <v>947</v>
      </c>
      <c r="F1234" s="5">
        <f t="shared" si="20"/>
        <v>-34.493199999999888</v>
      </c>
      <c r="G1234" s="5">
        <f ca="1">IF(B1234="","",股指期货基差分析!$N$11)</f>
        <v>-71.408500000000458</v>
      </c>
      <c r="H1234" s="5">
        <f ca="1">IF(B1234="","",股指期货基差分析!$L$11)</f>
        <v>15.737900000000081</v>
      </c>
      <c r="I1234" s="9">
        <f ca="1">IF(B1234="","",股指期货基差分析!$D$11)</f>
        <v>-19.923978315132629</v>
      </c>
      <c r="L1234" s="43"/>
      <c r="Q1234" s="11"/>
    </row>
    <row r="1235" spans="2:17" ht="15" customHeight="1" x14ac:dyDescent="0.2">
      <c r="B1235" s="8">
        <v>45320</v>
      </c>
      <c r="C1235" s="6">
        <f>IF(B1235="","",[1]!s_dq_close(股指期货基差分析!$E$5,$B1235))</f>
        <v>4927.9137000000001</v>
      </c>
      <c r="D1235" s="6">
        <f>IF(B1235="","",[1]!s_dq_close(股指期货基差分析!$E$6,$B1235))</f>
        <v>4893.2</v>
      </c>
      <c r="E1235" s="6">
        <f ca="1">RANK(F1235,F:F)+COUNTIF(F$2:F1235,F1235)-1</f>
        <v>952</v>
      </c>
      <c r="F1235" s="6">
        <f t="shared" si="20"/>
        <v>-34.713700000000244</v>
      </c>
      <c r="G1235" s="6">
        <f ca="1">IF(B1235="","",股指期货基差分析!$N$11)</f>
        <v>-71.408500000000458</v>
      </c>
      <c r="H1235" s="6">
        <f ca="1">IF(B1235="","",股指期货基差分析!$L$11)</f>
        <v>15.737900000000081</v>
      </c>
      <c r="I1235" s="10">
        <f ca="1">IF(B1235="","",股指期货基差分析!$D$11)</f>
        <v>-19.923978315132629</v>
      </c>
      <c r="L1235" s="43"/>
      <c r="Q1235" s="11"/>
    </row>
    <row r="1236" spans="2:17" ht="15" customHeight="1" x14ac:dyDescent="0.2">
      <c r="B1236" s="7">
        <v>45321</v>
      </c>
      <c r="C1236" s="5">
        <f>IF(B1236="","",[1]!s_dq_close(股指期货基差分析!$E$5,$B1236))</f>
        <v>4814.9907999999996</v>
      </c>
      <c r="D1236" s="5">
        <f>IF(B1236="","",[1]!s_dq_close(股指期货基差分析!$E$6,$B1236))</f>
        <v>4767.8</v>
      </c>
      <c r="E1236" s="5">
        <f ca="1">RANK(F1236,F:F)+COUNTIF(F$2:F1236,F1236)-1</f>
        <v>1082</v>
      </c>
      <c r="F1236" s="5">
        <f t="shared" si="20"/>
        <v>-47.190799999999399</v>
      </c>
      <c r="G1236" s="5">
        <f ca="1">IF(B1236="","",股指期货基差分析!$N$11)</f>
        <v>-71.408500000000458</v>
      </c>
      <c r="H1236" s="5">
        <f ca="1">IF(B1236="","",股指期货基差分析!$L$11)</f>
        <v>15.737900000000081</v>
      </c>
      <c r="I1236" s="9">
        <f ca="1">IF(B1236="","",股指期货基差分析!$D$11)</f>
        <v>-19.923978315132629</v>
      </c>
      <c r="L1236" s="43"/>
      <c r="Q1236" s="11"/>
    </row>
    <row r="1237" spans="2:17" ht="15" customHeight="1" x14ac:dyDescent="0.2">
      <c r="B1237" s="8">
        <v>45322</v>
      </c>
      <c r="C1237" s="6">
        <f>IF(B1237="","",[1]!s_dq_close(股指期货基差分析!$E$5,$B1237))</f>
        <v>4696.9795999999997</v>
      </c>
      <c r="D1237" s="6">
        <f>IF(B1237="","",[1]!s_dq_close(股指期货基差分析!$E$6,$B1237))</f>
        <v>4657.3999999999996</v>
      </c>
      <c r="E1237" s="6">
        <f ca="1">RANK(F1237,F:F)+COUNTIF(F$2:F1237,F1237)-1</f>
        <v>1000</v>
      </c>
      <c r="F1237" s="6">
        <f t="shared" si="20"/>
        <v>-39.579600000000028</v>
      </c>
      <c r="G1237" s="6">
        <f ca="1">IF(B1237="","",股指期货基差分析!$N$11)</f>
        <v>-71.408500000000458</v>
      </c>
      <c r="H1237" s="6">
        <f ca="1">IF(B1237="","",股指期货基差分析!$L$11)</f>
        <v>15.737900000000081</v>
      </c>
      <c r="I1237" s="10">
        <f ca="1">IF(B1237="","",股指期货基差分析!$D$11)</f>
        <v>-19.923978315132629</v>
      </c>
      <c r="L1237" s="43"/>
      <c r="Q1237" s="11"/>
    </row>
    <row r="1238" spans="2:17" ht="15" customHeight="1" x14ac:dyDescent="0.2">
      <c r="B1238" s="7">
        <v>45323</v>
      </c>
      <c r="C1238" s="5">
        <f>IF(B1238="","",[1]!s_dq_close(股指期货基差分析!$E$5,$B1238))</f>
        <v>4678.7308000000003</v>
      </c>
      <c r="D1238" s="5">
        <f>IF(B1238="","",[1]!s_dq_close(股指期货基差分析!$E$6,$B1238))</f>
        <v>4648.8</v>
      </c>
      <c r="E1238" s="5">
        <f ca="1">RANK(F1238,F:F)+COUNTIF(F$2:F1238,F1238)-1</f>
        <v>892</v>
      </c>
      <c r="F1238" s="5">
        <f t="shared" si="20"/>
        <v>-29.93080000000009</v>
      </c>
      <c r="G1238" s="5">
        <f ca="1">IF(B1238="","",股指期货基差分析!$N$11)</f>
        <v>-71.408500000000458</v>
      </c>
      <c r="H1238" s="5">
        <f ca="1">IF(B1238="","",股指期货基差分析!$L$11)</f>
        <v>15.737900000000081</v>
      </c>
      <c r="I1238" s="9">
        <f ca="1">IF(B1238="","",股指期货基差分析!$D$11)</f>
        <v>-19.923978315132629</v>
      </c>
      <c r="L1238" s="43"/>
      <c r="Q1238" s="11"/>
    </row>
    <row r="1239" spans="2:17" ht="15" customHeight="1" x14ac:dyDescent="0.2">
      <c r="B1239" s="8">
        <v>45324</v>
      </c>
      <c r="C1239" s="6">
        <f>IF(B1239="","",[1]!s_dq_close(股指期货基差分析!$E$5,$B1239))</f>
        <v>4563.2221</v>
      </c>
      <c r="D1239" s="6">
        <f>IF(B1239="","",[1]!s_dq_close(股指期货基差分析!$E$6,$B1239))</f>
        <v>4512.8</v>
      </c>
      <c r="E1239" s="6">
        <f ca="1">RANK(F1239,F:F)+COUNTIF(F$2:F1239,F1239)-1</f>
        <v>1101</v>
      </c>
      <c r="F1239" s="6">
        <f t="shared" si="20"/>
        <v>-50.422099999999773</v>
      </c>
      <c r="G1239" s="6">
        <f ca="1">IF(B1239="","",股指期货基差分析!$N$11)</f>
        <v>-71.408500000000458</v>
      </c>
      <c r="H1239" s="6">
        <f ca="1">IF(B1239="","",股指期货基差分析!$L$11)</f>
        <v>15.737900000000081</v>
      </c>
      <c r="I1239" s="10">
        <f ca="1">IF(B1239="","",股指期货基差分析!$D$11)</f>
        <v>-19.923978315132629</v>
      </c>
      <c r="L1239" s="43"/>
      <c r="Q1239" s="11"/>
    </row>
    <row r="1240" spans="2:17" ht="15" customHeight="1" x14ac:dyDescent="0.2">
      <c r="B1240" s="7">
        <v>45327</v>
      </c>
      <c r="C1240" s="5">
        <f>IF(B1240="","",[1]!s_dq_close(股指期货基差分析!$E$5,$B1240))</f>
        <v>4460.2635</v>
      </c>
      <c r="D1240" s="5">
        <f>IF(B1240="","",[1]!s_dq_close(股指期货基差分析!$E$6,$B1240))</f>
        <v>4380</v>
      </c>
      <c r="E1240" s="5">
        <f ca="1">RANK(F1240,F:F)+COUNTIF(F$2:F1240,F1240)-1</f>
        <v>1247</v>
      </c>
      <c r="F1240" s="5">
        <f t="shared" si="20"/>
        <v>-80.263500000000022</v>
      </c>
      <c r="G1240" s="5">
        <f ca="1">IF(B1240="","",股指期货基差分析!$N$11)</f>
        <v>-71.408500000000458</v>
      </c>
      <c r="H1240" s="5">
        <f ca="1">IF(B1240="","",股指期货基差分析!$L$11)</f>
        <v>15.737900000000081</v>
      </c>
      <c r="I1240" s="9">
        <f ca="1">IF(B1240="","",股指期货基差分析!$D$11)</f>
        <v>-19.923978315132629</v>
      </c>
      <c r="L1240" s="43"/>
      <c r="Q1240" s="11"/>
    </row>
    <row r="1241" spans="2:17" ht="15" customHeight="1" x14ac:dyDescent="0.2">
      <c r="B1241" s="8">
        <v>45328</v>
      </c>
      <c r="C1241" s="6">
        <f>IF(B1241="","",[1]!s_dq_close(股指期货基差分析!$E$5,$B1241))</f>
        <v>4805.9013000000004</v>
      </c>
      <c r="D1241" s="6">
        <f>IF(B1241="","",[1]!s_dq_close(股指期货基差分析!$E$6,$B1241))</f>
        <v>4822.6000000000004</v>
      </c>
      <c r="E1241" s="6">
        <f ca="1">RANK(F1241,F:F)+COUNTIF(F$2:F1241,F1241)-1</f>
        <v>58</v>
      </c>
      <c r="F1241" s="6">
        <f t="shared" si="20"/>
        <v>16.698699999999917</v>
      </c>
      <c r="G1241" s="6">
        <f ca="1">IF(B1241="","",股指期货基差分析!$N$11)</f>
        <v>-71.408500000000458</v>
      </c>
      <c r="H1241" s="6">
        <f ca="1">IF(B1241="","",股指期货基差分析!$L$11)</f>
        <v>15.737900000000081</v>
      </c>
      <c r="I1241" s="10">
        <f ca="1">IF(B1241="","",股指期货基差分析!$D$11)</f>
        <v>-19.923978315132629</v>
      </c>
      <c r="L1241" s="43"/>
      <c r="Q1241" s="11"/>
    </row>
    <row r="1242" spans="2:17" ht="15" customHeight="1" x14ac:dyDescent="0.2">
      <c r="B1242" s="7">
        <v>45329</v>
      </c>
      <c r="C1242" s="5">
        <f>IF(B1242="","",[1]!s_dq_close(股指期货基差分析!$E$5,$B1242))</f>
        <v>5109.5685000000003</v>
      </c>
      <c r="D1242" s="5">
        <f>IF(B1242="","",[1]!s_dq_close(股指期货基差分析!$E$6,$B1242))</f>
        <v>5140.2</v>
      </c>
      <c r="E1242" s="5">
        <f ca="1">RANK(F1242,F:F)+COUNTIF(F$2:F1242,F1242)-1</f>
        <v>16</v>
      </c>
      <c r="F1242" s="5">
        <f t="shared" si="20"/>
        <v>30.631499999999505</v>
      </c>
      <c r="G1242" s="5">
        <f ca="1">IF(B1242="","",股指期货基差分析!$N$11)</f>
        <v>-71.408500000000458</v>
      </c>
      <c r="H1242" s="5">
        <f ca="1">IF(B1242="","",股指期货基差分析!$L$11)</f>
        <v>15.737900000000081</v>
      </c>
      <c r="I1242" s="9">
        <f ca="1">IF(B1242="","",股指期货基差分析!$D$11)</f>
        <v>-19.923978315132629</v>
      </c>
      <c r="L1242" s="43"/>
      <c r="Q1242" s="11"/>
    </row>
    <row r="1243" spans="2:17" ht="15" customHeight="1" x14ac:dyDescent="0.2">
      <c r="B1243" s="8">
        <v>45330</v>
      </c>
      <c r="C1243" s="6">
        <f>IF(B1243="","",[1]!s_dq_close(股指期货基差分析!$E$5,$B1243))</f>
        <v>5150.2287999999999</v>
      </c>
      <c r="D1243" s="6">
        <f>IF(B1243="","",[1]!s_dq_close(股指期货基差分析!$E$6,$B1243))</f>
        <v>5154.3999999999996</v>
      </c>
      <c r="E1243" s="6">
        <f ca="1">RANK(F1243,F:F)+COUNTIF(F$2:F1243,F1243)-1</f>
        <v>199</v>
      </c>
      <c r="F1243" s="6">
        <f t="shared" si="20"/>
        <v>4.1711999999997715</v>
      </c>
      <c r="G1243" s="6">
        <f ca="1">IF(B1243="","",股指期货基差分析!$N$11)</f>
        <v>-71.408500000000458</v>
      </c>
      <c r="H1243" s="6">
        <f ca="1">IF(B1243="","",股指期货基差分析!$L$11)</f>
        <v>15.737900000000081</v>
      </c>
      <c r="I1243" s="10">
        <f ca="1">IF(B1243="","",股指期货基差分析!$D$11)</f>
        <v>-19.923978315132629</v>
      </c>
      <c r="L1243" s="43"/>
      <c r="Q1243" s="11"/>
    </row>
    <row r="1244" spans="2:17" ht="15" customHeight="1" x14ac:dyDescent="0.2">
      <c r="B1244" s="7">
        <v>45341</v>
      </c>
      <c r="C1244" s="5">
        <f>IF(B1244="","",[1]!s_dq_close(股指期货基差分析!$E$5,$B1244))</f>
        <v>5141.6036999999997</v>
      </c>
      <c r="D1244" s="5">
        <f>IF(B1244="","",[1]!s_dq_close(股指期货基差分析!$E$6,$B1244))</f>
        <v>5105.6000000000004</v>
      </c>
      <c r="E1244" s="5">
        <f ca="1">RANK(F1244,F:F)+COUNTIF(F$2:F1244,F1244)-1</f>
        <v>968</v>
      </c>
      <c r="F1244" s="5">
        <f t="shared" si="20"/>
        <v>-36.003699999999299</v>
      </c>
      <c r="G1244" s="5">
        <f ca="1">IF(B1244="","",股指期货基差分析!$N$11)</f>
        <v>-71.408500000000458</v>
      </c>
      <c r="H1244" s="5">
        <f ca="1">IF(B1244="","",股指期货基差分析!$L$11)</f>
        <v>15.737900000000081</v>
      </c>
      <c r="I1244" s="9">
        <f ca="1">IF(B1244="","",股指期货基差分析!$D$11)</f>
        <v>-19.923978315132629</v>
      </c>
      <c r="L1244" s="43"/>
      <c r="Q1244" s="11"/>
    </row>
    <row r="1245" spans="2:17" ht="15" customHeight="1" x14ac:dyDescent="0.2">
      <c r="B1245" s="8">
        <v>45342</v>
      </c>
      <c r="C1245" s="6">
        <f>IF(B1245="","",[1]!s_dq_close(股指期货基差分析!$E$5,$B1245))</f>
        <v>5140.9575000000004</v>
      </c>
      <c r="D1245" s="6">
        <f>IF(B1245="","",[1]!s_dq_close(股指期货基差分析!$E$6,$B1245))</f>
        <v>5097.3999999999996</v>
      </c>
      <c r="E1245" s="6">
        <f ca="1">RANK(F1245,F:F)+COUNTIF(F$2:F1245,F1245)-1</f>
        <v>1038</v>
      </c>
      <c r="F1245" s="6">
        <f t="shared" si="20"/>
        <v>-43.5575000000008</v>
      </c>
      <c r="G1245" s="6">
        <f ca="1">IF(B1245="","",股指期货基差分析!$N$11)</f>
        <v>-71.408500000000458</v>
      </c>
      <c r="H1245" s="6">
        <f ca="1">IF(B1245="","",股指期货基差分析!$L$11)</f>
        <v>15.737900000000081</v>
      </c>
      <c r="I1245" s="10">
        <f ca="1">IF(B1245="","",股指期货基差分析!$D$11)</f>
        <v>-19.923978315132629</v>
      </c>
      <c r="L1245" s="43"/>
      <c r="Q1245" s="11"/>
    </row>
    <row r="1246" spans="2:17" ht="15" customHeight="1" x14ac:dyDescent="0.2">
      <c r="B1246" s="7">
        <v>45343</v>
      </c>
      <c r="C1246" s="5">
        <f>IF(B1246="","",[1]!s_dq_close(股指期货基差分析!$E$5,$B1246))</f>
        <v>5139.0371999999998</v>
      </c>
      <c r="D1246" s="5">
        <f>IF(B1246="","",[1]!s_dq_close(股指期货基差分析!$E$6,$B1246))</f>
        <v>5107.2</v>
      </c>
      <c r="E1246" s="5">
        <f ca="1">RANK(F1246,F:F)+COUNTIF(F$2:F1246,F1246)-1</f>
        <v>915</v>
      </c>
      <c r="F1246" s="5">
        <f t="shared" si="20"/>
        <v>-31.837199999999939</v>
      </c>
      <c r="G1246" s="5">
        <f ca="1">IF(B1246="","",股指期货基差分析!$N$11)</f>
        <v>-71.408500000000458</v>
      </c>
      <c r="H1246" s="5">
        <f ca="1">IF(B1246="","",股指期货基差分析!$L$11)</f>
        <v>15.737900000000081</v>
      </c>
      <c r="I1246" s="9">
        <f ca="1">IF(B1246="","",股指期货基差分析!$D$11)</f>
        <v>-19.923978315132629</v>
      </c>
      <c r="L1246" s="43"/>
      <c r="Q1246" s="11"/>
    </row>
    <row r="1247" spans="2:17" ht="15" customHeight="1" x14ac:dyDescent="0.2">
      <c r="B1247" s="8">
        <v>45344</v>
      </c>
      <c r="C1247" s="6">
        <f>IF(B1247="","",[1]!s_dq_close(股指期货基差分析!$E$5,$B1247))</f>
        <v>5176.3431</v>
      </c>
      <c r="D1247" s="6">
        <f>IF(B1247="","",[1]!s_dq_close(股指期货基差分析!$E$6,$B1247))</f>
        <v>5159.2</v>
      </c>
      <c r="E1247" s="6">
        <f ca="1">RANK(F1247,F:F)+COUNTIF(F$2:F1247,F1247)-1</f>
        <v>703</v>
      </c>
      <c r="F1247" s="6">
        <f t="shared" si="20"/>
        <v>-17.143100000000231</v>
      </c>
      <c r="G1247" s="6">
        <f ca="1">IF(B1247="","",股指期货基差分析!$N$11)</f>
        <v>-71.408500000000458</v>
      </c>
      <c r="H1247" s="6">
        <f ca="1">IF(B1247="","",股指期货基差分析!$L$11)</f>
        <v>15.737900000000081</v>
      </c>
      <c r="I1247" s="10">
        <f ca="1">IF(B1247="","",股指期货基差分析!$D$11)</f>
        <v>-19.923978315132629</v>
      </c>
      <c r="L1247" s="43"/>
      <c r="Q1247" s="11"/>
    </row>
    <row r="1248" spans="2:17" ht="15" customHeight="1" x14ac:dyDescent="0.2">
      <c r="B1248" s="7">
        <v>45345</v>
      </c>
      <c r="C1248" s="5">
        <f>IF(B1248="","",[1]!s_dq_close(股指期货基差分析!$E$5,$B1248))</f>
        <v>5197.7115000000003</v>
      </c>
      <c r="D1248" s="5">
        <f>IF(B1248="","",[1]!s_dq_close(股指期货基差分析!$E$6,$B1248))</f>
        <v>5186</v>
      </c>
      <c r="E1248" s="5">
        <f ca="1">RANK(F1248,F:F)+COUNTIF(F$2:F1248,F1248)-1</f>
        <v>587</v>
      </c>
      <c r="F1248" s="5">
        <f t="shared" si="20"/>
        <v>-11.711500000000342</v>
      </c>
      <c r="G1248" s="5">
        <f ca="1">IF(B1248="","",股指期货基差分析!$N$11)</f>
        <v>-71.408500000000458</v>
      </c>
      <c r="H1248" s="5">
        <f ca="1">IF(B1248="","",股指期货基差分析!$L$11)</f>
        <v>15.737900000000081</v>
      </c>
      <c r="I1248" s="9">
        <f ca="1">IF(B1248="","",股指期货基差分析!$D$11)</f>
        <v>-19.923978315132629</v>
      </c>
      <c r="L1248" s="43"/>
      <c r="Q1248" s="11"/>
    </row>
    <row r="1249" spans="2:17" ht="15" customHeight="1" x14ac:dyDescent="0.2">
      <c r="B1249" s="8">
        <v>45348</v>
      </c>
      <c r="C1249" s="6">
        <f>IF(B1249="","",[1]!s_dq_close(股指期货基差分析!$E$5,$B1249))</f>
        <v>5195.4642000000003</v>
      </c>
      <c r="D1249" s="6">
        <f>IF(B1249="","",[1]!s_dq_close(股指期货基差分析!$E$6,$B1249))</f>
        <v>5168.2</v>
      </c>
      <c r="E1249" s="6">
        <f ca="1">RANK(F1249,F:F)+COUNTIF(F$2:F1249,F1249)-1</f>
        <v>848</v>
      </c>
      <c r="F1249" s="6">
        <f t="shared" si="20"/>
        <v>-27.264200000000528</v>
      </c>
      <c r="G1249" s="6">
        <f ca="1">IF(B1249="","",股指期货基差分析!$N$11)</f>
        <v>-71.408500000000458</v>
      </c>
      <c r="H1249" s="6">
        <f ca="1">IF(B1249="","",股指期货基差分析!$L$11)</f>
        <v>15.737900000000081</v>
      </c>
      <c r="I1249" s="10">
        <f ca="1">IF(B1249="","",股指期货基差分析!$D$11)</f>
        <v>-19.923978315132629</v>
      </c>
      <c r="L1249" s="43"/>
      <c r="Q1249" s="11"/>
    </row>
    <row r="1250" spans="2:17" ht="15" customHeight="1" x14ac:dyDescent="0.2">
      <c r="B1250" s="7">
        <v>45349</v>
      </c>
      <c r="C1250" s="5">
        <f>IF(B1250="","",[1]!s_dq_close(股指期货基差分析!$E$5,$B1250))</f>
        <v>5307.8042999999998</v>
      </c>
      <c r="D1250" s="5">
        <f>IF(B1250="","",[1]!s_dq_close(股指期货基差分析!$E$6,$B1250))</f>
        <v>5307.8</v>
      </c>
      <c r="E1250" s="5">
        <f ca="1">RANK(F1250,F:F)+COUNTIF(F$2:F1250,F1250)-1</f>
        <v>295</v>
      </c>
      <c r="F1250" s="5">
        <f t="shared" si="20"/>
        <v>-4.2999999996027327E-3</v>
      </c>
      <c r="G1250" s="5">
        <f ca="1">IF(B1250="","",股指期货基差分析!$N$11)</f>
        <v>-71.408500000000458</v>
      </c>
      <c r="H1250" s="5">
        <f ca="1">IF(B1250="","",股指期货基差分析!$L$11)</f>
        <v>15.737900000000081</v>
      </c>
      <c r="I1250" s="9">
        <f ca="1">IF(B1250="","",股指期货基差分析!$D$11)</f>
        <v>-19.923978315132629</v>
      </c>
      <c r="L1250" s="43"/>
      <c r="Q1250" s="11"/>
    </row>
    <row r="1251" spans="2:17" ht="15" customHeight="1" x14ac:dyDescent="0.2">
      <c r="B1251" s="8">
        <v>45350</v>
      </c>
      <c r="C1251" s="6">
        <f>IF(B1251="","",[1]!s_dq_close(股指期货基差分析!$E$5,$B1251))</f>
        <v>5184.0470999999998</v>
      </c>
      <c r="D1251" s="6">
        <f>IF(B1251="","",[1]!s_dq_close(股指期货基差分析!$E$6,$B1251))</f>
        <v>5175.2</v>
      </c>
      <c r="E1251" s="6">
        <f ca="1">RANK(F1251,F:F)+COUNTIF(F$2:F1251,F1251)-1</f>
        <v>524</v>
      </c>
      <c r="F1251" s="6">
        <f t="shared" si="20"/>
        <v>-8.8470999999999549</v>
      </c>
      <c r="G1251" s="6">
        <f ca="1">IF(B1251="","",股指期货基差分析!$N$11)</f>
        <v>-71.408500000000458</v>
      </c>
      <c r="H1251" s="6">
        <f ca="1">IF(B1251="","",股指期货基差分析!$L$11)</f>
        <v>15.737900000000081</v>
      </c>
      <c r="I1251" s="10">
        <f ca="1">IF(B1251="","",股指期货基差分析!$D$11)</f>
        <v>-19.923978315132629</v>
      </c>
      <c r="L1251" s="43"/>
      <c r="Q1251" s="11"/>
    </row>
    <row r="1252" spans="2:17" ht="15" customHeight="1" x14ac:dyDescent="0.2">
      <c r="B1252" s="7">
        <v>45351</v>
      </c>
      <c r="C1252" s="5">
        <f>IF(B1252="","",[1]!s_dq_close(股指期货基差分析!$E$5,$B1252))</f>
        <v>5346.7929000000004</v>
      </c>
      <c r="D1252" s="5">
        <f>IF(B1252="","",[1]!s_dq_close(股指期货基差分析!$E$6,$B1252))</f>
        <v>5346.4</v>
      </c>
      <c r="E1252" s="5">
        <f ca="1">RANK(F1252,F:F)+COUNTIF(F$2:F1252,F1252)-1</f>
        <v>303</v>
      </c>
      <c r="F1252" s="5">
        <f t="shared" si="20"/>
        <v>-0.39290000000073633</v>
      </c>
      <c r="G1252" s="5">
        <f ca="1">IF(B1252="","",股指期货基差分析!$N$11)</f>
        <v>-71.408500000000458</v>
      </c>
      <c r="H1252" s="5">
        <f ca="1">IF(B1252="","",股指期货基差分析!$L$11)</f>
        <v>15.737900000000081</v>
      </c>
      <c r="I1252" s="9">
        <f ca="1">IF(B1252="","",股指期货基差分析!$D$11)</f>
        <v>-19.923978315132629</v>
      </c>
      <c r="L1252" s="43"/>
      <c r="Q1252" s="11"/>
    </row>
    <row r="1253" spans="2:17" ht="15" customHeight="1" x14ac:dyDescent="0.2">
      <c r="B1253" s="8">
        <v>45352</v>
      </c>
      <c r="C1253" s="6">
        <f>IF(B1253="","",[1]!s_dq_close(股指期货基差分析!$E$5,$B1253))</f>
        <v>5379.0482000000002</v>
      </c>
      <c r="D1253" s="6">
        <f>IF(B1253="","",[1]!s_dq_close(股指期货基差分析!$E$6,$B1253))</f>
        <v>5382.6</v>
      </c>
      <c r="E1253" s="6">
        <f ca="1">RANK(F1253,F:F)+COUNTIF(F$2:F1253,F1253)-1</f>
        <v>219</v>
      </c>
      <c r="F1253" s="6">
        <f t="shared" si="20"/>
        <v>3.5518000000001848</v>
      </c>
      <c r="G1253" s="6">
        <f ca="1">IF(B1253="","",股指期货基差分析!$N$11)</f>
        <v>-71.408500000000458</v>
      </c>
      <c r="H1253" s="6">
        <f ca="1">IF(B1253="","",股指期货基差分析!$L$11)</f>
        <v>15.737900000000081</v>
      </c>
      <c r="I1253" s="10">
        <f ca="1">IF(B1253="","",股指期货基差分析!$D$11)</f>
        <v>-19.923978315132629</v>
      </c>
      <c r="L1253" s="43"/>
    </row>
    <row r="1254" spans="2:17" ht="15" customHeight="1" x14ac:dyDescent="0.2">
      <c r="B1254" s="7">
        <v>45355</v>
      </c>
      <c r="C1254" s="5">
        <f>IF(B1254="","",[1]!s_dq_close(股指期货基差分析!$E$5,$B1254))</f>
        <v>5388.82</v>
      </c>
      <c r="D1254" s="5">
        <f>IF(B1254="","",[1]!s_dq_close(股指期货基差分析!$E$6,$B1254))</f>
        <v>5377</v>
      </c>
      <c r="E1254" s="5">
        <f ca="1">RANK(F1254,F:F)+COUNTIF(F$2:F1254,F1254)-1</f>
        <v>591</v>
      </c>
      <c r="F1254" s="5">
        <f t="shared" si="20"/>
        <v>-11.819999999999709</v>
      </c>
      <c r="G1254" s="5">
        <f ca="1">IF(B1254="","",股指期货基差分析!$N$11)</f>
        <v>-71.408500000000458</v>
      </c>
      <c r="H1254" s="5">
        <f ca="1">IF(B1254="","",股指期货基差分析!$L$11)</f>
        <v>15.737900000000081</v>
      </c>
      <c r="I1254" s="9">
        <f ca="1">IF(B1254="","",股指期货基差分析!$D$11)</f>
        <v>-19.923978315132629</v>
      </c>
      <c r="L1254" s="43"/>
    </row>
    <row r="1255" spans="2:17" ht="15" customHeight="1" x14ac:dyDescent="0.2">
      <c r="B1255" s="8">
        <v>45356</v>
      </c>
      <c r="C1255" s="6">
        <f>IF(B1255="","",[1]!s_dq_close(股指期货基差分析!$E$5,$B1255))</f>
        <v>5351.8267999999998</v>
      </c>
      <c r="D1255" s="6">
        <f>IF(B1255="","",[1]!s_dq_close(股指期货基差分析!$E$6,$B1255))</f>
        <v>5334.8</v>
      </c>
      <c r="E1255" s="6">
        <f ca="1">RANK(F1255,F:F)+COUNTIF(F$2:F1255,F1255)-1</f>
        <v>700</v>
      </c>
      <c r="F1255" s="6">
        <f t="shared" si="20"/>
        <v>-17.026799999999639</v>
      </c>
      <c r="G1255" s="6">
        <f ca="1">IF(B1255="","",股指期货基差分析!$N$11)</f>
        <v>-71.408500000000458</v>
      </c>
      <c r="H1255" s="6">
        <f ca="1">IF(B1255="","",股指期货基差分析!$L$11)</f>
        <v>15.737900000000081</v>
      </c>
      <c r="I1255" s="10">
        <f ca="1">IF(B1255="","",股指期货基差分析!$D$11)</f>
        <v>-19.923978315132629</v>
      </c>
      <c r="L1255" s="43"/>
    </row>
    <row r="1256" spans="2:17" ht="15" customHeight="1" x14ac:dyDescent="0.2">
      <c r="B1256" s="7">
        <v>45357</v>
      </c>
      <c r="C1256" s="5">
        <f>IF(B1256="","",[1]!s_dq_close(股指期货基差分析!$E$5,$B1256))</f>
        <v>5350.1016</v>
      </c>
      <c r="D1256" s="5">
        <f>IF(B1256="","",[1]!s_dq_close(股指期货基差分析!$E$6,$B1256))</f>
        <v>5342.8</v>
      </c>
      <c r="E1256" s="5">
        <f ca="1">RANK(F1256,F:F)+COUNTIF(F$2:F1256,F1256)-1</f>
        <v>480</v>
      </c>
      <c r="F1256" s="5">
        <f t="shared" si="20"/>
        <v>-7.3015999999997803</v>
      </c>
      <c r="G1256" s="5">
        <f ca="1">IF(B1256="","",股指期货基差分析!$N$11)</f>
        <v>-71.408500000000458</v>
      </c>
      <c r="H1256" s="5">
        <f ca="1">IF(B1256="","",股指期货基差分析!$L$11)</f>
        <v>15.737900000000081</v>
      </c>
      <c r="I1256" s="9">
        <f ca="1">IF(B1256="","",股指期货基差分析!$D$11)</f>
        <v>-19.923978315132629</v>
      </c>
      <c r="L1256" s="43"/>
    </row>
    <row r="1257" spans="2:17" ht="15" customHeight="1" x14ac:dyDescent="0.2">
      <c r="B1257" s="8">
        <v>45358</v>
      </c>
      <c r="C1257" s="6">
        <f>IF(B1257="","",[1]!s_dq_close(股指期货基差分析!$E$5,$B1257))</f>
        <v>5277.2987999999996</v>
      </c>
      <c r="D1257" s="6">
        <f>IF(B1257="","",[1]!s_dq_close(股指期货基差分析!$E$6,$B1257))</f>
        <v>5272.4</v>
      </c>
      <c r="E1257" s="6">
        <f ca="1">RANK(F1257,F:F)+COUNTIF(F$2:F1257,F1257)-1</f>
        <v>413</v>
      </c>
      <c r="F1257" s="6">
        <f t="shared" si="20"/>
        <v>-4.8987999999999374</v>
      </c>
      <c r="G1257" s="6">
        <f ca="1">IF(B1257="","",股指期货基差分析!$N$11)</f>
        <v>-71.408500000000458</v>
      </c>
      <c r="H1257" s="6">
        <f ca="1">IF(B1257="","",股指期货基差分析!$L$11)</f>
        <v>15.737900000000081</v>
      </c>
      <c r="I1257" s="10">
        <f ca="1">IF(B1257="","",股指期货基差分析!$D$11)</f>
        <v>-19.923978315132629</v>
      </c>
      <c r="L1257" s="43"/>
    </row>
    <row r="1258" spans="2:17" ht="15" customHeight="1" x14ac:dyDescent="0.2">
      <c r="B1258" s="7">
        <v>45359</v>
      </c>
      <c r="C1258" s="5">
        <f>IF(B1258="","",[1]!s_dq_close(股指期货基差分析!$E$5,$B1258))</f>
        <v>5349.5950000000003</v>
      </c>
      <c r="D1258" s="5">
        <f>IF(B1258="","",[1]!s_dq_close(股指期货基差分析!$E$6,$B1258))</f>
        <v>5346.2</v>
      </c>
      <c r="E1258" s="5">
        <f ca="1">RANK(F1258,F:F)+COUNTIF(F$2:F1258,F1258)-1</f>
        <v>382</v>
      </c>
      <c r="F1258" s="5">
        <f t="shared" si="20"/>
        <v>-3.3950000000004366</v>
      </c>
      <c r="G1258" s="5">
        <f ca="1">IF(B1258="","",股指期货基差分析!$N$11)</f>
        <v>-71.408500000000458</v>
      </c>
      <c r="H1258" s="5">
        <f ca="1">IF(B1258="","",股指期货基差分析!$L$11)</f>
        <v>15.737900000000081</v>
      </c>
      <c r="I1258" s="9">
        <f ca="1">IF(B1258="","",股指期货基差分析!$D$11)</f>
        <v>-19.923978315132629</v>
      </c>
      <c r="L1258" s="43"/>
    </row>
    <row r="1259" spans="2:17" ht="15" customHeight="1" x14ac:dyDescent="0.2">
      <c r="B1259" s="8">
        <v>45362</v>
      </c>
      <c r="C1259" s="6">
        <f>IF(B1259="","",[1]!s_dq_close(股指期货基差分析!$E$5,$B1259))</f>
        <v>5441.0506999999998</v>
      </c>
      <c r="D1259" s="6">
        <f>IF(B1259="","",[1]!s_dq_close(股指期货基差分析!$E$6,$B1259))</f>
        <v>5456.2</v>
      </c>
      <c r="E1259" s="6">
        <f ca="1">RANK(F1259,F:F)+COUNTIF(F$2:F1259,F1259)-1</f>
        <v>67</v>
      </c>
      <c r="F1259" s="6">
        <f t="shared" si="20"/>
        <v>15.149300000000039</v>
      </c>
      <c r="G1259" s="6">
        <f ca="1">IF(B1259="","",股指期货基差分析!$N$11)</f>
        <v>-71.408500000000458</v>
      </c>
      <c r="H1259" s="6">
        <f ca="1">IF(B1259="","",股指期货基差分析!$L$11)</f>
        <v>15.737900000000081</v>
      </c>
      <c r="I1259" s="10">
        <f ca="1">IF(B1259="","",股指期货基差分析!$D$11)</f>
        <v>-19.923978315132629</v>
      </c>
      <c r="L1259" s="43"/>
    </row>
    <row r="1260" spans="2:17" ht="15" customHeight="1" x14ac:dyDescent="0.2">
      <c r="B1260" s="7">
        <v>45363</v>
      </c>
      <c r="C1260" s="5">
        <f>IF(B1260="","",[1]!s_dq_close(股指期货基差分析!$E$5,$B1260))</f>
        <v>5423.7183000000005</v>
      </c>
      <c r="D1260" s="5">
        <f>IF(B1260="","",[1]!s_dq_close(股指期货基差分析!$E$6,$B1260))</f>
        <v>5427.6</v>
      </c>
      <c r="E1260" s="5">
        <f ca="1">RANK(F1260,F:F)+COUNTIF(F$2:F1260,F1260)-1</f>
        <v>210</v>
      </c>
      <c r="F1260" s="5">
        <f t="shared" si="20"/>
        <v>3.8816999999999098</v>
      </c>
      <c r="G1260" s="5">
        <f ca="1">IF(B1260="","",股指期货基差分析!$N$11)</f>
        <v>-71.408500000000458</v>
      </c>
      <c r="H1260" s="5">
        <f ca="1">IF(B1260="","",股指期货基差分析!$L$11)</f>
        <v>15.737900000000081</v>
      </c>
      <c r="I1260" s="9">
        <f ca="1">IF(B1260="","",股指期货基差分析!$D$11)</f>
        <v>-19.923978315132629</v>
      </c>
      <c r="L1260" s="43"/>
    </row>
    <row r="1261" spans="2:17" ht="15" customHeight="1" x14ac:dyDescent="0.2">
      <c r="B1261" s="8">
        <v>45364</v>
      </c>
      <c r="C1261" s="6">
        <f>IF(B1261="","",[1]!s_dq_close(股指期货基差分析!$E$5,$B1261))</f>
        <v>5415.1126000000004</v>
      </c>
      <c r="D1261" s="6">
        <f>IF(B1261="","",[1]!s_dq_close(股指期货基差分析!$E$6,$B1261))</f>
        <v>5417</v>
      </c>
      <c r="E1261" s="6">
        <f ca="1">RANK(F1261,F:F)+COUNTIF(F$2:F1261,F1261)-1</f>
        <v>259</v>
      </c>
      <c r="F1261" s="6">
        <f t="shared" si="20"/>
        <v>1.8873999999996158</v>
      </c>
      <c r="G1261" s="6">
        <f ca="1">IF(B1261="","",股指期货基差分析!$N$11)</f>
        <v>-71.408500000000458</v>
      </c>
      <c r="H1261" s="6">
        <f ca="1">IF(B1261="","",股指期货基差分析!$L$11)</f>
        <v>15.737900000000081</v>
      </c>
      <c r="I1261" s="10">
        <f ca="1">IF(B1261="","",股指期货基差分析!$D$11)</f>
        <v>-19.923978315132629</v>
      </c>
      <c r="L1261" s="43"/>
    </row>
    <row r="1262" spans="2:17" ht="15" customHeight="1" x14ac:dyDescent="0.2">
      <c r="B1262" s="7">
        <v>45365</v>
      </c>
      <c r="C1262" s="5">
        <f>IF(B1262="","",[1]!s_dq_close(股指期货基差分析!$E$5,$B1262))</f>
        <v>5392.9267</v>
      </c>
      <c r="D1262" s="5">
        <f>IF(B1262="","",[1]!s_dq_close(股指期货基差分析!$E$6,$B1262))</f>
        <v>5399</v>
      </c>
      <c r="E1262" s="5">
        <f ca="1">RANK(F1262,F:F)+COUNTIF(F$2:F1262,F1262)-1</f>
        <v>169</v>
      </c>
      <c r="F1262" s="5">
        <f t="shared" si="20"/>
        <v>6.0733000000000175</v>
      </c>
      <c r="G1262" s="5">
        <f ca="1">IF(B1262="","",股指期货基差分析!$N$11)</f>
        <v>-71.408500000000458</v>
      </c>
      <c r="H1262" s="5">
        <f ca="1">IF(B1262="","",股指期货基差分析!$L$11)</f>
        <v>15.737900000000081</v>
      </c>
      <c r="I1262" s="9">
        <f ca="1">IF(B1262="","",股指期货基差分析!$D$11)</f>
        <v>-19.923978315132629</v>
      </c>
      <c r="L1262" s="43"/>
    </row>
    <row r="1263" spans="2:17" ht="15" customHeight="1" x14ac:dyDescent="0.2">
      <c r="B1263" s="8">
        <v>45366</v>
      </c>
      <c r="C1263" s="6">
        <f>IF(B1263="","",[1]!s_dq_close(股指期货基差分析!$E$5,$B1263))</f>
        <v>5454.1463000000003</v>
      </c>
      <c r="D1263" s="6">
        <f>IF(B1263="","",[1]!s_dq_close(股指期货基差分析!$E$6,$B1263))</f>
        <v>5412.2</v>
      </c>
      <c r="E1263" s="6">
        <f ca="1">RANK(F1263,F:F)+COUNTIF(F$2:F1263,F1263)-1</f>
        <v>1020</v>
      </c>
      <c r="F1263" s="6">
        <f t="shared" si="20"/>
        <v>-41.94630000000052</v>
      </c>
      <c r="G1263" s="6">
        <f ca="1">IF(B1263="","",股指期货基差分析!$N$11)</f>
        <v>-71.408500000000458</v>
      </c>
      <c r="H1263" s="6">
        <f ca="1">IF(B1263="","",股指期货基差分析!$L$11)</f>
        <v>15.737900000000081</v>
      </c>
      <c r="I1263" s="10">
        <f ca="1">IF(B1263="","",股指期货基差分析!$D$11)</f>
        <v>-19.923978315132629</v>
      </c>
      <c r="L1263" s="43"/>
    </row>
    <row r="1264" spans="2:17" ht="15" customHeight="1" x14ac:dyDescent="0.2">
      <c r="B1264" s="7">
        <v>45369</v>
      </c>
      <c r="C1264" s="5">
        <f>IF(B1264="","",[1]!s_dq_close(股指期货基差分析!$E$5,$B1264))</f>
        <v>5528.4470000000001</v>
      </c>
      <c r="D1264" s="5">
        <f>IF(B1264="","",[1]!s_dq_close(股指期货基差分析!$E$6,$B1264))</f>
        <v>5533</v>
      </c>
      <c r="E1264" s="5">
        <f ca="1">RANK(F1264,F:F)+COUNTIF(F$2:F1264,F1264)-1</f>
        <v>193</v>
      </c>
      <c r="F1264" s="5">
        <f t="shared" si="20"/>
        <v>4.5529999999998836</v>
      </c>
      <c r="G1264" s="5">
        <f ca="1">IF(B1264="","",股指期货基差分析!$N$11)</f>
        <v>-71.408500000000458</v>
      </c>
      <c r="H1264" s="5">
        <f ca="1">IF(B1264="","",股指期货基差分析!$L$11)</f>
        <v>15.737900000000081</v>
      </c>
      <c r="I1264" s="9">
        <f ca="1">IF(B1264="","",股指期货基差分析!$D$11)</f>
        <v>-19.923978315132629</v>
      </c>
      <c r="L1264" s="43"/>
    </row>
    <row r="1265" spans="2:12" ht="15" customHeight="1" x14ac:dyDescent="0.2">
      <c r="B1265" s="8">
        <v>45370</v>
      </c>
      <c r="C1265" s="6">
        <f>IF(B1265="","",[1]!s_dq_close(股指期货基差分析!$E$5,$B1265))</f>
        <v>5478.2248</v>
      </c>
      <c r="D1265" s="6">
        <f>IF(B1265="","",[1]!s_dq_close(股指期货基差分析!$E$6,$B1265))</f>
        <v>5472.2</v>
      </c>
      <c r="E1265" s="6">
        <f ca="1">RANK(F1265,F:F)+COUNTIF(F$2:F1265,F1265)-1</f>
        <v>441</v>
      </c>
      <c r="F1265" s="6">
        <f t="shared" si="20"/>
        <v>-6.0248000000001412</v>
      </c>
      <c r="G1265" s="6">
        <f ca="1">IF(B1265="","",股指期货基差分析!$N$11)</f>
        <v>-71.408500000000458</v>
      </c>
      <c r="H1265" s="6">
        <f ca="1">IF(B1265="","",股指期货基差分析!$L$11)</f>
        <v>15.737900000000081</v>
      </c>
      <c r="I1265" s="10">
        <f ca="1">IF(B1265="","",股指期货基差分析!$D$11)</f>
        <v>-19.923978315132629</v>
      </c>
      <c r="L1265" s="43"/>
    </row>
    <row r="1266" spans="2:12" ht="15" customHeight="1" x14ac:dyDescent="0.2">
      <c r="B1266" s="7">
        <v>45371</v>
      </c>
      <c r="C1266" s="5">
        <f>IF(B1266="","",[1]!s_dq_close(股指期货基差分析!$E$5,$B1266))</f>
        <v>5493.4139999999998</v>
      </c>
      <c r="D1266" s="5">
        <f>IF(B1266="","",[1]!s_dq_close(股指期货基差分析!$E$6,$B1266))</f>
        <v>5486</v>
      </c>
      <c r="E1266" s="5">
        <f ca="1">RANK(F1266,F:F)+COUNTIF(F$2:F1266,F1266)-1</f>
        <v>484</v>
      </c>
      <c r="F1266" s="5">
        <f t="shared" si="20"/>
        <v>-7.4139999999997599</v>
      </c>
      <c r="G1266" s="5">
        <f ca="1">IF(B1266="","",股指期货基差分析!$N$11)</f>
        <v>-71.408500000000458</v>
      </c>
      <c r="H1266" s="5">
        <f ca="1">IF(B1266="","",股指期货基差分析!$L$11)</f>
        <v>15.737900000000081</v>
      </c>
      <c r="I1266" s="9">
        <f ca="1">IF(B1266="","",股指期货基差分析!$D$11)</f>
        <v>-19.923978315132629</v>
      </c>
      <c r="L1266" s="43"/>
    </row>
    <row r="1267" spans="2:12" ht="15" customHeight="1" x14ac:dyDescent="0.2">
      <c r="B1267" s="8">
        <v>45372</v>
      </c>
      <c r="C1267" s="6">
        <f>IF(B1267="","",[1]!s_dq_close(股指期货基差分析!$E$5,$B1267))</f>
        <v>5465.8285999999998</v>
      </c>
      <c r="D1267" s="6">
        <f>IF(B1267="","",[1]!s_dq_close(股指期货基差分析!$E$6,$B1267))</f>
        <v>5457.8</v>
      </c>
      <c r="E1267" s="6">
        <f ca="1">RANK(F1267,F:F)+COUNTIF(F$2:F1267,F1267)-1</f>
        <v>504</v>
      </c>
      <c r="F1267" s="6">
        <f t="shared" si="20"/>
        <v>-8.028599999999642</v>
      </c>
      <c r="G1267" s="6">
        <f ca="1">IF(B1267="","",股指期货基差分析!$N$11)</f>
        <v>-71.408500000000458</v>
      </c>
      <c r="H1267" s="6">
        <f ca="1">IF(B1267="","",股指期货基差分析!$L$11)</f>
        <v>15.737900000000081</v>
      </c>
      <c r="I1267" s="10">
        <f ca="1">IF(B1267="","",股指期货基差分析!$D$11)</f>
        <v>-19.923978315132629</v>
      </c>
      <c r="L1267" s="43"/>
    </row>
    <row r="1268" spans="2:12" ht="15" customHeight="1" x14ac:dyDescent="0.2">
      <c r="B1268" s="7">
        <v>45373</v>
      </c>
      <c r="C1268" s="5">
        <f>IF(B1268="","",[1]!s_dq_close(股指期货基差分析!$E$5,$B1268))</f>
        <v>5384.5655999999999</v>
      </c>
      <c r="D1268" s="5">
        <f>IF(B1268="","",[1]!s_dq_close(股指期货基差分析!$E$6,$B1268))</f>
        <v>5367</v>
      </c>
      <c r="E1268" s="5">
        <f ca="1">RANK(F1268,F:F)+COUNTIF(F$2:F1268,F1268)-1</f>
        <v>710</v>
      </c>
      <c r="F1268" s="5">
        <f t="shared" si="20"/>
        <v>-17.565599999999904</v>
      </c>
      <c r="G1268" s="5">
        <f ca="1">IF(B1268="","",股指期货基差分析!$N$11)</f>
        <v>-71.408500000000458</v>
      </c>
      <c r="H1268" s="5">
        <f ca="1">IF(B1268="","",股指期货基差分析!$L$11)</f>
        <v>15.737900000000081</v>
      </c>
      <c r="I1268" s="9">
        <f ca="1">IF(B1268="","",股指期货基差分析!$D$11)</f>
        <v>-19.923978315132629</v>
      </c>
      <c r="L1268" s="43"/>
    </row>
    <row r="1269" spans="2:12" ht="15" customHeight="1" x14ac:dyDescent="0.2">
      <c r="B1269" s="8">
        <v>45376</v>
      </c>
      <c r="C1269" s="6">
        <f>IF(B1269="","",[1]!s_dq_close(股指期货基差分析!$E$5,$B1269))</f>
        <v>5294.7462999999998</v>
      </c>
      <c r="D1269" s="6">
        <f>IF(B1269="","",[1]!s_dq_close(股指期货基差分析!$E$6,$B1269))</f>
        <v>5293.8</v>
      </c>
      <c r="E1269" s="6">
        <f ca="1">RANK(F1269,F:F)+COUNTIF(F$2:F1269,F1269)-1</f>
        <v>316</v>
      </c>
      <c r="F1269" s="6">
        <f t="shared" si="20"/>
        <v>-0.94629999999961001</v>
      </c>
      <c r="G1269" s="6">
        <f ca="1">IF(B1269="","",股指期货基差分析!$N$11)</f>
        <v>-71.408500000000458</v>
      </c>
      <c r="H1269" s="6">
        <f ca="1">IF(B1269="","",股指期货基差分析!$L$11)</f>
        <v>15.737900000000081</v>
      </c>
      <c r="I1269" s="10">
        <f ca="1">IF(B1269="","",股指期货基差分析!$D$11)</f>
        <v>-19.923978315132629</v>
      </c>
      <c r="L1269" s="43"/>
    </row>
    <row r="1270" spans="2:12" ht="15" customHeight="1" x14ac:dyDescent="0.2">
      <c r="B1270" s="7">
        <v>45377</v>
      </c>
      <c r="C1270" s="5">
        <f>IF(B1270="","",[1]!s_dq_close(股指期货基差分析!$E$5,$B1270))</f>
        <v>5284.4188000000004</v>
      </c>
      <c r="D1270" s="5">
        <f>IF(B1270="","",[1]!s_dq_close(股指期货基差分析!$E$6,$B1270))</f>
        <v>5267.4</v>
      </c>
      <c r="E1270" s="5">
        <f ca="1">RANK(F1270,F:F)+COUNTIF(F$2:F1270,F1270)-1</f>
        <v>699</v>
      </c>
      <c r="F1270" s="5">
        <f t="shared" si="20"/>
        <v>-17.018800000000738</v>
      </c>
      <c r="G1270" s="5">
        <f ca="1">IF(B1270="","",股指期货基差分析!$N$11)</f>
        <v>-71.408500000000458</v>
      </c>
      <c r="H1270" s="5">
        <f ca="1">IF(B1270="","",股指期货基差分析!$L$11)</f>
        <v>15.737900000000081</v>
      </c>
      <c r="I1270" s="9">
        <f ca="1">IF(B1270="","",股指期货基差分析!$D$11)</f>
        <v>-19.923978315132629</v>
      </c>
      <c r="L1270" s="43"/>
    </row>
    <row r="1271" spans="2:12" ht="15" customHeight="1" x14ac:dyDescent="0.2">
      <c r="B1271" s="8">
        <v>45378</v>
      </c>
      <c r="C1271" s="6">
        <f>IF(B1271="","",[1]!s_dq_close(股指期货基差分析!$E$5,$B1271))</f>
        <v>5156.6840000000002</v>
      </c>
      <c r="D1271" s="6">
        <f>IF(B1271="","",[1]!s_dq_close(股指期货基差分析!$E$6,$B1271))</f>
        <v>5150.6000000000004</v>
      </c>
      <c r="E1271" s="6">
        <f ca="1">RANK(F1271,F:F)+COUNTIF(F$2:F1271,F1271)-1</f>
        <v>444</v>
      </c>
      <c r="F1271" s="6">
        <f t="shared" si="20"/>
        <v>-6.0839999999998327</v>
      </c>
      <c r="G1271" s="6">
        <f ca="1">IF(B1271="","",股指期货基差分析!$N$11)</f>
        <v>-71.408500000000458</v>
      </c>
      <c r="H1271" s="6">
        <f ca="1">IF(B1271="","",股指期货基差分析!$L$11)</f>
        <v>15.737900000000081</v>
      </c>
      <c r="I1271" s="10">
        <f ca="1">IF(B1271="","",股指期货基差分析!$D$11)</f>
        <v>-19.923978315132629</v>
      </c>
      <c r="L1271" s="43"/>
    </row>
    <row r="1272" spans="2:12" ht="15" customHeight="1" x14ac:dyDescent="0.2">
      <c r="B1272" s="7">
        <v>45379</v>
      </c>
      <c r="C1272" s="5">
        <f>IF(B1272="","",[1]!s_dq_close(股指期货基差分析!$E$5,$B1272))</f>
        <v>5223.8059999999996</v>
      </c>
      <c r="D1272" s="5">
        <f>IF(B1272="","",[1]!s_dq_close(股指期货基差分析!$E$6,$B1272))</f>
        <v>5216.8</v>
      </c>
      <c r="E1272" s="5">
        <f ca="1">RANK(F1272,F:F)+COUNTIF(F$2:F1272,F1272)-1</f>
        <v>471</v>
      </c>
      <c r="F1272" s="5">
        <f t="shared" si="20"/>
        <v>-7.0059999999994034</v>
      </c>
      <c r="G1272" s="5">
        <f ca="1">IF(B1272="","",股指期货基差分析!$N$11)</f>
        <v>-71.408500000000458</v>
      </c>
      <c r="H1272" s="5">
        <f ca="1">IF(B1272="","",股指期货基差分析!$L$11)</f>
        <v>15.737900000000081</v>
      </c>
      <c r="I1272" s="9">
        <f ca="1">IF(B1272="","",股指期货基差分析!$D$11)</f>
        <v>-19.923978315132629</v>
      </c>
      <c r="L1272" s="43"/>
    </row>
    <row r="1273" spans="2:12" ht="15" customHeight="1" x14ac:dyDescent="0.2">
      <c r="B1273" s="8">
        <v>45380</v>
      </c>
      <c r="C1273" s="6">
        <f>IF(B1273="","",[1]!s_dq_close(股指期货基差分析!$E$5,$B1273))</f>
        <v>5286.1611999999996</v>
      </c>
      <c r="D1273" s="6">
        <f>IF(B1273="","",[1]!s_dq_close(股指期货基差分析!$E$6,$B1273))</f>
        <v>5288.4</v>
      </c>
      <c r="E1273" s="6">
        <f ca="1">RANK(F1273,F:F)+COUNTIF(F$2:F1273,F1273)-1</f>
        <v>256</v>
      </c>
      <c r="F1273" s="6">
        <f t="shared" si="20"/>
        <v>2.2388000000000829</v>
      </c>
      <c r="G1273" s="6">
        <f ca="1">IF(B1273="","",股指期货基差分析!$N$11)</f>
        <v>-71.408500000000458</v>
      </c>
      <c r="H1273" s="6">
        <f ca="1">IF(B1273="","",股指期货基差分析!$L$11)</f>
        <v>15.737900000000081</v>
      </c>
      <c r="I1273" s="10">
        <f ca="1">IF(B1273="","",股指期货基差分析!$D$11)</f>
        <v>-19.923978315132629</v>
      </c>
      <c r="L1273" s="43"/>
    </row>
    <row r="1274" spans="2:12" ht="15" customHeight="1" x14ac:dyDescent="0.2">
      <c r="B1274" s="7">
        <v>45383</v>
      </c>
      <c r="C1274" s="5">
        <f>IF(B1274="","",[1]!s_dq_close(股指期货基差分析!$E$5,$B1274))</f>
        <v>5401.2249000000002</v>
      </c>
      <c r="D1274" s="5">
        <f>IF(B1274="","",[1]!s_dq_close(股指期货基差分析!$E$6,$B1274))</f>
        <v>5404</v>
      </c>
      <c r="E1274" s="5">
        <f ca="1">RANK(F1274,F:F)+COUNTIF(F$2:F1274,F1274)-1</f>
        <v>243</v>
      </c>
      <c r="F1274" s="5">
        <f t="shared" si="20"/>
        <v>2.7750999999998385</v>
      </c>
      <c r="G1274" s="5">
        <f ca="1">IF(B1274="","",股指期货基差分析!$N$11)</f>
        <v>-71.408500000000458</v>
      </c>
      <c r="H1274" s="5">
        <f ca="1">IF(B1274="","",股指期货基差分析!$L$11)</f>
        <v>15.737900000000081</v>
      </c>
      <c r="I1274" s="9">
        <f ca="1">IF(B1274="","",股指期货基差分析!$D$11)</f>
        <v>-19.923978315132629</v>
      </c>
      <c r="L1274" s="43"/>
    </row>
    <row r="1275" spans="2:12" ht="15" customHeight="1" x14ac:dyDescent="0.2">
      <c r="B1275" s="8">
        <v>45384</v>
      </c>
      <c r="C1275" s="6">
        <f>IF(B1275="","",[1]!s_dq_close(股指期货基差分析!$E$5,$B1275))</f>
        <v>5381.2290999999996</v>
      </c>
      <c r="D1275" s="6">
        <f>IF(B1275="","",[1]!s_dq_close(股指期货基差分析!$E$6,$B1275))</f>
        <v>5381.8</v>
      </c>
      <c r="E1275" s="6">
        <f ca="1">RANK(F1275,F:F)+COUNTIF(F$2:F1275,F1275)-1</f>
        <v>278</v>
      </c>
      <c r="F1275" s="6">
        <f t="shared" si="20"/>
        <v>0.57090000000061991</v>
      </c>
      <c r="G1275" s="6">
        <f ca="1">IF(B1275="","",股指期货基差分析!$N$11)</f>
        <v>-71.408500000000458</v>
      </c>
      <c r="H1275" s="6">
        <f ca="1">IF(B1275="","",股指期货基差分析!$L$11)</f>
        <v>15.737900000000081</v>
      </c>
      <c r="I1275" s="10">
        <f ca="1">IF(B1275="","",股指期货基差分析!$D$11)</f>
        <v>-19.923978315132629</v>
      </c>
      <c r="L1275" s="43"/>
    </row>
    <row r="1276" spans="2:12" ht="15" customHeight="1" x14ac:dyDescent="0.2">
      <c r="B1276" s="7">
        <v>45385</v>
      </c>
      <c r="C1276" s="5">
        <f>IF(B1276="","",[1]!s_dq_close(股指期货基差分析!$E$5,$B1276))</f>
        <v>5374.5954000000002</v>
      </c>
      <c r="D1276" s="5">
        <f>IF(B1276="","",[1]!s_dq_close(股指期货基差分析!$E$6,$B1276))</f>
        <v>5372</v>
      </c>
      <c r="E1276" s="5">
        <f ca="1">RANK(F1276,F:F)+COUNTIF(F$2:F1276,F1276)-1</f>
        <v>360</v>
      </c>
      <c r="F1276" s="5">
        <f t="shared" si="20"/>
        <v>-2.5954000000001543</v>
      </c>
      <c r="G1276" s="5">
        <f ca="1">IF(B1276="","",股指期货基差分析!$N$11)</f>
        <v>-71.408500000000458</v>
      </c>
      <c r="H1276" s="5">
        <f ca="1">IF(B1276="","",股指期货基差分析!$L$11)</f>
        <v>15.737900000000081</v>
      </c>
      <c r="I1276" s="9">
        <f ca="1">IF(B1276="","",股指期货基差分析!$D$11)</f>
        <v>-19.923978315132629</v>
      </c>
      <c r="L1276" s="43"/>
    </row>
    <row r="1277" spans="2:12" ht="15" customHeight="1" x14ac:dyDescent="0.2">
      <c r="B1277" s="8">
        <v>45390</v>
      </c>
      <c r="C1277" s="6">
        <f>IF(B1277="","",[1]!s_dq_close(股指期货基差分析!$E$5,$B1277))</f>
        <v>5298.5911999999998</v>
      </c>
      <c r="D1277" s="6">
        <f>IF(B1277="","",[1]!s_dq_close(股指期货基差分析!$E$6,$B1277))</f>
        <v>5286.2</v>
      </c>
      <c r="E1277" s="6">
        <f ca="1">RANK(F1277,F:F)+COUNTIF(F$2:F1277,F1277)-1</f>
        <v>603</v>
      </c>
      <c r="F1277" s="6">
        <f t="shared" si="20"/>
        <v>-12.391200000000026</v>
      </c>
      <c r="G1277" s="6">
        <f ca="1">IF(B1277="","",股指期货基差分析!$N$11)</f>
        <v>-71.408500000000458</v>
      </c>
      <c r="H1277" s="6">
        <f ca="1">IF(B1277="","",股指期货基差分析!$L$11)</f>
        <v>15.737900000000081</v>
      </c>
      <c r="I1277" s="10">
        <f ca="1">IF(B1277="","",股指期货基差分析!$D$11)</f>
        <v>-19.923978315132629</v>
      </c>
      <c r="L1277" s="43"/>
    </row>
    <row r="1278" spans="2:12" ht="15" customHeight="1" x14ac:dyDescent="0.2">
      <c r="B1278" s="7">
        <v>45391</v>
      </c>
      <c r="C1278" s="5">
        <f>IF(B1278="","",[1]!s_dq_close(股指期货基差分析!$E$5,$B1278))</f>
        <v>5342.8981999999996</v>
      </c>
      <c r="D1278" s="5">
        <f>IF(B1278="","",[1]!s_dq_close(股指期货基差分析!$E$6,$B1278))</f>
        <v>5334.2</v>
      </c>
      <c r="E1278" s="5">
        <f ca="1">RANK(F1278,F:F)+COUNTIF(F$2:F1278,F1278)-1</f>
        <v>520</v>
      </c>
      <c r="F1278" s="5">
        <f t="shared" si="20"/>
        <v>-8.6981999999998152</v>
      </c>
      <c r="G1278" s="5">
        <f ca="1">IF(B1278="","",股指期货基差分析!$N$11)</f>
        <v>-71.408500000000458</v>
      </c>
      <c r="H1278" s="5">
        <f ca="1">IF(B1278="","",股指期货基差分析!$L$11)</f>
        <v>15.737900000000081</v>
      </c>
      <c r="I1278" s="9">
        <f ca="1">IF(B1278="","",股指期货基差分析!$D$11)</f>
        <v>-19.923978315132629</v>
      </c>
      <c r="L1278" s="43"/>
    </row>
    <row r="1279" spans="2:12" ht="15" customHeight="1" x14ac:dyDescent="0.2">
      <c r="B1279" s="8">
        <v>45392</v>
      </c>
      <c r="C1279" s="6">
        <f>IF(B1279="","",[1]!s_dq_close(股指期货基差分析!$E$5,$B1279))</f>
        <v>5275.4727000000003</v>
      </c>
      <c r="D1279" s="6">
        <f>IF(B1279="","",[1]!s_dq_close(股指期货基差分析!$E$6,$B1279))</f>
        <v>5269</v>
      </c>
      <c r="E1279" s="6">
        <f ca="1">RANK(F1279,F:F)+COUNTIF(F$2:F1279,F1279)-1</f>
        <v>457</v>
      </c>
      <c r="F1279" s="6">
        <f t="shared" si="20"/>
        <v>-6.472700000000259</v>
      </c>
      <c r="G1279" s="6">
        <f ca="1">IF(B1279="","",股指期货基差分析!$N$11)</f>
        <v>-71.408500000000458</v>
      </c>
      <c r="H1279" s="6">
        <f ca="1">IF(B1279="","",股指期货基差分析!$L$11)</f>
        <v>15.737900000000081</v>
      </c>
      <c r="I1279" s="10">
        <f ca="1">IF(B1279="","",股指期货基差分析!$D$11)</f>
        <v>-19.923978315132629</v>
      </c>
      <c r="L1279" s="43"/>
    </row>
    <row r="1280" spans="2:12" ht="15" customHeight="1" x14ac:dyDescent="0.2">
      <c r="B1280" s="7">
        <v>45393</v>
      </c>
      <c r="C1280" s="5">
        <f>IF(B1280="","",[1]!s_dq_close(股指期货基差分析!$E$5,$B1280))</f>
        <v>5301.8094000000001</v>
      </c>
      <c r="D1280" s="5">
        <f>IF(B1280="","",[1]!s_dq_close(股指期货基差分析!$E$6,$B1280))</f>
        <v>5303</v>
      </c>
      <c r="E1280" s="5">
        <f ca="1">RANK(F1280,F:F)+COUNTIF(F$2:F1280,F1280)-1</f>
        <v>264</v>
      </c>
      <c r="F1280" s="5">
        <f t="shared" si="20"/>
        <v>1.190599999999904</v>
      </c>
      <c r="G1280" s="5">
        <f ca="1">IF(B1280="","",股指期货基差分析!$N$11)</f>
        <v>-71.408500000000458</v>
      </c>
      <c r="H1280" s="5">
        <f ca="1">IF(B1280="","",股指期货基差分析!$L$11)</f>
        <v>15.737900000000081</v>
      </c>
      <c r="I1280" s="9">
        <f ca="1">IF(B1280="","",股指期货基差分析!$D$11)</f>
        <v>-19.923978315132629</v>
      </c>
      <c r="L1280" s="43"/>
    </row>
    <row r="1281" spans="2:12" ht="15" customHeight="1" x14ac:dyDescent="0.2">
      <c r="B1281" s="8">
        <v>45394</v>
      </c>
      <c r="C1281" s="6">
        <f>IF(B1281="","",[1]!s_dq_close(股指期货基差分析!$E$5,$B1281))</f>
        <v>5277.2190000000001</v>
      </c>
      <c r="D1281" s="6">
        <f>IF(B1281="","",[1]!s_dq_close(股指期货基差分析!$E$6,$B1281))</f>
        <v>5263.2</v>
      </c>
      <c r="E1281" s="6">
        <f ca="1">RANK(F1281,F:F)+COUNTIF(F$2:F1281,F1281)-1</f>
        <v>639</v>
      </c>
      <c r="F1281" s="6">
        <f t="shared" si="20"/>
        <v>-14.019000000000233</v>
      </c>
      <c r="G1281" s="6">
        <f ca="1">IF(B1281="","",股指期货基差分析!$N$11)</f>
        <v>-71.408500000000458</v>
      </c>
      <c r="H1281" s="6">
        <f ca="1">IF(B1281="","",股指期货基差分析!$L$11)</f>
        <v>15.737900000000081</v>
      </c>
      <c r="I1281" s="10">
        <f ca="1">IF(B1281="","",股指期货基差分析!$D$11)</f>
        <v>-19.923978315132629</v>
      </c>
      <c r="L1281" s="43"/>
    </row>
    <row r="1282" spans="2:12" ht="15" customHeight="1" x14ac:dyDescent="0.2">
      <c r="B1282" s="7">
        <v>45397</v>
      </c>
      <c r="C1282" s="5">
        <f>IF(B1282="","",[1]!s_dq_close(股指期货基差分析!$E$5,$B1282))</f>
        <v>5339.7223000000004</v>
      </c>
      <c r="D1282" s="5">
        <f>IF(B1282="","",[1]!s_dq_close(股指期货基差分析!$E$6,$B1282))</f>
        <v>5345</v>
      </c>
      <c r="E1282" s="5">
        <f ca="1">RANK(F1282,F:F)+COUNTIF(F$2:F1282,F1282)-1</f>
        <v>183</v>
      </c>
      <c r="F1282" s="5">
        <f t="shared" ref="F1282:F1345" si="21">IF(B1282="","",D1282-C1282)</f>
        <v>5.2776999999996406</v>
      </c>
      <c r="G1282" s="5">
        <f ca="1">IF(B1282="","",股指期货基差分析!$N$11)</f>
        <v>-71.408500000000458</v>
      </c>
      <c r="H1282" s="5">
        <f ca="1">IF(B1282="","",股指期货基差分析!$L$11)</f>
        <v>15.737900000000081</v>
      </c>
      <c r="I1282" s="9">
        <f ca="1">IF(B1282="","",股指期货基差分析!$D$11)</f>
        <v>-19.923978315132629</v>
      </c>
      <c r="L1282" s="43"/>
    </row>
    <row r="1283" spans="2:12" ht="15" customHeight="1" x14ac:dyDescent="0.2">
      <c r="B1283" s="8">
        <v>45398</v>
      </c>
      <c r="C1283" s="6">
        <f>IF(B1283="","",[1]!s_dq_close(股指期货基差分析!$E$5,$B1283))</f>
        <v>5191.5540000000001</v>
      </c>
      <c r="D1283" s="6">
        <f>IF(B1283="","",[1]!s_dq_close(股指期货基差分析!$E$6,$B1283))</f>
        <v>5198</v>
      </c>
      <c r="E1283" s="6">
        <f ca="1">RANK(F1283,F:F)+COUNTIF(F$2:F1283,F1283)-1</f>
        <v>161</v>
      </c>
      <c r="F1283" s="6">
        <f t="shared" si="21"/>
        <v>6.4459999999999127</v>
      </c>
      <c r="G1283" s="6">
        <f ca="1">IF(B1283="","",股指期货基差分析!$N$11)</f>
        <v>-71.408500000000458</v>
      </c>
      <c r="H1283" s="6">
        <f ca="1">IF(B1283="","",股指期货基差分析!$L$11)</f>
        <v>15.737900000000081</v>
      </c>
      <c r="I1283" s="10">
        <f ca="1">IF(B1283="","",股指期货基差分析!$D$11)</f>
        <v>-19.923978315132629</v>
      </c>
      <c r="L1283" s="43"/>
    </row>
    <row r="1284" spans="2:12" ht="15" customHeight="1" x14ac:dyDescent="0.2">
      <c r="B1284" s="7"/>
      <c r="C1284" s="5" t="str">
        <f>IF(B1284="","",[1]!s_dq_close(股指期货基差分析!$E$5,$B1284))</f>
        <v/>
      </c>
      <c r="D1284" s="5" t="str">
        <f>IF(B1284="","",[1]!s_dq_close(股指期货基差分析!$E$6,$B1284))</f>
        <v/>
      </c>
      <c r="E1284" s="5" t="e">
        <f ca="1">RANK(F1284,F:F)+COUNTIF(F$2:F1284,F1284)-1</f>
        <v>#VALUE!</v>
      </c>
      <c r="F1284" s="5" t="str">
        <f t="shared" si="21"/>
        <v/>
      </c>
      <c r="G1284" s="5" t="str">
        <f>IF(B1284="","",股指期货基差分析!$N$11)</f>
        <v/>
      </c>
      <c r="H1284" s="5" t="str">
        <f>IF(B1284="","",股指期货基差分析!$L$11)</f>
        <v/>
      </c>
      <c r="I1284" s="9" t="str">
        <f>IF(B1284="","",股指期货基差分析!$D$11)</f>
        <v/>
      </c>
      <c r="L1284" s="43"/>
    </row>
    <row r="1285" spans="2:12" ht="15" customHeight="1" x14ac:dyDescent="0.2">
      <c r="B1285" s="8"/>
      <c r="C1285" s="6" t="str">
        <f>IF(B1285="","",[1]!s_dq_close(股指期货基差分析!$E$5,$B1285))</f>
        <v/>
      </c>
      <c r="D1285" s="6" t="str">
        <f>IF(B1285="","",[1]!s_dq_close(股指期货基差分析!$E$6,$B1285))</f>
        <v/>
      </c>
      <c r="E1285" s="6" t="e">
        <f ca="1">RANK(F1285,F:F)+COUNTIF(F$2:F1285,F1285)-1</f>
        <v>#VALUE!</v>
      </c>
      <c r="F1285" s="6" t="str">
        <f t="shared" si="21"/>
        <v/>
      </c>
      <c r="G1285" s="6" t="str">
        <f>IF(B1285="","",股指期货基差分析!$N$11)</f>
        <v/>
      </c>
      <c r="H1285" s="6" t="str">
        <f>IF(B1285="","",股指期货基差分析!$L$11)</f>
        <v/>
      </c>
      <c r="I1285" s="10" t="str">
        <f>IF(B1285="","",股指期货基差分析!$D$11)</f>
        <v/>
      </c>
      <c r="L1285" s="43"/>
    </row>
    <row r="1286" spans="2:12" ht="15" customHeight="1" x14ac:dyDescent="0.2">
      <c r="B1286" s="7"/>
      <c r="C1286" s="5" t="str">
        <f>IF(B1286="","",[1]!s_dq_close(股指期货基差分析!$E$5,$B1286))</f>
        <v/>
      </c>
      <c r="D1286" s="5" t="str">
        <f>IF(B1286="","",[1]!s_dq_close(股指期货基差分析!$E$6,$B1286))</f>
        <v/>
      </c>
      <c r="E1286" s="5" t="e">
        <f ca="1">RANK(F1286,F:F)+COUNTIF(F$2:F1286,F1286)-1</f>
        <v>#VALUE!</v>
      </c>
      <c r="F1286" s="5" t="str">
        <f t="shared" si="21"/>
        <v/>
      </c>
      <c r="G1286" s="5" t="str">
        <f>IF(B1286="","",股指期货基差分析!$N$11)</f>
        <v/>
      </c>
      <c r="H1286" s="5" t="str">
        <f>IF(B1286="","",股指期货基差分析!$L$11)</f>
        <v/>
      </c>
      <c r="I1286" s="9" t="str">
        <f>IF(B1286="","",股指期货基差分析!$D$11)</f>
        <v/>
      </c>
      <c r="L1286" s="43"/>
    </row>
    <row r="1287" spans="2:12" ht="15" customHeight="1" x14ac:dyDescent="0.2">
      <c r="B1287" s="8"/>
      <c r="C1287" s="6" t="str">
        <f>IF(B1287="","",[1]!s_dq_close(股指期货基差分析!$E$5,$B1287))</f>
        <v/>
      </c>
      <c r="D1287" s="6" t="str">
        <f>IF(B1287="","",[1]!s_dq_close(股指期货基差分析!$E$6,$B1287))</f>
        <v/>
      </c>
      <c r="E1287" s="6" t="e">
        <f ca="1">RANK(F1287,F:F)+COUNTIF(F$2:F1287,F1287)-1</f>
        <v>#VALUE!</v>
      </c>
      <c r="F1287" s="6" t="str">
        <f t="shared" si="21"/>
        <v/>
      </c>
      <c r="G1287" s="6" t="str">
        <f>IF(B1287="","",股指期货基差分析!$N$11)</f>
        <v/>
      </c>
      <c r="H1287" s="6" t="str">
        <f>IF(B1287="","",股指期货基差分析!$L$11)</f>
        <v/>
      </c>
      <c r="I1287" s="10" t="str">
        <f>IF(B1287="","",股指期货基差分析!$D$11)</f>
        <v/>
      </c>
      <c r="L1287" s="43"/>
    </row>
    <row r="1288" spans="2:12" ht="15" customHeight="1" x14ac:dyDescent="0.2">
      <c r="B1288" s="7"/>
      <c r="C1288" s="5" t="str">
        <f>IF(B1288="","",[1]!s_dq_close(股指期货基差分析!$E$5,$B1288))</f>
        <v/>
      </c>
      <c r="D1288" s="5" t="str">
        <f>IF(B1288="","",[1]!s_dq_close(股指期货基差分析!$E$6,$B1288))</f>
        <v/>
      </c>
      <c r="E1288" s="5" t="e">
        <f ca="1">RANK(F1288,F:F)+COUNTIF(F$2:F1288,F1288)-1</f>
        <v>#VALUE!</v>
      </c>
      <c r="F1288" s="5" t="str">
        <f t="shared" si="21"/>
        <v/>
      </c>
      <c r="G1288" s="5" t="str">
        <f>IF(B1288="","",股指期货基差分析!$N$11)</f>
        <v/>
      </c>
      <c r="H1288" s="5" t="str">
        <f>IF(B1288="","",股指期货基差分析!$L$11)</f>
        <v/>
      </c>
      <c r="I1288" s="9" t="str">
        <f>IF(B1288="","",股指期货基差分析!$D$11)</f>
        <v/>
      </c>
      <c r="L1288" s="43"/>
    </row>
    <row r="1289" spans="2:12" ht="15" customHeight="1" x14ac:dyDescent="0.2">
      <c r="B1289" s="8"/>
      <c r="C1289" s="6" t="str">
        <f>IF(B1289="","",[1]!s_dq_close(股指期货基差分析!$E$5,$B1289))</f>
        <v/>
      </c>
      <c r="D1289" s="6" t="str">
        <f>IF(B1289="","",[1]!s_dq_close(股指期货基差分析!$E$6,$B1289))</f>
        <v/>
      </c>
      <c r="E1289" s="6" t="e">
        <f ca="1">RANK(F1289,F:F)+COUNTIF(F$2:F1289,F1289)-1</f>
        <v>#VALUE!</v>
      </c>
      <c r="F1289" s="6" t="str">
        <f t="shared" si="21"/>
        <v/>
      </c>
      <c r="G1289" s="6" t="str">
        <f>IF(B1289="","",股指期货基差分析!$N$11)</f>
        <v/>
      </c>
      <c r="H1289" s="6" t="str">
        <f>IF(B1289="","",股指期货基差分析!$L$11)</f>
        <v/>
      </c>
      <c r="I1289" s="10" t="str">
        <f>IF(B1289="","",股指期货基差分析!$D$11)</f>
        <v/>
      </c>
      <c r="L1289" s="43"/>
    </row>
    <row r="1290" spans="2:12" ht="15" customHeight="1" x14ac:dyDescent="0.2">
      <c r="B1290" s="7"/>
      <c r="C1290" s="5" t="str">
        <f>IF(B1290="","",[1]!s_dq_close(股指期货基差分析!$E$5,$B1290))</f>
        <v/>
      </c>
      <c r="D1290" s="5" t="str">
        <f>IF(B1290="","",[1]!s_dq_close(股指期货基差分析!$E$6,$B1290))</f>
        <v/>
      </c>
      <c r="E1290" s="5" t="e">
        <f ca="1">RANK(F1290,F:F)+COUNTIF(F$2:F1290,F1290)-1</f>
        <v>#VALUE!</v>
      </c>
      <c r="F1290" s="5" t="str">
        <f t="shared" si="21"/>
        <v/>
      </c>
      <c r="G1290" s="5" t="str">
        <f>IF(B1290="","",股指期货基差分析!$N$11)</f>
        <v/>
      </c>
      <c r="H1290" s="5" t="str">
        <f>IF(B1290="","",股指期货基差分析!$L$11)</f>
        <v/>
      </c>
      <c r="I1290" s="9" t="str">
        <f>IF(B1290="","",股指期货基差分析!$D$11)</f>
        <v/>
      </c>
      <c r="L1290" s="43"/>
    </row>
    <row r="1291" spans="2:12" ht="15" customHeight="1" x14ac:dyDescent="0.2">
      <c r="B1291" s="8"/>
      <c r="C1291" s="6" t="str">
        <f>IF(B1291="","",[1]!s_dq_close(股指期货基差分析!$E$5,$B1291))</f>
        <v/>
      </c>
      <c r="D1291" s="6" t="str">
        <f>IF(B1291="","",[1]!s_dq_close(股指期货基差分析!$E$6,$B1291))</f>
        <v/>
      </c>
      <c r="E1291" s="6" t="e">
        <f ca="1">RANK(F1291,F:F)+COUNTIF(F$2:F1291,F1291)-1</f>
        <v>#VALUE!</v>
      </c>
      <c r="F1291" s="6" t="str">
        <f t="shared" si="21"/>
        <v/>
      </c>
      <c r="G1291" s="6" t="str">
        <f>IF(B1291="","",股指期货基差分析!$N$11)</f>
        <v/>
      </c>
      <c r="H1291" s="6" t="str">
        <f>IF(B1291="","",股指期货基差分析!$L$11)</f>
        <v/>
      </c>
      <c r="I1291" s="10" t="str">
        <f>IF(B1291="","",股指期货基差分析!$D$11)</f>
        <v/>
      </c>
      <c r="L1291" s="43"/>
    </row>
    <row r="1292" spans="2:12" ht="15" customHeight="1" x14ac:dyDescent="0.2">
      <c r="B1292" s="7"/>
      <c r="C1292" s="5" t="str">
        <f>IF(B1292="","",[1]!s_dq_close(股指期货基差分析!$E$5,$B1292))</f>
        <v/>
      </c>
      <c r="D1292" s="5" t="str">
        <f>IF(B1292="","",[1]!s_dq_close(股指期货基差分析!$E$6,$B1292))</f>
        <v/>
      </c>
      <c r="E1292" s="5" t="e">
        <f ca="1">RANK(F1292,F:F)+COUNTIF(F$2:F1292,F1292)-1</f>
        <v>#VALUE!</v>
      </c>
      <c r="F1292" s="5" t="str">
        <f t="shared" si="21"/>
        <v/>
      </c>
      <c r="G1292" s="5" t="str">
        <f>IF(B1292="","",股指期货基差分析!$N$11)</f>
        <v/>
      </c>
      <c r="H1292" s="5" t="str">
        <f>IF(B1292="","",股指期货基差分析!$L$11)</f>
        <v/>
      </c>
      <c r="I1292" s="9" t="str">
        <f>IF(B1292="","",股指期货基差分析!$D$11)</f>
        <v/>
      </c>
      <c r="L1292" s="43"/>
    </row>
    <row r="1293" spans="2:12" ht="15" customHeight="1" x14ac:dyDescent="0.2">
      <c r="B1293" s="8"/>
      <c r="C1293" s="6" t="str">
        <f>IF(B1293="","",[1]!s_dq_close(股指期货基差分析!$E$5,$B1293))</f>
        <v/>
      </c>
      <c r="D1293" s="6" t="str">
        <f>IF(B1293="","",[1]!s_dq_close(股指期货基差分析!$E$6,$B1293))</f>
        <v/>
      </c>
      <c r="E1293" s="6" t="e">
        <f ca="1">RANK(F1293,F:F)+COUNTIF(F$2:F1293,F1293)-1</f>
        <v>#VALUE!</v>
      </c>
      <c r="F1293" s="6" t="str">
        <f t="shared" si="21"/>
        <v/>
      </c>
      <c r="G1293" s="6" t="str">
        <f>IF(B1293="","",股指期货基差分析!$N$11)</f>
        <v/>
      </c>
      <c r="H1293" s="6" t="str">
        <f>IF(B1293="","",股指期货基差分析!$L$11)</f>
        <v/>
      </c>
      <c r="I1293" s="10" t="str">
        <f>IF(B1293="","",股指期货基差分析!$D$11)</f>
        <v/>
      </c>
      <c r="L1293" s="43"/>
    </row>
    <row r="1294" spans="2:12" ht="15" customHeight="1" x14ac:dyDescent="0.2">
      <c r="B1294" s="7"/>
      <c r="C1294" s="5" t="str">
        <f>IF(B1294="","",[1]!s_dq_close(股指期货基差分析!$E$5,$B1294))</f>
        <v/>
      </c>
      <c r="D1294" s="5" t="str">
        <f>IF(B1294="","",[1]!s_dq_close(股指期货基差分析!$E$6,$B1294))</f>
        <v/>
      </c>
      <c r="E1294" s="5" t="e">
        <f ca="1">RANK(F1294,F:F)+COUNTIF(F$2:F1294,F1294)-1</f>
        <v>#VALUE!</v>
      </c>
      <c r="F1294" s="5" t="str">
        <f t="shared" si="21"/>
        <v/>
      </c>
      <c r="G1294" s="5" t="str">
        <f>IF(B1294="","",股指期货基差分析!$N$11)</f>
        <v/>
      </c>
      <c r="H1294" s="5" t="str">
        <f>IF(B1294="","",股指期货基差分析!$L$11)</f>
        <v/>
      </c>
      <c r="I1294" s="9" t="str">
        <f>IF(B1294="","",股指期货基差分析!$D$11)</f>
        <v/>
      </c>
      <c r="L1294" s="43"/>
    </row>
    <row r="1295" spans="2:12" ht="15" customHeight="1" x14ac:dyDescent="0.2">
      <c r="B1295" s="8"/>
      <c r="C1295" s="6" t="str">
        <f>IF(B1295="","",[1]!s_dq_close(股指期货基差分析!$E$5,$B1295))</f>
        <v/>
      </c>
      <c r="D1295" s="6" t="str">
        <f>IF(B1295="","",[1]!s_dq_close(股指期货基差分析!$E$6,$B1295))</f>
        <v/>
      </c>
      <c r="E1295" s="6" t="e">
        <f ca="1">RANK(F1295,F:F)+COUNTIF(F$2:F1295,F1295)-1</f>
        <v>#VALUE!</v>
      </c>
      <c r="F1295" s="6" t="str">
        <f t="shared" si="21"/>
        <v/>
      </c>
      <c r="G1295" s="6" t="str">
        <f>IF(B1295="","",股指期货基差分析!$N$11)</f>
        <v/>
      </c>
      <c r="H1295" s="6" t="str">
        <f>IF(B1295="","",股指期货基差分析!$L$11)</f>
        <v/>
      </c>
      <c r="I1295" s="10" t="str">
        <f>IF(B1295="","",股指期货基差分析!$D$11)</f>
        <v/>
      </c>
      <c r="L1295" s="43"/>
    </row>
    <row r="1296" spans="2:12" ht="15" customHeight="1" x14ac:dyDescent="0.2">
      <c r="B1296" s="7"/>
      <c r="C1296" s="5" t="str">
        <f>IF(B1296="","",[1]!s_dq_close(股指期货基差分析!$E$5,$B1296))</f>
        <v/>
      </c>
      <c r="D1296" s="5" t="str">
        <f>IF(B1296="","",[1]!s_dq_close(股指期货基差分析!$E$6,$B1296))</f>
        <v/>
      </c>
      <c r="E1296" s="5" t="e">
        <f ca="1">RANK(F1296,F:F)+COUNTIF(F$2:F1296,F1296)-1</f>
        <v>#VALUE!</v>
      </c>
      <c r="F1296" s="5" t="str">
        <f t="shared" si="21"/>
        <v/>
      </c>
      <c r="G1296" s="5" t="str">
        <f>IF(B1296="","",股指期货基差分析!$N$11)</f>
        <v/>
      </c>
      <c r="H1296" s="5" t="str">
        <f>IF(B1296="","",股指期货基差分析!$L$11)</f>
        <v/>
      </c>
      <c r="I1296" s="9" t="str">
        <f>IF(B1296="","",股指期货基差分析!$D$11)</f>
        <v/>
      </c>
      <c r="L1296" s="43"/>
    </row>
    <row r="1297" spans="2:12" ht="15" customHeight="1" x14ac:dyDescent="0.2">
      <c r="B1297" s="8"/>
      <c r="C1297" s="6" t="str">
        <f>IF(B1297="","",[1]!s_dq_close(股指期货基差分析!$E$5,$B1297))</f>
        <v/>
      </c>
      <c r="D1297" s="6" t="str">
        <f>IF(B1297="","",[1]!s_dq_close(股指期货基差分析!$E$6,$B1297))</f>
        <v/>
      </c>
      <c r="E1297" s="6" t="e">
        <f ca="1">RANK(F1297,F:F)+COUNTIF(F$2:F1297,F1297)-1</f>
        <v>#VALUE!</v>
      </c>
      <c r="F1297" s="6" t="str">
        <f t="shared" si="21"/>
        <v/>
      </c>
      <c r="G1297" s="6" t="str">
        <f>IF(B1297="","",股指期货基差分析!$N$11)</f>
        <v/>
      </c>
      <c r="H1297" s="6" t="str">
        <f>IF(B1297="","",股指期货基差分析!$L$11)</f>
        <v/>
      </c>
      <c r="I1297" s="10" t="str">
        <f>IF(B1297="","",股指期货基差分析!$D$11)</f>
        <v/>
      </c>
      <c r="L1297" s="43"/>
    </row>
    <row r="1298" spans="2:12" ht="15" customHeight="1" x14ac:dyDescent="0.2">
      <c r="B1298" s="7"/>
      <c r="C1298" s="5" t="str">
        <f>IF(B1298="","",[1]!s_dq_close(股指期货基差分析!$E$5,$B1298))</f>
        <v/>
      </c>
      <c r="D1298" s="5" t="str">
        <f>IF(B1298="","",[1]!s_dq_close(股指期货基差分析!$E$6,$B1298))</f>
        <v/>
      </c>
      <c r="E1298" s="5" t="e">
        <f ca="1">RANK(F1298,F:F)+COUNTIF(F$2:F1298,F1298)-1</f>
        <v>#VALUE!</v>
      </c>
      <c r="F1298" s="5" t="str">
        <f t="shared" si="21"/>
        <v/>
      </c>
      <c r="G1298" s="5" t="str">
        <f>IF(B1298="","",股指期货基差分析!$N$11)</f>
        <v/>
      </c>
      <c r="H1298" s="5" t="str">
        <f>IF(B1298="","",股指期货基差分析!$L$11)</f>
        <v/>
      </c>
      <c r="I1298" s="9" t="str">
        <f>IF(B1298="","",股指期货基差分析!$D$11)</f>
        <v/>
      </c>
      <c r="L1298" s="43"/>
    </row>
    <row r="1299" spans="2:12" ht="15" customHeight="1" x14ac:dyDescent="0.2">
      <c r="B1299" s="8"/>
      <c r="C1299" s="6" t="str">
        <f>IF(B1299="","",[1]!s_dq_close(股指期货基差分析!$E$5,$B1299))</f>
        <v/>
      </c>
      <c r="D1299" s="6" t="str">
        <f>IF(B1299="","",[1]!s_dq_close(股指期货基差分析!$E$6,$B1299))</f>
        <v/>
      </c>
      <c r="E1299" s="6" t="e">
        <f ca="1">RANK(F1299,F:F)+COUNTIF(F$2:F1299,F1299)-1</f>
        <v>#VALUE!</v>
      </c>
      <c r="F1299" s="6" t="str">
        <f t="shared" si="21"/>
        <v/>
      </c>
      <c r="G1299" s="6" t="str">
        <f>IF(B1299="","",股指期货基差分析!$N$11)</f>
        <v/>
      </c>
      <c r="H1299" s="6" t="str">
        <f>IF(B1299="","",股指期货基差分析!$L$11)</f>
        <v/>
      </c>
      <c r="I1299" s="10" t="str">
        <f>IF(B1299="","",股指期货基差分析!$D$11)</f>
        <v/>
      </c>
      <c r="L1299" s="43"/>
    </row>
    <row r="1300" spans="2:12" ht="15" customHeight="1" x14ac:dyDescent="0.2">
      <c r="B1300" s="7"/>
      <c r="C1300" s="5" t="str">
        <f>IF(B1300="","",[1]!s_dq_close(股指期货基差分析!$E$5,$B1300))</f>
        <v/>
      </c>
      <c r="D1300" s="5" t="str">
        <f>IF(B1300="","",[1]!s_dq_close(股指期货基差分析!$E$6,$B1300))</f>
        <v/>
      </c>
      <c r="E1300" s="5" t="e">
        <f ca="1">RANK(F1300,F:F)+COUNTIF(F$2:F1300,F1300)-1</f>
        <v>#VALUE!</v>
      </c>
      <c r="F1300" s="5" t="str">
        <f t="shared" si="21"/>
        <v/>
      </c>
      <c r="G1300" s="5" t="str">
        <f>IF(B1300="","",股指期货基差分析!$N$11)</f>
        <v/>
      </c>
      <c r="H1300" s="5" t="str">
        <f>IF(B1300="","",股指期货基差分析!$L$11)</f>
        <v/>
      </c>
      <c r="I1300" s="9" t="str">
        <f>IF(B1300="","",股指期货基差分析!$D$11)</f>
        <v/>
      </c>
      <c r="L1300" s="43"/>
    </row>
    <row r="1301" spans="2:12" ht="15" customHeight="1" x14ac:dyDescent="0.2">
      <c r="B1301" s="8"/>
      <c r="C1301" s="6" t="str">
        <f>IF(B1301="","",[1]!s_dq_close(股指期货基差分析!$E$5,$B1301))</f>
        <v/>
      </c>
      <c r="D1301" s="6" t="str">
        <f>IF(B1301="","",[1]!s_dq_close(股指期货基差分析!$E$6,$B1301))</f>
        <v/>
      </c>
      <c r="E1301" s="6" t="e">
        <f ca="1">RANK(F1301,F:F)+COUNTIF(F$2:F1301,F1301)-1</f>
        <v>#VALUE!</v>
      </c>
      <c r="F1301" s="6" t="str">
        <f t="shared" si="21"/>
        <v/>
      </c>
      <c r="G1301" s="6" t="str">
        <f>IF(B1301="","",股指期货基差分析!$N$11)</f>
        <v/>
      </c>
      <c r="H1301" s="6" t="str">
        <f>IF(B1301="","",股指期货基差分析!$L$11)</f>
        <v/>
      </c>
      <c r="I1301" s="10" t="str">
        <f>IF(B1301="","",股指期货基差分析!$D$11)</f>
        <v/>
      </c>
      <c r="L1301" s="43"/>
    </row>
    <row r="1302" spans="2:12" ht="15" customHeight="1" x14ac:dyDescent="0.2">
      <c r="B1302" s="7"/>
      <c r="C1302" s="5" t="str">
        <f>IF(B1302="","",[1]!s_dq_close(股指期货基差分析!$E$5,$B1302))</f>
        <v/>
      </c>
      <c r="D1302" s="5" t="str">
        <f>IF(B1302="","",[1]!s_dq_close(股指期货基差分析!$E$6,$B1302))</f>
        <v/>
      </c>
      <c r="E1302" s="5" t="e">
        <f ca="1">RANK(F1302,F:F)+COUNTIF(F$2:F1302,F1302)-1</f>
        <v>#VALUE!</v>
      </c>
      <c r="F1302" s="5" t="str">
        <f t="shared" si="21"/>
        <v/>
      </c>
      <c r="G1302" s="5" t="str">
        <f>IF(B1302="","",股指期货基差分析!$N$11)</f>
        <v/>
      </c>
      <c r="H1302" s="5" t="str">
        <f>IF(B1302="","",股指期货基差分析!$L$11)</f>
        <v/>
      </c>
      <c r="I1302" s="9" t="str">
        <f>IF(B1302="","",股指期货基差分析!$D$11)</f>
        <v/>
      </c>
      <c r="L1302" s="43"/>
    </row>
    <row r="1303" spans="2:12" ht="15" customHeight="1" x14ac:dyDescent="0.2">
      <c r="B1303" s="8"/>
      <c r="C1303" s="6" t="str">
        <f>IF(B1303="","",[1]!s_dq_close(股指期货基差分析!$E$5,$B1303))</f>
        <v/>
      </c>
      <c r="D1303" s="6" t="str">
        <f>IF(B1303="","",[1]!s_dq_close(股指期货基差分析!$E$6,$B1303))</f>
        <v/>
      </c>
      <c r="E1303" s="6" t="e">
        <f ca="1">RANK(F1303,F:F)+COUNTIF(F$2:F1303,F1303)-1</f>
        <v>#VALUE!</v>
      </c>
      <c r="F1303" s="6" t="str">
        <f t="shared" si="21"/>
        <v/>
      </c>
      <c r="G1303" s="6" t="str">
        <f>IF(B1303="","",股指期货基差分析!$N$11)</f>
        <v/>
      </c>
      <c r="H1303" s="6" t="str">
        <f>IF(B1303="","",股指期货基差分析!$L$11)</f>
        <v/>
      </c>
      <c r="I1303" s="10" t="str">
        <f>IF(B1303="","",股指期货基差分析!$D$11)</f>
        <v/>
      </c>
      <c r="L1303" s="43"/>
    </row>
    <row r="1304" spans="2:12" ht="15" customHeight="1" x14ac:dyDescent="0.2">
      <c r="B1304" s="7"/>
      <c r="C1304" s="5" t="str">
        <f>IF(B1304="","",[1]!s_dq_close(股指期货基差分析!$E$5,$B1304))</f>
        <v/>
      </c>
      <c r="D1304" s="5" t="str">
        <f>IF(B1304="","",[1]!s_dq_close(股指期货基差分析!$E$6,$B1304))</f>
        <v/>
      </c>
      <c r="E1304" s="5" t="e">
        <f ca="1">RANK(F1304,F:F)+COUNTIF(F$2:F1304,F1304)-1</f>
        <v>#VALUE!</v>
      </c>
      <c r="F1304" s="5" t="str">
        <f t="shared" si="21"/>
        <v/>
      </c>
      <c r="G1304" s="5" t="str">
        <f>IF(B1304="","",股指期货基差分析!$N$11)</f>
        <v/>
      </c>
      <c r="H1304" s="5" t="str">
        <f>IF(B1304="","",股指期货基差分析!$L$11)</f>
        <v/>
      </c>
      <c r="I1304" s="9" t="str">
        <f>IF(B1304="","",股指期货基差分析!$D$11)</f>
        <v/>
      </c>
      <c r="L1304" s="43"/>
    </row>
    <row r="1305" spans="2:12" ht="15" customHeight="1" x14ac:dyDescent="0.2">
      <c r="B1305" s="8"/>
      <c r="C1305" s="6" t="str">
        <f>IF(B1305="","",[1]!s_dq_close(股指期货基差分析!$E$5,$B1305))</f>
        <v/>
      </c>
      <c r="D1305" s="6" t="str">
        <f>IF(B1305="","",[1]!s_dq_close(股指期货基差分析!$E$6,$B1305))</f>
        <v/>
      </c>
      <c r="E1305" s="6" t="e">
        <f ca="1">RANK(F1305,F:F)+COUNTIF(F$2:F1305,F1305)-1</f>
        <v>#VALUE!</v>
      </c>
      <c r="F1305" s="6" t="str">
        <f t="shared" si="21"/>
        <v/>
      </c>
      <c r="G1305" s="6" t="str">
        <f>IF(B1305="","",股指期货基差分析!$N$11)</f>
        <v/>
      </c>
      <c r="H1305" s="6" t="str">
        <f>IF(B1305="","",股指期货基差分析!$L$11)</f>
        <v/>
      </c>
      <c r="I1305" s="10" t="str">
        <f>IF(B1305="","",股指期货基差分析!$D$11)</f>
        <v/>
      </c>
      <c r="L1305" s="43"/>
    </row>
    <row r="1306" spans="2:12" ht="15" customHeight="1" x14ac:dyDescent="0.2">
      <c r="B1306" s="7"/>
      <c r="C1306" s="5" t="str">
        <f>IF(B1306="","",[1]!s_dq_close(股指期货基差分析!$E$5,$B1306))</f>
        <v/>
      </c>
      <c r="D1306" s="5" t="str">
        <f>IF(B1306="","",[1]!s_dq_close(股指期货基差分析!$E$6,$B1306))</f>
        <v/>
      </c>
      <c r="E1306" s="5" t="e">
        <f ca="1">RANK(F1306,F:F)+COUNTIF(F$2:F1306,F1306)-1</f>
        <v>#VALUE!</v>
      </c>
      <c r="F1306" s="5" t="str">
        <f t="shared" si="21"/>
        <v/>
      </c>
      <c r="G1306" s="5" t="str">
        <f>IF(B1306="","",股指期货基差分析!$N$11)</f>
        <v/>
      </c>
      <c r="H1306" s="5" t="str">
        <f>IF(B1306="","",股指期货基差分析!$L$11)</f>
        <v/>
      </c>
      <c r="I1306" s="9" t="str">
        <f>IF(B1306="","",股指期货基差分析!$D$11)</f>
        <v/>
      </c>
      <c r="L1306" s="43"/>
    </row>
    <row r="1307" spans="2:12" ht="15" customHeight="1" x14ac:dyDescent="0.2">
      <c r="B1307" s="8"/>
      <c r="C1307" s="6" t="str">
        <f>IF(B1307="","",[1]!s_dq_close(股指期货基差分析!$E$5,$B1307))</f>
        <v/>
      </c>
      <c r="D1307" s="6" t="str">
        <f>IF(B1307="","",[1]!s_dq_close(股指期货基差分析!$E$6,$B1307))</f>
        <v/>
      </c>
      <c r="E1307" s="6" t="e">
        <f ca="1">RANK(F1307,F:F)+COUNTIF(F$2:F1307,F1307)-1</f>
        <v>#VALUE!</v>
      </c>
      <c r="F1307" s="6" t="str">
        <f t="shared" si="21"/>
        <v/>
      </c>
      <c r="G1307" s="6" t="str">
        <f>IF(B1307="","",股指期货基差分析!$N$11)</f>
        <v/>
      </c>
      <c r="H1307" s="6" t="str">
        <f>IF(B1307="","",股指期货基差分析!$L$11)</f>
        <v/>
      </c>
      <c r="I1307" s="10" t="str">
        <f>IF(B1307="","",股指期货基差分析!$D$11)</f>
        <v/>
      </c>
      <c r="L1307" s="43"/>
    </row>
    <row r="1308" spans="2:12" ht="15" customHeight="1" x14ac:dyDescent="0.2">
      <c r="B1308" s="7"/>
      <c r="C1308" s="5" t="str">
        <f>IF(B1308="","",[1]!s_dq_close(股指期货基差分析!$E$5,$B1308))</f>
        <v/>
      </c>
      <c r="D1308" s="5" t="str">
        <f>IF(B1308="","",[1]!s_dq_close(股指期货基差分析!$E$6,$B1308))</f>
        <v/>
      </c>
      <c r="E1308" s="5" t="e">
        <f ca="1">RANK(F1308,F:F)+COUNTIF(F$2:F1308,F1308)-1</f>
        <v>#VALUE!</v>
      </c>
      <c r="F1308" s="5" t="str">
        <f t="shared" si="21"/>
        <v/>
      </c>
      <c r="G1308" s="5" t="str">
        <f>IF(B1308="","",股指期货基差分析!$N$11)</f>
        <v/>
      </c>
      <c r="H1308" s="5" t="str">
        <f>IF(B1308="","",股指期货基差分析!$L$11)</f>
        <v/>
      </c>
      <c r="I1308" s="9" t="str">
        <f>IF(B1308="","",股指期货基差分析!$D$11)</f>
        <v/>
      </c>
      <c r="L1308" s="43"/>
    </row>
    <row r="1309" spans="2:12" ht="15" customHeight="1" x14ac:dyDescent="0.2">
      <c r="B1309" s="8"/>
      <c r="C1309" s="6" t="str">
        <f>IF(B1309="","",[1]!s_dq_close(股指期货基差分析!$E$5,$B1309))</f>
        <v/>
      </c>
      <c r="D1309" s="6" t="str">
        <f>IF(B1309="","",[1]!s_dq_close(股指期货基差分析!$E$6,$B1309))</f>
        <v/>
      </c>
      <c r="E1309" s="6" t="e">
        <f ca="1">RANK(F1309,F:F)+COUNTIF(F$2:F1309,F1309)-1</f>
        <v>#VALUE!</v>
      </c>
      <c r="F1309" s="6" t="str">
        <f t="shared" si="21"/>
        <v/>
      </c>
      <c r="G1309" s="6" t="str">
        <f>IF(B1309="","",股指期货基差分析!$N$11)</f>
        <v/>
      </c>
      <c r="H1309" s="6" t="str">
        <f>IF(B1309="","",股指期货基差分析!$L$11)</f>
        <v/>
      </c>
      <c r="I1309" s="10" t="str">
        <f>IF(B1309="","",股指期货基差分析!$D$11)</f>
        <v/>
      </c>
      <c r="L1309" s="43"/>
    </row>
    <row r="1310" spans="2:12" ht="15" customHeight="1" x14ac:dyDescent="0.2">
      <c r="B1310" s="7"/>
      <c r="C1310" s="5" t="str">
        <f>IF(B1310="","",[1]!s_dq_close(股指期货基差分析!$E$5,$B1310))</f>
        <v/>
      </c>
      <c r="D1310" s="5" t="str">
        <f>IF(B1310="","",[1]!s_dq_close(股指期货基差分析!$E$6,$B1310))</f>
        <v/>
      </c>
      <c r="E1310" s="5" t="e">
        <f ca="1">RANK(F1310,F:F)+COUNTIF(F$2:F1310,F1310)-1</f>
        <v>#VALUE!</v>
      </c>
      <c r="F1310" s="5" t="str">
        <f t="shared" si="21"/>
        <v/>
      </c>
      <c r="G1310" s="5" t="str">
        <f>IF(B1310="","",股指期货基差分析!$N$11)</f>
        <v/>
      </c>
      <c r="H1310" s="5" t="str">
        <f>IF(B1310="","",股指期货基差分析!$L$11)</f>
        <v/>
      </c>
      <c r="I1310" s="9" t="str">
        <f>IF(B1310="","",股指期货基差分析!$D$11)</f>
        <v/>
      </c>
      <c r="L1310" s="43"/>
    </row>
    <row r="1311" spans="2:12" ht="15" customHeight="1" x14ac:dyDescent="0.2">
      <c r="B1311" s="8"/>
      <c r="C1311" s="6" t="str">
        <f>IF(B1311="","",[1]!s_dq_close(股指期货基差分析!$E$5,$B1311))</f>
        <v/>
      </c>
      <c r="D1311" s="6" t="str">
        <f>IF(B1311="","",[1]!s_dq_close(股指期货基差分析!$E$6,$B1311))</f>
        <v/>
      </c>
      <c r="E1311" s="6" t="e">
        <f ca="1">RANK(F1311,F:F)+COUNTIF(F$2:F1311,F1311)-1</f>
        <v>#VALUE!</v>
      </c>
      <c r="F1311" s="6" t="str">
        <f t="shared" si="21"/>
        <v/>
      </c>
      <c r="G1311" s="6" t="str">
        <f>IF(B1311="","",股指期货基差分析!$N$11)</f>
        <v/>
      </c>
      <c r="H1311" s="6" t="str">
        <f>IF(B1311="","",股指期货基差分析!$L$11)</f>
        <v/>
      </c>
      <c r="I1311" s="10" t="str">
        <f>IF(B1311="","",股指期货基差分析!$D$11)</f>
        <v/>
      </c>
      <c r="L1311" s="43"/>
    </row>
    <row r="1312" spans="2:12" ht="15" customHeight="1" x14ac:dyDescent="0.2">
      <c r="B1312" s="7"/>
      <c r="C1312" s="5" t="str">
        <f>IF(B1312="","",[1]!s_dq_close(股指期货基差分析!$E$5,$B1312))</f>
        <v/>
      </c>
      <c r="D1312" s="5" t="str">
        <f>IF(B1312="","",[1]!s_dq_close(股指期货基差分析!$E$6,$B1312))</f>
        <v/>
      </c>
      <c r="E1312" s="5" t="e">
        <f ca="1">RANK(F1312,F:F)+COUNTIF(F$2:F1312,F1312)-1</f>
        <v>#VALUE!</v>
      </c>
      <c r="F1312" s="5" t="str">
        <f t="shared" si="21"/>
        <v/>
      </c>
      <c r="G1312" s="5" t="str">
        <f>IF(B1312="","",股指期货基差分析!$N$11)</f>
        <v/>
      </c>
      <c r="H1312" s="5" t="str">
        <f>IF(B1312="","",股指期货基差分析!$L$11)</f>
        <v/>
      </c>
      <c r="I1312" s="9" t="str">
        <f>IF(B1312="","",股指期货基差分析!$D$11)</f>
        <v/>
      </c>
      <c r="L1312" s="43"/>
    </row>
    <row r="1313" spans="2:12" ht="15" customHeight="1" x14ac:dyDescent="0.2">
      <c r="B1313" s="8"/>
      <c r="C1313" s="6" t="str">
        <f>IF(B1313="","",[1]!s_dq_close(股指期货基差分析!$E$5,$B1313))</f>
        <v/>
      </c>
      <c r="D1313" s="6" t="str">
        <f>IF(B1313="","",[1]!s_dq_close(股指期货基差分析!$E$6,$B1313))</f>
        <v/>
      </c>
      <c r="E1313" s="6" t="e">
        <f ca="1">RANK(F1313,F:F)+COUNTIF(F$2:F1313,F1313)-1</f>
        <v>#VALUE!</v>
      </c>
      <c r="F1313" s="6" t="str">
        <f t="shared" si="21"/>
        <v/>
      </c>
      <c r="G1313" s="6" t="str">
        <f>IF(B1313="","",股指期货基差分析!$N$11)</f>
        <v/>
      </c>
      <c r="H1313" s="6" t="str">
        <f>IF(B1313="","",股指期货基差分析!$L$11)</f>
        <v/>
      </c>
      <c r="I1313" s="10" t="str">
        <f>IF(B1313="","",股指期货基差分析!$D$11)</f>
        <v/>
      </c>
      <c r="L1313" s="43"/>
    </row>
    <row r="1314" spans="2:12" ht="15" customHeight="1" x14ac:dyDescent="0.2">
      <c r="B1314" s="7"/>
      <c r="C1314" s="5" t="str">
        <f>IF(B1314="","",[1]!s_dq_close(股指期货基差分析!$E$5,$B1314))</f>
        <v/>
      </c>
      <c r="D1314" s="5" t="str">
        <f>IF(B1314="","",[1]!s_dq_close(股指期货基差分析!$E$6,$B1314))</f>
        <v/>
      </c>
      <c r="E1314" s="5" t="e">
        <f ca="1">RANK(F1314,F:F)+COUNTIF(F$2:F1314,F1314)-1</f>
        <v>#VALUE!</v>
      </c>
      <c r="F1314" s="5" t="str">
        <f t="shared" si="21"/>
        <v/>
      </c>
      <c r="G1314" s="5" t="str">
        <f>IF(B1314="","",股指期货基差分析!$N$11)</f>
        <v/>
      </c>
      <c r="H1314" s="5" t="str">
        <f>IF(B1314="","",股指期货基差分析!$L$11)</f>
        <v/>
      </c>
      <c r="I1314" s="9" t="str">
        <f>IF(B1314="","",股指期货基差分析!$D$11)</f>
        <v/>
      </c>
      <c r="L1314" s="43"/>
    </row>
    <row r="1315" spans="2:12" ht="15" customHeight="1" x14ac:dyDescent="0.2">
      <c r="B1315" s="8"/>
      <c r="C1315" s="6" t="str">
        <f>IF(B1315="","",[1]!s_dq_close(股指期货基差分析!$E$5,$B1315))</f>
        <v/>
      </c>
      <c r="D1315" s="6" t="str">
        <f>IF(B1315="","",[1]!s_dq_close(股指期货基差分析!$E$6,$B1315))</f>
        <v/>
      </c>
      <c r="E1315" s="6" t="e">
        <f ca="1">RANK(F1315,F:F)+COUNTIF(F$2:F1315,F1315)-1</f>
        <v>#VALUE!</v>
      </c>
      <c r="F1315" s="6" t="str">
        <f t="shared" si="21"/>
        <v/>
      </c>
      <c r="G1315" s="6" t="str">
        <f>IF(B1315="","",股指期货基差分析!$N$11)</f>
        <v/>
      </c>
      <c r="H1315" s="6" t="str">
        <f>IF(B1315="","",股指期货基差分析!$L$11)</f>
        <v/>
      </c>
      <c r="I1315" s="10" t="str">
        <f>IF(B1315="","",股指期货基差分析!$D$11)</f>
        <v/>
      </c>
      <c r="L1315" s="43"/>
    </row>
    <row r="1316" spans="2:12" ht="15" customHeight="1" x14ac:dyDescent="0.2">
      <c r="B1316" s="7"/>
      <c r="C1316" s="5" t="str">
        <f>IF(B1316="","",[1]!s_dq_close(股指期货基差分析!$E$5,$B1316))</f>
        <v/>
      </c>
      <c r="D1316" s="5" t="str">
        <f>IF(B1316="","",[1]!s_dq_close(股指期货基差分析!$E$6,$B1316))</f>
        <v/>
      </c>
      <c r="E1316" s="5" t="e">
        <f ca="1">RANK(F1316,F:F)+COUNTIF(F$2:F1316,F1316)-1</f>
        <v>#VALUE!</v>
      </c>
      <c r="F1316" s="5" t="str">
        <f t="shared" si="21"/>
        <v/>
      </c>
      <c r="G1316" s="5" t="str">
        <f>IF(B1316="","",股指期货基差分析!$N$11)</f>
        <v/>
      </c>
      <c r="H1316" s="5" t="str">
        <f>IF(B1316="","",股指期货基差分析!$L$11)</f>
        <v/>
      </c>
      <c r="I1316" s="9" t="str">
        <f>IF(B1316="","",股指期货基差分析!$D$11)</f>
        <v/>
      </c>
      <c r="L1316" s="43"/>
    </row>
    <row r="1317" spans="2:12" ht="15" customHeight="1" x14ac:dyDescent="0.2">
      <c r="B1317" s="8"/>
      <c r="C1317" s="6" t="str">
        <f>IF(B1317="","",[1]!s_dq_close(股指期货基差分析!$E$5,$B1317))</f>
        <v/>
      </c>
      <c r="D1317" s="6" t="str">
        <f>IF(B1317="","",[1]!s_dq_close(股指期货基差分析!$E$6,$B1317))</f>
        <v/>
      </c>
      <c r="E1317" s="6" t="e">
        <f ca="1">RANK(F1317,F:F)+COUNTIF(F$2:F1317,F1317)-1</f>
        <v>#VALUE!</v>
      </c>
      <c r="F1317" s="6" t="str">
        <f t="shared" si="21"/>
        <v/>
      </c>
      <c r="G1317" s="6" t="str">
        <f>IF(B1317="","",股指期货基差分析!$N$11)</f>
        <v/>
      </c>
      <c r="H1317" s="6" t="str">
        <f>IF(B1317="","",股指期货基差分析!$L$11)</f>
        <v/>
      </c>
      <c r="I1317" s="10" t="str">
        <f>IF(B1317="","",股指期货基差分析!$D$11)</f>
        <v/>
      </c>
      <c r="L1317" s="43"/>
    </row>
    <row r="1318" spans="2:12" ht="15" customHeight="1" x14ac:dyDescent="0.2">
      <c r="B1318" s="7"/>
      <c r="C1318" s="5" t="str">
        <f>IF(B1318="","",[1]!s_dq_close(股指期货基差分析!$E$5,$B1318))</f>
        <v/>
      </c>
      <c r="D1318" s="5" t="str">
        <f>IF(B1318="","",[1]!s_dq_close(股指期货基差分析!$E$6,$B1318))</f>
        <v/>
      </c>
      <c r="E1318" s="5" t="e">
        <f ca="1">RANK(F1318,F:F)+COUNTIF(F$2:F1318,F1318)-1</f>
        <v>#VALUE!</v>
      </c>
      <c r="F1318" s="5" t="str">
        <f t="shared" si="21"/>
        <v/>
      </c>
      <c r="G1318" s="5" t="str">
        <f>IF(B1318="","",股指期货基差分析!$N$11)</f>
        <v/>
      </c>
      <c r="H1318" s="5" t="str">
        <f>IF(B1318="","",股指期货基差分析!$L$11)</f>
        <v/>
      </c>
      <c r="I1318" s="9" t="str">
        <f>IF(B1318="","",股指期货基差分析!$D$11)</f>
        <v/>
      </c>
      <c r="L1318" s="43"/>
    </row>
    <row r="1319" spans="2:12" ht="15" customHeight="1" x14ac:dyDescent="0.2">
      <c r="B1319" s="8"/>
      <c r="C1319" s="6" t="str">
        <f>IF(B1319="","",[1]!s_dq_close(股指期货基差分析!$E$5,$B1319))</f>
        <v/>
      </c>
      <c r="D1319" s="6" t="str">
        <f>IF(B1319="","",[1]!s_dq_close(股指期货基差分析!$E$6,$B1319))</f>
        <v/>
      </c>
      <c r="E1319" s="6" t="e">
        <f ca="1">RANK(F1319,F:F)+COUNTIF(F$2:F1319,F1319)-1</f>
        <v>#VALUE!</v>
      </c>
      <c r="F1319" s="6" t="str">
        <f t="shared" si="21"/>
        <v/>
      </c>
      <c r="G1319" s="6" t="str">
        <f>IF(B1319="","",股指期货基差分析!$N$11)</f>
        <v/>
      </c>
      <c r="H1319" s="6" t="str">
        <f>IF(B1319="","",股指期货基差分析!$L$11)</f>
        <v/>
      </c>
      <c r="I1319" s="10" t="str">
        <f>IF(B1319="","",股指期货基差分析!$D$11)</f>
        <v/>
      </c>
      <c r="L1319" s="43"/>
    </row>
    <row r="1320" spans="2:12" ht="15" customHeight="1" x14ac:dyDescent="0.2">
      <c r="B1320" s="7"/>
      <c r="C1320" s="5" t="str">
        <f>IF(B1320="","",[1]!s_dq_close(股指期货基差分析!$E$5,$B1320))</f>
        <v/>
      </c>
      <c r="D1320" s="5" t="str">
        <f>IF(B1320="","",[1]!s_dq_close(股指期货基差分析!$E$6,$B1320))</f>
        <v/>
      </c>
      <c r="E1320" s="5" t="e">
        <f ca="1">RANK(F1320,F:F)+COUNTIF(F$2:F1320,F1320)-1</f>
        <v>#VALUE!</v>
      </c>
      <c r="F1320" s="5" t="str">
        <f t="shared" si="21"/>
        <v/>
      </c>
      <c r="G1320" s="5" t="str">
        <f>IF(B1320="","",股指期货基差分析!$N$11)</f>
        <v/>
      </c>
      <c r="H1320" s="5" t="str">
        <f>IF(B1320="","",股指期货基差分析!$L$11)</f>
        <v/>
      </c>
      <c r="I1320" s="9" t="str">
        <f>IF(B1320="","",股指期货基差分析!$D$11)</f>
        <v/>
      </c>
      <c r="L1320" s="43"/>
    </row>
    <row r="1321" spans="2:12" ht="15" customHeight="1" x14ac:dyDescent="0.2">
      <c r="B1321" s="8"/>
      <c r="C1321" s="6" t="str">
        <f>IF(B1321="","",[1]!s_dq_close(股指期货基差分析!$E$5,$B1321))</f>
        <v/>
      </c>
      <c r="D1321" s="6" t="str">
        <f>IF(B1321="","",[1]!s_dq_close(股指期货基差分析!$E$6,$B1321))</f>
        <v/>
      </c>
      <c r="E1321" s="6" t="e">
        <f ca="1">RANK(F1321,F:F)+COUNTIF(F$2:F1321,F1321)-1</f>
        <v>#VALUE!</v>
      </c>
      <c r="F1321" s="6" t="str">
        <f t="shared" si="21"/>
        <v/>
      </c>
      <c r="G1321" s="6" t="str">
        <f>IF(B1321="","",股指期货基差分析!$N$11)</f>
        <v/>
      </c>
      <c r="H1321" s="6" t="str">
        <f>IF(B1321="","",股指期货基差分析!$L$11)</f>
        <v/>
      </c>
      <c r="I1321" s="10" t="str">
        <f>IF(B1321="","",股指期货基差分析!$D$11)</f>
        <v/>
      </c>
      <c r="L1321" s="43"/>
    </row>
    <row r="1322" spans="2:12" ht="15" customHeight="1" x14ac:dyDescent="0.2">
      <c r="B1322" s="7"/>
      <c r="C1322" s="5" t="str">
        <f>IF(B1322="","",[1]!s_dq_close(股指期货基差分析!$E$5,$B1322))</f>
        <v/>
      </c>
      <c r="D1322" s="5" t="str">
        <f>IF(B1322="","",[1]!s_dq_close(股指期货基差分析!$E$6,$B1322))</f>
        <v/>
      </c>
      <c r="E1322" s="5" t="e">
        <f ca="1">RANK(F1322,F:F)+COUNTIF(F$2:F1322,F1322)-1</f>
        <v>#VALUE!</v>
      </c>
      <c r="F1322" s="5" t="str">
        <f t="shared" si="21"/>
        <v/>
      </c>
      <c r="G1322" s="5" t="str">
        <f>IF(B1322="","",股指期货基差分析!$N$11)</f>
        <v/>
      </c>
      <c r="H1322" s="5" t="str">
        <f>IF(B1322="","",股指期货基差分析!$L$11)</f>
        <v/>
      </c>
      <c r="I1322" s="9" t="str">
        <f>IF(B1322="","",股指期货基差分析!$D$11)</f>
        <v/>
      </c>
      <c r="L1322" s="43"/>
    </row>
    <row r="1323" spans="2:12" ht="15" customHeight="1" x14ac:dyDescent="0.2">
      <c r="B1323" s="8"/>
      <c r="C1323" s="6" t="str">
        <f>IF(B1323="","",[1]!s_dq_close(股指期货基差分析!$E$5,$B1323))</f>
        <v/>
      </c>
      <c r="D1323" s="6" t="str">
        <f>IF(B1323="","",[1]!s_dq_close(股指期货基差分析!$E$6,$B1323))</f>
        <v/>
      </c>
      <c r="E1323" s="6" t="e">
        <f ca="1">RANK(F1323,F:F)+COUNTIF(F$2:F1323,F1323)-1</f>
        <v>#VALUE!</v>
      </c>
      <c r="F1323" s="6" t="str">
        <f t="shared" si="21"/>
        <v/>
      </c>
      <c r="G1323" s="6" t="str">
        <f>IF(B1323="","",股指期货基差分析!$N$11)</f>
        <v/>
      </c>
      <c r="H1323" s="6" t="str">
        <f>IF(B1323="","",股指期货基差分析!$L$11)</f>
        <v/>
      </c>
      <c r="I1323" s="10" t="str">
        <f>IF(B1323="","",股指期货基差分析!$D$11)</f>
        <v/>
      </c>
      <c r="L1323" s="43"/>
    </row>
    <row r="1324" spans="2:12" ht="15" customHeight="1" x14ac:dyDescent="0.2">
      <c r="B1324" s="7"/>
      <c r="C1324" s="5" t="str">
        <f>IF(B1324="","",[1]!s_dq_close(股指期货基差分析!$E$5,$B1324))</f>
        <v/>
      </c>
      <c r="D1324" s="5" t="str">
        <f>IF(B1324="","",[1]!s_dq_close(股指期货基差分析!$E$6,$B1324))</f>
        <v/>
      </c>
      <c r="E1324" s="5" t="e">
        <f ca="1">RANK(F1324,F:F)+COUNTIF(F$2:F1324,F1324)-1</f>
        <v>#VALUE!</v>
      </c>
      <c r="F1324" s="5" t="str">
        <f t="shared" si="21"/>
        <v/>
      </c>
      <c r="G1324" s="5" t="str">
        <f>IF(B1324="","",股指期货基差分析!$N$11)</f>
        <v/>
      </c>
      <c r="H1324" s="5" t="str">
        <f>IF(B1324="","",股指期货基差分析!$L$11)</f>
        <v/>
      </c>
      <c r="I1324" s="9" t="str">
        <f>IF(B1324="","",股指期货基差分析!$D$11)</f>
        <v/>
      </c>
      <c r="L1324" s="43"/>
    </row>
    <row r="1325" spans="2:12" ht="15" customHeight="1" x14ac:dyDescent="0.2">
      <c r="B1325" s="8"/>
      <c r="C1325" s="6" t="str">
        <f>IF(B1325="","",[1]!s_dq_close(股指期货基差分析!$E$5,$B1325))</f>
        <v/>
      </c>
      <c r="D1325" s="6" t="str">
        <f>IF(B1325="","",[1]!s_dq_close(股指期货基差分析!$E$6,$B1325))</f>
        <v/>
      </c>
      <c r="E1325" s="6" t="e">
        <f ca="1">RANK(F1325,F:F)+COUNTIF(F$2:F1325,F1325)-1</f>
        <v>#VALUE!</v>
      </c>
      <c r="F1325" s="6" t="str">
        <f t="shared" si="21"/>
        <v/>
      </c>
      <c r="G1325" s="6" t="str">
        <f>IF(B1325="","",股指期货基差分析!$N$11)</f>
        <v/>
      </c>
      <c r="H1325" s="6" t="str">
        <f>IF(B1325="","",股指期货基差分析!$L$11)</f>
        <v/>
      </c>
      <c r="I1325" s="10" t="str">
        <f>IF(B1325="","",股指期货基差分析!$D$11)</f>
        <v/>
      </c>
      <c r="L1325" s="43"/>
    </row>
    <row r="1326" spans="2:12" ht="15" customHeight="1" x14ac:dyDescent="0.2">
      <c r="B1326" s="7"/>
      <c r="C1326" s="5" t="str">
        <f>IF(B1326="","",[1]!s_dq_close(股指期货基差分析!$E$5,$B1326))</f>
        <v/>
      </c>
      <c r="D1326" s="5" t="str">
        <f>IF(B1326="","",[1]!s_dq_close(股指期货基差分析!$E$6,$B1326))</f>
        <v/>
      </c>
      <c r="E1326" s="5" t="e">
        <f ca="1">RANK(F1326,F:F)+COUNTIF(F$2:F1326,F1326)-1</f>
        <v>#VALUE!</v>
      </c>
      <c r="F1326" s="5" t="str">
        <f t="shared" si="21"/>
        <v/>
      </c>
      <c r="G1326" s="5" t="str">
        <f>IF(B1326="","",股指期货基差分析!$N$11)</f>
        <v/>
      </c>
      <c r="H1326" s="5" t="str">
        <f>IF(B1326="","",股指期货基差分析!$L$11)</f>
        <v/>
      </c>
      <c r="I1326" s="9" t="str">
        <f>IF(B1326="","",股指期货基差分析!$D$11)</f>
        <v/>
      </c>
      <c r="L1326" s="43"/>
    </row>
    <row r="1327" spans="2:12" ht="15" customHeight="1" x14ac:dyDescent="0.2">
      <c r="B1327" s="8"/>
      <c r="C1327" s="6" t="str">
        <f>IF(B1327="","",[1]!s_dq_close(股指期货基差分析!$E$5,$B1327))</f>
        <v/>
      </c>
      <c r="D1327" s="6" t="str">
        <f>IF(B1327="","",[1]!s_dq_close(股指期货基差分析!$E$6,$B1327))</f>
        <v/>
      </c>
      <c r="E1327" s="6" t="e">
        <f ca="1">RANK(F1327,F:F)+COUNTIF(F$2:F1327,F1327)-1</f>
        <v>#VALUE!</v>
      </c>
      <c r="F1327" s="6" t="str">
        <f t="shared" si="21"/>
        <v/>
      </c>
      <c r="G1327" s="6" t="str">
        <f>IF(B1327="","",股指期货基差分析!$N$11)</f>
        <v/>
      </c>
      <c r="H1327" s="6" t="str">
        <f>IF(B1327="","",股指期货基差分析!$L$11)</f>
        <v/>
      </c>
      <c r="I1327" s="10" t="str">
        <f>IF(B1327="","",股指期货基差分析!$D$11)</f>
        <v/>
      </c>
      <c r="L1327" s="43"/>
    </row>
    <row r="1328" spans="2:12" ht="15" customHeight="1" x14ac:dyDescent="0.2">
      <c r="B1328" s="7"/>
      <c r="C1328" s="5" t="str">
        <f>IF(B1328="","",[1]!s_dq_close(股指期货基差分析!$E$5,$B1328))</f>
        <v/>
      </c>
      <c r="D1328" s="5" t="str">
        <f>IF(B1328="","",[1]!s_dq_close(股指期货基差分析!$E$6,$B1328))</f>
        <v/>
      </c>
      <c r="E1328" s="5" t="e">
        <f ca="1">RANK(F1328,F:F)+COUNTIF(F$2:F1328,F1328)-1</f>
        <v>#VALUE!</v>
      </c>
      <c r="F1328" s="5" t="str">
        <f t="shared" si="21"/>
        <v/>
      </c>
      <c r="G1328" s="5" t="str">
        <f>IF(B1328="","",股指期货基差分析!$N$11)</f>
        <v/>
      </c>
      <c r="H1328" s="5" t="str">
        <f>IF(B1328="","",股指期货基差分析!$L$11)</f>
        <v/>
      </c>
      <c r="I1328" s="9" t="str">
        <f>IF(B1328="","",股指期货基差分析!$D$11)</f>
        <v/>
      </c>
      <c r="L1328" s="43"/>
    </row>
    <row r="1329" spans="2:12" ht="15" customHeight="1" x14ac:dyDescent="0.2">
      <c r="B1329" s="8"/>
      <c r="C1329" s="6" t="str">
        <f>IF(B1329="","",[1]!s_dq_close(股指期货基差分析!$E$5,$B1329))</f>
        <v/>
      </c>
      <c r="D1329" s="6" t="str">
        <f>IF(B1329="","",[1]!s_dq_close(股指期货基差分析!$E$6,$B1329))</f>
        <v/>
      </c>
      <c r="E1329" s="6" t="e">
        <f ca="1">RANK(F1329,F:F)+COUNTIF(F$2:F1329,F1329)-1</f>
        <v>#VALUE!</v>
      </c>
      <c r="F1329" s="6" t="str">
        <f t="shared" si="21"/>
        <v/>
      </c>
      <c r="G1329" s="6" t="str">
        <f>IF(B1329="","",股指期货基差分析!$N$11)</f>
        <v/>
      </c>
      <c r="H1329" s="6" t="str">
        <f>IF(B1329="","",股指期货基差分析!$L$11)</f>
        <v/>
      </c>
      <c r="I1329" s="10" t="str">
        <f>IF(B1329="","",股指期货基差分析!$D$11)</f>
        <v/>
      </c>
      <c r="L1329" s="43"/>
    </row>
    <row r="1330" spans="2:12" ht="15" customHeight="1" x14ac:dyDescent="0.2">
      <c r="B1330" s="7"/>
      <c r="C1330" s="5" t="str">
        <f>IF(B1330="","",[1]!s_dq_close(股指期货基差分析!$E$5,$B1330))</f>
        <v/>
      </c>
      <c r="D1330" s="5" t="str">
        <f>IF(B1330="","",[1]!s_dq_close(股指期货基差分析!$E$6,$B1330))</f>
        <v/>
      </c>
      <c r="E1330" s="5" t="e">
        <f ca="1">RANK(F1330,F:F)+COUNTIF(F$2:F1330,F1330)-1</f>
        <v>#VALUE!</v>
      </c>
      <c r="F1330" s="5" t="str">
        <f t="shared" si="21"/>
        <v/>
      </c>
      <c r="G1330" s="5" t="str">
        <f>IF(B1330="","",股指期货基差分析!$N$11)</f>
        <v/>
      </c>
      <c r="H1330" s="5" t="str">
        <f>IF(B1330="","",股指期货基差分析!$L$11)</f>
        <v/>
      </c>
      <c r="I1330" s="9" t="str">
        <f>IF(B1330="","",股指期货基差分析!$D$11)</f>
        <v/>
      </c>
      <c r="L1330" s="43"/>
    </row>
    <row r="1331" spans="2:12" ht="15" customHeight="1" x14ac:dyDescent="0.2">
      <c r="B1331" s="8"/>
      <c r="C1331" s="6" t="str">
        <f>IF(B1331="","",[1]!s_dq_close(股指期货基差分析!$E$5,$B1331))</f>
        <v/>
      </c>
      <c r="D1331" s="6" t="str">
        <f>IF(B1331="","",[1]!s_dq_close(股指期货基差分析!$E$6,$B1331))</f>
        <v/>
      </c>
      <c r="E1331" s="6" t="e">
        <f ca="1">RANK(F1331,F:F)+COUNTIF(F$2:F1331,F1331)-1</f>
        <v>#VALUE!</v>
      </c>
      <c r="F1331" s="6" t="str">
        <f t="shared" si="21"/>
        <v/>
      </c>
      <c r="G1331" s="6" t="str">
        <f>IF(B1331="","",股指期货基差分析!$N$11)</f>
        <v/>
      </c>
      <c r="H1331" s="6" t="str">
        <f>IF(B1331="","",股指期货基差分析!$L$11)</f>
        <v/>
      </c>
      <c r="I1331" s="10" t="str">
        <f>IF(B1331="","",股指期货基差分析!$D$11)</f>
        <v/>
      </c>
      <c r="L1331" s="43"/>
    </row>
    <row r="1332" spans="2:12" ht="15" customHeight="1" x14ac:dyDescent="0.2">
      <c r="B1332" s="7"/>
      <c r="C1332" s="5" t="str">
        <f>IF(B1332="","",[1]!s_dq_close(股指期货基差分析!$E$5,$B1332))</f>
        <v/>
      </c>
      <c r="D1332" s="5" t="str">
        <f>IF(B1332="","",[1]!s_dq_close(股指期货基差分析!$E$6,$B1332))</f>
        <v/>
      </c>
      <c r="E1332" s="5" t="e">
        <f ca="1">RANK(F1332,F:F)+COUNTIF(F$2:F1332,F1332)-1</f>
        <v>#VALUE!</v>
      </c>
      <c r="F1332" s="5" t="str">
        <f t="shared" si="21"/>
        <v/>
      </c>
      <c r="G1332" s="5" t="str">
        <f>IF(B1332="","",股指期货基差分析!$N$11)</f>
        <v/>
      </c>
      <c r="H1332" s="5" t="str">
        <f>IF(B1332="","",股指期货基差分析!$L$11)</f>
        <v/>
      </c>
      <c r="I1332" s="9" t="str">
        <f>IF(B1332="","",股指期货基差分析!$D$11)</f>
        <v/>
      </c>
      <c r="L1332" s="43"/>
    </row>
    <row r="1333" spans="2:12" ht="15" customHeight="1" x14ac:dyDescent="0.2">
      <c r="B1333" s="8"/>
      <c r="C1333" s="6" t="str">
        <f>IF(B1333="","",[1]!s_dq_close(股指期货基差分析!$E$5,$B1333))</f>
        <v/>
      </c>
      <c r="D1333" s="6" t="str">
        <f>IF(B1333="","",[1]!s_dq_close(股指期货基差分析!$E$6,$B1333))</f>
        <v/>
      </c>
      <c r="E1333" s="6" t="e">
        <f ca="1">RANK(F1333,F:F)+COUNTIF(F$2:F1333,F1333)-1</f>
        <v>#VALUE!</v>
      </c>
      <c r="F1333" s="6" t="str">
        <f t="shared" si="21"/>
        <v/>
      </c>
      <c r="G1333" s="6" t="str">
        <f>IF(B1333="","",股指期货基差分析!$N$11)</f>
        <v/>
      </c>
      <c r="H1333" s="6" t="str">
        <f>IF(B1333="","",股指期货基差分析!$L$11)</f>
        <v/>
      </c>
      <c r="I1333" s="10" t="str">
        <f>IF(B1333="","",股指期货基差分析!$D$11)</f>
        <v/>
      </c>
      <c r="L1333" s="43"/>
    </row>
    <row r="1334" spans="2:12" ht="15" customHeight="1" x14ac:dyDescent="0.2">
      <c r="B1334" s="7"/>
      <c r="C1334" s="5" t="str">
        <f>IF(B1334="","",[1]!s_dq_close(股指期货基差分析!$E$5,$B1334))</f>
        <v/>
      </c>
      <c r="D1334" s="5" t="str">
        <f>IF(B1334="","",[1]!s_dq_close(股指期货基差分析!$E$6,$B1334))</f>
        <v/>
      </c>
      <c r="E1334" s="5" t="e">
        <f ca="1">RANK(F1334,F:F)+COUNTIF(F$2:F1334,F1334)-1</f>
        <v>#VALUE!</v>
      </c>
      <c r="F1334" s="5" t="str">
        <f t="shared" si="21"/>
        <v/>
      </c>
      <c r="G1334" s="5" t="str">
        <f>IF(B1334="","",股指期货基差分析!$N$11)</f>
        <v/>
      </c>
      <c r="H1334" s="5" t="str">
        <f>IF(B1334="","",股指期货基差分析!$L$11)</f>
        <v/>
      </c>
      <c r="I1334" s="9" t="str">
        <f>IF(B1334="","",股指期货基差分析!$D$11)</f>
        <v/>
      </c>
      <c r="L1334" s="43"/>
    </row>
    <row r="1335" spans="2:12" ht="15" customHeight="1" x14ac:dyDescent="0.2">
      <c r="B1335" s="8"/>
      <c r="C1335" s="6" t="str">
        <f>IF(B1335="","",[1]!s_dq_close(股指期货基差分析!$E$5,$B1335))</f>
        <v/>
      </c>
      <c r="D1335" s="6" t="str">
        <f>IF(B1335="","",[1]!s_dq_close(股指期货基差分析!$E$6,$B1335))</f>
        <v/>
      </c>
      <c r="E1335" s="6" t="e">
        <f ca="1">RANK(F1335,F:F)+COUNTIF(F$2:F1335,F1335)-1</f>
        <v>#VALUE!</v>
      </c>
      <c r="F1335" s="6" t="str">
        <f t="shared" si="21"/>
        <v/>
      </c>
      <c r="G1335" s="6" t="str">
        <f>IF(B1335="","",股指期货基差分析!$N$11)</f>
        <v/>
      </c>
      <c r="H1335" s="6" t="str">
        <f>IF(B1335="","",股指期货基差分析!$L$11)</f>
        <v/>
      </c>
      <c r="I1335" s="10" t="str">
        <f>IF(B1335="","",股指期货基差分析!$D$11)</f>
        <v/>
      </c>
      <c r="L1335" s="43"/>
    </row>
    <row r="1336" spans="2:12" ht="15" customHeight="1" x14ac:dyDescent="0.2">
      <c r="B1336" s="7"/>
      <c r="C1336" s="5" t="str">
        <f>IF(B1336="","",[1]!s_dq_close(股指期货基差分析!$E$5,$B1336))</f>
        <v/>
      </c>
      <c r="D1336" s="5" t="str">
        <f>IF(B1336="","",[1]!s_dq_close(股指期货基差分析!$E$6,$B1336))</f>
        <v/>
      </c>
      <c r="E1336" s="5" t="e">
        <f ca="1">RANK(F1336,F:F)+COUNTIF(F$2:F1336,F1336)-1</f>
        <v>#VALUE!</v>
      </c>
      <c r="F1336" s="5" t="str">
        <f t="shared" si="21"/>
        <v/>
      </c>
      <c r="G1336" s="5" t="str">
        <f>IF(B1336="","",股指期货基差分析!$N$11)</f>
        <v/>
      </c>
      <c r="H1336" s="5" t="str">
        <f>IF(B1336="","",股指期货基差分析!$L$11)</f>
        <v/>
      </c>
      <c r="I1336" s="9" t="str">
        <f>IF(B1336="","",股指期货基差分析!$D$11)</f>
        <v/>
      </c>
      <c r="L1336" s="43"/>
    </row>
    <row r="1337" spans="2:12" ht="15" customHeight="1" x14ac:dyDescent="0.2">
      <c r="B1337" s="8"/>
      <c r="C1337" s="6" t="str">
        <f>IF(B1337="","",[1]!s_dq_close(股指期货基差分析!$E$5,$B1337))</f>
        <v/>
      </c>
      <c r="D1337" s="6" t="str">
        <f>IF(B1337="","",[1]!s_dq_close(股指期货基差分析!$E$6,$B1337))</f>
        <v/>
      </c>
      <c r="E1337" s="6" t="e">
        <f ca="1">RANK(F1337,F:F)+COUNTIF(F$2:F1337,F1337)-1</f>
        <v>#VALUE!</v>
      </c>
      <c r="F1337" s="6" t="str">
        <f t="shared" si="21"/>
        <v/>
      </c>
      <c r="G1337" s="6" t="str">
        <f>IF(B1337="","",股指期货基差分析!$N$11)</f>
        <v/>
      </c>
      <c r="H1337" s="6" t="str">
        <f>IF(B1337="","",股指期货基差分析!$L$11)</f>
        <v/>
      </c>
      <c r="I1337" s="10" t="str">
        <f>IF(B1337="","",股指期货基差分析!$D$11)</f>
        <v/>
      </c>
      <c r="L1337" s="43"/>
    </row>
    <row r="1338" spans="2:12" ht="15" customHeight="1" x14ac:dyDescent="0.2">
      <c r="B1338" s="7"/>
      <c r="C1338" s="5" t="str">
        <f>IF(B1338="","",[1]!s_dq_close(股指期货基差分析!$E$5,$B1338))</f>
        <v/>
      </c>
      <c r="D1338" s="5" t="str">
        <f>IF(B1338="","",[1]!s_dq_close(股指期货基差分析!$E$6,$B1338))</f>
        <v/>
      </c>
      <c r="E1338" s="5" t="e">
        <f ca="1">RANK(F1338,F:F)+COUNTIF(F$2:F1338,F1338)-1</f>
        <v>#VALUE!</v>
      </c>
      <c r="F1338" s="5" t="str">
        <f t="shared" si="21"/>
        <v/>
      </c>
      <c r="G1338" s="5" t="str">
        <f>IF(B1338="","",股指期货基差分析!$N$11)</f>
        <v/>
      </c>
      <c r="H1338" s="5" t="str">
        <f>IF(B1338="","",股指期货基差分析!$L$11)</f>
        <v/>
      </c>
      <c r="I1338" s="9" t="str">
        <f>IF(B1338="","",股指期货基差分析!$D$11)</f>
        <v/>
      </c>
      <c r="L1338" s="43"/>
    </row>
    <row r="1339" spans="2:12" ht="15" customHeight="1" x14ac:dyDescent="0.2">
      <c r="B1339" s="8"/>
      <c r="C1339" s="6" t="str">
        <f>IF(B1339="","",[1]!s_dq_close(股指期货基差分析!$E$5,$B1339))</f>
        <v/>
      </c>
      <c r="D1339" s="6" t="str">
        <f>IF(B1339="","",[1]!s_dq_close(股指期货基差分析!$E$6,$B1339))</f>
        <v/>
      </c>
      <c r="E1339" s="6" t="e">
        <f ca="1">RANK(F1339,F:F)+COUNTIF(F$2:F1339,F1339)-1</f>
        <v>#VALUE!</v>
      </c>
      <c r="F1339" s="6" t="str">
        <f t="shared" si="21"/>
        <v/>
      </c>
      <c r="G1339" s="6" t="str">
        <f>IF(B1339="","",股指期货基差分析!$N$11)</f>
        <v/>
      </c>
      <c r="H1339" s="6" t="str">
        <f>IF(B1339="","",股指期货基差分析!$L$11)</f>
        <v/>
      </c>
      <c r="I1339" s="10" t="str">
        <f>IF(B1339="","",股指期货基差分析!$D$11)</f>
        <v/>
      </c>
      <c r="L1339" s="43"/>
    </row>
    <row r="1340" spans="2:12" ht="15" customHeight="1" x14ac:dyDescent="0.2">
      <c r="B1340" s="7"/>
      <c r="C1340" s="5" t="str">
        <f>IF(B1340="","",[1]!s_dq_close(股指期货基差分析!$E$5,$B1340))</f>
        <v/>
      </c>
      <c r="D1340" s="5" t="str">
        <f>IF(B1340="","",[1]!s_dq_close(股指期货基差分析!$E$6,$B1340))</f>
        <v/>
      </c>
      <c r="E1340" s="5" t="e">
        <f ca="1">RANK(F1340,F:F)+COUNTIF(F$2:F1340,F1340)-1</f>
        <v>#VALUE!</v>
      </c>
      <c r="F1340" s="5" t="str">
        <f t="shared" si="21"/>
        <v/>
      </c>
      <c r="G1340" s="5" t="str">
        <f>IF(B1340="","",股指期货基差分析!$N$11)</f>
        <v/>
      </c>
      <c r="H1340" s="5" t="str">
        <f>IF(B1340="","",股指期货基差分析!$L$11)</f>
        <v/>
      </c>
      <c r="I1340" s="9" t="str">
        <f>IF(B1340="","",股指期货基差分析!$D$11)</f>
        <v/>
      </c>
      <c r="L1340" s="43"/>
    </row>
    <row r="1341" spans="2:12" ht="15" customHeight="1" x14ac:dyDescent="0.2">
      <c r="B1341" s="8"/>
      <c r="C1341" s="6" t="str">
        <f>IF(B1341="","",[1]!s_dq_close(股指期货基差分析!$E$5,$B1341))</f>
        <v/>
      </c>
      <c r="D1341" s="6" t="str">
        <f>IF(B1341="","",[1]!s_dq_close(股指期货基差分析!$E$6,$B1341))</f>
        <v/>
      </c>
      <c r="E1341" s="6" t="e">
        <f ca="1">RANK(F1341,F:F)+COUNTIF(F$2:F1341,F1341)-1</f>
        <v>#VALUE!</v>
      </c>
      <c r="F1341" s="6" t="str">
        <f t="shared" si="21"/>
        <v/>
      </c>
      <c r="G1341" s="6" t="str">
        <f>IF(B1341="","",股指期货基差分析!$N$11)</f>
        <v/>
      </c>
      <c r="H1341" s="6" t="str">
        <f>IF(B1341="","",股指期货基差分析!$L$11)</f>
        <v/>
      </c>
      <c r="I1341" s="10" t="str">
        <f>IF(B1341="","",股指期货基差分析!$D$11)</f>
        <v/>
      </c>
      <c r="L1341" s="43"/>
    </row>
    <row r="1342" spans="2:12" ht="15" customHeight="1" x14ac:dyDescent="0.2">
      <c r="B1342" s="7"/>
      <c r="C1342" s="5" t="str">
        <f>IF(B1342="","",[1]!s_dq_close(股指期货基差分析!$E$5,$B1342))</f>
        <v/>
      </c>
      <c r="D1342" s="5" t="str">
        <f>IF(B1342="","",[1]!s_dq_close(股指期货基差分析!$E$6,$B1342))</f>
        <v/>
      </c>
      <c r="E1342" s="5" t="e">
        <f ca="1">RANK(F1342,F:F)+COUNTIF(F$2:F1342,F1342)-1</f>
        <v>#VALUE!</v>
      </c>
      <c r="F1342" s="5" t="str">
        <f t="shared" si="21"/>
        <v/>
      </c>
      <c r="G1342" s="5" t="str">
        <f>IF(B1342="","",股指期货基差分析!$N$11)</f>
        <v/>
      </c>
      <c r="H1342" s="5" t="str">
        <f>IF(B1342="","",股指期货基差分析!$L$11)</f>
        <v/>
      </c>
      <c r="I1342" s="9" t="str">
        <f>IF(B1342="","",股指期货基差分析!$D$11)</f>
        <v/>
      </c>
      <c r="L1342" s="43"/>
    </row>
    <row r="1343" spans="2:12" ht="15" customHeight="1" x14ac:dyDescent="0.2">
      <c r="B1343" s="8"/>
      <c r="C1343" s="6" t="str">
        <f>IF(B1343="","",[1]!s_dq_close(股指期货基差分析!$E$5,$B1343))</f>
        <v/>
      </c>
      <c r="D1343" s="6" t="str">
        <f>IF(B1343="","",[1]!s_dq_close(股指期货基差分析!$E$6,$B1343))</f>
        <v/>
      </c>
      <c r="E1343" s="6" t="e">
        <f ca="1">RANK(F1343,F:F)+COUNTIF(F$2:F1343,F1343)-1</f>
        <v>#VALUE!</v>
      </c>
      <c r="F1343" s="6" t="str">
        <f t="shared" si="21"/>
        <v/>
      </c>
      <c r="G1343" s="6" t="str">
        <f>IF(B1343="","",股指期货基差分析!$N$11)</f>
        <v/>
      </c>
      <c r="H1343" s="6" t="str">
        <f>IF(B1343="","",股指期货基差分析!$L$11)</f>
        <v/>
      </c>
      <c r="I1343" s="10" t="str">
        <f>IF(B1343="","",股指期货基差分析!$D$11)</f>
        <v/>
      </c>
      <c r="L1343" s="43"/>
    </row>
    <row r="1344" spans="2:12" ht="15" customHeight="1" x14ac:dyDescent="0.2">
      <c r="B1344" s="7"/>
      <c r="C1344" s="5" t="str">
        <f>IF(B1344="","",[1]!s_dq_close(股指期货基差分析!$E$5,$B1344))</f>
        <v/>
      </c>
      <c r="D1344" s="5" t="str">
        <f>IF(B1344="","",[1]!s_dq_close(股指期货基差分析!$E$6,$B1344))</f>
        <v/>
      </c>
      <c r="E1344" s="5" t="e">
        <f ca="1">RANK(F1344,F:F)+COUNTIF(F$2:F1344,F1344)-1</f>
        <v>#VALUE!</v>
      </c>
      <c r="F1344" s="5" t="str">
        <f t="shared" si="21"/>
        <v/>
      </c>
      <c r="G1344" s="5" t="str">
        <f>IF(B1344="","",股指期货基差分析!$N$11)</f>
        <v/>
      </c>
      <c r="H1344" s="5" t="str">
        <f>IF(B1344="","",股指期货基差分析!$L$11)</f>
        <v/>
      </c>
      <c r="I1344" s="9" t="str">
        <f>IF(B1344="","",股指期货基差分析!$D$11)</f>
        <v/>
      </c>
      <c r="L1344" s="43"/>
    </row>
    <row r="1345" spans="2:12" ht="15" customHeight="1" x14ac:dyDescent="0.2">
      <c r="B1345" s="8"/>
      <c r="C1345" s="6" t="str">
        <f>IF(B1345="","",[1]!s_dq_close(股指期货基差分析!$E$5,$B1345))</f>
        <v/>
      </c>
      <c r="D1345" s="6" t="str">
        <f>IF(B1345="","",[1]!s_dq_close(股指期货基差分析!$E$6,$B1345))</f>
        <v/>
      </c>
      <c r="E1345" s="6" t="e">
        <f ca="1">RANK(F1345,F:F)+COUNTIF(F$2:F1345,F1345)-1</f>
        <v>#VALUE!</v>
      </c>
      <c r="F1345" s="6" t="str">
        <f t="shared" si="21"/>
        <v/>
      </c>
      <c r="G1345" s="6" t="str">
        <f>IF(B1345="","",股指期货基差分析!$N$11)</f>
        <v/>
      </c>
      <c r="H1345" s="6" t="str">
        <f>IF(B1345="","",股指期货基差分析!$L$11)</f>
        <v/>
      </c>
      <c r="I1345" s="10" t="str">
        <f>IF(B1345="","",股指期货基差分析!$D$11)</f>
        <v/>
      </c>
      <c r="L1345" s="43"/>
    </row>
    <row r="1346" spans="2:12" ht="15" customHeight="1" x14ac:dyDescent="0.2">
      <c r="B1346" s="7"/>
      <c r="C1346" s="5" t="str">
        <f>IF(B1346="","",[1]!s_dq_close(股指期货基差分析!$E$5,$B1346))</f>
        <v/>
      </c>
      <c r="D1346" s="5" t="str">
        <f>IF(B1346="","",[1]!s_dq_close(股指期货基差分析!$E$6,$B1346))</f>
        <v/>
      </c>
      <c r="E1346" s="5" t="e">
        <f ca="1">RANK(F1346,F:F)+COUNTIF(F$2:F1346,F1346)-1</f>
        <v>#VALUE!</v>
      </c>
      <c r="F1346" s="5" t="str">
        <f t="shared" ref="F1346:F1409" si="22">IF(B1346="","",D1346-C1346)</f>
        <v/>
      </c>
      <c r="G1346" s="5" t="str">
        <f>IF(B1346="","",股指期货基差分析!$N$11)</f>
        <v/>
      </c>
      <c r="H1346" s="5" t="str">
        <f>IF(B1346="","",股指期货基差分析!$L$11)</f>
        <v/>
      </c>
      <c r="I1346" s="9" t="str">
        <f>IF(B1346="","",股指期货基差分析!$D$11)</f>
        <v/>
      </c>
      <c r="L1346" s="43"/>
    </row>
    <row r="1347" spans="2:12" ht="15" customHeight="1" x14ac:dyDescent="0.2">
      <c r="B1347" s="8"/>
      <c r="C1347" s="6" t="str">
        <f>IF(B1347="","",[1]!s_dq_close(股指期货基差分析!$E$5,$B1347))</f>
        <v/>
      </c>
      <c r="D1347" s="6" t="str">
        <f>IF(B1347="","",[1]!s_dq_close(股指期货基差分析!$E$6,$B1347))</f>
        <v/>
      </c>
      <c r="E1347" s="6" t="e">
        <f ca="1">RANK(F1347,F:F)+COUNTIF(F$2:F1347,F1347)-1</f>
        <v>#VALUE!</v>
      </c>
      <c r="F1347" s="6" t="str">
        <f t="shared" si="22"/>
        <v/>
      </c>
      <c r="G1347" s="6" t="str">
        <f>IF(B1347="","",股指期货基差分析!$N$11)</f>
        <v/>
      </c>
      <c r="H1347" s="6" t="str">
        <f>IF(B1347="","",股指期货基差分析!$L$11)</f>
        <v/>
      </c>
      <c r="I1347" s="10" t="str">
        <f>IF(B1347="","",股指期货基差分析!$D$11)</f>
        <v/>
      </c>
      <c r="L1347" s="43"/>
    </row>
    <row r="1348" spans="2:12" ht="15" customHeight="1" x14ac:dyDescent="0.2">
      <c r="B1348" s="7"/>
      <c r="C1348" s="5" t="str">
        <f>IF(B1348="","",[1]!s_dq_close(股指期货基差分析!$E$5,$B1348))</f>
        <v/>
      </c>
      <c r="D1348" s="5" t="str">
        <f>IF(B1348="","",[1]!s_dq_close(股指期货基差分析!$E$6,$B1348))</f>
        <v/>
      </c>
      <c r="E1348" s="5" t="e">
        <f ca="1">RANK(F1348,F:F)+COUNTIF(F$2:F1348,F1348)-1</f>
        <v>#VALUE!</v>
      </c>
      <c r="F1348" s="5" t="str">
        <f t="shared" si="22"/>
        <v/>
      </c>
      <c r="G1348" s="5" t="str">
        <f>IF(B1348="","",股指期货基差分析!$N$11)</f>
        <v/>
      </c>
      <c r="H1348" s="5" t="str">
        <f>IF(B1348="","",股指期货基差分析!$L$11)</f>
        <v/>
      </c>
      <c r="I1348" s="9" t="str">
        <f>IF(B1348="","",股指期货基差分析!$D$11)</f>
        <v/>
      </c>
      <c r="L1348" s="43"/>
    </row>
    <row r="1349" spans="2:12" ht="15" customHeight="1" x14ac:dyDescent="0.2">
      <c r="B1349" s="8"/>
      <c r="C1349" s="6" t="str">
        <f>IF(B1349="","",[1]!s_dq_close(股指期货基差分析!$E$5,$B1349))</f>
        <v/>
      </c>
      <c r="D1349" s="6" t="str">
        <f>IF(B1349="","",[1]!s_dq_close(股指期货基差分析!$E$6,$B1349))</f>
        <v/>
      </c>
      <c r="E1349" s="6" t="e">
        <f ca="1">RANK(F1349,F:F)+COUNTIF(F$2:F1349,F1349)-1</f>
        <v>#VALUE!</v>
      </c>
      <c r="F1349" s="6" t="str">
        <f t="shared" si="22"/>
        <v/>
      </c>
      <c r="G1349" s="6" t="str">
        <f>IF(B1349="","",股指期货基差分析!$N$11)</f>
        <v/>
      </c>
      <c r="H1349" s="6" t="str">
        <f>IF(B1349="","",股指期货基差分析!$L$11)</f>
        <v/>
      </c>
      <c r="I1349" s="10" t="str">
        <f>IF(B1349="","",股指期货基差分析!$D$11)</f>
        <v/>
      </c>
      <c r="L1349" s="43"/>
    </row>
    <row r="1350" spans="2:12" ht="15" customHeight="1" x14ac:dyDescent="0.2">
      <c r="B1350" s="7"/>
      <c r="C1350" s="5" t="str">
        <f>IF(B1350="","",[1]!s_dq_close(股指期货基差分析!$E$5,$B1350))</f>
        <v/>
      </c>
      <c r="D1350" s="5" t="str">
        <f>IF(B1350="","",[1]!s_dq_close(股指期货基差分析!$E$6,$B1350))</f>
        <v/>
      </c>
      <c r="E1350" s="5" t="e">
        <f ca="1">RANK(F1350,F:F)+COUNTIF(F$2:F1350,F1350)-1</f>
        <v>#VALUE!</v>
      </c>
      <c r="F1350" s="5" t="str">
        <f t="shared" si="22"/>
        <v/>
      </c>
      <c r="G1350" s="5" t="str">
        <f>IF(B1350="","",股指期货基差分析!$N$11)</f>
        <v/>
      </c>
      <c r="H1350" s="5" t="str">
        <f>IF(B1350="","",股指期货基差分析!$L$11)</f>
        <v/>
      </c>
      <c r="I1350" s="9" t="str">
        <f>IF(B1350="","",股指期货基差分析!$D$11)</f>
        <v/>
      </c>
      <c r="L1350" s="43"/>
    </row>
    <row r="1351" spans="2:12" ht="15" customHeight="1" x14ac:dyDescent="0.2">
      <c r="B1351" s="8"/>
      <c r="C1351" s="6" t="str">
        <f>IF(B1351="","",[1]!s_dq_close(股指期货基差分析!$E$5,$B1351))</f>
        <v/>
      </c>
      <c r="D1351" s="6" t="str">
        <f>IF(B1351="","",[1]!s_dq_close(股指期货基差分析!$E$6,$B1351))</f>
        <v/>
      </c>
      <c r="E1351" s="6" t="e">
        <f ca="1">RANK(F1351,F:F)+COUNTIF(F$2:F1351,F1351)-1</f>
        <v>#VALUE!</v>
      </c>
      <c r="F1351" s="6" t="str">
        <f t="shared" si="22"/>
        <v/>
      </c>
      <c r="G1351" s="6" t="str">
        <f>IF(B1351="","",股指期货基差分析!$N$11)</f>
        <v/>
      </c>
      <c r="H1351" s="6" t="str">
        <f>IF(B1351="","",股指期货基差分析!$L$11)</f>
        <v/>
      </c>
      <c r="I1351" s="10" t="str">
        <f>IF(B1351="","",股指期货基差分析!$D$11)</f>
        <v/>
      </c>
      <c r="L1351" s="43"/>
    </row>
    <row r="1352" spans="2:12" ht="15" customHeight="1" x14ac:dyDescent="0.2">
      <c r="B1352" s="7"/>
      <c r="C1352" s="5" t="str">
        <f>IF(B1352="","",[1]!s_dq_close(股指期货基差分析!$E$5,$B1352))</f>
        <v/>
      </c>
      <c r="D1352" s="5" t="str">
        <f>IF(B1352="","",[1]!s_dq_close(股指期货基差分析!$E$6,$B1352))</f>
        <v/>
      </c>
      <c r="E1352" s="5" t="e">
        <f ca="1">RANK(F1352,F:F)+COUNTIF(F$2:F1352,F1352)-1</f>
        <v>#VALUE!</v>
      </c>
      <c r="F1352" s="5" t="str">
        <f t="shared" si="22"/>
        <v/>
      </c>
      <c r="G1352" s="5" t="str">
        <f>IF(B1352="","",股指期货基差分析!$N$11)</f>
        <v/>
      </c>
      <c r="H1352" s="5" t="str">
        <f>IF(B1352="","",股指期货基差分析!$L$11)</f>
        <v/>
      </c>
      <c r="I1352" s="9" t="str">
        <f>IF(B1352="","",股指期货基差分析!$D$11)</f>
        <v/>
      </c>
      <c r="L1352" s="43"/>
    </row>
    <row r="1353" spans="2:12" ht="15" customHeight="1" x14ac:dyDescent="0.2">
      <c r="B1353" s="8"/>
      <c r="C1353" s="6" t="str">
        <f>IF(B1353="","",[1]!s_dq_close(股指期货基差分析!$E$5,$B1353))</f>
        <v/>
      </c>
      <c r="D1353" s="6" t="str">
        <f>IF(B1353="","",[1]!s_dq_close(股指期货基差分析!$E$6,$B1353))</f>
        <v/>
      </c>
      <c r="E1353" s="6" t="e">
        <f ca="1">RANK(F1353,F:F)+COUNTIF(F$2:F1353,F1353)-1</f>
        <v>#VALUE!</v>
      </c>
      <c r="F1353" s="6" t="str">
        <f t="shared" si="22"/>
        <v/>
      </c>
      <c r="G1353" s="6" t="str">
        <f>IF(B1353="","",股指期货基差分析!$N$11)</f>
        <v/>
      </c>
      <c r="H1353" s="6" t="str">
        <f>IF(B1353="","",股指期货基差分析!$L$11)</f>
        <v/>
      </c>
      <c r="I1353" s="10" t="str">
        <f>IF(B1353="","",股指期货基差分析!$D$11)</f>
        <v/>
      </c>
      <c r="L1353" s="43"/>
    </row>
    <row r="1354" spans="2:12" ht="15" customHeight="1" x14ac:dyDescent="0.2">
      <c r="B1354" s="7"/>
      <c r="C1354" s="5" t="str">
        <f>IF(B1354="","",[1]!s_dq_close(股指期货基差分析!$E$5,$B1354))</f>
        <v/>
      </c>
      <c r="D1354" s="5" t="str">
        <f>IF(B1354="","",[1]!s_dq_close(股指期货基差分析!$E$6,$B1354))</f>
        <v/>
      </c>
      <c r="E1354" s="5" t="e">
        <f ca="1">RANK(F1354,F:F)+COUNTIF(F$2:F1354,F1354)-1</f>
        <v>#VALUE!</v>
      </c>
      <c r="F1354" s="5" t="str">
        <f t="shared" si="22"/>
        <v/>
      </c>
      <c r="G1354" s="5" t="str">
        <f>IF(B1354="","",股指期货基差分析!$N$11)</f>
        <v/>
      </c>
      <c r="H1354" s="5" t="str">
        <f>IF(B1354="","",股指期货基差分析!$L$11)</f>
        <v/>
      </c>
      <c r="I1354" s="9" t="str">
        <f>IF(B1354="","",股指期货基差分析!$D$11)</f>
        <v/>
      </c>
      <c r="L1354" s="43"/>
    </row>
    <row r="1355" spans="2:12" ht="15" customHeight="1" x14ac:dyDescent="0.2">
      <c r="B1355" s="8"/>
      <c r="C1355" s="6" t="str">
        <f>IF(B1355="","",[1]!s_dq_close(股指期货基差分析!$E$5,$B1355))</f>
        <v/>
      </c>
      <c r="D1355" s="6" t="str">
        <f>IF(B1355="","",[1]!s_dq_close(股指期货基差分析!$E$6,$B1355))</f>
        <v/>
      </c>
      <c r="E1355" s="6" t="e">
        <f ca="1">RANK(F1355,F:F)+COUNTIF(F$2:F1355,F1355)-1</f>
        <v>#VALUE!</v>
      </c>
      <c r="F1355" s="6" t="str">
        <f t="shared" si="22"/>
        <v/>
      </c>
      <c r="G1355" s="6" t="str">
        <f>IF(B1355="","",股指期货基差分析!$N$11)</f>
        <v/>
      </c>
      <c r="H1355" s="6" t="str">
        <f>IF(B1355="","",股指期货基差分析!$L$11)</f>
        <v/>
      </c>
      <c r="I1355" s="10" t="str">
        <f>IF(B1355="","",股指期货基差分析!$D$11)</f>
        <v/>
      </c>
      <c r="L1355" s="43"/>
    </row>
    <row r="1356" spans="2:12" ht="15" customHeight="1" x14ac:dyDescent="0.2">
      <c r="B1356" s="7"/>
      <c r="C1356" s="5" t="str">
        <f>IF(B1356="","",[1]!s_dq_close(股指期货基差分析!$E$5,$B1356))</f>
        <v/>
      </c>
      <c r="D1356" s="5" t="str">
        <f>IF(B1356="","",[1]!s_dq_close(股指期货基差分析!$E$6,$B1356))</f>
        <v/>
      </c>
      <c r="E1356" s="5" t="e">
        <f ca="1">RANK(F1356,F:F)+COUNTIF(F$2:F1356,F1356)-1</f>
        <v>#VALUE!</v>
      </c>
      <c r="F1356" s="5" t="str">
        <f t="shared" si="22"/>
        <v/>
      </c>
      <c r="G1356" s="5" t="str">
        <f>IF(B1356="","",股指期货基差分析!$N$11)</f>
        <v/>
      </c>
      <c r="H1356" s="5" t="str">
        <f>IF(B1356="","",股指期货基差分析!$L$11)</f>
        <v/>
      </c>
      <c r="I1356" s="9" t="str">
        <f>IF(B1356="","",股指期货基差分析!$D$11)</f>
        <v/>
      </c>
      <c r="L1356" s="43"/>
    </row>
    <row r="1357" spans="2:12" ht="15" customHeight="1" x14ac:dyDescent="0.2">
      <c r="B1357" s="8"/>
      <c r="C1357" s="6" t="str">
        <f>IF(B1357="","",[1]!s_dq_close(股指期货基差分析!$E$5,$B1357))</f>
        <v/>
      </c>
      <c r="D1357" s="6" t="str">
        <f>IF(B1357="","",[1]!s_dq_close(股指期货基差分析!$E$6,$B1357))</f>
        <v/>
      </c>
      <c r="E1357" s="6" t="e">
        <f ca="1">RANK(F1357,F:F)+COUNTIF(F$2:F1357,F1357)-1</f>
        <v>#VALUE!</v>
      </c>
      <c r="F1357" s="6" t="str">
        <f t="shared" si="22"/>
        <v/>
      </c>
      <c r="G1357" s="6" t="str">
        <f>IF(B1357="","",股指期货基差分析!$N$11)</f>
        <v/>
      </c>
      <c r="H1357" s="6" t="str">
        <f>IF(B1357="","",股指期货基差分析!$L$11)</f>
        <v/>
      </c>
      <c r="I1357" s="10" t="str">
        <f>IF(B1357="","",股指期货基差分析!$D$11)</f>
        <v/>
      </c>
      <c r="L1357" s="43"/>
    </row>
    <row r="1358" spans="2:12" ht="15" customHeight="1" x14ac:dyDescent="0.2">
      <c r="B1358" s="7"/>
      <c r="C1358" s="5" t="str">
        <f>IF(B1358="","",[1]!s_dq_close(股指期货基差分析!$E$5,$B1358))</f>
        <v/>
      </c>
      <c r="D1358" s="5" t="str">
        <f>IF(B1358="","",[1]!s_dq_close(股指期货基差分析!$E$6,$B1358))</f>
        <v/>
      </c>
      <c r="E1358" s="5" t="e">
        <f ca="1">RANK(F1358,F:F)+COUNTIF(F$2:F1358,F1358)-1</f>
        <v>#VALUE!</v>
      </c>
      <c r="F1358" s="5" t="str">
        <f t="shared" si="22"/>
        <v/>
      </c>
      <c r="G1358" s="5" t="str">
        <f>IF(B1358="","",股指期货基差分析!$N$11)</f>
        <v/>
      </c>
      <c r="H1358" s="5" t="str">
        <f>IF(B1358="","",股指期货基差分析!$L$11)</f>
        <v/>
      </c>
      <c r="I1358" s="9" t="str">
        <f>IF(B1358="","",股指期货基差分析!$D$11)</f>
        <v/>
      </c>
      <c r="L1358" s="43"/>
    </row>
    <row r="1359" spans="2:12" ht="15" customHeight="1" x14ac:dyDescent="0.2">
      <c r="B1359" s="8"/>
      <c r="C1359" s="6" t="str">
        <f>IF(B1359="","",[1]!s_dq_close(股指期货基差分析!$E$5,$B1359))</f>
        <v/>
      </c>
      <c r="D1359" s="6" t="str">
        <f>IF(B1359="","",[1]!s_dq_close(股指期货基差分析!$E$6,$B1359))</f>
        <v/>
      </c>
      <c r="E1359" s="6" t="e">
        <f ca="1">RANK(F1359,F:F)+COUNTIF(F$2:F1359,F1359)-1</f>
        <v>#VALUE!</v>
      </c>
      <c r="F1359" s="6" t="str">
        <f t="shared" si="22"/>
        <v/>
      </c>
      <c r="G1359" s="6" t="str">
        <f>IF(B1359="","",股指期货基差分析!$N$11)</f>
        <v/>
      </c>
      <c r="H1359" s="6" t="str">
        <f>IF(B1359="","",股指期货基差分析!$L$11)</f>
        <v/>
      </c>
      <c r="I1359" s="10" t="str">
        <f>IF(B1359="","",股指期货基差分析!$D$11)</f>
        <v/>
      </c>
      <c r="L1359" s="43"/>
    </row>
    <row r="1360" spans="2:12" ht="15" customHeight="1" x14ac:dyDescent="0.2">
      <c r="B1360" s="7"/>
      <c r="C1360" s="5" t="str">
        <f>IF(B1360="","",[1]!s_dq_close(股指期货基差分析!$E$5,$B1360))</f>
        <v/>
      </c>
      <c r="D1360" s="5" t="str">
        <f>IF(B1360="","",[1]!s_dq_close(股指期货基差分析!$E$6,$B1360))</f>
        <v/>
      </c>
      <c r="E1360" s="5" t="e">
        <f ca="1">RANK(F1360,F:F)+COUNTIF(F$2:F1360,F1360)-1</f>
        <v>#VALUE!</v>
      </c>
      <c r="F1360" s="5" t="str">
        <f t="shared" si="22"/>
        <v/>
      </c>
      <c r="G1360" s="5" t="str">
        <f>IF(B1360="","",股指期货基差分析!$N$11)</f>
        <v/>
      </c>
      <c r="H1360" s="5" t="str">
        <f>IF(B1360="","",股指期货基差分析!$L$11)</f>
        <v/>
      </c>
      <c r="I1360" s="9" t="str">
        <f>IF(B1360="","",股指期货基差分析!$D$11)</f>
        <v/>
      </c>
      <c r="L1360" s="43"/>
    </row>
    <row r="1361" spans="2:12" ht="15" customHeight="1" x14ac:dyDescent="0.2">
      <c r="B1361" s="8"/>
      <c r="C1361" s="6" t="str">
        <f>IF(B1361="","",[1]!s_dq_close(股指期货基差分析!$E$5,$B1361))</f>
        <v/>
      </c>
      <c r="D1361" s="6" t="str">
        <f>IF(B1361="","",[1]!s_dq_close(股指期货基差分析!$E$6,$B1361))</f>
        <v/>
      </c>
      <c r="E1361" s="6" t="e">
        <f ca="1">RANK(F1361,F:F)+COUNTIF(F$2:F1361,F1361)-1</f>
        <v>#VALUE!</v>
      </c>
      <c r="F1361" s="6" t="str">
        <f t="shared" si="22"/>
        <v/>
      </c>
      <c r="G1361" s="6" t="str">
        <f>IF(B1361="","",股指期货基差分析!$N$11)</f>
        <v/>
      </c>
      <c r="H1361" s="6" t="str">
        <f>IF(B1361="","",股指期货基差分析!$L$11)</f>
        <v/>
      </c>
      <c r="I1361" s="10" t="str">
        <f>IF(B1361="","",股指期货基差分析!$D$11)</f>
        <v/>
      </c>
      <c r="L1361" s="43"/>
    </row>
    <row r="1362" spans="2:12" ht="15" customHeight="1" x14ac:dyDescent="0.2">
      <c r="B1362" s="7"/>
      <c r="C1362" s="5" t="str">
        <f>IF(B1362="","",[1]!s_dq_close(股指期货基差分析!$E$5,$B1362))</f>
        <v/>
      </c>
      <c r="D1362" s="5" t="str">
        <f>IF(B1362="","",[1]!s_dq_close(股指期货基差分析!$E$6,$B1362))</f>
        <v/>
      </c>
      <c r="E1362" s="5" t="e">
        <f ca="1">RANK(F1362,F:F)+COUNTIF(F$2:F1362,F1362)-1</f>
        <v>#VALUE!</v>
      </c>
      <c r="F1362" s="5" t="str">
        <f t="shared" si="22"/>
        <v/>
      </c>
      <c r="G1362" s="5" t="str">
        <f>IF(B1362="","",股指期货基差分析!$N$11)</f>
        <v/>
      </c>
      <c r="H1362" s="5" t="str">
        <f>IF(B1362="","",股指期货基差分析!$L$11)</f>
        <v/>
      </c>
      <c r="I1362" s="9" t="str">
        <f>IF(B1362="","",股指期货基差分析!$D$11)</f>
        <v/>
      </c>
      <c r="L1362" s="43"/>
    </row>
    <row r="1363" spans="2:12" ht="15" customHeight="1" x14ac:dyDescent="0.2">
      <c r="B1363" s="8"/>
      <c r="C1363" s="6" t="str">
        <f>IF(B1363="","",[1]!s_dq_close(股指期货基差分析!$E$5,$B1363))</f>
        <v/>
      </c>
      <c r="D1363" s="6" t="str">
        <f>IF(B1363="","",[1]!s_dq_close(股指期货基差分析!$E$6,$B1363))</f>
        <v/>
      </c>
      <c r="E1363" s="6" t="e">
        <f ca="1">RANK(F1363,F:F)+COUNTIF(F$2:F1363,F1363)-1</f>
        <v>#VALUE!</v>
      </c>
      <c r="F1363" s="6" t="str">
        <f t="shared" si="22"/>
        <v/>
      </c>
      <c r="G1363" s="6" t="str">
        <f>IF(B1363="","",股指期货基差分析!$N$11)</f>
        <v/>
      </c>
      <c r="H1363" s="6" t="str">
        <f>IF(B1363="","",股指期货基差分析!$L$11)</f>
        <v/>
      </c>
      <c r="I1363" s="10" t="str">
        <f>IF(B1363="","",股指期货基差分析!$D$11)</f>
        <v/>
      </c>
      <c r="L1363" s="43"/>
    </row>
    <row r="1364" spans="2:12" ht="15" customHeight="1" x14ac:dyDescent="0.2">
      <c r="B1364" s="7"/>
      <c r="C1364" s="5" t="str">
        <f>IF(B1364="","",[1]!s_dq_close(股指期货基差分析!$E$5,$B1364))</f>
        <v/>
      </c>
      <c r="D1364" s="5" t="str">
        <f>IF(B1364="","",[1]!s_dq_close(股指期货基差分析!$E$6,$B1364))</f>
        <v/>
      </c>
      <c r="E1364" s="5" t="e">
        <f ca="1">RANK(F1364,F:F)+COUNTIF(F$2:F1364,F1364)-1</f>
        <v>#VALUE!</v>
      </c>
      <c r="F1364" s="5" t="str">
        <f t="shared" si="22"/>
        <v/>
      </c>
      <c r="G1364" s="5" t="str">
        <f>IF(B1364="","",股指期货基差分析!$N$11)</f>
        <v/>
      </c>
      <c r="H1364" s="5" t="str">
        <f>IF(B1364="","",股指期货基差分析!$L$11)</f>
        <v/>
      </c>
      <c r="I1364" s="9" t="str">
        <f>IF(B1364="","",股指期货基差分析!$D$11)</f>
        <v/>
      </c>
      <c r="L1364" s="43"/>
    </row>
    <row r="1365" spans="2:12" ht="15" customHeight="1" x14ac:dyDescent="0.2">
      <c r="B1365" s="8"/>
      <c r="C1365" s="6" t="str">
        <f>IF(B1365="","",[1]!s_dq_close(股指期货基差分析!$E$5,$B1365))</f>
        <v/>
      </c>
      <c r="D1365" s="6" t="str">
        <f>IF(B1365="","",[1]!s_dq_close(股指期货基差分析!$E$6,$B1365))</f>
        <v/>
      </c>
      <c r="E1365" s="6" t="e">
        <f ca="1">RANK(F1365,F:F)+COUNTIF(F$2:F1365,F1365)-1</f>
        <v>#VALUE!</v>
      </c>
      <c r="F1365" s="6" t="str">
        <f t="shared" si="22"/>
        <v/>
      </c>
      <c r="G1365" s="6" t="str">
        <f>IF(B1365="","",股指期货基差分析!$N$11)</f>
        <v/>
      </c>
      <c r="H1365" s="6" t="str">
        <f>IF(B1365="","",股指期货基差分析!$L$11)</f>
        <v/>
      </c>
      <c r="I1365" s="10" t="str">
        <f>IF(B1365="","",股指期货基差分析!$D$11)</f>
        <v/>
      </c>
      <c r="L1365" s="43"/>
    </row>
    <row r="1366" spans="2:12" ht="15" customHeight="1" x14ac:dyDescent="0.2">
      <c r="B1366" s="7"/>
      <c r="C1366" s="5" t="str">
        <f>IF(B1366="","",[1]!s_dq_close(股指期货基差分析!$E$5,$B1366))</f>
        <v/>
      </c>
      <c r="D1366" s="5" t="str">
        <f>IF(B1366="","",[1]!s_dq_close(股指期货基差分析!$E$6,$B1366))</f>
        <v/>
      </c>
      <c r="E1366" s="5" t="e">
        <f ca="1">RANK(F1366,F:F)+COUNTIF(F$2:F1366,F1366)-1</f>
        <v>#VALUE!</v>
      </c>
      <c r="F1366" s="5" t="str">
        <f t="shared" si="22"/>
        <v/>
      </c>
      <c r="G1366" s="5" t="str">
        <f>IF(B1366="","",股指期货基差分析!$N$11)</f>
        <v/>
      </c>
      <c r="H1366" s="5" t="str">
        <f>IF(B1366="","",股指期货基差分析!$L$11)</f>
        <v/>
      </c>
      <c r="I1366" s="9" t="str">
        <f>IF(B1366="","",股指期货基差分析!$D$11)</f>
        <v/>
      </c>
      <c r="L1366" s="43"/>
    </row>
    <row r="1367" spans="2:12" ht="15" customHeight="1" x14ac:dyDescent="0.2">
      <c r="B1367" s="8"/>
      <c r="C1367" s="6" t="str">
        <f>IF(B1367="","",[1]!s_dq_close(股指期货基差分析!$E$5,$B1367))</f>
        <v/>
      </c>
      <c r="D1367" s="6" t="str">
        <f>IF(B1367="","",[1]!s_dq_close(股指期货基差分析!$E$6,$B1367))</f>
        <v/>
      </c>
      <c r="E1367" s="6" t="e">
        <f ca="1">RANK(F1367,F:F)+COUNTIF(F$2:F1367,F1367)-1</f>
        <v>#VALUE!</v>
      </c>
      <c r="F1367" s="6" t="str">
        <f t="shared" si="22"/>
        <v/>
      </c>
      <c r="G1367" s="6" t="str">
        <f>IF(B1367="","",股指期货基差分析!$N$11)</f>
        <v/>
      </c>
      <c r="H1367" s="6" t="str">
        <f>IF(B1367="","",股指期货基差分析!$L$11)</f>
        <v/>
      </c>
      <c r="I1367" s="10" t="str">
        <f>IF(B1367="","",股指期货基差分析!$D$11)</f>
        <v/>
      </c>
      <c r="L1367" s="43"/>
    </row>
    <row r="1368" spans="2:12" ht="15" customHeight="1" x14ac:dyDescent="0.2">
      <c r="B1368" s="7"/>
      <c r="C1368" s="5" t="str">
        <f>IF(B1368="","",[1]!s_dq_close(股指期货基差分析!$E$5,$B1368))</f>
        <v/>
      </c>
      <c r="D1368" s="5" t="str">
        <f>IF(B1368="","",[1]!s_dq_close(股指期货基差分析!$E$6,$B1368))</f>
        <v/>
      </c>
      <c r="E1368" s="5" t="e">
        <f ca="1">RANK(F1368,F:F)+COUNTIF(F$2:F1368,F1368)-1</f>
        <v>#VALUE!</v>
      </c>
      <c r="F1368" s="5" t="str">
        <f t="shared" si="22"/>
        <v/>
      </c>
      <c r="G1368" s="5" t="str">
        <f>IF(B1368="","",股指期货基差分析!$N$11)</f>
        <v/>
      </c>
      <c r="H1368" s="5" t="str">
        <f>IF(B1368="","",股指期货基差分析!$L$11)</f>
        <v/>
      </c>
      <c r="I1368" s="9" t="str">
        <f>IF(B1368="","",股指期货基差分析!$D$11)</f>
        <v/>
      </c>
      <c r="L1368" s="43"/>
    </row>
    <row r="1369" spans="2:12" ht="15" customHeight="1" x14ac:dyDescent="0.2">
      <c r="B1369" s="8"/>
      <c r="C1369" s="6" t="str">
        <f>IF(B1369="","",[1]!s_dq_close(股指期货基差分析!$E$5,$B1369))</f>
        <v/>
      </c>
      <c r="D1369" s="6" t="str">
        <f>IF(B1369="","",[1]!s_dq_close(股指期货基差分析!$E$6,$B1369))</f>
        <v/>
      </c>
      <c r="E1369" s="6" t="e">
        <f ca="1">RANK(F1369,F:F)+COUNTIF(F$2:F1369,F1369)-1</f>
        <v>#VALUE!</v>
      </c>
      <c r="F1369" s="6" t="str">
        <f t="shared" si="22"/>
        <v/>
      </c>
      <c r="G1369" s="6" t="str">
        <f>IF(B1369="","",股指期货基差分析!$N$11)</f>
        <v/>
      </c>
      <c r="H1369" s="6" t="str">
        <f>IF(B1369="","",股指期货基差分析!$L$11)</f>
        <v/>
      </c>
      <c r="I1369" s="10" t="str">
        <f>IF(B1369="","",股指期货基差分析!$D$11)</f>
        <v/>
      </c>
      <c r="L1369" s="43"/>
    </row>
    <row r="1370" spans="2:12" ht="15" customHeight="1" x14ac:dyDescent="0.2">
      <c r="B1370" s="7"/>
      <c r="C1370" s="5" t="str">
        <f>IF(B1370="","",[1]!s_dq_close(股指期货基差分析!$E$5,$B1370))</f>
        <v/>
      </c>
      <c r="D1370" s="5" t="str">
        <f>IF(B1370="","",[1]!s_dq_close(股指期货基差分析!$E$6,$B1370))</f>
        <v/>
      </c>
      <c r="E1370" s="5" t="e">
        <f ca="1">RANK(F1370,F:F)+COUNTIF(F$2:F1370,F1370)-1</f>
        <v>#VALUE!</v>
      </c>
      <c r="F1370" s="5" t="str">
        <f t="shared" si="22"/>
        <v/>
      </c>
      <c r="G1370" s="5" t="str">
        <f>IF(B1370="","",股指期货基差分析!$N$11)</f>
        <v/>
      </c>
      <c r="H1370" s="5" t="str">
        <f>IF(B1370="","",股指期货基差分析!$L$11)</f>
        <v/>
      </c>
      <c r="I1370" s="9" t="str">
        <f>IF(B1370="","",股指期货基差分析!$D$11)</f>
        <v/>
      </c>
      <c r="L1370" s="43"/>
    </row>
    <row r="1371" spans="2:12" ht="15" customHeight="1" x14ac:dyDescent="0.2">
      <c r="B1371" s="8"/>
      <c r="C1371" s="6" t="str">
        <f>IF(B1371="","",[1]!s_dq_close(股指期货基差分析!$E$5,$B1371))</f>
        <v/>
      </c>
      <c r="D1371" s="6" t="str">
        <f>IF(B1371="","",[1]!s_dq_close(股指期货基差分析!$E$6,$B1371))</f>
        <v/>
      </c>
      <c r="E1371" s="6" t="e">
        <f ca="1">RANK(F1371,F:F)+COUNTIF(F$2:F1371,F1371)-1</f>
        <v>#VALUE!</v>
      </c>
      <c r="F1371" s="6" t="str">
        <f t="shared" si="22"/>
        <v/>
      </c>
      <c r="G1371" s="6" t="str">
        <f>IF(B1371="","",股指期货基差分析!$N$11)</f>
        <v/>
      </c>
      <c r="H1371" s="6" t="str">
        <f>IF(B1371="","",股指期货基差分析!$L$11)</f>
        <v/>
      </c>
      <c r="I1371" s="10" t="str">
        <f>IF(B1371="","",股指期货基差分析!$D$11)</f>
        <v/>
      </c>
      <c r="L1371" s="43"/>
    </row>
    <row r="1372" spans="2:12" ht="15" customHeight="1" x14ac:dyDescent="0.2">
      <c r="B1372" s="7"/>
      <c r="C1372" s="5" t="str">
        <f>IF(B1372="","",[1]!s_dq_close(股指期货基差分析!$E$5,$B1372))</f>
        <v/>
      </c>
      <c r="D1372" s="5" t="str">
        <f>IF(B1372="","",[1]!s_dq_close(股指期货基差分析!$E$6,$B1372))</f>
        <v/>
      </c>
      <c r="E1372" s="5" t="e">
        <f ca="1">RANK(F1372,F:F)+COUNTIF(F$2:F1372,F1372)-1</f>
        <v>#VALUE!</v>
      </c>
      <c r="F1372" s="5" t="str">
        <f t="shared" si="22"/>
        <v/>
      </c>
      <c r="G1372" s="5" t="str">
        <f>IF(B1372="","",股指期货基差分析!$N$11)</f>
        <v/>
      </c>
      <c r="H1372" s="5" t="str">
        <f>IF(B1372="","",股指期货基差分析!$L$11)</f>
        <v/>
      </c>
      <c r="I1372" s="9" t="str">
        <f>IF(B1372="","",股指期货基差分析!$D$11)</f>
        <v/>
      </c>
      <c r="L1372" s="43"/>
    </row>
    <row r="1373" spans="2:12" ht="15" customHeight="1" x14ac:dyDescent="0.2">
      <c r="B1373" s="8"/>
      <c r="C1373" s="6" t="str">
        <f>IF(B1373="","",[1]!s_dq_close(股指期货基差分析!$E$5,$B1373))</f>
        <v/>
      </c>
      <c r="D1373" s="6" t="str">
        <f>IF(B1373="","",[1]!s_dq_close(股指期货基差分析!$E$6,$B1373))</f>
        <v/>
      </c>
      <c r="E1373" s="6" t="e">
        <f ca="1">RANK(F1373,F:F)+COUNTIF(F$2:F1373,F1373)-1</f>
        <v>#VALUE!</v>
      </c>
      <c r="F1373" s="6" t="str">
        <f t="shared" si="22"/>
        <v/>
      </c>
      <c r="G1373" s="6" t="str">
        <f>IF(B1373="","",股指期货基差分析!$N$11)</f>
        <v/>
      </c>
      <c r="H1373" s="6" t="str">
        <f>IF(B1373="","",股指期货基差分析!$L$11)</f>
        <v/>
      </c>
      <c r="I1373" s="10" t="str">
        <f>IF(B1373="","",股指期货基差分析!$D$11)</f>
        <v/>
      </c>
      <c r="L1373" s="43"/>
    </row>
    <row r="1374" spans="2:12" ht="15" customHeight="1" x14ac:dyDescent="0.2">
      <c r="B1374" s="7"/>
      <c r="C1374" s="5" t="str">
        <f>IF(B1374="","",[1]!s_dq_close(股指期货基差分析!$E$5,$B1374))</f>
        <v/>
      </c>
      <c r="D1374" s="5" t="str">
        <f>IF(B1374="","",[1]!s_dq_close(股指期货基差分析!$E$6,$B1374))</f>
        <v/>
      </c>
      <c r="E1374" s="5" t="e">
        <f ca="1">RANK(F1374,F:F)+COUNTIF(F$2:F1374,F1374)-1</f>
        <v>#VALUE!</v>
      </c>
      <c r="F1374" s="5" t="str">
        <f t="shared" si="22"/>
        <v/>
      </c>
      <c r="G1374" s="5" t="str">
        <f>IF(B1374="","",股指期货基差分析!$N$11)</f>
        <v/>
      </c>
      <c r="H1374" s="5" t="str">
        <f>IF(B1374="","",股指期货基差分析!$L$11)</f>
        <v/>
      </c>
      <c r="I1374" s="9" t="str">
        <f>IF(B1374="","",股指期货基差分析!$D$11)</f>
        <v/>
      </c>
      <c r="L1374" s="43"/>
    </row>
    <row r="1375" spans="2:12" ht="15" customHeight="1" x14ac:dyDescent="0.2">
      <c r="B1375" s="8"/>
      <c r="C1375" s="6" t="str">
        <f>IF(B1375="","",[1]!s_dq_close(股指期货基差分析!$E$5,$B1375))</f>
        <v/>
      </c>
      <c r="D1375" s="6" t="str">
        <f>IF(B1375="","",[1]!s_dq_close(股指期货基差分析!$E$6,$B1375))</f>
        <v/>
      </c>
      <c r="E1375" s="6" t="e">
        <f ca="1">RANK(F1375,F:F)+COUNTIF(F$2:F1375,F1375)-1</f>
        <v>#VALUE!</v>
      </c>
      <c r="F1375" s="6" t="str">
        <f t="shared" si="22"/>
        <v/>
      </c>
      <c r="G1375" s="6" t="str">
        <f>IF(B1375="","",股指期货基差分析!$N$11)</f>
        <v/>
      </c>
      <c r="H1375" s="6" t="str">
        <f>IF(B1375="","",股指期货基差分析!$L$11)</f>
        <v/>
      </c>
      <c r="I1375" s="10" t="str">
        <f>IF(B1375="","",股指期货基差分析!$D$11)</f>
        <v/>
      </c>
      <c r="L1375" s="43"/>
    </row>
    <row r="1376" spans="2:12" ht="15" customHeight="1" x14ac:dyDescent="0.2">
      <c r="B1376" s="7"/>
      <c r="C1376" s="5" t="str">
        <f>IF(B1376="","",[1]!s_dq_close(股指期货基差分析!$E$5,$B1376))</f>
        <v/>
      </c>
      <c r="D1376" s="5" t="str">
        <f>IF(B1376="","",[1]!s_dq_close(股指期货基差分析!$E$6,$B1376))</f>
        <v/>
      </c>
      <c r="E1376" s="5" t="e">
        <f ca="1">RANK(F1376,F:F)+COUNTIF(F$2:F1376,F1376)-1</f>
        <v>#VALUE!</v>
      </c>
      <c r="F1376" s="5" t="str">
        <f t="shared" si="22"/>
        <v/>
      </c>
      <c r="G1376" s="5" t="str">
        <f>IF(B1376="","",股指期货基差分析!$N$11)</f>
        <v/>
      </c>
      <c r="H1376" s="5" t="str">
        <f>IF(B1376="","",股指期货基差分析!$L$11)</f>
        <v/>
      </c>
      <c r="I1376" s="9" t="str">
        <f>IF(B1376="","",股指期货基差分析!$D$11)</f>
        <v/>
      </c>
      <c r="L1376" s="43"/>
    </row>
    <row r="1377" spans="2:12" ht="15" customHeight="1" x14ac:dyDescent="0.2">
      <c r="B1377" s="8"/>
      <c r="C1377" s="6" t="str">
        <f>IF(B1377="","",[1]!s_dq_close(股指期货基差分析!$E$5,$B1377))</f>
        <v/>
      </c>
      <c r="D1377" s="6" t="str">
        <f>IF(B1377="","",[1]!s_dq_close(股指期货基差分析!$E$6,$B1377))</f>
        <v/>
      </c>
      <c r="E1377" s="6" t="e">
        <f ca="1">RANK(F1377,F:F)+COUNTIF(F$2:F1377,F1377)-1</f>
        <v>#VALUE!</v>
      </c>
      <c r="F1377" s="6" t="str">
        <f t="shared" si="22"/>
        <v/>
      </c>
      <c r="G1377" s="6" t="str">
        <f>IF(B1377="","",股指期货基差分析!$N$11)</f>
        <v/>
      </c>
      <c r="H1377" s="6" t="str">
        <f>IF(B1377="","",股指期货基差分析!$L$11)</f>
        <v/>
      </c>
      <c r="I1377" s="10" t="str">
        <f>IF(B1377="","",股指期货基差分析!$D$11)</f>
        <v/>
      </c>
      <c r="L1377" s="43"/>
    </row>
    <row r="1378" spans="2:12" ht="15" customHeight="1" x14ac:dyDescent="0.2">
      <c r="B1378" s="7"/>
      <c r="C1378" s="5" t="str">
        <f>IF(B1378="","",[1]!s_dq_close(股指期货基差分析!$E$5,$B1378))</f>
        <v/>
      </c>
      <c r="D1378" s="5" t="str">
        <f>IF(B1378="","",[1]!s_dq_close(股指期货基差分析!$E$6,$B1378))</f>
        <v/>
      </c>
      <c r="E1378" s="5" t="e">
        <f ca="1">RANK(F1378,F:F)+COUNTIF(F$2:F1378,F1378)-1</f>
        <v>#VALUE!</v>
      </c>
      <c r="F1378" s="5" t="str">
        <f t="shared" si="22"/>
        <v/>
      </c>
      <c r="G1378" s="5" t="str">
        <f>IF(B1378="","",股指期货基差分析!$N$11)</f>
        <v/>
      </c>
      <c r="H1378" s="5" t="str">
        <f>IF(B1378="","",股指期货基差分析!$L$11)</f>
        <v/>
      </c>
      <c r="I1378" s="9" t="str">
        <f>IF(B1378="","",股指期货基差分析!$D$11)</f>
        <v/>
      </c>
      <c r="L1378" s="43"/>
    </row>
    <row r="1379" spans="2:12" ht="15" customHeight="1" x14ac:dyDescent="0.2">
      <c r="B1379" s="8"/>
      <c r="C1379" s="6" t="str">
        <f>IF(B1379="","",[1]!s_dq_close(股指期货基差分析!$E$5,$B1379))</f>
        <v/>
      </c>
      <c r="D1379" s="6" t="str">
        <f>IF(B1379="","",[1]!s_dq_close(股指期货基差分析!$E$6,$B1379))</f>
        <v/>
      </c>
      <c r="E1379" s="6" t="e">
        <f ca="1">RANK(F1379,F:F)+COUNTIF(F$2:F1379,F1379)-1</f>
        <v>#VALUE!</v>
      </c>
      <c r="F1379" s="6" t="str">
        <f t="shared" si="22"/>
        <v/>
      </c>
      <c r="G1379" s="6" t="str">
        <f>IF(B1379="","",股指期货基差分析!$N$11)</f>
        <v/>
      </c>
      <c r="H1379" s="6" t="str">
        <f>IF(B1379="","",股指期货基差分析!$L$11)</f>
        <v/>
      </c>
      <c r="I1379" s="10" t="str">
        <f>IF(B1379="","",股指期货基差分析!$D$11)</f>
        <v/>
      </c>
      <c r="L1379" s="43"/>
    </row>
    <row r="1380" spans="2:12" ht="15" customHeight="1" x14ac:dyDescent="0.2">
      <c r="B1380" s="7"/>
      <c r="C1380" s="5" t="str">
        <f>IF(B1380="","",[1]!s_dq_close(股指期货基差分析!$E$5,$B1380))</f>
        <v/>
      </c>
      <c r="D1380" s="5" t="str">
        <f>IF(B1380="","",[1]!s_dq_close(股指期货基差分析!$E$6,$B1380))</f>
        <v/>
      </c>
      <c r="E1380" s="5" t="e">
        <f ca="1">RANK(F1380,F:F)+COUNTIF(F$2:F1380,F1380)-1</f>
        <v>#VALUE!</v>
      </c>
      <c r="F1380" s="5" t="str">
        <f t="shared" si="22"/>
        <v/>
      </c>
      <c r="G1380" s="5" t="str">
        <f>IF(B1380="","",股指期货基差分析!$N$11)</f>
        <v/>
      </c>
      <c r="H1380" s="5" t="str">
        <f>IF(B1380="","",股指期货基差分析!$L$11)</f>
        <v/>
      </c>
      <c r="I1380" s="9" t="str">
        <f>IF(B1380="","",股指期货基差分析!$D$11)</f>
        <v/>
      </c>
      <c r="L1380" s="43"/>
    </row>
    <row r="1381" spans="2:12" ht="15" customHeight="1" x14ac:dyDescent="0.2">
      <c r="B1381" s="8"/>
      <c r="C1381" s="6" t="str">
        <f>IF(B1381="","",[1]!s_dq_close(股指期货基差分析!$E$5,$B1381))</f>
        <v/>
      </c>
      <c r="D1381" s="6" t="str">
        <f>IF(B1381="","",[1]!s_dq_close(股指期货基差分析!$E$6,$B1381))</f>
        <v/>
      </c>
      <c r="E1381" s="6" t="e">
        <f ca="1">RANK(F1381,F:F)+COUNTIF(F$2:F1381,F1381)-1</f>
        <v>#VALUE!</v>
      </c>
      <c r="F1381" s="6" t="str">
        <f t="shared" si="22"/>
        <v/>
      </c>
      <c r="G1381" s="6" t="str">
        <f>IF(B1381="","",股指期货基差分析!$N$11)</f>
        <v/>
      </c>
      <c r="H1381" s="6" t="str">
        <f>IF(B1381="","",股指期货基差分析!$L$11)</f>
        <v/>
      </c>
      <c r="I1381" s="10" t="str">
        <f>IF(B1381="","",股指期货基差分析!$D$11)</f>
        <v/>
      </c>
      <c r="L1381" s="43"/>
    </row>
    <row r="1382" spans="2:12" ht="15" customHeight="1" x14ac:dyDescent="0.2">
      <c r="B1382" s="7"/>
      <c r="C1382" s="5" t="str">
        <f>IF(B1382="","",[1]!s_dq_close(股指期货基差分析!$E$5,$B1382))</f>
        <v/>
      </c>
      <c r="D1382" s="5" t="str">
        <f>IF(B1382="","",[1]!s_dq_close(股指期货基差分析!$E$6,$B1382))</f>
        <v/>
      </c>
      <c r="E1382" s="5" t="e">
        <f ca="1">RANK(F1382,F:F)+COUNTIF(F$2:F1382,F1382)-1</f>
        <v>#VALUE!</v>
      </c>
      <c r="F1382" s="5" t="str">
        <f t="shared" si="22"/>
        <v/>
      </c>
      <c r="G1382" s="5" t="str">
        <f>IF(B1382="","",股指期货基差分析!$N$11)</f>
        <v/>
      </c>
      <c r="H1382" s="5" t="str">
        <f>IF(B1382="","",股指期货基差分析!$L$11)</f>
        <v/>
      </c>
      <c r="I1382" s="9" t="str">
        <f>IF(B1382="","",股指期货基差分析!$D$11)</f>
        <v/>
      </c>
      <c r="L1382" s="43"/>
    </row>
    <row r="1383" spans="2:12" ht="15" customHeight="1" x14ac:dyDescent="0.2">
      <c r="B1383" s="8"/>
      <c r="C1383" s="6" t="str">
        <f>IF(B1383="","",[1]!s_dq_close(股指期货基差分析!$E$5,$B1383))</f>
        <v/>
      </c>
      <c r="D1383" s="6" t="str">
        <f>IF(B1383="","",[1]!s_dq_close(股指期货基差分析!$E$6,$B1383))</f>
        <v/>
      </c>
      <c r="E1383" s="6" t="e">
        <f ca="1">RANK(F1383,F:F)+COUNTIF(F$2:F1383,F1383)-1</f>
        <v>#VALUE!</v>
      </c>
      <c r="F1383" s="6" t="str">
        <f t="shared" si="22"/>
        <v/>
      </c>
      <c r="G1383" s="6" t="str">
        <f>IF(B1383="","",股指期货基差分析!$N$11)</f>
        <v/>
      </c>
      <c r="H1383" s="6" t="str">
        <f>IF(B1383="","",股指期货基差分析!$L$11)</f>
        <v/>
      </c>
      <c r="I1383" s="10" t="str">
        <f>IF(B1383="","",股指期货基差分析!$D$11)</f>
        <v/>
      </c>
      <c r="L1383" s="43"/>
    </row>
    <row r="1384" spans="2:12" ht="15" customHeight="1" x14ac:dyDescent="0.2">
      <c r="B1384" s="7"/>
      <c r="C1384" s="5" t="str">
        <f>IF(B1384="","",[1]!s_dq_close(股指期货基差分析!$E$5,$B1384))</f>
        <v/>
      </c>
      <c r="D1384" s="5" t="str">
        <f>IF(B1384="","",[1]!s_dq_close(股指期货基差分析!$E$6,$B1384))</f>
        <v/>
      </c>
      <c r="E1384" s="5" t="e">
        <f ca="1">RANK(F1384,F:F)+COUNTIF(F$2:F1384,F1384)-1</f>
        <v>#VALUE!</v>
      </c>
      <c r="F1384" s="5" t="str">
        <f t="shared" si="22"/>
        <v/>
      </c>
      <c r="G1384" s="5" t="str">
        <f>IF(B1384="","",股指期货基差分析!$N$11)</f>
        <v/>
      </c>
      <c r="H1384" s="5" t="str">
        <f>IF(B1384="","",股指期货基差分析!$L$11)</f>
        <v/>
      </c>
      <c r="I1384" s="9" t="str">
        <f>IF(B1384="","",股指期货基差分析!$D$11)</f>
        <v/>
      </c>
      <c r="L1384" s="43"/>
    </row>
    <row r="1385" spans="2:12" ht="15" customHeight="1" x14ac:dyDescent="0.2">
      <c r="B1385" s="8"/>
      <c r="C1385" s="6" t="str">
        <f>IF(B1385="","",[1]!s_dq_close(股指期货基差分析!$E$5,$B1385))</f>
        <v/>
      </c>
      <c r="D1385" s="6" t="str">
        <f>IF(B1385="","",[1]!s_dq_close(股指期货基差分析!$E$6,$B1385))</f>
        <v/>
      </c>
      <c r="E1385" s="6" t="e">
        <f ca="1">RANK(F1385,F:F)+COUNTIF(F$2:F1385,F1385)-1</f>
        <v>#VALUE!</v>
      </c>
      <c r="F1385" s="6" t="str">
        <f t="shared" si="22"/>
        <v/>
      </c>
      <c r="G1385" s="6" t="str">
        <f>IF(B1385="","",股指期货基差分析!$N$11)</f>
        <v/>
      </c>
      <c r="H1385" s="6" t="str">
        <f>IF(B1385="","",股指期货基差分析!$L$11)</f>
        <v/>
      </c>
      <c r="I1385" s="10" t="str">
        <f>IF(B1385="","",股指期货基差分析!$D$11)</f>
        <v/>
      </c>
      <c r="L1385" s="43"/>
    </row>
    <row r="1386" spans="2:12" ht="15" customHeight="1" x14ac:dyDescent="0.2">
      <c r="B1386" s="7"/>
      <c r="C1386" s="5" t="str">
        <f>IF(B1386="","",[1]!s_dq_close(股指期货基差分析!$E$5,$B1386))</f>
        <v/>
      </c>
      <c r="D1386" s="5" t="str">
        <f>IF(B1386="","",[1]!s_dq_close(股指期货基差分析!$E$6,$B1386))</f>
        <v/>
      </c>
      <c r="E1386" s="5" t="e">
        <f ca="1">RANK(F1386,F:F)+COUNTIF(F$2:F1386,F1386)-1</f>
        <v>#VALUE!</v>
      </c>
      <c r="F1386" s="5" t="str">
        <f t="shared" si="22"/>
        <v/>
      </c>
      <c r="G1386" s="5" t="str">
        <f>IF(B1386="","",股指期货基差分析!$N$11)</f>
        <v/>
      </c>
      <c r="H1386" s="5" t="str">
        <f>IF(B1386="","",股指期货基差分析!$L$11)</f>
        <v/>
      </c>
      <c r="I1386" s="9" t="str">
        <f>IF(B1386="","",股指期货基差分析!$D$11)</f>
        <v/>
      </c>
      <c r="L1386" s="43"/>
    </row>
    <row r="1387" spans="2:12" ht="15" customHeight="1" x14ac:dyDescent="0.2">
      <c r="B1387" s="8"/>
      <c r="C1387" s="6" t="str">
        <f>IF(B1387="","",[1]!s_dq_close(股指期货基差分析!$E$5,$B1387))</f>
        <v/>
      </c>
      <c r="D1387" s="6" t="str">
        <f>IF(B1387="","",[1]!s_dq_close(股指期货基差分析!$E$6,$B1387))</f>
        <v/>
      </c>
      <c r="E1387" s="6" t="e">
        <f ca="1">RANK(F1387,F:F)+COUNTIF(F$2:F1387,F1387)-1</f>
        <v>#VALUE!</v>
      </c>
      <c r="F1387" s="6" t="str">
        <f t="shared" si="22"/>
        <v/>
      </c>
      <c r="G1387" s="6" t="str">
        <f>IF(B1387="","",股指期货基差分析!$N$11)</f>
        <v/>
      </c>
      <c r="H1387" s="6" t="str">
        <f>IF(B1387="","",股指期货基差分析!$L$11)</f>
        <v/>
      </c>
      <c r="I1387" s="10" t="str">
        <f>IF(B1387="","",股指期货基差分析!$D$11)</f>
        <v/>
      </c>
      <c r="L1387" s="43"/>
    </row>
    <row r="1388" spans="2:12" ht="15" customHeight="1" x14ac:dyDescent="0.2">
      <c r="B1388" s="7"/>
      <c r="C1388" s="5" t="str">
        <f>IF(B1388="","",[1]!s_dq_close(股指期货基差分析!$E$5,$B1388))</f>
        <v/>
      </c>
      <c r="D1388" s="5" t="str">
        <f>IF(B1388="","",[1]!s_dq_close(股指期货基差分析!$E$6,$B1388))</f>
        <v/>
      </c>
      <c r="E1388" s="5" t="e">
        <f ca="1">RANK(F1388,F:F)+COUNTIF(F$2:F1388,F1388)-1</f>
        <v>#VALUE!</v>
      </c>
      <c r="F1388" s="5" t="str">
        <f t="shared" si="22"/>
        <v/>
      </c>
      <c r="G1388" s="5" t="str">
        <f>IF(B1388="","",股指期货基差分析!$N$11)</f>
        <v/>
      </c>
      <c r="H1388" s="5" t="str">
        <f>IF(B1388="","",股指期货基差分析!$L$11)</f>
        <v/>
      </c>
      <c r="I1388" s="9" t="str">
        <f>IF(B1388="","",股指期货基差分析!$D$11)</f>
        <v/>
      </c>
      <c r="L1388" s="43"/>
    </row>
    <row r="1389" spans="2:12" ht="15" customHeight="1" x14ac:dyDescent="0.2">
      <c r="B1389" s="8"/>
      <c r="C1389" s="6" t="str">
        <f>IF(B1389="","",[1]!s_dq_close(股指期货基差分析!$E$5,$B1389))</f>
        <v/>
      </c>
      <c r="D1389" s="6" t="str">
        <f>IF(B1389="","",[1]!s_dq_close(股指期货基差分析!$E$6,$B1389))</f>
        <v/>
      </c>
      <c r="E1389" s="6" t="e">
        <f ca="1">RANK(F1389,F:F)+COUNTIF(F$2:F1389,F1389)-1</f>
        <v>#VALUE!</v>
      </c>
      <c r="F1389" s="6" t="str">
        <f t="shared" si="22"/>
        <v/>
      </c>
      <c r="G1389" s="6" t="str">
        <f>IF(B1389="","",股指期货基差分析!$N$11)</f>
        <v/>
      </c>
      <c r="H1389" s="6" t="str">
        <f>IF(B1389="","",股指期货基差分析!$L$11)</f>
        <v/>
      </c>
      <c r="I1389" s="10" t="str">
        <f>IF(B1389="","",股指期货基差分析!$D$11)</f>
        <v/>
      </c>
      <c r="L1389" s="43"/>
    </row>
    <row r="1390" spans="2:12" ht="15" customHeight="1" x14ac:dyDescent="0.2">
      <c r="B1390" s="7"/>
      <c r="C1390" s="5" t="str">
        <f>IF(B1390="","",[1]!s_dq_close(股指期货基差分析!$E$5,$B1390))</f>
        <v/>
      </c>
      <c r="D1390" s="5" t="str">
        <f>IF(B1390="","",[1]!s_dq_close(股指期货基差分析!$E$6,$B1390))</f>
        <v/>
      </c>
      <c r="E1390" s="5" t="e">
        <f ca="1">RANK(F1390,F:F)+COUNTIF(F$2:F1390,F1390)-1</f>
        <v>#VALUE!</v>
      </c>
      <c r="F1390" s="5" t="str">
        <f t="shared" si="22"/>
        <v/>
      </c>
      <c r="G1390" s="5" t="str">
        <f>IF(B1390="","",股指期货基差分析!$N$11)</f>
        <v/>
      </c>
      <c r="H1390" s="5" t="str">
        <f>IF(B1390="","",股指期货基差分析!$L$11)</f>
        <v/>
      </c>
      <c r="I1390" s="9" t="str">
        <f>IF(B1390="","",股指期货基差分析!$D$11)</f>
        <v/>
      </c>
      <c r="L1390" s="43"/>
    </row>
    <row r="1391" spans="2:12" ht="15" customHeight="1" x14ac:dyDescent="0.2">
      <c r="B1391" s="8"/>
      <c r="C1391" s="6" t="str">
        <f>IF(B1391="","",[1]!s_dq_close(股指期货基差分析!$E$5,$B1391))</f>
        <v/>
      </c>
      <c r="D1391" s="6" t="str">
        <f>IF(B1391="","",[1]!s_dq_close(股指期货基差分析!$E$6,$B1391))</f>
        <v/>
      </c>
      <c r="E1391" s="6" t="e">
        <f ca="1">RANK(F1391,F:F)+COUNTIF(F$2:F1391,F1391)-1</f>
        <v>#VALUE!</v>
      </c>
      <c r="F1391" s="6" t="str">
        <f t="shared" si="22"/>
        <v/>
      </c>
      <c r="G1391" s="6" t="str">
        <f>IF(B1391="","",股指期货基差分析!$N$11)</f>
        <v/>
      </c>
      <c r="H1391" s="6" t="str">
        <f>IF(B1391="","",股指期货基差分析!$L$11)</f>
        <v/>
      </c>
      <c r="I1391" s="10" t="str">
        <f>IF(B1391="","",股指期货基差分析!$D$11)</f>
        <v/>
      </c>
      <c r="L1391" s="43"/>
    </row>
    <row r="1392" spans="2:12" ht="15" customHeight="1" x14ac:dyDescent="0.2">
      <c r="B1392" s="7"/>
      <c r="C1392" s="5" t="str">
        <f>IF(B1392="","",[1]!s_dq_close(股指期货基差分析!$E$5,$B1392))</f>
        <v/>
      </c>
      <c r="D1392" s="5" t="str">
        <f>IF(B1392="","",[1]!s_dq_close(股指期货基差分析!$E$6,$B1392))</f>
        <v/>
      </c>
      <c r="E1392" s="5" t="e">
        <f ca="1">RANK(F1392,F:F)+COUNTIF(F$2:F1392,F1392)-1</f>
        <v>#VALUE!</v>
      </c>
      <c r="F1392" s="5" t="str">
        <f t="shared" si="22"/>
        <v/>
      </c>
      <c r="G1392" s="5" t="str">
        <f>IF(B1392="","",股指期货基差分析!$N$11)</f>
        <v/>
      </c>
      <c r="H1392" s="5" t="str">
        <f>IF(B1392="","",股指期货基差分析!$L$11)</f>
        <v/>
      </c>
      <c r="I1392" s="9" t="str">
        <f>IF(B1392="","",股指期货基差分析!$D$11)</f>
        <v/>
      </c>
      <c r="L1392" s="43"/>
    </row>
    <row r="1393" spans="2:12" ht="15" customHeight="1" x14ac:dyDescent="0.2">
      <c r="B1393" s="8"/>
      <c r="C1393" s="6" t="str">
        <f>IF(B1393="","",[1]!s_dq_close(股指期货基差分析!$E$5,$B1393))</f>
        <v/>
      </c>
      <c r="D1393" s="6" t="str">
        <f>IF(B1393="","",[1]!s_dq_close(股指期货基差分析!$E$6,$B1393))</f>
        <v/>
      </c>
      <c r="E1393" s="6" t="e">
        <f ca="1">RANK(F1393,F:F)+COUNTIF(F$2:F1393,F1393)-1</f>
        <v>#VALUE!</v>
      </c>
      <c r="F1393" s="6" t="str">
        <f t="shared" si="22"/>
        <v/>
      </c>
      <c r="G1393" s="6" t="str">
        <f>IF(B1393="","",股指期货基差分析!$N$11)</f>
        <v/>
      </c>
      <c r="H1393" s="6" t="str">
        <f>IF(B1393="","",股指期货基差分析!$L$11)</f>
        <v/>
      </c>
      <c r="I1393" s="10" t="str">
        <f>IF(B1393="","",股指期货基差分析!$D$11)</f>
        <v/>
      </c>
      <c r="L1393" s="43"/>
    </row>
    <row r="1394" spans="2:12" ht="15" customHeight="1" x14ac:dyDescent="0.2">
      <c r="B1394" s="7"/>
      <c r="C1394" s="5" t="str">
        <f>IF(B1394="","",[1]!s_dq_close(股指期货基差分析!$E$5,$B1394))</f>
        <v/>
      </c>
      <c r="D1394" s="5" t="str">
        <f>IF(B1394="","",[1]!s_dq_close(股指期货基差分析!$E$6,$B1394))</f>
        <v/>
      </c>
      <c r="E1394" s="5" t="e">
        <f ca="1">RANK(F1394,F:F)+COUNTIF(F$2:F1394,F1394)-1</f>
        <v>#VALUE!</v>
      </c>
      <c r="F1394" s="5" t="str">
        <f t="shared" si="22"/>
        <v/>
      </c>
      <c r="G1394" s="5" t="str">
        <f>IF(B1394="","",股指期货基差分析!$N$11)</f>
        <v/>
      </c>
      <c r="H1394" s="5" t="str">
        <f>IF(B1394="","",股指期货基差分析!$L$11)</f>
        <v/>
      </c>
      <c r="I1394" s="9" t="str">
        <f>IF(B1394="","",股指期货基差分析!$D$11)</f>
        <v/>
      </c>
      <c r="L1394" s="43"/>
    </row>
    <row r="1395" spans="2:12" ht="15" customHeight="1" x14ac:dyDescent="0.2">
      <c r="B1395" s="8"/>
      <c r="C1395" s="6" t="str">
        <f>IF(B1395="","",[1]!s_dq_close(股指期货基差分析!$E$5,$B1395))</f>
        <v/>
      </c>
      <c r="D1395" s="6" t="str">
        <f>IF(B1395="","",[1]!s_dq_close(股指期货基差分析!$E$6,$B1395))</f>
        <v/>
      </c>
      <c r="E1395" s="6" t="e">
        <f ca="1">RANK(F1395,F:F)+COUNTIF(F$2:F1395,F1395)-1</f>
        <v>#VALUE!</v>
      </c>
      <c r="F1395" s="6" t="str">
        <f t="shared" si="22"/>
        <v/>
      </c>
      <c r="G1395" s="6" t="str">
        <f>IF(B1395="","",股指期货基差分析!$N$11)</f>
        <v/>
      </c>
      <c r="H1395" s="6" t="str">
        <f>IF(B1395="","",股指期货基差分析!$L$11)</f>
        <v/>
      </c>
      <c r="I1395" s="10" t="str">
        <f>IF(B1395="","",股指期货基差分析!$D$11)</f>
        <v/>
      </c>
      <c r="L1395" s="43"/>
    </row>
    <row r="1396" spans="2:12" ht="15" customHeight="1" x14ac:dyDescent="0.2">
      <c r="B1396" s="7"/>
      <c r="C1396" s="5" t="str">
        <f>IF(B1396="","",[1]!s_dq_close(股指期货基差分析!$E$5,$B1396))</f>
        <v/>
      </c>
      <c r="D1396" s="5" t="str">
        <f>IF(B1396="","",[1]!s_dq_close(股指期货基差分析!$E$6,$B1396))</f>
        <v/>
      </c>
      <c r="E1396" s="5" t="e">
        <f ca="1">RANK(F1396,F:F)+COUNTIF(F$2:F1396,F1396)-1</f>
        <v>#VALUE!</v>
      </c>
      <c r="F1396" s="5" t="str">
        <f t="shared" si="22"/>
        <v/>
      </c>
      <c r="G1396" s="5" t="str">
        <f>IF(B1396="","",股指期货基差分析!$N$11)</f>
        <v/>
      </c>
      <c r="H1396" s="5" t="str">
        <f>IF(B1396="","",股指期货基差分析!$L$11)</f>
        <v/>
      </c>
      <c r="I1396" s="9" t="str">
        <f>IF(B1396="","",股指期货基差分析!$D$11)</f>
        <v/>
      </c>
      <c r="L1396" s="43"/>
    </row>
    <row r="1397" spans="2:12" ht="15" customHeight="1" x14ac:dyDescent="0.2">
      <c r="B1397" s="8"/>
      <c r="C1397" s="6" t="str">
        <f>IF(B1397="","",[1]!s_dq_close(股指期货基差分析!$E$5,$B1397))</f>
        <v/>
      </c>
      <c r="D1397" s="6" t="str">
        <f>IF(B1397="","",[1]!s_dq_close(股指期货基差分析!$E$6,$B1397))</f>
        <v/>
      </c>
      <c r="E1397" s="6" t="e">
        <f ca="1">RANK(F1397,F:F)+COUNTIF(F$2:F1397,F1397)-1</f>
        <v>#VALUE!</v>
      </c>
      <c r="F1397" s="6" t="str">
        <f t="shared" si="22"/>
        <v/>
      </c>
      <c r="G1397" s="6" t="str">
        <f>IF(B1397="","",股指期货基差分析!$N$11)</f>
        <v/>
      </c>
      <c r="H1397" s="6" t="str">
        <f>IF(B1397="","",股指期货基差分析!$L$11)</f>
        <v/>
      </c>
      <c r="I1397" s="10" t="str">
        <f>IF(B1397="","",股指期货基差分析!$D$11)</f>
        <v/>
      </c>
      <c r="L1397" s="43"/>
    </row>
    <row r="1398" spans="2:12" ht="15" customHeight="1" x14ac:dyDescent="0.2">
      <c r="B1398" s="7"/>
      <c r="C1398" s="5" t="str">
        <f>IF(B1398="","",[1]!s_dq_close(股指期货基差分析!$E$5,$B1398))</f>
        <v/>
      </c>
      <c r="D1398" s="5" t="str">
        <f>IF(B1398="","",[1]!s_dq_close(股指期货基差分析!$E$6,$B1398))</f>
        <v/>
      </c>
      <c r="E1398" s="5" t="e">
        <f ca="1">RANK(F1398,F:F)+COUNTIF(F$2:F1398,F1398)-1</f>
        <v>#VALUE!</v>
      </c>
      <c r="F1398" s="5" t="str">
        <f t="shared" si="22"/>
        <v/>
      </c>
      <c r="G1398" s="5" t="str">
        <f>IF(B1398="","",股指期货基差分析!$N$11)</f>
        <v/>
      </c>
      <c r="H1398" s="5" t="str">
        <f>IF(B1398="","",股指期货基差分析!$L$11)</f>
        <v/>
      </c>
      <c r="I1398" s="9" t="str">
        <f>IF(B1398="","",股指期货基差分析!$D$11)</f>
        <v/>
      </c>
      <c r="L1398" s="43"/>
    </row>
    <row r="1399" spans="2:12" ht="15" customHeight="1" x14ac:dyDescent="0.2">
      <c r="B1399" s="8"/>
      <c r="C1399" s="6" t="str">
        <f>IF(B1399="","",[1]!s_dq_close(股指期货基差分析!$E$5,$B1399))</f>
        <v/>
      </c>
      <c r="D1399" s="6" t="str">
        <f>IF(B1399="","",[1]!s_dq_close(股指期货基差分析!$E$6,$B1399))</f>
        <v/>
      </c>
      <c r="E1399" s="6" t="e">
        <f ca="1">RANK(F1399,F:F)+COUNTIF(F$2:F1399,F1399)-1</f>
        <v>#VALUE!</v>
      </c>
      <c r="F1399" s="6" t="str">
        <f t="shared" si="22"/>
        <v/>
      </c>
      <c r="G1399" s="6" t="str">
        <f>IF(B1399="","",股指期货基差分析!$N$11)</f>
        <v/>
      </c>
      <c r="H1399" s="6" t="str">
        <f>IF(B1399="","",股指期货基差分析!$L$11)</f>
        <v/>
      </c>
      <c r="I1399" s="10" t="str">
        <f>IF(B1399="","",股指期货基差分析!$D$11)</f>
        <v/>
      </c>
      <c r="L1399" s="43"/>
    </row>
    <row r="1400" spans="2:12" ht="15" customHeight="1" x14ac:dyDescent="0.2">
      <c r="B1400" s="7"/>
      <c r="C1400" s="5" t="str">
        <f>IF(B1400="","",[1]!s_dq_close(股指期货基差分析!$E$5,$B1400))</f>
        <v/>
      </c>
      <c r="D1400" s="5" t="str">
        <f>IF(B1400="","",[1]!s_dq_close(股指期货基差分析!$E$6,$B1400))</f>
        <v/>
      </c>
      <c r="E1400" s="5" t="e">
        <f ca="1">RANK(F1400,F:F)+COUNTIF(F$2:F1400,F1400)-1</f>
        <v>#VALUE!</v>
      </c>
      <c r="F1400" s="5" t="str">
        <f t="shared" si="22"/>
        <v/>
      </c>
      <c r="G1400" s="5" t="str">
        <f>IF(B1400="","",股指期货基差分析!$N$11)</f>
        <v/>
      </c>
      <c r="H1400" s="5" t="str">
        <f>IF(B1400="","",股指期货基差分析!$L$11)</f>
        <v/>
      </c>
      <c r="I1400" s="9" t="str">
        <f>IF(B1400="","",股指期货基差分析!$D$11)</f>
        <v/>
      </c>
      <c r="L1400" s="43"/>
    </row>
    <row r="1401" spans="2:12" ht="15" customHeight="1" x14ac:dyDescent="0.2">
      <c r="B1401" s="8"/>
      <c r="C1401" s="6" t="str">
        <f>IF(B1401="","",[1]!s_dq_close(股指期货基差分析!$E$5,$B1401))</f>
        <v/>
      </c>
      <c r="D1401" s="6" t="str">
        <f>IF(B1401="","",[1]!s_dq_close(股指期货基差分析!$E$6,$B1401))</f>
        <v/>
      </c>
      <c r="E1401" s="6" t="e">
        <f ca="1">RANK(F1401,F:F)+COUNTIF(F$2:F1401,F1401)-1</f>
        <v>#VALUE!</v>
      </c>
      <c r="F1401" s="6" t="str">
        <f t="shared" si="22"/>
        <v/>
      </c>
      <c r="G1401" s="6" t="str">
        <f>IF(B1401="","",股指期货基差分析!$N$11)</f>
        <v/>
      </c>
      <c r="H1401" s="6" t="str">
        <f>IF(B1401="","",股指期货基差分析!$L$11)</f>
        <v/>
      </c>
      <c r="I1401" s="10" t="str">
        <f>IF(B1401="","",股指期货基差分析!$D$11)</f>
        <v/>
      </c>
      <c r="L1401" s="43"/>
    </row>
    <row r="1402" spans="2:12" ht="15" customHeight="1" x14ac:dyDescent="0.2">
      <c r="B1402" s="7"/>
      <c r="C1402" s="5" t="str">
        <f>IF(B1402="","",[1]!s_dq_close(股指期货基差分析!$E$5,$B1402))</f>
        <v/>
      </c>
      <c r="D1402" s="5" t="str">
        <f>IF(B1402="","",[1]!s_dq_close(股指期货基差分析!$E$6,$B1402))</f>
        <v/>
      </c>
      <c r="E1402" s="5" t="e">
        <f ca="1">RANK(F1402,F:F)+COUNTIF(F$2:F1402,F1402)-1</f>
        <v>#VALUE!</v>
      </c>
      <c r="F1402" s="5" t="str">
        <f t="shared" si="22"/>
        <v/>
      </c>
      <c r="G1402" s="5" t="str">
        <f>IF(B1402="","",股指期货基差分析!$N$11)</f>
        <v/>
      </c>
      <c r="H1402" s="5" t="str">
        <f>IF(B1402="","",股指期货基差分析!$L$11)</f>
        <v/>
      </c>
      <c r="I1402" s="9" t="str">
        <f>IF(B1402="","",股指期货基差分析!$D$11)</f>
        <v/>
      </c>
      <c r="L1402" s="43"/>
    </row>
    <row r="1403" spans="2:12" ht="15" customHeight="1" x14ac:dyDescent="0.2">
      <c r="B1403" s="8"/>
      <c r="C1403" s="6" t="str">
        <f>IF(B1403="","",[1]!s_dq_close(股指期货基差分析!$E$5,$B1403))</f>
        <v/>
      </c>
      <c r="D1403" s="6" t="str">
        <f>IF(B1403="","",[1]!s_dq_close(股指期货基差分析!$E$6,$B1403))</f>
        <v/>
      </c>
      <c r="E1403" s="6" t="e">
        <f ca="1">RANK(F1403,F:F)+COUNTIF(F$2:F1403,F1403)-1</f>
        <v>#VALUE!</v>
      </c>
      <c r="F1403" s="6" t="str">
        <f t="shared" si="22"/>
        <v/>
      </c>
      <c r="G1403" s="6" t="str">
        <f>IF(B1403="","",股指期货基差分析!$N$11)</f>
        <v/>
      </c>
      <c r="H1403" s="6" t="str">
        <f>IF(B1403="","",股指期货基差分析!$L$11)</f>
        <v/>
      </c>
      <c r="I1403" s="10" t="str">
        <f>IF(B1403="","",股指期货基差分析!$D$11)</f>
        <v/>
      </c>
      <c r="L1403" s="43"/>
    </row>
    <row r="1404" spans="2:12" ht="15" customHeight="1" x14ac:dyDescent="0.2">
      <c r="B1404" s="7"/>
      <c r="C1404" s="5" t="str">
        <f>IF(B1404="","",[1]!s_dq_close(股指期货基差分析!$E$5,$B1404))</f>
        <v/>
      </c>
      <c r="D1404" s="5" t="str">
        <f>IF(B1404="","",[1]!s_dq_close(股指期货基差分析!$E$6,$B1404))</f>
        <v/>
      </c>
      <c r="E1404" s="5" t="e">
        <f ca="1">RANK(F1404,F:F)+COUNTIF(F$2:F1404,F1404)-1</f>
        <v>#VALUE!</v>
      </c>
      <c r="F1404" s="5" t="str">
        <f t="shared" si="22"/>
        <v/>
      </c>
      <c r="G1404" s="5" t="str">
        <f>IF(B1404="","",股指期货基差分析!$N$11)</f>
        <v/>
      </c>
      <c r="H1404" s="5" t="str">
        <f>IF(B1404="","",股指期货基差分析!$L$11)</f>
        <v/>
      </c>
      <c r="I1404" s="9" t="str">
        <f>IF(B1404="","",股指期货基差分析!$D$11)</f>
        <v/>
      </c>
      <c r="L1404" s="43"/>
    </row>
    <row r="1405" spans="2:12" ht="15" customHeight="1" x14ac:dyDescent="0.2">
      <c r="B1405" s="8"/>
      <c r="C1405" s="6" t="str">
        <f>IF(B1405="","",[1]!s_dq_close(股指期货基差分析!$E$5,$B1405))</f>
        <v/>
      </c>
      <c r="D1405" s="6" t="str">
        <f>IF(B1405="","",[1]!s_dq_close(股指期货基差分析!$E$6,$B1405))</f>
        <v/>
      </c>
      <c r="E1405" s="6" t="e">
        <f ca="1">RANK(F1405,F:F)+COUNTIF(F$2:F1405,F1405)-1</f>
        <v>#VALUE!</v>
      </c>
      <c r="F1405" s="6" t="str">
        <f t="shared" si="22"/>
        <v/>
      </c>
      <c r="G1405" s="6" t="str">
        <f>IF(B1405="","",股指期货基差分析!$N$11)</f>
        <v/>
      </c>
      <c r="H1405" s="6" t="str">
        <f>IF(B1405="","",股指期货基差分析!$L$11)</f>
        <v/>
      </c>
      <c r="I1405" s="10" t="str">
        <f>IF(B1405="","",股指期货基差分析!$D$11)</f>
        <v/>
      </c>
      <c r="L1405" s="43"/>
    </row>
    <row r="1406" spans="2:12" ht="15" customHeight="1" x14ac:dyDescent="0.2">
      <c r="B1406" s="7"/>
      <c r="C1406" s="5" t="str">
        <f>IF(B1406="","",[1]!s_dq_close(股指期货基差分析!$E$5,$B1406))</f>
        <v/>
      </c>
      <c r="D1406" s="5" t="str">
        <f>IF(B1406="","",[1]!s_dq_close(股指期货基差分析!$E$6,$B1406))</f>
        <v/>
      </c>
      <c r="E1406" s="5" t="e">
        <f ca="1">RANK(F1406,F:F)+COUNTIF(F$2:F1406,F1406)-1</f>
        <v>#VALUE!</v>
      </c>
      <c r="F1406" s="5" t="str">
        <f t="shared" si="22"/>
        <v/>
      </c>
      <c r="G1406" s="5" t="str">
        <f>IF(B1406="","",股指期货基差分析!$N$11)</f>
        <v/>
      </c>
      <c r="H1406" s="5" t="str">
        <f>IF(B1406="","",股指期货基差分析!$L$11)</f>
        <v/>
      </c>
      <c r="I1406" s="9" t="str">
        <f>IF(B1406="","",股指期货基差分析!$D$11)</f>
        <v/>
      </c>
      <c r="L1406" s="43"/>
    </row>
    <row r="1407" spans="2:12" ht="15" customHeight="1" x14ac:dyDescent="0.2">
      <c r="B1407" s="8"/>
      <c r="C1407" s="6" t="str">
        <f>IF(B1407="","",[1]!s_dq_close(股指期货基差分析!$E$5,$B1407))</f>
        <v/>
      </c>
      <c r="D1407" s="6" t="str">
        <f>IF(B1407="","",[1]!s_dq_close(股指期货基差分析!$E$6,$B1407))</f>
        <v/>
      </c>
      <c r="E1407" s="6" t="e">
        <f ca="1">RANK(F1407,F:F)+COUNTIF(F$2:F1407,F1407)-1</f>
        <v>#VALUE!</v>
      </c>
      <c r="F1407" s="6" t="str">
        <f t="shared" si="22"/>
        <v/>
      </c>
      <c r="G1407" s="6" t="str">
        <f>IF(B1407="","",股指期货基差分析!$N$11)</f>
        <v/>
      </c>
      <c r="H1407" s="6" t="str">
        <f>IF(B1407="","",股指期货基差分析!$L$11)</f>
        <v/>
      </c>
      <c r="I1407" s="10" t="str">
        <f>IF(B1407="","",股指期货基差分析!$D$11)</f>
        <v/>
      </c>
      <c r="L1407" s="43"/>
    </row>
    <row r="1408" spans="2:12" ht="15" customHeight="1" x14ac:dyDescent="0.2">
      <c r="B1408" s="7"/>
      <c r="C1408" s="5" t="str">
        <f>IF(B1408="","",[1]!s_dq_close(股指期货基差分析!$E$5,$B1408))</f>
        <v/>
      </c>
      <c r="D1408" s="5" t="str">
        <f>IF(B1408="","",[1]!s_dq_close(股指期货基差分析!$E$6,$B1408))</f>
        <v/>
      </c>
      <c r="E1408" s="5" t="e">
        <f ca="1">RANK(F1408,F:F)+COUNTIF(F$2:F1408,F1408)-1</f>
        <v>#VALUE!</v>
      </c>
      <c r="F1408" s="5" t="str">
        <f t="shared" si="22"/>
        <v/>
      </c>
      <c r="G1408" s="5" t="str">
        <f>IF(B1408="","",股指期货基差分析!$N$11)</f>
        <v/>
      </c>
      <c r="H1408" s="5" t="str">
        <f>IF(B1408="","",股指期货基差分析!$L$11)</f>
        <v/>
      </c>
      <c r="I1408" s="9" t="str">
        <f>IF(B1408="","",股指期货基差分析!$D$11)</f>
        <v/>
      </c>
      <c r="L1408" s="43"/>
    </row>
    <row r="1409" spans="2:12" ht="15" customHeight="1" x14ac:dyDescent="0.2">
      <c r="B1409" s="8"/>
      <c r="C1409" s="6" t="str">
        <f>IF(B1409="","",[1]!s_dq_close(股指期货基差分析!$E$5,$B1409))</f>
        <v/>
      </c>
      <c r="D1409" s="6" t="str">
        <f>IF(B1409="","",[1]!s_dq_close(股指期货基差分析!$E$6,$B1409))</f>
        <v/>
      </c>
      <c r="E1409" s="6" t="e">
        <f ca="1">RANK(F1409,F:F)+COUNTIF(F$2:F1409,F1409)-1</f>
        <v>#VALUE!</v>
      </c>
      <c r="F1409" s="6" t="str">
        <f t="shared" si="22"/>
        <v/>
      </c>
      <c r="G1409" s="6" t="str">
        <f>IF(B1409="","",股指期货基差分析!$N$11)</f>
        <v/>
      </c>
      <c r="H1409" s="6" t="str">
        <f>IF(B1409="","",股指期货基差分析!$L$11)</f>
        <v/>
      </c>
      <c r="I1409" s="10" t="str">
        <f>IF(B1409="","",股指期货基差分析!$D$11)</f>
        <v/>
      </c>
      <c r="L1409" s="43"/>
    </row>
    <row r="1410" spans="2:12" ht="15" customHeight="1" x14ac:dyDescent="0.2">
      <c r="B1410" s="7"/>
      <c r="C1410" s="5" t="str">
        <f>IF(B1410="","",[1]!s_dq_close(股指期货基差分析!$E$5,$B1410))</f>
        <v/>
      </c>
      <c r="D1410" s="5" t="str">
        <f>IF(B1410="","",[1]!s_dq_close(股指期货基差分析!$E$6,$B1410))</f>
        <v/>
      </c>
      <c r="E1410" s="5" t="e">
        <f ca="1">RANK(F1410,F:F)+COUNTIF(F$2:F1410,F1410)-1</f>
        <v>#VALUE!</v>
      </c>
      <c r="F1410" s="5" t="str">
        <f t="shared" ref="F1410:F1473" si="23">IF(B1410="","",D1410-C1410)</f>
        <v/>
      </c>
      <c r="G1410" s="5" t="str">
        <f>IF(B1410="","",股指期货基差分析!$N$11)</f>
        <v/>
      </c>
      <c r="H1410" s="5" t="str">
        <f>IF(B1410="","",股指期货基差分析!$L$11)</f>
        <v/>
      </c>
      <c r="I1410" s="9" t="str">
        <f>IF(B1410="","",股指期货基差分析!$D$11)</f>
        <v/>
      </c>
      <c r="L1410" s="43"/>
    </row>
    <row r="1411" spans="2:12" ht="15" customHeight="1" x14ac:dyDescent="0.2">
      <c r="B1411" s="8"/>
      <c r="C1411" s="6" t="str">
        <f>IF(B1411="","",[1]!s_dq_close(股指期货基差分析!$E$5,$B1411))</f>
        <v/>
      </c>
      <c r="D1411" s="6" t="str">
        <f>IF(B1411="","",[1]!s_dq_close(股指期货基差分析!$E$6,$B1411))</f>
        <v/>
      </c>
      <c r="E1411" s="6" t="e">
        <f ca="1">RANK(F1411,F:F)+COUNTIF(F$2:F1411,F1411)-1</f>
        <v>#VALUE!</v>
      </c>
      <c r="F1411" s="6" t="str">
        <f t="shared" si="23"/>
        <v/>
      </c>
      <c r="G1411" s="6" t="str">
        <f>IF(B1411="","",股指期货基差分析!$N$11)</f>
        <v/>
      </c>
      <c r="H1411" s="6" t="str">
        <f>IF(B1411="","",股指期货基差分析!$L$11)</f>
        <v/>
      </c>
      <c r="I1411" s="10" t="str">
        <f>IF(B1411="","",股指期货基差分析!$D$11)</f>
        <v/>
      </c>
      <c r="L1411" s="43"/>
    </row>
    <row r="1412" spans="2:12" ht="15" customHeight="1" x14ac:dyDescent="0.2">
      <c r="B1412" s="7"/>
      <c r="C1412" s="5" t="str">
        <f>IF(B1412="","",[1]!s_dq_close(股指期货基差分析!$E$5,$B1412))</f>
        <v/>
      </c>
      <c r="D1412" s="5" t="str">
        <f>IF(B1412="","",[1]!s_dq_close(股指期货基差分析!$E$6,$B1412))</f>
        <v/>
      </c>
      <c r="E1412" s="5" t="e">
        <f ca="1">RANK(F1412,F:F)+COUNTIF(F$2:F1412,F1412)-1</f>
        <v>#VALUE!</v>
      </c>
      <c r="F1412" s="5" t="str">
        <f t="shared" si="23"/>
        <v/>
      </c>
      <c r="G1412" s="5" t="str">
        <f>IF(B1412="","",股指期货基差分析!$N$11)</f>
        <v/>
      </c>
      <c r="H1412" s="5" t="str">
        <f>IF(B1412="","",股指期货基差分析!$L$11)</f>
        <v/>
      </c>
      <c r="I1412" s="9" t="str">
        <f>IF(B1412="","",股指期货基差分析!$D$11)</f>
        <v/>
      </c>
      <c r="L1412" s="43"/>
    </row>
    <row r="1413" spans="2:12" ht="15" customHeight="1" x14ac:dyDescent="0.2">
      <c r="B1413" s="8"/>
      <c r="C1413" s="6" t="str">
        <f>IF(B1413="","",[1]!s_dq_close(股指期货基差分析!$E$5,$B1413))</f>
        <v/>
      </c>
      <c r="D1413" s="6" t="str">
        <f>IF(B1413="","",[1]!s_dq_close(股指期货基差分析!$E$6,$B1413))</f>
        <v/>
      </c>
      <c r="E1413" s="6" t="e">
        <f ca="1">RANK(F1413,F:F)+COUNTIF(F$2:F1413,F1413)-1</f>
        <v>#VALUE!</v>
      </c>
      <c r="F1413" s="6" t="str">
        <f t="shared" si="23"/>
        <v/>
      </c>
      <c r="G1413" s="6" t="str">
        <f>IF(B1413="","",股指期货基差分析!$N$11)</f>
        <v/>
      </c>
      <c r="H1413" s="6" t="str">
        <f>IF(B1413="","",股指期货基差分析!$L$11)</f>
        <v/>
      </c>
      <c r="I1413" s="10" t="str">
        <f>IF(B1413="","",股指期货基差分析!$D$11)</f>
        <v/>
      </c>
      <c r="L1413" s="43"/>
    </row>
    <row r="1414" spans="2:12" ht="15" customHeight="1" x14ac:dyDescent="0.2">
      <c r="B1414" s="7"/>
      <c r="C1414" s="5" t="str">
        <f>IF(B1414="","",[1]!s_dq_close(股指期货基差分析!$E$5,$B1414))</f>
        <v/>
      </c>
      <c r="D1414" s="5" t="str">
        <f>IF(B1414="","",[1]!s_dq_close(股指期货基差分析!$E$6,$B1414))</f>
        <v/>
      </c>
      <c r="E1414" s="5" t="e">
        <f ca="1">RANK(F1414,F:F)+COUNTIF(F$2:F1414,F1414)-1</f>
        <v>#VALUE!</v>
      </c>
      <c r="F1414" s="5" t="str">
        <f t="shared" si="23"/>
        <v/>
      </c>
      <c r="G1414" s="5" t="str">
        <f>IF(B1414="","",股指期货基差分析!$N$11)</f>
        <v/>
      </c>
      <c r="H1414" s="5" t="str">
        <f>IF(B1414="","",股指期货基差分析!$L$11)</f>
        <v/>
      </c>
      <c r="I1414" s="9" t="str">
        <f>IF(B1414="","",股指期货基差分析!$D$11)</f>
        <v/>
      </c>
      <c r="L1414" s="43"/>
    </row>
    <row r="1415" spans="2:12" ht="15" customHeight="1" x14ac:dyDescent="0.2">
      <c r="B1415" s="8"/>
      <c r="C1415" s="6" t="str">
        <f>IF(B1415="","",[1]!s_dq_close(股指期货基差分析!$E$5,$B1415))</f>
        <v/>
      </c>
      <c r="D1415" s="6" t="str">
        <f>IF(B1415="","",[1]!s_dq_close(股指期货基差分析!$E$6,$B1415))</f>
        <v/>
      </c>
      <c r="E1415" s="6" t="e">
        <f ca="1">RANK(F1415,F:F)+COUNTIF(F$2:F1415,F1415)-1</f>
        <v>#VALUE!</v>
      </c>
      <c r="F1415" s="6" t="str">
        <f t="shared" si="23"/>
        <v/>
      </c>
      <c r="G1415" s="6" t="str">
        <f>IF(B1415="","",股指期货基差分析!$N$11)</f>
        <v/>
      </c>
      <c r="H1415" s="6" t="str">
        <f>IF(B1415="","",股指期货基差分析!$L$11)</f>
        <v/>
      </c>
      <c r="I1415" s="10" t="str">
        <f>IF(B1415="","",股指期货基差分析!$D$11)</f>
        <v/>
      </c>
      <c r="L1415" s="43"/>
    </row>
    <row r="1416" spans="2:12" ht="15" customHeight="1" x14ac:dyDescent="0.2">
      <c r="B1416" s="7"/>
      <c r="C1416" s="5" t="str">
        <f>IF(B1416="","",[1]!s_dq_close(股指期货基差分析!$E$5,$B1416))</f>
        <v/>
      </c>
      <c r="D1416" s="5" t="str">
        <f>IF(B1416="","",[1]!s_dq_close(股指期货基差分析!$E$6,$B1416))</f>
        <v/>
      </c>
      <c r="E1416" s="5" t="e">
        <f ca="1">RANK(F1416,F:F)+COUNTIF(F$2:F1416,F1416)-1</f>
        <v>#VALUE!</v>
      </c>
      <c r="F1416" s="5" t="str">
        <f t="shared" si="23"/>
        <v/>
      </c>
      <c r="G1416" s="5" t="str">
        <f>IF(B1416="","",股指期货基差分析!$N$11)</f>
        <v/>
      </c>
      <c r="H1416" s="5" t="str">
        <f>IF(B1416="","",股指期货基差分析!$L$11)</f>
        <v/>
      </c>
      <c r="I1416" s="9" t="str">
        <f>IF(B1416="","",股指期货基差分析!$D$11)</f>
        <v/>
      </c>
      <c r="L1416" s="43"/>
    </row>
    <row r="1417" spans="2:12" ht="15" customHeight="1" x14ac:dyDescent="0.2">
      <c r="B1417" s="8"/>
      <c r="C1417" s="6" t="str">
        <f>IF(B1417="","",[1]!s_dq_close(股指期货基差分析!$E$5,$B1417))</f>
        <v/>
      </c>
      <c r="D1417" s="6" t="str">
        <f>IF(B1417="","",[1]!s_dq_close(股指期货基差分析!$E$6,$B1417))</f>
        <v/>
      </c>
      <c r="E1417" s="6" t="e">
        <f ca="1">RANK(F1417,F:F)+COUNTIF(F$2:F1417,F1417)-1</f>
        <v>#VALUE!</v>
      </c>
      <c r="F1417" s="6" t="str">
        <f t="shared" si="23"/>
        <v/>
      </c>
      <c r="G1417" s="6" t="str">
        <f>IF(B1417="","",股指期货基差分析!$N$11)</f>
        <v/>
      </c>
      <c r="H1417" s="6" t="str">
        <f>IF(B1417="","",股指期货基差分析!$L$11)</f>
        <v/>
      </c>
      <c r="I1417" s="10" t="str">
        <f>IF(B1417="","",股指期货基差分析!$D$11)</f>
        <v/>
      </c>
      <c r="L1417" s="43"/>
    </row>
    <row r="1418" spans="2:12" ht="15" customHeight="1" x14ac:dyDescent="0.2">
      <c r="B1418" s="7"/>
      <c r="C1418" s="5" t="str">
        <f>IF(B1418="","",[1]!s_dq_close(股指期货基差分析!$E$5,$B1418))</f>
        <v/>
      </c>
      <c r="D1418" s="5" t="str">
        <f>IF(B1418="","",[1]!s_dq_close(股指期货基差分析!$E$6,$B1418))</f>
        <v/>
      </c>
      <c r="E1418" s="5" t="e">
        <f ca="1">RANK(F1418,F:F)+COUNTIF(F$2:F1418,F1418)-1</f>
        <v>#VALUE!</v>
      </c>
      <c r="F1418" s="5" t="str">
        <f t="shared" si="23"/>
        <v/>
      </c>
      <c r="G1418" s="5" t="str">
        <f>IF(B1418="","",股指期货基差分析!$N$11)</f>
        <v/>
      </c>
      <c r="H1418" s="5" t="str">
        <f>IF(B1418="","",股指期货基差分析!$L$11)</f>
        <v/>
      </c>
      <c r="I1418" s="9" t="str">
        <f>IF(B1418="","",股指期货基差分析!$D$11)</f>
        <v/>
      </c>
      <c r="L1418" s="43"/>
    </row>
    <row r="1419" spans="2:12" ht="15" customHeight="1" x14ac:dyDescent="0.2">
      <c r="B1419" s="8"/>
      <c r="C1419" s="6" t="str">
        <f>IF(B1419="","",[1]!s_dq_close(股指期货基差分析!$E$5,$B1419))</f>
        <v/>
      </c>
      <c r="D1419" s="6" t="str">
        <f>IF(B1419="","",[1]!s_dq_close(股指期货基差分析!$E$6,$B1419))</f>
        <v/>
      </c>
      <c r="E1419" s="6" t="e">
        <f ca="1">RANK(F1419,F:F)+COUNTIF(F$2:F1419,F1419)-1</f>
        <v>#VALUE!</v>
      </c>
      <c r="F1419" s="6" t="str">
        <f t="shared" si="23"/>
        <v/>
      </c>
      <c r="G1419" s="6" t="str">
        <f>IF(B1419="","",股指期货基差分析!$N$11)</f>
        <v/>
      </c>
      <c r="H1419" s="6" t="str">
        <f>IF(B1419="","",股指期货基差分析!$L$11)</f>
        <v/>
      </c>
      <c r="I1419" s="10" t="str">
        <f>IF(B1419="","",股指期货基差分析!$D$11)</f>
        <v/>
      </c>
      <c r="L1419" s="43"/>
    </row>
    <row r="1420" spans="2:12" ht="15" customHeight="1" x14ac:dyDescent="0.2">
      <c r="B1420" s="7"/>
      <c r="C1420" s="5" t="str">
        <f>IF(B1420="","",[1]!s_dq_close(股指期货基差分析!$E$5,$B1420))</f>
        <v/>
      </c>
      <c r="D1420" s="5" t="str">
        <f>IF(B1420="","",[1]!s_dq_close(股指期货基差分析!$E$6,$B1420))</f>
        <v/>
      </c>
      <c r="E1420" s="5" t="e">
        <f ca="1">RANK(F1420,F:F)+COUNTIF(F$2:F1420,F1420)-1</f>
        <v>#VALUE!</v>
      </c>
      <c r="F1420" s="5" t="str">
        <f t="shared" si="23"/>
        <v/>
      </c>
      <c r="G1420" s="5" t="str">
        <f>IF(B1420="","",股指期货基差分析!$N$11)</f>
        <v/>
      </c>
      <c r="H1420" s="5" t="str">
        <f>IF(B1420="","",股指期货基差分析!$L$11)</f>
        <v/>
      </c>
      <c r="I1420" s="9" t="str">
        <f>IF(B1420="","",股指期货基差分析!$D$11)</f>
        <v/>
      </c>
      <c r="L1420" s="43"/>
    </row>
    <row r="1421" spans="2:12" ht="15" customHeight="1" x14ac:dyDescent="0.2">
      <c r="B1421" s="8"/>
      <c r="C1421" s="6" t="str">
        <f>IF(B1421="","",[1]!s_dq_close(股指期货基差分析!$E$5,$B1421))</f>
        <v/>
      </c>
      <c r="D1421" s="6" t="str">
        <f>IF(B1421="","",[1]!s_dq_close(股指期货基差分析!$E$6,$B1421))</f>
        <v/>
      </c>
      <c r="E1421" s="6" t="e">
        <f ca="1">RANK(F1421,F:F)+COUNTIF(F$2:F1421,F1421)-1</f>
        <v>#VALUE!</v>
      </c>
      <c r="F1421" s="6" t="str">
        <f t="shared" si="23"/>
        <v/>
      </c>
      <c r="G1421" s="6" t="str">
        <f>IF(B1421="","",股指期货基差分析!$N$11)</f>
        <v/>
      </c>
      <c r="H1421" s="6" t="str">
        <f>IF(B1421="","",股指期货基差分析!$L$11)</f>
        <v/>
      </c>
      <c r="I1421" s="10" t="str">
        <f>IF(B1421="","",股指期货基差分析!$D$11)</f>
        <v/>
      </c>
      <c r="L1421" s="43"/>
    </row>
    <row r="1422" spans="2:12" ht="15" customHeight="1" x14ac:dyDescent="0.2">
      <c r="B1422" s="7"/>
      <c r="C1422" s="5" t="str">
        <f>IF(B1422="","",[1]!s_dq_close(股指期货基差分析!$E$5,$B1422))</f>
        <v/>
      </c>
      <c r="D1422" s="5" t="str">
        <f>IF(B1422="","",[1]!s_dq_close(股指期货基差分析!$E$6,$B1422))</f>
        <v/>
      </c>
      <c r="E1422" s="5" t="e">
        <f ca="1">RANK(F1422,F:F)+COUNTIF(F$2:F1422,F1422)-1</f>
        <v>#VALUE!</v>
      </c>
      <c r="F1422" s="5" t="str">
        <f t="shared" si="23"/>
        <v/>
      </c>
      <c r="G1422" s="5" t="str">
        <f>IF(B1422="","",股指期货基差分析!$N$11)</f>
        <v/>
      </c>
      <c r="H1422" s="5" t="str">
        <f>IF(B1422="","",股指期货基差分析!$L$11)</f>
        <v/>
      </c>
      <c r="I1422" s="9" t="str">
        <f>IF(B1422="","",股指期货基差分析!$D$11)</f>
        <v/>
      </c>
      <c r="L1422" s="43"/>
    </row>
    <row r="1423" spans="2:12" ht="15" customHeight="1" x14ac:dyDescent="0.2">
      <c r="B1423" s="8"/>
      <c r="C1423" s="6" t="str">
        <f>IF(B1423="","",[1]!s_dq_close(股指期货基差分析!$E$5,$B1423))</f>
        <v/>
      </c>
      <c r="D1423" s="6" t="str">
        <f>IF(B1423="","",[1]!s_dq_close(股指期货基差分析!$E$6,$B1423))</f>
        <v/>
      </c>
      <c r="E1423" s="6" t="e">
        <f ca="1">RANK(F1423,F:F)+COUNTIF(F$2:F1423,F1423)-1</f>
        <v>#VALUE!</v>
      </c>
      <c r="F1423" s="6" t="str">
        <f t="shared" si="23"/>
        <v/>
      </c>
      <c r="G1423" s="6" t="str">
        <f>IF(B1423="","",股指期货基差分析!$N$11)</f>
        <v/>
      </c>
      <c r="H1423" s="6" t="str">
        <f>IF(B1423="","",股指期货基差分析!$L$11)</f>
        <v/>
      </c>
      <c r="I1423" s="10" t="str">
        <f>IF(B1423="","",股指期货基差分析!$D$11)</f>
        <v/>
      </c>
      <c r="L1423" s="43"/>
    </row>
    <row r="1424" spans="2:12" ht="15" customHeight="1" x14ac:dyDescent="0.2">
      <c r="B1424" s="7"/>
      <c r="C1424" s="5" t="str">
        <f>IF(B1424="","",[1]!s_dq_close(股指期货基差分析!$E$5,$B1424))</f>
        <v/>
      </c>
      <c r="D1424" s="5" t="str">
        <f>IF(B1424="","",[1]!s_dq_close(股指期货基差分析!$E$6,$B1424))</f>
        <v/>
      </c>
      <c r="E1424" s="5" t="e">
        <f ca="1">RANK(F1424,F:F)+COUNTIF(F$2:F1424,F1424)-1</f>
        <v>#VALUE!</v>
      </c>
      <c r="F1424" s="5" t="str">
        <f t="shared" si="23"/>
        <v/>
      </c>
      <c r="G1424" s="5" t="str">
        <f>IF(B1424="","",股指期货基差分析!$N$11)</f>
        <v/>
      </c>
      <c r="H1424" s="5" t="str">
        <f>IF(B1424="","",股指期货基差分析!$L$11)</f>
        <v/>
      </c>
      <c r="I1424" s="9" t="str">
        <f>IF(B1424="","",股指期货基差分析!$D$11)</f>
        <v/>
      </c>
      <c r="L1424" s="43"/>
    </row>
    <row r="1425" spans="2:12" ht="15" customHeight="1" x14ac:dyDescent="0.2">
      <c r="B1425" s="8"/>
      <c r="C1425" s="6" t="str">
        <f>IF(B1425="","",[1]!s_dq_close(股指期货基差分析!$E$5,$B1425))</f>
        <v/>
      </c>
      <c r="D1425" s="6" t="str">
        <f>IF(B1425="","",[1]!s_dq_close(股指期货基差分析!$E$6,$B1425))</f>
        <v/>
      </c>
      <c r="E1425" s="6" t="e">
        <f ca="1">RANK(F1425,F:F)+COUNTIF(F$2:F1425,F1425)-1</f>
        <v>#VALUE!</v>
      </c>
      <c r="F1425" s="6" t="str">
        <f t="shared" si="23"/>
        <v/>
      </c>
      <c r="G1425" s="6" t="str">
        <f>IF(B1425="","",股指期货基差分析!$N$11)</f>
        <v/>
      </c>
      <c r="H1425" s="6" t="str">
        <f>IF(B1425="","",股指期货基差分析!$L$11)</f>
        <v/>
      </c>
      <c r="I1425" s="10" t="str">
        <f>IF(B1425="","",股指期货基差分析!$D$11)</f>
        <v/>
      </c>
      <c r="L1425" s="43"/>
    </row>
    <row r="1426" spans="2:12" ht="15" customHeight="1" x14ac:dyDescent="0.2">
      <c r="B1426" s="7"/>
      <c r="C1426" s="5" t="str">
        <f>IF(B1426="","",[1]!s_dq_close(股指期货基差分析!$E$5,$B1426))</f>
        <v/>
      </c>
      <c r="D1426" s="5" t="str">
        <f>IF(B1426="","",[1]!s_dq_close(股指期货基差分析!$E$6,$B1426))</f>
        <v/>
      </c>
      <c r="E1426" s="5" t="e">
        <f ca="1">RANK(F1426,F:F)+COUNTIF(F$2:F1426,F1426)-1</f>
        <v>#VALUE!</v>
      </c>
      <c r="F1426" s="5" t="str">
        <f t="shared" si="23"/>
        <v/>
      </c>
      <c r="G1426" s="5" t="str">
        <f>IF(B1426="","",股指期货基差分析!$N$11)</f>
        <v/>
      </c>
      <c r="H1426" s="5" t="str">
        <f>IF(B1426="","",股指期货基差分析!$L$11)</f>
        <v/>
      </c>
      <c r="I1426" s="9" t="str">
        <f>IF(B1426="","",股指期货基差分析!$D$11)</f>
        <v/>
      </c>
      <c r="L1426" s="43"/>
    </row>
    <row r="1427" spans="2:12" ht="15" customHeight="1" x14ac:dyDescent="0.2">
      <c r="B1427" s="8"/>
      <c r="C1427" s="6" t="str">
        <f>IF(B1427="","",[1]!s_dq_close(股指期货基差分析!$E$5,$B1427))</f>
        <v/>
      </c>
      <c r="D1427" s="6" t="str">
        <f>IF(B1427="","",[1]!s_dq_close(股指期货基差分析!$E$6,$B1427))</f>
        <v/>
      </c>
      <c r="E1427" s="6" t="e">
        <f ca="1">RANK(F1427,F:F)+COUNTIF(F$2:F1427,F1427)-1</f>
        <v>#VALUE!</v>
      </c>
      <c r="F1427" s="6" t="str">
        <f t="shared" si="23"/>
        <v/>
      </c>
      <c r="G1427" s="6" t="str">
        <f>IF(B1427="","",股指期货基差分析!$N$11)</f>
        <v/>
      </c>
      <c r="H1427" s="6" t="str">
        <f>IF(B1427="","",股指期货基差分析!$L$11)</f>
        <v/>
      </c>
      <c r="I1427" s="10" t="str">
        <f>IF(B1427="","",股指期货基差分析!$D$11)</f>
        <v/>
      </c>
      <c r="L1427" s="43"/>
    </row>
    <row r="1428" spans="2:12" ht="15" customHeight="1" x14ac:dyDescent="0.2">
      <c r="B1428" s="7"/>
      <c r="C1428" s="5" t="str">
        <f>IF(B1428="","",[1]!s_dq_close(股指期货基差分析!$E$5,$B1428))</f>
        <v/>
      </c>
      <c r="D1428" s="5" t="str">
        <f>IF(B1428="","",[1]!s_dq_close(股指期货基差分析!$E$6,$B1428))</f>
        <v/>
      </c>
      <c r="E1428" s="5" t="e">
        <f ca="1">RANK(F1428,F:F)+COUNTIF(F$2:F1428,F1428)-1</f>
        <v>#VALUE!</v>
      </c>
      <c r="F1428" s="5" t="str">
        <f t="shared" si="23"/>
        <v/>
      </c>
      <c r="G1428" s="5" t="str">
        <f>IF(B1428="","",股指期货基差分析!$N$11)</f>
        <v/>
      </c>
      <c r="H1428" s="5" t="str">
        <f>IF(B1428="","",股指期货基差分析!$L$11)</f>
        <v/>
      </c>
      <c r="I1428" s="9" t="str">
        <f>IF(B1428="","",股指期货基差分析!$D$11)</f>
        <v/>
      </c>
      <c r="L1428" s="43"/>
    </row>
    <row r="1429" spans="2:12" ht="15" customHeight="1" x14ac:dyDescent="0.2">
      <c r="B1429" s="8"/>
      <c r="C1429" s="6" t="str">
        <f>IF(B1429="","",[1]!s_dq_close(股指期货基差分析!$E$5,$B1429))</f>
        <v/>
      </c>
      <c r="D1429" s="6" t="str">
        <f>IF(B1429="","",[1]!s_dq_close(股指期货基差分析!$E$6,$B1429))</f>
        <v/>
      </c>
      <c r="E1429" s="6" t="e">
        <f ca="1">RANK(F1429,F:F)+COUNTIF(F$2:F1429,F1429)-1</f>
        <v>#VALUE!</v>
      </c>
      <c r="F1429" s="6" t="str">
        <f t="shared" si="23"/>
        <v/>
      </c>
      <c r="G1429" s="6" t="str">
        <f>IF(B1429="","",股指期货基差分析!$N$11)</f>
        <v/>
      </c>
      <c r="H1429" s="6" t="str">
        <f>IF(B1429="","",股指期货基差分析!$L$11)</f>
        <v/>
      </c>
      <c r="I1429" s="10" t="str">
        <f>IF(B1429="","",股指期货基差分析!$D$11)</f>
        <v/>
      </c>
      <c r="L1429" s="43"/>
    </row>
    <row r="1430" spans="2:12" ht="15" customHeight="1" x14ac:dyDescent="0.2">
      <c r="B1430" s="7"/>
      <c r="C1430" s="5" t="str">
        <f>IF(B1430="","",[1]!s_dq_close(股指期货基差分析!$E$5,$B1430))</f>
        <v/>
      </c>
      <c r="D1430" s="5" t="str">
        <f>IF(B1430="","",[1]!s_dq_close(股指期货基差分析!$E$6,$B1430))</f>
        <v/>
      </c>
      <c r="E1430" s="5" t="e">
        <f ca="1">RANK(F1430,F:F)+COUNTIF(F$2:F1430,F1430)-1</f>
        <v>#VALUE!</v>
      </c>
      <c r="F1430" s="5" t="str">
        <f t="shared" si="23"/>
        <v/>
      </c>
      <c r="G1430" s="5" t="str">
        <f>IF(B1430="","",股指期货基差分析!$N$11)</f>
        <v/>
      </c>
      <c r="H1430" s="5" t="str">
        <f>IF(B1430="","",股指期货基差分析!$L$11)</f>
        <v/>
      </c>
      <c r="I1430" s="9" t="str">
        <f>IF(B1430="","",股指期货基差分析!$D$11)</f>
        <v/>
      </c>
      <c r="L1430" s="43"/>
    </row>
    <row r="1431" spans="2:12" ht="15" customHeight="1" x14ac:dyDescent="0.2">
      <c r="B1431" s="8"/>
      <c r="C1431" s="6" t="str">
        <f>IF(B1431="","",[1]!s_dq_close(股指期货基差分析!$E$5,$B1431))</f>
        <v/>
      </c>
      <c r="D1431" s="6" t="str">
        <f>IF(B1431="","",[1]!s_dq_close(股指期货基差分析!$E$6,$B1431))</f>
        <v/>
      </c>
      <c r="E1431" s="6" t="e">
        <f ca="1">RANK(F1431,F:F)+COUNTIF(F$2:F1431,F1431)-1</f>
        <v>#VALUE!</v>
      </c>
      <c r="F1431" s="6" t="str">
        <f t="shared" si="23"/>
        <v/>
      </c>
      <c r="G1431" s="6" t="str">
        <f>IF(B1431="","",股指期货基差分析!$N$11)</f>
        <v/>
      </c>
      <c r="H1431" s="6" t="str">
        <f>IF(B1431="","",股指期货基差分析!$L$11)</f>
        <v/>
      </c>
      <c r="I1431" s="10" t="str">
        <f>IF(B1431="","",股指期货基差分析!$D$11)</f>
        <v/>
      </c>
      <c r="L1431" s="43"/>
    </row>
    <row r="1432" spans="2:12" ht="15" customHeight="1" x14ac:dyDescent="0.2">
      <c r="B1432" s="7"/>
      <c r="C1432" s="5" t="str">
        <f>IF(B1432="","",[1]!s_dq_close(股指期货基差分析!$E$5,$B1432))</f>
        <v/>
      </c>
      <c r="D1432" s="5" t="str">
        <f>IF(B1432="","",[1]!s_dq_close(股指期货基差分析!$E$6,$B1432))</f>
        <v/>
      </c>
      <c r="E1432" s="5" t="e">
        <f ca="1">RANK(F1432,F:F)+COUNTIF(F$2:F1432,F1432)-1</f>
        <v>#VALUE!</v>
      </c>
      <c r="F1432" s="5" t="str">
        <f t="shared" si="23"/>
        <v/>
      </c>
      <c r="G1432" s="5" t="str">
        <f>IF(B1432="","",股指期货基差分析!$N$11)</f>
        <v/>
      </c>
      <c r="H1432" s="5" t="str">
        <f>IF(B1432="","",股指期货基差分析!$L$11)</f>
        <v/>
      </c>
      <c r="I1432" s="9" t="str">
        <f>IF(B1432="","",股指期货基差分析!$D$11)</f>
        <v/>
      </c>
      <c r="L1432" s="43"/>
    </row>
    <row r="1433" spans="2:12" ht="15" customHeight="1" x14ac:dyDescent="0.2">
      <c r="B1433" s="8"/>
      <c r="C1433" s="6" t="str">
        <f>IF(B1433="","",[1]!s_dq_close(股指期货基差分析!$E$5,$B1433))</f>
        <v/>
      </c>
      <c r="D1433" s="6" t="str">
        <f>IF(B1433="","",[1]!s_dq_close(股指期货基差分析!$E$6,$B1433))</f>
        <v/>
      </c>
      <c r="E1433" s="6" t="e">
        <f ca="1">RANK(F1433,F:F)+COUNTIF(F$2:F1433,F1433)-1</f>
        <v>#VALUE!</v>
      </c>
      <c r="F1433" s="6" t="str">
        <f t="shared" si="23"/>
        <v/>
      </c>
      <c r="G1433" s="6" t="str">
        <f>IF(B1433="","",股指期货基差分析!$N$11)</f>
        <v/>
      </c>
      <c r="H1433" s="6" t="str">
        <f>IF(B1433="","",股指期货基差分析!$L$11)</f>
        <v/>
      </c>
      <c r="I1433" s="10" t="str">
        <f>IF(B1433="","",股指期货基差分析!$D$11)</f>
        <v/>
      </c>
      <c r="L1433" s="43"/>
    </row>
    <row r="1434" spans="2:12" ht="15" customHeight="1" x14ac:dyDescent="0.2">
      <c r="B1434" s="7"/>
      <c r="C1434" s="5" t="str">
        <f>IF(B1434="","",[1]!s_dq_close(股指期货基差分析!$E$5,$B1434))</f>
        <v/>
      </c>
      <c r="D1434" s="5" t="str">
        <f>IF(B1434="","",[1]!s_dq_close(股指期货基差分析!$E$6,$B1434))</f>
        <v/>
      </c>
      <c r="E1434" s="5" t="e">
        <f ca="1">RANK(F1434,F:F)+COUNTIF(F$2:F1434,F1434)-1</f>
        <v>#VALUE!</v>
      </c>
      <c r="F1434" s="5" t="str">
        <f t="shared" si="23"/>
        <v/>
      </c>
      <c r="G1434" s="5" t="str">
        <f>IF(B1434="","",股指期货基差分析!$N$11)</f>
        <v/>
      </c>
      <c r="H1434" s="5" t="str">
        <f>IF(B1434="","",股指期货基差分析!$L$11)</f>
        <v/>
      </c>
      <c r="I1434" s="9" t="str">
        <f>IF(B1434="","",股指期货基差分析!$D$11)</f>
        <v/>
      </c>
      <c r="L1434" s="43"/>
    </row>
    <row r="1435" spans="2:12" ht="15" customHeight="1" x14ac:dyDescent="0.2">
      <c r="B1435" s="8"/>
      <c r="C1435" s="6" t="str">
        <f>IF(B1435="","",[1]!s_dq_close(股指期货基差分析!$E$5,$B1435))</f>
        <v/>
      </c>
      <c r="D1435" s="6" t="str">
        <f>IF(B1435="","",[1]!s_dq_close(股指期货基差分析!$E$6,$B1435))</f>
        <v/>
      </c>
      <c r="E1435" s="6" t="e">
        <f ca="1">RANK(F1435,F:F)+COUNTIF(F$2:F1435,F1435)-1</f>
        <v>#VALUE!</v>
      </c>
      <c r="F1435" s="6" t="str">
        <f t="shared" si="23"/>
        <v/>
      </c>
      <c r="G1435" s="6" t="str">
        <f>IF(B1435="","",股指期货基差分析!$N$11)</f>
        <v/>
      </c>
      <c r="H1435" s="6" t="str">
        <f>IF(B1435="","",股指期货基差分析!$L$11)</f>
        <v/>
      </c>
      <c r="I1435" s="10" t="str">
        <f>IF(B1435="","",股指期货基差分析!$D$11)</f>
        <v/>
      </c>
      <c r="L1435" s="43"/>
    </row>
    <row r="1436" spans="2:12" ht="15" customHeight="1" x14ac:dyDescent="0.2">
      <c r="B1436" s="7"/>
      <c r="C1436" s="5" t="str">
        <f>IF(B1436="","",[1]!s_dq_close(股指期货基差分析!$E$5,$B1436))</f>
        <v/>
      </c>
      <c r="D1436" s="5" t="str">
        <f>IF(B1436="","",[1]!s_dq_close(股指期货基差分析!$E$6,$B1436))</f>
        <v/>
      </c>
      <c r="E1436" s="5" t="e">
        <f ca="1">RANK(F1436,F:F)+COUNTIF(F$2:F1436,F1436)-1</f>
        <v>#VALUE!</v>
      </c>
      <c r="F1436" s="5" t="str">
        <f t="shared" si="23"/>
        <v/>
      </c>
      <c r="G1436" s="5" t="str">
        <f>IF(B1436="","",股指期货基差分析!$N$11)</f>
        <v/>
      </c>
      <c r="H1436" s="5" t="str">
        <f>IF(B1436="","",股指期货基差分析!$L$11)</f>
        <v/>
      </c>
      <c r="I1436" s="9" t="str">
        <f>IF(B1436="","",股指期货基差分析!$D$11)</f>
        <v/>
      </c>
      <c r="L1436" s="43"/>
    </row>
    <row r="1437" spans="2:12" ht="15" customHeight="1" x14ac:dyDescent="0.2">
      <c r="B1437" s="8"/>
      <c r="C1437" s="6" t="str">
        <f>IF(B1437="","",[1]!s_dq_close(股指期货基差分析!$E$5,$B1437))</f>
        <v/>
      </c>
      <c r="D1437" s="6" t="str">
        <f>IF(B1437="","",[1]!s_dq_close(股指期货基差分析!$E$6,$B1437))</f>
        <v/>
      </c>
      <c r="E1437" s="6" t="e">
        <f ca="1">RANK(F1437,F:F)+COUNTIF(F$2:F1437,F1437)-1</f>
        <v>#VALUE!</v>
      </c>
      <c r="F1437" s="6" t="str">
        <f t="shared" si="23"/>
        <v/>
      </c>
      <c r="G1437" s="6" t="str">
        <f>IF(B1437="","",股指期货基差分析!$N$11)</f>
        <v/>
      </c>
      <c r="H1437" s="6" t="str">
        <f>IF(B1437="","",股指期货基差分析!$L$11)</f>
        <v/>
      </c>
      <c r="I1437" s="10" t="str">
        <f>IF(B1437="","",股指期货基差分析!$D$11)</f>
        <v/>
      </c>
      <c r="L1437" s="43"/>
    </row>
    <row r="1438" spans="2:12" ht="15" customHeight="1" x14ac:dyDescent="0.2">
      <c r="B1438" s="7"/>
      <c r="C1438" s="5" t="str">
        <f>IF(B1438="","",[1]!s_dq_close(股指期货基差分析!$E$5,$B1438))</f>
        <v/>
      </c>
      <c r="D1438" s="5" t="str">
        <f>IF(B1438="","",[1]!s_dq_close(股指期货基差分析!$E$6,$B1438))</f>
        <v/>
      </c>
      <c r="E1438" s="5" t="e">
        <f ca="1">RANK(F1438,F:F)+COUNTIF(F$2:F1438,F1438)-1</f>
        <v>#VALUE!</v>
      </c>
      <c r="F1438" s="5" t="str">
        <f t="shared" si="23"/>
        <v/>
      </c>
      <c r="G1438" s="5" t="str">
        <f>IF(B1438="","",股指期货基差分析!$N$11)</f>
        <v/>
      </c>
      <c r="H1438" s="5" t="str">
        <f>IF(B1438="","",股指期货基差分析!$L$11)</f>
        <v/>
      </c>
      <c r="I1438" s="9" t="str">
        <f>IF(B1438="","",股指期货基差分析!$D$11)</f>
        <v/>
      </c>
      <c r="L1438" s="43"/>
    </row>
    <row r="1439" spans="2:12" ht="15" customHeight="1" x14ac:dyDescent="0.2">
      <c r="B1439" s="8"/>
      <c r="C1439" s="6" t="str">
        <f>IF(B1439="","",[1]!s_dq_close(股指期货基差分析!$E$5,$B1439))</f>
        <v/>
      </c>
      <c r="D1439" s="6" t="str">
        <f>IF(B1439="","",[1]!s_dq_close(股指期货基差分析!$E$6,$B1439))</f>
        <v/>
      </c>
      <c r="E1439" s="6" t="e">
        <f ca="1">RANK(F1439,F:F)+COUNTIF(F$2:F1439,F1439)-1</f>
        <v>#VALUE!</v>
      </c>
      <c r="F1439" s="6" t="str">
        <f t="shared" si="23"/>
        <v/>
      </c>
      <c r="G1439" s="6" t="str">
        <f>IF(B1439="","",股指期货基差分析!$N$11)</f>
        <v/>
      </c>
      <c r="H1439" s="6" t="str">
        <f>IF(B1439="","",股指期货基差分析!$L$11)</f>
        <v/>
      </c>
      <c r="I1439" s="10" t="str">
        <f>IF(B1439="","",股指期货基差分析!$D$11)</f>
        <v/>
      </c>
      <c r="L1439" s="43"/>
    </row>
    <row r="1440" spans="2:12" ht="15" customHeight="1" x14ac:dyDescent="0.2">
      <c r="B1440" s="7"/>
      <c r="C1440" s="5" t="str">
        <f>IF(B1440="","",[1]!s_dq_close(股指期货基差分析!$E$5,$B1440))</f>
        <v/>
      </c>
      <c r="D1440" s="5" t="str">
        <f>IF(B1440="","",[1]!s_dq_close(股指期货基差分析!$E$6,$B1440))</f>
        <v/>
      </c>
      <c r="E1440" s="5" t="e">
        <f ca="1">RANK(F1440,F:F)+COUNTIF(F$2:F1440,F1440)-1</f>
        <v>#VALUE!</v>
      </c>
      <c r="F1440" s="5" t="str">
        <f t="shared" si="23"/>
        <v/>
      </c>
      <c r="G1440" s="5" t="str">
        <f>IF(B1440="","",股指期货基差分析!$N$11)</f>
        <v/>
      </c>
      <c r="H1440" s="5" t="str">
        <f>IF(B1440="","",股指期货基差分析!$L$11)</f>
        <v/>
      </c>
      <c r="I1440" s="9" t="str">
        <f>IF(B1440="","",股指期货基差分析!$D$11)</f>
        <v/>
      </c>
      <c r="L1440" s="43"/>
    </row>
    <row r="1441" spans="2:12" ht="15" customHeight="1" x14ac:dyDescent="0.2">
      <c r="B1441" s="8"/>
      <c r="C1441" s="6" t="str">
        <f>IF(B1441="","",[1]!s_dq_close(股指期货基差分析!$E$5,$B1441))</f>
        <v/>
      </c>
      <c r="D1441" s="6" t="str">
        <f>IF(B1441="","",[1]!s_dq_close(股指期货基差分析!$E$6,$B1441))</f>
        <v/>
      </c>
      <c r="E1441" s="6" t="e">
        <f ca="1">RANK(F1441,F:F)+COUNTIF(F$2:F1441,F1441)-1</f>
        <v>#VALUE!</v>
      </c>
      <c r="F1441" s="6" t="str">
        <f t="shared" si="23"/>
        <v/>
      </c>
      <c r="G1441" s="6" t="str">
        <f>IF(B1441="","",股指期货基差分析!$N$11)</f>
        <v/>
      </c>
      <c r="H1441" s="6" t="str">
        <f>IF(B1441="","",股指期货基差分析!$L$11)</f>
        <v/>
      </c>
      <c r="I1441" s="10" t="str">
        <f>IF(B1441="","",股指期货基差分析!$D$11)</f>
        <v/>
      </c>
      <c r="L1441" s="43"/>
    </row>
    <row r="1442" spans="2:12" ht="15" customHeight="1" x14ac:dyDescent="0.2">
      <c r="B1442" s="7"/>
      <c r="C1442" s="5" t="str">
        <f>IF(B1442="","",[1]!s_dq_close(股指期货基差分析!$E$5,$B1442))</f>
        <v/>
      </c>
      <c r="D1442" s="5" t="str">
        <f>IF(B1442="","",[1]!s_dq_close(股指期货基差分析!$E$6,$B1442))</f>
        <v/>
      </c>
      <c r="E1442" s="5" t="e">
        <f ca="1">RANK(F1442,F:F)+COUNTIF(F$2:F1442,F1442)-1</f>
        <v>#VALUE!</v>
      </c>
      <c r="F1442" s="5" t="str">
        <f t="shared" si="23"/>
        <v/>
      </c>
      <c r="G1442" s="5" t="str">
        <f>IF(B1442="","",股指期货基差分析!$N$11)</f>
        <v/>
      </c>
      <c r="H1442" s="5" t="str">
        <f>IF(B1442="","",股指期货基差分析!$L$11)</f>
        <v/>
      </c>
      <c r="I1442" s="9" t="str">
        <f>IF(B1442="","",股指期货基差分析!$D$11)</f>
        <v/>
      </c>
      <c r="L1442" s="43"/>
    </row>
    <row r="1443" spans="2:12" ht="15" customHeight="1" x14ac:dyDescent="0.2">
      <c r="B1443" s="8"/>
      <c r="C1443" s="6" t="str">
        <f>IF(B1443="","",[1]!s_dq_close(股指期货基差分析!$E$5,$B1443))</f>
        <v/>
      </c>
      <c r="D1443" s="6" t="str">
        <f>IF(B1443="","",[1]!s_dq_close(股指期货基差分析!$E$6,$B1443))</f>
        <v/>
      </c>
      <c r="E1443" s="6" t="e">
        <f ca="1">RANK(F1443,F:F)+COUNTIF(F$2:F1443,F1443)-1</f>
        <v>#VALUE!</v>
      </c>
      <c r="F1443" s="6" t="str">
        <f t="shared" si="23"/>
        <v/>
      </c>
      <c r="G1443" s="6" t="str">
        <f>IF(B1443="","",股指期货基差分析!$N$11)</f>
        <v/>
      </c>
      <c r="H1443" s="6" t="str">
        <f>IF(B1443="","",股指期货基差分析!$L$11)</f>
        <v/>
      </c>
      <c r="I1443" s="10" t="str">
        <f>IF(B1443="","",股指期货基差分析!$D$11)</f>
        <v/>
      </c>
      <c r="L1443" s="43"/>
    </row>
    <row r="1444" spans="2:12" ht="15" customHeight="1" x14ac:dyDescent="0.2">
      <c r="B1444" s="7"/>
      <c r="C1444" s="5" t="str">
        <f>IF(B1444="","",[1]!s_dq_close(股指期货基差分析!$E$5,$B1444))</f>
        <v/>
      </c>
      <c r="D1444" s="5" t="str">
        <f>IF(B1444="","",[1]!s_dq_close(股指期货基差分析!$E$6,$B1444))</f>
        <v/>
      </c>
      <c r="E1444" s="5" t="e">
        <f ca="1">RANK(F1444,F:F)+COUNTIF(F$2:F1444,F1444)-1</f>
        <v>#VALUE!</v>
      </c>
      <c r="F1444" s="5" t="str">
        <f t="shared" si="23"/>
        <v/>
      </c>
      <c r="G1444" s="5" t="str">
        <f>IF(B1444="","",股指期货基差分析!$N$11)</f>
        <v/>
      </c>
      <c r="H1444" s="5" t="str">
        <f>IF(B1444="","",股指期货基差分析!$L$11)</f>
        <v/>
      </c>
      <c r="I1444" s="9" t="str">
        <f>IF(B1444="","",股指期货基差分析!$D$11)</f>
        <v/>
      </c>
      <c r="L1444" s="43"/>
    </row>
    <row r="1445" spans="2:12" ht="15" customHeight="1" x14ac:dyDescent="0.2">
      <c r="B1445" s="8"/>
      <c r="C1445" s="6" t="str">
        <f>IF(B1445="","",[1]!s_dq_close(股指期货基差分析!$E$5,$B1445))</f>
        <v/>
      </c>
      <c r="D1445" s="6" t="str">
        <f>IF(B1445="","",[1]!s_dq_close(股指期货基差分析!$E$6,$B1445))</f>
        <v/>
      </c>
      <c r="E1445" s="6" t="e">
        <f ca="1">RANK(F1445,F:F)+COUNTIF(F$2:F1445,F1445)-1</f>
        <v>#VALUE!</v>
      </c>
      <c r="F1445" s="6" t="str">
        <f t="shared" si="23"/>
        <v/>
      </c>
      <c r="G1445" s="6" t="str">
        <f>IF(B1445="","",股指期货基差分析!$N$11)</f>
        <v/>
      </c>
      <c r="H1445" s="6" t="str">
        <f>IF(B1445="","",股指期货基差分析!$L$11)</f>
        <v/>
      </c>
      <c r="I1445" s="10" t="str">
        <f>IF(B1445="","",股指期货基差分析!$D$11)</f>
        <v/>
      </c>
      <c r="L1445" s="43"/>
    </row>
    <row r="1446" spans="2:12" ht="15" customHeight="1" x14ac:dyDescent="0.2">
      <c r="B1446" s="7"/>
      <c r="C1446" s="5" t="str">
        <f>IF(B1446="","",[1]!s_dq_close(股指期货基差分析!$E$5,$B1446))</f>
        <v/>
      </c>
      <c r="D1446" s="5" t="str">
        <f>IF(B1446="","",[1]!s_dq_close(股指期货基差分析!$E$6,$B1446))</f>
        <v/>
      </c>
      <c r="E1446" s="5" t="e">
        <f ca="1">RANK(F1446,F:F)+COUNTIF(F$2:F1446,F1446)-1</f>
        <v>#VALUE!</v>
      </c>
      <c r="F1446" s="5" t="str">
        <f t="shared" si="23"/>
        <v/>
      </c>
      <c r="G1446" s="5" t="str">
        <f>IF(B1446="","",股指期货基差分析!$N$11)</f>
        <v/>
      </c>
      <c r="H1446" s="5" t="str">
        <f>IF(B1446="","",股指期货基差分析!$L$11)</f>
        <v/>
      </c>
      <c r="I1446" s="9" t="str">
        <f>IF(B1446="","",股指期货基差分析!$D$11)</f>
        <v/>
      </c>
      <c r="L1446" s="43"/>
    </row>
    <row r="1447" spans="2:12" ht="15" customHeight="1" x14ac:dyDescent="0.2">
      <c r="B1447" s="8"/>
      <c r="C1447" s="6" t="str">
        <f>IF(B1447="","",[1]!s_dq_close(股指期货基差分析!$E$5,$B1447))</f>
        <v/>
      </c>
      <c r="D1447" s="6" t="str">
        <f>IF(B1447="","",[1]!s_dq_close(股指期货基差分析!$E$6,$B1447))</f>
        <v/>
      </c>
      <c r="E1447" s="6" t="e">
        <f ca="1">RANK(F1447,F:F)+COUNTIF(F$2:F1447,F1447)-1</f>
        <v>#VALUE!</v>
      </c>
      <c r="F1447" s="6" t="str">
        <f t="shared" si="23"/>
        <v/>
      </c>
      <c r="G1447" s="6" t="str">
        <f>IF(B1447="","",股指期货基差分析!$N$11)</f>
        <v/>
      </c>
      <c r="H1447" s="6" t="str">
        <f>IF(B1447="","",股指期货基差分析!$L$11)</f>
        <v/>
      </c>
      <c r="I1447" s="10" t="str">
        <f>IF(B1447="","",股指期货基差分析!$D$11)</f>
        <v/>
      </c>
      <c r="L1447" s="43"/>
    </row>
    <row r="1448" spans="2:12" ht="15" customHeight="1" x14ac:dyDescent="0.2">
      <c r="B1448" s="7"/>
      <c r="C1448" s="5" t="str">
        <f>IF(B1448="","",[1]!s_dq_close(股指期货基差分析!$E$5,$B1448))</f>
        <v/>
      </c>
      <c r="D1448" s="5" t="str">
        <f>IF(B1448="","",[1]!s_dq_close(股指期货基差分析!$E$6,$B1448))</f>
        <v/>
      </c>
      <c r="E1448" s="5" t="e">
        <f ca="1">RANK(F1448,F:F)+COUNTIF(F$2:F1448,F1448)-1</f>
        <v>#VALUE!</v>
      </c>
      <c r="F1448" s="5" t="str">
        <f t="shared" si="23"/>
        <v/>
      </c>
      <c r="G1448" s="5" t="str">
        <f>IF(B1448="","",股指期货基差分析!$N$11)</f>
        <v/>
      </c>
      <c r="H1448" s="5" t="str">
        <f>IF(B1448="","",股指期货基差分析!$L$11)</f>
        <v/>
      </c>
      <c r="I1448" s="9" t="str">
        <f>IF(B1448="","",股指期货基差分析!$D$11)</f>
        <v/>
      </c>
      <c r="L1448" s="43"/>
    </row>
    <row r="1449" spans="2:12" ht="15" customHeight="1" x14ac:dyDescent="0.2">
      <c r="B1449" s="8"/>
      <c r="C1449" s="6" t="str">
        <f>IF(B1449="","",[1]!s_dq_close(股指期货基差分析!$E$5,$B1449))</f>
        <v/>
      </c>
      <c r="D1449" s="6" t="str">
        <f>IF(B1449="","",[1]!s_dq_close(股指期货基差分析!$E$6,$B1449))</f>
        <v/>
      </c>
      <c r="E1449" s="6" t="e">
        <f ca="1">RANK(F1449,F:F)+COUNTIF(F$2:F1449,F1449)-1</f>
        <v>#VALUE!</v>
      </c>
      <c r="F1449" s="6" t="str">
        <f t="shared" si="23"/>
        <v/>
      </c>
      <c r="G1449" s="6" t="str">
        <f>IF(B1449="","",股指期货基差分析!$N$11)</f>
        <v/>
      </c>
      <c r="H1449" s="6" t="str">
        <f>IF(B1449="","",股指期货基差分析!$L$11)</f>
        <v/>
      </c>
      <c r="I1449" s="10" t="str">
        <f>IF(B1449="","",股指期货基差分析!$D$11)</f>
        <v/>
      </c>
      <c r="L1449" s="43"/>
    </row>
    <row r="1450" spans="2:12" ht="15" customHeight="1" x14ac:dyDescent="0.2">
      <c r="B1450" s="7"/>
      <c r="C1450" s="5" t="str">
        <f>IF(B1450="","",[1]!s_dq_close(股指期货基差分析!$E$5,$B1450))</f>
        <v/>
      </c>
      <c r="D1450" s="5" t="str">
        <f>IF(B1450="","",[1]!s_dq_close(股指期货基差分析!$E$6,$B1450))</f>
        <v/>
      </c>
      <c r="E1450" s="5" t="e">
        <f ca="1">RANK(F1450,F:F)+COUNTIF(F$2:F1450,F1450)-1</f>
        <v>#VALUE!</v>
      </c>
      <c r="F1450" s="5" t="str">
        <f t="shared" si="23"/>
        <v/>
      </c>
      <c r="G1450" s="5" t="str">
        <f>IF(B1450="","",股指期货基差分析!$N$11)</f>
        <v/>
      </c>
      <c r="H1450" s="5" t="str">
        <f>IF(B1450="","",股指期货基差分析!$L$11)</f>
        <v/>
      </c>
      <c r="I1450" s="9" t="str">
        <f>IF(B1450="","",股指期货基差分析!$D$11)</f>
        <v/>
      </c>
      <c r="L1450" s="43"/>
    </row>
    <row r="1451" spans="2:12" ht="15" customHeight="1" x14ac:dyDescent="0.2">
      <c r="B1451" s="8"/>
      <c r="C1451" s="6" t="str">
        <f>IF(B1451="","",[1]!s_dq_close(股指期货基差分析!$E$5,$B1451))</f>
        <v/>
      </c>
      <c r="D1451" s="6" t="str">
        <f>IF(B1451="","",[1]!s_dq_close(股指期货基差分析!$E$6,$B1451))</f>
        <v/>
      </c>
      <c r="E1451" s="6" t="e">
        <f ca="1">RANK(F1451,F:F)+COUNTIF(F$2:F1451,F1451)-1</f>
        <v>#VALUE!</v>
      </c>
      <c r="F1451" s="6" t="str">
        <f t="shared" si="23"/>
        <v/>
      </c>
      <c r="G1451" s="6" t="str">
        <f>IF(B1451="","",股指期货基差分析!$N$11)</f>
        <v/>
      </c>
      <c r="H1451" s="6" t="str">
        <f>IF(B1451="","",股指期货基差分析!$L$11)</f>
        <v/>
      </c>
      <c r="I1451" s="10" t="str">
        <f>IF(B1451="","",股指期货基差分析!$D$11)</f>
        <v/>
      </c>
      <c r="L1451" s="43"/>
    </row>
    <row r="1452" spans="2:12" ht="15" customHeight="1" x14ac:dyDescent="0.2">
      <c r="B1452" s="7"/>
      <c r="C1452" s="5" t="str">
        <f>IF(B1452="","",[1]!s_dq_close(股指期货基差分析!$E$5,$B1452))</f>
        <v/>
      </c>
      <c r="D1452" s="5" t="str">
        <f>IF(B1452="","",[1]!s_dq_close(股指期货基差分析!$E$6,$B1452))</f>
        <v/>
      </c>
      <c r="E1452" s="5" t="e">
        <f ca="1">RANK(F1452,F:F)+COUNTIF(F$2:F1452,F1452)-1</f>
        <v>#VALUE!</v>
      </c>
      <c r="F1452" s="5" t="str">
        <f t="shared" si="23"/>
        <v/>
      </c>
      <c r="G1452" s="5" t="str">
        <f>IF(B1452="","",股指期货基差分析!$N$11)</f>
        <v/>
      </c>
      <c r="H1452" s="5" t="str">
        <f>IF(B1452="","",股指期货基差分析!$L$11)</f>
        <v/>
      </c>
      <c r="I1452" s="9" t="str">
        <f>IF(B1452="","",股指期货基差分析!$D$11)</f>
        <v/>
      </c>
      <c r="L1452" s="43"/>
    </row>
    <row r="1453" spans="2:12" ht="15" customHeight="1" x14ac:dyDescent="0.2">
      <c r="B1453" s="8"/>
      <c r="C1453" s="6" t="str">
        <f>IF(B1453="","",[1]!s_dq_close(股指期货基差分析!$E$5,$B1453))</f>
        <v/>
      </c>
      <c r="D1453" s="6" t="str">
        <f>IF(B1453="","",[1]!s_dq_close(股指期货基差分析!$E$6,$B1453))</f>
        <v/>
      </c>
      <c r="E1453" s="6" t="e">
        <f ca="1">RANK(F1453,F:F)+COUNTIF(F$2:F1453,F1453)-1</f>
        <v>#VALUE!</v>
      </c>
      <c r="F1453" s="6" t="str">
        <f t="shared" si="23"/>
        <v/>
      </c>
      <c r="G1453" s="6" t="str">
        <f>IF(B1453="","",股指期货基差分析!$N$11)</f>
        <v/>
      </c>
      <c r="H1453" s="6" t="str">
        <f>IF(B1453="","",股指期货基差分析!$L$11)</f>
        <v/>
      </c>
      <c r="I1453" s="10" t="str">
        <f>IF(B1453="","",股指期货基差分析!$D$11)</f>
        <v/>
      </c>
      <c r="L1453" s="43"/>
    </row>
    <row r="1454" spans="2:12" ht="15" customHeight="1" x14ac:dyDescent="0.2">
      <c r="B1454" s="7"/>
      <c r="C1454" s="5" t="str">
        <f>IF(B1454="","",[1]!s_dq_close(股指期货基差分析!$E$5,$B1454))</f>
        <v/>
      </c>
      <c r="D1454" s="5" t="str">
        <f>IF(B1454="","",[1]!s_dq_close(股指期货基差分析!$E$6,$B1454))</f>
        <v/>
      </c>
      <c r="E1454" s="5" t="e">
        <f ca="1">RANK(F1454,F:F)+COUNTIF(F$2:F1454,F1454)-1</f>
        <v>#VALUE!</v>
      </c>
      <c r="F1454" s="5" t="str">
        <f t="shared" si="23"/>
        <v/>
      </c>
      <c r="G1454" s="5" t="str">
        <f>IF(B1454="","",股指期货基差分析!$N$11)</f>
        <v/>
      </c>
      <c r="H1454" s="5" t="str">
        <f>IF(B1454="","",股指期货基差分析!$L$11)</f>
        <v/>
      </c>
      <c r="I1454" s="9" t="str">
        <f>IF(B1454="","",股指期货基差分析!$D$11)</f>
        <v/>
      </c>
      <c r="L1454" s="43"/>
    </row>
    <row r="1455" spans="2:12" ht="15" customHeight="1" x14ac:dyDescent="0.2">
      <c r="B1455" s="8"/>
      <c r="C1455" s="6" t="str">
        <f>IF(B1455="","",[1]!s_dq_close(股指期货基差分析!$E$5,$B1455))</f>
        <v/>
      </c>
      <c r="D1455" s="6" t="str">
        <f>IF(B1455="","",[1]!s_dq_close(股指期货基差分析!$E$6,$B1455))</f>
        <v/>
      </c>
      <c r="E1455" s="6" t="e">
        <f ca="1">RANK(F1455,F:F)+COUNTIF(F$2:F1455,F1455)-1</f>
        <v>#VALUE!</v>
      </c>
      <c r="F1455" s="6" t="str">
        <f t="shared" si="23"/>
        <v/>
      </c>
      <c r="G1455" s="6" t="str">
        <f>IF(B1455="","",股指期货基差分析!$N$11)</f>
        <v/>
      </c>
      <c r="H1455" s="6" t="str">
        <f>IF(B1455="","",股指期货基差分析!$L$11)</f>
        <v/>
      </c>
      <c r="I1455" s="10" t="str">
        <f>IF(B1455="","",股指期货基差分析!$D$11)</f>
        <v/>
      </c>
      <c r="L1455" s="43"/>
    </row>
    <row r="1456" spans="2:12" ht="15" customHeight="1" x14ac:dyDescent="0.2">
      <c r="B1456" s="7"/>
      <c r="C1456" s="5" t="str">
        <f>IF(B1456="","",[1]!s_dq_close(股指期货基差分析!$E$5,$B1456))</f>
        <v/>
      </c>
      <c r="D1456" s="5" t="str">
        <f>IF(B1456="","",[1]!s_dq_close(股指期货基差分析!$E$6,$B1456))</f>
        <v/>
      </c>
      <c r="E1456" s="5" t="e">
        <f ca="1">RANK(F1456,F:F)+COUNTIF(F$2:F1456,F1456)-1</f>
        <v>#VALUE!</v>
      </c>
      <c r="F1456" s="5" t="str">
        <f t="shared" si="23"/>
        <v/>
      </c>
      <c r="G1456" s="5" t="str">
        <f>IF(B1456="","",股指期货基差分析!$N$11)</f>
        <v/>
      </c>
      <c r="H1456" s="5" t="str">
        <f>IF(B1456="","",股指期货基差分析!$L$11)</f>
        <v/>
      </c>
      <c r="I1456" s="9" t="str">
        <f>IF(B1456="","",股指期货基差分析!$D$11)</f>
        <v/>
      </c>
      <c r="L1456" s="43"/>
    </row>
    <row r="1457" spans="2:12" ht="15" customHeight="1" x14ac:dyDescent="0.2">
      <c r="B1457" s="8"/>
      <c r="C1457" s="6" t="str">
        <f>IF(B1457="","",[1]!s_dq_close(股指期货基差分析!$E$5,$B1457))</f>
        <v/>
      </c>
      <c r="D1457" s="6" t="str">
        <f>IF(B1457="","",[1]!s_dq_close(股指期货基差分析!$E$6,$B1457))</f>
        <v/>
      </c>
      <c r="E1457" s="6" t="e">
        <f ca="1">RANK(F1457,F:F)+COUNTIF(F$2:F1457,F1457)-1</f>
        <v>#VALUE!</v>
      </c>
      <c r="F1457" s="6" t="str">
        <f t="shared" si="23"/>
        <v/>
      </c>
      <c r="G1457" s="6" t="str">
        <f>IF(B1457="","",股指期货基差分析!$N$11)</f>
        <v/>
      </c>
      <c r="H1457" s="6" t="str">
        <f>IF(B1457="","",股指期货基差分析!$L$11)</f>
        <v/>
      </c>
      <c r="I1457" s="10" t="str">
        <f>IF(B1457="","",股指期货基差分析!$D$11)</f>
        <v/>
      </c>
      <c r="L1457" s="43"/>
    </row>
    <row r="1458" spans="2:12" ht="15" customHeight="1" x14ac:dyDescent="0.2">
      <c r="B1458" s="7"/>
      <c r="C1458" s="5" t="str">
        <f>IF(B1458="","",[1]!s_dq_close(股指期货基差分析!$E$5,$B1458))</f>
        <v/>
      </c>
      <c r="D1458" s="5" t="str">
        <f>IF(B1458="","",[1]!s_dq_close(股指期货基差分析!$E$6,$B1458))</f>
        <v/>
      </c>
      <c r="E1458" s="5" t="e">
        <f ca="1">RANK(F1458,F:F)+COUNTIF(F$2:F1458,F1458)-1</f>
        <v>#VALUE!</v>
      </c>
      <c r="F1458" s="5" t="str">
        <f t="shared" si="23"/>
        <v/>
      </c>
      <c r="G1458" s="5" t="str">
        <f>IF(B1458="","",股指期货基差分析!$N$11)</f>
        <v/>
      </c>
      <c r="H1458" s="5" t="str">
        <f>IF(B1458="","",股指期货基差分析!$L$11)</f>
        <v/>
      </c>
      <c r="I1458" s="9" t="str">
        <f>IF(B1458="","",股指期货基差分析!$D$11)</f>
        <v/>
      </c>
      <c r="L1458" s="43"/>
    </row>
    <row r="1459" spans="2:12" ht="15" customHeight="1" x14ac:dyDescent="0.2">
      <c r="B1459" s="8"/>
      <c r="C1459" s="6" t="str">
        <f>IF(B1459="","",[1]!s_dq_close(股指期货基差分析!$E$5,$B1459))</f>
        <v/>
      </c>
      <c r="D1459" s="6" t="str">
        <f>IF(B1459="","",[1]!s_dq_close(股指期货基差分析!$E$6,$B1459))</f>
        <v/>
      </c>
      <c r="E1459" s="6" t="e">
        <f ca="1">RANK(F1459,F:F)+COUNTIF(F$2:F1459,F1459)-1</f>
        <v>#VALUE!</v>
      </c>
      <c r="F1459" s="6" t="str">
        <f t="shared" si="23"/>
        <v/>
      </c>
      <c r="G1459" s="6" t="str">
        <f>IF(B1459="","",股指期货基差分析!$N$11)</f>
        <v/>
      </c>
      <c r="H1459" s="6" t="str">
        <f>IF(B1459="","",股指期货基差分析!$L$11)</f>
        <v/>
      </c>
      <c r="I1459" s="10" t="str">
        <f>IF(B1459="","",股指期货基差分析!$D$11)</f>
        <v/>
      </c>
      <c r="L1459" s="43"/>
    </row>
    <row r="1460" spans="2:12" ht="15" customHeight="1" x14ac:dyDescent="0.2">
      <c r="B1460" s="7"/>
      <c r="C1460" s="5" t="str">
        <f>IF(B1460="","",[1]!s_dq_close(股指期货基差分析!$E$5,$B1460))</f>
        <v/>
      </c>
      <c r="D1460" s="5" t="str">
        <f>IF(B1460="","",[1]!s_dq_close(股指期货基差分析!$E$6,$B1460))</f>
        <v/>
      </c>
      <c r="E1460" s="5" t="e">
        <f ca="1">RANK(F1460,F:F)+COUNTIF(F$2:F1460,F1460)-1</f>
        <v>#VALUE!</v>
      </c>
      <c r="F1460" s="5" t="str">
        <f t="shared" si="23"/>
        <v/>
      </c>
      <c r="G1460" s="5" t="str">
        <f>IF(B1460="","",股指期货基差分析!$N$11)</f>
        <v/>
      </c>
      <c r="H1460" s="5" t="str">
        <f>IF(B1460="","",股指期货基差分析!$L$11)</f>
        <v/>
      </c>
      <c r="I1460" s="9" t="str">
        <f>IF(B1460="","",股指期货基差分析!$D$11)</f>
        <v/>
      </c>
      <c r="L1460" s="43"/>
    </row>
    <row r="1461" spans="2:12" ht="15" customHeight="1" x14ac:dyDescent="0.2">
      <c r="B1461" s="8"/>
      <c r="C1461" s="6" t="str">
        <f>IF(B1461="","",[1]!s_dq_close(股指期货基差分析!$E$5,$B1461))</f>
        <v/>
      </c>
      <c r="D1461" s="6" t="str">
        <f>IF(B1461="","",[1]!s_dq_close(股指期货基差分析!$E$6,$B1461))</f>
        <v/>
      </c>
      <c r="E1461" s="6" t="e">
        <f ca="1">RANK(F1461,F:F)+COUNTIF(F$2:F1461,F1461)-1</f>
        <v>#VALUE!</v>
      </c>
      <c r="F1461" s="6" t="str">
        <f t="shared" si="23"/>
        <v/>
      </c>
      <c r="G1461" s="6" t="str">
        <f>IF(B1461="","",股指期货基差分析!$N$11)</f>
        <v/>
      </c>
      <c r="H1461" s="6" t="str">
        <f>IF(B1461="","",股指期货基差分析!$L$11)</f>
        <v/>
      </c>
      <c r="I1461" s="10" t="str">
        <f>IF(B1461="","",股指期货基差分析!$D$11)</f>
        <v/>
      </c>
      <c r="L1461" s="43"/>
    </row>
    <row r="1462" spans="2:12" ht="15" customHeight="1" x14ac:dyDescent="0.2">
      <c r="B1462" s="7"/>
      <c r="C1462" s="5" t="str">
        <f>IF(B1462="","",[1]!s_dq_close(股指期货基差分析!$E$5,$B1462))</f>
        <v/>
      </c>
      <c r="D1462" s="5" t="str">
        <f>IF(B1462="","",[1]!s_dq_close(股指期货基差分析!$E$6,$B1462))</f>
        <v/>
      </c>
      <c r="E1462" s="5" t="e">
        <f ca="1">RANK(F1462,F:F)+COUNTIF(F$2:F1462,F1462)-1</f>
        <v>#VALUE!</v>
      </c>
      <c r="F1462" s="5" t="str">
        <f t="shared" si="23"/>
        <v/>
      </c>
      <c r="G1462" s="5" t="str">
        <f>IF(B1462="","",股指期货基差分析!$N$11)</f>
        <v/>
      </c>
      <c r="H1462" s="5" t="str">
        <f>IF(B1462="","",股指期货基差分析!$L$11)</f>
        <v/>
      </c>
      <c r="I1462" s="9" t="str">
        <f>IF(B1462="","",股指期货基差分析!$D$11)</f>
        <v/>
      </c>
      <c r="L1462" s="43"/>
    </row>
    <row r="1463" spans="2:12" ht="15" customHeight="1" x14ac:dyDescent="0.2">
      <c r="B1463" s="8"/>
      <c r="C1463" s="6" t="str">
        <f>IF(B1463="","",[1]!s_dq_close(股指期货基差分析!$E$5,$B1463))</f>
        <v/>
      </c>
      <c r="D1463" s="6" t="str">
        <f>IF(B1463="","",[1]!s_dq_close(股指期货基差分析!$E$6,$B1463))</f>
        <v/>
      </c>
      <c r="E1463" s="6" t="e">
        <f ca="1">RANK(F1463,F:F)+COUNTIF(F$2:F1463,F1463)-1</f>
        <v>#VALUE!</v>
      </c>
      <c r="F1463" s="6" t="str">
        <f t="shared" si="23"/>
        <v/>
      </c>
      <c r="G1463" s="6" t="str">
        <f>IF(B1463="","",股指期货基差分析!$N$11)</f>
        <v/>
      </c>
      <c r="H1463" s="6" t="str">
        <f>IF(B1463="","",股指期货基差分析!$L$11)</f>
        <v/>
      </c>
      <c r="I1463" s="10" t="str">
        <f>IF(B1463="","",股指期货基差分析!$D$11)</f>
        <v/>
      </c>
      <c r="L1463" s="43"/>
    </row>
    <row r="1464" spans="2:12" ht="15" customHeight="1" x14ac:dyDescent="0.2">
      <c r="B1464" s="7"/>
      <c r="C1464" s="5" t="str">
        <f>IF(B1464="","",[1]!s_dq_close(股指期货基差分析!$E$5,$B1464))</f>
        <v/>
      </c>
      <c r="D1464" s="5" t="str">
        <f>IF(B1464="","",[1]!s_dq_close(股指期货基差分析!$E$6,$B1464))</f>
        <v/>
      </c>
      <c r="E1464" s="5" t="e">
        <f ca="1">RANK(F1464,F:F)+COUNTIF(F$2:F1464,F1464)-1</f>
        <v>#VALUE!</v>
      </c>
      <c r="F1464" s="5" t="str">
        <f t="shared" si="23"/>
        <v/>
      </c>
      <c r="G1464" s="5" t="str">
        <f>IF(B1464="","",股指期货基差分析!$N$11)</f>
        <v/>
      </c>
      <c r="H1464" s="5" t="str">
        <f>IF(B1464="","",股指期货基差分析!$L$11)</f>
        <v/>
      </c>
      <c r="I1464" s="9" t="str">
        <f>IF(B1464="","",股指期货基差分析!$D$11)</f>
        <v/>
      </c>
      <c r="L1464" s="43"/>
    </row>
    <row r="1465" spans="2:12" ht="15" customHeight="1" x14ac:dyDescent="0.2">
      <c r="B1465" s="8"/>
      <c r="C1465" s="6" t="str">
        <f>IF(B1465="","",[1]!s_dq_close(股指期货基差分析!$E$5,$B1465))</f>
        <v/>
      </c>
      <c r="D1465" s="6" t="str">
        <f>IF(B1465="","",[1]!s_dq_close(股指期货基差分析!$E$6,$B1465))</f>
        <v/>
      </c>
      <c r="E1465" s="6" t="e">
        <f ca="1">RANK(F1465,F:F)+COUNTIF(F$2:F1465,F1465)-1</f>
        <v>#VALUE!</v>
      </c>
      <c r="F1465" s="6" t="str">
        <f t="shared" si="23"/>
        <v/>
      </c>
      <c r="G1465" s="6" t="str">
        <f>IF(B1465="","",股指期货基差分析!$N$11)</f>
        <v/>
      </c>
      <c r="H1465" s="6" t="str">
        <f>IF(B1465="","",股指期货基差分析!$L$11)</f>
        <v/>
      </c>
      <c r="I1465" s="10" t="str">
        <f>IF(B1465="","",股指期货基差分析!$D$11)</f>
        <v/>
      </c>
      <c r="L1465" s="43"/>
    </row>
    <row r="1466" spans="2:12" ht="15" customHeight="1" x14ac:dyDescent="0.2">
      <c r="B1466" s="7"/>
      <c r="C1466" s="5" t="str">
        <f>IF(B1466="","",[1]!s_dq_close(股指期货基差分析!$E$5,$B1466))</f>
        <v/>
      </c>
      <c r="D1466" s="5" t="str">
        <f>IF(B1466="","",[1]!s_dq_close(股指期货基差分析!$E$6,$B1466))</f>
        <v/>
      </c>
      <c r="E1466" s="5" t="e">
        <f ca="1">RANK(F1466,F:F)+COUNTIF(F$2:F1466,F1466)-1</f>
        <v>#VALUE!</v>
      </c>
      <c r="F1466" s="5" t="str">
        <f t="shared" si="23"/>
        <v/>
      </c>
      <c r="G1466" s="5" t="str">
        <f>IF(B1466="","",股指期货基差分析!$N$11)</f>
        <v/>
      </c>
      <c r="H1466" s="5" t="str">
        <f>IF(B1466="","",股指期货基差分析!$L$11)</f>
        <v/>
      </c>
      <c r="I1466" s="9" t="str">
        <f>IF(B1466="","",股指期货基差分析!$D$11)</f>
        <v/>
      </c>
      <c r="L1466" s="43"/>
    </row>
    <row r="1467" spans="2:12" ht="15" customHeight="1" x14ac:dyDescent="0.2">
      <c r="B1467" s="8"/>
      <c r="C1467" s="6" t="str">
        <f>IF(B1467="","",[1]!s_dq_close(股指期货基差分析!$E$5,$B1467))</f>
        <v/>
      </c>
      <c r="D1467" s="6" t="str">
        <f>IF(B1467="","",[1]!s_dq_close(股指期货基差分析!$E$6,$B1467))</f>
        <v/>
      </c>
      <c r="E1467" s="6" t="e">
        <f ca="1">RANK(F1467,F:F)+COUNTIF(F$2:F1467,F1467)-1</f>
        <v>#VALUE!</v>
      </c>
      <c r="F1467" s="6" t="str">
        <f t="shared" si="23"/>
        <v/>
      </c>
      <c r="G1467" s="6" t="str">
        <f>IF(B1467="","",股指期货基差分析!$N$11)</f>
        <v/>
      </c>
      <c r="H1467" s="6" t="str">
        <f>IF(B1467="","",股指期货基差分析!$L$11)</f>
        <v/>
      </c>
      <c r="I1467" s="10" t="str">
        <f>IF(B1467="","",股指期货基差分析!$D$11)</f>
        <v/>
      </c>
      <c r="L1467" s="43"/>
    </row>
    <row r="1468" spans="2:12" ht="15" customHeight="1" x14ac:dyDescent="0.2">
      <c r="B1468" s="7"/>
      <c r="C1468" s="5" t="str">
        <f>IF(B1468="","",[1]!s_dq_close(股指期货基差分析!$E$5,$B1468))</f>
        <v/>
      </c>
      <c r="D1468" s="5" t="str">
        <f>IF(B1468="","",[1]!s_dq_close(股指期货基差分析!$E$6,$B1468))</f>
        <v/>
      </c>
      <c r="E1468" s="5" t="e">
        <f ca="1">RANK(F1468,F:F)+COUNTIF(F$2:F1468,F1468)-1</f>
        <v>#VALUE!</v>
      </c>
      <c r="F1468" s="5" t="str">
        <f t="shared" si="23"/>
        <v/>
      </c>
      <c r="G1468" s="5" t="str">
        <f>IF(B1468="","",股指期货基差分析!$N$11)</f>
        <v/>
      </c>
      <c r="H1468" s="5" t="str">
        <f>IF(B1468="","",股指期货基差分析!$L$11)</f>
        <v/>
      </c>
      <c r="I1468" s="9" t="str">
        <f>IF(B1468="","",股指期货基差分析!$D$11)</f>
        <v/>
      </c>
      <c r="L1468" s="43"/>
    </row>
    <row r="1469" spans="2:12" ht="15" customHeight="1" x14ac:dyDescent="0.2">
      <c r="B1469" s="8"/>
      <c r="C1469" s="6" t="str">
        <f>IF(B1469="","",[1]!s_dq_close(股指期货基差分析!$E$5,$B1469))</f>
        <v/>
      </c>
      <c r="D1469" s="6" t="str">
        <f>IF(B1469="","",[1]!s_dq_close(股指期货基差分析!$E$6,$B1469))</f>
        <v/>
      </c>
      <c r="E1469" s="6" t="e">
        <f ca="1">RANK(F1469,F:F)+COUNTIF(F$2:F1469,F1469)-1</f>
        <v>#VALUE!</v>
      </c>
      <c r="F1469" s="6" t="str">
        <f t="shared" si="23"/>
        <v/>
      </c>
      <c r="G1469" s="6" t="str">
        <f>IF(B1469="","",股指期货基差分析!$N$11)</f>
        <v/>
      </c>
      <c r="H1469" s="6" t="str">
        <f>IF(B1469="","",股指期货基差分析!$L$11)</f>
        <v/>
      </c>
      <c r="I1469" s="10" t="str">
        <f>IF(B1469="","",股指期货基差分析!$D$11)</f>
        <v/>
      </c>
      <c r="L1469" s="43"/>
    </row>
    <row r="1470" spans="2:12" ht="15" customHeight="1" x14ac:dyDescent="0.2">
      <c r="B1470" s="7"/>
      <c r="C1470" s="5" t="str">
        <f>IF(B1470="","",[1]!s_dq_close(股指期货基差分析!$E$5,$B1470))</f>
        <v/>
      </c>
      <c r="D1470" s="5" t="str">
        <f>IF(B1470="","",[1]!s_dq_close(股指期货基差分析!$E$6,$B1470))</f>
        <v/>
      </c>
      <c r="E1470" s="5" t="e">
        <f ca="1">RANK(F1470,F:F)+COUNTIF(F$2:F1470,F1470)-1</f>
        <v>#VALUE!</v>
      </c>
      <c r="F1470" s="5" t="str">
        <f t="shared" si="23"/>
        <v/>
      </c>
      <c r="G1470" s="5" t="str">
        <f>IF(B1470="","",股指期货基差分析!$N$11)</f>
        <v/>
      </c>
      <c r="H1470" s="5" t="str">
        <f>IF(B1470="","",股指期货基差分析!$L$11)</f>
        <v/>
      </c>
      <c r="I1470" s="9" t="str">
        <f>IF(B1470="","",股指期货基差分析!$D$11)</f>
        <v/>
      </c>
      <c r="L1470" s="43"/>
    </row>
    <row r="1471" spans="2:12" ht="15" customHeight="1" x14ac:dyDescent="0.2">
      <c r="B1471" s="8"/>
      <c r="C1471" s="6" t="str">
        <f>IF(B1471="","",[1]!s_dq_close(股指期货基差分析!$E$5,$B1471))</f>
        <v/>
      </c>
      <c r="D1471" s="6" t="str">
        <f>IF(B1471="","",[1]!s_dq_close(股指期货基差分析!$E$6,$B1471))</f>
        <v/>
      </c>
      <c r="E1471" s="6" t="e">
        <f ca="1">RANK(F1471,F:F)+COUNTIF(F$2:F1471,F1471)-1</f>
        <v>#VALUE!</v>
      </c>
      <c r="F1471" s="6" t="str">
        <f t="shared" si="23"/>
        <v/>
      </c>
      <c r="G1471" s="6" t="str">
        <f>IF(B1471="","",股指期货基差分析!$N$11)</f>
        <v/>
      </c>
      <c r="H1471" s="6" t="str">
        <f>IF(B1471="","",股指期货基差分析!$L$11)</f>
        <v/>
      </c>
      <c r="I1471" s="10" t="str">
        <f>IF(B1471="","",股指期货基差分析!$D$11)</f>
        <v/>
      </c>
      <c r="L1471" s="43"/>
    </row>
    <row r="1472" spans="2:12" ht="15" customHeight="1" x14ac:dyDescent="0.2">
      <c r="B1472" s="7"/>
      <c r="C1472" s="5" t="str">
        <f>IF(B1472="","",[1]!s_dq_close(股指期货基差分析!$E$5,$B1472))</f>
        <v/>
      </c>
      <c r="D1472" s="5" t="str">
        <f>IF(B1472="","",[1]!s_dq_close(股指期货基差分析!$E$6,$B1472))</f>
        <v/>
      </c>
      <c r="E1472" s="5" t="e">
        <f ca="1">RANK(F1472,F:F)+COUNTIF(F$2:F1472,F1472)-1</f>
        <v>#VALUE!</v>
      </c>
      <c r="F1472" s="5" t="str">
        <f t="shared" si="23"/>
        <v/>
      </c>
      <c r="G1472" s="5" t="str">
        <f>IF(B1472="","",股指期货基差分析!$N$11)</f>
        <v/>
      </c>
      <c r="H1472" s="5" t="str">
        <f>IF(B1472="","",股指期货基差分析!$L$11)</f>
        <v/>
      </c>
      <c r="I1472" s="9" t="str">
        <f>IF(B1472="","",股指期货基差分析!$D$11)</f>
        <v/>
      </c>
      <c r="L1472" s="43"/>
    </row>
    <row r="1473" spans="2:12" ht="15" customHeight="1" x14ac:dyDescent="0.2">
      <c r="B1473" s="8"/>
      <c r="C1473" s="6" t="str">
        <f>IF(B1473="","",[1]!s_dq_close(股指期货基差分析!$E$5,$B1473))</f>
        <v/>
      </c>
      <c r="D1473" s="6" t="str">
        <f>IF(B1473="","",[1]!s_dq_close(股指期货基差分析!$E$6,$B1473))</f>
        <v/>
      </c>
      <c r="E1473" s="6" t="e">
        <f ca="1">RANK(F1473,F:F)+COUNTIF(F$2:F1473,F1473)-1</f>
        <v>#VALUE!</v>
      </c>
      <c r="F1473" s="6" t="str">
        <f t="shared" si="23"/>
        <v/>
      </c>
      <c r="G1473" s="6" t="str">
        <f>IF(B1473="","",股指期货基差分析!$N$11)</f>
        <v/>
      </c>
      <c r="H1473" s="6" t="str">
        <f>IF(B1473="","",股指期货基差分析!$L$11)</f>
        <v/>
      </c>
      <c r="I1473" s="10" t="str">
        <f>IF(B1473="","",股指期货基差分析!$D$11)</f>
        <v/>
      </c>
      <c r="L1473" s="43"/>
    </row>
    <row r="1474" spans="2:12" ht="15" customHeight="1" x14ac:dyDescent="0.2">
      <c r="B1474" s="7"/>
      <c r="C1474" s="5" t="str">
        <f>IF(B1474="","",[1]!s_dq_close(股指期货基差分析!$E$5,$B1474))</f>
        <v/>
      </c>
      <c r="D1474" s="5" t="str">
        <f>IF(B1474="","",[1]!s_dq_close(股指期货基差分析!$E$6,$B1474))</f>
        <v/>
      </c>
      <c r="E1474" s="5" t="e">
        <f ca="1">RANK(F1474,F:F)+COUNTIF(F$2:F1474,F1474)-1</f>
        <v>#VALUE!</v>
      </c>
      <c r="F1474" s="5" t="str">
        <f t="shared" ref="F1474:F1537" si="24">IF(B1474="","",D1474-C1474)</f>
        <v/>
      </c>
      <c r="G1474" s="5" t="str">
        <f>IF(B1474="","",股指期货基差分析!$N$11)</f>
        <v/>
      </c>
      <c r="H1474" s="5" t="str">
        <f>IF(B1474="","",股指期货基差分析!$L$11)</f>
        <v/>
      </c>
      <c r="I1474" s="9" t="str">
        <f>IF(B1474="","",股指期货基差分析!$D$11)</f>
        <v/>
      </c>
      <c r="L1474" s="43"/>
    </row>
    <row r="1475" spans="2:12" ht="15" customHeight="1" x14ac:dyDescent="0.2">
      <c r="B1475" s="8"/>
      <c r="C1475" s="6" t="str">
        <f>IF(B1475="","",[1]!s_dq_close(股指期货基差分析!$E$5,$B1475))</f>
        <v/>
      </c>
      <c r="D1475" s="6" t="str">
        <f>IF(B1475="","",[1]!s_dq_close(股指期货基差分析!$E$6,$B1475))</f>
        <v/>
      </c>
      <c r="E1475" s="6" t="e">
        <f ca="1">RANK(F1475,F:F)+COUNTIF(F$2:F1475,F1475)-1</f>
        <v>#VALUE!</v>
      </c>
      <c r="F1475" s="6" t="str">
        <f t="shared" si="24"/>
        <v/>
      </c>
      <c r="G1475" s="6" t="str">
        <f>IF(B1475="","",股指期货基差分析!$N$11)</f>
        <v/>
      </c>
      <c r="H1475" s="6" t="str">
        <f>IF(B1475="","",股指期货基差分析!$L$11)</f>
        <v/>
      </c>
      <c r="I1475" s="10" t="str">
        <f>IF(B1475="","",股指期货基差分析!$D$11)</f>
        <v/>
      </c>
      <c r="L1475" s="43"/>
    </row>
    <row r="1476" spans="2:12" ht="15" customHeight="1" x14ac:dyDescent="0.2">
      <c r="B1476" s="7"/>
      <c r="C1476" s="5" t="str">
        <f>IF(B1476="","",[1]!s_dq_close(股指期货基差分析!$E$5,$B1476))</f>
        <v/>
      </c>
      <c r="D1476" s="5" t="str">
        <f>IF(B1476="","",[1]!s_dq_close(股指期货基差分析!$E$6,$B1476))</f>
        <v/>
      </c>
      <c r="E1476" s="5" t="e">
        <f ca="1">RANK(F1476,F:F)+COUNTIF(F$2:F1476,F1476)-1</f>
        <v>#VALUE!</v>
      </c>
      <c r="F1476" s="5" t="str">
        <f t="shared" si="24"/>
        <v/>
      </c>
      <c r="G1476" s="5" t="str">
        <f>IF(B1476="","",股指期货基差分析!$N$11)</f>
        <v/>
      </c>
      <c r="H1476" s="5" t="str">
        <f>IF(B1476="","",股指期货基差分析!$L$11)</f>
        <v/>
      </c>
      <c r="I1476" s="9" t="str">
        <f>IF(B1476="","",股指期货基差分析!$D$11)</f>
        <v/>
      </c>
      <c r="L1476" s="43"/>
    </row>
    <row r="1477" spans="2:12" ht="15" customHeight="1" x14ac:dyDescent="0.2">
      <c r="B1477" s="8"/>
      <c r="C1477" s="6" t="str">
        <f>IF(B1477="","",[1]!s_dq_close(股指期货基差分析!$E$5,$B1477))</f>
        <v/>
      </c>
      <c r="D1477" s="6" t="str">
        <f>IF(B1477="","",[1]!s_dq_close(股指期货基差分析!$E$6,$B1477))</f>
        <v/>
      </c>
      <c r="E1477" s="6" t="e">
        <f ca="1">RANK(F1477,F:F)+COUNTIF(F$2:F1477,F1477)-1</f>
        <v>#VALUE!</v>
      </c>
      <c r="F1477" s="6" t="str">
        <f t="shared" si="24"/>
        <v/>
      </c>
      <c r="G1477" s="6" t="str">
        <f>IF(B1477="","",股指期货基差分析!$N$11)</f>
        <v/>
      </c>
      <c r="H1477" s="6" t="str">
        <f>IF(B1477="","",股指期货基差分析!$L$11)</f>
        <v/>
      </c>
      <c r="I1477" s="10" t="str">
        <f>IF(B1477="","",股指期货基差分析!$D$11)</f>
        <v/>
      </c>
      <c r="L1477" s="43"/>
    </row>
    <row r="1478" spans="2:12" ht="15" customHeight="1" x14ac:dyDescent="0.2">
      <c r="B1478" s="7"/>
      <c r="C1478" s="5" t="str">
        <f>IF(B1478="","",[1]!s_dq_close(股指期货基差分析!$E$5,$B1478))</f>
        <v/>
      </c>
      <c r="D1478" s="5" t="str">
        <f>IF(B1478="","",[1]!s_dq_close(股指期货基差分析!$E$6,$B1478))</f>
        <v/>
      </c>
      <c r="E1478" s="5" t="e">
        <f ca="1">RANK(F1478,F:F)+COUNTIF(F$2:F1478,F1478)-1</f>
        <v>#VALUE!</v>
      </c>
      <c r="F1478" s="5" t="str">
        <f t="shared" si="24"/>
        <v/>
      </c>
      <c r="G1478" s="5" t="str">
        <f>IF(B1478="","",股指期货基差分析!$N$11)</f>
        <v/>
      </c>
      <c r="H1478" s="5" t="str">
        <f>IF(B1478="","",股指期货基差分析!$L$11)</f>
        <v/>
      </c>
      <c r="I1478" s="9" t="str">
        <f>IF(B1478="","",股指期货基差分析!$D$11)</f>
        <v/>
      </c>
      <c r="L1478" s="43"/>
    </row>
    <row r="1479" spans="2:12" ht="15" customHeight="1" x14ac:dyDescent="0.2">
      <c r="B1479" s="8"/>
      <c r="C1479" s="6" t="str">
        <f>IF(B1479="","",[1]!s_dq_close(股指期货基差分析!$E$5,$B1479))</f>
        <v/>
      </c>
      <c r="D1479" s="6" t="str">
        <f>IF(B1479="","",[1]!s_dq_close(股指期货基差分析!$E$6,$B1479))</f>
        <v/>
      </c>
      <c r="E1479" s="6" t="e">
        <f ca="1">RANK(F1479,F:F)+COUNTIF(F$2:F1479,F1479)-1</f>
        <v>#VALUE!</v>
      </c>
      <c r="F1479" s="6" t="str">
        <f t="shared" si="24"/>
        <v/>
      </c>
      <c r="G1479" s="6" t="str">
        <f>IF(B1479="","",股指期货基差分析!$N$11)</f>
        <v/>
      </c>
      <c r="H1479" s="6" t="str">
        <f>IF(B1479="","",股指期货基差分析!$L$11)</f>
        <v/>
      </c>
      <c r="I1479" s="10" t="str">
        <f>IF(B1479="","",股指期货基差分析!$D$11)</f>
        <v/>
      </c>
      <c r="L1479" s="43"/>
    </row>
    <row r="1480" spans="2:12" ht="15" customHeight="1" x14ac:dyDescent="0.2">
      <c r="B1480" s="7"/>
      <c r="C1480" s="5" t="str">
        <f>IF(B1480="","",[1]!s_dq_close(股指期货基差分析!$E$5,$B1480))</f>
        <v/>
      </c>
      <c r="D1480" s="5" t="str">
        <f>IF(B1480="","",[1]!s_dq_close(股指期货基差分析!$E$6,$B1480))</f>
        <v/>
      </c>
      <c r="E1480" s="5" t="e">
        <f ca="1">RANK(F1480,F:F)+COUNTIF(F$2:F1480,F1480)-1</f>
        <v>#VALUE!</v>
      </c>
      <c r="F1480" s="5" t="str">
        <f t="shared" si="24"/>
        <v/>
      </c>
      <c r="G1480" s="5" t="str">
        <f>IF(B1480="","",股指期货基差分析!$N$11)</f>
        <v/>
      </c>
      <c r="H1480" s="5" t="str">
        <f>IF(B1480="","",股指期货基差分析!$L$11)</f>
        <v/>
      </c>
      <c r="I1480" s="9" t="str">
        <f>IF(B1480="","",股指期货基差分析!$D$11)</f>
        <v/>
      </c>
      <c r="L1480" s="43"/>
    </row>
    <row r="1481" spans="2:12" ht="15" customHeight="1" x14ac:dyDescent="0.2">
      <c r="B1481" s="8"/>
      <c r="C1481" s="6" t="str">
        <f>IF(B1481="","",[1]!s_dq_close(股指期货基差分析!$E$5,$B1481))</f>
        <v/>
      </c>
      <c r="D1481" s="6" t="str">
        <f>IF(B1481="","",[1]!s_dq_close(股指期货基差分析!$E$6,$B1481))</f>
        <v/>
      </c>
      <c r="E1481" s="6" t="e">
        <f ca="1">RANK(F1481,F:F)+COUNTIF(F$2:F1481,F1481)-1</f>
        <v>#VALUE!</v>
      </c>
      <c r="F1481" s="6" t="str">
        <f t="shared" si="24"/>
        <v/>
      </c>
      <c r="G1481" s="6" t="str">
        <f>IF(B1481="","",股指期货基差分析!$N$11)</f>
        <v/>
      </c>
      <c r="H1481" s="6" t="str">
        <f>IF(B1481="","",股指期货基差分析!$L$11)</f>
        <v/>
      </c>
      <c r="I1481" s="10" t="str">
        <f>IF(B1481="","",股指期货基差分析!$D$11)</f>
        <v/>
      </c>
      <c r="L1481" s="43"/>
    </row>
    <row r="1482" spans="2:12" ht="15" customHeight="1" x14ac:dyDescent="0.2">
      <c r="B1482" s="7"/>
      <c r="C1482" s="5" t="str">
        <f>IF(B1482="","",[1]!s_dq_close(股指期货基差分析!$E$5,$B1482))</f>
        <v/>
      </c>
      <c r="D1482" s="5" t="str">
        <f>IF(B1482="","",[1]!s_dq_close(股指期货基差分析!$E$6,$B1482))</f>
        <v/>
      </c>
      <c r="E1482" s="5" t="e">
        <f ca="1">RANK(F1482,F:F)+COUNTIF(F$2:F1482,F1482)-1</f>
        <v>#VALUE!</v>
      </c>
      <c r="F1482" s="5" t="str">
        <f t="shared" si="24"/>
        <v/>
      </c>
      <c r="G1482" s="5" t="str">
        <f>IF(B1482="","",股指期货基差分析!$N$11)</f>
        <v/>
      </c>
      <c r="H1482" s="5" t="str">
        <f>IF(B1482="","",股指期货基差分析!$L$11)</f>
        <v/>
      </c>
      <c r="I1482" s="9" t="str">
        <f>IF(B1482="","",股指期货基差分析!$D$11)</f>
        <v/>
      </c>
      <c r="L1482" s="43"/>
    </row>
    <row r="1483" spans="2:12" ht="15" customHeight="1" x14ac:dyDescent="0.2">
      <c r="B1483" s="8"/>
      <c r="C1483" s="6" t="str">
        <f>IF(B1483="","",[1]!s_dq_close(股指期货基差分析!$E$5,$B1483))</f>
        <v/>
      </c>
      <c r="D1483" s="6" t="str">
        <f>IF(B1483="","",[1]!s_dq_close(股指期货基差分析!$E$6,$B1483))</f>
        <v/>
      </c>
      <c r="E1483" s="6" t="e">
        <f ca="1">RANK(F1483,F:F)+COUNTIF(F$2:F1483,F1483)-1</f>
        <v>#VALUE!</v>
      </c>
      <c r="F1483" s="6" t="str">
        <f t="shared" si="24"/>
        <v/>
      </c>
      <c r="G1483" s="6" t="str">
        <f>IF(B1483="","",股指期货基差分析!$N$11)</f>
        <v/>
      </c>
      <c r="H1483" s="6" t="str">
        <f>IF(B1483="","",股指期货基差分析!$L$11)</f>
        <v/>
      </c>
      <c r="I1483" s="10" t="str">
        <f>IF(B1483="","",股指期货基差分析!$D$11)</f>
        <v/>
      </c>
      <c r="L1483" s="43"/>
    </row>
    <row r="1484" spans="2:12" ht="15" customHeight="1" x14ac:dyDescent="0.2">
      <c r="B1484" s="7"/>
      <c r="C1484" s="5" t="str">
        <f>IF(B1484="","",[1]!s_dq_close(股指期货基差分析!$E$5,$B1484))</f>
        <v/>
      </c>
      <c r="D1484" s="5" t="str">
        <f>IF(B1484="","",[1]!s_dq_close(股指期货基差分析!$E$6,$B1484))</f>
        <v/>
      </c>
      <c r="E1484" s="5" t="e">
        <f ca="1">RANK(F1484,F:F)+COUNTIF(F$2:F1484,F1484)-1</f>
        <v>#VALUE!</v>
      </c>
      <c r="F1484" s="5" t="str">
        <f t="shared" si="24"/>
        <v/>
      </c>
      <c r="G1484" s="5" t="str">
        <f>IF(B1484="","",股指期货基差分析!$N$11)</f>
        <v/>
      </c>
      <c r="H1484" s="5" t="str">
        <f>IF(B1484="","",股指期货基差分析!$L$11)</f>
        <v/>
      </c>
      <c r="I1484" s="9" t="str">
        <f>IF(B1484="","",股指期货基差分析!$D$11)</f>
        <v/>
      </c>
      <c r="L1484" s="43"/>
    </row>
    <row r="1485" spans="2:12" ht="15" customHeight="1" x14ac:dyDescent="0.2">
      <c r="B1485" s="8"/>
      <c r="C1485" s="6" t="str">
        <f>IF(B1485="","",[1]!s_dq_close(股指期货基差分析!$E$5,$B1485))</f>
        <v/>
      </c>
      <c r="D1485" s="6" t="str">
        <f>IF(B1485="","",[1]!s_dq_close(股指期货基差分析!$E$6,$B1485))</f>
        <v/>
      </c>
      <c r="E1485" s="6" t="e">
        <f ca="1">RANK(F1485,F:F)+COUNTIF(F$2:F1485,F1485)-1</f>
        <v>#VALUE!</v>
      </c>
      <c r="F1485" s="6" t="str">
        <f t="shared" si="24"/>
        <v/>
      </c>
      <c r="G1485" s="6" t="str">
        <f>IF(B1485="","",股指期货基差分析!$N$11)</f>
        <v/>
      </c>
      <c r="H1485" s="6" t="str">
        <f>IF(B1485="","",股指期货基差分析!$L$11)</f>
        <v/>
      </c>
      <c r="I1485" s="10" t="str">
        <f>IF(B1485="","",股指期货基差分析!$D$11)</f>
        <v/>
      </c>
      <c r="L1485" s="43"/>
    </row>
    <row r="1486" spans="2:12" ht="15" customHeight="1" x14ac:dyDescent="0.2">
      <c r="B1486" s="7"/>
      <c r="C1486" s="5" t="str">
        <f>IF(B1486="","",[1]!s_dq_close(股指期货基差分析!$E$5,$B1486))</f>
        <v/>
      </c>
      <c r="D1486" s="5" t="str">
        <f>IF(B1486="","",[1]!s_dq_close(股指期货基差分析!$E$6,$B1486))</f>
        <v/>
      </c>
      <c r="E1486" s="5" t="e">
        <f ca="1">RANK(F1486,F:F)+COUNTIF(F$2:F1486,F1486)-1</f>
        <v>#VALUE!</v>
      </c>
      <c r="F1486" s="5" t="str">
        <f t="shared" si="24"/>
        <v/>
      </c>
      <c r="G1486" s="5" t="str">
        <f>IF(B1486="","",股指期货基差分析!$N$11)</f>
        <v/>
      </c>
      <c r="H1486" s="5" t="str">
        <f>IF(B1486="","",股指期货基差分析!$L$11)</f>
        <v/>
      </c>
      <c r="I1486" s="9" t="str">
        <f>IF(B1486="","",股指期货基差分析!$D$11)</f>
        <v/>
      </c>
      <c r="L1486" s="43"/>
    </row>
    <row r="1487" spans="2:12" ht="15" customHeight="1" x14ac:dyDescent="0.2">
      <c r="B1487" s="8"/>
      <c r="C1487" s="6" t="str">
        <f>IF(B1487="","",[1]!s_dq_close(股指期货基差分析!$E$5,$B1487))</f>
        <v/>
      </c>
      <c r="D1487" s="6" t="str">
        <f>IF(B1487="","",[1]!s_dq_close(股指期货基差分析!$E$6,$B1487))</f>
        <v/>
      </c>
      <c r="E1487" s="6" t="e">
        <f ca="1">RANK(F1487,F:F)+COUNTIF(F$2:F1487,F1487)-1</f>
        <v>#VALUE!</v>
      </c>
      <c r="F1487" s="6" t="str">
        <f t="shared" si="24"/>
        <v/>
      </c>
      <c r="G1487" s="6" t="str">
        <f>IF(B1487="","",股指期货基差分析!$N$11)</f>
        <v/>
      </c>
      <c r="H1487" s="6" t="str">
        <f>IF(B1487="","",股指期货基差分析!$L$11)</f>
        <v/>
      </c>
      <c r="I1487" s="10" t="str">
        <f>IF(B1487="","",股指期货基差分析!$D$11)</f>
        <v/>
      </c>
      <c r="L1487" s="43"/>
    </row>
    <row r="1488" spans="2:12" ht="15" customHeight="1" x14ac:dyDescent="0.2">
      <c r="B1488" s="7"/>
      <c r="C1488" s="5" t="str">
        <f>IF(B1488="","",[1]!s_dq_close(股指期货基差分析!$E$5,$B1488))</f>
        <v/>
      </c>
      <c r="D1488" s="5" t="str">
        <f>IF(B1488="","",[1]!s_dq_close(股指期货基差分析!$E$6,$B1488))</f>
        <v/>
      </c>
      <c r="E1488" s="5" t="e">
        <f ca="1">RANK(F1488,F:F)+COUNTIF(F$2:F1488,F1488)-1</f>
        <v>#VALUE!</v>
      </c>
      <c r="F1488" s="5" t="str">
        <f t="shared" si="24"/>
        <v/>
      </c>
      <c r="G1488" s="5" t="str">
        <f>IF(B1488="","",股指期货基差分析!$N$11)</f>
        <v/>
      </c>
      <c r="H1488" s="5" t="str">
        <f>IF(B1488="","",股指期货基差分析!$L$11)</f>
        <v/>
      </c>
      <c r="I1488" s="9" t="str">
        <f>IF(B1488="","",股指期货基差分析!$D$11)</f>
        <v/>
      </c>
      <c r="L1488" s="43"/>
    </row>
    <row r="1489" spans="2:12" ht="15" customHeight="1" x14ac:dyDescent="0.2">
      <c r="B1489" s="8"/>
      <c r="C1489" s="6" t="str">
        <f>IF(B1489="","",[1]!s_dq_close(股指期货基差分析!$E$5,$B1489))</f>
        <v/>
      </c>
      <c r="D1489" s="6" t="str">
        <f>IF(B1489="","",[1]!s_dq_close(股指期货基差分析!$E$6,$B1489))</f>
        <v/>
      </c>
      <c r="E1489" s="6" t="e">
        <f ca="1">RANK(F1489,F:F)+COUNTIF(F$2:F1489,F1489)-1</f>
        <v>#VALUE!</v>
      </c>
      <c r="F1489" s="6" t="str">
        <f t="shared" si="24"/>
        <v/>
      </c>
      <c r="G1489" s="6" t="str">
        <f>IF(B1489="","",股指期货基差分析!$N$11)</f>
        <v/>
      </c>
      <c r="H1489" s="6" t="str">
        <f>IF(B1489="","",股指期货基差分析!$L$11)</f>
        <v/>
      </c>
      <c r="I1489" s="10" t="str">
        <f>IF(B1489="","",股指期货基差分析!$D$11)</f>
        <v/>
      </c>
      <c r="L1489" s="43"/>
    </row>
    <row r="1490" spans="2:12" ht="15" customHeight="1" x14ac:dyDescent="0.2">
      <c r="B1490" s="7"/>
      <c r="C1490" s="5" t="str">
        <f>IF(B1490="","",[1]!s_dq_close(股指期货基差分析!$E$5,$B1490))</f>
        <v/>
      </c>
      <c r="D1490" s="5" t="str">
        <f>IF(B1490="","",[1]!s_dq_close(股指期货基差分析!$E$6,$B1490))</f>
        <v/>
      </c>
      <c r="E1490" s="5" t="e">
        <f ca="1">RANK(F1490,F:F)+COUNTIF(F$2:F1490,F1490)-1</f>
        <v>#VALUE!</v>
      </c>
      <c r="F1490" s="5" t="str">
        <f t="shared" si="24"/>
        <v/>
      </c>
      <c r="G1490" s="5" t="str">
        <f>IF(B1490="","",股指期货基差分析!$N$11)</f>
        <v/>
      </c>
      <c r="H1490" s="5" t="str">
        <f>IF(B1490="","",股指期货基差分析!$L$11)</f>
        <v/>
      </c>
      <c r="I1490" s="9" t="str">
        <f>IF(B1490="","",股指期货基差分析!$D$11)</f>
        <v/>
      </c>
      <c r="L1490" s="43"/>
    </row>
    <row r="1491" spans="2:12" ht="15" customHeight="1" x14ac:dyDescent="0.2">
      <c r="B1491" s="8"/>
      <c r="C1491" s="6" t="str">
        <f>IF(B1491="","",[1]!s_dq_close(股指期货基差分析!$E$5,$B1491))</f>
        <v/>
      </c>
      <c r="D1491" s="6" t="str">
        <f>IF(B1491="","",[1]!s_dq_close(股指期货基差分析!$E$6,$B1491))</f>
        <v/>
      </c>
      <c r="E1491" s="6" t="e">
        <f ca="1">RANK(F1491,F:F)+COUNTIF(F$2:F1491,F1491)-1</f>
        <v>#VALUE!</v>
      </c>
      <c r="F1491" s="6" t="str">
        <f t="shared" si="24"/>
        <v/>
      </c>
      <c r="G1491" s="6" t="str">
        <f>IF(B1491="","",股指期货基差分析!$N$11)</f>
        <v/>
      </c>
      <c r="H1491" s="6" t="str">
        <f>IF(B1491="","",股指期货基差分析!$L$11)</f>
        <v/>
      </c>
      <c r="I1491" s="10" t="str">
        <f>IF(B1491="","",股指期货基差分析!$D$11)</f>
        <v/>
      </c>
      <c r="L1491" s="43"/>
    </row>
    <row r="1492" spans="2:12" ht="15" customHeight="1" x14ac:dyDescent="0.2">
      <c r="B1492" s="7"/>
      <c r="C1492" s="5" t="str">
        <f>IF(B1492="","",[1]!s_dq_close(股指期货基差分析!$E$5,$B1492))</f>
        <v/>
      </c>
      <c r="D1492" s="5" t="str">
        <f>IF(B1492="","",[1]!s_dq_close(股指期货基差分析!$E$6,$B1492))</f>
        <v/>
      </c>
      <c r="E1492" s="5" t="e">
        <f ca="1">RANK(F1492,F:F)+COUNTIF(F$2:F1492,F1492)-1</f>
        <v>#VALUE!</v>
      </c>
      <c r="F1492" s="5" t="str">
        <f t="shared" si="24"/>
        <v/>
      </c>
      <c r="G1492" s="5" t="str">
        <f>IF(B1492="","",股指期货基差分析!$N$11)</f>
        <v/>
      </c>
      <c r="H1492" s="5" t="str">
        <f>IF(B1492="","",股指期货基差分析!$L$11)</f>
        <v/>
      </c>
      <c r="I1492" s="9" t="str">
        <f>IF(B1492="","",股指期货基差分析!$D$11)</f>
        <v/>
      </c>
      <c r="L1492" s="43"/>
    </row>
    <row r="1493" spans="2:12" ht="15" customHeight="1" x14ac:dyDescent="0.2">
      <c r="B1493" s="8"/>
      <c r="C1493" s="6" t="str">
        <f>IF(B1493="","",[1]!s_dq_close(股指期货基差分析!$E$5,$B1493))</f>
        <v/>
      </c>
      <c r="D1493" s="6" t="str">
        <f>IF(B1493="","",[1]!s_dq_close(股指期货基差分析!$E$6,$B1493))</f>
        <v/>
      </c>
      <c r="E1493" s="6" t="e">
        <f ca="1">RANK(F1493,F:F)+COUNTIF(F$2:F1493,F1493)-1</f>
        <v>#VALUE!</v>
      </c>
      <c r="F1493" s="6" t="str">
        <f t="shared" si="24"/>
        <v/>
      </c>
      <c r="G1493" s="6" t="str">
        <f>IF(B1493="","",股指期货基差分析!$N$11)</f>
        <v/>
      </c>
      <c r="H1493" s="6" t="str">
        <f>IF(B1493="","",股指期货基差分析!$L$11)</f>
        <v/>
      </c>
      <c r="I1493" s="10" t="str">
        <f>IF(B1493="","",股指期货基差分析!$D$11)</f>
        <v/>
      </c>
      <c r="L1493" s="43"/>
    </row>
    <row r="1494" spans="2:12" ht="15" customHeight="1" x14ac:dyDescent="0.2">
      <c r="B1494" s="7"/>
      <c r="C1494" s="5" t="str">
        <f>IF(B1494="","",[1]!s_dq_close(股指期货基差分析!$E$5,$B1494))</f>
        <v/>
      </c>
      <c r="D1494" s="5" t="str">
        <f>IF(B1494="","",[1]!s_dq_close(股指期货基差分析!$E$6,$B1494))</f>
        <v/>
      </c>
      <c r="E1494" s="5" t="e">
        <f ca="1">RANK(F1494,F:F)+COUNTIF(F$2:F1494,F1494)-1</f>
        <v>#VALUE!</v>
      </c>
      <c r="F1494" s="5" t="str">
        <f t="shared" si="24"/>
        <v/>
      </c>
      <c r="G1494" s="5" t="str">
        <f>IF(B1494="","",股指期货基差分析!$N$11)</f>
        <v/>
      </c>
      <c r="H1494" s="5" t="str">
        <f>IF(B1494="","",股指期货基差分析!$L$11)</f>
        <v/>
      </c>
      <c r="I1494" s="9" t="str">
        <f>IF(B1494="","",股指期货基差分析!$D$11)</f>
        <v/>
      </c>
      <c r="L1494" s="43"/>
    </row>
    <row r="1495" spans="2:12" ht="15" customHeight="1" x14ac:dyDescent="0.2">
      <c r="B1495" s="8"/>
      <c r="C1495" s="6" t="str">
        <f>IF(B1495="","",[1]!s_dq_close(股指期货基差分析!$E$5,$B1495))</f>
        <v/>
      </c>
      <c r="D1495" s="6" t="str">
        <f>IF(B1495="","",[1]!s_dq_close(股指期货基差分析!$E$6,$B1495))</f>
        <v/>
      </c>
      <c r="E1495" s="6" t="e">
        <f ca="1">RANK(F1495,F:F)+COUNTIF(F$2:F1495,F1495)-1</f>
        <v>#VALUE!</v>
      </c>
      <c r="F1495" s="6" t="str">
        <f t="shared" si="24"/>
        <v/>
      </c>
      <c r="G1495" s="6" t="str">
        <f>IF(B1495="","",股指期货基差分析!$N$11)</f>
        <v/>
      </c>
      <c r="H1495" s="6" t="str">
        <f>IF(B1495="","",股指期货基差分析!$L$11)</f>
        <v/>
      </c>
      <c r="I1495" s="10" t="str">
        <f>IF(B1495="","",股指期货基差分析!$D$11)</f>
        <v/>
      </c>
      <c r="L1495" s="43"/>
    </row>
    <row r="1496" spans="2:12" ht="15" customHeight="1" x14ac:dyDescent="0.2">
      <c r="B1496" s="7"/>
      <c r="C1496" s="5" t="str">
        <f>IF(B1496="","",[1]!s_dq_close(股指期货基差分析!$E$5,$B1496))</f>
        <v/>
      </c>
      <c r="D1496" s="5" t="str">
        <f>IF(B1496="","",[1]!s_dq_close(股指期货基差分析!$E$6,$B1496))</f>
        <v/>
      </c>
      <c r="E1496" s="5" t="e">
        <f ca="1">RANK(F1496,F:F)+COUNTIF(F$2:F1496,F1496)-1</f>
        <v>#VALUE!</v>
      </c>
      <c r="F1496" s="5" t="str">
        <f t="shared" si="24"/>
        <v/>
      </c>
      <c r="G1496" s="5" t="str">
        <f>IF(B1496="","",股指期货基差分析!$N$11)</f>
        <v/>
      </c>
      <c r="H1496" s="5" t="str">
        <f>IF(B1496="","",股指期货基差分析!$L$11)</f>
        <v/>
      </c>
      <c r="I1496" s="9" t="str">
        <f>IF(B1496="","",股指期货基差分析!$D$11)</f>
        <v/>
      </c>
      <c r="L1496" s="43"/>
    </row>
    <row r="1497" spans="2:12" ht="15" customHeight="1" x14ac:dyDescent="0.2">
      <c r="B1497" s="8"/>
      <c r="C1497" s="6" t="str">
        <f>IF(B1497="","",[1]!s_dq_close(股指期货基差分析!$E$5,$B1497))</f>
        <v/>
      </c>
      <c r="D1497" s="6" t="str">
        <f>IF(B1497="","",[1]!s_dq_close(股指期货基差分析!$E$6,$B1497))</f>
        <v/>
      </c>
      <c r="E1497" s="6" t="e">
        <f ca="1">RANK(F1497,F:F)+COUNTIF(F$2:F1497,F1497)-1</f>
        <v>#VALUE!</v>
      </c>
      <c r="F1497" s="6" t="str">
        <f t="shared" si="24"/>
        <v/>
      </c>
      <c r="G1497" s="6" t="str">
        <f>IF(B1497="","",股指期货基差分析!$N$11)</f>
        <v/>
      </c>
      <c r="H1497" s="6" t="str">
        <f>IF(B1497="","",股指期货基差分析!$L$11)</f>
        <v/>
      </c>
      <c r="I1497" s="10" t="str">
        <f>IF(B1497="","",股指期货基差分析!$D$11)</f>
        <v/>
      </c>
      <c r="L1497" s="43"/>
    </row>
    <row r="1498" spans="2:12" ht="15" customHeight="1" x14ac:dyDescent="0.2">
      <c r="B1498" s="7"/>
      <c r="C1498" s="5" t="str">
        <f>IF(B1498="","",[1]!s_dq_close(股指期货基差分析!$E$5,$B1498))</f>
        <v/>
      </c>
      <c r="D1498" s="5" t="str">
        <f>IF(B1498="","",[1]!s_dq_close(股指期货基差分析!$E$6,$B1498))</f>
        <v/>
      </c>
      <c r="E1498" s="5" t="e">
        <f ca="1">RANK(F1498,F:F)+COUNTIF(F$2:F1498,F1498)-1</f>
        <v>#VALUE!</v>
      </c>
      <c r="F1498" s="5" t="str">
        <f t="shared" si="24"/>
        <v/>
      </c>
      <c r="G1498" s="5" t="str">
        <f>IF(B1498="","",股指期货基差分析!$N$11)</f>
        <v/>
      </c>
      <c r="H1498" s="5" t="str">
        <f>IF(B1498="","",股指期货基差分析!$L$11)</f>
        <v/>
      </c>
      <c r="I1498" s="9" t="str">
        <f>IF(B1498="","",股指期货基差分析!$D$11)</f>
        <v/>
      </c>
      <c r="L1498" s="43"/>
    </row>
    <row r="1499" spans="2:12" ht="15" customHeight="1" x14ac:dyDescent="0.2">
      <c r="B1499" s="8"/>
      <c r="C1499" s="6" t="str">
        <f>IF(B1499="","",[1]!s_dq_close(股指期货基差分析!$E$5,$B1499))</f>
        <v/>
      </c>
      <c r="D1499" s="6" t="str">
        <f>IF(B1499="","",[1]!s_dq_close(股指期货基差分析!$E$6,$B1499))</f>
        <v/>
      </c>
      <c r="E1499" s="6" t="e">
        <f ca="1">RANK(F1499,F:F)+COUNTIF(F$2:F1499,F1499)-1</f>
        <v>#VALUE!</v>
      </c>
      <c r="F1499" s="6" t="str">
        <f t="shared" si="24"/>
        <v/>
      </c>
      <c r="G1499" s="6" t="str">
        <f>IF(B1499="","",股指期货基差分析!$N$11)</f>
        <v/>
      </c>
      <c r="H1499" s="6" t="str">
        <f>IF(B1499="","",股指期货基差分析!$L$11)</f>
        <v/>
      </c>
      <c r="I1499" s="10" t="str">
        <f>IF(B1499="","",股指期货基差分析!$D$11)</f>
        <v/>
      </c>
      <c r="L1499" s="43"/>
    </row>
    <row r="1500" spans="2:12" ht="15" customHeight="1" x14ac:dyDescent="0.2">
      <c r="B1500" s="7"/>
      <c r="C1500" s="5" t="str">
        <f>IF(B1500="","",[1]!s_dq_close(股指期货基差分析!$E$5,$B1500))</f>
        <v/>
      </c>
      <c r="D1500" s="5" t="str">
        <f>IF(B1500="","",[1]!s_dq_close(股指期货基差分析!$E$6,$B1500))</f>
        <v/>
      </c>
      <c r="E1500" s="5" t="e">
        <f ca="1">RANK(F1500,F:F)+COUNTIF(F$2:F1500,F1500)-1</f>
        <v>#VALUE!</v>
      </c>
      <c r="F1500" s="5" t="str">
        <f t="shared" si="24"/>
        <v/>
      </c>
      <c r="G1500" s="5" t="str">
        <f>IF(B1500="","",股指期货基差分析!$N$11)</f>
        <v/>
      </c>
      <c r="H1500" s="5" t="str">
        <f>IF(B1500="","",股指期货基差分析!$L$11)</f>
        <v/>
      </c>
      <c r="I1500" s="9" t="str">
        <f>IF(B1500="","",股指期货基差分析!$D$11)</f>
        <v/>
      </c>
      <c r="L1500" s="43"/>
    </row>
    <row r="1501" spans="2:12" ht="15" customHeight="1" x14ac:dyDescent="0.2">
      <c r="B1501" s="8"/>
      <c r="C1501" s="6" t="str">
        <f>IF(B1501="","",[1]!s_dq_close(股指期货基差分析!$E$5,$B1501))</f>
        <v/>
      </c>
      <c r="D1501" s="6" t="str">
        <f>IF(B1501="","",[1]!s_dq_close(股指期货基差分析!$E$6,$B1501))</f>
        <v/>
      </c>
      <c r="E1501" s="6" t="e">
        <f ca="1">RANK(F1501,F:F)+COUNTIF(F$2:F1501,F1501)-1</f>
        <v>#VALUE!</v>
      </c>
      <c r="F1501" s="6" t="str">
        <f t="shared" si="24"/>
        <v/>
      </c>
      <c r="G1501" s="6" t="str">
        <f>IF(B1501="","",股指期货基差分析!$N$11)</f>
        <v/>
      </c>
      <c r="H1501" s="6" t="str">
        <f>IF(B1501="","",股指期货基差分析!$L$11)</f>
        <v/>
      </c>
      <c r="I1501" s="10" t="str">
        <f>IF(B1501="","",股指期货基差分析!$D$11)</f>
        <v/>
      </c>
      <c r="L1501" s="43"/>
    </row>
    <row r="1502" spans="2:12" ht="15" customHeight="1" x14ac:dyDescent="0.2">
      <c r="B1502" s="7"/>
      <c r="C1502" s="5" t="str">
        <f>IF(B1502="","",[1]!s_dq_close(股指期货基差分析!$E$5,$B1502))</f>
        <v/>
      </c>
      <c r="D1502" s="5" t="str">
        <f>IF(B1502="","",[1]!s_dq_close(股指期货基差分析!$E$6,$B1502))</f>
        <v/>
      </c>
      <c r="E1502" s="5" t="e">
        <f ca="1">RANK(F1502,F:F)+COUNTIF(F$2:F1502,F1502)-1</f>
        <v>#VALUE!</v>
      </c>
      <c r="F1502" s="5" t="str">
        <f t="shared" si="24"/>
        <v/>
      </c>
      <c r="G1502" s="5" t="str">
        <f>IF(B1502="","",股指期货基差分析!$N$11)</f>
        <v/>
      </c>
      <c r="H1502" s="5" t="str">
        <f>IF(B1502="","",股指期货基差分析!$L$11)</f>
        <v/>
      </c>
      <c r="I1502" s="9" t="str">
        <f>IF(B1502="","",股指期货基差分析!$D$11)</f>
        <v/>
      </c>
      <c r="L1502" s="43"/>
    </row>
    <row r="1503" spans="2:12" ht="15" customHeight="1" x14ac:dyDescent="0.2">
      <c r="B1503" s="8"/>
      <c r="C1503" s="6" t="str">
        <f>IF(B1503="","",[1]!s_dq_close(股指期货基差分析!$E$5,$B1503))</f>
        <v/>
      </c>
      <c r="D1503" s="6" t="str">
        <f>IF(B1503="","",[1]!s_dq_close(股指期货基差分析!$E$6,$B1503))</f>
        <v/>
      </c>
      <c r="E1503" s="6" t="e">
        <f ca="1">RANK(F1503,F:F)+COUNTIF(F$2:F1503,F1503)-1</f>
        <v>#VALUE!</v>
      </c>
      <c r="F1503" s="6" t="str">
        <f t="shared" si="24"/>
        <v/>
      </c>
      <c r="G1503" s="6" t="str">
        <f>IF(B1503="","",股指期货基差分析!$N$11)</f>
        <v/>
      </c>
      <c r="H1503" s="6" t="str">
        <f>IF(B1503="","",股指期货基差分析!$L$11)</f>
        <v/>
      </c>
      <c r="I1503" s="10" t="str">
        <f>IF(B1503="","",股指期货基差分析!$D$11)</f>
        <v/>
      </c>
      <c r="L1503" s="43"/>
    </row>
    <row r="1504" spans="2:12" ht="15" customHeight="1" x14ac:dyDescent="0.2">
      <c r="B1504" s="7"/>
      <c r="C1504" s="5" t="str">
        <f>IF(B1504="","",[1]!s_dq_close(股指期货基差分析!$E$5,$B1504))</f>
        <v/>
      </c>
      <c r="D1504" s="5" t="str">
        <f>IF(B1504="","",[1]!s_dq_close(股指期货基差分析!$E$6,$B1504))</f>
        <v/>
      </c>
      <c r="E1504" s="5" t="e">
        <f ca="1">RANK(F1504,F:F)+COUNTIF(F$2:F1504,F1504)-1</f>
        <v>#VALUE!</v>
      </c>
      <c r="F1504" s="5" t="str">
        <f t="shared" si="24"/>
        <v/>
      </c>
      <c r="G1504" s="5" t="str">
        <f>IF(B1504="","",股指期货基差分析!$N$11)</f>
        <v/>
      </c>
      <c r="H1504" s="5" t="str">
        <f>IF(B1504="","",股指期货基差分析!$L$11)</f>
        <v/>
      </c>
      <c r="I1504" s="9" t="str">
        <f>IF(B1504="","",股指期货基差分析!$D$11)</f>
        <v/>
      </c>
      <c r="L1504" s="43"/>
    </row>
    <row r="1505" spans="2:12" ht="15" customHeight="1" x14ac:dyDescent="0.2">
      <c r="B1505" s="8"/>
      <c r="C1505" s="6" t="str">
        <f>IF(B1505="","",[1]!s_dq_close(股指期货基差分析!$E$5,$B1505))</f>
        <v/>
      </c>
      <c r="D1505" s="6" t="str">
        <f>IF(B1505="","",[1]!s_dq_close(股指期货基差分析!$E$6,$B1505))</f>
        <v/>
      </c>
      <c r="E1505" s="6" t="e">
        <f ca="1">RANK(F1505,F:F)+COUNTIF(F$2:F1505,F1505)-1</f>
        <v>#VALUE!</v>
      </c>
      <c r="F1505" s="6" t="str">
        <f t="shared" si="24"/>
        <v/>
      </c>
      <c r="G1505" s="6" t="str">
        <f>IF(B1505="","",股指期货基差分析!$N$11)</f>
        <v/>
      </c>
      <c r="H1505" s="6" t="str">
        <f>IF(B1505="","",股指期货基差分析!$L$11)</f>
        <v/>
      </c>
      <c r="I1505" s="10" t="str">
        <f>IF(B1505="","",股指期货基差分析!$D$11)</f>
        <v/>
      </c>
      <c r="L1505" s="43"/>
    </row>
    <row r="1506" spans="2:12" ht="15" customHeight="1" x14ac:dyDescent="0.2">
      <c r="B1506" s="7"/>
      <c r="C1506" s="5" t="str">
        <f>IF(B1506="","",[1]!s_dq_close(股指期货基差分析!$E$5,$B1506))</f>
        <v/>
      </c>
      <c r="D1506" s="5" t="str">
        <f>IF(B1506="","",[1]!s_dq_close(股指期货基差分析!$E$6,$B1506))</f>
        <v/>
      </c>
      <c r="E1506" s="5" t="e">
        <f ca="1">RANK(F1506,F:F)+COUNTIF(F$2:F1506,F1506)-1</f>
        <v>#VALUE!</v>
      </c>
      <c r="F1506" s="5" t="str">
        <f t="shared" si="24"/>
        <v/>
      </c>
      <c r="G1506" s="5" t="str">
        <f>IF(B1506="","",股指期货基差分析!$N$11)</f>
        <v/>
      </c>
      <c r="H1506" s="5" t="str">
        <f>IF(B1506="","",股指期货基差分析!$L$11)</f>
        <v/>
      </c>
      <c r="I1506" s="9" t="str">
        <f>IF(B1506="","",股指期货基差分析!$D$11)</f>
        <v/>
      </c>
      <c r="L1506" s="43"/>
    </row>
    <row r="1507" spans="2:12" ht="15" customHeight="1" x14ac:dyDescent="0.2">
      <c r="B1507" s="8"/>
      <c r="C1507" s="6" t="str">
        <f>IF(B1507="","",[1]!s_dq_close(股指期货基差分析!$E$5,$B1507))</f>
        <v/>
      </c>
      <c r="D1507" s="6" t="str">
        <f>IF(B1507="","",[1]!s_dq_close(股指期货基差分析!$E$6,$B1507))</f>
        <v/>
      </c>
      <c r="E1507" s="6" t="e">
        <f ca="1">RANK(F1507,F:F)+COUNTIF(F$2:F1507,F1507)-1</f>
        <v>#VALUE!</v>
      </c>
      <c r="F1507" s="6" t="str">
        <f t="shared" si="24"/>
        <v/>
      </c>
      <c r="G1507" s="6" t="str">
        <f>IF(B1507="","",股指期货基差分析!$N$11)</f>
        <v/>
      </c>
      <c r="H1507" s="6" t="str">
        <f>IF(B1507="","",股指期货基差分析!$L$11)</f>
        <v/>
      </c>
      <c r="I1507" s="10" t="str">
        <f>IF(B1507="","",股指期货基差分析!$D$11)</f>
        <v/>
      </c>
      <c r="L1507" s="43"/>
    </row>
    <row r="1508" spans="2:12" ht="15" customHeight="1" x14ac:dyDescent="0.2">
      <c r="B1508" s="7"/>
      <c r="C1508" s="5" t="str">
        <f>IF(B1508="","",[1]!s_dq_close(股指期货基差分析!$E$5,$B1508))</f>
        <v/>
      </c>
      <c r="D1508" s="5" t="str">
        <f>IF(B1508="","",[1]!s_dq_close(股指期货基差分析!$E$6,$B1508))</f>
        <v/>
      </c>
      <c r="E1508" s="5" t="e">
        <f ca="1">RANK(F1508,F:F)+COUNTIF(F$2:F1508,F1508)-1</f>
        <v>#VALUE!</v>
      </c>
      <c r="F1508" s="5" t="str">
        <f t="shared" si="24"/>
        <v/>
      </c>
      <c r="G1508" s="5" t="str">
        <f>IF(B1508="","",股指期货基差分析!$N$11)</f>
        <v/>
      </c>
      <c r="H1508" s="5" t="str">
        <f>IF(B1508="","",股指期货基差分析!$L$11)</f>
        <v/>
      </c>
      <c r="I1508" s="9" t="str">
        <f>IF(B1508="","",股指期货基差分析!$D$11)</f>
        <v/>
      </c>
      <c r="L1508" s="43"/>
    </row>
    <row r="1509" spans="2:12" ht="15" customHeight="1" x14ac:dyDescent="0.2">
      <c r="B1509" s="8"/>
      <c r="C1509" s="6" t="str">
        <f>IF(B1509="","",[1]!s_dq_close(股指期货基差分析!$E$5,$B1509))</f>
        <v/>
      </c>
      <c r="D1509" s="6" t="str">
        <f>IF(B1509="","",[1]!s_dq_close(股指期货基差分析!$E$6,$B1509))</f>
        <v/>
      </c>
      <c r="E1509" s="6" t="e">
        <f ca="1">RANK(F1509,F:F)+COUNTIF(F$2:F1509,F1509)-1</f>
        <v>#VALUE!</v>
      </c>
      <c r="F1509" s="6" t="str">
        <f t="shared" si="24"/>
        <v/>
      </c>
      <c r="G1509" s="6" t="str">
        <f>IF(B1509="","",股指期货基差分析!$N$11)</f>
        <v/>
      </c>
      <c r="H1509" s="6" t="str">
        <f>IF(B1509="","",股指期货基差分析!$L$11)</f>
        <v/>
      </c>
      <c r="I1509" s="10" t="str">
        <f>IF(B1509="","",股指期货基差分析!$D$11)</f>
        <v/>
      </c>
      <c r="L1509" s="43"/>
    </row>
    <row r="1510" spans="2:12" ht="15" customHeight="1" x14ac:dyDescent="0.2">
      <c r="B1510" s="7"/>
      <c r="C1510" s="5" t="str">
        <f>IF(B1510="","",[1]!s_dq_close(股指期货基差分析!$E$5,$B1510))</f>
        <v/>
      </c>
      <c r="D1510" s="5" t="str">
        <f>IF(B1510="","",[1]!s_dq_close(股指期货基差分析!$E$6,$B1510))</f>
        <v/>
      </c>
      <c r="E1510" s="5" t="e">
        <f ca="1">RANK(F1510,F:F)+COUNTIF(F$2:F1510,F1510)-1</f>
        <v>#VALUE!</v>
      </c>
      <c r="F1510" s="5" t="str">
        <f t="shared" si="24"/>
        <v/>
      </c>
      <c r="G1510" s="5" t="str">
        <f>IF(B1510="","",股指期货基差分析!$N$11)</f>
        <v/>
      </c>
      <c r="H1510" s="5" t="str">
        <f>IF(B1510="","",股指期货基差分析!$L$11)</f>
        <v/>
      </c>
      <c r="I1510" s="9" t="str">
        <f>IF(B1510="","",股指期货基差分析!$D$11)</f>
        <v/>
      </c>
      <c r="L1510" s="43"/>
    </row>
    <row r="1511" spans="2:12" ht="15" customHeight="1" x14ac:dyDescent="0.2">
      <c r="B1511" s="8"/>
      <c r="C1511" s="6" t="str">
        <f>IF(B1511="","",[1]!s_dq_close(股指期货基差分析!$E$5,$B1511))</f>
        <v/>
      </c>
      <c r="D1511" s="6" t="str">
        <f>IF(B1511="","",[1]!s_dq_close(股指期货基差分析!$E$6,$B1511))</f>
        <v/>
      </c>
      <c r="E1511" s="6" t="e">
        <f ca="1">RANK(F1511,F:F)+COUNTIF(F$2:F1511,F1511)-1</f>
        <v>#VALUE!</v>
      </c>
      <c r="F1511" s="6" t="str">
        <f t="shared" si="24"/>
        <v/>
      </c>
      <c r="G1511" s="6" t="str">
        <f>IF(B1511="","",股指期货基差分析!$N$11)</f>
        <v/>
      </c>
      <c r="H1511" s="6" t="str">
        <f>IF(B1511="","",股指期货基差分析!$L$11)</f>
        <v/>
      </c>
      <c r="I1511" s="10" t="str">
        <f>IF(B1511="","",股指期货基差分析!$D$11)</f>
        <v/>
      </c>
      <c r="L1511" s="43"/>
    </row>
    <row r="1512" spans="2:12" ht="15" customHeight="1" x14ac:dyDescent="0.2">
      <c r="B1512" s="7"/>
      <c r="C1512" s="5" t="str">
        <f>IF(B1512="","",[1]!s_dq_close(股指期货基差分析!$E$5,$B1512))</f>
        <v/>
      </c>
      <c r="D1512" s="5" t="str">
        <f>IF(B1512="","",[1]!s_dq_close(股指期货基差分析!$E$6,$B1512))</f>
        <v/>
      </c>
      <c r="E1512" s="5" t="e">
        <f ca="1">RANK(F1512,F:F)+COUNTIF(F$2:F1512,F1512)-1</f>
        <v>#VALUE!</v>
      </c>
      <c r="F1512" s="5" t="str">
        <f t="shared" si="24"/>
        <v/>
      </c>
      <c r="G1512" s="5" t="str">
        <f>IF(B1512="","",股指期货基差分析!$N$11)</f>
        <v/>
      </c>
      <c r="H1512" s="5" t="str">
        <f>IF(B1512="","",股指期货基差分析!$L$11)</f>
        <v/>
      </c>
      <c r="I1512" s="9" t="str">
        <f>IF(B1512="","",股指期货基差分析!$D$11)</f>
        <v/>
      </c>
      <c r="L1512" s="43"/>
    </row>
    <row r="1513" spans="2:12" ht="15" customHeight="1" x14ac:dyDescent="0.2">
      <c r="B1513" s="8"/>
      <c r="C1513" s="6" t="str">
        <f>IF(B1513="","",[1]!s_dq_close(股指期货基差分析!$E$5,$B1513))</f>
        <v/>
      </c>
      <c r="D1513" s="6" t="str">
        <f>IF(B1513="","",[1]!s_dq_close(股指期货基差分析!$E$6,$B1513))</f>
        <v/>
      </c>
      <c r="E1513" s="6" t="e">
        <f ca="1">RANK(F1513,F:F)+COUNTIF(F$2:F1513,F1513)-1</f>
        <v>#VALUE!</v>
      </c>
      <c r="F1513" s="6" t="str">
        <f t="shared" si="24"/>
        <v/>
      </c>
      <c r="G1513" s="6" t="str">
        <f>IF(B1513="","",股指期货基差分析!$N$11)</f>
        <v/>
      </c>
      <c r="H1513" s="6" t="str">
        <f>IF(B1513="","",股指期货基差分析!$L$11)</f>
        <v/>
      </c>
      <c r="I1513" s="10" t="str">
        <f>IF(B1513="","",股指期货基差分析!$D$11)</f>
        <v/>
      </c>
      <c r="L1513" s="43"/>
    </row>
    <row r="1514" spans="2:12" ht="15" customHeight="1" x14ac:dyDescent="0.2">
      <c r="B1514" s="7"/>
      <c r="C1514" s="5" t="str">
        <f>IF(B1514="","",[1]!s_dq_close(股指期货基差分析!$E$5,$B1514))</f>
        <v/>
      </c>
      <c r="D1514" s="5" t="str">
        <f>IF(B1514="","",[1]!s_dq_close(股指期货基差分析!$E$6,$B1514))</f>
        <v/>
      </c>
      <c r="E1514" s="5" t="e">
        <f ca="1">RANK(F1514,F:F)+COUNTIF(F$2:F1514,F1514)-1</f>
        <v>#VALUE!</v>
      </c>
      <c r="F1514" s="5" t="str">
        <f t="shared" si="24"/>
        <v/>
      </c>
      <c r="G1514" s="5" t="str">
        <f>IF(B1514="","",股指期货基差分析!$N$11)</f>
        <v/>
      </c>
      <c r="H1514" s="5" t="str">
        <f>IF(B1514="","",股指期货基差分析!$L$11)</f>
        <v/>
      </c>
      <c r="I1514" s="9" t="str">
        <f>IF(B1514="","",股指期货基差分析!$D$11)</f>
        <v/>
      </c>
      <c r="L1514" s="43"/>
    </row>
    <row r="1515" spans="2:12" ht="15" customHeight="1" x14ac:dyDescent="0.2">
      <c r="B1515" s="8"/>
      <c r="C1515" s="6" t="str">
        <f>IF(B1515="","",[1]!s_dq_close(股指期货基差分析!$E$5,$B1515))</f>
        <v/>
      </c>
      <c r="D1515" s="6" t="str">
        <f>IF(B1515="","",[1]!s_dq_close(股指期货基差分析!$E$6,$B1515))</f>
        <v/>
      </c>
      <c r="E1515" s="6" t="e">
        <f ca="1">RANK(F1515,F:F)+COUNTIF(F$2:F1515,F1515)-1</f>
        <v>#VALUE!</v>
      </c>
      <c r="F1515" s="6" t="str">
        <f t="shared" si="24"/>
        <v/>
      </c>
      <c r="G1515" s="6" t="str">
        <f>IF(B1515="","",股指期货基差分析!$N$11)</f>
        <v/>
      </c>
      <c r="H1515" s="6" t="str">
        <f>IF(B1515="","",股指期货基差分析!$L$11)</f>
        <v/>
      </c>
      <c r="I1515" s="10" t="str">
        <f>IF(B1515="","",股指期货基差分析!$D$11)</f>
        <v/>
      </c>
      <c r="L1515" s="43"/>
    </row>
    <row r="1516" spans="2:12" ht="15" customHeight="1" x14ac:dyDescent="0.2">
      <c r="B1516" s="7"/>
      <c r="C1516" s="5" t="str">
        <f>IF(B1516="","",[1]!s_dq_close(股指期货基差分析!$E$5,$B1516))</f>
        <v/>
      </c>
      <c r="D1516" s="5" t="str">
        <f>IF(B1516="","",[1]!s_dq_close(股指期货基差分析!$E$6,$B1516))</f>
        <v/>
      </c>
      <c r="E1516" s="5" t="e">
        <f ca="1">RANK(F1516,F:F)+COUNTIF(F$2:F1516,F1516)-1</f>
        <v>#VALUE!</v>
      </c>
      <c r="F1516" s="5" t="str">
        <f t="shared" si="24"/>
        <v/>
      </c>
      <c r="G1516" s="5" t="str">
        <f>IF(B1516="","",股指期货基差分析!$N$11)</f>
        <v/>
      </c>
      <c r="H1516" s="5" t="str">
        <f>IF(B1516="","",股指期货基差分析!$L$11)</f>
        <v/>
      </c>
      <c r="I1516" s="9" t="str">
        <f>IF(B1516="","",股指期货基差分析!$D$11)</f>
        <v/>
      </c>
      <c r="L1516" s="43"/>
    </row>
    <row r="1517" spans="2:12" ht="15" customHeight="1" x14ac:dyDescent="0.2">
      <c r="B1517" s="8"/>
      <c r="C1517" s="6" t="str">
        <f>IF(B1517="","",[1]!s_dq_close(股指期货基差分析!$E$5,$B1517))</f>
        <v/>
      </c>
      <c r="D1517" s="6" t="str">
        <f>IF(B1517="","",[1]!s_dq_close(股指期货基差分析!$E$6,$B1517))</f>
        <v/>
      </c>
      <c r="E1517" s="6" t="e">
        <f ca="1">RANK(F1517,F:F)+COUNTIF(F$2:F1517,F1517)-1</f>
        <v>#VALUE!</v>
      </c>
      <c r="F1517" s="6" t="str">
        <f t="shared" si="24"/>
        <v/>
      </c>
      <c r="G1517" s="6" t="str">
        <f>IF(B1517="","",股指期货基差分析!$N$11)</f>
        <v/>
      </c>
      <c r="H1517" s="6" t="str">
        <f>IF(B1517="","",股指期货基差分析!$L$11)</f>
        <v/>
      </c>
      <c r="I1517" s="10" t="str">
        <f>IF(B1517="","",股指期货基差分析!$D$11)</f>
        <v/>
      </c>
      <c r="L1517" s="43"/>
    </row>
    <row r="1518" spans="2:12" ht="15" customHeight="1" x14ac:dyDescent="0.2">
      <c r="B1518" s="7"/>
      <c r="C1518" s="5" t="str">
        <f>IF(B1518="","",[1]!s_dq_close(股指期货基差分析!$E$5,$B1518))</f>
        <v/>
      </c>
      <c r="D1518" s="5" t="str">
        <f>IF(B1518="","",[1]!s_dq_close(股指期货基差分析!$E$6,$B1518))</f>
        <v/>
      </c>
      <c r="E1518" s="5" t="e">
        <f ca="1">RANK(F1518,F:F)+COUNTIF(F$2:F1518,F1518)-1</f>
        <v>#VALUE!</v>
      </c>
      <c r="F1518" s="5" t="str">
        <f t="shared" si="24"/>
        <v/>
      </c>
      <c r="G1518" s="5" t="str">
        <f>IF(B1518="","",股指期货基差分析!$N$11)</f>
        <v/>
      </c>
      <c r="H1518" s="5" t="str">
        <f>IF(B1518="","",股指期货基差分析!$L$11)</f>
        <v/>
      </c>
      <c r="I1518" s="9" t="str">
        <f>IF(B1518="","",股指期货基差分析!$D$11)</f>
        <v/>
      </c>
      <c r="L1518" s="43"/>
    </row>
    <row r="1519" spans="2:12" ht="15" customHeight="1" x14ac:dyDescent="0.2">
      <c r="B1519" s="8"/>
      <c r="C1519" s="6" t="str">
        <f>IF(B1519="","",[1]!s_dq_close(股指期货基差分析!$E$5,$B1519))</f>
        <v/>
      </c>
      <c r="D1519" s="6" t="str">
        <f>IF(B1519="","",[1]!s_dq_close(股指期货基差分析!$E$6,$B1519))</f>
        <v/>
      </c>
      <c r="E1519" s="6" t="e">
        <f ca="1">RANK(F1519,F:F)+COUNTIF(F$2:F1519,F1519)-1</f>
        <v>#VALUE!</v>
      </c>
      <c r="F1519" s="6" t="str">
        <f t="shared" si="24"/>
        <v/>
      </c>
      <c r="G1519" s="6" t="str">
        <f>IF(B1519="","",股指期货基差分析!$N$11)</f>
        <v/>
      </c>
      <c r="H1519" s="6" t="str">
        <f>IF(B1519="","",股指期货基差分析!$L$11)</f>
        <v/>
      </c>
      <c r="I1519" s="10" t="str">
        <f>IF(B1519="","",股指期货基差分析!$D$11)</f>
        <v/>
      </c>
      <c r="L1519" s="43"/>
    </row>
    <row r="1520" spans="2:12" ht="15" customHeight="1" x14ac:dyDescent="0.2">
      <c r="B1520" s="7"/>
      <c r="C1520" s="5" t="str">
        <f>IF(B1520="","",[1]!s_dq_close(股指期货基差分析!$E$5,$B1520))</f>
        <v/>
      </c>
      <c r="D1520" s="5" t="str">
        <f>IF(B1520="","",[1]!s_dq_close(股指期货基差分析!$E$6,$B1520))</f>
        <v/>
      </c>
      <c r="E1520" s="5" t="e">
        <f ca="1">RANK(F1520,F:F)+COUNTIF(F$2:F1520,F1520)-1</f>
        <v>#VALUE!</v>
      </c>
      <c r="F1520" s="5" t="str">
        <f t="shared" si="24"/>
        <v/>
      </c>
      <c r="G1520" s="5" t="str">
        <f>IF(B1520="","",股指期货基差分析!$N$11)</f>
        <v/>
      </c>
      <c r="H1520" s="5" t="str">
        <f>IF(B1520="","",股指期货基差分析!$L$11)</f>
        <v/>
      </c>
      <c r="I1520" s="9" t="str">
        <f>IF(B1520="","",股指期货基差分析!$D$11)</f>
        <v/>
      </c>
      <c r="L1520" s="43"/>
    </row>
    <row r="1521" spans="2:12" ht="15" customHeight="1" x14ac:dyDescent="0.2">
      <c r="B1521" s="8"/>
      <c r="C1521" s="6" t="str">
        <f>IF(B1521="","",[1]!s_dq_close(股指期货基差分析!$E$5,$B1521))</f>
        <v/>
      </c>
      <c r="D1521" s="6" t="str">
        <f>IF(B1521="","",[1]!s_dq_close(股指期货基差分析!$E$6,$B1521))</f>
        <v/>
      </c>
      <c r="E1521" s="6" t="e">
        <f ca="1">RANK(F1521,F:F)+COUNTIF(F$2:F1521,F1521)-1</f>
        <v>#VALUE!</v>
      </c>
      <c r="F1521" s="6" t="str">
        <f t="shared" si="24"/>
        <v/>
      </c>
      <c r="G1521" s="6" t="str">
        <f>IF(B1521="","",股指期货基差分析!$N$11)</f>
        <v/>
      </c>
      <c r="H1521" s="6" t="str">
        <f>IF(B1521="","",股指期货基差分析!$L$11)</f>
        <v/>
      </c>
      <c r="I1521" s="10" t="str">
        <f>IF(B1521="","",股指期货基差分析!$D$11)</f>
        <v/>
      </c>
      <c r="L1521" s="43"/>
    </row>
    <row r="1522" spans="2:12" ht="15" customHeight="1" x14ac:dyDescent="0.2">
      <c r="B1522" s="7"/>
      <c r="C1522" s="5" t="str">
        <f>IF(B1522="","",[1]!s_dq_close(股指期货基差分析!$E$5,$B1522))</f>
        <v/>
      </c>
      <c r="D1522" s="5" t="str">
        <f>IF(B1522="","",[1]!s_dq_close(股指期货基差分析!$E$6,$B1522))</f>
        <v/>
      </c>
      <c r="E1522" s="5" t="e">
        <f ca="1">RANK(F1522,F:F)+COUNTIF(F$2:F1522,F1522)-1</f>
        <v>#VALUE!</v>
      </c>
      <c r="F1522" s="5" t="str">
        <f t="shared" si="24"/>
        <v/>
      </c>
      <c r="G1522" s="5" t="str">
        <f>IF(B1522="","",股指期货基差分析!$N$11)</f>
        <v/>
      </c>
      <c r="H1522" s="5" t="str">
        <f>IF(B1522="","",股指期货基差分析!$L$11)</f>
        <v/>
      </c>
      <c r="I1522" s="9" t="str">
        <f>IF(B1522="","",股指期货基差分析!$D$11)</f>
        <v/>
      </c>
      <c r="L1522" s="43"/>
    </row>
    <row r="1523" spans="2:12" ht="15" customHeight="1" x14ac:dyDescent="0.2">
      <c r="B1523" s="8"/>
      <c r="C1523" s="6" t="str">
        <f>IF(B1523="","",[1]!s_dq_close(股指期货基差分析!$E$5,$B1523))</f>
        <v/>
      </c>
      <c r="D1523" s="6" t="str">
        <f>IF(B1523="","",[1]!s_dq_close(股指期货基差分析!$E$6,$B1523))</f>
        <v/>
      </c>
      <c r="E1523" s="6" t="e">
        <f ca="1">RANK(F1523,F:F)+COUNTIF(F$2:F1523,F1523)-1</f>
        <v>#VALUE!</v>
      </c>
      <c r="F1523" s="6" t="str">
        <f t="shared" si="24"/>
        <v/>
      </c>
      <c r="G1523" s="6" t="str">
        <f>IF(B1523="","",股指期货基差分析!$N$11)</f>
        <v/>
      </c>
      <c r="H1523" s="6" t="str">
        <f>IF(B1523="","",股指期货基差分析!$L$11)</f>
        <v/>
      </c>
      <c r="I1523" s="10" t="str">
        <f>IF(B1523="","",股指期货基差分析!$D$11)</f>
        <v/>
      </c>
      <c r="L1523" s="43"/>
    </row>
    <row r="1524" spans="2:12" ht="15" customHeight="1" x14ac:dyDescent="0.2">
      <c r="B1524" s="7"/>
      <c r="C1524" s="5" t="str">
        <f>IF(B1524="","",[1]!s_dq_close(股指期货基差分析!$E$5,$B1524))</f>
        <v/>
      </c>
      <c r="D1524" s="5" t="str">
        <f>IF(B1524="","",[1]!s_dq_close(股指期货基差分析!$E$6,$B1524))</f>
        <v/>
      </c>
      <c r="E1524" s="5" t="e">
        <f ca="1">RANK(F1524,F:F)+COUNTIF(F$2:F1524,F1524)-1</f>
        <v>#VALUE!</v>
      </c>
      <c r="F1524" s="5" t="str">
        <f t="shared" si="24"/>
        <v/>
      </c>
      <c r="G1524" s="5" t="str">
        <f>IF(B1524="","",股指期货基差分析!$N$11)</f>
        <v/>
      </c>
      <c r="H1524" s="5" t="str">
        <f>IF(B1524="","",股指期货基差分析!$L$11)</f>
        <v/>
      </c>
      <c r="I1524" s="9" t="str">
        <f>IF(B1524="","",股指期货基差分析!$D$11)</f>
        <v/>
      </c>
      <c r="L1524" s="43"/>
    </row>
    <row r="1525" spans="2:12" ht="15" customHeight="1" x14ac:dyDescent="0.2">
      <c r="B1525" s="8"/>
      <c r="C1525" s="6" t="str">
        <f>IF(B1525="","",[1]!s_dq_close(股指期货基差分析!$E$5,$B1525))</f>
        <v/>
      </c>
      <c r="D1525" s="6" t="str">
        <f>IF(B1525="","",[1]!s_dq_close(股指期货基差分析!$E$6,$B1525))</f>
        <v/>
      </c>
      <c r="E1525" s="6" t="e">
        <f ca="1">RANK(F1525,F:F)+COUNTIF(F$2:F1525,F1525)-1</f>
        <v>#VALUE!</v>
      </c>
      <c r="F1525" s="6" t="str">
        <f t="shared" si="24"/>
        <v/>
      </c>
      <c r="G1525" s="6" t="str">
        <f>IF(B1525="","",股指期货基差分析!$N$11)</f>
        <v/>
      </c>
      <c r="H1525" s="6" t="str">
        <f>IF(B1525="","",股指期货基差分析!$L$11)</f>
        <v/>
      </c>
      <c r="I1525" s="10" t="str">
        <f>IF(B1525="","",股指期货基差分析!$D$11)</f>
        <v/>
      </c>
      <c r="L1525" s="43"/>
    </row>
    <row r="1526" spans="2:12" ht="15" customHeight="1" x14ac:dyDescent="0.2">
      <c r="B1526" s="7"/>
      <c r="C1526" s="5" t="str">
        <f>IF(B1526="","",[1]!s_dq_close(股指期货基差分析!$E$5,$B1526))</f>
        <v/>
      </c>
      <c r="D1526" s="5" t="str">
        <f>IF(B1526="","",[1]!s_dq_close(股指期货基差分析!$E$6,$B1526))</f>
        <v/>
      </c>
      <c r="E1526" s="5" t="e">
        <f ca="1">RANK(F1526,F:F)+COUNTIF(F$2:F1526,F1526)-1</f>
        <v>#VALUE!</v>
      </c>
      <c r="F1526" s="5" t="str">
        <f t="shared" si="24"/>
        <v/>
      </c>
      <c r="G1526" s="5" t="str">
        <f>IF(B1526="","",股指期货基差分析!$N$11)</f>
        <v/>
      </c>
      <c r="H1526" s="5" t="str">
        <f>IF(B1526="","",股指期货基差分析!$L$11)</f>
        <v/>
      </c>
      <c r="I1526" s="9" t="str">
        <f>IF(B1526="","",股指期货基差分析!$D$11)</f>
        <v/>
      </c>
      <c r="L1526" s="43"/>
    </row>
    <row r="1527" spans="2:12" ht="15" customHeight="1" x14ac:dyDescent="0.2">
      <c r="B1527" s="8"/>
      <c r="C1527" s="6" t="str">
        <f>IF(B1527="","",[1]!s_dq_close(股指期货基差分析!$E$5,$B1527))</f>
        <v/>
      </c>
      <c r="D1527" s="6" t="str">
        <f>IF(B1527="","",[1]!s_dq_close(股指期货基差分析!$E$6,$B1527))</f>
        <v/>
      </c>
      <c r="E1527" s="6" t="e">
        <f ca="1">RANK(F1527,F:F)+COUNTIF(F$2:F1527,F1527)-1</f>
        <v>#VALUE!</v>
      </c>
      <c r="F1527" s="6" t="str">
        <f t="shared" si="24"/>
        <v/>
      </c>
      <c r="G1527" s="6" t="str">
        <f>IF(B1527="","",股指期货基差分析!$N$11)</f>
        <v/>
      </c>
      <c r="H1527" s="6" t="str">
        <f>IF(B1527="","",股指期货基差分析!$L$11)</f>
        <v/>
      </c>
      <c r="I1527" s="10" t="str">
        <f>IF(B1527="","",股指期货基差分析!$D$11)</f>
        <v/>
      </c>
      <c r="L1527" s="43"/>
    </row>
    <row r="1528" spans="2:12" ht="15" customHeight="1" x14ac:dyDescent="0.2">
      <c r="B1528" s="7"/>
      <c r="C1528" s="5" t="str">
        <f>IF(B1528="","",[1]!s_dq_close(股指期货基差分析!$E$5,$B1528))</f>
        <v/>
      </c>
      <c r="D1528" s="5" t="str">
        <f>IF(B1528="","",[1]!s_dq_close(股指期货基差分析!$E$6,$B1528))</f>
        <v/>
      </c>
      <c r="E1528" s="5" t="e">
        <f ca="1">RANK(F1528,F:F)+COUNTIF(F$2:F1528,F1528)-1</f>
        <v>#VALUE!</v>
      </c>
      <c r="F1528" s="5" t="str">
        <f t="shared" si="24"/>
        <v/>
      </c>
      <c r="G1528" s="5" t="str">
        <f>IF(B1528="","",股指期货基差分析!$N$11)</f>
        <v/>
      </c>
      <c r="H1528" s="5" t="str">
        <f>IF(B1528="","",股指期货基差分析!$L$11)</f>
        <v/>
      </c>
      <c r="I1528" s="9" t="str">
        <f>IF(B1528="","",股指期货基差分析!$D$11)</f>
        <v/>
      </c>
      <c r="L1528" s="43"/>
    </row>
    <row r="1529" spans="2:12" ht="15" customHeight="1" x14ac:dyDescent="0.2">
      <c r="B1529" s="8"/>
      <c r="C1529" s="6" t="str">
        <f>IF(B1529="","",[1]!s_dq_close(股指期货基差分析!$E$5,$B1529))</f>
        <v/>
      </c>
      <c r="D1529" s="6" t="str">
        <f>IF(B1529="","",[1]!s_dq_close(股指期货基差分析!$E$6,$B1529))</f>
        <v/>
      </c>
      <c r="E1529" s="6" t="e">
        <f ca="1">RANK(F1529,F:F)+COUNTIF(F$2:F1529,F1529)-1</f>
        <v>#VALUE!</v>
      </c>
      <c r="F1529" s="6" t="str">
        <f t="shared" si="24"/>
        <v/>
      </c>
      <c r="G1529" s="6" t="str">
        <f>IF(B1529="","",股指期货基差分析!$N$11)</f>
        <v/>
      </c>
      <c r="H1529" s="6" t="str">
        <f>IF(B1529="","",股指期货基差分析!$L$11)</f>
        <v/>
      </c>
      <c r="I1529" s="10" t="str">
        <f>IF(B1529="","",股指期货基差分析!$D$11)</f>
        <v/>
      </c>
      <c r="L1529" s="43"/>
    </row>
    <row r="1530" spans="2:12" ht="15" customHeight="1" x14ac:dyDescent="0.2">
      <c r="B1530" s="7"/>
      <c r="C1530" s="5" t="str">
        <f>IF(B1530="","",[1]!s_dq_close(股指期货基差分析!$E$5,$B1530))</f>
        <v/>
      </c>
      <c r="D1530" s="5" t="str">
        <f>IF(B1530="","",[1]!s_dq_close(股指期货基差分析!$E$6,$B1530))</f>
        <v/>
      </c>
      <c r="E1530" s="5" t="e">
        <f ca="1">RANK(F1530,F:F)+COUNTIF(F$2:F1530,F1530)-1</f>
        <v>#VALUE!</v>
      </c>
      <c r="F1530" s="5" t="str">
        <f t="shared" si="24"/>
        <v/>
      </c>
      <c r="G1530" s="5" t="str">
        <f>IF(B1530="","",股指期货基差分析!$N$11)</f>
        <v/>
      </c>
      <c r="H1530" s="5" t="str">
        <f>IF(B1530="","",股指期货基差分析!$L$11)</f>
        <v/>
      </c>
      <c r="I1530" s="9" t="str">
        <f>IF(B1530="","",股指期货基差分析!$D$11)</f>
        <v/>
      </c>
      <c r="L1530" s="43"/>
    </row>
    <row r="1531" spans="2:12" ht="15" customHeight="1" x14ac:dyDescent="0.2">
      <c r="B1531" s="8"/>
      <c r="C1531" s="6" t="str">
        <f>IF(B1531="","",[1]!s_dq_close(股指期货基差分析!$E$5,$B1531))</f>
        <v/>
      </c>
      <c r="D1531" s="6" t="str">
        <f>IF(B1531="","",[1]!s_dq_close(股指期货基差分析!$E$6,$B1531))</f>
        <v/>
      </c>
      <c r="E1531" s="6" t="e">
        <f ca="1">RANK(F1531,F:F)+COUNTIF(F$2:F1531,F1531)-1</f>
        <v>#VALUE!</v>
      </c>
      <c r="F1531" s="6" t="str">
        <f t="shared" si="24"/>
        <v/>
      </c>
      <c r="G1531" s="6" t="str">
        <f>IF(B1531="","",股指期货基差分析!$N$11)</f>
        <v/>
      </c>
      <c r="H1531" s="6" t="str">
        <f>IF(B1531="","",股指期货基差分析!$L$11)</f>
        <v/>
      </c>
      <c r="I1531" s="10" t="str">
        <f>IF(B1531="","",股指期货基差分析!$D$11)</f>
        <v/>
      </c>
      <c r="L1531" s="43"/>
    </row>
    <row r="1532" spans="2:12" ht="15" customHeight="1" x14ac:dyDescent="0.2">
      <c r="B1532" s="7"/>
      <c r="C1532" s="5" t="str">
        <f>IF(B1532="","",[1]!s_dq_close(股指期货基差分析!$E$5,$B1532))</f>
        <v/>
      </c>
      <c r="D1532" s="5" t="str">
        <f>IF(B1532="","",[1]!s_dq_close(股指期货基差分析!$E$6,$B1532))</f>
        <v/>
      </c>
      <c r="E1532" s="5" t="e">
        <f ca="1">RANK(F1532,F:F)+COUNTIF(F$2:F1532,F1532)-1</f>
        <v>#VALUE!</v>
      </c>
      <c r="F1532" s="5" t="str">
        <f t="shared" si="24"/>
        <v/>
      </c>
      <c r="G1532" s="5" t="str">
        <f>IF(B1532="","",股指期货基差分析!$N$11)</f>
        <v/>
      </c>
      <c r="H1532" s="5" t="str">
        <f>IF(B1532="","",股指期货基差分析!$L$11)</f>
        <v/>
      </c>
      <c r="I1532" s="9" t="str">
        <f>IF(B1532="","",股指期货基差分析!$D$11)</f>
        <v/>
      </c>
      <c r="L1532" s="43"/>
    </row>
    <row r="1533" spans="2:12" ht="15" customHeight="1" x14ac:dyDescent="0.2">
      <c r="B1533" s="8"/>
      <c r="C1533" s="6" t="str">
        <f>IF(B1533="","",[1]!s_dq_close(股指期货基差分析!$E$5,$B1533))</f>
        <v/>
      </c>
      <c r="D1533" s="6" t="str">
        <f>IF(B1533="","",[1]!s_dq_close(股指期货基差分析!$E$6,$B1533))</f>
        <v/>
      </c>
      <c r="E1533" s="6" t="e">
        <f ca="1">RANK(F1533,F:F)+COUNTIF(F$2:F1533,F1533)-1</f>
        <v>#VALUE!</v>
      </c>
      <c r="F1533" s="6" t="str">
        <f t="shared" si="24"/>
        <v/>
      </c>
      <c r="G1533" s="6" t="str">
        <f>IF(B1533="","",股指期货基差分析!$N$11)</f>
        <v/>
      </c>
      <c r="H1533" s="6" t="str">
        <f>IF(B1533="","",股指期货基差分析!$L$11)</f>
        <v/>
      </c>
      <c r="I1533" s="10" t="str">
        <f>IF(B1533="","",股指期货基差分析!$D$11)</f>
        <v/>
      </c>
      <c r="L1533" s="43"/>
    </row>
    <row r="1534" spans="2:12" ht="15" customHeight="1" x14ac:dyDescent="0.2">
      <c r="B1534" s="7"/>
      <c r="C1534" s="5" t="str">
        <f>IF(B1534="","",[1]!s_dq_close(股指期货基差分析!$E$5,$B1534))</f>
        <v/>
      </c>
      <c r="D1534" s="5" t="str">
        <f>IF(B1534="","",[1]!s_dq_close(股指期货基差分析!$E$6,$B1534))</f>
        <v/>
      </c>
      <c r="E1534" s="5" t="e">
        <f ca="1">RANK(F1534,F:F)+COUNTIF(F$2:F1534,F1534)-1</f>
        <v>#VALUE!</v>
      </c>
      <c r="F1534" s="5" t="str">
        <f t="shared" si="24"/>
        <v/>
      </c>
      <c r="G1534" s="5" t="str">
        <f>IF(B1534="","",股指期货基差分析!$N$11)</f>
        <v/>
      </c>
      <c r="H1534" s="5" t="str">
        <f>IF(B1534="","",股指期货基差分析!$L$11)</f>
        <v/>
      </c>
      <c r="I1534" s="9" t="str">
        <f>IF(B1534="","",股指期货基差分析!$D$11)</f>
        <v/>
      </c>
      <c r="L1534" s="43"/>
    </row>
    <row r="1535" spans="2:12" ht="15" customHeight="1" x14ac:dyDescent="0.2">
      <c r="B1535" s="8"/>
      <c r="C1535" s="6" t="str">
        <f>IF(B1535="","",[1]!s_dq_close(股指期货基差分析!$E$5,$B1535))</f>
        <v/>
      </c>
      <c r="D1535" s="6" t="str">
        <f>IF(B1535="","",[1]!s_dq_close(股指期货基差分析!$E$6,$B1535))</f>
        <v/>
      </c>
      <c r="E1535" s="6" t="e">
        <f ca="1">RANK(F1535,F:F)+COUNTIF(F$2:F1535,F1535)-1</f>
        <v>#VALUE!</v>
      </c>
      <c r="F1535" s="6" t="str">
        <f t="shared" si="24"/>
        <v/>
      </c>
      <c r="G1535" s="6" t="str">
        <f>IF(B1535="","",股指期货基差分析!$N$11)</f>
        <v/>
      </c>
      <c r="H1535" s="6" t="str">
        <f>IF(B1535="","",股指期货基差分析!$L$11)</f>
        <v/>
      </c>
      <c r="I1535" s="10" t="str">
        <f>IF(B1535="","",股指期货基差分析!$D$11)</f>
        <v/>
      </c>
      <c r="L1535" s="43"/>
    </row>
    <row r="1536" spans="2:12" ht="15" customHeight="1" x14ac:dyDescent="0.2">
      <c r="B1536" s="7"/>
      <c r="C1536" s="5" t="str">
        <f>IF(B1536="","",[1]!s_dq_close(股指期货基差分析!$E$5,$B1536))</f>
        <v/>
      </c>
      <c r="D1536" s="5" t="str">
        <f>IF(B1536="","",[1]!s_dq_close(股指期货基差分析!$E$6,$B1536))</f>
        <v/>
      </c>
      <c r="E1536" s="5" t="e">
        <f ca="1">RANK(F1536,F:F)+COUNTIF(F$2:F1536,F1536)-1</f>
        <v>#VALUE!</v>
      </c>
      <c r="F1536" s="5" t="str">
        <f t="shared" si="24"/>
        <v/>
      </c>
      <c r="G1536" s="5" t="str">
        <f>IF(B1536="","",股指期货基差分析!$N$11)</f>
        <v/>
      </c>
      <c r="H1536" s="5" t="str">
        <f>IF(B1536="","",股指期货基差分析!$L$11)</f>
        <v/>
      </c>
      <c r="I1536" s="9" t="str">
        <f>IF(B1536="","",股指期货基差分析!$D$11)</f>
        <v/>
      </c>
      <c r="L1536" s="43"/>
    </row>
    <row r="1537" spans="2:12" ht="15" customHeight="1" x14ac:dyDescent="0.2">
      <c r="B1537" s="8"/>
      <c r="C1537" s="6" t="str">
        <f>IF(B1537="","",[1]!s_dq_close(股指期货基差分析!$E$5,$B1537))</f>
        <v/>
      </c>
      <c r="D1537" s="6" t="str">
        <f>IF(B1537="","",[1]!s_dq_close(股指期货基差分析!$E$6,$B1537))</f>
        <v/>
      </c>
      <c r="E1537" s="6" t="e">
        <f ca="1">RANK(F1537,F:F)+COUNTIF(F$2:F1537,F1537)-1</f>
        <v>#VALUE!</v>
      </c>
      <c r="F1537" s="6" t="str">
        <f t="shared" si="24"/>
        <v/>
      </c>
      <c r="G1537" s="6" t="str">
        <f>IF(B1537="","",股指期货基差分析!$N$11)</f>
        <v/>
      </c>
      <c r="H1537" s="6" t="str">
        <f>IF(B1537="","",股指期货基差分析!$L$11)</f>
        <v/>
      </c>
      <c r="I1537" s="10" t="str">
        <f>IF(B1537="","",股指期货基差分析!$D$11)</f>
        <v/>
      </c>
      <c r="L1537" s="43"/>
    </row>
    <row r="1538" spans="2:12" ht="15" customHeight="1" x14ac:dyDescent="0.2">
      <c r="B1538" s="7"/>
      <c r="C1538" s="5" t="str">
        <f>IF(B1538="","",[1]!s_dq_close(股指期货基差分析!$E$5,$B1538))</f>
        <v/>
      </c>
      <c r="D1538" s="5" t="str">
        <f>IF(B1538="","",[1]!s_dq_close(股指期货基差分析!$E$6,$B1538))</f>
        <v/>
      </c>
      <c r="E1538" s="5" t="e">
        <f ca="1">RANK(F1538,F:F)+COUNTIF(F$2:F1538,F1538)-1</f>
        <v>#VALUE!</v>
      </c>
      <c r="F1538" s="5" t="str">
        <f t="shared" ref="F1538:F1601" si="25">IF(B1538="","",D1538-C1538)</f>
        <v/>
      </c>
      <c r="G1538" s="5" t="str">
        <f>IF(B1538="","",股指期货基差分析!$N$11)</f>
        <v/>
      </c>
      <c r="H1538" s="5" t="str">
        <f>IF(B1538="","",股指期货基差分析!$L$11)</f>
        <v/>
      </c>
      <c r="I1538" s="9" t="str">
        <f>IF(B1538="","",股指期货基差分析!$D$11)</f>
        <v/>
      </c>
      <c r="L1538" s="43"/>
    </row>
    <row r="1539" spans="2:12" ht="15" customHeight="1" x14ac:dyDescent="0.2">
      <c r="B1539" s="8"/>
      <c r="C1539" s="6" t="str">
        <f>IF(B1539="","",[1]!s_dq_close(股指期货基差分析!$E$5,$B1539))</f>
        <v/>
      </c>
      <c r="D1539" s="6" t="str">
        <f>IF(B1539="","",[1]!s_dq_close(股指期货基差分析!$E$6,$B1539))</f>
        <v/>
      </c>
      <c r="E1539" s="6" t="e">
        <f ca="1">RANK(F1539,F:F)+COUNTIF(F$2:F1539,F1539)-1</f>
        <v>#VALUE!</v>
      </c>
      <c r="F1539" s="6" t="str">
        <f t="shared" si="25"/>
        <v/>
      </c>
      <c r="G1539" s="6" t="str">
        <f>IF(B1539="","",股指期货基差分析!$N$11)</f>
        <v/>
      </c>
      <c r="H1539" s="6" t="str">
        <f>IF(B1539="","",股指期货基差分析!$L$11)</f>
        <v/>
      </c>
      <c r="I1539" s="10" t="str">
        <f>IF(B1539="","",股指期货基差分析!$D$11)</f>
        <v/>
      </c>
      <c r="L1539" s="43"/>
    </row>
    <row r="1540" spans="2:12" ht="15" customHeight="1" x14ac:dyDescent="0.2">
      <c r="B1540" s="7"/>
      <c r="C1540" s="5" t="str">
        <f>IF(B1540="","",[1]!s_dq_close(股指期货基差分析!$E$5,$B1540))</f>
        <v/>
      </c>
      <c r="D1540" s="5" t="str">
        <f>IF(B1540="","",[1]!s_dq_close(股指期货基差分析!$E$6,$B1540))</f>
        <v/>
      </c>
      <c r="E1540" s="5" t="e">
        <f ca="1">RANK(F1540,F:F)+COUNTIF(F$2:F1540,F1540)-1</f>
        <v>#VALUE!</v>
      </c>
      <c r="F1540" s="5" t="str">
        <f t="shared" si="25"/>
        <v/>
      </c>
      <c r="G1540" s="5" t="str">
        <f>IF(B1540="","",股指期货基差分析!$N$11)</f>
        <v/>
      </c>
      <c r="H1540" s="5" t="str">
        <f>IF(B1540="","",股指期货基差分析!$L$11)</f>
        <v/>
      </c>
      <c r="I1540" s="9" t="str">
        <f>IF(B1540="","",股指期货基差分析!$D$11)</f>
        <v/>
      </c>
      <c r="L1540" s="43"/>
    </row>
    <row r="1541" spans="2:12" ht="15" customHeight="1" x14ac:dyDescent="0.2">
      <c r="B1541" s="8"/>
      <c r="C1541" s="6" t="str">
        <f>IF(B1541="","",[1]!s_dq_close(股指期货基差分析!$E$5,$B1541))</f>
        <v/>
      </c>
      <c r="D1541" s="6" t="str">
        <f>IF(B1541="","",[1]!s_dq_close(股指期货基差分析!$E$6,$B1541))</f>
        <v/>
      </c>
      <c r="E1541" s="6" t="e">
        <f ca="1">RANK(F1541,F:F)+COUNTIF(F$2:F1541,F1541)-1</f>
        <v>#VALUE!</v>
      </c>
      <c r="F1541" s="6" t="str">
        <f t="shared" si="25"/>
        <v/>
      </c>
      <c r="G1541" s="6" t="str">
        <f>IF(B1541="","",股指期货基差分析!$N$11)</f>
        <v/>
      </c>
      <c r="H1541" s="6" t="str">
        <f>IF(B1541="","",股指期货基差分析!$L$11)</f>
        <v/>
      </c>
      <c r="I1541" s="10" t="str">
        <f>IF(B1541="","",股指期货基差分析!$D$11)</f>
        <v/>
      </c>
      <c r="L1541" s="43"/>
    </row>
    <row r="1542" spans="2:12" ht="15" customHeight="1" x14ac:dyDescent="0.2">
      <c r="B1542" s="7"/>
      <c r="C1542" s="5" t="str">
        <f>IF(B1542="","",[1]!s_dq_close(股指期货基差分析!$E$5,$B1542))</f>
        <v/>
      </c>
      <c r="D1542" s="5" t="str">
        <f>IF(B1542="","",[1]!s_dq_close(股指期货基差分析!$E$6,$B1542))</f>
        <v/>
      </c>
      <c r="E1542" s="5" t="e">
        <f ca="1">RANK(F1542,F:F)+COUNTIF(F$2:F1542,F1542)-1</f>
        <v>#VALUE!</v>
      </c>
      <c r="F1542" s="5" t="str">
        <f t="shared" si="25"/>
        <v/>
      </c>
      <c r="G1542" s="5" t="str">
        <f>IF(B1542="","",股指期货基差分析!$N$11)</f>
        <v/>
      </c>
      <c r="H1542" s="5" t="str">
        <f>IF(B1542="","",股指期货基差分析!$L$11)</f>
        <v/>
      </c>
      <c r="I1542" s="9" t="str">
        <f>IF(B1542="","",股指期货基差分析!$D$11)</f>
        <v/>
      </c>
      <c r="L1542" s="43"/>
    </row>
    <row r="1543" spans="2:12" ht="15" customHeight="1" x14ac:dyDescent="0.2">
      <c r="B1543" s="8"/>
      <c r="C1543" s="6" t="str">
        <f>IF(B1543="","",[1]!s_dq_close(股指期货基差分析!$E$5,$B1543))</f>
        <v/>
      </c>
      <c r="D1543" s="6" t="str">
        <f>IF(B1543="","",[1]!s_dq_close(股指期货基差分析!$E$6,$B1543))</f>
        <v/>
      </c>
      <c r="E1543" s="6" t="e">
        <f ca="1">RANK(F1543,F:F)+COUNTIF(F$2:F1543,F1543)-1</f>
        <v>#VALUE!</v>
      </c>
      <c r="F1543" s="6" t="str">
        <f t="shared" si="25"/>
        <v/>
      </c>
      <c r="G1543" s="6" t="str">
        <f>IF(B1543="","",股指期货基差分析!$N$11)</f>
        <v/>
      </c>
      <c r="H1543" s="6" t="str">
        <f>IF(B1543="","",股指期货基差分析!$L$11)</f>
        <v/>
      </c>
      <c r="I1543" s="10" t="str">
        <f>IF(B1543="","",股指期货基差分析!$D$11)</f>
        <v/>
      </c>
      <c r="L1543" s="43"/>
    </row>
    <row r="1544" spans="2:12" ht="15" customHeight="1" x14ac:dyDescent="0.2">
      <c r="B1544" s="7"/>
      <c r="C1544" s="5" t="str">
        <f>IF(B1544="","",[1]!s_dq_close(股指期货基差分析!$E$5,$B1544))</f>
        <v/>
      </c>
      <c r="D1544" s="5" t="str">
        <f>IF(B1544="","",[1]!s_dq_close(股指期货基差分析!$E$6,$B1544))</f>
        <v/>
      </c>
      <c r="E1544" s="5" t="e">
        <f ca="1">RANK(F1544,F:F)+COUNTIF(F$2:F1544,F1544)-1</f>
        <v>#VALUE!</v>
      </c>
      <c r="F1544" s="5" t="str">
        <f t="shared" si="25"/>
        <v/>
      </c>
      <c r="G1544" s="5" t="str">
        <f>IF(B1544="","",股指期货基差分析!$N$11)</f>
        <v/>
      </c>
      <c r="H1544" s="5" t="str">
        <f>IF(B1544="","",股指期货基差分析!$L$11)</f>
        <v/>
      </c>
      <c r="I1544" s="9" t="str">
        <f>IF(B1544="","",股指期货基差分析!$D$11)</f>
        <v/>
      </c>
      <c r="L1544" s="43"/>
    </row>
    <row r="1545" spans="2:12" ht="15" customHeight="1" x14ac:dyDescent="0.2">
      <c r="B1545" s="8"/>
      <c r="C1545" s="6" t="str">
        <f>IF(B1545="","",[1]!s_dq_close(股指期货基差分析!$E$5,$B1545))</f>
        <v/>
      </c>
      <c r="D1545" s="6" t="str">
        <f>IF(B1545="","",[1]!s_dq_close(股指期货基差分析!$E$6,$B1545))</f>
        <v/>
      </c>
      <c r="E1545" s="6" t="e">
        <f ca="1">RANK(F1545,F:F)+COUNTIF(F$2:F1545,F1545)-1</f>
        <v>#VALUE!</v>
      </c>
      <c r="F1545" s="6" t="str">
        <f t="shared" si="25"/>
        <v/>
      </c>
      <c r="G1545" s="6" t="str">
        <f>IF(B1545="","",股指期货基差分析!$N$11)</f>
        <v/>
      </c>
      <c r="H1545" s="6" t="str">
        <f>IF(B1545="","",股指期货基差分析!$L$11)</f>
        <v/>
      </c>
      <c r="I1545" s="10" t="str">
        <f>IF(B1545="","",股指期货基差分析!$D$11)</f>
        <v/>
      </c>
      <c r="L1545" s="43"/>
    </row>
    <row r="1546" spans="2:12" ht="15" customHeight="1" x14ac:dyDescent="0.2">
      <c r="B1546" s="7"/>
      <c r="C1546" s="5" t="str">
        <f>IF(B1546="","",[1]!s_dq_close(股指期货基差分析!$E$5,$B1546))</f>
        <v/>
      </c>
      <c r="D1546" s="5" t="str">
        <f>IF(B1546="","",[1]!s_dq_close(股指期货基差分析!$E$6,$B1546))</f>
        <v/>
      </c>
      <c r="E1546" s="5" t="e">
        <f ca="1">RANK(F1546,F:F)+COUNTIF(F$2:F1546,F1546)-1</f>
        <v>#VALUE!</v>
      </c>
      <c r="F1546" s="5" t="str">
        <f t="shared" si="25"/>
        <v/>
      </c>
      <c r="G1546" s="5" t="str">
        <f>IF(B1546="","",股指期货基差分析!$N$11)</f>
        <v/>
      </c>
      <c r="H1546" s="5" t="str">
        <f>IF(B1546="","",股指期货基差分析!$L$11)</f>
        <v/>
      </c>
      <c r="I1546" s="9" t="str">
        <f>IF(B1546="","",股指期货基差分析!$D$11)</f>
        <v/>
      </c>
      <c r="L1546" s="43"/>
    </row>
    <row r="1547" spans="2:12" ht="15" customHeight="1" x14ac:dyDescent="0.2">
      <c r="B1547" s="8"/>
      <c r="C1547" s="6" t="str">
        <f>IF(B1547="","",[1]!s_dq_close(股指期货基差分析!$E$5,$B1547))</f>
        <v/>
      </c>
      <c r="D1547" s="6" t="str">
        <f>IF(B1547="","",[1]!s_dq_close(股指期货基差分析!$E$6,$B1547))</f>
        <v/>
      </c>
      <c r="E1547" s="6" t="e">
        <f ca="1">RANK(F1547,F:F)+COUNTIF(F$2:F1547,F1547)-1</f>
        <v>#VALUE!</v>
      </c>
      <c r="F1547" s="6" t="str">
        <f t="shared" si="25"/>
        <v/>
      </c>
      <c r="G1547" s="6" t="str">
        <f>IF(B1547="","",股指期货基差分析!$N$11)</f>
        <v/>
      </c>
      <c r="H1547" s="6" t="str">
        <f>IF(B1547="","",股指期货基差分析!$L$11)</f>
        <v/>
      </c>
      <c r="I1547" s="10" t="str">
        <f>IF(B1547="","",股指期货基差分析!$D$11)</f>
        <v/>
      </c>
      <c r="L1547" s="43"/>
    </row>
    <row r="1548" spans="2:12" ht="15" customHeight="1" x14ac:dyDescent="0.2">
      <c r="B1548" s="7"/>
      <c r="C1548" s="5" t="str">
        <f>IF(B1548="","",[1]!s_dq_close(股指期货基差分析!$E$5,$B1548))</f>
        <v/>
      </c>
      <c r="D1548" s="5" t="str">
        <f>IF(B1548="","",[1]!s_dq_close(股指期货基差分析!$E$6,$B1548))</f>
        <v/>
      </c>
      <c r="E1548" s="5" t="e">
        <f ca="1">RANK(F1548,F:F)+COUNTIF(F$2:F1548,F1548)-1</f>
        <v>#VALUE!</v>
      </c>
      <c r="F1548" s="5" t="str">
        <f t="shared" si="25"/>
        <v/>
      </c>
      <c r="G1548" s="5" t="str">
        <f>IF(B1548="","",股指期货基差分析!$N$11)</f>
        <v/>
      </c>
      <c r="H1548" s="5" t="str">
        <f>IF(B1548="","",股指期货基差分析!$L$11)</f>
        <v/>
      </c>
      <c r="I1548" s="9" t="str">
        <f>IF(B1548="","",股指期货基差分析!$D$11)</f>
        <v/>
      </c>
      <c r="L1548" s="43"/>
    </row>
    <row r="1549" spans="2:12" ht="15" customHeight="1" x14ac:dyDescent="0.2">
      <c r="B1549" s="8"/>
      <c r="C1549" s="6" t="str">
        <f>IF(B1549="","",[1]!s_dq_close(股指期货基差分析!$E$5,$B1549))</f>
        <v/>
      </c>
      <c r="D1549" s="6" t="str">
        <f>IF(B1549="","",[1]!s_dq_close(股指期货基差分析!$E$6,$B1549))</f>
        <v/>
      </c>
      <c r="E1549" s="6" t="e">
        <f ca="1">RANK(F1549,F:F)+COUNTIF(F$2:F1549,F1549)-1</f>
        <v>#VALUE!</v>
      </c>
      <c r="F1549" s="6" t="str">
        <f t="shared" si="25"/>
        <v/>
      </c>
      <c r="G1549" s="6" t="str">
        <f>IF(B1549="","",股指期货基差分析!$N$11)</f>
        <v/>
      </c>
      <c r="H1549" s="6" t="str">
        <f>IF(B1549="","",股指期货基差分析!$L$11)</f>
        <v/>
      </c>
      <c r="I1549" s="10" t="str">
        <f>IF(B1549="","",股指期货基差分析!$D$11)</f>
        <v/>
      </c>
      <c r="L1549" s="43"/>
    </row>
    <row r="1550" spans="2:12" ht="15" customHeight="1" x14ac:dyDescent="0.2">
      <c r="B1550" s="7"/>
      <c r="C1550" s="5" t="str">
        <f>IF(B1550="","",[1]!s_dq_close(股指期货基差分析!$E$5,$B1550))</f>
        <v/>
      </c>
      <c r="D1550" s="5" t="str">
        <f>IF(B1550="","",[1]!s_dq_close(股指期货基差分析!$E$6,$B1550))</f>
        <v/>
      </c>
      <c r="E1550" s="5" t="e">
        <f ca="1">RANK(F1550,F:F)+COUNTIF(F$2:F1550,F1550)-1</f>
        <v>#VALUE!</v>
      </c>
      <c r="F1550" s="5" t="str">
        <f t="shared" si="25"/>
        <v/>
      </c>
      <c r="G1550" s="5" t="str">
        <f>IF(B1550="","",股指期货基差分析!$N$11)</f>
        <v/>
      </c>
      <c r="H1550" s="5" t="str">
        <f>IF(B1550="","",股指期货基差分析!$L$11)</f>
        <v/>
      </c>
      <c r="I1550" s="9" t="str">
        <f>IF(B1550="","",股指期货基差分析!$D$11)</f>
        <v/>
      </c>
      <c r="L1550" s="43"/>
    </row>
    <row r="1551" spans="2:12" ht="15" customHeight="1" x14ac:dyDescent="0.2">
      <c r="B1551" s="8"/>
      <c r="C1551" s="6" t="str">
        <f>IF(B1551="","",[1]!s_dq_close(股指期货基差分析!$E$5,$B1551))</f>
        <v/>
      </c>
      <c r="D1551" s="6" t="str">
        <f>IF(B1551="","",[1]!s_dq_close(股指期货基差分析!$E$6,$B1551))</f>
        <v/>
      </c>
      <c r="E1551" s="6" t="e">
        <f ca="1">RANK(F1551,F:F)+COUNTIF(F$2:F1551,F1551)-1</f>
        <v>#VALUE!</v>
      </c>
      <c r="F1551" s="6" t="str">
        <f t="shared" si="25"/>
        <v/>
      </c>
      <c r="G1551" s="6" t="str">
        <f>IF(B1551="","",股指期货基差分析!$N$11)</f>
        <v/>
      </c>
      <c r="H1551" s="6" t="str">
        <f>IF(B1551="","",股指期货基差分析!$L$11)</f>
        <v/>
      </c>
      <c r="I1551" s="10" t="str">
        <f>IF(B1551="","",股指期货基差分析!$D$11)</f>
        <v/>
      </c>
      <c r="L1551" s="43"/>
    </row>
    <row r="1552" spans="2:12" ht="15" customHeight="1" x14ac:dyDescent="0.2">
      <c r="B1552" s="7"/>
      <c r="C1552" s="5" t="str">
        <f>IF(B1552="","",[1]!s_dq_close(股指期货基差分析!$E$5,$B1552))</f>
        <v/>
      </c>
      <c r="D1552" s="5" t="str">
        <f>IF(B1552="","",[1]!s_dq_close(股指期货基差分析!$E$6,$B1552))</f>
        <v/>
      </c>
      <c r="E1552" s="5" t="e">
        <f ca="1">RANK(F1552,F:F)+COUNTIF(F$2:F1552,F1552)-1</f>
        <v>#VALUE!</v>
      </c>
      <c r="F1552" s="5" t="str">
        <f t="shared" si="25"/>
        <v/>
      </c>
      <c r="G1552" s="5" t="str">
        <f>IF(B1552="","",股指期货基差分析!$N$11)</f>
        <v/>
      </c>
      <c r="H1552" s="5" t="str">
        <f>IF(B1552="","",股指期货基差分析!$L$11)</f>
        <v/>
      </c>
      <c r="I1552" s="9" t="str">
        <f>IF(B1552="","",股指期货基差分析!$D$11)</f>
        <v/>
      </c>
      <c r="L1552" s="43"/>
    </row>
    <row r="1553" spans="2:12" ht="15" customHeight="1" x14ac:dyDescent="0.2">
      <c r="B1553" s="8"/>
      <c r="C1553" s="6" t="str">
        <f>IF(B1553="","",[1]!s_dq_close(股指期货基差分析!$E$5,$B1553))</f>
        <v/>
      </c>
      <c r="D1553" s="6" t="str">
        <f>IF(B1553="","",[1]!s_dq_close(股指期货基差分析!$E$6,$B1553))</f>
        <v/>
      </c>
      <c r="E1553" s="6" t="e">
        <f ca="1">RANK(F1553,F:F)+COUNTIF(F$2:F1553,F1553)-1</f>
        <v>#VALUE!</v>
      </c>
      <c r="F1553" s="6" t="str">
        <f t="shared" si="25"/>
        <v/>
      </c>
      <c r="G1553" s="6" t="str">
        <f>IF(B1553="","",股指期货基差分析!$N$11)</f>
        <v/>
      </c>
      <c r="H1553" s="6" t="str">
        <f>IF(B1553="","",股指期货基差分析!$L$11)</f>
        <v/>
      </c>
      <c r="I1553" s="10" t="str">
        <f>IF(B1553="","",股指期货基差分析!$D$11)</f>
        <v/>
      </c>
      <c r="L1553" s="43"/>
    </row>
    <row r="1554" spans="2:12" ht="15" customHeight="1" x14ac:dyDescent="0.2">
      <c r="B1554" s="7"/>
      <c r="C1554" s="5" t="str">
        <f>IF(B1554="","",[1]!s_dq_close(股指期货基差分析!$E$5,$B1554))</f>
        <v/>
      </c>
      <c r="D1554" s="5" t="str">
        <f>IF(B1554="","",[1]!s_dq_close(股指期货基差分析!$E$6,$B1554))</f>
        <v/>
      </c>
      <c r="E1554" s="5" t="e">
        <f ca="1">RANK(F1554,F:F)+COUNTIF(F$2:F1554,F1554)-1</f>
        <v>#VALUE!</v>
      </c>
      <c r="F1554" s="5" t="str">
        <f t="shared" si="25"/>
        <v/>
      </c>
      <c r="G1554" s="5" t="str">
        <f>IF(B1554="","",股指期货基差分析!$N$11)</f>
        <v/>
      </c>
      <c r="H1554" s="5" t="str">
        <f>IF(B1554="","",股指期货基差分析!$L$11)</f>
        <v/>
      </c>
      <c r="I1554" s="9" t="str">
        <f>IF(B1554="","",股指期货基差分析!$D$11)</f>
        <v/>
      </c>
      <c r="L1554" s="43"/>
    </row>
    <row r="1555" spans="2:12" ht="15" customHeight="1" x14ac:dyDescent="0.2">
      <c r="B1555" s="8"/>
      <c r="C1555" s="6" t="str">
        <f>IF(B1555="","",[1]!s_dq_close(股指期货基差分析!$E$5,$B1555))</f>
        <v/>
      </c>
      <c r="D1555" s="6" t="str">
        <f>IF(B1555="","",[1]!s_dq_close(股指期货基差分析!$E$6,$B1555))</f>
        <v/>
      </c>
      <c r="E1555" s="6" t="e">
        <f ca="1">RANK(F1555,F:F)+COUNTIF(F$2:F1555,F1555)-1</f>
        <v>#VALUE!</v>
      </c>
      <c r="F1555" s="6" t="str">
        <f t="shared" si="25"/>
        <v/>
      </c>
      <c r="G1555" s="6" t="str">
        <f>IF(B1555="","",股指期货基差分析!$N$11)</f>
        <v/>
      </c>
      <c r="H1555" s="6" t="str">
        <f>IF(B1555="","",股指期货基差分析!$L$11)</f>
        <v/>
      </c>
      <c r="I1555" s="10" t="str">
        <f>IF(B1555="","",股指期货基差分析!$D$11)</f>
        <v/>
      </c>
      <c r="L1555" s="43"/>
    </row>
    <row r="1556" spans="2:12" ht="15" customHeight="1" x14ac:dyDescent="0.2">
      <c r="B1556" s="7"/>
      <c r="C1556" s="5" t="str">
        <f>IF(B1556="","",[1]!s_dq_close(股指期货基差分析!$E$5,$B1556))</f>
        <v/>
      </c>
      <c r="D1556" s="5" t="str">
        <f>IF(B1556="","",[1]!s_dq_close(股指期货基差分析!$E$6,$B1556))</f>
        <v/>
      </c>
      <c r="E1556" s="5" t="e">
        <f ca="1">RANK(F1556,F:F)+COUNTIF(F$2:F1556,F1556)-1</f>
        <v>#VALUE!</v>
      </c>
      <c r="F1556" s="5" t="str">
        <f t="shared" si="25"/>
        <v/>
      </c>
      <c r="G1556" s="5" t="str">
        <f>IF(B1556="","",股指期货基差分析!$N$11)</f>
        <v/>
      </c>
      <c r="H1556" s="5" t="str">
        <f>IF(B1556="","",股指期货基差分析!$L$11)</f>
        <v/>
      </c>
      <c r="I1556" s="9" t="str">
        <f>IF(B1556="","",股指期货基差分析!$D$11)</f>
        <v/>
      </c>
      <c r="L1556" s="43"/>
    </row>
    <row r="1557" spans="2:12" ht="15" customHeight="1" x14ac:dyDescent="0.2">
      <c r="B1557" s="8"/>
      <c r="C1557" s="6" t="str">
        <f>IF(B1557="","",[1]!s_dq_close(股指期货基差分析!$E$5,$B1557))</f>
        <v/>
      </c>
      <c r="D1557" s="6" t="str">
        <f>IF(B1557="","",[1]!s_dq_close(股指期货基差分析!$E$6,$B1557))</f>
        <v/>
      </c>
      <c r="E1557" s="6" t="e">
        <f ca="1">RANK(F1557,F:F)+COUNTIF(F$2:F1557,F1557)-1</f>
        <v>#VALUE!</v>
      </c>
      <c r="F1557" s="6" t="str">
        <f t="shared" si="25"/>
        <v/>
      </c>
      <c r="G1557" s="6" t="str">
        <f>IF(B1557="","",股指期货基差分析!$N$11)</f>
        <v/>
      </c>
      <c r="H1557" s="6" t="str">
        <f>IF(B1557="","",股指期货基差分析!$L$11)</f>
        <v/>
      </c>
      <c r="I1557" s="10" t="str">
        <f>IF(B1557="","",股指期货基差分析!$D$11)</f>
        <v/>
      </c>
      <c r="L1557" s="43"/>
    </row>
    <row r="1558" spans="2:12" ht="15" customHeight="1" x14ac:dyDescent="0.2">
      <c r="B1558" s="7"/>
      <c r="C1558" s="5" t="str">
        <f>IF(B1558="","",[1]!s_dq_close(股指期货基差分析!$E$5,$B1558))</f>
        <v/>
      </c>
      <c r="D1558" s="5" t="str">
        <f>IF(B1558="","",[1]!s_dq_close(股指期货基差分析!$E$6,$B1558))</f>
        <v/>
      </c>
      <c r="E1558" s="5" t="e">
        <f ca="1">RANK(F1558,F:F)+COUNTIF(F$2:F1558,F1558)-1</f>
        <v>#VALUE!</v>
      </c>
      <c r="F1558" s="5" t="str">
        <f t="shared" si="25"/>
        <v/>
      </c>
      <c r="G1558" s="5" t="str">
        <f>IF(B1558="","",股指期货基差分析!$N$11)</f>
        <v/>
      </c>
      <c r="H1558" s="5" t="str">
        <f>IF(B1558="","",股指期货基差分析!$L$11)</f>
        <v/>
      </c>
      <c r="I1558" s="9" t="str">
        <f>IF(B1558="","",股指期货基差分析!$D$11)</f>
        <v/>
      </c>
      <c r="L1558" s="43"/>
    </row>
    <row r="1559" spans="2:12" ht="15" customHeight="1" x14ac:dyDescent="0.2">
      <c r="B1559" s="8"/>
      <c r="C1559" s="6" t="str">
        <f>IF(B1559="","",[1]!s_dq_close(股指期货基差分析!$E$5,$B1559))</f>
        <v/>
      </c>
      <c r="D1559" s="6" t="str">
        <f>IF(B1559="","",[1]!s_dq_close(股指期货基差分析!$E$6,$B1559))</f>
        <v/>
      </c>
      <c r="E1559" s="6" t="e">
        <f ca="1">RANK(F1559,F:F)+COUNTIF(F$2:F1559,F1559)-1</f>
        <v>#VALUE!</v>
      </c>
      <c r="F1559" s="6" t="str">
        <f t="shared" si="25"/>
        <v/>
      </c>
      <c r="G1559" s="6" t="str">
        <f>IF(B1559="","",股指期货基差分析!$N$11)</f>
        <v/>
      </c>
      <c r="H1559" s="6" t="str">
        <f>IF(B1559="","",股指期货基差分析!$L$11)</f>
        <v/>
      </c>
      <c r="I1559" s="10" t="str">
        <f>IF(B1559="","",股指期货基差分析!$D$11)</f>
        <v/>
      </c>
      <c r="L1559" s="43"/>
    </row>
    <row r="1560" spans="2:12" ht="15" customHeight="1" x14ac:dyDescent="0.2">
      <c r="B1560" s="7"/>
      <c r="C1560" s="5" t="str">
        <f>IF(B1560="","",[1]!s_dq_close(股指期货基差分析!$E$5,$B1560))</f>
        <v/>
      </c>
      <c r="D1560" s="5" t="str">
        <f>IF(B1560="","",[1]!s_dq_close(股指期货基差分析!$E$6,$B1560))</f>
        <v/>
      </c>
      <c r="E1560" s="5" t="e">
        <f ca="1">RANK(F1560,F:F)+COUNTIF(F$2:F1560,F1560)-1</f>
        <v>#VALUE!</v>
      </c>
      <c r="F1560" s="5" t="str">
        <f t="shared" si="25"/>
        <v/>
      </c>
      <c r="G1560" s="5" t="str">
        <f>IF(B1560="","",股指期货基差分析!$N$11)</f>
        <v/>
      </c>
      <c r="H1560" s="5" t="str">
        <f>IF(B1560="","",股指期货基差分析!$L$11)</f>
        <v/>
      </c>
      <c r="I1560" s="9" t="str">
        <f>IF(B1560="","",股指期货基差分析!$D$11)</f>
        <v/>
      </c>
      <c r="L1560" s="43"/>
    </row>
    <row r="1561" spans="2:12" ht="15" customHeight="1" x14ac:dyDescent="0.2">
      <c r="B1561" s="8"/>
      <c r="C1561" s="6" t="str">
        <f>IF(B1561="","",[1]!s_dq_close(股指期货基差分析!$E$5,$B1561))</f>
        <v/>
      </c>
      <c r="D1561" s="6" t="str">
        <f>IF(B1561="","",[1]!s_dq_close(股指期货基差分析!$E$6,$B1561))</f>
        <v/>
      </c>
      <c r="E1561" s="6" t="e">
        <f ca="1">RANK(F1561,F:F)+COUNTIF(F$2:F1561,F1561)-1</f>
        <v>#VALUE!</v>
      </c>
      <c r="F1561" s="6" t="str">
        <f t="shared" si="25"/>
        <v/>
      </c>
      <c r="G1561" s="6" t="str">
        <f>IF(B1561="","",股指期货基差分析!$N$11)</f>
        <v/>
      </c>
      <c r="H1561" s="6" t="str">
        <f>IF(B1561="","",股指期货基差分析!$L$11)</f>
        <v/>
      </c>
      <c r="I1561" s="10" t="str">
        <f>IF(B1561="","",股指期货基差分析!$D$11)</f>
        <v/>
      </c>
      <c r="L1561" s="43"/>
    </row>
    <row r="1562" spans="2:12" ht="15" customHeight="1" x14ac:dyDescent="0.2">
      <c r="B1562" s="7"/>
      <c r="C1562" s="5" t="str">
        <f>IF(B1562="","",[1]!s_dq_close(股指期货基差分析!$E$5,$B1562))</f>
        <v/>
      </c>
      <c r="D1562" s="5" t="str">
        <f>IF(B1562="","",[1]!s_dq_close(股指期货基差分析!$E$6,$B1562))</f>
        <v/>
      </c>
      <c r="E1562" s="5" t="e">
        <f ca="1">RANK(F1562,F:F)+COUNTIF(F$2:F1562,F1562)-1</f>
        <v>#VALUE!</v>
      </c>
      <c r="F1562" s="5" t="str">
        <f t="shared" si="25"/>
        <v/>
      </c>
      <c r="G1562" s="5" t="str">
        <f>IF(B1562="","",股指期货基差分析!$N$11)</f>
        <v/>
      </c>
      <c r="H1562" s="5" t="str">
        <f>IF(B1562="","",股指期货基差分析!$L$11)</f>
        <v/>
      </c>
      <c r="I1562" s="9" t="str">
        <f>IF(B1562="","",股指期货基差分析!$D$11)</f>
        <v/>
      </c>
      <c r="L1562" s="43"/>
    </row>
    <row r="1563" spans="2:12" ht="15" customHeight="1" x14ac:dyDescent="0.2">
      <c r="B1563" s="8"/>
      <c r="C1563" s="6" t="str">
        <f>IF(B1563="","",[1]!s_dq_close(股指期货基差分析!$E$5,$B1563))</f>
        <v/>
      </c>
      <c r="D1563" s="6" t="str">
        <f>IF(B1563="","",[1]!s_dq_close(股指期货基差分析!$E$6,$B1563))</f>
        <v/>
      </c>
      <c r="E1563" s="6" t="e">
        <f ca="1">RANK(F1563,F:F)+COUNTIF(F$2:F1563,F1563)-1</f>
        <v>#VALUE!</v>
      </c>
      <c r="F1563" s="6" t="str">
        <f t="shared" si="25"/>
        <v/>
      </c>
      <c r="G1563" s="6" t="str">
        <f>IF(B1563="","",股指期货基差分析!$N$11)</f>
        <v/>
      </c>
      <c r="H1563" s="6" t="str">
        <f>IF(B1563="","",股指期货基差分析!$L$11)</f>
        <v/>
      </c>
      <c r="I1563" s="10" t="str">
        <f>IF(B1563="","",股指期货基差分析!$D$11)</f>
        <v/>
      </c>
      <c r="L1563" s="43"/>
    </row>
    <row r="1564" spans="2:12" ht="15" customHeight="1" x14ac:dyDescent="0.2">
      <c r="B1564" s="7"/>
      <c r="C1564" s="5" t="str">
        <f>IF(B1564="","",[1]!s_dq_close(股指期货基差分析!$E$5,$B1564))</f>
        <v/>
      </c>
      <c r="D1564" s="5" t="str">
        <f>IF(B1564="","",[1]!s_dq_close(股指期货基差分析!$E$6,$B1564))</f>
        <v/>
      </c>
      <c r="E1564" s="5" t="e">
        <f ca="1">RANK(F1564,F:F)+COUNTIF(F$2:F1564,F1564)-1</f>
        <v>#VALUE!</v>
      </c>
      <c r="F1564" s="5" t="str">
        <f t="shared" si="25"/>
        <v/>
      </c>
      <c r="G1564" s="5" t="str">
        <f>IF(B1564="","",股指期货基差分析!$N$11)</f>
        <v/>
      </c>
      <c r="H1564" s="5" t="str">
        <f>IF(B1564="","",股指期货基差分析!$L$11)</f>
        <v/>
      </c>
      <c r="I1564" s="9" t="str">
        <f>IF(B1564="","",股指期货基差分析!$D$11)</f>
        <v/>
      </c>
      <c r="L1564" s="43"/>
    </row>
    <row r="1565" spans="2:12" ht="15" customHeight="1" x14ac:dyDescent="0.2">
      <c r="B1565" s="8"/>
      <c r="C1565" s="6" t="str">
        <f>IF(B1565="","",[1]!s_dq_close(股指期货基差分析!$E$5,$B1565))</f>
        <v/>
      </c>
      <c r="D1565" s="6" t="str">
        <f>IF(B1565="","",[1]!s_dq_close(股指期货基差分析!$E$6,$B1565))</f>
        <v/>
      </c>
      <c r="E1565" s="6" t="e">
        <f ca="1">RANK(F1565,F:F)+COUNTIF(F$2:F1565,F1565)-1</f>
        <v>#VALUE!</v>
      </c>
      <c r="F1565" s="6" t="str">
        <f t="shared" si="25"/>
        <v/>
      </c>
      <c r="G1565" s="6" t="str">
        <f>IF(B1565="","",股指期货基差分析!$N$11)</f>
        <v/>
      </c>
      <c r="H1565" s="6" t="str">
        <f>IF(B1565="","",股指期货基差分析!$L$11)</f>
        <v/>
      </c>
      <c r="I1565" s="10" t="str">
        <f>IF(B1565="","",股指期货基差分析!$D$11)</f>
        <v/>
      </c>
      <c r="L1565" s="43"/>
    </row>
    <row r="1566" spans="2:12" ht="15" customHeight="1" x14ac:dyDescent="0.2">
      <c r="B1566" s="7"/>
      <c r="C1566" s="5" t="str">
        <f>IF(B1566="","",[1]!s_dq_close(股指期货基差分析!$E$5,$B1566))</f>
        <v/>
      </c>
      <c r="D1566" s="5" t="str">
        <f>IF(B1566="","",[1]!s_dq_close(股指期货基差分析!$E$6,$B1566))</f>
        <v/>
      </c>
      <c r="E1566" s="5" t="e">
        <f ca="1">RANK(F1566,F:F)+COUNTIF(F$2:F1566,F1566)-1</f>
        <v>#VALUE!</v>
      </c>
      <c r="F1566" s="5" t="str">
        <f t="shared" si="25"/>
        <v/>
      </c>
      <c r="G1566" s="5" t="str">
        <f>IF(B1566="","",股指期货基差分析!$N$11)</f>
        <v/>
      </c>
      <c r="H1566" s="5" t="str">
        <f>IF(B1566="","",股指期货基差分析!$L$11)</f>
        <v/>
      </c>
      <c r="I1566" s="9" t="str">
        <f>IF(B1566="","",股指期货基差分析!$D$11)</f>
        <v/>
      </c>
      <c r="L1566" s="43"/>
    </row>
    <row r="1567" spans="2:12" ht="15" customHeight="1" x14ac:dyDescent="0.2">
      <c r="B1567" s="8"/>
      <c r="C1567" s="6" t="str">
        <f>IF(B1567="","",[1]!s_dq_close(股指期货基差分析!$E$5,$B1567))</f>
        <v/>
      </c>
      <c r="D1567" s="6" t="str">
        <f>IF(B1567="","",[1]!s_dq_close(股指期货基差分析!$E$6,$B1567))</f>
        <v/>
      </c>
      <c r="E1567" s="6" t="e">
        <f ca="1">RANK(F1567,F:F)+COUNTIF(F$2:F1567,F1567)-1</f>
        <v>#VALUE!</v>
      </c>
      <c r="F1567" s="6" t="str">
        <f t="shared" si="25"/>
        <v/>
      </c>
      <c r="G1567" s="6" t="str">
        <f>IF(B1567="","",股指期货基差分析!$N$11)</f>
        <v/>
      </c>
      <c r="H1567" s="6" t="str">
        <f>IF(B1567="","",股指期货基差分析!$L$11)</f>
        <v/>
      </c>
      <c r="I1567" s="10" t="str">
        <f>IF(B1567="","",股指期货基差分析!$D$11)</f>
        <v/>
      </c>
      <c r="L1567" s="43"/>
    </row>
    <row r="1568" spans="2:12" ht="15" customHeight="1" x14ac:dyDescent="0.2">
      <c r="B1568" s="7"/>
      <c r="C1568" s="5" t="str">
        <f>IF(B1568="","",[1]!s_dq_close(股指期货基差分析!$E$5,$B1568))</f>
        <v/>
      </c>
      <c r="D1568" s="5" t="str">
        <f>IF(B1568="","",[1]!s_dq_close(股指期货基差分析!$E$6,$B1568))</f>
        <v/>
      </c>
      <c r="E1568" s="5" t="e">
        <f ca="1">RANK(F1568,F:F)+COUNTIF(F$2:F1568,F1568)-1</f>
        <v>#VALUE!</v>
      </c>
      <c r="F1568" s="5" t="str">
        <f t="shared" si="25"/>
        <v/>
      </c>
      <c r="G1568" s="5" t="str">
        <f>IF(B1568="","",股指期货基差分析!$N$11)</f>
        <v/>
      </c>
      <c r="H1568" s="5" t="str">
        <f>IF(B1568="","",股指期货基差分析!$L$11)</f>
        <v/>
      </c>
      <c r="I1568" s="9" t="str">
        <f>IF(B1568="","",股指期货基差分析!$D$11)</f>
        <v/>
      </c>
      <c r="L1568" s="43"/>
    </row>
    <row r="1569" spans="2:12" ht="15" customHeight="1" x14ac:dyDescent="0.2">
      <c r="B1569" s="8"/>
      <c r="C1569" s="6" t="str">
        <f>IF(B1569="","",[1]!s_dq_close(股指期货基差分析!$E$5,$B1569))</f>
        <v/>
      </c>
      <c r="D1569" s="6" t="str">
        <f>IF(B1569="","",[1]!s_dq_close(股指期货基差分析!$E$6,$B1569))</f>
        <v/>
      </c>
      <c r="E1569" s="6" t="e">
        <f ca="1">RANK(F1569,F:F)+COUNTIF(F$2:F1569,F1569)-1</f>
        <v>#VALUE!</v>
      </c>
      <c r="F1569" s="6" t="str">
        <f t="shared" si="25"/>
        <v/>
      </c>
      <c r="G1569" s="6" t="str">
        <f>IF(B1569="","",股指期货基差分析!$N$11)</f>
        <v/>
      </c>
      <c r="H1569" s="6" t="str">
        <f>IF(B1569="","",股指期货基差分析!$L$11)</f>
        <v/>
      </c>
      <c r="I1569" s="10" t="str">
        <f>IF(B1569="","",股指期货基差分析!$D$11)</f>
        <v/>
      </c>
      <c r="L1569" s="43"/>
    </row>
    <row r="1570" spans="2:12" ht="15" customHeight="1" x14ac:dyDescent="0.2">
      <c r="B1570" s="7"/>
      <c r="C1570" s="5" t="str">
        <f>IF(B1570="","",[1]!s_dq_close(股指期货基差分析!$E$5,$B1570))</f>
        <v/>
      </c>
      <c r="D1570" s="5" t="str">
        <f>IF(B1570="","",[1]!s_dq_close(股指期货基差分析!$E$6,$B1570))</f>
        <v/>
      </c>
      <c r="E1570" s="5" t="e">
        <f ca="1">RANK(F1570,F:F)+COUNTIF(F$2:F1570,F1570)-1</f>
        <v>#VALUE!</v>
      </c>
      <c r="F1570" s="5" t="str">
        <f t="shared" si="25"/>
        <v/>
      </c>
      <c r="G1570" s="5" t="str">
        <f>IF(B1570="","",股指期货基差分析!$N$11)</f>
        <v/>
      </c>
      <c r="H1570" s="5" t="str">
        <f>IF(B1570="","",股指期货基差分析!$L$11)</f>
        <v/>
      </c>
      <c r="I1570" s="9" t="str">
        <f>IF(B1570="","",股指期货基差分析!$D$11)</f>
        <v/>
      </c>
      <c r="L1570" s="43"/>
    </row>
    <row r="1571" spans="2:12" ht="15" customHeight="1" x14ac:dyDescent="0.2">
      <c r="B1571" s="8"/>
      <c r="C1571" s="6" t="str">
        <f>IF(B1571="","",[1]!s_dq_close(股指期货基差分析!$E$5,$B1571))</f>
        <v/>
      </c>
      <c r="D1571" s="6" t="str">
        <f>IF(B1571="","",[1]!s_dq_close(股指期货基差分析!$E$6,$B1571))</f>
        <v/>
      </c>
      <c r="E1571" s="6" t="e">
        <f ca="1">RANK(F1571,F:F)+COUNTIF(F$2:F1571,F1571)-1</f>
        <v>#VALUE!</v>
      </c>
      <c r="F1571" s="6" t="str">
        <f t="shared" si="25"/>
        <v/>
      </c>
      <c r="G1571" s="6" t="str">
        <f>IF(B1571="","",股指期货基差分析!$N$11)</f>
        <v/>
      </c>
      <c r="H1571" s="6" t="str">
        <f>IF(B1571="","",股指期货基差分析!$L$11)</f>
        <v/>
      </c>
      <c r="I1571" s="10" t="str">
        <f>IF(B1571="","",股指期货基差分析!$D$11)</f>
        <v/>
      </c>
      <c r="L1571" s="43"/>
    </row>
    <row r="1572" spans="2:12" ht="15" customHeight="1" x14ac:dyDescent="0.2">
      <c r="B1572" s="7"/>
      <c r="C1572" s="5" t="str">
        <f>IF(B1572="","",[1]!s_dq_close(股指期货基差分析!$E$5,$B1572))</f>
        <v/>
      </c>
      <c r="D1572" s="5" t="str">
        <f>IF(B1572="","",[1]!s_dq_close(股指期货基差分析!$E$6,$B1572))</f>
        <v/>
      </c>
      <c r="E1572" s="5" t="e">
        <f ca="1">RANK(F1572,F:F)+COUNTIF(F$2:F1572,F1572)-1</f>
        <v>#VALUE!</v>
      </c>
      <c r="F1572" s="5" t="str">
        <f t="shared" si="25"/>
        <v/>
      </c>
      <c r="G1572" s="5" t="str">
        <f>IF(B1572="","",股指期货基差分析!$N$11)</f>
        <v/>
      </c>
      <c r="H1572" s="5" t="str">
        <f>IF(B1572="","",股指期货基差分析!$L$11)</f>
        <v/>
      </c>
      <c r="I1572" s="9" t="str">
        <f>IF(B1572="","",股指期货基差分析!$D$11)</f>
        <v/>
      </c>
      <c r="L1572" s="43"/>
    </row>
    <row r="1573" spans="2:12" ht="15" customHeight="1" x14ac:dyDescent="0.2">
      <c r="B1573" s="8"/>
      <c r="C1573" s="6" t="str">
        <f>IF(B1573="","",[1]!s_dq_close(股指期货基差分析!$E$5,$B1573))</f>
        <v/>
      </c>
      <c r="D1573" s="6" t="str">
        <f>IF(B1573="","",[1]!s_dq_close(股指期货基差分析!$E$6,$B1573))</f>
        <v/>
      </c>
      <c r="E1573" s="6" t="e">
        <f ca="1">RANK(F1573,F:F)+COUNTIF(F$2:F1573,F1573)-1</f>
        <v>#VALUE!</v>
      </c>
      <c r="F1573" s="6" t="str">
        <f t="shared" si="25"/>
        <v/>
      </c>
      <c r="G1573" s="6" t="str">
        <f>IF(B1573="","",股指期货基差分析!$N$11)</f>
        <v/>
      </c>
      <c r="H1573" s="6" t="str">
        <f>IF(B1573="","",股指期货基差分析!$L$11)</f>
        <v/>
      </c>
      <c r="I1573" s="10" t="str">
        <f>IF(B1573="","",股指期货基差分析!$D$11)</f>
        <v/>
      </c>
      <c r="L1573" s="43"/>
    </row>
    <row r="1574" spans="2:12" ht="15" customHeight="1" x14ac:dyDescent="0.2">
      <c r="B1574" s="7"/>
      <c r="C1574" s="5" t="str">
        <f>IF(B1574="","",[1]!s_dq_close(股指期货基差分析!$E$5,$B1574))</f>
        <v/>
      </c>
      <c r="D1574" s="5" t="str">
        <f>IF(B1574="","",[1]!s_dq_close(股指期货基差分析!$E$6,$B1574))</f>
        <v/>
      </c>
      <c r="E1574" s="5" t="e">
        <f ca="1">RANK(F1574,F:F)+COUNTIF(F$2:F1574,F1574)-1</f>
        <v>#VALUE!</v>
      </c>
      <c r="F1574" s="5" t="str">
        <f t="shared" si="25"/>
        <v/>
      </c>
      <c r="G1574" s="5" t="str">
        <f>IF(B1574="","",股指期货基差分析!$N$11)</f>
        <v/>
      </c>
      <c r="H1574" s="5" t="str">
        <f>IF(B1574="","",股指期货基差分析!$L$11)</f>
        <v/>
      </c>
      <c r="I1574" s="9" t="str">
        <f>IF(B1574="","",股指期货基差分析!$D$11)</f>
        <v/>
      </c>
      <c r="L1574" s="43"/>
    </row>
    <row r="1575" spans="2:12" ht="15" customHeight="1" x14ac:dyDescent="0.2">
      <c r="B1575" s="8"/>
      <c r="C1575" s="6" t="str">
        <f>IF(B1575="","",[1]!s_dq_close(股指期货基差分析!$E$5,$B1575))</f>
        <v/>
      </c>
      <c r="D1575" s="6" t="str">
        <f>IF(B1575="","",[1]!s_dq_close(股指期货基差分析!$E$6,$B1575))</f>
        <v/>
      </c>
      <c r="E1575" s="6" t="e">
        <f ca="1">RANK(F1575,F:F)+COUNTIF(F$2:F1575,F1575)-1</f>
        <v>#VALUE!</v>
      </c>
      <c r="F1575" s="6" t="str">
        <f t="shared" si="25"/>
        <v/>
      </c>
      <c r="G1575" s="6" t="str">
        <f>IF(B1575="","",股指期货基差分析!$N$11)</f>
        <v/>
      </c>
      <c r="H1575" s="6" t="str">
        <f>IF(B1575="","",股指期货基差分析!$L$11)</f>
        <v/>
      </c>
      <c r="I1575" s="10" t="str">
        <f>IF(B1575="","",股指期货基差分析!$D$11)</f>
        <v/>
      </c>
      <c r="L1575" s="43"/>
    </row>
    <row r="1576" spans="2:12" ht="15" customHeight="1" x14ac:dyDescent="0.2">
      <c r="B1576" s="7"/>
      <c r="C1576" s="5" t="str">
        <f>IF(B1576="","",[1]!s_dq_close(股指期货基差分析!$E$5,$B1576))</f>
        <v/>
      </c>
      <c r="D1576" s="5" t="str">
        <f>IF(B1576="","",[1]!s_dq_close(股指期货基差分析!$E$6,$B1576))</f>
        <v/>
      </c>
      <c r="E1576" s="5" t="e">
        <f ca="1">RANK(F1576,F:F)+COUNTIF(F$2:F1576,F1576)-1</f>
        <v>#VALUE!</v>
      </c>
      <c r="F1576" s="5" t="str">
        <f t="shared" si="25"/>
        <v/>
      </c>
      <c r="G1576" s="5" t="str">
        <f>IF(B1576="","",股指期货基差分析!$N$11)</f>
        <v/>
      </c>
      <c r="H1576" s="5" t="str">
        <f>IF(B1576="","",股指期货基差分析!$L$11)</f>
        <v/>
      </c>
      <c r="I1576" s="9" t="str">
        <f>IF(B1576="","",股指期货基差分析!$D$11)</f>
        <v/>
      </c>
      <c r="L1576" s="43"/>
    </row>
    <row r="1577" spans="2:12" ht="15" customHeight="1" x14ac:dyDescent="0.2">
      <c r="B1577" s="8"/>
      <c r="C1577" s="6" t="str">
        <f>IF(B1577="","",[1]!s_dq_close(股指期货基差分析!$E$5,$B1577))</f>
        <v/>
      </c>
      <c r="D1577" s="6" t="str">
        <f>IF(B1577="","",[1]!s_dq_close(股指期货基差分析!$E$6,$B1577))</f>
        <v/>
      </c>
      <c r="E1577" s="6" t="e">
        <f ca="1">RANK(F1577,F:F)+COUNTIF(F$2:F1577,F1577)-1</f>
        <v>#VALUE!</v>
      </c>
      <c r="F1577" s="6" t="str">
        <f t="shared" si="25"/>
        <v/>
      </c>
      <c r="G1577" s="6" t="str">
        <f>IF(B1577="","",股指期货基差分析!$N$11)</f>
        <v/>
      </c>
      <c r="H1577" s="6" t="str">
        <f>IF(B1577="","",股指期货基差分析!$L$11)</f>
        <v/>
      </c>
      <c r="I1577" s="10" t="str">
        <f>IF(B1577="","",股指期货基差分析!$D$11)</f>
        <v/>
      </c>
      <c r="L1577" s="43"/>
    </row>
    <row r="1578" spans="2:12" ht="15" customHeight="1" x14ac:dyDescent="0.2">
      <c r="B1578" s="7"/>
      <c r="C1578" s="5" t="str">
        <f>IF(B1578="","",[1]!s_dq_close(股指期货基差分析!$E$5,$B1578))</f>
        <v/>
      </c>
      <c r="D1578" s="5" t="str">
        <f>IF(B1578="","",[1]!s_dq_close(股指期货基差分析!$E$6,$B1578))</f>
        <v/>
      </c>
      <c r="E1578" s="5" t="e">
        <f ca="1">RANK(F1578,F:F)+COUNTIF(F$2:F1578,F1578)-1</f>
        <v>#VALUE!</v>
      </c>
      <c r="F1578" s="5" t="str">
        <f t="shared" si="25"/>
        <v/>
      </c>
      <c r="G1578" s="5" t="str">
        <f>IF(B1578="","",股指期货基差分析!$N$11)</f>
        <v/>
      </c>
      <c r="H1578" s="5" t="str">
        <f>IF(B1578="","",股指期货基差分析!$L$11)</f>
        <v/>
      </c>
      <c r="I1578" s="9" t="str">
        <f>IF(B1578="","",股指期货基差分析!$D$11)</f>
        <v/>
      </c>
      <c r="L1578" s="43"/>
    </row>
    <row r="1579" spans="2:12" ht="15" customHeight="1" x14ac:dyDescent="0.2">
      <c r="B1579" s="8"/>
      <c r="C1579" s="6" t="str">
        <f>IF(B1579="","",[1]!s_dq_close(股指期货基差分析!$E$5,$B1579))</f>
        <v/>
      </c>
      <c r="D1579" s="6" t="str">
        <f>IF(B1579="","",[1]!s_dq_close(股指期货基差分析!$E$6,$B1579))</f>
        <v/>
      </c>
      <c r="E1579" s="6" t="e">
        <f ca="1">RANK(F1579,F:F)+COUNTIF(F$2:F1579,F1579)-1</f>
        <v>#VALUE!</v>
      </c>
      <c r="F1579" s="6" t="str">
        <f t="shared" si="25"/>
        <v/>
      </c>
      <c r="G1579" s="6" t="str">
        <f>IF(B1579="","",股指期货基差分析!$N$11)</f>
        <v/>
      </c>
      <c r="H1579" s="6" t="str">
        <f>IF(B1579="","",股指期货基差分析!$L$11)</f>
        <v/>
      </c>
      <c r="I1579" s="10" t="str">
        <f>IF(B1579="","",股指期货基差分析!$D$11)</f>
        <v/>
      </c>
      <c r="L1579" s="43"/>
    </row>
    <row r="1580" spans="2:12" ht="15" customHeight="1" x14ac:dyDescent="0.2">
      <c r="B1580" s="7"/>
      <c r="C1580" s="5" t="str">
        <f>IF(B1580="","",[1]!s_dq_close(股指期货基差分析!$E$5,$B1580))</f>
        <v/>
      </c>
      <c r="D1580" s="5" t="str">
        <f>IF(B1580="","",[1]!s_dq_close(股指期货基差分析!$E$6,$B1580))</f>
        <v/>
      </c>
      <c r="E1580" s="5" t="e">
        <f ca="1">RANK(F1580,F:F)+COUNTIF(F$2:F1580,F1580)-1</f>
        <v>#VALUE!</v>
      </c>
      <c r="F1580" s="5" t="str">
        <f t="shared" si="25"/>
        <v/>
      </c>
      <c r="G1580" s="5" t="str">
        <f>IF(B1580="","",股指期货基差分析!$N$11)</f>
        <v/>
      </c>
      <c r="H1580" s="5" t="str">
        <f>IF(B1580="","",股指期货基差分析!$L$11)</f>
        <v/>
      </c>
      <c r="I1580" s="9" t="str">
        <f>IF(B1580="","",股指期货基差分析!$D$11)</f>
        <v/>
      </c>
      <c r="L1580" s="43"/>
    </row>
    <row r="1581" spans="2:12" ht="15" customHeight="1" x14ac:dyDescent="0.2">
      <c r="B1581" s="8"/>
      <c r="C1581" s="6" t="str">
        <f>IF(B1581="","",[1]!s_dq_close(股指期货基差分析!$E$5,$B1581))</f>
        <v/>
      </c>
      <c r="D1581" s="6" t="str">
        <f>IF(B1581="","",[1]!s_dq_close(股指期货基差分析!$E$6,$B1581))</f>
        <v/>
      </c>
      <c r="E1581" s="6" t="e">
        <f ca="1">RANK(F1581,F:F)+COUNTIF(F$2:F1581,F1581)-1</f>
        <v>#VALUE!</v>
      </c>
      <c r="F1581" s="6" t="str">
        <f t="shared" si="25"/>
        <v/>
      </c>
      <c r="G1581" s="6" t="str">
        <f>IF(B1581="","",股指期货基差分析!$N$11)</f>
        <v/>
      </c>
      <c r="H1581" s="6" t="str">
        <f>IF(B1581="","",股指期货基差分析!$L$11)</f>
        <v/>
      </c>
      <c r="I1581" s="10" t="str">
        <f>IF(B1581="","",股指期货基差分析!$D$11)</f>
        <v/>
      </c>
      <c r="L1581" s="43"/>
    </row>
    <row r="1582" spans="2:12" ht="15" customHeight="1" x14ac:dyDescent="0.2">
      <c r="B1582" s="7"/>
      <c r="C1582" s="5" t="str">
        <f>IF(B1582="","",[1]!s_dq_close(股指期货基差分析!$E$5,$B1582))</f>
        <v/>
      </c>
      <c r="D1582" s="5" t="str">
        <f>IF(B1582="","",[1]!s_dq_close(股指期货基差分析!$E$6,$B1582))</f>
        <v/>
      </c>
      <c r="E1582" s="5" t="e">
        <f ca="1">RANK(F1582,F:F)+COUNTIF(F$2:F1582,F1582)-1</f>
        <v>#VALUE!</v>
      </c>
      <c r="F1582" s="5" t="str">
        <f t="shared" si="25"/>
        <v/>
      </c>
      <c r="G1582" s="5" t="str">
        <f>IF(B1582="","",股指期货基差分析!$N$11)</f>
        <v/>
      </c>
      <c r="H1582" s="5" t="str">
        <f>IF(B1582="","",股指期货基差分析!$L$11)</f>
        <v/>
      </c>
      <c r="I1582" s="9" t="str">
        <f>IF(B1582="","",股指期货基差分析!$D$11)</f>
        <v/>
      </c>
      <c r="L1582" s="43"/>
    </row>
    <row r="1583" spans="2:12" ht="15" customHeight="1" x14ac:dyDescent="0.2">
      <c r="B1583" s="8"/>
      <c r="C1583" s="6" t="str">
        <f>IF(B1583="","",[1]!s_dq_close(股指期货基差分析!$E$5,$B1583))</f>
        <v/>
      </c>
      <c r="D1583" s="6" t="str">
        <f>IF(B1583="","",[1]!s_dq_close(股指期货基差分析!$E$6,$B1583))</f>
        <v/>
      </c>
      <c r="E1583" s="6" t="e">
        <f ca="1">RANK(F1583,F:F)+COUNTIF(F$2:F1583,F1583)-1</f>
        <v>#VALUE!</v>
      </c>
      <c r="F1583" s="6" t="str">
        <f t="shared" si="25"/>
        <v/>
      </c>
      <c r="G1583" s="6" t="str">
        <f>IF(B1583="","",股指期货基差分析!$N$11)</f>
        <v/>
      </c>
      <c r="H1583" s="6" t="str">
        <f>IF(B1583="","",股指期货基差分析!$L$11)</f>
        <v/>
      </c>
      <c r="I1583" s="10" t="str">
        <f>IF(B1583="","",股指期货基差分析!$D$11)</f>
        <v/>
      </c>
      <c r="L1583" s="43"/>
    </row>
    <row r="1584" spans="2:12" ht="15" customHeight="1" x14ac:dyDescent="0.2">
      <c r="B1584" s="7"/>
      <c r="C1584" s="5" t="str">
        <f>IF(B1584="","",[1]!s_dq_close(股指期货基差分析!$E$5,$B1584))</f>
        <v/>
      </c>
      <c r="D1584" s="5" t="str">
        <f>IF(B1584="","",[1]!s_dq_close(股指期货基差分析!$E$6,$B1584))</f>
        <v/>
      </c>
      <c r="E1584" s="5" t="e">
        <f ca="1">RANK(F1584,F:F)+COUNTIF(F$2:F1584,F1584)-1</f>
        <v>#VALUE!</v>
      </c>
      <c r="F1584" s="5" t="str">
        <f t="shared" si="25"/>
        <v/>
      </c>
      <c r="G1584" s="5" t="str">
        <f>IF(B1584="","",股指期货基差分析!$N$11)</f>
        <v/>
      </c>
      <c r="H1584" s="5" t="str">
        <f>IF(B1584="","",股指期货基差分析!$L$11)</f>
        <v/>
      </c>
      <c r="I1584" s="9" t="str">
        <f>IF(B1584="","",股指期货基差分析!$D$11)</f>
        <v/>
      </c>
      <c r="L1584" s="43"/>
    </row>
    <row r="1585" spans="2:12" ht="15" customHeight="1" x14ac:dyDescent="0.2">
      <c r="B1585" s="8"/>
      <c r="C1585" s="6" t="str">
        <f>IF(B1585="","",[1]!s_dq_close(股指期货基差分析!$E$5,$B1585))</f>
        <v/>
      </c>
      <c r="D1585" s="6" t="str">
        <f>IF(B1585="","",[1]!s_dq_close(股指期货基差分析!$E$6,$B1585))</f>
        <v/>
      </c>
      <c r="E1585" s="6" t="e">
        <f ca="1">RANK(F1585,F:F)+COUNTIF(F$2:F1585,F1585)-1</f>
        <v>#VALUE!</v>
      </c>
      <c r="F1585" s="6" t="str">
        <f t="shared" si="25"/>
        <v/>
      </c>
      <c r="G1585" s="6" t="str">
        <f>IF(B1585="","",股指期货基差分析!$N$11)</f>
        <v/>
      </c>
      <c r="H1585" s="6" t="str">
        <f>IF(B1585="","",股指期货基差分析!$L$11)</f>
        <v/>
      </c>
      <c r="I1585" s="10" t="str">
        <f>IF(B1585="","",股指期货基差分析!$D$11)</f>
        <v/>
      </c>
      <c r="L1585" s="43"/>
    </row>
    <row r="1586" spans="2:12" ht="15" customHeight="1" x14ac:dyDescent="0.2">
      <c r="B1586" s="7"/>
      <c r="C1586" s="5" t="str">
        <f>IF(B1586="","",[1]!s_dq_close(股指期货基差分析!$E$5,$B1586))</f>
        <v/>
      </c>
      <c r="D1586" s="5" t="str">
        <f>IF(B1586="","",[1]!s_dq_close(股指期货基差分析!$E$6,$B1586))</f>
        <v/>
      </c>
      <c r="E1586" s="5" t="e">
        <f ca="1">RANK(F1586,F:F)+COUNTIF(F$2:F1586,F1586)-1</f>
        <v>#VALUE!</v>
      </c>
      <c r="F1586" s="5" t="str">
        <f t="shared" si="25"/>
        <v/>
      </c>
      <c r="G1586" s="5" t="str">
        <f>IF(B1586="","",股指期货基差分析!$N$11)</f>
        <v/>
      </c>
      <c r="H1586" s="5" t="str">
        <f>IF(B1586="","",股指期货基差分析!$L$11)</f>
        <v/>
      </c>
      <c r="I1586" s="9" t="str">
        <f>IF(B1586="","",股指期货基差分析!$D$11)</f>
        <v/>
      </c>
      <c r="L1586" s="43"/>
    </row>
    <row r="1587" spans="2:12" ht="15" customHeight="1" x14ac:dyDescent="0.2">
      <c r="B1587" s="8"/>
      <c r="C1587" s="6" t="str">
        <f>IF(B1587="","",[1]!s_dq_close(股指期货基差分析!$E$5,$B1587))</f>
        <v/>
      </c>
      <c r="D1587" s="6" t="str">
        <f>IF(B1587="","",[1]!s_dq_close(股指期货基差分析!$E$6,$B1587))</f>
        <v/>
      </c>
      <c r="E1587" s="6" t="e">
        <f ca="1">RANK(F1587,F:F)+COUNTIF(F$2:F1587,F1587)-1</f>
        <v>#VALUE!</v>
      </c>
      <c r="F1587" s="6" t="str">
        <f t="shared" si="25"/>
        <v/>
      </c>
      <c r="G1587" s="6" t="str">
        <f>IF(B1587="","",股指期货基差分析!$N$11)</f>
        <v/>
      </c>
      <c r="H1587" s="6" t="str">
        <f>IF(B1587="","",股指期货基差分析!$L$11)</f>
        <v/>
      </c>
      <c r="I1587" s="10" t="str">
        <f>IF(B1587="","",股指期货基差分析!$D$11)</f>
        <v/>
      </c>
      <c r="L1587" s="43"/>
    </row>
    <row r="1588" spans="2:12" ht="15" customHeight="1" x14ac:dyDescent="0.2">
      <c r="B1588" s="7"/>
      <c r="C1588" s="5" t="str">
        <f>IF(B1588="","",[1]!s_dq_close(股指期货基差分析!$E$5,$B1588))</f>
        <v/>
      </c>
      <c r="D1588" s="5" t="str">
        <f>IF(B1588="","",[1]!s_dq_close(股指期货基差分析!$E$6,$B1588))</f>
        <v/>
      </c>
      <c r="E1588" s="5" t="e">
        <f ca="1">RANK(F1588,F:F)+COUNTIF(F$2:F1588,F1588)-1</f>
        <v>#VALUE!</v>
      </c>
      <c r="F1588" s="5" t="str">
        <f t="shared" si="25"/>
        <v/>
      </c>
      <c r="G1588" s="5" t="str">
        <f>IF(B1588="","",股指期货基差分析!$N$11)</f>
        <v/>
      </c>
      <c r="H1588" s="5" t="str">
        <f>IF(B1588="","",股指期货基差分析!$L$11)</f>
        <v/>
      </c>
      <c r="I1588" s="9" t="str">
        <f>IF(B1588="","",股指期货基差分析!$D$11)</f>
        <v/>
      </c>
      <c r="L1588" s="43"/>
    </row>
    <row r="1589" spans="2:12" ht="15" customHeight="1" x14ac:dyDescent="0.2">
      <c r="B1589" s="8"/>
      <c r="C1589" s="6" t="str">
        <f>IF(B1589="","",[1]!s_dq_close(股指期货基差分析!$E$5,$B1589))</f>
        <v/>
      </c>
      <c r="D1589" s="6" t="str">
        <f>IF(B1589="","",[1]!s_dq_close(股指期货基差分析!$E$6,$B1589))</f>
        <v/>
      </c>
      <c r="E1589" s="6" t="e">
        <f ca="1">RANK(F1589,F:F)+COUNTIF(F$2:F1589,F1589)-1</f>
        <v>#VALUE!</v>
      </c>
      <c r="F1589" s="6" t="str">
        <f t="shared" si="25"/>
        <v/>
      </c>
      <c r="G1589" s="6" t="str">
        <f>IF(B1589="","",股指期货基差分析!$N$11)</f>
        <v/>
      </c>
      <c r="H1589" s="6" t="str">
        <f>IF(B1589="","",股指期货基差分析!$L$11)</f>
        <v/>
      </c>
      <c r="I1589" s="10" t="str">
        <f>IF(B1589="","",股指期货基差分析!$D$11)</f>
        <v/>
      </c>
      <c r="L1589" s="43"/>
    </row>
    <row r="1590" spans="2:12" ht="15" customHeight="1" x14ac:dyDescent="0.2">
      <c r="B1590" s="7"/>
      <c r="C1590" s="5" t="str">
        <f>IF(B1590="","",[1]!s_dq_close(股指期货基差分析!$E$5,$B1590))</f>
        <v/>
      </c>
      <c r="D1590" s="5" t="str">
        <f>IF(B1590="","",[1]!s_dq_close(股指期货基差分析!$E$6,$B1590))</f>
        <v/>
      </c>
      <c r="E1590" s="5" t="e">
        <f ca="1">RANK(F1590,F:F)+COUNTIF(F$2:F1590,F1590)-1</f>
        <v>#VALUE!</v>
      </c>
      <c r="F1590" s="5" t="str">
        <f t="shared" si="25"/>
        <v/>
      </c>
      <c r="G1590" s="5" t="str">
        <f>IF(B1590="","",股指期货基差分析!$N$11)</f>
        <v/>
      </c>
      <c r="H1590" s="5" t="str">
        <f>IF(B1590="","",股指期货基差分析!$L$11)</f>
        <v/>
      </c>
      <c r="I1590" s="9" t="str">
        <f>IF(B1590="","",股指期货基差分析!$D$11)</f>
        <v/>
      </c>
      <c r="L1590" s="43"/>
    </row>
    <row r="1591" spans="2:12" ht="15" customHeight="1" x14ac:dyDescent="0.2">
      <c r="B1591" s="8"/>
      <c r="C1591" s="6" t="str">
        <f>IF(B1591="","",[1]!s_dq_close(股指期货基差分析!$E$5,$B1591))</f>
        <v/>
      </c>
      <c r="D1591" s="6" t="str">
        <f>IF(B1591="","",[1]!s_dq_close(股指期货基差分析!$E$6,$B1591))</f>
        <v/>
      </c>
      <c r="E1591" s="6" t="e">
        <f ca="1">RANK(F1591,F:F)+COUNTIF(F$2:F1591,F1591)-1</f>
        <v>#VALUE!</v>
      </c>
      <c r="F1591" s="6" t="str">
        <f t="shared" si="25"/>
        <v/>
      </c>
      <c r="G1591" s="6" t="str">
        <f>IF(B1591="","",股指期货基差分析!$N$11)</f>
        <v/>
      </c>
      <c r="H1591" s="6" t="str">
        <f>IF(B1591="","",股指期货基差分析!$L$11)</f>
        <v/>
      </c>
      <c r="I1591" s="10" t="str">
        <f>IF(B1591="","",股指期货基差分析!$D$11)</f>
        <v/>
      </c>
      <c r="L1591" s="43"/>
    </row>
    <row r="1592" spans="2:12" ht="15" customHeight="1" x14ac:dyDescent="0.2">
      <c r="B1592" s="7"/>
      <c r="C1592" s="5" t="str">
        <f>IF(B1592="","",[1]!s_dq_close(股指期货基差分析!$E$5,$B1592))</f>
        <v/>
      </c>
      <c r="D1592" s="5" t="str">
        <f>IF(B1592="","",[1]!s_dq_close(股指期货基差分析!$E$6,$B1592))</f>
        <v/>
      </c>
      <c r="E1592" s="5" t="e">
        <f ca="1">RANK(F1592,F:F)+COUNTIF(F$2:F1592,F1592)-1</f>
        <v>#VALUE!</v>
      </c>
      <c r="F1592" s="5" t="str">
        <f t="shared" si="25"/>
        <v/>
      </c>
      <c r="G1592" s="5" t="str">
        <f>IF(B1592="","",股指期货基差分析!$N$11)</f>
        <v/>
      </c>
      <c r="H1592" s="5" t="str">
        <f>IF(B1592="","",股指期货基差分析!$L$11)</f>
        <v/>
      </c>
      <c r="I1592" s="9" t="str">
        <f>IF(B1592="","",股指期货基差分析!$D$11)</f>
        <v/>
      </c>
      <c r="L1592" s="43"/>
    </row>
    <row r="1593" spans="2:12" ht="15" customHeight="1" x14ac:dyDescent="0.2">
      <c r="B1593" s="8"/>
      <c r="C1593" s="6" t="str">
        <f>IF(B1593="","",[1]!s_dq_close(股指期货基差分析!$E$5,$B1593))</f>
        <v/>
      </c>
      <c r="D1593" s="6" t="str">
        <f>IF(B1593="","",[1]!s_dq_close(股指期货基差分析!$E$6,$B1593))</f>
        <v/>
      </c>
      <c r="E1593" s="6" t="e">
        <f ca="1">RANK(F1593,F:F)+COUNTIF(F$2:F1593,F1593)-1</f>
        <v>#VALUE!</v>
      </c>
      <c r="F1593" s="6" t="str">
        <f t="shared" si="25"/>
        <v/>
      </c>
      <c r="G1593" s="6" t="str">
        <f>IF(B1593="","",股指期货基差分析!$N$11)</f>
        <v/>
      </c>
      <c r="H1593" s="6" t="str">
        <f>IF(B1593="","",股指期货基差分析!$L$11)</f>
        <v/>
      </c>
      <c r="I1593" s="10" t="str">
        <f>IF(B1593="","",股指期货基差分析!$D$11)</f>
        <v/>
      </c>
      <c r="L1593" s="43"/>
    </row>
    <row r="1594" spans="2:12" ht="15" customHeight="1" x14ac:dyDescent="0.2">
      <c r="B1594" s="7"/>
      <c r="C1594" s="5" t="str">
        <f>IF(B1594="","",[1]!s_dq_close(股指期货基差分析!$E$5,$B1594))</f>
        <v/>
      </c>
      <c r="D1594" s="5" t="str">
        <f>IF(B1594="","",[1]!s_dq_close(股指期货基差分析!$E$6,$B1594))</f>
        <v/>
      </c>
      <c r="E1594" s="5" t="e">
        <f ca="1">RANK(F1594,F:F)+COUNTIF(F$2:F1594,F1594)-1</f>
        <v>#VALUE!</v>
      </c>
      <c r="F1594" s="5" t="str">
        <f t="shared" si="25"/>
        <v/>
      </c>
      <c r="G1594" s="5" t="str">
        <f>IF(B1594="","",股指期货基差分析!$N$11)</f>
        <v/>
      </c>
      <c r="H1594" s="5" t="str">
        <f>IF(B1594="","",股指期货基差分析!$L$11)</f>
        <v/>
      </c>
      <c r="I1594" s="9" t="str">
        <f>IF(B1594="","",股指期货基差分析!$D$11)</f>
        <v/>
      </c>
      <c r="L1594" s="43"/>
    </row>
    <row r="1595" spans="2:12" ht="15" customHeight="1" x14ac:dyDescent="0.2">
      <c r="B1595" s="8"/>
      <c r="C1595" s="6" t="str">
        <f>IF(B1595="","",[1]!s_dq_close(股指期货基差分析!$E$5,$B1595))</f>
        <v/>
      </c>
      <c r="D1595" s="6" t="str">
        <f>IF(B1595="","",[1]!s_dq_close(股指期货基差分析!$E$6,$B1595))</f>
        <v/>
      </c>
      <c r="E1595" s="6" t="e">
        <f ca="1">RANK(F1595,F:F)+COUNTIF(F$2:F1595,F1595)-1</f>
        <v>#VALUE!</v>
      </c>
      <c r="F1595" s="6" t="str">
        <f t="shared" si="25"/>
        <v/>
      </c>
      <c r="G1595" s="6" t="str">
        <f>IF(B1595="","",股指期货基差分析!$N$11)</f>
        <v/>
      </c>
      <c r="H1595" s="6" t="str">
        <f>IF(B1595="","",股指期货基差分析!$L$11)</f>
        <v/>
      </c>
      <c r="I1595" s="10" t="str">
        <f>IF(B1595="","",股指期货基差分析!$D$11)</f>
        <v/>
      </c>
      <c r="L1595" s="43"/>
    </row>
    <row r="1596" spans="2:12" ht="15" customHeight="1" x14ac:dyDescent="0.2">
      <c r="B1596" s="7"/>
      <c r="C1596" s="5" t="str">
        <f>IF(B1596="","",[1]!s_dq_close(股指期货基差分析!$E$5,$B1596))</f>
        <v/>
      </c>
      <c r="D1596" s="5" t="str">
        <f>IF(B1596="","",[1]!s_dq_close(股指期货基差分析!$E$6,$B1596))</f>
        <v/>
      </c>
      <c r="E1596" s="5" t="e">
        <f ca="1">RANK(F1596,F:F)+COUNTIF(F$2:F1596,F1596)-1</f>
        <v>#VALUE!</v>
      </c>
      <c r="F1596" s="5" t="str">
        <f t="shared" si="25"/>
        <v/>
      </c>
      <c r="G1596" s="5" t="str">
        <f>IF(B1596="","",股指期货基差分析!$N$11)</f>
        <v/>
      </c>
      <c r="H1596" s="5" t="str">
        <f>IF(B1596="","",股指期货基差分析!$L$11)</f>
        <v/>
      </c>
      <c r="I1596" s="9" t="str">
        <f>IF(B1596="","",股指期货基差分析!$D$11)</f>
        <v/>
      </c>
      <c r="L1596" s="43"/>
    </row>
    <row r="1597" spans="2:12" ht="15" customHeight="1" x14ac:dyDescent="0.2">
      <c r="B1597" s="8"/>
      <c r="C1597" s="6" t="str">
        <f>IF(B1597="","",[1]!s_dq_close(股指期货基差分析!$E$5,$B1597))</f>
        <v/>
      </c>
      <c r="D1597" s="6" t="str">
        <f>IF(B1597="","",[1]!s_dq_close(股指期货基差分析!$E$6,$B1597))</f>
        <v/>
      </c>
      <c r="E1597" s="6" t="e">
        <f ca="1">RANK(F1597,F:F)+COUNTIF(F$2:F1597,F1597)-1</f>
        <v>#VALUE!</v>
      </c>
      <c r="F1597" s="6" t="str">
        <f t="shared" si="25"/>
        <v/>
      </c>
      <c r="G1597" s="6" t="str">
        <f>IF(B1597="","",股指期货基差分析!$N$11)</f>
        <v/>
      </c>
      <c r="H1597" s="6" t="str">
        <f>IF(B1597="","",股指期货基差分析!$L$11)</f>
        <v/>
      </c>
      <c r="I1597" s="10" t="str">
        <f>IF(B1597="","",股指期货基差分析!$D$11)</f>
        <v/>
      </c>
      <c r="L1597" s="43"/>
    </row>
    <row r="1598" spans="2:12" ht="15" customHeight="1" x14ac:dyDescent="0.2">
      <c r="B1598" s="7"/>
      <c r="C1598" s="5" t="str">
        <f>IF(B1598="","",[1]!s_dq_close(股指期货基差分析!$E$5,$B1598))</f>
        <v/>
      </c>
      <c r="D1598" s="5" t="str">
        <f>IF(B1598="","",[1]!s_dq_close(股指期货基差分析!$E$6,$B1598))</f>
        <v/>
      </c>
      <c r="E1598" s="5" t="e">
        <f ca="1">RANK(F1598,F:F)+COUNTIF(F$2:F1598,F1598)-1</f>
        <v>#VALUE!</v>
      </c>
      <c r="F1598" s="5" t="str">
        <f t="shared" si="25"/>
        <v/>
      </c>
      <c r="G1598" s="5" t="str">
        <f>IF(B1598="","",股指期货基差分析!$N$11)</f>
        <v/>
      </c>
      <c r="H1598" s="5" t="str">
        <f>IF(B1598="","",股指期货基差分析!$L$11)</f>
        <v/>
      </c>
      <c r="I1598" s="9" t="str">
        <f>IF(B1598="","",股指期货基差分析!$D$11)</f>
        <v/>
      </c>
      <c r="L1598" s="43"/>
    </row>
    <row r="1599" spans="2:12" ht="15" customHeight="1" x14ac:dyDescent="0.2">
      <c r="B1599" s="8"/>
      <c r="C1599" s="6" t="str">
        <f>IF(B1599="","",[1]!s_dq_close(股指期货基差分析!$E$5,$B1599))</f>
        <v/>
      </c>
      <c r="D1599" s="6" t="str">
        <f>IF(B1599="","",[1]!s_dq_close(股指期货基差分析!$E$6,$B1599))</f>
        <v/>
      </c>
      <c r="E1599" s="6" t="e">
        <f ca="1">RANK(F1599,F:F)+COUNTIF(F$2:F1599,F1599)-1</f>
        <v>#VALUE!</v>
      </c>
      <c r="F1599" s="6" t="str">
        <f t="shared" si="25"/>
        <v/>
      </c>
      <c r="G1599" s="6" t="str">
        <f>IF(B1599="","",股指期货基差分析!$N$11)</f>
        <v/>
      </c>
      <c r="H1599" s="6" t="str">
        <f>IF(B1599="","",股指期货基差分析!$L$11)</f>
        <v/>
      </c>
      <c r="I1599" s="10" t="str">
        <f>IF(B1599="","",股指期货基差分析!$D$11)</f>
        <v/>
      </c>
      <c r="L1599" s="43"/>
    </row>
    <row r="1600" spans="2:12" ht="15" customHeight="1" x14ac:dyDescent="0.2">
      <c r="B1600" s="7"/>
      <c r="C1600" s="5" t="str">
        <f>IF(B1600="","",[1]!s_dq_close(股指期货基差分析!$E$5,$B1600))</f>
        <v/>
      </c>
      <c r="D1600" s="5" t="str">
        <f>IF(B1600="","",[1]!s_dq_close(股指期货基差分析!$E$6,$B1600))</f>
        <v/>
      </c>
      <c r="E1600" s="5" t="e">
        <f ca="1">RANK(F1600,F:F)+COUNTIF(F$2:F1600,F1600)-1</f>
        <v>#VALUE!</v>
      </c>
      <c r="F1600" s="5" t="str">
        <f t="shared" si="25"/>
        <v/>
      </c>
      <c r="G1600" s="5" t="str">
        <f>IF(B1600="","",股指期货基差分析!$N$11)</f>
        <v/>
      </c>
      <c r="H1600" s="5" t="str">
        <f>IF(B1600="","",股指期货基差分析!$L$11)</f>
        <v/>
      </c>
      <c r="I1600" s="9" t="str">
        <f>IF(B1600="","",股指期货基差分析!$D$11)</f>
        <v/>
      </c>
      <c r="L1600" s="43"/>
    </row>
    <row r="1601" spans="2:12" ht="15" customHeight="1" x14ac:dyDescent="0.2">
      <c r="B1601" s="8"/>
      <c r="C1601" s="6" t="str">
        <f>IF(B1601="","",[1]!s_dq_close(股指期货基差分析!$E$5,$B1601))</f>
        <v/>
      </c>
      <c r="D1601" s="6" t="str">
        <f>IF(B1601="","",[1]!s_dq_close(股指期货基差分析!$E$6,$B1601))</f>
        <v/>
      </c>
      <c r="E1601" s="6" t="e">
        <f ca="1">RANK(F1601,F:F)+COUNTIF(F$2:F1601,F1601)-1</f>
        <v>#VALUE!</v>
      </c>
      <c r="F1601" s="6" t="str">
        <f t="shared" si="25"/>
        <v/>
      </c>
      <c r="G1601" s="6" t="str">
        <f>IF(B1601="","",股指期货基差分析!$N$11)</f>
        <v/>
      </c>
      <c r="H1601" s="6" t="str">
        <f>IF(B1601="","",股指期货基差分析!$L$11)</f>
        <v/>
      </c>
      <c r="I1601" s="10" t="str">
        <f>IF(B1601="","",股指期货基差分析!$D$11)</f>
        <v/>
      </c>
      <c r="L1601" s="43"/>
    </row>
    <row r="1602" spans="2:12" ht="15" customHeight="1" x14ac:dyDescent="0.2">
      <c r="B1602" s="7"/>
      <c r="C1602" s="5" t="str">
        <f>IF(B1602="","",[1]!s_dq_close(股指期货基差分析!$E$5,$B1602))</f>
        <v/>
      </c>
      <c r="D1602" s="5" t="str">
        <f>IF(B1602="","",[1]!s_dq_close(股指期货基差分析!$E$6,$B1602))</f>
        <v/>
      </c>
      <c r="E1602" s="5" t="e">
        <f ca="1">RANK(F1602,F:F)+COUNTIF(F$2:F1602,F1602)-1</f>
        <v>#VALUE!</v>
      </c>
      <c r="F1602" s="5" t="str">
        <f t="shared" ref="F1602:F1665" si="26">IF(B1602="","",D1602-C1602)</f>
        <v/>
      </c>
      <c r="G1602" s="5" t="str">
        <f>IF(B1602="","",股指期货基差分析!$N$11)</f>
        <v/>
      </c>
      <c r="H1602" s="5" t="str">
        <f>IF(B1602="","",股指期货基差分析!$L$11)</f>
        <v/>
      </c>
      <c r="I1602" s="9" t="str">
        <f>IF(B1602="","",股指期货基差分析!$D$11)</f>
        <v/>
      </c>
      <c r="L1602" s="43"/>
    </row>
    <row r="1603" spans="2:12" ht="15" customHeight="1" x14ac:dyDescent="0.2">
      <c r="B1603" s="8"/>
      <c r="C1603" s="6" t="str">
        <f>IF(B1603="","",[1]!s_dq_close(股指期货基差分析!$E$5,$B1603))</f>
        <v/>
      </c>
      <c r="D1603" s="6" t="str">
        <f>IF(B1603="","",[1]!s_dq_close(股指期货基差分析!$E$6,$B1603))</f>
        <v/>
      </c>
      <c r="E1603" s="6" t="e">
        <f ca="1">RANK(F1603,F:F)+COUNTIF(F$2:F1603,F1603)-1</f>
        <v>#VALUE!</v>
      </c>
      <c r="F1603" s="6" t="str">
        <f t="shared" si="26"/>
        <v/>
      </c>
      <c r="G1603" s="6" t="str">
        <f>IF(B1603="","",股指期货基差分析!$N$11)</f>
        <v/>
      </c>
      <c r="H1603" s="6" t="str">
        <f>IF(B1603="","",股指期货基差分析!$L$11)</f>
        <v/>
      </c>
      <c r="I1603" s="10" t="str">
        <f>IF(B1603="","",股指期货基差分析!$D$11)</f>
        <v/>
      </c>
      <c r="L1603" s="43"/>
    </row>
    <row r="1604" spans="2:12" ht="15" customHeight="1" x14ac:dyDescent="0.2">
      <c r="B1604" s="7"/>
      <c r="C1604" s="5" t="str">
        <f>IF(B1604="","",[1]!s_dq_close(股指期货基差分析!$E$5,$B1604))</f>
        <v/>
      </c>
      <c r="D1604" s="5" t="str">
        <f>IF(B1604="","",[1]!s_dq_close(股指期货基差分析!$E$6,$B1604))</f>
        <v/>
      </c>
      <c r="E1604" s="5" t="e">
        <f ca="1">RANK(F1604,F:F)+COUNTIF(F$2:F1604,F1604)-1</f>
        <v>#VALUE!</v>
      </c>
      <c r="F1604" s="5" t="str">
        <f t="shared" si="26"/>
        <v/>
      </c>
      <c r="G1604" s="5" t="str">
        <f>IF(B1604="","",股指期货基差分析!$N$11)</f>
        <v/>
      </c>
      <c r="H1604" s="5" t="str">
        <f>IF(B1604="","",股指期货基差分析!$L$11)</f>
        <v/>
      </c>
      <c r="I1604" s="9" t="str">
        <f>IF(B1604="","",股指期货基差分析!$D$11)</f>
        <v/>
      </c>
      <c r="L1604" s="43"/>
    </row>
    <row r="1605" spans="2:12" ht="15" customHeight="1" x14ac:dyDescent="0.2">
      <c r="B1605" s="8"/>
      <c r="C1605" s="6" t="str">
        <f>IF(B1605="","",[1]!s_dq_close(股指期货基差分析!$E$5,$B1605))</f>
        <v/>
      </c>
      <c r="D1605" s="6" t="str">
        <f>IF(B1605="","",[1]!s_dq_close(股指期货基差分析!$E$6,$B1605))</f>
        <v/>
      </c>
      <c r="E1605" s="6" t="e">
        <f ca="1">RANK(F1605,F:F)+COUNTIF(F$2:F1605,F1605)-1</f>
        <v>#VALUE!</v>
      </c>
      <c r="F1605" s="6" t="str">
        <f t="shared" si="26"/>
        <v/>
      </c>
      <c r="G1605" s="6" t="str">
        <f>IF(B1605="","",股指期货基差分析!$N$11)</f>
        <v/>
      </c>
      <c r="H1605" s="6" t="str">
        <f>IF(B1605="","",股指期货基差分析!$L$11)</f>
        <v/>
      </c>
      <c r="I1605" s="10" t="str">
        <f>IF(B1605="","",股指期货基差分析!$D$11)</f>
        <v/>
      </c>
      <c r="L1605" s="43"/>
    </row>
    <row r="1606" spans="2:12" ht="15" customHeight="1" x14ac:dyDescent="0.2">
      <c r="B1606" s="7"/>
      <c r="C1606" s="5" t="str">
        <f>IF(B1606="","",[1]!s_dq_close(股指期货基差分析!$E$5,$B1606))</f>
        <v/>
      </c>
      <c r="D1606" s="5" t="str">
        <f>IF(B1606="","",[1]!s_dq_close(股指期货基差分析!$E$6,$B1606))</f>
        <v/>
      </c>
      <c r="E1606" s="5" t="e">
        <f ca="1">RANK(F1606,F:F)+COUNTIF(F$2:F1606,F1606)-1</f>
        <v>#VALUE!</v>
      </c>
      <c r="F1606" s="5" t="str">
        <f t="shared" si="26"/>
        <v/>
      </c>
      <c r="G1606" s="5" t="str">
        <f>IF(B1606="","",股指期货基差分析!$N$11)</f>
        <v/>
      </c>
      <c r="H1606" s="5" t="str">
        <f>IF(B1606="","",股指期货基差分析!$L$11)</f>
        <v/>
      </c>
      <c r="I1606" s="9" t="str">
        <f>IF(B1606="","",股指期货基差分析!$D$11)</f>
        <v/>
      </c>
      <c r="L1606" s="43"/>
    </row>
    <row r="1607" spans="2:12" ht="15" customHeight="1" x14ac:dyDescent="0.2">
      <c r="B1607" s="8"/>
      <c r="C1607" s="6" t="str">
        <f>IF(B1607="","",[1]!s_dq_close(股指期货基差分析!$E$5,$B1607))</f>
        <v/>
      </c>
      <c r="D1607" s="6" t="str">
        <f>IF(B1607="","",[1]!s_dq_close(股指期货基差分析!$E$6,$B1607))</f>
        <v/>
      </c>
      <c r="E1607" s="6" t="e">
        <f ca="1">RANK(F1607,F:F)+COUNTIF(F$2:F1607,F1607)-1</f>
        <v>#VALUE!</v>
      </c>
      <c r="F1607" s="6" t="str">
        <f t="shared" si="26"/>
        <v/>
      </c>
      <c r="G1607" s="6" t="str">
        <f>IF(B1607="","",股指期货基差分析!$N$11)</f>
        <v/>
      </c>
      <c r="H1607" s="6" t="str">
        <f>IF(B1607="","",股指期货基差分析!$L$11)</f>
        <v/>
      </c>
      <c r="I1607" s="10" t="str">
        <f>IF(B1607="","",股指期货基差分析!$D$11)</f>
        <v/>
      </c>
      <c r="L1607" s="43"/>
    </row>
    <row r="1608" spans="2:12" ht="15" customHeight="1" x14ac:dyDescent="0.2">
      <c r="B1608" s="7"/>
      <c r="C1608" s="5" t="str">
        <f>IF(B1608="","",[1]!s_dq_close(股指期货基差分析!$E$5,$B1608))</f>
        <v/>
      </c>
      <c r="D1608" s="5" t="str">
        <f>IF(B1608="","",[1]!s_dq_close(股指期货基差分析!$E$6,$B1608))</f>
        <v/>
      </c>
      <c r="E1608" s="5" t="e">
        <f ca="1">RANK(F1608,F:F)+COUNTIF(F$2:F1608,F1608)-1</f>
        <v>#VALUE!</v>
      </c>
      <c r="F1608" s="5" t="str">
        <f t="shared" si="26"/>
        <v/>
      </c>
      <c r="G1608" s="5" t="str">
        <f>IF(B1608="","",股指期货基差分析!$N$11)</f>
        <v/>
      </c>
      <c r="H1608" s="5" t="str">
        <f>IF(B1608="","",股指期货基差分析!$L$11)</f>
        <v/>
      </c>
      <c r="I1608" s="9" t="str">
        <f>IF(B1608="","",股指期货基差分析!$D$11)</f>
        <v/>
      </c>
      <c r="L1608" s="43"/>
    </row>
    <row r="1609" spans="2:12" ht="15" customHeight="1" x14ac:dyDescent="0.2">
      <c r="B1609" s="8"/>
      <c r="C1609" s="6" t="str">
        <f>IF(B1609="","",[1]!s_dq_close(股指期货基差分析!$E$5,$B1609))</f>
        <v/>
      </c>
      <c r="D1609" s="6" t="str">
        <f>IF(B1609="","",[1]!s_dq_close(股指期货基差分析!$E$6,$B1609))</f>
        <v/>
      </c>
      <c r="E1609" s="6" t="e">
        <f ca="1">RANK(F1609,F:F)+COUNTIF(F$2:F1609,F1609)-1</f>
        <v>#VALUE!</v>
      </c>
      <c r="F1609" s="6" t="str">
        <f t="shared" si="26"/>
        <v/>
      </c>
      <c r="G1609" s="6" t="str">
        <f>IF(B1609="","",股指期货基差分析!$N$11)</f>
        <v/>
      </c>
      <c r="H1609" s="6" t="str">
        <f>IF(B1609="","",股指期货基差分析!$L$11)</f>
        <v/>
      </c>
      <c r="I1609" s="10" t="str">
        <f>IF(B1609="","",股指期货基差分析!$D$11)</f>
        <v/>
      </c>
      <c r="L1609" s="43"/>
    </row>
    <row r="1610" spans="2:12" ht="15" customHeight="1" x14ac:dyDescent="0.2">
      <c r="B1610" s="7"/>
      <c r="C1610" s="5" t="str">
        <f>IF(B1610="","",[1]!s_dq_close(股指期货基差分析!$E$5,$B1610))</f>
        <v/>
      </c>
      <c r="D1610" s="5" t="str">
        <f>IF(B1610="","",[1]!s_dq_close(股指期货基差分析!$E$6,$B1610))</f>
        <v/>
      </c>
      <c r="E1610" s="5" t="e">
        <f ca="1">RANK(F1610,F:F)+COUNTIF(F$2:F1610,F1610)-1</f>
        <v>#VALUE!</v>
      </c>
      <c r="F1610" s="5" t="str">
        <f t="shared" si="26"/>
        <v/>
      </c>
      <c r="G1610" s="5" t="str">
        <f>IF(B1610="","",股指期货基差分析!$N$11)</f>
        <v/>
      </c>
      <c r="H1610" s="5" t="str">
        <f>IF(B1610="","",股指期货基差分析!$L$11)</f>
        <v/>
      </c>
      <c r="I1610" s="9" t="str">
        <f>IF(B1610="","",股指期货基差分析!$D$11)</f>
        <v/>
      </c>
      <c r="L1610" s="43"/>
    </row>
    <row r="1611" spans="2:12" ht="15" customHeight="1" x14ac:dyDescent="0.2">
      <c r="B1611" s="8"/>
      <c r="C1611" s="6" t="str">
        <f>IF(B1611="","",[1]!s_dq_close(股指期货基差分析!$E$5,$B1611))</f>
        <v/>
      </c>
      <c r="D1611" s="6" t="str">
        <f>IF(B1611="","",[1]!s_dq_close(股指期货基差分析!$E$6,$B1611))</f>
        <v/>
      </c>
      <c r="E1611" s="6" t="e">
        <f ca="1">RANK(F1611,F:F)+COUNTIF(F$2:F1611,F1611)-1</f>
        <v>#VALUE!</v>
      </c>
      <c r="F1611" s="6" t="str">
        <f t="shared" si="26"/>
        <v/>
      </c>
      <c r="G1611" s="6" t="str">
        <f>IF(B1611="","",股指期货基差分析!$N$11)</f>
        <v/>
      </c>
      <c r="H1611" s="6" t="str">
        <f>IF(B1611="","",股指期货基差分析!$L$11)</f>
        <v/>
      </c>
      <c r="I1611" s="10" t="str">
        <f>IF(B1611="","",股指期货基差分析!$D$11)</f>
        <v/>
      </c>
      <c r="L1611" s="43"/>
    </row>
    <row r="1612" spans="2:12" ht="15" customHeight="1" x14ac:dyDescent="0.2">
      <c r="B1612" s="7"/>
      <c r="C1612" s="5" t="str">
        <f>IF(B1612="","",[1]!s_dq_close(股指期货基差分析!$E$5,$B1612))</f>
        <v/>
      </c>
      <c r="D1612" s="5" t="str">
        <f>IF(B1612="","",[1]!s_dq_close(股指期货基差分析!$E$6,$B1612))</f>
        <v/>
      </c>
      <c r="E1612" s="5" t="e">
        <f ca="1">RANK(F1612,F:F)+COUNTIF(F$2:F1612,F1612)-1</f>
        <v>#VALUE!</v>
      </c>
      <c r="F1612" s="5" t="str">
        <f t="shared" si="26"/>
        <v/>
      </c>
      <c r="G1612" s="5" t="str">
        <f>IF(B1612="","",股指期货基差分析!$N$11)</f>
        <v/>
      </c>
      <c r="H1612" s="5" t="str">
        <f>IF(B1612="","",股指期货基差分析!$L$11)</f>
        <v/>
      </c>
      <c r="I1612" s="9" t="str">
        <f>IF(B1612="","",股指期货基差分析!$D$11)</f>
        <v/>
      </c>
      <c r="L1612" s="43"/>
    </row>
    <row r="1613" spans="2:12" ht="15" customHeight="1" x14ac:dyDescent="0.2">
      <c r="B1613" s="8"/>
      <c r="C1613" s="6" t="str">
        <f>IF(B1613="","",[1]!s_dq_close(股指期货基差分析!$E$5,$B1613))</f>
        <v/>
      </c>
      <c r="D1613" s="6" t="str">
        <f>IF(B1613="","",[1]!s_dq_close(股指期货基差分析!$E$6,$B1613))</f>
        <v/>
      </c>
      <c r="E1613" s="6" t="e">
        <f ca="1">RANK(F1613,F:F)+COUNTIF(F$2:F1613,F1613)-1</f>
        <v>#VALUE!</v>
      </c>
      <c r="F1613" s="6" t="str">
        <f t="shared" si="26"/>
        <v/>
      </c>
      <c r="G1613" s="6" t="str">
        <f>IF(B1613="","",股指期货基差分析!$N$11)</f>
        <v/>
      </c>
      <c r="H1613" s="6" t="str">
        <f>IF(B1613="","",股指期货基差分析!$L$11)</f>
        <v/>
      </c>
      <c r="I1613" s="10" t="str">
        <f>IF(B1613="","",股指期货基差分析!$D$11)</f>
        <v/>
      </c>
      <c r="L1613" s="43"/>
    </row>
    <row r="1614" spans="2:12" ht="15" customHeight="1" x14ac:dyDescent="0.2">
      <c r="B1614" s="7"/>
      <c r="C1614" s="5" t="str">
        <f>IF(B1614="","",[1]!s_dq_close(股指期货基差分析!$E$5,$B1614))</f>
        <v/>
      </c>
      <c r="D1614" s="5" t="str">
        <f>IF(B1614="","",[1]!s_dq_close(股指期货基差分析!$E$6,$B1614))</f>
        <v/>
      </c>
      <c r="E1614" s="5" t="e">
        <f ca="1">RANK(F1614,F:F)+COUNTIF(F$2:F1614,F1614)-1</f>
        <v>#VALUE!</v>
      </c>
      <c r="F1614" s="5" t="str">
        <f t="shared" si="26"/>
        <v/>
      </c>
      <c r="G1614" s="5" t="str">
        <f>IF(B1614="","",股指期货基差分析!$N$11)</f>
        <v/>
      </c>
      <c r="H1614" s="5" t="str">
        <f>IF(B1614="","",股指期货基差分析!$L$11)</f>
        <v/>
      </c>
      <c r="I1614" s="9" t="str">
        <f>IF(B1614="","",股指期货基差分析!$D$11)</f>
        <v/>
      </c>
      <c r="L1614" s="43"/>
    </row>
    <row r="1615" spans="2:12" ht="15" customHeight="1" x14ac:dyDescent="0.2">
      <c r="B1615" s="8"/>
      <c r="C1615" s="6" t="str">
        <f>IF(B1615="","",[1]!s_dq_close(股指期货基差分析!$E$5,$B1615))</f>
        <v/>
      </c>
      <c r="D1615" s="6" t="str">
        <f>IF(B1615="","",[1]!s_dq_close(股指期货基差分析!$E$6,$B1615))</f>
        <v/>
      </c>
      <c r="E1615" s="6" t="e">
        <f ca="1">RANK(F1615,F:F)+COUNTIF(F$2:F1615,F1615)-1</f>
        <v>#VALUE!</v>
      </c>
      <c r="F1615" s="6" t="str">
        <f t="shared" si="26"/>
        <v/>
      </c>
      <c r="G1615" s="6" t="str">
        <f>IF(B1615="","",股指期货基差分析!$N$11)</f>
        <v/>
      </c>
      <c r="H1615" s="6" t="str">
        <f>IF(B1615="","",股指期货基差分析!$L$11)</f>
        <v/>
      </c>
      <c r="I1615" s="10" t="str">
        <f>IF(B1615="","",股指期货基差分析!$D$11)</f>
        <v/>
      </c>
      <c r="L1615" s="43"/>
    </row>
    <row r="1616" spans="2:12" ht="15" customHeight="1" x14ac:dyDescent="0.2">
      <c r="B1616" s="7"/>
      <c r="C1616" s="5" t="str">
        <f>IF(B1616="","",[1]!s_dq_close(股指期货基差分析!$E$5,$B1616))</f>
        <v/>
      </c>
      <c r="D1616" s="5" t="str">
        <f>IF(B1616="","",[1]!s_dq_close(股指期货基差分析!$E$6,$B1616))</f>
        <v/>
      </c>
      <c r="E1616" s="5" t="e">
        <f ca="1">RANK(F1616,F:F)+COUNTIF(F$2:F1616,F1616)-1</f>
        <v>#VALUE!</v>
      </c>
      <c r="F1616" s="5" t="str">
        <f t="shared" si="26"/>
        <v/>
      </c>
      <c r="G1616" s="5" t="str">
        <f>IF(B1616="","",股指期货基差分析!$N$11)</f>
        <v/>
      </c>
      <c r="H1616" s="5" t="str">
        <f>IF(B1616="","",股指期货基差分析!$L$11)</f>
        <v/>
      </c>
      <c r="I1616" s="9" t="str">
        <f>IF(B1616="","",股指期货基差分析!$D$11)</f>
        <v/>
      </c>
      <c r="L1616" s="43"/>
    </row>
    <row r="1617" spans="2:12" ht="15" customHeight="1" x14ac:dyDescent="0.2">
      <c r="B1617" s="8"/>
      <c r="C1617" s="6" t="str">
        <f>IF(B1617="","",[1]!s_dq_close(股指期货基差分析!$E$5,$B1617))</f>
        <v/>
      </c>
      <c r="D1617" s="6" t="str">
        <f>IF(B1617="","",[1]!s_dq_close(股指期货基差分析!$E$6,$B1617))</f>
        <v/>
      </c>
      <c r="E1617" s="6" t="e">
        <f ca="1">RANK(F1617,F:F)+COUNTIF(F$2:F1617,F1617)-1</f>
        <v>#VALUE!</v>
      </c>
      <c r="F1617" s="6" t="str">
        <f t="shared" si="26"/>
        <v/>
      </c>
      <c r="G1617" s="6" t="str">
        <f>IF(B1617="","",股指期货基差分析!$N$11)</f>
        <v/>
      </c>
      <c r="H1617" s="6" t="str">
        <f>IF(B1617="","",股指期货基差分析!$L$11)</f>
        <v/>
      </c>
      <c r="I1617" s="10" t="str">
        <f>IF(B1617="","",股指期货基差分析!$D$11)</f>
        <v/>
      </c>
      <c r="L1617" s="43"/>
    </row>
    <row r="1618" spans="2:12" ht="15" customHeight="1" x14ac:dyDescent="0.2">
      <c r="B1618" s="7"/>
      <c r="C1618" s="5" t="str">
        <f>IF(B1618="","",[1]!s_dq_close(股指期货基差分析!$E$5,$B1618))</f>
        <v/>
      </c>
      <c r="D1618" s="5" t="str">
        <f>IF(B1618="","",[1]!s_dq_close(股指期货基差分析!$E$6,$B1618))</f>
        <v/>
      </c>
      <c r="E1618" s="5" t="e">
        <f ca="1">RANK(F1618,F:F)+COUNTIF(F$2:F1618,F1618)-1</f>
        <v>#VALUE!</v>
      </c>
      <c r="F1618" s="5" t="str">
        <f t="shared" si="26"/>
        <v/>
      </c>
      <c r="G1618" s="5" t="str">
        <f>IF(B1618="","",股指期货基差分析!$N$11)</f>
        <v/>
      </c>
      <c r="H1618" s="5" t="str">
        <f>IF(B1618="","",股指期货基差分析!$L$11)</f>
        <v/>
      </c>
      <c r="I1618" s="9" t="str">
        <f>IF(B1618="","",股指期货基差分析!$D$11)</f>
        <v/>
      </c>
      <c r="L1618" s="43"/>
    </row>
    <row r="1619" spans="2:12" ht="15" customHeight="1" x14ac:dyDescent="0.2">
      <c r="B1619" s="8"/>
      <c r="C1619" s="6" t="str">
        <f>IF(B1619="","",[1]!s_dq_close(股指期货基差分析!$E$5,$B1619))</f>
        <v/>
      </c>
      <c r="D1619" s="6" t="str">
        <f>IF(B1619="","",[1]!s_dq_close(股指期货基差分析!$E$6,$B1619))</f>
        <v/>
      </c>
      <c r="E1619" s="6" t="e">
        <f ca="1">RANK(F1619,F:F)+COUNTIF(F$2:F1619,F1619)-1</f>
        <v>#VALUE!</v>
      </c>
      <c r="F1619" s="6" t="str">
        <f t="shared" si="26"/>
        <v/>
      </c>
      <c r="G1619" s="6" t="str">
        <f>IF(B1619="","",股指期货基差分析!$N$11)</f>
        <v/>
      </c>
      <c r="H1619" s="6" t="str">
        <f>IF(B1619="","",股指期货基差分析!$L$11)</f>
        <v/>
      </c>
      <c r="I1619" s="10" t="str">
        <f>IF(B1619="","",股指期货基差分析!$D$11)</f>
        <v/>
      </c>
      <c r="L1619" s="43"/>
    </row>
    <row r="1620" spans="2:12" ht="15" customHeight="1" x14ac:dyDescent="0.2">
      <c r="B1620" s="7"/>
      <c r="C1620" s="5" t="str">
        <f>IF(B1620="","",[1]!s_dq_close(股指期货基差分析!$E$5,$B1620))</f>
        <v/>
      </c>
      <c r="D1620" s="5" t="str">
        <f>IF(B1620="","",[1]!s_dq_close(股指期货基差分析!$E$6,$B1620))</f>
        <v/>
      </c>
      <c r="E1620" s="5" t="e">
        <f ca="1">RANK(F1620,F:F)+COUNTIF(F$2:F1620,F1620)-1</f>
        <v>#VALUE!</v>
      </c>
      <c r="F1620" s="5" t="str">
        <f t="shared" si="26"/>
        <v/>
      </c>
      <c r="G1620" s="5" t="str">
        <f>IF(B1620="","",股指期货基差分析!$N$11)</f>
        <v/>
      </c>
      <c r="H1620" s="5" t="str">
        <f>IF(B1620="","",股指期货基差分析!$L$11)</f>
        <v/>
      </c>
      <c r="I1620" s="9" t="str">
        <f>IF(B1620="","",股指期货基差分析!$D$11)</f>
        <v/>
      </c>
      <c r="L1620" s="43"/>
    </row>
    <row r="1621" spans="2:12" ht="15" customHeight="1" x14ac:dyDescent="0.2">
      <c r="B1621" s="8"/>
      <c r="C1621" s="6" t="str">
        <f>IF(B1621="","",[1]!s_dq_close(股指期货基差分析!$E$5,$B1621))</f>
        <v/>
      </c>
      <c r="D1621" s="6" t="str">
        <f>IF(B1621="","",[1]!s_dq_close(股指期货基差分析!$E$6,$B1621))</f>
        <v/>
      </c>
      <c r="E1621" s="6" t="e">
        <f ca="1">RANK(F1621,F:F)+COUNTIF(F$2:F1621,F1621)-1</f>
        <v>#VALUE!</v>
      </c>
      <c r="F1621" s="6" t="str">
        <f t="shared" si="26"/>
        <v/>
      </c>
      <c r="G1621" s="6" t="str">
        <f>IF(B1621="","",股指期货基差分析!$N$11)</f>
        <v/>
      </c>
      <c r="H1621" s="6" t="str">
        <f>IF(B1621="","",股指期货基差分析!$L$11)</f>
        <v/>
      </c>
      <c r="I1621" s="10" t="str">
        <f>IF(B1621="","",股指期货基差分析!$D$11)</f>
        <v/>
      </c>
      <c r="L1621" s="43"/>
    </row>
    <row r="1622" spans="2:12" ht="15" customHeight="1" x14ac:dyDescent="0.2">
      <c r="B1622" s="7"/>
      <c r="C1622" s="5" t="str">
        <f>IF(B1622="","",[1]!s_dq_close(股指期货基差分析!$E$5,$B1622))</f>
        <v/>
      </c>
      <c r="D1622" s="5" t="str">
        <f>IF(B1622="","",[1]!s_dq_close(股指期货基差分析!$E$6,$B1622))</f>
        <v/>
      </c>
      <c r="E1622" s="5" t="e">
        <f ca="1">RANK(F1622,F:F)+COUNTIF(F$2:F1622,F1622)-1</f>
        <v>#VALUE!</v>
      </c>
      <c r="F1622" s="5" t="str">
        <f t="shared" si="26"/>
        <v/>
      </c>
      <c r="G1622" s="5" t="str">
        <f>IF(B1622="","",股指期货基差分析!$N$11)</f>
        <v/>
      </c>
      <c r="H1622" s="5" t="str">
        <f>IF(B1622="","",股指期货基差分析!$L$11)</f>
        <v/>
      </c>
      <c r="I1622" s="9" t="str">
        <f>IF(B1622="","",股指期货基差分析!$D$11)</f>
        <v/>
      </c>
      <c r="L1622" s="43"/>
    </row>
    <row r="1623" spans="2:12" ht="15" customHeight="1" x14ac:dyDescent="0.2">
      <c r="B1623" s="8"/>
      <c r="C1623" s="6" t="str">
        <f>IF(B1623="","",[1]!s_dq_close(股指期货基差分析!$E$5,$B1623))</f>
        <v/>
      </c>
      <c r="D1623" s="6" t="str">
        <f>IF(B1623="","",[1]!s_dq_close(股指期货基差分析!$E$6,$B1623))</f>
        <v/>
      </c>
      <c r="E1623" s="6" t="e">
        <f ca="1">RANK(F1623,F:F)+COUNTIF(F$2:F1623,F1623)-1</f>
        <v>#VALUE!</v>
      </c>
      <c r="F1623" s="6" t="str">
        <f t="shared" si="26"/>
        <v/>
      </c>
      <c r="G1623" s="6" t="str">
        <f>IF(B1623="","",股指期货基差分析!$N$11)</f>
        <v/>
      </c>
      <c r="H1623" s="6" t="str">
        <f>IF(B1623="","",股指期货基差分析!$L$11)</f>
        <v/>
      </c>
      <c r="I1623" s="10" t="str">
        <f>IF(B1623="","",股指期货基差分析!$D$11)</f>
        <v/>
      </c>
      <c r="L1623" s="43"/>
    </row>
    <row r="1624" spans="2:12" ht="15" customHeight="1" x14ac:dyDescent="0.2">
      <c r="B1624" s="7"/>
      <c r="C1624" s="5" t="str">
        <f>IF(B1624="","",[1]!s_dq_close(股指期货基差分析!$E$5,$B1624))</f>
        <v/>
      </c>
      <c r="D1624" s="5" t="str">
        <f>IF(B1624="","",[1]!s_dq_close(股指期货基差分析!$E$6,$B1624))</f>
        <v/>
      </c>
      <c r="E1624" s="5" t="e">
        <f ca="1">RANK(F1624,F:F)+COUNTIF(F$2:F1624,F1624)-1</f>
        <v>#VALUE!</v>
      </c>
      <c r="F1624" s="5" t="str">
        <f t="shared" si="26"/>
        <v/>
      </c>
      <c r="G1624" s="5" t="str">
        <f>IF(B1624="","",股指期货基差分析!$N$11)</f>
        <v/>
      </c>
      <c r="H1624" s="5" t="str">
        <f>IF(B1624="","",股指期货基差分析!$L$11)</f>
        <v/>
      </c>
      <c r="I1624" s="9" t="str">
        <f>IF(B1624="","",股指期货基差分析!$D$11)</f>
        <v/>
      </c>
      <c r="L1624" s="43"/>
    </row>
    <row r="1625" spans="2:12" ht="15" customHeight="1" x14ac:dyDescent="0.2">
      <c r="B1625" s="8"/>
      <c r="C1625" s="6" t="str">
        <f>IF(B1625="","",[1]!s_dq_close(股指期货基差分析!$E$5,$B1625))</f>
        <v/>
      </c>
      <c r="D1625" s="6" t="str">
        <f>IF(B1625="","",[1]!s_dq_close(股指期货基差分析!$E$6,$B1625))</f>
        <v/>
      </c>
      <c r="E1625" s="6" t="e">
        <f ca="1">RANK(F1625,F:F)+COUNTIF(F$2:F1625,F1625)-1</f>
        <v>#VALUE!</v>
      </c>
      <c r="F1625" s="6" t="str">
        <f t="shared" si="26"/>
        <v/>
      </c>
      <c r="G1625" s="6" t="str">
        <f>IF(B1625="","",股指期货基差分析!$N$11)</f>
        <v/>
      </c>
      <c r="H1625" s="6" t="str">
        <f>IF(B1625="","",股指期货基差分析!$L$11)</f>
        <v/>
      </c>
      <c r="I1625" s="10" t="str">
        <f>IF(B1625="","",股指期货基差分析!$D$11)</f>
        <v/>
      </c>
      <c r="L1625" s="43"/>
    </row>
    <row r="1626" spans="2:12" ht="15" customHeight="1" x14ac:dyDescent="0.2">
      <c r="B1626" s="7"/>
      <c r="C1626" s="5" t="str">
        <f>IF(B1626="","",[1]!s_dq_close(股指期货基差分析!$E$5,$B1626))</f>
        <v/>
      </c>
      <c r="D1626" s="5" t="str">
        <f>IF(B1626="","",[1]!s_dq_close(股指期货基差分析!$E$6,$B1626))</f>
        <v/>
      </c>
      <c r="E1626" s="5" t="e">
        <f ca="1">RANK(F1626,F:F)+COUNTIF(F$2:F1626,F1626)-1</f>
        <v>#VALUE!</v>
      </c>
      <c r="F1626" s="5" t="str">
        <f t="shared" si="26"/>
        <v/>
      </c>
      <c r="G1626" s="5" t="str">
        <f>IF(B1626="","",股指期货基差分析!$N$11)</f>
        <v/>
      </c>
      <c r="H1626" s="5" t="str">
        <f>IF(B1626="","",股指期货基差分析!$L$11)</f>
        <v/>
      </c>
      <c r="I1626" s="9" t="str">
        <f>IF(B1626="","",股指期货基差分析!$D$11)</f>
        <v/>
      </c>
      <c r="L1626" s="43"/>
    </row>
    <row r="1627" spans="2:12" ht="15" customHeight="1" x14ac:dyDescent="0.2">
      <c r="B1627" s="8"/>
      <c r="C1627" s="6" t="str">
        <f>IF(B1627="","",[1]!s_dq_close(股指期货基差分析!$E$5,$B1627))</f>
        <v/>
      </c>
      <c r="D1627" s="6" t="str">
        <f>IF(B1627="","",[1]!s_dq_close(股指期货基差分析!$E$6,$B1627))</f>
        <v/>
      </c>
      <c r="E1627" s="6" t="e">
        <f ca="1">RANK(F1627,F:F)+COUNTIF(F$2:F1627,F1627)-1</f>
        <v>#VALUE!</v>
      </c>
      <c r="F1627" s="6" t="str">
        <f t="shared" si="26"/>
        <v/>
      </c>
      <c r="G1627" s="6" t="str">
        <f>IF(B1627="","",股指期货基差分析!$N$11)</f>
        <v/>
      </c>
      <c r="H1627" s="6" t="str">
        <f>IF(B1627="","",股指期货基差分析!$L$11)</f>
        <v/>
      </c>
      <c r="I1627" s="10" t="str">
        <f>IF(B1627="","",股指期货基差分析!$D$11)</f>
        <v/>
      </c>
      <c r="L1627" s="43"/>
    </row>
    <row r="1628" spans="2:12" ht="15" customHeight="1" x14ac:dyDescent="0.2">
      <c r="B1628" s="7"/>
      <c r="C1628" s="5" t="str">
        <f>IF(B1628="","",[1]!s_dq_close(股指期货基差分析!$E$5,$B1628))</f>
        <v/>
      </c>
      <c r="D1628" s="5" t="str">
        <f>IF(B1628="","",[1]!s_dq_close(股指期货基差分析!$E$6,$B1628))</f>
        <v/>
      </c>
      <c r="E1628" s="5" t="e">
        <f ca="1">RANK(F1628,F:F)+COUNTIF(F$2:F1628,F1628)-1</f>
        <v>#VALUE!</v>
      </c>
      <c r="F1628" s="5" t="str">
        <f t="shared" si="26"/>
        <v/>
      </c>
      <c r="G1628" s="5" t="str">
        <f>IF(B1628="","",股指期货基差分析!$N$11)</f>
        <v/>
      </c>
      <c r="H1628" s="5" t="str">
        <f>IF(B1628="","",股指期货基差分析!$L$11)</f>
        <v/>
      </c>
      <c r="I1628" s="9" t="str">
        <f>IF(B1628="","",股指期货基差分析!$D$11)</f>
        <v/>
      </c>
      <c r="L1628" s="43"/>
    </row>
    <row r="1629" spans="2:12" ht="15" customHeight="1" x14ac:dyDescent="0.2">
      <c r="B1629" s="8"/>
      <c r="C1629" s="6" t="str">
        <f>IF(B1629="","",[1]!s_dq_close(股指期货基差分析!$E$5,$B1629))</f>
        <v/>
      </c>
      <c r="D1629" s="6" t="str">
        <f>IF(B1629="","",[1]!s_dq_close(股指期货基差分析!$E$6,$B1629))</f>
        <v/>
      </c>
      <c r="E1629" s="6" t="e">
        <f ca="1">RANK(F1629,F:F)+COUNTIF(F$2:F1629,F1629)-1</f>
        <v>#VALUE!</v>
      </c>
      <c r="F1629" s="6" t="str">
        <f t="shared" si="26"/>
        <v/>
      </c>
      <c r="G1629" s="6" t="str">
        <f>IF(B1629="","",股指期货基差分析!$N$11)</f>
        <v/>
      </c>
      <c r="H1629" s="6" t="str">
        <f>IF(B1629="","",股指期货基差分析!$L$11)</f>
        <v/>
      </c>
      <c r="I1629" s="10" t="str">
        <f>IF(B1629="","",股指期货基差分析!$D$11)</f>
        <v/>
      </c>
      <c r="L1629" s="43"/>
    </row>
    <row r="1630" spans="2:12" ht="15" customHeight="1" x14ac:dyDescent="0.2">
      <c r="B1630" s="7"/>
      <c r="C1630" s="5" t="str">
        <f>IF(B1630="","",[1]!s_dq_close(股指期货基差分析!$E$5,$B1630))</f>
        <v/>
      </c>
      <c r="D1630" s="5" t="str">
        <f>IF(B1630="","",[1]!s_dq_close(股指期货基差分析!$E$6,$B1630))</f>
        <v/>
      </c>
      <c r="E1630" s="5" t="e">
        <f ca="1">RANK(F1630,F:F)+COUNTIF(F$2:F1630,F1630)-1</f>
        <v>#VALUE!</v>
      </c>
      <c r="F1630" s="5" t="str">
        <f t="shared" si="26"/>
        <v/>
      </c>
      <c r="G1630" s="5" t="str">
        <f>IF(B1630="","",股指期货基差分析!$N$11)</f>
        <v/>
      </c>
      <c r="H1630" s="5" t="str">
        <f>IF(B1630="","",股指期货基差分析!$L$11)</f>
        <v/>
      </c>
      <c r="I1630" s="9" t="str">
        <f>IF(B1630="","",股指期货基差分析!$D$11)</f>
        <v/>
      </c>
      <c r="L1630" s="43"/>
    </row>
    <row r="1631" spans="2:12" ht="15" customHeight="1" x14ac:dyDescent="0.2">
      <c r="B1631" s="8"/>
      <c r="C1631" s="6" t="str">
        <f>IF(B1631="","",[1]!s_dq_close(股指期货基差分析!$E$5,$B1631))</f>
        <v/>
      </c>
      <c r="D1631" s="6" t="str">
        <f>IF(B1631="","",[1]!s_dq_close(股指期货基差分析!$E$6,$B1631))</f>
        <v/>
      </c>
      <c r="E1631" s="6" t="e">
        <f ca="1">RANK(F1631,F:F)+COUNTIF(F$2:F1631,F1631)-1</f>
        <v>#VALUE!</v>
      </c>
      <c r="F1631" s="6" t="str">
        <f t="shared" si="26"/>
        <v/>
      </c>
      <c r="G1631" s="6" t="str">
        <f>IF(B1631="","",股指期货基差分析!$N$11)</f>
        <v/>
      </c>
      <c r="H1631" s="6" t="str">
        <f>IF(B1631="","",股指期货基差分析!$L$11)</f>
        <v/>
      </c>
      <c r="I1631" s="10" t="str">
        <f>IF(B1631="","",股指期货基差分析!$D$11)</f>
        <v/>
      </c>
      <c r="L1631" s="43"/>
    </row>
    <row r="1632" spans="2:12" ht="15" customHeight="1" x14ac:dyDescent="0.2">
      <c r="B1632" s="7"/>
      <c r="C1632" s="5" t="str">
        <f>IF(B1632="","",[1]!s_dq_close(股指期货基差分析!$E$5,$B1632))</f>
        <v/>
      </c>
      <c r="D1632" s="5" t="str">
        <f>IF(B1632="","",[1]!s_dq_close(股指期货基差分析!$E$6,$B1632))</f>
        <v/>
      </c>
      <c r="E1632" s="5" t="e">
        <f ca="1">RANK(F1632,F:F)+COUNTIF(F$2:F1632,F1632)-1</f>
        <v>#VALUE!</v>
      </c>
      <c r="F1632" s="5" t="str">
        <f t="shared" si="26"/>
        <v/>
      </c>
      <c r="G1632" s="5" t="str">
        <f>IF(B1632="","",股指期货基差分析!$N$11)</f>
        <v/>
      </c>
      <c r="H1632" s="5" t="str">
        <f>IF(B1632="","",股指期货基差分析!$L$11)</f>
        <v/>
      </c>
      <c r="I1632" s="9" t="str">
        <f>IF(B1632="","",股指期货基差分析!$D$11)</f>
        <v/>
      </c>
      <c r="L1632" s="43"/>
    </row>
    <row r="1633" spans="2:12" ht="15" customHeight="1" x14ac:dyDescent="0.2">
      <c r="B1633" s="8"/>
      <c r="C1633" s="6" t="str">
        <f>IF(B1633="","",[1]!s_dq_close(股指期货基差分析!$E$5,$B1633))</f>
        <v/>
      </c>
      <c r="D1633" s="6" t="str">
        <f>IF(B1633="","",[1]!s_dq_close(股指期货基差分析!$E$6,$B1633))</f>
        <v/>
      </c>
      <c r="E1633" s="6" t="e">
        <f ca="1">RANK(F1633,F:F)+COUNTIF(F$2:F1633,F1633)-1</f>
        <v>#VALUE!</v>
      </c>
      <c r="F1633" s="6" t="str">
        <f t="shared" si="26"/>
        <v/>
      </c>
      <c r="G1633" s="6" t="str">
        <f>IF(B1633="","",股指期货基差分析!$N$11)</f>
        <v/>
      </c>
      <c r="H1633" s="6" t="str">
        <f>IF(B1633="","",股指期货基差分析!$L$11)</f>
        <v/>
      </c>
      <c r="I1633" s="10" t="str">
        <f>IF(B1633="","",股指期货基差分析!$D$11)</f>
        <v/>
      </c>
      <c r="L1633" s="43"/>
    </row>
    <row r="1634" spans="2:12" ht="15" customHeight="1" x14ac:dyDescent="0.2">
      <c r="B1634" s="7"/>
      <c r="C1634" s="5" t="str">
        <f>IF(B1634="","",[1]!s_dq_close(股指期货基差分析!$E$5,$B1634))</f>
        <v/>
      </c>
      <c r="D1634" s="5" t="str">
        <f>IF(B1634="","",[1]!s_dq_close(股指期货基差分析!$E$6,$B1634))</f>
        <v/>
      </c>
      <c r="E1634" s="5" t="e">
        <f ca="1">RANK(F1634,F:F)+COUNTIF(F$2:F1634,F1634)-1</f>
        <v>#VALUE!</v>
      </c>
      <c r="F1634" s="5" t="str">
        <f t="shared" si="26"/>
        <v/>
      </c>
      <c r="G1634" s="5" t="str">
        <f>IF(B1634="","",股指期货基差分析!$N$11)</f>
        <v/>
      </c>
      <c r="H1634" s="5" t="str">
        <f>IF(B1634="","",股指期货基差分析!$L$11)</f>
        <v/>
      </c>
      <c r="I1634" s="9" t="str">
        <f>IF(B1634="","",股指期货基差分析!$D$11)</f>
        <v/>
      </c>
      <c r="L1634" s="43"/>
    </row>
    <row r="1635" spans="2:12" ht="15" customHeight="1" x14ac:dyDescent="0.2">
      <c r="B1635" s="8"/>
      <c r="C1635" s="6" t="str">
        <f>IF(B1635="","",[1]!s_dq_close(股指期货基差分析!$E$5,$B1635))</f>
        <v/>
      </c>
      <c r="D1635" s="6" t="str">
        <f>IF(B1635="","",[1]!s_dq_close(股指期货基差分析!$E$6,$B1635))</f>
        <v/>
      </c>
      <c r="E1635" s="6" t="e">
        <f ca="1">RANK(F1635,F:F)+COUNTIF(F$2:F1635,F1635)-1</f>
        <v>#VALUE!</v>
      </c>
      <c r="F1635" s="6" t="str">
        <f t="shared" si="26"/>
        <v/>
      </c>
      <c r="G1635" s="6" t="str">
        <f>IF(B1635="","",股指期货基差分析!$N$11)</f>
        <v/>
      </c>
      <c r="H1635" s="6" t="str">
        <f>IF(B1635="","",股指期货基差分析!$L$11)</f>
        <v/>
      </c>
      <c r="I1635" s="10" t="str">
        <f>IF(B1635="","",股指期货基差分析!$D$11)</f>
        <v/>
      </c>
      <c r="L1635" s="43"/>
    </row>
    <row r="1636" spans="2:12" ht="15" customHeight="1" x14ac:dyDescent="0.2">
      <c r="B1636" s="7"/>
      <c r="C1636" s="5" t="str">
        <f>IF(B1636="","",[1]!s_dq_close(股指期货基差分析!$E$5,$B1636))</f>
        <v/>
      </c>
      <c r="D1636" s="5" t="str">
        <f>IF(B1636="","",[1]!s_dq_close(股指期货基差分析!$E$6,$B1636))</f>
        <v/>
      </c>
      <c r="E1636" s="5" t="e">
        <f ca="1">RANK(F1636,F:F)+COUNTIF(F$2:F1636,F1636)-1</f>
        <v>#VALUE!</v>
      </c>
      <c r="F1636" s="5" t="str">
        <f t="shared" si="26"/>
        <v/>
      </c>
      <c r="G1636" s="5" t="str">
        <f>IF(B1636="","",股指期货基差分析!$N$11)</f>
        <v/>
      </c>
      <c r="H1636" s="5" t="str">
        <f>IF(B1636="","",股指期货基差分析!$L$11)</f>
        <v/>
      </c>
      <c r="I1636" s="9" t="str">
        <f>IF(B1636="","",股指期货基差分析!$D$11)</f>
        <v/>
      </c>
      <c r="L1636" s="43"/>
    </row>
    <row r="1637" spans="2:12" ht="15" customHeight="1" x14ac:dyDescent="0.2">
      <c r="B1637" s="8"/>
      <c r="C1637" s="6" t="str">
        <f>IF(B1637="","",[1]!s_dq_close(股指期货基差分析!$E$5,$B1637))</f>
        <v/>
      </c>
      <c r="D1637" s="6" t="str">
        <f>IF(B1637="","",[1]!s_dq_close(股指期货基差分析!$E$6,$B1637))</f>
        <v/>
      </c>
      <c r="E1637" s="6" t="e">
        <f ca="1">RANK(F1637,F:F)+COUNTIF(F$2:F1637,F1637)-1</f>
        <v>#VALUE!</v>
      </c>
      <c r="F1637" s="6" t="str">
        <f t="shared" si="26"/>
        <v/>
      </c>
      <c r="G1637" s="6" t="str">
        <f>IF(B1637="","",股指期货基差分析!$N$11)</f>
        <v/>
      </c>
      <c r="H1637" s="6" t="str">
        <f>IF(B1637="","",股指期货基差分析!$L$11)</f>
        <v/>
      </c>
      <c r="I1637" s="10" t="str">
        <f>IF(B1637="","",股指期货基差分析!$D$11)</f>
        <v/>
      </c>
      <c r="L1637" s="43"/>
    </row>
    <row r="1638" spans="2:12" ht="15" customHeight="1" x14ac:dyDescent="0.2">
      <c r="B1638" s="7"/>
      <c r="C1638" s="5" t="str">
        <f>IF(B1638="","",[1]!s_dq_close(股指期货基差分析!$E$5,$B1638))</f>
        <v/>
      </c>
      <c r="D1638" s="5" t="str">
        <f>IF(B1638="","",[1]!s_dq_close(股指期货基差分析!$E$6,$B1638))</f>
        <v/>
      </c>
      <c r="E1638" s="5" t="e">
        <f ca="1">RANK(F1638,F:F)+COUNTIF(F$2:F1638,F1638)-1</f>
        <v>#VALUE!</v>
      </c>
      <c r="F1638" s="5" t="str">
        <f t="shared" si="26"/>
        <v/>
      </c>
      <c r="G1638" s="5" t="str">
        <f>IF(B1638="","",股指期货基差分析!$N$11)</f>
        <v/>
      </c>
      <c r="H1638" s="5" t="str">
        <f>IF(B1638="","",股指期货基差分析!$L$11)</f>
        <v/>
      </c>
      <c r="I1638" s="9" t="str">
        <f>IF(B1638="","",股指期货基差分析!$D$11)</f>
        <v/>
      </c>
      <c r="L1638" s="43"/>
    </row>
    <row r="1639" spans="2:12" ht="15" customHeight="1" x14ac:dyDescent="0.2">
      <c r="B1639" s="8"/>
      <c r="C1639" s="6" t="str">
        <f>IF(B1639="","",[1]!s_dq_close(股指期货基差分析!$E$5,$B1639))</f>
        <v/>
      </c>
      <c r="D1639" s="6" t="str">
        <f>IF(B1639="","",[1]!s_dq_close(股指期货基差分析!$E$6,$B1639))</f>
        <v/>
      </c>
      <c r="E1639" s="6" t="e">
        <f ca="1">RANK(F1639,F:F)+COUNTIF(F$2:F1639,F1639)-1</f>
        <v>#VALUE!</v>
      </c>
      <c r="F1639" s="6" t="str">
        <f t="shared" si="26"/>
        <v/>
      </c>
      <c r="G1639" s="6" t="str">
        <f>IF(B1639="","",股指期货基差分析!$N$11)</f>
        <v/>
      </c>
      <c r="H1639" s="6" t="str">
        <f>IF(B1639="","",股指期货基差分析!$L$11)</f>
        <v/>
      </c>
      <c r="I1639" s="10" t="str">
        <f>IF(B1639="","",股指期货基差分析!$D$11)</f>
        <v/>
      </c>
      <c r="L1639" s="43"/>
    </row>
    <row r="1640" spans="2:12" ht="15" customHeight="1" x14ac:dyDescent="0.2">
      <c r="B1640" s="7"/>
      <c r="C1640" s="5" t="str">
        <f>IF(B1640="","",[1]!s_dq_close(股指期货基差分析!$E$5,$B1640))</f>
        <v/>
      </c>
      <c r="D1640" s="5" t="str">
        <f>IF(B1640="","",[1]!s_dq_close(股指期货基差分析!$E$6,$B1640))</f>
        <v/>
      </c>
      <c r="E1640" s="5" t="e">
        <f ca="1">RANK(F1640,F:F)+COUNTIF(F$2:F1640,F1640)-1</f>
        <v>#VALUE!</v>
      </c>
      <c r="F1640" s="5" t="str">
        <f t="shared" si="26"/>
        <v/>
      </c>
      <c r="G1640" s="5" t="str">
        <f>IF(B1640="","",股指期货基差分析!$N$11)</f>
        <v/>
      </c>
      <c r="H1640" s="5" t="str">
        <f>IF(B1640="","",股指期货基差分析!$L$11)</f>
        <v/>
      </c>
      <c r="I1640" s="9" t="str">
        <f>IF(B1640="","",股指期货基差分析!$D$11)</f>
        <v/>
      </c>
      <c r="L1640" s="43"/>
    </row>
    <row r="1641" spans="2:12" ht="15" customHeight="1" x14ac:dyDescent="0.2">
      <c r="B1641" s="8"/>
      <c r="C1641" s="6" t="str">
        <f>IF(B1641="","",[1]!s_dq_close(股指期货基差分析!$E$5,$B1641))</f>
        <v/>
      </c>
      <c r="D1641" s="6" t="str">
        <f>IF(B1641="","",[1]!s_dq_close(股指期货基差分析!$E$6,$B1641))</f>
        <v/>
      </c>
      <c r="E1641" s="6" t="e">
        <f ca="1">RANK(F1641,F:F)+COUNTIF(F$2:F1641,F1641)-1</f>
        <v>#VALUE!</v>
      </c>
      <c r="F1641" s="6" t="str">
        <f t="shared" si="26"/>
        <v/>
      </c>
      <c r="G1641" s="6" t="str">
        <f>IF(B1641="","",股指期货基差分析!$N$11)</f>
        <v/>
      </c>
      <c r="H1641" s="6" t="str">
        <f>IF(B1641="","",股指期货基差分析!$L$11)</f>
        <v/>
      </c>
      <c r="I1641" s="10" t="str">
        <f>IF(B1641="","",股指期货基差分析!$D$11)</f>
        <v/>
      </c>
      <c r="L1641" s="43"/>
    </row>
    <row r="1642" spans="2:12" ht="15" customHeight="1" x14ac:dyDescent="0.2">
      <c r="B1642" s="7"/>
      <c r="C1642" s="5" t="str">
        <f>IF(B1642="","",[1]!s_dq_close(股指期货基差分析!$E$5,$B1642))</f>
        <v/>
      </c>
      <c r="D1642" s="5" t="str">
        <f>IF(B1642="","",[1]!s_dq_close(股指期货基差分析!$E$6,$B1642))</f>
        <v/>
      </c>
      <c r="E1642" s="5" t="e">
        <f ca="1">RANK(F1642,F:F)+COUNTIF(F$2:F1642,F1642)-1</f>
        <v>#VALUE!</v>
      </c>
      <c r="F1642" s="5" t="str">
        <f t="shared" si="26"/>
        <v/>
      </c>
      <c r="G1642" s="5" t="str">
        <f>IF(B1642="","",股指期货基差分析!$N$11)</f>
        <v/>
      </c>
      <c r="H1642" s="5" t="str">
        <f>IF(B1642="","",股指期货基差分析!$L$11)</f>
        <v/>
      </c>
      <c r="I1642" s="9" t="str">
        <f>IF(B1642="","",股指期货基差分析!$D$11)</f>
        <v/>
      </c>
      <c r="L1642" s="43"/>
    </row>
    <row r="1643" spans="2:12" ht="15" customHeight="1" x14ac:dyDescent="0.2">
      <c r="B1643" s="8"/>
      <c r="C1643" s="6" t="str">
        <f>IF(B1643="","",[1]!s_dq_close(股指期货基差分析!$E$5,$B1643))</f>
        <v/>
      </c>
      <c r="D1643" s="6" t="str">
        <f>IF(B1643="","",[1]!s_dq_close(股指期货基差分析!$E$6,$B1643))</f>
        <v/>
      </c>
      <c r="E1643" s="6" t="e">
        <f ca="1">RANK(F1643,F:F)+COUNTIF(F$2:F1643,F1643)-1</f>
        <v>#VALUE!</v>
      </c>
      <c r="F1643" s="6" t="str">
        <f t="shared" si="26"/>
        <v/>
      </c>
      <c r="G1643" s="6" t="str">
        <f>IF(B1643="","",股指期货基差分析!$N$11)</f>
        <v/>
      </c>
      <c r="H1643" s="6" t="str">
        <f>IF(B1643="","",股指期货基差分析!$L$11)</f>
        <v/>
      </c>
      <c r="I1643" s="10" t="str">
        <f>IF(B1643="","",股指期货基差分析!$D$11)</f>
        <v/>
      </c>
      <c r="L1643" s="43"/>
    </row>
    <row r="1644" spans="2:12" ht="15" customHeight="1" x14ac:dyDescent="0.2">
      <c r="B1644" s="7"/>
      <c r="C1644" s="5" t="str">
        <f>IF(B1644="","",[1]!s_dq_close(股指期货基差分析!$E$5,$B1644))</f>
        <v/>
      </c>
      <c r="D1644" s="5" t="str">
        <f>IF(B1644="","",[1]!s_dq_close(股指期货基差分析!$E$6,$B1644))</f>
        <v/>
      </c>
      <c r="E1644" s="5" t="e">
        <f ca="1">RANK(F1644,F:F)+COUNTIF(F$2:F1644,F1644)-1</f>
        <v>#VALUE!</v>
      </c>
      <c r="F1644" s="5" t="str">
        <f t="shared" si="26"/>
        <v/>
      </c>
      <c r="G1644" s="5" t="str">
        <f>IF(B1644="","",股指期货基差分析!$N$11)</f>
        <v/>
      </c>
      <c r="H1644" s="5" t="str">
        <f>IF(B1644="","",股指期货基差分析!$L$11)</f>
        <v/>
      </c>
      <c r="I1644" s="9" t="str">
        <f>IF(B1644="","",股指期货基差分析!$D$11)</f>
        <v/>
      </c>
      <c r="L1644" s="43"/>
    </row>
    <row r="1645" spans="2:12" ht="15" customHeight="1" x14ac:dyDescent="0.2">
      <c r="B1645" s="8"/>
      <c r="C1645" s="6" t="str">
        <f>IF(B1645="","",[1]!s_dq_close(股指期货基差分析!$E$5,$B1645))</f>
        <v/>
      </c>
      <c r="D1645" s="6" t="str">
        <f>IF(B1645="","",[1]!s_dq_close(股指期货基差分析!$E$6,$B1645))</f>
        <v/>
      </c>
      <c r="E1645" s="6" t="e">
        <f ca="1">RANK(F1645,F:F)+COUNTIF(F$2:F1645,F1645)-1</f>
        <v>#VALUE!</v>
      </c>
      <c r="F1645" s="6" t="str">
        <f t="shared" si="26"/>
        <v/>
      </c>
      <c r="G1645" s="6" t="str">
        <f>IF(B1645="","",股指期货基差分析!$N$11)</f>
        <v/>
      </c>
      <c r="H1645" s="6" t="str">
        <f>IF(B1645="","",股指期货基差分析!$L$11)</f>
        <v/>
      </c>
      <c r="I1645" s="10" t="str">
        <f>IF(B1645="","",股指期货基差分析!$D$11)</f>
        <v/>
      </c>
      <c r="L1645" s="43"/>
    </row>
    <row r="1646" spans="2:12" ht="15" customHeight="1" x14ac:dyDescent="0.2">
      <c r="B1646" s="7"/>
      <c r="C1646" s="5" t="str">
        <f>IF(B1646="","",[1]!s_dq_close(股指期货基差分析!$E$5,$B1646))</f>
        <v/>
      </c>
      <c r="D1646" s="5" t="str">
        <f>IF(B1646="","",[1]!s_dq_close(股指期货基差分析!$E$6,$B1646))</f>
        <v/>
      </c>
      <c r="E1646" s="5" t="e">
        <f ca="1">RANK(F1646,F:F)+COUNTIF(F$2:F1646,F1646)-1</f>
        <v>#VALUE!</v>
      </c>
      <c r="F1646" s="5" t="str">
        <f t="shared" si="26"/>
        <v/>
      </c>
      <c r="G1646" s="5" t="str">
        <f>IF(B1646="","",股指期货基差分析!$N$11)</f>
        <v/>
      </c>
      <c r="H1646" s="5" t="str">
        <f>IF(B1646="","",股指期货基差分析!$L$11)</f>
        <v/>
      </c>
      <c r="I1646" s="9" t="str">
        <f>IF(B1646="","",股指期货基差分析!$D$11)</f>
        <v/>
      </c>
      <c r="L1646" s="43"/>
    </row>
    <row r="1647" spans="2:12" ht="15" customHeight="1" x14ac:dyDescent="0.2">
      <c r="B1647" s="8"/>
      <c r="C1647" s="6" t="str">
        <f>IF(B1647="","",[1]!s_dq_close(股指期货基差分析!$E$5,$B1647))</f>
        <v/>
      </c>
      <c r="D1647" s="6" t="str">
        <f>IF(B1647="","",[1]!s_dq_close(股指期货基差分析!$E$6,$B1647))</f>
        <v/>
      </c>
      <c r="E1647" s="6" t="e">
        <f ca="1">RANK(F1647,F:F)+COUNTIF(F$2:F1647,F1647)-1</f>
        <v>#VALUE!</v>
      </c>
      <c r="F1647" s="6" t="str">
        <f t="shared" si="26"/>
        <v/>
      </c>
      <c r="G1647" s="6" t="str">
        <f>IF(B1647="","",股指期货基差分析!$N$11)</f>
        <v/>
      </c>
      <c r="H1647" s="6" t="str">
        <f>IF(B1647="","",股指期货基差分析!$L$11)</f>
        <v/>
      </c>
      <c r="I1647" s="10" t="str">
        <f>IF(B1647="","",股指期货基差分析!$D$11)</f>
        <v/>
      </c>
      <c r="L1647" s="43"/>
    </row>
    <row r="1648" spans="2:12" ht="15" customHeight="1" x14ac:dyDescent="0.2">
      <c r="B1648" s="7"/>
      <c r="C1648" s="5" t="str">
        <f>IF(B1648="","",[1]!s_dq_close(股指期货基差分析!$E$5,$B1648))</f>
        <v/>
      </c>
      <c r="D1648" s="5" t="str">
        <f>IF(B1648="","",[1]!s_dq_close(股指期货基差分析!$E$6,$B1648))</f>
        <v/>
      </c>
      <c r="E1648" s="5" t="e">
        <f ca="1">RANK(F1648,F:F)+COUNTIF(F$2:F1648,F1648)-1</f>
        <v>#VALUE!</v>
      </c>
      <c r="F1648" s="5" t="str">
        <f t="shared" si="26"/>
        <v/>
      </c>
      <c r="G1648" s="5" t="str">
        <f>IF(B1648="","",股指期货基差分析!$N$11)</f>
        <v/>
      </c>
      <c r="H1648" s="5" t="str">
        <f>IF(B1648="","",股指期货基差分析!$L$11)</f>
        <v/>
      </c>
      <c r="I1648" s="9" t="str">
        <f>IF(B1648="","",股指期货基差分析!$D$11)</f>
        <v/>
      </c>
      <c r="L1648" s="43"/>
    </row>
    <row r="1649" spans="2:12" ht="15" customHeight="1" x14ac:dyDescent="0.2">
      <c r="B1649" s="8"/>
      <c r="C1649" s="6" t="str">
        <f>IF(B1649="","",[1]!s_dq_close(股指期货基差分析!$E$5,$B1649))</f>
        <v/>
      </c>
      <c r="D1649" s="6" t="str">
        <f>IF(B1649="","",[1]!s_dq_close(股指期货基差分析!$E$6,$B1649))</f>
        <v/>
      </c>
      <c r="E1649" s="6" t="e">
        <f ca="1">RANK(F1649,F:F)+COUNTIF(F$2:F1649,F1649)-1</f>
        <v>#VALUE!</v>
      </c>
      <c r="F1649" s="6" t="str">
        <f t="shared" si="26"/>
        <v/>
      </c>
      <c r="G1649" s="6" t="str">
        <f>IF(B1649="","",股指期货基差分析!$N$11)</f>
        <v/>
      </c>
      <c r="H1649" s="6" t="str">
        <f>IF(B1649="","",股指期货基差分析!$L$11)</f>
        <v/>
      </c>
      <c r="I1649" s="10" t="str">
        <f>IF(B1649="","",股指期货基差分析!$D$11)</f>
        <v/>
      </c>
      <c r="L1649" s="43"/>
    </row>
    <row r="1650" spans="2:12" ht="15" customHeight="1" x14ac:dyDescent="0.2">
      <c r="B1650" s="7"/>
      <c r="C1650" s="5" t="str">
        <f>IF(B1650="","",[1]!s_dq_close(股指期货基差分析!$E$5,$B1650))</f>
        <v/>
      </c>
      <c r="D1650" s="5" t="str">
        <f>IF(B1650="","",[1]!s_dq_close(股指期货基差分析!$E$6,$B1650))</f>
        <v/>
      </c>
      <c r="E1650" s="5" t="e">
        <f ca="1">RANK(F1650,F:F)+COUNTIF(F$2:F1650,F1650)-1</f>
        <v>#VALUE!</v>
      </c>
      <c r="F1650" s="5" t="str">
        <f t="shared" si="26"/>
        <v/>
      </c>
      <c r="G1650" s="5" t="str">
        <f>IF(B1650="","",股指期货基差分析!$N$11)</f>
        <v/>
      </c>
      <c r="H1650" s="5" t="str">
        <f>IF(B1650="","",股指期货基差分析!$L$11)</f>
        <v/>
      </c>
      <c r="I1650" s="9" t="str">
        <f>IF(B1650="","",股指期货基差分析!$D$11)</f>
        <v/>
      </c>
      <c r="L1650" s="43"/>
    </row>
    <row r="1651" spans="2:12" ht="15" customHeight="1" x14ac:dyDescent="0.2">
      <c r="B1651" s="8"/>
      <c r="C1651" s="6" t="str">
        <f>IF(B1651="","",[1]!s_dq_close(股指期货基差分析!$E$5,$B1651))</f>
        <v/>
      </c>
      <c r="D1651" s="6" t="str">
        <f>IF(B1651="","",[1]!s_dq_close(股指期货基差分析!$E$6,$B1651))</f>
        <v/>
      </c>
      <c r="E1651" s="6" t="e">
        <f ca="1">RANK(F1651,F:F)+COUNTIF(F$2:F1651,F1651)-1</f>
        <v>#VALUE!</v>
      </c>
      <c r="F1651" s="6" t="str">
        <f t="shared" si="26"/>
        <v/>
      </c>
      <c r="G1651" s="6" t="str">
        <f>IF(B1651="","",股指期货基差分析!$N$11)</f>
        <v/>
      </c>
      <c r="H1651" s="6" t="str">
        <f>IF(B1651="","",股指期货基差分析!$L$11)</f>
        <v/>
      </c>
      <c r="I1651" s="10" t="str">
        <f>IF(B1651="","",股指期货基差分析!$D$11)</f>
        <v/>
      </c>
      <c r="L1651" s="43"/>
    </row>
    <row r="1652" spans="2:12" ht="15" customHeight="1" x14ac:dyDescent="0.2">
      <c r="B1652" s="7"/>
      <c r="C1652" s="5" t="str">
        <f>IF(B1652="","",[1]!s_dq_close(股指期货基差分析!$E$5,$B1652))</f>
        <v/>
      </c>
      <c r="D1652" s="5" t="str">
        <f>IF(B1652="","",[1]!s_dq_close(股指期货基差分析!$E$6,$B1652))</f>
        <v/>
      </c>
      <c r="E1652" s="5" t="e">
        <f ca="1">RANK(F1652,F:F)+COUNTIF(F$2:F1652,F1652)-1</f>
        <v>#VALUE!</v>
      </c>
      <c r="F1652" s="5" t="str">
        <f t="shared" si="26"/>
        <v/>
      </c>
      <c r="G1652" s="5" t="str">
        <f>IF(B1652="","",股指期货基差分析!$N$11)</f>
        <v/>
      </c>
      <c r="H1652" s="5" t="str">
        <f>IF(B1652="","",股指期货基差分析!$L$11)</f>
        <v/>
      </c>
      <c r="I1652" s="9" t="str">
        <f>IF(B1652="","",股指期货基差分析!$D$11)</f>
        <v/>
      </c>
      <c r="L1652" s="43"/>
    </row>
    <row r="1653" spans="2:12" ht="15" customHeight="1" x14ac:dyDescent="0.2">
      <c r="B1653" s="8"/>
      <c r="C1653" s="6" t="str">
        <f>IF(B1653="","",[1]!s_dq_close(股指期货基差分析!$E$5,$B1653))</f>
        <v/>
      </c>
      <c r="D1653" s="6" t="str">
        <f>IF(B1653="","",[1]!s_dq_close(股指期货基差分析!$E$6,$B1653))</f>
        <v/>
      </c>
      <c r="E1653" s="6" t="e">
        <f ca="1">RANK(F1653,F:F)+COUNTIF(F$2:F1653,F1653)-1</f>
        <v>#VALUE!</v>
      </c>
      <c r="F1653" s="6" t="str">
        <f t="shared" si="26"/>
        <v/>
      </c>
      <c r="G1653" s="6" t="str">
        <f>IF(B1653="","",股指期货基差分析!$N$11)</f>
        <v/>
      </c>
      <c r="H1653" s="6" t="str">
        <f>IF(B1653="","",股指期货基差分析!$L$11)</f>
        <v/>
      </c>
      <c r="I1653" s="10" t="str">
        <f>IF(B1653="","",股指期货基差分析!$D$11)</f>
        <v/>
      </c>
      <c r="L1653" s="43"/>
    </row>
    <row r="1654" spans="2:12" ht="15" customHeight="1" x14ac:dyDescent="0.2">
      <c r="B1654" s="7"/>
      <c r="C1654" s="5" t="str">
        <f>IF(B1654="","",[1]!s_dq_close(股指期货基差分析!$E$5,$B1654))</f>
        <v/>
      </c>
      <c r="D1654" s="5" t="str">
        <f>IF(B1654="","",[1]!s_dq_close(股指期货基差分析!$E$6,$B1654))</f>
        <v/>
      </c>
      <c r="E1654" s="5" t="e">
        <f ca="1">RANK(F1654,F:F)+COUNTIF(F$2:F1654,F1654)-1</f>
        <v>#VALUE!</v>
      </c>
      <c r="F1654" s="5" t="str">
        <f t="shared" si="26"/>
        <v/>
      </c>
      <c r="G1654" s="5" t="str">
        <f>IF(B1654="","",股指期货基差分析!$N$11)</f>
        <v/>
      </c>
      <c r="H1654" s="5" t="str">
        <f>IF(B1654="","",股指期货基差分析!$L$11)</f>
        <v/>
      </c>
      <c r="I1654" s="9" t="str">
        <f>IF(B1654="","",股指期货基差分析!$D$11)</f>
        <v/>
      </c>
      <c r="L1654" s="43"/>
    </row>
    <row r="1655" spans="2:12" ht="15" customHeight="1" x14ac:dyDescent="0.2">
      <c r="B1655" s="8"/>
      <c r="C1655" s="6" t="str">
        <f>IF(B1655="","",[1]!s_dq_close(股指期货基差分析!$E$5,$B1655))</f>
        <v/>
      </c>
      <c r="D1655" s="6" t="str">
        <f>IF(B1655="","",[1]!s_dq_close(股指期货基差分析!$E$6,$B1655))</f>
        <v/>
      </c>
      <c r="E1655" s="6" t="e">
        <f ca="1">RANK(F1655,F:F)+COUNTIF(F$2:F1655,F1655)-1</f>
        <v>#VALUE!</v>
      </c>
      <c r="F1655" s="6" t="str">
        <f t="shared" si="26"/>
        <v/>
      </c>
      <c r="G1655" s="6" t="str">
        <f>IF(B1655="","",股指期货基差分析!$N$11)</f>
        <v/>
      </c>
      <c r="H1655" s="6" t="str">
        <f>IF(B1655="","",股指期货基差分析!$L$11)</f>
        <v/>
      </c>
      <c r="I1655" s="10" t="str">
        <f>IF(B1655="","",股指期货基差分析!$D$11)</f>
        <v/>
      </c>
      <c r="L1655" s="43"/>
    </row>
    <row r="1656" spans="2:12" ht="15" customHeight="1" x14ac:dyDescent="0.2">
      <c r="B1656" s="7"/>
      <c r="C1656" s="5" t="str">
        <f>IF(B1656="","",[1]!s_dq_close(股指期货基差分析!$E$5,$B1656))</f>
        <v/>
      </c>
      <c r="D1656" s="5" t="str">
        <f>IF(B1656="","",[1]!s_dq_close(股指期货基差分析!$E$6,$B1656))</f>
        <v/>
      </c>
      <c r="E1656" s="5" t="e">
        <f ca="1">RANK(F1656,F:F)+COUNTIF(F$2:F1656,F1656)-1</f>
        <v>#VALUE!</v>
      </c>
      <c r="F1656" s="5" t="str">
        <f t="shared" si="26"/>
        <v/>
      </c>
      <c r="G1656" s="5" t="str">
        <f>IF(B1656="","",股指期货基差分析!$N$11)</f>
        <v/>
      </c>
      <c r="H1656" s="5" t="str">
        <f>IF(B1656="","",股指期货基差分析!$L$11)</f>
        <v/>
      </c>
      <c r="I1656" s="9" t="str">
        <f>IF(B1656="","",股指期货基差分析!$D$11)</f>
        <v/>
      </c>
      <c r="L1656" s="43"/>
    </row>
    <row r="1657" spans="2:12" ht="15" customHeight="1" x14ac:dyDescent="0.2">
      <c r="B1657" s="8"/>
      <c r="C1657" s="6" t="str">
        <f>IF(B1657="","",[1]!s_dq_close(股指期货基差分析!$E$5,$B1657))</f>
        <v/>
      </c>
      <c r="D1657" s="6" t="str">
        <f>IF(B1657="","",[1]!s_dq_close(股指期货基差分析!$E$6,$B1657))</f>
        <v/>
      </c>
      <c r="E1657" s="6" t="e">
        <f ca="1">RANK(F1657,F:F)+COUNTIF(F$2:F1657,F1657)-1</f>
        <v>#VALUE!</v>
      </c>
      <c r="F1657" s="6" t="str">
        <f t="shared" si="26"/>
        <v/>
      </c>
      <c r="G1657" s="6" t="str">
        <f>IF(B1657="","",股指期货基差分析!$N$11)</f>
        <v/>
      </c>
      <c r="H1657" s="6" t="str">
        <f>IF(B1657="","",股指期货基差分析!$L$11)</f>
        <v/>
      </c>
      <c r="I1657" s="10" t="str">
        <f>IF(B1657="","",股指期货基差分析!$D$11)</f>
        <v/>
      </c>
      <c r="L1657" s="43"/>
    </row>
    <row r="1658" spans="2:12" ht="15" customHeight="1" x14ac:dyDescent="0.2">
      <c r="B1658" s="7"/>
      <c r="C1658" s="5" t="str">
        <f>IF(B1658="","",[1]!s_dq_close(股指期货基差分析!$E$5,$B1658))</f>
        <v/>
      </c>
      <c r="D1658" s="5" t="str">
        <f>IF(B1658="","",[1]!s_dq_close(股指期货基差分析!$E$6,$B1658))</f>
        <v/>
      </c>
      <c r="E1658" s="5" t="e">
        <f ca="1">RANK(F1658,F:F)+COUNTIF(F$2:F1658,F1658)-1</f>
        <v>#VALUE!</v>
      </c>
      <c r="F1658" s="5" t="str">
        <f t="shared" si="26"/>
        <v/>
      </c>
      <c r="G1658" s="5" t="str">
        <f>IF(B1658="","",股指期货基差分析!$N$11)</f>
        <v/>
      </c>
      <c r="H1658" s="5" t="str">
        <f>IF(B1658="","",股指期货基差分析!$L$11)</f>
        <v/>
      </c>
      <c r="I1658" s="9" t="str">
        <f>IF(B1658="","",股指期货基差分析!$D$11)</f>
        <v/>
      </c>
      <c r="L1658" s="43"/>
    </row>
    <row r="1659" spans="2:12" ht="15" customHeight="1" x14ac:dyDescent="0.2">
      <c r="B1659" s="8"/>
      <c r="C1659" s="6" t="str">
        <f>IF(B1659="","",[1]!s_dq_close(股指期货基差分析!$E$5,$B1659))</f>
        <v/>
      </c>
      <c r="D1659" s="6" t="str">
        <f>IF(B1659="","",[1]!s_dq_close(股指期货基差分析!$E$6,$B1659))</f>
        <v/>
      </c>
      <c r="E1659" s="6" t="e">
        <f ca="1">RANK(F1659,F:F)+COUNTIF(F$2:F1659,F1659)-1</f>
        <v>#VALUE!</v>
      </c>
      <c r="F1659" s="6" t="str">
        <f t="shared" si="26"/>
        <v/>
      </c>
      <c r="G1659" s="6" t="str">
        <f>IF(B1659="","",股指期货基差分析!$N$11)</f>
        <v/>
      </c>
      <c r="H1659" s="6" t="str">
        <f>IF(B1659="","",股指期货基差分析!$L$11)</f>
        <v/>
      </c>
      <c r="I1659" s="10" t="str">
        <f>IF(B1659="","",股指期货基差分析!$D$11)</f>
        <v/>
      </c>
      <c r="L1659" s="43"/>
    </row>
    <row r="1660" spans="2:12" ht="15" customHeight="1" x14ac:dyDescent="0.2">
      <c r="B1660" s="7"/>
      <c r="C1660" s="5" t="str">
        <f>IF(B1660="","",[1]!s_dq_close(股指期货基差分析!$E$5,$B1660))</f>
        <v/>
      </c>
      <c r="D1660" s="5" t="str">
        <f>IF(B1660="","",[1]!s_dq_close(股指期货基差分析!$E$6,$B1660))</f>
        <v/>
      </c>
      <c r="E1660" s="5" t="e">
        <f ca="1">RANK(F1660,F:F)+COUNTIF(F$2:F1660,F1660)-1</f>
        <v>#VALUE!</v>
      </c>
      <c r="F1660" s="5" t="str">
        <f t="shared" si="26"/>
        <v/>
      </c>
      <c r="G1660" s="5" t="str">
        <f>IF(B1660="","",股指期货基差分析!$N$11)</f>
        <v/>
      </c>
      <c r="H1660" s="5" t="str">
        <f>IF(B1660="","",股指期货基差分析!$L$11)</f>
        <v/>
      </c>
      <c r="I1660" s="9" t="str">
        <f>IF(B1660="","",股指期货基差分析!$D$11)</f>
        <v/>
      </c>
      <c r="L1660" s="43"/>
    </row>
    <row r="1661" spans="2:12" ht="15" customHeight="1" x14ac:dyDescent="0.2">
      <c r="B1661" s="8"/>
      <c r="C1661" s="6" t="str">
        <f>IF(B1661="","",[1]!s_dq_close(股指期货基差分析!$E$5,$B1661))</f>
        <v/>
      </c>
      <c r="D1661" s="6" t="str">
        <f>IF(B1661="","",[1]!s_dq_close(股指期货基差分析!$E$6,$B1661))</f>
        <v/>
      </c>
      <c r="E1661" s="6" t="e">
        <f ca="1">RANK(F1661,F:F)+COUNTIF(F$2:F1661,F1661)-1</f>
        <v>#VALUE!</v>
      </c>
      <c r="F1661" s="6" t="str">
        <f t="shared" si="26"/>
        <v/>
      </c>
      <c r="G1661" s="6" t="str">
        <f>IF(B1661="","",股指期货基差分析!$N$11)</f>
        <v/>
      </c>
      <c r="H1661" s="6" t="str">
        <f>IF(B1661="","",股指期货基差分析!$L$11)</f>
        <v/>
      </c>
      <c r="I1661" s="10" t="str">
        <f>IF(B1661="","",股指期货基差分析!$D$11)</f>
        <v/>
      </c>
      <c r="L1661" s="43"/>
    </row>
    <row r="1662" spans="2:12" ht="15" customHeight="1" x14ac:dyDescent="0.2">
      <c r="B1662" s="7"/>
      <c r="C1662" s="5" t="str">
        <f>IF(B1662="","",[1]!s_dq_close(股指期货基差分析!$E$5,$B1662))</f>
        <v/>
      </c>
      <c r="D1662" s="5" t="str">
        <f>IF(B1662="","",[1]!s_dq_close(股指期货基差分析!$E$6,$B1662))</f>
        <v/>
      </c>
      <c r="E1662" s="5" t="e">
        <f ca="1">RANK(F1662,F:F)+COUNTIF(F$2:F1662,F1662)-1</f>
        <v>#VALUE!</v>
      </c>
      <c r="F1662" s="5" t="str">
        <f t="shared" si="26"/>
        <v/>
      </c>
      <c r="G1662" s="5" t="str">
        <f>IF(B1662="","",股指期货基差分析!$N$11)</f>
        <v/>
      </c>
      <c r="H1662" s="5" t="str">
        <f>IF(B1662="","",股指期货基差分析!$L$11)</f>
        <v/>
      </c>
      <c r="I1662" s="9" t="str">
        <f>IF(B1662="","",股指期货基差分析!$D$11)</f>
        <v/>
      </c>
      <c r="L1662" s="43"/>
    </row>
    <row r="1663" spans="2:12" ht="15" customHeight="1" x14ac:dyDescent="0.2">
      <c r="B1663" s="8"/>
      <c r="C1663" s="6" t="str">
        <f>IF(B1663="","",[1]!s_dq_close(股指期货基差分析!$E$5,$B1663))</f>
        <v/>
      </c>
      <c r="D1663" s="6" t="str">
        <f>IF(B1663="","",[1]!s_dq_close(股指期货基差分析!$E$6,$B1663))</f>
        <v/>
      </c>
      <c r="E1663" s="6" t="e">
        <f ca="1">RANK(F1663,F:F)+COUNTIF(F$2:F1663,F1663)-1</f>
        <v>#VALUE!</v>
      </c>
      <c r="F1663" s="6" t="str">
        <f t="shared" si="26"/>
        <v/>
      </c>
      <c r="G1663" s="6" t="str">
        <f>IF(B1663="","",股指期货基差分析!$N$11)</f>
        <v/>
      </c>
      <c r="H1663" s="6" t="str">
        <f>IF(B1663="","",股指期货基差分析!$L$11)</f>
        <v/>
      </c>
      <c r="I1663" s="10" t="str">
        <f>IF(B1663="","",股指期货基差分析!$D$11)</f>
        <v/>
      </c>
      <c r="L1663" s="43"/>
    </row>
    <row r="1664" spans="2:12" ht="15" customHeight="1" x14ac:dyDescent="0.2">
      <c r="B1664" s="7"/>
      <c r="C1664" s="5" t="str">
        <f>IF(B1664="","",[1]!s_dq_close(股指期货基差分析!$E$5,$B1664))</f>
        <v/>
      </c>
      <c r="D1664" s="5" t="str">
        <f>IF(B1664="","",[1]!s_dq_close(股指期货基差分析!$E$6,$B1664))</f>
        <v/>
      </c>
      <c r="E1664" s="5" t="e">
        <f ca="1">RANK(F1664,F:F)+COUNTIF(F$2:F1664,F1664)-1</f>
        <v>#VALUE!</v>
      </c>
      <c r="F1664" s="5" t="str">
        <f t="shared" si="26"/>
        <v/>
      </c>
      <c r="G1664" s="5" t="str">
        <f>IF(B1664="","",股指期货基差分析!$N$11)</f>
        <v/>
      </c>
      <c r="H1664" s="5" t="str">
        <f>IF(B1664="","",股指期货基差分析!$L$11)</f>
        <v/>
      </c>
      <c r="I1664" s="9" t="str">
        <f>IF(B1664="","",股指期货基差分析!$D$11)</f>
        <v/>
      </c>
      <c r="L1664" s="43"/>
    </row>
    <row r="1665" spans="2:12" ht="15" customHeight="1" x14ac:dyDescent="0.2">
      <c r="B1665" s="8"/>
      <c r="C1665" s="6" t="str">
        <f>IF(B1665="","",[1]!s_dq_close(股指期货基差分析!$E$5,$B1665))</f>
        <v/>
      </c>
      <c r="D1665" s="6" t="str">
        <f>IF(B1665="","",[1]!s_dq_close(股指期货基差分析!$E$6,$B1665))</f>
        <v/>
      </c>
      <c r="E1665" s="6" t="e">
        <f ca="1">RANK(F1665,F:F)+COUNTIF(F$2:F1665,F1665)-1</f>
        <v>#VALUE!</v>
      </c>
      <c r="F1665" s="6" t="str">
        <f t="shared" si="26"/>
        <v/>
      </c>
      <c r="G1665" s="6" t="str">
        <f>IF(B1665="","",股指期货基差分析!$N$11)</f>
        <v/>
      </c>
      <c r="H1665" s="6" t="str">
        <f>IF(B1665="","",股指期货基差分析!$L$11)</f>
        <v/>
      </c>
      <c r="I1665" s="10" t="str">
        <f>IF(B1665="","",股指期货基差分析!$D$11)</f>
        <v/>
      </c>
      <c r="L1665" s="43"/>
    </row>
    <row r="1666" spans="2:12" ht="15" customHeight="1" x14ac:dyDescent="0.2">
      <c r="B1666" s="7"/>
      <c r="C1666" s="5" t="str">
        <f>IF(B1666="","",[1]!s_dq_close(股指期货基差分析!$E$5,$B1666))</f>
        <v/>
      </c>
      <c r="D1666" s="5" t="str">
        <f>IF(B1666="","",[1]!s_dq_close(股指期货基差分析!$E$6,$B1666))</f>
        <v/>
      </c>
      <c r="E1666" s="5" t="e">
        <f ca="1">RANK(F1666,F:F)+COUNTIF(F$2:F1666,F1666)-1</f>
        <v>#VALUE!</v>
      </c>
      <c r="F1666" s="5" t="str">
        <f t="shared" ref="F1666:F1729" si="27">IF(B1666="","",D1666-C1666)</f>
        <v/>
      </c>
      <c r="G1666" s="5" t="str">
        <f>IF(B1666="","",股指期货基差分析!$N$11)</f>
        <v/>
      </c>
      <c r="H1666" s="5" t="str">
        <f>IF(B1666="","",股指期货基差分析!$L$11)</f>
        <v/>
      </c>
      <c r="I1666" s="9" t="str">
        <f>IF(B1666="","",股指期货基差分析!$D$11)</f>
        <v/>
      </c>
      <c r="L1666" s="43"/>
    </row>
    <row r="1667" spans="2:12" ht="15" customHeight="1" x14ac:dyDescent="0.2">
      <c r="B1667" s="8"/>
      <c r="C1667" s="6" t="str">
        <f>IF(B1667="","",[1]!s_dq_close(股指期货基差分析!$E$5,$B1667))</f>
        <v/>
      </c>
      <c r="D1667" s="6" t="str">
        <f>IF(B1667="","",[1]!s_dq_close(股指期货基差分析!$E$6,$B1667))</f>
        <v/>
      </c>
      <c r="E1667" s="6" t="e">
        <f ca="1">RANK(F1667,F:F)+COUNTIF(F$2:F1667,F1667)-1</f>
        <v>#VALUE!</v>
      </c>
      <c r="F1667" s="6" t="str">
        <f t="shared" si="27"/>
        <v/>
      </c>
      <c r="G1667" s="6" t="str">
        <f>IF(B1667="","",股指期货基差分析!$N$11)</f>
        <v/>
      </c>
      <c r="H1667" s="6" t="str">
        <f>IF(B1667="","",股指期货基差分析!$L$11)</f>
        <v/>
      </c>
      <c r="I1667" s="10" t="str">
        <f>IF(B1667="","",股指期货基差分析!$D$11)</f>
        <v/>
      </c>
      <c r="L1667" s="43"/>
    </row>
    <row r="1668" spans="2:12" ht="15" customHeight="1" x14ac:dyDescent="0.2">
      <c r="B1668" s="7"/>
      <c r="C1668" s="5" t="str">
        <f>IF(B1668="","",[1]!s_dq_close(股指期货基差分析!$E$5,$B1668))</f>
        <v/>
      </c>
      <c r="D1668" s="5" t="str">
        <f>IF(B1668="","",[1]!s_dq_close(股指期货基差分析!$E$6,$B1668))</f>
        <v/>
      </c>
      <c r="E1668" s="5" t="e">
        <f ca="1">RANK(F1668,F:F)+COUNTIF(F$2:F1668,F1668)-1</f>
        <v>#VALUE!</v>
      </c>
      <c r="F1668" s="5" t="str">
        <f t="shared" si="27"/>
        <v/>
      </c>
      <c r="G1668" s="5" t="str">
        <f>IF(B1668="","",股指期货基差分析!$N$11)</f>
        <v/>
      </c>
      <c r="H1668" s="5" t="str">
        <f>IF(B1668="","",股指期货基差分析!$L$11)</f>
        <v/>
      </c>
      <c r="I1668" s="9" t="str">
        <f>IF(B1668="","",股指期货基差分析!$D$11)</f>
        <v/>
      </c>
      <c r="L1668" s="43"/>
    </row>
    <row r="1669" spans="2:12" ht="15" customHeight="1" x14ac:dyDescent="0.2">
      <c r="B1669" s="8"/>
      <c r="C1669" s="6" t="str">
        <f>IF(B1669="","",[1]!s_dq_close(股指期货基差分析!$E$5,$B1669))</f>
        <v/>
      </c>
      <c r="D1669" s="6" t="str">
        <f>IF(B1669="","",[1]!s_dq_close(股指期货基差分析!$E$6,$B1669))</f>
        <v/>
      </c>
      <c r="E1669" s="6" t="e">
        <f ca="1">RANK(F1669,F:F)+COUNTIF(F$2:F1669,F1669)-1</f>
        <v>#VALUE!</v>
      </c>
      <c r="F1669" s="6" t="str">
        <f t="shared" si="27"/>
        <v/>
      </c>
      <c r="G1669" s="6" t="str">
        <f>IF(B1669="","",股指期货基差分析!$N$11)</f>
        <v/>
      </c>
      <c r="H1669" s="6" t="str">
        <f>IF(B1669="","",股指期货基差分析!$L$11)</f>
        <v/>
      </c>
      <c r="I1669" s="10" t="str">
        <f>IF(B1669="","",股指期货基差分析!$D$11)</f>
        <v/>
      </c>
      <c r="L1669" s="43"/>
    </row>
    <row r="1670" spans="2:12" ht="15" customHeight="1" x14ac:dyDescent="0.2">
      <c r="B1670" s="7"/>
      <c r="C1670" s="5" t="str">
        <f>IF(B1670="","",[1]!s_dq_close(股指期货基差分析!$E$5,$B1670))</f>
        <v/>
      </c>
      <c r="D1670" s="5" t="str">
        <f>IF(B1670="","",[1]!s_dq_close(股指期货基差分析!$E$6,$B1670))</f>
        <v/>
      </c>
      <c r="E1670" s="5" t="e">
        <f ca="1">RANK(F1670,F:F)+COUNTIF(F$2:F1670,F1670)-1</f>
        <v>#VALUE!</v>
      </c>
      <c r="F1670" s="5" t="str">
        <f t="shared" si="27"/>
        <v/>
      </c>
      <c r="G1670" s="5" t="str">
        <f>IF(B1670="","",股指期货基差分析!$N$11)</f>
        <v/>
      </c>
      <c r="H1670" s="5" t="str">
        <f>IF(B1670="","",股指期货基差分析!$L$11)</f>
        <v/>
      </c>
      <c r="I1670" s="9" t="str">
        <f>IF(B1670="","",股指期货基差分析!$D$11)</f>
        <v/>
      </c>
      <c r="L1670" s="43"/>
    </row>
    <row r="1671" spans="2:12" ht="15" customHeight="1" x14ac:dyDescent="0.2">
      <c r="B1671" s="8"/>
      <c r="C1671" s="6" t="str">
        <f>IF(B1671="","",[1]!s_dq_close(股指期货基差分析!$E$5,$B1671))</f>
        <v/>
      </c>
      <c r="D1671" s="6" t="str">
        <f>IF(B1671="","",[1]!s_dq_close(股指期货基差分析!$E$6,$B1671))</f>
        <v/>
      </c>
      <c r="E1671" s="6" t="e">
        <f ca="1">RANK(F1671,F:F)+COUNTIF(F$2:F1671,F1671)-1</f>
        <v>#VALUE!</v>
      </c>
      <c r="F1671" s="6" t="str">
        <f t="shared" si="27"/>
        <v/>
      </c>
      <c r="G1671" s="6" t="str">
        <f>IF(B1671="","",股指期货基差分析!$N$11)</f>
        <v/>
      </c>
      <c r="H1671" s="6" t="str">
        <f>IF(B1671="","",股指期货基差分析!$L$11)</f>
        <v/>
      </c>
      <c r="I1671" s="10" t="str">
        <f>IF(B1671="","",股指期货基差分析!$D$11)</f>
        <v/>
      </c>
      <c r="L1671" s="43"/>
    </row>
    <row r="1672" spans="2:12" ht="15" customHeight="1" x14ac:dyDescent="0.2">
      <c r="B1672" s="7"/>
      <c r="C1672" s="5" t="str">
        <f>IF(B1672="","",[1]!s_dq_close(股指期货基差分析!$E$5,$B1672))</f>
        <v/>
      </c>
      <c r="D1672" s="5" t="str">
        <f>IF(B1672="","",[1]!s_dq_close(股指期货基差分析!$E$6,$B1672))</f>
        <v/>
      </c>
      <c r="E1672" s="5" t="e">
        <f ca="1">RANK(F1672,F:F)+COUNTIF(F$2:F1672,F1672)-1</f>
        <v>#VALUE!</v>
      </c>
      <c r="F1672" s="5" t="str">
        <f t="shared" si="27"/>
        <v/>
      </c>
      <c r="G1672" s="5" t="str">
        <f>IF(B1672="","",股指期货基差分析!$N$11)</f>
        <v/>
      </c>
      <c r="H1672" s="5" t="str">
        <f>IF(B1672="","",股指期货基差分析!$L$11)</f>
        <v/>
      </c>
      <c r="I1672" s="9" t="str">
        <f>IF(B1672="","",股指期货基差分析!$D$11)</f>
        <v/>
      </c>
      <c r="L1672" s="43"/>
    </row>
    <row r="1673" spans="2:12" ht="15" customHeight="1" x14ac:dyDescent="0.2">
      <c r="B1673" s="8"/>
      <c r="C1673" s="6" t="str">
        <f>IF(B1673="","",[1]!s_dq_close(股指期货基差分析!$E$5,$B1673))</f>
        <v/>
      </c>
      <c r="D1673" s="6" t="str">
        <f>IF(B1673="","",[1]!s_dq_close(股指期货基差分析!$E$6,$B1673))</f>
        <v/>
      </c>
      <c r="E1673" s="6" t="e">
        <f ca="1">RANK(F1673,F:F)+COUNTIF(F$2:F1673,F1673)-1</f>
        <v>#VALUE!</v>
      </c>
      <c r="F1673" s="6" t="str">
        <f t="shared" si="27"/>
        <v/>
      </c>
      <c r="G1673" s="6" t="str">
        <f>IF(B1673="","",股指期货基差分析!$N$11)</f>
        <v/>
      </c>
      <c r="H1673" s="6" t="str">
        <f>IF(B1673="","",股指期货基差分析!$L$11)</f>
        <v/>
      </c>
      <c r="I1673" s="10" t="str">
        <f>IF(B1673="","",股指期货基差分析!$D$11)</f>
        <v/>
      </c>
      <c r="L1673" s="43"/>
    </row>
    <row r="1674" spans="2:12" ht="15" customHeight="1" x14ac:dyDescent="0.2">
      <c r="B1674" s="7"/>
      <c r="C1674" s="5" t="str">
        <f>IF(B1674="","",[1]!s_dq_close(股指期货基差分析!$E$5,$B1674))</f>
        <v/>
      </c>
      <c r="D1674" s="5" t="str">
        <f>IF(B1674="","",[1]!s_dq_close(股指期货基差分析!$E$6,$B1674))</f>
        <v/>
      </c>
      <c r="E1674" s="5" t="e">
        <f ca="1">RANK(F1674,F:F)+COUNTIF(F$2:F1674,F1674)-1</f>
        <v>#VALUE!</v>
      </c>
      <c r="F1674" s="5" t="str">
        <f t="shared" si="27"/>
        <v/>
      </c>
      <c r="G1674" s="5" t="str">
        <f>IF(B1674="","",股指期货基差分析!$N$11)</f>
        <v/>
      </c>
      <c r="H1674" s="5" t="str">
        <f>IF(B1674="","",股指期货基差分析!$L$11)</f>
        <v/>
      </c>
      <c r="I1674" s="9" t="str">
        <f>IF(B1674="","",股指期货基差分析!$D$11)</f>
        <v/>
      </c>
      <c r="L1674" s="43"/>
    </row>
    <row r="1675" spans="2:12" ht="15" customHeight="1" x14ac:dyDescent="0.2">
      <c r="B1675" s="8"/>
      <c r="C1675" s="6" t="str">
        <f>IF(B1675="","",[1]!s_dq_close(股指期货基差分析!$E$5,$B1675))</f>
        <v/>
      </c>
      <c r="D1675" s="6" t="str">
        <f>IF(B1675="","",[1]!s_dq_close(股指期货基差分析!$E$6,$B1675))</f>
        <v/>
      </c>
      <c r="E1675" s="6" t="e">
        <f ca="1">RANK(F1675,F:F)+COUNTIF(F$2:F1675,F1675)-1</f>
        <v>#VALUE!</v>
      </c>
      <c r="F1675" s="6" t="str">
        <f t="shared" si="27"/>
        <v/>
      </c>
      <c r="G1675" s="6" t="str">
        <f>IF(B1675="","",股指期货基差分析!$N$11)</f>
        <v/>
      </c>
      <c r="H1675" s="6" t="str">
        <f>IF(B1675="","",股指期货基差分析!$L$11)</f>
        <v/>
      </c>
      <c r="I1675" s="10" t="str">
        <f>IF(B1675="","",股指期货基差分析!$D$11)</f>
        <v/>
      </c>
      <c r="L1675" s="43"/>
    </row>
    <row r="1676" spans="2:12" ht="15" customHeight="1" x14ac:dyDescent="0.2">
      <c r="B1676" s="7"/>
      <c r="C1676" s="5" t="str">
        <f>IF(B1676="","",[1]!s_dq_close(股指期货基差分析!$E$5,$B1676))</f>
        <v/>
      </c>
      <c r="D1676" s="5" t="str">
        <f>IF(B1676="","",[1]!s_dq_close(股指期货基差分析!$E$6,$B1676))</f>
        <v/>
      </c>
      <c r="E1676" s="5" t="e">
        <f ca="1">RANK(F1676,F:F)+COUNTIF(F$2:F1676,F1676)-1</f>
        <v>#VALUE!</v>
      </c>
      <c r="F1676" s="5" t="str">
        <f t="shared" si="27"/>
        <v/>
      </c>
      <c r="G1676" s="5" t="str">
        <f>IF(B1676="","",股指期货基差分析!$N$11)</f>
        <v/>
      </c>
      <c r="H1676" s="5" t="str">
        <f>IF(B1676="","",股指期货基差分析!$L$11)</f>
        <v/>
      </c>
      <c r="I1676" s="9" t="str">
        <f>IF(B1676="","",股指期货基差分析!$D$11)</f>
        <v/>
      </c>
      <c r="L1676" s="43"/>
    </row>
    <row r="1677" spans="2:12" ht="15" customHeight="1" x14ac:dyDescent="0.2">
      <c r="B1677" s="8"/>
      <c r="C1677" s="6" t="str">
        <f>IF(B1677="","",[1]!s_dq_close(股指期货基差分析!$E$5,$B1677))</f>
        <v/>
      </c>
      <c r="D1677" s="6" t="str">
        <f>IF(B1677="","",[1]!s_dq_close(股指期货基差分析!$E$6,$B1677))</f>
        <v/>
      </c>
      <c r="E1677" s="6" t="e">
        <f ca="1">RANK(F1677,F:F)+COUNTIF(F$2:F1677,F1677)-1</f>
        <v>#VALUE!</v>
      </c>
      <c r="F1677" s="6" t="str">
        <f t="shared" si="27"/>
        <v/>
      </c>
      <c r="G1677" s="6" t="str">
        <f>IF(B1677="","",股指期货基差分析!$N$11)</f>
        <v/>
      </c>
      <c r="H1677" s="6" t="str">
        <f>IF(B1677="","",股指期货基差分析!$L$11)</f>
        <v/>
      </c>
      <c r="I1677" s="10" t="str">
        <f>IF(B1677="","",股指期货基差分析!$D$11)</f>
        <v/>
      </c>
      <c r="L1677" s="43"/>
    </row>
    <row r="1678" spans="2:12" ht="15" customHeight="1" x14ac:dyDescent="0.2">
      <c r="B1678" s="7"/>
      <c r="C1678" s="5" t="str">
        <f>IF(B1678="","",[1]!s_dq_close(股指期货基差分析!$E$5,$B1678))</f>
        <v/>
      </c>
      <c r="D1678" s="5" t="str">
        <f>IF(B1678="","",[1]!s_dq_close(股指期货基差分析!$E$6,$B1678))</f>
        <v/>
      </c>
      <c r="E1678" s="5" t="e">
        <f ca="1">RANK(F1678,F:F)+COUNTIF(F$2:F1678,F1678)-1</f>
        <v>#VALUE!</v>
      </c>
      <c r="F1678" s="5" t="str">
        <f t="shared" si="27"/>
        <v/>
      </c>
      <c r="G1678" s="5" t="str">
        <f>IF(B1678="","",股指期货基差分析!$N$11)</f>
        <v/>
      </c>
      <c r="H1678" s="5" t="str">
        <f>IF(B1678="","",股指期货基差分析!$L$11)</f>
        <v/>
      </c>
      <c r="I1678" s="9" t="str">
        <f>IF(B1678="","",股指期货基差分析!$D$11)</f>
        <v/>
      </c>
      <c r="L1678" s="43"/>
    </row>
    <row r="1679" spans="2:12" ht="15" customHeight="1" x14ac:dyDescent="0.2">
      <c r="B1679" s="8"/>
      <c r="C1679" s="6" t="str">
        <f>IF(B1679="","",[1]!s_dq_close(股指期货基差分析!$E$5,$B1679))</f>
        <v/>
      </c>
      <c r="D1679" s="6" t="str">
        <f>IF(B1679="","",[1]!s_dq_close(股指期货基差分析!$E$6,$B1679))</f>
        <v/>
      </c>
      <c r="E1679" s="6" t="e">
        <f ca="1">RANK(F1679,F:F)+COUNTIF(F$2:F1679,F1679)-1</f>
        <v>#VALUE!</v>
      </c>
      <c r="F1679" s="6" t="str">
        <f t="shared" si="27"/>
        <v/>
      </c>
      <c r="G1679" s="6" t="str">
        <f>IF(B1679="","",股指期货基差分析!$N$11)</f>
        <v/>
      </c>
      <c r="H1679" s="6" t="str">
        <f>IF(B1679="","",股指期货基差分析!$L$11)</f>
        <v/>
      </c>
      <c r="I1679" s="10" t="str">
        <f>IF(B1679="","",股指期货基差分析!$D$11)</f>
        <v/>
      </c>
      <c r="L1679" s="43"/>
    </row>
    <row r="1680" spans="2:12" ht="15" customHeight="1" x14ac:dyDescent="0.2">
      <c r="B1680" s="7"/>
      <c r="C1680" s="5" t="str">
        <f>IF(B1680="","",[1]!s_dq_close(股指期货基差分析!$E$5,$B1680))</f>
        <v/>
      </c>
      <c r="D1680" s="5" t="str">
        <f>IF(B1680="","",[1]!s_dq_close(股指期货基差分析!$E$6,$B1680))</f>
        <v/>
      </c>
      <c r="E1680" s="5" t="e">
        <f ca="1">RANK(F1680,F:F)+COUNTIF(F$2:F1680,F1680)-1</f>
        <v>#VALUE!</v>
      </c>
      <c r="F1680" s="5" t="str">
        <f t="shared" si="27"/>
        <v/>
      </c>
      <c r="G1680" s="5" t="str">
        <f>IF(B1680="","",股指期货基差分析!$N$11)</f>
        <v/>
      </c>
      <c r="H1680" s="5" t="str">
        <f>IF(B1680="","",股指期货基差分析!$L$11)</f>
        <v/>
      </c>
      <c r="I1680" s="9" t="str">
        <f>IF(B1680="","",股指期货基差分析!$D$11)</f>
        <v/>
      </c>
      <c r="L1680" s="43"/>
    </row>
    <row r="1681" spans="2:12" ht="15" customHeight="1" x14ac:dyDescent="0.2">
      <c r="B1681" s="8"/>
      <c r="C1681" s="6" t="str">
        <f>IF(B1681="","",[1]!s_dq_close(股指期货基差分析!$E$5,$B1681))</f>
        <v/>
      </c>
      <c r="D1681" s="6" t="str">
        <f>IF(B1681="","",[1]!s_dq_close(股指期货基差分析!$E$6,$B1681))</f>
        <v/>
      </c>
      <c r="E1681" s="6" t="e">
        <f ca="1">RANK(F1681,F:F)+COUNTIF(F$2:F1681,F1681)-1</f>
        <v>#VALUE!</v>
      </c>
      <c r="F1681" s="6" t="str">
        <f t="shared" si="27"/>
        <v/>
      </c>
      <c r="G1681" s="6" t="str">
        <f>IF(B1681="","",股指期货基差分析!$N$11)</f>
        <v/>
      </c>
      <c r="H1681" s="6" t="str">
        <f>IF(B1681="","",股指期货基差分析!$L$11)</f>
        <v/>
      </c>
      <c r="I1681" s="10" t="str">
        <f>IF(B1681="","",股指期货基差分析!$D$11)</f>
        <v/>
      </c>
      <c r="L1681" s="43"/>
    </row>
    <row r="1682" spans="2:12" ht="15" customHeight="1" x14ac:dyDescent="0.2">
      <c r="B1682" s="7"/>
      <c r="C1682" s="5" t="str">
        <f>IF(B1682="","",[1]!s_dq_close(股指期货基差分析!$E$5,$B1682))</f>
        <v/>
      </c>
      <c r="D1682" s="5" t="str">
        <f>IF(B1682="","",[1]!s_dq_close(股指期货基差分析!$E$6,$B1682))</f>
        <v/>
      </c>
      <c r="E1682" s="5" t="e">
        <f ca="1">RANK(F1682,F:F)+COUNTIF(F$2:F1682,F1682)-1</f>
        <v>#VALUE!</v>
      </c>
      <c r="F1682" s="5" t="str">
        <f t="shared" si="27"/>
        <v/>
      </c>
      <c r="G1682" s="5" t="str">
        <f>IF(B1682="","",股指期货基差分析!$N$11)</f>
        <v/>
      </c>
      <c r="H1682" s="5" t="str">
        <f>IF(B1682="","",股指期货基差分析!$L$11)</f>
        <v/>
      </c>
      <c r="I1682" s="9" t="str">
        <f>IF(B1682="","",股指期货基差分析!$D$11)</f>
        <v/>
      </c>
      <c r="L1682" s="43"/>
    </row>
    <row r="1683" spans="2:12" ht="15" customHeight="1" x14ac:dyDescent="0.2">
      <c r="B1683" s="8"/>
      <c r="C1683" s="6" t="str">
        <f>IF(B1683="","",[1]!s_dq_close(股指期货基差分析!$E$5,$B1683))</f>
        <v/>
      </c>
      <c r="D1683" s="6" t="str">
        <f>IF(B1683="","",[1]!s_dq_close(股指期货基差分析!$E$6,$B1683))</f>
        <v/>
      </c>
      <c r="E1683" s="6" t="e">
        <f ca="1">RANK(F1683,F:F)+COUNTIF(F$2:F1683,F1683)-1</f>
        <v>#VALUE!</v>
      </c>
      <c r="F1683" s="6" t="str">
        <f t="shared" si="27"/>
        <v/>
      </c>
      <c r="G1683" s="6" t="str">
        <f>IF(B1683="","",股指期货基差分析!$N$11)</f>
        <v/>
      </c>
      <c r="H1683" s="6" t="str">
        <f>IF(B1683="","",股指期货基差分析!$L$11)</f>
        <v/>
      </c>
      <c r="I1683" s="10" t="str">
        <f>IF(B1683="","",股指期货基差分析!$D$11)</f>
        <v/>
      </c>
      <c r="L1683" s="43"/>
    </row>
    <row r="1684" spans="2:12" ht="15" customHeight="1" x14ac:dyDescent="0.2">
      <c r="B1684" s="7"/>
      <c r="C1684" s="5" t="str">
        <f>IF(B1684="","",[1]!s_dq_close(股指期货基差分析!$E$5,$B1684))</f>
        <v/>
      </c>
      <c r="D1684" s="5" t="str">
        <f>IF(B1684="","",[1]!s_dq_close(股指期货基差分析!$E$6,$B1684))</f>
        <v/>
      </c>
      <c r="E1684" s="5" t="e">
        <f ca="1">RANK(F1684,F:F)+COUNTIF(F$2:F1684,F1684)-1</f>
        <v>#VALUE!</v>
      </c>
      <c r="F1684" s="5" t="str">
        <f t="shared" si="27"/>
        <v/>
      </c>
      <c r="G1684" s="5" t="str">
        <f>IF(B1684="","",股指期货基差分析!$N$11)</f>
        <v/>
      </c>
      <c r="H1684" s="5" t="str">
        <f>IF(B1684="","",股指期货基差分析!$L$11)</f>
        <v/>
      </c>
      <c r="I1684" s="9" t="str">
        <f>IF(B1684="","",股指期货基差分析!$D$11)</f>
        <v/>
      </c>
      <c r="L1684" s="43"/>
    </row>
    <row r="1685" spans="2:12" ht="15" customHeight="1" x14ac:dyDescent="0.2">
      <c r="B1685" s="8"/>
      <c r="C1685" s="6" t="str">
        <f>IF(B1685="","",[1]!s_dq_close(股指期货基差分析!$E$5,$B1685))</f>
        <v/>
      </c>
      <c r="D1685" s="6" t="str">
        <f>IF(B1685="","",[1]!s_dq_close(股指期货基差分析!$E$6,$B1685))</f>
        <v/>
      </c>
      <c r="E1685" s="6" t="e">
        <f ca="1">RANK(F1685,F:F)+COUNTIF(F$2:F1685,F1685)-1</f>
        <v>#VALUE!</v>
      </c>
      <c r="F1685" s="6" t="str">
        <f t="shared" si="27"/>
        <v/>
      </c>
      <c r="G1685" s="6" t="str">
        <f>IF(B1685="","",股指期货基差分析!$N$11)</f>
        <v/>
      </c>
      <c r="H1685" s="6" t="str">
        <f>IF(B1685="","",股指期货基差分析!$L$11)</f>
        <v/>
      </c>
      <c r="I1685" s="10" t="str">
        <f>IF(B1685="","",股指期货基差分析!$D$11)</f>
        <v/>
      </c>
      <c r="L1685" s="43"/>
    </row>
    <row r="1686" spans="2:12" ht="15" customHeight="1" x14ac:dyDescent="0.2">
      <c r="B1686" s="7"/>
      <c r="C1686" s="5" t="str">
        <f>IF(B1686="","",[1]!s_dq_close(股指期货基差分析!$E$5,$B1686))</f>
        <v/>
      </c>
      <c r="D1686" s="5" t="str">
        <f>IF(B1686="","",[1]!s_dq_close(股指期货基差分析!$E$6,$B1686))</f>
        <v/>
      </c>
      <c r="E1686" s="5" t="e">
        <f ca="1">RANK(F1686,F:F)+COUNTIF(F$2:F1686,F1686)-1</f>
        <v>#VALUE!</v>
      </c>
      <c r="F1686" s="5" t="str">
        <f t="shared" si="27"/>
        <v/>
      </c>
      <c r="G1686" s="5" t="str">
        <f>IF(B1686="","",股指期货基差分析!$N$11)</f>
        <v/>
      </c>
      <c r="H1686" s="5" t="str">
        <f>IF(B1686="","",股指期货基差分析!$L$11)</f>
        <v/>
      </c>
      <c r="I1686" s="9" t="str">
        <f>IF(B1686="","",股指期货基差分析!$D$11)</f>
        <v/>
      </c>
      <c r="L1686" s="43"/>
    </row>
    <row r="1687" spans="2:12" ht="15" customHeight="1" x14ac:dyDescent="0.2">
      <c r="B1687" s="8"/>
      <c r="C1687" s="6" t="str">
        <f>IF(B1687="","",[1]!s_dq_close(股指期货基差分析!$E$5,$B1687))</f>
        <v/>
      </c>
      <c r="D1687" s="6" t="str">
        <f>IF(B1687="","",[1]!s_dq_close(股指期货基差分析!$E$6,$B1687))</f>
        <v/>
      </c>
      <c r="E1687" s="6" t="e">
        <f ca="1">RANK(F1687,F:F)+COUNTIF(F$2:F1687,F1687)-1</f>
        <v>#VALUE!</v>
      </c>
      <c r="F1687" s="6" t="str">
        <f t="shared" si="27"/>
        <v/>
      </c>
      <c r="G1687" s="6" t="str">
        <f>IF(B1687="","",股指期货基差分析!$N$11)</f>
        <v/>
      </c>
      <c r="H1687" s="6" t="str">
        <f>IF(B1687="","",股指期货基差分析!$L$11)</f>
        <v/>
      </c>
      <c r="I1687" s="10" t="str">
        <f>IF(B1687="","",股指期货基差分析!$D$11)</f>
        <v/>
      </c>
      <c r="L1687" s="43"/>
    </row>
    <row r="1688" spans="2:12" ht="15" customHeight="1" x14ac:dyDescent="0.2">
      <c r="B1688" s="7"/>
      <c r="C1688" s="5" t="str">
        <f>IF(B1688="","",[1]!s_dq_close(股指期货基差分析!$E$5,$B1688))</f>
        <v/>
      </c>
      <c r="D1688" s="5" t="str">
        <f>IF(B1688="","",[1]!s_dq_close(股指期货基差分析!$E$6,$B1688))</f>
        <v/>
      </c>
      <c r="E1688" s="5" t="e">
        <f ca="1">RANK(F1688,F:F)+COUNTIF(F$2:F1688,F1688)-1</f>
        <v>#VALUE!</v>
      </c>
      <c r="F1688" s="5" t="str">
        <f t="shared" si="27"/>
        <v/>
      </c>
      <c r="G1688" s="5" t="str">
        <f>IF(B1688="","",股指期货基差分析!$N$11)</f>
        <v/>
      </c>
      <c r="H1688" s="5" t="str">
        <f>IF(B1688="","",股指期货基差分析!$L$11)</f>
        <v/>
      </c>
      <c r="I1688" s="9" t="str">
        <f>IF(B1688="","",股指期货基差分析!$D$11)</f>
        <v/>
      </c>
      <c r="L1688" s="43"/>
    </row>
    <row r="1689" spans="2:12" ht="15" customHeight="1" x14ac:dyDescent="0.2">
      <c r="B1689" s="8"/>
      <c r="C1689" s="6" t="str">
        <f>IF(B1689="","",[1]!s_dq_close(股指期货基差分析!$E$5,$B1689))</f>
        <v/>
      </c>
      <c r="D1689" s="6" t="str">
        <f>IF(B1689="","",[1]!s_dq_close(股指期货基差分析!$E$6,$B1689))</f>
        <v/>
      </c>
      <c r="E1689" s="6" t="e">
        <f ca="1">RANK(F1689,F:F)+COUNTIF(F$2:F1689,F1689)-1</f>
        <v>#VALUE!</v>
      </c>
      <c r="F1689" s="6" t="str">
        <f t="shared" si="27"/>
        <v/>
      </c>
      <c r="G1689" s="6" t="str">
        <f>IF(B1689="","",股指期货基差分析!$N$11)</f>
        <v/>
      </c>
      <c r="H1689" s="6" t="str">
        <f>IF(B1689="","",股指期货基差分析!$L$11)</f>
        <v/>
      </c>
      <c r="I1689" s="10" t="str">
        <f>IF(B1689="","",股指期货基差分析!$D$11)</f>
        <v/>
      </c>
      <c r="L1689" s="43"/>
    </row>
    <row r="1690" spans="2:12" ht="15" customHeight="1" x14ac:dyDescent="0.2">
      <c r="B1690" s="7"/>
      <c r="C1690" s="5" t="str">
        <f>IF(B1690="","",[1]!s_dq_close(股指期货基差分析!$E$5,$B1690))</f>
        <v/>
      </c>
      <c r="D1690" s="5" t="str">
        <f>IF(B1690="","",[1]!s_dq_close(股指期货基差分析!$E$6,$B1690))</f>
        <v/>
      </c>
      <c r="E1690" s="5" t="e">
        <f ca="1">RANK(F1690,F:F)+COUNTIF(F$2:F1690,F1690)-1</f>
        <v>#VALUE!</v>
      </c>
      <c r="F1690" s="5" t="str">
        <f t="shared" si="27"/>
        <v/>
      </c>
      <c r="G1690" s="5" t="str">
        <f>IF(B1690="","",股指期货基差分析!$N$11)</f>
        <v/>
      </c>
      <c r="H1690" s="5" t="str">
        <f>IF(B1690="","",股指期货基差分析!$L$11)</f>
        <v/>
      </c>
      <c r="I1690" s="9" t="str">
        <f>IF(B1690="","",股指期货基差分析!$D$11)</f>
        <v/>
      </c>
      <c r="L1690" s="43"/>
    </row>
    <row r="1691" spans="2:12" ht="15" customHeight="1" x14ac:dyDescent="0.2">
      <c r="B1691" s="8"/>
      <c r="C1691" s="6" t="str">
        <f>IF(B1691="","",[1]!s_dq_close(股指期货基差分析!$E$5,$B1691))</f>
        <v/>
      </c>
      <c r="D1691" s="6" t="str">
        <f>IF(B1691="","",[1]!s_dq_close(股指期货基差分析!$E$6,$B1691))</f>
        <v/>
      </c>
      <c r="E1691" s="6" t="e">
        <f ca="1">RANK(F1691,F:F)+COUNTIF(F$2:F1691,F1691)-1</f>
        <v>#VALUE!</v>
      </c>
      <c r="F1691" s="6" t="str">
        <f t="shared" si="27"/>
        <v/>
      </c>
      <c r="G1691" s="6" t="str">
        <f>IF(B1691="","",股指期货基差分析!$N$11)</f>
        <v/>
      </c>
      <c r="H1691" s="6" t="str">
        <f>IF(B1691="","",股指期货基差分析!$L$11)</f>
        <v/>
      </c>
      <c r="I1691" s="10" t="str">
        <f>IF(B1691="","",股指期货基差分析!$D$11)</f>
        <v/>
      </c>
      <c r="L1691" s="43"/>
    </row>
    <row r="1692" spans="2:12" ht="15" customHeight="1" x14ac:dyDescent="0.2">
      <c r="B1692" s="7"/>
      <c r="C1692" s="5" t="str">
        <f>IF(B1692="","",[1]!s_dq_close(股指期货基差分析!$E$5,$B1692))</f>
        <v/>
      </c>
      <c r="D1692" s="5" t="str">
        <f>IF(B1692="","",[1]!s_dq_close(股指期货基差分析!$E$6,$B1692))</f>
        <v/>
      </c>
      <c r="E1692" s="5" t="e">
        <f ca="1">RANK(F1692,F:F)+COUNTIF(F$2:F1692,F1692)-1</f>
        <v>#VALUE!</v>
      </c>
      <c r="F1692" s="5" t="str">
        <f t="shared" si="27"/>
        <v/>
      </c>
      <c r="G1692" s="5" t="str">
        <f>IF(B1692="","",股指期货基差分析!$N$11)</f>
        <v/>
      </c>
      <c r="H1692" s="5" t="str">
        <f>IF(B1692="","",股指期货基差分析!$L$11)</f>
        <v/>
      </c>
      <c r="I1692" s="9" t="str">
        <f>IF(B1692="","",股指期货基差分析!$D$11)</f>
        <v/>
      </c>
      <c r="L1692" s="43"/>
    </row>
    <row r="1693" spans="2:12" ht="15" customHeight="1" x14ac:dyDescent="0.2">
      <c r="B1693" s="8"/>
      <c r="C1693" s="6" t="str">
        <f>IF(B1693="","",[1]!s_dq_close(股指期货基差分析!$E$5,$B1693))</f>
        <v/>
      </c>
      <c r="D1693" s="6" t="str">
        <f>IF(B1693="","",[1]!s_dq_close(股指期货基差分析!$E$6,$B1693))</f>
        <v/>
      </c>
      <c r="E1693" s="6" t="e">
        <f ca="1">RANK(F1693,F:F)+COUNTIF(F$2:F1693,F1693)-1</f>
        <v>#VALUE!</v>
      </c>
      <c r="F1693" s="6" t="str">
        <f t="shared" si="27"/>
        <v/>
      </c>
      <c r="G1693" s="6" t="str">
        <f>IF(B1693="","",股指期货基差分析!$N$11)</f>
        <v/>
      </c>
      <c r="H1693" s="6" t="str">
        <f>IF(B1693="","",股指期货基差分析!$L$11)</f>
        <v/>
      </c>
      <c r="I1693" s="10" t="str">
        <f>IF(B1693="","",股指期货基差分析!$D$11)</f>
        <v/>
      </c>
      <c r="L1693" s="43"/>
    </row>
    <row r="1694" spans="2:12" ht="15" customHeight="1" x14ac:dyDescent="0.2">
      <c r="B1694" s="7"/>
      <c r="C1694" s="5" t="str">
        <f>IF(B1694="","",[1]!s_dq_close(股指期货基差分析!$E$5,$B1694))</f>
        <v/>
      </c>
      <c r="D1694" s="5" t="str">
        <f>IF(B1694="","",[1]!s_dq_close(股指期货基差分析!$E$6,$B1694))</f>
        <v/>
      </c>
      <c r="E1694" s="5" t="e">
        <f ca="1">RANK(F1694,F:F)+COUNTIF(F$2:F1694,F1694)-1</f>
        <v>#VALUE!</v>
      </c>
      <c r="F1694" s="5" t="str">
        <f t="shared" si="27"/>
        <v/>
      </c>
      <c r="G1694" s="5" t="str">
        <f>IF(B1694="","",股指期货基差分析!$N$11)</f>
        <v/>
      </c>
      <c r="H1694" s="5" t="str">
        <f>IF(B1694="","",股指期货基差分析!$L$11)</f>
        <v/>
      </c>
      <c r="I1694" s="9" t="str">
        <f>IF(B1694="","",股指期货基差分析!$D$11)</f>
        <v/>
      </c>
      <c r="L1694" s="43"/>
    </row>
    <row r="1695" spans="2:12" ht="15" customHeight="1" x14ac:dyDescent="0.2">
      <c r="B1695" s="8"/>
      <c r="C1695" s="6" t="str">
        <f>IF(B1695="","",[1]!s_dq_close(股指期货基差分析!$E$5,$B1695))</f>
        <v/>
      </c>
      <c r="D1695" s="6" t="str">
        <f>IF(B1695="","",[1]!s_dq_close(股指期货基差分析!$E$6,$B1695))</f>
        <v/>
      </c>
      <c r="E1695" s="6" t="e">
        <f ca="1">RANK(F1695,F:F)+COUNTIF(F$2:F1695,F1695)-1</f>
        <v>#VALUE!</v>
      </c>
      <c r="F1695" s="6" t="str">
        <f t="shared" si="27"/>
        <v/>
      </c>
      <c r="G1695" s="6" t="str">
        <f>IF(B1695="","",股指期货基差分析!$N$11)</f>
        <v/>
      </c>
      <c r="H1695" s="6" t="str">
        <f>IF(B1695="","",股指期货基差分析!$L$11)</f>
        <v/>
      </c>
      <c r="I1695" s="10" t="str">
        <f>IF(B1695="","",股指期货基差分析!$D$11)</f>
        <v/>
      </c>
      <c r="L1695" s="43"/>
    </row>
    <row r="1696" spans="2:12" ht="15" customHeight="1" x14ac:dyDescent="0.2">
      <c r="B1696" s="7"/>
      <c r="C1696" s="5" t="str">
        <f>IF(B1696="","",[1]!s_dq_close(股指期货基差分析!$E$5,$B1696))</f>
        <v/>
      </c>
      <c r="D1696" s="5" t="str">
        <f>IF(B1696="","",[1]!s_dq_close(股指期货基差分析!$E$6,$B1696))</f>
        <v/>
      </c>
      <c r="E1696" s="5" t="e">
        <f ca="1">RANK(F1696,F:F)+COUNTIF(F$2:F1696,F1696)-1</f>
        <v>#VALUE!</v>
      </c>
      <c r="F1696" s="5" t="str">
        <f t="shared" si="27"/>
        <v/>
      </c>
      <c r="G1696" s="5" t="str">
        <f>IF(B1696="","",股指期货基差分析!$N$11)</f>
        <v/>
      </c>
      <c r="H1696" s="5" t="str">
        <f>IF(B1696="","",股指期货基差分析!$L$11)</f>
        <v/>
      </c>
      <c r="I1696" s="9" t="str">
        <f>IF(B1696="","",股指期货基差分析!$D$11)</f>
        <v/>
      </c>
      <c r="L1696" s="43"/>
    </row>
    <row r="1697" spans="2:12" ht="15" customHeight="1" x14ac:dyDescent="0.2">
      <c r="B1697" s="8"/>
      <c r="C1697" s="6" t="str">
        <f>IF(B1697="","",[1]!s_dq_close(股指期货基差分析!$E$5,$B1697))</f>
        <v/>
      </c>
      <c r="D1697" s="6" t="str">
        <f>IF(B1697="","",[1]!s_dq_close(股指期货基差分析!$E$6,$B1697))</f>
        <v/>
      </c>
      <c r="E1697" s="6" t="e">
        <f ca="1">RANK(F1697,F:F)+COUNTIF(F$2:F1697,F1697)-1</f>
        <v>#VALUE!</v>
      </c>
      <c r="F1697" s="6" t="str">
        <f t="shared" si="27"/>
        <v/>
      </c>
      <c r="G1697" s="6" t="str">
        <f>IF(B1697="","",股指期货基差分析!$N$11)</f>
        <v/>
      </c>
      <c r="H1697" s="6" t="str">
        <f>IF(B1697="","",股指期货基差分析!$L$11)</f>
        <v/>
      </c>
      <c r="I1697" s="10" t="str">
        <f>IF(B1697="","",股指期货基差分析!$D$11)</f>
        <v/>
      </c>
      <c r="L1697" s="43"/>
    </row>
    <row r="1698" spans="2:12" ht="15" customHeight="1" x14ac:dyDescent="0.2">
      <c r="B1698" s="7"/>
      <c r="C1698" s="5" t="str">
        <f>IF(B1698="","",[1]!s_dq_close(股指期货基差分析!$E$5,$B1698))</f>
        <v/>
      </c>
      <c r="D1698" s="5" t="str">
        <f>IF(B1698="","",[1]!s_dq_close(股指期货基差分析!$E$6,$B1698))</f>
        <v/>
      </c>
      <c r="E1698" s="5" t="e">
        <f ca="1">RANK(F1698,F:F)+COUNTIF(F$2:F1698,F1698)-1</f>
        <v>#VALUE!</v>
      </c>
      <c r="F1698" s="5" t="str">
        <f t="shared" si="27"/>
        <v/>
      </c>
      <c r="G1698" s="5" t="str">
        <f>IF(B1698="","",股指期货基差分析!$N$11)</f>
        <v/>
      </c>
      <c r="H1698" s="5" t="str">
        <f>IF(B1698="","",股指期货基差分析!$L$11)</f>
        <v/>
      </c>
      <c r="I1698" s="9" t="str">
        <f>IF(B1698="","",股指期货基差分析!$D$11)</f>
        <v/>
      </c>
      <c r="L1698" s="43"/>
    </row>
    <row r="1699" spans="2:12" ht="15" customHeight="1" x14ac:dyDescent="0.2">
      <c r="B1699" s="8"/>
      <c r="C1699" s="6" t="str">
        <f>IF(B1699="","",[1]!s_dq_close(股指期货基差分析!$E$5,$B1699))</f>
        <v/>
      </c>
      <c r="D1699" s="6" t="str">
        <f>IF(B1699="","",[1]!s_dq_close(股指期货基差分析!$E$6,$B1699))</f>
        <v/>
      </c>
      <c r="E1699" s="6" t="e">
        <f ca="1">RANK(F1699,F:F)+COUNTIF(F$2:F1699,F1699)-1</f>
        <v>#VALUE!</v>
      </c>
      <c r="F1699" s="6" t="str">
        <f t="shared" si="27"/>
        <v/>
      </c>
      <c r="G1699" s="6" t="str">
        <f>IF(B1699="","",股指期货基差分析!$N$11)</f>
        <v/>
      </c>
      <c r="H1699" s="6" t="str">
        <f>IF(B1699="","",股指期货基差分析!$L$11)</f>
        <v/>
      </c>
      <c r="I1699" s="10" t="str">
        <f>IF(B1699="","",股指期货基差分析!$D$11)</f>
        <v/>
      </c>
      <c r="L1699" s="43"/>
    </row>
    <row r="1700" spans="2:12" ht="15" customHeight="1" x14ac:dyDescent="0.2">
      <c r="B1700" s="7"/>
      <c r="C1700" s="5" t="str">
        <f>IF(B1700="","",[1]!s_dq_close(股指期货基差分析!$E$5,$B1700))</f>
        <v/>
      </c>
      <c r="D1700" s="5" t="str">
        <f>IF(B1700="","",[1]!s_dq_close(股指期货基差分析!$E$6,$B1700))</f>
        <v/>
      </c>
      <c r="E1700" s="5" t="e">
        <f ca="1">RANK(F1700,F:F)+COUNTIF(F$2:F1700,F1700)-1</f>
        <v>#VALUE!</v>
      </c>
      <c r="F1700" s="5" t="str">
        <f t="shared" si="27"/>
        <v/>
      </c>
      <c r="G1700" s="5" t="str">
        <f>IF(B1700="","",股指期货基差分析!$N$11)</f>
        <v/>
      </c>
      <c r="H1700" s="5" t="str">
        <f>IF(B1700="","",股指期货基差分析!$L$11)</f>
        <v/>
      </c>
      <c r="I1700" s="9" t="str">
        <f>IF(B1700="","",股指期货基差分析!$D$11)</f>
        <v/>
      </c>
      <c r="L1700" s="43"/>
    </row>
    <row r="1701" spans="2:12" ht="15" customHeight="1" x14ac:dyDescent="0.2">
      <c r="B1701" s="8"/>
      <c r="C1701" s="6" t="str">
        <f>IF(B1701="","",[1]!s_dq_close(股指期货基差分析!$E$5,$B1701))</f>
        <v/>
      </c>
      <c r="D1701" s="6" t="str">
        <f>IF(B1701="","",[1]!s_dq_close(股指期货基差分析!$E$6,$B1701))</f>
        <v/>
      </c>
      <c r="E1701" s="6" t="e">
        <f ca="1">RANK(F1701,F:F)+COUNTIF(F$2:F1701,F1701)-1</f>
        <v>#VALUE!</v>
      </c>
      <c r="F1701" s="6" t="str">
        <f t="shared" si="27"/>
        <v/>
      </c>
      <c r="G1701" s="6" t="str">
        <f>IF(B1701="","",股指期货基差分析!$N$11)</f>
        <v/>
      </c>
      <c r="H1701" s="6" t="str">
        <f>IF(B1701="","",股指期货基差分析!$L$11)</f>
        <v/>
      </c>
      <c r="I1701" s="10" t="str">
        <f>IF(B1701="","",股指期货基差分析!$D$11)</f>
        <v/>
      </c>
      <c r="L1701" s="43"/>
    </row>
    <row r="1702" spans="2:12" ht="15" customHeight="1" x14ac:dyDescent="0.2">
      <c r="B1702" s="7"/>
      <c r="C1702" s="5" t="str">
        <f>IF(B1702="","",[1]!s_dq_close(股指期货基差分析!$E$5,$B1702))</f>
        <v/>
      </c>
      <c r="D1702" s="5" t="str">
        <f>IF(B1702="","",[1]!s_dq_close(股指期货基差分析!$E$6,$B1702))</f>
        <v/>
      </c>
      <c r="E1702" s="5" t="e">
        <f ca="1">RANK(F1702,F:F)+COUNTIF(F$2:F1702,F1702)-1</f>
        <v>#VALUE!</v>
      </c>
      <c r="F1702" s="5" t="str">
        <f t="shared" si="27"/>
        <v/>
      </c>
      <c r="G1702" s="5" t="str">
        <f>IF(B1702="","",股指期货基差分析!$N$11)</f>
        <v/>
      </c>
      <c r="H1702" s="5" t="str">
        <f>IF(B1702="","",股指期货基差分析!$L$11)</f>
        <v/>
      </c>
      <c r="I1702" s="9" t="str">
        <f>IF(B1702="","",股指期货基差分析!$D$11)</f>
        <v/>
      </c>
      <c r="L1702" s="43"/>
    </row>
    <row r="1703" spans="2:12" ht="15" customHeight="1" x14ac:dyDescent="0.2">
      <c r="B1703" s="8"/>
      <c r="C1703" s="6" t="str">
        <f>IF(B1703="","",[1]!s_dq_close(股指期货基差分析!$E$5,$B1703))</f>
        <v/>
      </c>
      <c r="D1703" s="6" t="str">
        <f>IF(B1703="","",[1]!s_dq_close(股指期货基差分析!$E$6,$B1703))</f>
        <v/>
      </c>
      <c r="E1703" s="6" t="e">
        <f ca="1">RANK(F1703,F:F)+COUNTIF(F$2:F1703,F1703)-1</f>
        <v>#VALUE!</v>
      </c>
      <c r="F1703" s="6" t="str">
        <f t="shared" si="27"/>
        <v/>
      </c>
      <c r="G1703" s="6" t="str">
        <f>IF(B1703="","",股指期货基差分析!$N$11)</f>
        <v/>
      </c>
      <c r="H1703" s="6" t="str">
        <f>IF(B1703="","",股指期货基差分析!$L$11)</f>
        <v/>
      </c>
      <c r="I1703" s="10" t="str">
        <f>IF(B1703="","",股指期货基差分析!$D$11)</f>
        <v/>
      </c>
      <c r="L1703" s="43"/>
    </row>
    <row r="1704" spans="2:12" ht="15" customHeight="1" x14ac:dyDescent="0.2">
      <c r="B1704" s="7"/>
      <c r="C1704" s="5" t="str">
        <f>IF(B1704="","",[1]!s_dq_close(股指期货基差分析!$E$5,$B1704))</f>
        <v/>
      </c>
      <c r="D1704" s="5" t="str">
        <f>IF(B1704="","",[1]!s_dq_close(股指期货基差分析!$E$6,$B1704))</f>
        <v/>
      </c>
      <c r="E1704" s="5" t="e">
        <f ca="1">RANK(F1704,F:F)+COUNTIF(F$2:F1704,F1704)-1</f>
        <v>#VALUE!</v>
      </c>
      <c r="F1704" s="5" t="str">
        <f t="shared" si="27"/>
        <v/>
      </c>
      <c r="G1704" s="5" t="str">
        <f>IF(B1704="","",股指期货基差分析!$N$11)</f>
        <v/>
      </c>
      <c r="H1704" s="5" t="str">
        <f>IF(B1704="","",股指期货基差分析!$L$11)</f>
        <v/>
      </c>
      <c r="I1704" s="9" t="str">
        <f>IF(B1704="","",股指期货基差分析!$D$11)</f>
        <v/>
      </c>
      <c r="L1704" s="43"/>
    </row>
    <row r="1705" spans="2:12" ht="15" customHeight="1" x14ac:dyDescent="0.2">
      <c r="B1705" s="8"/>
      <c r="C1705" s="6" t="str">
        <f>IF(B1705="","",[1]!s_dq_close(股指期货基差分析!$E$5,$B1705))</f>
        <v/>
      </c>
      <c r="D1705" s="6" t="str">
        <f>IF(B1705="","",[1]!s_dq_close(股指期货基差分析!$E$6,$B1705))</f>
        <v/>
      </c>
      <c r="E1705" s="6" t="e">
        <f ca="1">RANK(F1705,F:F)+COUNTIF(F$2:F1705,F1705)-1</f>
        <v>#VALUE!</v>
      </c>
      <c r="F1705" s="6" t="str">
        <f t="shared" si="27"/>
        <v/>
      </c>
      <c r="G1705" s="6" t="str">
        <f>IF(B1705="","",股指期货基差分析!$N$11)</f>
        <v/>
      </c>
      <c r="H1705" s="6" t="str">
        <f>IF(B1705="","",股指期货基差分析!$L$11)</f>
        <v/>
      </c>
      <c r="I1705" s="10" t="str">
        <f>IF(B1705="","",股指期货基差分析!$D$11)</f>
        <v/>
      </c>
      <c r="L1705" s="43"/>
    </row>
    <row r="1706" spans="2:12" ht="15" customHeight="1" x14ac:dyDescent="0.2">
      <c r="B1706" s="7"/>
      <c r="C1706" s="5" t="str">
        <f>IF(B1706="","",[1]!s_dq_close(股指期货基差分析!$E$5,$B1706))</f>
        <v/>
      </c>
      <c r="D1706" s="5" t="str">
        <f>IF(B1706="","",[1]!s_dq_close(股指期货基差分析!$E$6,$B1706))</f>
        <v/>
      </c>
      <c r="E1706" s="5" t="e">
        <f ca="1">RANK(F1706,F:F)+COUNTIF(F$2:F1706,F1706)-1</f>
        <v>#VALUE!</v>
      </c>
      <c r="F1706" s="5" t="str">
        <f t="shared" si="27"/>
        <v/>
      </c>
      <c r="G1706" s="5" t="str">
        <f>IF(B1706="","",股指期货基差分析!$N$11)</f>
        <v/>
      </c>
      <c r="H1706" s="5" t="str">
        <f>IF(B1706="","",股指期货基差分析!$L$11)</f>
        <v/>
      </c>
      <c r="I1706" s="9" t="str">
        <f>IF(B1706="","",股指期货基差分析!$D$11)</f>
        <v/>
      </c>
      <c r="L1706" s="43"/>
    </row>
    <row r="1707" spans="2:12" ht="15" customHeight="1" x14ac:dyDescent="0.2">
      <c r="B1707" s="8"/>
      <c r="C1707" s="6" t="str">
        <f>IF(B1707="","",[1]!s_dq_close(股指期货基差分析!$E$5,$B1707))</f>
        <v/>
      </c>
      <c r="D1707" s="6" t="str">
        <f>IF(B1707="","",[1]!s_dq_close(股指期货基差分析!$E$6,$B1707))</f>
        <v/>
      </c>
      <c r="E1707" s="6" t="e">
        <f ca="1">RANK(F1707,F:F)+COUNTIF(F$2:F1707,F1707)-1</f>
        <v>#VALUE!</v>
      </c>
      <c r="F1707" s="6" t="str">
        <f t="shared" si="27"/>
        <v/>
      </c>
      <c r="G1707" s="6" t="str">
        <f>IF(B1707="","",股指期货基差分析!$N$11)</f>
        <v/>
      </c>
      <c r="H1707" s="6" t="str">
        <f>IF(B1707="","",股指期货基差分析!$L$11)</f>
        <v/>
      </c>
      <c r="I1707" s="10" t="str">
        <f>IF(B1707="","",股指期货基差分析!$D$11)</f>
        <v/>
      </c>
      <c r="L1707" s="43"/>
    </row>
    <row r="1708" spans="2:12" ht="15" customHeight="1" x14ac:dyDescent="0.2">
      <c r="B1708" s="7"/>
      <c r="C1708" s="5" t="str">
        <f>IF(B1708="","",[1]!s_dq_close(股指期货基差分析!$E$5,$B1708))</f>
        <v/>
      </c>
      <c r="D1708" s="5" t="str">
        <f>IF(B1708="","",[1]!s_dq_close(股指期货基差分析!$E$6,$B1708))</f>
        <v/>
      </c>
      <c r="E1708" s="5" t="e">
        <f ca="1">RANK(F1708,F:F)+COUNTIF(F$2:F1708,F1708)-1</f>
        <v>#VALUE!</v>
      </c>
      <c r="F1708" s="5" t="str">
        <f t="shared" si="27"/>
        <v/>
      </c>
      <c r="G1708" s="5" t="str">
        <f>IF(B1708="","",股指期货基差分析!$N$11)</f>
        <v/>
      </c>
      <c r="H1708" s="5" t="str">
        <f>IF(B1708="","",股指期货基差分析!$L$11)</f>
        <v/>
      </c>
      <c r="I1708" s="9" t="str">
        <f>IF(B1708="","",股指期货基差分析!$D$11)</f>
        <v/>
      </c>
      <c r="L1708" s="43"/>
    </row>
    <row r="1709" spans="2:12" ht="15" customHeight="1" x14ac:dyDescent="0.2">
      <c r="B1709" s="8"/>
      <c r="C1709" s="6" t="str">
        <f>IF(B1709="","",[1]!s_dq_close(股指期货基差分析!$E$5,$B1709))</f>
        <v/>
      </c>
      <c r="D1709" s="6" t="str">
        <f>IF(B1709="","",[1]!s_dq_close(股指期货基差分析!$E$6,$B1709))</f>
        <v/>
      </c>
      <c r="E1709" s="6" t="e">
        <f ca="1">RANK(F1709,F:F)+COUNTIF(F$2:F1709,F1709)-1</f>
        <v>#VALUE!</v>
      </c>
      <c r="F1709" s="6" t="str">
        <f t="shared" si="27"/>
        <v/>
      </c>
      <c r="G1709" s="6" t="str">
        <f>IF(B1709="","",股指期货基差分析!$N$11)</f>
        <v/>
      </c>
      <c r="H1709" s="6" t="str">
        <f>IF(B1709="","",股指期货基差分析!$L$11)</f>
        <v/>
      </c>
      <c r="I1709" s="10" t="str">
        <f>IF(B1709="","",股指期货基差分析!$D$11)</f>
        <v/>
      </c>
      <c r="L1709" s="43"/>
    </row>
    <row r="1710" spans="2:12" ht="15" customHeight="1" x14ac:dyDescent="0.2">
      <c r="B1710" s="7"/>
      <c r="C1710" s="5" t="str">
        <f>IF(B1710="","",[1]!s_dq_close(股指期货基差分析!$E$5,$B1710))</f>
        <v/>
      </c>
      <c r="D1710" s="5" t="str">
        <f>IF(B1710="","",[1]!s_dq_close(股指期货基差分析!$E$6,$B1710))</f>
        <v/>
      </c>
      <c r="E1710" s="5" t="e">
        <f ca="1">RANK(F1710,F:F)+COUNTIF(F$2:F1710,F1710)-1</f>
        <v>#VALUE!</v>
      </c>
      <c r="F1710" s="5" t="str">
        <f t="shared" si="27"/>
        <v/>
      </c>
      <c r="G1710" s="5" t="str">
        <f>IF(B1710="","",股指期货基差分析!$N$11)</f>
        <v/>
      </c>
      <c r="H1710" s="5" t="str">
        <f>IF(B1710="","",股指期货基差分析!$L$11)</f>
        <v/>
      </c>
      <c r="I1710" s="9" t="str">
        <f>IF(B1710="","",股指期货基差分析!$D$11)</f>
        <v/>
      </c>
      <c r="L1710" s="43"/>
    </row>
    <row r="1711" spans="2:12" ht="15" customHeight="1" x14ac:dyDescent="0.2">
      <c r="B1711" s="8"/>
      <c r="C1711" s="6" t="str">
        <f>IF(B1711="","",[1]!s_dq_close(股指期货基差分析!$E$5,$B1711))</f>
        <v/>
      </c>
      <c r="D1711" s="6" t="str">
        <f>IF(B1711="","",[1]!s_dq_close(股指期货基差分析!$E$6,$B1711))</f>
        <v/>
      </c>
      <c r="E1711" s="6" t="e">
        <f ca="1">RANK(F1711,F:F)+COUNTIF(F$2:F1711,F1711)-1</f>
        <v>#VALUE!</v>
      </c>
      <c r="F1711" s="6" t="str">
        <f t="shared" si="27"/>
        <v/>
      </c>
      <c r="G1711" s="6" t="str">
        <f>IF(B1711="","",股指期货基差分析!$N$11)</f>
        <v/>
      </c>
      <c r="H1711" s="6" t="str">
        <f>IF(B1711="","",股指期货基差分析!$L$11)</f>
        <v/>
      </c>
      <c r="I1711" s="10" t="str">
        <f>IF(B1711="","",股指期货基差分析!$D$11)</f>
        <v/>
      </c>
      <c r="L1711" s="43"/>
    </row>
    <row r="1712" spans="2:12" ht="15" customHeight="1" x14ac:dyDescent="0.2">
      <c r="B1712" s="7"/>
      <c r="C1712" s="5" t="str">
        <f>IF(B1712="","",[1]!s_dq_close(股指期货基差分析!$E$5,$B1712))</f>
        <v/>
      </c>
      <c r="D1712" s="5" t="str">
        <f>IF(B1712="","",[1]!s_dq_close(股指期货基差分析!$E$6,$B1712))</f>
        <v/>
      </c>
      <c r="E1712" s="5" t="e">
        <f ca="1">RANK(F1712,F:F)+COUNTIF(F$2:F1712,F1712)-1</f>
        <v>#VALUE!</v>
      </c>
      <c r="F1712" s="5" t="str">
        <f t="shared" si="27"/>
        <v/>
      </c>
      <c r="G1712" s="5" t="str">
        <f>IF(B1712="","",股指期货基差分析!$N$11)</f>
        <v/>
      </c>
      <c r="H1712" s="5" t="str">
        <f>IF(B1712="","",股指期货基差分析!$L$11)</f>
        <v/>
      </c>
      <c r="I1712" s="9" t="str">
        <f>IF(B1712="","",股指期货基差分析!$D$11)</f>
        <v/>
      </c>
      <c r="L1712" s="43"/>
    </row>
    <row r="1713" spans="2:12" ht="15" customHeight="1" x14ac:dyDescent="0.2">
      <c r="B1713" s="8"/>
      <c r="C1713" s="6" t="str">
        <f>IF(B1713="","",[1]!s_dq_close(股指期货基差分析!$E$5,$B1713))</f>
        <v/>
      </c>
      <c r="D1713" s="6" t="str">
        <f>IF(B1713="","",[1]!s_dq_close(股指期货基差分析!$E$6,$B1713))</f>
        <v/>
      </c>
      <c r="E1713" s="6" t="e">
        <f ca="1">RANK(F1713,F:F)+COUNTIF(F$2:F1713,F1713)-1</f>
        <v>#VALUE!</v>
      </c>
      <c r="F1713" s="6" t="str">
        <f t="shared" si="27"/>
        <v/>
      </c>
      <c r="G1713" s="6" t="str">
        <f>IF(B1713="","",股指期货基差分析!$N$11)</f>
        <v/>
      </c>
      <c r="H1713" s="6" t="str">
        <f>IF(B1713="","",股指期货基差分析!$L$11)</f>
        <v/>
      </c>
      <c r="I1713" s="10" t="str">
        <f>IF(B1713="","",股指期货基差分析!$D$11)</f>
        <v/>
      </c>
      <c r="L1713" s="43"/>
    </row>
    <row r="1714" spans="2:12" ht="15" customHeight="1" x14ac:dyDescent="0.2">
      <c r="B1714" s="7"/>
      <c r="C1714" s="5" t="str">
        <f>IF(B1714="","",[1]!s_dq_close(股指期货基差分析!$E$5,$B1714))</f>
        <v/>
      </c>
      <c r="D1714" s="5" t="str">
        <f>IF(B1714="","",[1]!s_dq_close(股指期货基差分析!$E$6,$B1714))</f>
        <v/>
      </c>
      <c r="E1714" s="5" t="e">
        <f ca="1">RANK(F1714,F:F)+COUNTIF(F$2:F1714,F1714)-1</f>
        <v>#VALUE!</v>
      </c>
      <c r="F1714" s="5" t="str">
        <f t="shared" si="27"/>
        <v/>
      </c>
      <c r="G1714" s="5" t="str">
        <f>IF(B1714="","",股指期货基差分析!$N$11)</f>
        <v/>
      </c>
      <c r="H1714" s="5" t="str">
        <f>IF(B1714="","",股指期货基差分析!$L$11)</f>
        <v/>
      </c>
      <c r="I1714" s="9" t="str">
        <f>IF(B1714="","",股指期货基差分析!$D$11)</f>
        <v/>
      </c>
      <c r="L1714" s="43"/>
    </row>
    <row r="1715" spans="2:12" ht="15" customHeight="1" x14ac:dyDescent="0.2">
      <c r="B1715" s="8"/>
      <c r="C1715" s="6" t="str">
        <f>IF(B1715="","",[1]!s_dq_close(股指期货基差分析!$E$5,$B1715))</f>
        <v/>
      </c>
      <c r="D1715" s="6" t="str">
        <f>IF(B1715="","",[1]!s_dq_close(股指期货基差分析!$E$6,$B1715))</f>
        <v/>
      </c>
      <c r="E1715" s="6" t="e">
        <f ca="1">RANK(F1715,F:F)+COUNTIF(F$2:F1715,F1715)-1</f>
        <v>#VALUE!</v>
      </c>
      <c r="F1715" s="6" t="str">
        <f t="shared" si="27"/>
        <v/>
      </c>
      <c r="G1715" s="6" t="str">
        <f>IF(B1715="","",股指期货基差分析!$N$11)</f>
        <v/>
      </c>
      <c r="H1715" s="6" t="str">
        <f>IF(B1715="","",股指期货基差分析!$L$11)</f>
        <v/>
      </c>
      <c r="I1715" s="10" t="str">
        <f>IF(B1715="","",股指期货基差分析!$D$11)</f>
        <v/>
      </c>
      <c r="L1715" s="43"/>
    </row>
    <row r="1716" spans="2:12" ht="15" customHeight="1" x14ac:dyDescent="0.2">
      <c r="B1716" s="7"/>
      <c r="C1716" s="5" t="str">
        <f>IF(B1716="","",[1]!s_dq_close(股指期货基差分析!$E$5,$B1716))</f>
        <v/>
      </c>
      <c r="D1716" s="5" t="str">
        <f>IF(B1716="","",[1]!s_dq_close(股指期货基差分析!$E$6,$B1716))</f>
        <v/>
      </c>
      <c r="E1716" s="5" t="e">
        <f ca="1">RANK(F1716,F:F)+COUNTIF(F$2:F1716,F1716)-1</f>
        <v>#VALUE!</v>
      </c>
      <c r="F1716" s="5" t="str">
        <f t="shared" si="27"/>
        <v/>
      </c>
      <c r="G1716" s="5" t="str">
        <f>IF(B1716="","",股指期货基差分析!$N$11)</f>
        <v/>
      </c>
      <c r="H1716" s="5" t="str">
        <f>IF(B1716="","",股指期货基差分析!$L$11)</f>
        <v/>
      </c>
      <c r="I1716" s="9" t="str">
        <f>IF(B1716="","",股指期货基差分析!$D$11)</f>
        <v/>
      </c>
      <c r="L1716" s="43"/>
    </row>
    <row r="1717" spans="2:12" ht="15" customHeight="1" x14ac:dyDescent="0.2">
      <c r="B1717" s="8"/>
      <c r="C1717" s="6" t="str">
        <f>IF(B1717="","",[1]!s_dq_close(股指期货基差分析!$E$5,$B1717))</f>
        <v/>
      </c>
      <c r="D1717" s="6" t="str">
        <f>IF(B1717="","",[1]!s_dq_close(股指期货基差分析!$E$6,$B1717))</f>
        <v/>
      </c>
      <c r="E1717" s="6" t="e">
        <f ca="1">RANK(F1717,F:F)+COUNTIF(F$2:F1717,F1717)-1</f>
        <v>#VALUE!</v>
      </c>
      <c r="F1717" s="6" t="str">
        <f t="shared" si="27"/>
        <v/>
      </c>
      <c r="G1717" s="6" t="str">
        <f>IF(B1717="","",股指期货基差分析!$N$11)</f>
        <v/>
      </c>
      <c r="H1717" s="6" t="str">
        <f>IF(B1717="","",股指期货基差分析!$L$11)</f>
        <v/>
      </c>
      <c r="I1717" s="10" t="str">
        <f>IF(B1717="","",股指期货基差分析!$D$11)</f>
        <v/>
      </c>
      <c r="L1717" s="43"/>
    </row>
    <row r="1718" spans="2:12" ht="15" customHeight="1" x14ac:dyDescent="0.2">
      <c r="B1718" s="7"/>
      <c r="C1718" s="5" t="str">
        <f>IF(B1718="","",[1]!s_dq_close(股指期货基差分析!$E$5,$B1718))</f>
        <v/>
      </c>
      <c r="D1718" s="5" t="str">
        <f>IF(B1718="","",[1]!s_dq_close(股指期货基差分析!$E$6,$B1718))</f>
        <v/>
      </c>
      <c r="E1718" s="5" t="e">
        <f ca="1">RANK(F1718,F:F)+COUNTIF(F$2:F1718,F1718)-1</f>
        <v>#VALUE!</v>
      </c>
      <c r="F1718" s="5" t="str">
        <f t="shared" si="27"/>
        <v/>
      </c>
      <c r="G1718" s="5" t="str">
        <f>IF(B1718="","",股指期货基差分析!$N$11)</f>
        <v/>
      </c>
      <c r="H1718" s="5" t="str">
        <f>IF(B1718="","",股指期货基差分析!$L$11)</f>
        <v/>
      </c>
      <c r="I1718" s="9" t="str">
        <f>IF(B1718="","",股指期货基差分析!$D$11)</f>
        <v/>
      </c>
      <c r="L1718" s="43"/>
    </row>
    <row r="1719" spans="2:12" ht="15" customHeight="1" x14ac:dyDescent="0.2">
      <c r="B1719" s="8"/>
      <c r="C1719" s="6" t="str">
        <f>IF(B1719="","",[1]!s_dq_close(股指期货基差分析!$E$5,$B1719))</f>
        <v/>
      </c>
      <c r="D1719" s="6" t="str">
        <f>IF(B1719="","",[1]!s_dq_close(股指期货基差分析!$E$6,$B1719))</f>
        <v/>
      </c>
      <c r="E1719" s="6" t="e">
        <f ca="1">RANK(F1719,F:F)+COUNTIF(F$2:F1719,F1719)-1</f>
        <v>#VALUE!</v>
      </c>
      <c r="F1719" s="6" t="str">
        <f t="shared" si="27"/>
        <v/>
      </c>
      <c r="G1719" s="6" t="str">
        <f>IF(B1719="","",股指期货基差分析!$N$11)</f>
        <v/>
      </c>
      <c r="H1719" s="6" t="str">
        <f>IF(B1719="","",股指期货基差分析!$L$11)</f>
        <v/>
      </c>
      <c r="I1719" s="10" t="str">
        <f>IF(B1719="","",股指期货基差分析!$D$11)</f>
        <v/>
      </c>
      <c r="L1719" s="43"/>
    </row>
    <row r="1720" spans="2:12" ht="15" customHeight="1" x14ac:dyDescent="0.2">
      <c r="B1720" s="7"/>
      <c r="C1720" s="5" t="str">
        <f>IF(B1720="","",[1]!s_dq_close(股指期货基差分析!$E$5,$B1720))</f>
        <v/>
      </c>
      <c r="D1720" s="5" t="str">
        <f>IF(B1720="","",[1]!s_dq_close(股指期货基差分析!$E$6,$B1720))</f>
        <v/>
      </c>
      <c r="E1720" s="5" t="e">
        <f ca="1">RANK(F1720,F:F)+COUNTIF(F$2:F1720,F1720)-1</f>
        <v>#VALUE!</v>
      </c>
      <c r="F1720" s="5" t="str">
        <f t="shared" si="27"/>
        <v/>
      </c>
      <c r="G1720" s="5" t="str">
        <f>IF(B1720="","",股指期货基差分析!$N$11)</f>
        <v/>
      </c>
      <c r="H1720" s="5" t="str">
        <f>IF(B1720="","",股指期货基差分析!$L$11)</f>
        <v/>
      </c>
      <c r="I1720" s="9" t="str">
        <f>IF(B1720="","",股指期货基差分析!$D$11)</f>
        <v/>
      </c>
      <c r="L1720" s="43"/>
    </row>
    <row r="1721" spans="2:12" ht="15" customHeight="1" x14ac:dyDescent="0.2">
      <c r="B1721" s="8"/>
      <c r="C1721" s="6" t="str">
        <f>IF(B1721="","",[1]!s_dq_close(股指期货基差分析!$E$5,$B1721))</f>
        <v/>
      </c>
      <c r="D1721" s="6" t="str">
        <f>IF(B1721="","",[1]!s_dq_close(股指期货基差分析!$E$6,$B1721))</f>
        <v/>
      </c>
      <c r="E1721" s="6" t="e">
        <f ca="1">RANK(F1721,F:F)+COUNTIF(F$2:F1721,F1721)-1</f>
        <v>#VALUE!</v>
      </c>
      <c r="F1721" s="6" t="str">
        <f t="shared" si="27"/>
        <v/>
      </c>
      <c r="G1721" s="6" t="str">
        <f>IF(B1721="","",股指期货基差分析!$N$11)</f>
        <v/>
      </c>
      <c r="H1721" s="6" t="str">
        <f>IF(B1721="","",股指期货基差分析!$L$11)</f>
        <v/>
      </c>
      <c r="I1721" s="10" t="str">
        <f>IF(B1721="","",股指期货基差分析!$D$11)</f>
        <v/>
      </c>
      <c r="L1721" s="43"/>
    </row>
    <row r="1722" spans="2:12" ht="15" customHeight="1" x14ac:dyDescent="0.2">
      <c r="B1722" s="7"/>
      <c r="C1722" s="5" t="str">
        <f>IF(B1722="","",[1]!s_dq_close(股指期货基差分析!$E$5,$B1722))</f>
        <v/>
      </c>
      <c r="D1722" s="5" t="str">
        <f>IF(B1722="","",[1]!s_dq_close(股指期货基差分析!$E$6,$B1722))</f>
        <v/>
      </c>
      <c r="E1722" s="5" t="e">
        <f ca="1">RANK(F1722,F:F)+COUNTIF(F$2:F1722,F1722)-1</f>
        <v>#VALUE!</v>
      </c>
      <c r="F1722" s="5" t="str">
        <f t="shared" si="27"/>
        <v/>
      </c>
      <c r="G1722" s="5" t="str">
        <f>IF(B1722="","",股指期货基差分析!$N$11)</f>
        <v/>
      </c>
      <c r="H1722" s="5" t="str">
        <f>IF(B1722="","",股指期货基差分析!$L$11)</f>
        <v/>
      </c>
      <c r="I1722" s="9" t="str">
        <f>IF(B1722="","",股指期货基差分析!$D$11)</f>
        <v/>
      </c>
      <c r="L1722" s="43"/>
    </row>
    <row r="1723" spans="2:12" ht="15" customHeight="1" x14ac:dyDescent="0.2">
      <c r="B1723" s="8"/>
      <c r="C1723" s="6" t="str">
        <f>IF(B1723="","",[1]!s_dq_close(股指期货基差分析!$E$5,$B1723))</f>
        <v/>
      </c>
      <c r="D1723" s="6" t="str">
        <f>IF(B1723="","",[1]!s_dq_close(股指期货基差分析!$E$6,$B1723))</f>
        <v/>
      </c>
      <c r="E1723" s="6" t="e">
        <f ca="1">RANK(F1723,F:F)+COUNTIF(F$2:F1723,F1723)-1</f>
        <v>#VALUE!</v>
      </c>
      <c r="F1723" s="6" t="str">
        <f t="shared" si="27"/>
        <v/>
      </c>
      <c r="G1723" s="6" t="str">
        <f>IF(B1723="","",股指期货基差分析!$N$11)</f>
        <v/>
      </c>
      <c r="H1723" s="6" t="str">
        <f>IF(B1723="","",股指期货基差分析!$L$11)</f>
        <v/>
      </c>
      <c r="I1723" s="10" t="str">
        <f>IF(B1723="","",股指期货基差分析!$D$11)</f>
        <v/>
      </c>
      <c r="L1723" s="43"/>
    </row>
    <row r="1724" spans="2:12" ht="15" customHeight="1" x14ac:dyDescent="0.2">
      <c r="B1724" s="7"/>
      <c r="C1724" s="5" t="str">
        <f>IF(B1724="","",[1]!s_dq_close(股指期货基差分析!$E$5,$B1724))</f>
        <v/>
      </c>
      <c r="D1724" s="5" t="str">
        <f>IF(B1724="","",[1]!s_dq_close(股指期货基差分析!$E$6,$B1724))</f>
        <v/>
      </c>
      <c r="E1724" s="5" t="e">
        <f ca="1">RANK(F1724,F:F)+COUNTIF(F$2:F1724,F1724)-1</f>
        <v>#VALUE!</v>
      </c>
      <c r="F1724" s="5" t="str">
        <f t="shared" si="27"/>
        <v/>
      </c>
      <c r="G1724" s="5" t="str">
        <f>IF(B1724="","",股指期货基差分析!$N$11)</f>
        <v/>
      </c>
      <c r="H1724" s="5" t="str">
        <f>IF(B1724="","",股指期货基差分析!$L$11)</f>
        <v/>
      </c>
      <c r="I1724" s="9" t="str">
        <f>IF(B1724="","",股指期货基差分析!$D$11)</f>
        <v/>
      </c>
      <c r="L1724" s="43"/>
    </row>
    <row r="1725" spans="2:12" ht="15" customHeight="1" x14ac:dyDescent="0.2">
      <c r="B1725" s="8"/>
      <c r="C1725" s="6" t="str">
        <f>IF(B1725="","",[1]!s_dq_close(股指期货基差分析!$E$5,$B1725))</f>
        <v/>
      </c>
      <c r="D1725" s="6" t="str">
        <f>IF(B1725="","",[1]!s_dq_close(股指期货基差分析!$E$6,$B1725))</f>
        <v/>
      </c>
      <c r="E1725" s="6" t="e">
        <f ca="1">RANK(F1725,F:F)+COUNTIF(F$2:F1725,F1725)-1</f>
        <v>#VALUE!</v>
      </c>
      <c r="F1725" s="6" t="str">
        <f t="shared" si="27"/>
        <v/>
      </c>
      <c r="G1725" s="6" t="str">
        <f>IF(B1725="","",股指期货基差分析!$N$11)</f>
        <v/>
      </c>
      <c r="H1725" s="6" t="str">
        <f>IF(B1725="","",股指期货基差分析!$L$11)</f>
        <v/>
      </c>
      <c r="I1725" s="10" t="str">
        <f>IF(B1725="","",股指期货基差分析!$D$11)</f>
        <v/>
      </c>
      <c r="L1725" s="43"/>
    </row>
    <row r="1726" spans="2:12" ht="15" customHeight="1" x14ac:dyDescent="0.2">
      <c r="B1726" s="7"/>
      <c r="C1726" s="5" t="str">
        <f>IF(B1726="","",[1]!s_dq_close(股指期货基差分析!$E$5,$B1726))</f>
        <v/>
      </c>
      <c r="D1726" s="5" t="str">
        <f>IF(B1726="","",[1]!s_dq_close(股指期货基差分析!$E$6,$B1726))</f>
        <v/>
      </c>
      <c r="E1726" s="5" t="e">
        <f ca="1">RANK(F1726,F:F)+COUNTIF(F$2:F1726,F1726)-1</f>
        <v>#VALUE!</v>
      </c>
      <c r="F1726" s="5" t="str">
        <f t="shared" si="27"/>
        <v/>
      </c>
      <c r="G1726" s="5" t="str">
        <f>IF(B1726="","",股指期货基差分析!$N$11)</f>
        <v/>
      </c>
      <c r="H1726" s="5" t="str">
        <f>IF(B1726="","",股指期货基差分析!$L$11)</f>
        <v/>
      </c>
      <c r="I1726" s="9" t="str">
        <f>IF(B1726="","",股指期货基差分析!$D$11)</f>
        <v/>
      </c>
      <c r="L1726" s="43"/>
    </row>
    <row r="1727" spans="2:12" ht="15" customHeight="1" x14ac:dyDescent="0.2">
      <c r="B1727" s="8"/>
      <c r="C1727" s="6" t="str">
        <f>IF(B1727="","",[1]!s_dq_close(股指期货基差分析!$E$5,$B1727))</f>
        <v/>
      </c>
      <c r="D1727" s="6" t="str">
        <f>IF(B1727="","",[1]!s_dq_close(股指期货基差分析!$E$6,$B1727))</f>
        <v/>
      </c>
      <c r="E1727" s="6" t="e">
        <f ca="1">RANK(F1727,F:F)+COUNTIF(F$2:F1727,F1727)-1</f>
        <v>#VALUE!</v>
      </c>
      <c r="F1727" s="6" t="str">
        <f t="shared" si="27"/>
        <v/>
      </c>
      <c r="G1727" s="6" t="str">
        <f>IF(B1727="","",股指期货基差分析!$N$11)</f>
        <v/>
      </c>
      <c r="H1727" s="6" t="str">
        <f>IF(B1727="","",股指期货基差分析!$L$11)</f>
        <v/>
      </c>
      <c r="I1727" s="10" t="str">
        <f>IF(B1727="","",股指期货基差分析!$D$11)</f>
        <v/>
      </c>
      <c r="L1727" s="43"/>
    </row>
    <row r="1728" spans="2:12" ht="15" customHeight="1" x14ac:dyDescent="0.2">
      <c r="B1728" s="7"/>
      <c r="C1728" s="5" t="str">
        <f>IF(B1728="","",[1]!s_dq_close(股指期货基差分析!$E$5,$B1728))</f>
        <v/>
      </c>
      <c r="D1728" s="5" t="str">
        <f>IF(B1728="","",[1]!s_dq_close(股指期货基差分析!$E$6,$B1728))</f>
        <v/>
      </c>
      <c r="E1728" s="5" t="e">
        <f ca="1">RANK(F1728,F:F)+COUNTIF(F$2:F1728,F1728)-1</f>
        <v>#VALUE!</v>
      </c>
      <c r="F1728" s="5" t="str">
        <f t="shared" si="27"/>
        <v/>
      </c>
      <c r="G1728" s="5" t="str">
        <f>IF(B1728="","",股指期货基差分析!$N$11)</f>
        <v/>
      </c>
      <c r="H1728" s="5" t="str">
        <f>IF(B1728="","",股指期货基差分析!$L$11)</f>
        <v/>
      </c>
      <c r="I1728" s="9" t="str">
        <f>IF(B1728="","",股指期货基差分析!$D$11)</f>
        <v/>
      </c>
      <c r="L1728" s="43"/>
    </row>
    <row r="1729" spans="2:12" ht="15" customHeight="1" x14ac:dyDescent="0.2">
      <c r="B1729" s="8"/>
      <c r="C1729" s="6" t="str">
        <f>IF(B1729="","",[1]!s_dq_close(股指期货基差分析!$E$5,$B1729))</f>
        <v/>
      </c>
      <c r="D1729" s="6" t="str">
        <f>IF(B1729="","",[1]!s_dq_close(股指期货基差分析!$E$6,$B1729))</f>
        <v/>
      </c>
      <c r="E1729" s="6" t="e">
        <f ca="1">RANK(F1729,F:F)+COUNTIF(F$2:F1729,F1729)-1</f>
        <v>#VALUE!</v>
      </c>
      <c r="F1729" s="6" t="str">
        <f t="shared" si="27"/>
        <v/>
      </c>
      <c r="G1729" s="6" t="str">
        <f>IF(B1729="","",股指期货基差分析!$N$11)</f>
        <v/>
      </c>
      <c r="H1729" s="6" t="str">
        <f>IF(B1729="","",股指期货基差分析!$L$11)</f>
        <v/>
      </c>
      <c r="I1729" s="10" t="str">
        <f>IF(B1729="","",股指期货基差分析!$D$11)</f>
        <v/>
      </c>
      <c r="L1729" s="43"/>
    </row>
    <row r="1730" spans="2:12" ht="15" customHeight="1" x14ac:dyDescent="0.2">
      <c r="B1730" s="7"/>
      <c r="C1730" s="5" t="str">
        <f>IF(B1730="","",[1]!s_dq_close(股指期货基差分析!$E$5,$B1730))</f>
        <v/>
      </c>
      <c r="D1730" s="5" t="str">
        <f>IF(B1730="","",[1]!s_dq_close(股指期货基差分析!$E$6,$B1730))</f>
        <v/>
      </c>
      <c r="E1730" s="5" t="e">
        <f ca="1">RANK(F1730,F:F)+COUNTIF(F$2:F1730,F1730)-1</f>
        <v>#VALUE!</v>
      </c>
      <c r="F1730" s="5" t="str">
        <f t="shared" ref="F1730:F1793" si="28">IF(B1730="","",D1730-C1730)</f>
        <v/>
      </c>
      <c r="G1730" s="5" t="str">
        <f>IF(B1730="","",股指期货基差分析!$N$11)</f>
        <v/>
      </c>
      <c r="H1730" s="5" t="str">
        <f>IF(B1730="","",股指期货基差分析!$L$11)</f>
        <v/>
      </c>
      <c r="I1730" s="9" t="str">
        <f>IF(B1730="","",股指期货基差分析!$D$11)</f>
        <v/>
      </c>
      <c r="L1730" s="43"/>
    </row>
    <row r="1731" spans="2:12" ht="15" customHeight="1" x14ac:dyDescent="0.2">
      <c r="B1731" s="8"/>
      <c r="C1731" s="6" t="str">
        <f>IF(B1731="","",[1]!s_dq_close(股指期货基差分析!$E$5,$B1731))</f>
        <v/>
      </c>
      <c r="D1731" s="6" t="str">
        <f>IF(B1731="","",[1]!s_dq_close(股指期货基差分析!$E$6,$B1731))</f>
        <v/>
      </c>
      <c r="E1731" s="6" t="e">
        <f ca="1">RANK(F1731,F:F)+COUNTIF(F$2:F1731,F1731)-1</f>
        <v>#VALUE!</v>
      </c>
      <c r="F1731" s="6" t="str">
        <f t="shared" si="28"/>
        <v/>
      </c>
      <c r="G1731" s="6" t="str">
        <f>IF(B1731="","",股指期货基差分析!$N$11)</f>
        <v/>
      </c>
      <c r="H1731" s="6" t="str">
        <f>IF(B1731="","",股指期货基差分析!$L$11)</f>
        <v/>
      </c>
      <c r="I1731" s="10" t="str">
        <f>IF(B1731="","",股指期货基差分析!$D$11)</f>
        <v/>
      </c>
      <c r="L1731" s="43"/>
    </row>
    <row r="1732" spans="2:12" ht="15" customHeight="1" x14ac:dyDescent="0.2">
      <c r="B1732" s="7"/>
      <c r="C1732" s="5" t="str">
        <f>IF(B1732="","",[1]!s_dq_close(股指期货基差分析!$E$5,$B1732))</f>
        <v/>
      </c>
      <c r="D1732" s="5" t="str">
        <f>IF(B1732="","",[1]!s_dq_close(股指期货基差分析!$E$6,$B1732))</f>
        <v/>
      </c>
      <c r="E1732" s="5" t="e">
        <f ca="1">RANK(F1732,F:F)+COUNTIF(F$2:F1732,F1732)-1</f>
        <v>#VALUE!</v>
      </c>
      <c r="F1732" s="5" t="str">
        <f t="shared" si="28"/>
        <v/>
      </c>
      <c r="G1732" s="5" t="str">
        <f>IF(B1732="","",股指期货基差分析!$N$11)</f>
        <v/>
      </c>
      <c r="H1732" s="5" t="str">
        <f>IF(B1732="","",股指期货基差分析!$L$11)</f>
        <v/>
      </c>
      <c r="I1732" s="9" t="str">
        <f>IF(B1732="","",股指期货基差分析!$D$11)</f>
        <v/>
      </c>
      <c r="L1732" s="43"/>
    </row>
    <row r="1733" spans="2:12" ht="15" customHeight="1" x14ac:dyDescent="0.2">
      <c r="B1733" s="8"/>
      <c r="C1733" s="6" t="str">
        <f>IF(B1733="","",[1]!s_dq_close(股指期货基差分析!$E$5,$B1733))</f>
        <v/>
      </c>
      <c r="D1733" s="6" t="str">
        <f>IF(B1733="","",[1]!s_dq_close(股指期货基差分析!$E$6,$B1733))</f>
        <v/>
      </c>
      <c r="E1733" s="6" t="e">
        <f ca="1">RANK(F1733,F:F)+COUNTIF(F$2:F1733,F1733)-1</f>
        <v>#VALUE!</v>
      </c>
      <c r="F1733" s="6" t="str">
        <f t="shared" si="28"/>
        <v/>
      </c>
      <c r="G1733" s="6" t="str">
        <f>IF(B1733="","",股指期货基差分析!$N$11)</f>
        <v/>
      </c>
      <c r="H1733" s="6" t="str">
        <f>IF(B1733="","",股指期货基差分析!$L$11)</f>
        <v/>
      </c>
      <c r="I1733" s="10" t="str">
        <f>IF(B1733="","",股指期货基差分析!$D$11)</f>
        <v/>
      </c>
      <c r="L1733" s="43"/>
    </row>
    <row r="1734" spans="2:12" ht="15" customHeight="1" x14ac:dyDescent="0.2">
      <c r="B1734" s="7"/>
      <c r="C1734" s="5" t="str">
        <f>IF(B1734="","",[1]!s_dq_close(股指期货基差分析!$E$5,$B1734))</f>
        <v/>
      </c>
      <c r="D1734" s="5" t="str">
        <f>IF(B1734="","",[1]!s_dq_close(股指期货基差分析!$E$6,$B1734))</f>
        <v/>
      </c>
      <c r="E1734" s="5" t="e">
        <f ca="1">RANK(F1734,F:F)+COUNTIF(F$2:F1734,F1734)-1</f>
        <v>#VALUE!</v>
      </c>
      <c r="F1734" s="5" t="str">
        <f t="shared" si="28"/>
        <v/>
      </c>
      <c r="G1734" s="5" t="str">
        <f>IF(B1734="","",股指期货基差分析!$N$11)</f>
        <v/>
      </c>
      <c r="H1734" s="5" t="str">
        <f>IF(B1734="","",股指期货基差分析!$L$11)</f>
        <v/>
      </c>
      <c r="I1734" s="9" t="str">
        <f>IF(B1734="","",股指期货基差分析!$D$11)</f>
        <v/>
      </c>
      <c r="L1734" s="43"/>
    </row>
    <row r="1735" spans="2:12" ht="15" customHeight="1" x14ac:dyDescent="0.2">
      <c r="B1735" s="8"/>
      <c r="C1735" s="6" t="str">
        <f>IF(B1735="","",[1]!s_dq_close(股指期货基差分析!$E$5,$B1735))</f>
        <v/>
      </c>
      <c r="D1735" s="6" t="str">
        <f>IF(B1735="","",[1]!s_dq_close(股指期货基差分析!$E$6,$B1735))</f>
        <v/>
      </c>
      <c r="E1735" s="6" t="e">
        <f ca="1">RANK(F1735,F:F)+COUNTIF(F$2:F1735,F1735)-1</f>
        <v>#VALUE!</v>
      </c>
      <c r="F1735" s="6" t="str">
        <f t="shared" si="28"/>
        <v/>
      </c>
      <c r="G1735" s="6" t="str">
        <f>IF(B1735="","",股指期货基差分析!$N$11)</f>
        <v/>
      </c>
      <c r="H1735" s="6" t="str">
        <f>IF(B1735="","",股指期货基差分析!$L$11)</f>
        <v/>
      </c>
      <c r="I1735" s="10" t="str">
        <f>IF(B1735="","",股指期货基差分析!$D$11)</f>
        <v/>
      </c>
      <c r="L1735" s="43"/>
    </row>
    <row r="1736" spans="2:12" ht="15" customHeight="1" x14ac:dyDescent="0.2">
      <c r="B1736" s="7"/>
      <c r="C1736" s="5" t="str">
        <f>IF(B1736="","",[1]!s_dq_close(股指期货基差分析!$E$5,$B1736))</f>
        <v/>
      </c>
      <c r="D1736" s="5" t="str">
        <f>IF(B1736="","",[1]!s_dq_close(股指期货基差分析!$E$6,$B1736))</f>
        <v/>
      </c>
      <c r="E1736" s="5" t="e">
        <f ca="1">RANK(F1736,F:F)+COUNTIF(F$2:F1736,F1736)-1</f>
        <v>#VALUE!</v>
      </c>
      <c r="F1736" s="5" t="str">
        <f t="shared" si="28"/>
        <v/>
      </c>
      <c r="G1736" s="5" t="str">
        <f>IF(B1736="","",股指期货基差分析!$N$11)</f>
        <v/>
      </c>
      <c r="H1736" s="5" t="str">
        <f>IF(B1736="","",股指期货基差分析!$L$11)</f>
        <v/>
      </c>
      <c r="I1736" s="9" t="str">
        <f>IF(B1736="","",股指期货基差分析!$D$11)</f>
        <v/>
      </c>
      <c r="L1736" s="43"/>
    </row>
    <row r="1737" spans="2:12" ht="15" customHeight="1" x14ac:dyDescent="0.2">
      <c r="B1737" s="8"/>
      <c r="C1737" s="6" t="str">
        <f>IF(B1737="","",[1]!s_dq_close(股指期货基差分析!$E$5,$B1737))</f>
        <v/>
      </c>
      <c r="D1737" s="6" t="str">
        <f>IF(B1737="","",[1]!s_dq_close(股指期货基差分析!$E$6,$B1737))</f>
        <v/>
      </c>
      <c r="E1737" s="6" t="e">
        <f ca="1">RANK(F1737,F:F)+COUNTIF(F$2:F1737,F1737)-1</f>
        <v>#VALUE!</v>
      </c>
      <c r="F1737" s="6" t="str">
        <f t="shared" si="28"/>
        <v/>
      </c>
      <c r="G1737" s="6" t="str">
        <f>IF(B1737="","",股指期货基差分析!$N$11)</f>
        <v/>
      </c>
      <c r="H1737" s="6" t="str">
        <f>IF(B1737="","",股指期货基差分析!$L$11)</f>
        <v/>
      </c>
      <c r="I1737" s="10" t="str">
        <f>IF(B1737="","",股指期货基差分析!$D$11)</f>
        <v/>
      </c>
      <c r="L1737" s="43"/>
    </row>
    <row r="1738" spans="2:12" ht="15" customHeight="1" x14ac:dyDescent="0.2">
      <c r="B1738" s="7"/>
      <c r="C1738" s="5" t="str">
        <f>IF(B1738="","",[1]!s_dq_close(股指期货基差分析!$E$5,$B1738))</f>
        <v/>
      </c>
      <c r="D1738" s="5" t="str">
        <f>IF(B1738="","",[1]!s_dq_close(股指期货基差分析!$E$6,$B1738))</f>
        <v/>
      </c>
      <c r="E1738" s="5" t="e">
        <f ca="1">RANK(F1738,F:F)+COUNTIF(F$2:F1738,F1738)-1</f>
        <v>#VALUE!</v>
      </c>
      <c r="F1738" s="5" t="str">
        <f t="shared" si="28"/>
        <v/>
      </c>
      <c r="G1738" s="5" t="str">
        <f>IF(B1738="","",股指期货基差分析!$N$11)</f>
        <v/>
      </c>
      <c r="H1738" s="5" t="str">
        <f>IF(B1738="","",股指期货基差分析!$L$11)</f>
        <v/>
      </c>
      <c r="I1738" s="9" t="str">
        <f>IF(B1738="","",股指期货基差分析!$D$11)</f>
        <v/>
      </c>
      <c r="L1738" s="43"/>
    </row>
    <row r="1739" spans="2:12" ht="15" customHeight="1" x14ac:dyDescent="0.2">
      <c r="B1739" s="8"/>
      <c r="C1739" s="6" t="str">
        <f>IF(B1739="","",[1]!s_dq_close(股指期货基差分析!$E$5,$B1739))</f>
        <v/>
      </c>
      <c r="D1739" s="6" t="str">
        <f>IF(B1739="","",[1]!s_dq_close(股指期货基差分析!$E$6,$B1739))</f>
        <v/>
      </c>
      <c r="E1739" s="6" t="e">
        <f ca="1">RANK(F1739,F:F)+COUNTIF(F$2:F1739,F1739)-1</f>
        <v>#VALUE!</v>
      </c>
      <c r="F1739" s="6" t="str">
        <f t="shared" si="28"/>
        <v/>
      </c>
      <c r="G1739" s="6" t="str">
        <f>IF(B1739="","",股指期货基差分析!$N$11)</f>
        <v/>
      </c>
      <c r="H1739" s="6" t="str">
        <f>IF(B1739="","",股指期货基差分析!$L$11)</f>
        <v/>
      </c>
      <c r="I1739" s="10" t="str">
        <f>IF(B1739="","",股指期货基差分析!$D$11)</f>
        <v/>
      </c>
      <c r="L1739" s="43"/>
    </row>
    <row r="1740" spans="2:12" ht="15" customHeight="1" x14ac:dyDescent="0.2">
      <c r="B1740" s="7"/>
      <c r="C1740" s="5" t="str">
        <f>IF(B1740="","",[1]!s_dq_close(股指期货基差分析!$E$5,$B1740))</f>
        <v/>
      </c>
      <c r="D1740" s="5" t="str">
        <f>IF(B1740="","",[1]!s_dq_close(股指期货基差分析!$E$6,$B1740))</f>
        <v/>
      </c>
      <c r="E1740" s="5" t="e">
        <f ca="1">RANK(F1740,F:F)+COUNTIF(F$2:F1740,F1740)-1</f>
        <v>#VALUE!</v>
      </c>
      <c r="F1740" s="5" t="str">
        <f t="shared" si="28"/>
        <v/>
      </c>
      <c r="G1740" s="5" t="str">
        <f>IF(B1740="","",股指期货基差分析!$N$11)</f>
        <v/>
      </c>
      <c r="H1740" s="5" t="str">
        <f>IF(B1740="","",股指期货基差分析!$L$11)</f>
        <v/>
      </c>
      <c r="I1740" s="9" t="str">
        <f>IF(B1740="","",股指期货基差分析!$D$11)</f>
        <v/>
      </c>
      <c r="L1740" s="43"/>
    </row>
    <row r="1741" spans="2:12" ht="15" customHeight="1" x14ac:dyDescent="0.2">
      <c r="B1741" s="8"/>
      <c r="C1741" s="6" t="str">
        <f>IF(B1741="","",[1]!s_dq_close(股指期货基差分析!$E$5,$B1741))</f>
        <v/>
      </c>
      <c r="D1741" s="6" t="str">
        <f>IF(B1741="","",[1]!s_dq_close(股指期货基差分析!$E$6,$B1741))</f>
        <v/>
      </c>
      <c r="E1741" s="6" t="e">
        <f ca="1">RANK(F1741,F:F)+COUNTIF(F$2:F1741,F1741)-1</f>
        <v>#VALUE!</v>
      </c>
      <c r="F1741" s="6" t="str">
        <f t="shared" si="28"/>
        <v/>
      </c>
      <c r="G1741" s="6" t="str">
        <f>IF(B1741="","",股指期货基差分析!$N$11)</f>
        <v/>
      </c>
      <c r="H1741" s="6" t="str">
        <f>IF(B1741="","",股指期货基差分析!$L$11)</f>
        <v/>
      </c>
      <c r="I1741" s="10" t="str">
        <f>IF(B1741="","",股指期货基差分析!$D$11)</f>
        <v/>
      </c>
      <c r="L1741" s="43"/>
    </row>
    <row r="1742" spans="2:12" ht="15" customHeight="1" x14ac:dyDescent="0.2">
      <c r="B1742" s="7"/>
      <c r="C1742" s="5" t="str">
        <f>IF(B1742="","",[1]!s_dq_close(股指期货基差分析!$E$5,$B1742))</f>
        <v/>
      </c>
      <c r="D1742" s="5" t="str">
        <f>IF(B1742="","",[1]!s_dq_close(股指期货基差分析!$E$6,$B1742))</f>
        <v/>
      </c>
      <c r="E1742" s="5" t="e">
        <f ca="1">RANK(F1742,F:F)+COUNTIF(F$2:F1742,F1742)-1</f>
        <v>#VALUE!</v>
      </c>
      <c r="F1742" s="5" t="str">
        <f t="shared" si="28"/>
        <v/>
      </c>
      <c r="G1742" s="5" t="str">
        <f>IF(B1742="","",股指期货基差分析!$N$11)</f>
        <v/>
      </c>
      <c r="H1742" s="5" t="str">
        <f>IF(B1742="","",股指期货基差分析!$L$11)</f>
        <v/>
      </c>
      <c r="I1742" s="9" t="str">
        <f>IF(B1742="","",股指期货基差分析!$D$11)</f>
        <v/>
      </c>
      <c r="L1742" s="43"/>
    </row>
    <row r="1743" spans="2:12" ht="15" customHeight="1" x14ac:dyDescent="0.2">
      <c r="B1743" s="8"/>
      <c r="C1743" s="6" t="str">
        <f>IF(B1743="","",[1]!s_dq_close(股指期货基差分析!$E$5,$B1743))</f>
        <v/>
      </c>
      <c r="D1743" s="6" t="str">
        <f>IF(B1743="","",[1]!s_dq_close(股指期货基差分析!$E$6,$B1743))</f>
        <v/>
      </c>
      <c r="E1743" s="6" t="e">
        <f ca="1">RANK(F1743,F:F)+COUNTIF(F$2:F1743,F1743)-1</f>
        <v>#VALUE!</v>
      </c>
      <c r="F1743" s="6" t="str">
        <f t="shared" si="28"/>
        <v/>
      </c>
      <c r="G1743" s="6" t="str">
        <f>IF(B1743="","",股指期货基差分析!$N$11)</f>
        <v/>
      </c>
      <c r="H1743" s="6" t="str">
        <f>IF(B1743="","",股指期货基差分析!$L$11)</f>
        <v/>
      </c>
      <c r="I1743" s="10" t="str">
        <f>IF(B1743="","",股指期货基差分析!$D$11)</f>
        <v/>
      </c>
      <c r="L1743" s="43"/>
    </row>
    <row r="1744" spans="2:12" ht="15" customHeight="1" x14ac:dyDescent="0.2">
      <c r="B1744" s="7"/>
      <c r="C1744" s="5" t="str">
        <f>IF(B1744="","",[1]!s_dq_close(股指期货基差分析!$E$5,$B1744))</f>
        <v/>
      </c>
      <c r="D1744" s="5" t="str">
        <f>IF(B1744="","",[1]!s_dq_close(股指期货基差分析!$E$6,$B1744))</f>
        <v/>
      </c>
      <c r="E1744" s="5" t="e">
        <f ca="1">RANK(F1744,F:F)+COUNTIF(F$2:F1744,F1744)-1</f>
        <v>#VALUE!</v>
      </c>
      <c r="F1744" s="5" t="str">
        <f t="shared" si="28"/>
        <v/>
      </c>
      <c r="G1744" s="5" t="str">
        <f>IF(B1744="","",股指期货基差分析!$N$11)</f>
        <v/>
      </c>
      <c r="H1744" s="5" t="str">
        <f>IF(B1744="","",股指期货基差分析!$L$11)</f>
        <v/>
      </c>
      <c r="I1744" s="9" t="str">
        <f>IF(B1744="","",股指期货基差分析!$D$11)</f>
        <v/>
      </c>
      <c r="L1744" s="43"/>
    </row>
    <row r="1745" spans="2:12" ht="15" customHeight="1" x14ac:dyDescent="0.2">
      <c r="B1745" s="8"/>
      <c r="C1745" s="6" t="str">
        <f>IF(B1745="","",[1]!s_dq_close(股指期货基差分析!$E$5,$B1745))</f>
        <v/>
      </c>
      <c r="D1745" s="6" t="str">
        <f>IF(B1745="","",[1]!s_dq_close(股指期货基差分析!$E$6,$B1745))</f>
        <v/>
      </c>
      <c r="E1745" s="6" t="e">
        <f ca="1">RANK(F1745,F:F)+COUNTIF(F$2:F1745,F1745)-1</f>
        <v>#VALUE!</v>
      </c>
      <c r="F1745" s="6" t="str">
        <f t="shared" si="28"/>
        <v/>
      </c>
      <c r="G1745" s="6" t="str">
        <f>IF(B1745="","",股指期货基差分析!$N$11)</f>
        <v/>
      </c>
      <c r="H1745" s="6" t="str">
        <f>IF(B1745="","",股指期货基差分析!$L$11)</f>
        <v/>
      </c>
      <c r="I1745" s="10" t="str">
        <f>IF(B1745="","",股指期货基差分析!$D$11)</f>
        <v/>
      </c>
      <c r="L1745" s="43"/>
    </row>
    <row r="1746" spans="2:12" ht="15" customHeight="1" x14ac:dyDescent="0.2">
      <c r="B1746" s="7"/>
      <c r="C1746" s="5" t="str">
        <f>IF(B1746="","",[1]!s_dq_close(股指期货基差分析!$E$5,$B1746))</f>
        <v/>
      </c>
      <c r="D1746" s="5" t="str">
        <f>IF(B1746="","",[1]!s_dq_close(股指期货基差分析!$E$6,$B1746))</f>
        <v/>
      </c>
      <c r="E1746" s="5" t="e">
        <f ca="1">RANK(F1746,F:F)+COUNTIF(F$2:F1746,F1746)-1</f>
        <v>#VALUE!</v>
      </c>
      <c r="F1746" s="5" t="str">
        <f t="shared" si="28"/>
        <v/>
      </c>
      <c r="G1746" s="5" t="str">
        <f>IF(B1746="","",股指期货基差分析!$N$11)</f>
        <v/>
      </c>
      <c r="H1746" s="5" t="str">
        <f>IF(B1746="","",股指期货基差分析!$L$11)</f>
        <v/>
      </c>
      <c r="I1746" s="9" t="str">
        <f>IF(B1746="","",股指期货基差分析!$D$11)</f>
        <v/>
      </c>
      <c r="L1746" s="43"/>
    </row>
    <row r="1747" spans="2:12" ht="15" customHeight="1" x14ac:dyDescent="0.2">
      <c r="B1747" s="8"/>
      <c r="C1747" s="6" t="str">
        <f>IF(B1747="","",[1]!s_dq_close(股指期货基差分析!$E$5,$B1747))</f>
        <v/>
      </c>
      <c r="D1747" s="6" t="str">
        <f>IF(B1747="","",[1]!s_dq_close(股指期货基差分析!$E$6,$B1747))</f>
        <v/>
      </c>
      <c r="E1747" s="6" t="e">
        <f ca="1">RANK(F1747,F:F)+COUNTIF(F$2:F1747,F1747)-1</f>
        <v>#VALUE!</v>
      </c>
      <c r="F1747" s="6" t="str">
        <f t="shared" si="28"/>
        <v/>
      </c>
      <c r="G1747" s="6" t="str">
        <f>IF(B1747="","",股指期货基差分析!$N$11)</f>
        <v/>
      </c>
      <c r="H1747" s="6" t="str">
        <f>IF(B1747="","",股指期货基差分析!$L$11)</f>
        <v/>
      </c>
      <c r="I1747" s="10" t="str">
        <f>IF(B1747="","",股指期货基差分析!$D$11)</f>
        <v/>
      </c>
      <c r="L1747" s="43"/>
    </row>
    <row r="1748" spans="2:12" ht="15" customHeight="1" x14ac:dyDescent="0.2">
      <c r="B1748" s="7"/>
      <c r="C1748" s="5" t="str">
        <f>IF(B1748="","",[1]!s_dq_close(股指期货基差分析!$E$5,$B1748))</f>
        <v/>
      </c>
      <c r="D1748" s="5" t="str">
        <f>IF(B1748="","",[1]!s_dq_close(股指期货基差分析!$E$6,$B1748))</f>
        <v/>
      </c>
      <c r="E1748" s="5" t="e">
        <f ca="1">RANK(F1748,F:F)+COUNTIF(F$2:F1748,F1748)-1</f>
        <v>#VALUE!</v>
      </c>
      <c r="F1748" s="5" t="str">
        <f t="shared" si="28"/>
        <v/>
      </c>
      <c r="G1748" s="5" t="str">
        <f>IF(B1748="","",股指期货基差分析!$N$11)</f>
        <v/>
      </c>
      <c r="H1748" s="5" t="str">
        <f>IF(B1748="","",股指期货基差分析!$L$11)</f>
        <v/>
      </c>
      <c r="I1748" s="9" t="str">
        <f>IF(B1748="","",股指期货基差分析!$D$11)</f>
        <v/>
      </c>
      <c r="L1748" s="43"/>
    </row>
    <row r="1749" spans="2:12" ht="15" customHeight="1" x14ac:dyDescent="0.2">
      <c r="B1749" s="8"/>
      <c r="C1749" s="6" t="str">
        <f>IF(B1749="","",[1]!s_dq_close(股指期货基差分析!$E$5,$B1749))</f>
        <v/>
      </c>
      <c r="D1749" s="6" t="str">
        <f>IF(B1749="","",[1]!s_dq_close(股指期货基差分析!$E$6,$B1749))</f>
        <v/>
      </c>
      <c r="E1749" s="6" t="e">
        <f ca="1">RANK(F1749,F:F)+COUNTIF(F$2:F1749,F1749)-1</f>
        <v>#VALUE!</v>
      </c>
      <c r="F1749" s="6" t="str">
        <f t="shared" si="28"/>
        <v/>
      </c>
      <c r="G1749" s="6" t="str">
        <f>IF(B1749="","",股指期货基差分析!$N$11)</f>
        <v/>
      </c>
      <c r="H1749" s="6" t="str">
        <f>IF(B1749="","",股指期货基差分析!$L$11)</f>
        <v/>
      </c>
      <c r="I1749" s="10" t="str">
        <f>IF(B1749="","",股指期货基差分析!$D$11)</f>
        <v/>
      </c>
      <c r="L1749" s="43"/>
    </row>
    <row r="1750" spans="2:12" ht="15" customHeight="1" x14ac:dyDescent="0.2">
      <c r="B1750" s="7"/>
      <c r="C1750" s="5" t="str">
        <f>IF(B1750="","",[1]!s_dq_close(股指期货基差分析!$E$5,$B1750))</f>
        <v/>
      </c>
      <c r="D1750" s="5" t="str">
        <f>IF(B1750="","",[1]!s_dq_close(股指期货基差分析!$E$6,$B1750))</f>
        <v/>
      </c>
      <c r="E1750" s="5" t="e">
        <f ca="1">RANK(F1750,F:F)+COUNTIF(F$2:F1750,F1750)-1</f>
        <v>#VALUE!</v>
      </c>
      <c r="F1750" s="5" t="str">
        <f t="shared" si="28"/>
        <v/>
      </c>
      <c r="G1750" s="5" t="str">
        <f>IF(B1750="","",股指期货基差分析!$N$11)</f>
        <v/>
      </c>
      <c r="H1750" s="5" t="str">
        <f>IF(B1750="","",股指期货基差分析!$L$11)</f>
        <v/>
      </c>
      <c r="I1750" s="9" t="str">
        <f>IF(B1750="","",股指期货基差分析!$D$11)</f>
        <v/>
      </c>
      <c r="L1750" s="43"/>
    </row>
    <row r="1751" spans="2:12" ht="15" customHeight="1" x14ac:dyDescent="0.2">
      <c r="B1751" s="8"/>
      <c r="C1751" s="6" t="str">
        <f>IF(B1751="","",[1]!s_dq_close(股指期货基差分析!$E$5,$B1751))</f>
        <v/>
      </c>
      <c r="D1751" s="6" t="str">
        <f>IF(B1751="","",[1]!s_dq_close(股指期货基差分析!$E$6,$B1751))</f>
        <v/>
      </c>
      <c r="E1751" s="6" t="e">
        <f ca="1">RANK(F1751,F:F)+COUNTIF(F$2:F1751,F1751)-1</f>
        <v>#VALUE!</v>
      </c>
      <c r="F1751" s="6" t="str">
        <f t="shared" si="28"/>
        <v/>
      </c>
      <c r="G1751" s="6" t="str">
        <f>IF(B1751="","",股指期货基差分析!$N$11)</f>
        <v/>
      </c>
      <c r="H1751" s="6" t="str">
        <f>IF(B1751="","",股指期货基差分析!$L$11)</f>
        <v/>
      </c>
      <c r="I1751" s="10" t="str">
        <f>IF(B1751="","",股指期货基差分析!$D$11)</f>
        <v/>
      </c>
      <c r="L1751" s="43"/>
    </row>
    <row r="1752" spans="2:12" ht="15" customHeight="1" x14ac:dyDescent="0.2">
      <c r="B1752" s="7"/>
      <c r="C1752" s="5" t="str">
        <f>IF(B1752="","",[1]!s_dq_close(股指期货基差分析!$E$5,$B1752))</f>
        <v/>
      </c>
      <c r="D1752" s="5" t="str">
        <f>IF(B1752="","",[1]!s_dq_close(股指期货基差分析!$E$6,$B1752))</f>
        <v/>
      </c>
      <c r="E1752" s="5" t="e">
        <f ca="1">RANK(F1752,F:F)+COUNTIF(F$2:F1752,F1752)-1</f>
        <v>#VALUE!</v>
      </c>
      <c r="F1752" s="5" t="str">
        <f t="shared" si="28"/>
        <v/>
      </c>
      <c r="G1752" s="5" t="str">
        <f>IF(B1752="","",股指期货基差分析!$N$11)</f>
        <v/>
      </c>
      <c r="H1752" s="5" t="str">
        <f>IF(B1752="","",股指期货基差分析!$L$11)</f>
        <v/>
      </c>
      <c r="I1752" s="9" t="str">
        <f>IF(B1752="","",股指期货基差分析!$D$11)</f>
        <v/>
      </c>
      <c r="L1752" s="43"/>
    </row>
    <row r="1753" spans="2:12" ht="15" customHeight="1" x14ac:dyDescent="0.2">
      <c r="B1753" s="8"/>
      <c r="C1753" s="6" t="str">
        <f>IF(B1753="","",[1]!s_dq_close(股指期货基差分析!$E$5,$B1753))</f>
        <v/>
      </c>
      <c r="D1753" s="6" t="str">
        <f>IF(B1753="","",[1]!s_dq_close(股指期货基差分析!$E$6,$B1753))</f>
        <v/>
      </c>
      <c r="E1753" s="6" t="e">
        <f ca="1">RANK(F1753,F:F)+COUNTIF(F$2:F1753,F1753)-1</f>
        <v>#VALUE!</v>
      </c>
      <c r="F1753" s="6" t="str">
        <f t="shared" si="28"/>
        <v/>
      </c>
      <c r="G1753" s="6" t="str">
        <f>IF(B1753="","",股指期货基差分析!$N$11)</f>
        <v/>
      </c>
      <c r="H1753" s="6" t="str">
        <f>IF(B1753="","",股指期货基差分析!$L$11)</f>
        <v/>
      </c>
      <c r="I1753" s="10" t="str">
        <f>IF(B1753="","",股指期货基差分析!$D$11)</f>
        <v/>
      </c>
      <c r="L1753" s="43"/>
    </row>
    <row r="1754" spans="2:12" ht="15" customHeight="1" x14ac:dyDescent="0.2">
      <c r="B1754" s="7"/>
      <c r="C1754" s="5" t="str">
        <f>IF(B1754="","",[1]!s_dq_close(股指期货基差分析!$E$5,$B1754))</f>
        <v/>
      </c>
      <c r="D1754" s="5" t="str">
        <f>IF(B1754="","",[1]!s_dq_close(股指期货基差分析!$E$6,$B1754))</f>
        <v/>
      </c>
      <c r="E1754" s="5" t="e">
        <f ca="1">RANK(F1754,F:F)+COUNTIF(F$2:F1754,F1754)-1</f>
        <v>#VALUE!</v>
      </c>
      <c r="F1754" s="5" t="str">
        <f t="shared" si="28"/>
        <v/>
      </c>
      <c r="G1754" s="5" t="str">
        <f>IF(B1754="","",股指期货基差分析!$N$11)</f>
        <v/>
      </c>
      <c r="H1754" s="5" t="str">
        <f>IF(B1754="","",股指期货基差分析!$L$11)</f>
        <v/>
      </c>
      <c r="I1754" s="9" t="str">
        <f>IF(B1754="","",股指期货基差分析!$D$11)</f>
        <v/>
      </c>
      <c r="L1754" s="43"/>
    </row>
    <row r="1755" spans="2:12" ht="15" customHeight="1" x14ac:dyDescent="0.2">
      <c r="B1755" s="8"/>
      <c r="C1755" s="6" t="str">
        <f>IF(B1755="","",[1]!s_dq_close(股指期货基差分析!$E$5,$B1755))</f>
        <v/>
      </c>
      <c r="D1755" s="6" t="str">
        <f>IF(B1755="","",[1]!s_dq_close(股指期货基差分析!$E$6,$B1755))</f>
        <v/>
      </c>
      <c r="E1755" s="6" t="e">
        <f ca="1">RANK(F1755,F:F)+COUNTIF(F$2:F1755,F1755)-1</f>
        <v>#VALUE!</v>
      </c>
      <c r="F1755" s="6" t="str">
        <f t="shared" si="28"/>
        <v/>
      </c>
      <c r="G1755" s="6" t="str">
        <f>IF(B1755="","",股指期货基差分析!$N$11)</f>
        <v/>
      </c>
      <c r="H1755" s="6" t="str">
        <f>IF(B1755="","",股指期货基差分析!$L$11)</f>
        <v/>
      </c>
      <c r="I1755" s="10" t="str">
        <f>IF(B1755="","",股指期货基差分析!$D$11)</f>
        <v/>
      </c>
      <c r="L1755" s="43"/>
    </row>
    <row r="1756" spans="2:12" ht="15" customHeight="1" x14ac:dyDescent="0.2">
      <c r="B1756" s="7"/>
      <c r="C1756" s="5" t="str">
        <f>IF(B1756="","",[1]!s_dq_close(股指期货基差分析!$E$5,$B1756))</f>
        <v/>
      </c>
      <c r="D1756" s="5" t="str">
        <f>IF(B1756="","",[1]!s_dq_close(股指期货基差分析!$E$6,$B1756))</f>
        <v/>
      </c>
      <c r="E1756" s="5" t="e">
        <f ca="1">RANK(F1756,F:F)+COUNTIF(F$2:F1756,F1756)-1</f>
        <v>#VALUE!</v>
      </c>
      <c r="F1756" s="5" t="str">
        <f t="shared" si="28"/>
        <v/>
      </c>
      <c r="G1756" s="5" t="str">
        <f>IF(B1756="","",股指期货基差分析!$N$11)</f>
        <v/>
      </c>
      <c r="H1756" s="5" t="str">
        <f>IF(B1756="","",股指期货基差分析!$L$11)</f>
        <v/>
      </c>
      <c r="I1756" s="9" t="str">
        <f>IF(B1756="","",股指期货基差分析!$D$11)</f>
        <v/>
      </c>
      <c r="L1756" s="43"/>
    </row>
    <row r="1757" spans="2:12" ht="15" customHeight="1" x14ac:dyDescent="0.2">
      <c r="B1757" s="8"/>
      <c r="C1757" s="6" t="str">
        <f>IF(B1757="","",[1]!s_dq_close(股指期货基差分析!$E$5,$B1757))</f>
        <v/>
      </c>
      <c r="D1757" s="6" t="str">
        <f>IF(B1757="","",[1]!s_dq_close(股指期货基差分析!$E$6,$B1757))</f>
        <v/>
      </c>
      <c r="E1757" s="6" t="e">
        <f ca="1">RANK(F1757,F:F)+COUNTIF(F$2:F1757,F1757)-1</f>
        <v>#VALUE!</v>
      </c>
      <c r="F1757" s="6" t="str">
        <f t="shared" si="28"/>
        <v/>
      </c>
      <c r="G1757" s="6" t="str">
        <f>IF(B1757="","",股指期货基差分析!$N$11)</f>
        <v/>
      </c>
      <c r="H1757" s="6" t="str">
        <f>IF(B1757="","",股指期货基差分析!$L$11)</f>
        <v/>
      </c>
      <c r="I1757" s="10" t="str">
        <f>IF(B1757="","",股指期货基差分析!$D$11)</f>
        <v/>
      </c>
      <c r="L1757" s="43"/>
    </row>
    <row r="1758" spans="2:12" ht="15" customHeight="1" x14ac:dyDescent="0.2">
      <c r="B1758" s="7"/>
      <c r="C1758" s="5" t="str">
        <f>IF(B1758="","",[1]!s_dq_close(股指期货基差分析!$E$5,$B1758))</f>
        <v/>
      </c>
      <c r="D1758" s="5" t="str">
        <f>IF(B1758="","",[1]!s_dq_close(股指期货基差分析!$E$6,$B1758))</f>
        <v/>
      </c>
      <c r="E1758" s="5" t="e">
        <f ca="1">RANK(F1758,F:F)+COUNTIF(F$2:F1758,F1758)-1</f>
        <v>#VALUE!</v>
      </c>
      <c r="F1758" s="5" t="str">
        <f t="shared" si="28"/>
        <v/>
      </c>
      <c r="G1758" s="5" t="str">
        <f>IF(B1758="","",股指期货基差分析!$N$11)</f>
        <v/>
      </c>
      <c r="H1758" s="5" t="str">
        <f>IF(B1758="","",股指期货基差分析!$L$11)</f>
        <v/>
      </c>
      <c r="I1758" s="9" t="str">
        <f>IF(B1758="","",股指期货基差分析!$D$11)</f>
        <v/>
      </c>
      <c r="L1758" s="43"/>
    </row>
    <row r="1759" spans="2:12" ht="15" customHeight="1" x14ac:dyDescent="0.2">
      <c r="B1759" s="8"/>
      <c r="C1759" s="6" t="str">
        <f>IF(B1759="","",[1]!s_dq_close(股指期货基差分析!$E$5,$B1759))</f>
        <v/>
      </c>
      <c r="D1759" s="6" t="str">
        <f>IF(B1759="","",[1]!s_dq_close(股指期货基差分析!$E$6,$B1759))</f>
        <v/>
      </c>
      <c r="E1759" s="6" t="e">
        <f ca="1">RANK(F1759,F:F)+COUNTIF(F$2:F1759,F1759)-1</f>
        <v>#VALUE!</v>
      </c>
      <c r="F1759" s="6" t="str">
        <f t="shared" si="28"/>
        <v/>
      </c>
      <c r="G1759" s="6" t="str">
        <f>IF(B1759="","",股指期货基差分析!$N$11)</f>
        <v/>
      </c>
      <c r="H1759" s="6" t="str">
        <f>IF(B1759="","",股指期货基差分析!$L$11)</f>
        <v/>
      </c>
      <c r="I1759" s="10" t="str">
        <f>IF(B1759="","",股指期货基差分析!$D$11)</f>
        <v/>
      </c>
      <c r="L1759" s="43"/>
    </row>
    <row r="1760" spans="2:12" ht="15" customHeight="1" x14ac:dyDescent="0.2">
      <c r="B1760" s="7"/>
      <c r="C1760" s="5" t="str">
        <f>IF(B1760="","",[1]!s_dq_close(股指期货基差分析!$E$5,$B1760))</f>
        <v/>
      </c>
      <c r="D1760" s="5" t="str">
        <f>IF(B1760="","",[1]!s_dq_close(股指期货基差分析!$E$6,$B1760))</f>
        <v/>
      </c>
      <c r="E1760" s="5" t="e">
        <f ca="1">RANK(F1760,F:F)+COUNTIF(F$2:F1760,F1760)-1</f>
        <v>#VALUE!</v>
      </c>
      <c r="F1760" s="5" t="str">
        <f t="shared" si="28"/>
        <v/>
      </c>
      <c r="G1760" s="5" t="str">
        <f>IF(B1760="","",股指期货基差分析!$N$11)</f>
        <v/>
      </c>
      <c r="H1760" s="5" t="str">
        <f>IF(B1760="","",股指期货基差分析!$L$11)</f>
        <v/>
      </c>
      <c r="I1760" s="9" t="str">
        <f>IF(B1760="","",股指期货基差分析!$D$11)</f>
        <v/>
      </c>
      <c r="L1760" s="43"/>
    </row>
    <row r="1761" spans="2:12" ht="15" customHeight="1" x14ac:dyDescent="0.2">
      <c r="B1761" s="8"/>
      <c r="C1761" s="6" t="str">
        <f>IF(B1761="","",[1]!s_dq_close(股指期货基差分析!$E$5,$B1761))</f>
        <v/>
      </c>
      <c r="D1761" s="6" t="str">
        <f>IF(B1761="","",[1]!s_dq_close(股指期货基差分析!$E$6,$B1761))</f>
        <v/>
      </c>
      <c r="E1761" s="6" t="e">
        <f ca="1">RANK(F1761,F:F)+COUNTIF(F$2:F1761,F1761)-1</f>
        <v>#VALUE!</v>
      </c>
      <c r="F1761" s="6" t="str">
        <f t="shared" si="28"/>
        <v/>
      </c>
      <c r="G1761" s="6" t="str">
        <f>IF(B1761="","",股指期货基差分析!$N$11)</f>
        <v/>
      </c>
      <c r="H1761" s="6" t="str">
        <f>IF(B1761="","",股指期货基差分析!$L$11)</f>
        <v/>
      </c>
      <c r="I1761" s="10" t="str">
        <f>IF(B1761="","",股指期货基差分析!$D$11)</f>
        <v/>
      </c>
      <c r="L1761" s="43"/>
    </row>
    <row r="1762" spans="2:12" ht="15" customHeight="1" x14ac:dyDescent="0.2">
      <c r="B1762" s="7"/>
      <c r="C1762" s="5" t="str">
        <f>IF(B1762="","",[1]!s_dq_close(股指期货基差分析!$E$5,$B1762))</f>
        <v/>
      </c>
      <c r="D1762" s="5" t="str">
        <f>IF(B1762="","",[1]!s_dq_close(股指期货基差分析!$E$6,$B1762))</f>
        <v/>
      </c>
      <c r="E1762" s="5" t="e">
        <f ca="1">RANK(F1762,F:F)+COUNTIF(F$2:F1762,F1762)-1</f>
        <v>#VALUE!</v>
      </c>
      <c r="F1762" s="5" t="str">
        <f t="shared" si="28"/>
        <v/>
      </c>
      <c r="G1762" s="5" t="str">
        <f>IF(B1762="","",股指期货基差分析!$N$11)</f>
        <v/>
      </c>
      <c r="H1762" s="5" t="str">
        <f>IF(B1762="","",股指期货基差分析!$L$11)</f>
        <v/>
      </c>
      <c r="I1762" s="9" t="str">
        <f>IF(B1762="","",股指期货基差分析!$D$11)</f>
        <v/>
      </c>
      <c r="L1762" s="43"/>
    </row>
    <row r="1763" spans="2:12" ht="15" customHeight="1" x14ac:dyDescent="0.2">
      <c r="B1763" s="8"/>
      <c r="C1763" s="6" t="str">
        <f>IF(B1763="","",[1]!s_dq_close(股指期货基差分析!$E$5,$B1763))</f>
        <v/>
      </c>
      <c r="D1763" s="6" t="str">
        <f>IF(B1763="","",[1]!s_dq_close(股指期货基差分析!$E$6,$B1763))</f>
        <v/>
      </c>
      <c r="E1763" s="6" t="e">
        <f ca="1">RANK(F1763,F:F)+COUNTIF(F$2:F1763,F1763)-1</f>
        <v>#VALUE!</v>
      </c>
      <c r="F1763" s="6" t="str">
        <f t="shared" si="28"/>
        <v/>
      </c>
      <c r="G1763" s="6" t="str">
        <f>IF(B1763="","",股指期货基差分析!$N$11)</f>
        <v/>
      </c>
      <c r="H1763" s="6" t="str">
        <f>IF(B1763="","",股指期货基差分析!$L$11)</f>
        <v/>
      </c>
      <c r="I1763" s="10" t="str">
        <f>IF(B1763="","",股指期货基差分析!$D$11)</f>
        <v/>
      </c>
      <c r="L1763" s="43"/>
    </row>
    <row r="1764" spans="2:12" ht="15" customHeight="1" x14ac:dyDescent="0.2">
      <c r="B1764" s="7"/>
      <c r="C1764" s="5" t="str">
        <f>IF(B1764="","",[1]!s_dq_close(股指期货基差分析!$E$5,$B1764))</f>
        <v/>
      </c>
      <c r="D1764" s="5" t="str">
        <f>IF(B1764="","",[1]!s_dq_close(股指期货基差分析!$E$6,$B1764))</f>
        <v/>
      </c>
      <c r="E1764" s="5" t="e">
        <f ca="1">RANK(F1764,F:F)+COUNTIF(F$2:F1764,F1764)-1</f>
        <v>#VALUE!</v>
      </c>
      <c r="F1764" s="5" t="str">
        <f t="shared" si="28"/>
        <v/>
      </c>
      <c r="G1764" s="5" t="str">
        <f>IF(B1764="","",股指期货基差分析!$N$11)</f>
        <v/>
      </c>
      <c r="H1764" s="5" t="str">
        <f>IF(B1764="","",股指期货基差分析!$L$11)</f>
        <v/>
      </c>
      <c r="I1764" s="9" t="str">
        <f>IF(B1764="","",股指期货基差分析!$D$11)</f>
        <v/>
      </c>
      <c r="L1764" s="43"/>
    </row>
    <row r="1765" spans="2:12" ht="15" customHeight="1" x14ac:dyDescent="0.2">
      <c r="B1765" s="8"/>
      <c r="C1765" s="6" t="str">
        <f>IF(B1765="","",[1]!s_dq_close(股指期货基差分析!$E$5,$B1765))</f>
        <v/>
      </c>
      <c r="D1765" s="6" t="str">
        <f>IF(B1765="","",[1]!s_dq_close(股指期货基差分析!$E$6,$B1765))</f>
        <v/>
      </c>
      <c r="E1765" s="6" t="e">
        <f ca="1">RANK(F1765,F:F)+COUNTIF(F$2:F1765,F1765)-1</f>
        <v>#VALUE!</v>
      </c>
      <c r="F1765" s="6" t="str">
        <f t="shared" si="28"/>
        <v/>
      </c>
      <c r="G1765" s="6" t="str">
        <f>IF(B1765="","",股指期货基差分析!$N$11)</f>
        <v/>
      </c>
      <c r="H1765" s="6" t="str">
        <f>IF(B1765="","",股指期货基差分析!$L$11)</f>
        <v/>
      </c>
      <c r="I1765" s="10" t="str">
        <f>IF(B1765="","",股指期货基差分析!$D$11)</f>
        <v/>
      </c>
      <c r="L1765" s="43"/>
    </row>
    <row r="1766" spans="2:12" ht="15" customHeight="1" x14ac:dyDescent="0.2">
      <c r="B1766" s="7"/>
      <c r="C1766" s="5" t="str">
        <f>IF(B1766="","",[1]!s_dq_close(股指期货基差分析!$E$5,$B1766))</f>
        <v/>
      </c>
      <c r="D1766" s="5" t="str">
        <f>IF(B1766="","",[1]!s_dq_close(股指期货基差分析!$E$6,$B1766))</f>
        <v/>
      </c>
      <c r="E1766" s="5" t="e">
        <f ca="1">RANK(F1766,F:F)+COUNTIF(F$2:F1766,F1766)-1</f>
        <v>#VALUE!</v>
      </c>
      <c r="F1766" s="5" t="str">
        <f t="shared" si="28"/>
        <v/>
      </c>
      <c r="G1766" s="5" t="str">
        <f>IF(B1766="","",股指期货基差分析!$N$11)</f>
        <v/>
      </c>
      <c r="H1766" s="5" t="str">
        <f>IF(B1766="","",股指期货基差分析!$L$11)</f>
        <v/>
      </c>
      <c r="I1766" s="9" t="str">
        <f>IF(B1766="","",股指期货基差分析!$D$11)</f>
        <v/>
      </c>
      <c r="L1766" s="43"/>
    </row>
    <row r="1767" spans="2:12" ht="15" customHeight="1" x14ac:dyDescent="0.2">
      <c r="B1767" s="8"/>
      <c r="C1767" s="6" t="str">
        <f>IF(B1767="","",[1]!s_dq_close(股指期货基差分析!$E$5,$B1767))</f>
        <v/>
      </c>
      <c r="D1767" s="6" t="str">
        <f>IF(B1767="","",[1]!s_dq_close(股指期货基差分析!$E$6,$B1767))</f>
        <v/>
      </c>
      <c r="E1767" s="6" t="e">
        <f ca="1">RANK(F1767,F:F)+COUNTIF(F$2:F1767,F1767)-1</f>
        <v>#VALUE!</v>
      </c>
      <c r="F1767" s="6" t="str">
        <f t="shared" si="28"/>
        <v/>
      </c>
      <c r="G1767" s="6" t="str">
        <f>IF(B1767="","",股指期货基差分析!$N$11)</f>
        <v/>
      </c>
      <c r="H1767" s="6" t="str">
        <f>IF(B1767="","",股指期货基差分析!$L$11)</f>
        <v/>
      </c>
      <c r="I1767" s="10" t="str">
        <f>IF(B1767="","",股指期货基差分析!$D$11)</f>
        <v/>
      </c>
      <c r="L1767" s="43"/>
    </row>
    <row r="1768" spans="2:12" ht="15" customHeight="1" x14ac:dyDescent="0.2">
      <c r="B1768" s="7"/>
      <c r="C1768" s="5" t="str">
        <f>IF(B1768="","",[1]!s_dq_close(股指期货基差分析!$E$5,$B1768))</f>
        <v/>
      </c>
      <c r="D1768" s="5" t="str">
        <f>IF(B1768="","",[1]!s_dq_close(股指期货基差分析!$E$6,$B1768))</f>
        <v/>
      </c>
      <c r="E1768" s="5" t="e">
        <f ca="1">RANK(F1768,F:F)+COUNTIF(F$2:F1768,F1768)-1</f>
        <v>#VALUE!</v>
      </c>
      <c r="F1768" s="5" t="str">
        <f t="shared" si="28"/>
        <v/>
      </c>
      <c r="G1768" s="5" t="str">
        <f>IF(B1768="","",股指期货基差分析!$N$11)</f>
        <v/>
      </c>
      <c r="H1768" s="5" t="str">
        <f>IF(B1768="","",股指期货基差分析!$L$11)</f>
        <v/>
      </c>
      <c r="I1768" s="9" t="str">
        <f>IF(B1768="","",股指期货基差分析!$D$11)</f>
        <v/>
      </c>
      <c r="L1768" s="43"/>
    </row>
    <row r="1769" spans="2:12" ht="15" customHeight="1" x14ac:dyDescent="0.2">
      <c r="B1769" s="8"/>
      <c r="C1769" s="6" t="str">
        <f>IF(B1769="","",[1]!s_dq_close(股指期货基差分析!$E$5,$B1769))</f>
        <v/>
      </c>
      <c r="D1769" s="6" t="str">
        <f>IF(B1769="","",[1]!s_dq_close(股指期货基差分析!$E$6,$B1769))</f>
        <v/>
      </c>
      <c r="E1769" s="6" t="e">
        <f ca="1">RANK(F1769,F:F)+COUNTIF(F$2:F1769,F1769)-1</f>
        <v>#VALUE!</v>
      </c>
      <c r="F1769" s="6" t="str">
        <f t="shared" si="28"/>
        <v/>
      </c>
      <c r="G1769" s="6" t="str">
        <f>IF(B1769="","",股指期货基差分析!$N$11)</f>
        <v/>
      </c>
      <c r="H1769" s="6" t="str">
        <f>IF(B1769="","",股指期货基差分析!$L$11)</f>
        <v/>
      </c>
      <c r="I1769" s="10" t="str">
        <f>IF(B1769="","",股指期货基差分析!$D$11)</f>
        <v/>
      </c>
      <c r="L1769" s="43"/>
    </row>
    <row r="1770" spans="2:12" ht="15" customHeight="1" x14ac:dyDescent="0.2">
      <c r="B1770" s="7"/>
      <c r="C1770" s="5" t="str">
        <f>IF(B1770="","",[1]!s_dq_close(股指期货基差分析!$E$5,$B1770))</f>
        <v/>
      </c>
      <c r="D1770" s="5" t="str">
        <f>IF(B1770="","",[1]!s_dq_close(股指期货基差分析!$E$6,$B1770))</f>
        <v/>
      </c>
      <c r="E1770" s="5" t="e">
        <f ca="1">RANK(F1770,F:F)+COUNTIF(F$2:F1770,F1770)-1</f>
        <v>#VALUE!</v>
      </c>
      <c r="F1770" s="5" t="str">
        <f t="shared" si="28"/>
        <v/>
      </c>
      <c r="G1770" s="5" t="str">
        <f>IF(B1770="","",股指期货基差分析!$N$11)</f>
        <v/>
      </c>
      <c r="H1770" s="5" t="str">
        <f>IF(B1770="","",股指期货基差分析!$L$11)</f>
        <v/>
      </c>
      <c r="I1770" s="9" t="str">
        <f>IF(B1770="","",股指期货基差分析!$D$11)</f>
        <v/>
      </c>
      <c r="L1770" s="43"/>
    </row>
    <row r="1771" spans="2:12" ht="15" customHeight="1" x14ac:dyDescent="0.2">
      <c r="B1771" s="8"/>
      <c r="C1771" s="6" t="str">
        <f>IF(B1771="","",[1]!s_dq_close(股指期货基差分析!$E$5,$B1771))</f>
        <v/>
      </c>
      <c r="D1771" s="6" t="str">
        <f>IF(B1771="","",[1]!s_dq_close(股指期货基差分析!$E$6,$B1771))</f>
        <v/>
      </c>
      <c r="E1771" s="6" t="e">
        <f ca="1">RANK(F1771,F:F)+COUNTIF(F$2:F1771,F1771)-1</f>
        <v>#VALUE!</v>
      </c>
      <c r="F1771" s="6" t="str">
        <f t="shared" si="28"/>
        <v/>
      </c>
      <c r="G1771" s="6" t="str">
        <f>IF(B1771="","",股指期货基差分析!$N$11)</f>
        <v/>
      </c>
      <c r="H1771" s="6" t="str">
        <f>IF(B1771="","",股指期货基差分析!$L$11)</f>
        <v/>
      </c>
      <c r="I1771" s="10" t="str">
        <f>IF(B1771="","",股指期货基差分析!$D$11)</f>
        <v/>
      </c>
      <c r="L1771" s="43"/>
    </row>
    <row r="1772" spans="2:12" ht="15" customHeight="1" x14ac:dyDescent="0.2">
      <c r="B1772" s="7"/>
      <c r="C1772" s="5" t="str">
        <f>IF(B1772="","",[1]!s_dq_close(股指期货基差分析!$E$5,$B1772))</f>
        <v/>
      </c>
      <c r="D1772" s="5" t="str">
        <f>IF(B1772="","",[1]!s_dq_close(股指期货基差分析!$E$6,$B1772))</f>
        <v/>
      </c>
      <c r="E1772" s="5" t="e">
        <f ca="1">RANK(F1772,F:F)+COUNTIF(F$2:F1772,F1772)-1</f>
        <v>#VALUE!</v>
      </c>
      <c r="F1772" s="5" t="str">
        <f t="shared" si="28"/>
        <v/>
      </c>
      <c r="G1772" s="5" t="str">
        <f>IF(B1772="","",股指期货基差分析!$N$11)</f>
        <v/>
      </c>
      <c r="H1772" s="5" t="str">
        <f>IF(B1772="","",股指期货基差分析!$L$11)</f>
        <v/>
      </c>
      <c r="I1772" s="9" t="str">
        <f>IF(B1772="","",股指期货基差分析!$D$11)</f>
        <v/>
      </c>
      <c r="L1772" s="43"/>
    </row>
    <row r="1773" spans="2:12" ht="15" customHeight="1" x14ac:dyDescent="0.2">
      <c r="B1773" s="8"/>
      <c r="C1773" s="6" t="str">
        <f>IF(B1773="","",[1]!s_dq_close(股指期货基差分析!$E$5,$B1773))</f>
        <v/>
      </c>
      <c r="D1773" s="6" t="str">
        <f>IF(B1773="","",[1]!s_dq_close(股指期货基差分析!$E$6,$B1773))</f>
        <v/>
      </c>
      <c r="E1773" s="6" t="e">
        <f ca="1">RANK(F1773,F:F)+COUNTIF(F$2:F1773,F1773)-1</f>
        <v>#VALUE!</v>
      </c>
      <c r="F1773" s="6" t="str">
        <f t="shared" si="28"/>
        <v/>
      </c>
      <c r="G1773" s="6" t="str">
        <f>IF(B1773="","",股指期货基差分析!$N$11)</f>
        <v/>
      </c>
      <c r="H1773" s="6" t="str">
        <f>IF(B1773="","",股指期货基差分析!$L$11)</f>
        <v/>
      </c>
      <c r="I1773" s="10" t="str">
        <f>IF(B1773="","",股指期货基差分析!$D$11)</f>
        <v/>
      </c>
      <c r="L1773" s="43"/>
    </row>
    <row r="1774" spans="2:12" ht="15" customHeight="1" x14ac:dyDescent="0.2">
      <c r="B1774" s="7"/>
      <c r="C1774" s="5" t="str">
        <f>IF(B1774="","",[1]!s_dq_close(股指期货基差分析!$E$5,$B1774))</f>
        <v/>
      </c>
      <c r="D1774" s="5" t="str">
        <f>IF(B1774="","",[1]!s_dq_close(股指期货基差分析!$E$6,$B1774))</f>
        <v/>
      </c>
      <c r="E1774" s="5" t="e">
        <f ca="1">RANK(F1774,F:F)+COUNTIF(F$2:F1774,F1774)-1</f>
        <v>#VALUE!</v>
      </c>
      <c r="F1774" s="5" t="str">
        <f t="shared" si="28"/>
        <v/>
      </c>
      <c r="G1774" s="5" t="str">
        <f>IF(B1774="","",股指期货基差分析!$N$11)</f>
        <v/>
      </c>
      <c r="H1774" s="5" t="str">
        <f>IF(B1774="","",股指期货基差分析!$L$11)</f>
        <v/>
      </c>
      <c r="I1774" s="9" t="str">
        <f>IF(B1774="","",股指期货基差分析!$D$11)</f>
        <v/>
      </c>
      <c r="L1774" s="43"/>
    </row>
    <row r="1775" spans="2:12" ht="15" customHeight="1" x14ac:dyDescent="0.2">
      <c r="B1775" s="8"/>
      <c r="C1775" s="6" t="str">
        <f>IF(B1775="","",[1]!s_dq_close(股指期货基差分析!$E$5,$B1775))</f>
        <v/>
      </c>
      <c r="D1775" s="6" t="str">
        <f>IF(B1775="","",[1]!s_dq_close(股指期货基差分析!$E$6,$B1775))</f>
        <v/>
      </c>
      <c r="E1775" s="6" t="e">
        <f ca="1">RANK(F1775,F:F)+COUNTIF(F$2:F1775,F1775)-1</f>
        <v>#VALUE!</v>
      </c>
      <c r="F1775" s="6" t="str">
        <f t="shared" si="28"/>
        <v/>
      </c>
      <c r="G1775" s="6" t="str">
        <f>IF(B1775="","",股指期货基差分析!$N$11)</f>
        <v/>
      </c>
      <c r="H1775" s="6" t="str">
        <f>IF(B1775="","",股指期货基差分析!$L$11)</f>
        <v/>
      </c>
      <c r="I1775" s="10" t="str">
        <f>IF(B1775="","",股指期货基差分析!$D$11)</f>
        <v/>
      </c>
      <c r="L1775" s="43"/>
    </row>
    <row r="1776" spans="2:12" ht="15" customHeight="1" x14ac:dyDescent="0.2">
      <c r="B1776" s="7"/>
      <c r="C1776" s="5" t="str">
        <f>IF(B1776="","",[1]!s_dq_close(股指期货基差分析!$E$5,$B1776))</f>
        <v/>
      </c>
      <c r="D1776" s="5" t="str">
        <f>IF(B1776="","",[1]!s_dq_close(股指期货基差分析!$E$6,$B1776))</f>
        <v/>
      </c>
      <c r="E1776" s="5" t="e">
        <f ca="1">RANK(F1776,F:F)+COUNTIF(F$2:F1776,F1776)-1</f>
        <v>#VALUE!</v>
      </c>
      <c r="F1776" s="5" t="str">
        <f t="shared" si="28"/>
        <v/>
      </c>
      <c r="G1776" s="5" t="str">
        <f>IF(B1776="","",股指期货基差分析!$N$11)</f>
        <v/>
      </c>
      <c r="H1776" s="5" t="str">
        <f>IF(B1776="","",股指期货基差分析!$L$11)</f>
        <v/>
      </c>
      <c r="I1776" s="9" t="str">
        <f>IF(B1776="","",股指期货基差分析!$D$11)</f>
        <v/>
      </c>
      <c r="L1776" s="43"/>
    </row>
    <row r="1777" spans="2:12" ht="15" customHeight="1" x14ac:dyDescent="0.2">
      <c r="B1777" s="8"/>
      <c r="C1777" s="6" t="str">
        <f>IF(B1777="","",[1]!s_dq_close(股指期货基差分析!$E$5,$B1777))</f>
        <v/>
      </c>
      <c r="D1777" s="6" t="str">
        <f>IF(B1777="","",[1]!s_dq_close(股指期货基差分析!$E$6,$B1777))</f>
        <v/>
      </c>
      <c r="E1777" s="6" t="e">
        <f ca="1">RANK(F1777,F:F)+COUNTIF(F$2:F1777,F1777)-1</f>
        <v>#VALUE!</v>
      </c>
      <c r="F1777" s="6" t="str">
        <f t="shared" si="28"/>
        <v/>
      </c>
      <c r="G1777" s="6" t="str">
        <f>IF(B1777="","",股指期货基差分析!$N$11)</f>
        <v/>
      </c>
      <c r="H1777" s="6" t="str">
        <f>IF(B1777="","",股指期货基差分析!$L$11)</f>
        <v/>
      </c>
      <c r="I1777" s="10" t="str">
        <f>IF(B1777="","",股指期货基差分析!$D$11)</f>
        <v/>
      </c>
      <c r="L1777" s="43"/>
    </row>
    <row r="1778" spans="2:12" ht="15" customHeight="1" x14ac:dyDescent="0.2">
      <c r="B1778" s="7"/>
      <c r="C1778" s="5" t="str">
        <f>IF(B1778="","",[1]!s_dq_close(股指期货基差分析!$E$5,$B1778))</f>
        <v/>
      </c>
      <c r="D1778" s="5" t="str">
        <f>IF(B1778="","",[1]!s_dq_close(股指期货基差分析!$E$6,$B1778))</f>
        <v/>
      </c>
      <c r="E1778" s="5" t="e">
        <f ca="1">RANK(F1778,F:F)+COUNTIF(F$2:F1778,F1778)-1</f>
        <v>#VALUE!</v>
      </c>
      <c r="F1778" s="5" t="str">
        <f t="shared" si="28"/>
        <v/>
      </c>
      <c r="G1778" s="5" t="str">
        <f>IF(B1778="","",股指期货基差分析!$N$11)</f>
        <v/>
      </c>
      <c r="H1778" s="5" t="str">
        <f>IF(B1778="","",股指期货基差分析!$L$11)</f>
        <v/>
      </c>
      <c r="I1778" s="9" t="str">
        <f>IF(B1778="","",股指期货基差分析!$D$11)</f>
        <v/>
      </c>
      <c r="L1778" s="43"/>
    </row>
    <row r="1779" spans="2:12" ht="15" customHeight="1" x14ac:dyDescent="0.2">
      <c r="B1779" s="8"/>
      <c r="C1779" s="6" t="str">
        <f>IF(B1779="","",[1]!s_dq_close(股指期货基差分析!$E$5,$B1779))</f>
        <v/>
      </c>
      <c r="D1779" s="6" t="str">
        <f>IF(B1779="","",[1]!s_dq_close(股指期货基差分析!$E$6,$B1779))</f>
        <v/>
      </c>
      <c r="E1779" s="6" t="e">
        <f ca="1">RANK(F1779,F:F)+COUNTIF(F$2:F1779,F1779)-1</f>
        <v>#VALUE!</v>
      </c>
      <c r="F1779" s="6" t="str">
        <f t="shared" si="28"/>
        <v/>
      </c>
      <c r="G1779" s="6" t="str">
        <f>IF(B1779="","",股指期货基差分析!$N$11)</f>
        <v/>
      </c>
      <c r="H1779" s="6" t="str">
        <f>IF(B1779="","",股指期货基差分析!$L$11)</f>
        <v/>
      </c>
      <c r="I1779" s="10" t="str">
        <f>IF(B1779="","",股指期货基差分析!$D$11)</f>
        <v/>
      </c>
      <c r="L1779" s="43"/>
    </row>
    <row r="1780" spans="2:12" ht="15" customHeight="1" x14ac:dyDescent="0.2">
      <c r="B1780" s="7"/>
      <c r="C1780" s="5" t="str">
        <f>IF(B1780="","",[1]!s_dq_close(股指期货基差分析!$E$5,$B1780))</f>
        <v/>
      </c>
      <c r="D1780" s="5" t="str">
        <f>IF(B1780="","",[1]!s_dq_close(股指期货基差分析!$E$6,$B1780))</f>
        <v/>
      </c>
      <c r="E1780" s="5" t="e">
        <f ca="1">RANK(F1780,F:F)+COUNTIF(F$2:F1780,F1780)-1</f>
        <v>#VALUE!</v>
      </c>
      <c r="F1780" s="5" t="str">
        <f t="shared" si="28"/>
        <v/>
      </c>
      <c r="G1780" s="5" t="str">
        <f>IF(B1780="","",股指期货基差分析!$N$11)</f>
        <v/>
      </c>
      <c r="H1780" s="5" t="str">
        <f>IF(B1780="","",股指期货基差分析!$L$11)</f>
        <v/>
      </c>
      <c r="I1780" s="9" t="str">
        <f>IF(B1780="","",股指期货基差分析!$D$11)</f>
        <v/>
      </c>
      <c r="L1780" s="43"/>
    </row>
    <row r="1781" spans="2:12" ht="15" customHeight="1" x14ac:dyDescent="0.2">
      <c r="B1781" s="8"/>
      <c r="C1781" s="6" t="str">
        <f>IF(B1781="","",[1]!s_dq_close(股指期货基差分析!$E$5,$B1781))</f>
        <v/>
      </c>
      <c r="D1781" s="6" t="str">
        <f>IF(B1781="","",[1]!s_dq_close(股指期货基差分析!$E$6,$B1781))</f>
        <v/>
      </c>
      <c r="E1781" s="6" t="e">
        <f ca="1">RANK(F1781,F:F)+COUNTIF(F$2:F1781,F1781)-1</f>
        <v>#VALUE!</v>
      </c>
      <c r="F1781" s="6" t="str">
        <f t="shared" si="28"/>
        <v/>
      </c>
      <c r="G1781" s="6" t="str">
        <f>IF(B1781="","",股指期货基差分析!$N$11)</f>
        <v/>
      </c>
      <c r="H1781" s="6" t="str">
        <f>IF(B1781="","",股指期货基差分析!$L$11)</f>
        <v/>
      </c>
      <c r="I1781" s="10" t="str">
        <f>IF(B1781="","",股指期货基差分析!$D$11)</f>
        <v/>
      </c>
      <c r="L1781" s="43"/>
    </row>
    <row r="1782" spans="2:12" ht="15" customHeight="1" x14ac:dyDescent="0.2">
      <c r="B1782" s="7"/>
      <c r="C1782" s="5" t="str">
        <f>IF(B1782="","",[1]!s_dq_close(股指期货基差分析!$E$5,$B1782))</f>
        <v/>
      </c>
      <c r="D1782" s="5" t="str">
        <f>IF(B1782="","",[1]!s_dq_close(股指期货基差分析!$E$6,$B1782))</f>
        <v/>
      </c>
      <c r="E1782" s="5" t="e">
        <f ca="1">RANK(F1782,F:F)+COUNTIF(F$2:F1782,F1782)-1</f>
        <v>#VALUE!</v>
      </c>
      <c r="F1782" s="5" t="str">
        <f t="shared" si="28"/>
        <v/>
      </c>
      <c r="G1782" s="5" t="str">
        <f>IF(B1782="","",股指期货基差分析!$N$11)</f>
        <v/>
      </c>
      <c r="H1782" s="5" t="str">
        <f>IF(B1782="","",股指期货基差分析!$L$11)</f>
        <v/>
      </c>
      <c r="I1782" s="9" t="str">
        <f>IF(B1782="","",股指期货基差分析!$D$11)</f>
        <v/>
      </c>
      <c r="L1782" s="43"/>
    </row>
    <row r="1783" spans="2:12" ht="15" customHeight="1" x14ac:dyDescent="0.2">
      <c r="B1783" s="8"/>
      <c r="C1783" s="6" t="str">
        <f>IF(B1783="","",[1]!s_dq_close(股指期货基差分析!$E$5,$B1783))</f>
        <v/>
      </c>
      <c r="D1783" s="6" t="str">
        <f>IF(B1783="","",[1]!s_dq_close(股指期货基差分析!$E$6,$B1783))</f>
        <v/>
      </c>
      <c r="E1783" s="6" t="e">
        <f ca="1">RANK(F1783,F:F)+COUNTIF(F$2:F1783,F1783)-1</f>
        <v>#VALUE!</v>
      </c>
      <c r="F1783" s="6" t="str">
        <f t="shared" si="28"/>
        <v/>
      </c>
      <c r="G1783" s="6" t="str">
        <f>IF(B1783="","",股指期货基差分析!$N$11)</f>
        <v/>
      </c>
      <c r="H1783" s="6" t="str">
        <f>IF(B1783="","",股指期货基差分析!$L$11)</f>
        <v/>
      </c>
      <c r="I1783" s="10" t="str">
        <f>IF(B1783="","",股指期货基差分析!$D$11)</f>
        <v/>
      </c>
      <c r="L1783" s="43"/>
    </row>
    <row r="1784" spans="2:12" ht="15" customHeight="1" x14ac:dyDescent="0.2">
      <c r="B1784" s="7"/>
      <c r="C1784" s="5" t="str">
        <f>IF(B1784="","",[1]!s_dq_close(股指期货基差分析!$E$5,$B1784))</f>
        <v/>
      </c>
      <c r="D1784" s="5" t="str">
        <f>IF(B1784="","",[1]!s_dq_close(股指期货基差分析!$E$6,$B1784))</f>
        <v/>
      </c>
      <c r="E1784" s="5" t="e">
        <f ca="1">RANK(F1784,F:F)+COUNTIF(F$2:F1784,F1784)-1</f>
        <v>#VALUE!</v>
      </c>
      <c r="F1784" s="5" t="str">
        <f t="shared" si="28"/>
        <v/>
      </c>
      <c r="G1784" s="5" t="str">
        <f>IF(B1784="","",股指期货基差分析!$N$11)</f>
        <v/>
      </c>
      <c r="H1784" s="5" t="str">
        <f>IF(B1784="","",股指期货基差分析!$L$11)</f>
        <v/>
      </c>
      <c r="I1784" s="9" t="str">
        <f>IF(B1784="","",股指期货基差分析!$D$11)</f>
        <v/>
      </c>
      <c r="L1784" s="43"/>
    </row>
    <row r="1785" spans="2:12" ht="15" customHeight="1" x14ac:dyDescent="0.2">
      <c r="B1785" s="8"/>
      <c r="C1785" s="6" t="str">
        <f>IF(B1785="","",[1]!s_dq_close(股指期货基差分析!$E$5,$B1785))</f>
        <v/>
      </c>
      <c r="D1785" s="6" t="str">
        <f>IF(B1785="","",[1]!s_dq_close(股指期货基差分析!$E$6,$B1785))</f>
        <v/>
      </c>
      <c r="E1785" s="6" t="e">
        <f ca="1">RANK(F1785,F:F)+COUNTIF(F$2:F1785,F1785)-1</f>
        <v>#VALUE!</v>
      </c>
      <c r="F1785" s="6" t="str">
        <f t="shared" si="28"/>
        <v/>
      </c>
      <c r="G1785" s="6" t="str">
        <f>IF(B1785="","",股指期货基差分析!$N$11)</f>
        <v/>
      </c>
      <c r="H1785" s="6" t="str">
        <f>IF(B1785="","",股指期货基差分析!$L$11)</f>
        <v/>
      </c>
      <c r="I1785" s="10" t="str">
        <f>IF(B1785="","",股指期货基差分析!$D$11)</f>
        <v/>
      </c>
      <c r="L1785" s="43"/>
    </row>
    <row r="1786" spans="2:12" ht="15" customHeight="1" x14ac:dyDescent="0.2">
      <c r="B1786" s="7"/>
      <c r="C1786" s="5" t="str">
        <f>IF(B1786="","",[1]!s_dq_close(股指期货基差分析!$E$5,$B1786))</f>
        <v/>
      </c>
      <c r="D1786" s="5" t="str">
        <f>IF(B1786="","",[1]!s_dq_close(股指期货基差分析!$E$6,$B1786))</f>
        <v/>
      </c>
      <c r="E1786" s="5" t="e">
        <f ca="1">RANK(F1786,F:F)+COUNTIF(F$2:F1786,F1786)-1</f>
        <v>#VALUE!</v>
      </c>
      <c r="F1786" s="5" t="str">
        <f t="shared" si="28"/>
        <v/>
      </c>
      <c r="G1786" s="5" t="str">
        <f>IF(B1786="","",股指期货基差分析!$N$11)</f>
        <v/>
      </c>
      <c r="H1786" s="5" t="str">
        <f>IF(B1786="","",股指期货基差分析!$L$11)</f>
        <v/>
      </c>
      <c r="I1786" s="9" t="str">
        <f>IF(B1786="","",股指期货基差分析!$D$11)</f>
        <v/>
      </c>
      <c r="L1786" s="43"/>
    </row>
    <row r="1787" spans="2:12" ht="15" customHeight="1" x14ac:dyDescent="0.2">
      <c r="B1787" s="8"/>
      <c r="C1787" s="6" t="str">
        <f>IF(B1787="","",[1]!s_dq_close(股指期货基差分析!$E$5,$B1787))</f>
        <v/>
      </c>
      <c r="D1787" s="6" t="str">
        <f>IF(B1787="","",[1]!s_dq_close(股指期货基差分析!$E$6,$B1787))</f>
        <v/>
      </c>
      <c r="E1787" s="6" t="e">
        <f ca="1">RANK(F1787,F:F)+COUNTIF(F$2:F1787,F1787)-1</f>
        <v>#VALUE!</v>
      </c>
      <c r="F1787" s="6" t="str">
        <f t="shared" si="28"/>
        <v/>
      </c>
      <c r="G1787" s="6" t="str">
        <f>IF(B1787="","",股指期货基差分析!$N$11)</f>
        <v/>
      </c>
      <c r="H1787" s="6" t="str">
        <f>IF(B1787="","",股指期货基差分析!$L$11)</f>
        <v/>
      </c>
      <c r="I1787" s="10" t="str">
        <f>IF(B1787="","",股指期货基差分析!$D$11)</f>
        <v/>
      </c>
      <c r="L1787" s="43"/>
    </row>
    <row r="1788" spans="2:12" ht="15" customHeight="1" x14ac:dyDescent="0.2">
      <c r="B1788" s="7"/>
      <c r="C1788" s="5" t="str">
        <f>IF(B1788="","",[1]!s_dq_close(股指期货基差分析!$E$5,$B1788))</f>
        <v/>
      </c>
      <c r="D1788" s="5" t="str">
        <f>IF(B1788="","",[1]!s_dq_close(股指期货基差分析!$E$6,$B1788))</f>
        <v/>
      </c>
      <c r="E1788" s="5" t="e">
        <f ca="1">RANK(F1788,F:F)+COUNTIF(F$2:F1788,F1788)-1</f>
        <v>#VALUE!</v>
      </c>
      <c r="F1788" s="5" t="str">
        <f t="shared" si="28"/>
        <v/>
      </c>
      <c r="G1788" s="5" t="str">
        <f>IF(B1788="","",股指期货基差分析!$N$11)</f>
        <v/>
      </c>
      <c r="H1788" s="5" t="str">
        <f>IF(B1788="","",股指期货基差分析!$L$11)</f>
        <v/>
      </c>
      <c r="I1788" s="9" t="str">
        <f>IF(B1788="","",股指期货基差分析!$D$11)</f>
        <v/>
      </c>
      <c r="L1788" s="43"/>
    </row>
    <row r="1789" spans="2:12" ht="15" customHeight="1" x14ac:dyDescent="0.2">
      <c r="B1789" s="8"/>
      <c r="C1789" s="6" t="str">
        <f>IF(B1789="","",[1]!s_dq_close(股指期货基差分析!$E$5,$B1789))</f>
        <v/>
      </c>
      <c r="D1789" s="6" t="str">
        <f>IF(B1789="","",[1]!s_dq_close(股指期货基差分析!$E$6,$B1789))</f>
        <v/>
      </c>
      <c r="E1789" s="6" t="e">
        <f ca="1">RANK(F1789,F:F)+COUNTIF(F$2:F1789,F1789)-1</f>
        <v>#VALUE!</v>
      </c>
      <c r="F1789" s="6" t="str">
        <f t="shared" si="28"/>
        <v/>
      </c>
      <c r="G1789" s="6" t="str">
        <f>IF(B1789="","",股指期货基差分析!$N$11)</f>
        <v/>
      </c>
      <c r="H1789" s="6" t="str">
        <f>IF(B1789="","",股指期货基差分析!$L$11)</f>
        <v/>
      </c>
      <c r="I1789" s="10" t="str">
        <f>IF(B1789="","",股指期货基差分析!$D$11)</f>
        <v/>
      </c>
      <c r="L1789" s="43"/>
    </row>
    <row r="1790" spans="2:12" ht="15" customHeight="1" x14ac:dyDescent="0.2">
      <c r="B1790" s="7"/>
      <c r="C1790" s="5" t="str">
        <f>IF(B1790="","",[1]!s_dq_close(股指期货基差分析!$E$5,$B1790))</f>
        <v/>
      </c>
      <c r="D1790" s="5" t="str">
        <f>IF(B1790="","",[1]!s_dq_close(股指期货基差分析!$E$6,$B1790))</f>
        <v/>
      </c>
      <c r="E1790" s="5" t="e">
        <f ca="1">RANK(F1790,F:F)+COUNTIF(F$2:F1790,F1790)-1</f>
        <v>#VALUE!</v>
      </c>
      <c r="F1790" s="5" t="str">
        <f t="shared" si="28"/>
        <v/>
      </c>
      <c r="G1790" s="5" t="str">
        <f>IF(B1790="","",股指期货基差分析!$N$11)</f>
        <v/>
      </c>
      <c r="H1790" s="5" t="str">
        <f>IF(B1790="","",股指期货基差分析!$L$11)</f>
        <v/>
      </c>
      <c r="I1790" s="9" t="str">
        <f>IF(B1790="","",股指期货基差分析!$D$11)</f>
        <v/>
      </c>
      <c r="L1790" s="43"/>
    </row>
    <row r="1791" spans="2:12" ht="15" customHeight="1" x14ac:dyDescent="0.2">
      <c r="B1791" s="8"/>
      <c r="C1791" s="6" t="str">
        <f>IF(B1791="","",[1]!s_dq_close(股指期货基差分析!$E$5,$B1791))</f>
        <v/>
      </c>
      <c r="D1791" s="6" t="str">
        <f>IF(B1791="","",[1]!s_dq_close(股指期货基差分析!$E$6,$B1791))</f>
        <v/>
      </c>
      <c r="E1791" s="6" t="e">
        <f ca="1">RANK(F1791,F:F)+COUNTIF(F$2:F1791,F1791)-1</f>
        <v>#VALUE!</v>
      </c>
      <c r="F1791" s="6" t="str">
        <f t="shared" si="28"/>
        <v/>
      </c>
      <c r="G1791" s="6" t="str">
        <f>IF(B1791="","",股指期货基差分析!$N$11)</f>
        <v/>
      </c>
      <c r="H1791" s="6" t="str">
        <f>IF(B1791="","",股指期货基差分析!$L$11)</f>
        <v/>
      </c>
      <c r="I1791" s="10" t="str">
        <f>IF(B1791="","",股指期货基差分析!$D$11)</f>
        <v/>
      </c>
      <c r="L1791" s="43"/>
    </row>
    <row r="1792" spans="2:12" ht="15" customHeight="1" x14ac:dyDescent="0.2">
      <c r="B1792" s="7"/>
      <c r="C1792" s="5" t="str">
        <f>IF(B1792="","",[1]!s_dq_close(股指期货基差分析!$E$5,$B1792))</f>
        <v/>
      </c>
      <c r="D1792" s="5" t="str">
        <f>IF(B1792="","",[1]!s_dq_close(股指期货基差分析!$E$6,$B1792))</f>
        <v/>
      </c>
      <c r="E1792" s="5" t="e">
        <f ca="1">RANK(F1792,F:F)+COUNTIF(F$2:F1792,F1792)-1</f>
        <v>#VALUE!</v>
      </c>
      <c r="F1792" s="5" t="str">
        <f t="shared" si="28"/>
        <v/>
      </c>
      <c r="G1792" s="5" t="str">
        <f>IF(B1792="","",股指期货基差分析!$N$11)</f>
        <v/>
      </c>
      <c r="H1792" s="5" t="str">
        <f>IF(B1792="","",股指期货基差分析!$L$11)</f>
        <v/>
      </c>
      <c r="I1792" s="9" t="str">
        <f>IF(B1792="","",股指期货基差分析!$D$11)</f>
        <v/>
      </c>
      <c r="L1792" s="43"/>
    </row>
    <row r="1793" spans="2:12" ht="15" customHeight="1" x14ac:dyDescent="0.2">
      <c r="B1793" s="8"/>
      <c r="C1793" s="6" t="str">
        <f>IF(B1793="","",[1]!s_dq_close(股指期货基差分析!$E$5,$B1793))</f>
        <v/>
      </c>
      <c r="D1793" s="6" t="str">
        <f>IF(B1793="","",[1]!s_dq_close(股指期货基差分析!$E$6,$B1793))</f>
        <v/>
      </c>
      <c r="E1793" s="6" t="e">
        <f ca="1">RANK(F1793,F:F)+COUNTIF(F$2:F1793,F1793)-1</f>
        <v>#VALUE!</v>
      </c>
      <c r="F1793" s="6" t="str">
        <f t="shared" si="28"/>
        <v/>
      </c>
      <c r="G1793" s="6" t="str">
        <f>IF(B1793="","",股指期货基差分析!$N$11)</f>
        <v/>
      </c>
      <c r="H1793" s="6" t="str">
        <f>IF(B1793="","",股指期货基差分析!$L$11)</f>
        <v/>
      </c>
      <c r="I1793" s="10" t="str">
        <f>IF(B1793="","",股指期货基差分析!$D$11)</f>
        <v/>
      </c>
      <c r="L1793" s="43"/>
    </row>
    <row r="1794" spans="2:12" ht="15" customHeight="1" x14ac:dyDescent="0.2">
      <c r="B1794" s="7"/>
      <c r="C1794" s="5" t="str">
        <f>IF(B1794="","",[1]!s_dq_close(股指期货基差分析!$E$5,$B1794))</f>
        <v/>
      </c>
      <c r="D1794" s="5" t="str">
        <f>IF(B1794="","",[1]!s_dq_close(股指期货基差分析!$E$6,$B1794))</f>
        <v/>
      </c>
      <c r="E1794" s="5" t="e">
        <f ca="1">RANK(F1794,F:F)+COUNTIF(F$2:F1794,F1794)-1</f>
        <v>#VALUE!</v>
      </c>
      <c r="F1794" s="5" t="str">
        <f t="shared" ref="F1794:F1857" si="29">IF(B1794="","",D1794-C1794)</f>
        <v/>
      </c>
      <c r="G1794" s="5" t="str">
        <f>IF(B1794="","",股指期货基差分析!$N$11)</f>
        <v/>
      </c>
      <c r="H1794" s="5" t="str">
        <f>IF(B1794="","",股指期货基差分析!$L$11)</f>
        <v/>
      </c>
      <c r="I1794" s="9" t="str">
        <f>IF(B1794="","",股指期货基差分析!$D$11)</f>
        <v/>
      </c>
      <c r="L1794" s="43"/>
    </row>
    <row r="1795" spans="2:12" ht="15" customHeight="1" x14ac:dyDescent="0.2">
      <c r="B1795" s="8"/>
      <c r="C1795" s="6" t="str">
        <f>IF(B1795="","",[1]!s_dq_close(股指期货基差分析!$E$5,$B1795))</f>
        <v/>
      </c>
      <c r="D1795" s="6" t="str">
        <f>IF(B1795="","",[1]!s_dq_close(股指期货基差分析!$E$6,$B1795))</f>
        <v/>
      </c>
      <c r="E1795" s="6" t="e">
        <f ca="1">RANK(F1795,F:F)+COUNTIF(F$2:F1795,F1795)-1</f>
        <v>#VALUE!</v>
      </c>
      <c r="F1795" s="6" t="str">
        <f t="shared" si="29"/>
        <v/>
      </c>
      <c r="G1795" s="6" t="str">
        <f>IF(B1795="","",股指期货基差分析!$N$11)</f>
        <v/>
      </c>
      <c r="H1795" s="6" t="str">
        <f>IF(B1795="","",股指期货基差分析!$L$11)</f>
        <v/>
      </c>
      <c r="I1795" s="10" t="str">
        <f>IF(B1795="","",股指期货基差分析!$D$11)</f>
        <v/>
      </c>
      <c r="L1795" s="43"/>
    </row>
    <row r="1796" spans="2:12" ht="15" customHeight="1" x14ac:dyDescent="0.2">
      <c r="B1796" s="7"/>
      <c r="C1796" s="5" t="str">
        <f>IF(B1796="","",[1]!s_dq_close(股指期货基差分析!$E$5,$B1796))</f>
        <v/>
      </c>
      <c r="D1796" s="5" t="str">
        <f>IF(B1796="","",[1]!s_dq_close(股指期货基差分析!$E$6,$B1796))</f>
        <v/>
      </c>
      <c r="E1796" s="5" t="e">
        <f ca="1">RANK(F1796,F:F)+COUNTIF(F$2:F1796,F1796)-1</f>
        <v>#VALUE!</v>
      </c>
      <c r="F1796" s="5" t="str">
        <f t="shared" si="29"/>
        <v/>
      </c>
      <c r="G1796" s="5" t="str">
        <f>IF(B1796="","",股指期货基差分析!$N$11)</f>
        <v/>
      </c>
      <c r="H1796" s="5" t="str">
        <f>IF(B1796="","",股指期货基差分析!$L$11)</f>
        <v/>
      </c>
      <c r="I1796" s="9" t="str">
        <f>IF(B1796="","",股指期货基差分析!$D$11)</f>
        <v/>
      </c>
      <c r="L1796" s="43"/>
    </row>
    <row r="1797" spans="2:12" ht="15" customHeight="1" x14ac:dyDescent="0.2">
      <c r="B1797" s="8"/>
      <c r="C1797" s="6" t="str">
        <f>IF(B1797="","",[1]!s_dq_close(股指期货基差分析!$E$5,$B1797))</f>
        <v/>
      </c>
      <c r="D1797" s="6" t="str">
        <f>IF(B1797="","",[1]!s_dq_close(股指期货基差分析!$E$6,$B1797))</f>
        <v/>
      </c>
      <c r="E1797" s="6" t="e">
        <f ca="1">RANK(F1797,F:F)+COUNTIF(F$2:F1797,F1797)-1</f>
        <v>#VALUE!</v>
      </c>
      <c r="F1797" s="6" t="str">
        <f t="shared" si="29"/>
        <v/>
      </c>
      <c r="G1797" s="6" t="str">
        <f>IF(B1797="","",股指期货基差分析!$N$11)</f>
        <v/>
      </c>
      <c r="H1797" s="6" t="str">
        <f>IF(B1797="","",股指期货基差分析!$L$11)</f>
        <v/>
      </c>
      <c r="I1797" s="10" t="str">
        <f>IF(B1797="","",股指期货基差分析!$D$11)</f>
        <v/>
      </c>
      <c r="L1797" s="43"/>
    </row>
    <row r="1798" spans="2:12" ht="15" customHeight="1" x14ac:dyDescent="0.2">
      <c r="B1798" s="7"/>
      <c r="C1798" s="5" t="str">
        <f>IF(B1798="","",[1]!s_dq_close(股指期货基差分析!$E$5,$B1798))</f>
        <v/>
      </c>
      <c r="D1798" s="5" t="str">
        <f>IF(B1798="","",[1]!s_dq_close(股指期货基差分析!$E$6,$B1798))</f>
        <v/>
      </c>
      <c r="E1798" s="5" t="e">
        <f ca="1">RANK(F1798,F:F)+COUNTIF(F$2:F1798,F1798)-1</f>
        <v>#VALUE!</v>
      </c>
      <c r="F1798" s="5" t="str">
        <f t="shared" si="29"/>
        <v/>
      </c>
      <c r="G1798" s="5" t="str">
        <f>IF(B1798="","",股指期货基差分析!$N$11)</f>
        <v/>
      </c>
      <c r="H1798" s="5" t="str">
        <f>IF(B1798="","",股指期货基差分析!$L$11)</f>
        <v/>
      </c>
      <c r="I1798" s="9" t="str">
        <f>IF(B1798="","",股指期货基差分析!$D$11)</f>
        <v/>
      </c>
      <c r="L1798" s="43"/>
    </row>
    <row r="1799" spans="2:12" ht="15" customHeight="1" x14ac:dyDescent="0.2">
      <c r="B1799" s="8"/>
      <c r="C1799" s="6" t="str">
        <f>IF(B1799="","",[1]!s_dq_close(股指期货基差分析!$E$5,$B1799))</f>
        <v/>
      </c>
      <c r="D1799" s="6" t="str">
        <f>IF(B1799="","",[1]!s_dq_close(股指期货基差分析!$E$6,$B1799))</f>
        <v/>
      </c>
      <c r="E1799" s="6" t="e">
        <f ca="1">RANK(F1799,F:F)+COUNTIF(F$2:F1799,F1799)-1</f>
        <v>#VALUE!</v>
      </c>
      <c r="F1799" s="6" t="str">
        <f t="shared" si="29"/>
        <v/>
      </c>
      <c r="G1799" s="6" t="str">
        <f>IF(B1799="","",股指期货基差分析!$N$11)</f>
        <v/>
      </c>
      <c r="H1799" s="6" t="str">
        <f>IF(B1799="","",股指期货基差分析!$L$11)</f>
        <v/>
      </c>
      <c r="I1799" s="10" t="str">
        <f>IF(B1799="","",股指期货基差分析!$D$11)</f>
        <v/>
      </c>
      <c r="L1799" s="43"/>
    </row>
    <row r="1800" spans="2:12" ht="15" customHeight="1" x14ac:dyDescent="0.2">
      <c r="B1800" s="7"/>
      <c r="C1800" s="5" t="str">
        <f>IF(B1800="","",[1]!s_dq_close(股指期货基差分析!$E$5,$B1800))</f>
        <v/>
      </c>
      <c r="D1800" s="5" t="str">
        <f>IF(B1800="","",[1]!s_dq_close(股指期货基差分析!$E$6,$B1800))</f>
        <v/>
      </c>
      <c r="E1800" s="5" t="e">
        <f ca="1">RANK(F1800,F:F)+COUNTIF(F$2:F1800,F1800)-1</f>
        <v>#VALUE!</v>
      </c>
      <c r="F1800" s="5" t="str">
        <f t="shared" si="29"/>
        <v/>
      </c>
      <c r="G1800" s="5" t="str">
        <f>IF(B1800="","",股指期货基差分析!$N$11)</f>
        <v/>
      </c>
      <c r="H1800" s="5" t="str">
        <f>IF(B1800="","",股指期货基差分析!$L$11)</f>
        <v/>
      </c>
      <c r="I1800" s="9" t="str">
        <f>IF(B1800="","",股指期货基差分析!$D$11)</f>
        <v/>
      </c>
      <c r="L1800" s="43"/>
    </row>
    <row r="1801" spans="2:12" ht="15" customHeight="1" x14ac:dyDescent="0.2">
      <c r="B1801" s="8"/>
      <c r="C1801" s="6" t="str">
        <f>IF(B1801="","",[1]!s_dq_close(股指期货基差分析!$E$5,$B1801))</f>
        <v/>
      </c>
      <c r="D1801" s="6" t="str">
        <f>IF(B1801="","",[1]!s_dq_close(股指期货基差分析!$E$6,$B1801))</f>
        <v/>
      </c>
      <c r="E1801" s="6" t="e">
        <f ca="1">RANK(F1801,F:F)+COUNTIF(F$2:F1801,F1801)-1</f>
        <v>#VALUE!</v>
      </c>
      <c r="F1801" s="6" t="str">
        <f t="shared" si="29"/>
        <v/>
      </c>
      <c r="G1801" s="6" t="str">
        <f>IF(B1801="","",股指期货基差分析!$N$11)</f>
        <v/>
      </c>
      <c r="H1801" s="6" t="str">
        <f>IF(B1801="","",股指期货基差分析!$L$11)</f>
        <v/>
      </c>
      <c r="I1801" s="10" t="str">
        <f>IF(B1801="","",股指期货基差分析!$D$11)</f>
        <v/>
      </c>
      <c r="L1801" s="43"/>
    </row>
    <row r="1802" spans="2:12" ht="15" customHeight="1" x14ac:dyDescent="0.2">
      <c r="B1802" s="7"/>
      <c r="C1802" s="5" t="str">
        <f>IF(B1802="","",[1]!s_dq_close(股指期货基差分析!$E$5,$B1802))</f>
        <v/>
      </c>
      <c r="D1802" s="5" t="str">
        <f>IF(B1802="","",[1]!s_dq_close(股指期货基差分析!$E$6,$B1802))</f>
        <v/>
      </c>
      <c r="E1802" s="5" t="e">
        <f ca="1">RANK(F1802,F:F)+COUNTIF(F$2:F1802,F1802)-1</f>
        <v>#VALUE!</v>
      </c>
      <c r="F1802" s="5" t="str">
        <f t="shared" si="29"/>
        <v/>
      </c>
      <c r="G1802" s="5" t="str">
        <f>IF(B1802="","",股指期货基差分析!$N$11)</f>
        <v/>
      </c>
      <c r="H1802" s="5" t="str">
        <f>IF(B1802="","",股指期货基差分析!$L$11)</f>
        <v/>
      </c>
      <c r="I1802" s="9" t="str">
        <f>IF(B1802="","",股指期货基差分析!$D$11)</f>
        <v/>
      </c>
      <c r="L1802" s="43"/>
    </row>
    <row r="1803" spans="2:12" ht="15" customHeight="1" x14ac:dyDescent="0.2">
      <c r="B1803" s="8"/>
      <c r="C1803" s="6" t="str">
        <f>IF(B1803="","",[1]!s_dq_close(股指期货基差分析!$E$5,$B1803))</f>
        <v/>
      </c>
      <c r="D1803" s="6" t="str">
        <f>IF(B1803="","",[1]!s_dq_close(股指期货基差分析!$E$6,$B1803))</f>
        <v/>
      </c>
      <c r="E1803" s="6" t="e">
        <f ca="1">RANK(F1803,F:F)+COUNTIF(F$2:F1803,F1803)-1</f>
        <v>#VALUE!</v>
      </c>
      <c r="F1803" s="6" t="str">
        <f t="shared" si="29"/>
        <v/>
      </c>
      <c r="G1803" s="6" t="str">
        <f>IF(B1803="","",股指期货基差分析!$N$11)</f>
        <v/>
      </c>
      <c r="H1803" s="6" t="str">
        <f>IF(B1803="","",股指期货基差分析!$L$11)</f>
        <v/>
      </c>
      <c r="I1803" s="10" t="str">
        <f>IF(B1803="","",股指期货基差分析!$D$11)</f>
        <v/>
      </c>
      <c r="L1803" s="43"/>
    </row>
    <row r="1804" spans="2:12" ht="15" customHeight="1" x14ac:dyDescent="0.2">
      <c r="B1804" s="7"/>
      <c r="C1804" s="5" t="str">
        <f>IF(B1804="","",[1]!s_dq_close(股指期货基差分析!$E$5,$B1804))</f>
        <v/>
      </c>
      <c r="D1804" s="5" t="str">
        <f>IF(B1804="","",[1]!s_dq_close(股指期货基差分析!$E$6,$B1804))</f>
        <v/>
      </c>
      <c r="E1804" s="5" t="e">
        <f ca="1">RANK(F1804,F:F)+COUNTIF(F$2:F1804,F1804)-1</f>
        <v>#VALUE!</v>
      </c>
      <c r="F1804" s="5" t="str">
        <f t="shared" si="29"/>
        <v/>
      </c>
      <c r="G1804" s="5" t="str">
        <f>IF(B1804="","",股指期货基差分析!$N$11)</f>
        <v/>
      </c>
      <c r="H1804" s="5" t="str">
        <f>IF(B1804="","",股指期货基差分析!$L$11)</f>
        <v/>
      </c>
      <c r="I1804" s="9" t="str">
        <f>IF(B1804="","",股指期货基差分析!$D$11)</f>
        <v/>
      </c>
      <c r="L1804" s="43"/>
    </row>
    <row r="1805" spans="2:12" ht="15" customHeight="1" x14ac:dyDescent="0.2">
      <c r="B1805" s="8"/>
      <c r="C1805" s="6" t="str">
        <f>IF(B1805="","",[1]!s_dq_close(股指期货基差分析!$E$5,$B1805))</f>
        <v/>
      </c>
      <c r="D1805" s="6" t="str">
        <f>IF(B1805="","",[1]!s_dq_close(股指期货基差分析!$E$6,$B1805))</f>
        <v/>
      </c>
      <c r="E1805" s="6" t="e">
        <f ca="1">RANK(F1805,F:F)+COUNTIF(F$2:F1805,F1805)-1</f>
        <v>#VALUE!</v>
      </c>
      <c r="F1805" s="6" t="str">
        <f t="shared" si="29"/>
        <v/>
      </c>
      <c r="G1805" s="6" t="str">
        <f>IF(B1805="","",股指期货基差分析!$N$11)</f>
        <v/>
      </c>
      <c r="H1805" s="6" t="str">
        <f>IF(B1805="","",股指期货基差分析!$L$11)</f>
        <v/>
      </c>
      <c r="I1805" s="10" t="str">
        <f>IF(B1805="","",股指期货基差分析!$D$11)</f>
        <v/>
      </c>
      <c r="L1805" s="43"/>
    </row>
    <row r="1806" spans="2:12" ht="15" customHeight="1" x14ac:dyDescent="0.2">
      <c r="B1806" s="7"/>
      <c r="C1806" s="5" t="str">
        <f>IF(B1806="","",[1]!s_dq_close(股指期货基差分析!$E$5,$B1806))</f>
        <v/>
      </c>
      <c r="D1806" s="5" t="str">
        <f>IF(B1806="","",[1]!s_dq_close(股指期货基差分析!$E$6,$B1806))</f>
        <v/>
      </c>
      <c r="E1806" s="5" t="e">
        <f ca="1">RANK(F1806,F:F)+COUNTIF(F$2:F1806,F1806)-1</f>
        <v>#VALUE!</v>
      </c>
      <c r="F1806" s="5" t="str">
        <f t="shared" si="29"/>
        <v/>
      </c>
      <c r="G1806" s="5" t="str">
        <f>IF(B1806="","",股指期货基差分析!$N$11)</f>
        <v/>
      </c>
      <c r="H1806" s="5" t="str">
        <f>IF(B1806="","",股指期货基差分析!$L$11)</f>
        <v/>
      </c>
      <c r="I1806" s="9" t="str">
        <f>IF(B1806="","",股指期货基差分析!$D$11)</f>
        <v/>
      </c>
      <c r="L1806" s="43"/>
    </row>
    <row r="1807" spans="2:12" ht="15" customHeight="1" x14ac:dyDescent="0.2">
      <c r="B1807" s="8"/>
      <c r="C1807" s="6" t="str">
        <f>IF(B1807="","",[1]!s_dq_close(股指期货基差分析!$E$5,$B1807))</f>
        <v/>
      </c>
      <c r="D1807" s="6" t="str">
        <f>IF(B1807="","",[1]!s_dq_close(股指期货基差分析!$E$6,$B1807))</f>
        <v/>
      </c>
      <c r="E1807" s="6" t="e">
        <f ca="1">RANK(F1807,F:F)+COUNTIF(F$2:F1807,F1807)-1</f>
        <v>#VALUE!</v>
      </c>
      <c r="F1807" s="6" t="str">
        <f t="shared" si="29"/>
        <v/>
      </c>
      <c r="G1807" s="6" t="str">
        <f>IF(B1807="","",股指期货基差分析!$N$11)</f>
        <v/>
      </c>
      <c r="H1807" s="6" t="str">
        <f>IF(B1807="","",股指期货基差分析!$L$11)</f>
        <v/>
      </c>
      <c r="I1807" s="10" t="str">
        <f>IF(B1807="","",股指期货基差分析!$D$11)</f>
        <v/>
      </c>
      <c r="L1807" s="43"/>
    </row>
    <row r="1808" spans="2:12" ht="15" customHeight="1" x14ac:dyDescent="0.2">
      <c r="B1808" s="7"/>
      <c r="C1808" s="5" t="str">
        <f>IF(B1808="","",[1]!s_dq_close(股指期货基差分析!$E$5,$B1808))</f>
        <v/>
      </c>
      <c r="D1808" s="5" t="str">
        <f>IF(B1808="","",[1]!s_dq_close(股指期货基差分析!$E$6,$B1808))</f>
        <v/>
      </c>
      <c r="E1808" s="5" t="e">
        <f ca="1">RANK(F1808,F:F)+COUNTIF(F$2:F1808,F1808)-1</f>
        <v>#VALUE!</v>
      </c>
      <c r="F1808" s="5" t="str">
        <f t="shared" si="29"/>
        <v/>
      </c>
      <c r="G1808" s="5" t="str">
        <f>IF(B1808="","",股指期货基差分析!$N$11)</f>
        <v/>
      </c>
      <c r="H1808" s="5" t="str">
        <f>IF(B1808="","",股指期货基差分析!$L$11)</f>
        <v/>
      </c>
      <c r="I1808" s="9" t="str">
        <f>IF(B1808="","",股指期货基差分析!$D$11)</f>
        <v/>
      </c>
      <c r="L1808" s="43"/>
    </row>
    <row r="1809" spans="2:12" ht="15" customHeight="1" x14ac:dyDescent="0.2">
      <c r="B1809" s="8"/>
      <c r="C1809" s="6" t="str">
        <f>IF(B1809="","",[1]!s_dq_close(股指期货基差分析!$E$5,$B1809))</f>
        <v/>
      </c>
      <c r="D1809" s="6" t="str">
        <f>IF(B1809="","",[1]!s_dq_close(股指期货基差分析!$E$6,$B1809))</f>
        <v/>
      </c>
      <c r="E1809" s="6" t="e">
        <f ca="1">RANK(F1809,F:F)+COUNTIF(F$2:F1809,F1809)-1</f>
        <v>#VALUE!</v>
      </c>
      <c r="F1809" s="6" t="str">
        <f t="shared" si="29"/>
        <v/>
      </c>
      <c r="G1809" s="6" t="str">
        <f>IF(B1809="","",股指期货基差分析!$N$11)</f>
        <v/>
      </c>
      <c r="H1809" s="6" t="str">
        <f>IF(B1809="","",股指期货基差分析!$L$11)</f>
        <v/>
      </c>
      <c r="I1809" s="10" t="str">
        <f>IF(B1809="","",股指期货基差分析!$D$11)</f>
        <v/>
      </c>
      <c r="L1809" s="43"/>
    </row>
    <row r="1810" spans="2:12" ht="15" customHeight="1" x14ac:dyDescent="0.2">
      <c r="B1810" s="7"/>
      <c r="C1810" s="5" t="str">
        <f>IF(B1810="","",[1]!s_dq_close(股指期货基差分析!$E$5,$B1810))</f>
        <v/>
      </c>
      <c r="D1810" s="5" t="str">
        <f>IF(B1810="","",[1]!s_dq_close(股指期货基差分析!$E$6,$B1810))</f>
        <v/>
      </c>
      <c r="E1810" s="5" t="e">
        <f ca="1">RANK(F1810,F:F)+COUNTIF(F$2:F1810,F1810)-1</f>
        <v>#VALUE!</v>
      </c>
      <c r="F1810" s="5" t="str">
        <f t="shared" si="29"/>
        <v/>
      </c>
      <c r="G1810" s="5" t="str">
        <f>IF(B1810="","",股指期货基差分析!$N$11)</f>
        <v/>
      </c>
      <c r="H1810" s="5" t="str">
        <f>IF(B1810="","",股指期货基差分析!$L$11)</f>
        <v/>
      </c>
      <c r="I1810" s="9" t="str">
        <f>IF(B1810="","",股指期货基差分析!$D$11)</f>
        <v/>
      </c>
      <c r="L1810" s="43"/>
    </row>
    <row r="1811" spans="2:12" ht="15" customHeight="1" x14ac:dyDescent="0.2">
      <c r="B1811" s="8"/>
      <c r="C1811" s="6" t="str">
        <f>IF(B1811="","",[1]!s_dq_close(股指期货基差分析!$E$5,$B1811))</f>
        <v/>
      </c>
      <c r="D1811" s="6" t="str">
        <f>IF(B1811="","",[1]!s_dq_close(股指期货基差分析!$E$6,$B1811))</f>
        <v/>
      </c>
      <c r="E1811" s="6" t="e">
        <f ca="1">RANK(F1811,F:F)+COUNTIF(F$2:F1811,F1811)-1</f>
        <v>#VALUE!</v>
      </c>
      <c r="F1811" s="6" t="str">
        <f t="shared" si="29"/>
        <v/>
      </c>
      <c r="G1811" s="6" t="str">
        <f>IF(B1811="","",股指期货基差分析!$N$11)</f>
        <v/>
      </c>
      <c r="H1811" s="6" t="str">
        <f>IF(B1811="","",股指期货基差分析!$L$11)</f>
        <v/>
      </c>
      <c r="I1811" s="10" t="str">
        <f>IF(B1811="","",股指期货基差分析!$D$11)</f>
        <v/>
      </c>
      <c r="L1811" s="43"/>
    </row>
    <row r="1812" spans="2:12" ht="15" customHeight="1" x14ac:dyDescent="0.2">
      <c r="B1812" s="7"/>
      <c r="C1812" s="5" t="str">
        <f>IF(B1812="","",[1]!s_dq_close(股指期货基差分析!$E$5,$B1812))</f>
        <v/>
      </c>
      <c r="D1812" s="5" t="str">
        <f>IF(B1812="","",[1]!s_dq_close(股指期货基差分析!$E$6,$B1812))</f>
        <v/>
      </c>
      <c r="E1812" s="5" t="e">
        <f ca="1">RANK(F1812,F:F)+COUNTIF(F$2:F1812,F1812)-1</f>
        <v>#VALUE!</v>
      </c>
      <c r="F1812" s="5" t="str">
        <f t="shared" si="29"/>
        <v/>
      </c>
      <c r="G1812" s="5" t="str">
        <f>IF(B1812="","",股指期货基差分析!$N$11)</f>
        <v/>
      </c>
      <c r="H1812" s="5" t="str">
        <f>IF(B1812="","",股指期货基差分析!$L$11)</f>
        <v/>
      </c>
      <c r="I1812" s="9" t="str">
        <f>IF(B1812="","",股指期货基差分析!$D$11)</f>
        <v/>
      </c>
      <c r="L1812" s="43"/>
    </row>
    <row r="1813" spans="2:12" ht="15" customHeight="1" x14ac:dyDescent="0.2">
      <c r="B1813" s="8"/>
      <c r="C1813" s="6" t="str">
        <f>IF(B1813="","",[1]!s_dq_close(股指期货基差分析!$E$5,$B1813))</f>
        <v/>
      </c>
      <c r="D1813" s="6" t="str">
        <f>IF(B1813="","",[1]!s_dq_close(股指期货基差分析!$E$6,$B1813))</f>
        <v/>
      </c>
      <c r="E1813" s="6" t="e">
        <f ca="1">RANK(F1813,F:F)+COUNTIF(F$2:F1813,F1813)-1</f>
        <v>#VALUE!</v>
      </c>
      <c r="F1813" s="6" t="str">
        <f t="shared" si="29"/>
        <v/>
      </c>
      <c r="G1813" s="6" t="str">
        <f>IF(B1813="","",股指期货基差分析!$N$11)</f>
        <v/>
      </c>
      <c r="H1813" s="6" t="str">
        <f>IF(B1813="","",股指期货基差分析!$L$11)</f>
        <v/>
      </c>
      <c r="I1813" s="10" t="str">
        <f>IF(B1813="","",股指期货基差分析!$D$11)</f>
        <v/>
      </c>
      <c r="L1813" s="43"/>
    </row>
    <row r="1814" spans="2:12" ht="15" customHeight="1" x14ac:dyDescent="0.2">
      <c r="B1814" s="7"/>
      <c r="C1814" s="5" t="str">
        <f>IF(B1814="","",[1]!s_dq_close(股指期货基差分析!$E$5,$B1814))</f>
        <v/>
      </c>
      <c r="D1814" s="5" t="str">
        <f>IF(B1814="","",[1]!s_dq_close(股指期货基差分析!$E$6,$B1814))</f>
        <v/>
      </c>
      <c r="E1814" s="5" t="e">
        <f ca="1">RANK(F1814,F:F)+COUNTIF(F$2:F1814,F1814)-1</f>
        <v>#VALUE!</v>
      </c>
      <c r="F1814" s="5" t="str">
        <f t="shared" si="29"/>
        <v/>
      </c>
      <c r="G1814" s="5" t="str">
        <f>IF(B1814="","",股指期货基差分析!$N$11)</f>
        <v/>
      </c>
      <c r="H1814" s="5" t="str">
        <f>IF(B1814="","",股指期货基差分析!$L$11)</f>
        <v/>
      </c>
      <c r="I1814" s="9" t="str">
        <f>IF(B1814="","",股指期货基差分析!$D$11)</f>
        <v/>
      </c>
      <c r="L1814" s="43"/>
    </row>
    <row r="1815" spans="2:12" ht="15" customHeight="1" x14ac:dyDescent="0.2">
      <c r="B1815" s="8"/>
      <c r="C1815" s="6" t="str">
        <f>IF(B1815="","",[1]!s_dq_close(股指期货基差分析!$E$5,$B1815))</f>
        <v/>
      </c>
      <c r="D1815" s="6" t="str">
        <f>IF(B1815="","",[1]!s_dq_close(股指期货基差分析!$E$6,$B1815))</f>
        <v/>
      </c>
      <c r="E1815" s="6" t="e">
        <f ca="1">RANK(F1815,F:F)+COUNTIF(F$2:F1815,F1815)-1</f>
        <v>#VALUE!</v>
      </c>
      <c r="F1815" s="6" t="str">
        <f t="shared" si="29"/>
        <v/>
      </c>
      <c r="G1815" s="6" t="str">
        <f>IF(B1815="","",股指期货基差分析!$N$11)</f>
        <v/>
      </c>
      <c r="H1815" s="6" t="str">
        <f>IF(B1815="","",股指期货基差分析!$L$11)</f>
        <v/>
      </c>
      <c r="I1815" s="10" t="str">
        <f>IF(B1815="","",股指期货基差分析!$D$11)</f>
        <v/>
      </c>
      <c r="L1815" s="43"/>
    </row>
    <row r="1816" spans="2:12" ht="15" customHeight="1" x14ac:dyDescent="0.2">
      <c r="B1816" s="7"/>
      <c r="C1816" s="5" t="str">
        <f>IF(B1816="","",[1]!s_dq_close(股指期货基差分析!$E$5,$B1816))</f>
        <v/>
      </c>
      <c r="D1816" s="5" t="str">
        <f>IF(B1816="","",[1]!s_dq_close(股指期货基差分析!$E$6,$B1816))</f>
        <v/>
      </c>
      <c r="E1816" s="5" t="e">
        <f ca="1">RANK(F1816,F:F)+COUNTIF(F$2:F1816,F1816)-1</f>
        <v>#VALUE!</v>
      </c>
      <c r="F1816" s="5" t="str">
        <f t="shared" si="29"/>
        <v/>
      </c>
      <c r="G1816" s="5" t="str">
        <f>IF(B1816="","",股指期货基差分析!$N$11)</f>
        <v/>
      </c>
      <c r="H1816" s="5" t="str">
        <f>IF(B1816="","",股指期货基差分析!$L$11)</f>
        <v/>
      </c>
      <c r="I1816" s="9" t="str">
        <f>IF(B1816="","",股指期货基差分析!$D$11)</f>
        <v/>
      </c>
      <c r="L1816" s="43"/>
    </row>
    <row r="1817" spans="2:12" ht="15" customHeight="1" x14ac:dyDescent="0.2">
      <c r="B1817" s="8"/>
      <c r="C1817" s="6" t="str">
        <f>IF(B1817="","",[1]!s_dq_close(股指期货基差分析!$E$5,$B1817))</f>
        <v/>
      </c>
      <c r="D1817" s="6" t="str">
        <f>IF(B1817="","",[1]!s_dq_close(股指期货基差分析!$E$6,$B1817))</f>
        <v/>
      </c>
      <c r="E1817" s="6" t="e">
        <f ca="1">RANK(F1817,F:F)+COUNTIF(F$2:F1817,F1817)-1</f>
        <v>#VALUE!</v>
      </c>
      <c r="F1817" s="6" t="str">
        <f t="shared" si="29"/>
        <v/>
      </c>
      <c r="G1817" s="6" t="str">
        <f>IF(B1817="","",股指期货基差分析!$N$11)</f>
        <v/>
      </c>
      <c r="H1817" s="6" t="str">
        <f>IF(B1817="","",股指期货基差分析!$L$11)</f>
        <v/>
      </c>
      <c r="I1817" s="10" t="str">
        <f>IF(B1817="","",股指期货基差分析!$D$11)</f>
        <v/>
      </c>
      <c r="L1817" s="43"/>
    </row>
    <row r="1818" spans="2:12" ht="15" customHeight="1" x14ac:dyDescent="0.2">
      <c r="B1818" s="7"/>
      <c r="C1818" s="5" t="str">
        <f>IF(B1818="","",[1]!s_dq_close(股指期货基差分析!$E$5,$B1818))</f>
        <v/>
      </c>
      <c r="D1818" s="5" t="str">
        <f>IF(B1818="","",[1]!s_dq_close(股指期货基差分析!$E$6,$B1818))</f>
        <v/>
      </c>
      <c r="E1818" s="5" t="e">
        <f ca="1">RANK(F1818,F:F)+COUNTIF(F$2:F1818,F1818)-1</f>
        <v>#VALUE!</v>
      </c>
      <c r="F1818" s="5" t="str">
        <f t="shared" si="29"/>
        <v/>
      </c>
      <c r="G1818" s="5" t="str">
        <f>IF(B1818="","",股指期货基差分析!$N$11)</f>
        <v/>
      </c>
      <c r="H1818" s="5" t="str">
        <f>IF(B1818="","",股指期货基差分析!$L$11)</f>
        <v/>
      </c>
      <c r="I1818" s="9" t="str">
        <f>IF(B1818="","",股指期货基差分析!$D$11)</f>
        <v/>
      </c>
      <c r="L1818" s="43"/>
    </row>
    <row r="1819" spans="2:12" ht="15" customHeight="1" x14ac:dyDescent="0.2">
      <c r="B1819" s="8"/>
      <c r="C1819" s="6" t="str">
        <f>IF(B1819="","",[1]!s_dq_close(股指期货基差分析!$E$5,$B1819))</f>
        <v/>
      </c>
      <c r="D1819" s="6" t="str">
        <f>IF(B1819="","",[1]!s_dq_close(股指期货基差分析!$E$6,$B1819))</f>
        <v/>
      </c>
      <c r="E1819" s="6" t="e">
        <f ca="1">RANK(F1819,F:F)+COUNTIF(F$2:F1819,F1819)-1</f>
        <v>#VALUE!</v>
      </c>
      <c r="F1819" s="6" t="str">
        <f t="shared" si="29"/>
        <v/>
      </c>
      <c r="G1819" s="6" t="str">
        <f>IF(B1819="","",股指期货基差分析!$N$11)</f>
        <v/>
      </c>
      <c r="H1819" s="6" t="str">
        <f>IF(B1819="","",股指期货基差分析!$L$11)</f>
        <v/>
      </c>
      <c r="I1819" s="10" t="str">
        <f>IF(B1819="","",股指期货基差分析!$D$11)</f>
        <v/>
      </c>
      <c r="L1819" s="43"/>
    </row>
    <row r="1820" spans="2:12" ht="15" customHeight="1" x14ac:dyDescent="0.2">
      <c r="B1820" s="7"/>
      <c r="C1820" s="5" t="str">
        <f>IF(B1820="","",[1]!s_dq_close(股指期货基差分析!$E$5,$B1820))</f>
        <v/>
      </c>
      <c r="D1820" s="5" t="str">
        <f>IF(B1820="","",[1]!s_dq_close(股指期货基差分析!$E$6,$B1820))</f>
        <v/>
      </c>
      <c r="E1820" s="5" t="e">
        <f ca="1">RANK(F1820,F:F)+COUNTIF(F$2:F1820,F1820)-1</f>
        <v>#VALUE!</v>
      </c>
      <c r="F1820" s="5" t="str">
        <f t="shared" si="29"/>
        <v/>
      </c>
      <c r="G1820" s="5" t="str">
        <f>IF(B1820="","",股指期货基差分析!$N$11)</f>
        <v/>
      </c>
      <c r="H1820" s="5" t="str">
        <f>IF(B1820="","",股指期货基差分析!$L$11)</f>
        <v/>
      </c>
      <c r="I1820" s="9" t="str">
        <f>IF(B1820="","",股指期货基差分析!$D$11)</f>
        <v/>
      </c>
      <c r="L1820" s="43"/>
    </row>
    <row r="1821" spans="2:12" ht="15" customHeight="1" x14ac:dyDescent="0.2">
      <c r="B1821" s="8"/>
      <c r="C1821" s="6" t="str">
        <f>IF(B1821="","",[1]!s_dq_close(股指期货基差分析!$E$5,$B1821))</f>
        <v/>
      </c>
      <c r="D1821" s="6" t="str">
        <f>IF(B1821="","",[1]!s_dq_close(股指期货基差分析!$E$6,$B1821))</f>
        <v/>
      </c>
      <c r="E1821" s="6" t="e">
        <f ca="1">RANK(F1821,F:F)+COUNTIF(F$2:F1821,F1821)-1</f>
        <v>#VALUE!</v>
      </c>
      <c r="F1821" s="6" t="str">
        <f t="shared" si="29"/>
        <v/>
      </c>
      <c r="G1821" s="6" t="str">
        <f>IF(B1821="","",股指期货基差分析!$N$11)</f>
        <v/>
      </c>
      <c r="H1821" s="6" t="str">
        <f>IF(B1821="","",股指期货基差分析!$L$11)</f>
        <v/>
      </c>
      <c r="I1821" s="10" t="str">
        <f>IF(B1821="","",股指期货基差分析!$D$11)</f>
        <v/>
      </c>
      <c r="L1821" s="43"/>
    </row>
    <row r="1822" spans="2:12" ht="15" customHeight="1" x14ac:dyDescent="0.2">
      <c r="B1822" s="7"/>
      <c r="C1822" s="5" t="str">
        <f>IF(B1822="","",[1]!s_dq_close(股指期货基差分析!$E$5,$B1822))</f>
        <v/>
      </c>
      <c r="D1822" s="5" t="str">
        <f>IF(B1822="","",[1]!s_dq_close(股指期货基差分析!$E$6,$B1822))</f>
        <v/>
      </c>
      <c r="E1822" s="5" t="e">
        <f ca="1">RANK(F1822,F:F)+COUNTIF(F$2:F1822,F1822)-1</f>
        <v>#VALUE!</v>
      </c>
      <c r="F1822" s="5" t="str">
        <f t="shared" si="29"/>
        <v/>
      </c>
      <c r="G1822" s="5" t="str">
        <f>IF(B1822="","",股指期货基差分析!$N$11)</f>
        <v/>
      </c>
      <c r="H1822" s="5" t="str">
        <f>IF(B1822="","",股指期货基差分析!$L$11)</f>
        <v/>
      </c>
      <c r="I1822" s="9" t="str">
        <f>IF(B1822="","",股指期货基差分析!$D$11)</f>
        <v/>
      </c>
      <c r="L1822" s="43"/>
    </row>
    <row r="1823" spans="2:12" ht="15" customHeight="1" x14ac:dyDescent="0.2">
      <c r="B1823" s="8"/>
      <c r="C1823" s="6" t="str">
        <f>IF(B1823="","",[1]!s_dq_close(股指期货基差分析!$E$5,$B1823))</f>
        <v/>
      </c>
      <c r="D1823" s="6" t="str">
        <f>IF(B1823="","",[1]!s_dq_close(股指期货基差分析!$E$6,$B1823))</f>
        <v/>
      </c>
      <c r="E1823" s="6" t="e">
        <f ca="1">RANK(F1823,F:F)+COUNTIF(F$2:F1823,F1823)-1</f>
        <v>#VALUE!</v>
      </c>
      <c r="F1823" s="6" t="str">
        <f t="shared" si="29"/>
        <v/>
      </c>
      <c r="G1823" s="6" t="str">
        <f>IF(B1823="","",股指期货基差分析!$N$11)</f>
        <v/>
      </c>
      <c r="H1823" s="6" t="str">
        <f>IF(B1823="","",股指期货基差分析!$L$11)</f>
        <v/>
      </c>
      <c r="I1823" s="10" t="str">
        <f>IF(B1823="","",股指期货基差分析!$D$11)</f>
        <v/>
      </c>
      <c r="L1823" s="43"/>
    </row>
    <row r="1824" spans="2:12" ht="15" customHeight="1" x14ac:dyDescent="0.2">
      <c r="B1824" s="7"/>
      <c r="C1824" s="5" t="str">
        <f>IF(B1824="","",[1]!s_dq_close(股指期货基差分析!$E$5,$B1824))</f>
        <v/>
      </c>
      <c r="D1824" s="5" t="str">
        <f>IF(B1824="","",[1]!s_dq_close(股指期货基差分析!$E$6,$B1824))</f>
        <v/>
      </c>
      <c r="E1824" s="5" t="e">
        <f ca="1">RANK(F1824,F:F)+COUNTIF(F$2:F1824,F1824)-1</f>
        <v>#VALUE!</v>
      </c>
      <c r="F1824" s="5" t="str">
        <f t="shared" si="29"/>
        <v/>
      </c>
      <c r="G1824" s="5" t="str">
        <f>IF(B1824="","",股指期货基差分析!$N$11)</f>
        <v/>
      </c>
      <c r="H1824" s="5" t="str">
        <f>IF(B1824="","",股指期货基差分析!$L$11)</f>
        <v/>
      </c>
      <c r="I1824" s="9" t="str">
        <f>IF(B1824="","",股指期货基差分析!$D$11)</f>
        <v/>
      </c>
      <c r="L1824" s="43"/>
    </row>
    <row r="1825" spans="2:12" ht="15" customHeight="1" x14ac:dyDescent="0.2">
      <c r="B1825" s="8"/>
      <c r="C1825" s="6" t="str">
        <f>IF(B1825="","",[1]!s_dq_close(股指期货基差分析!$E$5,$B1825))</f>
        <v/>
      </c>
      <c r="D1825" s="6" t="str">
        <f>IF(B1825="","",[1]!s_dq_close(股指期货基差分析!$E$6,$B1825))</f>
        <v/>
      </c>
      <c r="E1825" s="6" t="e">
        <f ca="1">RANK(F1825,F:F)+COUNTIF(F$2:F1825,F1825)-1</f>
        <v>#VALUE!</v>
      </c>
      <c r="F1825" s="6" t="str">
        <f t="shared" si="29"/>
        <v/>
      </c>
      <c r="G1825" s="6" t="str">
        <f>IF(B1825="","",股指期货基差分析!$N$11)</f>
        <v/>
      </c>
      <c r="H1825" s="6" t="str">
        <f>IF(B1825="","",股指期货基差分析!$L$11)</f>
        <v/>
      </c>
      <c r="I1825" s="10" t="str">
        <f>IF(B1825="","",股指期货基差分析!$D$11)</f>
        <v/>
      </c>
      <c r="L1825" s="43"/>
    </row>
    <row r="1826" spans="2:12" ht="15" customHeight="1" x14ac:dyDescent="0.2">
      <c r="B1826" s="7"/>
      <c r="C1826" s="5" t="str">
        <f>IF(B1826="","",[1]!s_dq_close(股指期货基差分析!$E$5,$B1826))</f>
        <v/>
      </c>
      <c r="D1826" s="5" t="str">
        <f>IF(B1826="","",[1]!s_dq_close(股指期货基差分析!$E$6,$B1826))</f>
        <v/>
      </c>
      <c r="E1826" s="5" t="e">
        <f ca="1">RANK(F1826,F:F)+COUNTIF(F$2:F1826,F1826)-1</f>
        <v>#VALUE!</v>
      </c>
      <c r="F1826" s="5" t="str">
        <f t="shared" si="29"/>
        <v/>
      </c>
      <c r="G1826" s="5" t="str">
        <f>IF(B1826="","",股指期货基差分析!$N$11)</f>
        <v/>
      </c>
      <c r="H1826" s="5" t="str">
        <f>IF(B1826="","",股指期货基差分析!$L$11)</f>
        <v/>
      </c>
      <c r="I1826" s="9" t="str">
        <f>IF(B1826="","",股指期货基差分析!$D$11)</f>
        <v/>
      </c>
      <c r="L1826" s="43"/>
    </row>
    <row r="1827" spans="2:12" ht="15" customHeight="1" x14ac:dyDescent="0.2">
      <c r="B1827" s="8"/>
      <c r="C1827" s="6" t="str">
        <f>IF(B1827="","",[1]!s_dq_close(股指期货基差分析!$E$5,$B1827))</f>
        <v/>
      </c>
      <c r="D1827" s="6" t="str">
        <f>IF(B1827="","",[1]!s_dq_close(股指期货基差分析!$E$6,$B1827))</f>
        <v/>
      </c>
      <c r="E1827" s="6" t="e">
        <f ca="1">RANK(F1827,F:F)+COUNTIF(F$2:F1827,F1827)-1</f>
        <v>#VALUE!</v>
      </c>
      <c r="F1827" s="6" t="str">
        <f t="shared" si="29"/>
        <v/>
      </c>
      <c r="G1827" s="6" t="str">
        <f>IF(B1827="","",股指期货基差分析!$N$11)</f>
        <v/>
      </c>
      <c r="H1827" s="6" t="str">
        <f>IF(B1827="","",股指期货基差分析!$L$11)</f>
        <v/>
      </c>
      <c r="I1827" s="10" t="str">
        <f>IF(B1827="","",股指期货基差分析!$D$11)</f>
        <v/>
      </c>
      <c r="L1827" s="43"/>
    </row>
    <row r="1828" spans="2:12" ht="15" customHeight="1" x14ac:dyDescent="0.2">
      <c r="B1828" s="7"/>
      <c r="C1828" s="5" t="str">
        <f>IF(B1828="","",[1]!s_dq_close(股指期货基差分析!$E$5,$B1828))</f>
        <v/>
      </c>
      <c r="D1828" s="5" t="str">
        <f>IF(B1828="","",[1]!s_dq_close(股指期货基差分析!$E$6,$B1828))</f>
        <v/>
      </c>
      <c r="E1828" s="5" t="e">
        <f ca="1">RANK(F1828,F:F)+COUNTIF(F$2:F1828,F1828)-1</f>
        <v>#VALUE!</v>
      </c>
      <c r="F1828" s="5" t="str">
        <f t="shared" si="29"/>
        <v/>
      </c>
      <c r="G1828" s="5" t="str">
        <f>IF(B1828="","",股指期货基差分析!$N$11)</f>
        <v/>
      </c>
      <c r="H1828" s="5" t="str">
        <f>IF(B1828="","",股指期货基差分析!$L$11)</f>
        <v/>
      </c>
      <c r="I1828" s="9" t="str">
        <f>IF(B1828="","",股指期货基差分析!$D$11)</f>
        <v/>
      </c>
      <c r="L1828" s="43"/>
    </row>
    <row r="1829" spans="2:12" ht="15" customHeight="1" x14ac:dyDescent="0.2">
      <c r="B1829" s="8"/>
      <c r="C1829" s="6" t="str">
        <f>IF(B1829="","",[1]!s_dq_close(股指期货基差分析!$E$5,$B1829))</f>
        <v/>
      </c>
      <c r="D1829" s="6" t="str">
        <f>IF(B1829="","",[1]!s_dq_close(股指期货基差分析!$E$6,$B1829))</f>
        <v/>
      </c>
      <c r="E1829" s="6" t="e">
        <f ca="1">RANK(F1829,F:F)+COUNTIF(F$2:F1829,F1829)-1</f>
        <v>#VALUE!</v>
      </c>
      <c r="F1829" s="6" t="str">
        <f t="shared" si="29"/>
        <v/>
      </c>
      <c r="G1829" s="6" t="str">
        <f>IF(B1829="","",股指期货基差分析!$N$11)</f>
        <v/>
      </c>
      <c r="H1829" s="6" t="str">
        <f>IF(B1829="","",股指期货基差分析!$L$11)</f>
        <v/>
      </c>
      <c r="I1829" s="10" t="str">
        <f>IF(B1829="","",股指期货基差分析!$D$11)</f>
        <v/>
      </c>
      <c r="L1829" s="43"/>
    </row>
    <row r="1830" spans="2:12" ht="15" customHeight="1" x14ac:dyDescent="0.2">
      <c r="B1830" s="7"/>
      <c r="C1830" s="5" t="str">
        <f>IF(B1830="","",[1]!s_dq_close(股指期货基差分析!$E$5,$B1830))</f>
        <v/>
      </c>
      <c r="D1830" s="5" t="str">
        <f>IF(B1830="","",[1]!s_dq_close(股指期货基差分析!$E$6,$B1830))</f>
        <v/>
      </c>
      <c r="E1830" s="5" t="e">
        <f ca="1">RANK(F1830,F:F)+COUNTIF(F$2:F1830,F1830)-1</f>
        <v>#VALUE!</v>
      </c>
      <c r="F1830" s="5" t="str">
        <f t="shared" si="29"/>
        <v/>
      </c>
      <c r="G1830" s="5" t="str">
        <f>IF(B1830="","",股指期货基差分析!$N$11)</f>
        <v/>
      </c>
      <c r="H1830" s="5" t="str">
        <f>IF(B1830="","",股指期货基差分析!$L$11)</f>
        <v/>
      </c>
      <c r="I1830" s="9" t="str">
        <f>IF(B1830="","",股指期货基差分析!$D$11)</f>
        <v/>
      </c>
      <c r="L1830" s="43"/>
    </row>
    <row r="1831" spans="2:12" ht="15" customHeight="1" x14ac:dyDescent="0.2">
      <c r="B1831" s="8"/>
      <c r="C1831" s="6" t="str">
        <f>IF(B1831="","",[1]!s_dq_close(股指期货基差分析!$E$5,$B1831))</f>
        <v/>
      </c>
      <c r="D1831" s="6" t="str">
        <f>IF(B1831="","",[1]!s_dq_close(股指期货基差分析!$E$6,$B1831))</f>
        <v/>
      </c>
      <c r="E1831" s="6" t="e">
        <f ca="1">RANK(F1831,F:F)+COUNTIF(F$2:F1831,F1831)-1</f>
        <v>#VALUE!</v>
      </c>
      <c r="F1831" s="6" t="str">
        <f t="shared" si="29"/>
        <v/>
      </c>
      <c r="G1831" s="6" t="str">
        <f>IF(B1831="","",股指期货基差分析!$N$11)</f>
        <v/>
      </c>
      <c r="H1831" s="6" t="str">
        <f>IF(B1831="","",股指期货基差分析!$L$11)</f>
        <v/>
      </c>
      <c r="I1831" s="10" t="str">
        <f>IF(B1831="","",股指期货基差分析!$D$11)</f>
        <v/>
      </c>
      <c r="L1831" s="43"/>
    </row>
    <row r="1832" spans="2:12" ht="15" customHeight="1" x14ac:dyDescent="0.2">
      <c r="B1832" s="7"/>
      <c r="C1832" s="5" t="str">
        <f>IF(B1832="","",[1]!s_dq_close(股指期货基差分析!$E$5,$B1832))</f>
        <v/>
      </c>
      <c r="D1832" s="5" t="str">
        <f>IF(B1832="","",[1]!s_dq_close(股指期货基差分析!$E$6,$B1832))</f>
        <v/>
      </c>
      <c r="E1832" s="5" t="e">
        <f ca="1">RANK(F1832,F:F)+COUNTIF(F$2:F1832,F1832)-1</f>
        <v>#VALUE!</v>
      </c>
      <c r="F1832" s="5" t="str">
        <f t="shared" si="29"/>
        <v/>
      </c>
      <c r="G1832" s="5" t="str">
        <f>IF(B1832="","",股指期货基差分析!$N$11)</f>
        <v/>
      </c>
      <c r="H1832" s="5" t="str">
        <f>IF(B1832="","",股指期货基差分析!$L$11)</f>
        <v/>
      </c>
      <c r="I1832" s="9" t="str">
        <f>IF(B1832="","",股指期货基差分析!$D$11)</f>
        <v/>
      </c>
      <c r="L1832" s="43"/>
    </row>
    <row r="1833" spans="2:12" ht="15" customHeight="1" x14ac:dyDescent="0.2">
      <c r="B1833" s="8"/>
      <c r="C1833" s="6" t="str">
        <f>IF(B1833="","",[1]!s_dq_close(股指期货基差分析!$E$5,$B1833))</f>
        <v/>
      </c>
      <c r="D1833" s="6" t="str">
        <f>IF(B1833="","",[1]!s_dq_close(股指期货基差分析!$E$6,$B1833))</f>
        <v/>
      </c>
      <c r="E1833" s="6" t="e">
        <f ca="1">RANK(F1833,F:F)+COUNTIF(F$2:F1833,F1833)-1</f>
        <v>#VALUE!</v>
      </c>
      <c r="F1833" s="6" t="str">
        <f t="shared" si="29"/>
        <v/>
      </c>
      <c r="G1833" s="6" t="str">
        <f>IF(B1833="","",股指期货基差分析!$N$11)</f>
        <v/>
      </c>
      <c r="H1833" s="6" t="str">
        <f>IF(B1833="","",股指期货基差分析!$L$11)</f>
        <v/>
      </c>
      <c r="I1833" s="10" t="str">
        <f>IF(B1833="","",股指期货基差分析!$D$11)</f>
        <v/>
      </c>
      <c r="L1833" s="43"/>
    </row>
    <row r="1834" spans="2:12" ht="15" customHeight="1" x14ac:dyDescent="0.2">
      <c r="B1834" s="7"/>
      <c r="C1834" s="5" t="str">
        <f>IF(B1834="","",[1]!s_dq_close(股指期货基差分析!$E$5,$B1834))</f>
        <v/>
      </c>
      <c r="D1834" s="5" t="str">
        <f>IF(B1834="","",[1]!s_dq_close(股指期货基差分析!$E$6,$B1834))</f>
        <v/>
      </c>
      <c r="E1834" s="5" t="e">
        <f ca="1">RANK(F1834,F:F)+COUNTIF(F$2:F1834,F1834)-1</f>
        <v>#VALUE!</v>
      </c>
      <c r="F1834" s="5" t="str">
        <f t="shared" si="29"/>
        <v/>
      </c>
      <c r="G1834" s="5" t="str">
        <f>IF(B1834="","",股指期货基差分析!$N$11)</f>
        <v/>
      </c>
      <c r="H1834" s="5" t="str">
        <f>IF(B1834="","",股指期货基差分析!$L$11)</f>
        <v/>
      </c>
      <c r="I1834" s="9" t="str">
        <f>IF(B1834="","",股指期货基差分析!$D$11)</f>
        <v/>
      </c>
      <c r="L1834" s="43"/>
    </row>
    <row r="1835" spans="2:12" ht="15" customHeight="1" x14ac:dyDescent="0.2">
      <c r="B1835" s="8"/>
      <c r="C1835" s="6" t="str">
        <f>IF(B1835="","",[1]!s_dq_close(股指期货基差分析!$E$5,$B1835))</f>
        <v/>
      </c>
      <c r="D1835" s="6" t="str">
        <f>IF(B1835="","",[1]!s_dq_close(股指期货基差分析!$E$6,$B1835))</f>
        <v/>
      </c>
      <c r="E1835" s="6" t="e">
        <f ca="1">RANK(F1835,F:F)+COUNTIF(F$2:F1835,F1835)-1</f>
        <v>#VALUE!</v>
      </c>
      <c r="F1835" s="6" t="str">
        <f t="shared" si="29"/>
        <v/>
      </c>
      <c r="G1835" s="6" t="str">
        <f>IF(B1835="","",股指期货基差分析!$N$11)</f>
        <v/>
      </c>
      <c r="H1835" s="6" t="str">
        <f>IF(B1835="","",股指期货基差分析!$L$11)</f>
        <v/>
      </c>
      <c r="I1835" s="10" t="str">
        <f>IF(B1835="","",股指期货基差分析!$D$11)</f>
        <v/>
      </c>
      <c r="L1835" s="43"/>
    </row>
    <row r="1836" spans="2:12" ht="15" customHeight="1" x14ac:dyDescent="0.2">
      <c r="B1836" s="7"/>
      <c r="C1836" s="5" t="str">
        <f>IF(B1836="","",[1]!s_dq_close(股指期货基差分析!$E$5,$B1836))</f>
        <v/>
      </c>
      <c r="D1836" s="5" t="str">
        <f>IF(B1836="","",[1]!s_dq_close(股指期货基差分析!$E$6,$B1836))</f>
        <v/>
      </c>
      <c r="E1836" s="5" t="e">
        <f ca="1">RANK(F1836,F:F)+COUNTIF(F$2:F1836,F1836)-1</f>
        <v>#VALUE!</v>
      </c>
      <c r="F1836" s="5" t="str">
        <f t="shared" si="29"/>
        <v/>
      </c>
      <c r="G1836" s="5" t="str">
        <f>IF(B1836="","",股指期货基差分析!$N$11)</f>
        <v/>
      </c>
      <c r="H1836" s="5" t="str">
        <f>IF(B1836="","",股指期货基差分析!$L$11)</f>
        <v/>
      </c>
      <c r="I1836" s="9" t="str">
        <f>IF(B1836="","",股指期货基差分析!$D$11)</f>
        <v/>
      </c>
      <c r="L1836" s="43"/>
    </row>
    <row r="1837" spans="2:12" ht="15" customHeight="1" x14ac:dyDescent="0.2">
      <c r="B1837" s="8"/>
      <c r="C1837" s="6" t="str">
        <f>IF(B1837="","",[1]!s_dq_close(股指期货基差分析!$E$5,$B1837))</f>
        <v/>
      </c>
      <c r="D1837" s="6" t="str">
        <f>IF(B1837="","",[1]!s_dq_close(股指期货基差分析!$E$6,$B1837))</f>
        <v/>
      </c>
      <c r="E1837" s="6" t="e">
        <f ca="1">RANK(F1837,F:F)+COUNTIF(F$2:F1837,F1837)-1</f>
        <v>#VALUE!</v>
      </c>
      <c r="F1837" s="6" t="str">
        <f t="shared" si="29"/>
        <v/>
      </c>
      <c r="G1837" s="6" t="str">
        <f>IF(B1837="","",股指期货基差分析!$N$11)</f>
        <v/>
      </c>
      <c r="H1837" s="6" t="str">
        <f>IF(B1837="","",股指期货基差分析!$L$11)</f>
        <v/>
      </c>
      <c r="I1837" s="10" t="str">
        <f>IF(B1837="","",股指期货基差分析!$D$11)</f>
        <v/>
      </c>
      <c r="L1837" s="43"/>
    </row>
    <row r="1838" spans="2:12" ht="15" customHeight="1" x14ac:dyDescent="0.2">
      <c r="B1838" s="7"/>
      <c r="C1838" s="5" t="str">
        <f>IF(B1838="","",[1]!s_dq_close(股指期货基差分析!$E$5,$B1838))</f>
        <v/>
      </c>
      <c r="D1838" s="5" t="str">
        <f>IF(B1838="","",[1]!s_dq_close(股指期货基差分析!$E$6,$B1838))</f>
        <v/>
      </c>
      <c r="E1838" s="5" t="e">
        <f ca="1">RANK(F1838,F:F)+COUNTIF(F$2:F1838,F1838)-1</f>
        <v>#VALUE!</v>
      </c>
      <c r="F1838" s="5" t="str">
        <f t="shared" si="29"/>
        <v/>
      </c>
      <c r="G1838" s="5" t="str">
        <f>IF(B1838="","",股指期货基差分析!$N$11)</f>
        <v/>
      </c>
      <c r="H1838" s="5" t="str">
        <f>IF(B1838="","",股指期货基差分析!$L$11)</f>
        <v/>
      </c>
      <c r="I1838" s="9" t="str">
        <f>IF(B1838="","",股指期货基差分析!$D$11)</f>
        <v/>
      </c>
      <c r="L1838" s="43"/>
    </row>
    <row r="1839" spans="2:12" ht="15" customHeight="1" x14ac:dyDescent="0.2">
      <c r="B1839" s="8"/>
      <c r="C1839" s="6" t="str">
        <f>IF(B1839="","",[1]!s_dq_close(股指期货基差分析!$E$5,$B1839))</f>
        <v/>
      </c>
      <c r="D1839" s="6" t="str">
        <f>IF(B1839="","",[1]!s_dq_close(股指期货基差分析!$E$6,$B1839))</f>
        <v/>
      </c>
      <c r="E1839" s="6" t="e">
        <f ca="1">RANK(F1839,F:F)+COUNTIF(F$2:F1839,F1839)-1</f>
        <v>#VALUE!</v>
      </c>
      <c r="F1839" s="6" t="str">
        <f t="shared" si="29"/>
        <v/>
      </c>
      <c r="G1839" s="6" t="str">
        <f>IF(B1839="","",股指期货基差分析!$N$11)</f>
        <v/>
      </c>
      <c r="H1839" s="6" t="str">
        <f>IF(B1839="","",股指期货基差分析!$L$11)</f>
        <v/>
      </c>
      <c r="I1839" s="10" t="str">
        <f>IF(B1839="","",股指期货基差分析!$D$11)</f>
        <v/>
      </c>
      <c r="L1839" s="43"/>
    </row>
    <row r="1840" spans="2:12" ht="15" customHeight="1" x14ac:dyDescent="0.2">
      <c r="B1840" s="7"/>
      <c r="C1840" s="5" t="str">
        <f>IF(B1840="","",[1]!s_dq_close(股指期货基差分析!$E$5,$B1840))</f>
        <v/>
      </c>
      <c r="D1840" s="5" t="str">
        <f>IF(B1840="","",[1]!s_dq_close(股指期货基差分析!$E$6,$B1840))</f>
        <v/>
      </c>
      <c r="E1840" s="5" t="e">
        <f ca="1">RANK(F1840,F:F)+COUNTIF(F$2:F1840,F1840)-1</f>
        <v>#VALUE!</v>
      </c>
      <c r="F1840" s="5" t="str">
        <f t="shared" si="29"/>
        <v/>
      </c>
      <c r="G1840" s="5" t="str">
        <f>IF(B1840="","",股指期货基差分析!$N$11)</f>
        <v/>
      </c>
      <c r="H1840" s="5" t="str">
        <f>IF(B1840="","",股指期货基差分析!$L$11)</f>
        <v/>
      </c>
      <c r="I1840" s="9" t="str">
        <f>IF(B1840="","",股指期货基差分析!$D$11)</f>
        <v/>
      </c>
      <c r="L1840" s="43"/>
    </row>
    <row r="1841" spans="2:12" ht="15" customHeight="1" x14ac:dyDescent="0.2">
      <c r="B1841" s="8"/>
      <c r="C1841" s="6" t="str">
        <f>IF(B1841="","",[1]!s_dq_close(股指期货基差分析!$E$5,$B1841))</f>
        <v/>
      </c>
      <c r="D1841" s="6" t="str">
        <f>IF(B1841="","",[1]!s_dq_close(股指期货基差分析!$E$6,$B1841))</f>
        <v/>
      </c>
      <c r="E1841" s="6" t="e">
        <f ca="1">RANK(F1841,F:F)+COUNTIF(F$2:F1841,F1841)-1</f>
        <v>#VALUE!</v>
      </c>
      <c r="F1841" s="6" t="str">
        <f t="shared" si="29"/>
        <v/>
      </c>
      <c r="G1841" s="6" t="str">
        <f>IF(B1841="","",股指期货基差分析!$N$11)</f>
        <v/>
      </c>
      <c r="H1841" s="6" t="str">
        <f>IF(B1841="","",股指期货基差分析!$L$11)</f>
        <v/>
      </c>
      <c r="I1841" s="10" t="str">
        <f>IF(B1841="","",股指期货基差分析!$D$11)</f>
        <v/>
      </c>
      <c r="L1841" s="43"/>
    </row>
    <row r="1842" spans="2:12" ht="15" customHeight="1" x14ac:dyDescent="0.2">
      <c r="B1842" s="7"/>
      <c r="C1842" s="5" t="str">
        <f>IF(B1842="","",[1]!s_dq_close(股指期货基差分析!$E$5,$B1842))</f>
        <v/>
      </c>
      <c r="D1842" s="5" t="str">
        <f>IF(B1842="","",[1]!s_dq_close(股指期货基差分析!$E$6,$B1842))</f>
        <v/>
      </c>
      <c r="E1842" s="5" t="e">
        <f ca="1">RANK(F1842,F:F)+COUNTIF(F$2:F1842,F1842)-1</f>
        <v>#VALUE!</v>
      </c>
      <c r="F1842" s="5" t="str">
        <f t="shared" si="29"/>
        <v/>
      </c>
      <c r="G1842" s="5" t="str">
        <f>IF(B1842="","",股指期货基差分析!$N$11)</f>
        <v/>
      </c>
      <c r="H1842" s="5" t="str">
        <f>IF(B1842="","",股指期货基差分析!$L$11)</f>
        <v/>
      </c>
      <c r="I1842" s="9" t="str">
        <f>IF(B1842="","",股指期货基差分析!$D$11)</f>
        <v/>
      </c>
      <c r="L1842" s="43"/>
    </row>
    <row r="1843" spans="2:12" ht="15" customHeight="1" x14ac:dyDescent="0.2">
      <c r="B1843" s="8"/>
      <c r="C1843" s="6" t="str">
        <f>IF(B1843="","",[1]!s_dq_close(股指期货基差分析!$E$5,$B1843))</f>
        <v/>
      </c>
      <c r="D1843" s="6" t="str">
        <f>IF(B1843="","",[1]!s_dq_close(股指期货基差分析!$E$6,$B1843))</f>
        <v/>
      </c>
      <c r="E1843" s="6" t="e">
        <f ca="1">RANK(F1843,F:F)+COUNTIF(F$2:F1843,F1843)-1</f>
        <v>#VALUE!</v>
      </c>
      <c r="F1843" s="6" t="str">
        <f t="shared" si="29"/>
        <v/>
      </c>
      <c r="G1843" s="6" t="str">
        <f>IF(B1843="","",股指期货基差分析!$N$11)</f>
        <v/>
      </c>
      <c r="H1843" s="6" t="str">
        <f>IF(B1843="","",股指期货基差分析!$L$11)</f>
        <v/>
      </c>
      <c r="I1843" s="10" t="str">
        <f>IF(B1843="","",股指期货基差分析!$D$11)</f>
        <v/>
      </c>
      <c r="L1843" s="43"/>
    </row>
    <row r="1844" spans="2:12" ht="15" customHeight="1" x14ac:dyDescent="0.2">
      <c r="B1844" s="7"/>
      <c r="C1844" s="5" t="str">
        <f>IF(B1844="","",[1]!s_dq_close(股指期货基差分析!$E$5,$B1844))</f>
        <v/>
      </c>
      <c r="D1844" s="5" t="str">
        <f>IF(B1844="","",[1]!s_dq_close(股指期货基差分析!$E$6,$B1844))</f>
        <v/>
      </c>
      <c r="E1844" s="5" t="e">
        <f ca="1">RANK(F1844,F:F)+COUNTIF(F$2:F1844,F1844)-1</f>
        <v>#VALUE!</v>
      </c>
      <c r="F1844" s="5" t="str">
        <f t="shared" si="29"/>
        <v/>
      </c>
      <c r="G1844" s="5" t="str">
        <f>IF(B1844="","",股指期货基差分析!$N$11)</f>
        <v/>
      </c>
      <c r="H1844" s="5" t="str">
        <f>IF(B1844="","",股指期货基差分析!$L$11)</f>
        <v/>
      </c>
      <c r="I1844" s="9" t="str">
        <f>IF(B1844="","",股指期货基差分析!$D$11)</f>
        <v/>
      </c>
      <c r="L1844" s="43"/>
    </row>
    <row r="1845" spans="2:12" ht="15" customHeight="1" x14ac:dyDescent="0.2">
      <c r="B1845" s="8"/>
      <c r="C1845" s="6" t="str">
        <f>IF(B1845="","",[1]!s_dq_close(股指期货基差分析!$E$5,$B1845))</f>
        <v/>
      </c>
      <c r="D1845" s="6" t="str">
        <f>IF(B1845="","",[1]!s_dq_close(股指期货基差分析!$E$6,$B1845))</f>
        <v/>
      </c>
      <c r="E1845" s="6" t="e">
        <f ca="1">RANK(F1845,F:F)+COUNTIF(F$2:F1845,F1845)-1</f>
        <v>#VALUE!</v>
      </c>
      <c r="F1845" s="6" t="str">
        <f t="shared" si="29"/>
        <v/>
      </c>
      <c r="G1845" s="6" t="str">
        <f>IF(B1845="","",股指期货基差分析!$N$11)</f>
        <v/>
      </c>
      <c r="H1845" s="6" t="str">
        <f>IF(B1845="","",股指期货基差分析!$L$11)</f>
        <v/>
      </c>
      <c r="I1845" s="10" t="str">
        <f>IF(B1845="","",股指期货基差分析!$D$11)</f>
        <v/>
      </c>
      <c r="L1845" s="43"/>
    </row>
    <row r="1846" spans="2:12" ht="15" customHeight="1" x14ac:dyDescent="0.2">
      <c r="B1846" s="7"/>
      <c r="C1846" s="5" t="str">
        <f>IF(B1846="","",[1]!s_dq_close(股指期货基差分析!$E$5,$B1846))</f>
        <v/>
      </c>
      <c r="D1846" s="5" t="str">
        <f>IF(B1846="","",[1]!s_dq_close(股指期货基差分析!$E$6,$B1846))</f>
        <v/>
      </c>
      <c r="E1846" s="5" t="e">
        <f ca="1">RANK(F1846,F:F)+COUNTIF(F$2:F1846,F1846)-1</f>
        <v>#VALUE!</v>
      </c>
      <c r="F1846" s="5" t="str">
        <f t="shared" si="29"/>
        <v/>
      </c>
      <c r="G1846" s="5" t="str">
        <f>IF(B1846="","",股指期货基差分析!$N$11)</f>
        <v/>
      </c>
      <c r="H1846" s="5" t="str">
        <f>IF(B1846="","",股指期货基差分析!$L$11)</f>
        <v/>
      </c>
      <c r="I1846" s="9" t="str">
        <f>IF(B1846="","",股指期货基差分析!$D$11)</f>
        <v/>
      </c>
      <c r="L1846" s="43"/>
    </row>
    <row r="1847" spans="2:12" ht="15" customHeight="1" x14ac:dyDescent="0.2">
      <c r="B1847" s="8"/>
      <c r="C1847" s="6" t="str">
        <f>IF(B1847="","",[1]!s_dq_close(股指期货基差分析!$E$5,$B1847))</f>
        <v/>
      </c>
      <c r="D1847" s="6" t="str">
        <f>IF(B1847="","",[1]!s_dq_close(股指期货基差分析!$E$6,$B1847))</f>
        <v/>
      </c>
      <c r="E1847" s="6" t="e">
        <f ca="1">RANK(F1847,F:F)+COUNTIF(F$2:F1847,F1847)-1</f>
        <v>#VALUE!</v>
      </c>
      <c r="F1847" s="6" t="str">
        <f t="shared" si="29"/>
        <v/>
      </c>
      <c r="G1847" s="6" t="str">
        <f>IF(B1847="","",股指期货基差分析!$N$11)</f>
        <v/>
      </c>
      <c r="H1847" s="6" t="str">
        <f>IF(B1847="","",股指期货基差分析!$L$11)</f>
        <v/>
      </c>
      <c r="I1847" s="10" t="str">
        <f>IF(B1847="","",股指期货基差分析!$D$11)</f>
        <v/>
      </c>
      <c r="L1847" s="43"/>
    </row>
    <row r="1848" spans="2:12" ht="15" customHeight="1" x14ac:dyDescent="0.2">
      <c r="B1848" s="7"/>
      <c r="C1848" s="5" t="str">
        <f>IF(B1848="","",[1]!s_dq_close(股指期货基差分析!$E$5,$B1848))</f>
        <v/>
      </c>
      <c r="D1848" s="5" t="str">
        <f>IF(B1848="","",[1]!s_dq_close(股指期货基差分析!$E$6,$B1848))</f>
        <v/>
      </c>
      <c r="E1848" s="5" t="e">
        <f ca="1">RANK(F1848,F:F)+COUNTIF(F$2:F1848,F1848)-1</f>
        <v>#VALUE!</v>
      </c>
      <c r="F1848" s="5" t="str">
        <f t="shared" si="29"/>
        <v/>
      </c>
      <c r="G1848" s="5" t="str">
        <f>IF(B1848="","",股指期货基差分析!$N$11)</f>
        <v/>
      </c>
      <c r="H1848" s="5" t="str">
        <f>IF(B1848="","",股指期货基差分析!$L$11)</f>
        <v/>
      </c>
      <c r="I1848" s="9" t="str">
        <f>IF(B1848="","",股指期货基差分析!$D$11)</f>
        <v/>
      </c>
      <c r="L1848" s="43"/>
    </row>
    <row r="1849" spans="2:12" ht="15" customHeight="1" x14ac:dyDescent="0.2">
      <c r="B1849" s="8"/>
      <c r="C1849" s="6" t="str">
        <f>IF(B1849="","",[1]!s_dq_close(股指期货基差分析!$E$5,$B1849))</f>
        <v/>
      </c>
      <c r="D1849" s="6" t="str">
        <f>IF(B1849="","",[1]!s_dq_close(股指期货基差分析!$E$6,$B1849))</f>
        <v/>
      </c>
      <c r="E1849" s="6" t="e">
        <f ca="1">RANK(F1849,F:F)+COUNTIF(F$2:F1849,F1849)-1</f>
        <v>#VALUE!</v>
      </c>
      <c r="F1849" s="6" t="str">
        <f t="shared" si="29"/>
        <v/>
      </c>
      <c r="G1849" s="6" t="str">
        <f>IF(B1849="","",股指期货基差分析!$N$11)</f>
        <v/>
      </c>
      <c r="H1849" s="6" t="str">
        <f>IF(B1849="","",股指期货基差分析!$L$11)</f>
        <v/>
      </c>
      <c r="I1849" s="10" t="str">
        <f>IF(B1849="","",股指期货基差分析!$D$11)</f>
        <v/>
      </c>
      <c r="L1849" s="43"/>
    </row>
    <row r="1850" spans="2:12" ht="15" customHeight="1" x14ac:dyDescent="0.2">
      <c r="B1850" s="7"/>
      <c r="C1850" s="5" t="str">
        <f>IF(B1850="","",[1]!s_dq_close(股指期货基差分析!$E$5,$B1850))</f>
        <v/>
      </c>
      <c r="D1850" s="5" t="str">
        <f>IF(B1850="","",[1]!s_dq_close(股指期货基差分析!$E$6,$B1850))</f>
        <v/>
      </c>
      <c r="E1850" s="5" t="e">
        <f ca="1">RANK(F1850,F:F)+COUNTIF(F$2:F1850,F1850)-1</f>
        <v>#VALUE!</v>
      </c>
      <c r="F1850" s="5" t="str">
        <f t="shared" si="29"/>
        <v/>
      </c>
      <c r="G1850" s="5" t="str">
        <f>IF(B1850="","",股指期货基差分析!$N$11)</f>
        <v/>
      </c>
      <c r="H1850" s="5" t="str">
        <f>IF(B1850="","",股指期货基差分析!$L$11)</f>
        <v/>
      </c>
      <c r="I1850" s="9" t="str">
        <f>IF(B1850="","",股指期货基差分析!$D$11)</f>
        <v/>
      </c>
      <c r="L1850" s="43"/>
    </row>
    <row r="1851" spans="2:12" ht="15" customHeight="1" x14ac:dyDescent="0.2">
      <c r="B1851" s="8"/>
      <c r="C1851" s="6" t="str">
        <f>IF(B1851="","",[1]!s_dq_close(股指期货基差分析!$E$5,$B1851))</f>
        <v/>
      </c>
      <c r="D1851" s="6" t="str">
        <f>IF(B1851="","",[1]!s_dq_close(股指期货基差分析!$E$6,$B1851))</f>
        <v/>
      </c>
      <c r="E1851" s="6" t="e">
        <f ca="1">RANK(F1851,F:F)+COUNTIF(F$2:F1851,F1851)-1</f>
        <v>#VALUE!</v>
      </c>
      <c r="F1851" s="6" t="str">
        <f t="shared" si="29"/>
        <v/>
      </c>
      <c r="G1851" s="6" t="str">
        <f>IF(B1851="","",股指期货基差分析!$N$11)</f>
        <v/>
      </c>
      <c r="H1851" s="6" t="str">
        <f>IF(B1851="","",股指期货基差分析!$L$11)</f>
        <v/>
      </c>
      <c r="I1851" s="10" t="str">
        <f>IF(B1851="","",股指期货基差分析!$D$11)</f>
        <v/>
      </c>
      <c r="L1851" s="43"/>
    </row>
    <row r="1852" spans="2:12" ht="15" customHeight="1" x14ac:dyDescent="0.2">
      <c r="B1852" s="7"/>
      <c r="C1852" s="5" t="str">
        <f>IF(B1852="","",[1]!s_dq_close(股指期货基差分析!$E$5,$B1852))</f>
        <v/>
      </c>
      <c r="D1852" s="5" t="str">
        <f>IF(B1852="","",[1]!s_dq_close(股指期货基差分析!$E$6,$B1852))</f>
        <v/>
      </c>
      <c r="E1852" s="5" t="e">
        <f ca="1">RANK(F1852,F:F)+COUNTIF(F$2:F1852,F1852)-1</f>
        <v>#VALUE!</v>
      </c>
      <c r="F1852" s="5" t="str">
        <f t="shared" si="29"/>
        <v/>
      </c>
      <c r="G1852" s="5" t="str">
        <f>IF(B1852="","",股指期货基差分析!$N$11)</f>
        <v/>
      </c>
      <c r="H1852" s="5" t="str">
        <f>IF(B1852="","",股指期货基差分析!$L$11)</f>
        <v/>
      </c>
      <c r="I1852" s="9" t="str">
        <f>IF(B1852="","",股指期货基差分析!$D$11)</f>
        <v/>
      </c>
      <c r="L1852" s="43"/>
    </row>
    <row r="1853" spans="2:12" ht="15" customHeight="1" x14ac:dyDescent="0.2">
      <c r="B1853" s="8"/>
      <c r="C1853" s="6" t="str">
        <f>IF(B1853="","",[1]!s_dq_close(股指期货基差分析!$E$5,$B1853))</f>
        <v/>
      </c>
      <c r="D1853" s="6" t="str">
        <f>IF(B1853="","",[1]!s_dq_close(股指期货基差分析!$E$6,$B1853))</f>
        <v/>
      </c>
      <c r="E1853" s="6" t="e">
        <f ca="1">RANK(F1853,F:F)+COUNTIF(F$2:F1853,F1853)-1</f>
        <v>#VALUE!</v>
      </c>
      <c r="F1853" s="6" t="str">
        <f t="shared" si="29"/>
        <v/>
      </c>
      <c r="G1853" s="6" t="str">
        <f>IF(B1853="","",股指期货基差分析!$N$11)</f>
        <v/>
      </c>
      <c r="H1853" s="6" t="str">
        <f>IF(B1853="","",股指期货基差分析!$L$11)</f>
        <v/>
      </c>
      <c r="I1853" s="10" t="str">
        <f>IF(B1853="","",股指期货基差分析!$D$11)</f>
        <v/>
      </c>
      <c r="L1853" s="43"/>
    </row>
    <row r="1854" spans="2:12" ht="15" customHeight="1" x14ac:dyDescent="0.2">
      <c r="B1854" s="7"/>
      <c r="C1854" s="5" t="str">
        <f>IF(B1854="","",[1]!s_dq_close(股指期货基差分析!$E$5,$B1854))</f>
        <v/>
      </c>
      <c r="D1854" s="5" t="str">
        <f>IF(B1854="","",[1]!s_dq_close(股指期货基差分析!$E$6,$B1854))</f>
        <v/>
      </c>
      <c r="E1854" s="5" t="e">
        <f ca="1">RANK(F1854,F:F)+COUNTIF(F$2:F1854,F1854)-1</f>
        <v>#VALUE!</v>
      </c>
      <c r="F1854" s="5" t="str">
        <f t="shared" si="29"/>
        <v/>
      </c>
      <c r="G1854" s="5" t="str">
        <f>IF(B1854="","",股指期货基差分析!$N$11)</f>
        <v/>
      </c>
      <c r="H1854" s="5" t="str">
        <f>IF(B1854="","",股指期货基差分析!$L$11)</f>
        <v/>
      </c>
      <c r="I1854" s="9" t="str">
        <f>IF(B1854="","",股指期货基差分析!$D$11)</f>
        <v/>
      </c>
      <c r="L1854" s="43"/>
    </row>
    <row r="1855" spans="2:12" ht="15" customHeight="1" x14ac:dyDescent="0.2">
      <c r="B1855" s="8"/>
      <c r="C1855" s="6" t="str">
        <f>IF(B1855="","",[1]!s_dq_close(股指期货基差分析!$E$5,$B1855))</f>
        <v/>
      </c>
      <c r="D1855" s="6" t="str">
        <f>IF(B1855="","",[1]!s_dq_close(股指期货基差分析!$E$6,$B1855))</f>
        <v/>
      </c>
      <c r="E1855" s="6" t="e">
        <f ca="1">RANK(F1855,F:F)+COUNTIF(F$2:F1855,F1855)-1</f>
        <v>#VALUE!</v>
      </c>
      <c r="F1855" s="6" t="str">
        <f t="shared" si="29"/>
        <v/>
      </c>
      <c r="G1855" s="6" t="str">
        <f>IF(B1855="","",股指期货基差分析!$N$11)</f>
        <v/>
      </c>
      <c r="H1855" s="6" t="str">
        <f>IF(B1855="","",股指期货基差分析!$L$11)</f>
        <v/>
      </c>
      <c r="I1855" s="10" t="str">
        <f>IF(B1855="","",股指期货基差分析!$D$11)</f>
        <v/>
      </c>
      <c r="L1855" s="43"/>
    </row>
    <row r="1856" spans="2:12" ht="15" customHeight="1" x14ac:dyDescent="0.2">
      <c r="B1856" s="7"/>
      <c r="C1856" s="5" t="str">
        <f>IF(B1856="","",[1]!s_dq_close(股指期货基差分析!$E$5,$B1856))</f>
        <v/>
      </c>
      <c r="D1856" s="5" t="str">
        <f>IF(B1856="","",[1]!s_dq_close(股指期货基差分析!$E$6,$B1856))</f>
        <v/>
      </c>
      <c r="E1856" s="5" t="e">
        <f ca="1">RANK(F1856,F:F)+COUNTIF(F$2:F1856,F1856)-1</f>
        <v>#VALUE!</v>
      </c>
      <c r="F1856" s="5" t="str">
        <f t="shared" si="29"/>
        <v/>
      </c>
      <c r="G1856" s="5" t="str">
        <f>IF(B1856="","",股指期货基差分析!$N$11)</f>
        <v/>
      </c>
      <c r="H1856" s="5" t="str">
        <f>IF(B1856="","",股指期货基差分析!$L$11)</f>
        <v/>
      </c>
      <c r="I1856" s="9" t="str">
        <f>IF(B1856="","",股指期货基差分析!$D$11)</f>
        <v/>
      </c>
      <c r="L1856" s="43"/>
    </row>
    <row r="1857" spans="2:12" ht="15" customHeight="1" x14ac:dyDescent="0.2">
      <c r="B1857" s="8"/>
      <c r="C1857" s="6" t="str">
        <f>IF(B1857="","",[1]!s_dq_close(股指期货基差分析!$E$5,$B1857))</f>
        <v/>
      </c>
      <c r="D1857" s="6" t="str">
        <f>IF(B1857="","",[1]!s_dq_close(股指期货基差分析!$E$6,$B1857))</f>
        <v/>
      </c>
      <c r="E1857" s="6" t="e">
        <f ca="1">RANK(F1857,F:F)+COUNTIF(F$2:F1857,F1857)-1</f>
        <v>#VALUE!</v>
      </c>
      <c r="F1857" s="6" t="str">
        <f t="shared" si="29"/>
        <v/>
      </c>
      <c r="G1857" s="6" t="str">
        <f>IF(B1857="","",股指期货基差分析!$N$11)</f>
        <v/>
      </c>
      <c r="H1857" s="6" t="str">
        <f>IF(B1857="","",股指期货基差分析!$L$11)</f>
        <v/>
      </c>
      <c r="I1857" s="10" t="str">
        <f>IF(B1857="","",股指期货基差分析!$D$11)</f>
        <v/>
      </c>
      <c r="L1857" s="43"/>
    </row>
    <row r="1858" spans="2:12" ht="15" customHeight="1" x14ac:dyDescent="0.2">
      <c r="B1858" s="7"/>
      <c r="C1858" s="5" t="str">
        <f>IF(B1858="","",[1]!s_dq_close(股指期货基差分析!$E$5,$B1858))</f>
        <v/>
      </c>
      <c r="D1858" s="5" t="str">
        <f>IF(B1858="","",[1]!s_dq_close(股指期货基差分析!$E$6,$B1858))</f>
        <v/>
      </c>
      <c r="E1858" s="5" t="e">
        <f ca="1">RANK(F1858,F:F)+COUNTIF(F$2:F1858,F1858)-1</f>
        <v>#VALUE!</v>
      </c>
      <c r="F1858" s="5" t="str">
        <f t="shared" ref="F1858:F1921" si="30">IF(B1858="","",D1858-C1858)</f>
        <v/>
      </c>
      <c r="G1858" s="5" t="str">
        <f>IF(B1858="","",股指期货基差分析!$N$11)</f>
        <v/>
      </c>
      <c r="H1858" s="5" t="str">
        <f>IF(B1858="","",股指期货基差分析!$L$11)</f>
        <v/>
      </c>
      <c r="I1858" s="9" t="str">
        <f>IF(B1858="","",股指期货基差分析!$D$11)</f>
        <v/>
      </c>
      <c r="L1858" s="43"/>
    </row>
    <row r="1859" spans="2:12" ht="15" customHeight="1" x14ac:dyDescent="0.2">
      <c r="B1859" s="8"/>
      <c r="C1859" s="6" t="str">
        <f>IF(B1859="","",[1]!s_dq_close(股指期货基差分析!$E$5,$B1859))</f>
        <v/>
      </c>
      <c r="D1859" s="6" t="str">
        <f>IF(B1859="","",[1]!s_dq_close(股指期货基差分析!$E$6,$B1859))</f>
        <v/>
      </c>
      <c r="E1859" s="6" t="e">
        <f ca="1">RANK(F1859,F:F)+COUNTIF(F$2:F1859,F1859)-1</f>
        <v>#VALUE!</v>
      </c>
      <c r="F1859" s="6" t="str">
        <f t="shared" si="30"/>
        <v/>
      </c>
      <c r="G1859" s="6" t="str">
        <f>IF(B1859="","",股指期货基差分析!$N$11)</f>
        <v/>
      </c>
      <c r="H1859" s="6" t="str">
        <f>IF(B1859="","",股指期货基差分析!$L$11)</f>
        <v/>
      </c>
      <c r="I1859" s="10" t="str">
        <f>IF(B1859="","",股指期货基差分析!$D$11)</f>
        <v/>
      </c>
      <c r="L1859" s="43"/>
    </row>
    <row r="1860" spans="2:12" ht="15" customHeight="1" x14ac:dyDescent="0.2">
      <c r="B1860" s="7"/>
      <c r="C1860" s="5" t="str">
        <f>IF(B1860="","",[1]!s_dq_close(股指期货基差分析!$E$5,$B1860))</f>
        <v/>
      </c>
      <c r="D1860" s="5" t="str">
        <f>IF(B1860="","",[1]!s_dq_close(股指期货基差分析!$E$6,$B1860))</f>
        <v/>
      </c>
      <c r="E1860" s="5" t="e">
        <f ca="1">RANK(F1860,F:F)+COUNTIF(F$2:F1860,F1860)-1</f>
        <v>#VALUE!</v>
      </c>
      <c r="F1860" s="5" t="str">
        <f t="shared" si="30"/>
        <v/>
      </c>
      <c r="G1860" s="5" t="str">
        <f>IF(B1860="","",股指期货基差分析!$N$11)</f>
        <v/>
      </c>
      <c r="H1860" s="5" t="str">
        <f>IF(B1860="","",股指期货基差分析!$L$11)</f>
        <v/>
      </c>
      <c r="I1860" s="9" t="str">
        <f>IF(B1860="","",股指期货基差分析!$D$11)</f>
        <v/>
      </c>
      <c r="L1860" s="43"/>
    </row>
    <row r="1861" spans="2:12" ht="15" customHeight="1" x14ac:dyDescent="0.2">
      <c r="B1861" s="8"/>
      <c r="C1861" s="6" t="str">
        <f>IF(B1861="","",[1]!s_dq_close(股指期货基差分析!$E$5,$B1861))</f>
        <v/>
      </c>
      <c r="D1861" s="6" t="str">
        <f>IF(B1861="","",[1]!s_dq_close(股指期货基差分析!$E$6,$B1861))</f>
        <v/>
      </c>
      <c r="E1861" s="6" t="e">
        <f ca="1">RANK(F1861,F:F)+COUNTIF(F$2:F1861,F1861)-1</f>
        <v>#VALUE!</v>
      </c>
      <c r="F1861" s="6" t="str">
        <f t="shared" si="30"/>
        <v/>
      </c>
      <c r="G1861" s="6" t="str">
        <f>IF(B1861="","",股指期货基差分析!$N$11)</f>
        <v/>
      </c>
      <c r="H1861" s="6" t="str">
        <f>IF(B1861="","",股指期货基差分析!$L$11)</f>
        <v/>
      </c>
      <c r="I1861" s="10" t="str">
        <f>IF(B1861="","",股指期货基差分析!$D$11)</f>
        <v/>
      </c>
      <c r="L1861" s="43"/>
    </row>
    <row r="1862" spans="2:12" ht="15" customHeight="1" x14ac:dyDescent="0.2">
      <c r="B1862" s="7"/>
      <c r="C1862" s="5" t="str">
        <f>IF(B1862="","",[1]!s_dq_close(股指期货基差分析!$E$5,$B1862))</f>
        <v/>
      </c>
      <c r="D1862" s="5" t="str">
        <f>IF(B1862="","",[1]!s_dq_close(股指期货基差分析!$E$6,$B1862))</f>
        <v/>
      </c>
      <c r="E1862" s="5" t="e">
        <f ca="1">RANK(F1862,F:F)+COUNTIF(F$2:F1862,F1862)-1</f>
        <v>#VALUE!</v>
      </c>
      <c r="F1862" s="5" t="str">
        <f t="shared" si="30"/>
        <v/>
      </c>
      <c r="G1862" s="5" t="str">
        <f>IF(B1862="","",股指期货基差分析!$N$11)</f>
        <v/>
      </c>
      <c r="H1862" s="5" t="str">
        <f>IF(B1862="","",股指期货基差分析!$L$11)</f>
        <v/>
      </c>
      <c r="I1862" s="9" t="str">
        <f>IF(B1862="","",股指期货基差分析!$D$11)</f>
        <v/>
      </c>
      <c r="L1862" s="43"/>
    </row>
    <row r="1863" spans="2:12" ht="15" customHeight="1" x14ac:dyDescent="0.2">
      <c r="B1863" s="8"/>
      <c r="C1863" s="6" t="str">
        <f>IF(B1863="","",[1]!s_dq_close(股指期货基差分析!$E$5,$B1863))</f>
        <v/>
      </c>
      <c r="D1863" s="6" t="str">
        <f>IF(B1863="","",[1]!s_dq_close(股指期货基差分析!$E$6,$B1863))</f>
        <v/>
      </c>
      <c r="E1863" s="6" t="e">
        <f ca="1">RANK(F1863,F:F)+COUNTIF(F$2:F1863,F1863)-1</f>
        <v>#VALUE!</v>
      </c>
      <c r="F1863" s="6" t="str">
        <f t="shared" si="30"/>
        <v/>
      </c>
      <c r="G1863" s="6" t="str">
        <f>IF(B1863="","",股指期货基差分析!$N$11)</f>
        <v/>
      </c>
      <c r="H1863" s="6" t="str">
        <f>IF(B1863="","",股指期货基差分析!$L$11)</f>
        <v/>
      </c>
      <c r="I1863" s="10" t="str">
        <f>IF(B1863="","",股指期货基差分析!$D$11)</f>
        <v/>
      </c>
      <c r="L1863" s="43"/>
    </row>
    <row r="1864" spans="2:12" ht="15" customHeight="1" x14ac:dyDescent="0.2">
      <c r="B1864" s="7"/>
      <c r="C1864" s="5" t="str">
        <f>IF(B1864="","",[1]!s_dq_close(股指期货基差分析!$E$5,$B1864))</f>
        <v/>
      </c>
      <c r="D1864" s="5" t="str">
        <f>IF(B1864="","",[1]!s_dq_close(股指期货基差分析!$E$6,$B1864))</f>
        <v/>
      </c>
      <c r="E1864" s="5" t="e">
        <f ca="1">RANK(F1864,F:F)+COUNTIF(F$2:F1864,F1864)-1</f>
        <v>#VALUE!</v>
      </c>
      <c r="F1864" s="5" t="str">
        <f t="shared" si="30"/>
        <v/>
      </c>
      <c r="G1864" s="5" t="str">
        <f>IF(B1864="","",股指期货基差分析!$N$11)</f>
        <v/>
      </c>
      <c r="H1864" s="5" t="str">
        <f>IF(B1864="","",股指期货基差分析!$L$11)</f>
        <v/>
      </c>
      <c r="I1864" s="9" t="str">
        <f>IF(B1864="","",股指期货基差分析!$D$11)</f>
        <v/>
      </c>
      <c r="L1864" s="43"/>
    </row>
    <row r="1865" spans="2:12" ht="15" customHeight="1" x14ac:dyDescent="0.2">
      <c r="B1865" s="8"/>
      <c r="C1865" s="6" t="str">
        <f>IF(B1865="","",[1]!s_dq_close(股指期货基差分析!$E$5,$B1865))</f>
        <v/>
      </c>
      <c r="D1865" s="6" t="str">
        <f>IF(B1865="","",[1]!s_dq_close(股指期货基差分析!$E$6,$B1865))</f>
        <v/>
      </c>
      <c r="E1865" s="6" t="e">
        <f ca="1">RANK(F1865,F:F)+COUNTIF(F$2:F1865,F1865)-1</f>
        <v>#VALUE!</v>
      </c>
      <c r="F1865" s="6" t="str">
        <f t="shared" si="30"/>
        <v/>
      </c>
      <c r="G1865" s="6" t="str">
        <f>IF(B1865="","",股指期货基差分析!$N$11)</f>
        <v/>
      </c>
      <c r="H1865" s="6" t="str">
        <f>IF(B1865="","",股指期货基差分析!$L$11)</f>
        <v/>
      </c>
      <c r="I1865" s="10" t="str">
        <f>IF(B1865="","",股指期货基差分析!$D$11)</f>
        <v/>
      </c>
      <c r="L1865" s="43"/>
    </row>
    <row r="1866" spans="2:12" ht="15" customHeight="1" x14ac:dyDescent="0.2">
      <c r="B1866" s="7"/>
      <c r="C1866" s="5" t="str">
        <f>IF(B1866="","",[1]!s_dq_close(股指期货基差分析!$E$5,$B1866))</f>
        <v/>
      </c>
      <c r="D1866" s="5" t="str">
        <f>IF(B1866="","",[1]!s_dq_close(股指期货基差分析!$E$6,$B1866))</f>
        <v/>
      </c>
      <c r="E1866" s="5" t="e">
        <f ca="1">RANK(F1866,F:F)+COUNTIF(F$2:F1866,F1866)-1</f>
        <v>#VALUE!</v>
      </c>
      <c r="F1866" s="5" t="str">
        <f t="shared" si="30"/>
        <v/>
      </c>
      <c r="G1866" s="5" t="str">
        <f>IF(B1866="","",股指期货基差分析!$N$11)</f>
        <v/>
      </c>
      <c r="H1866" s="5" t="str">
        <f>IF(B1866="","",股指期货基差分析!$L$11)</f>
        <v/>
      </c>
      <c r="I1866" s="9" t="str">
        <f>IF(B1866="","",股指期货基差分析!$D$11)</f>
        <v/>
      </c>
      <c r="L1866" s="43"/>
    </row>
    <row r="1867" spans="2:12" ht="15" customHeight="1" x14ac:dyDescent="0.2">
      <c r="B1867" s="8"/>
      <c r="C1867" s="6" t="str">
        <f>IF(B1867="","",[1]!s_dq_close(股指期货基差分析!$E$5,$B1867))</f>
        <v/>
      </c>
      <c r="D1867" s="6" t="str">
        <f>IF(B1867="","",[1]!s_dq_close(股指期货基差分析!$E$6,$B1867))</f>
        <v/>
      </c>
      <c r="E1867" s="6" t="e">
        <f ca="1">RANK(F1867,F:F)+COUNTIF(F$2:F1867,F1867)-1</f>
        <v>#VALUE!</v>
      </c>
      <c r="F1867" s="6" t="str">
        <f t="shared" si="30"/>
        <v/>
      </c>
      <c r="G1867" s="6" t="str">
        <f>IF(B1867="","",股指期货基差分析!$N$11)</f>
        <v/>
      </c>
      <c r="H1867" s="6" t="str">
        <f>IF(B1867="","",股指期货基差分析!$L$11)</f>
        <v/>
      </c>
      <c r="I1867" s="10" t="str">
        <f>IF(B1867="","",股指期货基差分析!$D$11)</f>
        <v/>
      </c>
      <c r="L1867" s="43"/>
    </row>
    <row r="1868" spans="2:12" ht="15" customHeight="1" x14ac:dyDescent="0.2">
      <c r="B1868" s="7"/>
      <c r="C1868" s="5" t="str">
        <f>IF(B1868="","",[1]!s_dq_close(股指期货基差分析!$E$5,$B1868))</f>
        <v/>
      </c>
      <c r="D1868" s="5" t="str">
        <f>IF(B1868="","",[1]!s_dq_close(股指期货基差分析!$E$6,$B1868))</f>
        <v/>
      </c>
      <c r="E1868" s="5" t="e">
        <f ca="1">RANK(F1868,F:F)+COUNTIF(F$2:F1868,F1868)-1</f>
        <v>#VALUE!</v>
      </c>
      <c r="F1868" s="5" t="str">
        <f t="shared" si="30"/>
        <v/>
      </c>
      <c r="G1868" s="5" t="str">
        <f>IF(B1868="","",股指期货基差分析!$N$11)</f>
        <v/>
      </c>
      <c r="H1868" s="5" t="str">
        <f>IF(B1868="","",股指期货基差分析!$L$11)</f>
        <v/>
      </c>
      <c r="I1868" s="9" t="str">
        <f>IF(B1868="","",股指期货基差分析!$D$11)</f>
        <v/>
      </c>
      <c r="L1868" s="43"/>
    </row>
    <row r="1869" spans="2:12" ht="15" customHeight="1" x14ac:dyDescent="0.2">
      <c r="B1869" s="8"/>
      <c r="C1869" s="6" t="str">
        <f>IF(B1869="","",[1]!s_dq_close(股指期货基差分析!$E$5,$B1869))</f>
        <v/>
      </c>
      <c r="D1869" s="6" t="str">
        <f>IF(B1869="","",[1]!s_dq_close(股指期货基差分析!$E$6,$B1869))</f>
        <v/>
      </c>
      <c r="E1869" s="6" t="e">
        <f ca="1">RANK(F1869,F:F)+COUNTIF(F$2:F1869,F1869)-1</f>
        <v>#VALUE!</v>
      </c>
      <c r="F1869" s="6" t="str">
        <f t="shared" si="30"/>
        <v/>
      </c>
      <c r="G1869" s="6" t="str">
        <f>IF(B1869="","",股指期货基差分析!$N$11)</f>
        <v/>
      </c>
      <c r="H1869" s="6" t="str">
        <f>IF(B1869="","",股指期货基差分析!$L$11)</f>
        <v/>
      </c>
      <c r="I1869" s="10" t="str">
        <f>IF(B1869="","",股指期货基差分析!$D$11)</f>
        <v/>
      </c>
      <c r="L1869" s="43"/>
    </row>
    <row r="1870" spans="2:12" ht="15" customHeight="1" x14ac:dyDescent="0.2">
      <c r="B1870" s="7"/>
      <c r="C1870" s="5" t="str">
        <f>IF(B1870="","",[1]!s_dq_close(股指期货基差分析!$E$5,$B1870))</f>
        <v/>
      </c>
      <c r="D1870" s="5" t="str">
        <f>IF(B1870="","",[1]!s_dq_close(股指期货基差分析!$E$6,$B1870))</f>
        <v/>
      </c>
      <c r="E1870" s="5" t="e">
        <f ca="1">RANK(F1870,F:F)+COUNTIF(F$2:F1870,F1870)-1</f>
        <v>#VALUE!</v>
      </c>
      <c r="F1870" s="5" t="str">
        <f t="shared" si="30"/>
        <v/>
      </c>
      <c r="G1870" s="5" t="str">
        <f>IF(B1870="","",股指期货基差分析!$N$11)</f>
        <v/>
      </c>
      <c r="H1870" s="5" t="str">
        <f>IF(B1870="","",股指期货基差分析!$L$11)</f>
        <v/>
      </c>
      <c r="I1870" s="9" t="str">
        <f>IF(B1870="","",股指期货基差分析!$D$11)</f>
        <v/>
      </c>
      <c r="L1870" s="43"/>
    </row>
    <row r="1871" spans="2:12" ht="15" customHeight="1" x14ac:dyDescent="0.2">
      <c r="B1871" s="8"/>
      <c r="C1871" s="6" t="str">
        <f>IF(B1871="","",[1]!s_dq_close(股指期货基差分析!$E$5,$B1871))</f>
        <v/>
      </c>
      <c r="D1871" s="6" t="str">
        <f>IF(B1871="","",[1]!s_dq_close(股指期货基差分析!$E$6,$B1871))</f>
        <v/>
      </c>
      <c r="E1871" s="6" t="e">
        <f ca="1">RANK(F1871,F:F)+COUNTIF(F$2:F1871,F1871)-1</f>
        <v>#VALUE!</v>
      </c>
      <c r="F1871" s="6" t="str">
        <f t="shared" si="30"/>
        <v/>
      </c>
      <c r="G1871" s="6" t="str">
        <f>IF(B1871="","",股指期货基差分析!$N$11)</f>
        <v/>
      </c>
      <c r="H1871" s="6" t="str">
        <f>IF(B1871="","",股指期货基差分析!$L$11)</f>
        <v/>
      </c>
      <c r="I1871" s="10" t="str">
        <f>IF(B1871="","",股指期货基差分析!$D$11)</f>
        <v/>
      </c>
      <c r="L1871" s="43"/>
    </row>
    <row r="1872" spans="2:12" ht="15" customHeight="1" x14ac:dyDescent="0.2">
      <c r="B1872" s="7"/>
      <c r="C1872" s="5" t="str">
        <f>IF(B1872="","",[1]!s_dq_close(股指期货基差分析!$E$5,$B1872))</f>
        <v/>
      </c>
      <c r="D1872" s="5" t="str">
        <f>IF(B1872="","",[1]!s_dq_close(股指期货基差分析!$E$6,$B1872))</f>
        <v/>
      </c>
      <c r="E1872" s="5" t="e">
        <f ca="1">RANK(F1872,F:F)+COUNTIF(F$2:F1872,F1872)-1</f>
        <v>#VALUE!</v>
      </c>
      <c r="F1872" s="5" t="str">
        <f t="shared" si="30"/>
        <v/>
      </c>
      <c r="G1872" s="5" t="str">
        <f>IF(B1872="","",股指期货基差分析!$N$11)</f>
        <v/>
      </c>
      <c r="H1872" s="5" t="str">
        <f>IF(B1872="","",股指期货基差分析!$L$11)</f>
        <v/>
      </c>
      <c r="I1872" s="9" t="str">
        <f>IF(B1872="","",股指期货基差分析!$D$11)</f>
        <v/>
      </c>
      <c r="L1872" s="43"/>
    </row>
    <row r="1873" spans="2:12" ht="15" customHeight="1" x14ac:dyDescent="0.2">
      <c r="B1873" s="8"/>
      <c r="C1873" s="6" t="str">
        <f>IF(B1873="","",[1]!s_dq_close(股指期货基差分析!$E$5,$B1873))</f>
        <v/>
      </c>
      <c r="D1873" s="6" t="str">
        <f>IF(B1873="","",[1]!s_dq_close(股指期货基差分析!$E$6,$B1873))</f>
        <v/>
      </c>
      <c r="E1873" s="6" t="e">
        <f ca="1">RANK(F1873,F:F)+COUNTIF(F$2:F1873,F1873)-1</f>
        <v>#VALUE!</v>
      </c>
      <c r="F1873" s="6" t="str">
        <f t="shared" si="30"/>
        <v/>
      </c>
      <c r="G1873" s="6" t="str">
        <f>IF(B1873="","",股指期货基差分析!$N$11)</f>
        <v/>
      </c>
      <c r="H1873" s="6" t="str">
        <f>IF(B1873="","",股指期货基差分析!$L$11)</f>
        <v/>
      </c>
      <c r="I1873" s="10" t="str">
        <f>IF(B1873="","",股指期货基差分析!$D$11)</f>
        <v/>
      </c>
      <c r="L1873" s="43"/>
    </row>
    <row r="1874" spans="2:12" ht="15" customHeight="1" x14ac:dyDescent="0.2">
      <c r="B1874" s="7"/>
      <c r="C1874" s="5" t="str">
        <f>IF(B1874="","",[1]!s_dq_close(股指期货基差分析!$E$5,$B1874))</f>
        <v/>
      </c>
      <c r="D1874" s="5" t="str">
        <f>IF(B1874="","",[1]!s_dq_close(股指期货基差分析!$E$6,$B1874))</f>
        <v/>
      </c>
      <c r="E1874" s="5" t="e">
        <f ca="1">RANK(F1874,F:F)+COUNTIF(F$2:F1874,F1874)-1</f>
        <v>#VALUE!</v>
      </c>
      <c r="F1874" s="5" t="str">
        <f t="shared" si="30"/>
        <v/>
      </c>
      <c r="G1874" s="5" t="str">
        <f>IF(B1874="","",股指期货基差分析!$N$11)</f>
        <v/>
      </c>
      <c r="H1874" s="5" t="str">
        <f>IF(B1874="","",股指期货基差分析!$L$11)</f>
        <v/>
      </c>
      <c r="I1874" s="9" t="str">
        <f>IF(B1874="","",股指期货基差分析!$D$11)</f>
        <v/>
      </c>
      <c r="L1874" s="43"/>
    </row>
    <row r="1875" spans="2:12" ht="15" customHeight="1" x14ac:dyDescent="0.2">
      <c r="B1875" s="8"/>
      <c r="C1875" s="6" t="str">
        <f>IF(B1875="","",[1]!s_dq_close(股指期货基差分析!$E$5,$B1875))</f>
        <v/>
      </c>
      <c r="D1875" s="6" t="str">
        <f>IF(B1875="","",[1]!s_dq_close(股指期货基差分析!$E$6,$B1875))</f>
        <v/>
      </c>
      <c r="E1875" s="6" t="e">
        <f ca="1">RANK(F1875,F:F)+COUNTIF(F$2:F1875,F1875)-1</f>
        <v>#VALUE!</v>
      </c>
      <c r="F1875" s="6" t="str">
        <f t="shared" si="30"/>
        <v/>
      </c>
      <c r="G1875" s="6" t="str">
        <f>IF(B1875="","",股指期货基差分析!$N$11)</f>
        <v/>
      </c>
      <c r="H1875" s="6" t="str">
        <f>IF(B1875="","",股指期货基差分析!$L$11)</f>
        <v/>
      </c>
      <c r="I1875" s="10" t="str">
        <f>IF(B1875="","",股指期货基差分析!$D$11)</f>
        <v/>
      </c>
      <c r="L1875" s="43"/>
    </row>
    <row r="1876" spans="2:12" ht="15" customHeight="1" x14ac:dyDescent="0.2">
      <c r="B1876" s="7"/>
      <c r="C1876" s="5" t="str">
        <f>IF(B1876="","",[1]!s_dq_close(股指期货基差分析!$E$5,$B1876))</f>
        <v/>
      </c>
      <c r="D1876" s="5" t="str">
        <f>IF(B1876="","",[1]!s_dq_close(股指期货基差分析!$E$6,$B1876))</f>
        <v/>
      </c>
      <c r="E1876" s="5" t="e">
        <f ca="1">RANK(F1876,F:F)+COUNTIF(F$2:F1876,F1876)-1</f>
        <v>#VALUE!</v>
      </c>
      <c r="F1876" s="5" t="str">
        <f t="shared" si="30"/>
        <v/>
      </c>
      <c r="G1876" s="5" t="str">
        <f>IF(B1876="","",股指期货基差分析!$N$11)</f>
        <v/>
      </c>
      <c r="H1876" s="5" t="str">
        <f>IF(B1876="","",股指期货基差分析!$L$11)</f>
        <v/>
      </c>
      <c r="I1876" s="9" t="str">
        <f>IF(B1876="","",股指期货基差分析!$D$11)</f>
        <v/>
      </c>
      <c r="L1876" s="43"/>
    </row>
    <row r="1877" spans="2:12" ht="15" customHeight="1" x14ac:dyDescent="0.2">
      <c r="B1877" s="8"/>
      <c r="C1877" s="6" t="str">
        <f>IF(B1877="","",[1]!s_dq_close(股指期货基差分析!$E$5,$B1877))</f>
        <v/>
      </c>
      <c r="D1877" s="6" t="str">
        <f>IF(B1877="","",[1]!s_dq_close(股指期货基差分析!$E$6,$B1877))</f>
        <v/>
      </c>
      <c r="E1877" s="6" t="e">
        <f ca="1">RANK(F1877,F:F)+COUNTIF(F$2:F1877,F1877)-1</f>
        <v>#VALUE!</v>
      </c>
      <c r="F1877" s="6" t="str">
        <f t="shared" si="30"/>
        <v/>
      </c>
      <c r="G1877" s="6" t="str">
        <f>IF(B1877="","",股指期货基差分析!$N$11)</f>
        <v/>
      </c>
      <c r="H1877" s="6" t="str">
        <f>IF(B1877="","",股指期货基差分析!$L$11)</f>
        <v/>
      </c>
      <c r="I1877" s="10" t="str">
        <f>IF(B1877="","",股指期货基差分析!$D$11)</f>
        <v/>
      </c>
      <c r="L1877" s="43"/>
    </row>
    <row r="1878" spans="2:12" ht="15" customHeight="1" x14ac:dyDescent="0.2">
      <c r="B1878" s="7"/>
      <c r="C1878" s="5" t="str">
        <f>IF(B1878="","",[1]!s_dq_close(股指期货基差分析!$E$5,$B1878))</f>
        <v/>
      </c>
      <c r="D1878" s="5" t="str">
        <f>IF(B1878="","",[1]!s_dq_close(股指期货基差分析!$E$6,$B1878))</f>
        <v/>
      </c>
      <c r="E1878" s="5" t="e">
        <f ca="1">RANK(F1878,F:F)+COUNTIF(F$2:F1878,F1878)-1</f>
        <v>#VALUE!</v>
      </c>
      <c r="F1878" s="5" t="str">
        <f t="shared" si="30"/>
        <v/>
      </c>
      <c r="G1878" s="5" t="str">
        <f>IF(B1878="","",股指期货基差分析!$N$11)</f>
        <v/>
      </c>
      <c r="H1878" s="5" t="str">
        <f>IF(B1878="","",股指期货基差分析!$L$11)</f>
        <v/>
      </c>
      <c r="I1878" s="9" t="str">
        <f>IF(B1878="","",股指期货基差分析!$D$11)</f>
        <v/>
      </c>
      <c r="L1878" s="43"/>
    </row>
    <row r="1879" spans="2:12" ht="15" customHeight="1" x14ac:dyDescent="0.2">
      <c r="B1879" s="8"/>
      <c r="C1879" s="6" t="str">
        <f>IF(B1879="","",[1]!s_dq_close(股指期货基差分析!$E$5,$B1879))</f>
        <v/>
      </c>
      <c r="D1879" s="6" t="str">
        <f>IF(B1879="","",[1]!s_dq_close(股指期货基差分析!$E$6,$B1879))</f>
        <v/>
      </c>
      <c r="E1879" s="6" t="e">
        <f ca="1">RANK(F1879,F:F)+COUNTIF(F$2:F1879,F1879)-1</f>
        <v>#VALUE!</v>
      </c>
      <c r="F1879" s="6" t="str">
        <f t="shared" si="30"/>
        <v/>
      </c>
      <c r="G1879" s="6" t="str">
        <f>IF(B1879="","",股指期货基差分析!$N$11)</f>
        <v/>
      </c>
      <c r="H1879" s="6" t="str">
        <f>IF(B1879="","",股指期货基差分析!$L$11)</f>
        <v/>
      </c>
      <c r="I1879" s="10" t="str">
        <f>IF(B1879="","",股指期货基差分析!$D$11)</f>
        <v/>
      </c>
      <c r="L1879" s="43"/>
    </row>
    <row r="1880" spans="2:12" ht="15" customHeight="1" x14ac:dyDescent="0.2">
      <c r="B1880" s="7"/>
      <c r="C1880" s="5" t="str">
        <f>IF(B1880="","",[1]!s_dq_close(股指期货基差分析!$E$5,$B1880))</f>
        <v/>
      </c>
      <c r="D1880" s="5" t="str">
        <f>IF(B1880="","",[1]!s_dq_close(股指期货基差分析!$E$6,$B1880))</f>
        <v/>
      </c>
      <c r="E1880" s="5" t="e">
        <f ca="1">RANK(F1880,F:F)+COUNTIF(F$2:F1880,F1880)-1</f>
        <v>#VALUE!</v>
      </c>
      <c r="F1880" s="5" t="str">
        <f t="shared" si="30"/>
        <v/>
      </c>
      <c r="G1880" s="5" t="str">
        <f>IF(B1880="","",股指期货基差分析!$N$11)</f>
        <v/>
      </c>
      <c r="H1880" s="5" t="str">
        <f>IF(B1880="","",股指期货基差分析!$L$11)</f>
        <v/>
      </c>
      <c r="I1880" s="9" t="str">
        <f>IF(B1880="","",股指期货基差分析!$D$11)</f>
        <v/>
      </c>
      <c r="L1880" s="43"/>
    </row>
    <row r="1881" spans="2:12" ht="15" customHeight="1" x14ac:dyDescent="0.2">
      <c r="B1881" s="8"/>
      <c r="C1881" s="6" t="str">
        <f>IF(B1881="","",[1]!s_dq_close(股指期货基差分析!$E$5,$B1881))</f>
        <v/>
      </c>
      <c r="D1881" s="6" t="str">
        <f>IF(B1881="","",[1]!s_dq_close(股指期货基差分析!$E$6,$B1881))</f>
        <v/>
      </c>
      <c r="E1881" s="6" t="e">
        <f ca="1">RANK(F1881,F:F)+COUNTIF(F$2:F1881,F1881)-1</f>
        <v>#VALUE!</v>
      </c>
      <c r="F1881" s="6" t="str">
        <f t="shared" si="30"/>
        <v/>
      </c>
      <c r="G1881" s="6" t="str">
        <f>IF(B1881="","",股指期货基差分析!$N$11)</f>
        <v/>
      </c>
      <c r="H1881" s="6" t="str">
        <f>IF(B1881="","",股指期货基差分析!$L$11)</f>
        <v/>
      </c>
      <c r="I1881" s="10" t="str">
        <f>IF(B1881="","",股指期货基差分析!$D$11)</f>
        <v/>
      </c>
      <c r="L1881" s="43"/>
    </row>
    <row r="1882" spans="2:12" ht="15" customHeight="1" x14ac:dyDescent="0.2">
      <c r="B1882" s="7"/>
      <c r="C1882" s="5" t="str">
        <f>IF(B1882="","",[1]!s_dq_close(股指期货基差分析!$E$5,$B1882))</f>
        <v/>
      </c>
      <c r="D1882" s="5" t="str">
        <f>IF(B1882="","",[1]!s_dq_close(股指期货基差分析!$E$6,$B1882))</f>
        <v/>
      </c>
      <c r="E1882" s="5" t="e">
        <f ca="1">RANK(F1882,F:F)+COUNTIF(F$2:F1882,F1882)-1</f>
        <v>#VALUE!</v>
      </c>
      <c r="F1882" s="5" t="str">
        <f t="shared" si="30"/>
        <v/>
      </c>
      <c r="G1882" s="5" t="str">
        <f>IF(B1882="","",股指期货基差分析!$N$11)</f>
        <v/>
      </c>
      <c r="H1882" s="5" t="str">
        <f>IF(B1882="","",股指期货基差分析!$L$11)</f>
        <v/>
      </c>
      <c r="I1882" s="9" t="str">
        <f>IF(B1882="","",股指期货基差分析!$D$11)</f>
        <v/>
      </c>
      <c r="L1882" s="43"/>
    </row>
    <row r="1883" spans="2:12" ht="15" customHeight="1" x14ac:dyDescent="0.2">
      <c r="B1883" s="8"/>
      <c r="C1883" s="6" t="str">
        <f>IF(B1883="","",[1]!s_dq_close(股指期货基差分析!$E$5,$B1883))</f>
        <v/>
      </c>
      <c r="D1883" s="6" t="str">
        <f>IF(B1883="","",[1]!s_dq_close(股指期货基差分析!$E$6,$B1883))</f>
        <v/>
      </c>
      <c r="E1883" s="6" t="e">
        <f ca="1">RANK(F1883,F:F)+COUNTIF(F$2:F1883,F1883)-1</f>
        <v>#VALUE!</v>
      </c>
      <c r="F1883" s="6" t="str">
        <f t="shared" si="30"/>
        <v/>
      </c>
      <c r="G1883" s="6" t="str">
        <f>IF(B1883="","",股指期货基差分析!$N$11)</f>
        <v/>
      </c>
      <c r="H1883" s="6" t="str">
        <f>IF(B1883="","",股指期货基差分析!$L$11)</f>
        <v/>
      </c>
      <c r="I1883" s="10" t="str">
        <f>IF(B1883="","",股指期货基差分析!$D$11)</f>
        <v/>
      </c>
      <c r="L1883" s="43"/>
    </row>
    <row r="1884" spans="2:12" ht="15" customHeight="1" x14ac:dyDescent="0.2">
      <c r="B1884" s="7"/>
      <c r="C1884" s="5" t="str">
        <f>IF(B1884="","",[1]!s_dq_close(股指期货基差分析!$E$5,$B1884))</f>
        <v/>
      </c>
      <c r="D1884" s="5" t="str">
        <f>IF(B1884="","",[1]!s_dq_close(股指期货基差分析!$E$6,$B1884))</f>
        <v/>
      </c>
      <c r="E1884" s="5" t="e">
        <f ca="1">RANK(F1884,F:F)+COUNTIF(F$2:F1884,F1884)-1</f>
        <v>#VALUE!</v>
      </c>
      <c r="F1884" s="5" t="str">
        <f t="shared" si="30"/>
        <v/>
      </c>
      <c r="G1884" s="5" t="str">
        <f>IF(B1884="","",股指期货基差分析!$N$11)</f>
        <v/>
      </c>
      <c r="H1884" s="5" t="str">
        <f>IF(B1884="","",股指期货基差分析!$L$11)</f>
        <v/>
      </c>
      <c r="I1884" s="9" t="str">
        <f>IF(B1884="","",股指期货基差分析!$D$11)</f>
        <v/>
      </c>
      <c r="L1884" s="43"/>
    </row>
    <row r="1885" spans="2:12" ht="15" customHeight="1" x14ac:dyDescent="0.2">
      <c r="B1885" s="8"/>
      <c r="C1885" s="6" t="str">
        <f>IF(B1885="","",[1]!s_dq_close(股指期货基差分析!$E$5,$B1885))</f>
        <v/>
      </c>
      <c r="D1885" s="6" t="str">
        <f>IF(B1885="","",[1]!s_dq_close(股指期货基差分析!$E$6,$B1885))</f>
        <v/>
      </c>
      <c r="E1885" s="6" t="e">
        <f ca="1">RANK(F1885,F:F)+COUNTIF(F$2:F1885,F1885)-1</f>
        <v>#VALUE!</v>
      </c>
      <c r="F1885" s="6" t="str">
        <f t="shared" si="30"/>
        <v/>
      </c>
      <c r="G1885" s="6" t="str">
        <f>IF(B1885="","",股指期货基差分析!$N$11)</f>
        <v/>
      </c>
      <c r="H1885" s="6" t="str">
        <f>IF(B1885="","",股指期货基差分析!$L$11)</f>
        <v/>
      </c>
      <c r="I1885" s="10" t="str">
        <f>IF(B1885="","",股指期货基差分析!$D$11)</f>
        <v/>
      </c>
      <c r="L1885" s="43"/>
    </row>
    <row r="1886" spans="2:12" ht="15" customHeight="1" x14ac:dyDescent="0.2">
      <c r="B1886" s="7"/>
      <c r="C1886" s="5" t="str">
        <f>IF(B1886="","",[1]!s_dq_close(股指期货基差分析!$E$5,$B1886))</f>
        <v/>
      </c>
      <c r="D1886" s="5" t="str">
        <f>IF(B1886="","",[1]!s_dq_close(股指期货基差分析!$E$6,$B1886))</f>
        <v/>
      </c>
      <c r="E1886" s="5" t="e">
        <f ca="1">RANK(F1886,F:F)+COUNTIF(F$2:F1886,F1886)-1</f>
        <v>#VALUE!</v>
      </c>
      <c r="F1886" s="5" t="str">
        <f t="shared" si="30"/>
        <v/>
      </c>
      <c r="G1886" s="5" t="str">
        <f>IF(B1886="","",股指期货基差分析!$N$11)</f>
        <v/>
      </c>
      <c r="H1886" s="5" t="str">
        <f>IF(B1886="","",股指期货基差分析!$L$11)</f>
        <v/>
      </c>
      <c r="I1886" s="9" t="str">
        <f>IF(B1886="","",股指期货基差分析!$D$11)</f>
        <v/>
      </c>
      <c r="L1886" s="43"/>
    </row>
    <row r="1887" spans="2:12" ht="15" customHeight="1" x14ac:dyDescent="0.2">
      <c r="B1887" s="8"/>
      <c r="C1887" s="6" t="str">
        <f>IF(B1887="","",[1]!s_dq_close(股指期货基差分析!$E$5,$B1887))</f>
        <v/>
      </c>
      <c r="D1887" s="6" t="str">
        <f>IF(B1887="","",[1]!s_dq_close(股指期货基差分析!$E$6,$B1887))</f>
        <v/>
      </c>
      <c r="E1887" s="6" t="e">
        <f ca="1">RANK(F1887,F:F)+COUNTIF(F$2:F1887,F1887)-1</f>
        <v>#VALUE!</v>
      </c>
      <c r="F1887" s="6" t="str">
        <f t="shared" si="30"/>
        <v/>
      </c>
      <c r="G1887" s="6" t="str">
        <f>IF(B1887="","",股指期货基差分析!$N$11)</f>
        <v/>
      </c>
      <c r="H1887" s="6" t="str">
        <f>IF(B1887="","",股指期货基差分析!$L$11)</f>
        <v/>
      </c>
      <c r="I1887" s="10" t="str">
        <f>IF(B1887="","",股指期货基差分析!$D$11)</f>
        <v/>
      </c>
      <c r="L1887" s="43"/>
    </row>
    <row r="1888" spans="2:12" ht="15" customHeight="1" x14ac:dyDescent="0.2">
      <c r="B1888" s="7"/>
      <c r="C1888" s="5" t="str">
        <f>IF(B1888="","",[1]!s_dq_close(股指期货基差分析!$E$5,$B1888))</f>
        <v/>
      </c>
      <c r="D1888" s="5" t="str">
        <f>IF(B1888="","",[1]!s_dq_close(股指期货基差分析!$E$6,$B1888))</f>
        <v/>
      </c>
      <c r="E1888" s="5" t="e">
        <f ca="1">RANK(F1888,F:F)+COUNTIF(F$2:F1888,F1888)-1</f>
        <v>#VALUE!</v>
      </c>
      <c r="F1888" s="5" t="str">
        <f t="shared" si="30"/>
        <v/>
      </c>
      <c r="G1888" s="5" t="str">
        <f>IF(B1888="","",股指期货基差分析!$N$11)</f>
        <v/>
      </c>
      <c r="H1888" s="5" t="str">
        <f>IF(B1888="","",股指期货基差分析!$L$11)</f>
        <v/>
      </c>
      <c r="I1888" s="9" t="str">
        <f>IF(B1888="","",股指期货基差分析!$D$11)</f>
        <v/>
      </c>
      <c r="L1888" s="43"/>
    </row>
    <row r="1889" spans="2:12" ht="15" customHeight="1" x14ac:dyDescent="0.2">
      <c r="B1889" s="8"/>
      <c r="C1889" s="6" t="str">
        <f>IF(B1889="","",[1]!s_dq_close(股指期货基差分析!$E$5,$B1889))</f>
        <v/>
      </c>
      <c r="D1889" s="6" t="str">
        <f>IF(B1889="","",[1]!s_dq_close(股指期货基差分析!$E$6,$B1889))</f>
        <v/>
      </c>
      <c r="E1889" s="6" t="e">
        <f ca="1">RANK(F1889,F:F)+COUNTIF(F$2:F1889,F1889)-1</f>
        <v>#VALUE!</v>
      </c>
      <c r="F1889" s="6" t="str">
        <f t="shared" si="30"/>
        <v/>
      </c>
      <c r="G1889" s="6" t="str">
        <f>IF(B1889="","",股指期货基差分析!$N$11)</f>
        <v/>
      </c>
      <c r="H1889" s="6" t="str">
        <f>IF(B1889="","",股指期货基差分析!$L$11)</f>
        <v/>
      </c>
      <c r="I1889" s="10" t="str">
        <f>IF(B1889="","",股指期货基差分析!$D$11)</f>
        <v/>
      </c>
      <c r="L1889" s="43"/>
    </row>
    <row r="1890" spans="2:12" ht="15" customHeight="1" x14ac:dyDescent="0.2">
      <c r="B1890" s="7"/>
      <c r="C1890" s="5" t="str">
        <f>IF(B1890="","",[1]!s_dq_close(股指期货基差分析!$E$5,$B1890))</f>
        <v/>
      </c>
      <c r="D1890" s="5" t="str">
        <f>IF(B1890="","",[1]!s_dq_close(股指期货基差分析!$E$6,$B1890))</f>
        <v/>
      </c>
      <c r="E1890" s="5" t="e">
        <f ca="1">RANK(F1890,F:F)+COUNTIF(F$2:F1890,F1890)-1</f>
        <v>#VALUE!</v>
      </c>
      <c r="F1890" s="5" t="str">
        <f t="shared" si="30"/>
        <v/>
      </c>
      <c r="G1890" s="5" t="str">
        <f>IF(B1890="","",股指期货基差分析!$N$11)</f>
        <v/>
      </c>
      <c r="H1890" s="5" t="str">
        <f>IF(B1890="","",股指期货基差分析!$L$11)</f>
        <v/>
      </c>
      <c r="I1890" s="9" t="str">
        <f>IF(B1890="","",股指期货基差分析!$D$11)</f>
        <v/>
      </c>
      <c r="L1890" s="43"/>
    </row>
    <row r="1891" spans="2:12" ht="15" customHeight="1" x14ac:dyDescent="0.2">
      <c r="B1891" s="8"/>
      <c r="C1891" s="6" t="str">
        <f>IF(B1891="","",[1]!s_dq_close(股指期货基差分析!$E$5,$B1891))</f>
        <v/>
      </c>
      <c r="D1891" s="6" t="str">
        <f>IF(B1891="","",[1]!s_dq_close(股指期货基差分析!$E$6,$B1891))</f>
        <v/>
      </c>
      <c r="E1891" s="6" t="e">
        <f ca="1">RANK(F1891,F:F)+COUNTIF(F$2:F1891,F1891)-1</f>
        <v>#VALUE!</v>
      </c>
      <c r="F1891" s="6" t="str">
        <f t="shared" si="30"/>
        <v/>
      </c>
      <c r="G1891" s="6" t="str">
        <f>IF(B1891="","",股指期货基差分析!$N$11)</f>
        <v/>
      </c>
      <c r="H1891" s="6" t="str">
        <f>IF(B1891="","",股指期货基差分析!$L$11)</f>
        <v/>
      </c>
      <c r="I1891" s="10" t="str">
        <f>IF(B1891="","",股指期货基差分析!$D$11)</f>
        <v/>
      </c>
      <c r="L1891" s="43"/>
    </row>
    <row r="1892" spans="2:12" ht="15" customHeight="1" x14ac:dyDescent="0.2">
      <c r="B1892" s="7"/>
      <c r="C1892" s="5" t="str">
        <f>IF(B1892="","",[1]!s_dq_close(股指期货基差分析!$E$5,$B1892))</f>
        <v/>
      </c>
      <c r="D1892" s="5" t="str">
        <f>IF(B1892="","",[1]!s_dq_close(股指期货基差分析!$E$6,$B1892))</f>
        <v/>
      </c>
      <c r="E1892" s="5" t="e">
        <f ca="1">RANK(F1892,F:F)+COUNTIF(F$2:F1892,F1892)-1</f>
        <v>#VALUE!</v>
      </c>
      <c r="F1892" s="5" t="str">
        <f t="shared" si="30"/>
        <v/>
      </c>
      <c r="G1892" s="5" t="str">
        <f>IF(B1892="","",股指期货基差分析!$N$11)</f>
        <v/>
      </c>
      <c r="H1892" s="5" t="str">
        <f>IF(B1892="","",股指期货基差分析!$L$11)</f>
        <v/>
      </c>
      <c r="I1892" s="9" t="str">
        <f>IF(B1892="","",股指期货基差分析!$D$11)</f>
        <v/>
      </c>
      <c r="L1892" s="43"/>
    </row>
    <row r="1893" spans="2:12" ht="15" customHeight="1" x14ac:dyDescent="0.2">
      <c r="B1893" s="8"/>
      <c r="C1893" s="6" t="str">
        <f>IF(B1893="","",[1]!s_dq_close(股指期货基差分析!$E$5,$B1893))</f>
        <v/>
      </c>
      <c r="D1893" s="6" t="str">
        <f>IF(B1893="","",[1]!s_dq_close(股指期货基差分析!$E$6,$B1893))</f>
        <v/>
      </c>
      <c r="E1893" s="6" t="e">
        <f ca="1">RANK(F1893,F:F)+COUNTIF(F$2:F1893,F1893)-1</f>
        <v>#VALUE!</v>
      </c>
      <c r="F1893" s="6" t="str">
        <f t="shared" si="30"/>
        <v/>
      </c>
      <c r="G1893" s="6" t="str">
        <f>IF(B1893="","",股指期货基差分析!$N$11)</f>
        <v/>
      </c>
      <c r="H1893" s="6" t="str">
        <f>IF(B1893="","",股指期货基差分析!$L$11)</f>
        <v/>
      </c>
      <c r="I1893" s="10" t="str">
        <f>IF(B1893="","",股指期货基差分析!$D$11)</f>
        <v/>
      </c>
      <c r="L1893" s="43"/>
    </row>
    <row r="1894" spans="2:12" ht="15" customHeight="1" x14ac:dyDescent="0.2">
      <c r="B1894" s="7"/>
      <c r="C1894" s="5" t="str">
        <f>IF(B1894="","",[1]!s_dq_close(股指期货基差分析!$E$5,$B1894))</f>
        <v/>
      </c>
      <c r="D1894" s="5" t="str">
        <f>IF(B1894="","",[1]!s_dq_close(股指期货基差分析!$E$6,$B1894))</f>
        <v/>
      </c>
      <c r="E1894" s="5" t="e">
        <f ca="1">RANK(F1894,F:F)+COUNTIF(F$2:F1894,F1894)-1</f>
        <v>#VALUE!</v>
      </c>
      <c r="F1894" s="5" t="str">
        <f t="shared" si="30"/>
        <v/>
      </c>
      <c r="G1894" s="5" t="str">
        <f>IF(B1894="","",股指期货基差分析!$N$11)</f>
        <v/>
      </c>
      <c r="H1894" s="5" t="str">
        <f>IF(B1894="","",股指期货基差分析!$L$11)</f>
        <v/>
      </c>
      <c r="I1894" s="9" t="str">
        <f>IF(B1894="","",股指期货基差分析!$D$11)</f>
        <v/>
      </c>
      <c r="L1894" s="43"/>
    </row>
    <row r="1895" spans="2:12" ht="15" customHeight="1" x14ac:dyDescent="0.2">
      <c r="B1895" s="8"/>
      <c r="C1895" s="6" t="str">
        <f>IF(B1895="","",[1]!s_dq_close(股指期货基差分析!$E$5,$B1895))</f>
        <v/>
      </c>
      <c r="D1895" s="6" t="str">
        <f>IF(B1895="","",[1]!s_dq_close(股指期货基差分析!$E$6,$B1895))</f>
        <v/>
      </c>
      <c r="E1895" s="6" t="e">
        <f ca="1">RANK(F1895,F:F)+COUNTIF(F$2:F1895,F1895)-1</f>
        <v>#VALUE!</v>
      </c>
      <c r="F1895" s="6" t="str">
        <f t="shared" si="30"/>
        <v/>
      </c>
      <c r="G1895" s="6" t="str">
        <f>IF(B1895="","",股指期货基差分析!$N$11)</f>
        <v/>
      </c>
      <c r="H1895" s="6" t="str">
        <f>IF(B1895="","",股指期货基差分析!$L$11)</f>
        <v/>
      </c>
      <c r="I1895" s="10" t="str">
        <f>IF(B1895="","",股指期货基差分析!$D$11)</f>
        <v/>
      </c>
      <c r="L1895" s="43"/>
    </row>
    <row r="1896" spans="2:12" ht="15" customHeight="1" x14ac:dyDescent="0.2">
      <c r="B1896" s="7"/>
      <c r="C1896" s="5" t="str">
        <f>IF(B1896="","",[1]!s_dq_close(股指期货基差分析!$E$5,$B1896))</f>
        <v/>
      </c>
      <c r="D1896" s="5" t="str">
        <f>IF(B1896="","",[1]!s_dq_close(股指期货基差分析!$E$6,$B1896))</f>
        <v/>
      </c>
      <c r="E1896" s="5" t="e">
        <f ca="1">RANK(F1896,F:F)+COUNTIF(F$2:F1896,F1896)-1</f>
        <v>#VALUE!</v>
      </c>
      <c r="F1896" s="5" t="str">
        <f t="shared" si="30"/>
        <v/>
      </c>
      <c r="G1896" s="5" t="str">
        <f>IF(B1896="","",股指期货基差分析!$N$11)</f>
        <v/>
      </c>
      <c r="H1896" s="5" t="str">
        <f>IF(B1896="","",股指期货基差分析!$L$11)</f>
        <v/>
      </c>
      <c r="I1896" s="9" t="str">
        <f>IF(B1896="","",股指期货基差分析!$D$11)</f>
        <v/>
      </c>
      <c r="L1896" s="43"/>
    </row>
    <row r="1897" spans="2:12" ht="15" customHeight="1" x14ac:dyDescent="0.2">
      <c r="B1897" s="8"/>
      <c r="C1897" s="6" t="str">
        <f>IF(B1897="","",[1]!s_dq_close(股指期货基差分析!$E$5,$B1897))</f>
        <v/>
      </c>
      <c r="D1897" s="6" t="str">
        <f>IF(B1897="","",[1]!s_dq_close(股指期货基差分析!$E$6,$B1897))</f>
        <v/>
      </c>
      <c r="E1897" s="6" t="e">
        <f ca="1">RANK(F1897,F:F)+COUNTIF(F$2:F1897,F1897)-1</f>
        <v>#VALUE!</v>
      </c>
      <c r="F1897" s="6" t="str">
        <f t="shared" si="30"/>
        <v/>
      </c>
      <c r="G1897" s="6" t="str">
        <f>IF(B1897="","",股指期货基差分析!$N$11)</f>
        <v/>
      </c>
      <c r="H1897" s="6" t="str">
        <f>IF(B1897="","",股指期货基差分析!$L$11)</f>
        <v/>
      </c>
      <c r="I1897" s="10" t="str">
        <f>IF(B1897="","",股指期货基差分析!$D$11)</f>
        <v/>
      </c>
      <c r="L1897" s="43"/>
    </row>
    <row r="1898" spans="2:12" ht="15" customHeight="1" x14ac:dyDescent="0.2">
      <c r="B1898" s="7"/>
      <c r="C1898" s="5" t="str">
        <f>IF(B1898="","",[1]!s_dq_close(股指期货基差分析!$E$5,$B1898))</f>
        <v/>
      </c>
      <c r="D1898" s="5" t="str">
        <f>IF(B1898="","",[1]!s_dq_close(股指期货基差分析!$E$6,$B1898))</f>
        <v/>
      </c>
      <c r="E1898" s="5" t="e">
        <f ca="1">RANK(F1898,F:F)+COUNTIF(F$2:F1898,F1898)-1</f>
        <v>#VALUE!</v>
      </c>
      <c r="F1898" s="5" t="str">
        <f t="shared" si="30"/>
        <v/>
      </c>
      <c r="G1898" s="5" t="str">
        <f>IF(B1898="","",股指期货基差分析!$N$11)</f>
        <v/>
      </c>
      <c r="H1898" s="5" t="str">
        <f>IF(B1898="","",股指期货基差分析!$L$11)</f>
        <v/>
      </c>
      <c r="I1898" s="9" t="str">
        <f>IF(B1898="","",股指期货基差分析!$D$11)</f>
        <v/>
      </c>
      <c r="L1898" s="43"/>
    </row>
    <row r="1899" spans="2:12" ht="15" customHeight="1" x14ac:dyDescent="0.2">
      <c r="B1899" s="8"/>
      <c r="C1899" s="6" t="str">
        <f>IF(B1899="","",[1]!s_dq_close(股指期货基差分析!$E$5,$B1899))</f>
        <v/>
      </c>
      <c r="D1899" s="6" t="str">
        <f>IF(B1899="","",[1]!s_dq_close(股指期货基差分析!$E$6,$B1899))</f>
        <v/>
      </c>
      <c r="E1899" s="6" t="e">
        <f ca="1">RANK(F1899,F:F)+COUNTIF(F$2:F1899,F1899)-1</f>
        <v>#VALUE!</v>
      </c>
      <c r="F1899" s="6" t="str">
        <f t="shared" si="30"/>
        <v/>
      </c>
      <c r="G1899" s="6" t="str">
        <f>IF(B1899="","",股指期货基差分析!$N$11)</f>
        <v/>
      </c>
      <c r="H1899" s="6" t="str">
        <f>IF(B1899="","",股指期货基差分析!$L$11)</f>
        <v/>
      </c>
      <c r="I1899" s="10" t="str">
        <f>IF(B1899="","",股指期货基差分析!$D$11)</f>
        <v/>
      </c>
      <c r="L1899" s="43"/>
    </row>
    <row r="1900" spans="2:12" ht="15" customHeight="1" x14ac:dyDescent="0.2">
      <c r="B1900" s="7"/>
      <c r="C1900" s="5" t="str">
        <f>IF(B1900="","",[1]!s_dq_close(股指期货基差分析!$E$5,$B1900))</f>
        <v/>
      </c>
      <c r="D1900" s="5" t="str">
        <f>IF(B1900="","",[1]!s_dq_close(股指期货基差分析!$E$6,$B1900))</f>
        <v/>
      </c>
      <c r="E1900" s="5" t="e">
        <f ca="1">RANK(F1900,F:F)+COUNTIF(F$2:F1900,F1900)-1</f>
        <v>#VALUE!</v>
      </c>
      <c r="F1900" s="5" t="str">
        <f t="shared" si="30"/>
        <v/>
      </c>
      <c r="G1900" s="5" t="str">
        <f>IF(B1900="","",股指期货基差分析!$N$11)</f>
        <v/>
      </c>
      <c r="H1900" s="5" t="str">
        <f>IF(B1900="","",股指期货基差分析!$L$11)</f>
        <v/>
      </c>
      <c r="I1900" s="9" t="str">
        <f>IF(B1900="","",股指期货基差分析!$D$11)</f>
        <v/>
      </c>
      <c r="L1900" s="43"/>
    </row>
    <row r="1901" spans="2:12" ht="15" customHeight="1" x14ac:dyDescent="0.2">
      <c r="B1901" s="8"/>
      <c r="C1901" s="6" t="str">
        <f>IF(B1901="","",[1]!s_dq_close(股指期货基差分析!$E$5,$B1901))</f>
        <v/>
      </c>
      <c r="D1901" s="6" t="str">
        <f>IF(B1901="","",[1]!s_dq_close(股指期货基差分析!$E$6,$B1901))</f>
        <v/>
      </c>
      <c r="E1901" s="6" t="e">
        <f ca="1">RANK(F1901,F:F)+COUNTIF(F$2:F1901,F1901)-1</f>
        <v>#VALUE!</v>
      </c>
      <c r="F1901" s="6" t="str">
        <f t="shared" si="30"/>
        <v/>
      </c>
      <c r="G1901" s="6" t="str">
        <f>IF(B1901="","",股指期货基差分析!$N$11)</f>
        <v/>
      </c>
      <c r="H1901" s="6" t="str">
        <f>IF(B1901="","",股指期货基差分析!$L$11)</f>
        <v/>
      </c>
      <c r="I1901" s="10" t="str">
        <f>IF(B1901="","",股指期货基差分析!$D$11)</f>
        <v/>
      </c>
      <c r="L1901" s="43"/>
    </row>
    <row r="1902" spans="2:12" ht="15" customHeight="1" x14ac:dyDescent="0.2">
      <c r="B1902" s="7"/>
      <c r="C1902" s="5" t="str">
        <f>IF(B1902="","",[1]!s_dq_close(股指期货基差分析!$E$5,$B1902))</f>
        <v/>
      </c>
      <c r="D1902" s="5" t="str">
        <f>IF(B1902="","",[1]!s_dq_close(股指期货基差分析!$E$6,$B1902))</f>
        <v/>
      </c>
      <c r="E1902" s="5" t="e">
        <f ca="1">RANK(F1902,F:F)+COUNTIF(F$2:F1902,F1902)-1</f>
        <v>#VALUE!</v>
      </c>
      <c r="F1902" s="5" t="str">
        <f t="shared" si="30"/>
        <v/>
      </c>
      <c r="G1902" s="5" t="str">
        <f>IF(B1902="","",股指期货基差分析!$N$11)</f>
        <v/>
      </c>
      <c r="H1902" s="5" t="str">
        <f>IF(B1902="","",股指期货基差分析!$L$11)</f>
        <v/>
      </c>
      <c r="I1902" s="9" t="str">
        <f>IF(B1902="","",股指期货基差分析!$D$11)</f>
        <v/>
      </c>
      <c r="L1902" s="43"/>
    </row>
    <row r="1903" spans="2:12" ht="15" customHeight="1" x14ac:dyDescent="0.2">
      <c r="B1903" s="8"/>
      <c r="C1903" s="6" t="str">
        <f>IF(B1903="","",[1]!s_dq_close(股指期货基差分析!$E$5,$B1903))</f>
        <v/>
      </c>
      <c r="D1903" s="6" t="str">
        <f>IF(B1903="","",[1]!s_dq_close(股指期货基差分析!$E$6,$B1903))</f>
        <v/>
      </c>
      <c r="E1903" s="6" t="e">
        <f ca="1">RANK(F1903,F:F)+COUNTIF(F$2:F1903,F1903)-1</f>
        <v>#VALUE!</v>
      </c>
      <c r="F1903" s="6" t="str">
        <f t="shared" si="30"/>
        <v/>
      </c>
      <c r="G1903" s="6" t="str">
        <f>IF(B1903="","",股指期货基差分析!$N$11)</f>
        <v/>
      </c>
      <c r="H1903" s="6" t="str">
        <f>IF(B1903="","",股指期货基差分析!$L$11)</f>
        <v/>
      </c>
      <c r="I1903" s="10" t="str">
        <f>IF(B1903="","",股指期货基差分析!$D$11)</f>
        <v/>
      </c>
      <c r="L1903" s="43"/>
    </row>
    <row r="1904" spans="2:12" ht="15" customHeight="1" x14ac:dyDescent="0.2">
      <c r="B1904" s="7"/>
      <c r="C1904" s="5" t="str">
        <f>IF(B1904="","",[1]!s_dq_close(股指期货基差分析!$E$5,$B1904))</f>
        <v/>
      </c>
      <c r="D1904" s="5" t="str">
        <f>IF(B1904="","",[1]!s_dq_close(股指期货基差分析!$E$6,$B1904))</f>
        <v/>
      </c>
      <c r="E1904" s="5" t="e">
        <f ca="1">RANK(F1904,F:F)+COUNTIF(F$2:F1904,F1904)-1</f>
        <v>#VALUE!</v>
      </c>
      <c r="F1904" s="5" t="str">
        <f t="shared" si="30"/>
        <v/>
      </c>
      <c r="G1904" s="5" t="str">
        <f>IF(B1904="","",股指期货基差分析!$N$11)</f>
        <v/>
      </c>
      <c r="H1904" s="5" t="str">
        <f>IF(B1904="","",股指期货基差分析!$L$11)</f>
        <v/>
      </c>
      <c r="I1904" s="9" t="str">
        <f>IF(B1904="","",股指期货基差分析!$D$11)</f>
        <v/>
      </c>
      <c r="L1904" s="43"/>
    </row>
    <row r="1905" spans="2:12" ht="15" customHeight="1" x14ac:dyDescent="0.2">
      <c r="B1905" s="8"/>
      <c r="C1905" s="6" t="str">
        <f>IF(B1905="","",[1]!s_dq_close(股指期货基差分析!$E$5,$B1905))</f>
        <v/>
      </c>
      <c r="D1905" s="6" t="str">
        <f>IF(B1905="","",[1]!s_dq_close(股指期货基差分析!$E$6,$B1905))</f>
        <v/>
      </c>
      <c r="E1905" s="6" t="e">
        <f ca="1">RANK(F1905,F:F)+COUNTIF(F$2:F1905,F1905)-1</f>
        <v>#VALUE!</v>
      </c>
      <c r="F1905" s="6" t="str">
        <f t="shared" si="30"/>
        <v/>
      </c>
      <c r="G1905" s="6" t="str">
        <f>IF(B1905="","",股指期货基差分析!$N$11)</f>
        <v/>
      </c>
      <c r="H1905" s="6" t="str">
        <f>IF(B1905="","",股指期货基差分析!$L$11)</f>
        <v/>
      </c>
      <c r="I1905" s="10" t="str">
        <f>IF(B1905="","",股指期货基差分析!$D$11)</f>
        <v/>
      </c>
      <c r="L1905" s="43"/>
    </row>
    <row r="1906" spans="2:12" ht="15" customHeight="1" x14ac:dyDescent="0.2">
      <c r="B1906" s="7"/>
      <c r="C1906" s="5" t="str">
        <f>IF(B1906="","",[1]!s_dq_close(股指期货基差分析!$E$5,$B1906))</f>
        <v/>
      </c>
      <c r="D1906" s="5" t="str">
        <f>IF(B1906="","",[1]!s_dq_close(股指期货基差分析!$E$6,$B1906))</f>
        <v/>
      </c>
      <c r="E1906" s="5" t="e">
        <f ca="1">RANK(F1906,F:F)+COUNTIF(F$2:F1906,F1906)-1</f>
        <v>#VALUE!</v>
      </c>
      <c r="F1906" s="5" t="str">
        <f t="shared" si="30"/>
        <v/>
      </c>
      <c r="G1906" s="5" t="str">
        <f>IF(B1906="","",股指期货基差分析!$N$11)</f>
        <v/>
      </c>
      <c r="H1906" s="5" t="str">
        <f>IF(B1906="","",股指期货基差分析!$L$11)</f>
        <v/>
      </c>
      <c r="I1906" s="9" t="str">
        <f>IF(B1906="","",股指期货基差分析!$D$11)</f>
        <v/>
      </c>
      <c r="L1906" s="43"/>
    </row>
    <row r="1907" spans="2:12" ht="15" customHeight="1" x14ac:dyDescent="0.2">
      <c r="B1907" s="8"/>
      <c r="C1907" s="6" t="str">
        <f>IF(B1907="","",[1]!s_dq_close(股指期货基差分析!$E$5,$B1907))</f>
        <v/>
      </c>
      <c r="D1907" s="6" t="str">
        <f>IF(B1907="","",[1]!s_dq_close(股指期货基差分析!$E$6,$B1907))</f>
        <v/>
      </c>
      <c r="E1907" s="6" t="e">
        <f ca="1">RANK(F1907,F:F)+COUNTIF(F$2:F1907,F1907)-1</f>
        <v>#VALUE!</v>
      </c>
      <c r="F1907" s="6" t="str">
        <f t="shared" si="30"/>
        <v/>
      </c>
      <c r="G1907" s="6" t="str">
        <f>IF(B1907="","",股指期货基差分析!$N$11)</f>
        <v/>
      </c>
      <c r="H1907" s="6" t="str">
        <f>IF(B1907="","",股指期货基差分析!$L$11)</f>
        <v/>
      </c>
      <c r="I1907" s="10" t="str">
        <f>IF(B1907="","",股指期货基差分析!$D$11)</f>
        <v/>
      </c>
      <c r="L1907" s="43"/>
    </row>
    <row r="1908" spans="2:12" ht="15" customHeight="1" x14ac:dyDescent="0.2">
      <c r="B1908" s="7"/>
      <c r="C1908" s="5" t="str">
        <f>IF(B1908="","",[1]!s_dq_close(股指期货基差分析!$E$5,$B1908))</f>
        <v/>
      </c>
      <c r="D1908" s="5" t="str">
        <f>IF(B1908="","",[1]!s_dq_close(股指期货基差分析!$E$6,$B1908))</f>
        <v/>
      </c>
      <c r="E1908" s="5" t="e">
        <f ca="1">RANK(F1908,F:F)+COUNTIF(F$2:F1908,F1908)-1</f>
        <v>#VALUE!</v>
      </c>
      <c r="F1908" s="5" t="str">
        <f t="shared" si="30"/>
        <v/>
      </c>
      <c r="G1908" s="5" t="str">
        <f>IF(B1908="","",股指期货基差分析!$N$11)</f>
        <v/>
      </c>
      <c r="H1908" s="5" t="str">
        <f>IF(B1908="","",股指期货基差分析!$L$11)</f>
        <v/>
      </c>
      <c r="I1908" s="9" t="str">
        <f>IF(B1908="","",股指期货基差分析!$D$11)</f>
        <v/>
      </c>
      <c r="L1908" s="43"/>
    </row>
    <row r="1909" spans="2:12" ht="15" customHeight="1" x14ac:dyDescent="0.2">
      <c r="B1909" s="8"/>
      <c r="C1909" s="6" t="str">
        <f>IF(B1909="","",[1]!s_dq_close(股指期货基差分析!$E$5,$B1909))</f>
        <v/>
      </c>
      <c r="D1909" s="6" t="str">
        <f>IF(B1909="","",[1]!s_dq_close(股指期货基差分析!$E$6,$B1909))</f>
        <v/>
      </c>
      <c r="E1909" s="6" t="e">
        <f ca="1">RANK(F1909,F:F)+COUNTIF(F$2:F1909,F1909)-1</f>
        <v>#VALUE!</v>
      </c>
      <c r="F1909" s="6" t="str">
        <f t="shared" si="30"/>
        <v/>
      </c>
      <c r="G1909" s="6" t="str">
        <f>IF(B1909="","",股指期货基差分析!$N$11)</f>
        <v/>
      </c>
      <c r="H1909" s="6" t="str">
        <f>IF(B1909="","",股指期货基差分析!$L$11)</f>
        <v/>
      </c>
      <c r="I1909" s="10" t="str">
        <f>IF(B1909="","",股指期货基差分析!$D$11)</f>
        <v/>
      </c>
      <c r="L1909" s="43"/>
    </row>
    <row r="1910" spans="2:12" ht="15" customHeight="1" x14ac:dyDescent="0.2">
      <c r="B1910" s="7"/>
      <c r="C1910" s="5" t="str">
        <f>IF(B1910="","",[1]!s_dq_close(股指期货基差分析!$E$5,$B1910))</f>
        <v/>
      </c>
      <c r="D1910" s="5" t="str">
        <f>IF(B1910="","",[1]!s_dq_close(股指期货基差分析!$E$6,$B1910))</f>
        <v/>
      </c>
      <c r="E1910" s="5" t="e">
        <f ca="1">RANK(F1910,F:F)+COUNTIF(F$2:F1910,F1910)-1</f>
        <v>#VALUE!</v>
      </c>
      <c r="F1910" s="5" t="str">
        <f t="shared" si="30"/>
        <v/>
      </c>
      <c r="G1910" s="5" t="str">
        <f>IF(B1910="","",股指期货基差分析!$N$11)</f>
        <v/>
      </c>
      <c r="H1910" s="5" t="str">
        <f>IF(B1910="","",股指期货基差分析!$L$11)</f>
        <v/>
      </c>
      <c r="I1910" s="9" t="str">
        <f>IF(B1910="","",股指期货基差分析!$D$11)</f>
        <v/>
      </c>
      <c r="L1910" s="43"/>
    </row>
    <row r="1911" spans="2:12" ht="15" customHeight="1" x14ac:dyDescent="0.2">
      <c r="B1911" s="8"/>
      <c r="C1911" s="6" t="str">
        <f>IF(B1911="","",[1]!s_dq_close(股指期货基差分析!$E$5,$B1911))</f>
        <v/>
      </c>
      <c r="D1911" s="6" t="str">
        <f>IF(B1911="","",[1]!s_dq_close(股指期货基差分析!$E$6,$B1911))</f>
        <v/>
      </c>
      <c r="E1911" s="6" t="e">
        <f ca="1">RANK(F1911,F:F)+COUNTIF(F$2:F1911,F1911)-1</f>
        <v>#VALUE!</v>
      </c>
      <c r="F1911" s="6" t="str">
        <f t="shared" si="30"/>
        <v/>
      </c>
      <c r="G1911" s="6" t="str">
        <f>IF(B1911="","",股指期货基差分析!$N$11)</f>
        <v/>
      </c>
      <c r="H1911" s="6" t="str">
        <f>IF(B1911="","",股指期货基差分析!$L$11)</f>
        <v/>
      </c>
      <c r="I1911" s="10" t="str">
        <f>IF(B1911="","",股指期货基差分析!$D$11)</f>
        <v/>
      </c>
      <c r="L1911" s="43"/>
    </row>
    <row r="1912" spans="2:12" ht="15" customHeight="1" x14ac:dyDescent="0.2">
      <c r="B1912" s="7"/>
      <c r="C1912" s="5" t="str">
        <f>IF(B1912="","",[1]!s_dq_close(股指期货基差分析!$E$5,$B1912))</f>
        <v/>
      </c>
      <c r="D1912" s="5" t="str">
        <f>IF(B1912="","",[1]!s_dq_close(股指期货基差分析!$E$6,$B1912))</f>
        <v/>
      </c>
      <c r="E1912" s="5" t="e">
        <f ca="1">RANK(F1912,F:F)+COUNTIF(F$2:F1912,F1912)-1</f>
        <v>#VALUE!</v>
      </c>
      <c r="F1912" s="5" t="str">
        <f t="shared" si="30"/>
        <v/>
      </c>
      <c r="G1912" s="5" t="str">
        <f>IF(B1912="","",股指期货基差分析!$N$11)</f>
        <v/>
      </c>
      <c r="H1912" s="5" t="str">
        <f>IF(B1912="","",股指期货基差分析!$L$11)</f>
        <v/>
      </c>
      <c r="I1912" s="9" t="str">
        <f>IF(B1912="","",股指期货基差分析!$D$11)</f>
        <v/>
      </c>
      <c r="L1912" s="43"/>
    </row>
    <row r="1913" spans="2:12" ht="15" customHeight="1" x14ac:dyDescent="0.2">
      <c r="B1913" s="8"/>
      <c r="C1913" s="6" t="str">
        <f>IF(B1913="","",[1]!s_dq_close(股指期货基差分析!$E$5,$B1913))</f>
        <v/>
      </c>
      <c r="D1913" s="6" t="str">
        <f>IF(B1913="","",[1]!s_dq_close(股指期货基差分析!$E$6,$B1913))</f>
        <v/>
      </c>
      <c r="E1913" s="6" t="e">
        <f ca="1">RANK(F1913,F:F)+COUNTIF(F$2:F1913,F1913)-1</f>
        <v>#VALUE!</v>
      </c>
      <c r="F1913" s="6" t="str">
        <f t="shared" si="30"/>
        <v/>
      </c>
      <c r="G1913" s="6" t="str">
        <f>IF(B1913="","",股指期货基差分析!$N$11)</f>
        <v/>
      </c>
      <c r="H1913" s="6" t="str">
        <f>IF(B1913="","",股指期货基差分析!$L$11)</f>
        <v/>
      </c>
      <c r="I1913" s="10" t="str">
        <f>IF(B1913="","",股指期货基差分析!$D$11)</f>
        <v/>
      </c>
      <c r="L1913" s="43"/>
    </row>
    <row r="1914" spans="2:12" ht="15" customHeight="1" x14ac:dyDescent="0.2">
      <c r="B1914" s="7"/>
      <c r="C1914" s="5" t="str">
        <f>IF(B1914="","",[1]!s_dq_close(股指期货基差分析!$E$5,$B1914))</f>
        <v/>
      </c>
      <c r="D1914" s="5" t="str">
        <f>IF(B1914="","",[1]!s_dq_close(股指期货基差分析!$E$6,$B1914))</f>
        <v/>
      </c>
      <c r="E1914" s="5" t="e">
        <f ca="1">RANK(F1914,F:F)+COUNTIF(F$2:F1914,F1914)-1</f>
        <v>#VALUE!</v>
      </c>
      <c r="F1914" s="5" t="str">
        <f t="shared" si="30"/>
        <v/>
      </c>
      <c r="G1914" s="5" t="str">
        <f>IF(B1914="","",股指期货基差分析!$N$11)</f>
        <v/>
      </c>
      <c r="H1914" s="5" t="str">
        <f>IF(B1914="","",股指期货基差分析!$L$11)</f>
        <v/>
      </c>
      <c r="I1914" s="9" t="str">
        <f>IF(B1914="","",股指期货基差分析!$D$11)</f>
        <v/>
      </c>
      <c r="L1914" s="43"/>
    </row>
    <row r="1915" spans="2:12" ht="15" customHeight="1" x14ac:dyDescent="0.2">
      <c r="B1915" s="8"/>
      <c r="C1915" s="6" t="str">
        <f>IF(B1915="","",[1]!s_dq_close(股指期货基差分析!$E$5,$B1915))</f>
        <v/>
      </c>
      <c r="D1915" s="6" t="str">
        <f>IF(B1915="","",[1]!s_dq_close(股指期货基差分析!$E$6,$B1915))</f>
        <v/>
      </c>
      <c r="E1915" s="6" t="e">
        <f ca="1">RANK(F1915,F:F)+COUNTIF(F$2:F1915,F1915)-1</f>
        <v>#VALUE!</v>
      </c>
      <c r="F1915" s="6" t="str">
        <f t="shared" si="30"/>
        <v/>
      </c>
      <c r="G1915" s="6" t="str">
        <f>IF(B1915="","",股指期货基差分析!$N$11)</f>
        <v/>
      </c>
      <c r="H1915" s="6" t="str">
        <f>IF(B1915="","",股指期货基差分析!$L$11)</f>
        <v/>
      </c>
      <c r="I1915" s="10" t="str">
        <f>IF(B1915="","",股指期货基差分析!$D$11)</f>
        <v/>
      </c>
      <c r="L1915" s="43"/>
    </row>
    <row r="1916" spans="2:12" ht="15" customHeight="1" x14ac:dyDescent="0.2">
      <c r="B1916" s="7"/>
      <c r="C1916" s="5" t="str">
        <f>IF(B1916="","",[1]!s_dq_close(股指期货基差分析!$E$5,$B1916))</f>
        <v/>
      </c>
      <c r="D1916" s="5" t="str">
        <f>IF(B1916="","",[1]!s_dq_close(股指期货基差分析!$E$6,$B1916))</f>
        <v/>
      </c>
      <c r="E1916" s="5" t="e">
        <f ca="1">RANK(F1916,F:F)+COUNTIF(F$2:F1916,F1916)-1</f>
        <v>#VALUE!</v>
      </c>
      <c r="F1916" s="5" t="str">
        <f t="shared" si="30"/>
        <v/>
      </c>
      <c r="G1916" s="5" t="str">
        <f>IF(B1916="","",股指期货基差分析!$N$11)</f>
        <v/>
      </c>
      <c r="H1916" s="5" t="str">
        <f>IF(B1916="","",股指期货基差分析!$L$11)</f>
        <v/>
      </c>
      <c r="I1916" s="9" t="str">
        <f>IF(B1916="","",股指期货基差分析!$D$11)</f>
        <v/>
      </c>
      <c r="L1916" s="43"/>
    </row>
    <row r="1917" spans="2:12" ht="15" customHeight="1" x14ac:dyDescent="0.2">
      <c r="B1917" s="8"/>
      <c r="C1917" s="6" t="str">
        <f>IF(B1917="","",[1]!s_dq_close(股指期货基差分析!$E$5,$B1917))</f>
        <v/>
      </c>
      <c r="D1917" s="6" t="str">
        <f>IF(B1917="","",[1]!s_dq_close(股指期货基差分析!$E$6,$B1917))</f>
        <v/>
      </c>
      <c r="E1917" s="6" t="e">
        <f ca="1">RANK(F1917,F:F)+COUNTIF(F$2:F1917,F1917)-1</f>
        <v>#VALUE!</v>
      </c>
      <c r="F1917" s="6" t="str">
        <f t="shared" si="30"/>
        <v/>
      </c>
      <c r="G1917" s="6" t="str">
        <f>IF(B1917="","",股指期货基差分析!$N$11)</f>
        <v/>
      </c>
      <c r="H1917" s="6" t="str">
        <f>IF(B1917="","",股指期货基差分析!$L$11)</f>
        <v/>
      </c>
      <c r="I1917" s="10" t="str">
        <f>IF(B1917="","",股指期货基差分析!$D$11)</f>
        <v/>
      </c>
      <c r="L1917" s="43"/>
    </row>
    <row r="1918" spans="2:12" ht="15" customHeight="1" x14ac:dyDescent="0.2">
      <c r="B1918" s="7"/>
      <c r="C1918" s="5" t="str">
        <f>IF(B1918="","",[1]!s_dq_close(股指期货基差分析!$E$5,$B1918))</f>
        <v/>
      </c>
      <c r="D1918" s="5" t="str">
        <f>IF(B1918="","",[1]!s_dq_close(股指期货基差分析!$E$6,$B1918))</f>
        <v/>
      </c>
      <c r="E1918" s="5" t="e">
        <f ca="1">RANK(F1918,F:F)+COUNTIF(F$2:F1918,F1918)-1</f>
        <v>#VALUE!</v>
      </c>
      <c r="F1918" s="5" t="str">
        <f t="shared" si="30"/>
        <v/>
      </c>
      <c r="G1918" s="5" t="str">
        <f>IF(B1918="","",股指期货基差分析!$N$11)</f>
        <v/>
      </c>
      <c r="H1918" s="5" t="str">
        <f>IF(B1918="","",股指期货基差分析!$L$11)</f>
        <v/>
      </c>
      <c r="I1918" s="9" t="str">
        <f>IF(B1918="","",股指期货基差分析!$D$11)</f>
        <v/>
      </c>
      <c r="L1918" s="43"/>
    </row>
    <row r="1919" spans="2:12" ht="15" customHeight="1" x14ac:dyDescent="0.2">
      <c r="B1919" s="8"/>
      <c r="C1919" s="6" t="str">
        <f>IF(B1919="","",[1]!s_dq_close(股指期货基差分析!$E$5,$B1919))</f>
        <v/>
      </c>
      <c r="D1919" s="6" t="str">
        <f>IF(B1919="","",[1]!s_dq_close(股指期货基差分析!$E$6,$B1919))</f>
        <v/>
      </c>
      <c r="E1919" s="6" t="e">
        <f ca="1">RANK(F1919,F:F)+COUNTIF(F$2:F1919,F1919)-1</f>
        <v>#VALUE!</v>
      </c>
      <c r="F1919" s="6" t="str">
        <f t="shared" si="30"/>
        <v/>
      </c>
      <c r="G1919" s="6" t="str">
        <f>IF(B1919="","",股指期货基差分析!$N$11)</f>
        <v/>
      </c>
      <c r="H1919" s="6" t="str">
        <f>IF(B1919="","",股指期货基差分析!$L$11)</f>
        <v/>
      </c>
      <c r="I1919" s="10" t="str">
        <f>IF(B1919="","",股指期货基差分析!$D$11)</f>
        <v/>
      </c>
      <c r="L1919" s="43"/>
    </row>
    <row r="1920" spans="2:12" ht="15" customHeight="1" x14ac:dyDescent="0.2">
      <c r="B1920" s="7"/>
      <c r="C1920" s="5" t="str">
        <f>IF(B1920="","",[1]!s_dq_close(股指期货基差分析!$E$5,$B1920))</f>
        <v/>
      </c>
      <c r="D1920" s="5" t="str">
        <f>IF(B1920="","",[1]!s_dq_close(股指期货基差分析!$E$6,$B1920))</f>
        <v/>
      </c>
      <c r="E1920" s="5" t="e">
        <f ca="1">RANK(F1920,F:F)+COUNTIF(F$2:F1920,F1920)-1</f>
        <v>#VALUE!</v>
      </c>
      <c r="F1920" s="5" t="str">
        <f t="shared" si="30"/>
        <v/>
      </c>
      <c r="G1920" s="5" t="str">
        <f>IF(B1920="","",股指期货基差分析!$N$11)</f>
        <v/>
      </c>
      <c r="H1920" s="5" t="str">
        <f>IF(B1920="","",股指期货基差分析!$L$11)</f>
        <v/>
      </c>
      <c r="I1920" s="9" t="str">
        <f>IF(B1920="","",股指期货基差分析!$D$11)</f>
        <v/>
      </c>
      <c r="L1920" s="43"/>
    </row>
    <row r="1921" spans="2:12" ht="15" customHeight="1" x14ac:dyDescent="0.2">
      <c r="B1921" s="8"/>
      <c r="C1921" s="6" t="str">
        <f>IF(B1921="","",[1]!s_dq_close(股指期货基差分析!$E$5,$B1921))</f>
        <v/>
      </c>
      <c r="D1921" s="6" t="str">
        <f>IF(B1921="","",[1]!s_dq_close(股指期货基差分析!$E$6,$B1921))</f>
        <v/>
      </c>
      <c r="E1921" s="6" t="e">
        <f ca="1">RANK(F1921,F:F)+COUNTIF(F$2:F1921,F1921)-1</f>
        <v>#VALUE!</v>
      </c>
      <c r="F1921" s="6" t="str">
        <f t="shared" si="30"/>
        <v/>
      </c>
      <c r="G1921" s="6" t="str">
        <f>IF(B1921="","",股指期货基差分析!$N$11)</f>
        <v/>
      </c>
      <c r="H1921" s="6" t="str">
        <f>IF(B1921="","",股指期货基差分析!$L$11)</f>
        <v/>
      </c>
      <c r="I1921" s="10" t="str">
        <f>IF(B1921="","",股指期货基差分析!$D$11)</f>
        <v/>
      </c>
      <c r="L1921" s="43"/>
    </row>
    <row r="1922" spans="2:12" ht="15" customHeight="1" x14ac:dyDescent="0.2">
      <c r="B1922" s="7"/>
      <c r="C1922" s="5" t="str">
        <f>IF(B1922="","",[1]!s_dq_close(股指期货基差分析!$E$5,$B1922))</f>
        <v/>
      </c>
      <c r="D1922" s="5" t="str">
        <f>IF(B1922="","",[1]!s_dq_close(股指期货基差分析!$E$6,$B1922))</f>
        <v/>
      </c>
      <c r="E1922" s="5" t="e">
        <f ca="1">RANK(F1922,F:F)+COUNTIF(F$2:F1922,F1922)-1</f>
        <v>#VALUE!</v>
      </c>
      <c r="F1922" s="5" t="str">
        <f t="shared" ref="F1922:F1985" si="31">IF(B1922="","",D1922-C1922)</f>
        <v/>
      </c>
      <c r="G1922" s="5" t="str">
        <f>IF(B1922="","",股指期货基差分析!$N$11)</f>
        <v/>
      </c>
      <c r="H1922" s="5" t="str">
        <f>IF(B1922="","",股指期货基差分析!$L$11)</f>
        <v/>
      </c>
      <c r="I1922" s="9" t="str">
        <f>IF(B1922="","",股指期货基差分析!$D$11)</f>
        <v/>
      </c>
      <c r="L1922" s="43"/>
    </row>
    <row r="1923" spans="2:12" ht="15" customHeight="1" x14ac:dyDescent="0.2">
      <c r="B1923" s="8"/>
      <c r="C1923" s="6" t="str">
        <f>IF(B1923="","",[1]!s_dq_close(股指期货基差分析!$E$5,$B1923))</f>
        <v/>
      </c>
      <c r="D1923" s="6" t="str">
        <f>IF(B1923="","",[1]!s_dq_close(股指期货基差分析!$E$6,$B1923))</f>
        <v/>
      </c>
      <c r="E1923" s="6" t="e">
        <f ca="1">RANK(F1923,F:F)+COUNTIF(F$2:F1923,F1923)-1</f>
        <v>#VALUE!</v>
      </c>
      <c r="F1923" s="6" t="str">
        <f t="shared" si="31"/>
        <v/>
      </c>
      <c r="G1923" s="6" t="str">
        <f>IF(B1923="","",股指期货基差分析!$N$11)</f>
        <v/>
      </c>
      <c r="H1923" s="6" t="str">
        <f>IF(B1923="","",股指期货基差分析!$L$11)</f>
        <v/>
      </c>
      <c r="I1923" s="10" t="str">
        <f>IF(B1923="","",股指期货基差分析!$D$11)</f>
        <v/>
      </c>
      <c r="L1923" s="43"/>
    </row>
    <row r="1924" spans="2:12" ht="15" customHeight="1" x14ac:dyDescent="0.2">
      <c r="B1924" s="7"/>
      <c r="C1924" s="5" t="str">
        <f>IF(B1924="","",[1]!s_dq_close(股指期货基差分析!$E$5,$B1924))</f>
        <v/>
      </c>
      <c r="D1924" s="5" t="str">
        <f>IF(B1924="","",[1]!s_dq_close(股指期货基差分析!$E$6,$B1924))</f>
        <v/>
      </c>
      <c r="E1924" s="5" t="e">
        <f ca="1">RANK(F1924,F:F)+COUNTIF(F$2:F1924,F1924)-1</f>
        <v>#VALUE!</v>
      </c>
      <c r="F1924" s="5" t="str">
        <f t="shared" si="31"/>
        <v/>
      </c>
      <c r="G1924" s="5" t="str">
        <f>IF(B1924="","",股指期货基差分析!$N$11)</f>
        <v/>
      </c>
      <c r="H1924" s="5" t="str">
        <f>IF(B1924="","",股指期货基差分析!$L$11)</f>
        <v/>
      </c>
      <c r="I1924" s="9" t="str">
        <f>IF(B1924="","",股指期货基差分析!$D$11)</f>
        <v/>
      </c>
      <c r="L1924" s="43"/>
    </row>
    <row r="1925" spans="2:12" ht="15" customHeight="1" x14ac:dyDescent="0.2">
      <c r="B1925" s="8"/>
      <c r="C1925" s="6" t="str">
        <f>IF(B1925="","",[1]!s_dq_close(股指期货基差分析!$E$5,$B1925))</f>
        <v/>
      </c>
      <c r="D1925" s="6" t="str">
        <f>IF(B1925="","",[1]!s_dq_close(股指期货基差分析!$E$6,$B1925))</f>
        <v/>
      </c>
      <c r="E1925" s="6" t="e">
        <f ca="1">RANK(F1925,F:F)+COUNTIF(F$2:F1925,F1925)-1</f>
        <v>#VALUE!</v>
      </c>
      <c r="F1925" s="6" t="str">
        <f t="shared" si="31"/>
        <v/>
      </c>
      <c r="G1925" s="6" t="str">
        <f>IF(B1925="","",股指期货基差分析!$N$11)</f>
        <v/>
      </c>
      <c r="H1925" s="6" t="str">
        <f>IF(B1925="","",股指期货基差分析!$L$11)</f>
        <v/>
      </c>
      <c r="I1925" s="10" t="str">
        <f>IF(B1925="","",股指期货基差分析!$D$11)</f>
        <v/>
      </c>
      <c r="L1925" s="43"/>
    </row>
    <row r="1926" spans="2:12" ht="15" customHeight="1" x14ac:dyDescent="0.2">
      <c r="B1926" s="7"/>
      <c r="C1926" s="5" t="str">
        <f>IF(B1926="","",[1]!s_dq_close(股指期货基差分析!$E$5,$B1926))</f>
        <v/>
      </c>
      <c r="D1926" s="5" t="str">
        <f>IF(B1926="","",[1]!s_dq_close(股指期货基差分析!$E$6,$B1926))</f>
        <v/>
      </c>
      <c r="E1926" s="5" t="e">
        <f ca="1">RANK(F1926,F:F)+COUNTIF(F$2:F1926,F1926)-1</f>
        <v>#VALUE!</v>
      </c>
      <c r="F1926" s="5" t="str">
        <f t="shared" si="31"/>
        <v/>
      </c>
      <c r="G1926" s="5" t="str">
        <f>IF(B1926="","",股指期货基差分析!$N$11)</f>
        <v/>
      </c>
      <c r="H1926" s="5" t="str">
        <f>IF(B1926="","",股指期货基差分析!$L$11)</f>
        <v/>
      </c>
      <c r="I1926" s="9" t="str">
        <f>IF(B1926="","",股指期货基差分析!$D$11)</f>
        <v/>
      </c>
      <c r="L1926" s="43"/>
    </row>
    <row r="1927" spans="2:12" ht="15" customHeight="1" x14ac:dyDescent="0.2">
      <c r="B1927" s="8"/>
      <c r="C1927" s="6" t="str">
        <f>IF(B1927="","",[1]!s_dq_close(股指期货基差分析!$E$5,$B1927))</f>
        <v/>
      </c>
      <c r="D1927" s="6" t="str">
        <f>IF(B1927="","",[1]!s_dq_close(股指期货基差分析!$E$6,$B1927))</f>
        <v/>
      </c>
      <c r="E1927" s="6" t="e">
        <f ca="1">RANK(F1927,F:F)+COUNTIF(F$2:F1927,F1927)-1</f>
        <v>#VALUE!</v>
      </c>
      <c r="F1927" s="6" t="str">
        <f t="shared" si="31"/>
        <v/>
      </c>
      <c r="G1927" s="6" t="str">
        <f>IF(B1927="","",股指期货基差分析!$N$11)</f>
        <v/>
      </c>
      <c r="H1927" s="6" t="str">
        <f>IF(B1927="","",股指期货基差分析!$L$11)</f>
        <v/>
      </c>
      <c r="I1927" s="10" t="str">
        <f>IF(B1927="","",股指期货基差分析!$D$11)</f>
        <v/>
      </c>
      <c r="L1927" s="43"/>
    </row>
    <row r="1928" spans="2:12" ht="15" customHeight="1" x14ac:dyDescent="0.2">
      <c r="B1928" s="7"/>
      <c r="C1928" s="5" t="str">
        <f>IF(B1928="","",[1]!s_dq_close(股指期货基差分析!$E$5,$B1928))</f>
        <v/>
      </c>
      <c r="D1928" s="5" t="str">
        <f>IF(B1928="","",[1]!s_dq_close(股指期货基差分析!$E$6,$B1928))</f>
        <v/>
      </c>
      <c r="E1928" s="5" t="e">
        <f ca="1">RANK(F1928,F:F)+COUNTIF(F$2:F1928,F1928)-1</f>
        <v>#VALUE!</v>
      </c>
      <c r="F1928" s="5" t="str">
        <f t="shared" si="31"/>
        <v/>
      </c>
      <c r="G1928" s="5" t="str">
        <f>IF(B1928="","",股指期货基差分析!$N$11)</f>
        <v/>
      </c>
      <c r="H1928" s="5" t="str">
        <f>IF(B1928="","",股指期货基差分析!$L$11)</f>
        <v/>
      </c>
      <c r="I1928" s="9" t="str">
        <f>IF(B1928="","",股指期货基差分析!$D$11)</f>
        <v/>
      </c>
      <c r="L1928" s="43"/>
    </row>
    <row r="1929" spans="2:12" ht="15" customHeight="1" x14ac:dyDescent="0.2">
      <c r="B1929" s="8"/>
      <c r="C1929" s="6" t="str">
        <f>IF(B1929="","",[1]!s_dq_close(股指期货基差分析!$E$5,$B1929))</f>
        <v/>
      </c>
      <c r="D1929" s="6" t="str">
        <f>IF(B1929="","",[1]!s_dq_close(股指期货基差分析!$E$6,$B1929))</f>
        <v/>
      </c>
      <c r="E1929" s="6" t="e">
        <f ca="1">RANK(F1929,F:F)+COUNTIF(F$2:F1929,F1929)-1</f>
        <v>#VALUE!</v>
      </c>
      <c r="F1929" s="6" t="str">
        <f t="shared" si="31"/>
        <v/>
      </c>
      <c r="G1929" s="6" t="str">
        <f>IF(B1929="","",股指期货基差分析!$N$11)</f>
        <v/>
      </c>
      <c r="H1929" s="6" t="str">
        <f>IF(B1929="","",股指期货基差分析!$L$11)</f>
        <v/>
      </c>
      <c r="I1929" s="10" t="str">
        <f>IF(B1929="","",股指期货基差分析!$D$11)</f>
        <v/>
      </c>
      <c r="L1929" s="43"/>
    </row>
    <row r="1930" spans="2:12" ht="15" customHeight="1" x14ac:dyDescent="0.2">
      <c r="B1930" s="7"/>
      <c r="C1930" s="5" t="str">
        <f>IF(B1930="","",[1]!s_dq_close(股指期货基差分析!$E$5,$B1930))</f>
        <v/>
      </c>
      <c r="D1930" s="5" t="str">
        <f>IF(B1930="","",[1]!s_dq_close(股指期货基差分析!$E$6,$B1930))</f>
        <v/>
      </c>
      <c r="E1930" s="5" t="e">
        <f ca="1">RANK(F1930,F:F)+COUNTIF(F$2:F1930,F1930)-1</f>
        <v>#VALUE!</v>
      </c>
      <c r="F1930" s="5" t="str">
        <f t="shared" si="31"/>
        <v/>
      </c>
      <c r="G1930" s="5" t="str">
        <f>IF(B1930="","",股指期货基差分析!$N$11)</f>
        <v/>
      </c>
      <c r="H1930" s="5" t="str">
        <f>IF(B1930="","",股指期货基差分析!$L$11)</f>
        <v/>
      </c>
      <c r="I1930" s="9" t="str">
        <f>IF(B1930="","",股指期货基差分析!$D$11)</f>
        <v/>
      </c>
      <c r="L1930" s="43"/>
    </row>
    <row r="1931" spans="2:12" ht="15" customHeight="1" x14ac:dyDescent="0.2">
      <c r="B1931" s="8"/>
      <c r="C1931" s="6" t="str">
        <f>IF(B1931="","",[1]!s_dq_close(股指期货基差分析!$E$5,$B1931))</f>
        <v/>
      </c>
      <c r="D1931" s="6" t="str">
        <f>IF(B1931="","",[1]!s_dq_close(股指期货基差分析!$E$6,$B1931))</f>
        <v/>
      </c>
      <c r="E1931" s="6" t="e">
        <f ca="1">RANK(F1931,F:F)+COUNTIF(F$2:F1931,F1931)-1</f>
        <v>#VALUE!</v>
      </c>
      <c r="F1931" s="6" t="str">
        <f t="shared" si="31"/>
        <v/>
      </c>
      <c r="G1931" s="6" t="str">
        <f>IF(B1931="","",股指期货基差分析!$N$11)</f>
        <v/>
      </c>
      <c r="H1931" s="6" t="str">
        <f>IF(B1931="","",股指期货基差分析!$L$11)</f>
        <v/>
      </c>
      <c r="I1931" s="10" t="str">
        <f>IF(B1931="","",股指期货基差分析!$D$11)</f>
        <v/>
      </c>
      <c r="L1931" s="43"/>
    </row>
    <row r="1932" spans="2:12" ht="15" customHeight="1" x14ac:dyDescent="0.2">
      <c r="B1932" s="7"/>
      <c r="C1932" s="5" t="str">
        <f>IF(B1932="","",[1]!s_dq_close(股指期货基差分析!$E$5,$B1932))</f>
        <v/>
      </c>
      <c r="D1932" s="5" t="str">
        <f>IF(B1932="","",[1]!s_dq_close(股指期货基差分析!$E$6,$B1932))</f>
        <v/>
      </c>
      <c r="E1932" s="5" t="e">
        <f ca="1">RANK(F1932,F:F)+COUNTIF(F$2:F1932,F1932)-1</f>
        <v>#VALUE!</v>
      </c>
      <c r="F1932" s="5" t="str">
        <f t="shared" si="31"/>
        <v/>
      </c>
      <c r="G1932" s="5" t="str">
        <f>IF(B1932="","",股指期货基差分析!$N$11)</f>
        <v/>
      </c>
      <c r="H1932" s="5" t="str">
        <f>IF(B1932="","",股指期货基差分析!$L$11)</f>
        <v/>
      </c>
      <c r="I1932" s="9" t="str">
        <f>IF(B1932="","",股指期货基差分析!$D$11)</f>
        <v/>
      </c>
      <c r="L1932" s="43"/>
    </row>
    <row r="1933" spans="2:12" ht="15" customHeight="1" x14ac:dyDescent="0.2">
      <c r="B1933" s="8"/>
      <c r="C1933" s="6" t="str">
        <f>IF(B1933="","",[1]!s_dq_close(股指期货基差分析!$E$5,$B1933))</f>
        <v/>
      </c>
      <c r="D1933" s="6" t="str">
        <f>IF(B1933="","",[1]!s_dq_close(股指期货基差分析!$E$6,$B1933))</f>
        <v/>
      </c>
      <c r="E1933" s="6" t="e">
        <f ca="1">RANK(F1933,F:F)+COUNTIF(F$2:F1933,F1933)-1</f>
        <v>#VALUE!</v>
      </c>
      <c r="F1933" s="6" t="str">
        <f t="shared" si="31"/>
        <v/>
      </c>
      <c r="G1933" s="6" t="str">
        <f>IF(B1933="","",股指期货基差分析!$N$11)</f>
        <v/>
      </c>
      <c r="H1933" s="6" t="str">
        <f>IF(B1933="","",股指期货基差分析!$L$11)</f>
        <v/>
      </c>
      <c r="I1933" s="10" t="str">
        <f>IF(B1933="","",股指期货基差分析!$D$11)</f>
        <v/>
      </c>
      <c r="L1933" s="43"/>
    </row>
    <row r="1934" spans="2:12" ht="15" customHeight="1" x14ac:dyDescent="0.2">
      <c r="B1934" s="7"/>
      <c r="C1934" s="5" t="str">
        <f>IF(B1934="","",[1]!s_dq_close(股指期货基差分析!$E$5,$B1934))</f>
        <v/>
      </c>
      <c r="D1934" s="5" t="str">
        <f>IF(B1934="","",[1]!s_dq_close(股指期货基差分析!$E$6,$B1934))</f>
        <v/>
      </c>
      <c r="E1934" s="5" t="e">
        <f ca="1">RANK(F1934,F:F)+COUNTIF(F$2:F1934,F1934)-1</f>
        <v>#VALUE!</v>
      </c>
      <c r="F1934" s="5" t="str">
        <f t="shared" si="31"/>
        <v/>
      </c>
      <c r="G1934" s="5" t="str">
        <f>IF(B1934="","",股指期货基差分析!$N$11)</f>
        <v/>
      </c>
      <c r="H1934" s="5" t="str">
        <f>IF(B1934="","",股指期货基差分析!$L$11)</f>
        <v/>
      </c>
      <c r="I1934" s="9" t="str">
        <f>IF(B1934="","",股指期货基差分析!$D$11)</f>
        <v/>
      </c>
      <c r="L1934" s="43"/>
    </row>
    <row r="1935" spans="2:12" ht="15" customHeight="1" x14ac:dyDescent="0.2">
      <c r="B1935" s="8"/>
      <c r="C1935" s="6" t="str">
        <f>IF(B1935="","",[1]!s_dq_close(股指期货基差分析!$E$5,$B1935))</f>
        <v/>
      </c>
      <c r="D1935" s="6" t="str">
        <f>IF(B1935="","",[1]!s_dq_close(股指期货基差分析!$E$6,$B1935))</f>
        <v/>
      </c>
      <c r="E1935" s="6" t="e">
        <f ca="1">RANK(F1935,F:F)+COUNTIF(F$2:F1935,F1935)-1</f>
        <v>#VALUE!</v>
      </c>
      <c r="F1935" s="6" t="str">
        <f t="shared" si="31"/>
        <v/>
      </c>
      <c r="G1935" s="6" t="str">
        <f>IF(B1935="","",股指期货基差分析!$N$11)</f>
        <v/>
      </c>
      <c r="H1935" s="6" t="str">
        <f>IF(B1935="","",股指期货基差分析!$L$11)</f>
        <v/>
      </c>
      <c r="I1935" s="10" t="str">
        <f>IF(B1935="","",股指期货基差分析!$D$11)</f>
        <v/>
      </c>
      <c r="L1935" s="43"/>
    </row>
    <row r="1936" spans="2:12" ht="15" customHeight="1" x14ac:dyDescent="0.2">
      <c r="B1936" s="7"/>
      <c r="C1936" s="5" t="str">
        <f>IF(B1936="","",[1]!s_dq_close(股指期货基差分析!$E$5,$B1936))</f>
        <v/>
      </c>
      <c r="D1936" s="5" t="str">
        <f>IF(B1936="","",[1]!s_dq_close(股指期货基差分析!$E$6,$B1936))</f>
        <v/>
      </c>
      <c r="E1936" s="5" t="e">
        <f ca="1">RANK(F1936,F:F)+COUNTIF(F$2:F1936,F1936)-1</f>
        <v>#VALUE!</v>
      </c>
      <c r="F1936" s="5" t="str">
        <f t="shared" si="31"/>
        <v/>
      </c>
      <c r="G1936" s="5" t="str">
        <f>IF(B1936="","",股指期货基差分析!$N$11)</f>
        <v/>
      </c>
      <c r="H1936" s="5" t="str">
        <f>IF(B1936="","",股指期货基差分析!$L$11)</f>
        <v/>
      </c>
      <c r="I1936" s="9" t="str">
        <f>IF(B1936="","",股指期货基差分析!$D$11)</f>
        <v/>
      </c>
      <c r="L1936" s="43"/>
    </row>
    <row r="1937" spans="2:12" ht="15" customHeight="1" x14ac:dyDescent="0.2">
      <c r="B1937" s="8"/>
      <c r="C1937" s="6" t="str">
        <f>IF(B1937="","",[1]!s_dq_close(股指期货基差分析!$E$5,$B1937))</f>
        <v/>
      </c>
      <c r="D1937" s="6" t="str">
        <f>IF(B1937="","",[1]!s_dq_close(股指期货基差分析!$E$6,$B1937))</f>
        <v/>
      </c>
      <c r="E1937" s="6" t="e">
        <f ca="1">RANK(F1937,F:F)+COUNTIF(F$2:F1937,F1937)-1</f>
        <v>#VALUE!</v>
      </c>
      <c r="F1937" s="6" t="str">
        <f t="shared" si="31"/>
        <v/>
      </c>
      <c r="G1937" s="6" t="str">
        <f>IF(B1937="","",股指期货基差分析!$N$11)</f>
        <v/>
      </c>
      <c r="H1937" s="6" t="str">
        <f>IF(B1937="","",股指期货基差分析!$L$11)</f>
        <v/>
      </c>
      <c r="I1937" s="10" t="str">
        <f>IF(B1937="","",股指期货基差分析!$D$11)</f>
        <v/>
      </c>
      <c r="L1937" s="43"/>
    </row>
    <row r="1938" spans="2:12" ht="15" customHeight="1" x14ac:dyDescent="0.2">
      <c r="B1938" s="7"/>
      <c r="C1938" s="5" t="str">
        <f>IF(B1938="","",[1]!s_dq_close(股指期货基差分析!$E$5,$B1938))</f>
        <v/>
      </c>
      <c r="D1938" s="5" t="str">
        <f>IF(B1938="","",[1]!s_dq_close(股指期货基差分析!$E$6,$B1938))</f>
        <v/>
      </c>
      <c r="E1938" s="5" t="e">
        <f ca="1">RANK(F1938,F:F)+COUNTIF(F$2:F1938,F1938)-1</f>
        <v>#VALUE!</v>
      </c>
      <c r="F1938" s="5" t="str">
        <f t="shared" si="31"/>
        <v/>
      </c>
      <c r="G1938" s="5" t="str">
        <f>IF(B1938="","",股指期货基差分析!$N$11)</f>
        <v/>
      </c>
      <c r="H1938" s="5" t="str">
        <f>IF(B1938="","",股指期货基差分析!$L$11)</f>
        <v/>
      </c>
      <c r="I1938" s="9" t="str">
        <f>IF(B1938="","",股指期货基差分析!$D$11)</f>
        <v/>
      </c>
      <c r="L1938" s="43"/>
    </row>
    <row r="1939" spans="2:12" ht="15" customHeight="1" x14ac:dyDescent="0.2">
      <c r="B1939" s="8"/>
      <c r="C1939" s="6" t="str">
        <f>IF(B1939="","",[1]!s_dq_close(股指期货基差分析!$E$5,$B1939))</f>
        <v/>
      </c>
      <c r="D1939" s="6" t="str">
        <f>IF(B1939="","",[1]!s_dq_close(股指期货基差分析!$E$6,$B1939))</f>
        <v/>
      </c>
      <c r="E1939" s="6" t="e">
        <f ca="1">RANK(F1939,F:F)+COUNTIF(F$2:F1939,F1939)-1</f>
        <v>#VALUE!</v>
      </c>
      <c r="F1939" s="6" t="str">
        <f t="shared" si="31"/>
        <v/>
      </c>
      <c r="G1939" s="6" t="str">
        <f>IF(B1939="","",股指期货基差分析!$N$11)</f>
        <v/>
      </c>
      <c r="H1939" s="6" t="str">
        <f>IF(B1939="","",股指期货基差分析!$L$11)</f>
        <v/>
      </c>
      <c r="I1939" s="10" t="str">
        <f>IF(B1939="","",股指期货基差分析!$D$11)</f>
        <v/>
      </c>
      <c r="L1939" s="43"/>
    </row>
    <row r="1940" spans="2:12" ht="15" customHeight="1" x14ac:dyDescent="0.2">
      <c r="B1940" s="7"/>
      <c r="C1940" s="5" t="str">
        <f>IF(B1940="","",[1]!s_dq_close(股指期货基差分析!$E$5,$B1940))</f>
        <v/>
      </c>
      <c r="D1940" s="5" t="str">
        <f>IF(B1940="","",[1]!s_dq_close(股指期货基差分析!$E$6,$B1940))</f>
        <v/>
      </c>
      <c r="E1940" s="5" t="e">
        <f ca="1">RANK(F1940,F:F)+COUNTIF(F$2:F1940,F1940)-1</f>
        <v>#VALUE!</v>
      </c>
      <c r="F1940" s="5" t="str">
        <f t="shared" si="31"/>
        <v/>
      </c>
      <c r="G1940" s="5" t="str">
        <f>IF(B1940="","",股指期货基差分析!$N$11)</f>
        <v/>
      </c>
      <c r="H1940" s="5" t="str">
        <f>IF(B1940="","",股指期货基差分析!$L$11)</f>
        <v/>
      </c>
      <c r="I1940" s="9" t="str">
        <f>IF(B1940="","",股指期货基差分析!$D$11)</f>
        <v/>
      </c>
      <c r="L1940" s="43"/>
    </row>
    <row r="1941" spans="2:12" ht="15" customHeight="1" x14ac:dyDescent="0.2">
      <c r="B1941" s="8"/>
      <c r="C1941" s="6" t="str">
        <f>IF(B1941="","",[1]!s_dq_close(股指期货基差分析!$E$5,$B1941))</f>
        <v/>
      </c>
      <c r="D1941" s="6" t="str">
        <f>IF(B1941="","",[1]!s_dq_close(股指期货基差分析!$E$6,$B1941))</f>
        <v/>
      </c>
      <c r="E1941" s="6" t="e">
        <f ca="1">RANK(F1941,F:F)+COUNTIF(F$2:F1941,F1941)-1</f>
        <v>#VALUE!</v>
      </c>
      <c r="F1941" s="6" t="str">
        <f t="shared" si="31"/>
        <v/>
      </c>
      <c r="G1941" s="6" t="str">
        <f>IF(B1941="","",股指期货基差分析!$N$11)</f>
        <v/>
      </c>
      <c r="H1941" s="6" t="str">
        <f>IF(B1941="","",股指期货基差分析!$L$11)</f>
        <v/>
      </c>
      <c r="I1941" s="10" t="str">
        <f>IF(B1941="","",股指期货基差分析!$D$11)</f>
        <v/>
      </c>
      <c r="L1941" s="43"/>
    </row>
    <row r="1942" spans="2:12" ht="15" customHeight="1" x14ac:dyDescent="0.2">
      <c r="B1942" s="7"/>
      <c r="C1942" s="5" t="str">
        <f>IF(B1942="","",[1]!s_dq_close(股指期货基差分析!$E$5,$B1942))</f>
        <v/>
      </c>
      <c r="D1942" s="5" t="str">
        <f>IF(B1942="","",[1]!s_dq_close(股指期货基差分析!$E$6,$B1942))</f>
        <v/>
      </c>
      <c r="E1942" s="5" t="e">
        <f ca="1">RANK(F1942,F:F)+COUNTIF(F$2:F1942,F1942)-1</f>
        <v>#VALUE!</v>
      </c>
      <c r="F1942" s="5" t="str">
        <f t="shared" si="31"/>
        <v/>
      </c>
      <c r="G1942" s="5" t="str">
        <f>IF(B1942="","",股指期货基差分析!$N$11)</f>
        <v/>
      </c>
      <c r="H1942" s="5" t="str">
        <f>IF(B1942="","",股指期货基差分析!$L$11)</f>
        <v/>
      </c>
      <c r="I1942" s="9" t="str">
        <f>IF(B1942="","",股指期货基差分析!$D$11)</f>
        <v/>
      </c>
      <c r="L1942" s="43"/>
    </row>
    <row r="1943" spans="2:12" ht="15" customHeight="1" x14ac:dyDescent="0.2">
      <c r="B1943" s="8"/>
      <c r="C1943" s="6" t="str">
        <f>IF(B1943="","",[1]!s_dq_close(股指期货基差分析!$E$5,$B1943))</f>
        <v/>
      </c>
      <c r="D1943" s="6" t="str">
        <f>IF(B1943="","",[1]!s_dq_close(股指期货基差分析!$E$6,$B1943))</f>
        <v/>
      </c>
      <c r="E1943" s="6" t="e">
        <f ca="1">RANK(F1943,F:F)+COUNTIF(F$2:F1943,F1943)-1</f>
        <v>#VALUE!</v>
      </c>
      <c r="F1943" s="6" t="str">
        <f t="shared" si="31"/>
        <v/>
      </c>
      <c r="G1943" s="6" t="str">
        <f>IF(B1943="","",股指期货基差分析!$N$11)</f>
        <v/>
      </c>
      <c r="H1943" s="6" t="str">
        <f>IF(B1943="","",股指期货基差分析!$L$11)</f>
        <v/>
      </c>
      <c r="I1943" s="10" t="str">
        <f>IF(B1943="","",股指期货基差分析!$D$11)</f>
        <v/>
      </c>
      <c r="L1943" s="43"/>
    </row>
    <row r="1944" spans="2:12" ht="15" customHeight="1" x14ac:dyDescent="0.2">
      <c r="B1944" s="7"/>
      <c r="C1944" s="5" t="str">
        <f>IF(B1944="","",[1]!s_dq_close(股指期货基差分析!$E$5,$B1944))</f>
        <v/>
      </c>
      <c r="D1944" s="5" t="str">
        <f>IF(B1944="","",[1]!s_dq_close(股指期货基差分析!$E$6,$B1944))</f>
        <v/>
      </c>
      <c r="E1944" s="5" t="e">
        <f ca="1">RANK(F1944,F:F)+COUNTIF(F$2:F1944,F1944)-1</f>
        <v>#VALUE!</v>
      </c>
      <c r="F1944" s="5" t="str">
        <f t="shared" si="31"/>
        <v/>
      </c>
      <c r="G1944" s="5" t="str">
        <f>IF(B1944="","",股指期货基差分析!$N$11)</f>
        <v/>
      </c>
      <c r="H1944" s="5" t="str">
        <f>IF(B1944="","",股指期货基差分析!$L$11)</f>
        <v/>
      </c>
      <c r="I1944" s="9" t="str">
        <f>IF(B1944="","",股指期货基差分析!$D$11)</f>
        <v/>
      </c>
      <c r="L1944" s="43"/>
    </row>
    <row r="1945" spans="2:12" ht="15" customHeight="1" x14ac:dyDescent="0.2">
      <c r="B1945" s="8"/>
      <c r="C1945" s="6" t="str">
        <f>IF(B1945="","",[1]!s_dq_close(股指期货基差分析!$E$5,$B1945))</f>
        <v/>
      </c>
      <c r="D1945" s="6" t="str">
        <f>IF(B1945="","",[1]!s_dq_close(股指期货基差分析!$E$6,$B1945))</f>
        <v/>
      </c>
      <c r="E1945" s="6" t="e">
        <f ca="1">RANK(F1945,F:F)+COUNTIF(F$2:F1945,F1945)-1</f>
        <v>#VALUE!</v>
      </c>
      <c r="F1945" s="6" t="str">
        <f t="shared" si="31"/>
        <v/>
      </c>
      <c r="G1945" s="6" t="str">
        <f>IF(B1945="","",股指期货基差分析!$N$11)</f>
        <v/>
      </c>
      <c r="H1945" s="6" t="str">
        <f>IF(B1945="","",股指期货基差分析!$L$11)</f>
        <v/>
      </c>
      <c r="I1945" s="10" t="str">
        <f>IF(B1945="","",股指期货基差分析!$D$11)</f>
        <v/>
      </c>
      <c r="L1945" s="43"/>
    </row>
    <row r="1946" spans="2:12" ht="15" customHeight="1" x14ac:dyDescent="0.2">
      <c r="B1946" s="7"/>
      <c r="C1946" s="5" t="str">
        <f>IF(B1946="","",[1]!s_dq_close(股指期货基差分析!$E$5,$B1946))</f>
        <v/>
      </c>
      <c r="D1946" s="5" t="str">
        <f>IF(B1946="","",[1]!s_dq_close(股指期货基差分析!$E$6,$B1946))</f>
        <v/>
      </c>
      <c r="E1946" s="5" t="e">
        <f ca="1">RANK(F1946,F:F)+COUNTIF(F$2:F1946,F1946)-1</f>
        <v>#VALUE!</v>
      </c>
      <c r="F1946" s="5" t="str">
        <f t="shared" si="31"/>
        <v/>
      </c>
      <c r="G1946" s="5" t="str">
        <f>IF(B1946="","",股指期货基差分析!$N$11)</f>
        <v/>
      </c>
      <c r="H1946" s="5" t="str">
        <f>IF(B1946="","",股指期货基差分析!$L$11)</f>
        <v/>
      </c>
      <c r="I1946" s="9" t="str">
        <f>IF(B1946="","",股指期货基差分析!$D$11)</f>
        <v/>
      </c>
      <c r="L1946" s="43"/>
    </row>
    <row r="1947" spans="2:12" ht="15" customHeight="1" x14ac:dyDescent="0.2">
      <c r="B1947" s="8"/>
      <c r="C1947" s="6" t="str">
        <f>IF(B1947="","",[1]!s_dq_close(股指期货基差分析!$E$5,$B1947))</f>
        <v/>
      </c>
      <c r="D1947" s="6" t="str">
        <f>IF(B1947="","",[1]!s_dq_close(股指期货基差分析!$E$6,$B1947))</f>
        <v/>
      </c>
      <c r="E1947" s="6" t="e">
        <f ca="1">RANK(F1947,F:F)+COUNTIF(F$2:F1947,F1947)-1</f>
        <v>#VALUE!</v>
      </c>
      <c r="F1947" s="6" t="str">
        <f t="shared" si="31"/>
        <v/>
      </c>
      <c r="G1947" s="6" t="str">
        <f>IF(B1947="","",股指期货基差分析!$N$11)</f>
        <v/>
      </c>
      <c r="H1947" s="6" t="str">
        <f>IF(B1947="","",股指期货基差分析!$L$11)</f>
        <v/>
      </c>
      <c r="I1947" s="10" t="str">
        <f>IF(B1947="","",股指期货基差分析!$D$11)</f>
        <v/>
      </c>
      <c r="L1947" s="43"/>
    </row>
    <row r="1948" spans="2:12" ht="15" customHeight="1" x14ac:dyDescent="0.2">
      <c r="B1948" s="7"/>
      <c r="C1948" s="5" t="str">
        <f>IF(B1948="","",[1]!s_dq_close(股指期货基差分析!$E$5,$B1948))</f>
        <v/>
      </c>
      <c r="D1948" s="5" t="str">
        <f>IF(B1948="","",[1]!s_dq_close(股指期货基差分析!$E$6,$B1948))</f>
        <v/>
      </c>
      <c r="E1948" s="5" t="e">
        <f ca="1">RANK(F1948,F:F)+COUNTIF(F$2:F1948,F1948)-1</f>
        <v>#VALUE!</v>
      </c>
      <c r="F1948" s="5" t="str">
        <f t="shared" si="31"/>
        <v/>
      </c>
      <c r="G1948" s="5" t="str">
        <f>IF(B1948="","",股指期货基差分析!$N$11)</f>
        <v/>
      </c>
      <c r="H1948" s="5" t="str">
        <f>IF(B1948="","",股指期货基差分析!$L$11)</f>
        <v/>
      </c>
      <c r="I1948" s="9" t="str">
        <f>IF(B1948="","",股指期货基差分析!$D$11)</f>
        <v/>
      </c>
      <c r="L1948" s="43"/>
    </row>
    <row r="1949" spans="2:12" ht="15" customHeight="1" x14ac:dyDescent="0.2">
      <c r="B1949" s="8"/>
      <c r="C1949" s="6" t="str">
        <f>IF(B1949="","",[1]!s_dq_close(股指期货基差分析!$E$5,$B1949))</f>
        <v/>
      </c>
      <c r="D1949" s="6" t="str">
        <f>IF(B1949="","",[1]!s_dq_close(股指期货基差分析!$E$6,$B1949))</f>
        <v/>
      </c>
      <c r="E1949" s="6" t="e">
        <f ca="1">RANK(F1949,F:F)+COUNTIF(F$2:F1949,F1949)-1</f>
        <v>#VALUE!</v>
      </c>
      <c r="F1949" s="6" t="str">
        <f t="shared" si="31"/>
        <v/>
      </c>
      <c r="G1949" s="6" t="str">
        <f>IF(B1949="","",股指期货基差分析!$N$11)</f>
        <v/>
      </c>
      <c r="H1949" s="6" t="str">
        <f>IF(B1949="","",股指期货基差分析!$L$11)</f>
        <v/>
      </c>
      <c r="I1949" s="10" t="str">
        <f>IF(B1949="","",股指期货基差分析!$D$11)</f>
        <v/>
      </c>
      <c r="L1949" s="43"/>
    </row>
    <row r="1950" spans="2:12" ht="15" customHeight="1" x14ac:dyDescent="0.2">
      <c r="B1950" s="7"/>
      <c r="C1950" s="5" t="str">
        <f>IF(B1950="","",[1]!s_dq_close(股指期货基差分析!$E$5,$B1950))</f>
        <v/>
      </c>
      <c r="D1950" s="5" t="str">
        <f>IF(B1950="","",[1]!s_dq_close(股指期货基差分析!$E$6,$B1950))</f>
        <v/>
      </c>
      <c r="E1950" s="5" t="e">
        <f ca="1">RANK(F1950,F:F)+COUNTIF(F$2:F1950,F1950)-1</f>
        <v>#VALUE!</v>
      </c>
      <c r="F1950" s="5" t="str">
        <f t="shared" si="31"/>
        <v/>
      </c>
      <c r="G1950" s="5" t="str">
        <f>IF(B1950="","",股指期货基差分析!$N$11)</f>
        <v/>
      </c>
      <c r="H1950" s="5" t="str">
        <f>IF(B1950="","",股指期货基差分析!$L$11)</f>
        <v/>
      </c>
      <c r="I1950" s="9" t="str">
        <f>IF(B1950="","",股指期货基差分析!$D$11)</f>
        <v/>
      </c>
      <c r="L1950" s="43"/>
    </row>
    <row r="1951" spans="2:12" ht="15" customHeight="1" x14ac:dyDescent="0.2">
      <c r="B1951" s="8"/>
      <c r="C1951" s="6" t="str">
        <f>IF(B1951="","",[1]!s_dq_close(股指期货基差分析!$E$5,$B1951))</f>
        <v/>
      </c>
      <c r="D1951" s="6" t="str">
        <f>IF(B1951="","",[1]!s_dq_close(股指期货基差分析!$E$6,$B1951))</f>
        <v/>
      </c>
      <c r="E1951" s="6" t="e">
        <f ca="1">RANK(F1951,F:F)+COUNTIF(F$2:F1951,F1951)-1</f>
        <v>#VALUE!</v>
      </c>
      <c r="F1951" s="6" t="str">
        <f t="shared" si="31"/>
        <v/>
      </c>
      <c r="G1951" s="6" t="str">
        <f>IF(B1951="","",股指期货基差分析!$N$11)</f>
        <v/>
      </c>
      <c r="H1951" s="6" t="str">
        <f>IF(B1951="","",股指期货基差分析!$L$11)</f>
        <v/>
      </c>
      <c r="I1951" s="10" t="str">
        <f>IF(B1951="","",股指期货基差分析!$D$11)</f>
        <v/>
      </c>
      <c r="L1951" s="43"/>
    </row>
    <row r="1952" spans="2:12" ht="15" customHeight="1" x14ac:dyDescent="0.2">
      <c r="B1952" s="7"/>
      <c r="C1952" s="5" t="str">
        <f>IF(B1952="","",[1]!s_dq_close(股指期货基差分析!$E$5,$B1952))</f>
        <v/>
      </c>
      <c r="D1952" s="5" t="str">
        <f>IF(B1952="","",[1]!s_dq_close(股指期货基差分析!$E$6,$B1952))</f>
        <v/>
      </c>
      <c r="E1952" s="5" t="e">
        <f ca="1">RANK(F1952,F:F)+COUNTIF(F$2:F1952,F1952)-1</f>
        <v>#VALUE!</v>
      </c>
      <c r="F1952" s="5" t="str">
        <f t="shared" si="31"/>
        <v/>
      </c>
      <c r="G1952" s="5" t="str">
        <f>IF(B1952="","",股指期货基差分析!$N$11)</f>
        <v/>
      </c>
      <c r="H1952" s="5" t="str">
        <f>IF(B1952="","",股指期货基差分析!$L$11)</f>
        <v/>
      </c>
      <c r="I1952" s="9" t="str">
        <f>IF(B1952="","",股指期货基差分析!$D$11)</f>
        <v/>
      </c>
      <c r="L1952" s="43"/>
    </row>
    <row r="1953" spans="2:12" ht="15" customHeight="1" x14ac:dyDescent="0.2">
      <c r="B1953" s="8"/>
      <c r="C1953" s="6" t="str">
        <f>IF(B1953="","",[1]!s_dq_close(股指期货基差分析!$E$5,$B1953))</f>
        <v/>
      </c>
      <c r="D1953" s="6" t="str">
        <f>IF(B1953="","",[1]!s_dq_close(股指期货基差分析!$E$6,$B1953))</f>
        <v/>
      </c>
      <c r="E1953" s="6" t="e">
        <f ca="1">RANK(F1953,F:F)+COUNTIF(F$2:F1953,F1953)-1</f>
        <v>#VALUE!</v>
      </c>
      <c r="F1953" s="6" t="str">
        <f t="shared" si="31"/>
        <v/>
      </c>
      <c r="G1953" s="6" t="str">
        <f>IF(B1953="","",股指期货基差分析!$N$11)</f>
        <v/>
      </c>
      <c r="H1953" s="6" t="str">
        <f>IF(B1953="","",股指期货基差分析!$L$11)</f>
        <v/>
      </c>
      <c r="I1953" s="10" t="str">
        <f>IF(B1953="","",股指期货基差分析!$D$11)</f>
        <v/>
      </c>
      <c r="L1953" s="43"/>
    </row>
    <row r="1954" spans="2:12" ht="15" customHeight="1" x14ac:dyDescent="0.2">
      <c r="B1954" s="7"/>
      <c r="C1954" s="5" t="str">
        <f>IF(B1954="","",[1]!s_dq_close(股指期货基差分析!$E$5,$B1954))</f>
        <v/>
      </c>
      <c r="D1954" s="5" t="str">
        <f>IF(B1954="","",[1]!s_dq_close(股指期货基差分析!$E$6,$B1954))</f>
        <v/>
      </c>
      <c r="E1954" s="5" t="e">
        <f ca="1">RANK(F1954,F:F)+COUNTIF(F$2:F1954,F1954)-1</f>
        <v>#VALUE!</v>
      </c>
      <c r="F1954" s="5" t="str">
        <f t="shared" si="31"/>
        <v/>
      </c>
      <c r="G1954" s="5" t="str">
        <f>IF(B1954="","",股指期货基差分析!$N$11)</f>
        <v/>
      </c>
      <c r="H1954" s="5" t="str">
        <f>IF(B1954="","",股指期货基差分析!$L$11)</f>
        <v/>
      </c>
      <c r="I1954" s="9" t="str">
        <f>IF(B1954="","",股指期货基差分析!$D$11)</f>
        <v/>
      </c>
      <c r="L1954" s="43"/>
    </row>
    <row r="1955" spans="2:12" ht="15" customHeight="1" x14ac:dyDescent="0.2">
      <c r="B1955" s="8"/>
      <c r="C1955" s="6" t="str">
        <f>IF(B1955="","",[1]!s_dq_close(股指期货基差分析!$E$5,$B1955))</f>
        <v/>
      </c>
      <c r="D1955" s="6" t="str">
        <f>IF(B1955="","",[1]!s_dq_close(股指期货基差分析!$E$6,$B1955))</f>
        <v/>
      </c>
      <c r="E1955" s="6" t="e">
        <f ca="1">RANK(F1955,F:F)+COUNTIF(F$2:F1955,F1955)-1</f>
        <v>#VALUE!</v>
      </c>
      <c r="F1955" s="6" t="str">
        <f t="shared" si="31"/>
        <v/>
      </c>
      <c r="G1955" s="6" t="str">
        <f>IF(B1955="","",股指期货基差分析!$N$11)</f>
        <v/>
      </c>
      <c r="H1955" s="6" t="str">
        <f>IF(B1955="","",股指期货基差分析!$L$11)</f>
        <v/>
      </c>
      <c r="I1955" s="10" t="str">
        <f>IF(B1955="","",股指期货基差分析!$D$11)</f>
        <v/>
      </c>
      <c r="L1955" s="43"/>
    </row>
    <row r="1956" spans="2:12" ht="15" customHeight="1" x14ac:dyDescent="0.2">
      <c r="B1956" s="7"/>
      <c r="C1956" s="5" t="str">
        <f>IF(B1956="","",[1]!s_dq_close(股指期货基差分析!$E$5,$B1956))</f>
        <v/>
      </c>
      <c r="D1956" s="5" t="str">
        <f>IF(B1956="","",[1]!s_dq_close(股指期货基差分析!$E$6,$B1956))</f>
        <v/>
      </c>
      <c r="E1956" s="5" t="e">
        <f ca="1">RANK(F1956,F:F)+COUNTIF(F$2:F1956,F1956)-1</f>
        <v>#VALUE!</v>
      </c>
      <c r="F1956" s="5" t="str">
        <f t="shared" si="31"/>
        <v/>
      </c>
      <c r="G1956" s="5" t="str">
        <f>IF(B1956="","",股指期货基差分析!$N$11)</f>
        <v/>
      </c>
      <c r="H1956" s="5" t="str">
        <f>IF(B1956="","",股指期货基差分析!$L$11)</f>
        <v/>
      </c>
      <c r="I1956" s="9" t="str">
        <f>IF(B1956="","",股指期货基差分析!$D$11)</f>
        <v/>
      </c>
      <c r="L1956" s="43"/>
    </row>
    <row r="1957" spans="2:12" ht="15" customHeight="1" x14ac:dyDescent="0.2">
      <c r="B1957" s="8"/>
      <c r="C1957" s="6" t="str">
        <f>IF(B1957="","",[1]!s_dq_close(股指期货基差分析!$E$5,$B1957))</f>
        <v/>
      </c>
      <c r="D1957" s="6" t="str">
        <f>IF(B1957="","",[1]!s_dq_close(股指期货基差分析!$E$6,$B1957))</f>
        <v/>
      </c>
      <c r="E1957" s="6" t="e">
        <f ca="1">RANK(F1957,F:F)+COUNTIF(F$2:F1957,F1957)-1</f>
        <v>#VALUE!</v>
      </c>
      <c r="F1957" s="6" t="str">
        <f t="shared" si="31"/>
        <v/>
      </c>
      <c r="G1957" s="6" t="str">
        <f>IF(B1957="","",股指期货基差分析!$N$11)</f>
        <v/>
      </c>
      <c r="H1957" s="6" t="str">
        <f>IF(B1957="","",股指期货基差分析!$L$11)</f>
        <v/>
      </c>
      <c r="I1957" s="10" t="str">
        <f>IF(B1957="","",股指期货基差分析!$D$11)</f>
        <v/>
      </c>
      <c r="L1957" s="43"/>
    </row>
    <row r="1958" spans="2:12" ht="15" customHeight="1" x14ac:dyDescent="0.2">
      <c r="B1958" s="7"/>
      <c r="C1958" s="5" t="str">
        <f>IF(B1958="","",[1]!s_dq_close(股指期货基差分析!$E$5,$B1958))</f>
        <v/>
      </c>
      <c r="D1958" s="5" t="str">
        <f>IF(B1958="","",[1]!s_dq_close(股指期货基差分析!$E$6,$B1958))</f>
        <v/>
      </c>
      <c r="E1958" s="5" t="e">
        <f ca="1">RANK(F1958,F:F)+COUNTIF(F$2:F1958,F1958)-1</f>
        <v>#VALUE!</v>
      </c>
      <c r="F1958" s="5" t="str">
        <f t="shared" si="31"/>
        <v/>
      </c>
      <c r="G1958" s="5" t="str">
        <f>IF(B1958="","",股指期货基差分析!$N$11)</f>
        <v/>
      </c>
      <c r="H1958" s="5" t="str">
        <f>IF(B1958="","",股指期货基差分析!$L$11)</f>
        <v/>
      </c>
      <c r="I1958" s="9" t="str">
        <f>IF(B1958="","",股指期货基差分析!$D$11)</f>
        <v/>
      </c>
      <c r="L1958" s="43"/>
    </row>
    <row r="1959" spans="2:12" ht="15" customHeight="1" x14ac:dyDescent="0.2">
      <c r="B1959" s="8"/>
      <c r="C1959" s="6" t="str">
        <f>IF(B1959="","",[1]!s_dq_close(股指期货基差分析!$E$5,$B1959))</f>
        <v/>
      </c>
      <c r="D1959" s="6" t="str">
        <f>IF(B1959="","",[1]!s_dq_close(股指期货基差分析!$E$6,$B1959))</f>
        <v/>
      </c>
      <c r="E1959" s="6" t="e">
        <f ca="1">RANK(F1959,F:F)+COUNTIF(F$2:F1959,F1959)-1</f>
        <v>#VALUE!</v>
      </c>
      <c r="F1959" s="6" t="str">
        <f t="shared" si="31"/>
        <v/>
      </c>
      <c r="G1959" s="6" t="str">
        <f>IF(B1959="","",股指期货基差分析!$N$11)</f>
        <v/>
      </c>
      <c r="H1959" s="6" t="str">
        <f>IF(B1959="","",股指期货基差分析!$L$11)</f>
        <v/>
      </c>
      <c r="I1959" s="10" t="str">
        <f>IF(B1959="","",股指期货基差分析!$D$11)</f>
        <v/>
      </c>
      <c r="L1959" s="43"/>
    </row>
    <row r="1960" spans="2:12" ht="15" customHeight="1" x14ac:dyDescent="0.2">
      <c r="B1960" s="7"/>
      <c r="C1960" s="5" t="str">
        <f>IF(B1960="","",[1]!s_dq_close(股指期货基差分析!$E$5,$B1960))</f>
        <v/>
      </c>
      <c r="D1960" s="5" t="str">
        <f>IF(B1960="","",[1]!s_dq_close(股指期货基差分析!$E$6,$B1960))</f>
        <v/>
      </c>
      <c r="E1960" s="5" t="e">
        <f ca="1">RANK(F1960,F:F)+COUNTIF(F$2:F1960,F1960)-1</f>
        <v>#VALUE!</v>
      </c>
      <c r="F1960" s="5" t="str">
        <f t="shared" si="31"/>
        <v/>
      </c>
      <c r="G1960" s="5" t="str">
        <f>IF(B1960="","",股指期货基差分析!$N$11)</f>
        <v/>
      </c>
      <c r="H1960" s="5" t="str">
        <f>IF(B1960="","",股指期货基差分析!$L$11)</f>
        <v/>
      </c>
      <c r="I1960" s="9" t="str">
        <f>IF(B1960="","",股指期货基差分析!$D$11)</f>
        <v/>
      </c>
      <c r="L1960" s="43"/>
    </row>
    <row r="1961" spans="2:12" ht="15" customHeight="1" x14ac:dyDescent="0.2">
      <c r="B1961" s="8"/>
      <c r="C1961" s="6" t="str">
        <f>IF(B1961="","",[1]!s_dq_close(股指期货基差分析!$E$5,$B1961))</f>
        <v/>
      </c>
      <c r="D1961" s="6" t="str">
        <f>IF(B1961="","",[1]!s_dq_close(股指期货基差分析!$E$6,$B1961))</f>
        <v/>
      </c>
      <c r="E1961" s="6" t="e">
        <f ca="1">RANK(F1961,F:F)+COUNTIF(F$2:F1961,F1961)-1</f>
        <v>#VALUE!</v>
      </c>
      <c r="F1961" s="6" t="str">
        <f t="shared" si="31"/>
        <v/>
      </c>
      <c r="G1961" s="6" t="str">
        <f>IF(B1961="","",股指期货基差分析!$N$11)</f>
        <v/>
      </c>
      <c r="H1961" s="6" t="str">
        <f>IF(B1961="","",股指期货基差分析!$L$11)</f>
        <v/>
      </c>
      <c r="I1961" s="10" t="str">
        <f>IF(B1961="","",股指期货基差分析!$D$11)</f>
        <v/>
      </c>
      <c r="L1961" s="43"/>
    </row>
    <row r="1962" spans="2:12" ht="15" customHeight="1" x14ac:dyDescent="0.2">
      <c r="B1962" s="7"/>
      <c r="C1962" s="5" t="str">
        <f>IF(B1962="","",[1]!s_dq_close(股指期货基差分析!$E$5,$B1962))</f>
        <v/>
      </c>
      <c r="D1962" s="5" t="str">
        <f>IF(B1962="","",[1]!s_dq_close(股指期货基差分析!$E$6,$B1962))</f>
        <v/>
      </c>
      <c r="E1962" s="5" t="e">
        <f ca="1">RANK(F1962,F:F)+COUNTIF(F$2:F1962,F1962)-1</f>
        <v>#VALUE!</v>
      </c>
      <c r="F1962" s="5" t="str">
        <f t="shared" si="31"/>
        <v/>
      </c>
      <c r="G1962" s="5" t="str">
        <f>IF(B1962="","",股指期货基差分析!$N$11)</f>
        <v/>
      </c>
      <c r="H1962" s="5" t="str">
        <f>IF(B1962="","",股指期货基差分析!$L$11)</f>
        <v/>
      </c>
      <c r="I1962" s="9" t="str">
        <f>IF(B1962="","",股指期货基差分析!$D$11)</f>
        <v/>
      </c>
      <c r="L1962" s="43"/>
    </row>
    <row r="1963" spans="2:12" ht="15" customHeight="1" x14ac:dyDescent="0.2">
      <c r="B1963" s="8"/>
      <c r="C1963" s="6" t="str">
        <f>IF(B1963="","",[1]!s_dq_close(股指期货基差分析!$E$5,$B1963))</f>
        <v/>
      </c>
      <c r="D1963" s="6" t="str">
        <f>IF(B1963="","",[1]!s_dq_close(股指期货基差分析!$E$6,$B1963))</f>
        <v/>
      </c>
      <c r="E1963" s="6" t="e">
        <f ca="1">RANK(F1963,F:F)+COUNTIF(F$2:F1963,F1963)-1</f>
        <v>#VALUE!</v>
      </c>
      <c r="F1963" s="6" t="str">
        <f t="shared" si="31"/>
        <v/>
      </c>
      <c r="G1963" s="6" t="str">
        <f>IF(B1963="","",股指期货基差分析!$N$11)</f>
        <v/>
      </c>
      <c r="H1963" s="6" t="str">
        <f>IF(B1963="","",股指期货基差分析!$L$11)</f>
        <v/>
      </c>
      <c r="I1963" s="10" t="str">
        <f>IF(B1963="","",股指期货基差分析!$D$11)</f>
        <v/>
      </c>
      <c r="L1963" s="43"/>
    </row>
    <row r="1964" spans="2:12" ht="15" customHeight="1" x14ac:dyDescent="0.2">
      <c r="B1964" s="7"/>
      <c r="C1964" s="5" t="str">
        <f>IF(B1964="","",[1]!s_dq_close(股指期货基差分析!$E$5,$B1964))</f>
        <v/>
      </c>
      <c r="D1964" s="5" t="str">
        <f>IF(B1964="","",[1]!s_dq_close(股指期货基差分析!$E$6,$B1964))</f>
        <v/>
      </c>
      <c r="E1964" s="5" t="e">
        <f ca="1">RANK(F1964,F:F)+COUNTIF(F$2:F1964,F1964)-1</f>
        <v>#VALUE!</v>
      </c>
      <c r="F1964" s="5" t="str">
        <f t="shared" si="31"/>
        <v/>
      </c>
      <c r="G1964" s="5" t="str">
        <f>IF(B1964="","",股指期货基差分析!$N$11)</f>
        <v/>
      </c>
      <c r="H1964" s="5" t="str">
        <f>IF(B1964="","",股指期货基差分析!$L$11)</f>
        <v/>
      </c>
      <c r="I1964" s="9" t="str">
        <f>IF(B1964="","",股指期货基差分析!$D$11)</f>
        <v/>
      </c>
      <c r="L1964" s="43"/>
    </row>
    <row r="1965" spans="2:12" ht="15" customHeight="1" x14ac:dyDescent="0.2">
      <c r="B1965" s="8"/>
      <c r="C1965" s="6" t="str">
        <f>IF(B1965="","",[1]!s_dq_close(股指期货基差分析!$E$5,$B1965))</f>
        <v/>
      </c>
      <c r="D1965" s="6" t="str">
        <f>IF(B1965="","",[1]!s_dq_close(股指期货基差分析!$E$6,$B1965))</f>
        <v/>
      </c>
      <c r="E1965" s="6" t="e">
        <f ca="1">RANK(F1965,F:F)+COUNTIF(F$2:F1965,F1965)-1</f>
        <v>#VALUE!</v>
      </c>
      <c r="F1965" s="6" t="str">
        <f t="shared" si="31"/>
        <v/>
      </c>
      <c r="G1965" s="6" t="str">
        <f>IF(B1965="","",股指期货基差分析!$N$11)</f>
        <v/>
      </c>
      <c r="H1965" s="6" t="str">
        <f>IF(B1965="","",股指期货基差分析!$L$11)</f>
        <v/>
      </c>
      <c r="I1965" s="10" t="str">
        <f>IF(B1965="","",股指期货基差分析!$D$11)</f>
        <v/>
      </c>
      <c r="L1965" s="43"/>
    </row>
    <row r="1966" spans="2:12" ht="15" customHeight="1" x14ac:dyDescent="0.2">
      <c r="B1966" s="7"/>
      <c r="C1966" s="5" t="str">
        <f>IF(B1966="","",[1]!s_dq_close(股指期货基差分析!$E$5,$B1966))</f>
        <v/>
      </c>
      <c r="D1966" s="5" t="str">
        <f>IF(B1966="","",[1]!s_dq_close(股指期货基差分析!$E$6,$B1966))</f>
        <v/>
      </c>
      <c r="E1966" s="5" t="e">
        <f ca="1">RANK(F1966,F:F)+COUNTIF(F$2:F1966,F1966)-1</f>
        <v>#VALUE!</v>
      </c>
      <c r="F1966" s="5" t="str">
        <f t="shared" si="31"/>
        <v/>
      </c>
      <c r="G1966" s="5" t="str">
        <f>IF(B1966="","",股指期货基差分析!$N$11)</f>
        <v/>
      </c>
      <c r="H1966" s="5" t="str">
        <f>IF(B1966="","",股指期货基差分析!$L$11)</f>
        <v/>
      </c>
      <c r="I1966" s="9" t="str">
        <f>IF(B1966="","",股指期货基差分析!$D$11)</f>
        <v/>
      </c>
      <c r="L1966" s="43"/>
    </row>
    <row r="1967" spans="2:12" ht="15" customHeight="1" x14ac:dyDescent="0.2">
      <c r="B1967" s="8"/>
      <c r="C1967" s="6" t="str">
        <f>IF(B1967="","",[1]!s_dq_close(股指期货基差分析!$E$5,$B1967))</f>
        <v/>
      </c>
      <c r="D1967" s="6" t="str">
        <f>IF(B1967="","",[1]!s_dq_close(股指期货基差分析!$E$6,$B1967))</f>
        <v/>
      </c>
      <c r="E1967" s="6" t="e">
        <f ca="1">RANK(F1967,F:F)+COUNTIF(F$2:F1967,F1967)-1</f>
        <v>#VALUE!</v>
      </c>
      <c r="F1967" s="6" t="str">
        <f t="shared" si="31"/>
        <v/>
      </c>
      <c r="G1967" s="6" t="str">
        <f>IF(B1967="","",股指期货基差分析!$N$11)</f>
        <v/>
      </c>
      <c r="H1967" s="6" t="str">
        <f>IF(B1967="","",股指期货基差分析!$L$11)</f>
        <v/>
      </c>
      <c r="I1967" s="10" t="str">
        <f>IF(B1967="","",股指期货基差分析!$D$11)</f>
        <v/>
      </c>
      <c r="L1967" s="43"/>
    </row>
    <row r="1968" spans="2:12" ht="15" customHeight="1" x14ac:dyDescent="0.2">
      <c r="B1968" s="7"/>
      <c r="C1968" s="5" t="str">
        <f>IF(B1968="","",[1]!s_dq_close(股指期货基差分析!$E$5,$B1968))</f>
        <v/>
      </c>
      <c r="D1968" s="5" t="str">
        <f>IF(B1968="","",[1]!s_dq_close(股指期货基差分析!$E$6,$B1968))</f>
        <v/>
      </c>
      <c r="E1968" s="5" t="e">
        <f ca="1">RANK(F1968,F:F)+COUNTIF(F$2:F1968,F1968)-1</f>
        <v>#VALUE!</v>
      </c>
      <c r="F1968" s="5" t="str">
        <f t="shared" si="31"/>
        <v/>
      </c>
      <c r="G1968" s="5" t="str">
        <f>IF(B1968="","",股指期货基差分析!$N$11)</f>
        <v/>
      </c>
      <c r="H1968" s="5" t="str">
        <f>IF(B1968="","",股指期货基差分析!$L$11)</f>
        <v/>
      </c>
      <c r="I1968" s="9" t="str">
        <f>IF(B1968="","",股指期货基差分析!$D$11)</f>
        <v/>
      </c>
      <c r="L1968" s="43"/>
    </row>
    <row r="1969" spans="2:12" ht="15" customHeight="1" x14ac:dyDescent="0.2">
      <c r="B1969" s="8"/>
      <c r="C1969" s="6" t="str">
        <f>IF(B1969="","",[1]!s_dq_close(股指期货基差分析!$E$5,$B1969))</f>
        <v/>
      </c>
      <c r="D1969" s="6" t="str">
        <f>IF(B1969="","",[1]!s_dq_close(股指期货基差分析!$E$6,$B1969))</f>
        <v/>
      </c>
      <c r="E1969" s="6" t="e">
        <f ca="1">RANK(F1969,F:F)+COUNTIF(F$2:F1969,F1969)-1</f>
        <v>#VALUE!</v>
      </c>
      <c r="F1969" s="6" t="str">
        <f t="shared" si="31"/>
        <v/>
      </c>
      <c r="G1969" s="6" t="str">
        <f>IF(B1969="","",股指期货基差分析!$N$11)</f>
        <v/>
      </c>
      <c r="H1969" s="6" t="str">
        <f>IF(B1969="","",股指期货基差分析!$L$11)</f>
        <v/>
      </c>
      <c r="I1969" s="10" t="str">
        <f>IF(B1969="","",股指期货基差分析!$D$11)</f>
        <v/>
      </c>
      <c r="L1969" s="43"/>
    </row>
    <row r="1970" spans="2:12" ht="15" customHeight="1" x14ac:dyDescent="0.2">
      <c r="B1970" s="7"/>
      <c r="C1970" s="5" t="str">
        <f>IF(B1970="","",[1]!s_dq_close(股指期货基差分析!$E$5,$B1970))</f>
        <v/>
      </c>
      <c r="D1970" s="5" t="str">
        <f>IF(B1970="","",[1]!s_dq_close(股指期货基差分析!$E$6,$B1970))</f>
        <v/>
      </c>
      <c r="E1970" s="5" t="e">
        <f ca="1">RANK(F1970,F:F)+COUNTIF(F$2:F1970,F1970)-1</f>
        <v>#VALUE!</v>
      </c>
      <c r="F1970" s="5" t="str">
        <f t="shared" si="31"/>
        <v/>
      </c>
      <c r="G1970" s="5" t="str">
        <f>IF(B1970="","",股指期货基差分析!$N$11)</f>
        <v/>
      </c>
      <c r="H1970" s="5" t="str">
        <f>IF(B1970="","",股指期货基差分析!$L$11)</f>
        <v/>
      </c>
      <c r="I1970" s="9" t="str">
        <f>IF(B1970="","",股指期货基差分析!$D$11)</f>
        <v/>
      </c>
      <c r="L1970" s="43"/>
    </row>
    <row r="1971" spans="2:12" ht="15" customHeight="1" x14ac:dyDescent="0.2">
      <c r="B1971" s="8"/>
      <c r="C1971" s="6" t="str">
        <f>IF(B1971="","",[1]!s_dq_close(股指期货基差分析!$E$5,$B1971))</f>
        <v/>
      </c>
      <c r="D1971" s="6" t="str">
        <f>IF(B1971="","",[1]!s_dq_close(股指期货基差分析!$E$6,$B1971))</f>
        <v/>
      </c>
      <c r="E1971" s="6" t="e">
        <f ca="1">RANK(F1971,F:F)+COUNTIF(F$2:F1971,F1971)-1</f>
        <v>#VALUE!</v>
      </c>
      <c r="F1971" s="6" t="str">
        <f t="shared" si="31"/>
        <v/>
      </c>
      <c r="G1971" s="6" t="str">
        <f>IF(B1971="","",股指期货基差分析!$N$11)</f>
        <v/>
      </c>
      <c r="H1971" s="6" t="str">
        <f>IF(B1971="","",股指期货基差分析!$L$11)</f>
        <v/>
      </c>
      <c r="I1971" s="10" t="str">
        <f>IF(B1971="","",股指期货基差分析!$D$11)</f>
        <v/>
      </c>
      <c r="L1971" s="43"/>
    </row>
    <row r="1972" spans="2:12" ht="15" customHeight="1" x14ac:dyDescent="0.2">
      <c r="B1972" s="7"/>
      <c r="C1972" s="5" t="str">
        <f>IF(B1972="","",[1]!s_dq_close(股指期货基差分析!$E$5,$B1972))</f>
        <v/>
      </c>
      <c r="D1972" s="5" t="str">
        <f>IF(B1972="","",[1]!s_dq_close(股指期货基差分析!$E$6,$B1972))</f>
        <v/>
      </c>
      <c r="E1972" s="5" t="e">
        <f ca="1">RANK(F1972,F:F)+COUNTIF(F$2:F1972,F1972)-1</f>
        <v>#VALUE!</v>
      </c>
      <c r="F1972" s="5" t="str">
        <f t="shared" si="31"/>
        <v/>
      </c>
      <c r="G1972" s="5" t="str">
        <f>IF(B1972="","",股指期货基差分析!$N$11)</f>
        <v/>
      </c>
      <c r="H1972" s="5" t="str">
        <f>IF(B1972="","",股指期货基差分析!$L$11)</f>
        <v/>
      </c>
      <c r="I1972" s="9" t="str">
        <f>IF(B1972="","",股指期货基差分析!$D$11)</f>
        <v/>
      </c>
      <c r="L1972" s="43"/>
    </row>
    <row r="1973" spans="2:12" ht="15" customHeight="1" x14ac:dyDescent="0.2">
      <c r="B1973" s="8"/>
      <c r="C1973" s="6" t="str">
        <f>IF(B1973="","",[1]!s_dq_close(股指期货基差分析!$E$5,$B1973))</f>
        <v/>
      </c>
      <c r="D1973" s="6" t="str">
        <f>IF(B1973="","",[1]!s_dq_close(股指期货基差分析!$E$6,$B1973))</f>
        <v/>
      </c>
      <c r="E1973" s="6" t="e">
        <f ca="1">RANK(F1973,F:F)+COUNTIF(F$2:F1973,F1973)-1</f>
        <v>#VALUE!</v>
      </c>
      <c r="F1973" s="6" t="str">
        <f t="shared" si="31"/>
        <v/>
      </c>
      <c r="G1973" s="6" t="str">
        <f>IF(B1973="","",股指期货基差分析!$N$11)</f>
        <v/>
      </c>
      <c r="H1973" s="6" t="str">
        <f>IF(B1973="","",股指期货基差分析!$L$11)</f>
        <v/>
      </c>
      <c r="I1973" s="10" t="str">
        <f>IF(B1973="","",股指期货基差分析!$D$11)</f>
        <v/>
      </c>
      <c r="L1973" s="43"/>
    </row>
    <row r="1974" spans="2:12" ht="15" customHeight="1" x14ac:dyDescent="0.2">
      <c r="B1974" s="7"/>
      <c r="C1974" s="5" t="str">
        <f>IF(B1974="","",[1]!s_dq_close(股指期货基差分析!$E$5,$B1974))</f>
        <v/>
      </c>
      <c r="D1974" s="5" t="str">
        <f>IF(B1974="","",[1]!s_dq_close(股指期货基差分析!$E$6,$B1974))</f>
        <v/>
      </c>
      <c r="E1974" s="5" t="e">
        <f ca="1">RANK(F1974,F:F)+COUNTIF(F$2:F1974,F1974)-1</f>
        <v>#VALUE!</v>
      </c>
      <c r="F1974" s="5" t="str">
        <f t="shared" si="31"/>
        <v/>
      </c>
      <c r="G1974" s="5" t="str">
        <f>IF(B1974="","",股指期货基差分析!$N$11)</f>
        <v/>
      </c>
      <c r="H1974" s="5" t="str">
        <f>IF(B1974="","",股指期货基差分析!$L$11)</f>
        <v/>
      </c>
      <c r="I1974" s="9" t="str">
        <f>IF(B1974="","",股指期货基差分析!$D$11)</f>
        <v/>
      </c>
      <c r="L1974" s="43"/>
    </row>
    <row r="1975" spans="2:12" ht="15" customHeight="1" x14ac:dyDescent="0.2">
      <c r="B1975" s="8"/>
      <c r="C1975" s="6" t="str">
        <f>IF(B1975="","",[1]!s_dq_close(股指期货基差分析!$E$5,$B1975))</f>
        <v/>
      </c>
      <c r="D1975" s="6" t="str">
        <f>IF(B1975="","",[1]!s_dq_close(股指期货基差分析!$E$6,$B1975))</f>
        <v/>
      </c>
      <c r="E1975" s="6" t="e">
        <f ca="1">RANK(F1975,F:F)+COUNTIF(F$2:F1975,F1975)-1</f>
        <v>#VALUE!</v>
      </c>
      <c r="F1975" s="6" t="str">
        <f t="shared" si="31"/>
        <v/>
      </c>
      <c r="G1975" s="6" t="str">
        <f>IF(B1975="","",股指期货基差分析!$N$11)</f>
        <v/>
      </c>
      <c r="H1975" s="6" t="str">
        <f>IF(B1975="","",股指期货基差分析!$L$11)</f>
        <v/>
      </c>
      <c r="I1975" s="10" t="str">
        <f>IF(B1975="","",股指期货基差分析!$D$11)</f>
        <v/>
      </c>
      <c r="L1975" s="43"/>
    </row>
    <row r="1976" spans="2:12" ht="15" customHeight="1" x14ac:dyDescent="0.2">
      <c r="B1976" s="7"/>
      <c r="C1976" s="5" t="str">
        <f>IF(B1976="","",[1]!s_dq_close(股指期货基差分析!$E$5,$B1976))</f>
        <v/>
      </c>
      <c r="D1976" s="5" t="str">
        <f>IF(B1976="","",[1]!s_dq_close(股指期货基差分析!$E$6,$B1976))</f>
        <v/>
      </c>
      <c r="E1976" s="5" t="e">
        <f ca="1">RANK(F1976,F:F)+COUNTIF(F$2:F1976,F1976)-1</f>
        <v>#VALUE!</v>
      </c>
      <c r="F1976" s="5" t="str">
        <f t="shared" si="31"/>
        <v/>
      </c>
      <c r="G1976" s="5" t="str">
        <f>IF(B1976="","",股指期货基差分析!$N$11)</f>
        <v/>
      </c>
      <c r="H1976" s="5" t="str">
        <f>IF(B1976="","",股指期货基差分析!$L$11)</f>
        <v/>
      </c>
      <c r="I1976" s="9" t="str">
        <f>IF(B1976="","",股指期货基差分析!$D$11)</f>
        <v/>
      </c>
      <c r="L1976" s="43"/>
    </row>
    <row r="1977" spans="2:12" ht="15" customHeight="1" x14ac:dyDescent="0.2">
      <c r="B1977" s="8"/>
      <c r="C1977" s="6" t="str">
        <f>IF(B1977="","",[1]!s_dq_close(股指期货基差分析!$E$5,$B1977))</f>
        <v/>
      </c>
      <c r="D1977" s="6" t="str">
        <f>IF(B1977="","",[1]!s_dq_close(股指期货基差分析!$E$6,$B1977))</f>
        <v/>
      </c>
      <c r="E1977" s="6" t="e">
        <f ca="1">RANK(F1977,F:F)+COUNTIF(F$2:F1977,F1977)-1</f>
        <v>#VALUE!</v>
      </c>
      <c r="F1977" s="6" t="str">
        <f t="shared" si="31"/>
        <v/>
      </c>
      <c r="G1977" s="6" t="str">
        <f>IF(B1977="","",股指期货基差分析!$N$11)</f>
        <v/>
      </c>
      <c r="H1977" s="6" t="str">
        <f>IF(B1977="","",股指期货基差分析!$L$11)</f>
        <v/>
      </c>
      <c r="I1977" s="10" t="str">
        <f>IF(B1977="","",股指期货基差分析!$D$11)</f>
        <v/>
      </c>
      <c r="L1977" s="43"/>
    </row>
    <row r="1978" spans="2:12" ht="15" customHeight="1" x14ac:dyDescent="0.2">
      <c r="B1978" s="7"/>
      <c r="C1978" s="5" t="str">
        <f>IF(B1978="","",[1]!s_dq_close(股指期货基差分析!$E$5,$B1978))</f>
        <v/>
      </c>
      <c r="D1978" s="5" t="str">
        <f>IF(B1978="","",[1]!s_dq_close(股指期货基差分析!$E$6,$B1978))</f>
        <v/>
      </c>
      <c r="E1978" s="5" t="e">
        <f ca="1">RANK(F1978,F:F)+COUNTIF(F$2:F1978,F1978)-1</f>
        <v>#VALUE!</v>
      </c>
      <c r="F1978" s="5" t="str">
        <f t="shared" si="31"/>
        <v/>
      </c>
      <c r="G1978" s="5" t="str">
        <f>IF(B1978="","",股指期货基差分析!$N$11)</f>
        <v/>
      </c>
      <c r="H1978" s="5" t="str">
        <f>IF(B1978="","",股指期货基差分析!$L$11)</f>
        <v/>
      </c>
      <c r="I1978" s="9" t="str">
        <f>IF(B1978="","",股指期货基差分析!$D$11)</f>
        <v/>
      </c>
      <c r="L1978" s="43"/>
    </row>
    <row r="1979" spans="2:12" ht="15" customHeight="1" x14ac:dyDescent="0.2">
      <c r="B1979" s="8"/>
      <c r="C1979" s="6" t="str">
        <f>IF(B1979="","",[1]!s_dq_close(股指期货基差分析!$E$5,$B1979))</f>
        <v/>
      </c>
      <c r="D1979" s="6" t="str">
        <f>IF(B1979="","",[1]!s_dq_close(股指期货基差分析!$E$6,$B1979))</f>
        <v/>
      </c>
      <c r="E1979" s="6" t="e">
        <f ca="1">RANK(F1979,F:F)+COUNTIF(F$2:F1979,F1979)-1</f>
        <v>#VALUE!</v>
      </c>
      <c r="F1979" s="6" t="str">
        <f t="shared" si="31"/>
        <v/>
      </c>
      <c r="G1979" s="6" t="str">
        <f>IF(B1979="","",股指期货基差分析!$N$11)</f>
        <v/>
      </c>
      <c r="H1979" s="6" t="str">
        <f>IF(B1979="","",股指期货基差分析!$L$11)</f>
        <v/>
      </c>
      <c r="I1979" s="10" t="str">
        <f>IF(B1979="","",股指期货基差分析!$D$11)</f>
        <v/>
      </c>
      <c r="L1979" s="43"/>
    </row>
    <row r="1980" spans="2:12" ht="15" customHeight="1" x14ac:dyDescent="0.2">
      <c r="B1980" s="7"/>
      <c r="C1980" s="5" t="str">
        <f>IF(B1980="","",[1]!s_dq_close(股指期货基差分析!$E$5,$B1980))</f>
        <v/>
      </c>
      <c r="D1980" s="5" t="str">
        <f>IF(B1980="","",[1]!s_dq_close(股指期货基差分析!$E$6,$B1980))</f>
        <v/>
      </c>
      <c r="E1980" s="5" t="e">
        <f ca="1">RANK(F1980,F:F)+COUNTIF(F$2:F1980,F1980)-1</f>
        <v>#VALUE!</v>
      </c>
      <c r="F1980" s="5" t="str">
        <f t="shared" si="31"/>
        <v/>
      </c>
      <c r="G1980" s="5" t="str">
        <f>IF(B1980="","",股指期货基差分析!$N$11)</f>
        <v/>
      </c>
      <c r="H1980" s="5" t="str">
        <f>IF(B1980="","",股指期货基差分析!$L$11)</f>
        <v/>
      </c>
      <c r="I1980" s="9" t="str">
        <f>IF(B1980="","",股指期货基差分析!$D$11)</f>
        <v/>
      </c>
      <c r="L1980" s="43"/>
    </row>
    <row r="1981" spans="2:12" ht="15" customHeight="1" x14ac:dyDescent="0.2">
      <c r="B1981" s="8"/>
      <c r="C1981" s="6" t="str">
        <f>IF(B1981="","",[1]!s_dq_close(股指期货基差分析!$E$5,$B1981))</f>
        <v/>
      </c>
      <c r="D1981" s="6" t="str">
        <f>IF(B1981="","",[1]!s_dq_close(股指期货基差分析!$E$6,$B1981))</f>
        <v/>
      </c>
      <c r="E1981" s="6" t="e">
        <f ca="1">RANK(F1981,F:F)+COUNTIF(F$2:F1981,F1981)-1</f>
        <v>#VALUE!</v>
      </c>
      <c r="F1981" s="6" t="str">
        <f t="shared" si="31"/>
        <v/>
      </c>
      <c r="G1981" s="6" t="str">
        <f>IF(B1981="","",股指期货基差分析!$N$11)</f>
        <v/>
      </c>
      <c r="H1981" s="6" t="str">
        <f>IF(B1981="","",股指期货基差分析!$L$11)</f>
        <v/>
      </c>
      <c r="I1981" s="10" t="str">
        <f>IF(B1981="","",股指期货基差分析!$D$11)</f>
        <v/>
      </c>
      <c r="L1981" s="43"/>
    </row>
    <row r="1982" spans="2:12" ht="15" customHeight="1" x14ac:dyDescent="0.2">
      <c r="B1982" s="7"/>
      <c r="C1982" s="5" t="str">
        <f>IF(B1982="","",[1]!s_dq_close(股指期货基差分析!$E$5,$B1982))</f>
        <v/>
      </c>
      <c r="D1982" s="5" t="str">
        <f>IF(B1982="","",[1]!s_dq_close(股指期货基差分析!$E$6,$B1982))</f>
        <v/>
      </c>
      <c r="E1982" s="5" t="e">
        <f ca="1">RANK(F1982,F:F)+COUNTIF(F$2:F1982,F1982)-1</f>
        <v>#VALUE!</v>
      </c>
      <c r="F1982" s="5" t="str">
        <f t="shared" si="31"/>
        <v/>
      </c>
      <c r="G1982" s="5" t="str">
        <f>IF(B1982="","",股指期货基差分析!$N$11)</f>
        <v/>
      </c>
      <c r="H1982" s="5" t="str">
        <f>IF(B1982="","",股指期货基差分析!$L$11)</f>
        <v/>
      </c>
      <c r="I1982" s="9" t="str">
        <f>IF(B1982="","",股指期货基差分析!$D$11)</f>
        <v/>
      </c>
      <c r="L1982" s="43"/>
    </row>
    <row r="1983" spans="2:12" ht="15" customHeight="1" x14ac:dyDescent="0.2">
      <c r="B1983" s="8"/>
      <c r="C1983" s="6" t="str">
        <f>IF(B1983="","",[1]!s_dq_close(股指期货基差分析!$E$5,$B1983))</f>
        <v/>
      </c>
      <c r="D1983" s="6" t="str">
        <f>IF(B1983="","",[1]!s_dq_close(股指期货基差分析!$E$6,$B1983))</f>
        <v/>
      </c>
      <c r="E1983" s="6" t="e">
        <f ca="1">RANK(F1983,F:F)+COUNTIF(F$2:F1983,F1983)-1</f>
        <v>#VALUE!</v>
      </c>
      <c r="F1983" s="6" t="str">
        <f t="shared" si="31"/>
        <v/>
      </c>
      <c r="G1983" s="6" t="str">
        <f>IF(B1983="","",股指期货基差分析!$N$11)</f>
        <v/>
      </c>
      <c r="H1983" s="6" t="str">
        <f>IF(B1983="","",股指期货基差分析!$L$11)</f>
        <v/>
      </c>
      <c r="I1983" s="10" t="str">
        <f>IF(B1983="","",股指期货基差分析!$D$11)</f>
        <v/>
      </c>
    </row>
    <row r="1984" spans="2:12" ht="15" customHeight="1" x14ac:dyDescent="0.2">
      <c r="B1984" s="7"/>
      <c r="C1984" s="5" t="str">
        <f>IF(B1984="","",[1]!s_dq_close(股指期货基差分析!$E$5,$B1984))</f>
        <v/>
      </c>
      <c r="D1984" s="5" t="str">
        <f>IF(B1984="","",[1]!s_dq_close(股指期货基差分析!$E$6,$B1984))</f>
        <v/>
      </c>
      <c r="E1984" s="5" t="e">
        <f ca="1">RANK(F1984,F:F)+COUNTIF(F$2:F1984,F1984)-1</f>
        <v>#VALUE!</v>
      </c>
      <c r="F1984" s="5" t="str">
        <f t="shared" si="31"/>
        <v/>
      </c>
      <c r="G1984" s="5" t="str">
        <f>IF(B1984="","",股指期货基差分析!$N$11)</f>
        <v/>
      </c>
      <c r="H1984" s="5" t="str">
        <f>IF(B1984="","",股指期货基差分析!$L$11)</f>
        <v/>
      </c>
      <c r="I1984" s="9" t="str">
        <f>IF(B1984="","",股指期货基差分析!$D$11)</f>
        <v/>
      </c>
    </row>
    <row r="1985" spans="2:9" ht="15" customHeight="1" x14ac:dyDescent="0.2">
      <c r="B1985" s="8"/>
      <c r="C1985" s="6" t="str">
        <f>IF(B1985="","",[1]!s_dq_close(股指期货基差分析!$E$5,$B1985))</f>
        <v/>
      </c>
      <c r="D1985" s="6" t="str">
        <f>IF(B1985="","",[1]!s_dq_close(股指期货基差分析!$E$6,$B1985))</f>
        <v/>
      </c>
      <c r="E1985" s="6" t="e">
        <f ca="1">RANK(F1985,F:F)+COUNTIF(F$2:F1985,F1985)-1</f>
        <v>#VALUE!</v>
      </c>
      <c r="F1985" s="6" t="str">
        <f t="shared" si="31"/>
        <v/>
      </c>
      <c r="G1985" s="6" t="str">
        <f>IF(B1985="","",股指期货基差分析!$N$11)</f>
        <v/>
      </c>
      <c r="H1985" s="6" t="str">
        <f>IF(B1985="","",股指期货基差分析!$L$11)</f>
        <v/>
      </c>
      <c r="I1985" s="10" t="str">
        <f>IF(B1985="","",股指期货基差分析!$D$11)</f>
        <v/>
      </c>
    </row>
    <row r="1986" spans="2:9" ht="15" customHeight="1" x14ac:dyDescent="0.2">
      <c r="B1986" s="7"/>
      <c r="C1986" s="5" t="str">
        <f>IF(B1986="","",[1]!s_dq_close(股指期货基差分析!$E$5,$B1986))</f>
        <v/>
      </c>
      <c r="D1986" s="5" t="str">
        <f>IF(B1986="","",[1]!s_dq_close(股指期货基差分析!$E$6,$B1986))</f>
        <v/>
      </c>
      <c r="E1986" s="5" t="e">
        <f ca="1">RANK(F1986,F:F)+COUNTIF(F$2:F1986,F1986)-1</f>
        <v>#VALUE!</v>
      </c>
      <c r="F1986" s="5" t="str">
        <f t="shared" ref="F1986:F2049" si="32">IF(B1986="","",D1986-C1986)</f>
        <v/>
      </c>
      <c r="G1986" s="5" t="str">
        <f>IF(B1986="","",股指期货基差分析!$N$11)</f>
        <v/>
      </c>
      <c r="H1986" s="5" t="str">
        <f>IF(B1986="","",股指期货基差分析!$L$11)</f>
        <v/>
      </c>
      <c r="I1986" s="9" t="str">
        <f>IF(B1986="","",股指期货基差分析!$D$11)</f>
        <v/>
      </c>
    </row>
    <row r="1987" spans="2:9" ht="15" customHeight="1" x14ac:dyDescent="0.2">
      <c r="B1987" s="8"/>
      <c r="C1987" s="6" t="str">
        <f>IF(B1987="","",[1]!s_dq_close(股指期货基差分析!$E$5,$B1987))</f>
        <v/>
      </c>
      <c r="D1987" s="6" t="str">
        <f>IF(B1987="","",[1]!s_dq_close(股指期货基差分析!$E$6,$B1987))</f>
        <v/>
      </c>
      <c r="E1987" s="6" t="e">
        <f ca="1">RANK(F1987,F:F)+COUNTIF(F$2:F1987,F1987)-1</f>
        <v>#VALUE!</v>
      </c>
      <c r="F1987" s="6" t="str">
        <f t="shared" si="32"/>
        <v/>
      </c>
      <c r="G1987" s="6" t="str">
        <f>IF(B1987="","",股指期货基差分析!$N$11)</f>
        <v/>
      </c>
      <c r="H1987" s="6" t="str">
        <f>IF(B1987="","",股指期货基差分析!$L$11)</f>
        <v/>
      </c>
      <c r="I1987" s="10" t="str">
        <f>IF(B1987="","",股指期货基差分析!$D$11)</f>
        <v/>
      </c>
    </row>
    <row r="1988" spans="2:9" ht="15" customHeight="1" x14ac:dyDescent="0.2">
      <c r="B1988" s="7"/>
      <c r="C1988" s="5" t="str">
        <f>IF(B1988="","",[1]!s_dq_close(股指期货基差分析!$E$5,$B1988))</f>
        <v/>
      </c>
      <c r="D1988" s="5" t="str">
        <f>IF(B1988="","",[1]!s_dq_close(股指期货基差分析!$E$6,$B1988))</f>
        <v/>
      </c>
      <c r="E1988" s="5" t="e">
        <f ca="1">RANK(F1988,F:F)+COUNTIF(F$2:F1988,F1988)-1</f>
        <v>#VALUE!</v>
      </c>
      <c r="F1988" s="5" t="str">
        <f t="shared" si="32"/>
        <v/>
      </c>
      <c r="G1988" s="5" t="str">
        <f>IF(B1988="","",股指期货基差分析!$N$11)</f>
        <v/>
      </c>
      <c r="H1988" s="5" t="str">
        <f>IF(B1988="","",股指期货基差分析!$L$11)</f>
        <v/>
      </c>
      <c r="I1988" s="9" t="str">
        <f>IF(B1988="","",股指期货基差分析!$D$11)</f>
        <v/>
      </c>
    </row>
    <row r="1989" spans="2:9" ht="15" customHeight="1" x14ac:dyDescent="0.2">
      <c r="B1989" s="8"/>
      <c r="C1989" s="6" t="str">
        <f>IF(B1989="","",[1]!s_dq_close(股指期货基差分析!$E$5,$B1989))</f>
        <v/>
      </c>
      <c r="D1989" s="6" t="str">
        <f>IF(B1989="","",[1]!s_dq_close(股指期货基差分析!$E$6,$B1989))</f>
        <v/>
      </c>
      <c r="E1989" s="6" t="e">
        <f ca="1">RANK(F1989,F:F)+COUNTIF(F$2:F1989,F1989)-1</f>
        <v>#VALUE!</v>
      </c>
      <c r="F1989" s="6" t="str">
        <f t="shared" si="32"/>
        <v/>
      </c>
      <c r="G1989" s="6" t="str">
        <f>IF(B1989="","",股指期货基差分析!$N$11)</f>
        <v/>
      </c>
      <c r="H1989" s="6" t="str">
        <f>IF(B1989="","",股指期货基差分析!$L$11)</f>
        <v/>
      </c>
      <c r="I1989" s="10" t="str">
        <f>IF(B1989="","",股指期货基差分析!$D$11)</f>
        <v/>
      </c>
    </row>
    <row r="1990" spans="2:9" ht="15" customHeight="1" x14ac:dyDescent="0.2">
      <c r="B1990" s="7"/>
      <c r="C1990" s="5" t="str">
        <f>IF(B1990="","",[1]!s_dq_close(股指期货基差分析!$E$5,$B1990))</f>
        <v/>
      </c>
      <c r="D1990" s="5" t="str">
        <f>IF(B1990="","",[1]!s_dq_close(股指期货基差分析!$E$6,$B1990))</f>
        <v/>
      </c>
      <c r="E1990" s="5" t="e">
        <f ca="1">RANK(F1990,F:F)+COUNTIF(F$2:F1990,F1990)-1</f>
        <v>#VALUE!</v>
      </c>
      <c r="F1990" s="5" t="str">
        <f t="shared" si="32"/>
        <v/>
      </c>
      <c r="G1990" s="5" t="str">
        <f>IF(B1990="","",股指期货基差分析!$N$11)</f>
        <v/>
      </c>
      <c r="H1990" s="5" t="str">
        <f>IF(B1990="","",股指期货基差分析!$L$11)</f>
        <v/>
      </c>
      <c r="I1990" s="9" t="str">
        <f>IF(B1990="","",股指期货基差分析!$D$11)</f>
        <v/>
      </c>
    </row>
    <row r="1991" spans="2:9" ht="15" customHeight="1" x14ac:dyDescent="0.2">
      <c r="B1991" s="8"/>
      <c r="C1991" s="6" t="str">
        <f>IF(B1991="","",[1]!s_dq_close(股指期货基差分析!$E$5,$B1991))</f>
        <v/>
      </c>
      <c r="D1991" s="6" t="str">
        <f>IF(B1991="","",[1]!s_dq_close(股指期货基差分析!$E$6,$B1991))</f>
        <v/>
      </c>
      <c r="E1991" s="6" t="e">
        <f ca="1">RANK(F1991,F:F)+COUNTIF(F$2:F1991,F1991)-1</f>
        <v>#VALUE!</v>
      </c>
      <c r="F1991" s="6" t="str">
        <f t="shared" si="32"/>
        <v/>
      </c>
      <c r="G1991" s="6" t="str">
        <f>IF(B1991="","",股指期货基差分析!$N$11)</f>
        <v/>
      </c>
      <c r="H1991" s="6" t="str">
        <f>IF(B1991="","",股指期货基差分析!$L$11)</f>
        <v/>
      </c>
      <c r="I1991" s="10" t="str">
        <f>IF(B1991="","",股指期货基差分析!$D$11)</f>
        <v/>
      </c>
    </row>
    <row r="1992" spans="2:9" ht="15" customHeight="1" x14ac:dyDescent="0.2">
      <c r="B1992" s="7"/>
      <c r="C1992" s="5" t="str">
        <f>IF(B1992="","",[1]!s_dq_close(股指期货基差分析!$E$5,$B1992))</f>
        <v/>
      </c>
      <c r="D1992" s="5" t="str">
        <f>IF(B1992="","",[1]!s_dq_close(股指期货基差分析!$E$6,$B1992))</f>
        <v/>
      </c>
      <c r="E1992" s="5" t="e">
        <f ca="1">RANK(F1992,F:F)+COUNTIF(F$2:F1992,F1992)-1</f>
        <v>#VALUE!</v>
      </c>
      <c r="F1992" s="5" t="str">
        <f t="shared" si="32"/>
        <v/>
      </c>
      <c r="G1992" s="5" t="str">
        <f>IF(B1992="","",股指期货基差分析!$N$11)</f>
        <v/>
      </c>
      <c r="H1992" s="5" t="str">
        <f>IF(B1992="","",股指期货基差分析!$L$11)</f>
        <v/>
      </c>
      <c r="I1992" s="9" t="str">
        <f>IF(B1992="","",股指期货基差分析!$D$11)</f>
        <v/>
      </c>
    </row>
    <row r="1993" spans="2:9" ht="15" customHeight="1" x14ac:dyDescent="0.2">
      <c r="B1993" s="8"/>
      <c r="C1993" s="6" t="str">
        <f>IF(B1993="","",[1]!s_dq_close(股指期货基差分析!$E$5,$B1993))</f>
        <v/>
      </c>
      <c r="D1993" s="6" t="str">
        <f>IF(B1993="","",[1]!s_dq_close(股指期货基差分析!$E$6,$B1993))</f>
        <v/>
      </c>
      <c r="E1993" s="6" t="e">
        <f ca="1">RANK(F1993,F:F)+COUNTIF(F$2:F1993,F1993)-1</f>
        <v>#VALUE!</v>
      </c>
      <c r="F1993" s="6" t="str">
        <f t="shared" si="32"/>
        <v/>
      </c>
      <c r="G1993" s="6" t="str">
        <f>IF(B1993="","",股指期货基差分析!$N$11)</f>
        <v/>
      </c>
      <c r="H1993" s="6" t="str">
        <f>IF(B1993="","",股指期货基差分析!$L$11)</f>
        <v/>
      </c>
      <c r="I1993" s="10" t="str">
        <f>IF(B1993="","",股指期货基差分析!$D$11)</f>
        <v/>
      </c>
    </row>
    <row r="1994" spans="2:9" ht="15" customHeight="1" x14ac:dyDescent="0.2">
      <c r="B1994" s="7"/>
      <c r="C1994" s="5" t="str">
        <f>IF(B1994="","",[1]!s_dq_close(股指期货基差分析!$E$5,$B1994))</f>
        <v/>
      </c>
      <c r="D1994" s="5" t="str">
        <f>IF(B1994="","",[1]!s_dq_close(股指期货基差分析!$E$6,$B1994))</f>
        <v/>
      </c>
      <c r="E1994" s="5" t="e">
        <f ca="1">RANK(F1994,F:F)+COUNTIF(F$2:F1994,F1994)-1</f>
        <v>#VALUE!</v>
      </c>
      <c r="F1994" s="5" t="str">
        <f t="shared" si="32"/>
        <v/>
      </c>
      <c r="G1994" s="5" t="str">
        <f>IF(B1994="","",股指期货基差分析!$N$11)</f>
        <v/>
      </c>
      <c r="H1994" s="5" t="str">
        <f>IF(B1994="","",股指期货基差分析!$L$11)</f>
        <v/>
      </c>
      <c r="I1994" s="9" t="str">
        <f>IF(B1994="","",股指期货基差分析!$D$11)</f>
        <v/>
      </c>
    </row>
    <row r="1995" spans="2:9" ht="15" customHeight="1" x14ac:dyDescent="0.2">
      <c r="B1995" s="8"/>
      <c r="C1995" s="6" t="str">
        <f>IF(B1995="","",[1]!s_dq_close(股指期货基差分析!$E$5,$B1995))</f>
        <v/>
      </c>
      <c r="D1995" s="6" t="str">
        <f>IF(B1995="","",[1]!s_dq_close(股指期货基差分析!$E$6,$B1995))</f>
        <v/>
      </c>
      <c r="E1995" s="6" t="e">
        <f ca="1">RANK(F1995,F:F)+COUNTIF(F$2:F1995,F1995)-1</f>
        <v>#VALUE!</v>
      </c>
      <c r="F1995" s="6" t="str">
        <f t="shared" si="32"/>
        <v/>
      </c>
      <c r="G1995" s="6" t="str">
        <f>IF(B1995="","",股指期货基差分析!$N$11)</f>
        <v/>
      </c>
      <c r="H1995" s="6" t="str">
        <f>IF(B1995="","",股指期货基差分析!$L$11)</f>
        <v/>
      </c>
      <c r="I1995" s="10" t="str">
        <f>IF(B1995="","",股指期货基差分析!$D$11)</f>
        <v/>
      </c>
    </row>
    <row r="1996" spans="2:9" ht="15" customHeight="1" x14ac:dyDescent="0.2">
      <c r="B1996" s="7"/>
      <c r="C1996" s="5" t="str">
        <f>IF(B1996="","",[1]!s_dq_close(股指期货基差分析!$E$5,$B1996))</f>
        <v/>
      </c>
      <c r="D1996" s="5" t="str">
        <f>IF(B1996="","",[1]!s_dq_close(股指期货基差分析!$E$6,$B1996))</f>
        <v/>
      </c>
      <c r="E1996" s="5" t="e">
        <f ca="1">RANK(F1996,F:F)+COUNTIF(F$2:F1996,F1996)-1</f>
        <v>#VALUE!</v>
      </c>
      <c r="F1996" s="5" t="str">
        <f t="shared" si="32"/>
        <v/>
      </c>
      <c r="G1996" s="5" t="str">
        <f>IF(B1996="","",股指期货基差分析!$N$11)</f>
        <v/>
      </c>
      <c r="H1996" s="5" t="str">
        <f>IF(B1996="","",股指期货基差分析!$L$11)</f>
        <v/>
      </c>
      <c r="I1996" s="9" t="str">
        <f>IF(B1996="","",股指期货基差分析!$D$11)</f>
        <v/>
      </c>
    </row>
    <row r="1997" spans="2:9" ht="15" customHeight="1" x14ac:dyDescent="0.2">
      <c r="B1997" s="8"/>
      <c r="C1997" s="6" t="str">
        <f>IF(B1997="","",[1]!s_dq_close(股指期货基差分析!$E$5,$B1997))</f>
        <v/>
      </c>
      <c r="D1997" s="6" t="str">
        <f>IF(B1997="","",[1]!s_dq_close(股指期货基差分析!$E$6,$B1997))</f>
        <v/>
      </c>
      <c r="E1997" s="6" t="e">
        <f ca="1">RANK(F1997,F:F)+COUNTIF(F$2:F1997,F1997)-1</f>
        <v>#VALUE!</v>
      </c>
      <c r="F1997" s="6" t="str">
        <f t="shared" si="32"/>
        <v/>
      </c>
      <c r="G1997" s="6" t="str">
        <f>IF(B1997="","",股指期货基差分析!$N$11)</f>
        <v/>
      </c>
      <c r="H1997" s="6" t="str">
        <f>IF(B1997="","",股指期货基差分析!$L$11)</f>
        <v/>
      </c>
      <c r="I1997" s="10" t="str">
        <f>IF(B1997="","",股指期货基差分析!$D$11)</f>
        <v/>
      </c>
    </row>
    <row r="1998" spans="2:9" ht="15" customHeight="1" x14ac:dyDescent="0.2">
      <c r="B1998" s="7"/>
      <c r="C1998" s="5" t="str">
        <f>IF(B1998="","",[1]!s_dq_close(股指期货基差分析!$E$5,$B1998))</f>
        <v/>
      </c>
      <c r="D1998" s="5" t="str">
        <f>IF(B1998="","",[1]!s_dq_close(股指期货基差分析!$E$6,$B1998))</f>
        <v/>
      </c>
      <c r="E1998" s="5" t="e">
        <f ca="1">RANK(F1998,F:F)+COUNTIF(F$2:F1998,F1998)-1</f>
        <v>#VALUE!</v>
      </c>
      <c r="F1998" s="5" t="str">
        <f t="shared" si="32"/>
        <v/>
      </c>
      <c r="G1998" s="5" t="str">
        <f>IF(B1998="","",股指期货基差分析!$N$11)</f>
        <v/>
      </c>
      <c r="H1998" s="5" t="str">
        <f>IF(B1998="","",股指期货基差分析!$L$11)</f>
        <v/>
      </c>
      <c r="I1998" s="9" t="str">
        <f>IF(B1998="","",股指期货基差分析!$D$11)</f>
        <v/>
      </c>
    </row>
    <row r="1999" spans="2:9" ht="15" customHeight="1" x14ac:dyDescent="0.2">
      <c r="B1999" s="8"/>
      <c r="C1999" s="6" t="str">
        <f>IF(B1999="","",[1]!s_dq_close(股指期货基差分析!$E$5,$B1999))</f>
        <v/>
      </c>
      <c r="D1999" s="6" t="str">
        <f>IF(B1999="","",[1]!s_dq_close(股指期货基差分析!$E$6,$B1999))</f>
        <v/>
      </c>
      <c r="E1999" s="6" t="e">
        <f ca="1">RANK(F1999,F:F)+COUNTIF(F$2:F1999,F1999)-1</f>
        <v>#VALUE!</v>
      </c>
      <c r="F1999" s="6" t="str">
        <f t="shared" si="32"/>
        <v/>
      </c>
      <c r="G1999" s="6" t="str">
        <f>IF(B1999="","",股指期货基差分析!$N$11)</f>
        <v/>
      </c>
      <c r="H1999" s="6" t="str">
        <f>IF(B1999="","",股指期货基差分析!$L$11)</f>
        <v/>
      </c>
      <c r="I1999" s="10" t="str">
        <f>IF(B1999="","",股指期货基差分析!$D$11)</f>
        <v/>
      </c>
    </row>
    <row r="2000" spans="2:9" ht="15" customHeight="1" x14ac:dyDescent="0.2">
      <c r="B2000" s="7"/>
      <c r="C2000" s="5" t="str">
        <f>IF(B2000="","",[1]!s_dq_close(股指期货基差分析!$E$5,$B2000))</f>
        <v/>
      </c>
      <c r="D2000" s="5" t="str">
        <f>IF(B2000="","",[1]!s_dq_close(股指期货基差分析!$E$6,$B2000))</f>
        <v/>
      </c>
      <c r="E2000" s="5" t="e">
        <f ca="1">RANK(F2000,F:F)+COUNTIF(F$2:F2000,F2000)-1</f>
        <v>#VALUE!</v>
      </c>
      <c r="F2000" s="5" t="str">
        <f t="shared" si="32"/>
        <v/>
      </c>
      <c r="G2000" s="5" t="str">
        <f>IF(B2000="","",股指期货基差分析!$N$11)</f>
        <v/>
      </c>
      <c r="H2000" s="5" t="str">
        <f>IF(B2000="","",股指期货基差分析!$L$11)</f>
        <v/>
      </c>
      <c r="I2000" s="9" t="str">
        <f>IF(B2000="","",股指期货基差分析!$D$11)</f>
        <v/>
      </c>
    </row>
    <row r="2001" spans="2:9" ht="15" customHeight="1" x14ac:dyDescent="0.2">
      <c r="B2001" s="8"/>
      <c r="C2001" s="6" t="str">
        <f>IF(B2001="","",[1]!s_dq_close(股指期货基差分析!$E$5,$B2001))</f>
        <v/>
      </c>
      <c r="D2001" s="6" t="str">
        <f>IF(B2001="","",[1]!s_dq_close(股指期货基差分析!$E$6,$B2001))</f>
        <v/>
      </c>
      <c r="E2001" s="6" t="e">
        <f ca="1">RANK(F2001,F:F)+COUNTIF(F$2:F2001,F2001)-1</f>
        <v>#VALUE!</v>
      </c>
      <c r="F2001" s="6" t="str">
        <f t="shared" si="32"/>
        <v/>
      </c>
      <c r="G2001" s="6" t="str">
        <f>IF(B2001="","",股指期货基差分析!$N$11)</f>
        <v/>
      </c>
      <c r="H2001" s="6" t="str">
        <f>IF(B2001="","",股指期货基差分析!$L$11)</f>
        <v/>
      </c>
      <c r="I2001" s="10" t="str">
        <f>IF(B2001="","",股指期货基差分析!$D$11)</f>
        <v/>
      </c>
    </row>
    <row r="2002" spans="2:9" ht="15" customHeight="1" x14ac:dyDescent="0.2">
      <c r="B2002" s="7"/>
      <c r="C2002" s="5" t="str">
        <f>IF(B2002="","",[1]!s_dq_close(股指期货基差分析!$E$5,$B2002))</f>
        <v/>
      </c>
      <c r="D2002" s="5" t="str">
        <f>IF(B2002="","",[1]!s_dq_close(股指期货基差分析!$E$6,$B2002))</f>
        <v/>
      </c>
      <c r="E2002" s="5" t="e">
        <f ca="1">RANK(F2002,F:F)+COUNTIF(F$2:F2002,F2002)-1</f>
        <v>#VALUE!</v>
      </c>
      <c r="F2002" s="5" t="str">
        <f t="shared" si="32"/>
        <v/>
      </c>
      <c r="G2002" s="5" t="str">
        <f>IF(B2002="","",股指期货基差分析!$N$11)</f>
        <v/>
      </c>
      <c r="H2002" s="5" t="str">
        <f>IF(B2002="","",股指期货基差分析!$L$11)</f>
        <v/>
      </c>
      <c r="I2002" s="9" t="str">
        <f>IF(B2002="","",股指期货基差分析!$D$11)</f>
        <v/>
      </c>
    </row>
    <row r="2003" spans="2:9" ht="15" customHeight="1" x14ac:dyDescent="0.2">
      <c r="B2003" s="8"/>
      <c r="C2003" s="6" t="str">
        <f>IF(B2003="","",[1]!s_dq_close(股指期货基差分析!$E$5,$B2003))</f>
        <v/>
      </c>
      <c r="D2003" s="6" t="str">
        <f>IF(B2003="","",[1]!s_dq_close(股指期货基差分析!$E$6,$B2003))</f>
        <v/>
      </c>
      <c r="E2003" s="6" t="e">
        <f ca="1">RANK(F2003,F:F)+COUNTIF(F$2:F2003,F2003)-1</f>
        <v>#VALUE!</v>
      </c>
      <c r="F2003" s="6" t="str">
        <f t="shared" si="32"/>
        <v/>
      </c>
      <c r="G2003" s="6" t="str">
        <f>IF(B2003="","",股指期货基差分析!$N$11)</f>
        <v/>
      </c>
      <c r="H2003" s="6" t="str">
        <f>IF(B2003="","",股指期货基差分析!$L$11)</f>
        <v/>
      </c>
      <c r="I2003" s="10" t="str">
        <f>IF(B2003="","",股指期货基差分析!$D$11)</f>
        <v/>
      </c>
    </row>
    <row r="2004" spans="2:9" ht="15" customHeight="1" x14ac:dyDescent="0.2">
      <c r="B2004" s="7"/>
      <c r="C2004" s="5" t="str">
        <f>IF(B2004="","",[1]!s_dq_close(股指期货基差分析!$E$5,$B2004))</f>
        <v/>
      </c>
      <c r="D2004" s="5" t="str">
        <f>IF(B2004="","",[1]!s_dq_close(股指期货基差分析!$E$6,$B2004))</f>
        <v/>
      </c>
      <c r="E2004" s="5" t="e">
        <f ca="1">RANK(F2004,F:F)+COUNTIF(F$2:F2004,F2004)-1</f>
        <v>#VALUE!</v>
      </c>
      <c r="F2004" s="5" t="str">
        <f t="shared" si="32"/>
        <v/>
      </c>
      <c r="G2004" s="5" t="str">
        <f>IF(B2004="","",股指期货基差分析!$N$11)</f>
        <v/>
      </c>
      <c r="H2004" s="5" t="str">
        <f>IF(B2004="","",股指期货基差分析!$L$11)</f>
        <v/>
      </c>
      <c r="I2004" s="9" t="str">
        <f>IF(B2004="","",股指期货基差分析!$D$11)</f>
        <v/>
      </c>
    </row>
    <row r="2005" spans="2:9" ht="15" customHeight="1" x14ac:dyDescent="0.2">
      <c r="B2005" s="8"/>
      <c r="C2005" s="6" t="str">
        <f>IF(B2005="","",[1]!s_dq_close(股指期货基差分析!$E$5,$B2005))</f>
        <v/>
      </c>
      <c r="D2005" s="6" t="str">
        <f>IF(B2005="","",[1]!s_dq_close(股指期货基差分析!$E$6,$B2005))</f>
        <v/>
      </c>
      <c r="E2005" s="6" t="e">
        <f ca="1">RANK(F2005,F:F)+COUNTIF(F$2:F2005,F2005)-1</f>
        <v>#VALUE!</v>
      </c>
      <c r="F2005" s="6" t="str">
        <f t="shared" si="32"/>
        <v/>
      </c>
      <c r="G2005" s="6" t="str">
        <f>IF(B2005="","",股指期货基差分析!$N$11)</f>
        <v/>
      </c>
      <c r="H2005" s="6" t="str">
        <f>IF(B2005="","",股指期货基差分析!$L$11)</f>
        <v/>
      </c>
      <c r="I2005" s="10" t="str">
        <f>IF(B2005="","",股指期货基差分析!$D$11)</f>
        <v/>
      </c>
    </row>
    <row r="2006" spans="2:9" ht="15" customHeight="1" x14ac:dyDescent="0.2">
      <c r="B2006" s="7"/>
      <c r="C2006" s="5" t="str">
        <f>IF(B2006="","",[1]!s_dq_close(股指期货基差分析!$E$5,$B2006))</f>
        <v/>
      </c>
      <c r="D2006" s="5" t="str">
        <f>IF(B2006="","",[1]!s_dq_close(股指期货基差分析!$E$6,$B2006))</f>
        <v/>
      </c>
      <c r="E2006" s="5" t="e">
        <f ca="1">RANK(F2006,F:F)+COUNTIF(F$2:F2006,F2006)-1</f>
        <v>#VALUE!</v>
      </c>
      <c r="F2006" s="5" t="str">
        <f t="shared" si="32"/>
        <v/>
      </c>
      <c r="G2006" s="5" t="str">
        <f>IF(B2006="","",股指期货基差分析!$N$11)</f>
        <v/>
      </c>
      <c r="H2006" s="5" t="str">
        <f>IF(B2006="","",股指期货基差分析!$L$11)</f>
        <v/>
      </c>
      <c r="I2006" s="9" t="str">
        <f>IF(B2006="","",股指期货基差分析!$D$11)</f>
        <v/>
      </c>
    </row>
    <row r="2007" spans="2:9" ht="15" customHeight="1" x14ac:dyDescent="0.2">
      <c r="B2007" s="8"/>
      <c r="C2007" s="6" t="str">
        <f>IF(B2007="","",[1]!s_dq_close(股指期货基差分析!$E$5,$B2007))</f>
        <v/>
      </c>
      <c r="D2007" s="6" t="str">
        <f>IF(B2007="","",[1]!s_dq_close(股指期货基差分析!$E$6,$B2007))</f>
        <v/>
      </c>
      <c r="E2007" s="6" t="e">
        <f ca="1">RANK(F2007,F:F)+COUNTIF(F$2:F2007,F2007)-1</f>
        <v>#VALUE!</v>
      </c>
      <c r="F2007" s="6" t="str">
        <f t="shared" si="32"/>
        <v/>
      </c>
      <c r="G2007" s="6" t="str">
        <f>IF(B2007="","",股指期货基差分析!$N$11)</f>
        <v/>
      </c>
      <c r="H2007" s="6" t="str">
        <f>IF(B2007="","",股指期货基差分析!$L$11)</f>
        <v/>
      </c>
      <c r="I2007" s="10" t="str">
        <f>IF(B2007="","",股指期货基差分析!$D$11)</f>
        <v/>
      </c>
    </row>
    <row r="2008" spans="2:9" ht="15" customHeight="1" x14ac:dyDescent="0.2">
      <c r="B2008" s="7"/>
      <c r="C2008" s="5" t="str">
        <f>IF(B2008="","",[1]!s_dq_close(股指期货基差分析!$E$5,$B2008))</f>
        <v/>
      </c>
      <c r="D2008" s="5" t="str">
        <f>IF(B2008="","",[1]!s_dq_close(股指期货基差分析!$E$6,$B2008))</f>
        <v/>
      </c>
      <c r="E2008" s="5" t="e">
        <f ca="1">RANK(F2008,F:F)+COUNTIF(F$2:F2008,F2008)-1</f>
        <v>#VALUE!</v>
      </c>
      <c r="F2008" s="5" t="str">
        <f t="shared" si="32"/>
        <v/>
      </c>
      <c r="G2008" s="5" t="str">
        <f>IF(B2008="","",股指期货基差分析!$N$11)</f>
        <v/>
      </c>
      <c r="H2008" s="5" t="str">
        <f>IF(B2008="","",股指期货基差分析!$L$11)</f>
        <v/>
      </c>
      <c r="I2008" s="9" t="str">
        <f>IF(B2008="","",股指期货基差分析!$D$11)</f>
        <v/>
      </c>
    </row>
    <row r="2009" spans="2:9" ht="15" customHeight="1" x14ac:dyDescent="0.2">
      <c r="B2009" s="8"/>
      <c r="C2009" s="6" t="str">
        <f>IF(B2009="","",[1]!s_dq_close(股指期货基差分析!$E$5,$B2009))</f>
        <v/>
      </c>
      <c r="D2009" s="6" t="str">
        <f>IF(B2009="","",[1]!s_dq_close(股指期货基差分析!$E$6,$B2009))</f>
        <v/>
      </c>
      <c r="E2009" s="6" t="e">
        <f ca="1">RANK(F2009,F:F)+COUNTIF(F$2:F2009,F2009)-1</f>
        <v>#VALUE!</v>
      </c>
      <c r="F2009" s="6" t="str">
        <f t="shared" si="32"/>
        <v/>
      </c>
      <c r="G2009" s="6" t="str">
        <f>IF(B2009="","",股指期货基差分析!$N$11)</f>
        <v/>
      </c>
      <c r="H2009" s="6" t="str">
        <f>IF(B2009="","",股指期货基差分析!$L$11)</f>
        <v/>
      </c>
      <c r="I2009" s="10" t="str">
        <f>IF(B2009="","",股指期货基差分析!$D$11)</f>
        <v/>
      </c>
    </row>
    <row r="2010" spans="2:9" ht="15" customHeight="1" x14ac:dyDescent="0.2">
      <c r="B2010" s="7"/>
      <c r="C2010" s="5" t="str">
        <f>IF(B2010="","",[1]!s_dq_close(股指期货基差分析!$E$5,$B2010))</f>
        <v/>
      </c>
      <c r="D2010" s="5" t="str">
        <f>IF(B2010="","",[1]!s_dq_close(股指期货基差分析!$E$6,$B2010))</f>
        <v/>
      </c>
      <c r="E2010" s="5" t="e">
        <f ca="1">RANK(F2010,F:F)+COUNTIF(F$2:F2010,F2010)-1</f>
        <v>#VALUE!</v>
      </c>
      <c r="F2010" s="5" t="str">
        <f t="shared" si="32"/>
        <v/>
      </c>
      <c r="G2010" s="5" t="str">
        <f>IF(B2010="","",股指期货基差分析!$N$11)</f>
        <v/>
      </c>
      <c r="H2010" s="5" t="str">
        <f>IF(B2010="","",股指期货基差分析!$L$11)</f>
        <v/>
      </c>
      <c r="I2010" s="9" t="str">
        <f>IF(B2010="","",股指期货基差分析!$D$11)</f>
        <v/>
      </c>
    </row>
    <row r="2011" spans="2:9" ht="15" customHeight="1" x14ac:dyDescent="0.2">
      <c r="B2011" s="8"/>
      <c r="C2011" s="6" t="str">
        <f>IF(B2011="","",[1]!s_dq_close(股指期货基差分析!$E$5,$B2011))</f>
        <v/>
      </c>
      <c r="D2011" s="6" t="str">
        <f>IF(B2011="","",[1]!s_dq_close(股指期货基差分析!$E$6,$B2011))</f>
        <v/>
      </c>
      <c r="E2011" s="6" t="e">
        <f ca="1">RANK(F2011,F:F)+COUNTIF(F$2:F2011,F2011)-1</f>
        <v>#VALUE!</v>
      </c>
      <c r="F2011" s="6" t="str">
        <f t="shared" si="32"/>
        <v/>
      </c>
      <c r="G2011" s="6" t="str">
        <f>IF(B2011="","",股指期货基差分析!$N$11)</f>
        <v/>
      </c>
      <c r="H2011" s="6" t="str">
        <f>IF(B2011="","",股指期货基差分析!$L$11)</f>
        <v/>
      </c>
      <c r="I2011" s="10" t="str">
        <f>IF(B2011="","",股指期货基差分析!$D$11)</f>
        <v/>
      </c>
    </row>
    <row r="2012" spans="2:9" ht="15" customHeight="1" x14ac:dyDescent="0.2">
      <c r="B2012" s="7"/>
      <c r="C2012" s="5" t="str">
        <f>IF(B2012="","",[1]!s_dq_close(股指期货基差分析!$E$5,$B2012))</f>
        <v/>
      </c>
      <c r="D2012" s="5" t="str">
        <f>IF(B2012="","",[1]!s_dq_close(股指期货基差分析!$E$6,$B2012))</f>
        <v/>
      </c>
      <c r="E2012" s="5" t="e">
        <f ca="1">RANK(F2012,F:F)+COUNTIF(F$2:F2012,F2012)-1</f>
        <v>#VALUE!</v>
      </c>
      <c r="F2012" s="5" t="str">
        <f t="shared" si="32"/>
        <v/>
      </c>
      <c r="G2012" s="5" t="str">
        <f>IF(B2012="","",股指期货基差分析!$N$11)</f>
        <v/>
      </c>
      <c r="H2012" s="5" t="str">
        <f>IF(B2012="","",股指期货基差分析!$L$11)</f>
        <v/>
      </c>
      <c r="I2012" s="9" t="str">
        <f>IF(B2012="","",股指期货基差分析!$D$11)</f>
        <v/>
      </c>
    </row>
    <row r="2013" spans="2:9" ht="15" customHeight="1" x14ac:dyDescent="0.2">
      <c r="B2013" s="8"/>
      <c r="C2013" s="6" t="str">
        <f>IF(B2013="","",[1]!s_dq_close(股指期货基差分析!$E$5,$B2013))</f>
        <v/>
      </c>
      <c r="D2013" s="6" t="str">
        <f>IF(B2013="","",[1]!s_dq_close(股指期货基差分析!$E$6,$B2013))</f>
        <v/>
      </c>
      <c r="E2013" s="6" t="e">
        <f ca="1">RANK(F2013,F:F)+COUNTIF(F$2:F2013,F2013)-1</f>
        <v>#VALUE!</v>
      </c>
      <c r="F2013" s="6" t="str">
        <f t="shared" si="32"/>
        <v/>
      </c>
      <c r="G2013" s="6" t="str">
        <f>IF(B2013="","",股指期货基差分析!$N$11)</f>
        <v/>
      </c>
      <c r="H2013" s="6" t="str">
        <f>IF(B2013="","",股指期货基差分析!$L$11)</f>
        <v/>
      </c>
      <c r="I2013" s="10" t="str">
        <f>IF(B2013="","",股指期货基差分析!$D$11)</f>
        <v/>
      </c>
    </row>
    <row r="2014" spans="2:9" ht="15" customHeight="1" x14ac:dyDescent="0.2">
      <c r="B2014" s="7"/>
      <c r="C2014" s="5" t="str">
        <f>IF(B2014="","",[1]!s_dq_close(股指期货基差分析!$E$5,$B2014))</f>
        <v/>
      </c>
      <c r="D2014" s="5" t="str">
        <f>IF(B2014="","",[1]!s_dq_close(股指期货基差分析!$E$6,$B2014))</f>
        <v/>
      </c>
      <c r="E2014" s="5" t="e">
        <f ca="1">RANK(F2014,F:F)+COUNTIF(F$2:F2014,F2014)-1</f>
        <v>#VALUE!</v>
      </c>
      <c r="F2014" s="5" t="str">
        <f t="shared" si="32"/>
        <v/>
      </c>
      <c r="G2014" s="5" t="str">
        <f>IF(B2014="","",股指期货基差分析!$N$11)</f>
        <v/>
      </c>
      <c r="H2014" s="5" t="str">
        <f>IF(B2014="","",股指期货基差分析!$L$11)</f>
        <v/>
      </c>
      <c r="I2014" s="9" t="str">
        <f>IF(B2014="","",股指期货基差分析!$D$11)</f>
        <v/>
      </c>
    </row>
    <row r="2015" spans="2:9" ht="15" customHeight="1" x14ac:dyDescent="0.2">
      <c r="B2015" s="8"/>
      <c r="C2015" s="6" t="str">
        <f>IF(B2015="","",[1]!s_dq_close(股指期货基差分析!$E$5,$B2015))</f>
        <v/>
      </c>
      <c r="D2015" s="6" t="str">
        <f>IF(B2015="","",[1]!s_dq_close(股指期货基差分析!$E$6,$B2015))</f>
        <v/>
      </c>
      <c r="E2015" s="6" t="e">
        <f ca="1">RANK(F2015,F:F)+COUNTIF(F$2:F2015,F2015)-1</f>
        <v>#VALUE!</v>
      </c>
      <c r="F2015" s="6" t="str">
        <f t="shared" si="32"/>
        <v/>
      </c>
      <c r="G2015" s="6" t="str">
        <f>IF(B2015="","",股指期货基差分析!$N$11)</f>
        <v/>
      </c>
      <c r="H2015" s="6" t="str">
        <f>IF(B2015="","",股指期货基差分析!$L$11)</f>
        <v/>
      </c>
      <c r="I2015" s="10" t="str">
        <f>IF(B2015="","",股指期货基差分析!$D$11)</f>
        <v/>
      </c>
    </row>
    <row r="2016" spans="2:9" ht="15" customHeight="1" x14ac:dyDescent="0.2">
      <c r="B2016" s="7"/>
      <c r="C2016" s="5" t="str">
        <f>IF(B2016="","",[1]!s_dq_close(股指期货基差分析!$E$5,$B2016))</f>
        <v/>
      </c>
      <c r="D2016" s="5" t="str">
        <f>IF(B2016="","",[1]!s_dq_close(股指期货基差分析!$E$6,$B2016))</f>
        <v/>
      </c>
      <c r="E2016" s="5" t="e">
        <f ca="1">RANK(F2016,F:F)+COUNTIF(F$2:F2016,F2016)-1</f>
        <v>#VALUE!</v>
      </c>
      <c r="F2016" s="5" t="str">
        <f t="shared" si="32"/>
        <v/>
      </c>
      <c r="G2016" s="5" t="str">
        <f>IF(B2016="","",股指期货基差分析!$N$11)</f>
        <v/>
      </c>
      <c r="H2016" s="5" t="str">
        <f>IF(B2016="","",股指期货基差分析!$L$11)</f>
        <v/>
      </c>
      <c r="I2016" s="9" t="str">
        <f>IF(B2016="","",股指期货基差分析!$D$11)</f>
        <v/>
      </c>
    </row>
    <row r="2017" spans="2:9" ht="15" customHeight="1" x14ac:dyDescent="0.2">
      <c r="B2017" s="8"/>
      <c r="C2017" s="6" t="str">
        <f>IF(B2017="","",[1]!s_dq_close(股指期货基差分析!$E$5,$B2017))</f>
        <v/>
      </c>
      <c r="D2017" s="6" t="str">
        <f>IF(B2017="","",[1]!s_dq_close(股指期货基差分析!$E$6,$B2017))</f>
        <v/>
      </c>
      <c r="E2017" s="6" t="e">
        <f ca="1">RANK(F2017,F:F)+COUNTIF(F$2:F2017,F2017)-1</f>
        <v>#VALUE!</v>
      </c>
      <c r="F2017" s="6" t="str">
        <f t="shared" si="32"/>
        <v/>
      </c>
      <c r="G2017" s="6" t="str">
        <f>IF(B2017="","",股指期货基差分析!$N$11)</f>
        <v/>
      </c>
      <c r="H2017" s="6" t="str">
        <f>IF(B2017="","",股指期货基差分析!$L$11)</f>
        <v/>
      </c>
      <c r="I2017" s="10" t="str">
        <f>IF(B2017="","",股指期货基差分析!$D$11)</f>
        <v/>
      </c>
    </row>
    <row r="2018" spans="2:9" ht="15" customHeight="1" x14ac:dyDescent="0.2">
      <c r="B2018" s="7"/>
      <c r="C2018" s="5" t="str">
        <f>IF(B2018="","",[1]!s_dq_close(股指期货基差分析!$E$5,$B2018))</f>
        <v/>
      </c>
      <c r="D2018" s="5" t="str">
        <f>IF(B2018="","",[1]!s_dq_close(股指期货基差分析!$E$6,$B2018))</f>
        <v/>
      </c>
      <c r="E2018" s="5" t="e">
        <f ca="1">RANK(F2018,F:F)+COUNTIF(F$2:F2018,F2018)-1</f>
        <v>#VALUE!</v>
      </c>
      <c r="F2018" s="5" t="str">
        <f t="shared" si="32"/>
        <v/>
      </c>
      <c r="G2018" s="5" t="str">
        <f>IF(B2018="","",股指期货基差分析!$N$11)</f>
        <v/>
      </c>
      <c r="H2018" s="5" t="str">
        <f>IF(B2018="","",股指期货基差分析!$L$11)</f>
        <v/>
      </c>
      <c r="I2018" s="9" t="str">
        <f>IF(B2018="","",股指期货基差分析!$D$11)</f>
        <v/>
      </c>
    </row>
    <row r="2019" spans="2:9" ht="15" customHeight="1" x14ac:dyDescent="0.2">
      <c r="B2019" s="8"/>
      <c r="C2019" s="6" t="str">
        <f>IF(B2019="","",[1]!s_dq_close(股指期货基差分析!$E$5,$B2019))</f>
        <v/>
      </c>
      <c r="D2019" s="6" t="str">
        <f>IF(B2019="","",[1]!s_dq_close(股指期货基差分析!$E$6,$B2019))</f>
        <v/>
      </c>
      <c r="E2019" s="6" t="e">
        <f ca="1">RANK(F2019,F:F)+COUNTIF(F$2:F2019,F2019)-1</f>
        <v>#VALUE!</v>
      </c>
      <c r="F2019" s="6" t="str">
        <f t="shared" si="32"/>
        <v/>
      </c>
      <c r="G2019" s="6" t="str">
        <f>IF(B2019="","",股指期货基差分析!$N$11)</f>
        <v/>
      </c>
      <c r="H2019" s="6" t="str">
        <f>IF(B2019="","",股指期货基差分析!$L$11)</f>
        <v/>
      </c>
      <c r="I2019" s="10" t="str">
        <f>IF(B2019="","",股指期货基差分析!$D$11)</f>
        <v/>
      </c>
    </row>
    <row r="2020" spans="2:9" ht="15" customHeight="1" x14ac:dyDescent="0.2">
      <c r="B2020" s="7"/>
      <c r="C2020" s="5" t="str">
        <f>IF(B2020="","",[1]!s_dq_close(股指期货基差分析!$E$5,$B2020))</f>
        <v/>
      </c>
      <c r="D2020" s="5" t="str">
        <f>IF(B2020="","",[1]!s_dq_close(股指期货基差分析!$E$6,$B2020))</f>
        <v/>
      </c>
      <c r="E2020" s="5" t="e">
        <f ca="1">RANK(F2020,F:F)+COUNTIF(F$2:F2020,F2020)-1</f>
        <v>#VALUE!</v>
      </c>
      <c r="F2020" s="5" t="str">
        <f t="shared" si="32"/>
        <v/>
      </c>
      <c r="G2020" s="5" t="str">
        <f>IF(B2020="","",股指期货基差分析!$N$11)</f>
        <v/>
      </c>
      <c r="H2020" s="5" t="str">
        <f>IF(B2020="","",股指期货基差分析!$L$11)</f>
        <v/>
      </c>
      <c r="I2020" s="9" t="str">
        <f>IF(B2020="","",股指期货基差分析!$D$11)</f>
        <v/>
      </c>
    </row>
    <row r="2021" spans="2:9" ht="15" customHeight="1" x14ac:dyDescent="0.2">
      <c r="B2021" s="8"/>
      <c r="C2021" s="6" t="str">
        <f>IF(B2021="","",[1]!s_dq_close(股指期货基差分析!$E$5,$B2021))</f>
        <v/>
      </c>
      <c r="D2021" s="6" t="str">
        <f>IF(B2021="","",[1]!s_dq_close(股指期货基差分析!$E$6,$B2021))</f>
        <v/>
      </c>
      <c r="E2021" s="6" t="e">
        <f ca="1">RANK(F2021,F:F)+COUNTIF(F$2:F2021,F2021)-1</f>
        <v>#VALUE!</v>
      </c>
      <c r="F2021" s="6" t="str">
        <f t="shared" si="32"/>
        <v/>
      </c>
      <c r="G2021" s="6" t="str">
        <f>IF(B2021="","",股指期货基差分析!$N$11)</f>
        <v/>
      </c>
      <c r="H2021" s="6" t="str">
        <f>IF(B2021="","",股指期货基差分析!$L$11)</f>
        <v/>
      </c>
      <c r="I2021" s="10" t="str">
        <f>IF(B2021="","",股指期货基差分析!$D$11)</f>
        <v/>
      </c>
    </row>
    <row r="2022" spans="2:9" ht="15" customHeight="1" x14ac:dyDescent="0.2">
      <c r="B2022" s="7"/>
      <c r="C2022" s="5" t="str">
        <f>IF(B2022="","",[1]!s_dq_close(股指期货基差分析!$E$5,$B2022))</f>
        <v/>
      </c>
      <c r="D2022" s="5" t="str">
        <f>IF(B2022="","",[1]!s_dq_close(股指期货基差分析!$E$6,$B2022))</f>
        <v/>
      </c>
      <c r="E2022" s="5" t="e">
        <f ca="1">RANK(F2022,F:F)+COUNTIF(F$2:F2022,F2022)-1</f>
        <v>#VALUE!</v>
      </c>
      <c r="F2022" s="5" t="str">
        <f t="shared" si="32"/>
        <v/>
      </c>
      <c r="G2022" s="5" t="str">
        <f>IF(B2022="","",股指期货基差分析!$N$11)</f>
        <v/>
      </c>
      <c r="H2022" s="5" t="str">
        <f>IF(B2022="","",股指期货基差分析!$L$11)</f>
        <v/>
      </c>
      <c r="I2022" s="9" t="str">
        <f>IF(B2022="","",股指期货基差分析!$D$11)</f>
        <v/>
      </c>
    </row>
    <row r="2023" spans="2:9" ht="15" customHeight="1" x14ac:dyDescent="0.2">
      <c r="B2023" s="8"/>
      <c r="C2023" s="6" t="str">
        <f>IF(B2023="","",[1]!s_dq_close(股指期货基差分析!$E$5,$B2023))</f>
        <v/>
      </c>
      <c r="D2023" s="6" t="str">
        <f>IF(B2023="","",[1]!s_dq_close(股指期货基差分析!$E$6,$B2023))</f>
        <v/>
      </c>
      <c r="E2023" s="6" t="e">
        <f ca="1">RANK(F2023,F:F)+COUNTIF(F$2:F2023,F2023)-1</f>
        <v>#VALUE!</v>
      </c>
      <c r="F2023" s="6" t="str">
        <f t="shared" si="32"/>
        <v/>
      </c>
      <c r="G2023" s="6" t="str">
        <f>IF(B2023="","",股指期货基差分析!$N$11)</f>
        <v/>
      </c>
      <c r="H2023" s="6" t="str">
        <f>IF(B2023="","",股指期货基差分析!$L$11)</f>
        <v/>
      </c>
      <c r="I2023" s="10" t="str">
        <f>IF(B2023="","",股指期货基差分析!$D$11)</f>
        <v/>
      </c>
    </row>
    <row r="2024" spans="2:9" ht="15" customHeight="1" x14ac:dyDescent="0.2">
      <c r="B2024" s="7"/>
      <c r="C2024" s="5" t="str">
        <f>IF(B2024="","",[1]!s_dq_close(股指期货基差分析!$E$5,$B2024))</f>
        <v/>
      </c>
      <c r="D2024" s="5" t="str">
        <f>IF(B2024="","",[1]!s_dq_close(股指期货基差分析!$E$6,$B2024))</f>
        <v/>
      </c>
      <c r="E2024" s="5" t="e">
        <f ca="1">RANK(F2024,F:F)+COUNTIF(F$2:F2024,F2024)-1</f>
        <v>#VALUE!</v>
      </c>
      <c r="F2024" s="5" t="str">
        <f t="shared" si="32"/>
        <v/>
      </c>
      <c r="G2024" s="5" t="str">
        <f>IF(B2024="","",股指期货基差分析!$N$11)</f>
        <v/>
      </c>
      <c r="H2024" s="5" t="str">
        <f>IF(B2024="","",股指期货基差分析!$L$11)</f>
        <v/>
      </c>
      <c r="I2024" s="9" t="str">
        <f>IF(B2024="","",股指期货基差分析!$D$11)</f>
        <v/>
      </c>
    </row>
    <row r="2025" spans="2:9" ht="15" customHeight="1" x14ac:dyDescent="0.2">
      <c r="B2025" s="8"/>
      <c r="C2025" s="6" t="str">
        <f>IF(B2025="","",[1]!s_dq_close(股指期货基差分析!$E$5,$B2025))</f>
        <v/>
      </c>
      <c r="D2025" s="6" t="str">
        <f>IF(B2025="","",[1]!s_dq_close(股指期货基差分析!$E$6,$B2025))</f>
        <v/>
      </c>
      <c r="E2025" s="6" t="e">
        <f ca="1">RANK(F2025,F:F)+COUNTIF(F$2:F2025,F2025)-1</f>
        <v>#VALUE!</v>
      </c>
      <c r="F2025" s="6" t="str">
        <f t="shared" si="32"/>
        <v/>
      </c>
      <c r="G2025" s="6" t="str">
        <f>IF(B2025="","",股指期货基差分析!$N$11)</f>
        <v/>
      </c>
      <c r="H2025" s="6" t="str">
        <f>IF(B2025="","",股指期货基差分析!$L$11)</f>
        <v/>
      </c>
      <c r="I2025" s="10" t="str">
        <f>IF(B2025="","",股指期货基差分析!$D$11)</f>
        <v/>
      </c>
    </row>
    <row r="2026" spans="2:9" ht="15" customHeight="1" x14ac:dyDescent="0.2">
      <c r="B2026" s="7"/>
      <c r="C2026" s="5" t="str">
        <f>IF(B2026="","",[1]!s_dq_close(股指期货基差分析!$E$5,$B2026))</f>
        <v/>
      </c>
      <c r="D2026" s="5" t="str">
        <f>IF(B2026="","",[1]!s_dq_close(股指期货基差分析!$E$6,$B2026))</f>
        <v/>
      </c>
      <c r="E2026" s="5" t="e">
        <f ca="1">RANK(F2026,F:F)+COUNTIF(F$2:F2026,F2026)-1</f>
        <v>#VALUE!</v>
      </c>
      <c r="F2026" s="5" t="str">
        <f t="shared" si="32"/>
        <v/>
      </c>
      <c r="G2026" s="5" t="str">
        <f>IF(B2026="","",股指期货基差分析!$N$11)</f>
        <v/>
      </c>
      <c r="H2026" s="5" t="str">
        <f>IF(B2026="","",股指期货基差分析!$L$11)</f>
        <v/>
      </c>
      <c r="I2026" s="9" t="str">
        <f>IF(B2026="","",股指期货基差分析!$D$11)</f>
        <v/>
      </c>
    </row>
    <row r="2027" spans="2:9" ht="15" customHeight="1" x14ac:dyDescent="0.2">
      <c r="B2027" s="8"/>
      <c r="C2027" s="6" t="str">
        <f>IF(B2027="","",[1]!s_dq_close(股指期货基差分析!$E$5,$B2027))</f>
        <v/>
      </c>
      <c r="D2027" s="6" t="str">
        <f>IF(B2027="","",[1]!s_dq_close(股指期货基差分析!$E$6,$B2027))</f>
        <v/>
      </c>
      <c r="E2027" s="6" t="e">
        <f ca="1">RANK(F2027,F:F)+COUNTIF(F$2:F2027,F2027)-1</f>
        <v>#VALUE!</v>
      </c>
      <c r="F2027" s="6" t="str">
        <f t="shared" si="32"/>
        <v/>
      </c>
      <c r="G2027" s="6" t="str">
        <f>IF(B2027="","",股指期货基差分析!$N$11)</f>
        <v/>
      </c>
      <c r="H2027" s="6" t="str">
        <f>IF(B2027="","",股指期货基差分析!$L$11)</f>
        <v/>
      </c>
      <c r="I2027" s="10" t="str">
        <f>IF(B2027="","",股指期货基差分析!$D$11)</f>
        <v/>
      </c>
    </row>
    <row r="2028" spans="2:9" ht="15" customHeight="1" x14ac:dyDescent="0.2">
      <c r="B2028" s="7"/>
      <c r="C2028" s="5" t="str">
        <f>IF(B2028="","",[1]!s_dq_close(股指期货基差分析!$E$5,$B2028))</f>
        <v/>
      </c>
      <c r="D2028" s="5" t="str">
        <f>IF(B2028="","",[1]!s_dq_close(股指期货基差分析!$E$6,$B2028))</f>
        <v/>
      </c>
      <c r="E2028" s="5" t="e">
        <f ca="1">RANK(F2028,F:F)+COUNTIF(F$2:F2028,F2028)-1</f>
        <v>#VALUE!</v>
      </c>
      <c r="F2028" s="5" t="str">
        <f t="shared" si="32"/>
        <v/>
      </c>
      <c r="G2028" s="5" t="str">
        <f>IF(B2028="","",股指期货基差分析!$N$11)</f>
        <v/>
      </c>
      <c r="H2028" s="5" t="str">
        <f>IF(B2028="","",股指期货基差分析!$L$11)</f>
        <v/>
      </c>
      <c r="I2028" s="9" t="str">
        <f>IF(B2028="","",股指期货基差分析!$D$11)</f>
        <v/>
      </c>
    </row>
    <row r="2029" spans="2:9" ht="15" customHeight="1" x14ac:dyDescent="0.2">
      <c r="B2029" s="8"/>
      <c r="C2029" s="6" t="str">
        <f>IF(B2029="","",[1]!s_dq_close(股指期货基差分析!$E$5,$B2029))</f>
        <v/>
      </c>
      <c r="D2029" s="6" t="str">
        <f>IF(B2029="","",[1]!s_dq_close(股指期货基差分析!$E$6,$B2029))</f>
        <v/>
      </c>
      <c r="E2029" s="6" t="e">
        <f ca="1">RANK(F2029,F:F)+COUNTIF(F$2:F2029,F2029)-1</f>
        <v>#VALUE!</v>
      </c>
      <c r="F2029" s="6" t="str">
        <f t="shared" si="32"/>
        <v/>
      </c>
      <c r="G2029" s="6" t="str">
        <f>IF(B2029="","",股指期货基差分析!$N$11)</f>
        <v/>
      </c>
      <c r="H2029" s="6" t="str">
        <f>IF(B2029="","",股指期货基差分析!$L$11)</f>
        <v/>
      </c>
      <c r="I2029" s="10" t="str">
        <f>IF(B2029="","",股指期货基差分析!$D$11)</f>
        <v/>
      </c>
    </row>
    <row r="2030" spans="2:9" ht="15" customHeight="1" x14ac:dyDescent="0.2">
      <c r="B2030" s="7"/>
      <c r="C2030" s="5" t="str">
        <f>IF(B2030="","",[1]!s_dq_close(股指期货基差分析!$E$5,$B2030))</f>
        <v/>
      </c>
      <c r="D2030" s="5" t="str">
        <f>IF(B2030="","",[1]!s_dq_close(股指期货基差分析!$E$6,$B2030))</f>
        <v/>
      </c>
      <c r="E2030" s="5" t="e">
        <f ca="1">RANK(F2030,F:F)+COUNTIF(F$2:F2030,F2030)-1</f>
        <v>#VALUE!</v>
      </c>
      <c r="F2030" s="5" t="str">
        <f t="shared" si="32"/>
        <v/>
      </c>
      <c r="G2030" s="5" t="str">
        <f>IF(B2030="","",股指期货基差分析!$N$11)</f>
        <v/>
      </c>
      <c r="H2030" s="5" t="str">
        <f>IF(B2030="","",股指期货基差分析!$L$11)</f>
        <v/>
      </c>
      <c r="I2030" s="9" t="str">
        <f>IF(B2030="","",股指期货基差分析!$D$11)</f>
        <v/>
      </c>
    </row>
    <row r="2031" spans="2:9" ht="15" customHeight="1" x14ac:dyDescent="0.2">
      <c r="B2031" s="8"/>
      <c r="C2031" s="6" t="str">
        <f>IF(B2031="","",[1]!s_dq_close(股指期货基差分析!$E$5,$B2031))</f>
        <v/>
      </c>
      <c r="D2031" s="6" t="str">
        <f>IF(B2031="","",[1]!s_dq_close(股指期货基差分析!$E$6,$B2031))</f>
        <v/>
      </c>
      <c r="E2031" s="6" t="e">
        <f ca="1">RANK(F2031,F:F)+COUNTIF(F$2:F2031,F2031)-1</f>
        <v>#VALUE!</v>
      </c>
      <c r="F2031" s="6" t="str">
        <f t="shared" si="32"/>
        <v/>
      </c>
      <c r="G2031" s="6" t="str">
        <f>IF(B2031="","",股指期货基差分析!$N$11)</f>
        <v/>
      </c>
      <c r="H2031" s="6" t="str">
        <f>IF(B2031="","",股指期货基差分析!$L$11)</f>
        <v/>
      </c>
      <c r="I2031" s="10" t="str">
        <f>IF(B2031="","",股指期货基差分析!$D$11)</f>
        <v/>
      </c>
    </row>
    <row r="2032" spans="2:9" ht="15" customHeight="1" x14ac:dyDescent="0.2">
      <c r="B2032" s="7"/>
      <c r="C2032" s="5" t="str">
        <f>IF(B2032="","",[1]!s_dq_close(股指期货基差分析!$E$5,$B2032))</f>
        <v/>
      </c>
      <c r="D2032" s="5" t="str">
        <f>IF(B2032="","",[1]!s_dq_close(股指期货基差分析!$E$6,$B2032))</f>
        <v/>
      </c>
      <c r="E2032" s="5" t="e">
        <f ca="1">RANK(F2032,F:F)+COUNTIF(F$2:F2032,F2032)-1</f>
        <v>#VALUE!</v>
      </c>
      <c r="F2032" s="5" t="str">
        <f t="shared" si="32"/>
        <v/>
      </c>
      <c r="G2032" s="5" t="str">
        <f>IF(B2032="","",股指期货基差分析!$N$11)</f>
        <v/>
      </c>
      <c r="H2032" s="5" t="str">
        <f>IF(B2032="","",股指期货基差分析!$L$11)</f>
        <v/>
      </c>
      <c r="I2032" s="9" t="str">
        <f>IF(B2032="","",股指期货基差分析!$D$11)</f>
        <v/>
      </c>
    </row>
    <row r="2033" spans="2:9" ht="15" customHeight="1" x14ac:dyDescent="0.2">
      <c r="B2033" s="8"/>
      <c r="C2033" s="6" t="str">
        <f>IF(B2033="","",[1]!s_dq_close(股指期货基差分析!$E$5,$B2033))</f>
        <v/>
      </c>
      <c r="D2033" s="6" t="str">
        <f>IF(B2033="","",[1]!s_dq_close(股指期货基差分析!$E$6,$B2033))</f>
        <v/>
      </c>
      <c r="E2033" s="6" t="e">
        <f ca="1">RANK(F2033,F:F)+COUNTIF(F$2:F2033,F2033)-1</f>
        <v>#VALUE!</v>
      </c>
      <c r="F2033" s="6" t="str">
        <f t="shared" si="32"/>
        <v/>
      </c>
      <c r="G2033" s="6" t="str">
        <f>IF(B2033="","",股指期货基差分析!$N$11)</f>
        <v/>
      </c>
      <c r="H2033" s="6" t="str">
        <f>IF(B2033="","",股指期货基差分析!$L$11)</f>
        <v/>
      </c>
      <c r="I2033" s="10" t="str">
        <f>IF(B2033="","",股指期货基差分析!$D$11)</f>
        <v/>
      </c>
    </row>
    <row r="2034" spans="2:9" ht="15" customHeight="1" x14ac:dyDescent="0.2">
      <c r="B2034" s="7"/>
      <c r="C2034" s="5" t="str">
        <f>IF(B2034="","",[1]!s_dq_close(股指期货基差分析!$E$5,$B2034))</f>
        <v/>
      </c>
      <c r="D2034" s="5" t="str">
        <f>IF(B2034="","",[1]!s_dq_close(股指期货基差分析!$E$6,$B2034))</f>
        <v/>
      </c>
      <c r="E2034" s="5" t="e">
        <f ca="1">RANK(F2034,F:F)+COUNTIF(F$2:F2034,F2034)-1</f>
        <v>#VALUE!</v>
      </c>
      <c r="F2034" s="5" t="str">
        <f t="shared" si="32"/>
        <v/>
      </c>
      <c r="G2034" s="5" t="str">
        <f>IF(B2034="","",股指期货基差分析!$N$11)</f>
        <v/>
      </c>
      <c r="H2034" s="5" t="str">
        <f>IF(B2034="","",股指期货基差分析!$L$11)</f>
        <v/>
      </c>
      <c r="I2034" s="9" t="str">
        <f>IF(B2034="","",股指期货基差分析!$D$11)</f>
        <v/>
      </c>
    </row>
    <row r="2035" spans="2:9" ht="15" customHeight="1" x14ac:dyDescent="0.2">
      <c r="B2035" s="8"/>
      <c r="C2035" s="6" t="str">
        <f>IF(B2035="","",[1]!s_dq_close(股指期货基差分析!$E$5,$B2035))</f>
        <v/>
      </c>
      <c r="D2035" s="6" t="str">
        <f>IF(B2035="","",[1]!s_dq_close(股指期货基差分析!$E$6,$B2035))</f>
        <v/>
      </c>
      <c r="E2035" s="6" t="e">
        <f ca="1">RANK(F2035,F:F)+COUNTIF(F$2:F2035,F2035)-1</f>
        <v>#VALUE!</v>
      </c>
      <c r="F2035" s="6" t="str">
        <f t="shared" si="32"/>
        <v/>
      </c>
      <c r="G2035" s="6" t="str">
        <f>IF(B2035="","",股指期货基差分析!$N$11)</f>
        <v/>
      </c>
      <c r="H2035" s="6" t="str">
        <f>IF(B2035="","",股指期货基差分析!$L$11)</f>
        <v/>
      </c>
      <c r="I2035" s="10" t="str">
        <f>IF(B2035="","",股指期货基差分析!$D$11)</f>
        <v/>
      </c>
    </row>
    <row r="2036" spans="2:9" ht="15" customHeight="1" x14ac:dyDescent="0.2">
      <c r="B2036" s="7"/>
      <c r="C2036" s="5" t="str">
        <f>IF(B2036="","",[1]!s_dq_close(股指期货基差分析!$E$5,$B2036))</f>
        <v/>
      </c>
      <c r="D2036" s="5" t="str">
        <f>IF(B2036="","",[1]!s_dq_close(股指期货基差分析!$E$6,$B2036))</f>
        <v/>
      </c>
      <c r="E2036" s="5" t="e">
        <f ca="1">RANK(F2036,F:F)+COUNTIF(F$2:F2036,F2036)-1</f>
        <v>#VALUE!</v>
      </c>
      <c r="F2036" s="5" t="str">
        <f t="shared" si="32"/>
        <v/>
      </c>
      <c r="G2036" s="5" t="str">
        <f>IF(B2036="","",股指期货基差分析!$N$11)</f>
        <v/>
      </c>
      <c r="H2036" s="5" t="str">
        <f>IF(B2036="","",股指期货基差分析!$L$11)</f>
        <v/>
      </c>
      <c r="I2036" s="9" t="str">
        <f>IF(B2036="","",股指期货基差分析!$D$11)</f>
        <v/>
      </c>
    </row>
    <row r="2037" spans="2:9" ht="15" customHeight="1" x14ac:dyDescent="0.2">
      <c r="B2037" s="8"/>
      <c r="C2037" s="6" t="str">
        <f>IF(B2037="","",[1]!s_dq_close(股指期货基差分析!$E$5,$B2037))</f>
        <v/>
      </c>
      <c r="D2037" s="6" t="str">
        <f>IF(B2037="","",[1]!s_dq_close(股指期货基差分析!$E$6,$B2037))</f>
        <v/>
      </c>
      <c r="E2037" s="6" t="e">
        <f ca="1">RANK(F2037,F:F)+COUNTIF(F$2:F2037,F2037)-1</f>
        <v>#VALUE!</v>
      </c>
      <c r="F2037" s="6" t="str">
        <f t="shared" si="32"/>
        <v/>
      </c>
      <c r="G2037" s="6" t="str">
        <f>IF(B2037="","",股指期货基差分析!$N$11)</f>
        <v/>
      </c>
      <c r="H2037" s="6" t="str">
        <f>IF(B2037="","",股指期货基差分析!$L$11)</f>
        <v/>
      </c>
      <c r="I2037" s="10" t="str">
        <f>IF(B2037="","",股指期货基差分析!$D$11)</f>
        <v/>
      </c>
    </row>
    <row r="2038" spans="2:9" ht="15" customHeight="1" x14ac:dyDescent="0.2">
      <c r="B2038" s="7"/>
      <c r="C2038" s="5" t="str">
        <f>IF(B2038="","",[1]!s_dq_close(股指期货基差分析!$E$5,$B2038))</f>
        <v/>
      </c>
      <c r="D2038" s="5" t="str">
        <f>IF(B2038="","",[1]!s_dq_close(股指期货基差分析!$E$6,$B2038))</f>
        <v/>
      </c>
      <c r="E2038" s="5" t="e">
        <f ca="1">RANK(F2038,F:F)+COUNTIF(F$2:F2038,F2038)-1</f>
        <v>#VALUE!</v>
      </c>
      <c r="F2038" s="5" t="str">
        <f t="shared" si="32"/>
        <v/>
      </c>
      <c r="G2038" s="5" t="str">
        <f>IF(B2038="","",股指期货基差分析!$N$11)</f>
        <v/>
      </c>
      <c r="H2038" s="5" t="str">
        <f>IF(B2038="","",股指期货基差分析!$L$11)</f>
        <v/>
      </c>
      <c r="I2038" s="9" t="str">
        <f>IF(B2038="","",股指期货基差分析!$D$11)</f>
        <v/>
      </c>
    </row>
    <row r="2039" spans="2:9" ht="15" customHeight="1" x14ac:dyDescent="0.2">
      <c r="B2039" s="8"/>
      <c r="C2039" s="6" t="str">
        <f>IF(B2039="","",[1]!s_dq_close(股指期货基差分析!$E$5,$B2039))</f>
        <v/>
      </c>
      <c r="D2039" s="6" t="str">
        <f>IF(B2039="","",[1]!s_dq_close(股指期货基差分析!$E$6,$B2039))</f>
        <v/>
      </c>
      <c r="E2039" s="6" t="e">
        <f ca="1">RANK(F2039,F:F)+COUNTIF(F$2:F2039,F2039)-1</f>
        <v>#VALUE!</v>
      </c>
      <c r="F2039" s="6" t="str">
        <f t="shared" si="32"/>
        <v/>
      </c>
      <c r="G2039" s="6" t="str">
        <f>IF(B2039="","",股指期货基差分析!$N$11)</f>
        <v/>
      </c>
      <c r="H2039" s="6" t="str">
        <f>IF(B2039="","",股指期货基差分析!$L$11)</f>
        <v/>
      </c>
      <c r="I2039" s="10" t="str">
        <f>IF(B2039="","",股指期货基差分析!$D$11)</f>
        <v/>
      </c>
    </row>
    <row r="2040" spans="2:9" ht="15" customHeight="1" x14ac:dyDescent="0.2">
      <c r="B2040" s="7"/>
      <c r="C2040" s="5" t="str">
        <f>IF(B2040="","",[1]!s_dq_close(股指期货基差分析!$E$5,$B2040))</f>
        <v/>
      </c>
      <c r="D2040" s="5" t="str">
        <f>IF(B2040="","",[1]!s_dq_close(股指期货基差分析!$E$6,$B2040))</f>
        <v/>
      </c>
      <c r="E2040" s="5" t="e">
        <f ca="1">RANK(F2040,F:F)+COUNTIF(F$2:F2040,F2040)-1</f>
        <v>#VALUE!</v>
      </c>
      <c r="F2040" s="5" t="str">
        <f t="shared" si="32"/>
        <v/>
      </c>
      <c r="G2040" s="5" t="str">
        <f>IF(B2040="","",股指期货基差分析!$N$11)</f>
        <v/>
      </c>
      <c r="H2040" s="5" t="str">
        <f>IF(B2040="","",股指期货基差分析!$L$11)</f>
        <v/>
      </c>
      <c r="I2040" s="9" t="str">
        <f>IF(B2040="","",股指期货基差分析!$D$11)</f>
        <v/>
      </c>
    </row>
    <row r="2041" spans="2:9" ht="15" customHeight="1" x14ac:dyDescent="0.2">
      <c r="B2041" s="8"/>
      <c r="C2041" s="6" t="str">
        <f>IF(B2041="","",[1]!s_dq_close(股指期货基差分析!$E$5,$B2041))</f>
        <v/>
      </c>
      <c r="D2041" s="6" t="str">
        <f>IF(B2041="","",[1]!s_dq_close(股指期货基差分析!$E$6,$B2041))</f>
        <v/>
      </c>
      <c r="E2041" s="6" t="e">
        <f ca="1">RANK(F2041,F:F)+COUNTIF(F$2:F2041,F2041)-1</f>
        <v>#VALUE!</v>
      </c>
      <c r="F2041" s="6" t="str">
        <f t="shared" si="32"/>
        <v/>
      </c>
      <c r="G2041" s="6" t="str">
        <f>IF(B2041="","",股指期货基差分析!$N$11)</f>
        <v/>
      </c>
      <c r="H2041" s="6" t="str">
        <f>IF(B2041="","",股指期货基差分析!$L$11)</f>
        <v/>
      </c>
      <c r="I2041" s="10" t="str">
        <f>IF(B2041="","",股指期货基差分析!$D$11)</f>
        <v/>
      </c>
    </row>
    <row r="2042" spans="2:9" ht="15" customHeight="1" x14ac:dyDescent="0.2">
      <c r="B2042" s="7"/>
      <c r="C2042" s="5" t="str">
        <f>IF(B2042="","",[1]!s_dq_close(股指期货基差分析!$E$5,$B2042))</f>
        <v/>
      </c>
      <c r="D2042" s="5" t="str">
        <f>IF(B2042="","",[1]!s_dq_close(股指期货基差分析!$E$6,$B2042))</f>
        <v/>
      </c>
      <c r="E2042" s="5" t="e">
        <f ca="1">RANK(F2042,F:F)+COUNTIF(F$2:F2042,F2042)-1</f>
        <v>#VALUE!</v>
      </c>
      <c r="F2042" s="5" t="str">
        <f t="shared" si="32"/>
        <v/>
      </c>
      <c r="G2042" s="5" t="str">
        <f>IF(B2042="","",股指期货基差分析!$N$11)</f>
        <v/>
      </c>
      <c r="H2042" s="5" t="str">
        <f>IF(B2042="","",股指期货基差分析!$L$11)</f>
        <v/>
      </c>
      <c r="I2042" s="9" t="str">
        <f>IF(B2042="","",股指期货基差分析!$D$11)</f>
        <v/>
      </c>
    </row>
    <row r="2043" spans="2:9" ht="15" customHeight="1" x14ac:dyDescent="0.2">
      <c r="B2043" s="8"/>
      <c r="C2043" s="6" t="str">
        <f>IF(B2043="","",[1]!s_dq_close(股指期货基差分析!$E$5,$B2043))</f>
        <v/>
      </c>
      <c r="D2043" s="6" t="str">
        <f>IF(B2043="","",[1]!s_dq_close(股指期货基差分析!$E$6,$B2043))</f>
        <v/>
      </c>
      <c r="E2043" s="6" t="e">
        <f ca="1">RANK(F2043,F:F)+COUNTIF(F$2:F2043,F2043)-1</f>
        <v>#VALUE!</v>
      </c>
      <c r="F2043" s="6" t="str">
        <f t="shared" si="32"/>
        <v/>
      </c>
      <c r="G2043" s="6" t="str">
        <f>IF(B2043="","",股指期货基差分析!$N$11)</f>
        <v/>
      </c>
      <c r="H2043" s="6" t="str">
        <f>IF(B2043="","",股指期货基差分析!$L$11)</f>
        <v/>
      </c>
      <c r="I2043" s="10" t="str">
        <f>IF(B2043="","",股指期货基差分析!$D$11)</f>
        <v/>
      </c>
    </row>
    <row r="2044" spans="2:9" ht="15" customHeight="1" x14ac:dyDescent="0.2">
      <c r="B2044" s="7"/>
      <c r="C2044" s="5" t="str">
        <f>IF(B2044="","",[1]!s_dq_close(股指期货基差分析!$E$5,$B2044))</f>
        <v/>
      </c>
      <c r="D2044" s="5" t="str">
        <f>IF(B2044="","",[1]!s_dq_close(股指期货基差分析!$E$6,$B2044))</f>
        <v/>
      </c>
      <c r="E2044" s="5" t="e">
        <f ca="1">RANK(F2044,F:F)+COUNTIF(F$2:F2044,F2044)-1</f>
        <v>#VALUE!</v>
      </c>
      <c r="F2044" s="5" t="str">
        <f t="shared" si="32"/>
        <v/>
      </c>
      <c r="G2044" s="5" t="str">
        <f>IF(B2044="","",股指期货基差分析!$N$11)</f>
        <v/>
      </c>
      <c r="H2044" s="5" t="str">
        <f>IF(B2044="","",股指期货基差分析!$L$11)</f>
        <v/>
      </c>
      <c r="I2044" s="9" t="str">
        <f>IF(B2044="","",股指期货基差分析!$D$11)</f>
        <v/>
      </c>
    </row>
    <row r="2045" spans="2:9" ht="15" customHeight="1" x14ac:dyDescent="0.2">
      <c r="B2045" s="8"/>
      <c r="C2045" s="6" t="str">
        <f>IF(B2045="","",[1]!s_dq_close(股指期货基差分析!$E$5,$B2045))</f>
        <v/>
      </c>
      <c r="D2045" s="6" t="str">
        <f>IF(B2045="","",[1]!s_dq_close(股指期货基差分析!$E$6,$B2045))</f>
        <v/>
      </c>
      <c r="E2045" s="6" t="e">
        <f ca="1">RANK(F2045,F:F)+COUNTIF(F$2:F2045,F2045)-1</f>
        <v>#VALUE!</v>
      </c>
      <c r="F2045" s="6" t="str">
        <f t="shared" si="32"/>
        <v/>
      </c>
      <c r="G2045" s="6" t="str">
        <f>IF(B2045="","",股指期货基差分析!$N$11)</f>
        <v/>
      </c>
      <c r="H2045" s="6" t="str">
        <f>IF(B2045="","",股指期货基差分析!$L$11)</f>
        <v/>
      </c>
      <c r="I2045" s="10" t="str">
        <f>IF(B2045="","",股指期货基差分析!$D$11)</f>
        <v/>
      </c>
    </row>
    <row r="2046" spans="2:9" ht="15" customHeight="1" x14ac:dyDescent="0.2">
      <c r="B2046" s="7"/>
      <c r="C2046" s="5" t="str">
        <f>IF(B2046="","",[1]!s_dq_close(股指期货基差分析!$E$5,$B2046))</f>
        <v/>
      </c>
      <c r="D2046" s="5" t="str">
        <f>IF(B2046="","",[1]!s_dq_close(股指期货基差分析!$E$6,$B2046))</f>
        <v/>
      </c>
      <c r="E2046" s="5" t="e">
        <f ca="1">RANK(F2046,F:F)+COUNTIF(F$2:F2046,F2046)-1</f>
        <v>#VALUE!</v>
      </c>
      <c r="F2046" s="5" t="str">
        <f t="shared" si="32"/>
        <v/>
      </c>
      <c r="G2046" s="5" t="str">
        <f>IF(B2046="","",股指期货基差分析!$N$11)</f>
        <v/>
      </c>
      <c r="H2046" s="5" t="str">
        <f>IF(B2046="","",股指期货基差分析!$L$11)</f>
        <v/>
      </c>
      <c r="I2046" s="9" t="str">
        <f>IF(B2046="","",股指期货基差分析!$D$11)</f>
        <v/>
      </c>
    </row>
    <row r="2047" spans="2:9" ht="15" customHeight="1" x14ac:dyDescent="0.2">
      <c r="B2047" s="8"/>
      <c r="C2047" s="6" t="str">
        <f>IF(B2047="","",[1]!s_dq_close(股指期货基差分析!$E$5,$B2047))</f>
        <v/>
      </c>
      <c r="D2047" s="6" t="str">
        <f>IF(B2047="","",[1]!s_dq_close(股指期货基差分析!$E$6,$B2047))</f>
        <v/>
      </c>
      <c r="E2047" s="6" t="e">
        <f ca="1">RANK(F2047,F:F)+COUNTIF(F$2:F2047,F2047)-1</f>
        <v>#VALUE!</v>
      </c>
      <c r="F2047" s="6" t="str">
        <f t="shared" si="32"/>
        <v/>
      </c>
      <c r="G2047" s="6" t="str">
        <f>IF(B2047="","",股指期货基差分析!$N$11)</f>
        <v/>
      </c>
      <c r="H2047" s="6" t="str">
        <f>IF(B2047="","",股指期货基差分析!$L$11)</f>
        <v/>
      </c>
      <c r="I2047" s="10" t="str">
        <f>IF(B2047="","",股指期货基差分析!$D$11)</f>
        <v/>
      </c>
    </row>
    <row r="2048" spans="2:9" ht="15" customHeight="1" x14ac:dyDescent="0.2">
      <c r="B2048" s="7"/>
      <c r="C2048" s="5" t="str">
        <f>IF(B2048="","",[1]!s_dq_close(股指期货基差分析!$E$5,$B2048))</f>
        <v/>
      </c>
      <c r="D2048" s="5" t="str">
        <f>IF(B2048="","",[1]!s_dq_close(股指期货基差分析!$E$6,$B2048))</f>
        <v/>
      </c>
      <c r="E2048" s="5" t="e">
        <f ca="1">RANK(F2048,F:F)+COUNTIF(F$2:F2048,F2048)-1</f>
        <v>#VALUE!</v>
      </c>
      <c r="F2048" s="5" t="str">
        <f t="shared" si="32"/>
        <v/>
      </c>
      <c r="G2048" s="5" t="str">
        <f>IF(B2048="","",股指期货基差分析!$N$11)</f>
        <v/>
      </c>
      <c r="H2048" s="5" t="str">
        <f>IF(B2048="","",股指期货基差分析!$L$11)</f>
        <v/>
      </c>
      <c r="I2048" s="9" t="str">
        <f>IF(B2048="","",股指期货基差分析!$D$11)</f>
        <v/>
      </c>
    </row>
    <row r="2049" spans="2:9" ht="15" customHeight="1" x14ac:dyDescent="0.2">
      <c r="B2049" s="8"/>
      <c r="C2049" s="6" t="str">
        <f>IF(B2049="","",[1]!s_dq_close(股指期货基差分析!$E$5,$B2049))</f>
        <v/>
      </c>
      <c r="D2049" s="6" t="str">
        <f>IF(B2049="","",[1]!s_dq_close(股指期货基差分析!$E$6,$B2049))</f>
        <v/>
      </c>
      <c r="E2049" s="6" t="e">
        <f ca="1">RANK(F2049,F:F)+COUNTIF(F$2:F2049,F2049)-1</f>
        <v>#VALUE!</v>
      </c>
      <c r="F2049" s="6" t="str">
        <f t="shared" si="32"/>
        <v/>
      </c>
      <c r="G2049" s="6" t="str">
        <f>IF(B2049="","",股指期货基差分析!$N$11)</f>
        <v/>
      </c>
      <c r="H2049" s="6" t="str">
        <f>IF(B2049="","",股指期货基差分析!$L$11)</f>
        <v/>
      </c>
      <c r="I2049" s="10" t="str">
        <f>IF(B2049="","",股指期货基差分析!$D$11)</f>
        <v/>
      </c>
    </row>
    <row r="2050" spans="2:9" ht="15" customHeight="1" x14ac:dyDescent="0.2">
      <c r="B2050" s="7"/>
      <c r="C2050" s="5" t="str">
        <f>IF(B2050="","",[1]!s_dq_close(股指期货基差分析!$E$5,$B2050))</f>
        <v/>
      </c>
      <c r="D2050" s="5" t="str">
        <f>IF(B2050="","",[1]!s_dq_close(股指期货基差分析!$E$6,$B2050))</f>
        <v/>
      </c>
      <c r="E2050" s="5" t="e">
        <f ca="1">RANK(F2050,F:F)+COUNTIF(F$2:F2050,F2050)-1</f>
        <v>#VALUE!</v>
      </c>
      <c r="F2050" s="5" t="str">
        <f t="shared" ref="F2050:F2113" si="33">IF(B2050="","",D2050-C2050)</f>
        <v/>
      </c>
      <c r="G2050" s="5" t="str">
        <f>IF(B2050="","",股指期货基差分析!$N$11)</f>
        <v/>
      </c>
      <c r="H2050" s="5" t="str">
        <f>IF(B2050="","",股指期货基差分析!$L$11)</f>
        <v/>
      </c>
      <c r="I2050" s="9" t="str">
        <f>IF(B2050="","",股指期货基差分析!$D$11)</f>
        <v/>
      </c>
    </row>
    <row r="2051" spans="2:9" ht="15" customHeight="1" x14ac:dyDescent="0.2">
      <c r="B2051" s="8"/>
      <c r="C2051" s="6" t="str">
        <f>IF(B2051="","",[1]!s_dq_close(股指期货基差分析!$E$5,$B2051))</f>
        <v/>
      </c>
      <c r="D2051" s="6" t="str">
        <f>IF(B2051="","",[1]!s_dq_close(股指期货基差分析!$E$6,$B2051))</f>
        <v/>
      </c>
      <c r="E2051" s="6" t="e">
        <f ca="1">RANK(F2051,F:F)+COUNTIF(F$2:F2051,F2051)-1</f>
        <v>#VALUE!</v>
      </c>
      <c r="F2051" s="6" t="str">
        <f t="shared" si="33"/>
        <v/>
      </c>
      <c r="G2051" s="6" t="str">
        <f>IF(B2051="","",股指期货基差分析!$N$11)</f>
        <v/>
      </c>
      <c r="H2051" s="6" t="str">
        <f>IF(B2051="","",股指期货基差分析!$L$11)</f>
        <v/>
      </c>
      <c r="I2051" s="10" t="str">
        <f>IF(B2051="","",股指期货基差分析!$D$11)</f>
        <v/>
      </c>
    </row>
    <row r="2052" spans="2:9" ht="15" customHeight="1" x14ac:dyDescent="0.2">
      <c r="B2052" s="7"/>
      <c r="C2052" s="5" t="str">
        <f>IF(B2052="","",[1]!s_dq_close(股指期货基差分析!$E$5,$B2052))</f>
        <v/>
      </c>
      <c r="D2052" s="5" t="str">
        <f>IF(B2052="","",[1]!s_dq_close(股指期货基差分析!$E$6,$B2052))</f>
        <v/>
      </c>
      <c r="E2052" s="5" t="e">
        <f ca="1">RANK(F2052,F:F)+COUNTIF(F$2:F2052,F2052)-1</f>
        <v>#VALUE!</v>
      </c>
      <c r="F2052" s="5" t="str">
        <f t="shared" si="33"/>
        <v/>
      </c>
      <c r="G2052" s="5" t="str">
        <f>IF(B2052="","",股指期货基差分析!$N$11)</f>
        <v/>
      </c>
      <c r="H2052" s="5" t="str">
        <f>IF(B2052="","",股指期货基差分析!$L$11)</f>
        <v/>
      </c>
      <c r="I2052" s="9" t="str">
        <f>IF(B2052="","",股指期货基差分析!$D$11)</f>
        <v/>
      </c>
    </row>
    <row r="2053" spans="2:9" ht="15" customHeight="1" x14ac:dyDescent="0.2">
      <c r="B2053" s="8"/>
      <c r="C2053" s="6" t="str">
        <f>IF(B2053="","",[1]!s_dq_close(股指期货基差分析!$E$5,$B2053))</f>
        <v/>
      </c>
      <c r="D2053" s="6" t="str">
        <f>IF(B2053="","",[1]!s_dq_close(股指期货基差分析!$E$6,$B2053))</f>
        <v/>
      </c>
      <c r="E2053" s="6" t="e">
        <f ca="1">RANK(F2053,F:F)+COUNTIF(F$2:F2053,F2053)-1</f>
        <v>#VALUE!</v>
      </c>
      <c r="F2053" s="6" t="str">
        <f t="shared" si="33"/>
        <v/>
      </c>
      <c r="G2053" s="6" t="str">
        <f>IF(B2053="","",股指期货基差分析!$N$11)</f>
        <v/>
      </c>
      <c r="H2053" s="6" t="str">
        <f>IF(B2053="","",股指期货基差分析!$L$11)</f>
        <v/>
      </c>
      <c r="I2053" s="10" t="str">
        <f>IF(B2053="","",股指期货基差分析!$D$11)</f>
        <v/>
      </c>
    </row>
    <row r="2054" spans="2:9" ht="15" customHeight="1" x14ac:dyDescent="0.2">
      <c r="B2054" s="7"/>
      <c r="C2054" s="5" t="str">
        <f>IF(B2054="","",[1]!s_dq_close(股指期货基差分析!$E$5,$B2054))</f>
        <v/>
      </c>
      <c r="D2054" s="5" t="str">
        <f>IF(B2054="","",[1]!s_dq_close(股指期货基差分析!$E$6,$B2054))</f>
        <v/>
      </c>
      <c r="E2054" s="5" t="e">
        <f ca="1">RANK(F2054,F:F)+COUNTIF(F$2:F2054,F2054)-1</f>
        <v>#VALUE!</v>
      </c>
      <c r="F2054" s="5" t="str">
        <f t="shared" si="33"/>
        <v/>
      </c>
      <c r="G2054" s="5" t="str">
        <f>IF(B2054="","",股指期货基差分析!$N$11)</f>
        <v/>
      </c>
      <c r="H2054" s="5" t="str">
        <f>IF(B2054="","",股指期货基差分析!$L$11)</f>
        <v/>
      </c>
      <c r="I2054" s="9" t="str">
        <f>IF(B2054="","",股指期货基差分析!$D$11)</f>
        <v/>
      </c>
    </row>
    <row r="2055" spans="2:9" ht="15" customHeight="1" x14ac:dyDescent="0.2">
      <c r="B2055" s="8"/>
      <c r="C2055" s="6" t="str">
        <f>IF(B2055="","",[1]!s_dq_close(股指期货基差分析!$E$5,$B2055))</f>
        <v/>
      </c>
      <c r="D2055" s="6" t="str">
        <f>IF(B2055="","",[1]!s_dq_close(股指期货基差分析!$E$6,$B2055))</f>
        <v/>
      </c>
      <c r="E2055" s="6" t="e">
        <f ca="1">RANK(F2055,F:F)+COUNTIF(F$2:F2055,F2055)-1</f>
        <v>#VALUE!</v>
      </c>
      <c r="F2055" s="6" t="str">
        <f t="shared" si="33"/>
        <v/>
      </c>
      <c r="G2055" s="6" t="str">
        <f>IF(B2055="","",股指期货基差分析!$N$11)</f>
        <v/>
      </c>
      <c r="H2055" s="6" t="str">
        <f>IF(B2055="","",股指期货基差分析!$L$11)</f>
        <v/>
      </c>
      <c r="I2055" s="10" t="str">
        <f>IF(B2055="","",股指期货基差分析!$D$11)</f>
        <v/>
      </c>
    </row>
    <row r="2056" spans="2:9" ht="15" customHeight="1" x14ac:dyDescent="0.2">
      <c r="B2056" s="7"/>
      <c r="C2056" s="5" t="str">
        <f>IF(B2056="","",[1]!s_dq_close(股指期货基差分析!$E$5,$B2056))</f>
        <v/>
      </c>
      <c r="D2056" s="5" t="str">
        <f>IF(B2056="","",[1]!s_dq_close(股指期货基差分析!$E$6,$B2056))</f>
        <v/>
      </c>
      <c r="E2056" s="5" t="e">
        <f ca="1">RANK(F2056,F:F)+COUNTIF(F$2:F2056,F2056)-1</f>
        <v>#VALUE!</v>
      </c>
      <c r="F2056" s="5" t="str">
        <f t="shared" si="33"/>
        <v/>
      </c>
      <c r="G2056" s="5" t="str">
        <f>IF(B2056="","",股指期货基差分析!$N$11)</f>
        <v/>
      </c>
      <c r="H2056" s="5" t="str">
        <f>IF(B2056="","",股指期货基差分析!$L$11)</f>
        <v/>
      </c>
      <c r="I2056" s="9" t="str">
        <f>IF(B2056="","",股指期货基差分析!$D$11)</f>
        <v/>
      </c>
    </row>
    <row r="2057" spans="2:9" ht="15" customHeight="1" x14ac:dyDescent="0.2">
      <c r="B2057" s="8"/>
      <c r="C2057" s="6" t="str">
        <f>IF(B2057="","",[1]!s_dq_close(股指期货基差分析!$E$5,$B2057))</f>
        <v/>
      </c>
      <c r="D2057" s="6" t="str">
        <f>IF(B2057="","",[1]!s_dq_close(股指期货基差分析!$E$6,$B2057))</f>
        <v/>
      </c>
      <c r="E2057" s="6" t="e">
        <f ca="1">RANK(F2057,F:F)+COUNTIF(F$2:F2057,F2057)-1</f>
        <v>#VALUE!</v>
      </c>
      <c r="F2057" s="6" t="str">
        <f t="shared" si="33"/>
        <v/>
      </c>
      <c r="G2057" s="6" t="str">
        <f>IF(B2057="","",股指期货基差分析!$N$11)</f>
        <v/>
      </c>
      <c r="H2057" s="6" t="str">
        <f>IF(B2057="","",股指期货基差分析!$L$11)</f>
        <v/>
      </c>
      <c r="I2057" s="10" t="str">
        <f>IF(B2057="","",股指期货基差分析!$D$11)</f>
        <v/>
      </c>
    </row>
    <row r="2058" spans="2:9" ht="15" customHeight="1" x14ac:dyDescent="0.2">
      <c r="B2058" s="7"/>
      <c r="C2058" s="5" t="str">
        <f>IF(B2058="","",[1]!s_dq_close(股指期货基差分析!$E$5,$B2058))</f>
        <v/>
      </c>
      <c r="D2058" s="5" t="str">
        <f>IF(B2058="","",[1]!s_dq_close(股指期货基差分析!$E$6,$B2058))</f>
        <v/>
      </c>
      <c r="E2058" s="5" t="e">
        <f ca="1">RANK(F2058,F:F)+COUNTIF(F$2:F2058,F2058)-1</f>
        <v>#VALUE!</v>
      </c>
      <c r="F2058" s="5" t="str">
        <f t="shared" si="33"/>
        <v/>
      </c>
      <c r="G2058" s="5" t="str">
        <f>IF(B2058="","",股指期货基差分析!$N$11)</f>
        <v/>
      </c>
      <c r="H2058" s="5" t="str">
        <f>IF(B2058="","",股指期货基差分析!$L$11)</f>
        <v/>
      </c>
      <c r="I2058" s="9" t="str">
        <f>IF(B2058="","",股指期货基差分析!$D$11)</f>
        <v/>
      </c>
    </row>
    <row r="2059" spans="2:9" ht="15" customHeight="1" x14ac:dyDescent="0.2">
      <c r="B2059" s="8"/>
      <c r="C2059" s="6" t="str">
        <f>IF(B2059="","",[1]!s_dq_close(股指期货基差分析!$E$5,$B2059))</f>
        <v/>
      </c>
      <c r="D2059" s="6" t="str">
        <f>IF(B2059="","",[1]!s_dq_close(股指期货基差分析!$E$6,$B2059))</f>
        <v/>
      </c>
      <c r="E2059" s="6" t="e">
        <f ca="1">RANK(F2059,F:F)+COUNTIF(F$2:F2059,F2059)-1</f>
        <v>#VALUE!</v>
      </c>
      <c r="F2059" s="6" t="str">
        <f t="shared" si="33"/>
        <v/>
      </c>
      <c r="G2059" s="6" t="str">
        <f>IF(B2059="","",股指期货基差分析!$N$11)</f>
        <v/>
      </c>
      <c r="H2059" s="6" t="str">
        <f>IF(B2059="","",股指期货基差分析!$L$11)</f>
        <v/>
      </c>
      <c r="I2059" s="10" t="str">
        <f>IF(B2059="","",股指期货基差分析!$D$11)</f>
        <v/>
      </c>
    </row>
    <row r="2060" spans="2:9" ht="15" customHeight="1" x14ac:dyDescent="0.2">
      <c r="B2060" s="7"/>
      <c r="C2060" s="5" t="str">
        <f>IF(B2060="","",[1]!s_dq_close(股指期货基差分析!$E$5,$B2060))</f>
        <v/>
      </c>
      <c r="D2060" s="5" t="str">
        <f>IF(B2060="","",[1]!s_dq_close(股指期货基差分析!$E$6,$B2060))</f>
        <v/>
      </c>
      <c r="E2060" s="5" t="e">
        <f ca="1">RANK(F2060,F:F)+COUNTIF(F$2:F2060,F2060)-1</f>
        <v>#VALUE!</v>
      </c>
      <c r="F2060" s="5" t="str">
        <f t="shared" si="33"/>
        <v/>
      </c>
      <c r="G2060" s="5" t="str">
        <f>IF(B2060="","",股指期货基差分析!$N$11)</f>
        <v/>
      </c>
      <c r="H2060" s="5" t="str">
        <f>IF(B2060="","",股指期货基差分析!$L$11)</f>
        <v/>
      </c>
      <c r="I2060" s="9" t="str">
        <f>IF(B2060="","",股指期货基差分析!$D$11)</f>
        <v/>
      </c>
    </row>
    <row r="2061" spans="2:9" ht="15" customHeight="1" x14ac:dyDescent="0.2">
      <c r="B2061" s="8"/>
      <c r="C2061" s="6" t="str">
        <f>IF(B2061="","",[1]!s_dq_close(股指期货基差分析!$E$5,$B2061))</f>
        <v/>
      </c>
      <c r="D2061" s="6" t="str">
        <f>IF(B2061="","",[1]!s_dq_close(股指期货基差分析!$E$6,$B2061))</f>
        <v/>
      </c>
      <c r="E2061" s="6" t="e">
        <f ca="1">RANK(F2061,F:F)+COUNTIF(F$2:F2061,F2061)-1</f>
        <v>#VALUE!</v>
      </c>
      <c r="F2061" s="6" t="str">
        <f t="shared" si="33"/>
        <v/>
      </c>
      <c r="G2061" s="6" t="str">
        <f>IF(B2061="","",股指期货基差分析!$N$11)</f>
        <v/>
      </c>
      <c r="H2061" s="6" t="str">
        <f>IF(B2061="","",股指期货基差分析!$L$11)</f>
        <v/>
      </c>
      <c r="I2061" s="10" t="str">
        <f>IF(B2061="","",股指期货基差分析!$D$11)</f>
        <v/>
      </c>
    </row>
    <row r="2062" spans="2:9" ht="15" customHeight="1" x14ac:dyDescent="0.2">
      <c r="B2062" s="7"/>
      <c r="C2062" s="5" t="str">
        <f>IF(B2062="","",[1]!s_dq_close(股指期货基差分析!$E$5,$B2062))</f>
        <v/>
      </c>
      <c r="D2062" s="5" t="str">
        <f>IF(B2062="","",[1]!s_dq_close(股指期货基差分析!$E$6,$B2062))</f>
        <v/>
      </c>
      <c r="E2062" s="5" t="e">
        <f ca="1">RANK(F2062,F:F)+COUNTIF(F$2:F2062,F2062)-1</f>
        <v>#VALUE!</v>
      </c>
      <c r="F2062" s="5" t="str">
        <f t="shared" si="33"/>
        <v/>
      </c>
      <c r="G2062" s="5" t="str">
        <f>IF(B2062="","",股指期货基差分析!$N$11)</f>
        <v/>
      </c>
      <c r="H2062" s="5" t="str">
        <f>IF(B2062="","",股指期货基差分析!$L$11)</f>
        <v/>
      </c>
      <c r="I2062" s="9" t="str">
        <f>IF(B2062="","",股指期货基差分析!$D$11)</f>
        <v/>
      </c>
    </row>
    <row r="2063" spans="2:9" ht="15" customHeight="1" x14ac:dyDescent="0.2">
      <c r="B2063" s="8"/>
      <c r="C2063" s="6" t="str">
        <f>IF(B2063="","",[1]!s_dq_close(股指期货基差分析!$E$5,$B2063))</f>
        <v/>
      </c>
      <c r="D2063" s="6" t="str">
        <f>IF(B2063="","",[1]!s_dq_close(股指期货基差分析!$E$6,$B2063))</f>
        <v/>
      </c>
      <c r="E2063" s="6" t="e">
        <f ca="1">RANK(F2063,F:F)+COUNTIF(F$2:F2063,F2063)-1</f>
        <v>#VALUE!</v>
      </c>
      <c r="F2063" s="6" t="str">
        <f t="shared" si="33"/>
        <v/>
      </c>
      <c r="G2063" s="6" t="str">
        <f>IF(B2063="","",股指期货基差分析!$N$11)</f>
        <v/>
      </c>
      <c r="H2063" s="6" t="str">
        <f>IF(B2063="","",股指期货基差分析!$L$11)</f>
        <v/>
      </c>
      <c r="I2063" s="10" t="str">
        <f>IF(B2063="","",股指期货基差分析!$D$11)</f>
        <v/>
      </c>
    </row>
    <row r="2064" spans="2:9" ht="15" customHeight="1" x14ac:dyDescent="0.2">
      <c r="B2064" s="7"/>
      <c r="C2064" s="5" t="str">
        <f>IF(B2064="","",[1]!s_dq_close(股指期货基差分析!$E$5,$B2064))</f>
        <v/>
      </c>
      <c r="D2064" s="5" t="str">
        <f>IF(B2064="","",[1]!s_dq_close(股指期货基差分析!$E$6,$B2064))</f>
        <v/>
      </c>
      <c r="E2064" s="5" t="e">
        <f ca="1">RANK(F2064,F:F)+COUNTIF(F$2:F2064,F2064)-1</f>
        <v>#VALUE!</v>
      </c>
      <c r="F2064" s="5" t="str">
        <f t="shared" si="33"/>
        <v/>
      </c>
      <c r="G2064" s="5" t="str">
        <f>IF(B2064="","",股指期货基差分析!$N$11)</f>
        <v/>
      </c>
      <c r="H2064" s="5" t="str">
        <f>IF(B2064="","",股指期货基差分析!$L$11)</f>
        <v/>
      </c>
      <c r="I2064" s="9" t="str">
        <f>IF(B2064="","",股指期货基差分析!$D$11)</f>
        <v/>
      </c>
    </row>
    <row r="2065" spans="2:9" ht="15" customHeight="1" x14ac:dyDescent="0.2">
      <c r="B2065" s="8"/>
      <c r="C2065" s="6" t="str">
        <f>IF(B2065="","",[1]!s_dq_close(股指期货基差分析!$E$5,$B2065))</f>
        <v/>
      </c>
      <c r="D2065" s="6" t="str">
        <f>IF(B2065="","",[1]!s_dq_close(股指期货基差分析!$E$6,$B2065))</f>
        <v/>
      </c>
      <c r="E2065" s="6" t="e">
        <f ca="1">RANK(F2065,F:F)+COUNTIF(F$2:F2065,F2065)-1</f>
        <v>#VALUE!</v>
      </c>
      <c r="F2065" s="6" t="str">
        <f t="shared" si="33"/>
        <v/>
      </c>
      <c r="G2065" s="6" t="str">
        <f>IF(B2065="","",股指期货基差分析!$N$11)</f>
        <v/>
      </c>
      <c r="H2065" s="6" t="str">
        <f>IF(B2065="","",股指期货基差分析!$L$11)</f>
        <v/>
      </c>
      <c r="I2065" s="10" t="str">
        <f>IF(B2065="","",股指期货基差分析!$D$11)</f>
        <v/>
      </c>
    </row>
    <row r="2066" spans="2:9" ht="15" customHeight="1" x14ac:dyDescent="0.2">
      <c r="B2066" s="7"/>
      <c r="C2066" s="5" t="str">
        <f>IF(B2066="","",[1]!s_dq_close(股指期货基差分析!$E$5,$B2066))</f>
        <v/>
      </c>
      <c r="D2066" s="5" t="str">
        <f>IF(B2066="","",[1]!s_dq_close(股指期货基差分析!$E$6,$B2066))</f>
        <v/>
      </c>
      <c r="E2066" s="5" t="e">
        <f ca="1">RANK(F2066,F:F)+COUNTIF(F$2:F2066,F2066)-1</f>
        <v>#VALUE!</v>
      </c>
      <c r="F2066" s="5" t="str">
        <f t="shared" si="33"/>
        <v/>
      </c>
      <c r="G2066" s="5" t="str">
        <f>IF(B2066="","",股指期货基差分析!$N$11)</f>
        <v/>
      </c>
      <c r="H2066" s="5" t="str">
        <f>IF(B2066="","",股指期货基差分析!$L$11)</f>
        <v/>
      </c>
      <c r="I2066" s="9" t="str">
        <f>IF(B2066="","",股指期货基差分析!$D$11)</f>
        <v/>
      </c>
    </row>
    <row r="2067" spans="2:9" ht="15" customHeight="1" x14ac:dyDescent="0.2">
      <c r="B2067" s="8"/>
      <c r="C2067" s="6" t="str">
        <f>IF(B2067="","",[1]!s_dq_close(股指期货基差分析!$E$5,$B2067))</f>
        <v/>
      </c>
      <c r="D2067" s="6" t="str">
        <f>IF(B2067="","",[1]!s_dq_close(股指期货基差分析!$E$6,$B2067))</f>
        <v/>
      </c>
      <c r="E2067" s="6" t="e">
        <f ca="1">RANK(F2067,F:F)+COUNTIF(F$2:F2067,F2067)-1</f>
        <v>#VALUE!</v>
      </c>
      <c r="F2067" s="6" t="str">
        <f t="shared" si="33"/>
        <v/>
      </c>
      <c r="G2067" s="6" t="str">
        <f>IF(B2067="","",股指期货基差分析!$N$11)</f>
        <v/>
      </c>
      <c r="H2067" s="6" t="str">
        <f>IF(B2067="","",股指期货基差分析!$L$11)</f>
        <v/>
      </c>
      <c r="I2067" s="10" t="str">
        <f>IF(B2067="","",股指期货基差分析!$D$11)</f>
        <v/>
      </c>
    </row>
    <row r="2068" spans="2:9" ht="15" customHeight="1" x14ac:dyDescent="0.2">
      <c r="B2068" s="7"/>
      <c r="C2068" s="5" t="str">
        <f>IF(B2068="","",[1]!s_dq_close(股指期货基差分析!$E$5,$B2068))</f>
        <v/>
      </c>
      <c r="D2068" s="5" t="str">
        <f>IF(B2068="","",[1]!s_dq_close(股指期货基差分析!$E$6,$B2068))</f>
        <v/>
      </c>
      <c r="E2068" s="5" t="e">
        <f ca="1">RANK(F2068,F:F)+COUNTIF(F$2:F2068,F2068)-1</f>
        <v>#VALUE!</v>
      </c>
      <c r="F2068" s="5" t="str">
        <f t="shared" si="33"/>
        <v/>
      </c>
      <c r="G2068" s="5" t="str">
        <f>IF(B2068="","",股指期货基差分析!$N$11)</f>
        <v/>
      </c>
      <c r="H2068" s="5" t="str">
        <f>IF(B2068="","",股指期货基差分析!$L$11)</f>
        <v/>
      </c>
      <c r="I2068" s="9" t="str">
        <f>IF(B2068="","",股指期货基差分析!$D$11)</f>
        <v/>
      </c>
    </row>
    <row r="2069" spans="2:9" ht="15" customHeight="1" x14ac:dyDescent="0.2">
      <c r="B2069" s="8"/>
      <c r="C2069" s="6" t="str">
        <f>IF(B2069="","",[1]!s_dq_close(股指期货基差分析!$E$5,$B2069))</f>
        <v/>
      </c>
      <c r="D2069" s="6" t="str">
        <f>IF(B2069="","",[1]!s_dq_close(股指期货基差分析!$E$6,$B2069))</f>
        <v/>
      </c>
      <c r="E2069" s="6" t="e">
        <f ca="1">RANK(F2069,F:F)+COUNTIF(F$2:F2069,F2069)-1</f>
        <v>#VALUE!</v>
      </c>
      <c r="F2069" s="6" t="str">
        <f t="shared" si="33"/>
        <v/>
      </c>
      <c r="G2069" s="6" t="str">
        <f>IF(B2069="","",股指期货基差分析!$N$11)</f>
        <v/>
      </c>
      <c r="H2069" s="6" t="str">
        <f>IF(B2069="","",股指期货基差分析!$L$11)</f>
        <v/>
      </c>
      <c r="I2069" s="10" t="str">
        <f>IF(B2069="","",股指期货基差分析!$D$11)</f>
        <v/>
      </c>
    </row>
    <row r="2070" spans="2:9" ht="15" customHeight="1" x14ac:dyDescent="0.2">
      <c r="B2070" s="7"/>
      <c r="C2070" s="5" t="str">
        <f>IF(B2070="","",[1]!s_dq_close(股指期货基差分析!$E$5,$B2070))</f>
        <v/>
      </c>
      <c r="D2070" s="5" t="str">
        <f>IF(B2070="","",[1]!s_dq_close(股指期货基差分析!$E$6,$B2070))</f>
        <v/>
      </c>
      <c r="E2070" s="5" t="e">
        <f ca="1">RANK(F2070,F:F)+COUNTIF(F$2:F2070,F2070)-1</f>
        <v>#VALUE!</v>
      </c>
      <c r="F2070" s="5" t="str">
        <f t="shared" si="33"/>
        <v/>
      </c>
      <c r="G2070" s="5" t="str">
        <f>IF(B2070="","",股指期货基差分析!$N$11)</f>
        <v/>
      </c>
      <c r="H2070" s="5" t="str">
        <f>IF(B2070="","",股指期货基差分析!$L$11)</f>
        <v/>
      </c>
      <c r="I2070" s="9" t="str">
        <f>IF(B2070="","",股指期货基差分析!$D$11)</f>
        <v/>
      </c>
    </row>
    <row r="2071" spans="2:9" ht="15" customHeight="1" x14ac:dyDescent="0.2">
      <c r="B2071" s="8"/>
      <c r="C2071" s="6" t="str">
        <f>IF(B2071="","",[1]!s_dq_close(股指期货基差分析!$E$5,$B2071))</f>
        <v/>
      </c>
      <c r="D2071" s="6" t="str">
        <f>IF(B2071="","",[1]!s_dq_close(股指期货基差分析!$E$6,$B2071))</f>
        <v/>
      </c>
      <c r="E2071" s="6" t="e">
        <f ca="1">RANK(F2071,F:F)+COUNTIF(F$2:F2071,F2071)-1</f>
        <v>#VALUE!</v>
      </c>
      <c r="F2071" s="6" t="str">
        <f t="shared" si="33"/>
        <v/>
      </c>
      <c r="G2071" s="6" t="str">
        <f>IF(B2071="","",股指期货基差分析!$N$11)</f>
        <v/>
      </c>
      <c r="H2071" s="6" t="str">
        <f>IF(B2071="","",股指期货基差分析!$L$11)</f>
        <v/>
      </c>
      <c r="I2071" s="10" t="str">
        <f>IF(B2071="","",股指期货基差分析!$D$11)</f>
        <v/>
      </c>
    </row>
    <row r="2072" spans="2:9" ht="15" customHeight="1" x14ac:dyDescent="0.2">
      <c r="B2072" s="7"/>
      <c r="C2072" s="5" t="str">
        <f>IF(B2072="","",[1]!s_dq_close(股指期货基差分析!$E$5,$B2072))</f>
        <v/>
      </c>
      <c r="D2072" s="5" t="str">
        <f>IF(B2072="","",[1]!s_dq_close(股指期货基差分析!$E$6,$B2072))</f>
        <v/>
      </c>
      <c r="E2072" s="5" t="e">
        <f ca="1">RANK(F2072,F:F)+COUNTIF(F$2:F2072,F2072)-1</f>
        <v>#VALUE!</v>
      </c>
      <c r="F2072" s="5" t="str">
        <f t="shared" si="33"/>
        <v/>
      </c>
      <c r="G2072" s="5" t="str">
        <f>IF(B2072="","",股指期货基差分析!$N$11)</f>
        <v/>
      </c>
      <c r="H2072" s="5" t="str">
        <f>IF(B2072="","",股指期货基差分析!$L$11)</f>
        <v/>
      </c>
      <c r="I2072" s="9" t="str">
        <f>IF(B2072="","",股指期货基差分析!$D$11)</f>
        <v/>
      </c>
    </row>
    <row r="2073" spans="2:9" ht="15" customHeight="1" x14ac:dyDescent="0.2">
      <c r="B2073" s="8"/>
      <c r="C2073" s="6" t="str">
        <f>IF(B2073="","",[1]!s_dq_close(股指期货基差分析!$E$5,$B2073))</f>
        <v/>
      </c>
      <c r="D2073" s="6" t="str">
        <f>IF(B2073="","",[1]!s_dq_close(股指期货基差分析!$E$6,$B2073))</f>
        <v/>
      </c>
      <c r="E2073" s="6" t="e">
        <f ca="1">RANK(F2073,F:F)+COUNTIF(F$2:F2073,F2073)-1</f>
        <v>#VALUE!</v>
      </c>
      <c r="F2073" s="6" t="str">
        <f t="shared" si="33"/>
        <v/>
      </c>
      <c r="G2073" s="6" t="str">
        <f>IF(B2073="","",股指期货基差分析!$N$11)</f>
        <v/>
      </c>
      <c r="H2073" s="6" t="str">
        <f>IF(B2073="","",股指期货基差分析!$L$11)</f>
        <v/>
      </c>
      <c r="I2073" s="10" t="str">
        <f>IF(B2073="","",股指期货基差分析!$D$11)</f>
        <v/>
      </c>
    </row>
    <row r="2074" spans="2:9" ht="15" customHeight="1" x14ac:dyDescent="0.2">
      <c r="B2074" s="7"/>
      <c r="C2074" s="5" t="str">
        <f>IF(B2074="","",[1]!s_dq_close(股指期货基差分析!$E$5,$B2074))</f>
        <v/>
      </c>
      <c r="D2074" s="5" t="str">
        <f>IF(B2074="","",[1]!s_dq_close(股指期货基差分析!$E$6,$B2074))</f>
        <v/>
      </c>
      <c r="E2074" s="5" t="e">
        <f ca="1">RANK(F2074,F:F)+COUNTIF(F$2:F2074,F2074)-1</f>
        <v>#VALUE!</v>
      </c>
      <c r="F2074" s="5" t="str">
        <f t="shared" si="33"/>
        <v/>
      </c>
      <c r="G2074" s="5" t="str">
        <f>IF(B2074="","",股指期货基差分析!$N$11)</f>
        <v/>
      </c>
      <c r="H2074" s="5" t="str">
        <f>IF(B2074="","",股指期货基差分析!$L$11)</f>
        <v/>
      </c>
      <c r="I2074" s="9" t="str">
        <f>IF(B2074="","",股指期货基差分析!$D$11)</f>
        <v/>
      </c>
    </row>
    <row r="2075" spans="2:9" ht="15" customHeight="1" x14ac:dyDescent="0.2">
      <c r="B2075" s="8"/>
      <c r="C2075" s="6" t="str">
        <f>IF(B2075="","",[1]!s_dq_close(股指期货基差分析!$E$5,$B2075))</f>
        <v/>
      </c>
      <c r="D2075" s="6" t="str">
        <f>IF(B2075="","",[1]!s_dq_close(股指期货基差分析!$E$6,$B2075))</f>
        <v/>
      </c>
      <c r="E2075" s="6" t="e">
        <f ca="1">RANK(F2075,F:F)+COUNTIF(F$2:F2075,F2075)-1</f>
        <v>#VALUE!</v>
      </c>
      <c r="F2075" s="6" t="str">
        <f t="shared" si="33"/>
        <v/>
      </c>
      <c r="G2075" s="6" t="str">
        <f>IF(B2075="","",股指期货基差分析!$N$11)</f>
        <v/>
      </c>
      <c r="H2075" s="6" t="str">
        <f>IF(B2075="","",股指期货基差分析!$L$11)</f>
        <v/>
      </c>
      <c r="I2075" s="10" t="str">
        <f>IF(B2075="","",股指期货基差分析!$D$11)</f>
        <v/>
      </c>
    </row>
    <row r="2076" spans="2:9" ht="15" customHeight="1" x14ac:dyDescent="0.2">
      <c r="B2076" s="7"/>
      <c r="C2076" s="5" t="str">
        <f>IF(B2076="","",[1]!s_dq_close(股指期货基差分析!$E$5,$B2076))</f>
        <v/>
      </c>
      <c r="D2076" s="5" t="str">
        <f>IF(B2076="","",[1]!s_dq_close(股指期货基差分析!$E$6,$B2076))</f>
        <v/>
      </c>
      <c r="E2076" s="5" t="e">
        <f ca="1">RANK(F2076,F:F)+COUNTIF(F$2:F2076,F2076)-1</f>
        <v>#VALUE!</v>
      </c>
      <c r="F2076" s="5" t="str">
        <f t="shared" si="33"/>
        <v/>
      </c>
      <c r="G2076" s="5" t="str">
        <f>IF(B2076="","",股指期货基差分析!$N$11)</f>
        <v/>
      </c>
      <c r="H2076" s="5" t="str">
        <f>IF(B2076="","",股指期货基差分析!$L$11)</f>
        <v/>
      </c>
      <c r="I2076" s="9" t="str">
        <f>IF(B2076="","",股指期货基差分析!$D$11)</f>
        <v/>
      </c>
    </row>
    <row r="2077" spans="2:9" ht="15" customHeight="1" x14ac:dyDescent="0.2">
      <c r="B2077" s="8"/>
      <c r="C2077" s="6" t="str">
        <f>IF(B2077="","",[1]!s_dq_close(股指期货基差分析!$E$5,$B2077))</f>
        <v/>
      </c>
      <c r="D2077" s="6" t="str">
        <f>IF(B2077="","",[1]!s_dq_close(股指期货基差分析!$E$6,$B2077))</f>
        <v/>
      </c>
      <c r="E2077" s="6" t="e">
        <f ca="1">RANK(F2077,F:F)+COUNTIF(F$2:F2077,F2077)-1</f>
        <v>#VALUE!</v>
      </c>
      <c r="F2077" s="6" t="str">
        <f t="shared" si="33"/>
        <v/>
      </c>
      <c r="G2077" s="6" t="str">
        <f>IF(B2077="","",股指期货基差分析!$N$11)</f>
        <v/>
      </c>
      <c r="H2077" s="6" t="str">
        <f>IF(B2077="","",股指期货基差分析!$L$11)</f>
        <v/>
      </c>
      <c r="I2077" s="10" t="str">
        <f>IF(B2077="","",股指期货基差分析!$D$11)</f>
        <v/>
      </c>
    </row>
    <row r="2078" spans="2:9" ht="15" customHeight="1" x14ac:dyDescent="0.2">
      <c r="B2078" s="7"/>
      <c r="C2078" s="5" t="str">
        <f>IF(B2078="","",[1]!s_dq_close(股指期货基差分析!$E$5,$B2078))</f>
        <v/>
      </c>
      <c r="D2078" s="5" t="str">
        <f>IF(B2078="","",[1]!s_dq_close(股指期货基差分析!$E$6,$B2078))</f>
        <v/>
      </c>
      <c r="E2078" s="5" t="e">
        <f ca="1">RANK(F2078,F:F)+COUNTIF(F$2:F2078,F2078)-1</f>
        <v>#VALUE!</v>
      </c>
      <c r="F2078" s="5" t="str">
        <f t="shared" si="33"/>
        <v/>
      </c>
      <c r="G2078" s="5" t="str">
        <f>IF(B2078="","",股指期货基差分析!$N$11)</f>
        <v/>
      </c>
      <c r="H2078" s="5" t="str">
        <f>IF(B2078="","",股指期货基差分析!$L$11)</f>
        <v/>
      </c>
      <c r="I2078" s="9" t="str">
        <f>IF(B2078="","",股指期货基差分析!$D$11)</f>
        <v/>
      </c>
    </row>
    <row r="2079" spans="2:9" ht="15" customHeight="1" x14ac:dyDescent="0.2">
      <c r="B2079" s="8"/>
      <c r="C2079" s="6" t="str">
        <f>IF(B2079="","",[1]!s_dq_close(股指期货基差分析!$E$5,$B2079))</f>
        <v/>
      </c>
      <c r="D2079" s="6" t="str">
        <f>IF(B2079="","",[1]!s_dq_close(股指期货基差分析!$E$6,$B2079))</f>
        <v/>
      </c>
      <c r="E2079" s="6" t="e">
        <f ca="1">RANK(F2079,F:F)+COUNTIF(F$2:F2079,F2079)-1</f>
        <v>#VALUE!</v>
      </c>
      <c r="F2079" s="6" t="str">
        <f t="shared" si="33"/>
        <v/>
      </c>
      <c r="G2079" s="6" t="str">
        <f>IF(B2079="","",股指期货基差分析!$N$11)</f>
        <v/>
      </c>
      <c r="H2079" s="6" t="str">
        <f>IF(B2079="","",股指期货基差分析!$L$11)</f>
        <v/>
      </c>
      <c r="I2079" s="10" t="str">
        <f>IF(B2079="","",股指期货基差分析!$D$11)</f>
        <v/>
      </c>
    </row>
    <row r="2080" spans="2:9" ht="15" customHeight="1" x14ac:dyDescent="0.2">
      <c r="B2080" s="7"/>
      <c r="C2080" s="5" t="str">
        <f>IF(B2080="","",[1]!s_dq_close(股指期货基差分析!$E$5,$B2080))</f>
        <v/>
      </c>
      <c r="D2080" s="5" t="str">
        <f>IF(B2080="","",[1]!s_dq_close(股指期货基差分析!$E$6,$B2080))</f>
        <v/>
      </c>
      <c r="E2080" s="5" t="e">
        <f ca="1">RANK(F2080,F:F)+COUNTIF(F$2:F2080,F2080)-1</f>
        <v>#VALUE!</v>
      </c>
      <c r="F2080" s="5" t="str">
        <f t="shared" si="33"/>
        <v/>
      </c>
      <c r="G2080" s="5" t="str">
        <f>IF(B2080="","",股指期货基差分析!$N$11)</f>
        <v/>
      </c>
      <c r="H2080" s="5" t="str">
        <f>IF(B2080="","",股指期货基差分析!$L$11)</f>
        <v/>
      </c>
      <c r="I2080" s="9" t="str">
        <f>IF(B2080="","",股指期货基差分析!$D$11)</f>
        <v/>
      </c>
    </row>
    <row r="2081" spans="2:9" ht="15" customHeight="1" x14ac:dyDescent="0.2">
      <c r="B2081" s="8"/>
      <c r="C2081" s="6" t="str">
        <f>IF(B2081="","",[1]!s_dq_close(股指期货基差分析!$E$5,$B2081))</f>
        <v/>
      </c>
      <c r="D2081" s="6" t="str">
        <f>IF(B2081="","",[1]!s_dq_close(股指期货基差分析!$E$6,$B2081))</f>
        <v/>
      </c>
      <c r="E2081" s="6" t="e">
        <f ca="1">RANK(F2081,F:F)+COUNTIF(F$2:F2081,F2081)-1</f>
        <v>#VALUE!</v>
      </c>
      <c r="F2081" s="6" t="str">
        <f t="shared" si="33"/>
        <v/>
      </c>
      <c r="G2081" s="6" t="str">
        <f>IF(B2081="","",股指期货基差分析!$N$11)</f>
        <v/>
      </c>
      <c r="H2081" s="6" t="str">
        <f>IF(B2081="","",股指期货基差分析!$L$11)</f>
        <v/>
      </c>
      <c r="I2081" s="10" t="str">
        <f>IF(B2081="","",股指期货基差分析!$D$11)</f>
        <v/>
      </c>
    </row>
    <row r="2082" spans="2:9" ht="15" customHeight="1" x14ac:dyDescent="0.2">
      <c r="B2082" s="7"/>
      <c r="C2082" s="5" t="str">
        <f>IF(B2082="","",[1]!s_dq_close(股指期货基差分析!$E$5,$B2082))</f>
        <v/>
      </c>
      <c r="D2082" s="5" t="str">
        <f>IF(B2082="","",[1]!s_dq_close(股指期货基差分析!$E$6,$B2082))</f>
        <v/>
      </c>
      <c r="E2082" s="5" t="e">
        <f ca="1">RANK(F2082,F:F)+COUNTIF(F$2:F2082,F2082)-1</f>
        <v>#VALUE!</v>
      </c>
      <c r="F2082" s="5" t="str">
        <f t="shared" si="33"/>
        <v/>
      </c>
      <c r="G2082" s="5" t="str">
        <f>IF(B2082="","",股指期货基差分析!$N$11)</f>
        <v/>
      </c>
      <c r="H2082" s="5" t="str">
        <f>IF(B2082="","",股指期货基差分析!$L$11)</f>
        <v/>
      </c>
      <c r="I2082" s="9" t="str">
        <f>IF(B2082="","",股指期货基差分析!$D$11)</f>
        <v/>
      </c>
    </row>
    <row r="2083" spans="2:9" ht="15" customHeight="1" x14ac:dyDescent="0.2">
      <c r="B2083" s="8"/>
      <c r="C2083" s="6" t="str">
        <f>IF(B2083="","",[1]!s_dq_close(股指期货基差分析!$E$5,$B2083))</f>
        <v/>
      </c>
      <c r="D2083" s="6" t="str">
        <f>IF(B2083="","",[1]!s_dq_close(股指期货基差分析!$E$6,$B2083))</f>
        <v/>
      </c>
      <c r="E2083" s="6" t="e">
        <f ca="1">RANK(F2083,F:F)+COUNTIF(F$2:F2083,F2083)-1</f>
        <v>#VALUE!</v>
      </c>
      <c r="F2083" s="6" t="str">
        <f t="shared" si="33"/>
        <v/>
      </c>
      <c r="G2083" s="6" t="str">
        <f>IF(B2083="","",股指期货基差分析!$N$11)</f>
        <v/>
      </c>
      <c r="H2083" s="6" t="str">
        <f>IF(B2083="","",股指期货基差分析!$L$11)</f>
        <v/>
      </c>
      <c r="I2083" s="10" t="str">
        <f>IF(B2083="","",股指期货基差分析!$D$11)</f>
        <v/>
      </c>
    </row>
    <row r="2084" spans="2:9" ht="15" customHeight="1" x14ac:dyDescent="0.2">
      <c r="B2084" s="7"/>
      <c r="C2084" s="5" t="str">
        <f>IF(B2084="","",[1]!s_dq_close(股指期货基差分析!$E$5,$B2084))</f>
        <v/>
      </c>
      <c r="D2084" s="5" t="str">
        <f>IF(B2084="","",[1]!s_dq_close(股指期货基差分析!$E$6,$B2084))</f>
        <v/>
      </c>
      <c r="E2084" s="5" t="e">
        <f ca="1">RANK(F2084,F:F)+COUNTIF(F$2:F2084,F2084)-1</f>
        <v>#VALUE!</v>
      </c>
      <c r="F2084" s="5" t="str">
        <f t="shared" si="33"/>
        <v/>
      </c>
      <c r="G2084" s="5" t="str">
        <f>IF(B2084="","",股指期货基差分析!$N$11)</f>
        <v/>
      </c>
      <c r="H2084" s="5" t="str">
        <f>IF(B2084="","",股指期货基差分析!$L$11)</f>
        <v/>
      </c>
      <c r="I2084" s="9" t="str">
        <f>IF(B2084="","",股指期货基差分析!$D$11)</f>
        <v/>
      </c>
    </row>
    <row r="2085" spans="2:9" ht="15" customHeight="1" x14ac:dyDescent="0.2">
      <c r="B2085" s="8"/>
      <c r="C2085" s="6" t="str">
        <f>IF(B2085="","",[1]!s_dq_close(股指期货基差分析!$E$5,$B2085))</f>
        <v/>
      </c>
      <c r="D2085" s="6" t="str">
        <f>IF(B2085="","",[1]!s_dq_close(股指期货基差分析!$E$6,$B2085))</f>
        <v/>
      </c>
      <c r="E2085" s="6" t="e">
        <f ca="1">RANK(F2085,F:F)+COUNTIF(F$2:F2085,F2085)-1</f>
        <v>#VALUE!</v>
      </c>
      <c r="F2085" s="6" t="str">
        <f t="shared" si="33"/>
        <v/>
      </c>
      <c r="G2085" s="6" t="str">
        <f>IF(B2085="","",股指期货基差分析!$N$11)</f>
        <v/>
      </c>
      <c r="H2085" s="6" t="str">
        <f>IF(B2085="","",股指期货基差分析!$L$11)</f>
        <v/>
      </c>
      <c r="I2085" s="10" t="str">
        <f>IF(B2085="","",股指期货基差分析!$D$11)</f>
        <v/>
      </c>
    </row>
    <row r="2086" spans="2:9" ht="15" customHeight="1" x14ac:dyDescent="0.2">
      <c r="B2086" s="7"/>
      <c r="C2086" s="5" t="str">
        <f>IF(B2086="","",[1]!s_dq_close(股指期货基差分析!$E$5,$B2086))</f>
        <v/>
      </c>
      <c r="D2086" s="5" t="str">
        <f>IF(B2086="","",[1]!s_dq_close(股指期货基差分析!$E$6,$B2086))</f>
        <v/>
      </c>
      <c r="E2086" s="5" t="e">
        <f ca="1">RANK(F2086,F:F)+COUNTIF(F$2:F2086,F2086)-1</f>
        <v>#VALUE!</v>
      </c>
      <c r="F2086" s="5" t="str">
        <f t="shared" si="33"/>
        <v/>
      </c>
      <c r="G2086" s="5" t="str">
        <f>IF(B2086="","",股指期货基差分析!$N$11)</f>
        <v/>
      </c>
      <c r="H2086" s="5" t="str">
        <f>IF(B2086="","",股指期货基差分析!$L$11)</f>
        <v/>
      </c>
      <c r="I2086" s="9" t="str">
        <f>IF(B2086="","",股指期货基差分析!$D$11)</f>
        <v/>
      </c>
    </row>
    <row r="2087" spans="2:9" ht="15" customHeight="1" x14ac:dyDescent="0.2">
      <c r="B2087" s="8"/>
      <c r="C2087" s="6" t="str">
        <f>IF(B2087="","",[1]!s_dq_close(股指期货基差分析!$E$5,$B2087))</f>
        <v/>
      </c>
      <c r="D2087" s="6" t="str">
        <f>IF(B2087="","",[1]!s_dq_close(股指期货基差分析!$E$6,$B2087))</f>
        <v/>
      </c>
      <c r="E2087" s="6" t="e">
        <f ca="1">RANK(F2087,F:F)+COUNTIF(F$2:F2087,F2087)-1</f>
        <v>#VALUE!</v>
      </c>
      <c r="F2087" s="6" t="str">
        <f t="shared" si="33"/>
        <v/>
      </c>
      <c r="G2087" s="6" t="str">
        <f>IF(B2087="","",股指期货基差分析!$N$11)</f>
        <v/>
      </c>
      <c r="H2087" s="6" t="str">
        <f>IF(B2087="","",股指期货基差分析!$L$11)</f>
        <v/>
      </c>
      <c r="I2087" s="10" t="str">
        <f>IF(B2087="","",股指期货基差分析!$D$11)</f>
        <v/>
      </c>
    </row>
    <row r="2088" spans="2:9" ht="15" customHeight="1" x14ac:dyDescent="0.2">
      <c r="B2088" s="7"/>
      <c r="C2088" s="5" t="str">
        <f>IF(B2088="","",[1]!s_dq_close(股指期货基差分析!$E$5,$B2088))</f>
        <v/>
      </c>
      <c r="D2088" s="5" t="str">
        <f>IF(B2088="","",[1]!s_dq_close(股指期货基差分析!$E$6,$B2088))</f>
        <v/>
      </c>
      <c r="E2088" s="5" t="e">
        <f ca="1">RANK(F2088,F:F)+COUNTIF(F$2:F2088,F2088)-1</f>
        <v>#VALUE!</v>
      </c>
      <c r="F2088" s="5" t="str">
        <f t="shared" si="33"/>
        <v/>
      </c>
      <c r="G2088" s="5" t="str">
        <f>IF(B2088="","",股指期货基差分析!$N$11)</f>
        <v/>
      </c>
      <c r="H2088" s="5" t="str">
        <f>IF(B2088="","",股指期货基差分析!$L$11)</f>
        <v/>
      </c>
      <c r="I2088" s="9" t="str">
        <f>IF(B2088="","",股指期货基差分析!$D$11)</f>
        <v/>
      </c>
    </row>
    <row r="2089" spans="2:9" ht="15" customHeight="1" x14ac:dyDescent="0.2">
      <c r="B2089" s="8"/>
      <c r="C2089" s="6" t="str">
        <f>IF(B2089="","",[1]!s_dq_close(股指期货基差分析!$E$5,$B2089))</f>
        <v/>
      </c>
      <c r="D2089" s="6" t="str">
        <f>IF(B2089="","",[1]!s_dq_close(股指期货基差分析!$E$6,$B2089))</f>
        <v/>
      </c>
      <c r="E2089" s="6" t="e">
        <f ca="1">RANK(F2089,F:F)+COUNTIF(F$2:F2089,F2089)-1</f>
        <v>#VALUE!</v>
      </c>
      <c r="F2089" s="6" t="str">
        <f t="shared" si="33"/>
        <v/>
      </c>
      <c r="G2089" s="6" t="str">
        <f>IF(B2089="","",股指期货基差分析!$N$11)</f>
        <v/>
      </c>
      <c r="H2089" s="6" t="str">
        <f>IF(B2089="","",股指期货基差分析!$L$11)</f>
        <v/>
      </c>
      <c r="I2089" s="10" t="str">
        <f>IF(B2089="","",股指期货基差分析!$D$11)</f>
        <v/>
      </c>
    </row>
    <row r="2090" spans="2:9" ht="15" customHeight="1" x14ac:dyDescent="0.2">
      <c r="B2090" s="7"/>
      <c r="C2090" s="5" t="str">
        <f>IF(B2090="","",[1]!s_dq_close(股指期货基差分析!$E$5,$B2090))</f>
        <v/>
      </c>
      <c r="D2090" s="5" t="str">
        <f>IF(B2090="","",[1]!s_dq_close(股指期货基差分析!$E$6,$B2090))</f>
        <v/>
      </c>
      <c r="E2090" s="5" t="e">
        <f ca="1">RANK(F2090,F:F)+COUNTIF(F$2:F2090,F2090)-1</f>
        <v>#VALUE!</v>
      </c>
      <c r="F2090" s="5" t="str">
        <f t="shared" si="33"/>
        <v/>
      </c>
      <c r="G2090" s="5" t="str">
        <f>IF(B2090="","",股指期货基差分析!$N$11)</f>
        <v/>
      </c>
      <c r="H2090" s="5" t="str">
        <f>IF(B2090="","",股指期货基差分析!$L$11)</f>
        <v/>
      </c>
      <c r="I2090" s="9" t="str">
        <f>IF(B2090="","",股指期货基差分析!$D$11)</f>
        <v/>
      </c>
    </row>
    <row r="2091" spans="2:9" ht="15" customHeight="1" x14ac:dyDescent="0.2">
      <c r="B2091" s="8"/>
      <c r="C2091" s="6" t="str">
        <f>IF(B2091="","",[1]!s_dq_close(股指期货基差分析!$E$5,$B2091))</f>
        <v/>
      </c>
      <c r="D2091" s="6" t="str">
        <f>IF(B2091="","",[1]!s_dq_close(股指期货基差分析!$E$6,$B2091))</f>
        <v/>
      </c>
      <c r="E2091" s="6" t="e">
        <f ca="1">RANK(F2091,F:F)+COUNTIF(F$2:F2091,F2091)-1</f>
        <v>#VALUE!</v>
      </c>
      <c r="F2091" s="6" t="str">
        <f t="shared" si="33"/>
        <v/>
      </c>
      <c r="G2091" s="6" t="str">
        <f>IF(B2091="","",股指期货基差分析!$N$11)</f>
        <v/>
      </c>
      <c r="H2091" s="6" t="str">
        <f>IF(B2091="","",股指期货基差分析!$L$11)</f>
        <v/>
      </c>
      <c r="I2091" s="10" t="str">
        <f>IF(B2091="","",股指期货基差分析!$D$11)</f>
        <v/>
      </c>
    </row>
    <row r="2092" spans="2:9" ht="15" customHeight="1" x14ac:dyDescent="0.2">
      <c r="B2092" s="7"/>
      <c r="C2092" s="5" t="str">
        <f>IF(B2092="","",[1]!s_dq_close(股指期货基差分析!$E$5,$B2092))</f>
        <v/>
      </c>
      <c r="D2092" s="5" t="str">
        <f>IF(B2092="","",[1]!s_dq_close(股指期货基差分析!$E$6,$B2092))</f>
        <v/>
      </c>
      <c r="E2092" s="5" t="e">
        <f ca="1">RANK(F2092,F:F)+COUNTIF(F$2:F2092,F2092)-1</f>
        <v>#VALUE!</v>
      </c>
      <c r="F2092" s="5" t="str">
        <f t="shared" si="33"/>
        <v/>
      </c>
      <c r="G2092" s="5" t="str">
        <f>IF(B2092="","",股指期货基差分析!$N$11)</f>
        <v/>
      </c>
      <c r="H2092" s="5" t="str">
        <f>IF(B2092="","",股指期货基差分析!$L$11)</f>
        <v/>
      </c>
      <c r="I2092" s="9" t="str">
        <f>IF(B2092="","",股指期货基差分析!$D$11)</f>
        <v/>
      </c>
    </row>
    <row r="2093" spans="2:9" ht="15" customHeight="1" x14ac:dyDescent="0.2">
      <c r="B2093" s="8"/>
      <c r="C2093" s="6" t="str">
        <f>IF(B2093="","",[1]!s_dq_close(股指期货基差分析!$E$5,$B2093))</f>
        <v/>
      </c>
      <c r="D2093" s="6" t="str">
        <f>IF(B2093="","",[1]!s_dq_close(股指期货基差分析!$E$6,$B2093))</f>
        <v/>
      </c>
      <c r="E2093" s="6" t="e">
        <f ca="1">RANK(F2093,F:F)+COUNTIF(F$2:F2093,F2093)-1</f>
        <v>#VALUE!</v>
      </c>
      <c r="F2093" s="6" t="str">
        <f t="shared" si="33"/>
        <v/>
      </c>
      <c r="G2093" s="6" t="str">
        <f>IF(B2093="","",股指期货基差分析!$N$11)</f>
        <v/>
      </c>
      <c r="H2093" s="6" t="str">
        <f>IF(B2093="","",股指期货基差分析!$L$11)</f>
        <v/>
      </c>
      <c r="I2093" s="10" t="str">
        <f>IF(B2093="","",股指期货基差分析!$D$11)</f>
        <v/>
      </c>
    </row>
    <row r="2094" spans="2:9" ht="15" customHeight="1" x14ac:dyDescent="0.2">
      <c r="B2094" s="7"/>
      <c r="C2094" s="5" t="str">
        <f>IF(B2094="","",[1]!s_dq_close(股指期货基差分析!$E$5,$B2094))</f>
        <v/>
      </c>
      <c r="D2094" s="5" t="str">
        <f>IF(B2094="","",[1]!s_dq_close(股指期货基差分析!$E$6,$B2094))</f>
        <v/>
      </c>
      <c r="E2094" s="5" t="e">
        <f ca="1">RANK(F2094,F:F)+COUNTIF(F$2:F2094,F2094)-1</f>
        <v>#VALUE!</v>
      </c>
      <c r="F2094" s="5" t="str">
        <f t="shared" si="33"/>
        <v/>
      </c>
      <c r="G2094" s="5" t="str">
        <f>IF(B2094="","",股指期货基差分析!$N$11)</f>
        <v/>
      </c>
      <c r="H2094" s="5" t="str">
        <f>IF(B2094="","",股指期货基差分析!$L$11)</f>
        <v/>
      </c>
      <c r="I2094" s="9" t="str">
        <f>IF(B2094="","",股指期货基差分析!$D$11)</f>
        <v/>
      </c>
    </row>
    <row r="2095" spans="2:9" ht="15" customHeight="1" x14ac:dyDescent="0.2">
      <c r="B2095" s="8"/>
      <c r="C2095" s="6" t="str">
        <f>IF(B2095="","",[1]!s_dq_close(股指期货基差分析!$E$5,$B2095))</f>
        <v/>
      </c>
      <c r="D2095" s="6" t="str">
        <f>IF(B2095="","",[1]!s_dq_close(股指期货基差分析!$E$6,$B2095))</f>
        <v/>
      </c>
      <c r="E2095" s="6" t="e">
        <f ca="1">RANK(F2095,F:F)+COUNTIF(F$2:F2095,F2095)-1</f>
        <v>#VALUE!</v>
      </c>
      <c r="F2095" s="6" t="str">
        <f t="shared" si="33"/>
        <v/>
      </c>
      <c r="G2095" s="6" t="str">
        <f>IF(B2095="","",股指期货基差分析!$N$11)</f>
        <v/>
      </c>
      <c r="H2095" s="6" t="str">
        <f>IF(B2095="","",股指期货基差分析!$L$11)</f>
        <v/>
      </c>
      <c r="I2095" s="10" t="str">
        <f>IF(B2095="","",股指期货基差分析!$D$11)</f>
        <v/>
      </c>
    </row>
    <row r="2096" spans="2:9" ht="15" customHeight="1" x14ac:dyDescent="0.2">
      <c r="B2096" s="7"/>
      <c r="C2096" s="5" t="str">
        <f>IF(B2096="","",[1]!s_dq_close(股指期货基差分析!$E$5,$B2096))</f>
        <v/>
      </c>
      <c r="D2096" s="5" t="str">
        <f>IF(B2096="","",[1]!s_dq_close(股指期货基差分析!$E$6,$B2096))</f>
        <v/>
      </c>
      <c r="E2096" s="5" t="e">
        <f ca="1">RANK(F2096,F:F)+COUNTIF(F$2:F2096,F2096)-1</f>
        <v>#VALUE!</v>
      </c>
      <c r="F2096" s="5" t="str">
        <f t="shared" si="33"/>
        <v/>
      </c>
      <c r="G2096" s="5" t="str">
        <f>IF(B2096="","",股指期货基差分析!$N$11)</f>
        <v/>
      </c>
      <c r="H2096" s="5" t="str">
        <f>IF(B2096="","",股指期货基差分析!$L$11)</f>
        <v/>
      </c>
      <c r="I2096" s="9" t="str">
        <f>IF(B2096="","",股指期货基差分析!$D$11)</f>
        <v/>
      </c>
    </row>
    <row r="2097" spans="2:9" ht="15" customHeight="1" x14ac:dyDescent="0.2">
      <c r="B2097" s="8"/>
      <c r="C2097" s="6" t="str">
        <f>IF(B2097="","",[1]!s_dq_close(股指期货基差分析!$E$5,$B2097))</f>
        <v/>
      </c>
      <c r="D2097" s="6" t="str">
        <f>IF(B2097="","",[1]!s_dq_close(股指期货基差分析!$E$6,$B2097))</f>
        <v/>
      </c>
      <c r="E2097" s="6" t="e">
        <f ca="1">RANK(F2097,F:F)+COUNTIF(F$2:F2097,F2097)-1</f>
        <v>#VALUE!</v>
      </c>
      <c r="F2097" s="6" t="str">
        <f t="shared" si="33"/>
        <v/>
      </c>
      <c r="G2097" s="6" t="str">
        <f>IF(B2097="","",股指期货基差分析!$N$11)</f>
        <v/>
      </c>
      <c r="H2097" s="6" t="str">
        <f>IF(B2097="","",股指期货基差分析!$L$11)</f>
        <v/>
      </c>
      <c r="I2097" s="10" t="str">
        <f>IF(B2097="","",股指期货基差分析!$D$11)</f>
        <v/>
      </c>
    </row>
    <row r="2098" spans="2:9" ht="15" customHeight="1" x14ac:dyDescent="0.2">
      <c r="B2098" s="7"/>
      <c r="C2098" s="5" t="str">
        <f>IF(B2098="","",[1]!s_dq_close(股指期货基差分析!$E$5,$B2098))</f>
        <v/>
      </c>
      <c r="D2098" s="5" t="str">
        <f>IF(B2098="","",[1]!s_dq_close(股指期货基差分析!$E$6,$B2098))</f>
        <v/>
      </c>
      <c r="E2098" s="5" t="e">
        <f ca="1">RANK(F2098,F:F)+COUNTIF(F$2:F2098,F2098)-1</f>
        <v>#VALUE!</v>
      </c>
      <c r="F2098" s="5" t="str">
        <f t="shared" si="33"/>
        <v/>
      </c>
      <c r="G2098" s="5" t="str">
        <f>IF(B2098="","",股指期货基差分析!$N$11)</f>
        <v/>
      </c>
      <c r="H2098" s="5" t="str">
        <f>IF(B2098="","",股指期货基差分析!$L$11)</f>
        <v/>
      </c>
      <c r="I2098" s="9" t="str">
        <f>IF(B2098="","",股指期货基差分析!$D$11)</f>
        <v/>
      </c>
    </row>
    <row r="2099" spans="2:9" ht="15" customHeight="1" x14ac:dyDescent="0.2">
      <c r="B2099" s="8"/>
      <c r="C2099" s="6" t="str">
        <f>IF(B2099="","",[1]!s_dq_close(股指期货基差分析!$E$5,$B2099))</f>
        <v/>
      </c>
      <c r="D2099" s="6" t="str">
        <f>IF(B2099="","",[1]!s_dq_close(股指期货基差分析!$E$6,$B2099))</f>
        <v/>
      </c>
      <c r="E2099" s="6" t="e">
        <f ca="1">RANK(F2099,F:F)+COUNTIF(F$2:F2099,F2099)-1</f>
        <v>#VALUE!</v>
      </c>
      <c r="F2099" s="6" t="str">
        <f t="shared" si="33"/>
        <v/>
      </c>
      <c r="G2099" s="6" t="str">
        <f>IF(B2099="","",股指期货基差分析!$N$11)</f>
        <v/>
      </c>
      <c r="H2099" s="6" t="str">
        <f>IF(B2099="","",股指期货基差分析!$L$11)</f>
        <v/>
      </c>
      <c r="I2099" s="10" t="str">
        <f>IF(B2099="","",股指期货基差分析!$D$11)</f>
        <v/>
      </c>
    </row>
    <row r="2100" spans="2:9" ht="15" customHeight="1" x14ac:dyDescent="0.2">
      <c r="B2100" s="7"/>
      <c r="C2100" s="5" t="str">
        <f>IF(B2100="","",[1]!s_dq_close(股指期货基差分析!$E$5,$B2100))</f>
        <v/>
      </c>
      <c r="D2100" s="5" t="str">
        <f>IF(B2100="","",[1]!s_dq_close(股指期货基差分析!$E$6,$B2100))</f>
        <v/>
      </c>
      <c r="E2100" s="5" t="e">
        <f ca="1">RANK(F2100,F:F)+COUNTIF(F$2:F2100,F2100)-1</f>
        <v>#VALUE!</v>
      </c>
      <c r="F2100" s="5" t="str">
        <f t="shared" si="33"/>
        <v/>
      </c>
      <c r="G2100" s="5" t="str">
        <f>IF(B2100="","",股指期货基差分析!$N$11)</f>
        <v/>
      </c>
      <c r="H2100" s="5" t="str">
        <f>IF(B2100="","",股指期货基差分析!$L$11)</f>
        <v/>
      </c>
      <c r="I2100" s="9" t="str">
        <f>IF(B2100="","",股指期货基差分析!$D$11)</f>
        <v/>
      </c>
    </row>
    <row r="2101" spans="2:9" ht="15" customHeight="1" x14ac:dyDescent="0.2">
      <c r="B2101" s="8"/>
      <c r="C2101" s="6" t="str">
        <f>IF(B2101="","",[1]!s_dq_close(股指期货基差分析!$E$5,$B2101))</f>
        <v/>
      </c>
      <c r="D2101" s="6" t="str">
        <f>IF(B2101="","",[1]!s_dq_close(股指期货基差分析!$E$6,$B2101))</f>
        <v/>
      </c>
      <c r="E2101" s="6" t="e">
        <f ca="1">RANK(F2101,F:F)+COUNTIF(F$2:F2101,F2101)-1</f>
        <v>#VALUE!</v>
      </c>
      <c r="F2101" s="6" t="str">
        <f t="shared" si="33"/>
        <v/>
      </c>
      <c r="G2101" s="6" t="str">
        <f>IF(B2101="","",股指期货基差分析!$N$11)</f>
        <v/>
      </c>
      <c r="H2101" s="6" t="str">
        <f>IF(B2101="","",股指期货基差分析!$L$11)</f>
        <v/>
      </c>
      <c r="I2101" s="10" t="str">
        <f>IF(B2101="","",股指期货基差分析!$D$11)</f>
        <v/>
      </c>
    </row>
    <row r="2102" spans="2:9" ht="15" customHeight="1" x14ac:dyDescent="0.2">
      <c r="B2102" s="7"/>
      <c r="C2102" s="5" t="str">
        <f>IF(B2102="","",[1]!s_dq_close(股指期货基差分析!$E$5,$B2102))</f>
        <v/>
      </c>
      <c r="D2102" s="5" t="str">
        <f>IF(B2102="","",[1]!s_dq_close(股指期货基差分析!$E$6,$B2102))</f>
        <v/>
      </c>
      <c r="E2102" s="5" t="e">
        <f ca="1">RANK(F2102,F:F)+COUNTIF(F$2:F2102,F2102)-1</f>
        <v>#VALUE!</v>
      </c>
      <c r="F2102" s="5" t="str">
        <f t="shared" si="33"/>
        <v/>
      </c>
      <c r="G2102" s="5" t="str">
        <f>IF(B2102="","",股指期货基差分析!$N$11)</f>
        <v/>
      </c>
      <c r="H2102" s="5" t="str">
        <f>IF(B2102="","",股指期货基差分析!$L$11)</f>
        <v/>
      </c>
      <c r="I2102" s="9" t="str">
        <f>IF(B2102="","",股指期货基差分析!$D$11)</f>
        <v/>
      </c>
    </row>
    <row r="2103" spans="2:9" ht="15" customHeight="1" x14ac:dyDescent="0.2">
      <c r="B2103" s="8"/>
      <c r="C2103" s="6" t="str">
        <f>IF(B2103="","",[1]!s_dq_close(股指期货基差分析!$E$5,$B2103))</f>
        <v/>
      </c>
      <c r="D2103" s="6" t="str">
        <f>IF(B2103="","",[1]!s_dq_close(股指期货基差分析!$E$6,$B2103))</f>
        <v/>
      </c>
      <c r="E2103" s="6" t="e">
        <f ca="1">RANK(F2103,F:F)+COUNTIF(F$2:F2103,F2103)-1</f>
        <v>#VALUE!</v>
      </c>
      <c r="F2103" s="6" t="str">
        <f t="shared" si="33"/>
        <v/>
      </c>
      <c r="G2103" s="6" t="str">
        <f>IF(B2103="","",股指期货基差分析!$N$11)</f>
        <v/>
      </c>
      <c r="H2103" s="6" t="str">
        <f>IF(B2103="","",股指期货基差分析!$L$11)</f>
        <v/>
      </c>
      <c r="I2103" s="10" t="str">
        <f>IF(B2103="","",股指期货基差分析!$D$11)</f>
        <v/>
      </c>
    </row>
    <row r="2104" spans="2:9" ht="15" customHeight="1" x14ac:dyDescent="0.2">
      <c r="B2104" s="7"/>
      <c r="C2104" s="5" t="str">
        <f>IF(B2104="","",[1]!s_dq_close(股指期货基差分析!$E$5,$B2104))</f>
        <v/>
      </c>
      <c r="D2104" s="5" t="str">
        <f>IF(B2104="","",[1]!s_dq_close(股指期货基差分析!$E$6,$B2104))</f>
        <v/>
      </c>
      <c r="E2104" s="5" t="e">
        <f ca="1">RANK(F2104,F:F)+COUNTIF(F$2:F2104,F2104)-1</f>
        <v>#VALUE!</v>
      </c>
      <c r="F2104" s="5" t="str">
        <f t="shared" si="33"/>
        <v/>
      </c>
      <c r="G2104" s="5" t="str">
        <f>IF(B2104="","",股指期货基差分析!$N$11)</f>
        <v/>
      </c>
      <c r="H2104" s="5" t="str">
        <f>IF(B2104="","",股指期货基差分析!$L$11)</f>
        <v/>
      </c>
      <c r="I2104" s="9" t="str">
        <f>IF(B2104="","",股指期货基差分析!$D$11)</f>
        <v/>
      </c>
    </row>
    <row r="2105" spans="2:9" ht="15" customHeight="1" x14ac:dyDescent="0.2">
      <c r="B2105" s="8"/>
      <c r="C2105" s="6" t="str">
        <f>IF(B2105="","",[1]!s_dq_close(股指期货基差分析!$E$5,$B2105))</f>
        <v/>
      </c>
      <c r="D2105" s="6" t="str">
        <f>IF(B2105="","",[1]!s_dq_close(股指期货基差分析!$E$6,$B2105))</f>
        <v/>
      </c>
      <c r="E2105" s="6" t="e">
        <f ca="1">RANK(F2105,F:F)+COUNTIF(F$2:F2105,F2105)-1</f>
        <v>#VALUE!</v>
      </c>
      <c r="F2105" s="6" t="str">
        <f t="shared" si="33"/>
        <v/>
      </c>
      <c r="G2105" s="6" t="str">
        <f>IF(B2105="","",股指期货基差分析!$N$11)</f>
        <v/>
      </c>
      <c r="H2105" s="6" t="str">
        <f>IF(B2105="","",股指期货基差分析!$L$11)</f>
        <v/>
      </c>
      <c r="I2105" s="10" t="str">
        <f>IF(B2105="","",股指期货基差分析!$D$11)</f>
        <v/>
      </c>
    </row>
    <row r="2106" spans="2:9" ht="15" customHeight="1" x14ac:dyDescent="0.2">
      <c r="B2106" s="7"/>
      <c r="C2106" s="5" t="str">
        <f>IF(B2106="","",[1]!s_dq_close(股指期货基差分析!$E$5,$B2106))</f>
        <v/>
      </c>
      <c r="D2106" s="5" t="str">
        <f>IF(B2106="","",[1]!s_dq_close(股指期货基差分析!$E$6,$B2106))</f>
        <v/>
      </c>
      <c r="E2106" s="5" t="e">
        <f ca="1">RANK(F2106,F:F)+COUNTIF(F$2:F2106,F2106)-1</f>
        <v>#VALUE!</v>
      </c>
      <c r="F2106" s="5" t="str">
        <f t="shared" si="33"/>
        <v/>
      </c>
      <c r="G2106" s="5" t="str">
        <f>IF(B2106="","",股指期货基差分析!$N$11)</f>
        <v/>
      </c>
      <c r="H2106" s="5" t="str">
        <f>IF(B2106="","",股指期货基差分析!$L$11)</f>
        <v/>
      </c>
      <c r="I2106" s="9" t="str">
        <f>IF(B2106="","",股指期货基差分析!$D$11)</f>
        <v/>
      </c>
    </row>
    <row r="2107" spans="2:9" ht="15" customHeight="1" x14ac:dyDescent="0.2">
      <c r="B2107" s="8"/>
      <c r="C2107" s="6" t="str">
        <f>IF(B2107="","",[1]!s_dq_close(股指期货基差分析!$E$5,$B2107))</f>
        <v/>
      </c>
      <c r="D2107" s="6" t="str">
        <f>IF(B2107="","",[1]!s_dq_close(股指期货基差分析!$E$6,$B2107))</f>
        <v/>
      </c>
      <c r="E2107" s="6" t="e">
        <f ca="1">RANK(F2107,F:F)+COUNTIF(F$2:F2107,F2107)-1</f>
        <v>#VALUE!</v>
      </c>
      <c r="F2107" s="6" t="str">
        <f t="shared" si="33"/>
        <v/>
      </c>
      <c r="G2107" s="6" t="str">
        <f>IF(B2107="","",股指期货基差分析!$N$11)</f>
        <v/>
      </c>
      <c r="H2107" s="6" t="str">
        <f>IF(B2107="","",股指期货基差分析!$L$11)</f>
        <v/>
      </c>
      <c r="I2107" s="10" t="str">
        <f>IF(B2107="","",股指期货基差分析!$D$11)</f>
        <v/>
      </c>
    </row>
    <row r="2108" spans="2:9" ht="15" customHeight="1" x14ac:dyDescent="0.2">
      <c r="B2108" s="7"/>
      <c r="C2108" s="5" t="str">
        <f>IF(B2108="","",[1]!s_dq_close(股指期货基差分析!$E$5,$B2108))</f>
        <v/>
      </c>
      <c r="D2108" s="5" t="str">
        <f>IF(B2108="","",[1]!s_dq_close(股指期货基差分析!$E$6,$B2108))</f>
        <v/>
      </c>
      <c r="E2108" s="5" t="e">
        <f ca="1">RANK(F2108,F:F)+COUNTIF(F$2:F2108,F2108)-1</f>
        <v>#VALUE!</v>
      </c>
      <c r="F2108" s="5" t="str">
        <f t="shared" si="33"/>
        <v/>
      </c>
      <c r="G2108" s="5" t="str">
        <f>IF(B2108="","",股指期货基差分析!$N$11)</f>
        <v/>
      </c>
      <c r="H2108" s="5" t="str">
        <f>IF(B2108="","",股指期货基差分析!$L$11)</f>
        <v/>
      </c>
      <c r="I2108" s="9" t="str">
        <f>IF(B2108="","",股指期货基差分析!$D$11)</f>
        <v/>
      </c>
    </row>
    <row r="2109" spans="2:9" ht="15" customHeight="1" x14ac:dyDescent="0.2">
      <c r="B2109" s="8"/>
      <c r="C2109" s="6" t="str">
        <f>IF(B2109="","",[1]!s_dq_close(股指期货基差分析!$E$5,$B2109))</f>
        <v/>
      </c>
      <c r="D2109" s="6" t="str">
        <f>IF(B2109="","",[1]!s_dq_close(股指期货基差分析!$E$6,$B2109))</f>
        <v/>
      </c>
      <c r="E2109" s="6" t="e">
        <f ca="1">RANK(F2109,F:F)+COUNTIF(F$2:F2109,F2109)-1</f>
        <v>#VALUE!</v>
      </c>
      <c r="F2109" s="6" t="str">
        <f t="shared" si="33"/>
        <v/>
      </c>
      <c r="G2109" s="6" t="str">
        <f>IF(B2109="","",股指期货基差分析!$N$11)</f>
        <v/>
      </c>
      <c r="H2109" s="6" t="str">
        <f>IF(B2109="","",股指期货基差分析!$L$11)</f>
        <v/>
      </c>
      <c r="I2109" s="10" t="str">
        <f>IF(B2109="","",股指期货基差分析!$D$11)</f>
        <v/>
      </c>
    </row>
    <row r="2110" spans="2:9" ht="15" customHeight="1" x14ac:dyDescent="0.2">
      <c r="B2110" s="7"/>
      <c r="C2110" s="5" t="str">
        <f>IF(B2110="","",[1]!s_dq_close(股指期货基差分析!$E$5,$B2110))</f>
        <v/>
      </c>
      <c r="D2110" s="5" t="str">
        <f>IF(B2110="","",[1]!s_dq_close(股指期货基差分析!$E$6,$B2110))</f>
        <v/>
      </c>
      <c r="E2110" s="5" t="e">
        <f ca="1">RANK(F2110,F:F)+COUNTIF(F$2:F2110,F2110)-1</f>
        <v>#VALUE!</v>
      </c>
      <c r="F2110" s="5" t="str">
        <f t="shared" si="33"/>
        <v/>
      </c>
      <c r="G2110" s="5" t="str">
        <f>IF(B2110="","",股指期货基差分析!$N$11)</f>
        <v/>
      </c>
      <c r="H2110" s="5" t="str">
        <f>IF(B2110="","",股指期货基差分析!$L$11)</f>
        <v/>
      </c>
      <c r="I2110" s="9" t="str">
        <f>IF(B2110="","",股指期货基差分析!$D$11)</f>
        <v/>
      </c>
    </row>
    <row r="2111" spans="2:9" ht="15" customHeight="1" x14ac:dyDescent="0.2">
      <c r="B2111" s="8"/>
      <c r="C2111" s="6" t="str">
        <f>IF(B2111="","",[1]!s_dq_close(股指期货基差分析!$E$5,$B2111))</f>
        <v/>
      </c>
      <c r="D2111" s="6" t="str">
        <f>IF(B2111="","",[1]!s_dq_close(股指期货基差分析!$E$6,$B2111))</f>
        <v/>
      </c>
      <c r="E2111" s="6" t="e">
        <f ca="1">RANK(F2111,F:F)+COUNTIF(F$2:F2111,F2111)-1</f>
        <v>#VALUE!</v>
      </c>
      <c r="F2111" s="6" t="str">
        <f t="shared" si="33"/>
        <v/>
      </c>
      <c r="G2111" s="6" t="str">
        <f>IF(B2111="","",股指期货基差分析!$N$11)</f>
        <v/>
      </c>
      <c r="H2111" s="6" t="str">
        <f>IF(B2111="","",股指期货基差分析!$L$11)</f>
        <v/>
      </c>
      <c r="I2111" s="10" t="str">
        <f>IF(B2111="","",股指期货基差分析!$D$11)</f>
        <v/>
      </c>
    </row>
    <row r="2112" spans="2:9" ht="15" customHeight="1" x14ac:dyDescent="0.2">
      <c r="B2112" s="7"/>
      <c r="C2112" s="5" t="str">
        <f>IF(B2112="","",[1]!s_dq_close(股指期货基差分析!$E$5,$B2112))</f>
        <v/>
      </c>
      <c r="D2112" s="5" t="str">
        <f>IF(B2112="","",[1]!s_dq_close(股指期货基差分析!$E$6,$B2112))</f>
        <v/>
      </c>
      <c r="E2112" s="5" t="e">
        <f ca="1">RANK(F2112,F:F)+COUNTIF(F$2:F2112,F2112)-1</f>
        <v>#VALUE!</v>
      </c>
      <c r="F2112" s="5" t="str">
        <f t="shared" si="33"/>
        <v/>
      </c>
      <c r="G2112" s="5" t="str">
        <f>IF(B2112="","",股指期货基差分析!$N$11)</f>
        <v/>
      </c>
      <c r="H2112" s="5" t="str">
        <f>IF(B2112="","",股指期货基差分析!$L$11)</f>
        <v/>
      </c>
      <c r="I2112" s="9" t="str">
        <f>IF(B2112="","",股指期货基差分析!$D$11)</f>
        <v/>
      </c>
    </row>
    <row r="2113" spans="2:9" ht="15" customHeight="1" x14ac:dyDescent="0.2">
      <c r="B2113" s="8"/>
      <c r="C2113" s="6" t="str">
        <f>IF(B2113="","",[1]!s_dq_close(股指期货基差分析!$E$5,$B2113))</f>
        <v/>
      </c>
      <c r="D2113" s="6" t="str">
        <f>IF(B2113="","",[1]!s_dq_close(股指期货基差分析!$E$6,$B2113))</f>
        <v/>
      </c>
      <c r="E2113" s="6" t="e">
        <f ca="1">RANK(F2113,F:F)+COUNTIF(F$2:F2113,F2113)-1</f>
        <v>#VALUE!</v>
      </c>
      <c r="F2113" s="6" t="str">
        <f t="shared" si="33"/>
        <v/>
      </c>
      <c r="G2113" s="6" t="str">
        <f>IF(B2113="","",股指期货基差分析!$N$11)</f>
        <v/>
      </c>
      <c r="H2113" s="6" t="str">
        <f>IF(B2113="","",股指期货基差分析!$L$11)</f>
        <v/>
      </c>
      <c r="I2113" s="10" t="str">
        <f>IF(B2113="","",股指期货基差分析!$D$11)</f>
        <v/>
      </c>
    </row>
    <row r="2114" spans="2:9" ht="15" customHeight="1" x14ac:dyDescent="0.2">
      <c r="B2114" s="7"/>
      <c r="C2114" s="5" t="str">
        <f>IF(B2114="","",[1]!s_dq_close(股指期货基差分析!$E$5,$B2114))</f>
        <v/>
      </c>
      <c r="D2114" s="5" t="str">
        <f>IF(B2114="","",[1]!s_dq_close(股指期货基差分析!$E$6,$B2114))</f>
        <v/>
      </c>
      <c r="E2114" s="5" t="e">
        <f ca="1">RANK(F2114,F:F)+COUNTIF(F$2:F2114,F2114)-1</f>
        <v>#VALUE!</v>
      </c>
      <c r="F2114" s="5" t="str">
        <f t="shared" ref="F2114:F2177" si="34">IF(B2114="","",D2114-C2114)</f>
        <v/>
      </c>
      <c r="G2114" s="5" t="str">
        <f>IF(B2114="","",股指期货基差分析!$N$11)</f>
        <v/>
      </c>
      <c r="H2114" s="5" t="str">
        <f>IF(B2114="","",股指期货基差分析!$L$11)</f>
        <v/>
      </c>
      <c r="I2114" s="9" t="str">
        <f>IF(B2114="","",股指期货基差分析!$D$11)</f>
        <v/>
      </c>
    </row>
    <row r="2115" spans="2:9" ht="15" customHeight="1" x14ac:dyDescent="0.2">
      <c r="B2115" s="8"/>
      <c r="C2115" s="6" t="str">
        <f>IF(B2115="","",[1]!s_dq_close(股指期货基差分析!$E$5,$B2115))</f>
        <v/>
      </c>
      <c r="D2115" s="6" t="str">
        <f>IF(B2115="","",[1]!s_dq_close(股指期货基差分析!$E$6,$B2115))</f>
        <v/>
      </c>
      <c r="E2115" s="6" t="e">
        <f ca="1">RANK(F2115,F:F)+COUNTIF(F$2:F2115,F2115)-1</f>
        <v>#VALUE!</v>
      </c>
      <c r="F2115" s="6" t="str">
        <f t="shared" si="34"/>
        <v/>
      </c>
      <c r="G2115" s="6" t="str">
        <f>IF(B2115="","",股指期货基差分析!$N$11)</f>
        <v/>
      </c>
      <c r="H2115" s="6" t="str">
        <f>IF(B2115="","",股指期货基差分析!$L$11)</f>
        <v/>
      </c>
      <c r="I2115" s="10" t="str">
        <f>IF(B2115="","",股指期货基差分析!$D$11)</f>
        <v/>
      </c>
    </row>
    <row r="2116" spans="2:9" ht="15" customHeight="1" x14ac:dyDescent="0.2">
      <c r="B2116" s="7"/>
      <c r="C2116" s="5" t="str">
        <f>IF(B2116="","",[1]!s_dq_close(股指期货基差分析!$E$5,$B2116))</f>
        <v/>
      </c>
      <c r="D2116" s="5" t="str">
        <f>IF(B2116="","",[1]!s_dq_close(股指期货基差分析!$E$6,$B2116))</f>
        <v/>
      </c>
      <c r="E2116" s="5" t="e">
        <f ca="1">RANK(F2116,F:F)+COUNTIF(F$2:F2116,F2116)-1</f>
        <v>#VALUE!</v>
      </c>
      <c r="F2116" s="5" t="str">
        <f t="shared" si="34"/>
        <v/>
      </c>
      <c r="G2116" s="5" t="str">
        <f>IF(B2116="","",股指期货基差分析!$N$11)</f>
        <v/>
      </c>
      <c r="H2116" s="5" t="str">
        <f>IF(B2116="","",股指期货基差分析!$L$11)</f>
        <v/>
      </c>
      <c r="I2116" s="9" t="str">
        <f>IF(B2116="","",股指期货基差分析!$D$11)</f>
        <v/>
      </c>
    </row>
    <row r="2117" spans="2:9" ht="15" customHeight="1" x14ac:dyDescent="0.2">
      <c r="B2117" s="8"/>
      <c r="C2117" s="6" t="str">
        <f>IF(B2117="","",[1]!s_dq_close(股指期货基差分析!$E$5,$B2117))</f>
        <v/>
      </c>
      <c r="D2117" s="6" t="str">
        <f>IF(B2117="","",[1]!s_dq_close(股指期货基差分析!$E$6,$B2117))</f>
        <v/>
      </c>
      <c r="E2117" s="6" t="e">
        <f ca="1">RANK(F2117,F:F)+COUNTIF(F$2:F2117,F2117)-1</f>
        <v>#VALUE!</v>
      </c>
      <c r="F2117" s="6" t="str">
        <f t="shared" si="34"/>
        <v/>
      </c>
      <c r="G2117" s="6" t="str">
        <f>IF(B2117="","",股指期货基差分析!$N$11)</f>
        <v/>
      </c>
      <c r="H2117" s="6" t="str">
        <f>IF(B2117="","",股指期货基差分析!$L$11)</f>
        <v/>
      </c>
      <c r="I2117" s="10" t="str">
        <f>IF(B2117="","",股指期货基差分析!$D$11)</f>
        <v/>
      </c>
    </row>
    <row r="2118" spans="2:9" ht="15" customHeight="1" x14ac:dyDescent="0.2">
      <c r="B2118" s="7"/>
      <c r="C2118" s="5" t="str">
        <f>IF(B2118="","",[1]!s_dq_close(股指期货基差分析!$E$5,$B2118))</f>
        <v/>
      </c>
      <c r="D2118" s="5" t="str">
        <f>IF(B2118="","",[1]!s_dq_close(股指期货基差分析!$E$6,$B2118))</f>
        <v/>
      </c>
      <c r="E2118" s="5" t="e">
        <f ca="1">RANK(F2118,F:F)+COUNTIF(F$2:F2118,F2118)-1</f>
        <v>#VALUE!</v>
      </c>
      <c r="F2118" s="5" t="str">
        <f t="shared" si="34"/>
        <v/>
      </c>
      <c r="G2118" s="5" t="str">
        <f>IF(B2118="","",股指期货基差分析!$N$11)</f>
        <v/>
      </c>
      <c r="H2118" s="5" t="str">
        <f>IF(B2118="","",股指期货基差分析!$L$11)</f>
        <v/>
      </c>
      <c r="I2118" s="9" t="str">
        <f>IF(B2118="","",股指期货基差分析!$D$11)</f>
        <v/>
      </c>
    </row>
    <row r="2119" spans="2:9" ht="15" customHeight="1" x14ac:dyDescent="0.2">
      <c r="B2119" s="8"/>
      <c r="C2119" s="6" t="str">
        <f>IF(B2119="","",[1]!s_dq_close(股指期货基差分析!$E$5,$B2119))</f>
        <v/>
      </c>
      <c r="D2119" s="6" t="str">
        <f>IF(B2119="","",[1]!s_dq_close(股指期货基差分析!$E$6,$B2119))</f>
        <v/>
      </c>
      <c r="E2119" s="6" t="e">
        <f ca="1">RANK(F2119,F:F)+COUNTIF(F$2:F2119,F2119)-1</f>
        <v>#VALUE!</v>
      </c>
      <c r="F2119" s="6" t="str">
        <f t="shared" si="34"/>
        <v/>
      </c>
      <c r="G2119" s="6" t="str">
        <f>IF(B2119="","",股指期货基差分析!$N$11)</f>
        <v/>
      </c>
      <c r="H2119" s="6" t="str">
        <f>IF(B2119="","",股指期货基差分析!$L$11)</f>
        <v/>
      </c>
      <c r="I2119" s="10" t="str">
        <f>IF(B2119="","",股指期货基差分析!$D$11)</f>
        <v/>
      </c>
    </row>
    <row r="2120" spans="2:9" ht="15" customHeight="1" x14ac:dyDescent="0.2">
      <c r="B2120" s="7"/>
      <c r="C2120" s="5" t="str">
        <f>IF(B2120="","",[1]!s_dq_close(股指期货基差分析!$E$5,$B2120))</f>
        <v/>
      </c>
      <c r="D2120" s="5" t="str">
        <f>IF(B2120="","",[1]!s_dq_close(股指期货基差分析!$E$6,$B2120))</f>
        <v/>
      </c>
      <c r="E2120" s="5" t="e">
        <f ca="1">RANK(F2120,F:F)+COUNTIF(F$2:F2120,F2120)-1</f>
        <v>#VALUE!</v>
      </c>
      <c r="F2120" s="5" t="str">
        <f t="shared" si="34"/>
        <v/>
      </c>
      <c r="G2120" s="5" t="str">
        <f>IF(B2120="","",股指期货基差分析!$N$11)</f>
        <v/>
      </c>
      <c r="H2120" s="5" t="str">
        <f>IF(B2120="","",股指期货基差分析!$L$11)</f>
        <v/>
      </c>
      <c r="I2120" s="9" t="str">
        <f>IF(B2120="","",股指期货基差分析!$D$11)</f>
        <v/>
      </c>
    </row>
    <row r="2121" spans="2:9" ht="15" customHeight="1" x14ac:dyDescent="0.2">
      <c r="B2121" s="8"/>
      <c r="C2121" s="6" t="str">
        <f>IF(B2121="","",[1]!s_dq_close(股指期货基差分析!$E$5,$B2121))</f>
        <v/>
      </c>
      <c r="D2121" s="6" t="str">
        <f>IF(B2121="","",[1]!s_dq_close(股指期货基差分析!$E$6,$B2121))</f>
        <v/>
      </c>
      <c r="E2121" s="6" t="e">
        <f ca="1">RANK(F2121,F:F)+COUNTIF(F$2:F2121,F2121)-1</f>
        <v>#VALUE!</v>
      </c>
      <c r="F2121" s="6" t="str">
        <f t="shared" si="34"/>
        <v/>
      </c>
      <c r="G2121" s="6" t="str">
        <f>IF(B2121="","",股指期货基差分析!$N$11)</f>
        <v/>
      </c>
      <c r="H2121" s="6" t="str">
        <f>IF(B2121="","",股指期货基差分析!$L$11)</f>
        <v/>
      </c>
      <c r="I2121" s="10" t="str">
        <f>IF(B2121="","",股指期货基差分析!$D$11)</f>
        <v/>
      </c>
    </row>
    <row r="2122" spans="2:9" ht="15" customHeight="1" x14ac:dyDescent="0.2">
      <c r="B2122" s="7"/>
      <c r="C2122" s="5" t="str">
        <f>IF(B2122="","",[1]!s_dq_close(股指期货基差分析!$E$5,$B2122))</f>
        <v/>
      </c>
      <c r="D2122" s="5" t="str">
        <f>IF(B2122="","",[1]!s_dq_close(股指期货基差分析!$E$6,$B2122))</f>
        <v/>
      </c>
      <c r="E2122" s="5" t="e">
        <f ca="1">RANK(F2122,F:F)+COUNTIF(F$2:F2122,F2122)-1</f>
        <v>#VALUE!</v>
      </c>
      <c r="F2122" s="5" t="str">
        <f t="shared" si="34"/>
        <v/>
      </c>
      <c r="G2122" s="5" t="str">
        <f>IF(B2122="","",股指期货基差分析!$N$11)</f>
        <v/>
      </c>
      <c r="H2122" s="5" t="str">
        <f>IF(B2122="","",股指期货基差分析!$L$11)</f>
        <v/>
      </c>
      <c r="I2122" s="9" t="str">
        <f>IF(B2122="","",股指期货基差分析!$D$11)</f>
        <v/>
      </c>
    </row>
    <row r="2123" spans="2:9" ht="15" customHeight="1" x14ac:dyDescent="0.2">
      <c r="B2123" s="8"/>
      <c r="C2123" s="6" t="str">
        <f>IF(B2123="","",[1]!s_dq_close(股指期货基差分析!$E$5,$B2123))</f>
        <v/>
      </c>
      <c r="D2123" s="6" t="str">
        <f>IF(B2123="","",[1]!s_dq_close(股指期货基差分析!$E$6,$B2123))</f>
        <v/>
      </c>
      <c r="E2123" s="6" t="e">
        <f ca="1">RANK(F2123,F:F)+COUNTIF(F$2:F2123,F2123)-1</f>
        <v>#VALUE!</v>
      </c>
      <c r="F2123" s="6" t="str">
        <f t="shared" si="34"/>
        <v/>
      </c>
      <c r="G2123" s="6" t="str">
        <f>IF(B2123="","",股指期货基差分析!$N$11)</f>
        <v/>
      </c>
      <c r="H2123" s="6" t="str">
        <f>IF(B2123="","",股指期货基差分析!$L$11)</f>
        <v/>
      </c>
      <c r="I2123" s="10" t="str">
        <f>IF(B2123="","",股指期货基差分析!$D$11)</f>
        <v/>
      </c>
    </row>
    <row r="2124" spans="2:9" ht="15" customHeight="1" x14ac:dyDescent="0.2">
      <c r="B2124" s="7"/>
      <c r="C2124" s="5" t="str">
        <f>IF(B2124="","",[1]!s_dq_close(股指期货基差分析!$E$5,$B2124))</f>
        <v/>
      </c>
      <c r="D2124" s="5" t="str">
        <f>IF(B2124="","",[1]!s_dq_close(股指期货基差分析!$E$6,$B2124))</f>
        <v/>
      </c>
      <c r="E2124" s="5" t="e">
        <f ca="1">RANK(F2124,F:F)+COUNTIF(F$2:F2124,F2124)-1</f>
        <v>#VALUE!</v>
      </c>
      <c r="F2124" s="5" t="str">
        <f t="shared" si="34"/>
        <v/>
      </c>
      <c r="G2124" s="5" t="str">
        <f>IF(B2124="","",股指期货基差分析!$N$11)</f>
        <v/>
      </c>
      <c r="H2124" s="5" t="str">
        <f>IF(B2124="","",股指期货基差分析!$L$11)</f>
        <v/>
      </c>
      <c r="I2124" s="9" t="str">
        <f>IF(B2124="","",股指期货基差分析!$D$11)</f>
        <v/>
      </c>
    </row>
    <row r="2125" spans="2:9" ht="15" customHeight="1" x14ac:dyDescent="0.2">
      <c r="B2125" s="8"/>
      <c r="C2125" s="6" t="str">
        <f>IF(B2125="","",[1]!s_dq_close(股指期货基差分析!$E$5,$B2125))</f>
        <v/>
      </c>
      <c r="D2125" s="6" t="str">
        <f>IF(B2125="","",[1]!s_dq_close(股指期货基差分析!$E$6,$B2125))</f>
        <v/>
      </c>
      <c r="E2125" s="6" t="e">
        <f ca="1">RANK(F2125,F:F)+COUNTIF(F$2:F2125,F2125)-1</f>
        <v>#VALUE!</v>
      </c>
      <c r="F2125" s="6" t="str">
        <f t="shared" si="34"/>
        <v/>
      </c>
      <c r="G2125" s="6" t="str">
        <f>IF(B2125="","",股指期货基差分析!$N$11)</f>
        <v/>
      </c>
      <c r="H2125" s="6" t="str">
        <f>IF(B2125="","",股指期货基差分析!$L$11)</f>
        <v/>
      </c>
      <c r="I2125" s="10" t="str">
        <f>IF(B2125="","",股指期货基差分析!$D$11)</f>
        <v/>
      </c>
    </row>
    <row r="2126" spans="2:9" ht="15" customHeight="1" x14ac:dyDescent="0.2">
      <c r="B2126" s="7"/>
      <c r="C2126" s="5" t="str">
        <f>IF(B2126="","",[1]!s_dq_close(股指期货基差分析!$E$5,$B2126))</f>
        <v/>
      </c>
      <c r="D2126" s="5" t="str">
        <f>IF(B2126="","",[1]!s_dq_close(股指期货基差分析!$E$6,$B2126))</f>
        <v/>
      </c>
      <c r="E2126" s="5" t="e">
        <f ca="1">RANK(F2126,F:F)+COUNTIF(F$2:F2126,F2126)-1</f>
        <v>#VALUE!</v>
      </c>
      <c r="F2126" s="5" t="str">
        <f t="shared" si="34"/>
        <v/>
      </c>
      <c r="G2126" s="5" t="str">
        <f>IF(B2126="","",股指期货基差分析!$N$11)</f>
        <v/>
      </c>
      <c r="H2126" s="5" t="str">
        <f>IF(B2126="","",股指期货基差分析!$L$11)</f>
        <v/>
      </c>
      <c r="I2126" s="9" t="str">
        <f>IF(B2126="","",股指期货基差分析!$D$11)</f>
        <v/>
      </c>
    </row>
    <row r="2127" spans="2:9" ht="15" customHeight="1" x14ac:dyDescent="0.2">
      <c r="B2127" s="8"/>
      <c r="C2127" s="6" t="str">
        <f>IF(B2127="","",[1]!s_dq_close(股指期货基差分析!$E$5,$B2127))</f>
        <v/>
      </c>
      <c r="D2127" s="6" t="str">
        <f>IF(B2127="","",[1]!s_dq_close(股指期货基差分析!$E$6,$B2127))</f>
        <v/>
      </c>
      <c r="E2127" s="6" t="e">
        <f ca="1">RANK(F2127,F:F)+COUNTIF(F$2:F2127,F2127)-1</f>
        <v>#VALUE!</v>
      </c>
      <c r="F2127" s="6" t="str">
        <f t="shared" si="34"/>
        <v/>
      </c>
      <c r="G2127" s="6" t="str">
        <f>IF(B2127="","",股指期货基差分析!$N$11)</f>
        <v/>
      </c>
      <c r="H2127" s="6" t="str">
        <f>IF(B2127="","",股指期货基差分析!$L$11)</f>
        <v/>
      </c>
      <c r="I2127" s="10" t="str">
        <f>IF(B2127="","",股指期货基差分析!$D$11)</f>
        <v/>
      </c>
    </row>
    <row r="2128" spans="2:9" ht="15" customHeight="1" x14ac:dyDescent="0.2">
      <c r="B2128" s="7"/>
      <c r="C2128" s="5" t="str">
        <f>IF(B2128="","",[1]!s_dq_close(股指期货基差分析!$E$5,$B2128))</f>
        <v/>
      </c>
      <c r="D2128" s="5" t="str">
        <f>IF(B2128="","",[1]!s_dq_close(股指期货基差分析!$E$6,$B2128))</f>
        <v/>
      </c>
      <c r="E2128" s="5" t="e">
        <f ca="1">RANK(F2128,F:F)+COUNTIF(F$2:F2128,F2128)-1</f>
        <v>#VALUE!</v>
      </c>
      <c r="F2128" s="5" t="str">
        <f t="shared" si="34"/>
        <v/>
      </c>
      <c r="G2128" s="5" t="str">
        <f>IF(B2128="","",股指期货基差分析!$N$11)</f>
        <v/>
      </c>
      <c r="H2128" s="5" t="str">
        <f>IF(B2128="","",股指期货基差分析!$L$11)</f>
        <v/>
      </c>
      <c r="I2128" s="9" t="str">
        <f>IF(B2128="","",股指期货基差分析!$D$11)</f>
        <v/>
      </c>
    </row>
    <row r="2129" spans="2:9" ht="15" customHeight="1" x14ac:dyDescent="0.2">
      <c r="B2129" s="8"/>
      <c r="C2129" s="6" t="str">
        <f>IF(B2129="","",[1]!s_dq_close(股指期货基差分析!$E$5,$B2129))</f>
        <v/>
      </c>
      <c r="D2129" s="6" t="str">
        <f>IF(B2129="","",[1]!s_dq_close(股指期货基差分析!$E$6,$B2129))</f>
        <v/>
      </c>
      <c r="E2129" s="6" t="e">
        <f ca="1">RANK(F2129,F:F)+COUNTIF(F$2:F2129,F2129)-1</f>
        <v>#VALUE!</v>
      </c>
      <c r="F2129" s="6" t="str">
        <f t="shared" si="34"/>
        <v/>
      </c>
      <c r="G2129" s="6" t="str">
        <f>IF(B2129="","",股指期货基差分析!$N$11)</f>
        <v/>
      </c>
      <c r="H2129" s="6" t="str">
        <f>IF(B2129="","",股指期货基差分析!$L$11)</f>
        <v/>
      </c>
      <c r="I2129" s="10" t="str">
        <f>IF(B2129="","",股指期货基差分析!$D$11)</f>
        <v/>
      </c>
    </row>
    <row r="2130" spans="2:9" ht="15" customHeight="1" x14ac:dyDescent="0.2">
      <c r="B2130" s="7"/>
      <c r="C2130" s="5" t="str">
        <f>IF(B2130="","",[1]!s_dq_close(股指期货基差分析!$E$5,$B2130))</f>
        <v/>
      </c>
      <c r="D2130" s="5" t="str">
        <f>IF(B2130="","",[1]!s_dq_close(股指期货基差分析!$E$6,$B2130))</f>
        <v/>
      </c>
      <c r="E2130" s="5" t="e">
        <f ca="1">RANK(F2130,F:F)+COUNTIF(F$2:F2130,F2130)-1</f>
        <v>#VALUE!</v>
      </c>
      <c r="F2130" s="5" t="str">
        <f t="shared" si="34"/>
        <v/>
      </c>
      <c r="G2130" s="5" t="str">
        <f>IF(B2130="","",股指期货基差分析!$N$11)</f>
        <v/>
      </c>
      <c r="H2130" s="5" t="str">
        <f>IF(B2130="","",股指期货基差分析!$L$11)</f>
        <v/>
      </c>
      <c r="I2130" s="9" t="str">
        <f>IF(B2130="","",股指期货基差分析!$D$11)</f>
        <v/>
      </c>
    </row>
    <row r="2131" spans="2:9" ht="15" customHeight="1" x14ac:dyDescent="0.2">
      <c r="B2131" s="8"/>
      <c r="C2131" s="6" t="str">
        <f>IF(B2131="","",[1]!s_dq_close(股指期货基差分析!$E$5,$B2131))</f>
        <v/>
      </c>
      <c r="D2131" s="6" t="str">
        <f>IF(B2131="","",[1]!s_dq_close(股指期货基差分析!$E$6,$B2131))</f>
        <v/>
      </c>
      <c r="E2131" s="6" t="e">
        <f ca="1">RANK(F2131,F:F)+COUNTIF(F$2:F2131,F2131)-1</f>
        <v>#VALUE!</v>
      </c>
      <c r="F2131" s="6" t="str">
        <f t="shared" si="34"/>
        <v/>
      </c>
      <c r="G2131" s="6" t="str">
        <f>IF(B2131="","",股指期货基差分析!$N$11)</f>
        <v/>
      </c>
      <c r="H2131" s="6" t="str">
        <f>IF(B2131="","",股指期货基差分析!$L$11)</f>
        <v/>
      </c>
      <c r="I2131" s="10" t="str">
        <f>IF(B2131="","",股指期货基差分析!$D$11)</f>
        <v/>
      </c>
    </row>
    <row r="2132" spans="2:9" ht="15" customHeight="1" x14ac:dyDescent="0.2">
      <c r="B2132" s="7"/>
      <c r="C2132" s="5" t="str">
        <f>IF(B2132="","",[1]!s_dq_close(股指期货基差分析!$E$5,$B2132))</f>
        <v/>
      </c>
      <c r="D2132" s="5" t="str">
        <f>IF(B2132="","",[1]!s_dq_close(股指期货基差分析!$E$6,$B2132))</f>
        <v/>
      </c>
      <c r="E2132" s="5" t="e">
        <f ca="1">RANK(F2132,F:F)+COUNTIF(F$2:F2132,F2132)-1</f>
        <v>#VALUE!</v>
      </c>
      <c r="F2132" s="5" t="str">
        <f t="shared" si="34"/>
        <v/>
      </c>
      <c r="G2132" s="5" t="str">
        <f>IF(B2132="","",股指期货基差分析!$N$11)</f>
        <v/>
      </c>
      <c r="H2132" s="5" t="str">
        <f>IF(B2132="","",股指期货基差分析!$L$11)</f>
        <v/>
      </c>
      <c r="I2132" s="9" t="str">
        <f>IF(B2132="","",股指期货基差分析!$D$11)</f>
        <v/>
      </c>
    </row>
    <row r="2133" spans="2:9" ht="15" customHeight="1" x14ac:dyDescent="0.2">
      <c r="B2133" s="8"/>
      <c r="C2133" s="6" t="str">
        <f>IF(B2133="","",[1]!s_dq_close(股指期货基差分析!$E$5,$B2133))</f>
        <v/>
      </c>
      <c r="D2133" s="6" t="str">
        <f>IF(B2133="","",[1]!s_dq_close(股指期货基差分析!$E$6,$B2133))</f>
        <v/>
      </c>
      <c r="E2133" s="6" t="e">
        <f ca="1">RANK(F2133,F:F)+COUNTIF(F$2:F2133,F2133)-1</f>
        <v>#VALUE!</v>
      </c>
      <c r="F2133" s="6" t="str">
        <f t="shared" si="34"/>
        <v/>
      </c>
      <c r="G2133" s="6" t="str">
        <f>IF(B2133="","",股指期货基差分析!$N$11)</f>
        <v/>
      </c>
      <c r="H2133" s="6" t="str">
        <f>IF(B2133="","",股指期货基差分析!$L$11)</f>
        <v/>
      </c>
      <c r="I2133" s="10" t="str">
        <f>IF(B2133="","",股指期货基差分析!$D$11)</f>
        <v/>
      </c>
    </row>
    <row r="2134" spans="2:9" ht="15" customHeight="1" x14ac:dyDescent="0.2">
      <c r="B2134" s="7"/>
      <c r="C2134" s="5" t="str">
        <f>IF(B2134="","",[1]!s_dq_close(股指期货基差分析!$E$5,$B2134))</f>
        <v/>
      </c>
      <c r="D2134" s="5" t="str">
        <f>IF(B2134="","",[1]!s_dq_close(股指期货基差分析!$E$6,$B2134))</f>
        <v/>
      </c>
      <c r="E2134" s="5" t="e">
        <f ca="1">RANK(F2134,F:F)+COUNTIF(F$2:F2134,F2134)-1</f>
        <v>#VALUE!</v>
      </c>
      <c r="F2134" s="5" t="str">
        <f t="shared" si="34"/>
        <v/>
      </c>
      <c r="G2134" s="5" t="str">
        <f>IF(B2134="","",股指期货基差分析!$N$11)</f>
        <v/>
      </c>
      <c r="H2134" s="5" t="str">
        <f>IF(B2134="","",股指期货基差分析!$L$11)</f>
        <v/>
      </c>
      <c r="I2134" s="9" t="str">
        <f>IF(B2134="","",股指期货基差分析!$D$11)</f>
        <v/>
      </c>
    </row>
    <row r="2135" spans="2:9" ht="15" customHeight="1" x14ac:dyDescent="0.2">
      <c r="B2135" s="8"/>
      <c r="C2135" s="6" t="str">
        <f>IF(B2135="","",[1]!s_dq_close(股指期货基差分析!$E$5,$B2135))</f>
        <v/>
      </c>
      <c r="D2135" s="6" t="str">
        <f>IF(B2135="","",[1]!s_dq_close(股指期货基差分析!$E$6,$B2135))</f>
        <v/>
      </c>
      <c r="E2135" s="6" t="e">
        <f ca="1">RANK(F2135,F:F)+COUNTIF(F$2:F2135,F2135)-1</f>
        <v>#VALUE!</v>
      </c>
      <c r="F2135" s="6" t="str">
        <f t="shared" si="34"/>
        <v/>
      </c>
      <c r="G2135" s="6" t="str">
        <f>IF(B2135="","",股指期货基差分析!$N$11)</f>
        <v/>
      </c>
      <c r="H2135" s="6" t="str">
        <f>IF(B2135="","",股指期货基差分析!$L$11)</f>
        <v/>
      </c>
      <c r="I2135" s="10" t="str">
        <f>IF(B2135="","",股指期货基差分析!$D$11)</f>
        <v/>
      </c>
    </row>
    <row r="2136" spans="2:9" ht="15" customHeight="1" x14ac:dyDescent="0.2">
      <c r="B2136" s="7"/>
      <c r="C2136" s="5" t="str">
        <f>IF(B2136="","",[1]!s_dq_close(股指期货基差分析!$E$5,$B2136))</f>
        <v/>
      </c>
      <c r="D2136" s="5" t="str">
        <f>IF(B2136="","",[1]!s_dq_close(股指期货基差分析!$E$6,$B2136))</f>
        <v/>
      </c>
      <c r="E2136" s="5" t="e">
        <f ca="1">RANK(F2136,F:F)+COUNTIF(F$2:F2136,F2136)-1</f>
        <v>#VALUE!</v>
      </c>
      <c r="F2136" s="5" t="str">
        <f t="shared" si="34"/>
        <v/>
      </c>
      <c r="G2136" s="5" t="str">
        <f>IF(B2136="","",股指期货基差分析!$N$11)</f>
        <v/>
      </c>
      <c r="H2136" s="5" t="str">
        <f>IF(B2136="","",股指期货基差分析!$L$11)</f>
        <v/>
      </c>
      <c r="I2136" s="9" t="str">
        <f>IF(B2136="","",股指期货基差分析!$D$11)</f>
        <v/>
      </c>
    </row>
    <row r="2137" spans="2:9" ht="15" customHeight="1" x14ac:dyDescent="0.2">
      <c r="B2137" s="8"/>
      <c r="C2137" s="6" t="str">
        <f>IF(B2137="","",[1]!s_dq_close(股指期货基差分析!$E$5,$B2137))</f>
        <v/>
      </c>
      <c r="D2137" s="6" t="str">
        <f>IF(B2137="","",[1]!s_dq_close(股指期货基差分析!$E$6,$B2137))</f>
        <v/>
      </c>
      <c r="E2137" s="6" t="e">
        <f ca="1">RANK(F2137,F:F)+COUNTIF(F$2:F2137,F2137)-1</f>
        <v>#VALUE!</v>
      </c>
      <c r="F2137" s="6" t="str">
        <f t="shared" si="34"/>
        <v/>
      </c>
      <c r="G2137" s="6" t="str">
        <f>IF(B2137="","",股指期货基差分析!$N$11)</f>
        <v/>
      </c>
      <c r="H2137" s="6" t="str">
        <f>IF(B2137="","",股指期货基差分析!$L$11)</f>
        <v/>
      </c>
      <c r="I2137" s="10" t="str">
        <f>IF(B2137="","",股指期货基差分析!$D$11)</f>
        <v/>
      </c>
    </row>
    <row r="2138" spans="2:9" ht="15" customHeight="1" x14ac:dyDescent="0.2">
      <c r="B2138" s="7"/>
      <c r="C2138" s="5" t="str">
        <f>IF(B2138="","",[1]!s_dq_close(股指期货基差分析!$E$5,$B2138))</f>
        <v/>
      </c>
      <c r="D2138" s="5" t="str">
        <f>IF(B2138="","",[1]!s_dq_close(股指期货基差分析!$E$6,$B2138))</f>
        <v/>
      </c>
      <c r="E2138" s="5" t="e">
        <f ca="1">RANK(F2138,F:F)+COUNTIF(F$2:F2138,F2138)-1</f>
        <v>#VALUE!</v>
      </c>
      <c r="F2138" s="5" t="str">
        <f t="shared" si="34"/>
        <v/>
      </c>
      <c r="G2138" s="5" t="str">
        <f>IF(B2138="","",股指期货基差分析!$N$11)</f>
        <v/>
      </c>
      <c r="H2138" s="5" t="str">
        <f>IF(B2138="","",股指期货基差分析!$L$11)</f>
        <v/>
      </c>
      <c r="I2138" s="9" t="str">
        <f>IF(B2138="","",股指期货基差分析!$D$11)</f>
        <v/>
      </c>
    </row>
    <row r="2139" spans="2:9" ht="15" customHeight="1" x14ac:dyDescent="0.2">
      <c r="B2139" s="8"/>
      <c r="C2139" s="6" t="str">
        <f>IF(B2139="","",[1]!s_dq_close(股指期货基差分析!$E$5,$B2139))</f>
        <v/>
      </c>
      <c r="D2139" s="6" t="str">
        <f>IF(B2139="","",[1]!s_dq_close(股指期货基差分析!$E$6,$B2139))</f>
        <v/>
      </c>
      <c r="E2139" s="6" t="e">
        <f ca="1">RANK(F2139,F:F)+COUNTIF(F$2:F2139,F2139)-1</f>
        <v>#VALUE!</v>
      </c>
      <c r="F2139" s="6" t="str">
        <f t="shared" si="34"/>
        <v/>
      </c>
      <c r="G2139" s="6" t="str">
        <f>IF(B2139="","",股指期货基差分析!$N$11)</f>
        <v/>
      </c>
      <c r="H2139" s="6" t="str">
        <f>IF(B2139="","",股指期货基差分析!$L$11)</f>
        <v/>
      </c>
      <c r="I2139" s="10" t="str">
        <f>IF(B2139="","",股指期货基差分析!$D$11)</f>
        <v/>
      </c>
    </row>
    <row r="2140" spans="2:9" ht="15" customHeight="1" x14ac:dyDescent="0.2">
      <c r="B2140" s="7"/>
      <c r="C2140" s="5" t="str">
        <f>IF(B2140="","",[1]!s_dq_close(股指期货基差分析!$E$5,$B2140))</f>
        <v/>
      </c>
      <c r="D2140" s="5" t="str">
        <f>IF(B2140="","",[1]!s_dq_close(股指期货基差分析!$E$6,$B2140))</f>
        <v/>
      </c>
      <c r="E2140" s="5" t="e">
        <f ca="1">RANK(F2140,F:F)+COUNTIF(F$2:F2140,F2140)-1</f>
        <v>#VALUE!</v>
      </c>
      <c r="F2140" s="5" t="str">
        <f t="shared" si="34"/>
        <v/>
      </c>
      <c r="G2140" s="5" t="str">
        <f>IF(B2140="","",股指期货基差分析!$N$11)</f>
        <v/>
      </c>
      <c r="H2140" s="5" t="str">
        <f>IF(B2140="","",股指期货基差分析!$L$11)</f>
        <v/>
      </c>
      <c r="I2140" s="9" t="str">
        <f>IF(B2140="","",股指期货基差分析!$D$11)</f>
        <v/>
      </c>
    </row>
    <row r="2141" spans="2:9" ht="15" customHeight="1" x14ac:dyDescent="0.2">
      <c r="B2141" s="8"/>
      <c r="C2141" s="6" t="str">
        <f>IF(B2141="","",[1]!s_dq_close(股指期货基差分析!$E$5,$B2141))</f>
        <v/>
      </c>
      <c r="D2141" s="6" t="str">
        <f>IF(B2141="","",[1]!s_dq_close(股指期货基差分析!$E$6,$B2141))</f>
        <v/>
      </c>
      <c r="E2141" s="6" t="e">
        <f ca="1">RANK(F2141,F:F)+COUNTIF(F$2:F2141,F2141)-1</f>
        <v>#VALUE!</v>
      </c>
      <c r="F2141" s="6" t="str">
        <f t="shared" si="34"/>
        <v/>
      </c>
      <c r="G2141" s="6" t="str">
        <f>IF(B2141="","",股指期货基差分析!$N$11)</f>
        <v/>
      </c>
      <c r="H2141" s="6" t="str">
        <f>IF(B2141="","",股指期货基差分析!$L$11)</f>
        <v/>
      </c>
      <c r="I2141" s="10" t="str">
        <f>IF(B2141="","",股指期货基差分析!$D$11)</f>
        <v/>
      </c>
    </row>
    <row r="2142" spans="2:9" ht="15" customHeight="1" x14ac:dyDescent="0.2">
      <c r="B2142" s="7"/>
      <c r="C2142" s="5" t="str">
        <f>IF(B2142="","",[1]!s_dq_close(股指期货基差分析!$E$5,$B2142))</f>
        <v/>
      </c>
      <c r="D2142" s="5" t="str">
        <f>IF(B2142="","",[1]!s_dq_close(股指期货基差分析!$E$6,$B2142))</f>
        <v/>
      </c>
      <c r="E2142" s="5" t="e">
        <f ca="1">RANK(F2142,F:F)+COUNTIF(F$2:F2142,F2142)-1</f>
        <v>#VALUE!</v>
      </c>
      <c r="F2142" s="5" t="str">
        <f t="shared" si="34"/>
        <v/>
      </c>
      <c r="G2142" s="5" t="str">
        <f>IF(B2142="","",股指期货基差分析!$N$11)</f>
        <v/>
      </c>
      <c r="H2142" s="5" t="str">
        <f>IF(B2142="","",股指期货基差分析!$L$11)</f>
        <v/>
      </c>
      <c r="I2142" s="9" t="str">
        <f>IF(B2142="","",股指期货基差分析!$D$11)</f>
        <v/>
      </c>
    </row>
    <row r="2143" spans="2:9" ht="15" customHeight="1" x14ac:dyDescent="0.2">
      <c r="B2143" s="8"/>
      <c r="C2143" s="6" t="str">
        <f>IF(B2143="","",[1]!s_dq_close(股指期货基差分析!$E$5,$B2143))</f>
        <v/>
      </c>
      <c r="D2143" s="6" t="str">
        <f>IF(B2143="","",[1]!s_dq_close(股指期货基差分析!$E$6,$B2143))</f>
        <v/>
      </c>
      <c r="E2143" s="6" t="e">
        <f ca="1">RANK(F2143,F:F)+COUNTIF(F$2:F2143,F2143)-1</f>
        <v>#VALUE!</v>
      </c>
      <c r="F2143" s="6" t="str">
        <f t="shared" si="34"/>
        <v/>
      </c>
      <c r="G2143" s="6" t="str">
        <f>IF(B2143="","",股指期货基差分析!$N$11)</f>
        <v/>
      </c>
      <c r="H2143" s="6" t="str">
        <f>IF(B2143="","",股指期货基差分析!$L$11)</f>
        <v/>
      </c>
      <c r="I2143" s="10" t="str">
        <f>IF(B2143="","",股指期货基差分析!$D$11)</f>
        <v/>
      </c>
    </row>
    <row r="2144" spans="2:9" ht="15" customHeight="1" x14ac:dyDescent="0.2">
      <c r="B2144" s="7"/>
      <c r="C2144" s="5" t="str">
        <f>IF(B2144="","",[1]!s_dq_close(股指期货基差分析!$E$5,$B2144))</f>
        <v/>
      </c>
      <c r="D2144" s="5" t="str">
        <f>IF(B2144="","",[1]!s_dq_close(股指期货基差分析!$E$6,$B2144))</f>
        <v/>
      </c>
      <c r="E2144" s="5" t="e">
        <f ca="1">RANK(F2144,F:F)+COUNTIF(F$2:F2144,F2144)-1</f>
        <v>#VALUE!</v>
      </c>
      <c r="F2144" s="5" t="str">
        <f t="shared" si="34"/>
        <v/>
      </c>
      <c r="G2144" s="5" t="str">
        <f>IF(B2144="","",股指期货基差分析!$N$11)</f>
        <v/>
      </c>
      <c r="H2144" s="5" t="str">
        <f>IF(B2144="","",股指期货基差分析!$L$11)</f>
        <v/>
      </c>
      <c r="I2144" s="9" t="str">
        <f>IF(B2144="","",股指期货基差分析!$D$11)</f>
        <v/>
      </c>
    </row>
    <row r="2145" spans="2:9" ht="15" customHeight="1" x14ac:dyDescent="0.2">
      <c r="B2145" s="8"/>
      <c r="C2145" s="6" t="str">
        <f>IF(B2145="","",[1]!s_dq_close(股指期货基差分析!$E$5,$B2145))</f>
        <v/>
      </c>
      <c r="D2145" s="6" t="str">
        <f>IF(B2145="","",[1]!s_dq_close(股指期货基差分析!$E$6,$B2145))</f>
        <v/>
      </c>
      <c r="E2145" s="6" t="e">
        <f ca="1">RANK(F2145,F:F)+COUNTIF(F$2:F2145,F2145)-1</f>
        <v>#VALUE!</v>
      </c>
      <c r="F2145" s="6" t="str">
        <f t="shared" si="34"/>
        <v/>
      </c>
      <c r="G2145" s="6" t="str">
        <f>IF(B2145="","",股指期货基差分析!$N$11)</f>
        <v/>
      </c>
      <c r="H2145" s="6" t="str">
        <f>IF(B2145="","",股指期货基差分析!$L$11)</f>
        <v/>
      </c>
      <c r="I2145" s="10" t="str">
        <f>IF(B2145="","",股指期货基差分析!$D$11)</f>
        <v/>
      </c>
    </row>
    <row r="2146" spans="2:9" ht="15" customHeight="1" x14ac:dyDescent="0.2">
      <c r="B2146" s="7"/>
      <c r="C2146" s="5" t="str">
        <f>IF(B2146="","",[1]!s_dq_close(股指期货基差分析!$E$5,$B2146))</f>
        <v/>
      </c>
      <c r="D2146" s="5" t="str">
        <f>IF(B2146="","",[1]!s_dq_close(股指期货基差分析!$E$6,$B2146))</f>
        <v/>
      </c>
      <c r="E2146" s="5" t="e">
        <f ca="1">RANK(F2146,F:F)+COUNTIF(F$2:F2146,F2146)-1</f>
        <v>#VALUE!</v>
      </c>
      <c r="F2146" s="5" t="str">
        <f t="shared" si="34"/>
        <v/>
      </c>
      <c r="G2146" s="5" t="str">
        <f>IF(B2146="","",股指期货基差分析!$N$11)</f>
        <v/>
      </c>
      <c r="H2146" s="5" t="str">
        <f>IF(B2146="","",股指期货基差分析!$L$11)</f>
        <v/>
      </c>
      <c r="I2146" s="9" t="str">
        <f>IF(B2146="","",股指期货基差分析!$D$11)</f>
        <v/>
      </c>
    </row>
    <row r="2147" spans="2:9" ht="15" customHeight="1" x14ac:dyDescent="0.2">
      <c r="B2147" s="8"/>
      <c r="C2147" s="6" t="str">
        <f>IF(B2147="","",[1]!s_dq_close(股指期货基差分析!$E$5,$B2147))</f>
        <v/>
      </c>
      <c r="D2147" s="6" t="str">
        <f>IF(B2147="","",[1]!s_dq_close(股指期货基差分析!$E$6,$B2147))</f>
        <v/>
      </c>
      <c r="E2147" s="6" t="e">
        <f ca="1">RANK(F2147,F:F)+COUNTIF(F$2:F2147,F2147)-1</f>
        <v>#VALUE!</v>
      </c>
      <c r="F2147" s="6" t="str">
        <f t="shared" si="34"/>
        <v/>
      </c>
      <c r="G2147" s="6" t="str">
        <f>IF(B2147="","",股指期货基差分析!$N$11)</f>
        <v/>
      </c>
      <c r="H2147" s="6" t="str">
        <f>IF(B2147="","",股指期货基差分析!$L$11)</f>
        <v/>
      </c>
      <c r="I2147" s="10" t="str">
        <f>IF(B2147="","",股指期货基差分析!$D$11)</f>
        <v/>
      </c>
    </row>
    <row r="2148" spans="2:9" ht="15" customHeight="1" x14ac:dyDescent="0.2">
      <c r="B2148" s="7"/>
      <c r="C2148" s="5" t="str">
        <f>IF(B2148="","",[1]!s_dq_close(股指期货基差分析!$E$5,$B2148))</f>
        <v/>
      </c>
      <c r="D2148" s="5" t="str">
        <f>IF(B2148="","",[1]!s_dq_close(股指期货基差分析!$E$6,$B2148))</f>
        <v/>
      </c>
      <c r="E2148" s="5" t="e">
        <f ca="1">RANK(F2148,F:F)+COUNTIF(F$2:F2148,F2148)-1</f>
        <v>#VALUE!</v>
      </c>
      <c r="F2148" s="5" t="str">
        <f t="shared" si="34"/>
        <v/>
      </c>
      <c r="G2148" s="5" t="str">
        <f>IF(B2148="","",股指期货基差分析!$N$11)</f>
        <v/>
      </c>
      <c r="H2148" s="5" t="str">
        <f>IF(B2148="","",股指期货基差分析!$L$11)</f>
        <v/>
      </c>
      <c r="I2148" s="9" t="str">
        <f>IF(B2148="","",股指期货基差分析!$D$11)</f>
        <v/>
      </c>
    </row>
    <row r="2149" spans="2:9" ht="15" customHeight="1" x14ac:dyDescent="0.2">
      <c r="B2149" s="8"/>
      <c r="C2149" s="6" t="str">
        <f>IF(B2149="","",[1]!s_dq_close(股指期货基差分析!$E$5,$B2149))</f>
        <v/>
      </c>
      <c r="D2149" s="6" t="str">
        <f>IF(B2149="","",[1]!s_dq_close(股指期货基差分析!$E$6,$B2149))</f>
        <v/>
      </c>
      <c r="E2149" s="6" t="e">
        <f ca="1">RANK(F2149,F:F)+COUNTIF(F$2:F2149,F2149)-1</f>
        <v>#VALUE!</v>
      </c>
      <c r="F2149" s="6" t="str">
        <f t="shared" si="34"/>
        <v/>
      </c>
      <c r="G2149" s="6" t="str">
        <f>IF(B2149="","",股指期货基差分析!$N$11)</f>
        <v/>
      </c>
      <c r="H2149" s="6" t="str">
        <f>IF(B2149="","",股指期货基差分析!$L$11)</f>
        <v/>
      </c>
      <c r="I2149" s="10" t="str">
        <f>IF(B2149="","",股指期货基差分析!$D$11)</f>
        <v/>
      </c>
    </row>
    <row r="2150" spans="2:9" ht="15" customHeight="1" x14ac:dyDescent="0.2">
      <c r="B2150" s="7"/>
      <c r="C2150" s="5" t="str">
        <f>IF(B2150="","",[1]!s_dq_close(股指期货基差分析!$E$5,$B2150))</f>
        <v/>
      </c>
      <c r="D2150" s="5" t="str">
        <f>IF(B2150="","",[1]!s_dq_close(股指期货基差分析!$E$6,$B2150))</f>
        <v/>
      </c>
      <c r="E2150" s="5" t="e">
        <f ca="1">RANK(F2150,F:F)+COUNTIF(F$2:F2150,F2150)-1</f>
        <v>#VALUE!</v>
      </c>
      <c r="F2150" s="5" t="str">
        <f t="shared" si="34"/>
        <v/>
      </c>
      <c r="G2150" s="5" t="str">
        <f>IF(B2150="","",股指期货基差分析!$N$11)</f>
        <v/>
      </c>
      <c r="H2150" s="5" t="str">
        <f>IF(B2150="","",股指期货基差分析!$L$11)</f>
        <v/>
      </c>
      <c r="I2150" s="9" t="str">
        <f>IF(B2150="","",股指期货基差分析!$D$11)</f>
        <v/>
      </c>
    </row>
    <row r="2151" spans="2:9" ht="15" customHeight="1" x14ac:dyDescent="0.2">
      <c r="B2151" s="8"/>
      <c r="C2151" s="6" t="str">
        <f>IF(B2151="","",[1]!s_dq_close(股指期货基差分析!$E$5,$B2151))</f>
        <v/>
      </c>
      <c r="D2151" s="6" t="str">
        <f>IF(B2151="","",[1]!s_dq_close(股指期货基差分析!$E$6,$B2151))</f>
        <v/>
      </c>
      <c r="E2151" s="6" t="e">
        <f ca="1">RANK(F2151,F:F)+COUNTIF(F$2:F2151,F2151)-1</f>
        <v>#VALUE!</v>
      </c>
      <c r="F2151" s="6" t="str">
        <f t="shared" si="34"/>
        <v/>
      </c>
      <c r="G2151" s="6" t="str">
        <f>IF(B2151="","",股指期货基差分析!$N$11)</f>
        <v/>
      </c>
      <c r="H2151" s="6" t="str">
        <f>IF(B2151="","",股指期货基差分析!$L$11)</f>
        <v/>
      </c>
      <c r="I2151" s="10" t="str">
        <f>IF(B2151="","",股指期货基差分析!$D$11)</f>
        <v/>
      </c>
    </row>
    <row r="2152" spans="2:9" ht="15" customHeight="1" x14ac:dyDescent="0.2">
      <c r="B2152" s="7"/>
      <c r="C2152" s="5" t="str">
        <f>IF(B2152="","",[1]!s_dq_close(股指期货基差分析!$E$5,$B2152))</f>
        <v/>
      </c>
      <c r="D2152" s="5" t="str">
        <f>IF(B2152="","",[1]!s_dq_close(股指期货基差分析!$E$6,$B2152))</f>
        <v/>
      </c>
      <c r="E2152" s="5" t="e">
        <f ca="1">RANK(F2152,F:F)+COUNTIF(F$2:F2152,F2152)-1</f>
        <v>#VALUE!</v>
      </c>
      <c r="F2152" s="5" t="str">
        <f t="shared" si="34"/>
        <v/>
      </c>
      <c r="G2152" s="5" t="str">
        <f>IF(B2152="","",股指期货基差分析!$N$11)</f>
        <v/>
      </c>
      <c r="H2152" s="5" t="str">
        <f>IF(B2152="","",股指期货基差分析!$L$11)</f>
        <v/>
      </c>
      <c r="I2152" s="9" t="str">
        <f>IF(B2152="","",股指期货基差分析!$D$11)</f>
        <v/>
      </c>
    </row>
    <row r="2153" spans="2:9" ht="15" customHeight="1" x14ac:dyDescent="0.2">
      <c r="B2153" s="8"/>
      <c r="C2153" s="6" t="str">
        <f>IF(B2153="","",[1]!s_dq_close(股指期货基差分析!$E$5,$B2153))</f>
        <v/>
      </c>
      <c r="D2153" s="6" t="str">
        <f>IF(B2153="","",[1]!s_dq_close(股指期货基差分析!$E$6,$B2153))</f>
        <v/>
      </c>
      <c r="E2153" s="6" t="e">
        <f ca="1">RANK(F2153,F:F)+COUNTIF(F$2:F2153,F2153)-1</f>
        <v>#VALUE!</v>
      </c>
      <c r="F2153" s="6" t="str">
        <f t="shared" si="34"/>
        <v/>
      </c>
      <c r="G2153" s="6" t="str">
        <f>IF(B2153="","",股指期货基差分析!$N$11)</f>
        <v/>
      </c>
      <c r="H2153" s="6" t="str">
        <f>IF(B2153="","",股指期货基差分析!$L$11)</f>
        <v/>
      </c>
      <c r="I2153" s="10" t="str">
        <f>IF(B2153="","",股指期货基差分析!$D$11)</f>
        <v/>
      </c>
    </row>
    <row r="2154" spans="2:9" ht="15" customHeight="1" x14ac:dyDescent="0.2">
      <c r="B2154" s="7"/>
      <c r="C2154" s="5" t="str">
        <f>IF(B2154="","",[1]!s_dq_close(股指期货基差分析!$E$5,$B2154))</f>
        <v/>
      </c>
      <c r="D2154" s="5" t="str">
        <f>IF(B2154="","",[1]!s_dq_close(股指期货基差分析!$E$6,$B2154))</f>
        <v/>
      </c>
      <c r="E2154" s="5" t="e">
        <f ca="1">RANK(F2154,F:F)+COUNTIF(F$2:F2154,F2154)-1</f>
        <v>#VALUE!</v>
      </c>
      <c r="F2154" s="5" t="str">
        <f t="shared" si="34"/>
        <v/>
      </c>
      <c r="G2154" s="5" t="str">
        <f>IF(B2154="","",股指期货基差分析!$N$11)</f>
        <v/>
      </c>
      <c r="H2154" s="5" t="str">
        <f>IF(B2154="","",股指期货基差分析!$L$11)</f>
        <v/>
      </c>
      <c r="I2154" s="9" t="str">
        <f>IF(B2154="","",股指期货基差分析!$D$11)</f>
        <v/>
      </c>
    </row>
    <row r="2155" spans="2:9" ht="15" customHeight="1" x14ac:dyDescent="0.2">
      <c r="B2155" s="8"/>
      <c r="C2155" s="6" t="str">
        <f>IF(B2155="","",[1]!s_dq_close(股指期货基差分析!$E$5,$B2155))</f>
        <v/>
      </c>
      <c r="D2155" s="6" t="str">
        <f>IF(B2155="","",[1]!s_dq_close(股指期货基差分析!$E$6,$B2155))</f>
        <v/>
      </c>
      <c r="E2155" s="6" t="e">
        <f ca="1">RANK(F2155,F:F)+COUNTIF(F$2:F2155,F2155)-1</f>
        <v>#VALUE!</v>
      </c>
      <c r="F2155" s="6" t="str">
        <f t="shared" si="34"/>
        <v/>
      </c>
      <c r="G2155" s="6" t="str">
        <f>IF(B2155="","",股指期货基差分析!$N$11)</f>
        <v/>
      </c>
      <c r="H2155" s="6" t="str">
        <f>IF(B2155="","",股指期货基差分析!$L$11)</f>
        <v/>
      </c>
      <c r="I2155" s="10" t="str">
        <f>IF(B2155="","",股指期货基差分析!$D$11)</f>
        <v/>
      </c>
    </row>
    <row r="2156" spans="2:9" ht="15" customHeight="1" x14ac:dyDescent="0.2">
      <c r="B2156" s="7"/>
      <c r="C2156" s="5" t="str">
        <f>IF(B2156="","",[1]!s_dq_close(股指期货基差分析!$E$5,$B2156))</f>
        <v/>
      </c>
      <c r="D2156" s="5" t="str">
        <f>IF(B2156="","",[1]!s_dq_close(股指期货基差分析!$E$6,$B2156))</f>
        <v/>
      </c>
      <c r="E2156" s="5" t="e">
        <f ca="1">RANK(F2156,F:F)+COUNTIF(F$2:F2156,F2156)-1</f>
        <v>#VALUE!</v>
      </c>
      <c r="F2156" s="5" t="str">
        <f t="shared" si="34"/>
        <v/>
      </c>
      <c r="G2156" s="5" t="str">
        <f>IF(B2156="","",股指期货基差分析!$N$11)</f>
        <v/>
      </c>
      <c r="H2156" s="5" t="str">
        <f>IF(B2156="","",股指期货基差分析!$L$11)</f>
        <v/>
      </c>
      <c r="I2156" s="9" t="str">
        <f>IF(B2156="","",股指期货基差分析!$D$11)</f>
        <v/>
      </c>
    </row>
    <row r="2157" spans="2:9" ht="15" customHeight="1" x14ac:dyDescent="0.2">
      <c r="B2157" s="8"/>
      <c r="C2157" s="6" t="str">
        <f>IF(B2157="","",[1]!s_dq_close(股指期货基差分析!$E$5,$B2157))</f>
        <v/>
      </c>
      <c r="D2157" s="6" t="str">
        <f>IF(B2157="","",[1]!s_dq_close(股指期货基差分析!$E$6,$B2157))</f>
        <v/>
      </c>
      <c r="E2157" s="6" t="e">
        <f ca="1">RANK(F2157,F:F)+COUNTIF(F$2:F2157,F2157)-1</f>
        <v>#VALUE!</v>
      </c>
      <c r="F2157" s="6" t="str">
        <f t="shared" si="34"/>
        <v/>
      </c>
      <c r="G2157" s="6" t="str">
        <f>IF(B2157="","",股指期货基差分析!$N$11)</f>
        <v/>
      </c>
      <c r="H2157" s="6" t="str">
        <f>IF(B2157="","",股指期货基差分析!$L$11)</f>
        <v/>
      </c>
      <c r="I2157" s="10" t="str">
        <f>IF(B2157="","",股指期货基差分析!$D$11)</f>
        <v/>
      </c>
    </row>
    <row r="2158" spans="2:9" ht="15" customHeight="1" x14ac:dyDescent="0.2">
      <c r="B2158" s="7"/>
      <c r="C2158" s="5" t="str">
        <f>IF(B2158="","",[1]!s_dq_close(股指期货基差分析!$E$5,$B2158))</f>
        <v/>
      </c>
      <c r="D2158" s="5" t="str">
        <f>IF(B2158="","",[1]!s_dq_close(股指期货基差分析!$E$6,$B2158))</f>
        <v/>
      </c>
      <c r="E2158" s="5" t="e">
        <f ca="1">RANK(F2158,F:F)+COUNTIF(F$2:F2158,F2158)-1</f>
        <v>#VALUE!</v>
      </c>
      <c r="F2158" s="5" t="str">
        <f t="shared" si="34"/>
        <v/>
      </c>
      <c r="G2158" s="5" t="str">
        <f>IF(B2158="","",股指期货基差分析!$N$11)</f>
        <v/>
      </c>
      <c r="H2158" s="5" t="str">
        <f>IF(B2158="","",股指期货基差分析!$L$11)</f>
        <v/>
      </c>
      <c r="I2158" s="9" t="str">
        <f>IF(B2158="","",股指期货基差分析!$D$11)</f>
        <v/>
      </c>
    </row>
    <row r="2159" spans="2:9" ht="15" customHeight="1" x14ac:dyDescent="0.2">
      <c r="B2159" s="8"/>
      <c r="C2159" s="6" t="str">
        <f>IF(B2159="","",[1]!s_dq_close(股指期货基差分析!$E$5,$B2159))</f>
        <v/>
      </c>
      <c r="D2159" s="6" t="str">
        <f>IF(B2159="","",[1]!s_dq_close(股指期货基差分析!$E$6,$B2159))</f>
        <v/>
      </c>
      <c r="E2159" s="6" t="e">
        <f ca="1">RANK(F2159,F:F)+COUNTIF(F$2:F2159,F2159)-1</f>
        <v>#VALUE!</v>
      </c>
      <c r="F2159" s="6" t="str">
        <f t="shared" si="34"/>
        <v/>
      </c>
      <c r="G2159" s="6" t="str">
        <f>IF(B2159="","",股指期货基差分析!$N$11)</f>
        <v/>
      </c>
      <c r="H2159" s="6" t="str">
        <f>IF(B2159="","",股指期货基差分析!$L$11)</f>
        <v/>
      </c>
      <c r="I2159" s="10" t="str">
        <f>IF(B2159="","",股指期货基差分析!$D$11)</f>
        <v/>
      </c>
    </row>
    <row r="2160" spans="2:9" ht="15" customHeight="1" x14ac:dyDescent="0.2">
      <c r="B2160" s="7"/>
      <c r="C2160" s="5" t="str">
        <f>IF(B2160="","",[1]!s_dq_close(股指期货基差分析!$E$5,$B2160))</f>
        <v/>
      </c>
      <c r="D2160" s="5" t="str">
        <f>IF(B2160="","",[1]!s_dq_close(股指期货基差分析!$E$6,$B2160))</f>
        <v/>
      </c>
      <c r="E2160" s="5" t="e">
        <f ca="1">RANK(F2160,F:F)+COUNTIF(F$2:F2160,F2160)-1</f>
        <v>#VALUE!</v>
      </c>
      <c r="F2160" s="5" t="str">
        <f t="shared" si="34"/>
        <v/>
      </c>
      <c r="G2160" s="5" t="str">
        <f>IF(B2160="","",股指期货基差分析!$N$11)</f>
        <v/>
      </c>
      <c r="H2160" s="5" t="str">
        <f>IF(B2160="","",股指期货基差分析!$L$11)</f>
        <v/>
      </c>
      <c r="I2160" s="9" t="str">
        <f>IF(B2160="","",股指期货基差分析!$D$11)</f>
        <v/>
      </c>
    </row>
    <row r="2161" spans="2:9" ht="15" customHeight="1" x14ac:dyDescent="0.2">
      <c r="B2161" s="8"/>
      <c r="C2161" s="6" t="str">
        <f>IF(B2161="","",[1]!s_dq_close(股指期货基差分析!$E$5,$B2161))</f>
        <v/>
      </c>
      <c r="D2161" s="6" t="str">
        <f>IF(B2161="","",[1]!s_dq_close(股指期货基差分析!$E$6,$B2161))</f>
        <v/>
      </c>
      <c r="E2161" s="6" t="e">
        <f ca="1">RANK(F2161,F:F)+COUNTIF(F$2:F2161,F2161)-1</f>
        <v>#VALUE!</v>
      </c>
      <c r="F2161" s="6" t="str">
        <f t="shared" si="34"/>
        <v/>
      </c>
      <c r="G2161" s="6" t="str">
        <f>IF(B2161="","",股指期货基差分析!$N$11)</f>
        <v/>
      </c>
      <c r="H2161" s="6" t="str">
        <f>IF(B2161="","",股指期货基差分析!$L$11)</f>
        <v/>
      </c>
      <c r="I2161" s="10" t="str">
        <f>IF(B2161="","",股指期货基差分析!$D$11)</f>
        <v/>
      </c>
    </row>
    <row r="2162" spans="2:9" ht="15" customHeight="1" x14ac:dyDescent="0.2">
      <c r="B2162" s="7"/>
      <c r="C2162" s="5" t="str">
        <f>IF(B2162="","",[1]!s_dq_close(股指期货基差分析!$E$5,$B2162))</f>
        <v/>
      </c>
      <c r="D2162" s="5" t="str">
        <f>IF(B2162="","",[1]!s_dq_close(股指期货基差分析!$E$6,$B2162))</f>
        <v/>
      </c>
      <c r="E2162" s="5" t="e">
        <f ca="1">RANK(F2162,F:F)+COUNTIF(F$2:F2162,F2162)-1</f>
        <v>#VALUE!</v>
      </c>
      <c r="F2162" s="5" t="str">
        <f t="shared" si="34"/>
        <v/>
      </c>
      <c r="G2162" s="5" t="str">
        <f>IF(B2162="","",股指期货基差分析!$N$11)</f>
        <v/>
      </c>
      <c r="H2162" s="5" t="str">
        <f>IF(B2162="","",股指期货基差分析!$L$11)</f>
        <v/>
      </c>
      <c r="I2162" s="9" t="str">
        <f>IF(B2162="","",股指期货基差分析!$D$11)</f>
        <v/>
      </c>
    </row>
    <row r="2163" spans="2:9" ht="15" customHeight="1" x14ac:dyDescent="0.2">
      <c r="B2163" s="8"/>
      <c r="C2163" s="6" t="str">
        <f>IF(B2163="","",[1]!s_dq_close(股指期货基差分析!$E$5,$B2163))</f>
        <v/>
      </c>
      <c r="D2163" s="6" t="str">
        <f>IF(B2163="","",[1]!s_dq_close(股指期货基差分析!$E$6,$B2163))</f>
        <v/>
      </c>
      <c r="E2163" s="6" t="e">
        <f ca="1">RANK(F2163,F:F)+COUNTIF(F$2:F2163,F2163)-1</f>
        <v>#VALUE!</v>
      </c>
      <c r="F2163" s="6" t="str">
        <f t="shared" si="34"/>
        <v/>
      </c>
      <c r="G2163" s="6" t="str">
        <f>IF(B2163="","",股指期货基差分析!$N$11)</f>
        <v/>
      </c>
      <c r="H2163" s="6" t="str">
        <f>IF(B2163="","",股指期货基差分析!$L$11)</f>
        <v/>
      </c>
      <c r="I2163" s="10" t="str">
        <f>IF(B2163="","",股指期货基差分析!$D$11)</f>
        <v/>
      </c>
    </row>
    <row r="2164" spans="2:9" ht="15" customHeight="1" x14ac:dyDescent="0.2">
      <c r="B2164" s="7"/>
      <c r="C2164" s="5" t="str">
        <f>IF(B2164="","",[1]!s_dq_close(股指期货基差分析!$E$5,$B2164))</f>
        <v/>
      </c>
      <c r="D2164" s="5" t="str">
        <f>IF(B2164="","",[1]!s_dq_close(股指期货基差分析!$E$6,$B2164))</f>
        <v/>
      </c>
      <c r="E2164" s="5" t="e">
        <f ca="1">RANK(F2164,F:F)+COUNTIF(F$2:F2164,F2164)-1</f>
        <v>#VALUE!</v>
      </c>
      <c r="F2164" s="5" t="str">
        <f t="shared" si="34"/>
        <v/>
      </c>
      <c r="G2164" s="5" t="str">
        <f>IF(B2164="","",股指期货基差分析!$N$11)</f>
        <v/>
      </c>
      <c r="H2164" s="5" t="str">
        <f>IF(B2164="","",股指期货基差分析!$L$11)</f>
        <v/>
      </c>
      <c r="I2164" s="9" t="str">
        <f>IF(B2164="","",股指期货基差分析!$D$11)</f>
        <v/>
      </c>
    </row>
    <row r="2165" spans="2:9" ht="15" customHeight="1" x14ac:dyDescent="0.2">
      <c r="B2165" s="8"/>
      <c r="C2165" s="6" t="str">
        <f>IF(B2165="","",[1]!s_dq_close(股指期货基差分析!$E$5,$B2165))</f>
        <v/>
      </c>
      <c r="D2165" s="6" t="str">
        <f>IF(B2165="","",[1]!s_dq_close(股指期货基差分析!$E$6,$B2165))</f>
        <v/>
      </c>
      <c r="E2165" s="6" t="e">
        <f ca="1">RANK(F2165,F:F)+COUNTIF(F$2:F2165,F2165)-1</f>
        <v>#VALUE!</v>
      </c>
      <c r="F2165" s="6" t="str">
        <f t="shared" si="34"/>
        <v/>
      </c>
      <c r="G2165" s="6" t="str">
        <f>IF(B2165="","",股指期货基差分析!$N$11)</f>
        <v/>
      </c>
      <c r="H2165" s="6" t="str">
        <f>IF(B2165="","",股指期货基差分析!$L$11)</f>
        <v/>
      </c>
      <c r="I2165" s="10" t="str">
        <f>IF(B2165="","",股指期货基差分析!$D$11)</f>
        <v/>
      </c>
    </row>
    <row r="2166" spans="2:9" ht="15" customHeight="1" x14ac:dyDescent="0.2">
      <c r="B2166" s="7"/>
      <c r="C2166" s="5" t="str">
        <f>IF(B2166="","",[1]!s_dq_close(股指期货基差分析!$E$5,$B2166))</f>
        <v/>
      </c>
      <c r="D2166" s="5" t="str">
        <f>IF(B2166="","",[1]!s_dq_close(股指期货基差分析!$E$6,$B2166))</f>
        <v/>
      </c>
      <c r="E2166" s="5" t="e">
        <f ca="1">RANK(F2166,F:F)+COUNTIF(F$2:F2166,F2166)-1</f>
        <v>#VALUE!</v>
      </c>
      <c r="F2166" s="5" t="str">
        <f t="shared" si="34"/>
        <v/>
      </c>
      <c r="G2166" s="5" t="str">
        <f>IF(B2166="","",股指期货基差分析!$N$11)</f>
        <v/>
      </c>
      <c r="H2166" s="5" t="str">
        <f>IF(B2166="","",股指期货基差分析!$L$11)</f>
        <v/>
      </c>
      <c r="I2166" s="9" t="str">
        <f>IF(B2166="","",股指期货基差分析!$D$11)</f>
        <v/>
      </c>
    </row>
    <row r="2167" spans="2:9" ht="15" customHeight="1" x14ac:dyDescent="0.2">
      <c r="B2167" s="8"/>
      <c r="C2167" s="6" t="str">
        <f>IF(B2167="","",[1]!s_dq_close(股指期货基差分析!$E$5,$B2167))</f>
        <v/>
      </c>
      <c r="D2167" s="6" t="str">
        <f>IF(B2167="","",[1]!s_dq_close(股指期货基差分析!$E$6,$B2167))</f>
        <v/>
      </c>
      <c r="E2167" s="6" t="e">
        <f ca="1">RANK(F2167,F:F)+COUNTIF(F$2:F2167,F2167)-1</f>
        <v>#VALUE!</v>
      </c>
      <c r="F2167" s="6" t="str">
        <f t="shared" si="34"/>
        <v/>
      </c>
      <c r="G2167" s="6" t="str">
        <f>IF(B2167="","",股指期货基差分析!$N$11)</f>
        <v/>
      </c>
      <c r="H2167" s="6" t="str">
        <f>IF(B2167="","",股指期货基差分析!$L$11)</f>
        <v/>
      </c>
      <c r="I2167" s="10" t="str">
        <f>IF(B2167="","",股指期货基差分析!$D$11)</f>
        <v/>
      </c>
    </row>
    <row r="2168" spans="2:9" ht="15" customHeight="1" x14ac:dyDescent="0.2">
      <c r="B2168" s="7"/>
      <c r="C2168" s="5" t="str">
        <f>IF(B2168="","",[1]!s_dq_close(股指期货基差分析!$E$5,$B2168))</f>
        <v/>
      </c>
      <c r="D2168" s="5" t="str">
        <f>IF(B2168="","",[1]!s_dq_close(股指期货基差分析!$E$6,$B2168))</f>
        <v/>
      </c>
      <c r="E2168" s="5" t="e">
        <f ca="1">RANK(F2168,F:F)+COUNTIF(F$2:F2168,F2168)-1</f>
        <v>#VALUE!</v>
      </c>
      <c r="F2168" s="5" t="str">
        <f t="shared" si="34"/>
        <v/>
      </c>
      <c r="G2168" s="5" t="str">
        <f>IF(B2168="","",股指期货基差分析!$N$11)</f>
        <v/>
      </c>
      <c r="H2168" s="5" t="str">
        <f>IF(B2168="","",股指期货基差分析!$L$11)</f>
        <v/>
      </c>
      <c r="I2168" s="9" t="str">
        <f>IF(B2168="","",股指期货基差分析!$D$11)</f>
        <v/>
      </c>
    </row>
    <row r="2169" spans="2:9" ht="15" customHeight="1" x14ac:dyDescent="0.2">
      <c r="B2169" s="8"/>
      <c r="C2169" s="6" t="str">
        <f>IF(B2169="","",[1]!s_dq_close(股指期货基差分析!$E$5,$B2169))</f>
        <v/>
      </c>
      <c r="D2169" s="6" t="str">
        <f>IF(B2169="","",[1]!s_dq_close(股指期货基差分析!$E$6,$B2169))</f>
        <v/>
      </c>
      <c r="E2169" s="6" t="e">
        <f ca="1">RANK(F2169,F:F)+COUNTIF(F$2:F2169,F2169)-1</f>
        <v>#VALUE!</v>
      </c>
      <c r="F2169" s="6" t="str">
        <f t="shared" si="34"/>
        <v/>
      </c>
      <c r="G2169" s="6" t="str">
        <f>IF(B2169="","",股指期货基差分析!$N$11)</f>
        <v/>
      </c>
      <c r="H2169" s="6" t="str">
        <f>IF(B2169="","",股指期货基差分析!$L$11)</f>
        <v/>
      </c>
      <c r="I2169" s="10" t="str">
        <f>IF(B2169="","",股指期货基差分析!$D$11)</f>
        <v/>
      </c>
    </row>
    <row r="2170" spans="2:9" ht="15" customHeight="1" x14ac:dyDescent="0.2">
      <c r="B2170" s="7"/>
      <c r="C2170" s="5" t="str">
        <f>IF(B2170="","",[1]!s_dq_close(股指期货基差分析!$E$5,$B2170))</f>
        <v/>
      </c>
      <c r="D2170" s="5" t="str">
        <f>IF(B2170="","",[1]!s_dq_close(股指期货基差分析!$E$6,$B2170))</f>
        <v/>
      </c>
      <c r="E2170" s="5" t="e">
        <f ca="1">RANK(F2170,F:F)+COUNTIF(F$2:F2170,F2170)-1</f>
        <v>#VALUE!</v>
      </c>
      <c r="F2170" s="5" t="str">
        <f t="shared" si="34"/>
        <v/>
      </c>
      <c r="G2170" s="5" t="str">
        <f>IF(B2170="","",股指期货基差分析!$N$11)</f>
        <v/>
      </c>
      <c r="H2170" s="5" t="str">
        <f>IF(B2170="","",股指期货基差分析!$L$11)</f>
        <v/>
      </c>
      <c r="I2170" s="9" t="str">
        <f>IF(B2170="","",股指期货基差分析!$D$11)</f>
        <v/>
      </c>
    </row>
    <row r="2171" spans="2:9" ht="15" customHeight="1" x14ac:dyDescent="0.2">
      <c r="B2171" s="8"/>
      <c r="C2171" s="6" t="str">
        <f>IF(B2171="","",[1]!s_dq_close(股指期货基差分析!$E$5,$B2171))</f>
        <v/>
      </c>
      <c r="D2171" s="6" t="str">
        <f>IF(B2171="","",[1]!s_dq_close(股指期货基差分析!$E$6,$B2171))</f>
        <v/>
      </c>
      <c r="E2171" s="6" t="e">
        <f ca="1">RANK(F2171,F:F)+COUNTIF(F$2:F2171,F2171)-1</f>
        <v>#VALUE!</v>
      </c>
      <c r="F2171" s="6" t="str">
        <f t="shared" si="34"/>
        <v/>
      </c>
      <c r="G2171" s="6" t="str">
        <f>IF(B2171="","",股指期货基差分析!$N$11)</f>
        <v/>
      </c>
      <c r="H2171" s="6" t="str">
        <f>IF(B2171="","",股指期货基差分析!$L$11)</f>
        <v/>
      </c>
      <c r="I2171" s="10" t="str">
        <f>IF(B2171="","",股指期货基差分析!$D$11)</f>
        <v/>
      </c>
    </row>
    <row r="2172" spans="2:9" ht="15" customHeight="1" x14ac:dyDescent="0.2">
      <c r="B2172" s="7"/>
      <c r="C2172" s="5" t="str">
        <f>IF(B2172="","",[1]!s_dq_close(股指期货基差分析!$E$5,$B2172))</f>
        <v/>
      </c>
      <c r="D2172" s="5" t="str">
        <f>IF(B2172="","",[1]!s_dq_close(股指期货基差分析!$E$6,$B2172))</f>
        <v/>
      </c>
      <c r="E2172" s="5" t="e">
        <f ca="1">RANK(F2172,F:F)+COUNTIF(F$2:F2172,F2172)-1</f>
        <v>#VALUE!</v>
      </c>
      <c r="F2172" s="5" t="str">
        <f t="shared" si="34"/>
        <v/>
      </c>
      <c r="G2172" s="5" t="str">
        <f>IF(B2172="","",股指期货基差分析!$N$11)</f>
        <v/>
      </c>
      <c r="H2172" s="5" t="str">
        <f>IF(B2172="","",股指期货基差分析!$L$11)</f>
        <v/>
      </c>
      <c r="I2172" s="9" t="str">
        <f>IF(B2172="","",股指期货基差分析!$D$11)</f>
        <v/>
      </c>
    </row>
    <row r="2173" spans="2:9" ht="15" customHeight="1" x14ac:dyDescent="0.2">
      <c r="B2173" s="8"/>
      <c r="C2173" s="6" t="str">
        <f>IF(B2173="","",[1]!s_dq_close(股指期货基差分析!$E$5,$B2173))</f>
        <v/>
      </c>
      <c r="D2173" s="6" t="str">
        <f>IF(B2173="","",[1]!s_dq_close(股指期货基差分析!$E$6,$B2173))</f>
        <v/>
      </c>
      <c r="E2173" s="6" t="e">
        <f ca="1">RANK(F2173,F:F)+COUNTIF(F$2:F2173,F2173)-1</f>
        <v>#VALUE!</v>
      </c>
      <c r="F2173" s="6" t="str">
        <f t="shared" si="34"/>
        <v/>
      </c>
      <c r="G2173" s="6" t="str">
        <f>IF(B2173="","",股指期货基差分析!$N$11)</f>
        <v/>
      </c>
      <c r="H2173" s="6" t="str">
        <f>IF(B2173="","",股指期货基差分析!$L$11)</f>
        <v/>
      </c>
      <c r="I2173" s="10" t="str">
        <f>IF(B2173="","",股指期货基差分析!$D$11)</f>
        <v/>
      </c>
    </row>
    <row r="2174" spans="2:9" ht="15" customHeight="1" x14ac:dyDescent="0.2">
      <c r="B2174" s="7"/>
      <c r="C2174" s="5" t="str">
        <f>IF(B2174="","",[1]!s_dq_close(股指期货基差分析!$E$5,$B2174))</f>
        <v/>
      </c>
      <c r="D2174" s="5" t="str">
        <f>IF(B2174="","",[1]!s_dq_close(股指期货基差分析!$E$6,$B2174))</f>
        <v/>
      </c>
      <c r="E2174" s="5" t="e">
        <f ca="1">RANK(F2174,F:F)+COUNTIF(F$2:F2174,F2174)-1</f>
        <v>#VALUE!</v>
      </c>
      <c r="F2174" s="5" t="str">
        <f t="shared" si="34"/>
        <v/>
      </c>
      <c r="G2174" s="5" t="str">
        <f>IF(B2174="","",股指期货基差分析!$N$11)</f>
        <v/>
      </c>
      <c r="H2174" s="5" t="str">
        <f>IF(B2174="","",股指期货基差分析!$L$11)</f>
        <v/>
      </c>
      <c r="I2174" s="9" t="str">
        <f>IF(B2174="","",股指期货基差分析!$D$11)</f>
        <v/>
      </c>
    </row>
    <row r="2175" spans="2:9" ht="15" customHeight="1" x14ac:dyDescent="0.2">
      <c r="B2175" s="8"/>
      <c r="C2175" s="6" t="str">
        <f>IF(B2175="","",[1]!s_dq_close(股指期货基差分析!$E$5,$B2175))</f>
        <v/>
      </c>
      <c r="D2175" s="6" t="str">
        <f>IF(B2175="","",[1]!s_dq_close(股指期货基差分析!$E$6,$B2175))</f>
        <v/>
      </c>
      <c r="E2175" s="6" t="e">
        <f ca="1">RANK(F2175,F:F)+COUNTIF(F$2:F2175,F2175)-1</f>
        <v>#VALUE!</v>
      </c>
      <c r="F2175" s="6" t="str">
        <f t="shared" si="34"/>
        <v/>
      </c>
      <c r="G2175" s="6" t="str">
        <f>IF(B2175="","",股指期货基差分析!$N$11)</f>
        <v/>
      </c>
      <c r="H2175" s="6" t="str">
        <f>IF(B2175="","",股指期货基差分析!$L$11)</f>
        <v/>
      </c>
      <c r="I2175" s="10" t="str">
        <f>IF(B2175="","",股指期货基差分析!$D$11)</f>
        <v/>
      </c>
    </row>
    <row r="2176" spans="2:9" ht="15" customHeight="1" x14ac:dyDescent="0.2">
      <c r="B2176" s="7"/>
      <c r="C2176" s="5" t="str">
        <f>IF(B2176="","",[1]!s_dq_close(股指期货基差分析!$E$5,$B2176))</f>
        <v/>
      </c>
      <c r="D2176" s="5" t="str">
        <f>IF(B2176="","",[1]!s_dq_close(股指期货基差分析!$E$6,$B2176))</f>
        <v/>
      </c>
      <c r="E2176" s="5" t="e">
        <f ca="1">RANK(F2176,F:F)+COUNTIF(F$2:F2176,F2176)-1</f>
        <v>#VALUE!</v>
      </c>
      <c r="F2176" s="5" t="str">
        <f t="shared" si="34"/>
        <v/>
      </c>
      <c r="G2176" s="5" t="str">
        <f>IF(B2176="","",股指期货基差分析!$N$11)</f>
        <v/>
      </c>
      <c r="H2176" s="5" t="str">
        <f>IF(B2176="","",股指期货基差分析!$L$11)</f>
        <v/>
      </c>
      <c r="I2176" s="9" t="str">
        <f>IF(B2176="","",股指期货基差分析!$D$11)</f>
        <v/>
      </c>
    </row>
    <row r="2177" spans="2:9" ht="15" customHeight="1" x14ac:dyDescent="0.2">
      <c r="B2177" s="8"/>
      <c r="C2177" s="6" t="str">
        <f>IF(B2177="","",[1]!s_dq_close(股指期货基差分析!$E$5,$B2177))</f>
        <v/>
      </c>
      <c r="D2177" s="6" t="str">
        <f>IF(B2177="","",[1]!s_dq_close(股指期货基差分析!$E$6,$B2177))</f>
        <v/>
      </c>
      <c r="E2177" s="6" t="e">
        <f ca="1">RANK(F2177,F:F)+COUNTIF(F$2:F2177,F2177)-1</f>
        <v>#VALUE!</v>
      </c>
      <c r="F2177" s="6" t="str">
        <f t="shared" si="34"/>
        <v/>
      </c>
      <c r="G2177" s="6" t="str">
        <f>IF(B2177="","",股指期货基差分析!$N$11)</f>
        <v/>
      </c>
      <c r="H2177" s="6" t="str">
        <f>IF(B2177="","",股指期货基差分析!$L$11)</f>
        <v/>
      </c>
      <c r="I2177" s="10" t="str">
        <f>IF(B2177="","",股指期货基差分析!$D$11)</f>
        <v/>
      </c>
    </row>
    <row r="2178" spans="2:9" ht="15" customHeight="1" x14ac:dyDescent="0.2">
      <c r="B2178" s="7"/>
      <c r="C2178" s="5" t="str">
        <f>IF(B2178="","",[1]!s_dq_close(股指期货基差分析!$E$5,$B2178))</f>
        <v/>
      </c>
      <c r="D2178" s="5" t="str">
        <f>IF(B2178="","",[1]!s_dq_close(股指期货基差分析!$E$6,$B2178))</f>
        <v/>
      </c>
      <c r="E2178" s="5" t="e">
        <f ca="1">RANK(F2178,F:F)+COUNTIF(F$2:F2178,F2178)-1</f>
        <v>#VALUE!</v>
      </c>
      <c r="F2178" s="5" t="str">
        <f t="shared" ref="F2178:F2241" si="35">IF(B2178="","",D2178-C2178)</f>
        <v/>
      </c>
      <c r="G2178" s="5" t="str">
        <f>IF(B2178="","",股指期货基差分析!$N$11)</f>
        <v/>
      </c>
      <c r="H2178" s="5" t="str">
        <f>IF(B2178="","",股指期货基差分析!$L$11)</f>
        <v/>
      </c>
      <c r="I2178" s="9" t="str">
        <f>IF(B2178="","",股指期货基差分析!$D$11)</f>
        <v/>
      </c>
    </row>
    <row r="2179" spans="2:9" ht="15" customHeight="1" x14ac:dyDescent="0.2">
      <c r="B2179" s="8"/>
      <c r="C2179" s="6" t="str">
        <f>IF(B2179="","",[1]!s_dq_close(股指期货基差分析!$E$5,$B2179))</f>
        <v/>
      </c>
      <c r="D2179" s="6" t="str">
        <f>IF(B2179="","",[1]!s_dq_close(股指期货基差分析!$E$6,$B2179))</f>
        <v/>
      </c>
      <c r="E2179" s="6" t="e">
        <f ca="1">RANK(F2179,F:F)+COUNTIF(F$2:F2179,F2179)-1</f>
        <v>#VALUE!</v>
      </c>
      <c r="F2179" s="6" t="str">
        <f t="shared" si="35"/>
        <v/>
      </c>
      <c r="G2179" s="6" t="str">
        <f>IF(B2179="","",股指期货基差分析!$N$11)</f>
        <v/>
      </c>
      <c r="H2179" s="6" t="str">
        <f>IF(B2179="","",股指期货基差分析!$L$11)</f>
        <v/>
      </c>
      <c r="I2179" s="10" t="str">
        <f>IF(B2179="","",股指期货基差分析!$D$11)</f>
        <v/>
      </c>
    </row>
    <row r="2180" spans="2:9" ht="15" customHeight="1" x14ac:dyDescent="0.2">
      <c r="B2180" s="7"/>
      <c r="C2180" s="5" t="str">
        <f>IF(B2180="","",[1]!s_dq_close(股指期货基差分析!$E$5,$B2180))</f>
        <v/>
      </c>
      <c r="D2180" s="5" t="str">
        <f>IF(B2180="","",[1]!s_dq_close(股指期货基差分析!$E$6,$B2180))</f>
        <v/>
      </c>
      <c r="E2180" s="5" t="e">
        <f ca="1">RANK(F2180,F:F)+COUNTIF(F$2:F2180,F2180)-1</f>
        <v>#VALUE!</v>
      </c>
      <c r="F2180" s="5" t="str">
        <f t="shared" si="35"/>
        <v/>
      </c>
      <c r="G2180" s="5" t="str">
        <f>IF(B2180="","",股指期货基差分析!$N$11)</f>
        <v/>
      </c>
      <c r="H2180" s="5" t="str">
        <f>IF(B2180="","",股指期货基差分析!$L$11)</f>
        <v/>
      </c>
      <c r="I2180" s="9" t="str">
        <f>IF(B2180="","",股指期货基差分析!$D$11)</f>
        <v/>
      </c>
    </row>
    <row r="2181" spans="2:9" ht="15" customHeight="1" x14ac:dyDescent="0.2">
      <c r="B2181" s="8"/>
      <c r="C2181" s="6" t="str">
        <f>IF(B2181="","",[1]!s_dq_close(股指期货基差分析!$E$5,$B2181))</f>
        <v/>
      </c>
      <c r="D2181" s="6" t="str">
        <f>IF(B2181="","",[1]!s_dq_close(股指期货基差分析!$E$6,$B2181))</f>
        <v/>
      </c>
      <c r="E2181" s="6" t="e">
        <f ca="1">RANK(F2181,F:F)+COUNTIF(F$2:F2181,F2181)-1</f>
        <v>#VALUE!</v>
      </c>
      <c r="F2181" s="6" t="str">
        <f t="shared" si="35"/>
        <v/>
      </c>
      <c r="G2181" s="6" t="str">
        <f>IF(B2181="","",股指期货基差分析!$N$11)</f>
        <v/>
      </c>
      <c r="H2181" s="6" t="str">
        <f>IF(B2181="","",股指期货基差分析!$L$11)</f>
        <v/>
      </c>
      <c r="I2181" s="10" t="str">
        <f>IF(B2181="","",股指期货基差分析!$D$11)</f>
        <v/>
      </c>
    </row>
    <row r="2182" spans="2:9" ht="15" customHeight="1" x14ac:dyDescent="0.2">
      <c r="B2182" s="7"/>
      <c r="C2182" s="5" t="str">
        <f>IF(B2182="","",[1]!s_dq_close(股指期货基差分析!$E$5,$B2182))</f>
        <v/>
      </c>
      <c r="D2182" s="5" t="str">
        <f>IF(B2182="","",[1]!s_dq_close(股指期货基差分析!$E$6,$B2182))</f>
        <v/>
      </c>
      <c r="E2182" s="5" t="e">
        <f ca="1">RANK(F2182,F:F)+COUNTIF(F$2:F2182,F2182)-1</f>
        <v>#VALUE!</v>
      </c>
      <c r="F2182" s="5" t="str">
        <f t="shared" si="35"/>
        <v/>
      </c>
      <c r="G2182" s="5" t="str">
        <f>IF(B2182="","",股指期货基差分析!$N$11)</f>
        <v/>
      </c>
      <c r="H2182" s="5" t="str">
        <f>IF(B2182="","",股指期货基差分析!$L$11)</f>
        <v/>
      </c>
      <c r="I2182" s="9" t="str">
        <f>IF(B2182="","",股指期货基差分析!$D$11)</f>
        <v/>
      </c>
    </row>
    <row r="2183" spans="2:9" ht="15" customHeight="1" x14ac:dyDescent="0.2">
      <c r="B2183" s="8"/>
      <c r="C2183" s="6" t="str">
        <f>IF(B2183="","",[1]!s_dq_close(股指期货基差分析!$E$5,$B2183))</f>
        <v/>
      </c>
      <c r="D2183" s="6" t="str">
        <f>IF(B2183="","",[1]!s_dq_close(股指期货基差分析!$E$6,$B2183))</f>
        <v/>
      </c>
      <c r="E2183" s="6" t="e">
        <f ca="1">RANK(F2183,F:F)+COUNTIF(F$2:F2183,F2183)-1</f>
        <v>#VALUE!</v>
      </c>
      <c r="F2183" s="6" t="str">
        <f t="shared" si="35"/>
        <v/>
      </c>
      <c r="G2183" s="6" t="str">
        <f>IF(B2183="","",股指期货基差分析!$N$11)</f>
        <v/>
      </c>
      <c r="H2183" s="6" t="str">
        <f>IF(B2183="","",股指期货基差分析!$L$11)</f>
        <v/>
      </c>
      <c r="I2183" s="10" t="str">
        <f>IF(B2183="","",股指期货基差分析!$D$11)</f>
        <v/>
      </c>
    </row>
    <row r="2184" spans="2:9" ht="15" customHeight="1" x14ac:dyDescent="0.2">
      <c r="B2184" s="7"/>
      <c r="C2184" s="5" t="str">
        <f>IF(B2184="","",[1]!s_dq_close(股指期货基差分析!$E$5,$B2184))</f>
        <v/>
      </c>
      <c r="D2184" s="5" t="str">
        <f>IF(B2184="","",[1]!s_dq_close(股指期货基差分析!$E$6,$B2184))</f>
        <v/>
      </c>
      <c r="E2184" s="5" t="e">
        <f ca="1">RANK(F2184,F:F)+COUNTIF(F$2:F2184,F2184)-1</f>
        <v>#VALUE!</v>
      </c>
      <c r="F2184" s="5" t="str">
        <f t="shared" si="35"/>
        <v/>
      </c>
      <c r="G2184" s="5" t="str">
        <f>IF(B2184="","",股指期货基差分析!$N$11)</f>
        <v/>
      </c>
      <c r="H2184" s="5" t="str">
        <f>IF(B2184="","",股指期货基差分析!$L$11)</f>
        <v/>
      </c>
      <c r="I2184" s="9" t="str">
        <f>IF(B2184="","",股指期货基差分析!$D$11)</f>
        <v/>
      </c>
    </row>
    <row r="2185" spans="2:9" ht="15" customHeight="1" x14ac:dyDescent="0.2">
      <c r="B2185" s="8"/>
      <c r="C2185" s="6" t="str">
        <f>IF(B2185="","",[1]!s_dq_close(股指期货基差分析!$E$5,$B2185))</f>
        <v/>
      </c>
      <c r="D2185" s="6" t="str">
        <f>IF(B2185="","",[1]!s_dq_close(股指期货基差分析!$E$6,$B2185))</f>
        <v/>
      </c>
      <c r="E2185" s="6" t="e">
        <f ca="1">RANK(F2185,F:F)+COUNTIF(F$2:F2185,F2185)-1</f>
        <v>#VALUE!</v>
      </c>
      <c r="F2185" s="6" t="str">
        <f t="shared" si="35"/>
        <v/>
      </c>
      <c r="G2185" s="6" t="str">
        <f>IF(B2185="","",股指期货基差分析!$N$11)</f>
        <v/>
      </c>
      <c r="H2185" s="6" t="str">
        <f>IF(B2185="","",股指期货基差分析!$L$11)</f>
        <v/>
      </c>
      <c r="I2185" s="10" t="str">
        <f>IF(B2185="","",股指期货基差分析!$D$11)</f>
        <v/>
      </c>
    </row>
    <row r="2186" spans="2:9" ht="15" customHeight="1" x14ac:dyDescent="0.2">
      <c r="B2186" s="7"/>
      <c r="C2186" s="5" t="str">
        <f>IF(B2186="","",[1]!s_dq_close(股指期货基差分析!$E$5,$B2186))</f>
        <v/>
      </c>
      <c r="D2186" s="5" t="str">
        <f>IF(B2186="","",[1]!s_dq_close(股指期货基差分析!$E$6,$B2186))</f>
        <v/>
      </c>
      <c r="E2186" s="5" t="e">
        <f ca="1">RANK(F2186,F:F)+COUNTIF(F$2:F2186,F2186)-1</f>
        <v>#VALUE!</v>
      </c>
      <c r="F2186" s="5" t="str">
        <f t="shared" si="35"/>
        <v/>
      </c>
      <c r="G2186" s="5" t="str">
        <f>IF(B2186="","",股指期货基差分析!$N$11)</f>
        <v/>
      </c>
      <c r="H2186" s="5" t="str">
        <f>IF(B2186="","",股指期货基差分析!$L$11)</f>
        <v/>
      </c>
      <c r="I2186" s="9" t="str">
        <f>IF(B2186="","",股指期货基差分析!$D$11)</f>
        <v/>
      </c>
    </row>
    <row r="2187" spans="2:9" ht="15" customHeight="1" x14ac:dyDescent="0.2">
      <c r="B2187" s="8"/>
      <c r="C2187" s="6" t="str">
        <f>IF(B2187="","",[1]!s_dq_close(股指期货基差分析!$E$5,$B2187))</f>
        <v/>
      </c>
      <c r="D2187" s="6" t="str">
        <f>IF(B2187="","",[1]!s_dq_close(股指期货基差分析!$E$6,$B2187))</f>
        <v/>
      </c>
      <c r="E2187" s="6" t="e">
        <f ca="1">RANK(F2187,F:F)+COUNTIF(F$2:F2187,F2187)-1</f>
        <v>#VALUE!</v>
      </c>
      <c r="F2187" s="6" t="str">
        <f t="shared" si="35"/>
        <v/>
      </c>
      <c r="G2187" s="6" t="str">
        <f>IF(B2187="","",股指期货基差分析!$N$11)</f>
        <v/>
      </c>
      <c r="H2187" s="6" t="str">
        <f>IF(B2187="","",股指期货基差分析!$L$11)</f>
        <v/>
      </c>
      <c r="I2187" s="10" t="str">
        <f>IF(B2187="","",股指期货基差分析!$D$11)</f>
        <v/>
      </c>
    </row>
    <row r="2188" spans="2:9" ht="15" customHeight="1" x14ac:dyDescent="0.2">
      <c r="B2188" s="7"/>
      <c r="C2188" s="5" t="str">
        <f>IF(B2188="","",[1]!s_dq_close(股指期货基差分析!$E$5,$B2188))</f>
        <v/>
      </c>
      <c r="D2188" s="5" t="str">
        <f>IF(B2188="","",[1]!s_dq_close(股指期货基差分析!$E$6,$B2188))</f>
        <v/>
      </c>
      <c r="E2188" s="5" t="e">
        <f ca="1">RANK(F2188,F:F)+COUNTIF(F$2:F2188,F2188)-1</f>
        <v>#VALUE!</v>
      </c>
      <c r="F2188" s="5" t="str">
        <f t="shared" si="35"/>
        <v/>
      </c>
      <c r="G2188" s="5" t="str">
        <f>IF(B2188="","",股指期货基差分析!$N$11)</f>
        <v/>
      </c>
      <c r="H2188" s="5" t="str">
        <f>IF(B2188="","",股指期货基差分析!$L$11)</f>
        <v/>
      </c>
      <c r="I2188" s="9" t="str">
        <f>IF(B2188="","",股指期货基差分析!$D$11)</f>
        <v/>
      </c>
    </row>
    <row r="2189" spans="2:9" ht="15" customHeight="1" x14ac:dyDescent="0.2">
      <c r="B2189" s="8"/>
      <c r="C2189" s="6" t="str">
        <f>IF(B2189="","",[1]!s_dq_close(股指期货基差分析!$E$5,$B2189))</f>
        <v/>
      </c>
      <c r="D2189" s="6" t="str">
        <f>IF(B2189="","",[1]!s_dq_close(股指期货基差分析!$E$6,$B2189))</f>
        <v/>
      </c>
      <c r="E2189" s="6" t="e">
        <f ca="1">RANK(F2189,F:F)+COUNTIF(F$2:F2189,F2189)-1</f>
        <v>#VALUE!</v>
      </c>
      <c r="F2189" s="6" t="str">
        <f t="shared" si="35"/>
        <v/>
      </c>
      <c r="G2189" s="6" t="str">
        <f>IF(B2189="","",股指期货基差分析!$N$11)</f>
        <v/>
      </c>
      <c r="H2189" s="6" t="str">
        <f>IF(B2189="","",股指期货基差分析!$L$11)</f>
        <v/>
      </c>
      <c r="I2189" s="10" t="str">
        <f>IF(B2189="","",股指期货基差分析!$D$11)</f>
        <v/>
      </c>
    </row>
    <row r="2190" spans="2:9" ht="15" customHeight="1" x14ac:dyDescent="0.2">
      <c r="B2190" s="7"/>
      <c r="C2190" s="5" t="str">
        <f>IF(B2190="","",[1]!s_dq_close(股指期货基差分析!$E$5,$B2190))</f>
        <v/>
      </c>
      <c r="D2190" s="5" t="str">
        <f>IF(B2190="","",[1]!s_dq_close(股指期货基差分析!$E$6,$B2190))</f>
        <v/>
      </c>
      <c r="E2190" s="5" t="e">
        <f ca="1">RANK(F2190,F:F)+COUNTIF(F$2:F2190,F2190)-1</f>
        <v>#VALUE!</v>
      </c>
      <c r="F2190" s="5" t="str">
        <f t="shared" si="35"/>
        <v/>
      </c>
      <c r="G2190" s="5" t="str">
        <f>IF(B2190="","",股指期货基差分析!$N$11)</f>
        <v/>
      </c>
      <c r="H2190" s="5" t="str">
        <f>IF(B2190="","",股指期货基差分析!$L$11)</f>
        <v/>
      </c>
      <c r="I2190" s="9" t="str">
        <f>IF(B2190="","",股指期货基差分析!$D$11)</f>
        <v/>
      </c>
    </row>
    <row r="2191" spans="2:9" ht="15" customHeight="1" x14ac:dyDescent="0.2">
      <c r="B2191" s="8"/>
      <c r="C2191" s="6" t="str">
        <f>IF(B2191="","",[1]!s_dq_close(股指期货基差分析!$E$5,$B2191))</f>
        <v/>
      </c>
      <c r="D2191" s="6" t="str">
        <f>IF(B2191="","",[1]!s_dq_close(股指期货基差分析!$E$6,$B2191))</f>
        <v/>
      </c>
      <c r="E2191" s="6" t="e">
        <f ca="1">RANK(F2191,F:F)+COUNTIF(F$2:F2191,F2191)-1</f>
        <v>#VALUE!</v>
      </c>
      <c r="F2191" s="6" t="str">
        <f t="shared" si="35"/>
        <v/>
      </c>
      <c r="G2191" s="6" t="str">
        <f>IF(B2191="","",股指期货基差分析!$N$11)</f>
        <v/>
      </c>
      <c r="H2191" s="6" t="str">
        <f>IF(B2191="","",股指期货基差分析!$L$11)</f>
        <v/>
      </c>
      <c r="I2191" s="10" t="str">
        <f>IF(B2191="","",股指期货基差分析!$D$11)</f>
        <v/>
      </c>
    </row>
    <row r="2192" spans="2:9" ht="15" customHeight="1" x14ac:dyDescent="0.2">
      <c r="B2192" s="7"/>
      <c r="C2192" s="5" t="str">
        <f>IF(B2192="","",[1]!s_dq_close(股指期货基差分析!$E$5,$B2192))</f>
        <v/>
      </c>
      <c r="D2192" s="5" t="str">
        <f>IF(B2192="","",[1]!s_dq_close(股指期货基差分析!$E$6,$B2192))</f>
        <v/>
      </c>
      <c r="E2192" s="5" t="e">
        <f ca="1">RANK(F2192,F:F)+COUNTIF(F$2:F2192,F2192)-1</f>
        <v>#VALUE!</v>
      </c>
      <c r="F2192" s="5" t="str">
        <f t="shared" si="35"/>
        <v/>
      </c>
      <c r="G2192" s="5" t="str">
        <f>IF(B2192="","",股指期货基差分析!$N$11)</f>
        <v/>
      </c>
      <c r="H2192" s="5" t="str">
        <f>IF(B2192="","",股指期货基差分析!$L$11)</f>
        <v/>
      </c>
      <c r="I2192" s="9" t="str">
        <f>IF(B2192="","",股指期货基差分析!$D$11)</f>
        <v/>
      </c>
    </row>
    <row r="2193" spans="2:9" ht="15" customHeight="1" x14ac:dyDescent="0.2">
      <c r="B2193" s="8"/>
      <c r="C2193" s="6" t="str">
        <f>IF(B2193="","",[1]!s_dq_close(股指期货基差分析!$E$5,$B2193))</f>
        <v/>
      </c>
      <c r="D2193" s="6" t="str">
        <f>IF(B2193="","",[1]!s_dq_close(股指期货基差分析!$E$6,$B2193))</f>
        <v/>
      </c>
      <c r="E2193" s="6" t="e">
        <f ca="1">RANK(F2193,F:F)+COUNTIF(F$2:F2193,F2193)-1</f>
        <v>#VALUE!</v>
      </c>
      <c r="F2193" s="6" t="str">
        <f t="shared" si="35"/>
        <v/>
      </c>
      <c r="G2193" s="6" t="str">
        <f>IF(B2193="","",股指期货基差分析!$N$11)</f>
        <v/>
      </c>
      <c r="H2193" s="6" t="str">
        <f>IF(B2193="","",股指期货基差分析!$L$11)</f>
        <v/>
      </c>
      <c r="I2193" s="10" t="str">
        <f>IF(B2193="","",股指期货基差分析!$D$11)</f>
        <v/>
      </c>
    </row>
    <row r="2194" spans="2:9" ht="15" customHeight="1" x14ac:dyDescent="0.2">
      <c r="B2194" s="7"/>
      <c r="C2194" s="5" t="str">
        <f>IF(B2194="","",[1]!s_dq_close(股指期货基差分析!$E$5,$B2194))</f>
        <v/>
      </c>
      <c r="D2194" s="5" t="str">
        <f>IF(B2194="","",[1]!s_dq_close(股指期货基差分析!$E$6,$B2194))</f>
        <v/>
      </c>
      <c r="E2194" s="5" t="e">
        <f ca="1">RANK(F2194,F:F)+COUNTIF(F$2:F2194,F2194)-1</f>
        <v>#VALUE!</v>
      </c>
      <c r="F2194" s="5" t="str">
        <f t="shared" si="35"/>
        <v/>
      </c>
      <c r="G2194" s="5" t="str">
        <f>IF(B2194="","",股指期货基差分析!$N$11)</f>
        <v/>
      </c>
      <c r="H2194" s="5" t="str">
        <f>IF(B2194="","",股指期货基差分析!$L$11)</f>
        <v/>
      </c>
      <c r="I2194" s="9" t="str">
        <f>IF(B2194="","",股指期货基差分析!$D$11)</f>
        <v/>
      </c>
    </row>
    <row r="2195" spans="2:9" ht="15" customHeight="1" x14ac:dyDescent="0.2">
      <c r="B2195" s="8"/>
      <c r="C2195" s="6" t="str">
        <f>IF(B2195="","",[1]!s_dq_close(股指期货基差分析!$E$5,$B2195))</f>
        <v/>
      </c>
      <c r="D2195" s="6" t="str">
        <f>IF(B2195="","",[1]!s_dq_close(股指期货基差分析!$E$6,$B2195))</f>
        <v/>
      </c>
      <c r="E2195" s="6" t="e">
        <f ca="1">RANK(F2195,F:F)+COUNTIF(F$2:F2195,F2195)-1</f>
        <v>#VALUE!</v>
      </c>
      <c r="F2195" s="6" t="str">
        <f t="shared" si="35"/>
        <v/>
      </c>
      <c r="G2195" s="6" t="str">
        <f>IF(B2195="","",股指期货基差分析!$N$11)</f>
        <v/>
      </c>
      <c r="H2195" s="6" t="str">
        <f>IF(B2195="","",股指期货基差分析!$L$11)</f>
        <v/>
      </c>
      <c r="I2195" s="10" t="str">
        <f>IF(B2195="","",股指期货基差分析!$D$11)</f>
        <v/>
      </c>
    </row>
    <row r="2196" spans="2:9" ht="15" customHeight="1" x14ac:dyDescent="0.2">
      <c r="B2196" s="7"/>
      <c r="C2196" s="5" t="str">
        <f>IF(B2196="","",[1]!s_dq_close(股指期货基差分析!$E$5,$B2196))</f>
        <v/>
      </c>
      <c r="D2196" s="5" t="str">
        <f>IF(B2196="","",[1]!s_dq_close(股指期货基差分析!$E$6,$B2196))</f>
        <v/>
      </c>
      <c r="E2196" s="5" t="e">
        <f ca="1">RANK(F2196,F:F)+COUNTIF(F$2:F2196,F2196)-1</f>
        <v>#VALUE!</v>
      </c>
      <c r="F2196" s="5" t="str">
        <f t="shared" si="35"/>
        <v/>
      </c>
      <c r="G2196" s="5" t="str">
        <f>IF(B2196="","",股指期货基差分析!$N$11)</f>
        <v/>
      </c>
      <c r="H2196" s="5" t="str">
        <f>IF(B2196="","",股指期货基差分析!$L$11)</f>
        <v/>
      </c>
      <c r="I2196" s="9" t="str">
        <f>IF(B2196="","",股指期货基差分析!$D$11)</f>
        <v/>
      </c>
    </row>
    <row r="2197" spans="2:9" ht="15" customHeight="1" x14ac:dyDescent="0.2">
      <c r="B2197" s="8"/>
      <c r="C2197" s="6" t="str">
        <f>IF(B2197="","",[1]!s_dq_close(股指期货基差分析!$E$5,$B2197))</f>
        <v/>
      </c>
      <c r="D2197" s="6" t="str">
        <f>IF(B2197="","",[1]!s_dq_close(股指期货基差分析!$E$6,$B2197))</f>
        <v/>
      </c>
      <c r="E2197" s="6" t="e">
        <f ca="1">RANK(F2197,F:F)+COUNTIF(F$2:F2197,F2197)-1</f>
        <v>#VALUE!</v>
      </c>
      <c r="F2197" s="6" t="str">
        <f t="shared" si="35"/>
        <v/>
      </c>
      <c r="G2197" s="6" t="str">
        <f>IF(B2197="","",股指期货基差分析!$N$11)</f>
        <v/>
      </c>
      <c r="H2197" s="6" t="str">
        <f>IF(B2197="","",股指期货基差分析!$L$11)</f>
        <v/>
      </c>
      <c r="I2197" s="10" t="str">
        <f>IF(B2197="","",股指期货基差分析!$D$11)</f>
        <v/>
      </c>
    </row>
    <row r="2198" spans="2:9" ht="15" customHeight="1" x14ac:dyDescent="0.2">
      <c r="B2198" s="7"/>
      <c r="C2198" s="5" t="str">
        <f>IF(B2198="","",[1]!s_dq_close(股指期货基差分析!$E$5,$B2198))</f>
        <v/>
      </c>
      <c r="D2198" s="5" t="str">
        <f>IF(B2198="","",[1]!s_dq_close(股指期货基差分析!$E$6,$B2198))</f>
        <v/>
      </c>
      <c r="E2198" s="5" t="e">
        <f ca="1">RANK(F2198,F:F)+COUNTIF(F$2:F2198,F2198)-1</f>
        <v>#VALUE!</v>
      </c>
      <c r="F2198" s="5" t="str">
        <f t="shared" si="35"/>
        <v/>
      </c>
      <c r="G2198" s="5" t="str">
        <f>IF(B2198="","",股指期货基差分析!$N$11)</f>
        <v/>
      </c>
      <c r="H2198" s="5" t="str">
        <f>IF(B2198="","",股指期货基差分析!$L$11)</f>
        <v/>
      </c>
      <c r="I2198" s="9" t="str">
        <f>IF(B2198="","",股指期货基差分析!$D$11)</f>
        <v/>
      </c>
    </row>
    <row r="2199" spans="2:9" ht="15" customHeight="1" x14ac:dyDescent="0.2">
      <c r="B2199" s="8"/>
      <c r="C2199" s="6" t="str">
        <f>IF(B2199="","",[1]!s_dq_close(股指期货基差分析!$E$5,$B2199))</f>
        <v/>
      </c>
      <c r="D2199" s="6" t="str">
        <f>IF(B2199="","",[1]!s_dq_close(股指期货基差分析!$E$6,$B2199))</f>
        <v/>
      </c>
      <c r="E2199" s="6" t="e">
        <f ca="1">RANK(F2199,F:F)+COUNTIF(F$2:F2199,F2199)-1</f>
        <v>#VALUE!</v>
      </c>
      <c r="F2199" s="6" t="str">
        <f t="shared" si="35"/>
        <v/>
      </c>
      <c r="G2199" s="6" t="str">
        <f>IF(B2199="","",股指期货基差分析!$N$11)</f>
        <v/>
      </c>
      <c r="H2199" s="6" t="str">
        <f>IF(B2199="","",股指期货基差分析!$L$11)</f>
        <v/>
      </c>
      <c r="I2199" s="10" t="str">
        <f>IF(B2199="","",股指期货基差分析!$D$11)</f>
        <v/>
      </c>
    </row>
    <row r="2200" spans="2:9" ht="15" customHeight="1" x14ac:dyDescent="0.2">
      <c r="B2200" s="7"/>
      <c r="C2200" s="5" t="str">
        <f>IF(B2200="","",[1]!s_dq_close(股指期货基差分析!$E$5,$B2200))</f>
        <v/>
      </c>
      <c r="D2200" s="5" t="str">
        <f>IF(B2200="","",[1]!s_dq_close(股指期货基差分析!$E$6,$B2200))</f>
        <v/>
      </c>
      <c r="E2200" s="5" t="e">
        <f ca="1">RANK(F2200,F:F)+COUNTIF(F$2:F2200,F2200)-1</f>
        <v>#VALUE!</v>
      </c>
      <c r="F2200" s="5" t="str">
        <f t="shared" si="35"/>
        <v/>
      </c>
      <c r="G2200" s="5" t="str">
        <f>IF(B2200="","",股指期货基差分析!$N$11)</f>
        <v/>
      </c>
      <c r="H2200" s="5" t="str">
        <f>IF(B2200="","",股指期货基差分析!$L$11)</f>
        <v/>
      </c>
      <c r="I2200" s="9" t="str">
        <f>IF(B2200="","",股指期货基差分析!$D$11)</f>
        <v/>
      </c>
    </row>
    <row r="2201" spans="2:9" ht="15" customHeight="1" x14ac:dyDescent="0.2">
      <c r="B2201" s="8"/>
      <c r="C2201" s="6" t="str">
        <f>IF(B2201="","",[1]!s_dq_close(股指期货基差分析!$E$5,$B2201))</f>
        <v/>
      </c>
      <c r="D2201" s="6" t="str">
        <f>IF(B2201="","",[1]!s_dq_close(股指期货基差分析!$E$6,$B2201))</f>
        <v/>
      </c>
      <c r="E2201" s="6" t="e">
        <f ca="1">RANK(F2201,F:F)+COUNTIF(F$2:F2201,F2201)-1</f>
        <v>#VALUE!</v>
      </c>
      <c r="F2201" s="6" t="str">
        <f t="shared" si="35"/>
        <v/>
      </c>
      <c r="G2201" s="6" t="str">
        <f>IF(B2201="","",股指期货基差分析!$N$11)</f>
        <v/>
      </c>
      <c r="H2201" s="6" t="str">
        <f>IF(B2201="","",股指期货基差分析!$L$11)</f>
        <v/>
      </c>
      <c r="I2201" s="10" t="str">
        <f>IF(B2201="","",股指期货基差分析!$D$11)</f>
        <v/>
      </c>
    </row>
    <row r="2202" spans="2:9" ht="15" customHeight="1" x14ac:dyDescent="0.2">
      <c r="B2202" s="7"/>
      <c r="C2202" s="5" t="str">
        <f>IF(B2202="","",[1]!s_dq_close(股指期货基差分析!$E$5,$B2202))</f>
        <v/>
      </c>
      <c r="D2202" s="5" t="str">
        <f>IF(B2202="","",[1]!s_dq_close(股指期货基差分析!$E$6,$B2202))</f>
        <v/>
      </c>
      <c r="E2202" s="5" t="e">
        <f ca="1">RANK(F2202,F:F)+COUNTIF(F$2:F2202,F2202)-1</f>
        <v>#VALUE!</v>
      </c>
      <c r="F2202" s="5" t="str">
        <f t="shared" si="35"/>
        <v/>
      </c>
      <c r="G2202" s="5" t="str">
        <f>IF(B2202="","",股指期货基差分析!$N$11)</f>
        <v/>
      </c>
      <c r="H2202" s="5" t="str">
        <f>IF(B2202="","",股指期货基差分析!$L$11)</f>
        <v/>
      </c>
      <c r="I2202" s="9" t="str">
        <f>IF(B2202="","",股指期货基差分析!$D$11)</f>
        <v/>
      </c>
    </row>
    <row r="2203" spans="2:9" ht="15" customHeight="1" x14ac:dyDescent="0.2">
      <c r="B2203" s="8"/>
      <c r="C2203" s="6" t="str">
        <f>IF(B2203="","",[1]!s_dq_close(股指期货基差分析!$E$5,$B2203))</f>
        <v/>
      </c>
      <c r="D2203" s="6" t="str">
        <f>IF(B2203="","",[1]!s_dq_close(股指期货基差分析!$E$6,$B2203))</f>
        <v/>
      </c>
      <c r="E2203" s="6" t="e">
        <f ca="1">RANK(F2203,F:F)+COUNTIF(F$2:F2203,F2203)-1</f>
        <v>#VALUE!</v>
      </c>
      <c r="F2203" s="6" t="str">
        <f t="shared" si="35"/>
        <v/>
      </c>
      <c r="G2203" s="6" t="str">
        <f>IF(B2203="","",股指期货基差分析!$N$11)</f>
        <v/>
      </c>
      <c r="H2203" s="6" t="str">
        <f>IF(B2203="","",股指期货基差分析!$L$11)</f>
        <v/>
      </c>
      <c r="I2203" s="10" t="str">
        <f>IF(B2203="","",股指期货基差分析!$D$11)</f>
        <v/>
      </c>
    </row>
    <row r="2204" spans="2:9" ht="15" customHeight="1" x14ac:dyDescent="0.2">
      <c r="B2204" s="7"/>
      <c r="C2204" s="5" t="str">
        <f>IF(B2204="","",[1]!s_dq_close(股指期货基差分析!$E$5,$B2204))</f>
        <v/>
      </c>
      <c r="D2204" s="5" t="str">
        <f>IF(B2204="","",[1]!s_dq_close(股指期货基差分析!$E$6,$B2204))</f>
        <v/>
      </c>
      <c r="E2204" s="5" t="e">
        <f ca="1">RANK(F2204,F:F)+COUNTIF(F$2:F2204,F2204)-1</f>
        <v>#VALUE!</v>
      </c>
      <c r="F2204" s="5" t="str">
        <f t="shared" si="35"/>
        <v/>
      </c>
      <c r="G2204" s="5" t="str">
        <f>IF(B2204="","",股指期货基差分析!$N$11)</f>
        <v/>
      </c>
      <c r="H2204" s="5" t="str">
        <f>IF(B2204="","",股指期货基差分析!$L$11)</f>
        <v/>
      </c>
      <c r="I2204" s="9" t="str">
        <f>IF(B2204="","",股指期货基差分析!$D$11)</f>
        <v/>
      </c>
    </row>
    <row r="2205" spans="2:9" ht="15" customHeight="1" x14ac:dyDescent="0.2">
      <c r="B2205" s="8"/>
      <c r="C2205" s="6" t="str">
        <f>IF(B2205="","",[1]!s_dq_close(股指期货基差分析!$E$5,$B2205))</f>
        <v/>
      </c>
      <c r="D2205" s="6" t="str">
        <f>IF(B2205="","",[1]!s_dq_close(股指期货基差分析!$E$6,$B2205))</f>
        <v/>
      </c>
      <c r="E2205" s="6" t="e">
        <f ca="1">RANK(F2205,F:F)+COUNTIF(F$2:F2205,F2205)-1</f>
        <v>#VALUE!</v>
      </c>
      <c r="F2205" s="6" t="str">
        <f t="shared" si="35"/>
        <v/>
      </c>
      <c r="G2205" s="6" t="str">
        <f>IF(B2205="","",股指期货基差分析!$N$11)</f>
        <v/>
      </c>
      <c r="H2205" s="6" t="str">
        <f>IF(B2205="","",股指期货基差分析!$L$11)</f>
        <v/>
      </c>
      <c r="I2205" s="10" t="str">
        <f>IF(B2205="","",股指期货基差分析!$D$11)</f>
        <v/>
      </c>
    </row>
    <row r="2206" spans="2:9" ht="15" customHeight="1" x14ac:dyDescent="0.2">
      <c r="B2206" s="7"/>
      <c r="C2206" s="5" t="str">
        <f>IF(B2206="","",[1]!s_dq_close(股指期货基差分析!$E$5,$B2206))</f>
        <v/>
      </c>
      <c r="D2206" s="5" t="str">
        <f>IF(B2206="","",[1]!s_dq_close(股指期货基差分析!$E$6,$B2206))</f>
        <v/>
      </c>
      <c r="E2206" s="5" t="e">
        <f ca="1">RANK(F2206,F:F)+COUNTIF(F$2:F2206,F2206)-1</f>
        <v>#VALUE!</v>
      </c>
      <c r="F2206" s="5" t="str">
        <f t="shared" si="35"/>
        <v/>
      </c>
      <c r="G2206" s="5" t="str">
        <f>IF(B2206="","",股指期货基差分析!$N$11)</f>
        <v/>
      </c>
      <c r="H2206" s="5" t="str">
        <f>IF(B2206="","",股指期货基差分析!$L$11)</f>
        <v/>
      </c>
      <c r="I2206" s="9" t="str">
        <f>IF(B2206="","",股指期货基差分析!$D$11)</f>
        <v/>
      </c>
    </row>
    <row r="2207" spans="2:9" ht="15" customHeight="1" x14ac:dyDescent="0.2">
      <c r="B2207" s="8"/>
      <c r="C2207" s="6" t="str">
        <f>IF(B2207="","",[1]!s_dq_close(股指期货基差分析!$E$5,$B2207))</f>
        <v/>
      </c>
      <c r="D2207" s="6" t="str">
        <f>IF(B2207="","",[1]!s_dq_close(股指期货基差分析!$E$6,$B2207))</f>
        <v/>
      </c>
      <c r="E2207" s="6" t="e">
        <f ca="1">RANK(F2207,F:F)+COUNTIF(F$2:F2207,F2207)-1</f>
        <v>#VALUE!</v>
      </c>
      <c r="F2207" s="6" t="str">
        <f t="shared" si="35"/>
        <v/>
      </c>
      <c r="G2207" s="6" t="str">
        <f>IF(B2207="","",股指期货基差分析!$N$11)</f>
        <v/>
      </c>
      <c r="H2207" s="6" t="str">
        <f>IF(B2207="","",股指期货基差分析!$L$11)</f>
        <v/>
      </c>
      <c r="I2207" s="10" t="str">
        <f>IF(B2207="","",股指期货基差分析!$D$11)</f>
        <v/>
      </c>
    </row>
    <row r="2208" spans="2:9" ht="15" customHeight="1" x14ac:dyDescent="0.2">
      <c r="B2208" s="7"/>
      <c r="C2208" s="5" t="str">
        <f>IF(B2208="","",[1]!s_dq_close(股指期货基差分析!$E$5,$B2208))</f>
        <v/>
      </c>
      <c r="D2208" s="5" t="str">
        <f>IF(B2208="","",[1]!s_dq_close(股指期货基差分析!$E$6,$B2208))</f>
        <v/>
      </c>
      <c r="E2208" s="5" t="e">
        <f ca="1">RANK(F2208,F:F)+COUNTIF(F$2:F2208,F2208)-1</f>
        <v>#VALUE!</v>
      </c>
      <c r="F2208" s="5" t="str">
        <f t="shared" si="35"/>
        <v/>
      </c>
      <c r="G2208" s="5" t="str">
        <f>IF(B2208="","",股指期货基差分析!$N$11)</f>
        <v/>
      </c>
      <c r="H2208" s="5" t="str">
        <f>IF(B2208="","",股指期货基差分析!$L$11)</f>
        <v/>
      </c>
      <c r="I2208" s="9" t="str">
        <f>IF(B2208="","",股指期货基差分析!$D$11)</f>
        <v/>
      </c>
    </row>
    <row r="2209" spans="2:9" ht="15" customHeight="1" x14ac:dyDescent="0.2">
      <c r="B2209" s="8"/>
      <c r="C2209" s="6" t="str">
        <f>IF(B2209="","",[1]!s_dq_close(股指期货基差分析!$E$5,$B2209))</f>
        <v/>
      </c>
      <c r="D2209" s="6" t="str">
        <f>IF(B2209="","",[1]!s_dq_close(股指期货基差分析!$E$6,$B2209))</f>
        <v/>
      </c>
      <c r="E2209" s="6" t="e">
        <f ca="1">RANK(F2209,F:F)+COUNTIF(F$2:F2209,F2209)-1</f>
        <v>#VALUE!</v>
      </c>
      <c r="F2209" s="6" t="str">
        <f t="shared" si="35"/>
        <v/>
      </c>
      <c r="G2209" s="6" t="str">
        <f>IF(B2209="","",股指期货基差分析!$N$11)</f>
        <v/>
      </c>
      <c r="H2209" s="6" t="str">
        <f>IF(B2209="","",股指期货基差分析!$L$11)</f>
        <v/>
      </c>
      <c r="I2209" s="10" t="str">
        <f>IF(B2209="","",股指期货基差分析!$D$11)</f>
        <v/>
      </c>
    </row>
    <row r="2210" spans="2:9" ht="15" customHeight="1" x14ac:dyDescent="0.2">
      <c r="B2210" s="7"/>
      <c r="C2210" s="5" t="str">
        <f>IF(B2210="","",[1]!s_dq_close(股指期货基差分析!$E$5,$B2210))</f>
        <v/>
      </c>
      <c r="D2210" s="5" t="str">
        <f>IF(B2210="","",[1]!s_dq_close(股指期货基差分析!$E$6,$B2210))</f>
        <v/>
      </c>
      <c r="E2210" s="5" t="e">
        <f ca="1">RANK(F2210,F:F)+COUNTIF(F$2:F2210,F2210)-1</f>
        <v>#VALUE!</v>
      </c>
      <c r="F2210" s="5" t="str">
        <f t="shared" si="35"/>
        <v/>
      </c>
      <c r="G2210" s="5" t="str">
        <f>IF(B2210="","",股指期货基差分析!$N$11)</f>
        <v/>
      </c>
      <c r="H2210" s="5" t="str">
        <f>IF(B2210="","",股指期货基差分析!$L$11)</f>
        <v/>
      </c>
      <c r="I2210" s="9" t="str">
        <f>IF(B2210="","",股指期货基差分析!$D$11)</f>
        <v/>
      </c>
    </row>
    <row r="2211" spans="2:9" ht="15" customHeight="1" x14ac:dyDescent="0.2">
      <c r="B2211" s="8"/>
      <c r="C2211" s="6" t="str">
        <f>IF(B2211="","",[1]!s_dq_close(股指期货基差分析!$E$5,$B2211))</f>
        <v/>
      </c>
      <c r="D2211" s="6" t="str">
        <f>IF(B2211="","",[1]!s_dq_close(股指期货基差分析!$E$6,$B2211))</f>
        <v/>
      </c>
      <c r="E2211" s="6" t="e">
        <f ca="1">RANK(F2211,F:F)+COUNTIF(F$2:F2211,F2211)-1</f>
        <v>#VALUE!</v>
      </c>
      <c r="F2211" s="6" t="str">
        <f t="shared" si="35"/>
        <v/>
      </c>
      <c r="G2211" s="6" t="str">
        <f>IF(B2211="","",股指期货基差分析!$N$11)</f>
        <v/>
      </c>
      <c r="H2211" s="6" t="str">
        <f>IF(B2211="","",股指期货基差分析!$L$11)</f>
        <v/>
      </c>
      <c r="I2211" s="10" t="str">
        <f>IF(B2211="","",股指期货基差分析!$D$11)</f>
        <v/>
      </c>
    </row>
    <row r="2212" spans="2:9" ht="15" customHeight="1" x14ac:dyDescent="0.2">
      <c r="B2212" s="7"/>
      <c r="C2212" s="5" t="str">
        <f>IF(B2212="","",[1]!s_dq_close(股指期货基差分析!$E$5,$B2212))</f>
        <v/>
      </c>
      <c r="D2212" s="5" t="str">
        <f>IF(B2212="","",[1]!s_dq_close(股指期货基差分析!$E$6,$B2212))</f>
        <v/>
      </c>
      <c r="E2212" s="5" t="e">
        <f ca="1">RANK(F2212,F:F)+COUNTIF(F$2:F2212,F2212)-1</f>
        <v>#VALUE!</v>
      </c>
      <c r="F2212" s="5" t="str">
        <f t="shared" si="35"/>
        <v/>
      </c>
      <c r="G2212" s="5" t="str">
        <f>IF(B2212="","",股指期货基差分析!$N$11)</f>
        <v/>
      </c>
      <c r="H2212" s="5" t="str">
        <f>IF(B2212="","",股指期货基差分析!$L$11)</f>
        <v/>
      </c>
      <c r="I2212" s="9" t="str">
        <f>IF(B2212="","",股指期货基差分析!$D$11)</f>
        <v/>
      </c>
    </row>
    <row r="2213" spans="2:9" ht="15" customHeight="1" x14ac:dyDescent="0.2">
      <c r="B2213" s="8"/>
      <c r="C2213" s="6" t="str">
        <f>IF(B2213="","",[1]!s_dq_close(股指期货基差分析!$E$5,$B2213))</f>
        <v/>
      </c>
      <c r="D2213" s="6" t="str">
        <f>IF(B2213="","",[1]!s_dq_close(股指期货基差分析!$E$6,$B2213))</f>
        <v/>
      </c>
      <c r="E2213" s="6" t="e">
        <f ca="1">RANK(F2213,F:F)+COUNTIF(F$2:F2213,F2213)-1</f>
        <v>#VALUE!</v>
      </c>
      <c r="F2213" s="6" t="str">
        <f t="shared" si="35"/>
        <v/>
      </c>
      <c r="G2213" s="6" t="str">
        <f>IF(B2213="","",股指期货基差分析!$N$11)</f>
        <v/>
      </c>
      <c r="H2213" s="6" t="str">
        <f>IF(B2213="","",股指期货基差分析!$L$11)</f>
        <v/>
      </c>
      <c r="I2213" s="10" t="str">
        <f>IF(B2213="","",股指期货基差分析!$D$11)</f>
        <v/>
      </c>
    </row>
    <row r="2214" spans="2:9" ht="15" customHeight="1" x14ac:dyDescent="0.2">
      <c r="B2214" s="7"/>
      <c r="C2214" s="5" t="str">
        <f>IF(B2214="","",[1]!s_dq_close(股指期货基差分析!$E$5,$B2214))</f>
        <v/>
      </c>
      <c r="D2214" s="5" t="str">
        <f>IF(B2214="","",[1]!s_dq_close(股指期货基差分析!$E$6,$B2214))</f>
        <v/>
      </c>
      <c r="E2214" s="5" t="e">
        <f ca="1">RANK(F2214,F:F)+COUNTIF(F$2:F2214,F2214)-1</f>
        <v>#VALUE!</v>
      </c>
      <c r="F2214" s="5" t="str">
        <f t="shared" si="35"/>
        <v/>
      </c>
      <c r="G2214" s="5" t="str">
        <f>IF(B2214="","",股指期货基差分析!$N$11)</f>
        <v/>
      </c>
      <c r="H2214" s="5" t="str">
        <f>IF(B2214="","",股指期货基差分析!$L$11)</f>
        <v/>
      </c>
      <c r="I2214" s="9" t="str">
        <f>IF(B2214="","",股指期货基差分析!$D$11)</f>
        <v/>
      </c>
    </row>
    <row r="2215" spans="2:9" ht="15" customHeight="1" x14ac:dyDescent="0.2">
      <c r="B2215" s="8"/>
      <c r="C2215" s="6" t="str">
        <f>IF(B2215="","",[1]!s_dq_close(股指期货基差分析!$E$5,$B2215))</f>
        <v/>
      </c>
      <c r="D2215" s="6" t="str">
        <f>IF(B2215="","",[1]!s_dq_close(股指期货基差分析!$E$6,$B2215))</f>
        <v/>
      </c>
      <c r="E2215" s="6" t="e">
        <f ca="1">RANK(F2215,F:F)+COUNTIF(F$2:F2215,F2215)-1</f>
        <v>#VALUE!</v>
      </c>
      <c r="F2215" s="6" t="str">
        <f t="shared" si="35"/>
        <v/>
      </c>
      <c r="G2215" s="6" t="str">
        <f>IF(B2215="","",股指期货基差分析!$N$11)</f>
        <v/>
      </c>
      <c r="H2215" s="6" t="str">
        <f>IF(B2215="","",股指期货基差分析!$L$11)</f>
        <v/>
      </c>
      <c r="I2215" s="10" t="str">
        <f>IF(B2215="","",股指期货基差分析!$D$11)</f>
        <v/>
      </c>
    </row>
    <row r="2216" spans="2:9" ht="15" customHeight="1" x14ac:dyDescent="0.2">
      <c r="B2216" s="7"/>
      <c r="C2216" s="5" t="str">
        <f>IF(B2216="","",[1]!s_dq_close(股指期货基差分析!$E$5,$B2216))</f>
        <v/>
      </c>
      <c r="D2216" s="5" t="str">
        <f>IF(B2216="","",[1]!s_dq_close(股指期货基差分析!$E$6,$B2216))</f>
        <v/>
      </c>
      <c r="E2216" s="5" t="e">
        <f ca="1">RANK(F2216,F:F)+COUNTIF(F$2:F2216,F2216)-1</f>
        <v>#VALUE!</v>
      </c>
      <c r="F2216" s="5" t="str">
        <f t="shared" si="35"/>
        <v/>
      </c>
      <c r="G2216" s="5" t="str">
        <f>IF(B2216="","",股指期货基差分析!$N$11)</f>
        <v/>
      </c>
      <c r="H2216" s="5" t="str">
        <f>IF(B2216="","",股指期货基差分析!$L$11)</f>
        <v/>
      </c>
      <c r="I2216" s="9" t="str">
        <f>IF(B2216="","",股指期货基差分析!$D$11)</f>
        <v/>
      </c>
    </row>
    <row r="2217" spans="2:9" ht="15" customHeight="1" x14ac:dyDescent="0.2">
      <c r="B2217" s="8"/>
      <c r="C2217" s="6" t="str">
        <f>IF(B2217="","",[1]!s_dq_close(股指期货基差分析!$E$5,$B2217))</f>
        <v/>
      </c>
      <c r="D2217" s="6" t="str">
        <f>IF(B2217="","",[1]!s_dq_close(股指期货基差分析!$E$6,$B2217))</f>
        <v/>
      </c>
      <c r="E2217" s="6" t="e">
        <f ca="1">RANK(F2217,F:F)+COUNTIF(F$2:F2217,F2217)-1</f>
        <v>#VALUE!</v>
      </c>
      <c r="F2217" s="6" t="str">
        <f t="shared" si="35"/>
        <v/>
      </c>
      <c r="G2217" s="6" t="str">
        <f>IF(B2217="","",股指期货基差分析!$N$11)</f>
        <v/>
      </c>
      <c r="H2217" s="6" t="str">
        <f>IF(B2217="","",股指期货基差分析!$L$11)</f>
        <v/>
      </c>
      <c r="I2217" s="10" t="str">
        <f>IF(B2217="","",股指期货基差分析!$D$11)</f>
        <v/>
      </c>
    </row>
    <row r="2218" spans="2:9" ht="15" customHeight="1" x14ac:dyDescent="0.2">
      <c r="B2218" s="7"/>
      <c r="C2218" s="5" t="str">
        <f>IF(B2218="","",[1]!s_dq_close(股指期货基差分析!$E$5,$B2218))</f>
        <v/>
      </c>
      <c r="D2218" s="5" t="str">
        <f>IF(B2218="","",[1]!s_dq_close(股指期货基差分析!$E$6,$B2218))</f>
        <v/>
      </c>
      <c r="E2218" s="5" t="e">
        <f ca="1">RANK(F2218,F:F)+COUNTIF(F$2:F2218,F2218)-1</f>
        <v>#VALUE!</v>
      </c>
      <c r="F2218" s="5" t="str">
        <f t="shared" si="35"/>
        <v/>
      </c>
      <c r="G2218" s="5" t="str">
        <f>IF(B2218="","",股指期货基差分析!$N$11)</f>
        <v/>
      </c>
      <c r="H2218" s="5" t="str">
        <f>IF(B2218="","",股指期货基差分析!$L$11)</f>
        <v/>
      </c>
      <c r="I2218" s="9" t="str">
        <f>IF(B2218="","",股指期货基差分析!$D$11)</f>
        <v/>
      </c>
    </row>
    <row r="2219" spans="2:9" ht="15" customHeight="1" x14ac:dyDescent="0.2">
      <c r="B2219" s="8"/>
      <c r="C2219" s="6" t="str">
        <f>IF(B2219="","",[1]!s_dq_close(股指期货基差分析!$E$5,$B2219))</f>
        <v/>
      </c>
      <c r="D2219" s="6" t="str">
        <f>IF(B2219="","",[1]!s_dq_close(股指期货基差分析!$E$6,$B2219))</f>
        <v/>
      </c>
      <c r="E2219" s="6" t="e">
        <f ca="1">RANK(F2219,F:F)+COUNTIF(F$2:F2219,F2219)-1</f>
        <v>#VALUE!</v>
      </c>
      <c r="F2219" s="6" t="str">
        <f t="shared" si="35"/>
        <v/>
      </c>
      <c r="G2219" s="6" t="str">
        <f>IF(B2219="","",股指期货基差分析!$N$11)</f>
        <v/>
      </c>
      <c r="H2219" s="6" t="str">
        <f>IF(B2219="","",股指期货基差分析!$L$11)</f>
        <v/>
      </c>
      <c r="I2219" s="10" t="str">
        <f>IF(B2219="","",股指期货基差分析!$D$11)</f>
        <v/>
      </c>
    </row>
    <row r="2220" spans="2:9" ht="15" customHeight="1" x14ac:dyDescent="0.2">
      <c r="B2220" s="7"/>
      <c r="C2220" s="5" t="str">
        <f>IF(B2220="","",[1]!s_dq_close(股指期货基差分析!$E$5,$B2220))</f>
        <v/>
      </c>
      <c r="D2220" s="5" t="str">
        <f>IF(B2220="","",[1]!s_dq_close(股指期货基差分析!$E$6,$B2220))</f>
        <v/>
      </c>
      <c r="E2220" s="5" t="e">
        <f ca="1">RANK(F2220,F:F)+COUNTIF(F$2:F2220,F2220)-1</f>
        <v>#VALUE!</v>
      </c>
      <c r="F2220" s="5" t="str">
        <f t="shared" si="35"/>
        <v/>
      </c>
      <c r="G2220" s="5" t="str">
        <f>IF(B2220="","",股指期货基差分析!$N$11)</f>
        <v/>
      </c>
      <c r="H2220" s="5" t="str">
        <f>IF(B2220="","",股指期货基差分析!$L$11)</f>
        <v/>
      </c>
      <c r="I2220" s="9" t="str">
        <f>IF(B2220="","",股指期货基差分析!$D$11)</f>
        <v/>
      </c>
    </row>
    <row r="2221" spans="2:9" ht="15" customHeight="1" x14ac:dyDescent="0.2">
      <c r="B2221" s="8"/>
      <c r="C2221" s="6" t="str">
        <f>IF(B2221="","",[1]!s_dq_close(股指期货基差分析!$E$5,$B2221))</f>
        <v/>
      </c>
      <c r="D2221" s="6" t="str">
        <f>IF(B2221="","",[1]!s_dq_close(股指期货基差分析!$E$6,$B2221))</f>
        <v/>
      </c>
      <c r="E2221" s="6" t="e">
        <f ca="1">RANK(F2221,F:F)+COUNTIF(F$2:F2221,F2221)-1</f>
        <v>#VALUE!</v>
      </c>
      <c r="F2221" s="6" t="str">
        <f t="shared" si="35"/>
        <v/>
      </c>
      <c r="G2221" s="6" t="str">
        <f>IF(B2221="","",股指期货基差分析!$N$11)</f>
        <v/>
      </c>
      <c r="H2221" s="6" t="str">
        <f>IF(B2221="","",股指期货基差分析!$L$11)</f>
        <v/>
      </c>
      <c r="I2221" s="10" t="str">
        <f>IF(B2221="","",股指期货基差分析!$D$11)</f>
        <v/>
      </c>
    </row>
    <row r="2222" spans="2:9" ht="15" customHeight="1" x14ac:dyDescent="0.2">
      <c r="B2222" s="7"/>
      <c r="C2222" s="5" t="str">
        <f>IF(B2222="","",[1]!s_dq_close(股指期货基差分析!$E$5,$B2222))</f>
        <v/>
      </c>
      <c r="D2222" s="5" t="str">
        <f>IF(B2222="","",[1]!s_dq_close(股指期货基差分析!$E$6,$B2222))</f>
        <v/>
      </c>
      <c r="E2222" s="5" t="e">
        <f ca="1">RANK(F2222,F:F)+COUNTIF(F$2:F2222,F2222)-1</f>
        <v>#VALUE!</v>
      </c>
      <c r="F2222" s="5" t="str">
        <f t="shared" si="35"/>
        <v/>
      </c>
      <c r="G2222" s="5" t="str">
        <f>IF(B2222="","",股指期货基差分析!$N$11)</f>
        <v/>
      </c>
      <c r="H2222" s="5" t="str">
        <f>IF(B2222="","",股指期货基差分析!$L$11)</f>
        <v/>
      </c>
      <c r="I2222" s="9" t="str">
        <f>IF(B2222="","",股指期货基差分析!$D$11)</f>
        <v/>
      </c>
    </row>
    <row r="2223" spans="2:9" ht="15" customHeight="1" x14ac:dyDescent="0.2">
      <c r="B2223" s="8"/>
      <c r="C2223" s="6" t="str">
        <f>IF(B2223="","",[1]!s_dq_close(股指期货基差分析!$E$5,$B2223))</f>
        <v/>
      </c>
      <c r="D2223" s="6" t="str">
        <f>IF(B2223="","",[1]!s_dq_close(股指期货基差分析!$E$6,$B2223))</f>
        <v/>
      </c>
      <c r="E2223" s="6" t="e">
        <f ca="1">RANK(F2223,F:F)+COUNTIF(F$2:F2223,F2223)-1</f>
        <v>#VALUE!</v>
      </c>
      <c r="F2223" s="6" t="str">
        <f t="shared" si="35"/>
        <v/>
      </c>
      <c r="G2223" s="6" t="str">
        <f>IF(B2223="","",股指期货基差分析!$N$11)</f>
        <v/>
      </c>
      <c r="H2223" s="6" t="str">
        <f>IF(B2223="","",股指期货基差分析!$L$11)</f>
        <v/>
      </c>
      <c r="I2223" s="10" t="str">
        <f>IF(B2223="","",股指期货基差分析!$D$11)</f>
        <v/>
      </c>
    </row>
    <row r="2224" spans="2:9" ht="15" customHeight="1" x14ac:dyDescent="0.2">
      <c r="B2224" s="7"/>
      <c r="C2224" s="5" t="str">
        <f>IF(B2224="","",[1]!s_dq_close(股指期货基差分析!$E$5,$B2224))</f>
        <v/>
      </c>
      <c r="D2224" s="5" t="str">
        <f>IF(B2224="","",[1]!s_dq_close(股指期货基差分析!$E$6,$B2224))</f>
        <v/>
      </c>
      <c r="E2224" s="5" t="e">
        <f ca="1">RANK(F2224,F:F)+COUNTIF(F$2:F2224,F2224)-1</f>
        <v>#VALUE!</v>
      </c>
      <c r="F2224" s="5" t="str">
        <f t="shared" si="35"/>
        <v/>
      </c>
      <c r="G2224" s="5" t="str">
        <f>IF(B2224="","",股指期货基差分析!$N$11)</f>
        <v/>
      </c>
      <c r="H2224" s="5" t="str">
        <f>IF(B2224="","",股指期货基差分析!$L$11)</f>
        <v/>
      </c>
      <c r="I2224" s="9" t="str">
        <f>IF(B2224="","",股指期货基差分析!$D$11)</f>
        <v/>
      </c>
    </row>
    <row r="2225" spans="2:9" ht="15" customHeight="1" x14ac:dyDescent="0.2">
      <c r="B2225" s="8"/>
      <c r="C2225" s="6" t="str">
        <f>IF(B2225="","",[1]!s_dq_close(股指期货基差分析!$E$5,$B2225))</f>
        <v/>
      </c>
      <c r="D2225" s="6" t="str">
        <f>IF(B2225="","",[1]!s_dq_close(股指期货基差分析!$E$6,$B2225))</f>
        <v/>
      </c>
      <c r="E2225" s="6" t="e">
        <f ca="1">RANK(F2225,F:F)+COUNTIF(F$2:F2225,F2225)-1</f>
        <v>#VALUE!</v>
      </c>
      <c r="F2225" s="6" t="str">
        <f t="shared" si="35"/>
        <v/>
      </c>
      <c r="G2225" s="6" t="str">
        <f>IF(B2225="","",股指期货基差分析!$N$11)</f>
        <v/>
      </c>
      <c r="H2225" s="6" t="str">
        <f>IF(B2225="","",股指期货基差分析!$L$11)</f>
        <v/>
      </c>
      <c r="I2225" s="10" t="str">
        <f>IF(B2225="","",股指期货基差分析!$D$11)</f>
        <v/>
      </c>
    </row>
    <row r="2226" spans="2:9" ht="15" customHeight="1" x14ac:dyDescent="0.2">
      <c r="B2226" s="7"/>
      <c r="C2226" s="5" t="str">
        <f>IF(B2226="","",[1]!s_dq_close(股指期货基差分析!$E$5,$B2226))</f>
        <v/>
      </c>
      <c r="D2226" s="5" t="str">
        <f>IF(B2226="","",[1]!s_dq_close(股指期货基差分析!$E$6,$B2226))</f>
        <v/>
      </c>
      <c r="E2226" s="5" t="e">
        <f ca="1">RANK(F2226,F:F)+COUNTIF(F$2:F2226,F2226)-1</f>
        <v>#VALUE!</v>
      </c>
      <c r="F2226" s="5" t="str">
        <f t="shared" si="35"/>
        <v/>
      </c>
      <c r="G2226" s="5" t="str">
        <f>IF(B2226="","",股指期货基差分析!$N$11)</f>
        <v/>
      </c>
      <c r="H2226" s="5" t="str">
        <f>IF(B2226="","",股指期货基差分析!$L$11)</f>
        <v/>
      </c>
      <c r="I2226" s="9" t="str">
        <f>IF(B2226="","",股指期货基差分析!$D$11)</f>
        <v/>
      </c>
    </row>
    <row r="2227" spans="2:9" ht="15" customHeight="1" x14ac:dyDescent="0.2">
      <c r="B2227" s="8"/>
      <c r="C2227" s="6" t="str">
        <f>IF(B2227="","",[1]!s_dq_close(股指期货基差分析!$E$5,$B2227))</f>
        <v/>
      </c>
      <c r="D2227" s="6" t="str">
        <f>IF(B2227="","",[1]!s_dq_close(股指期货基差分析!$E$6,$B2227))</f>
        <v/>
      </c>
      <c r="E2227" s="6" t="e">
        <f ca="1">RANK(F2227,F:F)+COUNTIF(F$2:F2227,F2227)-1</f>
        <v>#VALUE!</v>
      </c>
      <c r="F2227" s="6" t="str">
        <f t="shared" si="35"/>
        <v/>
      </c>
      <c r="G2227" s="6" t="str">
        <f>IF(B2227="","",股指期货基差分析!$N$11)</f>
        <v/>
      </c>
      <c r="H2227" s="6" t="str">
        <f>IF(B2227="","",股指期货基差分析!$L$11)</f>
        <v/>
      </c>
      <c r="I2227" s="10" t="str">
        <f>IF(B2227="","",股指期货基差分析!$D$11)</f>
        <v/>
      </c>
    </row>
    <row r="2228" spans="2:9" ht="15" customHeight="1" x14ac:dyDescent="0.2">
      <c r="B2228" s="7"/>
      <c r="C2228" s="5" t="str">
        <f>IF(B2228="","",[1]!s_dq_close(股指期货基差分析!$E$5,$B2228))</f>
        <v/>
      </c>
      <c r="D2228" s="5" t="str">
        <f>IF(B2228="","",[1]!s_dq_close(股指期货基差分析!$E$6,$B2228))</f>
        <v/>
      </c>
      <c r="E2228" s="5" t="e">
        <f ca="1">RANK(F2228,F:F)+COUNTIF(F$2:F2228,F2228)-1</f>
        <v>#VALUE!</v>
      </c>
      <c r="F2228" s="5" t="str">
        <f t="shared" si="35"/>
        <v/>
      </c>
      <c r="G2228" s="5" t="str">
        <f>IF(B2228="","",股指期货基差分析!$N$11)</f>
        <v/>
      </c>
      <c r="H2228" s="5" t="str">
        <f>IF(B2228="","",股指期货基差分析!$L$11)</f>
        <v/>
      </c>
      <c r="I2228" s="9" t="str">
        <f>IF(B2228="","",股指期货基差分析!$D$11)</f>
        <v/>
      </c>
    </row>
    <row r="2229" spans="2:9" ht="15" customHeight="1" x14ac:dyDescent="0.2">
      <c r="B2229" s="8"/>
      <c r="C2229" s="6" t="str">
        <f>IF(B2229="","",[1]!s_dq_close(股指期货基差分析!$E$5,$B2229))</f>
        <v/>
      </c>
      <c r="D2229" s="6" t="str">
        <f>IF(B2229="","",[1]!s_dq_close(股指期货基差分析!$E$6,$B2229))</f>
        <v/>
      </c>
      <c r="E2229" s="6" t="e">
        <f ca="1">RANK(F2229,F:F)+COUNTIF(F$2:F2229,F2229)-1</f>
        <v>#VALUE!</v>
      </c>
      <c r="F2229" s="6" t="str">
        <f t="shared" si="35"/>
        <v/>
      </c>
      <c r="G2229" s="6" t="str">
        <f>IF(B2229="","",股指期货基差分析!$N$11)</f>
        <v/>
      </c>
      <c r="H2229" s="6" t="str">
        <f>IF(B2229="","",股指期货基差分析!$L$11)</f>
        <v/>
      </c>
      <c r="I2229" s="10" t="str">
        <f>IF(B2229="","",股指期货基差分析!$D$11)</f>
        <v/>
      </c>
    </row>
    <row r="2230" spans="2:9" ht="15" customHeight="1" x14ac:dyDescent="0.2">
      <c r="B2230" s="7"/>
      <c r="C2230" s="5" t="str">
        <f>IF(B2230="","",[1]!s_dq_close(股指期货基差分析!$E$5,$B2230))</f>
        <v/>
      </c>
      <c r="D2230" s="5" t="str">
        <f>IF(B2230="","",[1]!s_dq_close(股指期货基差分析!$E$6,$B2230))</f>
        <v/>
      </c>
      <c r="E2230" s="5" t="e">
        <f ca="1">RANK(F2230,F:F)+COUNTIF(F$2:F2230,F2230)-1</f>
        <v>#VALUE!</v>
      </c>
      <c r="F2230" s="5" t="str">
        <f t="shared" si="35"/>
        <v/>
      </c>
      <c r="G2230" s="5" t="str">
        <f>IF(B2230="","",股指期货基差分析!$N$11)</f>
        <v/>
      </c>
      <c r="H2230" s="5" t="str">
        <f>IF(B2230="","",股指期货基差分析!$L$11)</f>
        <v/>
      </c>
      <c r="I2230" s="9" t="str">
        <f>IF(B2230="","",股指期货基差分析!$D$11)</f>
        <v/>
      </c>
    </row>
    <row r="2231" spans="2:9" ht="15" customHeight="1" x14ac:dyDescent="0.2">
      <c r="B2231" s="8"/>
      <c r="C2231" s="6" t="str">
        <f>IF(B2231="","",[1]!s_dq_close(股指期货基差分析!$E$5,$B2231))</f>
        <v/>
      </c>
      <c r="D2231" s="6" t="str">
        <f>IF(B2231="","",[1]!s_dq_close(股指期货基差分析!$E$6,$B2231))</f>
        <v/>
      </c>
      <c r="E2231" s="6" t="e">
        <f ca="1">RANK(F2231,F:F)+COUNTIF(F$2:F2231,F2231)-1</f>
        <v>#VALUE!</v>
      </c>
      <c r="F2231" s="6" t="str">
        <f t="shared" si="35"/>
        <v/>
      </c>
      <c r="G2231" s="6" t="str">
        <f>IF(B2231="","",股指期货基差分析!$N$11)</f>
        <v/>
      </c>
      <c r="H2231" s="6" t="str">
        <f>IF(B2231="","",股指期货基差分析!$L$11)</f>
        <v/>
      </c>
      <c r="I2231" s="10" t="str">
        <f>IF(B2231="","",股指期货基差分析!$D$11)</f>
        <v/>
      </c>
    </row>
    <row r="2232" spans="2:9" ht="15" customHeight="1" x14ac:dyDescent="0.2">
      <c r="B2232" s="7"/>
      <c r="C2232" s="5" t="str">
        <f>IF(B2232="","",[1]!s_dq_close(股指期货基差分析!$E$5,$B2232))</f>
        <v/>
      </c>
      <c r="D2232" s="5" t="str">
        <f>IF(B2232="","",[1]!s_dq_close(股指期货基差分析!$E$6,$B2232))</f>
        <v/>
      </c>
      <c r="E2232" s="5" t="e">
        <f ca="1">RANK(F2232,F:F)+COUNTIF(F$2:F2232,F2232)-1</f>
        <v>#VALUE!</v>
      </c>
      <c r="F2232" s="5" t="str">
        <f t="shared" si="35"/>
        <v/>
      </c>
      <c r="G2232" s="5" t="str">
        <f>IF(B2232="","",股指期货基差分析!$N$11)</f>
        <v/>
      </c>
      <c r="H2232" s="5" t="str">
        <f>IF(B2232="","",股指期货基差分析!$L$11)</f>
        <v/>
      </c>
      <c r="I2232" s="9" t="str">
        <f>IF(B2232="","",股指期货基差分析!$D$11)</f>
        <v/>
      </c>
    </row>
    <row r="2233" spans="2:9" ht="15" customHeight="1" x14ac:dyDescent="0.2">
      <c r="B2233" s="8"/>
      <c r="C2233" s="6" t="str">
        <f>IF(B2233="","",[1]!s_dq_close(股指期货基差分析!$E$5,$B2233))</f>
        <v/>
      </c>
      <c r="D2233" s="6" t="str">
        <f>IF(B2233="","",[1]!s_dq_close(股指期货基差分析!$E$6,$B2233))</f>
        <v/>
      </c>
      <c r="E2233" s="6" t="e">
        <f ca="1">RANK(F2233,F:F)+COUNTIF(F$2:F2233,F2233)-1</f>
        <v>#VALUE!</v>
      </c>
      <c r="F2233" s="6" t="str">
        <f t="shared" si="35"/>
        <v/>
      </c>
      <c r="G2233" s="6" t="str">
        <f>IF(B2233="","",股指期货基差分析!$N$11)</f>
        <v/>
      </c>
      <c r="H2233" s="6" t="str">
        <f>IF(B2233="","",股指期货基差分析!$L$11)</f>
        <v/>
      </c>
      <c r="I2233" s="10" t="str">
        <f>IF(B2233="","",股指期货基差分析!$D$11)</f>
        <v/>
      </c>
    </row>
    <row r="2234" spans="2:9" ht="15" customHeight="1" x14ac:dyDescent="0.2">
      <c r="B2234" s="7"/>
      <c r="C2234" s="5" t="str">
        <f>IF(B2234="","",[1]!s_dq_close(股指期货基差分析!$E$5,$B2234))</f>
        <v/>
      </c>
      <c r="D2234" s="5" t="str">
        <f>IF(B2234="","",[1]!s_dq_close(股指期货基差分析!$E$6,$B2234))</f>
        <v/>
      </c>
      <c r="E2234" s="5" t="e">
        <f ca="1">RANK(F2234,F:F)+COUNTIF(F$2:F2234,F2234)-1</f>
        <v>#VALUE!</v>
      </c>
      <c r="F2234" s="5" t="str">
        <f t="shared" si="35"/>
        <v/>
      </c>
      <c r="G2234" s="5" t="str">
        <f>IF(B2234="","",股指期货基差分析!$N$11)</f>
        <v/>
      </c>
      <c r="H2234" s="5" t="str">
        <f>IF(B2234="","",股指期货基差分析!$L$11)</f>
        <v/>
      </c>
      <c r="I2234" s="9" t="str">
        <f>IF(B2234="","",股指期货基差分析!$D$11)</f>
        <v/>
      </c>
    </row>
    <row r="2235" spans="2:9" ht="15" customHeight="1" x14ac:dyDescent="0.2">
      <c r="B2235" s="8"/>
      <c r="C2235" s="6" t="str">
        <f>IF(B2235="","",[1]!s_dq_close(股指期货基差分析!$E$5,$B2235))</f>
        <v/>
      </c>
      <c r="D2235" s="6" t="str">
        <f>IF(B2235="","",[1]!s_dq_close(股指期货基差分析!$E$6,$B2235))</f>
        <v/>
      </c>
      <c r="E2235" s="6" t="e">
        <f ca="1">RANK(F2235,F:F)+COUNTIF(F$2:F2235,F2235)-1</f>
        <v>#VALUE!</v>
      </c>
      <c r="F2235" s="6" t="str">
        <f t="shared" si="35"/>
        <v/>
      </c>
      <c r="G2235" s="6" t="str">
        <f>IF(B2235="","",股指期货基差分析!$N$11)</f>
        <v/>
      </c>
      <c r="H2235" s="6" t="str">
        <f>IF(B2235="","",股指期货基差分析!$L$11)</f>
        <v/>
      </c>
      <c r="I2235" s="10" t="str">
        <f>IF(B2235="","",股指期货基差分析!$D$11)</f>
        <v/>
      </c>
    </row>
    <row r="2236" spans="2:9" ht="15" customHeight="1" x14ac:dyDescent="0.2">
      <c r="B2236" s="7"/>
      <c r="C2236" s="5" t="str">
        <f>IF(B2236="","",[1]!s_dq_close(股指期货基差分析!$E$5,$B2236))</f>
        <v/>
      </c>
      <c r="D2236" s="5" t="str">
        <f>IF(B2236="","",[1]!s_dq_close(股指期货基差分析!$E$6,$B2236))</f>
        <v/>
      </c>
      <c r="E2236" s="5" t="e">
        <f ca="1">RANK(F2236,F:F)+COUNTIF(F$2:F2236,F2236)-1</f>
        <v>#VALUE!</v>
      </c>
      <c r="F2236" s="5" t="str">
        <f t="shared" si="35"/>
        <v/>
      </c>
      <c r="G2236" s="5" t="str">
        <f>IF(B2236="","",股指期货基差分析!$N$11)</f>
        <v/>
      </c>
      <c r="H2236" s="5" t="str">
        <f>IF(B2236="","",股指期货基差分析!$L$11)</f>
        <v/>
      </c>
      <c r="I2236" s="9" t="str">
        <f>IF(B2236="","",股指期货基差分析!$D$11)</f>
        <v/>
      </c>
    </row>
    <row r="2237" spans="2:9" ht="15" customHeight="1" x14ac:dyDescent="0.2">
      <c r="B2237" s="8"/>
      <c r="C2237" s="6" t="str">
        <f>IF(B2237="","",[1]!s_dq_close(股指期货基差分析!$E$5,$B2237))</f>
        <v/>
      </c>
      <c r="D2237" s="6" t="str">
        <f>IF(B2237="","",[1]!s_dq_close(股指期货基差分析!$E$6,$B2237))</f>
        <v/>
      </c>
      <c r="E2237" s="6" t="e">
        <f ca="1">RANK(F2237,F:F)+COUNTIF(F$2:F2237,F2237)-1</f>
        <v>#VALUE!</v>
      </c>
      <c r="F2237" s="6" t="str">
        <f t="shared" si="35"/>
        <v/>
      </c>
      <c r="G2237" s="6" t="str">
        <f>IF(B2237="","",股指期货基差分析!$N$11)</f>
        <v/>
      </c>
      <c r="H2237" s="6" t="str">
        <f>IF(B2237="","",股指期货基差分析!$L$11)</f>
        <v/>
      </c>
      <c r="I2237" s="10" t="str">
        <f>IF(B2237="","",股指期货基差分析!$D$11)</f>
        <v/>
      </c>
    </row>
    <row r="2238" spans="2:9" ht="15" customHeight="1" x14ac:dyDescent="0.2">
      <c r="B2238" s="7"/>
      <c r="C2238" s="5" t="str">
        <f>IF(B2238="","",[1]!s_dq_close(股指期货基差分析!$E$5,$B2238))</f>
        <v/>
      </c>
      <c r="D2238" s="5" t="str">
        <f>IF(B2238="","",[1]!s_dq_close(股指期货基差分析!$E$6,$B2238))</f>
        <v/>
      </c>
      <c r="E2238" s="5" t="e">
        <f ca="1">RANK(F2238,F:F)+COUNTIF(F$2:F2238,F2238)-1</f>
        <v>#VALUE!</v>
      </c>
      <c r="F2238" s="5" t="str">
        <f t="shared" si="35"/>
        <v/>
      </c>
      <c r="G2238" s="5" t="str">
        <f>IF(B2238="","",股指期货基差分析!$N$11)</f>
        <v/>
      </c>
      <c r="H2238" s="5" t="str">
        <f>IF(B2238="","",股指期货基差分析!$L$11)</f>
        <v/>
      </c>
      <c r="I2238" s="9" t="str">
        <f>IF(B2238="","",股指期货基差分析!$D$11)</f>
        <v/>
      </c>
    </row>
    <row r="2239" spans="2:9" ht="15" customHeight="1" x14ac:dyDescent="0.2">
      <c r="B2239" s="8"/>
      <c r="C2239" s="6" t="str">
        <f>IF(B2239="","",[1]!s_dq_close(股指期货基差分析!$E$5,$B2239))</f>
        <v/>
      </c>
      <c r="D2239" s="6" t="str">
        <f>IF(B2239="","",[1]!s_dq_close(股指期货基差分析!$E$6,$B2239))</f>
        <v/>
      </c>
      <c r="E2239" s="6" t="e">
        <f ca="1">RANK(F2239,F:F)+COUNTIF(F$2:F2239,F2239)-1</f>
        <v>#VALUE!</v>
      </c>
      <c r="F2239" s="6" t="str">
        <f t="shared" si="35"/>
        <v/>
      </c>
      <c r="G2239" s="6" t="str">
        <f>IF(B2239="","",股指期货基差分析!$N$11)</f>
        <v/>
      </c>
      <c r="H2239" s="6" t="str">
        <f>IF(B2239="","",股指期货基差分析!$L$11)</f>
        <v/>
      </c>
      <c r="I2239" s="10" t="str">
        <f>IF(B2239="","",股指期货基差分析!$D$11)</f>
        <v/>
      </c>
    </row>
    <row r="2240" spans="2:9" ht="15" customHeight="1" x14ac:dyDescent="0.2">
      <c r="B2240" s="7"/>
      <c r="C2240" s="5" t="str">
        <f>IF(B2240="","",[1]!s_dq_close(股指期货基差分析!$E$5,$B2240))</f>
        <v/>
      </c>
      <c r="D2240" s="5" t="str">
        <f>IF(B2240="","",[1]!s_dq_close(股指期货基差分析!$E$6,$B2240))</f>
        <v/>
      </c>
      <c r="E2240" s="5" t="e">
        <f ca="1">RANK(F2240,F:F)+COUNTIF(F$2:F2240,F2240)-1</f>
        <v>#VALUE!</v>
      </c>
      <c r="F2240" s="5" t="str">
        <f t="shared" si="35"/>
        <v/>
      </c>
      <c r="G2240" s="5" t="str">
        <f>IF(B2240="","",股指期货基差分析!$N$11)</f>
        <v/>
      </c>
      <c r="H2240" s="5" t="str">
        <f>IF(B2240="","",股指期货基差分析!$L$11)</f>
        <v/>
      </c>
      <c r="I2240" s="9" t="str">
        <f>IF(B2240="","",股指期货基差分析!$D$11)</f>
        <v/>
      </c>
    </row>
    <row r="2241" spans="2:9" ht="15" customHeight="1" x14ac:dyDescent="0.2">
      <c r="B2241" s="8"/>
      <c r="C2241" s="6" t="str">
        <f>IF(B2241="","",[1]!s_dq_close(股指期货基差分析!$E$5,$B2241))</f>
        <v/>
      </c>
      <c r="D2241" s="6" t="str">
        <f>IF(B2241="","",[1]!s_dq_close(股指期货基差分析!$E$6,$B2241))</f>
        <v/>
      </c>
      <c r="E2241" s="6" t="e">
        <f ca="1">RANK(F2241,F:F)+COUNTIF(F$2:F2241,F2241)-1</f>
        <v>#VALUE!</v>
      </c>
      <c r="F2241" s="6" t="str">
        <f t="shared" si="35"/>
        <v/>
      </c>
      <c r="G2241" s="6" t="str">
        <f>IF(B2241="","",股指期货基差分析!$N$11)</f>
        <v/>
      </c>
      <c r="H2241" s="6" t="str">
        <f>IF(B2241="","",股指期货基差分析!$L$11)</f>
        <v/>
      </c>
      <c r="I2241" s="10" t="str">
        <f>IF(B2241="","",股指期货基差分析!$D$11)</f>
        <v/>
      </c>
    </row>
    <row r="2242" spans="2:9" ht="15" customHeight="1" x14ac:dyDescent="0.2">
      <c r="B2242" s="7"/>
      <c r="C2242" s="5" t="str">
        <f>IF(B2242="","",[1]!s_dq_close(股指期货基差分析!$E$5,$B2242))</f>
        <v/>
      </c>
      <c r="D2242" s="5" t="str">
        <f>IF(B2242="","",[1]!s_dq_close(股指期货基差分析!$E$6,$B2242))</f>
        <v/>
      </c>
      <c r="E2242" s="5" t="e">
        <f ca="1">RANK(F2242,F:F)+COUNTIF(F$2:F2242,F2242)-1</f>
        <v>#VALUE!</v>
      </c>
      <c r="F2242" s="5" t="str">
        <f t="shared" ref="F2242:F2305" si="36">IF(B2242="","",D2242-C2242)</f>
        <v/>
      </c>
      <c r="G2242" s="5" t="str">
        <f>IF(B2242="","",股指期货基差分析!$N$11)</f>
        <v/>
      </c>
      <c r="H2242" s="5" t="str">
        <f>IF(B2242="","",股指期货基差分析!$L$11)</f>
        <v/>
      </c>
      <c r="I2242" s="9" t="str">
        <f>IF(B2242="","",股指期货基差分析!$D$11)</f>
        <v/>
      </c>
    </row>
    <row r="2243" spans="2:9" ht="15" customHeight="1" x14ac:dyDescent="0.2">
      <c r="B2243" s="8"/>
      <c r="C2243" s="6" t="str">
        <f>IF(B2243="","",[1]!s_dq_close(股指期货基差分析!$E$5,$B2243))</f>
        <v/>
      </c>
      <c r="D2243" s="6" t="str">
        <f>IF(B2243="","",[1]!s_dq_close(股指期货基差分析!$E$6,$B2243))</f>
        <v/>
      </c>
      <c r="E2243" s="6" t="e">
        <f ca="1">RANK(F2243,F:F)+COUNTIF(F$2:F2243,F2243)-1</f>
        <v>#VALUE!</v>
      </c>
      <c r="F2243" s="6" t="str">
        <f t="shared" si="36"/>
        <v/>
      </c>
      <c r="G2243" s="6" t="str">
        <f>IF(B2243="","",股指期货基差分析!$N$11)</f>
        <v/>
      </c>
      <c r="H2243" s="6" t="str">
        <f>IF(B2243="","",股指期货基差分析!$L$11)</f>
        <v/>
      </c>
      <c r="I2243" s="10" t="str">
        <f>IF(B2243="","",股指期货基差分析!$D$11)</f>
        <v/>
      </c>
    </row>
    <row r="2244" spans="2:9" ht="15" customHeight="1" x14ac:dyDescent="0.2">
      <c r="B2244" s="7"/>
      <c r="C2244" s="5" t="str">
        <f>IF(B2244="","",[1]!s_dq_close(股指期货基差分析!$E$5,$B2244))</f>
        <v/>
      </c>
      <c r="D2244" s="5" t="str">
        <f>IF(B2244="","",[1]!s_dq_close(股指期货基差分析!$E$6,$B2244))</f>
        <v/>
      </c>
      <c r="E2244" s="5" t="e">
        <f ca="1">RANK(F2244,F:F)+COUNTIF(F$2:F2244,F2244)-1</f>
        <v>#VALUE!</v>
      </c>
      <c r="F2244" s="5" t="str">
        <f t="shared" si="36"/>
        <v/>
      </c>
      <c r="G2244" s="5" t="str">
        <f>IF(B2244="","",股指期货基差分析!$N$11)</f>
        <v/>
      </c>
      <c r="H2244" s="5" t="str">
        <f>IF(B2244="","",股指期货基差分析!$L$11)</f>
        <v/>
      </c>
      <c r="I2244" s="9" t="str">
        <f>IF(B2244="","",股指期货基差分析!$D$11)</f>
        <v/>
      </c>
    </row>
    <row r="2245" spans="2:9" ht="15" customHeight="1" x14ac:dyDescent="0.2">
      <c r="B2245" s="8"/>
      <c r="C2245" s="6" t="str">
        <f>IF(B2245="","",[1]!s_dq_close(股指期货基差分析!$E$5,$B2245))</f>
        <v/>
      </c>
      <c r="D2245" s="6" t="str">
        <f>IF(B2245="","",[1]!s_dq_close(股指期货基差分析!$E$6,$B2245))</f>
        <v/>
      </c>
      <c r="E2245" s="6" t="e">
        <f ca="1">RANK(F2245,F:F)+COUNTIF(F$2:F2245,F2245)-1</f>
        <v>#VALUE!</v>
      </c>
      <c r="F2245" s="6" t="str">
        <f t="shared" si="36"/>
        <v/>
      </c>
      <c r="G2245" s="6" t="str">
        <f>IF(B2245="","",股指期货基差分析!$N$11)</f>
        <v/>
      </c>
      <c r="H2245" s="6" t="str">
        <f>IF(B2245="","",股指期货基差分析!$L$11)</f>
        <v/>
      </c>
      <c r="I2245" s="10" t="str">
        <f>IF(B2245="","",股指期货基差分析!$D$11)</f>
        <v/>
      </c>
    </row>
    <row r="2246" spans="2:9" ht="15" customHeight="1" x14ac:dyDescent="0.2">
      <c r="B2246" s="7"/>
      <c r="C2246" s="5" t="str">
        <f>IF(B2246="","",[1]!s_dq_close(股指期货基差分析!$E$5,$B2246))</f>
        <v/>
      </c>
      <c r="D2246" s="5" t="str">
        <f>IF(B2246="","",[1]!s_dq_close(股指期货基差分析!$E$6,$B2246))</f>
        <v/>
      </c>
      <c r="E2246" s="5" t="e">
        <f ca="1">RANK(F2246,F:F)+COUNTIF(F$2:F2246,F2246)-1</f>
        <v>#VALUE!</v>
      </c>
      <c r="F2246" s="5" t="str">
        <f t="shared" si="36"/>
        <v/>
      </c>
      <c r="G2246" s="5" t="str">
        <f>IF(B2246="","",股指期货基差分析!$N$11)</f>
        <v/>
      </c>
      <c r="H2246" s="5" t="str">
        <f>IF(B2246="","",股指期货基差分析!$L$11)</f>
        <v/>
      </c>
      <c r="I2246" s="9" t="str">
        <f>IF(B2246="","",股指期货基差分析!$D$11)</f>
        <v/>
      </c>
    </row>
    <row r="2247" spans="2:9" ht="15" customHeight="1" x14ac:dyDescent="0.2">
      <c r="B2247" s="8"/>
      <c r="C2247" s="6" t="str">
        <f>IF(B2247="","",[1]!s_dq_close(股指期货基差分析!$E$5,$B2247))</f>
        <v/>
      </c>
      <c r="D2247" s="6" t="str">
        <f>IF(B2247="","",[1]!s_dq_close(股指期货基差分析!$E$6,$B2247))</f>
        <v/>
      </c>
      <c r="E2247" s="6" t="e">
        <f ca="1">RANK(F2247,F:F)+COUNTIF(F$2:F2247,F2247)-1</f>
        <v>#VALUE!</v>
      </c>
      <c r="F2247" s="6" t="str">
        <f t="shared" si="36"/>
        <v/>
      </c>
      <c r="G2247" s="6" t="str">
        <f>IF(B2247="","",股指期货基差分析!$N$11)</f>
        <v/>
      </c>
      <c r="H2247" s="6" t="str">
        <f>IF(B2247="","",股指期货基差分析!$L$11)</f>
        <v/>
      </c>
      <c r="I2247" s="10" t="str">
        <f>IF(B2247="","",股指期货基差分析!$D$11)</f>
        <v/>
      </c>
    </row>
    <row r="2248" spans="2:9" ht="15" customHeight="1" x14ac:dyDescent="0.2">
      <c r="B2248" s="7"/>
      <c r="C2248" s="5" t="str">
        <f>IF(B2248="","",[1]!s_dq_close(股指期货基差分析!$E$5,$B2248))</f>
        <v/>
      </c>
      <c r="D2248" s="5" t="str">
        <f>IF(B2248="","",[1]!s_dq_close(股指期货基差分析!$E$6,$B2248))</f>
        <v/>
      </c>
      <c r="E2248" s="5" t="e">
        <f ca="1">RANK(F2248,F:F)+COUNTIF(F$2:F2248,F2248)-1</f>
        <v>#VALUE!</v>
      </c>
      <c r="F2248" s="5" t="str">
        <f t="shared" si="36"/>
        <v/>
      </c>
      <c r="G2248" s="5" t="str">
        <f>IF(B2248="","",股指期货基差分析!$N$11)</f>
        <v/>
      </c>
      <c r="H2248" s="5" t="str">
        <f>IF(B2248="","",股指期货基差分析!$L$11)</f>
        <v/>
      </c>
      <c r="I2248" s="9" t="str">
        <f>IF(B2248="","",股指期货基差分析!$D$11)</f>
        <v/>
      </c>
    </row>
    <row r="2249" spans="2:9" ht="15" customHeight="1" x14ac:dyDescent="0.2">
      <c r="B2249" s="8"/>
      <c r="C2249" s="6" t="str">
        <f>IF(B2249="","",[1]!s_dq_close(股指期货基差分析!$E$5,$B2249))</f>
        <v/>
      </c>
      <c r="D2249" s="6" t="str">
        <f>IF(B2249="","",[1]!s_dq_close(股指期货基差分析!$E$6,$B2249))</f>
        <v/>
      </c>
      <c r="E2249" s="6" t="e">
        <f ca="1">RANK(F2249,F:F)+COUNTIF(F$2:F2249,F2249)-1</f>
        <v>#VALUE!</v>
      </c>
      <c r="F2249" s="6" t="str">
        <f t="shared" si="36"/>
        <v/>
      </c>
      <c r="G2249" s="6" t="str">
        <f>IF(B2249="","",股指期货基差分析!$N$11)</f>
        <v/>
      </c>
      <c r="H2249" s="6" t="str">
        <f>IF(B2249="","",股指期货基差分析!$L$11)</f>
        <v/>
      </c>
      <c r="I2249" s="10" t="str">
        <f>IF(B2249="","",股指期货基差分析!$D$11)</f>
        <v/>
      </c>
    </row>
    <row r="2250" spans="2:9" ht="15" customHeight="1" x14ac:dyDescent="0.2">
      <c r="B2250" s="7"/>
      <c r="C2250" s="5" t="str">
        <f>IF(B2250="","",[1]!s_dq_close(股指期货基差分析!$E$5,$B2250))</f>
        <v/>
      </c>
      <c r="D2250" s="5" t="str">
        <f>IF(B2250="","",[1]!s_dq_close(股指期货基差分析!$E$6,$B2250))</f>
        <v/>
      </c>
      <c r="E2250" s="5" t="e">
        <f ca="1">RANK(F2250,F:F)+COUNTIF(F$2:F2250,F2250)-1</f>
        <v>#VALUE!</v>
      </c>
      <c r="F2250" s="5" t="str">
        <f t="shared" si="36"/>
        <v/>
      </c>
      <c r="G2250" s="5" t="str">
        <f>IF(B2250="","",股指期货基差分析!$N$11)</f>
        <v/>
      </c>
      <c r="H2250" s="5" t="str">
        <f>IF(B2250="","",股指期货基差分析!$L$11)</f>
        <v/>
      </c>
      <c r="I2250" s="9" t="str">
        <f>IF(B2250="","",股指期货基差分析!$D$11)</f>
        <v/>
      </c>
    </row>
    <row r="2251" spans="2:9" ht="15" customHeight="1" x14ac:dyDescent="0.2">
      <c r="B2251" s="8"/>
      <c r="C2251" s="6" t="str">
        <f>IF(B2251="","",[1]!s_dq_close(股指期货基差分析!$E$5,$B2251))</f>
        <v/>
      </c>
      <c r="D2251" s="6" t="str">
        <f>IF(B2251="","",[1]!s_dq_close(股指期货基差分析!$E$6,$B2251))</f>
        <v/>
      </c>
      <c r="E2251" s="6" t="e">
        <f ca="1">RANK(F2251,F:F)+COUNTIF(F$2:F2251,F2251)-1</f>
        <v>#VALUE!</v>
      </c>
      <c r="F2251" s="6" t="str">
        <f t="shared" si="36"/>
        <v/>
      </c>
      <c r="G2251" s="6" t="str">
        <f>IF(B2251="","",股指期货基差分析!$N$11)</f>
        <v/>
      </c>
      <c r="H2251" s="6" t="str">
        <f>IF(B2251="","",股指期货基差分析!$L$11)</f>
        <v/>
      </c>
      <c r="I2251" s="10" t="str">
        <f>IF(B2251="","",股指期货基差分析!$D$11)</f>
        <v/>
      </c>
    </row>
    <row r="2252" spans="2:9" ht="15" customHeight="1" x14ac:dyDescent="0.2">
      <c r="B2252" s="7"/>
      <c r="C2252" s="5" t="str">
        <f>IF(B2252="","",[1]!s_dq_close(股指期货基差分析!$E$5,$B2252))</f>
        <v/>
      </c>
      <c r="D2252" s="5" t="str">
        <f>IF(B2252="","",[1]!s_dq_close(股指期货基差分析!$E$6,$B2252))</f>
        <v/>
      </c>
      <c r="E2252" s="5" t="e">
        <f ca="1">RANK(F2252,F:F)+COUNTIF(F$2:F2252,F2252)-1</f>
        <v>#VALUE!</v>
      </c>
      <c r="F2252" s="5" t="str">
        <f t="shared" si="36"/>
        <v/>
      </c>
      <c r="G2252" s="5" t="str">
        <f>IF(B2252="","",股指期货基差分析!$N$11)</f>
        <v/>
      </c>
      <c r="H2252" s="5" t="str">
        <f>IF(B2252="","",股指期货基差分析!$L$11)</f>
        <v/>
      </c>
      <c r="I2252" s="9" t="str">
        <f>IF(B2252="","",股指期货基差分析!$D$11)</f>
        <v/>
      </c>
    </row>
    <row r="2253" spans="2:9" ht="15" customHeight="1" x14ac:dyDescent="0.2">
      <c r="B2253" s="8"/>
      <c r="C2253" s="6" t="str">
        <f>IF(B2253="","",[1]!s_dq_close(股指期货基差分析!$E$5,$B2253))</f>
        <v/>
      </c>
      <c r="D2253" s="6" t="str">
        <f>IF(B2253="","",[1]!s_dq_close(股指期货基差分析!$E$6,$B2253))</f>
        <v/>
      </c>
      <c r="E2253" s="6" t="e">
        <f ca="1">RANK(F2253,F:F)+COUNTIF(F$2:F2253,F2253)-1</f>
        <v>#VALUE!</v>
      </c>
      <c r="F2253" s="6" t="str">
        <f t="shared" si="36"/>
        <v/>
      </c>
      <c r="G2253" s="6" t="str">
        <f>IF(B2253="","",股指期货基差分析!$N$11)</f>
        <v/>
      </c>
      <c r="H2253" s="6" t="str">
        <f>IF(B2253="","",股指期货基差分析!$L$11)</f>
        <v/>
      </c>
      <c r="I2253" s="10" t="str">
        <f>IF(B2253="","",股指期货基差分析!$D$11)</f>
        <v/>
      </c>
    </row>
    <row r="2254" spans="2:9" ht="15" customHeight="1" x14ac:dyDescent="0.2">
      <c r="B2254" s="7"/>
      <c r="C2254" s="5" t="str">
        <f>IF(B2254="","",[1]!s_dq_close(股指期货基差分析!$E$5,$B2254))</f>
        <v/>
      </c>
      <c r="D2254" s="5" t="str">
        <f>IF(B2254="","",[1]!s_dq_close(股指期货基差分析!$E$6,$B2254))</f>
        <v/>
      </c>
      <c r="E2254" s="5" t="e">
        <f ca="1">RANK(F2254,F:F)+COUNTIF(F$2:F2254,F2254)-1</f>
        <v>#VALUE!</v>
      </c>
      <c r="F2254" s="5" t="str">
        <f t="shared" si="36"/>
        <v/>
      </c>
      <c r="G2254" s="5" t="str">
        <f>IF(B2254="","",股指期货基差分析!$N$11)</f>
        <v/>
      </c>
      <c r="H2254" s="5" t="str">
        <f>IF(B2254="","",股指期货基差分析!$L$11)</f>
        <v/>
      </c>
      <c r="I2254" s="9" t="str">
        <f>IF(B2254="","",股指期货基差分析!$D$11)</f>
        <v/>
      </c>
    </row>
    <row r="2255" spans="2:9" ht="15" customHeight="1" x14ac:dyDescent="0.2">
      <c r="B2255" s="8"/>
      <c r="C2255" s="6" t="str">
        <f>IF(B2255="","",[1]!s_dq_close(股指期货基差分析!$E$5,$B2255))</f>
        <v/>
      </c>
      <c r="D2255" s="6" t="str">
        <f>IF(B2255="","",[1]!s_dq_close(股指期货基差分析!$E$6,$B2255))</f>
        <v/>
      </c>
      <c r="E2255" s="6" t="e">
        <f ca="1">RANK(F2255,F:F)+COUNTIF(F$2:F2255,F2255)-1</f>
        <v>#VALUE!</v>
      </c>
      <c r="F2255" s="6" t="str">
        <f t="shared" si="36"/>
        <v/>
      </c>
      <c r="G2255" s="6" t="str">
        <f>IF(B2255="","",股指期货基差分析!$N$11)</f>
        <v/>
      </c>
      <c r="H2255" s="6" t="str">
        <f>IF(B2255="","",股指期货基差分析!$L$11)</f>
        <v/>
      </c>
      <c r="I2255" s="10" t="str">
        <f>IF(B2255="","",股指期货基差分析!$D$11)</f>
        <v/>
      </c>
    </row>
    <row r="2256" spans="2:9" ht="15" customHeight="1" x14ac:dyDescent="0.2">
      <c r="B2256" s="7"/>
      <c r="C2256" s="5" t="str">
        <f>IF(B2256="","",[1]!s_dq_close(股指期货基差分析!$E$5,$B2256))</f>
        <v/>
      </c>
      <c r="D2256" s="5" t="str">
        <f>IF(B2256="","",[1]!s_dq_close(股指期货基差分析!$E$6,$B2256))</f>
        <v/>
      </c>
      <c r="E2256" s="5" t="e">
        <f ca="1">RANK(F2256,F:F)+COUNTIF(F$2:F2256,F2256)-1</f>
        <v>#VALUE!</v>
      </c>
      <c r="F2256" s="5" t="str">
        <f t="shared" si="36"/>
        <v/>
      </c>
      <c r="G2256" s="5" t="str">
        <f>IF(B2256="","",股指期货基差分析!$N$11)</f>
        <v/>
      </c>
      <c r="H2256" s="5" t="str">
        <f>IF(B2256="","",股指期货基差分析!$L$11)</f>
        <v/>
      </c>
      <c r="I2256" s="9" t="str">
        <f>IF(B2256="","",股指期货基差分析!$D$11)</f>
        <v/>
      </c>
    </row>
    <row r="2257" spans="2:9" ht="15" customHeight="1" x14ac:dyDescent="0.2">
      <c r="B2257" s="8"/>
      <c r="C2257" s="6" t="str">
        <f>IF(B2257="","",[1]!s_dq_close(股指期货基差分析!$E$5,$B2257))</f>
        <v/>
      </c>
      <c r="D2257" s="6" t="str">
        <f>IF(B2257="","",[1]!s_dq_close(股指期货基差分析!$E$6,$B2257))</f>
        <v/>
      </c>
      <c r="E2257" s="6" t="e">
        <f ca="1">RANK(F2257,F:F)+COUNTIF(F$2:F2257,F2257)-1</f>
        <v>#VALUE!</v>
      </c>
      <c r="F2257" s="6" t="str">
        <f t="shared" si="36"/>
        <v/>
      </c>
      <c r="G2257" s="6" t="str">
        <f>IF(B2257="","",股指期货基差分析!$N$11)</f>
        <v/>
      </c>
      <c r="H2257" s="6" t="str">
        <f>IF(B2257="","",股指期货基差分析!$L$11)</f>
        <v/>
      </c>
      <c r="I2257" s="10" t="str">
        <f>IF(B2257="","",股指期货基差分析!$D$11)</f>
        <v/>
      </c>
    </row>
    <row r="2258" spans="2:9" ht="15" customHeight="1" x14ac:dyDescent="0.2">
      <c r="B2258" s="7"/>
      <c r="C2258" s="5" t="str">
        <f>IF(B2258="","",[1]!s_dq_close(股指期货基差分析!$E$5,$B2258))</f>
        <v/>
      </c>
      <c r="D2258" s="5" t="str">
        <f>IF(B2258="","",[1]!s_dq_close(股指期货基差分析!$E$6,$B2258))</f>
        <v/>
      </c>
      <c r="E2258" s="5" t="e">
        <f ca="1">RANK(F2258,F:F)+COUNTIF(F$2:F2258,F2258)-1</f>
        <v>#VALUE!</v>
      </c>
      <c r="F2258" s="5" t="str">
        <f t="shared" si="36"/>
        <v/>
      </c>
      <c r="G2258" s="5" t="str">
        <f>IF(B2258="","",股指期货基差分析!$N$11)</f>
        <v/>
      </c>
      <c r="H2258" s="5" t="str">
        <f>IF(B2258="","",股指期货基差分析!$L$11)</f>
        <v/>
      </c>
      <c r="I2258" s="9" t="str">
        <f>IF(B2258="","",股指期货基差分析!$D$11)</f>
        <v/>
      </c>
    </row>
    <row r="2259" spans="2:9" ht="15" customHeight="1" x14ac:dyDescent="0.2">
      <c r="B2259" s="8"/>
      <c r="C2259" s="6" t="str">
        <f>IF(B2259="","",[1]!s_dq_close(股指期货基差分析!$E$5,$B2259))</f>
        <v/>
      </c>
      <c r="D2259" s="6" t="str">
        <f>IF(B2259="","",[1]!s_dq_close(股指期货基差分析!$E$6,$B2259))</f>
        <v/>
      </c>
      <c r="E2259" s="6" t="e">
        <f ca="1">RANK(F2259,F:F)+COUNTIF(F$2:F2259,F2259)-1</f>
        <v>#VALUE!</v>
      </c>
      <c r="F2259" s="6" t="str">
        <f t="shared" si="36"/>
        <v/>
      </c>
      <c r="G2259" s="6" t="str">
        <f>IF(B2259="","",股指期货基差分析!$N$11)</f>
        <v/>
      </c>
      <c r="H2259" s="6" t="str">
        <f>IF(B2259="","",股指期货基差分析!$L$11)</f>
        <v/>
      </c>
      <c r="I2259" s="10" t="str">
        <f>IF(B2259="","",股指期货基差分析!$D$11)</f>
        <v/>
      </c>
    </row>
    <row r="2260" spans="2:9" ht="15" customHeight="1" x14ac:dyDescent="0.2">
      <c r="B2260" s="7"/>
      <c r="C2260" s="5" t="str">
        <f>IF(B2260="","",[1]!s_dq_close(股指期货基差分析!$E$5,$B2260))</f>
        <v/>
      </c>
      <c r="D2260" s="5" t="str">
        <f>IF(B2260="","",[1]!s_dq_close(股指期货基差分析!$E$6,$B2260))</f>
        <v/>
      </c>
      <c r="E2260" s="5" t="e">
        <f ca="1">RANK(F2260,F:F)+COUNTIF(F$2:F2260,F2260)-1</f>
        <v>#VALUE!</v>
      </c>
      <c r="F2260" s="5" t="str">
        <f t="shared" si="36"/>
        <v/>
      </c>
      <c r="G2260" s="5" t="str">
        <f>IF(B2260="","",股指期货基差分析!$N$11)</f>
        <v/>
      </c>
      <c r="H2260" s="5" t="str">
        <f>IF(B2260="","",股指期货基差分析!$L$11)</f>
        <v/>
      </c>
      <c r="I2260" s="9" t="str">
        <f>IF(B2260="","",股指期货基差分析!$D$11)</f>
        <v/>
      </c>
    </row>
    <row r="2261" spans="2:9" ht="15" customHeight="1" x14ac:dyDescent="0.2">
      <c r="B2261" s="8"/>
      <c r="C2261" s="6" t="str">
        <f>IF(B2261="","",[1]!s_dq_close(股指期货基差分析!$E$5,$B2261))</f>
        <v/>
      </c>
      <c r="D2261" s="6" t="str">
        <f>IF(B2261="","",[1]!s_dq_close(股指期货基差分析!$E$6,$B2261))</f>
        <v/>
      </c>
      <c r="E2261" s="6" t="e">
        <f ca="1">RANK(F2261,F:F)+COUNTIF(F$2:F2261,F2261)-1</f>
        <v>#VALUE!</v>
      </c>
      <c r="F2261" s="6" t="str">
        <f t="shared" si="36"/>
        <v/>
      </c>
      <c r="G2261" s="6" t="str">
        <f>IF(B2261="","",股指期货基差分析!$N$11)</f>
        <v/>
      </c>
      <c r="H2261" s="6" t="str">
        <f>IF(B2261="","",股指期货基差分析!$L$11)</f>
        <v/>
      </c>
      <c r="I2261" s="10" t="str">
        <f>IF(B2261="","",股指期货基差分析!$D$11)</f>
        <v/>
      </c>
    </row>
    <row r="2262" spans="2:9" ht="15" customHeight="1" x14ac:dyDescent="0.2">
      <c r="B2262" s="7"/>
      <c r="C2262" s="5" t="str">
        <f>IF(B2262="","",[1]!s_dq_close(股指期货基差分析!$E$5,$B2262))</f>
        <v/>
      </c>
      <c r="D2262" s="5" t="str">
        <f>IF(B2262="","",[1]!s_dq_close(股指期货基差分析!$E$6,$B2262))</f>
        <v/>
      </c>
      <c r="E2262" s="5" t="e">
        <f ca="1">RANK(F2262,F:F)+COUNTIF(F$2:F2262,F2262)-1</f>
        <v>#VALUE!</v>
      </c>
      <c r="F2262" s="5" t="str">
        <f t="shared" si="36"/>
        <v/>
      </c>
      <c r="G2262" s="5" t="str">
        <f>IF(B2262="","",股指期货基差分析!$N$11)</f>
        <v/>
      </c>
      <c r="H2262" s="5" t="str">
        <f>IF(B2262="","",股指期货基差分析!$L$11)</f>
        <v/>
      </c>
      <c r="I2262" s="9" t="str">
        <f>IF(B2262="","",股指期货基差分析!$D$11)</f>
        <v/>
      </c>
    </row>
    <row r="2263" spans="2:9" ht="15" customHeight="1" x14ac:dyDescent="0.2">
      <c r="B2263" s="8"/>
      <c r="C2263" s="6" t="str">
        <f>IF(B2263="","",[1]!s_dq_close(股指期货基差分析!$E$5,$B2263))</f>
        <v/>
      </c>
      <c r="D2263" s="6" t="str">
        <f>IF(B2263="","",[1]!s_dq_close(股指期货基差分析!$E$6,$B2263))</f>
        <v/>
      </c>
      <c r="E2263" s="6" t="e">
        <f ca="1">RANK(F2263,F:F)+COUNTIF(F$2:F2263,F2263)-1</f>
        <v>#VALUE!</v>
      </c>
      <c r="F2263" s="6" t="str">
        <f t="shared" si="36"/>
        <v/>
      </c>
      <c r="G2263" s="6" t="str">
        <f>IF(B2263="","",股指期货基差分析!$N$11)</f>
        <v/>
      </c>
      <c r="H2263" s="6" t="str">
        <f>IF(B2263="","",股指期货基差分析!$L$11)</f>
        <v/>
      </c>
      <c r="I2263" s="10" t="str">
        <f>IF(B2263="","",股指期货基差分析!$D$11)</f>
        <v/>
      </c>
    </row>
    <row r="2264" spans="2:9" ht="15" customHeight="1" x14ac:dyDescent="0.2">
      <c r="B2264" s="7"/>
      <c r="C2264" s="5" t="str">
        <f>IF(B2264="","",[1]!s_dq_close(股指期货基差分析!$E$5,$B2264))</f>
        <v/>
      </c>
      <c r="D2264" s="5" t="str">
        <f>IF(B2264="","",[1]!s_dq_close(股指期货基差分析!$E$6,$B2264))</f>
        <v/>
      </c>
      <c r="E2264" s="5" t="e">
        <f ca="1">RANK(F2264,F:F)+COUNTIF(F$2:F2264,F2264)-1</f>
        <v>#VALUE!</v>
      </c>
      <c r="F2264" s="5" t="str">
        <f t="shared" si="36"/>
        <v/>
      </c>
      <c r="G2264" s="5" t="str">
        <f>IF(B2264="","",股指期货基差分析!$N$11)</f>
        <v/>
      </c>
      <c r="H2264" s="5" t="str">
        <f>IF(B2264="","",股指期货基差分析!$L$11)</f>
        <v/>
      </c>
      <c r="I2264" s="9" t="str">
        <f>IF(B2264="","",股指期货基差分析!$D$11)</f>
        <v/>
      </c>
    </row>
    <row r="2265" spans="2:9" ht="15" customHeight="1" x14ac:dyDescent="0.2">
      <c r="B2265" s="8"/>
      <c r="C2265" s="6" t="str">
        <f>IF(B2265="","",[1]!s_dq_close(股指期货基差分析!$E$5,$B2265))</f>
        <v/>
      </c>
      <c r="D2265" s="6" t="str">
        <f>IF(B2265="","",[1]!s_dq_close(股指期货基差分析!$E$6,$B2265))</f>
        <v/>
      </c>
      <c r="E2265" s="6" t="e">
        <f ca="1">RANK(F2265,F:F)+COUNTIF(F$2:F2265,F2265)-1</f>
        <v>#VALUE!</v>
      </c>
      <c r="F2265" s="6" t="str">
        <f t="shared" si="36"/>
        <v/>
      </c>
      <c r="G2265" s="6" t="str">
        <f>IF(B2265="","",股指期货基差分析!$N$11)</f>
        <v/>
      </c>
      <c r="H2265" s="6" t="str">
        <f>IF(B2265="","",股指期货基差分析!$L$11)</f>
        <v/>
      </c>
      <c r="I2265" s="10" t="str">
        <f>IF(B2265="","",股指期货基差分析!$D$11)</f>
        <v/>
      </c>
    </row>
    <row r="2266" spans="2:9" ht="15" customHeight="1" x14ac:dyDescent="0.2">
      <c r="B2266" s="7"/>
      <c r="C2266" s="5" t="str">
        <f>IF(B2266="","",[1]!s_dq_close(股指期货基差分析!$E$5,$B2266))</f>
        <v/>
      </c>
      <c r="D2266" s="5" t="str">
        <f>IF(B2266="","",[1]!s_dq_close(股指期货基差分析!$E$6,$B2266))</f>
        <v/>
      </c>
      <c r="E2266" s="5" t="e">
        <f ca="1">RANK(F2266,F:F)+COUNTIF(F$2:F2266,F2266)-1</f>
        <v>#VALUE!</v>
      </c>
      <c r="F2266" s="5" t="str">
        <f t="shared" si="36"/>
        <v/>
      </c>
      <c r="G2266" s="5" t="str">
        <f>IF(B2266="","",股指期货基差分析!$N$11)</f>
        <v/>
      </c>
      <c r="H2266" s="5" t="str">
        <f>IF(B2266="","",股指期货基差分析!$L$11)</f>
        <v/>
      </c>
      <c r="I2266" s="9" t="str">
        <f>IF(B2266="","",股指期货基差分析!$D$11)</f>
        <v/>
      </c>
    </row>
    <row r="2267" spans="2:9" ht="15" customHeight="1" x14ac:dyDescent="0.2">
      <c r="B2267" s="8"/>
      <c r="C2267" s="6" t="str">
        <f>IF(B2267="","",[1]!s_dq_close(股指期货基差分析!$E$5,$B2267))</f>
        <v/>
      </c>
      <c r="D2267" s="6" t="str">
        <f>IF(B2267="","",[1]!s_dq_close(股指期货基差分析!$E$6,$B2267))</f>
        <v/>
      </c>
      <c r="E2267" s="6" t="e">
        <f ca="1">RANK(F2267,F:F)+COUNTIF(F$2:F2267,F2267)-1</f>
        <v>#VALUE!</v>
      </c>
      <c r="F2267" s="6" t="str">
        <f t="shared" si="36"/>
        <v/>
      </c>
      <c r="G2267" s="6" t="str">
        <f>IF(B2267="","",股指期货基差分析!$N$11)</f>
        <v/>
      </c>
      <c r="H2267" s="6" t="str">
        <f>IF(B2267="","",股指期货基差分析!$L$11)</f>
        <v/>
      </c>
      <c r="I2267" s="10" t="str">
        <f>IF(B2267="","",股指期货基差分析!$D$11)</f>
        <v/>
      </c>
    </row>
    <row r="2268" spans="2:9" ht="15" customHeight="1" x14ac:dyDescent="0.2">
      <c r="B2268" s="7"/>
      <c r="C2268" s="5" t="str">
        <f>IF(B2268="","",[1]!s_dq_close(股指期货基差分析!$E$5,$B2268))</f>
        <v/>
      </c>
      <c r="D2268" s="5" t="str">
        <f>IF(B2268="","",[1]!s_dq_close(股指期货基差分析!$E$6,$B2268))</f>
        <v/>
      </c>
      <c r="E2268" s="5" t="e">
        <f ca="1">RANK(F2268,F:F)+COUNTIF(F$2:F2268,F2268)-1</f>
        <v>#VALUE!</v>
      </c>
      <c r="F2268" s="5" t="str">
        <f t="shared" si="36"/>
        <v/>
      </c>
      <c r="G2268" s="5" t="str">
        <f>IF(B2268="","",股指期货基差分析!$N$11)</f>
        <v/>
      </c>
      <c r="H2268" s="5" t="str">
        <f>IF(B2268="","",股指期货基差分析!$L$11)</f>
        <v/>
      </c>
      <c r="I2268" s="9" t="str">
        <f>IF(B2268="","",股指期货基差分析!$D$11)</f>
        <v/>
      </c>
    </row>
    <row r="2269" spans="2:9" ht="15" customHeight="1" x14ac:dyDescent="0.2">
      <c r="B2269" s="8"/>
      <c r="C2269" s="6" t="str">
        <f>IF(B2269="","",[1]!s_dq_close(股指期货基差分析!$E$5,$B2269))</f>
        <v/>
      </c>
      <c r="D2269" s="6" t="str">
        <f>IF(B2269="","",[1]!s_dq_close(股指期货基差分析!$E$6,$B2269))</f>
        <v/>
      </c>
      <c r="E2269" s="6" t="e">
        <f ca="1">RANK(F2269,F:F)+COUNTIF(F$2:F2269,F2269)-1</f>
        <v>#VALUE!</v>
      </c>
      <c r="F2269" s="6" t="str">
        <f t="shared" si="36"/>
        <v/>
      </c>
      <c r="G2269" s="6" t="str">
        <f>IF(B2269="","",股指期货基差分析!$N$11)</f>
        <v/>
      </c>
      <c r="H2269" s="6" t="str">
        <f>IF(B2269="","",股指期货基差分析!$L$11)</f>
        <v/>
      </c>
      <c r="I2269" s="10" t="str">
        <f>IF(B2269="","",股指期货基差分析!$D$11)</f>
        <v/>
      </c>
    </row>
    <row r="2270" spans="2:9" ht="15" customHeight="1" x14ac:dyDescent="0.2">
      <c r="B2270" s="7"/>
      <c r="C2270" s="5" t="str">
        <f>IF(B2270="","",[1]!s_dq_close(股指期货基差分析!$E$5,$B2270))</f>
        <v/>
      </c>
      <c r="D2270" s="5" t="str">
        <f>IF(B2270="","",[1]!s_dq_close(股指期货基差分析!$E$6,$B2270))</f>
        <v/>
      </c>
      <c r="E2270" s="5" t="e">
        <f ca="1">RANK(F2270,F:F)+COUNTIF(F$2:F2270,F2270)-1</f>
        <v>#VALUE!</v>
      </c>
      <c r="F2270" s="5" t="str">
        <f t="shared" si="36"/>
        <v/>
      </c>
      <c r="G2270" s="5" t="str">
        <f>IF(B2270="","",股指期货基差分析!$N$11)</f>
        <v/>
      </c>
      <c r="H2270" s="5" t="str">
        <f>IF(B2270="","",股指期货基差分析!$L$11)</f>
        <v/>
      </c>
      <c r="I2270" s="9" t="str">
        <f>IF(B2270="","",股指期货基差分析!$D$11)</f>
        <v/>
      </c>
    </row>
    <row r="2271" spans="2:9" ht="15" customHeight="1" x14ac:dyDescent="0.2">
      <c r="B2271" s="8"/>
      <c r="C2271" s="6" t="str">
        <f>IF(B2271="","",[1]!s_dq_close(股指期货基差分析!$E$5,$B2271))</f>
        <v/>
      </c>
      <c r="D2271" s="6" t="str">
        <f>IF(B2271="","",[1]!s_dq_close(股指期货基差分析!$E$6,$B2271))</f>
        <v/>
      </c>
      <c r="E2271" s="6" t="e">
        <f ca="1">RANK(F2271,F:F)+COUNTIF(F$2:F2271,F2271)-1</f>
        <v>#VALUE!</v>
      </c>
      <c r="F2271" s="6" t="str">
        <f t="shared" si="36"/>
        <v/>
      </c>
      <c r="G2271" s="6" t="str">
        <f>IF(B2271="","",股指期货基差分析!$N$11)</f>
        <v/>
      </c>
      <c r="H2271" s="6" t="str">
        <f>IF(B2271="","",股指期货基差分析!$L$11)</f>
        <v/>
      </c>
      <c r="I2271" s="10" t="str">
        <f>IF(B2271="","",股指期货基差分析!$D$11)</f>
        <v/>
      </c>
    </row>
    <row r="2272" spans="2:9" ht="15" customHeight="1" x14ac:dyDescent="0.2">
      <c r="B2272" s="7"/>
      <c r="C2272" s="5" t="str">
        <f>IF(B2272="","",[1]!s_dq_close(股指期货基差分析!$E$5,$B2272))</f>
        <v/>
      </c>
      <c r="D2272" s="5" t="str">
        <f>IF(B2272="","",[1]!s_dq_close(股指期货基差分析!$E$6,$B2272))</f>
        <v/>
      </c>
      <c r="E2272" s="5" t="e">
        <f ca="1">RANK(F2272,F:F)+COUNTIF(F$2:F2272,F2272)-1</f>
        <v>#VALUE!</v>
      </c>
      <c r="F2272" s="5" t="str">
        <f t="shared" si="36"/>
        <v/>
      </c>
      <c r="G2272" s="5" t="str">
        <f>IF(B2272="","",股指期货基差分析!$N$11)</f>
        <v/>
      </c>
      <c r="H2272" s="5" t="str">
        <f>IF(B2272="","",股指期货基差分析!$L$11)</f>
        <v/>
      </c>
      <c r="I2272" s="9" t="str">
        <f>IF(B2272="","",股指期货基差分析!$D$11)</f>
        <v/>
      </c>
    </row>
    <row r="2273" spans="2:9" ht="15" customHeight="1" x14ac:dyDescent="0.2">
      <c r="B2273" s="8"/>
      <c r="C2273" s="6" t="str">
        <f>IF(B2273="","",[1]!s_dq_close(股指期货基差分析!$E$5,$B2273))</f>
        <v/>
      </c>
      <c r="D2273" s="6" t="str">
        <f>IF(B2273="","",[1]!s_dq_close(股指期货基差分析!$E$6,$B2273))</f>
        <v/>
      </c>
      <c r="E2273" s="6" t="e">
        <f ca="1">RANK(F2273,F:F)+COUNTIF(F$2:F2273,F2273)-1</f>
        <v>#VALUE!</v>
      </c>
      <c r="F2273" s="6" t="str">
        <f t="shared" si="36"/>
        <v/>
      </c>
      <c r="G2273" s="6" t="str">
        <f>IF(B2273="","",股指期货基差分析!$N$11)</f>
        <v/>
      </c>
      <c r="H2273" s="6" t="str">
        <f>IF(B2273="","",股指期货基差分析!$L$11)</f>
        <v/>
      </c>
      <c r="I2273" s="10" t="str">
        <f>IF(B2273="","",股指期货基差分析!$D$11)</f>
        <v/>
      </c>
    </row>
    <row r="2274" spans="2:9" ht="15" customHeight="1" x14ac:dyDescent="0.2">
      <c r="B2274" s="7"/>
      <c r="C2274" s="5" t="str">
        <f>IF(B2274="","",[1]!s_dq_close(股指期货基差分析!$E$5,$B2274))</f>
        <v/>
      </c>
      <c r="D2274" s="5" t="str">
        <f>IF(B2274="","",[1]!s_dq_close(股指期货基差分析!$E$6,$B2274))</f>
        <v/>
      </c>
      <c r="E2274" s="5" t="e">
        <f ca="1">RANK(F2274,F:F)+COUNTIF(F$2:F2274,F2274)-1</f>
        <v>#VALUE!</v>
      </c>
      <c r="F2274" s="5" t="str">
        <f t="shared" si="36"/>
        <v/>
      </c>
      <c r="G2274" s="5" t="str">
        <f>IF(B2274="","",股指期货基差分析!$N$11)</f>
        <v/>
      </c>
      <c r="H2274" s="5" t="str">
        <f>IF(B2274="","",股指期货基差分析!$L$11)</f>
        <v/>
      </c>
      <c r="I2274" s="9" t="str">
        <f>IF(B2274="","",股指期货基差分析!$D$11)</f>
        <v/>
      </c>
    </row>
    <row r="2275" spans="2:9" ht="15" customHeight="1" x14ac:dyDescent="0.2">
      <c r="B2275" s="8"/>
      <c r="C2275" s="6" t="str">
        <f>IF(B2275="","",[1]!s_dq_close(股指期货基差分析!$E$5,$B2275))</f>
        <v/>
      </c>
      <c r="D2275" s="6" t="str">
        <f>IF(B2275="","",[1]!s_dq_close(股指期货基差分析!$E$6,$B2275))</f>
        <v/>
      </c>
      <c r="E2275" s="6" t="e">
        <f ca="1">RANK(F2275,F:F)+COUNTIF(F$2:F2275,F2275)-1</f>
        <v>#VALUE!</v>
      </c>
      <c r="F2275" s="6" t="str">
        <f t="shared" si="36"/>
        <v/>
      </c>
      <c r="G2275" s="6" t="str">
        <f>IF(B2275="","",股指期货基差分析!$N$11)</f>
        <v/>
      </c>
      <c r="H2275" s="6" t="str">
        <f>IF(B2275="","",股指期货基差分析!$L$11)</f>
        <v/>
      </c>
      <c r="I2275" s="10" t="str">
        <f>IF(B2275="","",股指期货基差分析!$D$11)</f>
        <v/>
      </c>
    </row>
    <row r="2276" spans="2:9" ht="15" customHeight="1" x14ac:dyDescent="0.2">
      <c r="B2276" s="7"/>
      <c r="C2276" s="5" t="str">
        <f>IF(B2276="","",[1]!s_dq_close(股指期货基差分析!$E$5,$B2276))</f>
        <v/>
      </c>
      <c r="D2276" s="5" t="str">
        <f>IF(B2276="","",[1]!s_dq_close(股指期货基差分析!$E$6,$B2276))</f>
        <v/>
      </c>
      <c r="E2276" s="5" t="e">
        <f ca="1">RANK(F2276,F:F)+COUNTIF(F$2:F2276,F2276)-1</f>
        <v>#VALUE!</v>
      </c>
      <c r="F2276" s="5" t="str">
        <f t="shared" si="36"/>
        <v/>
      </c>
      <c r="G2276" s="5" t="str">
        <f>IF(B2276="","",股指期货基差分析!$N$11)</f>
        <v/>
      </c>
      <c r="H2276" s="5" t="str">
        <f>IF(B2276="","",股指期货基差分析!$L$11)</f>
        <v/>
      </c>
      <c r="I2276" s="9" t="str">
        <f>IF(B2276="","",股指期货基差分析!$D$11)</f>
        <v/>
      </c>
    </row>
    <row r="2277" spans="2:9" ht="15" customHeight="1" x14ac:dyDescent="0.2">
      <c r="B2277" s="8"/>
      <c r="C2277" s="6" t="str">
        <f>IF(B2277="","",[1]!s_dq_close(股指期货基差分析!$E$5,$B2277))</f>
        <v/>
      </c>
      <c r="D2277" s="6" t="str">
        <f>IF(B2277="","",[1]!s_dq_close(股指期货基差分析!$E$6,$B2277))</f>
        <v/>
      </c>
      <c r="E2277" s="6" t="e">
        <f ca="1">RANK(F2277,F:F)+COUNTIF(F$2:F2277,F2277)-1</f>
        <v>#VALUE!</v>
      </c>
      <c r="F2277" s="6" t="str">
        <f t="shared" si="36"/>
        <v/>
      </c>
      <c r="G2277" s="6" t="str">
        <f>IF(B2277="","",股指期货基差分析!$N$11)</f>
        <v/>
      </c>
      <c r="H2277" s="6" t="str">
        <f>IF(B2277="","",股指期货基差分析!$L$11)</f>
        <v/>
      </c>
      <c r="I2277" s="10" t="str">
        <f>IF(B2277="","",股指期货基差分析!$D$11)</f>
        <v/>
      </c>
    </row>
    <row r="2278" spans="2:9" ht="15" customHeight="1" x14ac:dyDescent="0.2">
      <c r="B2278" s="7"/>
      <c r="C2278" s="5" t="str">
        <f>IF(B2278="","",[1]!s_dq_close(股指期货基差分析!$E$5,$B2278))</f>
        <v/>
      </c>
      <c r="D2278" s="5" t="str">
        <f>IF(B2278="","",[1]!s_dq_close(股指期货基差分析!$E$6,$B2278))</f>
        <v/>
      </c>
      <c r="E2278" s="5" t="e">
        <f ca="1">RANK(F2278,F:F)+COUNTIF(F$2:F2278,F2278)-1</f>
        <v>#VALUE!</v>
      </c>
      <c r="F2278" s="5" t="str">
        <f t="shared" si="36"/>
        <v/>
      </c>
      <c r="G2278" s="5" t="str">
        <f>IF(B2278="","",股指期货基差分析!$N$11)</f>
        <v/>
      </c>
      <c r="H2278" s="5" t="str">
        <f>IF(B2278="","",股指期货基差分析!$L$11)</f>
        <v/>
      </c>
      <c r="I2278" s="9" t="str">
        <f>IF(B2278="","",股指期货基差分析!$D$11)</f>
        <v/>
      </c>
    </row>
    <row r="2279" spans="2:9" ht="15" customHeight="1" x14ac:dyDescent="0.2">
      <c r="B2279" s="8"/>
      <c r="C2279" s="6" t="str">
        <f>IF(B2279="","",[1]!s_dq_close(股指期货基差分析!$E$5,$B2279))</f>
        <v/>
      </c>
      <c r="D2279" s="6" t="str">
        <f>IF(B2279="","",[1]!s_dq_close(股指期货基差分析!$E$6,$B2279))</f>
        <v/>
      </c>
      <c r="E2279" s="6" t="e">
        <f ca="1">RANK(F2279,F:F)+COUNTIF(F$2:F2279,F2279)-1</f>
        <v>#VALUE!</v>
      </c>
      <c r="F2279" s="6" t="str">
        <f t="shared" si="36"/>
        <v/>
      </c>
      <c r="G2279" s="6" t="str">
        <f>IF(B2279="","",股指期货基差分析!$N$11)</f>
        <v/>
      </c>
      <c r="H2279" s="6" t="str">
        <f>IF(B2279="","",股指期货基差分析!$L$11)</f>
        <v/>
      </c>
      <c r="I2279" s="10" t="str">
        <f>IF(B2279="","",股指期货基差分析!$D$11)</f>
        <v/>
      </c>
    </row>
    <row r="2280" spans="2:9" ht="15" customHeight="1" x14ac:dyDescent="0.2">
      <c r="B2280" s="7"/>
      <c r="C2280" s="5" t="str">
        <f>IF(B2280="","",[1]!s_dq_close(股指期货基差分析!$E$5,$B2280))</f>
        <v/>
      </c>
      <c r="D2280" s="5" t="str">
        <f>IF(B2280="","",[1]!s_dq_close(股指期货基差分析!$E$6,$B2280))</f>
        <v/>
      </c>
      <c r="E2280" s="5" t="e">
        <f ca="1">RANK(F2280,F:F)+COUNTIF(F$2:F2280,F2280)-1</f>
        <v>#VALUE!</v>
      </c>
      <c r="F2280" s="5" t="str">
        <f t="shared" si="36"/>
        <v/>
      </c>
      <c r="G2280" s="5" t="str">
        <f>IF(B2280="","",股指期货基差分析!$N$11)</f>
        <v/>
      </c>
      <c r="H2280" s="5" t="str">
        <f>IF(B2280="","",股指期货基差分析!$L$11)</f>
        <v/>
      </c>
      <c r="I2280" s="9" t="str">
        <f>IF(B2280="","",股指期货基差分析!$D$11)</f>
        <v/>
      </c>
    </row>
    <row r="2281" spans="2:9" ht="15" customHeight="1" x14ac:dyDescent="0.2">
      <c r="B2281" s="8"/>
      <c r="C2281" s="6" t="str">
        <f>IF(B2281="","",[1]!s_dq_close(股指期货基差分析!$E$5,$B2281))</f>
        <v/>
      </c>
      <c r="D2281" s="6" t="str">
        <f>IF(B2281="","",[1]!s_dq_close(股指期货基差分析!$E$6,$B2281))</f>
        <v/>
      </c>
      <c r="E2281" s="6" t="e">
        <f ca="1">RANK(F2281,F:F)+COUNTIF(F$2:F2281,F2281)-1</f>
        <v>#VALUE!</v>
      </c>
      <c r="F2281" s="6" t="str">
        <f t="shared" si="36"/>
        <v/>
      </c>
      <c r="G2281" s="6" t="str">
        <f>IF(B2281="","",股指期货基差分析!$N$11)</f>
        <v/>
      </c>
      <c r="H2281" s="6" t="str">
        <f>IF(B2281="","",股指期货基差分析!$L$11)</f>
        <v/>
      </c>
      <c r="I2281" s="10" t="str">
        <f>IF(B2281="","",股指期货基差分析!$D$11)</f>
        <v/>
      </c>
    </row>
    <row r="2282" spans="2:9" ht="15" customHeight="1" x14ac:dyDescent="0.2">
      <c r="B2282" s="7"/>
      <c r="C2282" s="5" t="str">
        <f>IF(B2282="","",[1]!s_dq_close(股指期货基差分析!$E$5,$B2282))</f>
        <v/>
      </c>
      <c r="D2282" s="5" t="str">
        <f>IF(B2282="","",[1]!s_dq_close(股指期货基差分析!$E$6,$B2282))</f>
        <v/>
      </c>
      <c r="E2282" s="5" t="e">
        <f ca="1">RANK(F2282,F:F)+COUNTIF(F$2:F2282,F2282)-1</f>
        <v>#VALUE!</v>
      </c>
      <c r="F2282" s="5" t="str">
        <f t="shared" si="36"/>
        <v/>
      </c>
      <c r="G2282" s="5" t="str">
        <f>IF(B2282="","",股指期货基差分析!$N$11)</f>
        <v/>
      </c>
      <c r="H2282" s="5" t="str">
        <f>IF(B2282="","",股指期货基差分析!$L$11)</f>
        <v/>
      </c>
      <c r="I2282" s="9" t="str">
        <f>IF(B2282="","",股指期货基差分析!$D$11)</f>
        <v/>
      </c>
    </row>
    <row r="2283" spans="2:9" ht="15" customHeight="1" x14ac:dyDescent="0.2">
      <c r="B2283" s="8"/>
      <c r="C2283" s="6" t="str">
        <f>IF(B2283="","",[1]!s_dq_close(股指期货基差分析!$E$5,$B2283))</f>
        <v/>
      </c>
      <c r="D2283" s="6" t="str">
        <f>IF(B2283="","",[1]!s_dq_close(股指期货基差分析!$E$6,$B2283))</f>
        <v/>
      </c>
      <c r="E2283" s="6" t="e">
        <f ca="1">RANK(F2283,F:F)+COUNTIF(F$2:F2283,F2283)-1</f>
        <v>#VALUE!</v>
      </c>
      <c r="F2283" s="6" t="str">
        <f t="shared" si="36"/>
        <v/>
      </c>
      <c r="G2283" s="6" t="str">
        <f>IF(B2283="","",股指期货基差分析!$N$11)</f>
        <v/>
      </c>
      <c r="H2283" s="6" t="str">
        <f>IF(B2283="","",股指期货基差分析!$L$11)</f>
        <v/>
      </c>
      <c r="I2283" s="10" t="str">
        <f>IF(B2283="","",股指期货基差分析!$D$11)</f>
        <v/>
      </c>
    </row>
    <row r="2284" spans="2:9" ht="15" customHeight="1" x14ac:dyDescent="0.2">
      <c r="B2284" s="7"/>
      <c r="C2284" s="5" t="str">
        <f>IF(B2284="","",[1]!s_dq_close(股指期货基差分析!$E$5,$B2284))</f>
        <v/>
      </c>
      <c r="D2284" s="5" t="str">
        <f>IF(B2284="","",[1]!s_dq_close(股指期货基差分析!$E$6,$B2284))</f>
        <v/>
      </c>
      <c r="E2284" s="5" t="e">
        <f ca="1">RANK(F2284,F:F)+COUNTIF(F$2:F2284,F2284)-1</f>
        <v>#VALUE!</v>
      </c>
      <c r="F2284" s="5" t="str">
        <f t="shared" si="36"/>
        <v/>
      </c>
      <c r="G2284" s="5" t="str">
        <f>IF(B2284="","",股指期货基差分析!$N$11)</f>
        <v/>
      </c>
      <c r="H2284" s="5" t="str">
        <f>IF(B2284="","",股指期货基差分析!$L$11)</f>
        <v/>
      </c>
      <c r="I2284" s="9" t="str">
        <f>IF(B2284="","",股指期货基差分析!$D$11)</f>
        <v/>
      </c>
    </row>
    <row r="2285" spans="2:9" ht="15" customHeight="1" x14ac:dyDescent="0.2">
      <c r="B2285" s="8"/>
      <c r="C2285" s="6" t="str">
        <f>IF(B2285="","",[1]!s_dq_close(股指期货基差分析!$E$5,$B2285))</f>
        <v/>
      </c>
      <c r="D2285" s="6" t="str">
        <f>IF(B2285="","",[1]!s_dq_close(股指期货基差分析!$E$6,$B2285))</f>
        <v/>
      </c>
      <c r="E2285" s="6" t="e">
        <f ca="1">RANK(F2285,F:F)+COUNTIF(F$2:F2285,F2285)-1</f>
        <v>#VALUE!</v>
      </c>
      <c r="F2285" s="6" t="str">
        <f t="shared" si="36"/>
        <v/>
      </c>
      <c r="G2285" s="6" t="str">
        <f>IF(B2285="","",股指期货基差分析!$N$11)</f>
        <v/>
      </c>
      <c r="H2285" s="6" t="str">
        <f>IF(B2285="","",股指期货基差分析!$L$11)</f>
        <v/>
      </c>
      <c r="I2285" s="10" t="str">
        <f>IF(B2285="","",股指期货基差分析!$D$11)</f>
        <v/>
      </c>
    </row>
    <row r="2286" spans="2:9" ht="15" customHeight="1" x14ac:dyDescent="0.2">
      <c r="B2286" s="7"/>
      <c r="C2286" s="5" t="str">
        <f>IF(B2286="","",[1]!s_dq_close(股指期货基差分析!$E$5,$B2286))</f>
        <v/>
      </c>
      <c r="D2286" s="5" t="str">
        <f>IF(B2286="","",[1]!s_dq_close(股指期货基差分析!$E$6,$B2286))</f>
        <v/>
      </c>
      <c r="E2286" s="5" t="e">
        <f ca="1">RANK(F2286,F:F)+COUNTIF(F$2:F2286,F2286)-1</f>
        <v>#VALUE!</v>
      </c>
      <c r="F2286" s="5" t="str">
        <f t="shared" si="36"/>
        <v/>
      </c>
      <c r="G2286" s="5" t="str">
        <f>IF(B2286="","",股指期货基差分析!$N$11)</f>
        <v/>
      </c>
      <c r="H2286" s="5" t="str">
        <f>IF(B2286="","",股指期货基差分析!$L$11)</f>
        <v/>
      </c>
      <c r="I2286" s="9" t="str">
        <f>IF(B2286="","",股指期货基差分析!$D$11)</f>
        <v/>
      </c>
    </row>
    <row r="2287" spans="2:9" ht="15" customHeight="1" x14ac:dyDescent="0.2">
      <c r="B2287" s="8"/>
      <c r="C2287" s="6" t="str">
        <f>IF(B2287="","",[1]!s_dq_close(股指期货基差分析!$E$5,$B2287))</f>
        <v/>
      </c>
      <c r="D2287" s="6" t="str">
        <f>IF(B2287="","",[1]!s_dq_close(股指期货基差分析!$E$6,$B2287))</f>
        <v/>
      </c>
      <c r="E2287" s="6" t="e">
        <f ca="1">RANK(F2287,F:F)+COUNTIF(F$2:F2287,F2287)-1</f>
        <v>#VALUE!</v>
      </c>
      <c r="F2287" s="6" t="str">
        <f t="shared" si="36"/>
        <v/>
      </c>
      <c r="G2287" s="6" t="str">
        <f>IF(B2287="","",股指期货基差分析!$N$11)</f>
        <v/>
      </c>
      <c r="H2287" s="6" t="str">
        <f>IF(B2287="","",股指期货基差分析!$L$11)</f>
        <v/>
      </c>
      <c r="I2287" s="10" t="str">
        <f>IF(B2287="","",股指期货基差分析!$D$11)</f>
        <v/>
      </c>
    </row>
    <row r="2288" spans="2:9" ht="15" customHeight="1" x14ac:dyDescent="0.2">
      <c r="B2288" s="7"/>
      <c r="C2288" s="5" t="str">
        <f>IF(B2288="","",[1]!s_dq_close(股指期货基差分析!$E$5,$B2288))</f>
        <v/>
      </c>
      <c r="D2288" s="5" t="str">
        <f>IF(B2288="","",[1]!s_dq_close(股指期货基差分析!$E$6,$B2288))</f>
        <v/>
      </c>
      <c r="E2288" s="5" t="e">
        <f ca="1">RANK(F2288,F:F)+COUNTIF(F$2:F2288,F2288)-1</f>
        <v>#VALUE!</v>
      </c>
      <c r="F2288" s="5" t="str">
        <f t="shared" si="36"/>
        <v/>
      </c>
      <c r="G2288" s="5" t="str">
        <f>IF(B2288="","",股指期货基差分析!$N$11)</f>
        <v/>
      </c>
      <c r="H2288" s="5" t="str">
        <f>IF(B2288="","",股指期货基差分析!$L$11)</f>
        <v/>
      </c>
      <c r="I2288" s="9" t="str">
        <f>IF(B2288="","",股指期货基差分析!$D$11)</f>
        <v/>
      </c>
    </row>
    <row r="2289" spans="2:9" ht="15" customHeight="1" x14ac:dyDescent="0.2">
      <c r="B2289" s="8"/>
      <c r="C2289" s="6" t="str">
        <f>IF(B2289="","",[1]!s_dq_close(股指期货基差分析!$E$5,$B2289))</f>
        <v/>
      </c>
      <c r="D2289" s="6" t="str">
        <f>IF(B2289="","",[1]!s_dq_close(股指期货基差分析!$E$6,$B2289))</f>
        <v/>
      </c>
      <c r="E2289" s="6" t="e">
        <f ca="1">RANK(F2289,F:F)+COUNTIF(F$2:F2289,F2289)-1</f>
        <v>#VALUE!</v>
      </c>
      <c r="F2289" s="6" t="str">
        <f t="shared" si="36"/>
        <v/>
      </c>
      <c r="G2289" s="6" t="str">
        <f>IF(B2289="","",股指期货基差分析!$N$11)</f>
        <v/>
      </c>
      <c r="H2289" s="6" t="str">
        <f>IF(B2289="","",股指期货基差分析!$L$11)</f>
        <v/>
      </c>
      <c r="I2289" s="10" t="str">
        <f>IF(B2289="","",股指期货基差分析!$D$11)</f>
        <v/>
      </c>
    </row>
    <row r="2290" spans="2:9" ht="15" customHeight="1" x14ac:dyDescent="0.2">
      <c r="B2290" s="7"/>
      <c r="C2290" s="5" t="str">
        <f>IF(B2290="","",[1]!s_dq_close(股指期货基差分析!$E$5,$B2290))</f>
        <v/>
      </c>
      <c r="D2290" s="5" t="str">
        <f>IF(B2290="","",[1]!s_dq_close(股指期货基差分析!$E$6,$B2290))</f>
        <v/>
      </c>
      <c r="E2290" s="5" t="e">
        <f ca="1">RANK(F2290,F:F)+COUNTIF(F$2:F2290,F2290)-1</f>
        <v>#VALUE!</v>
      </c>
      <c r="F2290" s="5" t="str">
        <f t="shared" si="36"/>
        <v/>
      </c>
      <c r="G2290" s="5" t="str">
        <f>IF(B2290="","",股指期货基差分析!$N$11)</f>
        <v/>
      </c>
      <c r="H2290" s="5" t="str">
        <f>IF(B2290="","",股指期货基差分析!$L$11)</f>
        <v/>
      </c>
      <c r="I2290" s="9" t="str">
        <f>IF(B2290="","",股指期货基差分析!$D$11)</f>
        <v/>
      </c>
    </row>
    <row r="2291" spans="2:9" ht="15" customHeight="1" x14ac:dyDescent="0.2">
      <c r="B2291" s="8"/>
      <c r="C2291" s="6" t="str">
        <f>IF(B2291="","",[1]!s_dq_close(股指期货基差分析!$E$5,$B2291))</f>
        <v/>
      </c>
      <c r="D2291" s="6" t="str">
        <f>IF(B2291="","",[1]!s_dq_close(股指期货基差分析!$E$6,$B2291))</f>
        <v/>
      </c>
      <c r="E2291" s="6" t="e">
        <f ca="1">RANK(F2291,F:F)+COUNTIF(F$2:F2291,F2291)-1</f>
        <v>#VALUE!</v>
      </c>
      <c r="F2291" s="6" t="str">
        <f t="shared" si="36"/>
        <v/>
      </c>
      <c r="G2291" s="6" t="str">
        <f>IF(B2291="","",股指期货基差分析!$N$11)</f>
        <v/>
      </c>
      <c r="H2291" s="6" t="str">
        <f>IF(B2291="","",股指期货基差分析!$L$11)</f>
        <v/>
      </c>
      <c r="I2291" s="10" t="str">
        <f>IF(B2291="","",股指期货基差分析!$D$11)</f>
        <v/>
      </c>
    </row>
    <row r="2292" spans="2:9" ht="15" customHeight="1" x14ac:dyDescent="0.2">
      <c r="B2292" s="7"/>
      <c r="C2292" s="5" t="str">
        <f>IF(B2292="","",[1]!s_dq_close(股指期货基差分析!$E$5,$B2292))</f>
        <v/>
      </c>
      <c r="D2292" s="5" t="str">
        <f>IF(B2292="","",[1]!s_dq_close(股指期货基差分析!$E$6,$B2292))</f>
        <v/>
      </c>
      <c r="E2292" s="5" t="e">
        <f ca="1">RANK(F2292,F:F)+COUNTIF(F$2:F2292,F2292)-1</f>
        <v>#VALUE!</v>
      </c>
      <c r="F2292" s="5" t="str">
        <f t="shared" si="36"/>
        <v/>
      </c>
      <c r="G2292" s="5" t="str">
        <f>IF(B2292="","",股指期货基差分析!$N$11)</f>
        <v/>
      </c>
      <c r="H2292" s="5" t="str">
        <f>IF(B2292="","",股指期货基差分析!$L$11)</f>
        <v/>
      </c>
      <c r="I2292" s="9" t="str">
        <f>IF(B2292="","",股指期货基差分析!$D$11)</f>
        <v/>
      </c>
    </row>
    <row r="2293" spans="2:9" ht="15" customHeight="1" x14ac:dyDescent="0.2">
      <c r="B2293" s="8"/>
      <c r="C2293" s="6" t="str">
        <f>IF(B2293="","",[1]!s_dq_close(股指期货基差分析!$E$5,$B2293))</f>
        <v/>
      </c>
      <c r="D2293" s="6" t="str">
        <f>IF(B2293="","",[1]!s_dq_close(股指期货基差分析!$E$6,$B2293))</f>
        <v/>
      </c>
      <c r="E2293" s="6" t="e">
        <f ca="1">RANK(F2293,F:F)+COUNTIF(F$2:F2293,F2293)-1</f>
        <v>#VALUE!</v>
      </c>
      <c r="F2293" s="6" t="str">
        <f t="shared" si="36"/>
        <v/>
      </c>
      <c r="G2293" s="6" t="str">
        <f>IF(B2293="","",股指期货基差分析!$N$11)</f>
        <v/>
      </c>
      <c r="H2293" s="6" t="str">
        <f>IF(B2293="","",股指期货基差分析!$L$11)</f>
        <v/>
      </c>
      <c r="I2293" s="10" t="str">
        <f>IF(B2293="","",股指期货基差分析!$D$11)</f>
        <v/>
      </c>
    </row>
    <row r="2294" spans="2:9" ht="15" customHeight="1" x14ac:dyDescent="0.2">
      <c r="B2294" s="7"/>
      <c r="C2294" s="5" t="str">
        <f>IF(B2294="","",[1]!s_dq_close(股指期货基差分析!$E$5,$B2294))</f>
        <v/>
      </c>
      <c r="D2294" s="5" t="str">
        <f>IF(B2294="","",[1]!s_dq_close(股指期货基差分析!$E$6,$B2294))</f>
        <v/>
      </c>
      <c r="E2294" s="5" t="e">
        <f ca="1">RANK(F2294,F:F)+COUNTIF(F$2:F2294,F2294)-1</f>
        <v>#VALUE!</v>
      </c>
      <c r="F2294" s="5" t="str">
        <f t="shared" si="36"/>
        <v/>
      </c>
      <c r="G2294" s="5" t="str">
        <f>IF(B2294="","",股指期货基差分析!$N$11)</f>
        <v/>
      </c>
      <c r="H2294" s="5" t="str">
        <f>IF(B2294="","",股指期货基差分析!$L$11)</f>
        <v/>
      </c>
      <c r="I2294" s="9" t="str">
        <f>IF(B2294="","",股指期货基差分析!$D$11)</f>
        <v/>
      </c>
    </row>
    <row r="2295" spans="2:9" ht="15" customHeight="1" x14ac:dyDescent="0.2">
      <c r="B2295" s="8"/>
      <c r="C2295" s="6" t="str">
        <f>IF(B2295="","",[1]!s_dq_close(股指期货基差分析!$E$5,$B2295))</f>
        <v/>
      </c>
      <c r="D2295" s="6" t="str">
        <f>IF(B2295="","",[1]!s_dq_close(股指期货基差分析!$E$6,$B2295))</f>
        <v/>
      </c>
      <c r="E2295" s="6" t="e">
        <f ca="1">RANK(F2295,F:F)+COUNTIF(F$2:F2295,F2295)-1</f>
        <v>#VALUE!</v>
      </c>
      <c r="F2295" s="6" t="str">
        <f t="shared" si="36"/>
        <v/>
      </c>
      <c r="G2295" s="6" t="str">
        <f>IF(B2295="","",股指期货基差分析!$N$11)</f>
        <v/>
      </c>
      <c r="H2295" s="6" t="str">
        <f>IF(B2295="","",股指期货基差分析!$L$11)</f>
        <v/>
      </c>
      <c r="I2295" s="10" t="str">
        <f>IF(B2295="","",股指期货基差分析!$D$11)</f>
        <v/>
      </c>
    </row>
    <row r="2296" spans="2:9" ht="15" customHeight="1" x14ac:dyDescent="0.2">
      <c r="B2296" s="7"/>
      <c r="C2296" s="5" t="str">
        <f>IF(B2296="","",[1]!s_dq_close(股指期货基差分析!$E$5,$B2296))</f>
        <v/>
      </c>
      <c r="D2296" s="5" t="str">
        <f>IF(B2296="","",[1]!s_dq_close(股指期货基差分析!$E$6,$B2296))</f>
        <v/>
      </c>
      <c r="E2296" s="5" t="e">
        <f ca="1">RANK(F2296,F:F)+COUNTIF(F$2:F2296,F2296)-1</f>
        <v>#VALUE!</v>
      </c>
      <c r="F2296" s="5" t="str">
        <f t="shared" si="36"/>
        <v/>
      </c>
      <c r="G2296" s="5" t="str">
        <f>IF(B2296="","",股指期货基差分析!$N$11)</f>
        <v/>
      </c>
      <c r="H2296" s="5" t="str">
        <f>IF(B2296="","",股指期货基差分析!$L$11)</f>
        <v/>
      </c>
      <c r="I2296" s="9" t="str">
        <f>IF(B2296="","",股指期货基差分析!$D$11)</f>
        <v/>
      </c>
    </row>
    <row r="2297" spans="2:9" ht="15" customHeight="1" x14ac:dyDescent="0.2">
      <c r="B2297" s="8"/>
      <c r="C2297" s="6" t="str">
        <f>IF(B2297="","",[1]!s_dq_close(股指期货基差分析!$E$5,$B2297))</f>
        <v/>
      </c>
      <c r="D2297" s="6" t="str">
        <f>IF(B2297="","",[1]!s_dq_close(股指期货基差分析!$E$6,$B2297))</f>
        <v/>
      </c>
      <c r="E2297" s="6" t="e">
        <f ca="1">RANK(F2297,F:F)+COUNTIF(F$2:F2297,F2297)-1</f>
        <v>#VALUE!</v>
      </c>
      <c r="F2297" s="6" t="str">
        <f t="shared" si="36"/>
        <v/>
      </c>
      <c r="G2297" s="6" t="str">
        <f>IF(B2297="","",股指期货基差分析!$N$11)</f>
        <v/>
      </c>
      <c r="H2297" s="6" t="str">
        <f>IF(B2297="","",股指期货基差分析!$L$11)</f>
        <v/>
      </c>
      <c r="I2297" s="10" t="str">
        <f>IF(B2297="","",股指期货基差分析!$D$11)</f>
        <v/>
      </c>
    </row>
    <row r="2298" spans="2:9" ht="15" customHeight="1" x14ac:dyDescent="0.2">
      <c r="B2298" s="7"/>
      <c r="C2298" s="5" t="str">
        <f>IF(B2298="","",[1]!s_dq_close(股指期货基差分析!$E$5,$B2298))</f>
        <v/>
      </c>
      <c r="D2298" s="5" t="str">
        <f>IF(B2298="","",[1]!s_dq_close(股指期货基差分析!$E$6,$B2298))</f>
        <v/>
      </c>
      <c r="E2298" s="5" t="e">
        <f ca="1">RANK(F2298,F:F)+COUNTIF(F$2:F2298,F2298)-1</f>
        <v>#VALUE!</v>
      </c>
      <c r="F2298" s="5" t="str">
        <f t="shared" si="36"/>
        <v/>
      </c>
      <c r="G2298" s="5" t="str">
        <f>IF(B2298="","",股指期货基差分析!$N$11)</f>
        <v/>
      </c>
      <c r="H2298" s="5" t="str">
        <f>IF(B2298="","",股指期货基差分析!$L$11)</f>
        <v/>
      </c>
      <c r="I2298" s="9" t="str">
        <f>IF(B2298="","",股指期货基差分析!$D$11)</f>
        <v/>
      </c>
    </row>
    <row r="2299" spans="2:9" ht="15" customHeight="1" x14ac:dyDescent="0.2">
      <c r="B2299" s="8"/>
      <c r="C2299" s="6" t="str">
        <f>IF(B2299="","",[1]!s_dq_close(股指期货基差分析!$E$5,$B2299))</f>
        <v/>
      </c>
      <c r="D2299" s="6" t="str">
        <f>IF(B2299="","",[1]!s_dq_close(股指期货基差分析!$E$6,$B2299))</f>
        <v/>
      </c>
      <c r="E2299" s="6" t="e">
        <f ca="1">RANK(F2299,F:F)+COUNTIF(F$2:F2299,F2299)-1</f>
        <v>#VALUE!</v>
      </c>
      <c r="F2299" s="6" t="str">
        <f t="shared" si="36"/>
        <v/>
      </c>
      <c r="G2299" s="6" t="str">
        <f>IF(B2299="","",股指期货基差分析!$N$11)</f>
        <v/>
      </c>
      <c r="H2299" s="6" t="str">
        <f>IF(B2299="","",股指期货基差分析!$L$11)</f>
        <v/>
      </c>
      <c r="I2299" s="10" t="str">
        <f>IF(B2299="","",股指期货基差分析!$D$11)</f>
        <v/>
      </c>
    </row>
    <row r="2300" spans="2:9" ht="15" customHeight="1" x14ac:dyDescent="0.2">
      <c r="B2300" s="7"/>
      <c r="C2300" s="5" t="str">
        <f>IF(B2300="","",[1]!s_dq_close(股指期货基差分析!$E$5,$B2300))</f>
        <v/>
      </c>
      <c r="D2300" s="5" t="str">
        <f>IF(B2300="","",[1]!s_dq_close(股指期货基差分析!$E$6,$B2300))</f>
        <v/>
      </c>
      <c r="E2300" s="5" t="e">
        <f ca="1">RANK(F2300,F:F)+COUNTIF(F$2:F2300,F2300)-1</f>
        <v>#VALUE!</v>
      </c>
      <c r="F2300" s="5" t="str">
        <f t="shared" si="36"/>
        <v/>
      </c>
      <c r="G2300" s="5" t="str">
        <f>IF(B2300="","",股指期货基差分析!$N$11)</f>
        <v/>
      </c>
      <c r="H2300" s="5" t="str">
        <f>IF(B2300="","",股指期货基差分析!$L$11)</f>
        <v/>
      </c>
      <c r="I2300" s="9" t="str">
        <f>IF(B2300="","",股指期货基差分析!$D$11)</f>
        <v/>
      </c>
    </row>
    <row r="2301" spans="2:9" ht="15" customHeight="1" x14ac:dyDescent="0.2">
      <c r="B2301" s="8"/>
      <c r="C2301" s="6" t="str">
        <f>IF(B2301="","",[1]!s_dq_close(股指期货基差分析!$E$5,$B2301))</f>
        <v/>
      </c>
      <c r="D2301" s="6" t="str">
        <f>IF(B2301="","",[1]!s_dq_close(股指期货基差分析!$E$6,$B2301))</f>
        <v/>
      </c>
      <c r="E2301" s="6" t="e">
        <f ca="1">RANK(F2301,F:F)+COUNTIF(F$2:F2301,F2301)-1</f>
        <v>#VALUE!</v>
      </c>
      <c r="F2301" s="6" t="str">
        <f t="shared" si="36"/>
        <v/>
      </c>
      <c r="G2301" s="6" t="str">
        <f>IF(B2301="","",股指期货基差分析!$N$11)</f>
        <v/>
      </c>
      <c r="H2301" s="6" t="str">
        <f>IF(B2301="","",股指期货基差分析!$L$11)</f>
        <v/>
      </c>
      <c r="I2301" s="10" t="str">
        <f>IF(B2301="","",股指期货基差分析!$D$11)</f>
        <v/>
      </c>
    </row>
    <row r="2302" spans="2:9" ht="15" customHeight="1" x14ac:dyDescent="0.2">
      <c r="B2302" s="7"/>
      <c r="C2302" s="5" t="str">
        <f>IF(B2302="","",[1]!s_dq_close(股指期货基差分析!$E$5,$B2302))</f>
        <v/>
      </c>
      <c r="D2302" s="5" t="str">
        <f>IF(B2302="","",[1]!s_dq_close(股指期货基差分析!$E$6,$B2302))</f>
        <v/>
      </c>
      <c r="E2302" s="5" t="e">
        <f ca="1">RANK(F2302,F:F)+COUNTIF(F$2:F2302,F2302)-1</f>
        <v>#VALUE!</v>
      </c>
      <c r="F2302" s="5" t="str">
        <f t="shared" si="36"/>
        <v/>
      </c>
      <c r="G2302" s="5" t="str">
        <f>IF(B2302="","",股指期货基差分析!$N$11)</f>
        <v/>
      </c>
      <c r="H2302" s="5" t="str">
        <f>IF(B2302="","",股指期货基差分析!$L$11)</f>
        <v/>
      </c>
      <c r="I2302" s="9" t="str">
        <f>IF(B2302="","",股指期货基差分析!$D$11)</f>
        <v/>
      </c>
    </row>
    <row r="2303" spans="2:9" ht="15" customHeight="1" x14ac:dyDescent="0.2">
      <c r="B2303" s="8"/>
      <c r="C2303" s="6" t="str">
        <f>IF(B2303="","",[1]!s_dq_close(股指期货基差分析!$E$5,$B2303))</f>
        <v/>
      </c>
      <c r="D2303" s="6" t="str">
        <f>IF(B2303="","",[1]!s_dq_close(股指期货基差分析!$E$6,$B2303))</f>
        <v/>
      </c>
      <c r="E2303" s="6" t="e">
        <f ca="1">RANK(F2303,F:F)+COUNTIF(F$2:F2303,F2303)-1</f>
        <v>#VALUE!</v>
      </c>
      <c r="F2303" s="6" t="str">
        <f t="shared" si="36"/>
        <v/>
      </c>
      <c r="G2303" s="6" t="str">
        <f>IF(B2303="","",股指期货基差分析!$N$11)</f>
        <v/>
      </c>
      <c r="H2303" s="6" t="str">
        <f>IF(B2303="","",股指期货基差分析!$L$11)</f>
        <v/>
      </c>
      <c r="I2303" s="10" t="str">
        <f>IF(B2303="","",股指期货基差分析!$D$11)</f>
        <v/>
      </c>
    </row>
    <row r="2304" spans="2:9" ht="15" customHeight="1" x14ac:dyDescent="0.2">
      <c r="B2304" s="7"/>
      <c r="C2304" s="5" t="str">
        <f>IF(B2304="","",[1]!s_dq_close(股指期货基差分析!$E$5,$B2304))</f>
        <v/>
      </c>
      <c r="D2304" s="5" t="str">
        <f>IF(B2304="","",[1]!s_dq_close(股指期货基差分析!$E$6,$B2304))</f>
        <v/>
      </c>
      <c r="E2304" s="5" t="e">
        <f ca="1">RANK(F2304,F:F)+COUNTIF(F$2:F2304,F2304)-1</f>
        <v>#VALUE!</v>
      </c>
      <c r="F2304" s="5" t="str">
        <f t="shared" si="36"/>
        <v/>
      </c>
      <c r="G2304" s="5" t="str">
        <f>IF(B2304="","",股指期货基差分析!$N$11)</f>
        <v/>
      </c>
      <c r="H2304" s="5" t="str">
        <f>IF(B2304="","",股指期货基差分析!$L$11)</f>
        <v/>
      </c>
      <c r="I2304" s="9" t="str">
        <f>IF(B2304="","",股指期货基差分析!$D$11)</f>
        <v/>
      </c>
    </row>
    <row r="2305" spans="2:9" ht="15" customHeight="1" x14ac:dyDescent="0.2">
      <c r="B2305" s="8"/>
      <c r="C2305" s="6" t="str">
        <f>IF(B2305="","",[1]!s_dq_close(股指期货基差分析!$E$5,$B2305))</f>
        <v/>
      </c>
      <c r="D2305" s="6" t="str">
        <f>IF(B2305="","",[1]!s_dq_close(股指期货基差分析!$E$6,$B2305))</f>
        <v/>
      </c>
      <c r="E2305" s="6" t="e">
        <f ca="1">RANK(F2305,F:F)+COUNTIF(F$2:F2305,F2305)-1</f>
        <v>#VALUE!</v>
      </c>
      <c r="F2305" s="6" t="str">
        <f t="shared" si="36"/>
        <v/>
      </c>
      <c r="G2305" s="6" t="str">
        <f>IF(B2305="","",股指期货基差分析!$N$11)</f>
        <v/>
      </c>
      <c r="H2305" s="6" t="str">
        <f>IF(B2305="","",股指期货基差分析!$L$11)</f>
        <v/>
      </c>
      <c r="I2305" s="10" t="str">
        <f>IF(B2305="","",股指期货基差分析!$D$11)</f>
        <v/>
      </c>
    </row>
    <row r="2306" spans="2:9" ht="15" customHeight="1" x14ac:dyDescent="0.2">
      <c r="B2306" s="7"/>
      <c r="C2306" s="5" t="str">
        <f>IF(B2306="","",[1]!s_dq_close(股指期货基差分析!$E$5,$B2306))</f>
        <v/>
      </c>
      <c r="D2306" s="5" t="str">
        <f>IF(B2306="","",[1]!s_dq_close(股指期货基差分析!$E$6,$B2306))</f>
        <v/>
      </c>
      <c r="E2306" s="5" t="e">
        <f ca="1">RANK(F2306,F:F)+COUNTIF(F$2:F2306,F2306)-1</f>
        <v>#VALUE!</v>
      </c>
      <c r="F2306" s="5" t="str">
        <f t="shared" ref="F2306:F2369" si="37">IF(B2306="","",D2306-C2306)</f>
        <v/>
      </c>
      <c r="G2306" s="5" t="str">
        <f>IF(B2306="","",股指期货基差分析!$N$11)</f>
        <v/>
      </c>
      <c r="H2306" s="5" t="str">
        <f>IF(B2306="","",股指期货基差分析!$L$11)</f>
        <v/>
      </c>
      <c r="I2306" s="9" t="str">
        <f>IF(B2306="","",股指期货基差分析!$D$11)</f>
        <v/>
      </c>
    </row>
    <row r="2307" spans="2:9" ht="15" customHeight="1" x14ac:dyDescent="0.2">
      <c r="B2307" s="8"/>
      <c r="C2307" s="6" t="str">
        <f>IF(B2307="","",[1]!s_dq_close(股指期货基差分析!$E$5,$B2307))</f>
        <v/>
      </c>
      <c r="D2307" s="6" t="str">
        <f>IF(B2307="","",[1]!s_dq_close(股指期货基差分析!$E$6,$B2307))</f>
        <v/>
      </c>
      <c r="E2307" s="6" t="e">
        <f ca="1">RANK(F2307,F:F)+COUNTIF(F$2:F2307,F2307)-1</f>
        <v>#VALUE!</v>
      </c>
      <c r="F2307" s="6" t="str">
        <f t="shared" si="37"/>
        <v/>
      </c>
      <c r="G2307" s="6" t="str">
        <f>IF(B2307="","",股指期货基差分析!$N$11)</f>
        <v/>
      </c>
      <c r="H2307" s="6" t="str">
        <f>IF(B2307="","",股指期货基差分析!$L$11)</f>
        <v/>
      </c>
      <c r="I2307" s="10" t="str">
        <f>IF(B2307="","",股指期货基差分析!$D$11)</f>
        <v/>
      </c>
    </row>
    <row r="2308" spans="2:9" ht="15" customHeight="1" x14ac:dyDescent="0.2">
      <c r="B2308" s="7"/>
      <c r="C2308" s="5" t="str">
        <f>IF(B2308="","",[1]!s_dq_close(股指期货基差分析!$E$5,$B2308))</f>
        <v/>
      </c>
      <c r="D2308" s="5" t="str">
        <f>IF(B2308="","",[1]!s_dq_close(股指期货基差分析!$E$6,$B2308))</f>
        <v/>
      </c>
      <c r="E2308" s="5" t="e">
        <f ca="1">RANK(F2308,F:F)+COUNTIF(F$2:F2308,F2308)-1</f>
        <v>#VALUE!</v>
      </c>
      <c r="F2308" s="5" t="str">
        <f t="shared" si="37"/>
        <v/>
      </c>
      <c r="G2308" s="5" t="str">
        <f>IF(B2308="","",股指期货基差分析!$N$11)</f>
        <v/>
      </c>
      <c r="H2308" s="5" t="str">
        <f>IF(B2308="","",股指期货基差分析!$L$11)</f>
        <v/>
      </c>
      <c r="I2308" s="9" t="str">
        <f>IF(B2308="","",股指期货基差分析!$D$11)</f>
        <v/>
      </c>
    </row>
    <row r="2309" spans="2:9" ht="15" customHeight="1" x14ac:dyDescent="0.2">
      <c r="B2309" s="8"/>
      <c r="C2309" s="6" t="str">
        <f>IF(B2309="","",[1]!s_dq_close(股指期货基差分析!$E$5,$B2309))</f>
        <v/>
      </c>
      <c r="D2309" s="6" t="str">
        <f>IF(B2309="","",[1]!s_dq_close(股指期货基差分析!$E$6,$B2309))</f>
        <v/>
      </c>
      <c r="E2309" s="6" t="e">
        <f ca="1">RANK(F2309,F:F)+COUNTIF(F$2:F2309,F2309)-1</f>
        <v>#VALUE!</v>
      </c>
      <c r="F2309" s="6" t="str">
        <f t="shared" si="37"/>
        <v/>
      </c>
      <c r="G2309" s="6" t="str">
        <f>IF(B2309="","",股指期货基差分析!$N$11)</f>
        <v/>
      </c>
      <c r="H2309" s="6" t="str">
        <f>IF(B2309="","",股指期货基差分析!$L$11)</f>
        <v/>
      </c>
      <c r="I2309" s="10" t="str">
        <f>IF(B2309="","",股指期货基差分析!$D$11)</f>
        <v/>
      </c>
    </row>
    <row r="2310" spans="2:9" ht="15" customHeight="1" x14ac:dyDescent="0.2">
      <c r="B2310" s="7"/>
      <c r="C2310" s="5" t="str">
        <f>IF(B2310="","",[1]!s_dq_close(股指期货基差分析!$E$5,$B2310))</f>
        <v/>
      </c>
      <c r="D2310" s="5" t="str">
        <f>IF(B2310="","",[1]!s_dq_close(股指期货基差分析!$E$6,$B2310))</f>
        <v/>
      </c>
      <c r="E2310" s="5" t="e">
        <f ca="1">RANK(F2310,F:F)+COUNTIF(F$2:F2310,F2310)-1</f>
        <v>#VALUE!</v>
      </c>
      <c r="F2310" s="5" t="str">
        <f t="shared" si="37"/>
        <v/>
      </c>
      <c r="G2310" s="5" t="str">
        <f>IF(B2310="","",股指期货基差分析!$N$11)</f>
        <v/>
      </c>
      <c r="H2310" s="5" t="str">
        <f>IF(B2310="","",股指期货基差分析!$L$11)</f>
        <v/>
      </c>
      <c r="I2310" s="9" t="str">
        <f>IF(B2310="","",股指期货基差分析!$D$11)</f>
        <v/>
      </c>
    </row>
    <row r="2311" spans="2:9" ht="15" customHeight="1" x14ac:dyDescent="0.2">
      <c r="B2311" s="8"/>
      <c r="C2311" s="6" t="str">
        <f>IF(B2311="","",[1]!s_dq_close(股指期货基差分析!$E$5,$B2311))</f>
        <v/>
      </c>
      <c r="D2311" s="6" t="str">
        <f>IF(B2311="","",[1]!s_dq_close(股指期货基差分析!$E$6,$B2311))</f>
        <v/>
      </c>
      <c r="E2311" s="6" t="e">
        <f ca="1">RANK(F2311,F:F)+COUNTIF(F$2:F2311,F2311)-1</f>
        <v>#VALUE!</v>
      </c>
      <c r="F2311" s="6" t="str">
        <f t="shared" si="37"/>
        <v/>
      </c>
      <c r="G2311" s="6" t="str">
        <f>IF(B2311="","",股指期货基差分析!$N$11)</f>
        <v/>
      </c>
      <c r="H2311" s="6" t="str">
        <f>IF(B2311="","",股指期货基差分析!$L$11)</f>
        <v/>
      </c>
      <c r="I2311" s="10" t="str">
        <f>IF(B2311="","",股指期货基差分析!$D$11)</f>
        <v/>
      </c>
    </row>
    <row r="2312" spans="2:9" ht="15" customHeight="1" x14ac:dyDescent="0.2">
      <c r="B2312" s="7"/>
      <c r="C2312" s="5" t="str">
        <f>IF(B2312="","",[1]!s_dq_close(股指期货基差分析!$E$5,$B2312))</f>
        <v/>
      </c>
      <c r="D2312" s="5" t="str">
        <f>IF(B2312="","",[1]!s_dq_close(股指期货基差分析!$E$6,$B2312))</f>
        <v/>
      </c>
      <c r="E2312" s="5" t="e">
        <f ca="1">RANK(F2312,F:F)+COUNTIF(F$2:F2312,F2312)-1</f>
        <v>#VALUE!</v>
      </c>
      <c r="F2312" s="5" t="str">
        <f t="shared" si="37"/>
        <v/>
      </c>
      <c r="G2312" s="5" t="str">
        <f>IF(B2312="","",股指期货基差分析!$N$11)</f>
        <v/>
      </c>
      <c r="H2312" s="5" t="str">
        <f>IF(B2312="","",股指期货基差分析!$L$11)</f>
        <v/>
      </c>
      <c r="I2312" s="9" t="str">
        <f>IF(B2312="","",股指期货基差分析!$D$11)</f>
        <v/>
      </c>
    </row>
    <row r="2313" spans="2:9" ht="15" customHeight="1" x14ac:dyDescent="0.2">
      <c r="B2313" s="8"/>
      <c r="C2313" s="6" t="str">
        <f>IF(B2313="","",[1]!s_dq_close(股指期货基差分析!$E$5,$B2313))</f>
        <v/>
      </c>
      <c r="D2313" s="6" t="str">
        <f>IF(B2313="","",[1]!s_dq_close(股指期货基差分析!$E$6,$B2313))</f>
        <v/>
      </c>
      <c r="E2313" s="6" t="e">
        <f ca="1">RANK(F2313,F:F)+COUNTIF(F$2:F2313,F2313)-1</f>
        <v>#VALUE!</v>
      </c>
      <c r="F2313" s="6" t="str">
        <f t="shared" si="37"/>
        <v/>
      </c>
      <c r="G2313" s="6" t="str">
        <f>IF(B2313="","",股指期货基差分析!$N$11)</f>
        <v/>
      </c>
      <c r="H2313" s="6" t="str">
        <f>IF(B2313="","",股指期货基差分析!$L$11)</f>
        <v/>
      </c>
      <c r="I2313" s="10" t="str">
        <f>IF(B2313="","",股指期货基差分析!$D$11)</f>
        <v/>
      </c>
    </row>
    <row r="2314" spans="2:9" ht="15" customHeight="1" x14ac:dyDescent="0.2">
      <c r="B2314" s="7"/>
      <c r="C2314" s="5" t="str">
        <f>IF(B2314="","",[1]!s_dq_close(股指期货基差分析!$E$5,$B2314))</f>
        <v/>
      </c>
      <c r="D2314" s="5" t="str">
        <f>IF(B2314="","",[1]!s_dq_close(股指期货基差分析!$E$6,$B2314))</f>
        <v/>
      </c>
      <c r="E2314" s="5" t="e">
        <f ca="1">RANK(F2314,F:F)+COUNTIF(F$2:F2314,F2314)-1</f>
        <v>#VALUE!</v>
      </c>
      <c r="F2314" s="5" t="str">
        <f t="shared" si="37"/>
        <v/>
      </c>
      <c r="G2314" s="5" t="str">
        <f>IF(B2314="","",股指期货基差分析!$N$11)</f>
        <v/>
      </c>
      <c r="H2314" s="5" t="str">
        <f>IF(B2314="","",股指期货基差分析!$L$11)</f>
        <v/>
      </c>
      <c r="I2314" s="9" t="str">
        <f>IF(B2314="","",股指期货基差分析!$D$11)</f>
        <v/>
      </c>
    </row>
    <row r="2315" spans="2:9" ht="15" customHeight="1" x14ac:dyDescent="0.2">
      <c r="B2315" s="8"/>
      <c r="C2315" s="6" t="str">
        <f>IF(B2315="","",[1]!s_dq_close(股指期货基差分析!$E$5,$B2315))</f>
        <v/>
      </c>
      <c r="D2315" s="6" t="str">
        <f>IF(B2315="","",[1]!s_dq_close(股指期货基差分析!$E$6,$B2315))</f>
        <v/>
      </c>
      <c r="E2315" s="6" t="e">
        <f ca="1">RANK(F2315,F:F)+COUNTIF(F$2:F2315,F2315)-1</f>
        <v>#VALUE!</v>
      </c>
      <c r="F2315" s="6" t="str">
        <f t="shared" si="37"/>
        <v/>
      </c>
      <c r="G2315" s="6" t="str">
        <f>IF(B2315="","",股指期货基差分析!$N$11)</f>
        <v/>
      </c>
      <c r="H2315" s="6" t="str">
        <f>IF(B2315="","",股指期货基差分析!$L$11)</f>
        <v/>
      </c>
      <c r="I2315" s="10" t="str">
        <f>IF(B2315="","",股指期货基差分析!$D$11)</f>
        <v/>
      </c>
    </row>
    <row r="2316" spans="2:9" ht="15" customHeight="1" x14ac:dyDescent="0.2">
      <c r="B2316" s="7"/>
      <c r="C2316" s="5" t="str">
        <f>IF(B2316="","",[1]!s_dq_close(股指期货基差分析!$E$5,$B2316))</f>
        <v/>
      </c>
      <c r="D2316" s="5" t="str">
        <f>IF(B2316="","",[1]!s_dq_close(股指期货基差分析!$E$6,$B2316))</f>
        <v/>
      </c>
      <c r="E2316" s="5" t="e">
        <f ca="1">RANK(F2316,F:F)+COUNTIF(F$2:F2316,F2316)-1</f>
        <v>#VALUE!</v>
      </c>
      <c r="F2316" s="5" t="str">
        <f t="shared" si="37"/>
        <v/>
      </c>
      <c r="G2316" s="5" t="str">
        <f>IF(B2316="","",股指期货基差分析!$N$11)</f>
        <v/>
      </c>
      <c r="H2316" s="5" t="str">
        <f>IF(B2316="","",股指期货基差分析!$L$11)</f>
        <v/>
      </c>
      <c r="I2316" s="9" t="str">
        <f>IF(B2316="","",股指期货基差分析!$D$11)</f>
        <v/>
      </c>
    </row>
    <row r="2317" spans="2:9" ht="15" customHeight="1" x14ac:dyDescent="0.2">
      <c r="B2317" s="8"/>
      <c r="C2317" s="6" t="str">
        <f>IF(B2317="","",[1]!s_dq_close(股指期货基差分析!$E$5,$B2317))</f>
        <v/>
      </c>
      <c r="D2317" s="6" t="str">
        <f>IF(B2317="","",[1]!s_dq_close(股指期货基差分析!$E$6,$B2317))</f>
        <v/>
      </c>
      <c r="E2317" s="6" t="e">
        <f ca="1">RANK(F2317,F:F)+COUNTIF(F$2:F2317,F2317)-1</f>
        <v>#VALUE!</v>
      </c>
      <c r="F2317" s="6" t="str">
        <f t="shared" si="37"/>
        <v/>
      </c>
      <c r="G2317" s="6" t="str">
        <f>IF(B2317="","",股指期货基差分析!$N$11)</f>
        <v/>
      </c>
      <c r="H2317" s="6" t="str">
        <f>IF(B2317="","",股指期货基差分析!$L$11)</f>
        <v/>
      </c>
      <c r="I2317" s="10" t="str">
        <f>IF(B2317="","",股指期货基差分析!$D$11)</f>
        <v/>
      </c>
    </row>
    <row r="2318" spans="2:9" ht="15" customHeight="1" x14ac:dyDescent="0.2">
      <c r="B2318" s="7"/>
      <c r="C2318" s="5" t="str">
        <f>IF(B2318="","",[1]!s_dq_close(股指期货基差分析!$E$5,$B2318))</f>
        <v/>
      </c>
      <c r="D2318" s="5" t="str">
        <f>IF(B2318="","",[1]!s_dq_close(股指期货基差分析!$E$6,$B2318))</f>
        <v/>
      </c>
      <c r="E2318" s="5" t="e">
        <f ca="1">RANK(F2318,F:F)+COUNTIF(F$2:F2318,F2318)-1</f>
        <v>#VALUE!</v>
      </c>
      <c r="F2318" s="5" t="str">
        <f t="shared" si="37"/>
        <v/>
      </c>
      <c r="G2318" s="5" t="str">
        <f>IF(B2318="","",股指期货基差分析!$N$11)</f>
        <v/>
      </c>
      <c r="H2318" s="5" t="str">
        <f>IF(B2318="","",股指期货基差分析!$L$11)</f>
        <v/>
      </c>
      <c r="I2318" s="9" t="str">
        <f>IF(B2318="","",股指期货基差分析!$D$11)</f>
        <v/>
      </c>
    </row>
    <row r="2319" spans="2:9" ht="15" customHeight="1" x14ac:dyDescent="0.2">
      <c r="B2319" s="8"/>
      <c r="C2319" s="6" t="str">
        <f>IF(B2319="","",[1]!s_dq_close(股指期货基差分析!$E$5,$B2319))</f>
        <v/>
      </c>
      <c r="D2319" s="6" t="str">
        <f>IF(B2319="","",[1]!s_dq_close(股指期货基差分析!$E$6,$B2319))</f>
        <v/>
      </c>
      <c r="E2319" s="6" t="e">
        <f ca="1">RANK(F2319,F:F)+COUNTIF(F$2:F2319,F2319)-1</f>
        <v>#VALUE!</v>
      </c>
      <c r="F2319" s="6" t="str">
        <f t="shared" si="37"/>
        <v/>
      </c>
      <c r="G2319" s="6" t="str">
        <f>IF(B2319="","",股指期货基差分析!$N$11)</f>
        <v/>
      </c>
      <c r="H2319" s="6" t="str">
        <f>IF(B2319="","",股指期货基差分析!$L$11)</f>
        <v/>
      </c>
      <c r="I2319" s="10" t="str">
        <f>IF(B2319="","",股指期货基差分析!$D$11)</f>
        <v/>
      </c>
    </row>
    <row r="2320" spans="2:9" ht="15" customHeight="1" x14ac:dyDescent="0.2">
      <c r="B2320" s="7"/>
      <c r="C2320" s="5" t="str">
        <f>IF(B2320="","",[1]!s_dq_close(股指期货基差分析!$E$5,$B2320))</f>
        <v/>
      </c>
      <c r="D2320" s="5" t="str">
        <f>IF(B2320="","",[1]!s_dq_close(股指期货基差分析!$E$6,$B2320))</f>
        <v/>
      </c>
      <c r="E2320" s="5" t="e">
        <f ca="1">RANK(F2320,F:F)+COUNTIF(F$2:F2320,F2320)-1</f>
        <v>#VALUE!</v>
      </c>
      <c r="F2320" s="5" t="str">
        <f t="shared" si="37"/>
        <v/>
      </c>
      <c r="G2320" s="5" t="str">
        <f>IF(B2320="","",股指期货基差分析!$N$11)</f>
        <v/>
      </c>
      <c r="H2320" s="5" t="str">
        <f>IF(B2320="","",股指期货基差分析!$L$11)</f>
        <v/>
      </c>
      <c r="I2320" s="9" t="str">
        <f>IF(B2320="","",股指期货基差分析!$D$11)</f>
        <v/>
      </c>
    </row>
    <row r="2321" spans="2:9" ht="15" customHeight="1" x14ac:dyDescent="0.2">
      <c r="B2321" s="8"/>
      <c r="C2321" s="6" t="str">
        <f>IF(B2321="","",[1]!s_dq_close(股指期货基差分析!$E$5,$B2321))</f>
        <v/>
      </c>
      <c r="D2321" s="6" t="str">
        <f>IF(B2321="","",[1]!s_dq_close(股指期货基差分析!$E$6,$B2321))</f>
        <v/>
      </c>
      <c r="E2321" s="6" t="e">
        <f ca="1">RANK(F2321,F:F)+COUNTIF(F$2:F2321,F2321)-1</f>
        <v>#VALUE!</v>
      </c>
      <c r="F2321" s="6" t="str">
        <f t="shared" si="37"/>
        <v/>
      </c>
      <c r="G2321" s="6" t="str">
        <f>IF(B2321="","",股指期货基差分析!$N$11)</f>
        <v/>
      </c>
      <c r="H2321" s="6" t="str">
        <f>IF(B2321="","",股指期货基差分析!$L$11)</f>
        <v/>
      </c>
      <c r="I2321" s="10" t="str">
        <f>IF(B2321="","",股指期货基差分析!$D$11)</f>
        <v/>
      </c>
    </row>
    <row r="2322" spans="2:9" ht="15" customHeight="1" x14ac:dyDescent="0.2">
      <c r="B2322" s="7"/>
      <c r="C2322" s="5" t="str">
        <f>IF(B2322="","",[1]!s_dq_close(股指期货基差分析!$E$5,$B2322))</f>
        <v/>
      </c>
      <c r="D2322" s="5" t="str">
        <f>IF(B2322="","",[1]!s_dq_close(股指期货基差分析!$E$6,$B2322))</f>
        <v/>
      </c>
      <c r="E2322" s="5" t="e">
        <f ca="1">RANK(F2322,F:F)+COUNTIF(F$2:F2322,F2322)-1</f>
        <v>#VALUE!</v>
      </c>
      <c r="F2322" s="5" t="str">
        <f t="shared" si="37"/>
        <v/>
      </c>
      <c r="G2322" s="5" t="str">
        <f>IF(B2322="","",股指期货基差分析!$N$11)</f>
        <v/>
      </c>
      <c r="H2322" s="5" t="str">
        <f>IF(B2322="","",股指期货基差分析!$L$11)</f>
        <v/>
      </c>
      <c r="I2322" s="9" t="str">
        <f>IF(B2322="","",股指期货基差分析!$D$11)</f>
        <v/>
      </c>
    </row>
    <row r="2323" spans="2:9" ht="15" customHeight="1" x14ac:dyDescent="0.2">
      <c r="B2323" s="8"/>
      <c r="C2323" s="6" t="str">
        <f>IF(B2323="","",[1]!s_dq_close(股指期货基差分析!$E$5,$B2323))</f>
        <v/>
      </c>
      <c r="D2323" s="6" t="str">
        <f>IF(B2323="","",[1]!s_dq_close(股指期货基差分析!$E$6,$B2323))</f>
        <v/>
      </c>
      <c r="E2323" s="6" t="e">
        <f ca="1">RANK(F2323,F:F)+COUNTIF(F$2:F2323,F2323)-1</f>
        <v>#VALUE!</v>
      </c>
      <c r="F2323" s="6" t="str">
        <f t="shared" si="37"/>
        <v/>
      </c>
      <c r="G2323" s="6" t="str">
        <f>IF(B2323="","",股指期货基差分析!$N$11)</f>
        <v/>
      </c>
      <c r="H2323" s="6" t="str">
        <f>IF(B2323="","",股指期货基差分析!$L$11)</f>
        <v/>
      </c>
      <c r="I2323" s="10" t="str">
        <f>IF(B2323="","",股指期货基差分析!$D$11)</f>
        <v/>
      </c>
    </row>
    <row r="2324" spans="2:9" ht="15" customHeight="1" x14ac:dyDescent="0.2">
      <c r="B2324" s="7"/>
      <c r="C2324" s="5" t="str">
        <f>IF(B2324="","",[1]!s_dq_close(股指期货基差分析!$E$5,$B2324))</f>
        <v/>
      </c>
      <c r="D2324" s="5" t="str">
        <f>IF(B2324="","",[1]!s_dq_close(股指期货基差分析!$E$6,$B2324))</f>
        <v/>
      </c>
      <c r="E2324" s="5" t="e">
        <f ca="1">RANK(F2324,F:F)+COUNTIF(F$2:F2324,F2324)-1</f>
        <v>#VALUE!</v>
      </c>
      <c r="F2324" s="5" t="str">
        <f t="shared" si="37"/>
        <v/>
      </c>
      <c r="G2324" s="5" t="str">
        <f>IF(B2324="","",股指期货基差分析!$N$11)</f>
        <v/>
      </c>
      <c r="H2324" s="5" t="str">
        <f>IF(B2324="","",股指期货基差分析!$L$11)</f>
        <v/>
      </c>
      <c r="I2324" s="9" t="str">
        <f>IF(B2324="","",股指期货基差分析!$D$11)</f>
        <v/>
      </c>
    </row>
    <row r="2325" spans="2:9" ht="15" customHeight="1" x14ac:dyDescent="0.2">
      <c r="B2325" s="8"/>
      <c r="C2325" s="6" t="str">
        <f>IF(B2325="","",[1]!s_dq_close(股指期货基差分析!$E$5,$B2325))</f>
        <v/>
      </c>
      <c r="D2325" s="6" t="str">
        <f>IF(B2325="","",[1]!s_dq_close(股指期货基差分析!$E$6,$B2325))</f>
        <v/>
      </c>
      <c r="E2325" s="6" t="e">
        <f ca="1">RANK(F2325,F:F)+COUNTIF(F$2:F2325,F2325)-1</f>
        <v>#VALUE!</v>
      </c>
      <c r="F2325" s="6" t="str">
        <f t="shared" si="37"/>
        <v/>
      </c>
      <c r="G2325" s="6" t="str">
        <f>IF(B2325="","",股指期货基差分析!$N$11)</f>
        <v/>
      </c>
      <c r="H2325" s="6" t="str">
        <f>IF(B2325="","",股指期货基差分析!$L$11)</f>
        <v/>
      </c>
      <c r="I2325" s="10" t="str">
        <f>IF(B2325="","",股指期货基差分析!$D$11)</f>
        <v/>
      </c>
    </row>
    <row r="2326" spans="2:9" ht="15" customHeight="1" x14ac:dyDescent="0.2">
      <c r="B2326" s="7"/>
      <c r="C2326" s="5" t="str">
        <f>IF(B2326="","",[1]!s_dq_close(股指期货基差分析!$E$5,$B2326))</f>
        <v/>
      </c>
      <c r="D2326" s="5" t="str">
        <f>IF(B2326="","",[1]!s_dq_close(股指期货基差分析!$E$6,$B2326))</f>
        <v/>
      </c>
      <c r="E2326" s="5" t="e">
        <f ca="1">RANK(F2326,F:F)+COUNTIF(F$2:F2326,F2326)-1</f>
        <v>#VALUE!</v>
      </c>
      <c r="F2326" s="5" t="str">
        <f t="shared" si="37"/>
        <v/>
      </c>
      <c r="G2326" s="5" t="str">
        <f>IF(B2326="","",股指期货基差分析!$N$11)</f>
        <v/>
      </c>
      <c r="H2326" s="5" t="str">
        <f>IF(B2326="","",股指期货基差分析!$L$11)</f>
        <v/>
      </c>
      <c r="I2326" s="9" t="str">
        <f>IF(B2326="","",股指期货基差分析!$D$11)</f>
        <v/>
      </c>
    </row>
    <row r="2327" spans="2:9" ht="15" customHeight="1" x14ac:dyDescent="0.2">
      <c r="B2327" s="8"/>
      <c r="C2327" s="6" t="str">
        <f>IF(B2327="","",[1]!s_dq_close(股指期货基差分析!$E$5,$B2327))</f>
        <v/>
      </c>
      <c r="D2327" s="6" t="str">
        <f>IF(B2327="","",[1]!s_dq_close(股指期货基差分析!$E$6,$B2327))</f>
        <v/>
      </c>
      <c r="E2327" s="6" t="e">
        <f ca="1">RANK(F2327,F:F)+COUNTIF(F$2:F2327,F2327)-1</f>
        <v>#VALUE!</v>
      </c>
      <c r="F2327" s="6" t="str">
        <f t="shared" si="37"/>
        <v/>
      </c>
      <c r="G2327" s="6" t="str">
        <f>IF(B2327="","",股指期货基差分析!$N$11)</f>
        <v/>
      </c>
      <c r="H2327" s="6" t="str">
        <f>IF(B2327="","",股指期货基差分析!$L$11)</f>
        <v/>
      </c>
      <c r="I2327" s="10" t="str">
        <f>IF(B2327="","",股指期货基差分析!$D$11)</f>
        <v/>
      </c>
    </row>
    <row r="2328" spans="2:9" ht="15" customHeight="1" x14ac:dyDescent="0.2">
      <c r="B2328" s="7"/>
      <c r="C2328" s="5" t="str">
        <f>IF(B2328="","",[1]!s_dq_close(股指期货基差分析!$E$5,$B2328))</f>
        <v/>
      </c>
      <c r="D2328" s="5" t="str">
        <f>IF(B2328="","",[1]!s_dq_close(股指期货基差分析!$E$6,$B2328))</f>
        <v/>
      </c>
      <c r="E2328" s="5" t="e">
        <f ca="1">RANK(F2328,F:F)+COUNTIF(F$2:F2328,F2328)-1</f>
        <v>#VALUE!</v>
      </c>
      <c r="F2328" s="5" t="str">
        <f t="shared" si="37"/>
        <v/>
      </c>
      <c r="G2328" s="5" t="str">
        <f>IF(B2328="","",股指期货基差分析!$N$11)</f>
        <v/>
      </c>
      <c r="H2328" s="5" t="str">
        <f>IF(B2328="","",股指期货基差分析!$L$11)</f>
        <v/>
      </c>
      <c r="I2328" s="9" t="str">
        <f>IF(B2328="","",股指期货基差分析!$D$11)</f>
        <v/>
      </c>
    </row>
    <row r="2329" spans="2:9" ht="15" customHeight="1" x14ac:dyDescent="0.2">
      <c r="B2329" s="8"/>
      <c r="C2329" s="6" t="str">
        <f>IF(B2329="","",[1]!s_dq_close(股指期货基差分析!$E$5,$B2329))</f>
        <v/>
      </c>
      <c r="D2329" s="6" t="str">
        <f>IF(B2329="","",[1]!s_dq_close(股指期货基差分析!$E$6,$B2329))</f>
        <v/>
      </c>
      <c r="E2329" s="6" t="e">
        <f ca="1">RANK(F2329,F:F)+COUNTIF(F$2:F2329,F2329)-1</f>
        <v>#VALUE!</v>
      </c>
      <c r="F2329" s="6" t="str">
        <f t="shared" si="37"/>
        <v/>
      </c>
      <c r="G2329" s="6" t="str">
        <f>IF(B2329="","",股指期货基差分析!$N$11)</f>
        <v/>
      </c>
      <c r="H2329" s="6" t="str">
        <f>IF(B2329="","",股指期货基差分析!$L$11)</f>
        <v/>
      </c>
      <c r="I2329" s="10" t="str">
        <f>IF(B2329="","",股指期货基差分析!$D$11)</f>
        <v/>
      </c>
    </row>
    <row r="2330" spans="2:9" ht="15" customHeight="1" x14ac:dyDescent="0.2">
      <c r="B2330" s="7"/>
      <c r="C2330" s="5" t="str">
        <f>IF(B2330="","",[1]!s_dq_close(股指期货基差分析!$E$5,$B2330))</f>
        <v/>
      </c>
      <c r="D2330" s="5" t="str">
        <f>IF(B2330="","",[1]!s_dq_close(股指期货基差分析!$E$6,$B2330))</f>
        <v/>
      </c>
      <c r="E2330" s="5" t="e">
        <f ca="1">RANK(F2330,F:F)+COUNTIF(F$2:F2330,F2330)-1</f>
        <v>#VALUE!</v>
      </c>
      <c r="F2330" s="5" t="str">
        <f t="shared" si="37"/>
        <v/>
      </c>
      <c r="G2330" s="5" t="str">
        <f>IF(B2330="","",股指期货基差分析!$N$11)</f>
        <v/>
      </c>
      <c r="H2330" s="5" t="str">
        <f>IF(B2330="","",股指期货基差分析!$L$11)</f>
        <v/>
      </c>
      <c r="I2330" s="9" t="str">
        <f>IF(B2330="","",股指期货基差分析!$D$11)</f>
        <v/>
      </c>
    </row>
    <row r="2331" spans="2:9" ht="15" customHeight="1" x14ac:dyDescent="0.2">
      <c r="B2331" s="8"/>
      <c r="C2331" s="6" t="str">
        <f>IF(B2331="","",[1]!s_dq_close(股指期货基差分析!$E$5,$B2331))</f>
        <v/>
      </c>
      <c r="D2331" s="6" t="str">
        <f>IF(B2331="","",[1]!s_dq_close(股指期货基差分析!$E$6,$B2331))</f>
        <v/>
      </c>
      <c r="E2331" s="6" t="e">
        <f ca="1">RANK(F2331,F:F)+COUNTIF(F$2:F2331,F2331)-1</f>
        <v>#VALUE!</v>
      </c>
      <c r="F2331" s="6" t="str">
        <f t="shared" si="37"/>
        <v/>
      </c>
      <c r="G2331" s="6" t="str">
        <f>IF(B2331="","",股指期货基差分析!$N$11)</f>
        <v/>
      </c>
      <c r="H2331" s="6" t="str">
        <f>IF(B2331="","",股指期货基差分析!$L$11)</f>
        <v/>
      </c>
      <c r="I2331" s="10" t="str">
        <f>IF(B2331="","",股指期货基差分析!$D$11)</f>
        <v/>
      </c>
    </row>
    <row r="2332" spans="2:9" ht="15" customHeight="1" x14ac:dyDescent="0.2">
      <c r="B2332" s="7"/>
      <c r="C2332" s="5" t="str">
        <f>IF(B2332="","",[1]!s_dq_close(股指期货基差分析!$E$5,$B2332))</f>
        <v/>
      </c>
      <c r="D2332" s="5" t="str">
        <f>IF(B2332="","",[1]!s_dq_close(股指期货基差分析!$E$6,$B2332))</f>
        <v/>
      </c>
      <c r="E2332" s="5" t="e">
        <f ca="1">RANK(F2332,F:F)+COUNTIF(F$2:F2332,F2332)-1</f>
        <v>#VALUE!</v>
      </c>
      <c r="F2332" s="5" t="str">
        <f t="shared" si="37"/>
        <v/>
      </c>
      <c r="G2332" s="5" t="str">
        <f>IF(B2332="","",股指期货基差分析!$N$11)</f>
        <v/>
      </c>
      <c r="H2332" s="5" t="str">
        <f>IF(B2332="","",股指期货基差分析!$L$11)</f>
        <v/>
      </c>
      <c r="I2332" s="9" t="str">
        <f>IF(B2332="","",股指期货基差分析!$D$11)</f>
        <v/>
      </c>
    </row>
    <row r="2333" spans="2:9" ht="15" customHeight="1" x14ac:dyDescent="0.2">
      <c r="B2333" s="8"/>
      <c r="C2333" s="6" t="str">
        <f>IF(B2333="","",[1]!s_dq_close(股指期货基差分析!$E$5,$B2333))</f>
        <v/>
      </c>
      <c r="D2333" s="6" t="str">
        <f>IF(B2333="","",[1]!s_dq_close(股指期货基差分析!$E$6,$B2333))</f>
        <v/>
      </c>
      <c r="E2333" s="6" t="e">
        <f ca="1">RANK(F2333,F:F)+COUNTIF(F$2:F2333,F2333)-1</f>
        <v>#VALUE!</v>
      </c>
      <c r="F2333" s="6" t="str">
        <f t="shared" si="37"/>
        <v/>
      </c>
      <c r="G2333" s="6" t="str">
        <f>IF(B2333="","",股指期货基差分析!$N$11)</f>
        <v/>
      </c>
      <c r="H2333" s="6" t="str">
        <f>IF(B2333="","",股指期货基差分析!$L$11)</f>
        <v/>
      </c>
      <c r="I2333" s="10" t="str">
        <f>IF(B2333="","",股指期货基差分析!$D$11)</f>
        <v/>
      </c>
    </row>
    <row r="2334" spans="2:9" ht="15" customHeight="1" x14ac:dyDescent="0.2">
      <c r="B2334" s="7"/>
      <c r="C2334" s="5" t="str">
        <f>IF(B2334="","",[1]!s_dq_close(股指期货基差分析!$E$5,$B2334))</f>
        <v/>
      </c>
      <c r="D2334" s="5" t="str">
        <f>IF(B2334="","",[1]!s_dq_close(股指期货基差分析!$E$6,$B2334))</f>
        <v/>
      </c>
      <c r="E2334" s="5" t="e">
        <f ca="1">RANK(F2334,F:F)+COUNTIF(F$2:F2334,F2334)-1</f>
        <v>#VALUE!</v>
      </c>
      <c r="F2334" s="5" t="str">
        <f t="shared" si="37"/>
        <v/>
      </c>
      <c r="G2334" s="5" t="str">
        <f>IF(B2334="","",股指期货基差分析!$N$11)</f>
        <v/>
      </c>
      <c r="H2334" s="5" t="str">
        <f>IF(B2334="","",股指期货基差分析!$L$11)</f>
        <v/>
      </c>
      <c r="I2334" s="9" t="str">
        <f>IF(B2334="","",股指期货基差分析!$D$11)</f>
        <v/>
      </c>
    </row>
    <row r="2335" spans="2:9" ht="15" customHeight="1" x14ac:dyDescent="0.2">
      <c r="B2335" s="8"/>
      <c r="C2335" s="6" t="str">
        <f>IF(B2335="","",[1]!s_dq_close(股指期货基差分析!$E$5,$B2335))</f>
        <v/>
      </c>
      <c r="D2335" s="6" t="str">
        <f>IF(B2335="","",[1]!s_dq_close(股指期货基差分析!$E$6,$B2335))</f>
        <v/>
      </c>
      <c r="E2335" s="6" t="e">
        <f ca="1">RANK(F2335,F:F)+COUNTIF(F$2:F2335,F2335)-1</f>
        <v>#VALUE!</v>
      </c>
      <c r="F2335" s="6" t="str">
        <f t="shared" si="37"/>
        <v/>
      </c>
      <c r="G2335" s="6" t="str">
        <f>IF(B2335="","",股指期货基差分析!$N$11)</f>
        <v/>
      </c>
      <c r="H2335" s="6" t="str">
        <f>IF(B2335="","",股指期货基差分析!$L$11)</f>
        <v/>
      </c>
      <c r="I2335" s="10" t="str">
        <f>IF(B2335="","",股指期货基差分析!$D$11)</f>
        <v/>
      </c>
    </row>
    <row r="2336" spans="2:9" ht="15" customHeight="1" x14ac:dyDescent="0.2">
      <c r="B2336" s="7"/>
      <c r="C2336" s="5" t="str">
        <f>IF(B2336="","",[1]!s_dq_close(股指期货基差分析!$E$5,$B2336))</f>
        <v/>
      </c>
      <c r="D2336" s="5" t="str">
        <f>IF(B2336="","",[1]!s_dq_close(股指期货基差分析!$E$6,$B2336))</f>
        <v/>
      </c>
      <c r="E2336" s="5" t="e">
        <f ca="1">RANK(F2336,F:F)+COUNTIF(F$2:F2336,F2336)-1</f>
        <v>#VALUE!</v>
      </c>
      <c r="F2336" s="5" t="str">
        <f t="shared" si="37"/>
        <v/>
      </c>
      <c r="G2336" s="5" t="str">
        <f>IF(B2336="","",股指期货基差分析!$N$11)</f>
        <v/>
      </c>
      <c r="H2336" s="5" t="str">
        <f>IF(B2336="","",股指期货基差分析!$L$11)</f>
        <v/>
      </c>
      <c r="I2336" s="9" t="str">
        <f>IF(B2336="","",股指期货基差分析!$D$11)</f>
        <v/>
      </c>
    </row>
    <row r="2337" spans="2:9" ht="15" customHeight="1" x14ac:dyDescent="0.2">
      <c r="B2337" s="8"/>
      <c r="C2337" s="6" t="str">
        <f>IF(B2337="","",[1]!s_dq_close(股指期货基差分析!$E$5,$B2337))</f>
        <v/>
      </c>
      <c r="D2337" s="6" t="str">
        <f>IF(B2337="","",[1]!s_dq_close(股指期货基差分析!$E$6,$B2337))</f>
        <v/>
      </c>
      <c r="E2337" s="6" t="e">
        <f ca="1">RANK(F2337,F:F)+COUNTIF(F$2:F2337,F2337)-1</f>
        <v>#VALUE!</v>
      </c>
      <c r="F2337" s="6" t="str">
        <f t="shared" si="37"/>
        <v/>
      </c>
      <c r="G2337" s="6" t="str">
        <f>IF(B2337="","",股指期货基差分析!$N$11)</f>
        <v/>
      </c>
      <c r="H2337" s="6" t="str">
        <f>IF(B2337="","",股指期货基差分析!$L$11)</f>
        <v/>
      </c>
      <c r="I2337" s="10" t="str">
        <f>IF(B2337="","",股指期货基差分析!$D$11)</f>
        <v/>
      </c>
    </row>
    <row r="2338" spans="2:9" ht="15" customHeight="1" x14ac:dyDescent="0.2">
      <c r="B2338" s="7"/>
      <c r="C2338" s="5" t="str">
        <f>IF(B2338="","",[1]!s_dq_close(股指期货基差分析!$E$5,$B2338))</f>
        <v/>
      </c>
      <c r="D2338" s="5" t="str">
        <f>IF(B2338="","",[1]!s_dq_close(股指期货基差分析!$E$6,$B2338))</f>
        <v/>
      </c>
      <c r="E2338" s="5" t="e">
        <f ca="1">RANK(F2338,F:F)+COUNTIF(F$2:F2338,F2338)-1</f>
        <v>#VALUE!</v>
      </c>
      <c r="F2338" s="5" t="str">
        <f t="shared" si="37"/>
        <v/>
      </c>
      <c r="G2338" s="5" t="str">
        <f>IF(B2338="","",股指期货基差分析!$N$11)</f>
        <v/>
      </c>
      <c r="H2338" s="5" t="str">
        <f>IF(B2338="","",股指期货基差分析!$L$11)</f>
        <v/>
      </c>
      <c r="I2338" s="9" t="str">
        <f>IF(B2338="","",股指期货基差分析!$D$11)</f>
        <v/>
      </c>
    </row>
    <row r="2339" spans="2:9" ht="15" customHeight="1" x14ac:dyDescent="0.2">
      <c r="B2339" s="8"/>
      <c r="C2339" s="6" t="str">
        <f>IF(B2339="","",[1]!s_dq_close(股指期货基差分析!$E$5,$B2339))</f>
        <v/>
      </c>
      <c r="D2339" s="6" t="str">
        <f>IF(B2339="","",[1]!s_dq_close(股指期货基差分析!$E$6,$B2339))</f>
        <v/>
      </c>
      <c r="E2339" s="6" t="e">
        <f ca="1">RANK(F2339,F:F)+COUNTIF(F$2:F2339,F2339)-1</f>
        <v>#VALUE!</v>
      </c>
      <c r="F2339" s="6" t="str">
        <f t="shared" si="37"/>
        <v/>
      </c>
      <c r="G2339" s="6" t="str">
        <f>IF(B2339="","",股指期货基差分析!$N$11)</f>
        <v/>
      </c>
      <c r="H2339" s="6" t="str">
        <f>IF(B2339="","",股指期货基差分析!$L$11)</f>
        <v/>
      </c>
      <c r="I2339" s="10" t="str">
        <f>IF(B2339="","",股指期货基差分析!$D$11)</f>
        <v/>
      </c>
    </row>
    <row r="2340" spans="2:9" ht="15" customHeight="1" x14ac:dyDescent="0.2">
      <c r="B2340" s="7"/>
      <c r="C2340" s="5" t="str">
        <f>IF(B2340="","",[1]!s_dq_close(股指期货基差分析!$E$5,$B2340))</f>
        <v/>
      </c>
      <c r="D2340" s="5" t="str">
        <f>IF(B2340="","",[1]!s_dq_close(股指期货基差分析!$E$6,$B2340))</f>
        <v/>
      </c>
      <c r="E2340" s="5" t="e">
        <f ca="1">RANK(F2340,F:F)+COUNTIF(F$2:F2340,F2340)-1</f>
        <v>#VALUE!</v>
      </c>
      <c r="F2340" s="5" t="str">
        <f t="shared" si="37"/>
        <v/>
      </c>
      <c r="G2340" s="5" t="str">
        <f>IF(B2340="","",股指期货基差分析!$N$11)</f>
        <v/>
      </c>
      <c r="H2340" s="5" t="str">
        <f>IF(B2340="","",股指期货基差分析!$L$11)</f>
        <v/>
      </c>
      <c r="I2340" s="9" t="str">
        <f>IF(B2340="","",股指期货基差分析!$D$11)</f>
        <v/>
      </c>
    </row>
    <row r="2341" spans="2:9" ht="15" customHeight="1" x14ac:dyDescent="0.2">
      <c r="B2341" s="8"/>
      <c r="C2341" s="6" t="str">
        <f>IF(B2341="","",[1]!s_dq_close(股指期货基差分析!$E$5,$B2341))</f>
        <v/>
      </c>
      <c r="D2341" s="6" t="str">
        <f>IF(B2341="","",[1]!s_dq_close(股指期货基差分析!$E$6,$B2341))</f>
        <v/>
      </c>
      <c r="E2341" s="6" t="e">
        <f ca="1">RANK(F2341,F:F)+COUNTIF(F$2:F2341,F2341)-1</f>
        <v>#VALUE!</v>
      </c>
      <c r="F2341" s="6" t="str">
        <f t="shared" si="37"/>
        <v/>
      </c>
      <c r="G2341" s="6" t="str">
        <f>IF(B2341="","",股指期货基差分析!$N$11)</f>
        <v/>
      </c>
      <c r="H2341" s="6" t="str">
        <f>IF(B2341="","",股指期货基差分析!$L$11)</f>
        <v/>
      </c>
      <c r="I2341" s="10" t="str">
        <f>IF(B2341="","",股指期货基差分析!$D$11)</f>
        <v/>
      </c>
    </row>
    <row r="2342" spans="2:9" ht="15" customHeight="1" x14ac:dyDescent="0.2">
      <c r="B2342" s="7"/>
      <c r="C2342" s="5" t="str">
        <f>IF(B2342="","",[1]!s_dq_close(股指期货基差分析!$E$5,$B2342))</f>
        <v/>
      </c>
      <c r="D2342" s="5" t="str">
        <f>IF(B2342="","",[1]!s_dq_close(股指期货基差分析!$E$6,$B2342))</f>
        <v/>
      </c>
      <c r="E2342" s="5" t="e">
        <f ca="1">RANK(F2342,F:F)+COUNTIF(F$2:F2342,F2342)-1</f>
        <v>#VALUE!</v>
      </c>
      <c r="F2342" s="5" t="str">
        <f t="shared" si="37"/>
        <v/>
      </c>
      <c r="G2342" s="5" t="str">
        <f>IF(B2342="","",股指期货基差分析!$N$11)</f>
        <v/>
      </c>
      <c r="H2342" s="5" t="str">
        <f>IF(B2342="","",股指期货基差分析!$L$11)</f>
        <v/>
      </c>
      <c r="I2342" s="9" t="str">
        <f>IF(B2342="","",股指期货基差分析!$D$11)</f>
        <v/>
      </c>
    </row>
    <row r="2343" spans="2:9" ht="15" customHeight="1" x14ac:dyDescent="0.2">
      <c r="B2343" s="8"/>
      <c r="C2343" s="6" t="str">
        <f>IF(B2343="","",[1]!s_dq_close(股指期货基差分析!$E$5,$B2343))</f>
        <v/>
      </c>
      <c r="D2343" s="6" t="str">
        <f>IF(B2343="","",[1]!s_dq_close(股指期货基差分析!$E$6,$B2343))</f>
        <v/>
      </c>
      <c r="E2343" s="6" t="e">
        <f ca="1">RANK(F2343,F:F)+COUNTIF(F$2:F2343,F2343)-1</f>
        <v>#VALUE!</v>
      </c>
      <c r="F2343" s="6" t="str">
        <f t="shared" si="37"/>
        <v/>
      </c>
      <c r="G2343" s="6" t="str">
        <f>IF(B2343="","",股指期货基差分析!$N$11)</f>
        <v/>
      </c>
      <c r="H2343" s="6" t="str">
        <f>IF(B2343="","",股指期货基差分析!$L$11)</f>
        <v/>
      </c>
      <c r="I2343" s="10" t="str">
        <f>IF(B2343="","",股指期货基差分析!$D$11)</f>
        <v/>
      </c>
    </row>
    <row r="2344" spans="2:9" ht="15" customHeight="1" x14ac:dyDescent="0.2">
      <c r="B2344" s="7"/>
      <c r="C2344" s="5" t="str">
        <f>IF(B2344="","",[1]!s_dq_close(股指期货基差分析!$E$5,$B2344))</f>
        <v/>
      </c>
      <c r="D2344" s="5" t="str">
        <f>IF(B2344="","",[1]!s_dq_close(股指期货基差分析!$E$6,$B2344))</f>
        <v/>
      </c>
      <c r="E2344" s="5" t="e">
        <f ca="1">RANK(F2344,F:F)+COUNTIF(F$2:F2344,F2344)-1</f>
        <v>#VALUE!</v>
      </c>
      <c r="F2344" s="5" t="str">
        <f t="shared" si="37"/>
        <v/>
      </c>
      <c r="G2344" s="5" t="str">
        <f>IF(B2344="","",股指期货基差分析!$N$11)</f>
        <v/>
      </c>
      <c r="H2344" s="5" t="str">
        <f>IF(B2344="","",股指期货基差分析!$L$11)</f>
        <v/>
      </c>
      <c r="I2344" s="9" t="str">
        <f>IF(B2344="","",股指期货基差分析!$D$11)</f>
        <v/>
      </c>
    </row>
    <row r="2345" spans="2:9" ht="15" customHeight="1" x14ac:dyDescent="0.2">
      <c r="B2345" s="8"/>
      <c r="C2345" s="6" t="str">
        <f>IF(B2345="","",[1]!s_dq_close(股指期货基差分析!$E$5,$B2345))</f>
        <v/>
      </c>
      <c r="D2345" s="6" t="str">
        <f>IF(B2345="","",[1]!s_dq_close(股指期货基差分析!$E$6,$B2345))</f>
        <v/>
      </c>
      <c r="E2345" s="6" t="e">
        <f ca="1">RANK(F2345,F:F)+COUNTIF(F$2:F2345,F2345)-1</f>
        <v>#VALUE!</v>
      </c>
      <c r="F2345" s="6" t="str">
        <f t="shared" si="37"/>
        <v/>
      </c>
      <c r="G2345" s="6" t="str">
        <f>IF(B2345="","",股指期货基差分析!$N$11)</f>
        <v/>
      </c>
      <c r="H2345" s="6" t="str">
        <f>IF(B2345="","",股指期货基差分析!$L$11)</f>
        <v/>
      </c>
      <c r="I2345" s="10" t="str">
        <f>IF(B2345="","",股指期货基差分析!$D$11)</f>
        <v/>
      </c>
    </row>
    <row r="2346" spans="2:9" ht="15" customHeight="1" x14ac:dyDescent="0.2">
      <c r="B2346" s="7"/>
      <c r="C2346" s="5" t="str">
        <f>IF(B2346="","",[1]!s_dq_close(股指期货基差分析!$E$5,$B2346))</f>
        <v/>
      </c>
      <c r="D2346" s="5" t="str">
        <f>IF(B2346="","",[1]!s_dq_close(股指期货基差分析!$E$6,$B2346))</f>
        <v/>
      </c>
      <c r="E2346" s="5" t="e">
        <f ca="1">RANK(F2346,F:F)+COUNTIF(F$2:F2346,F2346)-1</f>
        <v>#VALUE!</v>
      </c>
      <c r="F2346" s="5" t="str">
        <f t="shared" si="37"/>
        <v/>
      </c>
      <c r="G2346" s="5" t="str">
        <f>IF(B2346="","",股指期货基差分析!$N$11)</f>
        <v/>
      </c>
      <c r="H2346" s="5" t="str">
        <f>IF(B2346="","",股指期货基差分析!$L$11)</f>
        <v/>
      </c>
      <c r="I2346" s="9" t="str">
        <f>IF(B2346="","",股指期货基差分析!$D$11)</f>
        <v/>
      </c>
    </row>
    <row r="2347" spans="2:9" ht="15" customHeight="1" x14ac:dyDescent="0.2">
      <c r="B2347" s="8"/>
      <c r="C2347" s="6" t="str">
        <f>IF(B2347="","",[1]!s_dq_close(股指期货基差分析!$E$5,$B2347))</f>
        <v/>
      </c>
      <c r="D2347" s="6" t="str">
        <f>IF(B2347="","",[1]!s_dq_close(股指期货基差分析!$E$6,$B2347))</f>
        <v/>
      </c>
      <c r="E2347" s="6" t="e">
        <f ca="1">RANK(F2347,F:F)+COUNTIF(F$2:F2347,F2347)-1</f>
        <v>#VALUE!</v>
      </c>
      <c r="F2347" s="6" t="str">
        <f t="shared" si="37"/>
        <v/>
      </c>
      <c r="G2347" s="6" t="str">
        <f>IF(B2347="","",股指期货基差分析!$N$11)</f>
        <v/>
      </c>
      <c r="H2347" s="6" t="str">
        <f>IF(B2347="","",股指期货基差分析!$L$11)</f>
        <v/>
      </c>
      <c r="I2347" s="10" t="str">
        <f>IF(B2347="","",股指期货基差分析!$D$11)</f>
        <v/>
      </c>
    </row>
    <row r="2348" spans="2:9" ht="15" customHeight="1" x14ac:dyDescent="0.2">
      <c r="B2348" s="7"/>
      <c r="C2348" s="5" t="str">
        <f>IF(B2348="","",[1]!s_dq_close(股指期货基差分析!$E$5,$B2348))</f>
        <v/>
      </c>
      <c r="D2348" s="5" t="str">
        <f>IF(B2348="","",[1]!s_dq_close(股指期货基差分析!$E$6,$B2348))</f>
        <v/>
      </c>
      <c r="E2348" s="5" t="e">
        <f ca="1">RANK(F2348,F:F)+COUNTIF(F$2:F2348,F2348)-1</f>
        <v>#VALUE!</v>
      </c>
      <c r="F2348" s="5" t="str">
        <f t="shared" si="37"/>
        <v/>
      </c>
      <c r="G2348" s="5" t="str">
        <f>IF(B2348="","",股指期货基差分析!$N$11)</f>
        <v/>
      </c>
      <c r="H2348" s="5" t="str">
        <f>IF(B2348="","",股指期货基差分析!$L$11)</f>
        <v/>
      </c>
      <c r="I2348" s="9" t="str">
        <f>IF(B2348="","",股指期货基差分析!$D$11)</f>
        <v/>
      </c>
    </row>
    <row r="2349" spans="2:9" ht="15" customHeight="1" x14ac:dyDescent="0.2">
      <c r="B2349" s="8"/>
      <c r="C2349" s="6" t="str">
        <f>IF(B2349="","",[1]!s_dq_close(股指期货基差分析!$E$5,$B2349))</f>
        <v/>
      </c>
      <c r="D2349" s="6" t="str">
        <f>IF(B2349="","",[1]!s_dq_close(股指期货基差分析!$E$6,$B2349))</f>
        <v/>
      </c>
      <c r="E2349" s="6" t="e">
        <f ca="1">RANK(F2349,F:F)+COUNTIF(F$2:F2349,F2349)-1</f>
        <v>#VALUE!</v>
      </c>
      <c r="F2349" s="6" t="str">
        <f t="shared" si="37"/>
        <v/>
      </c>
      <c r="G2349" s="6" t="str">
        <f>IF(B2349="","",股指期货基差分析!$N$11)</f>
        <v/>
      </c>
      <c r="H2349" s="6" t="str">
        <f>IF(B2349="","",股指期货基差分析!$L$11)</f>
        <v/>
      </c>
      <c r="I2349" s="10" t="str">
        <f>IF(B2349="","",股指期货基差分析!$D$11)</f>
        <v/>
      </c>
    </row>
    <row r="2350" spans="2:9" ht="15" customHeight="1" x14ac:dyDescent="0.2">
      <c r="B2350" s="7"/>
      <c r="C2350" s="5" t="str">
        <f>IF(B2350="","",[1]!s_dq_close(股指期货基差分析!$E$5,$B2350))</f>
        <v/>
      </c>
      <c r="D2350" s="5" t="str">
        <f>IF(B2350="","",[1]!s_dq_close(股指期货基差分析!$E$6,$B2350))</f>
        <v/>
      </c>
      <c r="E2350" s="5" t="e">
        <f ca="1">RANK(F2350,F:F)+COUNTIF(F$2:F2350,F2350)-1</f>
        <v>#VALUE!</v>
      </c>
      <c r="F2350" s="5" t="str">
        <f t="shared" si="37"/>
        <v/>
      </c>
      <c r="G2350" s="5" t="str">
        <f>IF(B2350="","",股指期货基差分析!$N$11)</f>
        <v/>
      </c>
      <c r="H2350" s="5" t="str">
        <f>IF(B2350="","",股指期货基差分析!$L$11)</f>
        <v/>
      </c>
      <c r="I2350" s="9" t="str">
        <f>IF(B2350="","",股指期货基差分析!$D$11)</f>
        <v/>
      </c>
    </row>
    <row r="2351" spans="2:9" ht="15" customHeight="1" x14ac:dyDescent="0.2">
      <c r="B2351" s="8"/>
      <c r="C2351" s="6" t="str">
        <f>IF(B2351="","",[1]!s_dq_close(股指期货基差分析!$E$5,$B2351))</f>
        <v/>
      </c>
      <c r="D2351" s="6" t="str">
        <f>IF(B2351="","",[1]!s_dq_close(股指期货基差分析!$E$6,$B2351))</f>
        <v/>
      </c>
      <c r="E2351" s="6" t="e">
        <f ca="1">RANK(F2351,F:F)+COUNTIF(F$2:F2351,F2351)-1</f>
        <v>#VALUE!</v>
      </c>
      <c r="F2351" s="6" t="str">
        <f t="shared" si="37"/>
        <v/>
      </c>
      <c r="G2351" s="6" t="str">
        <f>IF(B2351="","",股指期货基差分析!$N$11)</f>
        <v/>
      </c>
      <c r="H2351" s="6" t="str">
        <f>IF(B2351="","",股指期货基差分析!$L$11)</f>
        <v/>
      </c>
      <c r="I2351" s="10" t="str">
        <f>IF(B2351="","",股指期货基差分析!$D$11)</f>
        <v/>
      </c>
    </row>
    <row r="2352" spans="2:9" ht="15" customHeight="1" x14ac:dyDescent="0.2">
      <c r="B2352" s="7"/>
      <c r="C2352" s="5" t="str">
        <f>IF(B2352="","",[1]!s_dq_close(股指期货基差分析!$E$5,$B2352))</f>
        <v/>
      </c>
      <c r="D2352" s="5" t="str">
        <f>IF(B2352="","",[1]!s_dq_close(股指期货基差分析!$E$6,$B2352))</f>
        <v/>
      </c>
      <c r="E2352" s="5" t="e">
        <f ca="1">RANK(F2352,F:F)+COUNTIF(F$2:F2352,F2352)-1</f>
        <v>#VALUE!</v>
      </c>
      <c r="F2352" s="5" t="str">
        <f t="shared" si="37"/>
        <v/>
      </c>
      <c r="G2352" s="5" t="str">
        <f>IF(B2352="","",股指期货基差分析!$N$11)</f>
        <v/>
      </c>
      <c r="H2352" s="5" t="str">
        <f>IF(B2352="","",股指期货基差分析!$L$11)</f>
        <v/>
      </c>
      <c r="I2352" s="9" t="str">
        <f>IF(B2352="","",股指期货基差分析!$D$11)</f>
        <v/>
      </c>
    </row>
    <row r="2353" spans="2:9" ht="15" customHeight="1" x14ac:dyDescent="0.2">
      <c r="B2353" s="8"/>
      <c r="C2353" s="6" t="str">
        <f>IF(B2353="","",[1]!s_dq_close(股指期货基差分析!$E$5,$B2353))</f>
        <v/>
      </c>
      <c r="D2353" s="6" t="str">
        <f>IF(B2353="","",[1]!s_dq_close(股指期货基差分析!$E$6,$B2353))</f>
        <v/>
      </c>
      <c r="E2353" s="6" t="e">
        <f ca="1">RANK(F2353,F:F)+COUNTIF(F$2:F2353,F2353)-1</f>
        <v>#VALUE!</v>
      </c>
      <c r="F2353" s="6" t="str">
        <f t="shared" si="37"/>
        <v/>
      </c>
      <c r="G2353" s="6" t="str">
        <f>IF(B2353="","",股指期货基差分析!$N$11)</f>
        <v/>
      </c>
      <c r="H2353" s="6" t="str">
        <f>IF(B2353="","",股指期货基差分析!$L$11)</f>
        <v/>
      </c>
      <c r="I2353" s="10" t="str">
        <f>IF(B2353="","",股指期货基差分析!$D$11)</f>
        <v/>
      </c>
    </row>
    <row r="2354" spans="2:9" ht="15" customHeight="1" x14ac:dyDescent="0.2">
      <c r="B2354" s="7"/>
      <c r="C2354" s="5" t="str">
        <f>IF(B2354="","",[1]!s_dq_close(股指期货基差分析!$E$5,$B2354))</f>
        <v/>
      </c>
      <c r="D2354" s="5" t="str">
        <f>IF(B2354="","",[1]!s_dq_close(股指期货基差分析!$E$6,$B2354))</f>
        <v/>
      </c>
      <c r="E2354" s="5" t="e">
        <f ca="1">RANK(F2354,F:F)+COUNTIF(F$2:F2354,F2354)-1</f>
        <v>#VALUE!</v>
      </c>
      <c r="F2354" s="5" t="str">
        <f t="shared" si="37"/>
        <v/>
      </c>
      <c r="G2354" s="5" t="str">
        <f>IF(B2354="","",股指期货基差分析!$N$11)</f>
        <v/>
      </c>
      <c r="H2354" s="5" t="str">
        <f>IF(B2354="","",股指期货基差分析!$L$11)</f>
        <v/>
      </c>
      <c r="I2354" s="9" t="str">
        <f>IF(B2354="","",股指期货基差分析!$D$11)</f>
        <v/>
      </c>
    </row>
    <row r="2355" spans="2:9" ht="15" customHeight="1" x14ac:dyDescent="0.2">
      <c r="B2355" s="8"/>
      <c r="C2355" s="6" t="str">
        <f>IF(B2355="","",[1]!s_dq_close(股指期货基差分析!$E$5,$B2355))</f>
        <v/>
      </c>
      <c r="D2355" s="6" t="str">
        <f>IF(B2355="","",[1]!s_dq_close(股指期货基差分析!$E$6,$B2355))</f>
        <v/>
      </c>
      <c r="E2355" s="6" t="e">
        <f ca="1">RANK(F2355,F:F)+COUNTIF(F$2:F2355,F2355)-1</f>
        <v>#VALUE!</v>
      </c>
      <c r="F2355" s="6" t="str">
        <f t="shared" si="37"/>
        <v/>
      </c>
      <c r="G2355" s="6" t="str">
        <f>IF(B2355="","",股指期货基差分析!$N$11)</f>
        <v/>
      </c>
      <c r="H2355" s="6" t="str">
        <f>IF(B2355="","",股指期货基差分析!$L$11)</f>
        <v/>
      </c>
      <c r="I2355" s="10" t="str">
        <f>IF(B2355="","",股指期货基差分析!$D$11)</f>
        <v/>
      </c>
    </row>
    <row r="2356" spans="2:9" ht="15" customHeight="1" x14ac:dyDescent="0.2">
      <c r="B2356" s="7"/>
      <c r="C2356" s="5" t="str">
        <f>IF(B2356="","",[1]!s_dq_close(股指期货基差分析!$E$5,$B2356))</f>
        <v/>
      </c>
      <c r="D2356" s="5" t="str">
        <f>IF(B2356="","",[1]!s_dq_close(股指期货基差分析!$E$6,$B2356))</f>
        <v/>
      </c>
      <c r="E2356" s="5" t="e">
        <f ca="1">RANK(F2356,F:F)+COUNTIF(F$2:F2356,F2356)-1</f>
        <v>#VALUE!</v>
      </c>
      <c r="F2356" s="5" t="str">
        <f t="shared" si="37"/>
        <v/>
      </c>
      <c r="G2356" s="5" t="str">
        <f>IF(B2356="","",股指期货基差分析!$N$11)</f>
        <v/>
      </c>
      <c r="H2356" s="5" t="str">
        <f>IF(B2356="","",股指期货基差分析!$L$11)</f>
        <v/>
      </c>
      <c r="I2356" s="9" t="str">
        <f>IF(B2356="","",股指期货基差分析!$D$11)</f>
        <v/>
      </c>
    </row>
    <row r="2357" spans="2:9" ht="15" customHeight="1" x14ac:dyDescent="0.2">
      <c r="B2357" s="8"/>
      <c r="C2357" s="6" t="str">
        <f>IF(B2357="","",[1]!s_dq_close(股指期货基差分析!$E$5,$B2357))</f>
        <v/>
      </c>
      <c r="D2357" s="6" t="str">
        <f>IF(B2357="","",[1]!s_dq_close(股指期货基差分析!$E$6,$B2357))</f>
        <v/>
      </c>
      <c r="E2357" s="6" t="e">
        <f ca="1">RANK(F2357,F:F)+COUNTIF(F$2:F2357,F2357)-1</f>
        <v>#VALUE!</v>
      </c>
      <c r="F2357" s="6" t="str">
        <f t="shared" si="37"/>
        <v/>
      </c>
      <c r="G2357" s="6" t="str">
        <f>IF(B2357="","",股指期货基差分析!$N$11)</f>
        <v/>
      </c>
      <c r="H2357" s="6" t="str">
        <f>IF(B2357="","",股指期货基差分析!$L$11)</f>
        <v/>
      </c>
      <c r="I2357" s="10" t="str">
        <f>IF(B2357="","",股指期货基差分析!$D$11)</f>
        <v/>
      </c>
    </row>
    <row r="2358" spans="2:9" ht="15" customHeight="1" x14ac:dyDescent="0.2">
      <c r="B2358" s="7"/>
      <c r="C2358" s="5" t="str">
        <f>IF(B2358="","",[1]!s_dq_close(股指期货基差分析!$E$5,$B2358))</f>
        <v/>
      </c>
      <c r="D2358" s="5" t="str">
        <f>IF(B2358="","",[1]!s_dq_close(股指期货基差分析!$E$6,$B2358))</f>
        <v/>
      </c>
      <c r="E2358" s="5" t="e">
        <f ca="1">RANK(F2358,F:F)+COUNTIF(F$2:F2358,F2358)-1</f>
        <v>#VALUE!</v>
      </c>
      <c r="F2358" s="5" t="str">
        <f t="shared" si="37"/>
        <v/>
      </c>
      <c r="G2358" s="5" t="str">
        <f>IF(B2358="","",股指期货基差分析!$N$11)</f>
        <v/>
      </c>
      <c r="H2358" s="5" t="str">
        <f>IF(B2358="","",股指期货基差分析!$L$11)</f>
        <v/>
      </c>
      <c r="I2358" s="9" t="str">
        <f>IF(B2358="","",股指期货基差分析!$D$11)</f>
        <v/>
      </c>
    </row>
    <row r="2359" spans="2:9" ht="15" customHeight="1" x14ac:dyDescent="0.2">
      <c r="B2359" s="8"/>
      <c r="C2359" s="6" t="str">
        <f>IF(B2359="","",[1]!s_dq_close(股指期货基差分析!$E$5,$B2359))</f>
        <v/>
      </c>
      <c r="D2359" s="6" t="str">
        <f>IF(B2359="","",[1]!s_dq_close(股指期货基差分析!$E$6,$B2359))</f>
        <v/>
      </c>
      <c r="E2359" s="6" t="e">
        <f ca="1">RANK(F2359,F:F)+COUNTIF(F$2:F2359,F2359)-1</f>
        <v>#VALUE!</v>
      </c>
      <c r="F2359" s="6" t="str">
        <f t="shared" si="37"/>
        <v/>
      </c>
      <c r="G2359" s="6" t="str">
        <f>IF(B2359="","",股指期货基差分析!$N$11)</f>
        <v/>
      </c>
      <c r="H2359" s="6" t="str">
        <f>IF(B2359="","",股指期货基差分析!$L$11)</f>
        <v/>
      </c>
      <c r="I2359" s="10" t="str">
        <f>IF(B2359="","",股指期货基差分析!$D$11)</f>
        <v/>
      </c>
    </row>
    <row r="2360" spans="2:9" ht="15" customHeight="1" x14ac:dyDescent="0.2">
      <c r="B2360" s="7"/>
      <c r="C2360" s="5" t="str">
        <f>IF(B2360="","",[1]!s_dq_close(股指期货基差分析!$E$5,$B2360))</f>
        <v/>
      </c>
      <c r="D2360" s="5" t="str">
        <f>IF(B2360="","",[1]!s_dq_close(股指期货基差分析!$E$6,$B2360))</f>
        <v/>
      </c>
      <c r="E2360" s="5" t="e">
        <f ca="1">RANK(F2360,F:F)+COUNTIF(F$2:F2360,F2360)-1</f>
        <v>#VALUE!</v>
      </c>
      <c r="F2360" s="5" t="str">
        <f t="shared" si="37"/>
        <v/>
      </c>
      <c r="G2360" s="5" t="str">
        <f>IF(B2360="","",股指期货基差分析!$N$11)</f>
        <v/>
      </c>
      <c r="H2360" s="5" t="str">
        <f>IF(B2360="","",股指期货基差分析!$L$11)</f>
        <v/>
      </c>
      <c r="I2360" s="9" t="str">
        <f>IF(B2360="","",股指期货基差分析!$D$11)</f>
        <v/>
      </c>
    </row>
    <row r="2361" spans="2:9" ht="15" customHeight="1" x14ac:dyDescent="0.2">
      <c r="B2361" s="8"/>
      <c r="C2361" s="6" t="str">
        <f>IF(B2361="","",[1]!s_dq_close(股指期货基差分析!$E$5,$B2361))</f>
        <v/>
      </c>
      <c r="D2361" s="6" t="str">
        <f>IF(B2361="","",[1]!s_dq_close(股指期货基差分析!$E$6,$B2361))</f>
        <v/>
      </c>
      <c r="E2361" s="6" t="e">
        <f ca="1">RANK(F2361,F:F)+COUNTIF(F$2:F2361,F2361)-1</f>
        <v>#VALUE!</v>
      </c>
      <c r="F2361" s="6" t="str">
        <f t="shared" si="37"/>
        <v/>
      </c>
      <c r="G2361" s="6" t="str">
        <f>IF(B2361="","",股指期货基差分析!$N$11)</f>
        <v/>
      </c>
      <c r="H2361" s="6" t="str">
        <f>IF(B2361="","",股指期货基差分析!$L$11)</f>
        <v/>
      </c>
      <c r="I2361" s="10" t="str">
        <f>IF(B2361="","",股指期货基差分析!$D$11)</f>
        <v/>
      </c>
    </row>
    <row r="2362" spans="2:9" ht="15" customHeight="1" x14ac:dyDescent="0.2">
      <c r="B2362" s="7"/>
      <c r="C2362" s="5" t="str">
        <f>IF(B2362="","",[1]!s_dq_close(股指期货基差分析!$E$5,$B2362))</f>
        <v/>
      </c>
      <c r="D2362" s="5" t="str">
        <f>IF(B2362="","",[1]!s_dq_close(股指期货基差分析!$E$6,$B2362))</f>
        <v/>
      </c>
      <c r="E2362" s="5" t="e">
        <f ca="1">RANK(F2362,F:F)+COUNTIF(F$2:F2362,F2362)-1</f>
        <v>#VALUE!</v>
      </c>
      <c r="F2362" s="5" t="str">
        <f t="shared" si="37"/>
        <v/>
      </c>
      <c r="G2362" s="5" t="str">
        <f>IF(B2362="","",股指期货基差分析!$N$11)</f>
        <v/>
      </c>
      <c r="H2362" s="5" t="str">
        <f>IF(B2362="","",股指期货基差分析!$L$11)</f>
        <v/>
      </c>
      <c r="I2362" s="9" t="str">
        <f>IF(B2362="","",股指期货基差分析!$D$11)</f>
        <v/>
      </c>
    </row>
    <row r="2363" spans="2:9" ht="15" customHeight="1" x14ac:dyDescent="0.2">
      <c r="B2363" s="8"/>
      <c r="C2363" s="6" t="str">
        <f>IF(B2363="","",[1]!s_dq_close(股指期货基差分析!$E$5,$B2363))</f>
        <v/>
      </c>
      <c r="D2363" s="6" t="str">
        <f>IF(B2363="","",[1]!s_dq_close(股指期货基差分析!$E$6,$B2363))</f>
        <v/>
      </c>
      <c r="E2363" s="6" t="e">
        <f ca="1">RANK(F2363,F:F)+COUNTIF(F$2:F2363,F2363)-1</f>
        <v>#VALUE!</v>
      </c>
      <c r="F2363" s="6" t="str">
        <f t="shared" si="37"/>
        <v/>
      </c>
      <c r="G2363" s="6" t="str">
        <f>IF(B2363="","",股指期货基差分析!$N$11)</f>
        <v/>
      </c>
      <c r="H2363" s="6" t="str">
        <f>IF(B2363="","",股指期货基差分析!$L$11)</f>
        <v/>
      </c>
      <c r="I2363" s="10" t="str">
        <f>IF(B2363="","",股指期货基差分析!$D$11)</f>
        <v/>
      </c>
    </row>
    <row r="2364" spans="2:9" ht="15" customHeight="1" x14ac:dyDescent="0.2">
      <c r="B2364" s="7"/>
      <c r="C2364" s="5" t="str">
        <f>IF(B2364="","",[1]!s_dq_close(股指期货基差分析!$E$5,$B2364))</f>
        <v/>
      </c>
      <c r="D2364" s="5" t="str">
        <f>IF(B2364="","",[1]!s_dq_close(股指期货基差分析!$E$6,$B2364))</f>
        <v/>
      </c>
      <c r="E2364" s="5" t="e">
        <f ca="1">RANK(F2364,F:F)+COUNTIF(F$2:F2364,F2364)-1</f>
        <v>#VALUE!</v>
      </c>
      <c r="F2364" s="5" t="str">
        <f t="shared" si="37"/>
        <v/>
      </c>
      <c r="G2364" s="5" t="str">
        <f>IF(B2364="","",股指期货基差分析!$N$11)</f>
        <v/>
      </c>
      <c r="H2364" s="5" t="str">
        <f>IF(B2364="","",股指期货基差分析!$L$11)</f>
        <v/>
      </c>
      <c r="I2364" s="9" t="str">
        <f>IF(B2364="","",股指期货基差分析!$D$11)</f>
        <v/>
      </c>
    </row>
    <row r="2365" spans="2:9" ht="15" customHeight="1" x14ac:dyDescent="0.2">
      <c r="B2365" s="8"/>
      <c r="C2365" s="6" t="str">
        <f>IF(B2365="","",[1]!s_dq_close(股指期货基差分析!$E$5,$B2365))</f>
        <v/>
      </c>
      <c r="D2365" s="6" t="str">
        <f>IF(B2365="","",[1]!s_dq_close(股指期货基差分析!$E$6,$B2365))</f>
        <v/>
      </c>
      <c r="E2365" s="6" t="e">
        <f ca="1">RANK(F2365,F:F)+COUNTIF(F$2:F2365,F2365)-1</f>
        <v>#VALUE!</v>
      </c>
      <c r="F2365" s="6" t="str">
        <f t="shared" si="37"/>
        <v/>
      </c>
      <c r="G2365" s="6" t="str">
        <f>IF(B2365="","",股指期货基差分析!$N$11)</f>
        <v/>
      </c>
      <c r="H2365" s="6" t="str">
        <f>IF(B2365="","",股指期货基差分析!$L$11)</f>
        <v/>
      </c>
      <c r="I2365" s="10" t="str">
        <f>IF(B2365="","",股指期货基差分析!$D$11)</f>
        <v/>
      </c>
    </row>
    <row r="2366" spans="2:9" ht="15" customHeight="1" x14ac:dyDescent="0.2">
      <c r="B2366" s="7"/>
      <c r="C2366" s="5" t="str">
        <f>IF(B2366="","",[1]!s_dq_close(股指期货基差分析!$E$5,$B2366))</f>
        <v/>
      </c>
      <c r="D2366" s="5" t="str">
        <f>IF(B2366="","",[1]!s_dq_close(股指期货基差分析!$E$6,$B2366))</f>
        <v/>
      </c>
      <c r="E2366" s="5" t="e">
        <f ca="1">RANK(F2366,F:F)+COUNTIF(F$2:F2366,F2366)-1</f>
        <v>#VALUE!</v>
      </c>
      <c r="F2366" s="5" t="str">
        <f t="shared" si="37"/>
        <v/>
      </c>
      <c r="G2366" s="5" t="str">
        <f>IF(B2366="","",股指期货基差分析!$N$11)</f>
        <v/>
      </c>
      <c r="H2366" s="5" t="str">
        <f>IF(B2366="","",股指期货基差分析!$L$11)</f>
        <v/>
      </c>
      <c r="I2366" s="9" t="str">
        <f>IF(B2366="","",股指期货基差分析!$D$11)</f>
        <v/>
      </c>
    </row>
    <row r="2367" spans="2:9" ht="15" customHeight="1" x14ac:dyDescent="0.2">
      <c r="B2367" s="8"/>
      <c r="C2367" s="6" t="str">
        <f>IF(B2367="","",[1]!s_dq_close(股指期货基差分析!$E$5,$B2367))</f>
        <v/>
      </c>
      <c r="D2367" s="6" t="str">
        <f>IF(B2367="","",[1]!s_dq_close(股指期货基差分析!$E$6,$B2367))</f>
        <v/>
      </c>
      <c r="E2367" s="6" t="e">
        <f ca="1">RANK(F2367,F:F)+COUNTIF(F$2:F2367,F2367)-1</f>
        <v>#VALUE!</v>
      </c>
      <c r="F2367" s="6" t="str">
        <f t="shared" si="37"/>
        <v/>
      </c>
      <c r="G2367" s="6" t="str">
        <f>IF(B2367="","",股指期货基差分析!$N$11)</f>
        <v/>
      </c>
      <c r="H2367" s="6" t="str">
        <f>IF(B2367="","",股指期货基差分析!$L$11)</f>
        <v/>
      </c>
      <c r="I2367" s="10" t="str">
        <f>IF(B2367="","",股指期货基差分析!$D$11)</f>
        <v/>
      </c>
    </row>
    <row r="2368" spans="2:9" ht="15" customHeight="1" x14ac:dyDescent="0.2">
      <c r="B2368" s="7"/>
      <c r="C2368" s="5" t="str">
        <f>IF(B2368="","",[1]!s_dq_close(股指期货基差分析!$E$5,$B2368))</f>
        <v/>
      </c>
      <c r="D2368" s="5" t="str">
        <f>IF(B2368="","",[1]!s_dq_close(股指期货基差分析!$E$6,$B2368))</f>
        <v/>
      </c>
      <c r="E2368" s="5" t="e">
        <f ca="1">RANK(F2368,F:F)+COUNTIF(F$2:F2368,F2368)-1</f>
        <v>#VALUE!</v>
      </c>
      <c r="F2368" s="5" t="str">
        <f t="shared" si="37"/>
        <v/>
      </c>
      <c r="G2368" s="5" t="str">
        <f>IF(B2368="","",股指期货基差分析!$N$11)</f>
        <v/>
      </c>
      <c r="H2368" s="5" t="str">
        <f>IF(B2368="","",股指期货基差分析!$L$11)</f>
        <v/>
      </c>
      <c r="I2368" s="9" t="str">
        <f>IF(B2368="","",股指期货基差分析!$D$11)</f>
        <v/>
      </c>
    </row>
    <row r="2369" spans="2:9" ht="15" customHeight="1" x14ac:dyDescent="0.2">
      <c r="B2369" s="8"/>
      <c r="C2369" s="6" t="str">
        <f>IF(B2369="","",[1]!s_dq_close(股指期货基差分析!$E$5,$B2369))</f>
        <v/>
      </c>
      <c r="D2369" s="6" t="str">
        <f>IF(B2369="","",[1]!s_dq_close(股指期货基差分析!$E$6,$B2369))</f>
        <v/>
      </c>
      <c r="E2369" s="6" t="e">
        <f ca="1">RANK(F2369,F:F)+COUNTIF(F$2:F2369,F2369)-1</f>
        <v>#VALUE!</v>
      </c>
      <c r="F2369" s="6" t="str">
        <f t="shared" si="37"/>
        <v/>
      </c>
      <c r="G2369" s="6" t="str">
        <f>IF(B2369="","",股指期货基差分析!$N$11)</f>
        <v/>
      </c>
      <c r="H2369" s="6" t="str">
        <f>IF(B2369="","",股指期货基差分析!$L$11)</f>
        <v/>
      </c>
      <c r="I2369" s="10" t="str">
        <f>IF(B2369="","",股指期货基差分析!$D$11)</f>
        <v/>
      </c>
    </row>
    <row r="2370" spans="2:9" ht="15" customHeight="1" x14ac:dyDescent="0.2">
      <c r="B2370" s="7"/>
      <c r="C2370" s="5" t="str">
        <f>IF(B2370="","",[1]!s_dq_close(股指期货基差分析!$E$5,$B2370))</f>
        <v/>
      </c>
      <c r="D2370" s="5" t="str">
        <f>IF(B2370="","",[1]!s_dq_close(股指期货基差分析!$E$6,$B2370))</f>
        <v/>
      </c>
      <c r="E2370" s="5" t="e">
        <f ca="1">RANK(F2370,F:F)+COUNTIF(F$2:F2370,F2370)-1</f>
        <v>#VALUE!</v>
      </c>
      <c r="F2370" s="5" t="str">
        <f t="shared" ref="F2370:F2433" si="38">IF(B2370="","",D2370-C2370)</f>
        <v/>
      </c>
      <c r="G2370" s="5" t="str">
        <f>IF(B2370="","",股指期货基差分析!$N$11)</f>
        <v/>
      </c>
      <c r="H2370" s="5" t="str">
        <f>IF(B2370="","",股指期货基差分析!$L$11)</f>
        <v/>
      </c>
      <c r="I2370" s="9" t="str">
        <f>IF(B2370="","",股指期货基差分析!$D$11)</f>
        <v/>
      </c>
    </row>
    <row r="2371" spans="2:9" ht="15" customHeight="1" x14ac:dyDescent="0.2">
      <c r="B2371" s="8"/>
      <c r="C2371" s="6" t="str">
        <f>IF(B2371="","",[1]!s_dq_close(股指期货基差分析!$E$5,$B2371))</f>
        <v/>
      </c>
      <c r="D2371" s="6" t="str">
        <f>IF(B2371="","",[1]!s_dq_close(股指期货基差分析!$E$6,$B2371))</f>
        <v/>
      </c>
      <c r="E2371" s="6" t="e">
        <f ca="1">RANK(F2371,F:F)+COUNTIF(F$2:F2371,F2371)-1</f>
        <v>#VALUE!</v>
      </c>
      <c r="F2371" s="6" t="str">
        <f t="shared" si="38"/>
        <v/>
      </c>
      <c r="G2371" s="6" t="str">
        <f>IF(B2371="","",股指期货基差分析!$N$11)</f>
        <v/>
      </c>
      <c r="H2371" s="6" t="str">
        <f>IF(B2371="","",股指期货基差分析!$L$11)</f>
        <v/>
      </c>
      <c r="I2371" s="10" t="str">
        <f>IF(B2371="","",股指期货基差分析!$D$11)</f>
        <v/>
      </c>
    </row>
    <row r="2372" spans="2:9" ht="15" customHeight="1" x14ac:dyDescent="0.2">
      <c r="B2372" s="7"/>
      <c r="C2372" s="5" t="str">
        <f>IF(B2372="","",[1]!s_dq_close(股指期货基差分析!$E$5,$B2372))</f>
        <v/>
      </c>
      <c r="D2372" s="5" t="str">
        <f>IF(B2372="","",[1]!s_dq_close(股指期货基差分析!$E$6,$B2372))</f>
        <v/>
      </c>
      <c r="E2372" s="5" t="e">
        <f ca="1">RANK(F2372,F:F)+COUNTIF(F$2:F2372,F2372)-1</f>
        <v>#VALUE!</v>
      </c>
      <c r="F2372" s="5" t="str">
        <f t="shared" si="38"/>
        <v/>
      </c>
      <c r="G2372" s="5" t="str">
        <f>IF(B2372="","",股指期货基差分析!$N$11)</f>
        <v/>
      </c>
      <c r="H2372" s="5" t="str">
        <f>IF(B2372="","",股指期货基差分析!$L$11)</f>
        <v/>
      </c>
      <c r="I2372" s="9" t="str">
        <f>IF(B2372="","",股指期货基差分析!$D$11)</f>
        <v/>
      </c>
    </row>
    <row r="2373" spans="2:9" ht="15" customHeight="1" x14ac:dyDescent="0.2">
      <c r="B2373" s="8"/>
      <c r="C2373" s="6" t="str">
        <f>IF(B2373="","",[1]!s_dq_close(股指期货基差分析!$E$5,$B2373))</f>
        <v/>
      </c>
      <c r="D2373" s="6" t="str">
        <f>IF(B2373="","",[1]!s_dq_close(股指期货基差分析!$E$6,$B2373))</f>
        <v/>
      </c>
      <c r="E2373" s="6" t="e">
        <f ca="1">RANK(F2373,F:F)+COUNTIF(F$2:F2373,F2373)-1</f>
        <v>#VALUE!</v>
      </c>
      <c r="F2373" s="6" t="str">
        <f t="shared" si="38"/>
        <v/>
      </c>
      <c r="G2373" s="6" t="str">
        <f>IF(B2373="","",股指期货基差分析!$N$11)</f>
        <v/>
      </c>
      <c r="H2373" s="6" t="str">
        <f>IF(B2373="","",股指期货基差分析!$L$11)</f>
        <v/>
      </c>
      <c r="I2373" s="10" t="str">
        <f>IF(B2373="","",股指期货基差分析!$D$11)</f>
        <v/>
      </c>
    </row>
    <row r="2374" spans="2:9" ht="15" customHeight="1" x14ac:dyDescent="0.2">
      <c r="B2374" s="7"/>
      <c r="C2374" s="5" t="str">
        <f>IF(B2374="","",[1]!s_dq_close(股指期货基差分析!$E$5,$B2374))</f>
        <v/>
      </c>
      <c r="D2374" s="5" t="str">
        <f>IF(B2374="","",[1]!s_dq_close(股指期货基差分析!$E$6,$B2374))</f>
        <v/>
      </c>
      <c r="E2374" s="5" t="e">
        <f ca="1">RANK(F2374,F:F)+COUNTIF(F$2:F2374,F2374)-1</f>
        <v>#VALUE!</v>
      </c>
      <c r="F2374" s="5" t="str">
        <f t="shared" si="38"/>
        <v/>
      </c>
      <c r="G2374" s="5" t="str">
        <f>IF(B2374="","",股指期货基差分析!$N$11)</f>
        <v/>
      </c>
      <c r="H2374" s="5" t="str">
        <f>IF(B2374="","",股指期货基差分析!$L$11)</f>
        <v/>
      </c>
      <c r="I2374" s="9" t="str">
        <f>IF(B2374="","",股指期货基差分析!$D$11)</f>
        <v/>
      </c>
    </row>
    <row r="2375" spans="2:9" ht="15" customHeight="1" x14ac:dyDescent="0.2">
      <c r="B2375" s="8"/>
      <c r="C2375" s="6" t="str">
        <f>IF(B2375="","",[1]!s_dq_close(股指期货基差分析!$E$5,$B2375))</f>
        <v/>
      </c>
      <c r="D2375" s="6" t="str">
        <f>IF(B2375="","",[1]!s_dq_close(股指期货基差分析!$E$6,$B2375))</f>
        <v/>
      </c>
      <c r="E2375" s="6" t="e">
        <f ca="1">RANK(F2375,F:F)+COUNTIF(F$2:F2375,F2375)-1</f>
        <v>#VALUE!</v>
      </c>
      <c r="F2375" s="6" t="str">
        <f t="shared" si="38"/>
        <v/>
      </c>
      <c r="G2375" s="6" t="str">
        <f>IF(B2375="","",股指期货基差分析!$N$11)</f>
        <v/>
      </c>
      <c r="H2375" s="6" t="str">
        <f>IF(B2375="","",股指期货基差分析!$L$11)</f>
        <v/>
      </c>
      <c r="I2375" s="10" t="str">
        <f>IF(B2375="","",股指期货基差分析!$D$11)</f>
        <v/>
      </c>
    </row>
    <row r="2376" spans="2:9" ht="15" customHeight="1" x14ac:dyDescent="0.2">
      <c r="B2376" s="7"/>
      <c r="C2376" s="5" t="str">
        <f>IF(B2376="","",[1]!s_dq_close(股指期货基差分析!$E$5,$B2376))</f>
        <v/>
      </c>
      <c r="D2376" s="5" t="str">
        <f>IF(B2376="","",[1]!s_dq_close(股指期货基差分析!$E$6,$B2376))</f>
        <v/>
      </c>
      <c r="E2376" s="5" t="e">
        <f ca="1">RANK(F2376,F:F)+COUNTIF(F$2:F2376,F2376)-1</f>
        <v>#VALUE!</v>
      </c>
      <c r="F2376" s="5" t="str">
        <f t="shared" si="38"/>
        <v/>
      </c>
      <c r="G2376" s="5" t="str">
        <f>IF(B2376="","",股指期货基差分析!$N$11)</f>
        <v/>
      </c>
      <c r="H2376" s="5" t="str">
        <f>IF(B2376="","",股指期货基差分析!$L$11)</f>
        <v/>
      </c>
      <c r="I2376" s="9" t="str">
        <f>IF(B2376="","",股指期货基差分析!$D$11)</f>
        <v/>
      </c>
    </row>
    <row r="2377" spans="2:9" ht="15" customHeight="1" x14ac:dyDescent="0.2">
      <c r="B2377" s="8"/>
      <c r="C2377" s="6" t="str">
        <f>IF(B2377="","",[1]!s_dq_close(股指期货基差分析!$E$5,$B2377))</f>
        <v/>
      </c>
      <c r="D2377" s="6" t="str">
        <f>IF(B2377="","",[1]!s_dq_close(股指期货基差分析!$E$6,$B2377))</f>
        <v/>
      </c>
      <c r="E2377" s="6" t="e">
        <f ca="1">RANK(F2377,F:F)+COUNTIF(F$2:F2377,F2377)-1</f>
        <v>#VALUE!</v>
      </c>
      <c r="F2377" s="6" t="str">
        <f t="shared" si="38"/>
        <v/>
      </c>
      <c r="G2377" s="6" t="str">
        <f>IF(B2377="","",股指期货基差分析!$N$11)</f>
        <v/>
      </c>
      <c r="H2377" s="6" t="str">
        <f>IF(B2377="","",股指期货基差分析!$L$11)</f>
        <v/>
      </c>
      <c r="I2377" s="10" t="str">
        <f>IF(B2377="","",股指期货基差分析!$D$11)</f>
        <v/>
      </c>
    </row>
    <row r="2378" spans="2:9" ht="15" customHeight="1" x14ac:dyDescent="0.2">
      <c r="B2378" s="7"/>
      <c r="C2378" s="5" t="str">
        <f>IF(B2378="","",[1]!s_dq_close(股指期货基差分析!$E$5,$B2378))</f>
        <v/>
      </c>
      <c r="D2378" s="5" t="str">
        <f>IF(B2378="","",[1]!s_dq_close(股指期货基差分析!$E$6,$B2378))</f>
        <v/>
      </c>
      <c r="E2378" s="5" t="e">
        <f ca="1">RANK(F2378,F:F)+COUNTIF(F$2:F2378,F2378)-1</f>
        <v>#VALUE!</v>
      </c>
      <c r="F2378" s="5" t="str">
        <f t="shared" si="38"/>
        <v/>
      </c>
      <c r="G2378" s="5" t="str">
        <f>IF(B2378="","",股指期货基差分析!$N$11)</f>
        <v/>
      </c>
      <c r="H2378" s="5" t="str">
        <f>IF(B2378="","",股指期货基差分析!$L$11)</f>
        <v/>
      </c>
      <c r="I2378" s="9" t="str">
        <f>IF(B2378="","",股指期货基差分析!$D$11)</f>
        <v/>
      </c>
    </row>
    <row r="2379" spans="2:9" ht="15" customHeight="1" x14ac:dyDescent="0.2">
      <c r="B2379" s="8"/>
      <c r="C2379" s="6" t="str">
        <f>IF(B2379="","",[1]!s_dq_close(股指期货基差分析!$E$5,$B2379))</f>
        <v/>
      </c>
      <c r="D2379" s="6" t="str">
        <f>IF(B2379="","",[1]!s_dq_close(股指期货基差分析!$E$6,$B2379))</f>
        <v/>
      </c>
      <c r="E2379" s="6" t="e">
        <f ca="1">RANK(F2379,F:F)+COUNTIF(F$2:F2379,F2379)-1</f>
        <v>#VALUE!</v>
      </c>
      <c r="F2379" s="6" t="str">
        <f t="shared" si="38"/>
        <v/>
      </c>
      <c r="G2379" s="6" t="str">
        <f>IF(B2379="","",股指期货基差分析!$N$11)</f>
        <v/>
      </c>
      <c r="H2379" s="6" t="str">
        <f>IF(B2379="","",股指期货基差分析!$L$11)</f>
        <v/>
      </c>
      <c r="I2379" s="10" t="str">
        <f>IF(B2379="","",股指期货基差分析!$D$11)</f>
        <v/>
      </c>
    </row>
    <row r="2380" spans="2:9" ht="15" customHeight="1" x14ac:dyDescent="0.2">
      <c r="B2380" s="7"/>
      <c r="C2380" s="5" t="str">
        <f>IF(B2380="","",[1]!s_dq_close(股指期货基差分析!$E$5,$B2380))</f>
        <v/>
      </c>
      <c r="D2380" s="5" t="str">
        <f>IF(B2380="","",[1]!s_dq_close(股指期货基差分析!$E$6,$B2380))</f>
        <v/>
      </c>
      <c r="E2380" s="5" t="e">
        <f ca="1">RANK(F2380,F:F)+COUNTIF(F$2:F2380,F2380)-1</f>
        <v>#VALUE!</v>
      </c>
      <c r="F2380" s="5" t="str">
        <f t="shared" si="38"/>
        <v/>
      </c>
      <c r="G2380" s="5" t="str">
        <f>IF(B2380="","",股指期货基差分析!$N$11)</f>
        <v/>
      </c>
      <c r="H2380" s="5" t="str">
        <f>IF(B2380="","",股指期货基差分析!$L$11)</f>
        <v/>
      </c>
      <c r="I2380" s="9" t="str">
        <f>IF(B2380="","",股指期货基差分析!$D$11)</f>
        <v/>
      </c>
    </row>
    <row r="2381" spans="2:9" ht="15" customHeight="1" x14ac:dyDescent="0.2">
      <c r="B2381" s="8"/>
      <c r="C2381" s="6" t="str">
        <f>IF(B2381="","",[1]!s_dq_close(股指期货基差分析!$E$5,$B2381))</f>
        <v/>
      </c>
      <c r="D2381" s="6" t="str">
        <f>IF(B2381="","",[1]!s_dq_close(股指期货基差分析!$E$6,$B2381))</f>
        <v/>
      </c>
      <c r="E2381" s="6" t="e">
        <f ca="1">RANK(F2381,F:F)+COUNTIF(F$2:F2381,F2381)-1</f>
        <v>#VALUE!</v>
      </c>
      <c r="F2381" s="6" t="str">
        <f t="shared" si="38"/>
        <v/>
      </c>
      <c r="G2381" s="6" t="str">
        <f>IF(B2381="","",股指期货基差分析!$N$11)</f>
        <v/>
      </c>
      <c r="H2381" s="6" t="str">
        <f>IF(B2381="","",股指期货基差分析!$L$11)</f>
        <v/>
      </c>
      <c r="I2381" s="10" t="str">
        <f>IF(B2381="","",股指期货基差分析!$D$11)</f>
        <v/>
      </c>
    </row>
    <row r="2382" spans="2:9" ht="15" customHeight="1" x14ac:dyDescent="0.2">
      <c r="B2382" s="7"/>
      <c r="C2382" s="5" t="str">
        <f>IF(B2382="","",[1]!s_dq_close(股指期货基差分析!$E$5,$B2382))</f>
        <v/>
      </c>
      <c r="D2382" s="5" t="str">
        <f>IF(B2382="","",[1]!s_dq_close(股指期货基差分析!$E$6,$B2382))</f>
        <v/>
      </c>
      <c r="E2382" s="5" t="e">
        <f ca="1">RANK(F2382,F:F)+COUNTIF(F$2:F2382,F2382)-1</f>
        <v>#VALUE!</v>
      </c>
      <c r="F2382" s="5" t="str">
        <f t="shared" si="38"/>
        <v/>
      </c>
      <c r="G2382" s="5" t="str">
        <f>IF(B2382="","",股指期货基差分析!$N$11)</f>
        <v/>
      </c>
      <c r="H2382" s="5" t="str">
        <f>IF(B2382="","",股指期货基差分析!$L$11)</f>
        <v/>
      </c>
      <c r="I2382" s="9" t="str">
        <f>IF(B2382="","",股指期货基差分析!$D$11)</f>
        <v/>
      </c>
    </row>
    <row r="2383" spans="2:9" ht="15" customHeight="1" x14ac:dyDescent="0.2">
      <c r="B2383" s="8"/>
      <c r="C2383" s="6" t="str">
        <f>IF(B2383="","",[1]!s_dq_close(股指期货基差分析!$E$5,$B2383))</f>
        <v/>
      </c>
      <c r="D2383" s="6" t="str">
        <f>IF(B2383="","",[1]!s_dq_close(股指期货基差分析!$E$6,$B2383))</f>
        <v/>
      </c>
      <c r="E2383" s="6" t="e">
        <f ca="1">RANK(F2383,F:F)+COUNTIF(F$2:F2383,F2383)-1</f>
        <v>#VALUE!</v>
      </c>
      <c r="F2383" s="6" t="str">
        <f t="shared" si="38"/>
        <v/>
      </c>
      <c r="G2383" s="6" t="str">
        <f>IF(B2383="","",股指期货基差分析!$N$11)</f>
        <v/>
      </c>
      <c r="H2383" s="6" t="str">
        <f>IF(B2383="","",股指期货基差分析!$L$11)</f>
        <v/>
      </c>
      <c r="I2383" s="10" t="str">
        <f>IF(B2383="","",股指期货基差分析!$D$11)</f>
        <v/>
      </c>
    </row>
    <row r="2384" spans="2:9" ht="15" customHeight="1" x14ac:dyDescent="0.2">
      <c r="B2384" s="7"/>
      <c r="C2384" s="5" t="str">
        <f>IF(B2384="","",[1]!s_dq_close(股指期货基差分析!$E$5,$B2384))</f>
        <v/>
      </c>
      <c r="D2384" s="5" t="str">
        <f>IF(B2384="","",[1]!s_dq_close(股指期货基差分析!$E$6,$B2384))</f>
        <v/>
      </c>
      <c r="E2384" s="5" t="e">
        <f ca="1">RANK(F2384,F:F)+COUNTIF(F$2:F2384,F2384)-1</f>
        <v>#VALUE!</v>
      </c>
      <c r="F2384" s="5" t="str">
        <f t="shared" si="38"/>
        <v/>
      </c>
      <c r="G2384" s="5" t="str">
        <f>IF(B2384="","",股指期货基差分析!$N$11)</f>
        <v/>
      </c>
      <c r="H2384" s="5" t="str">
        <f>IF(B2384="","",股指期货基差分析!$L$11)</f>
        <v/>
      </c>
      <c r="I2384" s="9" t="str">
        <f>IF(B2384="","",股指期货基差分析!$D$11)</f>
        <v/>
      </c>
    </row>
    <row r="2385" spans="2:9" ht="15" customHeight="1" x14ac:dyDescent="0.2">
      <c r="B2385" s="8"/>
      <c r="C2385" s="6" t="str">
        <f>IF(B2385="","",[1]!s_dq_close(股指期货基差分析!$E$5,$B2385))</f>
        <v/>
      </c>
      <c r="D2385" s="6" t="str">
        <f>IF(B2385="","",[1]!s_dq_close(股指期货基差分析!$E$6,$B2385))</f>
        <v/>
      </c>
      <c r="E2385" s="6" t="e">
        <f ca="1">RANK(F2385,F:F)+COUNTIF(F$2:F2385,F2385)-1</f>
        <v>#VALUE!</v>
      </c>
      <c r="F2385" s="6" t="str">
        <f t="shared" si="38"/>
        <v/>
      </c>
      <c r="G2385" s="6" t="str">
        <f>IF(B2385="","",股指期货基差分析!$N$11)</f>
        <v/>
      </c>
      <c r="H2385" s="6" t="str">
        <f>IF(B2385="","",股指期货基差分析!$L$11)</f>
        <v/>
      </c>
      <c r="I2385" s="10" t="str">
        <f>IF(B2385="","",股指期货基差分析!$D$11)</f>
        <v/>
      </c>
    </row>
    <row r="2386" spans="2:9" ht="15" customHeight="1" x14ac:dyDescent="0.2">
      <c r="B2386" s="7"/>
      <c r="C2386" s="5" t="str">
        <f>IF(B2386="","",[1]!s_dq_close(股指期货基差分析!$E$5,$B2386))</f>
        <v/>
      </c>
      <c r="D2386" s="5" t="str">
        <f>IF(B2386="","",[1]!s_dq_close(股指期货基差分析!$E$6,$B2386))</f>
        <v/>
      </c>
      <c r="E2386" s="5" t="e">
        <f ca="1">RANK(F2386,F:F)+COUNTIF(F$2:F2386,F2386)-1</f>
        <v>#VALUE!</v>
      </c>
      <c r="F2386" s="5" t="str">
        <f t="shared" si="38"/>
        <v/>
      </c>
      <c r="G2386" s="5" t="str">
        <f>IF(B2386="","",股指期货基差分析!$N$11)</f>
        <v/>
      </c>
      <c r="H2386" s="5" t="str">
        <f>IF(B2386="","",股指期货基差分析!$L$11)</f>
        <v/>
      </c>
      <c r="I2386" s="9" t="str">
        <f>IF(B2386="","",股指期货基差分析!$D$11)</f>
        <v/>
      </c>
    </row>
    <row r="2387" spans="2:9" ht="15" customHeight="1" x14ac:dyDescent="0.2">
      <c r="B2387" s="8"/>
      <c r="C2387" s="6" t="str">
        <f>IF(B2387="","",[1]!s_dq_close(股指期货基差分析!$E$5,$B2387))</f>
        <v/>
      </c>
      <c r="D2387" s="6" t="str">
        <f>IF(B2387="","",[1]!s_dq_close(股指期货基差分析!$E$6,$B2387))</f>
        <v/>
      </c>
      <c r="E2387" s="6" t="e">
        <f ca="1">RANK(F2387,F:F)+COUNTIF(F$2:F2387,F2387)-1</f>
        <v>#VALUE!</v>
      </c>
      <c r="F2387" s="6" t="str">
        <f t="shared" si="38"/>
        <v/>
      </c>
      <c r="G2387" s="6" t="str">
        <f>IF(B2387="","",股指期货基差分析!$N$11)</f>
        <v/>
      </c>
      <c r="H2387" s="6" t="str">
        <f>IF(B2387="","",股指期货基差分析!$L$11)</f>
        <v/>
      </c>
      <c r="I2387" s="10" t="str">
        <f>IF(B2387="","",股指期货基差分析!$D$11)</f>
        <v/>
      </c>
    </row>
    <row r="2388" spans="2:9" ht="15" customHeight="1" x14ac:dyDescent="0.2">
      <c r="B2388" s="7"/>
      <c r="C2388" s="5" t="str">
        <f>IF(B2388="","",[1]!s_dq_close(股指期货基差分析!$E$5,$B2388))</f>
        <v/>
      </c>
      <c r="D2388" s="5" t="str">
        <f>IF(B2388="","",[1]!s_dq_close(股指期货基差分析!$E$6,$B2388))</f>
        <v/>
      </c>
      <c r="E2388" s="5" t="e">
        <f ca="1">RANK(F2388,F:F)+COUNTIF(F$2:F2388,F2388)-1</f>
        <v>#VALUE!</v>
      </c>
      <c r="F2388" s="5" t="str">
        <f t="shared" si="38"/>
        <v/>
      </c>
      <c r="G2388" s="5" t="str">
        <f>IF(B2388="","",股指期货基差分析!$N$11)</f>
        <v/>
      </c>
      <c r="H2388" s="5" t="str">
        <f>IF(B2388="","",股指期货基差分析!$L$11)</f>
        <v/>
      </c>
      <c r="I2388" s="9" t="str">
        <f>IF(B2388="","",股指期货基差分析!$D$11)</f>
        <v/>
      </c>
    </row>
    <row r="2389" spans="2:9" ht="15" customHeight="1" x14ac:dyDescent="0.2">
      <c r="B2389" s="8"/>
      <c r="C2389" s="6" t="str">
        <f>IF(B2389="","",[1]!s_dq_close(股指期货基差分析!$E$5,$B2389))</f>
        <v/>
      </c>
      <c r="D2389" s="6" t="str">
        <f>IF(B2389="","",[1]!s_dq_close(股指期货基差分析!$E$6,$B2389))</f>
        <v/>
      </c>
      <c r="E2389" s="6" t="e">
        <f ca="1">RANK(F2389,F:F)+COUNTIF(F$2:F2389,F2389)-1</f>
        <v>#VALUE!</v>
      </c>
      <c r="F2389" s="6" t="str">
        <f t="shared" si="38"/>
        <v/>
      </c>
      <c r="G2389" s="6" t="str">
        <f>IF(B2389="","",股指期货基差分析!$N$11)</f>
        <v/>
      </c>
      <c r="H2389" s="6" t="str">
        <f>IF(B2389="","",股指期货基差分析!$L$11)</f>
        <v/>
      </c>
      <c r="I2389" s="10" t="str">
        <f>IF(B2389="","",股指期货基差分析!$D$11)</f>
        <v/>
      </c>
    </row>
    <row r="2390" spans="2:9" ht="15" customHeight="1" x14ac:dyDescent="0.2">
      <c r="B2390" s="7"/>
      <c r="C2390" s="5" t="str">
        <f>IF(B2390="","",[1]!s_dq_close(股指期货基差分析!$E$5,$B2390))</f>
        <v/>
      </c>
      <c r="D2390" s="5" t="str">
        <f>IF(B2390="","",[1]!s_dq_close(股指期货基差分析!$E$6,$B2390))</f>
        <v/>
      </c>
      <c r="E2390" s="5" t="e">
        <f ca="1">RANK(F2390,F:F)+COUNTIF(F$2:F2390,F2390)-1</f>
        <v>#VALUE!</v>
      </c>
      <c r="F2390" s="5" t="str">
        <f t="shared" si="38"/>
        <v/>
      </c>
      <c r="G2390" s="5" t="str">
        <f>IF(B2390="","",股指期货基差分析!$N$11)</f>
        <v/>
      </c>
      <c r="H2390" s="5" t="str">
        <f>IF(B2390="","",股指期货基差分析!$L$11)</f>
        <v/>
      </c>
      <c r="I2390" s="9" t="str">
        <f>IF(B2390="","",股指期货基差分析!$D$11)</f>
        <v/>
      </c>
    </row>
    <row r="2391" spans="2:9" ht="15" customHeight="1" x14ac:dyDescent="0.2">
      <c r="B2391" s="8"/>
      <c r="C2391" s="6" t="str">
        <f>IF(B2391="","",[1]!s_dq_close(股指期货基差分析!$E$5,$B2391))</f>
        <v/>
      </c>
      <c r="D2391" s="6" t="str">
        <f>IF(B2391="","",[1]!s_dq_close(股指期货基差分析!$E$6,$B2391))</f>
        <v/>
      </c>
      <c r="E2391" s="6" t="e">
        <f ca="1">RANK(F2391,F:F)+COUNTIF(F$2:F2391,F2391)-1</f>
        <v>#VALUE!</v>
      </c>
      <c r="F2391" s="6" t="str">
        <f t="shared" si="38"/>
        <v/>
      </c>
      <c r="G2391" s="6" t="str">
        <f>IF(B2391="","",股指期货基差分析!$N$11)</f>
        <v/>
      </c>
      <c r="H2391" s="6" t="str">
        <f>IF(B2391="","",股指期货基差分析!$L$11)</f>
        <v/>
      </c>
      <c r="I2391" s="10" t="str">
        <f>IF(B2391="","",股指期货基差分析!$D$11)</f>
        <v/>
      </c>
    </row>
    <row r="2392" spans="2:9" ht="15" customHeight="1" x14ac:dyDescent="0.2">
      <c r="B2392" s="7"/>
      <c r="C2392" s="5" t="str">
        <f>IF(B2392="","",[1]!s_dq_close(股指期货基差分析!$E$5,$B2392))</f>
        <v/>
      </c>
      <c r="D2392" s="5" t="str">
        <f>IF(B2392="","",[1]!s_dq_close(股指期货基差分析!$E$6,$B2392))</f>
        <v/>
      </c>
      <c r="E2392" s="5" t="e">
        <f ca="1">RANK(F2392,F:F)+COUNTIF(F$2:F2392,F2392)-1</f>
        <v>#VALUE!</v>
      </c>
      <c r="F2392" s="5" t="str">
        <f t="shared" si="38"/>
        <v/>
      </c>
      <c r="G2392" s="5" t="str">
        <f>IF(B2392="","",股指期货基差分析!$N$11)</f>
        <v/>
      </c>
      <c r="H2392" s="5" t="str">
        <f>IF(B2392="","",股指期货基差分析!$L$11)</f>
        <v/>
      </c>
      <c r="I2392" s="9" t="str">
        <f>IF(B2392="","",股指期货基差分析!$D$11)</f>
        <v/>
      </c>
    </row>
    <row r="2393" spans="2:9" ht="15" customHeight="1" x14ac:dyDescent="0.2">
      <c r="B2393" s="8"/>
      <c r="C2393" s="6" t="str">
        <f>IF(B2393="","",[1]!s_dq_close(股指期货基差分析!$E$5,$B2393))</f>
        <v/>
      </c>
      <c r="D2393" s="6" t="str">
        <f>IF(B2393="","",[1]!s_dq_close(股指期货基差分析!$E$6,$B2393))</f>
        <v/>
      </c>
      <c r="E2393" s="6" t="e">
        <f ca="1">RANK(F2393,F:F)+COUNTIF(F$2:F2393,F2393)-1</f>
        <v>#VALUE!</v>
      </c>
      <c r="F2393" s="6" t="str">
        <f t="shared" si="38"/>
        <v/>
      </c>
      <c r="G2393" s="6" t="str">
        <f>IF(B2393="","",股指期货基差分析!$N$11)</f>
        <v/>
      </c>
      <c r="H2393" s="6" t="str">
        <f>IF(B2393="","",股指期货基差分析!$L$11)</f>
        <v/>
      </c>
      <c r="I2393" s="10" t="str">
        <f>IF(B2393="","",股指期货基差分析!$D$11)</f>
        <v/>
      </c>
    </row>
    <row r="2394" spans="2:9" ht="15" customHeight="1" x14ac:dyDescent="0.2">
      <c r="B2394" s="7"/>
      <c r="C2394" s="5" t="str">
        <f>IF(B2394="","",[1]!s_dq_close(股指期货基差分析!$E$5,$B2394))</f>
        <v/>
      </c>
      <c r="D2394" s="5" t="str">
        <f>IF(B2394="","",[1]!s_dq_close(股指期货基差分析!$E$6,$B2394))</f>
        <v/>
      </c>
      <c r="E2394" s="5" t="e">
        <f ca="1">RANK(F2394,F:F)+COUNTIF(F$2:F2394,F2394)-1</f>
        <v>#VALUE!</v>
      </c>
      <c r="F2394" s="5" t="str">
        <f t="shared" si="38"/>
        <v/>
      </c>
      <c r="G2394" s="5" t="str">
        <f>IF(B2394="","",股指期货基差分析!$N$11)</f>
        <v/>
      </c>
      <c r="H2394" s="5" t="str">
        <f>IF(B2394="","",股指期货基差分析!$L$11)</f>
        <v/>
      </c>
      <c r="I2394" s="9" t="str">
        <f>IF(B2394="","",股指期货基差分析!$D$11)</f>
        <v/>
      </c>
    </row>
    <row r="2395" spans="2:9" ht="15" customHeight="1" x14ac:dyDescent="0.2">
      <c r="B2395" s="8"/>
      <c r="C2395" s="6" t="str">
        <f>IF(B2395="","",[1]!s_dq_close(股指期货基差分析!$E$5,$B2395))</f>
        <v/>
      </c>
      <c r="D2395" s="6" t="str">
        <f>IF(B2395="","",[1]!s_dq_close(股指期货基差分析!$E$6,$B2395))</f>
        <v/>
      </c>
      <c r="E2395" s="6" t="e">
        <f ca="1">RANK(F2395,F:F)+COUNTIF(F$2:F2395,F2395)-1</f>
        <v>#VALUE!</v>
      </c>
      <c r="F2395" s="6" t="str">
        <f t="shared" si="38"/>
        <v/>
      </c>
      <c r="G2395" s="6" t="str">
        <f>IF(B2395="","",股指期货基差分析!$N$11)</f>
        <v/>
      </c>
      <c r="H2395" s="6" t="str">
        <f>IF(B2395="","",股指期货基差分析!$L$11)</f>
        <v/>
      </c>
      <c r="I2395" s="10" t="str">
        <f>IF(B2395="","",股指期货基差分析!$D$11)</f>
        <v/>
      </c>
    </row>
    <row r="2396" spans="2:9" ht="15" customHeight="1" x14ac:dyDescent="0.2">
      <c r="B2396" s="7"/>
      <c r="C2396" s="5" t="str">
        <f>IF(B2396="","",[1]!s_dq_close(股指期货基差分析!$E$5,$B2396))</f>
        <v/>
      </c>
      <c r="D2396" s="5" t="str">
        <f>IF(B2396="","",[1]!s_dq_close(股指期货基差分析!$E$6,$B2396))</f>
        <v/>
      </c>
      <c r="E2396" s="5" t="e">
        <f ca="1">RANK(F2396,F:F)+COUNTIF(F$2:F2396,F2396)-1</f>
        <v>#VALUE!</v>
      </c>
      <c r="F2396" s="5" t="str">
        <f t="shared" si="38"/>
        <v/>
      </c>
      <c r="G2396" s="5" t="str">
        <f>IF(B2396="","",股指期货基差分析!$N$11)</f>
        <v/>
      </c>
      <c r="H2396" s="5" t="str">
        <f>IF(B2396="","",股指期货基差分析!$L$11)</f>
        <v/>
      </c>
      <c r="I2396" s="9" t="str">
        <f>IF(B2396="","",股指期货基差分析!$D$11)</f>
        <v/>
      </c>
    </row>
    <row r="2397" spans="2:9" ht="15" customHeight="1" x14ac:dyDescent="0.2">
      <c r="B2397" s="8"/>
      <c r="C2397" s="6" t="str">
        <f>IF(B2397="","",[1]!s_dq_close(股指期货基差分析!$E$5,$B2397))</f>
        <v/>
      </c>
      <c r="D2397" s="6" t="str">
        <f>IF(B2397="","",[1]!s_dq_close(股指期货基差分析!$E$6,$B2397))</f>
        <v/>
      </c>
      <c r="E2397" s="6" t="e">
        <f ca="1">RANK(F2397,F:F)+COUNTIF(F$2:F2397,F2397)-1</f>
        <v>#VALUE!</v>
      </c>
      <c r="F2397" s="6" t="str">
        <f t="shared" si="38"/>
        <v/>
      </c>
      <c r="G2397" s="6" t="str">
        <f>IF(B2397="","",股指期货基差分析!$N$11)</f>
        <v/>
      </c>
      <c r="H2397" s="6" t="str">
        <f>IF(B2397="","",股指期货基差分析!$L$11)</f>
        <v/>
      </c>
      <c r="I2397" s="10" t="str">
        <f>IF(B2397="","",股指期货基差分析!$D$11)</f>
        <v/>
      </c>
    </row>
    <row r="2398" spans="2:9" ht="15" customHeight="1" x14ac:dyDescent="0.2">
      <c r="B2398" s="7"/>
      <c r="C2398" s="5" t="str">
        <f>IF(B2398="","",[1]!s_dq_close(股指期货基差分析!$E$5,$B2398))</f>
        <v/>
      </c>
      <c r="D2398" s="5" t="str">
        <f>IF(B2398="","",[1]!s_dq_close(股指期货基差分析!$E$6,$B2398))</f>
        <v/>
      </c>
      <c r="E2398" s="5" t="e">
        <f ca="1">RANK(F2398,F:F)+COUNTIF(F$2:F2398,F2398)-1</f>
        <v>#VALUE!</v>
      </c>
      <c r="F2398" s="5" t="str">
        <f t="shared" si="38"/>
        <v/>
      </c>
      <c r="G2398" s="5" t="str">
        <f>IF(B2398="","",股指期货基差分析!$N$11)</f>
        <v/>
      </c>
      <c r="H2398" s="5" t="str">
        <f>IF(B2398="","",股指期货基差分析!$L$11)</f>
        <v/>
      </c>
      <c r="I2398" s="9" t="str">
        <f>IF(B2398="","",股指期货基差分析!$D$11)</f>
        <v/>
      </c>
    </row>
    <row r="2399" spans="2:9" ht="15" customHeight="1" x14ac:dyDescent="0.2">
      <c r="B2399" s="8"/>
      <c r="C2399" s="6" t="str">
        <f>IF(B2399="","",[1]!s_dq_close(股指期货基差分析!$E$5,$B2399))</f>
        <v/>
      </c>
      <c r="D2399" s="6" t="str">
        <f>IF(B2399="","",[1]!s_dq_close(股指期货基差分析!$E$6,$B2399))</f>
        <v/>
      </c>
      <c r="E2399" s="6" t="e">
        <f ca="1">RANK(F2399,F:F)+COUNTIF(F$2:F2399,F2399)-1</f>
        <v>#VALUE!</v>
      </c>
      <c r="F2399" s="6" t="str">
        <f t="shared" si="38"/>
        <v/>
      </c>
      <c r="G2399" s="6" t="str">
        <f>IF(B2399="","",股指期货基差分析!$N$11)</f>
        <v/>
      </c>
      <c r="H2399" s="6" t="str">
        <f>IF(B2399="","",股指期货基差分析!$L$11)</f>
        <v/>
      </c>
      <c r="I2399" s="10" t="str">
        <f>IF(B2399="","",股指期货基差分析!$D$11)</f>
        <v/>
      </c>
    </row>
    <row r="2400" spans="2:9" ht="15" customHeight="1" x14ac:dyDescent="0.2">
      <c r="B2400" s="7"/>
      <c r="C2400" s="5" t="str">
        <f>IF(B2400="","",[1]!s_dq_close(股指期货基差分析!$E$5,$B2400))</f>
        <v/>
      </c>
      <c r="D2400" s="5" t="str">
        <f>IF(B2400="","",[1]!s_dq_close(股指期货基差分析!$E$6,$B2400))</f>
        <v/>
      </c>
      <c r="E2400" s="5" t="e">
        <f ca="1">RANK(F2400,F:F)+COUNTIF(F$2:F2400,F2400)-1</f>
        <v>#VALUE!</v>
      </c>
      <c r="F2400" s="5" t="str">
        <f t="shared" si="38"/>
        <v/>
      </c>
      <c r="G2400" s="5" t="str">
        <f>IF(B2400="","",股指期货基差分析!$N$11)</f>
        <v/>
      </c>
      <c r="H2400" s="5" t="str">
        <f>IF(B2400="","",股指期货基差分析!$L$11)</f>
        <v/>
      </c>
      <c r="I2400" s="9" t="str">
        <f>IF(B2400="","",股指期货基差分析!$D$11)</f>
        <v/>
      </c>
    </row>
    <row r="2401" spans="2:9" ht="15" customHeight="1" x14ac:dyDescent="0.2">
      <c r="B2401" s="8"/>
      <c r="C2401" s="6" t="str">
        <f>IF(B2401="","",[1]!s_dq_close(股指期货基差分析!$E$5,$B2401))</f>
        <v/>
      </c>
      <c r="D2401" s="6" t="str">
        <f>IF(B2401="","",[1]!s_dq_close(股指期货基差分析!$E$6,$B2401))</f>
        <v/>
      </c>
      <c r="E2401" s="6" t="e">
        <f ca="1">RANK(F2401,F:F)+COUNTIF(F$2:F2401,F2401)-1</f>
        <v>#VALUE!</v>
      </c>
      <c r="F2401" s="6" t="str">
        <f t="shared" si="38"/>
        <v/>
      </c>
      <c r="G2401" s="6" t="str">
        <f>IF(B2401="","",股指期货基差分析!$N$11)</f>
        <v/>
      </c>
      <c r="H2401" s="6" t="str">
        <f>IF(B2401="","",股指期货基差分析!$L$11)</f>
        <v/>
      </c>
      <c r="I2401" s="10" t="str">
        <f>IF(B2401="","",股指期货基差分析!$D$11)</f>
        <v/>
      </c>
    </row>
    <row r="2402" spans="2:9" ht="15" customHeight="1" x14ac:dyDescent="0.2">
      <c r="B2402" s="7"/>
      <c r="C2402" s="5" t="str">
        <f>IF(B2402="","",[1]!s_dq_close(股指期货基差分析!$E$5,$B2402))</f>
        <v/>
      </c>
      <c r="D2402" s="5" t="str">
        <f>IF(B2402="","",[1]!s_dq_close(股指期货基差分析!$E$6,$B2402))</f>
        <v/>
      </c>
      <c r="E2402" s="5" t="e">
        <f ca="1">RANK(F2402,F:F)+COUNTIF(F$2:F2402,F2402)-1</f>
        <v>#VALUE!</v>
      </c>
      <c r="F2402" s="5" t="str">
        <f t="shared" si="38"/>
        <v/>
      </c>
      <c r="G2402" s="5" t="str">
        <f>IF(B2402="","",股指期货基差分析!$N$11)</f>
        <v/>
      </c>
      <c r="H2402" s="5" t="str">
        <f>IF(B2402="","",股指期货基差分析!$L$11)</f>
        <v/>
      </c>
      <c r="I2402" s="9" t="str">
        <f>IF(B2402="","",股指期货基差分析!$D$11)</f>
        <v/>
      </c>
    </row>
    <row r="2403" spans="2:9" ht="15" customHeight="1" x14ac:dyDescent="0.2">
      <c r="B2403" s="8"/>
      <c r="C2403" s="6" t="str">
        <f>IF(B2403="","",[1]!s_dq_close(股指期货基差分析!$E$5,$B2403))</f>
        <v/>
      </c>
      <c r="D2403" s="6" t="str">
        <f>IF(B2403="","",[1]!s_dq_close(股指期货基差分析!$E$6,$B2403))</f>
        <v/>
      </c>
      <c r="E2403" s="6" t="e">
        <f ca="1">RANK(F2403,F:F)+COUNTIF(F$2:F2403,F2403)-1</f>
        <v>#VALUE!</v>
      </c>
      <c r="F2403" s="6" t="str">
        <f t="shared" si="38"/>
        <v/>
      </c>
      <c r="G2403" s="6" t="str">
        <f>IF(B2403="","",股指期货基差分析!$N$11)</f>
        <v/>
      </c>
      <c r="H2403" s="6" t="str">
        <f>IF(B2403="","",股指期货基差分析!$L$11)</f>
        <v/>
      </c>
      <c r="I2403" s="10" t="str">
        <f>IF(B2403="","",股指期货基差分析!$D$11)</f>
        <v/>
      </c>
    </row>
    <row r="2404" spans="2:9" ht="15" customHeight="1" x14ac:dyDescent="0.2">
      <c r="B2404" s="7"/>
      <c r="C2404" s="5" t="str">
        <f>IF(B2404="","",[1]!s_dq_close(股指期货基差分析!$E$5,$B2404))</f>
        <v/>
      </c>
      <c r="D2404" s="5" t="str">
        <f>IF(B2404="","",[1]!s_dq_close(股指期货基差分析!$E$6,$B2404))</f>
        <v/>
      </c>
      <c r="E2404" s="5" t="e">
        <f ca="1">RANK(F2404,F:F)+COUNTIF(F$2:F2404,F2404)-1</f>
        <v>#VALUE!</v>
      </c>
      <c r="F2404" s="5" t="str">
        <f t="shared" si="38"/>
        <v/>
      </c>
      <c r="G2404" s="5" t="str">
        <f>IF(B2404="","",股指期货基差分析!$N$11)</f>
        <v/>
      </c>
      <c r="H2404" s="5" t="str">
        <f>IF(B2404="","",股指期货基差分析!$L$11)</f>
        <v/>
      </c>
      <c r="I2404" s="9" t="str">
        <f>IF(B2404="","",股指期货基差分析!$D$11)</f>
        <v/>
      </c>
    </row>
    <row r="2405" spans="2:9" ht="15" customHeight="1" x14ac:dyDescent="0.2">
      <c r="B2405" s="8"/>
      <c r="C2405" s="6" t="str">
        <f>IF(B2405="","",[1]!s_dq_close(股指期货基差分析!$E$5,$B2405))</f>
        <v/>
      </c>
      <c r="D2405" s="6" t="str">
        <f>IF(B2405="","",[1]!s_dq_close(股指期货基差分析!$E$6,$B2405))</f>
        <v/>
      </c>
      <c r="E2405" s="6" t="e">
        <f ca="1">RANK(F2405,F:F)+COUNTIF(F$2:F2405,F2405)-1</f>
        <v>#VALUE!</v>
      </c>
      <c r="F2405" s="6" t="str">
        <f t="shared" si="38"/>
        <v/>
      </c>
      <c r="G2405" s="6" t="str">
        <f>IF(B2405="","",股指期货基差分析!$N$11)</f>
        <v/>
      </c>
      <c r="H2405" s="6" t="str">
        <f>IF(B2405="","",股指期货基差分析!$L$11)</f>
        <v/>
      </c>
      <c r="I2405" s="10" t="str">
        <f>IF(B2405="","",股指期货基差分析!$D$11)</f>
        <v/>
      </c>
    </row>
    <row r="2406" spans="2:9" ht="15" customHeight="1" x14ac:dyDescent="0.2">
      <c r="B2406" s="7"/>
      <c r="C2406" s="5" t="str">
        <f>IF(B2406="","",[1]!s_dq_close(股指期货基差分析!$E$5,$B2406))</f>
        <v/>
      </c>
      <c r="D2406" s="5" t="str">
        <f>IF(B2406="","",[1]!s_dq_close(股指期货基差分析!$E$6,$B2406))</f>
        <v/>
      </c>
      <c r="E2406" s="5" t="e">
        <f ca="1">RANK(F2406,F:F)+COUNTIF(F$2:F2406,F2406)-1</f>
        <v>#VALUE!</v>
      </c>
      <c r="F2406" s="5" t="str">
        <f t="shared" si="38"/>
        <v/>
      </c>
      <c r="G2406" s="5" t="str">
        <f>IF(B2406="","",股指期货基差分析!$N$11)</f>
        <v/>
      </c>
      <c r="H2406" s="5" t="str">
        <f>IF(B2406="","",股指期货基差分析!$L$11)</f>
        <v/>
      </c>
      <c r="I2406" s="9" t="str">
        <f>IF(B2406="","",股指期货基差分析!$D$11)</f>
        <v/>
      </c>
    </row>
    <row r="2407" spans="2:9" ht="15" customHeight="1" x14ac:dyDescent="0.2">
      <c r="B2407" s="8"/>
      <c r="C2407" s="6" t="str">
        <f>IF(B2407="","",[1]!s_dq_close(股指期货基差分析!$E$5,$B2407))</f>
        <v/>
      </c>
      <c r="D2407" s="6" t="str">
        <f>IF(B2407="","",[1]!s_dq_close(股指期货基差分析!$E$6,$B2407))</f>
        <v/>
      </c>
      <c r="E2407" s="6" t="e">
        <f ca="1">RANK(F2407,F:F)+COUNTIF(F$2:F2407,F2407)-1</f>
        <v>#VALUE!</v>
      </c>
      <c r="F2407" s="6" t="str">
        <f t="shared" si="38"/>
        <v/>
      </c>
      <c r="G2407" s="6" t="str">
        <f>IF(B2407="","",股指期货基差分析!$N$11)</f>
        <v/>
      </c>
      <c r="H2407" s="6" t="str">
        <f>IF(B2407="","",股指期货基差分析!$L$11)</f>
        <v/>
      </c>
      <c r="I2407" s="10" t="str">
        <f>IF(B2407="","",股指期货基差分析!$D$11)</f>
        <v/>
      </c>
    </row>
    <row r="2408" spans="2:9" ht="15" customHeight="1" x14ac:dyDescent="0.2">
      <c r="B2408" s="7"/>
      <c r="C2408" s="5" t="str">
        <f>IF(B2408="","",[1]!s_dq_close(股指期货基差分析!$E$5,$B2408))</f>
        <v/>
      </c>
      <c r="D2408" s="5" t="str">
        <f>IF(B2408="","",[1]!s_dq_close(股指期货基差分析!$E$6,$B2408))</f>
        <v/>
      </c>
      <c r="E2408" s="5" t="e">
        <f ca="1">RANK(F2408,F:F)+COUNTIF(F$2:F2408,F2408)-1</f>
        <v>#VALUE!</v>
      </c>
      <c r="F2408" s="5" t="str">
        <f t="shared" si="38"/>
        <v/>
      </c>
      <c r="G2408" s="5" t="str">
        <f>IF(B2408="","",股指期货基差分析!$N$11)</f>
        <v/>
      </c>
      <c r="H2408" s="5" t="str">
        <f>IF(B2408="","",股指期货基差分析!$L$11)</f>
        <v/>
      </c>
      <c r="I2408" s="9" t="str">
        <f>IF(B2408="","",股指期货基差分析!$D$11)</f>
        <v/>
      </c>
    </row>
    <row r="2409" spans="2:9" ht="15" customHeight="1" x14ac:dyDescent="0.2">
      <c r="B2409" s="8"/>
      <c r="C2409" s="6" t="str">
        <f>IF(B2409="","",[1]!s_dq_close(股指期货基差分析!$E$5,$B2409))</f>
        <v/>
      </c>
      <c r="D2409" s="6" t="str">
        <f>IF(B2409="","",[1]!s_dq_close(股指期货基差分析!$E$6,$B2409))</f>
        <v/>
      </c>
      <c r="E2409" s="6" t="e">
        <f ca="1">RANK(F2409,F:F)+COUNTIF(F$2:F2409,F2409)-1</f>
        <v>#VALUE!</v>
      </c>
      <c r="F2409" s="6" t="str">
        <f t="shared" si="38"/>
        <v/>
      </c>
      <c r="G2409" s="6" t="str">
        <f>IF(B2409="","",股指期货基差分析!$N$11)</f>
        <v/>
      </c>
      <c r="H2409" s="6" t="str">
        <f>IF(B2409="","",股指期货基差分析!$L$11)</f>
        <v/>
      </c>
      <c r="I2409" s="10" t="str">
        <f>IF(B2409="","",股指期货基差分析!$D$11)</f>
        <v/>
      </c>
    </row>
    <row r="2410" spans="2:9" ht="15" customHeight="1" x14ac:dyDescent="0.2">
      <c r="B2410" s="7"/>
      <c r="C2410" s="5" t="str">
        <f>IF(B2410="","",[1]!s_dq_close(股指期货基差分析!$E$5,$B2410))</f>
        <v/>
      </c>
      <c r="D2410" s="5" t="str">
        <f>IF(B2410="","",[1]!s_dq_close(股指期货基差分析!$E$6,$B2410))</f>
        <v/>
      </c>
      <c r="E2410" s="5" t="e">
        <f ca="1">RANK(F2410,F:F)+COUNTIF(F$2:F2410,F2410)-1</f>
        <v>#VALUE!</v>
      </c>
      <c r="F2410" s="5" t="str">
        <f t="shared" si="38"/>
        <v/>
      </c>
      <c r="G2410" s="5" t="str">
        <f>IF(B2410="","",股指期货基差分析!$N$11)</f>
        <v/>
      </c>
      <c r="H2410" s="5" t="str">
        <f>IF(B2410="","",股指期货基差分析!$L$11)</f>
        <v/>
      </c>
      <c r="I2410" s="9" t="str">
        <f>IF(B2410="","",股指期货基差分析!$D$11)</f>
        <v/>
      </c>
    </row>
    <row r="2411" spans="2:9" ht="15" customHeight="1" x14ac:dyDescent="0.2">
      <c r="B2411" s="8"/>
      <c r="C2411" s="6" t="str">
        <f>IF(B2411="","",[1]!s_dq_close(股指期货基差分析!$E$5,$B2411))</f>
        <v/>
      </c>
      <c r="D2411" s="6" t="str">
        <f>IF(B2411="","",[1]!s_dq_close(股指期货基差分析!$E$6,$B2411))</f>
        <v/>
      </c>
      <c r="E2411" s="6" t="e">
        <f ca="1">RANK(F2411,F:F)+COUNTIF(F$2:F2411,F2411)-1</f>
        <v>#VALUE!</v>
      </c>
      <c r="F2411" s="6" t="str">
        <f t="shared" si="38"/>
        <v/>
      </c>
      <c r="G2411" s="6" t="str">
        <f>IF(B2411="","",股指期货基差分析!$N$11)</f>
        <v/>
      </c>
      <c r="H2411" s="6" t="str">
        <f>IF(B2411="","",股指期货基差分析!$L$11)</f>
        <v/>
      </c>
      <c r="I2411" s="10" t="str">
        <f>IF(B2411="","",股指期货基差分析!$D$11)</f>
        <v/>
      </c>
    </row>
    <row r="2412" spans="2:9" ht="15" customHeight="1" x14ac:dyDescent="0.2">
      <c r="B2412" s="7"/>
      <c r="C2412" s="5" t="str">
        <f>IF(B2412="","",[1]!s_dq_close(股指期货基差分析!$E$5,$B2412))</f>
        <v/>
      </c>
      <c r="D2412" s="5" t="str">
        <f>IF(B2412="","",[1]!s_dq_close(股指期货基差分析!$E$6,$B2412))</f>
        <v/>
      </c>
      <c r="E2412" s="5" t="e">
        <f ca="1">RANK(F2412,F:F)+COUNTIF(F$2:F2412,F2412)-1</f>
        <v>#VALUE!</v>
      </c>
      <c r="F2412" s="5" t="str">
        <f t="shared" si="38"/>
        <v/>
      </c>
      <c r="G2412" s="5" t="str">
        <f>IF(B2412="","",股指期货基差分析!$N$11)</f>
        <v/>
      </c>
      <c r="H2412" s="5" t="str">
        <f>IF(B2412="","",股指期货基差分析!$L$11)</f>
        <v/>
      </c>
      <c r="I2412" s="9" t="str">
        <f>IF(B2412="","",股指期货基差分析!$D$11)</f>
        <v/>
      </c>
    </row>
    <row r="2413" spans="2:9" ht="15" customHeight="1" x14ac:dyDescent="0.2">
      <c r="B2413" s="8"/>
      <c r="C2413" s="6" t="str">
        <f>IF(B2413="","",[1]!s_dq_close(股指期货基差分析!$E$5,$B2413))</f>
        <v/>
      </c>
      <c r="D2413" s="6" t="str">
        <f>IF(B2413="","",[1]!s_dq_close(股指期货基差分析!$E$6,$B2413))</f>
        <v/>
      </c>
      <c r="E2413" s="6" t="e">
        <f ca="1">RANK(F2413,F:F)+COUNTIF(F$2:F2413,F2413)-1</f>
        <v>#VALUE!</v>
      </c>
      <c r="F2413" s="6" t="str">
        <f t="shared" si="38"/>
        <v/>
      </c>
      <c r="G2413" s="6" t="str">
        <f>IF(B2413="","",股指期货基差分析!$N$11)</f>
        <v/>
      </c>
      <c r="H2413" s="6" t="str">
        <f>IF(B2413="","",股指期货基差分析!$L$11)</f>
        <v/>
      </c>
      <c r="I2413" s="10" t="str">
        <f>IF(B2413="","",股指期货基差分析!$D$11)</f>
        <v/>
      </c>
    </row>
    <row r="2414" spans="2:9" ht="15" customHeight="1" x14ac:dyDescent="0.2">
      <c r="B2414" s="7"/>
      <c r="C2414" s="5" t="str">
        <f>IF(B2414="","",[1]!s_dq_close(股指期货基差分析!$E$5,$B2414))</f>
        <v/>
      </c>
      <c r="D2414" s="5" t="str">
        <f>IF(B2414="","",[1]!s_dq_close(股指期货基差分析!$E$6,$B2414))</f>
        <v/>
      </c>
      <c r="E2414" s="5" t="e">
        <f ca="1">RANK(F2414,F:F)+COUNTIF(F$2:F2414,F2414)-1</f>
        <v>#VALUE!</v>
      </c>
      <c r="F2414" s="5" t="str">
        <f t="shared" si="38"/>
        <v/>
      </c>
      <c r="G2414" s="5" t="str">
        <f>IF(B2414="","",股指期货基差分析!$N$11)</f>
        <v/>
      </c>
      <c r="H2414" s="5" t="str">
        <f>IF(B2414="","",股指期货基差分析!$L$11)</f>
        <v/>
      </c>
      <c r="I2414" s="9" t="str">
        <f>IF(B2414="","",股指期货基差分析!$D$11)</f>
        <v/>
      </c>
    </row>
    <row r="2415" spans="2:9" ht="15" customHeight="1" x14ac:dyDescent="0.2">
      <c r="B2415" s="8"/>
      <c r="C2415" s="6" t="str">
        <f>IF(B2415="","",[1]!s_dq_close(股指期货基差分析!$E$5,$B2415))</f>
        <v/>
      </c>
      <c r="D2415" s="6" t="str">
        <f>IF(B2415="","",[1]!s_dq_close(股指期货基差分析!$E$6,$B2415))</f>
        <v/>
      </c>
      <c r="E2415" s="6" t="e">
        <f ca="1">RANK(F2415,F:F)+COUNTIF(F$2:F2415,F2415)-1</f>
        <v>#VALUE!</v>
      </c>
      <c r="F2415" s="6" t="str">
        <f t="shared" si="38"/>
        <v/>
      </c>
      <c r="G2415" s="6" t="str">
        <f>IF(B2415="","",股指期货基差分析!$N$11)</f>
        <v/>
      </c>
      <c r="H2415" s="6" t="str">
        <f>IF(B2415="","",股指期货基差分析!$L$11)</f>
        <v/>
      </c>
      <c r="I2415" s="10" t="str">
        <f>IF(B2415="","",股指期货基差分析!$D$11)</f>
        <v/>
      </c>
    </row>
    <row r="2416" spans="2:9" ht="15" customHeight="1" x14ac:dyDescent="0.2">
      <c r="B2416" s="7"/>
      <c r="C2416" s="5" t="str">
        <f>IF(B2416="","",[1]!s_dq_close(股指期货基差分析!$E$5,$B2416))</f>
        <v/>
      </c>
      <c r="D2416" s="5" t="str">
        <f>IF(B2416="","",[1]!s_dq_close(股指期货基差分析!$E$6,$B2416))</f>
        <v/>
      </c>
      <c r="E2416" s="5" t="e">
        <f ca="1">RANK(F2416,F:F)+COUNTIF(F$2:F2416,F2416)-1</f>
        <v>#VALUE!</v>
      </c>
      <c r="F2416" s="5" t="str">
        <f t="shared" si="38"/>
        <v/>
      </c>
      <c r="G2416" s="5" t="str">
        <f>IF(B2416="","",股指期货基差分析!$N$11)</f>
        <v/>
      </c>
      <c r="H2416" s="5" t="str">
        <f>IF(B2416="","",股指期货基差分析!$L$11)</f>
        <v/>
      </c>
      <c r="I2416" s="9" t="str">
        <f>IF(B2416="","",股指期货基差分析!$D$11)</f>
        <v/>
      </c>
    </row>
    <row r="2417" spans="2:9" ht="15" customHeight="1" x14ac:dyDescent="0.2">
      <c r="B2417" s="8"/>
      <c r="C2417" s="6" t="str">
        <f>IF(B2417="","",[1]!s_dq_close(股指期货基差分析!$E$5,$B2417))</f>
        <v/>
      </c>
      <c r="D2417" s="6" t="str">
        <f>IF(B2417="","",[1]!s_dq_close(股指期货基差分析!$E$6,$B2417))</f>
        <v/>
      </c>
      <c r="E2417" s="6" t="e">
        <f ca="1">RANK(F2417,F:F)+COUNTIF(F$2:F2417,F2417)-1</f>
        <v>#VALUE!</v>
      </c>
      <c r="F2417" s="6" t="str">
        <f t="shared" si="38"/>
        <v/>
      </c>
      <c r="G2417" s="6" t="str">
        <f>IF(B2417="","",股指期货基差分析!$N$11)</f>
        <v/>
      </c>
      <c r="H2417" s="6" t="str">
        <f>IF(B2417="","",股指期货基差分析!$L$11)</f>
        <v/>
      </c>
      <c r="I2417" s="10" t="str">
        <f>IF(B2417="","",股指期货基差分析!$D$11)</f>
        <v/>
      </c>
    </row>
    <row r="2418" spans="2:9" ht="15" customHeight="1" x14ac:dyDescent="0.2">
      <c r="B2418" s="7"/>
      <c r="C2418" s="5" t="str">
        <f>IF(B2418="","",[1]!s_dq_close(股指期货基差分析!$E$5,$B2418))</f>
        <v/>
      </c>
      <c r="D2418" s="5" t="str">
        <f>IF(B2418="","",[1]!s_dq_close(股指期货基差分析!$E$6,$B2418))</f>
        <v/>
      </c>
      <c r="E2418" s="5" t="e">
        <f ca="1">RANK(F2418,F:F)+COUNTIF(F$2:F2418,F2418)-1</f>
        <v>#VALUE!</v>
      </c>
      <c r="F2418" s="5" t="str">
        <f t="shared" si="38"/>
        <v/>
      </c>
      <c r="G2418" s="5" t="str">
        <f>IF(B2418="","",股指期货基差分析!$N$11)</f>
        <v/>
      </c>
      <c r="H2418" s="5" t="str">
        <f>IF(B2418="","",股指期货基差分析!$L$11)</f>
        <v/>
      </c>
      <c r="I2418" s="9" t="str">
        <f>IF(B2418="","",股指期货基差分析!$D$11)</f>
        <v/>
      </c>
    </row>
    <row r="2419" spans="2:9" ht="15" customHeight="1" x14ac:dyDescent="0.2">
      <c r="B2419" s="8"/>
      <c r="C2419" s="6" t="str">
        <f>IF(B2419="","",[1]!s_dq_close(股指期货基差分析!$E$5,$B2419))</f>
        <v/>
      </c>
      <c r="D2419" s="6" t="str">
        <f>IF(B2419="","",[1]!s_dq_close(股指期货基差分析!$E$6,$B2419))</f>
        <v/>
      </c>
      <c r="E2419" s="6" t="e">
        <f ca="1">RANK(F2419,F:F)+COUNTIF(F$2:F2419,F2419)-1</f>
        <v>#VALUE!</v>
      </c>
      <c r="F2419" s="6" t="str">
        <f t="shared" si="38"/>
        <v/>
      </c>
      <c r="G2419" s="6" t="str">
        <f>IF(B2419="","",股指期货基差分析!$N$11)</f>
        <v/>
      </c>
      <c r="H2419" s="6" t="str">
        <f>IF(B2419="","",股指期货基差分析!$L$11)</f>
        <v/>
      </c>
      <c r="I2419" s="10" t="str">
        <f>IF(B2419="","",股指期货基差分析!$D$11)</f>
        <v/>
      </c>
    </row>
    <row r="2420" spans="2:9" ht="15" customHeight="1" x14ac:dyDescent="0.2">
      <c r="B2420" s="7"/>
      <c r="C2420" s="5" t="str">
        <f>IF(B2420="","",[1]!s_dq_close(股指期货基差分析!$E$5,$B2420))</f>
        <v/>
      </c>
      <c r="D2420" s="5" t="str">
        <f>IF(B2420="","",[1]!s_dq_close(股指期货基差分析!$E$6,$B2420))</f>
        <v/>
      </c>
      <c r="E2420" s="5" t="e">
        <f ca="1">RANK(F2420,F:F)+COUNTIF(F$2:F2420,F2420)-1</f>
        <v>#VALUE!</v>
      </c>
      <c r="F2420" s="5" t="str">
        <f t="shared" si="38"/>
        <v/>
      </c>
      <c r="G2420" s="5" t="str">
        <f>IF(B2420="","",股指期货基差分析!$N$11)</f>
        <v/>
      </c>
      <c r="H2420" s="5" t="str">
        <f>IF(B2420="","",股指期货基差分析!$L$11)</f>
        <v/>
      </c>
      <c r="I2420" s="9" t="str">
        <f>IF(B2420="","",股指期货基差分析!$D$11)</f>
        <v/>
      </c>
    </row>
    <row r="2421" spans="2:9" ht="15" customHeight="1" x14ac:dyDescent="0.2">
      <c r="B2421" s="8"/>
      <c r="C2421" s="6" t="str">
        <f>IF(B2421="","",[1]!s_dq_close(股指期货基差分析!$E$5,$B2421))</f>
        <v/>
      </c>
      <c r="D2421" s="6" t="str">
        <f>IF(B2421="","",[1]!s_dq_close(股指期货基差分析!$E$6,$B2421))</f>
        <v/>
      </c>
      <c r="E2421" s="6" t="e">
        <f ca="1">RANK(F2421,F:F)+COUNTIF(F$2:F2421,F2421)-1</f>
        <v>#VALUE!</v>
      </c>
      <c r="F2421" s="6" t="str">
        <f t="shared" si="38"/>
        <v/>
      </c>
      <c r="G2421" s="6" t="str">
        <f>IF(B2421="","",股指期货基差分析!$N$11)</f>
        <v/>
      </c>
      <c r="H2421" s="6" t="str">
        <f>IF(B2421="","",股指期货基差分析!$L$11)</f>
        <v/>
      </c>
      <c r="I2421" s="10" t="str">
        <f>IF(B2421="","",股指期货基差分析!$D$11)</f>
        <v/>
      </c>
    </row>
    <row r="2422" spans="2:9" ht="15" customHeight="1" x14ac:dyDescent="0.2">
      <c r="B2422" s="7"/>
      <c r="C2422" s="5" t="str">
        <f>IF(B2422="","",[1]!s_dq_close(股指期货基差分析!$E$5,$B2422))</f>
        <v/>
      </c>
      <c r="D2422" s="5" t="str">
        <f>IF(B2422="","",[1]!s_dq_close(股指期货基差分析!$E$6,$B2422))</f>
        <v/>
      </c>
      <c r="E2422" s="5" t="e">
        <f ca="1">RANK(F2422,F:F)+COUNTIF(F$2:F2422,F2422)-1</f>
        <v>#VALUE!</v>
      </c>
      <c r="F2422" s="5" t="str">
        <f t="shared" si="38"/>
        <v/>
      </c>
      <c r="G2422" s="5" t="str">
        <f>IF(B2422="","",股指期货基差分析!$N$11)</f>
        <v/>
      </c>
      <c r="H2422" s="5" t="str">
        <f>IF(B2422="","",股指期货基差分析!$L$11)</f>
        <v/>
      </c>
      <c r="I2422" s="9" t="str">
        <f>IF(B2422="","",股指期货基差分析!$D$11)</f>
        <v/>
      </c>
    </row>
    <row r="2423" spans="2:9" ht="15" customHeight="1" x14ac:dyDescent="0.2">
      <c r="B2423" s="8"/>
      <c r="C2423" s="6" t="str">
        <f>IF(B2423="","",[1]!s_dq_close(股指期货基差分析!$E$5,$B2423))</f>
        <v/>
      </c>
      <c r="D2423" s="6" t="str">
        <f>IF(B2423="","",[1]!s_dq_close(股指期货基差分析!$E$6,$B2423))</f>
        <v/>
      </c>
      <c r="E2423" s="6" t="e">
        <f ca="1">RANK(F2423,F:F)+COUNTIF(F$2:F2423,F2423)-1</f>
        <v>#VALUE!</v>
      </c>
      <c r="F2423" s="6" t="str">
        <f t="shared" si="38"/>
        <v/>
      </c>
      <c r="G2423" s="6" t="str">
        <f>IF(B2423="","",股指期货基差分析!$N$11)</f>
        <v/>
      </c>
      <c r="H2423" s="6" t="str">
        <f>IF(B2423="","",股指期货基差分析!$L$11)</f>
        <v/>
      </c>
      <c r="I2423" s="10" t="str">
        <f>IF(B2423="","",股指期货基差分析!$D$11)</f>
        <v/>
      </c>
    </row>
    <row r="2424" spans="2:9" ht="15" customHeight="1" x14ac:dyDescent="0.2">
      <c r="B2424" s="7"/>
      <c r="C2424" s="5" t="str">
        <f>IF(B2424="","",[1]!s_dq_close(股指期货基差分析!$E$5,$B2424))</f>
        <v/>
      </c>
      <c r="D2424" s="5" t="str">
        <f>IF(B2424="","",[1]!s_dq_close(股指期货基差分析!$E$6,$B2424))</f>
        <v/>
      </c>
      <c r="E2424" s="5" t="e">
        <f ca="1">RANK(F2424,F:F)+COUNTIF(F$2:F2424,F2424)-1</f>
        <v>#VALUE!</v>
      </c>
      <c r="F2424" s="5" t="str">
        <f t="shared" si="38"/>
        <v/>
      </c>
      <c r="G2424" s="5" t="str">
        <f>IF(B2424="","",股指期货基差分析!$N$11)</f>
        <v/>
      </c>
      <c r="H2424" s="5" t="str">
        <f>IF(B2424="","",股指期货基差分析!$L$11)</f>
        <v/>
      </c>
      <c r="I2424" s="9" t="str">
        <f>IF(B2424="","",股指期货基差分析!$D$11)</f>
        <v/>
      </c>
    </row>
    <row r="2425" spans="2:9" ht="15" customHeight="1" x14ac:dyDescent="0.2">
      <c r="B2425" s="8"/>
      <c r="C2425" s="6" t="str">
        <f>IF(B2425="","",[1]!s_dq_close(股指期货基差分析!$E$5,$B2425))</f>
        <v/>
      </c>
      <c r="D2425" s="6" t="str">
        <f>IF(B2425="","",[1]!s_dq_close(股指期货基差分析!$E$6,$B2425))</f>
        <v/>
      </c>
      <c r="E2425" s="6" t="e">
        <f ca="1">RANK(F2425,F:F)+COUNTIF(F$2:F2425,F2425)-1</f>
        <v>#VALUE!</v>
      </c>
      <c r="F2425" s="6" t="str">
        <f t="shared" si="38"/>
        <v/>
      </c>
      <c r="G2425" s="6" t="str">
        <f>IF(B2425="","",股指期货基差分析!$N$11)</f>
        <v/>
      </c>
      <c r="H2425" s="6" t="str">
        <f>IF(B2425="","",股指期货基差分析!$L$11)</f>
        <v/>
      </c>
      <c r="I2425" s="10" t="str">
        <f>IF(B2425="","",股指期货基差分析!$D$11)</f>
        <v/>
      </c>
    </row>
    <row r="2426" spans="2:9" ht="15" customHeight="1" x14ac:dyDescent="0.2">
      <c r="B2426" s="7"/>
      <c r="C2426" s="5" t="str">
        <f>IF(B2426="","",[1]!s_dq_close(股指期货基差分析!$E$5,$B2426))</f>
        <v/>
      </c>
      <c r="D2426" s="5" t="str">
        <f>IF(B2426="","",[1]!s_dq_close(股指期货基差分析!$E$6,$B2426))</f>
        <v/>
      </c>
      <c r="E2426" s="5" t="e">
        <f ca="1">RANK(F2426,F:F)+COUNTIF(F$2:F2426,F2426)-1</f>
        <v>#VALUE!</v>
      </c>
      <c r="F2426" s="5" t="str">
        <f t="shared" si="38"/>
        <v/>
      </c>
      <c r="G2426" s="5" t="str">
        <f>IF(B2426="","",股指期货基差分析!$N$11)</f>
        <v/>
      </c>
      <c r="H2426" s="5" t="str">
        <f>IF(B2426="","",股指期货基差分析!$L$11)</f>
        <v/>
      </c>
      <c r="I2426" s="9" t="str">
        <f>IF(B2426="","",股指期货基差分析!$D$11)</f>
        <v/>
      </c>
    </row>
    <row r="2427" spans="2:9" ht="15" customHeight="1" x14ac:dyDescent="0.2">
      <c r="B2427" s="8"/>
      <c r="C2427" s="6" t="str">
        <f>IF(B2427="","",[1]!s_dq_close(股指期货基差分析!$E$5,$B2427))</f>
        <v/>
      </c>
      <c r="D2427" s="6" t="str">
        <f>IF(B2427="","",[1]!s_dq_close(股指期货基差分析!$E$6,$B2427))</f>
        <v/>
      </c>
      <c r="E2427" s="6" t="e">
        <f ca="1">RANK(F2427,F:F)+COUNTIF(F$2:F2427,F2427)-1</f>
        <v>#VALUE!</v>
      </c>
      <c r="F2427" s="6" t="str">
        <f t="shared" si="38"/>
        <v/>
      </c>
      <c r="G2427" s="6" t="str">
        <f>IF(B2427="","",股指期货基差分析!$N$11)</f>
        <v/>
      </c>
      <c r="H2427" s="6" t="str">
        <f>IF(B2427="","",股指期货基差分析!$L$11)</f>
        <v/>
      </c>
      <c r="I2427" s="10" t="str">
        <f>IF(B2427="","",股指期货基差分析!$D$11)</f>
        <v/>
      </c>
    </row>
    <row r="2428" spans="2:9" ht="15" customHeight="1" x14ac:dyDescent="0.2">
      <c r="B2428" s="7"/>
      <c r="C2428" s="5" t="str">
        <f>IF(B2428="","",[1]!s_dq_close(股指期货基差分析!$E$5,$B2428))</f>
        <v/>
      </c>
      <c r="D2428" s="5" t="str">
        <f>IF(B2428="","",[1]!s_dq_close(股指期货基差分析!$E$6,$B2428))</f>
        <v/>
      </c>
      <c r="E2428" s="5" t="e">
        <f ca="1">RANK(F2428,F:F)+COUNTIF(F$2:F2428,F2428)-1</f>
        <v>#VALUE!</v>
      </c>
      <c r="F2428" s="5" t="str">
        <f t="shared" si="38"/>
        <v/>
      </c>
      <c r="G2428" s="5" t="str">
        <f>IF(B2428="","",股指期货基差分析!$N$11)</f>
        <v/>
      </c>
      <c r="H2428" s="5" t="str">
        <f>IF(B2428="","",股指期货基差分析!$L$11)</f>
        <v/>
      </c>
      <c r="I2428" s="9" t="str">
        <f>IF(B2428="","",股指期货基差分析!$D$11)</f>
        <v/>
      </c>
    </row>
    <row r="2429" spans="2:9" ht="15" customHeight="1" x14ac:dyDescent="0.2">
      <c r="B2429" s="8"/>
      <c r="C2429" s="6" t="str">
        <f>IF(B2429="","",[1]!s_dq_close(股指期货基差分析!$E$5,$B2429))</f>
        <v/>
      </c>
      <c r="D2429" s="6" t="str">
        <f>IF(B2429="","",[1]!s_dq_close(股指期货基差分析!$E$6,$B2429))</f>
        <v/>
      </c>
      <c r="E2429" s="6" t="e">
        <f ca="1">RANK(F2429,F:F)+COUNTIF(F$2:F2429,F2429)-1</f>
        <v>#VALUE!</v>
      </c>
      <c r="F2429" s="6" t="str">
        <f t="shared" si="38"/>
        <v/>
      </c>
      <c r="G2429" s="6" t="str">
        <f>IF(B2429="","",股指期货基差分析!$N$11)</f>
        <v/>
      </c>
      <c r="H2429" s="6" t="str">
        <f>IF(B2429="","",股指期货基差分析!$L$11)</f>
        <v/>
      </c>
      <c r="I2429" s="10" t="str">
        <f>IF(B2429="","",股指期货基差分析!$D$11)</f>
        <v/>
      </c>
    </row>
    <row r="2430" spans="2:9" ht="15" customHeight="1" x14ac:dyDescent="0.2">
      <c r="B2430" s="7"/>
      <c r="C2430" s="5" t="str">
        <f>IF(B2430="","",[1]!s_dq_close(股指期货基差分析!$E$5,$B2430))</f>
        <v/>
      </c>
      <c r="D2430" s="5" t="str">
        <f>IF(B2430="","",[1]!s_dq_close(股指期货基差分析!$E$6,$B2430))</f>
        <v/>
      </c>
      <c r="E2430" s="5" t="e">
        <f ca="1">RANK(F2430,F:F)+COUNTIF(F$2:F2430,F2430)-1</f>
        <v>#VALUE!</v>
      </c>
      <c r="F2430" s="5" t="str">
        <f t="shared" si="38"/>
        <v/>
      </c>
      <c r="G2430" s="5" t="str">
        <f>IF(B2430="","",股指期货基差分析!$N$11)</f>
        <v/>
      </c>
      <c r="H2430" s="5" t="str">
        <f>IF(B2430="","",股指期货基差分析!$L$11)</f>
        <v/>
      </c>
      <c r="I2430" s="9" t="str">
        <f>IF(B2430="","",股指期货基差分析!$D$11)</f>
        <v/>
      </c>
    </row>
    <row r="2431" spans="2:9" ht="15" customHeight="1" x14ac:dyDescent="0.2">
      <c r="B2431" s="8"/>
      <c r="C2431" s="6" t="str">
        <f>IF(B2431="","",[1]!s_dq_close(股指期货基差分析!$E$5,$B2431))</f>
        <v/>
      </c>
      <c r="D2431" s="6" t="str">
        <f>IF(B2431="","",[1]!s_dq_close(股指期货基差分析!$E$6,$B2431))</f>
        <v/>
      </c>
      <c r="E2431" s="6" t="e">
        <f ca="1">RANK(F2431,F:F)+COUNTIF(F$2:F2431,F2431)-1</f>
        <v>#VALUE!</v>
      </c>
      <c r="F2431" s="6" t="str">
        <f t="shared" si="38"/>
        <v/>
      </c>
      <c r="G2431" s="6" t="str">
        <f>IF(B2431="","",股指期货基差分析!$N$11)</f>
        <v/>
      </c>
      <c r="H2431" s="6" t="str">
        <f>IF(B2431="","",股指期货基差分析!$L$11)</f>
        <v/>
      </c>
      <c r="I2431" s="10" t="str">
        <f>IF(B2431="","",股指期货基差分析!$D$11)</f>
        <v/>
      </c>
    </row>
    <row r="2432" spans="2:9" ht="15" customHeight="1" x14ac:dyDescent="0.2">
      <c r="B2432" s="7"/>
      <c r="C2432" s="5" t="str">
        <f>IF(B2432="","",[1]!s_dq_close(股指期货基差分析!$E$5,$B2432))</f>
        <v/>
      </c>
      <c r="D2432" s="5" t="str">
        <f>IF(B2432="","",[1]!s_dq_close(股指期货基差分析!$E$6,$B2432))</f>
        <v/>
      </c>
      <c r="E2432" s="5" t="e">
        <f ca="1">RANK(F2432,F:F)+COUNTIF(F$2:F2432,F2432)-1</f>
        <v>#VALUE!</v>
      </c>
      <c r="F2432" s="5" t="str">
        <f t="shared" si="38"/>
        <v/>
      </c>
      <c r="G2432" s="5" t="str">
        <f>IF(B2432="","",股指期货基差分析!$N$11)</f>
        <v/>
      </c>
      <c r="H2432" s="5" t="str">
        <f>IF(B2432="","",股指期货基差分析!$L$11)</f>
        <v/>
      </c>
      <c r="I2432" s="9" t="str">
        <f>IF(B2432="","",股指期货基差分析!$D$11)</f>
        <v/>
      </c>
    </row>
    <row r="2433" spans="2:9" ht="15" customHeight="1" x14ac:dyDescent="0.2">
      <c r="B2433" s="8"/>
      <c r="C2433" s="6" t="str">
        <f>IF(B2433="","",[1]!s_dq_close(股指期货基差分析!$E$5,$B2433))</f>
        <v/>
      </c>
      <c r="D2433" s="6" t="str">
        <f>IF(B2433="","",[1]!s_dq_close(股指期货基差分析!$E$6,$B2433))</f>
        <v/>
      </c>
      <c r="E2433" s="6" t="e">
        <f ca="1">RANK(F2433,F:F)+COUNTIF(F$2:F2433,F2433)-1</f>
        <v>#VALUE!</v>
      </c>
      <c r="F2433" s="6" t="str">
        <f t="shared" si="38"/>
        <v/>
      </c>
      <c r="G2433" s="6" t="str">
        <f>IF(B2433="","",股指期货基差分析!$N$11)</f>
        <v/>
      </c>
      <c r="H2433" s="6" t="str">
        <f>IF(B2433="","",股指期货基差分析!$L$11)</f>
        <v/>
      </c>
      <c r="I2433" s="10" t="str">
        <f>IF(B2433="","",股指期货基差分析!$D$11)</f>
        <v/>
      </c>
    </row>
    <row r="2434" spans="2:9" ht="15" customHeight="1" x14ac:dyDescent="0.2">
      <c r="B2434" s="7"/>
      <c r="C2434" s="5" t="str">
        <f>IF(B2434="","",[1]!s_dq_close(股指期货基差分析!$E$5,$B2434))</f>
        <v/>
      </c>
      <c r="D2434" s="5" t="str">
        <f>IF(B2434="","",[1]!s_dq_close(股指期货基差分析!$E$6,$B2434))</f>
        <v/>
      </c>
      <c r="E2434" s="5" t="e">
        <f ca="1">RANK(F2434,F:F)+COUNTIF(F$2:F2434,F2434)-1</f>
        <v>#VALUE!</v>
      </c>
      <c r="F2434" s="5" t="str">
        <f t="shared" ref="F2434:F2497" si="39">IF(B2434="","",D2434-C2434)</f>
        <v/>
      </c>
      <c r="G2434" s="5" t="str">
        <f>IF(B2434="","",股指期货基差分析!$N$11)</f>
        <v/>
      </c>
      <c r="H2434" s="5" t="str">
        <f>IF(B2434="","",股指期货基差分析!$L$11)</f>
        <v/>
      </c>
      <c r="I2434" s="9" t="str">
        <f>IF(B2434="","",股指期货基差分析!$D$11)</f>
        <v/>
      </c>
    </row>
    <row r="2435" spans="2:9" ht="15" customHeight="1" x14ac:dyDescent="0.2">
      <c r="B2435" s="8"/>
      <c r="C2435" s="6" t="str">
        <f>IF(B2435="","",[1]!s_dq_close(股指期货基差分析!$E$5,$B2435))</f>
        <v/>
      </c>
      <c r="D2435" s="6" t="str">
        <f>IF(B2435="","",[1]!s_dq_close(股指期货基差分析!$E$6,$B2435))</f>
        <v/>
      </c>
      <c r="E2435" s="6" t="e">
        <f ca="1">RANK(F2435,F:F)+COUNTIF(F$2:F2435,F2435)-1</f>
        <v>#VALUE!</v>
      </c>
      <c r="F2435" s="6" t="str">
        <f t="shared" si="39"/>
        <v/>
      </c>
      <c r="G2435" s="6" t="str">
        <f>IF(B2435="","",股指期货基差分析!$N$11)</f>
        <v/>
      </c>
      <c r="H2435" s="6" t="str">
        <f>IF(B2435="","",股指期货基差分析!$L$11)</f>
        <v/>
      </c>
      <c r="I2435" s="10" t="str">
        <f>IF(B2435="","",股指期货基差分析!$D$11)</f>
        <v/>
      </c>
    </row>
    <row r="2436" spans="2:9" ht="15" customHeight="1" x14ac:dyDescent="0.2">
      <c r="B2436" s="7"/>
      <c r="C2436" s="5" t="str">
        <f>IF(B2436="","",[1]!s_dq_close(股指期货基差分析!$E$5,$B2436))</f>
        <v/>
      </c>
      <c r="D2436" s="5" t="str">
        <f>IF(B2436="","",[1]!s_dq_close(股指期货基差分析!$E$6,$B2436))</f>
        <v/>
      </c>
      <c r="E2436" s="5" t="e">
        <f ca="1">RANK(F2436,F:F)+COUNTIF(F$2:F2436,F2436)-1</f>
        <v>#VALUE!</v>
      </c>
      <c r="F2436" s="5" t="str">
        <f t="shared" si="39"/>
        <v/>
      </c>
      <c r="G2436" s="5" t="str">
        <f>IF(B2436="","",股指期货基差分析!$N$11)</f>
        <v/>
      </c>
      <c r="H2436" s="5" t="str">
        <f>IF(B2436="","",股指期货基差分析!$L$11)</f>
        <v/>
      </c>
      <c r="I2436" s="9" t="str">
        <f>IF(B2436="","",股指期货基差分析!$D$11)</f>
        <v/>
      </c>
    </row>
    <row r="2437" spans="2:9" ht="15" customHeight="1" x14ac:dyDescent="0.2">
      <c r="B2437" s="8"/>
      <c r="C2437" s="6" t="str">
        <f>IF(B2437="","",[1]!s_dq_close(股指期货基差分析!$E$5,$B2437))</f>
        <v/>
      </c>
      <c r="D2437" s="6" t="str">
        <f>IF(B2437="","",[1]!s_dq_close(股指期货基差分析!$E$6,$B2437))</f>
        <v/>
      </c>
      <c r="E2437" s="6" t="e">
        <f ca="1">RANK(F2437,F:F)+COUNTIF(F$2:F2437,F2437)-1</f>
        <v>#VALUE!</v>
      </c>
      <c r="F2437" s="6" t="str">
        <f t="shared" si="39"/>
        <v/>
      </c>
      <c r="G2437" s="6" t="str">
        <f>IF(B2437="","",股指期货基差分析!$N$11)</f>
        <v/>
      </c>
      <c r="H2437" s="6" t="str">
        <f>IF(B2437="","",股指期货基差分析!$L$11)</f>
        <v/>
      </c>
      <c r="I2437" s="10" t="str">
        <f>IF(B2437="","",股指期货基差分析!$D$11)</f>
        <v/>
      </c>
    </row>
    <row r="2438" spans="2:9" ht="15" customHeight="1" x14ac:dyDescent="0.2">
      <c r="B2438" s="7"/>
      <c r="C2438" s="5" t="str">
        <f>IF(B2438="","",[1]!s_dq_close(股指期货基差分析!$E$5,$B2438))</f>
        <v/>
      </c>
      <c r="D2438" s="5" t="str">
        <f>IF(B2438="","",[1]!s_dq_close(股指期货基差分析!$E$6,$B2438))</f>
        <v/>
      </c>
      <c r="E2438" s="5" t="e">
        <f ca="1">RANK(F2438,F:F)+COUNTIF(F$2:F2438,F2438)-1</f>
        <v>#VALUE!</v>
      </c>
      <c r="F2438" s="5" t="str">
        <f t="shared" si="39"/>
        <v/>
      </c>
      <c r="G2438" s="5" t="str">
        <f>IF(B2438="","",股指期货基差分析!$N$11)</f>
        <v/>
      </c>
      <c r="H2438" s="5" t="str">
        <f>IF(B2438="","",股指期货基差分析!$L$11)</f>
        <v/>
      </c>
      <c r="I2438" s="9" t="str">
        <f>IF(B2438="","",股指期货基差分析!$D$11)</f>
        <v/>
      </c>
    </row>
    <row r="2439" spans="2:9" ht="15" customHeight="1" x14ac:dyDescent="0.2">
      <c r="B2439" s="8"/>
      <c r="C2439" s="6" t="str">
        <f>IF(B2439="","",[1]!s_dq_close(股指期货基差分析!$E$5,$B2439))</f>
        <v/>
      </c>
      <c r="D2439" s="6" t="str">
        <f>IF(B2439="","",[1]!s_dq_close(股指期货基差分析!$E$6,$B2439))</f>
        <v/>
      </c>
      <c r="E2439" s="6" t="e">
        <f ca="1">RANK(F2439,F:F)+COUNTIF(F$2:F2439,F2439)-1</f>
        <v>#VALUE!</v>
      </c>
      <c r="F2439" s="6" t="str">
        <f t="shared" si="39"/>
        <v/>
      </c>
      <c r="G2439" s="6" t="str">
        <f>IF(B2439="","",股指期货基差分析!$N$11)</f>
        <v/>
      </c>
      <c r="H2439" s="6" t="str">
        <f>IF(B2439="","",股指期货基差分析!$L$11)</f>
        <v/>
      </c>
      <c r="I2439" s="10" t="str">
        <f>IF(B2439="","",股指期货基差分析!$D$11)</f>
        <v/>
      </c>
    </row>
    <row r="2440" spans="2:9" ht="15" customHeight="1" x14ac:dyDescent="0.2">
      <c r="B2440" s="7"/>
      <c r="C2440" s="5" t="str">
        <f>IF(B2440="","",[1]!s_dq_close(股指期货基差分析!$E$5,$B2440))</f>
        <v/>
      </c>
      <c r="D2440" s="5" t="str">
        <f>IF(B2440="","",[1]!s_dq_close(股指期货基差分析!$E$6,$B2440))</f>
        <v/>
      </c>
      <c r="E2440" s="5" t="e">
        <f ca="1">RANK(F2440,F:F)+COUNTIF(F$2:F2440,F2440)-1</f>
        <v>#VALUE!</v>
      </c>
      <c r="F2440" s="5" t="str">
        <f t="shared" si="39"/>
        <v/>
      </c>
      <c r="G2440" s="5" t="str">
        <f>IF(B2440="","",股指期货基差分析!$N$11)</f>
        <v/>
      </c>
      <c r="H2440" s="5" t="str">
        <f>IF(B2440="","",股指期货基差分析!$L$11)</f>
        <v/>
      </c>
      <c r="I2440" s="9" t="str">
        <f>IF(B2440="","",股指期货基差分析!$D$11)</f>
        <v/>
      </c>
    </row>
    <row r="2441" spans="2:9" ht="15" customHeight="1" x14ac:dyDescent="0.2">
      <c r="B2441" s="8"/>
      <c r="C2441" s="6" t="str">
        <f>IF(B2441="","",[1]!s_dq_close(股指期货基差分析!$E$5,$B2441))</f>
        <v/>
      </c>
      <c r="D2441" s="6" t="str">
        <f>IF(B2441="","",[1]!s_dq_close(股指期货基差分析!$E$6,$B2441))</f>
        <v/>
      </c>
      <c r="E2441" s="6" t="e">
        <f ca="1">RANK(F2441,F:F)+COUNTIF(F$2:F2441,F2441)-1</f>
        <v>#VALUE!</v>
      </c>
      <c r="F2441" s="6" t="str">
        <f t="shared" si="39"/>
        <v/>
      </c>
      <c r="G2441" s="6" t="str">
        <f>IF(B2441="","",股指期货基差分析!$N$11)</f>
        <v/>
      </c>
      <c r="H2441" s="6" t="str">
        <f>IF(B2441="","",股指期货基差分析!$L$11)</f>
        <v/>
      </c>
      <c r="I2441" s="10" t="str">
        <f>IF(B2441="","",股指期货基差分析!$D$11)</f>
        <v/>
      </c>
    </row>
    <row r="2442" spans="2:9" ht="15" customHeight="1" x14ac:dyDescent="0.2">
      <c r="B2442" s="7"/>
      <c r="C2442" s="5" t="str">
        <f>IF(B2442="","",[1]!s_dq_close(股指期货基差分析!$E$5,$B2442))</f>
        <v/>
      </c>
      <c r="D2442" s="5" t="str">
        <f>IF(B2442="","",[1]!s_dq_close(股指期货基差分析!$E$6,$B2442))</f>
        <v/>
      </c>
      <c r="E2442" s="5" t="e">
        <f ca="1">RANK(F2442,F:F)+COUNTIF(F$2:F2442,F2442)-1</f>
        <v>#VALUE!</v>
      </c>
      <c r="F2442" s="5" t="str">
        <f t="shared" si="39"/>
        <v/>
      </c>
      <c r="G2442" s="5" t="str">
        <f>IF(B2442="","",股指期货基差分析!$N$11)</f>
        <v/>
      </c>
      <c r="H2442" s="5" t="str">
        <f>IF(B2442="","",股指期货基差分析!$L$11)</f>
        <v/>
      </c>
      <c r="I2442" s="9" t="str">
        <f>IF(B2442="","",股指期货基差分析!$D$11)</f>
        <v/>
      </c>
    </row>
    <row r="2443" spans="2:9" ht="15" customHeight="1" x14ac:dyDescent="0.2">
      <c r="B2443" s="8"/>
      <c r="C2443" s="6" t="str">
        <f>IF(B2443="","",[1]!s_dq_close(股指期货基差分析!$E$5,$B2443))</f>
        <v/>
      </c>
      <c r="D2443" s="6" t="str">
        <f>IF(B2443="","",[1]!s_dq_close(股指期货基差分析!$E$6,$B2443))</f>
        <v/>
      </c>
      <c r="E2443" s="6" t="e">
        <f ca="1">RANK(F2443,F:F)+COUNTIF(F$2:F2443,F2443)-1</f>
        <v>#VALUE!</v>
      </c>
      <c r="F2443" s="6" t="str">
        <f t="shared" si="39"/>
        <v/>
      </c>
      <c r="G2443" s="6" t="str">
        <f>IF(B2443="","",股指期货基差分析!$N$11)</f>
        <v/>
      </c>
      <c r="H2443" s="6" t="str">
        <f>IF(B2443="","",股指期货基差分析!$L$11)</f>
        <v/>
      </c>
      <c r="I2443" s="10" t="str">
        <f>IF(B2443="","",股指期货基差分析!$D$11)</f>
        <v/>
      </c>
    </row>
    <row r="2444" spans="2:9" ht="15" customHeight="1" x14ac:dyDescent="0.2">
      <c r="B2444" s="7"/>
      <c r="C2444" s="5" t="str">
        <f>IF(B2444="","",[1]!s_dq_close(股指期货基差分析!$E$5,$B2444))</f>
        <v/>
      </c>
      <c r="D2444" s="5" t="str">
        <f>IF(B2444="","",[1]!s_dq_close(股指期货基差分析!$E$6,$B2444))</f>
        <v/>
      </c>
      <c r="E2444" s="5" t="e">
        <f ca="1">RANK(F2444,F:F)+COUNTIF(F$2:F2444,F2444)-1</f>
        <v>#VALUE!</v>
      </c>
      <c r="F2444" s="5" t="str">
        <f t="shared" si="39"/>
        <v/>
      </c>
      <c r="G2444" s="5" t="str">
        <f>IF(B2444="","",股指期货基差分析!$N$11)</f>
        <v/>
      </c>
      <c r="H2444" s="5" t="str">
        <f>IF(B2444="","",股指期货基差分析!$L$11)</f>
        <v/>
      </c>
      <c r="I2444" s="9" t="str">
        <f>IF(B2444="","",股指期货基差分析!$D$11)</f>
        <v/>
      </c>
    </row>
    <row r="2445" spans="2:9" ht="15" customHeight="1" x14ac:dyDescent="0.2">
      <c r="B2445" s="8"/>
      <c r="C2445" s="6" t="str">
        <f>IF(B2445="","",[1]!s_dq_close(股指期货基差分析!$E$5,$B2445))</f>
        <v/>
      </c>
      <c r="D2445" s="6" t="str">
        <f>IF(B2445="","",[1]!s_dq_close(股指期货基差分析!$E$6,$B2445))</f>
        <v/>
      </c>
      <c r="E2445" s="6" t="e">
        <f ca="1">RANK(F2445,F:F)+COUNTIF(F$2:F2445,F2445)-1</f>
        <v>#VALUE!</v>
      </c>
      <c r="F2445" s="6" t="str">
        <f t="shared" si="39"/>
        <v/>
      </c>
      <c r="G2445" s="6" t="str">
        <f>IF(B2445="","",股指期货基差分析!$N$11)</f>
        <v/>
      </c>
      <c r="H2445" s="6" t="str">
        <f>IF(B2445="","",股指期货基差分析!$L$11)</f>
        <v/>
      </c>
      <c r="I2445" s="10" t="str">
        <f>IF(B2445="","",股指期货基差分析!$D$11)</f>
        <v/>
      </c>
    </row>
    <row r="2446" spans="2:9" ht="15" customHeight="1" x14ac:dyDescent="0.2">
      <c r="B2446" s="7"/>
      <c r="C2446" s="5" t="str">
        <f>IF(B2446="","",[1]!s_dq_close(股指期货基差分析!$E$5,$B2446))</f>
        <v/>
      </c>
      <c r="D2446" s="5" t="str">
        <f>IF(B2446="","",[1]!s_dq_close(股指期货基差分析!$E$6,$B2446))</f>
        <v/>
      </c>
      <c r="E2446" s="5" t="e">
        <f ca="1">RANK(F2446,F:F)+COUNTIF(F$2:F2446,F2446)-1</f>
        <v>#VALUE!</v>
      </c>
      <c r="F2446" s="5" t="str">
        <f t="shared" si="39"/>
        <v/>
      </c>
      <c r="G2446" s="5" t="str">
        <f>IF(B2446="","",股指期货基差分析!$N$11)</f>
        <v/>
      </c>
      <c r="H2446" s="5" t="str">
        <f>IF(B2446="","",股指期货基差分析!$L$11)</f>
        <v/>
      </c>
      <c r="I2446" s="9" t="str">
        <f>IF(B2446="","",股指期货基差分析!$D$11)</f>
        <v/>
      </c>
    </row>
    <row r="2447" spans="2:9" ht="15" customHeight="1" x14ac:dyDescent="0.2">
      <c r="B2447" s="8"/>
      <c r="C2447" s="6" t="str">
        <f>IF(B2447="","",[1]!s_dq_close(股指期货基差分析!$E$5,$B2447))</f>
        <v/>
      </c>
      <c r="D2447" s="6" t="str">
        <f>IF(B2447="","",[1]!s_dq_close(股指期货基差分析!$E$6,$B2447))</f>
        <v/>
      </c>
      <c r="E2447" s="6" t="e">
        <f ca="1">RANK(F2447,F:F)+COUNTIF(F$2:F2447,F2447)-1</f>
        <v>#VALUE!</v>
      </c>
      <c r="F2447" s="6" t="str">
        <f t="shared" si="39"/>
        <v/>
      </c>
      <c r="G2447" s="6" t="str">
        <f>IF(B2447="","",股指期货基差分析!$N$11)</f>
        <v/>
      </c>
      <c r="H2447" s="6" t="str">
        <f>IF(B2447="","",股指期货基差分析!$L$11)</f>
        <v/>
      </c>
      <c r="I2447" s="10" t="str">
        <f>IF(B2447="","",股指期货基差分析!$D$11)</f>
        <v/>
      </c>
    </row>
    <row r="2448" spans="2:9" ht="15" customHeight="1" x14ac:dyDescent="0.2">
      <c r="B2448" s="7"/>
      <c r="C2448" s="5" t="str">
        <f>IF(B2448="","",[1]!s_dq_close(股指期货基差分析!$E$5,$B2448))</f>
        <v/>
      </c>
      <c r="D2448" s="5" t="str">
        <f>IF(B2448="","",[1]!s_dq_close(股指期货基差分析!$E$6,$B2448))</f>
        <v/>
      </c>
      <c r="E2448" s="5" t="e">
        <f ca="1">RANK(F2448,F:F)+COUNTIF(F$2:F2448,F2448)-1</f>
        <v>#VALUE!</v>
      </c>
      <c r="F2448" s="5" t="str">
        <f t="shared" si="39"/>
        <v/>
      </c>
      <c r="G2448" s="5" t="str">
        <f>IF(B2448="","",股指期货基差分析!$N$11)</f>
        <v/>
      </c>
      <c r="H2448" s="5" t="str">
        <f>IF(B2448="","",股指期货基差分析!$L$11)</f>
        <v/>
      </c>
      <c r="I2448" s="9" t="str">
        <f>IF(B2448="","",股指期货基差分析!$D$11)</f>
        <v/>
      </c>
    </row>
    <row r="2449" spans="2:9" ht="15" customHeight="1" x14ac:dyDescent="0.2">
      <c r="B2449" s="8"/>
      <c r="C2449" s="6" t="str">
        <f>IF(B2449="","",[1]!s_dq_close(股指期货基差分析!$E$5,$B2449))</f>
        <v/>
      </c>
      <c r="D2449" s="6" t="str">
        <f>IF(B2449="","",[1]!s_dq_close(股指期货基差分析!$E$6,$B2449))</f>
        <v/>
      </c>
      <c r="E2449" s="6" t="e">
        <f ca="1">RANK(F2449,F:F)+COUNTIF(F$2:F2449,F2449)-1</f>
        <v>#VALUE!</v>
      </c>
      <c r="F2449" s="6" t="str">
        <f t="shared" si="39"/>
        <v/>
      </c>
      <c r="G2449" s="6" t="str">
        <f>IF(B2449="","",股指期货基差分析!$N$11)</f>
        <v/>
      </c>
      <c r="H2449" s="6" t="str">
        <f>IF(B2449="","",股指期货基差分析!$L$11)</f>
        <v/>
      </c>
      <c r="I2449" s="10" t="str">
        <f>IF(B2449="","",股指期货基差分析!$D$11)</f>
        <v/>
      </c>
    </row>
    <row r="2450" spans="2:9" ht="15" customHeight="1" x14ac:dyDescent="0.2">
      <c r="B2450" s="7"/>
      <c r="C2450" s="5" t="str">
        <f>IF(B2450="","",[1]!s_dq_close(股指期货基差分析!$E$5,$B2450))</f>
        <v/>
      </c>
      <c r="D2450" s="5" t="str">
        <f>IF(B2450="","",[1]!s_dq_close(股指期货基差分析!$E$6,$B2450))</f>
        <v/>
      </c>
      <c r="E2450" s="5" t="e">
        <f ca="1">RANK(F2450,F:F)+COUNTIF(F$2:F2450,F2450)-1</f>
        <v>#VALUE!</v>
      </c>
      <c r="F2450" s="5" t="str">
        <f t="shared" si="39"/>
        <v/>
      </c>
      <c r="G2450" s="5" t="str">
        <f>IF(B2450="","",股指期货基差分析!$N$11)</f>
        <v/>
      </c>
      <c r="H2450" s="5" t="str">
        <f>IF(B2450="","",股指期货基差分析!$L$11)</f>
        <v/>
      </c>
      <c r="I2450" s="9" t="str">
        <f>IF(B2450="","",股指期货基差分析!$D$11)</f>
        <v/>
      </c>
    </row>
    <row r="2451" spans="2:9" ht="15" customHeight="1" x14ac:dyDescent="0.2">
      <c r="B2451" s="8"/>
      <c r="C2451" s="6" t="str">
        <f>IF(B2451="","",[1]!s_dq_close(股指期货基差分析!$E$5,$B2451))</f>
        <v/>
      </c>
      <c r="D2451" s="6" t="str">
        <f>IF(B2451="","",[1]!s_dq_close(股指期货基差分析!$E$6,$B2451))</f>
        <v/>
      </c>
      <c r="E2451" s="6" t="e">
        <f ca="1">RANK(F2451,F:F)+COUNTIF(F$2:F2451,F2451)-1</f>
        <v>#VALUE!</v>
      </c>
      <c r="F2451" s="6" t="str">
        <f t="shared" si="39"/>
        <v/>
      </c>
      <c r="G2451" s="6" t="str">
        <f>IF(B2451="","",股指期货基差分析!$N$11)</f>
        <v/>
      </c>
      <c r="H2451" s="6" t="str">
        <f>IF(B2451="","",股指期货基差分析!$L$11)</f>
        <v/>
      </c>
      <c r="I2451" s="10" t="str">
        <f>IF(B2451="","",股指期货基差分析!$D$11)</f>
        <v/>
      </c>
    </row>
    <row r="2452" spans="2:9" ht="15" customHeight="1" x14ac:dyDescent="0.2">
      <c r="B2452" s="7"/>
      <c r="C2452" s="5" t="str">
        <f>IF(B2452="","",[1]!s_dq_close(股指期货基差分析!$E$5,$B2452))</f>
        <v/>
      </c>
      <c r="D2452" s="5" t="str">
        <f>IF(B2452="","",[1]!s_dq_close(股指期货基差分析!$E$6,$B2452))</f>
        <v/>
      </c>
      <c r="E2452" s="5" t="e">
        <f ca="1">RANK(F2452,F:F)+COUNTIF(F$2:F2452,F2452)-1</f>
        <v>#VALUE!</v>
      </c>
      <c r="F2452" s="5" t="str">
        <f t="shared" si="39"/>
        <v/>
      </c>
      <c r="G2452" s="5" t="str">
        <f>IF(B2452="","",股指期货基差分析!$N$11)</f>
        <v/>
      </c>
      <c r="H2452" s="5" t="str">
        <f>IF(B2452="","",股指期货基差分析!$L$11)</f>
        <v/>
      </c>
      <c r="I2452" s="9" t="str">
        <f>IF(B2452="","",股指期货基差分析!$D$11)</f>
        <v/>
      </c>
    </row>
    <row r="2453" spans="2:9" ht="15" customHeight="1" x14ac:dyDescent="0.2">
      <c r="B2453" s="8"/>
      <c r="C2453" s="6" t="str">
        <f>IF(B2453="","",[1]!s_dq_close(股指期货基差分析!$E$5,$B2453))</f>
        <v/>
      </c>
      <c r="D2453" s="6" t="str">
        <f>IF(B2453="","",[1]!s_dq_close(股指期货基差分析!$E$6,$B2453))</f>
        <v/>
      </c>
      <c r="E2453" s="6" t="e">
        <f ca="1">RANK(F2453,F:F)+COUNTIF(F$2:F2453,F2453)-1</f>
        <v>#VALUE!</v>
      </c>
      <c r="F2453" s="6" t="str">
        <f t="shared" si="39"/>
        <v/>
      </c>
      <c r="G2453" s="6" t="str">
        <f>IF(B2453="","",股指期货基差分析!$N$11)</f>
        <v/>
      </c>
      <c r="H2453" s="6" t="str">
        <f>IF(B2453="","",股指期货基差分析!$L$11)</f>
        <v/>
      </c>
      <c r="I2453" s="10" t="str">
        <f>IF(B2453="","",股指期货基差分析!$D$11)</f>
        <v/>
      </c>
    </row>
    <row r="2454" spans="2:9" ht="15" customHeight="1" x14ac:dyDescent="0.2">
      <c r="B2454" s="7"/>
      <c r="C2454" s="5" t="str">
        <f>IF(B2454="","",[1]!s_dq_close(股指期货基差分析!$E$5,$B2454))</f>
        <v/>
      </c>
      <c r="D2454" s="5" t="str">
        <f>IF(B2454="","",[1]!s_dq_close(股指期货基差分析!$E$6,$B2454))</f>
        <v/>
      </c>
      <c r="E2454" s="5" t="e">
        <f ca="1">RANK(F2454,F:F)+COUNTIF(F$2:F2454,F2454)-1</f>
        <v>#VALUE!</v>
      </c>
      <c r="F2454" s="5" t="str">
        <f t="shared" si="39"/>
        <v/>
      </c>
      <c r="G2454" s="5" t="str">
        <f>IF(B2454="","",股指期货基差分析!$N$11)</f>
        <v/>
      </c>
      <c r="H2454" s="5" t="str">
        <f>IF(B2454="","",股指期货基差分析!$L$11)</f>
        <v/>
      </c>
      <c r="I2454" s="9" t="str">
        <f>IF(B2454="","",股指期货基差分析!$D$11)</f>
        <v/>
      </c>
    </row>
    <row r="2455" spans="2:9" ht="15" customHeight="1" x14ac:dyDescent="0.2">
      <c r="B2455" s="8"/>
      <c r="C2455" s="6" t="str">
        <f>IF(B2455="","",[1]!s_dq_close(股指期货基差分析!$E$5,$B2455))</f>
        <v/>
      </c>
      <c r="D2455" s="6" t="str">
        <f>IF(B2455="","",[1]!s_dq_close(股指期货基差分析!$E$6,$B2455))</f>
        <v/>
      </c>
      <c r="E2455" s="6" t="e">
        <f ca="1">RANK(F2455,F:F)+COUNTIF(F$2:F2455,F2455)-1</f>
        <v>#VALUE!</v>
      </c>
      <c r="F2455" s="6" t="str">
        <f t="shared" si="39"/>
        <v/>
      </c>
      <c r="G2455" s="6" t="str">
        <f>IF(B2455="","",股指期货基差分析!$N$11)</f>
        <v/>
      </c>
      <c r="H2455" s="6" t="str">
        <f>IF(B2455="","",股指期货基差分析!$L$11)</f>
        <v/>
      </c>
      <c r="I2455" s="10" t="str">
        <f>IF(B2455="","",股指期货基差分析!$D$11)</f>
        <v/>
      </c>
    </row>
    <row r="2456" spans="2:9" ht="15" customHeight="1" x14ac:dyDescent="0.2">
      <c r="B2456" s="7"/>
      <c r="C2456" s="5" t="str">
        <f>IF(B2456="","",[1]!s_dq_close(股指期货基差分析!$E$5,$B2456))</f>
        <v/>
      </c>
      <c r="D2456" s="5" t="str">
        <f>IF(B2456="","",[1]!s_dq_close(股指期货基差分析!$E$6,$B2456))</f>
        <v/>
      </c>
      <c r="E2456" s="5" t="e">
        <f ca="1">RANK(F2456,F:F)+COUNTIF(F$2:F2456,F2456)-1</f>
        <v>#VALUE!</v>
      </c>
      <c r="F2456" s="5" t="str">
        <f t="shared" si="39"/>
        <v/>
      </c>
      <c r="G2456" s="5" t="str">
        <f>IF(B2456="","",股指期货基差分析!$N$11)</f>
        <v/>
      </c>
      <c r="H2456" s="5" t="str">
        <f>IF(B2456="","",股指期货基差分析!$L$11)</f>
        <v/>
      </c>
      <c r="I2456" s="9" t="str">
        <f>IF(B2456="","",股指期货基差分析!$D$11)</f>
        <v/>
      </c>
    </row>
    <row r="2457" spans="2:9" ht="15" customHeight="1" x14ac:dyDescent="0.2">
      <c r="B2457" s="8"/>
      <c r="C2457" s="6" t="str">
        <f>IF(B2457="","",[1]!s_dq_close(股指期货基差分析!$E$5,$B2457))</f>
        <v/>
      </c>
      <c r="D2457" s="6" t="str">
        <f>IF(B2457="","",[1]!s_dq_close(股指期货基差分析!$E$6,$B2457))</f>
        <v/>
      </c>
      <c r="E2457" s="6" t="e">
        <f ca="1">RANK(F2457,F:F)+COUNTIF(F$2:F2457,F2457)-1</f>
        <v>#VALUE!</v>
      </c>
      <c r="F2457" s="6" t="str">
        <f t="shared" si="39"/>
        <v/>
      </c>
      <c r="G2457" s="6" t="str">
        <f>IF(B2457="","",股指期货基差分析!$N$11)</f>
        <v/>
      </c>
      <c r="H2457" s="6" t="str">
        <f>IF(B2457="","",股指期货基差分析!$L$11)</f>
        <v/>
      </c>
      <c r="I2457" s="10" t="str">
        <f>IF(B2457="","",股指期货基差分析!$D$11)</f>
        <v/>
      </c>
    </row>
    <row r="2458" spans="2:9" ht="15" customHeight="1" x14ac:dyDescent="0.2">
      <c r="B2458" s="7"/>
      <c r="C2458" s="5" t="str">
        <f>IF(B2458="","",[1]!s_dq_close(股指期货基差分析!$E$5,$B2458))</f>
        <v/>
      </c>
      <c r="D2458" s="5" t="str">
        <f>IF(B2458="","",[1]!s_dq_close(股指期货基差分析!$E$6,$B2458))</f>
        <v/>
      </c>
      <c r="E2458" s="5" t="e">
        <f ca="1">RANK(F2458,F:F)+COUNTIF(F$2:F2458,F2458)-1</f>
        <v>#VALUE!</v>
      </c>
      <c r="F2458" s="5" t="str">
        <f t="shared" si="39"/>
        <v/>
      </c>
      <c r="G2458" s="5" t="str">
        <f>IF(B2458="","",股指期货基差分析!$N$11)</f>
        <v/>
      </c>
      <c r="H2458" s="5" t="str">
        <f>IF(B2458="","",股指期货基差分析!$L$11)</f>
        <v/>
      </c>
      <c r="I2458" s="9" t="str">
        <f>IF(B2458="","",股指期货基差分析!$D$11)</f>
        <v/>
      </c>
    </row>
    <row r="2459" spans="2:9" ht="15" customHeight="1" x14ac:dyDescent="0.2">
      <c r="B2459" s="8"/>
      <c r="C2459" s="6" t="str">
        <f>IF(B2459="","",[1]!s_dq_close(股指期货基差分析!$E$5,$B2459))</f>
        <v/>
      </c>
      <c r="D2459" s="6" t="str">
        <f>IF(B2459="","",[1]!s_dq_close(股指期货基差分析!$E$6,$B2459))</f>
        <v/>
      </c>
      <c r="E2459" s="6" t="e">
        <f ca="1">RANK(F2459,F:F)+COUNTIF(F$2:F2459,F2459)-1</f>
        <v>#VALUE!</v>
      </c>
      <c r="F2459" s="6" t="str">
        <f t="shared" si="39"/>
        <v/>
      </c>
      <c r="G2459" s="6" t="str">
        <f>IF(B2459="","",股指期货基差分析!$N$11)</f>
        <v/>
      </c>
      <c r="H2459" s="6" t="str">
        <f>IF(B2459="","",股指期货基差分析!$L$11)</f>
        <v/>
      </c>
      <c r="I2459" s="10" t="str">
        <f>IF(B2459="","",股指期货基差分析!$D$11)</f>
        <v/>
      </c>
    </row>
    <row r="2460" spans="2:9" ht="15" customHeight="1" x14ac:dyDescent="0.2">
      <c r="B2460" s="7"/>
      <c r="C2460" s="5" t="str">
        <f>IF(B2460="","",[1]!s_dq_close(股指期货基差分析!$E$5,$B2460))</f>
        <v/>
      </c>
      <c r="D2460" s="5" t="str">
        <f>IF(B2460="","",[1]!s_dq_close(股指期货基差分析!$E$6,$B2460))</f>
        <v/>
      </c>
      <c r="E2460" s="5" t="e">
        <f ca="1">RANK(F2460,F:F)+COUNTIF(F$2:F2460,F2460)-1</f>
        <v>#VALUE!</v>
      </c>
      <c r="F2460" s="5" t="str">
        <f t="shared" si="39"/>
        <v/>
      </c>
      <c r="G2460" s="5" t="str">
        <f>IF(B2460="","",股指期货基差分析!$N$11)</f>
        <v/>
      </c>
      <c r="H2460" s="5" t="str">
        <f>IF(B2460="","",股指期货基差分析!$L$11)</f>
        <v/>
      </c>
      <c r="I2460" s="9" t="str">
        <f>IF(B2460="","",股指期货基差分析!$D$11)</f>
        <v/>
      </c>
    </row>
    <row r="2461" spans="2:9" ht="15" customHeight="1" x14ac:dyDescent="0.2">
      <c r="B2461" s="8"/>
      <c r="C2461" s="6" t="str">
        <f>IF(B2461="","",[1]!s_dq_close(股指期货基差分析!$E$5,$B2461))</f>
        <v/>
      </c>
      <c r="D2461" s="6" t="str">
        <f>IF(B2461="","",[1]!s_dq_close(股指期货基差分析!$E$6,$B2461))</f>
        <v/>
      </c>
      <c r="E2461" s="6" t="e">
        <f ca="1">RANK(F2461,F:F)+COUNTIF(F$2:F2461,F2461)-1</f>
        <v>#VALUE!</v>
      </c>
      <c r="F2461" s="6" t="str">
        <f t="shared" si="39"/>
        <v/>
      </c>
      <c r="G2461" s="6" t="str">
        <f>IF(B2461="","",股指期货基差分析!$N$11)</f>
        <v/>
      </c>
      <c r="H2461" s="6" t="str">
        <f>IF(B2461="","",股指期货基差分析!$L$11)</f>
        <v/>
      </c>
      <c r="I2461" s="10" t="str">
        <f>IF(B2461="","",股指期货基差分析!$D$11)</f>
        <v/>
      </c>
    </row>
    <row r="2462" spans="2:9" ht="15" customHeight="1" x14ac:dyDescent="0.2">
      <c r="B2462" s="7"/>
      <c r="C2462" s="5" t="str">
        <f>IF(B2462="","",[1]!s_dq_close(股指期货基差分析!$E$5,$B2462))</f>
        <v/>
      </c>
      <c r="D2462" s="5" t="str">
        <f>IF(B2462="","",[1]!s_dq_close(股指期货基差分析!$E$6,$B2462))</f>
        <v/>
      </c>
      <c r="E2462" s="5" t="e">
        <f ca="1">RANK(F2462,F:F)+COUNTIF(F$2:F2462,F2462)-1</f>
        <v>#VALUE!</v>
      </c>
      <c r="F2462" s="5" t="str">
        <f t="shared" si="39"/>
        <v/>
      </c>
      <c r="G2462" s="5" t="str">
        <f>IF(B2462="","",股指期货基差分析!$N$11)</f>
        <v/>
      </c>
      <c r="H2462" s="5" t="str">
        <f>IF(B2462="","",股指期货基差分析!$L$11)</f>
        <v/>
      </c>
      <c r="I2462" s="9" t="str">
        <f>IF(B2462="","",股指期货基差分析!$D$11)</f>
        <v/>
      </c>
    </row>
    <row r="2463" spans="2:9" ht="15" customHeight="1" x14ac:dyDescent="0.2">
      <c r="B2463" s="8"/>
      <c r="C2463" s="6" t="str">
        <f>IF(B2463="","",[1]!s_dq_close(股指期货基差分析!$E$5,$B2463))</f>
        <v/>
      </c>
      <c r="D2463" s="6" t="str">
        <f>IF(B2463="","",[1]!s_dq_close(股指期货基差分析!$E$6,$B2463))</f>
        <v/>
      </c>
      <c r="E2463" s="6" t="e">
        <f ca="1">RANK(F2463,F:F)+COUNTIF(F$2:F2463,F2463)-1</f>
        <v>#VALUE!</v>
      </c>
      <c r="F2463" s="6" t="str">
        <f t="shared" si="39"/>
        <v/>
      </c>
      <c r="G2463" s="6" t="str">
        <f>IF(B2463="","",股指期货基差分析!$N$11)</f>
        <v/>
      </c>
      <c r="H2463" s="6" t="str">
        <f>IF(B2463="","",股指期货基差分析!$L$11)</f>
        <v/>
      </c>
      <c r="I2463" s="10" t="str">
        <f>IF(B2463="","",股指期货基差分析!$D$11)</f>
        <v/>
      </c>
    </row>
    <row r="2464" spans="2:9" ht="15" customHeight="1" x14ac:dyDescent="0.2">
      <c r="B2464" s="7"/>
      <c r="C2464" s="5" t="str">
        <f>IF(B2464="","",[1]!s_dq_close(股指期货基差分析!$E$5,$B2464))</f>
        <v/>
      </c>
      <c r="D2464" s="5" t="str">
        <f>IF(B2464="","",[1]!s_dq_close(股指期货基差分析!$E$6,$B2464))</f>
        <v/>
      </c>
      <c r="E2464" s="5" t="e">
        <f ca="1">RANK(F2464,F:F)+COUNTIF(F$2:F2464,F2464)-1</f>
        <v>#VALUE!</v>
      </c>
      <c r="F2464" s="5" t="str">
        <f t="shared" si="39"/>
        <v/>
      </c>
      <c r="G2464" s="5" t="str">
        <f>IF(B2464="","",股指期货基差分析!$N$11)</f>
        <v/>
      </c>
      <c r="H2464" s="5" t="str">
        <f>IF(B2464="","",股指期货基差分析!$L$11)</f>
        <v/>
      </c>
      <c r="I2464" s="9" t="str">
        <f>IF(B2464="","",股指期货基差分析!$D$11)</f>
        <v/>
      </c>
    </row>
    <row r="2465" spans="2:9" ht="15" customHeight="1" x14ac:dyDescent="0.2">
      <c r="B2465" s="8"/>
      <c r="C2465" s="6" t="str">
        <f>IF(B2465="","",[1]!s_dq_close(股指期货基差分析!$E$5,$B2465))</f>
        <v/>
      </c>
      <c r="D2465" s="6" t="str">
        <f>IF(B2465="","",[1]!s_dq_close(股指期货基差分析!$E$6,$B2465))</f>
        <v/>
      </c>
      <c r="E2465" s="6" t="e">
        <f ca="1">RANK(F2465,F:F)+COUNTIF(F$2:F2465,F2465)-1</f>
        <v>#VALUE!</v>
      </c>
      <c r="F2465" s="6" t="str">
        <f t="shared" si="39"/>
        <v/>
      </c>
      <c r="G2465" s="6" t="str">
        <f>IF(B2465="","",股指期货基差分析!$N$11)</f>
        <v/>
      </c>
      <c r="H2465" s="6" t="str">
        <f>IF(B2465="","",股指期货基差分析!$L$11)</f>
        <v/>
      </c>
      <c r="I2465" s="10" t="str">
        <f>IF(B2465="","",股指期货基差分析!$D$11)</f>
        <v/>
      </c>
    </row>
    <row r="2466" spans="2:9" ht="15" customHeight="1" x14ac:dyDescent="0.2">
      <c r="B2466" s="7"/>
      <c r="C2466" s="5" t="str">
        <f>IF(B2466="","",[1]!s_dq_close(股指期货基差分析!$E$5,$B2466))</f>
        <v/>
      </c>
      <c r="D2466" s="5" t="str">
        <f>IF(B2466="","",[1]!s_dq_close(股指期货基差分析!$E$6,$B2466))</f>
        <v/>
      </c>
      <c r="E2466" s="5" t="e">
        <f ca="1">RANK(F2466,F:F)+COUNTIF(F$2:F2466,F2466)-1</f>
        <v>#VALUE!</v>
      </c>
      <c r="F2466" s="5" t="str">
        <f t="shared" si="39"/>
        <v/>
      </c>
      <c r="G2466" s="5" t="str">
        <f>IF(B2466="","",股指期货基差分析!$N$11)</f>
        <v/>
      </c>
      <c r="H2466" s="5" t="str">
        <f>IF(B2466="","",股指期货基差分析!$L$11)</f>
        <v/>
      </c>
      <c r="I2466" s="9" t="str">
        <f>IF(B2466="","",股指期货基差分析!$D$11)</f>
        <v/>
      </c>
    </row>
    <row r="2467" spans="2:9" ht="15" customHeight="1" x14ac:dyDescent="0.2">
      <c r="B2467" s="8"/>
      <c r="C2467" s="6" t="str">
        <f>IF(B2467="","",[1]!s_dq_close(股指期货基差分析!$E$5,$B2467))</f>
        <v/>
      </c>
      <c r="D2467" s="6" t="str">
        <f>IF(B2467="","",[1]!s_dq_close(股指期货基差分析!$E$6,$B2467))</f>
        <v/>
      </c>
      <c r="E2467" s="6" t="e">
        <f ca="1">RANK(F2467,F:F)+COUNTIF(F$2:F2467,F2467)-1</f>
        <v>#VALUE!</v>
      </c>
      <c r="F2467" s="6" t="str">
        <f t="shared" si="39"/>
        <v/>
      </c>
      <c r="G2467" s="6" t="str">
        <f>IF(B2467="","",股指期货基差分析!$N$11)</f>
        <v/>
      </c>
      <c r="H2467" s="6" t="str">
        <f>IF(B2467="","",股指期货基差分析!$L$11)</f>
        <v/>
      </c>
      <c r="I2467" s="10" t="str">
        <f>IF(B2467="","",股指期货基差分析!$D$11)</f>
        <v/>
      </c>
    </row>
    <row r="2468" spans="2:9" ht="15" customHeight="1" x14ac:dyDescent="0.2">
      <c r="B2468" s="7"/>
      <c r="C2468" s="5" t="str">
        <f>IF(B2468="","",[1]!s_dq_close(股指期货基差分析!$E$5,$B2468))</f>
        <v/>
      </c>
      <c r="D2468" s="5" t="str">
        <f>IF(B2468="","",[1]!s_dq_close(股指期货基差分析!$E$6,$B2468))</f>
        <v/>
      </c>
      <c r="E2468" s="5" t="e">
        <f ca="1">RANK(F2468,F:F)+COUNTIF(F$2:F2468,F2468)-1</f>
        <v>#VALUE!</v>
      </c>
      <c r="F2468" s="5" t="str">
        <f t="shared" si="39"/>
        <v/>
      </c>
      <c r="G2468" s="5" t="str">
        <f>IF(B2468="","",股指期货基差分析!$N$11)</f>
        <v/>
      </c>
      <c r="H2468" s="5" t="str">
        <f>IF(B2468="","",股指期货基差分析!$L$11)</f>
        <v/>
      </c>
      <c r="I2468" s="9" t="str">
        <f>IF(B2468="","",股指期货基差分析!$D$11)</f>
        <v/>
      </c>
    </row>
    <row r="2469" spans="2:9" ht="15" customHeight="1" x14ac:dyDescent="0.2">
      <c r="B2469" s="8"/>
      <c r="C2469" s="6" t="str">
        <f>IF(B2469="","",[1]!s_dq_close(股指期货基差分析!$E$5,$B2469))</f>
        <v/>
      </c>
      <c r="D2469" s="6" t="str">
        <f>IF(B2469="","",[1]!s_dq_close(股指期货基差分析!$E$6,$B2469))</f>
        <v/>
      </c>
      <c r="E2469" s="6" t="e">
        <f ca="1">RANK(F2469,F:F)+COUNTIF(F$2:F2469,F2469)-1</f>
        <v>#VALUE!</v>
      </c>
      <c r="F2469" s="6" t="str">
        <f t="shared" si="39"/>
        <v/>
      </c>
      <c r="G2469" s="6" t="str">
        <f>IF(B2469="","",股指期货基差分析!$N$11)</f>
        <v/>
      </c>
      <c r="H2469" s="6" t="str">
        <f>IF(B2469="","",股指期货基差分析!$L$11)</f>
        <v/>
      </c>
      <c r="I2469" s="10" t="str">
        <f>IF(B2469="","",股指期货基差分析!$D$11)</f>
        <v/>
      </c>
    </row>
    <row r="2470" spans="2:9" ht="15" customHeight="1" x14ac:dyDescent="0.2">
      <c r="B2470" s="7"/>
      <c r="C2470" s="5" t="str">
        <f>IF(B2470="","",[1]!s_dq_close(股指期货基差分析!$E$5,$B2470))</f>
        <v/>
      </c>
      <c r="D2470" s="5" t="str">
        <f>IF(B2470="","",[1]!s_dq_close(股指期货基差分析!$E$6,$B2470))</f>
        <v/>
      </c>
      <c r="E2470" s="5" t="e">
        <f ca="1">RANK(F2470,F:F)+COUNTIF(F$2:F2470,F2470)-1</f>
        <v>#VALUE!</v>
      </c>
      <c r="F2470" s="5" t="str">
        <f t="shared" si="39"/>
        <v/>
      </c>
      <c r="G2470" s="5" t="str">
        <f>IF(B2470="","",股指期货基差分析!$N$11)</f>
        <v/>
      </c>
      <c r="H2470" s="5" t="str">
        <f>IF(B2470="","",股指期货基差分析!$L$11)</f>
        <v/>
      </c>
      <c r="I2470" s="9" t="str">
        <f>IF(B2470="","",股指期货基差分析!$D$11)</f>
        <v/>
      </c>
    </row>
    <row r="2471" spans="2:9" ht="15" customHeight="1" x14ac:dyDescent="0.2">
      <c r="B2471" s="8"/>
      <c r="C2471" s="6" t="str">
        <f>IF(B2471="","",[1]!s_dq_close(股指期货基差分析!$E$5,$B2471))</f>
        <v/>
      </c>
      <c r="D2471" s="6" t="str">
        <f>IF(B2471="","",[1]!s_dq_close(股指期货基差分析!$E$6,$B2471))</f>
        <v/>
      </c>
      <c r="E2471" s="6" t="e">
        <f ca="1">RANK(F2471,F:F)+COUNTIF(F$2:F2471,F2471)-1</f>
        <v>#VALUE!</v>
      </c>
      <c r="F2471" s="6" t="str">
        <f t="shared" si="39"/>
        <v/>
      </c>
      <c r="G2471" s="6" t="str">
        <f>IF(B2471="","",股指期货基差分析!$N$11)</f>
        <v/>
      </c>
      <c r="H2471" s="6" t="str">
        <f>IF(B2471="","",股指期货基差分析!$L$11)</f>
        <v/>
      </c>
      <c r="I2471" s="10" t="str">
        <f>IF(B2471="","",股指期货基差分析!$D$11)</f>
        <v/>
      </c>
    </row>
    <row r="2472" spans="2:9" ht="15" customHeight="1" x14ac:dyDescent="0.2">
      <c r="B2472" s="7"/>
      <c r="C2472" s="5" t="str">
        <f>IF(B2472="","",[1]!s_dq_close(股指期货基差分析!$E$5,$B2472))</f>
        <v/>
      </c>
      <c r="D2472" s="5" t="str">
        <f>IF(B2472="","",[1]!s_dq_close(股指期货基差分析!$E$6,$B2472))</f>
        <v/>
      </c>
      <c r="E2472" s="5" t="e">
        <f ca="1">RANK(F2472,F:F)+COUNTIF(F$2:F2472,F2472)-1</f>
        <v>#VALUE!</v>
      </c>
      <c r="F2472" s="5" t="str">
        <f t="shared" si="39"/>
        <v/>
      </c>
      <c r="G2472" s="5" t="str">
        <f>IF(B2472="","",股指期货基差分析!$N$11)</f>
        <v/>
      </c>
      <c r="H2472" s="5" t="str">
        <f>IF(B2472="","",股指期货基差分析!$L$11)</f>
        <v/>
      </c>
      <c r="I2472" s="9" t="str">
        <f>IF(B2472="","",股指期货基差分析!$D$11)</f>
        <v/>
      </c>
    </row>
    <row r="2473" spans="2:9" ht="15" customHeight="1" x14ac:dyDescent="0.2">
      <c r="B2473" s="8"/>
      <c r="C2473" s="6" t="str">
        <f>IF(B2473="","",[1]!s_dq_close(股指期货基差分析!$E$5,$B2473))</f>
        <v/>
      </c>
      <c r="D2473" s="6" t="str">
        <f>IF(B2473="","",[1]!s_dq_close(股指期货基差分析!$E$6,$B2473))</f>
        <v/>
      </c>
      <c r="E2473" s="6" t="e">
        <f ca="1">RANK(F2473,F:F)+COUNTIF(F$2:F2473,F2473)-1</f>
        <v>#VALUE!</v>
      </c>
      <c r="F2473" s="6" t="str">
        <f t="shared" si="39"/>
        <v/>
      </c>
      <c r="G2473" s="6" t="str">
        <f>IF(B2473="","",股指期货基差分析!$N$11)</f>
        <v/>
      </c>
      <c r="H2473" s="6" t="str">
        <f>IF(B2473="","",股指期货基差分析!$L$11)</f>
        <v/>
      </c>
      <c r="I2473" s="10" t="str">
        <f>IF(B2473="","",股指期货基差分析!$D$11)</f>
        <v/>
      </c>
    </row>
    <row r="2474" spans="2:9" ht="15" customHeight="1" x14ac:dyDescent="0.2">
      <c r="B2474" s="7"/>
      <c r="C2474" s="5" t="str">
        <f>IF(B2474="","",[1]!s_dq_close(股指期货基差分析!$E$5,$B2474))</f>
        <v/>
      </c>
      <c r="D2474" s="5" t="str">
        <f>IF(B2474="","",[1]!s_dq_close(股指期货基差分析!$E$6,$B2474))</f>
        <v/>
      </c>
      <c r="E2474" s="5" t="e">
        <f ca="1">RANK(F2474,F:F)+COUNTIF(F$2:F2474,F2474)-1</f>
        <v>#VALUE!</v>
      </c>
      <c r="F2474" s="5" t="str">
        <f t="shared" si="39"/>
        <v/>
      </c>
      <c r="G2474" s="5" t="str">
        <f>IF(B2474="","",股指期货基差分析!$N$11)</f>
        <v/>
      </c>
      <c r="H2474" s="5" t="str">
        <f>IF(B2474="","",股指期货基差分析!$L$11)</f>
        <v/>
      </c>
      <c r="I2474" s="9" t="str">
        <f>IF(B2474="","",股指期货基差分析!$D$11)</f>
        <v/>
      </c>
    </row>
    <row r="2475" spans="2:9" ht="15" customHeight="1" x14ac:dyDescent="0.2">
      <c r="B2475" s="8"/>
      <c r="C2475" s="6" t="str">
        <f>IF(B2475="","",[1]!s_dq_close(股指期货基差分析!$E$5,$B2475))</f>
        <v/>
      </c>
      <c r="D2475" s="6" t="str">
        <f>IF(B2475="","",[1]!s_dq_close(股指期货基差分析!$E$6,$B2475))</f>
        <v/>
      </c>
      <c r="E2475" s="6" t="e">
        <f ca="1">RANK(F2475,F:F)+COUNTIF(F$2:F2475,F2475)-1</f>
        <v>#VALUE!</v>
      </c>
      <c r="F2475" s="6" t="str">
        <f t="shared" si="39"/>
        <v/>
      </c>
      <c r="G2475" s="6" t="str">
        <f>IF(B2475="","",股指期货基差分析!$N$11)</f>
        <v/>
      </c>
      <c r="H2475" s="6" t="str">
        <f>IF(B2475="","",股指期货基差分析!$L$11)</f>
        <v/>
      </c>
      <c r="I2475" s="10" t="str">
        <f>IF(B2475="","",股指期货基差分析!$D$11)</f>
        <v/>
      </c>
    </row>
    <row r="2476" spans="2:9" ht="15" customHeight="1" x14ac:dyDescent="0.2">
      <c r="B2476" s="7"/>
      <c r="C2476" s="5" t="str">
        <f>IF(B2476="","",[1]!s_dq_close(股指期货基差分析!$E$5,$B2476))</f>
        <v/>
      </c>
      <c r="D2476" s="5" t="str">
        <f>IF(B2476="","",[1]!s_dq_close(股指期货基差分析!$E$6,$B2476))</f>
        <v/>
      </c>
      <c r="E2476" s="5" t="e">
        <f ca="1">RANK(F2476,F:F)+COUNTIF(F$2:F2476,F2476)-1</f>
        <v>#VALUE!</v>
      </c>
      <c r="F2476" s="5" t="str">
        <f t="shared" si="39"/>
        <v/>
      </c>
      <c r="G2476" s="5" t="str">
        <f>IF(B2476="","",股指期货基差分析!$N$11)</f>
        <v/>
      </c>
      <c r="H2476" s="5" t="str">
        <f>IF(B2476="","",股指期货基差分析!$L$11)</f>
        <v/>
      </c>
      <c r="I2476" s="9" t="str">
        <f>IF(B2476="","",股指期货基差分析!$D$11)</f>
        <v/>
      </c>
    </row>
    <row r="2477" spans="2:9" ht="15" customHeight="1" x14ac:dyDescent="0.2">
      <c r="B2477" s="8"/>
      <c r="C2477" s="6" t="str">
        <f>IF(B2477="","",[1]!s_dq_close(股指期货基差分析!$E$5,$B2477))</f>
        <v/>
      </c>
      <c r="D2477" s="6" t="str">
        <f>IF(B2477="","",[1]!s_dq_close(股指期货基差分析!$E$6,$B2477))</f>
        <v/>
      </c>
      <c r="E2477" s="6" t="e">
        <f ca="1">RANK(F2477,F:F)+COUNTIF(F$2:F2477,F2477)-1</f>
        <v>#VALUE!</v>
      </c>
      <c r="F2477" s="6" t="str">
        <f t="shared" si="39"/>
        <v/>
      </c>
      <c r="G2477" s="6" t="str">
        <f>IF(B2477="","",股指期货基差分析!$N$11)</f>
        <v/>
      </c>
      <c r="H2477" s="6" t="str">
        <f>IF(B2477="","",股指期货基差分析!$L$11)</f>
        <v/>
      </c>
      <c r="I2477" s="10" t="str">
        <f>IF(B2477="","",股指期货基差分析!$D$11)</f>
        <v/>
      </c>
    </row>
    <row r="2478" spans="2:9" ht="15" customHeight="1" x14ac:dyDescent="0.2">
      <c r="B2478" s="7"/>
      <c r="C2478" s="5" t="str">
        <f>IF(B2478="","",[1]!s_dq_close(股指期货基差分析!$E$5,$B2478))</f>
        <v/>
      </c>
      <c r="D2478" s="5" t="str">
        <f>IF(B2478="","",[1]!s_dq_close(股指期货基差分析!$E$6,$B2478))</f>
        <v/>
      </c>
      <c r="E2478" s="5" t="e">
        <f ca="1">RANK(F2478,F:F)+COUNTIF(F$2:F2478,F2478)-1</f>
        <v>#VALUE!</v>
      </c>
      <c r="F2478" s="5" t="str">
        <f t="shared" si="39"/>
        <v/>
      </c>
      <c r="G2478" s="5" t="str">
        <f>IF(B2478="","",股指期货基差分析!$N$11)</f>
        <v/>
      </c>
      <c r="H2478" s="5" t="str">
        <f>IF(B2478="","",股指期货基差分析!$L$11)</f>
        <v/>
      </c>
      <c r="I2478" s="9" t="str">
        <f>IF(B2478="","",股指期货基差分析!$D$11)</f>
        <v/>
      </c>
    </row>
    <row r="2479" spans="2:9" ht="15" customHeight="1" x14ac:dyDescent="0.2">
      <c r="B2479" s="8"/>
      <c r="C2479" s="6" t="str">
        <f>IF(B2479="","",[1]!s_dq_close(股指期货基差分析!$E$5,$B2479))</f>
        <v/>
      </c>
      <c r="D2479" s="6" t="str">
        <f>IF(B2479="","",[1]!s_dq_close(股指期货基差分析!$E$6,$B2479))</f>
        <v/>
      </c>
      <c r="E2479" s="6" t="e">
        <f ca="1">RANK(F2479,F:F)+COUNTIF(F$2:F2479,F2479)-1</f>
        <v>#VALUE!</v>
      </c>
      <c r="F2479" s="6" t="str">
        <f t="shared" si="39"/>
        <v/>
      </c>
      <c r="G2479" s="6" t="str">
        <f>IF(B2479="","",股指期货基差分析!$N$11)</f>
        <v/>
      </c>
      <c r="H2479" s="6" t="str">
        <f>IF(B2479="","",股指期货基差分析!$L$11)</f>
        <v/>
      </c>
      <c r="I2479" s="10" t="str">
        <f>IF(B2479="","",股指期货基差分析!$D$11)</f>
        <v/>
      </c>
    </row>
    <row r="2480" spans="2:9" ht="15" customHeight="1" x14ac:dyDescent="0.2">
      <c r="B2480" s="7"/>
      <c r="C2480" s="5" t="str">
        <f>IF(B2480="","",[1]!s_dq_close(股指期货基差分析!$E$5,$B2480))</f>
        <v/>
      </c>
      <c r="D2480" s="5" t="str">
        <f>IF(B2480="","",[1]!s_dq_close(股指期货基差分析!$E$6,$B2480))</f>
        <v/>
      </c>
      <c r="E2480" s="5" t="e">
        <f ca="1">RANK(F2480,F:F)+COUNTIF(F$2:F2480,F2480)-1</f>
        <v>#VALUE!</v>
      </c>
      <c r="F2480" s="5" t="str">
        <f t="shared" si="39"/>
        <v/>
      </c>
      <c r="G2480" s="5" t="str">
        <f>IF(B2480="","",股指期货基差分析!$N$11)</f>
        <v/>
      </c>
      <c r="H2480" s="5" t="str">
        <f>IF(B2480="","",股指期货基差分析!$L$11)</f>
        <v/>
      </c>
      <c r="I2480" s="9" t="str">
        <f>IF(B2480="","",股指期货基差分析!$D$11)</f>
        <v/>
      </c>
    </row>
    <row r="2481" spans="2:9" ht="15" customHeight="1" x14ac:dyDescent="0.2">
      <c r="B2481" s="8"/>
      <c r="C2481" s="6" t="str">
        <f>IF(B2481="","",[1]!s_dq_close(股指期货基差分析!$E$5,$B2481))</f>
        <v/>
      </c>
      <c r="D2481" s="6" t="str">
        <f>IF(B2481="","",[1]!s_dq_close(股指期货基差分析!$E$6,$B2481))</f>
        <v/>
      </c>
      <c r="E2481" s="6" t="e">
        <f ca="1">RANK(F2481,F:F)+COUNTIF(F$2:F2481,F2481)-1</f>
        <v>#VALUE!</v>
      </c>
      <c r="F2481" s="6" t="str">
        <f t="shared" si="39"/>
        <v/>
      </c>
      <c r="G2481" s="6" t="str">
        <f>IF(B2481="","",股指期货基差分析!$N$11)</f>
        <v/>
      </c>
      <c r="H2481" s="6" t="str">
        <f>IF(B2481="","",股指期货基差分析!$L$11)</f>
        <v/>
      </c>
      <c r="I2481" s="10" t="str">
        <f>IF(B2481="","",股指期货基差分析!$D$11)</f>
        <v/>
      </c>
    </row>
    <row r="2482" spans="2:9" ht="15" customHeight="1" x14ac:dyDescent="0.2">
      <c r="B2482" s="7"/>
      <c r="C2482" s="5" t="str">
        <f>IF(B2482="","",[1]!s_dq_close(股指期货基差分析!$E$5,$B2482))</f>
        <v/>
      </c>
      <c r="D2482" s="5" t="str">
        <f>IF(B2482="","",[1]!s_dq_close(股指期货基差分析!$E$6,$B2482))</f>
        <v/>
      </c>
      <c r="E2482" s="5" t="e">
        <f ca="1">RANK(F2482,F:F)+COUNTIF(F$2:F2482,F2482)-1</f>
        <v>#VALUE!</v>
      </c>
      <c r="F2482" s="5" t="str">
        <f t="shared" si="39"/>
        <v/>
      </c>
      <c r="G2482" s="5" t="str">
        <f>IF(B2482="","",股指期货基差分析!$N$11)</f>
        <v/>
      </c>
      <c r="H2482" s="5" t="str">
        <f>IF(B2482="","",股指期货基差分析!$L$11)</f>
        <v/>
      </c>
      <c r="I2482" s="9" t="str">
        <f>IF(B2482="","",股指期货基差分析!$D$11)</f>
        <v/>
      </c>
    </row>
    <row r="2483" spans="2:9" ht="15" customHeight="1" x14ac:dyDescent="0.2">
      <c r="B2483" s="8"/>
      <c r="C2483" s="6" t="str">
        <f>IF(B2483="","",[1]!s_dq_close(股指期货基差分析!$E$5,$B2483))</f>
        <v/>
      </c>
      <c r="D2483" s="6" t="str">
        <f>IF(B2483="","",[1]!s_dq_close(股指期货基差分析!$E$6,$B2483))</f>
        <v/>
      </c>
      <c r="E2483" s="6" t="e">
        <f ca="1">RANK(F2483,F:F)+COUNTIF(F$2:F2483,F2483)-1</f>
        <v>#VALUE!</v>
      </c>
      <c r="F2483" s="6" t="str">
        <f t="shared" si="39"/>
        <v/>
      </c>
      <c r="G2483" s="6" t="str">
        <f>IF(B2483="","",股指期货基差分析!$N$11)</f>
        <v/>
      </c>
      <c r="H2483" s="6" t="str">
        <f>IF(B2483="","",股指期货基差分析!$L$11)</f>
        <v/>
      </c>
      <c r="I2483" s="10" t="str">
        <f>IF(B2483="","",股指期货基差分析!$D$11)</f>
        <v/>
      </c>
    </row>
    <row r="2484" spans="2:9" ht="15" customHeight="1" x14ac:dyDescent="0.2">
      <c r="B2484" s="7"/>
      <c r="C2484" s="5" t="str">
        <f>IF(B2484="","",[1]!s_dq_close(股指期货基差分析!$E$5,$B2484))</f>
        <v/>
      </c>
      <c r="D2484" s="5" t="str">
        <f>IF(B2484="","",[1]!s_dq_close(股指期货基差分析!$E$6,$B2484))</f>
        <v/>
      </c>
      <c r="E2484" s="5" t="e">
        <f ca="1">RANK(F2484,F:F)+COUNTIF(F$2:F2484,F2484)-1</f>
        <v>#VALUE!</v>
      </c>
      <c r="F2484" s="5" t="str">
        <f t="shared" si="39"/>
        <v/>
      </c>
      <c r="G2484" s="5" t="str">
        <f>IF(B2484="","",股指期货基差分析!$N$11)</f>
        <v/>
      </c>
      <c r="H2484" s="5" t="str">
        <f>IF(B2484="","",股指期货基差分析!$L$11)</f>
        <v/>
      </c>
      <c r="I2484" s="9" t="str">
        <f>IF(B2484="","",股指期货基差分析!$D$11)</f>
        <v/>
      </c>
    </row>
    <row r="2485" spans="2:9" ht="15" customHeight="1" x14ac:dyDescent="0.2">
      <c r="B2485" s="8"/>
      <c r="C2485" s="6" t="str">
        <f>IF(B2485="","",[1]!s_dq_close(股指期货基差分析!$E$5,$B2485))</f>
        <v/>
      </c>
      <c r="D2485" s="6" t="str">
        <f>IF(B2485="","",[1]!s_dq_close(股指期货基差分析!$E$6,$B2485))</f>
        <v/>
      </c>
      <c r="E2485" s="6" t="e">
        <f ca="1">RANK(F2485,F:F)+COUNTIF(F$2:F2485,F2485)-1</f>
        <v>#VALUE!</v>
      </c>
      <c r="F2485" s="6" t="str">
        <f t="shared" si="39"/>
        <v/>
      </c>
      <c r="G2485" s="6" t="str">
        <f>IF(B2485="","",股指期货基差分析!$N$11)</f>
        <v/>
      </c>
      <c r="H2485" s="6" t="str">
        <f>IF(B2485="","",股指期货基差分析!$L$11)</f>
        <v/>
      </c>
      <c r="I2485" s="10" t="str">
        <f>IF(B2485="","",股指期货基差分析!$D$11)</f>
        <v/>
      </c>
    </row>
    <row r="2486" spans="2:9" ht="15" customHeight="1" x14ac:dyDescent="0.2">
      <c r="B2486" s="7"/>
      <c r="C2486" s="5" t="str">
        <f>IF(B2486="","",[1]!s_dq_close(股指期货基差分析!$E$5,$B2486))</f>
        <v/>
      </c>
      <c r="D2486" s="5" t="str">
        <f>IF(B2486="","",[1]!s_dq_close(股指期货基差分析!$E$6,$B2486))</f>
        <v/>
      </c>
      <c r="E2486" s="5" t="e">
        <f ca="1">RANK(F2486,F:F)+COUNTIF(F$2:F2486,F2486)-1</f>
        <v>#VALUE!</v>
      </c>
      <c r="F2486" s="5" t="str">
        <f t="shared" si="39"/>
        <v/>
      </c>
      <c r="G2486" s="5" t="str">
        <f>IF(B2486="","",股指期货基差分析!$N$11)</f>
        <v/>
      </c>
      <c r="H2486" s="5" t="str">
        <f>IF(B2486="","",股指期货基差分析!$L$11)</f>
        <v/>
      </c>
      <c r="I2486" s="9" t="str">
        <f>IF(B2486="","",股指期货基差分析!$D$11)</f>
        <v/>
      </c>
    </row>
    <row r="2487" spans="2:9" ht="15" customHeight="1" x14ac:dyDescent="0.2">
      <c r="B2487" s="8"/>
      <c r="C2487" s="6" t="str">
        <f>IF(B2487="","",[1]!s_dq_close(股指期货基差分析!$E$5,$B2487))</f>
        <v/>
      </c>
      <c r="D2487" s="6" t="str">
        <f>IF(B2487="","",[1]!s_dq_close(股指期货基差分析!$E$6,$B2487))</f>
        <v/>
      </c>
      <c r="E2487" s="6" t="e">
        <f ca="1">RANK(F2487,F:F)+COUNTIF(F$2:F2487,F2487)-1</f>
        <v>#VALUE!</v>
      </c>
      <c r="F2487" s="6" t="str">
        <f t="shared" si="39"/>
        <v/>
      </c>
      <c r="G2487" s="6" t="str">
        <f>IF(B2487="","",股指期货基差分析!$N$11)</f>
        <v/>
      </c>
      <c r="H2487" s="6" t="str">
        <f>IF(B2487="","",股指期货基差分析!$L$11)</f>
        <v/>
      </c>
      <c r="I2487" s="10" t="str">
        <f>IF(B2487="","",股指期货基差分析!$D$11)</f>
        <v/>
      </c>
    </row>
    <row r="2488" spans="2:9" ht="15" customHeight="1" x14ac:dyDescent="0.2">
      <c r="B2488" s="7"/>
      <c r="C2488" s="5" t="str">
        <f>IF(B2488="","",[1]!s_dq_close(股指期货基差分析!$E$5,$B2488))</f>
        <v/>
      </c>
      <c r="D2488" s="5" t="str">
        <f>IF(B2488="","",[1]!s_dq_close(股指期货基差分析!$E$6,$B2488))</f>
        <v/>
      </c>
      <c r="E2488" s="5" t="e">
        <f ca="1">RANK(F2488,F:F)+COUNTIF(F$2:F2488,F2488)-1</f>
        <v>#VALUE!</v>
      </c>
      <c r="F2488" s="5" t="str">
        <f t="shared" si="39"/>
        <v/>
      </c>
      <c r="G2488" s="5" t="str">
        <f>IF(B2488="","",股指期货基差分析!$N$11)</f>
        <v/>
      </c>
      <c r="H2488" s="5" t="str">
        <f>IF(B2488="","",股指期货基差分析!$L$11)</f>
        <v/>
      </c>
      <c r="I2488" s="9" t="str">
        <f>IF(B2488="","",股指期货基差分析!$D$11)</f>
        <v/>
      </c>
    </row>
    <row r="2489" spans="2:9" ht="15" customHeight="1" x14ac:dyDescent="0.2">
      <c r="B2489" s="8"/>
      <c r="C2489" s="6" t="str">
        <f>IF(B2489="","",[1]!s_dq_close(股指期货基差分析!$E$5,$B2489))</f>
        <v/>
      </c>
      <c r="D2489" s="6" t="str">
        <f>IF(B2489="","",[1]!s_dq_close(股指期货基差分析!$E$6,$B2489))</f>
        <v/>
      </c>
      <c r="E2489" s="6" t="e">
        <f ca="1">RANK(F2489,F:F)+COUNTIF(F$2:F2489,F2489)-1</f>
        <v>#VALUE!</v>
      </c>
      <c r="F2489" s="6" t="str">
        <f t="shared" si="39"/>
        <v/>
      </c>
      <c r="G2489" s="6" t="str">
        <f>IF(B2489="","",股指期货基差分析!$N$11)</f>
        <v/>
      </c>
      <c r="H2489" s="6" t="str">
        <f>IF(B2489="","",股指期货基差分析!$L$11)</f>
        <v/>
      </c>
      <c r="I2489" s="10" t="str">
        <f>IF(B2489="","",股指期货基差分析!$D$11)</f>
        <v/>
      </c>
    </row>
    <row r="2490" spans="2:9" ht="15" customHeight="1" x14ac:dyDescent="0.2">
      <c r="B2490" s="7"/>
      <c r="C2490" s="5" t="str">
        <f>IF(B2490="","",[1]!s_dq_close(股指期货基差分析!$E$5,$B2490))</f>
        <v/>
      </c>
      <c r="D2490" s="5" t="str">
        <f>IF(B2490="","",[1]!s_dq_close(股指期货基差分析!$E$6,$B2490))</f>
        <v/>
      </c>
      <c r="E2490" s="5" t="e">
        <f ca="1">RANK(F2490,F:F)+COUNTIF(F$2:F2490,F2490)-1</f>
        <v>#VALUE!</v>
      </c>
      <c r="F2490" s="5" t="str">
        <f t="shared" si="39"/>
        <v/>
      </c>
      <c r="G2490" s="5" t="str">
        <f>IF(B2490="","",股指期货基差分析!$N$11)</f>
        <v/>
      </c>
      <c r="H2490" s="5" t="str">
        <f>IF(B2490="","",股指期货基差分析!$L$11)</f>
        <v/>
      </c>
      <c r="I2490" s="9" t="str">
        <f>IF(B2490="","",股指期货基差分析!$D$11)</f>
        <v/>
      </c>
    </row>
    <row r="2491" spans="2:9" ht="15" customHeight="1" x14ac:dyDescent="0.2">
      <c r="B2491" s="8"/>
      <c r="C2491" s="6" t="str">
        <f>IF(B2491="","",[1]!s_dq_close(股指期货基差分析!$E$5,$B2491))</f>
        <v/>
      </c>
      <c r="D2491" s="6" t="str">
        <f>IF(B2491="","",[1]!s_dq_close(股指期货基差分析!$E$6,$B2491))</f>
        <v/>
      </c>
      <c r="E2491" s="6" t="e">
        <f ca="1">RANK(F2491,F:F)+COUNTIF(F$2:F2491,F2491)-1</f>
        <v>#VALUE!</v>
      </c>
      <c r="F2491" s="6" t="str">
        <f t="shared" si="39"/>
        <v/>
      </c>
      <c r="G2491" s="6" t="str">
        <f>IF(B2491="","",股指期货基差分析!$N$11)</f>
        <v/>
      </c>
      <c r="H2491" s="6" t="str">
        <f>IF(B2491="","",股指期货基差分析!$L$11)</f>
        <v/>
      </c>
      <c r="I2491" s="10" t="str">
        <f>IF(B2491="","",股指期货基差分析!$D$11)</f>
        <v/>
      </c>
    </row>
    <row r="2492" spans="2:9" ht="15" customHeight="1" x14ac:dyDescent="0.2">
      <c r="B2492" s="7"/>
      <c r="C2492" s="5" t="str">
        <f>IF(B2492="","",[1]!s_dq_close(股指期货基差分析!$E$5,$B2492))</f>
        <v/>
      </c>
      <c r="D2492" s="5" t="str">
        <f>IF(B2492="","",[1]!s_dq_close(股指期货基差分析!$E$6,$B2492))</f>
        <v/>
      </c>
      <c r="E2492" s="5" t="e">
        <f ca="1">RANK(F2492,F:F)+COUNTIF(F$2:F2492,F2492)-1</f>
        <v>#VALUE!</v>
      </c>
      <c r="F2492" s="5" t="str">
        <f t="shared" si="39"/>
        <v/>
      </c>
      <c r="G2492" s="5" t="str">
        <f>IF(B2492="","",股指期货基差分析!$N$11)</f>
        <v/>
      </c>
      <c r="H2492" s="5" t="str">
        <f>IF(B2492="","",股指期货基差分析!$L$11)</f>
        <v/>
      </c>
      <c r="I2492" s="9" t="str">
        <f>IF(B2492="","",股指期货基差分析!$D$11)</f>
        <v/>
      </c>
    </row>
    <row r="2493" spans="2:9" ht="15" customHeight="1" x14ac:dyDescent="0.2">
      <c r="B2493" s="8"/>
      <c r="C2493" s="6" t="str">
        <f>IF(B2493="","",[1]!s_dq_close(股指期货基差分析!$E$5,$B2493))</f>
        <v/>
      </c>
      <c r="D2493" s="6" t="str">
        <f>IF(B2493="","",[1]!s_dq_close(股指期货基差分析!$E$6,$B2493))</f>
        <v/>
      </c>
      <c r="E2493" s="6" t="e">
        <f ca="1">RANK(F2493,F:F)+COUNTIF(F$2:F2493,F2493)-1</f>
        <v>#VALUE!</v>
      </c>
      <c r="F2493" s="6" t="str">
        <f t="shared" si="39"/>
        <v/>
      </c>
      <c r="G2493" s="6" t="str">
        <f>IF(B2493="","",股指期货基差分析!$N$11)</f>
        <v/>
      </c>
      <c r="H2493" s="6" t="str">
        <f>IF(B2493="","",股指期货基差分析!$L$11)</f>
        <v/>
      </c>
      <c r="I2493" s="10" t="str">
        <f>IF(B2493="","",股指期货基差分析!$D$11)</f>
        <v/>
      </c>
    </row>
    <row r="2494" spans="2:9" ht="15" customHeight="1" x14ac:dyDescent="0.2">
      <c r="B2494" s="7"/>
      <c r="C2494" s="5" t="str">
        <f>IF(B2494="","",[1]!s_dq_close(股指期货基差分析!$E$5,$B2494))</f>
        <v/>
      </c>
      <c r="D2494" s="5" t="str">
        <f>IF(B2494="","",[1]!s_dq_close(股指期货基差分析!$E$6,$B2494))</f>
        <v/>
      </c>
      <c r="E2494" s="5" t="e">
        <f ca="1">RANK(F2494,F:F)+COUNTIF(F$2:F2494,F2494)-1</f>
        <v>#VALUE!</v>
      </c>
      <c r="F2494" s="5" t="str">
        <f t="shared" si="39"/>
        <v/>
      </c>
      <c r="G2494" s="5" t="str">
        <f>IF(B2494="","",股指期货基差分析!$N$11)</f>
        <v/>
      </c>
      <c r="H2494" s="5" t="str">
        <f>IF(B2494="","",股指期货基差分析!$L$11)</f>
        <v/>
      </c>
      <c r="I2494" s="9" t="str">
        <f>IF(B2494="","",股指期货基差分析!$D$11)</f>
        <v/>
      </c>
    </row>
    <row r="2495" spans="2:9" ht="15" customHeight="1" x14ac:dyDescent="0.2">
      <c r="B2495" s="8"/>
      <c r="C2495" s="6" t="str">
        <f>IF(B2495="","",[1]!s_dq_close(股指期货基差分析!$E$5,$B2495))</f>
        <v/>
      </c>
      <c r="D2495" s="6" t="str">
        <f>IF(B2495="","",[1]!s_dq_close(股指期货基差分析!$E$6,$B2495))</f>
        <v/>
      </c>
      <c r="E2495" s="6" t="e">
        <f ca="1">RANK(F2495,F:F)+COUNTIF(F$2:F2495,F2495)-1</f>
        <v>#VALUE!</v>
      </c>
      <c r="F2495" s="6" t="str">
        <f t="shared" si="39"/>
        <v/>
      </c>
      <c r="G2495" s="6" t="str">
        <f>IF(B2495="","",股指期货基差分析!$N$11)</f>
        <v/>
      </c>
      <c r="H2495" s="6" t="str">
        <f>IF(B2495="","",股指期货基差分析!$L$11)</f>
        <v/>
      </c>
      <c r="I2495" s="10" t="str">
        <f>IF(B2495="","",股指期货基差分析!$D$11)</f>
        <v/>
      </c>
    </row>
    <row r="2496" spans="2:9" ht="15" customHeight="1" x14ac:dyDescent="0.2">
      <c r="B2496" s="7"/>
      <c r="C2496" s="5" t="str">
        <f>IF(B2496="","",[1]!s_dq_close(股指期货基差分析!$E$5,$B2496))</f>
        <v/>
      </c>
      <c r="D2496" s="5" t="str">
        <f>IF(B2496="","",[1]!s_dq_close(股指期货基差分析!$E$6,$B2496))</f>
        <v/>
      </c>
      <c r="E2496" s="5" t="e">
        <f ca="1">RANK(F2496,F:F)+COUNTIF(F$2:F2496,F2496)-1</f>
        <v>#VALUE!</v>
      </c>
      <c r="F2496" s="5" t="str">
        <f t="shared" si="39"/>
        <v/>
      </c>
      <c r="G2496" s="5" t="str">
        <f>IF(B2496="","",股指期货基差分析!$N$11)</f>
        <v/>
      </c>
      <c r="H2496" s="5" t="str">
        <f>IF(B2496="","",股指期货基差分析!$L$11)</f>
        <v/>
      </c>
      <c r="I2496" s="9" t="str">
        <f>IF(B2496="","",股指期货基差分析!$D$11)</f>
        <v/>
      </c>
    </row>
    <row r="2497" spans="2:9" ht="15" customHeight="1" x14ac:dyDescent="0.2">
      <c r="B2497" s="8"/>
      <c r="C2497" s="6" t="str">
        <f>IF(B2497="","",[1]!s_dq_close(股指期货基差分析!$E$5,$B2497))</f>
        <v/>
      </c>
      <c r="D2497" s="6" t="str">
        <f>IF(B2497="","",[1]!s_dq_close(股指期货基差分析!$E$6,$B2497))</f>
        <v/>
      </c>
      <c r="E2497" s="6" t="e">
        <f ca="1">RANK(F2497,F:F)+COUNTIF(F$2:F2497,F2497)-1</f>
        <v>#VALUE!</v>
      </c>
      <c r="F2497" s="6" t="str">
        <f t="shared" si="39"/>
        <v/>
      </c>
      <c r="G2497" s="6" t="str">
        <f>IF(B2497="","",股指期货基差分析!$N$11)</f>
        <v/>
      </c>
      <c r="H2497" s="6" t="str">
        <f>IF(B2497="","",股指期货基差分析!$L$11)</f>
        <v/>
      </c>
      <c r="I2497" s="10" t="str">
        <f>IF(B2497="","",股指期货基差分析!$D$11)</f>
        <v/>
      </c>
    </row>
    <row r="2498" spans="2:9" ht="15" customHeight="1" x14ac:dyDescent="0.2">
      <c r="B2498" s="7"/>
      <c r="C2498" s="5" t="str">
        <f>IF(B2498="","",[1]!s_dq_close(股指期货基差分析!$E$5,$B2498))</f>
        <v/>
      </c>
      <c r="D2498" s="5" t="str">
        <f>IF(B2498="","",[1]!s_dq_close(股指期货基差分析!$E$6,$B2498))</f>
        <v/>
      </c>
      <c r="E2498" s="5" t="e">
        <f ca="1">RANK(F2498,F:F)+COUNTIF(F$2:F2498,F2498)-1</f>
        <v>#VALUE!</v>
      </c>
      <c r="F2498" s="5" t="str">
        <f t="shared" ref="F2498:F2561" si="40">IF(B2498="","",D2498-C2498)</f>
        <v/>
      </c>
      <c r="G2498" s="5" t="str">
        <f>IF(B2498="","",股指期货基差分析!$N$11)</f>
        <v/>
      </c>
      <c r="H2498" s="5" t="str">
        <f>IF(B2498="","",股指期货基差分析!$L$11)</f>
        <v/>
      </c>
      <c r="I2498" s="9" t="str">
        <f>IF(B2498="","",股指期货基差分析!$D$11)</f>
        <v/>
      </c>
    </row>
    <row r="2499" spans="2:9" ht="15" customHeight="1" x14ac:dyDescent="0.2">
      <c r="B2499" s="8"/>
      <c r="C2499" s="6" t="str">
        <f>IF(B2499="","",[1]!s_dq_close(股指期货基差分析!$E$5,$B2499))</f>
        <v/>
      </c>
      <c r="D2499" s="6" t="str">
        <f>IF(B2499="","",[1]!s_dq_close(股指期货基差分析!$E$6,$B2499))</f>
        <v/>
      </c>
      <c r="E2499" s="6" t="e">
        <f ca="1">RANK(F2499,F:F)+COUNTIF(F$2:F2499,F2499)-1</f>
        <v>#VALUE!</v>
      </c>
      <c r="F2499" s="6" t="str">
        <f t="shared" si="40"/>
        <v/>
      </c>
      <c r="G2499" s="6" t="str">
        <f>IF(B2499="","",股指期货基差分析!$N$11)</f>
        <v/>
      </c>
      <c r="H2499" s="6" t="str">
        <f>IF(B2499="","",股指期货基差分析!$L$11)</f>
        <v/>
      </c>
      <c r="I2499" s="10" t="str">
        <f>IF(B2499="","",股指期货基差分析!$D$11)</f>
        <v/>
      </c>
    </row>
    <row r="2500" spans="2:9" ht="15" customHeight="1" x14ac:dyDescent="0.2">
      <c r="B2500" s="7"/>
      <c r="C2500" s="5" t="str">
        <f>IF(B2500="","",[1]!s_dq_close(股指期货基差分析!$E$5,$B2500))</f>
        <v/>
      </c>
      <c r="D2500" s="5" t="str">
        <f>IF(B2500="","",[1]!s_dq_close(股指期货基差分析!$E$6,$B2500))</f>
        <v/>
      </c>
      <c r="E2500" s="5" t="e">
        <f ca="1">RANK(F2500,F:F)+COUNTIF(F$2:F2500,F2500)-1</f>
        <v>#VALUE!</v>
      </c>
      <c r="F2500" s="5" t="str">
        <f t="shared" si="40"/>
        <v/>
      </c>
      <c r="G2500" s="5" t="str">
        <f>IF(B2500="","",股指期货基差分析!$N$11)</f>
        <v/>
      </c>
      <c r="H2500" s="5" t="str">
        <f>IF(B2500="","",股指期货基差分析!$L$11)</f>
        <v/>
      </c>
      <c r="I2500" s="9" t="str">
        <f>IF(B2500="","",股指期货基差分析!$D$11)</f>
        <v/>
      </c>
    </row>
    <row r="2501" spans="2:9" ht="15" customHeight="1" x14ac:dyDescent="0.2">
      <c r="B2501" s="8"/>
      <c r="C2501" s="6" t="str">
        <f>IF(B2501="","",[1]!s_dq_close(股指期货基差分析!$E$5,$B2501))</f>
        <v/>
      </c>
      <c r="D2501" s="6" t="str">
        <f>IF(B2501="","",[1]!s_dq_close(股指期货基差分析!$E$6,$B2501))</f>
        <v/>
      </c>
      <c r="E2501" s="6" t="e">
        <f ca="1">RANK(F2501,F:F)+COUNTIF(F$2:F2501,F2501)-1</f>
        <v>#VALUE!</v>
      </c>
      <c r="F2501" s="6" t="str">
        <f t="shared" si="40"/>
        <v/>
      </c>
      <c r="G2501" s="6" t="str">
        <f>IF(B2501="","",股指期货基差分析!$N$11)</f>
        <v/>
      </c>
      <c r="H2501" s="6" t="str">
        <f>IF(B2501="","",股指期货基差分析!$L$11)</f>
        <v/>
      </c>
      <c r="I2501" s="10" t="str">
        <f>IF(B2501="","",股指期货基差分析!$D$11)</f>
        <v/>
      </c>
    </row>
    <row r="2502" spans="2:9" ht="15" customHeight="1" x14ac:dyDescent="0.2">
      <c r="B2502" s="7"/>
      <c r="C2502" s="5" t="str">
        <f>IF(B2502="","",[1]!s_dq_close(股指期货基差分析!$E$5,$B2502))</f>
        <v/>
      </c>
      <c r="D2502" s="5" t="str">
        <f>IF(B2502="","",[1]!s_dq_close(股指期货基差分析!$E$6,$B2502))</f>
        <v/>
      </c>
      <c r="E2502" s="5" t="e">
        <f ca="1">RANK(F2502,F:F)+COUNTIF(F$2:F2502,F2502)-1</f>
        <v>#VALUE!</v>
      </c>
      <c r="F2502" s="5" t="str">
        <f t="shared" si="40"/>
        <v/>
      </c>
      <c r="G2502" s="5" t="str">
        <f>IF(B2502="","",股指期货基差分析!$N$11)</f>
        <v/>
      </c>
      <c r="H2502" s="5" t="str">
        <f>IF(B2502="","",股指期货基差分析!$L$11)</f>
        <v/>
      </c>
      <c r="I2502" s="9" t="str">
        <f>IF(B2502="","",股指期货基差分析!$D$11)</f>
        <v/>
      </c>
    </row>
    <row r="2503" spans="2:9" ht="15" customHeight="1" x14ac:dyDescent="0.2">
      <c r="B2503" s="8"/>
      <c r="C2503" s="6" t="str">
        <f>IF(B2503="","",[1]!s_dq_close(股指期货基差分析!$E$5,$B2503))</f>
        <v/>
      </c>
      <c r="D2503" s="6" t="str">
        <f>IF(B2503="","",[1]!s_dq_close(股指期货基差分析!$E$6,$B2503))</f>
        <v/>
      </c>
      <c r="E2503" s="6" t="e">
        <f ca="1">RANK(F2503,F:F)+COUNTIF(F$2:F2503,F2503)-1</f>
        <v>#VALUE!</v>
      </c>
      <c r="F2503" s="6" t="str">
        <f t="shared" si="40"/>
        <v/>
      </c>
      <c r="G2503" s="6" t="str">
        <f>IF(B2503="","",股指期货基差分析!$N$11)</f>
        <v/>
      </c>
      <c r="H2503" s="6" t="str">
        <f>IF(B2503="","",股指期货基差分析!$L$11)</f>
        <v/>
      </c>
      <c r="I2503" s="10" t="str">
        <f>IF(B2503="","",股指期货基差分析!$D$11)</f>
        <v/>
      </c>
    </row>
    <row r="2504" spans="2:9" ht="15" customHeight="1" x14ac:dyDescent="0.2">
      <c r="B2504" s="7"/>
      <c r="C2504" s="5" t="str">
        <f>IF(B2504="","",[1]!s_dq_close(股指期货基差分析!$E$5,$B2504))</f>
        <v/>
      </c>
      <c r="D2504" s="5" t="str">
        <f>IF(B2504="","",[1]!s_dq_close(股指期货基差分析!$E$6,$B2504))</f>
        <v/>
      </c>
      <c r="E2504" s="5" t="e">
        <f ca="1">RANK(F2504,F:F)+COUNTIF(F$2:F2504,F2504)-1</f>
        <v>#VALUE!</v>
      </c>
      <c r="F2504" s="5" t="str">
        <f t="shared" si="40"/>
        <v/>
      </c>
      <c r="G2504" s="5" t="str">
        <f>IF(B2504="","",股指期货基差分析!$N$11)</f>
        <v/>
      </c>
      <c r="H2504" s="5" t="str">
        <f>IF(B2504="","",股指期货基差分析!$L$11)</f>
        <v/>
      </c>
      <c r="I2504" s="9" t="str">
        <f>IF(B2504="","",股指期货基差分析!$D$11)</f>
        <v/>
      </c>
    </row>
    <row r="2505" spans="2:9" ht="15" customHeight="1" x14ac:dyDescent="0.2">
      <c r="B2505" s="8"/>
      <c r="C2505" s="6" t="str">
        <f>IF(B2505="","",[1]!s_dq_close(股指期货基差分析!$E$5,$B2505))</f>
        <v/>
      </c>
      <c r="D2505" s="6" t="str">
        <f>IF(B2505="","",[1]!s_dq_close(股指期货基差分析!$E$6,$B2505))</f>
        <v/>
      </c>
      <c r="E2505" s="6" t="e">
        <f ca="1">RANK(F2505,F:F)+COUNTIF(F$2:F2505,F2505)-1</f>
        <v>#VALUE!</v>
      </c>
      <c r="F2505" s="6" t="str">
        <f t="shared" si="40"/>
        <v/>
      </c>
      <c r="G2505" s="6" t="str">
        <f>IF(B2505="","",股指期货基差分析!$N$11)</f>
        <v/>
      </c>
      <c r="H2505" s="6" t="str">
        <f>IF(B2505="","",股指期货基差分析!$L$11)</f>
        <v/>
      </c>
      <c r="I2505" s="10" t="str">
        <f>IF(B2505="","",股指期货基差分析!$D$11)</f>
        <v/>
      </c>
    </row>
    <row r="2506" spans="2:9" ht="15" customHeight="1" x14ac:dyDescent="0.2">
      <c r="B2506" s="7"/>
      <c r="C2506" s="5" t="str">
        <f>IF(B2506="","",[1]!s_dq_close(股指期货基差分析!$E$5,$B2506))</f>
        <v/>
      </c>
      <c r="D2506" s="5" t="str">
        <f>IF(B2506="","",[1]!s_dq_close(股指期货基差分析!$E$6,$B2506))</f>
        <v/>
      </c>
      <c r="E2506" s="5" t="e">
        <f ca="1">RANK(F2506,F:F)+COUNTIF(F$2:F2506,F2506)-1</f>
        <v>#VALUE!</v>
      </c>
      <c r="F2506" s="5" t="str">
        <f t="shared" si="40"/>
        <v/>
      </c>
      <c r="G2506" s="5" t="str">
        <f>IF(B2506="","",股指期货基差分析!$N$11)</f>
        <v/>
      </c>
      <c r="H2506" s="5" t="str">
        <f>IF(B2506="","",股指期货基差分析!$L$11)</f>
        <v/>
      </c>
      <c r="I2506" s="9" t="str">
        <f>IF(B2506="","",股指期货基差分析!$D$11)</f>
        <v/>
      </c>
    </row>
    <row r="2507" spans="2:9" ht="15" customHeight="1" x14ac:dyDescent="0.2">
      <c r="B2507" s="8"/>
      <c r="C2507" s="6" t="str">
        <f>IF(B2507="","",[1]!s_dq_close(股指期货基差分析!$E$5,$B2507))</f>
        <v/>
      </c>
      <c r="D2507" s="6" t="str">
        <f>IF(B2507="","",[1]!s_dq_close(股指期货基差分析!$E$6,$B2507))</f>
        <v/>
      </c>
      <c r="E2507" s="6" t="e">
        <f ca="1">RANK(F2507,F:F)+COUNTIF(F$2:F2507,F2507)-1</f>
        <v>#VALUE!</v>
      </c>
      <c r="F2507" s="6" t="str">
        <f t="shared" si="40"/>
        <v/>
      </c>
      <c r="G2507" s="6" t="str">
        <f>IF(B2507="","",股指期货基差分析!$N$11)</f>
        <v/>
      </c>
      <c r="H2507" s="6" t="str">
        <f>IF(B2507="","",股指期货基差分析!$L$11)</f>
        <v/>
      </c>
      <c r="I2507" s="10" t="str">
        <f>IF(B2507="","",股指期货基差分析!$D$11)</f>
        <v/>
      </c>
    </row>
    <row r="2508" spans="2:9" ht="15" customHeight="1" x14ac:dyDescent="0.2">
      <c r="B2508" s="7"/>
      <c r="C2508" s="5" t="str">
        <f>IF(B2508="","",[1]!s_dq_close(股指期货基差分析!$E$5,$B2508))</f>
        <v/>
      </c>
      <c r="D2508" s="5" t="str">
        <f>IF(B2508="","",[1]!s_dq_close(股指期货基差分析!$E$6,$B2508))</f>
        <v/>
      </c>
      <c r="E2508" s="5" t="e">
        <f ca="1">RANK(F2508,F:F)+COUNTIF(F$2:F2508,F2508)-1</f>
        <v>#VALUE!</v>
      </c>
      <c r="F2508" s="5" t="str">
        <f t="shared" si="40"/>
        <v/>
      </c>
      <c r="G2508" s="5" t="str">
        <f>IF(B2508="","",股指期货基差分析!$N$11)</f>
        <v/>
      </c>
      <c r="H2508" s="5" t="str">
        <f>IF(B2508="","",股指期货基差分析!$L$11)</f>
        <v/>
      </c>
      <c r="I2508" s="9" t="str">
        <f>IF(B2508="","",股指期货基差分析!$D$11)</f>
        <v/>
      </c>
    </row>
    <row r="2509" spans="2:9" ht="15" customHeight="1" x14ac:dyDescent="0.2">
      <c r="B2509" s="8"/>
      <c r="C2509" s="6" t="str">
        <f>IF(B2509="","",[1]!s_dq_close(股指期货基差分析!$E$5,$B2509))</f>
        <v/>
      </c>
      <c r="D2509" s="6" t="str">
        <f>IF(B2509="","",[1]!s_dq_close(股指期货基差分析!$E$6,$B2509))</f>
        <v/>
      </c>
      <c r="E2509" s="6" t="e">
        <f ca="1">RANK(F2509,F:F)+COUNTIF(F$2:F2509,F2509)-1</f>
        <v>#VALUE!</v>
      </c>
      <c r="F2509" s="6" t="str">
        <f t="shared" si="40"/>
        <v/>
      </c>
      <c r="G2509" s="6" t="str">
        <f>IF(B2509="","",股指期货基差分析!$N$11)</f>
        <v/>
      </c>
      <c r="H2509" s="6" t="str">
        <f>IF(B2509="","",股指期货基差分析!$L$11)</f>
        <v/>
      </c>
      <c r="I2509" s="10" t="str">
        <f>IF(B2509="","",股指期货基差分析!$D$11)</f>
        <v/>
      </c>
    </row>
    <row r="2510" spans="2:9" ht="15" customHeight="1" x14ac:dyDescent="0.2">
      <c r="B2510" s="7"/>
      <c r="C2510" s="5" t="str">
        <f>IF(B2510="","",[1]!s_dq_close(股指期货基差分析!$E$5,$B2510))</f>
        <v/>
      </c>
      <c r="D2510" s="5" t="str">
        <f>IF(B2510="","",[1]!s_dq_close(股指期货基差分析!$E$6,$B2510))</f>
        <v/>
      </c>
      <c r="E2510" s="5" t="e">
        <f ca="1">RANK(F2510,F:F)+COUNTIF(F$2:F2510,F2510)-1</f>
        <v>#VALUE!</v>
      </c>
      <c r="F2510" s="5" t="str">
        <f t="shared" si="40"/>
        <v/>
      </c>
      <c r="G2510" s="5" t="str">
        <f>IF(B2510="","",股指期货基差分析!$N$11)</f>
        <v/>
      </c>
      <c r="H2510" s="5" t="str">
        <f>IF(B2510="","",股指期货基差分析!$L$11)</f>
        <v/>
      </c>
      <c r="I2510" s="9" t="str">
        <f>IF(B2510="","",股指期货基差分析!$D$11)</f>
        <v/>
      </c>
    </row>
    <row r="2511" spans="2:9" ht="15" customHeight="1" x14ac:dyDescent="0.2">
      <c r="B2511" s="8"/>
      <c r="C2511" s="6" t="str">
        <f>IF(B2511="","",[1]!s_dq_close(股指期货基差分析!$E$5,$B2511))</f>
        <v/>
      </c>
      <c r="D2511" s="6" t="str">
        <f>IF(B2511="","",[1]!s_dq_close(股指期货基差分析!$E$6,$B2511))</f>
        <v/>
      </c>
      <c r="E2511" s="6" t="e">
        <f ca="1">RANK(F2511,F:F)+COUNTIF(F$2:F2511,F2511)-1</f>
        <v>#VALUE!</v>
      </c>
      <c r="F2511" s="6" t="str">
        <f t="shared" si="40"/>
        <v/>
      </c>
      <c r="G2511" s="6" t="str">
        <f>IF(B2511="","",股指期货基差分析!$N$11)</f>
        <v/>
      </c>
      <c r="H2511" s="6" t="str">
        <f>IF(B2511="","",股指期货基差分析!$L$11)</f>
        <v/>
      </c>
      <c r="I2511" s="10" t="str">
        <f>IF(B2511="","",股指期货基差分析!$D$11)</f>
        <v/>
      </c>
    </row>
    <row r="2512" spans="2:9" ht="15" customHeight="1" x14ac:dyDescent="0.2">
      <c r="B2512" s="7"/>
      <c r="C2512" s="5" t="str">
        <f>IF(B2512="","",[1]!s_dq_close(股指期货基差分析!$E$5,$B2512))</f>
        <v/>
      </c>
      <c r="D2512" s="5" t="str">
        <f>IF(B2512="","",[1]!s_dq_close(股指期货基差分析!$E$6,$B2512))</f>
        <v/>
      </c>
      <c r="E2512" s="5" t="e">
        <f ca="1">RANK(F2512,F:F)+COUNTIF(F$2:F2512,F2512)-1</f>
        <v>#VALUE!</v>
      </c>
      <c r="F2512" s="5" t="str">
        <f t="shared" si="40"/>
        <v/>
      </c>
      <c r="G2512" s="5" t="str">
        <f>IF(B2512="","",股指期货基差分析!$N$11)</f>
        <v/>
      </c>
      <c r="H2512" s="5" t="str">
        <f>IF(B2512="","",股指期货基差分析!$L$11)</f>
        <v/>
      </c>
      <c r="I2512" s="9" t="str">
        <f>IF(B2512="","",股指期货基差分析!$D$11)</f>
        <v/>
      </c>
    </row>
    <row r="2513" spans="2:9" ht="15" customHeight="1" x14ac:dyDescent="0.2">
      <c r="B2513" s="8"/>
      <c r="C2513" s="6" t="str">
        <f>IF(B2513="","",[1]!s_dq_close(股指期货基差分析!$E$5,$B2513))</f>
        <v/>
      </c>
      <c r="D2513" s="6" t="str">
        <f>IF(B2513="","",[1]!s_dq_close(股指期货基差分析!$E$6,$B2513))</f>
        <v/>
      </c>
      <c r="E2513" s="6" t="e">
        <f ca="1">RANK(F2513,F:F)+COUNTIF(F$2:F2513,F2513)-1</f>
        <v>#VALUE!</v>
      </c>
      <c r="F2513" s="6" t="str">
        <f t="shared" si="40"/>
        <v/>
      </c>
      <c r="G2513" s="6" t="str">
        <f>IF(B2513="","",股指期货基差分析!$N$11)</f>
        <v/>
      </c>
      <c r="H2513" s="6" t="str">
        <f>IF(B2513="","",股指期货基差分析!$L$11)</f>
        <v/>
      </c>
      <c r="I2513" s="10" t="str">
        <f>IF(B2513="","",股指期货基差分析!$D$11)</f>
        <v/>
      </c>
    </row>
    <row r="2514" spans="2:9" ht="15" customHeight="1" x14ac:dyDescent="0.2">
      <c r="B2514" s="7"/>
      <c r="C2514" s="5" t="str">
        <f>IF(B2514="","",[1]!s_dq_close(股指期货基差分析!$E$5,$B2514))</f>
        <v/>
      </c>
      <c r="D2514" s="5" t="str">
        <f>IF(B2514="","",[1]!s_dq_close(股指期货基差分析!$E$6,$B2514))</f>
        <v/>
      </c>
      <c r="E2514" s="5" t="e">
        <f ca="1">RANK(F2514,F:F)+COUNTIF(F$2:F2514,F2514)-1</f>
        <v>#VALUE!</v>
      </c>
      <c r="F2514" s="5" t="str">
        <f t="shared" si="40"/>
        <v/>
      </c>
      <c r="G2514" s="5" t="str">
        <f>IF(B2514="","",股指期货基差分析!$N$11)</f>
        <v/>
      </c>
      <c r="H2514" s="5" t="str">
        <f>IF(B2514="","",股指期货基差分析!$L$11)</f>
        <v/>
      </c>
      <c r="I2514" s="9" t="str">
        <f>IF(B2514="","",股指期货基差分析!$D$11)</f>
        <v/>
      </c>
    </row>
    <row r="2515" spans="2:9" ht="15" customHeight="1" x14ac:dyDescent="0.2">
      <c r="B2515" s="8"/>
      <c r="C2515" s="6" t="str">
        <f>IF(B2515="","",[1]!s_dq_close(股指期货基差分析!$E$5,$B2515))</f>
        <v/>
      </c>
      <c r="D2515" s="6" t="str">
        <f>IF(B2515="","",[1]!s_dq_close(股指期货基差分析!$E$6,$B2515))</f>
        <v/>
      </c>
      <c r="E2515" s="6" t="e">
        <f ca="1">RANK(F2515,F:F)+COUNTIF(F$2:F2515,F2515)-1</f>
        <v>#VALUE!</v>
      </c>
      <c r="F2515" s="6" t="str">
        <f t="shared" si="40"/>
        <v/>
      </c>
      <c r="G2515" s="6" t="str">
        <f>IF(B2515="","",股指期货基差分析!$N$11)</f>
        <v/>
      </c>
      <c r="H2515" s="6" t="str">
        <f>IF(B2515="","",股指期货基差分析!$L$11)</f>
        <v/>
      </c>
      <c r="I2515" s="10" t="str">
        <f>IF(B2515="","",股指期货基差分析!$D$11)</f>
        <v/>
      </c>
    </row>
    <row r="2516" spans="2:9" ht="15" customHeight="1" x14ac:dyDescent="0.2">
      <c r="B2516" s="7"/>
      <c r="C2516" s="5" t="str">
        <f>IF(B2516="","",[1]!s_dq_close(股指期货基差分析!$E$5,$B2516))</f>
        <v/>
      </c>
      <c r="D2516" s="5" t="str">
        <f>IF(B2516="","",[1]!s_dq_close(股指期货基差分析!$E$6,$B2516))</f>
        <v/>
      </c>
      <c r="E2516" s="5" t="e">
        <f ca="1">RANK(F2516,F:F)+COUNTIF(F$2:F2516,F2516)-1</f>
        <v>#VALUE!</v>
      </c>
      <c r="F2516" s="5" t="str">
        <f t="shared" si="40"/>
        <v/>
      </c>
      <c r="G2516" s="5" t="str">
        <f>IF(B2516="","",股指期货基差分析!$N$11)</f>
        <v/>
      </c>
      <c r="H2516" s="5" t="str">
        <f>IF(B2516="","",股指期货基差分析!$L$11)</f>
        <v/>
      </c>
      <c r="I2516" s="9" t="str">
        <f>IF(B2516="","",股指期货基差分析!$D$11)</f>
        <v/>
      </c>
    </row>
    <row r="2517" spans="2:9" ht="15" customHeight="1" x14ac:dyDescent="0.2">
      <c r="B2517" s="8"/>
      <c r="C2517" s="6" t="str">
        <f>IF(B2517="","",[1]!s_dq_close(股指期货基差分析!$E$5,$B2517))</f>
        <v/>
      </c>
      <c r="D2517" s="6" t="str">
        <f>IF(B2517="","",[1]!s_dq_close(股指期货基差分析!$E$6,$B2517))</f>
        <v/>
      </c>
      <c r="E2517" s="6" t="e">
        <f ca="1">RANK(F2517,F:F)+COUNTIF(F$2:F2517,F2517)-1</f>
        <v>#VALUE!</v>
      </c>
      <c r="F2517" s="6" t="str">
        <f t="shared" si="40"/>
        <v/>
      </c>
      <c r="G2517" s="6" t="str">
        <f>IF(B2517="","",股指期货基差分析!$N$11)</f>
        <v/>
      </c>
      <c r="H2517" s="6" t="str">
        <f>IF(B2517="","",股指期货基差分析!$L$11)</f>
        <v/>
      </c>
      <c r="I2517" s="10" t="str">
        <f>IF(B2517="","",股指期货基差分析!$D$11)</f>
        <v/>
      </c>
    </row>
    <row r="2518" spans="2:9" ht="15" customHeight="1" x14ac:dyDescent="0.2">
      <c r="B2518" s="7"/>
      <c r="C2518" s="5" t="str">
        <f>IF(B2518="","",[1]!s_dq_close(股指期货基差分析!$E$5,$B2518))</f>
        <v/>
      </c>
      <c r="D2518" s="5" t="str">
        <f>IF(B2518="","",[1]!s_dq_close(股指期货基差分析!$E$6,$B2518))</f>
        <v/>
      </c>
      <c r="E2518" s="5" t="e">
        <f ca="1">RANK(F2518,F:F)+COUNTIF(F$2:F2518,F2518)-1</f>
        <v>#VALUE!</v>
      </c>
      <c r="F2518" s="5" t="str">
        <f t="shared" si="40"/>
        <v/>
      </c>
      <c r="G2518" s="5" t="str">
        <f>IF(B2518="","",股指期货基差分析!$N$11)</f>
        <v/>
      </c>
      <c r="H2518" s="5" t="str">
        <f>IF(B2518="","",股指期货基差分析!$L$11)</f>
        <v/>
      </c>
      <c r="I2518" s="9" t="str">
        <f>IF(B2518="","",股指期货基差分析!$D$11)</f>
        <v/>
      </c>
    </row>
    <row r="2519" spans="2:9" ht="15" customHeight="1" x14ac:dyDescent="0.2">
      <c r="B2519" s="8"/>
      <c r="C2519" s="6" t="str">
        <f>IF(B2519="","",[1]!s_dq_close(股指期货基差分析!$E$5,$B2519))</f>
        <v/>
      </c>
      <c r="D2519" s="6" t="str">
        <f>IF(B2519="","",[1]!s_dq_close(股指期货基差分析!$E$6,$B2519))</f>
        <v/>
      </c>
      <c r="E2519" s="6" t="e">
        <f ca="1">RANK(F2519,F:F)+COUNTIF(F$2:F2519,F2519)-1</f>
        <v>#VALUE!</v>
      </c>
      <c r="F2519" s="6" t="str">
        <f t="shared" si="40"/>
        <v/>
      </c>
      <c r="G2519" s="6" t="str">
        <f>IF(B2519="","",股指期货基差分析!$N$11)</f>
        <v/>
      </c>
      <c r="H2519" s="6" t="str">
        <f>IF(B2519="","",股指期货基差分析!$L$11)</f>
        <v/>
      </c>
      <c r="I2519" s="10" t="str">
        <f>IF(B2519="","",股指期货基差分析!$D$11)</f>
        <v/>
      </c>
    </row>
    <row r="2520" spans="2:9" ht="15" customHeight="1" x14ac:dyDescent="0.2">
      <c r="B2520" s="7"/>
      <c r="C2520" s="5" t="str">
        <f>IF(B2520="","",[1]!s_dq_close(股指期货基差分析!$E$5,$B2520))</f>
        <v/>
      </c>
      <c r="D2520" s="5" t="str">
        <f>IF(B2520="","",[1]!s_dq_close(股指期货基差分析!$E$6,$B2520))</f>
        <v/>
      </c>
      <c r="E2520" s="5" t="e">
        <f ca="1">RANK(F2520,F:F)+COUNTIF(F$2:F2520,F2520)-1</f>
        <v>#VALUE!</v>
      </c>
      <c r="F2520" s="5" t="str">
        <f t="shared" si="40"/>
        <v/>
      </c>
      <c r="G2520" s="5" t="str">
        <f>IF(B2520="","",股指期货基差分析!$N$11)</f>
        <v/>
      </c>
      <c r="H2520" s="5" t="str">
        <f>IF(B2520="","",股指期货基差分析!$L$11)</f>
        <v/>
      </c>
      <c r="I2520" s="9" t="str">
        <f>IF(B2520="","",股指期货基差分析!$D$11)</f>
        <v/>
      </c>
    </row>
    <row r="2521" spans="2:9" ht="15" customHeight="1" x14ac:dyDescent="0.2">
      <c r="B2521" s="8"/>
      <c r="C2521" s="6" t="str">
        <f>IF(B2521="","",[1]!s_dq_close(股指期货基差分析!$E$5,$B2521))</f>
        <v/>
      </c>
      <c r="D2521" s="6" t="str">
        <f>IF(B2521="","",[1]!s_dq_close(股指期货基差分析!$E$6,$B2521))</f>
        <v/>
      </c>
      <c r="E2521" s="6" t="e">
        <f ca="1">RANK(F2521,F:F)+COUNTIF(F$2:F2521,F2521)-1</f>
        <v>#VALUE!</v>
      </c>
      <c r="F2521" s="6" t="str">
        <f t="shared" si="40"/>
        <v/>
      </c>
      <c r="G2521" s="6" t="str">
        <f>IF(B2521="","",股指期货基差分析!$N$11)</f>
        <v/>
      </c>
      <c r="H2521" s="6" t="str">
        <f>IF(B2521="","",股指期货基差分析!$L$11)</f>
        <v/>
      </c>
      <c r="I2521" s="10" t="str">
        <f>IF(B2521="","",股指期货基差分析!$D$11)</f>
        <v/>
      </c>
    </row>
    <row r="2522" spans="2:9" ht="15" customHeight="1" x14ac:dyDescent="0.2">
      <c r="B2522" s="7"/>
      <c r="C2522" s="5" t="str">
        <f>IF(B2522="","",[1]!s_dq_close(股指期货基差分析!$E$5,$B2522))</f>
        <v/>
      </c>
      <c r="D2522" s="5" t="str">
        <f>IF(B2522="","",[1]!s_dq_close(股指期货基差分析!$E$6,$B2522))</f>
        <v/>
      </c>
      <c r="E2522" s="5" t="e">
        <f ca="1">RANK(F2522,F:F)+COUNTIF(F$2:F2522,F2522)-1</f>
        <v>#VALUE!</v>
      </c>
      <c r="F2522" s="5" t="str">
        <f t="shared" si="40"/>
        <v/>
      </c>
      <c r="G2522" s="5" t="str">
        <f>IF(B2522="","",股指期货基差分析!$N$11)</f>
        <v/>
      </c>
      <c r="H2522" s="5" t="str">
        <f>IF(B2522="","",股指期货基差分析!$L$11)</f>
        <v/>
      </c>
      <c r="I2522" s="9" t="str">
        <f>IF(B2522="","",股指期货基差分析!$D$11)</f>
        <v/>
      </c>
    </row>
    <row r="2523" spans="2:9" ht="15" customHeight="1" x14ac:dyDescent="0.2">
      <c r="B2523" s="8"/>
      <c r="C2523" s="6" t="str">
        <f>IF(B2523="","",[1]!s_dq_close(股指期货基差分析!$E$5,$B2523))</f>
        <v/>
      </c>
      <c r="D2523" s="6" t="str">
        <f>IF(B2523="","",[1]!s_dq_close(股指期货基差分析!$E$6,$B2523))</f>
        <v/>
      </c>
      <c r="E2523" s="6" t="e">
        <f ca="1">RANK(F2523,F:F)+COUNTIF(F$2:F2523,F2523)-1</f>
        <v>#VALUE!</v>
      </c>
      <c r="F2523" s="6" t="str">
        <f t="shared" si="40"/>
        <v/>
      </c>
      <c r="G2523" s="6" t="str">
        <f>IF(B2523="","",股指期货基差分析!$N$11)</f>
        <v/>
      </c>
      <c r="H2523" s="6" t="str">
        <f>IF(B2523="","",股指期货基差分析!$L$11)</f>
        <v/>
      </c>
      <c r="I2523" s="10" t="str">
        <f>IF(B2523="","",股指期货基差分析!$D$11)</f>
        <v/>
      </c>
    </row>
    <row r="2524" spans="2:9" ht="15" customHeight="1" x14ac:dyDescent="0.2">
      <c r="B2524" s="7"/>
      <c r="C2524" s="5" t="str">
        <f>IF(B2524="","",[1]!s_dq_close(股指期货基差分析!$E$5,$B2524))</f>
        <v/>
      </c>
      <c r="D2524" s="5" t="str">
        <f>IF(B2524="","",[1]!s_dq_close(股指期货基差分析!$E$6,$B2524))</f>
        <v/>
      </c>
      <c r="E2524" s="5" t="e">
        <f ca="1">RANK(F2524,F:F)+COUNTIF(F$2:F2524,F2524)-1</f>
        <v>#VALUE!</v>
      </c>
      <c r="F2524" s="5" t="str">
        <f t="shared" si="40"/>
        <v/>
      </c>
      <c r="G2524" s="5" t="str">
        <f>IF(B2524="","",股指期货基差分析!$N$11)</f>
        <v/>
      </c>
      <c r="H2524" s="5" t="str">
        <f>IF(B2524="","",股指期货基差分析!$L$11)</f>
        <v/>
      </c>
      <c r="I2524" s="9" t="str">
        <f>IF(B2524="","",股指期货基差分析!$D$11)</f>
        <v/>
      </c>
    </row>
    <row r="2525" spans="2:9" ht="15" customHeight="1" x14ac:dyDescent="0.2">
      <c r="B2525" s="8"/>
      <c r="C2525" s="6" t="str">
        <f>IF(B2525="","",[1]!s_dq_close(股指期货基差分析!$E$5,$B2525))</f>
        <v/>
      </c>
      <c r="D2525" s="6" t="str">
        <f>IF(B2525="","",[1]!s_dq_close(股指期货基差分析!$E$6,$B2525))</f>
        <v/>
      </c>
      <c r="E2525" s="6" t="e">
        <f ca="1">RANK(F2525,F:F)+COUNTIF(F$2:F2525,F2525)-1</f>
        <v>#VALUE!</v>
      </c>
      <c r="F2525" s="6" t="str">
        <f t="shared" si="40"/>
        <v/>
      </c>
      <c r="G2525" s="6" t="str">
        <f>IF(B2525="","",股指期货基差分析!$N$11)</f>
        <v/>
      </c>
      <c r="H2525" s="6" t="str">
        <f>IF(B2525="","",股指期货基差分析!$L$11)</f>
        <v/>
      </c>
      <c r="I2525" s="10" t="str">
        <f>IF(B2525="","",股指期货基差分析!$D$11)</f>
        <v/>
      </c>
    </row>
    <row r="2526" spans="2:9" ht="15" customHeight="1" x14ac:dyDescent="0.2">
      <c r="B2526" s="7"/>
      <c r="C2526" s="5" t="str">
        <f>IF(B2526="","",[1]!s_dq_close(股指期货基差分析!$E$5,$B2526))</f>
        <v/>
      </c>
      <c r="D2526" s="5" t="str">
        <f>IF(B2526="","",[1]!s_dq_close(股指期货基差分析!$E$6,$B2526))</f>
        <v/>
      </c>
      <c r="E2526" s="5" t="e">
        <f ca="1">RANK(F2526,F:F)+COUNTIF(F$2:F2526,F2526)-1</f>
        <v>#VALUE!</v>
      </c>
      <c r="F2526" s="5" t="str">
        <f t="shared" si="40"/>
        <v/>
      </c>
      <c r="G2526" s="5" t="str">
        <f>IF(B2526="","",股指期货基差分析!$N$11)</f>
        <v/>
      </c>
      <c r="H2526" s="5" t="str">
        <f>IF(B2526="","",股指期货基差分析!$L$11)</f>
        <v/>
      </c>
      <c r="I2526" s="9" t="str">
        <f>IF(B2526="","",股指期货基差分析!$D$11)</f>
        <v/>
      </c>
    </row>
    <row r="2527" spans="2:9" ht="15" customHeight="1" x14ac:dyDescent="0.2">
      <c r="B2527" s="8"/>
      <c r="C2527" s="6" t="str">
        <f>IF(B2527="","",[1]!s_dq_close(股指期货基差分析!$E$5,$B2527))</f>
        <v/>
      </c>
      <c r="D2527" s="6" t="str">
        <f>IF(B2527="","",[1]!s_dq_close(股指期货基差分析!$E$6,$B2527))</f>
        <v/>
      </c>
      <c r="E2527" s="6" t="e">
        <f ca="1">RANK(F2527,F:F)+COUNTIF(F$2:F2527,F2527)-1</f>
        <v>#VALUE!</v>
      </c>
      <c r="F2527" s="6" t="str">
        <f t="shared" si="40"/>
        <v/>
      </c>
      <c r="G2527" s="6" t="str">
        <f>IF(B2527="","",股指期货基差分析!$N$11)</f>
        <v/>
      </c>
      <c r="H2527" s="6" t="str">
        <f>IF(B2527="","",股指期货基差分析!$L$11)</f>
        <v/>
      </c>
      <c r="I2527" s="10" t="str">
        <f>IF(B2527="","",股指期货基差分析!$D$11)</f>
        <v/>
      </c>
    </row>
    <row r="2528" spans="2:9" ht="15" customHeight="1" x14ac:dyDescent="0.2">
      <c r="B2528" s="7"/>
      <c r="C2528" s="5" t="str">
        <f>IF(B2528="","",[1]!s_dq_close(股指期货基差分析!$E$5,$B2528))</f>
        <v/>
      </c>
      <c r="D2528" s="5" t="str">
        <f>IF(B2528="","",[1]!s_dq_close(股指期货基差分析!$E$6,$B2528))</f>
        <v/>
      </c>
      <c r="E2528" s="5" t="e">
        <f ca="1">RANK(F2528,F:F)+COUNTIF(F$2:F2528,F2528)-1</f>
        <v>#VALUE!</v>
      </c>
      <c r="F2528" s="5" t="str">
        <f t="shared" si="40"/>
        <v/>
      </c>
      <c r="G2528" s="5" t="str">
        <f>IF(B2528="","",股指期货基差分析!$N$11)</f>
        <v/>
      </c>
      <c r="H2528" s="5" t="str">
        <f>IF(B2528="","",股指期货基差分析!$L$11)</f>
        <v/>
      </c>
      <c r="I2528" s="9" t="str">
        <f>IF(B2528="","",股指期货基差分析!$D$11)</f>
        <v/>
      </c>
    </row>
    <row r="2529" spans="2:9" ht="15" customHeight="1" x14ac:dyDescent="0.2">
      <c r="B2529" s="8"/>
      <c r="C2529" s="6" t="str">
        <f>IF(B2529="","",[1]!s_dq_close(股指期货基差分析!$E$5,$B2529))</f>
        <v/>
      </c>
      <c r="D2529" s="6" t="str">
        <f>IF(B2529="","",[1]!s_dq_close(股指期货基差分析!$E$6,$B2529))</f>
        <v/>
      </c>
      <c r="E2529" s="6" t="e">
        <f ca="1">RANK(F2529,F:F)+COUNTIF(F$2:F2529,F2529)-1</f>
        <v>#VALUE!</v>
      </c>
      <c r="F2529" s="6" t="str">
        <f t="shared" si="40"/>
        <v/>
      </c>
      <c r="G2529" s="6" t="str">
        <f>IF(B2529="","",股指期货基差分析!$N$11)</f>
        <v/>
      </c>
      <c r="H2529" s="6" t="str">
        <f>IF(B2529="","",股指期货基差分析!$L$11)</f>
        <v/>
      </c>
      <c r="I2529" s="10" t="str">
        <f>IF(B2529="","",股指期货基差分析!$D$11)</f>
        <v/>
      </c>
    </row>
    <row r="2530" spans="2:9" ht="15" customHeight="1" x14ac:dyDescent="0.2">
      <c r="B2530" s="7"/>
      <c r="C2530" s="5" t="str">
        <f>IF(B2530="","",[1]!s_dq_close(股指期货基差分析!$E$5,$B2530))</f>
        <v/>
      </c>
      <c r="D2530" s="5" t="str">
        <f>IF(B2530="","",[1]!s_dq_close(股指期货基差分析!$E$6,$B2530))</f>
        <v/>
      </c>
      <c r="E2530" s="5" t="e">
        <f ca="1">RANK(F2530,F:F)+COUNTIF(F$2:F2530,F2530)-1</f>
        <v>#VALUE!</v>
      </c>
      <c r="F2530" s="5" t="str">
        <f t="shared" si="40"/>
        <v/>
      </c>
      <c r="G2530" s="5" t="str">
        <f>IF(B2530="","",股指期货基差分析!$N$11)</f>
        <v/>
      </c>
      <c r="H2530" s="5" t="str">
        <f>IF(B2530="","",股指期货基差分析!$L$11)</f>
        <v/>
      </c>
      <c r="I2530" s="9" t="str">
        <f>IF(B2530="","",股指期货基差分析!$D$11)</f>
        <v/>
      </c>
    </row>
    <row r="2531" spans="2:9" ht="15" customHeight="1" x14ac:dyDescent="0.2">
      <c r="B2531" s="8"/>
      <c r="C2531" s="6" t="str">
        <f>IF(B2531="","",[1]!s_dq_close(股指期货基差分析!$E$5,$B2531))</f>
        <v/>
      </c>
      <c r="D2531" s="6" t="str">
        <f>IF(B2531="","",[1]!s_dq_close(股指期货基差分析!$E$6,$B2531))</f>
        <v/>
      </c>
      <c r="E2531" s="6" t="e">
        <f ca="1">RANK(F2531,F:F)+COUNTIF(F$2:F2531,F2531)-1</f>
        <v>#VALUE!</v>
      </c>
      <c r="F2531" s="6" t="str">
        <f t="shared" si="40"/>
        <v/>
      </c>
      <c r="G2531" s="6" t="str">
        <f>IF(B2531="","",股指期货基差分析!$N$11)</f>
        <v/>
      </c>
      <c r="H2531" s="6" t="str">
        <f>IF(B2531="","",股指期货基差分析!$L$11)</f>
        <v/>
      </c>
      <c r="I2531" s="10" t="str">
        <f>IF(B2531="","",股指期货基差分析!$D$11)</f>
        <v/>
      </c>
    </row>
    <row r="2532" spans="2:9" ht="15" customHeight="1" x14ac:dyDescent="0.2">
      <c r="B2532" s="7"/>
      <c r="C2532" s="5" t="str">
        <f>IF(B2532="","",[1]!s_dq_close(股指期货基差分析!$E$5,$B2532))</f>
        <v/>
      </c>
      <c r="D2532" s="5" t="str">
        <f>IF(B2532="","",[1]!s_dq_close(股指期货基差分析!$E$6,$B2532))</f>
        <v/>
      </c>
      <c r="E2532" s="5" t="e">
        <f ca="1">RANK(F2532,F:F)+COUNTIF(F$2:F2532,F2532)-1</f>
        <v>#VALUE!</v>
      </c>
      <c r="F2532" s="5" t="str">
        <f t="shared" si="40"/>
        <v/>
      </c>
      <c r="G2532" s="5" t="str">
        <f>IF(B2532="","",股指期货基差分析!$N$11)</f>
        <v/>
      </c>
      <c r="H2532" s="5" t="str">
        <f>IF(B2532="","",股指期货基差分析!$L$11)</f>
        <v/>
      </c>
      <c r="I2532" s="9" t="str">
        <f>IF(B2532="","",股指期货基差分析!$D$11)</f>
        <v/>
      </c>
    </row>
    <row r="2533" spans="2:9" ht="15" customHeight="1" x14ac:dyDescent="0.2">
      <c r="B2533" s="8"/>
      <c r="C2533" s="6" t="str">
        <f>IF(B2533="","",[1]!s_dq_close(股指期货基差分析!$E$5,$B2533))</f>
        <v/>
      </c>
      <c r="D2533" s="6" t="str">
        <f>IF(B2533="","",[1]!s_dq_close(股指期货基差分析!$E$6,$B2533))</f>
        <v/>
      </c>
      <c r="E2533" s="6" t="e">
        <f ca="1">RANK(F2533,F:F)+COUNTIF(F$2:F2533,F2533)-1</f>
        <v>#VALUE!</v>
      </c>
      <c r="F2533" s="6" t="str">
        <f t="shared" si="40"/>
        <v/>
      </c>
      <c r="G2533" s="6" t="str">
        <f>IF(B2533="","",股指期货基差分析!$N$11)</f>
        <v/>
      </c>
      <c r="H2533" s="6" t="str">
        <f>IF(B2533="","",股指期货基差分析!$L$11)</f>
        <v/>
      </c>
      <c r="I2533" s="10" t="str">
        <f>IF(B2533="","",股指期货基差分析!$D$11)</f>
        <v/>
      </c>
    </row>
    <row r="2534" spans="2:9" ht="15" customHeight="1" x14ac:dyDescent="0.2">
      <c r="B2534" s="7"/>
      <c r="C2534" s="5" t="str">
        <f>IF(B2534="","",[1]!s_dq_close(股指期货基差分析!$E$5,$B2534))</f>
        <v/>
      </c>
      <c r="D2534" s="5" t="str">
        <f>IF(B2534="","",[1]!s_dq_close(股指期货基差分析!$E$6,$B2534))</f>
        <v/>
      </c>
      <c r="E2534" s="5" t="e">
        <f ca="1">RANK(F2534,F:F)+COUNTIF(F$2:F2534,F2534)-1</f>
        <v>#VALUE!</v>
      </c>
      <c r="F2534" s="5" t="str">
        <f t="shared" si="40"/>
        <v/>
      </c>
      <c r="G2534" s="5" t="str">
        <f>IF(B2534="","",股指期货基差分析!$N$11)</f>
        <v/>
      </c>
      <c r="H2534" s="5" t="str">
        <f>IF(B2534="","",股指期货基差分析!$L$11)</f>
        <v/>
      </c>
      <c r="I2534" s="9" t="str">
        <f>IF(B2534="","",股指期货基差分析!$D$11)</f>
        <v/>
      </c>
    </row>
    <row r="2535" spans="2:9" ht="15" customHeight="1" x14ac:dyDescent="0.2">
      <c r="B2535" s="8"/>
      <c r="C2535" s="6" t="str">
        <f>IF(B2535="","",[1]!s_dq_close(股指期货基差分析!$E$5,$B2535))</f>
        <v/>
      </c>
      <c r="D2535" s="6" t="str">
        <f>IF(B2535="","",[1]!s_dq_close(股指期货基差分析!$E$6,$B2535))</f>
        <v/>
      </c>
      <c r="E2535" s="6" t="e">
        <f ca="1">RANK(F2535,F:F)+COUNTIF(F$2:F2535,F2535)-1</f>
        <v>#VALUE!</v>
      </c>
      <c r="F2535" s="6" t="str">
        <f t="shared" si="40"/>
        <v/>
      </c>
      <c r="G2535" s="6" t="str">
        <f>IF(B2535="","",股指期货基差分析!$N$11)</f>
        <v/>
      </c>
      <c r="H2535" s="6" t="str">
        <f>IF(B2535="","",股指期货基差分析!$L$11)</f>
        <v/>
      </c>
      <c r="I2535" s="10" t="str">
        <f>IF(B2535="","",股指期货基差分析!$D$11)</f>
        <v/>
      </c>
    </row>
    <row r="2536" spans="2:9" ht="15" customHeight="1" x14ac:dyDescent="0.2">
      <c r="B2536" s="7"/>
      <c r="C2536" s="5" t="str">
        <f>IF(B2536="","",[1]!s_dq_close(股指期货基差分析!$E$5,$B2536))</f>
        <v/>
      </c>
      <c r="D2536" s="5" t="str">
        <f>IF(B2536="","",[1]!s_dq_close(股指期货基差分析!$E$6,$B2536))</f>
        <v/>
      </c>
      <c r="E2536" s="5" t="e">
        <f ca="1">RANK(F2536,F:F)+COUNTIF(F$2:F2536,F2536)-1</f>
        <v>#VALUE!</v>
      </c>
      <c r="F2536" s="5" t="str">
        <f t="shared" si="40"/>
        <v/>
      </c>
      <c r="G2536" s="5" t="str">
        <f>IF(B2536="","",股指期货基差分析!$N$11)</f>
        <v/>
      </c>
      <c r="H2536" s="5" t="str">
        <f>IF(B2536="","",股指期货基差分析!$L$11)</f>
        <v/>
      </c>
      <c r="I2536" s="9" t="str">
        <f>IF(B2536="","",股指期货基差分析!$D$11)</f>
        <v/>
      </c>
    </row>
    <row r="2537" spans="2:9" ht="15" customHeight="1" x14ac:dyDescent="0.2">
      <c r="B2537" s="8"/>
      <c r="C2537" s="6" t="str">
        <f>IF(B2537="","",[1]!s_dq_close(股指期货基差分析!$E$5,$B2537))</f>
        <v/>
      </c>
      <c r="D2537" s="6" t="str">
        <f>IF(B2537="","",[1]!s_dq_close(股指期货基差分析!$E$6,$B2537))</f>
        <v/>
      </c>
      <c r="E2537" s="6" t="e">
        <f ca="1">RANK(F2537,F:F)+COUNTIF(F$2:F2537,F2537)-1</f>
        <v>#VALUE!</v>
      </c>
      <c r="F2537" s="6" t="str">
        <f t="shared" si="40"/>
        <v/>
      </c>
      <c r="G2537" s="6" t="str">
        <f>IF(B2537="","",股指期货基差分析!$N$11)</f>
        <v/>
      </c>
      <c r="H2537" s="6" t="str">
        <f>IF(B2537="","",股指期货基差分析!$L$11)</f>
        <v/>
      </c>
      <c r="I2537" s="10" t="str">
        <f>IF(B2537="","",股指期货基差分析!$D$11)</f>
        <v/>
      </c>
    </row>
    <row r="2538" spans="2:9" ht="15" customHeight="1" x14ac:dyDescent="0.2">
      <c r="B2538" s="7"/>
      <c r="C2538" s="5" t="str">
        <f>IF(B2538="","",[1]!s_dq_close(股指期货基差分析!$E$5,$B2538))</f>
        <v/>
      </c>
      <c r="D2538" s="5" t="str">
        <f>IF(B2538="","",[1]!s_dq_close(股指期货基差分析!$E$6,$B2538))</f>
        <v/>
      </c>
      <c r="E2538" s="5" t="e">
        <f ca="1">RANK(F2538,F:F)+COUNTIF(F$2:F2538,F2538)-1</f>
        <v>#VALUE!</v>
      </c>
      <c r="F2538" s="5" t="str">
        <f t="shared" si="40"/>
        <v/>
      </c>
      <c r="G2538" s="5" t="str">
        <f>IF(B2538="","",股指期货基差分析!$N$11)</f>
        <v/>
      </c>
      <c r="H2538" s="5" t="str">
        <f>IF(B2538="","",股指期货基差分析!$L$11)</f>
        <v/>
      </c>
      <c r="I2538" s="9" t="str">
        <f>IF(B2538="","",股指期货基差分析!$D$11)</f>
        <v/>
      </c>
    </row>
    <row r="2539" spans="2:9" ht="15" customHeight="1" x14ac:dyDescent="0.2">
      <c r="B2539" s="8"/>
      <c r="C2539" s="6" t="str">
        <f>IF(B2539="","",[1]!s_dq_close(股指期货基差分析!$E$5,$B2539))</f>
        <v/>
      </c>
      <c r="D2539" s="6" t="str">
        <f>IF(B2539="","",[1]!s_dq_close(股指期货基差分析!$E$6,$B2539))</f>
        <v/>
      </c>
      <c r="E2539" s="6" t="e">
        <f ca="1">RANK(F2539,F:F)+COUNTIF(F$2:F2539,F2539)-1</f>
        <v>#VALUE!</v>
      </c>
      <c r="F2539" s="6" t="str">
        <f t="shared" si="40"/>
        <v/>
      </c>
      <c r="G2539" s="6" t="str">
        <f>IF(B2539="","",股指期货基差分析!$N$11)</f>
        <v/>
      </c>
      <c r="H2539" s="6" t="str">
        <f>IF(B2539="","",股指期货基差分析!$L$11)</f>
        <v/>
      </c>
      <c r="I2539" s="10" t="str">
        <f>IF(B2539="","",股指期货基差分析!$D$11)</f>
        <v/>
      </c>
    </row>
    <row r="2540" spans="2:9" ht="15" customHeight="1" x14ac:dyDescent="0.2">
      <c r="B2540" s="7"/>
      <c r="C2540" s="5" t="str">
        <f>IF(B2540="","",[1]!s_dq_close(股指期货基差分析!$E$5,$B2540))</f>
        <v/>
      </c>
      <c r="D2540" s="5" t="str">
        <f>IF(B2540="","",[1]!s_dq_close(股指期货基差分析!$E$6,$B2540))</f>
        <v/>
      </c>
      <c r="E2540" s="5" t="e">
        <f ca="1">RANK(F2540,F:F)+COUNTIF(F$2:F2540,F2540)-1</f>
        <v>#VALUE!</v>
      </c>
      <c r="F2540" s="5" t="str">
        <f t="shared" si="40"/>
        <v/>
      </c>
      <c r="G2540" s="5" t="str">
        <f>IF(B2540="","",股指期货基差分析!$N$11)</f>
        <v/>
      </c>
      <c r="H2540" s="5" t="str">
        <f>IF(B2540="","",股指期货基差分析!$L$11)</f>
        <v/>
      </c>
      <c r="I2540" s="9" t="str">
        <f>IF(B2540="","",股指期货基差分析!$D$11)</f>
        <v/>
      </c>
    </row>
    <row r="2541" spans="2:9" ht="15" customHeight="1" x14ac:dyDescent="0.2">
      <c r="B2541" s="8"/>
      <c r="C2541" s="6" t="str">
        <f>IF(B2541="","",[1]!s_dq_close(股指期货基差分析!$E$5,$B2541))</f>
        <v/>
      </c>
      <c r="D2541" s="6" t="str">
        <f>IF(B2541="","",[1]!s_dq_close(股指期货基差分析!$E$6,$B2541))</f>
        <v/>
      </c>
      <c r="E2541" s="6" t="e">
        <f ca="1">RANK(F2541,F:F)+COUNTIF(F$2:F2541,F2541)-1</f>
        <v>#VALUE!</v>
      </c>
      <c r="F2541" s="6" t="str">
        <f t="shared" si="40"/>
        <v/>
      </c>
      <c r="G2541" s="6" t="str">
        <f>IF(B2541="","",股指期货基差分析!$N$11)</f>
        <v/>
      </c>
      <c r="H2541" s="6" t="str">
        <f>IF(B2541="","",股指期货基差分析!$L$11)</f>
        <v/>
      </c>
      <c r="I2541" s="10" t="str">
        <f>IF(B2541="","",股指期货基差分析!$D$11)</f>
        <v/>
      </c>
    </row>
    <row r="2542" spans="2:9" ht="15" customHeight="1" x14ac:dyDescent="0.2">
      <c r="B2542" s="7"/>
      <c r="C2542" s="5" t="str">
        <f>IF(B2542="","",[1]!s_dq_close(股指期货基差分析!$E$5,$B2542))</f>
        <v/>
      </c>
      <c r="D2542" s="5" t="str">
        <f>IF(B2542="","",[1]!s_dq_close(股指期货基差分析!$E$6,$B2542))</f>
        <v/>
      </c>
      <c r="E2542" s="5" t="e">
        <f ca="1">RANK(F2542,F:F)+COUNTIF(F$2:F2542,F2542)-1</f>
        <v>#VALUE!</v>
      </c>
      <c r="F2542" s="5" t="str">
        <f t="shared" si="40"/>
        <v/>
      </c>
      <c r="G2542" s="5" t="str">
        <f>IF(B2542="","",股指期货基差分析!$N$11)</f>
        <v/>
      </c>
      <c r="H2542" s="5" t="str">
        <f>IF(B2542="","",股指期货基差分析!$L$11)</f>
        <v/>
      </c>
      <c r="I2542" s="9" t="str">
        <f>IF(B2542="","",股指期货基差分析!$D$11)</f>
        <v/>
      </c>
    </row>
    <row r="2543" spans="2:9" ht="15" customHeight="1" x14ac:dyDescent="0.2">
      <c r="B2543" s="8"/>
      <c r="C2543" s="6" t="str">
        <f>IF(B2543="","",[1]!s_dq_close(股指期货基差分析!$E$5,$B2543))</f>
        <v/>
      </c>
      <c r="D2543" s="6" t="str">
        <f>IF(B2543="","",[1]!s_dq_close(股指期货基差分析!$E$6,$B2543))</f>
        <v/>
      </c>
      <c r="E2543" s="6" t="e">
        <f ca="1">RANK(F2543,F:F)+COUNTIF(F$2:F2543,F2543)-1</f>
        <v>#VALUE!</v>
      </c>
      <c r="F2543" s="6" t="str">
        <f t="shared" si="40"/>
        <v/>
      </c>
      <c r="G2543" s="6" t="str">
        <f>IF(B2543="","",股指期货基差分析!$N$11)</f>
        <v/>
      </c>
      <c r="H2543" s="6" t="str">
        <f>IF(B2543="","",股指期货基差分析!$L$11)</f>
        <v/>
      </c>
      <c r="I2543" s="10" t="str">
        <f>IF(B2543="","",股指期货基差分析!$D$11)</f>
        <v/>
      </c>
    </row>
    <row r="2544" spans="2:9" ht="15" customHeight="1" x14ac:dyDescent="0.2">
      <c r="B2544" s="7"/>
      <c r="C2544" s="5" t="str">
        <f>IF(B2544="","",[1]!s_dq_close(股指期货基差分析!$E$5,$B2544))</f>
        <v/>
      </c>
      <c r="D2544" s="5" t="str">
        <f>IF(B2544="","",[1]!s_dq_close(股指期货基差分析!$E$6,$B2544))</f>
        <v/>
      </c>
      <c r="E2544" s="5" t="e">
        <f ca="1">RANK(F2544,F:F)+COUNTIF(F$2:F2544,F2544)-1</f>
        <v>#VALUE!</v>
      </c>
      <c r="F2544" s="5" t="str">
        <f t="shared" si="40"/>
        <v/>
      </c>
      <c r="G2544" s="5" t="str">
        <f>IF(B2544="","",股指期货基差分析!$N$11)</f>
        <v/>
      </c>
      <c r="H2544" s="5" t="str">
        <f>IF(B2544="","",股指期货基差分析!$L$11)</f>
        <v/>
      </c>
      <c r="I2544" s="9" t="str">
        <f>IF(B2544="","",股指期货基差分析!$D$11)</f>
        <v/>
      </c>
    </row>
    <row r="2545" spans="2:9" ht="15" customHeight="1" x14ac:dyDescent="0.2">
      <c r="B2545" s="8"/>
      <c r="C2545" s="6" t="str">
        <f>IF(B2545="","",[1]!s_dq_close(股指期货基差分析!$E$5,$B2545))</f>
        <v/>
      </c>
      <c r="D2545" s="6" t="str">
        <f>IF(B2545="","",[1]!s_dq_close(股指期货基差分析!$E$6,$B2545))</f>
        <v/>
      </c>
      <c r="E2545" s="6" t="e">
        <f ca="1">RANK(F2545,F:F)+COUNTIF(F$2:F2545,F2545)-1</f>
        <v>#VALUE!</v>
      </c>
      <c r="F2545" s="6" t="str">
        <f t="shared" si="40"/>
        <v/>
      </c>
      <c r="G2545" s="6" t="str">
        <f>IF(B2545="","",股指期货基差分析!$N$11)</f>
        <v/>
      </c>
      <c r="H2545" s="6" t="str">
        <f>IF(B2545="","",股指期货基差分析!$L$11)</f>
        <v/>
      </c>
      <c r="I2545" s="10" t="str">
        <f>IF(B2545="","",股指期货基差分析!$D$11)</f>
        <v/>
      </c>
    </row>
    <row r="2546" spans="2:9" ht="15" customHeight="1" x14ac:dyDescent="0.2">
      <c r="B2546" s="7"/>
      <c r="C2546" s="5" t="str">
        <f>IF(B2546="","",[1]!s_dq_close(股指期货基差分析!$E$5,$B2546))</f>
        <v/>
      </c>
      <c r="D2546" s="5" t="str">
        <f>IF(B2546="","",[1]!s_dq_close(股指期货基差分析!$E$6,$B2546))</f>
        <v/>
      </c>
      <c r="E2546" s="5" t="e">
        <f ca="1">RANK(F2546,F:F)+COUNTIF(F$2:F2546,F2546)-1</f>
        <v>#VALUE!</v>
      </c>
      <c r="F2546" s="5" t="str">
        <f t="shared" si="40"/>
        <v/>
      </c>
      <c r="G2546" s="5" t="str">
        <f>IF(B2546="","",股指期货基差分析!$N$11)</f>
        <v/>
      </c>
      <c r="H2546" s="5" t="str">
        <f>IF(B2546="","",股指期货基差分析!$L$11)</f>
        <v/>
      </c>
      <c r="I2546" s="9" t="str">
        <f>IF(B2546="","",股指期货基差分析!$D$11)</f>
        <v/>
      </c>
    </row>
    <row r="2547" spans="2:9" ht="15" customHeight="1" x14ac:dyDescent="0.2">
      <c r="B2547" s="8"/>
      <c r="C2547" s="6" t="str">
        <f>IF(B2547="","",[1]!s_dq_close(股指期货基差分析!$E$5,$B2547))</f>
        <v/>
      </c>
      <c r="D2547" s="6" t="str">
        <f>IF(B2547="","",[1]!s_dq_close(股指期货基差分析!$E$6,$B2547))</f>
        <v/>
      </c>
      <c r="E2547" s="6" t="e">
        <f ca="1">RANK(F2547,F:F)+COUNTIF(F$2:F2547,F2547)-1</f>
        <v>#VALUE!</v>
      </c>
      <c r="F2547" s="6" t="str">
        <f t="shared" si="40"/>
        <v/>
      </c>
      <c r="G2547" s="6" t="str">
        <f>IF(B2547="","",股指期货基差分析!$N$11)</f>
        <v/>
      </c>
      <c r="H2547" s="6" t="str">
        <f>IF(B2547="","",股指期货基差分析!$L$11)</f>
        <v/>
      </c>
      <c r="I2547" s="10" t="str">
        <f>IF(B2547="","",股指期货基差分析!$D$11)</f>
        <v/>
      </c>
    </row>
    <row r="2548" spans="2:9" ht="15" customHeight="1" x14ac:dyDescent="0.2">
      <c r="B2548" s="7"/>
      <c r="C2548" s="5" t="str">
        <f>IF(B2548="","",[1]!s_dq_close(股指期货基差分析!$E$5,$B2548))</f>
        <v/>
      </c>
      <c r="D2548" s="5" t="str">
        <f>IF(B2548="","",[1]!s_dq_close(股指期货基差分析!$E$6,$B2548))</f>
        <v/>
      </c>
      <c r="E2548" s="5" t="e">
        <f ca="1">RANK(F2548,F:F)+COUNTIF(F$2:F2548,F2548)-1</f>
        <v>#VALUE!</v>
      </c>
      <c r="F2548" s="5" t="str">
        <f t="shared" si="40"/>
        <v/>
      </c>
      <c r="G2548" s="5" t="str">
        <f>IF(B2548="","",股指期货基差分析!$N$11)</f>
        <v/>
      </c>
      <c r="H2548" s="5" t="str">
        <f>IF(B2548="","",股指期货基差分析!$L$11)</f>
        <v/>
      </c>
      <c r="I2548" s="9" t="str">
        <f>IF(B2548="","",股指期货基差分析!$D$11)</f>
        <v/>
      </c>
    </row>
    <row r="2549" spans="2:9" ht="15" customHeight="1" x14ac:dyDescent="0.2">
      <c r="B2549" s="8"/>
      <c r="C2549" s="6" t="str">
        <f>IF(B2549="","",[1]!s_dq_close(股指期货基差分析!$E$5,$B2549))</f>
        <v/>
      </c>
      <c r="D2549" s="6" t="str">
        <f>IF(B2549="","",[1]!s_dq_close(股指期货基差分析!$E$6,$B2549))</f>
        <v/>
      </c>
      <c r="E2549" s="6" t="e">
        <f ca="1">RANK(F2549,F:F)+COUNTIF(F$2:F2549,F2549)-1</f>
        <v>#VALUE!</v>
      </c>
      <c r="F2549" s="6" t="str">
        <f t="shared" si="40"/>
        <v/>
      </c>
      <c r="G2549" s="6" t="str">
        <f>IF(B2549="","",股指期货基差分析!$N$11)</f>
        <v/>
      </c>
      <c r="H2549" s="6" t="str">
        <f>IF(B2549="","",股指期货基差分析!$L$11)</f>
        <v/>
      </c>
      <c r="I2549" s="10" t="str">
        <f>IF(B2549="","",股指期货基差分析!$D$11)</f>
        <v/>
      </c>
    </row>
    <row r="2550" spans="2:9" ht="15" customHeight="1" x14ac:dyDescent="0.2">
      <c r="B2550" s="7"/>
      <c r="C2550" s="5" t="str">
        <f>IF(B2550="","",[1]!s_dq_close(股指期货基差分析!$E$5,$B2550))</f>
        <v/>
      </c>
      <c r="D2550" s="5" t="str">
        <f>IF(B2550="","",[1]!s_dq_close(股指期货基差分析!$E$6,$B2550))</f>
        <v/>
      </c>
      <c r="E2550" s="5" t="e">
        <f ca="1">RANK(F2550,F:F)+COUNTIF(F$2:F2550,F2550)-1</f>
        <v>#VALUE!</v>
      </c>
      <c r="F2550" s="5" t="str">
        <f t="shared" si="40"/>
        <v/>
      </c>
      <c r="G2550" s="5" t="str">
        <f>IF(B2550="","",股指期货基差分析!$N$11)</f>
        <v/>
      </c>
      <c r="H2550" s="5" t="str">
        <f>IF(B2550="","",股指期货基差分析!$L$11)</f>
        <v/>
      </c>
      <c r="I2550" s="9" t="str">
        <f>IF(B2550="","",股指期货基差分析!$D$11)</f>
        <v/>
      </c>
    </row>
    <row r="2551" spans="2:9" ht="15" customHeight="1" x14ac:dyDescent="0.2">
      <c r="B2551" s="8"/>
      <c r="C2551" s="6" t="str">
        <f>IF(B2551="","",[1]!s_dq_close(股指期货基差分析!$E$5,$B2551))</f>
        <v/>
      </c>
      <c r="D2551" s="6" t="str">
        <f>IF(B2551="","",[1]!s_dq_close(股指期货基差分析!$E$6,$B2551))</f>
        <v/>
      </c>
      <c r="E2551" s="6" t="e">
        <f ca="1">RANK(F2551,F:F)+COUNTIF(F$2:F2551,F2551)-1</f>
        <v>#VALUE!</v>
      </c>
      <c r="F2551" s="6" t="str">
        <f t="shared" si="40"/>
        <v/>
      </c>
      <c r="G2551" s="6" t="str">
        <f>IF(B2551="","",股指期货基差分析!$N$11)</f>
        <v/>
      </c>
      <c r="H2551" s="6" t="str">
        <f>IF(B2551="","",股指期货基差分析!$L$11)</f>
        <v/>
      </c>
      <c r="I2551" s="10" t="str">
        <f>IF(B2551="","",股指期货基差分析!$D$11)</f>
        <v/>
      </c>
    </row>
    <row r="2552" spans="2:9" ht="15" customHeight="1" x14ac:dyDescent="0.2">
      <c r="B2552" s="7"/>
      <c r="C2552" s="5" t="str">
        <f>IF(B2552="","",[1]!s_dq_close(股指期货基差分析!$E$5,$B2552))</f>
        <v/>
      </c>
      <c r="D2552" s="5" t="str">
        <f>IF(B2552="","",[1]!s_dq_close(股指期货基差分析!$E$6,$B2552))</f>
        <v/>
      </c>
      <c r="E2552" s="5" t="e">
        <f ca="1">RANK(F2552,F:F)+COUNTIF(F$2:F2552,F2552)-1</f>
        <v>#VALUE!</v>
      </c>
      <c r="F2552" s="5" t="str">
        <f t="shared" si="40"/>
        <v/>
      </c>
      <c r="G2552" s="5" t="str">
        <f>IF(B2552="","",股指期货基差分析!$N$11)</f>
        <v/>
      </c>
      <c r="H2552" s="5" t="str">
        <f>IF(B2552="","",股指期货基差分析!$L$11)</f>
        <v/>
      </c>
      <c r="I2552" s="9" t="str">
        <f>IF(B2552="","",股指期货基差分析!$D$11)</f>
        <v/>
      </c>
    </row>
    <row r="2553" spans="2:9" ht="15" customHeight="1" x14ac:dyDescent="0.2">
      <c r="B2553" s="8"/>
      <c r="C2553" s="6" t="str">
        <f>IF(B2553="","",[1]!s_dq_close(股指期货基差分析!$E$5,$B2553))</f>
        <v/>
      </c>
      <c r="D2553" s="6" t="str">
        <f>IF(B2553="","",[1]!s_dq_close(股指期货基差分析!$E$6,$B2553))</f>
        <v/>
      </c>
      <c r="E2553" s="6" t="e">
        <f ca="1">RANK(F2553,F:F)+COUNTIF(F$2:F2553,F2553)-1</f>
        <v>#VALUE!</v>
      </c>
      <c r="F2553" s="6" t="str">
        <f t="shared" si="40"/>
        <v/>
      </c>
      <c r="G2553" s="6" t="str">
        <f>IF(B2553="","",股指期货基差分析!$N$11)</f>
        <v/>
      </c>
      <c r="H2553" s="6" t="str">
        <f>IF(B2553="","",股指期货基差分析!$L$11)</f>
        <v/>
      </c>
      <c r="I2553" s="10" t="str">
        <f>IF(B2553="","",股指期货基差分析!$D$11)</f>
        <v/>
      </c>
    </row>
    <row r="2554" spans="2:9" ht="15" customHeight="1" x14ac:dyDescent="0.2">
      <c r="B2554" s="7"/>
      <c r="C2554" s="5" t="str">
        <f>IF(B2554="","",[1]!s_dq_close(股指期货基差分析!$E$5,$B2554))</f>
        <v/>
      </c>
      <c r="D2554" s="5" t="str">
        <f>IF(B2554="","",[1]!s_dq_close(股指期货基差分析!$E$6,$B2554))</f>
        <v/>
      </c>
      <c r="E2554" s="5" t="e">
        <f ca="1">RANK(F2554,F:F)+COUNTIF(F$2:F2554,F2554)-1</f>
        <v>#VALUE!</v>
      </c>
      <c r="F2554" s="5" t="str">
        <f t="shared" si="40"/>
        <v/>
      </c>
      <c r="G2554" s="5" t="str">
        <f>IF(B2554="","",股指期货基差分析!$N$11)</f>
        <v/>
      </c>
      <c r="H2554" s="5" t="str">
        <f>IF(B2554="","",股指期货基差分析!$L$11)</f>
        <v/>
      </c>
      <c r="I2554" s="9" t="str">
        <f>IF(B2554="","",股指期货基差分析!$D$11)</f>
        <v/>
      </c>
    </row>
    <row r="2555" spans="2:9" ht="15" customHeight="1" x14ac:dyDescent="0.2">
      <c r="B2555" s="8"/>
      <c r="C2555" s="6" t="str">
        <f>IF(B2555="","",[1]!s_dq_close(股指期货基差分析!$E$5,$B2555))</f>
        <v/>
      </c>
      <c r="D2555" s="6" t="str">
        <f>IF(B2555="","",[1]!s_dq_close(股指期货基差分析!$E$6,$B2555))</f>
        <v/>
      </c>
      <c r="E2555" s="6" t="e">
        <f ca="1">RANK(F2555,F:F)+COUNTIF(F$2:F2555,F2555)-1</f>
        <v>#VALUE!</v>
      </c>
      <c r="F2555" s="6" t="str">
        <f t="shared" si="40"/>
        <v/>
      </c>
      <c r="G2555" s="6" t="str">
        <f>IF(B2555="","",股指期货基差分析!$N$11)</f>
        <v/>
      </c>
      <c r="H2555" s="6" t="str">
        <f>IF(B2555="","",股指期货基差分析!$L$11)</f>
        <v/>
      </c>
      <c r="I2555" s="10" t="str">
        <f>IF(B2555="","",股指期货基差分析!$D$11)</f>
        <v/>
      </c>
    </row>
    <row r="2556" spans="2:9" ht="15" customHeight="1" x14ac:dyDescent="0.2">
      <c r="B2556" s="7"/>
      <c r="C2556" s="5" t="str">
        <f>IF(B2556="","",[1]!s_dq_close(股指期货基差分析!$E$5,$B2556))</f>
        <v/>
      </c>
      <c r="D2556" s="5" t="str">
        <f>IF(B2556="","",[1]!s_dq_close(股指期货基差分析!$E$6,$B2556))</f>
        <v/>
      </c>
      <c r="E2556" s="5" t="e">
        <f ca="1">RANK(F2556,F:F)+COUNTIF(F$2:F2556,F2556)-1</f>
        <v>#VALUE!</v>
      </c>
      <c r="F2556" s="5" t="str">
        <f t="shared" si="40"/>
        <v/>
      </c>
      <c r="G2556" s="5" t="str">
        <f>IF(B2556="","",股指期货基差分析!$N$11)</f>
        <v/>
      </c>
      <c r="H2556" s="5" t="str">
        <f>IF(B2556="","",股指期货基差分析!$L$11)</f>
        <v/>
      </c>
      <c r="I2556" s="9" t="str">
        <f>IF(B2556="","",股指期货基差分析!$D$11)</f>
        <v/>
      </c>
    </row>
    <row r="2557" spans="2:9" ht="15" customHeight="1" x14ac:dyDescent="0.2">
      <c r="B2557" s="8"/>
      <c r="C2557" s="6" t="str">
        <f>IF(B2557="","",[1]!s_dq_close(股指期货基差分析!$E$5,$B2557))</f>
        <v/>
      </c>
      <c r="D2557" s="6" t="str">
        <f>IF(B2557="","",[1]!s_dq_close(股指期货基差分析!$E$6,$B2557))</f>
        <v/>
      </c>
      <c r="E2557" s="6" t="e">
        <f ca="1">RANK(F2557,F:F)+COUNTIF(F$2:F2557,F2557)-1</f>
        <v>#VALUE!</v>
      </c>
      <c r="F2557" s="6" t="str">
        <f t="shared" si="40"/>
        <v/>
      </c>
      <c r="G2557" s="6" t="str">
        <f>IF(B2557="","",股指期货基差分析!$N$11)</f>
        <v/>
      </c>
      <c r="H2557" s="6" t="str">
        <f>IF(B2557="","",股指期货基差分析!$L$11)</f>
        <v/>
      </c>
      <c r="I2557" s="10" t="str">
        <f>IF(B2557="","",股指期货基差分析!$D$11)</f>
        <v/>
      </c>
    </row>
    <row r="2558" spans="2:9" ht="15" customHeight="1" x14ac:dyDescent="0.2">
      <c r="B2558" s="7"/>
      <c r="C2558" s="5" t="str">
        <f>IF(B2558="","",[1]!s_dq_close(股指期货基差分析!$E$5,$B2558))</f>
        <v/>
      </c>
      <c r="D2558" s="5" t="str">
        <f>IF(B2558="","",[1]!s_dq_close(股指期货基差分析!$E$6,$B2558))</f>
        <v/>
      </c>
      <c r="E2558" s="5" t="e">
        <f ca="1">RANK(F2558,F:F)+COUNTIF(F$2:F2558,F2558)-1</f>
        <v>#VALUE!</v>
      </c>
      <c r="F2558" s="5" t="str">
        <f t="shared" si="40"/>
        <v/>
      </c>
      <c r="G2558" s="5" t="str">
        <f>IF(B2558="","",股指期货基差分析!$N$11)</f>
        <v/>
      </c>
      <c r="H2558" s="5" t="str">
        <f>IF(B2558="","",股指期货基差分析!$L$11)</f>
        <v/>
      </c>
      <c r="I2558" s="9" t="str">
        <f>IF(B2558="","",股指期货基差分析!$D$11)</f>
        <v/>
      </c>
    </row>
    <row r="2559" spans="2:9" ht="15" customHeight="1" x14ac:dyDescent="0.2">
      <c r="B2559" s="8"/>
      <c r="C2559" s="6" t="str">
        <f>IF(B2559="","",[1]!s_dq_close(股指期货基差分析!$E$5,$B2559))</f>
        <v/>
      </c>
      <c r="D2559" s="6" t="str">
        <f>IF(B2559="","",[1]!s_dq_close(股指期货基差分析!$E$6,$B2559))</f>
        <v/>
      </c>
      <c r="E2559" s="6" t="e">
        <f ca="1">RANK(F2559,F:F)+COUNTIF(F$2:F2559,F2559)-1</f>
        <v>#VALUE!</v>
      </c>
      <c r="F2559" s="6" t="str">
        <f t="shared" si="40"/>
        <v/>
      </c>
      <c r="G2559" s="6" t="str">
        <f>IF(B2559="","",股指期货基差分析!$N$11)</f>
        <v/>
      </c>
      <c r="H2559" s="6" t="str">
        <f>IF(B2559="","",股指期货基差分析!$L$11)</f>
        <v/>
      </c>
      <c r="I2559" s="10" t="str">
        <f>IF(B2559="","",股指期货基差分析!$D$11)</f>
        <v/>
      </c>
    </row>
    <row r="2560" spans="2:9" ht="15" customHeight="1" x14ac:dyDescent="0.2">
      <c r="B2560" s="7"/>
      <c r="C2560" s="5" t="str">
        <f>IF(B2560="","",[1]!s_dq_close(股指期货基差分析!$E$5,$B2560))</f>
        <v/>
      </c>
      <c r="D2560" s="5" t="str">
        <f>IF(B2560="","",[1]!s_dq_close(股指期货基差分析!$E$6,$B2560))</f>
        <v/>
      </c>
      <c r="E2560" s="5" t="e">
        <f ca="1">RANK(F2560,F:F)+COUNTIF(F$2:F2560,F2560)-1</f>
        <v>#VALUE!</v>
      </c>
      <c r="F2560" s="5" t="str">
        <f t="shared" si="40"/>
        <v/>
      </c>
      <c r="G2560" s="5" t="str">
        <f>IF(B2560="","",股指期货基差分析!$N$11)</f>
        <v/>
      </c>
      <c r="H2560" s="5" t="str">
        <f>IF(B2560="","",股指期货基差分析!$L$11)</f>
        <v/>
      </c>
      <c r="I2560" s="9" t="str">
        <f>IF(B2560="","",股指期货基差分析!$D$11)</f>
        <v/>
      </c>
    </row>
    <row r="2561" spans="2:9" ht="15" customHeight="1" x14ac:dyDescent="0.2">
      <c r="B2561" s="8"/>
      <c r="C2561" s="6" t="str">
        <f>IF(B2561="","",[1]!s_dq_close(股指期货基差分析!$E$5,$B2561))</f>
        <v/>
      </c>
      <c r="D2561" s="6" t="str">
        <f>IF(B2561="","",[1]!s_dq_close(股指期货基差分析!$E$6,$B2561))</f>
        <v/>
      </c>
      <c r="E2561" s="6" t="e">
        <f ca="1">RANK(F2561,F:F)+COUNTIF(F$2:F2561,F2561)-1</f>
        <v>#VALUE!</v>
      </c>
      <c r="F2561" s="6" t="str">
        <f t="shared" si="40"/>
        <v/>
      </c>
      <c r="G2561" s="6" t="str">
        <f>IF(B2561="","",股指期货基差分析!$N$11)</f>
        <v/>
      </c>
      <c r="H2561" s="6" t="str">
        <f>IF(B2561="","",股指期货基差分析!$L$11)</f>
        <v/>
      </c>
      <c r="I2561" s="10" t="str">
        <f>IF(B2561="","",股指期货基差分析!$D$11)</f>
        <v/>
      </c>
    </row>
    <row r="2562" spans="2:9" ht="15" customHeight="1" x14ac:dyDescent="0.2">
      <c r="B2562" s="7"/>
      <c r="C2562" s="5" t="str">
        <f>IF(B2562="","",[1]!s_dq_close(股指期货基差分析!$E$5,$B2562))</f>
        <v/>
      </c>
      <c r="D2562" s="5" t="str">
        <f>IF(B2562="","",[1]!s_dq_close(股指期货基差分析!$E$6,$B2562))</f>
        <v/>
      </c>
      <c r="E2562" s="5" t="e">
        <f ca="1">RANK(F2562,F:F)+COUNTIF(F$2:F2562,F2562)-1</f>
        <v>#VALUE!</v>
      </c>
      <c r="F2562" s="5" t="str">
        <f t="shared" ref="F2562:F2625" si="41">IF(B2562="","",D2562-C2562)</f>
        <v/>
      </c>
      <c r="G2562" s="5" t="str">
        <f>IF(B2562="","",股指期货基差分析!$N$11)</f>
        <v/>
      </c>
      <c r="H2562" s="5" t="str">
        <f>IF(B2562="","",股指期货基差分析!$L$11)</f>
        <v/>
      </c>
      <c r="I2562" s="9" t="str">
        <f>IF(B2562="","",股指期货基差分析!$D$11)</f>
        <v/>
      </c>
    </row>
    <row r="2563" spans="2:9" ht="15" customHeight="1" x14ac:dyDescent="0.2">
      <c r="B2563" s="8"/>
      <c r="C2563" s="6" t="str">
        <f>IF(B2563="","",[1]!s_dq_close(股指期货基差分析!$E$5,$B2563))</f>
        <v/>
      </c>
      <c r="D2563" s="6" t="str">
        <f>IF(B2563="","",[1]!s_dq_close(股指期货基差分析!$E$6,$B2563))</f>
        <v/>
      </c>
      <c r="E2563" s="6" t="e">
        <f ca="1">RANK(F2563,F:F)+COUNTIF(F$2:F2563,F2563)-1</f>
        <v>#VALUE!</v>
      </c>
      <c r="F2563" s="6" t="str">
        <f t="shared" si="41"/>
        <v/>
      </c>
      <c r="G2563" s="6" t="str">
        <f>IF(B2563="","",股指期货基差分析!$N$11)</f>
        <v/>
      </c>
      <c r="H2563" s="6" t="str">
        <f>IF(B2563="","",股指期货基差分析!$L$11)</f>
        <v/>
      </c>
      <c r="I2563" s="10" t="str">
        <f>IF(B2563="","",股指期货基差分析!$D$11)</f>
        <v/>
      </c>
    </row>
    <row r="2564" spans="2:9" ht="15" customHeight="1" x14ac:dyDescent="0.2">
      <c r="B2564" s="7"/>
      <c r="C2564" s="5" t="str">
        <f>IF(B2564="","",[1]!s_dq_close(股指期货基差分析!$E$5,$B2564))</f>
        <v/>
      </c>
      <c r="D2564" s="5" t="str">
        <f>IF(B2564="","",[1]!s_dq_close(股指期货基差分析!$E$6,$B2564))</f>
        <v/>
      </c>
      <c r="E2564" s="5" t="e">
        <f ca="1">RANK(F2564,F:F)+COUNTIF(F$2:F2564,F2564)-1</f>
        <v>#VALUE!</v>
      </c>
      <c r="F2564" s="5" t="str">
        <f t="shared" si="41"/>
        <v/>
      </c>
      <c r="G2564" s="5" t="str">
        <f>IF(B2564="","",股指期货基差分析!$N$11)</f>
        <v/>
      </c>
      <c r="H2564" s="5" t="str">
        <f>IF(B2564="","",股指期货基差分析!$L$11)</f>
        <v/>
      </c>
      <c r="I2564" s="9" t="str">
        <f>IF(B2564="","",股指期货基差分析!$D$11)</f>
        <v/>
      </c>
    </row>
    <row r="2565" spans="2:9" ht="15" customHeight="1" x14ac:dyDescent="0.2">
      <c r="B2565" s="8"/>
      <c r="C2565" s="6" t="str">
        <f>IF(B2565="","",[1]!s_dq_close(股指期货基差分析!$E$5,$B2565))</f>
        <v/>
      </c>
      <c r="D2565" s="6" t="str">
        <f>IF(B2565="","",[1]!s_dq_close(股指期货基差分析!$E$6,$B2565))</f>
        <v/>
      </c>
      <c r="E2565" s="6" t="e">
        <f ca="1">RANK(F2565,F:F)+COUNTIF(F$2:F2565,F2565)-1</f>
        <v>#VALUE!</v>
      </c>
      <c r="F2565" s="6" t="str">
        <f t="shared" si="41"/>
        <v/>
      </c>
      <c r="G2565" s="6" t="str">
        <f>IF(B2565="","",股指期货基差分析!$N$11)</f>
        <v/>
      </c>
      <c r="H2565" s="6" t="str">
        <f>IF(B2565="","",股指期货基差分析!$L$11)</f>
        <v/>
      </c>
      <c r="I2565" s="10" t="str">
        <f>IF(B2565="","",股指期货基差分析!$D$11)</f>
        <v/>
      </c>
    </row>
    <row r="2566" spans="2:9" ht="15" customHeight="1" x14ac:dyDescent="0.2">
      <c r="B2566" s="7"/>
      <c r="C2566" s="5" t="str">
        <f>IF(B2566="","",[1]!s_dq_close(股指期货基差分析!$E$5,$B2566))</f>
        <v/>
      </c>
      <c r="D2566" s="5" t="str">
        <f>IF(B2566="","",[1]!s_dq_close(股指期货基差分析!$E$6,$B2566))</f>
        <v/>
      </c>
      <c r="E2566" s="5" t="e">
        <f ca="1">RANK(F2566,F:F)+COUNTIF(F$2:F2566,F2566)-1</f>
        <v>#VALUE!</v>
      </c>
      <c r="F2566" s="5" t="str">
        <f t="shared" si="41"/>
        <v/>
      </c>
      <c r="G2566" s="5" t="str">
        <f>IF(B2566="","",股指期货基差分析!$N$11)</f>
        <v/>
      </c>
      <c r="H2566" s="5" t="str">
        <f>IF(B2566="","",股指期货基差分析!$L$11)</f>
        <v/>
      </c>
      <c r="I2566" s="9" t="str">
        <f>IF(B2566="","",股指期货基差分析!$D$11)</f>
        <v/>
      </c>
    </row>
    <row r="2567" spans="2:9" ht="15" customHeight="1" x14ac:dyDescent="0.2">
      <c r="B2567" s="8"/>
      <c r="C2567" s="6" t="str">
        <f>IF(B2567="","",[1]!s_dq_close(股指期货基差分析!$E$5,$B2567))</f>
        <v/>
      </c>
      <c r="D2567" s="6" t="str">
        <f>IF(B2567="","",[1]!s_dq_close(股指期货基差分析!$E$6,$B2567))</f>
        <v/>
      </c>
      <c r="E2567" s="6" t="e">
        <f ca="1">RANK(F2567,F:F)+COUNTIF(F$2:F2567,F2567)-1</f>
        <v>#VALUE!</v>
      </c>
      <c r="F2567" s="6" t="str">
        <f t="shared" si="41"/>
        <v/>
      </c>
      <c r="G2567" s="6" t="str">
        <f>IF(B2567="","",股指期货基差分析!$N$11)</f>
        <v/>
      </c>
      <c r="H2567" s="6" t="str">
        <f>IF(B2567="","",股指期货基差分析!$L$11)</f>
        <v/>
      </c>
      <c r="I2567" s="10" t="str">
        <f>IF(B2567="","",股指期货基差分析!$D$11)</f>
        <v/>
      </c>
    </row>
    <row r="2568" spans="2:9" ht="15" customHeight="1" x14ac:dyDescent="0.2">
      <c r="B2568" s="7"/>
      <c r="C2568" s="5" t="str">
        <f>IF(B2568="","",[1]!s_dq_close(股指期货基差分析!$E$5,$B2568))</f>
        <v/>
      </c>
      <c r="D2568" s="5" t="str">
        <f>IF(B2568="","",[1]!s_dq_close(股指期货基差分析!$E$6,$B2568))</f>
        <v/>
      </c>
      <c r="E2568" s="5" t="e">
        <f ca="1">RANK(F2568,F:F)+COUNTIF(F$2:F2568,F2568)-1</f>
        <v>#VALUE!</v>
      </c>
      <c r="F2568" s="5" t="str">
        <f t="shared" si="41"/>
        <v/>
      </c>
      <c r="G2568" s="5" t="str">
        <f>IF(B2568="","",股指期货基差分析!$N$11)</f>
        <v/>
      </c>
      <c r="H2568" s="5" t="str">
        <f>IF(B2568="","",股指期货基差分析!$L$11)</f>
        <v/>
      </c>
      <c r="I2568" s="9" t="str">
        <f>IF(B2568="","",股指期货基差分析!$D$11)</f>
        <v/>
      </c>
    </row>
    <row r="2569" spans="2:9" ht="15" customHeight="1" x14ac:dyDescent="0.2">
      <c r="B2569" s="8"/>
      <c r="C2569" s="6" t="str">
        <f>IF(B2569="","",[1]!s_dq_close(股指期货基差分析!$E$5,$B2569))</f>
        <v/>
      </c>
      <c r="D2569" s="6" t="str">
        <f>IF(B2569="","",[1]!s_dq_close(股指期货基差分析!$E$6,$B2569))</f>
        <v/>
      </c>
      <c r="E2569" s="6" t="e">
        <f ca="1">RANK(F2569,F:F)+COUNTIF(F$2:F2569,F2569)-1</f>
        <v>#VALUE!</v>
      </c>
      <c r="F2569" s="6" t="str">
        <f t="shared" si="41"/>
        <v/>
      </c>
      <c r="G2569" s="6" t="str">
        <f>IF(B2569="","",股指期货基差分析!$N$11)</f>
        <v/>
      </c>
      <c r="H2569" s="6" t="str">
        <f>IF(B2569="","",股指期货基差分析!$L$11)</f>
        <v/>
      </c>
      <c r="I2569" s="10" t="str">
        <f>IF(B2569="","",股指期货基差分析!$D$11)</f>
        <v/>
      </c>
    </row>
    <row r="2570" spans="2:9" ht="15" customHeight="1" x14ac:dyDescent="0.2">
      <c r="B2570" s="7"/>
      <c r="C2570" s="5" t="str">
        <f>IF(B2570="","",[1]!s_dq_close(股指期货基差分析!$E$5,$B2570))</f>
        <v/>
      </c>
      <c r="D2570" s="5" t="str">
        <f>IF(B2570="","",[1]!s_dq_close(股指期货基差分析!$E$6,$B2570))</f>
        <v/>
      </c>
      <c r="E2570" s="5" t="e">
        <f ca="1">RANK(F2570,F:F)+COUNTIF(F$2:F2570,F2570)-1</f>
        <v>#VALUE!</v>
      </c>
      <c r="F2570" s="5" t="str">
        <f t="shared" si="41"/>
        <v/>
      </c>
      <c r="G2570" s="5" t="str">
        <f>IF(B2570="","",股指期货基差分析!$N$11)</f>
        <v/>
      </c>
      <c r="H2570" s="5" t="str">
        <f>IF(B2570="","",股指期货基差分析!$L$11)</f>
        <v/>
      </c>
      <c r="I2570" s="9" t="str">
        <f>IF(B2570="","",股指期货基差分析!$D$11)</f>
        <v/>
      </c>
    </row>
    <row r="2571" spans="2:9" ht="15" customHeight="1" x14ac:dyDescent="0.2">
      <c r="B2571" s="8"/>
      <c r="C2571" s="6" t="str">
        <f>IF(B2571="","",[1]!s_dq_close(股指期货基差分析!$E$5,$B2571))</f>
        <v/>
      </c>
      <c r="D2571" s="6" t="str">
        <f>IF(B2571="","",[1]!s_dq_close(股指期货基差分析!$E$6,$B2571))</f>
        <v/>
      </c>
      <c r="E2571" s="6" t="e">
        <f ca="1">RANK(F2571,F:F)+COUNTIF(F$2:F2571,F2571)-1</f>
        <v>#VALUE!</v>
      </c>
      <c r="F2571" s="6" t="str">
        <f t="shared" si="41"/>
        <v/>
      </c>
      <c r="G2571" s="6" t="str">
        <f>IF(B2571="","",股指期货基差分析!$N$11)</f>
        <v/>
      </c>
      <c r="H2571" s="6" t="str">
        <f>IF(B2571="","",股指期货基差分析!$L$11)</f>
        <v/>
      </c>
      <c r="I2571" s="10" t="str">
        <f>IF(B2571="","",股指期货基差分析!$D$11)</f>
        <v/>
      </c>
    </row>
    <row r="2572" spans="2:9" ht="15" customHeight="1" x14ac:dyDescent="0.2">
      <c r="B2572" s="7"/>
      <c r="C2572" s="5" t="str">
        <f>IF(B2572="","",[1]!s_dq_close(股指期货基差分析!$E$5,$B2572))</f>
        <v/>
      </c>
      <c r="D2572" s="5" t="str">
        <f>IF(B2572="","",[1]!s_dq_close(股指期货基差分析!$E$6,$B2572))</f>
        <v/>
      </c>
      <c r="E2572" s="5" t="e">
        <f ca="1">RANK(F2572,F:F)+COUNTIF(F$2:F2572,F2572)-1</f>
        <v>#VALUE!</v>
      </c>
      <c r="F2572" s="5" t="str">
        <f t="shared" si="41"/>
        <v/>
      </c>
      <c r="G2572" s="5" t="str">
        <f>IF(B2572="","",股指期货基差分析!$N$11)</f>
        <v/>
      </c>
      <c r="H2572" s="5" t="str">
        <f>IF(B2572="","",股指期货基差分析!$L$11)</f>
        <v/>
      </c>
      <c r="I2572" s="9" t="str">
        <f>IF(B2572="","",股指期货基差分析!$D$11)</f>
        <v/>
      </c>
    </row>
    <row r="2573" spans="2:9" ht="15" customHeight="1" x14ac:dyDescent="0.2">
      <c r="B2573" s="8"/>
      <c r="C2573" s="6" t="str">
        <f>IF(B2573="","",[1]!s_dq_close(股指期货基差分析!$E$5,$B2573))</f>
        <v/>
      </c>
      <c r="D2573" s="6" t="str">
        <f>IF(B2573="","",[1]!s_dq_close(股指期货基差分析!$E$6,$B2573))</f>
        <v/>
      </c>
      <c r="E2573" s="6" t="e">
        <f ca="1">RANK(F2573,F:F)+COUNTIF(F$2:F2573,F2573)-1</f>
        <v>#VALUE!</v>
      </c>
      <c r="F2573" s="6" t="str">
        <f t="shared" si="41"/>
        <v/>
      </c>
      <c r="G2573" s="6" t="str">
        <f>IF(B2573="","",股指期货基差分析!$N$11)</f>
        <v/>
      </c>
      <c r="H2573" s="6" t="str">
        <f>IF(B2573="","",股指期货基差分析!$L$11)</f>
        <v/>
      </c>
      <c r="I2573" s="10" t="str">
        <f>IF(B2573="","",股指期货基差分析!$D$11)</f>
        <v/>
      </c>
    </row>
    <row r="2574" spans="2:9" ht="15" customHeight="1" x14ac:dyDescent="0.2">
      <c r="B2574" s="7"/>
      <c r="C2574" s="5" t="str">
        <f>IF(B2574="","",[1]!s_dq_close(股指期货基差分析!$E$5,$B2574))</f>
        <v/>
      </c>
      <c r="D2574" s="5" t="str">
        <f>IF(B2574="","",[1]!s_dq_close(股指期货基差分析!$E$6,$B2574))</f>
        <v/>
      </c>
      <c r="E2574" s="5" t="e">
        <f ca="1">RANK(F2574,F:F)+COUNTIF(F$2:F2574,F2574)-1</f>
        <v>#VALUE!</v>
      </c>
      <c r="F2574" s="5" t="str">
        <f t="shared" si="41"/>
        <v/>
      </c>
      <c r="G2574" s="5" t="str">
        <f>IF(B2574="","",股指期货基差分析!$N$11)</f>
        <v/>
      </c>
      <c r="H2574" s="5" t="str">
        <f>IF(B2574="","",股指期货基差分析!$L$11)</f>
        <v/>
      </c>
      <c r="I2574" s="9" t="str">
        <f>IF(B2574="","",股指期货基差分析!$D$11)</f>
        <v/>
      </c>
    </row>
    <row r="2575" spans="2:9" ht="15" customHeight="1" x14ac:dyDescent="0.2">
      <c r="B2575" s="8"/>
      <c r="C2575" s="6" t="str">
        <f>IF(B2575="","",[1]!s_dq_close(股指期货基差分析!$E$5,$B2575))</f>
        <v/>
      </c>
      <c r="D2575" s="6" t="str">
        <f>IF(B2575="","",[1]!s_dq_close(股指期货基差分析!$E$6,$B2575))</f>
        <v/>
      </c>
      <c r="E2575" s="6" t="e">
        <f ca="1">RANK(F2575,F:F)+COUNTIF(F$2:F2575,F2575)-1</f>
        <v>#VALUE!</v>
      </c>
      <c r="F2575" s="6" t="str">
        <f t="shared" si="41"/>
        <v/>
      </c>
      <c r="G2575" s="6" t="str">
        <f>IF(B2575="","",股指期货基差分析!$N$11)</f>
        <v/>
      </c>
      <c r="H2575" s="6" t="str">
        <f>IF(B2575="","",股指期货基差分析!$L$11)</f>
        <v/>
      </c>
      <c r="I2575" s="10" t="str">
        <f>IF(B2575="","",股指期货基差分析!$D$11)</f>
        <v/>
      </c>
    </row>
    <row r="2576" spans="2:9" ht="15" customHeight="1" x14ac:dyDescent="0.2">
      <c r="B2576" s="7"/>
      <c r="C2576" s="5" t="str">
        <f>IF(B2576="","",[1]!s_dq_close(股指期货基差分析!$E$5,$B2576))</f>
        <v/>
      </c>
      <c r="D2576" s="5" t="str">
        <f>IF(B2576="","",[1]!s_dq_close(股指期货基差分析!$E$6,$B2576))</f>
        <v/>
      </c>
      <c r="E2576" s="5" t="e">
        <f ca="1">RANK(F2576,F:F)+COUNTIF(F$2:F2576,F2576)-1</f>
        <v>#VALUE!</v>
      </c>
      <c r="F2576" s="5" t="str">
        <f t="shared" si="41"/>
        <v/>
      </c>
      <c r="G2576" s="5" t="str">
        <f>IF(B2576="","",股指期货基差分析!$N$11)</f>
        <v/>
      </c>
      <c r="H2576" s="5" t="str">
        <f>IF(B2576="","",股指期货基差分析!$L$11)</f>
        <v/>
      </c>
      <c r="I2576" s="9" t="str">
        <f>IF(B2576="","",股指期货基差分析!$D$11)</f>
        <v/>
      </c>
    </row>
    <row r="2577" spans="2:9" ht="15" customHeight="1" x14ac:dyDescent="0.2">
      <c r="B2577" s="8"/>
      <c r="C2577" s="6" t="str">
        <f>IF(B2577="","",[1]!s_dq_close(股指期货基差分析!$E$5,$B2577))</f>
        <v/>
      </c>
      <c r="D2577" s="6" t="str">
        <f>IF(B2577="","",[1]!s_dq_close(股指期货基差分析!$E$6,$B2577))</f>
        <v/>
      </c>
      <c r="E2577" s="6" t="e">
        <f ca="1">RANK(F2577,F:F)+COUNTIF(F$2:F2577,F2577)-1</f>
        <v>#VALUE!</v>
      </c>
      <c r="F2577" s="6" t="str">
        <f t="shared" si="41"/>
        <v/>
      </c>
      <c r="G2577" s="6" t="str">
        <f>IF(B2577="","",股指期货基差分析!$N$11)</f>
        <v/>
      </c>
      <c r="H2577" s="6" t="str">
        <f>IF(B2577="","",股指期货基差分析!$L$11)</f>
        <v/>
      </c>
      <c r="I2577" s="10" t="str">
        <f>IF(B2577="","",股指期货基差分析!$D$11)</f>
        <v/>
      </c>
    </row>
    <row r="2578" spans="2:9" ht="15" customHeight="1" x14ac:dyDescent="0.2">
      <c r="B2578" s="7"/>
      <c r="C2578" s="5" t="str">
        <f>IF(B2578="","",[1]!s_dq_close(股指期货基差分析!$E$5,$B2578))</f>
        <v/>
      </c>
      <c r="D2578" s="5" t="str">
        <f>IF(B2578="","",[1]!s_dq_close(股指期货基差分析!$E$6,$B2578))</f>
        <v/>
      </c>
      <c r="E2578" s="5" t="e">
        <f ca="1">RANK(F2578,F:F)+COUNTIF(F$2:F2578,F2578)-1</f>
        <v>#VALUE!</v>
      </c>
      <c r="F2578" s="5" t="str">
        <f t="shared" si="41"/>
        <v/>
      </c>
      <c r="G2578" s="5" t="str">
        <f>IF(B2578="","",股指期货基差分析!$N$11)</f>
        <v/>
      </c>
      <c r="H2578" s="5" t="str">
        <f>IF(B2578="","",股指期货基差分析!$L$11)</f>
        <v/>
      </c>
      <c r="I2578" s="9" t="str">
        <f>IF(B2578="","",股指期货基差分析!$D$11)</f>
        <v/>
      </c>
    </row>
    <row r="2579" spans="2:9" ht="15" customHeight="1" x14ac:dyDescent="0.2">
      <c r="B2579" s="8"/>
      <c r="C2579" s="6" t="str">
        <f>IF(B2579="","",[1]!s_dq_close(股指期货基差分析!$E$5,$B2579))</f>
        <v/>
      </c>
      <c r="D2579" s="6" t="str">
        <f>IF(B2579="","",[1]!s_dq_close(股指期货基差分析!$E$6,$B2579))</f>
        <v/>
      </c>
      <c r="E2579" s="6" t="e">
        <f ca="1">RANK(F2579,F:F)+COUNTIF(F$2:F2579,F2579)-1</f>
        <v>#VALUE!</v>
      </c>
      <c r="F2579" s="6" t="str">
        <f t="shared" si="41"/>
        <v/>
      </c>
      <c r="G2579" s="6" t="str">
        <f>IF(B2579="","",股指期货基差分析!$N$11)</f>
        <v/>
      </c>
      <c r="H2579" s="6" t="str">
        <f>IF(B2579="","",股指期货基差分析!$L$11)</f>
        <v/>
      </c>
      <c r="I2579" s="10" t="str">
        <f>IF(B2579="","",股指期货基差分析!$D$11)</f>
        <v/>
      </c>
    </row>
    <row r="2580" spans="2:9" ht="15" customHeight="1" x14ac:dyDescent="0.2">
      <c r="B2580" s="7"/>
      <c r="C2580" s="5" t="str">
        <f>IF(B2580="","",[1]!s_dq_close(股指期货基差分析!$E$5,$B2580))</f>
        <v/>
      </c>
      <c r="D2580" s="5" t="str">
        <f>IF(B2580="","",[1]!s_dq_close(股指期货基差分析!$E$6,$B2580))</f>
        <v/>
      </c>
      <c r="E2580" s="5" t="e">
        <f ca="1">RANK(F2580,F:F)+COUNTIF(F$2:F2580,F2580)-1</f>
        <v>#VALUE!</v>
      </c>
      <c r="F2580" s="5" t="str">
        <f t="shared" si="41"/>
        <v/>
      </c>
      <c r="G2580" s="5" t="str">
        <f>IF(B2580="","",股指期货基差分析!$N$11)</f>
        <v/>
      </c>
      <c r="H2580" s="5" t="str">
        <f>IF(B2580="","",股指期货基差分析!$L$11)</f>
        <v/>
      </c>
      <c r="I2580" s="9" t="str">
        <f>IF(B2580="","",股指期货基差分析!$D$11)</f>
        <v/>
      </c>
    </row>
    <row r="2581" spans="2:9" ht="15" customHeight="1" x14ac:dyDescent="0.2">
      <c r="B2581" s="8"/>
      <c r="C2581" s="6" t="str">
        <f>IF(B2581="","",[1]!s_dq_close(股指期货基差分析!$E$5,$B2581))</f>
        <v/>
      </c>
      <c r="D2581" s="6" t="str">
        <f>IF(B2581="","",[1]!s_dq_close(股指期货基差分析!$E$6,$B2581))</f>
        <v/>
      </c>
      <c r="E2581" s="6" t="e">
        <f ca="1">RANK(F2581,F:F)+COUNTIF(F$2:F2581,F2581)-1</f>
        <v>#VALUE!</v>
      </c>
      <c r="F2581" s="6" t="str">
        <f t="shared" si="41"/>
        <v/>
      </c>
      <c r="G2581" s="6" t="str">
        <f>IF(B2581="","",股指期货基差分析!$N$11)</f>
        <v/>
      </c>
      <c r="H2581" s="6" t="str">
        <f>IF(B2581="","",股指期货基差分析!$L$11)</f>
        <v/>
      </c>
      <c r="I2581" s="10" t="str">
        <f>IF(B2581="","",股指期货基差分析!$D$11)</f>
        <v/>
      </c>
    </row>
    <row r="2582" spans="2:9" ht="15" customHeight="1" x14ac:dyDescent="0.2">
      <c r="B2582" s="7"/>
      <c r="C2582" s="5" t="str">
        <f>IF(B2582="","",[1]!s_dq_close(股指期货基差分析!$E$5,$B2582))</f>
        <v/>
      </c>
      <c r="D2582" s="5" t="str">
        <f>IF(B2582="","",[1]!s_dq_close(股指期货基差分析!$E$6,$B2582))</f>
        <v/>
      </c>
      <c r="E2582" s="5" t="e">
        <f ca="1">RANK(F2582,F:F)+COUNTIF(F$2:F2582,F2582)-1</f>
        <v>#VALUE!</v>
      </c>
      <c r="F2582" s="5" t="str">
        <f t="shared" si="41"/>
        <v/>
      </c>
      <c r="G2582" s="5" t="str">
        <f>IF(B2582="","",股指期货基差分析!$N$11)</f>
        <v/>
      </c>
      <c r="H2582" s="5" t="str">
        <f>IF(B2582="","",股指期货基差分析!$L$11)</f>
        <v/>
      </c>
      <c r="I2582" s="9" t="str">
        <f>IF(B2582="","",股指期货基差分析!$D$11)</f>
        <v/>
      </c>
    </row>
    <row r="2583" spans="2:9" ht="15" customHeight="1" x14ac:dyDescent="0.2">
      <c r="B2583" s="8"/>
      <c r="C2583" s="6" t="str">
        <f>IF(B2583="","",[1]!s_dq_close(股指期货基差分析!$E$5,$B2583))</f>
        <v/>
      </c>
      <c r="D2583" s="6" t="str">
        <f>IF(B2583="","",[1]!s_dq_close(股指期货基差分析!$E$6,$B2583))</f>
        <v/>
      </c>
      <c r="E2583" s="6" t="e">
        <f ca="1">RANK(F2583,F:F)+COUNTIF(F$2:F2583,F2583)-1</f>
        <v>#VALUE!</v>
      </c>
      <c r="F2583" s="6" t="str">
        <f t="shared" si="41"/>
        <v/>
      </c>
      <c r="G2583" s="6" t="str">
        <f>IF(B2583="","",股指期货基差分析!$N$11)</f>
        <v/>
      </c>
      <c r="H2583" s="6" t="str">
        <f>IF(B2583="","",股指期货基差分析!$L$11)</f>
        <v/>
      </c>
      <c r="I2583" s="10" t="str">
        <f>IF(B2583="","",股指期货基差分析!$D$11)</f>
        <v/>
      </c>
    </row>
    <row r="2584" spans="2:9" ht="15" customHeight="1" x14ac:dyDescent="0.2">
      <c r="B2584" s="7"/>
      <c r="C2584" s="5" t="str">
        <f>IF(B2584="","",[1]!s_dq_close(股指期货基差分析!$E$5,$B2584))</f>
        <v/>
      </c>
      <c r="D2584" s="5" t="str">
        <f>IF(B2584="","",[1]!s_dq_close(股指期货基差分析!$E$6,$B2584))</f>
        <v/>
      </c>
      <c r="E2584" s="5" t="e">
        <f ca="1">RANK(F2584,F:F)+COUNTIF(F$2:F2584,F2584)-1</f>
        <v>#VALUE!</v>
      </c>
      <c r="F2584" s="5" t="str">
        <f t="shared" si="41"/>
        <v/>
      </c>
      <c r="G2584" s="5" t="str">
        <f>IF(B2584="","",股指期货基差分析!$N$11)</f>
        <v/>
      </c>
      <c r="H2584" s="5" t="str">
        <f>IF(B2584="","",股指期货基差分析!$L$11)</f>
        <v/>
      </c>
      <c r="I2584" s="9" t="str">
        <f>IF(B2584="","",股指期货基差分析!$D$11)</f>
        <v/>
      </c>
    </row>
    <row r="2585" spans="2:9" ht="15" customHeight="1" x14ac:dyDescent="0.2">
      <c r="B2585" s="8"/>
      <c r="C2585" s="6" t="str">
        <f>IF(B2585="","",[1]!s_dq_close(股指期货基差分析!$E$5,$B2585))</f>
        <v/>
      </c>
      <c r="D2585" s="6" t="str">
        <f>IF(B2585="","",[1]!s_dq_close(股指期货基差分析!$E$6,$B2585))</f>
        <v/>
      </c>
      <c r="E2585" s="6" t="e">
        <f ca="1">RANK(F2585,F:F)+COUNTIF(F$2:F2585,F2585)-1</f>
        <v>#VALUE!</v>
      </c>
      <c r="F2585" s="6" t="str">
        <f t="shared" si="41"/>
        <v/>
      </c>
      <c r="G2585" s="6" t="str">
        <f>IF(B2585="","",股指期货基差分析!$N$11)</f>
        <v/>
      </c>
      <c r="H2585" s="6" t="str">
        <f>IF(B2585="","",股指期货基差分析!$L$11)</f>
        <v/>
      </c>
      <c r="I2585" s="10" t="str">
        <f>IF(B2585="","",股指期货基差分析!$D$11)</f>
        <v/>
      </c>
    </row>
    <row r="2586" spans="2:9" ht="15" customHeight="1" x14ac:dyDescent="0.2">
      <c r="B2586" s="7"/>
      <c r="C2586" s="5" t="str">
        <f>IF(B2586="","",[1]!s_dq_close(股指期货基差分析!$E$5,$B2586))</f>
        <v/>
      </c>
      <c r="D2586" s="5" t="str">
        <f>IF(B2586="","",[1]!s_dq_close(股指期货基差分析!$E$6,$B2586))</f>
        <v/>
      </c>
      <c r="E2586" s="5" t="e">
        <f ca="1">RANK(F2586,F:F)+COUNTIF(F$2:F2586,F2586)-1</f>
        <v>#VALUE!</v>
      </c>
      <c r="F2586" s="5" t="str">
        <f t="shared" si="41"/>
        <v/>
      </c>
      <c r="G2586" s="5" t="str">
        <f>IF(B2586="","",股指期货基差分析!$N$11)</f>
        <v/>
      </c>
      <c r="H2586" s="5" t="str">
        <f>IF(B2586="","",股指期货基差分析!$L$11)</f>
        <v/>
      </c>
      <c r="I2586" s="9" t="str">
        <f>IF(B2586="","",股指期货基差分析!$D$11)</f>
        <v/>
      </c>
    </row>
    <row r="2587" spans="2:9" ht="15" customHeight="1" x14ac:dyDescent="0.2">
      <c r="B2587" s="8"/>
      <c r="C2587" s="6" t="str">
        <f>IF(B2587="","",[1]!s_dq_close(股指期货基差分析!$E$5,$B2587))</f>
        <v/>
      </c>
      <c r="D2587" s="6" t="str">
        <f>IF(B2587="","",[1]!s_dq_close(股指期货基差分析!$E$6,$B2587))</f>
        <v/>
      </c>
      <c r="E2587" s="6" t="e">
        <f ca="1">RANK(F2587,F:F)+COUNTIF(F$2:F2587,F2587)-1</f>
        <v>#VALUE!</v>
      </c>
      <c r="F2587" s="6" t="str">
        <f t="shared" si="41"/>
        <v/>
      </c>
      <c r="G2587" s="6" t="str">
        <f>IF(B2587="","",股指期货基差分析!$N$11)</f>
        <v/>
      </c>
      <c r="H2587" s="6" t="str">
        <f>IF(B2587="","",股指期货基差分析!$L$11)</f>
        <v/>
      </c>
      <c r="I2587" s="10" t="str">
        <f>IF(B2587="","",股指期货基差分析!$D$11)</f>
        <v/>
      </c>
    </row>
    <row r="2588" spans="2:9" ht="15" customHeight="1" x14ac:dyDescent="0.2">
      <c r="B2588" s="7"/>
      <c r="C2588" s="5" t="str">
        <f>IF(B2588="","",[1]!s_dq_close(股指期货基差分析!$E$5,$B2588))</f>
        <v/>
      </c>
      <c r="D2588" s="5" t="str">
        <f>IF(B2588="","",[1]!s_dq_close(股指期货基差分析!$E$6,$B2588))</f>
        <v/>
      </c>
      <c r="E2588" s="5" t="e">
        <f ca="1">RANK(F2588,F:F)+COUNTIF(F$2:F2588,F2588)-1</f>
        <v>#VALUE!</v>
      </c>
      <c r="F2588" s="5" t="str">
        <f t="shared" si="41"/>
        <v/>
      </c>
      <c r="G2588" s="5" t="str">
        <f>IF(B2588="","",股指期货基差分析!$N$11)</f>
        <v/>
      </c>
      <c r="H2588" s="5" t="str">
        <f>IF(B2588="","",股指期货基差分析!$L$11)</f>
        <v/>
      </c>
      <c r="I2588" s="9" t="str">
        <f>IF(B2588="","",股指期货基差分析!$D$11)</f>
        <v/>
      </c>
    </row>
    <row r="2589" spans="2:9" ht="15" customHeight="1" x14ac:dyDescent="0.2">
      <c r="B2589" s="8"/>
      <c r="C2589" s="6" t="str">
        <f>IF(B2589="","",[1]!s_dq_close(股指期货基差分析!$E$5,$B2589))</f>
        <v/>
      </c>
      <c r="D2589" s="6" t="str">
        <f>IF(B2589="","",[1]!s_dq_close(股指期货基差分析!$E$6,$B2589))</f>
        <v/>
      </c>
      <c r="E2589" s="6" t="e">
        <f ca="1">RANK(F2589,F:F)+COUNTIF(F$2:F2589,F2589)-1</f>
        <v>#VALUE!</v>
      </c>
      <c r="F2589" s="6" t="str">
        <f t="shared" si="41"/>
        <v/>
      </c>
      <c r="G2589" s="6" t="str">
        <f>IF(B2589="","",股指期货基差分析!$N$11)</f>
        <v/>
      </c>
      <c r="H2589" s="6" t="str">
        <f>IF(B2589="","",股指期货基差分析!$L$11)</f>
        <v/>
      </c>
      <c r="I2589" s="10" t="str">
        <f>IF(B2589="","",股指期货基差分析!$D$11)</f>
        <v/>
      </c>
    </row>
    <row r="2590" spans="2:9" ht="15" customHeight="1" x14ac:dyDescent="0.2">
      <c r="B2590" s="7"/>
      <c r="C2590" s="5" t="str">
        <f>IF(B2590="","",[1]!s_dq_close(股指期货基差分析!$E$5,$B2590))</f>
        <v/>
      </c>
      <c r="D2590" s="5" t="str">
        <f>IF(B2590="","",[1]!s_dq_close(股指期货基差分析!$E$6,$B2590))</f>
        <v/>
      </c>
      <c r="E2590" s="5" t="e">
        <f ca="1">RANK(F2590,F:F)+COUNTIF(F$2:F2590,F2590)-1</f>
        <v>#VALUE!</v>
      </c>
      <c r="F2590" s="5" t="str">
        <f t="shared" si="41"/>
        <v/>
      </c>
      <c r="G2590" s="5" t="str">
        <f>IF(B2590="","",股指期货基差分析!$N$11)</f>
        <v/>
      </c>
      <c r="H2590" s="5" t="str">
        <f>IF(B2590="","",股指期货基差分析!$L$11)</f>
        <v/>
      </c>
      <c r="I2590" s="9" t="str">
        <f>IF(B2590="","",股指期货基差分析!$D$11)</f>
        <v/>
      </c>
    </row>
    <row r="2591" spans="2:9" ht="15" customHeight="1" x14ac:dyDescent="0.2">
      <c r="B2591" s="8"/>
      <c r="C2591" s="6" t="str">
        <f>IF(B2591="","",[1]!s_dq_close(股指期货基差分析!$E$5,$B2591))</f>
        <v/>
      </c>
      <c r="D2591" s="6" t="str">
        <f>IF(B2591="","",[1]!s_dq_close(股指期货基差分析!$E$6,$B2591))</f>
        <v/>
      </c>
      <c r="E2591" s="6" t="e">
        <f ca="1">RANK(F2591,F:F)+COUNTIF(F$2:F2591,F2591)-1</f>
        <v>#VALUE!</v>
      </c>
      <c r="F2591" s="6" t="str">
        <f t="shared" si="41"/>
        <v/>
      </c>
      <c r="G2591" s="6" t="str">
        <f>IF(B2591="","",股指期货基差分析!$N$11)</f>
        <v/>
      </c>
      <c r="H2591" s="6" t="str">
        <f>IF(B2591="","",股指期货基差分析!$L$11)</f>
        <v/>
      </c>
      <c r="I2591" s="10" t="str">
        <f>IF(B2591="","",股指期货基差分析!$D$11)</f>
        <v/>
      </c>
    </row>
    <row r="2592" spans="2:9" ht="15" customHeight="1" x14ac:dyDescent="0.2">
      <c r="B2592" s="7"/>
      <c r="C2592" s="5" t="str">
        <f>IF(B2592="","",[1]!s_dq_close(股指期货基差分析!$E$5,$B2592))</f>
        <v/>
      </c>
      <c r="D2592" s="5" t="str">
        <f>IF(B2592="","",[1]!s_dq_close(股指期货基差分析!$E$6,$B2592))</f>
        <v/>
      </c>
      <c r="E2592" s="5" t="e">
        <f ca="1">RANK(F2592,F:F)+COUNTIF(F$2:F2592,F2592)-1</f>
        <v>#VALUE!</v>
      </c>
      <c r="F2592" s="5" t="str">
        <f t="shared" si="41"/>
        <v/>
      </c>
      <c r="G2592" s="5" t="str">
        <f>IF(B2592="","",股指期货基差分析!$N$11)</f>
        <v/>
      </c>
      <c r="H2592" s="5" t="str">
        <f>IF(B2592="","",股指期货基差分析!$L$11)</f>
        <v/>
      </c>
      <c r="I2592" s="9" t="str">
        <f>IF(B2592="","",股指期货基差分析!$D$11)</f>
        <v/>
      </c>
    </row>
    <row r="2593" spans="2:9" ht="15" customHeight="1" x14ac:dyDescent="0.2">
      <c r="B2593" s="8"/>
      <c r="C2593" s="6" t="str">
        <f>IF(B2593="","",[1]!s_dq_close(股指期货基差分析!$E$5,$B2593))</f>
        <v/>
      </c>
      <c r="D2593" s="6" t="str">
        <f>IF(B2593="","",[1]!s_dq_close(股指期货基差分析!$E$6,$B2593))</f>
        <v/>
      </c>
      <c r="E2593" s="6" t="e">
        <f ca="1">RANK(F2593,F:F)+COUNTIF(F$2:F2593,F2593)-1</f>
        <v>#VALUE!</v>
      </c>
      <c r="F2593" s="6" t="str">
        <f t="shared" si="41"/>
        <v/>
      </c>
      <c r="G2593" s="6" t="str">
        <f>IF(B2593="","",股指期货基差分析!$N$11)</f>
        <v/>
      </c>
      <c r="H2593" s="6" t="str">
        <f>IF(B2593="","",股指期货基差分析!$L$11)</f>
        <v/>
      </c>
      <c r="I2593" s="10" t="str">
        <f>IF(B2593="","",股指期货基差分析!$D$11)</f>
        <v/>
      </c>
    </row>
    <row r="2594" spans="2:9" ht="15" customHeight="1" x14ac:dyDescent="0.2">
      <c r="B2594" s="7"/>
      <c r="C2594" s="5" t="str">
        <f>IF(B2594="","",[1]!s_dq_close(股指期货基差分析!$E$5,$B2594))</f>
        <v/>
      </c>
      <c r="D2594" s="5" t="str">
        <f>IF(B2594="","",[1]!s_dq_close(股指期货基差分析!$E$6,$B2594))</f>
        <v/>
      </c>
      <c r="E2594" s="5" t="e">
        <f ca="1">RANK(F2594,F:F)+COUNTIF(F$2:F2594,F2594)-1</f>
        <v>#VALUE!</v>
      </c>
      <c r="F2594" s="5" t="str">
        <f t="shared" si="41"/>
        <v/>
      </c>
      <c r="G2594" s="5" t="str">
        <f>IF(B2594="","",股指期货基差分析!$N$11)</f>
        <v/>
      </c>
      <c r="H2594" s="5" t="str">
        <f>IF(B2594="","",股指期货基差分析!$L$11)</f>
        <v/>
      </c>
      <c r="I2594" s="9" t="str">
        <f>IF(B2594="","",股指期货基差分析!$D$11)</f>
        <v/>
      </c>
    </row>
    <row r="2595" spans="2:9" ht="15" customHeight="1" x14ac:dyDescent="0.2">
      <c r="B2595" s="8"/>
      <c r="C2595" s="6" t="str">
        <f>IF(B2595="","",[1]!s_dq_close(股指期货基差分析!$E$5,$B2595))</f>
        <v/>
      </c>
      <c r="D2595" s="6" t="str">
        <f>IF(B2595="","",[1]!s_dq_close(股指期货基差分析!$E$6,$B2595))</f>
        <v/>
      </c>
      <c r="E2595" s="6" t="e">
        <f ca="1">RANK(F2595,F:F)+COUNTIF(F$2:F2595,F2595)-1</f>
        <v>#VALUE!</v>
      </c>
      <c r="F2595" s="6" t="str">
        <f t="shared" si="41"/>
        <v/>
      </c>
      <c r="G2595" s="6" t="str">
        <f>IF(B2595="","",股指期货基差分析!$N$11)</f>
        <v/>
      </c>
      <c r="H2595" s="6" t="str">
        <f>IF(B2595="","",股指期货基差分析!$L$11)</f>
        <v/>
      </c>
      <c r="I2595" s="10" t="str">
        <f>IF(B2595="","",股指期货基差分析!$D$11)</f>
        <v/>
      </c>
    </row>
    <row r="2596" spans="2:9" ht="15" customHeight="1" x14ac:dyDescent="0.2">
      <c r="B2596" s="7"/>
      <c r="C2596" s="5" t="str">
        <f>IF(B2596="","",[1]!s_dq_close(股指期货基差分析!$E$5,$B2596))</f>
        <v/>
      </c>
      <c r="D2596" s="5" t="str">
        <f>IF(B2596="","",[1]!s_dq_close(股指期货基差分析!$E$6,$B2596))</f>
        <v/>
      </c>
      <c r="E2596" s="5" t="e">
        <f ca="1">RANK(F2596,F:F)+COUNTIF(F$2:F2596,F2596)-1</f>
        <v>#VALUE!</v>
      </c>
      <c r="F2596" s="5" t="str">
        <f t="shared" si="41"/>
        <v/>
      </c>
      <c r="G2596" s="5" t="str">
        <f>IF(B2596="","",股指期货基差分析!$N$11)</f>
        <v/>
      </c>
      <c r="H2596" s="5" t="str">
        <f>IF(B2596="","",股指期货基差分析!$L$11)</f>
        <v/>
      </c>
      <c r="I2596" s="9" t="str">
        <f>IF(B2596="","",股指期货基差分析!$D$11)</f>
        <v/>
      </c>
    </row>
    <row r="2597" spans="2:9" ht="15" customHeight="1" x14ac:dyDescent="0.2">
      <c r="B2597" s="8"/>
      <c r="C2597" s="6" t="str">
        <f>IF(B2597="","",[1]!s_dq_close(股指期货基差分析!$E$5,$B2597))</f>
        <v/>
      </c>
      <c r="D2597" s="6" t="str">
        <f>IF(B2597="","",[1]!s_dq_close(股指期货基差分析!$E$6,$B2597))</f>
        <v/>
      </c>
      <c r="E2597" s="6" t="e">
        <f ca="1">RANK(F2597,F:F)+COUNTIF(F$2:F2597,F2597)-1</f>
        <v>#VALUE!</v>
      </c>
      <c r="F2597" s="6" t="str">
        <f t="shared" si="41"/>
        <v/>
      </c>
      <c r="G2597" s="6" t="str">
        <f>IF(B2597="","",股指期货基差分析!$N$11)</f>
        <v/>
      </c>
      <c r="H2597" s="6" t="str">
        <f>IF(B2597="","",股指期货基差分析!$L$11)</f>
        <v/>
      </c>
      <c r="I2597" s="10" t="str">
        <f>IF(B2597="","",股指期货基差分析!$D$11)</f>
        <v/>
      </c>
    </row>
    <row r="2598" spans="2:9" ht="15" customHeight="1" x14ac:dyDescent="0.2">
      <c r="B2598" s="7"/>
      <c r="C2598" s="5" t="str">
        <f>IF(B2598="","",[1]!s_dq_close(股指期货基差分析!$E$5,$B2598))</f>
        <v/>
      </c>
      <c r="D2598" s="5" t="str">
        <f>IF(B2598="","",[1]!s_dq_close(股指期货基差分析!$E$6,$B2598))</f>
        <v/>
      </c>
      <c r="E2598" s="5" t="e">
        <f ca="1">RANK(F2598,F:F)+COUNTIF(F$2:F2598,F2598)-1</f>
        <v>#VALUE!</v>
      </c>
      <c r="F2598" s="5" t="str">
        <f t="shared" si="41"/>
        <v/>
      </c>
      <c r="G2598" s="5" t="str">
        <f>IF(B2598="","",股指期货基差分析!$N$11)</f>
        <v/>
      </c>
      <c r="H2598" s="5" t="str">
        <f>IF(B2598="","",股指期货基差分析!$L$11)</f>
        <v/>
      </c>
      <c r="I2598" s="9" t="str">
        <f>IF(B2598="","",股指期货基差分析!$D$11)</f>
        <v/>
      </c>
    </row>
    <row r="2599" spans="2:9" ht="15" customHeight="1" x14ac:dyDescent="0.2">
      <c r="B2599" s="8"/>
      <c r="C2599" s="6" t="str">
        <f>IF(B2599="","",[1]!s_dq_close(股指期货基差分析!$E$5,$B2599))</f>
        <v/>
      </c>
      <c r="D2599" s="6" t="str">
        <f>IF(B2599="","",[1]!s_dq_close(股指期货基差分析!$E$6,$B2599))</f>
        <v/>
      </c>
      <c r="E2599" s="6" t="e">
        <f ca="1">RANK(F2599,F:F)+COUNTIF(F$2:F2599,F2599)-1</f>
        <v>#VALUE!</v>
      </c>
      <c r="F2599" s="6" t="str">
        <f t="shared" si="41"/>
        <v/>
      </c>
      <c r="G2599" s="6" t="str">
        <f>IF(B2599="","",股指期货基差分析!$N$11)</f>
        <v/>
      </c>
      <c r="H2599" s="6" t="str">
        <f>IF(B2599="","",股指期货基差分析!$L$11)</f>
        <v/>
      </c>
      <c r="I2599" s="10" t="str">
        <f>IF(B2599="","",股指期货基差分析!$D$11)</f>
        <v/>
      </c>
    </row>
    <row r="2600" spans="2:9" ht="15" customHeight="1" x14ac:dyDescent="0.2">
      <c r="B2600" s="7"/>
      <c r="C2600" s="5" t="str">
        <f>IF(B2600="","",[1]!s_dq_close(股指期货基差分析!$E$5,$B2600))</f>
        <v/>
      </c>
      <c r="D2600" s="5" t="str">
        <f>IF(B2600="","",[1]!s_dq_close(股指期货基差分析!$E$6,$B2600))</f>
        <v/>
      </c>
      <c r="E2600" s="5" t="e">
        <f ca="1">RANK(F2600,F:F)+COUNTIF(F$2:F2600,F2600)-1</f>
        <v>#VALUE!</v>
      </c>
      <c r="F2600" s="5" t="str">
        <f t="shared" si="41"/>
        <v/>
      </c>
      <c r="G2600" s="5" t="str">
        <f>IF(B2600="","",股指期货基差分析!$N$11)</f>
        <v/>
      </c>
      <c r="H2600" s="5" t="str">
        <f>IF(B2600="","",股指期货基差分析!$L$11)</f>
        <v/>
      </c>
      <c r="I2600" s="9" t="str">
        <f>IF(B2600="","",股指期货基差分析!$D$11)</f>
        <v/>
      </c>
    </row>
    <row r="2601" spans="2:9" ht="15" customHeight="1" x14ac:dyDescent="0.2">
      <c r="B2601" s="8"/>
      <c r="C2601" s="6" t="str">
        <f>IF(B2601="","",[1]!s_dq_close(股指期货基差分析!$E$5,$B2601))</f>
        <v/>
      </c>
      <c r="D2601" s="6" t="str">
        <f>IF(B2601="","",[1]!s_dq_close(股指期货基差分析!$E$6,$B2601))</f>
        <v/>
      </c>
      <c r="E2601" s="6" t="e">
        <f ca="1">RANK(F2601,F:F)+COUNTIF(F$2:F2601,F2601)-1</f>
        <v>#VALUE!</v>
      </c>
      <c r="F2601" s="6" t="str">
        <f t="shared" si="41"/>
        <v/>
      </c>
      <c r="G2601" s="6" t="str">
        <f>IF(B2601="","",股指期货基差分析!$N$11)</f>
        <v/>
      </c>
      <c r="H2601" s="6" t="str">
        <f>IF(B2601="","",股指期货基差分析!$L$11)</f>
        <v/>
      </c>
      <c r="I2601" s="10" t="str">
        <f>IF(B2601="","",股指期货基差分析!$D$11)</f>
        <v/>
      </c>
    </row>
    <row r="2602" spans="2:9" ht="15" customHeight="1" x14ac:dyDescent="0.2">
      <c r="B2602" s="7"/>
      <c r="C2602" s="5" t="str">
        <f>IF(B2602="","",[1]!s_dq_close(股指期货基差分析!$E$5,$B2602))</f>
        <v/>
      </c>
      <c r="D2602" s="5" t="str">
        <f>IF(B2602="","",[1]!s_dq_close(股指期货基差分析!$E$6,$B2602))</f>
        <v/>
      </c>
      <c r="E2602" s="5" t="e">
        <f ca="1">RANK(F2602,F:F)+COUNTIF(F$2:F2602,F2602)-1</f>
        <v>#VALUE!</v>
      </c>
      <c r="F2602" s="5" t="str">
        <f t="shared" si="41"/>
        <v/>
      </c>
      <c r="G2602" s="5" t="str">
        <f>IF(B2602="","",股指期货基差分析!$N$11)</f>
        <v/>
      </c>
      <c r="H2602" s="5" t="str">
        <f>IF(B2602="","",股指期货基差分析!$L$11)</f>
        <v/>
      </c>
      <c r="I2602" s="9" t="str">
        <f>IF(B2602="","",股指期货基差分析!$D$11)</f>
        <v/>
      </c>
    </row>
    <row r="2603" spans="2:9" ht="15" customHeight="1" x14ac:dyDescent="0.2">
      <c r="B2603" s="8"/>
      <c r="C2603" s="6" t="str">
        <f>IF(B2603="","",[1]!s_dq_close(股指期货基差分析!$E$5,$B2603))</f>
        <v/>
      </c>
      <c r="D2603" s="6" t="str">
        <f>IF(B2603="","",[1]!s_dq_close(股指期货基差分析!$E$6,$B2603))</f>
        <v/>
      </c>
      <c r="E2603" s="6" t="e">
        <f ca="1">RANK(F2603,F:F)+COUNTIF(F$2:F2603,F2603)-1</f>
        <v>#VALUE!</v>
      </c>
      <c r="F2603" s="6" t="str">
        <f t="shared" si="41"/>
        <v/>
      </c>
      <c r="G2603" s="6" t="str">
        <f>IF(B2603="","",股指期货基差分析!$N$11)</f>
        <v/>
      </c>
      <c r="H2603" s="6" t="str">
        <f>IF(B2603="","",股指期货基差分析!$L$11)</f>
        <v/>
      </c>
      <c r="I2603" s="10" t="str">
        <f>IF(B2603="","",股指期货基差分析!$D$11)</f>
        <v/>
      </c>
    </row>
    <row r="2604" spans="2:9" ht="15" customHeight="1" x14ac:dyDescent="0.2">
      <c r="B2604" s="7"/>
      <c r="C2604" s="5" t="str">
        <f>IF(B2604="","",[1]!s_dq_close(股指期货基差分析!$E$5,$B2604))</f>
        <v/>
      </c>
      <c r="D2604" s="5" t="str">
        <f>IF(B2604="","",[1]!s_dq_close(股指期货基差分析!$E$6,$B2604))</f>
        <v/>
      </c>
      <c r="E2604" s="5" t="e">
        <f ca="1">RANK(F2604,F:F)+COUNTIF(F$2:F2604,F2604)-1</f>
        <v>#VALUE!</v>
      </c>
      <c r="F2604" s="5" t="str">
        <f t="shared" si="41"/>
        <v/>
      </c>
      <c r="G2604" s="5" t="str">
        <f>IF(B2604="","",股指期货基差分析!$N$11)</f>
        <v/>
      </c>
      <c r="H2604" s="5" t="str">
        <f>IF(B2604="","",股指期货基差分析!$L$11)</f>
        <v/>
      </c>
      <c r="I2604" s="9" t="str">
        <f>IF(B2604="","",股指期货基差分析!$D$11)</f>
        <v/>
      </c>
    </row>
    <row r="2605" spans="2:9" ht="15" customHeight="1" x14ac:dyDescent="0.2">
      <c r="B2605" s="8"/>
      <c r="C2605" s="6" t="str">
        <f>IF(B2605="","",[1]!s_dq_close(股指期货基差分析!$E$5,$B2605))</f>
        <v/>
      </c>
      <c r="D2605" s="6" t="str">
        <f>IF(B2605="","",[1]!s_dq_close(股指期货基差分析!$E$6,$B2605))</f>
        <v/>
      </c>
      <c r="E2605" s="6" t="e">
        <f ca="1">RANK(F2605,F:F)+COUNTIF(F$2:F2605,F2605)-1</f>
        <v>#VALUE!</v>
      </c>
      <c r="F2605" s="6" t="str">
        <f t="shared" si="41"/>
        <v/>
      </c>
      <c r="G2605" s="6" t="str">
        <f>IF(B2605="","",股指期货基差分析!$N$11)</f>
        <v/>
      </c>
      <c r="H2605" s="6" t="str">
        <f>IF(B2605="","",股指期货基差分析!$L$11)</f>
        <v/>
      </c>
      <c r="I2605" s="10" t="str">
        <f>IF(B2605="","",股指期货基差分析!$D$11)</f>
        <v/>
      </c>
    </row>
    <row r="2606" spans="2:9" ht="15" customHeight="1" x14ac:dyDescent="0.2">
      <c r="B2606" s="7"/>
      <c r="C2606" s="5" t="str">
        <f>IF(B2606="","",[1]!s_dq_close(股指期货基差分析!$E$5,$B2606))</f>
        <v/>
      </c>
      <c r="D2606" s="5" t="str">
        <f>IF(B2606="","",[1]!s_dq_close(股指期货基差分析!$E$6,$B2606))</f>
        <v/>
      </c>
      <c r="E2606" s="5" t="e">
        <f ca="1">RANK(F2606,F:F)+COUNTIF(F$2:F2606,F2606)-1</f>
        <v>#VALUE!</v>
      </c>
      <c r="F2606" s="5" t="str">
        <f t="shared" si="41"/>
        <v/>
      </c>
      <c r="G2606" s="5" t="str">
        <f>IF(B2606="","",股指期货基差分析!$N$11)</f>
        <v/>
      </c>
      <c r="H2606" s="5" t="str">
        <f>IF(B2606="","",股指期货基差分析!$L$11)</f>
        <v/>
      </c>
      <c r="I2606" s="9" t="str">
        <f>IF(B2606="","",股指期货基差分析!$D$11)</f>
        <v/>
      </c>
    </row>
    <row r="2607" spans="2:9" ht="15" customHeight="1" x14ac:dyDescent="0.2">
      <c r="B2607" s="8"/>
      <c r="C2607" s="6" t="str">
        <f>IF(B2607="","",[1]!s_dq_close(股指期货基差分析!$E$5,$B2607))</f>
        <v/>
      </c>
      <c r="D2607" s="6" t="str">
        <f>IF(B2607="","",[1]!s_dq_close(股指期货基差分析!$E$6,$B2607))</f>
        <v/>
      </c>
      <c r="E2607" s="6" t="e">
        <f ca="1">RANK(F2607,F:F)+COUNTIF(F$2:F2607,F2607)-1</f>
        <v>#VALUE!</v>
      </c>
      <c r="F2607" s="6" t="str">
        <f t="shared" si="41"/>
        <v/>
      </c>
      <c r="G2607" s="6" t="str">
        <f>IF(B2607="","",股指期货基差分析!$N$11)</f>
        <v/>
      </c>
      <c r="H2607" s="6" t="str">
        <f>IF(B2607="","",股指期货基差分析!$L$11)</f>
        <v/>
      </c>
      <c r="I2607" s="10" t="str">
        <f>IF(B2607="","",股指期货基差分析!$D$11)</f>
        <v/>
      </c>
    </row>
    <row r="2608" spans="2:9" ht="15" customHeight="1" x14ac:dyDescent="0.2">
      <c r="B2608" s="7"/>
      <c r="C2608" s="5" t="str">
        <f>IF(B2608="","",[1]!s_dq_close(股指期货基差分析!$E$5,$B2608))</f>
        <v/>
      </c>
      <c r="D2608" s="5" t="str">
        <f>IF(B2608="","",[1]!s_dq_close(股指期货基差分析!$E$6,$B2608))</f>
        <v/>
      </c>
      <c r="E2608" s="5" t="e">
        <f ca="1">RANK(F2608,F:F)+COUNTIF(F$2:F2608,F2608)-1</f>
        <v>#VALUE!</v>
      </c>
      <c r="F2608" s="5" t="str">
        <f t="shared" si="41"/>
        <v/>
      </c>
      <c r="G2608" s="5" t="str">
        <f>IF(B2608="","",股指期货基差分析!$N$11)</f>
        <v/>
      </c>
      <c r="H2608" s="5" t="str">
        <f>IF(B2608="","",股指期货基差分析!$L$11)</f>
        <v/>
      </c>
      <c r="I2608" s="9" t="str">
        <f>IF(B2608="","",股指期货基差分析!$D$11)</f>
        <v/>
      </c>
    </row>
    <row r="2609" spans="2:9" ht="15" customHeight="1" x14ac:dyDescent="0.2">
      <c r="B2609" s="8"/>
      <c r="C2609" s="6" t="str">
        <f>IF(B2609="","",[1]!s_dq_close(股指期货基差分析!$E$5,$B2609))</f>
        <v/>
      </c>
      <c r="D2609" s="6" t="str">
        <f>IF(B2609="","",[1]!s_dq_close(股指期货基差分析!$E$6,$B2609))</f>
        <v/>
      </c>
      <c r="E2609" s="6" t="e">
        <f ca="1">RANK(F2609,F:F)+COUNTIF(F$2:F2609,F2609)-1</f>
        <v>#VALUE!</v>
      </c>
      <c r="F2609" s="6" t="str">
        <f t="shared" si="41"/>
        <v/>
      </c>
      <c r="G2609" s="6" t="str">
        <f>IF(B2609="","",股指期货基差分析!$N$11)</f>
        <v/>
      </c>
      <c r="H2609" s="6" t="str">
        <f>IF(B2609="","",股指期货基差分析!$L$11)</f>
        <v/>
      </c>
      <c r="I2609" s="10" t="str">
        <f>IF(B2609="","",股指期货基差分析!$D$11)</f>
        <v/>
      </c>
    </row>
    <row r="2610" spans="2:9" ht="15" customHeight="1" x14ac:dyDescent="0.2">
      <c r="B2610" s="7"/>
      <c r="C2610" s="5" t="str">
        <f>IF(B2610="","",[1]!s_dq_close(股指期货基差分析!$E$5,$B2610))</f>
        <v/>
      </c>
      <c r="D2610" s="5" t="str">
        <f>IF(B2610="","",[1]!s_dq_close(股指期货基差分析!$E$6,$B2610))</f>
        <v/>
      </c>
      <c r="E2610" s="5" t="e">
        <f ca="1">RANK(F2610,F:F)+COUNTIF(F$2:F2610,F2610)-1</f>
        <v>#VALUE!</v>
      </c>
      <c r="F2610" s="5" t="str">
        <f t="shared" si="41"/>
        <v/>
      </c>
      <c r="G2610" s="5" t="str">
        <f>IF(B2610="","",股指期货基差分析!$N$11)</f>
        <v/>
      </c>
      <c r="H2610" s="5" t="str">
        <f>IF(B2610="","",股指期货基差分析!$L$11)</f>
        <v/>
      </c>
      <c r="I2610" s="9" t="str">
        <f>IF(B2610="","",股指期货基差分析!$D$11)</f>
        <v/>
      </c>
    </row>
    <row r="2611" spans="2:9" ht="15" customHeight="1" x14ac:dyDescent="0.2">
      <c r="B2611" s="8"/>
      <c r="C2611" s="6" t="str">
        <f>IF(B2611="","",[1]!s_dq_close(股指期货基差分析!$E$5,$B2611))</f>
        <v/>
      </c>
      <c r="D2611" s="6" t="str">
        <f>IF(B2611="","",[1]!s_dq_close(股指期货基差分析!$E$6,$B2611))</f>
        <v/>
      </c>
      <c r="E2611" s="6" t="e">
        <f ca="1">RANK(F2611,F:F)+COUNTIF(F$2:F2611,F2611)-1</f>
        <v>#VALUE!</v>
      </c>
      <c r="F2611" s="6" t="str">
        <f t="shared" si="41"/>
        <v/>
      </c>
      <c r="G2611" s="6" t="str">
        <f>IF(B2611="","",股指期货基差分析!$N$11)</f>
        <v/>
      </c>
      <c r="H2611" s="6" t="str">
        <f>IF(B2611="","",股指期货基差分析!$L$11)</f>
        <v/>
      </c>
      <c r="I2611" s="10" t="str">
        <f>IF(B2611="","",股指期货基差分析!$D$11)</f>
        <v/>
      </c>
    </row>
    <row r="2612" spans="2:9" ht="15" customHeight="1" x14ac:dyDescent="0.2">
      <c r="B2612" s="7"/>
      <c r="C2612" s="5" t="str">
        <f>IF(B2612="","",[1]!s_dq_close(股指期货基差分析!$E$5,$B2612))</f>
        <v/>
      </c>
      <c r="D2612" s="5" t="str">
        <f>IF(B2612="","",[1]!s_dq_close(股指期货基差分析!$E$6,$B2612))</f>
        <v/>
      </c>
      <c r="E2612" s="5" t="e">
        <f ca="1">RANK(F2612,F:F)+COUNTIF(F$2:F2612,F2612)-1</f>
        <v>#VALUE!</v>
      </c>
      <c r="F2612" s="5" t="str">
        <f t="shared" si="41"/>
        <v/>
      </c>
      <c r="G2612" s="5" t="str">
        <f>IF(B2612="","",股指期货基差分析!$N$11)</f>
        <v/>
      </c>
      <c r="H2612" s="5" t="str">
        <f>IF(B2612="","",股指期货基差分析!$L$11)</f>
        <v/>
      </c>
      <c r="I2612" s="9" t="str">
        <f>IF(B2612="","",股指期货基差分析!$D$11)</f>
        <v/>
      </c>
    </row>
    <row r="2613" spans="2:9" ht="15" customHeight="1" x14ac:dyDescent="0.2">
      <c r="B2613" s="8"/>
      <c r="C2613" s="6" t="str">
        <f>IF(B2613="","",[1]!s_dq_close(股指期货基差分析!$E$5,$B2613))</f>
        <v/>
      </c>
      <c r="D2613" s="6" t="str">
        <f>IF(B2613="","",[1]!s_dq_close(股指期货基差分析!$E$6,$B2613))</f>
        <v/>
      </c>
      <c r="E2613" s="6" t="e">
        <f ca="1">RANK(F2613,F:F)+COUNTIF(F$2:F2613,F2613)-1</f>
        <v>#VALUE!</v>
      </c>
      <c r="F2613" s="6" t="str">
        <f t="shared" si="41"/>
        <v/>
      </c>
      <c r="G2613" s="6" t="str">
        <f>IF(B2613="","",股指期货基差分析!$N$11)</f>
        <v/>
      </c>
      <c r="H2613" s="6" t="str">
        <f>IF(B2613="","",股指期货基差分析!$L$11)</f>
        <v/>
      </c>
      <c r="I2613" s="10" t="str">
        <f>IF(B2613="","",股指期货基差分析!$D$11)</f>
        <v/>
      </c>
    </row>
    <row r="2614" spans="2:9" ht="15" customHeight="1" x14ac:dyDescent="0.2">
      <c r="B2614" s="7"/>
      <c r="C2614" s="5" t="str">
        <f>IF(B2614="","",[1]!s_dq_close(股指期货基差分析!$E$5,$B2614))</f>
        <v/>
      </c>
      <c r="D2614" s="5" t="str">
        <f>IF(B2614="","",[1]!s_dq_close(股指期货基差分析!$E$6,$B2614))</f>
        <v/>
      </c>
      <c r="E2614" s="5" t="e">
        <f ca="1">RANK(F2614,F:F)+COUNTIF(F$2:F2614,F2614)-1</f>
        <v>#VALUE!</v>
      </c>
      <c r="F2614" s="5" t="str">
        <f t="shared" si="41"/>
        <v/>
      </c>
      <c r="G2614" s="5" t="str">
        <f>IF(B2614="","",股指期货基差分析!$N$11)</f>
        <v/>
      </c>
      <c r="H2614" s="5" t="str">
        <f>IF(B2614="","",股指期货基差分析!$L$11)</f>
        <v/>
      </c>
      <c r="I2614" s="9" t="str">
        <f>IF(B2614="","",股指期货基差分析!$D$11)</f>
        <v/>
      </c>
    </row>
    <row r="2615" spans="2:9" ht="15" customHeight="1" x14ac:dyDescent="0.2">
      <c r="B2615" s="8"/>
      <c r="C2615" s="6" t="str">
        <f>IF(B2615="","",[1]!s_dq_close(股指期货基差分析!$E$5,$B2615))</f>
        <v/>
      </c>
      <c r="D2615" s="6" t="str">
        <f>IF(B2615="","",[1]!s_dq_close(股指期货基差分析!$E$6,$B2615))</f>
        <v/>
      </c>
      <c r="E2615" s="6" t="e">
        <f ca="1">RANK(F2615,F:F)+COUNTIF(F$2:F2615,F2615)-1</f>
        <v>#VALUE!</v>
      </c>
      <c r="F2615" s="6" t="str">
        <f t="shared" si="41"/>
        <v/>
      </c>
      <c r="G2615" s="6" t="str">
        <f>IF(B2615="","",股指期货基差分析!$N$11)</f>
        <v/>
      </c>
      <c r="H2615" s="6" t="str">
        <f>IF(B2615="","",股指期货基差分析!$L$11)</f>
        <v/>
      </c>
      <c r="I2615" s="10" t="str">
        <f>IF(B2615="","",股指期货基差分析!$D$11)</f>
        <v/>
      </c>
    </row>
    <row r="2616" spans="2:9" ht="15" customHeight="1" x14ac:dyDescent="0.2">
      <c r="B2616" s="7"/>
      <c r="C2616" s="5" t="str">
        <f>IF(B2616="","",[1]!s_dq_close(股指期货基差分析!$E$5,$B2616))</f>
        <v/>
      </c>
      <c r="D2616" s="5" t="str">
        <f>IF(B2616="","",[1]!s_dq_close(股指期货基差分析!$E$6,$B2616))</f>
        <v/>
      </c>
      <c r="E2616" s="5" t="e">
        <f ca="1">RANK(F2616,F:F)+COUNTIF(F$2:F2616,F2616)-1</f>
        <v>#VALUE!</v>
      </c>
      <c r="F2616" s="5" t="str">
        <f t="shared" si="41"/>
        <v/>
      </c>
      <c r="G2616" s="5" t="str">
        <f>IF(B2616="","",股指期货基差分析!$N$11)</f>
        <v/>
      </c>
      <c r="H2616" s="5" t="str">
        <f>IF(B2616="","",股指期货基差分析!$L$11)</f>
        <v/>
      </c>
      <c r="I2616" s="9" t="str">
        <f>IF(B2616="","",股指期货基差分析!$D$11)</f>
        <v/>
      </c>
    </row>
    <row r="2617" spans="2:9" ht="15" customHeight="1" x14ac:dyDescent="0.2">
      <c r="B2617" s="8"/>
      <c r="C2617" s="6" t="str">
        <f>IF(B2617="","",[1]!s_dq_close(股指期货基差分析!$E$5,$B2617))</f>
        <v/>
      </c>
      <c r="D2617" s="6" t="str">
        <f>IF(B2617="","",[1]!s_dq_close(股指期货基差分析!$E$6,$B2617))</f>
        <v/>
      </c>
      <c r="E2617" s="6" t="e">
        <f ca="1">RANK(F2617,F:F)+COUNTIF(F$2:F2617,F2617)-1</f>
        <v>#VALUE!</v>
      </c>
      <c r="F2617" s="6" t="str">
        <f t="shared" si="41"/>
        <v/>
      </c>
      <c r="G2617" s="6" t="str">
        <f>IF(B2617="","",股指期货基差分析!$N$11)</f>
        <v/>
      </c>
      <c r="H2617" s="6" t="str">
        <f>IF(B2617="","",股指期货基差分析!$L$11)</f>
        <v/>
      </c>
      <c r="I2617" s="10" t="str">
        <f>IF(B2617="","",股指期货基差分析!$D$11)</f>
        <v/>
      </c>
    </row>
    <row r="2618" spans="2:9" ht="15" customHeight="1" x14ac:dyDescent="0.2">
      <c r="B2618" s="7"/>
      <c r="C2618" s="5" t="str">
        <f>IF(B2618="","",[1]!s_dq_close(股指期货基差分析!$E$5,$B2618))</f>
        <v/>
      </c>
      <c r="D2618" s="5" t="str">
        <f>IF(B2618="","",[1]!s_dq_close(股指期货基差分析!$E$6,$B2618))</f>
        <v/>
      </c>
      <c r="E2618" s="5" t="e">
        <f ca="1">RANK(F2618,F:F)+COUNTIF(F$2:F2618,F2618)-1</f>
        <v>#VALUE!</v>
      </c>
      <c r="F2618" s="5" t="str">
        <f t="shared" si="41"/>
        <v/>
      </c>
      <c r="G2618" s="5" t="str">
        <f>IF(B2618="","",股指期货基差分析!$N$11)</f>
        <v/>
      </c>
      <c r="H2618" s="5" t="str">
        <f>IF(B2618="","",股指期货基差分析!$L$11)</f>
        <v/>
      </c>
      <c r="I2618" s="9" t="str">
        <f>IF(B2618="","",股指期货基差分析!$D$11)</f>
        <v/>
      </c>
    </row>
    <row r="2619" spans="2:9" ht="15" customHeight="1" x14ac:dyDescent="0.2">
      <c r="B2619" s="8"/>
      <c r="C2619" s="6" t="str">
        <f>IF(B2619="","",[1]!s_dq_close(股指期货基差分析!$E$5,$B2619))</f>
        <v/>
      </c>
      <c r="D2619" s="6" t="str">
        <f>IF(B2619="","",[1]!s_dq_close(股指期货基差分析!$E$6,$B2619))</f>
        <v/>
      </c>
      <c r="E2619" s="6" t="e">
        <f ca="1">RANK(F2619,F:F)+COUNTIF(F$2:F2619,F2619)-1</f>
        <v>#VALUE!</v>
      </c>
      <c r="F2619" s="6" t="str">
        <f t="shared" si="41"/>
        <v/>
      </c>
      <c r="G2619" s="6" t="str">
        <f>IF(B2619="","",股指期货基差分析!$N$11)</f>
        <v/>
      </c>
      <c r="H2619" s="6" t="str">
        <f>IF(B2619="","",股指期货基差分析!$L$11)</f>
        <v/>
      </c>
      <c r="I2619" s="10" t="str">
        <f>IF(B2619="","",股指期货基差分析!$D$11)</f>
        <v/>
      </c>
    </row>
    <row r="2620" spans="2:9" ht="15" customHeight="1" x14ac:dyDescent="0.2">
      <c r="B2620" s="7"/>
      <c r="C2620" s="5" t="str">
        <f>IF(B2620="","",[1]!s_dq_close(股指期货基差分析!$E$5,$B2620))</f>
        <v/>
      </c>
      <c r="D2620" s="5" t="str">
        <f>IF(B2620="","",[1]!s_dq_close(股指期货基差分析!$E$6,$B2620))</f>
        <v/>
      </c>
      <c r="E2620" s="5" t="e">
        <f ca="1">RANK(F2620,F:F)+COUNTIF(F$2:F2620,F2620)-1</f>
        <v>#VALUE!</v>
      </c>
      <c r="F2620" s="5" t="str">
        <f t="shared" si="41"/>
        <v/>
      </c>
      <c r="G2620" s="5" t="str">
        <f>IF(B2620="","",股指期货基差分析!$N$11)</f>
        <v/>
      </c>
      <c r="H2620" s="5" t="str">
        <f>IF(B2620="","",股指期货基差分析!$L$11)</f>
        <v/>
      </c>
      <c r="I2620" s="9" t="str">
        <f>IF(B2620="","",股指期货基差分析!$D$11)</f>
        <v/>
      </c>
    </row>
    <row r="2621" spans="2:9" ht="15" customHeight="1" x14ac:dyDescent="0.2">
      <c r="B2621" s="8"/>
      <c r="C2621" s="6" t="str">
        <f>IF(B2621="","",[1]!s_dq_close(股指期货基差分析!$E$5,$B2621))</f>
        <v/>
      </c>
      <c r="D2621" s="6" t="str">
        <f>IF(B2621="","",[1]!s_dq_close(股指期货基差分析!$E$6,$B2621))</f>
        <v/>
      </c>
      <c r="E2621" s="6" t="e">
        <f ca="1">RANK(F2621,F:F)+COUNTIF(F$2:F2621,F2621)-1</f>
        <v>#VALUE!</v>
      </c>
      <c r="F2621" s="6" t="str">
        <f t="shared" si="41"/>
        <v/>
      </c>
      <c r="G2621" s="6" t="str">
        <f>IF(B2621="","",股指期货基差分析!$N$11)</f>
        <v/>
      </c>
      <c r="H2621" s="6" t="str">
        <f>IF(B2621="","",股指期货基差分析!$L$11)</f>
        <v/>
      </c>
      <c r="I2621" s="10" t="str">
        <f>IF(B2621="","",股指期货基差分析!$D$11)</f>
        <v/>
      </c>
    </row>
    <row r="2622" spans="2:9" ht="15" customHeight="1" x14ac:dyDescent="0.2">
      <c r="B2622" s="7"/>
      <c r="C2622" s="5" t="str">
        <f>IF(B2622="","",[1]!s_dq_close(股指期货基差分析!$E$5,$B2622))</f>
        <v/>
      </c>
      <c r="D2622" s="5" t="str">
        <f>IF(B2622="","",[1]!s_dq_close(股指期货基差分析!$E$6,$B2622))</f>
        <v/>
      </c>
      <c r="E2622" s="5" t="e">
        <f ca="1">RANK(F2622,F:F)+COUNTIF(F$2:F2622,F2622)-1</f>
        <v>#VALUE!</v>
      </c>
      <c r="F2622" s="5" t="str">
        <f t="shared" si="41"/>
        <v/>
      </c>
      <c r="G2622" s="5" t="str">
        <f>IF(B2622="","",股指期货基差分析!$N$11)</f>
        <v/>
      </c>
      <c r="H2622" s="5" t="str">
        <f>IF(B2622="","",股指期货基差分析!$L$11)</f>
        <v/>
      </c>
      <c r="I2622" s="9" t="str">
        <f>IF(B2622="","",股指期货基差分析!$D$11)</f>
        <v/>
      </c>
    </row>
    <row r="2623" spans="2:9" ht="15" customHeight="1" x14ac:dyDescent="0.2">
      <c r="B2623" s="8"/>
      <c r="C2623" s="6" t="str">
        <f>IF(B2623="","",[1]!s_dq_close(股指期货基差分析!$E$5,$B2623))</f>
        <v/>
      </c>
      <c r="D2623" s="6" t="str">
        <f>IF(B2623="","",[1]!s_dq_close(股指期货基差分析!$E$6,$B2623))</f>
        <v/>
      </c>
      <c r="E2623" s="6" t="e">
        <f ca="1">RANK(F2623,F:F)+COUNTIF(F$2:F2623,F2623)-1</f>
        <v>#VALUE!</v>
      </c>
      <c r="F2623" s="6" t="str">
        <f t="shared" si="41"/>
        <v/>
      </c>
      <c r="G2623" s="6" t="str">
        <f>IF(B2623="","",股指期货基差分析!$N$11)</f>
        <v/>
      </c>
      <c r="H2623" s="6" t="str">
        <f>IF(B2623="","",股指期货基差分析!$L$11)</f>
        <v/>
      </c>
      <c r="I2623" s="10" t="str">
        <f>IF(B2623="","",股指期货基差分析!$D$11)</f>
        <v/>
      </c>
    </row>
    <row r="2624" spans="2:9" ht="15" customHeight="1" x14ac:dyDescent="0.2">
      <c r="B2624" s="7"/>
      <c r="C2624" s="5" t="str">
        <f>IF(B2624="","",[1]!s_dq_close(股指期货基差分析!$E$5,$B2624))</f>
        <v/>
      </c>
      <c r="D2624" s="5" t="str">
        <f>IF(B2624="","",[1]!s_dq_close(股指期货基差分析!$E$6,$B2624))</f>
        <v/>
      </c>
      <c r="E2624" s="5" t="e">
        <f ca="1">RANK(F2624,F:F)+COUNTIF(F$2:F2624,F2624)-1</f>
        <v>#VALUE!</v>
      </c>
      <c r="F2624" s="5" t="str">
        <f t="shared" si="41"/>
        <v/>
      </c>
      <c r="G2624" s="5" t="str">
        <f>IF(B2624="","",股指期货基差分析!$N$11)</f>
        <v/>
      </c>
      <c r="H2624" s="5" t="str">
        <f>IF(B2624="","",股指期货基差分析!$L$11)</f>
        <v/>
      </c>
      <c r="I2624" s="9" t="str">
        <f>IF(B2624="","",股指期货基差分析!$D$11)</f>
        <v/>
      </c>
    </row>
    <row r="2625" spans="2:9" ht="15" customHeight="1" x14ac:dyDescent="0.2">
      <c r="B2625" s="8"/>
      <c r="C2625" s="6" t="str">
        <f>IF(B2625="","",[1]!s_dq_close(股指期货基差分析!$E$5,$B2625))</f>
        <v/>
      </c>
      <c r="D2625" s="6" t="str">
        <f>IF(B2625="","",[1]!s_dq_close(股指期货基差分析!$E$6,$B2625))</f>
        <v/>
      </c>
      <c r="E2625" s="6" t="e">
        <f ca="1">RANK(F2625,F:F)+COUNTIF(F$2:F2625,F2625)-1</f>
        <v>#VALUE!</v>
      </c>
      <c r="F2625" s="6" t="str">
        <f t="shared" si="41"/>
        <v/>
      </c>
      <c r="G2625" s="6" t="str">
        <f>IF(B2625="","",股指期货基差分析!$N$11)</f>
        <v/>
      </c>
      <c r="H2625" s="6" t="str">
        <f>IF(B2625="","",股指期货基差分析!$L$11)</f>
        <v/>
      </c>
      <c r="I2625" s="10" t="str">
        <f>IF(B2625="","",股指期货基差分析!$D$11)</f>
        <v/>
      </c>
    </row>
    <row r="2626" spans="2:9" ht="15" customHeight="1" x14ac:dyDescent="0.2">
      <c r="B2626" s="7"/>
      <c r="C2626" s="5" t="str">
        <f>IF(B2626="","",[1]!s_dq_close(股指期货基差分析!$E$5,$B2626))</f>
        <v/>
      </c>
      <c r="D2626" s="5" t="str">
        <f>IF(B2626="","",[1]!s_dq_close(股指期货基差分析!$E$6,$B2626))</f>
        <v/>
      </c>
      <c r="E2626" s="5" t="e">
        <f ca="1">RANK(F2626,F:F)+COUNTIF(F$2:F2626,F2626)-1</f>
        <v>#VALUE!</v>
      </c>
      <c r="F2626" s="5" t="str">
        <f t="shared" ref="F2626:F2689" si="42">IF(B2626="","",D2626-C2626)</f>
        <v/>
      </c>
      <c r="G2626" s="5" t="str">
        <f>IF(B2626="","",股指期货基差分析!$N$11)</f>
        <v/>
      </c>
      <c r="H2626" s="5" t="str">
        <f>IF(B2626="","",股指期货基差分析!$L$11)</f>
        <v/>
      </c>
      <c r="I2626" s="9" t="str">
        <f>IF(B2626="","",股指期货基差分析!$D$11)</f>
        <v/>
      </c>
    </row>
    <row r="2627" spans="2:9" ht="15" customHeight="1" x14ac:dyDescent="0.2">
      <c r="B2627" s="8"/>
      <c r="C2627" s="6" t="str">
        <f>IF(B2627="","",[1]!s_dq_close(股指期货基差分析!$E$5,$B2627))</f>
        <v/>
      </c>
      <c r="D2627" s="6" t="str">
        <f>IF(B2627="","",[1]!s_dq_close(股指期货基差分析!$E$6,$B2627))</f>
        <v/>
      </c>
      <c r="E2627" s="6" t="e">
        <f ca="1">RANK(F2627,F:F)+COUNTIF(F$2:F2627,F2627)-1</f>
        <v>#VALUE!</v>
      </c>
      <c r="F2627" s="6" t="str">
        <f t="shared" si="42"/>
        <v/>
      </c>
      <c r="G2627" s="6" t="str">
        <f>IF(B2627="","",股指期货基差分析!$N$11)</f>
        <v/>
      </c>
      <c r="H2627" s="6" t="str">
        <f>IF(B2627="","",股指期货基差分析!$L$11)</f>
        <v/>
      </c>
      <c r="I2627" s="10" t="str">
        <f>IF(B2627="","",股指期货基差分析!$D$11)</f>
        <v/>
      </c>
    </row>
    <row r="2628" spans="2:9" ht="15" customHeight="1" x14ac:dyDescent="0.2">
      <c r="B2628" s="7"/>
      <c r="C2628" s="5" t="str">
        <f>IF(B2628="","",[1]!s_dq_close(股指期货基差分析!$E$5,$B2628))</f>
        <v/>
      </c>
      <c r="D2628" s="5" t="str">
        <f>IF(B2628="","",[1]!s_dq_close(股指期货基差分析!$E$6,$B2628))</f>
        <v/>
      </c>
      <c r="E2628" s="5" t="e">
        <f ca="1">RANK(F2628,F:F)+COUNTIF(F$2:F2628,F2628)-1</f>
        <v>#VALUE!</v>
      </c>
      <c r="F2628" s="5" t="str">
        <f t="shared" si="42"/>
        <v/>
      </c>
      <c r="G2628" s="5" t="str">
        <f>IF(B2628="","",股指期货基差分析!$N$11)</f>
        <v/>
      </c>
      <c r="H2628" s="5" t="str">
        <f>IF(B2628="","",股指期货基差分析!$L$11)</f>
        <v/>
      </c>
      <c r="I2628" s="9" t="str">
        <f>IF(B2628="","",股指期货基差分析!$D$11)</f>
        <v/>
      </c>
    </row>
    <row r="2629" spans="2:9" ht="15" customHeight="1" x14ac:dyDescent="0.2">
      <c r="B2629" s="8"/>
      <c r="C2629" s="6" t="str">
        <f>IF(B2629="","",[1]!s_dq_close(股指期货基差分析!$E$5,$B2629))</f>
        <v/>
      </c>
      <c r="D2629" s="6" t="str">
        <f>IF(B2629="","",[1]!s_dq_close(股指期货基差分析!$E$6,$B2629))</f>
        <v/>
      </c>
      <c r="E2629" s="6" t="e">
        <f ca="1">RANK(F2629,F:F)+COUNTIF(F$2:F2629,F2629)-1</f>
        <v>#VALUE!</v>
      </c>
      <c r="F2629" s="6" t="str">
        <f t="shared" si="42"/>
        <v/>
      </c>
      <c r="G2629" s="6" t="str">
        <f>IF(B2629="","",股指期货基差分析!$N$11)</f>
        <v/>
      </c>
      <c r="H2629" s="6" t="str">
        <f>IF(B2629="","",股指期货基差分析!$L$11)</f>
        <v/>
      </c>
      <c r="I2629" s="10" t="str">
        <f>IF(B2629="","",股指期货基差分析!$D$11)</f>
        <v/>
      </c>
    </row>
    <row r="2630" spans="2:9" ht="15" customHeight="1" x14ac:dyDescent="0.2">
      <c r="B2630" s="7"/>
      <c r="C2630" s="5" t="str">
        <f>IF(B2630="","",[1]!s_dq_close(股指期货基差分析!$E$5,$B2630))</f>
        <v/>
      </c>
      <c r="D2630" s="5" t="str">
        <f>IF(B2630="","",[1]!s_dq_close(股指期货基差分析!$E$6,$B2630))</f>
        <v/>
      </c>
      <c r="E2630" s="5" t="e">
        <f ca="1">RANK(F2630,F:F)+COUNTIF(F$2:F2630,F2630)-1</f>
        <v>#VALUE!</v>
      </c>
      <c r="F2630" s="5" t="str">
        <f t="shared" si="42"/>
        <v/>
      </c>
      <c r="G2630" s="5" t="str">
        <f>IF(B2630="","",股指期货基差分析!$N$11)</f>
        <v/>
      </c>
      <c r="H2630" s="5" t="str">
        <f>IF(B2630="","",股指期货基差分析!$L$11)</f>
        <v/>
      </c>
      <c r="I2630" s="9" t="str">
        <f>IF(B2630="","",股指期货基差分析!$D$11)</f>
        <v/>
      </c>
    </row>
    <row r="2631" spans="2:9" ht="15" customHeight="1" x14ac:dyDescent="0.2">
      <c r="B2631" s="8"/>
      <c r="C2631" s="6" t="str">
        <f>IF(B2631="","",[1]!s_dq_close(股指期货基差分析!$E$5,$B2631))</f>
        <v/>
      </c>
      <c r="D2631" s="6" t="str">
        <f>IF(B2631="","",[1]!s_dq_close(股指期货基差分析!$E$6,$B2631))</f>
        <v/>
      </c>
      <c r="E2631" s="6" t="e">
        <f ca="1">RANK(F2631,F:F)+COUNTIF(F$2:F2631,F2631)-1</f>
        <v>#VALUE!</v>
      </c>
      <c r="F2631" s="6" t="str">
        <f t="shared" si="42"/>
        <v/>
      </c>
      <c r="G2631" s="6" t="str">
        <f>IF(B2631="","",股指期货基差分析!$N$11)</f>
        <v/>
      </c>
      <c r="H2631" s="6" t="str">
        <f>IF(B2631="","",股指期货基差分析!$L$11)</f>
        <v/>
      </c>
      <c r="I2631" s="10" t="str">
        <f>IF(B2631="","",股指期货基差分析!$D$11)</f>
        <v/>
      </c>
    </row>
    <row r="2632" spans="2:9" ht="15" customHeight="1" x14ac:dyDescent="0.2">
      <c r="B2632" s="7"/>
      <c r="C2632" s="5" t="str">
        <f>IF(B2632="","",[1]!s_dq_close(股指期货基差分析!$E$5,$B2632))</f>
        <v/>
      </c>
      <c r="D2632" s="5" t="str">
        <f>IF(B2632="","",[1]!s_dq_close(股指期货基差分析!$E$6,$B2632))</f>
        <v/>
      </c>
      <c r="E2632" s="5" t="e">
        <f ca="1">RANK(F2632,F:F)+COUNTIF(F$2:F2632,F2632)-1</f>
        <v>#VALUE!</v>
      </c>
      <c r="F2632" s="5" t="str">
        <f t="shared" si="42"/>
        <v/>
      </c>
      <c r="G2632" s="5" t="str">
        <f>IF(B2632="","",股指期货基差分析!$N$11)</f>
        <v/>
      </c>
      <c r="H2632" s="5" t="str">
        <f>IF(B2632="","",股指期货基差分析!$L$11)</f>
        <v/>
      </c>
      <c r="I2632" s="9" t="str">
        <f>IF(B2632="","",股指期货基差分析!$D$11)</f>
        <v/>
      </c>
    </row>
    <row r="2633" spans="2:9" ht="15" customHeight="1" x14ac:dyDescent="0.2">
      <c r="B2633" s="8"/>
      <c r="C2633" s="6" t="str">
        <f>IF(B2633="","",[1]!s_dq_close(股指期货基差分析!$E$5,$B2633))</f>
        <v/>
      </c>
      <c r="D2633" s="6" t="str">
        <f>IF(B2633="","",[1]!s_dq_close(股指期货基差分析!$E$6,$B2633))</f>
        <v/>
      </c>
      <c r="E2633" s="6" t="e">
        <f ca="1">RANK(F2633,F:F)+COUNTIF(F$2:F2633,F2633)-1</f>
        <v>#VALUE!</v>
      </c>
      <c r="F2633" s="6" t="str">
        <f t="shared" si="42"/>
        <v/>
      </c>
      <c r="G2633" s="6" t="str">
        <f>IF(B2633="","",股指期货基差分析!$N$11)</f>
        <v/>
      </c>
      <c r="H2633" s="6" t="str">
        <f>IF(B2633="","",股指期货基差分析!$L$11)</f>
        <v/>
      </c>
      <c r="I2633" s="10" t="str">
        <f>IF(B2633="","",股指期货基差分析!$D$11)</f>
        <v/>
      </c>
    </row>
    <row r="2634" spans="2:9" ht="15" customHeight="1" x14ac:dyDescent="0.2">
      <c r="B2634" s="7"/>
      <c r="C2634" s="5" t="str">
        <f>IF(B2634="","",[1]!s_dq_close(股指期货基差分析!$E$5,$B2634))</f>
        <v/>
      </c>
      <c r="D2634" s="5" t="str">
        <f>IF(B2634="","",[1]!s_dq_close(股指期货基差分析!$E$6,$B2634))</f>
        <v/>
      </c>
      <c r="E2634" s="5" t="e">
        <f ca="1">RANK(F2634,F:F)+COUNTIF(F$2:F2634,F2634)-1</f>
        <v>#VALUE!</v>
      </c>
      <c r="F2634" s="5" t="str">
        <f t="shared" si="42"/>
        <v/>
      </c>
      <c r="G2634" s="5" t="str">
        <f>IF(B2634="","",股指期货基差分析!$N$11)</f>
        <v/>
      </c>
      <c r="H2634" s="5" t="str">
        <f>IF(B2634="","",股指期货基差分析!$L$11)</f>
        <v/>
      </c>
      <c r="I2634" s="9" t="str">
        <f>IF(B2634="","",股指期货基差分析!$D$11)</f>
        <v/>
      </c>
    </row>
    <row r="2635" spans="2:9" ht="15" customHeight="1" x14ac:dyDescent="0.2">
      <c r="B2635" s="8"/>
      <c r="C2635" s="6" t="str">
        <f>IF(B2635="","",[1]!s_dq_close(股指期货基差分析!$E$5,$B2635))</f>
        <v/>
      </c>
      <c r="D2635" s="6" t="str">
        <f>IF(B2635="","",[1]!s_dq_close(股指期货基差分析!$E$6,$B2635))</f>
        <v/>
      </c>
      <c r="E2635" s="6" t="e">
        <f ca="1">RANK(F2635,F:F)+COUNTIF(F$2:F2635,F2635)-1</f>
        <v>#VALUE!</v>
      </c>
      <c r="F2635" s="6" t="str">
        <f t="shared" si="42"/>
        <v/>
      </c>
      <c r="G2635" s="6" t="str">
        <f>IF(B2635="","",股指期货基差分析!$N$11)</f>
        <v/>
      </c>
      <c r="H2635" s="6" t="str">
        <f>IF(B2635="","",股指期货基差分析!$L$11)</f>
        <v/>
      </c>
      <c r="I2635" s="10" t="str">
        <f>IF(B2635="","",股指期货基差分析!$D$11)</f>
        <v/>
      </c>
    </row>
    <row r="2636" spans="2:9" ht="15" customHeight="1" x14ac:dyDescent="0.2">
      <c r="B2636" s="7"/>
      <c r="C2636" s="5" t="str">
        <f>IF(B2636="","",[1]!s_dq_close(股指期货基差分析!$E$5,$B2636))</f>
        <v/>
      </c>
      <c r="D2636" s="5" t="str">
        <f>IF(B2636="","",[1]!s_dq_close(股指期货基差分析!$E$6,$B2636))</f>
        <v/>
      </c>
      <c r="E2636" s="5" t="e">
        <f ca="1">RANK(F2636,F:F)+COUNTIF(F$2:F2636,F2636)-1</f>
        <v>#VALUE!</v>
      </c>
      <c r="F2636" s="5" t="str">
        <f t="shared" si="42"/>
        <v/>
      </c>
      <c r="G2636" s="5" t="str">
        <f>IF(B2636="","",股指期货基差分析!$N$11)</f>
        <v/>
      </c>
      <c r="H2636" s="5" t="str">
        <f>IF(B2636="","",股指期货基差分析!$L$11)</f>
        <v/>
      </c>
      <c r="I2636" s="9" t="str">
        <f>IF(B2636="","",股指期货基差分析!$D$11)</f>
        <v/>
      </c>
    </row>
    <row r="2637" spans="2:9" ht="15" customHeight="1" x14ac:dyDescent="0.2">
      <c r="B2637" s="8"/>
      <c r="C2637" s="6" t="str">
        <f>IF(B2637="","",[1]!s_dq_close(股指期货基差分析!$E$5,$B2637))</f>
        <v/>
      </c>
      <c r="D2637" s="6" t="str">
        <f>IF(B2637="","",[1]!s_dq_close(股指期货基差分析!$E$6,$B2637))</f>
        <v/>
      </c>
      <c r="E2637" s="6" t="e">
        <f ca="1">RANK(F2637,F:F)+COUNTIF(F$2:F2637,F2637)-1</f>
        <v>#VALUE!</v>
      </c>
      <c r="F2637" s="6" t="str">
        <f t="shared" si="42"/>
        <v/>
      </c>
      <c r="G2637" s="6" t="str">
        <f>IF(B2637="","",股指期货基差分析!$N$11)</f>
        <v/>
      </c>
      <c r="H2637" s="6" t="str">
        <f>IF(B2637="","",股指期货基差分析!$L$11)</f>
        <v/>
      </c>
      <c r="I2637" s="10" t="str">
        <f>IF(B2637="","",股指期货基差分析!$D$11)</f>
        <v/>
      </c>
    </row>
    <row r="2638" spans="2:9" ht="15" customHeight="1" x14ac:dyDescent="0.2">
      <c r="B2638" s="7"/>
      <c r="C2638" s="5" t="str">
        <f>IF(B2638="","",[1]!s_dq_close(股指期货基差分析!$E$5,$B2638))</f>
        <v/>
      </c>
      <c r="D2638" s="5" t="str">
        <f>IF(B2638="","",[1]!s_dq_close(股指期货基差分析!$E$6,$B2638))</f>
        <v/>
      </c>
      <c r="E2638" s="5" t="e">
        <f ca="1">RANK(F2638,F:F)+COUNTIF(F$2:F2638,F2638)-1</f>
        <v>#VALUE!</v>
      </c>
      <c r="F2638" s="5" t="str">
        <f t="shared" si="42"/>
        <v/>
      </c>
      <c r="G2638" s="5" t="str">
        <f>IF(B2638="","",股指期货基差分析!$N$11)</f>
        <v/>
      </c>
      <c r="H2638" s="5" t="str">
        <f>IF(B2638="","",股指期货基差分析!$L$11)</f>
        <v/>
      </c>
      <c r="I2638" s="9" t="str">
        <f>IF(B2638="","",股指期货基差分析!$D$11)</f>
        <v/>
      </c>
    </row>
    <row r="2639" spans="2:9" ht="15" customHeight="1" x14ac:dyDescent="0.2">
      <c r="B2639" s="8"/>
      <c r="C2639" s="6" t="str">
        <f>IF(B2639="","",[1]!s_dq_close(股指期货基差分析!$E$5,$B2639))</f>
        <v/>
      </c>
      <c r="D2639" s="6" t="str">
        <f>IF(B2639="","",[1]!s_dq_close(股指期货基差分析!$E$6,$B2639))</f>
        <v/>
      </c>
      <c r="E2639" s="6" t="e">
        <f ca="1">RANK(F2639,F:F)+COUNTIF(F$2:F2639,F2639)-1</f>
        <v>#VALUE!</v>
      </c>
      <c r="F2639" s="6" t="str">
        <f t="shared" si="42"/>
        <v/>
      </c>
      <c r="G2639" s="6" t="str">
        <f>IF(B2639="","",股指期货基差分析!$N$11)</f>
        <v/>
      </c>
      <c r="H2639" s="6" t="str">
        <f>IF(B2639="","",股指期货基差分析!$L$11)</f>
        <v/>
      </c>
      <c r="I2639" s="10" t="str">
        <f>IF(B2639="","",股指期货基差分析!$D$11)</f>
        <v/>
      </c>
    </row>
    <row r="2640" spans="2:9" ht="15" customHeight="1" x14ac:dyDescent="0.2">
      <c r="B2640" s="7"/>
      <c r="C2640" s="5" t="str">
        <f>IF(B2640="","",[1]!s_dq_close(股指期货基差分析!$E$5,$B2640))</f>
        <v/>
      </c>
      <c r="D2640" s="5" t="str">
        <f>IF(B2640="","",[1]!s_dq_close(股指期货基差分析!$E$6,$B2640))</f>
        <v/>
      </c>
      <c r="E2640" s="5" t="e">
        <f ca="1">RANK(F2640,F:F)+COUNTIF(F$2:F2640,F2640)-1</f>
        <v>#VALUE!</v>
      </c>
      <c r="F2640" s="5" t="str">
        <f t="shared" si="42"/>
        <v/>
      </c>
      <c r="G2640" s="5" t="str">
        <f>IF(B2640="","",股指期货基差分析!$N$11)</f>
        <v/>
      </c>
      <c r="H2640" s="5" t="str">
        <f>IF(B2640="","",股指期货基差分析!$L$11)</f>
        <v/>
      </c>
      <c r="I2640" s="9" t="str">
        <f>IF(B2640="","",股指期货基差分析!$D$11)</f>
        <v/>
      </c>
    </row>
    <row r="2641" spans="2:9" ht="15" customHeight="1" x14ac:dyDescent="0.2">
      <c r="B2641" s="8"/>
      <c r="C2641" s="6" t="str">
        <f>IF(B2641="","",[1]!s_dq_close(股指期货基差分析!$E$5,$B2641))</f>
        <v/>
      </c>
      <c r="D2641" s="6" t="str">
        <f>IF(B2641="","",[1]!s_dq_close(股指期货基差分析!$E$6,$B2641))</f>
        <v/>
      </c>
      <c r="E2641" s="6" t="e">
        <f ca="1">RANK(F2641,F:F)+COUNTIF(F$2:F2641,F2641)-1</f>
        <v>#VALUE!</v>
      </c>
      <c r="F2641" s="6" t="str">
        <f t="shared" si="42"/>
        <v/>
      </c>
      <c r="G2641" s="6" t="str">
        <f>IF(B2641="","",股指期货基差分析!$N$11)</f>
        <v/>
      </c>
      <c r="H2641" s="6" t="str">
        <f>IF(B2641="","",股指期货基差分析!$L$11)</f>
        <v/>
      </c>
      <c r="I2641" s="10" t="str">
        <f>IF(B2641="","",股指期货基差分析!$D$11)</f>
        <v/>
      </c>
    </row>
    <row r="2642" spans="2:9" ht="15" customHeight="1" x14ac:dyDescent="0.2">
      <c r="B2642" s="7"/>
      <c r="C2642" s="5" t="str">
        <f>IF(B2642="","",[1]!s_dq_close(股指期货基差分析!$E$5,$B2642))</f>
        <v/>
      </c>
      <c r="D2642" s="5" t="str">
        <f>IF(B2642="","",[1]!s_dq_close(股指期货基差分析!$E$6,$B2642))</f>
        <v/>
      </c>
      <c r="E2642" s="5" t="e">
        <f ca="1">RANK(F2642,F:F)+COUNTIF(F$2:F2642,F2642)-1</f>
        <v>#VALUE!</v>
      </c>
      <c r="F2642" s="5" t="str">
        <f t="shared" si="42"/>
        <v/>
      </c>
      <c r="G2642" s="5" t="str">
        <f>IF(B2642="","",股指期货基差分析!$N$11)</f>
        <v/>
      </c>
      <c r="H2642" s="5" t="str">
        <f>IF(B2642="","",股指期货基差分析!$L$11)</f>
        <v/>
      </c>
      <c r="I2642" s="9" t="str">
        <f>IF(B2642="","",股指期货基差分析!$D$11)</f>
        <v/>
      </c>
    </row>
    <row r="2643" spans="2:9" ht="15" customHeight="1" x14ac:dyDescent="0.2">
      <c r="B2643" s="8"/>
      <c r="C2643" s="6" t="str">
        <f>IF(B2643="","",[1]!s_dq_close(股指期货基差分析!$E$5,$B2643))</f>
        <v/>
      </c>
      <c r="D2643" s="6" t="str">
        <f>IF(B2643="","",[1]!s_dq_close(股指期货基差分析!$E$6,$B2643))</f>
        <v/>
      </c>
      <c r="E2643" s="6" t="e">
        <f ca="1">RANK(F2643,F:F)+COUNTIF(F$2:F2643,F2643)-1</f>
        <v>#VALUE!</v>
      </c>
      <c r="F2643" s="6" t="str">
        <f t="shared" si="42"/>
        <v/>
      </c>
      <c r="G2643" s="6" t="str">
        <f>IF(B2643="","",股指期货基差分析!$N$11)</f>
        <v/>
      </c>
      <c r="H2643" s="6" t="str">
        <f>IF(B2643="","",股指期货基差分析!$L$11)</f>
        <v/>
      </c>
      <c r="I2643" s="10" t="str">
        <f>IF(B2643="","",股指期货基差分析!$D$11)</f>
        <v/>
      </c>
    </row>
    <row r="2644" spans="2:9" ht="15" customHeight="1" x14ac:dyDescent="0.2">
      <c r="B2644" s="7"/>
      <c r="C2644" s="5" t="str">
        <f>IF(B2644="","",[1]!s_dq_close(股指期货基差分析!$E$5,$B2644))</f>
        <v/>
      </c>
      <c r="D2644" s="5" t="str">
        <f>IF(B2644="","",[1]!s_dq_close(股指期货基差分析!$E$6,$B2644))</f>
        <v/>
      </c>
      <c r="E2644" s="5" t="e">
        <f ca="1">RANK(F2644,F:F)+COUNTIF(F$2:F2644,F2644)-1</f>
        <v>#VALUE!</v>
      </c>
      <c r="F2644" s="5" t="str">
        <f t="shared" si="42"/>
        <v/>
      </c>
      <c r="G2644" s="5" t="str">
        <f>IF(B2644="","",股指期货基差分析!$N$11)</f>
        <v/>
      </c>
      <c r="H2644" s="5" t="str">
        <f>IF(B2644="","",股指期货基差分析!$L$11)</f>
        <v/>
      </c>
      <c r="I2644" s="9" t="str">
        <f>IF(B2644="","",股指期货基差分析!$D$11)</f>
        <v/>
      </c>
    </row>
    <row r="2645" spans="2:9" ht="15" customHeight="1" x14ac:dyDescent="0.2">
      <c r="B2645" s="8"/>
      <c r="C2645" s="6" t="str">
        <f>IF(B2645="","",[1]!s_dq_close(股指期货基差分析!$E$5,$B2645))</f>
        <v/>
      </c>
      <c r="D2645" s="6" t="str">
        <f>IF(B2645="","",[1]!s_dq_close(股指期货基差分析!$E$6,$B2645))</f>
        <v/>
      </c>
      <c r="E2645" s="6" t="e">
        <f ca="1">RANK(F2645,F:F)+COUNTIF(F$2:F2645,F2645)-1</f>
        <v>#VALUE!</v>
      </c>
      <c r="F2645" s="6" t="str">
        <f t="shared" si="42"/>
        <v/>
      </c>
      <c r="G2645" s="6" t="str">
        <f>IF(B2645="","",股指期货基差分析!$N$11)</f>
        <v/>
      </c>
      <c r="H2645" s="6" t="str">
        <f>IF(B2645="","",股指期货基差分析!$L$11)</f>
        <v/>
      </c>
      <c r="I2645" s="10" t="str">
        <f>IF(B2645="","",股指期货基差分析!$D$11)</f>
        <v/>
      </c>
    </row>
    <row r="2646" spans="2:9" ht="15" customHeight="1" x14ac:dyDescent="0.2">
      <c r="B2646" s="7"/>
      <c r="C2646" s="5" t="str">
        <f>IF(B2646="","",[1]!s_dq_close(股指期货基差分析!$E$5,$B2646))</f>
        <v/>
      </c>
      <c r="D2646" s="5" t="str">
        <f>IF(B2646="","",[1]!s_dq_close(股指期货基差分析!$E$6,$B2646))</f>
        <v/>
      </c>
      <c r="E2646" s="5" t="e">
        <f ca="1">RANK(F2646,F:F)+COUNTIF(F$2:F2646,F2646)-1</f>
        <v>#VALUE!</v>
      </c>
      <c r="F2646" s="5" t="str">
        <f t="shared" si="42"/>
        <v/>
      </c>
      <c r="G2646" s="5" t="str">
        <f>IF(B2646="","",股指期货基差分析!$N$11)</f>
        <v/>
      </c>
      <c r="H2646" s="5" t="str">
        <f>IF(B2646="","",股指期货基差分析!$L$11)</f>
        <v/>
      </c>
      <c r="I2646" s="9" t="str">
        <f>IF(B2646="","",股指期货基差分析!$D$11)</f>
        <v/>
      </c>
    </row>
    <row r="2647" spans="2:9" ht="15" customHeight="1" x14ac:dyDescent="0.2">
      <c r="B2647" s="8"/>
      <c r="C2647" s="6" t="str">
        <f>IF(B2647="","",[1]!s_dq_close(股指期货基差分析!$E$5,$B2647))</f>
        <v/>
      </c>
      <c r="D2647" s="6" t="str">
        <f>IF(B2647="","",[1]!s_dq_close(股指期货基差分析!$E$6,$B2647))</f>
        <v/>
      </c>
      <c r="E2647" s="6" t="e">
        <f ca="1">RANK(F2647,F:F)+COUNTIF(F$2:F2647,F2647)-1</f>
        <v>#VALUE!</v>
      </c>
      <c r="F2647" s="6" t="str">
        <f t="shared" si="42"/>
        <v/>
      </c>
      <c r="G2647" s="6" t="str">
        <f>IF(B2647="","",股指期货基差分析!$N$11)</f>
        <v/>
      </c>
      <c r="H2647" s="6" t="str">
        <f>IF(B2647="","",股指期货基差分析!$L$11)</f>
        <v/>
      </c>
      <c r="I2647" s="10" t="str">
        <f>IF(B2647="","",股指期货基差分析!$D$11)</f>
        <v/>
      </c>
    </row>
    <row r="2648" spans="2:9" ht="15" customHeight="1" x14ac:dyDescent="0.2">
      <c r="B2648" s="7"/>
      <c r="C2648" s="5" t="str">
        <f>IF(B2648="","",[1]!s_dq_close(股指期货基差分析!$E$5,$B2648))</f>
        <v/>
      </c>
      <c r="D2648" s="5" t="str">
        <f>IF(B2648="","",[1]!s_dq_close(股指期货基差分析!$E$6,$B2648))</f>
        <v/>
      </c>
      <c r="E2648" s="5" t="e">
        <f ca="1">RANK(F2648,F:F)+COUNTIF(F$2:F2648,F2648)-1</f>
        <v>#VALUE!</v>
      </c>
      <c r="F2648" s="5" t="str">
        <f t="shared" si="42"/>
        <v/>
      </c>
      <c r="G2648" s="5" t="str">
        <f>IF(B2648="","",股指期货基差分析!$N$11)</f>
        <v/>
      </c>
      <c r="H2648" s="5" t="str">
        <f>IF(B2648="","",股指期货基差分析!$L$11)</f>
        <v/>
      </c>
      <c r="I2648" s="9" t="str">
        <f>IF(B2648="","",股指期货基差分析!$D$11)</f>
        <v/>
      </c>
    </row>
    <row r="2649" spans="2:9" ht="15" customHeight="1" x14ac:dyDescent="0.2">
      <c r="B2649" s="8"/>
      <c r="C2649" s="6" t="str">
        <f>IF(B2649="","",[1]!s_dq_close(股指期货基差分析!$E$5,$B2649))</f>
        <v/>
      </c>
      <c r="D2649" s="6" t="str">
        <f>IF(B2649="","",[1]!s_dq_close(股指期货基差分析!$E$6,$B2649))</f>
        <v/>
      </c>
      <c r="E2649" s="6" t="e">
        <f ca="1">RANK(F2649,F:F)+COUNTIF(F$2:F2649,F2649)-1</f>
        <v>#VALUE!</v>
      </c>
      <c r="F2649" s="6" t="str">
        <f t="shared" si="42"/>
        <v/>
      </c>
      <c r="G2649" s="6" t="str">
        <f>IF(B2649="","",股指期货基差分析!$N$11)</f>
        <v/>
      </c>
      <c r="H2649" s="6" t="str">
        <f>IF(B2649="","",股指期货基差分析!$L$11)</f>
        <v/>
      </c>
      <c r="I2649" s="10" t="str">
        <f>IF(B2649="","",股指期货基差分析!$D$11)</f>
        <v/>
      </c>
    </row>
    <row r="2650" spans="2:9" ht="15" customHeight="1" x14ac:dyDescent="0.2">
      <c r="B2650" s="7"/>
      <c r="C2650" s="5" t="str">
        <f>IF(B2650="","",[1]!s_dq_close(股指期货基差分析!$E$5,$B2650))</f>
        <v/>
      </c>
      <c r="D2650" s="5" t="str">
        <f>IF(B2650="","",[1]!s_dq_close(股指期货基差分析!$E$6,$B2650))</f>
        <v/>
      </c>
      <c r="E2650" s="5" t="e">
        <f ca="1">RANK(F2650,F:F)+COUNTIF(F$2:F2650,F2650)-1</f>
        <v>#VALUE!</v>
      </c>
      <c r="F2650" s="5" t="str">
        <f t="shared" si="42"/>
        <v/>
      </c>
      <c r="G2650" s="5" t="str">
        <f>IF(B2650="","",股指期货基差分析!$N$11)</f>
        <v/>
      </c>
      <c r="H2650" s="5" t="str">
        <f>IF(B2650="","",股指期货基差分析!$L$11)</f>
        <v/>
      </c>
      <c r="I2650" s="9" t="str">
        <f>IF(B2650="","",股指期货基差分析!$D$11)</f>
        <v/>
      </c>
    </row>
    <row r="2651" spans="2:9" ht="15" customHeight="1" x14ac:dyDescent="0.2">
      <c r="B2651" s="8"/>
      <c r="C2651" s="6" t="str">
        <f>IF(B2651="","",[1]!s_dq_close(股指期货基差分析!$E$5,$B2651))</f>
        <v/>
      </c>
      <c r="D2651" s="6" t="str">
        <f>IF(B2651="","",[1]!s_dq_close(股指期货基差分析!$E$6,$B2651))</f>
        <v/>
      </c>
      <c r="E2651" s="6" t="e">
        <f ca="1">RANK(F2651,F:F)+COUNTIF(F$2:F2651,F2651)-1</f>
        <v>#VALUE!</v>
      </c>
      <c r="F2651" s="6" t="str">
        <f t="shared" si="42"/>
        <v/>
      </c>
      <c r="G2651" s="6" t="str">
        <f>IF(B2651="","",股指期货基差分析!$N$11)</f>
        <v/>
      </c>
      <c r="H2651" s="6" t="str">
        <f>IF(B2651="","",股指期货基差分析!$L$11)</f>
        <v/>
      </c>
      <c r="I2651" s="10" t="str">
        <f>IF(B2651="","",股指期货基差分析!$D$11)</f>
        <v/>
      </c>
    </row>
    <row r="2652" spans="2:9" ht="15" customHeight="1" x14ac:dyDescent="0.2">
      <c r="B2652" s="7"/>
      <c r="C2652" s="5" t="str">
        <f>IF(B2652="","",[1]!s_dq_close(股指期货基差分析!$E$5,$B2652))</f>
        <v/>
      </c>
      <c r="D2652" s="5" t="str">
        <f>IF(B2652="","",[1]!s_dq_close(股指期货基差分析!$E$6,$B2652))</f>
        <v/>
      </c>
      <c r="E2652" s="5" t="e">
        <f ca="1">RANK(F2652,F:F)+COUNTIF(F$2:F2652,F2652)-1</f>
        <v>#VALUE!</v>
      </c>
      <c r="F2652" s="5" t="str">
        <f t="shared" si="42"/>
        <v/>
      </c>
      <c r="G2652" s="5" t="str">
        <f>IF(B2652="","",股指期货基差分析!$N$11)</f>
        <v/>
      </c>
      <c r="H2652" s="5" t="str">
        <f>IF(B2652="","",股指期货基差分析!$L$11)</f>
        <v/>
      </c>
      <c r="I2652" s="9" t="str">
        <f>IF(B2652="","",股指期货基差分析!$D$11)</f>
        <v/>
      </c>
    </row>
    <row r="2653" spans="2:9" ht="15" customHeight="1" x14ac:dyDescent="0.2">
      <c r="B2653" s="8"/>
      <c r="C2653" s="6" t="str">
        <f>IF(B2653="","",[1]!s_dq_close(股指期货基差分析!$E$5,$B2653))</f>
        <v/>
      </c>
      <c r="D2653" s="6" t="str">
        <f>IF(B2653="","",[1]!s_dq_close(股指期货基差分析!$E$6,$B2653))</f>
        <v/>
      </c>
      <c r="E2653" s="6" t="e">
        <f ca="1">RANK(F2653,F:F)+COUNTIF(F$2:F2653,F2653)-1</f>
        <v>#VALUE!</v>
      </c>
      <c r="F2653" s="6" t="str">
        <f t="shared" si="42"/>
        <v/>
      </c>
      <c r="G2653" s="6" t="str">
        <f>IF(B2653="","",股指期货基差分析!$N$11)</f>
        <v/>
      </c>
      <c r="H2653" s="6" t="str">
        <f>IF(B2653="","",股指期货基差分析!$L$11)</f>
        <v/>
      </c>
      <c r="I2653" s="10" t="str">
        <f>IF(B2653="","",股指期货基差分析!$D$11)</f>
        <v/>
      </c>
    </row>
    <row r="2654" spans="2:9" ht="15" customHeight="1" x14ac:dyDescent="0.2">
      <c r="B2654" s="7"/>
      <c r="C2654" s="5" t="str">
        <f>IF(B2654="","",[1]!s_dq_close(股指期货基差分析!$E$5,$B2654))</f>
        <v/>
      </c>
      <c r="D2654" s="5" t="str">
        <f>IF(B2654="","",[1]!s_dq_close(股指期货基差分析!$E$6,$B2654))</f>
        <v/>
      </c>
      <c r="E2654" s="5" t="e">
        <f ca="1">RANK(F2654,F:F)+COUNTIF(F$2:F2654,F2654)-1</f>
        <v>#VALUE!</v>
      </c>
      <c r="F2654" s="5" t="str">
        <f t="shared" si="42"/>
        <v/>
      </c>
      <c r="G2654" s="5" t="str">
        <f>IF(B2654="","",股指期货基差分析!$N$11)</f>
        <v/>
      </c>
      <c r="H2654" s="5" t="str">
        <f>IF(B2654="","",股指期货基差分析!$L$11)</f>
        <v/>
      </c>
      <c r="I2654" s="9" t="str">
        <f>IF(B2654="","",股指期货基差分析!$D$11)</f>
        <v/>
      </c>
    </row>
    <row r="2655" spans="2:9" ht="15" customHeight="1" x14ac:dyDescent="0.2">
      <c r="B2655" s="8"/>
      <c r="C2655" s="6" t="str">
        <f>IF(B2655="","",[1]!s_dq_close(股指期货基差分析!$E$5,$B2655))</f>
        <v/>
      </c>
      <c r="D2655" s="6" t="str">
        <f>IF(B2655="","",[1]!s_dq_close(股指期货基差分析!$E$6,$B2655))</f>
        <v/>
      </c>
      <c r="E2655" s="6" t="e">
        <f ca="1">RANK(F2655,F:F)+COUNTIF(F$2:F2655,F2655)-1</f>
        <v>#VALUE!</v>
      </c>
      <c r="F2655" s="6" t="str">
        <f t="shared" si="42"/>
        <v/>
      </c>
      <c r="G2655" s="6" t="str">
        <f>IF(B2655="","",股指期货基差分析!$N$11)</f>
        <v/>
      </c>
      <c r="H2655" s="6" t="str">
        <f>IF(B2655="","",股指期货基差分析!$L$11)</f>
        <v/>
      </c>
      <c r="I2655" s="10" t="str">
        <f>IF(B2655="","",股指期货基差分析!$D$11)</f>
        <v/>
      </c>
    </row>
    <row r="2656" spans="2:9" ht="15" customHeight="1" x14ac:dyDescent="0.2">
      <c r="B2656" s="7"/>
      <c r="C2656" s="5" t="str">
        <f>IF(B2656="","",[1]!s_dq_close(股指期货基差分析!$E$5,$B2656))</f>
        <v/>
      </c>
      <c r="D2656" s="5" t="str">
        <f>IF(B2656="","",[1]!s_dq_close(股指期货基差分析!$E$6,$B2656))</f>
        <v/>
      </c>
      <c r="E2656" s="5" t="e">
        <f ca="1">RANK(F2656,F:F)+COUNTIF(F$2:F2656,F2656)-1</f>
        <v>#VALUE!</v>
      </c>
      <c r="F2656" s="5" t="str">
        <f t="shared" si="42"/>
        <v/>
      </c>
      <c r="G2656" s="5" t="str">
        <f>IF(B2656="","",股指期货基差分析!$N$11)</f>
        <v/>
      </c>
      <c r="H2656" s="5" t="str">
        <f>IF(B2656="","",股指期货基差分析!$L$11)</f>
        <v/>
      </c>
      <c r="I2656" s="9" t="str">
        <f>IF(B2656="","",股指期货基差分析!$D$11)</f>
        <v/>
      </c>
    </row>
    <row r="2657" spans="2:9" ht="15" customHeight="1" x14ac:dyDescent="0.2">
      <c r="B2657" s="8"/>
      <c r="C2657" s="6" t="str">
        <f>IF(B2657="","",[1]!s_dq_close(股指期货基差分析!$E$5,$B2657))</f>
        <v/>
      </c>
      <c r="D2657" s="6" t="str">
        <f>IF(B2657="","",[1]!s_dq_close(股指期货基差分析!$E$6,$B2657))</f>
        <v/>
      </c>
      <c r="E2657" s="6" t="e">
        <f ca="1">RANK(F2657,F:F)+COUNTIF(F$2:F2657,F2657)-1</f>
        <v>#VALUE!</v>
      </c>
      <c r="F2657" s="6" t="str">
        <f t="shared" si="42"/>
        <v/>
      </c>
      <c r="G2657" s="6" t="str">
        <f>IF(B2657="","",股指期货基差分析!$N$11)</f>
        <v/>
      </c>
      <c r="H2657" s="6" t="str">
        <f>IF(B2657="","",股指期货基差分析!$L$11)</f>
        <v/>
      </c>
      <c r="I2657" s="10" t="str">
        <f>IF(B2657="","",股指期货基差分析!$D$11)</f>
        <v/>
      </c>
    </row>
    <row r="2658" spans="2:9" ht="15" customHeight="1" x14ac:dyDescent="0.2">
      <c r="B2658" s="7"/>
      <c r="C2658" s="5" t="str">
        <f>IF(B2658="","",[1]!s_dq_close(股指期货基差分析!$E$5,$B2658))</f>
        <v/>
      </c>
      <c r="D2658" s="5" t="str">
        <f>IF(B2658="","",[1]!s_dq_close(股指期货基差分析!$E$6,$B2658))</f>
        <v/>
      </c>
      <c r="E2658" s="5" t="e">
        <f ca="1">RANK(F2658,F:F)+COUNTIF(F$2:F2658,F2658)-1</f>
        <v>#VALUE!</v>
      </c>
      <c r="F2658" s="5" t="str">
        <f t="shared" si="42"/>
        <v/>
      </c>
      <c r="G2658" s="5" t="str">
        <f>IF(B2658="","",股指期货基差分析!$N$11)</f>
        <v/>
      </c>
      <c r="H2658" s="5" t="str">
        <f>IF(B2658="","",股指期货基差分析!$L$11)</f>
        <v/>
      </c>
      <c r="I2658" s="9" t="str">
        <f>IF(B2658="","",股指期货基差分析!$D$11)</f>
        <v/>
      </c>
    </row>
    <row r="2659" spans="2:9" ht="15" customHeight="1" x14ac:dyDescent="0.2">
      <c r="B2659" s="8"/>
      <c r="C2659" s="6" t="str">
        <f>IF(B2659="","",[1]!s_dq_close(股指期货基差分析!$E$5,$B2659))</f>
        <v/>
      </c>
      <c r="D2659" s="6" t="str">
        <f>IF(B2659="","",[1]!s_dq_close(股指期货基差分析!$E$6,$B2659))</f>
        <v/>
      </c>
      <c r="E2659" s="6" t="e">
        <f ca="1">RANK(F2659,F:F)+COUNTIF(F$2:F2659,F2659)-1</f>
        <v>#VALUE!</v>
      </c>
      <c r="F2659" s="6" t="str">
        <f t="shared" si="42"/>
        <v/>
      </c>
      <c r="G2659" s="6" t="str">
        <f>IF(B2659="","",股指期货基差分析!$N$11)</f>
        <v/>
      </c>
      <c r="H2659" s="6" t="str">
        <f>IF(B2659="","",股指期货基差分析!$L$11)</f>
        <v/>
      </c>
      <c r="I2659" s="10" t="str">
        <f>IF(B2659="","",股指期货基差分析!$D$11)</f>
        <v/>
      </c>
    </row>
    <row r="2660" spans="2:9" ht="15" customHeight="1" x14ac:dyDescent="0.2">
      <c r="B2660" s="7"/>
      <c r="C2660" s="5" t="str">
        <f>IF(B2660="","",[1]!s_dq_close(股指期货基差分析!$E$5,$B2660))</f>
        <v/>
      </c>
      <c r="D2660" s="5" t="str">
        <f>IF(B2660="","",[1]!s_dq_close(股指期货基差分析!$E$6,$B2660))</f>
        <v/>
      </c>
      <c r="E2660" s="5" t="e">
        <f ca="1">RANK(F2660,F:F)+COUNTIF(F$2:F2660,F2660)-1</f>
        <v>#VALUE!</v>
      </c>
      <c r="F2660" s="5" t="str">
        <f t="shared" si="42"/>
        <v/>
      </c>
      <c r="G2660" s="5" t="str">
        <f>IF(B2660="","",股指期货基差分析!$N$11)</f>
        <v/>
      </c>
      <c r="H2660" s="5" t="str">
        <f>IF(B2660="","",股指期货基差分析!$L$11)</f>
        <v/>
      </c>
      <c r="I2660" s="9" t="str">
        <f>IF(B2660="","",股指期货基差分析!$D$11)</f>
        <v/>
      </c>
    </row>
    <row r="2661" spans="2:9" ht="15" customHeight="1" x14ac:dyDescent="0.2">
      <c r="B2661" s="8"/>
      <c r="C2661" s="6" t="str">
        <f>IF(B2661="","",[1]!s_dq_close(股指期货基差分析!$E$5,$B2661))</f>
        <v/>
      </c>
      <c r="D2661" s="6" t="str">
        <f>IF(B2661="","",[1]!s_dq_close(股指期货基差分析!$E$6,$B2661))</f>
        <v/>
      </c>
      <c r="E2661" s="6" t="e">
        <f ca="1">RANK(F2661,F:F)+COUNTIF(F$2:F2661,F2661)-1</f>
        <v>#VALUE!</v>
      </c>
      <c r="F2661" s="6" t="str">
        <f t="shared" si="42"/>
        <v/>
      </c>
      <c r="G2661" s="6" t="str">
        <f>IF(B2661="","",股指期货基差分析!$N$11)</f>
        <v/>
      </c>
      <c r="H2661" s="6" t="str">
        <f>IF(B2661="","",股指期货基差分析!$L$11)</f>
        <v/>
      </c>
      <c r="I2661" s="10" t="str">
        <f>IF(B2661="","",股指期货基差分析!$D$11)</f>
        <v/>
      </c>
    </row>
    <row r="2662" spans="2:9" ht="15" customHeight="1" x14ac:dyDescent="0.2">
      <c r="B2662" s="7"/>
      <c r="C2662" s="5" t="str">
        <f>IF(B2662="","",[1]!s_dq_close(股指期货基差分析!$E$5,$B2662))</f>
        <v/>
      </c>
      <c r="D2662" s="5" t="str">
        <f>IF(B2662="","",[1]!s_dq_close(股指期货基差分析!$E$6,$B2662))</f>
        <v/>
      </c>
      <c r="E2662" s="5" t="e">
        <f ca="1">RANK(F2662,F:F)+COUNTIF(F$2:F2662,F2662)-1</f>
        <v>#VALUE!</v>
      </c>
      <c r="F2662" s="5" t="str">
        <f t="shared" si="42"/>
        <v/>
      </c>
      <c r="G2662" s="5" t="str">
        <f>IF(B2662="","",股指期货基差分析!$N$11)</f>
        <v/>
      </c>
      <c r="H2662" s="5" t="str">
        <f>IF(B2662="","",股指期货基差分析!$L$11)</f>
        <v/>
      </c>
      <c r="I2662" s="9" t="str">
        <f>IF(B2662="","",股指期货基差分析!$D$11)</f>
        <v/>
      </c>
    </row>
    <row r="2663" spans="2:9" ht="15" customHeight="1" x14ac:dyDescent="0.2">
      <c r="B2663" s="8"/>
      <c r="C2663" s="6" t="str">
        <f>IF(B2663="","",[1]!s_dq_close(股指期货基差分析!$E$5,$B2663))</f>
        <v/>
      </c>
      <c r="D2663" s="6" t="str">
        <f>IF(B2663="","",[1]!s_dq_close(股指期货基差分析!$E$6,$B2663))</f>
        <v/>
      </c>
      <c r="E2663" s="6" t="e">
        <f ca="1">RANK(F2663,F:F)+COUNTIF(F$2:F2663,F2663)-1</f>
        <v>#VALUE!</v>
      </c>
      <c r="F2663" s="6" t="str">
        <f t="shared" si="42"/>
        <v/>
      </c>
      <c r="G2663" s="6" t="str">
        <f>IF(B2663="","",股指期货基差分析!$N$11)</f>
        <v/>
      </c>
      <c r="H2663" s="6" t="str">
        <f>IF(B2663="","",股指期货基差分析!$L$11)</f>
        <v/>
      </c>
      <c r="I2663" s="10" t="str">
        <f>IF(B2663="","",股指期货基差分析!$D$11)</f>
        <v/>
      </c>
    </row>
    <row r="2664" spans="2:9" ht="15" customHeight="1" x14ac:dyDescent="0.2">
      <c r="B2664" s="7"/>
      <c r="C2664" s="5" t="str">
        <f>IF(B2664="","",[1]!s_dq_close(股指期货基差分析!$E$5,$B2664))</f>
        <v/>
      </c>
      <c r="D2664" s="5" t="str">
        <f>IF(B2664="","",[1]!s_dq_close(股指期货基差分析!$E$6,$B2664))</f>
        <v/>
      </c>
      <c r="E2664" s="5" t="e">
        <f ca="1">RANK(F2664,F:F)+COUNTIF(F$2:F2664,F2664)-1</f>
        <v>#VALUE!</v>
      </c>
      <c r="F2664" s="5" t="str">
        <f t="shared" si="42"/>
        <v/>
      </c>
      <c r="G2664" s="5" t="str">
        <f>IF(B2664="","",股指期货基差分析!$N$11)</f>
        <v/>
      </c>
      <c r="H2664" s="5" t="str">
        <f>IF(B2664="","",股指期货基差分析!$L$11)</f>
        <v/>
      </c>
      <c r="I2664" s="9" t="str">
        <f>IF(B2664="","",股指期货基差分析!$D$11)</f>
        <v/>
      </c>
    </row>
    <row r="2665" spans="2:9" ht="15" customHeight="1" x14ac:dyDescent="0.2">
      <c r="B2665" s="8"/>
      <c r="C2665" s="6" t="str">
        <f>IF(B2665="","",[1]!s_dq_close(股指期货基差分析!$E$5,$B2665))</f>
        <v/>
      </c>
      <c r="D2665" s="6" t="str">
        <f>IF(B2665="","",[1]!s_dq_close(股指期货基差分析!$E$6,$B2665))</f>
        <v/>
      </c>
      <c r="E2665" s="6" t="e">
        <f ca="1">RANK(F2665,F:F)+COUNTIF(F$2:F2665,F2665)-1</f>
        <v>#VALUE!</v>
      </c>
      <c r="F2665" s="6" t="str">
        <f t="shared" si="42"/>
        <v/>
      </c>
      <c r="G2665" s="6" t="str">
        <f>IF(B2665="","",股指期货基差分析!$N$11)</f>
        <v/>
      </c>
      <c r="H2665" s="6" t="str">
        <f>IF(B2665="","",股指期货基差分析!$L$11)</f>
        <v/>
      </c>
      <c r="I2665" s="10" t="str">
        <f>IF(B2665="","",股指期货基差分析!$D$11)</f>
        <v/>
      </c>
    </row>
    <row r="2666" spans="2:9" ht="15" customHeight="1" x14ac:dyDescent="0.2">
      <c r="B2666" s="7"/>
      <c r="C2666" s="5" t="str">
        <f>IF(B2666="","",[1]!s_dq_close(股指期货基差分析!$E$5,$B2666))</f>
        <v/>
      </c>
      <c r="D2666" s="5" t="str">
        <f>IF(B2666="","",[1]!s_dq_close(股指期货基差分析!$E$6,$B2666))</f>
        <v/>
      </c>
      <c r="E2666" s="5" t="e">
        <f ca="1">RANK(F2666,F:F)+COUNTIF(F$2:F2666,F2666)-1</f>
        <v>#VALUE!</v>
      </c>
      <c r="F2666" s="5" t="str">
        <f t="shared" si="42"/>
        <v/>
      </c>
      <c r="G2666" s="5" t="str">
        <f>IF(B2666="","",股指期货基差分析!$N$11)</f>
        <v/>
      </c>
      <c r="H2666" s="5" t="str">
        <f>IF(B2666="","",股指期货基差分析!$L$11)</f>
        <v/>
      </c>
      <c r="I2666" s="9" t="str">
        <f>IF(B2666="","",股指期货基差分析!$D$11)</f>
        <v/>
      </c>
    </row>
    <row r="2667" spans="2:9" ht="15" customHeight="1" x14ac:dyDescent="0.2">
      <c r="B2667" s="8"/>
      <c r="C2667" s="6" t="str">
        <f>IF(B2667="","",[1]!s_dq_close(股指期货基差分析!$E$5,$B2667))</f>
        <v/>
      </c>
      <c r="D2667" s="6" t="str">
        <f>IF(B2667="","",[1]!s_dq_close(股指期货基差分析!$E$6,$B2667))</f>
        <v/>
      </c>
      <c r="E2667" s="6" t="e">
        <f ca="1">RANK(F2667,F:F)+COUNTIF(F$2:F2667,F2667)-1</f>
        <v>#VALUE!</v>
      </c>
      <c r="F2667" s="6" t="str">
        <f t="shared" si="42"/>
        <v/>
      </c>
      <c r="G2667" s="6" t="str">
        <f>IF(B2667="","",股指期货基差分析!$N$11)</f>
        <v/>
      </c>
      <c r="H2667" s="6" t="str">
        <f>IF(B2667="","",股指期货基差分析!$L$11)</f>
        <v/>
      </c>
      <c r="I2667" s="10" t="str">
        <f>IF(B2667="","",股指期货基差分析!$D$11)</f>
        <v/>
      </c>
    </row>
    <row r="2668" spans="2:9" ht="15" customHeight="1" x14ac:dyDescent="0.2">
      <c r="B2668" s="7"/>
      <c r="C2668" s="5" t="str">
        <f>IF(B2668="","",[1]!s_dq_close(股指期货基差分析!$E$5,$B2668))</f>
        <v/>
      </c>
      <c r="D2668" s="5" t="str">
        <f>IF(B2668="","",[1]!s_dq_close(股指期货基差分析!$E$6,$B2668))</f>
        <v/>
      </c>
      <c r="E2668" s="5" t="e">
        <f ca="1">RANK(F2668,F:F)+COUNTIF(F$2:F2668,F2668)-1</f>
        <v>#VALUE!</v>
      </c>
      <c r="F2668" s="5" t="str">
        <f t="shared" si="42"/>
        <v/>
      </c>
      <c r="G2668" s="5" t="str">
        <f>IF(B2668="","",股指期货基差分析!$N$11)</f>
        <v/>
      </c>
      <c r="H2668" s="5" t="str">
        <f>IF(B2668="","",股指期货基差分析!$L$11)</f>
        <v/>
      </c>
      <c r="I2668" s="9" t="str">
        <f>IF(B2668="","",股指期货基差分析!$D$11)</f>
        <v/>
      </c>
    </row>
    <row r="2669" spans="2:9" ht="15" customHeight="1" x14ac:dyDescent="0.2">
      <c r="B2669" s="8"/>
      <c r="C2669" s="6" t="str">
        <f>IF(B2669="","",[1]!s_dq_close(股指期货基差分析!$E$5,$B2669))</f>
        <v/>
      </c>
      <c r="D2669" s="6" t="str">
        <f>IF(B2669="","",[1]!s_dq_close(股指期货基差分析!$E$6,$B2669))</f>
        <v/>
      </c>
      <c r="E2669" s="6" t="e">
        <f ca="1">RANK(F2669,F:F)+COUNTIF(F$2:F2669,F2669)-1</f>
        <v>#VALUE!</v>
      </c>
      <c r="F2669" s="6" t="str">
        <f t="shared" si="42"/>
        <v/>
      </c>
      <c r="G2669" s="6" t="str">
        <f>IF(B2669="","",股指期货基差分析!$N$11)</f>
        <v/>
      </c>
      <c r="H2669" s="6" t="str">
        <f>IF(B2669="","",股指期货基差分析!$L$11)</f>
        <v/>
      </c>
      <c r="I2669" s="10" t="str">
        <f>IF(B2669="","",股指期货基差分析!$D$11)</f>
        <v/>
      </c>
    </row>
    <row r="2670" spans="2:9" ht="15" customHeight="1" x14ac:dyDescent="0.2">
      <c r="B2670" s="7"/>
      <c r="C2670" s="5" t="str">
        <f>IF(B2670="","",[1]!s_dq_close(股指期货基差分析!$E$5,$B2670))</f>
        <v/>
      </c>
      <c r="D2670" s="5" t="str">
        <f>IF(B2670="","",[1]!s_dq_close(股指期货基差分析!$E$6,$B2670))</f>
        <v/>
      </c>
      <c r="E2670" s="5" t="e">
        <f ca="1">RANK(F2670,F:F)+COUNTIF(F$2:F2670,F2670)-1</f>
        <v>#VALUE!</v>
      </c>
      <c r="F2670" s="5" t="str">
        <f t="shared" si="42"/>
        <v/>
      </c>
      <c r="G2670" s="5" t="str">
        <f>IF(B2670="","",股指期货基差分析!$N$11)</f>
        <v/>
      </c>
      <c r="H2670" s="5" t="str">
        <f>IF(B2670="","",股指期货基差分析!$L$11)</f>
        <v/>
      </c>
      <c r="I2670" s="9" t="str">
        <f>IF(B2670="","",股指期货基差分析!$D$11)</f>
        <v/>
      </c>
    </row>
    <row r="2671" spans="2:9" ht="15" customHeight="1" x14ac:dyDescent="0.2">
      <c r="B2671" s="8"/>
      <c r="C2671" s="6" t="str">
        <f>IF(B2671="","",[1]!s_dq_close(股指期货基差分析!$E$5,$B2671))</f>
        <v/>
      </c>
      <c r="D2671" s="6" t="str">
        <f>IF(B2671="","",[1]!s_dq_close(股指期货基差分析!$E$6,$B2671))</f>
        <v/>
      </c>
      <c r="E2671" s="6" t="e">
        <f ca="1">RANK(F2671,F:F)+COUNTIF(F$2:F2671,F2671)-1</f>
        <v>#VALUE!</v>
      </c>
      <c r="F2671" s="6" t="str">
        <f t="shared" si="42"/>
        <v/>
      </c>
      <c r="G2671" s="6" t="str">
        <f>IF(B2671="","",股指期货基差分析!$N$11)</f>
        <v/>
      </c>
      <c r="H2671" s="6" t="str">
        <f>IF(B2671="","",股指期货基差分析!$L$11)</f>
        <v/>
      </c>
      <c r="I2671" s="10" t="str">
        <f>IF(B2671="","",股指期货基差分析!$D$11)</f>
        <v/>
      </c>
    </row>
    <row r="2672" spans="2:9" ht="15" customHeight="1" x14ac:dyDescent="0.2">
      <c r="B2672" s="7"/>
      <c r="C2672" s="5" t="str">
        <f>IF(B2672="","",[1]!s_dq_close(股指期货基差分析!$E$5,$B2672))</f>
        <v/>
      </c>
      <c r="D2672" s="5" t="str">
        <f>IF(B2672="","",[1]!s_dq_close(股指期货基差分析!$E$6,$B2672))</f>
        <v/>
      </c>
      <c r="E2672" s="5" t="e">
        <f ca="1">RANK(F2672,F:F)+COUNTIF(F$2:F2672,F2672)-1</f>
        <v>#VALUE!</v>
      </c>
      <c r="F2672" s="5" t="str">
        <f t="shared" si="42"/>
        <v/>
      </c>
      <c r="G2672" s="5" t="str">
        <f>IF(B2672="","",股指期货基差分析!$N$11)</f>
        <v/>
      </c>
      <c r="H2672" s="5" t="str">
        <f>IF(B2672="","",股指期货基差分析!$L$11)</f>
        <v/>
      </c>
      <c r="I2672" s="9" t="str">
        <f>IF(B2672="","",股指期货基差分析!$D$11)</f>
        <v/>
      </c>
    </row>
    <row r="2673" spans="2:9" ht="15" customHeight="1" x14ac:dyDescent="0.2">
      <c r="B2673" s="8"/>
      <c r="C2673" s="6" t="str">
        <f>IF(B2673="","",[1]!s_dq_close(股指期货基差分析!$E$5,$B2673))</f>
        <v/>
      </c>
      <c r="D2673" s="6" t="str">
        <f>IF(B2673="","",[1]!s_dq_close(股指期货基差分析!$E$6,$B2673))</f>
        <v/>
      </c>
      <c r="E2673" s="6" t="e">
        <f ca="1">RANK(F2673,F:F)+COUNTIF(F$2:F2673,F2673)-1</f>
        <v>#VALUE!</v>
      </c>
      <c r="F2673" s="6" t="str">
        <f t="shared" si="42"/>
        <v/>
      </c>
      <c r="G2673" s="6" t="str">
        <f>IF(B2673="","",股指期货基差分析!$N$11)</f>
        <v/>
      </c>
      <c r="H2673" s="6" t="str">
        <f>IF(B2673="","",股指期货基差分析!$L$11)</f>
        <v/>
      </c>
      <c r="I2673" s="10" t="str">
        <f>IF(B2673="","",股指期货基差分析!$D$11)</f>
        <v/>
      </c>
    </row>
    <row r="2674" spans="2:9" ht="15" customHeight="1" x14ac:dyDescent="0.2">
      <c r="B2674" s="7"/>
      <c r="C2674" s="5" t="str">
        <f>IF(B2674="","",[1]!s_dq_close(股指期货基差分析!$E$5,$B2674))</f>
        <v/>
      </c>
      <c r="D2674" s="5" t="str">
        <f>IF(B2674="","",[1]!s_dq_close(股指期货基差分析!$E$6,$B2674))</f>
        <v/>
      </c>
      <c r="E2674" s="5" t="e">
        <f ca="1">RANK(F2674,F:F)+COUNTIF(F$2:F2674,F2674)-1</f>
        <v>#VALUE!</v>
      </c>
      <c r="F2674" s="5" t="str">
        <f t="shared" si="42"/>
        <v/>
      </c>
      <c r="G2674" s="5" t="str">
        <f>IF(B2674="","",股指期货基差分析!$N$11)</f>
        <v/>
      </c>
      <c r="H2674" s="5" t="str">
        <f>IF(B2674="","",股指期货基差分析!$L$11)</f>
        <v/>
      </c>
      <c r="I2674" s="9" t="str">
        <f>IF(B2674="","",股指期货基差分析!$D$11)</f>
        <v/>
      </c>
    </row>
    <row r="2675" spans="2:9" ht="15" customHeight="1" x14ac:dyDescent="0.2">
      <c r="B2675" s="8"/>
      <c r="C2675" s="6" t="str">
        <f>IF(B2675="","",[1]!s_dq_close(股指期货基差分析!$E$5,$B2675))</f>
        <v/>
      </c>
      <c r="D2675" s="6" t="str">
        <f>IF(B2675="","",[1]!s_dq_close(股指期货基差分析!$E$6,$B2675))</f>
        <v/>
      </c>
      <c r="E2675" s="6" t="e">
        <f ca="1">RANK(F2675,F:F)+COUNTIF(F$2:F2675,F2675)-1</f>
        <v>#VALUE!</v>
      </c>
      <c r="F2675" s="6" t="str">
        <f t="shared" si="42"/>
        <v/>
      </c>
      <c r="G2675" s="6" t="str">
        <f>IF(B2675="","",股指期货基差分析!$N$11)</f>
        <v/>
      </c>
      <c r="H2675" s="6" t="str">
        <f>IF(B2675="","",股指期货基差分析!$L$11)</f>
        <v/>
      </c>
      <c r="I2675" s="10" t="str">
        <f>IF(B2675="","",股指期货基差分析!$D$11)</f>
        <v/>
      </c>
    </row>
    <row r="2676" spans="2:9" ht="15" customHeight="1" x14ac:dyDescent="0.2">
      <c r="B2676" s="7"/>
      <c r="C2676" s="5" t="str">
        <f>IF(B2676="","",[1]!s_dq_close(股指期货基差分析!$E$5,$B2676))</f>
        <v/>
      </c>
      <c r="D2676" s="5" t="str">
        <f>IF(B2676="","",[1]!s_dq_close(股指期货基差分析!$E$6,$B2676))</f>
        <v/>
      </c>
      <c r="E2676" s="5" t="e">
        <f ca="1">RANK(F2676,F:F)+COUNTIF(F$2:F2676,F2676)-1</f>
        <v>#VALUE!</v>
      </c>
      <c r="F2676" s="5" t="str">
        <f t="shared" si="42"/>
        <v/>
      </c>
      <c r="G2676" s="5" t="str">
        <f>IF(B2676="","",股指期货基差分析!$N$11)</f>
        <v/>
      </c>
      <c r="H2676" s="5" t="str">
        <f>IF(B2676="","",股指期货基差分析!$L$11)</f>
        <v/>
      </c>
      <c r="I2676" s="9" t="str">
        <f>IF(B2676="","",股指期货基差分析!$D$11)</f>
        <v/>
      </c>
    </row>
    <row r="2677" spans="2:9" ht="15" customHeight="1" x14ac:dyDescent="0.2">
      <c r="B2677" s="8"/>
      <c r="C2677" s="6" t="str">
        <f>IF(B2677="","",[1]!s_dq_close(股指期货基差分析!$E$5,$B2677))</f>
        <v/>
      </c>
      <c r="D2677" s="6" t="str">
        <f>IF(B2677="","",[1]!s_dq_close(股指期货基差分析!$E$6,$B2677))</f>
        <v/>
      </c>
      <c r="E2677" s="6" t="e">
        <f ca="1">RANK(F2677,F:F)+COUNTIF(F$2:F2677,F2677)-1</f>
        <v>#VALUE!</v>
      </c>
      <c r="F2677" s="6" t="str">
        <f t="shared" si="42"/>
        <v/>
      </c>
      <c r="G2677" s="6" t="str">
        <f>IF(B2677="","",股指期货基差分析!$N$11)</f>
        <v/>
      </c>
      <c r="H2677" s="6" t="str">
        <f>IF(B2677="","",股指期货基差分析!$L$11)</f>
        <v/>
      </c>
      <c r="I2677" s="10" t="str">
        <f>IF(B2677="","",股指期货基差分析!$D$11)</f>
        <v/>
      </c>
    </row>
    <row r="2678" spans="2:9" ht="15" customHeight="1" x14ac:dyDescent="0.2">
      <c r="B2678" s="7"/>
      <c r="C2678" s="5" t="str">
        <f>IF(B2678="","",[1]!s_dq_close(股指期货基差分析!$E$5,$B2678))</f>
        <v/>
      </c>
      <c r="D2678" s="5" t="str">
        <f>IF(B2678="","",[1]!s_dq_close(股指期货基差分析!$E$6,$B2678))</f>
        <v/>
      </c>
      <c r="E2678" s="5" t="e">
        <f ca="1">RANK(F2678,F:F)+COUNTIF(F$2:F2678,F2678)-1</f>
        <v>#VALUE!</v>
      </c>
      <c r="F2678" s="5" t="str">
        <f t="shared" si="42"/>
        <v/>
      </c>
      <c r="G2678" s="5" t="str">
        <f>IF(B2678="","",股指期货基差分析!$N$11)</f>
        <v/>
      </c>
      <c r="H2678" s="5" t="str">
        <f>IF(B2678="","",股指期货基差分析!$L$11)</f>
        <v/>
      </c>
      <c r="I2678" s="9" t="str">
        <f>IF(B2678="","",股指期货基差分析!$D$11)</f>
        <v/>
      </c>
    </row>
    <row r="2679" spans="2:9" ht="15" customHeight="1" x14ac:dyDescent="0.2">
      <c r="B2679" s="8"/>
      <c r="C2679" s="6" t="str">
        <f>IF(B2679="","",[1]!s_dq_close(股指期货基差分析!$E$5,$B2679))</f>
        <v/>
      </c>
      <c r="D2679" s="6" t="str">
        <f>IF(B2679="","",[1]!s_dq_close(股指期货基差分析!$E$6,$B2679))</f>
        <v/>
      </c>
      <c r="E2679" s="6" t="e">
        <f ca="1">RANK(F2679,F:F)+COUNTIF(F$2:F2679,F2679)-1</f>
        <v>#VALUE!</v>
      </c>
      <c r="F2679" s="6" t="str">
        <f t="shared" si="42"/>
        <v/>
      </c>
      <c r="G2679" s="6" t="str">
        <f>IF(B2679="","",股指期货基差分析!$N$11)</f>
        <v/>
      </c>
      <c r="H2679" s="6" t="str">
        <f>IF(B2679="","",股指期货基差分析!$L$11)</f>
        <v/>
      </c>
      <c r="I2679" s="10" t="str">
        <f>IF(B2679="","",股指期货基差分析!$D$11)</f>
        <v/>
      </c>
    </row>
    <row r="2680" spans="2:9" ht="15" customHeight="1" x14ac:dyDescent="0.2">
      <c r="B2680" s="7"/>
      <c r="C2680" s="5" t="str">
        <f>IF(B2680="","",[1]!s_dq_close(股指期货基差分析!$E$5,$B2680))</f>
        <v/>
      </c>
      <c r="D2680" s="5" t="str">
        <f>IF(B2680="","",[1]!s_dq_close(股指期货基差分析!$E$6,$B2680))</f>
        <v/>
      </c>
      <c r="E2680" s="5" t="e">
        <f ca="1">RANK(F2680,F:F)+COUNTIF(F$2:F2680,F2680)-1</f>
        <v>#VALUE!</v>
      </c>
      <c r="F2680" s="5" t="str">
        <f t="shared" si="42"/>
        <v/>
      </c>
      <c r="G2680" s="5" t="str">
        <f>IF(B2680="","",股指期货基差分析!$N$11)</f>
        <v/>
      </c>
      <c r="H2680" s="5" t="str">
        <f>IF(B2680="","",股指期货基差分析!$L$11)</f>
        <v/>
      </c>
      <c r="I2680" s="9" t="str">
        <f>IF(B2680="","",股指期货基差分析!$D$11)</f>
        <v/>
      </c>
    </row>
    <row r="2681" spans="2:9" ht="15" customHeight="1" x14ac:dyDescent="0.2">
      <c r="B2681" s="8"/>
      <c r="C2681" s="6" t="str">
        <f>IF(B2681="","",[1]!s_dq_close(股指期货基差分析!$E$5,$B2681))</f>
        <v/>
      </c>
      <c r="D2681" s="6" t="str">
        <f>IF(B2681="","",[1]!s_dq_close(股指期货基差分析!$E$6,$B2681))</f>
        <v/>
      </c>
      <c r="E2681" s="6" t="e">
        <f ca="1">RANK(F2681,F:F)+COUNTIF(F$2:F2681,F2681)-1</f>
        <v>#VALUE!</v>
      </c>
      <c r="F2681" s="6" t="str">
        <f t="shared" si="42"/>
        <v/>
      </c>
      <c r="G2681" s="6" t="str">
        <f>IF(B2681="","",股指期货基差分析!$N$11)</f>
        <v/>
      </c>
      <c r="H2681" s="6" t="str">
        <f>IF(B2681="","",股指期货基差分析!$L$11)</f>
        <v/>
      </c>
      <c r="I2681" s="10" t="str">
        <f>IF(B2681="","",股指期货基差分析!$D$11)</f>
        <v/>
      </c>
    </row>
    <row r="2682" spans="2:9" ht="15" customHeight="1" x14ac:dyDescent="0.2">
      <c r="B2682" s="7"/>
      <c r="C2682" s="5" t="str">
        <f>IF(B2682="","",[1]!s_dq_close(股指期货基差分析!$E$5,$B2682))</f>
        <v/>
      </c>
      <c r="D2682" s="5" t="str">
        <f>IF(B2682="","",[1]!s_dq_close(股指期货基差分析!$E$6,$B2682))</f>
        <v/>
      </c>
      <c r="E2682" s="5" t="e">
        <f ca="1">RANK(F2682,F:F)+COUNTIF(F$2:F2682,F2682)-1</f>
        <v>#VALUE!</v>
      </c>
      <c r="F2682" s="5" t="str">
        <f t="shared" si="42"/>
        <v/>
      </c>
      <c r="G2682" s="5" t="str">
        <f>IF(B2682="","",股指期货基差分析!$N$11)</f>
        <v/>
      </c>
      <c r="H2682" s="5" t="str">
        <f>IF(B2682="","",股指期货基差分析!$L$11)</f>
        <v/>
      </c>
      <c r="I2682" s="9" t="str">
        <f>IF(B2682="","",股指期货基差分析!$D$11)</f>
        <v/>
      </c>
    </row>
    <row r="2683" spans="2:9" ht="15" customHeight="1" x14ac:dyDescent="0.2">
      <c r="B2683" s="8"/>
      <c r="C2683" s="6" t="str">
        <f>IF(B2683="","",[1]!s_dq_close(股指期货基差分析!$E$5,$B2683))</f>
        <v/>
      </c>
      <c r="D2683" s="6" t="str">
        <f>IF(B2683="","",[1]!s_dq_close(股指期货基差分析!$E$6,$B2683))</f>
        <v/>
      </c>
      <c r="E2683" s="6" t="e">
        <f ca="1">RANK(F2683,F:F)+COUNTIF(F$2:F2683,F2683)-1</f>
        <v>#VALUE!</v>
      </c>
      <c r="F2683" s="6" t="str">
        <f t="shared" si="42"/>
        <v/>
      </c>
      <c r="G2683" s="6" t="str">
        <f>IF(B2683="","",股指期货基差分析!$N$11)</f>
        <v/>
      </c>
      <c r="H2683" s="6" t="str">
        <f>IF(B2683="","",股指期货基差分析!$L$11)</f>
        <v/>
      </c>
      <c r="I2683" s="10" t="str">
        <f>IF(B2683="","",股指期货基差分析!$D$11)</f>
        <v/>
      </c>
    </row>
    <row r="2684" spans="2:9" ht="15" customHeight="1" x14ac:dyDescent="0.2">
      <c r="B2684" s="7"/>
      <c r="C2684" s="5" t="str">
        <f>IF(B2684="","",[1]!s_dq_close(股指期货基差分析!$E$5,$B2684))</f>
        <v/>
      </c>
      <c r="D2684" s="5" t="str">
        <f>IF(B2684="","",[1]!s_dq_close(股指期货基差分析!$E$6,$B2684))</f>
        <v/>
      </c>
      <c r="E2684" s="5" t="e">
        <f ca="1">RANK(F2684,F:F)+COUNTIF(F$2:F2684,F2684)-1</f>
        <v>#VALUE!</v>
      </c>
      <c r="F2684" s="5" t="str">
        <f t="shared" si="42"/>
        <v/>
      </c>
      <c r="G2684" s="5" t="str">
        <f>IF(B2684="","",股指期货基差分析!$N$11)</f>
        <v/>
      </c>
      <c r="H2684" s="5" t="str">
        <f>IF(B2684="","",股指期货基差分析!$L$11)</f>
        <v/>
      </c>
      <c r="I2684" s="9" t="str">
        <f>IF(B2684="","",股指期货基差分析!$D$11)</f>
        <v/>
      </c>
    </row>
    <row r="2685" spans="2:9" ht="15" customHeight="1" x14ac:dyDescent="0.2">
      <c r="B2685" s="8"/>
      <c r="C2685" s="6" t="str">
        <f>IF(B2685="","",[1]!s_dq_close(股指期货基差分析!$E$5,$B2685))</f>
        <v/>
      </c>
      <c r="D2685" s="6" t="str">
        <f>IF(B2685="","",[1]!s_dq_close(股指期货基差分析!$E$6,$B2685))</f>
        <v/>
      </c>
      <c r="E2685" s="6" t="e">
        <f ca="1">RANK(F2685,F:F)+COUNTIF(F$2:F2685,F2685)-1</f>
        <v>#VALUE!</v>
      </c>
      <c r="F2685" s="6" t="str">
        <f t="shared" si="42"/>
        <v/>
      </c>
      <c r="G2685" s="6" t="str">
        <f>IF(B2685="","",股指期货基差分析!$N$11)</f>
        <v/>
      </c>
      <c r="H2685" s="6" t="str">
        <f>IF(B2685="","",股指期货基差分析!$L$11)</f>
        <v/>
      </c>
      <c r="I2685" s="10" t="str">
        <f>IF(B2685="","",股指期货基差分析!$D$11)</f>
        <v/>
      </c>
    </row>
    <row r="2686" spans="2:9" ht="15" customHeight="1" x14ac:dyDescent="0.2">
      <c r="B2686" s="7"/>
      <c r="C2686" s="5" t="str">
        <f>IF(B2686="","",[1]!s_dq_close(股指期货基差分析!$E$5,$B2686))</f>
        <v/>
      </c>
      <c r="D2686" s="5" t="str">
        <f>IF(B2686="","",[1]!s_dq_close(股指期货基差分析!$E$6,$B2686))</f>
        <v/>
      </c>
      <c r="E2686" s="5" t="e">
        <f ca="1">RANK(F2686,F:F)+COUNTIF(F$2:F2686,F2686)-1</f>
        <v>#VALUE!</v>
      </c>
      <c r="F2686" s="5" t="str">
        <f t="shared" si="42"/>
        <v/>
      </c>
      <c r="G2686" s="5" t="str">
        <f>IF(B2686="","",股指期货基差分析!$N$11)</f>
        <v/>
      </c>
      <c r="H2686" s="5" t="str">
        <f>IF(B2686="","",股指期货基差分析!$L$11)</f>
        <v/>
      </c>
      <c r="I2686" s="9" t="str">
        <f>IF(B2686="","",股指期货基差分析!$D$11)</f>
        <v/>
      </c>
    </row>
    <row r="2687" spans="2:9" ht="15" customHeight="1" x14ac:dyDescent="0.2">
      <c r="B2687" s="8"/>
      <c r="C2687" s="6" t="str">
        <f>IF(B2687="","",[1]!s_dq_close(股指期货基差分析!$E$5,$B2687))</f>
        <v/>
      </c>
      <c r="D2687" s="6" t="str">
        <f>IF(B2687="","",[1]!s_dq_close(股指期货基差分析!$E$6,$B2687))</f>
        <v/>
      </c>
      <c r="E2687" s="6" t="e">
        <f ca="1">RANK(F2687,F:F)+COUNTIF(F$2:F2687,F2687)-1</f>
        <v>#VALUE!</v>
      </c>
      <c r="F2687" s="6" t="str">
        <f t="shared" si="42"/>
        <v/>
      </c>
      <c r="G2687" s="6" t="str">
        <f>IF(B2687="","",股指期货基差分析!$N$11)</f>
        <v/>
      </c>
      <c r="H2687" s="6" t="str">
        <f>IF(B2687="","",股指期货基差分析!$L$11)</f>
        <v/>
      </c>
      <c r="I2687" s="10" t="str">
        <f>IF(B2687="","",股指期货基差分析!$D$11)</f>
        <v/>
      </c>
    </row>
    <row r="2688" spans="2:9" ht="15" customHeight="1" x14ac:dyDescent="0.2">
      <c r="B2688" s="7"/>
      <c r="C2688" s="5" t="str">
        <f>IF(B2688="","",[1]!s_dq_close(股指期货基差分析!$E$5,$B2688))</f>
        <v/>
      </c>
      <c r="D2688" s="5" t="str">
        <f>IF(B2688="","",[1]!s_dq_close(股指期货基差分析!$E$6,$B2688))</f>
        <v/>
      </c>
      <c r="E2688" s="5" t="e">
        <f ca="1">RANK(F2688,F:F)+COUNTIF(F$2:F2688,F2688)-1</f>
        <v>#VALUE!</v>
      </c>
      <c r="F2688" s="5" t="str">
        <f t="shared" si="42"/>
        <v/>
      </c>
      <c r="G2688" s="5" t="str">
        <f>IF(B2688="","",股指期货基差分析!$N$11)</f>
        <v/>
      </c>
      <c r="H2688" s="5" t="str">
        <f>IF(B2688="","",股指期货基差分析!$L$11)</f>
        <v/>
      </c>
      <c r="I2688" s="9" t="str">
        <f>IF(B2688="","",股指期货基差分析!$D$11)</f>
        <v/>
      </c>
    </row>
    <row r="2689" spans="2:9" ht="15" customHeight="1" x14ac:dyDescent="0.2">
      <c r="B2689" s="8"/>
      <c r="C2689" s="6" t="str">
        <f>IF(B2689="","",[1]!s_dq_close(股指期货基差分析!$E$5,$B2689))</f>
        <v/>
      </c>
      <c r="D2689" s="6" t="str">
        <f>IF(B2689="","",[1]!s_dq_close(股指期货基差分析!$E$6,$B2689))</f>
        <v/>
      </c>
      <c r="E2689" s="6" t="e">
        <f ca="1">RANK(F2689,F:F)+COUNTIF(F$2:F2689,F2689)-1</f>
        <v>#VALUE!</v>
      </c>
      <c r="F2689" s="6" t="str">
        <f t="shared" si="42"/>
        <v/>
      </c>
      <c r="G2689" s="6" t="str">
        <f>IF(B2689="","",股指期货基差分析!$N$11)</f>
        <v/>
      </c>
      <c r="H2689" s="6" t="str">
        <f>IF(B2689="","",股指期货基差分析!$L$11)</f>
        <v/>
      </c>
      <c r="I2689" s="10" t="str">
        <f>IF(B2689="","",股指期货基差分析!$D$11)</f>
        <v/>
      </c>
    </row>
    <row r="2690" spans="2:9" ht="15" customHeight="1" x14ac:dyDescent="0.2">
      <c r="B2690" s="7"/>
      <c r="C2690" s="5" t="str">
        <f>IF(B2690="","",[1]!s_dq_close(股指期货基差分析!$E$5,$B2690))</f>
        <v/>
      </c>
      <c r="D2690" s="5" t="str">
        <f>IF(B2690="","",[1]!s_dq_close(股指期货基差分析!$E$6,$B2690))</f>
        <v/>
      </c>
      <c r="E2690" s="5" t="e">
        <f ca="1">RANK(F2690,F:F)+COUNTIF(F$2:F2690,F2690)-1</f>
        <v>#VALUE!</v>
      </c>
      <c r="F2690" s="5" t="str">
        <f t="shared" ref="F2690:F2753" si="43">IF(B2690="","",D2690-C2690)</f>
        <v/>
      </c>
      <c r="G2690" s="5" t="str">
        <f>IF(B2690="","",股指期货基差分析!$N$11)</f>
        <v/>
      </c>
      <c r="H2690" s="5" t="str">
        <f>IF(B2690="","",股指期货基差分析!$L$11)</f>
        <v/>
      </c>
      <c r="I2690" s="9" t="str">
        <f>IF(B2690="","",股指期货基差分析!$D$11)</f>
        <v/>
      </c>
    </row>
    <row r="2691" spans="2:9" ht="15" customHeight="1" x14ac:dyDescent="0.2">
      <c r="B2691" s="8"/>
      <c r="C2691" s="6" t="str">
        <f>IF(B2691="","",[1]!s_dq_close(股指期货基差分析!$E$5,$B2691))</f>
        <v/>
      </c>
      <c r="D2691" s="6" t="str">
        <f>IF(B2691="","",[1]!s_dq_close(股指期货基差分析!$E$6,$B2691))</f>
        <v/>
      </c>
      <c r="E2691" s="6" t="e">
        <f ca="1">RANK(F2691,F:F)+COUNTIF(F$2:F2691,F2691)-1</f>
        <v>#VALUE!</v>
      </c>
      <c r="F2691" s="6" t="str">
        <f t="shared" si="43"/>
        <v/>
      </c>
      <c r="G2691" s="6" t="str">
        <f>IF(B2691="","",股指期货基差分析!$N$11)</f>
        <v/>
      </c>
      <c r="H2691" s="6" t="str">
        <f>IF(B2691="","",股指期货基差分析!$L$11)</f>
        <v/>
      </c>
      <c r="I2691" s="10" t="str">
        <f>IF(B2691="","",股指期货基差分析!$D$11)</f>
        <v/>
      </c>
    </row>
    <row r="2692" spans="2:9" ht="15" customHeight="1" x14ac:dyDescent="0.2">
      <c r="B2692" s="7"/>
      <c r="C2692" s="5" t="str">
        <f>IF(B2692="","",[1]!s_dq_close(股指期货基差分析!$E$5,$B2692))</f>
        <v/>
      </c>
      <c r="D2692" s="5" t="str">
        <f>IF(B2692="","",[1]!s_dq_close(股指期货基差分析!$E$6,$B2692))</f>
        <v/>
      </c>
      <c r="E2692" s="5" t="e">
        <f ca="1">RANK(F2692,F:F)+COUNTIF(F$2:F2692,F2692)-1</f>
        <v>#VALUE!</v>
      </c>
      <c r="F2692" s="5" t="str">
        <f t="shared" si="43"/>
        <v/>
      </c>
      <c r="G2692" s="5" t="str">
        <f>IF(B2692="","",股指期货基差分析!$N$11)</f>
        <v/>
      </c>
      <c r="H2692" s="5" t="str">
        <f>IF(B2692="","",股指期货基差分析!$L$11)</f>
        <v/>
      </c>
      <c r="I2692" s="9" t="str">
        <f>IF(B2692="","",股指期货基差分析!$D$11)</f>
        <v/>
      </c>
    </row>
    <row r="2693" spans="2:9" ht="15" customHeight="1" x14ac:dyDescent="0.2">
      <c r="B2693" s="8"/>
      <c r="C2693" s="6" t="str">
        <f>IF(B2693="","",[1]!s_dq_close(股指期货基差分析!$E$5,$B2693))</f>
        <v/>
      </c>
      <c r="D2693" s="6" t="str">
        <f>IF(B2693="","",[1]!s_dq_close(股指期货基差分析!$E$6,$B2693))</f>
        <v/>
      </c>
      <c r="E2693" s="6" t="e">
        <f ca="1">RANK(F2693,F:F)+COUNTIF(F$2:F2693,F2693)-1</f>
        <v>#VALUE!</v>
      </c>
      <c r="F2693" s="6" t="str">
        <f t="shared" si="43"/>
        <v/>
      </c>
      <c r="G2693" s="6" t="str">
        <f>IF(B2693="","",股指期货基差分析!$N$11)</f>
        <v/>
      </c>
      <c r="H2693" s="6" t="str">
        <f>IF(B2693="","",股指期货基差分析!$L$11)</f>
        <v/>
      </c>
      <c r="I2693" s="10" t="str">
        <f>IF(B2693="","",股指期货基差分析!$D$11)</f>
        <v/>
      </c>
    </row>
    <row r="2694" spans="2:9" ht="15" customHeight="1" x14ac:dyDescent="0.2">
      <c r="B2694" s="7"/>
      <c r="C2694" s="5" t="str">
        <f>IF(B2694="","",[1]!s_dq_close(股指期货基差分析!$E$5,$B2694))</f>
        <v/>
      </c>
      <c r="D2694" s="5" t="str">
        <f>IF(B2694="","",[1]!s_dq_close(股指期货基差分析!$E$6,$B2694))</f>
        <v/>
      </c>
      <c r="E2694" s="5" t="e">
        <f ca="1">RANK(F2694,F:F)+COUNTIF(F$2:F2694,F2694)-1</f>
        <v>#VALUE!</v>
      </c>
      <c r="F2694" s="5" t="str">
        <f t="shared" si="43"/>
        <v/>
      </c>
      <c r="G2694" s="5" t="str">
        <f>IF(B2694="","",股指期货基差分析!$N$11)</f>
        <v/>
      </c>
      <c r="H2694" s="5" t="str">
        <f>IF(B2694="","",股指期货基差分析!$L$11)</f>
        <v/>
      </c>
      <c r="I2694" s="9" t="str">
        <f>IF(B2694="","",股指期货基差分析!$D$11)</f>
        <v/>
      </c>
    </row>
    <row r="2695" spans="2:9" ht="15" customHeight="1" x14ac:dyDescent="0.2">
      <c r="B2695" s="8"/>
      <c r="C2695" s="6" t="str">
        <f>IF(B2695="","",[1]!s_dq_close(股指期货基差分析!$E$5,$B2695))</f>
        <v/>
      </c>
      <c r="D2695" s="6" t="str">
        <f>IF(B2695="","",[1]!s_dq_close(股指期货基差分析!$E$6,$B2695))</f>
        <v/>
      </c>
      <c r="E2695" s="6" t="e">
        <f ca="1">RANK(F2695,F:F)+COUNTIF(F$2:F2695,F2695)-1</f>
        <v>#VALUE!</v>
      </c>
      <c r="F2695" s="6" t="str">
        <f t="shared" si="43"/>
        <v/>
      </c>
      <c r="G2695" s="6" t="str">
        <f>IF(B2695="","",股指期货基差分析!$N$11)</f>
        <v/>
      </c>
      <c r="H2695" s="6" t="str">
        <f>IF(B2695="","",股指期货基差分析!$L$11)</f>
        <v/>
      </c>
      <c r="I2695" s="10" t="str">
        <f>IF(B2695="","",股指期货基差分析!$D$11)</f>
        <v/>
      </c>
    </row>
    <row r="2696" spans="2:9" ht="15" customHeight="1" x14ac:dyDescent="0.2">
      <c r="B2696" s="7"/>
      <c r="C2696" s="5" t="str">
        <f>IF(B2696="","",[1]!s_dq_close(股指期货基差分析!$E$5,$B2696))</f>
        <v/>
      </c>
      <c r="D2696" s="5" t="str">
        <f>IF(B2696="","",[1]!s_dq_close(股指期货基差分析!$E$6,$B2696))</f>
        <v/>
      </c>
      <c r="E2696" s="5" t="e">
        <f ca="1">RANK(F2696,F:F)+COUNTIF(F$2:F2696,F2696)-1</f>
        <v>#VALUE!</v>
      </c>
      <c r="F2696" s="5" t="str">
        <f t="shared" si="43"/>
        <v/>
      </c>
      <c r="G2696" s="5" t="str">
        <f>IF(B2696="","",股指期货基差分析!$N$11)</f>
        <v/>
      </c>
      <c r="H2696" s="5" t="str">
        <f>IF(B2696="","",股指期货基差分析!$L$11)</f>
        <v/>
      </c>
      <c r="I2696" s="9" t="str">
        <f>IF(B2696="","",股指期货基差分析!$D$11)</f>
        <v/>
      </c>
    </row>
    <row r="2697" spans="2:9" ht="15" customHeight="1" x14ac:dyDescent="0.2">
      <c r="B2697" s="8"/>
      <c r="C2697" s="6" t="str">
        <f>IF(B2697="","",[1]!s_dq_close(股指期货基差分析!$E$5,$B2697))</f>
        <v/>
      </c>
      <c r="D2697" s="6" t="str">
        <f>IF(B2697="","",[1]!s_dq_close(股指期货基差分析!$E$6,$B2697))</f>
        <v/>
      </c>
      <c r="E2697" s="6" t="e">
        <f ca="1">RANK(F2697,F:F)+COUNTIF(F$2:F2697,F2697)-1</f>
        <v>#VALUE!</v>
      </c>
      <c r="F2697" s="6" t="str">
        <f t="shared" si="43"/>
        <v/>
      </c>
      <c r="G2697" s="6" t="str">
        <f>IF(B2697="","",股指期货基差分析!$N$11)</f>
        <v/>
      </c>
      <c r="H2697" s="6" t="str">
        <f>IF(B2697="","",股指期货基差分析!$L$11)</f>
        <v/>
      </c>
      <c r="I2697" s="10" t="str">
        <f>IF(B2697="","",股指期货基差分析!$D$11)</f>
        <v/>
      </c>
    </row>
    <row r="2698" spans="2:9" ht="15" customHeight="1" x14ac:dyDescent="0.2">
      <c r="B2698" s="7"/>
      <c r="C2698" s="5" t="str">
        <f>IF(B2698="","",[1]!s_dq_close(股指期货基差分析!$E$5,$B2698))</f>
        <v/>
      </c>
      <c r="D2698" s="5" t="str">
        <f>IF(B2698="","",[1]!s_dq_close(股指期货基差分析!$E$6,$B2698))</f>
        <v/>
      </c>
      <c r="E2698" s="5" t="e">
        <f ca="1">RANK(F2698,F:F)+COUNTIF(F$2:F2698,F2698)-1</f>
        <v>#VALUE!</v>
      </c>
      <c r="F2698" s="5" t="str">
        <f t="shared" si="43"/>
        <v/>
      </c>
      <c r="G2698" s="5" t="str">
        <f>IF(B2698="","",股指期货基差分析!$N$11)</f>
        <v/>
      </c>
      <c r="H2698" s="5" t="str">
        <f>IF(B2698="","",股指期货基差分析!$L$11)</f>
        <v/>
      </c>
      <c r="I2698" s="9" t="str">
        <f>IF(B2698="","",股指期货基差分析!$D$11)</f>
        <v/>
      </c>
    </row>
    <row r="2699" spans="2:9" ht="15" customHeight="1" x14ac:dyDescent="0.2">
      <c r="B2699" s="8"/>
      <c r="C2699" s="6" t="str">
        <f>IF(B2699="","",[1]!s_dq_close(股指期货基差分析!$E$5,$B2699))</f>
        <v/>
      </c>
      <c r="D2699" s="6" t="str">
        <f>IF(B2699="","",[1]!s_dq_close(股指期货基差分析!$E$6,$B2699))</f>
        <v/>
      </c>
      <c r="E2699" s="6" t="e">
        <f ca="1">RANK(F2699,F:F)+COUNTIF(F$2:F2699,F2699)-1</f>
        <v>#VALUE!</v>
      </c>
      <c r="F2699" s="6" t="str">
        <f t="shared" si="43"/>
        <v/>
      </c>
      <c r="G2699" s="6" t="str">
        <f>IF(B2699="","",股指期货基差分析!$N$11)</f>
        <v/>
      </c>
      <c r="H2699" s="6" t="str">
        <f>IF(B2699="","",股指期货基差分析!$L$11)</f>
        <v/>
      </c>
      <c r="I2699" s="10" t="str">
        <f>IF(B2699="","",股指期货基差分析!$D$11)</f>
        <v/>
      </c>
    </row>
    <row r="2700" spans="2:9" ht="15" customHeight="1" x14ac:dyDescent="0.2">
      <c r="B2700" s="7"/>
      <c r="C2700" s="5" t="str">
        <f>IF(B2700="","",[1]!s_dq_close(股指期货基差分析!$E$5,$B2700))</f>
        <v/>
      </c>
      <c r="D2700" s="5" t="str">
        <f>IF(B2700="","",[1]!s_dq_close(股指期货基差分析!$E$6,$B2700))</f>
        <v/>
      </c>
      <c r="E2700" s="5" t="e">
        <f ca="1">RANK(F2700,F:F)+COUNTIF(F$2:F2700,F2700)-1</f>
        <v>#VALUE!</v>
      </c>
      <c r="F2700" s="5" t="str">
        <f t="shared" si="43"/>
        <v/>
      </c>
      <c r="G2700" s="5" t="str">
        <f>IF(B2700="","",股指期货基差分析!$N$11)</f>
        <v/>
      </c>
      <c r="H2700" s="5" t="str">
        <f>IF(B2700="","",股指期货基差分析!$L$11)</f>
        <v/>
      </c>
      <c r="I2700" s="9" t="str">
        <f>IF(B2700="","",股指期货基差分析!$D$11)</f>
        <v/>
      </c>
    </row>
    <row r="2701" spans="2:9" ht="15" customHeight="1" x14ac:dyDescent="0.2">
      <c r="B2701" s="8"/>
      <c r="C2701" s="6" t="str">
        <f>IF(B2701="","",[1]!s_dq_close(股指期货基差分析!$E$5,$B2701))</f>
        <v/>
      </c>
      <c r="D2701" s="6" t="str">
        <f>IF(B2701="","",[1]!s_dq_close(股指期货基差分析!$E$6,$B2701))</f>
        <v/>
      </c>
      <c r="E2701" s="6" t="e">
        <f ca="1">RANK(F2701,F:F)+COUNTIF(F$2:F2701,F2701)-1</f>
        <v>#VALUE!</v>
      </c>
      <c r="F2701" s="6" t="str">
        <f t="shared" si="43"/>
        <v/>
      </c>
      <c r="G2701" s="6" t="str">
        <f>IF(B2701="","",股指期货基差分析!$N$11)</f>
        <v/>
      </c>
      <c r="H2701" s="6" t="str">
        <f>IF(B2701="","",股指期货基差分析!$L$11)</f>
        <v/>
      </c>
      <c r="I2701" s="10" t="str">
        <f>IF(B2701="","",股指期货基差分析!$D$11)</f>
        <v/>
      </c>
    </row>
    <row r="2702" spans="2:9" ht="15" customHeight="1" x14ac:dyDescent="0.2">
      <c r="B2702" s="7"/>
      <c r="C2702" s="5" t="str">
        <f>IF(B2702="","",[1]!s_dq_close(股指期货基差分析!$E$5,$B2702))</f>
        <v/>
      </c>
      <c r="D2702" s="5" t="str">
        <f>IF(B2702="","",[1]!s_dq_close(股指期货基差分析!$E$6,$B2702))</f>
        <v/>
      </c>
      <c r="E2702" s="5" t="e">
        <f ca="1">RANK(F2702,F:F)+COUNTIF(F$2:F2702,F2702)-1</f>
        <v>#VALUE!</v>
      </c>
      <c r="F2702" s="5" t="str">
        <f t="shared" si="43"/>
        <v/>
      </c>
      <c r="G2702" s="5" t="str">
        <f>IF(B2702="","",股指期货基差分析!$N$11)</f>
        <v/>
      </c>
      <c r="H2702" s="5" t="str">
        <f>IF(B2702="","",股指期货基差分析!$L$11)</f>
        <v/>
      </c>
      <c r="I2702" s="9" t="str">
        <f>IF(B2702="","",股指期货基差分析!$D$11)</f>
        <v/>
      </c>
    </row>
    <row r="2703" spans="2:9" ht="15" customHeight="1" x14ac:dyDescent="0.2">
      <c r="B2703" s="8"/>
      <c r="C2703" s="6" t="str">
        <f>IF(B2703="","",[1]!s_dq_close(股指期货基差分析!$E$5,$B2703))</f>
        <v/>
      </c>
      <c r="D2703" s="6" t="str">
        <f>IF(B2703="","",[1]!s_dq_close(股指期货基差分析!$E$6,$B2703))</f>
        <v/>
      </c>
      <c r="E2703" s="6" t="e">
        <f ca="1">RANK(F2703,F:F)+COUNTIF(F$2:F2703,F2703)-1</f>
        <v>#VALUE!</v>
      </c>
      <c r="F2703" s="6" t="str">
        <f t="shared" si="43"/>
        <v/>
      </c>
      <c r="G2703" s="6" t="str">
        <f>IF(B2703="","",股指期货基差分析!$N$11)</f>
        <v/>
      </c>
      <c r="H2703" s="6" t="str">
        <f>IF(B2703="","",股指期货基差分析!$L$11)</f>
        <v/>
      </c>
      <c r="I2703" s="10" t="str">
        <f>IF(B2703="","",股指期货基差分析!$D$11)</f>
        <v/>
      </c>
    </row>
    <row r="2704" spans="2:9" ht="15" customHeight="1" x14ac:dyDescent="0.2">
      <c r="B2704" s="7"/>
      <c r="C2704" s="5" t="str">
        <f>IF(B2704="","",[1]!s_dq_close(股指期货基差分析!$E$5,$B2704))</f>
        <v/>
      </c>
      <c r="D2704" s="5" t="str">
        <f>IF(B2704="","",[1]!s_dq_close(股指期货基差分析!$E$6,$B2704))</f>
        <v/>
      </c>
      <c r="E2704" s="5" t="e">
        <f ca="1">RANK(F2704,F:F)+COUNTIF(F$2:F2704,F2704)-1</f>
        <v>#VALUE!</v>
      </c>
      <c r="F2704" s="5" t="str">
        <f t="shared" si="43"/>
        <v/>
      </c>
      <c r="G2704" s="5" t="str">
        <f>IF(B2704="","",股指期货基差分析!$N$11)</f>
        <v/>
      </c>
      <c r="H2704" s="5" t="str">
        <f>IF(B2704="","",股指期货基差分析!$L$11)</f>
        <v/>
      </c>
      <c r="I2704" s="9" t="str">
        <f>IF(B2704="","",股指期货基差分析!$D$11)</f>
        <v/>
      </c>
    </row>
    <row r="2705" spans="2:9" ht="15" customHeight="1" x14ac:dyDescent="0.2">
      <c r="B2705" s="8"/>
      <c r="C2705" s="6" t="str">
        <f>IF(B2705="","",[1]!s_dq_close(股指期货基差分析!$E$5,$B2705))</f>
        <v/>
      </c>
      <c r="D2705" s="6" t="str">
        <f>IF(B2705="","",[1]!s_dq_close(股指期货基差分析!$E$6,$B2705))</f>
        <v/>
      </c>
      <c r="E2705" s="6" t="e">
        <f ca="1">RANK(F2705,F:F)+COUNTIF(F$2:F2705,F2705)-1</f>
        <v>#VALUE!</v>
      </c>
      <c r="F2705" s="6" t="str">
        <f t="shared" si="43"/>
        <v/>
      </c>
      <c r="G2705" s="6" t="str">
        <f>IF(B2705="","",股指期货基差分析!$N$11)</f>
        <v/>
      </c>
      <c r="H2705" s="6" t="str">
        <f>IF(B2705="","",股指期货基差分析!$L$11)</f>
        <v/>
      </c>
      <c r="I2705" s="10" t="str">
        <f>IF(B2705="","",股指期货基差分析!$D$11)</f>
        <v/>
      </c>
    </row>
    <row r="2706" spans="2:9" ht="15" customHeight="1" x14ac:dyDescent="0.2">
      <c r="B2706" s="7"/>
      <c r="C2706" s="5" t="str">
        <f>IF(B2706="","",[1]!s_dq_close(股指期货基差分析!$E$5,$B2706))</f>
        <v/>
      </c>
      <c r="D2706" s="5" t="str">
        <f>IF(B2706="","",[1]!s_dq_close(股指期货基差分析!$E$6,$B2706))</f>
        <v/>
      </c>
      <c r="E2706" s="5" t="e">
        <f ca="1">RANK(F2706,F:F)+COUNTIF(F$2:F2706,F2706)-1</f>
        <v>#VALUE!</v>
      </c>
      <c r="F2706" s="5" t="str">
        <f t="shared" si="43"/>
        <v/>
      </c>
      <c r="G2706" s="5" t="str">
        <f>IF(B2706="","",股指期货基差分析!$N$11)</f>
        <v/>
      </c>
      <c r="H2706" s="5" t="str">
        <f>IF(B2706="","",股指期货基差分析!$L$11)</f>
        <v/>
      </c>
      <c r="I2706" s="9" t="str">
        <f>IF(B2706="","",股指期货基差分析!$D$11)</f>
        <v/>
      </c>
    </row>
    <row r="2707" spans="2:9" ht="15" customHeight="1" x14ac:dyDescent="0.2">
      <c r="B2707" s="8"/>
      <c r="C2707" s="6" t="str">
        <f>IF(B2707="","",[1]!s_dq_close(股指期货基差分析!$E$5,$B2707))</f>
        <v/>
      </c>
      <c r="D2707" s="6" t="str">
        <f>IF(B2707="","",[1]!s_dq_close(股指期货基差分析!$E$6,$B2707))</f>
        <v/>
      </c>
      <c r="E2707" s="6" t="e">
        <f ca="1">RANK(F2707,F:F)+COUNTIF(F$2:F2707,F2707)-1</f>
        <v>#VALUE!</v>
      </c>
      <c r="F2707" s="6" t="str">
        <f t="shared" si="43"/>
        <v/>
      </c>
      <c r="G2707" s="6" t="str">
        <f>IF(B2707="","",股指期货基差分析!$N$11)</f>
        <v/>
      </c>
      <c r="H2707" s="6" t="str">
        <f>IF(B2707="","",股指期货基差分析!$L$11)</f>
        <v/>
      </c>
      <c r="I2707" s="10" t="str">
        <f>IF(B2707="","",股指期货基差分析!$D$11)</f>
        <v/>
      </c>
    </row>
    <row r="2708" spans="2:9" ht="15" customHeight="1" x14ac:dyDescent="0.2">
      <c r="B2708" s="7"/>
      <c r="C2708" s="5" t="str">
        <f>IF(B2708="","",[1]!s_dq_close(股指期货基差分析!$E$5,$B2708))</f>
        <v/>
      </c>
      <c r="D2708" s="5" t="str">
        <f>IF(B2708="","",[1]!s_dq_close(股指期货基差分析!$E$6,$B2708))</f>
        <v/>
      </c>
      <c r="E2708" s="5" t="e">
        <f ca="1">RANK(F2708,F:F)+COUNTIF(F$2:F2708,F2708)-1</f>
        <v>#VALUE!</v>
      </c>
      <c r="F2708" s="5" t="str">
        <f t="shared" si="43"/>
        <v/>
      </c>
      <c r="G2708" s="5" t="str">
        <f>IF(B2708="","",股指期货基差分析!$N$11)</f>
        <v/>
      </c>
      <c r="H2708" s="5" t="str">
        <f>IF(B2708="","",股指期货基差分析!$L$11)</f>
        <v/>
      </c>
      <c r="I2708" s="9" t="str">
        <f>IF(B2708="","",股指期货基差分析!$D$11)</f>
        <v/>
      </c>
    </row>
    <row r="2709" spans="2:9" ht="15" customHeight="1" x14ac:dyDescent="0.2">
      <c r="B2709" s="8"/>
      <c r="C2709" s="6" t="str">
        <f>IF(B2709="","",[1]!s_dq_close(股指期货基差分析!$E$5,$B2709))</f>
        <v/>
      </c>
      <c r="D2709" s="6" t="str">
        <f>IF(B2709="","",[1]!s_dq_close(股指期货基差分析!$E$6,$B2709))</f>
        <v/>
      </c>
      <c r="E2709" s="6" t="e">
        <f ca="1">RANK(F2709,F:F)+COUNTIF(F$2:F2709,F2709)-1</f>
        <v>#VALUE!</v>
      </c>
      <c r="F2709" s="6" t="str">
        <f t="shared" si="43"/>
        <v/>
      </c>
      <c r="G2709" s="6" t="str">
        <f>IF(B2709="","",股指期货基差分析!$N$11)</f>
        <v/>
      </c>
      <c r="H2709" s="6" t="str">
        <f>IF(B2709="","",股指期货基差分析!$L$11)</f>
        <v/>
      </c>
      <c r="I2709" s="10" t="str">
        <f>IF(B2709="","",股指期货基差分析!$D$11)</f>
        <v/>
      </c>
    </row>
    <row r="2710" spans="2:9" ht="15" customHeight="1" x14ac:dyDescent="0.2">
      <c r="B2710" s="7"/>
      <c r="C2710" s="5" t="str">
        <f>IF(B2710="","",[1]!s_dq_close(股指期货基差分析!$E$5,$B2710))</f>
        <v/>
      </c>
      <c r="D2710" s="5" t="str">
        <f>IF(B2710="","",[1]!s_dq_close(股指期货基差分析!$E$6,$B2710))</f>
        <v/>
      </c>
      <c r="E2710" s="5" t="e">
        <f ca="1">RANK(F2710,F:F)+COUNTIF(F$2:F2710,F2710)-1</f>
        <v>#VALUE!</v>
      </c>
      <c r="F2710" s="5" t="str">
        <f t="shared" si="43"/>
        <v/>
      </c>
      <c r="G2710" s="5" t="str">
        <f>IF(B2710="","",股指期货基差分析!$N$11)</f>
        <v/>
      </c>
      <c r="H2710" s="5" t="str">
        <f>IF(B2710="","",股指期货基差分析!$L$11)</f>
        <v/>
      </c>
      <c r="I2710" s="9" t="str">
        <f>IF(B2710="","",股指期货基差分析!$D$11)</f>
        <v/>
      </c>
    </row>
    <row r="2711" spans="2:9" ht="15" customHeight="1" x14ac:dyDescent="0.2">
      <c r="B2711" s="8"/>
      <c r="C2711" s="6" t="str">
        <f>IF(B2711="","",[1]!s_dq_close(股指期货基差分析!$E$5,$B2711))</f>
        <v/>
      </c>
      <c r="D2711" s="6" t="str">
        <f>IF(B2711="","",[1]!s_dq_close(股指期货基差分析!$E$6,$B2711))</f>
        <v/>
      </c>
      <c r="E2711" s="6" t="e">
        <f ca="1">RANK(F2711,F:F)+COUNTIF(F$2:F2711,F2711)-1</f>
        <v>#VALUE!</v>
      </c>
      <c r="F2711" s="6" t="str">
        <f t="shared" si="43"/>
        <v/>
      </c>
      <c r="G2711" s="6" t="str">
        <f>IF(B2711="","",股指期货基差分析!$N$11)</f>
        <v/>
      </c>
      <c r="H2711" s="6" t="str">
        <f>IF(B2711="","",股指期货基差分析!$L$11)</f>
        <v/>
      </c>
      <c r="I2711" s="10" t="str">
        <f>IF(B2711="","",股指期货基差分析!$D$11)</f>
        <v/>
      </c>
    </row>
    <row r="2712" spans="2:9" ht="15" customHeight="1" x14ac:dyDescent="0.2">
      <c r="B2712" s="7"/>
      <c r="C2712" s="5" t="str">
        <f>IF(B2712="","",[1]!s_dq_close(股指期货基差分析!$E$5,$B2712))</f>
        <v/>
      </c>
      <c r="D2712" s="5" t="str">
        <f>IF(B2712="","",[1]!s_dq_close(股指期货基差分析!$E$6,$B2712))</f>
        <v/>
      </c>
      <c r="E2712" s="5" t="e">
        <f ca="1">RANK(F2712,F:F)+COUNTIF(F$2:F2712,F2712)-1</f>
        <v>#VALUE!</v>
      </c>
      <c r="F2712" s="5" t="str">
        <f t="shared" si="43"/>
        <v/>
      </c>
      <c r="G2712" s="5" t="str">
        <f>IF(B2712="","",股指期货基差分析!$N$11)</f>
        <v/>
      </c>
      <c r="H2712" s="5" t="str">
        <f>IF(B2712="","",股指期货基差分析!$L$11)</f>
        <v/>
      </c>
      <c r="I2712" s="9" t="str">
        <f>IF(B2712="","",股指期货基差分析!$D$11)</f>
        <v/>
      </c>
    </row>
    <row r="2713" spans="2:9" ht="15" customHeight="1" x14ac:dyDescent="0.2">
      <c r="B2713" s="8"/>
      <c r="C2713" s="6" t="str">
        <f>IF(B2713="","",[1]!s_dq_close(股指期货基差分析!$E$5,$B2713))</f>
        <v/>
      </c>
      <c r="D2713" s="6" t="str">
        <f>IF(B2713="","",[1]!s_dq_close(股指期货基差分析!$E$6,$B2713))</f>
        <v/>
      </c>
      <c r="E2713" s="6" t="e">
        <f ca="1">RANK(F2713,F:F)+COUNTIF(F$2:F2713,F2713)-1</f>
        <v>#VALUE!</v>
      </c>
      <c r="F2713" s="6" t="str">
        <f t="shared" si="43"/>
        <v/>
      </c>
      <c r="G2713" s="6" t="str">
        <f>IF(B2713="","",股指期货基差分析!$N$11)</f>
        <v/>
      </c>
      <c r="H2713" s="6" t="str">
        <f>IF(B2713="","",股指期货基差分析!$L$11)</f>
        <v/>
      </c>
      <c r="I2713" s="10" t="str">
        <f>IF(B2713="","",股指期货基差分析!$D$11)</f>
        <v/>
      </c>
    </row>
    <row r="2714" spans="2:9" ht="15" customHeight="1" x14ac:dyDescent="0.2">
      <c r="B2714" s="7"/>
      <c r="C2714" s="5" t="str">
        <f>IF(B2714="","",[1]!s_dq_close(股指期货基差分析!$E$5,$B2714))</f>
        <v/>
      </c>
      <c r="D2714" s="5" t="str">
        <f>IF(B2714="","",[1]!s_dq_close(股指期货基差分析!$E$6,$B2714))</f>
        <v/>
      </c>
      <c r="E2714" s="5" t="e">
        <f ca="1">RANK(F2714,F:F)+COUNTIF(F$2:F2714,F2714)-1</f>
        <v>#VALUE!</v>
      </c>
      <c r="F2714" s="5" t="str">
        <f t="shared" si="43"/>
        <v/>
      </c>
      <c r="G2714" s="5" t="str">
        <f>IF(B2714="","",股指期货基差分析!$N$11)</f>
        <v/>
      </c>
      <c r="H2714" s="5" t="str">
        <f>IF(B2714="","",股指期货基差分析!$L$11)</f>
        <v/>
      </c>
      <c r="I2714" s="9" t="str">
        <f>IF(B2714="","",股指期货基差分析!$D$11)</f>
        <v/>
      </c>
    </row>
    <row r="2715" spans="2:9" ht="15" customHeight="1" x14ac:dyDescent="0.2">
      <c r="B2715" s="8"/>
      <c r="C2715" s="6" t="str">
        <f>IF(B2715="","",[1]!s_dq_close(股指期货基差分析!$E$5,$B2715))</f>
        <v/>
      </c>
      <c r="D2715" s="6" t="str">
        <f>IF(B2715="","",[1]!s_dq_close(股指期货基差分析!$E$6,$B2715))</f>
        <v/>
      </c>
      <c r="E2715" s="6" t="e">
        <f ca="1">RANK(F2715,F:F)+COUNTIF(F$2:F2715,F2715)-1</f>
        <v>#VALUE!</v>
      </c>
      <c r="F2715" s="6" t="str">
        <f t="shared" si="43"/>
        <v/>
      </c>
      <c r="G2715" s="6" t="str">
        <f>IF(B2715="","",股指期货基差分析!$N$11)</f>
        <v/>
      </c>
      <c r="H2715" s="6" t="str">
        <f>IF(B2715="","",股指期货基差分析!$L$11)</f>
        <v/>
      </c>
      <c r="I2715" s="10" t="str">
        <f>IF(B2715="","",股指期货基差分析!$D$11)</f>
        <v/>
      </c>
    </row>
    <row r="2716" spans="2:9" ht="15" customHeight="1" x14ac:dyDescent="0.2">
      <c r="B2716" s="7"/>
      <c r="C2716" s="5" t="str">
        <f>IF(B2716="","",[1]!s_dq_close(股指期货基差分析!$E$5,$B2716))</f>
        <v/>
      </c>
      <c r="D2716" s="5" t="str">
        <f>IF(B2716="","",[1]!s_dq_close(股指期货基差分析!$E$6,$B2716))</f>
        <v/>
      </c>
      <c r="E2716" s="5" t="e">
        <f ca="1">RANK(F2716,F:F)+COUNTIF(F$2:F2716,F2716)-1</f>
        <v>#VALUE!</v>
      </c>
      <c r="F2716" s="5" t="str">
        <f t="shared" si="43"/>
        <v/>
      </c>
      <c r="G2716" s="5" t="str">
        <f>IF(B2716="","",股指期货基差分析!$N$11)</f>
        <v/>
      </c>
      <c r="H2716" s="5" t="str">
        <f>IF(B2716="","",股指期货基差分析!$L$11)</f>
        <v/>
      </c>
      <c r="I2716" s="9" t="str">
        <f>IF(B2716="","",股指期货基差分析!$D$11)</f>
        <v/>
      </c>
    </row>
    <row r="2717" spans="2:9" ht="15" customHeight="1" x14ac:dyDescent="0.2">
      <c r="B2717" s="8"/>
      <c r="C2717" s="6" t="str">
        <f>IF(B2717="","",[1]!s_dq_close(股指期货基差分析!$E$5,$B2717))</f>
        <v/>
      </c>
      <c r="D2717" s="6" t="str">
        <f>IF(B2717="","",[1]!s_dq_close(股指期货基差分析!$E$6,$B2717))</f>
        <v/>
      </c>
      <c r="E2717" s="6" t="e">
        <f ca="1">RANK(F2717,F:F)+COUNTIF(F$2:F2717,F2717)-1</f>
        <v>#VALUE!</v>
      </c>
      <c r="F2717" s="6" t="str">
        <f t="shared" si="43"/>
        <v/>
      </c>
      <c r="G2717" s="6" t="str">
        <f>IF(B2717="","",股指期货基差分析!$N$11)</f>
        <v/>
      </c>
      <c r="H2717" s="6" t="str">
        <f>IF(B2717="","",股指期货基差分析!$L$11)</f>
        <v/>
      </c>
      <c r="I2717" s="10" t="str">
        <f>IF(B2717="","",股指期货基差分析!$D$11)</f>
        <v/>
      </c>
    </row>
    <row r="2718" spans="2:9" ht="15" customHeight="1" x14ac:dyDescent="0.2">
      <c r="B2718" s="7"/>
      <c r="C2718" s="5" t="str">
        <f>IF(B2718="","",[1]!s_dq_close(股指期货基差分析!$E$5,$B2718))</f>
        <v/>
      </c>
      <c r="D2718" s="5" t="str">
        <f>IF(B2718="","",[1]!s_dq_close(股指期货基差分析!$E$6,$B2718))</f>
        <v/>
      </c>
      <c r="E2718" s="5" t="e">
        <f ca="1">RANK(F2718,F:F)+COUNTIF(F$2:F2718,F2718)-1</f>
        <v>#VALUE!</v>
      </c>
      <c r="F2718" s="5" t="str">
        <f t="shared" si="43"/>
        <v/>
      </c>
      <c r="G2718" s="5" t="str">
        <f>IF(B2718="","",股指期货基差分析!$N$11)</f>
        <v/>
      </c>
      <c r="H2718" s="5" t="str">
        <f>IF(B2718="","",股指期货基差分析!$L$11)</f>
        <v/>
      </c>
      <c r="I2718" s="9" t="str">
        <f>IF(B2718="","",股指期货基差分析!$D$11)</f>
        <v/>
      </c>
    </row>
    <row r="2719" spans="2:9" ht="15" customHeight="1" x14ac:dyDescent="0.2">
      <c r="B2719" s="8"/>
      <c r="C2719" s="6" t="str">
        <f>IF(B2719="","",[1]!s_dq_close(股指期货基差分析!$E$5,$B2719))</f>
        <v/>
      </c>
      <c r="D2719" s="6" t="str">
        <f>IF(B2719="","",[1]!s_dq_close(股指期货基差分析!$E$6,$B2719))</f>
        <v/>
      </c>
      <c r="E2719" s="6" t="e">
        <f ca="1">RANK(F2719,F:F)+COUNTIF(F$2:F2719,F2719)-1</f>
        <v>#VALUE!</v>
      </c>
      <c r="F2719" s="6" t="str">
        <f t="shared" si="43"/>
        <v/>
      </c>
      <c r="G2719" s="6" t="str">
        <f>IF(B2719="","",股指期货基差分析!$N$11)</f>
        <v/>
      </c>
      <c r="H2719" s="6" t="str">
        <f>IF(B2719="","",股指期货基差分析!$L$11)</f>
        <v/>
      </c>
      <c r="I2719" s="10" t="str">
        <f>IF(B2719="","",股指期货基差分析!$D$11)</f>
        <v/>
      </c>
    </row>
    <row r="2720" spans="2:9" ht="15" customHeight="1" x14ac:dyDescent="0.2">
      <c r="B2720" s="7"/>
      <c r="C2720" s="5" t="str">
        <f>IF(B2720="","",[1]!s_dq_close(股指期货基差分析!$E$5,$B2720))</f>
        <v/>
      </c>
      <c r="D2720" s="5" t="str">
        <f>IF(B2720="","",[1]!s_dq_close(股指期货基差分析!$E$6,$B2720))</f>
        <v/>
      </c>
      <c r="E2720" s="5" t="e">
        <f ca="1">RANK(F2720,F:F)+COUNTIF(F$2:F2720,F2720)-1</f>
        <v>#VALUE!</v>
      </c>
      <c r="F2720" s="5" t="str">
        <f t="shared" si="43"/>
        <v/>
      </c>
      <c r="G2720" s="5" t="str">
        <f>IF(B2720="","",股指期货基差分析!$N$11)</f>
        <v/>
      </c>
      <c r="H2720" s="5" t="str">
        <f>IF(B2720="","",股指期货基差分析!$L$11)</f>
        <v/>
      </c>
      <c r="I2720" s="9" t="str">
        <f>IF(B2720="","",股指期货基差分析!$D$11)</f>
        <v/>
      </c>
    </row>
    <row r="2721" spans="2:9" ht="15" customHeight="1" x14ac:dyDescent="0.2">
      <c r="B2721" s="8"/>
      <c r="C2721" s="6" t="str">
        <f>IF(B2721="","",[1]!s_dq_close(股指期货基差分析!$E$5,$B2721))</f>
        <v/>
      </c>
      <c r="D2721" s="6" t="str">
        <f>IF(B2721="","",[1]!s_dq_close(股指期货基差分析!$E$6,$B2721))</f>
        <v/>
      </c>
      <c r="E2721" s="6" t="e">
        <f ca="1">RANK(F2721,F:F)+COUNTIF(F$2:F2721,F2721)-1</f>
        <v>#VALUE!</v>
      </c>
      <c r="F2721" s="6" t="str">
        <f t="shared" si="43"/>
        <v/>
      </c>
      <c r="G2721" s="6" t="str">
        <f>IF(B2721="","",股指期货基差分析!$N$11)</f>
        <v/>
      </c>
      <c r="H2721" s="6" t="str">
        <f>IF(B2721="","",股指期货基差分析!$L$11)</f>
        <v/>
      </c>
      <c r="I2721" s="10" t="str">
        <f>IF(B2721="","",股指期货基差分析!$D$11)</f>
        <v/>
      </c>
    </row>
    <row r="2722" spans="2:9" ht="15" customHeight="1" x14ac:dyDescent="0.2">
      <c r="B2722" s="7"/>
      <c r="C2722" s="5" t="str">
        <f>IF(B2722="","",[1]!s_dq_close(股指期货基差分析!$E$5,$B2722))</f>
        <v/>
      </c>
      <c r="D2722" s="5" t="str">
        <f>IF(B2722="","",[1]!s_dq_close(股指期货基差分析!$E$6,$B2722))</f>
        <v/>
      </c>
      <c r="E2722" s="5" t="e">
        <f ca="1">RANK(F2722,F:F)+COUNTIF(F$2:F2722,F2722)-1</f>
        <v>#VALUE!</v>
      </c>
      <c r="F2722" s="5" t="str">
        <f t="shared" si="43"/>
        <v/>
      </c>
      <c r="G2722" s="5" t="str">
        <f>IF(B2722="","",股指期货基差分析!$N$11)</f>
        <v/>
      </c>
      <c r="H2722" s="5" t="str">
        <f>IF(B2722="","",股指期货基差分析!$L$11)</f>
        <v/>
      </c>
      <c r="I2722" s="9" t="str">
        <f>IF(B2722="","",股指期货基差分析!$D$11)</f>
        <v/>
      </c>
    </row>
    <row r="2723" spans="2:9" ht="15" customHeight="1" x14ac:dyDescent="0.2">
      <c r="B2723" s="8"/>
      <c r="C2723" s="6" t="str">
        <f>IF(B2723="","",[1]!s_dq_close(股指期货基差分析!$E$5,$B2723))</f>
        <v/>
      </c>
      <c r="D2723" s="6" t="str">
        <f>IF(B2723="","",[1]!s_dq_close(股指期货基差分析!$E$6,$B2723))</f>
        <v/>
      </c>
      <c r="E2723" s="6" t="e">
        <f ca="1">RANK(F2723,F:F)+COUNTIF(F$2:F2723,F2723)-1</f>
        <v>#VALUE!</v>
      </c>
      <c r="F2723" s="6" t="str">
        <f t="shared" si="43"/>
        <v/>
      </c>
      <c r="G2723" s="6" t="str">
        <f>IF(B2723="","",股指期货基差分析!$N$11)</f>
        <v/>
      </c>
      <c r="H2723" s="6" t="str">
        <f>IF(B2723="","",股指期货基差分析!$L$11)</f>
        <v/>
      </c>
      <c r="I2723" s="10" t="str">
        <f>IF(B2723="","",股指期货基差分析!$D$11)</f>
        <v/>
      </c>
    </row>
    <row r="2724" spans="2:9" ht="15" customHeight="1" x14ac:dyDescent="0.2">
      <c r="B2724" s="7"/>
      <c r="C2724" s="5" t="str">
        <f>IF(B2724="","",[1]!s_dq_close(股指期货基差分析!$E$5,$B2724))</f>
        <v/>
      </c>
      <c r="D2724" s="5" t="str">
        <f>IF(B2724="","",[1]!s_dq_close(股指期货基差分析!$E$6,$B2724))</f>
        <v/>
      </c>
      <c r="E2724" s="5" t="e">
        <f ca="1">RANK(F2724,F:F)+COUNTIF(F$2:F2724,F2724)-1</f>
        <v>#VALUE!</v>
      </c>
      <c r="F2724" s="5" t="str">
        <f t="shared" si="43"/>
        <v/>
      </c>
      <c r="G2724" s="5" t="str">
        <f>IF(B2724="","",股指期货基差分析!$N$11)</f>
        <v/>
      </c>
      <c r="H2724" s="5" t="str">
        <f>IF(B2724="","",股指期货基差分析!$L$11)</f>
        <v/>
      </c>
      <c r="I2724" s="9" t="str">
        <f>IF(B2724="","",股指期货基差分析!$D$11)</f>
        <v/>
      </c>
    </row>
    <row r="2725" spans="2:9" ht="15" customHeight="1" x14ac:dyDescent="0.2">
      <c r="B2725" s="8"/>
      <c r="C2725" s="6" t="str">
        <f>IF(B2725="","",[1]!s_dq_close(股指期货基差分析!$E$5,$B2725))</f>
        <v/>
      </c>
      <c r="D2725" s="6" t="str">
        <f>IF(B2725="","",[1]!s_dq_close(股指期货基差分析!$E$6,$B2725))</f>
        <v/>
      </c>
      <c r="E2725" s="6" t="e">
        <f ca="1">RANK(F2725,F:F)+COUNTIF(F$2:F2725,F2725)-1</f>
        <v>#VALUE!</v>
      </c>
      <c r="F2725" s="6" t="str">
        <f t="shared" si="43"/>
        <v/>
      </c>
      <c r="G2725" s="6" t="str">
        <f>IF(B2725="","",股指期货基差分析!$N$11)</f>
        <v/>
      </c>
      <c r="H2725" s="6" t="str">
        <f>IF(B2725="","",股指期货基差分析!$L$11)</f>
        <v/>
      </c>
      <c r="I2725" s="10" t="str">
        <f>IF(B2725="","",股指期货基差分析!$D$11)</f>
        <v/>
      </c>
    </row>
    <row r="2726" spans="2:9" ht="15" customHeight="1" x14ac:dyDescent="0.2">
      <c r="B2726" s="7"/>
      <c r="C2726" s="5" t="str">
        <f>IF(B2726="","",[1]!s_dq_close(股指期货基差分析!$E$5,$B2726))</f>
        <v/>
      </c>
      <c r="D2726" s="5" t="str">
        <f>IF(B2726="","",[1]!s_dq_close(股指期货基差分析!$E$6,$B2726))</f>
        <v/>
      </c>
      <c r="E2726" s="5" t="e">
        <f ca="1">RANK(F2726,F:F)+COUNTIF(F$2:F2726,F2726)-1</f>
        <v>#VALUE!</v>
      </c>
      <c r="F2726" s="5" t="str">
        <f t="shared" si="43"/>
        <v/>
      </c>
      <c r="G2726" s="5" t="str">
        <f>IF(B2726="","",股指期货基差分析!$N$11)</f>
        <v/>
      </c>
      <c r="H2726" s="5" t="str">
        <f>IF(B2726="","",股指期货基差分析!$L$11)</f>
        <v/>
      </c>
      <c r="I2726" s="9" t="str">
        <f>IF(B2726="","",股指期货基差分析!$D$11)</f>
        <v/>
      </c>
    </row>
    <row r="2727" spans="2:9" ht="15" customHeight="1" x14ac:dyDescent="0.2">
      <c r="B2727" s="8"/>
      <c r="C2727" s="6" t="str">
        <f>IF(B2727="","",[1]!s_dq_close(股指期货基差分析!$E$5,$B2727))</f>
        <v/>
      </c>
      <c r="D2727" s="6" t="str">
        <f>IF(B2727="","",[1]!s_dq_close(股指期货基差分析!$E$6,$B2727))</f>
        <v/>
      </c>
      <c r="E2727" s="6" t="e">
        <f ca="1">RANK(F2727,F:F)+COUNTIF(F$2:F2727,F2727)-1</f>
        <v>#VALUE!</v>
      </c>
      <c r="F2727" s="6" t="str">
        <f t="shared" si="43"/>
        <v/>
      </c>
      <c r="G2727" s="6" t="str">
        <f>IF(B2727="","",股指期货基差分析!$N$11)</f>
        <v/>
      </c>
      <c r="H2727" s="6" t="str">
        <f>IF(B2727="","",股指期货基差分析!$L$11)</f>
        <v/>
      </c>
      <c r="I2727" s="10" t="str">
        <f>IF(B2727="","",股指期货基差分析!$D$11)</f>
        <v/>
      </c>
    </row>
    <row r="2728" spans="2:9" ht="15" customHeight="1" x14ac:dyDescent="0.2">
      <c r="B2728" s="7"/>
      <c r="C2728" s="5" t="str">
        <f>IF(B2728="","",[1]!s_dq_close(股指期货基差分析!$E$5,$B2728))</f>
        <v/>
      </c>
      <c r="D2728" s="5" t="str">
        <f>IF(B2728="","",[1]!s_dq_close(股指期货基差分析!$E$6,$B2728))</f>
        <v/>
      </c>
      <c r="E2728" s="5" t="e">
        <f ca="1">RANK(F2728,F:F)+COUNTIF(F$2:F2728,F2728)-1</f>
        <v>#VALUE!</v>
      </c>
      <c r="F2728" s="5" t="str">
        <f t="shared" si="43"/>
        <v/>
      </c>
      <c r="G2728" s="5" t="str">
        <f>IF(B2728="","",股指期货基差分析!$N$11)</f>
        <v/>
      </c>
      <c r="H2728" s="5" t="str">
        <f>IF(B2728="","",股指期货基差分析!$L$11)</f>
        <v/>
      </c>
      <c r="I2728" s="9" t="str">
        <f>IF(B2728="","",股指期货基差分析!$D$11)</f>
        <v/>
      </c>
    </row>
    <row r="2729" spans="2:9" ht="15" customHeight="1" x14ac:dyDescent="0.2">
      <c r="B2729" s="8"/>
      <c r="C2729" s="6" t="str">
        <f>IF(B2729="","",[1]!s_dq_close(股指期货基差分析!$E$5,$B2729))</f>
        <v/>
      </c>
      <c r="D2729" s="6" t="str">
        <f>IF(B2729="","",[1]!s_dq_close(股指期货基差分析!$E$6,$B2729))</f>
        <v/>
      </c>
      <c r="E2729" s="6" t="e">
        <f ca="1">RANK(F2729,F:F)+COUNTIF(F$2:F2729,F2729)-1</f>
        <v>#VALUE!</v>
      </c>
      <c r="F2729" s="6" t="str">
        <f t="shared" si="43"/>
        <v/>
      </c>
      <c r="G2729" s="6" t="str">
        <f>IF(B2729="","",股指期货基差分析!$N$11)</f>
        <v/>
      </c>
      <c r="H2729" s="6" t="str">
        <f>IF(B2729="","",股指期货基差分析!$L$11)</f>
        <v/>
      </c>
      <c r="I2729" s="10" t="str">
        <f>IF(B2729="","",股指期货基差分析!$D$11)</f>
        <v/>
      </c>
    </row>
    <row r="2730" spans="2:9" ht="15" customHeight="1" x14ac:dyDescent="0.2">
      <c r="B2730" s="7"/>
      <c r="C2730" s="5" t="str">
        <f>IF(B2730="","",[1]!s_dq_close(股指期货基差分析!$E$5,$B2730))</f>
        <v/>
      </c>
      <c r="D2730" s="5" t="str">
        <f>IF(B2730="","",[1]!s_dq_close(股指期货基差分析!$E$6,$B2730))</f>
        <v/>
      </c>
      <c r="E2730" s="5" t="e">
        <f ca="1">RANK(F2730,F:F)+COUNTIF(F$2:F2730,F2730)-1</f>
        <v>#VALUE!</v>
      </c>
      <c r="F2730" s="5" t="str">
        <f t="shared" si="43"/>
        <v/>
      </c>
      <c r="G2730" s="5" t="str">
        <f>IF(B2730="","",股指期货基差分析!$N$11)</f>
        <v/>
      </c>
      <c r="H2730" s="5" t="str">
        <f>IF(B2730="","",股指期货基差分析!$L$11)</f>
        <v/>
      </c>
      <c r="I2730" s="9" t="str">
        <f>IF(B2730="","",股指期货基差分析!$D$11)</f>
        <v/>
      </c>
    </row>
    <row r="2731" spans="2:9" ht="15" customHeight="1" x14ac:dyDescent="0.2">
      <c r="B2731" s="8"/>
      <c r="C2731" s="6" t="str">
        <f>IF(B2731="","",[1]!s_dq_close(股指期货基差分析!$E$5,$B2731))</f>
        <v/>
      </c>
      <c r="D2731" s="6" t="str">
        <f>IF(B2731="","",[1]!s_dq_close(股指期货基差分析!$E$6,$B2731))</f>
        <v/>
      </c>
      <c r="E2731" s="6" t="e">
        <f ca="1">RANK(F2731,F:F)+COUNTIF(F$2:F2731,F2731)-1</f>
        <v>#VALUE!</v>
      </c>
      <c r="F2731" s="6" t="str">
        <f t="shared" si="43"/>
        <v/>
      </c>
      <c r="G2731" s="6" t="str">
        <f>IF(B2731="","",股指期货基差分析!$N$11)</f>
        <v/>
      </c>
      <c r="H2731" s="6" t="str">
        <f>IF(B2731="","",股指期货基差分析!$L$11)</f>
        <v/>
      </c>
      <c r="I2731" s="10" t="str">
        <f>IF(B2731="","",股指期货基差分析!$D$11)</f>
        <v/>
      </c>
    </row>
    <row r="2732" spans="2:9" ht="15" customHeight="1" x14ac:dyDescent="0.2">
      <c r="B2732" s="7"/>
      <c r="C2732" s="5" t="str">
        <f>IF(B2732="","",[1]!s_dq_close(股指期货基差分析!$E$5,$B2732))</f>
        <v/>
      </c>
      <c r="D2732" s="5" t="str">
        <f>IF(B2732="","",[1]!s_dq_close(股指期货基差分析!$E$6,$B2732))</f>
        <v/>
      </c>
      <c r="E2732" s="5" t="e">
        <f ca="1">RANK(F2732,F:F)+COUNTIF(F$2:F2732,F2732)-1</f>
        <v>#VALUE!</v>
      </c>
      <c r="F2732" s="5" t="str">
        <f t="shared" si="43"/>
        <v/>
      </c>
      <c r="G2732" s="5" t="str">
        <f>IF(B2732="","",股指期货基差分析!$N$11)</f>
        <v/>
      </c>
      <c r="H2732" s="5" t="str">
        <f>IF(B2732="","",股指期货基差分析!$L$11)</f>
        <v/>
      </c>
      <c r="I2732" s="9" t="str">
        <f>IF(B2732="","",股指期货基差分析!$D$11)</f>
        <v/>
      </c>
    </row>
    <row r="2733" spans="2:9" ht="15" customHeight="1" x14ac:dyDescent="0.2">
      <c r="B2733" s="8"/>
      <c r="C2733" s="6" t="str">
        <f>IF(B2733="","",[1]!s_dq_close(股指期货基差分析!$E$5,$B2733))</f>
        <v/>
      </c>
      <c r="D2733" s="6" t="str">
        <f>IF(B2733="","",[1]!s_dq_close(股指期货基差分析!$E$6,$B2733))</f>
        <v/>
      </c>
      <c r="E2733" s="6" t="e">
        <f ca="1">RANK(F2733,F:F)+COUNTIF(F$2:F2733,F2733)-1</f>
        <v>#VALUE!</v>
      </c>
      <c r="F2733" s="6" t="str">
        <f t="shared" si="43"/>
        <v/>
      </c>
      <c r="G2733" s="6" t="str">
        <f>IF(B2733="","",股指期货基差分析!$N$11)</f>
        <v/>
      </c>
      <c r="H2733" s="6" t="str">
        <f>IF(B2733="","",股指期货基差分析!$L$11)</f>
        <v/>
      </c>
      <c r="I2733" s="10" t="str">
        <f>IF(B2733="","",股指期货基差分析!$D$11)</f>
        <v/>
      </c>
    </row>
    <row r="2734" spans="2:9" ht="15" customHeight="1" x14ac:dyDescent="0.2">
      <c r="B2734" s="7"/>
      <c r="C2734" s="5" t="str">
        <f>IF(B2734="","",[1]!s_dq_close(股指期货基差分析!$E$5,$B2734))</f>
        <v/>
      </c>
      <c r="D2734" s="5" t="str">
        <f>IF(B2734="","",[1]!s_dq_close(股指期货基差分析!$E$6,$B2734))</f>
        <v/>
      </c>
      <c r="E2734" s="5" t="e">
        <f ca="1">RANK(F2734,F:F)+COUNTIF(F$2:F2734,F2734)-1</f>
        <v>#VALUE!</v>
      </c>
      <c r="F2734" s="5" t="str">
        <f t="shared" si="43"/>
        <v/>
      </c>
      <c r="G2734" s="5" t="str">
        <f>IF(B2734="","",股指期货基差分析!$N$11)</f>
        <v/>
      </c>
      <c r="H2734" s="5" t="str">
        <f>IF(B2734="","",股指期货基差分析!$L$11)</f>
        <v/>
      </c>
      <c r="I2734" s="9" t="str">
        <f>IF(B2734="","",股指期货基差分析!$D$11)</f>
        <v/>
      </c>
    </row>
    <row r="2735" spans="2:9" ht="15" customHeight="1" x14ac:dyDescent="0.2">
      <c r="B2735" s="8"/>
      <c r="C2735" s="6" t="str">
        <f>IF(B2735="","",[1]!s_dq_close(股指期货基差分析!$E$5,$B2735))</f>
        <v/>
      </c>
      <c r="D2735" s="6" t="str">
        <f>IF(B2735="","",[1]!s_dq_close(股指期货基差分析!$E$6,$B2735))</f>
        <v/>
      </c>
      <c r="E2735" s="6" t="e">
        <f ca="1">RANK(F2735,F:F)+COUNTIF(F$2:F2735,F2735)-1</f>
        <v>#VALUE!</v>
      </c>
      <c r="F2735" s="6" t="str">
        <f t="shared" si="43"/>
        <v/>
      </c>
      <c r="G2735" s="6" t="str">
        <f>IF(B2735="","",股指期货基差分析!$N$11)</f>
        <v/>
      </c>
      <c r="H2735" s="6" t="str">
        <f>IF(B2735="","",股指期货基差分析!$L$11)</f>
        <v/>
      </c>
      <c r="I2735" s="10" t="str">
        <f>IF(B2735="","",股指期货基差分析!$D$11)</f>
        <v/>
      </c>
    </row>
    <row r="2736" spans="2:9" ht="15" customHeight="1" x14ac:dyDescent="0.2">
      <c r="B2736" s="7"/>
      <c r="C2736" s="5" t="str">
        <f>IF(B2736="","",[1]!s_dq_close(股指期货基差分析!$E$5,$B2736))</f>
        <v/>
      </c>
      <c r="D2736" s="5" t="str">
        <f>IF(B2736="","",[1]!s_dq_close(股指期货基差分析!$E$6,$B2736))</f>
        <v/>
      </c>
      <c r="E2736" s="5" t="e">
        <f ca="1">RANK(F2736,F:F)+COUNTIF(F$2:F2736,F2736)-1</f>
        <v>#VALUE!</v>
      </c>
      <c r="F2736" s="5" t="str">
        <f t="shared" si="43"/>
        <v/>
      </c>
      <c r="G2736" s="5" t="str">
        <f>IF(B2736="","",股指期货基差分析!$N$11)</f>
        <v/>
      </c>
      <c r="H2736" s="5" t="str">
        <f>IF(B2736="","",股指期货基差分析!$L$11)</f>
        <v/>
      </c>
      <c r="I2736" s="9" t="str">
        <f>IF(B2736="","",股指期货基差分析!$D$11)</f>
        <v/>
      </c>
    </row>
    <row r="2737" spans="2:9" ht="15" customHeight="1" x14ac:dyDescent="0.2">
      <c r="B2737" s="8"/>
      <c r="C2737" s="6" t="str">
        <f>IF(B2737="","",[1]!s_dq_close(股指期货基差分析!$E$5,$B2737))</f>
        <v/>
      </c>
      <c r="D2737" s="6" t="str">
        <f>IF(B2737="","",[1]!s_dq_close(股指期货基差分析!$E$6,$B2737))</f>
        <v/>
      </c>
      <c r="E2737" s="6" t="e">
        <f ca="1">RANK(F2737,F:F)+COUNTIF(F$2:F2737,F2737)-1</f>
        <v>#VALUE!</v>
      </c>
      <c r="F2737" s="6" t="str">
        <f t="shared" si="43"/>
        <v/>
      </c>
      <c r="G2737" s="6" t="str">
        <f>IF(B2737="","",股指期货基差分析!$N$11)</f>
        <v/>
      </c>
      <c r="H2737" s="6" t="str">
        <f>IF(B2737="","",股指期货基差分析!$L$11)</f>
        <v/>
      </c>
      <c r="I2737" s="10" t="str">
        <f>IF(B2737="","",股指期货基差分析!$D$11)</f>
        <v/>
      </c>
    </row>
    <row r="2738" spans="2:9" ht="15" customHeight="1" x14ac:dyDescent="0.2">
      <c r="B2738" s="7"/>
      <c r="C2738" s="5" t="str">
        <f>IF(B2738="","",[1]!s_dq_close(股指期货基差分析!$E$5,$B2738))</f>
        <v/>
      </c>
      <c r="D2738" s="5" t="str">
        <f>IF(B2738="","",[1]!s_dq_close(股指期货基差分析!$E$6,$B2738))</f>
        <v/>
      </c>
      <c r="E2738" s="5" t="e">
        <f ca="1">RANK(F2738,F:F)+COUNTIF(F$2:F2738,F2738)-1</f>
        <v>#VALUE!</v>
      </c>
      <c r="F2738" s="5" t="str">
        <f t="shared" si="43"/>
        <v/>
      </c>
      <c r="G2738" s="5" t="str">
        <f>IF(B2738="","",股指期货基差分析!$N$11)</f>
        <v/>
      </c>
      <c r="H2738" s="5" t="str">
        <f>IF(B2738="","",股指期货基差分析!$L$11)</f>
        <v/>
      </c>
      <c r="I2738" s="9" t="str">
        <f>IF(B2738="","",股指期货基差分析!$D$11)</f>
        <v/>
      </c>
    </row>
    <row r="2739" spans="2:9" ht="15" customHeight="1" x14ac:dyDescent="0.2">
      <c r="B2739" s="8"/>
      <c r="C2739" s="6" t="str">
        <f>IF(B2739="","",[1]!s_dq_close(股指期货基差分析!$E$5,$B2739))</f>
        <v/>
      </c>
      <c r="D2739" s="6" t="str">
        <f>IF(B2739="","",[1]!s_dq_close(股指期货基差分析!$E$6,$B2739))</f>
        <v/>
      </c>
      <c r="E2739" s="6" t="e">
        <f ca="1">RANK(F2739,F:F)+COUNTIF(F$2:F2739,F2739)-1</f>
        <v>#VALUE!</v>
      </c>
      <c r="F2739" s="6" t="str">
        <f t="shared" si="43"/>
        <v/>
      </c>
      <c r="G2739" s="6" t="str">
        <f>IF(B2739="","",股指期货基差分析!$N$11)</f>
        <v/>
      </c>
      <c r="H2739" s="6" t="str">
        <f>IF(B2739="","",股指期货基差分析!$L$11)</f>
        <v/>
      </c>
      <c r="I2739" s="10" t="str">
        <f>IF(B2739="","",股指期货基差分析!$D$11)</f>
        <v/>
      </c>
    </row>
    <row r="2740" spans="2:9" ht="15" customHeight="1" x14ac:dyDescent="0.2">
      <c r="B2740" s="7"/>
      <c r="C2740" s="5" t="str">
        <f>IF(B2740="","",[1]!s_dq_close(股指期货基差分析!$E$5,$B2740))</f>
        <v/>
      </c>
      <c r="D2740" s="5" t="str">
        <f>IF(B2740="","",[1]!s_dq_close(股指期货基差分析!$E$6,$B2740))</f>
        <v/>
      </c>
      <c r="E2740" s="5" t="e">
        <f ca="1">RANK(F2740,F:F)+COUNTIF(F$2:F2740,F2740)-1</f>
        <v>#VALUE!</v>
      </c>
      <c r="F2740" s="5" t="str">
        <f t="shared" si="43"/>
        <v/>
      </c>
      <c r="G2740" s="5" t="str">
        <f>IF(B2740="","",股指期货基差分析!$N$11)</f>
        <v/>
      </c>
      <c r="H2740" s="5" t="str">
        <f>IF(B2740="","",股指期货基差分析!$L$11)</f>
        <v/>
      </c>
      <c r="I2740" s="9" t="str">
        <f>IF(B2740="","",股指期货基差分析!$D$11)</f>
        <v/>
      </c>
    </row>
    <row r="2741" spans="2:9" ht="15" customHeight="1" x14ac:dyDescent="0.2">
      <c r="B2741" s="8"/>
      <c r="C2741" s="6" t="str">
        <f>IF(B2741="","",[1]!s_dq_close(股指期货基差分析!$E$5,$B2741))</f>
        <v/>
      </c>
      <c r="D2741" s="6" t="str">
        <f>IF(B2741="","",[1]!s_dq_close(股指期货基差分析!$E$6,$B2741))</f>
        <v/>
      </c>
      <c r="E2741" s="6" t="e">
        <f ca="1">RANK(F2741,F:F)+COUNTIF(F$2:F2741,F2741)-1</f>
        <v>#VALUE!</v>
      </c>
      <c r="F2741" s="6" t="str">
        <f t="shared" si="43"/>
        <v/>
      </c>
      <c r="G2741" s="6" t="str">
        <f>IF(B2741="","",股指期货基差分析!$N$11)</f>
        <v/>
      </c>
      <c r="H2741" s="6" t="str">
        <f>IF(B2741="","",股指期货基差分析!$L$11)</f>
        <v/>
      </c>
      <c r="I2741" s="10" t="str">
        <f>IF(B2741="","",股指期货基差分析!$D$11)</f>
        <v/>
      </c>
    </row>
    <row r="2742" spans="2:9" ht="15" customHeight="1" x14ac:dyDescent="0.2">
      <c r="B2742" s="7"/>
      <c r="C2742" s="5" t="str">
        <f>IF(B2742="","",[1]!s_dq_close(股指期货基差分析!$E$5,$B2742))</f>
        <v/>
      </c>
      <c r="D2742" s="5" t="str">
        <f>IF(B2742="","",[1]!s_dq_close(股指期货基差分析!$E$6,$B2742))</f>
        <v/>
      </c>
      <c r="E2742" s="5" t="e">
        <f ca="1">RANK(F2742,F:F)+COUNTIF(F$2:F2742,F2742)-1</f>
        <v>#VALUE!</v>
      </c>
      <c r="F2742" s="5" t="str">
        <f t="shared" si="43"/>
        <v/>
      </c>
      <c r="G2742" s="5" t="str">
        <f>IF(B2742="","",股指期货基差分析!$N$11)</f>
        <v/>
      </c>
      <c r="H2742" s="5" t="str">
        <f>IF(B2742="","",股指期货基差分析!$L$11)</f>
        <v/>
      </c>
      <c r="I2742" s="9" t="str">
        <f>IF(B2742="","",股指期货基差分析!$D$11)</f>
        <v/>
      </c>
    </row>
    <row r="2743" spans="2:9" ht="15" customHeight="1" x14ac:dyDescent="0.2">
      <c r="B2743" s="8"/>
      <c r="C2743" s="6" t="str">
        <f>IF(B2743="","",[1]!s_dq_close(股指期货基差分析!$E$5,$B2743))</f>
        <v/>
      </c>
      <c r="D2743" s="6" t="str">
        <f>IF(B2743="","",[1]!s_dq_close(股指期货基差分析!$E$6,$B2743))</f>
        <v/>
      </c>
      <c r="E2743" s="6" t="e">
        <f ca="1">RANK(F2743,F:F)+COUNTIF(F$2:F2743,F2743)-1</f>
        <v>#VALUE!</v>
      </c>
      <c r="F2743" s="6" t="str">
        <f t="shared" si="43"/>
        <v/>
      </c>
      <c r="G2743" s="6" t="str">
        <f>IF(B2743="","",股指期货基差分析!$N$11)</f>
        <v/>
      </c>
      <c r="H2743" s="6" t="str">
        <f>IF(B2743="","",股指期货基差分析!$L$11)</f>
        <v/>
      </c>
      <c r="I2743" s="10" t="str">
        <f>IF(B2743="","",股指期货基差分析!$D$11)</f>
        <v/>
      </c>
    </row>
    <row r="2744" spans="2:9" ht="15" customHeight="1" x14ac:dyDescent="0.2">
      <c r="B2744" s="7"/>
      <c r="C2744" s="5" t="str">
        <f>IF(B2744="","",[1]!s_dq_close(股指期货基差分析!$E$5,$B2744))</f>
        <v/>
      </c>
      <c r="D2744" s="5" t="str">
        <f>IF(B2744="","",[1]!s_dq_close(股指期货基差分析!$E$6,$B2744))</f>
        <v/>
      </c>
      <c r="E2744" s="5" t="e">
        <f ca="1">RANK(F2744,F:F)+COUNTIF(F$2:F2744,F2744)-1</f>
        <v>#VALUE!</v>
      </c>
      <c r="F2744" s="5" t="str">
        <f t="shared" si="43"/>
        <v/>
      </c>
      <c r="G2744" s="5" t="str">
        <f>IF(B2744="","",股指期货基差分析!$N$11)</f>
        <v/>
      </c>
      <c r="H2744" s="5" t="str">
        <f>IF(B2744="","",股指期货基差分析!$L$11)</f>
        <v/>
      </c>
      <c r="I2744" s="9" t="str">
        <f>IF(B2744="","",股指期货基差分析!$D$11)</f>
        <v/>
      </c>
    </row>
    <row r="2745" spans="2:9" ht="15" customHeight="1" x14ac:dyDescent="0.2">
      <c r="B2745" s="8"/>
      <c r="C2745" s="6" t="str">
        <f>IF(B2745="","",[1]!s_dq_close(股指期货基差分析!$E$5,$B2745))</f>
        <v/>
      </c>
      <c r="D2745" s="6" t="str">
        <f>IF(B2745="","",[1]!s_dq_close(股指期货基差分析!$E$6,$B2745))</f>
        <v/>
      </c>
      <c r="E2745" s="6" t="e">
        <f ca="1">RANK(F2745,F:F)+COUNTIF(F$2:F2745,F2745)-1</f>
        <v>#VALUE!</v>
      </c>
      <c r="F2745" s="6" t="str">
        <f t="shared" si="43"/>
        <v/>
      </c>
      <c r="G2745" s="6" t="str">
        <f>IF(B2745="","",股指期货基差分析!$N$11)</f>
        <v/>
      </c>
      <c r="H2745" s="6" t="str">
        <f>IF(B2745="","",股指期货基差分析!$L$11)</f>
        <v/>
      </c>
      <c r="I2745" s="10" t="str">
        <f>IF(B2745="","",股指期货基差分析!$D$11)</f>
        <v/>
      </c>
    </row>
    <row r="2746" spans="2:9" ht="15" customHeight="1" x14ac:dyDescent="0.2">
      <c r="B2746" s="7"/>
      <c r="C2746" s="5" t="str">
        <f>IF(B2746="","",[1]!s_dq_close(股指期货基差分析!$E$5,$B2746))</f>
        <v/>
      </c>
      <c r="D2746" s="5" t="str">
        <f>IF(B2746="","",[1]!s_dq_close(股指期货基差分析!$E$6,$B2746))</f>
        <v/>
      </c>
      <c r="E2746" s="5" t="e">
        <f ca="1">RANK(F2746,F:F)+COUNTIF(F$2:F2746,F2746)-1</f>
        <v>#VALUE!</v>
      </c>
      <c r="F2746" s="5" t="str">
        <f t="shared" si="43"/>
        <v/>
      </c>
      <c r="G2746" s="5" t="str">
        <f>IF(B2746="","",股指期货基差分析!$N$11)</f>
        <v/>
      </c>
      <c r="H2746" s="5" t="str">
        <f>IF(B2746="","",股指期货基差分析!$L$11)</f>
        <v/>
      </c>
      <c r="I2746" s="9" t="str">
        <f>IF(B2746="","",股指期货基差分析!$D$11)</f>
        <v/>
      </c>
    </row>
    <row r="2747" spans="2:9" ht="15" customHeight="1" x14ac:dyDescent="0.2">
      <c r="B2747" s="8"/>
      <c r="C2747" s="6" t="str">
        <f>IF(B2747="","",[1]!s_dq_close(股指期货基差分析!$E$5,$B2747))</f>
        <v/>
      </c>
      <c r="D2747" s="6" t="str">
        <f>IF(B2747="","",[1]!s_dq_close(股指期货基差分析!$E$6,$B2747))</f>
        <v/>
      </c>
      <c r="E2747" s="6" t="e">
        <f ca="1">RANK(F2747,F:F)+COUNTIF(F$2:F2747,F2747)-1</f>
        <v>#VALUE!</v>
      </c>
      <c r="F2747" s="6" t="str">
        <f t="shared" si="43"/>
        <v/>
      </c>
      <c r="G2747" s="6" t="str">
        <f>IF(B2747="","",股指期货基差分析!$N$11)</f>
        <v/>
      </c>
      <c r="H2747" s="6" t="str">
        <f>IF(B2747="","",股指期货基差分析!$L$11)</f>
        <v/>
      </c>
      <c r="I2747" s="10" t="str">
        <f>IF(B2747="","",股指期货基差分析!$D$11)</f>
        <v/>
      </c>
    </row>
    <row r="2748" spans="2:9" ht="15" customHeight="1" x14ac:dyDescent="0.2">
      <c r="B2748" s="7"/>
      <c r="C2748" s="5" t="str">
        <f>IF(B2748="","",[1]!s_dq_close(股指期货基差分析!$E$5,$B2748))</f>
        <v/>
      </c>
      <c r="D2748" s="5" t="str">
        <f>IF(B2748="","",[1]!s_dq_close(股指期货基差分析!$E$6,$B2748))</f>
        <v/>
      </c>
      <c r="E2748" s="5" t="e">
        <f ca="1">RANK(F2748,F:F)+COUNTIF(F$2:F2748,F2748)-1</f>
        <v>#VALUE!</v>
      </c>
      <c r="F2748" s="5" t="str">
        <f t="shared" si="43"/>
        <v/>
      </c>
      <c r="G2748" s="5" t="str">
        <f>IF(B2748="","",股指期货基差分析!$N$11)</f>
        <v/>
      </c>
      <c r="H2748" s="5" t="str">
        <f>IF(B2748="","",股指期货基差分析!$L$11)</f>
        <v/>
      </c>
      <c r="I2748" s="9" t="str">
        <f>IF(B2748="","",股指期货基差分析!$D$11)</f>
        <v/>
      </c>
    </row>
    <row r="2749" spans="2:9" ht="15" customHeight="1" x14ac:dyDescent="0.2">
      <c r="B2749" s="8"/>
      <c r="C2749" s="6" t="str">
        <f>IF(B2749="","",[1]!s_dq_close(股指期货基差分析!$E$5,$B2749))</f>
        <v/>
      </c>
      <c r="D2749" s="6" t="str">
        <f>IF(B2749="","",[1]!s_dq_close(股指期货基差分析!$E$6,$B2749))</f>
        <v/>
      </c>
      <c r="E2749" s="6" t="e">
        <f ca="1">RANK(F2749,F:F)+COUNTIF(F$2:F2749,F2749)-1</f>
        <v>#VALUE!</v>
      </c>
      <c r="F2749" s="6" t="str">
        <f t="shared" si="43"/>
        <v/>
      </c>
      <c r="G2749" s="6" t="str">
        <f>IF(B2749="","",股指期货基差分析!$N$11)</f>
        <v/>
      </c>
      <c r="H2749" s="6" t="str">
        <f>IF(B2749="","",股指期货基差分析!$L$11)</f>
        <v/>
      </c>
      <c r="I2749" s="10" t="str">
        <f>IF(B2749="","",股指期货基差分析!$D$11)</f>
        <v/>
      </c>
    </row>
    <row r="2750" spans="2:9" ht="15" customHeight="1" x14ac:dyDescent="0.2">
      <c r="B2750" s="7"/>
      <c r="C2750" s="5" t="str">
        <f>IF(B2750="","",[1]!s_dq_close(股指期货基差分析!$E$5,$B2750))</f>
        <v/>
      </c>
      <c r="D2750" s="5" t="str">
        <f>IF(B2750="","",[1]!s_dq_close(股指期货基差分析!$E$6,$B2750))</f>
        <v/>
      </c>
      <c r="E2750" s="5" t="e">
        <f ca="1">RANK(F2750,F:F)+COUNTIF(F$2:F2750,F2750)-1</f>
        <v>#VALUE!</v>
      </c>
      <c r="F2750" s="5" t="str">
        <f t="shared" si="43"/>
        <v/>
      </c>
      <c r="G2750" s="5" t="str">
        <f>IF(B2750="","",股指期货基差分析!$N$11)</f>
        <v/>
      </c>
      <c r="H2750" s="5" t="str">
        <f>IF(B2750="","",股指期货基差分析!$L$11)</f>
        <v/>
      </c>
      <c r="I2750" s="9" t="str">
        <f>IF(B2750="","",股指期货基差分析!$D$11)</f>
        <v/>
      </c>
    </row>
    <row r="2751" spans="2:9" ht="15" customHeight="1" x14ac:dyDescent="0.2">
      <c r="B2751" s="8"/>
      <c r="C2751" s="6" t="str">
        <f>IF(B2751="","",[1]!s_dq_close(股指期货基差分析!$E$5,$B2751))</f>
        <v/>
      </c>
      <c r="D2751" s="6" t="str">
        <f>IF(B2751="","",[1]!s_dq_close(股指期货基差分析!$E$6,$B2751))</f>
        <v/>
      </c>
      <c r="E2751" s="6" t="e">
        <f ca="1">RANK(F2751,F:F)+COUNTIF(F$2:F2751,F2751)-1</f>
        <v>#VALUE!</v>
      </c>
      <c r="F2751" s="6" t="str">
        <f t="shared" si="43"/>
        <v/>
      </c>
      <c r="G2751" s="6" t="str">
        <f>IF(B2751="","",股指期货基差分析!$N$11)</f>
        <v/>
      </c>
      <c r="H2751" s="6" t="str">
        <f>IF(B2751="","",股指期货基差分析!$L$11)</f>
        <v/>
      </c>
      <c r="I2751" s="10" t="str">
        <f>IF(B2751="","",股指期货基差分析!$D$11)</f>
        <v/>
      </c>
    </row>
    <row r="2752" spans="2:9" ht="15" customHeight="1" x14ac:dyDescent="0.2">
      <c r="B2752" s="7"/>
      <c r="C2752" s="5" t="str">
        <f>IF(B2752="","",[1]!s_dq_close(股指期货基差分析!$E$5,$B2752))</f>
        <v/>
      </c>
      <c r="D2752" s="5" t="str">
        <f>IF(B2752="","",[1]!s_dq_close(股指期货基差分析!$E$6,$B2752))</f>
        <v/>
      </c>
      <c r="E2752" s="5" t="e">
        <f ca="1">RANK(F2752,F:F)+COUNTIF(F$2:F2752,F2752)-1</f>
        <v>#VALUE!</v>
      </c>
      <c r="F2752" s="5" t="str">
        <f t="shared" si="43"/>
        <v/>
      </c>
      <c r="G2752" s="5" t="str">
        <f>IF(B2752="","",股指期货基差分析!$N$11)</f>
        <v/>
      </c>
      <c r="H2752" s="5" t="str">
        <f>IF(B2752="","",股指期货基差分析!$L$11)</f>
        <v/>
      </c>
      <c r="I2752" s="9" t="str">
        <f>IF(B2752="","",股指期货基差分析!$D$11)</f>
        <v/>
      </c>
    </row>
    <row r="2753" spans="2:9" ht="15" customHeight="1" x14ac:dyDescent="0.2">
      <c r="B2753" s="8"/>
      <c r="C2753" s="6" t="str">
        <f>IF(B2753="","",[1]!s_dq_close(股指期货基差分析!$E$5,$B2753))</f>
        <v/>
      </c>
      <c r="D2753" s="6" t="str">
        <f>IF(B2753="","",[1]!s_dq_close(股指期货基差分析!$E$6,$B2753))</f>
        <v/>
      </c>
      <c r="E2753" s="6" t="e">
        <f ca="1">RANK(F2753,F:F)+COUNTIF(F$2:F2753,F2753)-1</f>
        <v>#VALUE!</v>
      </c>
      <c r="F2753" s="6" t="str">
        <f t="shared" si="43"/>
        <v/>
      </c>
      <c r="G2753" s="6" t="str">
        <f>IF(B2753="","",股指期货基差分析!$N$11)</f>
        <v/>
      </c>
      <c r="H2753" s="6" t="str">
        <f>IF(B2753="","",股指期货基差分析!$L$11)</f>
        <v/>
      </c>
      <c r="I2753" s="10" t="str">
        <f>IF(B2753="","",股指期货基差分析!$D$11)</f>
        <v/>
      </c>
    </row>
    <row r="2754" spans="2:9" ht="15" customHeight="1" x14ac:dyDescent="0.2">
      <c r="B2754" s="7"/>
      <c r="C2754" s="5" t="str">
        <f>IF(B2754="","",[1]!s_dq_close(股指期货基差分析!$E$5,$B2754))</f>
        <v/>
      </c>
      <c r="D2754" s="5" t="str">
        <f>IF(B2754="","",[1]!s_dq_close(股指期货基差分析!$E$6,$B2754))</f>
        <v/>
      </c>
      <c r="E2754" s="5" t="e">
        <f ca="1">RANK(F2754,F:F)+COUNTIF(F$2:F2754,F2754)-1</f>
        <v>#VALUE!</v>
      </c>
      <c r="F2754" s="5" t="str">
        <f t="shared" ref="F2754:F2817" si="44">IF(B2754="","",D2754-C2754)</f>
        <v/>
      </c>
      <c r="G2754" s="5" t="str">
        <f>IF(B2754="","",股指期货基差分析!$N$11)</f>
        <v/>
      </c>
      <c r="H2754" s="5" t="str">
        <f>IF(B2754="","",股指期货基差分析!$L$11)</f>
        <v/>
      </c>
      <c r="I2754" s="9" t="str">
        <f>IF(B2754="","",股指期货基差分析!$D$11)</f>
        <v/>
      </c>
    </row>
    <row r="2755" spans="2:9" ht="15" customHeight="1" x14ac:dyDescent="0.2">
      <c r="B2755" s="8"/>
      <c r="C2755" s="6" t="str">
        <f>IF(B2755="","",[1]!s_dq_close(股指期货基差分析!$E$5,$B2755))</f>
        <v/>
      </c>
      <c r="D2755" s="6" t="str">
        <f>IF(B2755="","",[1]!s_dq_close(股指期货基差分析!$E$6,$B2755))</f>
        <v/>
      </c>
      <c r="E2755" s="6" t="e">
        <f ca="1">RANK(F2755,F:F)+COUNTIF(F$2:F2755,F2755)-1</f>
        <v>#VALUE!</v>
      </c>
      <c r="F2755" s="6" t="str">
        <f t="shared" si="44"/>
        <v/>
      </c>
      <c r="G2755" s="6" t="str">
        <f>IF(B2755="","",股指期货基差分析!$N$11)</f>
        <v/>
      </c>
      <c r="H2755" s="6" t="str">
        <f>IF(B2755="","",股指期货基差分析!$L$11)</f>
        <v/>
      </c>
      <c r="I2755" s="10" t="str">
        <f>IF(B2755="","",股指期货基差分析!$D$11)</f>
        <v/>
      </c>
    </row>
    <row r="2756" spans="2:9" ht="15" customHeight="1" x14ac:dyDescent="0.2">
      <c r="B2756" s="7"/>
      <c r="C2756" s="5" t="str">
        <f>IF(B2756="","",[1]!s_dq_close(股指期货基差分析!$E$5,$B2756))</f>
        <v/>
      </c>
      <c r="D2756" s="5" t="str">
        <f>IF(B2756="","",[1]!s_dq_close(股指期货基差分析!$E$6,$B2756))</f>
        <v/>
      </c>
      <c r="E2756" s="5" t="e">
        <f ca="1">RANK(F2756,F:F)+COUNTIF(F$2:F2756,F2756)-1</f>
        <v>#VALUE!</v>
      </c>
      <c r="F2756" s="5" t="str">
        <f t="shared" si="44"/>
        <v/>
      </c>
      <c r="G2756" s="5" t="str">
        <f>IF(B2756="","",股指期货基差分析!$N$11)</f>
        <v/>
      </c>
      <c r="H2756" s="5" t="str">
        <f>IF(B2756="","",股指期货基差分析!$L$11)</f>
        <v/>
      </c>
      <c r="I2756" s="9" t="str">
        <f>IF(B2756="","",股指期货基差分析!$D$11)</f>
        <v/>
      </c>
    </row>
    <row r="2757" spans="2:9" ht="15" customHeight="1" x14ac:dyDescent="0.2">
      <c r="B2757" s="8"/>
      <c r="C2757" s="6" t="str">
        <f>IF(B2757="","",[1]!s_dq_close(股指期货基差分析!$E$5,$B2757))</f>
        <v/>
      </c>
      <c r="D2757" s="6" t="str">
        <f>IF(B2757="","",[1]!s_dq_close(股指期货基差分析!$E$6,$B2757))</f>
        <v/>
      </c>
      <c r="E2757" s="6" t="e">
        <f ca="1">RANK(F2757,F:F)+COUNTIF(F$2:F2757,F2757)-1</f>
        <v>#VALUE!</v>
      </c>
      <c r="F2757" s="6" t="str">
        <f t="shared" si="44"/>
        <v/>
      </c>
      <c r="G2757" s="6" t="str">
        <f>IF(B2757="","",股指期货基差分析!$N$11)</f>
        <v/>
      </c>
      <c r="H2757" s="6" t="str">
        <f>IF(B2757="","",股指期货基差分析!$L$11)</f>
        <v/>
      </c>
      <c r="I2757" s="10" t="str">
        <f>IF(B2757="","",股指期货基差分析!$D$11)</f>
        <v/>
      </c>
    </row>
    <row r="2758" spans="2:9" ht="15" customHeight="1" x14ac:dyDescent="0.2">
      <c r="B2758" s="7"/>
      <c r="C2758" s="5" t="str">
        <f>IF(B2758="","",[1]!s_dq_close(股指期货基差分析!$E$5,$B2758))</f>
        <v/>
      </c>
      <c r="D2758" s="5" t="str">
        <f>IF(B2758="","",[1]!s_dq_close(股指期货基差分析!$E$6,$B2758))</f>
        <v/>
      </c>
      <c r="E2758" s="5" t="e">
        <f ca="1">RANK(F2758,F:F)+COUNTIF(F$2:F2758,F2758)-1</f>
        <v>#VALUE!</v>
      </c>
      <c r="F2758" s="5" t="str">
        <f t="shared" si="44"/>
        <v/>
      </c>
      <c r="G2758" s="5" t="str">
        <f>IF(B2758="","",股指期货基差分析!$N$11)</f>
        <v/>
      </c>
      <c r="H2758" s="5" t="str">
        <f>IF(B2758="","",股指期货基差分析!$L$11)</f>
        <v/>
      </c>
      <c r="I2758" s="9" t="str">
        <f>IF(B2758="","",股指期货基差分析!$D$11)</f>
        <v/>
      </c>
    </row>
    <row r="2759" spans="2:9" ht="15" customHeight="1" x14ac:dyDescent="0.2">
      <c r="B2759" s="8"/>
      <c r="C2759" s="6" t="str">
        <f>IF(B2759="","",[1]!s_dq_close(股指期货基差分析!$E$5,$B2759))</f>
        <v/>
      </c>
      <c r="D2759" s="6" t="str">
        <f>IF(B2759="","",[1]!s_dq_close(股指期货基差分析!$E$6,$B2759))</f>
        <v/>
      </c>
      <c r="E2759" s="6" t="e">
        <f ca="1">RANK(F2759,F:F)+COUNTIF(F$2:F2759,F2759)-1</f>
        <v>#VALUE!</v>
      </c>
      <c r="F2759" s="6" t="str">
        <f t="shared" si="44"/>
        <v/>
      </c>
      <c r="G2759" s="6" t="str">
        <f>IF(B2759="","",股指期货基差分析!$N$11)</f>
        <v/>
      </c>
      <c r="H2759" s="6" t="str">
        <f>IF(B2759="","",股指期货基差分析!$L$11)</f>
        <v/>
      </c>
      <c r="I2759" s="10" t="str">
        <f>IF(B2759="","",股指期货基差分析!$D$11)</f>
        <v/>
      </c>
    </row>
    <row r="2760" spans="2:9" ht="15" customHeight="1" x14ac:dyDescent="0.2">
      <c r="B2760" s="7"/>
      <c r="C2760" s="5" t="str">
        <f>IF(B2760="","",[1]!s_dq_close(股指期货基差分析!$E$5,$B2760))</f>
        <v/>
      </c>
      <c r="D2760" s="5" t="str">
        <f>IF(B2760="","",[1]!s_dq_close(股指期货基差分析!$E$6,$B2760))</f>
        <v/>
      </c>
      <c r="E2760" s="5" t="e">
        <f ca="1">RANK(F2760,F:F)+COUNTIF(F$2:F2760,F2760)-1</f>
        <v>#VALUE!</v>
      </c>
      <c r="F2760" s="5" t="str">
        <f t="shared" si="44"/>
        <v/>
      </c>
      <c r="G2760" s="5" t="str">
        <f>IF(B2760="","",股指期货基差分析!$N$11)</f>
        <v/>
      </c>
      <c r="H2760" s="5" t="str">
        <f>IF(B2760="","",股指期货基差分析!$L$11)</f>
        <v/>
      </c>
      <c r="I2760" s="9" t="str">
        <f>IF(B2760="","",股指期货基差分析!$D$11)</f>
        <v/>
      </c>
    </row>
    <row r="2761" spans="2:9" ht="15" customHeight="1" x14ac:dyDescent="0.2">
      <c r="B2761" s="8"/>
      <c r="C2761" s="6" t="str">
        <f>IF(B2761="","",[1]!s_dq_close(股指期货基差分析!$E$5,$B2761))</f>
        <v/>
      </c>
      <c r="D2761" s="6" t="str">
        <f>IF(B2761="","",[1]!s_dq_close(股指期货基差分析!$E$6,$B2761))</f>
        <v/>
      </c>
      <c r="E2761" s="6" t="e">
        <f ca="1">RANK(F2761,F:F)+COUNTIF(F$2:F2761,F2761)-1</f>
        <v>#VALUE!</v>
      </c>
      <c r="F2761" s="6" t="str">
        <f t="shared" si="44"/>
        <v/>
      </c>
      <c r="G2761" s="6" t="str">
        <f>IF(B2761="","",股指期货基差分析!$N$11)</f>
        <v/>
      </c>
      <c r="H2761" s="6" t="str">
        <f>IF(B2761="","",股指期货基差分析!$L$11)</f>
        <v/>
      </c>
      <c r="I2761" s="10" t="str">
        <f>IF(B2761="","",股指期货基差分析!$D$11)</f>
        <v/>
      </c>
    </row>
    <row r="2762" spans="2:9" ht="15" customHeight="1" x14ac:dyDescent="0.2">
      <c r="B2762" s="7"/>
      <c r="C2762" s="5" t="str">
        <f>IF(B2762="","",[1]!s_dq_close(股指期货基差分析!$E$5,$B2762))</f>
        <v/>
      </c>
      <c r="D2762" s="5" t="str">
        <f>IF(B2762="","",[1]!s_dq_close(股指期货基差分析!$E$6,$B2762))</f>
        <v/>
      </c>
      <c r="E2762" s="5" t="e">
        <f ca="1">RANK(F2762,F:F)+COUNTIF(F$2:F2762,F2762)-1</f>
        <v>#VALUE!</v>
      </c>
      <c r="F2762" s="5" t="str">
        <f t="shared" si="44"/>
        <v/>
      </c>
      <c r="G2762" s="5" t="str">
        <f>IF(B2762="","",股指期货基差分析!$N$11)</f>
        <v/>
      </c>
      <c r="H2762" s="5" t="str">
        <f>IF(B2762="","",股指期货基差分析!$L$11)</f>
        <v/>
      </c>
      <c r="I2762" s="9" t="str">
        <f>IF(B2762="","",股指期货基差分析!$D$11)</f>
        <v/>
      </c>
    </row>
    <row r="2763" spans="2:9" ht="15" customHeight="1" x14ac:dyDescent="0.2">
      <c r="B2763" s="8"/>
      <c r="C2763" s="6" t="str">
        <f>IF(B2763="","",[1]!s_dq_close(股指期货基差分析!$E$5,$B2763))</f>
        <v/>
      </c>
      <c r="D2763" s="6" t="str">
        <f>IF(B2763="","",[1]!s_dq_close(股指期货基差分析!$E$6,$B2763))</f>
        <v/>
      </c>
      <c r="E2763" s="6" t="e">
        <f ca="1">RANK(F2763,F:F)+COUNTIF(F$2:F2763,F2763)-1</f>
        <v>#VALUE!</v>
      </c>
      <c r="F2763" s="6" t="str">
        <f t="shared" si="44"/>
        <v/>
      </c>
      <c r="G2763" s="6" t="str">
        <f>IF(B2763="","",股指期货基差分析!$N$11)</f>
        <v/>
      </c>
      <c r="H2763" s="6" t="str">
        <f>IF(B2763="","",股指期货基差分析!$L$11)</f>
        <v/>
      </c>
      <c r="I2763" s="10" t="str">
        <f>IF(B2763="","",股指期货基差分析!$D$11)</f>
        <v/>
      </c>
    </row>
    <row r="2764" spans="2:9" ht="15" customHeight="1" x14ac:dyDescent="0.2">
      <c r="B2764" s="7"/>
      <c r="C2764" s="5" t="str">
        <f>IF(B2764="","",[1]!s_dq_close(股指期货基差分析!$E$5,$B2764))</f>
        <v/>
      </c>
      <c r="D2764" s="5" t="str">
        <f>IF(B2764="","",[1]!s_dq_close(股指期货基差分析!$E$6,$B2764))</f>
        <v/>
      </c>
      <c r="E2764" s="5" t="e">
        <f ca="1">RANK(F2764,F:F)+COUNTIF(F$2:F2764,F2764)-1</f>
        <v>#VALUE!</v>
      </c>
      <c r="F2764" s="5" t="str">
        <f t="shared" si="44"/>
        <v/>
      </c>
      <c r="G2764" s="5" t="str">
        <f>IF(B2764="","",股指期货基差分析!$N$11)</f>
        <v/>
      </c>
      <c r="H2764" s="5" t="str">
        <f>IF(B2764="","",股指期货基差分析!$L$11)</f>
        <v/>
      </c>
      <c r="I2764" s="9" t="str">
        <f>IF(B2764="","",股指期货基差分析!$D$11)</f>
        <v/>
      </c>
    </row>
    <row r="2765" spans="2:9" ht="15" customHeight="1" x14ac:dyDescent="0.2">
      <c r="B2765" s="8"/>
      <c r="C2765" s="6" t="str">
        <f>IF(B2765="","",[1]!s_dq_close(股指期货基差分析!$E$5,$B2765))</f>
        <v/>
      </c>
      <c r="D2765" s="6" t="str">
        <f>IF(B2765="","",[1]!s_dq_close(股指期货基差分析!$E$6,$B2765))</f>
        <v/>
      </c>
      <c r="E2765" s="6" t="e">
        <f ca="1">RANK(F2765,F:F)+COUNTIF(F$2:F2765,F2765)-1</f>
        <v>#VALUE!</v>
      </c>
      <c r="F2765" s="6" t="str">
        <f t="shared" si="44"/>
        <v/>
      </c>
      <c r="G2765" s="6" t="str">
        <f>IF(B2765="","",股指期货基差分析!$N$11)</f>
        <v/>
      </c>
      <c r="H2765" s="6" t="str">
        <f>IF(B2765="","",股指期货基差分析!$L$11)</f>
        <v/>
      </c>
      <c r="I2765" s="10" t="str">
        <f>IF(B2765="","",股指期货基差分析!$D$11)</f>
        <v/>
      </c>
    </row>
    <row r="2766" spans="2:9" ht="15" customHeight="1" x14ac:dyDescent="0.2">
      <c r="B2766" s="7"/>
      <c r="C2766" s="5" t="str">
        <f>IF(B2766="","",[1]!s_dq_close(股指期货基差分析!$E$5,$B2766))</f>
        <v/>
      </c>
      <c r="D2766" s="5" t="str">
        <f>IF(B2766="","",[1]!s_dq_close(股指期货基差分析!$E$6,$B2766))</f>
        <v/>
      </c>
      <c r="E2766" s="5" t="e">
        <f ca="1">RANK(F2766,F:F)+COUNTIF(F$2:F2766,F2766)-1</f>
        <v>#VALUE!</v>
      </c>
      <c r="F2766" s="5" t="str">
        <f t="shared" si="44"/>
        <v/>
      </c>
      <c r="G2766" s="5" t="str">
        <f>IF(B2766="","",股指期货基差分析!$N$11)</f>
        <v/>
      </c>
      <c r="H2766" s="5" t="str">
        <f>IF(B2766="","",股指期货基差分析!$L$11)</f>
        <v/>
      </c>
      <c r="I2766" s="9" t="str">
        <f>IF(B2766="","",股指期货基差分析!$D$11)</f>
        <v/>
      </c>
    </row>
    <row r="2767" spans="2:9" ht="15" customHeight="1" x14ac:dyDescent="0.2">
      <c r="B2767" s="8"/>
      <c r="C2767" s="6" t="str">
        <f>IF(B2767="","",[1]!s_dq_close(股指期货基差分析!$E$5,$B2767))</f>
        <v/>
      </c>
      <c r="D2767" s="6" t="str">
        <f>IF(B2767="","",[1]!s_dq_close(股指期货基差分析!$E$6,$B2767))</f>
        <v/>
      </c>
      <c r="E2767" s="6" t="e">
        <f ca="1">RANK(F2767,F:F)+COUNTIF(F$2:F2767,F2767)-1</f>
        <v>#VALUE!</v>
      </c>
      <c r="F2767" s="6" t="str">
        <f t="shared" si="44"/>
        <v/>
      </c>
      <c r="G2767" s="6" t="str">
        <f>IF(B2767="","",股指期货基差分析!$N$11)</f>
        <v/>
      </c>
      <c r="H2767" s="6" t="str">
        <f>IF(B2767="","",股指期货基差分析!$L$11)</f>
        <v/>
      </c>
      <c r="I2767" s="10" t="str">
        <f>IF(B2767="","",股指期货基差分析!$D$11)</f>
        <v/>
      </c>
    </row>
    <row r="2768" spans="2:9" ht="15" customHeight="1" x14ac:dyDescent="0.2">
      <c r="B2768" s="7"/>
      <c r="C2768" s="5" t="str">
        <f>IF(B2768="","",[1]!s_dq_close(股指期货基差分析!$E$5,$B2768))</f>
        <v/>
      </c>
      <c r="D2768" s="5" t="str">
        <f>IF(B2768="","",[1]!s_dq_close(股指期货基差分析!$E$6,$B2768))</f>
        <v/>
      </c>
      <c r="E2768" s="5" t="e">
        <f ca="1">RANK(F2768,F:F)+COUNTIF(F$2:F2768,F2768)-1</f>
        <v>#VALUE!</v>
      </c>
      <c r="F2768" s="5" t="str">
        <f t="shared" si="44"/>
        <v/>
      </c>
      <c r="G2768" s="5" t="str">
        <f>IF(B2768="","",股指期货基差分析!$N$11)</f>
        <v/>
      </c>
      <c r="H2768" s="5" t="str">
        <f>IF(B2768="","",股指期货基差分析!$L$11)</f>
        <v/>
      </c>
      <c r="I2768" s="9" t="str">
        <f>IF(B2768="","",股指期货基差分析!$D$11)</f>
        <v/>
      </c>
    </row>
    <row r="2769" spans="2:9" ht="15" customHeight="1" x14ac:dyDescent="0.2">
      <c r="B2769" s="8"/>
      <c r="C2769" s="6" t="str">
        <f>IF(B2769="","",[1]!s_dq_close(股指期货基差分析!$E$5,$B2769))</f>
        <v/>
      </c>
      <c r="D2769" s="6" t="str">
        <f>IF(B2769="","",[1]!s_dq_close(股指期货基差分析!$E$6,$B2769))</f>
        <v/>
      </c>
      <c r="E2769" s="6" t="e">
        <f ca="1">RANK(F2769,F:F)+COUNTIF(F$2:F2769,F2769)-1</f>
        <v>#VALUE!</v>
      </c>
      <c r="F2769" s="6" t="str">
        <f t="shared" si="44"/>
        <v/>
      </c>
      <c r="G2769" s="6" t="str">
        <f>IF(B2769="","",股指期货基差分析!$N$11)</f>
        <v/>
      </c>
      <c r="H2769" s="6" t="str">
        <f>IF(B2769="","",股指期货基差分析!$L$11)</f>
        <v/>
      </c>
      <c r="I2769" s="10" t="str">
        <f>IF(B2769="","",股指期货基差分析!$D$11)</f>
        <v/>
      </c>
    </row>
    <row r="2770" spans="2:9" ht="15" customHeight="1" x14ac:dyDescent="0.2">
      <c r="B2770" s="7"/>
      <c r="C2770" s="5" t="str">
        <f>IF(B2770="","",[1]!s_dq_close(股指期货基差分析!$E$5,$B2770))</f>
        <v/>
      </c>
      <c r="D2770" s="5" t="str">
        <f>IF(B2770="","",[1]!s_dq_close(股指期货基差分析!$E$6,$B2770))</f>
        <v/>
      </c>
      <c r="E2770" s="5" t="e">
        <f ca="1">RANK(F2770,F:F)+COUNTIF(F$2:F2770,F2770)-1</f>
        <v>#VALUE!</v>
      </c>
      <c r="F2770" s="5" t="str">
        <f t="shared" si="44"/>
        <v/>
      </c>
      <c r="G2770" s="5" t="str">
        <f>IF(B2770="","",股指期货基差分析!$N$11)</f>
        <v/>
      </c>
      <c r="H2770" s="5" t="str">
        <f>IF(B2770="","",股指期货基差分析!$L$11)</f>
        <v/>
      </c>
      <c r="I2770" s="9" t="str">
        <f>IF(B2770="","",股指期货基差分析!$D$11)</f>
        <v/>
      </c>
    </row>
    <row r="2771" spans="2:9" ht="15" customHeight="1" x14ac:dyDescent="0.2">
      <c r="B2771" s="8"/>
      <c r="C2771" s="6" t="str">
        <f>IF(B2771="","",[1]!s_dq_close(股指期货基差分析!$E$5,$B2771))</f>
        <v/>
      </c>
      <c r="D2771" s="6" t="str">
        <f>IF(B2771="","",[1]!s_dq_close(股指期货基差分析!$E$6,$B2771))</f>
        <v/>
      </c>
      <c r="E2771" s="6" t="e">
        <f ca="1">RANK(F2771,F:F)+COUNTIF(F$2:F2771,F2771)-1</f>
        <v>#VALUE!</v>
      </c>
      <c r="F2771" s="6" t="str">
        <f t="shared" si="44"/>
        <v/>
      </c>
      <c r="G2771" s="6" t="str">
        <f>IF(B2771="","",股指期货基差分析!$N$11)</f>
        <v/>
      </c>
      <c r="H2771" s="6" t="str">
        <f>IF(B2771="","",股指期货基差分析!$L$11)</f>
        <v/>
      </c>
      <c r="I2771" s="10" t="str">
        <f>IF(B2771="","",股指期货基差分析!$D$11)</f>
        <v/>
      </c>
    </row>
    <row r="2772" spans="2:9" ht="15" customHeight="1" x14ac:dyDescent="0.2">
      <c r="B2772" s="7"/>
      <c r="C2772" s="5" t="str">
        <f>IF(B2772="","",[1]!s_dq_close(股指期货基差分析!$E$5,$B2772))</f>
        <v/>
      </c>
      <c r="D2772" s="5" t="str">
        <f>IF(B2772="","",[1]!s_dq_close(股指期货基差分析!$E$6,$B2772))</f>
        <v/>
      </c>
      <c r="E2772" s="5" t="e">
        <f ca="1">RANK(F2772,F:F)+COUNTIF(F$2:F2772,F2772)-1</f>
        <v>#VALUE!</v>
      </c>
      <c r="F2772" s="5" t="str">
        <f t="shared" si="44"/>
        <v/>
      </c>
      <c r="G2772" s="5" t="str">
        <f>IF(B2772="","",股指期货基差分析!$N$11)</f>
        <v/>
      </c>
      <c r="H2772" s="5" t="str">
        <f>IF(B2772="","",股指期货基差分析!$L$11)</f>
        <v/>
      </c>
      <c r="I2772" s="9" t="str">
        <f>IF(B2772="","",股指期货基差分析!$D$11)</f>
        <v/>
      </c>
    </row>
    <row r="2773" spans="2:9" ht="15" customHeight="1" x14ac:dyDescent="0.2">
      <c r="B2773" s="8"/>
      <c r="C2773" s="6" t="str">
        <f>IF(B2773="","",[1]!s_dq_close(股指期货基差分析!$E$5,$B2773))</f>
        <v/>
      </c>
      <c r="D2773" s="6" t="str">
        <f>IF(B2773="","",[1]!s_dq_close(股指期货基差分析!$E$6,$B2773))</f>
        <v/>
      </c>
      <c r="E2773" s="6" t="e">
        <f ca="1">RANK(F2773,F:F)+COUNTIF(F$2:F2773,F2773)-1</f>
        <v>#VALUE!</v>
      </c>
      <c r="F2773" s="6" t="str">
        <f t="shared" si="44"/>
        <v/>
      </c>
      <c r="G2773" s="6" t="str">
        <f>IF(B2773="","",股指期货基差分析!$N$11)</f>
        <v/>
      </c>
      <c r="H2773" s="6" t="str">
        <f>IF(B2773="","",股指期货基差分析!$L$11)</f>
        <v/>
      </c>
      <c r="I2773" s="10" t="str">
        <f>IF(B2773="","",股指期货基差分析!$D$11)</f>
        <v/>
      </c>
    </row>
    <row r="2774" spans="2:9" ht="15" customHeight="1" x14ac:dyDescent="0.2">
      <c r="B2774" s="7"/>
      <c r="C2774" s="5" t="str">
        <f>IF(B2774="","",[1]!s_dq_close(股指期货基差分析!$E$5,$B2774))</f>
        <v/>
      </c>
      <c r="D2774" s="5" t="str">
        <f>IF(B2774="","",[1]!s_dq_close(股指期货基差分析!$E$6,$B2774))</f>
        <v/>
      </c>
      <c r="E2774" s="5" t="e">
        <f ca="1">RANK(F2774,F:F)+COUNTIF(F$2:F2774,F2774)-1</f>
        <v>#VALUE!</v>
      </c>
      <c r="F2774" s="5" t="str">
        <f t="shared" si="44"/>
        <v/>
      </c>
      <c r="G2774" s="5" t="str">
        <f>IF(B2774="","",股指期货基差分析!$N$11)</f>
        <v/>
      </c>
      <c r="H2774" s="5" t="str">
        <f>IF(B2774="","",股指期货基差分析!$L$11)</f>
        <v/>
      </c>
      <c r="I2774" s="9" t="str">
        <f>IF(B2774="","",股指期货基差分析!$D$11)</f>
        <v/>
      </c>
    </row>
    <row r="2775" spans="2:9" ht="15" customHeight="1" x14ac:dyDescent="0.2">
      <c r="B2775" s="8"/>
      <c r="C2775" s="6" t="str">
        <f>IF(B2775="","",[1]!s_dq_close(股指期货基差分析!$E$5,$B2775))</f>
        <v/>
      </c>
      <c r="D2775" s="6" t="str">
        <f>IF(B2775="","",[1]!s_dq_close(股指期货基差分析!$E$6,$B2775))</f>
        <v/>
      </c>
      <c r="E2775" s="6" t="e">
        <f ca="1">RANK(F2775,F:F)+COUNTIF(F$2:F2775,F2775)-1</f>
        <v>#VALUE!</v>
      </c>
      <c r="F2775" s="6" t="str">
        <f t="shared" si="44"/>
        <v/>
      </c>
      <c r="G2775" s="6" t="str">
        <f>IF(B2775="","",股指期货基差分析!$N$11)</f>
        <v/>
      </c>
      <c r="H2775" s="6" t="str">
        <f>IF(B2775="","",股指期货基差分析!$L$11)</f>
        <v/>
      </c>
      <c r="I2775" s="10" t="str">
        <f>IF(B2775="","",股指期货基差分析!$D$11)</f>
        <v/>
      </c>
    </row>
    <row r="2776" spans="2:9" ht="15" customHeight="1" x14ac:dyDescent="0.2">
      <c r="B2776" s="7"/>
      <c r="C2776" s="5" t="str">
        <f>IF(B2776="","",[1]!s_dq_close(股指期货基差分析!$E$5,$B2776))</f>
        <v/>
      </c>
      <c r="D2776" s="5" t="str">
        <f>IF(B2776="","",[1]!s_dq_close(股指期货基差分析!$E$6,$B2776))</f>
        <v/>
      </c>
      <c r="E2776" s="5" t="e">
        <f ca="1">RANK(F2776,F:F)+COUNTIF(F$2:F2776,F2776)-1</f>
        <v>#VALUE!</v>
      </c>
      <c r="F2776" s="5" t="str">
        <f t="shared" si="44"/>
        <v/>
      </c>
      <c r="G2776" s="5" t="str">
        <f>IF(B2776="","",股指期货基差分析!$N$11)</f>
        <v/>
      </c>
      <c r="H2776" s="5" t="str">
        <f>IF(B2776="","",股指期货基差分析!$L$11)</f>
        <v/>
      </c>
      <c r="I2776" s="9" t="str">
        <f>IF(B2776="","",股指期货基差分析!$D$11)</f>
        <v/>
      </c>
    </row>
    <row r="2777" spans="2:9" ht="15" customHeight="1" x14ac:dyDescent="0.2">
      <c r="B2777" s="8"/>
      <c r="C2777" s="6" t="str">
        <f>IF(B2777="","",[1]!s_dq_close(股指期货基差分析!$E$5,$B2777))</f>
        <v/>
      </c>
      <c r="D2777" s="6" t="str">
        <f>IF(B2777="","",[1]!s_dq_close(股指期货基差分析!$E$6,$B2777))</f>
        <v/>
      </c>
      <c r="E2777" s="6" t="e">
        <f ca="1">RANK(F2777,F:F)+COUNTIF(F$2:F2777,F2777)-1</f>
        <v>#VALUE!</v>
      </c>
      <c r="F2777" s="6" t="str">
        <f t="shared" si="44"/>
        <v/>
      </c>
      <c r="G2777" s="6" t="str">
        <f>IF(B2777="","",股指期货基差分析!$N$11)</f>
        <v/>
      </c>
      <c r="H2777" s="6" t="str">
        <f>IF(B2777="","",股指期货基差分析!$L$11)</f>
        <v/>
      </c>
      <c r="I2777" s="10" t="str">
        <f>IF(B2777="","",股指期货基差分析!$D$11)</f>
        <v/>
      </c>
    </row>
    <row r="2778" spans="2:9" ht="15" customHeight="1" x14ac:dyDescent="0.2">
      <c r="B2778" s="7"/>
      <c r="C2778" s="5" t="str">
        <f>IF(B2778="","",[1]!s_dq_close(股指期货基差分析!$E$5,$B2778))</f>
        <v/>
      </c>
      <c r="D2778" s="5" t="str">
        <f>IF(B2778="","",[1]!s_dq_close(股指期货基差分析!$E$6,$B2778))</f>
        <v/>
      </c>
      <c r="E2778" s="5" t="e">
        <f ca="1">RANK(F2778,F:F)+COUNTIF(F$2:F2778,F2778)-1</f>
        <v>#VALUE!</v>
      </c>
      <c r="F2778" s="5" t="str">
        <f t="shared" si="44"/>
        <v/>
      </c>
      <c r="G2778" s="5" t="str">
        <f>IF(B2778="","",股指期货基差分析!$N$11)</f>
        <v/>
      </c>
      <c r="H2778" s="5" t="str">
        <f>IF(B2778="","",股指期货基差分析!$L$11)</f>
        <v/>
      </c>
      <c r="I2778" s="9" t="str">
        <f>IF(B2778="","",股指期货基差分析!$D$11)</f>
        <v/>
      </c>
    </row>
    <row r="2779" spans="2:9" ht="15" customHeight="1" x14ac:dyDescent="0.2">
      <c r="B2779" s="8"/>
      <c r="C2779" s="6" t="str">
        <f>IF(B2779="","",[1]!s_dq_close(股指期货基差分析!$E$5,$B2779))</f>
        <v/>
      </c>
      <c r="D2779" s="6" t="str">
        <f>IF(B2779="","",[1]!s_dq_close(股指期货基差分析!$E$6,$B2779))</f>
        <v/>
      </c>
      <c r="E2779" s="6" t="e">
        <f ca="1">RANK(F2779,F:F)+COUNTIF(F$2:F2779,F2779)-1</f>
        <v>#VALUE!</v>
      </c>
      <c r="F2779" s="6" t="str">
        <f t="shared" si="44"/>
        <v/>
      </c>
      <c r="G2779" s="6" t="str">
        <f>IF(B2779="","",股指期货基差分析!$N$11)</f>
        <v/>
      </c>
      <c r="H2779" s="6" t="str">
        <f>IF(B2779="","",股指期货基差分析!$L$11)</f>
        <v/>
      </c>
      <c r="I2779" s="10" t="str">
        <f>IF(B2779="","",股指期货基差分析!$D$11)</f>
        <v/>
      </c>
    </row>
    <row r="2780" spans="2:9" ht="15" customHeight="1" x14ac:dyDescent="0.2">
      <c r="B2780" s="7"/>
      <c r="C2780" s="5" t="str">
        <f>IF(B2780="","",[1]!s_dq_close(股指期货基差分析!$E$5,$B2780))</f>
        <v/>
      </c>
      <c r="D2780" s="5" t="str">
        <f>IF(B2780="","",[1]!s_dq_close(股指期货基差分析!$E$6,$B2780))</f>
        <v/>
      </c>
      <c r="E2780" s="5" t="e">
        <f ca="1">RANK(F2780,F:F)+COUNTIF(F$2:F2780,F2780)-1</f>
        <v>#VALUE!</v>
      </c>
      <c r="F2780" s="5" t="str">
        <f t="shared" si="44"/>
        <v/>
      </c>
      <c r="G2780" s="5" t="str">
        <f>IF(B2780="","",股指期货基差分析!$N$11)</f>
        <v/>
      </c>
      <c r="H2780" s="5" t="str">
        <f>IF(B2780="","",股指期货基差分析!$L$11)</f>
        <v/>
      </c>
      <c r="I2780" s="9" t="str">
        <f>IF(B2780="","",股指期货基差分析!$D$11)</f>
        <v/>
      </c>
    </row>
    <row r="2781" spans="2:9" ht="15" customHeight="1" x14ac:dyDescent="0.2">
      <c r="B2781" s="8"/>
      <c r="C2781" s="6" t="str">
        <f>IF(B2781="","",[1]!s_dq_close(股指期货基差分析!$E$5,$B2781))</f>
        <v/>
      </c>
      <c r="D2781" s="6" t="str">
        <f>IF(B2781="","",[1]!s_dq_close(股指期货基差分析!$E$6,$B2781))</f>
        <v/>
      </c>
      <c r="E2781" s="6" t="e">
        <f ca="1">RANK(F2781,F:F)+COUNTIF(F$2:F2781,F2781)-1</f>
        <v>#VALUE!</v>
      </c>
      <c r="F2781" s="6" t="str">
        <f t="shared" si="44"/>
        <v/>
      </c>
      <c r="G2781" s="6" t="str">
        <f>IF(B2781="","",股指期货基差分析!$N$11)</f>
        <v/>
      </c>
      <c r="H2781" s="6" t="str">
        <f>IF(B2781="","",股指期货基差分析!$L$11)</f>
        <v/>
      </c>
      <c r="I2781" s="10" t="str">
        <f>IF(B2781="","",股指期货基差分析!$D$11)</f>
        <v/>
      </c>
    </row>
    <row r="2782" spans="2:9" ht="15" customHeight="1" x14ac:dyDescent="0.2">
      <c r="B2782" s="7"/>
      <c r="C2782" s="5" t="str">
        <f>IF(B2782="","",[1]!s_dq_close(股指期货基差分析!$E$5,$B2782))</f>
        <v/>
      </c>
      <c r="D2782" s="5" t="str">
        <f>IF(B2782="","",[1]!s_dq_close(股指期货基差分析!$E$6,$B2782))</f>
        <v/>
      </c>
      <c r="E2782" s="5" t="e">
        <f ca="1">RANK(F2782,F:F)+COUNTIF(F$2:F2782,F2782)-1</f>
        <v>#VALUE!</v>
      </c>
      <c r="F2782" s="5" t="str">
        <f t="shared" si="44"/>
        <v/>
      </c>
      <c r="G2782" s="5" t="str">
        <f>IF(B2782="","",股指期货基差分析!$N$11)</f>
        <v/>
      </c>
      <c r="H2782" s="5" t="str">
        <f>IF(B2782="","",股指期货基差分析!$L$11)</f>
        <v/>
      </c>
      <c r="I2782" s="9" t="str">
        <f>IF(B2782="","",股指期货基差分析!$D$11)</f>
        <v/>
      </c>
    </row>
    <row r="2783" spans="2:9" ht="15" customHeight="1" x14ac:dyDescent="0.2">
      <c r="B2783" s="8"/>
      <c r="C2783" s="6" t="str">
        <f>IF(B2783="","",[1]!s_dq_close(股指期货基差分析!$E$5,$B2783))</f>
        <v/>
      </c>
      <c r="D2783" s="6" t="str">
        <f>IF(B2783="","",[1]!s_dq_close(股指期货基差分析!$E$6,$B2783))</f>
        <v/>
      </c>
      <c r="E2783" s="6" t="e">
        <f ca="1">RANK(F2783,F:F)+COUNTIF(F$2:F2783,F2783)-1</f>
        <v>#VALUE!</v>
      </c>
      <c r="F2783" s="6" t="str">
        <f t="shared" si="44"/>
        <v/>
      </c>
      <c r="G2783" s="6" t="str">
        <f>IF(B2783="","",股指期货基差分析!$N$11)</f>
        <v/>
      </c>
      <c r="H2783" s="6" t="str">
        <f>IF(B2783="","",股指期货基差分析!$L$11)</f>
        <v/>
      </c>
      <c r="I2783" s="10" t="str">
        <f>IF(B2783="","",股指期货基差分析!$D$11)</f>
        <v/>
      </c>
    </row>
    <row r="2784" spans="2:9" ht="15" customHeight="1" x14ac:dyDescent="0.2">
      <c r="B2784" s="7"/>
      <c r="C2784" s="5" t="str">
        <f>IF(B2784="","",[1]!s_dq_close(股指期货基差分析!$E$5,$B2784))</f>
        <v/>
      </c>
      <c r="D2784" s="5" t="str">
        <f>IF(B2784="","",[1]!s_dq_close(股指期货基差分析!$E$6,$B2784))</f>
        <v/>
      </c>
      <c r="E2784" s="5" t="e">
        <f ca="1">RANK(F2784,F:F)+COUNTIF(F$2:F2784,F2784)-1</f>
        <v>#VALUE!</v>
      </c>
      <c r="F2784" s="5" t="str">
        <f t="shared" si="44"/>
        <v/>
      </c>
      <c r="G2784" s="5" t="str">
        <f>IF(B2784="","",股指期货基差分析!$N$11)</f>
        <v/>
      </c>
      <c r="H2784" s="5" t="str">
        <f>IF(B2784="","",股指期货基差分析!$L$11)</f>
        <v/>
      </c>
      <c r="I2784" s="9" t="str">
        <f>IF(B2784="","",股指期货基差分析!$D$11)</f>
        <v/>
      </c>
    </row>
    <row r="2785" spans="2:9" ht="15" customHeight="1" x14ac:dyDescent="0.2">
      <c r="B2785" s="8"/>
      <c r="C2785" s="6" t="str">
        <f>IF(B2785="","",[1]!s_dq_close(股指期货基差分析!$E$5,$B2785))</f>
        <v/>
      </c>
      <c r="D2785" s="6" t="str">
        <f>IF(B2785="","",[1]!s_dq_close(股指期货基差分析!$E$6,$B2785))</f>
        <v/>
      </c>
      <c r="E2785" s="6" t="e">
        <f ca="1">RANK(F2785,F:F)+COUNTIF(F$2:F2785,F2785)-1</f>
        <v>#VALUE!</v>
      </c>
      <c r="F2785" s="6" t="str">
        <f t="shared" si="44"/>
        <v/>
      </c>
      <c r="G2785" s="6" t="str">
        <f>IF(B2785="","",股指期货基差分析!$N$11)</f>
        <v/>
      </c>
      <c r="H2785" s="6" t="str">
        <f>IF(B2785="","",股指期货基差分析!$L$11)</f>
        <v/>
      </c>
      <c r="I2785" s="10" t="str">
        <f>IF(B2785="","",股指期货基差分析!$D$11)</f>
        <v/>
      </c>
    </row>
    <row r="2786" spans="2:9" ht="15" customHeight="1" x14ac:dyDescent="0.2">
      <c r="B2786" s="7"/>
      <c r="C2786" s="5" t="str">
        <f>IF(B2786="","",[1]!s_dq_close(股指期货基差分析!$E$5,$B2786))</f>
        <v/>
      </c>
      <c r="D2786" s="5" t="str">
        <f>IF(B2786="","",[1]!s_dq_close(股指期货基差分析!$E$6,$B2786))</f>
        <v/>
      </c>
      <c r="E2786" s="5" t="e">
        <f ca="1">RANK(F2786,F:F)+COUNTIF(F$2:F2786,F2786)-1</f>
        <v>#VALUE!</v>
      </c>
      <c r="F2786" s="5" t="str">
        <f t="shared" si="44"/>
        <v/>
      </c>
      <c r="G2786" s="5" t="str">
        <f>IF(B2786="","",股指期货基差分析!$N$11)</f>
        <v/>
      </c>
      <c r="H2786" s="5" t="str">
        <f>IF(B2786="","",股指期货基差分析!$L$11)</f>
        <v/>
      </c>
      <c r="I2786" s="9" t="str">
        <f>IF(B2786="","",股指期货基差分析!$D$11)</f>
        <v/>
      </c>
    </row>
    <row r="2787" spans="2:9" ht="15" customHeight="1" x14ac:dyDescent="0.2">
      <c r="B2787" s="8"/>
      <c r="C2787" s="6" t="str">
        <f>IF(B2787="","",[1]!s_dq_close(股指期货基差分析!$E$5,$B2787))</f>
        <v/>
      </c>
      <c r="D2787" s="6" t="str">
        <f>IF(B2787="","",[1]!s_dq_close(股指期货基差分析!$E$6,$B2787))</f>
        <v/>
      </c>
      <c r="E2787" s="6" t="e">
        <f ca="1">RANK(F2787,F:F)+COUNTIF(F$2:F2787,F2787)-1</f>
        <v>#VALUE!</v>
      </c>
      <c r="F2787" s="6" t="str">
        <f t="shared" si="44"/>
        <v/>
      </c>
      <c r="G2787" s="6" t="str">
        <f>IF(B2787="","",股指期货基差分析!$N$11)</f>
        <v/>
      </c>
      <c r="H2787" s="6" t="str">
        <f>IF(B2787="","",股指期货基差分析!$L$11)</f>
        <v/>
      </c>
      <c r="I2787" s="10" t="str">
        <f>IF(B2787="","",股指期货基差分析!$D$11)</f>
        <v/>
      </c>
    </row>
    <row r="2788" spans="2:9" ht="15" customHeight="1" x14ac:dyDescent="0.2">
      <c r="B2788" s="7"/>
      <c r="C2788" s="5" t="str">
        <f>IF(B2788="","",[1]!s_dq_close(股指期货基差分析!$E$5,$B2788))</f>
        <v/>
      </c>
      <c r="D2788" s="5" t="str">
        <f>IF(B2788="","",[1]!s_dq_close(股指期货基差分析!$E$6,$B2788))</f>
        <v/>
      </c>
      <c r="E2788" s="5" t="e">
        <f ca="1">RANK(F2788,F:F)+COUNTIF(F$2:F2788,F2788)-1</f>
        <v>#VALUE!</v>
      </c>
      <c r="F2788" s="5" t="str">
        <f t="shared" si="44"/>
        <v/>
      </c>
      <c r="G2788" s="5" t="str">
        <f>IF(B2788="","",股指期货基差分析!$N$11)</f>
        <v/>
      </c>
      <c r="H2788" s="5" t="str">
        <f>IF(B2788="","",股指期货基差分析!$L$11)</f>
        <v/>
      </c>
      <c r="I2788" s="9" t="str">
        <f>IF(B2788="","",股指期货基差分析!$D$11)</f>
        <v/>
      </c>
    </row>
    <row r="2789" spans="2:9" ht="15" customHeight="1" x14ac:dyDescent="0.2">
      <c r="B2789" s="8"/>
      <c r="C2789" s="6" t="str">
        <f>IF(B2789="","",[1]!s_dq_close(股指期货基差分析!$E$5,$B2789))</f>
        <v/>
      </c>
      <c r="D2789" s="6" t="str">
        <f>IF(B2789="","",[1]!s_dq_close(股指期货基差分析!$E$6,$B2789))</f>
        <v/>
      </c>
      <c r="E2789" s="6" t="e">
        <f ca="1">RANK(F2789,F:F)+COUNTIF(F$2:F2789,F2789)-1</f>
        <v>#VALUE!</v>
      </c>
      <c r="F2789" s="6" t="str">
        <f t="shared" si="44"/>
        <v/>
      </c>
      <c r="G2789" s="6" t="str">
        <f>IF(B2789="","",股指期货基差分析!$N$11)</f>
        <v/>
      </c>
      <c r="H2789" s="6" t="str">
        <f>IF(B2789="","",股指期货基差分析!$L$11)</f>
        <v/>
      </c>
      <c r="I2789" s="10" t="str">
        <f>IF(B2789="","",股指期货基差分析!$D$11)</f>
        <v/>
      </c>
    </row>
    <row r="2790" spans="2:9" ht="15" customHeight="1" x14ac:dyDescent="0.2">
      <c r="B2790" s="7"/>
      <c r="C2790" s="5" t="str">
        <f>IF(B2790="","",[1]!s_dq_close(股指期货基差分析!$E$5,$B2790))</f>
        <v/>
      </c>
      <c r="D2790" s="5" t="str">
        <f>IF(B2790="","",[1]!s_dq_close(股指期货基差分析!$E$6,$B2790))</f>
        <v/>
      </c>
      <c r="E2790" s="5" t="e">
        <f ca="1">RANK(F2790,F:F)+COUNTIF(F$2:F2790,F2790)-1</f>
        <v>#VALUE!</v>
      </c>
      <c r="F2790" s="5" t="str">
        <f t="shared" si="44"/>
        <v/>
      </c>
      <c r="G2790" s="5" t="str">
        <f>IF(B2790="","",股指期货基差分析!$N$11)</f>
        <v/>
      </c>
      <c r="H2790" s="5" t="str">
        <f>IF(B2790="","",股指期货基差分析!$L$11)</f>
        <v/>
      </c>
      <c r="I2790" s="9" t="str">
        <f>IF(B2790="","",股指期货基差分析!$D$11)</f>
        <v/>
      </c>
    </row>
    <row r="2791" spans="2:9" ht="15" customHeight="1" x14ac:dyDescent="0.2">
      <c r="B2791" s="8"/>
      <c r="C2791" s="6" t="str">
        <f>IF(B2791="","",[1]!s_dq_close(股指期货基差分析!$E$5,$B2791))</f>
        <v/>
      </c>
      <c r="D2791" s="6" t="str">
        <f>IF(B2791="","",[1]!s_dq_close(股指期货基差分析!$E$6,$B2791))</f>
        <v/>
      </c>
      <c r="E2791" s="6" t="e">
        <f ca="1">RANK(F2791,F:F)+COUNTIF(F$2:F2791,F2791)-1</f>
        <v>#VALUE!</v>
      </c>
      <c r="F2791" s="6" t="str">
        <f t="shared" si="44"/>
        <v/>
      </c>
      <c r="G2791" s="6" t="str">
        <f>IF(B2791="","",股指期货基差分析!$N$11)</f>
        <v/>
      </c>
      <c r="H2791" s="6" t="str">
        <f>IF(B2791="","",股指期货基差分析!$L$11)</f>
        <v/>
      </c>
      <c r="I2791" s="10" t="str">
        <f>IF(B2791="","",股指期货基差分析!$D$11)</f>
        <v/>
      </c>
    </row>
    <row r="2792" spans="2:9" ht="15" customHeight="1" x14ac:dyDescent="0.2">
      <c r="B2792" s="7"/>
      <c r="C2792" s="5" t="str">
        <f>IF(B2792="","",[1]!s_dq_close(股指期货基差分析!$E$5,$B2792))</f>
        <v/>
      </c>
      <c r="D2792" s="5" t="str">
        <f>IF(B2792="","",[1]!s_dq_close(股指期货基差分析!$E$6,$B2792))</f>
        <v/>
      </c>
      <c r="E2792" s="5" t="e">
        <f ca="1">RANK(F2792,F:F)+COUNTIF(F$2:F2792,F2792)-1</f>
        <v>#VALUE!</v>
      </c>
      <c r="F2792" s="5" t="str">
        <f t="shared" si="44"/>
        <v/>
      </c>
      <c r="G2792" s="5" t="str">
        <f>IF(B2792="","",股指期货基差分析!$N$11)</f>
        <v/>
      </c>
      <c r="H2792" s="5" t="str">
        <f>IF(B2792="","",股指期货基差分析!$L$11)</f>
        <v/>
      </c>
      <c r="I2792" s="9" t="str">
        <f>IF(B2792="","",股指期货基差分析!$D$11)</f>
        <v/>
      </c>
    </row>
    <row r="2793" spans="2:9" ht="15" customHeight="1" x14ac:dyDescent="0.2">
      <c r="B2793" s="8"/>
      <c r="C2793" s="6" t="str">
        <f>IF(B2793="","",[1]!s_dq_close(股指期货基差分析!$E$5,$B2793))</f>
        <v/>
      </c>
      <c r="D2793" s="6" t="str">
        <f>IF(B2793="","",[1]!s_dq_close(股指期货基差分析!$E$6,$B2793))</f>
        <v/>
      </c>
      <c r="E2793" s="6" t="e">
        <f ca="1">RANK(F2793,F:F)+COUNTIF(F$2:F2793,F2793)-1</f>
        <v>#VALUE!</v>
      </c>
      <c r="F2793" s="6" t="str">
        <f t="shared" si="44"/>
        <v/>
      </c>
      <c r="G2793" s="6" t="str">
        <f>IF(B2793="","",股指期货基差分析!$N$11)</f>
        <v/>
      </c>
      <c r="H2793" s="6" t="str">
        <f>IF(B2793="","",股指期货基差分析!$L$11)</f>
        <v/>
      </c>
      <c r="I2793" s="10" t="str">
        <f>IF(B2793="","",股指期货基差分析!$D$11)</f>
        <v/>
      </c>
    </row>
    <row r="2794" spans="2:9" ht="15" customHeight="1" x14ac:dyDescent="0.2">
      <c r="B2794" s="7"/>
      <c r="C2794" s="5" t="str">
        <f>IF(B2794="","",[1]!s_dq_close(股指期货基差分析!$E$5,$B2794))</f>
        <v/>
      </c>
      <c r="D2794" s="5" t="str">
        <f>IF(B2794="","",[1]!s_dq_close(股指期货基差分析!$E$6,$B2794))</f>
        <v/>
      </c>
      <c r="E2794" s="5" t="e">
        <f ca="1">RANK(F2794,F:F)+COUNTIF(F$2:F2794,F2794)-1</f>
        <v>#VALUE!</v>
      </c>
      <c r="F2794" s="5" t="str">
        <f t="shared" si="44"/>
        <v/>
      </c>
      <c r="G2794" s="5" t="str">
        <f>IF(B2794="","",股指期货基差分析!$N$11)</f>
        <v/>
      </c>
      <c r="H2794" s="5" t="str">
        <f>IF(B2794="","",股指期货基差分析!$L$11)</f>
        <v/>
      </c>
      <c r="I2794" s="9" t="str">
        <f>IF(B2794="","",股指期货基差分析!$D$11)</f>
        <v/>
      </c>
    </row>
    <row r="2795" spans="2:9" ht="15" customHeight="1" x14ac:dyDescent="0.2">
      <c r="B2795" s="8"/>
      <c r="C2795" s="6" t="str">
        <f>IF(B2795="","",[1]!s_dq_close(股指期货基差分析!$E$5,$B2795))</f>
        <v/>
      </c>
      <c r="D2795" s="6" t="str">
        <f>IF(B2795="","",[1]!s_dq_close(股指期货基差分析!$E$6,$B2795))</f>
        <v/>
      </c>
      <c r="E2795" s="6" t="e">
        <f ca="1">RANK(F2795,F:F)+COUNTIF(F$2:F2795,F2795)-1</f>
        <v>#VALUE!</v>
      </c>
      <c r="F2795" s="6" t="str">
        <f t="shared" si="44"/>
        <v/>
      </c>
      <c r="G2795" s="6" t="str">
        <f>IF(B2795="","",股指期货基差分析!$N$11)</f>
        <v/>
      </c>
      <c r="H2795" s="6" t="str">
        <f>IF(B2795="","",股指期货基差分析!$L$11)</f>
        <v/>
      </c>
      <c r="I2795" s="10" t="str">
        <f>IF(B2795="","",股指期货基差分析!$D$11)</f>
        <v/>
      </c>
    </row>
    <row r="2796" spans="2:9" ht="15" customHeight="1" x14ac:dyDescent="0.2">
      <c r="B2796" s="7"/>
      <c r="C2796" s="5" t="str">
        <f>IF(B2796="","",[1]!s_dq_close(股指期货基差分析!$E$5,$B2796))</f>
        <v/>
      </c>
      <c r="D2796" s="5" t="str">
        <f>IF(B2796="","",[1]!s_dq_close(股指期货基差分析!$E$6,$B2796))</f>
        <v/>
      </c>
      <c r="E2796" s="5" t="e">
        <f ca="1">RANK(F2796,F:F)+COUNTIF(F$2:F2796,F2796)-1</f>
        <v>#VALUE!</v>
      </c>
      <c r="F2796" s="5" t="str">
        <f t="shared" si="44"/>
        <v/>
      </c>
      <c r="G2796" s="5" t="str">
        <f>IF(B2796="","",股指期货基差分析!$N$11)</f>
        <v/>
      </c>
      <c r="H2796" s="5" t="str">
        <f>IF(B2796="","",股指期货基差分析!$L$11)</f>
        <v/>
      </c>
      <c r="I2796" s="9" t="str">
        <f>IF(B2796="","",股指期货基差分析!$D$11)</f>
        <v/>
      </c>
    </row>
    <row r="2797" spans="2:9" ht="15" customHeight="1" x14ac:dyDescent="0.2">
      <c r="B2797" s="8"/>
      <c r="C2797" s="6" t="str">
        <f>IF(B2797="","",[1]!s_dq_close(股指期货基差分析!$E$5,$B2797))</f>
        <v/>
      </c>
      <c r="D2797" s="6" t="str">
        <f>IF(B2797="","",[1]!s_dq_close(股指期货基差分析!$E$6,$B2797))</f>
        <v/>
      </c>
      <c r="E2797" s="6" t="e">
        <f ca="1">RANK(F2797,F:F)+COUNTIF(F$2:F2797,F2797)-1</f>
        <v>#VALUE!</v>
      </c>
      <c r="F2797" s="6" t="str">
        <f t="shared" si="44"/>
        <v/>
      </c>
      <c r="G2797" s="6" t="str">
        <f>IF(B2797="","",股指期货基差分析!$N$11)</f>
        <v/>
      </c>
      <c r="H2797" s="6" t="str">
        <f>IF(B2797="","",股指期货基差分析!$L$11)</f>
        <v/>
      </c>
      <c r="I2797" s="10" t="str">
        <f>IF(B2797="","",股指期货基差分析!$D$11)</f>
        <v/>
      </c>
    </row>
    <row r="2798" spans="2:9" ht="15" customHeight="1" x14ac:dyDescent="0.2">
      <c r="B2798" s="7"/>
      <c r="C2798" s="5" t="str">
        <f>IF(B2798="","",[1]!s_dq_close(股指期货基差分析!$E$5,$B2798))</f>
        <v/>
      </c>
      <c r="D2798" s="5" t="str">
        <f>IF(B2798="","",[1]!s_dq_close(股指期货基差分析!$E$6,$B2798))</f>
        <v/>
      </c>
      <c r="E2798" s="5" t="e">
        <f ca="1">RANK(F2798,F:F)+COUNTIF(F$2:F2798,F2798)-1</f>
        <v>#VALUE!</v>
      </c>
      <c r="F2798" s="5" t="str">
        <f t="shared" si="44"/>
        <v/>
      </c>
      <c r="G2798" s="5" t="str">
        <f>IF(B2798="","",股指期货基差分析!$N$11)</f>
        <v/>
      </c>
      <c r="H2798" s="5" t="str">
        <f>IF(B2798="","",股指期货基差分析!$L$11)</f>
        <v/>
      </c>
      <c r="I2798" s="9" t="str">
        <f>IF(B2798="","",股指期货基差分析!$D$11)</f>
        <v/>
      </c>
    </row>
    <row r="2799" spans="2:9" ht="15" customHeight="1" x14ac:dyDescent="0.2">
      <c r="B2799" s="8"/>
      <c r="C2799" s="6" t="str">
        <f>IF(B2799="","",[1]!s_dq_close(股指期货基差分析!$E$5,$B2799))</f>
        <v/>
      </c>
      <c r="D2799" s="6" t="str">
        <f>IF(B2799="","",[1]!s_dq_close(股指期货基差分析!$E$6,$B2799))</f>
        <v/>
      </c>
      <c r="E2799" s="6" t="e">
        <f ca="1">RANK(F2799,F:F)+COUNTIF(F$2:F2799,F2799)-1</f>
        <v>#VALUE!</v>
      </c>
      <c r="F2799" s="6" t="str">
        <f t="shared" si="44"/>
        <v/>
      </c>
      <c r="G2799" s="6" t="str">
        <f>IF(B2799="","",股指期货基差分析!$N$11)</f>
        <v/>
      </c>
      <c r="H2799" s="6" t="str">
        <f>IF(B2799="","",股指期货基差分析!$L$11)</f>
        <v/>
      </c>
      <c r="I2799" s="10" t="str">
        <f>IF(B2799="","",股指期货基差分析!$D$11)</f>
        <v/>
      </c>
    </row>
    <row r="2800" spans="2:9" ht="15" customHeight="1" x14ac:dyDescent="0.2">
      <c r="B2800" s="7"/>
      <c r="C2800" s="5" t="str">
        <f>IF(B2800="","",[1]!s_dq_close(股指期货基差分析!$E$5,$B2800))</f>
        <v/>
      </c>
      <c r="D2800" s="5" t="str">
        <f>IF(B2800="","",[1]!s_dq_close(股指期货基差分析!$E$6,$B2800))</f>
        <v/>
      </c>
      <c r="E2800" s="5" t="e">
        <f ca="1">RANK(F2800,F:F)+COUNTIF(F$2:F2800,F2800)-1</f>
        <v>#VALUE!</v>
      </c>
      <c r="F2800" s="5" t="str">
        <f t="shared" si="44"/>
        <v/>
      </c>
      <c r="G2800" s="5" t="str">
        <f>IF(B2800="","",股指期货基差分析!$N$11)</f>
        <v/>
      </c>
      <c r="H2800" s="5" t="str">
        <f>IF(B2800="","",股指期货基差分析!$L$11)</f>
        <v/>
      </c>
      <c r="I2800" s="9" t="str">
        <f>IF(B2800="","",股指期货基差分析!$D$11)</f>
        <v/>
      </c>
    </row>
    <row r="2801" spans="2:9" ht="15" customHeight="1" x14ac:dyDescent="0.2">
      <c r="B2801" s="8"/>
      <c r="C2801" s="6" t="str">
        <f>IF(B2801="","",[1]!s_dq_close(股指期货基差分析!$E$5,$B2801))</f>
        <v/>
      </c>
      <c r="D2801" s="6" t="str">
        <f>IF(B2801="","",[1]!s_dq_close(股指期货基差分析!$E$6,$B2801))</f>
        <v/>
      </c>
      <c r="E2801" s="6" t="e">
        <f ca="1">RANK(F2801,F:F)+COUNTIF(F$2:F2801,F2801)-1</f>
        <v>#VALUE!</v>
      </c>
      <c r="F2801" s="6" t="str">
        <f t="shared" si="44"/>
        <v/>
      </c>
      <c r="G2801" s="6" t="str">
        <f>IF(B2801="","",股指期货基差分析!$N$11)</f>
        <v/>
      </c>
      <c r="H2801" s="6" t="str">
        <f>IF(B2801="","",股指期货基差分析!$L$11)</f>
        <v/>
      </c>
      <c r="I2801" s="10" t="str">
        <f>IF(B2801="","",股指期货基差分析!$D$11)</f>
        <v/>
      </c>
    </row>
    <row r="2802" spans="2:9" ht="15" customHeight="1" x14ac:dyDescent="0.2">
      <c r="B2802" s="7"/>
      <c r="C2802" s="5" t="str">
        <f>IF(B2802="","",[1]!s_dq_close(股指期货基差分析!$E$5,$B2802))</f>
        <v/>
      </c>
      <c r="D2802" s="5" t="str">
        <f>IF(B2802="","",[1]!s_dq_close(股指期货基差分析!$E$6,$B2802))</f>
        <v/>
      </c>
      <c r="E2802" s="5" t="e">
        <f ca="1">RANK(F2802,F:F)+COUNTIF(F$2:F2802,F2802)-1</f>
        <v>#VALUE!</v>
      </c>
      <c r="F2802" s="5" t="str">
        <f t="shared" si="44"/>
        <v/>
      </c>
      <c r="G2802" s="5" t="str">
        <f>IF(B2802="","",股指期货基差分析!$N$11)</f>
        <v/>
      </c>
      <c r="H2802" s="5" t="str">
        <f>IF(B2802="","",股指期货基差分析!$L$11)</f>
        <v/>
      </c>
      <c r="I2802" s="9" t="str">
        <f>IF(B2802="","",股指期货基差分析!$D$11)</f>
        <v/>
      </c>
    </row>
    <row r="2803" spans="2:9" ht="15" customHeight="1" x14ac:dyDescent="0.2">
      <c r="B2803" s="8"/>
      <c r="C2803" s="6" t="str">
        <f>IF(B2803="","",[1]!s_dq_close(股指期货基差分析!$E$5,$B2803))</f>
        <v/>
      </c>
      <c r="D2803" s="6" t="str">
        <f>IF(B2803="","",[1]!s_dq_close(股指期货基差分析!$E$6,$B2803))</f>
        <v/>
      </c>
      <c r="E2803" s="6" t="e">
        <f ca="1">RANK(F2803,F:F)+COUNTIF(F$2:F2803,F2803)-1</f>
        <v>#VALUE!</v>
      </c>
      <c r="F2803" s="6" t="str">
        <f t="shared" si="44"/>
        <v/>
      </c>
      <c r="G2803" s="6" t="str">
        <f>IF(B2803="","",股指期货基差分析!$N$11)</f>
        <v/>
      </c>
      <c r="H2803" s="6" t="str">
        <f>IF(B2803="","",股指期货基差分析!$L$11)</f>
        <v/>
      </c>
      <c r="I2803" s="10" t="str">
        <f>IF(B2803="","",股指期货基差分析!$D$11)</f>
        <v/>
      </c>
    </row>
    <row r="2804" spans="2:9" ht="15" customHeight="1" x14ac:dyDescent="0.2">
      <c r="B2804" s="7"/>
      <c r="C2804" s="5" t="str">
        <f>IF(B2804="","",[1]!s_dq_close(股指期货基差分析!$E$5,$B2804))</f>
        <v/>
      </c>
      <c r="D2804" s="5" t="str">
        <f>IF(B2804="","",[1]!s_dq_close(股指期货基差分析!$E$6,$B2804))</f>
        <v/>
      </c>
      <c r="E2804" s="5" t="e">
        <f ca="1">RANK(F2804,F:F)+COUNTIF(F$2:F2804,F2804)-1</f>
        <v>#VALUE!</v>
      </c>
      <c r="F2804" s="5" t="str">
        <f t="shared" si="44"/>
        <v/>
      </c>
      <c r="G2804" s="5" t="str">
        <f>IF(B2804="","",股指期货基差分析!$N$11)</f>
        <v/>
      </c>
      <c r="H2804" s="5" t="str">
        <f>IF(B2804="","",股指期货基差分析!$L$11)</f>
        <v/>
      </c>
      <c r="I2804" s="9" t="str">
        <f>IF(B2804="","",股指期货基差分析!$D$11)</f>
        <v/>
      </c>
    </row>
    <row r="2805" spans="2:9" ht="15" customHeight="1" x14ac:dyDescent="0.2">
      <c r="B2805" s="8"/>
      <c r="C2805" s="6" t="str">
        <f>IF(B2805="","",[1]!s_dq_close(股指期货基差分析!$E$5,$B2805))</f>
        <v/>
      </c>
      <c r="D2805" s="6" t="str">
        <f>IF(B2805="","",[1]!s_dq_close(股指期货基差分析!$E$6,$B2805))</f>
        <v/>
      </c>
      <c r="E2805" s="6" t="e">
        <f ca="1">RANK(F2805,F:F)+COUNTIF(F$2:F2805,F2805)-1</f>
        <v>#VALUE!</v>
      </c>
      <c r="F2805" s="6" t="str">
        <f t="shared" si="44"/>
        <v/>
      </c>
      <c r="G2805" s="6" t="str">
        <f>IF(B2805="","",股指期货基差分析!$N$11)</f>
        <v/>
      </c>
      <c r="H2805" s="6" t="str">
        <f>IF(B2805="","",股指期货基差分析!$L$11)</f>
        <v/>
      </c>
      <c r="I2805" s="10" t="str">
        <f>IF(B2805="","",股指期货基差分析!$D$11)</f>
        <v/>
      </c>
    </row>
    <row r="2806" spans="2:9" ht="15" customHeight="1" x14ac:dyDescent="0.2">
      <c r="B2806" s="7"/>
      <c r="C2806" s="5" t="str">
        <f>IF(B2806="","",[1]!s_dq_close(股指期货基差分析!$E$5,$B2806))</f>
        <v/>
      </c>
      <c r="D2806" s="5" t="str">
        <f>IF(B2806="","",[1]!s_dq_close(股指期货基差分析!$E$6,$B2806))</f>
        <v/>
      </c>
      <c r="E2806" s="5" t="e">
        <f ca="1">RANK(F2806,F:F)+COUNTIF(F$2:F2806,F2806)-1</f>
        <v>#VALUE!</v>
      </c>
      <c r="F2806" s="5" t="str">
        <f t="shared" si="44"/>
        <v/>
      </c>
      <c r="G2806" s="5" t="str">
        <f>IF(B2806="","",股指期货基差分析!$N$11)</f>
        <v/>
      </c>
      <c r="H2806" s="5" t="str">
        <f>IF(B2806="","",股指期货基差分析!$L$11)</f>
        <v/>
      </c>
      <c r="I2806" s="9" t="str">
        <f>IF(B2806="","",股指期货基差分析!$D$11)</f>
        <v/>
      </c>
    </row>
    <row r="2807" spans="2:9" ht="15" customHeight="1" x14ac:dyDescent="0.2">
      <c r="B2807" s="8"/>
      <c r="C2807" s="6" t="str">
        <f>IF(B2807="","",[1]!s_dq_close(股指期货基差分析!$E$5,$B2807))</f>
        <v/>
      </c>
      <c r="D2807" s="6" t="str">
        <f>IF(B2807="","",[1]!s_dq_close(股指期货基差分析!$E$6,$B2807))</f>
        <v/>
      </c>
      <c r="E2807" s="6" t="e">
        <f ca="1">RANK(F2807,F:F)+COUNTIF(F$2:F2807,F2807)-1</f>
        <v>#VALUE!</v>
      </c>
      <c r="F2807" s="6" t="str">
        <f t="shared" si="44"/>
        <v/>
      </c>
      <c r="G2807" s="6" t="str">
        <f>IF(B2807="","",股指期货基差分析!$N$11)</f>
        <v/>
      </c>
      <c r="H2807" s="6" t="str">
        <f>IF(B2807="","",股指期货基差分析!$L$11)</f>
        <v/>
      </c>
      <c r="I2807" s="10" t="str">
        <f>IF(B2807="","",股指期货基差分析!$D$11)</f>
        <v/>
      </c>
    </row>
    <row r="2808" spans="2:9" ht="15" customHeight="1" x14ac:dyDescent="0.2">
      <c r="B2808" s="7"/>
      <c r="C2808" s="5" t="str">
        <f>IF(B2808="","",[1]!s_dq_close(股指期货基差分析!$E$5,$B2808))</f>
        <v/>
      </c>
      <c r="D2808" s="5" t="str">
        <f>IF(B2808="","",[1]!s_dq_close(股指期货基差分析!$E$6,$B2808))</f>
        <v/>
      </c>
      <c r="E2808" s="5" t="e">
        <f ca="1">RANK(F2808,F:F)+COUNTIF(F$2:F2808,F2808)-1</f>
        <v>#VALUE!</v>
      </c>
      <c r="F2808" s="5" t="str">
        <f t="shared" si="44"/>
        <v/>
      </c>
      <c r="G2808" s="5" t="str">
        <f>IF(B2808="","",股指期货基差分析!$N$11)</f>
        <v/>
      </c>
      <c r="H2808" s="5" t="str">
        <f>IF(B2808="","",股指期货基差分析!$L$11)</f>
        <v/>
      </c>
      <c r="I2808" s="9" t="str">
        <f>IF(B2808="","",股指期货基差分析!$D$11)</f>
        <v/>
      </c>
    </row>
    <row r="2809" spans="2:9" ht="15" customHeight="1" x14ac:dyDescent="0.2">
      <c r="B2809" s="8"/>
      <c r="C2809" s="6" t="str">
        <f>IF(B2809="","",[1]!s_dq_close(股指期货基差分析!$E$5,$B2809))</f>
        <v/>
      </c>
      <c r="D2809" s="6" t="str">
        <f>IF(B2809="","",[1]!s_dq_close(股指期货基差分析!$E$6,$B2809))</f>
        <v/>
      </c>
      <c r="E2809" s="6" t="e">
        <f ca="1">RANK(F2809,F:F)+COUNTIF(F$2:F2809,F2809)-1</f>
        <v>#VALUE!</v>
      </c>
      <c r="F2809" s="6" t="str">
        <f t="shared" si="44"/>
        <v/>
      </c>
      <c r="G2809" s="6" t="str">
        <f>IF(B2809="","",股指期货基差分析!$N$11)</f>
        <v/>
      </c>
      <c r="H2809" s="6" t="str">
        <f>IF(B2809="","",股指期货基差分析!$L$11)</f>
        <v/>
      </c>
      <c r="I2809" s="10" t="str">
        <f>IF(B2809="","",股指期货基差分析!$D$11)</f>
        <v/>
      </c>
    </row>
    <row r="2810" spans="2:9" ht="15" customHeight="1" x14ac:dyDescent="0.2">
      <c r="B2810" s="7"/>
      <c r="C2810" s="5" t="str">
        <f>IF(B2810="","",[1]!s_dq_close(股指期货基差分析!$E$5,$B2810))</f>
        <v/>
      </c>
      <c r="D2810" s="5" t="str">
        <f>IF(B2810="","",[1]!s_dq_close(股指期货基差分析!$E$6,$B2810))</f>
        <v/>
      </c>
      <c r="E2810" s="5" t="e">
        <f ca="1">RANK(F2810,F:F)+COUNTIF(F$2:F2810,F2810)-1</f>
        <v>#VALUE!</v>
      </c>
      <c r="F2810" s="5" t="str">
        <f t="shared" si="44"/>
        <v/>
      </c>
      <c r="G2810" s="5" t="str">
        <f>IF(B2810="","",股指期货基差分析!$N$11)</f>
        <v/>
      </c>
      <c r="H2810" s="5" t="str">
        <f>IF(B2810="","",股指期货基差分析!$L$11)</f>
        <v/>
      </c>
      <c r="I2810" s="9" t="str">
        <f>IF(B2810="","",股指期货基差分析!$D$11)</f>
        <v/>
      </c>
    </row>
    <row r="2811" spans="2:9" ht="15" customHeight="1" x14ac:dyDescent="0.2">
      <c r="B2811" s="8"/>
      <c r="C2811" s="6" t="str">
        <f>IF(B2811="","",[1]!s_dq_close(股指期货基差分析!$E$5,$B2811))</f>
        <v/>
      </c>
      <c r="D2811" s="6" t="str">
        <f>IF(B2811="","",[1]!s_dq_close(股指期货基差分析!$E$6,$B2811))</f>
        <v/>
      </c>
      <c r="E2811" s="6" t="e">
        <f ca="1">RANK(F2811,F:F)+COUNTIF(F$2:F2811,F2811)-1</f>
        <v>#VALUE!</v>
      </c>
      <c r="F2811" s="6" t="str">
        <f t="shared" si="44"/>
        <v/>
      </c>
      <c r="G2811" s="6" t="str">
        <f>IF(B2811="","",股指期货基差分析!$N$11)</f>
        <v/>
      </c>
      <c r="H2811" s="6" t="str">
        <f>IF(B2811="","",股指期货基差分析!$L$11)</f>
        <v/>
      </c>
      <c r="I2811" s="10" t="str">
        <f>IF(B2811="","",股指期货基差分析!$D$11)</f>
        <v/>
      </c>
    </row>
    <row r="2812" spans="2:9" ht="15" customHeight="1" x14ac:dyDescent="0.2">
      <c r="B2812" s="7"/>
      <c r="C2812" s="5" t="str">
        <f>IF(B2812="","",[1]!s_dq_close(股指期货基差分析!$E$5,$B2812))</f>
        <v/>
      </c>
      <c r="D2812" s="5" t="str">
        <f>IF(B2812="","",[1]!s_dq_close(股指期货基差分析!$E$6,$B2812))</f>
        <v/>
      </c>
      <c r="E2812" s="5" t="e">
        <f ca="1">RANK(F2812,F:F)+COUNTIF(F$2:F2812,F2812)-1</f>
        <v>#VALUE!</v>
      </c>
      <c r="F2812" s="5" t="str">
        <f t="shared" si="44"/>
        <v/>
      </c>
      <c r="G2812" s="5" t="str">
        <f>IF(B2812="","",股指期货基差分析!$N$11)</f>
        <v/>
      </c>
      <c r="H2812" s="5" t="str">
        <f>IF(B2812="","",股指期货基差分析!$L$11)</f>
        <v/>
      </c>
      <c r="I2812" s="9" t="str">
        <f>IF(B2812="","",股指期货基差分析!$D$11)</f>
        <v/>
      </c>
    </row>
    <row r="2813" spans="2:9" ht="15" customHeight="1" x14ac:dyDescent="0.2">
      <c r="B2813" s="8"/>
      <c r="C2813" s="6" t="str">
        <f>IF(B2813="","",[1]!s_dq_close(股指期货基差分析!$E$5,$B2813))</f>
        <v/>
      </c>
      <c r="D2813" s="6" t="str">
        <f>IF(B2813="","",[1]!s_dq_close(股指期货基差分析!$E$6,$B2813))</f>
        <v/>
      </c>
      <c r="E2813" s="6" t="e">
        <f ca="1">RANK(F2813,F:F)+COUNTIF(F$2:F2813,F2813)-1</f>
        <v>#VALUE!</v>
      </c>
      <c r="F2813" s="6" t="str">
        <f t="shared" si="44"/>
        <v/>
      </c>
      <c r="G2813" s="6" t="str">
        <f>IF(B2813="","",股指期货基差分析!$N$11)</f>
        <v/>
      </c>
      <c r="H2813" s="6" t="str">
        <f>IF(B2813="","",股指期货基差分析!$L$11)</f>
        <v/>
      </c>
      <c r="I2813" s="10" t="str">
        <f>IF(B2813="","",股指期货基差分析!$D$11)</f>
        <v/>
      </c>
    </row>
    <row r="2814" spans="2:9" ht="15" customHeight="1" x14ac:dyDescent="0.2">
      <c r="B2814" s="7"/>
      <c r="C2814" s="5" t="str">
        <f>IF(B2814="","",[1]!s_dq_close(股指期货基差分析!$E$5,$B2814))</f>
        <v/>
      </c>
      <c r="D2814" s="5" t="str">
        <f>IF(B2814="","",[1]!s_dq_close(股指期货基差分析!$E$6,$B2814))</f>
        <v/>
      </c>
      <c r="E2814" s="5" t="e">
        <f ca="1">RANK(F2814,F:F)+COUNTIF(F$2:F2814,F2814)-1</f>
        <v>#VALUE!</v>
      </c>
      <c r="F2814" s="5" t="str">
        <f t="shared" si="44"/>
        <v/>
      </c>
      <c r="G2814" s="5" t="str">
        <f>IF(B2814="","",股指期货基差分析!$N$11)</f>
        <v/>
      </c>
      <c r="H2814" s="5" t="str">
        <f>IF(B2814="","",股指期货基差分析!$L$11)</f>
        <v/>
      </c>
      <c r="I2814" s="9" t="str">
        <f>IF(B2814="","",股指期货基差分析!$D$11)</f>
        <v/>
      </c>
    </row>
    <row r="2815" spans="2:9" ht="15" customHeight="1" x14ac:dyDescent="0.2">
      <c r="B2815" s="8"/>
      <c r="C2815" s="6" t="str">
        <f>IF(B2815="","",[1]!s_dq_close(股指期货基差分析!$E$5,$B2815))</f>
        <v/>
      </c>
      <c r="D2815" s="6" t="str">
        <f>IF(B2815="","",[1]!s_dq_close(股指期货基差分析!$E$6,$B2815))</f>
        <v/>
      </c>
      <c r="E2815" s="6" t="e">
        <f ca="1">RANK(F2815,F:F)+COUNTIF(F$2:F2815,F2815)-1</f>
        <v>#VALUE!</v>
      </c>
      <c r="F2815" s="6" t="str">
        <f t="shared" si="44"/>
        <v/>
      </c>
      <c r="G2815" s="6" t="str">
        <f>IF(B2815="","",股指期货基差分析!$N$11)</f>
        <v/>
      </c>
      <c r="H2815" s="6" t="str">
        <f>IF(B2815="","",股指期货基差分析!$L$11)</f>
        <v/>
      </c>
      <c r="I2815" s="10" t="str">
        <f>IF(B2815="","",股指期货基差分析!$D$11)</f>
        <v/>
      </c>
    </row>
    <row r="2816" spans="2:9" ht="15" customHeight="1" x14ac:dyDescent="0.2">
      <c r="B2816" s="7"/>
      <c r="C2816" s="5" t="str">
        <f>IF(B2816="","",[1]!s_dq_close(股指期货基差分析!$E$5,$B2816))</f>
        <v/>
      </c>
      <c r="D2816" s="5" t="str">
        <f>IF(B2816="","",[1]!s_dq_close(股指期货基差分析!$E$6,$B2816))</f>
        <v/>
      </c>
      <c r="E2816" s="5" t="e">
        <f ca="1">RANK(F2816,F:F)+COUNTIF(F$2:F2816,F2816)-1</f>
        <v>#VALUE!</v>
      </c>
      <c r="F2816" s="5" t="str">
        <f t="shared" si="44"/>
        <v/>
      </c>
      <c r="G2816" s="5" t="str">
        <f>IF(B2816="","",股指期货基差分析!$N$11)</f>
        <v/>
      </c>
      <c r="H2816" s="5" t="str">
        <f>IF(B2816="","",股指期货基差分析!$L$11)</f>
        <v/>
      </c>
      <c r="I2816" s="9" t="str">
        <f>IF(B2816="","",股指期货基差分析!$D$11)</f>
        <v/>
      </c>
    </row>
    <row r="2817" spans="2:9" ht="15" customHeight="1" x14ac:dyDescent="0.2">
      <c r="B2817" s="8"/>
      <c r="C2817" s="6" t="str">
        <f>IF(B2817="","",[1]!s_dq_close(股指期货基差分析!$E$5,$B2817))</f>
        <v/>
      </c>
      <c r="D2817" s="6" t="str">
        <f>IF(B2817="","",[1]!s_dq_close(股指期货基差分析!$E$6,$B2817))</f>
        <v/>
      </c>
      <c r="E2817" s="6" t="e">
        <f ca="1">RANK(F2817,F:F)+COUNTIF(F$2:F2817,F2817)-1</f>
        <v>#VALUE!</v>
      </c>
      <c r="F2817" s="6" t="str">
        <f t="shared" si="44"/>
        <v/>
      </c>
      <c r="G2817" s="6" t="str">
        <f>IF(B2817="","",股指期货基差分析!$N$11)</f>
        <v/>
      </c>
      <c r="H2817" s="6" t="str">
        <f>IF(B2817="","",股指期货基差分析!$L$11)</f>
        <v/>
      </c>
      <c r="I2817" s="10" t="str">
        <f>IF(B2817="","",股指期货基差分析!$D$11)</f>
        <v/>
      </c>
    </row>
    <row r="2818" spans="2:9" ht="15" customHeight="1" x14ac:dyDescent="0.2">
      <c r="B2818" s="7"/>
      <c r="C2818" s="5" t="str">
        <f>IF(B2818="","",[1]!s_dq_close(股指期货基差分析!$E$5,$B2818))</f>
        <v/>
      </c>
      <c r="D2818" s="5" t="str">
        <f>IF(B2818="","",[1]!s_dq_close(股指期货基差分析!$E$6,$B2818))</f>
        <v/>
      </c>
      <c r="E2818" s="5" t="e">
        <f ca="1">RANK(F2818,F:F)+COUNTIF(F$2:F2818,F2818)-1</f>
        <v>#VALUE!</v>
      </c>
      <c r="F2818" s="5" t="str">
        <f t="shared" ref="F2818:F2881" si="45">IF(B2818="","",D2818-C2818)</f>
        <v/>
      </c>
      <c r="G2818" s="5" t="str">
        <f>IF(B2818="","",股指期货基差分析!$N$11)</f>
        <v/>
      </c>
      <c r="H2818" s="5" t="str">
        <f>IF(B2818="","",股指期货基差分析!$L$11)</f>
        <v/>
      </c>
      <c r="I2818" s="9" t="str">
        <f>IF(B2818="","",股指期货基差分析!$D$11)</f>
        <v/>
      </c>
    </row>
    <row r="2819" spans="2:9" ht="15" customHeight="1" x14ac:dyDescent="0.2">
      <c r="B2819" s="8"/>
      <c r="C2819" s="6" t="str">
        <f>IF(B2819="","",[1]!s_dq_close(股指期货基差分析!$E$5,$B2819))</f>
        <v/>
      </c>
      <c r="D2819" s="6" t="str">
        <f>IF(B2819="","",[1]!s_dq_close(股指期货基差分析!$E$6,$B2819))</f>
        <v/>
      </c>
      <c r="E2819" s="6" t="e">
        <f ca="1">RANK(F2819,F:F)+COUNTIF(F$2:F2819,F2819)-1</f>
        <v>#VALUE!</v>
      </c>
      <c r="F2819" s="6" t="str">
        <f t="shared" si="45"/>
        <v/>
      </c>
      <c r="G2819" s="6" t="str">
        <f>IF(B2819="","",股指期货基差分析!$N$11)</f>
        <v/>
      </c>
      <c r="H2819" s="6" t="str">
        <f>IF(B2819="","",股指期货基差分析!$L$11)</f>
        <v/>
      </c>
      <c r="I2819" s="10" t="str">
        <f>IF(B2819="","",股指期货基差分析!$D$11)</f>
        <v/>
      </c>
    </row>
    <row r="2820" spans="2:9" ht="15" customHeight="1" x14ac:dyDescent="0.2">
      <c r="B2820" s="7"/>
      <c r="C2820" s="5" t="str">
        <f>IF(B2820="","",[1]!s_dq_close(股指期货基差分析!$E$5,$B2820))</f>
        <v/>
      </c>
      <c r="D2820" s="5" t="str">
        <f>IF(B2820="","",[1]!s_dq_close(股指期货基差分析!$E$6,$B2820))</f>
        <v/>
      </c>
      <c r="E2820" s="5" t="e">
        <f ca="1">RANK(F2820,F:F)+COUNTIF(F$2:F2820,F2820)-1</f>
        <v>#VALUE!</v>
      </c>
      <c r="F2820" s="5" t="str">
        <f t="shared" si="45"/>
        <v/>
      </c>
      <c r="G2820" s="5" t="str">
        <f>IF(B2820="","",股指期货基差分析!$N$11)</f>
        <v/>
      </c>
      <c r="H2820" s="5" t="str">
        <f>IF(B2820="","",股指期货基差分析!$L$11)</f>
        <v/>
      </c>
      <c r="I2820" s="9" t="str">
        <f>IF(B2820="","",股指期货基差分析!$D$11)</f>
        <v/>
      </c>
    </row>
    <row r="2821" spans="2:9" ht="15" customHeight="1" x14ac:dyDescent="0.2">
      <c r="B2821" s="8"/>
      <c r="C2821" s="6" t="str">
        <f>IF(B2821="","",[1]!s_dq_close(股指期货基差分析!$E$5,$B2821))</f>
        <v/>
      </c>
      <c r="D2821" s="6" t="str">
        <f>IF(B2821="","",[1]!s_dq_close(股指期货基差分析!$E$6,$B2821))</f>
        <v/>
      </c>
      <c r="E2821" s="6" t="e">
        <f ca="1">RANK(F2821,F:F)+COUNTIF(F$2:F2821,F2821)-1</f>
        <v>#VALUE!</v>
      </c>
      <c r="F2821" s="6" t="str">
        <f t="shared" si="45"/>
        <v/>
      </c>
      <c r="G2821" s="6" t="str">
        <f>IF(B2821="","",股指期货基差分析!$N$11)</f>
        <v/>
      </c>
      <c r="H2821" s="6" t="str">
        <f>IF(B2821="","",股指期货基差分析!$L$11)</f>
        <v/>
      </c>
      <c r="I2821" s="10" t="str">
        <f>IF(B2821="","",股指期货基差分析!$D$11)</f>
        <v/>
      </c>
    </row>
    <row r="2822" spans="2:9" ht="15" customHeight="1" x14ac:dyDescent="0.2">
      <c r="B2822" s="7"/>
      <c r="C2822" s="5" t="str">
        <f>IF(B2822="","",[1]!s_dq_close(股指期货基差分析!$E$5,$B2822))</f>
        <v/>
      </c>
      <c r="D2822" s="5" t="str">
        <f>IF(B2822="","",[1]!s_dq_close(股指期货基差分析!$E$6,$B2822))</f>
        <v/>
      </c>
      <c r="E2822" s="5" t="e">
        <f ca="1">RANK(F2822,F:F)+COUNTIF(F$2:F2822,F2822)-1</f>
        <v>#VALUE!</v>
      </c>
      <c r="F2822" s="5" t="str">
        <f t="shared" si="45"/>
        <v/>
      </c>
      <c r="G2822" s="5" t="str">
        <f>IF(B2822="","",股指期货基差分析!$N$11)</f>
        <v/>
      </c>
      <c r="H2822" s="5" t="str">
        <f>IF(B2822="","",股指期货基差分析!$L$11)</f>
        <v/>
      </c>
      <c r="I2822" s="9" t="str">
        <f>IF(B2822="","",股指期货基差分析!$D$11)</f>
        <v/>
      </c>
    </row>
    <row r="2823" spans="2:9" ht="15" customHeight="1" x14ac:dyDescent="0.2">
      <c r="B2823" s="8"/>
      <c r="C2823" s="6" t="str">
        <f>IF(B2823="","",[1]!s_dq_close(股指期货基差分析!$E$5,$B2823))</f>
        <v/>
      </c>
      <c r="D2823" s="6" t="str">
        <f>IF(B2823="","",[1]!s_dq_close(股指期货基差分析!$E$6,$B2823))</f>
        <v/>
      </c>
      <c r="E2823" s="6" t="e">
        <f ca="1">RANK(F2823,F:F)+COUNTIF(F$2:F2823,F2823)-1</f>
        <v>#VALUE!</v>
      </c>
      <c r="F2823" s="6" t="str">
        <f t="shared" si="45"/>
        <v/>
      </c>
      <c r="G2823" s="6" t="str">
        <f>IF(B2823="","",股指期货基差分析!$N$11)</f>
        <v/>
      </c>
      <c r="H2823" s="6" t="str">
        <f>IF(B2823="","",股指期货基差分析!$L$11)</f>
        <v/>
      </c>
      <c r="I2823" s="10" t="str">
        <f>IF(B2823="","",股指期货基差分析!$D$11)</f>
        <v/>
      </c>
    </row>
    <row r="2824" spans="2:9" ht="15" customHeight="1" x14ac:dyDescent="0.2">
      <c r="B2824" s="7"/>
      <c r="C2824" s="5" t="str">
        <f>IF(B2824="","",[1]!s_dq_close(股指期货基差分析!$E$5,$B2824))</f>
        <v/>
      </c>
      <c r="D2824" s="5" t="str">
        <f>IF(B2824="","",[1]!s_dq_close(股指期货基差分析!$E$6,$B2824))</f>
        <v/>
      </c>
      <c r="E2824" s="5" t="e">
        <f ca="1">RANK(F2824,F:F)+COUNTIF(F$2:F2824,F2824)-1</f>
        <v>#VALUE!</v>
      </c>
      <c r="F2824" s="5" t="str">
        <f t="shared" si="45"/>
        <v/>
      </c>
      <c r="G2824" s="5" t="str">
        <f>IF(B2824="","",股指期货基差分析!$N$11)</f>
        <v/>
      </c>
      <c r="H2824" s="5" t="str">
        <f>IF(B2824="","",股指期货基差分析!$L$11)</f>
        <v/>
      </c>
      <c r="I2824" s="9" t="str">
        <f>IF(B2824="","",股指期货基差分析!$D$11)</f>
        <v/>
      </c>
    </row>
    <row r="2825" spans="2:9" ht="15" customHeight="1" x14ac:dyDescent="0.2">
      <c r="B2825" s="8"/>
      <c r="C2825" s="6" t="str">
        <f>IF(B2825="","",[1]!s_dq_close(股指期货基差分析!$E$5,$B2825))</f>
        <v/>
      </c>
      <c r="D2825" s="6" t="str">
        <f>IF(B2825="","",[1]!s_dq_close(股指期货基差分析!$E$6,$B2825))</f>
        <v/>
      </c>
      <c r="E2825" s="6" t="e">
        <f ca="1">RANK(F2825,F:F)+COUNTIF(F$2:F2825,F2825)-1</f>
        <v>#VALUE!</v>
      </c>
      <c r="F2825" s="6" t="str">
        <f t="shared" si="45"/>
        <v/>
      </c>
      <c r="G2825" s="6" t="str">
        <f>IF(B2825="","",股指期货基差分析!$N$11)</f>
        <v/>
      </c>
      <c r="H2825" s="6" t="str">
        <f>IF(B2825="","",股指期货基差分析!$L$11)</f>
        <v/>
      </c>
      <c r="I2825" s="10" t="str">
        <f>IF(B2825="","",股指期货基差分析!$D$11)</f>
        <v/>
      </c>
    </row>
    <row r="2826" spans="2:9" ht="15" customHeight="1" x14ac:dyDescent="0.2">
      <c r="B2826" s="7"/>
      <c r="C2826" s="5" t="str">
        <f>IF(B2826="","",[1]!s_dq_close(股指期货基差分析!$E$5,$B2826))</f>
        <v/>
      </c>
      <c r="D2826" s="5" t="str">
        <f>IF(B2826="","",[1]!s_dq_close(股指期货基差分析!$E$6,$B2826))</f>
        <v/>
      </c>
      <c r="E2826" s="5" t="e">
        <f ca="1">RANK(F2826,F:F)+COUNTIF(F$2:F2826,F2826)-1</f>
        <v>#VALUE!</v>
      </c>
      <c r="F2826" s="5" t="str">
        <f t="shared" si="45"/>
        <v/>
      </c>
      <c r="G2826" s="5" t="str">
        <f>IF(B2826="","",股指期货基差分析!$N$11)</f>
        <v/>
      </c>
      <c r="H2826" s="5" t="str">
        <f>IF(B2826="","",股指期货基差分析!$L$11)</f>
        <v/>
      </c>
      <c r="I2826" s="9" t="str">
        <f>IF(B2826="","",股指期货基差分析!$D$11)</f>
        <v/>
      </c>
    </row>
    <row r="2827" spans="2:9" ht="15" customHeight="1" x14ac:dyDescent="0.2">
      <c r="B2827" s="8"/>
      <c r="C2827" s="6" t="str">
        <f>IF(B2827="","",[1]!s_dq_close(股指期货基差分析!$E$5,$B2827))</f>
        <v/>
      </c>
      <c r="D2827" s="6" t="str">
        <f>IF(B2827="","",[1]!s_dq_close(股指期货基差分析!$E$6,$B2827))</f>
        <v/>
      </c>
      <c r="E2827" s="6" t="e">
        <f ca="1">RANK(F2827,F:F)+COUNTIF(F$2:F2827,F2827)-1</f>
        <v>#VALUE!</v>
      </c>
      <c r="F2827" s="6" t="str">
        <f t="shared" si="45"/>
        <v/>
      </c>
      <c r="G2827" s="6" t="str">
        <f>IF(B2827="","",股指期货基差分析!$N$11)</f>
        <v/>
      </c>
      <c r="H2827" s="6" t="str">
        <f>IF(B2827="","",股指期货基差分析!$L$11)</f>
        <v/>
      </c>
      <c r="I2827" s="10" t="str">
        <f>IF(B2827="","",股指期货基差分析!$D$11)</f>
        <v/>
      </c>
    </row>
    <row r="2828" spans="2:9" ht="15" customHeight="1" x14ac:dyDescent="0.2">
      <c r="B2828" s="7"/>
      <c r="C2828" s="5" t="str">
        <f>IF(B2828="","",[1]!s_dq_close(股指期货基差分析!$E$5,$B2828))</f>
        <v/>
      </c>
      <c r="D2828" s="5" t="str">
        <f>IF(B2828="","",[1]!s_dq_close(股指期货基差分析!$E$6,$B2828))</f>
        <v/>
      </c>
      <c r="E2828" s="5" t="e">
        <f ca="1">RANK(F2828,F:F)+COUNTIF(F$2:F2828,F2828)-1</f>
        <v>#VALUE!</v>
      </c>
      <c r="F2828" s="5" t="str">
        <f t="shared" si="45"/>
        <v/>
      </c>
      <c r="G2828" s="5" t="str">
        <f>IF(B2828="","",股指期货基差分析!$N$11)</f>
        <v/>
      </c>
      <c r="H2828" s="5" t="str">
        <f>IF(B2828="","",股指期货基差分析!$L$11)</f>
        <v/>
      </c>
      <c r="I2828" s="9" t="str">
        <f>IF(B2828="","",股指期货基差分析!$D$11)</f>
        <v/>
      </c>
    </row>
    <row r="2829" spans="2:9" ht="15" customHeight="1" x14ac:dyDescent="0.2">
      <c r="B2829" s="8"/>
      <c r="C2829" s="6" t="str">
        <f>IF(B2829="","",[1]!s_dq_close(股指期货基差分析!$E$5,$B2829))</f>
        <v/>
      </c>
      <c r="D2829" s="6" t="str">
        <f>IF(B2829="","",[1]!s_dq_close(股指期货基差分析!$E$6,$B2829))</f>
        <v/>
      </c>
      <c r="E2829" s="6" t="e">
        <f ca="1">RANK(F2829,F:F)+COUNTIF(F$2:F2829,F2829)-1</f>
        <v>#VALUE!</v>
      </c>
      <c r="F2829" s="6" t="str">
        <f t="shared" si="45"/>
        <v/>
      </c>
      <c r="G2829" s="6" t="str">
        <f>IF(B2829="","",股指期货基差分析!$N$11)</f>
        <v/>
      </c>
      <c r="H2829" s="6" t="str">
        <f>IF(B2829="","",股指期货基差分析!$L$11)</f>
        <v/>
      </c>
      <c r="I2829" s="10" t="str">
        <f>IF(B2829="","",股指期货基差分析!$D$11)</f>
        <v/>
      </c>
    </row>
    <row r="2830" spans="2:9" ht="15" customHeight="1" x14ac:dyDescent="0.2">
      <c r="B2830" s="7"/>
      <c r="C2830" s="5" t="str">
        <f>IF(B2830="","",[1]!s_dq_close(股指期货基差分析!$E$5,$B2830))</f>
        <v/>
      </c>
      <c r="D2830" s="5" t="str">
        <f>IF(B2830="","",[1]!s_dq_close(股指期货基差分析!$E$6,$B2830))</f>
        <v/>
      </c>
      <c r="E2830" s="5" t="e">
        <f ca="1">RANK(F2830,F:F)+COUNTIF(F$2:F2830,F2830)-1</f>
        <v>#VALUE!</v>
      </c>
      <c r="F2830" s="5" t="str">
        <f t="shared" si="45"/>
        <v/>
      </c>
      <c r="G2830" s="5" t="str">
        <f>IF(B2830="","",股指期货基差分析!$N$11)</f>
        <v/>
      </c>
      <c r="H2830" s="5" t="str">
        <f>IF(B2830="","",股指期货基差分析!$L$11)</f>
        <v/>
      </c>
      <c r="I2830" s="9" t="str">
        <f>IF(B2830="","",股指期货基差分析!$D$11)</f>
        <v/>
      </c>
    </row>
    <row r="2831" spans="2:9" ht="15" customHeight="1" x14ac:dyDescent="0.2">
      <c r="B2831" s="8"/>
      <c r="C2831" s="6" t="str">
        <f>IF(B2831="","",[1]!s_dq_close(股指期货基差分析!$E$5,$B2831))</f>
        <v/>
      </c>
      <c r="D2831" s="6" t="str">
        <f>IF(B2831="","",[1]!s_dq_close(股指期货基差分析!$E$6,$B2831))</f>
        <v/>
      </c>
      <c r="E2831" s="6" t="e">
        <f ca="1">RANK(F2831,F:F)+COUNTIF(F$2:F2831,F2831)-1</f>
        <v>#VALUE!</v>
      </c>
      <c r="F2831" s="6" t="str">
        <f t="shared" si="45"/>
        <v/>
      </c>
      <c r="G2831" s="6" t="str">
        <f>IF(B2831="","",股指期货基差分析!$N$11)</f>
        <v/>
      </c>
      <c r="H2831" s="6" t="str">
        <f>IF(B2831="","",股指期货基差分析!$L$11)</f>
        <v/>
      </c>
      <c r="I2831" s="10" t="str">
        <f>IF(B2831="","",股指期货基差分析!$D$11)</f>
        <v/>
      </c>
    </row>
    <row r="2832" spans="2:9" ht="15" customHeight="1" x14ac:dyDescent="0.2">
      <c r="B2832" s="7"/>
      <c r="C2832" s="5" t="str">
        <f>IF(B2832="","",[1]!s_dq_close(股指期货基差分析!$E$5,$B2832))</f>
        <v/>
      </c>
      <c r="D2832" s="5" t="str">
        <f>IF(B2832="","",[1]!s_dq_close(股指期货基差分析!$E$6,$B2832))</f>
        <v/>
      </c>
      <c r="E2832" s="5" t="e">
        <f ca="1">RANK(F2832,F:F)+COUNTIF(F$2:F2832,F2832)-1</f>
        <v>#VALUE!</v>
      </c>
      <c r="F2832" s="5" t="str">
        <f t="shared" si="45"/>
        <v/>
      </c>
      <c r="G2832" s="5" t="str">
        <f>IF(B2832="","",股指期货基差分析!$N$11)</f>
        <v/>
      </c>
      <c r="H2832" s="5" t="str">
        <f>IF(B2832="","",股指期货基差分析!$L$11)</f>
        <v/>
      </c>
      <c r="I2832" s="9" t="str">
        <f>IF(B2832="","",股指期货基差分析!$D$11)</f>
        <v/>
      </c>
    </row>
    <row r="2833" spans="2:9" ht="15" customHeight="1" x14ac:dyDescent="0.2">
      <c r="B2833" s="8"/>
      <c r="C2833" s="6" t="str">
        <f>IF(B2833="","",[1]!s_dq_close(股指期货基差分析!$E$5,$B2833))</f>
        <v/>
      </c>
      <c r="D2833" s="6" t="str">
        <f>IF(B2833="","",[1]!s_dq_close(股指期货基差分析!$E$6,$B2833))</f>
        <v/>
      </c>
      <c r="E2833" s="6" t="e">
        <f ca="1">RANK(F2833,F:F)+COUNTIF(F$2:F2833,F2833)-1</f>
        <v>#VALUE!</v>
      </c>
      <c r="F2833" s="6" t="str">
        <f t="shared" si="45"/>
        <v/>
      </c>
      <c r="G2833" s="6" t="str">
        <f>IF(B2833="","",股指期货基差分析!$N$11)</f>
        <v/>
      </c>
      <c r="H2833" s="6" t="str">
        <f>IF(B2833="","",股指期货基差分析!$L$11)</f>
        <v/>
      </c>
      <c r="I2833" s="10" t="str">
        <f>IF(B2833="","",股指期货基差分析!$D$11)</f>
        <v/>
      </c>
    </row>
    <row r="2834" spans="2:9" ht="15" customHeight="1" x14ac:dyDescent="0.2">
      <c r="B2834" s="7"/>
      <c r="C2834" s="5" t="str">
        <f>IF(B2834="","",[1]!s_dq_close(股指期货基差分析!$E$5,$B2834))</f>
        <v/>
      </c>
      <c r="D2834" s="5" t="str">
        <f>IF(B2834="","",[1]!s_dq_close(股指期货基差分析!$E$6,$B2834))</f>
        <v/>
      </c>
      <c r="E2834" s="5" t="e">
        <f ca="1">RANK(F2834,F:F)+COUNTIF(F$2:F2834,F2834)-1</f>
        <v>#VALUE!</v>
      </c>
      <c r="F2834" s="5" t="str">
        <f t="shared" si="45"/>
        <v/>
      </c>
      <c r="G2834" s="5" t="str">
        <f>IF(B2834="","",股指期货基差分析!$N$11)</f>
        <v/>
      </c>
      <c r="H2834" s="5" t="str">
        <f>IF(B2834="","",股指期货基差分析!$L$11)</f>
        <v/>
      </c>
      <c r="I2834" s="9" t="str">
        <f>IF(B2834="","",股指期货基差分析!$D$11)</f>
        <v/>
      </c>
    </row>
    <row r="2835" spans="2:9" ht="15" customHeight="1" x14ac:dyDescent="0.2">
      <c r="B2835" s="8"/>
      <c r="C2835" s="6" t="str">
        <f>IF(B2835="","",[1]!s_dq_close(股指期货基差分析!$E$5,$B2835))</f>
        <v/>
      </c>
      <c r="D2835" s="6" t="str">
        <f>IF(B2835="","",[1]!s_dq_close(股指期货基差分析!$E$6,$B2835))</f>
        <v/>
      </c>
      <c r="E2835" s="6" t="e">
        <f ca="1">RANK(F2835,F:F)+COUNTIF(F$2:F2835,F2835)-1</f>
        <v>#VALUE!</v>
      </c>
      <c r="F2835" s="6" t="str">
        <f t="shared" si="45"/>
        <v/>
      </c>
      <c r="G2835" s="6" t="str">
        <f>IF(B2835="","",股指期货基差分析!$N$11)</f>
        <v/>
      </c>
      <c r="H2835" s="6" t="str">
        <f>IF(B2835="","",股指期货基差分析!$L$11)</f>
        <v/>
      </c>
      <c r="I2835" s="10" t="str">
        <f>IF(B2835="","",股指期货基差分析!$D$11)</f>
        <v/>
      </c>
    </row>
    <row r="2836" spans="2:9" ht="15" customHeight="1" x14ac:dyDescent="0.2">
      <c r="B2836" s="7"/>
      <c r="C2836" s="5" t="str">
        <f>IF(B2836="","",[1]!s_dq_close(股指期货基差分析!$E$5,$B2836))</f>
        <v/>
      </c>
      <c r="D2836" s="5" t="str">
        <f>IF(B2836="","",[1]!s_dq_close(股指期货基差分析!$E$6,$B2836))</f>
        <v/>
      </c>
      <c r="E2836" s="5" t="e">
        <f ca="1">RANK(F2836,F:F)+COUNTIF(F$2:F2836,F2836)-1</f>
        <v>#VALUE!</v>
      </c>
      <c r="F2836" s="5" t="str">
        <f t="shared" si="45"/>
        <v/>
      </c>
      <c r="G2836" s="5" t="str">
        <f>IF(B2836="","",股指期货基差分析!$N$11)</f>
        <v/>
      </c>
      <c r="H2836" s="5" t="str">
        <f>IF(B2836="","",股指期货基差分析!$L$11)</f>
        <v/>
      </c>
      <c r="I2836" s="9" t="str">
        <f>IF(B2836="","",股指期货基差分析!$D$11)</f>
        <v/>
      </c>
    </row>
    <row r="2837" spans="2:9" ht="15" customHeight="1" x14ac:dyDescent="0.2">
      <c r="B2837" s="8"/>
      <c r="C2837" s="6" t="str">
        <f>IF(B2837="","",[1]!s_dq_close(股指期货基差分析!$E$5,$B2837))</f>
        <v/>
      </c>
      <c r="D2837" s="6" t="str">
        <f>IF(B2837="","",[1]!s_dq_close(股指期货基差分析!$E$6,$B2837))</f>
        <v/>
      </c>
      <c r="E2837" s="6" t="e">
        <f ca="1">RANK(F2837,F:F)+COUNTIF(F$2:F2837,F2837)-1</f>
        <v>#VALUE!</v>
      </c>
      <c r="F2837" s="6" t="str">
        <f t="shared" si="45"/>
        <v/>
      </c>
      <c r="G2837" s="6" t="str">
        <f>IF(B2837="","",股指期货基差分析!$N$11)</f>
        <v/>
      </c>
      <c r="H2837" s="6" t="str">
        <f>IF(B2837="","",股指期货基差分析!$L$11)</f>
        <v/>
      </c>
      <c r="I2837" s="10" t="str">
        <f>IF(B2837="","",股指期货基差分析!$D$11)</f>
        <v/>
      </c>
    </row>
    <row r="2838" spans="2:9" ht="15" customHeight="1" x14ac:dyDescent="0.2">
      <c r="B2838" s="7"/>
      <c r="C2838" s="5" t="str">
        <f>IF(B2838="","",[1]!s_dq_close(股指期货基差分析!$E$5,$B2838))</f>
        <v/>
      </c>
      <c r="D2838" s="5" t="str">
        <f>IF(B2838="","",[1]!s_dq_close(股指期货基差分析!$E$6,$B2838))</f>
        <v/>
      </c>
      <c r="E2838" s="5" t="e">
        <f ca="1">RANK(F2838,F:F)+COUNTIF(F$2:F2838,F2838)-1</f>
        <v>#VALUE!</v>
      </c>
      <c r="F2838" s="5" t="str">
        <f t="shared" si="45"/>
        <v/>
      </c>
      <c r="G2838" s="5" t="str">
        <f>IF(B2838="","",股指期货基差分析!$N$11)</f>
        <v/>
      </c>
      <c r="H2838" s="5" t="str">
        <f>IF(B2838="","",股指期货基差分析!$L$11)</f>
        <v/>
      </c>
      <c r="I2838" s="9" t="str">
        <f>IF(B2838="","",股指期货基差分析!$D$11)</f>
        <v/>
      </c>
    </row>
    <row r="2839" spans="2:9" ht="15" customHeight="1" x14ac:dyDescent="0.2">
      <c r="B2839" s="8"/>
      <c r="C2839" s="6" t="str">
        <f>IF(B2839="","",[1]!s_dq_close(股指期货基差分析!$E$5,$B2839))</f>
        <v/>
      </c>
      <c r="D2839" s="6" t="str">
        <f>IF(B2839="","",[1]!s_dq_close(股指期货基差分析!$E$6,$B2839))</f>
        <v/>
      </c>
      <c r="E2839" s="6" t="e">
        <f ca="1">RANK(F2839,F:F)+COUNTIF(F$2:F2839,F2839)-1</f>
        <v>#VALUE!</v>
      </c>
      <c r="F2839" s="6" t="str">
        <f t="shared" si="45"/>
        <v/>
      </c>
      <c r="G2839" s="6" t="str">
        <f>IF(B2839="","",股指期货基差分析!$N$11)</f>
        <v/>
      </c>
      <c r="H2839" s="6" t="str">
        <f>IF(B2839="","",股指期货基差分析!$L$11)</f>
        <v/>
      </c>
      <c r="I2839" s="10" t="str">
        <f>IF(B2839="","",股指期货基差分析!$D$11)</f>
        <v/>
      </c>
    </row>
    <row r="2840" spans="2:9" ht="15" customHeight="1" x14ac:dyDescent="0.2">
      <c r="B2840" s="7"/>
      <c r="C2840" s="5" t="str">
        <f>IF(B2840="","",[1]!s_dq_close(股指期货基差分析!$E$5,$B2840))</f>
        <v/>
      </c>
      <c r="D2840" s="5" t="str">
        <f>IF(B2840="","",[1]!s_dq_close(股指期货基差分析!$E$6,$B2840))</f>
        <v/>
      </c>
      <c r="E2840" s="5" t="e">
        <f ca="1">RANK(F2840,F:F)+COUNTIF(F$2:F2840,F2840)-1</f>
        <v>#VALUE!</v>
      </c>
      <c r="F2840" s="5" t="str">
        <f t="shared" si="45"/>
        <v/>
      </c>
      <c r="G2840" s="5" t="str">
        <f>IF(B2840="","",股指期货基差分析!$N$11)</f>
        <v/>
      </c>
      <c r="H2840" s="5" t="str">
        <f>IF(B2840="","",股指期货基差分析!$L$11)</f>
        <v/>
      </c>
      <c r="I2840" s="9" t="str">
        <f>IF(B2840="","",股指期货基差分析!$D$11)</f>
        <v/>
      </c>
    </row>
    <row r="2841" spans="2:9" ht="15" customHeight="1" x14ac:dyDescent="0.2">
      <c r="B2841" s="8"/>
      <c r="C2841" s="6" t="str">
        <f>IF(B2841="","",[1]!s_dq_close(股指期货基差分析!$E$5,$B2841))</f>
        <v/>
      </c>
      <c r="D2841" s="6" t="str">
        <f>IF(B2841="","",[1]!s_dq_close(股指期货基差分析!$E$6,$B2841))</f>
        <v/>
      </c>
      <c r="E2841" s="6" t="e">
        <f ca="1">RANK(F2841,F:F)+COUNTIF(F$2:F2841,F2841)-1</f>
        <v>#VALUE!</v>
      </c>
      <c r="F2841" s="6" t="str">
        <f t="shared" si="45"/>
        <v/>
      </c>
      <c r="G2841" s="6" t="str">
        <f>IF(B2841="","",股指期货基差分析!$N$11)</f>
        <v/>
      </c>
      <c r="H2841" s="6" t="str">
        <f>IF(B2841="","",股指期货基差分析!$L$11)</f>
        <v/>
      </c>
      <c r="I2841" s="10" t="str">
        <f>IF(B2841="","",股指期货基差分析!$D$11)</f>
        <v/>
      </c>
    </row>
    <row r="2842" spans="2:9" ht="15" customHeight="1" x14ac:dyDescent="0.2">
      <c r="B2842" s="7"/>
      <c r="C2842" s="5" t="str">
        <f>IF(B2842="","",[1]!s_dq_close(股指期货基差分析!$E$5,$B2842))</f>
        <v/>
      </c>
      <c r="D2842" s="5" t="str">
        <f>IF(B2842="","",[1]!s_dq_close(股指期货基差分析!$E$6,$B2842))</f>
        <v/>
      </c>
      <c r="E2842" s="5" t="e">
        <f ca="1">RANK(F2842,F:F)+COUNTIF(F$2:F2842,F2842)-1</f>
        <v>#VALUE!</v>
      </c>
      <c r="F2842" s="5" t="str">
        <f t="shared" si="45"/>
        <v/>
      </c>
      <c r="G2842" s="5" t="str">
        <f>IF(B2842="","",股指期货基差分析!$N$11)</f>
        <v/>
      </c>
      <c r="H2842" s="5" t="str">
        <f>IF(B2842="","",股指期货基差分析!$L$11)</f>
        <v/>
      </c>
      <c r="I2842" s="9" t="str">
        <f>IF(B2842="","",股指期货基差分析!$D$11)</f>
        <v/>
      </c>
    </row>
    <row r="2843" spans="2:9" ht="15" customHeight="1" x14ac:dyDescent="0.2">
      <c r="B2843" s="8"/>
      <c r="C2843" s="6" t="str">
        <f>IF(B2843="","",[1]!s_dq_close(股指期货基差分析!$E$5,$B2843))</f>
        <v/>
      </c>
      <c r="D2843" s="6" t="str">
        <f>IF(B2843="","",[1]!s_dq_close(股指期货基差分析!$E$6,$B2843))</f>
        <v/>
      </c>
      <c r="E2843" s="6" t="e">
        <f ca="1">RANK(F2843,F:F)+COUNTIF(F$2:F2843,F2843)-1</f>
        <v>#VALUE!</v>
      </c>
      <c r="F2843" s="6" t="str">
        <f t="shared" si="45"/>
        <v/>
      </c>
      <c r="G2843" s="6" t="str">
        <f>IF(B2843="","",股指期货基差分析!$N$11)</f>
        <v/>
      </c>
      <c r="H2843" s="6" t="str">
        <f>IF(B2843="","",股指期货基差分析!$L$11)</f>
        <v/>
      </c>
      <c r="I2843" s="10" t="str">
        <f>IF(B2843="","",股指期货基差分析!$D$11)</f>
        <v/>
      </c>
    </row>
    <row r="2844" spans="2:9" ht="15" customHeight="1" x14ac:dyDescent="0.2">
      <c r="B2844" s="7"/>
      <c r="C2844" s="5" t="str">
        <f>IF(B2844="","",[1]!s_dq_close(股指期货基差分析!$E$5,$B2844))</f>
        <v/>
      </c>
      <c r="D2844" s="5" t="str">
        <f>IF(B2844="","",[1]!s_dq_close(股指期货基差分析!$E$6,$B2844))</f>
        <v/>
      </c>
      <c r="E2844" s="5" t="e">
        <f ca="1">RANK(F2844,F:F)+COUNTIF(F$2:F2844,F2844)-1</f>
        <v>#VALUE!</v>
      </c>
      <c r="F2844" s="5" t="str">
        <f t="shared" si="45"/>
        <v/>
      </c>
      <c r="G2844" s="5" t="str">
        <f>IF(B2844="","",股指期货基差分析!$N$11)</f>
        <v/>
      </c>
      <c r="H2844" s="5" t="str">
        <f>IF(B2844="","",股指期货基差分析!$L$11)</f>
        <v/>
      </c>
      <c r="I2844" s="9" t="str">
        <f>IF(B2844="","",股指期货基差分析!$D$11)</f>
        <v/>
      </c>
    </row>
    <row r="2845" spans="2:9" ht="15" customHeight="1" x14ac:dyDescent="0.2">
      <c r="B2845" s="8"/>
      <c r="C2845" s="6" t="str">
        <f>IF(B2845="","",[1]!s_dq_close(股指期货基差分析!$E$5,$B2845))</f>
        <v/>
      </c>
      <c r="D2845" s="6" t="str">
        <f>IF(B2845="","",[1]!s_dq_close(股指期货基差分析!$E$6,$B2845))</f>
        <v/>
      </c>
      <c r="E2845" s="6" t="e">
        <f ca="1">RANK(F2845,F:F)+COUNTIF(F$2:F2845,F2845)-1</f>
        <v>#VALUE!</v>
      </c>
      <c r="F2845" s="6" t="str">
        <f t="shared" si="45"/>
        <v/>
      </c>
      <c r="G2845" s="6" t="str">
        <f>IF(B2845="","",股指期货基差分析!$N$11)</f>
        <v/>
      </c>
      <c r="H2845" s="6" t="str">
        <f>IF(B2845="","",股指期货基差分析!$L$11)</f>
        <v/>
      </c>
      <c r="I2845" s="10" t="str">
        <f>IF(B2845="","",股指期货基差分析!$D$11)</f>
        <v/>
      </c>
    </row>
    <row r="2846" spans="2:9" ht="15" customHeight="1" x14ac:dyDescent="0.2">
      <c r="B2846" s="7"/>
      <c r="C2846" s="5" t="str">
        <f>IF(B2846="","",[1]!s_dq_close(股指期货基差分析!$E$5,$B2846))</f>
        <v/>
      </c>
      <c r="D2846" s="5" t="str">
        <f>IF(B2846="","",[1]!s_dq_close(股指期货基差分析!$E$6,$B2846))</f>
        <v/>
      </c>
      <c r="E2846" s="5" t="e">
        <f ca="1">RANK(F2846,F:F)+COUNTIF(F$2:F2846,F2846)-1</f>
        <v>#VALUE!</v>
      </c>
      <c r="F2846" s="5" t="str">
        <f t="shared" si="45"/>
        <v/>
      </c>
      <c r="G2846" s="5" t="str">
        <f>IF(B2846="","",股指期货基差分析!$N$11)</f>
        <v/>
      </c>
      <c r="H2846" s="5" t="str">
        <f>IF(B2846="","",股指期货基差分析!$L$11)</f>
        <v/>
      </c>
      <c r="I2846" s="9" t="str">
        <f>IF(B2846="","",股指期货基差分析!$D$11)</f>
        <v/>
      </c>
    </row>
    <row r="2847" spans="2:9" ht="15" customHeight="1" x14ac:dyDescent="0.2">
      <c r="B2847" s="8"/>
      <c r="C2847" s="6" t="str">
        <f>IF(B2847="","",[1]!s_dq_close(股指期货基差分析!$E$5,$B2847))</f>
        <v/>
      </c>
      <c r="D2847" s="6" t="str">
        <f>IF(B2847="","",[1]!s_dq_close(股指期货基差分析!$E$6,$B2847))</f>
        <v/>
      </c>
      <c r="E2847" s="6" t="e">
        <f ca="1">RANK(F2847,F:F)+COUNTIF(F$2:F2847,F2847)-1</f>
        <v>#VALUE!</v>
      </c>
      <c r="F2847" s="6" t="str">
        <f t="shared" si="45"/>
        <v/>
      </c>
      <c r="G2847" s="6" t="str">
        <f>IF(B2847="","",股指期货基差分析!$N$11)</f>
        <v/>
      </c>
      <c r="H2847" s="6" t="str">
        <f>IF(B2847="","",股指期货基差分析!$L$11)</f>
        <v/>
      </c>
      <c r="I2847" s="10" t="str">
        <f>IF(B2847="","",股指期货基差分析!$D$11)</f>
        <v/>
      </c>
    </row>
    <row r="2848" spans="2:9" ht="15" customHeight="1" x14ac:dyDescent="0.2">
      <c r="B2848" s="7"/>
      <c r="C2848" s="5" t="str">
        <f>IF(B2848="","",[1]!s_dq_close(股指期货基差分析!$E$5,$B2848))</f>
        <v/>
      </c>
      <c r="D2848" s="5" t="str">
        <f>IF(B2848="","",[1]!s_dq_close(股指期货基差分析!$E$6,$B2848))</f>
        <v/>
      </c>
      <c r="E2848" s="5" t="e">
        <f ca="1">RANK(F2848,F:F)+COUNTIF(F$2:F2848,F2848)-1</f>
        <v>#VALUE!</v>
      </c>
      <c r="F2848" s="5" t="str">
        <f t="shared" si="45"/>
        <v/>
      </c>
      <c r="G2848" s="5" t="str">
        <f>IF(B2848="","",股指期货基差分析!$N$11)</f>
        <v/>
      </c>
      <c r="H2848" s="5" t="str">
        <f>IF(B2848="","",股指期货基差分析!$L$11)</f>
        <v/>
      </c>
      <c r="I2848" s="9" t="str">
        <f>IF(B2848="","",股指期货基差分析!$D$11)</f>
        <v/>
      </c>
    </row>
    <row r="2849" spans="2:9" ht="15" customHeight="1" x14ac:dyDescent="0.2">
      <c r="B2849" s="8"/>
      <c r="C2849" s="6" t="str">
        <f>IF(B2849="","",[1]!s_dq_close(股指期货基差分析!$E$5,$B2849))</f>
        <v/>
      </c>
      <c r="D2849" s="6" t="str">
        <f>IF(B2849="","",[1]!s_dq_close(股指期货基差分析!$E$6,$B2849))</f>
        <v/>
      </c>
      <c r="E2849" s="6" t="e">
        <f ca="1">RANK(F2849,F:F)+COUNTIF(F$2:F2849,F2849)-1</f>
        <v>#VALUE!</v>
      </c>
      <c r="F2849" s="6" t="str">
        <f t="shared" si="45"/>
        <v/>
      </c>
      <c r="G2849" s="6" t="str">
        <f>IF(B2849="","",股指期货基差分析!$N$11)</f>
        <v/>
      </c>
      <c r="H2849" s="6" t="str">
        <f>IF(B2849="","",股指期货基差分析!$L$11)</f>
        <v/>
      </c>
      <c r="I2849" s="10" t="str">
        <f>IF(B2849="","",股指期货基差分析!$D$11)</f>
        <v/>
      </c>
    </row>
    <row r="2850" spans="2:9" ht="15" customHeight="1" x14ac:dyDescent="0.2">
      <c r="B2850" s="7"/>
      <c r="C2850" s="5" t="str">
        <f>IF(B2850="","",[1]!s_dq_close(股指期货基差分析!$E$5,$B2850))</f>
        <v/>
      </c>
      <c r="D2850" s="5" t="str">
        <f>IF(B2850="","",[1]!s_dq_close(股指期货基差分析!$E$6,$B2850))</f>
        <v/>
      </c>
      <c r="E2850" s="5" t="e">
        <f ca="1">RANK(F2850,F:F)+COUNTIF(F$2:F2850,F2850)-1</f>
        <v>#VALUE!</v>
      </c>
      <c r="F2850" s="5" t="str">
        <f t="shared" si="45"/>
        <v/>
      </c>
      <c r="G2850" s="5" t="str">
        <f>IF(B2850="","",股指期货基差分析!$N$11)</f>
        <v/>
      </c>
      <c r="H2850" s="5" t="str">
        <f>IF(B2850="","",股指期货基差分析!$L$11)</f>
        <v/>
      </c>
      <c r="I2850" s="9" t="str">
        <f>IF(B2850="","",股指期货基差分析!$D$11)</f>
        <v/>
      </c>
    </row>
    <row r="2851" spans="2:9" ht="15" customHeight="1" x14ac:dyDescent="0.2">
      <c r="B2851" s="8"/>
      <c r="C2851" s="6" t="str">
        <f>IF(B2851="","",[1]!s_dq_close(股指期货基差分析!$E$5,$B2851))</f>
        <v/>
      </c>
      <c r="D2851" s="6" t="str">
        <f>IF(B2851="","",[1]!s_dq_close(股指期货基差分析!$E$6,$B2851))</f>
        <v/>
      </c>
      <c r="E2851" s="6" t="e">
        <f ca="1">RANK(F2851,F:F)+COUNTIF(F$2:F2851,F2851)-1</f>
        <v>#VALUE!</v>
      </c>
      <c r="F2851" s="6" t="str">
        <f t="shared" si="45"/>
        <v/>
      </c>
      <c r="G2851" s="6" t="str">
        <f>IF(B2851="","",股指期货基差分析!$N$11)</f>
        <v/>
      </c>
      <c r="H2851" s="6" t="str">
        <f>IF(B2851="","",股指期货基差分析!$L$11)</f>
        <v/>
      </c>
      <c r="I2851" s="10" t="str">
        <f>IF(B2851="","",股指期货基差分析!$D$11)</f>
        <v/>
      </c>
    </row>
    <row r="2852" spans="2:9" ht="15" customHeight="1" x14ac:dyDescent="0.2">
      <c r="B2852" s="7"/>
      <c r="C2852" s="5" t="str">
        <f>IF(B2852="","",[1]!s_dq_close(股指期货基差分析!$E$5,$B2852))</f>
        <v/>
      </c>
      <c r="D2852" s="5" t="str">
        <f>IF(B2852="","",[1]!s_dq_close(股指期货基差分析!$E$6,$B2852))</f>
        <v/>
      </c>
      <c r="E2852" s="5" t="e">
        <f ca="1">RANK(F2852,F:F)+COUNTIF(F$2:F2852,F2852)-1</f>
        <v>#VALUE!</v>
      </c>
      <c r="F2852" s="5" t="str">
        <f t="shared" si="45"/>
        <v/>
      </c>
      <c r="G2852" s="5" t="str">
        <f>IF(B2852="","",股指期货基差分析!$N$11)</f>
        <v/>
      </c>
      <c r="H2852" s="5" t="str">
        <f>IF(B2852="","",股指期货基差分析!$L$11)</f>
        <v/>
      </c>
      <c r="I2852" s="9" t="str">
        <f>IF(B2852="","",股指期货基差分析!$D$11)</f>
        <v/>
      </c>
    </row>
    <row r="2853" spans="2:9" ht="15" customHeight="1" x14ac:dyDescent="0.2">
      <c r="B2853" s="8"/>
      <c r="C2853" s="6" t="str">
        <f>IF(B2853="","",[1]!s_dq_close(股指期货基差分析!$E$5,$B2853))</f>
        <v/>
      </c>
      <c r="D2853" s="6" t="str">
        <f>IF(B2853="","",[1]!s_dq_close(股指期货基差分析!$E$6,$B2853))</f>
        <v/>
      </c>
      <c r="E2853" s="6" t="e">
        <f ca="1">RANK(F2853,F:F)+COUNTIF(F$2:F2853,F2853)-1</f>
        <v>#VALUE!</v>
      </c>
      <c r="F2853" s="6" t="str">
        <f t="shared" si="45"/>
        <v/>
      </c>
      <c r="G2853" s="6" t="str">
        <f>IF(B2853="","",股指期货基差分析!$N$11)</f>
        <v/>
      </c>
      <c r="H2853" s="6" t="str">
        <f>IF(B2853="","",股指期货基差分析!$L$11)</f>
        <v/>
      </c>
      <c r="I2853" s="10" t="str">
        <f>IF(B2853="","",股指期货基差分析!$D$11)</f>
        <v/>
      </c>
    </row>
    <row r="2854" spans="2:9" ht="15" customHeight="1" x14ac:dyDescent="0.2">
      <c r="B2854" s="7"/>
      <c r="C2854" s="5" t="str">
        <f>IF(B2854="","",[1]!s_dq_close(股指期货基差分析!$E$5,$B2854))</f>
        <v/>
      </c>
      <c r="D2854" s="5" t="str">
        <f>IF(B2854="","",[1]!s_dq_close(股指期货基差分析!$E$6,$B2854))</f>
        <v/>
      </c>
      <c r="E2854" s="5" t="e">
        <f ca="1">RANK(F2854,F:F)+COUNTIF(F$2:F2854,F2854)-1</f>
        <v>#VALUE!</v>
      </c>
      <c r="F2854" s="5" t="str">
        <f t="shared" si="45"/>
        <v/>
      </c>
      <c r="G2854" s="5" t="str">
        <f>IF(B2854="","",股指期货基差分析!$N$11)</f>
        <v/>
      </c>
      <c r="H2854" s="5" t="str">
        <f>IF(B2854="","",股指期货基差分析!$L$11)</f>
        <v/>
      </c>
      <c r="I2854" s="9" t="str">
        <f>IF(B2854="","",股指期货基差分析!$D$11)</f>
        <v/>
      </c>
    </row>
    <row r="2855" spans="2:9" ht="15" customHeight="1" x14ac:dyDescent="0.2">
      <c r="B2855" s="8"/>
      <c r="C2855" s="6" t="str">
        <f>IF(B2855="","",[1]!s_dq_close(股指期货基差分析!$E$5,$B2855))</f>
        <v/>
      </c>
      <c r="D2855" s="6" t="str">
        <f>IF(B2855="","",[1]!s_dq_close(股指期货基差分析!$E$6,$B2855))</f>
        <v/>
      </c>
      <c r="E2855" s="6" t="e">
        <f ca="1">RANK(F2855,F:F)+COUNTIF(F$2:F2855,F2855)-1</f>
        <v>#VALUE!</v>
      </c>
      <c r="F2855" s="6" t="str">
        <f t="shared" si="45"/>
        <v/>
      </c>
      <c r="G2855" s="6" t="str">
        <f>IF(B2855="","",股指期货基差分析!$N$11)</f>
        <v/>
      </c>
      <c r="H2855" s="6" t="str">
        <f>IF(B2855="","",股指期货基差分析!$L$11)</f>
        <v/>
      </c>
      <c r="I2855" s="10" t="str">
        <f>IF(B2855="","",股指期货基差分析!$D$11)</f>
        <v/>
      </c>
    </row>
    <row r="2856" spans="2:9" ht="15" customHeight="1" x14ac:dyDescent="0.2">
      <c r="B2856" s="7"/>
      <c r="C2856" s="5" t="str">
        <f>IF(B2856="","",[1]!s_dq_close(股指期货基差分析!$E$5,$B2856))</f>
        <v/>
      </c>
      <c r="D2856" s="5" t="str">
        <f>IF(B2856="","",[1]!s_dq_close(股指期货基差分析!$E$6,$B2856))</f>
        <v/>
      </c>
      <c r="E2856" s="5" t="e">
        <f ca="1">RANK(F2856,F:F)+COUNTIF(F$2:F2856,F2856)-1</f>
        <v>#VALUE!</v>
      </c>
      <c r="F2856" s="5" t="str">
        <f t="shared" si="45"/>
        <v/>
      </c>
      <c r="G2856" s="5" t="str">
        <f>IF(B2856="","",股指期货基差分析!$N$11)</f>
        <v/>
      </c>
      <c r="H2856" s="5" t="str">
        <f>IF(B2856="","",股指期货基差分析!$L$11)</f>
        <v/>
      </c>
      <c r="I2856" s="9" t="str">
        <f>IF(B2856="","",股指期货基差分析!$D$11)</f>
        <v/>
      </c>
    </row>
    <row r="2857" spans="2:9" ht="15" customHeight="1" x14ac:dyDescent="0.2">
      <c r="B2857" s="8"/>
      <c r="C2857" s="6" t="str">
        <f>IF(B2857="","",[1]!s_dq_close(股指期货基差分析!$E$5,$B2857))</f>
        <v/>
      </c>
      <c r="D2857" s="6" t="str">
        <f>IF(B2857="","",[1]!s_dq_close(股指期货基差分析!$E$6,$B2857))</f>
        <v/>
      </c>
      <c r="E2857" s="6" t="e">
        <f ca="1">RANK(F2857,F:F)+COUNTIF(F$2:F2857,F2857)-1</f>
        <v>#VALUE!</v>
      </c>
      <c r="F2857" s="6" t="str">
        <f t="shared" si="45"/>
        <v/>
      </c>
      <c r="G2857" s="6" t="str">
        <f>IF(B2857="","",股指期货基差分析!$N$11)</f>
        <v/>
      </c>
      <c r="H2857" s="6" t="str">
        <f>IF(B2857="","",股指期货基差分析!$L$11)</f>
        <v/>
      </c>
      <c r="I2857" s="10" t="str">
        <f>IF(B2857="","",股指期货基差分析!$D$11)</f>
        <v/>
      </c>
    </row>
    <row r="2858" spans="2:9" ht="15" customHeight="1" x14ac:dyDescent="0.2">
      <c r="B2858" s="7"/>
      <c r="C2858" s="5" t="str">
        <f>IF(B2858="","",[1]!s_dq_close(股指期货基差分析!$E$5,$B2858))</f>
        <v/>
      </c>
      <c r="D2858" s="5" t="str">
        <f>IF(B2858="","",[1]!s_dq_close(股指期货基差分析!$E$6,$B2858))</f>
        <v/>
      </c>
      <c r="E2858" s="5" t="e">
        <f ca="1">RANK(F2858,F:F)+COUNTIF(F$2:F2858,F2858)-1</f>
        <v>#VALUE!</v>
      </c>
      <c r="F2858" s="5" t="str">
        <f t="shared" si="45"/>
        <v/>
      </c>
      <c r="G2858" s="5" t="str">
        <f>IF(B2858="","",股指期货基差分析!$N$11)</f>
        <v/>
      </c>
      <c r="H2858" s="5" t="str">
        <f>IF(B2858="","",股指期货基差分析!$L$11)</f>
        <v/>
      </c>
      <c r="I2858" s="9" t="str">
        <f>IF(B2858="","",股指期货基差分析!$D$11)</f>
        <v/>
      </c>
    </row>
    <row r="2859" spans="2:9" ht="15" customHeight="1" x14ac:dyDescent="0.2">
      <c r="B2859" s="8"/>
      <c r="C2859" s="6" t="str">
        <f>IF(B2859="","",[1]!s_dq_close(股指期货基差分析!$E$5,$B2859))</f>
        <v/>
      </c>
      <c r="D2859" s="6" t="str">
        <f>IF(B2859="","",[1]!s_dq_close(股指期货基差分析!$E$6,$B2859))</f>
        <v/>
      </c>
      <c r="E2859" s="6" t="e">
        <f ca="1">RANK(F2859,F:F)+COUNTIF(F$2:F2859,F2859)-1</f>
        <v>#VALUE!</v>
      </c>
      <c r="F2859" s="6" t="str">
        <f t="shared" si="45"/>
        <v/>
      </c>
      <c r="G2859" s="6" t="str">
        <f>IF(B2859="","",股指期货基差分析!$N$11)</f>
        <v/>
      </c>
      <c r="H2859" s="6" t="str">
        <f>IF(B2859="","",股指期货基差分析!$L$11)</f>
        <v/>
      </c>
      <c r="I2859" s="10" t="str">
        <f>IF(B2859="","",股指期货基差分析!$D$11)</f>
        <v/>
      </c>
    </row>
    <row r="2860" spans="2:9" ht="15" customHeight="1" x14ac:dyDescent="0.2">
      <c r="B2860" s="7"/>
      <c r="C2860" s="5" t="str">
        <f>IF(B2860="","",[1]!s_dq_close(股指期货基差分析!$E$5,$B2860))</f>
        <v/>
      </c>
      <c r="D2860" s="5" t="str">
        <f>IF(B2860="","",[1]!s_dq_close(股指期货基差分析!$E$6,$B2860))</f>
        <v/>
      </c>
      <c r="E2860" s="5" t="e">
        <f ca="1">RANK(F2860,F:F)+COUNTIF(F$2:F2860,F2860)-1</f>
        <v>#VALUE!</v>
      </c>
      <c r="F2860" s="5" t="str">
        <f t="shared" si="45"/>
        <v/>
      </c>
      <c r="G2860" s="5" t="str">
        <f>IF(B2860="","",股指期货基差分析!$N$11)</f>
        <v/>
      </c>
      <c r="H2860" s="5" t="str">
        <f>IF(B2860="","",股指期货基差分析!$L$11)</f>
        <v/>
      </c>
      <c r="I2860" s="9" t="str">
        <f>IF(B2860="","",股指期货基差分析!$D$11)</f>
        <v/>
      </c>
    </row>
    <row r="2861" spans="2:9" ht="15" customHeight="1" x14ac:dyDescent="0.2">
      <c r="B2861" s="8"/>
      <c r="C2861" s="6" t="str">
        <f>IF(B2861="","",[1]!s_dq_close(股指期货基差分析!$E$5,$B2861))</f>
        <v/>
      </c>
      <c r="D2861" s="6" t="str">
        <f>IF(B2861="","",[1]!s_dq_close(股指期货基差分析!$E$6,$B2861))</f>
        <v/>
      </c>
      <c r="E2861" s="6" t="e">
        <f ca="1">RANK(F2861,F:F)+COUNTIF(F$2:F2861,F2861)-1</f>
        <v>#VALUE!</v>
      </c>
      <c r="F2861" s="6" t="str">
        <f t="shared" si="45"/>
        <v/>
      </c>
      <c r="G2861" s="6" t="str">
        <f>IF(B2861="","",股指期货基差分析!$N$11)</f>
        <v/>
      </c>
      <c r="H2861" s="6" t="str">
        <f>IF(B2861="","",股指期货基差分析!$L$11)</f>
        <v/>
      </c>
      <c r="I2861" s="10" t="str">
        <f>IF(B2861="","",股指期货基差分析!$D$11)</f>
        <v/>
      </c>
    </row>
    <row r="2862" spans="2:9" ht="15" customHeight="1" x14ac:dyDescent="0.2">
      <c r="B2862" s="7"/>
      <c r="C2862" s="5" t="str">
        <f>IF(B2862="","",[1]!s_dq_close(股指期货基差分析!$E$5,$B2862))</f>
        <v/>
      </c>
      <c r="D2862" s="5" t="str">
        <f>IF(B2862="","",[1]!s_dq_close(股指期货基差分析!$E$6,$B2862))</f>
        <v/>
      </c>
      <c r="E2862" s="5" t="e">
        <f ca="1">RANK(F2862,F:F)+COUNTIF(F$2:F2862,F2862)-1</f>
        <v>#VALUE!</v>
      </c>
      <c r="F2862" s="5" t="str">
        <f t="shared" si="45"/>
        <v/>
      </c>
      <c r="G2862" s="5" t="str">
        <f>IF(B2862="","",股指期货基差分析!$N$11)</f>
        <v/>
      </c>
      <c r="H2862" s="5" t="str">
        <f>IF(B2862="","",股指期货基差分析!$L$11)</f>
        <v/>
      </c>
      <c r="I2862" s="9" t="str">
        <f>IF(B2862="","",股指期货基差分析!$D$11)</f>
        <v/>
      </c>
    </row>
    <row r="2863" spans="2:9" ht="15" customHeight="1" x14ac:dyDescent="0.2">
      <c r="B2863" s="8"/>
      <c r="C2863" s="6" t="str">
        <f>IF(B2863="","",[1]!s_dq_close(股指期货基差分析!$E$5,$B2863))</f>
        <v/>
      </c>
      <c r="D2863" s="6" t="str">
        <f>IF(B2863="","",[1]!s_dq_close(股指期货基差分析!$E$6,$B2863))</f>
        <v/>
      </c>
      <c r="E2863" s="6" t="e">
        <f ca="1">RANK(F2863,F:F)+COUNTIF(F$2:F2863,F2863)-1</f>
        <v>#VALUE!</v>
      </c>
      <c r="F2863" s="6" t="str">
        <f t="shared" si="45"/>
        <v/>
      </c>
      <c r="G2863" s="6" t="str">
        <f>IF(B2863="","",股指期货基差分析!$N$11)</f>
        <v/>
      </c>
      <c r="H2863" s="6" t="str">
        <f>IF(B2863="","",股指期货基差分析!$L$11)</f>
        <v/>
      </c>
      <c r="I2863" s="10" t="str">
        <f>IF(B2863="","",股指期货基差分析!$D$11)</f>
        <v/>
      </c>
    </row>
    <row r="2864" spans="2:9" ht="15" customHeight="1" x14ac:dyDescent="0.2">
      <c r="B2864" s="7"/>
      <c r="C2864" s="5" t="str">
        <f>IF(B2864="","",[1]!s_dq_close(股指期货基差分析!$E$5,$B2864))</f>
        <v/>
      </c>
      <c r="D2864" s="5" t="str">
        <f>IF(B2864="","",[1]!s_dq_close(股指期货基差分析!$E$6,$B2864))</f>
        <v/>
      </c>
      <c r="E2864" s="5" t="e">
        <f ca="1">RANK(F2864,F:F)+COUNTIF(F$2:F2864,F2864)-1</f>
        <v>#VALUE!</v>
      </c>
      <c r="F2864" s="5" t="str">
        <f t="shared" si="45"/>
        <v/>
      </c>
      <c r="G2864" s="5" t="str">
        <f>IF(B2864="","",股指期货基差分析!$N$11)</f>
        <v/>
      </c>
      <c r="H2864" s="5" t="str">
        <f>IF(B2864="","",股指期货基差分析!$L$11)</f>
        <v/>
      </c>
      <c r="I2864" s="9" t="str">
        <f>IF(B2864="","",股指期货基差分析!$D$11)</f>
        <v/>
      </c>
    </row>
    <row r="2865" spans="2:9" ht="15" customHeight="1" x14ac:dyDescent="0.2">
      <c r="B2865" s="8"/>
      <c r="C2865" s="6" t="str">
        <f>IF(B2865="","",[1]!s_dq_close(股指期货基差分析!$E$5,$B2865))</f>
        <v/>
      </c>
      <c r="D2865" s="6" t="str">
        <f>IF(B2865="","",[1]!s_dq_close(股指期货基差分析!$E$6,$B2865))</f>
        <v/>
      </c>
      <c r="E2865" s="6" t="e">
        <f ca="1">RANK(F2865,F:F)+COUNTIF(F$2:F2865,F2865)-1</f>
        <v>#VALUE!</v>
      </c>
      <c r="F2865" s="6" t="str">
        <f t="shared" si="45"/>
        <v/>
      </c>
      <c r="G2865" s="6" t="str">
        <f>IF(B2865="","",股指期货基差分析!$N$11)</f>
        <v/>
      </c>
      <c r="H2865" s="6" t="str">
        <f>IF(B2865="","",股指期货基差分析!$L$11)</f>
        <v/>
      </c>
      <c r="I2865" s="10" t="str">
        <f>IF(B2865="","",股指期货基差分析!$D$11)</f>
        <v/>
      </c>
    </row>
    <row r="2866" spans="2:9" ht="15" customHeight="1" x14ac:dyDescent="0.2">
      <c r="B2866" s="7"/>
      <c r="C2866" s="5" t="str">
        <f>IF(B2866="","",[1]!s_dq_close(股指期货基差分析!$E$5,$B2866))</f>
        <v/>
      </c>
      <c r="D2866" s="5" t="str">
        <f>IF(B2866="","",[1]!s_dq_close(股指期货基差分析!$E$6,$B2866))</f>
        <v/>
      </c>
      <c r="E2866" s="5" t="e">
        <f ca="1">RANK(F2866,F:F)+COUNTIF(F$2:F2866,F2866)-1</f>
        <v>#VALUE!</v>
      </c>
      <c r="F2866" s="5" t="str">
        <f t="shared" si="45"/>
        <v/>
      </c>
      <c r="G2866" s="5" t="str">
        <f>IF(B2866="","",股指期货基差分析!$N$11)</f>
        <v/>
      </c>
      <c r="H2866" s="5" t="str">
        <f>IF(B2866="","",股指期货基差分析!$L$11)</f>
        <v/>
      </c>
      <c r="I2866" s="9" t="str">
        <f>IF(B2866="","",股指期货基差分析!$D$11)</f>
        <v/>
      </c>
    </row>
    <row r="2867" spans="2:9" ht="15" customHeight="1" x14ac:dyDescent="0.2">
      <c r="B2867" s="8"/>
      <c r="C2867" s="6" t="str">
        <f>IF(B2867="","",[1]!s_dq_close(股指期货基差分析!$E$5,$B2867))</f>
        <v/>
      </c>
      <c r="D2867" s="6" t="str">
        <f>IF(B2867="","",[1]!s_dq_close(股指期货基差分析!$E$6,$B2867))</f>
        <v/>
      </c>
      <c r="E2867" s="6" t="e">
        <f ca="1">RANK(F2867,F:F)+COUNTIF(F$2:F2867,F2867)-1</f>
        <v>#VALUE!</v>
      </c>
      <c r="F2867" s="6" t="str">
        <f t="shared" si="45"/>
        <v/>
      </c>
      <c r="G2867" s="6" t="str">
        <f>IF(B2867="","",股指期货基差分析!$N$11)</f>
        <v/>
      </c>
      <c r="H2867" s="6" t="str">
        <f>IF(B2867="","",股指期货基差分析!$L$11)</f>
        <v/>
      </c>
      <c r="I2867" s="10" t="str">
        <f>IF(B2867="","",股指期货基差分析!$D$11)</f>
        <v/>
      </c>
    </row>
    <row r="2868" spans="2:9" ht="15" customHeight="1" x14ac:dyDescent="0.2">
      <c r="B2868" s="7"/>
      <c r="C2868" s="5" t="str">
        <f>IF(B2868="","",[1]!s_dq_close(股指期货基差分析!$E$5,$B2868))</f>
        <v/>
      </c>
      <c r="D2868" s="5" t="str">
        <f>IF(B2868="","",[1]!s_dq_close(股指期货基差分析!$E$6,$B2868))</f>
        <v/>
      </c>
      <c r="E2868" s="5" t="e">
        <f ca="1">RANK(F2868,F:F)+COUNTIF(F$2:F2868,F2868)-1</f>
        <v>#VALUE!</v>
      </c>
      <c r="F2868" s="5" t="str">
        <f t="shared" si="45"/>
        <v/>
      </c>
      <c r="G2868" s="5" t="str">
        <f>IF(B2868="","",股指期货基差分析!$N$11)</f>
        <v/>
      </c>
      <c r="H2868" s="5" t="str">
        <f>IF(B2868="","",股指期货基差分析!$L$11)</f>
        <v/>
      </c>
      <c r="I2868" s="9" t="str">
        <f>IF(B2868="","",股指期货基差分析!$D$11)</f>
        <v/>
      </c>
    </row>
    <row r="2869" spans="2:9" ht="15" customHeight="1" x14ac:dyDescent="0.2">
      <c r="B2869" s="8"/>
      <c r="C2869" s="6" t="str">
        <f>IF(B2869="","",[1]!s_dq_close(股指期货基差分析!$E$5,$B2869))</f>
        <v/>
      </c>
      <c r="D2869" s="6" t="str">
        <f>IF(B2869="","",[1]!s_dq_close(股指期货基差分析!$E$6,$B2869))</f>
        <v/>
      </c>
      <c r="E2869" s="6" t="e">
        <f ca="1">RANK(F2869,F:F)+COUNTIF(F$2:F2869,F2869)-1</f>
        <v>#VALUE!</v>
      </c>
      <c r="F2869" s="6" t="str">
        <f t="shared" si="45"/>
        <v/>
      </c>
      <c r="G2869" s="6" t="str">
        <f>IF(B2869="","",股指期货基差分析!$N$11)</f>
        <v/>
      </c>
      <c r="H2869" s="6" t="str">
        <f>IF(B2869="","",股指期货基差分析!$L$11)</f>
        <v/>
      </c>
      <c r="I2869" s="10" t="str">
        <f>IF(B2869="","",股指期货基差分析!$D$11)</f>
        <v/>
      </c>
    </row>
    <row r="2870" spans="2:9" ht="15" customHeight="1" x14ac:dyDescent="0.2">
      <c r="B2870" s="7"/>
      <c r="C2870" s="5" t="str">
        <f>IF(B2870="","",[1]!s_dq_close(股指期货基差分析!$E$5,$B2870))</f>
        <v/>
      </c>
      <c r="D2870" s="5" t="str">
        <f>IF(B2870="","",[1]!s_dq_close(股指期货基差分析!$E$6,$B2870))</f>
        <v/>
      </c>
      <c r="E2870" s="5" t="e">
        <f ca="1">RANK(F2870,F:F)+COUNTIF(F$2:F2870,F2870)-1</f>
        <v>#VALUE!</v>
      </c>
      <c r="F2870" s="5" t="str">
        <f t="shared" si="45"/>
        <v/>
      </c>
      <c r="G2870" s="5" t="str">
        <f>IF(B2870="","",股指期货基差分析!$N$11)</f>
        <v/>
      </c>
      <c r="H2870" s="5" t="str">
        <f>IF(B2870="","",股指期货基差分析!$L$11)</f>
        <v/>
      </c>
      <c r="I2870" s="9" t="str">
        <f>IF(B2870="","",股指期货基差分析!$D$11)</f>
        <v/>
      </c>
    </row>
    <row r="2871" spans="2:9" ht="15" customHeight="1" x14ac:dyDescent="0.2">
      <c r="B2871" s="8"/>
      <c r="C2871" s="6" t="str">
        <f>IF(B2871="","",[1]!s_dq_close(股指期货基差分析!$E$5,$B2871))</f>
        <v/>
      </c>
      <c r="D2871" s="6" t="str">
        <f>IF(B2871="","",[1]!s_dq_close(股指期货基差分析!$E$6,$B2871))</f>
        <v/>
      </c>
      <c r="E2871" s="6" t="e">
        <f ca="1">RANK(F2871,F:F)+COUNTIF(F$2:F2871,F2871)-1</f>
        <v>#VALUE!</v>
      </c>
      <c r="F2871" s="6" t="str">
        <f t="shared" si="45"/>
        <v/>
      </c>
      <c r="G2871" s="6" t="str">
        <f>IF(B2871="","",股指期货基差分析!$N$11)</f>
        <v/>
      </c>
      <c r="H2871" s="6" t="str">
        <f>IF(B2871="","",股指期货基差分析!$L$11)</f>
        <v/>
      </c>
      <c r="I2871" s="10" t="str">
        <f>IF(B2871="","",股指期货基差分析!$D$11)</f>
        <v/>
      </c>
    </row>
    <row r="2872" spans="2:9" ht="15" customHeight="1" x14ac:dyDescent="0.2">
      <c r="B2872" s="7"/>
      <c r="C2872" s="5" t="str">
        <f>IF(B2872="","",[1]!s_dq_close(股指期货基差分析!$E$5,$B2872))</f>
        <v/>
      </c>
      <c r="D2872" s="5" t="str">
        <f>IF(B2872="","",[1]!s_dq_close(股指期货基差分析!$E$6,$B2872))</f>
        <v/>
      </c>
      <c r="E2872" s="5" t="e">
        <f ca="1">RANK(F2872,F:F)+COUNTIF(F$2:F2872,F2872)-1</f>
        <v>#VALUE!</v>
      </c>
      <c r="F2872" s="5" t="str">
        <f t="shared" si="45"/>
        <v/>
      </c>
      <c r="G2872" s="5" t="str">
        <f>IF(B2872="","",股指期货基差分析!$N$11)</f>
        <v/>
      </c>
      <c r="H2872" s="5" t="str">
        <f>IF(B2872="","",股指期货基差分析!$L$11)</f>
        <v/>
      </c>
      <c r="I2872" s="9" t="str">
        <f>IF(B2872="","",股指期货基差分析!$D$11)</f>
        <v/>
      </c>
    </row>
    <row r="2873" spans="2:9" ht="15" customHeight="1" x14ac:dyDescent="0.2">
      <c r="B2873" s="8"/>
      <c r="C2873" s="6" t="str">
        <f>IF(B2873="","",[1]!s_dq_close(股指期货基差分析!$E$5,$B2873))</f>
        <v/>
      </c>
      <c r="D2873" s="6" t="str">
        <f>IF(B2873="","",[1]!s_dq_close(股指期货基差分析!$E$6,$B2873))</f>
        <v/>
      </c>
      <c r="E2873" s="6" t="e">
        <f ca="1">RANK(F2873,F:F)+COUNTIF(F$2:F2873,F2873)-1</f>
        <v>#VALUE!</v>
      </c>
      <c r="F2873" s="6" t="str">
        <f t="shared" si="45"/>
        <v/>
      </c>
      <c r="G2873" s="6" t="str">
        <f>IF(B2873="","",股指期货基差分析!$N$11)</f>
        <v/>
      </c>
      <c r="H2873" s="6" t="str">
        <f>IF(B2873="","",股指期货基差分析!$L$11)</f>
        <v/>
      </c>
      <c r="I2873" s="10" t="str">
        <f>IF(B2873="","",股指期货基差分析!$D$11)</f>
        <v/>
      </c>
    </row>
    <row r="2874" spans="2:9" ht="15" customHeight="1" x14ac:dyDescent="0.2">
      <c r="B2874" s="7"/>
      <c r="C2874" s="5" t="str">
        <f>IF(B2874="","",[1]!s_dq_close(股指期货基差分析!$E$5,$B2874))</f>
        <v/>
      </c>
      <c r="D2874" s="5" t="str">
        <f>IF(B2874="","",[1]!s_dq_close(股指期货基差分析!$E$6,$B2874))</f>
        <v/>
      </c>
      <c r="E2874" s="5" t="e">
        <f ca="1">RANK(F2874,F:F)+COUNTIF(F$2:F2874,F2874)-1</f>
        <v>#VALUE!</v>
      </c>
      <c r="F2874" s="5" t="str">
        <f t="shared" si="45"/>
        <v/>
      </c>
      <c r="G2874" s="5" t="str">
        <f>IF(B2874="","",股指期货基差分析!$N$11)</f>
        <v/>
      </c>
      <c r="H2874" s="5" t="str">
        <f>IF(B2874="","",股指期货基差分析!$L$11)</f>
        <v/>
      </c>
      <c r="I2874" s="9" t="str">
        <f>IF(B2874="","",股指期货基差分析!$D$11)</f>
        <v/>
      </c>
    </row>
    <row r="2875" spans="2:9" ht="15" customHeight="1" x14ac:dyDescent="0.2">
      <c r="B2875" s="8"/>
      <c r="C2875" s="6" t="str">
        <f>IF(B2875="","",[1]!s_dq_close(股指期货基差分析!$E$5,$B2875))</f>
        <v/>
      </c>
      <c r="D2875" s="6" t="str">
        <f>IF(B2875="","",[1]!s_dq_close(股指期货基差分析!$E$6,$B2875))</f>
        <v/>
      </c>
      <c r="E2875" s="6" t="e">
        <f ca="1">RANK(F2875,F:F)+COUNTIF(F$2:F2875,F2875)-1</f>
        <v>#VALUE!</v>
      </c>
      <c r="F2875" s="6" t="str">
        <f t="shared" si="45"/>
        <v/>
      </c>
      <c r="G2875" s="6" t="str">
        <f>IF(B2875="","",股指期货基差分析!$N$11)</f>
        <v/>
      </c>
      <c r="H2875" s="6" t="str">
        <f>IF(B2875="","",股指期货基差分析!$L$11)</f>
        <v/>
      </c>
      <c r="I2875" s="10" t="str">
        <f>IF(B2875="","",股指期货基差分析!$D$11)</f>
        <v/>
      </c>
    </row>
    <row r="2876" spans="2:9" ht="15" customHeight="1" x14ac:dyDescent="0.2">
      <c r="B2876" s="7"/>
      <c r="C2876" s="5" t="str">
        <f>IF(B2876="","",[1]!s_dq_close(股指期货基差分析!$E$5,$B2876))</f>
        <v/>
      </c>
      <c r="D2876" s="5" t="str">
        <f>IF(B2876="","",[1]!s_dq_close(股指期货基差分析!$E$6,$B2876))</f>
        <v/>
      </c>
      <c r="E2876" s="5" t="e">
        <f ca="1">RANK(F2876,F:F)+COUNTIF(F$2:F2876,F2876)-1</f>
        <v>#VALUE!</v>
      </c>
      <c r="F2876" s="5" t="str">
        <f t="shared" si="45"/>
        <v/>
      </c>
      <c r="G2876" s="5" t="str">
        <f>IF(B2876="","",股指期货基差分析!$N$11)</f>
        <v/>
      </c>
      <c r="H2876" s="5" t="str">
        <f>IF(B2876="","",股指期货基差分析!$L$11)</f>
        <v/>
      </c>
      <c r="I2876" s="9" t="str">
        <f>IF(B2876="","",股指期货基差分析!$D$11)</f>
        <v/>
      </c>
    </row>
    <row r="2877" spans="2:9" ht="15" customHeight="1" x14ac:dyDescent="0.2">
      <c r="B2877" s="8"/>
      <c r="C2877" s="6" t="str">
        <f>IF(B2877="","",[1]!s_dq_close(股指期货基差分析!$E$5,$B2877))</f>
        <v/>
      </c>
      <c r="D2877" s="6" t="str">
        <f>IF(B2877="","",[1]!s_dq_close(股指期货基差分析!$E$6,$B2877))</f>
        <v/>
      </c>
      <c r="E2877" s="6" t="e">
        <f ca="1">RANK(F2877,F:F)+COUNTIF(F$2:F2877,F2877)-1</f>
        <v>#VALUE!</v>
      </c>
      <c r="F2877" s="6" t="str">
        <f t="shared" si="45"/>
        <v/>
      </c>
      <c r="G2877" s="6" t="str">
        <f>IF(B2877="","",股指期货基差分析!$N$11)</f>
        <v/>
      </c>
      <c r="H2877" s="6" t="str">
        <f>IF(B2877="","",股指期货基差分析!$L$11)</f>
        <v/>
      </c>
      <c r="I2877" s="10" t="str">
        <f>IF(B2877="","",股指期货基差分析!$D$11)</f>
        <v/>
      </c>
    </row>
    <row r="2878" spans="2:9" ht="15" customHeight="1" x14ac:dyDescent="0.2">
      <c r="B2878" s="7"/>
      <c r="C2878" s="5" t="str">
        <f>IF(B2878="","",[1]!s_dq_close(股指期货基差分析!$E$5,$B2878))</f>
        <v/>
      </c>
      <c r="D2878" s="5" t="str">
        <f>IF(B2878="","",[1]!s_dq_close(股指期货基差分析!$E$6,$B2878))</f>
        <v/>
      </c>
      <c r="E2878" s="5" t="e">
        <f ca="1">RANK(F2878,F:F)+COUNTIF(F$2:F2878,F2878)-1</f>
        <v>#VALUE!</v>
      </c>
      <c r="F2878" s="5" t="str">
        <f t="shared" si="45"/>
        <v/>
      </c>
      <c r="G2878" s="5" t="str">
        <f>IF(B2878="","",股指期货基差分析!$N$11)</f>
        <v/>
      </c>
      <c r="H2878" s="5" t="str">
        <f>IF(B2878="","",股指期货基差分析!$L$11)</f>
        <v/>
      </c>
      <c r="I2878" s="9" t="str">
        <f>IF(B2878="","",股指期货基差分析!$D$11)</f>
        <v/>
      </c>
    </row>
    <row r="2879" spans="2:9" ht="15" customHeight="1" x14ac:dyDescent="0.2">
      <c r="B2879" s="8"/>
      <c r="C2879" s="6" t="str">
        <f>IF(B2879="","",[1]!s_dq_close(股指期货基差分析!$E$5,$B2879))</f>
        <v/>
      </c>
      <c r="D2879" s="6" t="str">
        <f>IF(B2879="","",[1]!s_dq_close(股指期货基差分析!$E$6,$B2879))</f>
        <v/>
      </c>
      <c r="E2879" s="6" t="e">
        <f ca="1">RANK(F2879,F:F)+COUNTIF(F$2:F2879,F2879)-1</f>
        <v>#VALUE!</v>
      </c>
      <c r="F2879" s="6" t="str">
        <f t="shared" si="45"/>
        <v/>
      </c>
      <c r="G2879" s="6" t="str">
        <f>IF(B2879="","",股指期货基差分析!$N$11)</f>
        <v/>
      </c>
      <c r="H2879" s="6" t="str">
        <f>IF(B2879="","",股指期货基差分析!$L$11)</f>
        <v/>
      </c>
      <c r="I2879" s="10" t="str">
        <f>IF(B2879="","",股指期货基差分析!$D$11)</f>
        <v/>
      </c>
    </row>
    <row r="2880" spans="2:9" ht="15" customHeight="1" x14ac:dyDescent="0.2">
      <c r="B2880" s="7"/>
      <c r="C2880" s="5" t="str">
        <f>IF(B2880="","",[1]!s_dq_close(股指期货基差分析!$E$5,$B2880))</f>
        <v/>
      </c>
      <c r="D2880" s="5" t="str">
        <f>IF(B2880="","",[1]!s_dq_close(股指期货基差分析!$E$6,$B2880))</f>
        <v/>
      </c>
      <c r="E2880" s="5" t="e">
        <f ca="1">RANK(F2880,F:F)+COUNTIF(F$2:F2880,F2880)-1</f>
        <v>#VALUE!</v>
      </c>
      <c r="F2880" s="5" t="str">
        <f t="shared" si="45"/>
        <v/>
      </c>
      <c r="G2880" s="5" t="str">
        <f>IF(B2880="","",股指期货基差分析!$N$11)</f>
        <v/>
      </c>
      <c r="H2880" s="5" t="str">
        <f>IF(B2880="","",股指期货基差分析!$L$11)</f>
        <v/>
      </c>
      <c r="I2880" s="9" t="str">
        <f>IF(B2880="","",股指期货基差分析!$D$11)</f>
        <v/>
      </c>
    </row>
    <row r="2881" spans="2:9" ht="15" customHeight="1" x14ac:dyDescent="0.2">
      <c r="B2881" s="8"/>
      <c r="C2881" s="6" t="str">
        <f>IF(B2881="","",[1]!s_dq_close(股指期货基差分析!$E$5,$B2881))</f>
        <v/>
      </c>
      <c r="D2881" s="6" t="str">
        <f>IF(B2881="","",[1]!s_dq_close(股指期货基差分析!$E$6,$B2881))</f>
        <v/>
      </c>
      <c r="E2881" s="6" t="e">
        <f ca="1">RANK(F2881,F:F)+COUNTIF(F$2:F2881,F2881)-1</f>
        <v>#VALUE!</v>
      </c>
      <c r="F2881" s="6" t="str">
        <f t="shared" si="45"/>
        <v/>
      </c>
      <c r="G2881" s="6" t="str">
        <f>IF(B2881="","",股指期货基差分析!$N$11)</f>
        <v/>
      </c>
      <c r="H2881" s="6" t="str">
        <f>IF(B2881="","",股指期货基差分析!$L$11)</f>
        <v/>
      </c>
      <c r="I2881" s="10" t="str">
        <f>IF(B2881="","",股指期货基差分析!$D$11)</f>
        <v/>
      </c>
    </row>
    <row r="2882" spans="2:9" ht="15" customHeight="1" x14ac:dyDescent="0.2">
      <c r="B2882" s="7"/>
      <c r="C2882" s="5" t="str">
        <f>IF(B2882="","",[1]!s_dq_close(股指期货基差分析!$E$5,$B2882))</f>
        <v/>
      </c>
      <c r="D2882" s="5" t="str">
        <f>IF(B2882="","",[1]!s_dq_close(股指期货基差分析!$E$6,$B2882))</f>
        <v/>
      </c>
      <c r="E2882" s="5" t="e">
        <f ca="1">RANK(F2882,F:F)+COUNTIF(F$2:F2882,F2882)-1</f>
        <v>#VALUE!</v>
      </c>
      <c r="F2882" s="5" t="str">
        <f t="shared" ref="F2882:F2945" si="46">IF(B2882="","",D2882-C2882)</f>
        <v/>
      </c>
      <c r="G2882" s="5" t="str">
        <f>IF(B2882="","",股指期货基差分析!$N$11)</f>
        <v/>
      </c>
      <c r="H2882" s="5" t="str">
        <f>IF(B2882="","",股指期货基差分析!$L$11)</f>
        <v/>
      </c>
      <c r="I2882" s="9" t="str">
        <f>IF(B2882="","",股指期货基差分析!$D$11)</f>
        <v/>
      </c>
    </row>
    <row r="2883" spans="2:9" ht="15" customHeight="1" x14ac:dyDescent="0.2">
      <c r="B2883" s="8"/>
      <c r="C2883" s="6" t="str">
        <f>IF(B2883="","",[1]!s_dq_close(股指期货基差分析!$E$5,$B2883))</f>
        <v/>
      </c>
      <c r="D2883" s="6" t="str">
        <f>IF(B2883="","",[1]!s_dq_close(股指期货基差分析!$E$6,$B2883))</f>
        <v/>
      </c>
      <c r="E2883" s="6" t="e">
        <f ca="1">RANK(F2883,F:F)+COUNTIF(F$2:F2883,F2883)-1</f>
        <v>#VALUE!</v>
      </c>
      <c r="F2883" s="6" t="str">
        <f t="shared" si="46"/>
        <v/>
      </c>
      <c r="G2883" s="6" t="str">
        <f>IF(B2883="","",股指期货基差分析!$N$11)</f>
        <v/>
      </c>
      <c r="H2883" s="6" t="str">
        <f>IF(B2883="","",股指期货基差分析!$L$11)</f>
        <v/>
      </c>
      <c r="I2883" s="10" t="str">
        <f>IF(B2883="","",股指期货基差分析!$D$11)</f>
        <v/>
      </c>
    </row>
    <row r="2884" spans="2:9" ht="15" customHeight="1" x14ac:dyDescent="0.2">
      <c r="B2884" s="7"/>
      <c r="C2884" s="5" t="str">
        <f>IF(B2884="","",[1]!s_dq_close(股指期货基差分析!$E$5,$B2884))</f>
        <v/>
      </c>
      <c r="D2884" s="5" t="str">
        <f>IF(B2884="","",[1]!s_dq_close(股指期货基差分析!$E$6,$B2884))</f>
        <v/>
      </c>
      <c r="E2884" s="5" t="e">
        <f ca="1">RANK(F2884,F:F)+COUNTIF(F$2:F2884,F2884)-1</f>
        <v>#VALUE!</v>
      </c>
      <c r="F2884" s="5" t="str">
        <f t="shared" si="46"/>
        <v/>
      </c>
      <c r="G2884" s="5" t="str">
        <f>IF(B2884="","",股指期货基差分析!$N$11)</f>
        <v/>
      </c>
      <c r="H2884" s="5" t="str">
        <f>IF(B2884="","",股指期货基差分析!$L$11)</f>
        <v/>
      </c>
      <c r="I2884" s="9" t="str">
        <f>IF(B2884="","",股指期货基差分析!$D$11)</f>
        <v/>
      </c>
    </row>
    <row r="2885" spans="2:9" ht="15" customHeight="1" x14ac:dyDescent="0.2">
      <c r="B2885" s="8"/>
      <c r="C2885" s="6" t="str">
        <f>IF(B2885="","",[1]!s_dq_close(股指期货基差分析!$E$5,$B2885))</f>
        <v/>
      </c>
      <c r="D2885" s="6" t="str">
        <f>IF(B2885="","",[1]!s_dq_close(股指期货基差分析!$E$6,$B2885))</f>
        <v/>
      </c>
      <c r="E2885" s="6" t="e">
        <f ca="1">RANK(F2885,F:F)+COUNTIF(F$2:F2885,F2885)-1</f>
        <v>#VALUE!</v>
      </c>
      <c r="F2885" s="6" t="str">
        <f t="shared" si="46"/>
        <v/>
      </c>
      <c r="G2885" s="6" t="str">
        <f>IF(B2885="","",股指期货基差分析!$N$11)</f>
        <v/>
      </c>
      <c r="H2885" s="6" t="str">
        <f>IF(B2885="","",股指期货基差分析!$L$11)</f>
        <v/>
      </c>
      <c r="I2885" s="10" t="str">
        <f>IF(B2885="","",股指期货基差分析!$D$11)</f>
        <v/>
      </c>
    </row>
    <row r="2886" spans="2:9" ht="15" customHeight="1" x14ac:dyDescent="0.2">
      <c r="B2886" s="7"/>
      <c r="C2886" s="5" t="str">
        <f>IF(B2886="","",[1]!s_dq_close(股指期货基差分析!$E$5,$B2886))</f>
        <v/>
      </c>
      <c r="D2886" s="5" t="str">
        <f>IF(B2886="","",[1]!s_dq_close(股指期货基差分析!$E$6,$B2886))</f>
        <v/>
      </c>
      <c r="E2886" s="5" t="e">
        <f ca="1">RANK(F2886,F:F)+COUNTIF(F$2:F2886,F2886)-1</f>
        <v>#VALUE!</v>
      </c>
      <c r="F2886" s="5" t="str">
        <f t="shared" si="46"/>
        <v/>
      </c>
      <c r="G2886" s="5" t="str">
        <f>IF(B2886="","",股指期货基差分析!$N$11)</f>
        <v/>
      </c>
      <c r="H2886" s="5" t="str">
        <f>IF(B2886="","",股指期货基差分析!$L$11)</f>
        <v/>
      </c>
      <c r="I2886" s="9" t="str">
        <f>IF(B2886="","",股指期货基差分析!$D$11)</f>
        <v/>
      </c>
    </row>
    <row r="2887" spans="2:9" ht="15" customHeight="1" x14ac:dyDescent="0.2">
      <c r="B2887" s="8"/>
      <c r="C2887" s="6" t="str">
        <f>IF(B2887="","",[1]!s_dq_close(股指期货基差分析!$E$5,$B2887))</f>
        <v/>
      </c>
      <c r="D2887" s="6" t="str">
        <f>IF(B2887="","",[1]!s_dq_close(股指期货基差分析!$E$6,$B2887))</f>
        <v/>
      </c>
      <c r="E2887" s="6" t="e">
        <f ca="1">RANK(F2887,F:F)+COUNTIF(F$2:F2887,F2887)-1</f>
        <v>#VALUE!</v>
      </c>
      <c r="F2887" s="6" t="str">
        <f t="shared" si="46"/>
        <v/>
      </c>
      <c r="G2887" s="6" t="str">
        <f>IF(B2887="","",股指期货基差分析!$N$11)</f>
        <v/>
      </c>
      <c r="H2887" s="6" t="str">
        <f>IF(B2887="","",股指期货基差分析!$L$11)</f>
        <v/>
      </c>
      <c r="I2887" s="10" t="str">
        <f>IF(B2887="","",股指期货基差分析!$D$11)</f>
        <v/>
      </c>
    </row>
    <row r="2888" spans="2:9" ht="15" customHeight="1" x14ac:dyDescent="0.2">
      <c r="B2888" s="7"/>
      <c r="C2888" s="5" t="str">
        <f>IF(B2888="","",[1]!s_dq_close(股指期货基差分析!$E$5,$B2888))</f>
        <v/>
      </c>
      <c r="D2888" s="5" t="str">
        <f>IF(B2888="","",[1]!s_dq_close(股指期货基差分析!$E$6,$B2888))</f>
        <v/>
      </c>
      <c r="E2888" s="5" t="e">
        <f ca="1">RANK(F2888,F:F)+COUNTIF(F$2:F2888,F2888)-1</f>
        <v>#VALUE!</v>
      </c>
      <c r="F2888" s="5" t="str">
        <f t="shared" si="46"/>
        <v/>
      </c>
      <c r="G2888" s="5" t="str">
        <f>IF(B2888="","",股指期货基差分析!$N$11)</f>
        <v/>
      </c>
      <c r="H2888" s="5" t="str">
        <f>IF(B2888="","",股指期货基差分析!$L$11)</f>
        <v/>
      </c>
      <c r="I2888" s="9" t="str">
        <f>IF(B2888="","",股指期货基差分析!$D$11)</f>
        <v/>
      </c>
    </row>
    <row r="2889" spans="2:9" ht="15" customHeight="1" x14ac:dyDescent="0.2">
      <c r="B2889" s="8"/>
      <c r="C2889" s="6" t="str">
        <f>IF(B2889="","",[1]!s_dq_close(股指期货基差分析!$E$5,$B2889))</f>
        <v/>
      </c>
      <c r="D2889" s="6" t="str">
        <f>IF(B2889="","",[1]!s_dq_close(股指期货基差分析!$E$6,$B2889))</f>
        <v/>
      </c>
      <c r="E2889" s="6" t="e">
        <f ca="1">RANK(F2889,F:F)+COUNTIF(F$2:F2889,F2889)-1</f>
        <v>#VALUE!</v>
      </c>
      <c r="F2889" s="6" t="str">
        <f t="shared" si="46"/>
        <v/>
      </c>
      <c r="G2889" s="6" t="str">
        <f>IF(B2889="","",股指期货基差分析!$N$11)</f>
        <v/>
      </c>
      <c r="H2889" s="6" t="str">
        <f>IF(B2889="","",股指期货基差分析!$L$11)</f>
        <v/>
      </c>
      <c r="I2889" s="10" t="str">
        <f>IF(B2889="","",股指期货基差分析!$D$11)</f>
        <v/>
      </c>
    </row>
    <row r="2890" spans="2:9" ht="15" customHeight="1" x14ac:dyDescent="0.2">
      <c r="B2890" s="7"/>
      <c r="C2890" s="5" t="str">
        <f>IF(B2890="","",[1]!s_dq_close(股指期货基差分析!$E$5,$B2890))</f>
        <v/>
      </c>
      <c r="D2890" s="5" t="str">
        <f>IF(B2890="","",[1]!s_dq_close(股指期货基差分析!$E$6,$B2890))</f>
        <v/>
      </c>
      <c r="E2890" s="5" t="e">
        <f ca="1">RANK(F2890,F:F)+COUNTIF(F$2:F2890,F2890)-1</f>
        <v>#VALUE!</v>
      </c>
      <c r="F2890" s="5" t="str">
        <f t="shared" si="46"/>
        <v/>
      </c>
      <c r="G2890" s="5" t="str">
        <f>IF(B2890="","",股指期货基差分析!$N$11)</f>
        <v/>
      </c>
      <c r="H2890" s="5" t="str">
        <f>IF(B2890="","",股指期货基差分析!$L$11)</f>
        <v/>
      </c>
      <c r="I2890" s="9" t="str">
        <f>IF(B2890="","",股指期货基差分析!$D$11)</f>
        <v/>
      </c>
    </row>
    <row r="2891" spans="2:9" ht="15" customHeight="1" x14ac:dyDescent="0.2">
      <c r="B2891" s="8"/>
      <c r="C2891" s="6" t="str">
        <f>IF(B2891="","",[1]!s_dq_close(股指期货基差分析!$E$5,$B2891))</f>
        <v/>
      </c>
      <c r="D2891" s="6" t="str">
        <f>IF(B2891="","",[1]!s_dq_close(股指期货基差分析!$E$6,$B2891))</f>
        <v/>
      </c>
      <c r="E2891" s="6" t="e">
        <f ca="1">RANK(F2891,F:F)+COUNTIF(F$2:F2891,F2891)-1</f>
        <v>#VALUE!</v>
      </c>
      <c r="F2891" s="6" t="str">
        <f t="shared" si="46"/>
        <v/>
      </c>
      <c r="G2891" s="6" t="str">
        <f>IF(B2891="","",股指期货基差分析!$N$11)</f>
        <v/>
      </c>
      <c r="H2891" s="6" t="str">
        <f>IF(B2891="","",股指期货基差分析!$L$11)</f>
        <v/>
      </c>
      <c r="I2891" s="10" t="str">
        <f>IF(B2891="","",股指期货基差分析!$D$11)</f>
        <v/>
      </c>
    </row>
    <row r="2892" spans="2:9" ht="15" customHeight="1" x14ac:dyDescent="0.2">
      <c r="B2892" s="7"/>
      <c r="C2892" s="5" t="str">
        <f>IF(B2892="","",[1]!s_dq_close(股指期货基差分析!$E$5,$B2892))</f>
        <v/>
      </c>
      <c r="D2892" s="5" t="str">
        <f>IF(B2892="","",[1]!s_dq_close(股指期货基差分析!$E$6,$B2892))</f>
        <v/>
      </c>
      <c r="E2892" s="5" t="e">
        <f ca="1">RANK(F2892,F:F)+COUNTIF(F$2:F2892,F2892)-1</f>
        <v>#VALUE!</v>
      </c>
      <c r="F2892" s="5" t="str">
        <f t="shared" si="46"/>
        <v/>
      </c>
      <c r="G2892" s="5" t="str">
        <f>IF(B2892="","",股指期货基差分析!$N$11)</f>
        <v/>
      </c>
      <c r="H2892" s="5" t="str">
        <f>IF(B2892="","",股指期货基差分析!$L$11)</f>
        <v/>
      </c>
      <c r="I2892" s="9" t="str">
        <f>IF(B2892="","",股指期货基差分析!$D$11)</f>
        <v/>
      </c>
    </row>
    <row r="2893" spans="2:9" ht="15" customHeight="1" x14ac:dyDescent="0.2">
      <c r="B2893" s="8"/>
      <c r="C2893" s="6" t="str">
        <f>IF(B2893="","",[1]!s_dq_close(股指期货基差分析!$E$5,$B2893))</f>
        <v/>
      </c>
      <c r="D2893" s="6" t="str">
        <f>IF(B2893="","",[1]!s_dq_close(股指期货基差分析!$E$6,$B2893))</f>
        <v/>
      </c>
      <c r="E2893" s="6" t="e">
        <f ca="1">RANK(F2893,F:F)+COUNTIF(F$2:F2893,F2893)-1</f>
        <v>#VALUE!</v>
      </c>
      <c r="F2893" s="6" t="str">
        <f t="shared" si="46"/>
        <v/>
      </c>
      <c r="G2893" s="6" t="str">
        <f>IF(B2893="","",股指期货基差分析!$N$11)</f>
        <v/>
      </c>
      <c r="H2893" s="6" t="str">
        <f>IF(B2893="","",股指期货基差分析!$L$11)</f>
        <v/>
      </c>
      <c r="I2893" s="10" t="str">
        <f>IF(B2893="","",股指期货基差分析!$D$11)</f>
        <v/>
      </c>
    </row>
    <row r="2894" spans="2:9" ht="15" customHeight="1" x14ac:dyDescent="0.2">
      <c r="B2894" s="7"/>
      <c r="C2894" s="5" t="str">
        <f>IF(B2894="","",[1]!s_dq_close(股指期货基差分析!$E$5,$B2894))</f>
        <v/>
      </c>
      <c r="D2894" s="5" t="str">
        <f>IF(B2894="","",[1]!s_dq_close(股指期货基差分析!$E$6,$B2894))</f>
        <v/>
      </c>
      <c r="E2894" s="5" t="e">
        <f ca="1">RANK(F2894,F:F)+COUNTIF(F$2:F2894,F2894)-1</f>
        <v>#VALUE!</v>
      </c>
      <c r="F2894" s="5" t="str">
        <f t="shared" si="46"/>
        <v/>
      </c>
      <c r="G2894" s="5" t="str">
        <f>IF(B2894="","",股指期货基差分析!$N$11)</f>
        <v/>
      </c>
      <c r="H2894" s="5" t="str">
        <f>IF(B2894="","",股指期货基差分析!$L$11)</f>
        <v/>
      </c>
      <c r="I2894" s="9" t="str">
        <f>IF(B2894="","",股指期货基差分析!$D$11)</f>
        <v/>
      </c>
    </row>
    <row r="2895" spans="2:9" ht="15" customHeight="1" x14ac:dyDescent="0.2">
      <c r="B2895" s="8"/>
      <c r="C2895" s="6" t="str">
        <f>IF(B2895="","",[1]!s_dq_close(股指期货基差分析!$E$5,$B2895))</f>
        <v/>
      </c>
      <c r="D2895" s="6" t="str">
        <f>IF(B2895="","",[1]!s_dq_close(股指期货基差分析!$E$6,$B2895))</f>
        <v/>
      </c>
      <c r="E2895" s="6" t="e">
        <f ca="1">RANK(F2895,F:F)+COUNTIF(F$2:F2895,F2895)-1</f>
        <v>#VALUE!</v>
      </c>
      <c r="F2895" s="6" t="str">
        <f t="shared" si="46"/>
        <v/>
      </c>
      <c r="G2895" s="6" t="str">
        <f>IF(B2895="","",股指期货基差分析!$N$11)</f>
        <v/>
      </c>
      <c r="H2895" s="6" t="str">
        <f>IF(B2895="","",股指期货基差分析!$L$11)</f>
        <v/>
      </c>
      <c r="I2895" s="10" t="str">
        <f>IF(B2895="","",股指期货基差分析!$D$11)</f>
        <v/>
      </c>
    </row>
    <row r="2896" spans="2:9" ht="15" customHeight="1" x14ac:dyDescent="0.2">
      <c r="B2896" s="7"/>
      <c r="C2896" s="5" t="str">
        <f>IF(B2896="","",[1]!s_dq_close(股指期货基差分析!$E$5,$B2896))</f>
        <v/>
      </c>
      <c r="D2896" s="5" t="str">
        <f>IF(B2896="","",[1]!s_dq_close(股指期货基差分析!$E$6,$B2896))</f>
        <v/>
      </c>
      <c r="E2896" s="5" t="e">
        <f ca="1">RANK(F2896,F:F)+COUNTIF(F$2:F2896,F2896)-1</f>
        <v>#VALUE!</v>
      </c>
      <c r="F2896" s="5" t="str">
        <f t="shared" si="46"/>
        <v/>
      </c>
      <c r="G2896" s="5" t="str">
        <f>IF(B2896="","",股指期货基差分析!$N$11)</f>
        <v/>
      </c>
      <c r="H2896" s="5" t="str">
        <f>IF(B2896="","",股指期货基差分析!$L$11)</f>
        <v/>
      </c>
      <c r="I2896" s="9" t="str">
        <f>IF(B2896="","",股指期货基差分析!$D$11)</f>
        <v/>
      </c>
    </row>
    <row r="2897" spans="2:9" ht="15" customHeight="1" x14ac:dyDescent="0.2">
      <c r="B2897" s="8"/>
      <c r="C2897" s="6" t="str">
        <f>IF(B2897="","",[1]!s_dq_close(股指期货基差分析!$E$5,$B2897))</f>
        <v/>
      </c>
      <c r="D2897" s="6" t="str">
        <f>IF(B2897="","",[1]!s_dq_close(股指期货基差分析!$E$6,$B2897))</f>
        <v/>
      </c>
      <c r="E2897" s="6" t="e">
        <f ca="1">RANK(F2897,F:F)+COUNTIF(F$2:F2897,F2897)-1</f>
        <v>#VALUE!</v>
      </c>
      <c r="F2897" s="6" t="str">
        <f t="shared" si="46"/>
        <v/>
      </c>
      <c r="G2897" s="6" t="str">
        <f>IF(B2897="","",股指期货基差分析!$N$11)</f>
        <v/>
      </c>
      <c r="H2897" s="6" t="str">
        <f>IF(B2897="","",股指期货基差分析!$L$11)</f>
        <v/>
      </c>
      <c r="I2897" s="10" t="str">
        <f>IF(B2897="","",股指期货基差分析!$D$11)</f>
        <v/>
      </c>
    </row>
    <row r="2898" spans="2:9" ht="15" customHeight="1" x14ac:dyDescent="0.2">
      <c r="B2898" s="7"/>
      <c r="C2898" s="5" t="str">
        <f>IF(B2898="","",[1]!s_dq_close(股指期货基差分析!$E$5,$B2898))</f>
        <v/>
      </c>
      <c r="D2898" s="5" t="str">
        <f>IF(B2898="","",[1]!s_dq_close(股指期货基差分析!$E$6,$B2898))</f>
        <v/>
      </c>
      <c r="E2898" s="5" t="e">
        <f ca="1">RANK(F2898,F:F)+COUNTIF(F$2:F2898,F2898)-1</f>
        <v>#VALUE!</v>
      </c>
      <c r="F2898" s="5" t="str">
        <f t="shared" si="46"/>
        <v/>
      </c>
      <c r="G2898" s="5" t="str">
        <f>IF(B2898="","",股指期货基差分析!$N$11)</f>
        <v/>
      </c>
      <c r="H2898" s="5" t="str">
        <f>IF(B2898="","",股指期货基差分析!$L$11)</f>
        <v/>
      </c>
      <c r="I2898" s="9" t="str">
        <f>IF(B2898="","",股指期货基差分析!$D$11)</f>
        <v/>
      </c>
    </row>
    <row r="2899" spans="2:9" ht="15" customHeight="1" x14ac:dyDescent="0.2">
      <c r="B2899" s="8"/>
      <c r="C2899" s="6" t="str">
        <f>IF(B2899="","",[1]!s_dq_close(股指期货基差分析!$E$5,$B2899))</f>
        <v/>
      </c>
      <c r="D2899" s="6" t="str">
        <f>IF(B2899="","",[1]!s_dq_close(股指期货基差分析!$E$6,$B2899))</f>
        <v/>
      </c>
      <c r="E2899" s="6" t="e">
        <f ca="1">RANK(F2899,F:F)+COUNTIF(F$2:F2899,F2899)-1</f>
        <v>#VALUE!</v>
      </c>
      <c r="F2899" s="6" t="str">
        <f t="shared" si="46"/>
        <v/>
      </c>
      <c r="G2899" s="6" t="str">
        <f>IF(B2899="","",股指期货基差分析!$N$11)</f>
        <v/>
      </c>
      <c r="H2899" s="6" t="str">
        <f>IF(B2899="","",股指期货基差分析!$L$11)</f>
        <v/>
      </c>
      <c r="I2899" s="10" t="str">
        <f>IF(B2899="","",股指期货基差分析!$D$11)</f>
        <v/>
      </c>
    </row>
    <row r="2900" spans="2:9" ht="15" customHeight="1" x14ac:dyDescent="0.2">
      <c r="B2900" s="7"/>
      <c r="C2900" s="5" t="str">
        <f>IF(B2900="","",[1]!s_dq_close(股指期货基差分析!$E$5,$B2900))</f>
        <v/>
      </c>
      <c r="D2900" s="5" t="str">
        <f>IF(B2900="","",[1]!s_dq_close(股指期货基差分析!$E$6,$B2900))</f>
        <v/>
      </c>
      <c r="E2900" s="5" t="e">
        <f ca="1">RANK(F2900,F:F)+COUNTIF(F$2:F2900,F2900)-1</f>
        <v>#VALUE!</v>
      </c>
      <c r="F2900" s="5" t="str">
        <f t="shared" si="46"/>
        <v/>
      </c>
      <c r="G2900" s="5" t="str">
        <f>IF(B2900="","",股指期货基差分析!$N$11)</f>
        <v/>
      </c>
      <c r="H2900" s="5" t="str">
        <f>IF(B2900="","",股指期货基差分析!$L$11)</f>
        <v/>
      </c>
      <c r="I2900" s="9" t="str">
        <f>IF(B2900="","",股指期货基差分析!$D$11)</f>
        <v/>
      </c>
    </row>
    <row r="2901" spans="2:9" ht="15" customHeight="1" x14ac:dyDescent="0.2">
      <c r="B2901" s="8"/>
      <c r="C2901" s="6" t="str">
        <f>IF(B2901="","",[1]!s_dq_close(股指期货基差分析!$E$5,$B2901))</f>
        <v/>
      </c>
      <c r="D2901" s="6" t="str">
        <f>IF(B2901="","",[1]!s_dq_close(股指期货基差分析!$E$6,$B2901))</f>
        <v/>
      </c>
      <c r="E2901" s="6" t="e">
        <f ca="1">RANK(F2901,F:F)+COUNTIF(F$2:F2901,F2901)-1</f>
        <v>#VALUE!</v>
      </c>
      <c r="F2901" s="6" t="str">
        <f t="shared" si="46"/>
        <v/>
      </c>
      <c r="G2901" s="6" t="str">
        <f>IF(B2901="","",股指期货基差分析!$N$11)</f>
        <v/>
      </c>
      <c r="H2901" s="6" t="str">
        <f>IF(B2901="","",股指期货基差分析!$L$11)</f>
        <v/>
      </c>
      <c r="I2901" s="10" t="str">
        <f>IF(B2901="","",股指期货基差分析!$D$11)</f>
        <v/>
      </c>
    </row>
    <row r="2902" spans="2:9" ht="15" customHeight="1" x14ac:dyDescent="0.2">
      <c r="B2902" s="7"/>
      <c r="C2902" s="5" t="str">
        <f>IF(B2902="","",[1]!s_dq_close(股指期货基差分析!$E$5,$B2902))</f>
        <v/>
      </c>
      <c r="D2902" s="5" t="str">
        <f>IF(B2902="","",[1]!s_dq_close(股指期货基差分析!$E$6,$B2902))</f>
        <v/>
      </c>
      <c r="E2902" s="5" t="e">
        <f ca="1">RANK(F2902,F:F)+COUNTIF(F$2:F2902,F2902)-1</f>
        <v>#VALUE!</v>
      </c>
      <c r="F2902" s="5" t="str">
        <f t="shared" si="46"/>
        <v/>
      </c>
      <c r="G2902" s="5" t="str">
        <f>IF(B2902="","",股指期货基差分析!$N$11)</f>
        <v/>
      </c>
      <c r="H2902" s="5" t="str">
        <f>IF(B2902="","",股指期货基差分析!$L$11)</f>
        <v/>
      </c>
      <c r="I2902" s="9" t="str">
        <f>IF(B2902="","",股指期货基差分析!$D$11)</f>
        <v/>
      </c>
    </row>
    <row r="2903" spans="2:9" ht="15" customHeight="1" x14ac:dyDescent="0.2">
      <c r="B2903" s="8"/>
      <c r="C2903" s="6" t="str">
        <f>IF(B2903="","",[1]!s_dq_close(股指期货基差分析!$E$5,$B2903))</f>
        <v/>
      </c>
      <c r="D2903" s="6" t="str">
        <f>IF(B2903="","",[1]!s_dq_close(股指期货基差分析!$E$6,$B2903))</f>
        <v/>
      </c>
      <c r="E2903" s="6" t="e">
        <f ca="1">RANK(F2903,F:F)+COUNTIF(F$2:F2903,F2903)-1</f>
        <v>#VALUE!</v>
      </c>
      <c r="F2903" s="6" t="str">
        <f t="shared" si="46"/>
        <v/>
      </c>
      <c r="G2903" s="6" t="str">
        <f>IF(B2903="","",股指期货基差分析!$N$11)</f>
        <v/>
      </c>
      <c r="H2903" s="6" t="str">
        <f>IF(B2903="","",股指期货基差分析!$L$11)</f>
        <v/>
      </c>
      <c r="I2903" s="10" t="str">
        <f>IF(B2903="","",股指期货基差分析!$D$11)</f>
        <v/>
      </c>
    </row>
    <row r="2904" spans="2:9" ht="15" customHeight="1" x14ac:dyDescent="0.2">
      <c r="B2904" s="7"/>
      <c r="C2904" s="5" t="str">
        <f>IF(B2904="","",[1]!s_dq_close(股指期货基差分析!$E$5,$B2904))</f>
        <v/>
      </c>
      <c r="D2904" s="5" t="str">
        <f>IF(B2904="","",[1]!s_dq_close(股指期货基差分析!$E$6,$B2904))</f>
        <v/>
      </c>
      <c r="E2904" s="5" t="e">
        <f ca="1">RANK(F2904,F:F)+COUNTIF(F$2:F2904,F2904)-1</f>
        <v>#VALUE!</v>
      </c>
      <c r="F2904" s="5" t="str">
        <f t="shared" si="46"/>
        <v/>
      </c>
      <c r="G2904" s="5" t="str">
        <f>IF(B2904="","",股指期货基差分析!$N$11)</f>
        <v/>
      </c>
      <c r="H2904" s="5" t="str">
        <f>IF(B2904="","",股指期货基差分析!$L$11)</f>
        <v/>
      </c>
      <c r="I2904" s="9" t="str">
        <f>IF(B2904="","",股指期货基差分析!$D$11)</f>
        <v/>
      </c>
    </row>
    <row r="2905" spans="2:9" ht="15" customHeight="1" x14ac:dyDescent="0.2">
      <c r="B2905" s="8"/>
      <c r="C2905" s="6" t="str">
        <f>IF(B2905="","",[1]!s_dq_close(股指期货基差分析!$E$5,$B2905))</f>
        <v/>
      </c>
      <c r="D2905" s="6" t="str">
        <f>IF(B2905="","",[1]!s_dq_close(股指期货基差分析!$E$6,$B2905))</f>
        <v/>
      </c>
      <c r="E2905" s="6" t="e">
        <f ca="1">RANK(F2905,F:F)+COUNTIF(F$2:F2905,F2905)-1</f>
        <v>#VALUE!</v>
      </c>
      <c r="F2905" s="6" t="str">
        <f t="shared" si="46"/>
        <v/>
      </c>
      <c r="G2905" s="6" t="str">
        <f>IF(B2905="","",股指期货基差分析!$N$11)</f>
        <v/>
      </c>
      <c r="H2905" s="6" t="str">
        <f>IF(B2905="","",股指期货基差分析!$L$11)</f>
        <v/>
      </c>
      <c r="I2905" s="10" t="str">
        <f>IF(B2905="","",股指期货基差分析!$D$11)</f>
        <v/>
      </c>
    </row>
    <row r="2906" spans="2:9" ht="15" customHeight="1" x14ac:dyDescent="0.2">
      <c r="B2906" s="7"/>
      <c r="C2906" s="5" t="str">
        <f>IF(B2906="","",[1]!s_dq_close(股指期货基差分析!$E$5,$B2906))</f>
        <v/>
      </c>
      <c r="D2906" s="5" t="str">
        <f>IF(B2906="","",[1]!s_dq_close(股指期货基差分析!$E$6,$B2906))</f>
        <v/>
      </c>
      <c r="E2906" s="5" t="e">
        <f ca="1">RANK(F2906,F:F)+COUNTIF(F$2:F2906,F2906)-1</f>
        <v>#VALUE!</v>
      </c>
      <c r="F2906" s="5" t="str">
        <f t="shared" si="46"/>
        <v/>
      </c>
      <c r="G2906" s="5" t="str">
        <f>IF(B2906="","",股指期货基差分析!$N$11)</f>
        <v/>
      </c>
      <c r="H2906" s="5" t="str">
        <f>IF(B2906="","",股指期货基差分析!$L$11)</f>
        <v/>
      </c>
      <c r="I2906" s="9" t="str">
        <f>IF(B2906="","",股指期货基差分析!$D$11)</f>
        <v/>
      </c>
    </row>
    <row r="2907" spans="2:9" ht="15" customHeight="1" x14ac:dyDescent="0.2">
      <c r="B2907" s="8"/>
      <c r="C2907" s="6" t="str">
        <f>IF(B2907="","",[1]!s_dq_close(股指期货基差分析!$E$5,$B2907))</f>
        <v/>
      </c>
      <c r="D2907" s="6" t="str">
        <f>IF(B2907="","",[1]!s_dq_close(股指期货基差分析!$E$6,$B2907))</f>
        <v/>
      </c>
      <c r="E2907" s="6" t="e">
        <f ca="1">RANK(F2907,F:F)+COUNTIF(F$2:F2907,F2907)-1</f>
        <v>#VALUE!</v>
      </c>
      <c r="F2907" s="6" t="str">
        <f t="shared" si="46"/>
        <v/>
      </c>
      <c r="G2907" s="6" t="str">
        <f>IF(B2907="","",股指期货基差分析!$N$11)</f>
        <v/>
      </c>
      <c r="H2907" s="6" t="str">
        <f>IF(B2907="","",股指期货基差分析!$L$11)</f>
        <v/>
      </c>
      <c r="I2907" s="10" t="str">
        <f>IF(B2907="","",股指期货基差分析!$D$11)</f>
        <v/>
      </c>
    </row>
    <row r="2908" spans="2:9" ht="15" customHeight="1" x14ac:dyDescent="0.2">
      <c r="B2908" s="7"/>
      <c r="C2908" s="5" t="str">
        <f>IF(B2908="","",[1]!s_dq_close(股指期货基差分析!$E$5,$B2908))</f>
        <v/>
      </c>
      <c r="D2908" s="5" t="str">
        <f>IF(B2908="","",[1]!s_dq_close(股指期货基差分析!$E$6,$B2908))</f>
        <v/>
      </c>
      <c r="E2908" s="5" t="e">
        <f ca="1">RANK(F2908,F:F)+COUNTIF(F$2:F2908,F2908)-1</f>
        <v>#VALUE!</v>
      </c>
      <c r="F2908" s="5" t="str">
        <f t="shared" si="46"/>
        <v/>
      </c>
      <c r="G2908" s="5" t="str">
        <f>IF(B2908="","",股指期货基差分析!$N$11)</f>
        <v/>
      </c>
      <c r="H2908" s="5" t="str">
        <f>IF(B2908="","",股指期货基差分析!$L$11)</f>
        <v/>
      </c>
      <c r="I2908" s="9" t="str">
        <f>IF(B2908="","",股指期货基差分析!$D$11)</f>
        <v/>
      </c>
    </row>
    <row r="2909" spans="2:9" ht="15" customHeight="1" x14ac:dyDescent="0.2">
      <c r="B2909" s="8"/>
      <c r="C2909" s="6" t="str">
        <f>IF(B2909="","",[1]!s_dq_close(股指期货基差分析!$E$5,$B2909))</f>
        <v/>
      </c>
      <c r="D2909" s="6" t="str">
        <f>IF(B2909="","",[1]!s_dq_close(股指期货基差分析!$E$6,$B2909))</f>
        <v/>
      </c>
      <c r="E2909" s="6" t="e">
        <f ca="1">RANK(F2909,F:F)+COUNTIF(F$2:F2909,F2909)-1</f>
        <v>#VALUE!</v>
      </c>
      <c r="F2909" s="6" t="str">
        <f t="shared" si="46"/>
        <v/>
      </c>
      <c r="G2909" s="6" t="str">
        <f>IF(B2909="","",股指期货基差分析!$N$11)</f>
        <v/>
      </c>
      <c r="H2909" s="6" t="str">
        <f>IF(B2909="","",股指期货基差分析!$L$11)</f>
        <v/>
      </c>
      <c r="I2909" s="10" t="str">
        <f>IF(B2909="","",股指期货基差分析!$D$11)</f>
        <v/>
      </c>
    </row>
    <row r="2910" spans="2:9" ht="15" customHeight="1" x14ac:dyDescent="0.2">
      <c r="B2910" s="7"/>
      <c r="C2910" s="5" t="str">
        <f>IF(B2910="","",[1]!s_dq_close(股指期货基差分析!$E$5,$B2910))</f>
        <v/>
      </c>
      <c r="D2910" s="5" t="str">
        <f>IF(B2910="","",[1]!s_dq_close(股指期货基差分析!$E$6,$B2910))</f>
        <v/>
      </c>
      <c r="E2910" s="5" t="e">
        <f ca="1">RANK(F2910,F:F)+COUNTIF(F$2:F2910,F2910)-1</f>
        <v>#VALUE!</v>
      </c>
      <c r="F2910" s="5" t="str">
        <f t="shared" si="46"/>
        <v/>
      </c>
      <c r="G2910" s="5" t="str">
        <f>IF(B2910="","",股指期货基差分析!$N$11)</f>
        <v/>
      </c>
      <c r="H2910" s="5" t="str">
        <f>IF(B2910="","",股指期货基差分析!$L$11)</f>
        <v/>
      </c>
      <c r="I2910" s="9" t="str">
        <f>IF(B2910="","",股指期货基差分析!$D$11)</f>
        <v/>
      </c>
    </row>
    <row r="2911" spans="2:9" ht="15" customHeight="1" x14ac:dyDescent="0.2">
      <c r="B2911" s="8"/>
      <c r="C2911" s="6" t="str">
        <f>IF(B2911="","",[1]!s_dq_close(股指期货基差分析!$E$5,$B2911))</f>
        <v/>
      </c>
      <c r="D2911" s="6" t="str">
        <f>IF(B2911="","",[1]!s_dq_close(股指期货基差分析!$E$6,$B2911))</f>
        <v/>
      </c>
      <c r="E2911" s="6" t="e">
        <f ca="1">RANK(F2911,F:F)+COUNTIF(F$2:F2911,F2911)-1</f>
        <v>#VALUE!</v>
      </c>
      <c r="F2911" s="6" t="str">
        <f t="shared" si="46"/>
        <v/>
      </c>
      <c r="G2911" s="6" t="str">
        <f>IF(B2911="","",股指期货基差分析!$N$11)</f>
        <v/>
      </c>
      <c r="H2911" s="6" t="str">
        <f>IF(B2911="","",股指期货基差分析!$L$11)</f>
        <v/>
      </c>
      <c r="I2911" s="10" t="str">
        <f>IF(B2911="","",股指期货基差分析!$D$11)</f>
        <v/>
      </c>
    </row>
    <row r="2912" spans="2:9" ht="15" customHeight="1" x14ac:dyDescent="0.2">
      <c r="B2912" s="7"/>
      <c r="C2912" s="5" t="str">
        <f>IF(B2912="","",[1]!s_dq_close(股指期货基差分析!$E$5,$B2912))</f>
        <v/>
      </c>
      <c r="D2912" s="5" t="str">
        <f>IF(B2912="","",[1]!s_dq_close(股指期货基差分析!$E$6,$B2912))</f>
        <v/>
      </c>
      <c r="E2912" s="5" t="e">
        <f ca="1">RANK(F2912,F:F)+COUNTIF(F$2:F2912,F2912)-1</f>
        <v>#VALUE!</v>
      </c>
      <c r="F2912" s="5" t="str">
        <f t="shared" si="46"/>
        <v/>
      </c>
      <c r="G2912" s="5" t="str">
        <f>IF(B2912="","",股指期货基差分析!$N$11)</f>
        <v/>
      </c>
      <c r="H2912" s="5" t="str">
        <f>IF(B2912="","",股指期货基差分析!$L$11)</f>
        <v/>
      </c>
      <c r="I2912" s="9" t="str">
        <f>IF(B2912="","",股指期货基差分析!$D$11)</f>
        <v/>
      </c>
    </row>
    <row r="2913" spans="2:9" ht="15" customHeight="1" x14ac:dyDescent="0.2">
      <c r="B2913" s="8"/>
      <c r="C2913" s="6" t="str">
        <f>IF(B2913="","",[1]!s_dq_close(股指期货基差分析!$E$5,$B2913))</f>
        <v/>
      </c>
      <c r="D2913" s="6" t="str">
        <f>IF(B2913="","",[1]!s_dq_close(股指期货基差分析!$E$6,$B2913))</f>
        <v/>
      </c>
      <c r="E2913" s="6" t="e">
        <f ca="1">RANK(F2913,F:F)+COUNTIF(F$2:F2913,F2913)-1</f>
        <v>#VALUE!</v>
      </c>
      <c r="F2913" s="6" t="str">
        <f t="shared" si="46"/>
        <v/>
      </c>
      <c r="G2913" s="6" t="str">
        <f>IF(B2913="","",股指期货基差分析!$N$11)</f>
        <v/>
      </c>
      <c r="H2913" s="6" t="str">
        <f>IF(B2913="","",股指期货基差分析!$L$11)</f>
        <v/>
      </c>
      <c r="I2913" s="10" t="str">
        <f>IF(B2913="","",股指期货基差分析!$D$11)</f>
        <v/>
      </c>
    </row>
    <row r="2914" spans="2:9" ht="15" customHeight="1" x14ac:dyDescent="0.2">
      <c r="B2914" s="7"/>
      <c r="C2914" s="5" t="str">
        <f>IF(B2914="","",[1]!s_dq_close(股指期货基差分析!$E$5,$B2914))</f>
        <v/>
      </c>
      <c r="D2914" s="5" t="str">
        <f>IF(B2914="","",[1]!s_dq_close(股指期货基差分析!$E$6,$B2914))</f>
        <v/>
      </c>
      <c r="E2914" s="5" t="e">
        <f ca="1">RANK(F2914,F:F)+COUNTIF(F$2:F2914,F2914)-1</f>
        <v>#VALUE!</v>
      </c>
      <c r="F2914" s="5" t="str">
        <f t="shared" si="46"/>
        <v/>
      </c>
      <c r="G2914" s="5" t="str">
        <f>IF(B2914="","",股指期货基差分析!$N$11)</f>
        <v/>
      </c>
      <c r="H2914" s="5" t="str">
        <f>IF(B2914="","",股指期货基差分析!$L$11)</f>
        <v/>
      </c>
      <c r="I2914" s="9" t="str">
        <f>IF(B2914="","",股指期货基差分析!$D$11)</f>
        <v/>
      </c>
    </row>
    <row r="2915" spans="2:9" ht="15" customHeight="1" x14ac:dyDescent="0.2">
      <c r="B2915" s="8"/>
      <c r="C2915" s="6" t="str">
        <f>IF(B2915="","",[1]!s_dq_close(股指期货基差分析!$E$5,$B2915))</f>
        <v/>
      </c>
      <c r="D2915" s="6" t="str">
        <f>IF(B2915="","",[1]!s_dq_close(股指期货基差分析!$E$6,$B2915))</f>
        <v/>
      </c>
      <c r="E2915" s="6" t="e">
        <f ca="1">RANK(F2915,F:F)+COUNTIF(F$2:F2915,F2915)-1</f>
        <v>#VALUE!</v>
      </c>
      <c r="F2915" s="6" t="str">
        <f t="shared" si="46"/>
        <v/>
      </c>
      <c r="G2915" s="6" t="str">
        <f>IF(B2915="","",股指期货基差分析!$N$11)</f>
        <v/>
      </c>
      <c r="H2915" s="6" t="str">
        <f>IF(B2915="","",股指期货基差分析!$L$11)</f>
        <v/>
      </c>
      <c r="I2915" s="10" t="str">
        <f>IF(B2915="","",股指期货基差分析!$D$11)</f>
        <v/>
      </c>
    </row>
    <row r="2916" spans="2:9" ht="15" customHeight="1" x14ac:dyDescent="0.2">
      <c r="B2916" s="7"/>
      <c r="C2916" s="5" t="str">
        <f>IF(B2916="","",[1]!s_dq_close(股指期货基差分析!$E$5,$B2916))</f>
        <v/>
      </c>
      <c r="D2916" s="5" t="str">
        <f>IF(B2916="","",[1]!s_dq_close(股指期货基差分析!$E$6,$B2916))</f>
        <v/>
      </c>
      <c r="E2916" s="5" t="e">
        <f ca="1">RANK(F2916,F:F)+COUNTIF(F$2:F2916,F2916)-1</f>
        <v>#VALUE!</v>
      </c>
      <c r="F2916" s="5" t="str">
        <f t="shared" si="46"/>
        <v/>
      </c>
      <c r="G2916" s="5" t="str">
        <f>IF(B2916="","",股指期货基差分析!$N$11)</f>
        <v/>
      </c>
      <c r="H2916" s="5" t="str">
        <f>IF(B2916="","",股指期货基差分析!$L$11)</f>
        <v/>
      </c>
      <c r="I2916" s="9" t="str">
        <f>IF(B2916="","",股指期货基差分析!$D$11)</f>
        <v/>
      </c>
    </row>
    <row r="2917" spans="2:9" ht="15" customHeight="1" x14ac:dyDescent="0.2">
      <c r="B2917" s="8"/>
      <c r="C2917" s="6" t="str">
        <f>IF(B2917="","",[1]!s_dq_close(股指期货基差分析!$E$5,$B2917))</f>
        <v/>
      </c>
      <c r="D2917" s="6" t="str">
        <f>IF(B2917="","",[1]!s_dq_close(股指期货基差分析!$E$6,$B2917))</f>
        <v/>
      </c>
      <c r="E2917" s="6" t="e">
        <f ca="1">RANK(F2917,F:F)+COUNTIF(F$2:F2917,F2917)-1</f>
        <v>#VALUE!</v>
      </c>
      <c r="F2917" s="6" t="str">
        <f t="shared" si="46"/>
        <v/>
      </c>
      <c r="G2917" s="6" t="str">
        <f>IF(B2917="","",股指期货基差分析!$N$11)</f>
        <v/>
      </c>
      <c r="H2917" s="6" t="str">
        <f>IF(B2917="","",股指期货基差分析!$L$11)</f>
        <v/>
      </c>
      <c r="I2917" s="10" t="str">
        <f>IF(B2917="","",股指期货基差分析!$D$11)</f>
        <v/>
      </c>
    </row>
    <row r="2918" spans="2:9" ht="15" customHeight="1" x14ac:dyDescent="0.2">
      <c r="B2918" s="7"/>
      <c r="C2918" s="5" t="str">
        <f>IF(B2918="","",[1]!s_dq_close(股指期货基差分析!$E$5,$B2918))</f>
        <v/>
      </c>
      <c r="D2918" s="5" t="str">
        <f>IF(B2918="","",[1]!s_dq_close(股指期货基差分析!$E$6,$B2918))</f>
        <v/>
      </c>
      <c r="E2918" s="5" t="e">
        <f ca="1">RANK(F2918,F:F)+COUNTIF(F$2:F2918,F2918)-1</f>
        <v>#VALUE!</v>
      </c>
      <c r="F2918" s="5" t="str">
        <f t="shared" si="46"/>
        <v/>
      </c>
      <c r="G2918" s="5" t="str">
        <f>IF(B2918="","",股指期货基差分析!$N$11)</f>
        <v/>
      </c>
      <c r="H2918" s="5" t="str">
        <f>IF(B2918="","",股指期货基差分析!$L$11)</f>
        <v/>
      </c>
      <c r="I2918" s="9" t="str">
        <f>IF(B2918="","",股指期货基差分析!$D$11)</f>
        <v/>
      </c>
    </row>
    <row r="2919" spans="2:9" ht="15" customHeight="1" x14ac:dyDescent="0.2">
      <c r="B2919" s="8"/>
      <c r="C2919" s="6" t="str">
        <f>IF(B2919="","",[1]!s_dq_close(股指期货基差分析!$E$5,$B2919))</f>
        <v/>
      </c>
      <c r="D2919" s="6" t="str">
        <f>IF(B2919="","",[1]!s_dq_close(股指期货基差分析!$E$6,$B2919))</f>
        <v/>
      </c>
      <c r="E2919" s="6" t="e">
        <f ca="1">RANK(F2919,F:F)+COUNTIF(F$2:F2919,F2919)-1</f>
        <v>#VALUE!</v>
      </c>
      <c r="F2919" s="6" t="str">
        <f t="shared" si="46"/>
        <v/>
      </c>
      <c r="G2919" s="6" t="str">
        <f>IF(B2919="","",股指期货基差分析!$N$11)</f>
        <v/>
      </c>
      <c r="H2919" s="6" t="str">
        <f>IF(B2919="","",股指期货基差分析!$L$11)</f>
        <v/>
      </c>
      <c r="I2919" s="10" t="str">
        <f>IF(B2919="","",股指期货基差分析!$D$11)</f>
        <v/>
      </c>
    </row>
    <row r="2920" spans="2:9" ht="15" customHeight="1" x14ac:dyDescent="0.2">
      <c r="B2920" s="7"/>
      <c r="C2920" s="5" t="str">
        <f>IF(B2920="","",[1]!s_dq_close(股指期货基差分析!$E$5,$B2920))</f>
        <v/>
      </c>
      <c r="D2920" s="5" t="str">
        <f>IF(B2920="","",[1]!s_dq_close(股指期货基差分析!$E$6,$B2920))</f>
        <v/>
      </c>
      <c r="E2920" s="5" t="e">
        <f ca="1">RANK(F2920,F:F)+COUNTIF(F$2:F2920,F2920)-1</f>
        <v>#VALUE!</v>
      </c>
      <c r="F2920" s="5" t="str">
        <f t="shared" si="46"/>
        <v/>
      </c>
      <c r="G2920" s="5" t="str">
        <f>IF(B2920="","",股指期货基差分析!$N$11)</f>
        <v/>
      </c>
      <c r="H2920" s="5" t="str">
        <f>IF(B2920="","",股指期货基差分析!$L$11)</f>
        <v/>
      </c>
      <c r="I2920" s="9" t="str">
        <f>IF(B2920="","",股指期货基差分析!$D$11)</f>
        <v/>
      </c>
    </row>
    <row r="2921" spans="2:9" ht="15" customHeight="1" x14ac:dyDescent="0.2">
      <c r="B2921" s="8"/>
      <c r="C2921" s="6" t="str">
        <f>IF(B2921="","",[1]!s_dq_close(股指期货基差分析!$E$5,$B2921))</f>
        <v/>
      </c>
      <c r="D2921" s="6" t="str">
        <f>IF(B2921="","",[1]!s_dq_close(股指期货基差分析!$E$6,$B2921))</f>
        <v/>
      </c>
      <c r="E2921" s="6" t="e">
        <f ca="1">RANK(F2921,F:F)+COUNTIF(F$2:F2921,F2921)-1</f>
        <v>#VALUE!</v>
      </c>
      <c r="F2921" s="6" t="str">
        <f t="shared" si="46"/>
        <v/>
      </c>
      <c r="G2921" s="6" t="str">
        <f>IF(B2921="","",股指期货基差分析!$N$11)</f>
        <v/>
      </c>
      <c r="H2921" s="6" t="str">
        <f>IF(B2921="","",股指期货基差分析!$L$11)</f>
        <v/>
      </c>
      <c r="I2921" s="10" t="str">
        <f>IF(B2921="","",股指期货基差分析!$D$11)</f>
        <v/>
      </c>
    </row>
    <row r="2922" spans="2:9" ht="15" customHeight="1" x14ac:dyDescent="0.2">
      <c r="B2922" s="7"/>
      <c r="C2922" s="5" t="str">
        <f>IF(B2922="","",[1]!s_dq_close(股指期货基差分析!$E$5,$B2922))</f>
        <v/>
      </c>
      <c r="D2922" s="5" t="str">
        <f>IF(B2922="","",[1]!s_dq_close(股指期货基差分析!$E$6,$B2922))</f>
        <v/>
      </c>
      <c r="E2922" s="5" t="e">
        <f ca="1">RANK(F2922,F:F)+COUNTIF(F$2:F2922,F2922)-1</f>
        <v>#VALUE!</v>
      </c>
      <c r="F2922" s="5" t="str">
        <f t="shared" si="46"/>
        <v/>
      </c>
      <c r="G2922" s="5" t="str">
        <f>IF(B2922="","",股指期货基差分析!$N$11)</f>
        <v/>
      </c>
      <c r="H2922" s="5" t="str">
        <f>IF(B2922="","",股指期货基差分析!$L$11)</f>
        <v/>
      </c>
      <c r="I2922" s="9" t="str">
        <f>IF(B2922="","",股指期货基差分析!$D$11)</f>
        <v/>
      </c>
    </row>
    <row r="2923" spans="2:9" ht="15" customHeight="1" x14ac:dyDescent="0.2">
      <c r="B2923" s="8"/>
      <c r="C2923" s="6" t="str">
        <f>IF(B2923="","",[1]!s_dq_close(股指期货基差分析!$E$5,$B2923))</f>
        <v/>
      </c>
      <c r="D2923" s="6" t="str">
        <f>IF(B2923="","",[1]!s_dq_close(股指期货基差分析!$E$6,$B2923))</f>
        <v/>
      </c>
      <c r="E2923" s="6" t="e">
        <f ca="1">RANK(F2923,F:F)+COUNTIF(F$2:F2923,F2923)-1</f>
        <v>#VALUE!</v>
      </c>
      <c r="F2923" s="6" t="str">
        <f t="shared" si="46"/>
        <v/>
      </c>
      <c r="G2923" s="6" t="str">
        <f>IF(B2923="","",股指期货基差分析!$N$11)</f>
        <v/>
      </c>
      <c r="H2923" s="6" t="str">
        <f>IF(B2923="","",股指期货基差分析!$L$11)</f>
        <v/>
      </c>
      <c r="I2923" s="10" t="str">
        <f>IF(B2923="","",股指期货基差分析!$D$11)</f>
        <v/>
      </c>
    </row>
    <row r="2924" spans="2:9" ht="15" customHeight="1" x14ac:dyDescent="0.2">
      <c r="B2924" s="7"/>
      <c r="C2924" s="5" t="str">
        <f>IF(B2924="","",[1]!s_dq_close(股指期货基差分析!$E$5,$B2924))</f>
        <v/>
      </c>
      <c r="D2924" s="5" t="str">
        <f>IF(B2924="","",[1]!s_dq_close(股指期货基差分析!$E$6,$B2924))</f>
        <v/>
      </c>
      <c r="E2924" s="5" t="e">
        <f ca="1">RANK(F2924,F:F)+COUNTIF(F$2:F2924,F2924)-1</f>
        <v>#VALUE!</v>
      </c>
      <c r="F2924" s="5" t="str">
        <f t="shared" si="46"/>
        <v/>
      </c>
      <c r="G2924" s="5" t="str">
        <f>IF(B2924="","",股指期货基差分析!$N$11)</f>
        <v/>
      </c>
      <c r="H2924" s="5" t="str">
        <f>IF(B2924="","",股指期货基差分析!$L$11)</f>
        <v/>
      </c>
      <c r="I2924" s="9" t="str">
        <f>IF(B2924="","",股指期货基差分析!$D$11)</f>
        <v/>
      </c>
    </row>
    <row r="2925" spans="2:9" ht="15" customHeight="1" x14ac:dyDescent="0.2">
      <c r="B2925" s="8"/>
      <c r="C2925" s="6" t="str">
        <f>IF(B2925="","",[1]!s_dq_close(股指期货基差分析!$E$5,$B2925))</f>
        <v/>
      </c>
      <c r="D2925" s="6" t="str">
        <f>IF(B2925="","",[1]!s_dq_close(股指期货基差分析!$E$6,$B2925))</f>
        <v/>
      </c>
      <c r="E2925" s="6" t="e">
        <f ca="1">RANK(F2925,F:F)+COUNTIF(F$2:F2925,F2925)-1</f>
        <v>#VALUE!</v>
      </c>
      <c r="F2925" s="6" t="str">
        <f t="shared" si="46"/>
        <v/>
      </c>
      <c r="G2925" s="6" t="str">
        <f>IF(B2925="","",股指期货基差分析!$N$11)</f>
        <v/>
      </c>
      <c r="H2925" s="6" t="str">
        <f>IF(B2925="","",股指期货基差分析!$L$11)</f>
        <v/>
      </c>
      <c r="I2925" s="10" t="str">
        <f>IF(B2925="","",股指期货基差分析!$D$11)</f>
        <v/>
      </c>
    </row>
    <row r="2926" spans="2:9" ht="15" customHeight="1" x14ac:dyDescent="0.2">
      <c r="B2926" s="7"/>
      <c r="C2926" s="5" t="str">
        <f>IF(B2926="","",[1]!s_dq_close(股指期货基差分析!$E$5,$B2926))</f>
        <v/>
      </c>
      <c r="D2926" s="5" t="str">
        <f>IF(B2926="","",[1]!s_dq_close(股指期货基差分析!$E$6,$B2926))</f>
        <v/>
      </c>
      <c r="E2926" s="5" t="e">
        <f ca="1">RANK(F2926,F:F)+COUNTIF(F$2:F2926,F2926)-1</f>
        <v>#VALUE!</v>
      </c>
      <c r="F2926" s="5" t="str">
        <f t="shared" si="46"/>
        <v/>
      </c>
      <c r="G2926" s="5" t="str">
        <f>IF(B2926="","",股指期货基差分析!$N$11)</f>
        <v/>
      </c>
      <c r="H2926" s="5" t="str">
        <f>IF(B2926="","",股指期货基差分析!$L$11)</f>
        <v/>
      </c>
      <c r="I2926" s="9" t="str">
        <f>IF(B2926="","",股指期货基差分析!$D$11)</f>
        <v/>
      </c>
    </row>
    <row r="2927" spans="2:9" ht="15" customHeight="1" x14ac:dyDescent="0.2">
      <c r="B2927" s="8"/>
      <c r="C2927" s="6" t="str">
        <f>IF(B2927="","",[1]!s_dq_close(股指期货基差分析!$E$5,$B2927))</f>
        <v/>
      </c>
      <c r="D2927" s="6" t="str">
        <f>IF(B2927="","",[1]!s_dq_close(股指期货基差分析!$E$6,$B2927))</f>
        <v/>
      </c>
      <c r="E2927" s="6" t="e">
        <f ca="1">RANK(F2927,F:F)+COUNTIF(F$2:F2927,F2927)-1</f>
        <v>#VALUE!</v>
      </c>
      <c r="F2927" s="6" t="str">
        <f t="shared" si="46"/>
        <v/>
      </c>
      <c r="G2927" s="6" t="str">
        <f>IF(B2927="","",股指期货基差分析!$N$11)</f>
        <v/>
      </c>
      <c r="H2927" s="6" t="str">
        <f>IF(B2927="","",股指期货基差分析!$L$11)</f>
        <v/>
      </c>
      <c r="I2927" s="10" t="str">
        <f>IF(B2927="","",股指期货基差分析!$D$11)</f>
        <v/>
      </c>
    </row>
    <row r="2928" spans="2:9" ht="15" customHeight="1" x14ac:dyDescent="0.2">
      <c r="B2928" s="7"/>
      <c r="C2928" s="5" t="str">
        <f>IF(B2928="","",[1]!s_dq_close(股指期货基差分析!$E$5,$B2928))</f>
        <v/>
      </c>
      <c r="D2928" s="5" t="str">
        <f>IF(B2928="","",[1]!s_dq_close(股指期货基差分析!$E$6,$B2928))</f>
        <v/>
      </c>
      <c r="E2928" s="5" t="e">
        <f ca="1">RANK(F2928,F:F)+COUNTIF(F$2:F2928,F2928)-1</f>
        <v>#VALUE!</v>
      </c>
      <c r="F2928" s="5" t="str">
        <f t="shared" si="46"/>
        <v/>
      </c>
      <c r="G2928" s="5" t="str">
        <f>IF(B2928="","",股指期货基差分析!$N$11)</f>
        <v/>
      </c>
      <c r="H2928" s="5" t="str">
        <f>IF(B2928="","",股指期货基差分析!$L$11)</f>
        <v/>
      </c>
      <c r="I2928" s="9" t="str">
        <f>IF(B2928="","",股指期货基差分析!$D$11)</f>
        <v/>
      </c>
    </row>
    <row r="2929" spans="2:9" ht="15" customHeight="1" x14ac:dyDescent="0.2">
      <c r="B2929" s="8"/>
      <c r="C2929" s="6" t="str">
        <f>IF(B2929="","",[1]!s_dq_close(股指期货基差分析!$E$5,$B2929))</f>
        <v/>
      </c>
      <c r="D2929" s="6" t="str">
        <f>IF(B2929="","",[1]!s_dq_close(股指期货基差分析!$E$6,$B2929))</f>
        <v/>
      </c>
      <c r="E2929" s="6" t="e">
        <f ca="1">RANK(F2929,F:F)+COUNTIF(F$2:F2929,F2929)-1</f>
        <v>#VALUE!</v>
      </c>
      <c r="F2929" s="6" t="str">
        <f t="shared" si="46"/>
        <v/>
      </c>
      <c r="G2929" s="6" t="str">
        <f>IF(B2929="","",股指期货基差分析!$N$11)</f>
        <v/>
      </c>
      <c r="H2929" s="6" t="str">
        <f>IF(B2929="","",股指期货基差分析!$L$11)</f>
        <v/>
      </c>
      <c r="I2929" s="10" t="str">
        <f>IF(B2929="","",股指期货基差分析!$D$11)</f>
        <v/>
      </c>
    </row>
    <row r="2930" spans="2:9" ht="15" customHeight="1" x14ac:dyDescent="0.2">
      <c r="B2930" s="7"/>
      <c r="C2930" s="5" t="str">
        <f>IF(B2930="","",[1]!s_dq_close(股指期货基差分析!$E$5,$B2930))</f>
        <v/>
      </c>
      <c r="D2930" s="5" t="str">
        <f>IF(B2930="","",[1]!s_dq_close(股指期货基差分析!$E$6,$B2930))</f>
        <v/>
      </c>
      <c r="E2930" s="5" t="e">
        <f ca="1">RANK(F2930,F:F)+COUNTIF(F$2:F2930,F2930)-1</f>
        <v>#VALUE!</v>
      </c>
      <c r="F2930" s="5" t="str">
        <f t="shared" si="46"/>
        <v/>
      </c>
      <c r="G2930" s="5" t="str">
        <f>IF(B2930="","",股指期货基差分析!$N$11)</f>
        <v/>
      </c>
      <c r="H2930" s="5" t="str">
        <f>IF(B2930="","",股指期货基差分析!$L$11)</f>
        <v/>
      </c>
      <c r="I2930" s="9" t="str">
        <f>IF(B2930="","",股指期货基差分析!$D$11)</f>
        <v/>
      </c>
    </row>
    <row r="2931" spans="2:9" ht="15" customHeight="1" x14ac:dyDescent="0.2">
      <c r="B2931" s="8"/>
      <c r="C2931" s="6" t="str">
        <f>IF(B2931="","",[1]!s_dq_close(股指期货基差分析!$E$5,$B2931))</f>
        <v/>
      </c>
      <c r="D2931" s="6" t="str">
        <f>IF(B2931="","",[1]!s_dq_close(股指期货基差分析!$E$6,$B2931))</f>
        <v/>
      </c>
      <c r="E2931" s="6" t="e">
        <f ca="1">RANK(F2931,F:F)+COUNTIF(F$2:F2931,F2931)-1</f>
        <v>#VALUE!</v>
      </c>
      <c r="F2931" s="6" t="str">
        <f t="shared" si="46"/>
        <v/>
      </c>
      <c r="G2931" s="6" t="str">
        <f>IF(B2931="","",股指期货基差分析!$N$11)</f>
        <v/>
      </c>
      <c r="H2931" s="6" t="str">
        <f>IF(B2931="","",股指期货基差分析!$L$11)</f>
        <v/>
      </c>
      <c r="I2931" s="10" t="str">
        <f>IF(B2931="","",股指期货基差分析!$D$11)</f>
        <v/>
      </c>
    </row>
    <row r="2932" spans="2:9" ht="15" customHeight="1" x14ac:dyDescent="0.2">
      <c r="B2932" s="7"/>
      <c r="C2932" s="5" t="str">
        <f>IF(B2932="","",[1]!s_dq_close(股指期货基差分析!$E$5,$B2932))</f>
        <v/>
      </c>
      <c r="D2932" s="5" t="str">
        <f>IF(B2932="","",[1]!s_dq_close(股指期货基差分析!$E$6,$B2932))</f>
        <v/>
      </c>
      <c r="E2932" s="5" t="e">
        <f ca="1">RANK(F2932,F:F)+COUNTIF(F$2:F2932,F2932)-1</f>
        <v>#VALUE!</v>
      </c>
      <c r="F2932" s="5" t="str">
        <f t="shared" si="46"/>
        <v/>
      </c>
      <c r="G2932" s="5" t="str">
        <f>IF(B2932="","",股指期货基差分析!$N$11)</f>
        <v/>
      </c>
      <c r="H2932" s="5" t="str">
        <f>IF(B2932="","",股指期货基差分析!$L$11)</f>
        <v/>
      </c>
      <c r="I2932" s="9" t="str">
        <f>IF(B2932="","",股指期货基差分析!$D$11)</f>
        <v/>
      </c>
    </row>
    <row r="2933" spans="2:9" ht="15" customHeight="1" x14ac:dyDescent="0.2">
      <c r="B2933" s="8"/>
      <c r="C2933" s="6" t="str">
        <f>IF(B2933="","",[1]!s_dq_close(股指期货基差分析!$E$5,$B2933))</f>
        <v/>
      </c>
      <c r="D2933" s="6" t="str">
        <f>IF(B2933="","",[1]!s_dq_close(股指期货基差分析!$E$6,$B2933))</f>
        <v/>
      </c>
      <c r="E2933" s="6" t="e">
        <f ca="1">RANK(F2933,F:F)+COUNTIF(F$2:F2933,F2933)-1</f>
        <v>#VALUE!</v>
      </c>
      <c r="F2933" s="6" t="str">
        <f t="shared" si="46"/>
        <v/>
      </c>
      <c r="G2933" s="6" t="str">
        <f>IF(B2933="","",股指期货基差分析!$N$11)</f>
        <v/>
      </c>
      <c r="H2933" s="6" t="str">
        <f>IF(B2933="","",股指期货基差分析!$L$11)</f>
        <v/>
      </c>
      <c r="I2933" s="10" t="str">
        <f>IF(B2933="","",股指期货基差分析!$D$11)</f>
        <v/>
      </c>
    </row>
    <row r="2934" spans="2:9" ht="15" customHeight="1" x14ac:dyDescent="0.2">
      <c r="B2934" s="7"/>
      <c r="C2934" s="5" t="str">
        <f>IF(B2934="","",[1]!s_dq_close(股指期货基差分析!$E$5,$B2934))</f>
        <v/>
      </c>
      <c r="D2934" s="5" t="str">
        <f>IF(B2934="","",[1]!s_dq_close(股指期货基差分析!$E$6,$B2934))</f>
        <v/>
      </c>
      <c r="E2934" s="5" t="e">
        <f ca="1">RANK(F2934,F:F)+COUNTIF(F$2:F2934,F2934)-1</f>
        <v>#VALUE!</v>
      </c>
      <c r="F2934" s="5" t="str">
        <f t="shared" si="46"/>
        <v/>
      </c>
      <c r="G2934" s="5" t="str">
        <f>IF(B2934="","",股指期货基差分析!$N$11)</f>
        <v/>
      </c>
      <c r="H2934" s="5" t="str">
        <f>IF(B2934="","",股指期货基差分析!$L$11)</f>
        <v/>
      </c>
      <c r="I2934" s="9" t="str">
        <f>IF(B2934="","",股指期货基差分析!$D$11)</f>
        <v/>
      </c>
    </row>
    <row r="2935" spans="2:9" ht="15" customHeight="1" x14ac:dyDescent="0.2">
      <c r="B2935" s="8"/>
      <c r="C2935" s="6" t="str">
        <f>IF(B2935="","",[1]!s_dq_close(股指期货基差分析!$E$5,$B2935))</f>
        <v/>
      </c>
      <c r="D2935" s="6" t="str">
        <f>IF(B2935="","",[1]!s_dq_close(股指期货基差分析!$E$6,$B2935))</f>
        <v/>
      </c>
      <c r="E2935" s="6" t="e">
        <f ca="1">RANK(F2935,F:F)+COUNTIF(F$2:F2935,F2935)-1</f>
        <v>#VALUE!</v>
      </c>
      <c r="F2935" s="6" t="str">
        <f t="shared" si="46"/>
        <v/>
      </c>
      <c r="G2935" s="6" t="str">
        <f>IF(B2935="","",股指期货基差分析!$N$11)</f>
        <v/>
      </c>
      <c r="H2935" s="6" t="str">
        <f>IF(B2935="","",股指期货基差分析!$L$11)</f>
        <v/>
      </c>
      <c r="I2935" s="10" t="str">
        <f>IF(B2935="","",股指期货基差分析!$D$11)</f>
        <v/>
      </c>
    </row>
    <row r="2936" spans="2:9" ht="15" customHeight="1" x14ac:dyDescent="0.2">
      <c r="B2936" s="7"/>
      <c r="C2936" s="5" t="str">
        <f>IF(B2936="","",[1]!s_dq_close(股指期货基差分析!$E$5,$B2936))</f>
        <v/>
      </c>
      <c r="D2936" s="5" t="str">
        <f>IF(B2936="","",[1]!s_dq_close(股指期货基差分析!$E$6,$B2936))</f>
        <v/>
      </c>
      <c r="E2936" s="5" t="e">
        <f ca="1">RANK(F2936,F:F)+COUNTIF(F$2:F2936,F2936)-1</f>
        <v>#VALUE!</v>
      </c>
      <c r="F2936" s="5" t="str">
        <f t="shared" si="46"/>
        <v/>
      </c>
      <c r="G2936" s="5" t="str">
        <f>IF(B2936="","",股指期货基差分析!$N$11)</f>
        <v/>
      </c>
      <c r="H2936" s="5" t="str">
        <f>IF(B2936="","",股指期货基差分析!$L$11)</f>
        <v/>
      </c>
      <c r="I2936" s="9" t="str">
        <f>IF(B2936="","",股指期货基差分析!$D$11)</f>
        <v/>
      </c>
    </row>
    <row r="2937" spans="2:9" ht="15" customHeight="1" x14ac:dyDescent="0.2">
      <c r="B2937" s="8"/>
      <c r="C2937" s="6" t="str">
        <f>IF(B2937="","",[1]!s_dq_close(股指期货基差分析!$E$5,$B2937))</f>
        <v/>
      </c>
      <c r="D2937" s="6" t="str">
        <f>IF(B2937="","",[1]!s_dq_close(股指期货基差分析!$E$6,$B2937))</f>
        <v/>
      </c>
      <c r="E2937" s="6" t="e">
        <f ca="1">RANK(F2937,F:F)+COUNTIF(F$2:F2937,F2937)-1</f>
        <v>#VALUE!</v>
      </c>
      <c r="F2937" s="6" t="str">
        <f t="shared" si="46"/>
        <v/>
      </c>
      <c r="G2937" s="6" t="str">
        <f>IF(B2937="","",股指期货基差分析!$N$11)</f>
        <v/>
      </c>
      <c r="H2937" s="6" t="str">
        <f>IF(B2937="","",股指期货基差分析!$L$11)</f>
        <v/>
      </c>
      <c r="I2937" s="10" t="str">
        <f>IF(B2937="","",股指期货基差分析!$D$11)</f>
        <v/>
      </c>
    </row>
    <row r="2938" spans="2:9" ht="15" customHeight="1" x14ac:dyDescent="0.2">
      <c r="B2938" s="7"/>
      <c r="C2938" s="5" t="str">
        <f>IF(B2938="","",[1]!s_dq_close(股指期货基差分析!$E$5,$B2938))</f>
        <v/>
      </c>
      <c r="D2938" s="5" t="str">
        <f>IF(B2938="","",[1]!s_dq_close(股指期货基差分析!$E$6,$B2938))</f>
        <v/>
      </c>
      <c r="E2938" s="5" t="e">
        <f ca="1">RANK(F2938,F:F)+COUNTIF(F$2:F2938,F2938)-1</f>
        <v>#VALUE!</v>
      </c>
      <c r="F2938" s="5" t="str">
        <f t="shared" si="46"/>
        <v/>
      </c>
      <c r="G2938" s="5" t="str">
        <f>IF(B2938="","",股指期货基差分析!$N$11)</f>
        <v/>
      </c>
      <c r="H2938" s="5" t="str">
        <f>IF(B2938="","",股指期货基差分析!$L$11)</f>
        <v/>
      </c>
      <c r="I2938" s="9" t="str">
        <f>IF(B2938="","",股指期货基差分析!$D$11)</f>
        <v/>
      </c>
    </row>
    <row r="2939" spans="2:9" ht="15" customHeight="1" x14ac:dyDescent="0.2">
      <c r="B2939" s="8"/>
      <c r="C2939" s="6" t="str">
        <f>IF(B2939="","",[1]!s_dq_close(股指期货基差分析!$E$5,$B2939))</f>
        <v/>
      </c>
      <c r="D2939" s="6" t="str">
        <f>IF(B2939="","",[1]!s_dq_close(股指期货基差分析!$E$6,$B2939))</f>
        <v/>
      </c>
      <c r="E2939" s="6" t="e">
        <f ca="1">RANK(F2939,F:F)+COUNTIF(F$2:F2939,F2939)-1</f>
        <v>#VALUE!</v>
      </c>
      <c r="F2939" s="6" t="str">
        <f t="shared" si="46"/>
        <v/>
      </c>
      <c r="G2939" s="6" t="str">
        <f>IF(B2939="","",股指期货基差分析!$N$11)</f>
        <v/>
      </c>
      <c r="H2939" s="6" t="str">
        <f>IF(B2939="","",股指期货基差分析!$L$11)</f>
        <v/>
      </c>
      <c r="I2939" s="10" t="str">
        <f>IF(B2939="","",股指期货基差分析!$D$11)</f>
        <v/>
      </c>
    </row>
    <row r="2940" spans="2:9" ht="15" customHeight="1" x14ac:dyDescent="0.2">
      <c r="B2940" s="7"/>
      <c r="C2940" s="5" t="str">
        <f>IF(B2940="","",[1]!s_dq_close(股指期货基差分析!$E$5,$B2940))</f>
        <v/>
      </c>
      <c r="D2940" s="5" t="str">
        <f>IF(B2940="","",[1]!s_dq_close(股指期货基差分析!$E$6,$B2940))</f>
        <v/>
      </c>
      <c r="E2940" s="5" t="e">
        <f ca="1">RANK(F2940,F:F)+COUNTIF(F$2:F2940,F2940)-1</f>
        <v>#VALUE!</v>
      </c>
      <c r="F2940" s="5" t="str">
        <f t="shared" si="46"/>
        <v/>
      </c>
      <c r="G2940" s="5" t="str">
        <f>IF(B2940="","",股指期货基差分析!$N$11)</f>
        <v/>
      </c>
      <c r="H2940" s="5" t="str">
        <f>IF(B2940="","",股指期货基差分析!$L$11)</f>
        <v/>
      </c>
      <c r="I2940" s="9" t="str">
        <f>IF(B2940="","",股指期货基差分析!$D$11)</f>
        <v/>
      </c>
    </row>
    <row r="2941" spans="2:9" ht="15" customHeight="1" x14ac:dyDescent="0.2">
      <c r="B2941" s="8"/>
      <c r="C2941" s="6" t="str">
        <f>IF(B2941="","",[1]!s_dq_close(股指期货基差分析!$E$5,$B2941))</f>
        <v/>
      </c>
      <c r="D2941" s="6" t="str">
        <f>IF(B2941="","",[1]!s_dq_close(股指期货基差分析!$E$6,$B2941))</f>
        <v/>
      </c>
      <c r="E2941" s="6" t="e">
        <f ca="1">RANK(F2941,F:F)+COUNTIF(F$2:F2941,F2941)-1</f>
        <v>#VALUE!</v>
      </c>
      <c r="F2941" s="6" t="str">
        <f t="shared" si="46"/>
        <v/>
      </c>
      <c r="G2941" s="6" t="str">
        <f>IF(B2941="","",股指期货基差分析!$N$11)</f>
        <v/>
      </c>
      <c r="H2941" s="6" t="str">
        <f>IF(B2941="","",股指期货基差分析!$L$11)</f>
        <v/>
      </c>
      <c r="I2941" s="10" t="str">
        <f>IF(B2941="","",股指期货基差分析!$D$11)</f>
        <v/>
      </c>
    </row>
    <row r="2942" spans="2:9" ht="15" customHeight="1" x14ac:dyDescent="0.2">
      <c r="B2942" s="7"/>
      <c r="C2942" s="5" t="str">
        <f>IF(B2942="","",[1]!s_dq_close(股指期货基差分析!$E$5,$B2942))</f>
        <v/>
      </c>
      <c r="D2942" s="5" t="str">
        <f>IF(B2942="","",[1]!s_dq_close(股指期货基差分析!$E$6,$B2942))</f>
        <v/>
      </c>
      <c r="E2942" s="5" t="e">
        <f ca="1">RANK(F2942,F:F)+COUNTIF(F$2:F2942,F2942)-1</f>
        <v>#VALUE!</v>
      </c>
      <c r="F2942" s="5" t="str">
        <f t="shared" si="46"/>
        <v/>
      </c>
      <c r="G2942" s="5" t="str">
        <f>IF(B2942="","",股指期货基差分析!$N$11)</f>
        <v/>
      </c>
      <c r="H2942" s="5" t="str">
        <f>IF(B2942="","",股指期货基差分析!$L$11)</f>
        <v/>
      </c>
      <c r="I2942" s="9" t="str">
        <f>IF(B2942="","",股指期货基差分析!$D$11)</f>
        <v/>
      </c>
    </row>
    <row r="2943" spans="2:9" ht="15" customHeight="1" x14ac:dyDescent="0.2">
      <c r="B2943" s="8"/>
      <c r="C2943" s="6" t="str">
        <f>IF(B2943="","",[1]!s_dq_close(股指期货基差分析!$E$5,$B2943))</f>
        <v/>
      </c>
      <c r="D2943" s="6" t="str">
        <f>IF(B2943="","",[1]!s_dq_close(股指期货基差分析!$E$6,$B2943))</f>
        <v/>
      </c>
      <c r="E2943" s="6" t="e">
        <f ca="1">RANK(F2943,F:F)+COUNTIF(F$2:F2943,F2943)-1</f>
        <v>#VALUE!</v>
      </c>
      <c r="F2943" s="6" t="str">
        <f t="shared" si="46"/>
        <v/>
      </c>
      <c r="G2943" s="6" t="str">
        <f>IF(B2943="","",股指期货基差分析!$N$11)</f>
        <v/>
      </c>
      <c r="H2943" s="6" t="str">
        <f>IF(B2943="","",股指期货基差分析!$L$11)</f>
        <v/>
      </c>
      <c r="I2943" s="10" t="str">
        <f>IF(B2943="","",股指期货基差分析!$D$11)</f>
        <v/>
      </c>
    </row>
    <row r="2944" spans="2:9" ht="15" customHeight="1" x14ac:dyDescent="0.2">
      <c r="B2944" s="7"/>
      <c r="C2944" s="5" t="str">
        <f>IF(B2944="","",[1]!s_dq_close(股指期货基差分析!$E$5,$B2944))</f>
        <v/>
      </c>
      <c r="D2944" s="5" t="str">
        <f>IF(B2944="","",[1]!s_dq_close(股指期货基差分析!$E$6,$B2944))</f>
        <v/>
      </c>
      <c r="E2944" s="5" t="e">
        <f ca="1">RANK(F2944,F:F)+COUNTIF(F$2:F2944,F2944)-1</f>
        <v>#VALUE!</v>
      </c>
      <c r="F2944" s="5" t="str">
        <f t="shared" si="46"/>
        <v/>
      </c>
      <c r="G2944" s="5" t="str">
        <f>IF(B2944="","",股指期货基差分析!$N$11)</f>
        <v/>
      </c>
      <c r="H2944" s="5" t="str">
        <f>IF(B2944="","",股指期货基差分析!$L$11)</f>
        <v/>
      </c>
      <c r="I2944" s="9" t="str">
        <f>IF(B2944="","",股指期货基差分析!$D$11)</f>
        <v/>
      </c>
    </row>
    <row r="2945" spans="2:9" ht="15" customHeight="1" x14ac:dyDescent="0.2">
      <c r="B2945" s="8"/>
      <c r="C2945" s="6" t="str">
        <f>IF(B2945="","",[1]!s_dq_close(股指期货基差分析!$E$5,$B2945))</f>
        <v/>
      </c>
      <c r="D2945" s="6" t="str">
        <f>IF(B2945="","",[1]!s_dq_close(股指期货基差分析!$E$6,$B2945))</f>
        <v/>
      </c>
      <c r="E2945" s="6" t="e">
        <f ca="1">RANK(F2945,F:F)+COUNTIF(F$2:F2945,F2945)-1</f>
        <v>#VALUE!</v>
      </c>
      <c r="F2945" s="6" t="str">
        <f t="shared" si="46"/>
        <v/>
      </c>
      <c r="G2945" s="6" t="str">
        <f>IF(B2945="","",股指期货基差分析!$N$11)</f>
        <v/>
      </c>
      <c r="H2945" s="6" t="str">
        <f>IF(B2945="","",股指期货基差分析!$L$11)</f>
        <v/>
      </c>
      <c r="I2945" s="10" t="str">
        <f>IF(B2945="","",股指期货基差分析!$D$11)</f>
        <v/>
      </c>
    </row>
    <row r="2946" spans="2:9" ht="15" customHeight="1" x14ac:dyDescent="0.2">
      <c r="B2946" s="7"/>
      <c r="C2946" s="5" t="str">
        <f>IF(B2946="","",[1]!s_dq_close(股指期货基差分析!$E$5,$B2946))</f>
        <v/>
      </c>
      <c r="D2946" s="5" t="str">
        <f>IF(B2946="","",[1]!s_dq_close(股指期货基差分析!$E$6,$B2946))</f>
        <v/>
      </c>
      <c r="E2946" s="5" t="e">
        <f ca="1">RANK(F2946,F:F)+COUNTIF(F$2:F2946,F2946)-1</f>
        <v>#VALUE!</v>
      </c>
      <c r="F2946" s="5" t="str">
        <f t="shared" ref="F2946:F3009" si="47">IF(B2946="","",D2946-C2946)</f>
        <v/>
      </c>
      <c r="G2946" s="5" t="str">
        <f>IF(B2946="","",股指期货基差分析!$N$11)</f>
        <v/>
      </c>
      <c r="H2946" s="5" t="str">
        <f>IF(B2946="","",股指期货基差分析!$L$11)</f>
        <v/>
      </c>
      <c r="I2946" s="9" t="str">
        <f>IF(B2946="","",股指期货基差分析!$D$11)</f>
        <v/>
      </c>
    </row>
    <row r="2947" spans="2:9" ht="15" customHeight="1" x14ac:dyDescent="0.2">
      <c r="B2947" s="8"/>
      <c r="C2947" s="6" t="str">
        <f>IF(B2947="","",[1]!s_dq_close(股指期货基差分析!$E$5,$B2947))</f>
        <v/>
      </c>
      <c r="D2947" s="6" t="str">
        <f>IF(B2947="","",[1]!s_dq_close(股指期货基差分析!$E$6,$B2947))</f>
        <v/>
      </c>
      <c r="E2947" s="6" t="e">
        <f ca="1">RANK(F2947,F:F)+COUNTIF(F$2:F2947,F2947)-1</f>
        <v>#VALUE!</v>
      </c>
      <c r="F2947" s="6" t="str">
        <f t="shared" si="47"/>
        <v/>
      </c>
      <c r="G2947" s="6" t="str">
        <f>IF(B2947="","",股指期货基差分析!$N$11)</f>
        <v/>
      </c>
      <c r="H2947" s="6" t="str">
        <f>IF(B2947="","",股指期货基差分析!$L$11)</f>
        <v/>
      </c>
      <c r="I2947" s="10" t="str">
        <f>IF(B2947="","",股指期货基差分析!$D$11)</f>
        <v/>
      </c>
    </row>
    <row r="2948" spans="2:9" ht="15" customHeight="1" x14ac:dyDescent="0.2">
      <c r="B2948" s="7"/>
      <c r="C2948" s="5" t="str">
        <f>IF(B2948="","",[1]!s_dq_close(股指期货基差分析!$E$5,$B2948))</f>
        <v/>
      </c>
      <c r="D2948" s="5" t="str">
        <f>IF(B2948="","",[1]!s_dq_close(股指期货基差分析!$E$6,$B2948))</f>
        <v/>
      </c>
      <c r="E2948" s="5" t="e">
        <f ca="1">RANK(F2948,F:F)+COUNTIF(F$2:F2948,F2948)-1</f>
        <v>#VALUE!</v>
      </c>
      <c r="F2948" s="5" t="str">
        <f t="shared" si="47"/>
        <v/>
      </c>
      <c r="G2948" s="5" t="str">
        <f>IF(B2948="","",股指期货基差分析!$N$11)</f>
        <v/>
      </c>
      <c r="H2948" s="5" t="str">
        <f>IF(B2948="","",股指期货基差分析!$L$11)</f>
        <v/>
      </c>
      <c r="I2948" s="9" t="str">
        <f>IF(B2948="","",股指期货基差分析!$D$11)</f>
        <v/>
      </c>
    </row>
    <row r="2949" spans="2:9" ht="15" customHeight="1" x14ac:dyDescent="0.2">
      <c r="B2949" s="8"/>
      <c r="C2949" s="6" t="str">
        <f>IF(B2949="","",[1]!s_dq_close(股指期货基差分析!$E$5,$B2949))</f>
        <v/>
      </c>
      <c r="D2949" s="6" t="str">
        <f>IF(B2949="","",[1]!s_dq_close(股指期货基差分析!$E$6,$B2949))</f>
        <v/>
      </c>
      <c r="E2949" s="6" t="e">
        <f ca="1">RANK(F2949,F:F)+COUNTIF(F$2:F2949,F2949)-1</f>
        <v>#VALUE!</v>
      </c>
      <c r="F2949" s="6" t="str">
        <f t="shared" si="47"/>
        <v/>
      </c>
      <c r="G2949" s="6" t="str">
        <f>IF(B2949="","",股指期货基差分析!$N$11)</f>
        <v/>
      </c>
      <c r="H2949" s="6" t="str">
        <f>IF(B2949="","",股指期货基差分析!$L$11)</f>
        <v/>
      </c>
      <c r="I2949" s="10" t="str">
        <f>IF(B2949="","",股指期货基差分析!$D$11)</f>
        <v/>
      </c>
    </row>
    <row r="2950" spans="2:9" ht="15" customHeight="1" x14ac:dyDescent="0.2">
      <c r="B2950" s="7"/>
      <c r="C2950" s="5" t="str">
        <f>IF(B2950="","",[1]!s_dq_close(股指期货基差分析!$E$5,$B2950))</f>
        <v/>
      </c>
      <c r="D2950" s="5" t="str">
        <f>IF(B2950="","",[1]!s_dq_close(股指期货基差分析!$E$6,$B2950))</f>
        <v/>
      </c>
      <c r="E2950" s="5" t="e">
        <f ca="1">RANK(F2950,F:F)+COUNTIF(F$2:F2950,F2950)-1</f>
        <v>#VALUE!</v>
      </c>
      <c r="F2950" s="5" t="str">
        <f t="shared" si="47"/>
        <v/>
      </c>
      <c r="G2950" s="5" t="str">
        <f>IF(B2950="","",股指期货基差分析!$N$11)</f>
        <v/>
      </c>
      <c r="H2950" s="5" t="str">
        <f>IF(B2950="","",股指期货基差分析!$L$11)</f>
        <v/>
      </c>
      <c r="I2950" s="9" t="str">
        <f>IF(B2950="","",股指期货基差分析!$D$11)</f>
        <v/>
      </c>
    </row>
    <row r="2951" spans="2:9" ht="15" customHeight="1" x14ac:dyDescent="0.2">
      <c r="B2951" s="8"/>
      <c r="C2951" s="6" t="str">
        <f>IF(B2951="","",[1]!s_dq_close(股指期货基差分析!$E$5,$B2951))</f>
        <v/>
      </c>
      <c r="D2951" s="6" t="str">
        <f>IF(B2951="","",[1]!s_dq_close(股指期货基差分析!$E$6,$B2951))</f>
        <v/>
      </c>
      <c r="E2951" s="6" t="e">
        <f ca="1">RANK(F2951,F:F)+COUNTIF(F$2:F2951,F2951)-1</f>
        <v>#VALUE!</v>
      </c>
      <c r="F2951" s="6" t="str">
        <f t="shared" si="47"/>
        <v/>
      </c>
      <c r="G2951" s="6" t="str">
        <f>IF(B2951="","",股指期货基差分析!$N$11)</f>
        <v/>
      </c>
      <c r="H2951" s="6" t="str">
        <f>IF(B2951="","",股指期货基差分析!$L$11)</f>
        <v/>
      </c>
      <c r="I2951" s="10" t="str">
        <f>IF(B2951="","",股指期货基差分析!$D$11)</f>
        <v/>
      </c>
    </row>
    <row r="2952" spans="2:9" ht="15" customHeight="1" x14ac:dyDescent="0.2">
      <c r="B2952" s="7"/>
      <c r="C2952" s="5" t="str">
        <f>IF(B2952="","",[1]!s_dq_close(股指期货基差分析!$E$5,$B2952))</f>
        <v/>
      </c>
      <c r="D2952" s="5" t="str">
        <f>IF(B2952="","",[1]!s_dq_close(股指期货基差分析!$E$6,$B2952))</f>
        <v/>
      </c>
      <c r="E2952" s="5" t="e">
        <f ca="1">RANK(F2952,F:F)+COUNTIF(F$2:F2952,F2952)-1</f>
        <v>#VALUE!</v>
      </c>
      <c r="F2952" s="5" t="str">
        <f t="shared" si="47"/>
        <v/>
      </c>
      <c r="G2952" s="5" t="str">
        <f>IF(B2952="","",股指期货基差分析!$N$11)</f>
        <v/>
      </c>
      <c r="H2952" s="5" t="str">
        <f>IF(B2952="","",股指期货基差分析!$L$11)</f>
        <v/>
      </c>
      <c r="I2952" s="9" t="str">
        <f>IF(B2952="","",股指期货基差分析!$D$11)</f>
        <v/>
      </c>
    </row>
    <row r="2953" spans="2:9" ht="15" customHeight="1" x14ac:dyDescent="0.2">
      <c r="B2953" s="8"/>
      <c r="C2953" s="6" t="str">
        <f>IF(B2953="","",[1]!s_dq_close(股指期货基差分析!$E$5,$B2953))</f>
        <v/>
      </c>
      <c r="D2953" s="6" t="str">
        <f>IF(B2953="","",[1]!s_dq_close(股指期货基差分析!$E$6,$B2953))</f>
        <v/>
      </c>
      <c r="E2953" s="6" t="e">
        <f ca="1">RANK(F2953,F:F)+COUNTIF(F$2:F2953,F2953)-1</f>
        <v>#VALUE!</v>
      </c>
      <c r="F2953" s="6" t="str">
        <f t="shared" si="47"/>
        <v/>
      </c>
      <c r="G2953" s="6" t="str">
        <f>IF(B2953="","",股指期货基差分析!$N$11)</f>
        <v/>
      </c>
      <c r="H2953" s="6" t="str">
        <f>IF(B2953="","",股指期货基差分析!$L$11)</f>
        <v/>
      </c>
      <c r="I2953" s="10" t="str">
        <f>IF(B2953="","",股指期货基差分析!$D$11)</f>
        <v/>
      </c>
    </row>
    <row r="2954" spans="2:9" ht="15" customHeight="1" x14ac:dyDescent="0.2">
      <c r="B2954" s="7"/>
      <c r="C2954" s="5" t="str">
        <f>IF(B2954="","",[1]!s_dq_close(股指期货基差分析!$E$5,$B2954))</f>
        <v/>
      </c>
      <c r="D2954" s="5" t="str">
        <f>IF(B2954="","",[1]!s_dq_close(股指期货基差分析!$E$6,$B2954))</f>
        <v/>
      </c>
      <c r="E2954" s="5" t="e">
        <f ca="1">RANK(F2954,F:F)+COUNTIF(F$2:F2954,F2954)-1</f>
        <v>#VALUE!</v>
      </c>
      <c r="F2954" s="5" t="str">
        <f t="shared" si="47"/>
        <v/>
      </c>
      <c r="G2954" s="5" t="str">
        <f>IF(B2954="","",股指期货基差分析!$N$11)</f>
        <v/>
      </c>
      <c r="H2954" s="5" t="str">
        <f>IF(B2954="","",股指期货基差分析!$L$11)</f>
        <v/>
      </c>
      <c r="I2954" s="9" t="str">
        <f>IF(B2954="","",股指期货基差分析!$D$11)</f>
        <v/>
      </c>
    </row>
    <row r="2955" spans="2:9" ht="15" customHeight="1" x14ac:dyDescent="0.2">
      <c r="B2955" s="8"/>
      <c r="C2955" s="6" t="str">
        <f>IF(B2955="","",[1]!s_dq_close(股指期货基差分析!$E$5,$B2955))</f>
        <v/>
      </c>
      <c r="D2955" s="6" t="str">
        <f>IF(B2955="","",[1]!s_dq_close(股指期货基差分析!$E$6,$B2955))</f>
        <v/>
      </c>
      <c r="E2955" s="6" t="e">
        <f ca="1">RANK(F2955,F:F)+COUNTIF(F$2:F2955,F2955)-1</f>
        <v>#VALUE!</v>
      </c>
      <c r="F2955" s="6" t="str">
        <f t="shared" si="47"/>
        <v/>
      </c>
      <c r="G2955" s="6" t="str">
        <f>IF(B2955="","",股指期货基差分析!$N$11)</f>
        <v/>
      </c>
      <c r="H2955" s="6" t="str">
        <f>IF(B2955="","",股指期货基差分析!$L$11)</f>
        <v/>
      </c>
      <c r="I2955" s="10" t="str">
        <f>IF(B2955="","",股指期货基差分析!$D$11)</f>
        <v/>
      </c>
    </row>
    <row r="2956" spans="2:9" ht="15" customHeight="1" x14ac:dyDescent="0.2">
      <c r="B2956" s="7"/>
      <c r="C2956" s="5" t="str">
        <f>IF(B2956="","",[1]!s_dq_close(股指期货基差分析!$E$5,$B2956))</f>
        <v/>
      </c>
      <c r="D2956" s="5" t="str">
        <f>IF(B2956="","",[1]!s_dq_close(股指期货基差分析!$E$6,$B2956))</f>
        <v/>
      </c>
      <c r="E2956" s="5" t="e">
        <f ca="1">RANK(F2956,F:F)+COUNTIF(F$2:F2956,F2956)-1</f>
        <v>#VALUE!</v>
      </c>
      <c r="F2956" s="5" t="str">
        <f t="shared" si="47"/>
        <v/>
      </c>
      <c r="G2956" s="5" t="str">
        <f>IF(B2956="","",股指期货基差分析!$N$11)</f>
        <v/>
      </c>
      <c r="H2956" s="5" t="str">
        <f>IF(B2956="","",股指期货基差分析!$L$11)</f>
        <v/>
      </c>
      <c r="I2956" s="9" t="str">
        <f>IF(B2956="","",股指期货基差分析!$D$11)</f>
        <v/>
      </c>
    </row>
    <row r="2957" spans="2:9" ht="15" customHeight="1" x14ac:dyDescent="0.2">
      <c r="B2957" s="8"/>
      <c r="C2957" s="6" t="str">
        <f>IF(B2957="","",[1]!s_dq_close(股指期货基差分析!$E$5,$B2957))</f>
        <v/>
      </c>
      <c r="D2957" s="6" t="str">
        <f>IF(B2957="","",[1]!s_dq_close(股指期货基差分析!$E$6,$B2957))</f>
        <v/>
      </c>
      <c r="E2957" s="6" t="e">
        <f ca="1">RANK(F2957,F:F)+COUNTIF(F$2:F2957,F2957)-1</f>
        <v>#VALUE!</v>
      </c>
      <c r="F2957" s="6" t="str">
        <f t="shared" si="47"/>
        <v/>
      </c>
      <c r="G2957" s="6" t="str">
        <f>IF(B2957="","",股指期货基差分析!$N$11)</f>
        <v/>
      </c>
      <c r="H2957" s="6" t="str">
        <f>IF(B2957="","",股指期货基差分析!$L$11)</f>
        <v/>
      </c>
      <c r="I2957" s="10" t="str">
        <f>IF(B2957="","",股指期货基差分析!$D$11)</f>
        <v/>
      </c>
    </row>
    <row r="2958" spans="2:9" ht="15" customHeight="1" x14ac:dyDescent="0.2">
      <c r="B2958" s="7"/>
      <c r="C2958" s="5" t="str">
        <f>IF(B2958="","",[1]!s_dq_close(股指期货基差分析!$E$5,$B2958))</f>
        <v/>
      </c>
      <c r="D2958" s="5" t="str">
        <f>IF(B2958="","",[1]!s_dq_close(股指期货基差分析!$E$6,$B2958))</f>
        <v/>
      </c>
      <c r="E2958" s="5" t="e">
        <f ca="1">RANK(F2958,F:F)+COUNTIF(F$2:F2958,F2958)-1</f>
        <v>#VALUE!</v>
      </c>
      <c r="F2958" s="5" t="str">
        <f t="shared" si="47"/>
        <v/>
      </c>
      <c r="G2958" s="5" t="str">
        <f>IF(B2958="","",股指期货基差分析!$N$11)</f>
        <v/>
      </c>
      <c r="H2958" s="5" t="str">
        <f>IF(B2958="","",股指期货基差分析!$L$11)</f>
        <v/>
      </c>
      <c r="I2958" s="9" t="str">
        <f>IF(B2958="","",股指期货基差分析!$D$11)</f>
        <v/>
      </c>
    </row>
    <row r="2959" spans="2:9" ht="15" customHeight="1" x14ac:dyDescent="0.2">
      <c r="B2959" s="8"/>
      <c r="C2959" s="6" t="str">
        <f>IF(B2959="","",[1]!s_dq_close(股指期货基差分析!$E$5,$B2959))</f>
        <v/>
      </c>
      <c r="D2959" s="6" t="str">
        <f>IF(B2959="","",[1]!s_dq_close(股指期货基差分析!$E$6,$B2959))</f>
        <v/>
      </c>
      <c r="E2959" s="6" t="e">
        <f ca="1">RANK(F2959,F:F)+COUNTIF(F$2:F2959,F2959)-1</f>
        <v>#VALUE!</v>
      </c>
      <c r="F2959" s="6" t="str">
        <f t="shared" si="47"/>
        <v/>
      </c>
      <c r="G2959" s="6" t="str">
        <f>IF(B2959="","",股指期货基差分析!$N$11)</f>
        <v/>
      </c>
      <c r="H2959" s="6" t="str">
        <f>IF(B2959="","",股指期货基差分析!$L$11)</f>
        <v/>
      </c>
      <c r="I2959" s="10" t="str">
        <f>IF(B2959="","",股指期货基差分析!$D$11)</f>
        <v/>
      </c>
    </row>
    <row r="2960" spans="2:9" ht="15" customHeight="1" x14ac:dyDescent="0.2">
      <c r="B2960" s="7"/>
      <c r="C2960" s="5" t="str">
        <f>IF(B2960="","",[1]!s_dq_close(股指期货基差分析!$E$5,$B2960))</f>
        <v/>
      </c>
      <c r="D2960" s="5" t="str">
        <f>IF(B2960="","",[1]!s_dq_close(股指期货基差分析!$E$6,$B2960))</f>
        <v/>
      </c>
      <c r="E2960" s="5" t="e">
        <f ca="1">RANK(F2960,F:F)+COUNTIF(F$2:F2960,F2960)-1</f>
        <v>#VALUE!</v>
      </c>
      <c r="F2960" s="5" t="str">
        <f t="shared" si="47"/>
        <v/>
      </c>
      <c r="G2960" s="5" t="str">
        <f>IF(B2960="","",股指期货基差分析!$N$11)</f>
        <v/>
      </c>
      <c r="H2960" s="5" t="str">
        <f>IF(B2960="","",股指期货基差分析!$L$11)</f>
        <v/>
      </c>
      <c r="I2960" s="9" t="str">
        <f>IF(B2960="","",股指期货基差分析!$D$11)</f>
        <v/>
      </c>
    </row>
    <row r="2961" spans="2:9" ht="15" customHeight="1" x14ac:dyDescent="0.2">
      <c r="B2961" s="8"/>
      <c r="C2961" s="6" t="str">
        <f>IF(B2961="","",[1]!s_dq_close(股指期货基差分析!$E$5,$B2961))</f>
        <v/>
      </c>
      <c r="D2961" s="6" t="str">
        <f>IF(B2961="","",[1]!s_dq_close(股指期货基差分析!$E$6,$B2961))</f>
        <v/>
      </c>
      <c r="E2961" s="6" t="e">
        <f ca="1">RANK(F2961,F:F)+COUNTIF(F$2:F2961,F2961)-1</f>
        <v>#VALUE!</v>
      </c>
      <c r="F2961" s="6" t="str">
        <f t="shared" si="47"/>
        <v/>
      </c>
      <c r="G2961" s="6" t="str">
        <f>IF(B2961="","",股指期货基差分析!$N$11)</f>
        <v/>
      </c>
      <c r="H2961" s="6" t="str">
        <f>IF(B2961="","",股指期货基差分析!$L$11)</f>
        <v/>
      </c>
      <c r="I2961" s="10" t="str">
        <f>IF(B2961="","",股指期货基差分析!$D$11)</f>
        <v/>
      </c>
    </row>
    <row r="2962" spans="2:9" ht="15" customHeight="1" x14ac:dyDescent="0.2">
      <c r="B2962" s="7"/>
      <c r="C2962" s="5" t="str">
        <f>IF(B2962="","",[1]!s_dq_close(股指期货基差分析!$E$5,$B2962))</f>
        <v/>
      </c>
      <c r="D2962" s="5" t="str">
        <f>IF(B2962="","",[1]!s_dq_close(股指期货基差分析!$E$6,$B2962))</f>
        <v/>
      </c>
      <c r="E2962" s="5" t="e">
        <f ca="1">RANK(F2962,F:F)+COUNTIF(F$2:F2962,F2962)-1</f>
        <v>#VALUE!</v>
      </c>
      <c r="F2962" s="5" t="str">
        <f t="shared" si="47"/>
        <v/>
      </c>
      <c r="G2962" s="5" t="str">
        <f>IF(B2962="","",股指期货基差分析!$N$11)</f>
        <v/>
      </c>
      <c r="H2962" s="5" t="str">
        <f>IF(B2962="","",股指期货基差分析!$L$11)</f>
        <v/>
      </c>
      <c r="I2962" s="9" t="str">
        <f>IF(B2962="","",股指期货基差分析!$D$11)</f>
        <v/>
      </c>
    </row>
    <row r="2963" spans="2:9" ht="15" customHeight="1" x14ac:dyDescent="0.2">
      <c r="B2963" s="8"/>
      <c r="C2963" s="6" t="str">
        <f>IF(B2963="","",[1]!s_dq_close(股指期货基差分析!$E$5,$B2963))</f>
        <v/>
      </c>
      <c r="D2963" s="6" t="str">
        <f>IF(B2963="","",[1]!s_dq_close(股指期货基差分析!$E$6,$B2963))</f>
        <v/>
      </c>
      <c r="E2963" s="6" t="e">
        <f ca="1">RANK(F2963,F:F)+COUNTIF(F$2:F2963,F2963)-1</f>
        <v>#VALUE!</v>
      </c>
      <c r="F2963" s="6" t="str">
        <f t="shared" si="47"/>
        <v/>
      </c>
      <c r="G2963" s="6" t="str">
        <f>IF(B2963="","",股指期货基差分析!$N$11)</f>
        <v/>
      </c>
      <c r="H2963" s="6" t="str">
        <f>IF(B2963="","",股指期货基差分析!$L$11)</f>
        <v/>
      </c>
      <c r="I2963" s="10" t="str">
        <f>IF(B2963="","",股指期货基差分析!$D$11)</f>
        <v/>
      </c>
    </row>
    <row r="2964" spans="2:9" ht="15" customHeight="1" x14ac:dyDescent="0.2">
      <c r="B2964" s="7"/>
      <c r="C2964" s="5" t="str">
        <f>IF(B2964="","",[1]!s_dq_close(股指期货基差分析!$E$5,$B2964))</f>
        <v/>
      </c>
      <c r="D2964" s="5" t="str">
        <f>IF(B2964="","",[1]!s_dq_close(股指期货基差分析!$E$6,$B2964))</f>
        <v/>
      </c>
      <c r="E2964" s="5" t="e">
        <f ca="1">RANK(F2964,F:F)+COUNTIF(F$2:F2964,F2964)-1</f>
        <v>#VALUE!</v>
      </c>
      <c r="F2964" s="5" t="str">
        <f t="shared" si="47"/>
        <v/>
      </c>
      <c r="G2964" s="5" t="str">
        <f>IF(B2964="","",股指期货基差分析!$N$11)</f>
        <v/>
      </c>
      <c r="H2964" s="5" t="str">
        <f>IF(B2964="","",股指期货基差分析!$L$11)</f>
        <v/>
      </c>
      <c r="I2964" s="9" t="str">
        <f>IF(B2964="","",股指期货基差分析!$D$11)</f>
        <v/>
      </c>
    </row>
    <row r="2965" spans="2:9" ht="15" customHeight="1" x14ac:dyDescent="0.2">
      <c r="B2965" s="8"/>
      <c r="C2965" s="6" t="str">
        <f>IF(B2965="","",[1]!s_dq_close(股指期货基差分析!$E$5,$B2965))</f>
        <v/>
      </c>
      <c r="D2965" s="6" t="str">
        <f>IF(B2965="","",[1]!s_dq_close(股指期货基差分析!$E$6,$B2965))</f>
        <v/>
      </c>
      <c r="E2965" s="6" t="e">
        <f ca="1">RANK(F2965,F:F)+COUNTIF(F$2:F2965,F2965)-1</f>
        <v>#VALUE!</v>
      </c>
      <c r="F2965" s="6" t="str">
        <f t="shared" si="47"/>
        <v/>
      </c>
      <c r="G2965" s="6" t="str">
        <f>IF(B2965="","",股指期货基差分析!$N$11)</f>
        <v/>
      </c>
      <c r="H2965" s="6" t="str">
        <f>IF(B2965="","",股指期货基差分析!$L$11)</f>
        <v/>
      </c>
      <c r="I2965" s="10" t="str">
        <f>IF(B2965="","",股指期货基差分析!$D$11)</f>
        <v/>
      </c>
    </row>
    <row r="2966" spans="2:9" ht="15" customHeight="1" x14ac:dyDescent="0.2">
      <c r="B2966" s="7"/>
      <c r="C2966" s="5" t="str">
        <f>IF(B2966="","",[1]!s_dq_close(股指期货基差分析!$E$5,$B2966))</f>
        <v/>
      </c>
      <c r="D2966" s="5" t="str">
        <f>IF(B2966="","",[1]!s_dq_close(股指期货基差分析!$E$6,$B2966))</f>
        <v/>
      </c>
      <c r="E2966" s="5" t="e">
        <f ca="1">RANK(F2966,F:F)+COUNTIF(F$2:F2966,F2966)-1</f>
        <v>#VALUE!</v>
      </c>
      <c r="F2966" s="5" t="str">
        <f t="shared" si="47"/>
        <v/>
      </c>
      <c r="G2966" s="5" t="str">
        <f>IF(B2966="","",股指期货基差分析!$N$11)</f>
        <v/>
      </c>
      <c r="H2966" s="5" t="str">
        <f>IF(B2966="","",股指期货基差分析!$L$11)</f>
        <v/>
      </c>
      <c r="I2966" s="9" t="str">
        <f>IF(B2966="","",股指期货基差分析!$D$11)</f>
        <v/>
      </c>
    </row>
    <row r="2967" spans="2:9" ht="15" customHeight="1" x14ac:dyDescent="0.2">
      <c r="B2967" s="8"/>
      <c r="C2967" s="6" t="str">
        <f>IF(B2967="","",[1]!s_dq_close(股指期货基差分析!$E$5,$B2967))</f>
        <v/>
      </c>
      <c r="D2967" s="6" t="str">
        <f>IF(B2967="","",[1]!s_dq_close(股指期货基差分析!$E$6,$B2967))</f>
        <v/>
      </c>
      <c r="E2967" s="6" t="e">
        <f ca="1">RANK(F2967,F:F)+COUNTIF(F$2:F2967,F2967)-1</f>
        <v>#VALUE!</v>
      </c>
      <c r="F2967" s="6" t="str">
        <f t="shared" si="47"/>
        <v/>
      </c>
      <c r="G2967" s="6" t="str">
        <f>IF(B2967="","",股指期货基差分析!$N$11)</f>
        <v/>
      </c>
      <c r="H2967" s="6" t="str">
        <f>IF(B2967="","",股指期货基差分析!$L$11)</f>
        <v/>
      </c>
      <c r="I2967" s="10" t="str">
        <f>IF(B2967="","",股指期货基差分析!$D$11)</f>
        <v/>
      </c>
    </row>
    <row r="2968" spans="2:9" ht="15" customHeight="1" x14ac:dyDescent="0.2">
      <c r="B2968" s="7"/>
      <c r="C2968" s="5" t="str">
        <f>IF(B2968="","",[1]!s_dq_close(股指期货基差分析!$E$5,$B2968))</f>
        <v/>
      </c>
      <c r="D2968" s="5" t="str">
        <f>IF(B2968="","",[1]!s_dq_close(股指期货基差分析!$E$6,$B2968))</f>
        <v/>
      </c>
      <c r="E2968" s="5" t="e">
        <f ca="1">RANK(F2968,F:F)+COUNTIF(F$2:F2968,F2968)-1</f>
        <v>#VALUE!</v>
      </c>
      <c r="F2968" s="5" t="str">
        <f t="shared" si="47"/>
        <v/>
      </c>
      <c r="G2968" s="5" t="str">
        <f>IF(B2968="","",股指期货基差分析!$N$11)</f>
        <v/>
      </c>
      <c r="H2968" s="5" t="str">
        <f>IF(B2968="","",股指期货基差分析!$L$11)</f>
        <v/>
      </c>
      <c r="I2968" s="9" t="str">
        <f>IF(B2968="","",股指期货基差分析!$D$11)</f>
        <v/>
      </c>
    </row>
    <row r="2969" spans="2:9" ht="15" customHeight="1" x14ac:dyDescent="0.2">
      <c r="B2969" s="8"/>
      <c r="C2969" s="6" t="str">
        <f>IF(B2969="","",[1]!s_dq_close(股指期货基差分析!$E$5,$B2969))</f>
        <v/>
      </c>
      <c r="D2969" s="6" t="str">
        <f>IF(B2969="","",[1]!s_dq_close(股指期货基差分析!$E$6,$B2969))</f>
        <v/>
      </c>
      <c r="E2969" s="6" t="e">
        <f ca="1">RANK(F2969,F:F)+COUNTIF(F$2:F2969,F2969)-1</f>
        <v>#VALUE!</v>
      </c>
      <c r="F2969" s="6" t="str">
        <f t="shared" si="47"/>
        <v/>
      </c>
      <c r="G2969" s="6" t="str">
        <f>IF(B2969="","",股指期货基差分析!$N$11)</f>
        <v/>
      </c>
      <c r="H2969" s="6" t="str">
        <f>IF(B2969="","",股指期货基差分析!$L$11)</f>
        <v/>
      </c>
      <c r="I2969" s="10" t="str">
        <f>IF(B2969="","",股指期货基差分析!$D$11)</f>
        <v/>
      </c>
    </row>
    <row r="2970" spans="2:9" ht="15" customHeight="1" x14ac:dyDescent="0.2">
      <c r="B2970" s="7"/>
      <c r="C2970" s="5" t="str">
        <f>IF(B2970="","",[1]!s_dq_close(股指期货基差分析!$E$5,$B2970))</f>
        <v/>
      </c>
      <c r="D2970" s="5" t="str">
        <f>IF(B2970="","",[1]!s_dq_close(股指期货基差分析!$E$6,$B2970))</f>
        <v/>
      </c>
      <c r="E2970" s="5" t="e">
        <f ca="1">RANK(F2970,F:F)+COUNTIF(F$2:F2970,F2970)-1</f>
        <v>#VALUE!</v>
      </c>
      <c r="F2970" s="5" t="str">
        <f t="shared" si="47"/>
        <v/>
      </c>
      <c r="G2970" s="5" t="str">
        <f>IF(B2970="","",股指期货基差分析!$N$11)</f>
        <v/>
      </c>
      <c r="H2970" s="5" t="str">
        <f>IF(B2970="","",股指期货基差分析!$L$11)</f>
        <v/>
      </c>
      <c r="I2970" s="9" t="str">
        <f>IF(B2970="","",股指期货基差分析!$D$11)</f>
        <v/>
      </c>
    </row>
    <row r="2971" spans="2:9" ht="15" customHeight="1" x14ac:dyDescent="0.2">
      <c r="B2971" s="8"/>
      <c r="C2971" s="6" t="str">
        <f>IF(B2971="","",[1]!s_dq_close(股指期货基差分析!$E$5,$B2971))</f>
        <v/>
      </c>
      <c r="D2971" s="6" t="str">
        <f>IF(B2971="","",[1]!s_dq_close(股指期货基差分析!$E$6,$B2971))</f>
        <v/>
      </c>
      <c r="E2971" s="6" t="e">
        <f ca="1">RANK(F2971,F:F)+COUNTIF(F$2:F2971,F2971)-1</f>
        <v>#VALUE!</v>
      </c>
      <c r="F2971" s="6" t="str">
        <f t="shared" si="47"/>
        <v/>
      </c>
      <c r="G2971" s="6" t="str">
        <f>IF(B2971="","",股指期货基差分析!$N$11)</f>
        <v/>
      </c>
      <c r="H2971" s="6" t="str">
        <f>IF(B2971="","",股指期货基差分析!$L$11)</f>
        <v/>
      </c>
      <c r="I2971" s="10" t="str">
        <f>IF(B2971="","",股指期货基差分析!$D$11)</f>
        <v/>
      </c>
    </row>
    <row r="2972" spans="2:9" ht="15" customHeight="1" x14ac:dyDescent="0.2">
      <c r="B2972" s="7"/>
      <c r="C2972" s="5" t="str">
        <f>IF(B2972="","",[1]!s_dq_close(股指期货基差分析!$E$5,$B2972))</f>
        <v/>
      </c>
      <c r="D2972" s="5" t="str">
        <f>IF(B2972="","",[1]!s_dq_close(股指期货基差分析!$E$6,$B2972))</f>
        <v/>
      </c>
      <c r="E2972" s="5" t="e">
        <f ca="1">RANK(F2972,F:F)+COUNTIF(F$2:F2972,F2972)-1</f>
        <v>#VALUE!</v>
      </c>
      <c r="F2972" s="5" t="str">
        <f t="shared" si="47"/>
        <v/>
      </c>
      <c r="G2972" s="5" t="str">
        <f>IF(B2972="","",股指期货基差分析!$N$11)</f>
        <v/>
      </c>
      <c r="H2972" s="5" t="str">
        <f>IF(B2972="","",股指期货基差分析!$L$11)</f>
        <v/>
      </c>
      <c r="I2972" s="9" t="str">
        <f>IF(B2972="","",股指期货基差分析!$D$11)</f>
        <v/>
      </c>
    </row>
    <row r="2973" spans="2:9" ht="15" customHeight="1" x14ac:dyDescent="0.2">
      <c r="B2973" s="8"/>
      <c r="C2973" s="6" t="str">
        <f>IF(B2973="","",[1]!s_dq_close(股指期货基差分析!$E$5,$B2973))</f>
        <v/>
      </c>
      <c r="D2973" s="6" t="str">
        <f>IF(B2973="","",[1]!s_dq_close(股指期货基差分析!$E$6,$B2973))</f>
        <v/>
      </c>
      <c r="E2973" s="6" t="e">
        <f ca="1">RANK(F2973,F:F)+COUNTIF(F$2:F2973,F2973)-1</f>
        <v>#VALUE!</v>
      </c>
      <c r="F2973" s="6" t="str">
        <f t="shared" si="47"/>
        <v/>
      </c>
      <c r="G2973" s="6" t="str">
        <f>IF(B2973="","",股指期货基差分析!$N$11)</f>
        <v/>
      </c>
      <c r="H2973" s="6" t="str">
        <f>IF(B2973="","",股指期货基差分析!$L$11)</f>
        <v/>
      </c>
      <c r="I2973" s="10" t="str">
        <f>IF(B2973="","",股指期货基差分析!$D$11)</f>
        <v/>
      </c>
    </row>
    <row r="2974" spans="2:9" ht="15" customHeight="1" x14ac:dyDescent="0.2">
      <c r="B2974" s="7"/>
      <c r="C2974" s="5" t="str">
        <f>IF(B2974="","",[1]!s_dq_close(股指期货基差分析!$E$5,$B2974))</f>
        <v/>
      </c>
      <c r="D2974" s="5" t="str">
        <f>IF(B2974="","",[1]!s_dq_close(股指期货基差分析!$E$6,$B2974))</f>
        <v/>
      </c>
      <c r="E2974" s="5" t="e">
        <f ca="1">RANK(F2974,F:F)+COUNTIF(F$2:F2974,F2974)-1</f>
        <v>#VALUE!</v>
      </c>
      <c r="F2974" s="5" t="str">
        <f t="shared" si="47"/>
        <v/>
      </c>
      <c r="G2974" s="5" t="str">
        <f>IF(B2974="","",股指期货基差分析!$N$11)</f>
        <v/>
      </c>
      <c r="H2974" s="5" t="str">
        <f>IF(B2974="","",股指期货基差分析!$L$11)</f>
        <v/>
      </c>
      <c r="I2974" s="9" t="str">
        <f>IF(B2974="","",股指期货基差分析!$D$11)</f>
        <v/>
      </c>
    </row>
    <row r="2975" spans="2:9" ht="15" customHeight="1" x14ac:dyDescent="0.2">
      <c r="B2975" s="8"/>
      <c r="C2975" s="6" t="str">
        <f>IF(B2975="","",[1]!s_dq_close(股指期货基差分析!$E$5,$B2975))</f>
        <v/>
      </c>
      <c r="D2975" s="6" t="str">
        <f>IF(B2975="","",[1]!s_dq_close(股指期货基差分析!$E$6,$B2975))</f>
        <v/>
      </c>
      <c r="E2975" s="6" t="e">
        <f ca="1">RANK(F2975,F:F)+COUNTIF(F$2:F2975,F2975)-1</f>
        <v>#VALUE!</v>
      </c>
      <c r="F2975" s="6" t="str">
        <f t="shared" si="47"/>
        <v/>
      </c>
      <c r="G2975" s="6" t="str">
        <f>IF(B2975="","",股指期货基差分析!$N$11)</f>
        <v/>
      </c>
      <c r="H2975" s="6" t="str">
        <f>IF(B2975="","",股指期货基差分析!$L$11)</f>
        <v/>
      </c>
      <c r="I2975" s="10" t="str">
        <f>IF(B2975="","",股指期货基差分析!$D$11)</f>
        <v/>
      </c>
    </row>
    <row r="2976" spans="2:9" ht="15" customHeight="1" x14ac:dyDescent="0.2">
      <c r="B2976" s="7"/>
      <c r="C2976" s="5" t="str">
        <f>IF(B2976="","",[1]!s_dq_close(股指期货基差分析!$E$5,$B2976))</f>
        <v/>
      </c>
      <c r="D2976" s="5" t="str">
        <f>IF(B2976="","",[1]!s_dq_close(股指期货基差分析!$E$6,$B2976))</f>
        <v/>
      </c>
      <c r="E2976" s="5" t="e">
        <f ca="1">RANK(F2976,F:F)+COUNTIF(F$2:F2976,F2976)-1</f>
        <v>#VALUE!</v>
      </c>
      <c r="F2976" s="5" t="str">
        <f t="shared" si="47"/>
        <v/>
      </c>
      <c r="G2976" s="5" t="str">
        <f>IF(B2976="","",股指期货基差分析!$N$11)</f>
        <v/>
      </c>
      <c r="H2976" s="5" t="str">
        <f>IF(B2976="","",股指期货基差分析!$L$11)</f>
        <v/>
      </c>
      <c r="I2976" s="9" t="str">
        <f>IF(B2976="","",股指期货基差分析!$D$11)</f>
        <v/>
      </c>
    </row>
    <row r="2977" spans="2:9" ht="15" customHeight="1" x14ac:dyDescent="0.2">
      <c r="B2977" s="8"/>
      <c r="C2977" s="6" t="str">
        <f>IF(B2977="","",[1]!s_dq_close(股指期货基差分析!$E$5,$B2977))</f>
        <v/>
      </c>
      <c r="D2977" s="6" t="str">
        <f>IF(B2977="","",[1]!s_dq_close(股指期货基差分析!$E$6,$B2977))</f>
        <v/>
      </c>
      <c r="E2977" s="6" t="e">
        <f ca="1">RANK(F2977,F:F)+COUNTIF(F$2:F2977,F2977)-1</f>
        <v>#VALUE!</v>
      </c>
      <c r="F2977" s="6" t="str">
        <f t="shared" si="47"/>
        <v/>
      </c>
      <c r="G2977" s="6" t="str">
        <f>IF(B2977="","",股指期货基差分析!$N$11)</f>
        <v/>
      </c>
      <c r="H2977" s="6" t="str">
        <f>IF(B2977="","",股指期货基差分析!$L$11)</f>
        <v/>
      </c>
      <c r="I2977" s="10" t="str">
        <f>IF(B2977="","",股指期货基差分析!$D$11)</f>
        <v/>
      </c>
    </row>
    <row r="2978" spans="2:9" ht="15" customHeight="1" x14ac:dyDescent="0.2">
      <c r="B2978" s="7"/>
      <c r="C2978" s="5" t="str">
        <f>IF(B2978="","",[1]!s_dq_close(股指期货基差分析!$E$5,$B2978))</f>
        <v/>
      </c>
      <c r="D2978" s="5" t="str">
        <f>IF(B2978="","",[1]!s_dq_close(股指期货基差分析!$E$6,$B2978))</f>
        <v/>
      </c>
      <c r="E2978" s="5" t="e">
        <f ca="1">RANK(F2978,F:F)+COUNTIF(F$2:F2978,F2978)-1</f>
        <v>#VALUE!</v>
      </c>
      <c r="F2978" s="5" t="str">
        <f t="shared" si="47"/>
        <v/>
      </c>
      <c r="G2978" s="5" t="str">
        <f>IF(B2978="","",股指期货基差分析!$N$11)</f>
        <v/>
      </c>
      <c r="H2978" s="5" t="str">
        <f>IF(B2978="","",股指期货基差分析!$L$11)</f>
        <v/>
      </c>
      <c r="I2978" s="9" t="str">
        <f>IF(B2978="","",股指期货基差分析!$D$11)</f>
        <v/>
      </c>
    </row>
    <row r="2979" spans="2:9" ht="15" customHeight="1" x14ac:dyDescent="0.2">
      <c r="B2979" s="8"/>
      <c r="C2979" s="6" t="str">
        <f>IF(B2979="","",[1]!s_dq_close(股指期货基差分析!$E$5,$B2979))</f>
        <v/>
      </c>
      <c r="D2979" s="6" t="str">
        <f>IF(B2979="","",[1]!s_dq_close(股指期货基差分析!$E$6,$B2979))</f>
        <v/>
      </c>
      <c r="E2979" s="6" t="e">
        <f ca="1">RANK(F2979,F:F)+COUNTIF(F$2:F2979,F2979)-1</f>
        <v>#VALUE!</v>
      </c>
      <c r="F2979" s="6" t="str">
        <f t="shared" si="47"/>
        <v/>
      </c>
      <c r="G2979" s="6" t="str">
        <f>IF(B2979="","",股指期货基差分析!$N$11)</f>
        <v/>
      </c>
      <c r="H2979" s="6" t="str">
        <f>IF(B2979="","",股指期货基差分析!$L$11)</f>
        <v/>
      </c>
      <c r="I2979" s="10" t="str">
        <f>IF(B2979="","",股指期货基差分析!$D$11)</f>
        <v/>
      </c>
    </row>
    <row r="2980" spans="2:9" ht="15" customHeight="1" x14ac:dyDescent="0.2">
      <c r="B2980" s="7"/>
      <c r="C2980" s="5" t="str">
        <f>IF(B2980="","",[1]!s_dq_close(股指期货基差分析!$E$5,$B2980))</f>
        <v/>
      </c>
      <c r="D2980" s="5" t="str">
        <f>IF(B2980="","",[1]!s_dq_close(股指期货基差分析!$E$6,$B2980))</f>
        <v/>
      </c>
      <c r="E2980" s="5" t="e">
        <f ca="1">RANK(F2980,F:F)+COUNTIF(F$2:F2980,F2980)-1</f>
        <v>#VALUE!</v>
      </c>
      <c r="F2980" s="5" t="str">
        <f t="shared" si="47"/>
        <v/>
      </c>
      <c r="G2980" s="5" t="str">
        <f>IF(B2980="","",股指期货基差分析!$N$11)</f>
        <v/>
      </c>
      <c r="H2980" s="5" t="str">
        <f>IF(B2980="","",股指期货基差分析!$L$11)</f>
        <v/>
      </c>
      <c r="I2980" s="9" t="str">
        <f>IF(B2980="","",股指期货基差分析!$D$11)</f>
        <v/>
      </c>
    </row>
    <row r="2981" spans="2:9" ht="15" customHeight="1" x14ac:dyDescent="0.2">
      <c r="B2981" s="8"/>
      <c r="C2981" s="6" t="str">
        <f>IF(B2981="","",[1]!s_dq_close(股指期货基差分析!$E$5,$B2981))</f>
        <v/>
      </c>
      <c r="D2981" s="6" t="str">
        <f>IF(B2981="","",[1]!s_dq_close(股指期货基差分析!$E$6,$B2981))</f>
        <v/>
      </c>
      <c r="E2981" s="6" t="e">
        <f ca="1">RANK(F2981,F:F)+COUNTIF(F$2:F2981,F2981)-1</f>
        <v>#VALUE!</v>
      </c>
      <c r="F2981" s="6" t="str">
        <f t="shared" si="47"/>
        <v/>
      </c>
      <c r="G2981" s="6" t="str">
        <f>IF(B2981="","",股指期货基差分析!$N$11)</f>
        <v/>
      </c>
      <c r="H2981" s="6" t="str">
        <f>IF(B2981="","",股指期货基差分析!$L$11)</f>
        <v/>
      </c>
      <c r="I2981" s="10" t="str">
        <f>IF(B2981="","",股指期货基差分析!$D$11)</f>
        <v/>
      </c>
    </row>
    <row r="2982" spans="2:9" ht="15" customHeight="1" x14ac:dyDescent="0.2">
      <c r="B2982" s="7"/>
      <c r="C2982" s="5" t="str">
        <f>IF(B2982="","",[1]!s_dq_close(股指期货基差分析!$E$5,$B2982))</f>
        <v/>
      </c>
      <c r="D2982" s="5" t="str">
        <f>IF(B2982="","",[1]!s_dq_close(股指期货基差分析!$E$6,$B2982))</f>
        <v/>
      </c>
      <c r="E2982" s="5" t="e">
        <f ca="1">RANK(F2982,F:F)+COUNTIF(F$2:F2982,F2982)-1</f>
        <v>#VALUE!</v>
      </c>
      <c r="F2982" s="5" t="str">
        <f t="shared" si="47"/>
        <v/>
      </c>
      <c r="G2982" s="5" t="str">
        <f>IF(B2982="","",股指期货基差分析!$N$11)</f>
        <v/>
      </c>
      <c r="H2982" s="5" t="str">
        <f>IF(B2982="","",股指期货基差分析!$L$11)</f>
        <v/>
      </c>
      <c r="I2982" s="9" t="str">
        <f>IF(B2982="","",股指期货基差分析!$D$11)</f>
        <v/>
      </c>
    </row>
    <row r="2983" spans="2:9" ht="15" customHeight="1" x14ac:dyDescent="0.2">
      <c r="B2983" s="8"/>
      <c r="C2983" s="6" t="str">
        <f>IF(B2983="","",[1]!s_dq_close(股指期货基差分析!$E$5,$B2983))</f>
        <v/>
      </c>
      <c r="D2983" s="6" t="str">
        <f>IF(B2983="","",[1]!s_dq_close(股指期货基差分析!$E$6,$B2983))</f>
        <v/>
      </c>
      <c r="E2983" s="6" t="e">
        <f ca="1">RANK(F2983,F:F)+COUNTIF(F$2:F2983,F2983)-1</f>
        <v>#VALUE!</v>
      </c>
      <c r="F2983" s="6" t="str">
        <f t="shared" si="47"/>
        <v/>
      </c>
      <c r="G2983" s="6" t="str">
        <f>IF(B2983="","",股指期货基差分析!$N$11)</f>
        <v/>
      </c>
      <c r="H2983" s="6" t="str">
        <f>IF(B2983="","",股指期货基差分析!$L$11)</f>
        <v/>
      </c>
      <c r="I2983" s="10" t="str">
        <f>IF(B2983="","",股指期货基差分析!$D$11)</f>
        <v/>
      </c>
    </row>
    <row r="2984" spans="2:9" ht="15" customHeight="1" x14ac:dyDescent="0.2">
      <c r="B2984" s="7"/>
      <c r="C2984" s="5" t="str">
        <f>IF(B2984="","",[1]!s_dq_close(股指期货基差分析!$E$5,$B2984))</f>
        <v/>
      </c>
      <c r="D2984" s="5" t="str">
        <f>IF(B2984="","",[1]!s_dq_close(股指期货基差分析!$E$6,$B2984))</f>
        <v/>
      </c>
      <c r="E2984" s="5" t="e">
        <f ca="1">RANK(F2984,F:F)+COUNTIF(F$2:F2984,F2984)-1</f>
        <v>#VALUE!</v>
      </c>
      <c r="F2984" s="5" t="str">
        <f t="shared" si="47"/>
        <v/>
      </c>
      <c r="G2984" s="5" t="str">
        <f>IF(B2984="","",股指期货基差分析!$N$11)</f>
        <v/>
      </c>
      <c r="H2984" s="5" t="str">
        <f>IF(B2984="","",股指期货基差分析!$L$11)</f>
        <v/>
      </c>
      <c r="I2984" s="9" t="str">
        <f>IF(B2984="","",股指期货基差分析!$D$11)</f>
        <v/>
      </c>
    </row>
    <row r="2985" spans="2:9" ht="15" customHeight="1" x14ac:dyDescent="0.2">
      <c r="B2985" s="8"/>
      <c r="C2985" s="6" t="str">
        <f>IF(B2985="","",[1]!s_dq_close(股指期货基差分析!$E$5,$B2985))</f>
        <v/>
      </c>
      <c r="D2985" s="6" t="str">
        <f>IF(B2985="","",[1]!s_dq_close(股指期货基差分析!$E$6,$B2985))</f>
        <v/>
      </c>
      <c r="E2985" s="6" t="e">
        <f ca="1">RANK(F2985,F:F)+COUNTIF(F$2:F2985,F2985)-1</f>
        <v>#VALUE!</v>
      </c>
      <c r="F2985" s="6" t="str">
        <f t="shared" si="47"/>
        <v/>
      </c>
      <c r="G2985" s="6" t="str">
        <f>IF(B2985="","",股指期货基差分析!$N$11)</f>
        <v/>
      </c>
      <c r="H2985" s="6" t="str">
        <f>IF(B2985="","",股指期货基差分析!$L$11)</f>
        <v/>
      </c>
      <c r="I2985" s="10" t="str">
        <f>IF(B2985="","",股指期货基差分析!$D$11)</f>
        <v/>
      </c>
    </row>
    <row r="2986" spans="2:9" ht="15" customHeight="1" x14ac:dyDescent="0.2">
      <c r="B2986" s="7"/>
      <c r="C2986" s="5" t="str">
        <f>IF(B2986="","",[1]!s_dq_close(股指期货基差分析!$E$5,$B2986))</f>
        <v/>
      </c>
      <c r="D2986" s="5" t="str">
        <f>IF(B2986="","",[1]!s_dq_close(股指期货基差分析!$E$6,$B2986))</f>
        <v/>
      </c>
      <c r="E2986" s="5" t="e">
        <f ca="1">RANK(F2986,F:F)+COUNTIF(F$2:F2986,F2986)-1</f>
        <v>#VALUE!</v>
      </c>
      <c r="F2986" s="5" t="str">
        <f t="shared" si="47"/>
        <v/>
      </c>
      <c r="G2986" s="5" t="str">
        <f>IF(B2986="","",股指期货基差分析!$N$11)</f>
        <v/>
      </c>
      <c r="H2986" s="5" t="str">
        <f>IF(B2986="","",股指期货基差分析!$L$11)</f>
        <v/>
      </c>
      <c r="I2986" s="9" t="str">
        <f>IF(B2986="","",股指期货基差分析!$D$11)</f>
        <v/>
      </c>
    </row>
    <row r="2987" spans="2:9" ht="15" customHeight="1" x14ac:dyDescent="0.2">
      <c r="B2987" s="8"/>
      <c r="C2987" s="6" t="str">
        <f>IF(B2987="","",[1]!s_dq_close(股指期货基差分析!$E$5,$B2987))</f>
        <v/>
      </c>
      <c r="D2987" s="6" t="str">
        <f>IF(B2987="","",[1]!s_dq_close(股指期货基差分析!$E$6,$B2987))</f>
        <v/>
      </c>
      <c r="E2987" s="6" t="e">
        <f ca="1">RANK(F2987,F:F)+COUNTIF(F$2:F2987,F2987)-1</f>
        <v>#VALUE!</v>
      </c>
      <c r="F2987" s="6" t="str">
        <f t="shared" si="47"/>
        <v/>
      </c>
      <c r="G2987" s="6" t="str">
        <f>IF(B2987="","",股指期货基差分析!$N$11)</f>
        <v/>
      </c>
      <c r="H2987" s="6" t="str">
        <f>IF(B2987="","",股指期货基差分析!$L$11)</f>
        <v/>
      </c>
      <c r="I2987" s="10" t="str">
        <f>IF(B2987="","",股指期货基差分析!$D$11)</f>
        <v/>
      </c>
    </row>
    <row r="2988" spans="2:9" ht="15" customHeight="1" x14ac:dyDescent="0.2">
      <c r="B2988" s="7"/>
      <c r="C2988" s="5" t="str">
        <f>IF(B2988="","",[1]!s_dq_close(股指期货基差分析!$E$5,$B2988))</f>
        <v/>
      </c>
      <c r="D2988" s="5" t="str">
        <f>IF(B2988="","",[1]!s_dq_close(股指期货基差分析!$E$6,$B2988))</f>
        <v/>
      </c>
      <c r="E2988" s="5" t="e">
        <f ca="1">RANK(F2988,F:F)+COUNTIF(F$2:F2988,F2988)-1</f>
        <v>#VALUE!</v>
      </c>
      <c r="F2988" s="5" t="str">
        <f t="shared" si="47"/>
        <v/>
      </c>
      <c r="G2988" s="5" t="str">
        <f>IF(B2988="","",股指期货基差分析!$N$11)</f>
        <v/>
      </c>
      <c r="H2988" s="5" t="str">
        <f>IF(B2988="","",股指期货基差分析!$L$11)</f>
        <v/>
      </c>
      <c r="I2988" s="9" t="str">
        <f>IF(B2988="","",股指期货基差分析!$D$11)</f>
        <v/>
      </c>
    </row>
    <row r="2989" spans="2:9" ht="15" customHeight="1" x14ac:dyDescent="0.2">
      <c r="B2989" s="8"/>
      <c r="C2989" s="6" t="str">
        <f>IF(B2989="","",[1]!s_dq_close(股指期货基差分析!$E$5,$B2989))</f>
        <v/>
      </c>
      <c r="D2989" s="6" t="str">
        <f>IF(B2989="","",[1]!s_dq_close(股指期货基差分析!$E$6,$B2989))</f>
        <v/>
      </c>
      <c r="E2989" s="6" t="e">
        <f ca="1">RANK(F2989,F:F)+COUNTIF(F$2:F2989,F2989)-1</f>
        <v>#VALUE!</v>
      </c>
      <c r="F2989" s="6" t="str">
        <f t="shared" si="47"/>
        <v/>
      </c>
      <c r="G2989" s="6" t="str">
        <f>IF(B2989="","",股指期货基差分析!$N$11)</f>
        <v/>
      </c>
      <c r="H2989" s="6" t="str">
        <f>IF(B2989="","",股指期货基差分析!$L$11)</f>
        <v/>
      </c>
      <c r="I2989" s="10" t="str">
        <f>IF(B2989="","",股指期货基差分析!$D$11)</f>
        <v/>
      </c>
    </row>
    <row r="2990" spans="2:9" ht="15" customHeight="1" x14ac:dyDescent="0.2">
      <c r="B2990" s="7"/>
      <c r="C2990" s="5" t="str">
        <f>IF(B2990="","",[1]!s_dq_close(股指期货基差分析!$E$5,$B2990))</f>
        <v/>
      </c>
      <c r="D2990" s="5" t="str">
        <f>IF(B2990="","",[1]!s_dq_close(股指期货基差分析!$E$6,$B2990))</f>
        <v/>
      </c>
      <c r="E2990" s="5" t="e">
        <f ca="1">RANK(F2990,F:F)+COUNTIF(F$2:F2990,F2990)-1</f>
        <v>#VALUE!</v>
      </c>
      <c r="F2990" s="5" t="str">
        <f t="shared" si="47"/>
        <v/>
      </c>
      <c r="G2990" s="5" t="str">
        <f>IF(B2990="","",股指期货基差分析!$N$11)</f>
        <v/>
      </c>
      <c r="H2990" s="5" t="str">
        <f>IF(B2990="","",股指期货基差分析!$L$11)</f>
        <v/>
      </c>
      <c r="I2990" s="9" t="str">
        <f>IF(B2990="","",股指期货基差分析!$D$11)</f>
        <v/>
      </c>
    </row>
    <row r="2991" spans="2:9" ht="15" customHeight="1" x14ac:dyDescent="0.2">
      <c r="B2991" s="8"/>
      <c r="C2991" s="6" t="str">
        <f>IF(B2991="","",[1]!s_dq_close(股指期货基差分析!$E$5,$B2991))</f>
        <v/>
      </c>
      <c r="D2991" s="6" t="str">
        <f>IF(B2991="","",[1]!s_dq_close(股指期货基差分析!$E$6,$B2991))</f>
        <v/>
      </c>
      <c r="E2991" s="6" t="e">
        <f ca="1">RANK(F2991,F:F)+COUNTIF(F$2:F2991,F2991)-1</f>
        <v>#VALUE!</v>
      </c>
      <c r="F2991" s="6" t="str">
        <f t="shared" si="47"/>
        <v/>
      </c>
      <c r="G2991" s="6" t="str">
        <f>IF(B2991="","",股指期货基差分析!$N$11)</f>
        <v/>
      </c>
      <c r="H2991" s="6" t="str">
        <f>IF(B2991="","",股指期货基差分析!$L$11)</f>
        <v/>
      </c>
      <c r="I2991" s="10" t="str">
        <f>IF(B2991="","",股指期货基差分析!$D$11)</f>
        <v/>
      </c>
    </row>
    <row r="2992" spans="2:9" ht="15" customHeight="1" x14ac:dyDescent="0.2">
      <c r="B2992" s="7"/>
      <c r="C2992" s="5" t="str">
        <f>IF(B2992="","",[1]!s_dq_close(股指期货基差分析!$E$5,$B2992))</f>
        <v/>
      </c>
      <c r="D2992" s="5" t="str">
        <f>IF(B2992="","",[1]!s_dq_close(股指期货基差分析!$E$6,$B2992))</f>
        <v/>
      </c>
      <c r="E2992" s="5" t="e">
        <f ca="1">RANK(F2992,F:F)+COUNTIF(F$2:F2992,F2992)-1</f>
        <v>#VALUE!</v>
      </c>
      <c r="F2992" s="5" t="str">
        <f t="shared" si="47"/>
        <v/>
      </c>
      <c r="G2992" s="5" t="str">
        <f>IF(B2992="","",股指期货基差分析!$N$11)</f>
        <v/>
      </c>
      <c r="H2992" s="5" t="str">
        <f>IF(B2992="","",股指期货基差分析!$L$11)</f>
        <v/>
      </c>
      <c r="I2992" s="9" t="str">
        <f>IF(B2992="","",股指期货基差分析!$D$11)</f>
        <v/>
      </c>
    </row>
    <row r="2993" spans="2:9" ht="15" customHeight="1" x14ac:dyDescent="0.2">
      <c r="B2993" s="8"/>
      <c r="C2993" s="6" t="str">
        <f>IF(B2993="","",[1]!s_dq_close(股指期货基差分析!$E$5,$B2993))</f>
        <v/>
      </c>
      <c r="D2993" s="6" t="str">
        <f>IF(B2993="","",[1]!s_dq_close(股指期货基差分析!$E$6,$B2993))</f>
        <v/>
      </c>
      <c r="E2993" s="6" t="e">
        <f ca="1">RANK(F2993,F:F)+COUNTIF(F$2:F2993,F2993)-1</f>
        <v>#VALUE!</v>
      </c>
      <c r="F2993" s="6" t="str">
        <f t="shared" si="47"/>
        <v/>
      </c>
      <c r="G2993" s="6" t="str">
        <f>IF(B2993="","",股指期货基差分析!$N$11)</f>
        <v/>
      </c>
      <c r="H2993" s="6" t="str">
        <f>IF(B2993="","",股指期货基差分析!$L$11)</f>
        <v/>
      </c>
      <c r="I2993" s="10" t="str">
        <f>IF(B2993="","",股指期货基差分析!$D$11)</f>
        <v/>
      </c>
    </row>
    <row r="2994" spans="2:9" ht="15" customHeight="1" x14ac:dyDescent="0.2">
      <c r="B2994" s="7"/>
      <c r="C2994" s="5" t="str">
        <f>IF(B2994="","",[1]!s_dq_close(股指期货基差分析!$E$5,$B2994))</f>
        <v/>
      </c>
      <c r="D2994" s="5" t="str">
        <f>IF(B2994="","",[1]!s_dq_close(股指期货基差分析!$E$6,$B2994))</f>
        <v/>
      </c>
      <c r="E2994" s="5" t="e">
        <f ca="1">RANK(F2994,F:F)+COUNTIF(F$2:F2994,F2994)-1</f>
        <v>#VALUE!</v>
      </c>
      <c r="F2994" s="5" t="str">
        <f t="shared" si="47"/>
        <v/>
      </c>
      <c r="G2994" s="5" t="str">
        <f>IF(B2994="","",股指期货基差分析!$N$11)</f>
        <v/>
      </c>
      <c r="H2994" s="5" t="str">
        <f>IF(B2994="","",股指期货基差分析!$L$11)</f>
        <v/>
      </c>
      <c r="I2994" s="9" t="str">
        <f>IF(B2994="","",股指期货基差分析!$D$11)</f>
        <v/>
      </c>
    </row>
    <row r="2995" spans="2:9" ht="15" customHeight="1" x14ac:dyDescent="0.2">
      <c r="B2995" s="8"/>
      <c r="C2995" s="6" t="str">
        <f>IF(B2995="","",[1]!s_dq_close(股指期货基差分析!$E$5,$B2995))</f>
        <v/>
      </c>
      <c r="D2995" s="6" t="str">
        <f>IF(B2995="","",[1]!s_dq_close(股指期货基差分析!$E$6,$B2995))</f>
        <v/>
      </c>
      <c r="E2995" s="6" t="e">
        <f ca="1">RANK(F2995,F:F)+COUNTIF(F$2:F2995,F2995)-1</f>
        <v>#VALUE!</v>
      </c>
      <c r="F2995" s="6" t="str">
        <f t="shared" si="47"/>
        <v/>
      </c>
      <c r="G2995" s="6" t="str">
        <f>IF(B2995="","",股指期货基差分析!$N$11)</f>
        <v/>
      </c>
      <c r="H2995" s="6" t="str">
        <f>IF(B2995="","",股指期货基差分析!$L$11)</f>
        <v/>
      </c>
      <c r="I2995" s="10" t="str">
        <f>IF(B2995="","",股指期货基差分析!$D$11)</f>
        <v/>
      </c>
    </row>
    <row r="2996" spans="2:9" ht="15" customHeight="1" x14ac:dyDescent="0.2">
      <c r="B2996" s="7"/>
      <c r="C2996" s="5" t="str">
        <f>IF(B2996="","",[1]!s_dq_close(股指期货基差分析!$E$5,$B2996))</f>
        <v/>
      </c>
      <c r="D2996" s="5" t="str">
        <f>IF(B2996="","",[1]!s_dq_close(股指期货基差分析!$E$6,$B2996))</f>
        <v/>
      </c>
      <c r="E2996" s="5" t="e">
        <f ca="1">RANK(F2996,F:F)+COUNTIF(F$2:F2996,F2996)-1</f>
        <v>#VALUE!</v>
      </c>
      <c r="F2996" s="5" t="str">
        <f t="shared" si="47"/>
        <v/>
      </c>
      <c r="G2996" s="5" t="str">
        <f>IF(B2996="","",股指期货基差分析!$N$11)</f>
        <v/>
      </c>
      <c r="H2996" s="5" t="str">
        <f>IF(B2996="","",股指期货基差分析!$L$11)</f>
        <v/>
      </c>
      <c r="I2996" s="9" t="str">
        <f>IF(B2996="","",股指期货基差分析!$D$11)</f>
        <v/>
      </c>
    </row>
    <row r="2997" spans="2:9" ht="15" customHeight="1" x14ac:dyDescent="0.2">
      <c r="B2997" s="8"/>
      <c r="C2997" s="6" t="str">
        <f>IF(B2997="","",[1]!s_dq_close(股指期货基差分析!$E$5,$B2997))</f>
        <v/>
      </c>
      <c r="D2997" s="6" t="str">
        <f>IF(B2997="","",[1]!s_dq_close(股指期货基差分析!$E$6,$B2997))</f>
        <v/>
      </c>
      <c r="E2997" s="6" t="e">
        <f ca="1">RANK(F2997,F:F)+COUNTIF(F$2:F2997,F2997)-1</f>
        <v>#VALUE!</v>
      </c>
      <c r="F2997" s="6" t="str">
        <f t="shared" si="47"/>
        <v/>
      </c>
      <c r="G2997" s="6" t="str">
        <f>IF(B2997="","",股指期货基差分析!$N$11)</f>
        <v/>
      </c>
      <c r="H2997" s="6" t="str">
        <f>IF(B2997="","",股指期货基差分析!$L$11)</f>
        <v/>
      </c>
      <c r="I2997" s="10" t="str">
        <f>IF(B2997="","",股指期货基差分析!$D$11)</f>
        <v/>
      </c>
    </row>
    <row r="2998" spans="2:9" ht="15" customHeight="1" x14ac:dyDescent="0.2">
      <c r="B2998" s="7"/>
      <c r="C2998" s="5" t="str">
        <f>IF(B2998="","",[1]!s_dq_close(股指期货基差分析!$E$5,$B2998))</f>
        <v/>
      </c>
      <c r="D2998" s="5" t="str">
        <f>IF(B2998="","",[1]!s_dq_close(股指期货基差分析!$E$6,$B2998))</f>
        <v/>
      </c>
      <c r="E2998" s="5" t="e">
        <f ca="1">RANK(F2998,F:F)+COUNTIF(F$2:F2998,F2998)-1</f>
        <v>#VALUE!</v>
      </c>
      <c r="F2998" s="5" t="str">
        <f t="shared" si="47"/>
        <v/>
      </c>
      <c r="G2998" s="5" t="str">
        <f>IF(B2998="","",股指期货基差分析!$N$11)</f>
        <v/>
      </c>
      <c r="H2998" s="5" t="str">
        <f>IF(B2998="","",股指期货基差分析!$L$11)</f>
        <v/>
      </c>
      <c r="I2998" s="9" t="str">
        <f>IF(B2998="","",股指期货基差分析!$D$11)</f>
        <v/>
      </c>
    </row>
    <row r="2999" spans="2:9" ht="15" customHeight="1" x14ac:dyDescent="0.2">
      <c r="B2999" s="8"/>
      <c r="C2999" s="6" t="str">
        <f>IF(B2999="","",[1]!s_dq_close(股指期货基差分析!$E$5,$B2999))</f>
        <v/>
      </c>
      <c r="D2999" s="6" t="str">
        <f>IF(B2999="","",[1]!s_dq_close(股指期货基差分析!$E$6,$B2999))</f>
        <v/>
      </c>
      <c r="E2999" s="6" t="e">
        <f ca="1">RANK(F2999,F:F)+COUNTIF(F$2:F2999,F2999)-1</f>
        <v>#VALUE!</v>
      </c>
      <c r="F2999" s="6" t="str">
        <f t="shared" si="47"/>
        <v/>
      </c>
      <c r="G2999" s="6" t="str">
        <f>IF(B2999="","",股指期货基差分析!$N$11)</f>
        <v/>
      </c>
      <c r="H2999" s="6" t="str">
        <f>IF(B2999="","",股指期货基差分析!$L$11)</f>
        <v/>
      </c>
      <c r="I2999" s="10" t="str">
        <f>IF(B2999="","",股指期货基差分析!$D$11)</f>
        <v/>
      </c>
    </row>
    <row r="3000" spans="2:9" ht="15" customHeight="1" x14ac:dyDescent="0.2">
      <c r="B3000" s="7"/>
      <c r="C3000" s="5" t="str">
        <f>IF(B3000="","",[1]!s_dq_close(股指期货基差分析!$E$5,$B3000))</f>
        <v/>
      </c>
      <c r="D3000" s="5" t="str">
        <f>IF(B3000="","",[1]!s_dq_close(股指期货基差分析!$E$6,$B3000))</f>
        <v/>
      </c>
      <c r="E3000" s="5" t="e">
        <f ca="1">RANK(F3000,F:F)+COUNTIF(F$2:F3000,F3000)-1</f>
        <v>#VALUE!</v>
      </c>
      <c r="F3000" s="5" t="str">
        <f t="shared" si="47"/>
        <v/>
      </c>
      <c r="G3000" s="5" t="str">
        <f>IF(B3000="","",股指期货基差分析!$N$11)</f>
        <v/>
      </c>
      <c r="H3000" s="5" t="str">
        <f>IF(B3000="","",股指期货基差分析!$L$11)</f>
        <v/>
      </c>
      <c r="I3000" s="9" t="str">
        <f>IF(B3000="","",股指期货基差分析!$D$11)</f>
        <v/>
      </c>
    </row>
    <row r="3001" spans="2:9" ht="15" customHeight="1" x14ac:dyDescent="0.2">
      <c r="B3001" s="8"/>
      <c r="C3001" s="6" t="str">
        <f>IF(B3001="","",[1]!s_dq_close(股指期货基差分析!$E$5,$B3001))</f>
        <v/>
      </c>
      <c r="D3001" s="6" t="str">
        <f>IF(B3001="","",[1]!s_dq_close(股指期货基差分析!$E$6,$B3001))</f>
        <v/>
      </c>
      <c r="E3001" s="6" t="e">
        <f ca="1">RANK(F3001,F:F)+COUNTIF(F$2:F3001,F3001)-1</f>
        <v>#VALUE!</v>
      </c>
      <c r="F3001" s="6" t="str">
        <f t="shared" si="47"/>
        <v/>
      </c>
      <c r="G3001" s="6" t="str">
        <f>IF(B3001="","",股指期货基差分析!$N$11)</f>
        <v/>
      </c>
      <c r="H3001" s="6" t="str">
        <f>IF(B3001="","",股指期货基差分析!$L$11)</f>
        <v/>
      </c>
      <c r="I3001" s="10" t="str">
        <f>IF(B3001="","",股指期货基差分析!$D$11)</f>
        <v/>
      </c>
    </row>
    <row r="3002" spans="2:9" ht="15" customHeight="1" x14ac:dyDescent="0.2">
      <c r="B3002" s="7"/>
      <c r="C3002" s="5" t="str">
        <f>IF(B3002="","",[1]!s_dq_close(股指期货基差分析!$E$5,$B3002))</f>
        <v/>
      </c>
      <c r="D3002" s="5" t="str">
        <f>IF(B3002="","",[1]!s_dq_close(股指期货基差分析!$E$6,$B3002))</f>
        <v/>
      </c>
      <c r="E3002" s="5" t="e">
        <f ca="1">RANK(F3002,F:F)+COUNTIF(F$2:F3002,F3002)-1</f>
        <v>#VALUE!</v>
      </c>
      <c r="F3002" s="5" t="str">
        <f t="shared" si="47"/>
        <v/>
      </c>
      <c r="G3002" s="5" t="str">
        <f>IF(B3002="","",股指期货基差分析!$N$11)</f>
        <v/>
      </c>
      <c r="H3002" s="5" t="str">
        <f>IF(B3002="","",股指期货基差分析!$L$11)</f>
        <v/>
      </c>
      <c r="I3002" s="9" t="str">
        <f>IF(B3002="","",股指期货基差分析!$D$11)</f>
        <v/>
      </c>
    </row>
    <row r="3003" spans="2:9" ht="15" customHeight="1" x14ac:dyDescent="0.2">
      <c r="B3003" s="8"/>
      <c r="C3003" s="6" t="str">
        <f>IF(B3003="","",[1]!s_dq_close(股指期货基差分析!$E$5,$B3003))</f>
        <v/>
      </c>
      <c r="D3003" s="6" t="str">
        <f>IF(B3003="","",[1]!s_dq_close(股指期货基差分析!$E$6,$B3003))</f>
        <v/>
      </c>
      <c r="E3003" s="6" t="e">
        <f ca="1">RANK(F3003,F:F)+COUNTIF(F$2:F3003,F3003)-1</f>
        <v>#VALUE!</v>
      </c>
      <c r="F3003" s="6" t="str">
        <f t="shared" si="47"/>
        <v/>
      </c>
      <c r="G3003" s="6" t="str">
        <f>IF(B3003="","",股指期货基差分析!$N$11)</f>
        <v/>
      </c>
      <c r="H3003" s="6" t="str">
        <f>IF(B3003="","",股指期货基差分析!$L$11)</f>
        <v/>
      </c>
      <c r="I3003" s="10" t="str">
        <f>IF(B3003="","",股指期货基差分析!$D$11)</f>
        <v/>
      </c>
    </row>
    <row r="3004" spans="2:9" ht="15" customHeight="1" x14ac:dyDescent="0.2">
      <c r="B3004" s="7"/>
      <c r="C3004" s="5" t="str">
        <f>IF(B3004="","",[1]!s_dq_close(股指期货基差分析!$E$5,$B3004))</f>
        <v/>
      </c>
      <c r="D3004" s="5" t="str">
        <f>IF(B3004="","",[1]!s_dq_close(股指期货基差分析!$E$6,$B3004))</f>
        <v/>
      </c>
      <c r="E3004" s="5" t="e">
        <f ca="1">RANK(F3004,F:F)+COUNTIF(F$2:F3004,F3004)-1</f>
        <v>#VALUE!</v>
      </c>
      <c r="F3004" s="5" t="str">
        <f t="shared" si="47"/>
        <v/>
      </c>
      <c r="G3004" s="5" t="str">
        <f>IF(B3004="","",股指期货基差分析!$N$11)</f>
        <v/>
      </c>
      <c r="H3004" s="5" t="str">
        <f>IF(B3004="","",股指期货基差分析!$L$11)</f>
        <v/>
      </c>
      <c r="I3004" s="9" t="str">
        <f>IF(B3004="","",股指期货基差分析!$D$11)</f>
        <v/>
      </c>
    </row>
    <row r="3005" spans="2:9" ht="15" customHeight="1" x14ac:dyDescent="0.2">
      <c r="B3005" s="8"/>
      <c r="C3005" s="6" t="str">
        <f>IF(B3005="","",[1]!s_dq_close(股指期货基差分析!$E$5,$B3005))</f>
        <v/>
      </c>
      <c r="D3005" s="6" t="str">
        <f>IF(B3005="","",[1]!s_dq_close(股指期货基差分析!$E$6,$B3005))</f>
        <v/>
      </c>
      <c r="E3005" s="6" t="e">
        <f ca="1">RANK(F3005,F:F)+COUNTIF(F$2:F3005,F3005)-1</f>
        <v>#VALUE!</v>
      </c>
      <c r="F3005" s="6" t="str">
        <f t="shared" si="47"/>
        <v/>
      </c>
      <c r="G3005" s="6" t="str">
        <f>IF(B3005="","",股指期货基差分析!$N$11)</f>
        <v/>
      </c>
      <c r="H3005" s="6" t="str">
        <f>IF(B3005="","",股指期货基差分析!$L$11)</f>
        <v/>
      </c>
      <c r="I3005" s="10" t="str">
        <f>IF(B3005="","",股指期货基差分析!$D$11)</f>
        <v/>
      </c>
    </row>
    <row r="3006" spans="2:9" ht="15" customHeight="1" x14ac:dyDescent="0.2">
      <c r="B3006" s="7"/>
      <c r="C3006" s="5" t="str">
        <f>IF(B3006="","",[1]!s_dq_close(股指期货基差分析!$E$5,$B3006))</f>
        <v/>
      </c>
      <c r="D3006" s="5" t="str">
        <f>IF(B3006="","",[1]!s_dq_close(股指期货基差分析!$E$6,$B3006))</f>
        <v/>
      </c>
      <c r="E3006" s="5" t="e">
        <f ca="1">RANK(F3006,F:F)+COUNTIF(F$2:F3006,F3006)-1</f>
        <v>#VALUE!</v>
      </c>
      <c r="F3006" s="5" t="str">
        <f t="shared" si="47"/>
        <v/>
      </c>
      <c r="G3006" s="5" t="str">
        <f>IF(B3006="","",股指期货基差分析!$N$11)</f>
        <v/>
      </c>
      <c r="H3006" s="5" t="str">
        <f>IF(B3006="","",股指期货基差分析!$L$11)</f>
        <v/>
      </c>
      <c r="I3006" s="9" t="str">
        <f>IF(B3006="","",股指期货基差分析!$D$11)</f>
        <v/>
      </c>
    </row>
    <row r="3007" spans="2:9" ht="15" customHeight="1" x14ac:dyDescent="0.2">
      <c r="B3007" s="8"/>
      <c r="C3007" s="6" t="str">
        <f>IF(B3007="","",[1]!s_dq_close(股指期货基差分析!$E$5,$B3007))</f>
        <v/>
      </c>
      <c r="D3007" s="6" t="str">
        <f>IF(B3007="","",[1]!s_dq_close(股指期货基差分析!$E$6,$B3007))</f>
        <v/>
      </c>
      <c r="E3007" s="6" t="e">
        <f ca="1">RANK(F3007,F:F)+COUNTIF(F$2:F3007,F3007)-1</f>
        <v>#VALUE!</v>
      </c>
      <c r="F3007" s="6" t="str">
        <f t="shared" si="47"/>
        <v/>
      </c>
      <c r="G3007" s="6" t="str">
        <f>IF(B3007="","",股指期货基差分析!$N$11)</f>
        <v/>
      </c>
      <c r="H3007" s="6" t="str">
        <f>IF(B3007="","",股指期货基差分析!$L$11)</f>
        <v/>
      </c>
      <c r="I3007" s="10" t="str">
        <f>IF(B3007="","",股指期货基差分析!$D$11)</f>
        <v/>
      </c>
    </row>
    <row r="3008" spans="2:9" ht="15" customHeight="1" x14ac:dyDescent="0.2">
      <c r="B3008" s="7"/>
      <c r="C3008" s="5" t="str">
        <f>IF(B3008="","",[1]!s_dq_close(股指期货基差分析!$E$5,$B3008))</f>
        <v/>
      </c>
      <c r="D3008" s="5" t="str">
        <f>IF(B3008="","",[1]!s_dq_close(股指期货基差分析!$E$6,$B3008))</f>
        <v/>
      </c>
      <c r="E3008" s="5" t="e">
        <f ca="1">RANK(F3008,F:F)+COUNTIF(F$2:F3008,F3008)-1</f>
        <v>#VALUE!</v>
      </c>
      <c r="F3008" s="5" t="str">
        <f t="shared" si="47"/>
        <v/>
      </c>
      <c r="G3008" s="5" t="str">
        <f>IF(B3008="","",股指期货基差分析!$N$11)</f>
        <v/>
      </c>
      <c r="H3008" s="5" t="str">
        <f>IF(B3008="","",股指期货基差分析!$L$11)</f>
        <v/>
      </c>
      <c r="I3008" s="9" t="str">
        <f>IF(B3008="","",股指期货基差分析!$D$11)</f>
        <v/>
      </c>
    </row>
    <row r="3009" spans="2:9" ht="15" customHeight="1" x14ac:dyDescent="0.2">
      <c r="B3009" s="8"/>
      <c r="C3009" s="6" t="str">
        <f>IF(B3009="","",[1]!s_dq_close(股指期货基差分析!$E$5,$B3009))</f>
        <v/>
      </c>
      <c r="D3009" s="6" t="str">
        <f>IF(B3009="","",[1]!s_dq_close(股指期货基差分析!$E$6,$B3009))</f>
        <v/>
      </c>
      <c r="E3009" s="6" t="e">
        <f ca="1">RANK(F3009,F:F)+COUNTIF(F$2:F3009,F3009)-1</f>
        <v>#VALUE!</v>
      </c>
      <c r="F3009" s="6" t="str">
        <f t="shared" si="47"/>
        <v/>
      </c>
      <c r="G3009" s="6" t="str">
        <f>IF(B3009="","",股指期货基差分析!$N$11)</f>
        <v/>
      </c>
      <c r="H3009" s="6" t="str">
        <f>IF(B3009="","",股指期货基差分析!$L$11)</f>
        <v/>
      </c>
      <c r="I3009" s="10" t="str">
        <f>IF(B3009="","",股指期货基差分析!$D$11)</f>
        <v/>
      </c>
    </row>
    <row r="3010" spans="2:9" ht="15" customHeight="1" x14ac:dyDescent="0.2">
      <c r="B3010" s="7"/>
      <c r="C3010" s="5" t="str">
        <f>IF(B3010="","",[1]!s_dq_close(股指期货基差分析!$E$5,$B3010))</f>
        <v/>
      </c>
      <c r="D3010" s="5" t="str">
        <f>IF(B3010="","",[1]!s_dq_close(股指期货基差分析!$E$6,$B3010))</f>
        <v/>
      </c>
      <c r="E3010" s="5" t="e">
        <f ca="1">RANK(F3010,F:F)+COUNTIF(F$2:F3010,F3010)-1</f>
        <v>#VALUE!</v>
      </c>
      <c r="F3010" s="5" t="str">
        <f t="shared" ref="F3010:F3073" si="48">IF(B3010="","",D3010-C3010)</f>
        <v/>
      </c>
      <c r="G3010" s="5" t="str">
        <f>IF(B3010="","",股指期货基差分析!$N$11)</f>
        <v/>
      </c>
      <c r="H3010" s="5" t="str">
        <f>IF(B3010="","",股指期货基差分析!$L$11)</f>
        <v/>
      </c>
      <c r="I3010" s="9" t="str">
        <f>IF(B3010="","",股指期货基差分析!$D$11)</f>
        <v/>
      </c>
    </row>
    <row r="3011" spans="2:9" ht="15" customHeight="1" x14ac:dyDescent="0.2">
      <c r="B3011" s="8"/>
      <c r="C3011" s="6" t="str">
        <f>IF(B3011="","",[1]!s_dq_close(股指期货基差分析!$E$5,$B3011))</f>
        <v/>
      </c>
      <c r="D3011" s="6" t="str">
        <f>IF(B3011="","",[1]!s_dq_close(股指期货基差分析!$E$6,$B3011))</f>
        <v/>
      </c>
      <c r="E3011" s="6" t="e">
        <f ca="1">RANK(F3011,F:F)+COUNTIF(F$2:F3011,F3011)-1</f>
        <v>#VALUE!</v>
      </c>
      <c r="F3011" s="6" t="str">
        <f t="shared" si="48"/>
        <v/>
      </c>
      <c r="G3011" s="6" t="str">
        <f>IF(B3011="","",股指期货基差分析!$N$11)</f>
        <v/>
      </c>
      <c r="H3011" s="6" t="str">
        <f>IF(B3011="","",股指期货基差分析!$L$11)</f>
        <v/>
      </c>
      <c r="I3011" s="10" t="str">
        <f>IF(B3011="","",股指期货基差分析!$D$11)</f>
        <v/>
      </c>
    </row>
    <row r="3012" spans="2:9" ht="15" customHeight="1" x14ac:dyDescent="0.2">
      <c r="B3012" s="7"/>
      <c r="C3012" s="5" t="str">
        <f>IF(B3012="","",[1]!s_dq_close(股指期货基差分析!$E$5,$B3012))</f>
        <v/>
      </c>
      <c r="D3012" s="5" t="str">
        <f>IF(B3012="","",[1]!s_dq_close(股指期货基差分析!$E$6,$B3012))</f>
        <v/>
      </c>
      <c r="E3012" s="5" t="e">
        <f ca="1">RANK(F3012,F:F)+COUNTIF(F$2:F3012,F3012)-1</f>
        <v>#VALUE!</v>
      </c>
      <c r="F3012" s="5" t="str">
        <f t="shared" si="48"/>
        <v/>
      </c>
      <c r="G3012" s="5" t="str">
        <f>IF(B3012="","",股指期货基差分析!$N$11)</f>
        <v/>
      </c>
      <c r="H3012" s="5" t="str">
        <f>IF(B3012="","",股指期货基差分析!$L$11)</f>
        <v/>
      </c>
      <c r="I3012" s="9" t="str">
        <f>IF(B3012="","",股指期货基差分析!$D$11)</f>
        <v/>
      </c>
    </row>
    <row r="3013" spans="2:9" ht="15" customHeight="1" x14ac:dyDescent="0.2">
      <c r="B3013" s="8"/>
      <c r="C3013" s="6" t="str">
        <f>IF(B3013="","",[1]!s_dq_close(股指期货基差分析!$E$5,$B3013))</f>
        <v/>
      </c>
      <c r="D3013" s="6" t="str">
        <f>IF(B3013="","",[1]!s_dq_close(股指期货基差分析!$E$6,$B3013))</f>
        <v/>
      </c>
      <c r="E3013" s="6" t="e">
        <f ca="1">RANK(F3013,F:F)+COUNTIF(F$2:F3013,F3013)-1</f>
        <v>#VALUE!</v>
      </c>
      <c r="F3013" s="6" t="str">
        <f t="shared" si="48"/>
        <v/>
      </c>
      <c r="G3013" s="6" t="str">
        <f>IF(B3013="","",股指期货基差分析!$N$11)</f>
        <v/>
      </c>
      <c r="H3013" s="6" t="str">
        <f>IF(B3013="","",股指期货基差分析!$L$11)</f>
        <v/>
      </c>
      <c r="I3013" s="10" t="str">
        <f>IF(B3013="","",股指期货基差分析!$D$11)</f>
        <v/>
      </c>
    </row>
    <row r="3014" spans="2:9" ht="15" customHeight="1" x14ac:dyDescent="0.2">
      <c r="B3014" s="7"/>
      <c r="C3014" s="5" t="str">
        <f>IF(B3014="","",[1]!s_dq_close(股指期货基差分析!$E$5,$B3014))</f>
        <v/>
      </c>
      <c r="D3014" s="5" t="str">
        <f>IF(B3014="","",[1]!s_dq_close(股指期货基差分析!$E$6,$B3014))</f>
        <v/>
      </c>
      <c r="E3014" s="5" t="e">
        <f ca="1">RANK(F3014,F:F)+COUNTIF(F$2:F3014,F3014)-1</f>
        <v>#VALUE!</v>
      </c>
      <c r="F3014" s="5" t="str">
        <f t="shared" si="48"/>
        <v/>
      </c>
      <c r="G3014" s="5" t="str">
        <f>IF(B3014="","",股指期货基差分析!$N$11)</f>
        <v/>
      </c>
      <c r="H3014" s="5" t="str">
        <f>IF(B3014="","",股指期货基差分析!$L$11)</f>
        <v/>
      </c>
      <c r="I3014" s="9" t="str">
        <f>IF(B3014="","",股指期货基差分析!$D$11)</f>
        <v/>
      </c>
    </row>
    <row r="3015" spans="2:9" ht="15" customHeight="1" x14ac:dyDescent="0.2">
      <c r="B3015" s="8"/>
      <c r="C3015" s="6" t="str">
        <f>IF(B3015="","",[1]!s_dq_close(股指期货基差分析!$E$5,$B3015))</f>
        <v/>
      </c>
      <c r="D3015" s="6" t="str">
        <f>IF(B3015="","",[1]!s_dq_close(股指期货基差分析!$E$6,$B3015))</f>
        <v/>
      </c>
      <c r="E3015" s="6" t="e">
        <f ca="1">RANK(F3015,F:F)+COUNTIF(F$2:F3015,F3015)-1</f>
        <v>#VALUE!</v>
      </c>
      <c r="F3015" s="6" t="str">
        <f t="shared" si="48"/>
        <v/>
      </c>
      <c r="G3015" s="6" t="str">
        <f>IF(B3015="","",股指期货基差分析!$N$11)</f>
        <v/>
      </c>
      <c r="H3015" s="6" t="str">
        <f>IF(B3015="","",股指期货基差分析!$L$11)</f>
        <v/>
      </c>
      <c r="I3015" s="10" t="str">
        <f>IF(B3015="","",股指期货基差分析!$D$11)</f>
        <v/>
      </c>
    </row>
    <row r="3016" spans="2:9" ht="15" customHeight="1" x14ac:dyDescent="0.2">
      <c r="B3016" s="7"/>
      <c r="C3016" s="5" t="str">
        <f>IF(B3016="","",[1]!s_dq_close(股指期货基差分析!$E$5,$B3016))</f>
        <v/>
      </c>
      <c r="D3016" s="5" t="str">
        <f>IF(B3016="","",[1]!s_dq_close(股指期货基差分析!$E$6,$B3016))</f>
        <v/>
      </c>
      <c r="E3016" s="5" t="e">
        <f ca="1">RANK(F3016,F:F)+COUNTIF(F$2:F3016,F3016)-1</f>
        <v>#VALUE!</v>
      </c>
      <c r="F3016" s="5" t="str">
        <f t="shared" si="48"/>
        <v/>
      </c>
      <c r="G3016" s="5" t="str">
        <f>IF(B3016="","",股指期货基差分析!$N$11)</f>
        <v/>
      </c>
      <c r="H3016" s="5" t="str">
        <f>IF(B3016="","",股指期货基差分析!$L$11)</f>
        <v/>
      </c>
      <c r="I3016" s="9" t="str">
        <f>IF(B3016="","",股指期货基差分析!$D$11)</f>
        <v/>
      </c>
    </row>
    <row r="3017" spans="2:9" ht="15" customHeight="1" x14ac:dyDescent="0.2">
      <c r="B3017" s="8"/>
      <c r="C3017" s="6" t="str">
        <f>IF(B3017="","",[1]!s_dq_close(股指期货基差分析!$E$5,$B3017))</f>
        <v/>
      </c>
      <c r="D3017" s="6" t="str">
        <f>IF(B3017="","",[1]!s_dq_close(股指期货基差分析!$E$6,$B3017))</f>
        <v/>
      </c>
      <c r="E3017" s="6" t="e">
        <f ca="1">RANK(F3017,F:F)+COUNTIF(F$2:F3017,F3017)-1</f>
        <v>#VALUE!</v>
      </c>
      <c r="F3017" s="6" t="str">
        <f t="shared" si="48"/>
        <v/>
      </c>
      <c r="G3017" s="6" t="str">
        <f>IF(B3017="","",股指期货基差分析!$N$11)</f>
        <v/>
      </c>
      <c r="H3017" s="6" t="str">
        <f>IF(B3017="","",股指期货基差分析!$L$11)</f>
        <v/>
      </c>
      <c r="I3017" s="10" t="str">
        <f>IF(B3017="","",股指期货基差分析!$D$11)</f>
        <v/>
      </c>
    </row>
    <row r="3018" spans="2:9" ht="15" customHeight="1" x14ac:dyDescent="0.2">
      <c r="B3018" s="7"/>
      <c r="C3018" s="5" t="str">
        <f>IF(B3018="","",[1]!s_dq_close(股指期货基差分析!$E$5,$B3018))</f>
        <v/>
      </c>
      <c r="D3018" s="5" t="str">
        <f>IF(B3018="","",[1]!s_dq_close(股指期货基差分析!$E$6,$B3018))</f>
        <v/>
      </c>
      <c r="E3018" s="5" t="e">
        <f ca="1">RANK(F3018,F:F)+COUNTIF(F$2:F3018,F3018)-1</f>
        <v>#VALUE!</v>
      </c>
      <c r="F3018" s="5" t="str">
        <f t="shared" si="48"/>
        <v/>
      </c>
      <c r="G3018" s="5" t="str">
        <f>IF(B3018="","",股指期货基差分析!$N$11)</f>
        <v/>
      </c>
      <c r="H3018" s="5" t="str">
        <f>IF(B3018="","",股指期货基差分析!$L$11)</f>
        <v/>
      </c>
      <c r="I3018" s="9" t="str">
        <f>IF(B3018="","",股指期货基差分析!$D$11)</f>
        <v/>
      </c>
    </row>
    <row r="3019" spans="2:9" ht="15" customHeight="1" x14ac:dyDescent="0.2">
      <c r="B3019" s="8"/>
      <c r="C3019" s="6" t="str">
        <f>IF(B3019="","",[1]!s_dq_close(股指期货基差分析!$E$5,$B3019))</f>
        <v/>
      </c>
      <c r="D3019" s="6" t="str">
        <f>IF(B3019="","",[1]!s_dq_close(股指期货基差分析!$E$6,$B3019))</f>
        <v/>
      </c>
      <c r="E3019" s="6" t="e">
        <f ca="1">RANK(F3019,F:F)+COUNTIF(F$2:F3019,F3019)-1</f>
        <v>#VALUE!</v>
      </c>
      <c r="F3019" s="6" t="str">
        <f t="shared" si="48"/>
        <v/>
      </c>
      <c r="G3019" s="6" t="str">
        <f>IF(B3019="","",股指期货基差分析!$N$11)</f>
        <v/>
      </c>
      <c r="H3019" s="6" t="str">
        <f>IF(B3019="","",股指期货基差分析!$L$11)</f>
        <v/>
      </c>
      <c r="I3019" s="10" t="str">
        <f>IF(B3019="","",股指期货基差分析!$D$11)</f>
        <v/>
      </c>
    </row>
    <row r="3020" spans="2:9" ht="15" customHeight="1" x14ac:dyDescent="0.2">
      <c r="B3020" s="7"/>
      <c r="C3020" s="5" t="str">
        <f>IF(B3020="","",[1]!s_dq_close(股指期货基差分析!$E$5,$B3020))</f>
        <v/>
      </c>
      <c r="D3020" s="5" t="str">
        <f>IF(B3020="","",[1]!s_dq_close(股指期货基差分析!$E$6,$B3020))</f>
        <v/>
      </c>
      <c r="E3020" s="5" t="e">
        <f ca="1">RANK(F3020,F:F)+COUNTIF(F$2:F3020,F3020)-1</f>
        <v>#VALUE!</v>
      </c>
      <c r="F3020" s="5" t="str">
        <f t="shared" si="48"/>
        <v/>
      </c>
      <c r="G3020" s="5" t="str">
        <f>IF(B3020="","",股指期货基差分析!$N$11)</f>
        <v/>
      </c>
      <c r="H3020" s="5" t="str">
        <f>IF(B3020="","",股指期货基差分析!$L$11)</f>
        <v/>
      </c>
      <c r="I3020" s="9" t="str">
        <f>IF(B3020="","",股指期货基差分析!$D$11)</f>
        <v/>
      </c>
    </row>
    <row r="3021" spans="2:9" ht="15" customHeight="1" x14ac:dyDescent="0.2">
      <c r="B3021" s="8"/>
      <c r="C3021" s="6" t="str">
        <f>IF(B3021="","",[1]!s_dq_close(股指期货基差分析!$E$5,$B3021))</f>
        <v/>
      </c>
      <c r="D3021" s="6" t="str">
        <f>IF(B3021="","",[1]!s_dq_close(股指期货基差分析!$E$6,$B3021))</f>
        <v/>
      </c>
      <c r="E3021" s="6" t="e">
        <f ca="1">RANK(F3021,F:F)+COUNTIF(F$2:F3021,F3021)-1</f>
        <v>#VALUE!</v>
      </c>
      <c r="F3021" s="6" t="str">
        <f t="shared" si="48"/>
        <v/>
      </c>
      <c r="G3021" s="6" t="str">
        <f>IF(B3021="","",股指期货基差分析!$N$11)</f>
        <v/>
      </c>
      <c r="H3021" s="6" t="str">
        <f>IF(B3021="","",股指期货基差分析!$L$11)</f>
        <v/>
      </c>
      <c r="I3021" s="10" t="str">
        <f>IF(B3021="","",股指期货基差分析!$D$11)</f>
        <v/>
      </c>
    </row>
    <row r="3022" spans="2:9" ht="15" customHeight="1" x14ac:dyDescent="0.2">
      <c r="B3022" s="7"/>
      <c r="C3022" s="5" t="str">
        <f>IF(B3022="","",[1]!s_dq_close(股指期货基差分析!$E$5,$B3022))</f>
        <v/>
      </c>
      <c r="D3022" s="5" t="str">
        <f>IF(B3022="","",[1]!s_dq_close(股指期货基差分析!$E$6,$B3022))</f>
        <v/>
      </c>
      <c r="E3022" s="5" t="e">
        <f ca="1">RANK(F3022,F:F)+COUNTIF(F$2:F3022,F3022)-1</f>
        <v>#VALUE!</v>
      </c>
      <c r="F3022" s="5" t="str">
        <f t="shared" si="48"/>
        <v/>
      </c>
      <c r="G3022" s="5" t="str">
        <f>IF(B3022="","",股指期货基差分析!$N$11)</f>
        <v/>
      </c>
      <c r="H3022" s="5" t="str">
        <f>IF(B3022="","",股指期货基差分析!$L$11)</f>
        <v/>
      </c>
      <c r="I3022" s="9" t="str">
        <f>IF(B3022="","",股指期货基差分析!$D$11)</f>
        <v/>
      </c>
    </row>
    <row r="3023" spans="2:9" ht="15" customHeight="1" x14ac:dyDescent="0.2">
      <c r="B3023" s="8"/>
      <c r="C3023" s="6" t="str">
        <f>IF(B3023="","",[1]!s_dq_close(股指期货基差分析!$E$5,$B3023))</f>
        <v/>
      </c>
      <c r="D3023" s="6" t="str">
        <f>IF(B3023="","",[1]!s_dq_close(股指期货基差分析!$E$6,$B3023))</f>
        <v/>
      </c>
      <c r="E3023" s="6" t="e">
        <f ca="1">RANK(F3023,F:F)+COUNTIF(F$2:F3023,F3023)-1</f>
        <v>#VALUE!</v>
      </c>
      <c r="F3023" s="6" t="str">
        <f t="shared" si="48"/>
        <v/>
      </c>
      <c r="G3023" s="6" t="str">
        <f>IF(B3023="","",股指期货基差分析!$N$11)</f>
        <v/>
      </c>
      <c r="H3023" s="6" t="str">
        <f>IF(B3023="","",股指期货基差分析!$L$11)</f>
        <v/>
      </c>
      <c r="I3023" s="10" t="str">
        <f>IF(B3023="","",股指期货基差分析!$D$11)</f>
        <v/>
      </c>
    </row>
    <row r="3024" spans="2:9" ht="15" customHeight="1" x14ac:dyDescent="0.2">
      <c r="B3024" s="7"/>
      <c r="C3024" s="5" t="str">
        <f>IF(B3024="","",[1]!s_dq_close(股指期货基差分析!$E$5,$B3024))</f>
        <v/>
      </c>
      <c r="D3024" s="5" t="str">
        <f>IF(B3024="","",[1]!s_dq_close(股指期货基差分析!$E$6,$B3024))</f>
        <v/>
      </c>
      <c r="E3024" s="5" t="e">
        <f ca="1">RANK(F3024,F:F)+COUNTIF(F$2:F3024,F3024)-1</f>
        <v>#VALUE!</v>
      </c>
      <c r="F3024" s="5" t="str">
        <f t="shared" si="48"/>
        <v/>
      </c>
      <c r="G3024" s="5" t="str">
        <f>IF(B3024="","",股指期货基差分析!$N$11)</f>
        <v/>
      </c>
      <c r="H3024" s="5" t="str">
        <f>IF(B3024="","",股指期货基差分析!$L$11)</f>
        <v/>
      </c>
      <c r="I3024" s="9" t="str">
        <f>IF(B3024="","",股指期货基差分析!$D$11)</f>
        <v/>
      </c>
    </row>
    <row r="3025" spans="2:9" ht="15" customHeight="1" x14ac:dyDescent="0.2">
      <c r="B3025" s="8"/>
      <c r="C3025" s="6" t="str">
        <f>IF(B3025="","",[1]!s_dq_close(股指期货基差分析!$E$5,$B3025))</f>
        <v/>
      </c>
      <c r="D3025" s="6" t="str">
        <f>IF(B3025="","",[1]!s_dq_close(股指期货基差分析!$E$6,$B3025))</f>
        <v/>
      </c>
      <c r="E3025" s="6" t="e">
        <f ca="1">RANK(F3025,F:F)+COUNTIF(F$2:F3025,F3025)-1</f>
        <v>#VALUE!</v>
      </c>
      <c r="F3025" s="6" t="str">
        <f t="shared" si="48"/>
        <v/>
      </c>
      <c r="G3025" s="6" t="str">
        <f>IF(B3025="","",股指期货基差分析!$N$11)</f>
        <v/>
      </c>
      <c r="H3025" s="6" t="str">
        <f>IF(B3025="","",股指期货基差分析!$L$11)</f>
        <v/>
      </c>
      <c r="I3025" s="10" t="str">
        <f>IF(B3025="","",股指期货基差分析!$D$11)</f>
        <v/>
      </c>
    </row>
    <row r="3026" spans="2:9" ht="15" customHeight="1" x14ac:dyDescent="0.2">
      <c r="B3026" s="7"/>
      <c r="C3026" s="5" t="str">
        <f>IF(B3026="","",[1]!s_dq_close(股指期货基差分析!$E$5,$B3026))</f>
        <v/>
      </c>
      <c r="D3026" s="5" t="str">
        <f>IF(B3026="","",[1]!s_dq_close(股指期货基差分析!$E$6,$B3026))</f>
        <v/>
      </c>
      <c r="E3026" s="5" t="e">
        <f ca="1">RANK(F3026,F:F)+COUNTIF(F$2:F3026,F3026)-1</f>
        <v>#VALUE!</v>
      </c>
      <c r="F3026" s="5" t="str">
        <f t="shared" si="48"/>
        <v/>
      </c>
      <c r="G3026" s="5" t="str">
        <f>IF(B3026="","",股指期货基差分析!$N$11)</f>
        <v/>
      </c>
      <c r="H3026" s="5" t="str">
        <f>IF(B3026="","",股指期货基差分析!$L$11)</f>
        <v/>
      </c>
      <c r="I3026" s="9" t="str">
        <f>IF(B3026="","",股指期货基差分析!$D$11)</f>
        <v/>
      </c>
    </row>
    <row r="3027" spans="2:9" ht="15" customHeight="1" x14ac:dyDescent="0.2">
      <c r="B3027" s="8"/>
      <c r="C3027" s="6" t="str">
        <f>IF(B3027="","",[1]!s_dq_close(股指期货基差分析!$E$5,$B3027))</f>
        <v/>
      </c>
      <c r="D3027" s="6" t="str">
        <f>IF(B3027="","",[1]!s_dq_close(股指期货基差分析!$E$6,$B3027))</f>
        <v/>
      </c>
      <c r="E3027" s="6" t="e">
        <f ca="1">RANK(F3027,F:F)+COUNTIF(F$2:F3027,F3027)-1</f>
        <v>#VALUE!</v>
      </c>
      <c r="F3027" s="6" t="str">
        <f t="shared" si="48"/>
        <v/>
      </c>
      <c r="G3027" s="6" t="str">
        <f>IF(B3027="","",股指期货基差分析!$N$11)</f>
        <v/>
      </c>
      <c r="H3027" s="6" t="str">
        <f>IF(B3027="","",股指期货基差分析!$L$11)</f>
        <v/>
      </c>
      <c r="I3027" s="10" t="str">
        <f>IF(B3027="","",股指期货基差分析!$D$11)</f>
        <v/>
      </c>
    </row>
    <row r="3028" spans="2:9" ht="15" customHeight="1" x14ac:dyDescent="0.2">
      <c r="B3028" s="7"/>
      <c r="C3028" s="5" t="str">
        <f>IF(B3028="","",[1]!s_dq_close(股指期货基差分析!$E$5,$B3028))</f>
        <v/>
      </c>
      <c r="D3028" s="5" t="str">
        <f>IF(B3028="","",[1]!s_dq_close(股指期货基差分析!$E$6,$B3028))</f>
        <v/>
      </c>
      <c r="E3028" s="5" t="e">
        <f ca="1">RANK(F3028,F:F)+COUNTIF(F$2:F3028,F3028)-1</f>
        <v>#VALUE!</v>
      </c>
      <c r="F3028" s="5" t="str">
        <f t="shared" si="48"/>
        <v/>
      </c>
      <c r="G3028" s="5" t="str">
        <f>IF(B3028="","",股指期货基差分析!$N$11)</f>
        <v/>
      </c>
      <c r="H3028" s="5" t="str">
        <f>IF(B3028="","",股指期货基差分析!$L$11)</f>
        <v/>
      </c>
      <c r="I3028" s="9" t="str">
        <f>IF(B3028="","",股指期货基差分析!$D$11)</f>
        <v/>
      </c>
    </row>
    <row r="3029" spans="2:9" ht="15" customHeight="1" x14ac:dyDescent="0.2">
      <c r="B3029" s="8"/>
      <c r="C3029" s="6" t="str">
        <f>IF(B3029="","",[1]!s_dq_close(股指期货基差分析!$E$5,$B3029))</f>
        <v/>
      </c>
      <c r="D3029" s="6" t="str">
        <f>IF(B3029="","",[1]!s_dq_close(股指期货基差分析!$E$6,$B3029))</f>
        <v/>
      </c>
      <c r="E3029" s="6" t="e">
        <f ca="1">RANK(F3029,F:F)+COUNTIF(F$2:F3029,F3029)-1</f>
        <v>#VALUE!</v>
      </c>
      <c r="F3029" s="6" t="str">
        <f t="shared" si="48"/>
        <v/>
      </c>
      <c r="G3029" s="6" t="str">
        <f>IF(B3029="","",股指期货基差分析!$N$11)</f>
        <v/>
      </c>
      <c r="H3029" s="6" t="str">
        <f>IF(B3029="","",股指期货基差分析!$L$11)</f>
        <v/>
      </c>
      <c r="I3029" s="10" t="str">
        <f>IF(B3029="","",股指期货基差分析!$D$11)</f>
        <v/>
      </c>
    </row>
    <row r="3030" spans="2:9" ht="15" customHeight="1" x14ac:dyDescent="0.2">
      <c r="B3030" s="7"/>
      <c r="C3030" s="5" t="str">
        <f>IF(B3030="","",[1]!s_dq_close(股指期货基差分析!$E$5,$B3030))</f>
        <v/>
      </c>
      <c r="D3030" s="5" t="str">
        <f>IF(B3030="","",[1]!s_dq_close(股指期货基差分析!$E$6,$B3030))</f>
        <v/>
      </c>
      <c r="E3030" s="5" t="e">
        <f ca="1">RANK(F3030,F:F)+COUNTIF(F$2:F3030,F3030)-1</f>
        <v>#VALUE!</v>
      </c>
      <c r="F3030" s="5" t="str">
        <f t="shared" si="48"/>
        <v/>
      </c>
      <c r="G3030" s="5" t="str">
        <f>IF(B3030="","",股指期货基差分析!$N$11)</f>
        <v/>
      </c>
      <c r="H3030" s="5" t="str">
        <f>IF(B3030="","",股指期货基差分析!$L$11)</f>
        <v/>
      </c>
      <c r="I3030" s="9" t="str">
        <f>IF(B3030="","",股指期货基差分析!$D$11)</f>
        <v/>
      </c>
    </row>
    <row r="3031" spans="2:9" ht="15" customHeight="1" x14ac:dyDescent="0.2">
      <c r="B3031" s="8"/>
      <c r="C3031" s="6" t="str">
        <f>IF(B3031="","",[1]!s_dq_close(股指期货基差分析!$E$5,$B3031))</f>
        <v/>
      </c>
      <c r="D3031" s="6" t="str">
        <f>IF(B3031="","",[1]!s_dq_close(股指期货基差分析!$E$6,$B3031))</f>
        <v/>
      </c>
      <c r="E3031" s="6" t="e">
        <f ca="1">RANK(F3031,F:F)+COUNTIF(F$2:F3031,F3031)-1</f>
        <v>#VALUE!</v>
      </c>
      <c r="F3031" s="6" t="str">
        <f t="shared" si="48"/>
        <v/>
      </c>
      <c r="G3031" s="6" t="str">
        <f>IF(B3031="","",股指期货基差分析!$N$11)</f>
        <v/>
      </c>
      <c r="H3031" s="6" t="str">
        <f>IF(B3031="","",股指期货基差分析!$L$11)</f>
        <v/>
      </c>
      <c r="I3031" s="10" t="str">
        <f>IF(B3031="","",股指期货基差分析!$D$11)</f>
        <v/>
      </c>
    </row>
    <row r="3032" spans="2:9" ht="15" customHeight="1" x14ac:dyDescent="0.2">
      <c r="B3032" s="7"/>
      <c r="C3032" s="5" t="str">
        <f>IF(B3032="","",[1]!s_dq_close(股指期货基差分析!$E$5,$B3032))</f>
        <v/>
      </c>
      <c r="D3032" s="5" t="str">
        <f>IF(B3032="","",[1]!s_dq_close(股指期货基差分析!$E$6,$B3032))</f>
        <v/>
      </c>
      <c r="E3032" s="5" t="e">
        <f ca="1">RANK(F3032,F:F)+COUNTIF(F$2:F3032,F3032)-1</f>
        <v>#VALUE!</v>
      </c>
      <c r="F3032" s="5" t="str">
        <f t="shared" si="48"/>
        <v/>
      </c>
      <c r="G3032" s="5" t="str">
        <f>IF(B3032="","",股指期货基差分析!$N$11)</f>
        <v/>
      </c>
      <c r="H3032" s="5" t="str">
        <f>IF(B3032="","",股指期货基差分析!$L$11)</f>
        <v/>
      </c>
      <c r="I3032" s="9" t="str">
        <f>IF(B3032="","",股指期货基差分析!$D$11)</f>
        <v/>
      </c>
    </row>
    <row r="3033" spans="2:9" ht="15" customHeight="1" x14ac:dyDescent="0.2">
      <c r="B3033" s="8"/>
      <c r="C3033" s="6" t="str">
        <f>IF(B3033="","",[1]!s_dq_close(股指期货基差分析!$E$5,$B3033))</f>
        <v/>
      </c>
      <c r="D3033" s="6" t="str">
        <f>IF(B3033="","",[1]!s_dq_close(股指期货基差分析!$E$6,$B3033))</f>
        <v/>
      </c>
      <c r="E3033" s="6" t="e">
        <f ca="1">RANK(F3033,F:F)+COUNTIF(F$2:F3033,F3033)-1</f>
        <v>#VALUE!</v>
      </c>
      <c r="F3033" s="6" t="str">
        <f t="shared" si="48"/>
        <v/>
      </c>
      <c r="G3033" s="6" t="str">
        <f>IF(B3033="","",股指期货基差分析!$N$11)</f>
        <v/>
      </c>
      <c r="H3033" s="6" t="str">
        <f>IF(B3033="","",股指期货基差分析!$L$11)</f>
        <v/>
      </c>
      <c r="I3033" s="10" t="str">
        <f>IF(B3033="","",股指期货基差分析!$D$11)</f>
        <v/>
      </c>
    </row>
    <row r="3034" spans="2:9" ht="15" customHeight="1" x14ac:dyDescent="0.2">
      <c r="B3034" s="7"/>
      <c r="C3034" s="5" t="str">
        <f>IF(B3034="","",[1]!s_dq_close(股指期货基差分析!$E$5,$B3034))</f>
        <v/>
      </c>
      <c r="D3034" s="5" t="str">
        <f>IF(B3034="","",[1]!s_dq_close(股指期货基差分析!$E$6,$B3034))</f>
        <v/>
      </c>
      <c r="E3034" s="5" t="e">
        <f ca="1">RANK(F3034,F:F)+COUNTIF(F$2:F3034,F3034)-1</f>
        <v>#VALUE!</v>
      </c>
      <c r="F3034" s="5" t="str">
        <f t="shared" si="48"/>
        <v/>
      </c>
      <c r="G3034" s="5" t="str">
        <f>IF(B3034="","",股指期货基差分析!$N$11)</f>
        <v/>
      </c>
      <c r="H3034" s="5" t="str">
        <f>IF(B3034="","",股指期货基差分析!$L$11)</f>
        <v/>
      </c>
      <c r="I3034" s="9" t="str">
        <f>IF(B3034="","",股指期货基差分析!$D$11)</f>
        <v/>
      </c>
    </row>
    <row r="3035" spans="2:9" ht="15" customHeight="1" x14ac:dyDescent="0.2">
      <c r="B3035" s="8"/>
      <c r="C3035" s="6" t="str">
        <f>IF(B3035="","",[1]!s_dq_close(股指期货基差分析!$E$5,$B3035))</f>
        <v/>
      </c>
      <c r="D3035" s="6" t="str">
        <f>IF(B3035="","",[1]!s_dq_close(股指期货基差分析!$E$6,$B3035))</f>
        <v/>
      </c>
      <c r="E3035" s="6" t="e">
        <f ca="1">RANK(F3035,F:F)+COUNTIF(F$2:F3035,F3035)-1</f>
        <v>#VALUE!</v>
      </c>
      <c r="F3035" s="6" t="str">
        <f t="shared" si="48"/>
        <v/>
      </c>
      <c r="G3035" s="6" t="str">
        <f>IF(B3035="","",股指期货基差分析!$N$11)</f>
        <v/>
      </c>
      <c r="H3035" s="6" t="str">
        <f>IF(B3035="","",股指期货基差分析!$L$11)</f>
        <v/>
      </c>
      <c r="I3035" s="10" t="str">
        <f>IF(B3035="","",股指期货基差分析!$D$11)</f>
        <v/>
      </c>
    </row>
    <row r="3036" spans="2:9" ht="15" customHeight="1" x14ac:dyDescent="0.2">
      <c r="B3036" s="7"/>
      <c r="C3036" s="5" t="str">
        <f>IF(B3036="","",[1]!s_dq_close(股指期货基差分析!$E$5,$B3036))</f>
        <v/>
      </c>
      <c r="D3036" s="5" t="str">
        <f>IF(B3036="","",[1]!s_dq_close(股指期货基差分析!$E$6,$B3036))</f>
        <v/>
      </c>
      <c r="E3036" s="5" t="e">
        <f ca="1">RANK(F3036,F:F)+COUNTIF(F$2:F3036,F3036)-1</f>
        <v>#VALUE!</v>
      </c>
      <c r="F3036" s="5" t="str">
        <f t="shared" si="48"/>
        <v/>
      </c>
      <c r="G3036" s="5" t="str">
        <f>IF(B3036="","",股指期货基差分析!$N$11)</f>
        <v/>
      </c>
      <c r="H3036" s="5" t="str">
        <f>IF(B3036="","",股指期货基差分析!$L$11)</f>
        <v/>
      </c>
      <c r="I3036" s="9" t="str">
        <f>IF(B3036="","",股指期货基差分析!$D$11)</f>
        <v/>
      </c>
    </row>
    <row r="3037" spans="2:9" ht="15" customHeight="1" x14ac:dyDescent="0.2">
      <c r="B3037" s="8"/>
      <c r="C3037" s="6" t="str">
        <f>IF(B3037="","",[1]!s_dq_close(股指期货基差分析!$E$5,$B3037))</f>
        <v/>
      </c>
      <c r="D3037" s="6" t="str">
        <f>IF(B3037="","",[1]!s_dq_close(股指期货基差分析!$E$6,$B3037))</f>
        <v/>
      </c>
      <c r="E3037" s="6" t="e">
        <f ca="1">RANK(F3037,F:F)+COUNTIF(F$2:F3037,F3037)-1</f>
        <v>#VALUE!</v>
      </c>
      <c r="F3037" s="6" t="str">
        <f t="shared" si="48"/>
        <v/>
      </c>
      <c r="G3037" s="6" t="str">
        <f>IF(B3037="","",股指期货基差分析!$N$11)</f>
        <v/>
      </c>
      <c r="H3037" s="6" t="str">
        <f>IF(B3037="","",股指期货基差分析!$L$11)</f>
        <v/>
      </c>
      <c r="I3037" s="10" t="str">
        <f>IF(B3037="","",股指期货基差分析!$D$11)</f>
        <v/>
      </c>
    </row>
    <row r="3038" spans="2:9" ht="15" customHeight="1" x14ac:dyDescent="0.2">
      <c r="B3038" s="7"/>
      <c r="C3038" s="5" t="str">
        <f>IF(B3038="","",[1]!s_dq_close(股指期货基差分析!$E$5,$B3038))</f>
        <v/>
      </c>
      <c r="D3038" s="5" t="str">
        <f>IF(B3038="","",[1]!s_dq_close(股指期货基差分析!$E$6,$B3038))</f>
        <v/>
      </c>
      <c r="E3038" s="5" t="e">
        <f ca="1">RANK(F3038,F:F)+COUNTIF(F$2:F3038,F3038)-1</f>
        <v>#VALUE!</v>
      </c>
      <c r="F3038" s="5" t="str">
        <f t="shared" si="48"/>
        <v/>
      </c>
      <c r="G3038" s="5" t="str">
        <f>IF(B3038="","",股指期货基差分析!$N$11)</f>
        <v/>
      </c>
      <c r="H3038" s="5" t="str">
        <f>IF(B3038="","",股指期货基差分析!$L$11)</f>
        <v/>
      </c>
      <c r="I3038" s="9" t="str">
        <f>IF(B3038="","",股指期货基差分析!$D$11)</f>
        <v/>
      </c>
    </row>
    <row r="3039" spans="2:9" ht="15" customHeight="1" x14ac:dyDescent="0.2">
      <c r="B3039" s="8"/>
      <c r="C3039" s="6" t="str">
        <f>IF(B3039="","",[1]!s_dq_close(股指期货基差分析!$E$5,$B3039))</f>
        <v/>
      </c>
      <c r="D3039" s="6" t="str">
        <f>IF(B3039="","",[1]!s_dq_close(股指期货基差分析!$E$6,$B3039))</f>
        <v/>
      </c>
      <c r="E3039" s="6" t="e">
        <f ca="1">RANK(F3039,F:F)+COUNTIF(F$2:F3039,F3039)-1</f>
        <v>#VALUE!</v>
      </c>
      <c r="F3039" s="6" t="str">
        <f t="shared" si="48"/>
        <v/>
      </c>
      <c r="G3039" s="6" t="str">
        <f>IF(B3039="","",股指期货基差分析!$N$11)</f>
        <v/>
      </c>
      <c r="H3039" s="6" t="str">
        <f>IF(B3039="","",股指期货基差分析!$L$11)</f>
        <v/>
      </c>
      <c r="I3039" s="10" t="str">
        <f>IF(B3039="","",股指期货基差分析!$D$11)</f>
        <v/>
      </c>
    </row>
    <row r="3040" spans="2:9" ht="15" customHeight="1" x14ac:dyDescent="0.2">
      <c r="B3040" s="7"/>
      <c r="C3040" s="5" t="str">
        <f>IF(B3040="","",[1]!s_dq_close(股指期货基差分析!$E$5,$B3040))</f>
        <v/>
      </c>
      <c r="D3040" s="5" t="str">
        <f>IF(B3040="","",[1]!s_dq_close(股指期货基差分析!$E$6,$B3040))</f>
        <v/>
      </c>
      <c r="E3040" s="5" t="e">
        <f ca="1">RANK(F3040,F:F)+COUNTIF(F$2:F3040,F3040)-1</f>
        <v>#VALUE!</v>
      </c>
      <c r="F3040" s="5" t="str">
        <f t="shared" si="48"/>
        <v/>
      </c>
      <c r="G3040" s="5" t="str">
        <f>IF(B3040="","",股指期货基差分析!$N$11)</f>
        <v/>
      </c>
      <c r="H3040" s="5" t="str">
        <f>IF(B3040="","",股指期货基差分析!$L$11)</f>
        <v/>
      </c>
      <c r="I3040" s="9" t="str">
        <f>IF(B3040="","",股指期货基差分析!$D$11)</f>
        <v/>
      </c>
    </row>
    <row r="3041" spans="2:9" ht="15" customHeight="1" x14ac:dyDescent="0.2">
      <c r="B3041" s="8"/>
      <c r="C3041" s="6" t="str">
        <f>IF(B3041="","",[1]!s_dq_close(股指期货基差分析!$E$5,$B3041))</f>
        <v/>
      </c>
      <c r="D3041" s="6" t="str">
        <f>IF(B3041="","",[1]!s_dq_close(股指期货基差分析!$E$6,$B3041))</f>
        <v/>
      </c>
      <c r="E3041" s="6" t="e">
        <f ca="1">RANK(F3041,F:F)+COUNTIF(F$2:F3041,F3041)-1</f>
        <v>#VALUE!</v>
      </c>
      <c r="F3041" s="6" t="str">
        <f t="shared" si="48"/>
        <v/>
      </c>
      <c r="G3041" s="6" t="str">
        <f>IF(B3041="","",股指期货基差分析!$N$11)</f>
        <v/>
      </c>
      <c r="H3041" s="6" t="str">
        <f>IF(B3041="","",股指期货基差分析!$L$11)</f>
        <v/>
      </c>
      <c r="I3041" s="10" t="str">
        <f>IF(B3041="","",股指期货基差分析!$D$11)</f>
        <v/>
      </c>
    </row>
    <row r="3042" spans="2:9" ht="15" customHeight="1" x14ac:dyDescent="0.2">
      <c r="B3042" s="7"/>
      <c r="C3042" s="5" t="str">
        <f>IF(B3042="","",[1]!s_dq_close(股指期货基差分析!$E$5,$B3042))</f>
        <v/>
      </c>
      <c r="D3042" s="5" t="str">
        <f>IF(B3042="","",[1]!s_dq_close(股指期货基差分析!$E$6,$B3042))</f>
        <v/>
      </c>
      <c r="E3042" s="5" t="e">
        <f ca="1">RANK(F3042,F:F)+COUNTIF(F$2:F3042,F3042)-1</f>
        <v>#VALUE!</v>
      </c>
      <c r="F3042" s="5" t="str">
        <f t="shared" si="48"/>
        <v/>
      </c>
      <c r="G3042" s="5" t="str">
        <f>IF(B3042="","",股指期货基差分析!$N$11)</f>
        <v/>
      </c>
      <c r="H3042" s="5" t="str">
        <f>IF(B3042="","",股指期货基差分析!$L$11)</f>
        <v/>
      </c>
      <c r="I3042" s="9" t="str">
        <f>IF(B3042="","",股指期货基差分析!$D$11)</f>
        <v/>
      </c>
    </row>
    <row r="3043" spans="2:9" ht="15" customHeight="1" x14ac:dyDescent="0.2">
      <c r="B3043" s="8"/>
      <c r="C3043" s="6" t="str">
        <f>IF(B3043="","",[1]!s_dq_close(股指期货基差分析!$E$5,$B3043))</f>
        <v/>
      </c>
      <c r="D3043" s="6" t="str">
        <f>IF(B3043="","",[1]!s_dq_close(股指期货基差分析!$E$6,$B3043))</f>
        <v/>
      </c>
      <c r="E3043" s="6" t="e">
        <f ca="1">RANK(F3043,F:F)+COUNTIF(F$2:F3043,F3043)-1</f>
        <v>#VALUE!</v>
      </c>
      <c r="F3043" s="6" t="str">
        <f t="shared" si="48"/>
        <v/>
      </c>
      <c r="G3043" s="6" t="str">
        <f>IF(B3043="","",股指期货基差分析!$N$11)</f>
        <v/>
      </c>
      <c r="H3043" s="6" t="str">
        <f>IF(B3043="","",股指期货基差分析!$L$11)</f>
        <v/>
      </c>
      <c r="I3043" s="10" t="str">
        <f>IF(B3043="","",股指期货基差分析!$D$11)</f>
        <v/>
      </c>
    </row>
    <row r="3044" spans="2:9" ht="15" customHeight="1" x14ac:dyDescent="0.2">
      <c r="B3044" s="7"/>
      <c r="C3044" s="5" t="str">
        <f>IF(B3044="","",[1]!s_dq_close(股指期货基差分析!$E$5,$B3044))</f>
        <v/>
      </c>
      <c r="D3044" s="5" t="str">
        <f>IF(B3044="","",[1]!s_dq_close(股指期货基差分析!$E$6,$B3044))</f>
        <v/>
      </c>
      <c r="E3044" s="5" t="e">
        <f ca="1">RANK(F3044,F:F)+COUNTIF(F$2:F3044,F3044)-1</f>
        <v>#VALUE!</v>
      </c>
      <c r="F3044" s="5" t="str">
        <f t="shared" si="48"/>
        <v/>
      </c>
      <c r="G3044" s="5" t="str">
        <f>IF(B3044="","",股指期货基差分析!$N$11)</f>
        <v/>
      </c>
      <c r="H3044" s="5" t="str">
        <f>IF(B3044="","",股指期货基差分析!$L$11)</f>
        <v/>
      </c>
      <c r="I3044" s="9" t="str">
        <f>IF(B3044="","",股指期货基差分析!$D$11)</f>
        <v/>
      </c>
    </row>
    <row r="3045" spans="2:9" ht="15" customHeight="1" x14ac:dyDescent="0.2">
      <c r="B3045" s="8"/>
      <c r="C3045" s="6" t="str">
        <f>IF(B3045="","",[1]!s_dq_close(股指期货基差分析!$E$5,$B3045))</f>
        <v/>
      </c>
      <c r="D3045" s="6" t="str">
        <f>IF(B3045="","",[1]!s_dq_close(股指期货基差分析!$E$6,$B3045))</f>
        <v/>
      </c>
      <c r="E3045" s="6" t="e">
        <f ca="1">RANK(F3045,F:F)+COUNTIF(F$2:F3045,F3045)-1</f>
        <v>#VALUE!</v>
      </c>
      <c r="F3045" s="6" t="str">
        <f t="shared" si="48"/>
        <v/>
      </c>
      <c r="G3045" s="6" t="str">
        <f>IF(B3045="","",股指期货基差分析!$N$11)</f>
        <v/>
      </c>
      <c r="H3045" s="6" t="str">
        <f>IF(B3045="","",股指期货基差分析!$L$11)</f>
        <v/>
      </c>
      <c r="I3045" s="10" t="str">
        <f>IF(B3045="","",股指期货基差分析!$D$11)</f>
        <v/>
      </c>
    </row>
    <row r="3046" spans="2:9" ht="15" customHeight="1" x14ac:dyDescent="0.2">
      <c r="B3046" s="7"/>
      <c r="C3046" s="5" t="str">
        <f>IF(B3046="","",[1]!s_dq_close(股指期货基差分析!$E$5,$B3046))</f>
        <v/>
      </c>
      <c r="D3046" s="5" t="str">
        <f>IF(B3046="","",[1]!s_dq_close(股指期货基差分析!$E$6,$B3046))</f>
        <v/>
      </c>
      <c r="E3046" s="5" t="e">
        <f ca="1">RANK(F3046,F:F)+COUNTIF(F$2:F3046,F3046)-1</f>
        <v>#VALUE!</v>
      </c>
      <c r="F3046" s="5" t="str">
        <f t="shared" si="48"/>
        <v/>
      </c>
      <c r="G3046" s="5" t="str">
        <f>IF(B3046="","",股指期货基差分析!$N$11)</f>
        <v/>
      </c>
      <c r="H3046" s="5" t="str">
        <f>IF(B3046="","",股指期货基差分析!$L$11)</f>
        <v/>
      </c>
      <c r="I3046" s="9" t="str">
        <f>IF(B3046="","",股指期货基差分析!$D$11)</f>
        <v/>
      </c>
    </row>
    <row r="3047" spans="2:9" ht="15" customHeight="1" x14ac:dyDescent="0.2">
      <c r="B3047" s="8"/>
      <c r="C3047" s="6" t="str">
        <f>IF(B3047="","",[1]!s_dq_close(股指期货基差分析!$E$5,$B3047))</f>
        <v/>
      </c>
      <c r="D3047" s="6" t="str">
        <f>IF(B3047="","",[1]!s_dq_close(股指期货基差分析!$E$6,$B3047))</f>
        <v/>
      </c>
      <c r="E3047" s="6" t="e">
        <f ca="1">RANK(F3047,F:F)+COUNTIF(F$2:F3047,F3047)-1</f>
        <v>#VALUE!</v>
      </c>
      <c r="F3047" s="6" t="str">
        <f t="shared" si="48"/>
        <v/>
      </c>
      <c r="G3047" s="6" t="str">
        <f>IF(B3047="","",股指期货基差分析!$N$11)</f>
        <v/>
      </c>
      <c r="H3047" s="6" t="str">
        <f>IF(B3047="","",股指期货基差分析!$L$11)</f>
        <v/>
      </c>
      <c r="I3047" s="10" t="str">
        <f>IF(B3047="","",股指期货基差分析!$D$11)</f>
        <v/>
      </c>
    </row>
    <row r="3048" spans="2:9" ht="15" customHeight="1" x14ac:dyDescent="0.2">
      <c r="B3048" s="7"/>
      <c r="C3048" s="5" t="str">
        <f>IF(B3048="","",[1]!s_dq_close(股指期货基差分析!$E$5,$B3048))</f>
        <v/>
      </c>
      <c r="D3048" s="5" t="str">
        <f>IF(B3048="","",[1]!s_dq_close(股指期货基差分析!$E$6,$B3048))</f>
        <v/>
      </c>
      <c r="E3048" s="5" t="e">
        <f ca="1">RANK(F3048,F:F)+COUNTIF(F$2:F3048,F3048)-1</f>
        <v>#VALUE!</v>
      </c>
      <c r="F3048" s="5" t="str">
        <f t="shared" si="48"/>
        <v/>
      </c>
      <c r="G3048" s="5" t="str">
        <f>IF(B3048="","",股指期货基差分析!$N$11)</f>
        <v/>
      </c>
      <c r="H3048" s="5" t="str">
        <f>IF(B3048="","",股指期货基差分析!$L$11)</f>
        <v/>
      </c>
      <c r="I3048" s="9" t="str">
        <f>IF(B3048="","",股指期货基差分析!$D$11)</f>
        <v/>
      </c>
    </row>
    <row r="3049" spans="2:9" ht="15" customHeight="1" x14ac:dyDescent="0.2">
      <c r="B3049" s="8"/>
      <c r="C3049" s="6" t="str">
        <f>IF(B3049="","",[1]!s_dq_close(股指期货基差分析!$E$5,$B3049))</f>
        <v/>
      </c>
      <c r="D3049" s="6" t="str">
        <f>IF(B3049="","",[1]!s_dq_close(股指期货基差分析!$E$6,$B3049))</f>
        <v/>
      </c>
      <c r="E3049" s="6" t="e">
        <f ca="1">RANK(F3049,F:F)+COUNTIF(F$2:F3049,F3049)-1</f>
        <v>#VALUE!</v>
      </c>
      <c r="F3049" s="6" t="str">
        <f t="shared" si="48"/>
        <v/>
      </c>
      <c r="G3049" s="6" t="str">
        <f>IF(B3049="","",股指期货基差分析!$N$11)</f>
        <v/>
      </c>
      <c r="H3049" s="6" t="str">
        <f>IF(B3049="","",股指期货基差分析!$L$11)</f>
        <v/>
      </c>
      <c r="I3049" s="10" t="str">
        <f>IF(B3049="","",股指期货基差分析!$D$11)</f>
        <v/>
      </c>
    </row>
    <row r="3050" spans="2:9" ht="15" customHeight="1" x14ac:dyDescent="0.2">
      <c r="B3050" s="7"/>
      <c r="C3050" s="5" t="str">
        <f>IF(B3050="","",[1]!s_dq_close(股指期货基差分析!$E$5,$B3050))</f>
        <v/>
      </c>
      <c r="D3050" s="5" t="str">
        <f>IF(B3050="","",[1]!s_dq_close(股指期货基差分析!$E$6,$B3050))</f>
        <v/>
      </c>
      <c r="E3050" s="5" t="e">
        <f ca="1">RANK(F3050,F:F)+COUNTIF(F$2:F3050,F3050)-1</f>
        <v>#VALUE!</v>
      </c>
      <c r="F3050" s="5" t="str">
        <f t="shared" si="48"/>
        <v/>
      </c>
      <c r="G3050" s="5" t="str">
        <f>IF(B3050="","",股指期货基差分析!$N$11)</f>
        <v/>
      </c>
      <c r="H3050" s="5" t="str">
        <f>IF(B3050="","",股指期货基差分析!$L$11)</f>
        <v/>
      </c>
      <c r="I3050" s="9" t="str">
        <f>IF(B3050="","",股指期货基差分析!$D$11)</f>
        <v/>
      </c>
    </row>
    <row r="3051" spans="2:9" ht="15" customHeight="1" x14ac:dyDescent="0.2">
      <c r="B3051" s="8"/>
      <c r="C3051" s="6" t="str">
        <f>IF(B3051="","",[1]!s_dq_close(股指期货基差分析!$E$5,$B3051))</f>
        <v/>
      </c>
      <c r="D3051" s="6" t="str">
        <f>IF(B3051="","",[1]!s_dq_close(股指期货基差分析!$E$6,$B3051))</f>
        <v/>
      </c>
      <c r="E3051" s="6" t="e">
        <f ca="1">RANK(F3051,F:F)+COUNTIF(F$2:F3051,F3051)-1</f>
        <v>#VALUE!</v>
      </c>
      <c r="F3051" s="6" t="str">
        <f t="shared" si="48"/>
        <v/>
      </c>
      <c r="G3051" s="6" t="str">
        <f>IF(B3051="","",股指期货基差分析!$N$11)</f>
        <v/>
      </c>
      <c r="H3051" s="6" t="str">
        <f>IF(B3051="","",股指期货基差分析!$L$11)</f>
        <v/>
      </c>
      <c r="I3051" s="10" t="str">
        <f>IF(B3051="","",股指期货基差分析!$D$11)</f>
        <v/>
      </c>
    </row>
    <row r="3052" spans="2:9" ht="15" customHeight="1" x14ac:dyDescent="0.2">
      <c r="B3052" s="7"/>
      <c r="C3052" s="5" t="str">
        <f>IF(B3052="","",[1]!s_dq_close(股指期货基差分析!$E$5,$B3052))</f>
        <v/>
      </c>
      <c r="D3052" s="5" t="str">
        <f>IF(B3052="","",[1]!s_dq_close(股指期货基差分析!$E$6,$B3052))</f>
        <v/>
      </c>
      <c r="E3052" s="5" t="e">
        <f ca="1">RANK(F3052,F:F)+COUNTIF(F$2:F3052,F3052)-1</f>
        <v>#VALUE!</v>
      </c>
      <c r="F3052" s="5" t="str">
        <f t="shared" si="48"/>
        <v/>
      </c>
      <c r="G3052" s="5" t="str">
        <f>IF(B3052="","",股指期货基差分析!$N$11)</f>
        <v/>
      </c>
      <c r="H3052" s="5" t="str">
        <f>IF(B3052="","",股指期货基差分析!$L$11)</f>
        <v/>
      </c>
      <c r="I3052" s="9" t="str">
        <f>IF(B3052="","",股指期货基差分析!$D$11)</f>
        <v/>
      </c>
    </row>
    <row r="3053" spans="2:9" ht="15" customHeight="1" x14ac:dyDescent="0.2">
      <c r="B3053" s="8"/>
      <c r="C3053" s="6" t="str">
        <f>IF(B3053="","",[1]!s_dq_close(股指期货基差分析!$E$5,$B3053))</f>
        <v/>
      </c>
      <c r="D3053" s="6" t="str">
        <f>IF(B3053="","",[1]!s_dq_close(股指期货基差分析!$E$6,$B3053))</f>
        <v/>
      </c>
      <c r="E3053" s="6" t="e">
        <f ca="1">RANK(F3053,F:F)+COUNTIF(F$2:F3053,F3053)-1</f>
        <v>#VALUE!</v>
      </c>
      <c r="F3053" s="6" t="str">
        <f t="shared" si="48"/>
        <v/>
      </c>
      <c r="G3053" s="6" t="str">
        <f>IF(B3053="","",股指期货基差分析!$N$11)</f>
        <v/>
      </c>
      <c r="H3053" s="6" t="str">
        <f>IF(B3053="","",股指期货基差分析!$L$11)</f>
        <v/>
      </c>
      <c r="I3053" s="10" t="str">
        <f>IF(B3053="","",股指期货基差分析!$D$11)</f>
        <v/>
      </c>
    </row>
    <row r="3054" spans="2:9" ht="15" customHeight="1" x14ac:dyDescent="0.2">
      <c r="B3054" s="7"/>
      <c r="C3054" s="5" t="str">
        <f>IF(B3054="","",[1]!s_dq_close(股指期货基差分析!$E$5,$B3054))</f>
        <v/>
      </c>
      <c r="D3054" s="5" t="str">
        <f>IF(B3054="","",[1]!s_dq_close(股指期货基差分析!$E$6,$B3054))</f>
        <v/>
      </c>
      <c r="E3054" s="5" t="e">
        <f ca="1">RANK(F3054,F:F)+COUNTIF(F$2:F3054,F3054)-1</f>
        <v>#VALUE!</v>
      </c>
      <c r="F3054" s="5" t="str">
        <f t="shared" si="48"/>
        <v/>
      </c>
      <c r="G3054" s="5" t="str">
        <f>IF(B3054="","",股指期货基差分析!$N$11)</f>
        <v/>
      </c>
      <c r="H3054" s="5" t="str">
        <f>IF(B3054="","",股指期货基差分析!$L$11)</f>
        <v/>
      </c>
      <c r="I3054" s="9" t="str">
        <f>IF(B3054="","",股指期货基差分析!$D$11)</f>
        <v/>
      </c>
    </row>
    <row r="3055" spans="2:9" ht="15" customHeight="1" x14ac:dyDescent="0.2">
      <c r="B3055" s="8"/>
      <c r="C3055" s="6" t="str">
        <f>IF(B3055="","",[1]!s_dq_close(股指期货基差分析!$E$5,$B3055))</f>
        <v/>
      </c>
      <c r="D3055" s="6" t="str">
        <f>IF(B3055="","",[1]!s_dq_close(股指期货基差分析!$E$6,$B3055))</f>
        <v/>
      </c>
      <c r="E3055" s="6" t="e">
        <f ca="1">RANK(F3055,F:F)+COUNTIF(F$2:F3055,F3055)-1</f>
        <v>#VALUE!</v>
      </c>
      <c r="F3055" s="6" t="str">
        <f t="shared" si="48"/>
        <v/>
      </c>
      <c r="G3055" s="6" t="str">
        <f>IF(B3055="","",股指期货基差分析!$N$11)</f>
        <v/>
      </c>
      <c r="H3055" s="6" t="str">
        <f>IF(B3055="","",股指期货基差分析!$L$11)</f>
        <v/>
      </c>
      <c r="I3055" s="10" t="str">
        <f>IF(B3055="","",股指期货基差分析!$D$11)</f>
        <v/>
      </c>
    </row>
    <row r="3056" spans="2:9" ht="15" customHeight="1" x14ac:dyDescent="0.2">
      <c r="B3056" s="7"/>
      <c r="C3056" s="5" t="str">
        <f>IF(B3056="","",[1]!s_dq_close(股指期货基差分析!$E$5,$B3056))</f>
        <v/>
      </c>
      <c r="D3056" s="5" t="str">
        <f>IF(B3056="","",[1]!s_dq_close(股指期货基差分析!$E$6,$B3056))</f>
        <v/>
      </c>
      <c r="E3056" s="5" t="e">
        <f ca="1">RANK(F3056,F:F)+COUNTIF(F$2:F3056,F3056)-1</f>
        <v>#VALUE!</v>
      </c>
      <c r="F3056" s="5" t="str">
        <f t="shared" si="48"/>
        <v/>
      </c>
      <c r="G3056" s="5" t="str">
        <f>IF(B3056="","",股指期货基差分析!$N$11)</f>
        <v/>
      </c>
      <c r="H3056" s="5" t="str">
        <f>IF(B3056="","",股指期货基差分析!$L$11)</f>
        <v/>
      </c>
      <c r="I3056" s="9" t="str">
        <f>IF(B3056="","",股指期货基差分析!$D$11)</f>
        <v/>
      </c>
    </row>
    <row r="3057" spans="2:9" ht="15" customHeight="1" x14ac:dyDescent="0.2">
      <c r="B3057" s="8"/>
      <c r="C3057" s="6" t="str">
        <f>IF(B3057="","",[1]!s_dq_close(股指期货基差分析!$E$5,$B3057))</f>
        <v/>
      </c>
      <c r="D3057" s="6" t="str">
        <f>IF(B3057="","",[1]!s_dq_close(股指期货基差分析!$E$6,$B3057))</f>
        <v/>
      </c>
      <c r="E3057" s="6" t="e">
        <f ca="1">RANK(F3057,F:F)+COUNTIF(F$2:F3057,F3057)-1</f>
        <v>#VALUE!</v>
      </c>
      <c r="F3057" s="6" t="str">
        <f t="shared" si="48"/>
        <v/>
      </c>
      <c r="G3057" s="6" t="str">
        <f>IF(B3057="","",股指期货基差分析!$N$11)</f>
        <v/>
      </c>
      <c r="H3057" s="6" t="str">
        <f>IF(B3057="","",股指期货基差分析!$L$11)</f>
        <v/>
      </c>
      <c r="I3057" s="10" t="str">
        <f>IF(B3057="","",股指期货基差分析!$D$11)</f>
        <v/>
      </c>
    </row>
    <row r="3058" spans="2:9" ht="15" customHeight="1" x14ac:dyDescent="0.2">
      <c r="B3058" s="7"/>
      <c r="C3058" s="5" t="str">
        <f>IF(B3058="","",[1]!s_dq_close(股指期货基差分析!$E$5,$B3058))</f>
        <v/>
      </c>
      <c r="D3058" s="5" t="str">
        <f>IF(B3058="","",[1]!s_dq_close(股指期货基差分析!$E$6,$B3058))</f>
        <v/>
      </c>
      <c r="E3058" s="5" t="e">
        <f ca="1">RANK(F3058,F:F)+COUNTIF(F$2:F3058,F3058)-1</f>
        <v>#VALUE!</v>
      </c>
      <c r="F3058" s="5" t="str">
        <f t="shared" si="48"/>
        <v/>
      </c>
      <c r="G3058" s="5" t="str">
        <f>IF(B3058="","",股指期货基差分析!$N$11)</f>
        <v/>
      </c>
      <c r="H3058" s="5" t="str">
        <f>IF(B3058="","",股指期货基差分析!$L$11)</f>
        <v/>
      </c>
      <c r="I3058" s="9" t="str">
        <f>IF(B3058="","",股指期货基差分析!$D$11)</f>
        <v/>
      </c>
    </row>
    <row r="3059" spans="2:9" ht="15" customHeight="1" x14ac:dyDescent="0.2">
      <c r="B3059" s="8"/>
      <c r="C3059" s="6" t="str">
        <f>IF(B3059="","",[1]!s_dq_close(股指期货基差分析!$E$5,$B3059))</f>
        <v/>
      </c>
      <c r="D3059" s="6" t="str">
        <f>IF(B3059="","",[1]!s_dq_close(股指期货基差分析!$E$6,$B3059))</f>
        <v/>
      </c>
      <c r="E3059" s="6" t="e">
        <f ca="1">RANK(F3059,F:F)+COUNTIF(F$2:F3059,F3059)-1</f>
        <v>#VALUE!</v>
      </c>
      <c r="F3059" s="6" t="str">
        <f t="shared" si="48"/>
        <v/>
      </c>
      <c r="G3059" s="6" t="str">
        <f>IF(B3059="","",股指期货基差分析!$N$11)</f>
        <v/>
      </c>
      <c r="H3059" s="6" t="str">
        <f>IF(B3059="","",股指期货基差分析!$L$11)</f>
        <v/>
      </c>
      <c r="I3059" s="10" t="str">
        <f>IF(B3059="","",股指期货基差分析!$D$11)</f>
        <v/>
      </c>
    </row>
    <row r="3060" spans="2:9" ht="15" customHeight="1" x14ac:dyDescent="0.2">
      <c r="B3060" s="7"/>
      <c r="C3060" s="5" t="str">
        <f>IF(B3060="","",[1]!s_dq_close(股指期货基差分析!$E$5,$B3060))</f>
        <v/>
      </c>
      <c r="D3060" s="5" t="str">
        <f>IF(B3060="","",[1]!s_dq_close(股指期货基差分析!$E$6,$B3060))</f>
        <v/>
      </c>
      <c r="E3060" s="5" t="e">
        <f ca="1">RANK(F3060,F:F)+COUNTIF(F$2:F3060,F3060)-1</f>
        <v>#VALUE!</v>
      </c>
      <c r="F3060" s="5" t="str">
        <f t="shared" si="48"/>
        <v/>
      </c>
      <c r="G3060" s="5" t="str">
        <f>IF(B3060="","",股指期货基差分析!$N$11)</f>
        <v/>
      </c>
      <c r="H3060" s="5" t="str">
        <f>IF(B3060="","",股指期货基差分析!$L$11)</f>
        <v/>
      </c>
      <c r="I3060" s="9" t="str">
        <f>IF(B3060="","",股指期货基差分析!$D$11)</f>
        <v/>
      </c>
    </row>
    <row r="3061" spans="2:9" ht="15" customHeight="1" x14ac:dyDescent="0.2">
      <c r="B3061" s="8"/>
      <c r="C3061" s="6" t="str">
        <f>IF(B3061="","",[1]!s_dq_close(股指期货基差分析!$E$5,$B3061))</f>
        <v/>
      </c>
      <c r="D3061" s="6" t="str">
        <f>IF(B3061="","",[1]!s_dq_close(股指期货基差分析!$E$6,$B3061))</f>
        <v/>
      </c>
      <c r="E3061" s="6" t="e">
        <f ca="1">RANK(F3061,F:F)+COUNTIF(F$2:F3061,F3061)-1</f>
        <v>#VALUE!</v>
      </c>
      <c r="F3061" s="6" t="str">
        <f t="shared" si="48"/>
        <v/>
      </c>
      <c r="G3061" s="6" t="str">
        <f>IF(B3061="","",股指期货基差分析!$N$11)</f>
        <v/>
      </c>
      <c r="H3061" s="6" t="str">
        <f>IF(B3061="","",股指期货基差分析!$L$11)</f>
        <v/>
      </c>
      <c r="I3061" s="10" t="str">
        <f>IF(B3061="","",股指期货基差分析!$D$11)</f>
        <v/>
      </c>
    </row>
    <row r="3062" spans="2:9" ht="15" customHeight="1" x14ac:dyDescent="0.2">
      <c r="B3062" s="7"/>
      <c r="C3062" s="5" t="str">
        <f>IF(B3062="","",[1]!s_dq_close(股指期货基差分析!$E$5,$B3062))</f>
        <v/>
      </c>
      <c r="D3062" s="5" t="str">
        <f>IF(B3062="","",[1]!s_dq_close(股指期货基差分析!$E$6,$B3062))</f>
        <v/>
      </c>
      <c r="E3062" s="5" t="e">
        <f ca="1">RANK(F3062,F:F)+COUNTIF(F$2:F3062,F3062)-1</f>
        <v>#VALUE!</v>
      </c>
      <c r="F3062" s="5" t="str">
        <f t="shared" si="48"/>
        <v/>
      </c>
      <c r="G3062" s="5" t="str">
        <f>IF(B3062="","",股指期货基差分析!$N$11)</f>
        <v/>
      </c>
      <c r="H3062" s="5" t="str">
        <f>IF(B3062="","",股指期货基差分析!$L$11)</f>
        <v/>
      </c>
      <c r="I3062" s="9" t="str">
        <f>IF(B3062="","",股指期货基差分析!$D$11)</f>
        <v/>
      </c>
    </row>
    <row r="3063" spans="2:9" ht="15" customHeight="1" x14ac:dyDescent="0.2">
      <c r="B3063" s="8"/>
      <c r="C3063" s="6" t="str">
        <f>IF(B3063="","",[1]!s_dq_close(股指期货基差分析!$E$5,$B3063))</f>
        <v/>
      </c>
      <c r="D3063" s="6" t="str">
        <f>IF(B3063="","",[1]!s_dq_close(股指期货基差分析!$E$6,$B3063))</f>
        <v/>
      </c>
      <c r="E3063" s="6" t="e">
        <f ca="1">RANK(F3063,F:F)+COUNTIF(F$2:F3063,F3063)-1</f>
        <v>#VALUE!</v>
      </c>
      <c r="F3063" s="6" t="str">
        <f t="shared" si="48"/>
        <v/>
      </c>
      <c r="G3063" s="6" t="str">
        <f>IF(B3063="","",股指期货基差分析!$N$11)</f>
        <v/>
      </c>
      <c r="H3063" s="6" t="str">
        <f>IF(B3063="","",股指期货基差分析!$L$11)</f>
        <v/>
      </c>
      <c r="I3063" s="10" t="str">
        <f>IF(B3063="","",股指期货基差分析!$D$11)</f>
        <v/>
      </c>
    </row>
    <row r="3064" spans="2:9" ht="15" customHeight="1" x14ac:dyDescent="0.2">
      <c r="B3064" s="7"/>
      <c r="C3064" s="5" t="str">
        <f>IF(B3064="","",[1]!s_dq_close(股指期货基差分析!$E$5,$B3064))</f>
        <v/>
      </c>
      <c r="D3064" s="5" t="str">
        <f>IF(B3064="","",[1]!s_dq_close(股指期货基差分析!$E$6,$B3064))</f>
        <v/>
      </c>
      <c r="E3064" s="5" t="e">
        <f ca="1">RANK(F3064,F:F)+COUNTIF(F$2:F3064,F3064)-1</f>
        <v>#VALUE!</v>
      </c>
      <c r="F3064" s="5" t="str">
        <f t="shared" si="48"/>
        <v/>
      </c>
      <c r="G3064" s="5" t="str">
        <f>IF(B3064="","",股指期货基差分析!$N$11)</f>
        <v/>
      </c>
      <c r="H3064" s="5" t="str">
        <f>IF(B3064="","",股指期货基差分析!$L$11)</f>
        <v/>
      </c>
      <c r="I3064" s="9" t="str">
        <f>IF(B3064="","",股指期货基差分析!$D$11)</f>
        <v/>
      </c>
    </row>
    <row r="3065" spans="2:9" ht="15" customHeight="1" x14ac:dyDescent="0.2">
      <c r="B3065" s="8"/>
      <c r="C3065" s="6" t="str">
        <f>IF(B3065="","",[1]!s_dq_close(股指期货基差分析!$E$5,$B3065))</f>
        <v/>
      </c>
      <c r="D3065" s="6" t="str">
        <f>IF(B3065="","",[1]!s_dq_close(股指期货基差分析!$E$6,$B3065))</f>
        <v/>
      </c>
      <c r="E3065" s="6" t="e">
        <f ca="1">RANK(F3065,F:F)+COUNTIF(F$2:F3065,F3065)-1</f>
        <v>#VALUE!</v>
      </c>
      <c r="F3065" s="6" t="str">
        <f t="shared" si="48"/>
        <v/>
      </c>
      <c r="G3065" s="6" t="str">
        <f>IF(B3065="","",股指期货基差分析!$N$11)</f>
        <v/>
      </c>
      <c r="H3065" s="6" t="str">
        <f>IF(B3065="","",股指期货基差分析!$L$11)</f>
        <v/>
      </c>
      <c r="I3065" s="10" t="str">
        <f>IF(B3065="","",股指期货基差分析!$D$11)</f>
        <v/>
      </c>
    </row>
    <row r="3066" spans="2:9" ht="15" customHeight="1" x14ac:dyDescent="0.2">
      <c r="B3066" s="7"/>
      <c r="C3066" s="5" t="str">
        <f>IF(B3066="","",[1]!s_dq_close(股指期货基差分析!$E$5,$B3066))</f>
        <v/>
      </c>
      <c r="D3066" s="5" t="str">
        <f>IF(B3066="","",[1]!s_dq_close(股指期货基差分析!$E$6,$B3066))</f>
        <v/>
      </c>
      <c r="E3066" s="5" t="e">
        <f ca="1">RANK(F3066,F:F)+COUNTIF(F$2:F3066,F3066)-1</f>
        <v>#VALUE!</v>
      </c>
      <c r="F3066" s="5" t="str">
        <f t="shared" si="48"/>
        <v/>
      </c>
      <c r="G3066" s="5" t="str">
        <f>IF(B3066="","",股指期货基差分析!$N$11)</f>
        <v/>
      </c>
      <c r="H3066" s="5" t="str">
        <f>IF(B3066="","",股指期货基差分析!$L$11)</f>
        <v/>
      </c>
      <c r="I3066" s="9" t="str">
        <f>IF(B3066="","",股指期货基差分析!$D$11)</f>
        <v/>
      </c>
    </row>
    <row r="3067" spans="2:9" ht="15" customHeight="1" x14ac:dyDescent="0.2">
      <c r="B3067" s="8"/>
      <c r="C3067" s="6" t="str">
        <f>IF(B3067="","",[1]!s_dq_close(股指期货基差分析!$E$5,$B3067))</f>
        <v/>
      </c>
      <c r="D3067" s="6" t="str">
        <f>IF(B3067="","",[1]!s_dq_close(股指期货基差分析!$E$6,$B3067))</f>
        <v/>
      </c>
      <c r="E3067" s="6" t="e">
        <f ca="1">RANK(F3067,F:F)+COUNTIF(F$2:F3067,F3067)-1</f>
        <v>#VALUE!</v>
      </c>
      <c r="F3067" s="6" t="str">
        <f t="shared" si="48"/>
        <v/>
      </c>
      <c r="G3067" s="6" t="str">
        <f>IF(B3067="","",股指期货基差分析!$N$11)</f>
        <v/>
      </c>
      <c r="H3067" s="6" t="str">
        <f>IF(B3067="","",股指期货基差分析!$L$11)</f>
        <v/>
      </c>
      <c r="I3067" s="10" t="str">
        <f>IF(B3067="","",股指期货基差分析!$D$11)</f>
        <v/>
      </c>
    </row>
    <row r="3068" spans="2:9" ht="15" customHeight="1" x14ac:dyDescent="0.2">
      <c r="B3068" s="7"/>
      <c r="C3068" s="5" t="str">
        <f>IF(B3068="","",[1]!s_dq_close(股指期货基差分析!$E$5,$B3068))</f>
        <v/>
      </c>
      <c r="D3068" s="5" t="str">
        <f>IF(B3068="","",[1]!s_dq_close(股指期货基差分析!$E$6,$B3068))</f>
        <v/>
      </c>
      <c r="E3068" s="5" t="e">
        <f ca="1">RANK(F3068,F:F)+COUNTIF(F$2:F3068,F3068)-1</f>
        <v>#VALUE!</v>
      </c>
      <c r="F3068" s="5" t="str">
        <f t="shared" si="48"/>
        <v/>
      </c>
      <c r="G3068" s="5" t="str">
        <f>IF(B3068="","",股指期货基差分析!$N$11)</f>
        <v/>
      </c>
      <c r="H3068" s="5" t="str">
        <f>IF(B3068="","",股指期货基差分析!$L$11)</f>
        <v/>
      </c>
      <c r="I3068" s="9" t="str">
        <f>IF(B3068="","",股指期货基差分析!$D$11)</f>
        <v/>
      </c>
    </row>
    <row r="3069" spans="2:9" ht="15" customHeight="1" x14ac:dyDescent="0.2">
      <c r="B3069" s="8"/>
      <c r="C3069" s="6" t="str">
        <f>IF(B3069="","",[1]!s_dq_close(股指期货基差分析!$E$5,$B3069))</f>
        <v/>
      </c>
      <c r="D3069" s="6" t="str">
        <f>IF(B3069="","",[1]!s_dq_close(股指期货基差分析!$E$6,$B3069))</f>
        <v/>
      </c>
      <c r="E3069" s="6" t="e">
        <f ca="1">RANK(F3069,F:F)+COUNTIF(F$2:F3069,F3069)-1</f>
        <v>#VALUE!</v>
      </c>
      <c r="F3069" s="6" t="str">
        <f t="shared" si="48"/>
        <v/>
      </c>
      <c r="G3069" s="6" t="str">
        <f>IF(B3069="","",股指期货基差分析!$N$11)</f>
        <v/>
      </c>
      <c r="H3069" s="6" t="str">
        <f>IF(B3069="","",股指期货基差分析!$L$11)</f>
        <v/>
      </c>
      <c r="I3069" s="10" t="str">
        <f>IF(B3069="","",股指期货基差分析!$D$11)</f>
        <v/>
      </c>
    </row>
    <row r="3070" spans="2:9" ht="15" customHeight="1" x14ac:dyDescent="0.2">
      <c r="B3070" s="7"/>
      <c r="C3070" s="5" t="str">
        <f>IF(B3070="","",[1]!s_dq_close(股指期货基差分析!$E$5,$B3070))</f>
        <v/>
      </c>
      <c r="D3070" s="5" t="str">
        <f>IF(B3070="","",[1]!s_dq_close(股指期货基差分析!$E$6,$B3070))</f>
        <v/>
      </c>
      <c r="E3070" s="5" t="e">
        <f ca="1">RANK(F3070,F:F)+COUNTIF(F$2:F3070,F3070)-1</f>
        <v>#VALUE!</v>
      </c>
      <c r="F3070" s="5" t="str">
        <f t="shared" si="48"/>
        <v/>
      </c>
      <c r="G3070" s="5" t="str">
        <f>IF(B3070="","",股指期货基差分析!$N$11)</f>
        <v/>
      </c>
      <c r="H3070" s="5" t="str">
        <f>IF(B3070="","",股指期货基差分析!$L$11)</f>
        <v/>
      </c>
      <c r="I3070" s="9" t="str">
        <f>IF(B3070="","",股指期货基差分析!$D$11)</f>
        <v/>
      </c>
    </row>
    <row r="3071" spans="2:9" ht="15" customHeight="1" x14ac:dyDescent="0.2">
      <c r="B3071" s="8"/>
      <c r="C3071" s="6" t="str">
        <f>IF(B3071="","",[1]!s_dq_close(股指期货基差分析!$E$5,$B3071))</f>
        <v/>
      </c>
      <c r="D3071" s="6" t="str">
        <f>IF(B3071="","",[1]!s_dq_close(股指期货基差分析!$E$6,$B3071))</f>
        <v/>
      </c>
      <c r="E3071" s="6" t="e">
        <f ca="1">RANK(F3071,F:F)+COUNTIF(F$2:F3071,F3071)-1</f>
        <v>#VALUE!</v>
      </c>
      <c r="F3071" s="6" t="str">
        <f t="shared" si="48"/>
        <v/>
      </c>
      <c r="G3071" s="6" t="str">
        <f>IF(B3071="","",股指期货基差分析!$N$11)</f>
        <v/>
      </c>
      <c r="H3071" s="6" t="str">
        <f>IF(B3071="","",股指期货基差分析!$L$11)</f>
        <v/>
      </c>
      <c r="I3071" s="10" t="str">
        <f>IF(B3071="","",股指期货基差分析!$D$11)</f>
        <v/>
      </c>
    </row>
    <row r="3072" spans="2:9" ht="15" customHeight="1" x14ac:dyDescent="0.2">
      <c r="B3072" s="7"/>
      <c r="C3072" s="5" t="str">
        <f>IF(B3072="","",[1]!s_dq_close(股指期货基差分析!$E$5,$B3072))</f>
        <v/>
      </c>
      <c r="D3072" s="5" t="str">
        <f>IF(B3072="","",[1]!s_dq_close(股指期货基差分析!$E$6,$B3072))</f>
        <v/>
      </c>
      <c r="E3072" s="5" t="e">
        <f ca="1">RANK(F3072,F:F)+COUNTIF(F$2:F3072,F3072)-1</f>
        <v>#VALUE!</v>
      </c>
      <c r="F3072" s="5" t="str">
        <f t="shared" si="48"/>
        <v/>
      </c>
      <c r="G3072" s="5" t="str">
        <f>IF(B3072="","",股指期货基差分析!$N$11)</f>
        <v/>
      </c>
      <c r="H3072" s="5" t="str">
        <f>IF(B3072="","",股指期货基差分析!$L$11)</f>
        <v/>
      </c>
      <c r="I3072" s="9" t="str">
        <f>IF(B3072="","",股指期货基差分析!$D$11)</f>
        <v/>
      </c>
    </row>
    <row r="3073" spans="2:9" ht="15" customHeight="1" x14ac:dyDescent="0.2">
      <c r="B3073" s="8"/>
      <c r="C3073" s="6" t="str">
        <f>IF(B3073="","",[1]!s_dq_close(股指期货基差分析!$E$5,$B3073))</f>
        <v/>
      </c>
      <c r="D3073" s="6" t="str">
        <f>IF(B3073="","",[1]!s_dq_close(股指期货基差分析!$E$6,$B3073))</f>
        <v/>
      </c>
      <c r="E3073" s="6" t="e">
        <f ca="1">RANK(F3073,F:F)+COUNTIF(F$2:F3073,F3073)-1</f>
        <v>#VALUE!</v>
      </c>
      <c r="F3073" s="6" t="str">
        <f t="shared" si="48"/>
        <v/>
      </c>
      <c r="G3073" s="6" t="str">
        <f>IF(B3073="","",股指期货基差分析!$N$11)</f>
        <v/>
      </c>
      <c r="H3073" s="6" t="str">
        <f>IF(B3073="","",股指期货基差分析!$L$11)</f>
        <v/>
      </c>
      <c r="I3073" s="10" t="str">
        <f>IF(B3073="","",股指期货基差分析!$D$11)</f>
        <v/>
      </c>
    </row>
    <row r="3074" spans="2:9" ht="15" customHeight="1" x14ac:dyDescent="0.2">
      <c r="B3074" s="7"/>
      <c r="C3074" s="5" t="str">
        <f>IF(B3074="","",[1]!s_dq_close(股指期货基差分析!$E$5,$B3074))</f>
        <v/>
      </c>
      <c r="D3074" s="5" t="str">
        <f>IF(B3074="","",[1]!s_dq_close(股指期货基差分析!$E$6,$B3074))</f>
        <v/>
      </c>
      <c r="E3074" s="5" t="e">
        <f ca="1">RANK(F3074,F:F)+COUNTIF(F$2:F3074,F3074)-1</f>
        <v>#VALUE!</v>
      </c>
      <c r="F3074" s="5" t="str">
        <f t="shared" ref="F3074:F3137" si="49">IF(B3074="","",D3074-C3074)</f>
        <v/>
      </c>
      <c r="G3074" s="5" t="str">
        <f>IF(B3074="","",股指期货基差分析!$N$11)</f>
        <v/>
      </c>
      <c r="H3074" s="5" t="str">
        <f>IF(B3074="","",股指期货基差分析!$L$11)</f>
        <v/>
      </c>
      <c r="I3074" s="9" t="str">
        <f>IF(B3074="","",股指期货基差分析!$D$11)</f>
        <v/>
      </c>
    </row>
    <row r="3075" spans="2:9" ht="15" customHeight="1" x14ac:dyDescent="0.2">
      <c r="B3075" s="8"/>
      <c r="C3075" s="6" t="str">
        <f>IF(B3075="","",[1]!s_dq_close(股指期货基差分析!$E$5,$B3075))</f>
        <v/>
      </c>
      <c r="D3075" s="6" t="str">
        <f>IF(B3075="","",[1]!s_dq_close(股指期货基差分析!$E$6,$B3075))</f>
        <v/>
      </c>
      <c r="E3075" s="6" t="e">
        <f ca="1">RANK(F3075,F:F)+COUNTIF(F$2:F3075,F3075)-1</f>
        <v>#VALUE!</v>
      </c>
      <c r="F3075" s="6" t="str">
        <f t="shared" si="49"/>
        <v/>
      </c>
      <c r="G3075" s="6" t="str">
        <f>IF(B3075="","",股指期货基差分析!$N$11)</f>
        <v/>
      </c>
      <c r="H3075" s="6" t="str">
        <f>IF(B3075="","",股指期货基差分析!$L$11)</f>
        <v/>
      </c>
      <c r="I3075" s="10" t="str">
        <f>IF(B3075="","",股指期货基差分析!$D$11)</f>
        <v/>
      </c>
    </row>
    <row r="3076" spans="2:9" ht="15" customHeight="1" x14ac:dyDescent="0.2">
      <c r="B3076" s="7"/>
      <c r="C3076" s="5" t="str">
        <f>IF(B3076="","",[1]!s_dq_close(股指期货基差分析!$E$5,$B3076))</f>
        <v/>
      </c>
      <c r="D3076" s="5" t="str">
        <f>IF(B3076="","",[1]!s_dq_close(股指期货基差分析!$E$6,$B3076))</f>
        <v/>
      </c>
      <c r="E3076" s="5" t="e">
        <f ca="1">RANK(F3076,F:F)+COUNTIF(F$2:F3076,F3076)-1</f>
        <v>#VALUE!</v>
      </c>
      <c r="F3076" s="5" t="str">
        <f t="shared" si="49"/>
        <v/>
      </c>
      <c r="G3076" s="5" t="str">
        <f>IF(B3076="","",股指期货基差分析!$N$11)</f>
        <v/>
      </c>
      <c r="H3076" s="5" t="str">
        <f>IF(B3076="","",股指期货基差分析!$L$11)</f>
        <v/>
      </c>
      <c r="I3076" s="9" t="str">
        <f>IF(B3076="","",股指期货基差分析!$D$11)</f>
        <v/>
      </c>
    </row>
    <row r="3077" spans="2:9" ht="15" customHeight="1" x14ac:dyDescent="0.2">
      <c r="B3077" s="8"/>
      <c r="C3077" s="6" t="str">
        <f>IF(B3077="","",[1]!s_dq_close(股指期货基差分析!$E$5,$B3077))</f>
        <v/>
      </c>
      <c r="D3077" s="6" t="str">
        <f>IF(B3077="","",[1]!s_dq_close(股指期货基差分析!$E$6,$B3077))</f>
        <v/>
      </c>
      <c r="E3077" s="6" t="e">
        <f ca="1">RANK(F3077,F:F)+COUNTIF(F$2:F3077,F3077)-1</f>
        <v>#VALUE!</v>
      </c>
      <c r="F3077" s="6" t="str">
        <f t="shared" si="49"/>
        <v/>
      </c>
      <c r="G3077" s="6" t="str">
        <f>IF(B3077="","",股指期货基差分析!$N$11)</f>
        <v/>
      </c>
      <c r="H3077" s="6" t="str">
        <f>IF(B3077="","",股指期货基差分析!$L$11)</f>
        <v/>
      </c>
      <c r="I3077" s="10" t="str">
        <f>IF(B3077="","",股指期货基差分析!$D$11)</f>
        <v/>
      </c>
    </row>
    <row r="3078" spans="2:9" ht="15" customHeight="1" x14ac:dyDescent="0.2">
      <c r="B3078" s="7"/>
      <c r="C3078" s="5" t="str">
        <f>IF(B3078="","",[1]!s_dq_close(股指期货基差分析!$E$5,$B3078))</f>
        <v/>
      </c>
      <c r="D3078" s="5" t="str">
        <f>IF(B3078="","",[1]!s_dq_close(股指期货基差分析!$E$6,$B3078))</f>
        <v/>
      </c>
      <c r="E3078" s="5" t="e">
        <f ca="1">RANK(F3078,F:F)+COUNTIF(F$2:F3078,F3078)-1</f>
        <v>#VALUE!</v>
      </c>
      <c r="F3078" s="5" t="str">
        <f t="shared" si="49"/>
        <v/>
      </c>
      <c r="G3078" s="5" t="str">
        <f>IF(B3078="","",股指期货基差分析!$N$11)</f>
        <v/>
      </c>
      <c r="H3078" s="5" t="str">
        <f>IF(B3078="","",股指期货基差分析!$L$11)</f>
        <v/>
      </c>
      <c r="I3078" s="9" t="str">
        <f>IF(B3078="","",股指期货基差分析!$D$11)</f>
        <v/>
      </c>
    </row>
    <row r="3079" spans="2:9" ht="15" customHeight="1" x14ac:dyDescent="0.2">
      <c r="B3079" s="8"/>
      <c r="C3079" s="6" t="str">
        <f>IF(B3079="","",[1]!s_dq_close(股指期货基差分析!$E$5,$B3079))</f>
        <v/>
      </c>
      <c r="D3079" s="6" t="str">
        <f>IF(B3079="","",[1]!s_dq_close(股指期货基差分析!$E$6,$B3079))</f>
        <v/>
      </c>
      <c r="E3079" s="6" t="e">
        <f ca="1">RANK(F3079,F:F)+COUNTIF(F$2:F3079,F3079)-1</f>
        <v>#VALUE!</v>
      </c>
      <c r="F3079" s="6" t="str">
        <f t="shared" si="49"/>
        <v/>
      </c>
      <c r="G3079" s="6" t="str">
        <f>IF(B3079="","",股指期货基差分析!$N$11)</f>
        <v/>
      </c>
      <c r="H3079" s="6" t="str">
        <f>IF(B3079="","",股指期货基差分析!$L$11)</f>
        <v/>
      </c>
      <c r="I3079" s="10" t="str">
        <f>IF(B3079="","",股指期货基差分析!$D$11)</f>
        <v/>
      </c>
    </row>
    <row r="3080" spans="2:9" ht="15" customHeight="1" x14ac:dyDescent="0.2">
      <c r="B3080" s="7"/>
      <c r="C3080" s="5" t="str">
        <f>IF(B3080="","",[1]!s_dq_close(股指期货基差分析!$E$5,$B3080))</f>
        <v/>
      </c>
      <c r="D3080" s="5" t="str">
        <f>IF(B3080="","",[1]!s_dq_close(股指期货基差分析!$E$6,$B3080))</f>
        <v/>
      </c>
      <c r="E3080" s="5" t="e">
        <f ca="1">RANK(F3080,F:F)+COUNTIF(F$2:F3080,F3080)-1</f>
        <v>#VALUE!</v>
      </c>
      <c r="F3080" s="5" t="str">
        <f t="shared" si="49"/>
        <v/>
      </c>
      <c r="G3080" s="5" t="str">
        <f>IF(B3080="","",股指期货基差分析!$N$11)</f>
        <v/>
      </c>
      <c r="H3080" s="5" t="str">
        <f>IF(B3080="","",股指期货基差分析!$L$11)</f>
        <v/>
      </c>
      <c r="I3080" s="9" t="str">
        <f>IF(B3080="","",股指期货基差分析!$D$11)</f>
        <v/>
      </c>
    </row>
    <row r="3081" spans="2:9" ht="15" customHeight="1" x14ac:dyDescent="0.2">
      <c r="B3081" s="8"/>
      <c r="C3081" s="6" t="str">
        <f>IF(B3081="","",[1]!s_dq_close(股指期货基差分析!$E$5,$B3081))</f>
        <v/>
      </c>
      <c r="D3081" s="6" t="str">
        <f>IF(B3081="","",[1]!s_dq_close(股指期货基差分析!$E$6,$B3081))</f>
        <v/>
      </c>
      <c r="E3081" s="6" t="e">
        <f ca="1">RANK(F3081,F:F)+COUNTIF(F$2:F3081,F3081)-1</f>
        <v>#VALUE!</v>
      </c>
      <c r="F3081" s="6" t="str">
        <f t="shared" si="49"/>
        <v/>
      </c>
      <c r="G3081" s="6" t="str">
        <f>IF(B3081="","",股指期货基差分析!$N$11)</f>
        <v/>
      </c>
      <c r="H3081" s="6" t="str">
        <f>IF(B3081="","",股指期货基差分析!$L$11)</f>
        <v/>
      </c>
      <c r="I3081" s="10" t="str">
        <f>IF(B3081="","",股指期货基差分析!$D$11)</f>
        <v/>
      </c>
    </row>
    <row r="3082" spans="2:9" ht="15" customHeight="1" x14ac:dyDescent="0.2">
      <c r="B3082" s="7"/>
      <c r="C3082" s="5" t="str">
        <f>IF(B3082="","",[1]!s_dq_close(股指期货基差分析!$E$5,$B3082))</f>
        <v/>
      </c>
      <c r="D3082" s="5" t="str">
        <f>IF(B3082="","",[1]!s_dq_close(股指期货基差分析!$E$6,$B3082))</f>
        <v/>
      </c>
      <c r="E3082" s="5" t="e">
        <f ca="1">RANK(F3082,F:F)+COUNTIF(F$2:F3082,F3082)-1</f>
        <v>#VALUE!</v>
      </c>
      <c r="F3082" s="5" t="str">
        <f t="shared" si="49"/>
        <v/>
      </c>
      <c r="G3082" s="5" t="str">
        <f>IF(B3082="","",股指期货基差分析!$N$11)</f>
        <v/>
      </c>
      <c r="H3082" s="5" t="str">
        <f>IF(B3082="","",股指期货基差分析!$L$11)</f>
        <v/>
      </c>
      <c r="I3082" s="9" t="str">
        <f>IF(B3082="","",股指期货基差分析!$D$11)</f>
        <v/>
      </c>
    </row>
    <row r="3083" spans="2:9" ht="15" customHeight="1" x14ac:dyDescent="0.2">
      <c r="B3083" s="8"/>
      <c r="C3083" s="6" t="str">
        <f>IF(B3083="","",[1]!s_dq_close(股指期货基差分析!$E$5,$B3083))</f>
        <v/>
      </c>
      <c r="D3083" s="6" t="str">
        <f>IF(B3083="","",[1]!s_dq_close(股指期货基差分析!$E$6,$B3083))</f>
        <v/>
      </c>
      <c r="E3083" s="6" t="e">
        <f ca="1">RANK(F3083,F:F)+COUNTIF(F$2:F3083,F3083)-1</f>
        <v>#VALUE!</v>
      </c>
      <c r="F3083" s="6" t="str">
        <f t="shared" si="49"/>
        <v/>
      </c>
      <c r="G3083" s="6" t="str">
        <f>IF(B3083="","",股指期货基差分析!$N$11)</f>
        <v/>
      </c>
      <c r="H3083" s="6" t="str">
        <f>IF(B3083="","",股指期货基差分析!$L$11)</f>
        <v/>
      </c>
      <c r="I3083" s="10" t="str">
        <f>IF(B3083="","",股指期货基差分析!$D$11)</f>
        <v/>
      </c>
    </row>
    <row r="3084" spans="2:9" ht="15" customHeight="1" x14ac:dyDescent="0.2">
      <c r="B3084" s="7"/>
      <c r="C3084" s="5" t="str">
        <f>IF(B3084="","",[1]!s_dq_close(股指期货基差分析!$E$5,$B3084))</f>
        <v/>
      </c>
      <c r="D3084" s="5" t="str">
        <f>IF(B3084="","",[1]!s_dq_close(股指期货基差分析!$E$6,$B3084))</f>
        <v/>
      </c>
      <c r="E3084" s="5" t="e">
        <f ca="1">RANK(F3084,F:F)+COUNTIF(F$2:F3084,F3084)-1</f>
        <v>#VALUE!</v>
      </c>
      <c r="F3084" s="5" t="str">
        <f t="shared" si="49"/>
        <v/>
      </c>
      <c r="G3084" s="5" t="str">
        <f>IF(B3084="","",股指期货基差分析!$N$11)</f>
        <v/>
      </c>
      <c r="H3084" s="5" t="str">
        <f>IF(B3084="","",股指期货基差分析!$L$11)</f>
        <v/>
      </c>
      <c r="I3084" s="9" t="str">
        <f>IF(B3084="","",股指期货基差分析!$D$11)</f>
        <v/>
      </c>
    </row>
    <row r="3085" spans="2:9" ht="15" customHeight="1" x14ac:dyDescent="0.2">
      <c r="B3085" s="8"/>
      <c r="C3085" s="6" t="str">
        <f>IF(B3085="","",[1]!s_dq_close(股指期货基差分析!$E$5,$B3085))</f>
        <v/>
      </c>
      <c r="D3085" s="6" t="str">
        <f>IF(B3085="","",[1]!s_dq_close(股指期货基差分析!$E$6,$B3085))</f>
        <v/>
      </c>
      <c r="E3085" s="6" t="e">
        <f ca="1">RANK(F3085,F:F)+COUNTIF(F$2:F3085,F3085)-1</f>
        <v>#VALUE!</v>
      </c>
      <c r="F3085" s="6" t="str">
        <f t="shared" si="49"/>
        <v/>
      </c>
      <c r="G3085" s="6" t="str">
        <f>IF(B3085="","",股指期货基差分析!$N$11)</f>
        <v/>
      </c>
      <c r="H3085" s="6" t="str">
        <f>IF(B3085="","",股指期货基差分析!$L$11)</f>
        <v/>
      </c>
      <c r="I3085" s="10" t="str">
        <f>IF(B3085="","",股指期货基差分析!$D$11)</f>
        <v/>
      </c>
    </row>
    <row r="3086" spans="2:9" ht="15" customHeight="1" x14ac:dyDescent="0.2">
      <c r="B3086" s="7"/>
      <c r="C3086" s="5" t="str">
        <f>IF(B3086="","",[1]!s_dq_close(股指期货基差分析!$E$5,$B3086))</f>
        <v/>
      </c>
      <c r="D3086" s="5" t="str">
        <f>IF(B3086="","",[1]!s_dq_close(股指期货基差分析!$E$6,$B3086))</f>
        <v/>
      </c>
      <c r="E3086" s="5" t="e">
        <f ca="1">RANK(F3086,F:F)+COUNTIF(F$2:F3086,F3086)-1</f>
        <v>#VALUE!</v>
      </c>
      <c r="F3086" s="5" t="str">
        <f t="shared" si="49"/>
        <v/>
      </c>
      <c r="G3086" s="5" t="str">
        <f>IF(B3086="","",股指期货基差分析!$N$11)</f>
        <v/>
      </c>
      <c r="H3086" s="5" t="str">
        <f>IF(B3086="","",股指期货基差分析!$L$11)</f>
        <v/>
      </c>
      <c r="I3086" s="9" t="str">
        <f>IF(B3086="","",股指期货基差分析!$D$11)</f>
        <v/>
      </c>
    </row>
    <row r="3087" spans="2:9" ht="15" customHeight="1" x14ac:dyDescent="0.2">
      <c r="B3087" s="8"/>
      <c r="C3087" s="6" t="str">
        <f>IF(B3087="","",[1]!s_dq_close(股指期货基差分析!$E$5,$B3087))</f>
        <v/>
      </c>
      <c r="D3087" s="6" t="str">
        <f>IF(B3087="","",[1]!s_dq_close(股指期货基差分析!$E$6,$B3087))</f>
        <v/>
      </c>
      <c r="E3087" s="6" t="e">
        <f ca="1">RANK(F3087,F:F)+COUNTIF(F$2:F3087,F3087)-1</f>
        <v>#VALUE!</v>
      </c>
      <c r="F3087" s="6" t="str">
        <f t="shared" si="49"/>
        <v/>
      </c>
      <c r="G3087" s="6" t="str">
        <f>IF(B3087="","",股指期货基差分析!$N$11)</f>
        <v/>
      </c>
      <c r="H3087" s="6" t="str">
        <f>IF(B3087="","",股指期货基差分析!$L$11)</f>
        <v/>
      </c>
      <c r="I3087" s="10" t="str">
        <f>IF(B3087="","",股指期货基差分析!$D$11)</f>
        <v/>
      </c>
    </row>
    <row r="3088" spans="2:9" ht="15" customHeight="1" x14ac:dyDescent="0.2">
      <c r="B3088" s="7"/>
      <c r="C3088" s="5" t="str">
        <f>IF(B3088="","",[1]!s_dq_close(股指期货基差分析!$E$5,$B3088))</f>
        <v/>
      </c>
      <c r="D3088" s="5" t="str">
        <f>IF(B3088="","",[1]!s_dq_close(股指期货基差分析!$E$6,$B3088))</f>
        <v/>
      </c>
      <c r="E3088" s="5" t="e">
        <f ca="1">RANK(F3088,F:F)+COUNTIF(F$2:F3088,F3088)-1</f>
        <v>#VALUE!</v>
      </c>
      <c r="F3088" s="5" t="str">
        <f t="shared" si="49"/>
        <v/>
      </c>
      <c r="G3088" s="5" t="str">
        <f>IF(B3088="","",股指期货基差分析!$N$11)</f>
        <v/>
      </c>
      <c r="H3088" s="5" t="str">
        <f>IF(B3088="","",股指期货基差分析!$L$11)</f>
        <v/>
      </c>
      <c r="I3088" s="9" t="str">
        <f>IF(B3088="","",股指期货基差分析!$D$11)</f>
        <v/>
      </c>
    </row>
    <row r="3089" spans="2:9" ht="15" customHeight="1" x14ac:dyDescent="0.2">
      <c r="B3089" s="8"/>
      <c r="C3089" s="6" t="str">
        <f>IF(B3089="","",[1]!s_dq_close(股指期货基差分析!$E$5,$B3089))</f>
        <v/>
      </c>
      <c r="D3089" s="6" t="str">
        <f>IF(B3089="","",[1]!s_dq_close(股指期货基差分析!$E$6,$B3089))</f>
        <v/>
      </c>
      <c r="E3089" s="6" t="e">
        <f ca="1">RANK(F3089,F:F)+COUNTIF(F$2:F3089,F3089)-1</f>
        <v>#VALUE!</v>
      </c>
      <c r="F3089" s="6" t="str">
        <f t="shared" si="49"/>
        <v/>
      </c>
      <c r="G3089" s="6" t="str">
        <f>IF(B3089="","",股指期货基差分析!$N$11)</f>
        <v/>
      </c>
      <c r="H3089" s="6" t="str">
        <f>IF(B3089="","",股指期货基差分析!$L$11)</f>
        <v/>
      </c>
      <c r="I3089" s="10" t="str">
        <f>IF(B3089="","",股指期货基差分析!$D$11)</f>
        <v/>
      </c>
    </row>
    <row r="3090" spans="2:9" ht="15" customHeight="1" x14ac:dyDescent="0.2">
      <c r="B3090" s="7"/>
      <c r="C3090" s="5" t="str">
        <f>IF(B3090="","",[1]!s_dq_close(股指期货基差分析!$E$5,$B3090))</f>
        <v/>
      </c>
      <c r="D3090" s="5" t="str">
        <f>IF(B3090="","",[1]!s_dq_close(股指期货基差分析!$E$6,$B3090))</f>
        <v/>
      </c>
      <c r="E3090" s="5" t="e">
        <f ca="1">RANK(F3090,F:F)+COUNTIF(F$2:F3090,F3090)-1</f>
        <v>#VALUE!</v>
      </c>
      <c r="F3090" s="5" t="str">
        <f t="shared" si="49"/>
        <v/>
      </c>
      <c r="G3090" s="5" t="str">
        <f>IF(B3090="","",股指期货基差分析!$N$11)</f>
        <v/>
      </c>
      <c r="H3090" s="5" t="str">
        <f>IF(B3090="","",股指期货基差分析!$L$11)</f>
        <v/>
      </c>
      <c r="I3090" s="9" t="str">
        <f>IF(B3090="","",股指期货基差分析!$D$11)</f>
        <v/>
      </c>
    </row>
    <row r="3091" spans="2:9" ht="15" customHeight="1" x14ac:dyDescent="0.2">
      <c r="B3091" s="8"/>
      <c r="C3091" s="6" t="str">
        <f>IF(B3091="","",[1]!s_dq_close(股指期货基差分析!$E$5,$B3091))</f>
        <v/>
      </c>
      <c r="D3091" s="6" t="str">
        <f>IF(B3091="","",[1]!s_dq_close(股指期货基差分析!$E$6,$B3091))</f>
        <v/>
      </c>
      <c r="E3091" s="6" t="e">
        <f ca="1">RANK(F3091,F:F)+COUNTIF(F$2:F3091,F3091)-1</f>
        <v>#VALUE!</v>
      </c>
      <c r="F3091" s="6" t="str">
        <f t="shared" si="49"/>
        <v/>
      </c>
      <c r="G3091" s="6" t="str">
        <f>IF(B3091="","",股指期货基差分析!$N$11)</f>
        <v/>
      </c>
      <c r="H3091" s="6" t="str">
        <f>IF(B3091="","",股指期货基差分析!$L$11)</f>
        <v/>
      </c>
      <c r="I3091" s="10" t="str">
        <f>IF(B3091="","",股指期货基差分析!$D$11)</f>
        <v/>
      </c>
    </row>
    <row r="3092" spans="2:9" ht="15" customHeight="1" x14ac:dyDescent="0.2">
      <c r="B3092" s="7"/>
      <c r="C3092" s="5" t="str">
        <f>IF(B3092="","",[1]!s_dq_close(股指期货基差分析!$E$5,$B3092))</f>
        <v/>
      </c>
      <c r="D3092" s="5" t="str">
        <f>IF(B3092="","",[1]!s_dq_close(股指期货基差分析!$E$6,$B3092))</f>
        <v/>
      </c>
      <c r="E3092" s="5" t="e">
        <f ca="1">RANK(F3092,F:F)+COUNTIF(F$2:F3092,F3092)-1</f>
        <v>#VALUE!</v>
      </c>
      <c r="F3092" s="5" t="str">
        <f t="shared" si="49"/>
        <v/>
      </c>
      <c r="G3092" s="5" t="str">
        <f>IF(B3092="","",股指期货基差分析!$N$11)</f>
        <v/>
      </c>
      <c r="H3092" s="5" t="str">
        <f>IF(B3092="","",股指期货基差分析!$L$11)</f>
        <v/>
      </c>
      <c r="I3092" s="9" t="str">
        <f>IF(B3092="","",股指期货基差分析!$D$11)</f>
        <v/>
      </c>
    </row>
    <row r="3093" spans="2:9" ht="15" customHeight="1" x14ac:dyDescent="0.2">
      <c r="B3093" s="8"/>
      <c r="C3093" s="6" t="str">
        <f>IF(B3093="","",[1]!s_dq_close(股指期货基差分析!$E$5,$B3093))</f>
        <v/>
      </c>
      <c r="D3093" s="6" t="str">
        <f>IF(B3093="","",[1]!s_dq_close(股指期货基差分析!$E$6,$B3093))</f>
        <v/>
      </c>
      <c r="E3093" s="6" t="e">
        <f ca="1">RANK(F3093,F:F)+COUNTIF(F$2:F3093,F3093)-1</f>
        <v>#VALUE!</v>
      </c>
      <c r="F3093" s="6" t="str">
        <f t="shared" si="49"/>
        <v/>
      </c>
      <c r="G3093" s="6" t="str">
        <f>IF(B3093="","",股指期货基差分析!$N$11)</f>
        <v/>
      </c>
      <c r="H3093" s="6" t="str">
        <f>IF(B3093="","",股指期货基差分析!$L$11)</f>
        <v/>
      </c>
      <c r="I3093" s="10" t="str">
        <f>IF(B3093="","",股指期货基差分析!$D$11)</f>
        <v/>
      </c>
    </row>
    <row r="3094" spans="2:9" ht="15" customHeight="1" x14ac:dyDescent="0.2">
      <c r="B3094" s="7"/>
      <c r="C3094" s="5" t="str">
        <f>IF(B3094="","",[1]!s_dq_close(股指期货基差分析!$E$5,$B3094))</f>
        <v/>
      </c>
      <c r="D3094" s="5" t="str">
        <f>IF(B3094="","",[1]!s_dq_close(股指期货基差分析!$E$6,$B3094))</f>
        <v/>
      </c>
      <c r="E3094" s="5" t="e">
        <f ca="1">RANK(F3094,F:F)+COUNTIF(F$2:F3094,F3094)-1</f>
        <v>#VALUE!</v>
      </c>
      <c r="F3094" s="5" t="str">
        <f t="shared" si="49"/>
        <v/>
      </c>
      <c r="G3094" s="5" t="str">
        <f>IF(B3094="","",股指期货基差分析!$N$11)</f>
        <v/>
      </c>
      <c r="H3094" s="5" t="str">
        <f>IF(B3094="","",股指期货基差分析!$L$11)</f>
        <v/>
      </c>
      <c r="I3094" s="9" t="str">
        <f>IF(B3094="","",股指期货基差分析!$D$11)</f>
        <v/>
      </c>
    </row>
    <row r="3095" spans="2:9" ht="15" customHeight="1" x14ac:dyDescent="0.2">
      <c r="B3095" s="8"/>
      <c r="C3095" s="6" t="str">
        <f>IF(B3095="","",[1]!s_dq_close(股指期货基差分析!$E$5,$B3095))</f>
        <v/>
      </c>
      <c r="D3095" s="6" t="str">
        <f>IF(B3095="","",[1]!s_dq_close(股指期货基差分析!$E$6,$B3095))</f>
        <v/>
      </c>
      <c r="E3095" s="6" t="e">
        <f ca="1">RANK(F3095,F:F)+COUNTIF(F$2:F3095,F3095)-1</f>
        <v>#VALUE!</v>
      </c>
      <c r="F3095" s="6" t="str">
        <f t="shared" si="49"/>
        <v/>
      </c>
      <c r="G3095" s="6" t="str">
        <f>IF(B3095="","",股指期货基差分析!$N$11)</f>
        <v/>
      </c>
      <c r="H3095" s="6" t="str">
        <f>IF(B3095="","",股指期货基差分析!$L$11)</f>
        <v/>
      </c>
      <c r="I3095" s="10" t="str">
        <f>IF(B3095="","",股指期货基差分析!$D$11)</f>
        <v/>
      </c>
    </row>
    <row r="3096" spans="2:9" ht="15" customHeight="1" x14ac:dyDescent="0.2">
      <c r="B3096" s="7"/>
      <c r="C3096" s="5" t="str">
        <f>IF(B3096="","",[1]!s_dq_close(股指期货基差分析!$E$5,$B3096))</f>
        <v/>
      </c>
      <c r="D3096" s="5" t="str">
        <f>IF(B3096="","",[1]!s_dq_close(股指期货基差分析!$E$6,$B3096))</f>
        <v/>
      </c>
      <c r="E3096" s="5" t="e">
        <f ca="1">RANK(F3096,F:F)+COUNTIF(F$2:F3096,F3096)-1</f>
        <v>#VALUE!</v>
      </c>
      <c r="F3096" s="5" t="str">
        <f t="shared" si="49"/>
        <v/>
      </c>
      <c r="G3096" s="5" t="str">
        <f>IF(B3096="","",股指期货基差分析!$N$11)</f>
        <v/>
      </c>
      <c r="H3096" s="5" t="str">
        <f>IF(B3096="","",股指期货基差分析!$L$11)</f>
        <v/>
      </c>
      <c r="I3096" s="9" t="str">
        <f>IF(B3096="","",股指期货基差分析!$D$11)</f>
        <v/>
      </c>
    </row>
    <row r="3097" spans="2:9" ht="15" customHeight="1" x14ac:dyDescent="0.2">
      <c r="B3097" s="8"/>
      <c r="C3097" s="6" t="str">
        <f>IF(B3097="","",[1]!s_dq_close(股指期货基差分析!$E$5,$B3097))</f>
        <v/>
      </c>
      <c r="D3097" s="6" t="str">
        <f>IF(B3097="","",[1]!s_dq_close(股指期货基差分析!$E$6,$B3097))</f>
        <v/>
      </c>
      <c r="E3097" s="6" t="e">
        <f ca="1">RANK(F3097,F:F)+COUNTIF(F$2:F3097,F3097)-1</f>
        <v>#VALUE!</v>
      </c>
      <c r="F3097" s="6" t="str">
        <f t="shared" si="49"/>
        <v/>
      </c>
      <c r="G3097" s="6" t="str">
        <f>IF(B3097="","",股指期货基差分析!$N$11)</f>
        <v/>
      </c>
      <c r="H3097" s="6" t="str">
        <f>IF(B3097="","",股指期货基差分析!$L$11)</f>
        <v/>
      </c>
      <c r="I3097" s="10" t="str">
        <f>IF(B3097="","",股指期货基差分析!$D$11)</f>
        <v/>
      </c>
    </row>
    <row r="3098" spans="2:9" ht="15" customHeight="1" x14ac:dyDescent="0.2">
      <c r="B3098" s="7"/>
      <c r="C3098" s="5" t="str">
        <f>IF(B3098="","",[1]!s_dq_close(股指期货基差分析!$E$5,$B3098))</f>
        <v/>
      </c>
      <c r="D3098" s="5" t="str">
        <f>IF(B3098="","",[1]!s_dq_close(股指期货基差分析!$E$6,$B3098))</f>
        <v/>
      </c>
      <c r="E3098" s="5" t="e">
        <f ca="1">RANK(F3098,F:F)+COUNTIF(F$2:F3098,F3098)-1</f>
        <v>#VALUE!</v>
      </c>
      <c r="F3098" s="5" t="str">
        <f t="shared" si="49"/>
        <v/>
      </c>
      <c r="G3098" s="5" t="str">
        <f>IF(B3098="","",股指期货基差分析!$N$11)</f>
        <v/>
      </c>
      <c r="H3098" s="5" t="str">
        <f>IF(B3098="","",股指期货基差分析!$L$11)</f>
        <v/>
      </c>
      <c r="I3098" s="9" t="str">
        <f>IF(B3098="","",股指期货基差分析!$D$11)</f>
        <v/>
      </c>
    </row>
    <row r="3099" spans="2:9" ht="15" customHeight="1" x14ac:dyDescent="0.2">
      <c r="B3099" s="8"/>
      <c r="C3099" s="6" t="str">
        <f>IF(B3099="","",[1]!s_dq_close(股指期货基差分析!$E$5,$B3099))</f>
        <v/>
      </c>
      <c r="D3099" s="6" t="str">
        <f>IF(B3099="","",[1]!s_dq_close(股指期货基差分析!$E$6,$B3099))</f>
        <v/>
      </c>
      <c r="E3099" s="6" t="e">
        <f ca="1">RANK(F3099,F:F)+COUNTIF(F$2:F3099,F3099)-1</f>
        <v>#VALUE!</v>
      </c>
      <c r="F3099" s="6" t="str">
        <f t="shared" si="49"/>
        <v/>
      </c>
      <c r="G3099" s="6" t="str">
        <f>IF(B3099="","",股指期货基差分析!$N$11)</f>
        <v/>
      </c>
      <c r="H3099" s="6" t="str">
        <f>IF(B3099="","",股指期货基差分析!$L$11)</f>
        <v/>
      </c>
      <c r="I3099" s="10" t="str">
        <f>IF(B3099="","",股指期货基差分析!$D$11)</f>
        <v/>
      </c>
    </row>
    <row r="3100" spans="2:9" ht="15" customHeight="1" x14ac:dyDescent="0.2">
      <c r="B3100" s="7"/>
      <c r="C3100" s="5" t="str">
        <f>IF(B3100="","",[1]!s_dq_close(股指期货基差分析!$E$5,$B3100))</f>
        <v/>
      </c>
      <c r="D3100" s="5" t="str">
        <f>IF(B3100="","",[1]!s_dq_close(股指期货基差分析!$E$6,$B3100))</f>
        <v/>
      </c>
      <c r="E3100" s="5" t="e">
        <f ca="1">RANK(F3100,F:F)+COUNTIF(F$2:F3100,F3100)-1</f>
        <v>#VALUE!</v>
      </c>
      <c r="F3100" s="5" t="str">
        <f t="shared" si="49"/>
        <v/>
      </c>
      <c r="G3100" s="5" t="str">
        <f>IF(B3100="","",股指期货基差分析!$N$11)</f>
        <v/>
      </c>
      <c r="H3100" s="5" t="str">
        <f>IF(B3100="","",股指期货基差分析!$L$11)</f>
        <v/>
      </c>
      <c r="I3100" s="9" t="str">
        <f>IF(B3100="","",股指期货基差分析!$D$11)</f>
        <v/>
      </c>
    </row>
    <row r="3101" spans="2:9" ht="15" customHeight="1" x14ac:dyDescent="0.2">
      <c r="B3101" s="8"/>
      <c r="C3101" s="6" t="str">
        <f>IF(B3101="","",[1]!s_dq_close(股指期货基差分析!$E$5,$B3101))</f>
        <v/>
      </c>
      <c r="D3101" s="6" t="str">
        <f>IF(B3101="","",[1]!s_dq_close(股指期货基差分析!$E$6,$B3101))</f>
        <v/>
      </c>
      <c r="E3101" s="6" t="e">
        <f ca="1">RANK(F3101,F:F)+COUNTIF(F$2:F3101,F3101)-1</f>
        <v>#VALUE!</v>
      </c>
      <c r="F3101" s="6" t="str">
        <f t="shared" si="49"/>
        <v/>
      </c>
      <c r="G3101" s="6" t="str">
        <f>IF(B3101="","",股指期货基差分析!$N$11)</f>
        <v/>
      </c>
      <c r="H3101" s="6" t="str">
        <f>IF(B3101="","",股指期货基差分析!$L$11)</f>
        <v/>
      </c>
      <c r="I3101" s="10" t="str">
        <f>IF(B3101="","",股指期货基差分析!$D$11)</f>
        <v/>
      </c>
    </row>
    <row r="3102" spans="2:9" ht="15" customHeight="1" x14ac:dyDescent="0.2">
      <c r="B3102" s="7"/>
      <c r="C3102" s="5" t="str">
        <f>IF(B3102="","",[1]!s_dq_close(股指期货基差分析!$E$5,$B3102))</f>
        <v/>
      </c>
      <c r="D3102" s="5" t="str">
        <f>IF(B3102="","",[1]!s_dq_close(股指期货基差分析!$E$6,$B3102))</f>
        <v/>
      </c>
      <c r="E3102" s="5" t="e">
        <f ca="1">RANK(F3102,F:F)+COUNTIF(F$2:F3102,F3102)-1</f>
        <v>#VALUE!</v>
      </c>
      <c r="F3102" s="5" t="str">
        <f t="shared" si="49"/>
        <v/>
      </c>
      <c r="G3102" s="5" t="str">
        <f>IF(B3102="","",股指期货基差分析!$N$11)</f>
        <v/>
      </c>
      <c r="H3102" s="5" t="str">
        <f>IF(B3102="","",股指期货基差分析!$L$11)</f>
        <v/>
      </c>
      <c r="I3102" s="9" t="str">
        <f>IF(B3102="","",股指期货基差分析!$D$11)</f>
        <v/>
      </c>
    </row>
    <row r="3103" spans="2:9" ht="15" customHeight="1" x14ac:dyDescent="0.2">
      <c r="B3103" s="8"/>
      <c r="C3103" s="6" t="str">
        <f>IF(B3103="","",[1]!s_dq_close(股指期货基差分析!$E$5,$B3103))</f>
        <v/>
      </c>
      <c r="D3103" s="6" t="str">
        <f>IF(B3103="","",[1]!s_dq_close(股指期货基差分析!$E$6,$B3103))</f>
        <v/>
      </c>
      <c r="E3103" s="6" t="e">
        <f ca="1">RANK(F3103,F:F)+COUNTIF(F$2:F3103,F3103)-1</f>
        <v>#VALUE!</v>
      </c>
      <c r="F3103" s="6" t="str">
        <f t="shared" si="49"/>
        <v/>
      </c>
      <c r="G3103" s="6" t="str">
        <f>IF(B3103="","",股指期货基差分析!$N$11)</f>
        <v/>
      </c>
      <c r="H3103" s="6" t="str">
        <f>IF(B3103="","",股指期货基差分析!$L$11)</f>
        <v/>
      </c>
      <c r="I3103" s="10" t="str">
        <f>IF(B3103="","",股指期货基差分析!$D$11)</f>
        <v/>
      </c>
    </row>
    <row r="3104" spans="2:9" ht="15" customHeight="1" x14ac:dyDescent="0.2">
      <c r="B3104" s="7"/>
      <c r="C3104" s="5" t="str">
        <f>IF(B3104="","",[1]!s_dq_close(股指期货基差分析!$E$5,$B3104))</f>
        <v/>
      </c>
      <c r="D3104" s="5" t="str">
        <f>IF(B3104="","",[1]!s_dq_close(股指期货基差分析!$E$6,$B3104))</f>
        <v/>
      </c>
      <c r="E3104" s="5" t="e">
        <f ca="1">RANK(F3104,F:F)+COUNTIF(F$2:F3104,F3104)-1</f>
        <v>#VALUE!</v>
      </c>
      <c r="F3104" s="5" t="str">
        <f t="shared" si="49"/>
        <v/>
      </c>
      <c r="G3104" s="5" t="str">
        <f>IF(B3104="","",股指期货基差分析!$N$11)</f>
        <v/>
      </c>
      <c r="H3104" s="5" t="str">
        <f>IF(B3104="","",股指期货基差分析!$L$11)</f>
        <v/>
      </c>
      <c r="I3104" s="9" t="str">
        <f>IF(B3104="","",股指期货基差分析!$D$11)</f>
        <v/>
      </c>
    </row>
    <row r="3105" spans="2:9" ht="15" customHeight="1" x14ac:dyDescent="0.2">
      <c r="B3105" s="8"/>
      <c r="C3105" s="6" t="str">
        <f>IF(B3105="","",[1]!s_dq_close(股指期货基差分析!$E$5,$B3105))</f>
        <v/>
      </c>
      <c r="D3105" s="6" t="str">
        <f>IF(B3105="","",[1]!s_dq_close(股指期货基差分析!$E$6,$B3105))</f>
        <v/>
      </c>
      <c r="E3105" s="6" t="e">
        <f ca="1">RANK(F3105,F:F)+COUNTIF(F$2:F3105,F3105)-1</f>
        <v>#VALUE!</v>
      </c>
      <c r="F3105" s="6" t="str">
        <f t="shared" si="49"/>
        <v/>
      </c>
      <c r="G3105" s="6" t="str">
        <f>IF(B3105="","",股指期货基差分析!$N$11)</f>
        <v/>
      </c>
      <c r="H3105" s="6" t="str">
        <f>IF(B3105="","",股指期货基差分析!$L$11)</f>
        <v/>
      </c>
      <c r="I3105" s="10" t="str">
        <f>IF(B3105="","",股指期货基差分析!$D$11)</f>
        <v/>
      </c>
    </row>
    <row r="3106" spans="2:9" ht="15" customHeight="1" x14ac:dyDescent="0.2">
      <c r="B3106" s="7"/>
      <c r="C3106" s="5" t="str">
        <f>IF(B3106="","",[1]!s_dq_close(股指期货基差分析!$E$5,$B3106))</f>
        <v/>
      </c>
      <c r="D3106" s="5" t="str">
        <f>IF(B3106="","",[1]!s_dq_close(股指期货基差分析!$E$6,$B3106))</f>
        <v/>
      </c>
      <c r="E3106" s="5" t="e">
        <f ca="1">RANK(F3106,F:F)+COUNTIF(F$2:F3106,F3106)-1</f>
        <v>#VALUE!</v>
      </c>
      <c r="F3106" s="5" t="str">
        <f t="shared" si="49"/>
        <v/>
      </c>
      <c r="G3106" s="5" t="str">
        <f>IF(B3106="","",股指期货基差分析!$N$11)</f>
        <v/>
      </c>
      <c r="H3106" s="5" t="str">
        <f>IF(B3106="","",股指期货基差分析!$L$11)</f>
        <v/>
      </c>
      <c r="I3106" s="9" t="str">
        <f>IF(B3106="","",股指期货基差分析!$D$11)</f>
        <v/>
      </c>
    </row>
    <row r="3107" spans="2:9" ht="15" customHeight="1" x14ac:dyDescent="0.2">
      <c r="B3107" s="8"/>
      <c r="C3107" s="6" t="str">
        <f>IF(B3107="","",[1]!s_dq_close(股指期货基差分析!$E$5,$B3107))</f>
        <v/>
      </c>
      <c r="D3107" s="6" t="str">
        <f>IF(B3107="","",[1]!s_dq_close(股指期货基差分析!$E$6,$B3107))</f>
        <v/>
      </c>
      <c r="E3107" s="6" t="e">
        <f ca="1">RANK(F3107,F:F)+COUNTIF(F$2:F3107,F3107)-1</f>
        <v>#VALUE!</v>
      </c>
      <c r="F3107" s="6" t="str">
        <f t="shared" si="49"/>
        <v/>
      </c>
      <c r="G3107" s="6" t="str">
        <f>IF(B3107="","",股指期货基差分析!$N$11)</f>
        <v/>
      </c>
      <c r="H3107" s="6" t="str">
        <f>IF(B3107="","",股指期货基差分析!$L$11)</f>
        <v/>
      </c>
      <c r="I3107" s="10" t="str">
        <f>IF(B3107="","",股指期货基差分析!$D$11)</f>
        <v/>
      </c>
    </row>
    <row r="3108" spans="2:9" ht="15" customHeight="1" x14ac:dyDescent="0.2">
      <c r="B3108" s="7"/>
      <c r="C3108" s="5" t="str">
        <f>IF(B3108="","",[1]!s_dq_close(股指期货基差分析!$E$5,$B3108))</f>
        <v/>
      </c>
      <c r="D3108" s="5" t="str">
        <f>IF(B3108="","",[1]!s_dq_close(股指期货基差分析!$E$6,$B3108))</f>
        <v/>
      </c>
      <c r="E3108" s="5" t="e">
        <f ca="1">RANK(F3108,F:F)+COUNTIF(F$2:F3108,F3108)-1</f>
        <v>#VALUE!</v>
      </c>
      <c r="F3108" s="5" t="str">
        <f t="shared" si="49"/>
        <v/>
      </c>
      <c r="G3108" s="5" t="str">
        <f>IF(B3108="","",股指期货基差分析!$N$11)</f>
        <v/>
      </c>
      <c r="H3108" s="5" t="str">
        <f>IF(B3108="","",股指期货基差分析!$L$11)</f>
        <v/>
      </c>
      <c r="I3108" s="9" t="str">
        <f>IF(B3108="","",股指期货基差分析!$D$11)</f>
        <v/>
      </c>
    </row>
    <row r="3109" spans="2:9" ht="15" customHeight="1" x14ac:dyDescent="0.2">
      <c r="B3109" s="8"/>
      <c r="C3109" s="6" t="str">
        <f>IF(B3109="","",[1]!s_dq_close(股指期货基差分析!$E$5,$B3109))</f>
        <v/>
      </c>
      <c r="D3109" s="6" t="str">
        <f>IF(B3109="","",[1]!s_dq_close(股指期货基差分析!$E$6,$B3109))</f>
        <v/>
      </c>
      <c r="E3109" s="6" t="e">
        <f ca="1">RANK(F3109,F:F)+COUNTIF(F$2:F3109,F3109)-1</f>
        <v>#VALUE!</v>
      </c>
      <c r="F3109" s="6" t="str">
        <f t="shared" si="49"/>
        <v/>
      </c>
      <c r="G3109" s="6" t="str">
        <f>IF(B3109="","",股指期货基差分析!$N$11)</f>
        <v/>
      </c>
      <c r="H3109" s="6" t="str">
        <f>IF(B3109="","",股指期货基差分析!$L$11)</f>
        <v/>
      </c>
      <c r="I3109" s="10" t="str">
        <f>IF(B3109="","",股指期货基差分析!$D$11)</f>
        <v/>
      </c>
    </row>
    <row r="3110" spans="2:9" ht="15" customHeight="1" x14ac:dyDescent="0.2">
      <c r="B3110" s="7"/>
      <c r="C3110" s="5" t="str">
        <f>IF(B3110="","",[1]!s_dq_close(股指期货基差分析!$E$5,$B3110))</f>
        <v/>
      </c>
      <c r="D3110" s="5" t="str">
        <f>IF(B3110="","",[1]!s_dq_close(股指期货基差分析!$E$6,$B3110))</f>
        <v/>
      </c>
      <c r="E3110" s="5" t="e">
        <f ca="1">RANK(F3110,F:F)+COUNTIF(F$2:F3110,F3110)-1</f>
        <v>#VALUE!</v>
      </c>
      <c r="F3110" s="5" t="str">
        <f t="shared" si="49"/>
        <v/>
      </c>
      <c r="G3110" s="5" t="str">
        <f>IF(B3110="","",股指期货基差分析!$N$11)</f>
        <v/>
      </c>
      <c r="H3110" s="5" t="str">
        <f>IF(B3110="","",股指期货基差分析!$L$11)</f>
        <v/>
      </c>
      <c r="I3110" s="9" t="str">
        <f>IF(B3110="","",股指期货基差分析!$D$11)</f>
        <v/>
      </c>
    </row>
    <row r="3111" spans="2:9" ht="15" customHeight="1" x14ac:dyDescent="0.2">
      <c r="B3111" s="8"/>
      <c r="C3111" s="6" t="str">
        <f>IF(B3111="","",[1]!s_dq_close(股指期货基差分析!$E$5,$B3111))</f>
        <v/>
      </c>
      <c r="D3111" s="6" t="str">
        <f>IF(B3111="","",[1]!s_dq_close(股指期货基差分析!$E$6,$B3111))</f>
        <v/>
      </c>
      <c r="E3111" s="6" t="e">
        <f ca="1">RANK(F3111,F:F)+COUNTIF(F$2:F3111,F3111)-1</f>
        <v>#VALUE!</v>
      </c>
      <c r="F3111" s="6" t="str">
        <f t="shared" si="49"/>
        <v/>
      </c>
      <c r="G3111" s="6" t="str">
        <f>IF(B3111="","",股指期货基差分析!$N$11)</f>
        <v/>
      </c>
      <c r="H3111" s="6" t="str">
        <f>IF(B3111="","",股指期货基差分析!$L$11)</f>
        <v/>
      </c>
      <c r="I3111" s="10" t="str">
        <f>IF(B3111="","",股指期货基差分析!$D$11)</f>
        <v/>
      </c>
    </row>
    <row r="3112" spans="2:9" ht="15" customHeight="1" x14ac:dyDescent="0.2">
      <c r="B3112" s="7"/>
      <c r="C3112" s="5" t="str">
        <f>IF(B3112="","",[1]!s_dq_close(股指期货基差分析!$E$5,$B3112))</f>
        <v/>
      </c>
      <c r="D3112" s="5" t="str">
        <f>IF(B3112="","",[1]!s_dq_close(股指期货基差分析!$E$6,$B3112))</f>
        <v/>
      </c>
      <c r="E3112" s="5" t="e">
        <f ca="1">RANK(F3112,F:F)+COUNTIF(F$2:F3112,F3112)-1</f>
        <v>#VALUE!</v>
      </c>
      <c r="F3112" s="5" t="str">
        <f t="shared" si="49"/>
        <v/>
      </c>
      <c r="G3112" s="5" t="str">
        <f>IF(B3112="","",股指期货基差分析!$N$11)</f>
        <v/>
      </c>
      <c r="H3112" s="5" t="str">
        <f>IF(B3112="","",股指期货基差分析!$L$11)</f>
        <v/>
      </c>
      <c r="I3112" s="9" t="str">
        <f>IF(B3112="","",股指期货基差分析!$D$11)</f>
        <v/>
      </c>
    </row>
    <row r="3113" spans="2:9" ht="15" customHeight="1" x14ac:dyDescent="0.2">
      <c r="B3113" s="8"/>
      <c r="C3113" s="6" t="str">
        <f>IF(B3113="","",[1]!s_dq_close(股指期货基差分析!$E$5,$B3113))</f>
        <v/>
      </c>
      <c r="D3113" s="6" t="str">
        <f>IF(B3113="","",[1]!s_dq_close(股指期货基差分析!$E$6,$B3113))</f>
        <v/>
      </c>
      <c r="E3113" s="6" t="e">
        <f ca="1">RANK(F3113,F:F)+COUNTIF(F$2:F3113,F3113)-1</f>
        <v>#VALUE!</v>
      </c>
      <c r="F3113" s="6" t="str">
        <f t="shared" si="49"/>
        <v/>
      </c>
      <c r="G3113" s="6" t="str">
        <f>IF(B3113="","",股指期货基差分析!$N$11)</f>
        <v/>
      </c>
      <c r="H3113" s="6" t="str">
        <f>IF(B3113="","",股指期货基差分析!$L$11)</f>
        <v/>
      </c>
      <c r="I3113" s="10" t="str">
        <f>IF(B3113="","",股指期货基差分析!$D$11)</f>
        <v/>
      </c>
    </row>
    <row r="3114" spans="2:9" ht="15" customHeight="1" x14ac:dyDescent="0.2">
      <c r="B3114" s="7"/>
      <c r="C3114" s="5" t="str">
        <f>IF(B3114="","",[1]!s_dq_close(股指期货基差分析!$E$5,$B3114))</f>
        <v/>
      </c>
      <c r="D3114" s="5" t="str">
        <f>IF(B3114="","",[1]!s_dq_close(股指期货基差分析!$E$6,$B3114))</f>
        <v/>
      </c>
      <c r="E3114" s="5" t="e">
        <f ca="1">RANK(F3114,F:F)+COUNTIF(F$2:F3114,F3114)-1</f>
        <v>#VALUE!</v>
      </c>
      <c r="F3114" s="5" t="str">
        <f t="shared" si="49"/>
        <v/>
      </c>
      <c r="G3114" s="5" t="str">
        <f>IF(B3114="","",股指期货基差分析!$N$11)</f>
        <v/>
      </c>
      <c r="H3114" s="5" t="str">
        <f>IF(B3114="","",股指期货基差分析!$L$11)</f>
        <v/>
      </c>
      <c r="I3114" s="9" t="str">
        <f>IF(B3114="","",股指期货基差分析!$D$11)</f>
        <v/>
      </c>
    </row>
    <row r="3115" spans="2:9" ht="15" customHeight="1" x14ac:dyDescent="0.2">
      <c r="B3115" s="8"/>
      <c r="C3115" s="6" t="str">
        <f>IF(B3115="","",[1]!s_dq_close(股指期货基差分析!$E$5,$B3115))</f>
        <v/>
      </c>
      <c r="D3115" s="6" t="str">
        <f>IF(B3115="","",[1]!s_dq_close(股指期货基差分析!$E$6,$B3115))</f>
        <v/>
      </c>
      <c r="E3115" s="6" t="e">
        <f ca="1">RANK(F3115,F:F)+COUNTIF(F$2:F3115,F3115)-1</f>
        <v>#VALUE!</v>
      </c>
      <c r="F3115" s="6" t="str">
        <f t="shared" si="49"/>
        <v/>
      </c>
      <c r="G3115" s="6" t="str">
        <f>IF(B3115="","",股指期货基差分析!$N$11)</f>
        <v/>
      </c>
      <c r="H3115" s="6" t="str">
        <f>IF(B3115="","",股指期货基差分析!$L$11)</f>
        <v/>
      </c>
      <c r="I3115" s="10" t="str">
        <f>IF(B3115="","",股指期货基差分析!$D$11)</f>
        <v/>
      </c>
    </row>
    <row r="3116" spans="2:9" ht="15" customHeight="1" x14ac:dyDescent="0.2">
      <c r="B3116" s="7"/>
      <c r="C3116" s="5" t="str">
        <f>IF(B3116="","",[1]!s_dq_close(股指期货基差分析!$E$5,$B3116))</f>
        <v/>
      </c>
      <c r="D3116" s="5" t="str">
        <f>IF(B3116="","",[1]!s_dq_close(股指期货基差分析!$E$6,$B3116))</f>
        <v/>
      </c>
      <c r="E3116" s="5" t="e">
        <f ca="1">RANK(F3116,F:F)+COUNTIF(F$2:F3116,F3116)-1</f>
        <v>#VALUE!</v>
      </c>
      <c r="F3116" s="5" t="str">
        <f t="shared" si="49"/>
        <v/>
      </c>
      <c r="G3116" s="5" t="str">
        <f>IF(B3116="","",股指期货基差分析!$N$11)</f>
        <v/>
      </c>
      <c r="H3116" s="5" t="str">
        <f>IF(B3116="","",股指期货基差分析!$L$11)</f>
        <v/>
      </c>
      <c r="I3116" s="9" t="str">
        <f>IF(B3116="","",股指期货基差分析!$D$11)</f>
        <v/>
      </c>
    </row>
    <row r="3117" spans="2:9" ht="15" customHeight="1" x14ac:dyDescent="0.2">
      <c r="B3117" s="8"/>
      <c r="C3117" s="6" t="str">
        <f>IF(B3117="","",[1]!s_dq_close(股指期货基差分析!$E$5,$B3117))</f>
        <v/>
      </c>
      <c r="D3117" s="6" t="str">
        <f>IF(B3117="","",[1]!s_dq_close(股指期货基差分析!$E$6,$B3117))</f>
        <v/>
      </c>
      <c r="E3117" s="6" t="e">
        <f ca="1">RANK(F3117,F:F)+COUNTIF(F$2:F3117,F3117)-1</f>
        <v>#VALUE!</v>
      </c>
      <c r="F3117" s="6" t="str">
        <f t="shared" si="49"/>
        <v/>
      </c>
      <c r="G3117" s="6" t="str">
        <f>IF(B3117="","",股指期货基差分析!$N$11)</f>
        <v/>
      </c>
      <c r="H3117" s="6" t="str">
        <f>IF(B3117="","",股指期货基差分析!$L$11)</f>
        <v/>
      </c>
      <c r="I3117" s="10" t="str">
        <f>IF(B3117="","",股指期货基差分析!$D$11)</f>
        <v/>
      </c>
    </row>
    <row r="3118" spans="2:9" ht="15" customHeight="1" x14ac:dyDescent="0.2">
      <c r="B3118" s="7"/>
      <c r="C3118" s="5" t="str">
        <f>IF(B3118="","",[1]!s_dq_close(股指期货基差分析!$E$5,$B3118))</f>
        <v/>
      </c>
      <c r="D3118" s="5" t="str">
        <f>IF(B3118="","",[1]!s_dq_close(股指期货基差分析!$E$6,$B3118))</f>
        <v/>
      </c>
      <c r="E3118" s="5" t="e">
        <f ca="1">RANK(F3118,F:F)+COUNTIF(F$2:F3118,F3118)-1</f>
        <v>#VALUE!</v>
      </c>
      <c r="F3118" s="5" t="str">
        <f t="shared" si="49"/>
        <v/>
      </c>
      <c r="G3118" s="5" t="str">
        <f>IF(B3118="","",股指期货基差分析!$N$11)</f>
        <v/>
      </c>
      <c r="H3118" s="5" t="str">
        <f>IF(B3118="","",股指期货基差分析!$L$11)</f>
        <v/>
      </c>
      <c r="I3118" s="9" t="str">
        <f>IF(B3118="","",股指期货基差分析!$D$11)</f>
        <v/>
      </c>
    </row>
    <row r="3119" spans="2:9" ht="15" customHeight="1" x14ac:dyDescent="0.2">
      <c r="B3119" s="8"/>
      <c r="C3119" s="6" t="str">
        <f>IF(B3119="","",[1]!s_dq_close(股指期货基差分析!$E$5,$B3119))</f>
        <v/>
      </c>
      <c r="D3119" s="6" t="str">
        <f>IF(B3119="","",[1]!s_dq_close(股指期货基差分析!$E$6,$B3119))</f>
        <v/>
      </c>
      <c r="E3119" s="6" t="e">
        <f ca="1">RANK(F3119,F:F)+COUNTIF(F$2:F3119,F3119)-1</f>
        <v>#VALUE!</v>
      </c>
      <c r="F3119" s="6" t="str">
        <f t="shared" si="49"/>
        <v/>
      </c>
      <c r="G3119" s="6" t="str">
        <f>IF(B3119="","",股指期货基差分析!$N$11)</f>
        <v/>
      </c>
      <c r="H3119" s="6" t="str">
        <f>IF(B3119="","",股指期货基差分析!$L$11)</f>
        <v/>
      </c>
      <c r="I3119" s="10" t="str">
        <f>IF(B3119="","",股指期货基差分析!$D$11)</f>
        <v/>
      </c>
    </row>
    <row r="3120" spans="2:9" ht="15" customHeight="1" x14ac:dyDescent="0.2">
      <c r="B3120" s="7"/>
      <c r="C3120" s="5" t="str">
        <f>IF(B3120="","",[1]!s_dq_close(股指期货基差分析!$E$5,$B3120))</f>
        <v/>
      </c>
      <c r="D3120" s="5" t="str">
        <f>IF(B3120="","",[1]!s_dq_close(股指期货基差分析!$E$6,$B3120))</f>
        <v/>
      </c>
      <c r="E3120" s="5" t="e">
        <f ca="1">RANK(F3120,F:F)+COUNTIF(F$2:F3120,F3120)-1</f>
        <v>#VALUE!</v>
      </c>
      <c r="F3120" s="5" t="str">
        <f t="shared" si="49"/>
        <v/>
      </c>
      <c r="G3120" s="5" t="str">
        <f>IF(B3120="","",股指期货基差分析!$N$11)</f>
        <v/>
      </c>
      <c r="H3120" s="5" t="str">
        <f>IF(B3120="","",股指期货基差分析!$L$11)</f>
        <v/>
      </c>
      <c r="I3120" s="9" t="str">
        <f>IF(B3120="","",股指期货基差分析!$D$11)</f>
        <v/>
      </c>
    </row>
    <row r="3121" spans="2:9" ht="15" customHeight="1" x14ac:dyDescent="0.2">
      <c r="B3121" s="8"/>
      <c r="C3121" s="6" t="str">
        <f>IF(B3121="","",[1]!s_dq_close(股指期货基差分析!$E$5,$B3121))</f>
        <v/>
      </c>
      <c r="D3121" s="6" t="str">
        <f>IF(B3121="","",[1]!s_dq_close(股指期货基差分析!$E$6,$B3121))</f>
        <v/>
      </c>
      <c r="E3121" s="6" t="e">
        <f ca="1">RANK(F3121,F:F)+COUNTIF(F$2:F3121,F3121)-1</f>
        <v>#VALUE!</v>
      </c>
      <c r="F3121" s="6" t="str">
        <f t="shared" si="49"/>
        <v/>
      </c>
      <c r="G3121" s="6" t="str">
        <f>IF(B3121="","",股指期货基差分析!$N$11)</f>
        <v/>
      </c>
      <c r="H3121" s="6" t="str">
        <f>IF(B3121="","",股指期货基差分析!$L$11)</f>
        <v/>
      </c>
      <c r="I3121" s="10" t="str">
        <f>IF(B3121="","",股指期货基差分析!$D$11)</f>
        <v/>
      </c>
    </row>
    <row r="3122" spans="2:9" ht="15" customHeight="1" x14ac:dyDescent="0.2">
      <c r="B3122" s="7"/>
      <c r="C3122" s="5" t="str">
        <f>IF(B3122="","",[1]!s_dq_close(股指期货基差分析!$E$5,$B3122))</f>
        <v/>
      </c>
      <c r="D3122" s="5" t="str">
        <f>IF(B3122="","",[1]!s_dq_close(股指期货基差分析!$E$6,$B3122))</f>
        <v/>
      </c>
      <c r="E3122" s="5" t="e">
        <f ca="1">RANK(F3122,F:F)+COUNTIF(F$2:F3122,F3122)-1</f>
        <v>#VALUE!</v>
      </c>
      <c r="F3122" s="5" t="str">
        <f t="shared" si="49"/>
        <v/>
      </c>
      <c r="G3122" s="5" t="str">
        <f>IF(B3122="","",股指期货基差分析!$N$11)</f>
        <v/>
      </c>
      <c r="H3122" s="5" t="str">
        <f>IF(B3122="","",股指期货基差分析!$L$11)</f>
        <v/>
      </c>
      <c r="I3122" s="9" t="str">
        <f>IF(B3122="","",股指期货基差分析!$D$11)</f>
        <v/>
      </c>
    </row>
    <row r="3123" spans="2:9" ht="15" customHeight="1" x14ac:dyDescent="0.2">
      <c r="B3123" s="8"/>
      <c r="C3123" s="6" t="str">
        <f>IF(B3123="","",[1]!s_dq_close(股指期货基差分析!$E$5,$B3123))</f>
        <v/>
      </c>
      <c r="D3123" s="6" t="str">
        <f>IF(B3123="","",[1]!s_dq_close(股指期货基差分析!$E$6,$B3123))</f>
        <v/>
      </c>
      <c r="E3123" s="6" t="e">
        <f ca="1">RANK(F3123,F:F)+COUNTIF(F$2:F3123,F3123)-1</f>
        <v>#VALUE!</v>
      </c>
      <c r="F3123" s="6" t="str">
        <f t="shared" si="49"/>
        <v/>
      </c>
      <c r="G3123" s="6" t="str">
        <f>IF(B3123="","",股指期货基差分析!$N$11)</f>
        <v/>
      </c>
      <c r="H3123" s="6" t="str">
        <f>IF(B3123="","",股指期货基差分析!$L$11)</f>
        <v/>
      </c>
      <c r="I3123" s="10" t="str">
        <f>IF(B3123="","",股指期货基差分析!$D$11)</f>
        <v/>
      </c>
    </row>
    <row r="3124" spans="2:9" ht="15" customHeight="1" x14ac:dyDescent="0.2">
      <c r="B3124" s="7"/>
      <c r="C3124" s="5" t="str">
        <f>IF(B3124="","",[1]!s_dq_close(股指期货基差分析!$E$5,$B3124))</f>
        <v/>
      </c>
      <c r="D3124" s="5" t="str">
        <f>IF(B3124="","",[1]!s_dq_close(股指期货基差分析!$E$6,$B3124))</f>
        <v/>
      </c>
      <c r="E3124" s="5" t="e">
        <f ca="1">RANK(F3124,F:F)+COUNTIF(F$2:F3124,F3124)-1</f>
        <v>#VALUE!</v>
      </c>
      <c r="F3124" s="5" t="str">
        <f t="shared" si="49"/>
        <v/>
      </c>
      <c r="G3124" s="5" t="str">
        <f>IF(B3124="","",股指期货基差分析!$N$11)</f>
        <v/>
      </c>
      <c r="H3124" s="5" t="str">
        <f>IF(B3124="","",股指期货基差分析!$L$11)</f>
        <v/>
      </c>
      <c r="I3124" s="9" t="str">
        <f>IF(B3124="","",股指期货基差分析!$D$11)</f>
        <v/>
      </c>
    </row>
    <row r="3125" spans="2:9" ht="15" customHeight="1" x14ac:dyDescent="0.2">
      <c r="B3125" s="8"/>
      <c r="C3125" s="6" t="str">
        <f>IF(B3125="","",[1]!s_dq_close(股指期货基差分析!$E$5,$B3125))</f>
        <v/>
      </c>
      <c r="D3125" s="6" t="str">
        <f>IF(B3125="","",[1]!s_dq_close(股指期货基差分析!$E$6,$B3125))</f>
        <v/>
      </c>
      <c r="E3125" s="6" t="e">
        <f ca="1">RANK(F3125,F:F)+COUNTIF(F$2:F3125,F3125)-1</f>
        <v>#VALUE!</v>
      </c>
      <c r="F3125" s="6" t="str">
        <f t="shared" si="49"/>
        <v/>
      </c>
      <c r="G3125" s="6" t="str">
        <f>IF(B3125="","",股指期货基差分析!$N$11)</f>
        <v/>
      </c>
      <c r="H3125" s="6" t="str">
        <f>IF(B3125="","",股指期货基差分析!$L$11)</f>
        <v/>
      </c>
      <c r="I3125" s="10" t="str">
        <f>IF(B3125="","",股指期货基差分析!$D$11)</f>
        <v/>
      </c>
    </row>
    <row r="3126" spans="2:9" ht="15" customHeight="1" x14ac:dyDescent="0.2">
      <c r="B3126" s="7"/>
      <c r="C3126" s="5" t="str">
        <f>IF(B3126="","",[1]!s_dq_close(股指期货基差分析!$E$5,$B3126))</f>
        <v/>
      </c>
      <c r="D3126" s="5" t="str">
        <f>IF(B3126="","",[1]!s_dq_close(股指期货基差分析!$E$6,$B3126))</f>
        <v/>
      </c>
      <c r="E3126" s="5" t="e">
        <f ca="1">RANK(F3126,F:F)+COUNTIF(F$2:F3126,F3126)-1</f>
        <v>#VALUE!</v>
      </c>
      <c r="F3126" s="5" t="str">
        <f t="shared" si="49"/>
        <v/>
      </c>
      <c r="G3126" s="5" t="str">
        <f>IF(B3126="","",股指期货基差分析!$N$11)</f>
        <v/>
      </c>
      <c r="H3126" s="5" t="str">
        <f>IF(B3126="","",股指期货基差分析!$L$11)</f>
        <v/>
      </c>
      <c r="I3126" s="9" t="str">
        <f>IF(B3126="","",股指期货基差分析!$D$11)</f>
        <v/>
      </c>
    </row>
    <row r="3127" spans="2:9" ht="15" customHeight="1" x14ac:dyDescent="0.2">
      <c r="B3127" s="8"/>
      <c r="C3127" s="6" t="str">
        <f>IF(B3127="","",[1]!s_dq_close(股指期货基差分析!$E$5,$B3127))</f>
        <v/>
      </c>
      <c r="D3127" s="6" t="str">
        <f>IF(B3127="","",[1]!s_dq_close(股指期货基差分析!$E$6,$B3127))</f>
        <v/>
      </c>
      <c r="E3127" s="6" t="e">
        <f ca="1">RANK(F3127,F:F)+COUNTIF(F$2:F3127,F3127)-1</f>
        <v>#VALUE!</v>
      </c>
      <c r="F3127" s="6" t="str">
        <f t="shared" si="49"/>
        <v/>
      </c>
      <c r="G3127" s="6" t="str">
        <f>IF(B3127="","",股指期货基差分析!$N$11)</f>
        <v/>
      </c>
      <c r="H3127" s="6" t="str">
        <f>IF(B3127="","",股指期货基差分析!$L$11)</f>
        <v/>
      </c>
      <c r="I3127" s="10" t="str">
        <f>IF(B3127="","",股指期货基差分析!$D$11)</f>
        <v/>
      </c>
    </row>
    <row r="3128" spans="2:9" ht="15" customHeight="1" x14ac:dyDescent="0.2">
      <c r="B3128" s="7"/>
      <c r="C3128" s="5" t="str">
        <f>IF(B3128="","",[1]!s_dq_close(股指期货基差分析!$E$5,$B3128))</f>
        <v/>
      </c>
      <c r="D3128" s="5" t="str">
        <f>IF(B3128="","",[1]!s_dq_close(股指期货基差分析!$E$6,$B3128))</f>
        <v/>
      </c>
      <c r="E3128" s="5" t="e">
        <f ca="1">RANK(F3128,F:F)+COUNTIF(F$2:F3128,F3128)-1</f>
        <v>#VALUE!</v>
      </c>
      <c r="F3128" s="5" t="str">
        <f t="shared" si="49"/>
        <v/>
      </c>
      <c r="G3128" s="5" t="str">
        <f>IF(B3128="","",股指期货基差分析!$N$11)</f>
        <v/>
      </c>
      <c r="H3128" s="5" t="str">
        <f>IF(B3128="","",股指期货基差分析!$L$11)</f>
        <v/>
      </c>
      <c r="I3128" s="9" t="str">
        <f>IF(B3128="","",股指期货基差分析!$D$11)</f>
        <v/>
      </c>
    </row>
    <row r="3129" spans="2:9" ht="15" customHeight="1" x14ac:dyDescent="0.2">
      <c r="B3129" s="8"/>
      <c r="C3129" s="6" t="str">
        <f>IF(B3129="","",[1]!s_dq_close(股指期货基差分析!$E$5,$B3129))</f>
        <v/>
      </c>
      <c r="D3129" s="6" t="str">
        <f>IF(B3129="","",[1]!s_dq_close(股指期货基差分析!$E$6,$B3129))</f>
        <v/>
      </c>
      <c r="E3129" s="6" t="e">
        <f ca="1">RANK(F3129,F:F)+COUNTIF(F$2:F3129,F3129)-1</f>
        <v>#VALUE!</v>
      </c>
      <c r="F3129" s="6" t="str">
        <f t="shared" si="49"/>
        <v/>
      </c>
      <c r="G3129" s="6" t="str">
        <f>IF(B3129="","",股指期货基差分析!$N$11)</f>
        <v/>
      </c>
      <c r="H3129" s="6" t="str">
        <f>IF(B3129="","",股指期货基差分析!$L$11)</f>
        <v/>
      </c>
      <c r="I3129" s="10" t="str">
        <f>IF(B3129="","",股指期货基差分析!$D$11)</f>
        <v/>
      </c>
    </row>
    <row r="3130" spans="2:9" ht="15" customHeight="1" x14ac:dyDescent="0.2">
      <c r="B3130" s="7"/>
      <c r="C3130" s="5" t="str">
        <f>IF(B3130="","",[1]!s_dq_close(股指期货基差分析!$E$5,$B3130))</f>
        <v/>
      </c>
      <c r="D3130" s="5" t="str">
        <f>IF(B3130="","",[1]!s_dq_close(股指期货基差分析!$E$6,$B3130))</f>
        <v/>
      </c>
      <c r="E3130" s="5" t="e">
        <f ca="1">RANK(F3130,F:F)+COUNTIF(F$2:F3130,F3130)-1</f>
        <v>#VALUE!</v>
      </c>
      <c r="F3130" s="5" t="str">
        <f t="shared" si="49"/>
        <v/>
      </c>
      <c r="G3130" s="5" t="str">
        <f>IF(B3130="","",股指期货基差分析!$N$11)</f>
        <v/>
      </c>
      <c r="H3130" s="5" t="str">
        <f>IF(B3130="","",股指期货基差分析!$L$11)</f>
        <v/>
      </c>
      <c r="I3130" s="9" t="str">
        <f>IF(B3130="","",股指期货基差分析!$D$11)</f>
        <v/>
      </c>
    </row>
    <row r="3131" spans="2:9" ht="15" customHeight="1" x14ac:dyDescent="0.2">
      <c r="B3131" s="8"/>
      <c r="C3131" s="6" t="str">
        <f>IF(B3131="","",[1]!s_dq_close(股指期货基差分析!$E$5,$B3131))</f>
        <v/>
      </c>
      <c r="D3131" s="6" t="str">
        <f>IF(B3131="","",[1]!s_dq_close(股指期货基差分析!$E$6,$B3131))</f>
        <v/>
      </c>
      <c r="E3131" s="6" t="e">
        <f ca="1">RANK(F3131,F:F)+COUNTIF(F$2:F3131,F3131)-1</f>
        <v>#VALUE!</v>
      </c>
      <c r="F3131" s="6" t="str">
        <f t="shared" si="49"/>
        <v/>
      </c>
      <c r="G3131" s="6" t="str">
        <f>IF(B3131="","",股指期货基差分析!$N$11)</f>
        <v/>
      </c>
      <c r="H3131" s="6" t="str">
        <f>IF(B3131="","",股指期货基差分析!$L$11)</f>
        <v/>
      </c>
      <c r="I3131" s="10" t="str">
        <f>IF(B3131="","",股指期货基差分析!$D$11)</f>
        <v/>
      </c>
    </row>
    <row r="3132" spans="2:9" ht="15" customHeight="1" x14ac:dyDescent="0.2">
      <c r="B3132" s="7"/>
      <c r="C3132" s="5" t="str">
        <f>IF(B3132="","",[1]!s_dq_close(股指期货基差分析!$E$5,$B3132))</f>
        <v/>
      </c>
      <c r="D3132" s="5" t="str">
        <f>IF(B3132="","",[1]!s_dq_close(股指期货基差分析!$E$6,$B3132))</f>
        <v/>
      </c>
      <c r="E3132" s="5" t="e">
        <f ca="1">RANK(F3132,F:F)+COUNTIF(F$2:F3132,F3132)-1</f>
        <v>#VALUE!</v>
      </c>
      <c r="F3132" s="5" t="str">
        <f t="shared" si="49"/>
        <v/>
      </c>
      <c r="G3132" s="5" t="str">
        <f>IF(B3132="","",股指期货基差分析!$N$11)</f>
        <v/>
      </c>
      <c r="H3132" s="5" t="str">
        <f>IF(B3132="","",股指期货基差分析!$L$11)</f>
        <v/>
      </c>
      <c r="I3132" s="9" t="str">
        <f>IF(B3132="","",股指期货基差分析!$D$11)</f>
        <v/>
      </c>
    </row>
    <row r="3133" spans="2:9" ht="15" customHeight="1" x14ac:dyDescent="0.2">
      <c r="B3133" s="8"/>
      <c r="C3133" s="6" t="str">
        <f>IF(B3133="","",[1]!s_dq_close(股指期货基差分析!$E$5,$B3133))</f>
        <v/>
      </c>
      <c r="D3133" s="6" t="str">
        <f>IF(B3133="","",[1]!s_dq_close(股指期货基差分析!$E$6,$B3133))</f>
        <v/>
      </c>
      <c r="E3133" s="6" t="e">
        <f ca="1">RANK(F3133,F:F)+COUNTIF(F$2:F3133,F3133)-1</f>
        <v>#VALUE!</v>
      </c>
      <c r="F3133" s="6" t="str">
        <f t="shared" si="49"/>
        <v/>
      </c>
      <c r="G3133" s="6" t="str">
        <f>IF(B3133="","",股指期货基差分析!$N$11)</f>
        <v/>
      </c>
      <c r="H3133" s="6" t="str">
        <f>IF(B3133="","",股指期货基差分析!$L$11)</f>
        <v/>
      </c>
      <c r="I3133" s="10" t="str">
        <f>IF(B3133="","",股指期货基差分析!$D$11)</f>
        <v/>
      </c>
    </row>
    <row r="3134" spans="2:9" ht="15" customHeight="1" x14ac:dyDescent="0.2">
      <c r="B3134" s="7"/>
      <c r="C3134" s="5" t="str">
        <f>IF(B3134="","",[1]!s_dq_close(股指期货基差分析!$E$5,$B3134))</f>
        <v/>
      </c>
      <c r="D3134" s="5" t="str">
        <f>IF(B3134="","",[1]!s_dq_close(股指期货基差分析!$E$6,$B3134))</f>
        <v/>
      </c>
      <c r="E3134" s="5" t="e">
        <f ca="1">RANK(F3134,F:F)+COUNTIF(F$2:F3134,F3134)-1</f>
        <v>#VALUE!</v>
      </c>
      <c r="F3134" s="5" t="str">
        <f t="shared" si="49"/>
        <v/>
      </c>
      <c r="G3134" s="5" t="str">
        <f>IF(B3134="","",股指期货基差分析!$N$11)</f>
        <v/>
      </c>
      <c r="H3134" s="5" t="str">
        <f>IF(B3134="","",股指期货基差分析!$L$11)</f>
        <v/>
      </c>
      <c r="I3134" s="9" t="str">
        <f>IF(B3134="","",股指期货基差分析!$D$11)</f>
        <v/>
      </c>
    </row>
    <row r="3135" spans="2:9" ht="15" customHeight="1" x14ac:dyDescent="0.2">
      <c r="B3135" s="8"/>
      <c r="C3135" s="6" t="str">
        <f>IF(B3135="","",[1]!s_dq_close(股指期货基差分析!$E$5,$B3135))</f>
        <v/>
      </c>
      <c r="D3135" s="6" t="str">
        <f>IF(B3135="","",[1]!s_dq_close(股指期货基差分析!$E$6,$B3135))</f>
        <v/>
      </c>
      <c r="E3135" s="6" t="e">
        <f ca="1">RANK(F3135,F:F)+COUNTIF(F$2:F3135,F3135)-1</f>
        <v>#VALUE!</v>
      </c>
      <c r="F3135" s="6" t="str">
        <f t="shared" si="49"/>
        <v/>
      </c>
      <c r="G3135" s="6" t="str">
        <f>IF(B3135="","",股指期货基差分析!$N$11)</f>
        <v/>
      </c>
      <c r="H3135" s="6" t="str">
        <f>IF(B3135="","",股指期货基差分析!$L$11)</f>
        <v/>
      </c>
      <c r="I3135" s="10" t="str">
        <f>IF(B3135="","",股指期货基差分析!$D$11)</f>
        <v/>
      </c>
    </row>
    <row r="3136" spans="2:9" ht="15" customHeight="1" x14ac:dyDescent="0.2">
      <c r="B3136" s="7"/>
      <c r="C3136" s="5" t="str">
        <f>IF(B3136="","",[1]!s_dq_close(股指期货基差分析!$E$5,$B3136))</f>
        <v/>
      </c>
      <c r="D3136" s="5" t="str">
        <f>IF(B3136="","",[1]!s_dq_close(股指期货基差分析!$E$6,$B3136))</f>
        <v/>
      </c>
      <c r="E3136" s="5" t="e">
        <f ca="1">RANK(F3136,F:F)+COUNTIF(F$2:F3136,F3136)-1</f>
        <v>#VALUE!</v>
      </c>
      <c r="F3136" s="5" t="str">
        <f t="shared" si="49"/>
        <v/>
      </c>
      <c r="G3136" s="5" t="str">
        <f>IF(B3136="","",股指期货基差分析!$N$11)</f>
        <v/>
      </c>
      <c r="H3136" s="5" t="str">
        <f>IF(B3136="","",股指期货基差分析!$L$11)</f>
        <v/>
      </c>
      <c r="I3136" s="9" t="str">
        <f>IF(B3136="","",股指期货基差分析!$D$11)</f>
        <v/>
      </c>
    </row>
    <row r="3137" spans="2:9" ht="15" customHeight="1" x14ac:dyDescent="0.2">
      <c r="B3137" s="8"/>
      <c r="C3137" s="6" t="str">
        <f>IF(B3137="","",[1]!s_dq_close(股指期货基差分析!$E$5,$B3137))</f>
        <v/>
      </c>
      <c r="D3137" s="6" t="str">
        <f>IF(B3137="","",[1]!s_dq_close(股指期货基差分析!$E$6,$B3137))</f>
        <v/>
      </c>
      <c r="E3137" s="6" t="e">
        <f ca="1">RANK(F3137,F:F)+COUNTIF(F$2:F3137,F3137)-1</f>
        <v>#VALUE!</v>
      </c>
      <c r="F3137" s="6" t="str">
        <f t="shared" si="49"/>
        <v/>
      </c>
      <c r="G3137" s="6" t="str">
        <f>IF(B3137="","",股指期货基差分析!$N$11)</f>
        <v/>
      </c>
      <c r="H3137" s="6" t="str">
        <f>IF(B3137="","",股指期货基差分析!$L$11)</f>
        <v/>
      </c>
      <c r="I3137" s="10" t="str">
        <f>IF(B3137="","",股指期货基差分析!$D$11)</f>
        <v/>
      </c>
    </row>
    <row r="3138" spans="2:9" ht="15" customHeight="1" x14ac:dyDescent="0.2">
      <c r="B3138" s="7"/>
      <c r="C3138" s="5" t="str">
        <f>IF(B3138="","",[1]!s_dq_close(股指期货基差分析!$E$5,$B3138))</f>
        <v/>
      </c>
      <c r="D3138" s="5" t="str">
        <f>IF(B3138="","",[1]!s_dq_close(股指期货基差分析!$E$6,$B3138))</f>
        <v/>
      </c>
      <c r="E3138" s="5" t="e">
        <f ca="1">RANK(F3138,F:F)+COUNTIF(F$2:F3138,F3138)-1</f>
        <v>#VALUE!</v>
      </c>
      <c r="F3138" s="5" t="str">
        <f t="shared" ref="F3138:F3201" si="50">IF(B3138="","",D3138-C3138)</f>
        <v/>
      </c>
      <c r="G3138" s="5" t="str">
        <f>IF(B3138="","",股指期货基差分析!$N$11)</f>
        <v/>
      </c>
      <c r="H3138" s="5" t="str">
        <f>IF(B3138="","",股指期货基差分析!$L$11)</f>
        <v/>
      </c>
      <c r="I3138" s="9" t="str">
        <f>IF(B3138="","",股指期货基差分析!$D$11)</f>
        <v/>
      </c>
    </row>
    <row r="3139" spans="2:9" ht="15" customHeight="1" x14ac:dyDescent="0.2">
      <c r="B3139" s="8"/>
      <c r="C3139" s="6" t="str">
        <f>IF(B3139="","",[1]!s_dq_close(股指期货基差分析!$E$5,$B3139))</f>
        <v/>
      </c>
      <c r="D3139" s="6" t="str">
        <f>IF(B3139="","",[1]!s_dq_close(股指期货基差分析!$E$6,$B3139))</f>
        <v/>
      </c>
      <c r="E3139" s="6" t="e">
        <f ca="1">RANK(F3139,F:F)+COUNTIF(F$2:F3139,F3139)-1</f>
        <v>#VALUE!</v>
      </c>
      <c r="F3139" s="6" t="str">
        <f t="shared" si="50"/>
        <v/>
      </c>
      <c r="G3139" s="6" t="str">
        <f>IF(B3139="","",股指期货基差分析!$N$11)</f>
        <v/>
      </c>
      <c r="H3139" s="6" t="str">
        <f>IF(B3139="","",股指期货基差分析!$L$11)</f>
        <v/>
      </c>
      <c r="I3139" s="10" t="str">
        <f>IF(B3139="","",股指期货基差分析!$D$11)</f>
        <v/>
      </c>
    </row>
    <row r="3140" spans="2:9" ht="15" customHeight="1" x14ac:dyDescent="0.2">
      <c r="B3140" s="7"/>
      <c r="C3140" s="5" t="str">
        <f>IF(B3140="","",[1]!s_dq_close(股指期货基差分析!$E$5,$B3140))</f>
        <v/>
      </c>
      <c r="D3140" s="5" t="str">
        <f>IF(B3140="","",[1]!s_dq_close(股指期货基差分析!$E$6,$B3140))</f>
        <v/>
      </c>
      <c r="E3140" s="5" t="e">
        <f ca="1">RANK(F3140,F:F)+COUNTIF(F$2:F3140,F3140)-1</f>
        <v>#VALUE!</v>
      </c>
      <c r="F3140" s="5" t="str">
        <f t="shared" si="50"/>
        <v/>
      </c>
      <c r="G3140" s="5" t="str">
        <f>IF(B3140="","",股指期货基差分析!$N$11)</f>
        <v/>
      </c>
      <c r="H3140" s="5" t="str">
        <f>IF(B3140="","",股指期货基差分析!$L$11)</f>
        <v/>
      </c>
      <c r="I3140" s="9" t="str">
        <f>IF(B3140="","",股指期货基差分析!$D$11)</f>
        <v/>
      </c>
    </row>
    <row r="3141" spans="2:9" ht="15" customHeight="1" x14ac:dyDescent="0.2">
      <c r="B3141" s="8"/>
      <c r="C3141" s="6" t="str">
        <f>IF(B3141="","",[1]!s_dq_close(股指期货基差分析!$E$5,$B3141))</f>
        <v/>
      </c>
      <c r="D3141" s="6" t="str">
        <f>IF(B3141="","",[1]!s_dq_close(股指期货基差分析!$E$6,$B3141))</f>
        <v/>
      </c>
      <c r="E3141" s="6" t="e">
        <f ca="1">RANK(F3141,F:F)+COUNTIF(F$2:F3141,F3141)-1</f>
        <v>#VALUE!</v>
      </c>
      <c r="F3141" s="6" t="str">
        <f t="shared" si="50"/>
        <v/>
      </c>
      <c r="G3141" s="6" t="str">
        <f>IF(B3141="","",股指期货基差分析!$N$11)</f>
        <v/>
      </c>
      <c r="H3141" s="6" t="str">
        <f>IF(B3141="","",股指期货基差分析!$L$11)</f>
        <v/>
      </c>
      <c r="I3141" s="10" t="str">
        <f>IF(B3141="","",股指期货基差分析!$D$11)</f>
        <v/>
      </c>
    </row>
    <row r="3142" spans="2:9" ht="15" customHeight="1" x14ac:dyDescent="0.2">
      <c r="B3142" s="7"/>
      <c r="C3142" s="5" t="str">
        <f>IF(B3142="","",[1]!s_dq_close(股指期货基差分析!$E$5,$B3142))</f>
        <v/>
      </c>
      <c r="D3142" s="5" t="str">
        <f>IF(B3142="","",[1]!s_dq_close(股指期货基差分析!$E$6,$B3142))</f>
        <v/>
      </c>
      <c r="E3142" s="5" t="e">
        <f ca="1">RANK(F3142,F:F)+COUNTIF(F$2:F3142,F3142)-1</f>
        <v>#VALUE!</v>
      </c>
      <c r="F3142" s="5" t="str">
        <f t="shared" si="50"/>
        <v/>
      </c>
      <c r="G3142" s="5" t="str">
        <f>IF(B3142="","",股指期货基差分析!$N$11)</f>
        <v/>
      </c>
      <c r="H3142" s="5" t="str">
        <f>IF(B3142="","",股指期货基差分析!$L$11)</f>
        <v/>
      </c>
      <c r="I3142" s="9" t="str">
        <f>IF(B3142="","",股指期货基差分析!$D$11)</f>
        <v/>
      </c>
    </row>
    <row r="3143" spans="2:9" ht="15" customHeight="1" x14ac:dyDescent="0.2">
      <c r="B3143" s="8"/>
      <c r="C3143" s="6" t="str">
        <f>IF(B3143="","",[1]!s_dq_close(股指期货基差分析!$E$5,$B3143))</f>
        <v/>
      </c>
      <c r="D3143" s="6" t="str">
        <f>IF(B3143="","",[1]!s_dq_close(股指期货基差分析!$E$6,$B3143))</f>
        <v/>
      </c>
      <c r="E3143" s="6" t="e">
        <f ca="1">RANK(F3143,F:F)+COUNTIF(F$2:F3143,F3143)-1</f>
        <v>#VALUE!</v>
      </c>
      <c r="F3143" s="6" t="str">
        <f t="shared" si="50"/>
        <v/>
      </c>
      <c r="G3143" s="6" t="str">
        <f>IF(B3143="","",股指期货基差分析!$N$11)</f>
        <v/>
      </c>
      <c r="H3143" s="6" t="str">
        <f>IF(B3143="","",股指期货基差分析!$L$11)</f>
        <v/>
      </c>
      <c r="I3143" s="10" t="str">
        <f>IF(B3143="","",股指期货基差分析!$D$11)</f>
        <v/>
      </c>
    </row>
    <row r="3144" spans="2:9" ht="15" customHeight="1" x14ac:dyDescent="0.2">
      <c r="B3144" s="7"/>
      <c r="C3144" s="5" t="str">
        <f>IF(B3144="","",[1]!s_dq_close(股指期货基差分析!$E$5,$B3144))</f>
        <v/>
      </c>
      <c r="D3144" s="5" t="str">
        <f>IF(B3144="","",[1]!s_dq_close(股指期货基差分析!$E$6,$B3144))</f>
        <v/>
      </c>
      <c r="E3144" s="5" t="e">
        <f ca="1">RANK(F3144,F:F)+COUNTIF(F$2:F3144,F3144)-1</f>
        <v>#VALUE!</v>
      </c>
      <c r="F3144" s="5" t="str">
        <f t="shared" si="50"/>
        <v/>
      </c>
      <c r="G3144" s="5" t="str">
        <f>IF(B3144="","",股指期货基差分析!$N$11)</f>
        <v/>
      </c>
      <c r="H3144" s="5" t="str">
        <f>IF(B3144="","",股指期货基差分析!$L$11)</f>
        <v/>
      </c>
      <c r="I3144" s="9" t="str">
        <f>IF(B3144="","",股指期货基差分析!$D$11)</f>
        <v/>
      </c>
    </row>
    <row r="3145" spans="2:9" ht="15" customHeight="1" x14ac:dyDescent="0.2">
      <c r="B3145" s="8"/>
      <c r="C3145" s="6" t="str">
        <f>IF(B3145="","",[1]!s_dq_close(股指期货基差分析!$E$5,$B3145))</f>
        <v/>
      </c>
      <c r="D3145" s="6" t="str">
        <f>IF(B3145="","",[1]!s_dq_close(股指期货基差分析!$E$6,$B3145))</f>
        <v/>
      </c>
      <c r="E3145" s="6" t="e">
        <f ca="1">RANK(F3145,F:F)+COUNTIF(F$2:F3145,F3145)-1</f>
        <v>#VALUE!</v>
      </c>
      <c r="F3145" s="6" t="str">
        <f t="shared" si="50"/>
        <v/>
      </c>
      <c r="G3145" s="6" t="str">
        <f>IF(B3145="","",股指期货基差分析!$N$11)</f>
        <v/>
      </c>
      <c r="H3145" s="6" t="str">
        <f>IF(B3145="","",股指期货基差分析!$L$11)</f>
        <v/>
      </c>
      <c r="I3145" s="10" t="str">
        <f>IF(B3145="","",股指期货基差分析!$D$11)</f>
        <v/>
      </c>
    </row>
    <row r="3146" spans="2:9" ht="15" customHeight="1" x14ac:dyDescent="0.2">
      <c r="B3146" s="7"/>
      <c r="C3146" s="5" t="str">
        <f>IF(B3146="","",[1]!s_dq_close(股指期货基差分析!$E$5,$B3146))</f>
        <v/>
      </c>
      <c r="D3146" s="5" t="str">
        <f>IF(B3146="","",[1]!s_dq_close(股指期货基差分析!$E$6,$B3146))</f>
        <v/>
      </c>
      <c r="E3146" s="5" t="e">
        <f ca="1">RANK(F3146,F:F)+COUNTIF(F$2:F3146,F3146)-1</f>
        <v>#VALUE!</v>
      </c>
      <c r="F3146" s="5" t="str">
        <f t="shared" si="50"/>
        <v/>
      </c>
      <c r="G3146" s="5" t="str">
        <f>IF(B3146="","",股指期货基差分析!$N$11)</f>
        <v/>
      </c>
      <c r="H3146" s="5" t="str">
        <f>IF(B3146="","",股指期货基差分析!$L$11)</f>
        <v/>
      </c>
      <c r="I3146" s="9" t="str">
        <f>IF(B3146="","",股指期货基差分析!$D$11)</f>
        <v/>
      </c>
    </row>
    <row r="3147" spans="2:9" ht="15" customHeight="1" x14ac:dyDescent="0.2">
      <c r="B3147" s="8"/>
      <c r="C3147" s="6" t="str">
        <f>IF(B3147="","",[1]!s_dq_close(股指期货基差分析!$E$5,$B3147))</f>
        <v/>
      </c>
      <c r="D3147" s="6" t="str">
        <f>IF(B3147="","",[1]!s_dq_close(股指期货基差分析!$E$6,$B3147))</f>
        <v/>
      </c>
      <c r="E3147" s="6" t="e">
        <f ca="1">RANK(F3147,F:F)+COUNTIF(F$2:F3147,F3147)-1</f>
        <v>#VALUE!</v>
      </c>
      <c r="F3147" s="6" t="str">
        <f t="shared" si="50"/>
        <v/>
      </c>
      <c r="G3147" s="6" t="str">
        <f>IF(B3147="","",股指期货基差分析!$N$11)</f>
        <v/>
      </c>
      <c r="H3147" s="6" t="str">
        <f>IF(B3147="","",股指期货基差分析!$L$11)</f>
        <v/>
      </c>
      <c r="I3147" s="10" t="str">
        <f>IF(B3147="","",股指期货基差分析!$D$11)</f>
        <v/>
      </c>
    </row>
    <row r="3148" spans="2:9" ht="15" customHeight="1" x14ac:dyDescent="0.2">
      <c r="B3148" s="7"/>
      <c r="C3148" s="5" t="str">
        <f>IF(B3148="","",[1]!s_dq_close(股指期货基差分析!$E$5,$B3148))</f>
        <v/>
      </c>
      <c r="D3148" s="5" t="str">
        <f>IF(B3148="","",[1]!s_dq_close(股指期货基差分析!$E$6,$B3148))</f>
        <v/>
      </c>
      <c r="E3148" s="5" t="e">
        <f ca="1">RANK(F3148,F:F)+COUNTIF(F$2:F3148,F3148)-1</f>
        <v>#VALUE!</v>
      </c>
      <c r="F3148" s="5" t="str">
        <f t="shared" si="50"/>
        <v/>
      </c>
      <c r="G3148" s="5" t="str">
        <f>IF(B3148="","",股指期货基差分析!$N$11)</f>
        <v/>
      </c>
      <c r="H3148" s="5" t="str">
        <f>IF(B3148="","",股指期货基差分析!$L$11)</f>
        <v/>
      </c>
      <c r="I3148" s="9" t="str">
        <f>IF(B3148="","",股指期货基差分析!$D$11)</f>
        <v/>
      </c>
    </row>
    <row r="3149" spans="2:9" ht="15" customHeight="1" x14ac:dyDescent="0.2">
      <c r="B3149" s="8"/>
      <c r="C3149" s="6" t="str">
        <f>IF(B3149="","",[1]!s_dq_close(股指期货基差分析!$E$5,$B3149))</f>
        <v/>
      </c>
      <c r="D3149" s="6" t="str">
        <f>IF(B3149="","",[1]!s_dq_close(股指期货基差分析!$E$6,$B3149))</f>
        <v/>
      </c>
      <c r="E3149" s="6" t="e">
        <f ca="1">RANK(F3149,F:F)+COUNTIF(F$2:F3149,F3149)-1</f>
        <v>#VALUE!</v>
      </c>
      <c r="F3149" s="6" t="str">
        <f t="shared" si="50"/>
        <v/>
      </c>
      <c r="G3149" s="6" t="str">
        <f>IF(B3149="","",股指期货基差分析!$N$11)</f>
        <v/>
      </c>
      <c r="H3149" s="6" t="str">
        <f>IF(B3149="","",股指期货基差分析!$L$11)</f>
        <v/>
      </c>
      <c r="I3149" s="10" t="str">
        <f>IF(B3149="","",股指期货基差分析!$D$11)</f>
        <v/>
      </c>
    </row>
    <row r="3150" spans="2:9" ht="15" customHeight="1" x14ac:dyDescent="0.2">
      <c r="B3150" s="7"/>
      <c r="C3150" s="5" t="str">
        <f>IF(B3150="","",[1]!s_dq_close(股指期货基差分析!$E$5,$B3150))</f>
        <v/>
      </c>
      <c r="D3150" s="5" t="str">
        <f>IF(B3150="","",[1]!s_dq_close(股指期货基差分析!$E$6,$B3150))</f>
        <v/>
      </c>
      <c r="E3150" s="5" t="e">
        <f ca="1">RANK(F3150,F:F)+COUNTIF(F$2:F3150,F3150)-1</f>
        <v>#VALUE!</v>
      </c>
      <c r="F3150" s="5" t="str">
        <f t="shared" si="50"/>
        <v/>
      </c>
      <c r="G3150" s="5" t="str">
        <f>IF(B3150="","",股指期货基差分析!$N$11)</f>
        <v/>
      </c>
      <c r="H3150" s="5" t="str">
        <f>IF(B3150="","",股指期货基差分析!$L$11)</f>
        <v/>
      </c>
      <c r="I3150" s="9" t="str">
        <f>IF(B3150="","",股指期货基差分析!$D$11)</f>
        <v/>
      </c>
    </row>
    <row r="3151" spans="2:9" ht="15" customHeight="1" x14ac:dyDescent="0.2">
      <c r="B3151" s="8"/>
      <c r="C3151" s="6" t="str">
        <f>IF(B3151="","",[1]!s_dq_close(股指期货基差分析!$E$5,$B3151))</f>
        <v/>
      </c>
      <c r="D3151" s="6" t="str">
        <f>IF(B3151="","",[1]!s_dq_close(股指期货基差分析!$E$6,$B3151))</f>
        <v/>
      </c>
      <c r="E3151" s="6" t="e">
        <f ca="1">RANK(F3151,F:F)+COUNTIF(F$2:F3151,F3151)-1</f>
        <v>#VALUE!</v>
      </c>
      <c r="F3151" s="6" t="str">
        <f t="shared" si="50"/>
        <v/>
      </c>
      <c r="G3151" s="6" t="str">
        <f>IF(B3151="","",股指期货基差分析!$N$11)</f>
        <v/>
      </c>
      <c r="H3151" s="6" t="str">
        <f>IF(B3151="","",股指期货基差分析!$L$11)</f>
        <v/>
      </c>
      <c r="I3151" s="10" t="str">
        <f>IF(B3151="","",股指期货基差分析!$D$11)</f>
        <v/>
      </c>
    </row>
    <row r="3152" spans="2:9" ht="15" customHeight="1" x14ac:dyDescent="0.2">
      <c r="B3152" s="7"/>
      <c r="C3152" s="5" t="str">
        <f>IF(B3152="","",[1]!s_dq_close(股指期货基差分析!$E$5,$B3152))</f>
        <v/>
      </c>
      <c r="D3152" s="5" t="str">
        <f>IF(B3152="","",[1]!s_dq_close(股指期货基差分析!$E$6,$B3152))</f>
        <v/>
      </c>
      <c r="E3152" s="5" t="e">
        <f ca="1">RANK(F3152,F:F)+COUNTIF(F$2:F3152,F3152)-1</f>
        <v>#VALUE!</v>
      </c>
      <c r="F3152" s="5" t="str">
        <f t="shared" si="50"/>
        <v/>
      </c>
      <c r="G3152" s="5" t="str">
        <f>IF(B3152="","",股指期货基差分析!$N$11)</f>
        <v/>
      </c>
      <c r="H3152" s="5" t="str">
        <f>IF(B3152="","",股指期货基差分析!$L$11)</f>
        <v/>
      </c>
      <c r="I3152" s="9" t="str">
        <f>IF(B3152="","",股指期货基差分析!$D$11)</f>
        <v/>
      </c>
    </row>
    <row r="3153" spans="2:9" ht="15" customHeight="1" x14ac:dyDescent="0.2">
      <c r="B3153" s="8"/>
      <c r="C3153" s="6" t="str">
        <f>IF(B3153="","",[1]!s_dq_close(股指期货基差分析!$E$5,$B3153))</f>
        <v/>
      </c>
      <c r="D3153" s="6" t="str">
        <f>IF(B3153="","",[1]!s_dq_close(股指期货基差分析!$E$6,$B3153))</f>
        <v/>
      </c>
      <c r="E3153" s="6" t="e">
        <f ca="1">RANK(F3153,F:F)+COUNTIF(F$2:F3153,F3153)-1</f>
        <v>#VALUE!</v>
      </c>
      <c r="F3153" s="6" t="str">
        <f t="shared" si="50"/>
        <v/>
      </c>
      <c r="G3153" s="6" t="str">
        <f>IF(B3153="","",股指期货基差分析!$N$11)</f>
        <v/>
      </c>
      <c r="H3153" s="6" t="str">
        <f>IF(B3153="","",股指期货基差分析!$L$11)</f>
        <v/>
      </c>
      <c r="I3153" s="10" t="str">
        <f>IF(B3153="","",股指期货基差分析!$D$11)</f>
        <v/>
      </c>
    </row>
    <row r="3154" spans="2:9" ht="15" customHeight="1" x14ac:dyDescent="0.2">
      <c r="B3154" s="7"/>
      <c r="C3154" s="5" t="str">
        <f>IF(B3154="","",[1]!s_dq_close(股指期货基差分析!$E$5,$B3154))</f>
        <v/>
      </c>
      <c r="D3154" s="5" t="str">
        <f>IF(B3154="","",[1]!s_dq_close(股指期货基差分析!$E$6,$B3154))</f>
        <v/>
      </c>
      <c r="E3154" s="5" t="e">
        <f ca="1">RANK(F3154,F:F)+COUNTIF(F$2:F3154,F3154)-1</f>
        <v>#VALUE!</v>
      </c>
      <c r="F3154" s="5" t="str">
        <f t="shared" si="50"/>
        <v/>
      </c>
      <c r="G3154" s="5" t="str">
        <f>IF(B3154="","",股指期货基差分析!$N$11)</f>
        <v/>
      </c>
      <c r="H3154" s="5" t="str">
        <f>IF(B3154="","",股指期货基差分析!$L$11)</f>
        <v/>
      </c>
      <c r="I3154" s="9" t="str">
        <f>IF(B3154="","",股指期货基差分析!$D$11)</f>
        <v/>
      </c>
    </row>
    <row r="3155" spans="2:9" ht="15" customHeight="1" x14ac:dyDescent="0.2">
      <c r="B3155" s="8"/>
      <c r="C3155" s="6" t="str">
        <f>IF(B3155="","",[1]!s_dq_close(股指期货基差分析!$E$5,$B3155))</f>
        <v/>
      </c>
      <c r="D3155" s="6" t="str">
        <f>IF(B3155="","",[1]!s_dq_close(股指期货基差分析!$E$6,$B3155))</f>
        <v/>
      </c>
      <c r="E3155" s="6" t="e">
        <f ca="1">RANK(F3155,F:F)+COUNTIF(F$2:F3155,F3155)-1</f>
        <v>#VALUE!</v>
      </c>
      <c r="F3155" s="6" t="str">
        <f t="shared" si="50"/>
        <v/>
      </c>
      <c r="G3155" s="6" t="str">
        <f>IF(B3155="","",股指期货基差分析!$N$11)</f>
        <v/>
      </c>
      <c r="H3155" s="6" t="str">
        <f>IF(B3155="","",股指期货基差分析!$L$11)</f>
        <v/>
      </c>
      <c r="I3155" s="10" t="str">
        <f>IF(B3155="","",股指期货基差分析!$D$11)</f>
        <v/>
      </c>
    </row>
    <row r="3156" spans="2:9" ht="15" customHeight="1" x14ac:dyDescent="0.2">
      <c r="B3156" s="7"/>
      <c r="C3156" s="5" t="str">
        <f>IF(B3156="","",[1]!s_dq_close(股指期货基差分析!$E$5,$B3156))</f>
        <v/>
      </c>
      <c r="D3156" s="5" t="str">
        <f>IF(B3156="","",[1]!s_dq_close(股指期货基差分析!$E$6,$B3156))</f>
        <v/>
      </c>
      <c r="E3156" s="5" t="e">
        <f ca="1">RANK(F3156,F:F)+COUNTIF(F$2:F3156,F3156)-1</f>
        <v>#VALUE!</v>
      </c>
      <c r="F3156" s="5" t="str">
        <f t="shared" si="50"/>
        <v/>
      </c>
      <c r="G3156" s="5" t="str">
        <f>IF(B3156="","",股指期货基差分析!$N$11)</f>
        <v/>
      </c>
      <c r="H3156" s="5" t="str">
        <f>IF(B3156="","",股指期货基差分析!$L$11)</f>
        <v/>
      </c>
      <c r="I3156" s="9" t="str">
        <f>IF(B3156="","",股指期货基差分析!$D$11)</f>
        <v/>
      </c>
    </row>
    <row r="3157" spans="2:9" ht="15" customHeight="1" x14ac:dyDescent="0.2">
      <c r="B3157" s="8"/>
      <c r="C3157" s="6" t="str">
        <f>IF(B3157="","",[1]!s_dq_close(股指期货基差分析!$E$5,$B3157))</f>
        <v/>
      </c>
      <c r="D3157" s="6" t="str">
        <f>IF(B3157="","",[1]!s_dq_close(股指期货基差分析!$E$6,$B3157))</f>
        <v/>
      </c>
      <c r="E3157" s="6" t="e">
        <f ca="1">RANK(F3157,F:F)+COUNTIF(F$2:F3157,F3157)-1</f>
        <v>#VALUE!</v>
      </c>
      <c r="F3157" s="6" t="str">
        <f t="shared" si="50"/>
        <v/>
      </c>
      <c r="G3157" s="6" t="str">
        <f>IF(B3157="","",股指期货基差分析!$N$11)</f>
        <v/>
      </c>
      <c r="H3157" s="6" t="str">
        <f>IF(B3157="","",股指期货基差分析!$L$11)</f>
        <v/>
      </c>
      <c r="I3157" s="10" t="str">
        <f>IF(B3157="","",股指期货基差分析!$D$11)</f>
        <v/>
      </c>
    </row>
    <row r="3158" spans="2:9" ht="15" customHeight="1" x14ac:dyDescent="0.2">
      <c r="B3158" s="7"/>
      <c r="C3158" s="5" t="str">
        <f>IF(B3158="","",[1]!s_dq_close(股指期货基差分析!$E$5,$B3158))</f>
        <v/>
      </c>
      <c r="D3158" s="5" t="str">
        <f>IF(B3158="","",[1]!s_dq_close(股指期货基差分析!$E$6,$B3158))</f>
        <v/>
      </c>
      <c r="E3158" s="5" t="e">
        <f ca="1">RANK(F3158,F:F)+COUNTIF(F$2:F3158,F3158)-1</f>
        <v>#VALUE!</v>
      </c>
      <c r="F3158" s="5" t="str">
        <f t="shared" si="50"/>
        <v/>
      </c>
      <c r="G3158" s="5" t="str">
        <f>IF(B3158="","",股指期货基差分析!$N$11)</f>
        <v/>
      </c>
      <c r="H3158" s="5" t="str">
        <f>IF(B3158="","",股指期货基差分析!$L$11)</f>
        <v/>
      </c>
      <c r="I3158" s="9" t="str">
        <f>IF(B3158="","",股指期货基差分析!$D$11)</f>
        <v/>
      </c>
    </row>
    <row r="3159" spans="2:9" ht="15" customHeight="1" x14ac:dyDescent="0.2">
      <c r="B3159" s="8"/>
      <c r="C3159" s="6" t="str">
        <f>IF(B3159="","",[1]!s_dq_close(股指期货基差分析!$E$5,$B3159))</f>
        <v/>
      </c>
      <c r="D3159" s="6" t="str">
        <f>IF(B3159="","",[1]!s_dq_close(股指期货基差分析!$E$6,$B3159))</f>
        <v/>
      </c>
      <c r="E3159" s="6" t="e">
        <f ca="1">RANK(F3159,F:F)+COUNTIF(F$2:F3159,F3159)-1</f>
        <v>#VALUE!</v>
      </c>
      <c r="F3159" s="6" t="str">
        <f t="shared" si="50"/>
        <v/>
      </c>
      <c r="G3159" s="6" t="str">
        <f>IF(B3159="","",股指期货基差分析!$N$11)</f>
        <v/>
      </c>
      <c r="H3159" s="6" t="str">
        <f>IF(B3159="","",股指期货基差分析!$L$11)</f>
        <v/>
      </c>
      <c r="I3159" s="10" t="str">
        <f>IF(B3159="","",股指期货基差分析!$D$11)</f>
        <v/>
      </c>
    </row>
    <row r="3160" spans="2:9" ht="15" customHeight="1" x14ac:dyDescent="0.2">
      <c r="B3160" s="7"/>
      <c r="C3160" s="5" t="str">
        <f>IF(B3160="","",[1]!s_dq_close(股指期货基差分析!$E$5,$B3160))</f>
        <v/>
      </c>
      <c r="D3160" s="5" t="str">
        <f>IF(B3160="","",[1]!s_dq_close(股指期货基差分析!$E$6,$B3160))</f>
        <v/>
      </c>
      <c r="E3160" s="5" t="e">
        <f ca="1">RANK(F3160,F:F)+COUNTIF(F$2:F3160,F3160)-1</f>
        <v>#VALUE!</v>
      </c>
      <c r="F3160" s="5" t="str">
        <f t="shared" si="50"/>
        <v/>
      </c>
      <c r="G3160" s="5" t="str">
        <f>IF(B3160="","",股指期货基差分析!$N$11)</f>
        <v/>
      </c>
      <c r="H3160" s="5" t="str">
        <f>IF(B3160="","",股指期货基差分析!$L$11)</f>
        <v/>
      </c>
      <c r="I3160" s="9" t="str">
        <f>IF(B3160="","",股指期货基差分析!$D$11)</f>
        <v/>
      </c>
    </row>
    <row r="3161" spans="2:9" ht="15" customHeight="1" x14ac:dyDescent="0.2">
      <c r="B3161" s="8"/>
      <c r="C3161" s="6" t="str">
        <f>IF(B3161="","",[1]!s_dq_close(股指期货基差分析!$E$5,$B3161))</f>
        <v/>
      </c>
      <c r="D3161" s="6" t="str">
        <f>IF(B3161="","",[1]!s_dq_close(股指期货基差分析!$E$6,$B3161))</f>
        <v/>
      </c>
      <c r="E3161" s="6" t="e">
        <f ca="1">RANK(F3161,F:F)+COUNTIF(F$2:F3161,F3161)-1</f>
        <v>#VALUE!</v>
      </c>
      <c r="F3161" s="6" t="str">
        <f t="shared" si="50"/>
        <v/>
      </c>
      <c r="G3161" s="6" t="str">
        <f>IF(B3161="","",股指期货基差分析!$N$11)</f>
        <v/>
      </c>
      <c r="H3161" s="6" t="str">
        <f>IF(B3161="","",股指期货基差分析!$L$11)</f>
        <v/>
      </c>
      <c r="I3161" s="10" t="str">
        <f>IF(B3161="","",股指期货基差分析!$D$11)</f>
        <v/>
      </c>
    </row>
    <row r="3162" spans="2:9" ht="15" customHeight="1" x14ac:dyDescent="0.2">
      <c r="B3162" s="7"/>
      <c r="C3162" s="5" t="str">
        <f>IF(B3162="","",[1]!s_dq_close(股指期货基差分析!$E$5,$B3162))</f>
        <v/>
      </c>
      <c r="D3162" s="5" t="str">
        <f>IF(B3162="","",[1]!s_dq_close(股指期货基差分析!$E$6,$B3162))</f>
        <v/>
      </c>
      <c r="E3162" s="5" t="e">
        <f ca="1">RANK(F3162,F:F)+COUNTIF(F$2:F3162,F3162)-1</f>
        <v>#VALUE!</v>
      </c>
      <c r="F3162" s="5" t="str">
        <f t="shared" si="50"/>
        <v/>
      </c>
      <c r="G3162" s="5" t="str">
        <f>IF(B3162="","",股指期货基差分析!$N$11)</f>
        <v/>
      </c>
      <c r="H3162" s="5" t="str">
        <f>IF(B3162="","",股指期货基差分析!$L$11)</f>
        <v/>
      </c>
      <c r="I3162" s="9" t="str">
        <f>IF(B3162="","",股指期货基差分析!$D$11)</f>
        <v/>
      </c>
    </row>
    <row r="3163" spans="2:9" ht="15" customHeight="1" x14ac:dyDescent="0.2">
      <c r="B3163" s="8"/>
      <c r="C3163" s="6" t="str">
        <f>IF(B3163="","",[1]!s_dq_close(股指期货基差分析!$E$5,$B3163))</f>
        <v/>
      </c>
      <c r="D3163" s="6" t="str">
        <f>IF(B3163="","",[1]!s_dq_close(股指期货基差分析!$E$6,$B3163))</f>
        <v/>
      </c>
      <c r="E3163" s="6" t="e">
        <f ca="1">RANK(F3163,F:F)+COUNTIF(F$2:F3163,F3163)-1</f>
        <v>#VALUE!</v>
      </c>
      <c r="F3163" s="6" t="str">
        <f t="shared" si="50"/>
        <v/>
      </c>
      <c r="G3163" s="6" t="str">
        <f>IF(B3163="","",股指期货基差分析!$N$11)</f>
        <v/>
      </c>
      <c r="H3163" s="6" t="str">
        <f>IF(B3163="","",股指期货基差分析!$L$11)</f>
        <v/>
      </c>
      <c r="I3163" s="10" t="str">
        <f>IF(B3163="","",股指期货基差分析!$D$11)</f>
        <v/>
      </c>
    </row>
    <row r="3164" spans="2:9" ht="15" customHeight="1" x14ac:dyDescent="0.2">
      <c r="B3164" s="7"/>
      <c r="C3164" s="5" t="str">
        <f>IF(B3164="","",[1]!s_dq_close(股指期货基差分析!$E$5,$B3164))</f>
        <v/>
      </c>
      <c r="D3164" s="5" t="str">
        <f>IF(B3164="","",[1]!s_dq_close(股指期货基差分析!$E$6,$B3164))</f>
        <v/>
      </c>
      <c r="E3164" s="5" t="e">
        <f ca="1">RANK(F3164,F:F)+COUNTIF(F$2:F3164,F3164)-1</f>
        <v>#VALUE!</v>
      </c>
      <c r="F3164" s="5" t="str">
        <f t="shared" si="50"/>
        <v/>
      </c>
      <c r="G3164" s="5" t="str">
        <f>IF(B3164="","",股指期货基差分析!$N$11)</f>
        <v/>
      </c>
      <c r="H3164" s="5" t="str">
        <f>IF(B3164="","",股指期货基差分析!$L$11)</f>
        <v/>
      </c>
      <c r="I3164" s="9" t="str">
        <f>IF(B3164="","",股指期货基差分析!$D$11)</f>
        <v/>
      </c>
    </row>
    <row r="3165" spans="2:9" ht="15" customHeight="1" x14ac:dyDescent="0.2">
      <c r="B3165" s="8"/>
      <c r="C3165" s="6" t="str">
        <f>IF(B3165="","",[1]!s_dq_close(股指期货基差分析!$E$5,$B3165))</f>
        <v/>
      </c>
      <c r="D3165" s="6" t="str">
        <f>IF(B3165="","",[1]!s_dq_close(股指期货基差分析!$E$6,$B3165))</f>
        <v/>
      </c>
      <c r="E3165" s="6" t="e">
        <f ca="1">RANK(F3165,F:F)+COUNTIF(F$2:F3165,F3165)-1</f>
        <v>#VALUE!</v>
      </c>
      <c r="F3165" s="6" t="str">
        <f t="shared" si="50"/>
        <v/>
      </c>
      <c r="G3165" s="6" t="str">
        <f>IF(B3165="","",股指期货基差分析!$N$11)</f>
        <v/>
      </c>
      <c r="H3165" s="6" t="str">
        <f>IF(B3165="","",股指期货基差分析!$L$11)</f>
        <v/>
      </c>
      <c r="I3165" s="10" t="str">
        <f>IF(B3165="","",股指期货基差分析!$D$11)</f>
        <v/>
      </c>
    </row>
    <row r="3166" spans="2:9" ht="15" customHeight="1" x14ac:dyDescent="0.2">
      <c r="B3166" s="7"/>
      <c r="C3166" s="5" t="str">
        <f>IF(B3166="","",[1]!s_dq_close(股指期货基差分析!$E$5,$B3166))</f>
        <v/>
      </c>
      <c r="D3166" s="5" t="str">
        <f>IF(B3166="","",[1]!s_dq_close(股指期货基差分析!$E$6,$B3166))</f>
        <v/>
      </c>
      <c r="E3166" s="5" t="e">
        <f ca="1">RANK(F3166,F:F)+COUNTIF(F$2:F3166,F3166)-1</f>
        <v>#VALUE!</v>
      </c>
      <c r="F3166" s="5" t="str">
        <f t="shared" si="50"/>
        <v/>
      </c>
      <c r="G3166" s="5" t="str">
        <f>IF(B3166="","",股指期货基差分析!$N$11)</f>
        <v/>
      </c>
      <c r="H3166" s="5" t="str">
        <f>IF(B3166="","",股指期货基差分析!$L$11)</f>
        <v/>
      </c>
      <c r="I3166" s="9" t="str">
        <f>IF(B3166="","",股指期货基差分析!$D$11)</f>
        <v/>
      </c>
    </row>
    <row r="3167" spans="2:9" ht="15" customHeight="1" x14ac:dyDescent="0.2">
      <c r="B3167" s="8"/>
      <c r="C3167" s="6" t="str">
        <f>IF(B3167="","",[1]!s_dq_close(股指期货基差分析!$E$5,$B3167))</f>
        <v/>
      </c>
      <c r="D3167" s="6" t="str">
        <f>IF(B3167="","",[1]!s_dq_close(股指期货基差分析!$E$6,$B3167))</f>
        <v/>
      </c>
      <c r="E3167" s="6" t="e">
        <f ca="1">RANK(F3167,F:F)+COUNTIF(F$2:F3167,F3167)-1</f>
        <v>#VALUE!</v>
      </c>
      <c r="F3167" s="6" t="str">
        <f t="shared" si="50"/>
        <v/>
      </c>
      <c r="G3167" s="6" t="str">
        <f>IF(B3167="","",股指期货基差分析!$N$11)</f>
        <v/>
      </c>
      <c r="H3167" s="6" t="str">
        <f>IF(B3167="","",股指期货基差分析!$L$11)</f>
        <v/>
      </c>
      <c r="I3167" s="10" t="str">
        <f>IF(B3167="","",股指期货基差分析!$D$11)</f>
        <v/>
      </c>
    </row>
    <row r="3168" spans="2:9" ht="15" customHeight="1" x14ac:dyDescent="0.2">
      <c r="B3168" s="7"/>
      <c r="C3168" s="5" t="str">
        <f>IF(B3168="","",[1]!s_dq_close(股指期货基差分析!$E$5,$B3168))</f>
        <v/>
      </c>
      <c r="D3168" s="5" t="str">
        <f>IF(B3168="","",[1]!s_dq_close(股指期货基差分析!$E$6,$B3168))</f>
        <v/>
      </c>
      <c r="E3168" s="5" t="e">
        <f ca="1">RANK(F3168,F:F)+COUNTIF(F$2:F3168,F3168)-1</f>
        <v>#VALUE!</v>
      </c>
      <c r="F3168" s="5" t="str">
        <f t="shared" si="50"/>
        <v/>
      </c>
      <c r="G3168" s="5" t="str">
        <f>IF(B3168="","",股指期货基差分析!$N$11)</f>
        <v/>
      </c>
      <c r="H3168" s="5" t="str">
        <f>IF(B3168="","",股指期货基差分析!$L$11)</f>
        <v/>
      </c>
      <c r="I3168" s="9" t="str">
        <f>IF(B3168="","",股指期货基差分析!$D$11)</f>
        <v/>
      </c>
    </row>
    <row r="3169" spans="2:9" ht="15" customHeight="1" x14ac:dyDescent="0.2">
      <c r="B3169" s="8"/>
      <c r="C3169" s="6" t="str">
        <f>IF(B3169="","",[1]!s_dq_close(股指期货基差分析!$E$5,$B3169))</f>
        <v/>
      </c>
      <c r="D3169" s="6" t="str">
        <f>IF(B3169="","",[1]!s_dq_close(股指期货基差分析!$E$6,$B3169))</f>
        <v/>
      </c>
      <c r="E3169" s="6" t="e">
        <f ca="1">RANK(F3169,F:F)+COUNTIF(F$2:F3169,F3169)-1</f>
        <v>#VALUE!</v>
      </c>
      <c r="F3169" s="6" t="str">
        <f t="shared" si="50"/>
        <v/>
      </c>
      <c r="G3169" s="6" t="str">
        <f>IF(B3169="","",股指期货基差分析!$N$11)</f>
        <v/>
      </c>
      <c r="H3169" s="6" t="str">
        <f>IF(B3169="","",股指期货基差分析!$L$11)</f>
        <v/>
      </c>
      <c r="I3169" s="10" t="str">
        <f>IF(B3169="","",股指期货基差分析!$D$11)</f>
        <v/>
      </c>
    </row>
    <row r="3170" spans="2:9" ht="15" customHeight="1" x14ac:dyDescent="0.2">
      <c r="B3170" s="7"/>
      <c r="C3170" s="5" t="str">
        <f>IF(B3170="","",[1]!s_dq_close(股指期货基差分析!$E$5,$B3170))</f>
        <v/>
      </c>
      <c r="D3170" s="5" t="str">
        <f>IF(B3170="","",[1]!s_dq_close(股指期货基差分析!$E$6,$B3170))</f>
        <v/>
      </c>
      <c r="E3170" s="5" t="e">
        <f ca="1">RANK(F3170,F:F)+COUNTIF(F$2:F3170,F3170)-1</f>
        <v>#VALUE!</v>
      </c>
      <c r="F3170" s="5" t="str">
        <f t="shared" si="50"/>
        <v/>
      </c>
      <c r="G3170" s="5" t="str">
        <f>IF(B3170="","",股指期货基差分析!$N$11)</f>
        <v/>
      </c>
      <c r="H3170" s="5" t="str">
        <f>IF(B3170="","",股指期货基差分析!$L$11)</f>
        <v/>
      </c>
      <c r="I3170" s="9" t="str">
        <f>IF(B3170="","",股指期货基差分析!$D$11)</f>
        <v/>
      </c>
    </row>
    <row r="3171" spans="2:9" ht="15" customHeight="1" x14ac:dyDescent="0.2">
      <c r="B3171" s="8"/>
      <c r="C3171" s="6" t="str">
        <f>IF(B3171="","",[1]!s_dq_close(股指期货基差分析!$E$5,$B3171))</f>
        <v/>
      </c>
      <c r="D3171" s="6" t="str">
        <f>IF(B3171="","",[1]!s_dq_close(股指期货基差分析!$E$6,$B3171))</f>
        <v/>
      </c>
      <c r="E3171" s="6" t="e">
        <f ca="1">RANK(F3171,F:F)+COUNTIF(F$2:F3171,F3171)-1</f>
        <v>#VALUE!</v>
      </c>
      <c r="F3171" s="6" t="str">
        <f t="shared" si="50"/>
        <v/>
      </c>
      <c r="G3171" s="6" t="str">
        <f>IF(B3171="","",股指期货基差分析!$N$11)</f>
        <v/>
      </c>
      <c r="H3171" s="6" t="str">
        <f>IF(B3171="","",股指期货基差分析!$L$11)</f>
        <v/>
      </c>
      <c r="I3171" s="10" t="str">
        <f>IF(B3171="","",股指期货基差分析!$D$11)</f>
        <v/>
      </c>
    </row>
    <row r="3172" spans="2:9" ht="15" customHeight="1" x14ac:dyDescent="0.2">
      <c r="B3172" s="7"/>
      <c r="C3172" s="5" t="str">
        <f>IF(B3172="","",[1]!s_dq_close(股指期货基差分析!$E$5,$B3172))</f>
        <v/>
      </c>
      <c r="D3172" s="5" t="str">
        <f>IF(B3172="","",[1]!s_dq_close(股指期货基差分析!$E$6,$B3172))</f>
        <v/>
      </c>
      <c r="E3172" s="5" t="e">
        <f ca="1">RANK(F3172,F:F)+COUNTIF(F$2:F3172,F3172)-1</f>
        <v>#VALUE!</v>
      </c>
      <c r="F3172" s="5" t="str">
        <f t="shared" si="50"/>
        <v/>
      </c>
      <c r="G3172" s="5" t="str">
        <f>IF(B3172="","",股指期货基差分析!$N$11)</f>
        <v/>
      </c>
      <c r="H3172" s="5" t="str">
        <f>IF(B3172="","",股指期货基差分析!$L$11)</f>
        <v/>
      </c>
      <c r="I3172" s="9" t="str">
        <f>IF(B3172="","",股指期货基差分析!$D$11)</f>
        <v/>
      </c>
    </row>
    <row r="3173" spans="2:9" ht="15" customHeight="1" x14ac:dyDescent="0.2">
      <c r="B3173" s="8"/>
      <c r="C3173" s="6" t="str">
        <f>IF(B3173="","",[1]!s_dq_close(股指期货基差分析!$E$5,$B3173))</f>
        <v/>
      </c>
      <c r="D3173" s="6" t="str">
        <f>IF(B3173="","",[1]!s_dq_close(股指期货基差分析!$E$6,$B3173))</f>
        <v/>
      </c>
      <c r="E3173" s="6" t="e">
        <f ca="1">RANK(F3173,F:F)+COUNTIF(F$2:F3173,F3173)-1</f>
        <v>#VALUE!</v>
      </c>
      <c r="F3173" s="6" t="str">
        <f t="shared" si="50"/>
        <v/>
      </c>
      <c r="G3173" s="6" t="str">
        <f>IF(B3173="","",股指期货基差分析!$N$11)</f>
        <v/>
      </c>
      <c r="H3173" s="6" t="str">
        <f>IF(B3173="","",股指期货基差分析!$L$11)</f>
        <v/>
      </c>
      <c r="I3173" s="10" t="str">
        <f>IF(B3173="","",股指期货基差分析!$D$11)</f>
        <v/>
      </c>
    </row>
    <row r="3174" spans="2:9" ht="15" customHeight="1" x14ac:dyDescent="0.2">
      <c r="B3174" s="7"/>
      <c r="C3174" s="5" t="str">
        <f>IF(B3174="","",[1]!s_dq_close(股指期货基差分析!$E$5,$B3174))</f>
        <v/>
      </c>
      <c r="D3174" s="5" t="str">
        <f>IF(B3174="","",[1]!s_dq_close(股指期货基差分析!$E$6,$B3174))</f>
        <v/>
      </c>
      <c r="E3174" s="5" t="e">
        <f ca="1">RANK(F3174,F:F)+COUNTIF(F$2:F3174,F3174)-1</f>
        <v>#VALUE!</v>
      </c>
      <c r="F3174" s="5" t="str">
        <f t="shared" si="50"/>
        <v/>
      </c>
      <c r="G3174" s="5" t="str">
        <f>IF(B3174="","",股指期货基差分析!$N$11)</f>
        <v/>
      </c>
      <c r="H3174" s="5" t="str">
        <f>IF(B3174="","",股指期货基差分析!$L$11)</f>
        <v/>
      </c>
      <c r="I3174" s="9" t="str">
        <f>IF(B3174="","",股指期货基差分析!$D$11)</f>
        <v/>
      </c>
    </row>
    <row r="3175" spans="2:9" ht="15" customHeight="1" x14ac:dyDescent="0.2">
      <c r="B3175" s="8"/>
      <c r="C3175" s="6" t="str">
        <f>IF(B3175="","",[1]!s_dq_close(股指期货基差分析!$E$5,$B3175))</f>
        <v/>
      </c>
      <c r="D3175" s="6" t="str">
        <f>IF(B3175="","",[1]!s_dq_close(股指期货基差分析!$E$6,$B3175))</f>
        <v/>
      </c>
      <c r="E3175" s="6" t="e">
        <f ca="1">RANK(F3175,F:F)+COUNTIF(F$2:F3175,F3175)-1</f>
        <v>#VALUE!</v>
      </c>
      <c r="F3175" s="6" t="str">
        <f t="shared" si="50"/>
        <v/>
      </c>
      <c r="G3175" s="6" t="str">
        <f>IF(B3175="","",股指期货基差分析!$N$11)</f>
        <v/>
      </c>
      <c r="H3175" s="6" t="str">
        <f>IF(B3175="","",股指期货基差分析!$L$11)</f>
        <v/>
      </c>
      <c r="I3175" s="10" t="str">
        <f>IF(B3175="","",股指期货基差分析!$D$11)</f>
        <v/>
      </c>
    </row>
    <row r="3176" spans="2:9" ht="15" customHeight="1" x14ac:dyDescent="0.2">
      <c r="B3176" s="7"/>
      <c r="C3176" s="5" t="str">
        <f>IF(B3176="","",[1]!s_dq_close(股指期货基差分析!$E$5,$B3176))</f>
        <v/>
      </c>
      <c r="D3176" s="5" t="str">
        <f>IF(B3176="","",[1]!s_dq_close(股指期货基差分析!$E$6,$B3176))</f>
        <v/>
      </c>
      <c r="E3176" s="5" t="e">
        <f ca="1">RANK(F3176,F:F)+COUNTIF(F$2:F3176,F3176)-1</f>
        <v>#VALUE!</v>
      </c>
      <c r="F3176" s="5" t="str">
        <f t="shared" si="50"/>
        <v/>
      </c>
      <c r="G3176" s="5" t="str">
        <f>IF(B3176="","",股指期货基差分析!$N$11)</f>
        <v/>
      </c>
      <c r="H3176" s="5" t="str">
        <f>IF(B3176="","",股指期货基差分析!$L$11)</f>
        <v/>
      </c>
      <c r="I3176" s="9" t="str">
        <f>IF(B3176="","",股指期货基差分析!$D$11)</f>
        <v/>
      </c>
    </row>
    <row r="3177" spans="2:9" ht="15" customHeight="1" x14ac:dyDescent="0.2">
      <c r="B3177" s="8"/>
      <c r="C3177" s="6" t="str">
        <f>IF(B3177="","",[1]!s_dq_close(股指期货基差分析!$E$5,$B3177))</f>
        <v/>
      </c>
      <c r="D3177" s="6" t="str">
        <f>IF(B3177="","",[1]!s_dq_close(股指期货基差分析!$E$6,$B3177))</f>
        <v/>
      </c>
      <c r="E3177" s="6" t="e">
        <f ca="1">RANK(F3177,F:F)+COUNTIF(F$2:F3177,F3177)-1</f>
        <v>#VALUE!</v>
      </c>
      <c r="F3177" s="6" t="str">
        <f t="shared" si="50"/>
        <v/>
      </c>
      <c r="G3177" s="6" t="str">
        <f>IF(B3177="","",股指期货基差分析!$N$11)</f>
        <v/>
      </c>
      <c r="H3177" s="6" t="str">
        <f>IF(B3177="","",股指期货基差分析!$L$11)</f>
        <v/>
      </c>
      <c r="I3177" s="10" t="str">
        <f>IF(B3177="","",股指期货基差分析!$D$11)</f>
        <v/>
      </c>
    </row>
    <row r="3178" spans="2:9" ht="15" customHeight="1" x14ac:dyDescent="0.2">
      <c r="B3178" s="7"/>
      <c r="C3178" s="5" t="str">
        <f>IF(B3178="","",[1]!s_dq_close(股指期货基差分析!$E$5,$B3178))</f>
        <v/>
      </c>
      <c r="D3178" s="5" t="str">
        <f>IF(B3178="","",[1]!s_dq_close(股指期货基差分析!$E$6,$B3178))</f>
        <v/>
      </c>
      <c r="E3178" s="5" t="e">
        <f ca="1">RANK(F3178,F:F)+COUNTIF(F$2:F3178,F3178)-1</f>
        <v>#VALUE!</v>
      </c>
      <c r="F3178" s="5" t="str">
        <f t="shared" si="50"/>
        <v/>
      </c>
      <c r="G3178" s="5" t="str">
        <f>IF(B3178="","",股指期货基差分析!$N$11)</f>
        <v/>
      </c>
      <c r="H3178" s="5" t="str">
        <f>IF(B3178="","",股指期货基差分析!$L$11)</f>
        <v/>
      </c>
      <c r="I3178" s="9" t="str">
        <f>IF(B3178="","",股指期货基差分析!$D$11)</f>
        <v/>
      </c>
    </row>
    <row r="3179" spans="2:9" ht="15" customHeight="1" x14ac:dyDescent="0.2">
      <c r="B3179" s="8"/>
      <c r="C3179" s="6" t="str">
        <f>IF(B3179="","",[1]!s_dq_close(股指期货基差分析!$E$5,$B3179))</f>
        <v/>
      </c>
      <c r="D3179" s="6" t="str">
        <f>IF(B3179="","",[1]!s_dq_close(股指期货基差分析!$E$6,$B3179))</f>
        <v/>
      </c>
      <c r="E3179" s="6" t="e">
        <f ca="1">RANK(F3179,F:F)+COUNTIF(F$2:F3179,F3179)-1</f>
        <v>#VALUE!</v>
      </c>
      <c r="F3179" s="6" t="str">
        <f t="shared" si="50"/>
        <v/>
      </c>
      <c r="G3179" s="6" t="str">
        <f>IF(B3179="","",股指期货基差分析!$N$11)</f>
        <v/>
      </c>
      <c r="H3179" s="6" t="str">
        <f>IF(B3179="","",股指期货基差分析!$L$11)</f>
        <v/>
      </c>
      <c r="I3179" s="10" t="str">
        <f>IF(B3179="","",股指期货基差分析!$D$11)</f>
        <v/>
      </c>
    </row>
    <row r="3180" spans="2:9" ht="15" customHeight="1" x14ac:dyDescent="0.2">
      <c r="B3180" s="7"/>
      <c r="C3180" s="5" t="str">
        <f>IF(B3180="","",[1]!s_dq_close(股指期货基差分析!$E$5,$B3180))</f>
        <v/>
      </c>
      <c r="D3180" s="5" t="str">
        <f>IF(B3180="","",[1]!s_dq_close(股指期货基差分析!$E$6,$B3180))</f>
        <v/>
      </c>
      <c r="E3180" s="5" t="e">
        <f ca="1">RANK(F3180,F:F)+COUNTIF(F$2:F3180,F3180)-1</f>
        <v>#VALUE!</v>
      </c>
      <c r="F3180" s="5" t="str">
        <f t="shared" si="50"/>
        <v/>
      </c>
      <c r="G3180" s="5" t="str">
        <f>IF(B3180="","",股指期货基差分析!$N$11)</f>
        <v/>
      </c>
      <c r="H3180" s="5" t="str">
        <f>IF(B3180="","",股指期货基差分析!$L$11)</f>
        <v/>
      </c>
      <c r="I3180" s="9" t="str">
        <f>IF(B3180="","",股指期货基差分析!$D$11)</f>
        <v/>
      </c>
    </row>
    <row r="3181" spans="2:9" ht="15" customHeight="1" x14ac:dyDescent="0.2">
      <c r="B3181" s="8"/>
      <c r="C3181" s="6" t="str">
        <f>IF(B3181="","",[1]!s_dq_close(股指期货基差分析!$E$5,$B3181))</f>
        <v/>
      </c>
      <c r="D3181" s="6" t="str">
        <f>IF(B3181="","",[1]!s_dq_close(股指期货基差分析!$E$6,$B3181))</f>
        <v/>
      </c>
      <c r="E3181" s="6" t="e">
        <f ca="1">RANK(F3181,F:F)+COUNTIF(F$2:F3181,F3181)-1</f>
        <v>#VALUE!</v>
      </c>
      <c r="F3181" s="6" t="str">
        <f t="shared" si="50"/>
        <v/>
      </c>
      <c r="G3181" s="6" t="str">
        <f>IF(B3181="","",股指期货基差分析!$N$11)</f>
        <v/>
      </c>
      <c r="H3181" s="6" t="str">
        <f>IF(B3181="","",股指期货基差分析!$L$11)</f>
        <v/>
      </c>
      <c r="I3181" s="10" t="str">
        <f>IF(B3181="","",股指期货基差分析!$D$11)</f>
        <v/>
      </c>
    </row>
    <row r="3182" spans="2:9" ht="15" customHeight="1" x14ac:dyDescent="0.2">
      <c r="B3182" s="7"/>
      <c r="C3182" s="5" t="str">
        <f>IF(B3182="","",[1]!s_dq_close(股指期货基差分析!$E$5,$B3182))</f>
        <v/>
      </c>
      <c r="D3182" s="5" t="str">
        <f>IF(B3182="","",[1]!s_dq_close(股指期货基差分析!$E$6,$B3182))</f>
        <v/>
      </c>
      <c r="E3182" s="5" t="e">
        <f ca="1">RANK(F3182,F:F)+COUNTIF(F$2:F3182,F3182)-1</f>
        <v>#VALUE!</v>
      </c>
      <c r="F3182" s="5" t="str">
        <f t="shared" si="50"/>
        <v/>
      </c>
      <c r="G3182" s="5" t="str">
        <f>IF(B3182="","",股指期货基差分析!$N$11)</f>
        <v/>
      </c>
      <c r="H3182" s="5" t="str">
        <f>IF(B3182="","",股指期货基差分析!$L$11)</f>
        <v/>
      </c>
      <c r="I3182" s="9" t="str">
        <f>IF(B3182="","",股指期货基差分析!$D$11)</f>
        <v/>
      </c>
    </row>
    <row r="3183" spans="2:9" ht="15" customHeight="1" x14ac:dyDescent="0.2">
      <c r="B3183" s="8"/>
      <c r="C3183" s="6" t="str">
        <f>IF(B3183="","",[1]!s_dq_close(股指期货基差分析!$E$5,$B3183))</f>
        <v/>
      </c>
      <c r="D3183" s="6" t="str">
        <f>IF(B3183="","",[1]!s_dq_close(股指期货基差分析!$E$6,$B3183))</f>
        <v/>
      </c>
      <c r="E3183" s="6" t="e">
        <f ca="1">RANK(F3183,F:F)+COUNTIF(F$2:F3183,F3183)-1</f>
        <v>#VALUE!</v>
      </c>
      <c r="F3183" s="6" t="str">
        <f t="shared" si="50"/>
        <v/>
      </c>
      <c r="G3183" s="6" t="str">
        <f>IF(B3183="","",股指期货基差分析!$N$11)</f>
        <v/>
      </c>
      <c r="H3183" s="6" t="str">
        <f>IF(B3183="","",股指期货基差分析!$L$11)</f>
        <v/>
      </c>
      <c r="I3183" s="10" t="str">
        <f>IF(B3183="","",股指期货基差分析!$D$11)</f>
        <v/>
      </c>
    </row>
    <row r="3184" spans="2:9" ht="15" customHeight="1" x14ac:dyDescent="0.2">
      <c r="B3184" s="7"/>
      <c r="C3184" s="5" t="str">
        <f>IF(B3184="","",[1]!s_dq_close(股指期货基差分析!$E$5,$B3184))</f>
        <v/>
      </c>
      <c r="D3184" s="5" t="str">
        <f>IF(B3184="","",[1]!s_dq_close(股指期货基差分析!$E$6,$B3184))</f>
        <v/>
      </c>
      <c r="E3184" s="5" t="e">
        <f ca="1">RANK(F3184,F:F)+COUNTIF(F$2:F3184,F3184)-1</f>
        <v>#VALUE!</v>
      </c>
      <c r="F3184" s="5" t="str">
        <f t="shared" si="50"/>
        <v/>
      </c>
      <c r="G3184" s="5" t="str">
        <f>IF(B3184="","",股指期货基差分析!$N$11)</f>
        <v/>
      </c>
      <c r="H3184" s="5" t="str">
        <f>IF(B3184="","",股指期货基差分析!$L$11)</f>
        <v/>
      </c>
      <c r="I3184" s="9" t="str">
        <f>IF(B3184="","",股指期货基差分析!$D$11)</f>
        <v/>
      </c>
    </row>
    <row r="3185" spans="2:9" ht="15" customHeight="1" x14ac:dyDescent="0.2">
      <c r="B3185" s="8"/>
      <c r="C3185" s="6" t="str">
        <f>IF(B3185="","",[1]!s_dq_close(股指期货基差分析!$E$5,$B3185))</f>
        <v/>
      </c>
      <c r="D3185" s="6" t="str">
        <f>IF(B3185="","",[1]!s_dq_close(股指期货基差分析!$E$6,$B3185))</f>
        <v/>
      </c>
      <c r="E3185" s="6" t="e">
        <f ca="1">RANK(F3185,F:F)+COUNTIF(F$2:F3185,F3185)-1</f>
        <v>#VALUE!</v>
      </c>
      <c r="F3185" s="6" t="str">
        <f t="shared" si="50"/>
        <v/>
      </c>
      <c r="G3185" s="6" t="str">
        <f>IF(B3185="","",股指期货基差分析!$N$11)</f>
        <v/>
      </c>
      <c r="H3185" s="6" t="str">
        <f>IF(B3185="","",股指期货基差分析!$L$11)</f>
        <v/>
      </c>
      <c r="I3185" s="10" t="str">
        <f>IF(B3185="","",股指期货基差分析!$D$11)</f>
        <v/>
      </c>
    </row>
    <row r="3186" spans="2:9" ht="15" customHeight="1" x14ac:dyDescent="0.2">
      <c r="B3186" s="7"/>
      <c r="C3186" s="5" t="str">
        <f>IF(B3186="","",[1]!s_dq_close(股指期货基差分析!$E$5,$B3186))</f>
        <v/>
      </c>
      <c r="D3186" s="5" t="str">
        <f>IF(B3186="","",[1]!s_dq_close(股指期货基差分析!$E$6,$B3186))</f>
        <v/>
      </c>
      <c r="E3186" s="5" t="e">
        <f ca="1">RANK(F3186,F:F)+COUNTIF(F$2:F3186,F3186)-1</f>
        <v>#VALUE!</v>
      </c>
      <c r="F3186" s="5" t="str">
        <f t="shared" si="50"/>
        <v/>
      </c>
      <c r="G3186" s="5" t="str">
        <f>IF(B3186="","",股指期货基差分析!$N$11)</f>
        <v/>
      </c>
      <c r="H3186" s="5" t="str">
        <f>IF(B3186="","",股指期货基差分析!$L$11)</f>
        <v/>
      </c>
      <c r="I3186" s="9" t="str">
        <f>IF(B3186="","",股指期货基差分析!$D$11)</f>
        <v/>
      </c>
    </row>
    <row r="3187" spans="2:9" ht="15" customHeight="1" x14ac:dyDescent="0.2">
      <c r="B3187" s="8"/>
      <c r="C3187" s="6" t="str">
        <f>IF(B3187="","",[1]!s_dq_close(股指期货基差分析!$E$5,$B3187))</f>
        <v/>
      </c>
      <c r="D3187" s="6" t="str">
        <f>IF(B3187="","",[1]!s_dq_close(股指期货基差分析!$E$6,$B3187))</f>
        <v/>
      </c>
      <c r="E3187" s="6" t="e">
        <f ca="1">RANK(F3187,F:F)+COUNTIF(F$2:F3187,F3187)-1</f>
        <v>#VALUE!</v>
      </c>
      <c r="F3187" s="6" t="str">
        <f t="shared" si="50"/>
        <v/>
      </c>
      <c r="G3187" s="6" t="str">
        <f>IF(B3187="","",股指期货基差分析!$N$11)</f>
        <v/>
      </c>
      <c r="H3187" s="6" t="str">
        <f>IF(B3187="","",股指期货基差分析!$L$11)</f>
        <v/>
      </c>
      <c r="I3187" s="10" t="str">
        <f>IF(B3187="","",股指期货基差分析!$D$11)</f>
        <v/>
      </c>
    </row>
    <row r="3188" spans="2:9" ht="15" customHeight="1" x14ac:dyDescent="0.2">
      <c r="B3188" s="7"/>
      <c r="C3188" s="5" t="str">
        <f>IF(B3188="","",[1]!s_dq_close(股指期货基差分析!$E$5,$B3188))</f>
        <v/>
      </c>
      <c r="D3188" s="5" t="str">
        <f>IF(B3188="","",[1]!s_dq_close(股指期货基差分析!$E$6,$B3188))</f>
        <v/>
      </c>
      <c r="E3188" s="5" t="e">
        <f ca="1">RANK(F3188,F:F)+COUNTIF(F$2:F3188,F3188)-1</f>
        <v>#VALUE!</v>
      </c>
      <c r="F3188" s="5" t="str">
        <f t="shared" si="50"/>
        <v/>
      </c>
      <c r="G3188" s="5" t="str">
        <f>IF(B3188="","",股指期货基差分析!$N$11)</f>
        <v/>
      </c>
      <c r="H3188" s="5" t="str">
        <f>IF(B3188="","",股指期货基差分析!$L$11)</f>
        <v/>
      </c>
      <c r="I3188" s="9" t="str">
        <f>IF(B3188="","",股指期货基差分析!$D$11)</f>
        <v/>
      </c>
    </row>
    <row r="3189" spans="2:9" ht="15" customHeight="1" x14ac:dyDescent="0.2">
      <c r="B3189" s="8"/>
      <c r="C3189" s="6" t="str">
        <f>IF(B3189="","",[1]!s_dq_close(股指期货基差分析!$E$5,$B3189))</f>
        <v/>
      </c>
      <c r="D3189" s="6" t="str">
        <f>IF(B3189="","",[1]!s_dq_close(股指期货基差分析!$E$6,$B3189))</f>
        <v/>
      </c>
      <c r="E3189" s="6" t="e">
        <f ca="1">RANK(F3189,F:F)+COUNTIF(F$2:F3189,F3189)-1</f>
        <v>#VALUE!</v>
      </c>
      <c r="F3189" s="6" t="str">
        <f t="shared" si="50"/>
        <v/>
      </c>
      <c r="G3189" s="6" t="str">
        <f>IF(B3189="","",股指期货基差分析!$N$11)</f>
        <v/>
      </c>
      <c r="H3189" s="6" t="str">
        <f>IF(B3189="","",股指期货基差分析!$L$11)</f>
        <v/>
      </c>
      <c r="I3189" s="10" t="str">
        <f>IF(B3189="","",股指期货基差分析!$D$11)</f>
        <v/>
      </c>
    </row>
    <row r="3190" spans="2:9" ht="15" customHeight="1" x14ac:dyDescent="0.2">
      <c r="B3190" s="7"/>
      <c r="C3190" s="5" t="str">
        <f>IF(B3190="","",[1]!s_dq_close(股指期货基差分析!$E$5,$B3190))</f>
        <v/>
      </c>
      <c r="D3190" s="5" t="str">
        <f>IF(B3190="","",[1]!s_dq_close(股指期货基差分析!$E$6,$B3190))</f>
        <v/>
      </c>
      <c r="E3190" s="5" t="e">
        <f ca="1">RANK(F3190,F:F)+COUNTIF(F$2:F3190,F3190)-1</f>
        <v>#VALUE!</v>
      </c>
      <c r="F3190" s="5" t="str">
        <f t="shared" si="50"/>
        <v/>
      </c>
      <c r="G3190" s="5" t="str">
        <f>IF(B3190="","",股指期货基差分析!$N$11)</f>
        <v/>
      </c>
      <c r="H3190" s="5" t="str">
        <f>IF(B3190="","",股指期货基差分析!$L$11)</f>
        <v/>
      </c>
      <c r="I3190" s="9" t="str">
        <f>IF(B3190="","",股指期货基差分析!$D$11)</f>
        <v/>
      </c>
    </row>
    <row r="3191" spans="2:9" ht="15" customHeight="1" x14ac:dyDescent="0.2">
      <c r="B3191" s="8"/>
      <c r="C3191" s="6" t="str">
        <f>IF(B3191="","",[1]!s_dq_close(股指期货基差分析!$E$5,$B3191))</f>
        <v/>
      </c>
      <c r="D3191" s="6" t="str">
        <f>IF(B3191="","",[1]!s_dq_close(股指期货基差分析!$E$6,$B3191))</f>
        <v/>
      </c>
      <c r="E3191" s="6" t="e">
        <f ca="1">RANK(F3191,F:F)+COUNTIF(F$2:F3191,F3191)-1</f>
        <v>#VALUE!</v>
      </c>
      <c r="F3191" s="6" t="str">
        <f t="shared" si="50"/>
        <v/>
      </c>
      <c r="G3191" s="6" t="str">
        <f>IF(B3191="","",股指期货基差分析!$N$11)</f>
        <v/>
      </c>
      <c r="H3191" s="6" t="str">
        <f>IF(B3191="","",股指期货基差分析!$L$11)</f>
        <v/>
      </c>
      <c r="I3191" s="10" t="str">
        <f>IF(B3191="","",股指期货基差分析!$D$11)</f>
        <v/>
      </c>
    </row>
    <row r="3192" spans="2:9" ht="15" customHeight="1" x14ac:dyDescent="0.2">
      <c r="B3192" s="7"/>
      <c r="C3192" s="5" t="str">
        <f>IF(B3192="","",[1]!s_dq_close(股指期货基差分析!$E$5,$B3192))</f>
        <v/>
      </c>
      <c r="D3192" s="5" t="str">
        <f>IF(B3192="","",[1]!s_dq_close(股指期货基差分析!$E$6,$B3192))</f>
        <v/>
      </c>
      <c r="E3192" s="5" t="e">
        <f ca="1">RANK(F3192,F:F)+COUNTIF(F$2:F3192,F3192)-1</f>
        <v>#VALUE!</v>
      </c>
      <c r="F3192" s="5" t="str">
        <f t="shared" si="50"/>
        <v/>
      </c>
      <c r="G3192" s="5" t="str">
        <f>IF(B3192="","",股指期货基差分析!$N$11)</f>
        <v/>
      </c>
      <c r="H3192" s="5" t="str">
        <f>IF(B3192="","",股指期货基差分析!$L$11)</f>
        <v/>
      </c>
      <c r="I3192" s="9" t="str">
        <f>IF(B3192="","",股指期货基差分析!$D$11)</f>
        <v/>
      </c>
    </row>
    <row r="3193" spans="2:9" ht="15" customHeight="1" x14ac:dyDescent="0.2">
      <c r="B3193" s="8"/>
      <c r="C3193" s="6" t="str">
        <f>IF(B3193="","",[1]!s_dq_close(股指期货基差分析!$E$5,$B3193))</f>
        <v/>
      </c>
      <c r="D3193" s="6" t="str">
        <f>IF(B3193="","",[1]!s_dq_close(股指期货基差分析!$E$6,$B3193))</f>
        <v/>
      </c>
      <c r="E3193" s="6" t="e">
        <f ca="1">RANK(F3193,F:F)+COUNTIF(F$2:F3193,F3193)-1</f>
        <v>#VALUE!</v>
      </c>
      <c r="F3193" s="6" t="str">
        <f t="shared" si="50"/>
        <v/>
      </c>
      <c r="G3193" s="6" t="str">
        <f>IF(B3193="","",股指期货基差分析!$N$11)</f>
        <v/>
      </c>
      <c r="H3193" s="6" t="str">
        <f>IF(B3193="","",股指期货基差分析!$L$11)</f>
        <v/>
      </c>
      <c r="I3193" s="10" t="str">
        <f>IF(B3193="","",股指期货基差分析!$D$11)</f>
        <v/>
      </c>
    </row>
    <row r="3194" spans="2:9" ht="15" customHeight="1" x14ac:dyDescent="0.2">
      <c r="B3194" s="7"/>
      <c r="C3194" s="5" t="str">
        <f>IF(B3194="","",[1]!s_dq_close(股指期货基差分析!$E$5,$B3194))</f>
        <v/>
      </c>
      <c r="D3194" s="5" t="str">
        <f>IF(B3194="","",[1]!s_dq_close(股指期货基差分析!$E$6,$B3194))</f>
        <v/>
      </c>
      <c r="E3194" s="5" t="e">
        <f ca="1">RANK(F3194,F:F)+COUNTIF(F$2:F3194,F3194)-1</f>
        <v>#VALUE!</v>
      </c>
      <c r="F3194" s="5" t="str">
        <f t="shared" si="50"/>
        <v/>
      </c>
      <c r="G3194" s="5" t="str">
        <f>IF(B3194="","",股指期货基差分析!$N$11)</f>
        <v/>
      </c>
      <c r="H3194" s="5" t="str">
        <f>IF(B3194="","",股指期货基差分析!$L$11)</f>
        <v/>
      </c>
      <c r="I3194" s="9" t="str">
        <f>IF(B3194="","",股指期货基差分析!$D$11)</f>
        <v/>
      </c>
    </row>
    <row r="3195" spans="2:9" ht="15" customHeight="1" x14ac:dyDescent="0.2">
      <c r="B3195" s="8"/>
      <c r="C3195" s="6" t="str">
        <f>IF(B3195="","",[1]!s_dq_close(股指期货基差分析!$E$5,$B3195))</f>
        <v/>
      </c>
      <c r="D3195" s="6" t="str">
        <f>IF(B3195="","",[1]!s_dq_close(股指期货基差分析!$E$6,$B3195))</f>
        <v/>
      </c>
      <c r="E3195" s="6" t="e">
        <f ca="1">RANK(F3195,F:F)+COUNTIF(F$2:F3195,F3195)-1</f>
        <v>#VALUE!</v>
      </c>
      <c r="F3195" s="6" t="str">
        <f t="shared" si="50"/>
        <v/>
      </c>
      <c r="G3195" s="6" t="str">
        <f>IF(B3195="","",股指期货基差分析!$N$11)</f>
        <v/>
      </c>
      <c r="H3195" s="6" t="str">
        <f>IF(B3195="","",股指期货基差分析!$L$11)</f>
        <v/>
      </c>
      <c r="I3195" s="10" t="str">
        <f>IF(B3195="","",股指期货基差分析!$D$11)</f>
        <v/>
      </c>
    </row>
    <row r="3196" spans="2:9" ht="15" customHeight="1" x14ac:dyDescent="0.2">
      <c r="B3196" s="7"/>
      <c r="C3196" s="5" t="str">
        <f>IF(B3196="","",[1]!s_dq_close(股指期货基差分析!$E$5,$B3196))</f>
        <v/>
      </c>
      <c r="D3196" s="5" t="str">
        <f>IF(B3196="","",[1]!s_dq_close(股指期货基差分析!$E$6,$B3196))</f>
        <v/>
      </c>
      <c r="E3196" s="5" t="e">
        <f ca="1">RANK(F3196,F:F)+COUNTIF(F$2:F3196,F3196)-1</f>
        <v>#VALUE!</v>
      </c>
      <c r="F3196" s="5" t="str">
        <f t="shared" si="50"/>
        <v/>
      </c>
      <c r="G3196" s="5" t="str">
        <f>IF(B3196="","",股指期货基差分析!$N$11)</f>
        <v/>
      </c>
      <c r="H3196" s="5" t="str">
        <f>IF(B3196="","",股指期货基差分析!$L$11)</f>
        <v/>
      </c>
      <c r="I3196" s="9" t="str">
        <f>IF(B3196="","",股指期货基差分析!$D$11)</f>
        <v/>
      </c>
    </row>
    <row r="3197" spans="2:9" ht="15" customHeight="1" x14ac:dyDescent="0.2">
      <c r="B3197" s="8"/>
      <c r="C3197" s="6" t="str">
        <f>IF(B3197="","",[1]!s_dq_close(股指期货基差分析!$E$5,$B3197))</f>
        <v/>
      </c>
      <c r="D3197" s="6" t="str">
        <f>IF(B3197="","",[1]!s_dq_close(股指期货基差分析!$E$6,$B3197))</f>
        <v/>
      </c>
      <c r="E3197" s="6" t="e">
        <f ca="1">RANK(F3197,F:F)+COUNTIF(F$2:F3197,F3197)-1</f>
        <v>#VALUE!</v>
      </c>
      <c r="F3197" s="6" t="str">
        <f t="shared" si="50"/>
        <v/>
      </c>
      <c r="G3197" s="6" t="str">
        <f>IF(B3197="","",股指期货基差分析!$N$11)</f>
        <v/>
      </c>
      <c r="H3197" s="6" t="str">
        <f>IF(B3197="","",股指期货基差分析!$L$11)</f>
        <v/>
      </c>
      <c r="I3197" s="10" t="str">
        <f>IF(B3197="","",股指期货基差分析!$D$11)</f>
        <v/>
      </c>
    </row>
    <row r="3198" spans="2:9" ht="15" customHeight="1" x14ac:dyDescent="0.2">
      <c r="B3198" s="7"/>
      <c r="C3198" s="5" t="str">
        <f>IF(B3198="","",[1]!s_dq_close(股指期货基差分析!$E$5,$B3198))</f>
        <v/>
      </c>
      <c r="D3198" s="5" t="str">
        <f>IF(B3198="","",[1]!s_dq_close(股指期货基差分析!$E$6,$B3198))</f>
        <v/>
      </c>
      <c r="E3198" s="5" t="e">
        <f ca="1">RANK(F3198,F:F)+COUNTIF(F$2:F3198,F3198)-1</f>
        <v>#VALUE!</v>
      </c>
      <c r="F3198" s="5" t="str">
        <f t="shared" si="50"/>
        <v/>
      </c>
      <c r="G3198" s="5" t="str">
        <f>IF(B3198="","",股指期货基差分析!$N$11)</f>
        <v/>
      </c>
      <c r="H3198" s="5" t="str">
        <f>IF(B3198="","",股指期货基差分析!$L$11)</f>
        <v/>
      </c>
      <c r="I3198" s="9" t="str">
        <f>IF(B3198="","",股指期货基差分析!$D$11)</f>
        <v/>
      </c>
    </row>
    <row r="3199" spans="2:9" ht="15" customHeight="1" x14ac:dyDescent="0.2">
      <c r="B3199" s="8"/>
      <c r="C3199" s="6" t="str">
        <f>IF(B3199="","",[1]!s_dq_close(股指期货基差分析!$E$5,$B3199))</f>
        <v/>
      </c>
      <c r="D3199" s="6" t="str">
        <f>IF(B3199="","",[1]!s_dq_close(股指期货基差分析!$E$6,$B3199))</f>
        <v/>
      </c>
      <c r="E3199" s="6" t="e">
        <f ca="1">RANK(F3199,F:F)+COUNTIF(F$2:F3199,F3199)-1</f>
        <v>#VALUE!</v>
      </c>
      <c r="F3199" s="6" t="str">
        <f t="shared" si="50"/>
        <v/>
      </c>
      <c r="G3199" s="6" t="str">
        <f>IF(B3199="","",股指期货基差分析!$N$11)</f>
        <v/>
      </c>
      <c r="H3199" s="6" t="str">
        <f>IF(B3199="","",股指期货基差分析!$L$11)</f>
        <v/>
      </c>
      <c r="I3199" s="10" t="str">
        <f>IF(B3199="","",股指期货基差分析!$D$11)</f>
        <v/>
      </c>
    </row>
    <row r="3200" spans="2:9" ht="15" customHeight="1" x14ac:dyDescent="0.2">
      <c r="B3200" s="7"/>
      <c r="C3200" s="5" t="str">
        <f>IF(B3200="","",[1]!s_dq_close(股指期货基差分析!$E$5,$B3200))</f>
        <v/>
      </c>
      <c r="D3200" s="5" t="str">
        <f>IF(B3200="","",[1]!s_dq_close(股指期货基差分析!$E$6,$B3200))</f>
        <v/>
      </c>
      <c r="E3200" s="5" t="e">
        <f ca="1">RANK(F3200,F:F)+COUNTIF(F$2:F3200,F3200)-1</f>
        <v>#VALUE!</v>
      </c>
      <c r="F3200" s="5" t="str">
        <f t="shared" si="50"/>
        <v/>
      </c>
      <c r="G3200" s="5" t="str">
        <f>IF(B3200="","",股指期货基差分析!$N$11)</f>
        <v/>
      </c>
      <c r="H3200" s="5" t="str">
        <f>IF(B3200="","",股指期货基差分析!$L$11)</f>
        <v/>
      </c>
      <c r="I3200" s="9" t="str">
        <f>IF(B3200="","",股指期货基差分析!$D$11)</f>
        <v/>
      </c>
    </row>
    <row r="3201" spans="2:9" ht="15" customHeight="1" x14ac:dyDescent="0.2">
      <c r="B3201" s="8"/>
      <c r="C3201" s="6" t="str">
        <f>IF(B3201="","",[1]!s_dq_close(股指期货基差分析!$E$5,$B3201))</f>
        <v/>
      </c>
      <c r="D3201" s="6" t="str">
        <f>IF(B3201="","",[1]!s_dq_close(股指期货基差分析!$E$6,$B3201))</f>
        <v/>
      </c>
      <c r="E3201" s="6" t="e">
        <f ca="1">RANK(F3201,F:F)+COUNTIF(F$2:F3201,F3201)-1</f>
        <v>#VALUE!</v>
      </c>
      <c r="F3201" s="6" t="str">
        <f t="shared" si="50"/>
        <v/>
      </c>
      <c r="G3201" s="6" t="str">
        <f>IF(B3201="","",股指期货基差分析!$N$11)</f>
        <v/>
      </c>
      <c r="H3201" s="6" t="str">
        <f>IF(B3201="","",股指期货基差分析!$L$11)</f>
        <v/>
      </c>
      <c r="I3201" s="10" t="str">
        <f>IF(B3201="","",股指期货基差分析!$D$11)</f>
        <v/>
      </c>
    </row>
    <row r="3202" spans="2:9" ht="15" customHeight="1" x14ac:dyDescent="0.2">
      <c r="B3202" s="7"/>
      <c r="C3202" s="5" t="str">
        <f>IF(B3202="","",[1]!s_dq_close(股指期货基差分析!$E$5,$B3202))</f>
        <v/>
      </c>
      <c r="D3202" s="5" t="str">
        <f>IF(B3202="","",[1]!s_dq_close(股指期货基差分析!$E$6,$B3202))</f>
        <v/>
      </c>
      <c r="E3202" s="5" t="e">
        <f ca="1">RANK(F3202,F:F)+COUNTIF(F$2:F3202,F3202)-1</f>
        <v>#VALUE!</v>
      </c>
      <c r="F3202" s="5" t="str">
        <f t="shared" ref="F3202:F3265" si="51">IF(B3202="","",D3202-C3202)</f>
        <v/>
      </c>
      <c r="G3202" s="5" t="str">
        <f>IF(B3202="","",股指期货基差分析!$N$11)</f>
        <v/>
      </c>
      <c r="H3202" s="5" t="str">
        <f>IF(B3202="","",股指期货基差分析!$L$11)</f>
        <v/>
      </c>
      <c r="I3202" s="9" t="str">
        <f>IF(B3202="","",股指期货基差分析!$D$11)</f>
        <v/>
      </c>
    </row>
    <row r="3203" spans="2:9" ht="15" customHeight="1" x14ac:dyDescent="0.2">
      <c r="B3203" s="8"/>
      <c r="C3203" s="6" t="str">
        <f>IF(B3203="","",[1]!s_dq_close(股指期货基差分析!$E$5,$B3203))</f>
        <v/>
      </c>
      <c r="D3203" s="6" t="str">
        <f>IF(B3203="","",[1]!s_dq_close(股指期货基差分析!$E$6,$B3203))</f>
        <v/>
      </c>
      <c r="E3203" s="6" t="e">
        <f ca="1">RANK(F3203,F:F)+COUNTIF(F$2:F3203,F3203)-1</f>
        <v>#VALUE!</v>
      </c>
      <c r="F3203" s="6" t="str">
        <f t="shared" si="51"/>
        <v/>
      </c>
      <c r="G3203" s="6" t="str">
        <f>IF(B3203="","",股指期货基差分析!$N$11)</f>
        <v/>
      </c>
      <c r="H3203" s="6" t="str">
        <f>IF(B3203="","",股指期货基差分析!$L$11)</f>
        <v/>
      </c>
      <c r="I3203" s="10" t="str">
        <f>IF(B3203="","",股指期货基差分析!$D$11)</f>
        <v/>
      </c>
    </row>
    <row r="3204" spans="2:9" ht="15" customHeight="1" x14ac:dyDescent="0.2">
      <c r="B3204" s="7"/>
      <c r="C3204" s="5" t="str">
        <f>IF(B3204="","",[1]!s_dq_close(股指期货基差分析!$E$5,$B3204))</f>
        <v/>
      </c>
      <c r="D3204" s="5" t="str">
        <f>IF(B3204="","",[1]!s_dq_close(股指期货基差分析!$E$6,$B3204))</f>
        <v/>
      </c>
      <c r="E3204" s="5" t="e">
        <f ca="1">RANK(F3204,F:F)+COUNTIF(F$2:F3204,F3204)-1</f>
        <v>#VALUE!</v>
      </c>
      <c r="F3204" s="5" t="str">
        <f t="shared" si="51"/>
        <v/>
      </c>
      <c r="G3204" s="5" t="str">
        <f>IF(B3204="","",股指期货基差分析!$N$11)</f>
        <v/>
      </c>
      <c r="H3204" s="5" t="str">
        <f>IF(B3204="","",股指期货基差分析!$L$11)</f>
        <v/>
      </c>
      <c r="I3204" s="9" t="str">
        <f>IF(B3204="","",股指期货基差分析!$D$11)</f>
        <v/>
      </c>
    </row>
    <row r="3205" spans="2:9" ht="15" customHeight="1" x14ac:dyDescent="0.2">
      <c r="B3205" s="8"/>
      <c r="C3205" s="6" t="str">
        <f>IF(B3205="","",[1]!s_dq_close(股指期货基差分析!$E$5,$B3205))</f>
        <v/>
      </c>
      <c r="D3205" s="6" t="str">
        <f>IF(B3205="","",[1]!s_dq_close(股指期货基差分析!$E$6,$B3205))</f>
        <v/>
      </c>
      <c r="E3205" s="6" t="e">
        <f ca="1">RANK(F3205,F:F)+COUNTIF(F$2:F3205,F3205)-1</f>
        <v>#VALUE!</v>
      </c>
      <c r="F3205" s="6" t="str">
        <f t="shared" si="51"/>
        <v/>
      </c>
      <c r="G3205" s="6" t="str">
        <f>IF(B3205="","",股指期货基差分析!$N$11)</f>
        <v/>
      </c>
      <c r="H3205" s="6" t="str">
        <f>IF(B3205="","",股指期货基差分析!$L$11)</f>
        <v/>
      </c>
      <c r="I3205" s="10" t="str">
        <f>IF(B3205="","",股指期货基差分析!$D$11)</f>
        <v/>
      </c>
    </row>
    <row r="3206" spans="2:9" ht="15" customHeight="1" x14ac:dyDescent="0.2">
      <c r="B3206" s="7"/>
      <c r="C3206" s="5" t="str">
        <f>IF(B3206="","",[1]!s_dq_close(股指期货基差分析!$E$5,$B3206))</f>
        <v/>
      </c>
      <c r="D3206" s="5" t="str">
        <f>IF(B3206="","",[1]!s_dq_close(股指期货基差分析!$E$6,$B3206))</f>
        <v/>
      </c>
      <c r="E3206" s="5" t="e">
        <f ca="1">RANK(F3206,F:F)+COUNTIF(F$2:F3206,F3206)-1</f>
        <v>#VALUE!</v>
      </c>
      <c r="F3206" s="5" t="str">
        <f t="shared" si="51"/>
        <v/>
      </c>
      <c r="G3206" s="5" t="str">
        <f>IF(B3206="","",股指期货基差分析!$N$11)</f>
        <v/>
      </c>
      <c r="H3206" s="5" t="str">
        <f>IF(B3206="","",股指期货基差分析!$L$11)</f>
        <v/>
      </c>
      <c r="I3206" s="9" t="str">
        <f>IF(B3206="","",股指期货基差分析!$D$11)</f>
        <v/>
      </c>
    </row>
    <row r="3207" spans="2:9" ht="15" customHeight="1" x14ac:dyDescent="0.2">
      <c r="B3207" s="8"/>
      <c r="C3207" s="6" t="str">
        <f>IF(B3207="","",[1]!s_dq_close(股指期货基差分析!$E$5,$B3207))</f>
        <v/>
      </c>
      <c r="D3207" s="6" t="str">
        <f>IF(B3207="","",[1]!s_dq_close(股指期货基差分析!$E$6,$B3207))</f>
        <v/>
      </c>
      <c r="E3207" s="6" t="e">
        <f ca="1">RANK(F3207,F:F)+COUNTIF(F$2:F3207,F3207)-1</f>
        <v>#VALUE!</v>
      </c>
      <c r="F3207" s="6" t="str">
        <f t="shared" si="51"/>
        <v/>
      </c>
      <c r="G3207" s="6" t="str">
        <f>IF(B3207="","",股指期货基差分析!$N$11)</f>
        <v/>
      </c>
      <c r="H3207" s="6" t="str">
        <f>IF(B3207="","",股指期货基差分析!$L$11)</f>
        <v/>
      </c>
      <c r="I3207" s="10" t="str">
        <f>IF(B3207="","",股指期货基差分析!$D$11)</f>
        <v/>
      </c>
    </row>
    <row r="3208" spans="2:9" ht="15" customHeight="1" x14ac:dyDescent="0.2">
      <c r="B3208" s="7"/>
      <c r="C3208" s="5" t="str">
        <f>IF(B3208="","",[1]!s_dq_close(股指期货基差分析!$E$5,$B3208))</f>
        <v/>
      </c>
      <c r="D3208" s="5" t="str">
        <f>IF(B3208="","",[1]!s_dq_close(股指期货基差分析!$E$6,$B3208))</f>
        <v/>
      </c>
      <c r="E3208" s="5" t="e">
        <f ca="1">RANK(F3208,F:F)+COUNTIF(F$2:F3208,F3208)-1</f>
        <v>#VALUE!</v>
      </c>
      <c r="F3208" s="5" t="str">
        <f t="shared" si="51"/>
        <v/>
      </c>
      <c r="G3208" s="5" t="str">
        <f>IF(B3208="","",股指期货基差分析!$N$11)</f>
        <v/>
      </c>
      <c r="H3208" s="5" t="str">
        <f>IF(B3208="","",股指期货基差分析!$L$11)</f>
        <v/>
      </c>
      <c r="I3208" s="9" t="str">
        <f>IF(B3208="","",股指期货基差分析!$D$11)</f>
        <v/>
      </c>
    </row>
    <row r="3209" spans="2:9" ht="15" customHeight="1" x14ac:dyDescent="0.2">
      <c r="B3209" s="8"/>
      <c r="C3209" s="6" t="str">
        <f>IF(B3209="","",[1]!s_dq_close(股指期货基差分析!$E$5,$B3209))</f>
        <v/>
      </c>
      <c r="D3209" s="6" t="str">
        <f>IF(B3209="","",[1]!s_dq_close(股指期货基差分析!$E$6,$B3209))</f>
        <v/>
      </c>
      <c r="E3209" s="6" t="e">
        <f ca="1">RANK(F3209,F:F)+COUNTIF(F$2:F3209,F3209)-1</f>
        <v>#VALUE!</v>
      </c>
      <c r="F3209" s="6" t="str">
        <f t="shared" si="51"/>
        <v/>
      </c>
      <c r="G3209" s="6" t="str">
        <f>IF(B3209="","",股指期货基差分析!$N$11)</f>
        <v/>
      </c>
      <c r="H3209" s="6" t="str">
        <f>IF(B3209="","",股指期货基差分析!$L$11)</f>
        <v/>
      </c>
      <c r="I3209" s="10" t="str">
        <f>IF(B3209="","",股指期货基差分析!$D$11)</f>
        <v/>
      </c>
    </row>
    <row r="3210" spans="2:9" ht="15" customHeight="1" x14ac:dyDescent="0.2">
      <c r="B3210" s="7"/>
      <c r="C3210" s="5" t="str">
        <f>IF(B3210="","",[1]!s_dq_close(股指期货基差分析!$E$5,$B3210))</f>
        <v/>
      </c>
      <c r="D3210" s="5" t="str">
        <f>IF(B3210="","",[1]!s_dq_close(股指期货基差分析!$E$6,$B3210))</f>
        <v/>
      </c>
      <c r="E3210" s="5" t="e">
        <f ca="1">RANK(F3210,F:F)+COUNTIF(F$2:F3210,F3210)-1</f>
        <v>#VALUE!</v>
      </c>
      <c r="F3210" s="5" t="str">
        <f t="shared" si="51"/>
        <v/>
      </c>
      <c r="G3210" s="5" t="str">
        <f>IF(B3210="","",股指期货基差分析!$N$11)</f>
        <v/>
      </c>
      <c r="H3210" s="5" t="str">
        <f>IF(B3210="","",股指期货基差分析!$L$11)</f>
        <v/>
      </c>
      <c r="I3210" s="9" t="str">
        <f>IF(B3210="","",股指期货基差分析!$D$11)</f>
        <v/>
      </c>
    </row>
    <row r="3211" spans="2:9" ht="15" customHeight="1" x14ac:dyDescent="0.2">
      <c r="B3211" s="8"/>
      <c r="C3211" s="6" t="str">
        <f>IF(B3211="","",[1]!s_dq_close(股指期货基差分析!$E$5,$B3211))</f>
        <v/>
      </c>
      <c r="D3211" s="6" t="str">
        <f>IF(B3211="","",[1]!s_dq_close(股指期货基差分析!$E$6,$B3211))</f>
        <v/>
      </c>
      <c r="E3211" s="6" t="e">
        <f ca="1">RANK(F3211,F:F)+COUNTIF(F$2:F3211,F3211)-1</f>
        <v>#VALUE!</v>
      </c>
      <c r="F3211" s="6" t="str">
        <f t="shared" si="51"/>
        <v/>
      </c>
      <c r="G3211" s="6" t="str">
        <f>IF(B3211="","",股指期货基差分析!$N$11)</f>
        <v/>
      </c>
      <c r="H3211" s="6" t="str">
        <f>IF(B3211="","",股指期货基差分析!$L$11)</f>
        <v/>
      </c>
      <c r="I3211" s="10" t="str">
        <f>IF(B3211="","",股指期货基差分析!$D$11)</f>
        <v/>
      </c>
    </row>
    <row r="3212" spans="2:9" ht="15" customHeight="1" x14ac:dyDescent="0.2">
      <c r="B3212" s="7"/>
      <c r="C3212" s="5" t="str">
        <f>IF(B3212="","",[1]!s_dq_close(股指期货基差分析!$E$5,$B3212))</f>
        <v/>
      </c>
      <c r="D3212" s="5" t="str">
        <f>IF(B3212="","",[1]!s_dq_close(股指期货基差分析!$E$6,$B3212))</f>
        <v/>
      </c>
      <c r="E3212" s="5" t="e">
        <f ca="1">RANK(F3212,F:F)+COUNTIF(F$2:F3212,F3212)-1</f>
        <v>#VALUE!</v>
      </c>
      <c r="F3212" s="5" t="str">
        <f t="shared" si="51"/>
        <v/>
      </c>
      <c r="G3212" s="5" t="str">
        <f>IF(B3212="","",股指期货基差分析!$N$11)</f>
        <v/>
      </c>
      <c r="H3212" s="5" t="str">
        <f>IF(B3212="","",股指期货基差分析!$L$11)</f>
        <v/>
      </c>
      <c r="I3212" s="9" t="str">
        <f>IF(B3212="","",股指期货基差分析!$D$11)</f>
        <v/>
      </c>
    </row>
    <row r="3213" spans="2:9" ht="15" customHeight="1" x14ac:dyDescent="0.2">
      <c r="B3213" s="8"/>
      <c r="C3213" s="6" t="str">
        <f>IF(B3213="","",[1]!s_dq_close(股指期货基差分析!$E$5,$B3213))</f>
        <v/>
      </c>
      <c r="D3213" s="6" t="str">
        <f>IF(B3213="","",[1]!s_dq_close(股指期货基差分析!$E$6,$B3213))</f>
        <v/>
      </c>
      <c r="E3213" s="6" t="e">
        <f ca="1">RANK(F3213,F:F)+COUNTIF(F$2:F3213,F3213)-1</f>
        <v>#VALUE!</v>
      </c>
      <c r="F3213" s="6" t="str">
        <f t="shared" si="51"/>
        <v/>
      </c>
      <c r="G3213" s="6" t="str">
        <f>IF(B3213="","",股指期货基差分析!$N$11)</f>
        <v/>
      </c>
      <c r="H3213" s="6" t="str">
        <f>IF(B3213="","",股指期货基差分析!$L$11)</f>
        <v/>
      </c>
      <c r="I3213" s="10" t="str">
        <f>IF(B3213="","",股指期货基差分析!$D$11)</f>
        <v/>
      </c>
    </row>
    <row r="3214" spans="2:9" ht="15" customHeight="1" x14ac:dyDescent="0.2">
      <c r="B3214" s="7"/>
      <c r="C3214" s="5" t="str">
        <f>IF(B3214="","",[1]!s_dq_close(股指期货基差分析!$E$5,$B3214))</f>
        <v/>
      </c>
      <c r="D3214" s="5" t="str">
        <f>IF(B3214="","",[1]!s_dq_close(股指期货基差分析!$E$6,$B3214))</f>
        <v/>
      </c>
      <c r="E3214" s="5" t="e">
        <f ca="1">RANK(F3214,F:F)+COUNTIF(F$2:F3214,F3214)-1</f>
        <v>#VALUE!</v>
      </c>
      <c r="F3214" s="5" t="str">
        <f t="shared" si="51"/>
        <v/>
      </c>
      <c r="G3214" s="5" t="str">
        <f>IF(B3214="","",股指期货基差分析!$N$11)</f>
        <v/>
      </c>
      <c r="H3214" s="5" t="str">
        <f>IF(B3214="","",股指期货基差分析!$L$11)</f>
        <v/>
      </c>
      <c r="I3214" s="9" t="str">
        <f>IF(B3214="","",股指期货基差分析!$D$11)</f>
        <v/>
      </c>
    </row>
    <row r="3215" spans="2:9" ht="15" customHeight="1" x14ac:dyDescent="0.2">
      <c r="B3215" s="8"/>
      <c r="C3215" s="6" t="str">
        <f>IF(B3215="","",[1]!s_dq_close(股指期货基差分析!$E$5,$B3215))</f>
        <v/>
      </c>
      <c r="D3215" s="6" t="str">
        <f>IF(B3215="","",[1]!s_dq_close(股指期货基差分析!$E$6,$B3215))</f>
        <v/>
      </c>
      <c r="E3215" s="6" t="e">
        <f ca="1">RANK(F3215,F:F)+COUNTIF(F$2:F3215,F3215)-1</f>
        <v>#VALUE!</v>
      </c>
      <c r="F3215" s="6" t="str">
        <f t="shared" si="51"/>
        <v/>
      </c>
      <c r="G3215" s="6" t="str">
        <f>IF(B3215="","",股指期货基差分析!$N$11)</f>
        <v/>
      </c>
      <c r="H3215" s="6" t="str">
        <f>IF(B3215="","",股指期货基差分析!$L$11)</f>
        <v/>
      </c>
      <c r="I3215" s="10" t="str">
        <f>IF(B3215="","",股指期货基差分析!$D$11)</f>
        <v/>
      </c>
    </row>
    <row r="3216" spans="2:9" ht="15" customHeight="1" x14ac:dyDescent="0.2">
      <c r="B3216" s="7"/>
      <c r="C3216" s="5" t="str">
        <f>IF(B3216="","",[1]!s_dq_close(股指期货基差分析!$E$5,$B3216))</f>
        <v/>
      </c>
      <c r="D3216" s="5" t="str">
        <f>IF(B3216="","",[1]!s_dq_close(股指期货基差分析!$E$6,$B3216))</f>
        <v/>
      </c>
      <c r="E3216" s="5" t="e">
        <f ca="1">RANK(F3216,F:F)+COUNTIF(F$2:F3216,F3216)-1</f>
        <v>#VALUE!</v>
      </c>
      <c r="F3216" s="5" t="str">
        <f t="shared" si="51"/>
        <v/>
      </c>
      <c r="G3216" s="5" t="str">
        <f>IF(B3216="","",股指期货基差分析!$N$11)</f>
        <v/>
      </c>
      <c r="H3216" s="5" t="str">
        <f>IF(B3216="","",股指期货基差分析!$L$11)</f>
        <v/>
      </c>
      <c r="I3216" s="9" t="str">
        <f>IF(B3216="","",股指期货基差分析!$D$11)</f>
        <v/>
      </c>
    </row>
    <row r="3217" spans="2:9" ht="15" customHeight="1" x14ac:dyDescent="0.2">
      <c r="B3217" s="8"/>
      <c r="C3217" s="6" t="str">
        <f>IF(B3217="","",[1]!s_dq_close(股指期货基差分析!$E$5,$B3217))</f>
        <v/>
      </c>
      <c r="D3217" s="6" t="str">
        <f>IF(B3217="","",[1]!s_dq_close(股指期货基差分析!$E$6,$B3217))</f>
        <v/>
      </c>
      <c r="E3217" s="6" t="e">
        <f ca="1">RANK(F3217,F:F)+COUNTIF(F$2:F3217,F3217)-1</f>
        <v>#VALUE!</v>
      </c>
      <c r="F3217" s="6" t="str">
        <f t="shared" si="51"/>
        <v/>
      </c>
      <c r="G3217" s="6" t="str">
        <f>IF(B3217="","",股指期货基差分析!$N$11)</f>
        <v/>
      </c>
      <c r="H3217" s="6" t="str">
        <f>IF(B3217="","",股指期货基差分析!$L$11)</f>
        <v/>
      </c>
      <c r="I3217" s="10" t="str">
        <f>IF(B3217="","",股指期货基差分析!$D$11)</f>
        <v/>
      </c>
    </row>
    <row r="3218" spans="2:9" ht="15" customHeight="1" x14ac:dyDescent="0.2">
      <c r="B3218" s="7"/>
      <c r="C3218" s="5" t="str">
        <f>IF(B3218="","",[1]!s_dq_close(股指期货基差分析!$E$5,$B3218))</f>
        <v/>
      </c>
      <c r="D3218" s="5" t="str">
        <f>IF(B3218="","",[1]!s_dq_close(股指期货基差分析!$E$6,$B3218))</f>
        <v/>
      </c>
      <c r="E3218" s="5" t="e">
        <f ca="1">RANK(F3218,F:F)+COUNTIF(F$2:F3218,F3218)-1</f>
        <v>#VALUE!</v>
      </c>
      <c r="F3218" s="5" t="str">
        <f t="shared" si="51"/>
        <v/>
      </c>
      <c r="G3218" s="5" t="str">
        <f>IF(B3218="","",股指期货基差分析!$N$11)</f>
        <v/>
      </c>
      <c r="H3218" s="5" t="str">
        <f>IF(B3218="","",股指期货基差分析!$L$11)</f>
        <v/>
      </c>
      <c r="I3218" s="9" t="str">
        <f>IF(B3218="","",股指期货基差分析!$D$11)</f>
        <v/>
      </c>
    </row>
    <row r="3219" spans="2:9" ht="15" customHeight="1" x14ac:dyDescent="0.2">
      <c r="B3219" s="8"/>
      <c r="C3219" s="6" t="str">
        <f>IF(B3219="","",[1]!s_dq_close(股指期货基差分析!$E$5,$B3219))</f>
        <v/>
      </c>
      <c r="D3219" s="6" t="str">
        <f>IF(B3219="","",[1]!s_dq_close(股指期货基差分析!$E$6,$B3219))</f>
        <v/>
      </c>
      <c r="E3219" s="6" t="e">
        <f ca="1">RANK(F3219,F:F)+COUNTIF(F$2:F3219,F3219)-1</f>
        <v>#VALUE!</v>
      </c>
      <c r="F3219" s="6" t="str">
        <f t="shared" si="51"/>
        <v/>
      </c>
      <c r="G3219" s="6" t="str">
        <f>IF(B3219="","",股指期货基差分析!$N$11)</f>
        <v/>
      </c>
      <c r="H3219" s="6" t="str">
        <f>IF(B3219="","",股指期货基差分析!$L$11)</f>
        <v/>
      </c>
      <c r="I3219" s="10" t="str">
        <f>IF(B3219="","",股指期货基差分析!$D$11)</f>
        <v/>
      </c>
    </row>
    <row r="3220" spans="2:9" ht="15" customHeight="1" x14ac:dyDescent="0.2">
      <c r="B3220" s="7"/>
      <c r="C3220" s="5" t="str">
        <f>IF(B3220="","",[1]!s_dq_close(股指期货基差分析!$E$5,$B3220))</f>
        <v/>
      </c>
      <c r="D3220" s="5" t="str">
        <f>IF(B3220="","",[1]!s_dq_close(股指期货基差分析!$E$6,$B3220))</f>
        <v/>
      </c>
      <c r="E3220" s="5" t="e">
        <f ca="1">RANK(F3220,F:F)+COUNTIF(F$2:F3220,F3220)-1</f>
        <v>#VALUE!</v>
      </c>
      <c r="F3220" s="5" t="str">
        <f t="shared" si="51"/>
        <v/>
      </c>
      <c r="G3220" s="5" t="str">
        <f>IF(B3220="","",股指期货基差分析!$N$11)</f>
        <v/>
      </c>
      <c r="H3220" s="5" t="str">
        <f>IF(B3220="","",股指期货基差分析!$L$11)</f>
        <v/>
      </c>
      <c r="I3220" s="9" t="str">
        <f>IF(B3220="","",股指期货基差分析!$D$11)</f>
        <v/>
      </c>
    </row>
    <row r="3221" spans="2:9" ht="15" customHeight="1" x14ac:dyDescent="0.2">
      <c r="B3221" s="8"/>
      <c r="C3221" s="6" t="str">
        <f>IF(B3221="","",[1]!s_dq_close(股指期货基差分析!$E$5,$B3221))</f>
        <v/>
      </c>
      <c r="D3221" s="6" t="str">
        <f>IF(B3221="","",[1]!s_dq_close(股指期货基差分析!$E$6,$B3221))</f>
        <v/>
      </c>
      <c r="E3221" s="6" t="e">
        <f ca="1">RANK(F3221,F:F)+COUNTIF(F$2:F3221,F3221)-1</f>
        <v>#VALUE!</v>
      </c>
      <c r="F3221" s="6" t="str">
        <f t="shared" si="51"/>
        <v/>
      </c>
      <c r="G3221" s="6" t="str">
        <f>IF(B3221="","",股指期货基差分析!$N$11)</f>
        <v/>
      </c>
      <c r="H3221" s="6" t="str">
        <f>IF(B3221="","",股指期货基差分析!$L$11)</f>
        <v/>
      </c>
      <c r="I3221" s="10" t="str">
        <f>IF(B3221="","",股指期货基差分析!$D$11)</f>
        <v/>
      </c>
    </row>
    <row r="3222" spans="2:9" ht="15" customHeight="1" x14ac:dyDescent="0.2">
      <c r="B3222" s="7"/>
      <c r="C3222" s="5" t="str">
        <f>IF(B3222="","",[1]!s_dq_close(股指期货基差分析!$E$5,$B3222))</f>
        <v/>
      </c>
      <c r="D3222" s="5" t="str">
        <f>IF(B3222="","",[1]!s_dq_close(股指期货基差分析!$E$6,$B3222))</f>
        <v/>
      </c>
      <c r="E3222" s="5" t="e">
        <f ca="1">RANK(F3222,F:F)+COUNTIF(F$2:F3222,F3222)-1</f>
        <v>#VALUE!</v>
      </c>
      <c r="F3222" s="5" t="str">
        <f t="shared" si="51"/>
        <v/>
      </c>
      <c r="G3222" s="5" t="str">
        <f>IF(B3222="","",股指期货基差分析!$N$11)</f>
        <v/>
      </c>
      <c r="H3222" s="5" t="str">
        <f>IF(B3222="","",股指期货基差分析!$L$11)</f>
        <v/>
      </c>
      <c r="I3222" s="9" t="str">
        <f>IF(B3222="","",股指期货基差分析!$D$11)</f>
        <v/>
      </c>
    </row>
    <row r="3223" spans="2:9" ht="15" customHeight="1" x14ac:dyDescent="0.2">
      <c r="B3223" s="8"/>
      <c r="C3223" s="6" t="str">
        <f>IF(B3223="","",[1]!s_dq_close(股指期货基差分析!$E$5,$B3223))</f>
        <v/>
      </c>
      <c r="D3223" s="6" t="str">
        <f>IF(B3223="","",[1]!s_dq_close(股指期货基差分析!$E$6,$B3223))</f>
        <v/>
      </c>
      <c r="E3223" s="6" t="e">
        <f ca="1">RANK(F3223,F:F)+COUNTIF(F$2:F3223,F3223)-1</f>
        <v>#VALUE!</v>
      </c>
      <c r="F3223" s="6" t="str">
        <f t="shared" si="51"/>
        <v/>
      </c>
      <c r="G3223" s="6" t="str">
        <f>IF(B3223="","",股指期货基差分析!$N$11)</f>
        <v/>
      </c>
      <c r="H3223" s="6" t="str">
        <f>IF(B3223="","",股指期货基差分析!$L$11)</f>
        <v/>
      </c>
      <c r="I3223" s="10" t="str">
        <f>IF(B3223="","",股指期货基差分析!$D$11)</f>
        <v/>
      </c>
    </row>
    <row r="3224" spans="2:9" ht="15" customHeight="1" x14ac:dyDescent="0.2">
      <c r="B3224" s="7"/>
      <c r="C3224" s="5" t="str">
        <f>IF(B3224="","",[1]!s_dq_close(股指期货基差分析!$E$5,$B3224))</f>
        <v/>
      </c>
      <c r="D3224" s="5" t="str">
        <f>IF(B3224="","",[1]!s_dq_close(股指期货基差分析!$E$6,$B3224))</f>
        <v/>
      </c>
      <c r="E3224" s="5" t="e">
        <f ca="1">RANK(F3224,F:F)+COUNTIF(F$2:F3224,F3224)-1</f>
        <v>#VALUE!</v>
      </c>
      <c r="F3224" s="5" t="str">
        <f t="shared" si="51"/>
        <v/>
      </c>
      <c r="G3224" s="5" t="str">
        <f>IF(B3224="","",股指期货基差分析!$N$11)</f>
        <v/>
      </c>
      <c r="H3224" s="5" t="str">
        <f>IF(B3224="","",股指期货基差分析!$L$11)</f>
        <v/>
      </c>
      <c r="I3224" s="9" t="str">
        <f>IF(B3224="","",股指期货基差分析!$D$11)</f>
        <v/>
      </c>
    </row>
    <row r="3225" spans="2:9" ht="15" customHeight="1" x14ac:dyDescent="0.2">
      <c r="B3225" s="8"/>
      <c r="C3225" s="6" t="str">
        <f>IF(B3225="","",[1]!s_dq_close(股指期货基差分析!$E$5,$B3225))</f>
        <v/>
      </c>
      <c r="D3225" s="6" t="str">
        <f>IF(B3225="","",[1]!s_dq_close(股指期货基差分析!$E$6,$B3225))</f>
        <v/>
      </c>
      <c r="E3225" s="6" t="e">
        <f ca="1">RANK(F3225,F:F)+COUNTIF(F$2:F3225,F3225)-1</f>
        <v>#VALUE!</v>
      </c>
      <c r="F3225" s="6" t="str">
        <f t="shared" si="51"/>
        <v/>
      </c>
      <c r="G3225" s="6" t="str">
        <f>IF(B3225="","",股指期货基差分析!$N$11)</f>
        <v/>
      </c>
      <c r="H3225" s="6" t="str">
        <f>IF(B3225="","",股指期货基差分析!$L$11)</f>
        <v/>
      </c>
      <c r="I3225" s="10" t="str">
        <f>IF(B3225="","",股指期货基差分析!$D$11)</f>
        <v/>
      </c>
    </row>
    <row r="3226" spans="2:9" ht="15" customHeight="1" x14ac:dyDescent="0.2">
      <c r="B3226" s="7"/>
      <c r="C3226" s="5" t="str">
        <f>IF(B3226="","",[1]!s_dq_close(股指期货基差分析!$E$5,$B3226))</f>
        <v/>
      </c>
      <c r="D3226" s="5" t="str">
        <f>IF(B3226="","",[1]!s_dq_close(股指期货基差分析!$E$6,$B3226))</f>
        <v/>
      </c>
      <c r="E3226" s="5" t="e">
        <f ca="1">RANK(F3226,F:F)+COUNTIF(F$2:F3226,F3226)-1</f>
        <v>#VALUE!</v>
      </c>
      <c r="F3226" s="5" t="str">
        <f t="shared" si="51"/>
        <v/>
      </c>
      <c r="G3226" s="5" t="str">
        <f>IF(B3226="","",股指期货基差分析!$N$11)</f>
        <v/>
      </c>
      <c r="H3226" s="5" t="str">
        <f>IF(B3226="","",股指期货基差分析!$L$11)</f>
        <v/>
      </c>
      <c r="I3226" s="9" t="str">
        <f>IF(B3226="","",股指期货基差分析!$D$11)</f>
        <v/>
      </c>
    </row>
    <row r="3227" spans="2:9" ht="15" customHeight="1" x14ac:dyDescent="0.2">
      <c r="B3227" s="8"/>
      <c r="C3227" s="6" t="str">
        <f>IF(B3227="","",[1]!s_dq_close(股指期货基差分析!$E$5,$B3227))</f>
        <v/>
      </c>
      <c r="D3227" s="6" t="str">
        <f>IF(B3227="","",[1]!s_dq_close(股指期货基差分析!$E$6,$B3227))</f>
        <v/>
      </c>
      <c r="E3227" s="6" t="e">
        <f ca="1">RANK(F3227,F:F)+COUNTIF(F$2:F3227,F3227)-1</f>
        <v>#VALUE!</v>
      </c>
      <c r="F3227" s="6" t="str">
        <f t="shared" si="51"/>
        <v/>
      </c>
      <c r="G3227" s="6" t="str">
        <f>IF(B3227="","",股指期货基差分析!$N$11)</f>
        <v/>
      </c>
      <c r="H3227" s="6" t="str">
        <f>IF(B3227="","",股指期货基差分析!$L$11)</f>
        <v/>
      </c>
      <c r="I3227" s="10" t="str">
        <f>IF(B3227="","",股指期货基差分析!$D$11)</f>
        <v/>
      </c>
    </row>
    <row r="3228" spans="2:9" ht="15" customHeight="1" x14ac:dyDescent="0.2">
      <c r="B3228" s="7"/>
      <c r="C3228" s="5" t="str">
        <f>IF(B3228="","",[1]!s_dq_close(股指期货基差分析!$E$5,$B3228))</f>
        <v/>
      </c>
      <c r="D3228" s="5" t="str">
        <f>IF(B3228="","",[1]!s_dq_close(股指期货基差分析!$E$6,$B3228))</f>
        <v/>
      </c>
      <c r="E3228" s="5" t="e">
        <f ca="1">RANK(F3228,F:F)+COUNTIF(F$2:F3228,F3228)-1</f>
        <v>#VALUE!</v>
      </c>
      <c r="F3228" s="5" t="str">
        <f t="shared" si="51"/>
        <v/>
      </c>
      <c r="G3228" s="5" t="str">
        <f>IF(B3228="","",股指期货基差分析!$N$11)</f>
        <v/>
      </c>
      <c r="H3228" s="5" t="str">
        <f>IF(B3228="","",股指期货基差分析!$L$11)</f>
        <v/>
      </c>
      <c r="I3228" s="9" t="str">
        <f>IF(B3228="","",股指期货基差分析!$D$11)</f>
        <v/>
      </c>
    </row>
    <row r="3229" spans="2:9" ht="15" customHeight="1" x14ac:dyDescent="0.2">
      <c r="B3229" s="8"/>
      <c r="C3229" s="6" t="str">
        <f>IF(B3229="","",[1]!s_dq_close(股指期货基差分析!$E$5,$B3229))</f>
        <v/>
      </c>
      <c r="D3229" s="6" t="str">
        <f>IF(B3229="","",[1]!s_dq_close(股指期货基差分析!$E$6,$B3229))</f>
        <v/>
      </c>
      <c r="E3229" s="6" t="e">
        <f ca="1">RANK(F3229,F:F)+COUNTIF(F$2:F3229,F3229)-1</f>
        <v>#VALUE!</v>
      </c>
      <c r="F3229" s="6" t="str">
        <f t="shared" si="51"/>
        <v/>
      </c>
      <c r="G3229" s="6" t="str">
        <f>IF(B3229="","",股指期货基差分析!$N$11)</f>
        <v/>
      </c>
      <c r="H3229" s="6" t="str">
        <f>IF(B3229="","",股指期货基差分析!$L$11)</f>
        <v/>
      </c>
      <c r="I3229" s="10" t="str">
        <f>IF(B3229="","",股指期货基差分析!$D$11)</f>
        <v/>
      </c>
    </row>
    <row r="3230" spans="2:9" ht="15" customHeight="1" x14ac:dyDescent="0.2">
      <c r="B3230" s="7"/>
      <c r="C3230" s="5" t="str">
        <f>IF(B3230="","",[1]!s_dq_close(股指期货基差分析!$E$5,$B3230))</f>
        <v/>
      </c>
      <c r="D3230" s="5" t="str">
        <f>IF(B3230="","",[1]!s_dq_close(股指期货基差分析!$E$6,$B3230))</f>
        <v/>
      </c>
      <c r="E3230" s="5" t="e">
        <f ca="1">RANK(F3230,F:F)+COUNTIF(F$2:F3230,F3230)-1</f>
        <v>#VALUE!</v>
      </c>
      <c r="F3230" s="5" t="str">
        <f t="shared" si="51"/>
        <v/>
      </c>
      <c r="G3230" s="5" t="str">
        <f>IF(B3230="","",股指期货基差分析!$N$11)</f>
        <v/>
      </c>
      <c r="H3230" s="5" t="str">
        <f>IF(B3230="","",股指期货基差分析!$L$11)</f>
        <v/>
      </c>
      <c r="I3230" s="9" t="str">
        <f>IF(B3230="","",股指期货基差分析!$D$11)</f>
        <v/>
      </c>
    </row>
    <row r="3231" spans="2:9" ht="15" customHeight="1" x14ac:dyDescent="0.2">
      <c r="B3231" s="8"/>
      <c r="C3231" s="6" t="str">
        <f>IF(B3231="","",[1]!s_dq_close(股指期货基差分析!$E$5,$B3231))</f>
        <v/>
      </c>
      <c r="D3231" s="6" t="str">
        <f>IF(B3231="","",[1]!s_dq_close(股指期货基差分析!$E$6,$B3231))</f>
        <v/>
      </c>
      <c r="E3231" s="6" t="e">
        <f ca="1">RANK(F3231,F:F)+COUNTIF(F$2:F3231,F3231)-1</f>
        <v>#VALUE!</v>
      </c>
      <c r="F3231" s="6" t="str">
        <f t="shared" si="51"/>
        <v/>
      </c>
      <c r="G3231" s="6" t="str">
        <f>IF(B3231="","",股指期货基差分析!$N$11)</f>
        <v/>
      </c>
      <c r="H3231" s="6" t="str">
        <f>IF(B3231="","",股指期货基差分析!$L$11)</f>
        <v/>
      </c>
      <c r="I3231" s="10" t="str">
        <f>IF(B3231="","",股指期货基差分析!$D$11)</f>
        <v/>
      </c>
    </row>
    <row r="3232" spans="2:9" ht="15" customHeight="1" x14ac:dyDescent="0.2">
      <c r="B3232" s="7"/>
      <c r="C3232" s="5" t="str">
        <f>IF(B3232="","",[1]!s_dq_close(股指期货基差分析!$E$5,$B3232))</f>
        <v/>
      </c>
      <c r="D3232" s="5" t="str">
        <f>IF(B3232="","",[1]!s_dq_close(股指期货基差分析!$E$6,$B3232))</f>
        <v/>
      </c>
      <c r="E3232" s="5" t="e">
        <f ca="1">RANK(F3232,F:F)+COUNTIF(F$2:F3232,F3232)-1</f>
        <v>#VALUE!</v>
      </c>
      <c r="F3232" s="5" t="str">
        <f t="shared" si="51"/>
        <v/>
      </c>
      <c r="G3232" s="5" t="str">
        <f>IF(B3232="","",股指期货基差分析!$N$11)</f>
        <v/>
      </c>
      <c r="H3232" s="5" t="str">
        <f>IF(B3232="","",股指期货基差分析!$L$11)</f>
        <v/>
      </c>
      <c r="I3232" s="9" t="str">
        <f>IF(B3232="","",股指期货基差分析!$D$11)</f>
        <v/>
      </c>
    </row>
    <row r="3233" spans="2:9" ht="15" customHeight="1" x14ac:dyDescent="0.2">
      <c r="B3233" s="8"/>
      <c r="C3233" s="6" t="str">
        <f>IF(B3233="","",[1]!s_dq_close(股指期货基差分析!$E$5,$B3233))</f>
        <v/>
      </c>
      <c r="D3233" s="6" t="str">
        <f>IF(B3233="","",[1]!s_dq_close(股指期货基差分析!$E$6,$B3233))</f>
        <v/>
      </c>
      <c r="E3233" s="6" t="e">
        <f ca="1">RANK(F3233,F:F)+COUNTIF(F$2:F3233,F3233)-1</f>
        <v>#VALUE!</v>
      </c>
      <c r="F3233" s="6" t="str">
        <f t="shared" si="51"/>
        <v/>
      </c>
      <c r="G3233" s="6" t="str">
        <f>IF(B3233="","",股指期货基差分析!$N$11)</f>
        <v/>
      </c>
      <c r="H3233" s="6" t="str">
        <f>IF(B3233="","",股指期货基差分析!$L$11)</f>
        <v/>
      </c>
      <c r="I3233" s="10" t="str">
        <f>IF(B3233="","",股指期货基差分析!$D$11)</f>
        <v/>
      </c>
    </row>
    <row r="3234" spans="2:9" ht="15" customHeight="1" x14ac:dyDescent="0.2">
      <c r="B3234" s="7"/>
      <c r="C3234" s="5" t="str">
        <f>IF(B3234="","",[1]!s_dq_close(股指期货基差分析!$E$5,$B3234))</f>
        <v/>
      </c>
      <c r="D3234" s="5" t="str">
        <f>IF(B3234="","",[1]!s_dq_close(股指期货基差分析!$E$6,$B3234))</f>
        <v/>
      </c>
      <c r="E3234" s="5" t="e">
        <f ca="1">RANK(F3234,F:F)+COUNTIF(F$2:F3234,F3234)-1</f>
        <v>#VALUE!</v>
      </c>
      <c r="F3234" s="5" t="str">
        <f t="shared" si="51"/>
        <v/>
      </c>
      <c r="G3234" s="5" t="str">
        <f>IF(B3234="","",股指期货基差分析!$N$11)</f>
        <v/>
      </c>
      <c r="H3234" s="5" t="str">
        <f>IF(B3234="","",股指期货基差分析!$L$11)</f>
        <v/>
      </c>
      <c r="I3234" s="9" t="str">
        <f>IF(B3234="","",股指期货基差分析!$D$11)</f>
        <v/>
      </c>
    </row>
    <row r="3235" spans="2:9" ht="15" customHeight="1" x14ac:dyDescent="0.2">
      <c r="B3235" s="8"/>
      <c r="C3235" s="6" t="str">
        <f>IF(B3235="","",[1]!s_dq_close(股指期货基差分析!$E$5,$B3235))</f>
        <v/>
      </c>
      <c r="D3235" s="6" t="str">
        <f>IF(B3235="","",[1]!s_dq_close(股指期货基差分析!$E$6,$B3235))</f>
        <v/>
      </c>
      <c r="E3235" s="6" t="e">
        <f ca="1">RANK(F3235,F:F)+COUNTIF(F$2:F3235,F3235)-1</f>
        <v>#VALUE!</v>
      </c>
      <c r="F3235" s="6" t="str">
        <f t="shared" si="51"/>
        <v/>
      </c>
      <c r="G3235" s="6" t="str">
        <f>IF(B3235="","",股指期货基差分析!$N$11)</f>
        <v/>
      </c>
      <c r="H3235" s="6" t="str">
        <f>IF(B3235="","",股指期货基差分析!$L$11)</f>
        <v/>
      </c>
      <c r="I3235" s="10" t="str">
        <f>IF(B3235="","",股指期货基差分析!$D$11)</f>
        <v/>
      </c>
    </row>
    <row r="3236" spans="2:9" ht="15" customHeight="1" x14ac:dyDescent="0.2">
      <c r="B3236" s="7"/>
      <c r="C3236" s="5" t="str">
        <f>IF(B3236="","",[1]!s_dq_close(股指期货基差分析!$E$5,$B3236))</f>
        <v/>
      </c>
      <c r="D3236" s="5" t="str">
        <f>IF(B3236="","",[1]!s_dq_close(股指期货基差分析!$E$6,$B3236))</f>
        <v/>
      </c>
      <c r="E3236" s="5" t="e">
        <f ca="1">RANK(F3236,F:F)+COUNTIF(F$2:F3236,F3236)-1</f>
        <v>#VALUE!</v>
      </c>
      <c r="F3236" s="5" t="str">
        <f t="shared" si="51"/>
        <v/>
      </c>
      <c r="G3236" s="5" t="str">
        <f>IF(B3236="","",股指期货基差分析!$N$11)</f>
        <v/>
      </c>
      <c r="H3236" s="5" t="str">
        <f>IF(B3236="","",股指期货基差分析!$L$11)</f>
        <v/>
      </c>
      <c r="I3236" s="9" t="str">
        <f>IF(B3236="","",股指期货基差分析!$D$11)</f>
        <v/>
      </c>
    </row>
    <row r="3237" spans="2:9" ht="15" customHeight="1" x14ac:dyDescent="0.2">
      <c r="B3237" s="8"/>
      <c r="C3237" s="6" t="str">
        <f>IF(B3237="","",[1]!s_dq_close(股指期货基差分析!$E$5,$B3237))</f>
        <v/>
      </c>
      <c r="D3237" s="6" t="str">
        <f>IF(B3237="","",[1]!s_dq_close(股指期货基差分析!$E$6,$B3237))</f>
        <v/>
      </c>
      <c r="E3237" s="6" t="e">
        <f ca="1">RANK(F3237,F:F)+COUNTIF(F$2:F3237,F3237)-1</f>
        <v>#VALUE!</v>
      </c>
      <c r="F3237" s="6" t="str">
        <f t="shared" si="51"/>
        <v/>
      </c>
      <c r="G3237" s="6" t="str">
        <f>IF(B3237="","",股指期货基差分析!$N$11)</f>
        <v/>
      </c>
      <c r="H3237" s="6" t="str">
        <f>IF(B3237="","",股指期货基差分析!$L$11)</f>
        <v/>
      </c>
      <c r="I3237" s="10" t="str">
        <f>IF(B3237="","",股指期货基差分析!$D$11)</f>
        <v/>
      </c>
    </row>
    <row r="3238" spans="2:9" ht="15" customHeight="1" x14ac:dyDescent="0.2">
      <c r="B3238" s="7"/>
      <c r="C3238" s="5" t="str">
        <f>IF(B3238="","",[1]!s_dq_close(股指期货基差分析!$E$5,$B3238))</f>
        <v/>
      </c>
      <c r="D3238" s="5" t="str">
        <f>IF(B3238="","",[1]!s_dq_close(股指期货基差分析!$E$6,$B3238))</f>
        <v/>
      </c>
      <c r="E3238" s="5" t="e">
        <f ca="1">RANK(F3238,F:F)+COUNTIF(F$2:F3238,F3238)-1</f>
        <v>#VALUE!</v>
      </c>
      <c r="F3238" s="5" t="str">
        <f t="shared" si="51"/>
        <v/>
      </c>
      <c r="G3238" s="5" t="str">
        <f>IF(B3238="","",股指期货基差分析!$N$11)</f>
        <v/>
      </c>
      <c r="H3238" s="5" t="str">
        <f>IF(B3238="","",股指期货基差分析!$L$11)</f>
        <v/>
      </c>
      <c r="I3238" s="9" t="str">
        <f>IF(B3238="","",股指期货基差分析!$D$11)</f>
        <v/>
      </c>
    </row>
    <row r="3239" spans="2:9" ht="15" customHeight="1" x14ac:dyDescent="0.2">
      <c r="B3239" s="8"/>
      <c r="C3239" s="6" t="str">
        <f>IF(B3239="","",[1]!s_dq_close(股指期货基差分析!$E$5,$B3239))</f>
        <v/>
      </c>
      <c r="D3239" s="6" t="str">
        <f>IF(B3239="","",[1]!s_dq_close(股指期货基差分析!$E$6,$B3239))</f>
        <v/>
      </c>
      <c r="E3239" s="6" t="e">
        <f ca="1">RANK(F3239,F:F)+COUNTIF(F$2:F3239,F3239)-1</f>
        <v>#VALUE!</v>
      </c>
      <c r="F3239" s="6" t="str">
        <f t="shared" si="51"/>
        <v/>
      </c>
      <c r="G3239" s="6" t="str">
        <f>IF(B3239="","",股指期货基差分析!$N$11)</f>
        <v/>
      </c>
      <c r="H3239" s="6" t="str">
        <f>IF(B3239="","",股指期货基差分析!$L$11)</f>
        <v/>
      </c>
      <c r="I3239" s="10" t="str">
        <f>IF(B3239="","",股指期货基差分析!$D$11)</f>
        <v/>
      </c>
    </row>
    <row r="3240" spans="2:9" ht="15" customHeight="1" x14ac:dyDescent="0.2">
      <c r="B3240" s="7"/>
      <c r="C3240" s="5" t="str">
        <f>IF(B3240="","",[1]!s_dq_close(股指期货基差分析!$E$5,$B3240))</f>
        <v/>
      </c>
      <c r="D3240" s="5" t="str">
        <f>IF(B3240="","",[1]!s_dq_close(股指期货基差分析!$E$6,$B3240))</f>
        <v/>
      </c>
      <c r="E3240" s="5" t="e">
        <f ca="1">RANK(F3240,F:F)+COUNTIF(F$2:F3240,F3240)-1</f>
        <v>#VALUE!</v>
      </c>
      <c r="F3240" s="5" t="str">
        <f t="shared" si="51"/>
        <v/>
      </c>
      <c r="G3240" s="5" t="str">
        <f>IF(B3240="","",股指期货基差分析!$N$11)</f>
        <v/>
      </c>
      <c r="H3240" s="5" t="str">
        <f>IF(B3240="","",股指期货基差分析!$L$11)</f>
        <v/>
      </c>
      <c r="I3240" s="9" t="str">
        <f>IF(B3240="","",股指期货基差分析!$D$11)</f>
        <v/>
      </c>
    </row>
    <row r="3241" spans="2:9" ht="15" customHeight="1" x14ac:dyDescent="0.2">
      <c r="B3241" s="8"/>
      <c r="C3241" s="6" t="str">
        <f>IF(B3241="","",[1]!s_dq_close(股指期货基差分析!$E$5,$B3241))</f>
        <v/>
      </c>
      <c r="D3241" s="6" t="str">
        <f>IF(B3241="","",[1]!s_dq_close(股指期货基差分析!$E$6,$B3241))</f>
        <v/>
      </c>
      <c r="E3241" s="6" t="e">
        <f ca="1">RANK(F3241,F:F)+COUNTIF(F$2:F3241,F3241)-1</f>
        <v>#VALUE!</v>
      </c>
      <c r="F3241" s="6" t="str">
        <f t="shared" si="51"/>
        <v/>
      </c>
      <c r="G3241" s="6" t="str">
        <f>IF(B3241="","",股指期货基差分析!$N$11)</f>
        <v/>
      </c>
      <c r="H3241" s="6" t="str">
        <f>IF(B3241="","",股指期货基差分析!$L$11)</f>
        <v/>
      </c>
      <c r="I3241" s="10" t="str">
        <f>IF(B3241="","",股指期货基差分析!$D$11)</f>
        <v/>
      </c>
    </row>
    <row r="3242" spans="2:9" ht="15" customHeight="1" x14ac:dyDescent="0.2">
      <c r="B3242" s="7"/>
      <c r="C3242" s="5" t="str">
        <f>IF(B3242="","",[1]!s_dq_close(股指期货基差分析!$E$5,$B3242))</f>
        <v/>
      </c>
      <c r="D3242" s="5" t="str">
        <f>IF(B3242="","",[1]!s_dq_close(股指期货基差分析!$E$6,$B3242))</f>
        <v/>
      </c>
      <c r="E3242" s="5" t="e">
        <f ca="1">RANK(F3242,F:F)+COUNTIF(F$2:F3242,F3242)-1</f>
        <v>#VALUE!</v>
      </c>
      <c r="F3242" s="5" t="str">
        <f t="shared" si="51"/>
        <v/>
      </c>
      <c r="G3242" s="5" t="str">
        <f>IF(B3242="","",股指期货基差分析!$N$11)</f>
        <v/>
      </c>
      <c r="H3242" s="5" t="str">
        <f>IF(B3242="","",股指期货基差分析!$L$11)</f>
        <v/>
      </c>
      <c r="I3242" s="9" t="str">
        <f>IF(B3242="","",股指期货基差分析!$D$11)</f>
        <v/>
      </c>
    </row>
    <row r="3243" spans="2:9" ht="15" customHeight="1" x14ac:dyDescent="0.2">
      <c r="B3243" s="8"/>
      <c r="C3243" s="6" t="str">
        <f>IF(B3243="","",[1]!s_dq_close(股指期货基差分析!$E$5,$B3243))</f>
        <v/>
      </c>
      <c r="D3243" s="6" t="str">
        <f>IF(B3243="","",[1]!s_dq_close(股指期货基差分析!$E$6,$B3243))</f>
        <v/>
      </c>
      <c r="E3243" s="6" t="e">
        <f ca="1">RANK(F3243,F:F)+COUNTIF(F$2:F3243,F3243)-1</f>
        <v>#VALUE!</v>
      </c>
      <c r="F3243" s="6" t="str">
        <f t="shared" si="51"/>
        <v/>
      </c>
      <c r="G3243" s="6" t="str">
        <f>IF(B3243="","",股指期货基差分析!$N$11)</f>
        <v/>
      </c>
      <c r="H3243" s="6" t="str">
        <f>IF(B3243="","",股指期货基差分析!$L$11)</f>
        <v/>
      </c>
      <c r="I3243" s="10" t="str">
        <f>IF(B3243="","",股指期货基差分析!$D$11)</f>
        <v/>
      </c>
    </row>
    <row r="3244" spans="2:9" ht="15" customHeight="1" x14ac:dyDescent="0.2">
      <c r="B3244" s="7"/>
      <c r="C3244" s="5" t="str">
        <f>IF(B3244="","",[1]!s_dq_close(股指期货基差分析!$E$5,$B3244))</f>
        <v/>
      </c>
      <c r="D3244" s="5" t="str">
        <f>IF(B3244="","",[1]!s_dq_close(股指期货基差分析!$E$6,$B3244))</f>
        <v/>
      </c>
      <c r="E3244" s="5" t="e">
        <f ca="1">RANK(F3244,F:F)+COUNTIF(F$2:F3244,F3244)-1</f>
        <v>#VALUE!</v>
      </c>
      <c r="F3244" s="5" t="str">
        <f t="shared" si="51"/>
        <v/>
      </c>
      <c r="G3244" s="5" t="str">
        <f>IF(B3244="","",股指期货基差分析!$N$11)</f>
        <v/>
      </c>
      <c r="H3244" s="5" t="str">
        <f>IF(B3244="","",股指期货基差分析!$L$11)</f>
        <v/>
      </c>
      <c r="I3244" s="9" t="str">
        <f>IF(B3244="","",股指期货基差分析!$D$11)</f>
        <v/>
      </c>
    </row>
    <row r="3245" spans="2:9" ht="15" customHeight="1" x14ac:dyDescent="0.2">
      <c r="B3245" s="8"/>
      <c r="C3245" s="6" t="str">
        <f>IF(B3245="","",[1]!s_dq_close(股指期货基差分析!$E$5,$B3245))</f>
        <v/>
      </c>
      <c r="D3245" s="6" t="str">
        <f>IF(B3245="","",[1]!s_dq_close(股指期货基差分析!$E$6,$B3245))</f>
        <v/>
      </c>
      <c r="E3245" s="6" t="e">
        <f ca="1">RANK(F3245,F:F)+COUNTIF(F$2:F3245,F3245)-1</f>
        <v>#VALUE!</v>
      </c>
      <c r="F3245" s="6" t="str">
        <f t="shared" si="51"/>
        <v/>
      </c>
      <c r="G3245" s="6" t="str">
        <f>IF(B3245="","",股指期货基差分析!$N$11)</f>
        <v/>
      </c>
      <c r="H3245" s="6" t="str">
        <f>IF(B3245="","",股指期货基差分析!$L$11)</f>
        <v/>
      </c>
      <c r="I3245" s="10" t="str">
        <f>IF(B3245="","",股指期货基差分析!$D$11)</f>
        <v/>
      </c>
    </row>
    <row r="3246" spans="2:9" ht="15" customHeight="1" x14ac:dyDescent="0.2">
      <c r="B3246" s="7"/>
      <c r="C3246" s="5" t="str">
        <f>IF(B3246="","",[1]!s_dq_close(股指期货基差分析!$E$5,$B3246))</f>
        <v/>
      </c>
      <c r="D3246" s="5" t="str">
        <f>IF(B3246="","",[1]!s_dq_close(股指期货基差分析!$E$6,$B3246))</f>
        <v/>
      </c>
      <c r="E3246" s="5" t="e">
        <f ca="1">RANK(F3246,F:F)+COUNTIF(F$2:F3246,F3246)-1</f>
        <v>#VALUE!</v>
      </c>
      <c r="F3246" s="5" t="str">
        <f t="shared" si="51"/>
        <v/>
      </c>
      <c r="G3246" s="5" t="str">
        <f>IF(B3246="","",股指期货基差分析!$N$11)</f>
        <v/>
      </c>
      <c r="H3246" s="5" t="str">
        <f>IF(B3246="","",股指期货基差分析!$L$11)</f>
        <v/>
      </c>
      <c r="I3246" s="9" t="str">
        <f>IF(B3246="","",股指期货基差分析!$D$11)</f>
        <v/>
      </c>
    </row>
    <row r="3247" spans="2:9" ht="15" customHeight="1" x14ac:dyDescent="0.2">
      <c r="B3247" s="8"/>
      <c r="C3247" s="6" t="str">
        <f>IF(B3247="","",[1]!s_dq_close(股指期货基差分析!$E$5,$B3247))</f>
        <v/>
      </c>
      <c r="D3247" s="6" t="str">
        <f>IF(B3247="","",[1]!s_dq_close(股指期货基差分析!$E$6,$B3247))</f>
        <v/>
      </c>
      <c r="E3247" s="6" t="e">
        <f ca="1">RANK(F3247,F:F)+COUNTIF(F$2:F3247,F3247)-1</f>
        <v>#VALUE!</v>
      </c>
      <c r="F3247" s="6" t="str">
        <f t="shared" si="51"/>
        <v/>
      </c>
      <c r="G3247" s="6" t="str">
        <f>IF(B3247="","",股指期货基差分析!$N$11)</f>
        <v/>
      </c>
      <c r="H3247" s="6" t="str">
        <f>IF(B3247="","",股指期货基差分析!$L$11)</f>
        <v/>
      </c>
      <c r="I3247" s="10" t="str">
        <f>IF(B3247="","",股指期货基差分析!$D$11)</f>
        <v/>
      </c>
    </row>
    <row r="3248" spans="2:9" ht="15" customHeight="1" x14ac:dyDescent="0.2">
      <c r="B3248" s="7"/>
      <c r="C3248" s="5" t="str">
        <f>IF(B3248="","",[1]!s_dq_close(股指期货基差分析!$E$5,$B3248))</f>
        <v/>
      </c>
      <c r="D3248" s="5" t="str">
        <f>IF(B3248="","",[1]!s_dq_close(股指期货基差分析!$E$6,$B3248))</f>
        <v/>
      </c>
      <c r="E3248" s="5" t="e">
        <f ca="1">RANK(F3248,F:F)+COUNTIF(F$2:F3248,F3248)-1</f>
        <v>#VALUE!</v>
      </c>
      <c r="F3248" s="5" t="str">
        <f t="shared" si="51"/>
        <v/>
      </c>
      <c r="G3248" s="5" t="str">
        <f>IF(B3248="","",股指期货基差分析!$N$11)</f>
        <v/>
      </c>
      <c r="H3248" s="5" t="str">
        <f>IF(B3248="","",股指期货基差分析!$L$11)</f>
        <v/>
      </c>
      <c r="I3248" s="9" t="str">
        <f>IF(B3248="","",股指期货基差分析!$D$11)</f>
        <v/>
      </c>
    </row>
    <row r="3249" spans="2:9" ht="15" customHeight="1" x14ac:dyDescent="0.2">
      <c r="B3249" s="8"/>
      <c r="C3249" s="6" t="str">
        <f>IF(B3249="","",[1]!s_dq_close(股指期货基差分析!$E$5,$B3249))</f>
        <v/>
      </c>
      <c r="D3249" s="6" t="str">
        <f>IF(B3249="","",[1]!s_dq_close(股指期货基差分析!$E$6,$B3249))</f>
        <v/>
      </c>
      <c r="E3249" s="6" t="e">
        <f ca="1">RANK(F3249,F:F)+COUNTIF(F$2:F3249,F3249)-1</f>
        <v>#VALUE!</v>
      </c>
      <c r="F3249" s="6" t="str">
        <f t="shared" si="51"/>
        <v/>
      </c>
      <c r="G3249" s="6" t="str">
        <f>IF(B3249="","",股指期货基差分析!$N$11)</f>
        <v/>
      </c>
      <c r="H3249" s="6" t="str">
        <f>IF(B3249="","",股指期货基差分析!$L$11)</f>
        <v/>
      </c>
      <c r="I3249" s="10" t="str">
        <f>IF(B3249="","",股指期货基差分析!$D$11)</f>
        <v/>
      </c>
    </row>
    <row r="3250" spans="2:9" ht="15" customHeight="1" x14ac:dyDescent="0.2">
      <c r="B3250" s="7"/>
      <c r="C3250" s="5" t="str">
        <f>IF(B3250="","",[1]!s_dq_close(股指期货基差分析!$E$5,$B3250))</f>
        <v/>
      </c>
      <c r="D3250" s="5" t="str">
        <f>IF(B3250="","",[1]!s_dq_close(股指期货基差分析!$E$6,$B3250))</f>
        <v/>
      </c>
      <c r="E3250" s="5" t="e">
        <f ca="1">RANK(F3250,F:F)+COUNTIF(F$2:F3250,F3250)-1</f>
        <v>#VALUE!</v>
      </c>
      <c r="F3250" s="5" t="str">
        <f t="shared" si="51"/>
        <v/>
      </c>
      <c r="G3250" s="5" t="str">
        <f>IF(B3250="","",股指期货基差分析!$N$11)</f>
        <v/>
      </c>
      <c r="H3250" s="5" t="str">
        <f>IF(B3250="","",股指期货基差分析!$L$11)</f>
        <v/>
      </c>
      <c r="I3250" s="9" t="str">
        <f>IF(B3250="","",股指期货基差分析!$D$11)</f>
        <v/>
      </c>
    </row>
    <row r="3251" spans="2:9" ht="15" customHeight="1" x14ac:dyDescent="0.2">
      <c r="B3251" s="8"/>
      <c r="C3251" s="6" t="str">
        <f>IF(B3251="","",[1]!s_dq_close(股指期货基差分析!$E$5,$B3251))</f>
        <v/>
      </c>
      <c r="D3251" s="6" t="str">
        <f>IF(B3251="","",[1]!s_dq_close(股指期货基差分析!$E$6,$B3251))</f>
        <v/>
      </c>
      <c r="E3251" s="6" t="e">
        <f ca="1">RANK(F3251,F:F)+COUNTIF(F$2:F3251,F3251)-1</f>
        <v>#VALUE!</v>
      </c>
      <c r="F3251" s="6" t="str">
        <f t="shared" si="51"/>
        <v/>
      </c>
      <c r="G3251" s="6" t="str">
        <f>IF(B3251="","",股指期货基差分析!$N$11)</f>
        <v/>
      </c>
      <c r="H3251" s="6" t="str">
        <f>IF(B3251="","",股指期货基差分析!$L$11)</f>
        <v/>
      </c>
      <c r="I3251" s="10" t="str">
        <f>IF(B3251="","",股指期货基差分析!$D$11)</f>
        <v/>
      </c>
    </row>
    <row r="3252" spans="2:9" ht="15" customHeight="1" x14ac:dyDescent="0.2">
      <c r="B3252" s="7"/>
      <c r="C3252" s="5" t="str">
        <f>IF(B3252="","",[1]!s_dq_close(股指期货基差分析!$E$5,$B3252))</f>
        <v/>
      </c>
      <c r="D3252" s="5" t="str">
        <f>IF(B3252="","",[1]!s_dq_close(股指期货基差分析!$E$6,$B3252))</f>
        <v/>
      </c>
      <c r="E3252" s="5" t="e">
        <f ca="1">RANK(F3252,F:F)+COUNTIF(F$2:F3252,F3252)-1</f>
        <v>#VALUE!</v>
      </c>
      <c r="F3252" s="5" t="str">
        <f t="shared" si="51"/>
        <v/>
      </c>
      <c r="G3252" s="5" t="str">
        <f>IF(B3252="","",股指期货基差分析!$N$11)</f>
        <v/>
      </c>
      <c r="H3252" s="5" t="str">
        <f>IF(B3252="","",股指期货基差分析!$L$11)</f>
        <v/>
      </c>
      <c r="I3252" s="9" t="str">
        <f>IF(B3252="","",股指期货基差分析!$D$11)</f>
        <v/>
      </c>
    </row>
    <row r="3253" spans="2:9" ht="15" customHeight="1" x14ac:dyDescent="0.2">
      <c r="B3253" s="8"/>
      <c r="C3253" s="6" t="str">
        <f>IF(B3253="","",[1]!s_dq_close(股指期货基差分析!$E$5,$B3253))</f>
        <v/>
      </c>
      <c r="D3253" s="6" t="str">
        <f>IF(B3253="","",[1]!s_dq_close(股指期货基差分析!$E$6,$B3253))</f>
        <v/>
      </c>
      <c r="E3253" s="6" t="e">
        <f ca="1">RANK(F3253,F:F)+COUNTIF(F$2:F3253,F3253)-1</f>
        <v>#VALUE!</v>
      </c>
      <c r="F3253" s="6" t="str">
        <f t="shared" si="51"/>
        <v/>
      </c>
      <c r="G3253" s="6" t="str">
        <f>IF(B3253="","",股指期货基差分析!$N$11)</f>
        <v/>
      </c>
      <c r="H3253" s="6" t="str">
        <f>IF(B3253="","",股指期货基差分析!$L$11)</f>
        <v/>
      </c>
      <c r="I3253" s="10" t="str">
        <f>IF(B3253="","",股指期货基差分析!$D$11)</f>
        <v/>
      </c>
    </row>
    <row r="3254" spans="2:9" ht="15" customHeight="1" x14ac:dyDescent="0.2">
      <c r="B3254" s="7"/>
      <c r="C3254" s="5" t="str">
        <f>IF(B3254="","",[1]!s_dq_close(股指期货基差分析!$E$5,$B3254))</f>
        <v/>
      </c>
      <c r="D3254" s="5" t="str">
        <f>IF(B3254="","",[1]!s_dq_close(股指期货基差分析!$E$6,$B3254))</f>
        <v/>
      </c>
      <c r="E3254" s="5" t="e">
        <f ca="1">RANK(F3254,F:F)+COUNTIF(F$2:F3254,F3254)-1</f>
        <v>#VALUE!</v>
      </c>
      <c r="F3254" s="5" t="str">
        <f t="shared" si="51"/>
        <v/>
      </c>
      <c r="G3254" s="5" t="str">
        <f>IF(B3254="","",股指期货基差分析!$N$11)</f>
        <v/>
      </c>
      <c r="H3254" s="5" t="str">
        <f>IF(B3254="","",股指期货基差分析!$L$11)</f>
        <v/>
      </c>
      <c r="I3254" s="9" t="str">
        <f>IF(B3254="","",股指期货基差分析!$D$11)</f>
        <v/>
      </c>
    </row>
    <row r="3255" spans="2:9" ht="15" customHeight="1" x14ac:dyDescent="0.2">
      <c r="B3255" s="8"/>
      <c r="C3255" s="6" t="str">
        <f>IF(B3255="","",[1]!s_dq_close(股指期货基差分析!$E$5,$B3255))</f>
        <v/>
      </c>
      <c r="D3255" s="6" t="str">
        <f>IF(B3255="","",[1]!s_dq_close(股指期货基差分析!$E$6,$B3255))</f>
        <v/>
      </c>
      <c r="E3255" s="6" t="e">
        <f ca="1">RANK(F3255,F:F)+COUNTIF(F$2:F3255,F3255)-1</f>
        <v>#VALUE!</v>
      </c>
      <c r="F3255" s="6" t="str">
        <f t="shared" si="51"/>
        <v/>
      </c>
      <c r="G3255" s="6" t="str">
        <f>IF(B3255="","",股指期货基差分析!$N$11)</f>
        <v/>
      </c>
      <c r="H3255" s="6" t="str">
        <f>IF(B3255="","",股指期货基差分析!$L$11)</f>
        <v/>
      </c>
      <c r="I3255" s="10" t="str">
        <f>IF(B3255="","",股指期货基差分析!$D$11)</f>
        <v/>
      </c>
    </row>
    <row r="3256" spans="2:9" ht="15" customHeight="1" x14ac:dyDescent="0.2">
      <c r="B3256" s="7"/>
      <c r="C3256" s="5" t="str">
        <f>IF(B3256="","",[1]!s_dq_close(股指期货基差分析!$E$5,$B3256))</f>
        <v/>
      </c>
      <c r="D3256" s="5" t="str">
        <f>IF(B3256="","",[1]!s_dq_close(股指期货基差分析!$E$6,$B3256))</f>
        <v/>
      </c>
      <c r="E3256" s="5" t="e">
        <f ca="1">RANK(F3256,F:F)+COUNTIF(F$2:F3256,F3256)-1</f>
        <v>#VALUE!</v>
      </c>
      <c r="F3256" s="5" t="str">
        <f t="shared" si="51"/>
        <v/>
      </c>
      <c r="G3256" s="5" t="str">
        <f>IF(B3256="","",股指期货基差分析!$N$11)</f>
        <v/>
      </c>
      <c r="H3256" s="5" t="str">
        <f>IF(B3256="","",股指期货基差分析!$L$11)</f>
        <v/>
      </c>
      <c r="I3256" s="9" t="str">
        <f>IF(B3256="","",股指期货基差分析!$D$11)</f>
        <v/>
      </c>
    </row>
    <row r="3257" spans="2:9" ht="15" customHeight="1" x14ac:dyDescent="0.2">
      <c r="B3257" s="8"/>
      <c r="C3257" s="6" t="str">
        <f>IF(B3257="","",[1]!s_dq_close(股指期货基差分析!$E$5,$B3257))</f>
        <v/>
      </c>
      <c r="D3257" s="6" t="str">
        <f>IF(B3257="","",[1]!s_dq_close(股指期货基差分析!$E$6,$B3257))</f>
        <v/>
      </c>
      <c r="E3257" s="6" t="e">
        <f ca="1">RANK(F3257,F:F)+COUNTIF(F$2:F3257,F3257)-1</f>
        <v>#VALUE!</v>
      </c>
      <c r="F3257" s="6" t="str">
        <f t="shared" si="51"/>
        <v/>
      </c>
      <c r="G3257" s="6" t="str">
        <f>IF(B3257="","",股指期货基差分析!$N$11)</f>
        <v/>
      </c>
      <c r="H3257" s="6" t="str">
        <f>IF(B3257="","",股指期货基差分析!$L$11)</f>
        <v/>
      </c>
      <c r="I3257" s="10" t="str">
        <f>IF(B3257="","",股指期货基差分析!$D$11)</f>
        <v/>
      </c>
    </row>
    <row r="3258" spans="2:9" ht="15" customHeight="1" x14ac:dyDescent="0.2">
      <c r="B3258" s="7"/>
      <c r="C3258" s="5" t="str">
        <f>IF(B3258="","",[1]!s_dq_close(股指期货基差分析!$E$5,$B3258))</f>
        <v/>
      </c>
      <c r="D3258" s="5" t="str">
        <f>IF(B3258="","",[1]!s_dq_close(股指期货基差分析!$E$6,$B3258))</f>
        <v/>
      </c>
      <c r="E3258" s="5" t="e">
        <f ca="1">RANK(F3258,F:F)+COUNTIF(F$2:F3258,F3258)-1</f>
        <v>#VALUE!</v>
      </c>
      <c r="F3258" s="5" t="str">
        <f t="shared" si="51"/>
        <v/>
      </c>
      <c r="G3258" s="5" t="str">
        <f>IF(B3258="","",股指期货基差分析!$N$11)</f>
        <v/>
      </c>
      <c r="H3258" s="5" t="str">
        <f>IF(B3258="","",股指期货基差分析!$L$11)</f>
        <v/>
      </c>
      <c r="I3258" s="9" t="str">
        <f>IF(B3258="","",股指期货基差分析!$D$11)</f>
        <v/>
      </c>
    </row>
    <row r="3259" spans="2:9" ht="15" customHeight="1" x14ac:dyDescent="0.2">
      <c r="B3259" s="8"/>
      <c r="C3259" s="6" t="str">
        <f>IF(B3259="","",[1]!s_dq_close(股指期货基差分析!$E$5,$B3259))</f>
        <v/>
      </c>
      <c r="D3259" s="6" t="str">
        <f>IF(B3259="","",[1]!s_dq_close(股指期货基差分析!$E$6,$B3259))</f>
        <v/>
      </c>
      <c r="E3259" s="6" t="e">
        <f ca="1">RANK(F3259,F:F)+COUNTIF(F$2:F3259,F3259)-1</f>
        <v>#VALUE!</v>
      </c>
      <c r="F3259" s="6" t="str">
        <f t="shared" si="51"/>
        <v/>
      </c>
      <c r="G3259" s="6" t="str">
        <f>IF(B3259="","",股指期货基差分析!$N$11)</f>
        <v/>
      </c>
      <c r="H3259" s="6" t="str">
        <f>IF(B3259="","",股指期货基差分析!$L$11)</f>
        <v/>
      </c>
      <c r="I3259" s="10" t="str">
        <f>IF(B3259="","",股指期货基差分析!$D$11)</f>
        <v/>
      </c>
    </row>
    <row r="3260" spans="2:9" ht="15" customHeight="1" x14ac:dyDescent="0.2">
      <c r="B3260" s="7"/>
      <c r="C3260" s="5" t="str">
        <f>IF(B3260="","",[1]!s_dq_close(股指期货基差分析!$E$5,$B3260))</f>
        <v/>
      </c>
      <c r="D3260" s="5" t="str">
        <f>IF(B3260="","",[1]!s_dq_close(股指期货基差分析!$E$6,$B3260))</f>
        <v/>
      </c>
      <c r="E3260" s="5" t="e">
        <f ca="1">RANK(F3260,F:F)+COUNTIF(F$2:F3260,F3260)-1</f>
        <v>#VALUE!</v>
      </c>
      <c r="F3260" s="5" t="str">
        <f t="shared" si="51"/>
        <v/>
      </c>
      <c r="G3260" s="5" t="str">
        <f>IF(B3260="","",股指期货基差分析!$N$11)</f>
        <v/>
      </c>
      <c r="H3260" s="5" t="str">
        <f>IF(B3260="","",股指期货基差分析!$L$11)</f>
        <v/>
      </c>
      <c r="I3260" s="9" t="str">
        <f>IF(B3260="","",股指期货基差分析!$D$11)</f>
        <v/>
      </c>
    </row>
    <row r="3261" spans="2:9" ht="15" customHeight="1" x14ac:dyDescent="0.2">
      <c r="B3261" s="8"/>
      <c r="C3261" s="6" t="str">
        <f>IF(B3261="","",[1]!s_dq_close(股指期货基差分析!$E$5,$B3261))</f>
        <v/>
      </c>
      <c r="D3261" s="6" t="str">
        <f>IF(B3261="","",[1]!s_dq_close(股指期货基差分析!$E$6,$B3261))</f>
        <v/>
      </c>
      <c r="E3261" s="6" t="e">
        <f ca="1">RANK(F3261,F:F)+COUNTIF(F$2:F3261,F3261)-1</f>
        <v>#VALUE!</v>
      </c>
      <c r="F3261" s="6" t="str">
        <f t="shared" si="51"/>
        <v/>
      </c>
      <c r="G3261" s="6" t="str">
        <f>IF(B3261="","",股指期货基差分析!$N$11)</f>
        <v/>
      </c>
      <c r="H3261" s="6" t="str">
        <f>IF(B3261="","",股指期货基差分析!$L$11)</f>
        <v/>
      </c>
      <c r="I3261" s="10" t="str">
        <f>IF(B3261="","",股指期货基差分析!$D$11)</f>
        <v/>
      </c>
    </row>
    <row r="3262" spans="2:9" ht="15" customHeight="1" x14ac:dyDescent="0.2">
      <c r="B3262" s="7"/>
      <c r="C3262" s="5" t="str">
        <f>IF(B3262="","",[1]!s_dq_close(股指期货基差分析!$E$5,$B3262))</f>
        <v/>
      </c>
      <c r="D3262" s="5" t="str">
        <f>IF(B3262="","",[1]!s_dq_close(股指期货基差分析!$E$6,$B3262))</f>
        <v/>
      </c>
      <c r="E3262" s="5" t="e">
        <f ca="1">RANK(F3262,F:F)+COUNTIF(F$2:F3262,F3262)-1</f>
        <v>#VALUE!</v>
      </c>
      <c r="F3262" s="5" t="str">
        <f t="shared" si="51"/>
        <v/>
      </c>
      <c r="G3262" s="5" t="str">
        <f>IF(B3262="","",股指期货基差分析!$N$11)</f>
        <v/>
      </c>
      <c r="H3262" s="5" t="str">
        <f>IF(B3262="","",股指期货基差分析!$L$11)</f>
        <v/>
      </c>
      <c r="I3262" s="9" t="str">
        <f>IF(B3262="","",股指期货基差分析!$D$11)</f>
        <v/>
      </c>
    </row>
    <row r="3263" spans="2:9" ht="15" customHeight="1" x14ac:dyDescent="0.2">
      <c r="B3263" s="8"/>
      <c r="C3263" s="6" t="str">
        <f>IF(B3263="","",[1]!s_dq_close(股指期货基差分析!$E$5,$B3263))</f>
        <v/>
      </c>
      <c r="D3263" s="6" t="str">
        <f>IF(B3263="","",[1]!s_dq_close(股指期货基差分析!$E$6,$B3263))</f>
        <v/>
      </c>
      <c r="E3263" s="6" t="e">
        <f ca="1">RANK(F3263,F:F)+COUNTIF(F$2:F3263,F3263)-1</f>
        <v>#VALUE!</v>
      </c>
      <c r="F3263" s="6" t="str">
        <f t="shared" si="51"/>
        <v/>
      </c>
      <c r="G3263" s="6" t="str">
        <f>IF(B3263="","",股指期货基差分析!$N$11)</f>
        <v/>
      </c>
      <c r="H3263" s="6" t="str">
        <f>IF(B3263="","",股指期货基差分析!$L$11)</f>
        <v/>
      </c>
      <c r="I3263" s="10" t="str">
        <f>IF(B3263="","",股指期货基差分析!$D$11)</f>
        <v/>
      </c>
    </row>
    <row r="3264" spans="2:9" ht="15" customHeight="1" x14ac:dyDescent="0.2">
      <c r="B3264" s="7"/>
      <c r="C3264" s="5" t="str">
        <f>IF(B3264="","",[1]!s_dq_close(股指期货基差分析!$E$5,$B3264))</f>
        <v/>
      </c>
      <c r="D3264" s="5" t="str">
        <f>IF(B3264="","",[1]!s_dq_close(股指期货基差分析!$E$6,$B3264))</f>
        <v/>
      </c>
      <c r="E3264" s="5" t="e">
        <f ca="1">RANK(F3264,F:F)+COUNTIF(F$2:F3264,F3264)-1</f>
        <v>#VALUE!</v>
      </c>
      <c r="F3264" s="5" t="str">
        <f t="shared" si="51"/>
        <v/>
      </c>
      <c r="G3264" s="5" t="str">
        <f>IF(B3264="","",股指期货基差分析!$N$11)</f>
        <v/>
      </c>
      <c r="H3264" s="5" t="str">
        <f>IF(B3264="","",股指期货基差分析!$L$11)</f>
        <v/>
      </c>
      <c r="I3264" s="9" t="str">
        <f>IF(B3264="","",股指期货基差分析!$D$11)</f>
        <v/>
      </c>
    </row>
    <row r="3265" spans="2:9" ht="15" customHeight="1" x14ac:dyDescent="0.2">
      <c r="B3265" s="8"/>
      <c r="C3265" s="6" t="str">
        <f>IF(B3265="","",[1]!s_dq_close(股指期货基差分析!$E$5,$B3265))</f>
        <v/>
      </c>
      <c r="D3265" s="6" t="str">
        <f>IF(B3265="","",[1]!s_dq_close(股指期货基差分析!$E$6,$B3265))</f>
        <v/>
      </c>
      <c r="E3265" s="6" t="e">
        <f ca="1">RANK(F3265,F:F)+COUNTIF(F$2:F3265,F3265)-1</f>
        <v>#VALUE!</v>
      </c>
      <c r="F3265" s="6" t="str">
        <f t="shared" si="51"/>
        <v/>
      </c>
      <c r="G3265" s="6" t="str">
        <f>IF(B3265="","",股指期货基差分析!$N$11)</f>
        <v/>
      </c>
      <c r="H3265" s="6" t="str">
        <f>IF(B3265="","",股指期货基差分析!$L$11)</f>
        <v/>
      </c>
      <c r="I3265" s="10" t="str">
        <f>IF(B3265="","",股指期货基差分析!$D$11)</f>
        <v/>
      </c>
    </row>
    <row r="3266" spans="2:9" ht="15" customHeight="1" x14ac:dyDescent="0.2">
      <c r="B3266" s="7"/>
      <c r="C3266" s="5" t="str">
        <f>IF(B3266="","",[1]!s_dq_close(股指期货基差分析!$E$5,$B3266))</f>
        <v/>
      </c>
      <c r="D3266" s="5" t="str">
        <f>IF(B3266="","",[1]!s_dq_close(股指期货基差分析!$E$6,$B3266))</f>
        <v/>
      </c>
      <c r="E3266" s="5" t="e">
        <f ca="1">RANK(F3266,F:F)+COUNTIF(F$2:F3266,F3266)-1</f>
        <v>#VALUE!</v>
      </c>
      <c r="F3266" s="5" t="str">
        <f t="shared" ref="F3266:F3329" si="52">IF(B3266="","",D3266-C3266)</f>
        <v/>
      </c>
      <c r="G3266" s="5" t="str">
        <f>IF(B3266="","",股指期货基差分析!$N$11)</f>
        <v/>
      </c>
      <c r="H3266" s="5" t="str">
        <f>IF(B3266="","",股指期货基差分析!$L$11)</f>
        <v/>
      </c>
      <c r="I3266" s="9" t="str">
        <f>IF(B3266="","",股指期货基差分析!$D$11)</f>
        <v/>
      </c>
    </row>
    <row r="3267" spans="2:9" ht="15" customHeight="1" x14ac:dyDescent="0.2">
      <c r="B3267" s="8"/>
      <c r="C3267" s="6" t="str">
        <f>IF(B3267="","",[1]!s_dq_close(股指期货基差分析!$E$5,$B3267))</f>
        <v/>
      </c>
      <c r="D3267" s="6" t="str">
        <f>IF(B3267="","",[1]!s_dq_close(股指期货基差分析!$E$6,$B3267))</f>
        <v/>
      </c>
      <c r="E3267" s="6" t="e">
        <f ca="1">RANK(F3267,F:F)+COUNTIF(F$2:F3267,F3267)-1</f>
        <v>#VALUE!</v>
      </c>
      <c r="F3267" s="6" t="str">
        <f t="shared" si="52"/>
        <v/>
      </c>
      <c r="G3267" s="6" t="str">
        <f>IF(B3267="","",股指期货基差分析!$N$11)</f>
        <v/>
      </c>
      <c r="H3267" s="6" t="str">
        <f>IF(B3267="","",股指期货基差分析!$L$11)</f>
        <v/>
      </c>
      <c r="I3267" s="10" t="str">
        <f>IF(B3267="","",股指期货基差分析!$D$11)</f>
        <v/>
      </c>
    </row>
    <row r="3268" spans="2:9" ht="15" customHeight="1" x14ac:dyDescent="0.2">
      <c r="B3268" s="7"/>
      <c r="C3268" s="5" t="str">
        <f>IF(B3268="","",[1]!s_dq_close(股指期货基差分析!$E$5,$B3268))</f>
        <v/>
      </c>
      <c r="D3268" s="5" t="str">
        <f>IF(B3268="","",[1]!s_dq_close(股指期货基差分析!$E$6,$B3268))</f>
        <v/>
      </c>
      <c r="E3268" s="5" t="e">
        <f ca="1">RANK(F3268,F:F)+COUNTIF(F$2:F3268,F3268)-1</f>
        <v>#VALUE!</v>
      </c>
      <c r="F3268" s="5" t="str">
        <f t="shared" si="52"/>
        <v/>
      </c>
      <c r="G3268" s="5" t="str">
        <f>IF(B3268="","",股指期货基差分析!$N$11)</f>
        <v/>
      </c>
      <c r="H3268" s="5" t="str">
        <f>IF(B3268="","",股指期货基差分析!$L$11)</f>
        <v/>
      </c>
      <c r="I3268" s="9" t="str">
        <f>IF(B3268="","",股指期货基差分析!$D$11)</f>
        <v/>
      </c>
    </row>
    <row r="3269" spans="2:9" ht="15" customHeight="1" x14ac:dyDescent="0.2">
      <c r="B3269" s="8"/>
      <c r="C3269" s="6" t="str">
        <f>IF(B3269="","",[1]!s_dq_close(股指期货基差分析!$E$5,$B3269))</f>
        <v/>
      </c>
      <c r="D3269" s="6" t="str">
        <f>IF(B3269="","",[1]!s_dq_close(股指期货基差分析!$E$6,$B3269))</f>
        <v/>
      </c>
      <c r="E3269" s="6" t="e">
        <f ca="1">RANK(F3269,F:F)+COUNTIF(F$2:F3269,F3269)-1</f>
        <v>#VALUE!</v>
      </c>
      <c r="F3269" s="6" t="str">
        <f t="shared" si="52"/>
        <v/>
      </c>
      <c r="G3269" s="6" t="str">
        <f>IF(B3269="","",股指期货基差分析!$N$11)</f>
        <v/>
      </c>
      <c r="H3269" s="6" t="str">
        <f>IF(B3269="","",股指期货基差分析!$L$11)</f>
        <v/>
      </c>
      <c r="I3269" s="10" t="str">
        <f>IF(B3269="","",股指期货基差分析!$D$11)</f>
        <v/>
      </c>
    </row>
    <row r="3270" spans="2:9" ht="15" customHeight="1" x14ac:dyDescent="0.2">
      <c r="B3270" s="7"/>
      <c r="C3270" s="5" t="str">
        <f>IF(B3270="","",[1]!s_dq_close(股指期货基差分析!$E$5,$B3270))</f>
        <v/>
      </c>
      <c r="D3270" s="5" t="str">
        <f>IF(B3270="","",[1]!s_dq_close(股指期货基差分析!$E$6,$B3270))</f>
        <v/>
      </c>
      <c r="E3270" s="5" t="e">
        <f ca="1">RANK(F3270,F:F)+COUNTIF(F$2:F3270,F3270)-1</f>
        <v>#VALUE!</v>
      </c>
      <c r="F3270" s="5" t="str">
        <f t="shared" si="52"/>
        <v/>
      </c>
      <c r="G3270" s="5" t="str">
        <f>IF(B3270="","",股指期货基差分析!$N$11)</f>
        <v/>
      </c>
      <c r="H3270" s="5" t="str">
        <f>IF(B3270="","",股指期货基差分析!$L$11)</f>
        <v/>
      </c>
      <c r="I3270" s="9" t="str">
        <f>IF(B3270="","",股指期货基差分析!$D$11)</f>
        <v/>
      </c>
    </row>
    <row r="3271" spans="2:9" ht="15" customHeight="1" x14ac:dyDescent="0.2">
      <c r="B3271" s="8"/>
      <c r="C3271" s="6" t="str">
        <f>IF(B3271="","",[1]!s_dq_close(股指期货基差分析!$E$5,$B3271))</f>
        <v/>
      </c>
      <c r="D3271" s="6" t="str">
        <f>IF(B3271="","",[1]!s_dq_close(股指期货基差分析!$E$6,$B3271))</f>
        <v/>
      </c>
      <c r="E3271" s="6" t="e">
        <f ca="1">RANK(F3271,F:F)+COUNTIF(F$2:F3271,F3271)-1</f>
        <v>#VALUE!</v>
      </c>
      <c r="F3271" s="6" t="str">
        <f t="shared" si="52"/>
        <v/>
      </c>
      <c r="G3271" s="6" t="str">
        <f>IF(B3271="","",股指期货基差分析!$N$11)</f>
        <v/>
      </c>
      <c r="H3271" s="6" t="str">
        <f>IF(B3271="","",股指期货基差分析!$L$11)</f>
        <v/>
      </c>
      <c r="I3271" s="10" t="str">
        <f>IF(B3271="","",股指期货基差分析!$D$11)</f>
        <v/>
      </c>
    </row>
    <row r="3272" spans="2:9" ht="15" customHeight="1" x14ac:dyDescent="0.2">
      <c r="B3272" s="7"/>
      <c r="C3272" s="5" t="str">
        <f>IF(B3272="","",[1]!s_dq_close(股指期货基差分析!$E$5,$B3272))</f>
        <v/>
      </c>
      <c r="D3272" s="5" t="str">
        <f>IF(B3272="","",[1]!s_dq_close(股指期货基差分析!$E$6,$B3272))</f>
        <v/>
      </c>
      <c r="E3272" s="5" t="e">
        <f ca="1">RANK(F3272,F:F)+COUNTIF(F$2:F3272,F3272)-1</f>
        <v>#VALUE!</v>
      </c>
      <c r="F3272" s="5" t="str">
        <f t="shared" si="52"/>
        <v/>
      </c>
      <c r="G3272" s="5" t="str">
        <f>IF(B3272="","",股指期货基差分析!$N$11)</f>
        <v/>
      </c>
      <c r="H3272" s="5" t="str">
        <f>IF(B3272="","",股指期货基差分析!$L$11)</f>
        <v/>
      </c>
      <c r="I3272" s="9" t="str">
        <f>IF(B3272="","",股指期货基差分析!$D$11)</f>
        <v/>
      </c>
    </row>
    <row r="3273" spans="2:9" ht="15" customHeight="1" x14ac:dyDescent="0.2">
      <c r="B3273" s="8"/>
      <c r="C3273" s="6" t="str">
        <f>IF(B3273="","",[1]!s_dq_close(股指期货基差分析!$E$5,$B3273))</f>
        <v/>
      </c>
      <c r="D3273" s="6" t="str">
        <f>IF(B3273="","",[1]!s_dq_close(股指期货基差分析!$E$6,$B3273))</f>
        <v/>
      </c>
      <c r="E3273" s="6" t="e">
        <f ca="1">RANK(F3273,F:F)+COUNTIF(F$2:F3273,F3273)-1</f>
        <v>#VALUE!</v>
      </c>
      <c r="F3273" s="6" t="str">
        <f t="shared" si="52"/>
        <v/>
      </c>
      <c r="G3273" s="6" t="str">
        <f>IF(B3273="","",股指期货基差分析!$N$11)</f>
        <v/>
      </c>
      <c r="H3273" s="6" t="str">
        <f>IF(B3273="","",股指期货基差分析!$L$11)</f>
        <v/>
      </c>
      <c r="I3273" s="10" t="str">
        <f>IF(B3273="","",股指期货基差分析!$D$11)</f>
        <v/>
      </c>
    </row>
    <row r="3274" spans="2:9" ht="15" customHeight="1" x14ac:dyDescent="0.2">
      <c r="B3274" s="7"/>
      <c r="C3274" s="5" t="str">
        <f>IF(B3274="","",[1]!s_dq_close(股指期货基差分析!$E$5,$B3274))</f>
        <v/>
      </c>
      <c r="D3274" s="5" t="str">
        <f>IF(B3274="","",[1]!s_dq_close(股指期货基差分析!$E$6,$B3274))</f>
        <v/>
      </c>
      <c r="E3274" s="5" t="e">
        <f ca="1">RANK(F3274,F:F)+COUNTIF(F$2:F3274,F3274)-1</f>
        <v>#VALUE!</v>
      </c>
      <c r="F3274" s="5" t="str">
        <f t="shared" si="52"/>
        <v/>
      </c>
      <c r="G3274" s="5" t="str">
        <f>IF(B3274="","",股指期货基差分析!$N$11)</f>
        <v/>
      </c>
      <c r="H3274" s="5" t="str">
        <f>IF(B3274="","",股指期货基差分析!$L$11)</f>
        <v/>
      </c>
      <c r="I3274" s="9" t="str">
        <f>IF(B3274="","",股指期货基差分析!$D$11)</f>
        <v/>
      </c>
    </row>
    <row r="3275" spans="2:9" ht="15" customHeight="1" x14ac:dyDescent="0.2">
      <c r="B3275" s="8"/>
      <c r="C3275" s="6" t="str">
        <f>IF(B3275="","",[1]!s_dq_close(股指期货基差分析!$E$5,$B3275))</f>
        <v/>
      </c>
      <c r="D3275" s="6" t="str">
        <f>IF(B3275="","",[1]!s_dq_close(股指期货基差分析!$E$6,$B3275))</f>
        <v/>
      </c>
      <c r="E3275" s="6" t="e">
        <f ca="1">RANK(F3275,F:F)+COUNTIF(F$2:F3275,F3275)-1</f>
        <v>#VALUE!</v>
      </c>
      <c r="F3275" s="6" t="str">
        <f t="shared" si="52"/>
        <v/>
      </c>
      <c r="G3275" s="6" t="str">
        <f>IF(B3275="","",股指期货基差分析!$N$11)</f>
        <v/>
      </c>
      <c r="H3275" s="6" t="str">
        <f>IF(B3275="","",股指期货基差分析!$L$11)</f>
        <v/>
      </c>
      <c r="I3275" s="10" t="str">
        <f>IF(B3275="","",股指期货基差分析!$D$11)</f>
        <v/>
      </c>
    </row>
    <row r="3276" spans="2:9" ht="15" customHeight="1" x14ac:dyDescent="0.2">
      <c r="B3276" s="7"/>
      <c r="C3276" s="5" t="str">
        <f>IF(B3276="","",[1]!s_dq_close(股指期货基差分析!$E$5,$B3276))</f>
        <v/>
      </c>
      <c r="D3276" s="5" t="str">
        <f>IF(B3276="","",[1]!s_dq_close(股指期货基差分析!$E$6,$B3276))</f>
        <v/>
      </c>
      <c r="E3276" s="5" t="e">
        <f ca="1">RANK(F3276,F:F)+COUNTIF(F$2:F3276,F3276)-1</f>
        <v>#VALUE!</v>
      </c>
      <c r="F3276" s="5" t="str">
        <f t="shared" si="52"/>
        <v/>
      </c>
      <c r="G3276" s="5" t="str">
        <f>IF(B3276="","",股指期货基差分析!$N$11)</f>
        <v/>
      </c>
      <c r="H3276" s="5" t="str">
        <f>IF(B3276="","",股指期货基差分析!$L$11)</f>
        <v/>
      </c>
      <c r="I3276" s="9" t="str">
        <f>IF(B3276="","",股指期货基差分析!$D$11)</f>
        <v/>
      </c>
    </row>
    <row r="3277" spans="2:9" ht="15" customHeight="1" x14ac:dyDescent="0.2">
      <c r="B3277" s="8"/>
      <c r="C3277" s="6" t="str">
        <f>IF(B3277="","",[1]!s_dq_close(股指期货基差分析!$E$5,$B3277))</f>
        <v/>
      </c>
      <c r="D3277" s="6" t="str">
        <f>IF(B3277="","",[1]!s_dq_close(股指期货基差分析!$E$6,$B3277))</f>
        <v/>
      </c>
      <c r="E3277" s="6" t="e">
        <f ca="1">RANK(F3277,F:F)+COUNTIF(F$2:F3277,F3277)-1</f>
        <v>#VALUE!</v>
      </c>
      <c r="F3277" s="6" t="str">
        <f t="shared" si="52"/>
        <v/>
      </c>
      <c r="G3277" s="6" t="str">
        <f>IF(B3277="","",股指期货基差分析!$N$11)</f>
        <v/>
      </c>
      <c r="H3277" s="6" t="str">
        <f>IF(B3277="","",股指期货基差分析!$L$11)</f>
        <v/>
      </c>
      <c r="I3277" s="10" t="str">
        <f>IF(B3277="","",股指期货基差分析!$D$11)</f>
        <v/>
      </c>
    </row>
    <row r="3278" spans="2:9" ht="15" customHeight="1" x14ac:dyDescent="0.2">
      <c r="B3278" s="7"/>
      <c r="C3278" s="5" t="str">
        <f>IF(B3278="","",[1]!s_dq_close(股指期货基差分析!$E$5,$B3278))</f>
        <v/>
      </c>
      <c r="D3278" s="5" t="str">
        <f>IF(B3278="","",[1]!s_dq_close(股指期货基差分析!$E$6,$B3278))</f>
        <v/>
      </c>
      <c r="E3278" s="5" t="e">
        <f ca="1">RANK(F3278,F:F)+COUNTIF(F$2:F3278,F3278)-1</f>
        <v>#VALUE!</v>
      </c>
      <c r="F3278" s="5" t="str">
        <f t="shared" si="52"/>
        <v/>
      </c>
      <c r="G3278" s="5" t="str">
        <f>IF(B3278="","",股指期货基差分析!$N$11)</f>
        <v/>
      </c>
      <c r="H3278" s="5" t="str">
        <f>IF(B3278="","",股指期货基差分析!$L$11)</f>
        <v/>
      </c>
      <c r="I3278" s="9" t="str">
        <f>IF(B3278="","",股指期货基差分析!$D$11)</f>
        <v/>
      </c>
    </row>
    <row r="3279" spans="2:9" ht="15" customHeight="1" x14ac:dyDescent="0.2">
      <c r="B3279" s="8"/>
      <c r="C3279" s="6" t="str">
        <f>IF(B3279="","",[1]!s_dq_close(股指期货基差分析!$E$5,$B3279))</f>
        <v/>
      </c>
      <c r="D3279" s="6" t="str">
        <f>IF(B3279="","",[1]!s_dq_close(股指期货基差分析!$E$6,$B3279))</f>
        <v/>
      </c>
      <c r="E3279" s="6" t="e">
        <f ca="1">RANK(F3279,F:F)+COUNTIF(F$2:F3279,F3279)-1</f>
        <v>#VALUE!</v>
      </c>
      <c r="F3279" s="6" t="str">
        <f t="shared" si="52"/>
        <v/>
      </c>
      <c r="G3279" s="6" t="str">
        <f>IF(B3279="","",股指期货基差分析!$N$11)</f>
        <v/>
      </c>
      <c r="H3279" s="6" t="str">
        <f>IF(B3279="","",股指期货基差分析!$L$11)</f>
        <v/>
      </c>
      <c r="I3279" s="10" t="str">
        <f>IF(B3279="","",股指期货基差分析!$D$11)</f>
        <v/>
      </c>
    </row>
    <row r="3280" spans="2:9" ht="15" customHeight="1" x14ac:dyDescent="0.2">
      <c r="B3280" s="7"/>
      <c r="C3280" s="5" t="str">
        <f>IF(B3280="","",[1]!s_dq_close(股指期货基差分析!$E$5,$B3280))</f>
        <v/>
      </c>
      <c r="D3280" s="5" t="str">
        <f>IF(B3280="","",[1]!s_dq_close(股指期货基差分析!$E$6,$B3280))</f>
        <v/>
      </c>
      <c r="E3280" s="5" t="e">
        <f ca="1">RANK(F3280,F:F)+COUNTIF(F$2:F3280,F3280)-1</f>
        <v>#VALUE!</v>
      </c>
      <c r="F3280" s="5" t="str">
        <f t="shared" si="52"/>
        <v/>
      </c>
      <c r="G3280" s="5" t="str">
        <f>IF(B3280="","",股指期货基差分析!$N$11)</f>
        <v/>
      </c>
      <c r="H3280" s="5" t="str">
        <f>IF(B3280="","",股指期货基差分析!$L$11)</f>
        <v/>
      </c>
      <c r="I3280" s="9" t="str">
        <f>IF(B3280="","",股指期货基差分析!$D$11)</f>
        <v/>
      </c>
    </row>
    <row r="3281" spans="2:9" ht="15" customHeight="1" x14ac:dyDescent="0.2">
      <c r="B3281" s="8"/>
      <c r="C3281" s="6" t="str">
        <f>IF(B3281="","",[1]!s_dq_close(股指期货基差分析!$E$5,$B3281))</f>
        <v/>
      </c>
      <c r="D3281" s="6" t="str">
        <f>IF(B3281="","",[1]!s_dq_close(股指期货基差分析!$E$6,$B3281))</f>
        <v/>
      </c>
      <c r="E3281" s="6" t="e">
        <f ca="1">RANK(F3281,F:F)+COUNTIF(F$2:F3281,F3281)-1</f>
        <v>#VALUE!</v>
      </c>
      <c r="F3281" s="6" t="str">
        <f t="shared" si="52"/>
        <v/>
      </c>
      <c r="G3281" s="6" t="str">
        <f>IF(B3281="","",股指期货基差分析!$N$11)</f>
        <v/>
      </c>
      <c r="H3281" s="6" t="str">
        <f>IF(B3281="","",股指期货基差分析!$L$11)</f>
        <v/>
      </c>
      <c r="I3281" s="10" t="str">
        <f>IF(B3281="","",股指期货基差分析!$D$11)</f>
        <v/>
      </c>
    </row>
    <row r="3282" spans="2:9" ht="15" customHeight="1" x14ac:dyDescent="0.2">
      <c r="B3282" s="7"/>
      <c r="C3282" s="5" t="str">
        <f>IF(B3282="","",[1]!s_dq_close(股指期货基差分析!$E$5,$B3282))</f>
        <v/>
      </c>
      <c r="D3282" s="5" t="str">
        <f>IF(B3282="","",[1]!s_dq_close(股指期货基差分析!$E$6,$B3282))</f>
        <v/>
      </c>
      <c r="E3282" s="5" t="e">
        <f ca="1">RANK(F3282,F:F)+COUNTIF(F$2:F3282,F3282)-1</f>
        <v>#VALUE!</v>
      </c>
      <c r="F3282" s="5" t="str">
        <f t="shared" si="52"/>
        <v/>
      </c>
      <c r="G3282" s="5" t="str">
        <f>IF(B3282="","",股指期货基差分析!$N$11)</f>
        <v/>
      </c>
      <c r="H3282" s="5" t="str">
        <f>IF(B3282="","",股指期货基差分析!$L$11)</f>
        <v/>
      </c>
      <c r="I3282" s="9" t="str">
        <f>IF(B3282="","",股指期货基差分析!$D$11)</f>
        <v/>
      </c>
    </row>
    <row r="3283" spans="2:9" ht="15" customHeight="1" x14ac:dyDescent="0.2">
      <c r="B3283" s="8"/>
      <c r="C3283" s="6" t="str">
        <f>IF(B3283="","",[1]!s_dq_close(股指期货基差分析!$E$5,$B3283))</f>
        <v/>
      </c>
      <c r="D3283" s="6" t="str">
        <f>IF(B3283="","",[1]!s_dq_close(股指期货基差分析!$E$6,$B3283))</f>
        <v/>
      </c>
      <c r="E3283" s="6" t="e">
        <f ca="1">RANK(F3283,F:F)+COUNTIF(F$2:F3283,F3283)-1</f>
        <v>#VALUE!</v>
      </c>
      <c r="F3283" s="6" t="str">
        <f t="shared" si="52"/>
        <v/>
      </c>
      <c r="G3283" s="6" t="str">
        <f>IF(B3283="","",股指期货基差分析!$N$11)</f>
        <v/>
      </c>
      <c r="H3283" s="6" t="str">
        <f>IF(B3283="","",股指期货基差分析!$L$11)</f>
        <v/>
      </c>
      <c r="I3283" s="10" t="str">
        <f>IF(B3283="","",股指期货基差分析!$D$11)</f>
        <v/>
      </c>
    </row>
    <row r="3284" spans="2:9" ht="15" customHeight="1" x14ac:dyDescent="0.2">
      <c r="B3284" s="7"/>
      <c r="C3284" s="5" t="str">
        <f>IF(B3284="","",[1]!s_dq_close(股指期货基差分析!$E$5,$B3284))</f>
        <v/>
      </c>
      <c r="D3284" s="5" t="str">
        <f>IF(B3284="","",[1]!s_dq_close(股指期货基差分析!$E$6,$B3284))</f>
        <v/>
      </c>
      <c r="E3284" s="5" t="e">
        <f ca="1">RANK(F3284,F:F)+COUNTIF(F$2:F3284,F3284)-1</f>
        <v>#VALUE!</v>
      </c>
      <c r="F3284" s="5" t="str">
        <f t="shared" si="52"/>
        <v/>
      </c>
      <c r="G3284" s="5" t="str">
        <f>IF(B3284="","",股指期货基差分析!$N$11)</f>
        <v/>
      </c>
      <c r="H3284" s="5" t="str">
        <f>IF(B3284="","",股指期货基差分析!$L$11)</f>
        <v/>
      </c>
      <c r="I3284" s="9" t="str">
        <f>IF(B3284="","",股指期货基差分析!$D$11)</f>
        <v/>
      </c>
    </row>
    <row r="3285" spans="2:9" ht="15" customHeight="1" x14ac:dyDescent="0.2">
      <c r="B3285" s="8"/>
      <c r="C3285" s="6" t="str">
        <f>IF(B3285="","",[1]!s_dq_close(股指期货基差分析!$E$5,$B3285))</f>
        <v/>
      </c>
      <c r="D3285" s="6" t="str">
        <f>IF(B3285="","",[1]!s_dq_close(股指期货基差分析!$E$6,$B3285))</f>
        <v/>
      </c>
      <c r="E3285" s="6" t="e">
        <f ca="1">RANK(F3285,F:F)+COUNTIF(F$2:F3285,F3285)-1</f>
        <v>#VALUE!</v>
      </c>
      <c r="F3285" s="6" t="str">
        <f t="shared" si="52"/>
        <v/>
      </c>
      <c r="G3285" s="6" t="str">
        <f>IF(B3285="","",股指期货基差分析!$N$11)</f>
        <v/>
      </c>
      <c r="H3285" s="6" t="str">
        <f>IF(B3285="","",股指期货基差分析!$L$11)</f>
        <v/>
      </c>
      <c r="I3285" s="10" t="str">
        <f>IF(B3285="","",股指期货基差分析!$D$11)</f>
        <v/>
      </c>
    </row>
    <row r="3286" spans="2:9" ht="15" customHeight="1" x14ac:dyDescent="0.2">
      <c r="B3286" s="7"/>
      <c r="C3286" s="5" t="str">
        <f>IF(B3286="","",[1]!s_dq_close(股指期货基差分析!$E$5,$B3286))</f>
        <v/>
      </c>
      <c r="D3286" s="5" t="str">
        <f>IF(B3286="","",[1]!s_dq_close(股指期货基差分析!$E$6,$B3286))</f>
        <v/>
      </c>
      <c r="E3286" s="5" t="e">
        <f ca="1">RANK(F3286,F:F)+COUNTIF(F$2:F3286,F3286)-1</f>
        <v>#VALUE!</v>
      </c>
      <c r="F3286" s="5" t="str">
        <f t="shared" si="52"/>
        <v/>
      </c>
      <c r="G3286" s="5" t="str">
        <f>IF(B3286="","",股指期货基差分析!$N$11)</f>
        <v/>
      </c>
      <c r="H3286" s="5" t="str">
        <f>IF(B3286="","",股指期货基差分析!$L$11)</f>
        <v/>
      </c>
      <c r="I3286" s="9" t="str">
        <f>IF(B3286="","",股指期货基差分析!$D$11)</f>
        <v/>
      </c>
    </row>
    <row r="3287" spans="2:9" ht="15" customHeight="1" x14ac:dyDescent="0.2">
      <c r="B3287" s="8"/>
      <c r="C3287" s="6" t="str">
        <f>IF(B3287="","",[1]!s_dq_close(股指期货基差分析!$E$5,$B3287))</f>
        <v/>
      </c>
      <c r="D3287" s="6" t="str">
        <f>IF(B3287="","",[1]!s_dq_close(股指期货基差分析!$E$6,$B3287))</f>
        <v/>
      </c>
      <c r="E3287" s="6" t="e">
        <f ca="1">RANK(F3287,F:F)+COUNTIF(F$2:F3287,F3287)-1</f>
        <v>#VALUE!</v>
      </c>
      <c r="F3287" s="6" t="str">
        <f t="shared" si="52"/>
        <v/>
      </c>
      <c r="G3287" s="6" t="str">
        <f>IF(B3287="","",股指期货基差分析!$N$11)</f>
        <v/>
      </c>
      <c r="H3287" s="6" t="str">
        <f>IF(B3287="","",股指期货基差分析!$L$11)</f>
        <v/>
      </c>
      <c r="I3287" s="10" t="str">
        <f>IF(B3287="","",股指期货基差分析!$D$11)</f>
        <v/>
      </c>
    </row>
    <row r="3288" spans="2:9" ht="15" customHeight="1" x14ac:dyDescent="0.2">
      <c r="B3288" s="7"/>
      <c r="C3288" s="5" t="str">
        <f>IF(B3288="","",[1]!s_dq_close(股指期货基差分析!$E$5,$B3288))</f>
        <v/>
      </c>
      <c r="D3288" s="5" t="str">
        <f>IF(B3288="","",[1]!s_dq_close(股指期货基差分析!$E$6,$B3288))</f>
        <v/>
      </c>
      <c r="E3288" s="5" t="e">
        <f ca="1">RANK(F3288,F:F)+COUNTIF(F$2:F3288,F3288)-1</f>
        <v>#VALUE!</v>
      </c>
      <c r="F3288" s="5" t="str">
        <f t="shared" si="52"/>
        <v/>
      </c>
      <c r="G3288" s="5" t="str">
        <f>IF(B3288="","",股指期货基差分析!$N$11)</f>
        <v/>
      </c>
      <c r="H3288" s="5" t="str">
        <f>IF(B3288="","",股指期货基差分析!$L$11)</f>
        <v/>
      </c>
      <c r="I3288" s="9" t="str">
        <f>IF(B3288="","",股指期货基差分析!$D$11)</f>
        <v/>
      </c>
    </row>
    <row r="3289" spans="2:9" ht="15" customHeight="1" x14ac:dyDescent="0.2">
      <c r="B3289" s="8"/>
      <c r="C3289" s="6" t="str">
        <f>IF(B3289="","",[1]!s_dq_close(股指期货基差分析!$E$5,$B3289))</f>
        <v/>
      </c>
      <c r="D3289" s="6" t="str">
        <f>IF(B3289="","",[1]!s_dq_close(股指期货基差分析!$E$6,$B3289))</f>
        <v/>
      </c>
      <c r="E3289" s="6" t="e">
        <f ca="1">RANK(F3289,F:F)+COUNTIF(F$2:F3289,F3289)-1</f>
        <v>#VALUE!</v>
      </c>
      <c r="F3289" s="6" t="str">
        <f t="shared" si="52"/>
        <v/>
      </c>
      <c r="G3289" s="6" t="str">
        <f>IF(B3289="","",股指期货基差分析!$N$11)</f>
        <v/>
      </c>
      <c r="H3289" s="6" t="str">
        <f>IF(B3289="","",股指期货基差分析!$L$11)</f>
        <v/>
      </c>
      <c r="I3289" s="10" t="str">
        <f>IF(B3289="","",股指期货基差分析!$D$11)</f>
        <v/>
      </c>
    </row>
    <row r="3290" spans="2:9" ht="15" customHeight="1" x14ac:dyDescent="0.2">
      <c r="B3290" s="7"/>
      <c r="C3290" s="5" t="str">
        <f>IF(B3290="","",[1]!s_dq_close(股指期货基差分析!$E$5,$B3290))</f>
        <v/>
      </c>
      <c r="D3290" s="5" t="str">
        <f>IF(B3290="","",[1]!s_dq_close(股指期货基差分析!$E$6,$B3290))</f>
        <v/>
      </c>
      <c r="E3290" s="5" t="e">
        <f ca="1">RANK(F3290,F:F)+COUNTIF(F$2:F3290,F3290)-1</f>
        <v>#VALUE!</v>
      </c>
      <c r="F3290" s="5" t="str">
        <f t="shared" si="52"/>
        <v/>
      </c>
      <c r="G3290" s="5" t="str">
        <f>IF(B3290="","",股指期货基差分析!$N$11)</f>
        <v/>
      </c>
      <c r="H3290" s="5" t="str">
        <f>IF(B3290="","",股指期货基差分析!$L$11)</f>
        <v/>
      </c>
      <c r="I3290" s="9" t="str">
        <f>IF(B3290="","",股指期货基差分析!$D$11)</f>
        <v/>
      </c>
    </row>
    <row r="3291" spans="2:9" ht="15" customHeight="1" x14ac:dyDescent="0.2">
      <c r="B3291" s="8"/>
      <c r="C3291" s="6" t="str">
        <f>IF(B3291="","",[1]!s_dq_close(股指期货基差分析!$E$5,$B3291))</f>
        <v/>
      </c>
      <c r="D3291" s="6" t="str">
        <f>IF(B3291="","",[1]!s_dq_close(股指期货基差分析!$E$6,$B3291))</f>
        <v/>
      </c>
      <c r="E3291" s="6" t="e">
        <f ca="1">RANK(F3291,F:F)+COUNTIF(F$2:F3291,F3291)-1</f>
        <v>#VALUE!</v>
      </c>
      <c r="F3291" s="6" t="str">
        <f t="shared" si="52"/>
        <v/>
      </c>
      <c r="G3291" s="6" t="str">
        <f>IF(B3291="","",股指期货基差分析!$N$11)</f>
        <v/>
      </c>
      <c r="H3291" s="6" t="str">
        <f>IF(B3291="","",股指期货基差分析!$L$11)</f>
        <v/>
      </c>
      <c r="I3291" s="10" t="str">
        <f>IF(B3291="","",股指期货基差分析!$D$11)</f>
        <v/>
      </c>
    </row>
    <row r="3292" spans="2:9" ht="15" customHeight="1" x14ac:dyDescent="0.2">
      <c r="B3292" s="7"/>
      <c r="C3292" s="5" t="str">
        <f>IF(B3292="","",[1]!s_dq_close(股指期货基差分析!$E$5,$B3292))</f>
        <v/>
      </c>
      <c r="D3292" s="5" t="str">
        <f>IF(B3292="","",[1]!s_dq_close(股指期货基差分析!$E$6,$B3292))</f>
        <v/>
      </c>
      <c r="E3292" s="5" t="e">
        <f ca="1">RANK(F3292,F:F)+COUNTIF(F$2:F3292,F3292)-1</f>
        <v>#VALUE!</v>
      </c>
      <c r="F3292" s="5" t="str">
        <f t="shared" si="52"/>
        <v/>
      </c>
      <c r="G3292" s="5" t="str">
        <f>IF(B3292="","",股指期货基差分析!$N$11)</f>
        <v/>
      </c>
      <c r="H3292" s="5" t="str">
        <f>IF(B3292="","",股指期货基差分析!$L$11)</f>
        <v/>
      </c>
      <c r="I3292" s="9" t="str">
        <f>IF(B3292="","",股指期货基差分析!$D$11)</f>
        <v/>
      </c>
    </row>
    <row r="3293" spans="2:9" ht="15" customHeight="1" x14ac:dyDescent="0.2">
      <c r="B3293" s="8"/>
      <c r="C3293" s="6" t="str">
        <f>IF(B3293="","",[1]!s_dq_close(股指期货基差分析!$E$5,$B3293))</f>
        <v/>
      </c>
      <c r="D3293" s="6" t="str">
        <f>IF(B3293="","",[1]!s_dq_close(股指期货基差分析!$E$6,$B3293))</f>
        <v/>
      </c>
      <c r="E3293" s="6" t="e">
        <f ca="1">RANK(F3293,F:F)+COUNTIF(F$2:F3293,F3293)-1</f>
        <v>#VALUE!</v>
      </c>
      <c r="F3293" s="6" t="str">
        <f t="shared" si="52"/>
        <v/>
      </c>
      <c r="G3293" s="6" t="str">
        <f>IF(B3293="","",股指期货基差分析!$N$11)</f>
        <v/>
      </c>
      <c r="H3293" s="6" t="str">
        <f>IF(B3293="","",股指期货基差分析!$L$11)</f>
        <v/>
      </c>
      <c r="I3293" s="10" t="str">
        <f>IF(B3293="","",股指期货基差分析!$D$11)</f>
        <v/>
      </c>
    </row>
    <row r="3294" spans="2:9" ht="15" customHeight="1" x14ac:dyDescent="0.2">
      <c r="B3294" s="7"/>
      <c r="C3294" s="5" t="str">
        <f>IF(B3294="","",[1]!s_dq_close(股指期货基差分析!$E$5,$B3294))</f>
        <v/>
      </c>
      <c r="D3294" s="5" t="str">
        <f>IF(B3294="","",[1]!s_dq_close(股指期货基差分析!$E$6,$B3294))</f>
        <v/>
      </c>
      <c r="E3294" s="5" t="e">
        <f ca="1">RANK(F3294,F:F)+COUNTIF(F$2:F3294,F3294)-1</f>
        <v>#VALUE!</v>
      </c>
      <c r="F3294" s="5" t="str">
        <f t="shared" si="52"/>
        <v/>
      </c>
      <c r="G3294" s="5" t="str">
        <f>IF(B3294="","",股指期货基差分析!$N$11)</f>
        <v/>
      </c>
      <c r="H3294" s="5" t="str">
        <f>IF(B3294="","",股指期货基差分析!$L$11)</f>
        <v/>
      </c>
      <c r="I3294" s="9" t="str">
        <f>IF(B3294="","",股指期货基差分析!$D$11)</f>
        <v/>
      </c>
    </row>
    <row r="3295" spans="2:9" ht="15" customHeight="1" x14ac:dyDescent="0.2">
      <c r="B3295" s="8"/>
      <c r="C3295" s="6" t="str">
        <f>IF(B3295="","",[1]!s_dq_close(股指期货基差分析!$E$5,$B3295))</f>
        <v/>
      </c>
      <c r="D3295" s="6" t="str">
        <f>IF(B3295="","",[1]!s_dq_close(股指期货基差分析!$E$6,$B3295))</f>
        <v/>
      </c>
      <c r="E3295" s="6" t="e">
        <f ca="1">RANK(F3295,F:F)+COUNTIF(F$2:F3295,F3295)-1</f>
        <v>#VALUE!</v>
      </c>
      <c r="F3295" s="6" t="str">
        <f t="shared" si="52"/>
        <v/>
      </c>
      <c r="G3295" s="6" t="str">
        <f>IF(B3295="","",股指期货基差分析!$N$11)</f>
        <v/>
      </c>
      <c r="H3295" s="6" t="str">
        <f>IF(B3295="","",股指期货基差分析!$L$11)</f>
        <v/>
      </c>
      <c r="I3295" s="10" t="str">
        <f>IF(B3295="","",股指期货基差分析!$D$11)</f>
        <v/>
      </c>
    </row>
    <row r="3296" spans="2:9" ht="15" customHeight="1" x14ac:dyDescent="0.2">
      <c r="B3296" s="7"/>
      <c r="C3296" s="5" t="str">
        <f>IF(B3296="","",[1]!s_dq_close(股指期货基差分析!$E$5,$B3296))</f>
        <v/>
      </c>
      <c r="D3296" s="5" t="str">
        <f>IF(B3296="","",[1]!s_dq_close(股指期货基差分析!$E$6,$B3296))</f>
        <v/>
      </c>
      <c r="E3296" s="5" t="e">
        <f ca="1">RANK(F3296,F:F)+COUNTIF(F$2:F3296,F3296)-1</f>
        <v>#VALUE!</v>
      </c>
      <c r="F3296" s="5" t="str">
        <f t="shared" si="52"/>
        <v/>
      </c>
      <c r="G3296" s="5" t="str">
        <f>IF(B3296="","",股指期货基差分析!$N$11)</f>
        <v/>
      </c>
      <c r="H3296" s="5" t="str">
        <f>IF(B3296="","",股指期货基差分析!$L$11)</f>
        <v/>
      </c>
      <c r="I3296" s="9" t="str">
        <f>IF(B3296="","",股指期货基差分析!$D$11)</f>
        <v/>
      </c>
    </row>
    <row r="3297" spans="2:9" ht="15" customHeight="1" x14ac:dyDescent="0.2">
      <c r="B3297" s="8"/>
      <c r="C3297" s="6" t="str">
        <f>IF(B3297="","",[1]!s_dq_close(股指期货基差分析!$E$5,$B3297))</f>
        <v/>
      </c>
      <c r="D3297" s="6" t="str">
        <f>IF(B3297="","",[1]!s_dq_close(股指期货基差分析!$E$6,$B3297))</f>
        <v/>
      </c>
      <c r="E3297" s="6" t="e">
        <f ca="1">RANK(F3297,F:F)+COUNTIF(F$2:F3297,F3297)-1</f>
        <v>#VALUE!</v>
      </c>
      <c r="F3297" s="6" t="str">
        <f t="shared" si="52"/>
        <v/>
      </c>
      <c r="G3297" s="6" t="str">
        <f>IF(B3297="","",股指期货基差分析!$N$11)</f>
        <v/>
      </c>
      <c r="H3297" s="6" t="str">
        <f>IF(B3297="","",股指期货基差分析!$L$11)</f>
        <v/>
      </c>
      <c r="I3297" s="10" t="str">
        <f>IF(B3297="","",股指期货基差分析!$D$11)</f>
        <v/>
      </c>
    </row>
    <row r="3298" spans="2:9" ht="15" customHeight="1" x14ac:dyDescent="0.2">
      <c r="B3298" s="7"/>
      <c r="C3298" s="5" t="str">
        <f>IF(B3298="","",[1]!s_dq_close(股指期货基差分析!$E$5,$B3298))</f>
        <v/>
      </c>
      <c r="D3298" s="5" t="str">
        <f>IF(B3298="","",[1]!s_dq_close(股指期货基差分析!$E$6,$B3298))</f>
        <v/>
      </c>
      <c r="E3298" s="5" t="e">
        <f ca="1">RANK(F3298,F:F)+COUNTIF(F$2:F3298,F3298)-1</f>
        <v>#VALUE!</v>
      </c>
      <c r="F3298" s="5" t="str">
        <f t="shared" si="52"/>
        <v/>
      </c>
      <c r="G3298" s="5" t="str">
        <f>IF(B3298="","",股指期货基差分析!$N$11)</f>
        <v/>
      </c>
      <c r="H3298" s="5" t="str">
        <f>IF(B3298="","",股指期货基差分析!$L$11)</f>
        <v/>
      </c>
      <c r="I3298" s="9" t="str">
        <f>IF(B3298="","",股指期货基差分析!$D$11)</f>
        <v/>
      </c>
    </row>
    <row r="3299" spans="2:9" ht="15" customHeight="1" x14ac:dyDescent="0.2">
      <c r="B3299" s="8"/>
      <c r="C3299" s="6" t="str">
        <f>IF(B3299="","",[1]!s_dq_close(股指期货基差分析!$E$5,$B3299))</f>
        <v/>
      </c>
      <c r="D3299" s="6" t="str">
        <f>IF(B3299="","",[1]!s_dq_close(股指期货基差分析!$E$6,$B3299))</f>
        <v/>
      </c>
      <c r="E3299" s="6" t="e">
        <f ca="1">RANK(F3299,F:F)+COUNTIF(F$2:F3299,F3299)-1</f>
        <v>#VALUE!</v>
      </c>
      <c r="F3299" s="6" t="str">
        <f t="shared" si="52"/>
        <v/>
      </c>
      <c r="G3299" s="6" t="str">
        <f>IF(B3299="","",股指期货基差分析!$N$11)</f>
        <v/>
      </c>
      <c r="H3299" s="6" t="str">
        <f>IF(B3299="","",股指期货基差分析!$L$11)</f>
        <v/>
      </c>
      <c r="I3299" s="10" t="str">
        <f>IF(B3299="","",股指期货基差分析!$D$11)</f>
        <v/>
      </c>
    </row>
    <row r="3300" spans="2:9" ht="15" customHeight="1" x14ac:dyDescent="0.2">
      <c r="B3300" s="7"/>
      <c r="C3300" s="5" t="str">
        <f>IF(B3300="","",[1]!s_dq_close(股指期货基差分析!$E$5,$B3300))</f>
        <v/>
      </c>
      <c r="D3300" s="5" t="str">
        <f>IF(B3300="","",[1]!s_dq_close(股指期货基差分析!$E$6,$B3300))</f>
        <v/>
      </c>
      <c r="E3300" s="5" t="e">
        <f ca="1">RANK(F3300,F:F)+COUNTIF(F$2:F3300,F3300)-1</f>
        <v>#VALUE!</v>
      </c>
      <c r="F3300" s="5" t="str">
        <f t="shared" si="52"/>
        <v/>
      </c>
      <c r="G3300" s="5" t="str">
        <f>IF(B3300="","",股指期货基差分析!$N$11)</f>
        <v/>
      </c>
      <c r="H3300" s="5" t="str">
        <f>IF(B3300="","",股指期货基差分析!$L$11)</f>
        <v/>
      </c>
      <c r="I3300" s="9" t="str">
        <f>IF(B3300="","",股指期货基差分析!$D$11)</f>
        <v/>
      </c>
    </row>
    <row r="3301" spans="2:9" ht="15" customHeight="1" x14ac:dyDescent="0.2">
      <c r="B3301" s="8"/>
      <c r="C3301" s="6" t="str">
        <f>IF(B3301="","",[1]!s_dq_close(股指期货基差分析!$E$5,$B3301))</f>
        <v/>
      </c>
      <c r="D3301" s="6" t="str">
        <f>IF(B3301="","",[1]!s_dq_close(股指期货基差分析!$E$6,$B3301))</f>
        <v/>
      </c>
      <c r="E3301" s="6" t="e">
        <f ca="1">RANK(F3301,F:F)+COUNTIF(F$2:F3301,F3301)-1</f>
        <v>#VALUE!</v>
      </c>
      <c r="F3301" s="6" t="str">
        <f t="shared" si="52"/>
        <v/>
      </c>
      <c r="G3301" s="6" t="str">
        <f>IF(B3301="","",股指期货基差分析!$N$11)</f>
        <v/>
      </c>
      <c r="H3301" s="6" t="str">
        <f>IF(B3301="","",股指期货基差分析!$L$11)</f>
        <v/>
      </c>
      <c r="I3301" s="10" t="str">
        <f>IF(B3301="","",股指期货基差分析!$D$11)</f>
        <v/>
      </c>
    </row>
    <row r="3302" spans="2:9" ht="15" customHeight="1" x14ac:dyDescent="0.2">
      <c r="B3302" s="7"/>
      <c r="C3302" s="5" t="str">
        <f>IF(B3302="","",[1]!s_dq_close(股指期货基差分析!$E$5,$B3302))</f>
        <v/>
      </c>
      <c r="D3302" s="5" t="str">
        <f>IF(B3302="","",[1]!s_dq_close(股指期货基差分析!$E$6,$B3302))</f>
        <v/>
      </c>
      <c r="E3302" s="5" t="e">
        <f ca="1">RANK(F3302,F:F)+COUNTIF(F$2:F3302,F3302)-1</f>
        <v>#VALUE!</v>
      </c>
      <c r="F3302" s="5" t="str">
        <f t="shared" si="52"/>
        <v/>
      </c>
      <c r="G3302" s="5" t="str">
        <f>IF(B3302="","",股指期货基差分析!$N$11)</f>
        <v/>
      </c>
      <c r="H3302" s="5" t="str">
        <f>IF(B3302="","",股指期货基差分析!$L$11)</f>
        <v/>
      </c>
      <c r="I3302" s="9" t="str">
        <f>IF(B3302="","",股指期货基差分析!$D$11)</f>
        <v/>
      </c>
    </row>
    <row r="3303" spans="2:9" ht="15" customHeight="1" x14ac:dyDescent="0.2">
      <c r="B3303" s="8"/>
      <c r="C3303" s="6" t="str">
        <f>IF(B3303="","",[1]!s_dq_close(股指期货基差分析!$E$5,$B3303))</f>
        <v/>
      </c>
      <c r="D3303" s="6" t="str">
        <f>IF(B3303="","",[1]!s_dq_close(股指期货基差分析!$E$6,$B3303))</f>
        <v/>
      </c>
      <c r="E3303" s="6" t="e">
        <f ca="1">RANK(F3303,F:F)+COUNTIF(F$2:F3303,F3303)-1</f>
        <v>#VALUE!</v>
      </c>
      <c r="F3303" s="6" t="str">
        <f t="shared" si="52"/>
        <v/>
      </c>
      <c r="G3303" s="6" t="str">
        <f>IF(B3303="","",股指期货基差分析!$N$11)</f>
        <v/>
      </c>
      <c r="H3303" s="6" t="str">
        <f>IF(B3303="","",股指期货基差分析!$L$11)</f>
        <v/>
      </c>
      <c r="I3303" s="10" t="str">
        <f>IF(B3303="","",股指期货基差分析!$D$11)</f>
        <v/>
      </c>
    </row>
    <row r="3304" spans="2:9" ht="15" customHeight="1" x14ac:dyDescent="0.2">
      <c r="B3304" s="7"/>
      <c r="C3304" s="5" t="str">
        <f>IF(B3304="","",[1]!s_dq_close(股指期货基差分析!$E$5,$B3304))</f>
        <v/>
      </c>
      <c r="D3304" s="5" t="str">
        <f>IF(B3304="","",[1]!s_dq_close(股指期货基差分析!$E$6,$B3304))</f>
        <v/>
      </c>
      <c r="E3304" s="5" t="e">
        <f ca="1">RANK(F3304,F:F)+COUNTIF(F$2:F3304,F3304)-1</f>
        <v>#VALUE!</v>
      </c>
      <c r="F3304" s="5" t="str">
        <f t="shared" si="52"/>
        <v/>
      </c>
      <c r="G3304" s="5" t="str">
        <f>IF(B3304="","",股指期货基差分析!$N$11)</f>
        <v/>
      </c>
      <c r="H3304" s="5" t="str">
        <f>IF(B3304="","",股指期货基差分析!$L$11)</f>
        <v/>
      </c>
      <c r="I3304" s="9" t="str">
        <f>IF(B3304="","",股指期货基差分析!$D$11)</f>
        <v/>
      </c>
    </row>
    <row r="3305" spans="2:9" ht="15" customHeight="1" x14ac:dyDescent="0.2">
      <c r="B3305" s="8"/>
      <c r="C3305" s="6" t="str">
        <f>IF(B3305="","",[1]!s_dq_close(股指期货基差分析!$E$5,$B3305))</f>
        <v/>
      </c>
      <c r="D3305" s="6" t="str">
        <f>IF(B3305="","",[1]!s_dq_close(股指期货基差分析!$E$6,$B3305))</f>
        <v/>
      </c>
      <c r="E3305" s="6" t="e">
        <f ca="1">RANK(F3305,F:F)+COUNTIF(F$2:F3305,F3305)-1</f>
        <v>#VALUE!</v>
      </c>
      <c r="F3305" s="6" t="str">
        <f t="shared" si="52"/>
        <v/>
      </c>
      <c r="G3305" s="6" t="str">
        <f>IF(B3305="","",股指期货基差分析!$N$11)</f>
        <v/>
      </c>
      <c r="H3305" s="6" t="str">
        <f>IF(B3305="","",股指期货基差分析!$L$11)</f>
        <v/>
      </c>
      <c r="I3305" s="10" t="str">
        <f>IF(B3305="","",股指期货基差分析!$D$11)</f>
        <v/>
      </c>
    </row>
    <row r="3306" spans="2:9" ht="15" customHeight="1" x14ac:dyDescent="0.2">
      <c r="B3306" s="7"/>
      <c r="C3306" s="5" t="str">
        <f>IF(B3306="","",[1]!s_dq_close(股指期货基差分析!$E$5,$B3306))</f>
        <v/>
      </c>
      <c r="D3306" s="5" t="str">
        <f>IF(B3306="","",[1]!s_dq_close(股指期货基差分析!$E$6,$B3306))</f>
        <v/>
      </c>
      <c r="E3306" s="5" t="e">
        <f ca="1">RANK(F3306,F:F)+COUNTIF(F$2:F3306,F3306)-1</f>
        <v>#VALUE!</v>
      </c>
      <c r="F3306" s="5" t="str">
        <f t="shared" si="52"/>
        <v/>
      </c>
      <c r="G3306" s="5" t="str">
        <f>IF(B3306="","",股指期货基差分析!$N$11)</f>
        <v/>
      </c>
      <c r="H3306" s="5" t="str">
        <f>IF(B3306="","",股指期货基差分析!$L$11)</f>
        <v/>
      </c>
      <c r="I3306" s="9" t="str">
        <f>IF(B3306="","",股指期货基差分析!$D$11)</f>
        <v/>
      </c>
    </row>
    <row r="3307" spans="2:9" ht="15" customHeight="1" x14ac:dyDescent="0.2">
      <c r="B3307" s="8"/>
      <c r="C3307" s="6" t="str">
        <f>IF(B3307="","",[1]!s_dq_close(股指期货基差分析!$E$5,$B3307))</f>
        <v/>
      </c>
      <c r="D3307" s="6" t="str">
        <f>IF(B3307="","",[1]!s_dq_close(股指期货基差分析!$E$6,$B3307))</f>
        <v/>
      </c>
      <c r="E3307" s="6" t="e">
        <f ca="1">RANK(F3307,F:F)+COUNTIF(F$2:F3307,F3307)-1</f>
        <v>#VALUE!</v>
      </c>
      <c r="F3307" s="6" t="str">
        <f t="shared" si="52"/>
        <v/>
      </c>
      <c r="G3307" s="6" t="str">
        <f>IF(B3307="","",股指期货基差分析!$N$11)</f>
        <v/>
      </c>
      <c r="H3307" s="6" t="str">
        <f>IF(B3307="","",股指期货基差分析!$L$11)</f>
        <v/>
      </c>
      <c r="I3307" s="10" t="str">
        <f>IF(B3307="","",股指期货基差分析!$D$11)</f>
        <v/>
      </c>
    </row>
    <row r="3308" spans="2:9" ht="15" customHeight="1" x14ac:dyDescent="0.2">
      <c r="B3308" s="7"/>
      <c r="C3308" s="5" t="str">
        <f>IF(B3308="","",[1]!s_dq_close(股指期货基差分析!$E$5,$B3308))</f>
        <v/>
      </c>
      <c r="D3308" s="5" t="str">
        <f>IF(B3308="","",[1]!s_dq_close(股指期货基差分析!$E$6,$B3308))</f>
        <v/>
      </c>
      <c r="E3308" s="5" t="e">
        <f ca="1">RANK(F3308,F:F)+COUNTIF(F$2:F3308,F3308)-1</f>
        <v>#VALUE!</v>
      </c>
      <c r="F3308" s="5" t="str">
        <f t="shared" si="52"/>
        <v/>
      </c>
      <c r="G3308" s="5" t="str">
        <f>IF(B3308="","",股指期货基差分析!$N$11)</f>
        <v/>
      </c>
      <c r="H3308" s="5" t="str">
        <f>IF(B3308="","",股指期货基差分析!$L$11)</f>
        <v/>
      </c>
      <c r="I3308" s="9" t="str">
        <f>IF(B3308="","",股指期货基差分析!$D$11)</f>
        <v/>
      </c>
    </row>
    <row r="3309" spans="2:9" ht="15" customHeight="1" x14ac:dyDescent="0.2">
      <c r="B3309" s="8"/>
      <c r="C3309" s="6" t="str">
        <f>IF(B3309="","",[1]!s_dq_close(股指期货基差分析!$E$5,$B3309))</f>
        <v/>
      </c>
      <c r="D3309" s="6" t="str">
        <f>IF(B3309="","",[1]!s_dq_close(股指期货基差分析!$E$6,$B3309))</f>
        <v/>
      </c>
      <c r="E3309" s="6" t="e">
        <f ca="1">RANK(F3309,F:F)+COUNTIF(F$2:F3309,F3309)-1</f>
        <v>#VALUE!</v>
      </c>
      <c r="F3309" s="6" t="str">
        <f t="shared" si="52"/>
        <v/>
      </c>
      <c r="G3309" s="6" t="str">
        <f>IF(B3309="","",股指期货基差分析!$N$11)</f>
        <v/>
      </c>
      <c r="H3309" s="6" t="str">
        <f>IF(B3309="","",股指期货基差分析!$L$11)</f>
        <v/>
      </c>
      <c r="I3309" s="10" t="str">
        <f>IF(B3309="","",股指期货基差分析!$D$11)</f>
        <v/>
      </c>
    </row>
    <row r="3310" spans="2:9" ht="15" customHeight="1" x14ac:dyDescent="0.2">
      <c r="B3310" s="7"/>
      <c r="C3310" s="5" t="str">
        <f>IF(B3310="","",[1]!s_dq_close(股指期货基差分析!$E$5,$B3310))</f>
        <v/>
      </c>
      <c r="D3310" s="5" t="str">
        <f>IF(B3310="","",[1]!s_dq_close(股指期货基差分析!$E$6,$B3310))</f>
        <v/>
      </c>
      <c r="E3310" s="5" t="e">
        <f ca="1">RANK(F3310,F:F)+COUNTIF(F$2:F3310,F3310)-1</f>
        <v>#VALUE!</v>
      </c>
      <c r="F3310" s="5" t="str">
        <f t="shared" si="52"/>
        <v/>
      </c>
      <c r="G3310" s="5" t="str">
        <f>IF(B3310="","",股指期货基差分析!$N$11)</f>
        <v/>
      </c>
      <c r="H3310" s="5" t="str">
        <f>IF(B3310="","",股指期货基差分析!$L$11)</f>
        <v/>
      </c>
      <c r="I3310" s="9" t="str">
        <f>IF(B3310="","",股指期货基差分析!$D$11)</f>
        <v/>
      </c>
    </row>
    <row r="3311" spans="2:9" ht="15" customHeight="1" x14ac:dyDescent="0.2">
      <c r="B3311" s="8"/>
      <c r="C3311" s="6" t="str">
        <f>IF(B3311="","",[1]!s_dq_close(股指期货基差分析!$E$5,$B3311))</f>
        <v/>
      </c>
      <c r="D3311" s="6" t="str">
        <f>IF(B3311="","",[1]!s_dq_close(股指期货基差分析!$E$6,$B3311))</f>
        <v/>
      </c>
      <c r="E3311" s="6" t="e">
        <f ca="1">RANK(F3311,F:F)+COUNTIF(F$2:F3311,F3311)-1</f>
        <v>#VALUE!</v>
      </c>
      <c r="F3311" s="6" t="str">
        <f t="shared" si="52"/>
        <v/>
      </c>
      <c r="G3311" s="6" t="str">
        <f>IF(B3311="","",股指期货基差分析!$N$11)</f>
        <v/>
      </c>
      <c r="H3311" s="6" t="str">
        <f>IF(B3311="","",股指期货基差分析!$L$11)</f>
        <v/>
      </c>
      <c r="I3311" s="10" t="str">
        <f>IF(B3311="","",股指期货基差分析!$D$11)</f>
        <v/>
      </c>
    </row>
    <row r="3312" spans="2:9" ht="15" customHeight="1" x14ac:dyDescent="0.2">
      <c r="B3312" s="7"/>
      <c r="C3312" s="5" t="str">
        <f>IF(B3312="","",[1]!s_dq_close(股指期货基差分析!$E$5,$B3312))</f>
        <v/>
      </c>
      <c r="D3312" s="5" t="str">
        <f>IF(B3312="","",[1]!s_dq_close(股指期货基差分析!$E$6,$B3312))</f>
        <v/>
      </c>
      <c r="E3312" s="5" t="e">
        <f ca="1">RANK(F3312,F:F)+COUNTIF(F$2:F3312,F3312)-1</f>
        <v>#VALUE!</v>
      </c>
      <c r="F3312" s="5" t="str">
        <f t="shared" si="52"/>
        <v/>
      </c>
      <c r="G3312" s="5" t="str">
        <f>IF(B3312="","",股指期货基差分析!$N$11)</f>
        <v/>
      </c>
      <c r="H3312" s="5" t="str">
        <f>IF(B3312="","",股指期货基差分析!$L$11)</f>
        <v/>
      </c>
      <c r="I3312" s="9" t="str">
        <f>IF(B3312="","",股指期货基差分析!$D$11)</f>
        <v/>
      </c>
    </row>
    <row r="3313" spans="2:9" ht="15" customHeight="1" x14ac:dyDescent="0.2">
      <c r="B3313" s="8"/>
      <c r="C3313" s="6" t="str">
        <f>IF(B3313="","",[1]!s_dq_close(股指期货基差分析!$E$5,$B3313))</f>
        <v/>
      </c>
      <c r="D3313" s="6" t="str">
        <f>IF(B3313="","",[1]!s_dq_close(股指期货基差分析!$E$6,$B3313))</f>
        <v/>
      </c>
      <c r="E3313" s="6" t="e">
        <f ca="1">RANK(F3313,F:F)+COUNTIF(F$2:F3313,F3313)-1</f>
        <v>#VALUE!</v>
      </c>
      <c r="F3313" s="6" t="str">
        <f t="shared" si="52"/>
        <v/>
      </c>
      <c r="G3313" s="6" t="str">
        <f>IF(B3313="","",股指期货基差分析!$N$11)</f>
        <v/>
      </c>
      <c r="H3313" s="6" t="str">
        <f>IF(B3313="","",股指期货基差分析!$L$11)</f>
        <v/>
      </c>
      <c r="I3313" s="10" t="str">
        <f>IF(B3313="","",股指期货基差分析!$D$11)</f>
        <v/>
      </c>
    </row>
    <row r="3314" spans="2:9" ht="15" customHeight="1" x14ac:dyDescent="0.2">
      <c r="B3314" s="7"/>
      <c r="C3314" s="5" t="str">
        <f>IF(B3314="","",[1]!s_dq_close(股指期货基差分析!$E$5,$B3314))</f>
        <v/>
      </c>
      <c r="D3314" s="5" t="str">
        <f>IF(B3314="","",[1]!s_dq_close(股指期货基差分析!$E$6,$B3314))</f>
        <v/>
      </c>
      <c r="E3314" s="5" t="e">
        <f ca="1">RANK(F3314,F:F)+COUNTIF(F$2:F3314,F3314)-1</f>
        <v>#VALUE!</v>
      </c>
      <c r="F3314" s="5" t="str">
        <f t="shared" si="52"/>
        <v/>
      </c>
      <c r="G3314" s="5" t="str">
        <f>IF(B3314="","",股指期货基差分析!$N$11)</f>
        <v/>
      </c>
      <c r="H3314" s="5" t="str">
        <f>IF(B3314="","",股指期货基差分析!$L$11)</f>
        <v/>
      </c>
      <c r="I3314" s="9" t="str">
        <f>IF(B3314="","",股指期货基差分析!$D$11)</f>
        <v/>
      </c>
    </row>
    <row r="3315" spans="2:9" ht="15" customHeight="1" x14ac:dyDescent="0.2">
      <c r="B3315" s="8"/>
      <c r="C3315" s="6" t="str">
        <f>IF(B3315="","",[1]!s_dq_close(股指期货基差分析!$E$5,$B3315))</f>
        <v/>
      </c>
      <c r="D3315" s="6" t="str">
        <f>IF(B3315="","",[1]!s_dq_close(股指期货基差分析!$E$6,$B3315))</f>
        <v/>
      </c>
      <c r="E3315" s="6" t="e">
        <f ca="1">RANK(F3315,F:F)+COUNTIF(F$2:F3315,F3315)-1</f>
        <v>#VALUE!</v>
      </c>
      <c r="F3315" s="6" t="str">
        <f t="shared" si="52"/>
        <v/>
      </c>
      <c r="G3315" s="6" t="str">
        <f>IF(B3315="","",股指期货基差分析!$N$11)</f>
        <v/>
      </c>
      <c r="H3315" s="6" t="str">
        <f>IF(B3315="","",股指期货基差分析!$L$11)</f>
        <v/>
      </c>
      <c r="I3315" s="10" t="str">
        <f>IF(B3315="","",股指期货基差分析!$D$11)</f>
        <v/>
      </c>
    </row>
    <row r="3316" spans="2:9" ht="15" customHeight="1" x14ac:dyDescent="0.2">
      <c r="B3316" s="7"/>
      <c r="C3316" s="5" t="str">
        <f>IF(B3316="","",[1]!s_dq_close(股指期货基差分析!$E$5,$B3316))</f>
        <v/>
      </c>
      <c r="D3316" s="5" t="str">
        <f>IF(B3316="","",[1]!s_dq_close(股指期货基差分析!$E$6,$B3316))</f>
        <v/>
      </c>
      <c r="E3316" s="5" t="e">
        <f ca="1">RANK(F3316,F:F)+COUNTIF(F$2:F3316,F3316)-1</f>
        <v>#VALUE!</v>
      </c>
      <c r="F3316" s="5" t="str">
        <f t="shared" si="52"/>
        <v/>
      </c>
      <c r="G3316" s="5" t="str">
        <f>IF(B3316="","",股指期货基差分析!$N$11)</f>
        <v/>
      </c>
      <c r="H3316" s="5" t="str">
        <f>IF(B3316="","",股指期货基差分析!$L$11)</f>
        <v/>
      </c>
      <c r="I3316" s="9" t="str">
        <f>IF(B3316="","",股指期货基差分析!$D$11)</f>
        <v/>
      </c>
    </row>
    <row r="3317" spans="2:9" ht="15" customHeight="1" x14ac:dyDescent="0.2">
      <c r="B3317" s="8"/>
      <c r="C3317" s="6" t="str">
        <f>IF(B3317="","",[1]!s_dq_close(股指期货基差分析!$E$5,$B3317))</f>
        <v/>
      </c>
      <c r="D3317" s="6" t="str">
        <f>IF(B3317="","",[1]!s_dq_close(股指期货基差分析!$E$6,$B3317))</f>
        <v/>
      </c>
      <c r="E3317" s="6" t="e">
        <f ca="1">RANK(F3317,F:F)+COUNTIF(F$2:F3317,F3317)-1</f>
        <v>#VALUE!</v>
      </c>
      <c r="F3317" s="6" t="str">
        <f t="shared" si="52"/>
        <v/>
      </c>
      <c r="G3317" s="6" t="str">
        <f>IF(B3317="","",股指期货基差分析!$N$11)</f>
        <v/>
      </c>
      <c r="H3317" s="6" t="str">
        <f>IF(B3317="","",股指期货基差分析!$L$11)</f>
        <v/>
      </c>
      <c r="I3317" s="10" t="str">
        <f>IF(B3317="","",股指期货基差分析!$D$11)</f>
        <v/>
      </c>
    </row>
    <row r="3318" spans="2:9" ht="15" customHeight="1" x14ac:dyDescent="0.2">
      <c r="B3318" s="7"/>
      <c r="C3318" s="5" t="str">
        <f>IF(B3318="","",[1]!s_dq_close(股指期货基差分析!$E$5,$B3318))</f>
        <v/>
      </c>
      <c r="D3318" s="5" t="str">
        <f>IF(B3318="","",[1]!s_dq_close(股指期货基差分析!$E$6,$B3318))</f>
        <v/>
      </c>
      <c r="E3318" s="5" t="e">
        <f ca="1">RANK(F3318,F:F)+COUNTIF(F$2:F3318,F3318)-1</f>
        <v>#VALUE!</v>
      </c>
      <c r="F3318" s="5" t="str">
        <f t="shared" si="52"/>
        <v/>
      </c>
      <c r="G3318" s="5" t="str">
        <f>IF(B3318="","",股指期货基差分析!$N$11)</f>
        <v/>
      </c>
      <c r="H3318" s="5" t="str">
        <f>IF(B3318="","",股指期货基差分析!$L$11)</f>
        <v/>
      </c>
      <c r="I3318" s="9" t="str">
        <f>IF(B3318="","",股指期货基差分析!$D$11)</f>
        <v/>
      </c>
    </row>
    <row r="3319" spans="2:9" ht="15" customHeight="1" x14ac:dyDescent="0.2">
      <c r="B3319" s="8"/>
      <c r="C3319" s="6" t="str">
        <f>IF(B3319="","",[1]!s_dq_close(股指期货基差分析!$E$5,$B3319))</f>
        <v/>
      </c>
      <c r="D3319" s="6" t="str">
        <f>IF(B3319="","",[1]!s_dq_close(股指期货基差分析!$E$6,$B3319))</f>
        <v/>
      </c>
      <c r="E3319" s="6" t="e">
        <f ca="1">RANK(F3319,F:F)+COUNTIF(F$2:F3319,F3319)-1</f>
        <v>#VALUE!</v>
      </c>
      <c r="F3319" s="6" t="str">
        <f t="shared" si="52"/>
        <v/>
      </c>
      <c r="G3319" s="6" t="str">
        <f>IF(B3319="","",股指期货基差分析!$N$11)</f>
        <v/>
      </c>
      <c r="H3319" s="6" t="str">
        <f>IF(B3319="","",股指期货基差分析!$L$11)</f>
        <v/>
      </c>
      <c r="I3319" s="10" t="str">
        <f>IF(B3319="","",股指期货基差分析!$D$11)</f>
        <v/>
      </c>
    </row>
    <row r="3320" spans="2:9" ht="15" customHeight="1" x14ac:dyDescent="0.2">
      <c r="B3320" s="7"/>
      <c r="C3320" s="5" t="str">
        <f>IF(B3320="","",[1]!s_dq_close(股指期货基差分析!$E$5,$B3320))</f>
        <v/>
      </c>
      <c r="D3320" s="5" t="str">
        <f>IF(B3320="","",[1]!s_dq_close(股指期货基差分析!$E$6,$B3320))</f>
        <v/>
      </c>
      <c r="E3320" s="4" t="e">
        <f ca="1">RANK(F3320,F:F)+COUNTIF(F$2:F3320,F3320)-1</f>
        <v>#VALUE!</v>
      </c>
      <c r="F3320" s="5" t="str">
        <f t="shared" si="52"/>
        <v/>
      </c>
      <c r="G3320" s="5" t="str">
        <f>IF(B3320="","",股指期货基差分析!$N$11)</f>
        <v/>
      </c>
      <c r="H3320" s="5" t="str">
        <f>IF(B3320="","",股指期货基差分析!$L$11)</f>
        <v/>
      </c>
      <c r="I3320" s="9" t="str">
        <f>IF(B3320="","",股指期货基差分析!$D$11)</f>
        <v/>
      </c>
    </row>
    <row r="3321" spans="2:9" ht="15" customHeight="1" x14ac:dyDescent="0.2">
      <c r="B3321" s="7"/>
      <c r="C3321" s="5" t="str">
        <f>IF(B3321="","",[1]!s_dq_close(股指期货基差分析!$E$5,$B3321))</f>
        <v/>
      </c>
      <c r="D3321" s="5" t="str">
        <f>IF(B3321="","",[1]!s_dq_close(股指期货基差分析!$E$6,$B3321))</f>
        <v/>
      </c>
      <c r="E3321" s="4" t="e">
        <f ca="1">RANK(F3321,F:F)+COUNTIF(F$2:F3321,F3321)-1</f>
        <v>#VALUE!</v>
      </c>
      <c r="F3321" s="5" t="str">
        <f t="shared" si="52"/>
        <v/>
      </c>
      <c r="G3321" s="5" t="str">
        <f>IF(B3321="","",股指期货基差分析!$N$11)</f>
        <v/>
      </c>
      <c r="H3321" s="5" t="str">
        <f>IF(B3321="","",股指期货基差分析!$L$11)</f>
        <v/>
      </c>
      <c r="I3321" s="9" t="str">
        <f>IF(B3321="","",股指期货基差分析!$D$11)</f>
        <v/>
      </c>
    </row>
    <row r="3322" spans="2:9" ht="15" customHeight="1" x14ac:dyDescent="0.2">
      <c r="B3322" s="7"/>
      <c r="C3322" s="5" t="str">
        <f>IF(B3322="","",[1]!s_dq_close(股指期货基差分析!$E$5,$B3322))</f>
        <v/>
      </c>
      <c r="D3322" s="5" t="str">
        <f>IF(B3322="","",[1]!s_dq_close(股指期货基差分析!$E$6,$B3322))</f>
        <v/>
      </c>
      <c r="E3322" s="4" t="e">
        <f ca="1">RANK(F3322,F:F)+COUNTIF(F$2:F3322,F3322)-1</f>
        <v>#VALUE!</v>
      </c>
      <c r="F3322" s="5" t="str">
        <f t="shared" si="52"/>
        <v/>
      </c>
      <c r="G3322" s="5" t="str">
        <f>IF(B3322="","",股指期货基差分析!$N$11)</f>
        <v/>
      </c>
      <c r="H3322" s="5" t="str">
        <f>IF(B3322="","",股指期货基差分析!$L$11)</f>
        <v/>
      </c>
      <c r="I3322" s="9" t="str">
        <f>IF(B3322="","",股指期货基差分析!$D$11)</f>
        <v/>
      </c>
    </row>
    <row r="3323" spans="2:9" ht="15" customHeight="1" x14ac:dyDescent="0.2">
      <c r="B3323" s="7"/>
      <c r="C3323" s="5" t="str">
        <f>IF(B3323="","",[1]!s_dq_close(股指期货基差分析!$E$5,$B3323))</f>
        <v/>
      </c>
      <c r="D3323" s="5" t="str">
        <f>IF(B3323="","",[1]!s_dq_close(股指期货基差分析!$E$6,$B3323))</f>
        <v/>
      </c>
      <c r="E3323" s="4" t="e">
        <f ca="1">RANK(F3323,F:F)+COUNTIF(F$2:F3323,F3323)-1</f>
        <v>#VALUE!</v>
      </c>
      <c r="F3323" s="5" t="str">
        <f t="shared" si="52"/>
        <v/>
      </c>
      <c r="G3323" s="5" t="str">
        <f>IF(B3323="","",股指期货基差分析!$N$11)</f>
        <v/>
      </c>
      <c r="H3323" s="5" t="str">
        <f>IF(B3323="","",股指期货基差分析!$L$11)</f>
        <v/>
      </c>
      <c r="I3323" s="9" t="str">
        <f>IF(B3323="","",股指期货基差分析!$D$11)</f>
        <v/>
      </c>
    </row>
    <row r="3324" spans="2:9" ht="15" customHeight="1" x14ac:dyDescent="0.2">
      <c r="B3324" s="7"/>
      <c r="C3324" s="5" t="str">
        <f>IF(B3324="","",[1]!s_dq_close(股指期货基差分析!$E$5,$B3324))</f>
        <v/>
      </c>
      <c r="D3324" s="5" t="str">
        <f>IF(B3324="","",[1]!s_dq_close(股指期货基差分析!$E$6,$B3324))</f>
        <v/>
      </c>
      <c r="E3324" s="4" t="e">
        <f ca="1">RANK(F3324,F:F)+COUNTIF(F$2:F3324,F3324)-1</f>
        <v>#VALUE!</v>
      </c>
      <c r="F3324" s="5" t="str">
        <f t="shared" si="52"/>
        <v/>
      </c>
      <c r="G3324" s="5" t="str">
        <f>IF(B3324="","",股指期货基差分析!$N$11)</f>
        <v/>
      </c>
      <c r="H3324" s="5" t="str">
        <f>IF(B3324="","",股指期货基差分析!$L$11)</f>
        <v/>
      </c>
      <c r="I3324" s="9" t="str">
        <f>IF(B3324="","",股指期货基差分析!$D$11)</f>
        <v/>
      </c>
    </row>
    <row r="3325" spans="2:9" ht="15" customHeight="1" x14ac:dyDescent="0.2">
      <c r="B3325" s="7"/>
      <c r="C3325" s="5" t="str">
        <f>IF(B3325="","",[1]!s_dq_close(股指期货基差分析!$E$5,$B3325))</f>
        <v/>
      </c>
      <c r="D3325" s="5" t="str">
        <f>IF(B3325="","",[1]!s_dq_close(股指期货基差分析!$E$6,$B3325))</f>
        <v/>
      </c>
      <c r="E3325" s="4" t="e">
        <f ca="1">RANK(F3325,F:F)+COUNTIF(F$2:F3325,F3325)-1</f>
        <v>#VALUE!</v>
      </c>
      <c r="F3325" s="5" t="str">
        <f t="shared" si="52"/>
        <v/>
      </c>
      <c r="G3325" s="5" t="str">
        <f>IF(B3325="","",股指期货基差分析!$N$11)</f>
        <v/>
      </c>
      <c r="H3325" s="5" t="str">
        <f>IF(B3325="","",股指期货基差分析!$L$11)</f>
        <v/>
      </c>
      <c r="I3325" s="9" t="str">
        <f>IF(B3325="","",股指期货基差分析!$D$11)</f>
        <v/>
      </c>
    </row>
    <row r="3326" spans="2:9" ht="15" customHeight="1" x14ac:dyDescent="0.2">
      <c r="B3326" s="7"/>
      <c r="C3326" s="5" t="str">
        <f>IF(B3326="","",[1]!s_dq_close(股指期货基差分析!$E$5,$B3326))</f>
        <v/>
      </c>
      <c r="D3326" s="5" t="str">
        <f>IF(B3326="","",[1]!s_dq_close(股指期货基差分析!$E$6,$B3326))</f>
        <v/>
      </c>
      <c r="E3326" s="4" t="e">
        <f ca="1">RANK(F3326,F:F)+COUNTIF(F$2:F3326,F3326)-1</f>
        <v>#VALUE!</v>
      </c>
      <c r="F3326" s="5" t="str">
        <f t="shared" si="52"/>
        <v/>
      </c>
      <c r="G3326" s="5" t="str">
        <f>IF(B3326="","",股指期货基差分析!$N$11)</f>
        <v/>
      </c>
      <c r="H3326" s="5" t="str">
        <f>IF(B3326="","",股指期货基差分析!$L$11)</f>
        <v/>
      </c>
      <c r="I3326" s="9" t="str">
        <f>IF(B3326="","",股指期货基差分析!$D$11)</f>
        <v/>
      </c>
    </row>
    <row r="3327" spans="2:9" ht="15" customHeight="1" x14ac:dyDescent="0.2">
      <c r="B3327" s="7"/>
      <c r="C3327" s="5" t="str">
        <f>IF(B3327="","",[1]!s_dq_close(股指期货基差分析!$E$5,$B3327))</f>
        <v/>
      </c>
      <c r="D3327" s="5" t="str">
        <f>IF(B3327="","",[1]!s_dq_close(股指期货基差分析!$E$6,$B3327))</f>
        <v/>
      </c>
      <c r="E3327" s="4" t="e">
        <f ca="1">RANK(F3327,F:F)+COUNTIF(F$2:F3327,F3327)-1</f>
        <v>#VALUE!</v>
      </c>
      <c r="F3327" s="5" t="str">
        <f t="shared" si="52"/>
        <v/>
      </c>
      <c r="G3327" s="5" t="str">
        <f>IF(B3327="","",股指期货基差分析!$N$11)</f>
        <v/>
      </c>
      <c r="H3327" s="5" t="str">
        <f>IF(B3327="","",股指期货基差分析!$L$11)</f>
        <v/>
      </c>
      <c r="I3327" s="9" t="str">
        <f>IF(B3327="","",股指期货基差分析!$D$11)</f>
        <v/>
      </c>
    </row>
    <row r="3328" spans="2:9" ht="15" customHeight="1" x14ac:dyDescent="0.2">
      <c r="B3328" s="7"/>
      <c r="C3328" s="5" t="str">
        <f>IF(B3328="","",[1]!s_dq_close(股指期货基差分析!$E$5,$B3328))</f>
        <v/>
      </c>
      <c r="D3328" s="5" t="str">
        <f>IF(B3328="","",[1]!s_dq_close(股指期货基差分析!$E$6,$B3328))</f>
        <v/>
      </c>
      <c r="E3328" s="4" t="e">
        <f ca="1">RANK(F3328,F:F)+COUNTIF(F$2:F3328,F3328)-1</f>
        <v>#VALUE!</v>
      </c>
      <c r="F3328" s="5" t="str">
        <f t="shared" si="52"/>
        <v/>
      </c>
      <c r="G3328" s="5" t="str">
        <f>IF(B3328="","",股指期货基差分析!$N$11)</f>
        <v/>
      </c>
      <c r="H3328" s="5" t="str">
        <f>IF(B3328="","",股指期货基差分析!$L$11)</f>
        <v/>
      </c>
      <c r="I3328" s="9" t="str">
        <f>IF(B3328="","",股指期货基差分析!$D$11)</f>
        <v/>
      </c>
    </row>
    <row r="3329" spans="2:9" ht="15" customHeight="1" x14ac:dyDescent="0.2">
      <c r="B3329" s="7"/>
      <c r="C3329" s="5" t="str">
        <f>IF(B3329="","",[1]!s_dq_close(股指期货基差分析!$E$5,$B3329))</f>
        <v/>
      </c>
      <c r="D3329" s="5" t="str">
        <f>IF(B3329="","",[1]!s_dq_close(股指期货基差分析!$E$6,$B3329))</f>
        <v/>
      </c>
      <c r="E3329" s="4" t="e">
        <f ca="1">RANK(F3329,F:F)+COUNTIF(F$2:F3329,F3329)-1</f>
        <v>#VALUE!</v>
      </c>
      <c r="F3329" s="5" t="str">
        <f t="shared" si="52"/>
        <v/>
      </c>
      <c r="G3329" s="5" t="str">
        <f>IF(B3329="","",股指期货基差分析!$N$11)</f>
        <v/>
      </c>
      <c r="H3329" s="5" t="str">
        <f>IF(B3329="","",股指期货基差分析!$L$11)</f>
        <v/>
      </c>
      <c r="I3329" s="9" t="str">
        <f>IF(B3329="","",股指期货基差分析!$D$11)</f>
        <v/>
      </c>
    </row>
    <row r="3330" spans="2:9" ht="15" customHeight="1" x14ac:dyDescent="0.2">
      <c r="B3330" s="7"/>
      <c r="C3330" s="5" t="str">
        <f>IF(B3330="","",[1]!s_dq_close(股指期货基差分析!$E$5,$B3330))</f>
        <v/>
      </c>
      <c r="D3330" s="5" t="str">
        <f>IF(B3330="","",[1]!s_dq_close(股指期货基差分析!$E$6,$B3330))</f>
        <v/>
      </c>
      <c r="E3330" s="4" t="e">
        <f ca="1">RANK(F3330,F:F)+COUNTIF(F$2:F3330,F3330)-1</f>
        <v>#VALUE!</v>
      </c>
      <c r="F3330" s="5" t="str">
        <f t="shared" ref="F3330:F3393" si="53">IF(B3330="","",D3330-C3330)</f>
        <v/>
      </c>
      <c r="G3330" s="5" t="str">
        <f>IF(B3330="","",股指期货基差分析!$N$11)</f>
        <v/>
      </c>
      <c r="H3330" s="5" t="str">
        <f>IF(B3330="","",股指期货基差分析!$L$11)</f>
        <v/>
      </c>
      <c r="I3330" s="9" t="str">
        <f>IF(B3330="","",股指期货基差分析!$D$11)</f>
        <v/>
      </c>
    </row>
    <row r="3331" spans="2:9" ht="15" customHeight="1" x14ac:dyDescent="0.2">
      <c r="B3331" s="7"/>
      <c r="C3331" s="5" t="str">
        <f>IF(B3331="","",[1]!s_dq_close(股指期货基差分析!$E$5,$B3331))</f>
        <v/>
      </c>
      <c r="D3331" s="5" t="str">
        <f>IF(B3331="","",[1]!s_dq_close(股指期货基差分析!$E$6,$B3331))</f>
        <v/>
      </c>
      <c r="E3331" s="4" t="e">
        <f ca="1">RANK(F3331,F:F)+COUNTIF(F$2:F3331,F3331)-1</f>
        <v>#VALUE!</v>
      </c>
      <c r="F3331" s="5" t="str">
        <f t="shared" si="53"/>
        <v/>
      </c>
      <c r="G3331" s="5" t="str">
        <f>IF(B3331="","",股指期货基差分析!$N$11)</f>
        <v/>
      </c>
      <c r="H3331" s="5" t="str">
        <f>IF(B3331="","",股指期货基差分析!$L$11)</f>
        <v/>
      </c>
      <c r="I3331" s="9" t="str">
        <f>IF(B3331="","",股指期货基差分析!$D$11)</f>
        <v/>
      </c>
    </row>
    <row r="3332" spans="2:9" ht="15" customHeight="1" x14ac:dyDescent="0.2">
      <c r="B3332" s="7"/>
      <c r="C3332" s="5" t="str">
        <f>IF(B3332="","",[1]!s_dq_close(股指期货基差分析!$E$5,$B3332))</f>
        <v/>
      </c>
      <c r="D3332" s="5" t="str">
        <f>IF(B3332="","",[1]!s_dq_close(股指期货基差分析!$E$6,$B3332))</f>
        <v/>
      </c>
      <c r="E3332" s="4" t="e">
        <f ca="1">RANK(F3332,F:F)+COUNTIF(F$2:F3332,F3332)-1</f>
        <v>#VALUE!</v>
      </c>
      <c r="F3332" s="5" t="str">
        <f t="shared" si="53"/>
        <v/>
      </c>
      <c r="G3332" s="5" t="str">
        <f>IF(B3332="","",股指期货基差分析!$N$11)</f>
        <v/>
      </c>
      <c r="H3332" s="5" t="str">
        <f>IF(B3332="","",股指期货基差分析!$L$11)</f>
        <v/>
      </c>
      <c r="I3332" s="9" t="str">
        <f>IF(B3332="","",股指期货基差分析!$D$11)</f>
        <v/>
      </c>
    </row>
    <row r="3333" spans="2:9" ht="15" customHeight="1" x14ac:dyDescent="0.2">
      <c r="B3333" s="7"/>
      <c r="C3333" s="5" t="str">
        <f>IF(B3333="","",[1]!s_dq_close(股指期货基差分析!$E$5,$B3333))</f>
        <v/>
      </c>
      <c r="D3333" s="5" t="str">
        <f>IF(B3333="","",[1]!s_dq_close(股指期货基差分析!$E$6,$B3333))</f>
        <v/>
      </c>
      <c r="E3333" s="4" t="e">
        <f ca="1">RANK(F3333,F:F)+COUNTIF(F$2:F3333,F3333)-1</f>
        <v>#VALUE!</v>
      </c>
      <c r="F3333" s="5" t="str">
        <f t="shared" si="53"/>
        <v/>
      </c>
      <c r="G3333" s="5" t="str">
        <f>IF(B3333="","",股指期货基差分析!$N$11)</f>
        <v/>
      </c>
      <c r="H3333" s="5" t="str">
        <f>IF(B3333="","",股指期货基差分析!$L$11)</f>
        <v/>
      </c>
      <c r="I3333" s="9" t="str">
        <f>IF(B3333="","",股指期货基差分析!$D$11)</f>
        <v/>
      </c>
    </row>
    <row r="3334" spans="2:9" ht="15" customHeight="1" x14ac:dyDescent="0.2">
      <c r="B3334" s="7"/>
      <c r="C3334" s="5" t="str">
        <f>IF(B3334="","",[1]!s_dq_close(股指期货基差分析!$E$5,$B3334))</f>
        <v/>
      </c>
      <c r="D3334" s="5" t="str">
        <f>IF(B3334="","",[1]!s_dq_close(股指期货基差分析!$E$6,$B3334))</f>
        <v/>
      </c>
      <c r="E3334" s="4" t="e">
        <f ca="1">RANK(F3334,F:F)+COUNTIF(F$2:F3334,F3334)-1</f>
        <v>#VALUE!</v>
      </c>
      <c r="F3334" s="5" t="str">
        <f t="shared" si="53"/>
        <v/>
      </c>
      <c r="G3334" s="5" t="str">
        <f>IF(B3334="","",股指期货基差分析!$N$11)</f>
        <v/>
      </c>
      <c r="H3334" s="5" t="str">
        <f>IF(B3334="","",股指期货基差分析!$L$11)</f>
        <v/>
      </c>
      <c r="I3334" s="9" t="str">
        <f>IF(B3334="","",股指期货基差分析!$D$11)</f>
        <v/>
      </c>
    </row>
    <row r="3335" spans="2:9" ht="15" customHeight="1" x14ac:dyDescent="0.2">
      <c r="B3335" s="7"/>
      <c r="C3335" s="5" t="str">
        <f>IF(B3335="","",[1]!s_dq_close(股指期货基差分析!$E$5,$B3335))</f>
        <v/>
      </c>
      <c r="D3335" s="5" t="str">
        <f>IF(B3335="","",[1]!s_dq_close(股指期货基差分析!$E$6,$B3335))</f>
        <v/>
      </c>
      <c r="E3335" s="4" t="e">
        <f ca="1">RANK(F3335,F:F)+COUNTIF(F$2:F3335,F3335)-1</f>
        <v>#VALUE!</v>
      </c>
      <c r="F3335" s="5" t="str">
        <f t="shared" si="53"/>
        <v/>
      </c>
      <c r="G3335" s="5" t="str">
        <f>IF(B3335="","",股指期货基差分析!$N$11)</f>
        <v/>
      </c>
      <c r="H3335" s="5" t="str">
        <f>IF(B3335="","",股指期货基差分析!$L$11)</f>
        <v/>
      </c>
      <c r="I3335" s="9" t="str">
        <f>IF(B3335="","",股指期货基差分析!$D$11)</f>
        <v/>
      </c>
    </row>
    <row r="3336" spans="2:9" ht="15" customHeight="1" x14ac:dyDescent="0.2">
      <c r="B3336" s="7"/>
      <c r="C3336" s="5" t="str">
        <f>IF(B3336="","",[1]!s_dq_close(股指期货基差分析!$E$5,$B3336))</f>
        <v/>
      </c>
      <c r="D3336" s="5" t="str">
        <f>IF(B3336="","",[1]!s_dq_close(股指期货基差分析!$E$6,$B3336))</f>
        <v/>
      </c>
      <c r="E3336" s="4" t="e">
        <f ca="1">RANK(F3336,F:F)+COUNTIF(F$2:F3336,F3336)-1</f>
        <v>#VALUE!</v>
      </c>
      <c r="F3336" s="5" t="str">
        <f t="shared" si="53"/>
        <v/>
      </c>
      <c r="G3336" s="5" t="str">
        <f>IF(B3336="","",股指期货基差分析!$N$11)</f>
        <v/>
      </c>
      <c r="H3336" s="5" t="str">
        <f>IF(B3336="","",股指期货基差分析!$L$11)</f>
        <v/>
      </c>
      <c r="I3336" s="9" t="str">
        <f>IF(B3336="","",股指期货基差分析!$D$11)</f>
        <v/>
      </c>
    </row>
    <row r="3337" spans="2:9" ht="15" customHeight="1" x14ac:dyDescent="0.2">
      <c r="B3337" s="7"/>
      <c r="C3337" s="5" t="str">
        <f>IF(B3337="","",[1]!s_dq_close(股指期货基差分析!$E$5,$B3337))</f>
        <v/>
      </c>
      <c r="D3337" s="5" t="str">
        <f>IF(B3337="","",[1]!s_dq_close(股指期货基差分析!$E$6,$B3337))</f>
        <v/>
      </c>
      <c r="E3337" s="4" t="e">
        <f ca="1">RANK(F3337,F:F)+COUNTIF(F$2:F3337,F3337)-1</f>
        <v>#VALUE!</v>
      </c>
      <c r="F3337" s="5" t="str">
        <f t="shared" si="53"/>
        <v/>
      </c>
      <c r="G3337" s="5" t="str">
        <f>IF(B3337="","",股指期货基差分析!$N$11)</f>
        <v/>
      </c>
      <c r="H3337" s="5" t="str">
        <f>IF(B3337="","",股指期货基差分析!$L$11)</f>
        <v/>
      </c>
      <c r="I3337" s="9" t="str">
        <f>IF(B3337="","",股指期货基差分析!$D$11)</f>
        <v/>
      </c>
    </row>
    <row r="3338" spans="2:9" ht="15" customHeight="1" x14ac:dyDescent="0.2">
      <c r="B3338" s="7"/>
      <c r="C3338" s="5" t="str">
        <f>IF(B3338="","",[1]!s_dq_close(股指期货基差分析!$E$5,$B3338))</f>
        <v/>
      </c>
      <c r="D3338" s="5" t="str">
        <f>IF(B3338="","",[1]!s_dq_close(股指期货基差分析!$E$6,$B3338))</f>
        <v/>
      </c>
      <c r="E3338" s="4" t="e">
        <f ca="1">RANK(F3338,F:F)+COUNTIF(F$2:F3338,F3338)-1</f>
        <v>#VALUE!</v>
      </c>
      <c r="F3338" s="5" t="str">
        <f t="shared" si="53"/>
        <v/>
      </c>
      <c r="G3338" s="5" t="str">
        <f>IF(B3338="","",股指期货基差分析!$N$11)</f>
        <v/>
      </c>
      <c r="H3338" s="5" t="str">
        <f>IF(B3338="","",股指期货基差分析!$L$11)</f>
        <v/>
      </c>
      <c r="I3338" s="9" t="str">
        <f>IF(B3338="","",股指期货基差分析!$D$11)</f>
        <v/>
      </c>
    </row>
    <row r="3339" spans="2:9" ht="15" customHeight="1" x14ac:dyDescent="0.2">
      <c r="B3339" s="7"/>
      <c r="C3339" s="5" t="str">
        <f>IF(B3339="","",[1]!s_dq_close(股指期货基差分析!$E$5,$B3339))</f>
        <v/>
      </c>
      <c r="D3339" s="5" t="str">
        <f>IF(B3339="","",[1]!s_dq_close(股指期货基差分析!$E$6,$B3339))</f>
        <v/>
      </c>
      <c r="E3339" s="4" t="e">
        <f ca="1">RANK(F3339,F:F)+COUNTIF(F$2:F3339,F3339)-1</f>
        <v>#VALUE!</v>
      </c>
      <c r="F3339" s="5" t="str">
        <f t="shared" si="53"/>
        <v/>
      </c>
      <c r="G3339" s="5" t="str">
        <f>IF(B3339="","",股指期货基差分析!$N$11)</f>
        <v/>
      </c>
      <c r="H3339" s="5" t="str">
        <f>IF(B3339="","",股指期货基差分析!$L$11)</f>
        <v/>
      </c>
      <c r="I3339" s="9" t="str">
        <f>IF(B3339="","",股指期货基差分析!$D$11)</f>
        <v/>
      </c>
    </row>
    <row r="3340" spans="2:9" ht="15" customHeight="1" x14ac:dyDescent="0.2">
      <c r="B3340" s="7"/>
      <c r="C3340" s="5" t="str">
        <f>IF(B3340="","",[1]!s_dq_close(股指期货基差分析!$E$5,$B3340))</f>
        <v/>
      </c>
      <c r="D3340" s="5" t="str">
        <f>IF(B3340="","",[1]!s_dq_close(股指期货基差分析!$E$6,$B3340))</f>
        <v/>
      </c>
      <c r="E3340" s="4" t="e">
        <f ca="1">RANK(F3340,F:F)+COUNTIF(F$2:F3340,F3340)-1</f>
        <v>#VALUE!</v>
      </c>
      <c r="F3340" s="5" t="str">
        <f t="shared" si="53"/>
        <v/>
      </c>
      <c r="G3340" s="5" t="str">
        <f>IF(B3340="","",股指期货基差分析!$N$11)</f>
        <v/>
      </c>
      <c r="H3340" s="5" t="str">
        <f>IF(B3340="","",股指期货基差分析!$L$11)</f>
        <v/>
      </c>
      <c r="I3340" s="9" t="str">
        <f>IF(B3340="","",股指期货基差分析!$D$11)</f>
        <v/>
      </c>
    </row>
    <row r="3341" spans="2:9" ht="15" customHeight="1" x14ac:dyDescent="0.2">
      <c r="B3341" s="7"/>
      <c r="C3341" s="5" t="str">
        <f>IF(B3341="","",[1]!s_dq_close(股指期货基差分析!$E$5,$B3341))</f>
        <v/>
      </c>
      <c r="D3341" s="5" t="str">
        <f>IF(B3341="","",[1]!s_dq_close(股指期货基差分析!$E$6,$B3341))</f>
        <v/>
      </c>
      <c r="E3341" s="4" t="e">
        <f ca="1">RANK(F3341,F:F)+COUNTIF(F$2:F3341,F3341)-1</f>
        <v>#VALUE!</v>
      </c>
      <c r="F3341" s="5" t="str">
        <f t="shared" si="53"/>
        <v/>
      </c>
      <c r="G3341" s="5" t="str">
        <f>IF(B3341="","",股指期货基差分析!$N$11)</f>
        <v/>
      </c>
      <c r="H3341" s="5" t="str">
        <f>IF(B3341="","",股指期货基差分析!$L$11)</f>
        <v/>
      </c>
      <c r="I3341" s="9" t="str">
        <f>IF(B3341="","",股指期货基差分析!$D$11)</f>
        <v/>
      </c>
    </row>
    <row r="3342" spans="2:9" ht="15" customHeight="1" x14ac:dyDescent="0.2">
      <c r="B3342" s="7"/>
      <c r="C3342" s="5" t="str">
        <f>IF(B3342="","",[1]!s_dq_close(股指期货基差分析!$E$5,$B3342))</f>
        <v/>
      </c>
      <c r="D3342" s="5" t="str">
        <f>IF(B3342="","",[1]!s_dq_close(股指期货基差分析!$E$6,$B3342))</f>
        <v/>
      </c>
      <c r="E3342" s="4" t="e">
        <f ca="1">RANK(F3342,F:F)+COUNTIF(F$2:F3342,F3342)-1</f>
        <v>#VALUE!</v>
      </c>
      <c r="F3342" s="5" t="str">
        <f t="shared" si="53"/>
        <v/>
      </c>
      <c r="G3342" s="5" t="str">
        <f>IF(B3342="","",股指期货基差分析!$N$11)</f>
        <v/>
      </c>
      <c r="H3342" s="5" t="str">
        <f>IF(B3342="","",股指期货基差分析!$L$11)</f>
        <v/>
      </c>
      <c r="I3342" s="9" t="str">
        <f>IF(B3342="","",股指期货基差分析!$D$11)</f>
        <v/>
      </c>
    </row>
    <row r="3343" spans="2:9" ht="15" customHeight="1" x14ac:dyDescent="0.2">
      <c r="B3343" s="7"/>
      <c r="C3343" s="5" t="str">
        <f>IF(B3343="","",[1]!s_dq_close(股指期货基差分析!$E$5,$B3343))</f>
        <v/>
      </c>
      <c r="D3343" s="5" t="str">
        <f>IF(B3343="","",[1]!s_dq_close(股指期货基差分析!$E$6,$B3343))</f>
        <v/>
      </c>
      <c r="E3343" s="4" t="e">
        <f ca="1">RANK(F3343,F:F)+COUNTIF(F$2:F3343,F3343)-1</f>
        <v>#VALUE!</v>
      </c>
      <c r="F3343" s="5" t="str">
        <f t="shared" si="53"/>
        <v/>
      </c>
      <c r="G3343" s="5" t="str">
        <f>IF(B3343="","",股指期货基差分析!$N$11)</f>
        <v/>
      </c>
      <c r="H3343" s="5" t="str">
        <f>IF(B3343="","",股指期货基差分析!$L$11)</f>
        <v/>
      </c>
      <c r="I3343" s="9" t="str">
        <f>IF(B3343="","",股指期货基差分析!$D$11)</f>
        <v/>
      </c>
    </row>
    <row r="3344" spans="2:9" ht="15" customHeight="1" x14ac:dyDescent="0.2">
      <c r="B3344" s="7"/>
      <c r="C3344" s="5" t="str">
        <f>IF(B3344="","",[1]!s_dq_close(股指期货基差分析!$E$5,$B3344))</f>
        <v/>
      </c>
      <c r="D3344" s="5" t="str">
        <f>IF(B3344="","",[1]!s_dq_close(股指期货基差分析!$E$6,$B3344))</f>
        <v/>
      </c>
      <c r="E3344" s="4" t="e">
        <f ca="1">RANK(F3344,F:F)+COUNTIF(F$2:F3344,F3344)-1</f>
        <v>#VALUE!</v>
      </c>
      <c r="F3344" s="5" t="str">
        <f t="shared" si="53"/>
        <v/>
      </c>
      <c r="G3344" s="5" t="str">
        <f>IF(B3344="","",股指期货基差分析!$N$11)</f>
        <v/>
      </c>
      <c r="H3344" s="5" t="str">
        <f>IF(B3344="","",股指期货基差分析!$L$11)</f>
        <v/>
      </c>
      <c r="I3344" s="9" t="str">
        <f>IF(B3344="","",股指期货基差分析!$D$11)</f>
        <v/>
      </c>
    </row>
    <row r="3345" spans="2:9" ht="15" customHeight="1" x14ac:dyDescent="0.2">
      <c r="B3345" s="7"/>
      <c r="C3345" s="5" t="str">
        <f>IF(B3345="","",[1]!s_dq_close(股指期货基差分析!$E$5,$B3345))</f>
        <v/>
      </c>
      <c r="D3345" s="5" t="str">
        <f>IF(B3345="","",[1]!s_dq_close(股指期货基差分析!$E$6,$B3345))</f>
        <v/>
      </c>
      <c r="E3345" s="4" t="e">
        <f ca="1">RANK(F3345,F:F)+COUNTIF(F$2:F3345,F3345)-1</f>
        <v>#VALUE!</v>
      </c>
      <c r="F3345" s="5" t="str">
        <f t="shared" si="53"/>
        <v/>
      </c>
      <c r="G3345" s="5" t="str">
        <f>IF(B3345="","",股指期货基差分析!$N$11)</f>
        <v/>
      </c>
      <c r="H3345" s="5" t="str">
        <f>IF(B3345="","",股指期货基差分析!$L$11)</f>
        <v/>
      </c>
      <c r="I3345" s="9" t="str">
        <f>IF(B3345="","",股指期货基差分析!$D$11)</f>
        <v/>
      </c>
    </row>
    <row r="3346" spans="2:9" ht="15" customHeight="1" x14ac:dyDescent="0.2">
      <c r="B3346" s="7"/>
      <c r="C3346" s="5" t="str">
        <f>IF(B3346="","",[1]!s_dq_close(股指期货基差分析!$E$5,$B3346))</f>
        <v/>
      </c>
      <c r="D3346" s="5" t="str">
        <f>IF(B3346="","",[1]!s_dq_close(股指期货基差分析!$E$6,$B3346))</f>
        <v/>
      </c>
      <c r="E3346" s="4" t="e">
        <f ca="1">RANK(F3346,F:F)+COUNTIF(F$2:F3346,F3346)-1</f>
        <v>#VALUE!</v>
      </c>
      <c r="F3346" s="5" t="str">
        <f t="shared" si="53"/>
        <v/>
      </c>
      <c r="G3346" s="5" t="str">
        <f>IF(B3346="","",股指期货基差分析!$N$11)</f>
        <v/>
      </c>
      <c r="H3346" s="5" t="str">
        <f>IF(B3346="","",股指期货基差分析!$L$11)</f>
        <v/>
      </c>
      <c r="I3346" s="9" t="str">
        <f>IF(B3346="","",股指期货基差分析!$D$11)</f>
        <v/>
      </c>
    </row>
    <row r="3347" spans="2:9" ht="15" customHeight="1" x14ac:dyDescent="0.2">
      <c r="B3347" s="7"/>
      <c r="C3347" s="5" t="str">
        <f>IF(B3347="","",[1]!s_dq_close(股指期货基差分析!$E$5,$B3347))</f>
        <v/>
      </c>
      <c r="D3347" s="5" t="str">
        <f>IF(B3347="","",[1]!s_dq_close(股指期货基差分析!$E$6,$B3347))</f>
        <v/>
      </c>
      <c r="E3347" s="4" t="e">
        <f ca="1">RANK(F3347,F:F)+COUNTIF(F$2:F3347,F3347)-1</f>
        <v>#VALUE!</v>
      </c>
      <c r="F3347" s="5" t="str">
        <f t="shared" si="53"/>
        <v/>
      </c>
      <c r="G3347" s="5" t="str">
        <f>IF(B3347="","",股指期货基差分析!$N$11)</f>
        <v/>
      </c>
      <c r="H3347" s="5" t="str">
        <f>IF(B3347="","",股指期货基差分析!$L$11)</f>
        <v/>
      </c>
      <c r="I3347" s="9" t="str">
        <f>IF(B3347="","",股指期货基差分析!$D$11)</f>
        <v/>
      </c>
    </row>
    <row r="3348" spans="2:9" ht="15" customHeight="1" x14ac:dyDescent="0.2">
      <c r="B3348" s="7"/>
      <c r="C3348" s="5" t="str">
        <f>IF(B3348="","",[1]!s_dq_close(股指期货基差分析!$E$5,$B3348))</f>
        <v/>
      </c>
      <c r="D3348" s="5" t="str">
        <f>IF(B3348="","",[1]!s_dq_close(股指期货基差分析!$E$6,$B3348))</f>
        <v/>
      </c>
      <c r="E3348" s="4" t="e">
        <f ca="1">RANK(F3348,F:F)+COUNTIF(F$2:F3348,F3348)-1</f>
        <v>#VALUE!</v>
      </c>
      <c r="F3348" s="5" t="str">
        <f t="shared" si="53"/>
        <v/>
      </c>
      <c r="G3348" s="5" t="str">
        <f>IF(B3348="","",股指期货基差分析!$N$11)</f>
        <v/>
      </c>
      <c r="H3348" s="5" t="str">
        <f>IF(B3348="","",股指期货基差分析!$L$11)</f>
        <v/>
      </c>
      <c r="I3348" s="9" t="str">
        <f>IF(B3348="","",股指期货基差分析!$D$11)</f>
        <v/>
      </c>
    </row>
    <row r="3349" spans="2:9" ht="15" customHeight="1" x14ac:dyDescent="0.2">
      <c r="B3349" s="7"/>
      <c r="C3349" s="5" t="str">
        <f>IF(B3349="","",[1]!s_dq_close(股指期货基差分析!$E$5,$B3349))</f>
        <v/>
      </c>
      <c r="D3349" s="5" t="str">
        <f>IF(B3349="","",[1]!s_dq_close(股指期货基差分析!$E$6,$B3349))</f>
        <v/>
      </c>
      <c r="E3349" s="4" t="e">
        <f ca="1">RANK(F3349,F:F)+COUNTIF(F$2:F3349,F3349)-1</f>
        <v>#VALUE!</v>
      </c>
      <c r="F3349" s="5" t="str">
        <f t="shared" si="53"/>
        <v/>
      </c>
      <c r="G3349" s="5" t="str">
        <f>IF(B3349="","",股指期货基差分析!$N$11)</f>
        <v/>
      </c>
      <c r="H3349" s="5" t="str">
        <f>IF(B3349="","",股指期货基差分析!$L$11)</f>
        <v/>
      </c>
      <c r="I3349" s="9" t="str">
        <f>IF(B3349="","",股指期货基差分析!$D$11)</f>
        <v/>
      </c>
    </row>
    <row r="3350" spans="2:9" ht="15" customHeight="1" x14ac:dyDescent="0.2">
      <c r="B3350" s="7"/>
      <c r="C3350" s="5" t="str">
        <f>IF(B3350="","",[1]!s_dq_close(股指期货基差分析!$E$5,$B3350))</f>
        <v/>
      </c>
      <c r="D3350" s="5" t="str">
        <f>IF(B3350="","",[1]!s_dq_close(股指期货基差分析!$E$6,$B3350))</f>
        <v/>
      </c>
      <c r="E3350" s="4" t="e">
        <f ca="1">RANK(F3350,F:F)+COUNTIF(F$2:F3350,F3350)-1</f>
        <v>#VALUE!</v>
      </c>
      <c r="F3350" s="5" t="str">
        <f t="shared" si="53"/>
        <v/>
      </c>
      <c r="G3350" s="5" t="str">
        <f>IF(B3350="","",股指期货基差分析!$N$11)</f>
        <v/>
      </c>
      <c r="H3350" s="5" t="str">
        <f>IF(B3350="","",股指期货基差分析!$L$11)</f>
        <v/>
      </c>
      <c r="I3350" s="9" t="str">
        <f>IF(B3350="","",股指期货基差分析!$D$11)</f>
        <v/>
      </c>
    </row>
    <row r="3351" spans="2:9" ht="15" customHeight="1" x14ac:dyDescent="0.2">
      <c r="B3351" s="7"/>
      <c r="C3351" s="5" t="str">
        <f>IF(B3351="","",[1]!s_dq_close(股指期货基差分析!$E$5,$B3351))</f>
        <v/>
      </c>
      <c r="D3351" s="5" t="str">
        <f>IF(B3351="","",[1]!s_dq_close(股指期货基差分析!$E$6,$B3351))</f>
        <v/>
      </c>
      <c r="E3351" s="4" t="e">
        <f ca="1">RANK(F3351,F:F)+COUNTIF(F$2:F3351,F3351)-1</f>
        <v>#VALUE!</v>
      </c>
      <c r="F3351" s="5" t="str">
        <f t="shared" si="53"/>
        <v/>
      </c>
      <c r="G3351" s="5" t="str">
        <f>IF(B3351="","",股指期货基差分析!$N$11)</f>
        <v/>
      </c>
      <c r="H3351" s="5" t="str">
        <f>IF(B3351="","",股指期货基差分析!$L$11)</f>
        <v/>
      </c>
      <c r="I3351" s="9" t="str">
        <f>IF(B3351="","",股指期货基差分析!$D$11)</f>
        <v/>
      </c>
    </row>
    <row r="3352" spans="2:9" ht="15" customHeight="1" x14ac:dyDescent="0.2">
      <c r="B3352" s="7"/>
      <c r="C3352" s="5" t="str">
        <f>IF(B3352="","",[1]!s_dq_close(股指期货基差分析!$E$5,$B3352))</f>
        <v/>
      </c>
      <c r="D3352" s="5" t="str">
        <f>IF(B3352="","",[1]!s_dq_close(股指期货基差分析!$E$6,$B3352))</f>
        <v/>
      </c>
      <c r="E3352" s="4" t="e">
        <f ca="1">RANK(F3352,F:F)+COUNTIF(F$2:F3352,F3352)-1</f>
        <v>#VALUE!</v>
      </c>
      <c r="F3352" s="5" t="str">
        <f t="shared" si="53"/>
        <v/>
      </c>
      <c r="G3352" s="5" t="str">
        <f>IF(B3352="","",股指期货基差分析!$N$11)</f>
        <v/>
      </c>
      <c r="H3352" s="5" t="str">
        <f>IF(B3352="","",股指期货基差分析!$L$11)</f>
        <v/>
      </c>
      <c r="I3352" s="9" t="str">
        <f>IF(B3352="","",股指期货基差分析!$D$11)</f>
        <v/>
      </c>
    </row>
    <row r="3353" spans="2:9" ht="15" customHeight="1" x14ac:dyDescent="0.2">
      <c r="B3353" s="7"/>
      <c r="C3353" s="5" t="str">
        <f>IF(B3353="","",[1]!s_dq_close(股指期货基差分析!$E$5,$B3353))</f>
        <v/>
      </c>
      <c r="D3353" s="5" t="str">
        <f>IF(B3353="","",[1]!s_dq_close(股指期货基差分析!$E$6,$B3353))</f>
        <v/>
      </c>
      <c r="E3353" s="4" t="e">
        <f ca="1">RANK(F3353,F:F)+COUNTIF(F$2:F3353,F3353)-1</f>
        <v>#VALUE!</v>
      </c>
      <c r="F3353" s="5" t="str">
        <f t="shared" si="53"/>
        <v/>
      </c>
      <c r="G3353" s="5" t="str">
        <f>IF(B3353="","",股指期货基差分析!$N$11)</f>
        <v/>
      </c>
      <c r="H3353" s="5" t="str">
        <f>IF(B3353="","",股指期货基差分析!$L$11)</f>
        <v/>
      </c>
      <c r="I3353" s="9" t="str">
        <f>IF(B3353="","",股指期货基差分析!$D$11)</f>
        <v/>
      </c>
    </row>
    <row r="3354" spans="2:9" ht="15" customHeight="1" x14ac:dyDescent="0.2">
      <c r="B3354" s="7"/>
      <c r="C3354" s="5" t="str">
        <f>IF(B3354="","",[1]!s_dq_close(股指期货基差分析!$E$5,$B3354))</f>
        <v/>
      </c>
      <c r="D3354" s="5" t="str">
        <f>IF(B3354="","",[1]!s_dq_close(股指期货基差分析!$E$6,$B3354))</f>
        <v/>
      </c>
      <c r="E3354" s="4" t="e">
        <f ca="1">RANK(F3354,F:F)+COUNTIF(F$2:F3354,F3354)-1</f>
        <v>#VALUE!</v>
      </c>
      <c r="F3354" s="5" t="str">
        <f t="shared" si="53"/>
        <v/>
      </c>
      <c r="G3354" s="5" t="str">
        <f>IF(B3354="","",股指期货基差分析!$N$11)</f>
        <v/>
      </c>
      <c r="H3354" s="5" t="str">
        <f>IF(B3354="","",股指期货基差分析!$L$11)</f>
        <v/>
      </c>
      <c r="I3354" s="9" t="str">
        <f>IF(B3354="","",股指期货基差分析!$D$11)</f>
        <v/>
      </c>
    </row>
    <row r="3355" spans="2:9" ht="15" customHeight="1" x14ac:dyDescent="0.2">
      <c r="B3355" s="7"/>
      <c r="C3355" s="5" t="str">
        <f>IF(B3355="","",[1]!s_dq_close(股指期货基差分析!$E$5,$B3355))</f>
        <v/>
      </c>
      <c r="D3355" s="5" t="str">
        <f>IF(B3355="","",[1]!s_dq_close(股指期货基差分析!$E$6,$B3355))</f>
        <v/>
      </c>
      <c r="E3355" s="4" t="e">
        <f ca="1">RANK(F3355,F:F)+COUNTIF(F$2:F3355,F3355)-1</f>
        <v>#VALUE!</v>
      </c>
      <c r="F3355" s="5" t="str">
        <f t="shared" si="53"/>
        <v/>
      </c>
      <c r="G3355" s="5" t="str">
        <f>IF(B3355="","",股指期货基差分析!$N$11)</f>
        <v/>
      </c>
      <c r="H3355" s="5" t="str">
        <f>IF(B3355="","",股指期货基差分析!$L$11)</f>
        <v/>
      </c>
      <c r="I3355" s="9" t="str">
        <f>IF(B3355="","",股指期货基差分析!$D$11)</f>
        <v/>
      </c>
    </row>
    <row r="3356" spans="2:9" ht="15" customHeight="1" x14ac:dyDescent="0.2">
      <c r="B3356" s="7"/>
      <c r="C3356" s="5" t="str">
        <f>IF(B3356="","",[1]!s_dq_close(股指期货基差分析!$E$5,$B3356))</f>
        <v/>
      </c>
      <c r="D3356" s="5" t="str">
        <f>IF(B3356="","",[1]!s_dq_close(股指期货基差分析!$E$6,$B3356))</f>
        <v/>
      </c>
      <c r="E3356" s="4" t="e">
        <f ca="1">RANK(F3356,F:F)+COUNTIF(F$2:F3356,F3356)-1</f>
        <v>#VALUE!</v>
      </c>
      <c r="F3356" s="5" t="str">
        <f t="shared" si="53"/>
        <v/>
      </c>
      <c r="G3356" s="5" t="str">
        <f>IF(B3356="","",股指期货基差分析!$N$11)</f>
        <v/>
      </c>
      <c r="H3356" s="5" t="str">
        <f>IF(B3356="","",股指期货基差分析!$L$11)</f>
        <v/>
      </c>
      <c r="I3356" s="9" t="str">
        <f>IF(B3356="","",股指期货基差分析!$D$11)</f>
        <v/>
      </c>
    </row>
    <row r="3357" spans="2:9" ht="15" customHeight="1" x14ac:dyDescent="0.2">
      <c r="B3357" s="7"/>
      <c r="C3357" s="5" t="str">
        <f>IF(B3357="","",[1]!s_dq_close(股指期货基差分析!$E$5,$B3357))</f>
        <v/>
      </c>
      <c r="D3357" s="5" t="str">
        <f>IF(B3357="","",[1]!s_dq_close(股指期货基差分析!$E$6,$B3357))</f>
        <v/>
      </c>
      <c r="E3357" s="4" t="e">
        <f ca="1">RANK(F3357,F:F)+COUNTIF(F$2:F3357,F3357)-1</f>
        <v>#VALUE!</v>
      </c>
      <c r="F3357" s="5" t="str">
        <f t="shared" si="53"/>
        <v/>
      </c>
      <c r="G3357" s="5" t="str">
        <f>IF(B3357="","",股指期货基差分析!$N$11)</f>
        <v/>
      </c>
      <c r="H3357" s="5" t="str">
        <f>IF(B3357="","",股指期货基差分析!$L$11)</f>
        <v/>
      </c>
      <c r="I3357" s="9" t="str">
        <f>IF(B3357="","",股指期货基差分析!$D$11)</f>
        <v/>
      </c>
    </row>
    <row r="3358" spans="2:9" ht="15" customHeight="1" x14ac:dyDescent="0.2">
      <c r="B3358" s="7"/>
      <c r="C3358" s="5" t="str">
        <f>IF(B3358="","",[1]!s_dq_close(股指期货基差分析!$E$5,$B3358))</f>
        <v/>
      </c>
      <c r="D3358" s="5" t="str">
        <f>IF(B3358="","",[1]!s_dq_close(股指期货基差分析!$E$6,$B3358))</f>
        <v/>
      </c>
      <c r="E3358" s="4" t="e">
        <f ca="1">RANK(F3358,F:F)+COUNTIF(F$2:F3358,F3358)-1</f>
        <v>#VALUE!</v>
      </c>
      <c r="F3358" s="5" t="str">
        <f t="shared" si="53"/>
        <v/>
      </c>
      <c r="G3358" s="5" t="str">
        <f>IF(B3358="","",股指期货基差分析!$N$11)</f>
        <v/>
      </c>
      <c r="H3358" s="5" t="str">
        <f>IF(B3358="","",股指期货基差分析!$L$11)</f>
        <v/>
      </c>
      <c r="I3358" s="9" t="str">
        <f>IF(B3358="","",股指期货基差分析!$D$11)</f>
        <v/>
      </c>
    </row>
    <row r="3359" spans="2:9" ht="15" customHeight="1" x14ac:dyDescent="0.2">
      <c r="B3359" s="7"/>
      <c r="C3359" s="5" t="str">
        <f>IF(B3359="","",[1]!s_dq_close(股指期货基差分析!$E$5,$B3359))</f>
        <v/>
      </c>
      <c r="D3359" s="5" t="str">
        <f>IF(B3359="","",[1]!s_dq_close(股指期货基差分析!$E$6,$B3359))</f>
        <v/>
      </c>
      <c r="E3359" s="4" t="e">
        <f ca="1">RANK(F3359,F:F)+COUNTIF(F$2:F3359,F3359)-1</f>
        <v>#VALUE!</v>
      </c>
      <c r="F3359" s="5" t="str">
        <f t="shared" si="53"/>
        <v/>
      </c>
      <c r="G3359" s="5" t="str">
        <f>IF(B3359="","",股指期货基差分析!$N$11)</f>
        <v/>
      </c>
      <c r="H3359" s="5" t="str">
        <f>IF(B3359="","",股指期货基差分析!$L$11)</f>
        <v/>
      </c>
      <c r="I3359" s="9" t="str">
        <f>IF(B3359="","",股指期货基差分析!$D$11)</f>
        <v/>
      </c>
    </row>
    <row r="3360" spans="2:9" ht="15" customHeight="1" x14ac:dyDescent="0.2">
      <c r="B3360" s="7"/>
      <c r="C3360" s="5" t="str">
        <f>IF(B3360="","",[1]!s_dq_close(股指期货基差分析!$E$5,$B3360))</f>
        <v/>
      </c>
      <c r="D3360" s="5" t="str">
        <f>IF(B3360="","",[1]!s_dq_close(股指期货基差分析!$E$6,$B3360))</f>
        <v/>
      </c>
      <c r="E3360" s="4" t="e">
        <f ca="1">RANK(F3360,F:F)+COUNTIF(F$2:F3360,F3360)-1</f>
        <v>#VALUE!</v>
      </c>
      <c r="F3360" s="5" t="str">
        <f t="shared" si="53"/>
        <v/>
      </c>
      <c r="G3360" s="5" t="str">
        <f>IF(B3360="","",股指期货基差分析!$N$11)</f>
        <v/>
      </c>
      <c r="H3360" s="5" t="str">
        <f>IF(B3360="","",股指期货基差分析!$L$11)</f>
        <v/>
      </c>
      <c r="I3360" s="9" t="str">
        <f>IF(B3360="","",股指期货基差分析!$D$11)</f>
        <v/>
      </c>
    </row>
    <row r="3361" spans="2:9" ht="15" customHeight="1" x14ac:dyDescent="0.2">
      <c r="B3361" s="7"/>
      <c r="C3361" s="5" t="str">
        <f>IF(B3361="","",[1]!s_dq_close(股指期货基差分析!$E$5,$B3361))</f>
        <v/>
      </c>
      <c r="D3361" s="5" t="str">
        <f>IF(B3361="","",[1]!s_dq_close(股指期货基差分析!$E$6,$B3361))</f>
        <v/>
      </c>
      <c r="E3361" s="4" t="e">
        <f ca="1">RANK(F3361,F:F)+COUNTIF(F$2:F3361,F3361)-1</f>
        <v>#VALUE!</v>
      </c>
      <c r="F3361" s="5" t="str">
        <f t="shared" si="53"/>
        <v/>
      </c>
      <c r="G3361" s="5" t="str">
        <f>IF(B3361="","",股指期货基差分析!$N$11)</f>
        <v/>
      </c>
      <c r="H3361" s="5" t="str">
        <f>IF(B3361="","",股指期货基差分析!$L$11)</f>
        <v/>
      </c>
      <c r="I3361" s="9" t="str">
        <f>IF(B3361="","",股指期货基差分析!$D$11)</f>
        <v/>
      </c>
    </row>
    <row r="3362" spans="2:9" ht="15" customHeight="1" x14ac:dyDescent="0.2">
      <c r="B3362" s="7"/>
      <c r="C3362" s="5" t="str">
        <f>IF(B3362="","",[1]!s_dq_close(股指期货基差分析!$E$5,$B3362))</f>
        <v/>
      </c>
      <c r="D3362" s="5" t="str">
        <f>IF(B3362="","",[1]!s_dq_close(股指期货基差分析!$E$6,$B3362))</f>
        <v/>
      </c>
      <c r="E3362" s="4" t="e">
        <f ca="1">RANK(F3362,F:F)+COUNTIF(F$2:F3362,F3362)-1</f>
        <v>#VALUE!</v>
      </c>
      <c r="F3362" s="5" t="str">
        <f t="shared" si="53"/>
        <v/>
      </c>
      <c r="G3362" s="5" t="str">
        <f>IF(B3362="","",股指期货基差分析!$N$11)</f>
        <v/>
      </c>
      <c r="H3362" s="5" t="str">
        <f>IF(B3362="","",股指期货基差分析!$L$11)</f>
        <v/>
      </c>
      <c r="I3362" s="9" t="str">
        <f>IF(B3362="","",股指期货基差分析!$D$11)</f>
        <v/>
      </c>
    </row>
    <row r="3363" spans="2:9" ht="15" customHeight="1" x14ac:dyDescent="0.2">
      <c r="B3363" s="7"/>
      <c r="C3363" s="5" t="str">
        <f>IF(B3363="","",[1]!s_dq_close(股指期货基差分析!$E$5,$B3363))</f>
        <v/>
      </c>
      <c r="D3363" s="5" t="str">
        <f>IF(B3363="","",[1]!s_dq_close(股指期货基差分析!$E$6,$B3363))</f>
        <v/>
      </c>
      <c r="E3363" s="4" t="e">
        <f ca="1">RANK(F3363,F:F)+COUNTIF(F$2:F3363,F3363)-1</f>
        <v>#VALUE!</v>
      </c>
      <c r="F3363" s="5" t="str">
        <f t="shared" si="53"/>
        <v/>
      </c>
      <c r="G3363" s="5" t="str">
        <f>IF(B3363="","",股指期货基差分析!$N$11)</f>
        <v/>
      </c>
      <c r="H3363" s="5" t="str">
        <f>IF(B3363="","",股指期货基差分析!$L$11)</f>
        <v/>
      </c>
      <c r="I3363" s="9" t="str">
        <f>IF(B3363="","",股指期货基差分析!$D$11)</f>
        <v/>
      </c>
    </row>
    <row r="3364" spans="2:9" ht="15" customHeight="1" x14ac:dyDescent="0.2">
      <c r="B3364" s="7"/>
      <c r="C3364" s="5" t="str">
        <f>IF(B3364="","",[1]!s_dq_close(股指期货基差分析!$E$5,$B3364))</f>
        <v/>
      </c>
      <c r="D3364" s="5" t="str">
        <f>IF(B3364="","",[1]!s_dq_close(股指期货基差分析!$E$6,$B3364))</f>
        <v/>
      </c>
      <c r="E3364" s="4" t="e">
        <f ca="1">RANK(F3364,F:F)+COUNTIF(F$2:F3364,F3364)-1</f>
        <v>#VALUE!</v>
      </c>
      <c r="F3364" s="5" t="str">
        <f t="shared" si="53"/>
        <v/>
      </c>
      <c r="G3364" s="5" t="str">
        <f>IF(B3364="","",股指期货基差分析!$N$11)</f>
        <v/>
      </c>
      <c r="H3364" s="5" t="str">
        <f>IF(B3364="","",股指期货基差分析!$L$11)</f>
        <v/>
      </c>
      <c r="I3364" s="9" t="str">
        <f>IF(B3364="","",股指期货基差分析!$D$11)</f>
        <v/>
      </c>
    </row>
    <row r="3365" spans="2:9" ht="15" customHeight="1" x14ac:dyDescent="0.2">
      <c r="B3365" s="7"/>
      <c r="C3365" s="5" t="str">
        <f>IF(B3365="","",[1]!s_dq_close(股指期货基差分析!$E$5,$B3365))</f>
        <v/>
      </c>
      <c r="D3365" s="5" t="str">
        <f>IF(B3365="","",[1]!s_dq_close(股指期货基差分析!$E$6,$B3365))</f>
        <v/>
      </c>
      <c r="E3365" s="4" t="e">
        <f ca="1">RANK(F3365,F:F)+COUNTIF(F$2:F3365,F3365)-1</f>
        <v>#VALUE!</v>
      </c>
      <c r="F3365" s="5" t="str">
        <f t="shared" si="53"/>
        <v/>
      </c>
      <c r="G3365" s="5" t="str">
        <f>IF(B3365="","",股指期货基差分析!$N$11)</f>
        <v/>
      </c>
      <c r="H3365" s="5" t="str">
        <f>IF(B3365="","",股指期货基差分析!$L$11)</f>
        <v/>
      </c>
      <c r="I3365" s="9" t="str">
        <f>IF(B3365="","",股指期货基差分析!$D$11)</f>
        <v/>
      </c>
    </row>
    <row r="3366" spans="2:9" ht="15" customHeight="1" x14ac:dyDescent="0.2">
      <c r="B3366" s="7"/>
      <c r="C3366" s="5" t="str">
        <f>IF(B3366="","",[1]!s_dq_close(股指期货基差分析!$E$5,$B3366))</f>
        <v/>
      </c>
      <c r="D3366" s="5" t="str">
        <f>IF(B3366="","",[1]!s_dq_close(股指期货基差分析!$E$6,$B3366))</f>
        <v/>
      </c>
      <c r="E3366" s="4" t="e">
        <f ca="1">RANK(F3366,F:F)+COUNTIF(F$2:F3366,F3366)-1</f>
        <v>#VALUE!</v>
      </c>
      <c r="F3366" s="5" t="str">
        <f t="shared" si="53"/>
        <v/>
      </c>
      <c r="G3366" s="5" t="str">
        <f>IF(B3366="","",股指期货基差分析!$N$11)</f>
        <v/>
      </c>
      <c r="H3366" s="5" t="str">
        <f>IF(B3366="","",股指期货基差分析!$L$11)</f>
        <v/>
      </c>
      <c r="I3366" s="9" t="str">
        <f>IF(B3366="","",股指期货基差分析!$D$11)</f>
        <v/>
      </c>
    </row>
    <row r="3367" spans="2:9" ht="15" customHeight="1" x14ac:dyDescent="0.2">
      <c r="B3367" s="7"/>
      <c r="C3367" s="5" t="str">
        <f>IF(B3367="","",[1]!s_dq_close(股指期货基差分析!$E$5,$B3367))</f>
        <v/>
      </c>
      <c r="D3367" s="5" t="str">
        <f>IF(B3367="","",[1]!s_dq_close(股指期货基差分析!$E$6,$B3367))</f>
        <v/>
      </c>
      <c r="E3367" s="4" t="e">
        <f ca="1">RANK(F3367,F:F)+COUNTIF(F$2:F3367,F3367)-1</f>
        <v>#VALUE!</v>
      </c>
      <c r="F3367" s="5" t="str">
        <f t="shared" si="53"/>
        <v/>
      </c>
      <c r="G3367" s="5" t="str">
        <f>IF(B3367="","",股指期货基差分析!$N$11)</f>
        <v/>
      </c>
      <c r="H3367" s="5" t="str">
        <f>IF(B3367="","",股指期货基差分析!$L$11)</f>
        <v/>
      </c>
      <c r="I3367" s="9" t="str">
        <f>IF(B3367="","",股指期货基差分析!$D$11)</f>
        <v/>
      </c>
    </row>
    <row r="3368" spans="2:9" ht="15" customHeight="1" x14ac:dyDescent="0.2">
      <c r="B3368" s="7"/>
      <c r="C3368" s="5" t="str">
        <f>IF(B3368="","",[1]!s_dq_close(股指期货基差分析!$E$5,$B3368))</f>
        <v/>
      </c>
      <c r="D3368" s="5" t="str">
        <f>IF(B3368="","",[1]!s_dq_close(股指期货基差分析!$E$6,$B3368))</f>
        <v/>
      </c>
      <c r="E3368" s="4" t="e">
        <f ca="1">RANK(F3368,F:F)+COUNTIF(F$2:F3368,F3368)-1</f>
        <v>#VALUE!</v>
      </c>
      <c r="F3368" s="5" t="str">
        <f t="shared" si="53"/>
        <v/>
      </c>
      <c r="G3368" s="5" t="str">
        <f>IF(B3368="","",股指期货基差分析!$N$11)</f>
        <v/>
      </c>
      <c r="H3368" s="5" t="str">
        <f>IF(B3368="","",股指期货基差分析!$L$11)</f>
        <v/>
      </c>
      <c r="I3368" s="9" t="str">
        <f>IF(B3368="","",股指期货基差分析!$D$11)</f>
        <v/>
      </c>
    </row>
    <row r="3369" spans="2:9" ht="15" customHeight="1" x14ac:dyDescent="0.2">
      <c r="B3369" s="7"/>
      <c r="C3369" s="5" t="str">
        <f>IF(B3369="","",[1]!s_dq_close(股指期货基差分析!$E$5,$B3369))</f>
        <v/>
      </c>
      <c r="D3369" s="5" t="str">
        <f>IF(B3369="","",[1]!s_dq_close(股指期货基差分析!$E$6,$B3369))</f>
        <v/>
      </c>
      <c r="E3369" s="4" t="e">
        <f ca="1">RANK(F3369,F:F)+COUNTIF(F$2:F3369,F3369)-1</f>
        <v>#VALUE!</v>
      </c>
      <c r="F3369" s="5" t="str">
        <f t="shared" si="53"/>
        <v/>
      </c>
      <c r="G3369" s="5" t="str">
        <f>IF(B3369="","",股指期货基差分析!$N$11)</f>
        <v/>
      </c>
      <c r="H3369" s="5" t="str">
        <f>IF(B3369="","",股指期货基差分析!$L$11)</f>
        <v/>
      </c>
      <c r="I3369" s="9" t="str">
        <f>IF(B3369="","",股指期货基差分析!$D$11)</f>
        <v/>
      </c>
    </row>
    <row r="3370" spans="2:9" ht="15" customHeight="1" x14ac:dyDescent="0.2">
      <c r="B3370" s="7"/>
      <c r="C3370" s="5" t="str">
        <f>IF(B3370="","",[1]!s_dq_close(股指期货基差分析!$E$5,$B3370))</f>
        <v/>
      </c>
      <c r="D3370" s="5" t="str">
        <f>IF(B3370="","",[1]!s_dq_close(股指期货基差分析!$E$6,$B3370))</f>
        <v/>
      </c>
      <c r="E3370" s="4" t="e">
        <f ca="1">RANK(F3370,F:F)+COUNTIF(F$2:F3370,F3370)-1</f>
        <v>#VALUE!</v>
      </c>
      <c r="F3370" s="5" t="str">
        <f t="shared" si="53"/>
        <v/>
      </c>
      <c r="G3370" s="5" t="str">
        <f>IF(B3370="","",股指期货基差分析!$N$11)</f>
        <v/>
      </c>
      <c r="H3370" s="5" t="str">
        <f>IF(B3370="","",股指期货基差分析!$L$11)</f>
        <v/>
      </c>
      <c r="I3370" s="9" t="str">
        <f>IF(B3370="","",股指期货基差分析!$D$11)</f>
        <v/>
      </c>
    </row>
    <row r="3371" spans="2:9" ht="15" customHeight="1" x14ac:dyDescent="0.2">
      <c r="B3371" s="7"/>
      <c r="C3371" s="5" t="str">
        <f>IF(B3371="","",[1]!s_dq_close(股指期货基差分析!$E$5,$B3371))</f>
        <v/>
      </c>
      <c r="D3371" s="5" t="str">
        <f>IF(B3371="","",[1]!s_dq_close(股指期货基差分析!$E$6,$B3371))</f>
        <v/>
      </c>
      <c r="E3371" s="4" t="e">
        <f ca="1">RANK(F3371,F:F)+COUNTIF(F$2:F3371,F3371)-1</f>
        <v>#VALUE!</v>
      </c>
      <c r="F3371" s="5" t="str">
        <f t="shared" si="53"/>
        <v/>
      </c>
      <c r="G3371" s="5" t="str">
        <f>IF(B3371="","",股指期货基差分析!$N$11)</f>
        <v/>
      </c>
      <c r="H3371" s="5" t="str">
        <f>IF(B3371="","",股指期货基差分析!$L$11)</f>
        <v/>
      </c>
      <c r="I3371" s="9" t="str">
        <f>IF(B3371="","",股指期货基差分析!$D$11)</f>
        <v/>
      </c>
    </row>
    <row r="3372" spans="2:9" ht="15" customHeight="1" x14ac:dyDescent="0.2">
      <c r="B3372" s="7"/>
      <c r="C3372" s="5" t="str">
        <f>IF(B3372="","",[1]!s_dq_close(股指期货基差分析!$E$5,$B3372))</f>
        <v/>
      </c>
      <c r="D3372" s="5" t="str">
        <f>IF(B3372="","",[1]!s_dq_close(股指期货基差分析!$E$6,$B3372))</f>
        <v/>
      </c>
      <c r="E3372" s="4" t="e">
        <f ca="1">RANK(F3372,F:F)+COUNTIF(F$2:F3372,F3372)-1</f>
        <v>#VALUE!</v>
      </c>
      <c r="F3372" s="5" t="str">
        <f t="shared" si="53"/>
        <v/>
      </c>
      <c r="G3372" s="5" t="str">
        <f>IF(B3372="","",股指期货基差分析!$N$11)</f>
        <v/>
      </c>
      <c r="H3372" s="5" t="str">
        <f>IF(B3372="","",股指期货基差分析!$L$11)</f>
        <v/>
      </c>
      <c r="I3372" s="9" t="str">
        <f>IF(B3372="","",股指期货基差分析!$D$11)</f>
        <v/>
      </c>
    </row>
    <row r="3373" spans="2:9" ht="15" customHeight="1" x14ac:dyDescent="0.2">
      <c r="B3373" s="7"/>
      <c r="C3373" s="5" t="str">
        <f>IF(B3373="","",[1]!s_dq_close(股指期货基差分析!$E$5,$B3373))</f>
        <v/>
      </c>
      <c r="D3373" s="5" t="str">
        <f>IF(B3373="","",[1]!s_dq_close(股指期货基差分析!$E$6,$B3373))</f>
        <v/>
      </c>
      <c r="E3373" s="4" t="e">
        <f ca="1">RANK(F3373,F:F)+COUNTIF(F$2:F3373,F3373)-1</f>
        <v>#VALUE!</v>
      </c>
      <c r="F3373" s="5" t="str">
        <f t="shared" si="53"/>
        <v/>
      </c>
      <c r="G3373" s="5" t="str">
        <f>IF(B3373="","",股指期货基差分析!$N$11)</f>
        <v/>
      </c>
      <c r="H3373" s="5" t="str">
        <f>IF(B3373="","",股指期货基差分析!$L$11)</f>
        <v/>
      </c>
      <c r="I3373" s="9" t="str">
        <f>IF(B3373="","",股指期货基差分析!$D$11)</f>
        <v/>
      </c>
    </row>
    <row r="3374" spans="2:9" ht="15" customHeight="1" x14ac:dyDescent="0.2">
      <c r="B3374" s="7"/>
      <c r="C3374" s="5" t="str">
        <f>IF(B3374="","",[1]!s_dq_close(股指期货基差分析!$E$5,$B3374))</f>
        <v/>
      </c>
      <c r="D3374" s="5" t="str">
        <f>IF(B3374="","",[1]!s_dq_close(股指期货基差分析!$E$6,$B3374))</f>
        <v/>
      </c>
      <c r="E3374" s="4" t="e">
        <f ca="1">RANK(F3374,F:F)+COUNTIF(F$2:F3374,F3374)-1</f>
        <v>#VALUE!</v>
      </c>
      <c r="F3374" s="5" t="str">
        <f t="shared" si="53"/>
        <v/>
      </c>
      <c r="G3374" s="5" t="str">
        <f>IF(B3374="","",股指期货基差分析!$N$11)</f>
        <v/>
      </c>
      <c r="H3374" s="5" t="str">
        <f>IF(B3374="","",股指期货基差分析!$L$11)</f>
        <v/>
      </c>
      <c r="I3374" s="9" t="str">
        <f>IF(B3374="","",股指期货基差分析!$D$11)</f>
        <v/>
      </c>
    </row>
    <row r="3375" spans="2:9" ht="15" customHeight="1" x14ac:dyDescent="0.2">
      <c r="B3375" s="7"/>
      <c r="C3375" s="5" t="str">
        <f>IF(B3375="","",[1]!s_dq_close(股指期货基差分析!$E$5,$B3375))</f>
        <v/>
      </c>
      <c r="D3375" s="5" t="str">
        <f>IF(B3375="","",[1]!s_dq_close(股指期货基差分析!$E$6,$B3375))</f>
        <v/>
      </c>
      <c r="E3375" s="4" t="e">
        <f ca="1">RANK(F3375,F:F)+COUNTIF(F$2:F3375,F3375)-1</f>
        <v>#VALUE!</v>
      </c>
      <c r="F3375" s="5" t="str">
        <f t="shared" si="53"/>
        <v/>
      </c>
      <c r="G3375" s="5" t="str">
        <f>IF(B3375="","",股指期货基差分析!$N$11)</f>
        <v/>
      </c>
      <c r="H3375" s="5" t="str">
        <f>IF(B3375="","",股指期货基差分析!$L$11)</f>
        <v/>
      </c>
      <c r="I3375" s="9" t="str">
        <f>IF(B3375="","",股指期货基差分析!$D$11)</f>
        <v/>
      </c>
    </row>
    <row r="3376" spans="2:9" ht="15" customHeight="1" x14ac:dyDescent="0.2">
      <c r="B3376" s="7"/>
      <c r="C3376" s="5" t="str">
        <f>IF(B3376="","",[1]!s_dq_close(股指期货基差分析!$E$5,$B3376))</f>
        <v/>
      </c>
      <c r="D3376" s="5" t="str">
        <f>IF(B3376="","",[1]!s_dq_close(股指期货基差分析!$E$6,$B3376))</f>
        <v/>
      </c>
      <c r="E3376" s="4" t="e">
        <f ca="1">RANK(F3376,F:F)+COUNTIF(F$2:F3376,F3376)-1</f>
        <v>#VALUE!</v>
      </c>
      <c r="F3376" s="5" t="str">
        <f t="shared" si="53"/>
        <v/>
      </c>
      <c r="G3376" s="5" t="str">
        <f>IF(B3376="","",股指期货基差分析!$N$11)</f>
        <v/>
      </c>
      <c r="H3376" s="5" t="str">
        <f>IF(B3376="","",股指期货基差分析!$L$11)</f>
        <v/>
      </c>
      <c r="I3376" s="9" t="str">
        <f>IF(B3376="","",股指期货基差分析!$D$11)</f>
        <v/>
      </c>
    </row>
    <row r="3377" spans="2:9" ht="15" customHeight="1" x14ac:dyDescent="0.2">
      <c r="B3377" s="7"/>
      <c r="C3377" s="5" t="str">
        <f>IF(B3377="","",[1]!s_dq_close(股指期货基差分析!$E$5,$B3377))</f>
        <v/>
      </c>
      <c r="D3377" s="5" t="str">
        <f>IF(B3377="","",[1]!s_dq_close(股指期货基差分析!$E$6,$B3377))</f>
        <v/>
      </c>
      <c r="E3377" s="4" t="e">
        <f ca="1">RANK(F3377,F:F)+COUNTIF(F$2:F3377,F3377)-1</f>
        <v>#VALUE!</v>
      </c>
      <c r="F3377" s="5" t="str">
        <f t="shared" si="53"/>
        <v/>
      </c>
      <c r="G3377" s="5" t="str">
        <f>IF(B3377="","",股指期货基差分析!$N$11)</f>
        <v/>
      </c>
      <c r="H3377" s="5" t="str">
        <f>IF(B3377="","",股指期货基差分析!$L$11)</f>
        <v/>
      </c>
      <c r="I3377" s="9" t="str">
        <f>IF(B3377="","",股指期货基差分析!$D$11)</f>
        <v/>
      </c>
    </row>
    <row r="3378" spans="2:9" ht="15" customHeight="1" x14ac:dyDescent="0.2">
      <c r="B3378" s="7"/>
      <c r="C3378" s="5" t="str">
        <f>IF(B3378="","",[1]!s_dq_close(股指期货基差分析!$E$5,$B3378))</f>
        <v/>
      </c>
      <c r="D3378" s="5" t="str">
        <f>IF(B3378="","",[1]!s_dq_close(股指期货基差分析!$E$6,$B3378))</f>
        <v/>
      </c>
      <c r="E3378" s="4" t="e">
        <f ca="1">RANK(F3378,F:F)+COUNTIF(F$2:F3378,F3378)-1</f>
        <v>#VALUE!</v>
      </c>
      <c r="F3378" s="5" t="str">
        <f t="shared" si="53"/>
        <v/>
      </c>
      <c r="G3378" s="5" t="str">
        <f>IF(B3378="","",股指期货基差分析!$N$11)</f>
        <v/>
      </c>
      <c r="H3378" s="5" t="str">
        <f>IF(B3378="","",股指期货基差分析!$L$11)</f>
        <v/>
      </c>
      <c r="I3378" s="9" t="str">
        <f>IF(B3378="","",股指期货基差分析!$D$11)</f>
        <v/>
      </c>
    </row>
    <row r="3379" spans="2:9" ht="15" customHeight="1" x14ac:dyDescent="0.2">
      <c r="B3379" s="7"/>
      <c r="C3379" s="5" t="str">
        <f>IF(B3379="","",[1]!s_dq_close(股指期货基差分析!$E$5,$B3379))</f>
        <v/>
      </c>
      <c r="D3379" s="5" t="str">
        <f>IF(B3379="","",[1]!s_dq_close(股指期货基差分析!$E$6,$B3379))</f>
        <v/>
      </c>
      <c r="E3379" s="4" t="e">
        <f ca="1">RANK(F3379,F:F)+COUNTIF(F$2:F3379,F3379)-1</f>
        <v>#VALUE!</v>
      </c>
      <c r="F3379" s="5" t="str">
        <f t="shared" si="53"/>
        <v/>
      </c>
      <c r="G3379" s="5" t="str">
        <f>IF(B3379="","",股指期货基差分析!$N$11)</f>
        <v/>
      </c>
      <c r="H3379" s="5" t="str">
        <f>IF(B3379="","",股指期货基差分析!$L$11)</f>
        <v/>
      </c>
      <c r="I3379" s="9" t="str">
        <f>IF(B3379="","",股指期货基差分析!$D$11)</f>
        <v/>
      </c>
    </row>
    <row r="3380" spans="2:9" ht="15" customHeight="1" x14ac:dyDescent="0.2">
      <c r="B3380" s="7"/>
      <c r="C3380" s="5" t="str">
        <f>IF(B3380="","",[1]!s_dq_close(股指期货基差分析!$E$5,$B3380))</f>
        <v/>
      </c>
      <c r="D3380" s="5" t="str">
        <f>IF(B3380="","",[1]!s_dq_close(股指期货基差分析!$E$6,$B3380))</f>
        <v/>
      </c>
      <c r="E3380" s="4" t="e">
        <f ca="1">RANK(F3380,F:F)+COUNTIF(F$2:F3380,F3380)-1</f>
        <v>#VALUE!</v>
      </c>
      <c r="F3380" s="5" t="str">
        <f t="shared" si="53"/>
        <v/>
      </c>
      <c r="G3380" s="5" t="str">
        <f>IF(B3380="","",股指期货基差分析!$N$11)</f>
        <v/>
      </c>
      <c r="H3380" s="5" t="str">
        <f>IF(B3380="","",股指期货基差分析!$L$11)</f>
        <v/>
      </c>
      <c r="I3380" s="9" t="str">
        <f>IF(B3380="","",股指期货基差分析!$D$11)</f>
        <v/>
      </c>
    </row>
    <row r="3381" spans="2:9" ht="15" customHeight="1" x14ac:dyDescent="0.2">
      <c r="B3381" s="7"/>
      <c r="C3381" s="5" t="str">
        <f>IF(B3381="","",[1]!s_dq_close(股指期货基差分析!$E$5,$B3381))</f>
        <v/>
      </c>
      <c r="D3381" s="5" t="str">
        <f>IF(B3381="","",[1]!s_dq_close(股指期货基差分析!$E$6,$B3381))</f>
        <v/>
      </c>
      <c r="E3381" s="4" t="e">
        <f ca="1">RANK(F3381,F:F)+COUNTIF(F$2:F3381,F3381)-1</f>
        <v>#VALUE!</v>
      </c>
      <c r="F3381" s="5" t="str">
        <f t="shared" si="53"/>
        <v/>
      </c>
      <c r="G3381" s="5" t="str">
        <f>IF(B3381="","",股指期货基差分析!$N$11)</f>
        <v/>
      </c>
      <c r="H3381" s="5" t="str">
        <f>IF(B3381="","",股指期货基差分析!$L$11)</f>
        <v/>
      </c>
      <c r="I3381" s="9" t="str">
        <f>IF(B3381="","",股指期货基差分析!$D$11)</f>
        <v/>
      </c>
    </row>
    <row r="3382" spans="2:9" ht="15" customHeight="1" x14ac:dyDescent="0.2">
      <c r="B3382" s="7"/>
      <c r="C3382" s="5" t="str">
        <f>IF(B3382="","",[1]!s_dq_close(股指期货基差分析!$E$5,$B3382))</f>
        <v/>
      </c>
      <c r="D3382" s="5" t="str">
        <f>IF(B3382="","",[1]!s_dq_close(股指期货基差分析!$E$6,$B3382))</f>
        <v/>
      </c>
      <c r="E3382" s="4" t="e">
        <f ca="1">RANK(F3382,F:F)+COUNTIF(F$2:F3382,F3382)-1</f>
        <v>#VALUE!</v>
      </c>
      <c r="F3382" s="5" t="str">
        <f t="shared" si="53"/>
        <v/>
      </c>
      <c r="G3382" s="5" t="str">
        <f>IF(B3382="","",股指期货基差分析!$N$11)</f>
        <v/>
      </c>
      <c r="H3382" s="5" t="str">
        <f>IF(B3382="","",股指期货基差分析!$L$11)</f>
        <v/>
      </c>
      <c r="I3382" s="9" t="str">
        <f>IF(B3382="","",股指期货基差分析!$D$11)</f>
        <v/>
      </c>
    </row>
    <row r="3383" spans="2:9" ht="15" customHeight="1" x14ac:dyDescent="0.2">
      <c r="B3383" s="7"/>
      <c r="C3383" s="5" t="str">
        <f>IF(B3383="","",[1]!s_dq_close(股指期货基差分析!$E$5,$B3383))</f>
        <v/>
      </c>
      <c r="D3383" s="5" t="str">
        <f>IF(B3383="","",[1]!s_dq_close(股指期货基差分析!$E$6,$B3383))</f>
        <v/>
      </c>
      <c r="E3383" s="4" t="e">
        <f ca="1">RANK(F3383,F:F)+COUNTIF(F$2:F3383,F3383)-1</f>
        <v>#VALUE!</v>
      </c>
      <c r="F3383" s="5" t="str">
        <f t="shared" si="53"/>
        <v/>
      </c>
      <c r="G3383" s="5" t="str">
        <f>IF(B3383="","",股指期货基差分析!$N$11)</f>
        <v/>
      </c>
      <c r="H3383" s="5" t="str">
        <f>IF(B3383="","",股指期货基差分析!$L$11)</f>
        <v/>
      </c>
      <c r="I3383" s="9" t="str">
        <f>IF(B3383="","",股指期货基差分析!$D$11)</f>
        <v/>
      </c>
    </row>
    <row r="3384" spans="2:9" ht="15" customHeight="1" x14ac:dyDescent="0.2">
      <c r="B3384" s="7"/>
      <c r="C3384" s="5" t="str">
        <f>IF(B3384="","",[1]!s_dq_close(股指期货基差分析!$E$5,$B3384))</f>
        <v/>
      </c>
      <c r="D3384" s="5" t="str">
        <f>IF(B3384="","",[1]!s_dq_close(股指期货基差分析!$E$6,$B3384))</f>
        <v/>
      </c>
      <c r="E3384" s="4" t="e">
        <f ca="1">RANK(F3384,F:F)+COUNTIF(F$2:F3384,F3384)-1</f>
        <v>#VALUE!</v>
      </c>
      <c r="F3384" s="5" t="str">
        <f t="shared" si="53"/>
        <v/>
      </c>
      <c r="G3384" s="5" t="str">
        <f>IF(B3384="","",股指期货基差分析!$N$11)</f>
        <v/>
      </c>
      <c r="H3384" s="5" t="str">
        <f>IF(B3384="","",股指期货基差分析!$L$11)</f>
        <v/>
      </c>
      <c r="I3384" s="9" t="str">
        <f>IF(B3384="","",股指期货基差分析!$D$11)</f>
        <v/>
      </c>
    </row>
    <row r="3385" spans="2:9" ht="15" customHeight="1" x14ac:dyDescent="0.2">
      <c r="B3385" s="7"/>
      <c r="C3385" s="5" t="str">
        <f>IF(B3385="","",[1]!s_dq_close(股指期货基差分析!$E$5,$B3385))</f>
        <v/>
      </c>
      <c r="D3385" s="5" t="str">
        <f>IF(B3385="","",[1]!s_dq_close(股指期货基差分析!$E$6,$B3385))</f>
        <v/>
      </c>
      <c r="E3385" s="4" t="e">
        <f ca="1">RANK(F3385,F:F)+COUNTIF(F$2:F3385,F3385)-1</f>
        <v>#VALUE!</v>
      </c>
      <c r="F3385" s="5" t="str">
        <f t="shared" si="53"/>
        <v/>
      </c>
      <c r="G3385" s="5" t="str">
        <f>IF(B3385="","",股指期货基差分析!$N$11)</f>
        <v/>
      </c>
      <c r="H3385" s="5" t="str">
        <f>IF(B3385="","",股指期货基差分析!$L$11)</f>
        <v/>
      </c>
      <c r="I3385" s="9" t="str">
        <f>IF(B3385="","",股指期货基差分析!$D$11)</f>
        <v/>
      </c>
    </row>
    <row r="3386" spans="2:9" ht="15" customHeight="1" x14ac:dyDescent="0.2">
      <c r="B3386" s="7"/>
      <c r="C3386" s="5" t="str">
        <f>IF(B3386="","",[1]!s_dq_close(股指期货基差分析!$E$5,$B3386))</f>
        <v/>
      </c>
      <c r="D3386" s="5" t="str">
        <f>IF(B3386="","",[1]!s_dq_close(股指期货基差分析!$E$6,$B3386))</f>
        <v/>
      </c>
      <c r="E3386" s="4" t="e">
        <f ca="1">RANK(F3386,F:F)+COUNTIF(F$2:F3386,F3386)-1</f>
        <v>#VALUE!</v>
      </c>
      <c r="F3386" s="5" t="str">
        <f t="shared" si="53"/>
        <v/>
      </c>
      <c r="G3386" s="5" t="str">
        <f>IF(B3386="","",股指期货基差分析!$N$11)</f>
        <v/>
      </c>
      <c r="H3386" s="5" t="str">
        <f>IF(B3386="","",股指期货基差分析!$L$11)</f>
        <v/>
      </c>
      <c r="I3386" s="9" t="str">
        <f>IF(B3386="","",股指期货基差分析!$D$11)</f>
        <v/>
      </c>
    </row>
    <row r="3387" spans="2:9" ht="15" customHeight="1" x14ac:dyDescent="0.2">
      <c r="B3387" s="7"/>
      <c r="C3387" s="5" t="str">
        <f>IF(B3387="","",[1]!s_dq_close(股指期货基差分析!$E$5,$B3387))</f>
        <v/>
      </c>
      <c r="D3387" s="5" t="str">
        <f>IF(B3387="","",[1]!s_dq_close(股指期货基差分析!$E$6,$B3387))</f>
        <v/>
      </c>
      <c r="E3387" s="4" t="e">
        <f ca="1">RANK(F3387,F:F)+COUNTIF(F$2:F3387,F3387)-1</f>
        <v>#VALUE!</v>
      </c>
      <c r="F3387" s="5" t="str">
        <f t="shared" si="53"/>
        <v/>
      </c>
      <c r="G3387" s="5" t="str">
        <f>IF(B3387="","",股指期货基差分析!$N$11)</f>
        <v/>
      </c>
      <c r="H3387" s="5" t="str">
        <f>IF(B3387="","",股指期货基差分析!$L$11)</f>
        <v/>
      </c>
      <c r="I3387" s="9" t="str">
        <f>IF(B3387="","",股指期货基差分析!$D$11)</f>
        <v/>
      </c>
    </row>
    <row r="3388" spans="2:9" ht="15" customHeight="1" x14ac:dyDescent="0.2">
      <c r="B3388" s="7"/>
      <c r="C3388" s="5" t="str">
        <f>IF(B3388="","",[1]!s_dq_close(股指期货基差分析!$E$5,$B3388))</f>
        <v/>
      </c>
      <c r="D3388" s="5" t="str">
        <f>IF(B3388="","",[1]!s_dq_close(股指期货基差分析!$E$6,$B3388))</f>
        <v/>
      </c>
      <c r="E3388" s="4" t="e">
        <f ca="1">RANK(F3388,F:F)+COUNTIF(F$2:F3388,F3388)-1</f>
        <v>#VALUE!</v>
      </c>
      <c r="F3388" s="5" t="str">
        <f t="shared" si="53"/>
        <v/>
      </c>
      <c r="G3388" s="5" t="str">
        <f>IF(B3388="","",股指期货基差分析!$N$11)</f>
        <v/>
      </c>
      <c r="H3388" s="5" t="str">
        <f>IF(B3388="","",股指期货基差分析!$L$11)</f>
        <v/>
      </c>
      <c r="I3388" s="9" t="str">
        <f>IF(B3388="","",股指期货基差分析!$D$11)</f>
        <v/>
      </c>
    </row>
    <row r="3389" spans="2:9" ht="15" customHeight="1" x14ac:dyDescent="0.2">
      <c r="B3389" s="7"/>
      <c r="C3389" s="5" t="str">
        <f>IF(B3389="","",[1]!s_dq_close(股指期货基差分析!$E$5,$B3389))</f>
        <v/>
      </c>
      <c r="D3389" s="5" t="str">
        <f>IF(B3389="","",[1]!s_dq_close(股指期货基差分析!$E$6,$B3389))</f>
        <v/>
      </c>
      <c r="E3389" s="4" t="e">
        <f ca="1">RANK(F3389,F:F)+COUNTIF(F$2:F3389,F3389)-1</f>
        <v>#VALUE!</v>
      </c>
      <c r="F3389" s="5" t="str">
        <f t="shared" si="53"/>
        <v/>
      </c>
      <c r="G3389" s="5" t="str">
        <f>IF(B3389="","",股指期货基差分析!$N$11)</f>
        <v/>
      </c>
      <c r="H3389" s="5" t="str">
        <f>IF(B3389="","",股指期货基差分析!$L$11)</f>
        <v/>
      </c>
      <c r="I3389" s="9" t="str">
        <f>IF(B3389="","",股指期货基差分析!$D$11)</f>
        <v/>
      </c>
    </row>
    <row r="3390" spans="2:9" ht="15" customHeight="1" x14ac:dyDescent="0.2">
      <c r="B3390" s="7"/>
      <c r="C3390" s="5" t="str">
        <f>IF(B3390="","",[1]!s_dq_close(股指期货基差分析!$E$5,$B3390))</f>
        <v/>
      </c>
      <c r="D3390" s="5" t="str">
        <f>IF(B3390="","",[1]!s_dq_close(股指期货基差分析!$E$6,$B3390))</f>
        <v/>
      </c>
      <c r="E3390" s="4" t="e">
        <f ca="1">RANK(F3390,F:F)+COUNTIF(F$2:F3390,F3390)-1</f>
        <v>#VALUE!</v>
      </c>
      <c r="F3390" s="5" t="str">
        <f t="shared" si="53"/>
        <v/>
      </c>
      <c r="G3390" s="5" t="str">
        <f>IF(B3390="","",股指期货基差分析!$N$11)</f>
        <v/>
      </c>
      <c r="H3390" s="5" t="str">
        <f>IF(B3390="","",股指期货基差分析!$L$11)</f>
        <v/>
      </c>
      <c r="I3390" s="9" t="str">
        <f>IF(B3390="","",股指期货基差分析!$D$11)</f>
        <v/>
      </c>
    </row>
    <row r="3391" spans="2:9" ht="15" customHeight="1" x14ac:dyDescent="0.2">
      <c r="B3391" s="7"/>
      <c r="C3391" s="5" t="str">
        <f>IF(B3391="","",[1]!s_dq_close(股指期货基差分析!$E$5,$B3391))</f>
        <v/>
      </c>
      <c r="D3391" s="5" t="str">
        <f>IF(B3391="","",[1]!s_dq_close(股指期货基差分析!$E$6,$B3391))</f>
        <v/>
      </c>
      <c r="E3391" s="4" t="e">
        <f ca="1">RANK(F3391,F:F)+COUNTIF(F$2:F3391,F3391)-1</f>
        <v>#VALUE!</v>
      </c>
      <c r="F3391" s="5" t="str">
        <f t="shared" si="53"/>
        <v/>
      </c>
      <c r="G3391" s="5" t="str">
        <f>IF(B3391="","",股指期货基差分析!$N$11)</f>
        <v/>
      </c>
      <c r="H3391" s="5" t="str">
        <f>IF(B3391="","",股指期货基差分析!$L$11)</f>
        <v/>
      </c>
      <c r="I3391" s="9" t="str">
        <f>IF(B3391="","",股指期货基差分析!$D$11)</f>
        <v/>
      </c>
    </row>
    <row r="3392" spans="2:9" ht="15" customHeight="1" x14ac:dyDescent="0.2">
      <c r="B3392" s="7"/>
      <c r="C3392" s="5" t="str">
        <f>IF(B3392="","",[1]!s_dq_close(股指期货基差分析!$E$5,$B3392))</f>
        <v/>
      </c>
      <c r="D3392" s="5" t="str">
        <f>IF(B3392="","",[1]!s_dq_close(股指期货基差分析!$E$6,$B3392))</f>
        <v/>
      </c>
      <c r="E3392" s="4" t="e">
        <f ca="1">RANK(F3392,F:F)+COUNTIF(F$2:F3392,F3392)-1</f>
        <v>#VALUE!</v>
      </c>
      <c r="F3392" s="5" t="str">
        <f t="shared" si="53"/>
        <v/>
      </c>
      <c r="G3392" s="5" t="str">
        <f>IF(B3392="","",股指期货基差分析!$N$11)</f>
        <v/>
      </c>
      <c r="H3392" s="5" t="str">
        <f>IF(B3392="","",股指期货基差分析!$L$11)</f>
        <v/>
      </c>
      <c r="I3392" s="9" t="str">
        <f>IF(B3392="","",股指期货基差分析!$D$11)</f>
        <v/>
      </c>
    </row>
    <row r="3393" spans="2:9" ht="15" customHeight="1" x14ac:dyDescent="0.2">
      <c r="B3393" s="7"/>
      <c r="C3393" s="5" t="str">
        <f>IF(B3393="","",[1]!s_dq_close(股指期货基差分析!$E$5,$B3393))</f>
        <v/>
      </c>
      <c r="D3393" s="5" t="str">
        <f>IF(B3393="","",[1]!s_dq_close(股指期货基差分析!$E$6,$B3393))</f>
        <v/>
      </c>
      <c r="E3393" s="4" t="e">
        <f ca="1">RANK(F3393,F:F)+COUNTIF(F$2:F3393,F3393)-1</f>
        <v>#VALUE!</v>
      </c>
      <c r="F3393" s="5" t="str">
        <f t="shared" si="53"/>
        <v/>
      </c>
      <c r="G3393" s="5" t="str">
        <f>IF(B3393="","",股指期货基差分析!$N$11)</f>
        <v/>
      </c>
      <c r="H3393" s="5" t="str">
        <f>IF(B3393="","",股指期货基差分析!$L$11)</f>
        <v/>
      </c>
      <c r="I3393" s="9" t="str">
        <f>IF(B3393="","",股指期货基差分析!$D$11)</f>
        <v/>
      </c>
    </row>
    <row r="3394" spans="2:9" ht="15" customHeight="1" x14ac:dyDescent="0.2">
      <c r="B3394" s="7"/>
      <c r="C3394" s="5" t="str">
        <f>IF(B3394="","",[1]!s_dq_close(股指期货基差分析!$E$5,$B3394))</f>
        <v/>
      </c>
      <c r="D3394" s="5" t="str">
        <f>IF(B3394="","",[1]!s_dq_close(股指期货基差分析!$E$6,$B3394))</f>
        <v/>
      </c>
      <c r="E3394" s="4" t="e">
        <f ca="1">RANK(F3394,F:F)+COUNTIF(F$2:F3394,F3394)-1</f>
        <v>#VALUE!</v>
      </c>
      <c r="F3394" s="5" t="str">
        <f t="shared" ref="F3394:F3457" si="54">IF(B3394="","",D3394-C3394)</f>
        <v/>
      </c>
      <c r="G3394" s="5" t="str">
        <f>IF(B3394="","",股指期货基差分析!$N$11)</f>
        <v/>
      </c>
      <c r="H3394" s="5" t="str">
        <f>IF(B3394="","",股指期货基差分析!$L$11)</f>
        <v/>
      </c>
      <c r="I3394" s="9" t="str">
        <f>IF(B3394="","",股指期货基差分析!$D$11)</f>
        <v/>
      </c>
    </row>
    <row r="3395" spans="2:9" ht="15" customHeight="1" x14ac:dyDescent="0.2">
      <c r="B3395" s="7"/>
      <c r="C3395" s="5" t="str">
        <f>IF(B3395="","",[1]!s_dq_close(股指期货基差分析!$E$5,$B3395))</f>
        <v/>
      </c>
      <c r="D3395" s="5" t="str">
        <f>IF(B3395="","",[1]!s_dq_close(股指期货基差分析!$E$6,$B3395))</f>
        <v/>
      </c>
      <c r="E3395" s="4" t="e">
        <f ca="1">RANK(F3395,F:F)+COUNTIF(F$2:F3395,F3395)-1</f>
        <v>#VALUE!</v>
      </c>
      <c r="F3395" s="5" t="str">
        <f t="shared" si="54"/>
        <v/>
      </c>
      <c r="G3395" s="5" t="str">
        <f>IF(B3395="","",股指期货基差分析!$N$11)</f>
        <v/>
      </c>
      <c r="H3395" s="5" t="str">
        <f>IF(B3395="","",股指期货基差分析!$L$11)</f>
        <v/>
      </c>
      <c r="I3395" s="9" t="str">
        <f>IF(B3395="","",股指期货基差分析!$D$11)</f>
        <v/>
      </c>
    </row>
    <row r="3396" spans="2:9" ht="15" customHeight="1" x14ac:dyDescent="0.2">
      <c r="B3396" s="7"/>
      <c r="C3396" s="5" t="str">
        <f>IF(B3396="","",[1]!s_dq_close(股指期货基差分析!$E$5,$B3396))</f>
        <v/>
      </c>
      <c r="D3396" s="5" t="str">
        <f>IF(B3396="","",[1]!s_dq_close(股指期货基差分析!$E$6,$B3396))</f>
        <v/>
      </c>
      <c r="E3396" s="4" t="e">
        <f ca="1">RANK(F3396,F:F)+COUNTIF(F$2:F3396,F3396)-1</f>
        <v>#VALUE!</v>
      </c>
      <c r="F3396" s="5" t="str">
        <f t="shared" si="54"/>
        <v/>
      </c>
      <c r="G3396" s="5" t="str">
        <f>IF(B3396="","",股指期货基差分析!$N$11)</f>
        <v/>
      </c>
      <c r="H3396" s="5" t="str">
        <f>IF(B3396="","",股指期货基差分析!$L$11)</f>
        <v/>
      </c>
      <c r="I3396" s="9" t="str">
        <f>IF(B3396="","",股指期货基差分析!$D$11)</f>
        <v/>
      </c>
    </row>
    <row r="3397" spans="2:9" ht="15" customHeight="1" x14ac:dyDescent="0.2">
      <c r="B3397" s="7"/>
      <c r="C3397" s="5" t="str">
        <f>IF(B3397="","",[1]!s_dq_close(股指期货基差分析!$E$5,$B3397))</f>
        <v/>
      </c>
      <c r="D3397" s="5" t="str">
        <f>IF(B3397="","",[1]!s_dq_close(股指期货基差分析!$E$6,$B3397))</f>
        <v/>
      </c>
      <c r="E3397" s="4" t="e">
        <f ca="1">RANK(F3397,F:F)+COUNTIF(F$2:F3397,F3397)-1</f>
        <v>#VALUE!</v>
      </c>
      <c r="F3397" s="5" t="str">
        <f t="shared" si="54"/>
        <v/>
      </c>
      <c r="G3397" s="5" t="str">
        <f>IF(B3397="","",股指期货基差分析!$N$11)</f>
        <v/>
      </c>
      <c r="H3397" s="5" t="str">
        <f>IF(B3397="","",股指期货基差分析!$L$11)</f>
        <v/>
      </c>
      <c r="I3397" s="9" t="str">
        <f>IF(B3397="","",股指期货基差分析!$D$11)</f>
        <v/>
      </c>
    </row>
    <row r="3398" spans="2:9" ht="15" customHeight="1" x14ac:dyDescent="0.2">
      <c r="B3398" s="7"/>
      <c r="C3398" s="5" t="str">
        <f>IF(B3398="","",[1]!s_dq_close(股指期货基差分析!$E$5,$B3398))</f>
        <v/>
      </c>
      <c r="D3398" s="5" t="str">
        <f>IF(B3398="","",[1]!s_dq_close(股指期货基差分析!$E$6,$B3398))</f>
        <v/>
      </c>
      <c r="E3398" s="4" t="e">
        <f ca="1">RANK(F3398,F:F)+COUNTIF(F$2:F3398,F3398)-1</f>
        <v>#VALUE!</v>
      </c>
      <c r="F3398" s="5" t="str">
        <f t="shared" si="54"/>
        <v/>
      </c>
      <c r="G3398" s="5" t="str">
        <f>IF(B3398="","",股指期货基差分析!$N$11)</f>
        <v/>
      </c>
      <c r="H3398" s="5" t="str">
        <f>IF(B3398="","",股指期货基差分析!$L$11)</f>
        <v/>
      </c>
      <c r="I3398" s="9" t="str">
        <f>IF(B3398="","",股指期货基差分析!$D$11)</f>
        <v/>
      </c>
    </row>
    <row r="3399" spans="2:9" ht="15" customHeight="1" x14ac:dyDescent="0.2">
      <c r="B3399" s="7"/>
      <c r="C3399" s="5" t="str">
        <f>IF(B3399="","",[1]!s_dq_close(股指期货基差分析!$E$5,$B3399))</f>
        <v/>
      </c>
      <c r="D3399" s="5" t="str">
        <f>IF(B3399="","",[1]!s_dq_close(股指期货基差分析!$E$6,$B3399))</f>
        <v/>
      </c>
      <c r="E3399" s="4" t="e">
        <f ca="1">RANK(F3399,F:F)+COUNTIF(F$2:F3399,F3399)-1</f>
        <v>#VALUE!</v>
      </c>
      <c r="F3399" s="5" t="str">
        <f t="shared" si="54"/>
        <v/>
      </c>
      <c r="G3399" s="5" t="str">
        <f>IF(B3399="","",股指期货基差分析!$N$11)</f>
        <v/>
      </c>
      <c r="H3399" s="5" t="str">
        <f>IF(B3399="","",股指期货基差分析!$L$11)</f>
        <v/>
      </c>
      <c r="I3399" s="9" t="str">
        <f>IF(B3399="","",股指期货基差分析!$D$11)</f>
        <v/>
      </c>
    </row>
    <row r="3400" spans="2:9" ht="15" customHeight="1" x14ac:dyDescent="0.2">
      <c r="B3400" s="7"/>
      <c r="C3400" s="5" t="str">
        <f>IF(B3400="","",[1]!s_dq_close(股指期货基差分析!$E$5,$B3400))</f>
        <v/>
      </c>
      <c r="D3400" s="5" t="str">
        <f>IF(B3400="","",[1]!s_dq_close(股指期货基差分析!$E$6,$B3400))</f>
        <v/>
      </c>
      <c r="E3400" s="4" t="e">
        <f ca="1">RANK(F3400,F:F)+COUNTIF(F$2:F3400,F3400)-1</f>
        <v>#VALUE!</v>
      </c>
      <c r="F3400" s="5" t="str">
        <f t="shared" si="54"/>
        <v/>
      </c>
      <c r="G3400" s="5" t="str">
        <f>IF(B3400="","",股指期货基差分析!$N$11)</f>
        <v/>
      </c>
      <c r="H3400" s="5" t="str">
        <f>IF(B3400="","",股指期货基差分析!$L$11)</f>
        <v/>
      </c>
      <c r="I3400" s="9" t="str">
        <f>IF(B3400="","",股指期货基差分析!$D$11)</f>
        <v/>
      </c>
    </row>
    <row r="3401" spans="2:9" ht="15" customHeight="1" x14ac:dyDescent="0.2">
      <c r="B3401" s="7"/>
      <c r="C3401" s="5" t="str">
        <f>IF(B3401="","",[1]!s_dq_close(股指期货基差分析!$E$5,$B3401))</f>
        <v/>
      </c>
      <c r="D3401" s="5" t="str">
        <f>IF(B3401="","",[1]!s_dq_close(股指期货基差分析!$E$6,$B3401))</f>
        <v/>
      </c>
      <c r="E3401" s="4" t="e">
        <f ca="1">RANK(F3401,F:F)+COUNTIF(F$2:F3401,F3401)-1</f>
        <v>#VALUE!</v>
      </c>
      <c r="F3401" s="5" t="str">
        <f t="shared" si="54"/>
        <v/>
      </c>
      <c r="G3401" s="5" t="str">
        <f>IF(B3401="","",股指期货基差分析!$N$11)</f>
        <v/>
      </c>
      <c r="H3401" s="5" t="str">
        <f>IF(B3401="","",股指期货基差分析!$L$11)</f>
        <v/>
      </c>
      <c r="I3401" s="9" t="str">
        <f>IF(B3401="","",股指期货基差分析!$D$11)</f>
        <v/>
      </c>
    </row>
    <row r="3402" spans="2:9" ht="15" customHeight="1" x14ac:dyDescent="0.2">
      <c r="B3402" s="7"/>
      <c r="C3402" s="5" t="str">
        <f>IF(B3402="","",[1]!s_dq_close(股指期货基差分析!$E$5,$B3402))</f>
        <v/>
      </c>
      <c r="D3402" s="5" t="str">
        <f>IF(B3402="","",[1]!s_dq_close(股指期货基差分析!$E$6,$B3402))</f>
        <v/>
      </c>
      <c r="E3402" s="4" t="e">
        <f ca="1">RANK(F3402,F:F)+COUNTIF(F$2:F3402,F3402)-1</f>
        <v>#VALUE!</v>
      </c>
      <c r="F3402" s="5" t="str">
        <f t="shared" si="54"/>
        <v/>
      </c>
      <c r="G3402" s="5" t="str">
        <f>IF(B3402="","",股指期货基差分析!$N$11)</f>
        <v/>
      </c>
      <c r="H3402" s="5" t="str">
        <f>IF(B3402="","",股指期货基差分析!$L$11)</f>
        <v/>
      </c>
      <c r="I3402" s="9" t="str">
        <f>IF(B3402="","",股指期货基差分析!$D$11)</f>
        <v/>
      </c>
    </row>
    <row r="3403" spans="2:9" ht="15" customHeight="1" x14ac:dyDescent="0.2">
      <c r="B3403" s="7"/>
      <c r="C3403" s="5" t="str">
        <f>IF(B3403="","",[1]!s_dq_close(股指期货基差分析!$E$5,$B3403))</f>
        <v/>
      </c>
      <c r="D3403" s="5" t="str">
        <f>IF(B3403="","",[1]!s_dq_close(股指期货基差分析!$E$6,$B3403))</f>
        <v/>
      </c>
      <c r="E3403" s="4" t="e">
        <f ca="1">RANK(F3403,F:F)+COUNTIF(F$2:F3403,F3403)-1</f>
        <v>#VALUE!</v>
      </c>
      <c r="F3403" s="5" t="str">
        <f t="shared" si="54"/>
        <v/>
      </c>
      <c r="G3403" s="5" t="str">
        <f>IF(B3403="","",股指期货基差分析!$N$11)</f>
        <v/>
      </c>
      <c r="H3403" s="5" t="str">
        <f>IF(B3403="","",股指期货基差分析!$L$11)</f>
        <v/>
      </c>
      <c r="I3403" s="9" t="str">
        <f>IF(B3403="","",股指期货基差分析!$D$11)</f>
        <v/>
      </c>
    </row>
    <row r="3404" spans="2:9" ht="15" customHeight="1" x14ac:dyDescent="0.2">
      <c r="B3404" s="7"/>
      <c r="C3404" s="5" t="str">
        <f>IF(B3404="","",[1]!s_dq_close(股指期货基差分析!$E$5,$B3404))</f>
        <v/>
      </c>
      <c r="D3404" s="5" t="str">
        <f>IF(B3404="","",[1]!s_dq_close(股指期货基差分析!$E$6,$B3404))</f>
        <v/>
      </c>
      <c r="E3404" s="4" t="e">
        <f ca="1">RANK(F3404,F:F)+COUNTIF(F$2:F3404,F3404)-1</f>
        <v>#VALUE!</v>
      </c>
      <c r="F3404" s="5" t="str">
        <f t="shared" si="54"/>
        <v/>
      </c>
      <c r="G3404" s="5" t="str">
        <f>IF(B3404="","",股指期货基差分析!$N$11)</f>
        <v/>
      </c>
      <c r="H3404" s="5" t="str">
        <f>IF(B3404="","",股指期货基差分析!$L$11)</f>
        <v/>
      </c>
      <c r="I3404" s="9" t="str">
        <f>IF(B3404="","",股指期货基差分析!$D$11)</f>
        <v/>
      </c>
    </row>
    <row r="3405" spans="2:9" ht="15" customHeight="1" x14ac:dyDescent="0.2">
      <c r="B3405" s="7"/>
      <c r="C3405" s="5" t="str">
        <f>IF(B3405="","",[1]!s_dq_close(股指期货基差分析!$E$5,$B3405))</f>
        <v/>
      </c>
      <c r="D3405" s="5" t="str">
        <f>IF(B3405="","",[1]!s_dq_close(股指期货基差分析!$E$6,$B3405))</f>
        <v/>
      </c>
      <c r="E3405" s="4" t="e">
        <f ca="1">RANK(F3405,F:F)+COUNTIF(F$2:F3405,F3405)-1</f>
        <v>#VALUE!</v>
      </c>
      <c r="F3405" s="5" t="str">
        <f t="shared" si="54"/>
        <v/>
      </c>
      <c r="G3405" s="5" t="str">
        <f>IF(B3405="","",股指期货基差分析!$N$11)</f>
        <v/>
      </c>
      <c r="H3405" s="5" t="str">
        <f>IF(B3405="","",股指期货基差分析!$L$11)</f>
        <v/>
      </c>
      <c r="I3405" s="9" t="str">
        <f>IF(B3405="","",股指期货基差分析!$D$11)</f>
        <v/>
      </c>
    </row>
    <row r="3406" spans="2:9" ht="15" customHeight="1" x14ac:dyDescent="0.2">
      <c r="B3406" s="7"/>
      <c r="C3406" s="5" t="str">
        <f>IF(B3406="","",[1]!s_dq_close(股指期货基差分析!$E$5,$B3406))</f>
        <v/>
      </c>
      <c r="D3406" s="5" t="str">
        <f>IF(B3406="","",[1]!s_dq_close(股指期货基差分析!$E$6,$B3406))</f>
        <v/>
      </c>
      <c r="E3406" s="4" t="e">
        <f ca="1">RANK(F3406,F:F)+COUNTIF(F$2:F3406,F3406)-1</f>
        <v>#VALUE!</v>
      </c>
      <c r="F3406" s="5" t="str">
        <f t="shared" si="54"/>
        <v/>
      </c>
      <c r="G3406" s="5" t="str">
        <f>IF(B3406="","",股指期货基差分析!$N$11)</f>
        <v/>
      </c>
      <c r="H3406" s="5" t="str">
        <f>IF(B3406="","",股指期货基差分析!$L$11)</f>
        <v/>
      </c>
      <c r="I3406" s="9" t="str">
        <f>IF(B3406="","",股指期货基差分析!$D$11)</f>
        <v/>
      </c>
    </row>
    <row r="3407" spans="2:9" ht="15" customHeight="1" x14ac:dyDescent="0.2">
      <c r="B3407" s="7"/>
      <c r="C3407" s="5" t="str">
        <f>IF(B3407="","",[1]!s_dq_close(股指期货基差分析!$E$5,$B3407))</f>
        <v/>
      </c>
      <c r="D3407" s="5" t="str">
        <f>IF(B3407="","",[1]!s_dq_close(股指期货基差分析!$E$6,$B3407))</f>
        <v/>
      </c>
      <c r="E3407" s="4" t="e">
        <f ca="1">RANK(F3407,F:F)+COUNTIF(F$2:F3407,F3407)-1</f>
        <v>#VALUE!</v>
      </c>
      <c r="F3407" s="5" t="str">
        <f t="shared" si="54"/>
        <v/>
      </c>
      <c r="G3407" s="5" t="str">
        <f>IF(B3407="","",股指期货基差分析!$N$11)</f>
        <v/>
      </c>
      <c r="H3407" s="5" t="str">
        <f>IF(B3407="","",股指期货基差分析!$L$11)</f>
        <v/>
      </c>
      <c r="I3407" s="9" t="str">
        <f>IF(B3407="","",股指期货基差分析!$D$11)</f>
        <v/>
      </c>
    </row>
    <row r="3408" spans="2:9" ht="15" customHeight="1" x14ac:dyDescent="0.2">
      <c r="B3408" s="7"/>
      <c r="C3408" s="5" t="str">
        <f>IF(B3408="","",[1]!s_dq_close(股指期货基差分析!$E$5,$B3408))</f>
        <v/>
      </c>
      <c r="D3408" s="5" t="str">
        <f>IF(B3408="","",[1]!s_dq_close(股指期货基差分析!$E$6,$B3408))</f>
        <v/>
      </c>
      <c r="E3408" s="4" t="e">
        <f ca="1">RANK(F3408,F:F)+COUNTIF(F$2:F3408,F3408)-1</f>
        <v>#VALUE!</v>
      </c>
      <c r="F3408" s="5" t="str">
        <f t="shared" si="54"/>
        <v/>
      </c>
      <c r="G3408" s="5" t="str">
        <f>IF(B3408="","",股指期货基差分析!$N$11)</f>
        <v/>
      </c>
      <c r="H3408" s="5" t="str">
        <f>IF(B3408="","",股指期货基差分析!$L$11)</f>
        <v/>
      </c>
      <c r="I3408" s="9" t="str">
        <f>IF(B3408="","",股指期货基差分析!$D$11)</f>
        <v/>
      </c>
    </row>
    <row r="3409" spans="2:9" ht="15" customHeight="1" x14ac:dyDescent="0.2">
      <c r="B3409" s="7"/>
      <c r="C3409" s="5" t="str">
        <f>IF(B3409="","",[1]!s_dq_close(股指期货基差分析!$E$5,$B3409))</f>
        <v/>
      </c>
      <c r="D3409" s="5" t="str">
        <f>IF(B3409="","",[1]!s_dq_close(股指期货基差分析!$E$6,$B3409))</f>
        <v/>
      </c>
      <c r="E3409" s="4" t="e">
        <f ca="1">RANK(F3409,F:F)+COUNTIF(F$2:F3409,F3409)-1</f>
        <v>#VALUE!</v>
      </c>
      <c r="F3409" s="5" t="str">
        <f t="shared" si="54"/>
        <v/>
      </c>
      <c r="G3409" s="5" t="str">
        <f>IF(B3409="","",股指期货基差分析!$N$11)</f>
        <v/>
      </c>
      <c r="H3409" s="5" t="str">
        <f>IF(B3409="","",股指期货基差分析!$L$11)</f>
        <v/>
      </c>
      <c r="I3409" s="9" t="str">
        <f>IF(B3409="","",股指期货基差分析!$D$11)</f>
        <v/>
      </c>
    </row>
    <row r="3410" spans="2:9" ht="15" customHeight="1" x14ac:dyDescent="0.2">
      <c r="B3410" s="7"/>
      <c r="C3410" s="5" t="str">
        <f>IF(B3410="","",[1]!s_dq_close(股指期货基差分析!$E$5,$B3410))</f>
        <v/>
      </c>
      <c r="D3410" s="5" t="str">
        <f>IF(B3410="","",[1]!s_dq_close(股指期货基差分析!$E$6,$B3410))</f>
        <v/>
      </c>
      <c r="E3410" s="4" t="e">
        <f ca="1">RANK(F3410,F:F)+COUNTIF(F$2:F3410,F3410)-1</f>
        <v>#VALUE!</v>
      </c>
      <c r="F3410" s="5" t="str">
        <f t="shared" si="54"/>
        <v/>
      </c>
      <c r="G3410" s="5" t="str">
        <f>IF(B3410="","",股指期货基差分析!$N$11)</f>
        <v/>
      </c>
      <c r="H3410" s="5" t="str">
        <f>IF(B3410="","",股指期货基差分析!$L$11)</f>
        <v/>
      </c>
      <c r="I3410" s="9" t="str">
        <f>IF(B3410="","",股指期货基差分析!$D$11)</f>
        <v/>
      </c>
    </row>
    <row r="3411" spans="2:9" ht="15" customHeight="1" x14ac:dyDescent="0.2">
      <c r="B3411" s="7"/>
      <c r="C3411" s="5" t="str">
        <f>IF(B3411="","",[1]!s_dq_close(股指期货基差分析!$E$5,$B3411))</f>
        <v/>
      </c>
      <c r="D3411" s="5" t="str">
        <f>IF(B3411="","",[1]!s_dq_close(股指期货基差分析!$E$6,$B3411))</f>
        <v/>
      </c>
      <c r="E3411" s="4" t="e">
        <f ca="1">RANK(F3411,F:F)+COUNTIF(F$2:F3411,F3411)-1</f>
        <v>#VALUE!</v>
      </c>
      <c r="F3411" s="5" t="str">
        <f t="shared" si="54"/>
        <v/>
      </c>
      <c r="G3411" s="5" t="str">
        <f>IF(B3411="","",股指期货基差分析!$N$11)</f>
        <v/>
      </c>
      <c r="H3411" s="5" t="str">
        <f>IF(B3411="","",股指期货基差分析!$L$11)</f>
        <v/>
      </c>
      <c r="I3411" s="9" t="str">
        <f>IF(B3411="","",股指期货基差分析!$D$11)</f>
        <v/>
      </c>
    </row>
    <row r="3412" spans="2:9" ht="15" customHeight="1" x14ac:dyDescent="0.2">
      <c r="B3412" s="7"/>
      <c r="C3412" s="5" t="str">
        <f>IF(B3412="","",[1]!s_dq_close(股指期货基差分析!$E$5,$B3412))</f>
        <v/>
      </c>
      <c r="D3412" s="5" t="str">
        <f>IF(B3412="","",[1]!s_dq_close(股指期货基差分析!$E$6,$B3412))</f>
        <v/>
      </c>
      <c r="E3412" s="4" t="e">
        <f ca="1">RANK(F3412,F:F)+COUNTIF(F$2:F3412,F3412)-1</f>
        <v>#VALUE!</v>
      </c>
      <c r="F3412" s="5" t="str">
        <f t="shared" si="54"/>
        <v/>
      </c>
      <c r="G3412" s="5" t="str">
        <f>IF(B3412="","",股指期货基差分析!$N$11)</f>
        <v/>
      </c>
      <c r="H3412" s="5" t="str">
        <f>IF(B3412="","",股指期货基差分析!$L$11)</f>
        <v/>
      </c>
      <c r="I3412" s="9" t="str">
        <f>IF(B3412="","",股指期货基差分析!$D$11)</f>
        <v/>
      </c>
    </row>
    <row r="3413" spans="2:9" ht="15" customHeight="1" x14ac:dyDescent="0.2">
      <c r="B3413" s="7"/>
      <c r="C3413" s="5" t="str">
        <f>IF(B3413="","",[1]!s_dq_close(股指期货基差分析!$E$5,$B3413))</f>
        <v/>
      </c>
      <c r="D3413" s="5" t="str">
        <f>IF(B3413="","",[1]!s_dq_close(股指期货基差分析!$E$6,$B3413))</f>
        <v/>
      </c>
      <c r="E3413" s="4" t="e">
        <f ca="1">RANK(F3413,F:F)+COUNTIF(F$2:F3413,F3413)-1</f>
        <v>#VALUE!</v>
      </c>
      <c r="F3413" s="5" t="str">
        <f t="shared" si="54"/>
        <v/>
      </c>
      <c r="G3413" s="5" t="str">
        <f>IF(B3413="","",股指期货基差分析!$N$11)</f>
        <v/>
      </c>
      <c r="H3413" s="5" t="str">
        <f>IF(B3413="","",股指期货基差分析!$L$11)</f>
        <v/>
      </c>
      <c r="I3413" s="9" t="str">
        <f>IF(B3413="","",股指期货基差分析!$D$11)</f>
        <v/>
      </c>
    </row>
    <row r="3414" spans="2:9" ht="15" customHeight="1" x14ac:dyDescent="0.2">
      <c r="B3414" s="7"/>
      <c r="C3414" s="5" t="str">
        <f>IF(B3414="","",[1]!s_dq_close(股指期货基差分析!$E$5,$B3414))</f>
        <v/>
      </c>
      <c r="D3414" s="5" t="str">
        <f>IF(B3414="","",[1]!s_dq_close(股指期货基差分析!$E$6,$B3414))</f>
        <v/>
      </c>
      <c r="E3414" s="4" t="e">
        <f ca="1">RANK(F3414,F:F)+COUNTIF(F$2:F3414,F3414)-1</f>
        <v>#VALUE!</v>
      </c>
      <c r="F3414" s="5" t="str">
        <f t="shared" si="54"/>
        <v/>
      </c>
      <c r="G3414" s="5" t="str">
        <f>IF(B3414="","",股指期货基差分析!$N$11)</f>
        <v/>
      </c>
      <c r="H3414" s="5" t="str">
        <f>IF(B3414="","",股指期货基差分析!$L$11)</f>
        <v/>
      </c>
      <c r="I3414" s="9" t="str">
        <f>IF(B3414="","",股指期货基差分析!$D$11)</f>
        <v/>
      </c>
    </row>
    <row r="3415" spans="2:9" ht="15" customHeight="1" x14ac:dyDescent="0.2">
      <c r="B3415" s="7"/>
      <c r="C3415" s="5" t="str">
        <f>IF(B3415="","",[1]!s_dq_close(股指期货基差分析!$E$5,$B3415))</f>
        <v/>
      </c>
      <c r="D3415" s="5" t="str">
        <f>IF(B3415="","",[1]!s_dq_close(股指期货基差分析!$E$6,$B3415))</f>
        <v/>
      </c>
      <c r="E3415" s="4" t="e">
        <f ca="1">RANK(F3415,F:F)+COUNTIF(F$2:F3415,F3415)-1</f>
        <v>#VALUE!</v>
      </c>
      <c r="F3415" s="5" t="str">
        <f t="shared" si="54"/>
        <v/>
      </c>
      <c r="G3415" s="5" t="str">
        <f>IF(B3415="","",股指期货基差分析!$N$11)</f>
        <v/>
      </c>
      <c r="H3415" s="5" t="str">
        <f>IF(B3415="","",股指期货基差分析!$L$11)</f>
        <v/>
      </c>
      <c r="I3415" s="9" t="str">
        <f>IF(B3415="","",股指期货基差分析!$D$11)</f>
        <v/>
      </c>
    </row>
    <row r="3416" spans="2:9" ht="15" customHeight="1" x14ac:dyDescent="0.2">
      <c r="B3416" s="7"/>
      <c r="C3416" s="5" t="str">
        <f>IF(B3416="","",[1]!s_dq_close(股指期货基差分析!$E$5,$B3416))</f>
        <v/>
      </c>
      <c r="D3416" s="5" t="str">
        <f>IF(B3416="","",[1]!s_dq_close(股指期货基差分析!$E$6,$B3416))</f>
        <v/>
      </c>
      <c r="E3416" s="4" t="e">
        <f ca="1">RANK(F3416,F:F)+COUNTIF(F$2:F3416,F3416)-1</f>
        <v>#VALUE!</v>
      </c>
      <c r="F3416" s="5" t="str">
        <f t="shared" si="54"/>
        <v/>
      </c>
      <c r="G3416" s="5" t="str">
        <f>IF(B3416="","",股指期货基差分析!$N$11)</f>
        <v/>
      </c>
      <c r="H3416" s="5" t="str">
        <f>IF(B3416="","",股指期货基差分析!$L$11)</f>
        <v/>
      </c>
      <c r="I3416" s="9" t="str">
        <f>IF(B3416="","",股指期货基差分析!$D$11)</f>
        <v/>
      </c>
    </row>
    <row r="3417" spans="2:9" ht="15" customHeight="1" x14ac:dyDescent="0.2">
      <c r="B3417" s="7"/>
      <c r="C3417" s="5" t="str">
        <f>IF(B3417="","",[1]!s_dq_close(股指期货基差分析!$E$5,$B3417))</f>
        <v/>
      </c>
      <c r="D3417" s="5" t="str">
        <f>IF(B3417="","",[1]!s_dq_close(股指期货基差分析!$E$6,$B3417))</f>
        <v/>
      </c>
      <c r="E3417" s="4" t="e">
        <f ca="1">RANK(F3417,F:F)+COUNTIF(F$2:F3417,F3417)-1</f>
        <v>#VALUE!</v>
      </c>
      <c r="F3417" s="5" t="str">
        <f t="shared" si="54"/>
        <v/>
      </c>
      <c r="G3417" s="5" t="str">
        <f>IF(B3417="","",股指期货基差分析!$N$11)</f>
        <v/>
      </c>
      <c r="H3417" s="5" t="str">
        <f>IF(B3417="","",股指期货基差分析!$L$11)</f>
        <v/>
      </c>
      <c r="I3417" s="9" t="str">
        <f>IF(B3417="","",股指期货基差分析!$D$11)</f>
        <v/>
      </c>
    </row>
    <row r="3418" spans="2:9" ht="15" customHeight="1" x14ac:dyDescent="0.2">
      <c r="B3418" s="7"/>
      <c r="C3418" s="5" t="str">
        <f>IF(B3418="","",[1]!s_dq_close(股指期货基差分析!$E$5,$B3418))</f>
        <v/>
      </c>
      <c r="D3418" s="5" t="str">
        <f>IF(B3418="","",[1]!s_dq_close(股指期货基差分析!$E$6,$B3418))</f>
        <v/>
      </c>
      <c r="E3418" s="4" t="e">
        <f ca="1">RANK(F3418,F:F)+COUNTIF(F$2:F3418,F3418)-1</f>
        <v>#VALUE!</v>
      </c>
      <c r="F3418" s="5" t="str">
        <f t="shared" si="54"/>
        <v/>
      </c>
      <c r="G3418" s="5" t="str">
        <f>IF(B3418="","",股指期货基差分析!$N$11)</f>
        <v/>
      </c>
      <c r="H3418" s="5" t="str">
        <f>IF(B3418="","",股指期货基差分析!$L$11)</f>
        <v/>
      </c>
      <c r="I3418" s="9" t="str">
        <f>IF(B3418="","",股指期货基差分析!$D$11)</f>
        <v/>
      </c>
    </row>
    <row r="3419" spans="2:9" ht="15" customHeight="1" x14ac:dyDescent="0.2">
      <c r="B3419" s="7"/>
      <c r="C3419" s="5" t="str">
        <f>IF(B3419="","",[1]!s_dq_close(股指期货基差分析!$E$5,$B3419))</f>
        <v/>
      </c>
      <c r="D3419" s="5" t="str">
        <f>IF(B3419="","",[1]!s_dq_close(股指期货基差分析!$E$6,$B3419))</f>
        <v/>
      </c>
      <c r="E3419" s="4" t="e">
        <f ca="1">RANK(F3419,F:F)+COUNTIF(F$2:F3419,F3419)-1</f>
        <v>#VALUE!</v>
      </c>
      <c r="F3419" s="5" t="str">
        <f t="shared" si="54"/>
        <v/>
      </c>
      <c r="G3419" s="5" t="str">
        <f>IF(B3419="","",股指期货基差分析!$N$11)</f>
        <v/>
      </c>
      <c r="H3419" s="5" t="str">
        <f>IF(B3419="","",股指期货基差分析!$L$11)</f>
        <v/>
      </c>
      <c r="I3419" s="9" t="str">
        <f>IF(B3419="","",股指期货基差分析!$D$11)</f>
        <v/>
      </c>
    </row>
    <row r="3420" spans="2:9" ht="15" customHeight="1" x14ac:dyDescent="0.2">
      <c r="B3420" s="7"/>
      <c r="C3420" s="5" t="str">
        <f>IF(B3420="","",[1]!s_dq_close(股指期货基差分析!$E$5,$B3420))</f>
        <v/>
      </c>
      <c r="D3420" s="5" t="str">
        <f>IF(B3420="","",[1]!s_dq_close(股指期货基差分析!$E$6,$B3420))</f>
        <v/>
      </c>
      <c r="E3420" s="4" t="e">
        <f ca="1">RANK(F3420,F:F)+COUNTIF(F$2:F3420,F3420)-1</f>
        <v>#VALUE!</v>
      </c>
      <c r="F3420" s="5" t="str">
        <f t="shared" si="54"/>
        <v/>
      </c>
      <c r="G3420" s="5" t="str">
        <f>IF(B3420="","",股指期货基差分析!$N$11)</f>
        <v/>
      </c>
      <c r="H3420" s="5" t="str">
        <f>IF(B3420="","",股指期货基差分析!$L$11)</f>
        <v/>
      </c>
      <c r="I3420" s="9" t="str">
        <f>IF(B3420="","",股指期货基差分析!$D$11)</f>
        <v/>
      </c>
    </row>
    <row r="3421" spans="2:9" ht="15" customHeight="1" x14ac:dyDescent="0.2">
      <c r="B3421" s="7"/>
      <c r="C3421" s="5" t="str">
        <f>IF(B3421="","",[1]!s_dq_close(股指期货基差分析!$E$5,$B3421))</f>
        <v/>
      </c>
      <c r="D3421" s="5" t="str">
        <f>IF(B3421="","",[1]!s_dq_close(股指期货基差分析!$E$6,$B3421))</f>
        <v/>
      </c>
      <c r="E3421" s="4" t="e">
        <f ca="1">RANK(F3421,F:F)+COUNTIF(F$2:F3421,F3421)-1</f>
        <v>#VALUE!</v>
      </c>
      <c r="F3421" s="5" t="str">
        <f t="shared" si="54"/>
        <v/>
      </c>
      <c r="G3421" s="5" t="str">
        <f>IF(B3421="","",股指期货基差分析!$N$11)</f>
        <v/>
      </c>
      <c r="H3421" s="5" t="str">
        <f>IF(B3421="","",股指期货基差分析!$L$11)</f>
        <v/>
      </c>
      <c r="I3421" s="9" t="str">
        <f>IF(B3421="","",股指期货基差分析!$D$11)</f>
        <v/>
      </c>
    </row>
    <row r="3422" spans="2:9" ht="15" customHeight="1" x14ac:dyDescent="0.2">
      <c r="B3422" s="7"/>
      <c r="C3422" s="5" t="str">
        <f>IF(B3422="","",[1]!s_dq_close(股指期货基差分析!$E$5,$B3422))</f>
        <v/>
      </c>
      <c r="D3422" s="5" t="str">
        <f>IF(B3422="","",[1]!s_dq_close(股指期货基差分析!$E$6,$B3422))</f>
        <v/>
      </c>
      <c r="E3422" s="4" t="e">
        <f ca="1">RANK(F3422,F:F)+COUNTIF(F$2:F3422,F3422)-1</f>
        <v>#VALUE!</v>
      </c>
      <c r="F3422" s="5" t="str">
        <f t="shared" si="54"/>
        <v/>
      </c>
      <c r="G3422" s="5" t="str">
        <f>IF(B3422="","",股指期货基差分析!$N$11)</f>
        <v/>
      </c>
      <c r="H3422" s="5" t="str">
        <f>IF(B3422="","",股指期货基差分析!$L$11)</f>
        <v/>
      </c>
      <c r="I3422" s="9" t="str">
        <f>IF(B3422="","",股指期货基差分析!$D$11)</f>
        <v/>
      </c>
    </row>
    <row r="3423" spans="2:9" ht="15" customHeight="1" x14ac:dyDescent="0.2">
      <c r="B3423" s="7"/>
      <c r="C3423" s="5" t="str">
        <f>IF(B3423="","",[1]!s_dq_close(股指期货基差分析!$E$5,$B3423))</f>
        <v/>
      </c>
      <c r="D3423" s="5" t="str">
        <f>IF(B3423="","",[1]!s_dq_close(股指期货基差分析!$E$6,$B3423))</f>
        <v/>
      </c>
      <c r="E3423" s="4" t="e">
        <f ca="1">RANK(F3423,F:F)+COUNTIF(F$2:F3423,F3423)-1</f>
        <v>#VALUE!</v>
      </c>
      <c r="F3423" s="5" t="str">
        <f t="shared" si="54"/>
        <v/>
      </c>
      <c r="G3423" s="5" t="str">
        <f>IF(B3423="","",股指期货基差分析!$N$11)</f>
        <v/>
      </c>
      <c r="H3423" s="5" t="str">
        <f>IF(B3423="","",股指期货基差分析!$L$11)</f>
        <v/>
      </c>
      <c r="I3423" s="9" t="str">
        <f>IF(B3423="","",股指期货基差分析!$D$11)</f>
        <v/>
      </c>
    </row>
    <row r="3424" spans="2:9" ht="15" customHeight="1" x14ac:dyDescent="0.2">
      <c r="B3424" s="7"/>
      <c r="C3424" s="5" t="str">
        <f>IF(B3424="","",[1]!s_dq_close(股指期货基差分析!$E$5,$B3424))</f>
        <v/>
      </c>
      <c r="D3424" s="5" t="str">
        <f>IF(B3424="","",[1]!s_dq_close(股指期货基差分析!$E$6,$B3424))</f>
        <v/>
      </c>
      <c r="E3424" s="4" t="e">
        <f ca="1">RANK(F3424,F:F)+COUNTIF(F$2:F3424,F3424)-1</f>
        <v>#VALUE!</v>
      </c>
      <c r="F3424" s="5" t="str">
        <f t="shared" si="54"/>
        <v/>
      </c>
      <c r="G3424" s="5" t="str">
        <f>IF(B3424="","",股指期货基差分析!$N$11)</f>
        <v/>
      </c>
      <c r="H3424" s="5" t="str">
        <f>IF(B3424="","",股指期货基差分析!$L$11)</f>
        <v/>
      </c>
      <c r="I3424" s="9" t="str">
        <f>IF(B3424="","",股指期货基差分析!$D$11)</f>
        <v/>
      </c>
    </row>
    <row r="3425" spans="2:9" ht="15" customHeight="1" x14ac:dyDescent="0.2">
      <c r="B3425" s="7"/>
      <c r="C3425" s="5" t="str">
        <f>IF(B3425="","",[1]!s_dq_close(股指期货基差分析!$E$5,$B3425))</f>
        <v/>
      </c>
      <c r="D3425" s="5" t="str">
        <f>IF(B3425="","",[1]!s_dq_close(股指期货基差分析!$E$6,$B3425))</f>
        <v/>
      </c>
      <c r="E3425" s="4" t="e">
        <f ca="1">RANK(F3425,F:F)+COUNTIF(F$2:F3425,F3425)-1</f>
        <v>#VALUE!</v>
      </c>
      <c r="F3425" s="5" t="str">
        <f t="shared" si="54"/>
        <v/>
      </c>
      <c r="G3425" s="5" t="str">
        <f>IF(B3425="","",股指期货基差分析!$N$11)</f>
        <v/>
      </c>
      <c r="H3425" s="5" t="str">
        <f>IF(B3425="","",股指期货基差分析!$L$11)</f>
        <v/>
      </c>
      <c r="I3425" s="9" t="str">
        <f>IF(B3425="","",股指期货基差分析!$D$11)</f>
        <v/>
      </c>
    </row>
    <row r="3426" spans="2:9" ht="15" customHeight="1" x14ac:dyDescent="0.2">
      <c r="B3426" s="7"/>
      <c r="C3426" s="5" t="str">
        <f>IF(B3426="","",[1]!s_dq_close(股指期货基差分析!$E$5,$B3426))</f>
        <v/>
      </c>
      <c r="D3426" s="5" t="str">
        <f>IF(B3426="","",[1]!s_dq_close(股指期货基差分析!$E$6,$B3426))</f>
        <v/>
      </c>
      <c r="E3426" s="4" t="e">
        <f ca="1">RANK(F3426,F:F)+COUNTIF(F$2:F3426,F3426)-1</f>
        <v>#VALUE!</v>
      </c>
      <c r="F3426" s="5" t="str">
        <f t="shared" si="54"/>
        <v/>
      </c>
      <c r="G3426" s="5" t="str">
        <f>IF(B3426="","",股指期货基差分析!$N$11)</f>
        <v/>
      </c>
      <c r="H3426" s="5" t="str">
        <f>IF(B3426="","",股指期货基差分析!$L$11)</f>
        <v/>
      </c>
      <c r="I3426" s="9" t="str">
        <f>IF(B3426="","",股指期货基差分析!$D$11)</f>
        <v/>
      </c>
    </row>
    <row r="3427" spans="2:9" ht="15" customHeight="1" x14ac:dyDescent="0.2">
      <c r="B3427" s="7"/>
      <c r="C3427" s="5" t="str">
        <f>IF(B3427="","",[1]!s_dq_close(股指期货基差分析!$E$5,$B3427))</f>
        <v/>
      </c>
      <c r="D3427" s="5" t="str">
        <f>IF(B3427="","",[1]!s_dq_close(股指期货基差分析!$E$6,$B3427))</f>
        <v/>
      </c>
      <c r="E3427" s="4" t="e">
        <f ca="1">RANK(F3427,F:F)+COUNTIF(F$2:F3427,F3427)-1</f>
        <v>#VALUE!</v>
      </c>
      <c r="F3427" s="5" t="str">
        <f t="shared" si="54"/>
        <v/>
      </c>
      <c r="G3427" s="5" t="str">
        <f>IF(B3427="","",股指期货基差分析!$N$11)</f>
        <v/>
      </c>
      <c r="H3427" s="5" t="str">
        <f>IF(B3427="","",股指期货基差分析!$L$11)</f>
        <v/>
      </c>
      <c r="I3427" s="9" t="str">
        <f>IF(B3427="","",股指期货基差分析!$D$11)</f>
        <v/>
      </c>
    </row>
    <row r="3428" spans="2:9" ht="15" customHeight="1" x14ac:dyDescent="0.2">
      <c r="B3428" s="7"/>
      <c r="C3428" s="5" t="str">
        <f>IF(B3428="","",[1]!s_dq_close(股指期货基差分析!$E$5,$B3428))</f>
        <v/>
      </c>
      <c r="D3428" s="5" t="str">
        <f>IF(B3428="","",[1]!s_dq_close(股指期货基差分析!$E$6,$B3428))</f>
        <v/>
      </c>
      <c r="E3428" s="4" t="e">
        <f ca="1">RANK(F3428,F:F)+COUNTIF(F$2:F3428,F3428)-1</f>
        <v>#VALUE!</v>
      </c>
      <c r="F3428" s="5" t="str">
        <f t="shared" si="54"/>
        <v/>
      </c>
      <c r="G3428" s="5" t="str">
        <f>IF(B3428="","",股指期货基差分析!$N$11)</f>
        <v/>
      </c>
      <c r="H3428" s="5" t="str">
        <f>IF(B3428="","",股指期货基差分析!$L$11)</f>
        <v/>
      </c>
      <c r="I3428" s="9" t="str">
        <f>IF(B3428="","",股指期货基差分析!$D$11)</f>
        <v/>
      </c>
    </row>
    <row r="3429" spans="2:9" ht="15" customHeight="1" x14ac:dyDescent="0.2">
      <c r="B3429" s="7"/>
      <c r="C3429" s="5" t="str">
        <f>IF(B3429="","",[1]!s_dq_close(股指期货基差分析!$E$5,$B3429))</f>
        <v/>
      </c>
      <c r="D3429" s="5" t="str">
        <f>IF(B3429="","",[1]!s_dq_close(股指期货基差分析!$E$6,$B3429))</f>
        <v/>
      </c>
      <c r="E3429" s="4" t="e">
        <f ca="1">RANK(F3429,F:F)+COUNTIF(F$2:F3429,F3429)-1</f>
        <v>#VALUE!</v>
      </c>
      <c r="F3429" s="5" t="str">
        <f t="shared" si="54"/>
        <v/>
      </c>
      <c r="G3429" s="5" t="str">
        <f>IF(B3429="","",股指期货基差分析!$N$11)</f>
        <v/>
      </c>
      <c r="H3429" s="5" t="str">
        <f>IF(B3429="","",股指期货基差分析!$L$11)</f>
        <v/>
      </c>
      <c r="I3429" s="9" t="str">
        <f>IF(B3429="","",股指期货基差分析!$D$11)</f>
        <v/>
      </c>
    </row>
    <row r="3430" spans="2:9" ht="15" customHeight="1" x14ac:dyDescent="0.2">
      <c r="B3430" s="7"/>
      <c r="C3430" s="5" t="str">
        <f>IF(B3430="","",[1]!s_dq_close(股指期货基差分析!$E$5,$B3430))</f>
        <v/>
      </c>
      <c r="D3430" s="5" t="str">
        <f>IF(B3430="","",[1]!s_dq_close(股指期货基差分析!$E$6,$B3430))</f>
        <v/>
      </c>
      <c r="E3430" s="4" t="e">
        <f ca="1">RANK(F3430,F:F)+COUNTIF(F$2:F3430,F3430)-1</f>
        <v>#VALUE!</v>
      </c>
      <c r="F3430" s="5" t="str">
        <f t="shared" si="54"/>
        <v/>
      </c>
      <c r="G3430" s="5" t="str">
        <f>IF(B3430="","",股指期货基差分析!$N$11)</f>
        <v/>
      </c>
      <c r="H3430" s="5" t="str">
        <f>IF(B3430="","",股指期货基差分析!$L$11)</f>
        <v/>
      </c>
      <c r="I3430" s="9" t="str">
        <f>IF(B3430="","",股指期货基差分析!$D$11)</f>
        <v/>
      </c>
    </row>
    <row r="3431" spans="2:9" ht="15" customHeight="1" x14ac:dyDescent="0.2">
      <c r="B3431" s="7"/>
      <c r="C3431" s="5" t="str">
        <f>IF(B3431="","",[1]!s_dq_close(股指期货基差分析!$E$5,$B3431))</f>
        <v/>
      </c>
      <c r="D3431" s="5" t="str">
        <f>IF(B3431="","",[1]!s_dq_close(股指期货基差分析!$E$6,$B3431))</f>
        <v/>
      </c>
      <c r="E3431" s="4" t="e">
        <f ca="1">RANK(F3431,F:F)+COUNTIF(F$2:F3431,F3431)-1</f>
        <v>#VALUE!</v>
      </c>
      <c r="F3431" s="5" t="str">
        <f t="shared" si="54"/>
        <v/>
      </c>
      <c r="G3431" s="5" t="str">
        <f>IF(B3431="","",股指期货基差分析!$N$11)</f>
        <v/>
      </c>
      <c r="H3431" s="5" t="str">
        <f>IF(B3431="","",股指期货基差分析!$L$11)</f>
        <v/>
      </c>
      <c r="I3431" s="9" t="str">
        <f>IF(B3431="","",股指期货基差分析!$D$11)</f>
        <v/>
      </c>
    </row>
    <row r="3432" spans="2:9" ht="15" customHeight="1" x14ac:dyDescent="0.2">
      <c r="B3432" s="7"/>
      <c r="C3432" s="5" t="str">
        <f>IF(B3432="","",[1]!s_dq_close(股指期货基差分析!$E$5,$B3432))</f>
        <v/>
      </c>
      <c r="D3432" s="5" t="str">
        <f>IF(B3432="","",[1]!s_dq_close(股指期货基差分析!$E$6,$B3432))</f>
        <v/>
      </c>
      <c r="E3432" s="4" t="e">
        <f ca="1">RANK(F3432,F:F)+COUNTIF(F$2:F3432,F3432)-1</f>
        <v>#VALUE!</v>
      </c>
      <c r="F3432" s="5" t="str">
        <f t="shared" si="54"/>
        <v/>
      </c>
      <c r="G3432" s="5" t="str">
        <f>IF(B3432="","",股指期货基差分析!$N$11)</f>
        <v/>
      </c>
      <c r="H3432" s="5" t="str">
        <f>IF(B3432="","",股指期货基差分析!$L$11)</f>
        <v/>
      </c>
      <c r="I3432" s="9" t="str">
        <f>IF(B3432="","",股指期货基差分析!$D$11)</f>
        <v/>
      </c>
    </row>
    <row r="3433" spans="2:9" ht="15" customHeight="1" x14ac:dyDescent="0.2">
      <c r="B3433" s="7"/>
      <c r="C3433" s="5" t="str">
        <f>IF(B3433="","",[1]!s_dq_close(股指期货基差分析!$E$5,$B3433))</f>
        <v/>
      </c>
      <c r="D3433" s="5" t="str">
        <f>IF(B3433="","",[1]!s_dq_close(股指期货基差分析!$E$6,$B3433))</f>
        <v/>
      </c>
      <c r="E3433" s="4" t="e">
        <f ca="1">RANK(F3433,F:F)+COUNTIF(F$2:F3433,F3433)-1</f>
        <v>#VALUE!</v>
      </c>
      <c r="F3433" s="5" t="str">
        <f t="shared" si="54"/>
        <v/>
      </c>
      <c r="G3433" s="5" t="str">
        <f>IF(B3433="","",股指期货基差分析!$N$11)</f>
        <v/>
      </c>
      <c r="H3433" s="5" t="str">
        <f>IF(B3433="","",股指期货基差分析!$L$11)</f>
        <v/>
      </c>
      <c r="I3433" s="9" t="str">
        <f>IF(B3433="","",股指期货基差分析!$D$11)</f>
        <v/>
      </c>
    </row>
    <row r="3434" spans="2:9" ht="15" customHeight="1" x14ac:dyDescent="0.2">
      <c r="B3434" s="7"/>
      <c r="C3434" s="5" t="str">
        <f>IF(B3434="","",[1]!s_dq_close(股指期货基差分析!$E$5,$B3434))</f>
        <v/>
      </c>
      <c r="D3434" s="5" t="str">
        <f>IF(B3434="","",[1]!s_dq_close(股指期货基差分析!$E$6,$B3434))</f>
        <v/>
      </c>
      <c r="E3434" s="4" t="e">
        <f ca="1">RANK(F3434,F:F)+COUNTIF(F$2:F3434,F3434)-1</f>
        <v>#VALUE!</v>
      </c>
      <c r="F3434" s="5" t="str">
        <f t="shared" si="54"/>
        <v/>
      </c>
      <c r="G3434" s="5" t="str">
        <f>IF(B3434="","",股指期货基差分析!$N$11)</f>
        <v/>
      </c>
      <c r="H3434" s="5" t="str">
        <f>IF(B3434="","",股指期货基差分析!$L$11)</f>
        <v/>
      </c>
      <c r="I3434" s="9" t="str">
        <f>IF(B3434="","",股指期货基差分析!$D$11)</f>
        <v/>
      </c>
    </row>
    <row r="3435" spans="2:9" ht="15" customHeight="1" x14ac:dyDescent="0.2">
      <c r="B3435" s="7"/>
      <c r="C3435" s="5" t="str">
        <f>IF(B3435="","",[1]!s_dq_close(股指期货基差分析!$E$5,$B3435))</f>
        <v/>
      </c>
      <c r="D3435" s="5" t="str">
        <f>IF(B3435="","",[1]!s_dq_close(股指期货基差分析!$E$6,$B3435))</f>
        <v/>
      </c>
      <c r="E3435" s="4" t="e">
        <f ca="1">RANK(F3435,F:F)+COUNTIF(F$2:F3435,F3435)-1</f>
        <v>#VALUE!</v>
      </c>
      <c r="F3435" s="5" t="str">
        <f t="shared" si="54"/>
        <v/>
      </c>
      <c r="G3435" s="5" t="str">
        <f>IF(B3435="","",股指期货基差分析!$N$11)</f>
        <v/>
      </c>
      <c r="H3435" s="5" t="str">
        <f>IF(B3435="","",股指期货基差分析!$L$11)</f>
        <v/>
      </c>
      <c r="I3435" s="9" t="str">
        <f>IF(B3435="","",股指期货基差分析!$D$11)</f>
        <v/>
      </c>
    </row>
    <row r="3436" spans="2:9" ht="15" customHeight="1" x14ac:dyDescent="0.2">
      <c r="B3436" s="7"/>
      <c r="C3436" s="5" t="str">
        <f>IF(B3436="","",[1]!s_dq_close(股指期货基差分析!$E$5,$B3436))</f>
        <v/>
      </c>
      <c r="D3436" s="5" t="str">
        <f>IF(B3436="","",[1]!s_dq_close(股指期货基差分析!$E$6,$B3436))</f>
        <v/>
      </c>
      <c r="E3436" s="4" t="e">
        <f ca="1">RANK(F3436,F:F)+COUNTIF(F$2:F3436,F3436)-1</f>
        <v>#VALUE!</v>
      </c>
      <c r="F3436" s="5" t="str">
        <f t="shared" si="54"/>
        <v/>
      </c>
      <c r="G3436" s="5" t="str">
        <f>IF(B3436="","",股指期货基差分析!$N$11)</f>
        <v/>
      </c>
      <c r="H3436" s="5" t="str">
        <f>IF(B3436="","",股指期货基差分析!$L$11)</f>
        <v/>
      </c>
      <c r="I3436" s="9" t="str">
        <f>IF(B3436="","",股指期货基差分析!$D$11)</f>
        <v/>
      </c>
    </row>
    <row r="3437" spans="2:9" ht="15" customHeight="1" x14ac:dyDescent="0.2">
      <c r="B3437" s="7"/>
      <c r="C3437" s="5" t="str">
        <f>IF(B3437="","",[1]!s_dq_close(股指期货基差分析!$E$5,$B3437))</f>
        <v/>
      </c>
      <c r="D3437" s="5" t="str">
        <f>IF(B3437="","",[1]!s_dq_close(股指期货基差分析!$E$6,$B3437))</f>
        <v/>
      </c>
      <c r="E3437" s="4" t="e">
        <f ca="1">RANK(F3437,F:F)+COUNTIF(F$2:F3437,F3437)-1</f>
        <v>#VALUE!</v>
      </c>
      <c r="F3437" s="5" t="str">
        <f t="shared" si="54"/>
        <v/>
      </c>
      <c r="G3437" s="5" t="str">
        <f>IF(B3437="","",股指期货基差分析!$N$11)</f>
        <v/>
      </c>
      <c r="H3437" s="5" t="str">
        <f>IF(B3437="","",股指期货基差分析!$L$11)</f>
        <v/>
      </c>
      <c r="I3437" s="9" t="str">
        <f>IF(B3437="","",股指期货基差分析!$D$11)</f>
        <v/>
      </c>
    </row>
    <row r="3438" spans="2:9" ht="15" customHeight="1" x14ac:dyDescent="0.2">
      <c r="B3438" s="7"/>
      <c r="C3438" s="5" t="str">
        <f>IF(B3438="","",[1]!s_dq_close(股指期货基差分析!$E$5,$B3438))</f>
        <v/>
      </c>
      <c r="D3438" s="5" t="str">
        <f>IF(B3438="","",[1]!s_dq_close(股指期货基差分析!$E$6,$B3438))</f>
        <v/>
      </c>
      <c r="E3438" s="4" t="e">
        <f ca="1">RANK(F3438,F:F)+COUNTIF(F$2:F3438,F3438)-1</f>
        <v>#VALUE!</v>
      </c>
      <c r="F3438" s="5" t="str">
        <f t="shared" si="54"/>
        <v/>
      </c>
      <c r="G3438" s="5" t="str">
        <f>IF(B3438="","",股指期货基差分析!$N$11)</f>
        <v/>
      </c>
      <c r="H3438" s="5" t="str">
        <f>IF(B3438="","",股指期货基差分析!$L$11)</f>
        <v/>
      </c>
      <c r="I3438" s="9" t="str">
        <f>IF(B3438="","",股指期货基差分析!$D$11)</f>
        <v/>
      </c>
    </row>
    <row r="3439" spans="2:9" ht="15" customHeight="1" x14ac:dyDescent="0.2">
      <c r="B3439" s="7"/>
      <c r="C3439" s="5" t="str">
        <f>IF(B3439="","",[1]!s_dq_close(股指期货基差分析!$E$5,$B3439))</f>
        <v/>
      </c>
      <c r="D3439" s="5" t="str">
        <f>IF(B3439="","",[1]!s_dq_close(股指期货基差分析!$E$6,$B3439))</f>
        <v/>
      </c>
      <c r="E3439" s="4" t="e">
        <f ca="1">RANK(F3439,F:F)+COUNTIF(F$2:F3439,F3439)-1</f>
        <v>#VALUE!</v>
      </c>
      <c r="F3439" s="5" t="str">
        <f t="shared" si="54"/>
        <v/>
      </c>
      <c r="G3439" s="5" t="str">
        <f>IF(B3439="","",股指期货基差分析!$N$11)</f>
        <v/>
      </c>
      <c r="H3439" s="5" t="str">
        <f>IF(B3439="","",股指期货基差分析!$L$11)</f>
        <v/>
      </c>
      <c r="I3439" s="9" t="str">
        <f>IF(B3439="","",股指期货基差分析!$D$11)</f>
        <v/>
      </c>
    </row>
    <row r="3440" spans="2:9" ht="15" customHeight="1" x14ac:dyDescent="0.2">
      <c r="B3440" s="7"/>
      <c r="C3440" s="5" t="str">
        <f>IF(B3440="","",[1]!s_dq_close(股指期货基差分析!$E$5,$B3440))</f>
        <v/>
      </c>
      <c r="D3440" s="5" t="str">
        <f>IF(B3440="","",[1]!s_dq_close(股指期货基差分析!$E$6,$B3440))</f>
        <v/>
      </c>
      <c r="E3440" s="4" t="e">
        <f ca="1">RANK(F3440,F:F)+COUNTIF(F$2:F3440,F3440)-1</f>
        <v>#VALUE!</v>
      </c>
      <c r="F3440" s="5" t="str">
        <f t="shared" si="54"/>
        <v/>
      </c>
      <c r="G3440" s="5" t="str">
        <f>IF(B3440="","",股指期货基差分析!$N$11)</f>
        <v/>
      </c>
      <c r="H3440" s="5" t="str">
        <f>IF(B3440="","",股指期货基差分析!$L$11)</f>
        <v/>
      </c>
      <c r="I3440" s="9" t="str">
        <f>IF(B3440="","",股指期货基差分析!$D$11)</f>
        <v/>
      </c>
    </row>
    <row r="3441" spans="2:9" ht="15" customHeight="1" x14ac:dyDescent="0.2">
      <c r="B3441" s="7"/>
      <c r="C3441" s="5" t="str">
        <f>IF(B3441="","",[1]!s_dq_close(股指期货基差分析!$E$5,$B3441))</f>
        <v/>
      </c>
      <c r="D3441" s="5" t="str">
        <f>IF(B3441="","",[1]!s_dq_close(股指期货基差分析!$E$6,$B3441))</f>
        <v/>
      </c>
      <c r="E3441" s="4" t="e">
        <f ca="1">RANK(F3441,F:F)+COUNTIF(F$2:F3441,F3441)-1</f>
        <v>#VALUE!</v>
      </c>
      <c r="F3441" s="5" t="str">
        <f t="shared" si="54"/>
        <v/>
      </c>
      <c r="G3441" s="5" t="str">
        <f>IF(B3441="","",股指期货基差分析!$N$11)</f>
        <v/>
      </c>
      <c r="H3441" s="5" t="str">
        <f>IF(B3441="","",股指期货基差分析!$L$11)</f>
        <v/>
      </c>
      <c r="I3441" s="9" t="str">
        <f>IF(B3441="","",股指期货基差分析!$D$11)</f>
        <v/>
      </c>
    </row>
    <row r="3442" spans="2:9" ht="15" customHeight="1" x14ac:dyDescent="0.2">
      <c r="B3442" s="7"/>
      <c r="C3442" s="5" t="str">
        <f>IF(B3442="","",[1]!s_dq_close(股指期货基差分析!$E$5,$B3442))</f>
        <v/>
      </c>
      <c r="D3442" s="5" t="str">
        <f>IF(B3442="","",[1]!s_dq_close(股指期货基差分析!$E$6,$B3442))</f>
        <v/>
      </c>
      <c r="E3442" s="4" t="e">
        <f ca="1">RANK(F3442,F:F)+COUNTIF(F$2:F3442,F3442)-1</f>
        <v>#VALUE!</v>
      </c>
      <c r="F3442" s="5" t="str">
        <f t="shared" si="54"/>
        <v/>
      </c>
      <c r="G3442" s="5" t="str">
        <f>IF(B3442="","",股指期货基差分析!$N$11)</f>
        <v/>
      </c>
      <c r="H3442" s="5" t="str">
        <f>IF(B3442="","",股指期货基差分析!$L$11)</f>
        <v/>
      </c>
      <c r="I3442" s="9" t="str">
        <f>IF(B3442="","",股指期货基差分析!$D$11)</f>
        <v/>
      </c>
    </row>
    <row r="3443" spans="2:9" ht="15" customHeight="1" x14ac:dyDescent="0.2">
      <c r="B3443" s="7"/>
      <c r="C3443" s="5" t="str">
        <f>IF(B3443="","",[1]!s_dq_close(股指期货基差分析!$E$5,$B3443))</f>
        <v/>
      </c>
      <c r="D3443" s="5" t="str">
        <f>IF(B3443="","",[1]!s_dq_close(股指期货基差分析!$E$6,$B3443))</f>
        <v/>
      </c>
      <c r="E3443" s="4" t="e">
        <f ca="1">RANK(F3443,F:F)+COUNTIF(F$2:F3443,F3443)-1</f>
        <v>#VALUE!</v>
      </c>
      <c r="F3443" s="5" t="str">
        <f t="shared" si="54"/>
        <v/>
      </c>
      <c r="G3443" s="5" t="str">
        <f>IF(B3443="","",股指期货基差分析!$N$11)</f>
        <v/>
      </c>
      <c r="H3443" s="5" t="str">
        <f>IF(B3443="","",股指期货基差分析!$L$11)</f>
        <v/>
      </c>
      <c r="I3443" s="9" t="str">
        <f>IF(B3443="","",股指期货基差分析!$D$11)</f>
        <v/>
      </c>
    </row>
    <row r="3444" spans="2:9" ht="15" customHeight="1" x14ac:dyDescent="0.2">
      <c r="B3444" s="7"/>
      <c r="C3444" s="5" t="str">
        <f>IF(B3444="","",[1]!s_dq_close(股指期货基差分析!$E$5,$B3444))</f>
        <v/>
      </c>
      <c r="D3444" s="5" t="str">
        <f>IF(B3444="","",[1]!s_dq_close(股指期货基差分析!$E$6,$B3444))</f>
        <v/>
      </c>
      <c r="E3444" s="4" t="e">
        <f ca="1">RANK(F3444,F:F)+COUNTIF(F$2:F3444,F3444)-1</f>
        <v>#VALUE!</v>
      </c>
      <c r="F3444" s="5" t="str">
        <f t="shared" si="54"/>
        <v/>
      </c>
      <c r="G3444" s="5" t="str">
        <f>IF(B3444="","",股指期货基差分析!$N$11)</f>
        <v/>
      </c>
      <c r="H3444" s="5" t="str">
        <f>IF(B3444="","",股指期货基差分析!$L$11)</f>
        <v/>
      </c>
      <c r="I3444" s="9" t="str">
        <f>IF(B3444="","",股指期货基差分析!$D$11)</f>
        <v/>
      </c>
    </row>
    <row r="3445" spans="2:9" ht="15" customHeight="1" x14ac:dyDescent="0.2">
      <c r="B3445" s="7"/>
      <c r="C3445" s="5" t="str">
        <f>IF(B3445="","",[1]!s_dq_close(股指期货基差分析!$E$5,$B3445))</f>
        <v/>
      </c>
      <c r="D3445" s="5" t="str">
        <f>IF(B3445="","",[1]!s_dq_close(股指期货基差分析!$E$6,$B3445))</f>
        <v/>
      </c>
      <c r="E3445" s="4" t="e">
        <f ca="1">RANK(F3445,F:F)+COUNTIF(F$2:F3445,F3445)-1</f>
        <v>#VALUE!</v>
      </c>
      <c r="F3445" s="5" t="str">
        <f t="shared" si="54"/>
        <v/>
      </c>
      <c r="G3445" s="5" t="str">
        <f>IF(B3445="","",股指期货基差分析!$N$11)</f>
        <v/>
      </c>
      <c r="H3445" s="5" t="str">
        <f>IF(B3445="","",股指期货基差分析!$L$11)</f>
        <v/>
      </c>
      <c r="I3445" s="9" t="str">
        <f>IF(B3445="","",股指期货基差分析!$D$11)</f>
        <v/>
      </c>
    </row>
    <row r="3446" spans="2:9" ht="15" customHeight="1" x14ac:dyDescent="0.2">
      <c r="B3446" s="7"/>
      <c r="C3446" s="5" t="str">
        <f>IF(B3446="","",[1]!s_dq_close(股指期货基差分析!$E$5,$B3446))</f>
        <v/>
      </c>
      <c r="D3446" s="5" t="str">
        <f>IF(B3446="","",[1]!s_dq_close(股指期货基差分析!$E$6,$B3446))</f>
        <v/>
      </c>
      <c r="E3446" s="4" t="e">
        <f ca="1">RANK(F3446,F:F)+COUNTIF(F$2:F3446,F3446)-1</f>
        <v>#VALUE!</v>
      </c>
      <c r="F3446" s="5" t="str">
        <f t="shared" si="54"/>
        <v/>
      </c>
      <c r="G3446" s="5" t="str">
        <f>IF(B3446="","",股指期货基差分析!$N$11)</f>
        <v/>
      </c>
      <c r="H3446" s="5" t="str">
        <f>IF(B3446="","",股指期货基差分析!$L$11)</f>
        <v/>
      </c>
      <c r="I3446" s="9" t="str">
        <f>IF(B3446="","",股指期货基差分析!$D$11)</f>
        <v/>
      </c>
    </row>
    <row r="3447" spans="2:9" ht="15" customHeight="1" x14ac:dyDescent="0.2">
      <c r="B3447" s="7"/>
      <c r="C3447" s="5" t="str">
        <f>IF(B3447="","",[1]!s_dq_close(股指期货基差分析!$E$5,$B3447))</f>
        <v/>
      </c>
      <c r="D3447" s="5" t="str">
        <f>IF(B3447="","",[1]!s_dq_close(股指期货基差分析!$E$6,$B3447))</f>
        <v/>
      </c>
      <c r="E3447" s="4" t="e">
        <f ca="1">RANK(F3447,F:F)+COUNTIF(F$2:F3447,F3447)-1</f>
        <v>#VALUE!</v>
      </c>
      <c r="F3447" s="5" t="str">
        <f t="shared" si="54"/>
        <v/>
      </c>
      <c r="G3447" s="5" t="str">
        <f>IF(B3447="","",股指期货基差分析!$N$11)</f>
        <v/>
      </c>
      <c r="H3447" s="5" t="str">
        <f>IF(B3447="","",股指期货基差分析!$L$11)</f>
        <v/>
      </c>
      <c r="I3447" s="9" t="str">
        <f>IF(B3447="","",股指期货基差分析!$D$11)</f>
        <v/>
      </c>
    </row>
    <row r="3448" spans="2:9" ht="15" customHeight="1" x14ac:dyDescent="0.2">
      <c r="B3448" s="7"/>
      <c r="C3448" s="5" t="str">
        <f>IF(B3448="","",[1]!s_dq_close(股指期货基差分析!$E$5,$B3448))</f>
        <v/>
      </c>
      <c r="D3448" s="5" t="str">
        <f>IF(B3448="","",[1]!s_dq_close(股指期货基差分析!$E$6,$B3448))</f>
        <v/>
      </c>
      <c r="E3448" s="4" t="e">
        <f ca="1">RANK(F3448,F:F)+COUNTIF(F$2:F3448,F3448)-1</f>
        <v>#VALUE!</v>
      </c>
      <c r="F3448" s="5" t="str">
        <f t="shared" si="54"/>
        <v/>
      </c>
      <c r="G3448" s="5" t="str">
        <f>IF(B3448="","",股指期货基差分析!$N$11)</f>
        <v/>
      </c>
      <c r="H3448" s="5" t="str">
        <f>IF(B3448="","",股指期货基差分析!$L$11)</f>
        <v/>
      </c>
      <c r="I3448" s="9" t="str">
        <f>IF(B3448="","",股指期货基差分析!$D$11)</f>
        <v/>
      </c>
    </row>
    <row r="3449" spans="2:9" ht="15" customHeight="1" x14ac:dyDescent="0.2">
      <c r="B3449" s="7"/>
      <c r="C3449" s="5" t="str">
        <f>IF(B3449="","",[1]!s_dq_close(股指期货基差分析!$E$5,$B3449))</f>
        <v/>
      </c>
      <c r="D3449" s="5" t="str">
        <f>IF(B3449="","",[1]!s_dq_close(股指期货基差分析!$E$6,$B3449))</f>
        <v/>
      </c>
      <c r="E3449" s="4" t="e">
        <f ca="1">RANK(F3449,F:F)+COUNTIF(F$2:F3449,F3449)-1</f>
        <v>#VALUE!</v>
      </c>
      <c r="F3449" s="5" t="str">
        <f t="shared" si="54"/>
        <v/>
      </c>
      <c r="G3449" s="5" t="str">
        <f>IF(B3449="","",股指期货基差分析!$N$11)</f>
        <v/>
      </c>
      <c r="H3449" s="5" t="str">
        <f>IF(B3449="","",股指期货基差分析!$L$11)</f>
        <v/>
      </c>
      <c r="I3449" s="9" t="str">
        <f>IF(B3449="","",股指期货基差分析!$D$11)</f>
        <v/>
      </c>
    </row>
    <row r="3450" spans="2:9" ht="15" customHeight="1" x14ac:dyDescent="0.2">
      <c r="B3450" s="7"/>
      <c r="C3450" s="5" t="str">
        <f>IF(B3450="","",[1]!s_dq_close(股指期货基差分析!$E$5,$B3450))</f>
        <v/>
      </c>
      <c r="D3450" s="5" t="str">
        <f>IF(B3450="","",[1]!s_dq_close(股指期货基差分析!$E$6,$B3450))</f>
        <v/>
      </c>
      <c r="E3450" s="4" t="e">
        <f ca="1">RANK(F3450,F:F)+COUNTIF(F$2:F3450,F3450)-1</f>
        <v>#VALUE!</v>
      </c>
      <c r="F3450" s="5" t="str">
        <f t="shared" si="54"/>
        <v/>
      </c>
      <c r="G3450" s="5" t="str">
        <f>IF(B3450="","",股指期货基差分析!$N$11)</f>
        <v/>
      </c>
      <c r="H3450" s="5" t="str">
        <f>IF(B3450="","",股指期货基差分析!$L$11)</f>
        <v/>
      </c>
      <c r="I3450" s="9" t="str">
        <f>IF(B3450="","",股指期货基差分析!$D$11)</f>
        <v/>
      </c>
    </row>
    <row r="3451" spans="2:9" ht="15" customHeight="1" x14ac:dyDescent="0.2">
      <c r="B3451" s="7"/>
      <c r="C3451" s="5" t="str">
        <f>IF(B3451="","",[1]!s_dq_close(股指期货基差分析!$E$5,$B3451))</f>
        <v/>
      </c>
      <c r="D3451" s="5" t="str">
        <f>IF(B3451="","",[1]!s_dq_close(股指期货基差分析!$E$6,$B3451))</f>
        <v/>
      </c>
      <c r="E3451" s="4" t="e">
        <f ca="1">RANK(F3451,F:F)+COUNTIF(F$2:F3451,F3451)-1</f>
        <v>#VALUE!</v>
      </c>
      <c r="F3451" s="5" t="str">
        <f t="shared" si="54"/>
        <v/>
      </c>
      <c r="G3451" s="5" t="str">
        <f>IF(B3451="","",股指期货基差分析!$N$11)</f>
        <v/>
      </c>
      <c r="H3451" s="5" t="str">
        <f>IF(B3451="","",股指期货基差分析!$L$11)</f>
        <v/>
      </c>
      <c r="I3451" s="9" t="str">
        <f>IF(B3451="","",股指期货基差分析!$D$11)</f>
        <v/>
      </c>
    </row>
    <row r="3452" spans="2:9" ht="15" customHeight="1" x14ac:dyDescent="0.2">
      <c r="B3452" s="7"/>
      <c r="C3452" s="5" t="str">
        <f>IF(B3452="","",[1]!s_dq_close(股指期货基差分析!$E$5,$B3452))</f>
        <v/>
      </c>
      <c r="D3452" s="5" t="str">
        <f>IF(B3452="","",[1]!s_dq_close(股指期货基差分析!$E$6,$B3452))</f>
        <v/>
      </c>
      <c r="E3452" s="4" t="e">
        <f ca="1">RANK(F3452,F:F)+COUNTIF(F$2:F3452,F3452)-1</f>
        <v>#VALUE!</v>
      </c>
      <c r="F3452" s="5" t="str">
        <f t="shared" si="54"/>
        <v/>
      </c>
      <c r="G3452" s="5" t="str">
        <f>IF(B3452="","",股指期货基差分析!$N$11)</f>
        <v/>
      </c>
      <c r="H3452" s="5" t="str">
        <f>IF(B3452="","",股指期货基差分析!$L$11)</f>
        <v/>
      </c>
      <c r="I3452" s="9" t="str">
        <f>IF(B3452="","",股指期货基差分析!$D$11)</f>
        <v/>
      </c>
    </row>
    <row r="3453" spans="2:9" ht="15" customHeight="1" x14ac:dyDescent="0.2">
      <c r="B3453" s="7"/>
      <c r="C3453" s="5" t="str">
        <f>IF(B3453="","",[1]!s_dq_close(股指期货基差分析!$E$5,$B3453))</f>
        <v/>
      </c>
      <c r="D3453" s="5" t="str">
        <f>IF(B3453="","",[1]!s_dq_close(股指期货基差分析!$E$6,$B3453))</f>
        <v/>
      </c>
      <c r="E3453" s="4" t="e">
        <f ca="1">RANK(F3453,F:F)+COUNTIF(F$2:F3453,F3453)-1</f>
        <v>#VALUE!</v>
      </c>
      <c r="F3453" s="5" t="str">
        <f t="shared" si="54"/>
        <v/>
      </c>
      <c r="G3453" s="5" t="str">
        <f>IF(B3453="","",股指期货基差分析!$N$11)</f>
        <v/>
      </c>
      <c r="H3453" s="5" t="str">
        <f>IF(B3453="","",股指期货基差分析!$L$11)</f>
        <v/>
      </c>
      <c r="I3453" s="9" t="str">
        <f>IF(B3453="","",股指期货基差分析!$D$11)</f>
        <v/>
      </c>
    </row>
    <row r="3454" spans="2:9" ht="15" customHeight="1" x14ac:dyDescent="0.2">
      <c r="B3454" s="7"/>
      <c r="C3454" s="5" t="str">
        <f>IF(B3454="","",[1]!s_dq_close(股指期货基差分析!$E$5,$B3454))</f>
        <v/>
      </c>
      <c r="D3454" s="5" t="str">
        <f>IF(B3454="","",[1]!s_dq_close(股指期货基差分析!$E$6,$B3454))</f>
        <v/>
      </c>
      <c r="E3454" s="4" t="e">
        <f ca="1">RANK(F3454,F:F)+COUNTIF(F$2:F3454,F3454)-1</f>
        <v>#VALUE!</v>
      </c>
      <c r="F3454" s="5" t="str">
        <f t="shared" si="54"/>
        <v/>
      </c>
      <c r="G3454" s="5" t="str">
        <f>IF(B3454="","",股指期货基差分析!$N$11)</f>
        <v/>
      </c>
      <c r="H3454" s="5" t="str">
        <f>IF(B3454="","",股指期货基差分析!$L$11)</f>
        <v/>
      </c>
      <c r="I3454" s="9" t="str">
        <f>IF(B3454="","",股指期货基差分析!$D$11)</f>
        <v/>
      </c>
    </row>
    <row r="3455" spans="2:9" ht="15" customHeight="1" x14ac:dyDescent="0.2">
      <c r="B3455" s="7"/>
      <c r="C3455" s="5" t="str">
        <f>IF(B3455="","",[1]!s_dq_close(股指期货基差分析!$E$5,$B3455))</f>
        <v/>
      </c>
      <c r="D3455" s="5" t="str">
        <f>IF(B3455="","",[1]!s_dq_close(股指期货基差分析!$E$6,$B3455))</f>
        <v/>
      </c>
      <c r="E3455" s="4" t="e">
        <f ca="1">RANK(F3455,F:F)+COUNTIF(F$2:F3455,F3455)-1</f>
        <v>#VALUE!</v>
      </c>
      <c r="F3455" s="5" t="str">
        <f t="shared" si="54"/>
        <v/>
      </c>
      <c r="G3455" s="5" t="str">
        <f>IF(B3455="","",股指期货基差分析!$N$11)</f>
        <v/>
      </c>
      <c r="H3455" s="5" t="str">
        <f>IF(B3455="","",股指期货基差分析!$L$11)</f>
        <v/>
      </c>
      <c r="I3455" s="9" t="str">
        <f>IF(B3455="","",股指期货基差分析!$D$11)</f>
        <v/>
      </c>
    </row>
    <row r="3456" spans="2:9" ht="15" customHeight="1" x14ac:dyDescent="0.2">
      <c r="B3456" s="7"/>
      <c r="C3456" s="5" t="str">
        <f>IF(B3456="","",[1]!s_dq_close(股指期货基差分析!$E$5,$B3456))</f>
        <v/>
      </c>
      <c r="D3456" s="5" t="str">
        <f>IF(B3456="","",[1]!s_dq_close(股指期货基差分析!$E$6,$B3456))</f>
        <v/>
      </c>
      <c r="E3456" s="4" t="e">
        <f ca="1">RANK(F3456,F:F)+COUNTIF(F$2:F3456,F3456)-1</f>
        <v>#VALUE!</v>
      </c>
      <c r="F3456" s="5" t="str">
        <f t="shared" si="54"/>
        <v/>
      </c>
      <c r="G3456" s="5" t="str">
        <f>IF(B3456="","",股指期货基差分析!$N$11)</f>
        <v/>
      </c>
      <c r="H3456" s="5" t="str">
        <f>IF(B3456="","",股指期货基差分析!$L$11)</f>
        <v/>
      </c>
      <c r="I3456" s="9" t="str">
        <f>IF(B3456="","",股指期货基差分析!$D$11)</f>
        <v/>
      </c>
    </row>
    <row r="3457" spans="2:9" ht="15" customHeight="1" x14ac:dyDescent="0.2">
      <c r="B3457" s="7"/>
      <c r="C3457" s="5" t="str">
        <f>IF(B3457="","",[1]!s_dq_close(股指期货基差分析!$E$5,$B3457))</f>
        <v/>
      </c>
      <c r="D3457" s="5" t="str">
        <f>IF(B3457="","",[1]!s_dq_close(股指期货基差分析!$E$6,$B3457))</f>
        <v/>
      </c>
      <c r="E3457" s="4" t="e">
        <f ca="1">RANK(F3457,F:F)+COUNTIF(F$2:F3457,F3457)-1</f>
        <v>#VALUE!</v>
      </c>
      <c r="F3457" s="5" t="str">
        <f t="shared" si="54"/>
        <v/>
      </c>
      <c r="G3457" s="5" t="str">
        <f>IF(B3457="","",股指期货基差分析!$N$11)</f>
        <v/>
      </c>
      <c r="H3457" s="5" t="str">
        <f>IF(B3457="","",股指期货基差分析!$L$11)</f>
        <v/>
      </c>
      <c r="I3457" s="9" t="str">
        <f>IF(B3457="","",股指期货基差分析!$D$11)</f>
        <v/>
      </c>
    </row>
    <row r="3458" spans="2:9" ht="15" customHeight="1" x14ac:dyDescent="0.2">
      <c r="B3458" s="7"/>
      <c r="C3458" s="5" t="str">
        <f>IF(B3458="","",[1]!s_dq_close(股指期货基差分析!$E$5,$B3458))</f>
        <v/>
      </c>
      <c r="D3458" s="5" t="str">
        <f>IF(B3458="","",[1]!s_dq_close(股指期货基差分析!$E$6,$B3458))</f>
        <v/>
      </c>
      <c r="E3458" s="4" t="e">
        <f ca="1">RANK(F3458,F:F)+COUNTIF(F$2:F3458,F3458)-1</f>
        <v>#VALUE!</v>
      </c>
      <c r="F3458" s="5" t="str">
        <f t="shared" ref="F3458:F3521" si="55">IF(B3458="","",D3458-C3458)</f>
        <v/>
      </c>
      <c r="G3458" s="5" t="str">
        <f>IF(B3458="","",股指期货基差分析!$N$11)</f>
        <v/>
      </c>
      <c r="H3458" s="5" t="str">
        <f>IF(B3458="","",股指期货基差分析!$L$11)</f>
        <v/>
      </c>
      <c r="I3458" s="9" t="str">
        <f>IF(B3458="","",股指期货基差分析!$D$11)</f>
        <v/>
      </c>
    </row>
    <row r="3459" spans="2:9" ht="15" customHeight="1" x14ac:dyDescent="0.2">
      <c r="B3459" s="7"/>
      <c r="C3459" s="5" t="str">
        <f>IF(B3459="","",[1]!s_dq_close(股指期货基差分析!$E$5,$B3459))</f>
        <v/>
      </c>
      <c r="D3459" s="5" t="str">
        <f>IF(B3459="","",[1]!s_dq_close(股指期货基差分析!$E$6,$B3459))</f>
        <v/>
      </c>
      <c r="E3459" s="4" t="e">
        <f ca="1">RANK(F3459,F:F)+COUNTIF(F$2:F3459,F3459)-1</f>
        <v>#VALUE!</v>
      </c>
      <c r="F3459" s="5" t="str">
        <f t="shared" si="55"/>
        <v/>
      </c>
      <c r="G3459" s="5" t="str">
        <f>IF(B3459="","",股指期货基差分析!$N$11)</f>
        <v/>
      </c>
      <c r="H3459" s="5" t="str">
        <f>IF(B3459="","",股指期货基差分析!$L$11)</f>
        <v/>
      </c>
      <c r="I3459" s="9" t="str">
        <f>IF(B3459="","",股指期货基差分析!$D$11)</f>
        <v/>
      </c>
    </row>
    <row r="3460" spans="2:9" ht="15" customHeight="1" x14ac:dyDescent="0.2">
      <c r="B3460" s="7"/>
      <c r="C3460" s="5" t="str">
        <f>IF(B3460="","",[1]!s_dq_close(股指期货基差分析!$E$5,$B3460))</f>
        <v/>
      </c>
      <c r="D3460" s="5" t="str">
        <f>IF(B3460="","",[1]!s_dq_close(股指期货基差分析!$E$6,$B3460))</f>
        <v/>
      </c>
      <c r="E3460" s="4" t="e">
        <f ca="1">RANK(F3460,F:F)+COUNTIF(F$2:F3460,F3460)-1</f>
        <v>#VALUE!</v>
      </c>
      <c r="F3460" s="5" t="str">
        <f t="shared" si="55"/>
        <v/>
      </c>
      <c r="G3460" s="5" t="str">
        <f>IF(B3460="","",股指期货基差分析!$N$11)</f>
        <v/>
      </c>
      <c r="H3460" s="5" t="str">
        <f>IF(B3460="","",股指期货基差分析!$L$11)</f>
        <v/>
      </c>
      <c r="I3460" s="9" t="str">
        <f>IF(B3460="","",股指期货基差分析!$D$11)</f>
        <v/>
      </c>
    </row>
    <row r="3461" spans="2:9" ht="15" customHeight="1" x14ac:dyDescent="0.2">
      <c r="C3461" s="5" t="str">
        <f>IF(B3461="","",[1]!s_dq_close(股指期货基差分析!$E$5,$B3461))</f>
        <v/>
      </c>
      <c r="D3461" s="5" t="str">
        <f>IF(B3461="","",[1]!s_dq_close(股指期货基差分析!$E$6,$B3461))</f>
        <v/>
      </c>
      <c r="E3461" s="4" t="e">
        <f ca="1">RANK(F3461,F:F)+COUNTIF(F$2:F3461,F3461)-1</f>
        <v>#VALUE!</v>
      </c>
      <c r="F3461" s="5" t="str">
        <f t="shared" si="55"/>
        <v/>
      </c>
      <c r="G3461" s="5" t="str">
        <f>IF(B3461="","",股指期货基差分析!$N$11)</f>
        <v/>
      </c>
      <c r="H3461" s="5" t="str">
        <f>IF(B3461="","",股指期货基差分析!$L$11)</f>
        <v/>
      </c>
      <c r="I3461" s="9" t="str">
        <f>IF(B3461="","",股指期货基差分析!$D$11)</f>
        <v/>
      </c>
    </row>
    <row r="3462" spans="2:9" ht="15" customHeight="1" x14ac:dyDescent="0.2">
      <c r="C3462" s="5" t="str">
        <f>IF(B3462="","",[1]!s_dq_close(股指期货基差分析!$E$5,$B3462))</f>
        <v/>
      </c>
      <c r="D3462" s="5" t="str">
        <f>IF(B3462="","",[1]!s_dq_close(股指期货基差分析!$E$6,$B3462))</f>
        <v/>
      </c>
      <c r="E3462" s="4" t="e">
        <f ca="1">RANK(F3462,F:F)+COUNTIF(F$2:F3462,F3462)-1</f>
        <v>#VALUE!</v>
      </c>
      <c r="F3462" s="5" t="str">
        <f t="shared" si="55"/>
        <v/>
      </c>
      <c r="G3462" s="5" t="str">
        <f>IF(B3462="","",股指期货基差分析!$N$11)</f>
        <v/>
      </c>
      <c r="H3462" s="5" t="str">
        <f>IF(B3462="","",股指期货基差分析!$L$11)</f>
        <v/>
      </c>
      <c r="I3462" s="9" t="str">
        <f>IF(B3462="","",股指期货基差分析!$D$11)</f>
        <v/>
      </c>
    </row>
    <row r="3463" spans="2:9" ht="15" customHeight="1" x14ac:dyDescent="0.2">
      <c r="C3463" s="5" t="str">
        <f>IF(B3463="","",[1]!s_dq_close(股指期货基差分析!$E$5,$B3463))</f>
        <v/>
      </c>
      <c r="D3463" s="5" t="str">
        <f>IF(B3463="","",[1]!s_dq_close(股指期货基差分析!$E$6,$B3463))</f>
        <v/>
      </c>
      <c r="E3463" s="4" t="e">
        <f ca="1">RANK(F3463,F:F)+COUNTIF(F$2:F3463,F3463)-1</f>
        <v>#VALUE!</v>
      </c>
      <c r="F3463" s="5" t="str">
        <f t="shared" si="55"/>
        <v/>
      </c>
      <c r="G3463" s="5" t="str">
        <f>IF(B3463="","",股指期货基差分析!$N$11)</f>
        <v/>
      </c>
      <c r="H3463" s="5" t="str">
        <f>IF(B3463="","",股指期货基差分析!$L$11)</f>
        <v/>
      </c>
      <c r="I3463" s="9" t="str">
        <f>IF(B3463="","",股指期货基差分析!$D$11)</f>
        <v/>
      </c>
    </row>
    <row r="3464" spans="2:9" ht="15" customHeight="1" x14ac:dyDescent="0.2">
      <c r="C3464" s="5" t="str">
        <f>IF(B3464="","",[1]!s_dq_close(股指期货基差分析!$E$5,$B3464))</f>
        <v/>
      </c>
      <c r="D3464" s="5" t="str">
        <f>IF(B3464="","",[1]!s_dq_close(股指期货基差分析!$E$6,$B3464))</f>
        <v/>
      </c>
      <c r="E3464" s="4" t="e">
        <f ca="1">RANK(F3464,F:F)+COUNTIF(F$2:F3464,F3464)-1</f>
        <v>#VALUE!</v>
      </c>
      <c r="F3464" s="5" t="str">
        <f t="shared" si="55"/>
        <v/>
      </c>
      <c r="G3464" s="5" t="str">
        <f>IF(B3464="","",股指期货基差分析!$N$11)</f>
        <v/>
      </c>
      <c r="H3464" s="5" t="str">
        <f>IF(B3464="","",股指期货基差分析!$L$11)</f>
        <v/>
      </c>
      <c r="I3464" s="9" t="str">
        <f>IF(B3464="","",股指期货基差分析!$D$11)</f>
        <v/>
      </c>
    </row>
    <row r="3465" spans="2:9" ht="15" customHeight="1" x14ac:dyDescent="0.2">
      <c r="C3465" s="5" t="str">
        <f>IF(B3465="","",[1]!s_dq_close(股指期货基差分析!$E$5,$B3465))</f>
        <v/>
      </c>
      <c r="D3465" s="5" t="str">
        <f>IF(B3465="","",[1]!s_dq_close(股指期货基差分析!$E$6,$B3465))</f>
        <v/>
      </c>
      <c r="E3465" s="4" t="e">
        <f ca="1">RANK(F3465,F:F)+COUNTIF(F$2:F3465,F3465)-1</f>
        <v>#VALUE!</v>
      </c>
      <c r="F3465" s="5" t="str">
        <f t="shared" si="55"/>
        <v/>
      </c>
      <c r="G3465" s="5" t="str">
        <f>IF(B3465="","",股指期货基差分析!$N$11)</f>
        <v/>
      </c>
      <c r="H3465" s="5" t="str">
        <f>IF(B3465="","",股指期货基差分析!$L$11)</f>
        <v/>
      </c>
      <c r="I3465" s="9" t="str">
        <f>IF(B3465="","",股指期货基差分析!$D$11)</f>
        <v/>
      </c>
    </row>
    <row r="3466" spans="2:9" ht="15" customHeight="1" x14ac:dyDescent="0.2">
      <c r="C3466" s="5" t="str">
        <f>IF(B3466="","",[1]!s_dq_close(股指期货基差分析!$E$5,$B3466))</f>
        <v/>
      </c>
      <c r="D3466" s="5" t="str">
        <f>IF(B3466="","",[1]!s_dq_close(股指期货基差分析!$E$6,$B3466))</f>
        <v/>
      </c>
      <c r="E3466" s="4" t="e">
        <f ca="1">RANK(F3466,F:F)+COUNTIF(F$2:F3466,F3466)-1</f>
        <v>#VALUE!</v>
      </c>
      <c r="F3466" s="5" t="str">
        <f t="shared" si="55"/>
        <v/>
      </c>
      <c r="G3466" s="5" t="str">
        <f>IF(B3466="","",股指期货基差分析!$N$11)</f>
        <v/>
      </c>
      <c r="H3466" s="5" t="str">
        <f>IF(B3466="","",股指期货基差分析!$L$11)</f>
        <v/>
      </c>
      <c r="I3466" s="9" t="str">
        <f>IF(B3466="","",股指期货基差分析!$D$11)</f>
        <v/>
      </c>
    </row>
    <row r="3467" spans="2:9" ht="15" customHeight="1" x14ac:dyDescent="0.2">
      <c r="C3467" s="5" t="str">
        <f>IF(B3467="","",[1]!s_dq_close(股指期货基差分析!$E$5,$B3467))</f>
        <v/>
      </c>
      <c r="D3467" s="5" t="str">
        <f>IF(B3467="","",[1]!s_dq_close(股指期货基差分析!$E$6,$B3467))</f>
        <v/>
      </c>
      <c r="E3467" s="4" t="e">
        <f ca="1">RANK(F3467,F:F)+COUNTIF(F$2:F3467,F3467)-1</f>
        <v>#VALUE!</v>
      </c>
      <c r="F3467" s="5" t="str">
        <f t="shared" si="55"/>
        <v/>
      </c>
      <c r="G3467" s="5" t="str">
        <f>IF(B3467="","",股指期货基差分析!$N$11)</f>
        <v/>
      </c>
      <c r="H3467" s="5" t="str">
        <f>IF(B3467="","",股指期货基差分析!$L$11)</f>
        <v/>
      </c>
      <c r="I3467" s="9" t="str">
        <f>IF(B3467="","",股指期货基差分析!$D$11)</f>
        <v/>
      </c>
    </row>
    <row r="3468" spans="2:9" ht="15" customHeight="1" x14ac:dyDescent="0.2">
      <c r="C3468" s="5" t="str">
        <f>IF(B3468="","",[1]!s_dq_close(股指期货基差分析!$E$5,$B3468))</f>
        <v/>
      </c>
      <c r="D3468" s="5" t="str">
        <f>IF(B3468="","",[1]!s_dq_close(股指期货基差分析!$E$6,$B3468))</f>
        <v/>
      </c>
      <c r="E3468" s="4" t="e">
        <f ca="1">RANK(F3468,F:F)+COUNTIF(F$2:F3468,F3468)-1</f>
        <v>#VALUE!</v>
      </c>
      <c r="F3468" s="5" t="str">
        <f t="shared" si="55"/>
        <v/>
      </c>
      <c r="G3468" s="5" t="str">
        <f>IF(B3468="","",股指期货基差分析!$N$11)</f>
        <v/>
      </c>
      <c r="H3468" s="5" t="str">
        <f>IF(B3468="","",股指期货基差分析!$L$11)</f>
        <v/>
      </c>
      <c r="I3468" s="9" t="str">
        <f>IF(B3468="","",股指期货基差分析!$D$11)</f>
        <v/>
      </c>
    </row>
    <row r="3469" spans="2:9" ht="15" customHeight="1" x14ac:dyDescent="0.2">
      <c r="C3469" s="5" t="str">
        <f>IF(B3469="","",[1]!s_dq_close(股指期货基差分析!$E$5,$B3469))</f>
        <v/>
      </c>
      <c r="D3469" s="5" t="str">
        <f>IF(B3469="","",[1]!s_dq_close(股指期货基差分析!$E$6,$B3469))</f>
        <v/>
      </c>
      <c r="E3469" s="4" t="e">
        <f ca="1">RANK(F3469,F:F)+COUNTIF(F$2:F3469,F3469)-1</f>
        <v>#VALUE!</v>
      </c>
      <c r="F3469" s="5" t="str">
        <f t="shared" si="55"/>
        <v/>
      </c>
      <c r="G3469" s="5" t="str">
        <f>IF(B3469="","",股指期货基差分析!$N$11)</f>
        <v/>
      </c>
      <c r="H3469" s="5" t="str">
        <f>IF(B3469="","",股指期货基差分析!$L$11)</f>
        <v/>
      </c>
      <c r="I3469" s="9" t="str">
        <f>IF(B3469="","",股指期货基差分析!$D$11)</f>
        <v/>
      </c>
    </row>
    <row r="3470" spans="2:9" ht="15" customHeight="1" x14ac:dyDescent="0.2">
      <c r="C3470" s="5" t="str">
        <f>IF(B3470="","",[1]!s_dq_close(股指期货基差分析!$E$5,$B3470))</f>
        <v/>
      </c>
      <c r="D3470" s="5" t="str">
        <f>IF(B3470="","",[1]!s_dq_close(股指期货基差分析!$E$6,$B3470))</f>
        <v/>
      </c>
      <c r="E3470" s="4" t="e">
        <f ca="1">RANK(F3470,F:F)+COUNTIF(F$2:F3470,F3470)-1</f>
        <v>#VALUE!</v>
      </c>
      <c r="F3470" s="5" t="str">
        <f t="shared" si="55"/>
        <v/>
      </c>
      <c r="G3470" s="5" t="str">
        <f>IF(B3470="","",股指期货基差分析!$N$11)</f>
        <v/>
      </c>
      <c r="H3470" s="5" t="str">
        <f>IF(B3470="","",股指期货基差分析!$L$11)</f>
        <v/>
      </c>
      <c r="I3470" s="9" t="str">
        <f>IF(B3470="","",股指期货基差分析!$D$11)</f>
        <v/>
      </c>
    </row>
    <row r="3471" spans="2:9" ht="15" customHeight="1" x14ac:dyDescent="0.2">
      <c r="C3471" s="5" t="str">
        <f>IF(B3471="","",[1]!s_dq_close(股指期货基差分析!$E$5,$B3471))</f>
        <v/>
      </c>
      <c r="D3471" s="5" t="str">
        <f>IF(B3471="","",[1]!s_dq_close(股指期货基差分析!$E$6,$B3471))</f>
        <v/>
      </c>
      <c r="E3471" s="4" t="e">
        <f ca="1">RANK(F3471,F:F)+COUNTIF(F$2:F3471,F3471)-1</f>
        <v>#VALUE!</v>
      </c>
      <c r="F3471" s="5" t="str">
        <f t="shared" si="55"/>
        <v/>
      </c>
      <c r="G3471" s="5" t="str">
        <f>IF(B3471="","",股指期货基差分析!$N$11)</f>
        <v/>
      </c>
      <c r="H3471" s="5" t="str">
        <f>IF(B3471="","",股指期货基差分析!$L$11)</f>
        <v/>
      </c>
      <c r="I3471" s="9" t="str">
        <f>IF(B3471="","",股指期货基差分析!$D$11)</f>
        <v/>
      </c>
    </row>
    <row r="3472" spans="2:9" ht="15" customHeight="1" x14ac:dyDescent="0.2">
      <c r="C3472" s="5" t="str">
        <f>IF(B3472="","",[1]!s_dq_close(股指期货基差分析!$E$5,$B3472))</f>
        <v/>
      </c>
      <c r="D3472" s="5" t="str">
        <f>IF(B3472="","",[1]!s_dq_close(股指期货基差分析!$E$6,$B3472))</f>
        <v/>
      </c>
      <c r="E3472" s="4" t="e">
        <f ca="1">RANK(F3472,F:F)+COUNTIF(F$2:F3472,F3472)-1</f>
        <v>#VALUE!</v>
      </c>
      <c r="F3472" s="5" t="str">
        <f t="shared" si="55"/>
        <v/>
      </c>
      <c r="G3472" s="5" t="str">
        <f>IF(B3472="","",股指期货基差分析!$N$11)</f>
        <v/>
      </c>
      <c r="H3472" s="5" t="str">
        <f>IF(B3472="","",股指期货基差分析!$L$11)</f>
        <v/>
      </c>
      <c r="I3472" s="9" t="str">
        <f>IF(B3472="","",股指期货基差分析!$D$11)</f>
        <v/>
      </c>
    </row>
    <row r="3473" spans="3:9" ht="15" customHeight="1" x14ac:dyDescent="0.2">
      <c r="C3473" s="5" t="str">
        <f>IF(B3473="","",[1]!s_dq_close(股指期货基差分析!$E$5,$B3473))</f>
        <v/>
      </c>
      <c r="D3473" s="5" t="str">
        <f>IF(B3473="","",[1]!s_dq_close(股指期货基差分析!$E$6,$B3473))</f>
        <v/>
      </c>
      <c r="E3473" s="4" t="e">
        <f ca="1">RANK(F3473,F:F)+COUNTIF(F$2:F3473,F3473)-1</f>
        <v>#VALUE!</v>
      </c>
      <c r="F3473" s="5" t="str">
        <f t="shared" si="55"/>
        <v/>
      </c>
      <c r="G3473" s="5" t="str">
        <f>IF(B3473="","",股指期货基差分析!$N$11)</f>
        <v/>
      </c>
      <c r="H3473" s="5" t="str">
        <f>IF(B3473="","",股指期货基差分析!$L$11)</f>
        <v/>
      </c>
      <c r="I3473" s="9" t="str">
        <f>IF(B3473="","",股指期货基差分析!$D$11)</f>
        <v/>
      </c>
    </row>
    <row r="3474" spans="3:9" ht="15" customHeight="1" x14ac:dyDescent="0.2">
      <c r="C3474" s="5" t="str">
        <f>IF(B3474="","",[1]!s_dq_close(股指期货基差分析!$E$5,$B3474))</f>
        <v/>
      </c>
      <c r="D3474" s="5" t="str">
        <f>IF(B3474="","",[1]!s_dq_close(股指期货基差分析!$E$6,$B3474))</f>
        <v/>
      </c>
      <c r="E3474" s="4" t="e">
        <f ca="1">RANK(F3474,F:F)+COUNTIF(F$2:F3474,F3474)-1</f>
        <v>#VALUE!</v>
      </c>
      <c r="F3474" s="5" t="str">
        <f t="shared" si="55"/>
        <v/>
      </c>
      <c r="G3474" s="5" t="str">
        <f>IF(B3474="","",股指期货基差分析!$N$11)</f>
        <v/>
      </c>
      <c r="H3474" s="5" t="str">
        <f>IF(B3474="","",股指期货基差分析!$L$11)</f>
        <v/>
      </c>
      <c r="I3474" s="9" t="str">
        <f>IF(B3474="","",股指期货基差分析!$D$11)</f>
        <v/>
      </c>
    </row>
    <row r="3475" spans="3:9" ht="15" customHeight="1" x14ac:dyDescent="0.2">
      <c r="C3475" s="5" t="str">
        <f>IF(B3475="","",[1]!s_dq_close(股指期货基差分析!$E$5,$B3475))</f>
        <v/>
      </c>
      <c r="D3475" s="5" t="str">
        <f>IF(B3475="","",[1]!s_dq_close(股指期货基差分析!$E$6,$B3475))</f>
        <v/>
      </c>
      <c r="E3475" s="4" t="e">
        <f ca="1">RANK(F3475,F:F)+COUNTIF(F$2:F3475,F3475)-1</f>
        <v>#VALUE!</v>
      </c>
      <c r="F3475" s="5" t="str">
        <f t="shared" si="55"/>
        <v/>
      </c>
      <c r="G3475" s="5" t="str">
        <f>IF(B3475="","",股指期货基差分析!$N$11)</f>
        <v/>
      </c>
      <c r="H3475" s="5" t="str">
        <f>IF(B3475="","",股指期货基差分析!$L$11)</f>
        <v/>
      </c>
      <c r="I3475" s="9" t="str">
        <f>IF(B3475="","",股指期货基差分析!$D$11)</f>
        <v/>
      </c>
    </row>
    <row r="3476" spans="3:9" ht="15" customHeight="1" x14ac:dyDescent="0.2">
      <c r="C3476" s="5" t="str">
        <f>IF(B3476="","",[1]!s_dq_close(股指期货基差分析!$E$5,$B3476))</f>
        <v/>
      </c>
      <c r="D3476" s="5" t="str">
        <f>IF(B3476="","",[1]!s_dq_close(股指期货基差分析!$E$6,$B3476))</f>
        <v/>
      </c>
      <c r="E3476" s="4" t="e">
        <f ca="1">RANK(F3476,F:F)+COUNTIF(F$2:F3476,F3476)-1</f>
        <v>#VALUE!</v>
      </c>
      <c r="F3476" s="5" t="str">
        <f t="shared" si="55"/>
        <v/>
      </c>
      <c r="G3476" s="5" t="str">
        <f>IF(B3476="","",股指期货基差分析!$N$11)</f>
        <v/>
      </c>
      <c r="H3476" s="5" t="str">
        <f>IF(B3476="","",股指期货基差分析!$L$11)</f>
        <v/>
      </c>
      <c r="I3476" s="9" t="str">
        <f>IF(B3476="","",股指期货基差分析!$D$11)</f>
        <v/>
      </c>
    </row>
    <row r="3477" spans="3:9" ht="15" customHeight="1" x14ac:dyDescent="0.2">
      <c r="C3477" s="5" t="str">
        <f>IF(B3477="","",[1]!s_dq_close(股指期货基差分析!$E$5,$B3477))</f>
        <v/>
      </c>
      <c r="D3477" s="5" t="str">
        <f>IF(B3477="","",[1]!s_dq_close(股指期货基差分析!$E$6,$B3477))</f>
        <v/>
      </c>
      <c r="E3477" s="4" t="e">
        <f ca="1">RANK(F3477,F:F)+COUNTIF(F$2:F3477,F3477)-1</f>
        <v>#VALUE!</v>
      </c>
      <c r="F3477" s="5" t="str">
        <f t="shared" si="55"/>
        <v/>
      </c>
      <c r="G3477" s="5" t="str">
        <f>IF(B3477="","",股指期货基差分析!$N$11)</f>
        <v/>
      </c>
      <c r="H3477" s="5" t="str">
        <f>IF(B3477="","",股指期货基差分析!$L$11)</f>
        <v/>
      </c>
      <c r="I3477" s="9" t="str">
        <f>IF(B3477="","",股指期货基差分析!$D$11)</f>
        <v/>
      </c>
    </row>
    <row r="3478" spans="3:9" ht="15" customHeight="1" x14ac:dyDescent="0.2">
      <c r="C3478" s="5" t="str">
        <f>IF(B3478="","",[1]!s_dq_close(股指期货基差分析!$E$5,$B3478))</f>
        <v/>
      </c>
      <c r="D3478" s="5" t="str">
        <f>IF(B3478="","",[1]!s_dq_close(股指期货基差分析!$E$6,$B3478))</f>
        <v/>
      </c>
      <c r="E3478" s="4" t="e">
        <f ca="1">RANK(F3478,F:F)+COUNTIF(F$2:F3478,F3478)-1</f>
        <v>#VALUE!</v>
      </c>
      <c r="F3478" s="5" t="str">
        <f t="shared" si="55"/>
        <v/>
      </c>
      <c r="G3478" s="5" t="str">
        <f>IF(B3478="","",股指期货基差分析!$N$11)</f>
        <v/>
      </c>
      <c r="H3478" s="5" t="str">
        <f>IF(B3478="","",股指期货基差分析!$L$11)</f>
        <v/>
      </c>
      <c r="I3478" s="9" t="str">
        <f>IF(B3478="","",股指期货基差分析!$D$11)</f>
        <v/>
      </c>
    </row>
    <row r="3479" spans="3:9" ht="15" customHeight="1" x14ac:dyDescent="0.2">
      <c r="C3479" s="5" t="str">
        <f>IF(B3479="","",[1]!s_dq_close(股指期货基差分析!$E$5,$B3479))</f>
        <v/>
      </c>
      <c r="D3479" s="5" t="str">
        <f>IF(B3479="","",[1]!s_dq_close(股指期货基差分析!$E$6,$B3479))</f>
        <v/>
      </c>
      <c r="E3479" s="4" t="e">
        <f ca="1">RANK(F3479,F:F)+COUNTIF(F$2:F3479,F3479)-1</f>
        <v>#VALUE!</v>
      </c>
      <c r="F3479" s="5" t="str">
        <f t="shared" si="55"/>
        <v/>
      </c>
      <c r="G3479" s="5" t="str">
        <f>IF(B3479="","",股指期货基差分析!$N$11)</f>
        <v/>
      </c>
      <c r="H3479" s="5" t="str">
        <f>IF(B3479="","",股指期货基差分析!$L$11)</f>
        <v/>
      </c>
      <c r="I3479" s="9" t="str">
        <f>IF(B3479="","",股指期货基差分析!$D$11)</f>
        <v/>
      </c>
    </row>
    <row r="3480" spans="3:9" ht="15" customHeight="1" x14ac:dyDescent="0.2">
      <c r="C3480" s="5" t="str">
        <f>IF(B3480="","",[1]!s_dq_close(股指期货基差分析!$E$5,$B3480))</f>
        <v/>
      </c>
      <c r="D3480" s="5" t="str">
        <f>IF(B3480="","",[1]!s_dq_close(股指期货基差分析!$E$6,$B3480))</f>
        <v/>
      </c>
      <c r="E3480" s="4" t="e">
        <f ca="1">RANK(F3480,F:F)+COUNTIF(F$2:F3480,F3480)-1</f>
        <v>#VALUE!</v>
      </c>
      <c r="F3480" s="5" t="str">
        <f t="shared" si="55"/>
        <v/>
      </c>
      <c r="G3480" s="5" t="str">
        <f>IF(B3480="","",股指期货基差分析!$N$11)</f>
        <v/>
      </c>
      <c r="H3480" s="5" t="str">
        <f>IF(B3480="","",股指期货基差分析!$L$11)</f>
        <v/>
      </c>
      <c r="I3480" s="9" t="str">
        <f>IF(B3480="","",股指期货基差分析!$D$11)</f>
        <v/>
      </c>
    </row>
    <row r="3481" spans="3:9" ht="15" customHeight="1" x14ac:dyDescent="0.2">
      <c r="C3481" s="5" t="str">
        <f>IF(B3481="","",[1]!s_dq_close(股指期货基差分析!$E$5,$B3481))</f>
        <v/>
      </c>
      <c r="D3481" s="5" t="str">
        <f>IF(B3481="","",[1]!s_dq_close(股指期货基差分析!$E$6,$B3481))</f>
        <v/>
      </c>
      <c r="E3481" s="4" t="e">
        <f ca="1">RANK(F3481,F:F)+COUNTIF(F$2:F3481,F3481)-1</f>
        <v>#VALUE!</v>
      </c>
      <c r="F3481" s="5" t="str">
        <f t="shared" si="55"/>
        <v/>
      </c>
      <c r="G3481" s="5" t="str">
        <f>IF(B3481="","",股指期货基差分析!$N$11)</f>
        <v/>
      </c>
      <c r="H3481" s="5" t="str">
        <f>IF(B3481="","",股指期货基差分析!$L$11)</f>
        <v/>
      </c>
      <c r="I3481" s="9" t="str">
        <f>IF(B3481="","",股指期货基差分析!$D$11)</f>
        <v/>
      </c>
    </row>
    <row r="3482" spans="3:9" ht="15" customHeight="1" x14ac:dyDescent="0.2">
      <c r="C3482" s="5" t="str">
        <f>IF(B3482="","",[1]!s_dq_close(股指期货基差分析!$E$5,$B3482))</f>
        <v/>
      </c>
      <c r="D3482" s="5" t="str">
        <f>IF(B3482="","",[1]!s_dq_close(股指期货基差分析!$E$6,$B3482))</f>
        <v/>
      </c>
      <c r="E3482" s="4" t="e">
        <f ca="1">RANK(F3482,F:F)+COUNTIF(F$2:F3482,F3482)-1</f>
        <v>#VALUE!</v>
      </c>
      <c r="F3482" s="5" t="str">
        <f t="shared" si="55"/>
        <v/>
      </c>
      <c r="G3482" s="5" t="str">
        <f>IF(B3482="","",股指期货基差分析!$N$11)</f>
        <v/>
      </c>
      <c r="H3482" s="5" t="str">
        <f>IF(B3482="","",股指期货基差分析!$L$11)</f>
        <v/>
      </c>
      <c r="I3482" s="9" t="str">
        <f>IF(B3482="","",股指期货基差分析!$D$11)</f>
        <v/>
      </c>
    </row>
    <row r="3483" spans="3:9" ht="15" customHeight="1" x14ac:dyDescent="0.2">
      <c r="C3483" s="5" t="str">
        <f>IF(B3483="","",[1]!s_dq_close(股指期货基差分析!$E$5,$B3483))</f>
        <v/>
      </c>
      <c r="D3483" s="5" t="str">
        <f>IF(B3483="","",[1]!s_dq_close(股指期货基差分析!$E$6,$B3483))</f>
        <v/>
      </c>
      <c r="E3483" s="4" t="e">
        <f ca="1">RANK(F3483,F:F)+COUNTIF(F$2:F3483,F3483)-1</f>
        <v>#VALUE!</v>
      </c>
      <c r="F3483" s="5" t="str">
        <f t="shared" si="55"/>
        <v/>
      </c>
      <c r="G3483" s="5" t="str">
        <f>IF(B3483="","",股指期货基差分析!$N$11)</f>
        <v/>
      </c>
      <c r="H3483" s="5" t="str">
        <f>IF(B3483="","",股指期货基差分析!$L$11)</f>
        <v/>
      </c>
      <c r="I3483" s="9" t="str">
        <f>IF(B3483="","",股指期货基差分析!$D$11)</f>
        <v/>
      </c>
    </row>
    <row r="3484" spans="3:9" ht="15" customHeight="1" x14ac:dyDescent="0.2">
      <c r="C3484" s="5" t="str">
        <f>IF(B3484="","",[1]!s_dq_close(股指期货基差分析!$E$5,$B3484))</f>
        <v/>
      </c>
      <c r="D3484" s="5" t="str">
        <f>IF(B3484="","",[1]!s_dq_close(股指期货基差分析!$E$6,$B3484))</f>
        <v/>
      </c>
      <c r="E3484" s="4" t="e">
        <f ca="1">RANK(F3484,F:F)+COUNTIF(F$2:F3484,F3484)-1</f>
        <v>#VALUE!</v>
      </c>
      <c r="F3484" s="5" t="str">
        <f t="shared" si="55"/>
        <v/>
      </c>
      <c r="G3484" s="5" t="str">
        <f>IF(B3484="","",股指期货基差分析!$N$11)</f>
        <v/>
      </c>
      <c r="H3484" s="5" t="str">
        <f>IF(B3484="","",股指期货基差分析!$L$11)</f>
        <v/>
      </c>
      <c r="I3484" s="9" t="str">
        <f>IF(B3484="","",股指期货基差分析!$D$11)</f>
        <v/>
      </c>
    </row>
    <row r="3485" spans="3:9" ht="15" customHeight="1" x14ac:dyDescent="0.2">
      <c r="C3485" s="5" t="str">
        <f>IF(B3485="","",[1]!s_dq_close(股指期货基差分析!$E$5,$B3485))</f>
        <v/>
      </c>
      <c r="D3485" s="5" t="str">
        <f>IF(B3485="","",[1]!s_dq_close(股指期货基差分析!$E$6,$B3485))</f>
        <v/>
      </c>
      <c r="E3485" s="4" t="e">
        <f ca="1">RANK(F3485,F:F)+COUNTIF(F$2:F3485,F3485)-1</f>
        <v>#VALUE!</v>
      </c>
      <c r="F3485" s="5" t="str">
        <f t="shared" si="55"/>
        <v/>
      </c>
      <c r="G3485" s="5" t="str">
        <f>IF(B3485="","",股指期货基差分析!$N$11)</f>
        <v/>
      </c>
      <c r="H3485" s="5" t="str">
        <f>IF(B3485="","",股指期货基差分析!$L$11)</f>
        <v/>
      </c>
      <c r="I3485" s="9" t="str">
        <f>IF(B3485="","",股指期货基差分析!$D$11)</f>
        <v/>
      </c>
    </row>
    <row r="3486" spans="3:9" ht="15" customHeight="1" x14ac:dyDescent="0.2">
      <c r="C3486" s="5" t="str">
        <f>IF(B3486="","",[1]!s_dq_close(股指期货基差分析!$E$5,$B3486))</f>
        <v/>
      </c>
      <c r="D3486" s="5" t="str">
        <f>IF(B3486="","",[1]!s_dq_close(股指期货基差分析!$E$6,$B3486))</f>
        <v/>
      </c>
      <c r="E3486" s="4" t="e">
        <f ca="1">RANK(F3486,F:F)+COUNTIF(F$2:F3486,F3486)-1</f>
        <v>#VALUE!</v>
      </c>
      <c r="F3486" s="5" t="str">
        <f t="shared" si="55"/>
        <v/>
      </c>
      <c r="G3486" s="5" t="str">
        <f>IF(B3486="","",股指期货基差分析!$N$11)</f>
        <v/>
      </c>
      <c r="H3486" s="5" t="str">
        <f>IF(B3486="","",股指期货基差分析!$L$11)</f>
        <v/>
      </c>
      <c r="I3486" s="9" t="str">
        <f>IF(B3486="","",股指期货基差分析!$D$11)</f>
        <v/>
      </c>
    </row>
    <row r="3487" spans="3:9" ht="15" customHeight="1" x14ac:dyDescent="0.2">
      <c r="C3487" s="5" t="str">
        <f>IF(B3487="","",[1]!s_dq_close(股指期货基差分析!$E$5,$B3487))</f>
        <v/>
      </c>
      <c r="D3487" s="5" t="str">
        <f>IF(B3487="","",[1]!s_dq_close(股指期货基差分析!$E$6,$B3487))</f>
        <v/>
      </c>
      <c r="E3487" s="4" t="e">
        <f ca="1">RANK(F3487,F:F)+COUNTIF(F$2:F3487,F3487)-1</f>
        <v>#VALUE!</v>
      </c>
      <c r="F3487" s="5" t="str">
        <f t="shared" si="55"/>
        <v/>
      </c>
      <c r="G3487" s="5" t="str">
        <f>IF(B3487="","",股指期货基差分析!$N$11)</f>
        <v/>
      </c>
      <c r="H3487" s="5" t="str">
        <f>IF(B3487="","",股指期货基差分析!$L$11)</f>
        <v/>
      </c>
      <c r="I3487" s="9" t="str">
        <f>IF(B3487="","",股指期货基差分析!$D$11)</f>
        <v/>
      </c>
    </row>
    <row r="3488" spans="3:9" ht="15" customHeight="1" x14ac:dyDescent="0.2">
      <c r="C3488" s="5" t="str">
        <f>IF(B3488="","",[1]!s_dq_close(股指期货基差分析!$E$5,$B3488))</f>
        <v/>
      </c>
      <c r="D3488" s="5" t="str">
        <f>IF(B3488="","",[1]!s_dq_close(股指期货基差分析!$E$6,$B3488))</f>
        <v/>
      </c>
      <c r="E3488" s="4" t="e">
        <f ca="1">RANK(F3488,F:F)+COUNTIF(F$2:F3488,F3488)-1</f>
        <v>#VALUE!</v>
      </c>
      <c r="F3488" s="5" t="str">
        <f t="shared" si="55"/>
        <v/>
      </c>
      <c r="G3488" s="5" t="str">
        <f>IF(B3488="","",股指期货基差分析!$N$11)</f>
        <v/>
      </c>
      <c r="H3488" s="5" t="str">
        <f>IF(B3488="","",股指期货基差分析!$L$11)</f>
        <v/>
      </c>
      <c r="I3488" s="9" t="str">
        <f>IF(B3488="","",股指期货基差分析!$D$11)</f>
        <v/>
      </c>
    </row>
    <row r="3489" spans="3:9" ht="15" customHeight="1" x14ac:dyDescent="0.2">
      <c r="C3489" s="5" t="str">
        <f>IF(B3489="","",[1]!s_dq_close(股指期货基差分析!$E$5,$B3489))</f>
        <v/>
      </c>
      <c r="D3489" s="5" t="str">
        <f>IF(B3489="","",[1]!s_dq_close(股指期货基差分析!$E$6,$B3489))</f>
        <v/>
      </c>
      <c r="E3489" s="4" t="e">
        <f ca="1">RANK(F3489,F:F)+COUNTIF(F$2:F3489,F3489)-1</f>
        <v>#VALUE!</v>
      </c>
      <c r="F3489" s="5" t="str">
        <f t="shared" si="55"/>
        <v/>
      </c>
      <c r="G3489" s="5" t="str">
        <f>IF(B3489="","",股指期货基差分析!$N$11)</f>
        <v/>
      </c>
      <c r="H3489" s="5" t="str">
        <f>IF(B3489="","",股指期货基差分析!$L$11)</f>
        <v/>
      </c>
      <c r="I3489" s="9" t="str">
        <f>IF(B3489="","",股指期货基差分析!$D$11)</f>
        <v/>
      </c>
    </row>
    <row r="3490" spans="3:9" ht="15" customHeight="1" x14ac:dyDescent="0.2">
      <c r="C3490" s="5" t="str">
        <f>IF(B3490="","",[1]!s_dq_close(股指期货基差分析!$E$5,$B3490))</f>
        <v/>
      </c>
      <c r="D3490" s="5" t="str">
        <f>IF(B3490="","",[1]!s_dq_close(股指期货基差分析!$E$6,$B3490))</f>
        <v/>
      </c>
      <c r="E3490" s="4" t="e">
        <f ca="1">RANK(F3490,F:F)+COUNTIF(F$2:F3490,F3490)-1</f>
        <v>#VALUE!</v>
      </c>
      <c r="F3490" s="5" t="str">
        <f t="shared" si="55"/>
        <v/>
      </c>
      <c r="G3490" s="5" t="str">
        <f>IF(B3490="","",股指期货基差分析!$N$11)</f>
        <v/>
      </c>
      <c r="H3490" s="5" t="str">
        <f>IF(B3490="","",股指期货基差分析!$L$11)</f>
        <v/>
      </c>
      <c r="I3490" s="9" t="str">
        <f>IF(B3490="","",股指期货基差分析!$D$11)</f>
        <v/>
      </c>
    </row>
    <row r="3491" spans="3:9" ht="15" customHeight="1" x14ac:dyDescent="0.2">
      <c r="C3491" s="5" t="str">
        <f>IF(B3491="","",[1]!s_dq_close(股指期货基差分析!$E$5,$B3491))</f>
        <v/>
      </c>
      <c r="D3491" s="5" t="str">
        <f>IF(B3491="","",[1]!s_dq_close(股指期货基差分析!$E$6,$B3491))</f>
        <v/>
      </c>
      <c r="E3491" s="4" t="e">
        <f ca="1">RANK(F3491,F:F)+COUNTIF(F$2:F3491,F3491)-1</f>
        <v>#VALUE!</v>
      </c>
      <c r="F3491" s="5" t="str">
        <f t="shared" si="55"/>
        <v/>
      </c>
      <c r="G3491" s="5" t="str">
        <f>IF(B3491="","",股指期货基差分析!$N$11)</f>
        <v/>
      </c>
      <c r="H3491" s="5" t="str">
        <f>IF(B3491="","",股指期货基差分析!$L$11)</f>
        <v/>
      </c>
      <c r="I3491" s="9" t="str">
        <f>IF(B3491="","",股指期货基差分析!$D$11)</f>
        <v/>
      </c>
    </row>
    <row r="3492" spans="3:9" ht="15" customHeight="1" x14ac:dyDescent="0.2">
      <c r="C3492" s="5" t="str">
        <f>IF(B3492="","",[1]!s_dq_close(股指期货基差分析!$E$5,$B3492))</f>
        <v/>
      </c>
      <c r="D3492" s="5" t="str">
        <f>IF(B3492="","",[1]!s_dq_close(股指期货基差分析!$E$6,$B3492))</f>
        <v/>
      </c>
      <c r="E3492" s="4" t="e">
        <f ca="1">RANK(F3492,F:F)+COUNTIF(F$2:F3492,F3492)-1</f>
        <v>#VALUE!</v>
      </c>
      <c r="F3492" s="5" t="str">
        <f t="shared" si="55"/>
        <v/>
      </c>
      <c r="G3492" s="5" t="str">
        <f>IF(B3492="","",股指期货基差分析!$N$11)</f>
        <v/>
      </c>
      <c r="H3492" s="5" t="str">
        <f>IF(B3492="","",股指期货基差分析!$L$11)</f>
        <v/>
      </c>
      <c r="I3492" s="9" t="str">
        <f>IF(B3492="","",股指期货基差分析!$D$11)</f>
        <v/>
      </c>
    </row>
    <row r="3493" spans="3:9" ht="15" customHeight="1" x14ac:dyDescent="0.2">
      <c r="C3493" s="5" t="str">
        <f>IF(B3493="","",[1]!s_dq_close(股指期货基差分析!$E$5,$B3493))</f>
        <v/>
      </c>
      <c r="D3493" s="5" t="str">
        <f>IF(B3493="","",[1]!s_dq_close(股指期货基差分析!$E$6,$B3493))</f>
        <v/>
      </c>
      <c r="E3493" s="4" t="e">
        <f ca="1">RANK(F3493,F:F)+COUNTIF(F$2:F3493,F3493)-1</f>
        <v>#VALUE!</v>
      </c>
      <c r="F3493" s="5" t="str">
        <f t="shared" si="55"/>
        <v/>
      </c>
      <c r="G3493" s="5" t="str">
        <f>IF(B3493="","",股指期货基差分析!$N$11)</f>
        <v/>
      </c>
      <c r="H3493" s="5" t="str">
        <f>IF(B3493="","",股指期货基差分析!$L$11)</f>
        <v/>
      </c>
      <c r="I3493" s="9" t="str">
        <f>IF(B3493="","",股指期货基差分析!$D$11)</f>
        <v/>
      </c>
    </row>
    <row r="3494" spans="3:9" ht="15" customHeight="1" x14ac:dyDescent="0.2">
      <c r="C3494" s="5" t="str">
        <f>IF(B3494="","",[1]!s_dq_close(股指期货基差分析!$E$5,$B3494))</f>
        <v/>
      </c>
      <c r="D3494" s="5" t="str">
        <f>IF(B3494="","",[1]!s_dq_close(股指期货基差分析!$E$6,$B3494))</f>
        <v/>
      </c>
      <c r="E3494" s="4" t="e">
        <f ca="1">RANK(F3494,F:F)+COUNTIF(F$2:F3494,F3494)-1</f>
        <v>#VALUE!</v>
      </c>
      <c r="F3494" s="5" t="str">
        <f t="shared" si="55"/>
        <v/>
      </c>
      <c r="G3494" s="5" t="str">
        <f>IF(B3494="","",股指期货基差分析!$N$11)</f>
        <v/>
      </c>
      <c r="H3494" s="5" t="str">
        <f>IF(B3494="","",股指期货基差分析!$L$11)</f>
        <v/>
      </c>
      <c r="I3494" s="9" t="str">
        <f>IF(B3494="","",股指期货基差分析!$D$11)</f>
        <v/>
      </c>
    </row>
    <row r="3495" spans="3:9" ht="15" customHeight="1" x14ac:dyDescent="0.2">
      <c r="C3495" s="5" t="str">
        <f>IF(B3495="","",[1]!s_dq_close(股指期货基差分析!$E$5,$B3495))</f>
        <v/>
      </c>
      <c r="D3495" s="5" t="str">
        <f>IF(B3495="","",[1]!s_dq_close(股指期货基差分析!$E$6,$B3495))</f>
        <v/>
      </c>
      <c r="E3495" s="4" t="e">
        <f ca="1">RANK(F3495,F:F)+COUNTIF(F$2:F3495,F3495)-1</f>
        <v>#VALUE!</v>
      </c>
      <c r="F3495" s="5" t="str">
        <f t="shared" si="55"/>
        <v/>
      </c>
      <c r="G3495" s="5" t="str">
        <f>IF(B3495="","",股指期货基差分析!$N$11)</f>
        <v/>
      </c>
      <c r="H3495" s="5" t="str">
        <f>IF(B3495="","",股指期货基差分析!$L$11)</f>
        <v/>
      </c>
      <c r="I3495" s="9" t="str">
        <f>IF(B3495="","",股指期货基差分析!$D$11)</f>
        <v/>
      </c>
    </row>
    <row r="3496" spans="3:9" ht="15" customHeight="1" x14ac:dyDescent="0.2">
      <c r="C3496" s="5" t="str">
        <f>IF(B3496="","",[1]!s_dq_close(股指期货基差分析!$E$5,$B3496))</f>
        <v/>
      </c>
      <c r="D3496" s="5" t="str">
        <f>IF(B3496="","",[1]!s_dq_close(股指期货基差分析!$E$6,$B3496))</f>
        <v/>
      </c>
      <c r="E3496" s="4" t="e">
        <f ca="1">RANK(F3496,F:F)+COUNTIF(F$2:F3496,F3496)-1</f>
        <v>#VALUE!</v>
      </c>
      <c r="F3496" s="5" t="str">
        <f t="shared" si="55"/>
        <v/>
      </c>
      <c r="G3496" s="5" t="str">
        <f>IF(B3496="","",股指期货基差分析!$N$11)</f>
        <v/>
      </c>
      <c r="H3496" s="5" t="str">
        <f>IF(B3496="","",股指期货基差分析!$L$11)</f>
        <v/>
      </c>
      <c r="I3496" s="9" t="str">
        <f>IF(B3496="","",股指期货基差分析!$D$11)</f>
        <v/>
      </c>
    </row>
    <row r="3497" spans="3:9" ht="15" customHeight="1" x14ac:dyDescent="0.2">
      <c r="C3497" s="5" t="str">
        <f>IF(B3497="","",[1]!s_dq_close(股指期货基差分析!$E$5,$B3497))</f>
        <v/>
      </c>
      <c r="D3497" s="5" t="str">
        <f>IF(B3497="","",[1]!s_dq_close(股指期货基差分析!$E$6,$B3497))</f>
        <v/>
      </c>
      <c r="E3497" s="4" t="e">
        <f ca="1">RANK(F3497,F:F)+COUNTIF(F$2:F3497,F3497)-1</f>
        <v>#VALUE!</v>
      </c>
      <c r="F3497" s="5" t="str">
        <f t="shared" si="55"/>
        <v/>
      </c>
      <c r="G3497" s="5" t="str">
        <f>IF(B3497="","",股指期货基差分析!$N$11)</f>
        <v/>
      </c>
      <c r="H3497" s="5" t="str">
        <f>IF(B3497="","",股指期货基差分析!$L$11)</f>
        <v/>
      </c>
      <c r="I3497" s="9" t="str">
        <f>IF(B3497="","",股指期货基差分析!$D$11)</f>
        <v/>
      </c>
    </row>
    <row r="3498" spans="3:9" ht="15" customHeight="1" x14ac:dyDescent="0.2">
      <c r="C3498" s="5" t="str">
        <f>IF(B3498="","",[1]!s_dq_close(股指期货基差分析!$E$5,$B3498))</f>
        <v/>
      </c>
      <c r="D3498" s="5" t="str">
        <f>IF(B3498="","",[1]!s_dq_close(股指期货基差分析!$E$6,$B3498))</f>
        <v/>
      </c>
      <c r="E3498" s="4" t="e">
        <f ca="1">RANK(F3498,F:F)+COUNTIF(F$2:F3498,F3498)-1</f>
        <v>#VALUE!</v>
      </c>
      <c r="F3498" s="5" t="str">
        <f t="shared" si="55"/>
        <v/>
      </c>
      <c r="G3498" s="5" t="str">
        <f>IF(B3498="","",股指期货基差分析!$N$11)</f>
        <v/>
      </c>
      <c r="H3498" s="5" t="str">
        <f>IF(B3498="","",股指期货基差分析!$L$11)</f>
        <v/>
      </c>
      <c r="I3498" s="9" t="str">
        <f>IF(B3498="","",股指期货基差分析!$D$11)</f>
        <v/>
      </c>
    </row>
    <row r="3499" spans="3:9" ht="15" customHeight="1" x14ac:dyDescent="0.2">
      <c r="C3499" s="5" t="str">
        <f>IF(B3499="","",[1]!s_dq_close(股指期货基差分析!$E$5,$B3499))</f>
        <v/>
      </c>
      <c r="D3499" s="5" t="str">
        <f>IF(B3499="","",[1]!s_dq_close(股指期货基差分析!$E$6,$B3499))</f>
        <v/>
      </c>
      <c r="E3499" s="4" t="e">
        <f ca="1">RANK(F3499,F:F)+COUNTIF(F$2:F3499,F3499)-1</f>
        <v>#VALUE!</v>
      </c>
      <c r="F3499" s="5" t="str">
        <f t="shared" si="55"/>
        <v/>
      </c>
      <c r="G3499" s="5" t="str">
        <f>IF(B3499="","",股指期货基差分析!$N$11)</f>
        <v/>
      </c>
      <c r="H3499" s="5" t="str">
        <f>IF(B3499="","",股指期货基差分析!$L$11)</f>
        <v/>
      </c>
      <c r="I3499" s="9" t="str">
        <f>IF(B3499="","",股指期货基差分析!$D$11)</f>
        <v/>
      </c>
    </row>
    <row r="3500" spans="3:9" ht="15" customHeight="1" x14ac:dyDescent="0.2">
      <c r="C3500" s="5" t="str">
        <f>IF(B3500="","",[1]!s_dq_close(股指期货基差分析!$E$5,$B3500))</f>
        <v/>
      </c>
      <c r="D3500" s="5" t="str">
        <f>IF(B3500="","",[1]!s_dq_close(股指期货基差分析!$E$6,$B3500))</f>
        <v/>
      </c>
      <c r="E3500" s="4" t="e">
        <f ca="1">RANK(F3500,F:F)+COUNTIF(F$2:F3500,F3500)-1</f>
        <v>#VALUE!</v>
      </c>
      <c r="F3500" s="5" t="str">
        <f t="shared" si="55"/>
        <v/>
      </c>
      <c r="G3500" s="5" t="str">
        <f>IF(B3500="","",股指期货基差分析!$N$11)</f>
        <v/>
      </c>
      <c r="H3500" s="5" t="str">
        <f>IF(B3500="","",股指期货基差分析!$L$11)</f>
        <v/>
      </c>
      <c r="I3500" s="9" t="str">
        <f>IF(B3500="","",股指期货基差分析!$D$11)</f>
        <v/>
      </c>
    </row>
    <row r="3501" spans="3:9" ht="15" customHeight="1" x14ac:dyDescent="0.2">
      <c r="C3501" s="5" t="str">
        <f>IF(B3501="","",[1]!s_dq_close(股指期货基差分析!$E$5,$B3501))</f>
        <v/>
      </c>
      <c r="D3501" s="5" t="str">
        <f>IF(B3501="","",[1]!s_dq_close(股指期货基差分析!$E$6,$B3501))</f>
        <v/>
      </c>
      <c r="E3501" s="4" t="e">
        <f ca="1">RANK(F3501,F:F)+COUNTIF(F$2:F3501,F3501)-1</f>
        <v>#VALUE!</v>
      </c>
      <c r="F3501" s="5" t="str">
        <f t="shared" si="55"/>
        <v/>
      </c>
      <c r="G3501" s="5" t="str">
        <f>IF(B3501="","",股指期货基差分析!$N$11)</f>
        <v/>
      </c>
      <c r="H3501" s="5" t="str">
        <f>IF(B3501="","",股指期货基差分析!$L$11)</f>
        <v/>
      </c>
      <c r="I3501" s="9" t="str">
        <f>IF(B3501="","",股指期货基差分析!$D$11)</f>
        <v/>
      </c>
    </row>
    <row r="3502" spans="3:9" ht="15" customHeight="1" x14ac:dyDescent="0.2">
      <c r="C3502" s="5" t="str">
        <f>IF(B3502="","",[1]!s_dq_close(股指期货基差分析!$E$5,$B3502))</f>
        <v/>
      </c>
      <c r="D3502" s="5" t="str">
        <f>IF(B3502="","",[1]!s_dq_close(股指期货基差分析!$E$6,$B3502))</f>
        <v/>
      </c>
      <c r="E3502" s="4" t="e">
        <f ca="1">RANK(F3502,F:F)+COUNTIF(F$2:F3502,F3502)-1</f>
        <v>#VALUE!</v>
      </c>
      <c r="F3502" s="5" t="str">
        <f t="shared" si="55"/>
        <v/>
      </c>
      <c r="G3502" s="5" t="str">
        <f>IF(B3502="","",股指期货基差分析!$N$11)</f>
        <v/>
      </c>
      <c r="H3502" s="5" t="str">
        <f>IF(B3502="","",股指期货基差分析!$L$11)</f>
        <v/>
      </c>
      <c r="I3502" s="9" t="str">
        <f>IF(B3502="","",股指期货基差分析!$D$11)</f>
        <v/>
      </c>
    </row>
    <row r="3503" spans="3:9" ht="15" customHeight="1" x14ac:dyDescent="0.2">
      <c r="C3503" s="5" t="str">
        <f>IF(B3503="","",[1]!s_dq_close(股指期货基差分析!$E$5,$B3503))</f>
        <v/>
      </c>
      <c r="D3503" s="5" t="str">
        <f>IF(B3503="","",[1]!s_dq_close(股指期货基差分析!$E$6,$B3503))</f>
        <v/>
      </c>
      <c r="E3503" s="4" t="e">
        <f ca="1">RANK(F3503,F:F)+COUNTIF(F$2:F3503,F3503)-1</f>
        <v>#VALUE!</v>
      </c>
      <c r="F3503" s="5" t="str">
        <f t="shared" si="55"/>
        <v/>
      </c>
      <c r="G3503" s="5" t="str">
        <f>IF(B3503="","",股指期货基差分析!$N$11)</f>
        <v/>
      </c>
      <c r="H3503" s="5" t="str">
        <f>IF(B3503="","",股指期货基差分析!$L$11)</f>
        <v/>
      </c>
      <c r="I3503" s="9" t="str">
        <f>IF(B3503="","",股指期货基差分析!$D$11)</f>
        <v/>
      </c>
    </row>
    <row r="3504" spans="3:9" ht="15" customHeight="1" x14ac:dyDescent="0.2">
      <c r="C3504" s="5" t="str">
        <f>IF(B3504="","",[1]!s_dq_close(股指期货基差分析!$E$5,$B3504))</f>
        <v/>
      </c>
      <c r="D3504" s="5" t="str">
        <f>IF(B3504="","",[1]!s_dq_close(股指期货基差分析!$E$6,$B3504))</f>
        <v/>
      </c>
      <c r="E3504" s="4" t="e">
        <f ca="1">RANK(F3504,F:F)+COUNTIF(F$2:F3504,F3504)-1</f>
        <v>#VALUE!</v>
      </c>
      <c r="F3504" s="5" t="str">
        <f t="shared" si="55"/>
        <v/>
      </c>
      <c r="G3504" s="5" t="str">
        <f>IF(B3504="","",股指期货基差分析!$N$11)</f>
        <v/>
      </c>
      <c r="H3504" s="5" t="str">
        <f>IF(B3504="","",股指期货基差分析!$L$11)</f>
        <v/>
      </c>
      <c r="I3504" s="9" t="str">
        <f>IF(B3504="","",股指期货基差分析!$D$11)</f>
        <v/>
      </c>
    </row>
    <row r="3505" spans="3:9" ht="15" customHeight="1" x14ac:dyDescent="0.2">
      <c r="C3505" s="5" t="str">
        <f>IF(B3505="","",[1]!s_dq_close(股指期货基差分析!$E$5,$B3505))</f>
        <v/>
      </c>
      <c r="D3505" s="5" t="str">
        <f>IF(B3505="","",[1]!s_dq_close(股指期货基差分析!$E$6,$B3505))</f>
        <v/>
      </c>
      <c r="E3505" s="4" t="e">
        <f ca="1">RANK(F3505,F:F)+COUNTIF(F$2:F3505,F3505)-1</f>
        <v>#VALUE!</v>
      </c>
      <c r="F3505" s="5" t="str">
        <f t="shared" si="55"/>
        <v/>
      </c>
      <c r="G3505" s="5" t="str">
        <f>IF(B3505="","",股指期货基差分析!$N$11)</f>
        <v/>
      </c>
      <c r="H3505" s="5" t="str">
        <f>IF(B3505="","",股指期货基差分析!$L$11)</f>
        <v/>
      </c>
      <c r="I3505" s="9" t="str">
        <f>IF(B3505="","",股指期货基差分析!$D$11)</f>
        <v/>
      </c>
    </row>
    <row r="3506" spans="3:9" ht="15" customHeight="1" x14ac:dyDescent="0.2">
      <c r="C3506" s="5" t="str">
        <f>IF(B3506="","",[1]!s_dq_close(股指期货基差分析!$E$5,$B3506))</f>
        <v/>
      </c>
      <c r="D3506" s="5" t="str">
        <f>IF(B3506="","",[1]!s_dq_close(股指期货基差分析!$E$6,$B3506))</f>
        <v/>
      </c>
      <c r="E3506" s="4" t="e">
        <f ca="1">RANK(F3506,F:F)+COUNTIF(F$2:F3506,F3506)-1</f>
        <v>#VALUE!</v>
      </c>
      <c r="F3506" s="5" t="str">
        <f t="shared" si="55"/>
        <v/>
      </c>
      <c r="G3506" s="5" t="str">
        <f>IF(B3506="","",股指期货基差分析!$N$11)</f>
        <v/>
      </c>
      <c r="H3506" s="5" t="str">
        <f>IF(B3506="","",股指期货基差分析!$L$11)</f>
        <v/>
      </c>
      <c r="I3506" s="9" t="str">
        <f>IF(B3506="","",股指期货基差分析!$D$11)</f>
        <v/>
      </c>
    </row>
    <row r="3507" spans="3:9" ht="15" customHeight="1" x14ac:dyDescent="0.2">
      <c r="C3507" s="5" t="str">
        <f>IF(B3507="","",[1]!s_dq_close(股指期货基差分析!$E$5,$B3507))</f>
        <v/>
      </c>
      <c r="D3507" s="5" t="str">
        <f>IF(B3507="","",[1]!s_dq_close(股指期货基差分析!$E$6,$B3507))</f>
        <v/>
      </c>
      <c r="E3507" s="4" t="e">
        <f ca="1">RANK(F3507,F:F)+COUNTIF(F$2:F3507,F3507)-1</f>
        <v>#VALUE!</v>
      </c>
      <c r="F3507" s="5" t="str">
        <f t="shared" si="55"/>
        <v/>
      </c>
      <c r="G3507" s="5" t="str">
        <f>IF(B3507="","",股指期货基差分析!$N$11)</f>
        <v/>
      </c>
      <c r="H3507" s="5" t="str">
        <f>IF(B3507="","",股指期货基差分析!$L$11)</f>
        <v/>
      </c>
      <c r="I3507" s="9" t="str">
        <f>IF(B3507="","",股指期货基差分析!$D$11)</f>
        <v/>
      </c>
    </row>
    <row r="3508" spans="3:9" ht="15" customHeight="1" x14ac:dyDescent="0.2">
      <c r="C3508" s="5" t="str">
        <f>IF(B3508="","",[1]!s_dq_close(股指期货基差分析!$E$5,$B3508))</f>
        <v/>
      </c>
      <c r="D3508" s="5" t="str">
        <f>IF(B3508="","",[1]!s_dq_close(股指期货基差分析!$E$6,$B3508))</f>
        <v/>
      </c>
      <c r="E3508" s="4" t="e">
        <f ca="1">RANK(F3508,F:F)+COUNTIF(F$2:F3508,F3508)-1</f>
        <v>#VALUE!</v>
      </c>
      <c r="F3508" s="5" t="str">
        <f t="shared" si="55"/>
        <v/>
      </c>
      <c r="G3508" s="5" t="str">
        <f>IF(B3508="","",股指期货基差分析!$N$11)</f>
        <v/>
      </c>
      <c r="H3508" s="5" t="str">
        <f>IF(B3508="","",股指期货基差分析!$L$11)</f>
        <v/>
      </c>
      <c r="I3508" s="9" t="str">
        <f>IF(B3508="","",股指期货基差分析!$D$11)</f>
        <v/>
      </c>
    </row>
    <row r="3509" spans="3:9" ht="15" customHeight="1" x14ac:dyDescent="0.2">
      <c r="C3509" s="5" t="str">
        <f>IF(B3509="","",[1]!s_dq_close(股指期货基差分析!$E$5,$B3509))</f>
        <v/>
      </c>
      <c r="D3509" s="5" t="str">
        <f>IF(B3509="","",[1]!s_dq_close(股指期货基差分析!$E$6,$B3509))</f>
        <v/>
      </c>
      <c r="E3509" s="4" t="e">
        <f ca="1">RANK(F3509,F:F)+COUNTIF(F$2:F3509,F3509)-1</f>
        <v>#VALUE!</v>
      </c>
      <c r="F3509" s="5" t="str">
        <f t="shared" si="55"/>
        <v/>
      </c>
      <c r="G3509" s="5" t="str">
        <f>IF(B3509="","",股指期货基差分析!$N$11)</f>
        <v/>
      </c>
      <c r="H3509" s="5" t="str">
        <f>IF(B3509="","",股指期货基差分析!$L$11)</f>
        <v/>
      </c>
      <c r="I3509" s="9" t="str">
        <f>IF(B3509="","",股指期货基差分析!$D$11)</f>
        <v/>
      </c>
    </row>
    <row r="3510" spans="3:9" ht="15" customHeight="1" x14ac:dyDescent="0.2">
      <c r="C3510" s="5" t="str">
        <f>IF(B3510="","",[1]!s_dq_close(股指期货基差分析!$E$5,$B3510))</f>
        <v/>
      </c>
      <c r="D3510" s="5" t="str">
        <f>IF(B3510="","",[1]!s_dq_close(股指期货基差分析!$E$6,$B3510))</f>
        <v/>
      </c>
      <c r="E3510" s="4" t="e">
        <f ca="1">RANK(F3510,F:F)+COUNTIF(F$2:F3510,F3510)-1</f>
        <v>#VALUE!</v>
      </c>
      <c r="F3510" s="5" t="str">
        <f t="shared" si="55"/>
        <v/>
      </c>
      <c r="G3510" s="5" t="str">
        <f>IF(B3510="","",股指期货基差分析!$N$11)</f>
        <v/>
      </c>
      <c r="H3510" s="5" t="str">
        <f>IF(B3510="","",股指期货基差分析!$L$11)</f>
        <v/>
      </c>
      <c r="I3510" s="9" t="str">
        <f>IF(B3510="","",股指期货基差分析!$D$11)</f>
        <v/>
      </c>
    </row>
    <row r="3511" spans="3:9" ht="15" customHeight="1" x14ac:dyDescent="0.2">
      <c r="C3511" s="5" t="str">
        <f>IF(B3511="","",[1]!s_dq_close(股指期货基差分析!$E$5,$B3511))</f>
        <v/>
      </c>
      <c r="D3511" s="5" t="str">
        <f>IF(B3511="","",[1]!s_dq_close(股指期货基差分析!$E$6,$B3511))</f>
        <v/>
      </c>
      <c r="E3511" s="4" t="e">
        <f ca="1">RANK(F3511,F:F)+COUNTIF(F$2:F3511,F3511)-1</f>
        <v>#VALUE!</v>
      </c>
      <c r="F3511" s="5" t="str">
        <f t="shared" si="55"/>
        <v/>
      </c>
      <c r="G3511" s="5" t="str">
        <f>IF(B3511="","",股指期货基差分析!$N$11)</f>
        <v/>
      </c>
      <c r="H3511" s="5" t="str">
        <f>IF(B3511="","",股指期货基差分析!$L$11)</f>
        <v/>
      </c>
      <c r="I3511" s="9" t="str">
        <f>IF(B3511="","",股指期货基差分析!$D$11)</f>
        <v/>
      </c>
    </row>
    <row r="3512" spans="3:9" ht="15" customHeight="1" x14ac:dyDescent="0.2">
      <c r="C3512" s="5" t="str">
        <f>IF(B3512="","",[1]!s_dq_close(股指期货基差分析!$E$5,$B3512))</f>
        <v/>
      </c>
      <c r="D3512" s="5" t="str">
        <f>IF(B3512="","",[1]!s_dq_close(股指期货基差分析!$E$6,$B3512))</f>
        <v/>
      </c>
      <c r="E3512" s="4" t="e">
        <f ca="1">RANK(F3512,F:F)+COUNTIF(F$2:F3512,F3512)-1</f>
        <v>#VALUE!</v>
      </c>
      <c r="F3512" s="5" t="str">
        <f t="shared" si="55"/>
        <v/>
      </c>
      <c r="G3512" s="5" t="str">
        <f>IF(B3512="","",股指期货基差分析!$N$11)</f>
        <v/>
      </c>
      <c r="H3512" s="5" t="str">
        <f>IF(B3512="","",股指期货基差分析!$L$11)</f>
        <v/>
      </c>
      <c r="I3512" s="9" t="str">
        <f>IF(B3512="","",股指期货基差分析!$D$11)</f>
        <v/>
      </c>
    </row>
    <row r="3513" spans="3:9" ht="15" customHeight="1" x14ac:dyDescent="0.2">
      <c r="C3513" s="5" t="str">
        <f>IF(B3513="","",[1]!s_dq_close(股指期货基差分析!$E$5,$B3513))</f>
        <v/>
      </c>
      <c r="D3513" s="5" t="str">
        <f>IF(B3513="","",[1]!s_dq_close(股指期货基差分析!$E$6,$B3513))</f>
        <v/>
      </c>
      <c r="E3513" s="4" t="e">
        <f ca="1">RANK(F3513,F:F)+COUNTIF(F$2:F3513,F3513)-1</f>
        <v>#VALUE!</v>
      </c>
      <c r="F3513" s="5" t="str">
        <f t="shared" si="55"/>
        <v/>
      </c>
      <c r="G3513" s="5" t="str">
        <f>IF(B3513="","",股指期货基差分析!$N$11)</f>
        <v/>
      </c>
      <c r="H3513" s="5" t="str">
        <f>IF(B3513="","",股指期货基差分析!$L$11)</f>
        <v/>
      </c>
      <c r="I3513" s="9" t="str">
        <f>IF(B3513="","",股指期货基差分析!$D$11)</f>
        <v/>
      </c>
    </row>
    <row r="3514" spans="3:9" ht="15" customHeight="1" x14ac:dyDescent="0.2">
      <c r="C3514" s="5" t="str">
        <f>IF(B3514="","",[1]!s_dq_close(股指期货基差分析!$E$5,$B3514))</f>
        <v/>
      </c>
      <c r="D3514" s="5" t="str">
        <f>IF(B3514="","",[1]!s_dq_close(股指期货基差分析!$E$6,$B3514))</f>
        <v/>
      </c>
      <c r="E3514" s="4" t="e">
        <f ca="1">RANK(F3514,F:F)+COUNTIF(F$2:F3514,F3514)-1</f>
        <v>#VALUE!</v>
      </c>
      <c r="F3514" s="5" t="str">
        <f t="shared" si="55"/>
        <v/>
      </c>
      <c r="G3514" s="5" t="str">
        <f>IF(B3514="","",股指期货基差分析!$N$11)</f>
        <v/>
      </c>
      <c r="H3514" s="5" t="str">
        <f>IF(B3514="","",股指期货基差分析!$L$11)</f>
        <v/>
      </c>
      <c r="I3514" s="9" t="str">
        <f>IF(B3514="","",股指期货基差分析!$D$11)</f>
        <v/>
      </c>
    </row>
    <row r="3515" spans="3:9" ht="15" customHeight="1" x14ac:dyDescent="0.2">
      <c r="C3515" s="5" t="str">
        <f>IF(B3515="","",[1]!s_dq_close(股指期货基差分析!$E$5,$B3515))</f>
        <v/>
      </c>
      <c r="D3515" s="5" t="str">
        <f>IF(B3515="","",[1]!s_dq_close(股指期货基差分析!$E$6,$B3515))</f>
        <v/>
      </c>
      <c r="E3515" s="4" t="e">
        <f ca="1">RANK(F3515,F:F)+COUNTIF(F$2:F3515,F3515)-1</f>
        <v>#VALUE!</v>
      </c>
      <c r="F3515" s="5" t="str">
        <f t="shared" si="55"/>
        <v/>
      </c>
      <c r="G3515" s="5" t="str">
        <f>IF(B3515="","",股指期货基差分析!$N$11)</f>
        <v/>
      </c>
      <c r="H3515" s="5" t="str">
        <f>IF(B3515="","",股指期货基差分析!$L$11)</f>
        <v/>
      </c>
      <c r="I3515" s="9" t="str">
        <f>IF(B3515="","",股指期货基差分析!$D$11)</f>
        <v/>
      </c>
    </row>
    <row r="3516" spans="3:9" ht="15" customHeight="1" x14ac:dyDescent="0.2">
      <c r="C3516" s="5" t="str">
        <f>IF(B3516="","",[1]!s_dq_close(股指期货基差分析!$E$5,$B3516))</f>
        <v/>
      </c>
      <c r="D3516" s="5" t="str">
        <f>IF(B3516="","",[1]!s_dq_close(股指期货基差分析!$E$6,$B3516))</f>
        <v/>
      </c>
      <c r="E3516" s="4" t="e">
        <f ca="1">RANK(F3516,F:F)+COUNTIF(F$2:F3516,F3516)-1</f>
        <v>#VALUE!</v>
      </c>
      <c r="F3516" s="5" t="str">
        <f t="shared" si="55"/>
        <v/>
      </c>
      <c r="G3516" s="5" t="str">
        <f>IF(B3516="","",股指期货基差分析!$N$11)</f>
        <v/>
      </c>
      <c r="H3516" s="5" t="str">
        <f>IF(B3516="","",股指期货基差分析!$L$11)</f>
        <v/>
      </c>
      <c r="I3516" s="9" t="str">
        <f>IF(B3516="","",股指期货基差分析!$D$11)</f>
        <v/>
      </c>
    </row>
    <row r="3517" spans="3:9" ht="15" customHeight="1" x14ac:dyDescent="0.2">
      <c r="C3517" s="5" t="str">
        <f>IF(B3517="","",[1]!s_dq_close(股指期货基差分析!$E$5,$B3517))</f>
        <v/>
      </c>
      <c r="D3517" s="5" t="str">
        <f>IF(B3517="","",[1]!s_dq_close(股指期货基差分析!$E$6,$B3517))</f>
        <v/>
      </c>
      <c r="E3517" s="4" t="e">
        <f ca="1">RANK(F3517,F:F)+COUNTIF(F$2:F3517,F3517)-1</f>
        <v>#VALUE!</v>
      </c>
      <c r="F3517" s="5" t="str">
        <f t="shared" si="55"/>
        <v/>
      </c>
      <c r="G3517" s="5" t="str">
        <f>IF(B3517="","",股指期货基差分析!$N$11)</f>
        <v/>
      </c>
      <c r="H3517" s="5" t="str">
        <f>IF(B3517="","",股指期货基差分析!$L$11)</f>
        <v/>
      </c>
      <c r="I3517" s="9" t="str">
        <f>IF(B3517="","",股指期货基差分析!$D$11)</f>
        <v/>
      </c>
    </row>
    <row r="3518" spans="3:9" ht="15" customHeight="1" x14ac:dyDescent="0.2">
      <c r="C3518" s="5" t="str">
        <f>IF(B3518="","",[1]!s_dq_close(股指期货基差分析!$E$5,$B3518))</f>
        <v/>
      </c>
      <c r="D3518" s="5" t="str">
        <f>IF(B3518="","",[1]!s_dq_close(股指期货基差分析!$E$6,$B3518))</f>
        <v/>
      </c>
      <c r="E3518" s="4" t="e">
        <f ca="1">RANK(F3518,F:F)+COUNTIF(F$2:F3518,F3518)-1</f>
        <v>#VALUE!</v>
      </c>
      <c r="F3518" s="5" t="str">
        <f t="shared" si="55"/>
        <v/>
      </c>
      <c r="G3518" s="5" t="str">
        <f>IF(B3518="","",股指期货基差分析!$N$11)</f>
        <v/>
      </c>
      <c r="H3518" s="5" t="str">
        <f>IF(B3518="","",股指期货基差分析!$L$11)</f>
        <v/>
      </c>
      <c r="I3518" s="9" t="str">
        <f>IF(B3518="","",股指期货基差分析!$D$11)</f>
        <v/>
      </c>
    </row>
    <row r="3519" spans="3:9" ht="15" customHeight="1" x14ac:dyDescent="0.2">
      <c r="C3519" s="5" t="str">
        <f>IF(B3519="","",[1]!s_dq_close(股指期货基差分析!$E$5,$B3519))</f>
        <v/>
      </c>
      <c r="D3519" s="5" t="str">
        <f>IF(B3519="","",[1]!s_dq_close(股指期货基差分析!$E$6,$B3519))</f>
        <v/>
      </c>
      <c r="E3519" s="4" t="e">
        <f ca="1">RANK(F3519,F:F)+COUNTIF(F$2:F3519,F3519)-1</f>
        <v>#VALUE!</v>
      </c>
      <c r="F3519" s="5" t="str">
        <f t="shared" si="55"/>
        <v/>
      </c>
      <c r="G3519" s="5" t="str">
        <f>IF(B3519="","",股指期货基差分析!$N$11)</f>
        <v/>
      </c>
      <c r="H3519" s="5" t="str">
        <f>IF(B3519="","",股指期货基差分析!$L$11)</f>
        <v/>
      </c>
      <c r="I3519" s="9" t="str">
        <f>IF(B3519="","",股指期货基差分析!$D$11)</f>
        <v/>
      </c>
    </row>
    <row r="3520" spans="3:9" ht="15" customHeight="1" x14ac:dyDescent="0.2">
      <c r="C3520" s="5" t="str">
        <f>IF(B3520="","",[1]!s_dq_close(股指期货基差分析!$E$5,$B3520))</f>
        <v/>
      </c>
      <c r="D3520" s="5" t="str">
        <f>IF(B3520="","",[1]!s_dq_close(股指期货基差分析!$E$6,$B3520))</f>
        <v/>
      </c>
      <c r="E3520" s="4" t="e">
        <f ca="1">RANK(F3520,F:F)+COUNTIF(F$2:F3520,F3520)-1</f>
        <v>#VALUE!</v>
      </c>
      <c r="F3520" s="5" t="str">
        <f t="shared" si="55"/>
        <v/>
      </c>
      <c r="G3520" s="5" t="str">
        <f>IF(B3520="","",股指期货基差分析!$N$11)</f>
        <v/>
      </c>
      <c r="H3520" s="5" t="str">
        <f>IF(B3520="","",股指期货基差分析!$L$11)</f>
        <v/>
      </c>
      <c r="I3520" s="9" t="str">
        <f>IF(B3520="","",股指期货基差分析!$D$11)</f>
        <v/>
      </c>
    </row>
    <row r="3521" spans="3:9" ht="15" customHeight="1" x14ac:dyDescent="0.2">
      <c r="C3521" s="5" t="str">
        <f>IF(B3521="","",[1]!s_dq_close(股指期货基差分析!$E$5,$B3521))</f>
        <v/>
      </c>
      <c r="D3521" s="5" t="str">
        <f>IF(B3521="","",[1]!s_dq_close(股指期货基差分析!$E$6,$B3521))</f>
        <v/>
      </c>
      <c r="E3521" s="4" t="e">
        <f ca="1">RANK(F3521,F:F)+COUNTIF(F$2:F3521,F3521)-1</f>
        <v>#VALUE!</v>
      </c>
      <c r="F3521" s="5" t="str">
        <f t="shared" si="55"/>
        <v/>
      </c>
      <c r="G3521" s="5" t="str">
        <f>IF(B3521="","",股指期货基差分析!$N$11)</f>
        <v/>
      </c>
      <c r="H3521" s="5" t="str">
        <f>IF(B3521="","",股指期货基差分析!$L$11)</f>
        <v/>
      </c>
      <c r="I3521" s="9" t="str">
        <f>IF(B3521="","",股指期货基差分析!$D$11)</f>
        <v/>
      </c>
    </row>
    <row r="3522" spans="3:9" ht="15" customHeight="1" x14ac:dyDescent="0.2">
      <c r="C3522" s="5" t="str">
        <f>IF(B3522="","",[1]!s_dq_close(股指期货基差分析!$E$5,$B3522))</f>
        <v/>
      </c>
      <c r="D3522" s="5" t="str">
        <f>IF(B3522="","",[1]!s_dq_close(股指期货基差分析!$E$6,$B3522))</f>
        <v/>
      </c>
      <c r="E3522" s="4" t="e">
        <f ca="1">RANK(F3522,F:F)+COUNTIF(F$2:F3522,F3522)-1</f>
        <v>#VALUE!</v>
      </c>
      <c r="F3522" s="5" t="str">
        <f t="shared" ref="F3522:F3585" si="56">IF(B3522="","",D3522-C3522)</f>
        <v/>
      </c>
      <c r="G3522" s="5" t="str">
        <f>IF(B3522="","",股指期货基差分析!$N$11)</f>
        <v/>
      </c>
      <c r="H3522" s="5" t="str">
        <f>IF(B3522="","",股指期货基差分析!$L$11)</f>
        <v/>
      </c>
      <c r="I3522" s="9" t="str">
        <f>IF(B3522="","",股指期货基差分析!$D$11)</f>
        <v/>
      </c>
    </row>
    <row r="3523" spans="3:9" ht="15" customHeight="1" x14ac:dyDescent="0.2">
      <c r="C3523" s="5" t="str">
        <f>IF(B3523="","",[1]!s_dq_close(股指期货基差分析!$E$5,$B3523))</f>
        <v/>
      </c>
      <c r="D3523" s="5" t="str">
        <f>IF(B3523="","",[1]!s_dq_close(股指期货基差分析!$E$6,$B3523))</f>
        <v/>
      </c>
      <c r="E3523" s="4" t="e">
        <f ca="1">RANK(F3523,F:F)+COUNTIF(F$2:F3523,F3523)-1</f>
        <v>#VALUE!</v>
      </c>
      <c r="F3523" s="5" t="str">
        <f t="shared" si="56"/>
        <v/>
      </c>
      <c r="G3523" s="5" t="str">
        <f>IF(B3523="","",股指期货基差分析!$N$11)</f>
        <v/>
      </c>
      <c r="H3523" s="5" t="str">
        <f>IF(B3523="","",股指期货基差分析!$L$11)</f>
        <v/>
      </c>
      <c r="I3523" s="9" t="str">
        <f>IF(B3523="","",股指期货基差分析!$D$11)</f>
        <v/>
      </c>
    </row>
    <row r="3524" spans="3:9" ht="15" customHeight="1" x14ac:dyDescent="0.2">
      <c r="C3524" s="5" t="str">
        <f>IF(B3524="","",[1]!s_dq_close(股指期货基差分析!$E$5,$B3524))</f>
        <v/>
      </c>
      <c r="D3524" s="5" t="str">
        <f>IF(B3524="","",[1]!s_dq_close(股指期货基差分析!$E$6,$B3524))</f>
        <v/>
      </c>
      <c r="E3524" s="4" t="e">
        <f ca="1">RANK(F3524,F:F)+COUNTIF(F$2:F3524,F3524)-1</f>
        <v>#VALUE!</v>
      </c>
      <c r="F3524" s="5" t="str">
        <f t="shared" si="56"/>
        <v/>
      </c>
      <c r="G3524" s="5" t="str">
        <f>IF(B3524="","",股指期货基差分析!$N$11)</f>
        <v/>
      </c>
      <c r="H3524" s="5" t="str">
        <f>IF(B3524="","",股指期货基差分析!$L$11)</f>
        <v/>
      </c>
      <c r="I3524" s="9" t="str">
        <f>IF(B3524="","",股指期货基差分析!$D$11)</f>
        <v/>
      </c>
    </row>
    <row r="3525" spans="3:9" ht="15" customHeight="1" x14ac:dyDescent="0.2">
      <c r="C3525" s="5" t="str">
        <f>IF(B3525="","",[1]!s_dq_close(股指期货基差分析!$E$5,$B3525))</f>
        <v/>
      </c>
      <c r="D3525" s="5" t="str">
        <f>IF(B3525="","",[1]!s_dq_close(股指期货基差分析!$E$6,$B3525))</f>
        <v/>
      </c>
      <c r="E3525" s="4" t="e">
        <f ca="1">RANK(F3525,F:F)+COUNTIF(F$2:F3525,F3525)-1</f>
        <v>#VALUE!</v>
      </c>
      <c r="F3525" s="5" t="str">
        <f t="shared" si="56"/>
        <v/>
      </c>
      <c r="G3525" s="5" t="str">
        <f>IF(B3525="","",股指期货基差分析!$N$11)</f>
        <v/>
      </c>
      <c r="H3525" s="5" t="str">
        <f>IF(B3525="","",股指期货基差分析!$L$11)</f>
        <v/>
      </c>
      <c r="I3525" s="9" t="str">
        <f>IF(B3525="","",股指期货基差分析!$D$11)</f>
        <v/>
      </c>
    </row>
    <row r="3526" spans="3:9" ht="15" customHeight="1" x14ac:dyDescent="0.2">
      <c r="C3526" s="5" t="str">
        <f>IF(B3526="","",[1]!s_dq_close(股指期货基差分析!$E$5,$B3526))</f>
        <v/>
      </c>
      <c r="D3526" s="5" t="str">
        <f>IF(B3526="","",[1]!s_dq_close(股指期货基差分析!$E$6,$B3526))</f>
        <v/>
      </c>
      <c r="E3526" s="4" t="e">
        <f ca="1">RANK(F3526,F:F)+COUNTIF(F$2:F3526,F3526)-1</f>
        <v>#VALUE!</v>
      </c>
      <c r="F3526" s="5" t="str">
        <f t="shared" si="56"/>
        <v/>
      </c>
      <c r="G3526" s="5" t="str">
        <f>IF(B3526="","",股指期货基差分析!$N$11)</f>
        <v/>
      </c>
      <c r="H3526" s="5" t="str">
        <f>IF(B3526="","",股指期货基差分析!$L$11)</f>
        <v/>
      </c>
      <c r="I3526" s="9" t="str">
        <f>IF(B3526="","",股指期货基差分析!$D$11)</f>
        <v/>
      </c>
    </row>
    <row r="3527" spans="3:9" ht="15" customHeight="1" x14ac:dyDescent="0.2">
      <c r="C3527" s="5" t="str">
        <f>IF(B3527="","",[1]!s_dq_close(股指期货基差分析!$E$5,$B3527))</f>
        <v/>
      </c>
      <c r="D3527" s="5" t="str">
        <f>IF(B3527="","",[1]!s_dq_close(股指期货基差分析!$E$6,$B3527))</f>
        <v/>
      </c>
      <c r="E3527" s="4" t="e">
        <f ca="1">RANK(F3527,F:F)+COUNTIF(F$2:F3527,F3527)-1</f>
        <v>#VALUE!</v>
      </c>
      <c r="F3527" s="5" t="str">
        <f t="shared" si="56"/>
        <v/>
      </c>
      <c r="G3527" s="5" t="str">
        <f>IF(B3527="","",股指期货基差分析!$N$11)</f>
        <v/>
      </c>
      <c r="H3527" s="5" t="str">
        <f>IF(B3527="","",股指期货基差分析!$L$11)</f>
        <v/>
      </c>
      <c r="I3527" s="9" t="str">
        <f>IF(B3527="","",股指期货基差分析!$D$11)</f>
        <v/>
      </c>
    </row>
    <row r="3528" spans="3:9" ht="15" customHeight="1" x14ac:dyDescent="0.2">
      <c r="C3528" s="5" t="str">
        <f>IF(B3528="","",[1]!s_dq_close(股指期货基差分析!$E$5,$B3528))</f>
        <v/>
      </c>
      <c r="D3528" s="5" t="str">
        <f>IF(B3528="","",[1]!s_dq_close(股指期货基差分析!$E$6,$B3528))</f>
        <v/>
      </c>
      <c r="E3528" s="4" t="e">
        <f ca="1">RANK(F3528,F:F)+COUNTIF(F$2:F3528,F3528)-1</f>
        <v>#VALUE!</v>
      </c>
      <c r="F3528" s="5" t="str">
        <f t="shared" si="56"/>
        <v/>
      </c>
      <c r="G3528" s="5" t="str">
        <f>IF(B3528="","",股指期货基差分析!$N$11)</f>
        <v/>
      </c>
      <c r="H3528" s="5" t="str">
        <f>IF(B3528="","",股指期货基差分析!$L$11)</f>
        <v/>
      </c>
      <c r="I3528" s="9" t="str">
        <f>IF(B3528="","",股指期货基差分析!$D$11)</f>
        <v/>
      </c>
    </row>
    <row r="3529" spans="3:9" ht="15" customHeight="1" x14ac:dyDescent="0.2">
      <c r="C3529" s="5" t="str">
        <f>IF(B3529="","",[1]!s_dq_close(股指期货基差分析!$E$5,$B3529))</f>
        <v/>
      </c>
      <c r="D3529" s="5" t="str">
        <f>IF(B3529="","",[1]!s_dq_close(股指期货基差分析!$E$6,$B3529))</f>
        <v/>
      </c>
      <c r="E3529" s="4" t="e">
        <f ca="1">RANK(F3529,F:F)+COUNTIF(F$2:F3529,F3529)-1</f>
        <v>#VALUE!</v>
      </c>
      <c r="F3529" s="5" t="str">
        <f t="shared" si="56"/>
        <v/>
      </c>
      <c r="G3529" s="5" t="str">
        <f>IF(B3529="","",股指期货基差分析!$N$11)</f>
        <v/>
      </c>
      <c r="H3529" s="5" t="str">
        <f>IF(B3529="","",股指期货基差分析!$L$11)</f>
        <v/>
      </c>
      <c r="I3529" s="9" t="str">
        <f>IF(B3529="","",股指期货基差分析!$D$11)</f>
        <v/>
      </c>
    </row>
    <row r="3530" spans="3:9" ht="15" customHeight="1" x14ac:dyDescent="0.2">
      <c r="C3530" s="5" t="str">
        <f>IF(B3530="","",[1]!s_dq_close(股指期货基差分析!$E$5,$B3530))</f>
        <v/>
      </c>
      <c r="D3530" s="5" t="str">
        <f>IF(B3530="","",[1]!s_dq_close(股指期货基差分析!$E$6,$B3530))</f>
        <v/>
      </c>
      <c r="E3530" s="4" t="e">
        <f ca="1">RANK(F3530,F:F)+COUNTIF(F$2:F3530,F3530)-1</f>
        <v>#VALUE!</v>
      </c>
      <c r="F3530" s="5" t="str">
        <f t="shared" si="56"/>
        <v/>
      </c>
      <c r="G3530" s="5" t="str">
        <f>IF(B3530="","",股指期货基差分析!$N$11)</f>
        <v/>
      </c>
      <c r="H3530" s="5" t="str">
        <f>IF(B3530="","",股指期货基差分析!$L$11)</f>
        <v/>
      </c>
      <c r="I3530" s="9" t="str">
        <f>IF(B3530="","",股指期货基差分析!$D$11)</f>
        <v/>
      </c>
    </row>
    <row r="3531" spans="3:9" ht="15" customHeight="1" x14ac:dyDescent="0.2">
      <c r="C3531" s="5" t="str">
        <f>IF(B3531="","",[1]!s_dq_close(股指期货基差分析!$E$5,$B3531))</f>
        <v/>
      </c>
      <c r="D3531" s="5" t="str">
        <f>IF(B3531="","",[1]!s_dq_close(股指期货基差分析!$E$6,$B3531))</f>
        <v/>
      </c>
      <c r="E3531" s="4" t="e">
        <f ca="1">RANK(F3531,F:F)+COUNTIF(F$2:F3531,F3531)-1</f>
        <v>#VALUE!</v>
      </c>
      <c r="F3531" s="5" t="str">
        <f t="shared" si="56"/>
        <v/>
      </c>
      <c r="G3531" s="5" t="str">
        <f>IF(B3531="","",股指期货基差分析!$N$11)</f>
        <v/>
      </c>
      <c r="H3531" s="5" t="str">
        <f>IF(B3531="","",股指期货基差分析!$L$11)</f>
        <v/>
      </c>
      <c r="I3531" s="9" t="str">
        <f>IF(B3531="","",股指期货基差分析!$D$11)</f>
        <v/>
      </c>
    </row>
    <row r="3532" spans="3:9" ht="15" customHeight="1" x14ac:dyDescent="0.2">
      <c r="C3532" s="5" t="str">
        <f>IF(B3532="","",[1]!s_dq_close(股指期货基差分析!$E$5,$B3532))</f>
        <v/>
      </c>
      <c r="D3532" s="5" t="str">
        <f>IF(B3532="","",[1]!s_dq_close(股指期货基差分析!$E$6,$B3532))</f>
        <v/>
      </c>
      <c r="E3532" s="4" t="e">
        <f ca="1">RANK(F3532,F:F)+COUNTIF(F$2:F3532,F3532)-1</f>
        <v>#VALUE!</v>
      </c>
      <c r="F3532" s="5" t="str">
        <f t="shared" si="56"/>
        <v/>
      </c>
      <c r="G3532" s="5" t="str">
        <f>IF(B3532="","",股指期货基差分析!$N$11)</f>
        <v/>
      </c>
      <c r="H3532" s="5" t="str">
        <f>IF(B3532="","",股指期货基差分析!$L$11)</f>
        <v/>
      </c>
      <c r="I3532" s="9" t="str">
        <f>IF(B3532="","",股指期货基差分析!$D$11)</f>
        <v/>
      </c>
    </row>
    <row r="3533" spans="3:9" ht="15" customHeight="1" x14ac:dyDescent="0.2">
      <c r="C3533" s="5" t="str">
        <f>IF(B3533="","",[1]!s_dq_close(股指期货基差分析!$E$5,$B3533))</f>
        <v/>
      </c>
      <c r="D3533" s="5" t="str">
        <f>IF(B3533="","",[1]!s_dq_close(股指期货基差分析!$E$6,$B3533))</f>
        <v/>
      </c>
      <c r="E3533" s="4" t="e">
        <f ca="1">RANK(F3533,F:F)+COUNTIF(F$2:F3533,F3533)-1</f>
        <v>#VALUE!</v>
      </c>
      <c r="F3533" s="5" t="str">
        <f t="shared" si="56"/>
        <v/>
      </c>
      <c r="G3533" s="5" t="str">
        <f>IF(B3533="","",股指期货基差分析!$N$11)</f>
        <v/>
      </c>
      <c r="H3533" s="5" t="str">
        <f>IF(B3533="","",股指期货基差分析!$L$11)</f>
        <v/>
      </c>
      <c r="I3533" s="9" t="str">
        <f>IF(B3533="","",股指期货基差分析!$D$11)</f>
        <v/>
      </c>
    </row>
    <row r="3534" spans="3:9" ht="15" customHeight="1" x14ac:dyDescent="0.2">
      <c r="C3534" s="5" t="str">
        <f>IF(B3534="","",[1]!s_dq_close(股指期货基差分析!$E$5,$B3534))</f>
        <v/>
      </c>
      <c r="D3534" s="5" t="str">
        <f>IF(B3534="","",[1]!s_dq_close(股指期货基差分析!$E$6,$B3534))</f>
        <v/>
      </c>
      <c r="E3534" s="4" t="e">
        <f ca="1">RANK(F3534,F:F)+COUNTIF(F$2:F3534,F3534)-1</f>
        <v>#VALUE!</v>
      </c>
      <c r="F3534" s="5" t="str">
        <f t="shared" si="56"/>
        <v/>
      </c>
      <c r="G3534" s="5" t="str">
        <f>IF(B3534="","",股指期货基差分析!$N$11)</f>
        <v/>
      </c>
      <c r="H3534" s="5" t="str">
        <f>IF(B3534="","",股指期货基差分析!$L$11)</f>
        <v/>
      </c>
      <c r="I3534" s="9" t="str">
        <f>IF(B3534="","",股指期货基差分析!$D$11)</f>
        <v/>
      </c>
    </row>
    <row r="3535" spans="3:9" ht="15" customHeight="1" x14ac:dyDescent="0.2">
      <c r="C3535" s="5" t="str">
        <f>IF(B3535="","",[1]!s_dq_close(股指期货基差分析!$E$5,$B3535))</f>
        <v/>
      </c>
      <c r="D3535" s="5" t="str">
        <f>IF(B3535="","",[1]!s_dq_close(股指期货基差分析!$E$6,$B3535))</f>
        <v/>
      </c>
      <c r="E3535" s="4" t="e">
        <f ca="1">RANK(F3535,F:F)+COUNTIF(F$2:F3535,F3535)-1</f>
        <v>#VALUE!</v>
      </c>
      <c r="F3535" s="5" t="str">
        <f t="shared" si="56"/>
        <v/>
      </c>
      <c r="G3535" s="5" t="str">
        <f>IF(B3535="","",股指期货基差分析!$N$11)</f>
        <v/>
      </c>
      <c r="H3535" s="5" t="str">
        <f>IF(B3535="","",股指期货基差分析!$L$11)</f>
        <v/>
      </c>
      <c r="I3535" s="9" t="str">
        <f>IF(B3535="","",股指期货基差分析!$D$11)</f>
        <v/>
      </c>
    </row>
    <row r="3536" spans="3:9" ht="15" customHeight="1" x14ac:dyDescent="0.2">
      <c r="C3536" s="5" t="str">
        <f>IF(B3536="","",[1]!s_dq_close(股指期货基差分析!$E$5,$B3536))</f>
        <v/>
      </c>
      <c r="D3536" s="5" t="str">
        <f>IF(B3536="","",[1]!s_dq_close(股指期货基差分析!$E$6,$B3536))</f>
        <v/>
      </c>
      <c r="E3536" s="4" t="e">
        <f ca="1">RANK(F3536,F:F)+COUNTIF(F$2:F3536,F3536)-1</f>
        <v>#VALUE!</v>
      </c>
      <c r="F3536" s="5" t="str">
        <f t="shared" si="56"/>
        <v/>
      </c>
      <c r="G3536" s="5" t="str">
        <f>IF(B3536="","",股指期货基差分析!$N$11)</f>
        <v/>
      </c>
      <c r="H3536" s="5" t="str">
        <f>IF(B3536="","",股指期货基差分析!$L$11)</f>
        <v/>
      </c>
      <c r="I3536" s="9" t="str">
        <f>IF(B3536="","",股指期货基差分析!$D$11)</f>
        <v/>
      </c>
    </row>
    <row r="3537" spans="3:9" ht="15" customHeight="1" x14ac:dyDescent="0.2">
      <c r="C3537" s="5" t="str">
        <f>IF(B3537="","",[1]!s_dq_close(股指期货基差分析!$E$5,$B3537))</f>
        <v/>
      </c>
      <c r="D3537" s="5" t="str">
        <f>IF(B3537="","",[1]!s_dq_close(股指期货基差分析!$E$6,$B3537))</f>
        <v/>
      </c>
      <c r="E3537" s="4" t="e">
        <f ca="1">RANK(F3537,F:F)+COUNTIF(F$2:F3537,F3537)-1</f>
        <v>#VALUE!</v>
      </c>
      <c r="F3537" s="5" t="str">
        <f t="shared" si="56"/>
        <v/>
      </c>
      <c r="G3537" s="5" t="str">
        <f>IF(B3537="","",股指期货基差分析!$N$11)</f>
        <v/>
      </c>
      <c r="H3537" s="5" t="str">
        <f>IF(B3537="","",股指期货基差分析!$L$11)</f>
        <v/>
      </c>
      <c r="I3537" s="9" t="str">
        <f>IF(B3537="","",股指期货基差分析!$D$11)</f>
        <v/>
      </c>
    </row>
    <row r="3538" spans="3:9" ht="15" customHeight="1" x14ac:dyDescent="0.2">
      <c r="C3538" s="5" t="str">
        <f>IF(B3538="","",[1]!s_dq_close(股指期货基差分析!$E$5,$B3538))</f>
        <v/>
      </c>
      <c r="D3538" s="5" t="str">
        <f>IF(B3538="","",[1]!s_dq_close(股指期货基差分析!$E$6,$B3538))</f>
        <v/>
      </c>
      <c r="E3538" s="4" t="e">
        <f ca="1">RANK(F3538,F:F)+COUNTIF(F$2:F3538,F3538)-1</f>
        <v>#VALUE!</v>
      </c>
      <c r="F3538" s="5" t="str">
        <f t="shared" si="56"/>
        <v/>
      </c>
      <c r="G3538" s="5" t="str">
        <f>IF(B3538="","",股指期货基差分析!$N$11)</f>
        <v/>
      </c>
      <c r="H3538" s="5" t="str">
        <f>IF(B3538="","",股指期货基差分析!$L$11)</f>
        <v/>
      </c>
      <c r="I3538" s="9" t="str">
        <f>IF(B3538="","",股指期货基差分析!$D$11)</f>
        <v/>
      </c>
    </row>
    <row r="3539" spans="3:9" ht="15" customHeight="1" x14ac:dyDescent="0.2">
      <c r="C3539" s="5" t="str">
        <f>IF(B3539="","",[1]!s_dq_close(股指期货基差分析!$E$5,$B3539))</f>
        <v/>
      </c>
      <c r="D3539" s="5" t="str">
        <f>IF(B3539="","",[1]!s_dq_close(股指期货基差分析!$E$6,$B3539))</f>
        <v/>
      </c>
      <c r="E3539" s="4" t="e">
        <f ca="1">RANK(F3539,F:F)+COUNTIF(F$2:F3539,F3539)-1</f>
        <v>#VALUE!</v>
      </c>
      <c r="F3539" s="5" t="str">
        <f t="shared" si="56"/>
        <v/>
      </c>
      <c r="G3539" s="5" t="str">
        <f>IF(B3539="","",股指期货基差分析!$N$11)</f>
        <v/>
      </c>
      <c r="H3539" s="5" t="str">
        <f>IF(B3539="","",股指期货基差分析!$L$11)</f>
        <v/>
      </c>
      <c r="I3539" s="9" t="str">
        <f>IF(B3539="","",股指期货基差分析!$D$11)</f>
        <v/>
      </c>
    </row>
    <row r="3540" spans="3:9" ht="15" customHeight="1" x14ac:dyDescent="0.2">
      <c r="C3540" s="5" t="str">
        <f>IF(B3540="","",[1]!s_dq_close(股指期货基差分析!$E$5,$B3540))</f>
        <v/>
      </c>
      <c r="D3540" s="5" t="str">
        <f>IF(B3540="","",[1]!s_dq_close(股指期货基差分析!$E$6,$B3540))</f>
        <v/>
      </c>
      <c r="E3540" s="4" t="e">
        <f ca="1">RANK(F3540,F:F)+COUNTIF(F$2:F3540,F3540)-1</f>
        <v>#VALUE!</v>
      </c>
      <c r="F3540" s="5" t="str">
        <f t="shared" si="56"/>
        <v/>
      </c>
      <c r="G3540" s="5" t="str">
        <f>IF(B3540="","",股指期货基差分析!$N$11)</f>
        <v/>
      </c>
      <c r="H3540" s="5" t="str">
        <f>IF(B3540="","",股指期货基差分析!$L$11)</f>
        <v/>
      </c>
      <c r="I3540" s="9" t="str">
        <f>IF(B3540="","",股指期货基差分析!$D$11)</f>
        <v/>
      </c>
    </row>
    <row r="3541" spans="3:9" ht="15" customHeight="1" x14ac:dyDescent="0.2">
      <c r="C3541" s="5" t="str">
        <f>IF(B3541="","",[1]!s_dq_close(股指期货基差分析!$E$5,$B3541))</f>
        <v/>
      </c>
      <c r="D3541" s="5" t="str">
        <f>IF(B3541="","",[1]!s_dq_close(股指期货基差分析!$E$6,$B3541))</f>
        <v/>
      </c>
      <c r="E3541" s="4" t="e">
        <f ca="1">RANK(F3541,F:F)+COUNTIF(F$2:F3541,F3541)-1</f>
        <v>#VALUE!</v>
      </c>
      <c r="F3541" s="5" t="str">
        <f t="shared" si="56"/>
        <v/>
      </c>
      <c r="G3541" s="5" t="str">
        <f>IF(B3541="","",股指期货基差分析!$N$11)</f>
        <v/>
      </c>
      <c r="H3541" s="5" t="str">
        <f>IF(B3541="","",股指期货基差分析!$L$11)</f>
        <v/>
      </c>
      <c r="I3541" s="9" t="str">
        <f>IF(B3541="","",股指期货基差分析!$D$11)</f>
        <v/>
      </c>
    </row>
    <row r="3542" spans="3:9" ht="15" customHeight="1" x14ac:dyDescent="0.2">
      <c r="C3542" s="5" t="str">
        <f>IF(B3542="","",[1]!s_dq_close(股指期货基差分析!$E$5,$B3542))</f>
        <v/>
      </c>
      <c r="D3542" s="5" t="str">
        <f>IF(B3542="","",[1]!s_dq_close(股指期货基差分析!$E$6,$B3542))</f>
        <v/>
      </c>
      <c r="E3542" s="4" t="e">
        <f ca="1">RANK(F3542,F:F)+COUNTIF(F$2:F3542,F3542)-1</f>
        <v>#VALUE!</v>
      </c>
      <c r="F3542" s="5" t="str">
        <f t="shared" si="56"/>
        <v/>
      </c>
      <c r="G3542" s="5" t="str">
        <f>IF(B3542="","",股指期货基差分析!$N$11)</f>
        <v/>
      </c>
      <c r="H3542" s="5" t="str">
        <f>IF(B3542="","",股指期货基差分析!$L$11)</f>
        <v/>
      </c>
      <c r="I3542" s="9" t="str">
        <f>IF(B3542="","",股指期货基差分析!$D$11)</f>
        <v/>
      </c>
    </row>
    <row r="3543" spans="3:9" ht="15" customHeight="1" x14ac:dyDescent="0.2">
      <c r="C3543" s="5" t="str">
        <f>IF(B3543="","",[1]!s_dq_close(股指期货基差分析!$E$5,$B3543))</f>
        <v/>
      </c>
      <c r="D3543" s="5" t="str">
        <f>IF(B3543="","",[1]!s_dq_close(股指期货基差分析!$E$6,$B3543))</f>
        <v/>
      </c>
      <c r="E3543" s="4" t="e">
        <f ca="1">RANK(F3543,F:F)+COUNTIF(F$2:F3543,F3543)-1</f>
        <v>#VALUE!</v>
      </c>
      <c r="F3543" s="5" t="str">
        <f t="shared" si="56"/>
        <v/>
      </c>
      <c r="G3543" s="5" t="str">
        <f>IF(B3543="","",股指期货基差分析!$N$11)</f>
        <v/>
      </c>
      <c r="H3543" s="5" t="str">
        <f>IF(B3543="","",股指期货基差分析!$L$11)</f>
        <v/>
      </c>
      <c r="I3543" s="9" t="str">
        <f>IF(B3543="","",股指期货基差分析!$D$11)</f>
        <v/>
      </c>
    </row>
    <row r="3544" spans="3:9" ht="15" customHeight="1" x14ac:dyDescent="0.2">
      <c r="C3544" s="5" t="str">
        <f>IF(B3544="","",[1]!s_dq_close(股指期货基差分析!$E$5,$B3544))</f>
        <v/>
      </c>
      <c r="D3544" s="5" t="str">
        <f>IF(B3544="","",[1]!s_dq_close(股指期货基差分析!$E$6,$B3544))</f>
        <v/>
      </c>
      <c r="E3544" s="4" t="e">
        <f ca="1">RANK(F3544,F:F)+COUNTIF(F$2:F3544,F3544)-1</f>
        <v>#VALUE!</v>
      </c>
      <c r="F3544" s="5" t="str">
        <f t="shared" si="56"/>
        <v/>
      </c>
      <c r="G3544" s="5" t="str">
        <f>IF(B3544="","",股指期货基差分析!$N$11)</f>
        <v/>
      </c>
      <c r="H3544" s="5" t="str">
        <f>IF(B3544="","",股指期货基差分析!$L$11)</f>
        <v/>
      </c>
      <c r="I3544" s="9" t="str">
        <f>IF(B3544="","",股指期货基差分析!$D$11)</f>
        <v/>
      </c>
    </row>
    <row r="3545" spans="3:9" ht="15" customHeight="1" x14ac:dyDescent="0.2">
      <c r="C3545" s="5" t="str">
        <f>IF(B3545="","",[1]!s_dq_close(股指期货基差分析!$E$5,$B3545))</f>
        <v/>
      </c>
      <c r="D3545" s="5" t="str">
        <f>IF(B3545="","",[1]!s_dq_close(股指期货基差分析!$E$6,$B3545))</f>
        <v/>
      </c>
      <c r="E3545" s="4" t="e">
        <f ca="1">RANK(F3545,F:F)+COUNTIF(F$2:F3545,F3545)-1</f>
        <v>#VALUE!</v>
      </c>
      <c r="F3545" s="5" t="str">
        <f t="shared" si="56"/>
        <v/>
      </c>
      <c r="G3545" s="5" t="str">
        <f>IF(B3545="","",股指期货基差分析!$N$11)</f>
        <v/>
      </c>
      <c r="H3545" s="5" t="str">
        <f>IF(B3545="","",股指期货基差分析!$L$11)</f>
        <v/>
      </c>
      <c r="I3545" s="9" t="str">
        <f>IF(B3545="","",股指期货基差分析!$D$11)</f>
        <v/>
      </c>
    </row>
    <row r="3546" spans="3:9" ht="15" customHeight="1" x14ac:dyDescent="0.2">
      <c r="C3546" s="5" t="str">
        <f>IF(B3546="","",[1]!s_dq_close(股指期货基差分析!$E$5,$B3546))</f>
        <v/>
      </c>
      <c r="D3546" s="5" t="str">
        <f>IF(B3546="","",[1]!s_dq_close(股指期货基差分析!$E$6,$B3546))</f>
        <v/>
      </c>
      <c r="E3546" s="4" t="e">
        <f ca="1">RANK(F3546,F:F)+COUNTIF(F$2:F3546,F3546)-1</f>
        <v>#VALUE!</v>
      </c>
      <c r="F3546" s="5" t="str">
        <f t="shared" si="56"/>
        <v/>
      </c>
      <c r="G3546" s="5" t="str">
        <f>IF(B3546="","",股指期货基差分析!$N$11)</f>
        <v/>
      </c>
      <c r="H3546" s="5" t="str">
        <f>IF(B3546="","",股指期货基差分析!$L$11)</f>
        <v/>
      </c>
      <c r="I3546" s="9" t="str">
        <f>IF(B3546="","",股指期货基差分析!$D$11)</f>
        <v/>
      </c>
    </row>
    <row r="3547" spans="3:9" ht="15" customHeight="1" x14ac:dyDescent="0.2">
      <c r="C3547" s="5" t="str">
        <f>IF(B3547="","",[1]!s_dq_close(股指期货基差分析!$E$5,$B3547))</f>
        <v/>
      </c>
      <c r="D3547" s="5" t="str">
        <f>IF(B3547="","",[1]!s_dq_close(股指期货基差分析!$E$6,$B3547))</f>
        <v/>
      </c>
      <c r="E3547" s="4" t="e">
        <f ca="1">RANK(F3547,F:F)+COUNTIF(F$2:F3547,F3547)-1</f>
        <v>#VALUE!</v>
      </c>
      <c r="F3547" s="5" t="str">
        <f t="shared" si="56"/>
        <v/>
      </c>
      <c r="G3547" s="5" t="str">
        <f>IF(B3547="","",股指期货基差分析!$N$11)</f>
        <v/>
      </c>
      <c r="H3547" s="5" t="str">
        <f>IF(B3547="","",股指期货基差分析!$L$11)</f>
        <v/>
      </c>
      <c r="I3547" s="9" t="str">
        <f>IF(B3547="","",股指期货基差分析!$D$11)</f>
        <v/>
      </c>
    </row>
    <row r="3548" spans="3:9" ht="15" customHeight="1" x14ac:dyDescent="0.2">
      <c r="C3548" s="5" t="str">
        <f>IF(B3548="","",[1]!s_dq_close(股指期货基差分析!$E$5,$B3548))</f>
        <v/>
      </c>
      <c r="D3548" s="5" t="str">
        <f>IF(B3548="","",[1]!s_dq_close(股指期货基差分析!$E$6,$B3548))</f>
        <v/>
      </c>
      <c r="E3548" s="4" t="e">
        <f ca="1">RANK(F3548,F:F)+COUNTIF(F$2:F3548,F3548)-1</f>
        <v>#VALUE!</v>
      </c>
      <c r="F3548" s="5" t="str">
        <f t="shared" si="56"/>
        <v/>
      </c>
      <c r="G3548" s="5" t="str">
        <f>IF(B3548="","",股指期货基差分析!$N$11)</f>
        <v/>
      </c>
      <c r="H3548" s="5" t="str">
        <f>IF(B3548="","",股指期货基差分析!$L$11)</f>
        <v/>
      </c>
      <c r="I3548" s="9" t="str">
        <f>IF(B3548="","",股指期货基差分析!$D$11)</f>
        <v/>
      </c>
    </row>
    <row r="3549" spans="3:9" ht="15" customHeight="1" x14ac:dyDescent="0.2">
      <c r="C3549" s="5" t="str">
        <f>IF(B3549="","",[1]!s_dq_close(股指期货基差分析!$E$5,$B3549))</f>
        <v/>
      </c>
      <c r="D3549" s="5" t="str">
        <f>IF(B3549="","",[1]!s_dq_close(股指期货基差分析!$E$6,$B3549))</f>
        <v/>
      </c>
      <c r="E3549" s="4" t="e">
        <f ca="1">RANK(F3549,F:F)+COUNTIF(F$2:F3549,F3549)-1</f>
        <v>#VALUE!</v>
      </c>
      <c r="F3549" s="5" t="str">
        <f t="shared" si="56"/>
        <v/>
      </c>
      <c r="G3549" s="5" t="str">
        <f>IF(B3549="","",股指期货基差分析!$N$11)</f>
        <v/>
      </c>
      <c r="H3549" s="5" t="str">
        <f>IF(B3549="","",股指期货基差分析!$L$11)</f>
        <v/>
      </c>
      <c r="I3549" s="9" t="str">
        <f>IF(B3549="","",股指期货基差分析!$D$11)</f>
        <v/>
      </c>
    </row>
    <row r="3550" spans="3:9" ht="15" customHeight="1" x14ac:dyDescent="0.2">
      <c r="C3550" s="5" t="str">
        <f>IF(B3550="","",[1]!s_dq_close(股指期货基差分析!$E$5,$B3550))</f>
        <v/>
      </c>
      <c r="D3550" s="5" t="str">
        <f>IF(B3550="","",[1]!s_dq_close(股指期货基差分析!$E$6,$B3550))</f>
        <v/>
      </c>
      <c r="E3550" s="4" t="e">
        <f ca="1">RANK(F3550,F:F)+COUNTIF(F$2:F3550,F3550)-1</f>
        <v>#VALUE!</v>
      </c>
      <c r="F3550" s="5" t="str">
        <f t="shared" si="56"/>
        <v/>
      </c>
      <c r="G3550" s="5" t="str">
        <f>IF(B3550="","",股指期货基差分析!$N$11)</f>
        <v/>
      </c>
      <c r="H3550" s="5" t="str">
        <f>IF(B3550="","",股指期货基差分析!$L$11)</f>
        <v/>
      </c>
      <c r="I3550" s="9" t="str">
        <f>IF(B3550="","",股指期货基差分析!$D$11)</f>
        <v/>
      </c>
    </row>
    <row r="3551" spans="3:9" ht="15" customHeight="1" x14ac:dyDescent="0.2">
      <c r="C3551" s="5" t="str">
        <f>IF(B3551="","",[1]!s_dq_close(股指期货基差分析!$E$5,$B3551))</f>
        <v/>
      </c>
      <c r="D3551" s="5" t="str">
        <f>IF(B3551="","",[1]!s_dq_close(股指期货基差分析!$E$6,$B3551))</f>
        <v/>
      </c>
      <c r="E3551" s="4" t="e">
        <f ca="1">RANK(F3551,F:F)+COUNTIF(F$2:F3551,F3551)-1</f>
        <v>#VALUE!</v>
      </c>
      <c r="F3551" s="5" t="str">
        <f t="shared" si="56"/>
        <v/>
      </c>
      <c r="G3551" s="5" t="str">
        <f>IF(B3551="","",股指期货基差分析!$N$11)</f>
        <v/>
      </c>
      <c r="H3551" s="5" t="str">
        <f>IF(B3551="","",股指期货基差分析!$L$11)</f>
        <v/>
      </c>
      <c r="I3551" s="9" t="str">
        <f>IF(B3551="","",股指期货基差分析!$D$11)</f>
        <v/>
      </c>
    </row>
    <row r="3552" spans="3:9" ht="15" customHeight="1" x14ac:dyDescent="0.2">
      <c r="C3552" s="5" t="str">
        <f>IF(B3552="","",[1]!s_dq_close(股指期货基差分析!$E$5,$B3552))</f>
        <v/>
      </c>
      <c r="D3552" s="5" t="str">
        <f>IF(B3552="","",[1]!s_dq_close(股指期货基差分析!$E$6,$B3552))</f>
        <v/>
      </c>
      <c r="E3552" s="4" t="e">
        <f ca="1">RANK(F3552,F:F)+COUNTIF(F$2:F3552,F3552)-1</f>
        <v>#VALUE!</v>
      </c>
      <c r="F3552" s="5" t="str">
        <f t="shared" si="56"/>
        <v/>
      </c>
      <c r="G3552" s="5" t="str">
        <f>IF(B3552="","",股指期货基差分析!$N$11)</f>
        <v/>
      </c>
      <c r="H3552" s="5" t="str">
        <f>IF(B3552="","",股指期货基差分析!$L$11)</f>
        <v/>
      </c>
      <c r="I3552" s="9" t="str">
        <f>IF(B3552="","",股指期货基差分析!$D$11)</f>
        <v/>
      </c>
    </row>
    <row r="3553" spans="3:9" ht="15" customHeight="1" x14ac:dyDescent="0.2">
      <c r="C3553" s="5" t="str">
        <f>IF(B3553="","",[1]!s_dq_close(股指期货基差分析!$E$5,$B3553))</f>
        <v/>
      </c>
      <c r="D3553" s="5" t="str">
        <f>IF(B3553="","",[1]!s_dq_close(股指期货基差分析!$E$6,$B3553))</f>
        <v/>
      </c>
      <c r="E3553" s="4" t="e">
        <f ca="1">RANK(F3553,F:F)+COUNTIF(F$2:F3553,F3553)-1</f>
        <v>#VALUE!</v>
      </c>
      <c r="F3553" s="5" t="str">
        <f t="shared" si="56"/>
        <v/>
      </c>
      <c r="G3553" s="5" t="str">
        <f>IF(B3553="","",股指期货基差分析!$N$11)</f>
        <v/>
      </c>
      <c r="H3553" s="5" t="str">
        <f>IF(B3553="","",股指期货基差分析!$L$11)</f>
        <v/>
      </c>
      <c r="I3553" s="9" t="str">
        <f>IF(B3553="","",股指期货基差分析!$D$11)</f>
        <v/>
      </c>
    </row>
    <row r="3554" spans="3:9" ht="15" customHeight="1" x14ac:dyDescent="0.2">
      <c r="C3554" s="5" t="str">
        <f>IF(B3554="","",[1]!s_dq_close(股指期货基差分析!$E$5,$B3554))</f>
        <v/>
      </c>
      <c r="D3554" s="5" t="str">
        <f>IF(B3554="","",[1]!s_dq_close(股指期货基差分析!$E$6,$B3554))</f>
        <v/>
      </c>
      <c r="E3554" s="4" t="e">
        <f ca="1">RANK(F3554,F:F)+COUNTIF(F$2:F3554,F3554)-1</f>
        <v>#VALUE!</v>
      </c>
      <c r="F3554" s="5" t="str">
        <f t="shared" si="56"/>
        <v/>
      </c>
      <c r="G3554" s="5" t="str">
        <f>IF(B3554="","",股指期货基差分析!$N$11)</f>
        <v/>
      </c>
      <c r="H3554" s="5" t="str">
        <f>IF(B3554="","",股指期货基差分析!$L$11)</f>
        <v/>
      </c>
      <c r="I3554" s="9" t="str">
        <f>IF(B3554="","",股指期货基差分析!$D$11)</f>
        <v/>
      </c>
    </row>
    <row r="3555" spans="3:9" ht="15" customHeight="1" x14ac:dyDescent="0.2">
      <c r="C3555" s="5" t="str">
        <f>IF(B3555="","",[1]!s_dq_close(股指期货基差分析!$E$5,$B3555))</f>
        <v/>
      </c>
      <c r="D3555" s="5" t="str">
        <f>IF(B3555="","",[1]!s_dq_close(股指期货基差分析!$E$6,$B3555))</f>
        <v/>
      </c>
      <c r="E3555" s="4" t="e">
        <f ca="1">RANK(F3555,F:F)+COUNTIF(F$2:F3555,F3555)-1</f>
        <v>#VALUE!</v>
      </c>
      <c r="F3555" s="5" t="str">
        <f t="shared" si="56"/>
        <v/>
      </c>
      <c r="G3555" s="5" t="str">
        <f>IF(B3555="","",股指期货基差分析!$N$11)</f>
        <v/>
      </c>
      <c r="H3555" s="5" t="str">
        <f>IF(B3555="","",股指期货基差分析!$L$11)</f>
        <v/>
      </c>
      <c r="I3555" s="9" t="str">
        <f>IF(B3555="","",股指期货基差分析!$D$11)</f>
        <v/>
      </c>
    </row>
    <row r="3556" spans="3:9" ht="15" customHeight="1" x14ac:dyDescent="0.2">
      <c r="C3556" s="5" t="str">
        <f>IF(B3556="","",[1]!s_dq_close(股指期货基差分析!$E$5,$B3556))</f>
        <v/>
      </c>
      <c r="D3556" s="5" t="str">
        <f>IF(B3556="","",[1]!s_dq_close(股指期货基差分析!$E$6,$B3556))</f>
        <v/>
      </c>
      <c r="E3556" s="4" t="e">
        <f ca="1">RANK(F3556,F:F)+COUNTIF(F$2:F3556,F3556)-1</f>
        <v>#VALUE!</v>
      </c>
      <c r="F3556" s="5" t="str">
        <f t="shared" si="56"/>
        <v/>
      </c>
      <c r="G3556" s="5" t="str">
        <f>IF(B3556="","",股指期货基差分析!$N$11)</f>
        <v/>
      </c>
      <c r="H3556" s="5" t="str">
        <f>IF(B3556="","",股指期货基差分析!$L$11)</f>
        <v/>
      </c>
      <c r="I3556" s="9" t="str">
        <f>IF(B3556="","",股指期货基差分析!$D$11)</f>
        <v/>
      </c>
    </row>
    <row r="3557" spans="3:9" ht="15" customHeight="1" x14ac:dyDescent="0.2">
      <c r="C3557" s="5" t="str">
        <f>IF(B3557="","",[1]!s_dq_close(股指期货基差分析!$E$5,$B3557))</f>
        <v/>
      </c>
      <c r="D3557" s="5" t="str">
        <f>IF(B3557="","",[1]!s_dq_close(股指期货基差分析!$E$6,$B3557))</f>
        <v/>
      </c>
      <c r="E3557" s="4" t="e">
        <f ca="1">RANK(F3557,F:F)+COUNTIF(F$2:F3557,F3557)-1</f>
        <v>#VALUE!</v>
      </c>
      <c r="F3557" s="5" t="str">
        <f t="shared" si="56"/>
        <v/>
      </c>
      <c r="G3557" s="5" t="str">
        <f>IF(B3557="","",股指期货基差分析!$N$11)</f>
        <v/>
      </c>
      <c r="H3557" s="5" t="str">
        <f>IF(B3557="","",股指期货基差分析!$L$11)</f>
        <v/>
      </c>
      <c r="I3557" s="9" t="str">
        <f>IF(B3557="","",股指期货基差分析!$D$11)</f>
        <v/>
      </c>
    </row>
    <row r="3558" spans="3:9" ht="15" customHeight="1" x14ac:dyDescent="0.2">
      <c r="C3558" s="5" t="str">
        <f>IF(B3558="","",[1]!s_dq_close(股指期货基差分析!$E$5,$B3558))</f>
        <v/>
      </c>
      <c r="D3558" s="5" t="str">
        <f>IF(B3558="","",[1]!s_dq_close(股指期货基差分析!$E$6,$B3558))</f>
        <v/>
      </c>
      <c r="E3558" s="4" t="e">
        <f ca="1">RANK(F3558,F:F)+COUNTIF(F$2:F3558,F3558)-1</f>
        <v>#VALUE!</v>
      </c>
      <c r="F3558" s="5" t="str">
        <f t="shared" si="56"/>
        <v/>
      </c>
      <c r="G3558" s="5" t="str">
        <f>IF(B3558="","",股指期货基差分析!$N$11)</f>
        <v/>
      </c>
      <c r="H3558" s="5" t="str">
        <f>IF(B3558="","",股指期货基差分析!$L$11)</f>
        <v/>
      </c>
      <c r="I3558" s="9" t="str">
        <f>IF(B3558="","",股指期货基差分析!$D$11)</f>
        <v/>
      </c>
    </row>
    <row r="3559" spans="3:9" ht="15" customHeight="1" x14ac:dyDescent="0.2">
      <c r="C3559" s="5" t="str">
        <f>IF(B3559="","",[1]!s_dq_close(股指期货基差分析!$E$5,$B3559))</f>
        <v/>
      </c>
      <c r="D3559" s="5" t="str">
        <f>IF(B3559="","",[1]!s_dq_close(股指期货基差分析!$E$6,$B3559))</f>
        <v/>
      </c>
      <c r="E3559" s="4" t="e">
        <f ca="1">RANK(F3559,F:F)+COUNTIF(F$2:F3559,F3559)-1</f>
        <v>#VALUE!</v>
      </c>
      <c r="F3559" s="5" t="str">
        <f t="shared" si="56"/>
        <v/>
      </c>
      <c r="G3559" s="5" t="str">
        <f>IF(B3559="","",股指期货基差分析!$N$11)</f>
        <v/>
      </c>
      <c r="H3559" s="5" t="str">
        <f>IF(B3559="","",股指期货基差分析!$L$11)</f>
        <v/>
      </c>
      <c r="I3559" s="9" t="str">
        <f>IF(B3559="","",股指期货基差分析!$D$11)</f>
        <v/>
      </c>
    </row>
    <row r="3560" spans="3:9" ht="15" customHeight="1" x14ac:dyDescent="0.2">
      <c r="C3560" s="5" t="str">
        <f>IF(B3560="","",[1]!s_dq_close(股指期货基差分析!$E$5,$B3560))</f>
        <v/>
      </c>
      <c r="D3560" s="5" t="str">
        <f>IF(B3560="","",[1]!s_dq_close(股指期货基差分析!$E$6,$B3560))</f>
        <v/>
      </c>
      <c r="E3560" s="4" t="e">
        <f ca="1">RANK(F3560,F:F)+COUNTIF(F$2:F3560,F3560)-1</f>
        <v>#VALUE!</v>
      </c>
      <c r="F3560" s="5" t="str">
        <f t="shared" si="56"/>
        <v/>
      </c>
      <c r="G3560" s="5" t="str">
        <f>IF(B3560="","",股指期货基差分析!$N$11)</f>
        <v/>
      </c>
      <c r="H3560" s="5" t="str">
        <f>IF(B3560="","",股指期货基差分析!$L$11)</f>
        <v/>
      </c>
      <c r="I3560" s="9" t="str">
        <f>IF(B3560="","",股指期货基差分析!$D$11)</f>
        <v/>
      </c>
    </row>
    <row r="3561" spans="3:9" ht="15" customHeight="1" x14ac:dyDescent="0.2">
      <c r="C3561" s="5" t="str">
        <f>IF(B3561="","",[1]!s_dq_close(股指期货基差分析!$E$5,$B3561))</f>
        <v/>
      </c>
      <c r="D3561" s="5" t="str">
        <f>IF(B3561="","",[1]!s_dq_close(股指期货基差分析!$E$6,$B3561))</f>
        <v/>
      </c>
      <c r="E3561" s="4" t="e">
        <f ca="1">RANK(F3561,F:F)+COUNTIF(F$2:F3561,F3561)-1</f>
        <v>#VALUE!</v>
      </c>
      <c r="F3561" s="5" t="str">
        <f t="shared" si="56"/>
        <v/>
      </c>
      <c r="G3561" s="5" t="str">
        <f>IF(B3561="","",股指期货基差分析!$N$11)</f>
        <v/>
      </c>
      <c r="H3561" s="5" t="str">
        <f>IF(B3561="","",股指期货基差分析!$L$11)</f>
        <v/>
      </c>
      <c r="I3561" s="9" t="str">
        <f>IF(B3561="","",股指期货基差分析!$D$11)</f>
        <v/>
      </c>
    </row>
    <row r="3562" spans="3:9" ht="15" customHeight="1" x14ac:dyDescent="0.2">
      <c r="C3562" s="5" t="str">
        <f>IF(B3562="","",[1]!s_dq_close(股指期货基差分析!$E$5,$B3562))</f>
        <v/>
      </c>
      <c r="D3562" s="5" t="str">
        <f>IF(B3562="","",[1]!s_dq_close(股指期货基差分析!$E$6,$B3562))</f>
        <v/>
      </c>
      <c r="E3562" s="4" t="e">
        <f ca="1">RANK(F3562,F:F)+COUNTIF(F$2:F3562,F3562)-1</f>
        <v>#VALUE!</v>
      </c>
      <c r="F3562" s="5" t="str">
        <f t="shared" si="56"/>
        <v/>
      </c>
      <c r="G3562" s="5" t="str">
        <f>IF(B3562="","",股指期货基差分析!$N$11)</f>
        <v/>
      </c>
      <c r="H3562" s="5" t="str">
        <f>IF(B3562="","",股指期货基差分析!$L$11)</f>
        <v/>
      </c>
      <c r="I3562" s="9" t="str">
        <f>IF(B3562="","",股指期货基差分析!$D$11)</f>
        <v/>
      </c>
    </row>
    <row r="3563" spans="3:9" ht="15" customHeight="1" x14ac:dyDescent="0.2">
      <c r="C3563" s="5" t="str">
        <f>IF(B3563="","",[1]!s_dq_close(股指期货基差分析!$E$5,$B3563))</f>
        <v/>
      </c>
      <c r="D3563" s="5" t="str">
        <f>IF(B3563="","",[1]!s_dq_close(股指期货基差分析!$E$6,$B3563))</f>
        <v/>
      </c>
      <c r="E3563" s="4" t="e">
        <f ca="1">RANK(F3563,F:F)+COUNTIF(F$2:F3563,F3563)-1</f>
        <v>#VALUE!</v>
      </c>
      <c r="F3563" s="5" t="str">
        <f t="shared" si="56"/>
        <v/>
      </c>
      <c r="G3563" s="5" t="str">
        <f>IF(B3563="","",股指期货基差分析!$N$11)</f>
        <v/>
      </c>
      <c r="H3563" s="5" t="str">
        <f>IF(B3563="","",股指期货基差分析!$L$11)</f>
        <v/>
      </c>
      <c r="I3563" s="9" t="str">
        <f>IF(B3563="","",股指期货基差分析!$D$11)</f>
        <v/>
      </c>
    </row>
    <row r="3564" spans="3:9" ht="15" customHeight="1" x14ac:dyDescent="0.2">
      <c r="C3564" s="5" t="str">
        <f>IF(B3564="","",[1]!s_dq_close(股指期货基差分析!$E$5,$B3564))</f>
        <v/>
      </c>
      <c r="D3564" s="5" t="str">
        <f>IF(B3564="","",[1]!s_dq_close(股指期货基差分析!$E$6,$B3564))</f>
        <v/>
      </c>
      <c r="E3564" s="4" t="e">
        <f ca="1">RANK(F3564,F:F)+COUNTIF(F$2:F3564,F3564)-1</f>
        <v>#VALUE!</v>
      </c>
      <c r="F3564" s="5" t="str">
        <f t="shared" si="56"/>
        <v/>
      </c>
      <c r="G3564" s="5" t="str">
        <f>IF(B3564="","",股指期货基差分析!$N$11)</f>
        <v/>
      </c>
      <c r="H3564" s="5" t="str">
        <f>IF(B3564="","",股指期货基差分析!$L$11)</f>
        <v/>
      </c>
      <c r="I3564" s="9" t="str">
        <f>IF(B3564="","",股指期货基差分析!$D$11)</f>
        <v/>
      </c>
    </row>
    <row r="3565" spans="3:9" ht="15" customHeight="1" x14ac:dyDescent="0.2">
      <c r="C3565" s="5" t="str">
        <f>IF(B3565="","",[1]!s_dq_close(股指期货基差分析!$E$5,$B3565))</f>
        <v/>
      </c>
      <c r="D3565" s="5" t="str">
        <f>IF(B3565="","",[1]!s_dq_close(股指期货基差分析!$E$6,$B3565))</f>
        <v/>
      </c>
      <c r="E3565" s="4" t="e">
        <f ca="1">RANK(F3565,F:F)+COUNTIF(F$2:F3565,F3565)-1</f>
        <v>#VALUE!</v>
      </c>
      <c r="F3565" s="5" t="str">
        <f t="shared" si="56"/>
        <v/>
      </c>
      <c r="G3565" s="5" t="str">
        <f>IF(B3565="","",股指期货基差分析!$N$11)</f>
        <v/>
      </c>
      <c r="H3565" s="5" t="str">
        <f>IF(B3565="","",股指期货基差分析!$L$11)</f>
        <v/>
      </c>
      <c r="I3565" s="9" t="str">
        <f>IF(B3565="","",股指期货基差分析!$D$11)</f>
        <v/>
      </c>
    </row>
    <row r="3566" spans="3:9" ht="15" customHeight="1" x14ac:dyDescent="0.2">
      <c r="C3566" s="5" t="str">
        <f>IF(B3566="","",[1]!s_dq_close(股指期货基差分析!$E$5,$B3566))</f>
        <v/>
      </c>
      <c r="D3566" s="5" t="str">
        <f>IF(B3566="","",[1]!s_dq_close(股指期货基差分析!$E$6,$B3566))</f>
        <v/>
      </c>
      <c r="E3566" s="4" t="e">
        <f ca="1">RANK(F3566,F:F)+COUNTIF(F$2:F3566,F3566)-1</f>
        <v>#VALUE!</v>
      </c>
      <c r="F3566" s="5" t="str">
        <f t="shared" si="56"/>
        <v/>
      </c>
      <c r="G3566" s="5" t="str">
        <f>IF(B3566="","",股指期货基差分析!$N$11)</f>
        <v/>
      </c>
      <c r="H3566" s="5" t="str">
        <f>IF(B3566="","",股指期货基差分析!$L$11)</f>
        <v/>
      </c>
      <c r="I3566" s="9" t="str">
        <f>IF(B3566="","",股指期货基差分析!$D$11)</f>
        <v/>
      </c>
    </row>
    <row r="3567" spans="3:9" ht="15" customHeight="1" x14ac:dyDescent="0.2">
      <c r="C3567" s="5" t="str">
        <f>IF(B3567="","",[1]!s_dq_close(股指期货基差分析!$E$5,$B3567))</f>
        <v/>
      </c>
      <c r="D3567" s="5" t="str">
        <f>IF(B3567="","",[1]!s_dq_close(股指期货基差分析!$E$6,$B3567))</f>
        <v/>
      </c>
      <c r="E3567" s="4" t="e">
        <f ca="1">RANK(F3567,F:F)+COUNTIF(F$2:F3567,F3567)-1</f>
        <v>#VALUE!</v>
      </c>
      <c r="F3567" s="5" t="str">
        <f t="shared" si="56"/>
        <v/>
      </c>
      <c r="G3567" s="5" t="str">
        <f>IF(B3567="","",股指期货基差分析!$N$11)</f>
        <v/>
      </c>
      <c r="H3567" s="5" t="str">
        <f>IF(B3567="","",股指期货基差分析!$L$11)</f>
        <v/>
      </c>
      <c r="I3567" s="9" t="str">
        <f>IF(B3567="","",股指期货基差分析!$D$11)</f>
        <v/>
      </c>
    </row>
    <row r="3568" spans="3:9" ht="15" customHeight="1" x14ac:dyDescent="0.2">
      <c r="C3568" s="5" t="str">
        <f>IF(B3568="","",[1]!s_dq_close(股指期货基差分析!$E$5,$B3568))</f>
        <v/>
      </c>
      <c r="D3568" s="5" t="str">
        <f>IF(B3568="","",[1]!s_dq_close(股指期货基差分析!$E$6,$B3568))</f>
        <v/>
      </c>
      <c r="E3568" s="4" t="e">
        <f ca="1">RANK(F3568,F:F)+COUNTIF(F$2:F3568,F3568)-1</f>
        <v>#VALUE!</v>
      </c>
      <c r="F3568" s="5" t="str">
        <f t="shared" si="56"/>
        <v/>
      </c>
      <c r="G3568" s="5" t="str">
        <f>IF(B3568="","",股指期货基差分析!$N$11)</f>
        <v/>
      </c>
      <c r="H3568" s="5" t="str">
        <f>IF(B3568="","",股指期货基差分析!$L$11)</f>
        <v/>
      </c>
      <c r="I3568" s="9" t="str">
        <f>IF(B3568="","",股指期货基差分析!$D$11)</f>
        <v/>
      </c>
    </row>
    <row r="3569" spans="3:9" ht="15" customHeight="1" x14ac:dyDescent="0.2">
      <c r="C3569" s="5" t="str">
        <f>IF(B3569="","",[1]!s_dq_close(股指期货基差分析!$E$5,$B3569))</f>
        <v/>
      </c>
      <c r="D3569" s="5" t="str">
        <f>IF(B3569="","",[1]!s_dq_close(股指期货基差分析!$E$6,$B3569))</f>
        <v/>
      </c>
      <c r="E3569" s="4" t="e">
        <f ca="1">RANK(F3569,F:F)+COUNTIF(F$2:F3569,F3569)-1</f>
        <v>#VALUE!</v>
      </c>
      <c r="F3569" s="5" t="str">
        <f t="shared" si="56"/>
        <v/>
      </c>
      <c r="G3569" s="5" t="str">
        <f>IF(B3569="","",股指期货基差分析!$N$11)</f>
        <v/>
      </c>
      <c r="H3569" s="5" t="str">
        <f>IF(B3569="","",股指期货基差分析!$L$11)</f>
        <v/>
      </c>
      <c r="I3569" s="9" t="str">
        <f>IF(B3569="","",股指期货基差分析!$D$11)</f>
        <v/>
      </c>
    </row>
    <row r="3570" spans="3:9" ht="15" customHeight="1" x14ac:dyDescent="0.2">
      <c r="C3570" s="5" t="str">
        <f>IF(B3570="","",[1]!s_dq_close(股指期货基差分析!$E$5,$B3570))</f>
        <v/>
      </c>
      <c r="D3570" s="5" t="str">
        <f>IF(B3570="","",[1]!s_dq_close(股指期货基差分析!$E$6,$B3570))</f>
        <v/>
      </c>
      <c r="E3570" s="4" t="e">
        <f ca="1">RANK(F3570,F:F)+COUNTIF(F$2:F3570,F3570)-1</f>
        <v>#VALUE!</v>
      </c>
      <c r="F3570" s="5" t="str">
        <f t="shared" si="56"/>
        <v/>
      </c>
      <c r="G3570" s="5" t="str">
        <f>IF(B3570="","",股指期货基差分析!$N$11)</f>
        <v/>
      </c>
      <c r="H3570" s="5" t="str">
        <f>IF(B3570="","",股指期货基差分析!$L$11)</f>
        <v/>
      </c>
      <c r="I3570" s="9" t="str">
        <f>IF(B3570="","",股指期货基差分析!$D$11)</f>
        <v/>
      </c>
    </row>
    <row r="3571" spans="3:9" ht="15" customHeight="1" x14ac:dyDescent="0.2">
      <c r="C3571" s="5" t="str">
        <f>IF(B3571="","",[1]!s_dq_close(股指期货基差分析!$E$5,$B3571))</f>
        <v/>
      </c>
      <c r="D3571" s="5" t="str">
        <f>IF(B3571="","",[1]!s_dq_close(股指期货基差分析!$E$6,$B3571))</f>
        <v/>
      </c>
      <c r="E3571" s="4" t="e">
        <f ca="1">RANK(F3571,F:F)+COUNTIF(F$2:F3571,F3571)-1</f>
        <v>#VALUE!</v>
      </c>
      <c r="F3571" s="5" t="str">
        <f t="shared" si="56"/>
        <v/>
      </c>
      <c r="G3571" s="5" t="str">
        <f>IF(B3571="","",股指期货基差分析!$N$11)</f>
        <v/>
      </c>
      <c r="H3571" s="5" t="str">
        <f>IF(B3571="","",股指期货基差分析!$L$11)</f>
        <v/>
      </c>
      <c r="I3571" s="9" t="str">
        <f>IF(B3571="","",股指期货基差分析!$D$11)</f>
        <v/>
      </c>
    </row>
    <row r="3572" spans="3:9" ht="15" customHeight="1" x14ac:dyDescent="0.2">
      <c r="C3572" s="5" t="str">
        <f>IF(B3572="","",[1]!s_dq_close(股指期货基差分析!$E$5,$B3572))</f>
        <v/>
      </c>
      <c r="D3572" s="5" t="str">
        <f>IF(B3572="","",[1]!s_dq_close(股指期货基差分析!$E$6,$B3572))</f>
        <v/>
      </c>
      <c r="E3572" s="4" t="e">
        <f ca="1">RANK(F3572,F:F)+COUNTIF(F$2:F3572,F3572)-1</f>
        <v>#VALUE!</v>
      </c>
      <c r="F3572" s="5" t="str">
        <f t="shared" si="56"/>
        <v/>
      </c>
      <c r="G3572" s="5" t="str">
        <f>IF(B3572="","",股指期货基差分析!$N$11)</f>
        <v/>
      </c>
      <c r="H3572" s="5" t="str">
        <f>IF(B3572="","",股指期货基差分析!$L$11)</f>
        <v/>
      </c>
      <c r="I3572" s="9" t="str">
        <f>IF(B3572="","",股指期货基差分析!$D$11)</f>
        <v/>
      </c>
    </row>
    <row r="3573" spans="3:9" ht="15" customHeight="1" x14ac:dyDescent="0.2">
      <c r="C3573" s="5" t="str">
        <f>IF(B3573="","",[1]!s_dq_close(股指期货基差分析!$E$5,$B3573))</f>
        <v/>
      </c>
      <c r="D3573" s="5" t="str">
        <f>IF(B3573="","",[1]!s_dq_close(股指期货基差分析!$E$6,$B3573))</f>
        <v/>
      </c>
      <c r="E3573" s="4" t="e">
        <f ca="1">RANK(F3573,F:F)+COUNTIF(F$2:F3573,F3573)-1</f>
        <v>#VALUE!</v>
      </c>
      <c r="F3573" s="5" t="str">
        <f t="shared" si="56"/>
        <v/>
      </c>
      <c r="G3573" s="5" t="str">
        <f>IF(B3573="","",股指期货基差分析!$N$11)</f>
        <v/>
      </c>
      <c r="H3573" s="5" t="str">
        <f>IF(B3573="","",股指期货基差分析!$L$11)</f>
        <v/>
      </c>
      <c r="I3573" s="9" t="str">
        <f>IF(B3573="","",股指期货基差分析!$D$11)</f>
        <v/>
      </c>
    </row>
    <row r="3574" spans="3:9" ht="15" customHeight="1" x14ac:dyDescent="0.2">
      <c r="C3574" s="5" t="str">
        <f>IF(B3574="","",[1]!s_dq_close(股指期货基差分析!$E$5,$B3574))</f>
        <v/>
      </c>
      <c r="D3574" s="5" t="str">
        <f>IF(B3574="","",[1]!s_dq_close(股指期货基差分析!$E$6,$B3574))</f>
        <v/>
      </c>
      <c r="E3574" s="4" t="e">
        <f ca="1">RANK(F3574,F:F)+COUNTIF(F$2:F3574,F3574)-1</f>
        <v>#VALUE!</v>
      </c>
      <c r="F3574" s="5" t="str">
        <f t="shared" si="56"/>
        <v/>
      </c>
      <c r="G3574" s="5" t="str">
        <f>IF(B3574="","",股指期货基差分析!$N$11)</f>
        <v/>
      </c>
      <c r="H3574" s="5" t="str">
        <f>IF(B3574="","",股指期货基差分析!$L$11)</f>
        <v/>
      </c>
      <c r="I3574" s="9" t="str">
        <f>IF(B3574="","",股指期货基差分析!$D$11)</f>
        <v/>
      </c>
    </row>
    <row r="3575" spans="3:9" ht="15" customHeight="1" x14ac:dyDescent="0.2">
      <c r="C3575" s="5" t="str">
        <f>IF(B3575="","",[1]!s_dq_close(股指期货基差分析!$E$5,$B3575))</f>
        <v/>
      </c>
      <c r="D3575" s="5" t="str">
        <f>IF(B3575="","",[1]!s_dq_close(股指期货基差分析!$E$6,$B3575))</f>
        <v/>
      </c>
      <c r="E3575" s="4" t="e">
        <f ca="1">RANK(F3575,F:F)+COUNTIF(F$2:F3575,F3575)-1</f>
        <v>#VALUE!</v>
      </c>
      <c r="F3575" s="5" t="str">
        <f t="shared" si="56"/>
        <v/>
      </c>
      <c r="G3575" s="5" t="str">
        <f>IF(B3575="","",股指期货基差分析!$N$11)</f>
        <v/>
      </c>
      <c r="H3575" s="5" t="str">
        <f>IF(B3575="","",股指期货基差分析!$L$11)</f>
        <v/>
      </c>
      <c r="I3575" s="9" t="str">
        <f>IF(B3575="","",股指期货基差分析!$D$11)</f>
        <v/>
      </c>
    </row>
    <row r="3576" spans="3:9" ht="15" customHeight="1" x14ac:dyDescent="0.2">
      <c r="C3576" s="5" t="str">
        <f>IF(B3576="","",[1]!s_dq_close(股指期货基差分析!$E$5,$B3576))</f>
        <v/>
      </c>
      <c r="D3576" s="5" t="str">
        <f>IF(B3576="","",[1]!s_dq_close(股指期货基差分析!$E$6,$B3576))</f>
        <v/>
      </c>
      <c r="E3576" s="4" t="e">
        <f ca="1">RANK(F3576,F:F)+COUNTIF(F$2:F3576,F3576)-1</f>
        <v>#VALUE!</v>
      </c>
      <c r="F3576" s="5" t="str">
        <f t="shared" si="56"/>
        <v/>
      </c>
      <c r="G3576" s="5" t="str">
        <f>IF(B3576="","",股指期货基差分析!$N$11)</f>
        <v/>
      </c>
      <c r="H3576" s="5" t="str">
        <f>IF(B3576="","",股指期货基差分析!$L$11)</f>
        <v/>
      </c>
      <c r="I3576" s="9" t="str">
        <f>IF(B3576="","",股指期货基差分析!$D$11)</f>
        <v/>
      </c>
    </row>
    <row r="3577" spans="3:9" ht="15" customHeight="1" x14ac:dyDescent="0.2">
      <c r="C3577" s="5" t="str">
        <f>IF(B3577="","",[1]!s_dq_close(股指期货基差分析!$E$5,$B3577))</f>
        <v/>
      </c>
      <c r="D3577" s="5" t="str">
        <f>IF(B3577="","",[1]!s_dq_close(股指期货基差分析!$E$6,$B3577))</f>
        <v/>
      </c>
      <c r="E3577" s="4" t="e">
        <f ca="1">RANK(F3577,F:F)+COUNTIF(F$2:F3577,F3577)-1</f>
        <v>#VALUE!</v>
      </c>
      <c r="F3577" s="5" t="str">
        <f t="shared" si="56"/>
        <v/>
      </c>
      <c r="G3577" s="5" t="str">
        <f>IF(B3577="","",股指期货基差分析!$N$11)</f>
        <v/>
      </c>
      <c r="H3577" s="5" t="str">
        <f>IF(B3577="","",股指期货基差分析!$L$11)</f>
        <v/>
      </c>
      <c r="I3577" s="9" t="str">
        <f>IF(B3577="","",股指期货基差分析!$D$11)</f>
        <v/>
      </c>
    </row>
    <row r="3578" spans="3:9" ht="15" customHeight="1" x14ac:dyDescent="0.2">
      <c r="C3578" s="5" t="str">
        <f>IF(B3578="","",[1]!s_dq_close(股指期货基差分析!$E$5,$B3578))</f>
        <v/>
      </c>
      <c r="D3578" s="5" t="str">
        <f>IF(B3578="","",[1]!s_dq_close(股指期货基差分析!$E$6,$B3578))</f>
        <v/>
      </c>
      <c r="E3578" s="4" t="e">
        <f ca="1">RANK(F3578,F:F)+COUNTIF(F$2:F3578,F3578)-1</f>
        <v>#VALUE!</v>
      </c>
      <c r="F3578" s="5" t="str">
        <f t="shared" si="56"/>
        <v/>
      </c>
      <c r="G3578" s="5" t="str">
        <f>IF(B3578="","",股指期货基差分析!$N$11)</f>
        <v/>
      </c>
      <c r="H3578" s="5" t="str">
        <f>IF(B3578="","",股指期货基差分析!$L$11)</f>
        <v/>
      </c>
      <c r="I3578" s="9" t="str">
        <f>IF(B3578="","",股指期货基差分析!$D$11)</f>
        <v/>
      </c>
    </row>
    <row r="3579" spans="3:9" ht="15" customHeight="1" x14ac:dyDescent="0.2">
      <c r="C3579" s="5" t="str">
        <f>IF(B3579="","",[1]!s_dq_close(股指期货基差分析!$E$5,$B3579))</f>
        <v/>
      </c>
      <c r="D3579" s="5" t="str">
        <f>IF(B3579="","",[1]!s_dq_close(股指期货基差分析!$E$6,$B3579))</f>
        <v/>
      </c>
      <c r="E3579" s="4" t="e">
        <f ca="1">RANK(F3579,F:F)+COUNTIF(F$2:F3579,F3579)-1</f>
        <v>#VALUE!</v>
      </c>
      <c r="F3579" s="5" t="str">
        <f t="shared" si="56"/>
        <v/>
      </c>
      <c r="G3579" s="5" t="str">
        <f>IF(B3579="","",股指期货基差分析!$N$11)</f>
        <v/>
      </c>
      <c r="H3579" s="5" t="str">
        <f>IF(B3579="","",股指期货基差分析!$L$11)</f>
        <v/>
      </c>
      <c r="I3579" s="9" t="str">
        <f>IF(B3579="","",股指期货基差分析!$D$11)</f>
        <v/>
      </c>
    </row>
    <row r="3580" spans="3:9" ht="15" customHeight="1" x14ac:dyDescent="0.2">
      <c r="C3580" s="5" t="str">
        <f>IF(B3580="","",[1]!s_dq_close(股指期货基差分析!$E$5,$B3580))</f>
        <v/>
      </c>
      <c r="D3580" s="5" t="str">
        <f>IF(B3580="","",[1]!s_dq_close(股指期货基差分析!$E$6,$B3580))</f>
        <v/>
      </c>
      <c r="E3580" s="4" t="e">
        <f ca="1">RANK(F3580,F:F)+COUNTIF(F$2:F3580,F3580)-1</f>
        <v>#VALUE!</v>
      </c>
      <c r="F3580" s="5" t="str">
        <f t="shared" si="56"/>
        <v/>
      </c>
      <c r="G3580" s="5" t="str">
        <f>IF(B3580="","",股指期货基差分析!$N$11)</f>
        <v/>
      </c>
      <c r="H3580" s="5" t="str">
        <f>IF(B3580="","",股指期货基差分析!$L$11)</f>
        <v/>
      </c>
      <c r="I3580" s="9" t="str">
        <f>IF(B3580="","",股指期货基差分析!$D$11)</f>
        <v/>
      </c>
    </row>
    <row r="3581" spans="3:9" ht="15" customHeight="1" x14ac:dyDescent="0.2">
      <c r="C3581" s="5" t="str">
        <f>IF(B3581="","",[1]!s_dq_close(股指期货基差分析!$E$5,$B3581))</f>
        <v/>
      </c>
      <c r="D3581" s="5" t="str">
        <f>IF(B3581="","",[1]!s_dq_close(股指期货基差分析!$E$6,$B3581))</f>
        <v/>
      </c>
      <c r="E3581" s="4" t="e">
        <f ca="1">RANK(F3581,F:F)+COUNTIF(F$2:F3581,F3581)-1</f>
        <v>#VALUE!</v>
      </c>
      <c r="F3581" s="5" t="str">
        <f t="shared" si="56"/>
        <v/>
      </c>
      <c r="G3581" s="5" t="str">
        <f>IF(B3581="","",股指期货基差分析!$N$11)</f>
        <v/>
      </c>
      <c r="H3581" s="5" t="str">
        <f>IF(B3581="","",股指期货基差分析!$L$11)</f>
        <v/>
      </c>
      <c r="I3581" s="9" t="str">
        <f>IF(B3581="","",股指期货基差分析!$D$11)</f>
        <v/>
      </c>
    </row>
    <row r="3582" spans="3:9" ht="15" customHeight="1" x14ac:dyDescent="0.2">
      <c r="C3582" s="5" t="str">
        <f>IF(B3582="","",[1]!s_dq_close(股指期货基差分析!$E$5,$B3582))</f>
        <v/>
      </c>
      <c r="D3582" s="5" t="str">
        <f>IF(B3582="","",[1]!s_dq_close(股指期货基差分析!$E$6,$B3582))</f>
        <v/>
      </c>
      <c r="E3582" s="4" t="e">
        <f ca="1">RANK(F3582,F:F)+COUNTIF(F$2:F3582,F3582)-1</f>
        <v>#VALUE!</v>
      </c>
      <c r="F3582" s="5" t="str">
        <f t="shared" si="56"/>
        <v/>
      </c>
      <c r="G3582" s="5" t="str">
        <f>IF(B3582="","",股指期货基差分析!$N$11)</f>
        <v/>
      </c>
      <c r="H3582" s="5" t="str">
        <f>IF(B3582="","",股指期货基差分析!$L$11)</f>
        <v/>
      </c>
      <c r="I3582" s="9" t="str">
        <f>IF(B3582="","",股指期货基差分析!$D$11)</f>
        <v/>
      </c>
    </row>
    <row r="3583" spans="3:9" ht="15" customHeight="1" x14ac:dyDescent="0.2">
      <c r="C3583" s="5" t="str">
        <f>IF(B3583="","",[1]!s_dq_close(股指期货基差分析!$E$5,$B3583))</f>
        <v/>
      </c>
      <c r="D3583" s="5" t="str">
        <f>IF(B3583="","",[1]!s_dq_close(股指期货基差分析!$E$6,$B3583))</f>
        <v/>
      </c>
      <c r="E3583" s="4" t="e">
        <f ca="1">RANK(F3583,F:F)+COUNTIF(F$2:F3583,F3583)-1</f>
        <v>#VALUE!</v>
      </c>
      <c r="F3583" s="5" t="str">
        <f t="shared" si="56"/>
        <v/>
      </c>
      <c r="G3583" s="5" t="str">
        <f>IF(B3583="","",股指期货基差分析!$N$11)</f>
        <v/>
      </c>
      <c r="H3583" s="5" t="str">
        <f>IF(B3583="","",股指期货基差分析!$L$11)</f>
        <v/>
      </c>
      <c r="I3583" s="9" t="str">
        <f>IF(B3583="","",股指期货基差分析!$D$11)</f>
        <v/>
      </c>
    </row>
    <row r="3584" spans="3:9" ht="15" customHeight="1" x14ac:dyDescent="0.2">
      <c r="C3584" s="5" t="str">
        <f>IF(B3584="","",[1]!s_dq_close(股指期货基差分析!$E$5,$B3584))</f>
        <v/>
      </c>
      <c r="D3584" s="5" t="str">
        <f>IF(B3584="","",[1]!s_dq_close(股指期货基差分析!$E$6,$B3584))</f>
        <v/>
      </c>
      <c r="E3584" s="4" t="e">
        <f ca="1">RANK(F3584,F:F)+COUNTIF(F$2:F3584,F3584)-1</f>
        <v>#VALUE!</v>
      </c>
      <c r="F3584" s="5" t="str">
        <f t="shared" si="56"/>
        <v/>
      </c>
      <c r="G3584" s="5" t="str">
        <f>IF(B3584="","",股指期货基差分析!$N$11)</f>
        <v/>
      </c>
      <c r="H3584" s="5" t="str">
        <f>IF(B3584="","",股指期货基差分析!$L$11)</f>
        <v/>
      </c>
      <c r="I3584" s="9" t="str">
        <f>IF(B3584="","",股指期货基差分析!$D$11)</f>
        <v/>
      </c>
    </row>
    <row r="3585" spans="3:9" ht="15" customHeight="1" x14ac:dyDescent="0.2">
      <c r="C3585" s="5" t="str">
        <f>IF(B3585="","",[1]!s_dq_close(股指期货基差分析!$E$5,$B3585))</f>
        <v/>
      </c>
      <c r="D3585" s="5" t="str">
        <f>IF(B3585="","",[1]!s_dq_close(股指期货基差分析!$E$6,$B3585))</f>
        <v/>
      </c>
      <c r="E3585" s="4" t="e">
        <f ca="1">RANK(F3585,F:F)+COUNTIF(F$2:F3585,F3585)-1</f>
        <v>#VALUE!</v>
      </c>
      <c r="F3585" s="5" t="str">
        <f t="shared" si="56"/>
        <v/>
      </c>
      <c r="G3585" s="5" t="str">
        <f>IF(B3585="","",股指期货基差分析!$N$11)</f>
        <v/>
      </c>
      <c r="H3585" s="5" t="str">
        <f>IF(B3585="","",股指期货基差分析!$L$11)</f>
        <v/>
      </c>
      <c r="I3585" s="9" t="str">
        <f>IF(B3585="","",股指期货基差分析!$D$11)</f>
        <v/>
      </c>
    </row>
    <row r="3586" spans="3:9" ht="15" customHeight="1" x14ac:dyDescent="0.2">
      <c r="C3586" s="5" t="str">
        <f>IF(B3586="","",[1]!s_dq_close(股指期货基差分析!$E$5,$B3586))</f>
        <v/>
      </c>
      <c r="D3586" s="5" t="str">
        <f>IF(B3586="","",[1]!s_dq_close(股指期货基差分析!$E$6,$B3586))</f>
        <v/>
      </c>
      <c r="E3586" s="4" t="e">
        <f ca="1">RANK(F3586,F:F)+COUNTIF(F$2:F3586,F3586)-1</f>
        <v>#VALUE!</v>
      </c>
      <c r="F3586" s="5" t="str">
        <f t="shared" ref="F3586:F3649" si="57">IF(B3586="","",D3586-C3586)</f>
        <v/>
      </c>
      <c r="G3586" s="5" t="str">
        <f>IF(B3586="","",股指期货基差分析!$N$11)</f>
        <v/>
      </c>
      <c r="H3586" s="5" t="str">
        <f>IF(B3586="","",股指期货基差分析!$L$11)</f>
        <v/>
      </c>
      <c r="I3586" s="9" t="str">
        <f>IF(B3586="","",股指期货基差分析!$D$11)</f>
        <v/>
      </c>
    </row>
    <row r="3587" spans="3:9" ht="15" customHeight="1" x14ac:dyDescent="0.2">
      <c r="C3587" s="5" t="str">
        <f>IF(B3587="","",[1]!s_dq_close(股指期货基差分析!$E$5,$B3587))</f>
        <v/>
      </c>
      <c r="D3587" s="5" t="str">
        <f>IF(B3587="","",[1]!s_dq_close(股指期货基差分析!$E$6,$B3587))</f>
        <v/>
      </c>
      <c r="E3587" s="4" t="e">
        <f ca="1">RANK(F3587,F:F)+COUNTIF(F$2:F3587,F3587)-1</f>
        <v>#VALUE!</v>
      </c>
      <c r="F3587" s="5" t="str">
        <f t="shared" si="57"/>
        <v/>
      </c>
      <c r="G3587" s="5" t="str">
        <f>IF(B3587="","",股指期货基差分析!$N$11)</f>
        <v/>
      </c>
      <c r="H3587" s="5" t="str">
        <f>IF(B3587="","",股指期货基差分析!$L$11)</f>
        <v/>
      </c>
      <c r="I3587" s="9" t="str">
        <f>IF(B3587="","",股指期货基差分析!$D$11)</f>
        <v/>
      </c>
    </row>
    <row r="3588" spans="3:9" ht="15" customHeight="1" x14ac:dyDescent="0.2">
      <c r="C3588" s="5" t="str">
        <f>IF(B3588="","",[1]!s_dq_close(股指期货基差分析!$E$5,$B3588))</f>
        <v/>
      </c>
      <c r="D3588" s="5" t="str">
        <f>IF(B3588="","",[1]!s_dq_close(股指期货基差分析!$E$6,$B3588))</f>
        <v/>
      </c>
      <c r="E3588" s="4" t="e">
        <f ca="1">RANK(F3588,F:F)+COUNTIF(F$2:F3588,F3588)-1</f>
        <v>#VALUE!</v>
      </c>
      <c r="F3588" s="5" t="str">
        <f t="shared" si="57"/>
        <v/>
      </c>
      <c r="G3588" s="5" t="str">
        <f>IF(B3588="","",股指期货基差分析!$N$11)</f>
        <v/>
      </c>
      <c r="H3588" s="5" t="str">
        <f>IF(B3588="","",股指期货基差分析!$L$11)</f>
        <v/>
      </c>
      <c r="I3588" s="9" t="str">
        <f>IF(B3588="","",股指期货基差分析!$D$11)</f>
        <v/>
      </c>
    </row>
    <row r="3589" spans="3:9" ht="15" customHeight="1" x14ac:dyDescent="0.2">
      <c r="C3589" s="5" t="str">
        <f>IF(B3589="","",[1]!s_dq_close(股指期货基差分析!$E$5,$B3589))</f>
        <v/>
      </c>
      <c r="D3589" s="5" t="str">
        <f>IF(B3589="","",[1]!s_dq_close(股指期货基差分析!$E$6,$B3589))</f>
        <v/>
      </c>
      <c r="E3589" s="4" t="e">
        <f ca="1">RANK(F3589,F:F)+COUNTIF(F$2:F3589,F3589)-1</f>
        <v>#VALUE!</v>
      </c>
      <c r="F3589" s="5" t="str">
        <f t="shared" si="57"/>
        <v/>
      </c>
      <c r="G3589" s="5" t="str">
        <f>IF(B3589="","",股指期货基差分析!$N$11)</f>
        <v/>
      </c>
      <c r="H3589" s="5" t="str">
        <f>IF(B3589="","",股指期货基差分析!$L$11)</f>
        <v/>
      </c>
      <c r="I3589" s="9" t="str">
        <f>IF(B3589="","",股指期货基差分析!$D$11)</f>
        <v/>
      </c>
    </row>
    <row r="3590" spans="3:9" ht="15" customHeight="1" x14ac:dyDescent="0.2">
      <c r="C3590" s="5" t="str">
        <f>IF(B3590="","",[1]!s_dq_close(股指期货基差分析!$E$5,$B3590))</f>
        <v/>
      </c>
      <c r="D3590" s="5" t="str">
        <f>IF(B3590="","",[1]!s_dq_close(股指期货基差分析!$E$6,$B3590))</f>
        <v/>
      </c>
      <c r="E3590" s="4" t="e">
        <f ca="1">RANK(F3590,F:F)+COUNTIF(F$2:F3590,F3590)-1</f>
        <v>#VALUE!</v>
      </c>
      <c r="F3590" s="5" t="str">
        <f t="shared" si="57"/>
        <v/>
      </c>
      <c r="G3590" s="5" t="str">
        <f>IF(B3590="","",股指期货基差分析!$N$11)</f>
        <v/>
      </c>
      <c r="H3590" s="5" t="str">
        <f>IF(B3590="","",股指期货基差分析!$L$11)</f>
        <v/>
      </c>
      <c r="I3590" s="9" t="str">
        <f>IF(B3590="","",股指期货基差分析!$D$11)</f>
        <v/>
      </c>
    </row>
    <row r="3591" spans="3:9" ht="15" customHeight="1" x14ac:dyDescent="0.2">
      <c r="C3591" s="5" t="str">
        <f>IF(B3591="","",[1]!s_dq_close(股指期货基差分析!$E$5,$B3591))</f>
        <v/>
      </c>
      <c r="D3591" s="5" t="str">
        <f>IF(B3591="","",[1]!s_dq_close(股指期货基差分析!$E$6,$B3591))</f>
        <v/>
      </c>
      <c r="E3591" s="4" t="e">
        <f ca="1">RANK(F3591,F:F)+COUNTIF(F$2:F3591,F3591)-1</f>
        <v>#VALUE!</v>
      </c>
      <c r="F3591" s="5" t="str">
        <f t="shared" si="57"/>
        <v/>
      </c>
      <c r="G3591" s="5" t="str">
        <f>IF(B3591="","",股指期货基差分析!$N$11)</f>
        <v/>
      </c>
      <c r="H3591" s="5" t="str">
        <f>IF(B3591="","",股指期货基差分析!$L$11)</f>
        <v/>
      </c>
      <c r="I3591" s="9" t="str">
        <f>IF(B3591="","",股指期货基差分析!$D$11)</f>
        <v/>
      </c>
    </row>
    <row r="3592" spans="3:9" ht="15" customHeight="1" x14ac:dyDescent="0.2">
      <c r="C3592" s="5" t="str">
        <f>IF(B3592="","",[1]!s_dq_close(股指期货基差分析!$E$5,$B3592))</f>
        <v/>
      </c>
      <c r="D3592" s="5" t="str">
        <f>IF(B3592="","",[1]!s_dq_close(股指期货基差分析!$E$6,$B3592))</f>
        <v/>
      </c>
      <c r="E3592" s="4" t="e">
        <f ca="1">RANK(F3592,F:F)+COUNTIF(F$2:F3592,F3592)-1</f>
        <v>#VALUE!</v>
      </c>
      <c r="F3592" s="5" t="str">
        <f t="shared" si="57"/>
        <v/>
      </c>
      <c r="G3592" s="5" t="str">
        <f>IF(B3592="","",股指期货基差分析!$N$11)</f>
        <v/>
      </c>
      <c r="H3592" s="5" t="str">
        <f>IF(B3592="","",股指期货基差分析!$L$11)</f>
        <v/>
      </c>
      <c r="I3592" s="9" t="str">
        <f>IF(B3592="","",股指期货基差分析!$D$11)</f>
        <v/>
      </c>
    </row>
    <row r="3593" spans="3:9" ht="15" customHeight="1" x14ac:dyDescent="0.2">
      <c r="C3593" s="5" t="str">
        <f>IF(B3593="","",[1]!s_dq_close(股指期货基差分析!$E$5,$B3593))</f>
        <v/>
      </c>
      <c r="D3593" s="5" t="str">
        <f>IF(B3593="","",[1]!s_dq_close(股指期货基差分析!$E$6,$B3593))</f>
        <v/>
      </c>
      <c r="E3593" s="4" t="e">
        <f ca="1">RANK(F3593,F:F)+COUNTIF(F$2:F3593,F3593)-1</f>
        <v>#VALUE!</v>
      </c>
      <c r="F3593" s="5" t="str">
        <f t="shared" si="57"/>
        <v/>
      </c>
      <c r="G3593" s="5" t="str">
        <f>IF(B3593="","",股指期货基差分析!$N$11)</f>
        <v/>
      </c>
      <c r="H3593" s="5" t="str">
        <f>IF(B3593="","",股指期货基差分析!$L$11)</f>
        <v/>
      </c>
      <c r="I3593" s="9" t="str">
        <f>IF(B3593="","",股指期货基差分析!$D$11)</f>
        <v/>
      </c>
    </row>
    <row r="3594" spans="3:9" ht="15" customHeight="1" x14ac:dyDescent="0.2">
      <c r="C3594" s="5" t="str">
        <f>IF(B3594="","",[1]!s_dq_close(股指期货基差分析!$E$5,$B3594))</f>
        <v/>
      </c>
      <c r="D3594" s="5" t="str">
        <f>IF(B3594="","",[1]!s_dq_close(股指期货基差分析!$E$6,$B3594))</f>
        <v/>
      </c>
      <c r="E3594" s="4" t="e">
        <f ca="1">RANK(F3594,F:F)+COUNTIF(F$2:F3594,F3594)-1</f>
        <v>#VALUE!</v>
      </c>
      <c r="F3594" s="5" t="str">
        <f t="shared" si="57"/>
        <v/>
      </c>
      <c r="G3594" s="5" t="str">
        <f>IF(B3594="","",股指期货基差分析!$N$11)</f>
        <v/>
      </c>
      <c r="H3594" s="5" t="str">
        <f>IF(B3594="","",股指期货基差分析!$L$11)</f>
        <v/>
      </c>
      <c r="I3594" s="9" t="str">
        <f>IF(B3594="","",股指期货基差分析!$D$11)</f>
        <v/>
      </c>
    </row>
    <row r="3595" spans="3:9" ht="15" customHeight="1" x14ac:dyDescent="0.2">
      <c r="C3595" s="5" t="str">
        <f>IF(B3595="","",[1]!s_dq_close(股指期货基差分析!$E$5,$B3595))</f>
        <v/>
      </c>
      <c r="D3595" s="5" t="str">
        <f>IF(B3595="","",[1]!s_dq_close(股指期货基差分析!$E$6,$B3595))</f>
        <v/>
      </c>
      <c r="E3595" s="4" t="e">
        <f ca="1">RANK(F3595,F:F)+COUNTIF(F$2:F3595,F3595)-1</f>
        <v>#VALUE!</v>
      </c>
      <c r="F3595" s="5" t="str">
        <f t="shared" si="57"/>
        <v/>
      </c>
      <c r="G3595" s="5" t="str">
        <f>IF(B3595="","",股指期货基差分析!$N$11)</f>
        <v/>
      </c>
      <c r="H3595" s="5" t="str">
        <f>IF(B3595="","",股指期货基差分析!$L$11)</f>
        <v/>
      </c>
      <c r="I3595" s="9" t="str">
        <f>IF(B3595="","",股指期货基差分析!$D$11)</f>
        <v/>
      </c>
    </row>
    <row r="3596" spans="3:9" ht="15" customHeight="1" x14ac:dyDescent="0.2">
      <c r="C3596" s="5" t="str">
        <f>IF(B3596="","",[1]!s_dq_close(股指期货基差分析!$E$5,$B3596))</f>
        <v/>
      </c>
      <c r="D3596" s="5" t="str">
        <f>IF(B3596="","",[1]!s_dq_close(股指期货基差分析!$E$6,$B3596))</f>
        <v/>
      </c>
      <c r="E3596" s="4" t="e">
        <f ca="1">RANK(F3596,F:F)+COUNTIF(F$2:F3596,F3596)-1</f>
        <v>#VALUE!</v>
      </c>
      <c r="F3596" s="5" t="str">
        <f t="shared" si="57"/>
        <v/>
      </c>
      <c r="G3596" s="5" t="str">
        <f>IF(B3596="","",股指期货基差分析!$N$11)</f>
        <v/>
      </c>
      <c r="H3596" s="5" t="str">
        <f>IF(B3596="","",股指期货基差分析!$L$11)</f>
        <v/>
      </c>
      <c r="I3596" s="9" t="str">
        <f>IF(B3596="","",股指期货基差分析!$D$11)</f>
        <v/>
      </c>
    </row>
    <row r="3597" spans="3:9" ht="15" customHeight="1" x14ac:dyDescent="0.2">
      <c r="C3597" s="5" t="str">
        <f>IF(B3597="","",[1]!s_dq_close(股指期货基差分析!$E$5,$B3597))</f>
        <v/>
      </c>
      <c r="D3597" s="5" t="str">
        <f>IF(B3597="","",[1]!s_dq_close(股指期货基差分析!$E$6,$B3597))</f>
        <v/>
      </c>
      <c r="E3597" s="4" t="e">
        <f ca="1">RANK(F3597,F:F)+COUNTIF(F$2:F3597,F3597)-1</f>
        <v>#VALUE!</v>
      </c>
      <c r="F3597" s="5" t="str">
        <f t="shared" si="57"/>
        <v/>
      </c>
      <c r="G3597" s="5" t="str">
        <f>IF(B3597="","",股指期货基差分析!$N$11)</f>
        <v/>
      </c>
      <c r="H3597" s="5" t="str">
        <f>IF(B3597="","",股指期货基差分析!$L$11)</f>
        <v/>
      </c>
      <c r="I3597" s="9" t="str">
        <f>IF(B3597="","",股指期货基差分析!$D$11)</f>
        <v/>
      </c>
    </row>
    <row r="3598" spans="3:9" ht="15" customHeight="1" x14ac:dyDescent="0.2">
      <c r="C3598" s="5" t="str">
        <f>IF(B3598="","",[1]!s_dq_close(股指期货基差分析!$E$5,$B3598))</f>
        <v/>
      </c>
      <c r="D3598" s="5" t="str">
        <f>IF(B3598="","",[1]!s_dq_close(股指期货基差分析!$E$6,$B3598))</f>
        <v/>
      </c>
      <c r="E3598" s="4" t="e">
        <f ca="1">RANK(F3598,F:F)+COUNTIF(F$2:F3598,F3598)-1</f>
        <v>#VALUE!</v>
      </c>
      <c r="F3598" s="5" t="str">
        <f t="shared" si="57"/>
        <v/>
      </c>
      <c r="G3598" s="5" t="str">
        <f>IF(B3598="","",股指期货基差分析!$N$11)</f>
        <v/>
      </c>
      <c r="H3598" s="5" t="str">
        <f>IF(B3598="","",股指期货基差分析!$L$11)</f>
        <v/>
      </c>
      <c r="I3598" s="9" t="str">
        <f>IF(B3598="","",股指期货基差分析!$D$11)</f>
        <v/>
      </c>
    </row>
    <row r="3599" spans="3:9" ht="15" customHeight="1" x14ac:dyDescent="0.2">
      <c r="C3599" s="5" t="str">
        <f>IF(B3599="","",[1]!s_dq_close(股指期货基差分析!$E$5,$B3599))</f>
        <v/>
      </c>
      <c r="D3599" s="5" t="str">
        <f>IF(B3599="","",[1]!s_dq_close(股指期货基差分析!$E$6,$B3599))</f>
        <v/>
      </c>
      <c r="E3599" s="4" t="e">
        <f ca="1">RANK(F3599,F:F)+COUNTIF(F$2:F3599,F3599)-1</f>
        <v>#VALUE!</v>
      </c>
      <c r="F3599" s="5" t="str">
        <f t="shared" si="57"/>
        <v/>
      </c>
      <c r="G3599" s="5" t="str">
        <f>IF(B3599="","",股指期货基差分析!$N$11)</f>
        <v/>
      </c>
      <c r="H3599" s="5" t="str">
        <f>IF(B3599="","",股指期货基差分析!$L$11)</f>
        <v/>
      </c>
      <c r="I3599" s="9" t="str">
        <f>IF(B3599="","",股指期货基差分析!$D$11)</f>
        <v/>
      </c>
    </row>
    <row r="3600" spans="3:9" ht="15" customHeight="1" x14ac:dyDescent="0.2">
      <c r="C3600" s="5" t="str">
        <f>IF(B3600="","",[1]!s_dq_close(股指期货基差分析!$E$5,$B3600))</f>
        <v/>
      </c>
      <c r="D3600" s="5" t="str">
        <f>IF(B3600="","",[1]!s_dq_close(股指期货基差分析!$E$6,$B3600))</f>
        <v/>
      </c>
      <c r="E3600" s="4" t="e">
        <f ca="1">RANK(F3600,F:F)+COUNTIF(F$2:F3600,F3600)-1</f>
        <v>#VALUE!</v>
      </c>
      <c r="F3600" s="5" t="str">
        <f t="shared" si="57"/>
        <v/>
      </c>
      <c r="G3600" s="5" t="str">
        <f>IF(B3600="","",股指期货基差分析!$N$11)</f>
        <v/>
      </c>
      <c r="H3600" s="5" t="str">
        <f>IF(B3600="","",股指期货基差分析!$L$11)</f>
        <v/>
      </c>
      <c r="I3600" s="9" t="str">
        <f>IF(B3600="","",股指期货基差分析!$D$11)</f>
        <v/>
      </c>
    </row>
    <row r="3601" spans="3:9" ht="15" customHeight="1" x14ac:dyDescent="0.2">
      <c r="C3601" s="5" t="str">
        <f>IF(B3601="","",[1]!s_dq_close(股指期货基差分析!$E$5,$B3601))</f>
        <v/>
      </c>
      <c r="D3601" s="5" t="str">
        <f>IF(B3601="","",[1]!s_dq_close(股指期货基差分析!$E$6,$B3601))</f>
        <v/>
      </c>
      <c r="E3601" s="4" t="e">
        <f ca="1">RANK(F3601,F:F)+COUNTIF(F$2:F3601,F3601)-1</f>
        <v>#VALUE!</v>
      </c>
      <c r="F3601" s="5" t="str">
        <f t="shared" si="57"/>
        <v/>
      </c>
      <c r="G3601" s="5" t="str">
        <f>IF(B3601="","",股指期货基差分析!$N$11)</f>
        <v/>
      </c>
      <c r="H3601" s="5" t="str">
        <f>IF(B3601="","",股指期货基差分析!$L$11)</f>
        <v/>
      </c>
      <c r="I3601" s="9" t="str">
        <f>IF(B3601="","",股指期货基差分析!$D$11)</f>
        <v/>
      </c>
    </row>
    <row r="3602" spans="3:9" ht="15" customHeight="1" x14ac:dyDescent="0.2">
      <c r="C3602" s="5" t="str">
        <f>IF(B3602="","",[1]!s_dq_close(股指期货基差分析!$E$5,$B3602))</f>
        <v/>
      </c>
      <c r="D3602" s="5" t="str">
        <f>IF(B3602="","",[1]!s_dq_close(股指期货基差分析!$E$6,$B3602))</f>
        <v/>
      </c>
      <c r="E3602" s="4" t="e">
        <f ca="1">RANK(F3602,F:F)+COUNTIF(F$2:F3602,F3602)-1</f>
        <v>#VALUE!</v>
      </c>
      <c r="F3602" s="5" t="str">
        <f t="shared" si="57"/>
        <v/>
      </c>
      <c r="G3602" s="5" t="str">
        <f>IF(B3602="","",股指期货基差分析!$N$11)</f>
        <v/>
      </c>
      <c r="H3602" s="5" t="str">
        <f>IF(B3602="","",股指期货基差分析!$L$11)</f>
        <v/>
      </c>
      <c r="I3602" s="9" t="str">
        <f>IF(B3602="","",股指期货基差分析!$D$11)</f>
        <v/>
      </c>
    </row>
    <row r="3603" spans="3:9" ht="15" customHeight="1" x14ac:dyDescent="0.2">
      <c r="C3603" s="5" t="str">
        <f>IF(B3603="","",[1]!s_dq_close(股指期货基差分析!$E$5,$B3603))</f>
        <v/>
      </c>
      <c r="D3603" s="5" t="str">
        <f>IF(B3603="","",[1]!s_dq_close(股指期货基差分析!$E$6,$B3603))</f>
        <v/>
      </c>
      <c r="E3603" s="4" t="e">
        <f ca="1">RANK(F3603,F:F)+COUNTIF(F$2:F3603,F3603)-1</f>
        <v>#VALUE!</v>
      </c>
      <c r="F3603" s="5" t="str">
        <f t="shared" si="57"/>
        <v/>
      </c>
      <c r="G3603" s="5" t="str">
        <f>IF(B3603="","",股指期货基差分析!$N$11)</f>
        <v/>
      </c>
      <c r="H3603" s="5" t="str">
        <f>IF(B3603="","",股指期货基差分析!$L$11)</f>
        <v/>
      </c>
      <c r="I3603" s="9" t="str">
        <f>IF(B3603="","",股指期货基差分析!$D$11)</f>
        <v/>
      </c>
    </row>
    <row r="3604" spans="3:9" ht="15" customHeight="1" x14ac:dyDescent="0.2">
      <c r="C3604" s="5" t="str">
        <f>IF(B3604="","",[1]!s_dq_close(股指期货基差分析!$E$5,$B3604))</f>
        <v/>
      </c>
      <c r="D3604" s="5" t="str">
        <f>IF(B3604="","",[1]!s_dq_close(股指期货基差分析!$E$6,$B3604))</f>
        <v/>
      </c>
      <c r="E3604" s="4" t="e">
        <f ca="1">RANK(F3604,F:F)+COUNTIF(F$2:F3604,F3604)-1</f>
        <v>#VALUE!</v>
      </c>
      <c r="F3604" s="5" t="str">
        <f t="shared" si="57"/>
        <v/>
      </c>
      <c r="G3604" s="5" t="str">
        <f>IF(B3604="","",股指期货基差分析!$N$11)</f>
        <v/>
      </c>
      <c r="H3604" s="5" t="str">
        <f>IF(B3604="","",股指期货基差分析!$L$11)</f>
        <v/>
      </c>
      <c r="I3604" s="9" t="str">
        <f>IF(B3604="","",股指期货基差分析!$D$11)</f>
        <v/>
      </c>
    </row>
    <row r="3605" spans="3:9" ht="15" customHeight="1" x14ac:dyDescent="0.2">
      <c r="C3605" s="5" t="str">
        <f>IF(B3605="","",[1]!s_dq_close(股指期货基差分析!$E$5,$B3605))</f>
        <v/>
      </c>
      <c r="D3605" s="5" t="str">
        <f>IF(B3605="","",[1]!s_dq_close(股指期货基差分析!$E$6,$B3605))</f>
        <v/>
      </c>
      <c r="E3605" s="4" t="e">
        <f ca="1">RANK(F3605,F:F)+COUNTIF(F$2:F3605,F3605)-1</f>
        <v>#VALUE!</v>
      </c>
      <c r="F3605" s="5" t="str">
        <f t="shared" si="57"/>
        <v/>
      </c>
      <c r="G3605" s="5" t="str">
        <f>IF(B3605="","",股指期货基差分析!$N$11)</f>
        <v/>
      </c>
      <c r="H3605" s="5" t="str">
        <f>IF(B3605="","",股指期货基差分析!$L$11)</f>
        <v/>
      </c>
      <c r="I3605" s="9" t="str">
        <f>IF(B3605="","",股指期货基差分析!$D$11)</f>
        <v/>
      </c>
    </row>
    <row r="3606" spans="3:9" ht="15" customHeight="1" x14ac:dyDescent="0.2">
      <c r="C3606" s="5" t="str">
        <f>IF(B3606="","",[1]!s_dq_close(股指期货基差分析!$E$5,$B3606))</f>
        <v/>
      </c>
      <c r="D3606" s="5" t="str">
        <f>IF(B3606="","",[1]!s_dq_close(股指期货基差分析!$E$6,$B3606))</f>
        <v/>
      </c>
      <c r="E3606" s="4" t="e">
        <f ca="1">RANK(F3606,F:F)+COUNTIF(F$2:F3606,F3606)-1</f>
        <v>#VALUE!</v>
      </c>
      <c r="F3606" s="5" t="str">
        <f t="shared" si="57"/>
        <v/>
      </c>
      <c r="G3606" s="5" t="str">
        <f>IF(B3606="","",股指期货基差分析!$N$11)</f>
        <v/>
      </c>
      <c r="H3606" s="5" t="str">
        <f>IF(B3606="","",股指期货基差分析!$L$11)</f>
        <v/>
      </c>
      <c r="I3606" s="9" t="str">
        <f>IF(B3606="","",股指期货基差分析!$D$11)</f>
        <v/>
      </c>
    </row>
    <row r="3607" spans="3:9" ht="15" customHeight="1" x14ac:dyDescent="0.2">
      <c r="C3607" s="5" t="str">
        <f>IF(B3607="","",[1]!s_dq_close(股指期货基差分析!$E$5,$B3607))</f>
        <v/>
      </c>
      <c r="D3607" s="5" t="str">
        <f>IF(B3607="","",[1]!s_dq_close(股指期货基差分析!$E$6,$B3607))</f>
        <v/>
      </c>
      <c r="E3607" s="4" t="e">
        <f ca="1">RANK(F3607,F:F)+COUNTIF(F$2:F3607,F3607)-1</f>
        <v>#VALUE!</v>
      </c>
      <c r="F3607" s="5" t="str">
        <f t="shared" si="57"/>
        <v/>
      </c>
      <c r="G3607" s="5" t="str">
        <f>IF(B3607="","",股指期货基差分析!$N$11)</f>
        <v/>
      </c>
      <c r="H3607" s="5" t="str">
        <f>IF(B3607="","",股指期货基差分析!$L$11)</f>
        <v/>
      </c>
      <c r="I3607" s="9" t="str">
        <f>IF(B3607="","",股指期货基差分析!$D$11)</f>
        <v/>
      </c>
    </row>
    <row r="3608" spans="3:9" ht="15" customHeight="1" x14ac:dyDescent="0.2">
      <c r="C3608" s="5" t="str">
        <f>IF(B3608="","",[1]!s_dq_close(股指期货基差分析!$E$5,$B3608))</f>
        <v/>
      </c>
      <c r="D3608" s="5" t="str">
        <f>IF(B3608="","",[1]!s_dq_close(股指期货基差分析!$E$6,$B3608))</f>
        <v/>
      </c>
      <c r="E3608" s="4" t="e">
        <f ca="1">RANK(F3608,F:F)+COUNTIF(F$2:F3608,F3608)-1</f>
        <v>#VALUE!</v>
      </c>
      <c r="F3608" s="5" t="str">
        <f t="shared" si="57"/>
        <v/>
      </c>
      <c r="G3608" s="5" t="str">
        <f>IF(B3608="","",股指期货基差分析!$N$11)</f>
        <v/>
      </c>
      <c r="H3608" s="5" t="str">
        <f>IF(B3608="","",股指期货基差分析!$L$11)</f>
        <v/>
      </c>
      <c r="I3608" s="9" t="str">
        <f>IF(B3608="","",股指期货基差分析!$D$11)</f>
        <v/>
      </c>
    </row>
    <row r="3609" spans="3:9" ht="15" customHeight="1" x14ac:dyDescent="0.2">
      <c r="C3609" s="5" t="str">
        <f>IF(B3609="","",[1]!s_dq_close(股指期货基差分析!$E$5,$B3609))</f>
        <v/>
      </c>
      <c r="D3609" s="5" t="str">
        <f>IF(B3609="","",[1]!s_dq_close(股指期货基差分析!$E$6,$B3609))</f>
        <v/>
      </c>
      <c r="E3609" s="4" t="e">
        <f ca="1">RANK(F3609,F:F)+COUNTIF(F$2:F3609,F3609)-1</f>
        <v>#VALUE!</v>
      </c>
      <c r="F3609" s="5" t="str">
        <f t="shared" si="57"/>
        <v/>
      </c>
      <c r="G3609" s="5" t="str">
        <f>IF(B3609="","",股指期货基差分析!$N$11)</f>
        <v/>
      </c>
      <c r="H3609" s="5" t="str">
        <f>IF(B3609="","",股指期货基差分析!$L$11)</f>
        <v/>
      </c>
      <c r="I3609" s="9" t="str">
        <f>IF(B3609="","",股指期货基差分析!$D$11)</f>
        <v/>
      </c>
    </row>
    <row r="3610" spans="3:9" ht="15" customHeight="1" x14ac:dyDescent="0.2">
      <c r="C3610" s="5" t="str">
        <f>IF(B3610="","",[1]!s_dq_close(股指期货基差分析!$E$5,$B3610))</f>
        <v/>
      </c>
      <c r="D3610" s="5" t="str">
        <f>IF(B3610="","",[1]!s_dq_close(股指期货基差分析!$E$6,$B3610))</f>
        <v/>
      </c>
      <c r="E3610" s="4" t="e">
        <f ca="1">RANK(F3610,F:F)+COUNTIF(F$2:F3610,F3610)-1</f>
        <v>#VALUE!</v>
      </c>
      <c r="F3610" s="5" t="str">
        <f t="shared" si="57"/>
        <v/>
      </c>
      <c r="G3610" s="5" t="str">
        <f>IF(B3610="","",股指期货基差分析!$N$11)</f>
        <v/>
      </c>
      <c r="H3610" s="5" t="str">
        <f>IF(B3610="","",股指期货基差分析!$L$11)</f>
        <v/>
      </c>
      <c r="I3610" s="9" t="str">
        <f>IF(B3610="","",股指期货基差分析!$D$11)</f>
        <v/>
      </c>
    </row>
    <row r="3611" spans="3:9" ht="15" customHeight="1" x14ac:dyDescent="0.2">
      <c r="C3611" s="5" t="str">
        <f>IF(B3611="","",[1]!s_dq_close(股指期货基差分析!$E$5,$B3611))</f>
        <v/>
      </c>
      <c r="D3611" s="5" t="str">
        <f>IF(B3611="","",[1]!s_dq_close(股指期货基差分析!$E$6,$B3611))</f>
        <v/>
      </c>
      <c r="E3611" s="4" t="e">
        <f ca="1">RANK(F3611,F:F)+COUNTIF(F$2:F3611,F3611)-1</f>
        <v>#VALUE!</v>
      </c>
      <c r="F3611" s="5" t="str">
        <f t="shared" si="57"/>
        <v/>
      </c>
      <c r="G3611" s="5" t="str">
        <f>IF(B3611="","",股指期货基差分析!$N$11)</f>
        <v/>
      </c>
      <c r="H3611" s="5" t="str">
        <f>IF(B3611="","",股指期货基差分析!$L$11)</f>
        <v/>
      </c>
      <c r="I3611" s="9" t="str">
        <f>IF(B3611="","",股指期货基差分析!$D$11)</f>
        <v/>
      </c>
    </row>
    <row r="3612" spans="3:9" ht="15" customHeight="1" x14ac:dyDescent="0.2">
      <c r="C3612" s="5" t="str">
        <f>IF(B3612="","",[1]!s_dq_close(股指期货基差分析!$E$5,$B3612))</f>
        <v/>
      </c>
      <c r="D3612" s="5" t="str">
        <f>IF(B3612="","",[1]!s_dq_close(股指期货基差分析!$E$6,$B3612))</f>
        <v/>
      </c>
      <c r="E3612" s="4" t="e">
        <f ca="1">RANK(F3612,F:F)+COUNTIF(F$2:F3612,F3612)-1</f>
        <v>#VALUE!</v>
      </c>
      <c r="F3612" s="5" t="str">
        <f t="shared" si="57"/>
        <v/>
      </c>
      <c r="G3612" s="5" t="str">
        <f>IF(B3612="","",股指期货基差分析!$N$11)</f>
        <v/>
      </c>
      <c r="H3612" s="5" t="str">
        <f>IF(B3612="","",股指期货基差分析!$L$11)</f>
        <v/>
      </c>
      <c r="I3612" s="9" t="str">
        <f>IF(B3612="","",股指期货基差分析!$D$11)</f>
        <v/>
      </c>
    </row>
    <row r="3613" spans="3:9" ht="15" customHeight="1" x14ac:dyDescent="0.2">
      <c r="C3613" s="5" t="str">
        <f>IF(B3613="","",[1]!s_dq_close(股指期货基差分析!$E$5,$B3613))</f>
        <v/>
      </c>
      <c r="D3613" s="5" t="str">
        <f>IF(B3613="","",[1]!s_dq_close(股指期货基差分析!$E$6,$B3613))</f>
        <v/>
      </c>
      <c r="E3613" s="4" t="e">
        <f ca="1">RANK(F3613,F:F)+COUNTIF(F$2:F3613,F3613)-1</f>
        <v>#VALUE!</v>
      </c>
      <c r="F3613" s="5" t="str">
        <f t="shared" si="57"/>
        <v/>
      </c>
      <c r="G3613" s="5" t="str">
        <f>IF(B3613="","",股指期货基差分析!$N$11)</f>
        <v/>
      </c>
      <c r="H3613" s="5" t="str">
        <f>IF(B3613="","",股指期货基差分析!$L$11)</f>
        <v/>
      </c>
      <c r="I3613" s="9" t="str">
        <f>IF(B3613="","",股指期货基差分析!$D$11)</f>
        <v/>
      </c>
    </row>
    <row r="3614" spans="3:9" ht="15" customHeight="1" x14ac:dyDescent="0.2">
      <c r="C3614" s="5" t="str">
        <f>IF(B3614="","",[1]!s_dq_close(股指期货基差分析!$E$5,$B3614))</f>
        <v/>
      </c>
      <c r="D3614" s="5" t="str">
        <f>IF(B3614="","",[1]!s_dq_close(股指期货基差分析!$E$6,$B3614))</f>
        <v/>
      </c>
      <c r="E3614" s="4" t="e">
        <f ca="1">RANK(F3614,F:F)+COUNTIF(F$2:F3614,F3614)-1</f>
        <v>#VALUE!</v>
      </c>
      <c r="F3614" s="5" t="str">
        <f t="shared" si="57"/>
        <v/>
      </c>
      <c r="G3614" s="5" t="str">
        <f>IF(B3614="","",股指期货基差分析!$N$11)</f>
        <v/>
      </c>
      <c r="H3614" s="5" t="str">
        <f>IF(B3614="","",股指期货基差分析!$L$11)</f>
        <v/>
      </c>
      <c r="I3614" s="9" t="str">
        <f>IF(B3614="","",股指期货基差分析!$D$11)</f>
        <v/>
      </c>
    </row>
    <row r="3615" spans="3:9" ht="15" customHeight="1" x14ac:dyDescent="0.2">
      <c r="C3615" s="5" t="str">
        <f>IF(B3615="","",[1]!s_dq_close(股指期货基差分析!$E$5,$B3615))</f>
        <v/>
      </c>
      <c r="D3615" s="5" t="str">
        <f>IF(B3615="","",[1]!s_dq_close(股指期货基差分析!$E$6,$B3615))</f>
        <v/>
      </c>
      <c r="E3615" s="4" t="e">
        <f ca="1">RANK(F3615,F:F)+COUNTIF(F$2:F3615,F3615)-1</f>
        <v>#VALUE!</v>
      </c>
      <c r="F3615" s="5" t="str">
        <f t="shared" si="57"/>
        <v/>
      </c>
      <c r="G3615" s="5" t="str">
        <f>IF(B3615="","",股指期货基差分析!$N$11)</f>
        <v/>
      </c>
      <c r="H3615" s="5" t="str">
        <f>IF(B3615="","",股指期货基差分析!$L$11)</f>
        <v/>
      </c>
      <c r="I3615" s="9" t="str">
        <f>IF(B3615="","",股指期货基差分析!$D$11)</f>
        <v/>
      </c>
    </row>
    <row r="3616" spans="3:9" ht="15" customHeight="1" x14ac:dyDescent="0.2">
      <c r="C3616" s="5" t="str">
        <f>IF(B3616="","",[1]!s_dq_close(股指期货基差分析!$E$5,$B3616))</f>
        <v/>
      </c>
      <c r="D3616" s="5" t="str">
        <f>IF(B3616="","",[1]!s_dq_close(股指期货基差分析!$E$6,$B3616))</f>
        <v/>
      </c>
      <c r="E3616" s="4" t="e">
        <f ca="1">RANK(F3616,F:F)+COUNTIF(F$2:F3616,F3616)-1</f>
        <v>#VALUE!</v>
      </c>
      <c r="F3616" s="5" t="str">
        <f t="shared" si="57"/>
        <v/>
      </c>
      <c r="G3616" s="5" t="str">
        <f>IF(B3616="","",股指期货基差分析!$N$11)</f>
        <v/>
      </c>
      <c r="H3616" s="5" t="str">
        <f>IF(B3616="","",股指期货基差分析!$L$11)</f>
        <v/>
      </c>
      <c r="I3616" s="9" t="str">
        <f>IF(B3616="","",股指期货基差分析!$D$11)</f>
        <v/>
      </c>
    </row>
    <row r="3617" spans="3:9" ht="15" customHeight="1" x14ac:dyDescent="0.2">
      <c r="C3617" s="5" t="str">
        <f>IF(B3617="","",[1]!s_dq_close(股指期货基差分析!$E$5,$B3617))</f>
        <v/>
      </c>
      <c r="D3617" s="5" t="str">
        <f>IF(B3617="","",[1]!s_dq_close(股指期货基差分析!$E$6,$B3617))</f>
        <v/>
      </c>
      <c r="E3617" s="4" t="e">
        <f ca="1">RANK(F3617,F:F)+COUNTIF(F$2:F3617,F3617)-1</f>
        <v>#VALUE!</v>
      </c>
      <c r="F3617" s="5" t="str">
        <f t="shared" si="57"/>
        <v/>
      </c>
      <c r="G3617" s="5" t="str">
        <f>IF(B3617="","",股指期货基差分析!$N$11)</f>
        <v/>
      </c>
      <c r="H3617" s="5" t="str">
        <f>IF(B3617="","",股指期货基差分析!$L$11)</f>
        <v/>
      </c>
      <c r="I3617" s="9" t="str">
        <f>IF(B3617="","",股指期货基差分析!$D$11)</f>
        <v/>
      </c>
    </row>
    <row r="3618" spans="3:9" ht="15" customHeight="1" x14ac:dyDescent="0.2">
      <c r="C3618" s="5" t="str">
        <f>IF(B3618="","",[1]!s_dq_close(股指期货基差分析!$E$5,$B3618))</f>
        <v/>
      </c>
      <c r="D3618" s="5" t="str">
        <f>IF(B3618="","",[1]!s_dq_close(股指期货基差分析!$E$6,$B3618))</f>
        <v/>
      </c>
      <c r="E3618" s="4" t="e">
        <f ca="1">RANK(F3618,F:F)+COUNTIF(F$2:F3618,F3618)-1</f>
        <v>#VALUE!</v>
      </c>
      <c r="F3618" s="5" t="str">
        <f t="shared" si="57"/>
        <v/>
      </c>
      <c r="G3618" s="5" t="str">
        <f>IF(B3618="","",股指期货基差分析!$N$11)</f>
        <v/>
      </c>
      <c r="H3618" s="5" t="str">
        <f>IF(B3618="","",股指期货基差分析!$L$11)</f>
        <v/>
      </c>
      <c r="I3618" s="9" t="str">
        <f>IF(B3618="","",股指期货基差分析!$D$11)</f>
        <v/>
      </c>
    </row>
    <row r="3619" spans="3:9" ht="15" customHeight="1" x14ac:dyDescent="0.2">
      <c r="C3619" s="5" t="str">
        <f>IF(B3619="","",[1]!s_dq_close(股指期货基差分析!$E$5,$B3619))</f>
        <v/>
      </c>
      <c r="D3619" s="5" t="str">
        <f>IF(B3619="","",[1]!s_dq_close(股指期货基差分析!$E$6,$B3619))</f>
        <v/>
      </c>
      <c r="E3619" s="4" t="e">
        <f ca="1">RANK(F3619,F:F)+COUNTIF(F$2:F3619,F3619)-1</f>
        <v>#VALUE!</v>
      </c>
      <c r="F3619" s="5" t="str">
        <f t="shared" si="57"/>
        <v/>
      </c>
      <c r="G3619" s="5" t="str">
        <f>IF(B3619="","",股指期货基差分析!$N$11)</f>
        <v/>
      </c>
      <c r="H3619" s="5" t="str">
        <f>IF(B3619="","",股指期货基差分析!$L$11)</f>
        <v/>
      </c>
      <c r="I3619" s="9" t="str">
        <f>IF(B3619="","",股指期货基差分析!$D$11)</f>
        <v/>
      </c>
    </row>
    <row r="3620" spans="3:9" ht="15" customHeight="1" x14ac:dyDescent="0.2">
      <c r="C3620" s="5" t="str">
        <f>IF(B3620="","",[1]!s_dq_close(股指期货基差分析!$E$5,$B3620))</f>
        <v/>
      </c>
      <c r="D3620" s="5" t="str">
        <f>IF(B3620="","",[1]!s_dq_close(股指期货基差分析!$E$6,$B3620))</f>
        <v/>
      </c>
      <c r="E3620" s="4" t="e">
        <f ca="1">RANK(F3620,F:F)+COUNTIF(F$2:F3620,F3620)-1</f>
        <v>#VALUE!</v>
      </c>
      <c r="F3620" s="5" t="str">
        <f t="shared" si="57"/>
        <v/>
      </c>
      <c r="G3620" s="5" t="str">
        <f>IF(B3620="","",股指期货基差分析!$N$11)</f>
        <v/>
      </c>
      <c r="H3620" s="5" t="str">
        <f>IF(B3620="","",股指期货基差分析!$L$11)</f>
        <v/>
      </c>
      <c r="I3620" s="9" t="str">
        <f>IF(B3620="","",股指期货基差分析!$D$11)</f>
        <v/>
      </c>
    </row>
    <row r="3621" spans="3:9" ht="15" customHeight="1" x14ac:dyDescent="0.2">
      <c r="C3621" s="5" t="str">
        <f>IF(B3621="","",[1]!s_dq_close(股指期货基差分析!$E$5,$B3621))</f>
        <v/>
      </c>
      <c r="D3621" s="5" t="str">
        <f>IF(B3621="","",[1]!s_dq_close(股指期货基差分析!$E$6,$B3621))</f>
        <v/>
      </c>
      <c r="E3621" s="4" t="e">
        <f ca="1">RANK(F3621,F:F)+COUNTIF(F$2:F3621,F3621)-1</f>
        <v>#VALUE!</v>
      </c>
      <c r="F3621" s="5" t="str">
        <f t="shared" si="57"/>
        <v/>
      </c>
      <c r="G3621" s="5" t="str">
        <f>IF(B3621="","",股指期货基差分析!$N$11)</f>
        <v/>
      </c>
      <c r="H3621" s="5" t="str">
        <f>IF(B3621="","",股指期货基差分析!$L$11)</f>
        <v/>
      </c>
      <c r="I3621" s="9" t="str">
        <f>IF(B3621="","",股指期货基差分析!$D$11)</f>
        <v/>
      </c>
    </row>
    <row r="3622" spans="3:9" ht="15" customHeight="1" x14ac:dyDescent="0.2">
      <c r="C3622" s="5" t="str">
        <f>IF(B3622="","",[1]!s_dq_close(股指期货基差分析!$E$5,$B3622))</f>
        <v/>
      </c>
      <c r="D3622" s="5" t="str">
        <f>IF(B3622="","",[1]!s_dq_close(股指期货基差分析!$E$6,$B3622))</f>
        <v/>
      </c>
      <c r="E3622" s="4" t="e">
        <f ca="1">RANK(F3622,F:F)+COUNTIF(F$2:F3622,F3622)-1</f>
        <v>#VALUE!</v>
      </c>
      <c r="F3622" s="5" t="str">
        <f t="shared" si="57"/>
        <v/>
      </c>
      <c r="G3622" s="5" t="str">
        <f>IF(B3622="","",股指期货基差分析!$N$11)</f>
        <v/>
      </c>
      <c r="H3622" s="5" t="str">
        <f>IF(B3622="","",股指期货基差分析!$L$11)</f>
        <v/>
      </c>
      <c r="I3622" s="9" t="str">
        <f>IF(B3622="","",股指期货基差分析!$D$11)</f>
        <v/>
      </c>
    </row>
    <row r="3623" spans="3:9" ht="15" customHeight="1" x14ac:dyDescent="0.2">
      <c r="C3623" s="5" t="str">
        <f>IF(B3623="","",[1]!s_dq_close(股指期货基差分析!$E$5,$B3623))</f>
        <v/>
      </c>
      <c r="D3623" s="5" t="str">
        <f>IF(B3623="","",[1]!s_dq_close(股指期货基差分析!$E$6,$B3623))</f>
        <v/>
      </c>
      <c r="E3623" s="4" t="e">
        <f ca="1">RANK(F3623,F:F)+COUNTIF(F$2:F3623,F3623)-1</f>
        <v>#VALUE!</v>
      </c>
      <c r="F3623" s="5" t="str">
        <f t="shared" si="57"/>
        <v/>
      </c>
      <c r="G3623" s="5" t="str">
        <f>IF(B3623="","",股指期货基差分析!$N$11)</f>
        <v/>
      </c>
      <c r="H3623" s="5" t="str">
        <f>IF(B3623="","",股指期货基差分析!$L$11)</f>
        <v/>
      </c>
      <c r="I3623" s="9" t="str">
        <f>IF(B3623="","",股指期货基差分析!$D$11)</f>
        <v/>
      </c>
    </row>
    <row r="3624" spans="3:9" ht="15" customHeight="1" x14ac:dyDescent="0.2">
      <c r="C3624" s="5" t="str">
        <f>IF(B3624="","",[1]!s_dq_close(股指期货基差分析!$E$5,$B3624))</f>
        <v/>
      </c>
      <c r="D3624" s="5" t="str">
        <f>IF(B3624="","",[1]!s_dq_close(股指期货基差分析!$E$6,$B3624))</f>
        <v/>
      </c>
      <c r="E3624" s="4" t="e">
        <f ca="1">RANK(F3624,F:F)+COUNTIF(F$2:F3624,F3624)-1</f>
        <v>#VALUE!</v>
      </c>
      <c r="F3624" s="5" t="str">
        <f t="shared" si="57"/>
        <v/>
      </c>
      <c r="G3624" s="5" t="str">
        <f>IF(B3624="","",股指期货基差分析!$N$11)</f>
        <v/>
      </c>
      <c r="H3624" s="5" t="str">
        <f>IF(B3624="","",股指期货基差分析!$L$11)</f>
        <v/>
      </c>
      <c r="I3624" s="9" t="str">
        <f>IF(B3624="","",股指期货基差分析!$D$11)</f>
        <v/>
      </c>
    </row>
    <row r="3625" spans="3:9" ht="15" customHeight="1" x14ac:dyDescent="0.2">
      <c r="C3625" s="5" t="str">
        <f>IF(B3625="","",[1]!s_dq_close(股指期货基差分析!$E$5,$B3625))</f>
        <v/>
      </c>
      <c r="D3625" s="5" t="str">
        <f>IF(B3625="","",[1]!s_dq_close(股指期货基差分析!$E$6,$B3625))</f>
        <v/>
      </c>
      <c r="E3625" s="4" t="e">
        <f ca="1">RANK(F3625,F:F)+COUNTIF(F$2:F3625,F3625)-1</f>
        <v>#VALUE!</v>
      </c>
      <c r="F3625" s="5" t="str">
        <f t="shared" si="57"/>
        <v/>
      </c>
      <c r="G3625" s="5" t="str">
        <f>IF(B3625="","",股指期货基差分析!$N$11)</f>
        <v/>
      </c>
      <c r="H3625" s="5" t="str">
        <f>IF(B3625="","",股指期货基差分析!$L$11)</f>
        <v/>
      </c>
      <c r="I3625" s="9" t="str">
        <f>IF(B3625="","",股指期货基差分析!$D$11)</f>
        <v/>
      </c>
    </row>
    <row r="3626" spans="3:9" ht="15" customHeight="1" x14ac:dyDescent="0.2">
      <c r="C3626" s="5" t="str">
        <f>IF(B3626="","",[1]!s_dq_close(股指期货基差分析!$E$5,$B3626))</f>
        <v/>
      </c>
      <c r="D3626" s="5" t="str">
        <f>IF(B3626="","",[1]!s_dq_close(股指期货基差分析!$E$6,$B3626))</f>
        <v/>
      </c>
      <c r="E3626" s="4" t="e">
        <f ca="1">RANK(F3626,F:F)+COUNTIF(F$2:F3626,F3626)-1</f>
        <v>#VALUE!</v>
      </c>
      <c r="F3626" s="5" t="str">
        <f t="shared" si="57"/>
        <v/>
      </c>
      <c r="G3626" s="5" t="str">
        <f>IF(B3626="","",股指期货基差分析!$N$11)</f>
        <v/>
      </c>
      <c r="H3626" s="5" t="str">
        <f>IF(B3626="","",股指期货基差分析!$L$11)</f>
        <v/>
      </c>
      <c r="I3626" s="9" t="str">
        <f>IF(B3626="","",股指期货基差分析!$D$11)</f>
        <v/>
      </c>
    </row>
    <row r="3627" spans="3:9" ht="15" customHeight="1" x14ac:dyDescent="0.2">
      <c r="C3627" s="5" t="str">
        <f>IF(B3627="","",[1]!s_dq_close(股指期货基差分析!$E$5,$B3627))</f>
        <v/>
      </c>
      <c r="D3627" s="5" t="str">
        <f>IF(B3627="","",[1]!s_dq_close(股指期货基差分析!$E$6,$B3627))</f>
        <v/>
      </c>
      <c r="E3627" s="4" t="e">
        <f ca="1">RANK(F3627,F:F)+COUNTIF(F$2:F3627,F3627)-1</f>
        <v>#VALUE!</v>
      </c>
      <c r="F3627" s="5" t="str">
        <f t="shared" si="57"/>
        <v/>
      </c>
      <c r="G3627" s="5" t="str">
        <f>IF(B3627="","",股指期货基差分析!$N$11)</f>
        <v/>
      </c>
      <c r="H3627" s="5" t="str">
        <f>IF(B3627="","",股指期货基差分析!$L$11)</f>
        <v/>
      </c>
      <c r="I3627" s="9" t="str">
        <f>IF(B3627="","",股指期货基差分析!$D$11)</f>
        <v/>
      </c>
    </row>
    <row r="3628" spans="3:9" ht="15" customHeight="1" x14ac:dyDescent="0.2">
      <c r="C3628" s="5" t="str">
        <f>IF(B3628="","",[1]!s_dq_close(股指期货基差分析!$E$5,$B3628))</f>
        <v/>
      </c>
      <c r="D3628" s="5" t="str">
        <f>IF(B3628="","",[1]!s_dq_close(股指期货基差分析!$E$6,$B3628))</f>
        <v/>
      </c>
      <c r="E3628" s="4" t="e">
        <f ca="1">RANK(F3628,F:F)+COUNTIF(F$2:F3628,F3628)-1</f>
        <v>#VALUE!</v>
      </c>
      <c r="F3628" s="5" t="str">
        <f t="shared" si="57"/>
        <v/>
      </c>
      <c r="G3628" s="5" t="str">
        <f>IF(B3628="","",股指期货基差分析!$N$11)</f>
        <v/>
      </c>
      <c r="H3628" s="5" t="str">
        <f>IF(B3628="","",股指期货基差分析!$L$11)</f>
        <v/>
      </c>
      <c r="I3628" s="9" t="str">
        <f>IF(B3628="","",股指期货基差分析!$D$11)</f>
        <v/>
      </c>
    </row>
    <row r="3629" spans="3:9" ht="15" customHeight="1" x14ac:dyDescent="0.2">
      <c r="C3629" s="5" t="str">
        <f>IF(B3629="","",[1]!s_dq_close(股指期货基差分析!$E$5,$B3629))</f>
        <v/>
      </c>
      <c r="D3629" s="5" t="str">
        <f>IF(B3629="","",[1]!s_dq_close(股指期货基差分析!$E$6,$B3629))</f>
        <v/>
      </c>
      <c r="E3629" s="4" t="e">
        <f ca="1">RANK(F3629,F:F)+COUNTIF(F$2:F3629,F3629)-1</f>
        <v>#VALUE!</v>
      </c>
      <c r="F3629" s="5" t="str">
        <f t="shared" si="57"/>
        <v/>
      </c>
      <c r="G3629" s="5" t="str">
        <f>IF(B3629="","",股指期货基差分析!$N$11)</f>
        <v/>
      </c>
      <c r="H3629" s="5" t="str">
        <f>IF(B3629="","",股指期货基差分析!$L$11)</f>
        <v/>
      </c>
      <c r="I3629" s="9" t="str">
        <f>IF(B3629="","",股指期货基差分析!$D$11)</f>
        <v/>
      </c>
    </row>
    <row r="3630" spans="3:9" ht="15" customHeight="1" x14ac:dyDescent="0.2">
      <c r="C3630" s="5" t="str">
        <f>IF(B3630="","",[1]!s_dq_close(股指期货基差分析!$E$5,$B3630))</f>
        <v/>
      </c>
      <c r="D3630" s="5" t="str">
        <f>IF(B3630="","",[1]!s_dq_close(股指期货基差分析!$E$6,$B3630))</f>
        <v/>
      </c>
      <c r="E3630" s="4" t="e">
        <f ca="1">RANK(F3630,F:F)+COUNTIF(F$2:F3630,F3630)-1</f>
        <v>#VALUE!</v>
      </c>
      <c r="F3630" s="5" t="str">
        <f t="shared" si="57"/>
        <v/>
      </c>
      <c r="G3630" s="5" t="str">
        <f>IF(B3630="","",股指期货基差分析!$N$11)</f>
        <v/>
      </c>
      <c r="H3630" s="5" t="str">
        <f>IF(B3630="","",股指期货基差分析!$L$11)</f>
        <v/>
      </c>
      <c r="I3630" s="9" t="str">
        <f>IF(B3630="","",股指期货基差分析!$D$11)</f>
        <v/>
      </c>
    </row>
    <row r="3631" spans="3:9" ht="15" customHeight="1" x14ac:dyDescent="0.2">
      <c r="C3631" s="5" t="str">
        <f>IF(B3631="","",[1]!s_dq_close(股指期货基差分析!$E$5,$B3631))</f>
        <v/>
      </c>
      <c r="D3631" s="5" t="str">
        <f>IF(B3631="","",[1]!s_dq_close(股指期货基差分析!$E$6,$B3631))</f>
        <v/>
      </c>
      <c r="E3631" s="4" t="e">
        <f ca="1">RANK(F3631,F:F)+COUNTIF(F$2:F3631,F3631)-1</f>
        <v>#VALUE!</v>
      </c>
      <c r="F3631" s="5" t="str">
        <f t="shared" si="57"/>
        <v/>
      </c>
      <c r="G3631" s="5" t="str">
        <f>IF(B3631="","",股指期货基差分析!$N$11)</f>
        <v/>
      </c>
      <c r="H3631" s="5" t="str">
        <f>IF(B3631="","",股指期货基差分析!$L$11)</f>
        <v/>
      </c>
      <c r="I3631" s="9" t="str">
        <f>IF(B3631="","",股指期货基差分析!$D$11)</f>
        <v/>
      </c>
    </row>
    <row r="3632" spans="3:9" ht="15" customHeight="1" x14ac:dyDescent="0.2">
      <c r="C3632" s="5" t="str">
        <f>IF(B3632="","",[1]!s_dq_close(股指期货基差分析!$E$5,$B3632))</f>
        <v/>
      </c>
      <c r="D3632" s="5" t="str">
        <f>IF(B3632="","",[1]!s_dq_close(股指期货基差分析!$E$6,$B3632))</f>
        <v/>
      </c>
      <c r="E3632" s="4" t="e">
        <f ca="1">RANK(F3632,F:F)+COUNTIF(F$2:F3632,F3632)-1</f>
        <v>#VALUE!</v>
      </c>
      <c r="F3632" s="5" t="str">
        <f t="shared" si="57"/>
        <v/>
      </c>
      <c r="G3632" s="5" t="str">
        <f>IF(B3632="","",股指期货基差分析!$N$11)</f>
        <v/>
      </c>
      <c r="H3632" s="5" t="str">
        <f>IF(B3632="","",股指期货基差分析!$L$11)</f>
        <v/>
      </c>
      <c r="I3632" s="9" t="str">
        <f>IF(B3632="","",股指期货基差分析!$D$11)</f>
        <v/>
      </c>
    </row>
    <row r="3633" spans="3:9" ht="15" customHeight="1" x14ac:dyDescent="0.2">
      <c r="C3633" s="5" t="str">
        <f>IF(B3633="","",[1]!s_dq_close(股指期货基差分析!$E$5,$B3633))</f>
        <v/>
      </c>
      <c r="D3633" s="5" t="str">
        <f>IF(B3633="","",[1]!s_dq_close(股指期货基差分析!$E$6,$B3633))</f>
        <v/>
      </c>
      <c r="E3633" s="4" t="e">
        <f ca="1">RANK(F3633,F:F)+COUNTIF(F$2:F3633,F3633)-1</f>
        <v>#VALUE!</v>
      </c>
      <c r="F3633" s="5" t="str">
        <f t="shared" si="57"/>
        <v/>
      </c>
      <c r="G3633" s="5" t="str">
        <f>IF(B3633="","",股指期货基差分析!$N$11)</f>
        <v/>
      </c>
      <c r="H3633" s="5" t="str">
        <f>IF(B3633="","",股指期货基差分析!$L$11)</f>
        <v/>
      </c>
      <c r="I3633" s="9" t="str">
        <f>IF(B3633="","",股指期货基差分析!$D$11)</f>
        <v/>
      </c>
    </row>
    <row r="3634" spans="3:9" ht="15" customHeight="1" x14ac:dyDescent="0.2">
      <c r="C3634" s="5" t="str">
        <f>IF(B3634="","",[1]!s_dq_close(股指期货基差分析!$E$5,$B3634))</f>
        <v/>
      </c>
      <c r="D3634" s="5" t="str">
        <f>IF(B3634="","",[1]!s_dq_close(股指期货基差分析!$E$6,$B3634))</f>
        <v/>
      </c>
      <c r="E3634" s="4" t="e">
        <f ca="1">RANK(F3634,F:F)+COUNTIF(F$2:F3634,F3634)-1</f>
        <v>#VALUE!</v>
      </c>
      <c r="F3634" s="5" t="str">
        <f t="shared" si="57"/>
        <v/>
      </c>
      <c r="G3634" s="5" t="str">
        <f>IF(B3634="","",股指期货基差分析!$N$11)</f>
        <v/>
      </c>
      <c r="H3634" s="5" t="str">
        <f>IF(B3634="","",股指期货基差分析!$L$11)</f>
        <v/>
      </c>
      <c r="I3634" s="9" t="str">
        <f>IF(B3634="","",股指期货基差分析!$D$11)</f>
        <v/>
      </c>
    </row>
    <row r="3635" spans="3:9" ht="15" customHeight="1" x14ac:dyDescent="0.2">
      <c r="C3635" s="5" t="str">
        <f>IF(B3635="","",[1]!s_dq_close(股指期货基差分析!$E$5,$B3635))</f>
        <v/>
      </c>
      <c r="D3635" s="5" t="str">
        <f>IF(B3635="","",[1]!s_dq_close(股指期货基差分析!$E$6,$B3635))</f>
        <v/>
      </c>
      <c r="E3635" s="4" t="e">
        <f ca="1">RANK(F3635,F:F)+COUNTIF(F$2:F3635,F3635)-1</f>
        <v>#VALUE!</v>
      </c>
      <c r="F3635" s="5" t="str">
        <f t="shared" si="57"/>
        <v/>
      </c>
      <c r="G3635" s="5" t="str">
        <f>IF(B3635="","",股指期货基差分析!$N$11)</f>
        <v/>
      </c>
      <c r="H3635" s="5" t="str">
        <f>IF(B3635="","",股指期货基差分析!$L$11)</f>
        <v/>
      </c>
      <c r="I3635" s="9" t="str">
        <f>IF(B3635="","",股指期货基差分析!$D$11)</f>
        <v/>
      </c>
    </row>
    <row r="3636" spans="3:9" ht="15" customHeight="1" x14ac:dyDescent="0.2">
      <c r="C3636" s="5" t="str">
        <f>IF(B3636="","",[1]!s_dq_close(股指期货基差分析!$E$5,$B3636))</f>
        <v/>
      </c>
      <c r="D3636" s="5" t="str">
        <f>IF(B3636="","",[1]!s_dq_close(股指期货基差分析!$E$6,$B3636))</f>
        <v/>
      </c>
      <c r="E3636" s="4" t="e">
        <f ca="1">RANK(F3636,F:F)+COUNTIF(F$2:F3636,F3636)-1</f>
        <v>#VALUE!</v>
      </c>
      <c r="F3636" s="5" t="str">
        <f t="shared" si="57"/>
        <v/>
      </c>
      <c r="G3636" s="5" t="str">
        <f>IF(B3636="","",股指期货基差分析!$N$11)</f>
        <v/>
      </c>
      <c r="H3636" s="5" t="str">
        <f>IF(B3636="","",股指期货基差分析!$L$11)</f>
        <v/>
      </c>
      <c r="I3636" s="9" t="str">
        <f>IF(B3636="","",股指期货基差分析!$D$11)</f>
        <v/>
      </c>
    </row>
    <row r="3637" spans="3:9" ht="15" customHeight="1" x14ac:dyDescent="0.2">
      <c r="C3637" s="5" t="str">
        <f>IF(B3637="","",[1]!s_dq_close(股指期货基差分析!$E$5,$B3637))</f>
        <v/>
      </c>
      <c r="D3637" s="5" t="str">
        <f>IF(B3637="","",[1]!s_dq_close(股指期货基差分析!$E$6,$B3637))</f>
        <v/>
      </c>
      <c r="E3637" s="4" t="e">
        <f ca="1">RANK(F3637,F:F)+COUNTIF(F$2:F3637,F3637)-1</f>
        <v>#VALUE!</v>
      </c>
      <c r="F3637" s="5" t="str">
        <f t="shared" si="57"/>
        <v/>
      </c>
      <c r="G3637" s="5" t="str">
        <f>IF(B3637="","",股指期货基差分析!$N$11)</f>
        <v/>
      </c>
      <c r="H3637" s="5" t="str">
        <f>IF(B3637="","",股指期货基差分析!$L$11)</f>
        <v/>
      </c>
      <c r="I3637" s="9" t="str">
        <f>IF(B3637="","",股指期货基差分析!$D$11)</f>
        <v/>
      </c>
    </row>
    <row r="3638" spans="3:9" ht="15" customHeight="1" x14ac:dyDescent="0.2">
      <c r="C3638" s="5" t="str">
        <f>IF(B3638="","",[1]!s_dq_close(股指期货基差分析!$E$5,$B3638))</f>
        <v/>
      </c>
      <c r="D3638" s="5" t="str">
        <f>IF(B3638="","",[1]!s_dq_close(股指期货基差分析!$E$6,$B3638))</f>
        <v/>
      </c>
      <c r="E3638" s="4" t="e">
        <f ca="1">RANK(F3638,F:F)+COUNTIF(F$2:F3638,F3638)-1</f>
        <v>#VALUE!</v>
      </c>
      <c r="F3638" s="5" t="str">
        <f t="shared" si="57"/>
        <v/>
      </c>
      <c r="G3638" s="5" t="str">
        <f>IF(B3638="","",股指期货基差分析!$N$11)</f>
        <v/>
      </c>
      <c r="H3638" s="5" t="str">
        <f>IF(B3638="","",股指期货基差分析!$L$11)</f>
        <v/>
      </c>
      <c r="I3638" s="9" t="str">
        <f>IF(B3638="","",股指期货基差分析!$D$11)</f>
        <v/>
      </c>
    </row>
    <row r="3639" spans="3:9" ht="15" customHeight="1" x14ac:dyDescent="0.2">
      <c r="C3639" s="5" t="str">
        <f>IF(B3639="","",[1]!s_dq_close(股指期货基差分析!$E$5,$B3639))</f>
        <v/>
      </c>
      <c r="D3639" s="5" t="str">
        <f>IF(B3639="","",[1]!s_dq_close(股指期货基差分析!$E$6,$B3639))</f>
        <v/>
      </c>
      <c r="E3639" s="4" t="e">
        <f ca="1">RANK(F3639,F:F)+COUNTIF(F$2:F3639,F3639)-1</f>
        <v>#VALUE!</v>
      </c>
      <c r="F3639" s="5" t="str">
        <f t="shared" si="57"/>
        <v/>
      </c>
      <c r="G3639" s="5" t="str">
        <f>IF(B3639="","",股指期货基差分析!$N$11)</f>
        <v/>
      </c>
      <c r="H3639" s="5" t="str">
        <f>IF(B3639="","",股指期货基差分析!$L$11)</f>
        <v/>
      </c>
      <c r="I3639" s="9" t="str">
        <f>IF(B3639="","",股指期货基差分析!$D$11)</f>
        <v/>
      </c>
    </row>
    <row r="3640" spans="3:9" ht="15" customHeight="1" x14ac:dyDescent="0.2">
      <c r="C3640" s="5" t="str">
        <f>IF(B3640="","",[1]!s_dq_close(股指期货基差分析!$E$5,$B3640))</f>
        <v/>
      </c>
      <c r="D3640" s="5" t="str">
        <f>IF(B3640="","",[1]!s_dq_close(股指期货基差分析!$E$6,$B3640))</f>
        <v/>
      </c>
      <c r="E3640" s="4" t="e">
        <f ca="1">RANK(F3640,F:F)+COUNTIF(F$2:F3640,F3640)-1</f>
        <v>#VALUE!</v>
      </c>
      <c r="F3640" s="5" t="str">
        <f t="shared" si="57"/>
        <v/>
      </c>
      <c r="G3640" s="5" t="str">
        <f>IF(B3640="","",股指期货基差分析!$N$11)</f>
        <v/>
      </c>
      <c r="H3640" s="5" t="str">
        <f>IF(B3640="","",股指期货基差分析!$L$11)</f>
        <v/>
      </c>
      <c r="I3640" s="9" t="str">
        <f>IF(B3640="","",股指期货基差分析!$D$11)</f>
        <v/>
      </c>
    </row>
    <row r="3641" spans="3:9" ht="15" customHeight="1" x14ac:dyDescent="0.2">
      <c r="C3641" s="5" t="str">
        <f>IF(B3641="","",[1]!s_dq_close(股指期货基差分析!$E$5,$B3641))</f>
        <v/>
      </c>
      <c r="D3641" s="5" t="str">
        <f>IF(B3641="","",[1]!s_dq_close(股指期货基差分析!$E$6,$B3641))</f>
        <v/>
      </c>
      <c r="E3641" s="4" t="e">
        <f ca="1">RANK(F3641,F:F)+COUNTIF(F$2:F3641,F3641)-1</f>
        <v>#VALUE!</v>
      </c>
      <c r="F3641" s="5" t="str">
        <f t="shared" si="57"/>
        <v/>
      </c>
      <c r="G3641" s="5" t="str">
        <f>IF(B3641="","",股指期货基差分析!$N$11)</f>
        <v/>
      </c>
      <c r="H3641" s="5" t="str">
        <f>IF(B3641="","",股指期货基差分析!$L$11)</f>
        <v/>
      </c>
      <c r="I3641" s="9" t="str">
        <f>IF(B3641="","",股指期货基差分析!$D$11)</f>
        <v/>
      </c>
    </row>
    <row r="3642" spans="3:9" ht="15" customHeight="1" x14ac:dyDescent="0.2">
      <c r="C3642" s="5" t="str">
        <f>IF(B3642="","",[1]!s_dq_close(股指期货基差分析!$E$5,$B3642))</f>
        <v/>
      </c>
      <c r="D3642" s="5" t="str">
        <f>IF(B3642="","",[1]!s_dq_close(股指期货基差分析!$E$6,$B3642))</f>
        <v/>
      </c>
      <c r="E3642" s="4" t="e">
        <f ca="1">RANK(F3642,F:F)+COUNTIF(F$2:F3642,F3642)-1</f>
        <v>#VALUE!</v>
      </c>
      <c r="F3642" s="5" t="str">
        <f t="shared" si="57"/>
        <v/>
      </c>
      <c r="G3642" s="5" t="str">
        <f>IF(B3642="","",股指期货基差分析!$N$11)</f>
        <v/>
      </c>
      <c r="H3642" s="5" t="str">
        <f>IF(B3642="","",股指期货基差分析!$L$11)</f>
        <v/>
      </c>
      <c r="I3642" s="9" t="str">
        <f>IF(B3642="","",股指期货基差分析!$D$11)</f>
        <v/>
      </c>
    </row>
    <row r="3643" spans="3:9" ht="15" customHeight="1" x14ac:dyDescent="0.2">
      <c r="C3643" s="5" t="str">
        <f>IF(B3643="","",[1]!s_dq_close(股指期货基差分析!$E$5,$B3643))</f>
        <v/>
      </c>
      <c r="D3643" s="5" t="str">
        <f>IF(B3643="","",[1]!s_dq_close(股指期货基差分析!$E$6,$B3643))</f>
        <v/>
      </c>
      <c r="E3643" s="4" t="e">
        <f ca="1">RANK(F3643,F:F)+COUNTIF(F$2:F3643,F3643)-1</f>
        <v>#VALUE!</v>
      </c>
      <c r="F3643" s="5" t="str">
        <f t="shared" si="57"/>
        <v/>
      </c>
      <c r="G3643" s="5" t="str">
        <f>IF(B3643="","",股指期货基差分析!$N$11)</f>
        <v/>
      </c>
      <c r="H3643" s="5" t="str">
        <f>IF(B3643="","",股指期货基差分析!$L$11)</f>
        <v/>
      </c>
      <c r="I3643" s="9" t="str">
        <f>IF(B3643="","",股指期货基差分析!$D$11)</f>
        <v/>
      </c>
    </row>
    <row r="3644" spans="3:9" ht="15" customHeight="1" x14ac:dyDescent="0.2">
      <c r="C3644" s="5" t="str">
        <f>IF(B3644="","",[1]!s_dq_close(股指期货基差分析!$E$5,$B3644))</f>
        <v/>
      </c>
      <c r="D3644" s="5" t="str">
        <f>IF(B3644="","",[1]!s_dq_close(股指期货基差分析!$E$6,$B3644))</f>
        <v/>
      </c>
      <c r="E3644" s="4" t="e">
        <f ca="1">RANK(F3644,F:F)+COUNTIF(F$2:F3644,F3644)-1</f>
        <v>#VALUE!</v>
      </c>
      <c r="F3644" s="5" t="str">
        <f t="shared" si="57"/>
        <v/>
      </c>
      <c r="G3644" s="5" t="str">
        <f>IF(B3644="","",股指期货基差分析!$N$11)</f>
        <v/>
      </c>
      <c r="H3644" s="5" t="str">
        <f>IF(B3644="","",股指期货基差分析!$L$11)</f>
        <v/>
      </c>
      <c r="I3644" s="9" t="str">
        <f>IF(B3644="","",股指期货基差分析!$D$11)</f>
        <v/>
      </c>
    </row>
    <row r="3645" spans="3:9" ht="15" customHeight="1" x14ac:dyDescent="0.2">
      <c r="C3645" s="5" t="str">
        <f>IF(B3645="","",[1]!s_dq_close(股指期货基差分析!$E$5,$B3645))</f>
        <v/>
      </c>
      <c r="D3645" s="5" t="str">
        <f>IF(B3645="","",[1]!s_dq_close(股指期货基差分析!$E$6,$B3645))</f>
        <v/>
      </c>
      <c r="E3645" s="4" t="e">
        <f ca="1">RANK(F3645,F:F)+COUNTIF(F$2:F3645,F3645)-1</f>
        <v>#VALUE!</v>
      </c>
      <c r="F3645" s="5" t="str">
        <f t="shared" si="57"/>
        <v/>
      </c>
      <c r="G3645" s="5" t="str">
        <f>IF(B3645="","",股指期货基差分析!$N$11)</f>
        <v/>
      </c>
      <c r="H3645" s="5" t="str">
        <f>IF(B3645="","",股指期货基差分析!$L$11)</f>
        <v/>
      </c>
      <c r="I3645" s="9" t="str">
        <f>IF(B3645="","",股指期货基差分析!$D$11)</f>
        <v/>
      </c>
    </row>
    <row r="3646" spans="3:9" ht="15" customHeight="1" x14ac:dyDescent="0.2">
      <c r="C3646" s="5" t="str">
        <f>IF(B3646="","",[1]!s_dq_close(股指期货基差分析!$E$5,$B3646))</f>
        <v/>
      </c>
      <c r="D3646" s="5" t="str">
        <f>IF(B3646="","",[1]!s_dq_close(股指期货基差分析!$E$6,$B3646))</f>
        <v/>
      </c>
      <c r="E3646" s="4" t="e">
        <f ca="1">RANK(F3646,F:F)+COUNTIF(F$2:F3646,F3646)-1</f>
        <v>#VALUE!</v>
      </c>
      <c r="F3646" s="5" t="str">
        <f t="shared" si="57"/>
        <v/>
      </c>
      <c r="G3646" s="5" t="str">
        <f>IF(B3646="","",股指期货基差分析!$N$11)</f>
        <v/>
      </c>
      <c r="H3646" s="5" t="str">
        <f>IF(B3646="","",股指期货基差分析!$L$11)</f>
        <v/>
      </c>
      <c r="I3646" s="9" t="str">
        <f>IF(B3646="","",股指期货基差分析!$D$11)</f>
        <v/>
      </c>
    </row>
    <row r="3647" spans="3:9" ht="15" customHeight="1" x14ac:dyDescent="0.2">
      <c r="C3647" s="5" t="str">
        <f>IF(B3647="","",[1]!s_dq_close(股指期货基差分析!$E$5,$B3647))</f>
        <v/>
      </c>
      <c r="D3647" s="5" t="str">
        <f>IF(B3647="","",[1]!s_dq_close(股指期货基差分析!$E$6,$B3647))</f>
        <v/>
      </c>
      <c r="E3647" s="4" t="e">
        <f ca="1">RANK(F3647,F:F)+COUNTIF(F$2:F3647,F3647)-1</f>
        <v>#VALUE!</v>
      </c>
      <c r="F3647" s="5" t="str">
        <f t="shared" si="57"/>
        <v/>
      </c>
      <c r="G3647" s="5" t="str">
        <f>IF(B3647="","",股指期货基差分析!$N$11)</f>
        <v/>
      </c>
      <c r="H3647" s="5" t="str">
        <f>IF(B3647="","",股指期货基差分析!$L$11)</f>
        <v/>
      </c>
      <c r="I3647" s="9" t="str">
        <f>IF(B3647="","",股指期货基差分析!$D$11)</f>
        <v/>
      </c>
    </row>
    <row r="3648" spans="3:9" ht="15" customHeight="1" x14ac:dyDescent="0.2">
      <c r="C3648" s="5" t="str">
        <f>IF(B3648="","",[1]!s_dq_close(股指期货基差分析!$E$5,$B3648))</f>
        <v/>
      </c>
      <c r="D3648" s="5" t="str">
        <f>IF(B3648="","",[1]!s_dq_close(股指期货基差分析!$E$6,$B3648))</f>
        <v/>
      </c>
      <c r="E3648" s="4" t="e">
        <f ca="1">RANK(F3648,F:F)+COUNTIF(F$2:F3648,F3648)-1</f>
        <v>#VALUE!</v>
      </c>
      <c r="F3648" s="5" t="str">
        <f t="shared" si="57"/>
        <v/>
      </c>
      <c r="G3648" s="5" t="str">
        <f>IF(B3648="","",股指期货基差分析!$N$11)</f>
        <v/>
      </c>
      <c r="H3648" s="5" t="str">
        <f>IF(B3648="","",股指期货基差分析!$L$11)</f>
        <v/>
      </c>
      <c r="I3648" s="9" t="str">
        <f>IF(B3648="","",股指期货基差分析!$D$11)</f>
        <v/>
      </c>
    </row>
    <row r="3649" spans="3:9" ht="15" customHeight="1" x14ac:dyDescent="0.2">
      <c r="C3649" s="5" t="str">
        <f>IF(B3649="","",[1]!s_dq_close(股指期货基差分析!$E$5,$B3649))</f>
        <v/>
      </c>
      <c r="D3649" s="5" t="str">
        <f>IF(B3649="","",[1]!s_dq_close(股指期货基差分析!$E$6,$B3649))</f>
        <v/>
      </c>
      <c r="E3649" s="4" t="e">
        <f ca="1">RANK(F3649,F:F)+COUNTIF(F$2:F3649,F3649)-1</f>
        <v>#VALUE!</v>
      </c>
      <c r="F3649" s="5" t="str">
        <f t="shared" si="57"/>
        <v/>
      </c>
      <c r="G3649" s="5" t="str">
        <f>IF(B3649="","",股指期货基差分析!$N$11)</f>
        <v/>
      </c>
      <c r="H3649" s="5" t="str">
        <f>IF(B3649="","",股指期货基差分析!$L$11)</f>
        <v/>
      </c>
      <c r="I3649" s="9" t="str">
        <f>IF(B3649="","",股指期货基差分析!$D$11)</f>
        <v/>
      </c>
    </row>
    <row r="3650" spans="3:9" ht="15" customHeight="1" x14ac:dyDescent="0.2">
      <c r="C3650" s="5" t="str">
        <f>IF(B3650="","",[1]!s_dq_close(股指期货基差分析!$E$5,$B3650))</f>
        <v/>
      </c>
      <c r="D3650" s="5" t="str">
        <f>IF(B3650="","",[1]!s_dq_close(股指期货基差分析!$E$6,$B3650))</f>
        <v/>
      </c>
      <c r="E3650" s="4" t="e">
        <f ca="1">RANK(F3650,F:F)+COUNTIF(F$2:F3650,F3650)-1</f>
        <v>#VALUE!</v>
      </c>
      <c r="F3650" s="5" t="str">
        <f t="shared" ref="F3650:F3713" si="58">IF(B3650="","",D3650-C3650)</f>
        <v/>
      </c>
      <c r="G3650" s="5" t="str">
        <f>IF(B3650="","",股指期货基差分析!$N$11)</f>
        <v/>
      </c>
      <c r="H3650" s="5" t="str">
        <f>IF(B3650="","",股指期货基差分析!$L$11)</f>
        <v/>
      </c>
      <c r="I3650" s="9" t="str">
        <f>IF(B3650="","",股指期货基差分析!$D$11)</f>
        <v/>
      </c>
    </row>
    <row r="3651" spans="3:9" ht="15" customHeight="1" x14ac:dyDescent="0.2">
      <c r="C3651" s="5" t="str">
        <f>IF(B3651="","",[1]!s_dq_close(股指期货基差分析!$E$5,$B3651))</f>
        <v/>
      </c>
      <c r="D3651" s="5" t="str">
        <f>IF(B3651="","",[1]!s_dq_close(股指期货基差分析!$E$6,$B3651))</f>
        <v/>
      </c>
      <c r="E3651" s="4" t="e">
        <f ca="1">RANK(F3651,F:F)+COUNTIF(F$2:F3651,F3651)-1</f>
        <v>#VALUE!</v>
      </c>
      <c r="F3651" s="5" t="str">
        <f t="shared" si="58"/>
        <v/>
      </c>
      <c r="G3651" s="5" t="str">
        <f>IF(B3651="","",股指期货基差分析!$N$11)</f>
        <v/>
      </c>
      <c r="H3651" s="5" t="str">
        <f>IF(B3651="","",股指期货基差分析!$L$11)</f>
        <v/>
      </c>
      <c r="I3651" s="9" t="str">
        <f>IF(B3651="","",股指期货基差分析!$D$11)</f>
        <v/>
      </c>
    </row>
    <row r="3652" spans="3:9" ht="15" customHeight="1" x14ac:dyDescent="0.2">
      <c r="C3652" s="5" t="str">
        <f>IF(B3652="","",[1]!s_dq_close(股指期货基差分析!$E$5,$B3652))</f>
        <v/>
      </c>
      <c r="D3652" s="5" t="str">
        <f>IF(B3652="","",[1]!s_dq_close(股指期货基差分析!$E$6,$B3652))</f>
        <v/>
      </c>
      <c r="E3652" s="4" t="e">
        <f ca="1">RANK(F3652,F:F)+COUNTIF(F$2:F3652,F3652)-1</f>
        <v>#VALUE!</v>
      </c>
      <c r="F3652" s="5" t="str">
        <f t="shared" si="58"/>
        <v/>
      </c>
      <c r="G3652" s="5" t="str">
        <f>IF(B3652="","",股指期货基差分析!$N$11)</f>
        <v/>
      </c>
      <c r="H3652" s="5" t="str">
        <f>IF(B3652="","",股指期货基差分析!$L$11)</f>
        <v/>
      </c>
      <c r="I3652" s="9" t="str">
        <f>IF(B3652="","",股指期货基差分析!$D$11)</f>
        <v/>
      </c>
    </row>
    <row r="3653" spans="3:9" ht="15" customHeight="1" x14ac:dyDescent="0.2">
      <c r="C3653" s="5" t="str">
        <f>IF(B3653="","",[1]!s_dq_close(股指期货基差分析!$E$5,$B3653))</f>
        <v/>
      </c>
      <c r="D3653" s="5" t="str">
        <f>IF(B3653="","",[1]!s_dq_close(股指期货基差分析!$E$6,$B3653))</f>
        <v/>
      </c>
      <c r="E3653" s="4" t="e">
        <f ca="1">RANK(F3653,F:F)+COUNTIF(F$2:F3653,F3653)-1</f>
        <v>#VALUE!</v>
      </c>
      <c r="F3653" s="5" t="str">
        <f t="shared" si="58"/>
        <v/>
      </c>
      <c r="G3653" s="5" t="str">
        <f>IF(B3653="","",股指期货基差分析!$N$11)</f>
        <v/>
      </c>
      <c r="H3653" s="5" t="str">
        <f>IF(B3653="","",股指期货基差分析!$L$11)</f>
        <v/>
      </c>
      <c r="I3653" s="9" t="str">
        <f>IF(B3653="","",股指期货基差分析!$D$11)</f>
        <v/>
      </c>
    </row>
    <row r="3654" spans="3:9" ht="15" customHeight="1" x14ac:dyDescent="0.2">
      <c r="C3654" s="5" t="str">
        <f>IF(B3654="","",[1]!s_dq_close(股指期货基差分析!$E$5,$B3654))</f>
        <v/>
      </c>
      <c r="D3654" s="5" t="str">
        <f>IF(B3654="","",[1]!s_dq_close(股指期货基差分析!$E$6,$B3654))</f>
        <v/>
      </c>
      <c r="E3654" s="4" t="e">
        <f ca="1">RANK(F3654,F:F)+COUNTIF(F$2:F3654,F3654)-1</f>
        <v>#VALUE!</v>
      </c>
      <c r="F3654" s="5" t="str">
        <f t="shared" si="58"/>
        <v/>
      </c>
      <c r="G3654" s="5" t="str">
        <f>IF(B3654="","",股指期货基差分析!$N$11)</f>
        <v/>
      </c>
      <c r="H3654" s="5" t="str">
        <f>IF(B3654="","",股指期货基差分析!$L$11)</f>
        <v/>
      </c>
      <c r="I3654" s="9" t="str">
        <f>IF(B3654="","",股指期货基差分析!$D$11)</f>
        <v/>
      </c>
    </row>
    <row r="3655" spans="3:9" ht="15" customHeight="1" x14ac:dyDescent="0.2">
      <c r="C3655" s="5" t="str">
        <f>IF(B3655="","",[1]!s_dq_close(股指期货基差分析!$E$5,$B3655))</f>
        <v/>
      </c>
      <c r="D3655" s="5" t="str">
        <f>IF(B3655="","",[1]!s_dq_close(股指期货基差分析!$E$6,$B3655))</f>
        <v/>
      </c>
      <c r="E3655" s="4" t="e">
        <f ca="1">RANK(F3655,F:F)+COUNTIF(F$2:F3655,F3655)-1</f>
        <v>#VALUE!</v>
      </c>
      <c r="F3655" s="5" t="str">
        <f t="shared" si="58"/>
        <v/>
      </c>
      <c r="G3655" s="5" t="str">
        <f>IF(B3655="","",股指期货基差分析!$N$11)</f>
        <v/>
      </c>
      <c r="H3655" s="5" t="str">
        <f>IF(B3655="","",股指期货基差分析!$L$11)</f>
        <v/>
      </c>
      <c r="I3655" s="9" t="str">
        <f>IF(B3655="","",股指期货基差分析!$D$11)</f>
        <v/>
      </c>
    </row>
    <row r="3656" spans="3:9" ht="15" customHeight="1" x14ac:dyDescent="0.2">
      <c r="C3656" s="5" t="str">
        <f>IF(B3656="","",[1]!s_dq_close(股指期货基差分析!$E$5,$B3656))</f>
        <v/>
      </c>
      <c r="D3656" s="5" t="str">
        <f>IF(B3656="","",[1]!s_dq_close(股指期货基差分析!$E$6,$B3656))</f>
        <v/>
      </c>
      <c r="E3656" s="4" t="e">
        <f ca="1">RANK(F3656,F:F)+COUNTIF(F$2:F3656,F3656)-1</f>
        <v>#VALUE!</v>
      </c>
      <c r="F3656" s="5" t="str">
        <f t="shared" si="58"/>
        <v/>
      </c>
      <c r="G3656" s="5" t="str">
        <f>IF(B3656="","",股指期货基差分析!$N$11)</f>
        <v/>
      </c>
      <c r="H3656" s="5" t="str">
        <f>IF(B3656="","",股指期货基差分析!$L$11)</f>
        <v/>
      </c>
      <c r="I3656" s="9" t="str">
        <f>IF(B3656="","",股指期货基差分析!$D$11)</f>
        <v/>
      </c>
    </row>
    <row r="3657" spans="3:9" ht="15" customHeight="1" x14ac:dyDescent="0.2">
      <c r="C3657" s="5" t="str">
        <f>IF(B3657="","",[1]!s_dq_close(股指期货基差分析!$E$5,$B3657))</f>
        <v/>
      </c>
      <c r="D3657" s="5" t="str">
        <f>IF(B3657="","",[1]!s_dq_close(股指期货基差分析!$E$6,$B3657))</f>
        <v/>
      </c>
      <c r="E3657" s="4" t="e">
        <f ca="1">RANK(F3657,F:F)+COUNTIF(F$2:F3657,F3657)-1</f>
        <v>#VALUE!</v>
      </c>
      <c r="F3657" s="5" t="str">
        <f t="shared" si="58"/>
        <v/>
      </c>
      <c r="G3657" s="5" t="str">
        <f>IF(B3657="","",股指期货基差分析!$N$11)</f>
        <v/>
      </c>
      <c r="H3657" s="5" t="str">
        <f>IF(B3657="","",股指期货基差分析!$L$11)</f>
        <v/>
      </c>
      <c r="I3657" s="9" t="str">
        <f>IF(B3657="","",股指期货基差分析!$D$11)</f>
        <v/>
      </c>
    </row>
    <row r="3658" spans="3:9" ht="15" customHeight="1" x14ac:dyDescent="0.2">
      <c r="C3658" s="5" t="str">
        <f>IF(B3658="","",[1]!s_dq_close(股指期货基差分析!$E$5,$B3658))</f>
        <v/>
      </c>
      <c r="D3658" s="5" t="str">
        <f>IF(B3658="","",[1]!s_dq_close(股指期货基差分析!$E$6,$B3658))</f>
        <v/>
      </c>
      <c r="E3658" s="4" t="e">
        <f ca="1">RANK(F3658,F:F)+COUNTIF(F$2:F3658,F3658)-1</f>
        <v>#VALUE!</v>
      </c>
      <c r="F3658" s="5" t="str">
        <f t="shared" si="58"/>
        <v/>
      </c>
      <c r="G3658" s="5" t="str">
        <f>IF(B3658="","",股指期货基差分析!$N$11)</f>
        <v/>
      </c>
      <c r="H3658" s="5" t="str">
        <f>IF(B3658="","",股指期货基差分析!$L$11)</f>
        <v/>
      </c>
      <c r="I3658" s="9" t="str">
        <f>IF(B3658="","",股指期货基差分析!$D$11)</f>
        <v/>
      </c>
    </row>
    <row r="3659" spans="3:9" ht="15" customHeight="1" x14ac:dyDescent="0.2">
      <c r="C3659" s="5" t="str">
        <f>IF(B3659="","",[1]!s_dq_close(股指期货基差分析!$E$5,$B3659))</f>
        <v/>
      </c>
      <c r="D3659" s="5" t="str">
        <f>IF(B3659="","",[1]!s_dq_close(股指期货基差分析!$E$6,$B3659))</f>
        <v/>
      </c>
      <c r="E3659" s="4" t="e">
        <f ca="1">RANK(F3659,F:F)+COUNTIF(F$2:F3659,F3659)-1</f>
        <v>#VALUE!</v>
      </c>
      <c r="F3659" s="5" t="str">
        <f t="shared" si="58"/>
        <v/>
      </c>
      <c r="G3659" s="5" t="str">
        <f>IF(B3659="","",股指期货基差分析!$N$11)</f>
        <v/>
      </c>
      <c r="H3659" s="5" t="str">
        <f>IF(B3659="","",股指期货基差分析!$L$11)</f>
        <v/>
      </c>
      <c r="I3659" s="9" t="str">
        <f>IF(B3659="","",股指期货基差分析!$D$11)</f>
        <v/>
      </c>
    </row>
    <row r="3660" spans="3:9" ht="15" customHeight="1" x14ac:dyDescent="0.2">
      <c r="C3660" s="5" t="str">
        <f>IF(B3660="","",[1]!s_dq_close(股指期货基差分析!$E$5,$B3660))</f>
        <v/>
      </c>
      <c r="D3660" s="5" t="str">
        <f>IF(B3660="","",[1]!s_dq_close(股指期货基差分析!$E$6,$B3660))</f>
        <v/>
      </c>
      <c r="E3660" s="4" t="e">
        <f ca="1">RANK(F3660,F:F)+COUNTIF(F$2:F3660,F3660)-1</f>
        <v>#VALUE!</v>
      </c>
      <c r="F3660" s="5" t="str">
        <f t="shared" si="58"/>
        <v/>
      </c>
      <c r="G3660" s="5" t="str">
        <f>IF(B3660="","",股指期货基差分析!$N$11)</f>
        <v/>
      </c>
      <c r="H3660" s="5" t="str">
        <f>IF(B3660="","",股指期货基差分析!$L$11)</f>
        <v/>
      </c>
      <c r="I3660" s="9" t="str">
        <f>IF(B3660="","",股指期货基差分析!$D$11)</f>
        <v/>
      </c>
    </row>
    <row r="3661" spans="3:9" ht="15" customHeight="1" x14ac:dyDescent="0.2">
      <c r="C3661" s="5" t="str">
        <f>IF(B3661="","",[1]!s_dq_close(股指期货基差分析!$E$5,$B3661))</f>
        <v/>
      </c>
      <c r="D3661" s="5" t="str">
        <f>IF(B3661="","",[1]!s_dq_close(股指期货基差分析!$E$6,$B3661))</f>
        <v/>
      </c>
      <c r="E3661" s="4" t="e">
        <f ca="1">RANK(F3661,F:F)+COUNTIF(F$2:F3661,F3661)-1</f>
        <v>#VALUE!</v>
      </c>
      <c r="F3661" s="5" t="str">
        <f t="shared" si="58"/>
        <v/>
      </c>
      <c r="G3661" s="5" t="str">
        <f>IF(B3661="","",股指期货基差分析!$N$11)</f>
        <v/>
      </c>
      <c r="H3661" s="5" t="str">
        <f>IF(B3661="","",股指期货基差分析!$L$11)</f>
        <v/>
      </c>
      <c r="I3661" s="9" t="str">
        <f>IF(B3661="","",股指期货基差分析!$D$11)</f>
        <v/>
      </c>
    </row>
    <row r="3662" spans="3:9" ht="15" customHeight="1" x14ac:dyDescent="0.2">
      <c r="C3662" s="5" t="str">
        <f>IF(B3662="","",[1]!s_dq_close(股指期货基差分析!$E$5,$B3662))</f>
        <v/>
      </c>
      <c r="D3662" s="5" t="str">
        <f>IF(B3662="","",[1]!s_dq_close(股指期货基差分析!$E$6,$B3662))</f>
        <v/>
      </c>
      <c r="E3662" s="4" t="e">
        <f ca="1">RANK(F3662,F:F)+COUNTIF(F$2:F3662,F3662)-1</f>
        <v>#VALUE!</v>
      </c>
      <c r="F3662" s="5" t="str">
        <f t="shared" si="58"/>
        <v/>
      </c>
      <c r="G3662" s="5" t="str">
        <f>IF(B3662="","",股指期货基差分析!$N$11)</f>
        <v/>
      </c>
      <c r="H3662" s="5" t="str">
        <f>IF(B3662="","",股指期货基差分析!$L$11)</f>
        <v/>
      </c>
      <c r="I3662" s="9" t="str">
        <f>IF(B3662="","",股指期货基差分析!$D$11)</f>
        <v/>
      </c>
    </row>
    <row r="3663" spans="3:9" ht="15" customHeight="1" x14ac:dyDescent="0.2">
      <c r="C3663" s="5" t="str">
        <f>IF(B3663="","",[1]!s_dq_close(股指期货基差分析!$E$5,$B3663))</f>
        <v/>
      </c>
      <c r="D3663" s="5" t="str">
        <f>IF(B3663="","",[1]!s_dq_close(股指期货基差分析!$E$6,$B3663))</f>
        <v/>
      </c>
      <c r="E3663" s="4" t="e">
        <f ca="1">RANK(F3663,F:F)+COUNTIF(F$2:F3663,F3663)-1</f>
        <v>#VALUE!</v>
      </c>
      <c r="F3663" s="5" t="str">
        <f t="shared" si="58"/>
        <v/>
      </c>
      <c r="G3663" s="5" t="str">
        <f>IF(B3663="","",股指期货基差分析!$N$11)</f>
        <v/>
      </c>
      <c r="H3663" s="5" t="str">
        <f>IF(B3663="","",股指期货基差分析!$L$11)</f>
        <v/>
      </c>
      <c r="I3663" s="9" t="str">
        <f>IF(B3663="","",股指期货基差分析!$D$11)</f>
        <v/>
      </c>
    </row>
    <row r="3664" spans="3:9" ht="15" customHeight="1" x14ac:dyDescent="0.2">
      <c r="C3664" s="5" t="str">
        <f>IF(B3664="","",[1]!s_dq_close(股指期货基差分析!$E$5,$B3664))</f>
        <v/>
      </c>
      <c r="D3664" s="5" t="str">
        <f>IF(B3664="","",[1]!s_dq_close(股指期货基差分析!$E$6,$B3664))</f>
        <v/>
      </c>
      <c r="E3664" s="4" t="e">
        <f ca="1">RANK(F3664,F:F)+COUNTIF(F$2:F3664,F3664)-1</f>
        <v>#VALUE!</v>
      </c>
      <c r="F3664" s="5" t="str">
        <f t="shared" si="58"/>
        <v/>
      </c>
      <c r="G3664" s="5" t="str">
        <f>IF(B3664="","",股指期货基差分析!$N$11)</f>
        <v/>
      </c>
      <c r="H3664" s="5" t="str">
        <f>IF(B3664="","",股指期货基差分析!$L$11)</f>
        <v/>
      </c>
      <c r="I3664" s="9" t="str">
        <f>IF(B3664="","",股指期货基差分析!$D$11)</f>
        <v/>
      </c>
    </row>
    <row r="3665" spans="3:9" ht="15" customHeight="1" x14ac:dyDescent="0.2">
      <c r="C3665" s="5" t="str">
        <f>IF(B3665="","",[1]!s_dq_close(股指期货基差分析!$E$5,$B3665))</f>
        <v/>
      </c>
      <c r="D3665" s="5" t="str">
        <f>IF(B3665="","",[1]!s_dq_close(股指期货基差分析!$E$6,$B3665))</f>
        <v/>
      </c>
      <c r="E3665" s="4" t="e">
        <f ca="1">RANK(F3665,F:F)+COUNTIF(F$2:F3665,F3665)-1</f>
        <v>#VALUE!</v>
      </c>
      <c r="F3665" s="5" t="str">
        <f t="shared" si="58"/>
        <v/>
      </c>
      <c r="G3665" s="5" t="str">
        <f>IF(B3665="","",股指期货基差分析!$N$11)</f>
        <v/>
      </c>
      <c r="H3665" s="5" t="str">
        <f>IF(B3665="","",股指期货基差分析!$L$11)</f>
        <v/>
      </c>
      <c r="I3665" s="9" t="str">
        <f>IF(B3665="","",股指期货基差分析!$D$11)</f>
        <v/>
      </c>
    </row>
    <row r="3666" spans="3:9" ht="15" customHeight="1" x14ac:dyDescent="0.2">
      <c r="C3666" s="5" t="str">
        <f>IF(B3666="","",[1]!s_dq_close(股指期货基差分析!$E$5,$B3666))</f>
        <v/>
      </c>
      <c r="D3666" s="5" t="str">
        <f>IF(B3666="","",[1]!s_dq_close(股指期货基差分析!$E$6,$B3666))</f>
        <v/>
      </c>
      <c r="E3666" s="4" t="e">
        <f ca="1">RANK(F3666,F:F)+COUNTIF(F$2:F3666,F3666)-1</f>
        <v>#VALUE!</v>
      </c>
      <c r="F3666" s="5" t="str">
        <f t="shared" si="58"/>
        <v/>
      </c>
      <c r="G3666" s="5" t="str">
        <f>IF(B3666="","",股指期货基差分析!$N$11)</f>
        <v/>
      </c>
      <c r="H3666" s="5" t="str">
        <f>IF(B3666="","",股指期货基差分析!$L$11)</f>
        <v/>
      </c>
      <c r="I3666" s="9" t="str">
        <f>IF(B3666="","",股指期货基差分析!$D$11)</f>
        <v/>
      </c>
    </row>
    <row r="3667" spans="3:9" ht="15" customHeight="1" x14ac:dyDescent="0.2">
      <c r="C3667" s="5" t="str">
        <f>IF(B3667="","",[1]!s_dq_close(股指期货基差分析!$E$5,$B3667))</f>
        <v/>
      </c>
      <c r="D3667" s="5" t="str">
        <f>IF(B3667="","",[1]!s_dq_close(股指期货基差分析!$E$6,$B3667))</f>
        <v/>
      </c>
      <c r="E3667" s="4" t="e">
        <f ca="1">RANK(F3667,F:F)+COUNTIF(F$2:F3667,F3667)-1</f>
        <v>#VALUE!</v>
      </c>
      <c r="F3667" s="5" t="str">
        <f t="shared" si="58"/>
        <v/>
      </c>
      <c r="G3667" s="5" t="str">
        <f>IF(B3667="","",股指期货基差分析!$N$11)</f>
        <v/>
      </c>
      <c r="H3667" s="5" t="str">
        <f>IF(B3667="","",股指期货基差分析!$L$11)</f>
        <v/>
      </c>
      <c r="I3667" s="9" t="str">
        <f>IF(B3667="","",股指期货基差分析!$D$11)</f>
        <v/>
      </c>
    </row>
    <row r="3668" spans="3:9" ht="15" customHeight="1" x14ac:dyDescent="0.2">
      <c r="C3668" s="5" t="str">
        <f>IF(B3668="","",[1]!s_dq_close(股指期货基差分析!$E$5,$B3668))</f>
        <v/>
      </c>
      <c r="D3668" s="5" t="str">
        <f>IF(B3668="","",[1]!s_dq_close(股指期货基差分析!$E$6,$B3668))</f>
        <v/>
      </c>
      <c r="E3668" s="4" t="e">
        <f ca="1">RANK(F3668,F:F)+COUNTIF(F$2:F3668,F3668)-1</f>
        <v>#VALUE!</v>
      </c>
      <c r="F3668" s="5" t="str">
        <f t="shared" si="58"/>
        <v/>
      </c>
      <c r="G3668" s="5" t="str">
        <f>IF(B3668="","",股指期货基差分析!$N$11)</f>
        <v/>
      </c>
      <c r="H3668" s="5" t="str">
        <f>IF(B3668="","",股指期货基差分析!$L$11)</f>
        <v/>
      </c>
      <c r="I3668" s="9" t="str">
        <f>IF(B3668="","",股指期货基差分析!$D$11)</f>
        <v/>
      </c>
    </row>
    <row r="3669" spans="3:9" ht="15" customHeight="1" x14ac:dyDescent="0.2">
      <c r="C3669" s="5" t="str">
        <f>IF(B3669="","",[1]!s_dq_close(股指期货基差分析!$E$5,$B3669))</f>
        <v/>
      </c>
      <c r="D3669" s="5" t="str">
        <f>IF(B3669="","",[1]!s_dq_close(股指期货基差分析!$E$6,$B3669))</f>
        <v/>
      </c>
      <c r="E3669" s="4" t="e">
        <f ca="1">RANK(F3669,F:F)+COUNTIF(F$2:F3669,F3669)-1</f>
        <v>#VALUE!</v>
      </c>
      <c r="F3669" s="5" t="str">
        <f t="shared" si="58"/>
        <v/>
      </c>
      <c r="G3669" s="5" t="str">
        <f>IF(B3669="","",股指期货基差分析!$N$11)</f>
        <v/>
      </c>
      <c r="H3669" s="5" t="str">
        <f>IF(B3669="","",股指期货基差分析!$L$11)</f>
        <v/>
      </c>
      <c r="I3669" s="9" t="str">
        <f>IF(B3669="","",股指期货基差分析!$D$11)</f>
        <v/>
      </c>
    </row>
    <row r="3670" spans="3:9" ht="15" customHeight="1" x14ac:dyDescent="0.2">
      <c r="C3670" s="5" t="str">
        <f>IF(B3670="","",[1]!s_dq_close(股指期货基差分析!$E$5,$B3670))</f>
        <v/>
      </c>
      <c r="D3670" s="5" t="str">
        <f>IF(B3670="","",[1]!s_dq_close(股指期货基差分析!$E$6,$B3670))</f>
        <v/>
      </c>
      <c r="E3670" s="4" t="e">
        <f ca="1">RANK(F3670,F:F)+COUNTIF(F$2:F3670,F3670)-1</f>
        <v>#VALUE!</v>
      </c>
      <c r="F3670" s="5" t="str">
        <f t="shared" si="58"/>
        <v/>
      </c>
      <c r="G3670" s="5" t="str">
        <f>IF(B3670="","",股指期货基差分析!$N$11)</f>
        <v/>
      </c>
      <c r="H3670" s="5" t="str">
        <f>IF(B3670="","",股指期货基差分析!$L$11)</f>
        <v/>
      </c>
      <c r="I3670" s="9" t="str">
        <f>IF(B3670="","",股指期货基差分析!$D$11)</f>
        <v/>
      </c>
    </row>
    <row r="3671" spans="3:9" ht="15" customHeight="1" x14ac:dyDescent="0.2">
      <c r="C3671" s="5" t="str">
        <f>IF(B3671="","",[1]!s_dq_close(股指期货基差分析!$E$5,$B3671))</f>
        <v/>
      </c>
      <c r="D3671" s="5" t="str">
        <f>IF(B3671="","",[1]!s_dq_close(股指期货基差分析!$E$6,$B3671))</f>
        <v/>
      </c>
      <c r="E3671" s="4" t="e">
        <f ca="1">RANK(F3671,F:F)+COUNTIF(F$2:F3671,F3671)-1</f>
        <v>#VALUE!</v>
      </c>
      <c r="F3671" s="5" t="str">
        <f t="shared" si="58"/>
        <v/>
      </c>
      <c r="G3671" s="5" t="str">
        <f>IF(B3671="","",股指期货基差分析!$N$11)</f>
        <v/>
      </c>
      <c r="H3671" s="5" t="str">
        <f>IF(B3671="","",股指期货基差分析!$L$11)</f>
        <v/>
      </c>
      <c r="I3671" s="9" t="str">
        <f>IF(B3671="","",股指期货基差分析!$D$11)</f>
        <v/>
      </c>
    </row>
    <row r="3672" spans="3:9" ht="15" customHeight="1" x14ac:dyDescent="0.2">
      <c r="C3672" s="5" t="str">
        <f>IF(B3672="","",[1]!s_dq_close(股指期货基差分析!$E$5,$B3672))</f>
        <v/>
      </c>
      <c r="D3672" s="5" t="str">
        <f>IF(B3672="","",[1]!s_dq_close(股指期货基差分析!$E$6,$B3672))</f>
        <v/>
      </c>
      <c r="E3672" s="4" t="e">
        <f ca="1">RANK(F3672,F:F)+COUNTIF(F$2:F3672,F3672)-1</f>
        <v>#VALUE!</v>
      </c>
      <c r="F3672" s="5" t="str">
        <f t="shared" si="58"/>
        <v/>
      </c>
      <c r="G3672" s="5" t="str">
        <f>IF(B3672="","",股指期货基差分析!$N$11)</f>
        <v/>
      </c>
      <c r="H3672" s="5" t="str">
        <f>IF(B3672="","",股指期货基差分析!$L$11)</f>
        <v/>
      </c>
      <c r="I3672" s="9" t="str">
        <f>IF(B3672="","",股指期货基差分析!$D$11)</f>
        <v/>
      </c>
    </row>
    <row r="3673" spans="3:9" ht="15" customHeight="1" x14ac:dyDescent="0.2">
      <c r="C3673" s="5" t="str">
        <f>IF(B3673="","",[1]!s_dq_close(股指期货基差分析!$E$5,$B3673))</f>
        <v/>
      </c>
      <c r="D3673" s="5" t="str">
        <f>IF(B3673="","",[1]!s_dq_close(股指期货基差分析!$E$6,$B3673))</f>
        <v/>
      </c>
      <c r="E3673" s="4" t="e">
        <f ca="1">RANK(F3673,F:F)+COUNTIF(F$2:F3673,F3673)-1</f>
        <v>#VALUE!</v>
      </c>
      <c r="F3673" s="5" t="str">
        <f t="shared" si="58"/>
        <v/>
      </c>
      <c r="G3673" s="5" t="str">
        <f>IF(B3673="","",股指期货基差分析!$N$11)</f>
        <v/>
      </c>
      <c r="H3673" s="5" t="str">
        <f>IF(B3673="","",股指期货基差分析!$L$11)</f>
        <v/>
      </c>
      <c r="I3673" s="9" t="str">
        <f>IF(B3673="","",股指期货基差分析!$D$11)</f>
        <v/>
      </c>
    </row>
    <row r="3674" spans="3:9" ht="15" customHeight="1" x14ac:dyDescent="0.2">
      <c r="C3674" s="5" t="str">
        <f>IF(B3674="","",[1]!s_dq_close(股指期货基差分析!$E$5,$B3674))</f>
        <v/>
      </c>
      <c r="D3674" s="5" t="str">
        <f>IF(B3674="","",[1]!s_dq_close(股指期货基差分析!$E$6,$B3674))</f>
        <v/>
      </c>
      <c r="E3674" s="4" t="e">
        <f ca="1">RANK(F3674,F:F)+COUNTIF(F$2:F3674,F3674)-1</f>
        <v>#VALUE!</v>
      </c>
      <c r="F3674" s="5" t="str">
        <f t="shared" si="58"/>
        <v/>
      </c>
      <c r="G3674" s="5" t="str">
        <f>IF(B3674="","",股指期货基差分析!$N$11)</f>
        <v/>
      </c>
      <c r="H3674" s="5" t="str">
        <f>IF(B3674="","",股指期货基差分析!$L$11)</f>
        <v/>
      </c>
      <c r="I3674" s="9" t="str">
        <f>IF(B3674="","",股指期货基差分析!$D$11)</f>
        <v/>
      </c>
    </row>
    <row r="3675" spans="3:9" ht="15" customHeight="1" x14ac:dyDescent="0.2">
      <c r="C3675" s="5" t="str">
        <f>IF(B3675="","",[1]!s_dq_close(股指期货基差分析!$E$5,$B3675))</f>
        <v/>
      </c>
      <c r="D3675" s="5" t="str">
        <f>IF(B3675="","",[1]!s_dq_close(股指期货基差分析!$E$6,$B3675))</f>
        <v/>
      </c>
      <c r="E3675" s="4" t="e">
        <f ca="1">RANK(F3675,F:F)+COUNTIF(F$2:F3675,F3675)-1</f>
        <v>#VALUE!</v>
      </c>
      <c r="F3675" s="5" t="str">
        <f t="shared" si="58"/>
        <v/>
      </c>
      <c r="G3675" s="5" t="str">
        <f>IF(B3675="","",股指期货基差分析!$N$11)</f>
        <v/>
      </c>
      <c r="H3675" s="5" t="str">
        <f>IF(B3675="","",股指期货基差分析!$L$11)</f>
        <v/>
      </c>
      <c r="I3675" s="9" t="str">
        <f>IF(B3675="","",股指期货基差分析!$D$11)</f>
        <v/>
      </c>
    </row>
    <row r="3676" spans="3:9" ht="15" customHeight="1" x14ac:dyDescent="0.2">
      <c r="C3676" s="5" t="str">
        <f>IF(B3676="","",[1]!s_dq_close(股指期货基差分析!$E$5,$B3676))</f>
        <v/>
      </c>
      <c r="D3676" s="5" t="str">
        <f>IF(B3676="","",[1]!s_dq_close(股指期货基差分析!$E$6,$B3676))</f>
        <v/>
      </c>
      <c r="E3676" s="4" t="e">
        <f ca="1">RANK(F3676,F:F)+COUNTIF(F$2:F3676,F3676)-1</f>
        <v>#VALUE!</v>
      </c>
      <c r="F3676" s="5" t="str">
        <f t="shared" si="58"/>
        <v/>
      </c>
      <c r="G3676" s="5" t="str">
        <f>IF(B3676="","",股指期货基差分析!$N$11)</f>
        <v/>
      </c>
      <c r="H3676" s="5" t="str">
        <f>IF(B3676="","",股指期货基差分析!$L$11)</f>
        <v/>
      </c>
      <c r="I3676" s="9" t="str">
        <f>IF(B3676="","",股指期货基差分析!$D$11)</f>
        <v/>
      </c>
    </row>
    <row r="3677" spans="3:9" ht="15" customHeight="1" x14ac:dyDescent="0.2">
      <c r="C3677" s="5" t="str">
        <f>IF(B3677="","",[1]!s_dq_close(股指期货基差分析!$E$5,$B3677))</f>
        <v/>
      </c>
      <c r="D3677" s="5" t="str">
        <f>IF(B3677="","",[1]!s_dq_close(股指期货基差分析!$E$6,$B3677))</f>
        <v/>
      </c>
      <c r="E3677" s="4" t="e">
        <f ca="1">RANK(F3677,F:F)+COUNTIF(F$2:F3677,F3677)-1</f>
        <v>#VALUE!</v>
      </c>
      <c r="F3677" s="5" t="str">
        <f t="shared" si="58"/>
        <v/>
      </c>
      <c r="G3677" s="5" t="str">
        <f>IF(B3677="","",股指期货基差分析!$N$11)</f>
        <v/>
      </c>
      <c r="H3677" s="5" t="str">
        <f>IF(B3677="","",股指期货基差分析!$L$11)</f>
        <v/>
      </c>
      <c r="I3677" s="9" t="str">
        <f>IF(B3677="","",股指期货基差分析!$D$11)</f>
        <v/>
      </c>
    </row>
    <row r="3678" spans="3:9" ht="15" customHeight="1" x14ac:dyDescent="0.2">
      <c r="C3678" s="5" t="str">
        <f>IF(B3678="","",[1]!s_dq_close(股指期货基差分析!$E$5,$B3678))</f>
        <v/>
      </c>
      <c r="D3678" s="5" t="str">
        <f>IF(B3678="","",[1]!s_dq_close(股指期货基差分析!$E$6,$B3678))</f>
        <v/>
      </c>
      <c r="E3678" s="4" t="e">
        <f ca="1">RANK(F3678,F:F)+COUNTIF(F$2:F3678,F3678)-1</f>
        <v>#VALUE!</v>
      </c>
      <c r="F3678" s="5" t="str">
        <f t="shared" si="58"/>
        <v/>
      </c>
      <c r="G3678" s="5" t="str">
        <f>IF(B3678="","",股指期货基差分析!$N$11)</f>
        <v/>
      </c>
      <c r="H3678" s="5" t="str">
        <f>IF(B3678="","",股指期货基差分析!$L$11)</f>
        <v/>
      </c>
      <c r="I3678" s="9" t="str">
        <f>IF(B3678="","",股指期货基差分析!$D$11)</f>
        <v/>
      </c>
    </row>
    <row r="3679" spans="3:9" ht="15" customHeight="1" x14ac:dyDescent="0.2">
      <c r="C3679" s="5" t="str">
        <f>IF(B3679="","",[1]!s_dq_close(股指期货基差分析!$E$5,$B3679))</f>
        <v/>
      </c>
      <c r="D3679" s="5" t="str">
        <f>IF(B3679="","",[1]!s_dq_close(股指期货基差分析!$E$6,$B3679))</f>
        <v/>
      </c>
      <c r="E3679" s="4" t="e">
        <f ca="1">RANK(F3679,F:F)+COUNTIF(F$2:F3679,F3679)-1</f>
        <v>#VALUE!</v>
      </c>
      <c r="F3679" s="5" t="str">
        <f t="shared" si="58"/>
        <v/>
      </c>
      <c r="G3679" s="5" t="str">
        <f>IF(B3679="","",股指期货基差分析!$N$11)</f>
        <v/>
      </c>
      <c r="H3679" s="5" t="str">
        <f>IF(B3679="","",股指期货基差分析!$L$11)</f>
        <v/>
      </c>
      <c r="I3679" s="9" t="str">
        <f>IF(B3679="","",股指期货基差分析!$D$11)</f>
        <v/>
      </c>
    </row>
    <row r="3680" spans="3:9" ht="15" customHeight="1" x14ac:dyDescent="0.2">
      <c r="C3680" s="5" t="str">
        <f>IF(B3680="","",[1]!s_dq_close(股指期货基差分析!$E$5,$B3680))</f>
        <v/>
      </c>
      <c r="D3680" s="5" t="str">
        <f>IF(B3680="","",[1]!s_dq_close(股指期货基差分析!$E$6,$B3680))</f>
        <v/>
      </c>
      <c r="E3680" s="4" t="e">
        <f ca="1">RANK(F3680,F:F)+COUNTIF(F$2:F3680,F3680)-1</f>
        <v>#VALUE!</v>
      </c>
      <c r="F3680" s="5" t="str">
        <f t="shared" si="58"/>
        <v/>
      </c>
      <c r="G3680" s="5" t="str">
        <f>IF(B3680="","",股指期货基差分析!$N$11)</f>
        <v/>
      </c>
      <c r="H3680" s="5" t="str">
        <f>IF(B3680="","",股指期货基差分析!$L$11)</f>
        <v/>
      </c>
      <c r="I3680" s="9" t="str">
        <f>IF(B3680="","",股指期货基差分析!$D$11)</f>
        <v/>
      </c>
    </row>
    <row r="3681" spans="3:9" ht="15" customHeight="1" x14ac:dyDescent="0.2">
      <c r="C3681" s="5" t="str">
        <f>IF(B3681="","",[1]!s_dq_close(股指期货基差分析!$E$5,$B3681))</f>
        <v/>
      </c>
      <c r="D3681" s="5" t="str">
        <f>IF(B3681="","",[1]!s_dq_close(股指期货基差分析!$E$6,$B3681))</f>
        <v/>
      </c>
      <c r="E3681" s="4" t="e">
        <f ca="1">RANK(F3681,F:F)+COUNTIF(F$2:F3681,F3681)-1</f>
        <v>#VALUE!</v>
      </c>
      <c r="F3681" s="5" t="str">
        <f t="shared" si="58"/>
        <v/>
      </c>
      <c r="G3681" s="5" t="str">
        <f>IF(B3681="","",股指期货基差分析!$N$11)</f>
        <v/>
      </c>
      <c r="H3681" s="5" t="str">
        <f>IF(B3681="","",股指期货基差分析!$L$11)</f>
        <v/>
      </c>
      <c r="I3681" s="9" t="str">
        <f>IF(B3681="","",股指期货基差分析!$D$11)</f>
        <v/>
      </c>
    </row>
    <row r="3682" spans="3:9" ht="15" customHeight="1" x14ac:dyDescent="0.2">
      <c r="C3682" s="5" t="str">
        <f>IF(B3682="","",[1]!s_dq_close(股指期货基差分析!$E$5,$B3682))</f>
        <v/>
      </c>
      <c r="D3682" s="5" t="str">
        <f>IF(B3682="","",[1]!s_dq_close(股指期货基差分析!$E$6,$B3682))</f>
        <v/>
      </c>
      <c r="E3682" s="4" t="e">
        <f ca="1">RANK(F3682,F:F)+COUNTIF(F$2:F3682,F3682)-1</f>
        <v>#VALUE!</v>
      </c>
      <c r="F3682" s="5" t="str">
        <f t="shared" si="58"/>
        <v/>
      </c>
      <c r="G3682" s="5" t="str">
        <f>IF(B3682="","",股指期货基差分析!$N$11)</f>
        <v/>
      </c>
      <c r="H3682" s="5" t="str">
        <f>IF(B3682="","",股指期货基差分析!$L$11)</f>
        <v/>
      </c>
      <c r="I3682" s="9" t="str">
        <f>IF(B3682="","",股指期货基差分析!$D$11)</f>
        <v/>
      </c>
    </row>
    <row r="3683" spans="3:9" ht="15" customHeight="1" x14ac:dyDescent="0.2">
      <c r="C3683" s="5" t="str">
        <f>IF(B3683="","",[1]!s_dq_close(股指期货基差分析!$E$5,$B3683))</f>
        <v/>
      </c>
      <c r="D3683" s="5" t="str">
        <f>IF(B3683="","",[1]!s_dq_close(股指期货基差分析!$E$6,$B3683))</f>
        <v/>
      </c>
      <c r="E3683" s="4" t="e">
        <f ca="1">RANK(F3683,F:F)+COUNTIF(F$2:F3683,F3683)-1</f>
        <v>#VALUE!</v>
      </c>
      <c r="F3683" s="5" t="str">
        <f t="shared" si="58"/>
        <v/>
      </c>
      <c r="G3683" s="5" t="str">
        <f>IF(B3683="","",股指期货基差分析!$N$11)</f>
        <v/>
      </c>
      <c r="H3683" s="5" t="str">
        <f>IF(B3683="","",股指期货基差分析!$L$11)</f>
        <v/>
      </c>
      <c r="I3683" s="9" t="str">
        <f>IF(B3683="","",股指期货基差分析!$D$11)</f>
        <v/>
      </c>
    </row>
    <row r="3684" spans="3:9" ht="15" customHeight="1" x14ac:dyDescent="0.2">
      <c r="C3684" s="5" t="str">
        <f>IF(B3684="","",[1]!s_dq_close(股指期货基差分析!$E$5,$B3684))</f>
        <v/>
      </c>
      <c r="D3684" s="5" t="str">
        <f>IF(B3684="","",[1]!s_dq_close(股指期货基差分析!$E$6,$B3684))</f>
        <v/>
      </c>
      <c r="E3684" s="4" t="e">
        <f ca="1">RANK(F3684,F:F)+COUNTIF(F$2:F3684,F3684)-1</f>
        <v>#VALUE!</v>
      </c>
      <c r="F3684" s="5" t="str">
        <f t="shared" si="58"/>
        <v/>
      </c>
      <c r="G3684" s="5" t="str">
        <f>IF(B3684="","",股指期货基差分析!$N$11)</f>
        <v/>
      </c>
      <c r="H3684" s="5" t="str">
        <f>IF(B3684="","",股指期货基差分析!$L$11)</f>
        <v/>
      </c>
      <c r="I3684" s="9" t="str">
        <f>IF(B3684="","",股指期货基差分析!$D$11)</f>
        <v/>
      </c>
    </row>
    <row r="3685" spans="3:9" ht="15" customHeight="1" x14ac:dyDescent="0.2">
      <c r="C3685" s="5" t="str">
        <f>IF(B3685="","",[1]!s_dq_close(股指期货基差分析!$E$5,$B3685))</f>
        <v/>
      </c>
      <c r="D3685" s="5" t="str">
        <f>IF(B3685="","",[1]!s_dq_close(股指期货基差分析!$E$6,$B3685))</f>
        <v/>
      </c>
      <c r="E3685" s="4" t="e">
        <f ca="1">RANK(F3685,F:F)+COUNTIF(F$2:F3685,F3685)-1</f>
        <v>#VALUE!</v>
      </c>
      <c r="F3685" s="5" t="str">
        <f t="shared" si="58"/>
        <v/>
      </c>
      <c r="G3685" s="5" t="str">
        <f>IF(B3685="","",股指期货基差分析!$N$11)</f>
        <v/>
      </c>
      <c r="H3685" s="5" t="str">
        <f>IF(B3685="","",股指期货基差分析!$L$11)</f>
        <v/>
      </c>
      <c r="I3685" s="9" t="str">
        <f>IF(B3685="","",股指期货基差分析!$D$11)</f>
        <v/>
      </c>
    </row>
    <row r="3686" spans="3:9" ht="15" customHeight="1" x14ac:dyDescent="0.2">
      <c r="C3686" s="5" t="str">
        <f>IF(B3686="","",[1]!s_dq_close(股指期货基差分析!$E$5,$B3686))</f>
        <v/>
      </c>
      <c r="D3686" s="5" t="str">
        <f>IF(B3686="","",[1]!s_dq_close(股指期货基差分析!$E$6,$B3686))</f>
        <v/>
      </c>
      <c r="E3686" s="4" t="e">
        <f ca="1">RANK(F3686,F:F)+COUNTIF(F$2:F3686,F3686)-1</f>
        <v>#VALUE!</v>
      </c>
      <c r="F3686" s="5" t="str">
        <f t="shared" si="58"/>
        <v/>
      </c>
      <c r="G3686" s="5" t="str">
        <f>IF(B3686="","",股指期货基差分析!$N$11)</f>
        <v/>
      </c>
      <c r="H3686" s="5" t="str">
        <f>IF(B3686="","",股指期货基差分析!$L$11)</f>
        <v/>
      </c>
      <c r="I3686" s="9" t="str">
        <f>IF(B3686="","",股指期货基差分析!$D$11)</f>
        <v/>
      </c>
    </row>
    <row r="3687" spans="3:9" ht="15" customHeight="1" x14ac:dyDescent="0.2">
      <c r="C3687" s="5" t="str">
        <f>IF(B3687="","",[1]!s_dq_close(股指期货基差分析!$E$5,$B3687))</f>
        <v/>
      </c>
      <c r="D3687" s="5" t="str">
        <f>IF(B3687="","",[1]!s_dq_close(股指期货基差分析!$E$6,$B3687))</f>
        <v/>
      </c>
      <c r="E3687" s="4" t="e">
        <f ca="1">RANK(F3687,F:F)+COUNTIF(F$2:F3687,F3687)-1</f>
        <v>#VALUE!</v>
      </c>
      <c r="F3687" s="5" t="str">
        <f t="shared" si="58"/>
        <v/>
      </c>
      <c r="G3687" s="5" t="str">
        <f>IF(B3687="","",股指期货基差分析!$N$11)</f>
        <v/>
      </c>
      <c r="H3687" s="5" t="str">
        <f>IF(B3687="","",股指期货基差分析!$L$11)</f>
        <v/>
      </c>
      <c r="I3687" s="9" t="str">
        <f>IF(B3687="","",股指期货基差分析!$D$11)</f>
        <v/>
      </c>
    </row>
    <row r="3688" spans="3:9" ht="15" customHeight="1" x14ac:dyDescent="0.2">
      <c r="C3688" s="5" t="str">
        <f>IF(B3688="","",[1]!s_dq_close(股指期货基差分析!$E$5,$B3688))</f>
        <v/>
      </c>
      <c r="D3688" s="5" t="str">
        <f>IF(B3688="","",[1]!s_dq_close(股指期货基差分析!$E$6,$B3688))</f>
        <v/>
      </c>
      <c r="E3688" s="4" t="e">
        <f ca="1">RANK(F3688,F:F)+COUNTIF(F$2:F3688,F3688)-1</f>
        <v>#VALUE!</v>
      </c>
      <c r="F3688" s="5" t="str">
        <f t="shared" si="58"/>
        <v/>
      </c>
      <c r="G3688" s="5" t="str">
        <f>IF(B3688="","",股指期货基差分析!$N$11)</f>
        <v/>
      </c>
      <c r="H3688" s="5" t="str">
        <f>IF(B3688="","",股指期货基差分析!$L$11)</f>
        <v/>
      </c>
      <c r="I3688" s="9" t="str">
        <f>IF(B3688="","",股指期货基差分析!$D$11)</f>
        <v/>
      </c>
    </row>
    <row r="3689" spans="3:9" ht="15" customHeight="1" x14ac:dyDescent="0.2">
      <c r="C3689" s="5" t="str">
        <f>IF(B3689="","",[1]!s_dq_close(股指期货基差分析!$E$5,$B3689))</f>
        <v/>
      </c>
      <c r="D3689" s="5" t="str">
        <f>IF(B3689="","",[1]!s_dq_close(股指期货基差分析!$E$6,$B3689))</f>
        <v/>
      </c>
      <c r="E3689" s="4" t="e">
        <f ca="1">RANK(F3689,F:F)+COUNTIF(F$2:F3689,F3689)-1</f>
        <v>#VALUE!</v>
      </c>
      <c r="F3689" s="5" t="str">
        <f t="shared" si="58"/>
        <v/>
      </c>
      <c r="G3689" s="5" t="str">
        <f>IF(B3689="","",股指期货基差分析!$N$11)</f>
        <v/>
      </c>
      <c r="H3689" s="5" t="str">
        <f>IF(B3689="","",股指期货基差分析!$L$11)</f>
        <v/>
      </c>
      <c r="I3689" s="9" t="str">
        <f>IF(B3689="","",股指期货基差分析!$D$11)</f>
        <v/>
      </c>
    </row>
    <row r="3690" spans="3:9" ht="15" customHeight="1" x14ac:dyDescent="0.2">
      <c r="C3690" s="5" t="str">
        <f>IF(B3690="","",[1]!s_dq_close(股指期货基差分析!$E$5,$B3690))</f>
        <v/>
      </c>
      <c r="D3690" s="5" t="str">
        <f>IF(B3690="","",[1]!s_dq_close(股指期货基差分析!$E$6,$B3690))</f>
        <v/>
      </c>
      <c r="E3690" s="4" t="e">
        <f ca="1">RANK(F3690,F:F)+COUNTIF(F$2:F3690,F3690)-1</f>
        <v>#VALUE!</v>
      </c>
      <c r="F3690" s="5" t="str">
        <f t="shared" si="58"/>
        <v/>
      </c>
      <c r="G3690" s="5" t="str">
        <f>IF(B3690="","",股指期货基差分析!$N$11)</f>
        <v/>
      </c>
      <c r="H3690" s="5" t="str">
        <f>IF(B3690="","",股指期货基差分析!$L$11)</f>
        <v/>
      </c>
      <c r="I3690" s="9" t="str">
        <f>IF(B3690="","",股指期货基差分析!$D$11)</f>
        <v/>
      </c>
    </row>
    <row r="3691" spans="3:9" ht="15" customHeight="1" x14ac:dyDescent="0.2">
      <c r="C3691" s="5" t="str">
        <f>IF(B3691="","",[1]!s_dq_close(股指期货基差分析!$E$5,$B3691))</f>
        <v/>
      </c>
      <c r="D3691" s="5" t="str">
        <f>IF(B3691="","",[1]!s_dq_close(股指期货基差分析!$E$6,$B3691))</f>
        <v/>
      </c>
      <c r="E3691" s="4" t="e">
        <f ca="1">RANK(F3691,F:F)+COUNTIF(F$2:F3691,F3691)-1</f>
        <v>#VALUE!</v>
      </c>
      <c r="F3691" s="5" t="str">
        <f t="shared" si="58"/>
        <v/>
      </c>
      <c r="G3691" s="5" t="str">
        <f>IF(B3691="","",股指期货基差分析!$N$11)</f>
        <v/>
      </c>
      <c r="H3691" s="5" t="str">
        <f>IF(B3691="","",股指期货基差分析!$L$11)</f>
        <v/>
      </c>
      <c r="I3691" s="9" t="str">
        <f>IF(B3691="","",股指期货基差分析!$D$11)</f>
        <v/>
      </c>
    </row>
    <row r="3692" spans="3:9" ht="15" customHeight="1" x14ac:dyDescent="0.2">
      <c r="C3692" s="5" t="str">
        <f>IF(B3692="","",[1]!s_dq_close(股指期货基差分析!$E$5,$B3692))</f>
        <v/>
      </c>
      <c r="D3692" s="5" t="str">
        <f>IF(B3692="","",[1]!s_dq_close(股指期货基差分析!$E$6,$B3692))</f>
        <v/>
      </c>
      <c r="E3692" s="4" t="e">
        <f ca="1">RANK(F3692,F:F)+COUNTIF(F$2:F3692,F3692)-1</f>
        <v>#VALUE!</v>
      </c>
      <c r="F3692" s="5" t="str">
        <f t="shared" si="58"/>
        <v/>
      </c>
      <c r="G3692" s="5" t="str">
        <f>IF(B3692="","",股指期货基差分析!$N$11)</f>
        <v/>
      </c>
      <c r="H3692" s="5" t="str">
        <f>IF(B3692="","",股指期货基差分析!$L$11)</f>
        <v/>
      </c>
      <c r="I3692" s="9" t="str">
        <f>IF(B3692="","",股指期货基差分析!$D$11)</f>
        <v/>
      </c>
    </row>
    <row r="3693" spans="3:9" ht="15" customHeight="1" x14ac:dyDescent="0.2">
      <c r="C3693" s="5" t="str">
        <f>IF(B3693="","",[1]!s_dq_close(股指期货基差分析!$E$5,$B3693))</f>
        <v/>
      </c>
      <c r="D3693" s="5" t="str">
        <f>IF(B3693="","",[1]!s_dq_close(股指期货基差分析!$E$6,$B3693))</f>
        <v/>
      </c>
      <c r="E3693" s="4" t="e">
        <f ca="1">RANK(F3693,F:F)+COUNTIF(F$2:F3693,F3693)-1</f>
        <v>#VALUE!</v>
      </c>
      <c r="F3693" s="5" t="str">
        <f t="shared" si="58"/>
        <v/>
      </c>
      <c r="G3693" s="5" t="str">
        <f>IF(B3693="","",股指期货基差分析!$N$11)</f>
        <v/>
      </c>
      <c r="H3693" s="5" t="str">
        <f>IF(B3693="","",股指期货基差分析!$L$11)</f>
        <v/>
      </c>
      <c r="I3693" s="9" t="str">
        <f>IF(B3693="","",股指期货基差分析!$D$11)</f>
        <v/>
      </c>
    </row>
    <row r="3694" spans="3:9" ht="15" customHeight="1" x14ac:dyDescent="0.2">
      <c r="C3694" s="5" t="str">
        <f>IF(B3694="","",[1]!s_dq_close(股指期货基差分析!$E$5,$B3694))</f>
        <v/>
      </c>
      <c r="D3694" s="5" t="str">
        <f>IF(B3694="","",[1]!s_dq_close(股指期货基差分析!$E$6,$B3694))</f>
        <v/>
      </c>
      <c r="E3694" s="4" t="e">
        <f ca="1">RANK(F3694,F:F)+COUNTIF(F$2:F3694,F3694)-1</f>
        <v>#VALUE!</v>
      </c>
      <c r="F3694" s="5" t="str">
        <f t="shared" si="58"/>
        <v/>
      </c>
      <c r="G3694" s="5" t="str">
        <f>IF(B3694="","",股指期货基差分析!$N$11)</f>
        <v/>
      </c>
      <c r="H3694" s="5" t="str">
        <f>IF(B3694="","",股指期货基差分析!$L$11)</f>
        <v/>
      </c>
      <c r="I3694" s="9" t="str">
        <f>IF(B3694="","",股指期货基差分析!$D$11)</f>
        <v/>
      </c>
    </row>
    <row r="3695" spans="3:9" ht="15" customHeight="1" x14ac:dyDescent="0.2">
      <c r="C3695" s="5" t="str">
        <f>IF(B3695="","",[1]!s_dq_close(股指期货基差分析!$E$5,$B3695))</f>
        <v/>
      </c>
      <c r="D3695" s="5" t="str">
        <f>IF(B3695="","",[1]!s_dq_close(股指期货基差分析!$E$6,$B3695))</f>
        <v/>
      </c>
      <c r="E3695" s="4" t="e">
        <f ca="1">RANK(F3695,F:F)+COUNTIF(F$2:F3695,F3695)-1</f>
        <v>#VALUE!</v>
      </c>
      <c r="F3695" s="5" t="str">
        <f t="shared" si="58"/>
        <v/>
      </c>
      <c r="G3695" s="5" t="str">
        <f>IF(B3695="","",股指期货基差分析!$N$11)</f>
        <v/>
      </c>
      <c r="H3695" s="5" t="str">
        <f>IF(B3695="","",股指期货基差分析!$L$11)</f>
        <v/>
      </c>
      <c r="I3695" s="9" t="str">
        <f>IF(B3695="","",股指期货基差分析!$D$11)</f>
        <v/>
      </c>
    </row>
    <row r="3696" spans="3:9" ht="15" customHeight="1" x14ac:dyDescent="0.2">
      <c r="C3696" s="5" t="str">
        <f>IF(B3696="","",[1]!s_dq_close(股指期货基差分析!$E$5,$B3696))</f>
        <v/>
      </c>
      <c r="D3696" s="5" t="str">
        <f>IF(B3696="","",[1]!s_dq_close(股指期货基差分析!$E$6,$B3696))</f>
        <v/>
      </c>
      <c r="E3696" s="4" t="e">
        <f ca="1">RANK(F3696,F:F)+COUNTIF(F$2:F3696,F3696)-1</f>
        <v>#VALUE!</v>
      </c>
      <c r="F3696" s="5" t="str">
        <f t="shared" si="58"/>
        <v/>
      </c>
      <c r="G3696" s="5" t="str">
        <f>IF(B3696="","",股指期货基差分析!$N$11)</f>
        <v/>
      </c>
      <c r="H3696" s="5" t="str">
        <f>IF(B3696="","",股指期货基差分析!$L$11)</f>
        <v/>
      </c>
      <c r="I3696" s="9" t="str">
        <f>IF(B3696="","",股指期货基差分析!$D$11)</f>
        <v/>
      </c>
    </row>
    <row r="3697" spans="3:9" ht="15" customHeight="1" x14ac:dyDescent="0.2">
      <c r="C3697" s="5" t="str">
        <f>IF(B3697="","",[1]!s_dq_close(股指期货基差分析!$E$5,$B3697))</f>
        <v/>
      </c>
      <c r="D3697" s="5" t="str">
        <f>IF(B3697="","",[1]!s_dq_close(股指期货基差分析!$E$6,$B3697))</f>
        <v/>
      </c>
      <c r="E3697" s="4" t="e">
        <f ca="1">RANK(F3697,F:F)+COUNTIF(F$2:F3697,F3697)-1</f>
        <v>#VALUE!</v>
      </c>
      <c r="F3697" s="5" t="str">
        <f t="shared" si="58"/>
        <v/>
      </c>
      <c r="G3697" s="5" t="str">
        <f>IF(B3697="","",股指期货基差分析!$N$11)</f>
        <v/>
      </c>
      <c r="H3697" s="5" t="str">
        <f>IF(B3697="","",股指期货基差分析!$L$11)</f>
        <v/>
      </c>
      <c r="I3697" s="9" t="str">
        <f>IF(B3697="","",股指期货基差分析!$D$11)</f>
        <v/>
      </c>
    </row>
    <row r="3698" spans="3:9" ht="15" customHeight="1" x14ac:dyDescent="0.2">
      <c r="C3698" s="5" t="str">
        <f>IF(B3698="","",[1]!s_dq_close(股指期货基差分析!$E$5,$B3698))</f>
        <v/>
      </c>
      <c r="D3698" s="5" t="str">
        <f>IF(B3698="","",[1]!s_dq_close(股指期货基差分析!$E$6,$B3698))</f>
        <v/>
      </c>
      <c r="E3698" s="4" t="e">
        <f ca="1">RANK(F3698,F:F)+COUNTIF(F$2:F3698,F3698)-1</f>
        <v>#VALUE!</v>
      </c>
      <c r="F3698" s="5" t="str">
        <f t="shared" si="58"/>
        <v/>
      </c>
      <c r="G3698" s="5" t="str">
        <f>IF(B3698="","",股指期货基差分析!$N$11)</f>
        <v/>
      </c>
      <c r="H3698" s="5" t="str">
        <f>IF(B3698="","",股指期货基差分析!$L$11)</f>
        <v/>
      </c>
      <c r="I3698" s="9" t="str">
        <f>IF(B3698="","",股指期货基差分析!$D$11)</f>
        <v/>
      </c>
    </row>
    <row r="3699" spans="3:9" ht="15" customHeight="1" x14ac:dyDescent="0.2">
      <c r="C3699" s="5" t="str">
        <f>IF(B3699="","",[1]!s_dq_close(股指期货基差分析!$E$5,$B3699))</f>
        <v/>
      </c>
      <c r="D3699" s="5" t="str">
        <f>IF(B3699="","",[1]!s_dq_close(股指期货基差分析!$E$6,$B3699))</f>
        <v/>
      </c>
      <c r="E3699" s="4" t="e">
        <f ca="1">RANK(F3699,F:F)+COUNTIF(F$2:F3699,F3699)-1</f>
        <v>#VALUE!</v>
      </c>
      <c r="F3699" s="5" t="str">
        <f t="shared" si="58"/>
        <v/>
      </c>
      <c r="G3699" s="5" t="str">
        <f>IF(B3699="","",股指期货基差分析!$N$11)</f>
        <v/>
      </c>
      <c r="H3699" s="5" t="str">
        <f>IF(B3699="","",股指期货基差分析!$L$11)</f>
        <v/>
      </c>
      <c r="I3699" s="9" t="str">
        <f>IF(B3699="","",股指期货基差分析!$D$11)</f>
        <v/>
      </c>
    </row>
    <row r="3700" spans="3:9" ht="15" customHeight="1" x14ac:dyDescent="0.2">
      <c r="C3700" s="5" t="str">
        <f>IF(B3700="","",[1]!s_dq_close(股指期货基差分析!$E$5,$B3700))</f>
        <v/>
      </c>
      <c r="D3700" s="5" t="str">
        <f>IF(B3700="","",[1]!s_dq_close(股指期货基差分析!$E$6,$B3700))</f>
        <v/>
      </c>
      <c r="E3700" s="4" t="e">
        <f ca="1">RANK(F3700,F:F)+COUNTIF(F$2:F3700,F3700)-1</f>
        <v>#VALUE!</v>
      </c>
      <c r="F3700" s="5" t="str">
        <f t="shared" si="58"/>
        <v/>
      </c>
      <c r="G3700" s="5" t="str">
        <f>IF(B3700="","",股指期货基差分析!$N$11)</f>
        <v/>
      </c>
      <c r="H3700" s="5" t="str">
        <f>IF(B3700="","",股指期货基差分析!$L$11)</f>
        <v/>
      </c>
      <c r="I3700" s="9" t="str">
        <f>IF(B3700="","",股指期货基差分析!$D$11)</f>
        <v/>
      </c>
    </row>
    <row r="3701" spans="3:9" ht="15" customHeight="1" x14ac:dyDescent="0.2">
      <c r="C3701" s="5" t="str">
        <f>IF(B3701="","",[1]!s_dq_close(股指期货基差分析!$E$5,$B3701))</f>
        <v/>
      </c>
      <c r="D3701" s="5" t="str">
        <f>IF(B3701="","",[1]!s_dq_close(股指期货基差分析!$E$6,$B3701))</f>
        <v/>
      </c>
      <c r="E3701" s="4" t="e">
        <f ca="1">RANK(F3701,F:F)+COUNTIF(F$2:F3701,F3701)-1</f>
        <v>#VALUE!</v>
      </c>
      <c r="F3701" s="5" t="str">
        <f t="shared" si="58"/>
        <v/>
      </c>
      <c r="G3701" s="5" t="str">
        <f>IF(B3701="","",股指期货基差分析!$N$11)</f>
        <v/>
      </c>
      <c r="H3701" s="5" t="str">
        <f>IF(B3701="","",股指期货基差分析!$L$11)</f>
        <v/>
      </c>
      <c r="I3701" s="9" t="str">
        <f>IF(B3701="","",股指期货基差分析!$D$11)</f>
        <v/>
      </c>
    </row>
    <row r="3702" spans="3:9" ht="15" customHeight="1" x14ac:dyDescent="0.2">
      <c r="C3702" s="5" t="str">
        <f>IF(B3702="","",[1]!s_dq_close(股指期货基差分析!$E$5,$B3702))</f>
        <v/>
      </c>
      <c r="D3702" s="5" t="str">
        <f>IF(B3702="","",[1]!s_dq_close(股指期货基差分析!$E$6,$B3702))</f>
        <v/>
      </c>
      <c r="E3702" s="4" t="e">
        <f ca="1">RANK(F3702,F:F)+COUNTIF(F$2:F3702,F3702)-1</f>
        <v>#VALUE!</v>
      </c>
      <c r="F3702" s="5" t="str">
        <f t="shared" si="58"/>
        <v/>
      </c>
      <c r="G3702" s="5" t="str">
        <f>IF(B3702="","",股指期货基差分析!$N$11)</f>
        <v/>
      </c>
      <c r="H3702" s="5" t="str">
        <f>IF(B3702="","",股指期货基差分析!$L$11)</f>
        <v/>
      </c>
      <c r="I3702" s="9" t="str">
        <f>IF(B3702="","",股指期货基差分析!$D$11)</f>
        <v/>
      </c>
    </row>
    <row r="3703" spans="3:9" ht="15" customHeight="1" x14ac:dyDescent="0.2">
      <c r="C3703" s="5" t="str">
        <f>IF(B3703="","",[1]!s_dq_close(股指期货基差分析!$E$5,$B3703))</f>
        <v/>
      </c>
      <c r="D3703" s="5" t="str">
        <f>IF(B3703="","",[1]!s_dq_close(股指期货基差分析!$E$6,$B3703))</f>
        <v/>
      </c>
      <c r="E3703" s="4" t="e">
        <f ca="1">RANK(F3703,F:F)+COUNTIF(F$2:F3703,F3703)-1</f>
        <v>#VALUE!</v>
      </c>
      <c r="F3703" s="5" t="str">
        <f t="shared" si="58"/>
        <v/>
      </c>
      <c r="G3703" s="5" t="str">
        <f>IF(B3703="","",股指期货基差分析!$N$11)</f>
        <v/>
      </c>
      <c r="H3703" s="5" t="str">
        <f>IF(B3703="","",股指期货基差分析!$L$11)</f>
        <v/>
      </c>
      <c r="I3703" s="9" t="str">
        <f>IF(B3703="","",股指期货基差分析!$D$11)</f>
        <v/>
      </c>
    </row>
    <row r="3704" spans="3:9" ht="15" customHeight="1" x14ac:dyDescent="0.2">
      <c r="C3704" s="5" t="str">
        <f>IF(B3704="","",[1]!s_dq_close(股指期货基差分析!$E$5,$B3704))</f>
        <v/>
      </c>
      <c r="D3704" s="5" t="str">
        <f>IF(B3704="","",[1]!s_dq_close(股指期货基差分析!$E$6,$B3704))</f>
        <v/>
      </c>
      <c r="E3704" s="4" t="e">
        <f ca="1">RANK(F3704,F:F)+COUNTIF(F$2:F3704,F3704)-1</f>
        <v>#VALUE!</v>
      </c>
      <c r="F3704" s="5" t="str">
        <f t="shared" si="58"/>
        <v/>
      </c>
      <c r="G3704" s="5" t="str">
        <f>IF(B3704="","",股指期货基差分析!$N$11)</f>
        <v/>
      </c>
      <c r="H3704" s="5" t="str">
        <f>IF(B3704="","",股指期货基差分析!$L$11)</f>
        <v/>
      </c>
      <c r="I3704" s="9" t="str">
        <f>IF(B3704="","",股指期货基差分析!$D$11)</f>
        <v/>
      </c>
    </row>
    <row r="3705" spans="3:9" ht="15" customHeight="1" x14ac:dyDescent="0.2">
      <c r="C3705" s="5" t="str">
        <f>IF(B3705="","",[1]!s_dq_close(股指期货基差分析!$E$5,$B3705))</f>
        <v/>
      </c>
      <c r="D3705" s="5" t="str">
        <f>IF(B3705="","",[1]!s_dq_close(股指期货基差分析!$E$6,$B3705))</f>
        <v/>
      </c>
      <c r="E3705" s="4" t="e">
        <f ca="1">RANK(F3705,F:F)+COUNTIF(F$2:F3705,F3705)-1</f>
        <v>#VALUE!</v>
      </c>
      <c r="F3705" s="5" t="str">
        <f t="shared" si="58"/>
        <v/>
      </c>
      <c r="G3705" s="5" t="str">
        <f>IF(B3705="","",股指期货基差分析!$N$11)</f>
        <v/>
      </c>
      <c r="H3705" s="5" t="str">
        <f>IF(B3705="","",股指期货基差分析!$L$11)</f>
        <v/>
      </c>
      <c r="I3705" s="9" t="str">
        <f>IF(B3705="","",股指期货基差分析!$D$11)</f>
        <v/>
      </c>
    </row>
    <row r="3706" spans="3:9" ht="15" customHeight="1" x14ac:dyDescent="0.2">
      <c r="C3706" s="5" t="str">
        <f>IF(B3706="","",[1]!s_dq_close(股指期货基差分析!$E$5,$B3706))</f>
        <v/>
      </c>
      <c r="D3706" s="5" t="str">
        <f>IF(B3706="","",[1]!s_dq_close(股指期货基差分析!$E$6,$B3706))</f>
        <v/>
      </c>
      <c r="E3706" s="4" t="e">
        <f ca="1">RANK(F3706,F:F)+COUNTIF(F$2:F3706,F3706)-1</f>
        <v>#VALUE!</v>
      </c>
      <c r="F3706" s="5" t="str">
        <f t="shared" si="58"/>
        <v/>
      </c>
      <c r="G3706" s="5" t="str">
        <f>IF(B3706="","",股指期货基差分析!$N$11)</f>
        <v/>
      </c>
      <c r="H3706" s="5" t="str">
        <f>IF(B3706="","",股指期货基差分析!$L$11)</f>
        <v/>
      </c>
      <c r="I3706" s="9" t="str">
        <f>IF(B3706="","",股指期货基差分析!$D$11)</f>
        <v/>
      </c>
    </row>
    <row r="3707" spans="3:9" ht="15" customHeight="1" x14ac:dyDescent="0.2">
      <c r="C3707" s="5" t="str">
        <f>IF(B3707="","",[1]!s_dq_close(股指期货基差分析!$E$5,$B3707))</f>
        <v/>
      </c>
      <c r="D3707" s="5" t="str">
        <f>IF(B3707="","",[1]!s_dq_close(股指期货基差分析!$E$6,$B3707))</f>
        <v/>
      </c>
      <c r="E3707" s="4" t="e">
        <f ca="1">RANK(F3707,F:F)+COUNTIF(F$2:F3707,F3707)-1</f>
        <v>#VALUE!</v>
      </c>
      <c r="F3707" s="5" t="str">
        <f t="shared" si="58"/>
        <v/>
      </c>
      <c r="G3707" s="5" t="str">
        <f>IF(B3707="","",股指期货基差分析!$N$11)</f>
        <v/>
      </c>
      <c r="H3707" s="5" t="str">
        <f>IF(B3707="","",股指期货基差分析!$L$11)</f>
        <v/>
      </c>
      <c r="I3707" s="9" t="str">
        <f>IF(B3707="","",股指期货基差分析!$D$11)</f>
        <v/>
      </c>
    </row>
    <row r="3708" spans="3:9" ht="15" customHeight="1" x14ac:dyDescent="0.2">
      <c r="C3708" s="5" t="str">
        <f>IF(B3708="","",[1]!s_dq_close(股指期货基差分析!$E$5,$B3708))</f>
        <v/>
      </c>
      <c r="D3708" s="5" t="str">
        <f>IF(B3708="","",[1]!s_dq_close(股指期货基差分析!$E$6,$B3708))</f>
        <v/>
      </c>
      <c r="E3708" s="4" t="e">
        <f ca="1">RANK(F3708,F:F)+COUNTIF(F$2:F3708,F3708)-1</f>
        <v>#VALUE!</v>
      </c>
      <c r="F3708" s="5" t="str">
        <f t="shared" si="58"/>
        <v/>
      </c>
      <c r="G3708" s="5" t="str">
        <f>IF(B3708="","",股指期货基差分析!$N$11)</f>
        <v/>
      </c>
      <c r="H3708" s="5" t="str">
        <f>IF(B3708="","",股指期货基差分析!$L$11)</f>
        <v/>
      </c>
      <c r="I3708" s="9" t="str">
        <f>IF(B3708="","",股指期货基差分析!$D$11)</f>
        <v/>
      </c>
    </row>
    <row r="3709" spans="3:9" ht="15" customHeight="1" x14ac:dyDescent="0.2">
      <c r="C3709" s="5" t="str">
        <f>IF(B3709="","",[1]!s_dq_close(股指期货基差分析!$E$5,$B3709))</f>
        <v/>
      </c>
      <c r="D3709" s="5" t="str">
        <f>IF(B3709="","",[1]!s_dq_close(股指期货基差分析!$E$6,$B3709))</f>
        <v/>
      </c>
      <c r="E3709" s="4" t="e">
        <f ca="1">RANK(F3709,F:F)+COUNTIF(F$2:F3709,F3709)-1</f>
        <v>#VALUE!</v>
      </c>
      <c r="F3709" s="5" t="str">
        <f t="shared" si="58"/>
        <v/>
      </c>
      <c r="G3709" s="5" t="str">
        <f>IF(B3709="","",股指期货基差分析!$N$11)</f>
        <v/>
      </c>
      <c r="H3709" s="5" t="str">
        <f>IF(B3709="","",股指期货基差分析!$L$11)</f>
        <v/>
      </c>
      <c r="I3709" s="9" t="str">
        <f>IF(B3709="","",股指期货基差分析!$D$11)</f>
        <v/>
      </c>
    </row>
    <row r="3710" spans="3:9" ht="15" customHeight="1" x14ac:dyDescent="0.2">
      <c r="C3710" s="5" t="str">
        <f>IF(B3710="","",[1]!s_dq_close(股指期货基差分析!$E$5,$B3710))</f>
        <v/>
      </c>
      <c r="D3710" s="5" t="str">
        <f>IF(B3710="","",[1]!s_dq_close(股指期货基差分析!$E$6,$B3710))</f>
        <v/>
      </c>
      <c r="E3710" s="4" t="e">
        <f ca="1">RANK(F3710,F:F)+COUNTIF(F$2:F3710,F3710)-1</f>
        <v>#VALUE!</v>
      </c>
      <c r="F3710" s="5" t="str">
        <f t="shared" si="58"/>
        <v/>
      </c>
      <c r="G3710" s="5" t="str">
        <f>IF(B3710="","",股指期货基差分析!$N$11)</f>
        <v/>
      </c>
      <c r="H3710" s="5" t="str">
        <f>IF(B3710="","",股指期货基差分析!$L$11)</f>
        <v/>
      </c>
      <c r="I3710" s="9" t="str">
        <f>IF(B3710="","",股指期货基差分析!$D$11)</f>
        <v/>
      </c>
    </row>
    <row r="3711" spans="3:9" ht="15" customHeight="1" x14ac:dyDescent="0.2">
      <c r="C3711" s="5" t="str">
        <f>IF(B3711="","",[1]!s_dq_close(股指期货基差分析!$E$5,$B3711))</f>
        <v/>
      </c>
      <c r="D3711" s="5" t="str">
        <f>IF(B3711="","",[1]!s_dq_close(股指期货基差分析!$E$6,$B3711))</f>
        <v/>
      </c>
      <c r="E3711" s="4" t="e">
        <f ca="1">RANK(F3711,F:F)+COUNTIF(F$2:F3711,F3711)-1</f>
        <v>#VALUE!</v>
      </c>
      <c r="F3711" s="5" t="str">
        <f t="shared" si="58"/>
        <v/>
      </c>
      <c r="G3711" s="5" t="str">
        <f>IF(B3711="","",股指期货基差分析!$N$11)</f>
        <v/>
      </c>
      <c r="H3711" s="5" t="str">
        <f>IF(B3711="","",股指期货基差分析!$L$11)</f>
        <v/>
      </c>
      <c r="I3711" s="9" t="str">
        <f>IF(B3711="","",股指期货基差分析!$D$11)</f>
        <v/>
      </c>
    </row>
    <row r="3712" spans="3:9" ht="15" customHeight="1" x14ac:dyDescent="0.2">
      <c r="C3712" s="5" t="str">
        <f>IF(B3712="","",[1]!s_dq_close(股指期货基差分析!$E$5,$B3712))</f>
        <v/>
      </c>
      <c r="D3712" s="5" t="str">
        <f>IF(B3712="","",[1]!s_dq_close(股指期货基差分析!$E$6,$B3712))</f>
        <v/>
      </c>
      <c r="E3712" s="4" t="e">
        <f ca="1">RANK(F3712,F:F)+COUNTIF(F$2:F3712,F3712)-1</f>
        <v>#VALUE!</v>
      </c>
      <c r="F3712" s="5" t="str">
        <f t="shared" si="58"/>
        <v/>
      </c>
      <c r="G3712" s="5" t="str">
        <f>IF(B3712="","",股指期货基差分析!$N$11)</f>
        <v/>
      </c>
      <c r="H3712" s="5" t="str">
        <f>IF(B3712="","",股指期货基差分析!$L$11)</f>
        <v/>
      </c>
      <c r="I3712" s="9" t="str">
        <f>IF(B3712="","",股指期货基差分析!$D$11)</f>
        <v/>
      </c>
    </row>
    <row r="3713" spans="3:9" ht="15" customHeight="1" x14ac:dyDescent="0.2">
      <c r="C3713" s="5" t="str">
        <f>IF(B3713="","",[1]!s_dq_close(股指期货基差分析!$E$5,$B3713))</f>
        <v/>
      </c>
      <c r="D3713" s="5" t="str">
        <f>IF(B3713="","",[1]!s_dq_close(股指期货基差分析!$E$6,$B3713))</f>
        <v/>
      </c>
      <c r="E3713" s="4" t="e">
        <f ca="1">RANK(F3713,F:F)+COUNTIF(F$2:F3713,F3713)-1</f>
        <v>#VALUE!</v>
      </c>
      <c r="F3713" s="5" t="str">
        <f t="shared" si="58"/>
        <v/>
      </c>
      <c r="G3713" s="5" t="str">
        <f>IF(B3713="","",股指期货基差分析!$N$11)</f>
        <v/>
      </c>
      <c r="H3713" s="5" t="str">
        <f>IF(B3713="","",股指期货基差分析!$L$11)</f>
        <v/>
      </c>
      <c r="I3713" s="9" t="str">
        <f>IF(B3713="","",股指期货基差分析!$D$11)</f>
        <v/>
      </c>
    </row>
    <row r="3714" spans="3:9" ht="15" customHeight="1" x14ac:dyDescent="0.2">
      <c r="C3714" s="5" t="str">
        <f>IF(B3714="","",[1]!s_dq_close(股指期货基差分析!$E$5,$B3714))</f>
        <v/>
      </c>
      <c r="D3714" s="5" t="str">
        <f>IF(B3714="","",[1]!s_dq_close(股指期货基差分析!$E$6,$B3714))</f>
        <v/>
      </c>
      <c r="E3714" s="4" t="e">
        <f ca="1">RANK(F3714,F:F)+COUNTIF(F$2:F3714,F3714)-1</f>
        <v>#VALUE!</v>
      </c>
      <c r="F3714" s="5" t="str">
        <f t="shared" ref="F3714:F3777" si="59">IF(B3714="","",D3714-C3714)</f>
        <v/>
      </c>
      <c r="G3714" s="5" t="str">
        <f>IF(B3714="","",股指期货基差分析!$N$11)</f>
        <v/>
      </c>
      <c r="H3714" s="5" t="str">
        <f>IF(B3714="","",股指期货基差分析!$L$11)</f>
        <v/>
      </c>
      <c r="I3714" s="9" t="str">
        <f>IF(B3714="","",股指期货基差分析!$D$11)</f>
        <v/>
      </c>
    </row>
    <row r="3715" spans="3:9" ht="15" customHeight="1" x14ac:dyDescent="0.2">
      <c r="C3715" s="5" t="str">
        <f>IF(B3715="","",[1]!s_dq_close(股指期货基差分析!$E$5,$B3715))</f>
        <v/>
      </c>
      <c r="D3715" s="5" t="str">
        <f>IF(B3715="","",[1]!s_dq_close(股指期货基差分析!$E$6,$B3715))</f>
        <v/>
      </c>
      <c r="E3715" s="4" t="e">
        <f ca="1">RANK(F3715,F:F)+COUNTIF(F$2:F3715,F3715)-1</f>
        <v>#VALUE!</v>
      </c>
      <c r="F3715" s="5" t="str">
        <f t="shared" si="59"/>
        <v/>
      </c>
      <c r="G3715" s="5" t="str">
        <f>IF(B3715="","",股指期货基差分析!$N$11)</f>
        <v/>
      </c>
      <c r="H3715" s="5" t="str">
        <f>IF(B3715="","",股指期货基差分析!$L$11)</f>
        <v/>
      </c>
      <c r="I3715" s="9" t="str">
        <f>IF(B3715="","",股指期货基差分析!$D$11)</f>
        <v/>
      </c>
    </row>
    <row r="3716" spans="3:9" ht="15" customHeight="1" x14ac:dyDescent="0.2">
      <c r="C3716" s="5" t="str">
        <f>IF(B3716="","",[1]!s_dq_close(股指期货基差分析!$E$5,$B3716))</f>
        <v/>
      </c>
      <c r="D3716" s="5" t="str">
        <f>IF(B3716="","",[1]!s_dq_close(股指期货基差分析!$E$6,$B3716))</f>
        <v/>
      </c>
      <c r="E3716" s="4" t="e">
        <f ca="1">RANK(F3716,F:F)+COUNTIF(F$2:F3716,F3716)-1</f>
        <v>#VALUE!</v>
      </c>
      <c r="F3716" s="5" t="str">
        <f t="shared" si="59"/>
        <v/>
      </c>
      <c r="G3716" s="5" t="str">
        <f>IF(B3716="","",股指期货基差分析!$N$11)</f>
        <v/>
      </c>
      <c r="H3716" s="5" t="str">
        <f>IF(B3716="","",股指期货基差分析!$L$11)</f>
        <v/>
      </c>
      <c r="I3716" s="9" t="str">
        <f>IF(B3716="","",股指期货基差分析!$D$11)</f>
        <v/>
      </c>
    </row>
    <row r="3717" spans="3:9" ht="15" customHeight="1" x14ac:dyDescent="0.2">
      <c r="C3717" s="5" t="str">
        <f>IF(B3717="","",[1]!s_dq_close(股指期货基差分析!$E$5,$B3717))</f>
        <v/>
      </c>
      <c r="D3717" s="5" t="str">
        <f>IF(B3717="","",[1]!s_dq_close(股指期货基差分析!$E$6,$B3717))</f>
        <v/>
      </c>
      <c r="E3717" s="4" t="e">
        <f ca="1">RANK(F3717,F:F)+COUNTIF(F$2:F3717,F3717)-1</f>
        <v>#VALUE!</v>
      </c>
      <c r="F3717" s="5" t="str">
        <f t="shared" si="59"/>
        <v/>
      </c>
      <c r="G3717" s="5" t="str">
        <f>IF(B3717="","",股指期货基差分析!$N$11)</f>
        <v/>
      </c>
      <c r="H3717" s="5" t="str">
        <f>IF(B3717="","",股指期货基差分析!$L$11)</f>
        <v/>
      </c>
      <c r="I3717" s="9" t="str">
        <f>IF(B3717="","",股指期货基差分析!$D$11)</f>
        <v/>
      </c>
    </row>
    <row r="3718" spans="3:9" ht="15" customHeight="1" x14ac:dyDescent="0.2">
      <c r="C3718" s="5" t="str">
        <f>IF(B3718="","",[1]!s_dq_close(股指期货基差分析!$E$5,$B3718))</f>
        <v/>
      </c>
      <c r="D3718" s="5" t="str">
        <f>IF(B3718="","",[1]!s_dq_close(股指期货基差分析!$E$6,$B3718))</f>
        <v/>
      </c>
      <c r="E3718" s="4" t="e">
        <f ca="1">RANK(F3718,F:F)+COUNTIF(F$2:F3718,F3718)-1</f>
        <v>#VALUE!</v>
      </c>
      <c r="F3718" s="5" t="str">
        <f t="shared" si="59"/>
        <v/>
      </c>
      <c r="G3718" s="5" t="str">
        <f>IF(B3718="","",股指期货基差分析!$N$11)</f>
        <v/>
      </c>
      <c r="H3718" s="5" t="str">
        <f>IF(B3718="","",股指期货基差分析!$L$11)</f>
        <v/>
      </c>
      <c r="I3718" s="9" t="str">
        <f>IF(B3718="","",股指期货基差分析!$D$11)</f>
        <v/>
      </c>
    </row>
    <row r="3719" spans="3:9" ht="15" customHeight="1" x14ac:dyDescent="0.2">
      <c r="C3719" s="5" t="str">
        <f>IF(B3719="","",[1]!s_dq_close(股指期货基差分析!$E$5,$B3719))</f>
        <v/>
      </c>
      <c r="D3719" s="5" t="str">
        <f>IF(B3719="","",[1]!s_dq_close(股指期货基差分析!$E$6,$B3719))</f>
        <v/>
      </c>
      <c r="E3719" s="4" t="e">
        <f ca="1">RANK(F3719,F:F)+COUNTIF(F$2:F3719,F3719)-1</f>
        <v>#VALUE!</v>
      </c>
      <c r="F3719" s="5" t="str">
        <f t="shared" si="59"/>
        <v/>
      </c>
      <c r="G3719" s="5" t="str">
        <f>IF(B3719="","",股指期货基差分析!$N$11)</f>
        <v/>
      </c>
      <c r="H3719" s="5" t="str">
        <f>IF(B3719="","",股指期货基差分析!$L$11)</f>
        <v/>
      </c>
      <c r="I3719" s="9" t="str">
        <f>IF(B3719="","",股指期货基差分析!$D$11)</f>
        <v/>
      </c>
    </row>
    <row r="3720" spans="3:9" ht="15" customHeight="1" x14ac:dyDescent="0.2">
      <c r="C3720" s="5" t="str">
        <f>IF(B3720="","",[1]!s_dq_close(股指期货基差分析!$E$5,$B3720))</f>
        <v/>
      </c>
      <c r="D3720" s="5" t="str">
        <f>IF(B3720="","",[1]!s_dq_close(股指期货基差分析!$E$6,$B3720))</f>
        <v/>
      </c>
      <c r="E3720" s="4" t="e">
        <f ca="1">RANK(F3720,F:F)+COUNTIF(F$2:F3720,F3720)-1</f>
        <v>#VALUE!</v>
      </c>
      <c r="F3720" s="5" t="str">
        <f t="shared" si="59"/>
        <v/>
      </c>
      <c r="G3720" s="5" t="str">
        <f>IF(B3720="","",股指期货基差分析!$N$11)</f>
        <v/>
      </c>
      <c r="H3720" s="5" t="str">
        <f>IF(B3720="","",股指期货基差分析!$L$11)</f>
        <v/>
      </c>
      <c r="I3720" s="9" t="str">
        <f>IF(B3720="","",股指期货基差分析!$D$11)</f>
        <v/>
      </c>
    </row>
    <row r="3721" spans="3:9" ht="15" customHeight="1" x14ac:dyDescent="0.2">
      <c r="C3721" s="5" t="str">
        <f>IF(B3721="","",[1]!s_dq_close(股指期货基差分析!$E$5,$B3721))</f>
        <v/>
      </c>
      <c r="D3721" s="5" t="str">
        <f>IF(B3721="","",[1]!s_dq_close(股指期货基差分析!$E$6,$B3721))</f>
        <v/>
      </c>
      <c r="E3721" s="4" t="e">
        <f ca="1">RANK(F3721,F:F)+COUNTIF(F$2:F3721,F3721)-1</f>
        <v>#VALUE!</v>
      </c>
      <c r="F3721" s="5" t="str">
        <f t="shared" si="59"/>
        <v/>
      </c>
      <c r="G3721" s="5" t="str">
        <f>IF(B3721="","",股指期货基差分析!$N$11)</f>
        <v/>
      </c>
      <c r="H3721" s="5" t="str">
        <f>IF(B3721="","",股指期货基差分析!$L$11)</f>
        <v/>
      </c>
      <c r="I3721" s="9" t="str">
        <f>IF(B3721="","",股指期货基差分析!$D$11)</f>
        <v/>
      </c>
    </row>
    <row r="3722" spans="3:9" ht="15" customHeight="1" x14ac:dyDescent="0.2">
      <c r="C3722" s="5" t="str">
        <f>IF(B3722="","",[1]!s_dq_close(股指期货基差分析!$E$5,$B3722))</f>
        <v/>
      </c>
      <c r="D3722" s="5" t="str">
        <f>IF(B3722="","",[1]!s_dq_close(股指期货基差分析!$E$6,$B3722))</f>
        <v/>
      </c>
      <c r="E3722" s="4" t="e">
        <f ca="1">RANK(F3722,F:F)+COUNTIF(F$2:F3722,F3722)-1</f>
        <v>#VALUE!</v>
      </c>
      <c r="F3722" s="5" t="str">
        <f t="shared" si="59"/>
        <v/>
      </c>
      <c r="G3722" s="5" t="str">
        <f>IF(B3722="","",股指期货基差分析!$N$11)</f>
        <v/>
      </c>
      <c r="H3722" s="5" t="str">
        <f>IF(B3722="","",股指期货基差分析!$L$11)</f>
        <v/>
      </c>
      <c r="I3722" s="9" t="str">
        <f>IF(B3722="","",股指期货基差分析!$D$11)</f>
        <v/>
      </c>
    </row>
    <row r="3723" spans="3:9" ht="15" customHeight="1" x14ac:dyDescent="0.2">
      <c r="C3723" s="5" t="str">
        <f>IF(B3723="","",[1]!s_dq_close(股指期货基差分析!$E$5,$B3723))</f>
        <v/>
      </c>
      <c r="D3723" s="5" t="str">
        <f>IF(B3723="","",[1]!s_dq_close(股指期货基差分析!$E$6,$B3723))</f>
        <v/>
      </c>
      <c r="E3723" s="4" t="e">
        <f ca="1">RANK(F3723,F:F)+COUNTIF(F$2:F3723,F3723)-1</f>
        <v>#VALUE!</v>
      </c>
      <c r="F3723" s="5" t="str">
        <f t="shared" si="59"/>
        <v/>
      </c>
      <c r="G3723" s="5" t="str">
        <f>IF(B3723="","",股指期货基差分析!$N$11)</f>
        <v/>
      </c>
      <c r="H3723" s="5" t="str">
        <f>IF(B3723="","",股指期货基差分析!$L$11)</f>
        <v/>
      </c>
      <c r="I3723" s="9" t="str">
        <f>IF(B3723="","",股指期货基差分析!$D$11)</f>
        <v/>
      </c>
    </row>
    <row r="3724" spans="3:9" ht="15" customHeight="1" x14ac:dyDescent="0.2">
      <c r="C3724" s="5" t="str">
        <f>IF(B3724="","",[1]!s_dq_close(股指期货基差分析!$E$5,$B3724))</f>
        <v/>
      </c>
      <c r="D3724" s="5" t="str">
        <f>IF(B3724="","",[1]!s_dq_close(股指期货基差分析!$E$6,$B3724))</f>
        <v/>
      </c>
      <c r="E3724" s="4" t="e">
        <f ca="1">RANK(F3724,F:F)+COUNTIF(F$2:F3724,F3724)-1</f>
        <v>#VALUE!</v>
      </c>
      <c r="F3724" s="5" t="str">
        <f t="shared" si="59"/>
        <v/>
      </c>
      <c r="G3724" s="5" t="str">
        <f>IF(B3724="","",股指期货基差分析!$N$11)</f>
        <v/>
      </c>
      <c r="H3724" s="5" t="str">
        <f>IF(B3724="","",股指期货基差分析!$L$11)</f>
        <v/>
      </c>
      <c r="I3724" s="9" t="str">
        <f>IF(B3724="","",股指期货基差分析!$D$11)</f>
        <v/>
      </c>
    </row>
    <row r="3725" spans="3:9" ht="15" customHeight="1" x14ac:dyDescent="0.2">
      <c r="C3725" s="5" t="str">
        <f>IF(B3725="","",[1]!s_dq_close(股指期货基差分析!$E$5,$B3725))</f>
        <v/>
      </c>
      <c r="D3725" s="5" t="str">
        <f>IF(B3725="","",[1]!s_dq_close(股指期货基差分析!$E$6,$B3725))</f>
        <v/>
      </c>
      <c r="E3725" s="4" t="e">
        <f ca="1">RANK(F3725,F:F)+COUNTIF(F$2:F3725,F3725)-1</f>
        <v>#VALUE!</v>
      </c>
      <c r="F3725" s="5" t="str">
        <f t="shared" si="59"/>
        <v/>
      </c>
      <c r="G3725" s="5" t="str">
        <f>IF(B3725="","",股指期货基差分析!$N$11)</f>
        <v/>
      </c>
      <c r="H3725" s="5" t="str">
        <f>IF(B3725="","",股指期货基差分析!$L$11)</f>
        <v/>
      </c>
      <c r="I3725" s="9" t="str">
        <f>IF(B3725="","",股指期货基差分析!$D$11)</f>
        <v/>
      </c>
    </row>
    <row r="3726" spans="3:9" ht="15" customHeight="1" x14ac:dyDescent="0.2">
      <c r="C3726" s="5" t="str">
        <f>IF(B3726="","",[1]!s_dq_close(股指期货基差分析!$E$5,$B3726))</f>
        <v/>
      </c>
      <c r="D3726" s="5" t="str">
        <f>IF(B3726="","",[1]!s_dq_close(股指期货基差分析!$E$6,$B3726))</f>
        <v/>
      </c>
      <c r="E3726" s="4" t="e">
        <f ca="1">RANK(F3726,F:F)+COUNTIF(F$2:F3726,F3726)-1</f>
        <v>#VALUE!</v>
      </c>
      <c r="F3726" s="5" t="str">
        <f t="shared" si="59"/>
        <v/>
      </c>
      <c r="G3726" s="5" t="str">
        <f>IF(B3726="","",股指期货基差分析!$N$11)</f>
        <v/>
      </c>
      <c r="H3726" s="5" t="str">
        <f>IF(B3726="","",股指期货基差分析!$L$11)</f>
        <v/>
      </c>
      <c r="I3726" s="9" t="str">
        <f>IF(B3726="","",股指期货基差分析!$D$11)</f>
        <v/>
      </c>
    </row>
    <row r="3727" spans="3:9" ht="15" customHeight="1" x14ac:dyDescent="0.2">
      <c r="C3727" s="5" t="str">
        <f>IF(B3727="","",[1]!s_dq_close(股指期货基差分析!$E$5,$B3727))</f>
        <v/>
      </c>
      <c r="D3727" s="5" t="str">
        <f>IF(B3727="","",[1]!s_dq_close(股指期货基差分析!$E$6,$B3727))</f>
        <v/>
      </c>
      <c r="E3727" s="4" t="e">
        <f ca="1">RANK(F3727,F:F)+COUNTIF(F$2:F3727,F3727)-1</f>
        <v>#VALUE!</v>
      </c>
      <c r="F3727" s="5" t="str">
        <f t="shared" si="59"/>
        <v/>
      </c>
      <c r="G3727" s="5" t="str">
        <f>IF(B3727="","",股指期货基差分析!$N$11)</f>
        <v/>
      </c>
      <c r="H3727" s="5" t="str">
        <f>IF(B3727="","",股指期货基差分析!$L$11)</f>
        <v/>
      </c>
      <c r="I3727" s="9" t="str">
        <f>IF(B3727="","",股指期货基差分析!$D$11)</f>
        <v/>
      </c>
    </row>
    <row r="3728" spans="3:9" ht="15" customHeight="1" x14ac:dyDescent="0.2">
      <c r="C3728" s="5" t="str">
        <f>IF(B3728="","",[1]!s_dq_close(股指期货基差分析!$E$5,$B3728))</f>
        <v/>
      </c>
      <c r="D3728" s="5" t="str">
        <f>IF(B3728="","",[1]!s_dq_close(股指期货基差分析!$E$6,$B3728))</f>
        <v/>
      </c>
      <c r="E3728" s="4" t="e">
        <f ca="1">RANK(F3728,F:F)+COUNTIF(F$2:F3728,F3728)-1</f>
        <v>#VALUE!</v>
      </c>
      <c r="F3728" s="5" t="str">
        <f t="shared" si="59"/>
        <v/>
      </c>
      <c r="G3728" s="5" t="str">
        <f>IF(B3728="","",股指期货基差分析!$N$11)</f>
        <v/>
      </c>
      <c r="H3728" s="5" t="str">
        <f>IF(B3728="","",股指期货基差分析!$L$11)</f>
        <v/>
      </c>
      <c r="I3728" s="9" t="str">
        <f>IF(B3728="","",股指期货基差分析!$D$11)</f>
        <v/>
      </c>
    </row>
    <row r="3729" spans="3:9" ht="15" customHeight="1" x14ac:dyDescent="0.2">
      <c r="C3729" s="5" t="str">
        <f>IF(B3729="","",[1]!s_dq_close(股指期货基差分析!$E$5,$B3729))</f>
        <v/>
      </c>
      <c r="D3729" s="5" t="str">
        <f>IF(B3729="","",[1]!s_dq_close(股指期货基差分析!$E$6,$B3729))</f>
        <v/>
      </c>
      <c r="E3729" s="4" t="e">
        <f ca="1">RANK(F3729,F:F)+COUNTIF(F$2:F3729,F3729)-1</f>
        <v>#VALUE!</v>
      </c>
      <c r="F3729" s="5" t="str">
        <f t="shared" si="59"/>
        <v/>
      </c>
      <c r="G3729" s="5" t="str">
        <f>IF(B3729="","",股指期货基差分析!$N$11)</f>
        <v/>
      </c>
      <c r="H3729" s="5" t="str">
        <f>IF(B3729="","",股指期货基差分析!$L$11)</f>
        <v/>
      </c>
      <c r="I3729" s="9" t="str">
        <f>IF(B3729="","",股指期货基差分析!$D$11)</f>
        <v/>
      </c>
    </row>
    <row r="3730" spans="3:9" ht="15" customHeight="1" x14ac:dyDescent="0.2">
      <c r="C3730" s="5" t="str">
        <f>IF(B3730="","",[1]!s_dq_close(股指期货基差分析!$E$5,$B3730))</f>
        <v/>
      </c>
      <c r="D3730" s="5" t="str">
        <f>IF(B3730="","",[1]!s_dq_close(股指期货基差分析!$E$6,$B3730))</f>
        <v/>
      </c>
      <c r="E3730" s="4" t="e">
        <f ca="1">RANK(F3730,F:F)+COUNTIF(F$2:F3730,F3730)-1</f>
        <v>#VALUE!</v>
      </c>
      <c r="F3730" s="5" t="str">
        <f t="shared" si="59"/>
        <v/>
      </c>
      <c r="G3730" s="5" t="str">
        <f>IF(B3730="","",股指期货基差分析!$N$11)</f>
        <v/>
      </c>
      <c r="H3730" s="5" t="str">
        <f>IF(B3730="","",股指期货基差分析!$L$11)</f>
        <v/>
      </c>
      <c r="I3730" s="9" t="str">
        <f>IF(B3730="","",股指期货基差分析!$D$11)</f>
        <v/>
      </c>
    </row>
    <row r="3731" spans="3:9" ht="15" customHeight="1" x14ac:dyDescent="0.2">
      <c r="C3731" s="5" t="str">
        <f>IF(B3731="","",[1]!s_dq_close(股指期货基差分析!$E$5,$B3731))</f>
        <v/>
      </c>
      <c r="D3731" s="5" t="str">
        <f>IF(B3731="","",[1]!s_dq_close(股指期货基差分析!$E$6,$B3731))</f>
        <v/>
      </c>
      <c r="E3731" s="4" t="e">
        <f ca="1">RANK(F3731,F:F)+COUNTIF(F$2:F3731,F3731)-1</f>
        <v>#VALUE!</v>
      </c>
      <c r="F3731" s="5" t="str">
        <f t="shared" si="59"/>
        <v/>
      </c>
      <c r="G3731" s="5" t="str">
        <f>IF(B3731="","",股指期货基差分析!$N$11)</f>
        <v/>
      </c>
      <c r="H3731" s="5" t="str">
        <f>IF(B3731="","",股指期货基差分析!$L$11)</f>
        <v/>
      </c>
      <c r="I3731" s="9" t="str">
        <f>IF(B3731="","",股指期货基差分析!$D$11)</f>
        <v/>
      </c>
    </row>
    <row r="3732" spans="3:9" ht="15" customHeight="1" x14ac:dyDescent="0.2">
      <c r="C3732" s="5" t="str">
        <f>IF(B3732="","",[1]!s_dq_close(股指期货基差分析!$E$5,$B3732))</f>
        <v/>
      </c>
      <c r="D3732" s="5" t="str">
        <f>IF(B3732="","",[1]!s_dq_close(股指期货基差分析!$E$6,$B3732))</f>
        <v/>
      </c>
      <c r="E3732" s="4" t="e">
        <f ca="1">RANK(F3732,F:F)+COUNTIF(F$2:F3732,F3732)-1</f>
        <v>#VALUE!</v>
      </c>
      <c r="F3732" s="5" t="str">
        <f t="shared" si="59"/>
        <v/>
      </c>
      <c r="G3732" s="5" t="str">
        <f>IF(B3732="","",股指期货基差分析!$N$11)</f>
        <v/>
      </c>
      <c r="H3732" s="5" t="str">
        <f>IF(B3732="","",股指期货基差分析!$L$11)</f>
        <v/>
      </c>
      <c r="I3732" s="9" t="str">
        <f>IF(B3732="","",股指期货基差分析!$D$11)</f>
        <v/>
      </c>
    </row>
    <row r="3733" spans="3:9" ht="15" customHeight="1" x14ac:dyDescent="0.2">
      <c r="C3733" s="5" t="str">
        <f>IF(B3733="","",[1]!s_dq_close(股指期货基差分析!$E$5,$B3733))</f>
        <v/>
      </c>
      <c r="D3733" s="5" t="str">
        <f>IF(B3733="","",[1]!s_dq_close(股指期货基差分析!$E$6,$B3733))</f>
        <v/>
      </c>
      <c r="E3733" s="4" t="e">
        <f ca="1">RANK(F3733,F:F)+COUNTIF(F$2:F3733,F3733)-1</f>
        <v>#VALUE!</v>
      </c>
      <c r="F3733" s="5" t="str">
        <f t="shared" si="59"/>
        <v/>
      </c>
      <c r="G3733" s="5" t="str">
        <f>IF(B3733="","",股指期货基差分析!$N$11)</f>
        <v/>
      </c>
      <c r="H3733" s="5" t="str">
        <f>IF(B3733="","",股指期货基差分析!$L$11)</f>
        <v/>
      </c>
      <c r="I3733" s="9" t="str">
        <f>IF(B3733="","",股指期货基差分析!$D$11)</f>
        <v/>
      </c>
    </row>
    <row r="3734" spans="3:9" ht="15" customHeight="1" x14ac:dyDescent="0.2">
      <c r="C3734" s="5" t="str">
        <f>IF(B3734="","",[1]!s_dq_close(股指期货基差分析!$E$5,$B3734))</f>
        <v/>
      </c>
      <c r="D3734" s="5" t="str">
        <f>IF(B3734="","",[1]!s_dq_close(股指期货基差分析!$E$6,$B3734))</f>
        <v/>
      </c>
      <c r="E3734" s="4" t="e">
        <f ca="1">RANK(F3734,F:F)+COUNTIF(F$2:F3734,F3734)-1</f>
        <v>#VALUE!</v>
      </c>
      <c r="F3734" s="5" t="str">
        <f t="shared" si="59"/>
        <v/>
      </c>
      <c r="G3734" s="5" t="str">
        <f>IF(B3734="","",股指期货基差分析!$N$11)</f>
        <v/>
      </c>
      <c r="H3734" s="5" t="str">
        <f>IF(B3734="","",股指期货基差分析!$L$11)</f>
        <v/>
      </c>
      <c r="I3734" s="9" t="str">
        <f>IF(B3734="","",股指期货基差分析!$D$11)</f>
        <v/>
      </c>
    </row>
    <row r="3735" spans="3:9" ht="15" customHeight="1" x14ac:dyDescent="0.2">
      <c r="C3735" s="5" t="str">
        <f>IF(B3735="","",[1]!s_dq_close(股指期货基差分析!$E$5,$B3735))</f>
        <v/>
      </c>
      <c r="D3735" s="5" t="str">
        <f>IF(B3735="","",[1]!s_dq_close(股指期货基差分析!$E$6,$B3735))</f>
        <v/>
      </c>
      <c r="E3735" s="4" t="e">
        <f ca="1">RANK(F3735,F:F)+COUNTIF(F$2:F3735,F3735)-1</f>
        <v>#VALUE!</v>
      </c>
      <c r="F3735" s="5" t="str">
        <f t="shared" si="59"/>
        <v/>
      </c>
      <c r="G3735" s="5" t="str">
        <f>IF(B3735="","",股指期货基差分析!$N$11)</f>
        <v/>
      </c>
      <c r="H3735" s="5" t="str">
        <f>IF(B3735="","",股指期货基差分析!$L$11)</f>
        <v/>
      </c>
      <c r="I3735" s="9" t="str">
        <f>IF(B3735="","",股指期货基差分析!$D$11)</f>
        <v/>
      </c>
    </row>
    <row r="3736" spans="3:9" ht="15" customHeight="1" x14ac:dyDescent="0.2">
      <c r="C3736" s="5" t="str">
        <f>IF(B3736="","",[1]!s_dq_close(股指期货基差分析!$E$5,$B3736))</f>
        <v/>
      </c>
      <c r="D3736" s="5" t="str">
        <f>IF(B3736="","",[1]!s_dq_close(股指期货基差分析!$E$6,$B3736))</f>
        <v/>
      </c>
      <c r="E3736" s="4" t="e">
        <f ca="1">RANK(F3736,F:F)+COUNTIF(F$2:F3736,F3736)-1</f>
        <v>#VALUE!</v>
      </c>
      <c r="F3736" s="5" t="str">
        <f t="shared" si="59"/>
        <v/>
      </c>
      <c r="G3736" s="5" t="str">
        <f>IF(B3736="","",股指期货基差分析!$N$11)</f>
        <v/>
      </c>
      <c r="H3736" s="5" t="str">
        <f>IF(B3736="","",股指期货基差分析!$L$11)</f>
        <v/>
      </c>
      <c r="I3736" s="9" t="str">
        <f>IF(B3736="","",股指期货基差分析!$D$11)</f>
        <v/>
      </c>
    </row>
    <row r="3737" spans="3:9" ht="15" customHeight="1" x14ac:dyDescent="0.2">
      <c r="C3737" s="5" t="str">
        <f>IF(B3737="","",[1]!s_dq_close(股指期货基差分析!$E$5,$B3737))</f>
        <v/>
      </c>
      <c r="D3737" s="5" t="str">
        <f>IF(B3737="","",[1]!s_dq_close(股指期货基差分析!$E$6,$B3737))</f>
        <v/>
      </c>
      <c r="E3737" s="4" t="e">
        <f ca="1">RANK(F3737,F:F)+COUNTIF(F$2:F3737,F3737)-1</f>
        <v>#VALUE!</v>
      </c>
      <c r="F3737" s="5" t="str">
        <f t="shared" si="59"/>
        <v/>
      </c>
      <c r="G3737" s="5" t="str">
        <f>IF(B3737="","",股指期货基差分析!$N$11)</f>
        <v/>
      </c>
      <c r="H3737" s="5" t="str">
        <f>IF(B3737="","",股指期货基差分析!$L$11)</f>
        <v/>
      </c>
      <c r="I3737" s="9" t="str">
        <f>IF(B3737="","",股指期货基差分析!$D$11)</f>
        <v/>
      </c>
    </row>
    <row r="3738" spans="3:9" ht="15" customHeight="1" x14ac:dyDescent="0.2">
      <c r="C3738" s="5" t="str">
        <f>IF(B3738="","",[1]!s_dq_close(股指期货基差分析!$E$5,$B3738))</f>
        <v/>
      </c>
      <c r="D3738" s="5" t="str">
        <f>IF(B3738="","",[1]!s_dq_close(股指期货基差分析!$E$6,$B3738))</f>
        <v/>
      </c>
      <c r="E3738" s="4" t="e">
        <f ca="1">RANK(F3738,F:F)+COUNTIF(F$2:F3738,F3738)-1</f>
        <v>#VALUE!</v>
      </c>
      <c r="F3738" s="5" t="str">
        <f t="shared" si="59"/>
        <v/>
      </c>
      <c r="G3738" s="5" t="str">
        <f>IF(B3738="","",股指期货基差分析!$N$11)</f>
        <v/>
      </c>
      <c r="H3738" s="5" t="str">
        <f>IF(B3738="","",股指期货基差分析!$L$11)</f>
        <v/>
      </c>
      <c r="I3738" s="9" t="str">
        <f>IF(B3738="","",股指期货基差分析!$D$11)</f>
        <v/>
      </c>
    </row>
    <row r="3739" spans="3:9" ht="15" customHeight="1" x14ac:dyDescent="0.2">
      <c r="C3739" s="5" t="str">
        <f>IF(B3739="","",[1]!s_dq_close(股指期货基差分析!$E$5,$B3739))</f>
        <v/>
      </c>
      <c r="D3739" s="5" t="str">
        <f>IF(B3739="","",[1]!s_dq_close(股指期货基差分析!$E$6,$B3739))</f>
        <v/>
      </c>
      <c r="E3739" s="4" t="e">
        <f ca="1">RANK(F3739,F:F)+COUNTIF(F$2:F3739,F3739)-1</f>
        <v>#VALUE!</v>
      </c>
      <c r="F3739" s="5" t="str">
        <f t="shared" si="59"/>
        <v/>
      </c>
      <c r="G3739" s="5" t="str">
        <f>IF(B3739="","",股指期货基差分析!$N$11)</f>
        <v/>
      </c>
      <c r="H3739" s="5" t="str">
        <f>IF(B3739="","",股指期货基差分析!$L$11)</f>
        <v/>
      </c>
      <c r="I3739" s="9" t="str">
        <f>IF(B3739="","",股指期货基差分析!$D$11)</f>
        <v/>
      </c>
    </row>
    <row r="3740" spans="3:9" ht="15" customHeight="1" x14ac:dyDescent="0.2">
      <c r="C3740" s="5" t="str">
        <f>IF(B3740="","",[1]!s_dq_close(股指期货基差分析!$E$5,$B3740))</f>
        <v/>
      </c>
      <c r="D3740" s="5" t="str">
        <f>IF(B3740="","",[1]!s_dq_close(股指期货基差分析!$E$6,$B3740))</f>
        <v/>
      </c>
      <c r="E3740" s="4" t="e">
        <f ca="1">RANK(F3740,F:F)+COUNTIF(F$2:F3740,F3740)-1</f>
        <v>#VALUE!</v>
      </c>
      <c r="F3740" s="5" t="str">
        <f t="shared" si="59"/>
        <v/>
      </c>
      <c r="G3740" s="5" t="str">
        <f>IF(B3740="","",股指期货基差分析!$N$11)</f>
        <v/>
      </c>
      <c r="H3740" s="5" t="str">
        <f>IF(B3740="","",股指期货基差分析!$L$11)</f>
        <v/>
      </c>
      <c r="I3740" s="9" t="str">
        <f>IF(B3740="","",股指期货基差分析!$D$11)</f>
        <v/>
      </c>
    </row>
    <row r="3741" spans="3:9" ht="15" customHeight="1" x14ac:dyDescent="0.2">
      <c r="C3741" s="5" t="str">
        <f>IF(B3741="","",[1]!s_dq_close(股指期货基差分析!$E$5,$B3741))</f>
        <v/>
      </c>
      <c r="D3741" s="5" t="str">
        <f>IF(B3741="","",[1]!s_dq_close(股指期货基差分析!$E$6,$B3741))</f>
        <v/>
      </c>
      <c r="E3741" s="4" t="e">
        <f ca="1">RANK(F3741,F:F)+COUNTIF(F$2:F3741,F3741)-1</f>
        <v>#VALUE!</v>
      </c>
      <c r="F3741" s="5" t="str">
        <f t="shared" si="59"/>
        <v/>
      </c>
      <c r="G3741" s="5" t="str">
        <f>IF(B3741="","",股指期货基差分析!$N$11)</f>
        <v/>
      </c>
      <c r="H3741" s="5" t="str">
        <f>IF(B3741="","",股指期货基差分析!$L$11)</f>
        <v/>
      </c>
      <c r="I3741" s="9" t="str">
        <f>IF(B3741="","",股指期货基差分析!$D$11)</f>
        <v/>
      </c>
    </row>
    <row r="3742" spans="3:9" ht="15" customHeight="1" x14ac:dyDescent="0.2">
      <c r="C3742" s="5" t="str">
        <f>IF(B3742="","",[1]!s_dq_close(股指期货基差分析!$E$5,$B3742))</f>
        <v/>
      </c>
      <c r="D3742" s="5" t="str">
        <f>IF(B3742="","",[1]!s_dq_close(股指期货基差分析!$E$6,$B3742))</f>
        <v/>
      </c>
      <c r="E3742" s="4" t="e">
        <f ca="1">RANK(F3742,F:F)+COUNTIF(F$2:F3742,F3742)-1</f>
        <v>#VALUE!</v>
      </c>
      <c r="F3742" s="5" t="str">
        <f t="shared" si="59"/>
        <v/>
      </c>
      <c r="G3742" s="5" t="str">
        <f>IF(B3742="","",股指期货基差分析!$N$11)</f>
        <v/>
      </c>
      <c r="H3742" s="5" t="str">
        <f>IF(B3742="","",股指期货基差分析!$L$11)</f>
        <v/>
      </c>
      <c r="I3742" s="9" t="str">
        <f>IF(B3742="","",股指期货基差分析!$D$11)</f>
        <v/>
      </c>
    </row>
    <row r="3743" spans="3:9" ht="15" customHeight="1" x14ac:dyDescent="0.2">
      <c r="C3743" s="5" t="str">
        <f>IF(B3743="","",[1]!s_dq_close(股指期货基差分析!$E$5,$B3743))</f>
        <v/>
      </c>
      <c r="D3743" s="5" t="str">
        <f>IF(B3743="","",[1]!s_dq_close(股指期货基差分析!$E$6,$B3743))</f>
        <v/>
      </c>
      <c r="E3743" s="4" t="e">
        <f ca="1">RANK(F3743,F:F)+COUNTIF(F$2:F3743,F3743)-1</f>
        <v>#VALUE!</v>
      </c>
      <c r="F3743" s="5" t="str">
        <f t="shared" si="59"/>
        <v/>
      </c>
      <c r="G3743" s="5" t="str">
        <f>IF(B3743="","",股指期货基差分析!$N$11)</f>
        <v/>
      </c>
      <c r="H3743" s="5" t="str">
        <f>IF(B3743="","",股指期货基差分析!$L$11)</f>
        <v/>
      </c>
      <c r="I3743" s="9" t="str">
        <f>IF(B3743="","",股指期货基差分析!$D$11)</f>
        <v/>
      </c>
    </row>
    <row r="3744" spans="3:9" ht="15" customHeight="1" x14ac:dyDescent="0.2">
      <c r="C3744" s="5" t="str">
        <f>IF(B3744="","",[1]!s_dq_close(股指期货基差分析!$E$5,$B3744))</f>
        <v/>
      </c>
      <c r="D3744" s="5" t="str">
        <f>IF(B3744="","",[1]!s_dq_close(股指期货基差分析!$E$6,$B3744))</f>
        <v/>
      </c>
      <c r="E3744" s="4" t="e">
        <f ca="1">RANK(F3744,F:F)+COUNTIF(F$2:F3744,F3744)-1</f>
        <v>#VALUE!</v>
      </c>
      <c r="F3744" s="5" t="str">
        <f t="shared" si="59"/>
        <v/>
      </c>
      <c r="G3744" s="5" t="str">
        <f>IF(B3744="","",股指期货基差分析!$N$11)</f>
        <v/>
      </c>
      <c r="H3744" s="5" t="str">
        <f>IF(B3744="","",股指期货基差分析!$L$11)</f>
        <v/>
      </c>
      <c r="I3744" s="9" t="str">
        <f>IF(B3744="","",股指期货基差分析!$D$11)</f>
        <v/>
      </c>
    </row>
    <row r="3745" spans="3:9" ht="15" customHeight="1" x14ac:dyDescent="0.2">
      <c r="C3745" s="5" t="str">
        <f>IF(B3745="","",[1]!s_dq_close(股指期货基差分析!$E$5,$B3745))</f>
        <v/>
      </c>
      <c r="D3745" s="5" t="str">
        <f>IF(B3745="","",[1]!s_dq_close(股指期货基差分析!$E$6,$B3745))</f>
        <v/>
      </c>
      <c r="E3745" s="4" t="e">
        <f ca="1">RANK(F3745,F:F)+COUNTIF(F$2:F3745,F3745)-1</f>
        <v>#VALUE!</v>
      </c>
      <c r="F3745" s="5" t="str">
        <f t="shared" si="59"/>
        <v/>
      </c>
      <c r="G3745" s="5" t="str">
        <f>IF(B3745="","",股指期货基差分析!$N$11)</f>
        <v/>
      </c>
      <c r="H3745" s="5" t="str">
        <f>IF(B3745="","",股指期货基差分析!$L$11)</f>
        <v/>
      </c>
      <c r="I3745" s="9" t="str">
        <f>IF(B3745="","",股指期货基差分析!$D$11)</f>
        <v/>
      </c>
    </row>
    <row r="3746" spans="3:9" ht="15" customHeight="1" x14ac:dyDescent="0.2">
      <c r="C3746" s="5" t="str">
        <f>IF(B3746="","",[1]!s_dq_close(股指期货基差分析!$E$5,$B3746))</f>
        <v/>
      </c>
      <c r="D3746" s="5" t="str">
        <f>IF(B3746="","",[1]!s_dq_close(股指期货基差分析!$E$6,$B3746))</f>
        <v/>
      </c>
      <c r="E3746" s="4" t="e">
        <f ca="1">RANK(F3746,F:F)+COUNTIF(F$2:F3746,F3746)-1</f>
        <v>#VALUE!</v>
      </c>
      <c r="F3746" s="5" t="str">
        <f t="shared" si="59"/>
        <v/>
      </c>
      <c r="G3746" s="5" t="str">
        <f>IF(B3746="","",股指期货基差分析!$N$11)</f>
        <v/>
      </c>
      <c r="H3746" s="5" t="str">
        <f>IF(B3746="","",股指期货基差分析!$L$11)</f>
        <v/>
      </c>
      <c r="I3746" s="9" t="str">
        <f>IF(B3746="","",股指期货基差分析!$D$11)</f>
        <v/>
      </c>
    </row>
    <row r="3747" spans="3:9" ht="15" customHeight="1" x14ac:dyDescent="0.2">
      <c r="C3747" s="5" t="str">
        <f>IF(B3747="","",[1]!s_dq_close(股指期货基差分析!$E$5,$B3747))</f>
        <v/>
      </c>
      <c r="D3747" s="5" t="str">
        <f>IF(B3747="","",[1]!s_dq_close(股指期货基差分析!$E$6,$B3747))</f>
        <v/>
      </c>
      <c r="E3747" s="4" t="e">
        <f ca="1">RANK(F3747,F:F)+COUNTIF(F$2:F3747,F3747)-1</f>
        <v>#VALUE!</v>
      </c>
      <c r="F3747" s="5" t="str">
        <f t="shared" si="59"/>
        <v/>
      </c>
      <c r="G3747" s="5" t="str">
        <f>IF(B3747="","",股指期货基差分析!$N$11)</f>
        <v/>
      </c>
      <c r="H3747" s="5" t="str">
        <f>IF(B3747="","",股指期货基差分析!$L$11)</f>
        <v/>
      </c>
      <c r="I3747" s="9" t="str">
        <f>IF(B3747="","",股指期货基差分析!$D$11)</f>
        <v/>
      </c>
    </row>
    <row r="3748" spans="3:9" ht="15" customHeight="1" x14ac:dyDescent="0.2">
      <c r="C3748" s="5" t="str">
        <f>IF(B3748="","",[1]!s_dq_close(股指期货基差分析!$E$5,$B3748))</f>
        <v/>
      </c>
      <c r="D3748" s="5" t="str">
        <f>IF(B3748="","",[1]!s_dq_close(股指期货基差分析!$E$6,$B3748))</f>
        <v/>
      </c>
      <c r="E3748" s="4" t="e">
        <f ca="1">RANK(F3748,F:F)+COUNTIF(F$2:F3748,F3748)-1</f>
        <v>#VALUE!</v>
      </c>
      <c r="F3748" s="5" t="str">
        <f t="shared" si="59"/>
        <v/>
      </c>
      <c r="G3748" s="5" t="str">
        <f>IF(B3748="","",股指期货基差分析!$N$11)</f>
        <v/>
      </c>
      <c r="H3748" s="5" t="str">
        <f>IF(B3748="","",股指期货基差分析!$L$11)</f>
        <v/>
      </c>
      <c r="I3748" s="9" t="str">
        <f>IF(B3748="","",股指期货基差分析!$D$11)</f>
        <v/>
      </c>
    </row>
    <row r="3749" spans="3:9" ht="15" customHeight="1" x14ac:dyDescent="0.2">
      <c r="C3749" s="5" t="str">
        <f>IF(B3749="","",[1]!s_dq_close(股指期货基差分析!$E$5,$B3749))</f>
        <v/>
      </c>
      <c r="D3749" s="5" t="str">
        <f>IF(B3749="","",[1]!s_dq_close(股指期货基差分析!$E$6,$B3749))</f>
        <v/>
      </c>
      <c r="E3749" s="4" t="e">
        <f ca="1">RANK(F3749,F:F)+COUNTIF(F$2:F3749,F3749)-1</f>
        <v>#VALUE!</v>
      </c>
      <c r="F3749" s="5" t="str">
        <f t="shared" si="59"/>
        <v/>
      </c>
      <c r="G3749" s="5" t="str">
        <f>IF(B3749="","",股指期货基差分析!$N$11)</f>
        <v/>
      </c>
      <c r="H3749" s="5" t="str">
        <f>IF(B3749="","",股指期货基差分析!$L$11)</f>
        <v/>
      </c>
      <c r="I3749" s="9" t="str">
        <f>IF(B3749="","",股指期货基差分析!$D$11)</f>
        <v/>
      </c>
    </row>
    <row r="3750" spans="3:9" ht="15" customHeight="1" x14ac:dyDescent="0.2">
      <c r="C3750" s="5" t="str">
        <f>IF(B3750="","",[1]!s_dq_close(股指期货基差分析!$E$5,$B3750))</f>
        <v/>
      </c>
      <c r="D3750" s="5" t="str">
        <f>IF(B3750="","",[1]!s_dq_close(股指期货基差分析!$E$6,$B3750))</f>
        <v/>
      </c>
      <c r="E3750" s="4" t="e">
        <f ca="1">RANK(F3750,F:F)+COUNTIF(F$2:F3750,F3750)-1</f>
        <v>#VALUE!</v>
      </c>
      <c r="F3750" s="5" t="str">
        <f t="shared" si="59"/>
        <v/>
      </c>
      <c r="G3750" s="5" t="str">
        <f>IF(B3750="","",股指期货基差分析!$N$11)</f>
        <v/>
      </c>
      <c r="H3750" s="5" t="str">
        <f>IF(B3750="","",股指期货基差分析!$L$11)</f>
        <v/>
      </c>
      <c r="I3750" s="9" t="str">
        <f>IF(B3750="","",股指期货基差分析!$D$11)</f>
        <v/>
      </c>
    </row>
    <row r="3751" spans="3:9" ht="15" customHeight="1" x14ac:dyDescent="0.2">
      <c r="C3751" s="5" t="str">
        <f>IF(B3751="","",[1]!s_dq_close(股指期货基差分析!$E$5,$B3751))</f>
        <v/>
      </c>
      <c r="D3751" s="5" t="str">
        <f>IF(B3751="","",[1]!s_dq_close(股指期货基差分析!$E$6,$B3751))</f>
        <v/>
      </c>
      <c r="E3751" s="4" t="e">
        <f ca="1">RANK(F3751,F:F)+COUNTIF(F$2:F3751,F3751)-1</f>
        <v>#VALUE!</v>
      </c>
      <c r="F3751" s="5" t="str">
        <f t="shared" si="59"/>
        <v/>
      </c>
      <c r="G3751" s="5" t="str">
        <f>IF(B3751="","",股指期货基差分析!$N$11)</f>
        <v/>
      </c>
      <c r="H3751" s="5" t="str">
        <f>IF(B3751="","",股指期货基差分析!$L$11)</f>
        <v/>
      </c>
      <c r="I3751" s="9" t="str">
        <f>IF(B3751="","",股指期货基差分析!$D$11)</f>
        <v/>
      </c>
    </row>
    <row r="3752" spans="3:9" ht="15" customHeight="1" x14ac:dyDescent="0.2">
      <c r="C3752" s="5" t="str">
        <f>IF(B3752="","",[1]!s_dq_close(股指期货基差分析!$E$5,$B3752))</f>
        <v/>
      </c>
      <c r="D3752" s="5" t="str">
        <f>IF(B3752="","",[1]!s_dq_close(股指期货基差分析!$E$6,$B3752))</f>
        <v/>
      </c>
      <c r="E3752" s="4" t="e">
        <f ca="1">RANK(F3752,F:F)+COUNTIF(F$2:F3752,F3752)-1</f>
        <v>#VALUE!</v>
      </c>
      <c r="F3752" s="5" t="str">
        <f t="shared" si="59"/>
        <v/>
      </c>
      <c r="G3752" s="5" t="str">
        <f>IF(B3752="","",股指期货基差分析!$N$11)</f>
        <v/>
      </c>
      <c r="H3752" s="5" t="str">
        <f>IF(B3752="","",股指期货基差分析!$L$11)</f>
        <v/>
      </c>
      <c r="I3752" s="9" t="str">
        <f>IF(B3752="","",股指期货基差分析!$D$11)</f>
        <v/>
      </c>
    </row>
    <row r="3753" spans="3:9" ht="15" customHeight="1" x14ac:dyDescent="0.2">
      <c r="C3753" s="5" t="str">
        <f>IF(B3753="","",[1]!s_dq_close(股指期货基差分析!$E$5,$B3753))</f>
        <v/>
      </c>
      <c r="D3753" s="5" t="str">
        <f>IF(B3753="","",[1]!s_dq_close(股指期货基差分析!$E$6,$B3753))</f>
        <v/>
      </c>
      <c r="E3753" s="4" t="e">
        <f ca="1">RANK(F3753,F:F)+COUNTIF(F$2:F3753,F3753)-1</f>
        <v>#VALUE!</v>
      </c>
      <c r="F3753" s="5" t="str">
        <f t="shared" si="59"/>
        <v/>
      </c>
      <c r="G3753" s="5" t="str">
        <f>IF(B3753="","",股指期货基差分析!$N$11)</f>
        <v/>
      </c>
      <c r="H3753" s="5" t="str">
        <f>IF(B3753="","",股指期货基差分析!$L$11)</f>
        <v/>
      </c>
      <c r="I3753" s="9" t="str">
        <f>IF(B3753="","",股指期货基差分析!$D$11)</f>
        <v/>
      </c>
    </row>
    <row r="3754" spans="3:9" ht="15" customHeight="1" x14ac:dyDescent="0.2">
      <c r="C3754" s="5" t="str">
        <f>IF(B3754="","",[1]!s_dq_close(股指期货基差分析!$E$5,$B3754))</f>
        <v/>
      </c>
      <c r="D3754" s="5" t="str">
        <f>IF(B3754="","",[1]!s_dq_close(股指期货基差分析!$E$6,$B3754))</f>
        <v/>
      </c>
      <c r="E3754" s="4" t="e">
        <f ca="1">RANK(F3754,F:F)+COUNTIF(F$2:F3754,F3754)-1</f>
        <v>#VALUE!</v>
      </c>
      <c r="F3754" s="5" t="str">
        <f t="shared" si="59"/>
        <v/>
      </c>
      <c r="G3754" s="5" t="str">
        <f>IF(B3754="","",股指期货基差分析!$N$11)</f>
        <v/>
      </c>
      <c r="H3754" s="5" t="str">
        <f>IF(B3754="","",股指期货基差分析!$L$11)</f>
        <v/>
      </c>
      <c r="I3754" s="9" t="str">
        <f>IF(B3754="","",股指期货基差分析!$D$11)</f>
        <v/>
      </c>
    </row>
    <row r="3755" spans="3:9" ht="15" customHeight="1" x14ac:dyDescent="0.2">
      <c r="C3755" s="5" t="str">
        <f>IF(B3755="","",[1]!s_dq_close(股指期货基差分析!$E$5,$B3755))</f>
        <v/>
      </c>
      <c r="D3755" s="5" t="str">
        <f>IF(B3755="","",[1]!s_dq_close(股指期货基差分析!$E$6,$B3755))</f>
        <v/>
      </c>
      <c r="E3755" s="4" t="e">
        <f ca="1">RANK(F3755,F:F)+COUNTIF(F$2:F3755,F3755)-1</f>
        <v>#VALUE!</v>
      </c>
      <c r="F3755" s="5" t="str">
        <f t="shared" si="59"/>
        <v/>
      </c>
      <c r="G3755" s="5" t="str">
        <f>IF(B3755="","",股指期货基差分析!$N$11)</f>
        <v/>
      </c>
      <c r="H3755" s="5" t="str">
        <f>IF(B3755="","",股指期货基差分析!$L$11)</f>
        <v/>
      </c>
      <c r="I3755" s="9" t="str">
        <f>IF(B3755="","",股指期货基差分析!$D$11)</f>
        <v/>
      </c>
    </row>
    <row r="3756" spans="3:9" ht="15" customHeight="1" x14ac:dyDescent="0.2">
      <c r="C3756" s="5" t="str">
        <f>IF(B3756="","",[1]!s_dq_close(股指期货基差分析!$E$5,$B3756))</f>
        <v/>
      </c>
      <c r="D3756" s="5" t="str">
        <f>IF(B3756="","",[1]!s_dq_close(股指期货基差分析!$E$6,$B3756))</f>
        <v/>
      </c>
      <c r="E3756" s="4" t="e">
        <f ca="1">RANK(F3756,F:F)+COUNTIF(F$2:F3756,F3756)-1</f>
        <v>#VALUE!</v>
      </c>
      <c r="F3756" s="5" t="str">
        <f t="shared" si="59"/>
        <v/>
      </c>
      <c r="G3756" s="5" t="str">
        <f>IF(B3756="","",股指期货基差分析!$N$11)</f>
        <v/>
      </c>
      <c r="H3756" s="5" t="str">
        <f>IF(B3756="","",股指期货基差分析!$L$11)</f>
        <v/>
      </c>
      <c r="I3756" s="9" t="str">
        <f>IF(B3756="","",股指期货基差分析!$D$11)</f>
        <v/>
      </c>
    </row>
    <row r="3757" spans="3:9" ht="15" customHeight="1" x14ac:dyDescent="0.2">
      <c r="C3757" s="5" t="str">
        <f>IF(B3757="","",[1]!s_dq_close(股指期货基差分析!$E$5,$B3757))</f>
        <v/>
      </c>
      <c r="D3757" s="5" t="str">
        <f>IF(B3757="","",[1]!s_dq_close(股指期货基差分析!$E$6,$B3757))</f>
        <v/>
      </c>
      <c r="E3757" s="4" t="e">
        <f ca="1">RANK(F3757,F:F)+COUNTIF(F$2:F3757,F3757)-1</f>
        <v>#VALUE!</v>
      </c>
      <c r="F3757" s="5" t="str">
        <f t="shared" si="59"/>
        <v/>
      </c>
      <c r="G3757" s="5" t="str">
        <f>IF(B3757="","",股指期货基差分析!$N$11)</f>
        <v/>
      </c>
      <c r="H3757" s="5" t="str">
        <f>IF(B3757="","",股指期货基差分析!$L$11)</f>
        <v/>
      </c>
      <c r="I3757" s="9" t="str">
        <f>IF(B3757="","",股指期货基差分析!$D$11)</f>
        <v/>
      </c>
    </row>
    <row r="3758" spans="3:9" ht="15" customHeight="1" x14ac:dyDescent="0.2">
      <c r="C3758" s="5" t="str">
        <f>IF(B3758="","",[1]!s_dq_close(股指期货基差分析!$E$5,$B3758))</f>
        <v/>
      </c>
      <c r="D3758" s="5" t="str">
        <f>IF(B3758="","",[1]!s_dq_close(股指期货基差分析!$E$6,$B3758))</f>
        <v/>
      </c>
      <c r="E3758" s="4" t="e">
        <f ca="1">RANK(F3758,F:F)+COUNTIF(F$2:F3758,F3758)-1</f>
        <v>#VALUE!</v>
      </c>
      <c r="F3758" s="5" t="str">
        <f t="shared" si="59"/>
        <v/>
      </c>
      <c r="G3758" s="5" t="str">
        <f>IF(B3758="","",股指期货基差分析!$N$11)</f>
        <v/>
      </c>
      <c r="H3758" s="5" t="str">
        <f>IF(B3758="","",股指期货基差分析!$L$11)</f>
        <v/>
      </c>
      <c r="I3758" s="9" t="str">
        <f>IF(B3758="","",股指期货基差分析!$D$11)</f>
        <v/>
      </c>
    </row>
    <row r="3759" spans="3:9" ht="15" customHeight="1" x14ac:dyDescent="0.2">
      <c r="C3759" s="5" t="str">
        <f>IF(B3759="","",[1]!s_dq_close(股指期货基差分析!$E$5,$B3759))</f>
        <v/>
      </c>
      <c r="D3759" s="5" t="str">
        <f>IF(B3759="","",[1]!s_dq_close(股指期货基差分析!$E$6,$B3759))</f>
        <v/>
      </c>
      <c r="E3759" s="4" t="e">
        <f ca="1">RANK(F3759,F:F)+COUNTIF(F$2:F3759,F3759)-1</f>
        <v>#VALUE!</v>
      </c>
      <c r="F3759" s="5" t="str">
        <f t="shared" si="59"/>
        <v/>
      </c>
      <c r="G3759" s="5" t="str">
        <f>IF(B3759="","",股指期货基差分析!$N$11)</f>
        <v/>
      </c>
      <c r="H3759" s="5" t="str">
        <f>IF(B3759="","",股指期货基差分析!$L$11)</f>
        <v/>
      </c>
      <c r="I3759" s="9" t="str">
        <f>IF(B3759="","",股指期货基差分析!$D$11)</f>
        <v/>
      </c>
    </row>
    <row r="3760" spans="3:9" ht="15" customHeight="1" x14ac:dyDescent="0.2">
      <c r="C3760" s="5" t="str">
        <f>IF(B3760="","",[1]!s_dq_close(股指期货基差分析!$E$5,$B3760))</f>
        <v/>
      </c>
      <c r="D3760" s="5" t="str">
        <f>IF(B3760="","",[1]!s_dq_close(股指期货基差分析!$E$6,$B3760))</f>
        <v/>
      </c>
      <c r="E3760" s="4" t="e">
        <f ca="1">RANK(F3760,F:F)+COUNTIF(F$2:F3760,F3760)-1</f>
        <v>#VALUE!</v>
      </c>
      <c r="F3760" s="5" t="str">
        <f t="shared" si="59"/>
        <v/>
      </c>
      <c r="G3760" s="5" t="str">
        <f>IF(B3760="","",股指期货基差分析!$N$11)</f>
        <v/>
      </c>
      <c r="H3760" s="5" t="str">
        <f>IF(B3760="","",股指期货基差分析!$L$11)</f>
        <v/>
      </c>
      <c r="I3760" s="9" t="str">
        <f>IF(B3760="","",股指期货基差分析!$D$11)</f>
        <v/>
      </c>
    </row>
    <row r="3761" spans="3:9" ht="15" customHeight="1" x14ac:dyDescent="0.2">
      <c r="C3761" s="5" t="str">
        <f>IF(B3761="","",[1]!s_dq_close(股指期货基差分析!$E$5,$B3761))</f>
        <v/>
      </c>
      <c r="D3761" s="5" t="str">
        <f>IF(B3761="","",[1]!s_dq_close(股指期货基差分析!$E$6,$B3761))</f>
        <v/>
      </c>
      <c r="E3761" s="4" t="e">
        <f ca="1">RANK(F3761,F:F)+COUNTIF(F$2:F3761,F3761)-1</f>
        <v>#VALUE!</v>
      </c>
      <c r="F3761" s="5" t="str">
        <f t="shared" si="59"/>
        <v/>
      </c>
      <c r="G3761" s="5" t="str">
        <f>IF(B3761="","",股指期货基差分析!$N$11)</f>
        <v/>
      </c>
      <c r="H3761" s="5" t="str">
        <f>IF(B3761="","",股指期货基差分析!$L$11)</f>
        <v/>
      </c>
      <c r="I3761" s="9" t="str">
        <f>IF(B3761="","",股指期货基差分析!$D$11)</f>
        <v/>
      </c>
    </row>
    <row r="3762" spans="3:9" ht="15" customHeight="1" x14ac:dyDescent="0.2">
      <c r="C3762" s="5" t="str">
        <f>IF(B3762="","",[1]!s_dq_close(股指期货基差分析!$E$5,$B3762))</f>
        <v/>
      </c>
      <c r="D3762" s="5" t="str">
        <f>IF(B3762="","",[1]!s_dq_close(股指期货基差分析!$E$6,$B3762))</f>
        <v/>
      </c>
      <c r="E3762" s="4" t="e">
        <f ca="1">RANK(F3762,F:F)+COUNTIF(F$2:F3762,F3762)-1</f>
        <v>#VALUE!</v>
      </c>
      <c r="F3762" s="5" t="str">
        <f t="shared" si="59"/>
        <v/>
      </c>
      <c r="G3762" s="5" t="str">
        <f>IF(B3762="","",股指期货基差分析!$N$11)</f>
        <v/>
      </c>
      <c r="H3762" s="5" t="str">
        <f>IF(B3762="","",股指期货基差分析!$L$11)</f>
        <v/>
      </c>
      <c r="I3762" s="9" t="str">
        <f>IF(B3762="","",股指期货基差分析!$D$11)</f>
        <v/>
      </c>
    </row>
    <row r="3763" spans="3:9" ht="15" customHeight="1" x14ac:dyDescent="0.2">
      <c r="C3763" s="5" t="str">
        <f>IF(B3763="","",[1]!s_dq_close(股指期货基差分析!$E$5,$B3763))</f>
        <v/>
      </c>
      <c r="D3763" s="5" t="str">
        <f>IF(B3763="","",[1]!s_dq_close(股指期货基差分析!$E$6,$B3763))</f>
        <v/>
      </c>
      <c r="E3763" s="4" t="e">
        <f ca="1">RANK(F3763,F:F)+COUNTIF(F$2:F3763,F3763)-1</f>
        <v>#VALUE!</v>
      </c>
      <c r="F3763" s="5" t="str">
        <f t="shared" si="59"/>
        <v/>
      </c>
      <c r="G3763" s="5" t="str">
        <f>IF(B3763="","",股指期货基差分析!$N$11)</f>
        <v/>
      </c>
      <c r="H3763" s="5" t="str">
        <f>IF(B3763="","",股指期货基差分析!$L$11)</f>
        <v/>
      </c>
      <c r="I3763" s="9" t="str">
        <f>IF(B3763="","",股指期货基差分析!$D$11)</f>
        <v/>
      </c>
    </row>
    <row r="3764" spans="3:9" ht="15" customHeight="1" x14ac:dyDescent="0.2">
      <c r="C3764" s="5" t="str">
        <f>IF(B3764="","",[1]!s_dq_close(股指期货基差分析!$E$5,$B3764))</f>
        <v/>
      </c>
      <c r="D3764" s="5" t="str">
        <f>IF(B3764="","",[1]!s_dq_close(股指期货基差分析!$E$6,$B3764))</f>
        <v/>
      </c>
      <c r="E3764" s="4" t="e">
        <f ca="1">RANK(F3764,F:F)+COUNTIF(F$2:F3764,F3764)-1</f>
        <v>#VALUE!</v>
      </c>
      <c r="F3764" s="5" t="str">
        <f t="shared" si="59"/>
        <v/>
      </c>
      <c r="G3764" s="5" t="str">
        <f>IF(B3764="","",股指期货基差分析!$N$11)</f>
        <v/>
      </c>
      <c r="H3764" s="5" t="str">
        <f>IF(B3764="","",股指期货基差分析!$L$11)</f>
        <v/>
      </c>
      <c r="I3764" s="9" t="str">
        <f>IF(B3764="","",股指期货基差分析!$D$11)</f>
        <v/>
      </c>
    </row>
    <row r="3765" spans="3:9" ht="15" customHeight="1" x14ac:dyDescent="0.2">
      <c r="C3765" s="5" t="str">
        <f>IF(B3765="","",[1]!s_dq_close(股指期货基差分析!$E$5,$B3765))</f>
        <v/>
      </c>
      <c r="D3765" s="5" t="str">
        <f>IF(B3765="","",[1]!s_dq_close(股指期货基差分析!$E$6,$B3765))</f>
        <v/>
      </c>
      <c r="E3765" s="4" t="e">
        <f ca="1">RANK(F3765,F:F)+COUNTIF(F$2:F3765,F3765)-1</f>
        <v>#VALUE!</v>
      </c>
      <c r="F3765" s="5" t="str">
        <f t="shared" si="59"/>
        <v/>
      </c>
      <c r="G3765" s="5" t="str">
        <f>IF(B3765="","",股指期货基差分析!$N$11)</f>
        <v/>
      </c>
      <c r="H3765" s="5" t="str">
        <f>IF(B3765="","",股指期货基差分析!$L$11)</f>
        <v/>
      </c>
      <c r="I3765" s="9" t="str">
        <f>IF(B3765="","",股指期货基差分析!$D$11)</f>
        <v/>
      </c>
    </row>
    <row r="3766" spans="3:9" ht="15" customHeight="1" x14ac:dyDescent="0.2">
      <c r="C3766" s="5" t="str">
        <f>IF(B3766="","",[1]!s_dq_close(股指期货基差分析!$E$5,$B3766))</f>
        <v/>
      </c>
      <c r="D3766" s="5" t="str">
        <f>IF(B3766="","",[1]!s_dq_close(股指期货基差分析!$E$6,$B3766))</f>
        <v/>
      </c>
      <c r="E3766" s="4" t="e">
        <f ca="1">RANK(F3766,F:F)+COUNTIF(F$2:F3766,F3766)-1</f>
        <v>#VALUE!</v>
      </c>
      <c r="F3766" s="5" t="str">
        <f t="shared" si="59"/>
        <v/>
      </c>
      <c r="G3766" s="5" t="str">
        <f>IF(B3766="","",股指期货基差分析!$N$11)</f>
        <v/>
      </c>
      <c r="H3766" s="5" t="str">
        <f>IF(B3766="","",股指期货基差分析!$L$11)</f>
        <v/>
      </c>
      <c r="I3766" s="9" t="str">
        <f>IF(B3766="","",股指期货基差分析!$D$11)</f>
        <v/>
      </c>
    </row>
    <row r="3767" spans="3:9" ht="15" customHeight="1" x14ac:dyDescent="0.2">
      <c r="C3767" s="5" t="str">
        <f>IF(B3767="","",[1]!s_dq_close(股指期货基差分析!$E$5,$B3767))</f>
        <v/>
      </c>
      <c r="D3767" s="5" t="str">
        <f>IF(B3767="","",[1]!s_dq_close(股指期货基差分析!$E$6,$B3767))</f>
        <v/>
      </c>
      <c r="E3767" s="4" t="e">
        <f ca="1">RANK(F3767,F:F)+COUNTIF(F$2:F3767,F3767)-1</f>
        <v>#VALUE!</v>
      </c>
      <c r="F3767" s="5" t="str">
        <f t="shared" si="59"/>
        <v/>
      </c>
      <c r="G3767" s="5" t="str">
        <f>IF(B3767="","",股指期货基差分析!$N$11)</f>
        <v/>
      </c>
      <c r="H3767" s="5" t="str">
        <f>IF(B3767="","",股指期货基差分析!$L$11)</f>
        <v/>
      </c>
      <c r="I3767" s="9" t="str">
        <f>IF(B3767="","",股指期货基差分析!$D$11)</f>
        <v/>
      </c>
    </row>
    <row r="3768" spans="3:9" ht="15" customHeight="1" x14ac:dyDescent="0.2">
      <c r="C3768" s="5" t="str">
        <f>IF(B3768="","",[1]!s_dq_close(股指期货基差分析!$E$5,$B3768))</f>
        <v/>
      </c>
      <c r="D3768" s="5" t="str">
        <f>IF(B3768="","",[1]!s_dq_close(股指期货基差分析!$E$6,$B3768))</f>
        <v/>
      </c>
      <c r="E3768" s="4" t="e">
        <f ca="1">RANK(F3768,F:F)+COUNTIF(F$2:F3768,F3768)-1</f>
        <v>#VALUE!</v>
      </c>
      <c r="F3768" s="5" t="str">
        <f t="shared" si="59"/>
        <v/>
      </c>
      <c r="G3768" s="5" t="str">
        <f>IF(B3768="","",股指期货基差分析!$N$11)</f>
        <v/>
      </c>
      <c r="H3768" s="5" t="str">
        <f>IF(B3768="","",股指期货基差分析!$L$11)</f>
        <v/>
      </c>
      <c r="I3768" s="9" t="str">
        <f>IF(B3768="","",股指期货基差分析!$D$11)</f>
        <v/>
      </c>
    </row>
    <row r="3769" spans="3:9" ht="15" customHeight="1" x14ac:dyDescent="0.2">
      <c r="C3769" s="5" t="str">
        <f>IF(B3769="","",[1]!s_dq_close(股指期货基差分析!$E$5,$B3769))</f>
        <v/>
      </c>
      <c r="D3769" s="5" t="str">
        <f>IF(B3769="","",[1]!s_dq_close(股指期货基差分析!$E$6,$B3769))</f>
        <v/>
      </c>
      <c r="E3769" s="4" t="e">
        <f ca="1">RANK(F3769,F:F)+COUNTIF(F$2:F3769,F3769)-1</f>
        <v>#VALUE!</v>
      </c>
      <c r="F3769" s="5" t="str">
        <f t="shared" si="59"/>
        <v/>
      </c>
      <c r="G3769" s="5" t="str">
        <f>IF(B3769="","",股指期货基差分析!$N$11)</f>
        <v/>
      </c>
      <c r="H3769" s="5" t="str">
        <f>IF(B3769="","",股指期货基差分析!$L$11)</f>
        <v/>
      </c>
      <c r="I3769" s="9" t="str">
        <f>IF(B3769="","",股指期货基差分析!$D$11)</f>
        <v/>
      </c>
    </row>
    <row r="3770" spans="3:9" ht="15" customHeight="1" x14ac:dyDescent="0.2">
      <c r="C3770" s="5" t="str">
        <f>IF(B3770="","",[1]!s_dq_close(股指期货基差分析!$E$5,$B3770))</f>
        <v/>
      </c>
      <c r="D3770" s="5" t="str">
        <f>IF(B3770="","",[1]!s_dq_close(股指期货基差分析!$E$6,$B3770))</f>
        <v/>
      </c>
      <c r="E3770" s="4" t="e">
        <f ca="1">RANK(F3770,F:F)+COUNTIF(F$2:F3770,F3770)-1</f>
        <v>#VALUE!</v>
      </c>
      <c r="F3770" s="5" t="str">
        <f t="shared" si="59"/>
        <v/>
      </c>
      <c r="G3770" s="5" t="str">
        <f>IF(B3770="","",股指期货基差分析!$N$11)</f>
        <v/>
      </c>
      <c r="H3770" s="5" t="str">
        <f>IF(B3770="","",股指期货基差分析!$L$11)</f>
        <v/>
      </c>
      <c r="I3770" s="9" t="str">
        <f>IF(B3770="","",股指期货基差分析!$D$11)</f>
        <v/>
      </c>
    </row>
    <row r="3771" spans="3:9" ht="15" customHeight="1" x14ac:dyDescent="0.2">
      <c r="C3771" s="5" t="str">
        <f>IF(B3771="","",[1]!s_dq_close(股指期货基差分析!$E$5,$B3771))</f>
        <v/>
      </c>
      <c r="D3771" s="5" t="str">
        <f>IF(B3771="","",[1]!s_dq_close(股指期货基差分析!$E$6,$B3771))</f>
        <v/>
      </c>
      <c r="E3771" s="4" t="e">
        <f ca="1">RANK(F3771,F:F)+COUNTIF(F$2:F3771,F3771)-1</f>
        <v>#VALUE!</v>
      </c>
      <c r="F3771" s="5" t="str">
        <f t="shared" si="59"/>
        <v/>
      </c>
      <c r="G3771" s="5" t="str">
        <f>IF(B3771="","",股指期货基差分析!$N$11)</f>
        <v/>
      </c>
      <c r="H3771" s="5" t="str">
        <f>IF(B3771="","",股指期货基差分析!$L$11)</f>
        <v/>
      </c>
      <c r="I3771" s="9" t="str">
        <f>IF(B3771="","",股指期货基差分析!$D$11)</f>
        <v/>
      </c>
    </row>
    <row r="3772" spans="3:9" ht="15" customHeight="1" x14ac:dyDescent="0.2">
      <c r="C3772" s="5" t="str">
        <f>IF(B3772="","",[1]!s_dq_close(股指期货基差分析!$E$5,$B3772))</f>
        <v/>
      </c>
      <c r="D3772" s="5" t="str">
        <f>IF(B3772="","",[1]!s_dq_close(股指期货基差分析!$E$6,$B3772))</f>
        <v/>
      </c>
      <c r="E3772" s="4" t="e">
        <f ca="1">RANK(F3772,F:F)+COUNTIF(F$2:F3772,F3772)-1</f>
        <v>#VALUE!</v>
      </c>
      <c r="F3772" s="5" t="str">
        <f t="shared" si="59"/>
        <v/>
      </c>
      <c r="G3772" s="5" t="str">
        <f>IF(B3772="","",股指期货基差分析!$N$11)</f>
        <v/>
      </c>
      <c r="H3772" s="5" t="str">
        <f>IF(B3772="","",股指期货基差分析!$L$11)</f>
        <v/>
      </c>
      <c r="I3772" s="9" t="str">
        <f>IF(B3772="","",股指期货基差分析!$D$11)</f>
        <v/>
      </c>
    </row>
    <row r="3773" spans="3:9" ht="15" customHeight="1" x14ac:dyDescent="0.2">
      <c r="C3773" s="5" t="str">
        <f>IF(B3773="","",[1]!s_dq_close(股指期货基差分析!$E$5,$B3773))</f>
        <v/>
      </c>
      <c r="D3773" s="5" t="str">
        <f>IF(B3773="","",[1]!s_dq_close(股指期货基差分析!$E$6,$B3773))</f>
        <v/>
      </c>
      <c r="E3773" s="4" t="e">
        <f ca="1">RANK(F3773,F:F)+COUNTIF(F$2:F3773,F3773)-1</f>
        <v>#VALUE!</v>
      </c>
      <c r="F3773" s="5" t="str">
        <f t="shared" si="59"/>
        <v/>
      </c>
      <c r="G3773" s="5" t="str">
        <f>IF(B3773="","",股指期货基差分析!$N$11)</f>
        <v/>
      </c>
      <c r="H3773" s="5" t="str">
        <f>IF(B3773="","",股指期货基差分析!$L$11)</f>
        <v/>
      </c>
      <c r="I3773" s="9" t="str">
        <f>IF(B3773="","",股指期货基差分析!$D$11)</f>
        <v/>
      </c>
    </row>
    <row r="3774" spans="3:9" ht="15" customHeight="1" x14ac:dyDescent="0.2">
      <c r="C3774" s="5" t="str">
        <f>IF(B3774="","",[1]!s_dq_close(股指期货基差分析!$E$5,$B3774))</f>
        <v/>
      </c>
      <c r="D3774" s="5" t="str">
        <f>IF(B3774="","",[1]!s_dq_close(股指期货基差分析!$E$6,$B3774))</f>
        <v/>
      </c>
      <c r="E3774" s="4" t="e">
        <f ca="1">RANK(F3774,F:F)+COUNTIF(F$2:F3774,F3774)-1</f>
        <v>#VALUE!</v>
      </c>
      <c r="F3774" s="5" t="str">
        <f t="shared" si="59"/>
        <v/>
      </c>
      <c r="G3774" s="5" t="str">
        <f>IF(B3774="","",股指期货基差分析!$N$11)</f>
        <v/>
      </c>
      <c r="H3774" s="5" t="str">
        <f>IF(B3774="","",股指期货基差分析!$L$11)</f>
        <v/>
      </c>
      <c r="I3774" s="9" t="str">
        <f>IF(B3774="","",股指期货基差分析!$D$11)</f>
        <v/>
      </c>
    </row>
    <row r="3775" spans="3:9" ht="15" customHeight="1" x14ac:dyDescent="0.2">
      <c r="C3775" s="5" t="str">
        <f>IF(B3775="","",[1]!s_dq_close(股指期货基差分析!$E$5,$B3775))</f>
        <v/>
      </c>
      <c r="D3775" s="5" t="str">
        <f>IF(B3775="","",[1]!s_dq_close(股指期货基差分析!$E$6,$B3775))</f>
        <v/>
      </c>
      <c r="E3775" s="4" t="e">
        <f ca="1">RANK(F3775,F:F)+COUNTIF(F$2:F3775,F3775)-1</f>
        <v>#VALUE!</v>
      </c>
      <c r="F3775" s="5" t="str">
        <f t="shared" si="59"/>
        <v/>
      </c>
      <c r="G3775" s="5" t="str">
        <f>IF(B3775="","",股指期货基差分析!$N$11)</f>
        <v/>
      </c>
      <c r="H3775" s="5" t="str">
        <f>IF(B3775="","",股指期货基差分析!$L$11)</f>
        <v/>
      </c>
      <c r="I3775" s="9" t="str">
        <f>IF(B3775="","",股指期货基差分析!$D$11)</f>
        <v/>
      </c>
    </row>
    <row r="3776" spans="3:9" ht="15" customHeight="1" x14ac:dyDescent="0.2">
      <c r="C3776" s="5" t="str">
        <f>IF(B3776="","",[1]!s_dq_close(股指期货基差分析!$E$5,$B3776))</f>
        <v/>
      </c>
      <c r="D3776" s="5" t="str">
        <f>IF(B3776="","",[1]!s_dq_close(股指期货基差分析!$E$6,$B3776))</f>
        <v/>
      </c>
      <c r="E3776" s="4" t="e">
        <f ca="1">RANK(F3776,F:F)+COUNTIF(F$2:F3776,F3776)-1</f>
        <v>#VALUE!</v>
      </c>
      <c r="F3776" s="5" t="str">
        <f t="shared" si="59"/>
        <v/>
      </c>
      <c r="G3776" s="5" t="str">
        <f>IF(B3776="","",股指期货基差分析!$N$11)</f>
        <v/>
      </c>
      <c r="H3776" s="5" t="str">
        <f>IF(B3776="","",股指期货基差分析!$L$11)</f>
        <v/>
      </c>
      <c r="I3776" s="9" t="str">
        <f>IF(B3776="","",股指期货基差分析!$D$11)</f>
        <v/>
      </c>
    </row>
    <row r="3777" spans="3:9" ht="15" customHeight="1" x14ac:dyDescent="0.2">
      <c r="C3777" s="5" t="str">
        <f>IF(B3777="","",[1]!s_dq_close(股指期货基差分析!$E$5,$B3777))</f>
        <v/>
      </c>
      <c r="D3777" s="5" t="str">
        <f>IF(B3777="","",[1]!s_dq_close(股指期货基差分析!$E$6,$B3777))</f>
        <v/>
      </c>
      <c r="E3777" s="4" t="e">
        <f ca="1">RANK(F3777,F:F)+COUNTIF(F$2:F3777,F3777)-1</f>
        <v>#VALUE!</v>
      </c>
      <c r="F3777" s="5" t="str">
        <f t="shared" si="59"/>
        <v/>
      </c>
      <c r="G3777" s="5" t="str">
        <f>IF(B3777="","",股指期货基差分析!$N$11)</f>
        <v/>
      </c>
      <c r="H3777" s="5" t="str">
        <f>IF(B3777="","",股指期货基差分析!$L$11)</f>
        <v/>
      </c>
      <c r="I3777" s="9" t="str">
        <f>IF(B3777="","",股指期货基差分析!$D$11)</f>
        <v/>
      </c>
    </row>
    <row r="3778" spans="3:9" ht="15" customHeight="1" x14ac:dyDescent="0.2">
      <c r="C3778" s="5" t="str">
        <f>IF(B3778="","",[1]!s_dq_close(股指期货基差分析!$E$5,$B3778))</f>
        <v/>
      </c>
      <c r="D3778" s="5" t="str">
        <f>IF(B3778="","",[1]!s_dq_close(股指期货基差分析!$E$6,$B3778))</f>
        <v/>
      </c>
      <c r="E3778" s="4" t="e">
        <f ca="1">RANK(F3778,F:F)+COUNTIF(F$2:F3778,F3778)-1</f>
        <v>#VALUE!</v>
      </c>
      <c r="F3778" s="5" t="str">
        <f t="shared" ref="F3778:F3841" si="60">IF(B3778="","",D3778-C3778)</f>
        <v/>
      </c>
      <c r="G3778" s="5" t="str">
        <f>IF(B3778="","",股指期货基差分析!$N$11)</f>
        <v/>
      </c>
      <c r="H3778" s="5" t="str">
        <f>IF(B3778="","",股指期货基差分析!$L$11)</f>
        <v/>
      </c>
      <c r="I3778" s="9" t="str">
        <f>IF(B3778="","",股指期货基差分析!$D$11)</f>
        <v/>
      </c>
    </row>
    <row r="3779" spans="3:9" ht="15" customHeight="1" x14ac:dyDescent="0.2">
      <c r="C3779" s="5" t="str">
        <f>IF(B3779="","",[1]!s_dq_close(股指期货基差分析!$E$5,$B3779))</f>
        <v/>
      </c>
      <c r="D3779" s="5" t="str">
        <f>IF(B3779="","",[1]!s_dq_close(股指期货基差分析!$E$6,$B3779))</f>
        <v/>
      </c>
      <c r="E3779" s="4" t="e">
        <f ca="1">RANK(F3779,F:F)+COUNTIF(F$2:F3779,F3779)-1</f>
        <v>#VALUE!</v>
      </c>
      <c r="F3779" s="5" t="str">
        <f t="shared" si="60"/>
        <v/>
      </c>
      <c r="G3779" s="5" t="str">
        <f>IF(B3779="","",股指期货基差分析!$N$11)</f>
        <v/>
      </c>
      <c r="H3779" s="5" t="str">
        <f>IF(B3779="","",股指期货基差分析!$L$11)</f>
        <v/>
      </c>
      <c r="I3779" s="9" t="str">
        <f>IF(B3779="","",股指期货基差分析!$D$11)</f>
        <v/>
      </c>
    </row>
    <row r="3780" spans="3:9" ht="15" customHeight="1" x14ac:dyDescent="0.2">
      <c r="C3780" s="5" t="str">
        <f>IF(B3780="","",[1]!s_dq_close(股指期货基差分析!$E$5,$B3780))</f>
        <v/>
      </c>
      <c r="D3780" s="5" t="str">
        <f>IF(B3780="","",[1]!s_dq_close(股指期货基差分析!$E$6,$B3780))</f>
        <v/>
      </c>
      <c r="E3780" s="4" t="e">
        <f ca="1">RANK(F3780,F:F)+COUNTIF(F$2:F3780,F3780)-1</f>
        <v>#VALUE!</v>
      </c>
      <c r="F3780" s="5" t="str">
        <f t="shared" si="60"/>
        <v/>
      </c>
      <c r="G3780" s="5" t="str">
        <f>IF(B3780="","",股指期货基差分析!$N$11)</f>
        <v/>
      </c>
      <c r="H3780" s="5" t="str">
        <f>IF(B3780="","",股指期货基差分析!$L$11)</f>
        <v/>
      </c>
      <c r="I3780" s="9" t="str">
        <f>IF(B3780="","",股指期货基差分析!$D$11)</f>
        <v/>
      </c>
    </row>
    <row r="3781" spans="3:9" ht="15" customHeight="1" x14ac:dyDescent="0.2">
      <c r="C3781" s="5" t="str">
        <f>IF(B3781="","",[1]!s_dq_close(股指期货基差分析!$E$5,$B3781))</f>
        <v/>
      </c>
      <c r="D3781" s="5" t="str">
        <f>IF(B3781="","",[1]!s_dq_close(股指期货基差分析!$E$6,$B3781))</f>
        <v/>
      </c>
      <c r="E3781" s="4" t="e">
        <f ca="1">RANK(F3781,F:F)+COUNTIF(F$2:F3781,F3781)-1</f>
        <v>#VALUE!</v>
      </c>
      <c r="F3781" s="5" t="str">
        <f t="shared" si="60"/>
        <v/>
      </c>
      <c r="G3781" s="5" t="str">
        <f>IF(B3781="","",股指期货基差分析!$N$11)</f>
        <v/>
      </c>
      <c r="H3781" s="5" t="str">
        <f>IF(B3781="","",股指期货基差分析!$L$11)</f>
        <v/>
      </c>
      <c r="I3781" s="9" t="str">
        <f>IF(B3781="","",股指期货基差分析!$D$11)</f>
        <v/>
      </c>
    </row>
    <row r="3782" spans="3:9" ht="15" customHeight="1" x14ac:dyDescent="0.2">
      <c r="C3782" s="5" t="str">
        <f>IF(B3782="","",[1]!s_dq_close(股指期货基差分析!$E$5,$B3782))</f>
        <v/>
      </c>
      <c r="D3782" s="5" t="str">
        <f>IF(B3782="","",[1]!s_dq_close(股指期货基差分析!$E$6,$B3782))</f>
        <v/>
      </c>
      <c r="E3782" s="4" t="e">
        <f ca="1">RANK(F3782,F:F)+COUNTIF(F$2:F3782,F3782)-1</f>
        <v>#VALUE!</v>
      </c>
      <c r="F3782" s="5" t="str">
        <f t="shared" si="60"/>
        <v/>
      </c>
      <c r="G3782" s="5" t="str">
        <f>IF(B3782="","",股指期货基差分析!$N$11)</f>
        <v/>
      </c>
      <c r="H3782" s="5" t="str">
        <f>IF(B3782="","",股指期货基差分析!$L$11)</f>
        <v/>
      </c>
      <c r="I3782" s="9" t="str">
        <f>IF(B3782="","",股指期货基差分析!$D$11)</f>
        <v/>
      </c>
    </row>
    <row r="3783" spans="3:9" ht="15" customHeight="1" x14ac:dyDescent="0.2">
      <c r="C3783" s="5" t="str">
        <f>IF(B3783="","",[1]!s_dq_close(股指期货基差分析!$E$5,$B3783))</f>
        <v/>
      </c>
      <c r="D3783" s="5" t="str">
        <f>IF(B3783="","",[1]!s_dq_close(股指期货基差分析!$E$6,$B3783))</f>
        <v/>
      </c>
      <c r="E3783" s="4" t="e">
        <f ca="1">RANK(F3783,F:F)+COUNTIF(F$2:F3783,F3783)-1</f>
        <v>#VALUE!</v>
      </c>
      <c r="F3783" s="5" t="str">
        <f t="shared" si="60"/>
        <v/>
      </c>
      <c r="G3783" s="5" t="str">
        <f>IF(B3783="","",股指期货基差分析!$N$11)</f>
        <v/>
      </c>
      <c r="H3783" s="5" t="str">
        <f>IF(B3783="","",股指期货基差分析!$L$11)</f>
        <v/>
      </c>
      <c r="I3783" s="9" t="str">
        <f>IF(B3783="","",股指期货基差分析!$D$11)</f>
        <v/>
      </c>
    </row>
    <row r="3784" spans="3:9" ht="15" customHeight="1" x14ac:dyDescent="0.2">
      <c r="C3784" s="5" t="str">
        <f>IF(B3784="","",[1]!s_dq_close(股指期货基差分析!$E$5,$B3784))</f>
        <v/>
      </c>
      <c r="D3784" s="5" t="str">
        <f>IF(B3784="","",[1]!s_dq_close(股指期货基差分析!$E$6,$B3784))</f>
        <v/>
      </c>
      <c r="E3784" s="4" t="e">
        <f ca="1">RANK(F3784,F:F)+COUNTIF(F$2:F3784,F3784)-1</f>
        <v>#VALUE!</v>
      </c>
      <c r="F3784" s="5" t="str">
        <f t="shared" si="60"/>
        <v/>
      </c>
      <c r="G3784" s="5" t="str">
        <f>IF(B3784="","",股指期货基差分析!$N$11)</f>
        <v/>
      </c>
      <c r="H3784" s="5" t="str">
        <f>IF(B3784="","",股指期货基差分析!$L$11)</f>
        <v/>
      </c>
      <c r="I3784" s="9" t="str">
        <f>IF(B3784="","",股指期货基差分析!$D$11)</f>
        <v/>
      </c>
    </row>
    <row r="3785" spans="3:9" ht="15" customHeight="1" x14ac:dyDescent="0.2">
      <c r="C3785" s="5" t="str">
        <f>IF(B3785="","",[1]!s_dq_close(股指期货基差分析!$E$5,$B3785))</f>
        <v/>
      </c>
      <c r="D3785" s="5" t="str">
        <f>IF(B3785="","",[1]!s_dq_close(股指期货基差分析!$E$6,$B3785))</f>
        <v/>
      </c>
      <c r="E3785" s="4" t="e">
        <f ca="1">RANK(F3785,F:F)+COUNTIF(F$2:F3785,F3785)-1</f>
        <v>#VALUE!</v>
      </c>
      <c r="F3785" s="5" t="str">
        <f t="shared" si="60"/>
        <v/>
      </c>
      <c r="G3785" s="5" t="str">
        <f>IF(B3785="","",股指期货基差分析!$N$11)</f>
        <v/>
      </c>
      <c r="H3785" s="5" t="str">
        <f>IF(B3785="","",股指期货基差分析!$L$11)</f>
        <v/>
      </c>
      <c r="I3785" s="9" t="str">
        <f>IF(B3785="","",股指期货基差分析!$D$11)</f>
        <v/>
      </c>
    </row>
    <row r="3786" spans="3:9" ht="15" customHeight="1" x14ac:dyDescent="0.2">
      <c r="C3786" s="5" t="str">
        <f>IF(B3786="","",[1]!s_dq_close(股指期货基差分析!$E$5,$B3786))</f>
        <v/>
      </c>
      <c r="D3786" s="5" t="str">
        <f>IF(B3786="","",[1]!s_dq_close(股指期货基差分析!$E$6,$B3786))</f>
        <v/>
      </c>
      <c r="E3786" s="4" t="e">
        <f ca="1">RANK(F3786,F:F)+COUNTIF(F$2:F3786,F3786)-1</f>
        <v>#VALUE!</v>
      </c>
      <c r="F3786" s="5" t="str">
        <f t="shared" si="60"/>
        <v/>
      </c>
      <c r="G3786" s="5" t="str">
        <f>IF(B3786="","",股指期货基差分析!$N$11)</f>
        <v/>
      </c>
      <c r="H3786" s="5" t="str">
        <f>IF(B3786="","",股指期货基差分析!$L$11)</f>
        <v/>
      </c>
      <c r="I3786" s="9" t="str">
        <f>IF(B3786="","",股指期货基差分析!$D$11)</f>
        <v/>
      </c>
    </row>
    <row r="3787" spans="3:9" ht="15" customHeight="1" x14ac:dyDescent="0.2">
      <c r="C3787" s="5" t="str">
        <f>IF(B3787="","",[1]!s_dq_close(股指期货基差分析!$E$5,$B3787))</f>
        <v/>
      </c>
      <c r="D3787" s="5" t="str">
        <f>IF(B3787="","",[1]!s_dq_close(股指期货基差分析!$E$6,$B3787))</f>
        <v/>
      </c>
      <c r="E3787" s="4" t="e">
        <f ca="1">RANK(F3787,F:F)+COUNTIF(F$2:F3787,F3787)-1</f>
        <v>#VALUE!</v>
      </c>
      <c r="F3787" s="5" t="str">
        <f t="shared" si="60"/>
        <v/>
      </c>
      <c r="G3787" s="5" t="str">
        <f>IF(B3787="","",股指期货基差分析!$N$11)</f>
        <v/>
      </c>
      <c r="H3787" s="5" t="str">
        <f>IF(B3787="","",股指期货基差分析!$L$11)</f>
        <v/>
      </c>
      <c r="I3787" s="9" t="str">
        <f>IF(B3787="","",股指期货基差分析!$D$11)</f>
        <v/>
      </c>
    </row>
    <row r="3788" spans="3:9" ht="15" customHeight="1" x14ac:dyDescent="0.2">
      <c r="C3788" s="5" t="str">
        <f>IF(B3788="","",[1]!s_dq_close(股指期货基差分析!$E$5,$B3788))</f>
        <v/>
      </c>
      <c r="D3788" s="5" t="str">
        <f>IF(B3788="","",[1]!s_dq_close(股指期货基差分析!$E$6,$B3788))</f>
        <v/>
      </c>
      <c r="E3788" s="4" t="e">
        <f ca="1">RANK(F3788,F:F)+COUNTIF(F$2:F3788,F3788)-1</f>
        <v>#VALUE!</v>
      </c>
      <c r="F3788" s="5" t="str">
        <f t="shared" si="60"/>
        <v/>
      </c>
      <c r="G3788" s="5" t="str">
        <f>IF(B3788="","",股指期货基差分析!$N$11)</f>
        <v/>
      </c>
      <c r="H3788" s="5" t="str">
        <f>IF(B3788="","",股指期货基差分析!$L$11)</f>
        <v/>
      </c>
      <c r="I3788" s="9" t="str">
        <f>IF(B3788="","",股指期货基差分析!$D$11)</f>
        <v/>
      </c>
    </row>
    <row r="3789" spans="3:9" ht="15" customHeight="1" x14ac:dyDescent="0.2">
      <c r="C3789" s="5" t="str">
        <f>IF(B3789="","",[1]!s_dq_close(股指期货基差分析!$E$5,$B3789))</f>
        <v/>
      </c>
      <c r="D3789" s="5" t="str">
        <f>IF(B3789="","",[1]!s_dq_close(股指期货基差分析!$E$6,$B3789))</f>
        <v/>
      </c>
      <c r="E3789" s="4" t="e">
        <f ca="1">RANK(F3789,F:F)+COUNTIF(F$2:F3789,F3789)-1</f>
        <v>#VALUE!</v>
      </c>
      <c r="F3789" s="5" t="str">
        <f t="shared" si="60"/>
        <v/>
      </c>
      <c r="G3789" s="5" t="str">
        <f>IF(B3789="","",股指期货基差分析!$N$11)</f>
        <v/>
      </c>
      <c r="H3789" s="5" t="str">
        <f>IF(B3789="","",股指期货基差分析!$L$11)</f>
        <v/>
      </c>
      <c r="I3789" s="9" t="str">
        <f>IF(B3789="","",股指期货基差分析!$D$11)</f>
        <v/>
      </c>
    </row>
    <row r="3790" spans="3:9" ht="15" customHeight="1" x14ac:dyDescent="0.2">
      <c r="C3790" s="5" t="str">
        <f>IF(B3790="","",[1]!s_dq_close(股指期货基差分析!$E$5,$B3790))</f>
        <v/>
      </c>
      <c r="D3790" s="5" t="str">
        <f>IF(B3790="","",[1]!s_dq_close(股指期货基差分析!$E$6,$B3790))</f>
        <v/>
      </c>
      <c r="E3790" s="4" t="e">
        <f ca="1">RANK(F3790,F:F)+COUNTIF(F$2:F3790,F3790)-1</f>
        <v>#VALUE!</v>
      </c>
      <c r="F3790" s="5" t="str">
        <f t="shared" si="60"/>
        <v/>
      </c>
      <c r="G3790" s="5" t="str">
        <f>IF(B3790="","",股指期货基差分析!$N$11)</f>
        <v/>
      </c>
      <c r="H3790" s="5" t="str">
        <f>IF(B3790="","",股指期货基差分析!$L$11)</f>
        <v/>
      </c>
      <c r="I3790" s="9" t="str">
        <f>IF(B3790="","",股指期货基差分析!$D$11)</f>
        <v/>
      </c>
    </row>
    <row r="3791" spans="3:9" ht="15" customHeight="1" x14ac:dyDescent="0.2">
      <c r="C3791" s="5" t="str">
        <f>IF(B3791="","",[1]!s_dq_close(股指期货基差分析!$E$5,$B3791))</f>
        <v/>
      </c>
      <c r="D3791" s="5" t="str">
        <f>IF(B3791="","",[1]!s_dq_close(股指期货基差分析!$E$6,$B3791))</f>
        <v/>
      </c>
      <c r="E3791" s="4" t="e">
        <f ca="1">RANK(F3791,F:F)+COUNTIF(F$2:F3791,F3791)-1</f>
        <v>#VALUE!</v>
      </c>
      <c r="F3791" s="5" t="str">
        <f t="shared" si="60"/>
        <v/>
      </c>
      <c r="G3791" s="5" t="str">
        <f>IF(B3791="","",股指期货基差分析!$N$11)</f>
        <v/>
      </c>
      <c r="H3791" s="5" t="str">
        <f>IF(B3791="","",股指期货基差分析!$L$11)</f>
        <v/>
      </c>
      <c r="I3791" s="9" t="str">
        <f>IF(B3791="","",股指期货基差分析!$D$11)</f>
        <v/>
      </c>
    </row>
    <row r="3792" spans="3:9" ht="15" customHeight="1" x14ac:dyDescent="0.2">
      <c r="C3792" s="5" t="str">
        <f>IF(B3792="","",[1]!s_dq_close(股指期货基差分析!$E$5,$B3792))</f>
        <v/>
      </c>
      <c r="D3792" s="5" t="str">
        <f>IF(B3792="","",[1]!s_dq_close(股指期货基差分析!$E$6,$B3792))</f>
        <v/>
      </c>
      <c r="E3792" s="4" t="e">
        <f ca="1">RANK(F3792,F:F)+COUNTIF(F$2:F3792,F3792)-1</f>
        <v>#VALUE!</v>
      </c>
      <c r="F3792" s="5" t="str">
        <f t="shared" si="60"/>
        <v/>
      </c>
      <c r="G3792" s="5" t="str">
        <f>IF(B3792="","",股指期货基差分析!$N$11)</f>
        <v/>
      </c>
      <c r="H3792" s="5" t="str">
        <f>IF(B3792="","",股指期货基差分析!$L$11)</f>
        <v/>
      </c>
      <c r="I3792" s="9" t="str">
        <f>IF(B3792="","",股指期货基差分析!$D$11)</f>
        <v/>
      </c>
    </row>
    <row r="3793" spans="3:9" ht="15" customHeight="1" x14ac:dyDescent="0.2">
      <c r="C3793" s="5" t="str">
        <f>IF(B3793="","",[1]!s_dq_close(股指期货基差分析!$E$5,$B3793))</f>
        <v/>
      </c>
      <c r="D3793" s="5" t="str">
        <f>IF(B3793="","",[1]!s_dq_close(股指期货基差分析!$E$6,$B3793))</f>
        <v/>
      </c>
      <c r="E3793" s="4" t="e">
        <f ca="1">RANK(F3793,F:F)+COUNTIF(F$2:F3793,F3793)-1</f>
        <v>#VALUE!</v>
      </c>
      <c r="F3793" s="5" t="str">
        <f t="shared" si="60"/>
        <v/>
      </c>
      <c r="G3793" s="5" t="str">
        <f>IF(B3793="","",股指期货基差分析!$N$11)</f>
        <v/>
      </c>
      <c r="H3793" s="5" t="str">
        <f>IF(B3793="","",股指期货基差分析!$L$11)</f>
        <v/>
      </c>
      <c r="I3793" s="9" t="str">
        <f>IF(B3793="","",股指期货基差分析!$D$11)</f>
        <v/>
      </c>
    </row>
    <row r="3794" spans="3:9" ht="15" customHeight="1" x14ac:dyDescent="0.2">
      <c r="C3794" s="5" t="str">
        <f>IF(B3794="","",[1]!s_dq_close(股指期货基差分析!$E$5,$B3794))</f>
        <v/>
      </c>
      <c r="D3794" s="5" t="str">
        <f>IF(B3794="","",[1]!s_dq_close(股指期货基差分析!$E$6,$B3794))</f>
        <v/>
      </c>
      <c r="E3794" s="4" t="e">
        <f ca="1">RANK(F3794,F:F)+COUNTIF(F$2:F3794,F3794)-1</f>
        <v>#VALUE!</v>
      </c>
      <c r="F3794" s="5" t="str">
        <f t="shared" si="60"/>
        <v/>
      </c>
      <c r="G3794" s="5" t="str">
        <f>IF(B3794="","",股指期货基差分析!$N$11)</f>
        <v/>
      </c>
      <c r="H3794" s="5" t="str">
        <f>IF(B3794="","",股指期货基差分析!$L$11)</f>
        <v/>
      </c>
      <c r="I3794" s="9" t="str">
        <f>IF(B3794="","",股指期货基差分析!$D$11)</f>
        <v/>
      </c>
    </row>
    <row r="3795" spans="3:9" ht="15" customHeight="1" x14ac:dyDescent="0.2">
      <c r="C3795" s="5" t="str">
        <f>IF(B3795="","",[1]!s_dq_close(股指期货基差分析!$E$5,$B3795))</f>
        <v/>
      </c>
      <c r="D3795" s="5" t="str">
        <f>IF(B3795="","",[1]!s_dq_close(股指期货基差分析!$E$6,$B3795))</f>
        <v/>
      </c>
      <c r="E3795" s="4" t="e">
        <f ca="1">RANK(F3795,F:F)+COUNTIF(F$2:F3795,F3795)-1</f>
        <v>#VALUE!</v>
      </c>
      <c r="F3795" s="5" t="str">
        <f t="shared" si="60"/>
        <v/>
      </c>
      <c r="G3795" s="5" t="str">
        <f>IF(B3795="","",股指期货基差分析!$N$11)</f>
        <v/>
      </c>
      <c r="H3795" s="5" t="str">
        <f>IF(B3795="","",股指期货基差分析!$L$11)</f>
        <v/>
      </c>
      <c r="I3795" s="9" t="str">
        <f>IF(B3795="","",股指期货基差分析!$D$11)</f>
        <v/>
      </c>
    </row>
    <row r="3796" spans="3:9" ht="15" customHeight="1" x14ac:dyDescent="0.2">
      <c r="C3796" s="5" t="str">
        <f>IF(B3796="","",[1]!s_dq_close(股指期货基差分析!$E$5,$B3796))</f>
        <v/>
      </c>
      <c r="D3796" s="5" t="str">
        <f>IF(B3796="","",[1]!s_dq_close(股指期货基差分析!$E$6,$B3796))</f>
        <v/>
      </c>
      <c r="E3796" s="4" t="e">
        <f ca="1">RANK(F3796,F:F)+COUNTIF(F$2:F3796,F3796)-1</f>
        <v>#VALUE!</v>
      </c>
      <c r="F3796" s="5" t="str">
        <f t="shared" si="60"/>
        <v/>
      </c>
      <c r="G3796" s="5" t="str">
        <f>IF(B3796="","",股指期货基差分析!$N$11)</f>
        <v/>
      </c>
      <c r="H3796" s="5" t="str">
        <f>IF(B3796="","",股指期货基差分析!$L$11)</f>
        <v/>
      </c>
      <c r="I3796" s="9" t="str">
        <f>IF(B3796="","",股指期货基差分析!$D$11)</f>
        <v/>
      </c>
    </row>
    <row r="3797" spans="3:9" ht="15" customHeight="1" x14ac:dyDescent="0.2">
      <c r="C3797" s="5" t="str">
        <f>IF(B3797="","",[1]!s_dq_close(股指期货基差分析!$E$5,$B3797))</f>
        <v/>
      </c>
      <c r="D3797" s="5" t="str">
        <f>IF(B3797="","",[1]!s_dq_close(股指期货基差分析!$E$6,$B3797))</f>
        <v/>
      </c>
      <c r="E3797" s="4" t="e">
        <f ca="1">RANK(F3797,F:F)+COUNTIF(F$2:F3797,F3797)-1</f>
        <v>#VALUE!</v>
      </c>
      <c r="F3797" s="5" t="str">
        <f t="shared" si="60"/>
        <v/>
      </c>
      <c r="G3797" s="5" t="str">
        <f>IF(B3797="","",股指期货基差分析!$N$11)</f>
        <v/>
      </c>
      <c r="H3797" s="5" t="str">
        <f>IF(B3797="","",股指期货基差分析!$L$11)</f>
        <v/>
      </c>
      <c r="I3797" s="9" t="str">
        <f>IF(B3797="","",股指期货基差分析!$D$11)</f>
        <v/>
      </c>
    </row>
    <row r="3798" spans="3:9" ht="15" customHeight="1" x14ac:dyDescent="0.2">
      <c r="C3798" s="5" t="str">
        <f>IF(B3798="","",[1]!s_dq_close(股指期货基差分析!$E$5,$B3798))</f>
        <v/>
      </c>
      <c r="D3798" s="5" t="str">
        <f>IF(B3798="","",[1]!s_dq_close(股指期货基差分析!$E$6,$B3798))</f>
        <v/>
      </c>
      <c r="E3798" s="4" t="e">
        <f ca="1">RANK(F3798,F:F)+COUNTIF(F$2:F3798,F3798)-1</f>
        <v>#VALUE!</v>
      </c>
      <c r="F3798" s="5" t="str">
        <f t="shared" si="60"/>
        <v/>
      </c>
      <c r="G3798" s="5" t="str">
        <f>IF(B3798="","",股指期货基差分析!$N$11)</f>
        <v/>
      </c>
      <c r="H3798" s="5" t="str">
        <f>IF(B3798="","",股指期货基差分析!$L$11)</f>
        <v/>
      </c>
      <c r="I3798" s="9" t="str">
        <f>IF(B3798="","",股指期货基差分析!$D$11)</f>
        <v/>
      </c>
    </row>
    <row r="3799" spans="3:9" ht="15" customHeight="1" x14ac:dyDescent="0.2">
      <c r="C3799" s="5" t="str">
        <f>IF(B3799="","",[1]!s_dq_close(股指期货基差分析!$E$5,$B3799))</f>
        <v/>
      </c>
      <c r="D3799" s="5" t="str">
        <f>IF(B3799="","",[1]!s_dq_close(股指期货基差分析!$E$6,$B3799))</f>
        <v/>
      </c>
      <c r="E3799" s="4" t="e">
        <f ca="1">RANK(F3799,F:F)+COUNTIF(F$2:F3799,F3799)-1</f>
        <v>#VALUE!</v>
      </c>
      <c r="F3799" s="5" t="str">
        <f t="shared" si="60"/>
        <v/>
      </c>
      <c r="G3799" s="5" t="str">
        <f>IF(B3799="","",股指期货基差分析!$N$11)</f>
        <v/>
      </c>
      <c r="H3799" s="5" t="str">
        <f>IF(B3799="","",股指期货基差分析!$L$11)</f>
        <v/>
      </c>
      <c r="I3799" s="9" t="str">
        <f>IF(B3799="","",股指期货基差分析!$D$11)</f>
        <v/>
      </c>
    </row>
    <row r="3800" spans="3:9" ht="15" customHeight="1" x14ac:dyDescent="0.2">
      <c r="C3800" s="5" t="str">
        <f>IF(B3800="","",[1]!s_dq_close(股指期货基差分析!$E$5,$B3800))</f>
        <v/>
      </c>
      <c r="D3800" s="5" t="str">
        <f>IF(B3800="","",[1]!s_dq_close(股指期货基差分析!$E$6,$B3800))</f>
        <v/>
      </c>
      <c r="E3800" s="4" t="e">
        <f ca="1">RANK(F3800,F:F)+COUNTIF(F$2:F3800,F3800)-1</f>
        <v>#VALUE!</v>
      </c>
      <c r="F3800" s="5" t="str">
        <f t="shared" si="60"/>
        <v/>
      </c>
      <c r="G3800" s="5" t="str">
        <f>IF(B3800="","",股指期货基差分析!$N$11)</f>
        <v/>
      </c>
      <c r="H3800" s="5" t="str">
        <f>IF(B3800="","",股指期货基差分析!$L$11)</f>
        <v/>
      </c>
      <c r="I3800" s="9" t="str">
        <f>IF(B3800="","",股指期货基差分析!$D$11)</f>
        <v/>
      </c>
    </row>
    <row r="3801" spans="3:9" ht="15" customHeight="1" x14ac:dyDescent="0.2">
      <c r="C3801" s="5" t="str">
        <f>IF(B3801="","",[1]!s_dq_close(股指期货基差分析!$E$5,$B3801))</f>
        <v/>
      </c>
      <c r="D3801" s="5" t="str">
        <f>IF(B3801="","",[1]!s_dq_close(股指期货基差分析!$E$6,$B3801))</f>
        <v/>
      </c>
      <c r="E3801" s="4" t="e">
        <f ca="1">RANK(F3801,F:F)+COUNTIF(F$2:F3801,F3801)-1</f>
        <v>#VALUE!</v>
      </c>
      <c r="F3801" s="5" t="str">
        <f t="shared" si="60"/>
        <v/>
      </c>
      <c r="G3801" s="5" t="str">
        <f>IF(B3801="","",股指期货基差分析!$N$11)</f>
        <v/>
      </c>
      <c r="H3801" s="5" t="str">
        <f>IF(B3801="","",股指期货基差分析!$L$11)</f>
        <v/>
      </c>
      <c r="I3801" s="9" t="str">
        <f>IF(B3801="","",股指期货基差分析!$D$11)</f>
        <v/>
      </c>
    </row>
    <row r="3802" spans="3:9" ht="15" customHeight="1" x14ac:dyDescent="0.2">
      <c r="C3802" s="5" t="str">
        <f>IF(B3802="","",[1]!s_dq_close(股指期货基差分析!$E$5,$B3802))</f>
        <v/>
      </c>
      <c r="D3802" s="5" t="str">
        <f>IF(B3802="","",[1]!s_dq_close(股指期货基差分析!$E$6,$B3802))</f>
        <v/>
      </c>
      <c r="E3802" s="4" t="e">
        <f ca="1">RANK(F3802,F:F)+COUNTIF(F$2:F3802,F3802)-1</f>
        <v>#VALUE!</v>
      </c>
      <c r="F3802" s="5" t="str">
        <f t="shared" si="60"/>
        <v/>
      </c>
      <c r="G3802" s="5" t="str">
        <f>IF(B3802="","",股指期货基差分析!$N$11)</f>
        <v/>
      </c>
      <c r="H3802" s="5" t="str">
        <f>IF(B3802="","",股指期货基差分析!$L$11)</f>
        <v/>
      </c>
      <c r="I3802" s="9" t="str">
        <f>IF(B3802="","",股指期货基差分析!$D$11)</f>
        <v/>
      </c>
    </row>
    <row r="3803" spans="3:9" ht="15" customHeight="1" x14ac:dyDescent="0.2">
      <c r="C3803" s="5" t="str">
        <f>IF(B3803="","",[1]!s_dq_close(股指期货基差分析!$E$5,$B3803))</f>
        <v/>
      </c>
      <c r="D3803" s="5" t="str">
        <f>IF(B3803="","",[1]!s_dq_close(股指期货基差分析!$E$6,$B3803))</f>
        <v/>
      </c>
      <c r="E3803" s="4" t="e">
        <f ca="1">RANK(F3803,F:F)+COUNTIF(F$2:F3803,F3803)-1</f>
        <v>#VALUE!</v>
      </c>
      <c r="F3803" s="5" t="str">
        <f t="shared" si="60"/>
        <v/>
      </c>
      <c r="G3803" s="5" t="str">
        <f>IF(B3803="","",股指期货基差分析!$N$11)</f>
        <v/>
      </c>
      <c r="H3803" s="5" t="str">
        <f>IF(B3803="","",股指期货基差分析!$L$11)</f>
        <v/>
      </c>
      <c r="I3803" s="9" t="str">
        <f>IF(B3803="","",股指期货基差分析!$D$11)</f>
        <v/>
      </c>
    </row>
    <row r="3804" spans="3:9" ht="15" customHeight="1" x14ac:dyDescent="0.2">
      <c r="C3804" s="5" t="str">
        <f>IF(B3804="","",[1]!s_dq_close(股指期货基差分析!$E$5,$B3804))</f>
        <v/>
      </c>
      <c r="D3804" s="5" t="str">
        <f>IF(B3804="","",[1]!s_dq_close(股指期货基差分析!$E$6,$B3804))</f>
        <v/>
      </c>
      <c r="E3804" s="4" t="e">
        <f ca="1">RANK(F3804,F:F)+COUNTIF(F$2:F3804,F3804)-1</f>
        <v>#VALUE!</v>
      </c>
      <c r="F3804" s="5" t="str">
        <f t="shared" si="60"/>
        <v/>
      </c>
      <c r="G3804" s="5" t="str">
        <f>IF(B3804="","",股指期货基差分析!$N$11)</f>
        <v/>
      </c>
      <c r="H3804" s="5" t="str">
        <f>IF(B3804="","",股指期货基差分析!$L$11)</f>
        <v/>
      </c>
      <c r="I3804" s="9" t="str">
        <f>IF(B3804="","",股指期货基差分析!$D$11)</f>
        <v/>
      </c>
    </row>
    <row r="3805" spans="3:9" ht="15" customHeight="1" x14ac:dyDescent="0.2">
      <c r="C3805" s="5" t="str">
        <f>IF(B3805="","",[1]!s_dq_close(股指期货基差分析!$E$5,$B3805))</f>
        <v/>
      </c>
      <c r="D3805" s="5" t="str">
        <f>IF(B3805="","",[1]!s_dq_close(股指期货基差分析!$E$6,$B3805))</f>
        <v/>
      </c>
      <c r="E3805" s="4" t="e">
        <f ca="1">RANK(F3805,F:F)+COUNTIF(F$2:F3805,F3805)-1</f>
        <v>#VALUE!</v>
      </c>
      <c r="F3805" s="5" t="str">
        <f t="shared" si="60"/>
        <v/>
      </c>
      <c r="G3805" s="5" t="str">
        <f>IF(B3805="","",股指期货基差分析!$N$11)</f>
        <v/>
      </c>
      <c r="H3805" s="5" t="str">
        <f>IF(B3805="","",股指期货基差分析!$L$11)</f>
        <v/>
      </c>
      <c r="I3805" s="9" t="str">
        <f>IF(B3805="","",股指期货基差分析!$D$11)</f>
        <v/>
      </c>
    </row>
    <row r="3806" spans="3:9" ht="15" customHeight="1" x14ac:dyDescent="0.2">
      <c r="C3806" s="5" t="str">
        <f>IF(B3806="","",[1]!s_dq_close(股指期货基差分析!$E$5,$B3806))</f>
        <v/>
      </c>
      <c r="D3806" s="5" t="str">
        <f>IF(B3806="","",[1]!s_dq_close(股指期货基差分析!$E$6,$B3806))</f>
        <v/>
      </c>
      <c r="E3806" s="4" t="e">
        <f ca="1">RANK(F3806,F:F)+COUNTIF(F$2:F3806,F3806)-1</f>
        <v>#VALUE!</v>
      </c>
      <c r="F3806" s="5" t="str">
        <f t="shared" si="60"/>
        <v/>
      </c>
      <c r="G3806" s="5" t="str">
        <f>IF(B3806="","",股指期货基差分析!$N$11)</f>
        <v/>
      </c>
      <c r="H3806" s="5" t="str">
        <f>IF(B3806="","",股指期货基差分析!$L$11)</f>
        <v/>
      </c>
      <c r="I3806" s="9" t="str">
        <f>IF(B3806="","",股指期货基差分析!$D$11)</f>
        <v/>
      </c>
    </row>
    <row r="3807" spans="3:9" ht="15" customHeight="1" x14ac:dyDescent="0.2">
      <c r="C3807" s="5" t="str">
        <f>IF(B3807="","",[1]!s_dq_close(股指期货基差分析!$E$5,$B3807))</f>
        <v/>
      </c>
      <c r="D3807" s="5" t="str">
        <f>IF(B3807="","",[1]!s_dq_close(股指期货基差分析!$E$6,$B3807))</f>
        <v/>
      </c>
      <c r="E3807" s="4" t="e">
        <f ca="1">RANK(F3807,F:F)+COUNTIF(F$2:F3807,F3807)-1</f>
        <v>#VALUE!</v>
      </c>
      <c r="F3807" s="5" t="str">
        <f t="shared" si="60"/>
        <v/>
      </c>
      <c r="G3807" s="5" t="str">
        <f>IF(B3807="","",股指期货基差分析!$N$11)</f>
        <v/>
      </c>
      <c r="H3807" s="5" t="str">
        <f>IF(B3807="","",股指期货基差分析!$L$11)</f>
        <v/>
      </c>
      <c r="I3807" s="9" t="str">
        <f>IF(B3807="","",股指期货基差分析!$D$11)</f>
        <v/>
      </c>
    </row>
    <row r="3808" spans="3:9" ht="15" customHeight="1" x14ac:dyDescent="0.2">
      <c r="C3808" s="5" t="str">
        <f>IF(B3808="","",[1]!s_dq_close(股指期货基差分析!$E$5,$B3808))</f>
        <v/>
      </c>
      <c r="D3808" s="5" t="str">
        <f>IF(B3808="","",[1]!s_dq_close(股指期货基差分析!$E$6,$B3808))</f>
        <v/>
      </c>
      <c r="E3808" s="4" t="e">
        <f ca="1">RANK(F3808,F:F)+COUNTIF(F$2:F3808,F3808)-1</f>
        <v>#VALUE!</v>
      </c>
      <c r="F3808" s="5" t="str">
        <f t="shared" si="60"/>
        <v/>
      </c>
      <c r="G3808" s="5" t="str">
        <f>IF(B3808="","",股指期货基差分析!$N$11)</f>
        <v/>
      </c>
      <c r="H3808" s="5" t="str">
        <f>IF(B3808="","",股指期货基差分析!$L$11)</f>
        <v/>
      </c>
      <c r="I3808" s="9" t="str">
        <f>IF(B3808="","",股指期货基差分析!$D$11)</f>
        <v/>
      </c>
    </row>
    <row r="3809" spans="3:9" ht="15" customHeight="1" x14ac:dyDescent="0.2">
      <c r="C3809" s="5" t="str">
        <f>IF(B3809="","",[1]!s_dq_close(股指期货基差分析!$E$5,$B3809))</f>
        <v/>
      </c>
      <c r="D3809" s="5" t="str">
        <f>IF(B3809="","",[1]!s_dq_close(股指期货基差分析!$E$6,$B3809))</f>
        <v/>
      </c>
      <c r="E3809" s="4" t="e">
        <f ca="1">RANK(F3809,F:F)+COUNTIF(F$2:F3809,F3809)-1</f>
        <v>#VALUE!</v>
      </c>
      <c r="F3809" s="5" t="str">
        <f t="shared" si="60"/>
        <v/>
      </c>
      <c r="G3809" s="5" t="str">
        <f>IF(B3809="","",股指期货基差分析!$N$11)</f>
        <v/>
      </c>
      <c r="H3809" s="5" t="str">
        <f>IF(B3809="","",股指期货基差分析!$L$11)</f>
        <v/>
      </c>
      <c r="I3809" s="9" t="str">
        <f>IF(B3809="","",股指期货基差分析!$D$11)</f>
        <v/>
      </c>
    </row>
    <row r="3810" spans="3:9" ht="15" customHeight="1" x14ac:dyDescent="0.2">
      <c r="C3810" s="5" t="str">
        <f>IF(B3810="","",[1]!s_dq_close(股指期货基差分析!$E$5,$B3810))</f>
        <v/>
      </c>
      <c r="D3810" s="5" t="str">
        <f>IF(B3810="","",[1]!s_dq_close(股指期货基差分析!$E$6,$B3810))</f>
        <v/>
      </c>
      <c r="E3810" s="4" t="e">
        <f ca="1">RANK(F3810,F:F)+COUNTIF(F$2:F3810,F3810)-1</f>
        <v>#VALUE!</v>
      </c>
      <c r="F3810" s="5" t="str">
        <f t="shared" si="60"/>
        <v/>
      </c>
      <c r="G3810" s="5" t="str">
        <f>IF(B3810="","",股指期货基差分析!$N$11)</f>
        <v/>
      </c>
      <c r="H3810" s="5" t="str">
        <f>IF(B3810="","",股指期货基差分析!$L$11)</f>
        <v/>
      </c>
      <c r="I3810" s="9" t="str">
        <f>IF(B3810="","",股指期货基差分析!$D$11)</f>
        <v/>
      </c>
    </row>
    <row r="3811" spans="3:9" ht="15" customHeight="1" x14ac:dyDescent="0.2">
      <c r="C3811" s="5" t="str">
        <f>IF(B3811="","",[1]!s_dq_close(股指期货基差分析!$E$5,$B3811))</f>
        <v/>
      </c>
      <c r="D3811" s="5" t="str">
        <f>IF(B3811="","",[1]!s_dq_close(股指期货基差分析!$E$6,$B3811))</f>
        <v/>
      </c>
      <c r="E3811" s="4" t="e">
        <f ca="1">RANK(F3811,F:F)+COUNTIF(F$2:F3811,F3811)-1</f>
        <v>#VALUE!</v>
      </c>
      <c r="F3811" s="5" t="str">
        <f t="shared" si="60"/>
        <v/>
      </c>
      <c r="G3811" s="5" t="str">
        <f>IF(B3811="","",股指期货基差分析!$N$11)</f>
        <v/>
      </c>
      <c r="H3811" s="5" t="str">
        <f>IF(B3811="","",股指期货基差分析!$L$11)</f>
        <v/>
      </c>
      <c r="I3811" s="9" t="str">
        <f>IF(B3811="","",股指期货基差分析!$D$11)</f>
        <v/>
      </c>
    </row>
    <row r="3812" spans="3:9" ht="15" customHeight="1" x14ac:dyDescent="0.2">
      <c r="C3812" s="5" t="str">
        <f>IF(B3812="","",[1]!s_dq_close(股指期货基差分析!$E$5,$B3812))</f>
        <v/>
      </c>
      <c r="D3812" s="5" t="str">
        <f>IF(B3812="","",[1]!s_dq_close(股指期货基差分析!$E$6,$B3812))</f>
        <v/>
      </c>
      <c r="E3812" s="4" t="e">
        <f ca="1">RANK(F3812,F:F)+COUNTIF(F$2:F3812,F3812)-1</f>
        <v>#VALUE!</v>
      </c>
      <c r="F3812" s="5" t="str">
        <f t="shared" si="60"/>
        <v/>
      </c>
      <c r="G3812" s="5" t="str">
        <f>IF(B3812="","",股指期货基差分析!$N$11)</f>
        <v/>
      </c>
      <c r="H3812" s="5" t="str">
        <f>IF(B3812="","",股指期货基差分析!$L$11)</f>
        <v/>
      </c>
      <c r="I3812" s="9" t="str">
        <f>IF(B3812="","",股指期货基差分析!$D$11)</f>
        <v/>
      </c>
    </row>
    <row r="3813" spans="3:9" ht="15" customHeight="1" x14ac:dyDescent="0.2">
      <c r="C3813" s="5" t="str">
        <f>IF(B3813="","",[1]!s_dq_close(股指期货基差分析!$E$5,$B3813))</f>
        <v/>
      </c>
      <c r="D3813" s="5" t="str">
        <f>IF(B3813="","",[1]!s_dq_close(股指期货基差分析!$E$6,$B3813))</f>
        <v/>
      </c>
      <c r="E3813" s="4" t="e">
        <f ca="1">RANK(F3813,F:F)+COUNTIF(F$2:F3813,F3813)-1</f>
        <v>#VALUE!</v>
      </c>
      <c r="F3813" s="5" t="str">
        <f t="shared" si="60"/>
        <v/>
      </c>
      <c r="G3813" s="5" t="str">
        <f>IF(B3813="","",股指期货基差分析!$N$11)</f>
        <v/>
      </c>
      <c r="H3813" s="5" t="str">
        <f>IF(B3813="","",股指期货基差分析!$L$11)</f>
        <v/>
      </c>
      <c r="I3813" s="9" t="str">
        <f>IF(B3813="","",股指期货基差分析!$D$11)</f>
        <v/>
      </c>
    </row>
    <row r="3814" spans="3:9" ht="15" customHeight="1" x14ac:dyDescent="0.2">
      <c r="C3814" s="5" t="str">
        <f>IF(B3814="","",[1]!s_dq_close(股指期货基差分析!$E$5,$B3814))</f>
        <v/>
      </c>
      <c r="D3814" s="5" t="str">
        <f>IF(B3814="","",[1]!s_dq_close(股指期货基差分析!$E$6,$B3814))</f>
        <v/>
      </c>
      <c r="E3814" s="4" t="e">
        <f ca="1">RANK(F3814,F:F)+COUNTIF(F$2:F3814,F3814)-1</f>
        <v>#VALUE!</v>
      </c>
      <c r="F3814" s="5" t="str">
        <f t="shared" si="60"/>
        <v/>
      </c>
      <c r="G3814" s="5" t="str">
        <f>IF(B3814="","",股指期货基差分析!$N$11)</f>
        <v/>
      </c>
      <c r="H3814" s="5" t="str">
        <f>IF(B3814="","",股指期货基差分析!$L$11)</f>
        <v/>
      </c>
      <c r="I3814" s="9" t="str">
        <f>IF(B3814="","",股指期货基差分析!$D$11)</f>
        <v/>
      </c>
    </row>
    <row r="3815" spans="3:9" ht="15" customHeight="1" x14ac:dyDescent="0.2">
      <c r="C3815" s="5" t="str">
        <f>IF(B3815="","",[1]!s_dq_close(股指期货基差分析!$E$5,$B3815))</f>
        <v/>
      </c>
      <c r="D3815" s="5" t="str">
        <f>IF(B3815="","",[1]!s_dq_close(股指期货基差分析!$E$6,$B3815))</f>
        <v/>
      </c>
      <c r="E3815" s="4" t="e">
        <f ca="1">RANK(F3815,F:F)+COUNTIF(F$2:F3815,F3815)-1</f>
        <v>#VALUE!</v>
      </c>
      <c r="F3815" s="5" t="str">
        <f t="shared" si="60"/>
        <v/>
      </c>
      <c r="G3815" s="5" t="str">
        <f>IF(B3815="","",股指期货基差分析!$N$11)</f>
        <v/>
      </c>
      <c r="H3815" s="5" t="str">
        <f>IF(B3815="","",股指期货基差分析!$L$11)</f>
        <v/>
      </c>
      <c r="I3815" s="9" t="str">
        <f>IF(B3815="","",股指期货基差分析!$D$11)</f>
        <v/>
      </c>
    </row>
    <row r="3816" spans="3:9" ht="15" customHeight="1" x14ac:dyDescent="0.2">
      <c r="C3816" s="5" t="str">
        <f>IF(B3816="","",[1]!s_dq_close(股指期货基差分析!$E$5,$B3816))</f>
        <v/>
      </c>
      <c r="D3816" s="5" t="str">
        <f>IF(B3816="","",[1]!s_dq_close(股指期货基差分析!$E$6,$B3816))</f>
        <v/>
      </c>
      <c r="E3816" s="4" t="e">
        <f ca="1">RANK(F3816,F:F)+COUNTIF(F$2:F3816,F3816)-1</f>
        <v>#VALUE!</v>
      </c>
      <c r="F3816" s="5" t="str">
        <f t="shared" si="60"/>
        <v/>
      </c>
      <c r="G3816" s="5" t="str">
        <f>IF(B3816="","",股指期货基差分析!$N$11)</f>
        <v/>
      </c>
      <c r="H3816" s="5" t="str">
        <f>IF(B3816="","",股指期货基差分析!$L$11)</f>
        <v/>
      </c>
      <c r="I3816" s="9" t="str">
        <f>IF(B3816="","",股指期货基差分析!$D$11)</f>
        <v/>
      </c>
    </row>
    <row r="3817" spans="3:9" ht="15" customHeight="1" x14ac:dyDescent="0.2">
      <c r="C3817" s="5" t="str">
        <f>IF(B3817="","",[1]!s_dq_close(股指期货基差分析!$E$5,$B3817))</f>
        <v/>
      </c>
      <c r="D3817" s="5" t="str">
        <f>IF(B3817="","",[1]!s_dq_close(股指期货基差分析!$E$6,$B3817))</f>
        <v/>
      </c>
      <c r="E3817" s="4" t="e">
        <f ca="1">RANK(F3817,F:F)+COUNTIF(F$2:F3817,F3817)-1</f>
        <v>#VALUE!</v>
      </c>
      <c r="F3817" s="5" t="str">
        <f t="shared" si="60"/>
        <v/>
      </c>
      <c r="G3817" s="5" t="str">
        <f>IF(B3817="","",股指期货基差分析!$N$11)</f>
        <v/>
      </c>
      <c r="H3817" s="5" t="str">
        <f>IF(B3817="","",股指期货基差分析!$L$11)</f>
        <v/>
      </c>
      <c r="I3817" s="9" t="str">
        <f>IF(B3817="","",股指期货基差分析!$D$11)</f>
        <v/>
      </c>
    </row>
    <row r="3818" spans="3:9" ht="15" customHeight="1" x14ac:dyDescent="0.2">
      <c r="C3818" s="5" t="str">
        <f>IF(B3818="","",[1]!s_dq_close(股指期货基差分析!$E$5,$B3818))</f>
        <v/>
      </c>
      <c r="D3818" s="5" t="str">
        <f>IF(B3818="","",[1]!s_dq_close(股指期货基差分析!$E$6,$B3818))</f>
        <v/>
      </c>
      <c r="E3818" s="4" t="e">
        <f ca="1">RANK(F3818,F:F)+COUNTIF(F$2:F3818,F3818)-1</f>
        <v>#VALUE!</v>
      </c>
      <c r="F3818" s="5" t="str">
        <f t="shared" si="60"/>
        <v/>
      </c>
      <c r="G3818" s="5" t="str">
        <f>IF(B3818="","",股指期货基差分析!$N$11)</f>
        <v/>
      </c>
      <c r="H3818" s="5" t="str">
        <f>IF(B3818="","",股指期货基差分析!$L$11)</f>
        <v/>
      </c>
      <c r="I3818" s="9" t="str">
        <f>IF(B3818="","",股指期货基差分析!$D$11)</f>
        <v/>
      </c>
    </row>
    <row r="3819" spans="3:9" ht="15" customHeight="1" x14ac:dyDescent="0.2">
      <c r="C3819" s="5" t="str">
        <f>IF(B3819="","",[1]!s_dq_close(股指期货基差分析!$E$5,$B3819))</f>
        <v/>
      </c>
      <c r="D3819" s="5" t="str">
        <f>IF(B3819="","",[1]!s_dq_close(股指期货基差分析!$E$6,$B3819))</f>
        <v/>
      </c>
      <c r="E3819" s="4" t="e">
        <f ca="1">RANK(F3819,F:F)+COUNTIF(F$2:F3819,F3819)-1</f>
        <v>#VALUE!</v>
      </c>
      <c r="F3819" s="5" t="str">
        <f t="shared" si="60"/>
        <v/>
      </c>
      <c r="G3819" s="5" t="str">
        <f>IF(B3819="","",股指期货基差分析!$N$11)</f>
        <v/>
      </c>
      <c r="H3819" s="5" t="str">
        <f>IF(B3819="","",股指期货基差分析!$L$11)</f>
        <v/>
      </c>
      <c r="I3819" s="9" t="str">
        <f>IF(B3819="","",股指期货基差分析!$D$11)</f>
        <v/>
      </c>
    </row>
    <row r="3820" spans="3:9" ht="15" customHeight="1" x14ac:dyDescent="0.2">
      <c r="C3820" s="5" t="str">
        <f>IF(B3820="","",[1]!s_dq_close(股指期货基差分析!$E$5,$B3820))</f>
        <v/>
      </c>
      <c r="D3820" s="5" t="str">
        <f>IF(B3820="","",[1]!s_dq_close(股指期货基差分析!$E$6,$B3820))</f>
        <v/>
      </c>
      <c r="E3820" s="4" t="e">
        <f ca="1">RANK(F3820,F:F)+COUNTIF(F$2:F3820,F3820)-1</f>
        <v>#VALUE!</v>
      </c>
      <c r="F3820" s="5" t="str">
        <f t="shared" si="60"/>
        <v/>
      </c>
      <c r="G3820" s="5" t="str">
        <f>IF(B3820="","",股指期货基差分析!$N$11)</f>
        <v/>
      </c>
      <c r="H3820" s="5" t="str">
        <f>IF(B3820="","",股指期货基差分析!$L$11)</f>
        <v/>
      </c>
      <c r="I3820" s="9" t="str">
        <f>IF(B3820="","",股指期货基差分析!$D$11)</f>
        <v/>
      </c>
    </row>
    <row r="3821" spans="3:9" ht="15" customHeight="1" x14ac:dyDescent="0.2">
      <c r="C3821" s="5" t="str">
        <f>IF(B3821="","",[1]!s_dq_close(股指期货基差分析!$E$5,$B3821))</f>
        <v/>
      </c>
      <c r="D3821" s="5" t="str">
        <f>IF(B3821="","",[1]!s_dq_close(股指期货基差分析!$E$6,$B3821))</f>
        <v/>
      </c>
      <c r="E3821" s="4" t="e">
        <f ca="1">RANK(F3821,F:F)+COUNTIF(F$2:F3821,F3821)-1</f>
        <v>#VALUE!</v>
      </c>
      <c r="F3821" s="5" t="str">
        <f t="shared" si="60"/>
        <v/>
      </c>
      <c r="G3821" s="5" t="str">
        <f>IF(B3821="","",股指期货基差分析!$N$11)</f>
        <v/>
      </c>
      <c r="H3821" s="5" t="str">
        <f>IF(B3821="","",股指期货基差分析!$L$11)</f>
        <v/>
      </c>
      <c r="I3821" s="9" t="str">
        <f>IF(B3821="","",股指期货基差分析!$D$11)</f>
        <v/>
      </c>
    </row>
    <row r="3822" spans="3:9" ht="15" customHeight="1" x14ac:dyDescent="0.2">
      <c r="C3822" s="5" t="str">
        <f>IF(B3822="","",[1]!s_dq_close(股指期货基差分析!$E$5,$B3822))</f>
        <v/>
      </c>
      <c r="D3822" s="5" t="str">
        <f>IF(B3822="","",[1]!s_dq_close(股指期货基差分析!$E$6,$B3822))</f>
        <v/>
      </c>
      <c r="E3822" s="4" t="e">
        <f ca="1">RANK(F3822,F:F)+COUNTIF(F$2:F3822,F3822)-1</f>
        <v>#VALUE!</v>
      </c>
      <c r="F3822" s="5" t="str">
        <f t="shared" si="60"/>
        <v/>
      </c>
      <c r="G3822" s="5" t="str">
        <f>IF(B3822="","",股指期货基差分析!$N$11)</f>
        <v/>
      </c>
      <c r="H3822" s="5" t="str">
        <f>IF(B3822="","",股指期货基差分析!$L$11)</f>
        <v/>
      </c>
      <c r="I3822" s="9" t="str">
        <f>IF(B3822="","",股指期货基差分析!$D$11)</f>
        <v/>
      </c>
    </row>
    <row r="3823" spans="3:9" ht="15" customHeight="1" x14ac:dyDescent="0.2">
      <c r="C3823" s="5" t="str">
        <f>IF(B3823="","",[1]!s_dq_close(股指期货基差分析!$E$5,$B3823))</f>
        <v/>
      </c>
      <c r="D3823" s="5" t="str">
        <f>IF(B3823="","",[1]!s_dq_close(股指期货基差分析!$E$6,$B3823))</f>
        <v/>
      </c>
      <c r="E3823" s="4" t="e">
        <f ca="1">RANK(F3823,F:F)+COUNTIF(F$2:F3823,F3823)-1</f>
        <v>#VALUE!</v>
      </c>
      <c r="F3823" s="5" t="str">
        <f t="shared" si="60"/>
        <v/>
      </c>
      <c r="G3823" s="5" t="str">
        <f>IF(B3823="","",股指期货基差分析!$N$11)</f>
        <v/>
      </c>
      <c r="H3823" s="5" t="str">
        <f>IF(B3823="","",股指期货基差分析!$L$11)</f>
        <v/>
      </c>
      <c r="I3823" s="9" t="str">
        <f>IF(B3823="","",股指期货基差分析!$D$11)</f>
        <v/>
      </c>
    </row>
    <row r="3824" spans="3:9" ht="15" customHeight="1" x14ac:dyDescent="0.2">
      <c r="C3824" s="5" t="str">
        <f>IF(B3824="","",[1]!s_dq_close(股指期货基差分析!$E$5,$B3824))</f>
        <v/>
      </c>
      <c r="D3824" s="5" t="str">
        <f>IF(B3824="","",[1]!s_dq_close(股指期货基差分析!$E$6,$B3824))</f>
        <v/>
      </c>
      <c r="E3824" s="4" t="e">
        <f ca="1">RANK(F3824,F:F)+COUNTIF(F$2:F3824,F3824)-1</f>
        <v>#VALUE!</v>
      </c>
      <c r="F3824" s="5" t="str">
        <f t="shared" si="60"/>
        <v/>
      </c>
      <c r="G3824" s="5" t="str">
        <f>IF(B3824="","",股指期货基差分析!$N$11)</f>
        <v/>
      </c>
      <c r="H3824" s="5" t="str">
        <f>IF(B3824="","",股指期货基差分析!$L$11)</f>
        <v/>
      </c>
      <c r="I3824" s="9" t="str">
        <f>IF(B3824="","",股指期货基差分析!$D$11)</f>
        <v/>
      </c>
    </row>
    <row r="3825" spans="3:9" ht="15" customHeight="1" x14ac:dyDescent="0.2">
      <c r="C3825" s="5" t="str">
        <f>IF(B3825="","",[1]!s_dq_close(股指期货基差分析!$E$5,$B3825))</f>
        <v/>
      </c>
      <c r="D3825" s="5" t="str">
        <f>IF(B3825="","",[1]!s_dq_close(股指期货基差分析!$E$6,$B3825))</f>
        <v/>
      </c>
      <c r="E3825" s="4" t="e">
        <f ca="1">RANK(F3825,F:F)+COUNTIF(F$2:F3825,F3825)-1</f>
        <v>#VALUE!</v>
      </c>
      <c r="F3825" s="5" t="str">
        <f t="shared" si="60"/>
        <v/>
      </c>
      <c r="G3825" s="5" t="str">
        <f>IF(B3825="","",股指期货基差分析!$N$11)</f>
        <v/>
      </c>
      <c r="H3825" s="5" t="str">
        <f>IF(B3825="","",股指期货基差分析!$L$11)</f>
        <v/>
      </c>
      <c r="I3825" s="9" t="str">
        <f>IF(B3825="","",股指期货基差分析!$D$11)</f>
        <v/>
      </c>
    </row>
    <row r="3826" spans="3:9" ht="15" customHeight="1" x14ac:dyDescent="0.2">
      <c r="C3826" s="5" t="str">
        <f>IF(B3826="","",[1]!s_dq_close(股指期货基差分析!$E$5,$B3826))</f>
        <v/>
      </c>
      <c r="D3826" s="5" t="str">
        <f>IF(B3826="","",[1]!s_dq_close(股指期货基差分析!$E$6,$B3826))</f>
        <v/>
      </c>
      <c r="E3826" s="4" t="e">
        <f ca="1">RANK(F3826,F:F)+COUNTIF(F$2:F3826,F3826)-1</f>
        <v>#VALUE!</v>
      </c>
      <c r="F3826" s="5" t="str">
        <f t="shared" si="60"/>
        <v/>
      </c>
      <c r="G3826" s="5" t="str">
        <f>IF(B3826="","",股指期货基差分析!$N$11)</f>
        <v/>
      </c>
      <c r="H3826" s="5" t="str">
        <f>IF(B3826="","",股指期货基差分析!$L$11)</f>
        <v/>
      </c>
      <c r="I3826" s="9" t="str">
        <f>IF(B3826="","",股指期货基差分析!$D$11)</f>
        <v/>
      </c>
    </row>
    <row r="3827" spans="3:9" ht="15" customHeight="1" x14ac:dyDescent="0.2">
      <c r="C3827" s="5" t="str">
        <f>IF(B3827="","",[1]!s_dq_close(股指期货基差分析!$E$5,$B3827))</f>
        <v/>
      </c>
      <c r="D3827" s="5" t="str">
        <f>IF(B3827="","",[1]!s_dq_close(股指期货基差分析!$E$6,$B3827))</f>
        <v/>
      </c>
      <c r="E3827" s="4" t="e">
        <f ca="1">RANK(F3827,F:F)+COUNTIF(F$2:F3827,F3827)-1</f>
        <v>#VALUE!</v>
      </c>
      <c r="F3827" s="5" t="str">
        <f t="shared" si="60"/>
        <v/>
      </c>
      <c r="G3827" s="5" t="str">
        <f>IF(B3827="","",股指期货基差分析!$N$11)</f>
        <v/>
      </c>
      <c r="H3827" s="5" t="str">
        <f>IF(B3827="","",股指期货基差分析!$L$11)</f>
        <v/>
      </c>
      <c r="I3827" s="9" t="str">
        <f>IF(B3827="","",股指期货基差分析!$D$11)</f>
        <v/>
      </c>
    </row>
    <row r="3828" spans="3:9" ht="15" customHeight="1" x14ac:dyDescent="0.2">
      <c r="C3828" s="5" t="str">
        <f>IF(B3828="","",[1]!s_dq_close(股指期货基差分析!$E$5,$B3828))</f>
        <v/>
      </c>
      <c r="D3828" s="5" t="str">
        <f>IF(B3828="","",[1]!s_dq_close(股指期货基差分析!$E$6,$B3828))</f>
        <v/>
      </c>
      <c r="E3828" s="4" t="e">
        <f ca="1">RANK(F3828,F:F)+COUNTIF(F$2:F3828,F3828)-1</f>
        <v>#VALUE!</v>
      </c>
      <c r="F3828" s="5" t="str">
        <f t="shared" si="60"/>
        <v/>
      </c>
      <c r="G3828" s="5" t="str">
        <f>IF(B3828="","",股指期货基差分析!$N$11)</f>
        <v/>
      </c>
      <c r="H3828" s="5" t="str">
        <f>IF(B3828="","",股指期货基差分析!$L$11)</f>
        <v/>
      </c>
      <c r="I3828" s="9" t="str">
        <f>IF(B3828="","",股指期货基差分析!$D$11)</f>
        <v/>
      </c>
    </row>
    <row r="3829" spans="3:9" ht="15" customHeight="1" x14ac:dyDescent="0.2">
      <c r="C3829" s="5" t="str">
        <f>IF(B3829="","",[1]!s_dq_close(股指期货基差分析!$E$5,$B3829))</f>
        <v/>
      </c>
      <c r="D3829" s="5" t="str">
        <f>IF(B3829="","",[1]!s_dq_close(股指期货基差分析!$E$6,$B3829))</f>
        <v/>
      </c>
      <c r="E3829" s="4" t="e">
        <f ca="1">RANK(F3829,F:F)+COUNTIF(F$2:F3829,F3829)-1</f>
        <v>#VALUE!</v>
      </c>
      <c r="F3829" s="5" t="str">
        <f t="shared" si="60"/>
        <v/>
      </c>
      <c r="G3829" s="5" t="str">
        <f>IF(B3829="","",股指期货基差分析!$N$11)</f>
        <v/>
      </c>
      <c r="H3829" s="5" t="str">
        <f>IF(B3829="","",股指期货基差分析!$L$11)</f>
        <v/>
      </c>
      <c r="I3829" s="9" t="str">
        <f>IF(B3829="","",股指期货基差分析!$D$11)</f>
        <v/>
      </c>
    </row>
    <row r="3830" spans="3:9" ht="15" customHeight="1" x14ac:dyDescent="0.2">
      <c r="C3830" s="5" t="str">
        <f>IF(B3830="","",[1]!s_dq_close(股指期货基差分析!$E$5,$B3830))</f>
        <v/>
      </c>
      <c r="D3830" s="5" t="str">
        <f>IF(B3830="","",[1]!s_dq_close(股指期货基差分析!$E$6,$B3830))</f>
        <v/>
      </c>
      <c r="E3830" s="4" t="e">
        <f ca="1">RANK(F3830,F:F)+COUNTIF(F$2:F3830,F3830)-1</f>
        <v>#VALUE!</v>
      </c>
      <c r="F3830" s="5" t="str">
        <f t="shared" si="60"/>
        <v/>
      </c>
      <c r="G3830" s="5" t="str">
        <f>IF(B3830="","",股指期货基差分析!$N$11)</f>
        <v/>
      </c>
      <c r="H3830" s="5" t="str">
        <f>IF(B3830="","",股指期货基差分析!$L$11)</f>
        <v/>
      </c>
      <c r="I3830" s="9" t="str">
        <f>IF(B3830="","",股指期货基差分析!$D$11)</f>
        <v/>
      </c>
    </row>
    <row r="3831" spans="3:9" ht="15" customHeight="1" x14ac:dyDescent="0.2">
      <c r="C3831" s="5" t="str">
        <f>IF(B3831="","",[1]!s_dq_close(股指期货基差分析!$E$5,$B3831))</f>
        <v/>
      </c>
      <c r="D3831" s="5" t="str">
        <f>IF(B3831="","",[1]!s_dq_close(股指期货基差分析!$E$6,$B3831))</f>
        <v/>
      </c>
      <c r="E3831" s="4" t="e">
        <f ca="1">RANK(F3831,F:F)+COUNTIF(F$2:F3831,F3831)-1</f>
        <v>#VALUE!</v>
      </c>
      <c r="F3831" s="5" t="str">
        <f t="shared" si="60"/>
        <v/>
      </c>
      <c r="G3831" s="5" t="str">
        <f>IF(B3831="","",股指期货基差分析!$N$11)</f>
        <v/>
      </c>
      <c r="H3831" s="5" t="str">
        <f>IF(B3831="","",股指期货基差分析!$L$11)</f>
        <v/>
      </c>
      <c r="I3831" s="9" t="str">
        <f>IF(B3831="","",股指期货基差分析!$D$11)</f>
        <v/>
      </c>
    </row>
    <row r="3832" spans="3:9" ht="15" customHeight="1" x14ac:dyDescent="0.2">
      <c r="C3832" s="5" t="str">
        <f>IF(B3832="","",[1]!s_dq_close(股指期货基差分析!$E$5,$B3832))</f>
        <v/>
      </c>
      <c r="D3832" s="5" t="str">
        <f>IF(B3832="","",[1]!s_dq_close(股指期货基差分析!$E$6,$B3832))</f>
        <v/>
      </c>
      <c r="E3832" s="4" t="e">
        <f ca="1">RANK(F3832,F:F)+COUNTIF(F$2:F3832,F3832)-1</f>
        <v>#VALUE!</v>
      </c>
      <c r="F3832" s="5" t="str">
        <f t="shared" si="60"/>
        <v/>
      </c>
      <c r="G3832" s="5" t="str">
        <f>IF(B3832="","",股指期货基差分析!$N$11)</f>
        <v/>
      </c>
      <c r="H3832" s="5" t="str">
        <f>IF(B3832="","",股指期货基差分析!$L$11)</f>
        <v/>
      </c>
      <c r="I3832" s="9" t="str">
        <f>IF(B3832="","",股指期货基差分析!$D$11)</f>
        <v/>
      </c>
    </row>
    <row r="3833" spans="3:9" ht="15" customHeight="1" x14ac:dyDescent="0.2">
      <c r="C3833" s="5" t="str">
        <f>IF(B3833="","",[1]!s_dq_close(股指期货基差分析!$E$5,$B3833))</f>
        <v/>
      </c>
      <c r="D3833" s="5" t="str">
        <f>IF(B3833="","",[1]!s_dq_close(股指期货基差分析!$E$6,$B3833))</f>
        <v/>
      </c>
      <c r="E3833" s="4" t="e">
        <f ca="1">RANK(F3833,F:F)+COUNTIF(F$2:F3833,F3833)-1</f>
        <v>#VALUE!</v>
      </c>
      <c r="F3833" s="5" t="str">
        <f t="shared" si="60"/>
        <v/>
      </c>
      <c r="G3833" s="5" t="str">
        <f>IF(B3833="","",股指期货基差分析!$N$11)</f>
        <v/>
      </c>
      <c r="H3833" s="5" t="str">
        <f>IF(B3833="","",股指期货基差分析!$L$11)</f>
        <v/>
      </c>
      <c r="I3833" s="9" t="str">
        <f>IF(B3833="","",股指期货基差分析!$D$11)</f>
        <v/>
      </c>
    </row>
    <row r="3834" spans="3:9" ht="15" customHeight="1" x14ac:dyDescent="0.2">
      <c r="C3834" s="5" t="str">
        <f>IF(B3834="","",[1]!s_dq_close(股指期货基差分析!$E$5,$B3834))</f>
        <v/>
      </c>
      <c r="D3834" s="5" t="str">
        <f>IF(B3834="","",[1]!s_dq_close(股指期货基差分析!$E$6,$B3834))</f>
        <v/>
      </c>
      <c r="E3834" s="4" t="e">
        <f ca="1">RANK(F3834,F:F)+COUNTIF(F$2:F3834,F3834)-1</f>
        <v>#VALUE!</v>
      </c>
      <c r="F3834" s="5" t="str">
        <f t="shared" si="60"/>
        <v/>
      </c>
      <c r="G3834" s="5" t="str">
        <f>IF(B3834="","",股指期货基差分析!$N$11)</f>
        <v/>
      </c>
      <c r="H3834" s="5" t="str">
        <f>IF(B3834="","",股指期货基差分析!$L$11)</f>
        <v/>
      </c>
      <c r="I3834" s="9" t="str">
        <f>IF(B3834="","",股指期货基差分析!$D$11)</f>
        <v/>
      </c>
    </row>
    <row r="3835" spans="3:9" ht="15" customHeight="1" x14ac:dyDescent="0.2">
      <c r="C3835" s="5" t="str">
        <f>IF(B3835="","",[1]!s_dq_close(股指期货基差分析!$E$5,$B3835))</f>
        <v/>
      </c>
      <c r="D3835" s="5" t="str">
        <f>IF(B3835="","",[1]!s_dq_close(股指期货基差分析!$E$6,$B3835))</f>
        <v/>
      </c>
      <c r="E3835" s="4" t="e">
        <f ca="1">RANK(F3835,F:F)+COUNTIF(F$2:F3835,F3835)-1</f>
        <v>#VALUE!</v>
      </c>
      <c r="F3835" s="5" t="str">
        <f t="shared" si="60"/>
        <v/>
      </c>
      <c r="G3835" s="5" t="str">
        <f>IF(B3835="","",股指期货基差分析!$N$11)</f>
        <v/>
      </c>
      <c r="H3835" s="5" t="str">
        <f>IF(B3835="","",股指期货基差分析!$L$11)</f>
        <v/>
      </c>
      <c r="I3835" s="9" t="str">
        <f>IF(B3835="","",股指期货基差分析!$D$11)</f>
        <v/>
      </c>
    </row>
    <row r="3836" spans="3:9" ht="15" customHeight="1" x14ac:dyDescent="0.2">
      <c r="C3836" s="5" t="str">
        <f>IF(B3836="","",[1]!s_dq_close(股指期货基差分析!$E$5,$B3836))</f>
        <v/>
      </c>
      <c r="D3836" s="5" t="str">
        <f>IF(B3836="","",[1]!s_dq_close(股指期货基差分析!$E$6,$B3836))</f>
        <v/>
      </c>
      <c r="E3836" s="4" t="e">
        <f ca="1">RANK(F3836,F:F)+COUNTIF(F$2:F3836,F3836)-1</f>
        <v>#VALUE!</v>
      </c>
      <c r="F3836" s="5" t="str">
        <f t="shared" si="60"/>
        <v/>
      </c>
      <c r="G3836" s="5" t="str">
        <f>IF(B3836="","",股指期货基差分析!$N$11)</f>
        <v/>
      </c>
      <c r="H3836" s="5" t="str">
        <f>IF(B3836="","",股指期货基差分析!$L$11)</f>
        <v/>
      </c>
      <c r="I3836" s="9" t="str">
        <f>IF(B3836="","",股指期货基差分析!$D$11)</f>
        <v/>
      </c>
    </row>
    <row r="3837" spans="3:9" ht="15" customHeight="1" x14ac:dyDescent="0.2">
      <c r="C3837" s="5" t="str">
        <f>IF(B3837="","",[1]!s_dq_close(股指期货基差分析!$E$5,$B3837))</f>
        <v/>
      </c>
      <c r="D3837" s="5" t="str">
        <f>IF(B3837="","",[1]!s_dq_close(股指期货基差分析!$E$6,$B3837))</f>
        <v/>
      </c>
      <c r="E3837" s="4" t="e">
        <f ca="1">RANK(F3837,F:F)+COUNTIF(F$2:F3837,F3837)-1</f>
        <v>#VALUE!</v>
      </c>
      <c r="F3837" s="5" t="str">
        <f t="shared" si="60"/>
        <v/>
      </c>
      <c r="G3837" s="5" t="str">
        <f>IF(B3837="","",股指期货基差分析!$N$11)</f>
        <v/>
      </c>
      <c r="H3837" s="5" t="str">
        <f>IF(B3837="","",股指期货基差分析!$L$11)</f>
        <v/>
      </c>
      <c r="I3837" s="9" t="str">
        <f>IF(B3837="","",股指期货基差分析!$D$11)</f>
        <v/>
      </c>
    </row>
    <row r="3838" spans="3:9" ht="15" customHeight="1" x14ac:dyDescent="0.2">
      <c r="C3838" s="5" t="str">
        <f>IF(B3838="","",[1]!s_dq_close(股指期货基差分析!$E$5,$B3838))</f>
        <v/>
      </c>
      <c r="D3838" s="5" t="str">
        <f>IF(B3838="","",[1]!s_dq_close(股指期货基差分析!$E$6,$B3838))</f>
        <v/>
      </c>
      <c r="E3838" s="4" t="e">
        <f ca="1">RANK(F3838,F:F)+COUNTIF(F$2:F3838,F3838)-1</f>
        <v>#VALUE!</v>
      </c>
      <c r="F3838" s="5" t="str">
        <f t="shared" si="60"/>
        <v/>
      </c>
      <c r="G3838" s="5" t="str">
        <f>IF(B3838="","",股指期货基差分析!$N$11)</f>
        <v/>
      </c>
      <c r="H3838" s="5" t="str">
        <f>IF(B3838="","",股指期货基差分析!$L$11)</f>
        <v/>
      </c>
      <c r="I3838" s="9" t="str">
        <f>IF(B3838="","",股指期货基差分析!$D$11)</f>
        <v/>
      </c>
    </row>
    <row r="3839" spans="3:9" ht="15" customHeight="1" x14ac:dyDescent="0.2">
      <c r="C3839" s="5" t="str">
        <f>IF(B3839="","",[1]!s_dq_close(股指期货基差分析!$E$5,$B3839))</f>
        <v/>
      </c>
      <c r="D3839" s="5" t="str">
        <f>IF(B3839="","",[1]!s_dq_close(股指期货基差分析!$E$6,$B3839))</f>
        <v/>
      </c>
      <c r="E3839" s="4" t="e">
        <f ca="1">RANK(F3839,F:F)+COUNTIF(F$2:F3839,F3839)-1</f>
        <v>#VALUE!</v>
      </c>
      <c r="F3839" s="5" t="str">
        <f t="shared" si="60"/>
        <v/>
      </c>
      <c r="G3839" s="5" t="str">
        <f>IF(B3839="","",股指期货基差分析!$N$11)</f>
        <v/>
      </c>
      <c r="H3839" s="5" t="str">
        <f>IF(B3839="","",股指期货基差分析!$L$11)</f>
        <v/>
      </c>
      <c r="I3839" s="9" t="str">
        <f>IF(B3839="","",股指期货基差分析!$D$11)</f>
        <v/>
      </c>
    </row>
    <row r="3840" spans="3:9" ht="15" customHeight="1" x14ac:dyDescent="0.2">
      <c r="C3840" s="5" t="str">
        <f>IF(B3840="","",[1]!s_dq_close(股指期货基差分析!$E$5,$B3840))</f>
        <v/>
      </c>
      <c r="D3840" s="5" t="str">
        <f>IF(B3840="","",[1]!s_dq_close(股指期货基差分析!$E$6,$B3840))</f>
        <v/>
      </c>
      <c r="E3840" s="4" t="e">
        <f ca="1">RANK(F3840,F:F)+COUNTIF(F$2:F3840,F3840)-1</f>
        <v>#VALUE!</v>
      </c>
      <c r="F3840" s="5" t="str">
        <f t="shared" si="60"/>
        <v/>
      </c>
      <c r="G3840" s="5" t="str">
        <f>IF(B3840="","",股指期货基差分析!$N$11)</f>
        <v/>
      </c>
      <c r="H3840" s="5" t="str">
        <f>IF(B3840="","",股指期货基差分析!$L$11)</f>
        <v/>
      </c>
      <c r="I3840" s="9" t="str">
        <f>IF(B3840="","",股指期货基差分析!$D$11)</f>
        <v/>
      </c>
    </row>
    <row r="3841" spans="3:9" ht="15" customHeight="1" x14ac:dyDescent="0.2">
      <c r="C3841" s="5" t="str">
        <f>IF(B3841="","",[1]!s_dq_close(股指期货基差分析!$E$5,$B3841))</f>
        <v/>
      </c>
      <c r="D3841" s="5" t="str">
        <f>IF(B3841="","",[1]!s_dq_close(股指期货基差分析!$E$6,$B3841))</f>
        <v/>
      </c>
      <c r="E3841" s="4" t="e">
        <f ca="1">RANK(F3841,F:F)+COUNTIF(F$2:F3841,F3841)-1</f>
        <v>#VALUE!</v>
      </c>
      <c r="F3841" s="5" t="str">
        <f t="shared" si="60"/>
        <v/>
      </c>
      <c r="G3841" s="5" t="str">
        <f>IF(B3841="","",股指期货基差分析!$N$11)</f>
        <v/>
      </c>
      <c r="H3841" s="5" t="str">
        <f>IF(B3841="","",股指期货基差分析!$L$11)</f>
        <v/>
      </c>
      <c r="I3841" s="9" t="str">
        <f>IF(B3841="","",股指期货基差分析!$D$11)</f>
        <v/>
      </c>
    </row>
    <row r="3842" spans="3:9" ht="15" customHeight="1" x14ac:dyDescent="0.2">
      <c r="C3842" s="5" t="str">
        <f>IF(B3842="","",[1]!s_dq_close(股指期货基差分析!$E$5,$B3842))</f>
        <v/>
      </c>
      <c r="D3842" s="5" t="str">
        <f>IF(B3842="","",[1]!s_dq_close(股指期货基差分析!$E$6,$B3842))</f>
        <v/>
      </c>
      <c r="E3842" s="4" t="e">
        <f ca="1">RANK(F3842,F:F)+COUNTIF(F$2:F3842,F3842)-1</f>
        <v>#VALUE!</v>
      </c>
      <c r="F3842" s="5" t="str">
        <f t="shared" ref="F3842:F3905" si="61">IF(B3842="","",D3842-C3842)</f>
        <v/>
      </c>
      <c r="G3842" s="5" t="str">
        <f>IF(B3842="","",股指期货基差分析!$N$11)</f>
        <v/>
      </c>
      <c r="H3842" s="5" t="str">
        <f>IF(B3842="","",股指期货基差分析!$L$11)</f>
        <v/>
      </c>
      <c r="I3842" s="9" t="str">
        <f>IF(B3842="","",股指期货基差分析!$D$11)</f>
        <v/>
      </c>
    </row>
    <row r="3843" spans="3:9" ht="15" customHeight="1" x14ac:dyDescent="0.2">
      <c r="C3843" s="5" t="str">
        <f>IF(B3843="","",[1]!s_dq_close(股指期货基差分析!$E$5,$B3843))</f>
        <v/>
      </c>
      <c r="D3843" s="5" t="str">
        <f>IF(B3843="","",[1]!s_dq_close(股指期货基差分析!$E$6,$B3843))</f>
        <v/>
      </c>
      <c r="E3843" s="4" t="e">
        <f ca="1">RANK(F3843,F:F)+COUNTIF(F$2:F3843,F3843)-1</f>
        <v>#VALUE!</v>
      </c>
      <c r="F3843" s="5" t="str">
        <f t="shared" si="61"/>
        <v/>
      </c>
      <c r="G3843" s="5" t="str">
        <f>IF(B3843="","",股指期货基差分析!$N$11)</f>
        <v/>
      </c>
      <c r="H3843" s="5" t="str">
        <f>IF(B3843="","",股指期货基差分析!$L$11)</f>
        <v/>
      </c>
      <c r="I3843" s="9" t="str">
        <f>IF(B3843="","",股指期货基差分析!$D$11)</f>
        <v/>
      </c>
    </row>
    <row r="3844" spans="3:9" ht="15" customHeight="1" x14ac:dyDescent="0.2">
      <c r="C3844" s="5" t="str">
        <f>IF(B3844="","",[1]!s_dq_close(股指期货基差分析!$E$5,$B3844))</f>
        <v/>
      </c>
      <c r="D3844" s="5" t="str">
        <f>IF(B3844="","",[1]!s_dq_close(股指期货基差分析!$E$6,$B3844))</f>
        <v/>
      </c>
      <c r="E3844" s="4" t="e">
        <f ca="1">RANK(F3844,F:F)+COUNTIF(F$2:F3844,F3844)-1</f>
        <v>#VALUE!</v>
      </c>
      <c r="F3844" s="5" t="str">
        <f t="shared" si="61"/>
        <v/>
      </c>
      <c r="G3844" s="5" t="str">
        <f>IF(B3844="","",股指期货基差分析!$N$11)</f>
        <v/>
      </c>
      <c r="H3844" s="5" t="str">
        <f>IF(B3844="","",股指期货基差分析!$L$11)</f>
        <v/>
      </c>
      <c r="I3844" s="9" t="str">
        <f>IF(B3844="","",股指期货基差分析!$D$11)</f>
        <v/>
      </c>
    </row>
    <row r="3845" spans="3:9" ht="15" customHeight="1" x14ac:dyDescent="0.2">
      <c r="C3845" s="5" t="str">
        <f>IF(B3845="","",[1]!s_dq_close(股指期货基差分析!$E$5,$B3845))</f>
        <v/>
      </c>
      <c r="D3845" s="5" t="str">
        <f>IF(B3845="","",[1]!s_dq_close(股指期货基差分析!$E$6,$B3845))</f>
        <v/>
      </c>
      <c r="E3845" s="4" t="e">
        <f ca="1">RANK(F3845,F:F)+COUNTIF(F$2:F3845,F3845)-1</f>
        <v>#VALUE!</v>
      </c>
      <c r="F3845" s="5" t="str">
        <f t="shared" si="61"/>
        <v/>
      </c>
      <c r="G3845" s="5" t="str">
        <f>IF(B3845="","",股指期货基差分析!$N$11)</f>
        <v/>
      </c>
      <c r="H3845" s="5" t="str">
        <f>IF(B3845="","",股指期货基差分析!$L$11)</f>
        <v/>
      </c>
      <c r="I3845" s="9" t="str">
        <f>IF(B3845="","",股指期货基差分析!$D$11)</f>
        <v/>
      </c>
    </row>
    <row r="3846" spans="3:9" ht="15" customHeight="1" x14ac:dyDescent="0.2">
      <c r="C3846" s="5" t="str">
        <f>IF(B3846="","",[1]!s_dq_close(股指期货基差分析!$E$5,$B3846))</f>
        <v/>
      </c>
      <c r="D3846" s="5" t="str">
        <f>IF(B3846="","",[1]!s_dq_close(股指期货基差分析!$E$6,$B3846))</f>
        <v/>
      </c>
      <c r="E3846" s="4" t="e">
        <f ca="1">RANK(F3846,F:F)+COUNTIF(F$2:F3846,F3846)-1</f>
        <v>#VALUE!</v>
      </c>
      <c r="F3846" s="5" t="str">
        <f t="shared" si="61"/>
        <v/>
      </c>
      <c r="G3846" s="5" t="str">
        <f>IF(B3846="","",股指期货基差分析!$N$11)</f>
        <v/>
      </c>
      <c r="H3846" s="5" t="str">
        <f>IF(B3846="","",股指期货基差分析!$L$11)</f>
        <v/>
      </c>
      <c r="I3846" s="9" t="str">
        <f>IF(B3846="","",股指期货基差分析!$D$11)</f>
        <v/>
      </c>
    </row>
    <row r="3847" spans="3:9" ht="15" customHeight="1" x14ac:dyDescent="0.2">
      <c r="C3847" s="5" t="str">
        <f>IF(B3847="","",[1]!s_dq_close(股指期货基差分析!$E$5,$B3847))</f>
        <v/>
      </c>
      <c r="D3847" s="5" t="str">
        <f>IF(B3847="","",[1]!s_dq_close(股指期货基差分析!$E$6,$B3847))</f>
        <v/>
      </c>
      <c r="E3847" s="4" t="e">
        <f ca="1">RANK(F3847,F:F)+COUNTIF(F$2:F3847,F3847)-1</f>
        <v>#VALUE!</v>
      </c>
      <c r="F3847" s="5" t="str">
        <f t="shared" si="61"/>
        <v/>
      </c>
      <c r="G3847" s="5" t="str">
        <f>IF(B3847="","",股指期货基差分析!$N$11)</f>
        <v/>
      </c>
      <c r="H3847" s="5" t="str">
        <f>IF(B3847="","",股指期货基差分析!$L$11)</f>
        <v/>
      </c>
      <c r="I3847" s="9" t="str">
        <f>IF(B3847="","",股指期货基差分析!$D$11)</f>
        <v/>
      </c>
    </row>
    <row r="3848" spans="3:9" ht="15" customHeight="1" x14ac:dyDescent="0.2">
      <c r="C3848" s="5" t="str">
        <f>IF(B3848="","",[1]!s_dq_close(股指期货基差分析!$E$5,$B3848))</f>
        <v/>
      </c>
      <c r="D3848" s="5" t="str">
        <f>IF(B3848="","",[1]!s_dq_close(股指期货基差分析!$E$6,$B3848))</f>
        <v/>
      </c>
      <c r="E3848" s="4" t="e">
        <f ca="1">RANK(F3848,F:F)+COUNTIF(F$2:F3848,F3848)-1</f>
        <v>#VALUE!</v>
      </c>
      <c r="F3848" s="5" t="str">
        <f t="shared" si="61"/>
        <v/>
      </c>
      <c r="G3848" s="5" t="str">
        <f>IF(B3848="","",股指期货基差分析!$N$11)</f>
        <v/>
      </c>
      <c r="H3848" s="5" t="str">
        <f>IF(B3848="","",股指期货基差分析!$L$11)</f>
        <v/>
      </c>
      <c r="I3848" s="9" t="str">
        <f>IF(B3848="","",股指期货基差分析!$D$11)</f>
        <v/>
      </c>
    </row>
    <row r="3849" spans="3:9" ht="15" customHeight="1" x14ac:dyDescent="0.2">
      <c r="C3849" s="5" t="str">
        <f>IF(B3849="","",[1]!s_dq_close(股指期货基差分析!$E$5,$B3849))</f>
        <v/>
      </c>
      <c r="D3849" s="5" t="str">
        <f>IF(B3849="","",[1]!s_dq_close(股指期货基差分析!$E$6,$B3849))</f>
        <v/>
      </c>
      <c r="E3849" s="4" t="e">
        <f ca="1">RANK(F3849,F:F)+COUNTIF(F$2:F3849,F3849)-1</f>
        <v>#VALUE!</v>
      </c>
      <c r="F3849" s="5" t="str">
        <f t="shared" si="61"/>
        <v/>
      </c>
      <c r="G3849" s="5" t="str">
        <f>IF(B3849="","",股指期货基差分析!$N$11)</f>
        <v/>
      </c>
      <c r="H3849" s="5" t="str">
        <f>IF(B3849="","",股指期货基差分析!$L$11)</f>
        <v/>
      </c>
      <c r="I3849" s="9" t="str">
        <f>IF(B3849="","",股指期货基差分析!$D$11)</f>
        <v/>
      </c>
    </row>
    <row r="3850" spans="3:9" ht="15" customHeight="1" x14ac:dyDescent="0.2">
      <c r="C3850" s="5" t="str">
        <f>IF(B3850="","",[1]!s_dq_close(股指期货基差分析!$E$5,$B3850))</f>
        <v/>
      </c>
      <c r="D3850" s="5" t="str">
        <f>IF(B3850="","",[1]!s_dq_close(股指期货基差分析!$E$6,$B3850))</f>
        <v/>
      </c>
      <c r="E3850" s="4" t="e">
        <f ca="1">RANK(F3850,F:F)+COUNTIF(F$2:F3850,F3850)-1</f>
        <v>#VALUE!</v>
      </c>
      <c r="F3850" s="5" t="str">
        <f t="shared" si="61"/>
        <v/>
      </c>
      <c r="G3850" s="5" t="str">
        <f>IF(B3850="","",股指期货基差分析!$N$11)</f>
        <v/>
      </c>
      <c r="H3850" s="5" t="str">
        <f>IF(B3850="","",股指期货基差分析!$L$11)</f>
        <v/>
      </c>
      <c r="I3850" s="9" t="str">
        <f>IF(B3850="","",股指期货基差分析!$D$11)</f>
        <v/>
      </c>
    </row>
    <row r="3851" spans="3:9" ht="15" customHeight="1" x14ac:dyDescent="0.2">
      <c r="C3851" s="5" t="str">
        <f>IF(B3851="","",[1]!s_dq_close(股指期货基差分析!$E$5,$B3851))</f>
        <v/>
      </c>
      <c r="D3851" s="5" t="str">
        <f>IF(B3851="","",[1]!s_dq_close(股指期货基差分析!$E$6,$B3851))</f>
        <v/>
      </c>
      <c r="E3851" s="4" t="e">
        <f ca="1">RANK(F3851,F:F)+COUNTIF(F$2:F3851,F3851)-1</f>
        <v>#VALUE!</v>
      </c>
      <c r="F3851" s="5" t="str">
        <f t="shared" si="61"/>
        <v/>
      </c>
      <c r="G3851" s="5" t="str">
        <f>IF(B3851="","",股指期货基差分析!$N$11)</f>
        <v/>
      </c>
      <c r="H3851" s="5" t="str">
        <f>IF(B3851="","",股指期货基差分析!$L$11)</f>
        <v/>
      </c>
      <c r="I3851" s="9" t="str">
        <f>IF(B3851="","",股指期货基差分析!$D$11)</f>
        <v/>
      </c>
    </row>
    <row r="3852" spans="3:9" ht="15" customHeight="1" x14ac:dyDescent="0.2">
      <c r="C3852" s="5" t="str">
        <f>IF(B3852="","",[1]!s_dq_close(股指期货基差分析!$E$5,$B3852))</f>
        <v/>
      </c>
      <c r="D3852" s="5" t="str">
        <f>IF(B3852="","",[1]!s_dq_close(股指期货基差分析!$E$6,$B3852))</f>
        <v/>
      </c>
      <c r="E3852" s="4" t="e">
        <f ca="1">RANK(F3852,F:F)+COUNTIF(F$2:F3852,F3852)-1</f>
        <v>#VALUE!</v>
      </c>
      <c r="F3852" s="5" t="str">
        <f t="shared" si="61"/>
        <v/>
      </c>
      <c r="G3852" s="5" t="str">
        <f>IF(B3852="","",股指期货基差分析!$N$11)</f>
        <v/>
      </c>
      <c r="H3852" s="5" t="str">
        <f>IF(B3852="","",股指期货基差分析!$L$11)</f>
        <v/>
      </c>
      <c r="I3852" s="9" t="str">
        <f>IF(B3852="","",股指期货基差分析!$D$11)</f>
        <v/>
      </c>
    </row>
    <row r="3853" spans="3:9" ht="15" customHeight="1" x14ac:dyDescent="0.2">
      <c r="C3853" s="5" t="str">
        <f>IF(B3853="","",[1]!s_dq_close(股指期货基差分析!$E$5,$B3853))</f>
        <v/>
      </c>
      <c r="D3853" s="5" t="str">
        <f>IF(B3853="","",[1]!s_dq_close(股指期货基差分析!$E$6,$B3853))</f>
        <v/>
      </c>
      <c r="E3853" s="4" t="e">
        <f ca="1">RANK(F3853,F:F)+COUNTIF(F$2:F3853,F3853)-1</f>
        <v>#VALUE!</v>
      </c>
      <c r="F3853" s="5" t="str">
        <f t="shared" si="61"/>
        <v/>
      </c>
      <c r="G3853" s="5" t="str">
        <f>IF(B3853="","",股指期货基差分析!$N$11)</f>
        <v/>
      </c>
      <c r="H3853" s="5" t="str">
        <f>IF(B3853="","",股指期货基差分析!$L$11)</f>
        <v/>
      </c>
      <c r="I3853" s="9" t="str">
        <f>IF(B3853="","",股指期货基差分析!$D$11)</f>
        <v/>
      </c>
    </row>
    <row r="3854" spans="3:9" ht="15" customHeight="1" x14ac:dyDescent="0.2">
      <c r="C3854" s="5" t="str">
        <f>IF(B3854="","",[1]!s_dq_close(股指期货基差分析!$E$5,$B3854))</f>
        <v/>
      </c>
      <c r="D3854" s="5" t="str">
        <f>IF(B3854="","",[1]!s_dq_close(股指期货基差分析!$E$6,$B3854))</f>
        <v/>
      </c>
      <c r="E3854" s="4" t="e">
        <f ca="1">RANK(F3854,F:F)+COUNTIF(F$2:F3854,F3854)-1</f>
        <v>#VALUE!</v>
      </c>
      <c r="F3854" s="5" t="str">
        <f t="shared" si="61"/>
        <v/>
      </c>
      <c r="G3854" s="5" t="str">
        <f>IF(B3854="","",股指期货基差分析!$N$11)</f>
        <v/>
      </c>
      <c r="H3854" s="5" t="str">
        <f>IF(B3854="","",股指期货基差分析!$L$11)</f>
        <v/>
      </c>
      <c r="I3854" s="9" t="str">
        <f>IF(B3854="","",股指期货基差分析!$D$11)</f>
        <v/>
      </c>
    </row>
    <row r="3855" spans="3:9" ht="15" customHeight="1" x14ac:dyDescent="0.2">
      <c r="C3855" s="5" t="str">
        <f>IF(B3855="","",[1]!s_dq_close(股指期货基差分析!$E$5,$B3855))</f>
        <v/>
      </c>
      <c r="D3855" s="5" t="str">
        <f>IF(B3855="","",[1]!s_dq_close(股指期货基差分析!$E$6,$B3855))</f>
        <v/>
      </c>
      <c r="E3855" s="4" t="e">
        <f ca="1">RANK(F3855,F:F)+COUNTIF(F$2:F3855,F3855)-1</f>
        <v>#VALUE!</v>
      </c>
      <c r="F3855" s="5" t="str">
        <f t="shared" si="61"/>
        <v/>
      </c>
      <c r="G3855" s="5" t="str">
        <f>IF(B3855="","",股指期货基差分析!$N$11)</f>
        <v/>
      </c>
      <c r="H3855" s="5" t="str">
        <f>IF(B3855="","",股指期货基差分析!$L$11)</f>
        <v/>
      </c>
      <c r="I3855" s="9" t="str">
        <f>IF(B3855="","",股指期货基差分析!$D$11)</f>
        <v/>
      </c>
    </row>
    <row r="3856" spans="3:9" ht="15" customHeight="1" x14ac:dyDescent="0.2">
      <c r="C3856" s="5" t="str">
        <f>IF(B3856="","",[1]!s_dq_close(股指期货基差分析!$E$5,$B3856))</f>
        <v/>
      </c>
      <c r="D3856" s="5" t="str">
        <f>IF(B3856="","",[1]!s_dq_close(股指期货基差分析!$E$6,$B3856))</f>
        <v/>
      </c>
      <c r="E3856" s="4" t="e">
        <f ca="1">RANK(F3856,F:F)+COUNTIF(F$2:F3856,F3856)-1</f>
        <v>#VALUE!</v>
      </c>
      <c r="F3856" s="5" t="str">
        <f t="shared" si="61"/>
        <v/>
      </c>
      <c r="G3856" s="5" t="str">
        <f>IF(B3856="","",股指期货基差分析!$N$11)</f>
        <v/>
      </c>
      <c r="H3856" s="5" t="str">
        <f>IF(B3856="","",股指期货基差分析!$L$11)</f>
        <v/>
      </c>
      <c r="I3856" s="9" t="str">
        <f>IF(B3856="","",股指期货基差分析!$D$11)</f>
        <v/>
      </c>
    </row>
    <row r="3857" spans="3:9" ht="15" customHeight="1" x14ac:dyDescent="0.2">
      <c r="C3857" s="5" t="str">
        <f>IF(B3857="","",[1]!s_dq_close(股指期货基差分析!$E$5,$B3857))</f>
        <v/>
      </c>
      <c r="D3857" s="5" t="str">
        <f>IF(B3857="","",[1]!s_dq_close(股指期货基差分析!$E$6,$B3857))</f>
        <v/>
      </c>
      <c r="E3857" s="4" t="e">
        <f ca="1">RANK(F3857,F:F)+COUNTIF(F$2:F3857,F3857)-1</f>
        <v>#VALUE!</v>
      </c>
      <c r="F3857" s="5" t="str">
        <f t="shared" si="61"/>
        <v/>
      </c>
      <c r="G3857" s="5" t="str">
        <f>IF(B3857="","",股指期货基差分析!$N$11)</f>
        <v/>
      </c>
      <c r="H3857" s="5" t="str">
        <f>IF(B3857="","",股指期货基差分析!$L$11)</f>
        <v/>
      </c>
      <c r="I3857" s="9" t="str">
        <f>IF(B3857="","",股指期货基差分析!$D$11)</f>
        <v/>
      </c>
    </row>
    <row r="3858" spans="3:9" ht="15" customHeight="1" x14ac:dyDescent="0.2">
      <c r="C3858" s="5" t="str">
        <f>IF(B3858="","",[1]!s_dq_close(股指期货基差分析!$E$5,$B3858))</f>
        <v/>
      </c>
      <c r="D3858" s="5" t="str">
        <f>IF(B3858="","",[1]!s_dq_close(股指期货基差分析!$E$6,$B3858))</f>
        <v/>
      </c>
      <c r="E3858" s="4" t="e">
        <f ca="1">RANK(F3858,F:F)+COUNTIF(F$2:F3858,F3858)-1</f>
        <v>#VALUE!</v>
      </c>
      <c r="F3858" s="5" t="str">
        <f t="shared" si="61"/>
        <v/>
      </c>
      <c r="G3858" s="5" t="str">
        <f>IF(B3858="","",股指期货基差分析!$N$11)</f>
        <v/>
      </c>
      <c r="H3858" s="5" t="str">
        <f>IF(B3858="","",股指期货基差分析!$L$11)</f>
        <v/>
      </c>
      <c r="I3858" s="9" t="str">
        <f>IF(B3858="","",股指期货基差分析!$D$11)</f>
        <v/>
      </c>
    </row>
    <row r="3859" spans="3:9" ht="15" customHeight="1" x14ac:dyDescent="0.2">
      <c r="C3859" s="5" t="str">
        <f>IF(B3859="","",[1]!s_dq_close(股指期货基差分析!$E$5,$B3859))</f>
        <v/>
      </c>
      <c r="D3859" s="5" t="str">
        <f>IF(B3859="","",[1]!s_dq_close(股指期货基差分析!$E$6,$B3859))</f>
        <v/>
      </c>
      <c r="E3859" s="4" t="e">
        <f ca="1">RANK(F3859,F:F)+COUNTIF(F$2:F3859,F3859)-1</f>
        <v>#VALUE!</v>
      </c>
      <c r="F3859" s="5" t="str">
        <f t="shared" si="61"/>
        <v/>
      </c>
      <c r="G3859" s="5" t="str">
        <f>IF(B3859="","",股指期货基差分析!$N$11)</f>
        <v/>
      </c>
      <c r="H3859" s="5" t="str">
        <f>IF(B3859="","",股指期货基差分析!$L$11)</f>
        <v/>
      </c>
      <c r="I3859" s="9" t="str">
        <f>IF(B3859="","",股指期货基差分析!$D$11)</f>
        <v/>
      </c>
    </row>
    <row r="3860" spans="3:9" ht="15" customHeight="1" x14ac:dyDescent="0.2">
      <c r="C3860" s="5" t="str">
        <f>IF(B3860="","",[1]!s_dq_close(股指期货基差分析!$E$5,$B3860))</f>
        <v/>
      </c>
      <c r="D3860" s="5" t="str">
        <f>IF(B3860="","",[1]!s_dq_close(股指期货基差分析!$E$6,$B3860))</f>
        <v/>
      </c>
      <c r="E3860" s="4" t="e">
        <f ca="1">RANK(F3860,F:F)+COUNTIF(F$2:F3860,F3860)-1</f>
        <v>#VALUE!</v>
      </c>
      <c r="F3860" s="5" t="str">
        <f t="shared" si="61"/>
        <v/>
      </c>
      <c r="G3860" s="5" t="str">
        <f>IF(B3860="","",股指期货基差分析!$N$11)</f>
        <v/>
      </c>
      <c r="H3860" s="5" t="str">
        <f>IF(B3860="","",股指期货基差分析!$L$11)</f>
        <v/>
      </c>
      <c r="I3860" s="9" t="str">
        <f>IF(B3860="","",股指期货基差分析!$D$11)</f>
        <v/>
      </c>
    </row>
    <row r="3861" spans="3:9" ht="15" customHeight="1" x14ac:dyDescent="0.2">
      <c r="C3861" s="5" t="str">
        <f>IF(B3861="","",[1]!s_dq_close(股指期货基差分析!$E$5,$B3861))</f>
        <v/>
      </c>
      <c r="D3861" s="5" t="str">
        <f>IF(B3861="","",[1]!s_dq_close(股指期货基差分析!$E$6,$B3861))</f>
        <v/>
      </c>
      <c r="E3861" s="4" t="e">
        <f ca="1">RANK(F3861,F:F)+COUNTIF(F$2:F3861,F3861)-1</f>
        <v>#VALUE!</v>
      </c>
      <c r="F3861" s="5" t="str">
        <f t="shared" si="61"/>
        <v/>
      </c>
      <c r="G3861" s="5" t="str">
        <f>IF(B3861="","",股指期货基差分析!$N$11)</f>
        <v/>
      </c>
      <c r="H3861" s="5" t="str">
        <f>IF(B3861="","",股指期货基差分析!$L$11)</f>
        <v/>
      </c>
      <c r="I3861" s="9" t="str">
        <f>IF(B3861="","",股指期货基差分析!$D$11)</f>
        <v/>
      </c>
    </row>
    <row r="3862" spans="3:9" ht="15" customHeight="1" x14ac:dyDescent="0.2">
      <c r="C3862" s="5" t="str">
        <f>IF(B3862="","",[1]!s_dq_close(股指期货基差分析!$E$5,$B3862))</f>
        <v/>
      </c>
      <c r="D3862" s="5" t="str">
        <f>IF(B3862="","",[1]!s_dq_close(股指期货基差分析!$E$6,$B3862))</f>
        <v/>
      </c>
      <c r="E3862" s="4" t="e">
        <f ca="1">RANK(F3862,F:F)+COUNTIF(F$2:F3862,F3862)-1</f>
        <v>#VALUE!</v>
      </c>
      <c r="F3862" s="5" t="str">
        <f t="shared" si="61"/>
        <v/>
      </c>
      <c r="G3862" s="5" t="str">
        <f>IF(B3862="","",股指期货基差分析!$N$11)</f>
        <v/>
      </c>
      <c r="H3862" s="5" t="str">
        <f>IF(B3862="","",股指期货基差分析!$L$11)</f>
        <v/>
      </c>
      <c r="I3862" s="9" t="str">
        <f>IF(B3862="","",股指期货基差分析!$D$11)</f>
        <v/>
      </c>
    </row>
    <row r="3863" spans="3:9" ht="15" customHeight="1" x14ac:dyDescent="0.2">
      <c r="C3863" s="5" t="str">
        <f>IF(B3863="","",[1]!s_dq_close(股指期货基差分析!$E$5,$B3863))</f>
        <v/>
      </c>
      <c r="D3863" s="5" t="str">
        <f>IF(B3863="","",[1]!s_dq_close(股指期货基差分析!$E$6,$B3863))</f>
        <v/>
      </c>
      <c r="E3863" s="4" t="e">
        <f ca="1">RANK(F3863,F:F)+COUNTIF(F$2:F3863,F3863)-1</f>
        <v>#VALUE!</v>
      </c>
      <c r="F3863" s="5" t="str">
        <f t="shared" si="61"/>
        <v/>
      </c>
      <c r="G3863" s="5" t="str">
        <f>IF(B3863="","",股指期货基差分析!$N$11)</f>
        <v/>
      </c>
      <c r="H3863" s="5" t="str">
        <f>IF(B3863="","",股指期货基差分析!$L$11)</f>
        <v/>
      </c>
      <c r="I3863" s="9" t="str">
        <f>IF(B3863="","",股指期货基差分析!$D$11)</f>
        <v/>
      </c>
    </row>
    <row r="3864" spans="3:9" ht="15" customHeight="1" x14ac:dyDescent="0.2">
      <c r="C3864" s="5" t="str">
        <f>IF(B3864="","",[1]!s_dq_close(股指期货基差分析!$E$5,$B3864))</f>
        <v/>
      </c>
      <c r="D3864" s="5" t="str">
        <f>IF(B3864="","",[1]!s_dq_close(股指期货基差分析!$E$6,$B3864))</f>
        <v/>
      </c>
      <c r="E3864" s="4" t="e">
        <f ca="1">RANK(F3864,F:F)+COUNTIF(F$2:F3864,F3864)-1</f>
        <v>#VALUE!</v>
      </c>
      <c r="F3864" s="5" t="str">
        <f t="shared" si="61"/>
        <v/>
      </c>
      <c r="G3864" s="5" t="str">
        <f>IF(B3864="","",股指期货基差分析!$N$11)</f>
        <v/>
      </c>
      <c r="H3864" s="5" t="str">
        <f>IF(B3864="","",股指期货基差分析!$L$11)</f>
        <v/>
      </c>
      <c r="I3864" s="9" t="str">
        <f>IF(B3864="","",股指期货基差分析!$D$11)</f>
        <v/>
      </c>
    </row>
    <row r="3865" spans="3:9" ht="15" customHeight="1" x14ac:dyDescent="0.2">
      <c r="C3865" s="5" t="str">
        <f>IF(B3865="","",[1]!s_dq_close(股指期货基差分析!$E$5,$B3865))</f>
        <v/>
      </c>
      <c r="D3865" s="5" t="str">
        <f>IF(B3865="","",[1]!s_dq_close(股指期货基差分析!$E$6,$B3865))</f>
        <v/>
      </c>
      <c r="E3865" s="4" t="e">
        <f ca="1">RANK(F3865,F:F)+COUNTIF(F$2:F3865,F3865)-1</f>
        <v>#VALUE!</v>
      </c>
      <c r="F3865" s="5" t="str">
        <f t="shared" si="61"/>
        <v/>
      </c>
      <c r="G3865" s="5" t="str">
        <f>IF(B3865="","",股指期货基差分析!$N$11)</f>
        <v/>
      </c>
      <c r="H3865" s="5" t="str">
        <f>IF(B3865="","",股指期货基差分析!$L$11)</f>
        <v/>
      </c>
      <c r="I3865" s="9" t="str">
        <f>IF(B3865="","",股指期货基差分析!$D$11)</f>
        <v/>
      </c>
    </row>
    <row r="3866" spans="3:9" ht="15" customHeight="1" x14ac:dyDescent="0.2">
      <c r="C3866" s="5" t="str">
        <f>IF(B3866="","",[1]!s_dq_close(股指期货基差分析!$E$5,$B3866))</f>
        <v/>
      </c>
      <c r="D3866" s="5" t="str">
        <f>IF(B3866="","",[1]!s_dq_close(股指期货基差分析!$E$6,$B3866))</f>
        <v/>
      </c>
      <c r="E3866" s="4" t="e">
        <f ca="1">RANK(F3866,F:F)+COUNTIF(F$2:F3866,F3866)-1</f>
        <v>#VALUE!</v>
      </c>
      <c r="F3866" s="5" t="str">
        <f t="shared" si="61"/>
        <v/>
      </c>
      <c r="G3866" s="5" t="str">
        <f>IF(B3866="","",股指期货基差分析!$N$11)</f>
        <v/>
      </c>
      <c r="H3866" s="5" t="str">
        <f>IF(B3866="","",股指期货基差分析!$L$11)</f>
        <v/>
      </c>
      <c r="I3866" s="9" t="str">
        <f>IF(B3866="","",股指期货基差分析!$D$11)</f>
        <v/>
      </c>
    </row>
    <row r="3867" spans="3:9" ht="15" customHeight="1" x14ac:dyDescent="0.2">
      <c r="C3867" s="5" t="str">
        <f>IF(B3867="","",[1]!s_dq_close(股指期货基差分析!$E$5,$B3867))</f>
        <v/>
      </c>
      <c r="D3867" s="5" t="str">
        <f>IF(B3867="","",[1]!s_dq_close(股指期货基差分析!$E$6,$B3867))</f>
        <v/>
      </c>
      <c r="E3867" s="4" t="e">
        <f ca="1">RANK(F3867,F:F)+COUNTIF(F$2:F3867,F3867)-1</f>
        <v>#VALUE!</v>
      </c>
      <c r="F3867" s="5" t="str">
        <f t="shared" si="61"/>
        <v/>
      </c>
      <c r="G3867" s="5" t="str">
        <f>IF(B3867="","",股指期货基差分析!$N$11)</f>
        <v/>
      </c>
      <c r="H3867" s="5" t="str">
        <f>IF(B3867="","",股指期货基差分析!$L$11)</f>
        <v/>
      </c>
      <c r="I3867" s="9" t="str">
        <f>IF(B3867="","",股指期货基差分析!$D$11)</f>
        <v/>
      </c>
    </row>
    <row r="3868" spans="3:9" ht="15" customHeight="1" x14ac:dyDescent="0.2">
      <c r="C3868" s="5" t="str">
        <f>IF(B3868="","",[1]!s_dq_close(股指期货基差分析!$E$5,$B3868))</f>
        <v/>
      </c>
      <c r="D3868" s="5" t="str">
        <f>IF(B3868="","",[1]!s_dq_close(股指期货基差分析!$E$6,$B3868))</f>
        <v/>
      </c>
      <c r="E3868" s="4" t="e">
        <f ca="1">RANK(F3868,F:F)+COUNTIF(F$2:F3868,F3868)-1</f>
        <v>#VALUE!</v>
      </c>
      <c r="F3868" s="5" t="str">
        <f t="shared" si="61"/>
        <v/>
      </c>
      <c r="G3868" s="5" t="str">
        <f>IF(B3868="","",股指期货基差分析!$N$11)</f>
        <v/>
      </c>
      <c r="H3868" s="5" t="str">
        <f>IF(B3868="","",股指期货基差分析!$L$11)</f>
        <v/>
      </c>
      <c r="I3868" s="9" t="str">
        <f>IF(B3868="","",股指期货基差分析!$D$11)</f>
        <v/>
      </c>
    </row>
    <row r="3869" spans="3:9" ht="15" customHeight="1" x14ac:dyDescent="0.2">
      <c r="C3869" s="5" t="str">
        <f>IF(B3869="","",[1]!s_dq_close(股指期货基差分析!$E$5,$B3869))</f>
        <v/>
      </c>
      <c r="D3869" s="5" t="str">
        <f>IF(B3869="","",[1]!s_dq_close(股指期货基差分析!$E$6,$B3869))</f>
        <v/>
      </c>
      <c r="E3869" s="4" t="e">
        <f ca="1">RANK(F3869,F:F)+COUNTIF(F$2:F3869,F3869)-1</f>
        <v>#VALUE!</v>
      </c>
      <c r="F3869" s="5" t="str">
        <f t="shared" si="61"/>
        <v/>
      </c>
      <c r="G3869" s="5" t="str">
        <f>IF(B3869="","",股指期货基差分析!$N$11)</f>
        <v/>
      </c>
      <c r="H3869" s="5" t="str">
        <f>IF(B3869="","",股指期货基差分析!$L$11)</f>
        <v/>
      </c>
      <c r="I3869" s="9" t="str">
        <f>IF(B3869="","",股指期货基差分析!$D$11)</f>
        <v/>
      </c>
    </row>
    <row r="3870" spans="3:9" ht="15" customHeight="1" x14ac:dyDescent="0.2">
      <c r="C3870" s="5" t="str">
        <f>IF(B3870="","",[1]!s_dq_close(股指期货基差分析!$E$5,$B3870))</f>
        <v/>
      </c>
      <c r="D3870" s="5" t="str">
        <f>IF(B3870="","",[1]!s_dq_close(股指期货基差分析!$E$6,$B3870))</f>
        <v/>
      </c>
      <c r="E3870" s="4" t="e">
        <f ca="1">RANK(F3870,F:F)+COUNTIF(F$2:F3870,F3870)-1</f>
        <v>#VALUE!</v>
      </c>
      <c r="F3870" s="5" t="str">
        <f t="shared" si="61"/>
        <v/>
      </c>
      <c r="G3870" s="5" t="str">
        <f>IF(B3870="","",股指期货基差分析!$N$11)</f>
        <v/>
      </c>
      <c r="H3870" s="5" t="str">
        <f>IF(B3870="","",股指期货基差分析!$L$11)</f>
        <v/>
      </c>
      <c r="I3870" s="9" t="str">
        <f>IF(B3870="","",股指期货基差分析!$D$11)</f>
        <v/>
      </c>
    </row>
    <row r="3871" spans="3:9" ht="15" customHeight="1" x14ac:dyDescent="0.2">
      <c r="C3871" s="5" t="str">
        <f>IF(B3871="","",[1]!s_dq_close(股指期货基差分析!$E$5,$B3871))</f>
        <v/>
      </c>
      <c r="D3871" s="5" t="str">
        <f>IF(B3871="","",[1]!s_dq_close(股指期货基差分析!$E$6,$B3871))</f>
        <v/>
      </c>
      <c r="E3871" s="4" t="e">
        <f ca="1">RANK(F3871,F:F)+COUNTIF(F$2:F3871,F3871)-1</f>
        <v>#VALUE!</v>
      </c>
      <c r="F3871" s="5" t="str">
        <f t="shared" si="61"/>
        <v/>
      </c>
      <c r="G3871" s="5" t="str">
        <f>IF(B3871="","",股指期货基差分析!$N$11)</f>
        <v/>
      </c>
      <c r="H3871" s="5" t="str">
        <f>IF(B3871="","",股指期货基差分析!$L$11)</f>
        <v/>
      </c>
      <c r="I3871" s="9" t="str">
        <f>IF(B3871="","",股指期货基差分析!$D$11)</f>
        <v/>
      </c>
    </row>
    <row r="3872" spans="3:9" ht="15" customHeight="1" x14ac:dyDescent="0.2">
      <c r="C3872" s="5" t="str">
        <f>IF(B3872="","",[1]!s_dq_close(股指期货基差分析!$E$5,$B3872))</f>
        <v/>
      </c>
      <c r="D3872" s="5" t="str">
        <f>IF(B3872="","",[1]!s_dq_close(股指期货基差分析!$E$6,$B3872))</f>
        <v/>
      </c>
      <c r="E3872" s="4" t="e">
        <f ca="1">RANK(F3872,F:F)+COUNTIF(F$2:F3872,F3872)-1</f>
        <v>#VALUE!</v>
      </c>
      <c r="F3872" s="5" t="str">
        <f t="shared" si="61"/>
        <v/>
      </c>
      <c r="G3872" s="5" t="str">
        <f>IF(B3872="","",股指期货基差分析!$N$11)</f>
        <v/>
      </c>
      <c r="H3872" s="5" t="str">
        <f>IF(B3872="","",股指期货基差分析!$L$11)</f>
        <v/>
      </c>
      <c r="I3872" s="9" t="str">
        <f>IF(B3872="","",股指期货基差分析!$D$11)</f>
        <v/>
      </c>
    </row>
    <row r="3873" spans="3:9" ht="15" customHeight="1" x14ac:dyDescent="0.2">
      <c r="C3873" s="5" t="str">
        <f>IF(B3873="","",[1]!s_dq_close(股指期货基差分析!$E$5,$B3873))</f>
        <v/>
      </c>
      <c r="D3873" s="5" t="str">
        <f>IF(B3873="","",[1]!s_dq_close(股指期货基差分析!$E$6,$B3873))</f>
        <v/>
      </c>
      <c r="E3873" s="4" t="e">
        <f ca="1">RANK(F3873,F:F)+COUNTIF(F$2:F3873,F3873)-1</f>
        <v>#VALUE!</v>
      </c>
      <c r="F3873" s="5" t="str">
        <f t="shared" si="61"/>
        <v/>
      </c>
      <c r="G3873" s="5" t="str">
        <f>IF(B3873="","",股指期货基差分析!$N$11)</f>
        <v/>
      </c>
      <c r="H3873" s="5" t="str">
        <f>IF(B3873="","",股指期货基差分析!$L$11)</f>
        <v/>
      </c>
      <c r="I3873" s="9" t="str">
        <f>IF(B3873="","",股指期货基差分析!$D$11)</f>
        <v/>
      </c>
    </row>
    <row r="3874" spans="3:9" ht="15" customHeight="1" x14ac:dyDescent="0.2">
      <c r="C3874" s="5" t="str">
        <f>IF(B3874="","",[1]!s_dq_close(股指期货基差分析!$E$5,$B3874))</f>
        <v/>
      </c>
      <c r="D3874" s="5" t="str">
        <f>IF(B3874="","",[1]!s_dq_close(股指期货基差分析!$E$6,$B3874))</f>
        <v/>
      </c>
      <c r="E3874" s="4" t="e">
        <f ca="1">RANK(F3874,F:F)+COUNTIF(F$2:F3874,F3874)-1</f>
        <v>#VALUE!</v>
      </c>
      <c r="F3874" s="5" t="str">
        <f t="shared" si="61"/>
        <v/>
      </c>
      <c r="G3874" s="5" t="str">
        <f>IF(B3874="","",股指期货基差分析!$N$11)</f>
        <v/>
      </c>
      <c r="H3874" s="5" t="str">
        <f>IF(B3874="","",股指期货基差分析!$L$11)</f>
        <v/>
      </c>
      <c r="I3874" s="9" t="str">
        <f>IF(B3874="","",股指期货基差分析!$D$11)</f>
        <v/>
      </c>
    </row>
    <row r="3875" spans="3:9" ht="15" customHeight="1" x14ac:dyDescent="0.2">
      <c r="C3875" s="5" t="str">
        <f>IF(B3875="","",[1]!s_dq_close(股指期货基差分析!$E$5,$B3875))</f>
        <v/>
      </c>
      <c r="D3875" s="5" t="str">
        <f>IF(B3875="","",[1]!s_dq_close(股指期货基差分析!$E$6,$B3875))</f>
        <v/>
      </c>
      <c r="E3875" s="4" t="e">
        <f ca="1">RANK(F3875,F:F)+COUNTIF(F$2:F3875,F3875)-1</f>
        <v>#VALUE!</v>
      </c>
      <c r="F3875" s="5" t="str">
        <f t="shared" si="61"/>
        <v/>
      </c>
      <c r="G3875" s="5" t="str">
        <f>IF(B3875="","",股指期货基差分析!$N$11)</f>
        <v/>
      </c>
      <c r="H3875" s="5" t="str">
        <f>IF(B3875="","",股指期货基差分析!$L$11)</f>
        <v/>
      </c>
      <c r="I3875" s="9" t="str">
        <f>IF(B3875="","",股指期货基差分析!$D$11)</f>
        <v/>
      </c>
    </row>
    <row r="3876" spans="3:9" ht="15" customHeight="1" x14ac:dyDescent="0.2">
      <c r="C3876" s="5" t="str">
        <f>IF(B3876="","",[1]!s_dq_close(股指期货基差分析!$E$5,$B3876))</f>
        <v/>
      </c>
      <c r="D3876" s="5" t="str">
        <f>IF(B3876="","",[1]!s_dq_close(股指期货基差分析!$E$6,$B3876))</f>
        <v/>
      </c>
      <c r="E3876" s="4" t="e">
        <f ca="1">RANK(F3876,F:F)+COUNTIF(F$2:F3876,F3876)-1</f>
        <v>#VALUE!</v>
      </c>
      <c r="F3876" s="5" t="str">
        <f t="shared" si="61"/>
        <v/>
      </c>
      <c r="G3876" s="5" t="str">
        <f>IF(B3876="","",股指期货基差分析!$N$11)</f>
        <v/>
      </c>
      <c r="H3876" s="5" t="str">
        <f>IF(B3876="","",股指期货基差分析!$L$11)</f>
        <v/>
      </c>
      <c r="I3876" s="9" t="str">
        <f>IF(B3876="","",股指期货基差分析!$D$11)</f>
        <v/>
      </c>
    </row>
    <row r="3877" spans="3:9" ht="15" customHeight="1" x14ac:dyDescent="0.2">
      <c r="C3877" s="5" t="str">
        <f>IF(B3877="","",[1]!s_dq_close(股指期货基差分析!$E$5,$B3877))</f>
        <v/>
      </c>
      <c r="D3877" s="5" t="str">
        <f>IF(B3877="","",[1]!s_dq_close(股指期货基差分析!$E$6,$B3877))</f>
        <v/>
      </c>
      <c r="E3877" s="4" t="e">
        <f ca="1">RANK(F3877,F:F)+COUNTIF(F$2:F3877,F3877)-1</f>
        <v>#VALUE!</v>
      </c>
      <c r="F3877" s="5" t="str">
        <f t="shared" si="61"/>
        <v/>
      </c>
      <c r="G3877" s="5" t="str">
        <f>IF(B3877="","",股指期货基差分析!$N$11)</f>
        <v/>
      </c>
      <c r="H3877" s="5" t="str">
        <f>IF(B3877="","",股指期货基差分析!$L$11)</f>
        <v/>
      </c>
      <c r="I3877" s="9" t="str">
        <f>IF(B3877="","",股指期货基差分析!$D$11)</f>
        <v/>
      </c>
    </row>
    <row r="3878" spans="3:9" ht="15" customHeight="1" x14ac:dyDescent="0.2">
      <c r="C3878" s="5" t="str">
        <f>IF(B3878="","",[1]!s_dq_close(股指期货基差分析!$E$5,$B3878))</f>
        <v/>
      </c>
      <c r="D3878" s="5" t="str">
        <f>IF(B3878="","",[1]!s_dq_close(股指期货基差分析!$E$6,$B3878))</f>
        <v/>
      </c>
      <c r="E3878" s="4" t="e">
        <f ca="1">RANK(F3878,F:F)+COUNTIF(F$2:F3878,F3878)-1</f>
        <v>#VALUE!</v>
      </c>
      <c r="F3878" s="5" t="str">
        <f t="shared" si="61"/>
        <v/>
      </c>
      <c r="G3878" s="5" t="str">
        <f>IF(B3878="","",股指期货基差分析!$N$11)</f>
        <v/>
      </c>
      <c r="H3878" s="5" t="str">
        <f>IF(B3878="","",股指期货基差分析!$L$11)</f>
        <v/>
      </c>
      <c r="I3878" s="9" t="str">
        <f>IF(B3878="","",股指期货基差分析!$D$11)</f>
        <v/>
      </c>
    </row>
    <row r="3879" spans="3:9" ht="15" customHeight="1" x14ac:dyDescent="0.2">
      <c r="C3879" s="5" t="str">
        <f>IF(B3879="","",[1]!s_dq_close(股指期货基差分析!$E$5,$B3879))</f>
        <v/>
      </c>
      <c r="D3879" s="5" t="str">
        <f>IF(B3879="","",[1]!s_dq_close(股指期货基差分析!$E$6,$B3879))</f>
        <v/>
      </c>
      <c r="E3879" s="4" t="e">
        <f ca="1">RANK(F3879,F:F)+COUNTIF(F$2:F3879,F3879)-1</f>
        <v>#VALUE!</v>
      </c>
      <c r="F3879" s="5" t="str">
        <f t="shared" si="61"/>
        <v/>
      </c>
      <c r="G3879" s="5" t="str">
        <f>IF(B3879="","",股指期货基差分析!$N$11)</f>
        <v/>
      </c>
      <c r="H3879" s="5" t="str">
        <f>IF(B3879="","",股指期货基差分析!$L$11)</f>
        <v/>
      </c>
      <c r="I3879" s="9" t="str">
        <f>IF(B3879="","",股指期货基差分析!$D$11)</f>
        <v/>
      </c>
    </row>
    <row r="3880" spans="3:9" ht="15" customHeight="1" x14ac:dyDescent="0.2">
      <c r="C3880" s="5" t="str">
        <f>IF(B3880="","",[1]!s_dq_close(股指期货基差分析!$E$5,$B3880))</f>
        <v/>
      </c>
      <c r="D3880" s="5" t="str">
        <f>IF(B3880="","",[1]!s_dq_close(股指期货基差分析!$E$6,$B3880))</f>
        <v/>
      </c>
      <c r="E3880" s="4" t="e">
        <f ca="1">RANK(F3880,F:F)+COUNTIF(F$2:F3880,F3880)-1</f>
        <v>#VALUE!</v>
      </c>
      <c r="F3880" s="5" t="str">
        <f t="shared" si="61"/>
        <v/>
      </c>
      <c r="G3880" s="5" t="str">
        <f>IF(B3880="","",股指期货基差分析!$N$11)</f>
        <v/>
      </c>
      <c r="H3880" s="5" t="str">
        <f>IF(B3880="","",股指期货基差分析!$L$11)</f>
        <v/>
      </c>
      <c r="I3880" s="9" t="str">
        <f>IF(B3880="","",股指期货基差分析!$D$11)</f>
        <v/>
      </c>
    </row>
    <row r="3881" spans="3:9" ht="15" customHeight="1" x14ac:dyDescent="0.2">
      <c r="C3881" s="5" t="str">
        <f>IF(B3881="","",[1]!s_dq_close(股指期货基差分析!$E$5,$B3881))</f>
        <v/>
      </c>
      <c r="D3881" s="5" t="str">
        <f>IF(B3881="","",[1]!s_dq_close(股指期货基差分析!$E$6,$B3881))</f>
        <v/>
      </c>
      <c r="E3881" s="4" t="e">
        <f ca="1">RANK(F3881,F:F)+COUNTIF(F$2:F3881,F3881)-1</f>
        <v>#VALUE!</v>
      </c>
      <c r="F3881" s="5" t="str">
        <f t="shared" si="61"/>
        <v/>
      </c>
      <c r="G3881" s="5" t="str">
        <f>IF(B3881="","",股指期货基差分析!$N$11)</f>
        <v/>
      </c>
      <c r="H3881" s="5" t="str">
        <f>IF(B3881="","",股指期货基差分析!$L$11)</f>
        <v/>
      </c>
      <c r="I3881" s="9" t="str">
        <f>IF(B3881="","",股指期货基差分析!$D$11)</f>
        <v/>
      </c>
    </row>
    <row r="3882" spans="3:9" ht="15" customHeight="1" x14ac:dyDescent="0.2">
      <c r="C3882" s="5" t="str">
        <f>IF(B3882="","",[1]!s_dq_close(股指期货基差分析!$E$5,$B3882))</f>
        <v/>
      </c>
      <c r="D3882" s="5" t="str">
        <f>IF(B3882="","",[1]!s_dq_close(股指期货基差分析!$E$6,$B3882))</f>
        <v/>
      </c>
      <c r="E3882" s="4" t="e">
        <f ca="1">RANK(F3882,F:F)+COUNTIF(F$2:F3882,F3882)-1</f>
        <v>#VALUE!</v>
      </c>
      <c r="F3882" s="5" t="str">
        <f t="shared" si="61"/>
        <v/>
      </c>
      <c r="G3882" s="5" t="str">
        <f>IF(B3882="","",股指期货基差分析!$N$11)</f>
        <v/>
      </c>
      <c r="H3882" s="5" t="str">
        <f>IF(B3882="","",股指期货基差分析!$L$11)</f>
        <v/>
      </c>
      <c r="I3882" s="9" t="str">
        <f>IF(B3882="","",股指期货基差分析!$D$11)</f>
        <v/>
      </c>
    </row>
    <row r="3883" spans="3:9" ht="15" customHeight="1" x14ac:dyDescent="0.2">
      <c r="C3883" s="5" t="str">
        <f>IF(B3883="","",[1]!s_dq_close(股指期货基差分析!$E$5,$B3883))</f>
        <v/>
      </c>
      <c r="D3883" s="5" t="str">
        <f>IF(B3883="","",[1]!s_dq_close(股指期货基差分析!$E$6,$B3883))</f>
        <v/>
      </c>
      <c r="E3883" s="4" t="e">
        <f ca="1">RANK(F3883,F:F)+COUNTIF(F$2:F3883,F3883)-1</f>
        <v>#VALUE!</v>
      </c>
      <c r="F3883" s="5" t="str">
        <f t="shared" si="61"/>
        <v/>
      </c>
      <c r="G3883" s="5" t="str">
        <f>IF(B3883="","",股指期货基差分析!$N$11)</f>
        <v/>
      </c>
      <c r="H3883" s="5" t="str">
        <f>IF(B3883="","",股指期货基差分析!$L$11)</f>
        <v/>
      </c>
      <c r="I3883" s="9" t="str">
        <f>IF(B3883="","",股指期货基差分析!$D$11)</f>
        <v/>
      </c>
    </row>
    <row r="3884" spans="3:9" ht="15" customHeight="1" x14ac:dyDescent="0.2">
      <c r="C3884" s="5" t="str">
        <f>IF(B3884="","",[1]!s_dq_close(股指期货基差分析!$E$5,$B3884))</f>
        <v/>
      </c>
      <c r="D3884" s="5" t="str">
        <f>IF(B3884="","",[1]!s_dq_close(股指期货基差分析!$E$6,$B3884))</f>
        <v/>
      </c>
      <c r="E3884" s="4" t="e">
        <f ca="1">RANK(F3884,F:F)+COUNTIF(F$2:F3884,F3884)-1</f>
        <v>#VALUE!</v>
      </c>
      <c r="F3884" s="5" t="str">
        <f t="shared" si="61"/>
        <v/>
      </c>
      <c r="G3884" s="5" t="str">
        <f>IF(B3884="","",股指期货基差分析!$N$11)</f>
        <v/>
      </c>
      <c r="H3884" s="5" t="str">
        <f>IF(B3884="","",股指期货基差分析!$L$11)</f>
        <v/>
      </c>
      <c r="I3884" s="9" t="str">
        <f>IF(B3884="","",股指期货基差分析!$D$11)</f>
        <v/>
      </c>
    </row>
    <row r="3885" spans="3:9" ht="15" customHeight="1" x14ac:dyDescent="0.2">
      <c r="C3885" s="5" t="str">
        <f>IF(B3885="","",[1]!s_dq_close(股指期货基差分析!$E$5,$B3885))</f>
        <v/>
      </c>
      <c r="D3885" s="5" t="str">
        <f>IF(B3885="","",[1]!s_dq_close(股指期货基差分析!$E$6,$B3885))</f>
        <v/>
      </c>
      <c r="E3885" s="4" t="e">
        <f ca="1">RANK(F3885,F:F)+COUNTIF(F$2:F3885,F3885)-1</f>
        <v>#VALUE!</v>
      </c>
      <c r="F3885" s="5" t="str">
        <f t="shared" si="61"/>
        <v/>
      </c>
      <c r="G3885" s="5" t="str">
        <f>IF(B3885="","",股指期货基差分析!$N$11)</f>
        <v/>
      </c>
      <c r="H3885" s="5" t="str">
        <f>IF(B3885="","",股指期货基差分析!$L$11)</f>
        <v/>
      </c>
      <c r="I3885" s="9" t="str">
        <f>IF(B3885="","",股指期货基差分析!$D$11)</f>
        <v/>
      </c>
    </row>
    <row r="3886" spans="3:9" ht="15" customHeight="1" x14ac:dyDescent="0.2">
      <c r="C3886" s="5" t="str">
        <f>IF(B3886="","",[1]!s_dq_close(股指期货基差分析!$E$5,$B3886))</f>
        <v/>
      </c>
      <c r="D3886" s="5" t="str">
        <f>IF(B3886="","",[1]!s_dq_close(股指期货基差分析!$E$6,$B3886))</f>
        <v/>
      </c>
      <c r="E3886" s="4" t="e">
        <f ca="1">RANK(F3886,F:F)+COUNTIF(F$2:F3886,F3886)-1</f>
        <v>#VALUE!</v>
      </c>
      <c r="F3886" s="5" t="str">
        <f t="shared" si="61"/>
        <v/>
      </c>
      <c r="G3886" s="5" t="str">
        <f>IF(B3886="","",股指期货基差分析!$N$11)</f>
        <v/>
      </c>
      <c r="H3886" s="5" t="str">
        <f>IF(B3886="","",股指期货基差分析!$L$11)</f>
        <v/>
      </c>
      <c r="I3886" s="9" t="str">
        <f>IF(B3886="","",股指期货基差分析!$D$11)</f>
        <v/>
      </c>
    </row>
    <row r="3887" spans="3:9" ht="15" customHeight="1" x14ac:dyDescent="0.2">
      <c r="C3887" s="5" t="str">
        <f>IF(B3887="","",[1]!s_dq_close(股指期货基差分析!$E$5,$B3887))</f>
        <v/>
      </c>
      <c r="D3887" s="5" t="str">
        <f>IF(B3887="","",[1]!s_dq_close(股指期货基差分析!$E$6,$B3887))</f>
        <v/>
      </c>
      <c r="E3887" s="4" t="e">
        <f ca="1">RANK(F3887,F:F)+COUNTIF(F$2:F3887,F3887)-1</f>
        <v>#VALUE!</v>
      </c>
      <c r="F3887" s="5" t="str">
        <f t="shared" si="61"/>
        <v/>
      </c>
      <c r="G3887" s="5" t="str">
        <f>IF(B3887="","",股指期货基差分析!$N$11)</f>
        <v/>
      </c>
      <c r="H3887" s="5" t="str">
        <f>IF(B3887="","",股指期货基差分析!$L$11)</f>
        <v/>
      </c>
      <c r="I3887" s="9" t="str">
        <f>IF(B3887="","",股指期货基差分析!$D$11)</f>
        <v/>
      </c>
    </row>
    <row r="3888" spans="3:9" ht="15" customHeight="1" x14ac:dyDescent="0.2">
      <c r="C3888" s="5" t="str">
        <f>IF(B3888="","",[1]!s_dq_close(股指期货基差分析!$E$5,$B3888))</f>
        <v/>
      </c>
      <c r="D3888" s="5" t="str">
        <f>IF(B3888="","",[1]!s_dq_close(股指期货基差分析!$E$6,$B3888))</f>
        <v/>
      </c>
      <c r="E3888" s="4" t="e">
        <f ca="1">RANK(F3888,F:F)+COUNTIF(F$2:F3888,F3888)-1</f>
        <v>#VALUE!</v>
      </c>
      <c r="F3888" s="5" t="str">
        <f t="shared" si="61"/>
        <v/>
      </c>
      <c r="G3888" s="5" t="str">
        <f>IF(B3888="","",股指期货基差分析!$N$11)</f>
        <v/>
      </c>
      <c r="H3888" s="5" t="str">
        <f>IF(B3888="","",股指期货基差分析!$L$11)</f>
        <v/>
      </c>
      <c r="I3888" s="9" t="str">
        <f>IF(B3888="","",股指期货基差分析!$D$11)</f>
        <v/>
      </c>
    </row>
    <row r="3889" spans="3:9" ht="15" customHeight="1" x14ac:dyDescent="0.2">
      <c r="C3889" s="5" t="str">
        <f>IF(B3889="","",[1]!s_dq_close(股指期货基差分析!$E$5,$B3889))</f>
        <v/>
      </c>
      <c r="D3889" s="5" t="str">
        <f>IF(B3889="","",[1]!s_dq_close(股指期货基差分析!$E$6,$B3889))</f>
        <v/>
      </c>
      <c r="E3889" s="4" t="e">
        <f ca="1">RANK(F3889,F:F)+COUNTIF(F$2:F3889,F3889)-1</f>
        <v>#VALUE!</v>
      </c>
      <c r="F3889" s="5" t="str">
        <f t="shared" si="61"/>
        <v/>
      </c>
      <c r="G3889" s="5" t="str">
        <f>IF(B3889="","",股指期货基差分析!$N$11)</f>
        <v/>
      </c>
      <c r="H3889" s="5" t="str">
        <f>IF(B3889="","",股指期货基差分析!$L$11)</f>
        <v/>
      </c>
      <c r="I3889" s="9" t="str">
        <f>IF(B3889="","",股指期货基差分析!$D$11)</f>
        <v/>
      </c>
    </row>
    <row r="3890" spans="3:9" ht="15" customHeight="1" x14ac:dyDescent="0.2">
      <c r="C3890" s="5" t="str">
        <f>IF(B3890="","",[1]!s_dq_close(股指期货基差分析!$E$5,$B3890))</f>
        <v/>
      </c>
      <c r="D3890" s="5" t="str">
        <f>IF(B3890="","",[1]!s_dq_close(股指期货基差分析!$E$6,$B3890))</f>
        <v/>
      </c>
      <c r="E3890" s="4" t="e">
        <f ca="1">RANK(F3890,F:F)+COUNTIF(F$2:F3890,F3890)-1</f>
        <v>#VALUE!</v>
      </c>
      <c r="F3890" s="5" t="str">
        <f t="shared" si="61"/>
        <v/>
      </c>
      <c r="G3890" s="5" t="str">
        <f>IF(B3890="","",股指期货基差分析!$N$11)</f>
        <v/>
      </c>
      <c r="H3890" s="5" t="str">
        <f>IF(B3890="","",股指期货基差分析!$L$11)</f>
        <v/>
      </c>
      <c r="I3890" s="9" t="str">
        <f>IF(B3890="","",股指期货基差分析!$D$11)</f>
        <v/>
      </c>
    </row>
    <row r="3891" spans="3:9" ht="15" customHeight="1" x14ac:dyDescent="0.2">
      <c r="C3891" s="5" t="str">
        <f>IF(B3891="","",[1]!s_dq_close(股指期货基差分析!$E$5,$B3891))</f>
        <v/>
      </c>
      <c r="D3891" s="5" t="str">
        <f>IF(B3891="","",[1]!s_dq_close(股指期货基差分析!$E$6,$B3891))</f>
        <v/>
      </c>
      <c r="E3891" s="4" t="e">
        <f ca="1">RANK(F3891,F:F)+COUNTIF(F$2:F3891,F3891)-1</f>
        <v>#VALUE!</v>
      </c>
      <c r="F3891" s="5" t="str">
        <f t="shared" si="61"/>
        <v/>
      </c>
      <c r="G3891" s="5" t="str">
        <f>IF(B3891="","",股指期货基差分析!$N$11)</f>
        <v/>
      </c>
      <c r="H3891" s="5" t="str">
        <f>IF(B3891="","",股指期货基差分析!$L$11)</f>
        <v/>
      </c>
      <c r="I3891" s="9" t="str">
        <f>IF(B3891="","",股指期货基差分析!$D$11)</f>
        <v/>
      </c>
    </row>
    <row r="3892" spans="3:9" ht="15" customHeight="1" x14ac:dyDescent="0.2">
      <c r="C3892" s="5" t="str">
        <f>IF(B3892="","",[1]!s_dq_close(股指期货基差分析!$E$5,$B3892))</f>
        <v/>
      </c>
      <c r="D3892" s="5" t="str">
        <f>IF(B3892="","",[1]!s_dq_close(股指期货基差分析!$E$6,$B3892))</f>
        <v/>
      </c>
      <c r="E3892" s="4" t="e">
        <f ca="1">RANK(F3892,F:F)+COUNTIF(F$2:F3892,F3892)-1</f>
        <v>#VALUE!</v>
      </c>
      <c r="F3892" s="5" t="str">
        <f t="shared" si="61"/>
        <v/>
      </c>
      <c r="G3892" s="5" t="str">
        <f>IF(B3892="","",股指期货基差分析!$N$11)</f>
        <v/>
      </c>
      <c r="H3892" s="5" t="str">
        <f>IF(B3892="","",股指期货基差分析!$L$11)</f>
        <v/>
      </c>
      <c r="I3892" s="9" t="str">
        <f>IF(B3892="","",股指期货基差分析!$D$11)</f>
        <v/>
      </c>
    </row>
    <row r="3893" spans="3:9" ht="15" customHeight="1" x14ac:dyDescent="0.2">
      <c r="C3893" s="5" t="str">
        <f>IF(B3893="","",[1]!s_dq_close(股指期货基差分析!$E$5,$B3893))</f>
        <v/>
      </c>
      <c r="D3893" s="5" t="str">
        <f>IF(B3893="","",[1]!s_dq_close(股指期货基差分析!$E$6,$B3893))</f>
        <v/>
      </c>
      <c r="E3893" s="4" t="e">
        <f ca="1">RANK(F3893,F:F)+COUNTIF(F$2:F3893,F3893)-1</f>
        <v>#VALUE!</v>
      </c>
      <c r="F3893" s="5" t="str">
        <f t="shared" si="61"/>
        <v/>
      </c>
      <c r="G3893" s="5" t="str">
        <f>IF(B3893="","",股指期货基差分析!$N$11)</f>
        <v/>
      </c>
      <c r="H3893" s="5" t="str">
        <f>IF(B3893="","",股指期货基差分析!$L$11)</f>
        <v/>
      </c>
      <c r="I3893" s="9" t="str">
        <f>IF(B3893="","",股指期货基差分析!$D$11)</f>
        <v/>
      </c>
    </row>
    <row r="3894" spans="3:9" ht="15" customHeight="1" x14ac:dyDescent="0.2">
      <c r="C3894" s="5" t="str">
        <f>IF(B3894="","",[1]!s_dq_close(股指期货基差分析!$E$5,$B3894))</f>
        <v/>
      </c>
      <c r="D3894" s="5" t="str">
        <f>IF(B3894="","",[1]!s_dq_close(股指期货基差分析!$E$6,$B3894))</f>
        <v/>
      </c>
      <c r="E3894" s="4" t="e">
        <f ca="1">RANK(F3894,F:F)+COUNTIF(F$2:F3894,F3894)-1</f>
        <v>#VALUE!</v>
      </c>
      <c r="F3894" s="5" t="str">
        <f t="shared" si="61"/>
        <v/>
      </c>
      <c r="G3894" s="5" t="str">
        <f>IF(B3894="","",股指期货基差分析!$N$11)</f>
        <v/>
      </c>
      <c r="H3894" s="5" t="str">
        <f>IF(B3894="","",股指期货基差分析!$L$11)</f>
        <v/>
      </c>
      <c r="I3894" s="9" t="str">
        <f>IF(B3894="","",股指期货基差分析!$D$11)</f>
        <v/>
      </c>
    </row>
    <row r="3895" spans="3:9" ht="15" customHeight="1" x14ac:dyDescent="0.2">
      <c r="C3895" s="5" t="str">
        <f>IF(B3895="","",[1]!s_dq_close(股指期货基差分析!$E$5,$B3895))</f>
        <v/>
      </c>
      <c r="D3895" s="5" t="str">
        <f>IF(B3895="","",[1]!s_dq_close(股指期货基差分析!$E$6,$B3895))</f>
        <v/>
      </c>
      <c r="E3895" s="4" t="e">
        <f ca="1">RANK(F3895,F:F)+COUNTIF(F$2:F3895,F3895)-1</f>
        <v>#VALUE!</v>
      </c>
      <c r="F3895" s="5" t="str">
        <f t="shared" si="61"/>
        <v/>
      </c>
      <c r="G3895" s="5" t="str">
        <f>IF(B3895="","",股指期货基差分析!$N$11)</f>
        <v/>
      </c>
      <c r="H3895" s="5" t="str">
        <f>IF(B3895="","",股指期货基差分析!$L$11)</f>
        <v/>
      </c>
      <c r="I3895" s="9" t="str">
        <f>IF(B3895="","",股指期货基差分析!$D$11)</f>
        <v/>
      </c>
    </row>
    <row r="3896" spans="3:9" ht="15" customHeight="1" x14ac:dyDescent="0.2">
      <c r="C3896" s="5" t="str">
        <f>IF(B3896="","",[1]!s_dq_close(股指期货基差分析!$E$5,$B3896))</f>
        <v/>
      </c>
      <c r="D3896" s="5" t="str">
        <f>IF(B3896="","",[1]!s_dq_close(股指期货基差分析!$E$6,$B3896))</f>
        <v/>
      </c>
      <c r="E3896" s="4" t="e">
        <f ca="1">RANK(F3896,F:F)+COUNTIF(F$2:F3896,F3896)-1</f>
        <v>#VALUE!</v>
      </c>
      <c r="F3896" s="5" t="str">
        <f t="shared" si="61"/>
        <v/>
      </c>
      <c r="G3896" s="5" t="str">
        <f>IF(B3896="","",股指期货基差分析!$N$11)</f>
        <v/>
      </c>
      <c r="H3896" s="5" t="str">
        <f>IF(B3896="","",股指期货基差分析!$L$11)</f>
        <v/>
      </c>
      <c r="I3896" s="9" t="str">
        <f>IF(B3896="","",股指期货基差分析!$D$11)</f>
        <v/>
      </c>
    </row>
    <row r="3897" spans="3:9" ht="15" customHeight="1" x14ac:dyDescent="0.2">
      <c r="C3897" s="5" t="str">
        <f>IF(B3897="","",[1]!s_dq_close(股指期货基差分析!$E$5,$B3897))</f>
        <v/>
      </c>
      <c r="D3897" s="5" t="str">
        <f>IF(B3897="","",[1]!s_dq_close(股指期货基差分析!$E$6,$B3897))</f>
        <v/>
      </c>
      <c r="E3897" s="4" t="e">
        <f ca="1">RANK(F3897,F:F)+COUNTIF(F$2:F3897,F3897)-1</f>
        <v>#VALUE!</v>
      </c>
      <c r="F3897" s="5" t="str">
        <f t="shared" si="61"/>
        <v/>
      </c>
      <c r="G3897" s="5" t="str">
        <f>IF(B3897="","",股指期货基差分析!$N$11)</f>
        <v/>
      </c>
      <c r="H3897" s="5" t="str">
        <f>IF(B3897="","",股指期货基差分析!$L$11)</f>
        <v/>
      </c>
      <c r="I3897" s="9" t="str">
        <f>IF(B3897="","",股指期货基差分析!$D$11)</f>
        <v/>
      </c>
    </row>
    <row r="3898" spans="3:9" ht="15" customHeight="1" x14ac:dyDescent="0.2">
      <c r="C3898" s="5" t="str">
        <f>IF(B3898="","",[1]!s_dq_close(股指期货基差分析!$E$5,$B3898))</f>
        <v/>
      </c>
      <c r="D3898" s="5" t="str">
        <f>IF(B3898="","",[1]!s_dq_close(股指期货基差分析!$E$6,$B3898))</f>
        <v/>
      </c>
      <c r="E3898" s="4" t="e">
        <f ca="1">RANK(F3898,F:F)+COUNTIF(F$2:F3898,F3898)-1</f>
        <v>#VALUE!</v>
      </c>
      <c r="F3898" s="5" t="str">
        <f t="shared" si="61"/>
        <v/>
      </c>
      <c r="G3898" s="5" t="str">
        <f>IF(B3898="","",股指期货基差分析!$N$11)</f>
        <v/>
      </c>
      <c r="H3898" s="5" t="str">
        <f>IF(B3898="","",股指期货基差分析!$L$11)</f>
        <v/>
      </c>
      <c r="I3898" s="9" t="str">
        <f>IF(B3898="","",股指期货基差分析!$D$11)</f>
        <v/>
      </c>
    </row>
    <row r="3899" spans="3:9" ht="15" customHeight="1" x14ac:dyDescent="0.2">
      <c r="C3899" s="5" t="str">
        <f>IF(B3899="","",[1]!s_dq_close(股指期货基差分析!$E$5,$B3899))</f>
        <v/>
      </c>
      <c r="D3899" s="5" t="str">
        <f>IF(B3899="","",[1]!s_dq_close(股指期货基差分析!$E$6,$B3899))</f>
        <v/>
      </c>
      <c r="E3899" s="4" t="e">
        <f ca="1">RANK(F3899,F:F)+COUNTIF(F$2:F3899,F3899)-1</f>
        <v>#VALUE!</v>
      </c>
      <c r="F3899" s="5" t="str">
        <f t="shared" si="61"/>
        <v/>
      </c>
      <c r="G3899" s="5" t="str">
        <f>IF(B3899="","",股指期货基差分析!$N$11)</f>
        <v/>
      </c>
      <c r="H3899" s="5" t="str">
        <f>IF(B3899="","",股指期货基差分析!$L$11)</f>
        <v/>
      </c>
      <c r="I3899" s="9" t="str">
        <f>IF(B3899="","",股指期货基差分析!$D$11)</f>
        <v/>
      </c>
    </row>
    <row r="3900" spans="3:9" ht="15" customHeight="1" x14ac:dyDescent="0.2">
      <c r="C3900" s="5" t="str">
        <f>IF(B3900="","",[1]!s_dq_close(股指期货基差分析!$E$5,$B3900))</f>
        <v/>
      </c>
      <c r="D3900" s="5" t="str">
        <f>IF(B3900="","",[1]!s_dq_close(股指期货基差分析!$E$6,$B3900))</f>
        <v/>
      </c>
      <c r="E3900" s="4" t="e">
        <f ca="1">RANK(F3900,F:F)+COUNTIF(F$2:F3900,F3900)-1</f>
        <v>#VALUE!</v>
      </c>
      <c r="F3900" s="5" t="str">
        <f t="shared" si="61"/>
        <v/>
      </c>
      <c r="G3900" s="5" t="str">
        <f>IF(B3900="","",股指期货基差分析!$N$11)</f>
        <v/>
      </c>
      <c r="H3900" s="5" t="str">
        <f>IF(B3900="","",股指期货基差分析!$L$11)</f>
        <v/>
      </c>
      <c r="I3900" s="9" t="str">
        <f>IF(B3900="","",股指期货基差分析!$D$11)</f>
        <v/>
      </c>
    </row>
    <row r="3901" spans="3:9" ht="15" customHeight="1" x14ac:dyDescent="0.2">
      <c r="C3901" s="5" t="str">
        <f>IF(B3901="","",[1]!s_dq_close(股指期货基差分析!$E$5,$B3901))</f>
        <v/>
      </c>
      <c r="D3901" s="5" t="str">
        <f>IF(B3901="","",[1]!s_dq_close(股指期货基差分析!$E$6,$B3901))</f>
        <v/>
      </c>
      <c r="E3901" s="4" t="e">
        <f ca="1">RANK(F3901,F:F)+COUNTIF(F$2:F3901,F3901)-1</f>
        <v>#VALUE!</v>
      </c>
      <c r="F3901" s="5" t="str">
        <f t="shared" si="61"/>
        <v/>
      </c>
      <c r="G3901" s="5" t="str">
        <f>IF(B3901="","",股指期货基差分析!$N$11)</f>
        <v/>
      </c>
      <c r="H3901" s="5" t="str">
        <f>IF(B3901="","",股指期货基差分析!$L$11)</f>
        <v/>
      </c>
      <c r="I3901" s="9" t="str">
        <f>IF(B3901="","",股指期货基差分析!$D$11)</f>
        <v/>
      </c>
    </row>
    <row r="3902" spans="3:9" ht="15" customHeight="1" x14ac:dyDescent="0.2">
      <c r="C3902" s="5" t="str">
        <f>IF(B3902="","",[1]!s_dq_close(股指期货基差分析!$E$5,$B3902))</f>
        <v/>
      </c>
      <c r="D3902" s="5" t="str">
        <f>IF(B3902="","",[1]!s_dq_close(股指期货基差分析!$E$6,$B3902))</f>
        <v/>
      </c>
      <c r="E3902" s="4" t="e">
        <f ca="1">RANK(F3902,F:F)+COUNTIF(F$2:F3902,F3902)-1</f>
        <v>#VALUE!</v>
      </c>
      <c r="F3902" s="5" t="str">
        <f t="shared" si="61"/>
        <v/>
      </c>
      <c r="G3902" s="5" t="str">
        <f>IF(B3902="","",股指期货基差分析!$N$11)</f>
        <v/>
      </c>
      <c r="H3902" s="5" t="str">
        <f>IF(B3902="","",股指期货基差分析!$L$11)</f>
        <v/>
      </c>
      <c r="I3902" s="9" t="str">
        <f>IF(B3902="","",股指期货基差分析!$D$11)</f>
        <v/>
      </c>
    </row>
    <row r="3903" spans="3:9" ht="15" customHeight="1" x14ac:dyDescent="0.2">
      <c r="C3903" s="5" t="str">
        <f>IF(B3903="","",[1]!s_dq_close(股指期货基差分析!$E$5,$B3903))</f>
        <v/>
      </c>
      <c r="D3903" s="5" t="str">
        <f>IF(B3903="","",[1]!s_dq_close(股指期货基差分析!$E$6,$B3903))</f>
        <v/>
      </c>
      <c r="E3903" s="4" t="e">
        <f ca="1">RANK(F3903,F:F)+COUNTIF(F$2:F3903,F3903)-1</f>
        <v>#VALUE!</v>
      </c>
      <c r="F3903" s="5" t="str">
        <f t="shared" si="61"/>
        <v/>
      </c>
      <c r="G3903" s="5" t="str">
        <f>IF(B3903="","",股指期货基差分析!$N$11)</f>
        <v/>
      </c>
      <c r="H3903" s="5" t="str">
        <f>IF(B3903="","",股指期货基差分析!$L$11)</f>
        <v/>
      </c>
      <c r="I3903" s="9" t="str">
        <f>IF(B3903="","",股指期货基差分析!$D$11)</f>
        <v/>
      </c>
    </row>
    <row r="3904" spans="3:9" ht="15" customHeight="1" x14ac:dyDescent="0.2">
      <c r="C3904" s="5" t="str">
        <f>IF(B3904="","",[1]!s_dq_close(股指期货基差分析!$E$5,$B3904))</f>
        <v/>
      </c>
      <c r="D3904" s="5" t="str">
        <f>IF(B3904="","",[1]!s_dq_close(股指期货基差分析!$E$6,$B3904))</f>
        <v/>
      </c>
      <c r="E3904" s="4" t="e">
        <f ca="1">RANK(F3904,F:F)+COUNTIF(F$2:F3904,F3904)-1</f>
        <v>#VALUE!</v>
      </c>
      <c r="F3904" s="5" t="str">
        <f t="shared" si="61"/>
        <v/>
      </c>
      <c r="G3904" s="5" t="str">
        <f>IF(B3904="","",股指期货基差分析!$N$11)</f>
        <v/>
      </c>
      <c r="H3904" s="5" t="str">
        <f>IF(B3904="","",股指期货基差分析!$L$11)</f>
        <v/>
      </c>
      <c r="I3904" s="9" t="str">
        <f>IF(B3904="","",股指期货基差分析!$D$11)</f>
        <v/>
      </c>
    </row>
    <row r="3905" spans="3:9" ht="15" customHeight="1" x14ac:dyDescent="0.2">
      <c r="C3905" s="5" t="str">
        <f>IF(B3905="","",[1]!s_dq_close(股指期货基差分析!$E$5,$B3905))</f>
        <v/>
      </c>
      <c r="D3905" s="5" t="str">
        <f>IF(B3905="","",[1]!s_dq_close(股指期货基差分析!$E$6,$B3905))</f>
        <v/>
      </c>
      <c r="E3905" s="4" t="e">
        <f ca="1">RANK(F3905,F:F)+COUNTIF(F$2:F3905,F3905)-1</f>
        <v>#VALUE!</v>
      </c>
      <c r="F3905" s="5" t="str">
        <f t="shared" si="61"/>
        <v/>
      </c>
      <c r="G3905" s="5" t="str">
        <f>IF(B3905="","",股指期货基差分析!$N$11)</f>
        <v/>
      </c>
      <c r="H3905" s="5" t="str">
        <f>IF(B3905="","",股指期货基差分析!$L$11)</f>
        <v/>
      </c>
      <c r="I3905" s="9" t="str">
        <f>IF(B3905="","",股指期货基差分析!$D$11)</f>
        <v/>
      </c>
    </row>
    <row r="3906" spans="3:9" ht="15" customHeight="1" x14ac:dyDescent="0.2">
      <c r="C3906" s="5" t="str">
        <f>IF(B3906="","",[1]!s_dq_close(股指期货基差分析!$E$5,$B3906))</f>
        <v/>
      </c>
      <c r="D3906" s="5" t="str">
        <f>IF(B3906="","",[1]!s_dq_close(股指期货基差分析!$E$6,$B3906))</f>
        <v/>
      </c>
      <c r="E3906" s="4" t="e">
        <f ca="1">RANK(F3906,F:F)+COUNTIF(F$2:F3906,F3906)-1</f>
        <v>#VALUE!</v>
      </c>
      <c r="F3906" s="5" t="str">
        <f t="shared" ref="F3906:F3969" si="62">IF(B3906="","",D3906-C3906)</f>
        <v/>
      </c>
      <c r="G3906" s="5" t="str">
        <f>IF(B3906="","",股指期货基差分析!$N$11)</f>
        <v/>
      </c>
      <c r="H3906" s="5" t="str">
        <f>IF(B3906="","",股指期货基差分析!$L$11)</f>
        <v/>
      </c>
      <c r="I3906" s="9" t="str">
        <f>IF(B3906="","",股指期货基差分析!$D$11)</f>
        <v/>
      </c>
    </row>
    <row r="3907" spans="3:9" ht="15" customHeight="1" x14ac:dyDescent="0.2">
      <c r="C3907" s="5" t="str">
        <f>IF(B3907="","",[1]!s_dq_close(股指期货基差分析!$E$5,$B3907))</f>
        <v/>
      </c>
      <c r="D3907" s="5" t="str">
        <f>IF(B3907="","",[1]!s_dq_close(股指期货基差分析!$E$6,$B3907))</f>
        <v/>
      </c>
      <c r="E3907" s="4" t="e">
        <f ca="1">RANK(F3907,F:F)+COUNTIF(F$2:F3907,F3907)-1</f>
        <v>#VALUE!</v>
      </c>
      <c r="F3907" s="5" t="str">
        <f t="shared" si="62"/>
        <v/>
      </c>
      <c r="G3907" s="5" t="str">
        <f>IF(B3907="","",股指期货基差分析!$N$11)</f>
        <v/>
      </c>
      <c r="H3907" s="5" t="str">
        <f>IF(B3907="","",股指期货基差分析!$L$11)</f>
        <v/>
      </c>
      <c r="I3907" s="9" t="str">
        <f>IF(B3907="","",股指期货基差分析!$D$11)</f>
        <v/>
      </c>
    </row>
    <row r="3908" spans="3:9" ht="15" customHeight="1" x14ac:dyDescent="0.2">
      <c r="C3908" s="5" t="str">
        <f>IF(B3908="","",[1]!s_dq_close(股指期货基差分析!$E$5,$B3908))</f>
        <v/>
      </c>
      <c r="D3908" s="5" t="str">
        <f>IF(B3908="","",[1]!s_dq_close(股指期货基差分析!$E$6,$B3908))</f>
        <v/>
      </c>
      <c r="E3908" s="4" t="e">
        <f ca="1">RANK(F3908,F:F)+COUNTIF(F$2:F3908,F3908)-1</f>
        <v>#VALUE!</v>
      </c>
      <c r="F3908" s="5" t="str">
        <f t="shared" si="62"/>
        <v/>
      </c>
      <c r="G3908" s="5" t="str">
        <f>IF(B3908="","",股指期货基差分析!$N$11)</f>
        <v/>
      </c>
      <c r="H3908" s="5" t="str">
        <f>IF(B3908="","",股指期货基差分析!$L$11)</f>
        <v/>
      </c>
      <c r="I3908" s="9" t="str">
        <f>IF(B3908="","",股指期货基差分析!$D$11)</f>
        <v/>
      </c>
    </row>
    <row r="3909" spans="3:9" ht="15" customHeight="1" x14ac:dyDescent="0.2">
      <c r="C3909" s="5" t="str">
        <f>IF(B3909="","",[1]!s_dq_close(股指期货基差分析!$E$5,$B3909))</f>
        <v/>
      </c>
      <c r="D3909" s="5" t="str">
        <f>IF(B3909="","",[1]!s_dq_close(股指期货基差分析!$E$6,$B3909))</f>
        <v/>
      </c>
      <c r="E3909" s="4" t="e">
        <f ca="1">RANK(F3909,F:F)+COUNTIF(F$2:F3909,F3909)-1</f>
        <v>#VALUE!</v>
      </c>
      <c r="F3909" s="5" t="str">
        <f t="shared" si="62"/>
        <v/>
      </c>
      <c r="G3909" s="5" t="str">
        <f>IF(B3909="","",股指期货基差分析!$N$11)</f>
        <v/>
      </c>
      <c r="H3909" s="5" t="str">
        <f>IF(B3909="","",股指期货基差分析!$L$11)</f>
        <v/>
      </c>
      <c r="I3909" s="9" t="str">
        <f>IF(B3909="","",股指期货基差分析!$D$11)</f>
        <v/>
      </c>
    </row>
    <row r="3910" spans="3:9" ht="15" customHeight="1" x14ac:dyDescent="0.2">
      <c r="C3910" s="5" t="str">
        <f>IF(B3910="","",[1]!s_dq_close(股指期货基差分析!$E$5,$B3910))</f>
        <v/>
      </c>
      <c r="D3910" s="5" t="str">
        <f>IF(B3910="","",[1]!s_dq_close(股指期货基差分析!$E$6,$B3910))</f>
        <v/>
      </c>
      <c r="E3910" s="4" t="e">
        <f ca="1">RANK(F3910,F:F)+COUNTIF(F$2:F3910,F3910)-1</f>
        <v>#VALUE!</v>
      </c>
      <c r="F3910" s="5" t="str">
        <f t="shared" si="62"/>
        <v/>
      </c>
      <c r="G3910" s="5" t="str">
        <f>IF(B3910="","",股指期货基差分析!$N$11)</f>
        <v/>
      </c>
      <c r="H3910" s="5" t="str">
        <f>IF(B3910="","",股指期货基差分析!$L$11)</f>
        <v/>
      </c>
      <c r="I3910" s="9" t="str">
        <f>IF(B3910="","",股指期货基差分析!$D$11)</f>
        <v/>
      </c>
    </row>
    <row r="3911" spans="3:9" ht="15" customHeight="1" x14ac:dyDescent="0.2">
      <c r="C3911" s="5" t="str">
        <f>IF(B3911="","",[1]!s_dq_close(股指期货基差分析!$E$5,$B3911))</f>
        <v/>
      </c>
      <c r="D3911" s="5" t="str">
        <f>IF(B3911="","",[1]!s_dq_close(股指期货基差分析!$E$6,$B3911))</f>
        <v/>
      </c>
      <c r="E3911" s="4" t="e">
        <f ca="1">RANK(F3911,F:F)+COUNTIF(F$2:F3911,F3911)-1</f>
        <v>#VALUE!</v>
      </c>
      <c r="F3911" s="5" t="str">
        <f t="shared" si="62"/>
        <v/>
      </c>
      <c r="G3911" s="5" t="str">
        <f>IF(B3911="","",股指期货基差分析!$N$11)</f>
        <v/>
      </c>
      <c r="H3911" s="5" t="str">
        <f>IF(B3911="","",股指期货基差分析!$L$11)</f>
        <v/>
      </c>
      <c r="I3911" s="9" t="str">
        <f>IF(B3911="","",股指期货基差分析!$D$11)</f>
        <v/>
      </c>
    </row>
    <row r="3912" spans="3:9" ht="15" customHeight="1" x14ac:dyDescent="0.2">
      <c r="C3912" s="5" t="str">
        <f>IF(B3912="","",[1]!s_dq_close(股指期货基差分析!$E$5,$B3912))</f>
        <v/>
      </c>
      <c r="D3912" s="5" t="str">
        <f>IF(B3912="","",[1]!s_dq_close(股指期货基差分析!$E$6,$B3912))</f>
        <v/>
      </c>
      <c r="E3912" s="4" t="e">
        <f ca="1">RANK(F3912,F:F)+COUNTIF(F$2:F3912,F3912)-1</f>
        <v>#VALUE!</v>
      </c>
      <c r="F3912" s="5" t="str">
        <f t="shared" si="62"/>
        <v/>
      </c>
      <c r="G3912" s="5" t="str">
        <f>IF(B3912="","",股指期货基差分析!$N$11)</f>
        <v/>
      </c>
      <c r="H3912" s="5" t="str">
        <f>IF(B3912="","",股指期货基差分析!$L$11)</f>
        <v/>
      </c>
      <c r="I3912" s="9" t="str">
        <f>IF(B3912="","",股指期货基差分析!$D$11)</f>
        <v/>
      </c>
    </row>
    <row r="3913" spans="3:9" ht="15" customHeight="1" x14ac:dyDescent="0.2">
      <c r="C3913" s="5" t="str">
        <f>IF(B3913="","",[1]!s_dq_close(股指期货基差分析!$E$5,$B3913))</f>
        <v/>
      </c>
      <c r="D3913" s="5" t="str">
        <f>IF(B3913="","",[1]!s_dq_close(股指期货基差分析!$E$6,$B3913))</f>
        <v/>
      </c>
      <c r="E3913" s="4" t="e">
        <f ca="1">RANK(F3913,F:F)+COUNTIF(F$2:F3913,F3913)-1</f>
        <v>#VALUE!</v>
      </c>
      <c r="F3913" s="5" t="str">
        <f t="shared" si="62"/>
        <v/>
      </c>
      <c r="G3913" s="5" t="str">
        <f>IF(B3913="","",股指期货基差分析!$N$11)</f>
        <v/>
      </c>
      <c r="H3913" s="5" t="str">
        <f>IF(B3913="","",股指期货基差分析!$L$11)</f>
        <v/>
      </c>
      <c r="I3913" s="9" t="str">
        <f>IF(B3913="","",股指期货基差分析!$D$11)</f>
        <v/>
      </c>
    </row>
    <row r="3914" spans="3:9" ht="15" customHeight="1" x14ac:dyDescent="0.2">
      <c r="C3914" s="5" t="str">
        <f>IF(B3914="","",[1]!s_dq_close(股指期货基差分析!$E$5,$B3914))</f>
        <v/>
      </c>
      <c r="D3914" s="5" t="str">
        <f>IF(B3914="","",[1]!s_dq_close(股指期货基差分析!$E$6,$B3914))</f>
        <v/>
      </c>
      <c r="E3914" s="4" t="e">
        <f ca="1">RANK(F3914,F:F)+COUNTIF(F$2:F3914,F3914)-1</f>
        <v>#VALUE!</v>
      </c>
      <c r="F3914" s="5" t="str">
        <f t="shared" si="62"/>
        <v/>
      </c>
      <c r="G3914" s="5" t="str">
        <f>IF(B3914="","",股指期货基差分析!$N$11)</f>
        <v/>
      </c>
      <c r="H3914" s="5" t="str">
        <f>IF(B3914="","",股指期货基差分析!$L$11)</f>
        <v/>
      </c>
      <c r="I3914" s="9" t="str">
        <f>IF(B3914="","",股指期货基差分析!$D$11)</f>
        <v/>
      </c>
    </row>
    <row r="3915" spans="3:9" ht="15" customHeight="1" x14ac:dyDescent="0.2">
      <c r="C3915" s="5" t="str">
        <f>IF(B3915="","",[1]!s_dq_close(股指期货基差分析!$E$5,$B3915))</f>
        <v/>
      </c>
      <c r="D3915" s="5" t="str">
        <f>IF(B3915="","",[1]!s_dq_close(股指期货基差分析!$E$6,$B3915))</f>
        <v/>
      </c>
      <c r="E3915" s="4" t="e">
        <f ca="1">RANK(F3915,F:F)+COUNTIF(F$2:F3915,F3915)-1</f>
        <v>#VALUE!</v>
      </c>
      <c r="F3915" s="5" t="str">
        <f t="shared" si="62"/>
        <v/>
      </c>
      <c r="G3915" s="5" t="str">
        <f>IF(B3915="","",股指期货基差分析!$N$11)</f>
        <v/>
      </c>
      <c r="H3915" s="5" t="str">
        <f>IF(B3915="","",股指期货基差分析!$L$11)</f>
        <v/>
      </c>
      <c r="I3915" s="9" t="str">
        <f>IF(B3915="","",股指期货基差分析!$D$11)</f>
        <v/>
      </c>
    </row>
    <row r="3916" spans="3:9" ht="15" customHeight="1" x14ac:dyDescent="0.2">
      <c r="C3916" s="5" t="str">
        <f>IF(B3916="","",[1]!s_dq_close(股指期货基差分析!$E$5,$B3916))</f>
        <v/>
      </c>
      <c r="D3916" s="5" t="str">
        <f>IF(B3916="","",[1]!s_dq_close(股指期货基差分析!$E$6,$B3916))</f>
        <v/>
      </c>
      <c r="E3916" s="4" t="e">
        <f ca="1">RANK(F3916,F:F)+COUNTIF(F$2:F3916,F3916)-1</f>
        <v>#VALUE!</v>
      </c>
      <c r="F3916" s="5" t="str">
        <f t="shared" si="62"/>
        <v/>
      </c>
      <c r="G3916" s="5" t="str">
        <f>IF(B3916="","",股指期货基差分析!$N$11)</f>
        <v/>
      </c>
      <c r="H3916" s="5" t="str">
        <f>IF(B3916="","",股指期货基差分析!$L$11)</f>
        <v/>
      </c>
      <c r="I3916" s="9" t="str">
        <f>IF(B3916="","",股指期货基差分析!$D$11)</f>
        <v/>
      </c>
    </row>
    <row r="3917" spans="3:9" ht="15" customHeight="1" x14ac:dyDescent="0.2">
      <c r="C3917" s="5" t="str">
        <f>IF(B3917="","",[1]!s_dq_close(股指期货基差分析!$E$5,$B3917))</f>
        <v/>
      </c>
      <c r="D3917" s="5" t="str">
        <f>IF(B3917="","",[1]!s_dq_close(股指期货基差分析!$E$6,$B3917))</f>
        <v/>
      </c>
      <c r="E3917" s="4" t="e">
        <f ca="1">RANK(F3917,F:F)+COUNTIF(F$2:F3917,F3917)-1</f>
        <v>#VALUE!</v>
      </c>
      <c r="F3917" s="5" t="str">
        <f t="shared" si="62"/>
        <v/>
      </c>
      <c r="G3917" s="5" t="str">
        <f>IF(B3917="","",股指期货基差分析!$N$11)</f>
        <v/>
      </c>
      <c r="H3917" s="5" t="str">
        <f>IF(B3917="","",股指期货基差分析!$L$11)</f>
        <v/>
      </c>
      <c r="I3917" s="9" t="str">
        <f>IF(B3917="","",股指期货基差分析!$D$11)</f>
        <v/>
      </c>
    </row>
    <row r="3918" spans="3:9" ht="15" customHeight="1" x14ac:dyDescent="0.2">
      <c r="C3918" s="5" t="str">
        <f>IF(B3918="","",[1]!s_dq_close(股指期货基差分析!$E$5,$B3918))</f>
        <v/>
      </c>
      <c r="D3918" s="5" t="str">
        <f>IF(B3918="","",[1]!s_dq_close(股指期货基差分析!$E$6,$B3918))</f>
        <v/>
      </c>
      <c r="E3918" s="4" t="e">
        <f ca="1">RANK(F3918,F:F)+COUNTIF(F$2:F3918,F3918)-1</f>
        <v>#VALUE!</v>
      </c>
      <c r="F3918" s="5" t="str">
        <f t="shared" si="62"/>
        <v/>
      </c>
      <c r="G3918" s="5" t="str">
        <f>IF(B3918="","",股指期货基差分析!$N$11)</f>
        <v/>
      </c>
      <c r="H3918" s="5" t="str">
        <f>IF(B3918="","",股指期货基差分析!$L$11)</f>
        <v/>
      </c>
      <c r="I3918" s="9" t="str">
        <f>IF(B3918="","",股指期货基差分析!$D$11)</f>
        <v/>
      </c>
    </row>
    <row r="3919" spans="3:9" ht="15" customHeight="1" x14ac:dyDescent="0.2">
      <c r="C3919" s="5" t="str">
        <f>IF(B3919="","",[1]!s_dq_close(股指期货基差分析!$E$5,$B3919))</f>
        <v/>
      </c>
      <c r="D3919" s="5" t="str">
        <f>IF(B3919="","",[1]!s_dq_close(股指期货基差分析!$E$6,$B3919))</f>
        <v/>
      </c>
      <c r="E3919" s="4" t="e">
        <f ca="1">RANK(F3919,F:F)+COUNTIF(F$2:F3919,F3919)-1</f>
        <v>#VALUE!</v>
      </c>
      <c r="F3919" s="5" t="str">
        <f t="shared" si="62"/>
        <v/>
      </c>
      <c r="G3919" s="5" t="str">
        <f>IF(B3919="","",股指期货基差分析!$N$11)</f>
        <v/>
      </c>
      <c r="H3919" s="5" t="str">
        <f>IF(B3919="","",股指期货基差分析!$L$11)</f>
        <v/>
      </c>
      <c r="I3919" s="9" t="str">
        <f>IF(B3919="","",股指期货基差分析!$D$11)</f>
        <v/>
      </c>
    </row>
    <row r="3920" spans="3:9" ht="15" customHeight="1" x14ac:dyDescent="0.2">
      <c r="C3920" s="5" t="str">
        <f>IF(B3920="","",[1]!s_dq_close(股指期货基差分析!$E$5,$B3920))</f>
        <v/>
      </c>
      <c r="D3920" s="5" t="str">
        <f>IF(B3920="","",[1]!s_dq_close(股指期货基差分析!$E$6,$B3920))</f>
        <v/>
      </c>
      <c r="E3920" s="4" t="e">
        <f ca="1">RANK(F3920,F:F)+COUNTIF(F$2:F3920,F3920)-1</f>
        <v>#VALUE!</v>
      </c>
      <c r="F3920" s="5" t="str">
        <f t="shared" si="62"/>
        <v/>
      </c>
      <c r="G3920" s="5" t="str">
        <f>IF(B3920="","",股指期货基差分析!$N$11)</f>
        <v/>
      </c>
      <c r="H3920" s="5" t="str">
        <f>IF(B3920="","",股指期货基差分析!$L$11)</f>
        <v/>
      </c>
      <c r="I3920" s="9" t="str">
        <f>IF(B3920="","",股指期货基差分析!$D$11)</f>
        <v/>
      </c>
    </row>
    <row r="3921" spans="3:9" ht="15" customHeight="1" x14ac:dyDescent="0.2">
      <c r="C3921" s="5" t="str">
        <f>IF(B3921="","",[1]!s_dq_close(股指期货基差分析!$E$5,$B3921))</f>
        <v/>
      </c>
      <c r="D3921" s="5" t="str">
        <f>IF(B3921="","",[1]!s_dq_close(股指期货基差分析!$E$6,$B3921))</f>
        <v/>
      </c>
      <c r="E3921" s="4" t="e">
        <f ca="1">RANK(F3921,F:F)+COUNTIF(F$2:F3921,F3921)-1</f>
        <v>#VALUE!</v>
      </c>
      <c r="F3921" s="5" t="str">
        <f t="shared" si="62"/>
        <v/>
      </c>
      <c r="G3921" s="5" t="str">
        <f>IF(B3921="","",股指期货基差分析!$N$11)</f>
        <v/>
      </c>
      <c r="H3921" s="5" t="str">
        <f>IF(B3921="","",股指期货基差分析!$L$11)</f>
        <v/>
      </c>
      <c r="I3921" s="9" t="str">
        <f>IF(B3921="","",股指期货基差分析!$D$11)</f>
        <v/>
      </c>
    </row>
    <row r="3922" spans="3:9" ht="15" customHeight="1" x14ac:dyDescent="0.2">
      <c r="C3922" s="5" t="str">
        <f>IF(B3922="","",[1]!s_dq_close(股指期货基差分析!$E$5,$B3922))</f>
        <v/>
      </c>
      <c r="D3922" s="5" t="str">
        <f>IF(B3922="","",[1]!s_dq_close(股指期货基差分析!$E$6,$B3922))</f>
        <v/>
      </c>
      <c r="E3922" s="4" t="e">
        <f ca="1">RANK(F3922,F:F)+COUNTIF(F$2:F3922,F3922)-1</f>
        <v>#VALUE!</v>
      </c>
      <c r="F3922" s="5" t="str">
        <f t="shared" si="62"/>
        <v/>
      </c>
      <c r="G3922" s="5" t="str">
        <f>IF(B3922="","",股指期货基差分析!$N$11)</f>
        <v/>
      </c>
      <c r="H3922" s="5" t="str">
        <f>IF(B3922="","",股指期货基差分析!$L$11)</f>
        <v/>
      </c>
      <c r="I3922" s="9" t="str">
        <f>IF(B3922="","",股指期货基差分析!$D$11)</f>
        <v/>
      </c>
    </row>
    <row r="3923" spans="3:9" ht="15" customHeight="1" x14ac:dyDescent="0.2">
      <c r="C3923" s="5" t="str">
        <f>IF(B3923="","",[1]!s_dq_close(股指期货基差分析!$E$5,$B3923))</f>
        <v/>
      </c>
      <c r="D3923" s="5" t="str">
        <f>IF(B3923="","",[1]!s_dq_close(股指期货基差分析!$E$6,$B3923))</f>
        <v/>
      </c>
      <c r="E3923" s="4" t="e">
        <f ca="1">RANK(F3923,F:F)+COUNTIF(F$2:F3923,F3923)-1</f>
        <v>#VALUE!</v>
      </c>
      <c r="F3923" s="5" t="str">
        <f t="shared" si="62"/>
        <v/>
      </c>
      <c r="G3923" s="5" t="str">
        <f>IF(B3923="","",股指期货基差分析!$N$11)</f>
        <v/>
      </c>
      <c r="H3923" s="5" t="str">
        <f>IF(B3923="","",股指期货基差分析!$L$11)</f>
        <v/>
      </c>
      <c r="I3923" s="9" t="str">
        <f>IF(B3923="","",股指期货基差分析!$D$11)</f>
        <v/>
      </c>
    </row>
    <row r="3924" spans="3:9" ht="15" customHeight="1" x14ac:dyDescent="0.2">
      <c r="C3924" s="5" t="str">
        <f>IF(B3924="","",[1]!s_dq_close(股指期货基差分析!$E$5,$B3924))</f>
        <v/>
      </c>
      <c r="D3924" s="5" t="str">
        <f>IF(B3924="","",[1]!s_dq_close(股指期货基差分析!$E$6,$B3924))</f>
        <v/>
      </c>
      <c r="E3924" s="4" t="e">
        <f ca="1">RANK(F3924,F:F)+COUNTIF(F$2:F3924,F3924)-1</f>
        <v>#VALUE!</v>
      </c>
      <c r="F3924" s="5" t="str">
        <f t="shared" si="62"/>
        <v/>
      </c>
      <c r="G3924" s="5" t="str">
        <f>IF(B3924="","",股指期货基差分析!$N$11)</f>
        <v/>
      </c>
      <c r="H3924" s="5" t="str">
        <f>IF(B3924="","",股指期货基差分析!$L$11)</f>
        <v/>
      </c>
      <c r="I3924" s="9" t="str">
        <f>IF(B3924="","",股指期货基差分析!$D$11)</f>
        <v/>
      </c>
    </row>
    <row r="3925" spans="3:9" ht="15" customHeight="1" x14ac:dyDescent="0.2">
      <c r="C3925" s="5" t="str">
        <f>IF(B3925="","",[1]!s_dq_close(股指期货基差分析!$E$5,$B3925))</f>
        <v/>
      </c>
      <c r="D3925" s="5" t="str">
        <f>IF(B3925="","",[1]!s_dq_close(股指期货基差分析!$E$6,$B3925))</f>
        <v/>
      </c>
      <c r="E3925" s="4" t="e">
        <f ca="1">RANK(F3925,F:F)+COUNTIF(F$2:F3925,F3925)-1</f>
        <v>#VALUE!</v>
      </c>
      <c r="F3925" s="5" t="str">
        <f t="shared" si="62"/>
        <v/>
      </c>
      <c r="G3925" s="5" t="str">
        <f>IF(B3925="","",股指期货基差分析!$N$11)</f>
        <v/>
      </c>
      <c r="H3925" s="5" t="str">
        <f>IF(B3925="","",股指期货基差分析!$L$11)</f>
        <v/>
      </c>
      <c r="I3925" s="9" t="str">
        <f>IF(B3925="","",股指期货基差分析!$D$11)</f>
        <v/>
      </c>
    </row>
    <row r="3926" spans="3:9" ht="15" customHeight="1" x14ac:dyDescent="0.2">
      <c r="C3926" s="5" t="str">
        <f>IF(B3926="","",[1]!s_dq_close(股指期货基差分析!$E$5,$B3926))</f>
        <v/>
      </c>
      <c r="D3926" s="5" t="str">
        <f>IF(B3926="","",[1]!s_dq_close(股指期货基差分析!$E$6,$B3926))</f>
        <v/>
      </c>
      <c r="E3926" s="4" t="e">
        <f ca="1">RANK(F3926,F:F)+COUNTIF(F$2:F3926,F3926)-1</f>
        <v>#VALUE!</v>
      </c>
      <c r="F3926" s="5" t="str">
        <f t="shared" si="62"/>
        <v/>
      </c>
      <c r="G3926" s="5" t="str">
        <f>IF(B3926="","",股指期货基差分析!$N$11)</f>
        <v/>
      </c>
      <c r="H3926" s="5" t="str">
        <f>IF(B3926="","",股指期货基差分析!$L$11)</f>
        <v/>
      </c>
      <c r="I3926" s="9" t="str">
        <f>IF(B3926="","",股指期货基差分析!$D$11)</f>
        <v/>
      </c>
    </row>
    <row r="3927" spans="3:9" ht="15" customHeight="1" x14ac:dyDescent="0.2">
      <c r="C3927" s="5" t="str">
        <f>IF(B3927="","",[1]!s_dq_close(股指期货基差分析!$E$5,$B3927))</f>
        <v/>
      </c>
      <c r="D3927" s="5" t="str">
        <f>IF(B3927="","",[1]!s_dq_close(股指期货基差分析!$E$6,$B3927))</f>
        <v/>
      </c>
      <c r="E3927" s="4" t="e">
        <f ca="1">RANK(F3927,F:F)+COUNTIF(F$2:F3927,F3927)-1</f>
        <v>#VALUE!</v>
      </c>
      <c r="F3927" s="5" t="str">
        <f t="shared" si="62"/>
        <v/>
      </c>
      <c r="G3927" s="5" t="str">
        <f>IF(B3927="","",股指期货基差分析!$N$11)</f>
        <v/>
      </c>
      <c r="H3927" s="5" t="str">
        <f>IF(B3927="","",股指期货基差分析!$L$11)</f>
        <v/>
      </c>
      <c r="I3927" s="9" t="str">
        <f>IF(B3927="","",股指期货基差分析!$D$11)</f>
        <v/>
      </c>
    </row>
    <row r="3928" spans="3:9" ht="15" customHeight="1" x14ac:dyDescent="0.2">
      <c r="C3928" s="5" t="str">
        <f>IF(B3928="","",[1]!s_dq_close(股指期货基差分析!$E$5,$B3928))</f>
        <v/>
      </c>
      <c r="D3928" s="5" t="str">
        <f>IF(B3928="","",[1]!s_dq_close(股指期货基差分析!$E$6,$B3928))</f>
        <v/>
      </c>
      <c r="E3928" s="4" t="e">
        <f ca="1">RANK(F3928,F:F)+COUNTIF(F$2:F3928,F3928)-1</f>
        <v>#VALUE!</v>
      </c>
      <c r="F3928" s="5" t="str">
        <f t="shared" si="62"/>
        <v/>
      </c>
      <c r="G3928" s="5" t="str">
        <f>IF(B3928="","",股指期货基差分析!$N$11)</f>
        <v/>
      </c>
      <c r="H3928" s="5" t="str">
        <f>IF(B3928="","",股指期货基差分析!$L$11)</f>
        <v/>
      </c>
      <c r="I3928" s="9" t="str">
        <f>IF(B3928="","",股指期货基差分析!$D$11)</f>
        <v/>
      </c>
    </row>
    <row r="3929" spans="3:9" ht="15" customHeight="1" x14ac:dyDescent="0.2">
      <c r="C3929" s="5" t="str">
        <f>IF(B3929="","",[1]!s_dq_close(股指期货基差分析!$E$5,$B3929))</f>
        <v/>
      </c>
      <c r="D3929" s="5" t="str">
        <f>IF(B3929="","",[1]!s_dq_close(股指期货基差分析!$E$6,$B3929))</f>
        <v/>
      </c>
      <c r="E3929" s="4" t="e">
        <f ca="1">RANK(F3929,F:F)+COUNTIF(F$2:F3929,F3929)-1</f>
        <v>#VALUE!</v>
      </c>
      <c r="F3929" s="5" t="str">
        <f t="shared" si="62"/>
        <v/>
      </c>
      <c r="G3929" s="5" t="str">
        <f>IF(B3929="","",股指期货基差分析!$N$11)</f>
        <v/>
      </c>
      <c r="H3929" s="5" t="str">
        <f>IF(B3929="","",股指期货基差分析!$L$11)</f>
        <v/>
      </c>
      <c r="I3929" s="9" t="str">
        <f>IF(B3929="","",股指期货基差分析!$D$11)</f>
        <v/>
      </c>
    </row>
    <row r="3930" spans="3:9" ht="15" customHeight="1" x14ac:dyDescent="0.2">
      <c r="C3930" s="5" t="str">
        <f>IF(B3930="","",[1]!s_dq_close(股指期货基差分析!$E$5,$B3930))</f>
        <v/>
      </c>
      <c r="D3930" s="5" t="str">
        <f>IF(B3930="","",[1]!s_dq_close(股指期货基差分析!$E$6,$B3930))</f>
        <v/>
      </c>
      <c r="E3930" s="4" t="e">
        <f ca="1">RANK(F3930,F:F)+COUNTIF(F$2:F3930,F3930)-1</f>
        <v>#VALUE!</v>
      </c>
      <c r="F3930" s="5" t="str">
        <f t="shared" si="62"/>
        <v/>
      </c>
      <c r="G3930" s="5" t="str">
        <f>IF(B3930="","",股指期货基差分析!$N$11)</f>
        <v/>
      </c>
      <c r="H3930" s="5" t="str">
        <f>IF(B3930="","",股指期货基差分析!$L$11)</f>
        <v/>
      </c>
      <c r="I3930" s="9" t="str">
        <f>IF(B3930="","",股指期货基差分析!$D$11)</f>
        <v/>
      </c>
    </row>
    <row r="3931" spans="3:9" ht="15" customHeight="1" x14ac:dyDescent="0.2">
      <c r="C3931" s="5" t="str">
        <f>IF(B3931="","",[1]!s_dq_close(股指期货基差分析!$E$5,$B3931))</f>
        <v/>
      </c>
      <c r="D3931" s="5" t="str">
        <f>IF(B3931="","",[1]!s_dq_close(股指期货基差分析!$E$6,$B3931))</f>
        <v/>
      </c>
      <c r="E3931" s="4" t="e">
        <f ca="1">RANK(F3931,F:F)+COUNTIF(F$2:F3931,F3931)-1</f>
        <v>#VALUE!</v>
      </c>
      <c r="F3931" s="5" t="str">
        <f t="shared" si="62"/>
        <v/>
      </c>
      <c r="G3931" s="5" t="str">
        <f>IF(B3931="","",股指期货基差分析!$N$11)</f>
        <v/>
      </c>
      <c r="H3931" s="5" t="str">
        <f>IF(B3931="","",股指期货基差分析!$L$11)</f>
        <v/>
      </c>
      <c r="I3931" s="9" t="str">
        <f>IF(B3931="","",股指期货基差分析!$D$11)</f>
        <v/>
      </c>
    </row>
    <row r="3932" spans="3:9" ht="15" customHeight="1" x14ac:dyDescent="0.2">
      <c r="C3932" s="5" t="str">
        <f>IF(B3932="","",[1]!s_dq_close(股指期货基差分析!$E$5,$B3932))</f>
        <v/>
      </c>
      <c r="D3932" s="5" t="str">
        <f>IF(B3932="","",[1]!s_dq_close(股指期货基差分析!$E$6,$B3932))</f>
        <v/>
      </c>
      <c r="E3932" s="4" t="e">
        <f ca="1">RANK(F3932,F:F)+COUNTIF(F$2:F3932,F3932)-1</f>
        <v>#VALUE!</v>
      </c>
      <c r="F3932" s="5" t="str">
        <f t="shared" si="62"/>
        <v/>
      </c>
      <c r="G3932" s="5" t="str">
        <f>IF(B3932="","",股指期货基差分析!$N$11)</f>
        <v/>
      </c>
      <c r="H3932" s="5" t="str">
        <f>IF(B3932="","",股指期货基差分析!$L$11)</f>
        <v/>
      </c>
      <c r="I3932" s="9" t="str">
        <f>IF(B3932="","",股指期货基差分析!$D$11)</f>
        <v/>
      </c>
    </row>
    <row r="3933" spans="3:9" ht="15" customHeight="1" x14ac:dyDescent="0.2">
      <c r="C3933" s="5" t="str">
        <f>IF(B3933="","",[1]!s_dq_close(股指期货基差分析!$E$5,$B3933))</f>
        <v/>
      </c>
      <c r="D3933" s="5" t="str">
        <f>IF(B3933="","",[1]!s_dq_close(股指期货基差分析!$E$6,$B3933))</f>
        <v/>
      </c>
      <c r="E3933" s="4" t="e">
        <f ca="1">RANK(F3933,F:F)+COUNTIF(F$2:F3933,F3933)-1</f>
        <v>#VALUE!</v>
      </c>
      <c r="F3933" s="5" t="str">
        <f t="shared" si="62"/>
        <v/>
      </c>
      <c r="G3933" s="5" t="str">
        <f>IF(B3933="","",股指期货基差分析!$N$11)</f>
        <v/>
      </c>
      <c r="H3933" s="5" t="str">
        <f>IF(B3933="","",股指期货基差分析!$L$11)</f>
        <v/>
      </c>
      <c r="I3933" s="9" t="str">
        <f>IF(B3933="","",股指期货基差分析!$D$11)</f>
        <v/>
      </c>
    </row>
    <row r="3934" spans="3:9" ht="15" customHeight="1" x14ac:dyDescent="0.2">
      <c r="C3934" s="5" t="str">
        <f>IF(B3934="","",[1]!s_dq_close(股指期货基差分析!$E$5,$B3934))</f>
        <v/>
      </c>
      <c r="D3934" s="5" t="str">
        <f>IF(B3934="","",[1]!s_dq_close(股指期货基差分析!$E$6,$B3934))</f>
        <v/>
      </c>
      <c r="E3934" s="4" t="e">
        <f ca="1">RANK(F3934,F:F)+COUNTIF(F$2:F3934,F3934)-1</f>
        <v>#VALUE!</v>
      </c>
      <c r="F3934" s="5" t="str">
        <f t="shared" si="62"/>
        <v/>
      </c>
      <c r="G3934" s="5" t="str">
        <f>IF(B3934="","",股指期货基差分析!$N$11)</f>
        <v/>
      </c>
      <c r="H3934" s="5" t="str">
        <f>IF(B3934="","",股指期货基差分析!$L$11)</f>
        <v/>
      </c>
      <c r="I3934" s="9" t="str">
        <f>IF(B3934="","",股指期货基差分析!$D$11)</f>
        <v/>
      </c>
    </row>
    <row r="3935" spans="3:9" ht="15" customHeight="1" x14ac:dyDescent="0.2">
      <c r="C3935" s="5" t="str">
        <f>IF(B3935="","",[1]!s_dq_close(股指期货基差分析!$E$5,$B3935))</f>
        <v/>
      </c>
      <c r="D3935" s="5" t="str">
        <f>IF(B3935="","",[1]!s_dq_close(股指期货基差分析!$E$6,$B3935))</f>
        <v/>
      </c>
      <c r="E3935" s="4" t="e">
        <f ca="1">RANK(F3935,F:F)+COUNTIF(F$2:F3935,F3935)-1</f>
        <v>#VALUE!</v>
      </c>
      <c r="F3935" s="5" t="str">
        <f t="shared" si="62"/>
        <v/>
      </c>
      <c r="G3935" s="5" t="str">
        <f>IF(B3935="","",股指期货基差分析!$N$11)</f>
        <v/>
      </c>
      <c r="H3935" s="5" t="str">
        <f>IF(B3935="","",股指期货基差分析!$L$11)</f>
        <v/>
      </c>
      <c r="I3935" s="9" t="str">
        <f>IF(B3935="","",股指期货基差分析!$D$11)</f>
        <v/>
      </c>
    </row>
    <row r="3936" spans="3:9" ht="15" customHeight="1" x14ac:dyDescent="0.2">
      <c r="C3936" s="5" t="str">
        <f>IF(B3936="","",[1]!s_dq_close(股指期货基差分析!$E$5,$B3936))</f>
        <v/>
      </c>
      <c r="D3936" s="5" t="str">
        <f>IF(B3936="","",[1]!s_dq_close(股指期货基差分析!$E$6,$B3936))</f>
        <v/>
      </c>
      <c r="E3936" s="4" t="e">
        <f ca="1">RANK(F3936,F:F)+COUNTIF(F$2:F3936,F3936)-1</f>
        <v>#VALUE!</v>
      </c>
      <c r="F3936" s="5" t="str">
        <f t="shared" si="62"/>
        <v/>
      </c>
      <c r="G3936" s="5" t="str">
        <f>IF(B3936="","",股指期货基差分析!$N$11)</f>
        <v/>
      </c>
      <c r="H3936" s="5" t="str">
        <f>IF(B3936="","",股指期货基差分析!$L$11)</f>
        <v/>
      </c>
      <c r="I3936" s="9" t="str">
        <f>IF(B3936="","",股指期货基差分析!$D$11)</f>
        <v/>
      </c>
    </row>
    <row r="3937" spans="3:9" ht="15" customHeight="1" x14ac:dyDescent="0.2">
      <c r="C3937" s="5" t="str">
        <f>IF(B3937="","",[1]!s_dq_close(股指期货基差分析!$E$5,$B3937))</f>
        <v/>
      </c>
      <c r="D3937" s="5" t="str">
        <f>IF(B3937="","",[1]!s_dq_close(股指期货基差分析!$E$6,$B3937))</f>
        <v/>
      </c>
      <c r="E3937" s="4" t="e">
        <f ca="1">RANK(F3937,F:F)+COUNTIF(F$2:F3937,F3937)-1</f>
        <v>#VALUE!</v>
      </c>
      <c r="F3937" s="5" t="str">
        <f t="shared" si="62"/>
        <v/>
      </c>
      <c r="G3937" s="5" t="str">
        <f>IF(B3937="","",股指期货基差分析!$N$11)</f>
        <v/>
      </c>
      <c r="H3937" s="5" t="str">
        <f>IF(B3937="","",股指期货基差分析!$L$11)</f>
        <v/>
      </c>
      <c r="I3937" s="9" t="str">
        <f>IF(B3937="","",股指期货基差分析!$D$11)</f>
        <v/>
      </c>
    </row>
    <row r="3938" spans="3:9" ht="15" customHeight="1" x14ac:dyDescent="0.2">
      <c r="C3938" s="5" t="str">
        <f>IF(B3938="","",[1]!s_dq_close(股指期货基差分析!$E$5,$B3938))</f>
        <v/>
      </c>
      <c r="D3938" s="5" t="str">
        <f>IF(B3938="","",[1]!s_dq_close(股指期货基差分析!$E$6,$B3938))</f>
        <v/>
      </c>
      <c r="E3938" s="4" t="e">
        <f ca="1">RANK(F3938,F:F)+COUNTIF(F$2:F3938,F3938)-1</f>
        <v>#VALUE!</v>
      </c>
      <c r="F3938" s="5" t="str">
        <f t="shared" si="62"/>
        <v/>
      </c>
      <c r="G3938" s="5" t="str">
        <f>IF(B3938="","",股指期货基差分析!$N$11)</f>
        <v/>
      </c>
      <c r="H3938" s="5" t="str">
        <f>IF(B3938="","",股指期货基差分析!$L$11)</f>
        <v/>
      </c>
      <c r="I3938" s="9" t="str">
        <f>IF(B3938="","",股指期货基差分析!$D$11)</f>
        <v/>
      </c>
    </row>
    <row r="3939" spans="3:9" ht="15" customHeight="1" x14ac:dyDescent="0.2">
      <c r="C3939" s="5" t="str">
        <f>IF(B3939="","",[1]!s_dq_close(股指期货基差分析!$E$5,$B3939))</f>
        <v/>
      </c>
      <c r="D3939" s="5" t="str">
        <f>IF(B3939="","",[1]!s_dq_close(股指期货基差分析!$E$6,$B3939))</f>
        <v/>
      </c>
      <c r="E3939" s="4" t="e">
        <f ca="1">RANK(F3939,F:F)+COUNTIF(F$2:F3939,F3939)-1</f>
        <v>#VALUE!</v>
      </c>
      <c r="F3939" s="5" t="str">
        <f t="shared" si="62"/>
        <v/>
      </c>
      <c r="G3939" s="5" t="str">
        <f>IF(B3939="","",股指期货基差分析!$N$11)</f>
        <v/>
      </c>
      <c r="H3939" s="5" t="str">
        <f>IF(B3939="","",股指期货基差分析!$L$11)</f>
        <v/>
      </c>
      <c r="I3939" s="9" t="str">
        <f>IF(B3939="","",股指期货基差分析!$D$11)</f>
        <v/>
      </c>
    </row>
    <row r="3940" spans="3:9" ht="15" customHeight="1" x14ac:dyDescent="0.2">
      <c r="C3940" s="5" t="str">
        <f>IF(B3940="","",[1]!s_dq_close(股指期货基差分析!$E$5,$B3940))</f>
        <v/>
      </c>
      <c r="D3940" s="5" t="str">
        <f>IF(B3940="","",[1]!s_dq_close(股指期货基差分析!$E$6,$B3940))</f>
        <v/>
      </c>
      <c r="E3940" s="4" t="e">
        <f ca="1">RANK(F3940,F:F)+COUNTIF(F$2:F3940,F3940)-1</f>
        <v>#VALUE!</v>
      </c>
      <c r="F3940" s="5" t="str">
        <f t="shared" si="62"/>
        <v/>
      </c>
      <c r="G3940" s="5" t="str">
        <f>IF(B3940="","",股指期货基差分析!$N$11)</f>
        <v/>
      </c>
      <c r="H3940" s="5" t="str">
        <f>IF(B3940="","",股指期货基差分析!$L$11)</f>
        <v/>
      </c>
      <c r="I3940" s="9" t="str">
        <f>IF(B3940="","",股指期货基差分析!$D$11)</f>
        <v/>
      </c>
    </row>
    <row r="3941" spans="3:9" ht="15" customHeight="1" x14ac:dyDescent="0.2">
      <c r="C3941" s="5" t="str">
        <f>IF(B3941="","",[1]!s_dq_close(股指期货基差分析!$E$5,$B3941))</f>
        <v/>
      </c>
      <c r="D3941" s="5" t="str">
        <f>IF(B3941="","",[1]!s_dq_close(股指期货基差分析!$E$6,$B3941))</f>
        <v/>
      </c>
      <c r="E3941" s="4" t="e">
        <f ca="1">RANK(F3941,F:F)+COUNTIF(F$2:F3941,F3941)-1</f>
        <v>#VALUE!</v>
      </c>
      <c r="F3941" s="5" t="str">
        <f t="shared" si="62"/>
        <v/>
      </c>
      <c r="G3941" s="5" t="str">
        <f>IF(B3941="","",股指期货基差分析!$N$11)</f>
        <v/>
      </c>
      <c r="H3941" s="5" t="str">
        <f>IF(B3941="","",股指期货基差分析!$L$11)</f>
        <v/>
      </c>
      <c r="I3941" s="9" t="str">
        <f>IF(B3941="","",股指期货基差分析!$D$11)</f>
        <v/>
      </c>
    </row>
    <row r="3942" spans="3:9" ht="15" customHeight="1" x14ac:dyDescent="0.2">
      <c r="C3942" s="5" t="str">
        <f>IF(B3942="","",[1]!s_dq_close(股指期货基差分析!$E$5,$B3942))</f>
        <v/>
      </c>
      <c r="D3942" s="5" t="str">
        <f>IF(B3942="","",[1]!s_dq_close(股指期货基差分析!$E$6,$B3942))</f>
        <v/>
      </c>
      <c r="E3942" s="4" t="e">
        <f ca="1">RANK(F3942,F:F)+COUNTIF(F$2:F3942,F3942)-1</f>
        <v>#VALUE!</v>
      </c>
      <c r="F3942" s="5" t="str">
        <f t="shared" si="62"/>
        <v/>
      </c>
      <c r="G3942" s="5" t="str">
        <f>IF(B3942="","",股指期货基差分析!$N$11)</f>
        <v/>
      </c>
      <c r="H3942" s="5" t="str">
        <f>IF(B3942="","",股指期货基差分析!$L$11)</f>
        <v/>
      </c>
      <c r="I3942" s="9" t="str">
        <f>IF(B3942="","",股指期货基差分析!$D$11)</f>
        <v/>
      </c>
    </row>
    <row r="3943" spans="3:9" ht="15" customHeight="1" x14ac:dyDescent="0.2">
      <c r="C3943" s="5" t="str">
        <f>IF(B3943="","",[1]!s_dq_close(股指期货基差分析!$E$5,$B3943))</f>
        <v/>
      </c>
      <c r="D3943" s="5" t="str">
        <f>IF(B3943="","",[1]!s_dq_close(股指期货基差分析!$E$6,$B3943))</f>
        <v/>
      </c>
      <c r="E3943" s="4" t="e">
        <f ca="1">RANK(F3943,F:F)+COUNTIF(F$2:F3943,F3943)-1</f>
        <v>#VALUE!</v>
      </c>
      <c r="F3943" s="5" t="str">
        <f t="shared" si="62"/>
        <v/>
      </c>
      <c r="G3943" s="5" t="str">
        <f>IF(B3943="","",股指期货基差分析!$N$11)</f>
        <v/>
      </c>
      <c r="H3943" s="5" t="str">
        <f>IF(B3943="","",股指期货基差分析!$L$11)</f>
        <v/>
      </c>
      <c r="I3943" s="9" t="str">
        <f>IF(B3943="","",股指期货基差分析!$D$11)</f>
        <v/>
      </c>
    </row>
    <row r="3944" spans="3:9" ht="15" customHeight="1" x14ac:dyDescent="0.2">
      <c r="C3944" s="5" t="str">
        <f>IF(B3944="","",[1]!s_dq_close(股指期货基差分析!$E$5,$B3944))</f>
        <v/>
      </c>
      <c r="D3944" s="5" t="str">
        <f>IF(B3944="","",[1]!s_dq_close(股指期货基差分析!$E$6,$B3944))</f>
        <v/>
      </c>
      <c r="E3944" s="4" t="e">
        <f ca="1">RANK(F3944,F:F)+COUNTIF(F$2:F3944,F3944)-1</f>
        <v>#VALUE!</v>
      </c>
      <c r="F3944" s="5" t="str">
        <f t="shared" si="62"/>
        <v/>
      </c>
      <c r="G3944" s="5" t="str">
        <f>IF(B3944="","",股指期货基差分析!$N$11)</f>
        <v/>
      </c>
      <c r="H3944" s="5" t="str">
        <f>IF(B3944="","",股指期货基差分析!$L$11)</f>
        <v/>
      </c>
      <c r="I3944" s="9" t="str">
        <f>IF(B3944="","",股指期货基差分析!$D$11)</f>
        <v/>
      </c>
    </row>
    <row r="3945" spans="3:9" ht="15" customHeight="1" x14ac:dyDescent="0.2">
      <c r="C3945" s="5" t="str">
        <f>IF(B3945="","",[1]!s_dq_close(股指期货基差分析!$E$5,$B3945))</f>
        <v/>
      </c>
      <c r="D3945" s="5" t="str">
        <f>IF(B3945="","",[1]!s_dq_close(股指期货基差分析!$E$6,$B3945))</f>
        <v/>
      </c>
      <c r="E3945" s="4" t="e">
        <f ca="1">RANK(F3945,F:F)+COUNTIF(F$2:F3945,F3945)-1</f>
        <v>#VALUE!</v>
      </c>
      <c r="F3945" s="5" t="str">
        <f t="shared" si="62"/>
        <v/>
      </c>
      <c r="G3945" s="5" t="str">
        <f>IF(B3945="","",股指期货基差分析!$N$11)</f>
        <v/>
      </c>
      <c r="H3945" s="5" t="str">
        <f>IF(B3945="","",股指期货基差分析!$L$11)</f>
        <v/>
      </c>
      <c r="I3945" s="9" t="str">
        <f>IF(B3945="","",股指期货基差分析!$D$11)</f>
        <v/>
      </c>
    </row>
    <row r="3946" spans="3:9" ht="15" customHeight="1" x14ac:dyDescent="0.2">
      <c r="C3946" s="5" t="str">
        <f>IF(B3946="","",[1]!s_dq_close(股指期货基差分析!$E$5,$B3946))</f>
        <v/>
      </c>
      <c r="D3946" s="5" t="str">
        <f>IF(B3946="","",[1]!s_dq_close(股指期货基差分析!$E$6,$B3946))</f>
        <v/>
      </c>
      <c r="E3946" s="4" t="e">
        <f ca="1">RANK(F3946,F:F)+COUNTIF(F$2:F3946,F3946)-1</f>
        <v>#VALUE!</v>
      </c>
      <c r="F3946" s="5" t="str">
        <f t="shared" si="62"/>
        <v/>
      </c>
      <c r="G3946" s="5" t="str">
        <f>IF(B3946="","",股指期货基差分析!$N$11)</f>
        <v/>
      </c>
      <c r="H3946" s="5" t="str">
        <f>IF(B3946="","",股指期货基差分析!$L$11)</f>
        <v/>
      </c>
      <c r="I3946" s="9" t="str">
        <f>IF(B3946="","",股指期货基差分析!$D$11)</f>
        <v/>
      </c>
    </row>
    <row r="3947" spans="3:9" ht="15" customHeight="1" x14ac:dyDescent="0.2">
      <c r="C3947" s="5" t="str">
        <f>IF(B3947="","",[1]!s_dq_close(股指期货基差分析!$E$5,$B3947))</f>
        <v/>
      </c>
      <c r="D3947" s="5" t="str">
        <f>IF(B3947="","",[1]!s_dq_close(股指期货基差分析!$E$6,$B3947))</f>
        <v/>
      </c>
      <c r="E3947" s="4" t="e">
        <f ca="1">RANK(F3947,F:F)+COUNTIF(F$2:F3947,F3947)-1</f>
        <v>#VALUE!</v>
      </c>
      <c r="F3947" s="5" t="str">
        <f t="shared" si="62"/>
        <v/>
      </c>
      <c r="G3947" s="5" t="str">
        <f>IF(B3947="","",股指期货基差分析!$N$11)</f>
        <v/>
      </c>
      <c r="H3947" s="5" t="str">
        <f>IF(B3947="","",股指期货基差分析!$L$11)</f>
        <v/>
      </c>
      <c r="I3947" s="9" t="str">
        <f>IF(B3947="","",股指期货基差分析!$D$11)</f>
        <v/>
      </c>
    </row>
    <row r="3948" spans="3:9" ht="15" customHeight="1" x14ac:dyDescent="0.2">
      <c r="C3948" s="5" t="str">
        <f>IF(B3948="","",[1]!s_dq_close(股指期货基差分析!$E$5,$B3948))</f>
        <v/>
      </c>
      <c r="D3948" s="5" t="str">
        <f>IF(B3948="","",[1]!s_dq_close(股指期货基差分析!$E$6,$B3948))</f>
        <v/>
      </c>
      <c r="E3948" s="4" t="e">
        <f ca="1">RANK(F3948,F:F)+COUNTIF(F$2:F3948,F3948)-1</f>
        <v>#VALUE!</v>
      </c>
      <c r="F3948" s="5" t="str">
        <f t="shared" si="62"/>
        <v/>
      </c>
      <c r="G3948" s="5" t="str">
        <f>IF(B3948="","",股指期货基差分析!$N$11)</f>
        <v/>
      </c>
      <c r="H3948" s="5" t="str">
        <f>IF(B3948="","",股指期货基差分析!$L$11)</f>
        <v/>
      </c>
      <c r="I3948" s="9" t="str">
        <f>IF(B3948="","",股指期货基差分析!$D$11)</f>
        <v/>
      </c>
    </row>
    <row r="3949" spans="3:9" ht="15" customHeight="1" x14ac:dyDescent="0.2">
      <c r="C3949" s="5" t="str">
        <f>IF(B3949="","",[1]!s_dq_close(股指期货基差分析!$E$5,$B3949))</f>
        <v/>
      </c>
      <c r="D3949" s="5" t="str">
        <f>IF(B3949="","",[1]!s_dq_close(股指期货基差分析!$E$6,$B3949))</f>
        <v/>
      </c>
      <c r="E3949" s="4" t="e">
        <f ca="1">RANK(F3949,F:F)+COUNTIF(F$2:F3949,F3949)-1</f>
        <v>#VALUE!</v>
      </c>
      <c r="F3949" s="5" t="str">
        <f t="shared" si="62"/>
        <v/>
      </c>
      <c r="G3949" s="5" t="str">
        <f>IF(B3949="","",股指期货基差分析!$N$11)</f>
        <v/>
      </c>
      <c r="H3949" s="5" t="str">
        <f>IF(B3949="","",股指期货基差分析!$L$11)</f>
        <v/>
      </c>
      <c r="I3949" s="9" t="str">
        <f>IF(B3949="","",股指期货基差分析!$D$11)</f>
        <v/>
      </c>
    </row>
    <row r="3950" spans="3:9" ht="15" customHeight="1" x14ac:dyDescent="0.2">
      <c r="C3950" s="5" t="str">
        <f>IF(B3950="","",[1]!s_dq_close(股指期货基差分析!$E$5,$B3950))</f>
        <v/>
      </c>
      <c r="D3950" s="5" t="str">
        <f>IF(B3950="","",[1]!s_dq_close(股指期货基差分析!$E$6,$B3950))</f>
        <v/>
      </c>
      <c r="E3950" s="4" t="e">
        <f ca="1">RANK(F3950,F:F)+COUNTIF(F$2:F3950,F3950)-1</f>
        <v>#VALUE!</v>
      </c>
      <c r="F3950" s="5" t="str">
        <f t="shared" si="62"/>
        <v/>
      </c>
      <c r="G3950" s="5" t="str">
        <f>IF(B3950="","",股指期货基差分析!$N$11)</f>
        <v/>
      </c>
      <c r="H3950" s="5" t="str">
        <f>IF(B3950="","",股指期货基差分析!$L$11)</f>
        <v/>
      </c>
      <c r="I3950" s="9" t="str">
        <f>IF(B3950="","",股指期货基差分析!$D$11)</f>
        <v/>
      </c>
    </row>
    <row r="3951" spans="3:9" ht="15" customHeight="1" x14ac:dyDescent="0.2">
      <c r="C3951" s="5" t="str">
        <f>IF(B3951="","",[1]!s_dq_close(股指期货基差分析!$E$5,$B3951))</f>
        <v/>
      </c>
      <c r="D3951" s="5" t="str">
        <f>IF(B3951="","",[1]!s_dq_close(股指期货基差分析!$E$6,$B3951))</f>
        <v/>
      </c>
      <c r="E3951" s="4" t="e">
        <f ca="1">RANK(F3951,F:F)+COUNTIF(F$2:F3951,F3951)-1</f>
        <v>#VALUE!</v>
      </c>
      <c r="F3951" s="5" t="str">
        <f t="shared" si="62"/>
        <v/>
      </c>
      <c r="G3951" s="5" t="str">
        <f>IF(B3951="","",股指期货基差分析!$N$11)</f>
        <v/>
      </c>
      <c r="H3951" s="5" t="str">
        <f>IF(B3951="","",股指期货基差分析!$L$11)</f>
        <v/>
      </c>
      <c r="I3951" s="9" t="str">
        <f>IF(B3951="","",股指期货基差分析!$D$11)</f>
        <v/>
      </c>
    </row>
    <row r="3952" spans="3:9" ht="15" customHeight="1" x14ac:dyDescent="0.2">
      <c r="C3952" s="5" t="str">
        <f>IF(B3952="","",[1]!s_dq_close(股指期货基差分析!$E$5,$B3952))</f>
        <v/>
      </c>
      <c r="D3952" s="5" t="str">
        <f>IF(B3952="","",[1]!s_dq_close(股指期货基差分析!$E$6,$B3952))</f>
        <v/>
      </c>
      <c r="E3952" s="4" t="e">
        <f ca="1">RANK(F3952,F:F)+COUNTIF(F$2:F3952,F3952)-1</f>
        <v>#VALUE!</v>
      </c>
      <c r="F3952" s="5" t="str">
        <f t="shared" si="62"/>
        <v/>
      </c>
      <c r="G3952" s="5" t="str">
        <f>IF(B3952="","",股指期货基差分析!$N$11)</f>
        <v/>
      </c>
      <c r="H3952" s="5" t="str">
        <f>IF(B3952="","",股指期货基差分析!$L$11)</f>
        <v/>
      </c>
      <c r="I3952" s="9" t="str">
        <f>IF(B3952="","",股指期货基差分析!$D$11)</f>
        <v/>
      </c>
    </row>
    <row r="3953" spans="3:9" ht="15" customHeight="1" x14ac:dyDescent="0.2">
      <c r="C3953" s="5" t="str">
        <f>IF(B3953="","",[1]!s_dq_close(股指期货基差分析!$E$5,$B3953))</f>
        <v/>
      </c>
      <c r="D3953" s="5" t="str">
        <f>IF(B3953="","",[1]!s_dq_close(股指期货基差分析!$E$6,$B3953))</f>
        <v/>
      </c>
      <c r="E3953" s="4" t="e">
        <f ca="1">RANK(F3953,F:F)+COUNTIF(F$2:F3953,F3953)-1</f>
        <v>#VALUE!</v>
      </c>
      <c r="F3953" s="5" t="str">
        <f t="shared" si="62"/>
        <v/>
      </c>
      <c r="G3953" s="5" t="str">
        <f>IF(B3953="","",股指期货基差分析!$N$11)</f>
        <v/>
      </c>
      <c r="H3953" s="5" t="str">
        <f>IF(B3953="","",股指期货基差分析!$L$11)</f>
        <v/>
      </c>
      <c r="I3953" s="9" t="str">
        <f>IF(B3953="","",股指期货基差分析!$D$11)</f>
        <v/>
      </c>
    </row>
    <row r="3954" spans="3:9" ht="15" customHeight="1" x14ac:dyDescent="0.2">
      <c r="C3954" s="5" t="str">
        <f>IF(B3954="","",[1]!s_dq_close(股指期货基差分析!$E$5,$B3954))</f>
        <v/>
      </c>
      <c r="D3954" s="5" t="str">
        <f>IF(B3954="","",[1]!s_dq_close(股指期货基差分析!$E$6,$B3954))</f>
        <v/>
      </c>
      <c r="E3954" s="4" t="e">
        <f ca="1">RANK(F3954,F:F)+COUNTIF(F$2:F3954,F3954)-1</f>
        <v>#VALUE!</v>
      </c>
      <c r="F3954" s="5" t="str">
        <f t="shared" si="62"/>
        <v/>
      </c>
      <c r="G3954" s="5" t="str">
        <f>IF(B3954="","",股指期货基差分析!$N$11)</f>
        <v/>
      </c>
      <c r="H3954" s="5" t="str">
        <f>IF(B3954="","",股指期货基差分析!$L$11)</f>
        <v/>
      </c>
      <c r="I3954" s="9" t="str">
        <f>IF(B3954="","",股指期货基差分析!$D$11)</f>
        <v/>
      </c>
    </row>
    <row r="3955" spans="3:9" ht="15" customHeight="1" x14ac:dyDescent="0.2">
      <c r="C3955" s="5" t="str">
        <f>IF(B3955="","",[1]!s_dq_close(股指期货基差分析!$E$5,$B3955))</f>
        <v/>
      </c>
      <c r="D3955" s="5" t="str">
        <f>IF(B3955="","",[1]!s_dq_close(股指期货基差分析!$E$6,$B3955))</f>
        <v/>
      </c>
      <c r="E3955" s="4" t="e">
        <f ca="1">RANK(F3955,F:F)+COUNTIF(F$2:F3955,F3955)-1</f>
        <v>#VALUE!</v>
      </c>
      <c r="F3955" s="5" t="str">
        <f t="shared" si="62"/>
        <v/>
      </c>
      <c r="G3955" s="5" t="str">
        <f>IF(B3955="","",股指期货基差分析!$N$11)</f>
        <v/>
      </c>
      <c r="H3955" s="5" t="str">
        <f>IF(B3955="","",股指期货基差分析!$L$11)</f>
        <v/>
      </c>
      <c r="I3955" s="9" t="str">
        <f>IF(B3955="","",股指期货基差分析!$D$11)</f>
        <v/>
      </c>
    </row>
    <row r="3956" spans="3:9" ht="15" customHeight="1" x14ac:dyDescent="0.2">
      <c r="C3956" s="5" t="str">
        <f>IF(B3956="","",[1]!s_dq_close(股指期货基差分析!$E$5,$B3956))</f>
        <v/>
      </c>
      <c r="D3956" s="5" t="str">
        <f>IF(B3956="","",[1]!s_dq_close(股指期货基差分析!$E$6,$B3956))</f>
        <v/>
      </c>
      <c r="E3956" s="4" t="e">
        <f ca="1">RANK(F3956,F:F)+COUNTIF(F$2:F3956,F3956)-1</f>
        <v>#VALUE!</v>
      </c>
      <c r="F3956" s="5" t="str">
        <f t="shared" si="62"/>
        <v/>
      </c>
      <c r="G3956" s="5" t="str">
        <f>IF(B3956="","",股指期货基差分析!$N$11)</f>
        <v/>
      </c>
      <c r="H3956" s="5" t="str">
        <f>IF(B3956="","",股指期货基差分析!$L$11)</f>
        <v/>
      </c>
      <c r="I3956" s="9" t="str">
        <f>IF(B3956="","",股指期货基差分析!$D$11)</f>
        <v/>
      </c>
    </row>
    <row r="3957" spans="3:9" ht="15" customHeight="1" x14ac:dyDescent="0.2">
      <c r="C3957" s="5" t="str">
        <f>IF(B3957="","",[1]!s_dq_close(股指期货基差分析!$E$5,$B3957))</f>
        <v/>
      </c>
      <c r="D3957" s="5" t="str">
        <f>IF(B3957="","",[1]!s_dq_close(股指期货基差分析!$E$6,$B3957))</f>
        <v/>
      </c>
      <c r="E3957" s="4" t="e">
        <f ca="1">RANK(F3957,F:F)+COUNTIF(F$2:F3957,F3957)-1</f>
        <v>#VALUE!</v>
      </c>
      <c r="F3957" s="5" t="str">
        <f t="shared" si="62"/>
        <v/>
      </c>
      <c r="G3957" s="5" t="str">
        <f>IF(B3957="","",股指期货基差分析!$N$11)</f>
        <v/>
      </c>
      <c r="H3957" s="5" t="str">
        <f>IF(B3957="","",股指期货基差分析!$L$11)</f>
        <v/>
      </c>
      <c r="I3957" s="9" t="str">
        <f>IF(B3957="","",股指期货基差分析!$D$11)</f>
        <v/>
      </c>
    </row>
    <row r="3958" spans="3:9" ht="15" customHeight="1" x14ac:dyDescent="0.2">
      <c r="C3958" s="5" t="str">
        <f>IF(B3958="","",[1]!s_dq_close(股指期货基差分析!$E$5,$B3958))</f>
        <v/>
      </c>
      <c r="D3958" s="5" t="str">
        <f>IF(B3958="","",[1]!s_dq_close(股指期货基差分析!$E$6,$B3958))</f>
        <v/>
      </c>
      <c r="E3958" s="4" t="e">
        <f ca="1">RANK(F3958,F:F)+COUNTIF(F$2:F3958,F3958)-1</f>
        <v>#VALUE!</v>
      </c>
      <c r="F3958" s="5" t="str">
        <f t="shared" si="62"/>
        <v/>
      </c>
      <c r="G3958" s="5" t="str">
        <f>IF(B3958="","",股指期货基差分析!$N$11)</f>
        <v/>
      </c>
      <c r="H3958" s="5" t="str">
        <f>IF(B3958="","",股指期货基差分析!$L$11)</f>
        <v/>
      </c>
      <c r="I3958" s="9" t="str">
        <f>IF(B3958="","",股指期货基差分析!$D$11)</f>
        <v/>
      </c>
    </row>
    <row r="3959" spans="3:9" ht="15" customHeight="1" x14ac:dyDescent="0.2">
      <c r="C3959" s="5" t="str">
        <f>IF(B3959="","",[1]!s_dq_close(股指期货基差分析!$E$5,$B3959))</f>
        <v/>
      </c>
      <c r="D3959" s="5" t="str">
        <f>IF(B3959="","",[1]!s_dq_close(股指期货基差分析!$E$6,$B3959))</f>
        <v/>
      </c>
      <c r="E3959" s="4" t="e">
        <f ca="1">RANK(F3959,F:F)+COUNTIF(F$2:F3959,F3959)-1</f>
        <v>#VALUE!</v>
      </c>
      <c r="F3959" s="5" t="str">
        <f t="shared" si="62"/>
        <v/>
      </c>
      <c r="G3959" s="5" t="str">
        <f>IF(B3959="","",股指期货基差分析!$N$11)</f>
        <v/>
      </c>
      <c r="H3959" s="5" t="str">
        <f>IF(B3959="","",股指期货基差分析!$L$11)</f>
        <v/>
      </c>
      <c r="I3959" s="9" t="str">
        <f>IF(B3959="","",股指期货基差分析!$D$11)</f>
        <v/>
      </c>
    </row>
    <row r="3960" spans="3:9" ht="15" customHeight="1" x14ac:dyDescent="0.2">
      <c r="C3960" s="5" t="str">
        <f>IF(B3960="","",[1]!s_dq_close(股指期货基差分析!$E$5,$B3960))</f>
        <v/>
      </c>
      <c r="D3960" s="5" t="str">
        <f>IF(B3960="","",[1]!s_dq_close(股指期货基差分析!$E$6,$B3960))</f>
        <v/>
      </c>
      <c r="E3960" s="4" t="e">
        <f ca="1">RANK(F3960,F:F)+COUNTIF(F$2:F3960,F3960)-1</f>
        <v>#VALUE!</v>
      </c>
      <c r="F3960" s="5" t="str">
        <f t="shared" si="62"/>
        <v/>
      </c>
      <c r="G3960" s="5" t="str">
        <f>IF(B3960="","",股指期货基差分析!$N$11)</f>
        <v/>
      </c>
      <c r="H3960" s="5" t="str">
        <f>IF(B3960="","",股指期货基差分析!$L$11)</f>
        <v/>
      </c>
      <c r="I3960" s="9" t="str">
        <f>IF(B3960="","",股指期货基差分析!$D$11)</f>
        <v/>
      </c>
    </row>
    <row r="3961" spans="3:9" ht="15" customHeight="1" x14ac:dyDescent="0.2">
      <c r="C3961" s="5" t="str">
        <f>IF(B3961="","",[1]!s_dq_close(股指期货基差分析!$E$5,$B3961))</f>
        <v/>
      </c>
      <c r="D3961" s="5" t="str">
        <f>IF(B3961="","",[1]!s_dq_close(股指期货基差分析!$E$6,$B3961))</f>
        <v/>
      </c>
      <c r="E3961" s="4" t="e">
        <f ca="1">RANK(F3961,F:F)+COUNTIF(F$2:F3961,F3961)-1</f>
        <v>#VALUE!</v>
      </c>
      <c r="F3961" s="5" t="str">
        <f t="shared" si="62"/>
        <v/>
      </c>
      <c r="G3961" s="5" t="str">
        <f>IF(B3961="","",股指期货基差分析!$N$11)</f>
        <v/>
      </c>
      <c r="H3961" s="5" t="str">
        <f>IF(B3961="","",股指期货基差分析!$L$11)</f>
        <v/>
      </c>
      <c r="I3961" s="9" t="str">
        <f>IF(B3961="","",股指期货基差分析!$D$11)</f>
        <v/>
      </c>
    </row>
    <row r="3962" spans="3:9" ht="15" customHeight="1" x14ac:dyDescent="0.2">
      <c r="C3962" s="5" t="str">
        <f>IF(B3962="","",[1]!s_dq_close(股指期货基差分析!$E$5,$B3962))</f>
        <v/>
      </c>
      <c r="D3962" s="5" t="str">
        <f>IF(B3962="","",[1]!s_dq_close(股指期货基差分析!$E$6,$B3962))</f>
        <v/>
      </c>
      <c r="E3962" s="4" t="e">
        <f ca="1">RANK(F3962,F:F)+COUNTIF(F$2:F3962,F3962)-1</f>
        <v>#VALUE!</v>
      </c>
      <c r="F3962" s="5" t="str">
        <f t="shared" si="62"/>
        <v/>
      </c>
      <c r="G3962" s="5" t="str">
        <f>IF(B3962="","",股指期货基差分析!$N$11)</f>
        <v/>
      </c>
      <c r="H3962" s="5" t="str">
        <f>IF(B3962="","",股指期货基差分析!$L$11)</f>
        <v/>
      </c>
      <c r="I3962" s="9" t="str">
        <f>IF(B3962="","",股指期货基差分析!$D$11)</f>
        <v/>
      </c>
    </row>
    <row r="3963" spans="3:9" ht="15" customHeight="1" x14ac:dyDescent="0.2">
      <c r="C3963" s="5" t="str">
        <f>IF(B3963="","",[1]!s_dq_close(股指期货基差分析!$E$5,$B3963))</f>
        <v/>
      </c>
      <c r="D3963" s="5" t="str">
        <f>IF(B3963="","",[1]!s_dq_close(股指期货基差分析!$E$6,$B3963))</f>
        <v/>
      </c>
      <c r="E3963" s="4" t="e">
        <f ca="1">RANK(F3963,F:F)+COUNTIF(F$2:F3963,F3963)-1</f>
        <v>#VALUE!</v>
      </c>
      <c r="F3963" s="5" t="str">
        <f t="shared" si="62"/>
        <v/>
      </c>
      <c r="G3963" s="5" t="str">
        <f>IF(B3963="","",股指期货基差分析!$N$11)</f>
        <v/>
      </c>
      <c r="H3963" s="5" t="str">
        <f>IF(B3963="","",股指期货基差分析!$L$11)</f>
        <v/>
      </c>
      <c r="I3963" s="9" t="str">
        <f>IF(B3963="","",股指期货基差分析!$D$11)</f>
        <v/>
      </c>
    </row>
    <row r="3964" spans="3:9" ht="15" customHeight="1" x14ac:dyDescent="0.2">
      <c r="C3964" s="5" t="str">
        <f>IF(B3964="","",[1]!s_dq_close(股指期货基差分析!$E$5,$B3964))</f>
        <v/>
      </c>
      <c r="D3964" s="5" t="str">
        <f>IF(B3964="","",[1]!s_dq_close(股指期货基差分析!$E$6,$B3964))</f>
        <v/>
      </c>
      <c r="E3964" s="4" t="e">
        <f ca="1">RANK(F3964,F:F)+COUNTIF(F$2:F3964,F3964)-1</f>
        <v>#VALUE!</v>
      </c>
      <c r="F3964" s="5" t="str">
        <f t="shared" si="62"/>
        <v/>
      </c>
      <c r="G3964" s="5" t="str">
        <f>IF(B3964="","",股指期货基差分析!$N$11)</f>
        <v/>
      </c>
      <c r="H3964" s="5" t="str">
        <f>IF(B3964="","",股指期货基差分析!$L$11)</f>
        <v/>
      </c>
      <c r="I3964" s="9" t="str">
        <f>IF(B3964="","",股指期货基差分析!$D$11)</f>
        <v/>
      </c>
    </row>
    <row r="3965" spans="3:9" ht="15" customHeight="1" x14ac:dyDescent="0.2">
      <c r="C3965" s="5" t="str">
        <f>IF(B3965="","",[1]!s_dq_close(股指期货基差分析!$E$5,$B3965))</f>
        <v/>
      </c>
      <c r="D3965" s="5" t="str">
        <f>IF(B3965="","",[1]!s_dq_close(股指期货基差分析!$E$6,$B3965))</f>
        <v/>
      </c>
      <c r="E3965" s="4" t="e">
        <f ca="1">RANK(F3965,F:F)+COUNTIF(F$2:F3965,F3965)-1</f>
        <v>#VALUE!</v>
      </c>
      <c r="F3965" s="5" t="str">
        <f t="shared" si="62"/>
        <v/>
      </c>
      <c r="G3965" s="5" t="str">
        <f>IF(B3965="","",股指期货基差分析!$N$11)</f>
        <v/>
      </c>
      <c r="H3965" s="5" t="str">
        <f>IF(B3965="","",股指期货基差分析!$L$11)</f>
        <v/>
      </c>
      <c r="I3965" s="9" t="str">
        <f>IF(B3965="","",股指期货基差分析!$D$11)</f>
        <v/>
      </c>
    </row>
    <row r="3966" spans="3:9" ht="15" customHeight="1" x14ac:dyDescent="0.2">
      <c r="C3966" s="5" t="str">
        <f>IF(B3966="","",[1]!s_dq_close(股指期货基差分析!$E$5,$B3966))</f>
        <v/>
      </c>
      <c r="D3966" s="5" t="str">
        <f>IF(B3966="","",[1]!s_dq_close(股指期货基差分析!$E$6,$B3966))</f>
        <v/>
      </c>
      <c r="E3966" s="4" t="e">
        <f ca="1">RANK(F3966,F:F)+COUNTIF(F$2:F3966,F3966)-1</f>
        <v>#VALUE!</v>
      </c>
      <c r="F3966" s="5" t="str">
        <f t="shared" si="62"/>
        <v/>
      </c>
      <c r="G3966" s="5" t="str">
        <f>IF(B3966="","",股指期货基差分析!$N$11)</f>
        <v/>
      </c>
      <c r="H3966" s="5" t="str">
        <f>IF(B3966="","",股指期货基差分析!$L$11)</f>
        <v/>
      </c>
      <c r="I3966" s="9" t="str">
        <f>IF(B3966="","",股指期货基差分析!$D$11)</f>
        <v/>
      </c>
    </row>
    <row r="3967" spans="3:9" ht="15" customHeight="1" x14ac:dyDescent="0.2">
      <c r="C3967" s="5" t="str">
        <f>IF(B3967="","",[1]!s_dq_close(股指期货基差分析!$E$5,$B3967))</f>
        <v/>
      </c>
      <c r="D3967" s="5" t="str">
        <f>IF(B3967="","",[1]!s_dq_close(股指期货基差分析!$E$6,$B3967))</f>
        <v/>
      </c>
      <c r="E3967" s="4" t="e">
        <f ca="1">RANK(F3967,F:F)+COUNTIF(F$2:F3967,F3967)-1</f>
        <v>#VALUE!</v>
      </c>
      <c r="F3967" s="5" t="str">
        <f t="shared" si="62"/>
        <v/>
      </c>
      <c r="G3967" s="5" t="str">
        <f>IF(B3967="","",股指期货基差分析!$N$11)</f>
        <v/>
      </c>
      <c r="H3967" s="5" t="str">
        <f>IF(B3967="","",股指期货基差分析!$L$11)</f>
        <v/>
      </c>
      <c r="I3967" s="9" t="str">
        <f>IF(B3967="","",股指期货基差分析!$D$11)</f>
        <v/>
      </c>
    </row>
    <row r="3968" spans="3:9" ht="15" customHeight="1" x14ac:dyDescent="0.2">
      <c r="C3968" s="5" t="str">
        <f>IF(B3968="","",[1]!s_dq_close(股指期货基差分析!$E$5,$B3968))</f>
        <v/>
      </c>
      <c r="D3968" s="5" t="str">
        <f>IF(B3968="","",[1]!s_dq_close(股指期货基差分析!$E$6,$B3968))</f>
        <v/>
      </c>
      <c r="E3968" s="4" t="e">
        <f ca="1">RANK(F3968,F:F)+COUNTIF(F$2:F3968,F3968)-1</f>
        <v>#VALUE!</v>
      </c>
      <c r="F3968" s="5" t="str">
        <f t="shared" si="62"/>
        <v/>
      </c>
      <c r="G3968" s="5" t="str">
        <f>IF(B3968="","",股指期货基差分析!$N$11)</f>
        <v/>
      </c>
      <c r="H3968" s="5" t="str">
        <f>IF(B3968="","",股指期货基差分析!$L$11)</f>
        <v/>
      </c>
      <c r="I3968" s="9" t="str">
        <f>IF(B3968="","",股指期货基差分析!$D$11)</f>
        <v/>
      </c>
    </row>
    <row r="3969" spans="3:9" ht="15" customHeight="1" x14ac:dyDescent="0.2">
      <c r="C3969" s="5" t="str">
        <f>IF(B3969="","",[1]!s_dq_close(股指期货基差分析!$E$5,$B3969))</f>
        <v/>
      </c>
      <c r="D3969" s="5" t="str">
        <f>IF(B3969="","",[1]!s_dq_close(股指期货基差分析!$E$6,$B3969))</f>
        <v/>
      </c>
      <c r="E3969" s="4" t="e">
        <f ca="1">RANK(F3969,F:F)+COUNTIF(F$2:F3969,F3969)-1</f>
        <v>#VALUE!</v>
      </c>
      <c r="F3969" s="5" t="str">
        <f t="shared" si="62"/>
        <v/>
      </c>
      <c r="G3969" s="5" t="str">
        <f>IF(B3969="","",股指期货基差分析!$N$11)</f>
        <v/>
      </c>
      <c r="H3969" s="5" t="str">
        <f>IF(B3969="","",股指期货基差分析!$L$11)</f>
        <v/>
      </c>
      <c r="I3969" s="9" t="str">
        <f>IF(B3969="","",股指期货基差分析!$D$11)</f>
        <v/>
      </c>
    </row>
    <row r="3970" spans="3:9" ht="15" customHeight="1" x14ac:dyDescent="0.2">
      <c r="C3970" s="5" t="str">
        <f>IF(B3970="","",[1]!s_dq_close(股指期货基差分析!$E$5,$B3970))</f>
        <v/>
      </c>
      <c r="D3970" s="5" t="str">
        <f>IF(B3970="","",[1]!s_dq_close(股指期货基差分析!$E$6,$B3970))</f>
        <v/>
      </c>
      <c r="E3970" s="4" t="e">
        <f ca="1">RANK(F3970,F:F)+COUNTIF(F$2:F3970,F3970)-1</f>
        <v>#VALUE!</v>
      </c>
      <c r="F3970" s="5" t="str">
        <f t="shared" ref="F3970:F3998" si="63">IF(B3970="","",D3970-C3970)</f>
        <v/>
      </c>
      <c r="G3970" s="5" t="str">
        <f>IF(B3970="","",股指期货基差分析!$N$11)</f>
        <v/>
      </c>
      <c r="H3970" s="5" t="str">
        <f>IF(B3970="","",股指期货基差分析!$L$11)</f>
        <v/>
      </c>
      <c r="I3970" s="9" t="str">
        <f>IF(B3970="","",股指期货基差分析!$D$11)</f>
        <v/>
      </c>
    </row>
    <row r="3971" spans="3:9" ht="15" customHeight="1" x14ac:dyDescent="0.2">
      <c r="C3971" s="5" t="str">
        <f>IF(B3971="","",[1]!s_dq_close(股指期货基差分析!$E$5,$B3971))</f>
        <v/>
      </c>
      <c r="D3971" s="5" t="str">
        <f>IF(B3971="","",[1]!s_dq_close(股指期货基差分析!$E$6,$B3971))</f>
        <v/>
      </c>
      <c r="E3971" s="4" t="e">
        <f ca="1">RANK(F3971,F:F)+COUNTIF(F$2:F3971,F3971)-1</f>
        <v>#VALUE!</v>
      </c>
      <c r="F3971" s="5" t="str">
        <f t="shared" si="63"/>
        <v/>
      </c>
      <c r="G3971" s="5" t="str">
        <f>IF(B3971="","",股指期货基差分析!$N$11)</f>
        <v/>
      </c>
      <c r="H3971" s="5" t="str">
        <f>IF(B3971="","",股指期货基差分析!$L$11)</f>
        <v/>
      </c>
      <c r="I3971" s="9" t="str">
        <f>IF(B3971="","",股指期货基差分析!$D$11)</f>
        <v/>
      </c>
    </row>
    <row r="3972" spans="3:9" ht="15" customHeight="1" x14ac:dyDescent="0.2">
      <c r="C3972" s="5" t="str">
        <f>IF(B3972="","",[1]!s_dq_close(股指期货基差分析!$E$5,$B3972))</f>
        <v/>
      </c>
      <c r="D3972" s="5" t="str">
        <f>IF(B3972="","",[1]!s_dq_close(股指期货基差分析!$E$6,$B3972))</f>
        <v/>
      </c>
      <c r="E3972" s="4" t="e">
        <f ca="1">RANK(F3972,F:F)+COUNTIF(F$2:F3972,F3972)-1</f>
        <v>#VALUE!</v>
      </c>
      <c r="F3972" s="5" t="str">
        <f t="shared" si="63"/>
        <v/>
      </c>
      <c r="G3972" s="5" t="str">
        <f>IF(B3972="","",股指期货基差分析!$N$11)</f>
        <v/>
      </c>
      <c r="H3972" s="5" t="str">
        <f>IF(B3972="","",股指期货基差分析!$L$11)</f>
        <v/>
      </c>
      <c r="I3972" s="9" t="str">
        <f>IF(B3972="","",股指期货基差分析!$D$11)</f>
        <v/>
      </c>
    </row>
    <row r="3973" spans="3:9" ht="15" customHeight="1" x14ac:dyDescent="0.2">
      <c r="C3973" s="5" t="str">
        <f>IF(B3973="","",[1]!s_dq_close(股指期货基差分析!$E$5,$B3973))</f>
        <v/>
      </c>
      <c r="D3973" s="5" t="str">
        <f>IF(B3973="","",[1]!s_dq_close(股指期货基差分析!$E$6,$B3973))</f>
        <v/>
      </c>
      <c r="E3973" s="4" t="e">
        <f ca="1">RANK(F3973,F:F)+COUNTIF(F$2:F3973,F3973)-1</f>
        <v>#VALUE!</v>
      </c>
      <c r="F3973" s="5" t="str">
        <f t="shared" si="63"/>
        <v/>
      </c>
      <c r="G3973" s="5" t="str">
        <f>IF(B3973="","",股指期货基差分析!$N$11)</f>
        <v/>
      </c>
      <c r="H3973" s="5" t="str">
        <f>IF(B3973="","",股指期货基差分析!$L$11)</f>
        <v/>
      </c>
      <c r="I3973" s="9" t="str">
        <f>IF(B3973="","",股指期货基差分析!$D$11)</f>
        <v/>
      </c>
    </row>
    <row r="3974" spans="3:9" ht="15" customHeight="1" x14ac:dyDescent="0.2">
      <c r="C3974" s="5" t="str">
        <f>IF(B3974="","",[1]!s_dq_close(股指期货基差分析!$E$5,$B3974))</f>
        <v/>
      </c>
      <c r="D3974" s="5" t="str">
        <f>IF(B3974="","",[1]!s_dq_close(股指期货基差分析!$E$6,$B3974))</f>
        <v/>
      </c>
      <c r="E3974" s="4" t="e">
        <f ca="1">RANK(F3974,F:F)+COUNTIF(F$2:F3974,F3974)-1</f>
        <v>#VALUE!</v>
      </c>
      <c r="F3974" s="5" t="str">
        <f t="shared" si="63"/>
        <v/>
      </c>
      <c r="G3974" s="5" t="str">
        <f>IF(B3974="","",股指期货基差分析!$N$11)</f>
        <v/>
      </c>
      <c r="H3974" s="5" t="str">
        <f>IF(B3974="","",股指期货基差分析!$L$11)</f>
        <v/>
      </c>
      <c r="I3974" s="9" t="str">
        <f>IF(B3974="","",股指期货基差分析!$D$11)</f>
        <v/>
      </c>
    </row>
    <row r="3975" spans="3:9" ht="15" customHeight="1" x14ac:dyDescent="0.2">
      <c r="C3975" s="5" t="str">
        <f>IF(B3975="","",[1]!s_dq_close(股指期货基差分析!$E$5,$B3975))</f>
        <v/>
      </c>
      <c r="D3975" s="5" t="str">
        <f>IF(B3975="","",[1]!s_dq_close(股指期货基差分析!$E$6,$B3975))</f>
        <v/>
      </c>
      <c r="E3975" s="4" t="e">
        <f ca="1">RANK(F3975,F:F)+COUNTIF(F$2:F3975,F3975)-1</f>
        <v>#VALUE!</v>
      </c>
      <c r="F3975" s="5" t="str">
        <f t="shared" si="63"/>
        <v/>
      </c>
      <c r="G3975" s="5" t="str">
        <f>IF(B3975="","",股指期货基差分析!$N$11)</f>
        <v/>
      </c>
      <c r="H3975" s="5" t="str">
        <f>IF(B3975="","",股指期货基差分析!$L$11)</f>
        <v/>
      </c>
      <c r="I3975" s="9" t="str">
        <f>IF(B3975="","",股指期货基差分析!$D$11)</f>
        <v/>
      </c>
    </row>
    <row r="3976" spans="3:9" ht="15" customHeight="1" x14ac:dyDescent="0.2">
      <c r="C3976" s="5" t="str">
        <f>IF(B3976="","",[1]!s_dq_close(股指期货基差分析!$E$5,$B3976))</f>
        <v/>
      </c>
      <c r="D3976" s="5" t="str">
        <f>IF(B3976="","",[1]!s_dq_close(股指期货基差分析!$E$6,$B3976))</f>
        <v/>
      </c>
      <c r="E3976" s="4" t="e">
        <f ca="1">RANK(F3976,F:F)+COUNTIF(F$2:F3976,F3976)-1</f>
        <v>#VALUE!</v>
      </c>
      <c r="F3976" s="5" t="str">
        <f t="shared" si="63"/>
        <v/>
      </c>
      <c r="G3976" s="5" t="str">
        <f>IF(B3976="","",股指期货基差分析!$N$11)</f>
        <v/>
      </c>
      <c r="H3976" s="5" t="str">
        <f>IF(B3976="","",股指期货基差分析!$L$11)</f>
        <v/>
      </c>
      <c r="I3976" s="9" t="str">
        <f>IF(B3976="","",股指期货基差分析!$D$11)</f>
        <v/>
      </c>
    </row>
    <row r="3977" spans="3:9" ht="15" customHeight="1" x14ac:dyDescent="0.2">
      <c r="C3977" s="5" t="str">
        <f>IF(B3977="","",[1]!s_dq_close(股指期货基差分析!$E$5,$B3977))</f>
        <v/>
      </c>
      <c r="D3977" s="5" t="str">
        <f>IF(B3977="","",[1]!s_dq_close(股指期货基差分析!$E$6,$B3977))</f>
        <v/>
      </c>
      <c r="E3977" s="4" t="e">
        <f ca="1">RANK(F3977,F:F)+COUNTIF(F$2:F3977,F3977)-1</f>
        <v>#VALUE!</v>
      </c>
      <c r="F3977" s="5" t="str">
        <f t="shared" si="63"/>
        <v/>
      </c>
      <c r="G3977" s="5" t="str">
        <f>IF(B3977="","",股指期货基差分析!$N$11)</f>
        <v/>
      </c>
      <c r="H3977" s="5" t="str">
        <f>IF(B3977="","",股指期货基差分析!$L$11)</f>
        <v/>
      </c>
      <c r="I3977" s="9" t="str">
        <f>IF(B3977="","",股指期货基差分析!$D$11)</f>
        <v/>
      </c>
    </row>
    <row r="3978" spans="3:9" ht="15" customHeight="1" x14ac:dyDescent="0.2">
      <c r="C3978" s="5" t="str">
        <f>IF(B3978="","",[1]!s_dq_close(股指期货基差分析!$E$5,$B3978))</f>
        <v/>
      </c>
      <c r="D3978" s="5" t="str">
        <f>IF(B3978="","",[1]!s_dq_close(股指期货基差分析!$E$6,$B3978))</f>
        <v/>
      </c>
      <c r="E3978" s="4" t="e">
        <f ca="1">RANK(F3978,F:F)+COUNTIF(F$2:F3978,F3978)-1</f>
        <v>#VALUE!</v>
      </c>
      <c r="F3978" s="5" t="str">
        <f t="shared" si="63"/>
        <v/>
      </c>
      <c r="G3978" s="5" t="str">
        <f>IF(B3978="","",股指期货基差分析!$N$11)</f>
        <v/>
      </c>
      <c r="H3978" s="5" t="str">
        <f>IF(B3978="","",股指期货基差分析!$L$11)</f>
        <v/>
      </c>
      <c r="I3978" s="9" t="str">
        <f>IF(B3978="","",股指期货基差分析!$D$11)</f>
        <v/>
      </c>
    </row>
    <row r="3979" spans="3:9" ht="15" customHeight="1" x14ac:dyDescent="0.2">
      <c r="C3979" s="5" t="str">
        <f>IF(B3979="","",[1]!s_dq_close(股指期货基差分析!$E$5,$B3979))</f>
        <v/>
      </c>
      <c r="D3979" s="5" t="str">
        <f>IF(B3979="","",[1]!s_dq_close(股指期货基差分析!$E$6,$B3979))</f>
        <v/>
      </c>
      <c r="E3979" s="4" t="e">
        <f ca="1">RANK(F3979,F:F)+COUNTIF(F$2:F3979,F3979)-1</f>
        <v>#VALUE!</v>
      </c>
      <c r="F3979" s="5" t="str">
        <f t="shared" si="63"/>
        <v/>
      </c>
      <c r="G3979" s="5" t="str">
        <f>IF(B3979="","",股指期货基差分析!$N$11)</f>
        <v/>
      </c>
      <c r="H3979" s="5" t="str">
        <f>IF(B3979="","",股指期货基差分析!$L$11)</f>
        <v/>
      </c>
      <c r="I3979" s="9" t="str">
        <f>IF(B3979="","",股指期货基差分析!$D$11)</f>
        <v/>
      </c>
    </row>
    <row r="3980" spans="3:9" ht="15" customHeight="1" x14ac:dyDescent="0.2">
      <c r="C3980" s="5" t="str">
        <f>IF(B3980="","",[1]!s_dq_close(股指期货基差分析!$E$5,$B3980))</f>
        <v/>
      </c>
      <c r="D3980" s="5" t="str">
        <f>IF(B3980="","",[1]!s_dq_close(股指期货基差分析!$E$6,$B3980))</f>
        <v/>
      </c>
      <c r="E3980" s="4" t="e">
        <f ca="1">RANK(F3980,F:F)+COUNTIF(F$2:F3980,F3980)-1</f>
        <v>#VALUE!</v>
      </c>
      <c r="F3980" s="5" t="str">
        <f t="shared" si="63"/>
        <v/>
      </c>
      <c r="G3980" s="5" t="str">
        <f>IF(B3980="","",股指期货基差分析!$N$11)</f>
        <v/>
      </c>
      <c r="H3980" s="5" t="str">
        <f>IF(B3980="","",股指期货基差分析!$L$11)</f>
        <v/>
      </c>
      <c r="I3980" s="9" t="str">
        <f>IF(B3980="","",股指期货基差分析!$D$11)</f>
        <v/>
      </c>
    </row>
    <row r="3981" spans="3:9" ht="15" customHeight="1" x14ac:dyDescent="0.2">
      <c r="C3981" s="5" t="str">
        <f>IF(B3981="","",[1]!s_dq_close(股指期货基差分析!$E$5,$B3981))</f>
        <v/>
      </c>
      <c r="D3981" s="5" t="str">
        <f>IF(B3981="","",[1]!s_dq_close(股指期货基差分析!$E$6,$B3981))</f>
        <v/>
      </c>
      <c r="E3981" s="4" t="e">
        <f ca="1">RANK(F3981,F:F)+COUNTIF(F$2:F3981,F3981)-1</f>
        <v>#VALUE!</v>
      </c>
      <c r="F3981" s="5" t="str">
        <f t="shared" si="63"/>
        <v/>
      </c>
      <c r="G3981" s="5" t="str">
        <f>IF(B3981="","",股指期货基差分析!$N$11)</f>
        <v/>
      </c>
      <c r="H3981" s="5" t="str">
        <f>IF(B3981="","",股指期货基差分析!$L$11)</f>
        <v/>
      </c>
      <c r="I3981" s="9" t="str">
        <f>IF(B3981="","",股指期货基差分析!$D$11)</f>
        <v/>
      </c>
    </row>
    <row r="3982" spans="3:9" ht="15" customHeight="1" x14ac:dyDescent="0.2">
      <c r="C3982" s="5" t="str">
        <f>IF(B3982="","",[1]!s_dq_close(股指期货基差分析!$E$5,$B3982))</f>
        <v/>
      </c>
      <c r="D3982" s="5" t="str">
        <f>IF(B3982="","",[1]!s_dq_close(股指期货基差分析!$E$6,$B3982))</f>
        <v/>
      </c>
      <c r="E3982" s="4" t="e">
        <f ca="1">RANK(F3982,F:F)+COUNTIF(F$2:F3982,F3982)-1</f>
        <v>#VALUE!</v>
      </c>
      <c r="F3982" s="5" t="str">
        <f t="shared" si="63"/>
        <v/>
      </c>
      <c r="G3982" s="5" t="str">
        <f>IF(B3982="","",股指期货基差分析!$N$11)</f>
        <v/>
      </c>
      <c r="H3982" s="5" t="str">
        <f>IF(B3982="","",股指期货基差分析!$L$11)</f>
        <v/>
      </c>
      <c r="I3982" s="9" t="str">
        <f>IF(B3982="","",股指期货基差分析!$D$11)</f>
        <v/>
      </c>
    </row>
    <row r="3983" spans="3:9" ht="15" customHeight="1" x14ac:dyDescent="0.2">
      <c r="C3983" s="5" t="str">
        <f>IF(B3983="","",[1]!s_dq_close(股指期货基差分析!$E$5,$B3983))</f>
        <v/>
      </c>
      <c r="D3983" s="5" t="str">
        <f>IF(B3983="","",[1]!s_dq_close(股指期货基差分析!$E$6,$B3983))</f>
        <v/>
      </c>
      <c r="E3983" s="4" t="e">
        <f ca="1">RANK(F3983,F:F)+COUNTIF(F$2:F3983,F3983)-1</f>
        <v>#VALUE!</v>
      </c>
      <c r="F3983" s="5" t="str">
        <f t="shared" si="63"/>
        <v/>
      </c>
      <c r="G3983" s="5" t="str">
        <f>IF(B3983="","",股指期货基差分析!$N$11)</f>
        <v/>
      </c>
      <c r="H3983" s="5" t="str">
        <f>IF(B3983="","",股指期货基差分析!$L$11)</f>
        <v/>
      </c>
      <c r="I3983" s="9" t="str">
        <f>IF(B3983="","",股指期货基差分析!$D$11)</f>
        <v/>
      </c>
    </row>
    <row r="3984" spans="3:9" ht="15" customHeight="1" x14ac:dyDescent="0.2">
      <c r="C3984" s="5" t="str">
        <f>IF(B3984="","",[1]!s_dq_close(股指期货基差分析!$E$5,$B3984))</f>
        <v/>
      </c>
      <c r="D3984" s="5" t="str">
        <f>IF(B3984="","",[1]!s_dq_close(股指期货基差分析!$E$6,$B3984))</f>
        <v/>
      </c>
      <c r="E3984" s="4" t="e">
        <f ca="1">RANK(F3984,F:F)+COUNTIF(F$2:F3984,F3984)-1</f>
        <v>#VALUE!</v>
      </c>
      <c r="F3984" s="5" t="str">
        <f t="shared" si="63"/>
        <v/>
      </c>
      <c r="G3984" s="5" t="str">
        <f>IF(B3984="","",股指期货基差分析!$N$11)</f>
        <v/>
      </c>
      <c r="H3984" s="5" t="str">
        <f>IF(B3984="","",股指期货基差分析!$L$11)</f>
        <v/>
      </c>
      <c r="I3984" s="9" t="str">
        <f>IF(B3984="","",股指期货基差分析!$D$11)</f>
        <v/>
      </c>
    </row>
    <row r="3985" spans="3:9" ht="15" customHeight="1" x14ac:dyDescent="0.2">
      <c r="C3985" s="5" t="str">
        <f>IF(B3985="","",[1]!s_dq_close(股指期货基差分析!$E$5,$B3985))</f>
        <v/>
      </c>
      <c r="D3985" s="5" t="str">
        <f>IF(B3985="","",[1]!s_dq_close(股指期货基差分析!$E$6,$B3985))</f>
        <v/>
      </c>
      <c r="E3985" s="4" t="e">
        <f ca="1">RANK(F3985,F:F)+COUNTIF(F$2:F3985,F3985)-1</f>
        <v>#VALUE!</v>
      </c>
      <c r="F3985" s="5" t="str">
        <f t="shared" si="63"/>
        <v/>
      </c>
      <c r="G3985" s="5" t="str">
        <f>IF(B3985="","",股指期货基差分析!$N$11)</f>
        <v/>
      </c>
      <c r="H3985" s="5" t="str">
        <f>IF(B3985="","",股指期货基差分析!$L$11)</f>
        <v/>
      </c>
      <c r="I3985" s="9" t="str">
        <f>IF(B3985="","",股指期货基差分析!$D$11)</f>
        <v/>
      </c>
    </row>
    <row r="3986" spans="3:9" ht="15" customHeight="1" x14ac:dyDescent="0.2">
      <c r="C3986" s="5" t="str">
        <f>IF(B3986="","",[1]!s_dq_close(股指期货基差分析!$E$5,$B3986))</f>
        <v/>
      </c>
      <c r="D3986" s="5" t="str">
        <f>IF(B3986="","",[1]!s_dq_close(股指期货基差分析!$E$6,$B3986))</f>
        <v/>
      </c>
      <c r="E3986" s="4" t="e">
        <f ca="1">RANK(F3986,F:F)+COUNTIF(F$2:F3986,F3986)-1</f>
        <v>#VALUE!</v>
      </c>
      <c r="F3986" s="5" t="str">
        <f t="shared" si="63"/>
        <v/>
      </c>
      <c r="G3986" s="5" t="str">
        <f>IF(B3986="","",股指期货基差分析!$N$11)</f>
        <v/>
      </c>
      <c r="H3986" s="5" t="str">
        <f>IF(B3986="","",股指期货基差分析!$L$11)</f>
        <v/>
      </c>
      <c r="I3986" s="9" t="str">
        <f>IF(B3986="","",股指期货基差分析!$D$11)</f>
        <v/>
      </c>
    </row>
    <row r="3987" spans="3:9" ht="15" customHeight="1" x14ac:dyDescent="0.2">
      <c r="C3987" s="5" t="str">
        <f>IF(B3987="","",[1]!s_dq_close(股指期货基差分析!$E$5,$B3987))</f>
        <v/>
      </c>
      <c r="D3987" s="5" t="str">
        <f>IF(B3987="","",[1]!s_dq_close(股指期货基差分析!$E$6,$B3987))</f>
        <v/>
      </c>
      <c r="E3987" s="4" t="e">
        <f ca="1">RANK(F3987,F:F)+COUNTIF(F$2:F3987,F3987)-1</f>
        <v>#VALUE!</v>
      </c>
      <c r="F3987" s="5" t="str">
        <f t="shared" si="63"/>
        <v/>
      </c>
      <c r="G3987" s="5" t="str">
        <f>IF(B3987="","",股指期货基差分析!$N$11)</f>
        <v/>
      </c>
      <c r="H3987" s="5" t="str">
        <f>IF(B3987="","",股指期货基差分析!$L$11)</f>
        <v/>
      </c>
      <c r="I3987" s="9" t="str">
        <f>IF(B3987="","",股指期货基差分析!$D$11)</f>
        <v/>
      </c>
    </row>
    <row r="3988" spans="3:9" ht="15" customHeight="1" x14ac:dyDescent="0.2">
      <c r="C3988" s="5" t="str">
        <f>IF(B3988="","",[1]!s_dq_close(股指期货基差分析!$E$5,$B3988))</f>
        <v/>
      </c>
      <c r="D3988" s="5" t="str">
        <f>IF(B3988="","",[1]!s_dq_close(股指期货基差分析!$E$6,$B3988))</f>
        <v/>
      </c>
      <c r="E3988" s="4" t="e">
        <f ca="1">RANK(F3988,F:F)+COUNTIF(F$2:F3988,F3988)-1</f>
        <v>#VALUE!</v>
      </c>
      <c r="F3988" s="5" t="str">
        <f t="shared" si="63"/>
        <v/>
      </c>
      <c r="G3988" s="5" t="str">
        <f>IF(B3988="","",股指期货基差分析!$N$11)</f>
        <v/>
      </c>
      <c r="H3988" s="5" t="str">
        <f>IF(B3988="","",股指期货基差分析!$L$11)</f>
        <v/>
      </c>
      <c r="I3988" s="9" t="str">
        <f>IF(B3988="","",股指期货基差分析!$D$11)</f>
        <v/>
      </c>
    </row>
    <row r="3989" spans="3:9" ht="15" customHeight="1" x14ac:dyDescent="0.2">
      <c r="C3989" s="5" t="str">
        <f>IF(B3989="","",[1]!s_dq_close(股指期货基差分析!$E$5,$B3989))</f>
        <v/>
      </c>
      <c r="D3989" s="5" t="str">
        <f>IF(B3989="","",[1]!s_dq_close(股指期货基差分析!$E$6,$B3989))</f>
        <v/>
      </c>
      <c r="E3989" s="4" t="e">
        <f ca="1">RANK(F3989,F:F)+COUNTIF(F$2:F3989,F3989)-1</f>
        <v>#VALUE!</v>
      </c>
      <c r="F3989" s="5" t="str">
        <f t="shared" si="63"/>
        <v/>
      </c>
      <c r="G3989" s="5" t="str">
        <f>IF(B3989="","",股指期货基差分析!$N$11)</f>
        <v/>
      </c>
      <c r="H3989" s="5" t="str">
        <f>IF(B3989="","",股指期货基差分析!$L$11)</f>
        <v/>
      </c>
      <c r="I3989" s="9" t="str">
        <f>IF(B3989="","",股指期货基差分析!$D$11)</f>
        <v/>
      </c>
    </row>
    <row r="3990" spans="3:9" ht="15" customHeight="1" x14ac:dyDescent="0.2">
      <c r="C3990" s="5" t="str">
        <f>IF(B3990="","",[1]!s_dq_close(股指期货基差分析!$E$5,$B3990))</f>
        <v/>
      </c>
      <c r="D3990" s="5" t="str">
        <f>IF(B3990="","",[1]!s_dq_close(股指期货基差分析!$E$6,$B3990))</f>
        <v/>
      </c>
      <c r="E3990" s="4" t="e">
        <f ca="1">RANK(F3990,F:F)+COUNTIF(F$2:F3990,F3990)-1</f>
        <v>#VALUE!</v>
      </c>
      <c r="F3990" s="5" t="str">
        <f t="shared" si="63"/>
        <v/>
      </c>
      <c r="G3990" s="5" t="str">
        <f>IF(B3990="","",股指期货基差分析!$N$11)</f>
        <v/>
      </c>
      <c r="H3990" s="5" t="str">
        <f>IF(B3990="","",股指期货基差分析!$L$11)</f>
        <v/>
      </c>
      <c r="I3990" s="9" t="str">
        <f>IF(B3990="","",股指期货基差分析!$D$11)</f>
        <v/>
      </c>
    </row>
    <row r="3991" spans="3:9" ht="15" customHeight="1" x14ac:dyDescent="0.2">
      <c r="C3991" s="5" t="str">
        <f>IF(B3991="","",[1]!s_dq_close(股指期货基差分析!$E$5,$B3991))</f>
        <v/>
      </c>
      <c r="D3991" s="5" t="str">
        <f>IF(B3991="","",[1]!s_dq_close(股指期货基差分析!$E$6,$B3991))</f>
        <v/>
      </c>
      <c r="E3991" s="4" t="e">
        <f ca="1">RANK(F3991,F:F)+COUNTIF(F$2:F3991,F3991)-1</f>
        <v>#VALUE!</v>
      </c>
      <c r="F3991" s="5" t="str">
        <f t="shared" si="63"/>
        <v/>
      </c>
      <c r="G3991" s="5" t="str">
        <f>IF(B3991="","",股指期货基差分析!$N$11)</f>
        <v/>
      </c>
      <c r="H3991" s="5" t="str">
        <f>IF(B3991="","",股指期货基差分析!$L$11)</f>
        <v/>
      </c>
      <c r="I3991" s="9" t="str">
        <f>IF(B3991="","",股指期货基差分析!$D$11)</f>
        <v/>
      </c>
    </row>
    <row r="3992" spans="3:9" ht="15" customHeight="1" x14ac:dyDescent="0.2">
      <c r="C3992" s="5" t="str">
        <f>IF(B3992="","",[1]!s_dq_close(股指期货基差分析!$E$5,$B3992))</f>
        <v/>
      </c>
      <c r="D3992" s="5" t="str">
        <f>IF(B3992="","",[1]!s_dq_close(股指期货基差分析!$E$6,$B3992))</f>
        <v/>
      </c>
      <c r="E3992" s="4" t="e">
        <f ca="1">RANK(F3992,F:F)+COUNTIF(F$2:F3992,F3992)-1</f>
        <v>#VALUE!</v>
      </c>
      <c r="F3992" s="5" t="str">
        <f t="shared" si="63"/>
        <v/>
      </c>
      <c r="G3992" s="5" t="str">
        <f>IF(B3992="","",股指期货基差分析!$N$11)</f>
        <v/>
      </c>
      <c r="H3992" s="5" t="str">
        <f>IF(B3992="","",股指期货基差分析!$L$11)</f>
        <v/>
      </c>
      <c r="I3992" s="9" t="str">
        <f>IF(B3992="","",股指期货基差分析!$D$11)</f>
        <v/>
      </c>
    </row>
    <row r="3993" spans="3:9" ht="15" customHeight="1" x14ac:dyDescent="0.2">
      <c r="C3993" s="5" t="str">
        <f>IF(B3993="","",[1]!s_dq_close(股指期货基差分析!$E$5,$B3993))</f>
        <v/>
      </c>
      <c r="D3993" s="5" t="str">
        <f>IF(B3993="","",[1]!s_dq_close(股指期货基差分析!$E$6,$B3993))</f>
        <v/>
      </c>
      <c r="E3993" s="4" t="e">
        <f ca="1">RANK(F3993,F:F)+COUNTIF(F$2:F3993,F3993)-1</f>
        <v>#VALUE!</v>
      </c>
      <c r="F3993" s="5" t="str">
        <f t="shared" si="63"/>
        <v/>
      </c>
      <c r="G3993" s="5" t="str">
        <f>IF(B3993="","",股指期货基差分析!$N$11)</f>
        <v/>
      </c>
      <c r="H3993" s="5" t="str">
        <f>IF(B3993="","",股指期货基差分析!$L$11)</f>
        <v/>
      </c>
      <c r="I3993" s="9" t="str">
        <f>IF(B3993="","",股指期货基差分析!$D$11)</f>
        <v/>
      </c>
    </row>
    <row r="3994" spans="3:9" ht="15" customHeight="1" x14ac:dyDescent="0.2">
      <c r="C3994" s="5" t="str">
        <f>IF(B3994="","",[1]!s_dq_close(股指期货基差分析!$E$5,$B3994))</f>
        <v/>
      </c>
      <c r="D3994" s="5" t="str">
        <f>IF(B3994="","",[1]!s_dq_close(股指期货基差分析!$E$6,$B3994))</f>
        <v/>
      </c>
      <c r="E3994" s="4" t="e">
        <f ca="1">RANK(F3994,F:F)+COUNTIF(F$2:F3994,F3994)-1</f>
        <v>#VALUE!</v>
      </c>
      <c r="F3994" s="5" t="str">
        <f t="shared" si="63"/>
        <v/>
      </c>
      <c r="G3994" s="5" t="str">
        <f>IF(B3994="","",股指期货基差分析!$N$11)</f>
        <v/>
      </c>
      <c r="H3994" s="5" t="str">
        <f>IF(B3994="","",股指期货基差分析!$L$11)</f>
        <v/>
      </c>
      <c r="I3994" s="9" t="str">
        <f>IF(B3994="","",股指期货基差分析!$D$11)</f>
        <v/>
      </c>
    </row>
    <row r="3995" spans="3:9" ht="15" customHeight="1" x14ac:dyDescent="0.2">
      <c r="C3995" s="5" t="str">
        <f>IF(B3995="","",[1]!s_dq_close(股指期货基差分析!$E$5,$B3995))</f>
        <v/>
      </c>
      <c r="D3995" s="5" t="str">
        <f>IF(B3995="","",[1]!s_dq_close(股指期货基差分析!$E$6,$B3995))</f>
        <v/>
      </c>
      <c r="E3995" s="4" t="e">
        <f ca="1">RANK(F3995,F:F)+COUNTIF(F$2:F3995,F3995)-1</f>
        <v>#VALUE!</v>
      </c>
      <c r="F3995" s="5" t="str">
        <f t="shared" si="63"/>
        <v/>
      </c>
      <c r="G3995" s="5" t="str">
        <f>IF(B3995="","",股指期货基差分析!$N$11)</f>
        <v/>
      </c>
      <c r="H3995" s="5" t="str">
        <f>IF(B3995="","",股指期货基差分析!$L$11)</f>
        <v/>
      </c>
      <c r="I3995" s="9" t="str">
        <f>IF(B3995="","",股指期货基差分析!$D$11)</f>
        <v/>
      </c>
    </row>
    <row r="3996" spans="3:9" ht="15" customHeight="1" x14ac:dyDescent="0.2">
      <c r="C3996" s="5" t="str">
        <f>IF(B3996="","",[1]!s_dq_close(股指期货基差分析!$E$5,$B3996))</f>
        <v/>
      </c>
      <c r="D3996" s="5" t="str">
        <f>IF(B3996="","",[1]!s_dq_close(股指期货基差分析!$E$6,$B3996))</f>
        <v/>
      </c>
      <c r="E3996" s="4" t="e">
        <f ca="1">RANK(F3996,F:F)+COUNTIF(F$2:F3996,F3996)-1</f>
        <v>#VALUE!</v>
      </c>
      <c r="F3996" s="5" t="str">
        <f t="shared" si="63"/>
        <v/>
      </c>
      <c r="G3996" s="5" t="str">
        <f>IF(B3996="","",股指期货基差分析!$N$11)</f>
        <v/>
      </c>
      <c r="H3996" s="5" t="str">
        <f>IF(B3996="","",股指期货基差分析!$L$11)</f>
        <v/>
      </c>
      <c r="I3996" s="9" t="str">
        <f>IF(B3996="","",股指期货基差分析!$D$11)</f>
        <v/>
      </c>
    </row>
    <row r="3997" spans="3:9" ht="15" customHeight="1" x14ac:dyDescent="0.2">
      <c r="C3997" s="5" t="str">
        <f>IF(B3997="","",[1]!s_dq_close(股指期货基差分析!$E$5,$B3997))</f>
        <v/>
      </c>
      <c r="D3997" s="5" t="str">
        <f>IF(B3997="","",[1]!s_dq_close(股指期货基差分析!$E$6,$B3997))</f>
        <v/>
      </c>
      <c r="E3997" s="4" t="e">
        <f ca="1">RANK(F3997,F:F)+COUNTIF(F$2:F3997,F3997)-1</f>
        <v>#VALUE!</v>
      </c>
      <c r="F3997" s="5" t="str">
        <f t="shared" si="63"/>
        <v/>
      </c>
      <c r="G3997" s="5" t="str">
        <f>IF(B3997="","",股指期货基差分析!$N$11)</f>
        <v/>
      </c>
      <c r="H3997" s="5" t="str">
        <f>IF(B3997="","",股指期货基差分析!$L$11)</f>
        <v/>
      </c>
      <c r="I3997" s="9" t="str">
        <f>IF(B3997="","",股指期货基差分析!$D$11)</f>
        <v/>
      </c>
    </row>
    <row r="3998" spans="3:9" ht="15" customHeight="1" x14ac:dyDescent="0.2">
      <c r="C3998" s="5" t="str">
        <f>IF(B3998="","",[1]!s_dq_close(股指期货基差分析!$E$5,$B3998))</f>
        <v/>
      </c>
      <c r="D3998" s="5" t="str">
        <f>IF(B3998="","",[1]!s_dq_close(股指期货基差分析!$E$6,$B3998))</f>
        <v/>
      </c>
      <c r="E3998" s="4" t="e">
        <f ca="1">RANK(F3998,F:F)+COUNTIF(F$2:F3998,F3998)-1</f>
        <v>#VALUE!</v>
      </c>
      <c r="F3998" s="5" t="str">
        <f t="shared" si="63"/>
        <v/>
      </c>
      <c r="G3998" s="5" t="str">
        <f>IF(B3998="","",股指期货基差分析!$N$11)</f>
        <v/>
      </c>
      <c r="H3998" s="5" t="str">
        <f>IF(B3998="","",股指期货基差分析!$L$11)</f>
        <v/>
      </c>
      <c r="I3998" s="9" t="str">
        <f>IF(B3998="","",股指期货基差分析!$D$11)</f>
        <v/>
      </c>
    </row>
  </sheetData>
  <phoneticPr fontId="5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F5"/>
  <sheetViews>
    <sheetView showGridLines="0" workbookViewId="0">
      <selection activeCell="A43" sqref="A43"/>
    </sheetView>
  </sheetViews>
  <sheetFormatPr defaultRowHeight="14.25" x14ac:dyDescent="0.2"/>
  <cols>
    <col min="1" max="1" width="10" bestFit="1" customWidth="1"/>
    <col min="2" max="2" width="11.75" bestFit="1" customWidth="1"/>
    <col min="3" max="6" width="11.625" bestFit="1" customWidth="1"/>
  </cols>
  <sheetData>
    <row r="1" spans="1:6" ht="15" x14ac:dyDescent="0.2">
      <c r="A1" s="24" t="s">
        <v>16</v>
      </c>
      <c r="B1" s="24" t="s">
        <v>33</v>
      </c>
      <c r="C1" s="24" t="s">
        <v>34</v>
      </c>
      <c r="D1" s="24" t="s">
        <v>35</v>
      </c>
      <c r="E1" s="24" t="s">
        <v>36</v>
      </c>
      <c r="F1" s="24" t="s">
        <v>37</v>
      </c>
    </row>
    <row r="2" spans="1:6" ht="16.5" x14ac:dyDescent="0.2">
      <c r="A2" s="44" t="str">
        <f>[1]!S_INFO_NAME(B2)</f>
        <v>上证50</v>
      </c>
      <c r="B2" s="44" t="s">
        <v>40</v>
      </c>
      <c r="C2" s="44" t="s">
        <v>41</v>
      </c>
      <c r="D2" s="44" t="s">
        <v>42</v>
      </c>
      <c r="E2" s="44" t="s">
        <v>43</v>
      </c>
      <c r="F2" s="44" t="s">
        <v>44</v>
      </c>
    </row>
    <row r="3" spans="1:6" ht="16.5" x14ac:dyDescent="0.2">
      <c r="A3" s="44" t="str">
        <f>[1]!S_INFO_NAME(B3)</f>
        <v>沪深300</v>
      </c>
      <c r="B3" s="44" t="s">
        <v>45</v>
      </c>
      <c r="C3" s="44" t="s">
        <v>46</v>
      </c>
      <c r="D3" s="44" t="s">
        <v>47</v>
      </c>
      <c r="E3" s="44" t="s">
        <v>48</v>
      </c>
      <c r="F3" s="44" t="s">
        <v>49</v>
      </c>
    </row>
    <row r="4" spans="1:6" ht="16.5" x14ac:dyDescent="0.2">
      <c r="A4" s="44" t="str">
        <f>[1]!S_INFO_NAME(B4)</f>
        <v>中证500</v>
      </c>
      <c r="B4" s="44" t="s">
        <v>50</v>
      </c>
      <c r="C4" s="44" t="s">
        <v>51</v>
      </c>
      <c r="D4" s="44" t="s">
        <v>52</v>
      </c>
      <c r="E4" s="44" t="s">
        <v>53</v>
      </c>
      <c r="F4" s="44" t="s">
        <v>54</v>
      </c>
    </row>
    <row r="5" spans="1:6" ht="16.5" x14ac:dyDescent="0.2">
      <c r="A5" s="44" t="str">
        <f>[1]!S_INFO_NAME(B5)</f>
        <v>中证1000</v>
      </c>
      <c r="B5" s="44" t="s">
        <v>55</v>
      </c>
      <c r="C5" s="44" t="s">
        <v>56</v>
      </c>
      <c r="D5" s="44" t="s">
        <v>57</v>
      </c>
      <c r="E5" s="44" t="s">
        <v>58</v>
      </c>
      <c r="F5" s="44" t="s">
        <v>59</v>
      </c>
    </row>
  </sheetData>
  <phoneticPr fontId="5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workbookViewId="0">
      <selection activeCell="A2" sqref="A2"/>
    </sheetView>
  </sheetViews>
  <sheetFormatPr defaultRowHeight="14.25" x14ac:dyDescent="0.2"/>
  <sheetData>
    <row r="1" spans="1:1" x14ac:dyDescent="0.2">
      <c r="A1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股指期货基差分析</vt:lpstr>
      <vt:lpstr>历史数据</vt:lpstr>
      <vt:lpstr>合约信息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2024-04-17T08:23:38Z</dcterms:modified>
</cp:coreProperties>
</file>