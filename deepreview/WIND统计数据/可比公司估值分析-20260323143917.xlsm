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模板研究\20231205 Excel模板可比公司估值分析\"/>
    </mc:Choice>
  </mc:AlternateContent>
  <bookViews>
    <workbookView xWindow="0" yWindow="0" windowWidth="28800" windowHeight="12165" tabRatio="489"/>
  </bookViews>
  <sheets>
    <sheet name="预测结果" sheetId="1" r:id="rId1"/>
    <sheet name="600519.SH贵州茅台" sheetId="624" r:id="rId2"/>
    <sheet name="600000.SH浦发银行" sheetId="623" r:id="rId3"/>
    <sheet name="601939.SH建设银行" sheetId="622" r:id="rId4"/>
    <sheet name="601288.SH农业银行" sheetId="621" r:id="rId5"/>
    <sheet name="601988.SH中国银行" sheetId="620" r:id="rId6"/>
    <sheet name="000001.SZ平安银行" sheetId="619" r:id="rId7"/>
    <sheet name="601328.SH交通银行" sheetId="618" r:id="rId8"/>
    <sheet name="601998.SH中信银行" sheetId="617" r:id="rId9"/>
    <sheet name="601818.SH光大银行" sheetId="616" r:id="rId10"/>
    <sheet name="600919.SH江苏银行" sheetId="615" r:id="rId11"/>
    <sheet name="0700.HK腾讯控股" sheetId="614" r:id="rId12"/>
    <sheet name="9988.HK阿里巴巴-SW" sheetId="613" r:id="rId13"/>
    <sheet name="2269.HK药明生物" sheetId="612" r:id="rId14"/>
    <sheet name="AAPL.O苹果(APPLE)" sheetId="611" r:id="rId15"/>
    <sheet name="NVDA.O英伟达(NVIDIA)" sheetId="610" r:id="rId16"/>
    <sheet name="Wind模板" sheetId="143" state="veryHidden" r:id="rId17"/>
    <sheet name="港股美股" sheetId="51" state="hidden" r:id="rId18"/>
    <sheet name="内地股票" sheetId="28" state="hidden" r:id="rId19"/>
  </sheets>
  <functionGroups builtInGroupCount="18"/>
  <externalReferences>
    <externalReference r:id="rId20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3" i="624" l="1"/>
  <c r="F6" i="624"/>
  <c r="F2" i="624"/>
  <c r="T43" i="623"/>
  <c r="F6" i="623"/>
  <c r="F2" i="623"/>
  <c r="T43" i="622"/>
  <c r="F6" i="622"/>
  <c r="F2" i="622"/>
  <c r="T43" i="621"/>
  <c r="F6" i="621"/>
  <c r="F2" i="621"/>
  <c r="T43" i="620"/>
  <c r="F6" i="620"/>
  <c r="F2" i="620"/>
  <c r="T43" i="619"/>
  <c r="F6" i="619"/>
  <c r="F2" i="619"/>
  <c r="T43" i="618"/>
  <c r="F6" i="618"/>
  <c r="F2" i="618"/>
  <c r="T43" i="617"/>
  <c r="F6" i="617"/>
  <c r="F2" i="617"/>
  <c r="T43" i="616"/>
  <c r="F6" i="616"/>
  <c r="F2" i="616"/>
  <c r="T43" i="615"/>
  <c r="F6" i="615"/>
  <c r="F2" i="615"/>
  <c r="V42" i="614"/>
  <c r="F6" i="614"/>
  <c r="F2" i="614"/>
  <c r="V42" i="613"/>
  <c r="F6" i="613"/>
  <c r="F2" i="613"/>
  <c r="V42" i="612"/>
  <c r="F6" i="612"/>
  <c r="F2" i="612"/>
  <c r="V42" i="611"/>
  <c r="F6" i="611"/>
  <c r="F2" i="611"/>
  <c r="V42" i="610"/>
  <c r="F6" i="610"/>
  <c r="F2" i="610"/>
  <c r="AC29" i="28"/>
  <c r="Y29" i="616"/>
  <c r="AE29" i="619"/>
  <c r="AA29" i="621"/>
  <c r="W29" i="623"/>
  <c r="AA29" i="28"/>
  <c r="W29" i="616"/>
  <c r="AC29" i="619"/>
  <c r="Y29" i="621"/>
  <c r="AE29" i="624"/>
  <c r="Y29" i="28"/>
  <c r="AE29" i="617"/>
  <c r="AA29" i="619"/>
  <c r="W29" i="621"/>
  <c r="AC29" i="624"/>
  <c r="AA29" i="624"/>
  <c r="AE29" i="615"/>
  <c r="AA29" i="617"/>
  <c r="W29" i="619"/>
  <c r="AC29" i="622"/>
  <c r="Y29" i="624"/>
  <c r="AC29" i="615"/>
  <c r="Y29" i="617"/>
  <c r="AE29" i="620"/>
  <c r="AA29" i="622"/>
  <c r="W29" i="624"/>
  <c r="Y29" i="619"/>
  <c r="AA29" i="615"/>
  <c r="W29" i="617"/>
  <c r="AC29" i="620"/>
  <c r="Y29" i="622"/>
  <c r="Y29" i="615"/>
  <c r="AE29" i="618"/>
  <c r="AA29" i="620"/>
  <c r="W29" i="622"/>
  <c r="AE29" i="623"/>
  <c r="Y29" i="618"/>
  <c r="AE29" i="28"/>
  <c r="AC29" i="621"/>
  <c r="AE29" i="622"/>
  <c r="W29" i="615"/>
  <c r="AC29" i="618"/>
  <c r="Y29" i="620"/>
  <c r="AC29" i="616"/>
  <c r="AA29" i="623"/>
  <c r="W29" i="618"/>
  <c r="Y29" i="623"/>
  <c r="W29" i="28"/>
  <c r="AE29" i="616"/>
  <c r="AA29" i="618"/>
  <c r="W29" i="620"/>
  <c r="AC29" i="623"/>
  <c r="AE29" i="621"/>
  <c r="AA29" i="616"/>
  <c r="AC29" i="617"/>
  <c r="U43" i="623"/>
  <c r="Y45" i="610"/>
  <c r="W19" i="620"/>
  <c r="F35" i="616"/>
  <c r="C2" i="612"/>
  <c r="F14" i="619"/>
  <c r="AA43" i="624"/>
  <c r="F9" i="619"/>
  <c r="F9" i="624"/>
  <c r="F8" i="618"/>
  <c r="Y19" i="614"/>
  <c r="AA43" i="617"/>
  <c r="AA45" i="616"/>
  <c r="U46" i="622"/>
  <c r="F8" i="611"/>
  <c r="W43" i="615"/>
  <c r="AA43" i="620"/>
  <c r="U45" i="621"/>
  <c r="F7" i="610"/>
  <c r="U46" i="624"/>
  <c r="AA43" i="622"/>
  <c r="AE25" i="617"/>
  <c r="F7" i="624"/>
  <c r="AA43" i="616"/>
  <c r="AE27" i="617"/>
  <c r="AE25" i="616"/>
  <c r="AA46" i="618"/>
  <c r="U45" i="618"/>
  <c r="AC42" i="614"/>
  <c r="W42" i="611"/>
  <c r="T44" i="615"/>
  <c r="F9" i="611"/>
  <c r="F8" i="621"/>
  <c r="W46" i="624"/>
  <c r="U45" i="623"/>
  <c r="W43" i="622"/>
  <c r="AA46" i="616"/>
  <c r="W46" i="621"/>
  <c r="AE30" i="616"/>
  <c r="F22" i="613"/>
  <c r="U43" i="622"/>
  <c r="U46" i="623"/>
  <c r="W19" i="616"/>
  <c r="V43" i="610"/>
  <c r="AC43" i="610" s="1"/>
  <c r="W43" i="620"/>
  <c r="F14" i="616"/>
  <c r="AA45" i="620"/>
  <c r="Y46" i="621"/>
  <c r="AE33" i="616"/>
  <c r="Y43" i="610"/>
  <c r="X43" i="610" s="1"/>
  <c r="AC43" i="620"/>
  <c r="Y43" i="620"/>
  <c r="W43" i="624"/>
  <c r="V43" i="624" s="1"/>
  <c r="T44" i="623"/>
  <c r="W44" i="623" s="1"/>
  <c r="U43" i="620"/>
  <c r="F35" i="615"/>
  <c r="W42" i="612"/>
  <c r="F8" i="624"/>
  <c r="F9" i="616"/>
  <c r="F7" i="618"/>
  <c r="J7" i="622"/>
  <c r="F7" i="615"/>
  <c r="AE25" i="623"/>
  <c r="Y45" i="614"/>
  <c r="Y19" i="610"/>
  <c r="U45" i="622"/>
  <c r="W46" i="622"/>
  <c r="F8" i="610"/>
  <c r="F7" i="623"/>
  <c r="F7" i="622"/>
  <c r="Y44" i="610"/>
  <c r="J15" i="622"/>
  <c r="W45" i="613"/>
  <c r="W45" i="616"/>
  <c r="C2" i="622"/>
  <c r="T44" i="621"/>
  <c r="AA46" i="619"/>
  <c r="V45" i="616"/>
  <c r="AA45" i="624"/>
  <c r="C2" i="616"/>
  <c r="V43" i="612"/>
  <c r="AC45" i="616"/>
  <c r="U43" i="621"/>
  <c r="J7" i="621"/>
  <c r="C2" i="611"/>
  <c r="J14" i="621"/>
  <c r="W45" i="624"/>
  <c r="W45" i="612"/>
  <c r="V43" i="614"/>
  <c r="W43" i="614" s="1"/>
  <c r="W46" i="617"/>
  <c r="F14" i="613"/>
  <c r="W43" i="610"/>
  <c r="F35" i="621"/>
  <c r="AE25" i="621"/>
  <c r="W19" i="624"/>
  <c r="F12" i="621"/>
  <c r="F14" i="610"/>
  <c r="AC42" i="613"/>
  <c r="F9" i="623"/>
  <c r="Y42" i="614"/>
  <c r="W42" i="613"/>
  <c r="AA45" i="619"/>
  <c r="W44" i="610"/>
  <c r="F8" i="620"/>
  <c r="F35" i="623"/>
  <c r="J11" i="622"/>
  <c r="AA46" i="615"/>
  <c r="AC45" i="612"/>
  <c r="F7" i="620"/>
  <c r="T44" i="622"/>
  <c r="U44" i="622" s="1"/>
  <c r="Y44" i="611"/>
  <c r="C2" i="623"/>
  <c r="W19" i="622"/>
  <c r="F12" i="614"/>
  <c r="AE38" i="621"/>
  <c r="J9" i="622"/>
  <c r="AE38" i="617"/>
  <c r="W43" i="612"/>
  <c r="V43" i="620"/>
  <c r="J18" i="621"/>
  <c r="F13" i="614"/>
  <c r="U43" i="624"/>
  <c r="AC43" i="615"/>
  <c r="X44" i="611"/>
  <c r="AC44" i="623"/>
  <c r="W43" i="616"/>
  <c r="AC43" i="616" s="1"/>
  <c r="U43" i="615"/>
  <c r="W45" i="620"/>
  <c r="Y45" i="620" s="1"/>
  <c r="AA45" i="623"/>
  <c r="C2" i="614"/>
  <c r="Y19" i="613"/>
  <c r="C2" i="620"/>
  <c r="U43" i="618"/>
  <c r="C2" i="619"/>
  <c r="F35" i="619"/>
  <c r="C2" i="617"/>
  <c r="F22" i="614"/>
  <c r="F7" i="621"/>
  <c r="W43" i="617"/>
  <c r="W46" i="618"/>
  <c r="J17" i="622"/>
  <c r="Y19" i="612"/>
  <c r="U44" i="615"/>
  <c r="W19" i="619"/>
  <c r="F8" i="623"/>
  <c r="F9" i="614"/>
  <c r="F14" i="614"/>
  <c r="F9" i="622"/>
  <c r="F7" i="614"/>
  <c r="W45" i="622"/>
  <c r="Y45" i="622" s="1"/>
  <c r="F22" i="610"/>
  <c r="U46" i="621"/>
  <c r="W46" i="615"/>
  <c r="AC45" i="613"/>
  <c r="AE42" i="614"/>
  <c r="C2" i="621"/>
  <c r="W7" i="622"/>
  <c r="Y44" i="613"/>
  <c r="AA45" i="610"/>
  <c r="X45" i="614"/>
  <c r="W44" i="622"/>
  <c r="V45" i="622"/>
  <c r="AE37" i="617"/>
  <c r="AC43" i="612"/>
  <c r="AE30" i="617"/>
  <c r="AA45" i="615"/>
  <c r="Y45" i="611"/>
  <c r="J7" i="623"/>
  <c r="F8" i="622"/>
  <c r="AE25" i="620"/>
  <c r="AA46" i="624"/>
  <c r="U46" i="617"/>
  <c r="W19" i="618"/>
  <c r="T44" i="619"/>
  <c r="U43" i="617"/>
  <c r="AE30" i="620"/>
  <c r="U45" i="616"/>
  <c r="U45" i="619"/>
  <c r="AA44" i="619"/>
  <c r="AE36" i="623"/>
  <c r="AA46" i="621"/>
  <c r="U46" i="616"/>
  <c r="AA45" i="618"/>
  <c r="Y19" i="611"/>
  <c r="F7" i="617"/>
  <c r="F35" i="618"/>
  <c r="F7" i="611"/>
  <c r="AC42" i="610"/>
  <c r="AA46" i="622"/>
  <c r="C2" i="618"/>
  <c r="F9" i="615"/>
  <c r="W44" i="614"/>
  <c r="AE28" i="616"/>
  <c r="U45" i="620"/>
  <c r="U46" i="615"/>
  <c r="V43" i="611"/>
  <c r="F12" i="616"/>
  <c r="F25" i="616" s="1"/>
  <c r="F8" i="614"/>
  <c r="V46" i="617"/>
  <c r="AA44" i="622"/>
  <c r="F26" i="614"/>
  <c r="AE32" i="617"/>
  <c r="AC43" i="611"/>
  <c r="F33" i="616"/>
  <c r="AC44" i="622"/>
  <c r="W42" i="614"/>
  <c r="F12" i="623"/>
  <c r="W46" i="620"/>
  <c r="V46" i="620" s="1"/>
  <c r="T44" i="616"/>
  <c r="F7" i="613"/>
  <c r="Y44" i="614"/>
  <c r="AE44" i="614" s="1"/>
  <c r="AA43" i="623"/>
  <c r="F14" i="615"/>
  <c r="J15" i="623"/>
  <c r="AE25" i="619"/>
  <c r="W7" i="623"/>
  <c r="W9" i="623" s="1"/>
  <c r="Y44" i="612"/>
  <c r="AE36" i="621"/>
  <c r="W45" i="619"/>
  <c r="F35" i="622"/>
  <c r="J14" i="623"/>
  <c r="W19" i="615"/>
  <c r="W45" i="614"/>
  <c r="V45" i="620"/>
  <c r="AA45" i="622"/>
  <c r="AE36" i="619"/>
  <c r="AC44" i="610"/>
  <c r="F14" i="622"/>
  <c r="AE38" i="616"/>
  <c r="U46" i="619"/>
  <c r="W45" i="611"/>
  <c r="F12" i="611"/>
  <c r="U43" i="619"/>
  <c r="T44" i="624"/>
  <c r="W43" i="618"/>
  <c r="Y43" i="616"/>
  <c r="F22" i="612"/>
  <c r="AA43" i="621"/>
  <c r="W44" i="621"/>
  <c r="J7" i="617"/>
  <c r="AC45" i="611"/>
  <c r="Y45" i="616"/>
  <c r="Y45" i="619"/>
  <c r="V43" i="622"/>
  <c r="F13" i="611"/>
  <c r="F15" i="614"/>
  <c r="AE33" i="617"/>
  <c r="Y43" i="611"/>
  <c r="F15" i="616"/>
  <c r="V44" i="622"/>
  <c r="AA43" i="611"/>
  <c r="J12" i="621"/>
  <c r="F12" i="619"/>
  <c r="Y42" i="610"/>
  <c r="W43" i="623"/>
  <c r="V43" i="623" s="1"/>
  <c r="F12" i="617"/>
  <c r="W42" i="610"/>
  <c r="F8" i="612"/>
  <c r="AA43" i="618"/>
  <c r="X44" i="614"/>
  <c r="F13" i="621"/>
  <c r="F7" i="616"/>
  <c r="J8" i="622"/>
  <c r="Y42" i="612"/>
  <c r="AE36" i="616"/>
  <c r="AE28" i="619"/>
  <c r="W19" i="621"/>
  <c r="F12" i="618"/>
  <c r="W44" i="616"/>
  <c r="AC45" i="619"/>
  <c r="T44" i="618"/>
  <c r="W45" i="615"/>
  <c r="F22" i="611"/>
  <c r="AC43" i="614"/>
  <c r="W7" i="619"/>
  <c r="F35" i="617"/>
  <c r="AA46" i="617"/>
  <c r="F12" i="612"/>
  <c r="F14" i="618"/>
  <c r="U45" i="624"/>
  <c r="AA44" i="616"/>
  <c r="Y42" i="613"/>
  <c r="Y46" i="624"/>
  <c r="AE45" i="610"/>
  <c r="W46" i="616"/>
  <c r="AA44" i="611"/>
  <c r="AA45" i="617"/>
  <c r="W44" i="612"/>
  <c r="J17" i="621"/>
  <c r="J9" i="621"/>
  <c r="V45" i="619"/>
  <c r="Y43" i="622"/>
  <c r="F15" i="611"/>
  <c r="W43" i="611"/>
  <c r="Y44" i="622"/>
  <c r="W19" i="623"/>
  <c r="AE37" i="621"/>
  <c r="AA46" i="620"/>
  <c r="V46" i="616"/>
  <c r="AA44" i="623"/>
  <c r="AC43" i="623"/>
  <c r="F12" i="615"/>
  <c r="F14" i="612"/>
  <c r="F8" i="615"/>
  <c r="F14" i="620"/>
  <c r="W43" i="619"/>
  <c r="AE38" i="620"/>
  <c r="F7" i="612"/>
  <c r="W7" i="621"/>
  <c r="W9" i="621" s="1"/>
  <c r="C2" i="615"/>
  <c r="W43" i="621"/>
  <c r="AA42" i="612"/>
  <c r="W44" i="619"/>
  <c r="AA45" i="621"/>
  <c r="W7" i="615"/>
  <c r="W9" i="615" s="1"/>
  <c r="AA44" i="615"/>
  <c r="W46" i="619"/>
  <c r="F9" i="618"/>
  <c r="X45" i="611"/>
  <c r="Y43" i="617"/>
  <c r="AC44" i="614"/>
  <c r="T44" i="617"/>
  <c r="AE28" i="623"/>
  <c r="U46" i="618"/>
  <c r="T44" i="620"/>
  <c r="W7" i="617"/>
  <c r="X42" i="613"/>
  <c r="Y43" i="621"/>
  <c r="F8" i="617"/>
  <c r="V45" i="615"/>
  <c r="F12" i="610"/>
  <c r="F35" i="624"/>
  <c r="W45" i="617"/>
  <c r="AE27" i="623"/>
  <c r="Y42" i="611"/>
  <c r="Y46" i="615"/>
  <c r="AE33" i="623"/>
  <c r="AC43" i="622"/>
  <c r="U44" i="617"/>
  <c r="F26" i="611"/>
  <c r="Y46" i="620"/>
  <c r="AE34" i="617"/>
  <c r="F15" i="610"/>
  <c r="J8" i="621"/>
  <c r="J12" i="617"/>
  <c r="AE44" i="613"/>
  <c r="W19" i="617"/>
  <c r="AC44" i="613"/>
  <c r="AE44" i="610"/>
  <c r="C2" i="624"/>
  <c r="F12" i="622"/>
  <c r="AC44" i="612"/>
  <c r="C2" i="610"/>
  <c r="F9" i="620"/>
  <c r="Y45" i="612"/>
  <c r="AE33" i="621"/>
  <c r="W7" i="620"/>
  <c r="W9" i="620" s="1"/>
  <c r="AC45" i="610"/>
  <c r="F8" i="619"/>
  <c r="W44" i="611"/>
  <c r="AA43" i="619"/>
  <c r="F9" i="612"/>
  <c r="AE33" i="620"/>
  <c r="C2" i="613"/>
  <c r="Y43" i="614"/>
  <c r="X45" i="610"/>
  <c r="F12" i="620"/>
  <c r="X42" i="614"/>
  <c r="J16" i="622"/>
  <c r="X43" i="614"/>
  <c r="AC45" i="615"/>
  <c r="W44" i="613"/>
  <c r="U43" i="616"/>
  <c r="AC46" i="619"/>
  <c r="W45" i="623"/>
  <c r="J7" i="619"/>
  <c r="W46" i="623"/>
  <c r="F14" i="617"/>
  <c r="AC45" i="622"/>
  <c r="V46" i="621"/>
  <c r="F14" i="624"/>
  <c r="F9" i="617"/>
  <c r="AE33" i="619"/>
  <c r="Y46" i="623"/>
  <c r="AC43" i="624"/>
  <c r="U45" i="617"/>
  <c r="F13" i="616"/>
  <c r="AC42" i="612"/>
  <c r="AA42" i="614"/>
  <c r="AE27" i="616"/>
  <c r="AE34" i="623"/>
  <c r="AC46" i="622"/>
  <c r="W44" i="618"/>
  <c r="Y43" i="615"/>
  <c r="AC45" i="623"/>
  <c r="AC46" i="620"/>
  <c r="AE36" i="617"/>
  <c r="F13" i="610"/>
  <c r="J13" i="621"/>
  <c r="J15" i="617"/>
  <c r="X44" i="613"/>
  <c r="F25" i="618"/>
  <c r="F33" i="617"/>
  <c r="F9" i="613"/>
  <c r="AA44" i="621"/>
  <c r="AA46" i="623"/>
  <c r="AE25" i="622"/>
  <c r="F9" i="610"/>
  <c r="AE33" i="622"/>
  <c r="F14" i="621"/>
  <c r="AC44" i="611"/>
  <c r="AE34" i="621"/>
  <c r="J18" i="622"/>
  <c r="F14" i="611"/>
  <c r="U46" i="620"/>
  <c r="J13" i="623"/>
  <c r="F25" i="621"/>
  <c r="AA43" i="615"/>
  <c r="AE32" i="621"/>
  <c r="Y45" i="613"/>
  <c r="W45" i="610"/>
  <c r="F14" i="623"/>
  <c r="F7" i="619"/>
  <c r="Y45" i="615"/>
  <c r="AE37" i="623"/>
  <c r="W45" i="621"/>
  <c r="F8" i="616"/>
  <c r="V43" i="613"/>
  <c r="AC45" i="614"/>
  <c r="AE38" i="622"/>
  <c r="F9" i="621"/>
  <c r="W45" i="618"/>
  <c r="W44" i="624"/>
  <c r="V43" i="616"/>
  <c r="AE45" i="614"/>
  <c r="J18" i="623"/>
  <c r="F12" i="624"/>
  <c r="AC43" i="617"/>
  <c r="F8" i="613"/>
  <c r="U44" i="621"/>
  <c r="F35" i="620"/>
  <c r="U45" i="615"/>
  <c r="F12" i="613"/>
  <c r="AC42" i="611"/>
  <c r="AE27" i="621"/>
  <c r="AA42" i="611"/>
  <c r="AE30" i="623"/>
  <c r="V46" i="622"/>
  <c r="X44" i="610"/>
  <c r="AE44" i="611"/>
  <c r="V45" i="623"/>
  <c r="AA44" i="624"/>
  <c r="AC44" i="621"/>
  <c r="F25" i="624"/>
  <c r="AE28" i="617"/>
  <c r="F26" i="610"/>
  <c r="J11" i="621"/>
  <c r="J16" i="617"/>
  <c r="AA44" i="613"/>
  <c r="AC45" i="620"/>
  <c r="W44" i="615"/>
  <c r="J16" i="623"/>
  <c r="U44" i="624"/>
  <c r="AE43" i="610"/>
  <c r="AE37" i="616"/>
  <c r="AE32" i="616"/>
  <c r="AC46" i="624"/>
  <c r="V46" i="624"/>
  <c r="Y44" i="623"/>
  <c r="V44" i="623"/>
  <c r="J14" i="622"/>
  <c r="J13" i="622"/>
  <c r="J12" i="622"/>
  <c r="AE38" i="623"/>
  <c r="AE32" i="623"/>
  <c r="Y43" i="612"/>
  <c r="J10" i="621"/>
  <c r="J15" i="621"/>
  <c r="J16" i="621"/>
  <c r="V45" i="624"/>
  <c r="AC45" i="624"/>
  <c r="AC46" i="617"/>
  <c r="AE30" i="621"/>
  <c r="AE28" i="621"/>
  <c r="F33" i="621"/>
  <c r="F15" i="621"/>
  <c r="V46" i="618"/>
  <c r="Y46" i="618"/>
  <c r="AC46" i="618"/>
  <c r="V46" i="615"/>
  <c r="AE45" i="611"/>
  <c r="J9" i="623"/>
  <c r="J10" i="623"/>
  <c r="J11" i="623"/>
  <c r="J17" i="623"/>
  <c r="J12" i="623"/>
  <c r="J8" i="623"/>
  <c r="AE36" i="620"/>
  <c r="AE28" i="620"/>
  <c r="AE37" i="620"/>
  <c r="AE34" i="620"/>
  <c r="AE27" i="620"/>
  <c r="F25" i="623"/>
  <c r="F13" i="623"/>
  <c r="F33" i="623"/>
  <c r="F15" i="623"/>
  <c r="AC44" i="616"/>
  <c r="U44" i="616"/>
  <c r="AE34" i="619"/>
  <c r="AE37" i="619"/>
  <c r="AE27" i="619"/>
  <c r="AE30" i="619"/>
  <c r="AE38" i="619"/>
  <c r="AE32" i="619"/>
  <c r="X44" i="612"/>
  <c r="AA44" i="612"/>
  <c r="AE44" i="612"/>
  <c r="V43" i="618"/>
  <c r="Y43" i="618"/>
  <c r="AC43" i="618"/>
  <c r="Y44" i="621"/>
  <c r="V44" i="621"/>
  <c r="J8" i="617"/>
  <c r="J11" i="617"/>
  <c r="J9" i="617"/>
  <c r="J17" i="617"/>
  <c r="J14" i="617"/>
  <c r="J10" i="617"/>
  <c r="J13" i="617"/>
  <c r="J18" i="617"/>
  <c r="AE43" i="611"/>
  <c r="X43" i="611"/>
  <c r="F15" i="619"/>
  <c r="F33" i="619"/>
  <c r="F13" i="619"/>
  <c r="F25" i="619"/>
  <c r="X42" i="610"/>
  <c r="AA42" i="610"/>
  <c r="AE42" i="610"/>
  <c r="F13" i="617"/>
  <c r="F25" i="617"/>
  <c r="F15" i="617"/>
  <c r="AE42" i="612"/>
  <c r="F15" i="618"/>
  <c r="F33" i="618"/>
  <c r="F13" i="618"/>
  <c r="V44" i="616"/>
  <c r="Y44" i="616"/>
  <c r="U44" i="618"/>
  <c r="AA44" i="618"/>
  <c r="AC44" i="618"/>
  <c r="F26" i="612"/>
  <c r="F15" i="612"/>
  <c r="F13" i="612"/>
  <c r="AE42" i="613"/>
  <c r="AA42" i="613"/>
  <c r="AC46" i="616"/>
  <c r="Y46" i="616"/>
  <c r="F15" i="615"/>
  <c r="F13" i="615"/>
  <c r="F33" i="615"/>
  <c r="F25" i="615"/>
  <c r="Y43" i="619"/>
  <c r="V43" i="619"/>
  <c r="AC43" i="619"/>
  <c r="AC43" i="621"/>
  <c r="V43" i="621"/>
  <c r="V44" i="619"/>
  <c r="AC44" i="619"/>
  <c r="Y44" i="619"/>
  <c r="V46" i="619"/>
  <c r="AA44" i="617"/>
  <c r="W44" i="617"/>
  <c r="U44" i="620"/>
  <c r="AA44" i="620"/>
  <c r="W44" i="620"/>
  <c r="V45" i="617"/>
  <c r="Y45" i="617"/>
  <c r="AC45" i="617"/>
  <c r="AE42" i="611"/>
  <c r="F33" i="622"/>
  <c r="F25" i="622"/>
  <c r="F15" i="622"/>
  <c r="F13" i="622"/>
  <c r="AA45" i="612"/>
  <c r="AE45" i="612"/>
  <c r="AE43" i="614"/>
  <c r="AA43" i="614"/>
  <c r="F15" i="620"/>
  <c r="F33" i="620"/>
  <c r="F25" i="620"/>
  <c r="J16" i="619"/>
  <c r="J10" i="619"/>
  <c r="J11" i="619"/>
  <c r="J9" i="619"/>
  <c r="J17" i="619"/>
  <c r="J12" i="619"/>
  <c r="J15" i="619"/>
  <c r="J8" i="619"/>
  <c r="J13" i="619"/>
  <c r="J14" i="619"/>
  <c r="J18" i="619"/>
  <c r="AC46" i="623"/>
  <c r="V46" i="623"/>
  <c r="Y44" i="618"/>
  <c r="V44" i="618"/>
  <c r="AE27" i="622"/>
  <c r="AE37" i="622"/>
  <c r="AE28" i="622"/>
  <c r="AE30" i="622"/>
  <c r="AE34" i="622"/>
  <c r="AE32" i="622"/>
  <c r="AE36" i="622"/>
  <c r="X45" i="613"/>
  <c r="AE45" i="613"/>
  <c r="AA45" i="613"/>
  <c r="Y45" i="621"/>
  <c r="V45" i="621"/>
  <c r="AC45" i="621"/>
  <c r="AC43" i="613"/>
  <c r="W43" i="613"/>
  <c r="V45" i="618"/>
  <c r="AC45" i="618"/>
  <c r="Y45" i="618"/>
  <c r="Y44" i="624"/>
  <c r="V44" i="624"/>
  <c r="AC44" i="624"/>
  <c r="F33" i="624"/>
  <c r="F15" i="624"/>
  <c r="F13" i="624"/>
  <c r="F26" i="613"/>
  <c r="F13" i="613"/>
  <c r="F15" i="613"/>
  <c r="V44" i="615"/>
  <c r="AC44" i="615"/>
  <c r="Y44" i="615"/>
  <c r="AE43" i="612"/>
  <c r="X43" i="612"/>
  <c r="AA43" i="612"/>
  <c r="AC44" i="617"/>
  <c r="Y44" i="617"/>
  <c r="Y44" i="620"/>
  <c r="V44" i="620"/>
  <c r="AC44" i="620"/>
  <c r="AG43" i="611" l="1"/>
  <c r="AG43" i="614"/>
  <c r="AE44" i="615"/>
  <c r="AG45" i="610"/>
  <c r="O56" i="610"/>
  <c r="AG43" i="612"/>
  <c r="O56" i="612"/>
  <c r="F33" i="612"/>
  <c r="F35" i="612" s="1"/>
  <c r="O56" i="611"/>
  <c r="AG45" i="613"/>
  <c r="O56" i="614"/>
  <c r="AG44" i="613"/>
  <c r="W18" i="616"/>
  <c r="AE39" i="616"/>
  <c r="W18" i="617"/>
  <c r="AE39" i="617"/>
  <c r="F17" i="618"/>
  <c r="F32" i="618"/>
  <c r="F34" i="618" s="1"/>
  <c r="AE10" i="618"/>
  <c r="AE9" i="618"/>
  <c r="AE44" i="618"/>
  <c r="F33" i="613"/>
  <c r="F35" i="613" s="1"/>
  <c r="O56" i="613"/>
  <c r="AE44" i="616"/>
  <c r="AE43" i="619"/>
  <c r="V47" i="619"/>
  <c r="W18" i="621"/>
  <c r="AE39" i="621"/>
  <c r="AE44" i="621"/>
  <c r="AE45" i="622"/>
  <c r="AE45" i="619"/>
  <c r="F32" i="616"/>
  <c r="AE9" i="616"/>
  <c r="AE10" i="616"/>
  <c r="AE39" i="620"/>
  <c r="AE45" i="616"/>
  <c r="AE39" i="622"/>
  <c r="W18" i="622"/>
  <c r="AE39" i="619"/>
  <c r="AE44" i="619"/>
  <c r="F17" i="621"/>
  <c r="F32" i="622"/>
  <c r="F34" i="622" s="1"/>
  <c r="AE10" i="622"/>
  <c r="AE9" i="622"/>
  <c r="F17" i="622"/>
  <c r="AE44" i="620"/>
  <c r="AE45" i="618"/>
  <c r="AE45" i="620"/>
  <c r="AE44" i="622"/>
  <c r="F17" i="619"/>
  <c r="AE39" i="623"/>
  <c r="V47" i="621"/>
  <c r="AE43" i="621"/>
  <c r="F33" i="610"/>
  <c r="F35" i="610" s="1"/>
  <c r="F33" i="611"/>
  <c r="F35" i="611" s="1"/>
  <c r="Y7" i="614"/>
  <c r="L7" i="614"/>
  <c r="AG25" i="614"/>
  <c r="L7" i="612"/>
  <c r="AG25" i="612"/>
  <c r="L7" i="611"/>
  <c r="AG44" i="611"/>
  <c r="Y7" i="610"/>
  <c r="F33" i="614"/>
  <c r="F35" i="614" s="1"/>
  <c r="X46" i="610"/>
  <c r="AG42" i="610"/>
  <c r="Y7" i="615"/>
  <c r="AA7" i="615" s="1"/>
  <c r="AC7" i="615" s="1"/>
  <c r="AE7" i="615" s="1"/>
  <c r="AC25" i="616"/>
  <c r="AC25" i="617"/>
  <c r="AG44" i="612"/>
  <c r="AG42" i="613"/>
  <c r="AG42" i="614"/>
  <c r="X46" i="614"/>
  <c r="F17" i="617"/>
  <c r="AE45" i="615"/>
  <c r="F34" i="616"/>
  <c r="F17" i="616"/>
  <c r="W18" i="623"/>
  <c r="F17" i="615"/>
  <c r="AC25" i="621"/>
  <c r="Y7" i="619"/>
  <c r="AA7" i="619" s="1"/>
  <c r="AC7" i="619" s="1"/>
  <c r="AE7" i="619" s="1"/>
  <c r="W18" i="620"/>
  <c r="L7" i="617"/>
  <c r="J22" i="617"/>
  <c r="J24" i="617" s="1"/>
  <c r="AE45" i="617"/>
  <c r="Y7" i="622"/>
  <c r="AA7" i="622" s="1"/>
  <c r="AC7" i="622" s="1"/>
  <c r="AE7" i="622" s="1"/>
  <c r="W18" i="619"/>
  <c r="AE46" i="618"/>
  <c r="F32" i="620"/>
  <c r="AE9" i="620"/>
  <c r="AE10" i="620"/>
  <c r="AE9" i="617"/>
  <c r="F32" i="617"/>
  <c r="F34" i="617" s="1"/>
  <c r="AE10" i="617"/>
  <c r="L7" i="621"/>
  <c r="J22" i="621"/>
  <c r="J23" i="621" s="1"/>
  <c r="F32" i="615"/>
  <c r="F34" i="615" s="1"/>
  <c r="AE9" i="615"/>
  <c r="AE10" i="615"/>
  <c r="AC25" i="620"/>
  <c r="AE10" i="621"/>
  <c r="AE9" i="621"/>
  <c r="F32" i="621"/>
  <c r="F34" i="621" s="1"/>
  <c r="AE43" i="616"/>
  <c r="V47" i="616"/>
  <c r="AE43" i="618"/>
  <c r="V47" i="618"/>
  <c r="Y7" i="620"/>
  <c r="AA7" i="620" s="1"/>
  <c r="AC7" i="620" s="1"/>
  <c r="AE7" i="620" s="1"/>
  <c r="AC25" i="622"/>
  <c r="AC25" i="619"/>
  <c r="Y7" i="621"/>
  <c r="AA7" i="621" s="1"/>
  <c r="AC7" i="621" s="1"/>
  <c r="AE7" i="621" s="1"/>
  <c r="AE46" i="616"/>
  <c r="Y7" i="617"/>
  <c r="AA7" i="617" s="1"/>
  <c r="AC7" i="617" s="1"/>
  <c r="AE7" i="617" s="1"/>
  <c r="J22" i="619"/>
  <c r="J23" i="619" s="1"/>
  <c r="L7" i="619"/>
  <c r="L7" i="623"/>
  <c r="J22" i="623"/>
  <c r="J24" i="623" s="1"/>
  <c r="Y7" i="623"/>
  <c r="AA7" i="623" s="1"/>
  <c r="AC7" i="623" s="1"/>
  <c r="AE7" i="623" s="1"/>
  <c r="F32" i="619"/>
  <c r="F34" i="619" s="1"/>
  <c r="AE10" i="619"/>
  <c r="AE9" i="619"/>
  <c r="AE43" i="620"/>
  <c r="V47" i="620"/>
  <c r="AE43" i="622"/>
  <c r="V47" i="622"/>
  <c r="AC25" i="623"/>
  <c r="AE46" i="620"/>
  <c r="AE44" i="623"/>
  <c r="AE45" i="621"/>
  <c r="J22" i="622"/>
  <c r="J24" i="622" s="1"/>
  <c r="L7" i="622"/>
  <c r="AE44" i="624"/>
  <c r="F32" i="623"/>
  <c r="F34" i="623" s="1"/>
  <c r="AE10" i="623"/>
  <c r="AE9" i="623"/>
  <c r="V47" i="623"/>
  <c r="AE46" i="623"/>
  <c r="F32" i="624"/>
  <c r="F34" i="624" s="1"/>
  <c r="AE9" i="624"/>
  <c r="AE10" i="624"/>
  <c r="V47" i="624"/>
  <c r="AE46" i="624"/>
  <c r="F17" i="623"/>
  <c r="J23" i="623"/>
  <c r="F17" i="624"/>
  <c r="Y7" i="612"/>
  <c r="AG25" i="610"/>
  <c r="L7" i="610"/>
  <c r="AG25" i="611"/>
  <c r="Y7" i="613"/>
  <c r="L7" i="613"/>
  <c r="AG25" i="613"/>
  <c r="Y7" i="611"/>
  <c r="Z26" i="1"/>
  <c r="Z25" i="1"/>
  <c r="Z24" i="1"/>
  <c r="Z23" i="1"/>
  <c r="AA26" i="1"/>
  <c r="AA25" i="1"/>
  <c r="AA24" i="1"/>
  <c r="AA23" i="1"/>
  <c r="V44" i="617"/>
  <c r="AC46" i="615"/>
  <c r="AA43" i="610"/>
  <c r="AC28" i="622"/>
  <c r="AC28" i="623"/>
  <c r="F22" i="622"/>
  <c r="F18" i="611"/>
  <c r="AA44" i="610"/>
  <c r="W12" i="617"/>
  <c r="F36" i="611"/>
  <c r="F34" i="610"/>
  <c r="AC37" i="619"/>
  <c r="AC36" i="617"/>
  <c r="F22" i="615"/>
  <c r="U44" i="619"/>
  <c r="F18" i="612"/>
  <c r="F16" i="624"/>
  <c r="AC33" i="621"/>
  <c r="Y43" i="613"/>
  <c r="Y46" i="617"/>
  <c r="AA44" i="614"/>
  <c r="F16" i="616"/>
  <c r="F16" i="613"/>
  <c r="F16" i="618"/>
  <c r="AC32" i="621"/>
  <c r="F21" i="617"/>
  <c r="AC27" i="620"/>
  <c r="F22" i="624"/>
  <c r="F20" i="616"/>
  <c r="F13" i="620"/>
  <c r="J10" i="622"/>
  <c r="W8" i="623"/>
  <c r="AC34" i="619"/>
  <c r="F34" i="612"/>
  <c r="J7" i="615"/>
  <c r="F20" i="622"/>
  <c r="AC30" i="619"/>
  <c r="F18" i="621"/>
  <c r="J8" i="615"/>
  <c r="F16" i="620"/>
  <c r="AC30" i="622"/>
  <c r="F16" i="612"/>
  <c r="Y46" i="622"/>
  <c r="W8" i="617"/>
  <c r="AC32" i="616"/>
  <c r="AC34" i="620"/>
  <c r="F22" i="618"/>
  <c r="F18" i="613"/>
  <c r="AC37" i="616"/>
  <c r="J10" i="615"/>
  <c r="F16" i="621"/>
  <c r="X45" i="612"/>
  <c r="AC46" i="621"/>
  <c r="F20" i="612"/>
  <c r="F23" i="610"/>
  <c r="AC34" i="621"/>
  <c r="AC27" i="617"/>
  <c r="V43" i="615"/>
  <c r="W7" i="624"/>
  <c r="F21" i="624"/>
  <c r="AC38" i="616"/>
  <c r="F16" i="611"/>
  <c r="F18" i="624"/>
  <c r="F36" i="613"/>
  <c r="AC37" i="620"/>
  <c r="F23" i="612"/>
  <c r="AC36" i="623"/>
  <c r="F20" i="624"/>
  <c r="X42" i="611"/>
  <c r="AE34" i="616"/>
  <c r="AC37" i="623"/>
  <c r="W7" i="616"/>
  <c r="W9" i="616" s="1"/>
  <c r="AE25" i="618"/>
  <c r="F20" i="617"/>
  <c r="F21" i="622"/>
  <c r="F18" i="617"/>
  <c r="J7" i="624"/>
  <c r="J12" i="624" s="1"/>
  <c r="F21" i="615"/>
  <c r="W8" i="620"/>
  <c r="J12" i="615"/>
  <c r="AC30" i="616"/>
  <c r="AE27" i="618"/>
  <c r="F23" i="611"/>
  <c r="AC27" i="619"/>
  <c r="F16" i="622"/>
  <c r="F21" i="616"/>
  <c r="F21" i="621"/>
  <c r="W9" i="617"/>
  <c r="F36" i="614"/>
  <c r="AC37" i="617"/>
  <c r="Y45" i="623"/>
  <c r="AC38" i="620"/>
  <c r="F18" i="616"/>
  <c r="AC33" i="616"/>
  <c r="F22" i="619"/>
  <c r="F20" i="621"/>
  <c r="J16" i="615"/>
  <c r="AC30" i="623"/>
  <c r="W8" i="619"/>
  <c r="W9" i="624"/>
  <c r="F18" i="610"/>
  <c r="F18" i="620"/>
  <c r="AC37" i="621"/>
  <c r="J10" i="624"/>
  <c r="AC32" i="622"/>
  <c r="AC38" i="619"/>
  <c r="J8" i="624"/>
  <c r="W8" i="621"/>
  <c r="AC33" i="617"/>
  <c r="F21" i="618"/>
  <c r="Y46" i="619"/>
  <c r="AC27" i="616"/>
  <c r="F20" i="610"/>
  <c r="AC34" i="622"/>
  <c r="J7" i="616"/>
  <c r="AC28" i="619"/>
  <c r="AC27" i="623"/>
  <c r="W12" i="622"/>
  <c r="AC36" i="621"/>
  <c r="J16" i="624"/>
  <c r="J18" i="615"/>
  <c r="F21" i="610"/>
  <c r="F20" i="614"/>
  <c r="J16" i="616"/>
  <c r="F18" i="615"/>
  <c r="F23" i="614"/>
  <c r="AC34" i="617"/>
  <c r="F16" i="619"/>
  <c r="F18" i="614"/>
  <c r="W9" i="619"/>
  <c r="AE25" i="615"/>
  <c r="AC30" i="620"/>
  <c r="AC28" i="620"/>
  <c r="F20" i="613"/>
  <c r="J7" i="620"/>
  <c r="F22" i="621"/>
  <c r="AE30" i="618"/>
  <c r="F20" i="620"/>
  <c r="AC32" i="620"/>
  <c r="AC28" i="617"/>
  <c r="J14" i="616"/>
  <c r="J11" i="620"/>
  <c r="J9" i="624"/>
  <c r="AE25" i="624"/>
  <c r="AE33" i="624"/>
  <c r="AA45" i="614"/>
  <c r="AE36" i="615"/>
  <c r="F21" i="619"/>
  <c r="AC36" i="622"/>
  <c r="AC38" i="617"/>
  <c r="J13" i="624"/>
  <c r="J11" i="624"/>
  <c r="F22" i="617"/>
  <c r="J17" i="615"/>
  <c r="AE28" i="624"/>
  <c r="F16" i="610"/>
  <c r="X42" i="612"/>
  <c r="F21" i="611"/>
  <c r="F22" i="620"/>
  <c r="AC32" i="619"/>
  <c r="AC34" i="623"/>
  <c r="F23" i="613"/>
  <c r="AC28" i="616"/>
  <c r="J15" i="615"/>
  <c r="AC27" i="621"/>
  <c r="F16" i="617"/>
  <c r="AC37" i="622"/>
  <c r="AE34" i="615"/>
  <c r="J14" i="624"/>
  <c r="AC30" i="621"/>
  <c r="AC34" i="616"/>
  <c r="AE32" i="615"/>
  <c r="F20" i="618"/>
  <c r="J13" i="615"/>
  <c r="Y45" i="624"/>
  <c r="F18" i="618"/>
  <c r="F16" i="614"/>
  <c r="AE32" i="620"/>
  <c r="AC28" i="621"/>
  <c r="Y43" i="623"/>
  <c r="W7" i="618"/>
  <c r="W9" i="618" s="1"/>
  <c r="W8" i="622"/>
  <c r="J13" i="616"/>
  <c r="F34" i="614"/>
  <c r="J10" i="620"/>
  <c r="W8" i="615"/>
  <c r="U44" i="623"/>
  <c r="F16" i="623"/>
  <c r="AE38" i="618"/>
  <c r="F22" i="623"/>
  <c r="AC30" i="617"/>
  <c r="F20" i="615"/>
  <c r="AE37" i="618"/>
  <c r="F34" i="613"/>
  <c r="W12" i="621"/>
  <c r="Y43" i="624"/>
  <c r="W12" i="619"/>
  <c r="J18" i="624"/>
  <c r="J11" i="615"/>
  <c r="AC33" i="623"/>
  <c r="J12" i="620"/>
  <c r="F22" i="616"/>
  <c r="AC38" i="623"/>
  <c r="F18" i="622"/>
  <c r="AA45" i="611"/>
  <c r="F21" i="623"/>
  <c r="F20" i="623"/>
  <c r="W12" i="623"/>
  <c r="AC36" i="616"/>
  <c r="F16" i="615"/>
  <c r="AC36" i="619"/>
  <c r="AC38" i="622"/>
  <c r="F36" i="610"/>
  <c r="AC36" i="620"/>
  <c r="J14" i="615"/>
  <c r="V43" i="617"/>
  <c r="J7" i="618"/>
  <c r="AC33" i="622"/>
  <c r="F20" i="611"/>
  <c r="J17" i="624"/>
  <c r="AC32" i="623"/>
  <c r="F18" i="623"/>
  <c r="J16" i="618"/>
  <c r="W9" i="622"/>
  <c r="AC32" i="617"/>
  <c r="F21" i="614"/>
  <c r="AE34" i="618"/>
  <c r="F36" i="612"/>
  <c r="J9" i="615"/>
  <c r="AC38" i="621"/>
  <c r="F18" i="619"/>
  <c r="F20" i="619"/>
  <c r="F21" i="612"/>
  <c r="AC33" i="619"/>
  <c r="J15" i="620"/>
  <c r="F34" i="611"/>
  <c r="AC33" i="620"/>
  <c r="W12" i="615"/>
  <c r="W12" i="620"/>
  <c r="J18" i="618"/>
  <c r="F21" i="613"/>
  <c r="AC27" i="622"/>
  <c r="J15" i="624"/>
  <c r="F21" i="620"/>
  <c r="AE43" i="613"/>
  <c r="X43" i="613"/>
  <c r="AE33" i="618"/>
  <c r="AE32" i="618"/>
  <c r="AE36" i="618"/>
  <c r="J11" i="616"/>
  <c r="J9" i="616"/>
  <c r="J18" i="616"/>
  <c r="J15" i="616"/>
  <c r="J10" i="616"/>
  <c r="J12" i="616"/>
  <c r="J8" i="616"/>
  <c r="J17" i="616"/>
  <c r="AE38" i="615"/>
  <c r="AE33" i="615"/>
  <c r="AE37" i="615"/>
  <c r="AE28" i="615"/>
  <c r="AE30" i="615"/>
  <c r="AE27" i="615"/>
  <c r="J14" i="620"/>
  <c r="J8" i="620"/>
  <c r="J18" i="620"/>
  <c r="J13" i="620"/>
  <c r="J17" i="620"/>
  <c r="J9" i="620"/>
  <c r="J16" i="620"/>
  <c r="AE37" i="624"/>
  <c r="AE38" i="624"/>
  <c r="AE30" i="624"/>
  <c r="AE36" i="624"/>
  <c r="AE34" i="624"/>
  <c r="AE32" i="624"/>
  <c r="AE27" i="624"/>
  <c r="J14" i="618"/>
  <c r="J11" i="618"/>
  <c r="J10" i="618"/>
  <c r="J15" i="618"/>
  <c r="J8" i="618"/>
  <c r="J13" i="618"/>
  <c r="J17" i="618"/>
  <c r="J12" i="618"/>
  <c r="J9" i="618"/>
  <c r="X46" i="613" l="1"/>
  <c r="AG45" i="611"/>
  <c r="AG42" i="612"/>
  <c r="AG46" i="612" s="1"/>
  <c r="X46" i="612"/>
  <c r="AE46" i="619"/>
  <c r="X46" i="611"/>
  <c r="AG42" i="611"/>
  <c r="AE46" i="621"/>
  <c r="AG45" i="612"/>
  <c r="F17" i="620"/>
  <c r="AE46" i="617"/>
  <c r="AE46" i="615"/>
  <c r="AE44" i="617"/>
  <c r="F34" i="620"/>
  <c r="AE47" i="616"/>
  <c r="AE47" i="618"/>
  <c r="AE47" i="622"/>
  <c r="AE43" i="624"/>
  <c r="AE47" i="624" s="1"/>
  <c r="AE45" i="624"/>
  <c r="AG45" i="614"/>
  <c r="AE46" i="622"/>
  <c r="V47" i="617"/>
  <c r="AE43" i="617"/>
  <c r="AG44" i="610"/>
  <c r="V47" i="615"/>
  <c r="AE43" i="615"/>
  <c r="AE47" i="615" s="1"/>
  <c r="AE45" i="623"/>
  <c r="AE43" i="623"/>
  <c r="AE47" i="623" s="1"/>
  <c r="AG44" i="614"/>
  <c r="AG43" i="610"/>
  <c r="AE47" i="619"/>
  <c r="AE47" i="620"/>
  <c r="W18" i="618"/>
  <c r="AE39" i="618"/>
  <c r="W18" i="615"/>
  <c r="AE39" i="615"/>
  <c r="AE39" i="624"/>
  <c r="W18" i="624"/>
  <c r="F19" i="619"/>
  <c r="L7" i="624"/>
  <c r="J22" i="624"/>
  <c r="Y8" i="623"/>
  <c r="W15" i="623"/>
  <c r="Y14" i="623" s="1"/>
  <c r="Y7" i="616"/>
  <c r="AA7" i="616" s="1"/>
  <c r="AC7" i="616" s="1"/>
  <c r="AE7" i="616" s="1"/>
  <c r="W14" i="619"/>
  <c r="W20" i="619"/>
  <c r="Y7" i="624"/>
  <c r="AA7" i="624" s="1"/>
  <c r="AC7" i="624" s="1"/>
  <c r="AE7" i="624" s="1"/>
  <c r="J22" i="620"/>
  <c r="L7" i="620"/>
  <c r="Y7" i="618"/>
  <c r="AA7" i="618" s="1"/>
  <c r="AC7" i="618" s="1"/>
  <c r="AE7" i="618" s="1"/>
  <c r="F19" i="623"/>
  <c r="F19" i="622"/>
  <c r="W17" i="619"/>
  <c r="AC39" i="619"/>
  <c r="W17" i="620"/>
  <c r="AC39" i="620"/>
  <c r="Y8" i="619"/>
  <c r="W15" i="619"/>
  <c r="Y14" i="619" s="1"/>
  <c r="F19" i="618"/>
  <c r="W15" i="615"/>
  <c r="Y14" i="615" s="1"/>
  <c r="Y8" i="615"/>
  <c r="F17" i="611"/>
  <c r="W14" i="617"/>
  <c r="W20" i="617"/>
  <c r="J22" i="618"/>
  <c r="L7" i="618"/>
  <c r="W17" i="622"/>
  <c r="AC39" i="622"/>
  <c r="W17" i="617"/>
  <c r="AC39" i="617"/>
  <c r="W20" i="615"/>
  <c r="F19" i="611"/>
  <c r="L7" i="615"/>
  <c r="J22" i="615"/>
  <c r="AC25" i="618"/>
  <c r="F19" i="620"/>
  <c r="F19" i="615"/>
  <c r="W15" i="620"/>
  <c r="Y14" i="620" s="1"/>
  <c r="Y8" i="620"/>
  <c r="W17" i="621"/>
  <c r="AC39" i="621"/>
  <c r="F17" i="610"/>
  <c r="W14" i="620"/>
  <c r="W20" i="620"/>
  <c r="Y8" i="622"/>
  <c r="W15" i="622"/>
  <c r="Y14" i="622" s="1"/>
  <c r="AC25" i="615"/>
  <c r="F19" i="613"/>
  <c r="AC39" i="616"/>
  <c r="W17" i="616"/>
  <c r="F19" i="614"/>
  <c r="F19" i="610"/>
  <c r="AC25" i="624"/>
  <c r="F19" i="624"/>
  <c r="W14" i="622"/>
  <c r="W20" i="622"/>
  <c r="F17" i="613"/>
  <c r="F17" i="614"/>
  <c r="F19" i="612"/>
  <c r="F17" i="612"/>
  <c r="W17" i="623"/>
  <c r="AC39" i="623"/>
  <c r="W15" i="617"/>
  <c r="Y14" i="617" s="1"/>
  <c r="Y8" i="617"/>
  <c r="F19" i="621"/>
  <c r="F19" i="616"/>
  <c r="W14" i="621"/>
  <c r="W20" i="621"/>
  <c r="F19" i="617"/>
  <c r="J22" i="616"/>
  <c r="L7" i="616"/>
  <c r="W14" i="623"/>
  <c r="W20" i="623"/>
  <c r="Y8" i="621"/>
  <c r="W15" i="621"/>
  <c r="Y14" i="621" s="1"/>
  <c r="J25" i="610"/>
  <c r="J24" i="610"/>
  <c r="J40" i="610"/>
  <c r="J7" i="610"/>
  <c r="L8" i="610"/>
  <c r="J23" i="610" s="1"/>
  <c r="J55" i="610"/>
  <c r="N7" i="610"/>
  <c r="J24" i="619"/>
  <c r="N7" i="619"/>
  <c r="L22" i="619"/>
  <c r="J29" i="623"/>
  <c r="J32" i="623"/>
  <c r="J33" i="623"/>
  <c r="J30" i="623"/>
  <c r="J31" i="623"/>
  <c r="J27" i="623"/>
  <c r="J25" i="623"/>
  <c r="J28" i="623"/>
  <c r="J26" i="623"/>
  <c r="AA25" i="619"/>
  <c r="AA25" i="620"/>
  <c r="AE25" i="612"/>
  <c r="AE47" i="621"/>
  <c r="J25" i="613"/>
  <c r="J40" i="613"/>
  <c r="L8" i="613"/>
  <c r="J23" i="613" s="1"/>
  <c r="N7" i="613"/>
  <c r="J7" i="613"/>
  <c r="J24" i="613"/>
  <c r="J55" i="613"/>
  <c r="AE25" i="610"/>
  <c r="N7" i="623"/>
  <c r="L22" i="623"/>
  <c r="AA25" i="622"/>
  <c r="AA25" i="617"/>
  <c r="J40" i="612"/>
  <c r="J55" i="612"/>
  <c r="J25" i="612"/>
  <c r="L8" i="612"/>
  <c r="J23" i="612" s="1"/>
  <c r="J24" i="612"/>
  <c r="N7" i="612"/>
  <c r="J7" i="612"/>
  <c r="AA7" i="611"/>
  <c r="AC7" i="611" s="1"/>
  <c r="AE7" i="611" s="1"/>
  <c r="AG7" i="611" s="1"/>
  <c r="AA7" i="612"/>
  <c r="AC7" i="612" s="1"/>
  <c r="AE7" i="612" s="1"/>
  <c r="AG7" i="612" s="1"/>
  <c r="AA25" i="621"/>
  <c r="J24" i="621"/>
  <c r="J31" i="622"/>
  <c r="J27" i="622"/>
  <c r="J26" i="622"/>
  <c r="J32" i="622"/>
  <c r="J30" i="622"/>
  <c r="J33" i="622"/>
  <c r="J29" i="622"/>
  <c r="J28" i="622"/>
  <c r="J25" i="622"/>
  <c r="J25" i="617"/>
  <c r="J32" i="617"/>
  <c r="J33" i="617"/>
  <c r="J30" i="617"/>
  <c r="J28" i="617"/>
  <c r="J29" i="617"/>
  <c r="J31" i="617"/>
  <c r="J26" i="617"/>
  <c r="J27" i="617"/>
  <c r="AG46" i="614"/>
  <c r="AA7" i="610"/>
  <c r="AC7" i="610" s="1"/>
  <c r="AE7" i="610" s="1"/>
  <c r="AG7" i="610" s="1"/>
  <c r="L22" i="617"/>
  <c r="N7" i="617"/>
  <c r="AA25" i="616"/>
  <c r="AE25" i="613"/>
  <c r="J32" i="621"/>
  <c r="J25" i="621"/>
  <c r="J29" i="621"/>
  <c r="J27" i="621"/>
  <c r="J31" i="621"/>
  <c r="J28" i="621"/>
  <c r="J26" i="621"/>
  <c r="J33" i="621"/>
  <c r="J30" i="621"/>
  <c r="AE25" i="614"/>
  <c r="N7" i="622"/>
  <c r="L22" i="622"/>
  <c r="L22" i="621"/>
  <c r="N7" i="621"/>
  <c r="J40" i="614"/>
  <c r="J55" i="614"/>
  <c r="N7" i="614"/>
  <c r="J25" i="614"/>
  <c r="J24" i="614"/>
  <c r="J7" i="614"/>
  <c r="L8" i="614"/>
  <c r="J23" i="614" s="1"/>
  <c r="AA7" i="613"/>
  <c r="AC7" i="613" s="1"/>
  <c r="AE7" i="613" s="1"/>
  <c r="AG7" i="613" s="1"/>
  <c r="AA25" i="623"/>
  <c r="J29" i="619"/>
  <c r="J33" i="619"/>
  <c r="J30" i="619"/>
  <c r="J26" i="619"/>
  <c r="J31" i="619"/>
  <c r="J28" i="619"/>
  <c r="J27" i="619"/>
  <c r="J32" i="619"/>
  <c r="J25" i="619"/>
  <c r="J23" i="617"/>
  <c r="AA7" i="614"/>
  <c r="AC7" i="614" s="1"/>
  <c r="AE7" i="614" s="1"/>
  <c r="AG7" i="614" s="1"/>
  <c r="J23" i="622"/>
  <c r="AG46" i="611"/>
  <c r="AE25" i="611"/>
  <c r="J24" i="611"/>
  <c r="J7" i="611"/>
  <c r="J55" i="611"/>
  <c r="L8" i="611"/>
  <c r="J23" i="611" s="1"/>
  <c r="J25" i="611"/>
  <c r="J40" i="611"/>
  <c r="N7" i="611"/>
  <c r="U26" i="1"/>
  <c r="T26" i="1"/>
  <c r="S26" i="1"/>
  <c r="U25" i="1"/>
  <c r="T25" i="1"/>
  <c r="S25" i="1"/>
  <c r="U24" i="1"/>
  <c r="T24" i="1"/>
  <c r="S24" i="1"/>
  <c r="U23" i="1"/>
  <c r="T23" i="1"/>
  <c r="S23" i="1"/>
  <c r="E27" i="1"/>
  <c r="Y26" i="1"/>
  <c r="X26" i="1"/>
  <c r="W26" i="1"/>
  <c r="V26" i="1"/>
  <c r="R26" i="1"/>
  <c r="Q26" i="1"/>
  <c r="P26" i="1"/>
  <c r="O26" i="1"/>
  <c r="N26" i="1"/>
  <c r="M26" i="1"/>
  <c r="L26" i="1"/>
  <c r="K26" i="1"/>
  <c r="J26" i="1"/>
  <c r="I26" i="1"/>
  <c r="H26" i="1"/>
  <c r="F26" i="1"/>
  <c r="E26" i="1"/>
  <c r="D26" i="1"/>
  <c r="G26" i="1" s="1"/>
  <c r="Y25" i="1"/>
  <c r="X25" i="1"/>
  <c r="W25" i="1"/>
  <c r="V25" i="1"/>
  <c r="R25" i="1"/>
  <c r="Q25" i="1"/>
  <c r="P25" i="1"/>
  <c r="O25" i="1"/>
  <c r="N25" i="1"/>
  <c r="M25" i="1"/>
  <c r="L25" i="1"/>
  <c r="K25" i="1"/>
  <c r="J25" i="1"/>
  <c r="I25" i="1"/>
  <c r="H25" i="1"/>
  <c r="F25" i="1"/>
  <c r="E25" i="1"/>
  <c r="D25" i="1"/>
  <c r="G25" i="1" s="1"/>
  <c r="Y24" i="1"/>
  <c r="X24" i="1"/>
  <c r="W24" i="1"/>
  <c r="V24" i="1"/>
  <c r="R24" i="1"/>
  <c r="Q24" i="1"/>
  <c r="P24" i="1"/>
  <c r="O24" i="1"/>
  <c r="N24" i="1"/>
  <c r="M24" i="1"/>
  <c r="L24" i="1"/>
  <c r="K24" i="1"/>
  <c r="J24" i="1"/>
  <c r="I24" i="1"/>
  <c r="H24" i="1"/>
  <c r="F24" i="1"/>
  <c r="E24" i="1"/>
  <c r="D24" i="1"/>
  <c r="G24" i="1" s="1"/>
  <c r="Y23" i="1"/>
  <c r="X23" i="1"/>
  <c r="W23" i="1"/>
  <c r="V23" i="1"/>
  <c r="R23" i="1"/>
  <c r="Q23" i="1"/>
  <c r="P23" i="1"/>
  <c r="O23" i="1"/>
  <c r="N23" i="1"/>
  <c r="M23" i="1"/>
  <c r="L23" i="1"/>
  <c r="K23" i="1"/>
  <c r="J23" i="1"/>
  <c r="I23" i="1"/>
  <c r="H23" i="1"/>
  <c r="F23" i="1"/>
  <c r="E23" i="1"/>
  <c r="D23" i="1"/>
  <c r="G23" i="1" s="1"/>
  <c r="E22" i="1"/>
  <c r="E21" i="1"/>
  <c r="E20" i="1"/>
  <c r="E19" i="1"/>
  <c r="E18" i="1"/>
  <c r="E17" i="1"/>
  <c r="Q27" i="1"/>
  <c r="K27" i="1"/>
  <c r="D27" i="1"/>
  <c r="O27" i="1"/>
  <c r="I27" i="1"/>
  <c r="N27" i="1"/>
  <c r="U27" i="1"/>
  <c r="F27" i="1"/>
  <c r="R27" i="1"/>
  <c r="L27" i="1"/>
  <c r="J27" i="1"/>
  <c r="X27" i="1"/>
  <c r="W27" i="1"/>
  <c r="H27" i="1"/>
  <c r="T27" i="1"/>
  <c r="W8" i="618"/>
  <c r="L8" i="622"/>
  <c r="J22" i="1"/>
  <c r="Y9" i="612"/>
  <c r="AA36" i="623"/>
  <c r="AC38" i="624"/>
  <c r="L9" i="619"/>
  <c r="I18" i="1"/>
  <c r="K18" i="1"/>
  <c r="R22" i="1"/>
  <c r="AA32" i="620"/>
  <c r="L17" i="617"/>
  <c r="Y12" i="613"/>
  <c r="AA38" i="621"/>
  <c r="AA30" i="616"/>
  <c r="AC32" i="624"/>
  <c r="T16" i="1"/>
  <c r="L14" i="617"/>
  <c r="O17" i="1"/>
  <c r="AC37" i="624"/>
  <c r="AG29" i="613"/>
  <c r="L12" i="619"/>
  <c r="L14" i="611"/>
  <c r="AC27" i="615"/>
  <c r="T19" i="1"/>
  <c r="L8" i="623"/>
  <c r="L14" i="610"/>
  <c r="AC32" i="618"/>
  <c r="J21" i="1"/>
  <c r="AA37" i="616"/>
  <c r="AA38" i="622"/>
  <c r="L14" i="612"/>
  <c r="L10" i="621"/>
  <c r="AA43" i="613"/>
  <c r="AG37" i="612"/>
  <c r="L12" i="612"/>
  <c r="L18" i="612"/>
  <c r="L8" i="619"/>
  <c r="L14" i="614"/>
  <c r="AG28" i="612"/>
  <c r="AG37" i="611"/>
  <c r="N22" i="1"/>
  <c r="I19" i="1"/>
  <c r="N21" i="1"/>
  <c r="L13" i="614"/>
  <c r="X22" i="1"/>
  <c r="L16" i="617"/>
  <c r="L14" i="622"/>
  <c r="AG32" i="611"/>
  <c r="AA36" i="617"/>
  <c r="L9" i="612"/>
  <c r="AC34" i="624"/>
  <c r="L18" i="622"/>
  <c r="L9" i="614"/>
  <c r="AA32" i="621"/>
  <c r="AA38" i="616"/>
  <c r="O19" i="1"/>
  <c r="AG28" i="610"/>
  <c r="H22" i="1"/>
  <c r="AG35" i="614"/>
  <c r="U19" i="1"/>
  <c r="F21" i="1"/>
  <c r="AG33" i="613"/>
  <c r="L9" i="623"/>
  <c r="N17" i="1"/>
  <c r="AG27" i="614"/>
  <c r="AA38" i="620"/>
  <c r="L17" i="622"/>
  <c r="L15" i="621"/>
  <c r="AA38" i="619"/>
  <c r="L13" i="622"/>
  <c r="AG36" i="611"/>
  <c r="U8" i="1"/>
  <c r="L11" i="621"/>
  <c r="W12" i="624"/>
  <c r="AC36" i="618"/>
  <c r="AA32" i="622"/>
  <c r="L12" i="621"/>
  <c r="U13" i="1"/>
  <c r="O21" i="1"/>
  <c r="L18" i="610"/>
  <c r="L17" i="621"/>
  <c r="D22" i="1"/>
  <c r="K19" i="1"/>
  <c r="AC33" i="615"/>
  <c r="L15" i="611"/>
  <c r="AA33" i="620"/>
  <c r="Y8" i="612"/>
  <c r="W17" i="1"/>
  <c r="Y12" i="610"/>
  <c r="T8" i="1"/>
  <c r="AG35" i="610"/>
  <c r="T9" i="1"/>
  <c r="R20" i="1"/>
  <c r="L17" i="619"/>
  <c r="AC33" i="624"/>
  <c r="L16" i="613"/>
  <c r="F17" i="1"/>
  <c r="L18" i="614"/>
  <c r="AC33" i="618"/>
  <c r="L20" i="1"/>
  <c r="L19" i="612"/>
  <c r="AA37" i="621"/>
  <c r="AA33" i="617"/>
  <c r="AG31" i="613"/>
  <c r="X18" i="1"/>
  <c r="AA37" i="617"/>
  <c r="AG37" i="614"/>
  <c r="L15" i="610"/>
  <c r="Y8" i="610"/>
  <c r="X20" i="1"/>
  <c r="D18" i="1"/>
  <c r="AA28" i="620"/>
  <c r="U15" i="1"/>
  <c r="L16" i="612"/>
  <c r="L12" i="623"/>
  <c r="T14" i="1"/>
  <c r="Y9" i="614"/>
  <c r="Y12" i="614"/>
  <c r="L15" i="623"/>
  <c r="L15" i="619"/>
  <c r="T18" i="1"/>
  <c r="L10" i="623"/>
  <c r="AC32" i="615"/>
  <c r="W20" i="1"/>
  <c r="L16" i="610"/>
  <c r="L13" i="621"/>
  <c r="O22" i="1"/>
  <c r="L13" i="610"/>
  <c r="AC28" i="624"/>
  <c r="L16" i="622"/>
  <c r="AA34" i="617"/>
  <c r="L13" i="619"/>
  <c r="J17" i="1"/>
  <c r="J20" i="1"/>
  <c r="L13" i="611"/>
  <c r="L18" i="619"/>
  <c r="L17" i="1"/>
  <c r="L18" i="613"/>
  <c r="I17" i="1"/>
  <c r="T13" i="1"/>
  <c r="H17" i="1"/>
  <c r="AC38" i="615"/>
  <c r="AG29" i="610"/>
  <c r="L16" i="619"/>
  <c r="AC28" i="618"/>
  <c r="Q17" i="1"/>
  <c r="L17" i="611"/>
  <c r="AG36" i="614"/>
  <c r="Q19" i="1"/>
  <c r="L16" i="621"/>
  <c r="AA32" i="623"/>
  <c r="J18" i="1"/>
  <c r="L10" i="613"/>
  <c r="N19" i="1"/>
  <c r="L18" i="617"/>
  <c r="AG36" i="610"/>
  <c r="U20" i="1"/>
  <c r="AC36" i="624"/>
  <c r="AG31" i="610"/>
  <c r="I20" i="1"/>
  <c r="Y9" i="610"/>
  <c r="AC28" i="615"/>
  <c r="L13" i="612"/>
  <c r="AA27" i="623"/>
  <c r="F18" i="1"/>
  <c r="Y12" i="612"/>
  <c r="AA28" i="622"/>
  <c r="L10" i="622"/>
  <c r="W12" i="618"/>
  <c r="AA38" i="623"/>
  <c r="T20" i="1"/>
  <c r="AA32" i="617"/>
  <c r="AG33" i="612"/>
  <c r="K22" i="1"/>
  <c r="AA30" i="623"/>
  <c r="Y12" i="611"/>
  <c r="AE28" i="618"/>
  <c r="L15" i="622"/>
  <c r="AC37" i="615"/>
  <c r="D17" i="1"/>
  <c r="AG36" i="612"/>
  <c r="AC34" i="618"/>
  <c r="L11" i="612"/>
  <c r="AA37" i="619"/>
  <c r="L16" i="623"/>
  <c r="W18" i="1"/>
  <c r="AC30" i="624"/>
  <c r="T17" i="1"/>
  <c r="AA27" i="617"/>
  <c r="L15" i="612"/>
  <c r="D19" i="1"/>
  <c r="AA33" i="622"/>
  <c r="L14" i="613"/>
  <c r="O20" i="1"/>
  <c r="AA34" i="623"/>
  <c r="L17" i="623"/>
  <c r="AA32" i="619"/>
  <c r="L10" i="619"/>
  <c r="L21" i="1"/>
  <c r="AA33" i="619"/>
  <c r="AG29" i="611"/>
  <c r="AG33" i="611"/>
  <c r="AG28" i="614"/>
  <c r="L12" i="617"/>
  <c r="R17" i="1"/>
  <c r="U21" i="1"/>
  <c r="L12" i="610"/>
  <c r="L11" i="610"/>
  <c r="L12" i="614"/>
  <c r="R19" i="1"/>
  <c r="AC27" i="624"/>
  <c r="L17" i="610"/>
  <c r="L22" i="1"/>
  <c r="L11" i="623"/>
  <c r="L9" i="617"/>
  <c r="AA27" i="620"/>
  <c r="L11" i="613"/>
  <c r="L11" i="622"/>
  <c r="L11" i="614"/>
  <c r="Y9" i="611"/>
  <c r="L18" i="1"/>
  <c r="AG28" i="613"/>
  <c r="L10" i="617"/>
  <c r="U9" i="1"/>
  <c r="AA33" i="616"/>
  <c r="L16" i="614"/>
  <c r="AA30" i="621"/>
  <c r="AA34" i="616"/>
  <c r="AG32" i="613"/>
  <c r="AA27" i="621"/>
  <c r="AA28" i="617"/>
  <c r="L19" i="610"/>
  <c r="AA34" i="619"/>
  <c r="AG37" i="610"/>
  <c r="R18" i="1"/>
  <c r="W21" i="1"/>
  <c r="W12" i="616"/>
  <c r="AG36" i="613"/>
  <c r="L14" i="623"/>
  <c r="I21" i="1"/>
  <c r="H21" i="1"/>
  <c r="F20" i="1"/>
  <c r="AA34" i="622"/>
  <c r="U18" i="1"/>
  <c r="AA27" i="622"/>
  <c r="Y8" i="613"/>
  <c r="D21" i="1"/>
  <c r="L14" i="619"/>
  <c r="Y9" i="613"/>
  <c r="D20" i="1"/>
  <c r="L11" i="617"/>
  <c r="L9" i="621"/>
  <c r="L18" i="621"/>
  <c r="L10" i="612"/>
  <c r="X19" i="1"/>
  <c r="AG32" i="612"/>
  <c r="AA37" i="623"/>
  <c r="W19" i="1"/>
  <c r="AA30" i="617"/>
  <c r="Y8" i="611"/>
  <c r="W22" i="1"/>
  <c r="L10" i="611"/>
  <c r="W8" i="624"/>
  <c r="W8" i="616"/>
  <c r="AG32" i="614"/>
  <c r="U12" i="1"/>
  <c r="L10" i="610"/>
  <c r="L14" i="621"/>
  <c r="L10" i="614"/>
  <c r="AA28" i="621"/>
  <c r="AA27" i="616"/>
  <c r="F22" i="1"/>
  <c r="AA27" i="619"/>
  <c r="AG31" i="611"/>
  <c r="L11" i="619"/>
  <c r="AG35" i="612"/>
  <c r="I22" i="1"/>
  <c r="AA36" i="622"/>
  <c r="L11" i="611"/>
  <c r="L9" i="611"/>
  <c r="AA34" i="620"/>
  <c r="AG28" i="611"/>
  <c r="AC34" i="615"/>
  <c r="AA38" i="617"/>
  <c r="L19" i="1"/>
  <c r="AA36" i="619"/>
  <c r="L13" i="617"/>
  <c r="T12" i="1"/>
  <c r="L12" i="611"/>
  <c r="L15" i="617"/>
  <c r="T15" i="1"/>
  <c r="AA36" i="616"/>
  <c r="T22" i="1"/>
  <c r="AA37" i="620"/>
  <c r="AG27" i="613"/>
  <c r="U22" i="1"/>
  <c r="AG27" i="612"/>
  <c r="L8" i="617"/>
  <c r="L18" i="611"/>
  <c r="AA36" i="620"/>
  <c r="L16" i="611"/>
  <c r="K21" i="1"/>
  <c r="Q21" i="1"/>
  <c r="AA34" i="621"/>
  <c r="AA32" i="616"/>
  <c r="U14" i="1"/>
  <c r="T11" i="1"/>
  <c r="AC30" i="618"/>
  <c r="U17" i="1"/>
  <c r="Q18" i="1"/>
  <c r="K17" i="1"/>
  <c r="T10" i="1"/>
  <c r="L9" i="613"/>
  <c r="L9" i="622"/>
  <c r="L12" i="613"/>
  <c r="F19" i="1"/>
  <c r="AG33" i="610"/>
  <c r="L13" i="613"/>
  <c r="L15" i="613"/>
  <c r="L12" i="622"/>
  <c r="Q20" i="1"/>
  <c r="L19" i="611"/>
  <c r="AG35" i="613"/>
  <c r="T21" i="1"/>
  <c r="AA33" i="621"/>
  <c r="AA28" i="616"/>
  <c r="AA37" i="622"/>
  <c r="L13" i="623"/>
  <c r="AA28" i="623"/>
  <c r="J19" i="1"/>
  <c r="U11" i="1"/>
  <c r="L19" i="614"/>
  <c r="AC37" i="618"/>
  <c r="X17" i="1"/>
  <c r="AG27" i="611"/>
  <c r="AC38" i="618"/>
  <c r="AA28" i="619"/>
  <c r="H19" i="1"/>
  <c r="AG27" i="610"/>
  <c r="H20" i="1"/>
  <c r="AG37" i="613"/>
  <c r="R21" i="1"/>
  <c r="AA30" i="620"/>
  <c r="AG31" i="612"/>
  <c r="N18" i="1"/>
  <c r="AA30" i="622"/>
  <c r="L17" i="614"/>
  <c r="AG29" i="612"/>
  <c r="AA33" i="623"/>
  <c r="AG31" i="614"/>
  <c r="L15" i="614"/>
  <c r="AG32" i="610"/>
  <c r="L19" i="613"/>
  <c r="AC27" i="618"/>
  <c r="K20" i="1"/>
  <c r="U10" i="1"/>
  <c r="AG35" i="611"/>
  <c r="X21" i="1"/>
  <c r="AG29" i="614"/>
  <c r="Y8" i="614"/>
  <c r="AG33" i="614"/>
  <c r="AA30" i="619"/>
  <c r="L18" i="623"/>
  <c r="O18" i="1"/>
  <c r="U16" i="1"/>
  <c r="L8" i="621"/>
  <c r="AC30" i="615"/>
  <c r="N20" i="1"/>
  <c r="L17" i="613"/>
  <c r="AC36" i="615"/>
  <c r="AA36" i="621"/>
  <c r="L9" i="610"/>
  <c r="L17" i="612"/>
  <c r="H18" i="1"/>
  <c r="Q22" i="1"/>
  <c r="AE47" i="617" l="1"/>
  <c r="AG43" i="613"/>
  <c r="AG46" i="613" s="1"/>
  <c r="AG46" i="610"/>
  <c r="W21" i="622"/>
  <c r="W21" i="617"/>
  <c r="W21" i="621"/>
  <c r="W21" i="620"/>
  <c r="W21" i="619"/>
  <c r="W21" i="623"/>
  <c r="Y18" i="613"/>
  <c r="AG38" i="613"/>
  <c r="Y18" i="611"/>
  <c r="Y9" i="621"/>
  <c r="Y12" i="621" s="1"/>
  <c r="AA39" i="616"/>
  <c r="Y9" i="617"/>
  <c r="Y15" i="611"/>
  <c r="AA14" i="611" s="1"/>
  <c r="AA8" i="611"/>
  <c r="AG38" i="610"/>
  <c r="Y10" i="619"/>
  <c r="W14" i="624"/>
  <c r="W20" i="624"/>
  <c r="Y20" i="614"/>
  <c r="AA39" i="623"/>
  <c r="Y18" i="614"/>
  <c r="Y20" i="611"/>
  <c r="Y10" i="617"/>
  <c r="AA8" i="614"/>
  <c r="Y15" i="614"/>
  <c r="AA14" i="614" s="1"/>
  <c r="Y10" i="621"/>
  <c r="Y10" i="622"/>
  <c r="AG38" i="611"/>
  <c r="Y20" i="613"/>
  <c r="Y20" i="610"/>
  <c r="Y9" i="619"/>
  <c r="AC39" i="615"/>
  <c r="W17" i="615"/>
  <c r="W14" i="615"/>
  <c r="W21" i="615" s="1"/>
  <c r="W17" i="618"/>
  <c r="AC39" i="618"/>
  <c r="Y18" i="610"/>
  <c r="Y18" i="612"/>
  <c r="AA39" i="620"/>
  <c r="W14" i="616"/>
  <c r="W20" i="616"/>
  <c r="Y15" i="613"/>
  <c r="AA14" i="613" s="1"/>
  <c r="AA8" i="613"/>
  <c r="AA8" i="610"/>
  <c r="Y15" i="610"/>
  <c r="AA14" i="610" s="1"/>
  <c r="AA39" i="621"/>
  <c r="AG38" i="612"/>
  <c r="AA39" i="619"/>
  <c r="W14" i="618"/>
  <c r="W20" i="618"/>
  <c r="W15" i="616"/>
  <c r="Y14" i="616" s="1"/>
  <c r="Y8" i="616"/>
  <c r="AA8" i="612"/>
  <c r="Y15" i="612"/>
  <c r="AA14" i="612" s="1"/>
  <c r="Y20" i="612"/>
  <c r="Y8" i="618"/>
  <c r="W15" i="618"/>
  <c r="Y14" i="618" s="1"/>
  <c r="Y9" i="622"/>
  <c r="Y12" i="622" s="1"/>
  <c r="AA39" i="617"/>
  <c r="AA39" i="622"/>
  <c r="AC39" i="624"/>
  <c r="W17" i="624"/>
  <c r="AG38" i="614"/>
  <c r="Y10" i="623"/>
  <c r="Y9" i="623"/>
  <c r="Y8" i="624"/>
  <c r="W15" i="624"/>
  <c r="Y14" i="624" s="1"/>
  <c r="L55" i="611"/>
  <c r="L40" i="611"/>
  <c r="P7" i="611"/>
  <c r="N8" i="611"/>
  <c r="L25" i="611"/>
  <c r="L24" i="611"/>
  <c r="P7" i="621"/>
  <c r="N22" i="621"/>
  <c r="J59" i="614"/>
  <c r="J60" i="614"/>
  <c r="J58" i="614"/>
  <c r="J57" i="614"/>
  <c r="J56" i="614"/>
  <c r="L33" i="622"/>
  <c r="L30" i="622"/>
  <c r="L25" i="622"/>
  <c r="L28" i="622"/>
  <c r="L26" i="622"/>
  <c r="L31" i="622"/>
  <c r="L27" i="622"/>
  <c r="L32" i="622"/>
  <c r="L29" i="622"/>
  <c r="L24" i="622"/>
  <c r="L23" i="622"/>
  <c r="Y25" i="616"/>
  <c r="AC25" i="612"/>
  <c r="J8" i="610"/>
  <c r="AC25" i="611"/>
  <c r="Y25" i="623"/>
  <c r="N22" i="622"/>
  <c r="P7" i="622"/>
  <c r="L29" i="617"/>
  <c r="L26" i="617"/>
  <c r="L30" i="617"/>
  <c r="L27" i="617"/>
  <c r="L25" i="617"/>
  <c r="L33" i="617"/>
  <c r="L32" i="617"/>
  <c r="L31" i="617"/>
  <c r="L28" i="617"/>
  <c r="L23" i="617"/>
  <c r="L24" i="617"/>
  <c r="J65" i="614"/>
  <c r="J62" i="614"/>
  <c r="J63" i="614"/>
  <c r="J66" i="614"/>
  <c r="J64" i="614"/>
  <c r="J61" i="614"/>
  <c r="J8" i="613"/>
  <c r="N7" i="618"/>
  <c r="L22" i="618"/>
  <c r="L31" i="621"/>
  <c r="L27" i="621"/>
  <c r="L32" i="621"/>
  <c r="L25" i="621"/>
  <c r="L30" i="621"/>
  <c r="L29" i="621"/>
  <c r="L28" i="621"/>
  <c r="L33" i="621"/>
  <c r="L26" i="621"/>
  <c r="L24" i="621"/>
  <c r="L23" i="621"/>
  <c r="J65" i="610"/>
  <c r="J62" i="610"/>
  <c r="J64" i="610"/>
  <c r="J61" i="610"/>
  <c r="J66" i="610"/>
  <c r="J63" i="610"/>
  <c r="J26" i="618"/>
  <c r="J31" i="618"/>
  <c r="J29" i="618"/>
  <c r="J27" i="618"/>
  <c r="J30" i="618"/>
  <c r="J33" i="618"/>
  <c r="J32" i="618"/>
  <c r="J25" i="618"/>
  <c r="J28" i="618"/>
  <c r="J23" i="618"/>
  <c r="J24" i="618"/>
  <c r="L23" i="612"/>
  <c r="J8" i="612"/>
  <c r="L29" i="623"/>
  <c r="L32" i="623"/>
  <c r="L33" i="623"/>
  <c r="L30" i="623"/>
  <c r="L31" i="623"/>
  <c r="L27" i="623"/>
  <c r="L25" i="623"/>
  <c r="L28" i="623"/>
  <c r="L26" i="623"/>
  <c r="L23" i="623"/>
  <c r="L24" i="623"/>
  <c r="N7" i="616"/>
  <c r="L22" i="616"/>
  <c r="AA25" i="615"/>
  <c r="AA25" i="618"/>
  <c r="AC25" i="613"/>
  <c r="N22" i="617"/>
  <c r="P7" i="617"/>
  <c r="L40" i="612"/>
  <c r="L55" i="612"/>
  <c r="L25" i="612"/>
  <c r="P7" i="612"/>
  <c r="L24" i="612"/>
  <c r="N8" i="612"/>
  <c r="N22" i="623"/>
  <c r="P7" i="623"/>
  <c r="Y25" i="620"/>
  <c r="J26" i="616"/>
  <c r="J29" i="616"/>
  <c r="J31" i="616"/>
  <c r="J27" i="616"/>
  <c r="J33" i="616"/>
  <c r="J30" i="616"/>
  <c r="J28" i="616"/>
  <c r="J32" i="616"/>
  <c r="J25" i="616"/>
  <c r="J23" i="616"/>
  <c r="J24" i="616"/>
  <c r="J33" i="615"/>
  <c r="J30" i="615"/>
  <c r="J25" i="615"/>
  <c r="J28" i="615"/>
  <c r="J29" i="615"/>
  <c r="J26" i="615"/>
  <c r="J32" i="615"/>
  <c r="J31" i="615"/>
  <c r="J27" i="615"/>
  <c r="J24" i="615"/>
  <c r="J23" i="615"/>
  <c r="Y25" i="621"/>
  <c r="J60" i="612"/>
  <c r="J59" i="612"/>
  <c r="J58" i="612"/>
  <c r="J57" i="612"/>
  <c r="J56" i="612"/>
  <c r="P7" i="613"/>
  <c r="L40" i="613"/>
  <c r="L25" i="613"/>
  <c r="L24" i="613"/>
  <c r="N8" i="613"/>
  <c r="L55" i="613"/>
  <c r="Y25" i="619"/>
  <c r="L24" i="610"/>
  <c r="L55" i="610"/>
  <c r="P7" i="610"/>
  <c r="L40" i="610"/>
  <c r="L25" i="610"/>
  <c r="N8" i="610"/>
  <c r="L22" i="615"/>
  <c r="N7" i="615"/>
  <c r="L23" i="611"/>
  <c r="AC25" i="610"/>
  <c r="L23" i="613"/>
  <c r="L31" i="619"/>
  <c r="L27" i="619"/>
  <c r="L29" i="619"/>
  <c r="L32" i="619"/>
  <c r="L33" i="619"/>
  <c r="L30" i="619"/>
  <c r="L28" i="619"/>
  <c r="L26" i="619"/>
  <c r="L25" i="619"/>
  <c r="L23" i="619"/>
  <c r="L24" i="619"/>
  <c r="J59" i="610"/>
  <c r="J58" i="610"/>
  <c r="J60" i="610"/>
  <c r="J57" i="610"/>
  <c r="J56" i="610"/>
  <c r="AC25" i="614"/>
  <c r="J66" i="613"/>
  <c r="J63" i="613"/>
  <c r="J65" i="613"/>
  <c r="J62" i="613"/>
  <c r="J64" i="613"/>
  <c r="J61" i="613"/>
  <c r="P7" i="619"/>
  <c r="N22" i="619"/>
  <c r="L23" i="610"/>
  <c r="Y12" i="623"/>
  <c r="J60" i="611"/>
  <c r="J59" i="611"/>
  <c r="J58" i="611"/>
  <c r="J56" i="611"/>
  <c r="J57" i="611"/>
  <c r="J8" i="611"/>
  <c r="N7" i="620"/>
  <c r="L22" i="620"/>
  <c r="J29" i="624"/>
  <c r="J32" i="624"/>
  <c r="J33" i="624"/>
  <c r="J30" i="624"/>
  <c r="J31" i="624"/>
  <c r="J27" i="624"/>
  <c r="J25" i="624"/>
  <c r="J28" i="624"/>
  <c r="J26" i="624"/>
  <c r="J24" i="624"/>
  <c r="J23" i="624"/>
  <c r="J62" i="611"/>
  <c r="J66" i="611"/>
  <c r="J64" i="611"/>
  <c r="J63" i="611"/>
  <c r="J61" i="611"/>
  <c r="J65" i="611"/>
  <c r="Y25" i="617"/>
  <c r="J8" i="614"/>
  <c r="L40" i="614"/>
  <c r="N8" i="614"/>
  <c r="L25" i="614"/>
  <c r="L55" i="614"/>
  <c r="P7" i="614"/>
  <c r="L24" i="614"/>
  <c r="Y25" i="622"/>
  <c r="J60" i="613"/>
  <c r="J59" i="613"/>
  <c r="J58" i="613"/>
  <c r="J57" i="613"/>
  <c r="J56" i="613"/>
  <c r="AA25" i="624"/>
  <c r="J31" i="620"/>
  <c r="J27" i="620"/>
  <c r="J29" i="620"/>
  <c r="J30" i="620"/>
  <c r="J28" i="620"/>
  <c r="J25" i="620"/>
  <c r="J26" i="620"/>
  <c r="J32" i="620"/>
  <c r="J33" i="620"/>
  <c r="J24" i="620"/>
  <c r="J23" i="620"/>
  <c r="N7" i="624"/>
  <c r="L22" i="624"/>
  <c r="J63" i="612"/>
  <c r="J61" i="612"/>
  <c r="J66" i="612"/>
  <c r="J65" i="612"/>
  <c r="J62" i="612"/>
  <c r="J64" i="612"/>
  <c r="L23" i="614"/>
  <c r="Y12" i="619"/>
  <c r="L6" i="1"/>
  <c r="X7" i="1"/>
  <c r="W7" i="1"/>
  <c r="V7" i="1"/>
  <c r="U7" i="1"/>
  <c r="T7" i="1"/>
  <c r="S7" i="1"/>
  <c r="R7" i="1"/>
  <c r="Q7" i="1"/>
  <c r="P7" i="1"/>
  <c r="O7" i="1"/>
  <c r="N7" i="1"/>
  <c r="M7" i="1"/>
  <c r="L7" i="1"/>
  <c r="G27" i="1"/>
  <c r="N9" i="611"/>
  <c r="Y36" i="620"/>
  <c r="L9" i="615"/>
  <c r="Y27" i="619"/>
  <c r="W16" i="1"/>
  <c r="L13" i="618"/>
  <c r="AE37" i="610"/>
  <c r="W13" i="1"/>
  <c r="J16" i="610"/>
  <c r="Y34" i="623"/>
  <c r="AE28" i="613"/>
  <c r="AE37" i="614"/>
  <c r="L10" i="618"/>
  <c r="AE29" i="612"/>
  <c r="N12" i="622"/>
  <c r="Y38" i="623"/>
  <c r="N18" i="612"/>
  <c r="AE37" i="611"/>
  <c r="AE35" i="614"/>
  <c r="Y28" i="616"/>
  <c r="W15" i="1"/>
  <c r="Y32" i="617"/>
  <c r="AA38" i="618"/>
  <c r="R9" i="1"/>
  <c r="N8" i="617"/>
  <c r="AA36" i="615"/>
  <c r="Y36" i="619"/>
  <c r="L14" i="624"/>
  <c r="Y30" i="623"/>
  <c r="N14" i="621"/>
  <c r="N11" i="612"/>
  <c r="J16" i="613"/>
  <c r="N14" i="623"/>
  <c r="AE35" i="610"/>
  <c r="N14" i="612"/>
  <c r="AE29" i="614"/>
  <c r="R10" i="1"/>
  <c r="N16" i="621"/>
  <c r="Y28" i="622"/>
  <c r="L12" i="620"/>
  <c r="L11" i="615"/>
  <c r="AA32" i="618"/>
  <c r="W12" i="1"/>
  <c r="J11" i="613"/>
  <c r="Y33" i="619"/>
  <c r="J15" i="611"/>
  <c r="Q11" i="1"/>
  <c r="Y33" i="621"/>
  <c r="L16" i="620"/>
  <c r="N19" i="612"/>
  <c r="L13" i="1"/>
  <c r="AA38" i="624"/>
  <c r="L10" i="620"/>
  <c r="Q16" i="1"/>
  <c r="Y34" i="620"/>
  <c r="J10" i="613"/>
  <c r="R15" i="1"/>
  <c r="AE36" i="613"/>
  <c r="J16" i="612"/>
  <c r="G21" i="1"/>
  <c r="AA36" i="624"/>
  <c r="N10" i="614"/>
  <c r="L14" i="1"/>
  <c r="J18" i="611"/>
  <c r="N16" i="612"/>
  <c r="J15" i="612"/>
  <c r="N15" i="614"/>
  <c r="W8" i="1"/>
  <c r="L8" i="620"/>
  <c r="Y33" i="622"/>
  <c r="N9" i="621"/>
  <c r="Y37" i="623"/>
  <c r="J13" i="613"/>
  <c r="N17" i="611"/>
  <c r="N16" i="613"/>
  <c r="Y38" i="616"/>
  <c r="Q13" i="1"/>
  <c r="Y38" i="617"/>
  <c r="N18" i="610"/>
  <c r="L15" i="1"/>
  <c r="Y32" i="620"/>
  <c r="AE37" i="612"/>
  <c r="R12" i="1"/>
  <c r="J19" i="614"/>
  <c r="AE32" i="610"/>
  <c r="X9" i="1"/>
  <c r="L14" i="616"/>
  <c r="AE29" i="611"/>
  <c r="N10" i="611"/>
  <c r="G18" i="1"/>
  <c r="Y36" i="623"/>
  <c r="N13" i="617"/>
  <c r="Y32" i="616"/>
  <c r="N9" i="613"/>
  <c r="AA30" i="618"/>
  <c r="L16" i="1"/>
  <c r="N15" i="623"/>
  <c r="AE37" i="613"/>
  <c r="J14" i="612"/>
  <c r="Y36" i="617"/>
  <c r="AA34" i="624"/>
  <c r="N18" i="622"/>
  <c r="Q15" i="1"/>
  <c r="N10" i="619"/>
  <c r="J16" i="611"/>
  <c r="J16" i="614"/>
  <c r="L15" i="624"/>
  <c r="J17" i="613"/>
  <c r="X15" i="1"/>
  <c r="L13" i="616"/>
  <c r="AA30" i="615"/>
  <c r="AE33" i="614"/>
  <c r="N15" i="617"/>
  <c r="L15" i="615"/>
  <c r="J11" i="614"/>
  <c r="L8" i="1"/>
  <c r="J11" i="612"/>
  <c r="L12" i="618"/>
  <c r="J13" i="611"/>
  <c r="AA33" i="624"/>
  <c r="N18" i="614"/>
  <c r="N15" i="619"/>
  <c r="Y27" i="622"/>
  <c r="N10" i="621"/>
  <c r="L8" i="616"/>
  <c r="J12" i="614"/>
  <c r="AE36" i="610"/>
  <c r="AE32" i="613"/>
  <c r="N11" i="617"/>
  <c r="N17" i="614"/>
  <c r="J18" i="613"/>
  <c r="Y28" i="617"/>
  <c r="N11" i="613"/>
  <c r="G17" i="1"/>
  <c r="N15" i="613"/>
  <c r="N16" i="622"/>
  <c r="J18" i="614"/>
  <c r="AA34" i="615"/>
  <c r="J19" i="612"/>
  <c r="N9" i="619"/>
  <c r="W14" i="1"/>
  <c r="AE32" i="611"/>
  <c r="Y27" i="623"/>
  <c r="Y36" i="622"/>
  <c r="N14" i="610"/>
  <c r="L11" i="620"/>
  <c r="R14" i="1"/>
  <c r="Y30" i="620"/>
  <c r="AE35" i="611"/>
  <c r="Y32" i="619"/>
  <c r="J14" i="610"/>
  <c r="J15" i="613"/>
  <c r="L11" i="624"/>
  <c r="J19" i="611"/>
  <c r="Y37" i="617"/>
  <c r="AA37" i="618"/>
  <c r="AA33" i="618"/>
  <c r="J19" i="610"/>
  <c r="AE35" i="613"/>
  <c r="Q12" i="1"/>
  <c r="L10" i="616"/>
  <c r="N15" i="621"/>
  <c r="N13" i="612"/>
  <c r="L12" i="1"/>
  <c r="N13" i="611"/>
  <c r="L17" i="615"/>
  <c r="N13" i="622"/>
  <c r="J9" i="610"/>
  <c r="AE33" i="613"/>
  <c r="Y37" i="621"/>
  <c r="AE28" i="612"/>
  <c r="AE36" i="614"/>
  <c r="AA37" i="624"/>
  <c r="N17" i="621"/>
  <c r="Q10" i="1"/>
  <c r="AE36" i="611"/>
  <c r="AA37" i="615"/>
  <c r="N13" i="613"/>
  <c r="AE31" i="613"/>
  <c r="N18" i="621"/>
  <c r="Y34" i="622"/>
  <c r="N12" i="617"/>
  <c r="AE28" i="610"/>
  <c r="AA27" i="618"/>
  <c r="R8" i="1"/>
  <c r="J13" i="610"/>
  <c r="N14" i="611"/>
  <c r="L13" i="620"/>
  <c r="AE27" i="612"/>
  <c r="L12" i="624"/>
  <c r="N8" i="622"/>
  <c r="N12" i="619"/>
  <c r="Y33" i="616"/>
  <c r="W10" i="1"/>
  <c r="AA30" i="624"/>
  <c r="J17" i="614"/>
  <c r="N13" i="614"/>
  <c r="AE28" i="614"/>
  <c r="Y30" i="622"/>
  <c r="L18" i="616"/>
  <c r="J15" i="614"/>
  <c r="AE33" i="611"/>
  <c r="L16" i="615"/>
  <c r="J9" i="612"/>
  <c r="Q9" i="1"/>
  <c r="L14" i="620"/>
  <c r="L16" i="616"/>
  <c r="Y33" i="617"/>
  <c r="AE36" i="612"/>
  <c r="J13" i="614"/>
  <c r="N15" i="612"/>
  <c r="L15" i="618"/>
  <c r="N9" i="610"/>
  <c r="X8" i="1"/>
  <c r="Y28" i="620"/>
  <c r="N8" i="619"/>
  <c r="Y28" i="619"/>
  <c r="N16" i="611"/>
  <c r="N10" i="610"/>
  <c r="Y27" i="616"/>
  <c r="X16" i="1"/>
  <c r="L13" i="615"/>
  <c r="J12" i="610"/>
  <c r="AE33" i="610"/>
  <c r="Y34" i="616"/>
  <c r="W11" i="1"/>
  <c r="J12" i="613"/>
  <c r="N9" i="622"/>
  <c r="L17" i="624"/>
  <c r="Y36" i="621"/>
  <c r="L10" i="624"/>
  <c r="N10" i="623"/>
  <c r="N11" i="610"/>
  <c r="AE35" i="612"/>
  <c r="Y38" i="621"/>
  <c r="N16" i="614"/>
  <c r="N11" i="623"/>
  <c r="N16" i="617"/>
  <c r="N19" i="610"/>
  <c r="N12" i="613"/>
  <c r="N11" i="611"/>
  <c r="Y37" i="622"/>
  <c r="L10" i="615"/>
  <c r="AE31" i="614"/>
  <c r="N19" i="613"/>
  <c r="N14" i="619"/>
  <c r="N9" i="623"/>
  <c r="N14" i="613"/>
  <c r="L12" i="616"/>
  <c r="Y37" i="620"/>
  <c r="AA27" i="624"/>
  <c r="N11" i="622"/>
  <c r="Y28" i="621"/>
  <c r="J12" i="611"/>
  <c r="N14" i="617"/>
  <c r="X13" i="1"/>
  <c r="L17" i="620"/>
  <c r="AA34" i="618"/>
  <c r="X12" i="1"/>
  <c r="L18" i="620"/>
  <c r="L11" i="616"/>
  <c r="J9" i="613"/>
  <c r="J13" i="612"/>
  <c r="L8" i="624"/>
  <c r="X14" i="1"/>
  <c r="L8" i="615"/>
  <c r="N18" i="617"/>
  <c r="AE27" i="610"/>
  <c r="N13" i="623"/>
  <c r="Y37" i="616"/>
  <c r="L11" i="1"/>
  <c r="AE31" i="612"/>
  <c r="Y28" i="623"/>
  <c r="L9" i="616"/>
  <c r="L14" i="615"/>
  <c r="J14" i="613"/>
  <c r="N8" i="621"/>
  <c r="L13" i="624"/>
  <c r="N18" i="623"/>
  <c r="J9" i="611"/>
  <c r="N16" i="619"/>
  <c r="J12" i="612"/>
  <c r="J18" i="610"/>
  <c r="N15" i="622"/>
  <c r="N14" i="614"/>
  <c r="J10" i="611"/>
  <c r="W9" i="1"/>
  <c r="AE29" i="613"/>
  <c r="AA33" i="615"/>
  <c r="N13" i="619"/>
  <c r="G19" i="1"/>
  <c r="L16" i="618"/>
  <c r="L18" i="624"/>
  <c r="Y32" i="621"/>
  <c r="L18" i="615"/>
  <c r="N17" i="610"/>
  <c r="N12" i="623"/>
  <c r="AA28" i="615"/>
  <c r="J14" i="614"/>
  <c r="Y32" i="622"/>
  <c r="J19" i="613"/>
  <c r="L8" i="618"/>
  <c r="N17" i="617"/>
  <c r="Y30" i="617"/>
  <c r="AE27" i="611"/>
  <c r="N12" i="611"/>
  <c r="N12" i="612"/>
  <c r="L16" i="624"/>
  <c r="L11" i="618"/>
  <c r="Q8" i="1"/>
  <c r="N15" i="610"/>
  <c r="AA28" i="618"/>
  <c r="R16" i="1"/>
  <c r="N14" i="622"/>
  <c r="AA38" i="615"/>
  <c r="N12" i="610"/>
  <c r="R13" i="1"/>
  <c r="AE32" i="612"/>
  <c r="Y38" i="622"/>
  <c r="J17" i="612"/>
  <c r="AA27" i="615"/>
  <c r="AE29" i="610"/>
  <c r="Y32" i="623"/>
  <c r="N15" i="611"/>
  <c r="L14" i="618"/>
  <c r="G20" i="1"/>
  <c r="Y33" i="620"/>
  <c r="N10" i="622"/>
  <c r="Y30" i="619"/>
  <c r="L17" i="618"/>
  <c r="J17" i="611"/>
  <c r="Y36" i="616"/>
  <c r="N11" i="614"/>
  <c r="N17" i="612"/>
  <c r="J10" i="612"/>
  <c r="N16" i="610"/>
  <c r="J18" i="612"/>
  <c r="Y37" i="619"/>
  <c r="N13" i="621"/>
  <c r="AE31" i="611"/>
  <c r="N9" i="617"/>
  <c r="Y38" i="619"/>
  <c r="L17" i="616"/>
  <c r="L10" i="1"/>
  <c r="N16" i="623"/>
  <c r="AA36" i="618"/>
  <c r="Y27" i="621"/>
  <c r="AE28" i="611"/>
  <c r="N18" i="619"/>
  <c r="AA32" i="624"/>
  <c r="Y27" i="617"/>
  <c r="N18" i="613"/>
  <c r="L9" i="1"/>
  <c r="Y27" i="620"/>
  <c r="N11" i="621"/>
  <c r="N12" i="621"/>
  <c r="L12" i="615"/>
  <c r="Y30" i="616"/>
  <c r="Y38" i="620"/>
  <c r="J15" i="610"/>
  <c r="Y34" i="619"/>
  <c r="AE31" i="610"/>
  <c r="N13" i="610"/>
  <c r="L9" i="620"/>
  <c r="Q14" i="1"/>
  <c r="J9" i="614"/>
  <c r="J17" i="610"/>
  <c r="N19" i="611"/>
  <c r="Y30" i="621"/>
  <c r="L15" i="616"/>
  <c r="N17" i="613"/>
  <c r="N9" i="612"/>
  <c r="AA32" i="615"/>
  <c r="L15" i="620"/>
  <c r="L9" i="624"/>
  <c r="Y33" i="623"/>
  <c r="AE33" i="612"/>
  <c r="N19" i="614"/>
  <c r="X11" i="1"/>
  <c r="J10" i="614"/>
  <c r="N10" i="613"/>
  <c r="X10" i="1"/>
  <c r="N10" i="617"/>
  <c r="Y34" i="617"/>
  <c r="N17" i="623"/>
  <c r="J10" i="610"/>
  <c r="N9" i="614"/>
  <c r="N8" i="623"/>
  <c r="AE32" i="614"/>
  <c r="AA28" i="624"/>
  <c r="J11" i="610"/>
  <c r="G22" i="1"/>
  <c r="N11" i="619"/>
  <c r="AE27" i="614"/>
  <c r="J14" i="611"/>
  <c r="Y34" i="621"/>
  <c r="N17" i="619"/>
  <c r="AE27" i="613"/>
  <c r="J11" i="611"/>
  <c r="N18" i="611"/>
  <c r="N12" i="614"/>
  <c r="N17" i="622"/>
  <c r="L9" i="618"/>
  <c r="R11" i="1"/>
  <c r="L18" i="618"/>
  <c r="N10" i="612"/>
  <c r="W21" i="618" l="1"/>
  <c r="Y12" i="617"/>
  <c r="W21" i="624"/>
  <c r="J35" i="612"/>
  <c r="J50" i="612" s="1"/>
  <c r="Y14" i="613"/>
  <c r="Y21" i="613" s="1"/>
  <c r="Y9" i="616"/>
  <c r="F41" i="622"/>
  <c r="F40" i="621"/>
  <c r="J31" i="611"/>
  <c r="J46" i="611" s="1"/>
  <c r="J36" i="611"/>
  <c r="J51" i="611" s="1"/>
  <c r="J29" i="614"/>
  <c r="J44" i="614" s="1"/>
  <c r="F40" i="619"/>
  <c r="Y17" i="610"/>
  <c r="Y39" i="619"/>
  <c r="J29" i="613"/>
  <c r="J44" i="613" s="1"/>
  <c r="J30" i="614"/>
  <c r="J45" i="614" s="1"/>
  <c r="F44" i="619"/>
  <c r="Y10" i="615"/>
  <c r="J29" i="610"/>
  <c r="J44" i="610" s="1"/>
  <c r="J30" i="613"/>
  <c r="J45" i="613" s="1"/>
  <c r="F38" i="623"/>
  <c r="J32" i="612"/>
  <c r="J47" i="612" s="1"/>
  <c r="F38" i="621"/>
  <c r="F45" i="619"/>
  <c r="J34" i="610"/>
  <c r="J49" i="610" s="1"/>
  <c r="J34" i="613"/>
  <c r="J49" i="613" s="1"/>
  <c r="AA10" i="623"/>
  <c r="F43" i="623"/>
  <c r="J36" i="612"/>
  <c r="J51" i="612" s="1"/>
  <c r="F40" i="617"/>
  <c r="Y17" i="613"/>
  <c r="F44" i="622"/>
  <c r="Y39" i="616"/>
  <c r="F39" i="621"/>
  <c r="J30" i="611"/>
  <c r="J45" i="611" s="1"/>
  <c r="Y39" i="622"/>
  <c r="J33" i="614"/>
  <c r="J48" i="614" s="1"/>
  <c r="Y9" i="620"/>
  <c r="F42" i="619"/>
  <c r="AA9" i="619"/>
  <c r="AE38" i="610"/>
  <c r="J26" i="610"/>
  <c r="J42" i="610" s="1"/>
  <c r="F40" i="623"/>
  <c r="AA9" i="612"/>
  <c r="J27" i="612"/>
  <c r="J41" i="612" s="1"/>
  <c r="F43" i="617"/>
  <c r="AA10" i="617"/>
  <c r="F45" i="622"/>
  <c r="F41" i="621"/>
  <c r="J26" i="611"/>
  <c r="J42" i="611" s="1"/>
  <c r="AA9" i="614"/>
  <c r="J27" i="614"/>
  <c r="J41" i="614" s="1"/>
  <c r="J35" i="614"/>
  <c r="J50" i="614" s="1"/>
  <c r="Y10" i="620"/>
  <c r="J35" i="610"/>
  <c r="J50" i="610" s="1"/>
  <c r="J35" i="613"/>
  <c r="J50" i="613" s="1"/>
  <c r="AA10" i="613"/>
  <c r="J28" i="613"/>
  <c r="J43" i="613" s="1"/>
  <c r="F41" i="623"/>
  <c r="J30" i="612"/>
  <c r="J45" i="612" s="1"/>
  <c r="AA10" i="612"/>
  <c r="J28" i="612"/>
  <c r="J43" i="612" s="1"/>
  <c r="AA39" i="618"/>
  <c r="AA9" i="622"/>
  <c r="F42" i="622"/>
  <c r="Y39" i="623"/>
  <c r="Y17" i="612"/>
  <c r="J35" i="611"/>
  <c r="J50" i="611" s="1"/>
  <c r="Y17" i="614"/>
  <c r="J36" i="613"/>
  <c r="J51" i="613" s="1"/>
  <c r="J31" i="612"/>
  <c r="J46" i="612" s="1"/>
  <c r="F45" i="617"/>
  <c r="F39" i="617"/>
  <c r="F43" i="622"/>
  <c r="AA10" i="622"/>
  <c r="AE38" i="612"/>
  <c r="F38" i="619"/>
  <c r="Y9" i="615"/>
  <c r="J36" i="610"/>
  <c r="J51" i="610" s="1"/>
  <c r="AA39" i="615"/>
  <c r="J26" i="614"/>
  <c r="J42" i="614" s="1"/>
  <c r="J34" i="612"/>
  <c r="J49" i="612" s="1"/>
  <c r="F42" i="617"/>
  <c r="AA9" i="617"/>
  <c r="Y10" i="618"/>
  <c r="Y14" i="611"/>
  <c r="Y21" i="611" s="1"/>
  <c r="Y14" i="612"/>
  <c r="Y21" i="612" s="1"/>
  <c r="AA10" i="621"/>
  <c r="F43" i="621"/>
  <c r="Y10" i="624"/>
  <c r="F41" i="619"/>
  <c r="J31" i="613"/>
  <c r="J46" i="613" s="1"/>
  <c r="AE38" i="613"/>
  <c r="J34" i="614"/>
  <c r="J49" i="614" s="1"/>
  <c r="J36" i="614"/>
  <c r="J51" i="614" s="1"/>
  <c r="AA9" i="610"/>
  <c r="J27" i="610"/>
  <c r="J41" i="610" s="1"/>
  <c r="J33" i="613"/>
  <c r="J48" i="613" s="1"/>
  <c r="F44" i="623"/>
  <c r="F44" i="617"/>
  <c r="Y10" i="616"/>
  <c r="F45" i="621"/>
  <c r="AA10" i="611"/>
  <c r="J28" i="611"/>
  <c r="J43" i="611" s="1"/>
  <c r="F39" i="619"/>
  <c r="Y14" i="614"/>
  <c r="Y21" i="614" s="1"/>
  <c r="J30" i="610"/>
  <c r="J45" i="610" s="1"/>
  <c r="J31" i="610"/>
  <c r="J46" i="610" s="1"/>
  <c r="F45" i="623"/>
  <c r="F39" i="622"/>
  <c r="Y17" i="611"/>
  <c r="AA9" i="611"/>
  <c r="J27" i="611"/>
  <c r="J41" i="611" s="1"/>
  <c r="J32" i="611"/>
  <c r="J47" i="611" s="1"/>
  <c r="AA39" i="624"/>
  <c r="J31" i="614"/>
  <c r="J46" i="614" s="1"/>
  <c r="Y39" i="617"/>
  <c r="Y14" i="610"/>
  <c r="Y21" i="610" s="1"/>
  <c r="J32" i="610"/>
  <c r="J47" i="610" s="1"/>
  <c r="J26" i="613"/>
  <c r="J42" i="613" s="1"/>
  <c r="J33" i="612"/>
  <c r="J48" i="612" s="1"/>
  <c r="F41" i="617"/>
  <c r="Y9" i="618"/>
  <c r="F42" i="621"/>
  <c r="AA9" i="621"/>
  <c r="J29" i="611"/>
  <c r="J44" i="611" s="1"/>
  <c r="Y9" i="624"/>
  <c r="J32" i="614"/>
  <c r="J47" i="614" s="1"/>
  <c r="F43" i="619"/>
  <c r="AA10" i="619"/>
  <c r="AA10" i="610"/>
  <c r="J28" i="610"/>
  <c r="J43" i="610" s="1"/>
  <c r="J33" i="610"/>
  <c r="J48" i="610" s="1"/>
  <c r="AA9" i="613"/>
  <c r="AA12" i="613" s="1"/>
  <c r="J27" i="613"/>
  <c r="J41" i="613" s="1"/>
  <c r="Y39" i="620"/>
  <c r="J26" i="612"/>
  <c r="J42" i="612" s="1"/>
  <c r="F38" i="617"/>
  <c r="F40" i="622"/>
  <c r="F44" i="621"/>
  <c r="AA10" i="614"/>
  <c r="AA12" i="614" s="1"/>
  <c r="J28" i="614"/>
  <c r="J43" i="614" s="1"/>
  <c r="AE38" i="614"/>
  <c r="J32" i="613"/>
  <c r="J47" i="613" s="1"/>
  <c r="Y39" i="621"/>
  <c r="F42" i="623"/>
  <c r="AA9" i="623"/>
  <c r="F39" i="623"/>
  <c r="J29" i="612"/>
  <c r="J44" i="612" s="1"/>
  <c r="F38" i="622"/>
  <c r="AE38" i="611"/>
  <c r="J33" i="611"/>
  <c r="J48" i="611" s="1"/>
  <c r="J34" i="611"/>
  <c r="J49" i="611" s="1"/>
  <c r="P22" i="623"/>
  <c r="N22" i="618"/>
  <c r="P7" i="618"/>
  <c r="AA25" i="611"/>
  <c r="N24" i="610"/>
  <c r="R7" i="610"/>
  <c r="P8" i="610"/>
  <c r="N25" i="610"/>
  <c r="N40" i="610"/>
  <c r="N55" i="610"/>
  <c r="W25" i="619"/>
  <c r="L32" i="624"/>
  <c r="L33" i="624"/>
  <c r="L30" i="624"/>
  <c r="L31" i="624"/>
  <c r="L27" i="624"/>
  <c r="L25" i="624"/>
  <c r="L28" i="624"/>
  <c r="L26" i="624"/>
  <c r="L29" i="624"/>
  <c r="L23" i="624"/>
  <c r="L24" i="624"/>
  <c r="N23" i="610"/>
  <c r="N23" i="611"/>
  <c r="L58" i="613"/>
  <c r="L60" i="613"/>
  <c r="L59" i="613"/>
  <c r="L57" i="613"/>
  <c r="L56" i="613"/>
  <c r="N28" i="617"/>
  <c r="N32" i="617"/>
  <c r="N33" i="617"/>
  <c r="N30" i="617"/>
  <c r="N31" i="617"/>
  <c r="N27" i="617"/>
  <c r="N25" i="617"/>
  <c r="N29" i="617"/>
  <c r="N26" i="617"/>
  <c r="N23" i="617"/>
  <c r="N24" i="617"/>
  <c r="N26" i="622"/>
  <c r="N31" i="622"/>
  <c r="N30" i="622"/>
  <c r="N33" i="622"/>
  <c r="N29" i="622"/>
  <c r="N25" i="622"/>
  <c r="N32" i="622"/>
  <c r="N28" i="622"/>
  <c r="N27" i="622"/>
  <c r="N23" i="622"/>
  <c r="N24" i="622"/>
  <c r="L60" i="614"/>
  <c r="L59" i="614"/>
  <c r="L58" i="614"/>
  <c r="L56" i="614"/>
  <c r="L57" i="614"/>
  <c r="P7" i="624"/>
  <c r="N22" i="624"/>
  <c r="N22" i="620"/>
  <c r="P7" i="620"/>
  <c r="N25" i="612"/>
  <c r="R7" i="612"/>
  <c r="P8" i="612"/>
  <c r="N55" i="612"/>
  <c r="N40" i="612"/>
  <c r="N24" i="612"/>
  <c r="W25" i="616"/>
  <c r="AA12" i="611"/>
  <c r="Y15" i="619"/>
  <c r="AA14" i="619" s="1"/>
  <c r="AA8" i="619"/>
  <c r="W25" i="622"/>
  <c r="L26" i="615"/>
  <c r="L29" i="615"/>
  <c r="L31" i="615"/>
  <c r="L27" i="615"/>
  <c r="L33" i="615"/>
  <c r="L32" i="615"/>
  <c r="L25" i="615"/>
  <c r="L28" i="615"/>
  <c r="L30" i="615"/>
  <c r="L23" i="615"/>
  <c r="L24" i="615"/>
  <c r="L64" i="613"/>
  <c r="L61" i="613"/>
  <c r="L66" i="613"/>
  <c r="L63" i="613"/>
  <c r="L65" i="613"/>
  <c r="L62" i="613"/>
  <c r="L66" i="612"/>
  <c r="L63" i="612"/>
  <c r="L62" i="612"/>
  <c r="L65" i="612"/>
  <c r="L61" i="612"/>
  <c r="L64" i="612"/>
  <c r="AA8" i="621"/>
  <c r="Y15" i="621"/>
  <c r="AA14" i="621" s="1"/>
  <c r="Y20" i="623"/>
  <c r="Y20" i="619"/>
  <c r="AA8" i="617"/>
  <c r="AA12" i="617" s="1"/>
  <c r="Y15" i="617"/>
  <c r="AA14" i="617" s="1"/>
  <c r="N25" i="619"/>
  <c r="N32" i="619"/>
  <c r="N26" i="619"/>
  <c r="N29" i="619"/>
  <c r="N33" i="619"/>
  <c r="N28" i="619"/>
  <c r="N27" i="619"/>
  <c r="N31" i="619"/>
  <c r="N30" i="619"/>
  <c r="N23" i="619"/>
  <c r="N24" i="619"/>
  <c r="Y25" i="618"/>
  <c r="W25" i="623"/>
  <c r="P22" i="621"/>
  <c r="AA12" i="612"/>
  <c r="Y20" i="617"/>
  <c r="Y12" i="616"/>
  <c r="W21" i="616"/>
  <c r="P8" i="613"/>
  <c r="N55" i="613"/>
  <c r="N25" i="613"/>
  <c r="N24" i="613"/>
  <c r="R7" i="613"/>
  <c r="N40" i="613"/>
  <c r="N32" i="623"/>
  <c r="N33" i="623"/>
  <c r="N30" i="623"/>
  <c r="N31" i="623"/>
  <c r="N27" i="623"/>
  <c r="N25" i="623"/>
  <c r="N28" i="623"/>
  <c r="N26" i="623"/>
  <c r="N29" i="623"/>
  <c r="N24" i="623"/>
  <c r="N23" i="623"/>
  <c r="Y25" i="615"/>
  <c r="P7" i="615"/>
  <c r="N22" i="615"/>
  <c r="N23" i="612"/>
  <c r="N40" i="611"/>
  <c r="R7" i="611"/>
  <c r="N55" i="611"/>
  <c r="N24" i="611"/>
  <c r="P8" i="611"/>
  <c r="N25" i="611"/>
  <c r="Y20" i="621"/>
  <c r="L32" i="620"/>
  <c r="L25" i="620"/>
  <c r="L33" i="620"/>
  <c r="L30" i="620"/>
  <c r="L29" i="620"/>
  <c r="L26" i="620"/>
  <c r="L27" i="620"/>
  <c r="L31" i="620"/>
  <c r="L28" i="620"/>
  <c r="L24" i="620"/>
  <c r="L23" i="620"/>
  <c r="N40" i="614"/>
  <c r="N25" i="614"/>
  <c r="N55" i="614"/>
  <c r="R7" i="614"/>
  <c r="N24" i="614"/>
  <c r="P8" i="614"/>
  <c r="Y15" i="622"/>
  <c r="AA14" i="622" s="1"/>
  <c r="AA8" i="622"/>
  <c r="AA12" i="622" s="1"/>
  <c r="L60" i="610"/>
  <c r="L58" i="610"/>
  <c r="L59" i="610"/>
  <c r="L57" i="610"/>
  <c r="L56" i="610"/>
  <c r="N23" i="614"/>
  <c r="P22" i="622"/>
  <c r="L60" i="612"/>
  <c r="L59" i="612"/>
  <c r="L58" i="612"/>
  <c r="L57" i="612"/>
  <c r="L56" i="612"/>
  <c r="P22" i="617"/>
  <c r="AA25" i="613"/>
  <c r="L33" i="616"/>
  <c r="L28" i="616"/>
  <c r="L32" i="616"/>
  <c r="L25" i="616"/>
  <c r="L26" i="616"/>
  <c r="L30" i="616"/>
  <c r="L27" i="616"/>
  <c r="L31" i="616"/>
  <c r="L29" i="616"/>
  <c r="L23" i="616"/>
  <c r="L24" i="616"/>
  <c r="N33" i="621"/>
  <c r="N30" i="621"/>
  <c r="N25" i="621"/>
  <c r="N28" i="621"/>
  <c r="N26" i="621"/>
  <c r="N31" i="621"/>
  <c r="N27" i="621"/>
  <c r="N29" i="621"/>
  <c r="N32" i="621"/>
  <c r="N24" i="621"/>
  <c r="N23" i="621"/>
  <c r="L66" i="614"/>
  <c r="L63" i="614"/>
  <c r="L65" i="614"/>
  <c r="L62" i="614"/>
  <c r="L64" i="614"/>
  <c r="L61" i="614"/>
  <c r="Y25" i="624"/>
  <c r="W25" i="617"/>
  <c r="Y15" i="623"/>
  <c r="AA14" i="623" s="1"/>
  <c r="AA8" i="623"/>
  <c r="AA12" i="623" s="1"/>
  <c r="P22" i="619"/>
  <c r="AA25" i="614"/>
  <c r="P7" i="616"/>
  <c r="N22" i="616"/>
  <c r="L63" i="611"/>
  <c r="L62" i="611"/>
  <c r="L66" i="611"/>
  <c r="L65" i="611"/>
  <c r="L64" i="611"/>
  <c r="L61" i="611"/>
  <c r="N23" i="613"/>
  <c r="W25" i="620"/>
  <c r="L29" i="618"/>
  <c r="L33" i="618"/>
  <c r="L30" i="618"/>
  <c r="L28" i="618"/>
  <c r="L32" i="618"/>
  <c r="L25" i="618"/>
  <c r="L27" i="618"/>
  <c r="L31" i="618"/>
  <c r="L26" i="618"/>
  <c r="L24" i="618"/>
  <c r="L23" i="618"/>
  <c r="L58" i="611"/>
  <c r="L60" i="611"/>
  <c r="L59" i="611"/>
  <c r="L57" i="611"/>
  <c r="L56" i="611"/>
  <c r="Y20" i="622"/>
  <c r="AA25" i="610"/>
  <c r="L65" i="610"/>
  <c r="L64" i="610"/>
  <c r="L61" i="610"/>
  <c r="L66" i="610"/>
  <c r="L63" i="610"/>
  <c r="L62" i="610"/>
  <c r="W25" i="621"/>
  <c r="AA25" i="612"/>
  <c r="L32" i="1"/>
  <c r="L31" i="1"/>
  <c r="L30" i="1"/>
  <c r="L29" i="1"/>
  <c r="T32" i="1"/>
  <c r="T31" i="1"/>
  <c r="T29" i="1"/>
  <c r="T30" i="1"/>
  <c r="X32" i="1"/>
  <c r="X31" i="1"/>
  <c r="X30" i="1"/>
  <c r="X29" i="1"/>
  <c r="Q32" i="1"/>
  <c r="Q31" i="1"/>
  <c r="Q30" i="1"/>
  <c r="Q29" i="1"/>
  <c r="U32" i="1"/>
  <c r="U31" i="1"/>
  <c r="U30" i="1"/>
  <c r="U29" i="1"/>
  <c r="W32" i="1"/>
  <c r="W31" i="1"/>
  <c r="W30" i="1"/>
  <c r="W29" i="1"/>
  <c r="R32" i="1"/>
  <c r="R31" i="1"/>
  <c r="R30" i="1"/>
  <c r="R29" i="1"/>
  <c r="AA27" i="1"/>
  <c r="M27" i="1"/>
  <c r="S27" i="1"/>
  <c r="Y27" i="1"/>
  <c r="Z27" i="1"/>
  <c r="P27" i="1"/>
  <c r="V27" i="1"/>
  <c r="AC37" i="610"/>
  <c r="N11" i="624"/>
  <c r="AC36" i="612"/>
  <c r="H8" i="1"/>
  <c r="P14" i="614"/>
  <c r="P18" i="614"/>
  <c r="AC31" i="610"/>
  <c r="N17" i="620"/>
  <c r="P9" i="617"/>
  <c r="P15" i="617"/>
  <c r="Z21" i="1"/>
  <c r="P11" i="611"/>
  <c r="P11" i="613"/>
  <c r="P16" i="621"/>
  <c r="P16" i="613"/>
  <c r="F14" i="28"/>
  <c r="Y34" i="624"/>
  <c r="N16" i="620"/>
  <c r="Y27" i="624"/>
  <c r="O14" i="1"/>
  <c r="P12" i="622"/>
  <c r="W27" i="623"/>
  <c r="N12" i="618"/>
  <c r="P9" i="619"/>
  <c r="P19" i="612"/>
  <c r="W28" i="620"/>
  <c r="Y28" i="618"/>
  <c r="P14" i="611"/>
  <c r="V22" i="1"/>
  <c r="P15" i="623"/>
  <c r="N9" i="615"/>
  <c r="N18" i="618"/>
  <c r="P10" i="612"/>
  <c r="W34" i="621"/>
  <c r="N8" i="615"/>
  <c r="M19" i="1"/>
  <c r="P9" i="612"/>
  <c r="P19" i="613"/>
  <c r="AC29" i="611"/>
  <c r="N13" i="615"/>
  <c r="AC35" i="612"/>
  <c r="Z22" i="1"/>
  <c r="P14" i="621"/>
  <c r="W32" i="623"/>
  <c r="W37" i="617"/>
  <c r="N8" i="624"/>
  <c r="AA18" i="1"/>
  <c r="Y37" i="624"/>
  <c r="P12" i="610"/>
  <c r="P9" i="614"/>
  <c r="N8" i="618"/>
  <c r="Z19" i="1"/>
  <c r="P18" i="621"/>
  <c r="W37" i="619"/>
  <c r="W32" i="617"/>
  <c r="N14" i="620"/>
  <c r="P11" i="621"/>
  <c r="P12" i="617"/>
  <c r="P14" i="617"/>
  <c r="N9" i="616"/>
  <c r="AC27" i="610"/>
  <c r="AC37" i="612"/>
  <c r="N15" i="624"/>
  <c r="AA19" i="1"/>
  <c r="P15" i="622"/>
  <c r="W33" i="619"/>
  <c r="W36" i="623"/>
  <c r="N12" i="620"/>
  <c r="W32" i="616"/>
  <c r="P19" i="610"/>
  <c r="M18" i="1"/>
  <c r="P12" i="613"/>
  <c r="N18" i="624"/>
  <c r="N11" i="615"/>
  <c r="P15" i="612"/>
  <c r="W34" i="616"/>
  <c r="P18" i="619"/>
  <c r="P12" i="621"/>
  <c r="W36" i="616"/>
  <c r="N10" i="616"/>
  <c r="P12" i="614"/>
  <c r="AC36" i="610"/>
  <c r="N13" i="620"/>
  <c r="AC35" i="611"/>
  <c r="Y32" i="618"/>
  <c r="W33" i="622"/>
  <c r="Y19" i="1"/>
  <c r="N13" i="618"/>
  <c r="W34" i="617"/>
  <c r="N10" i="620"/>
  <c r="P8" i="617"/>
  <c r="P10" i="623"/>
  <c r="N13" i="624"/>
  <c r="P16" i="610"/>
  <c r="W34" i="620"/>
  <c r="P12" i="619"/>
  <c r="Y33" i="615"/>
  <c r="V18" i="1"/>
  <c r="N17" i="615"/>
  <c r="Y27" i="615"/>
  <c r="P9" i="622"/>
  <c r="F14" i="51"/>
  <c r="Y38" i="624"/>
  <c r="P16" i="619"/>
  <c r="AC32" i="610"/>
  <c r="N12" i="615"/>
  <c r="W37" i="620"/>
  <c r="N14" i="618"/>
  <c r="P18" i="611"/>
  <c r="P18" i="612"/>
  <c r="W34" i="622"/>
  <c r="V21" i="1"/>
  <c r="P14" i="610"/>
  <c r="P17" i="623"/>
  <c r="Z18" i="1"/>
  <c r="AC27" i="611"/>
  <c r="P11" i="623"/>
  <c r="W32" i="620"/>
  <c r="W37" i="623"/>
  <c r="AC37" i="613"/>
  <c r="W36" i="621"/>
  <c r="N8" i="616"/>
  <c r="P17" i="614"/>
  <c r="P17" i="610"/>
  <c r="P13" i="619"/>
  <c r="P18" i="1"/>
  <c r="W30" i="617"/>
  <c r="P17" i="613"/>
  <c r="AC31" i="612"/>
  <c r="N9" i="624"/>
  <c r="S17" i="1"/>
  <c r="P10" i="619"/>
  <c r="P15" i="613"/>
  <c r="W30" i="621"/>
  <c r="AC32" i="612"/>
  <c r="AC29" i="614"/>
  <c r="P18" i="617"/>
  <c r="W36" i="619"/>
  <c r="P13" i="613"/>
  <c r="P14" i="622"/>
  <c r="N14" i="1"/>
  <c r="W38" i="617"/>
  <c r="W34" i="619"/>
  <c r="O15" i="1"/>
  <c r="N17" i="624"/>
  <c r="W33" i="620"/>
  <c r="AC27" i="614"/>
  <c r="P17" i="622"/>
  <c r="AC33" i="611"/>
  <c r="P8" i="621"/>
  <c r="P8" i="623"/>
  <c r="N18" i="616"/>
  <c r="AA20" i="1"/>
  <c r="N11" i="618"/>
  <c r="AC28" i="612"/>
  <c r="N15" i="616"/>
  <c r="S18" i="1"/>
  <c r="N10" i="615"/>
  <c r="N13" i="1"/>
  <c r="P18" i="622"/>
  <c r="M22" i="1"/>
  <c r="Y21" i="1"/>
  <c r="W32" i="621"/>
  <c r="AC28" i="613"/>
  <c r="N18" i="615"/>
  <c r="P19" i="611"/>
  <c r="P15" i="611"/>
  <c r="N15" i="620"/>
  <c r="AC27" i="613"/>
  <c r="S21" i="1"/>
  <c r="W37" i="622"/>
  <c r="Y30" i="618"/>
  <c r="P11" i="612"/>
  <c r="N9" i="620"/>
  <c r="W36" i="620"/>
  <c r="Y36" i="618"/>
  <c r="P17" i="621"/>
  <c r="P17" i="1"/>
  <c r="P10" i="614"/>
  <c r="W30" i="619"/>
  <c r="W30" i="616"/>
  <c r="N17" i="618"/>
  <c r="Y18" i="1"/>
  <c r="N11" i="616"/>
  <c r="W27" i="617"/>
  <c r="Z20" i="1"/>
  <c r="P18" i="610"/>
  <c r="AC33" i="614"/>
  <c r="W38" i="622"/>
  <c r="P11" i="610"/>
  <c r="V17" i="1"/>
  <c r="P9" i="610"/>
  <c r="AC35" i="614"/>
  <c r="M17" i="1"/>
  <c r="Y28" i="624"/>
  <c r="N10" i="624"/>
  <c r="Y34" i="615"/>
  <c r="P17" i="611"/>
  <c r="H12" i="1"/>
  <c r="P18" i="623"/>
  <c r="W34" i="623"/>
  <c r="W38" i="621"/>
  <c r="P11" i="617"/>
  <c r="P16" i="617"/>
  <c r="N13" i="616"/>
  <c r="N12" i="624"/>
  <c r="Y20" i="1"/>
  <c r="W36" i="617"/>
  <c r="P9" i="611"/>
  <c r="Y30" i="615"/>
  <c r="P15" i="619"/>
  <c r="AC29" i="612"/>
  <c r="P12" i="611"/>
  <c r="W38" i="620"/>
  <c r="P15" i="621"/>
  <c r="P13" i="612"/>
  <c r="AC36" i="613"/>
  <c r="P10" i="622"/>
  <c r="AC33" i="612"/>
  <c r="P19" i="1"/>
  <c r="P13" i="610"/>
  <c r="P9" i="623"/>
  <c r="Y30" i="624"/>
  <c r="P16" i="614"/>
  <c r="W30" i="623"/>
  <c r="N16" i="616"/>
  <c r="N15" i="615"/>
  <c r="W37" i="616"/>
  <c r="P14" i="612"/>
  <c r="AA17" i="1"/>
  <c r="P16" i="612"/>
  <c r="W32" i="619"/>
  <c r="P17" i="617"/>
  <c r="AC32" i="611"/>
  <c r="H9" i="1"/>
  <c r="P12" i="612"/>
  <c r="P13" i="622"/>
  <c r="W27" i="616"/>
  <c r="AC32" i="614"/>
  <c r="M21" i="1"/>
  <c r="W38" i="623"/>
  <c r="AC31" i="611"/>
  <c r="AC37" i="614"/>
  <c r="P13" i="621"/>
  <c r="W30" i="620"/>
  <c r="AC36" i="611"/>
  <c r="W36" i="622"/>
  <c r="W28" i="621"/>
  <c r="P14" i="613"/>
  <c r="H13" i="1"/>
  <c r="Y36" i="624"/>
  <c r="AC35" i="610"/>
  <c r="P14" i="623"/>
  <c r="P16" i="622"/>
  <c r="S19" i="1"/>
  <c r="P13" i="617"/>
  <c r="Z17" i="1"/>
  <c r="N16" i="615"/>
  <c r="P16" i="623"/>
  <c r="Y22" i="1"/>
  <c r="W28" i="617"/>
  <c r="P17" i="612"/>
  <c r="Y38" i="618"/>
  <c r="H10" i="1"/>
  <c r="W27" i="619"/>
  <c r="P10" i="613"/>
  <c r="Y32" i="615"/>
  <c r="P19" i="614"/>
  <c r="H14" i="1"/>
  <c r="AC29" i="613"/>
  <c r="AC35" i="613"/>
  <c r="W33" i="621"/>
  <c r="AC28" i="610"/>
  <c r="P8" i="619"/>
  <c r="Y34" i="618"/>
  <c r="P13" i="614"/>
  <c r="W33" i="616"/>
  <c r="N15" i="618"/>
  <c r="P22" i="1"/>
  <c r="AC28" i="611"/>
  <c r="P8" i="622"/>
  <c r="N14" i="624"/>
  <c r="H11" i="1"/>
  <c r="N9" i="618"/>
  <c r="AC31" i="613"/>
  <c r="S22" i="1"/>
  <c r="W33" i="617"/>
  <c r="P10" i="621"/>
  <c r="AC29" i="610"/>
  <c r="N16" i="1"/>
  <c r="Y33" i="624"/>
  <c r="Y32" i="624"/>
  <c r="P18" i="613"/>
  <c r="N16" i="618"/>
  <c r="Y27" i="618"/>
  <c r="W30" i="622"/>
  <c r="P10" i="610"/>
  <c r="N10" i="618"/>
  <c r="W27" i="620"/>
  <c r="AC33" i="613"/>
  <c r="AC37" i="611"/>
  <c r="V20" i="1"/>
  <c r="AC27" i="612"/>
  <c r="AC36" i="614"/>
  <c r="P15" i="610"/>
  <c r="P20" i="1"/>
  <c r="AC28" i="614"/>
  <c r="P9" i="613"/>
  <c r="W28" i="616"/>
  <c r="P12" i="623"/>
  <c r="M20" i="1"/>
  <c r="P13" i="623"/>
  <c r="N8" i="620"/>
  <c r="Y36" i="615"/>
  <c r="N12" i="616"/>
  <c r="Y17" i="1"/>
  <c r="W28" i="619"/>
  <c r="Y38" i="615"/>
  <c r="P15" i="614"/>
  <c r="V43" i="51"/>
  <c r="W38" i="616"/>
  <c r="N18" i="620"/>
  <c r="S20" i="1"/>
  <c r="AC31" i="614"/>
  <c r="N14" i="615"/>
  <c r="P17" i="619"/>
  <c r="Y37" i="615"/>
  <c r="P9" i="621"/>
  <c r="P11" i="622"/>
  <c r="N14" i="616"/>
  <c r="W27" i="621"/>
  <c r="P11" i="619"/>
  <c r="P13" i="611"/>
  <c r="W28" i="623"/>
  <c r="AC33" i="610"/>
  <c r="W37" i="621"/>
  <c r="P11" i="614"/>
  <c r="P16" i="611"/>
  <c r="Y33" i="618"/>
  <c r="W27" i="622"/>
  <c r="V19" i="1"/>
  <c r="P10" i="611"/>
  <c r="W38" i="619"/>
  <c r="Y28" i="615"/>
  <c r="AC32" i="613"/>
  <c r="P21" i="1"/>
  <c r="W33" i="623"/>
  <c r="N16" i="624"/>
  <c r="N11" i="620"/>
  <c r="W28" i="622"/>
  <c r="AA22" i="1"/>
  <c r="N17" i="616"/>
  <c r="P14" i="619"/>
  <c r="Y37" i="618"/>
  <c r="W32" i="622"/>
  <c r="H16" i="1"/>
  <c r="P10" i="617"/>
  <c r="H15" i="1"/>
  <c r="AA21" i="1"/>
  <c r="Y21" i="621" l="1"/>
  <c r="AA12" i="621"/>
  <c r="AA12" i="610"/>
  <c r="Y12" i="624"/>
  <c r="Y21" i="623"/>
  <c r="Y12" i="618"/>
  <c r="AA12" i="619"/>
  <c r="Y21" i="619"/>
  <c r="F44" i="614"/>
  <c r="AC10" i="614"/>
  <c r="L28" i="614"/>
  <c r="L43" i="614" s="1"/>
  <c r="L34" i="614"/>
  <c r="L49" i="614" s="1"/>
  <c r="L30" i="611"/>
  <c r="L45" i="611" s="1"/>
  <c r="F45" i="615"/>
  <c r="AC9" i="621"/>
  <c r="W39" i="620"/>
  <c r="L29" i="614"/>
  <c r="L44" i="614" s="1"/>
  <c r="F39" i="611"/>
  <c r="L26" i="611"/>
  <c r="L42" i="611" s="1"/>
  <c r="F43" i="615"/>
  <c r="AA10" i="615"/>
  <c r="L34" i="613"/>
  <c r="L49" i="613" s="1"/>
  <c r="F41" i="612"/>
  <c r="L32" i="612"/>
  <c r="L47" i="612" s="1"/>
  <c r="L34" i="612"/>
  <c r="L49" i="612" s="1"/>
  <c r="F43" i="620"/>
  <c r="AA10" i="620"/>
  <c r="F45" i="624"/>
  <c r="W39" i="619"/>
  <c r="F42" i="611"/>
  <c r="L35" i="611"/>
  <c r="L50" i="611" s="1"/>
  <c r="F42" i="615"/>
  <c r="AA9" i="615"/>
  <c r="F41" i="613"/>
  <c r="L32" i="613"/>
  <c r="L47" i="613" s="1"/>
  <c r="F39" i="613"/>
  <c r="L26" i="613"/>
  <c r="L42" i="613" s="1"/>
  <c r="L29" i="612"/>
  <c r="L44" i="612" s="1"/>
  <c r="F43" i="624"/>
  <c r="AA10" i="624"/>
  <c r="L29" i="610"/>
  <c r="L44" i="610" s="1"/>
  <c r="F44" i="618"/>
  <c r="F42" i="614"/>
  <c r="L35" i="614"/>
  <c r="L50" i="614" s="1"/>
  <c r="F41" i="611"/>
  <c r="L32" i="611"/>
  <c r="L47" i="611" s="1"/>
  <c r="F44" i="613"/>
  <c r="AC10" i="613"/>
  <c r="L28" i="613"/>
  <c r="L43" i="613" s="1"/>
  <c r="F42" i="613"/>
  <c r="L35" i="613"/>
  <c r="L50" i="613" s="1"/>
  <c r="L30" i="612"/>
  <c r="L45" i="612" s="1"/>
  <c r="AC10" i="610"/>
  <c r="F44" i="610"/>
  <c r="L28" i="610"/>
  <c r="L43" i="610" s="1"/>
  <c r="AC38" i="613"/>
  <c r="AC38" i="610"/>
  <c r="F46" i="613"/>
  <c r="L36" i="613"/>
  <c r="L51" i="613" s="1"/>
  <c r="F43" i="612"/>
  <c r="AC9" i="612"/>
  <c r="L27" i="612"/>
  <c r="L41" i="612" s="1"/>
  <c r="F38" i="620"/>
  <c r="F39" i="624"/>
  <c r="F42" i="610"/>
  <c r="L35" i="610"/>
  <c r="L50" i="610" s="1"/>
  <c r="L30" i="610"/>
  <c r="L45" i="610" s="1"/>
  <c r="AC38" i="611"/>
  <c r="AC10" i="623"/>
  <c r="F40" i="616"/>
  <c r="AC9" i="617"/>
  <c r="L30" i="614"/>
  <c r="L45" i="614" s="1"/>
  <c r="F45" i="611"/>
  <c r="L31" i="611"/>
  <c r="L46" i="611" s="1"/>
  <c r="W39" i="622"/>
  <c r="F41" i="620"/>
  <c r="AA9" i="624"/>
  <c r="F42" i="624"/>
  <c r="F41" i="610"/>
  <c r="L32" i="610"/>
  <c r="L47" i="610" s="1"/>
  <c r="L34" i="610"/>
  <c r="L49" i="610" s="1"/>
  <c r="F38" i="618"/>
  <c r="AC10" i="617"/>
  <c r="F41" i="614"/>
  <c r="L32" i="614"/>
  <c r="L47" i="614" s="1"/>
  <c r="AC9" i="622"/>
  <c r="F46" i="614"/>
  <c r="L36" i="614"/>
  <c r="L51" i="614" s="1"/>
  <c r="F40" i="611"/>
  <c r="L33" i="611"/>
  <c r="L48" i="611" s="1"/>
  <c r="L34" i="611"/>
  <c r="L49" i="611" s="1"/>
  <c r="F40" i="613"/>
  <c r="L33" i="613"/>
  <c r="L48" i="613" s="1"/>
  <c r="F45" i="612"/>
  <c r="L31" i="612"/>
  <c r="L46" i="612" s="1"/>
  <c r="F45" i="620"/>
  <c r="F40" i="624"/>
  <c r="F46" i="610"/>
  <c r="L36" i="610"/>
  <c r="L51" i="610" s="1"/>
  <c r="F39" i="618"/>
  <c r="F41" i="618"/>
  <c r="F43" i="616"/>
  <c r="AA10" i="616"/>
  <c r="F38" i="615"/>
  <c r="F45" i="613"/>
  <c r="L31" i="613"/>
  <c r="L46" i="613" s="1"/>
  <c r="F42" i="616"/>
  <c r="AA9" i="616"/>
  <c r="F38" i="616"/>
  <c r="AC10" i="622"/>
  <c r="F40" i="614"/>
  <c r="L33" i="614"/>
  <c r="L48" i="614" s="1"/>
  <c r="L29" i="611"/>
  <c r="L44" i="611" s="1"/>
  <c r="F46" i="612"/>
  <c r="L36" i="612"/>
  <c r="L51" i="612" s="1"/>
  <c r="AA9" i="620"/>
  <c r="F42" i="620"/>
  <c r="F38" i="624"/>
  <c r="F40" i="610"/>
  <c r="L33" i="610"/>
  <c r="L48" i="610" s="1"/>
  <c r="F43" i="618"/>
  <c r="AA10" i="618"/>
  <c r="F45" i="616"/>
  <c r="F41" i="616"/>
  <c r="W39" i="617"/>
  <c r="F43" i="614"/>
  <c r="AC9" i="614"/>
  <c r="L27" i="614"/>
  <c r="L41" i="614" s="1"/>
  <c r="AC9" i="611"/>
  <c r="F43" i="611"/>
  <c r="L27" i="611"/>
  <c r="L41" i="611" s="1"/>
  <c r="F41" i="615"/>
  <c r="AC9" i="613"/>
  <c r="F43" i="613"/>
  <c r="L27" i="613"/>
  <c r="L41" i="613" s="1"/>
  <c r="F40" i="612"/>
  <c r="L33" i="612"/>
  <c r="L48" i="612" s="1"/>
  <c r="F44" i="620"/>
  <c r="F41" i="624"/>
  <c r="F45" i="610"/>
  <c r="L31" i="610"/>
  <c r="L46" i="610" s="1"/>
  <c r="F40" i="618"/>
  <c r="AC10" i="619"/>
  <c r="Y39" i="624"/>
  <c r="F45" i="614"/>
  <c r="L31" i="614"/>
  <c r="L46" i="614" s="1"/>
  <c r="F46" i="611"/>
  <c r="L36" i="611"/>
  <c r="L51" i="611" s="1"/>
  <c r="F44" i="611"/>
  <c r="AC10" i="611"/>
  <c r="L28" i="611"/>
  <c r="L43" i="611" s="1"/>
  <c r="F39" i="615"/>
  <c r="L29" i="613"/>
  <c r="L44" i="613" s="1"/>
  <c r="W39" i="623"/>
  <c r="F39" i="612"/>
  <c r="L26" i="612"/>
  <c r="L42" i="612" s="1"/>
  <c r="F45" i="618"/>
  <c r="AC38" i="612"/>
  <c r="F44" i="616"/>
  <c r="F44" i="615"/>
  <c r="F40" i="615"/>
  <c r="L30" i="613"/>
  <c r="L45" i="613" s="1"/>
  <c r="AC10" i="621"/>
  <c r="Y39" i="618"/>
  <c r="F42" i="612"/>
  <c r="L35" i="612"/>
  <c r="L50" i="612" s="1"/>
  <c r="AC9" i="623"/>
  <c r="F39" i="614"/>
  <c r="L26" i="614"/>
  <c r="L42" i="614" s="1"/>
  <c r="Y39" i="615"/>
  <c r="W39" i="616"/>
  <c r="F39" i="620"/>
  <c r="F39" i="610"/>
  <c r="L26" i="610"/>
  <c r="L42" i="610" s="1"/>
  <c r="F42" i="618"/>
  <c r="AA9" i="618"/>
  <c r="W39" i="621"/>
  <c r="F39" i="616"/>
  <c r="AC38" i="614"/>
  <c r="AC9" i="619"/>
  <c r="F44" i="612"/>
  <c r="AC10" i="612"/>
  <c r="L28" i="612"/>
  <c r="L43" i="612" s="1"/>
  <c r="F40" i="620"/>
  <c r="F44" i="624"/>
  <c r="F43" i="610"/>
  <c r="AC9" i="610"/>
  <c r="L27" i="610"/>
  <c r="L41" i="610" s="1"/>
  <c r="Y15" i="618"/>
  <c r="AA14" i="618" s="1"/>
  <c r="AA8" i="618"/>
  <c r="P22" i="616"/>
  <c r="P28" i="622"/>
  <c r="P31" i="622"/>
  <c r="P33" i="622"/>
  <c r="P29" i="622"/>
  <c r="P25" i="622"/>
  <c r="P26" i="622"/>
  <c r="P30" i="622"/>
  <c r="P32" i="622"/>
  <c r="P27" i="622"/>
  <c r="P24" i="622"/>
  <c r="P23" i="622"/>
  <c r="T7" i="613"/>
  <c r="P24" i="613"/>
  <c r="P55" i="613"/>
  <c r="R8" i="613"/>
  <c r="P25" i="613"/>
  <c r="P40" i="613"/>
  <c r="Y25" i="614"/>
  <c r="P26" i="617"/>
  <c r="P31" i="617"/>
  <c r="P27" i="617"/>
  <c r="P29" i="617"/>
  <c r="P30" i="617"/>
  <c r="P28" i="617"/>
  <c r="P25" i="617"/>
  <c r="P32" i="617"/>
  <c r="P33" i="617"/>
  <c r="P24" i="617"/>
  <c r="P23" i="617"/>
  <c r="N58" i="614"/>
  <c r="N60" i="614"/>
  <c r="N59" i="614"/>
  <c r="N56" i="614"/>
  <c r="N57" i="614"/>
  <c r="P40" i="610"/>
  <c r="P55" i="610"/>
  <c r="P25" i="610"/>
  <c r="R8" i="610"/>
  <c r="P24" i="610"/>
  <c r="T7" i="610"/>
  <c r="AA20" i="623"/>
  <c r="Y20" i="618"/>
  <c r="AA20" i="614"/>
  <c r="N64" i="612"/>
  <c r="N61" i="612"/>
  <c r="N66" i="612"/>
  <c r="N63" i="612"/>
  <c r="N65" i="612"/>
  <c r="N62" i="612"/>
  <c r="P33" i="623"/>
  <c r="P30" i="623"/>
  <c r="P31" i="623"/>
  <c r="P27" i="623"/>
  <c r="P25" i="623"/>
  <c r="P28" i="623"/>
  <c r="P26" i="623"/>
  <c r="P29" i="623"/>
  <c r="P32" i="623"/>
  <c r="P23" i="623"/>
  <c r="P24" i="623"/>
  <c r="AA20" i="613"/>
  <c r="Y12" i="620"/>
  <c r="Y20" i="620" s="1"/>
  <c r="N64" i="614"/>
  <c r="N61" i="614"/>
  <c r="N66" i="614"/>
  <c r="N63" i="614"/>
  <c r="N65" i="614"/>
  <c r="N62" i="614"/>
  <c r="P23" i="612"/>
  <c r="N28" i="615"/>
  <c r="N32" i="615"/>
  <c r="N26" i="615"/>
  <c r="N30" i="615"/>
  <c r="N25" i="615"/>
  <c r="N33" i="615"/>
  <c r="N27" i="615"/>
  <c r="N31" i="615"/>
  <c r="N29" i="615"/>
  <c r="N23" i="615"/>
  <c r="N24" i="615"/>
  <c r="N58" i="612"/>
  <c r="N60" i="612"/>
  <c r="N59" i="612"/>
  <c r="N56" i="612"/>
  <c r="N57" i="612"/>
  <c r="N60" i="610"/>
  <c r="N59" i="610"/>
  <c r="N58" i="610"/>
  <c r="N57" i="610"/>
  <c r="N56" i="610"/>
  <c r="N58" i="611"/>
  <c r="N60" i="611"/>
  <c r="N59" i="611"/>
  <c r="N57" i="611"/>
  <c r="N56" i="611"/>
  <c r="N31" i="620"/>
  <c r="N32" i="620"/>
  <c r="N27" i="620"/>
  <c r="N30" i="620"/>
  <c r="N25" i="620"/>
  <c r="N29" i="620"/>
  <c r="N28" i="620"/>
  <c r="N33" i="620"/>
  <c r="N26" i="620"/>
  <c r="N24" i="620"/>
  <c r="N23" i="620"/>
  <c r="N31" i="618"/>
  <c r="N27" i="618"/>
  <c r="N29" i="618"/>
  <c r="N32" i="618"/>
  <c r="N26" i="618"/>
  <c r="N25" i="618"/>
  <c r="N30" i="618"/>
  <c r="N33" i="618"/>
  <c r="N28" i="618"/>
  <c r="N24" i="618"/>
  <c r="N23" i="618"/>
  <c r="AA20" i="610"/>
  <c r="AA20" i="617"/>
  <c r="AA8" i="616"/>
  <c r="AA12" i="616" s="1"/>
  <c r="Y15" i="616"/>
  <c r="AA14" i="616" s="1"/>
  <c r="AA15" i="621"/>
  <c r="AC14" i="621" s="1"/>
  <c r="AC8" i="621"/>
  <c r="P23" i="611"/>
  <c r="P22" i="615"/>
  <c r="Y21" i="617"/>
  <c r="P26" i="621"/>
  <c r="P31" i="621"/>
  <c r="P33" i="621"/>
  <c r="P29" i="621"/>
  <c r="P25" i="621"/>
  <c r="P28" i="621"/>
  <c r="P30" i="621"/>
  <c r="P32" i="621"/>
  <c r="P27" i="621"/>
  <c r="P23" i="621"/>
  <c r="P24" i="621"/>
  <c r="AC8" i="619"/>
  <c r="AC12" i="619" s="1"/>
  <c r="AA15" i="619"/>
  <c r="AC14" i="619" s="1"/>
  <c r="N65" i="610"/>
  <c r="N61" i="610"/>
  <c r="N64" i="610"/>
  <c r="N63" i="610"/>
  <c r="N62" i="610"/>
  <c r="N66" i="610"/>
  <c r="P23" i="613"/>
  <c r="P33" i="619"/>
  <c r="P30" i="619"/>
  <c r="P31" i="619"/>
  <c r="P27" i="619"/>
  <c r="P28" i="619"/>
  <c r="P25" i="619"/>
  <c r="P29" i="619"/>
  <c r="P32" i="619"/>
  <c r="P26" i="619"/>
  <c r="P23" i="619"/>
  <c r="P24" i="619"/>
  <c r="P25" i="611"/>
  <c r="P24" i="611"/>
  <c r="P40" i="611"/>
  <c r="T7" i="611"/>
  <c r="P55" i="611"/>
  <c r="R8" i="611"/>
  <c r="AC8" i="623"/>
  <c r="AC12" i="623" s="1"/>
  <c r="AA15" i="623"/>
  <c r="AC14" i="623" s="1"/>
  <c r="Y21" i="622"/>
  <c r="P23" i="614"/>
  <c r="Y25" i="613"/>
  <c r="N65" i="611"/>
  <c r="N63" i="611"/>
  <c r="N62" i="611"/>
  <c r="N66" i="611"/>
  <c r="N64" i="611"/>
  <c r="N61" i="611"/>
  <c r="AA15" i="612"/>
  <c r="AC14" i="612" s="1"/>
  <c r="AC8" i="612"/>
  <c r="AC12" i="612" s="1"/>
  <c r="AC8" i="611"/>
  <c r="AC12" i="611" s="1"/>
  <c r="AA15" i="611"/>
  <c r="AC14" i="611" s="1"/>
  <c r="AA20" i="612"/>
  <c r="Y25" i="610"/>
  <c r="W25" i="624"/>
  <c r="AC8" i="622"/>
  <c r="AC12" i="622" s="1"/>
  <c r="AA15" i="622"/>
  <c r="AC14" i="622" s="1"/>
  <c r="AA15" i="613"/>
  <c r="AC14" i="613" s="1"/>
  <c r="AC8" i="613"/>
  <c r="AC12" i="613" s="1"/>
  <c r="P22" i="620"/>
  <c r="N33" i="624"/>
  <c r="N30" i="624"/>
  <c r="N31" i="624"/>
  <c r="N27" i="624"/>
  <c r="N25" i="624"/>
  <c r="N28" i="624"/>
  <c r="N26" i="624"/>
  <c r="N29" i="624"/>
  <c r="N32" i="624"/>
  <c r="N24" i="624"/>
  <c r="N23" i="624"/>
  <c r="Y20" i="624"/>
  <c r="W25" i="618"/>
  <c r="AA8" i="624"/>
  <c r="AA12" i="624" s="1"/>
  <c r="Y15" i="624"/>
  <c r="AA14" i="624" s="1"/>
  <c r="P22" i="624"/>
  <c r="AA15" i="614"/>
  <c r="AC14" i="614" s="1"/>
  <c r="AC8" i="614"/>
  <c r="AC12" i="614" s="1"/>
  <c r="P23" i="610"/>
  <c r="P22" i="618"/>
  <c r="Y12" i="615"/>
  <c r="Y20" i="616"/>
  <c r="W25" i="615"/>
  <c r="N65" i="613"/>
  <c r="N62" i="613"/>
  <c r="N64" i="613"/>
  <c r="N61" i="613"/>
  <c r="N66" i="613"/>
  <c r="N63" i="613"/>
  <c r="AA15" i="617"/>
  <c r="AC14" i="617" s="1"/>
  <c r="AC8" i="617"/>
  <c r="AC12" i="617" s="1"/>
  <c r="P55" i="612"/>
  <c r="T7" i="612"/>
  <c r="R8" i="612"/>
  <c r="P40" i="612"/>
  <c r="P25" i="612"/>
  <c r="P24" i="612"/>
  <c r="AC8" i="610"/>
  <c r="AC12" i="610" s="1"/>
  <c r="AA15" i="610"/>
  <c r="AC14" i="610" s="1"/>
  <c r="Y25" i="611"/>
  <c r="AA20" i="621"/>
  <c r="N33" i="616"/>
  <c r="N31" i="616"/>
  <c r="N27" i="616"/>
  <c r="N26" i="616"/>
  <c r="N29" i="616"/>
  <c r="N32" i="616"/>
  <c r="N25" i="616"/>
  <c r="N30" i="616"/>
  <c r="N28" i="616"/>
  <c r="N23" i="616"/>
  <c r="N24" i="616"/>
  <c r="Y25" i="612"/>
  <c r="P55" i="614"/>
  <c r="R8" i="614"/>
  <c r="P40" i="614"/>
  <c r="T7" i="614"/>
  <c r="P25" i="614"/>
  <c r="P24" i="614"/>
  <c r="N59" i="613"/>
  <c r="N58" i="613"/>
  <c r="N60" i="613"/>
  <c r="N56" i="613"/>
  <c r="N57" i="613"/>
  <c r="AA20" i="611"/>
  <c r="AA20" i="622"/>
  <c r="AA20" i="619"/>
  <c r="F2" i="51"/>
  <c r="F2" i="28"/>
  <c r="R12" i="612"/>
  <c r="R18" i="612"/>
  <c r="AA31" i="614"/>
  <c r="R16" i="614"/>
  <c r="R9" i="611"/>
  <c r="P16" i="615"/>
  <c r="W37" i="624"/>
  <c r="AA36" i="614"/>
  <c r="AA32" i="612"/>
  <c r="AA27" i="612"/>
  <c r="R13" i="612"/>
  <c r="R13" i="614"/>
  <c r="R17" i="613"/>
  <c r="P17" i="620"/>
  <c r="R17" i="612"/>
  <c r="P14" i="618"/>
  <c r="P14" i="624"/>
  <c r="R14" i="610"/>
  <c r="R11" i="611"/>
  <c r="R15" i="612"/>
  <c r="P16" i="618"/>
  <c r="R10" i="611"/>
  <c r="AA29" i="613"/>
  <c r="W33" i="615"/>
  <c r="AA37" i="611"/>
  <c r="W28" i="618"/>
  <c r="W38" i="618"/>
  <c r="P15" i="616"/>
  <c r="AA31" i="612"/>
  <c r="AA29" i="614"/>
  <c r="R12" i="610"/>
  <c r="R13" i="611"/>
  <c r="R12" i="613"/>
  <c r="W33" i="618"/>
  <c r="W32" i="618"/>
  <c r="AA35" i="610"/>
  <c r="W38" i="624"/>
  <c r="AA28" i="613"/>
  <c r="R14" i="614"/>
  <c r="P14" i="615"/>
  <c r="P13" i="616"/>
  <c r="AA33" i="612"/>
  <c r="AA37" i="612"/>
  <c r="R16" i="611"/>
  <c r="W30" i="618"/>
  <c r="AA31" i="611"/>
  <c r="AA27" i="614"/>
  <c r="R9" i="613"/>
  <c r="P16" i="620"/>
  <c r="AA29" i="612"/>
  <c r="AA35" i="613"/>
  <c r="P12" i="624"/>
  <c r="AA36" i="612"/>
  <c r="P18" i="624"/>
  <c r="AA28" i="610"/>
  <c r="P9" i="618"/>
  <c r="R19" i="612"/>
  <c r="AA29" i="611"/>
  <c r="AA28" i="611"/>
  <c r="W37" i="615"/>
  <c r="W34" i="615"/>
  <c r="P12" i="616"/>
  <c r="R16" i="610"/>
  <c r="P18" i="618"/>
  <c r="R12" i="614"/>
  <c r="P11" i="618"/>
  <c r="P8" i="618"/>
  <c r="P14" i="616"/>
  <c r="F35" i="28"/>
  <c r="R10" i="612"/>
  <c r="N15" i="1"/>
  <c r="AA35" i="611"/>
  <c r="W36" i="615"/>
  <c r="AA37" i="610"/>
  <c r="AA29" i="610"/>
  <c r="R15" i="610"/>
  <c r="P13" i="620"/>
  <c r="P13" i="615"/>
  <c r="AA35" i="612"/>
  <c r="R11" i="610"/>
  <c r="P11" i="615"/>
  <c r="P17" i="624"/>
  <c r="P11" i="616"/>
  <c r="R15" i="611"/>
  <c r="R11" i="612"/>
  <c r="AA37" i="613"/>
  <c r="W37" i="618"/>
  <c r="P14" i="620"/>
  <c r="P13" i="624"/>
  <c r="R10" i="610"/>
  <c r="R13" i="610"/>
  <c r="W28" i="624"/>
  <c r="P10" i="620"/>
  <c r="R17" i="611"/>
  <c r="P16" i="624"/>
  <c r="P8" i="616"/>
  <c r="P18" i="620"/>
  <c r="R16" i="612"/>
  <c r="R14" i="611"/>
  <c r="F36" i="51"/>
  <c r="AA36" i="613"/>
  <c r="AA36" i="610"/>
  <c r="P12" i="618"/>
  <c r="W27" i="618"/>
  <c r="P9" i="620"/>
  <c r="P9" i="616"/>
  <c r="P8" i="620"/>
  <c r="R12" i="611"/>
  <c r="P11" i="624"/>
  <c r="P10" i="618"/>
  <c r="R11" i="613"/>
  <c r="AA33" i="614"/>
  <c r="W33" i="624"/>
  <c r="AA28" i="612"/>
  <c r="AA28" i="614"/>
  <c r="P15" i="620"/>
  <c r="AA32" i="610"/>
  <c r="P15" i="624"/>
  <c r="W30" i="615"/>
  <c r="R16" i="613"/>
  <c r="F12" i="28"/>
  <c r="AA33" i="610"/>
  <c r="R19" i="614"/>
  <c r="R9" i="610"/>
  <c r="P18" i="615"/>
  <c r="P16" i="616"/>
  <c r="W36" i="624"/>
  <c r="R14" i="613"/>
  <c r="R9" i="614"/>
  <c r="AA27" i="610"/>
  <c r="R19" i="613"/>
  <c r="AA36" i="611"/>
  <c r="W32" i="624"/>
  <c r="W27" i="615"/>
  <c r="R15" i="614"/>
  <c r="P9" i="624"/>
  <c r="P10" i="624"/>
  <c r="AA32" i="614"/>
  <c r="W34" i="624"/>
  <c r="P11" i="620"/>
  <c r="P10" i="615"/>
  <c r="R11" i="614"/>
  <c r="P12" i="620"/>
  <c r="R10" i="613"/>
  <c r="R10" i="614"/>
  <c r="P15" i="615"/>
  <c r="R18" i="614"/>
  <c r="R13" i="613"/>
  <c r="AA37" i="614"/>
  <c r="AA31" i="610"/>
  <c r="AA32" i="613"/>
  <c r="P8" i="624"/>
  <c r="AA33" i="611"/>
  <c r="P15" i="618"/>
  <c r="P17" i="616"/>
  <c r="AA31" i="613"/>
  <c r="AA27" i="611"/>
  <c r="P10" i="616"/>
  <c r="R17" i="614"/>
  <c r="AA27" i="613"/>
  <c r="P18" i="616"/>
  <c r="AA33" i="613"/>
  <c r="W32" i="615"/>
  <c r="AA32" i="611"/>
  <c r="R9" i="612"/>
  <c r="AA35" i="614"/>
  <c r="P13" i="618"/>
  <c r="R18" i="613"/>
  <c r="R14" i="612"/>
  <c r="W30" i="624"/>
  <c r="W38" i="615"/>
  <c r="R18" i="610"/>
  <c r="W36" i="618"/>
  <c r="R17" i="610"/>
  <c r="P17" i="618"/>
  <c r="R18" i="611"/>
  <c r="W27" i="624"/>
  <c r="W28" i="615"/>
  <c r="P17" i="615"/>
  <c r="P8" i="615"/>
  <c r="P9" i="615"/>
  <c r="P12" i="615"/>
  <c r="R15" i="613"/>
  <c r="R19" i="610"/>
  <c r="R19" i="611"/>
  <c r="W34" i="618"/>
  <c r="AA21" i="621" l="1"/>
  <c r="AC12" i="621"/>
  <c r="AA21" i="622"/>
  <c r="Y21" i="616"/>
  <c r="Y21" i="618"/>
  <c r="AA21" i="612"/>
  <c r="AA12" i="618"/>
  <c r="AA20" i="618" s="1"/>
  <c r="AA21" i="619"/>
  <c r="N29" i="614"/>
  <c r="N44" i="614" s="1"/>
  <c r="N34" i="614"/>
  <c r="N49" i="614" s="1"/>
  <c r="N31" i="612"/>
  <c r="N46" i="612" s="1"/>
  <c r="N34" i="611"/>
  <c r="N49" i="611" s="1"/>
  <c r="N34" i="610"/>
  <c r="N49" i="610" s="1"/>
  <c r="AE10" i="613"/>
  <c r="N28" i="613"/>
  <c r="N43" i="613" s="1"/>
  <c r="N36" i="614"/>
  <c r="N51" i="614" s="1"/>
  <c r="AE10" i="612"/>
  <c r="N28" i="612"/>
  <c r="N43" i="612" s="1"/>
  <c r="AA38" i="610"/>
  <c r="N35" i="610"/>
  <c r="N50" i="610" s="1"/>
  <c r="AE9" i="610"/>
  <c r="N27" i="610"/>
  <c r="N41" i="610" s="1"/>
  <c r="N36" i="613"/>
  <c r="N51" i="613" s="1"/>
  <c r="N36" i="612"/>
  <c r="N51" i="612" s="1"/>
  <c r="AC10" i="620"/>
  <c r="AE10" i="611"/>
  <c r="N28" i="611"/>
  <c r="N43" i="611" s="1"/>
  <c r="N33" i="610"/>
  <c r="N48" i="610" s="1"/>
  <c r="N35" i="613"/>
  <c r="N50" i="613" s="1"/>
  <c r="N31" i="614"/>
  <c r="N46" i="614" s="1"/>
  <c r="N32" i="614"/>
  <c r="N47" i="614" s="1"/>
  <c r="AE9" i="612"/>
  <c r="N27" i="612"/>
  <c r="N41" i="612" s="1"/>
  <c r="AC9" i="624"/>
  <c r="W39" i="618"/>
  <c r="N33" i="611"/>
  <c r="N48" i="611" s="1"/>
  <c r="AE10" i="610"/>
  <c r="N28" i="610"/>
  <c r="N43" i="610" s="1"/>
  <c r="AA38" i="614"/>
  <c r="N34" i="613"/>
  <c r="N49" i="613" s="1"/>
  <c r="N30" i="612"/>
  <c r="N45" i="612" s="1"/>
  <c r="N26" i="611"/>
  <c r="N42" i="611" s="1"/>
  <c r="AC9" i="616"/>
  <c r="AE9" i="614"/>
  <c r="N27" i="614"/>
  <c r="N41" i="614" s="1"/>
  <c r="N35" i="612"/>
  <c r="N50" i="612" s="1"/>
  <c r="N29" i="612"/>
  <c r="N44" i="612" s="1"/>
  <c r="W39" i="615"/>
  <c r="N35" i="611"/>
  <c r="N50" i="611" s="1"/>
  <c r="AC9" i="615"/>
  <c r="N30" i="610"/>
  <c r="N45" i="610" s="1"/>
  <c r="AE9" i="613"/>
  <c r="N27" i="613"/>
  <c r="N41" i="613" s="1"/>
  <c r="AC10" i="616"/>
  <c r="AA38" i="612"/>
  <c r="N26" i="614"/>
  <c r="N42" i="614" s="1"/>
  <c r="AE10" i="614"/>
  <c r="N28" i="614"/>
  <c r="N43" i="614" s="1"/>
  <c r="N35" i="614"/>
  <c r="N50" i="614" s="1"/>
  <c r="AA38" i="611"/>
  <c r="N26" i="612"/>
  <c r="N42" i="612" s="1"/>
  <c r="N33" i="612"/>
  <c r="N48" i="612" s="1"/>
  <c r="N30" i="613"/>
  <c r="N45" i="613" s="1"/>
  <c r="N31" i="613"/>
  <c r="N46" i="613" s="1"/>
  <c r="N36" i="611"/>
  <c r="N51" i="611" s="1"/>
  <c r="N29" i="610"/>
  <c r="N44" i="610" s="1"/>
  <c r="N26" i="613"/>
  <c r="N42" i="613" s="1"/>
  <c r="N32" i="613"/>
  <c r="N47" i="613" s="1"/>
  <c r="N34" i="612"/>
  <c r="N49" i="612" s="1"/>
  <c r="AC10" i="618"/>
  <c r="W39" i="624"/>
  <c r="N31" i="611"/>
  <c r="N46" i="611" s="1"/>
  <c r="AC10" i="615"/>
  <c r="N33" i="613"/>
  <c r="N48" i="613" s="1"/>
  <c r="N32" i="612"/>
  <c r="N47" i="612" s="1"/>
  <c r="N30" i="614"/>
  <c r="N45" i="614" s="1"/>
  <c r="AC9" i="620"/>
  <c r="N29" i="611"/>
  <c r="N44" i="611" s="1"/>
  <c r="N32" i="610"/>
  <c r="N47" i="610" s="1"/>
  <c r="N29" i="613"/>
  <c r="N44" i="613" s="1"/>
  <c r="N33" i="614"/>
  <c r="N48" i="614" s="1"/>
  <c r="AA38" i="613"/>
  <c r="N32" i="611"/>
  <c r="N47" i="611" s="1"/>
  <c r="N30" i="611"/>
  <c r="N45" i="611" s="1"/>
  <c r="N36" i="610"/>
  <c r="N51" i="610" s="1"/>
  <c r="AC9" i="618"/>
  <c r="AC10" i="624"/>
  <c r="AE9" i="611"/>
  <c r="N27" i="611"/>
  <c r="N41" i="611" s="1"/>
  <c r="N26" i="610"/>
  <c r="N42" i="610" s="1"/>
  <c r="N31" i="610"/>
  <c r="N46" i="610" s="1"/>
  <c r="P33" i="624"/>
  <c r="P30" i="624"/>
  <c r="P31" i="624"/>
  <c r="P27" i="624"/>
  <c r="P25" i="624"/>
  <c r="P28" i="624"/>
  <c r="P26" i="624"/>
  <c r="P29" i="624"/>
  <c r="P32" i="624"/>
  <c r="P23" i="624"/>
  <c r="P24" i="624"/>
  <c r="P25" i="618"/>
  <c r="P32" i="618"/>
  <c r="P33" i="618"/>
  <c r="P30" i="618"/>
  <c r="P28" i="618"/>
  <c r="P29" i="618"/>
  <c r="P31" i="618"/>
  <c r="P26" i="618"/>
  <c r="P27" i="618"/>
  <c r="P23" i="618"/>
  <c r="P24" i="618"/>
  <c r="R25" i="610"/>
  <c r="T8" i="610"/>
  <c r="R24" i="610"/>
  <c r="R24" i="611"/>
  <c r="T8" i="611"/>
  <c r="R25" i="611"/>
  <c r="AC20" i="610"/>
  <c r="AC20" i="614"/>
  <c r="AC8" i="624"/>
  <c r="AA15" i="624"/>
  <c r="AC14" i="624" s="1"/>
  <c r="R23" i="611"/>
  <c r="AA21" i="610"/>
  <c r="P63" i="610"/>
  <c r="P61" i="610"/>
  <c r="P62" i="610"/>
  <c r="P65" i="610"/>
  <c r="P64" i="610"/>
  <c r="P66" i="610"/>
  <c r="P33" i="616"/>
  <c r="P25" i="616"/>
  <c r="P30" i="616"/>
  <c r="P31" i="616"/>
  <c r="P29" i="616"/>
  <c r="P27" i="616"/>
  <c r="P26" i="616"/>
  <c r="P32" i="616"/>
  <c r="P28" i="616"/>
  <c r="P24" i="616"/>
  <c r="P23" i="616"/>
  <c r="AA20" i="624"/>
  <c r="AC15" i="613"/>
  <c r="AE14" i="613" s="1"/>
  <c r="AE8" i="613"/>
  <c r="P59" i="613"/>
  <c r="P60" i="613"/>
  <c r="P58" i="613"/>
  <c r="P57" i="613"/>
  <c r="P56" i="613"/>
  <c r="P65" i="614"/>
  <c r="P62" i="614"/>
  <c r="P64" i="614"/>
  <c r="P61" i="614"/>
  <c r="P66" i="614"/>
  <c r="P63" i="614"/>
  <c r="AE8" i="610"/>
  <c r="AE12" i="610" s="1"/>
  <c r="AC15" i="610"/>
  <c r="AE14" i="610" s="1"/>
  <c r="Y21" i="624"/>
  <c r="AA21" i="614"/>
  <c r="AC20" i="621"/>
  <c r="P59" i="614"/>
  <c r="P58" i="614"/>
  <c r="P60" i="614"/>
  <c r="P56" i="614"/>
  <c r="P57" i="614"/>
  <c r="AA21" i="611"/>
  <c r="R23" i="610"/>
  <c r="AC15" i="623"/>
  <c r="AE14" i="623" s="1"/>
  <c r="AE8" i="623"/>
  <c r="P64" i="611"/>
  <c r="P61" i="611"/>
  <c r="P66" i="611"/>
  <c r="P63" i="611"/>
  <c r="P65" i="611"/>
  <c r="P62" i="611"/>
  <c r="AC15" i="619"/>
  <c r="AE14" i="619" s="1"/>
  <c r="AE8" i="619"/>
  <c r="AC20" i="622"/>
  <c r="R24" i="612"/>
  <c r="T8" i="612"/>
  <c r="R25" i="612"/>
  <c r="P33" i="620"/>
  <c r="P30" i="620"/>
  <c r="P28" i="620"/>
  <c r="P25" i="620"/>
  <c r="P32" i="620"/>
  <c r="P29" i="620"/>
  <c r="P27" i="620"/>
  <c r="P31" i="620"/>
  <c r="P26" i="620"/>
  <c r="P23" i="620"/>
  <c r="P24" i="620"/>
  <c r="AE8" i="622"/>
  <c r="AC15" i="622"/>
  <c r="AE14" i="622" s="1"/>
  <c r="R23" i="614"/>
  <c r="AC15" i="621"/>
  <c r="AE14" i="621" s="1"/>
  <c r="AE8" i="621"/>
  <c r="R23" i="612"/>
  <c r="AC20" i="613"/>
  <c r="AC20" i="612"/>
  <c r="Y15" i="615"/>
  <c r="AA8" i="615"/>
  <c r="AA12" i="615" s="1"/>
  <c r="AA8" i="620"/>
  <c r="AA12" i="620" s="1"/>
  <c r="Y15" i="620"/>
  <c r="P58" i="610"/>
  <c r="P59" i="610"/>
  <c r="P60" i="610"/>
  <c r="P56" i="610"/>
  <c r="P57" i="610"/>
  <c r="P61" i="613"/>
  <c r="P65" i="613"/>
  <c r="P64" i="613"/>
  <c r="P63" i="613"/>
  <c r="P66" i="613"/>
  <c r="P62" i="613"/>
  <c r="AC20" i="619"/>
  <c r="AA20" i="616"/>
  <c r="P58" i="611"/>
  <c r="P60" i="611"/>
  <c r="P59" i="611"/>
  <c r="P57" i="611"/>
  <c r="P56" i="611"/>
  <c r="R23" i="613"/>
  <c r="AC20" i="623"/>
  <c r="AC20" i="617"/>
  <c r="P59" i="612"/>
  <c r="P58" i="612"/>
  <c r="P60" i="612"/>
  <c r="P56" i="612"/>
  <c r="P57" i="612"/>
  <c r="P65" i="612"/>
  <c r="P62" i="612"/>
  <c r="P64" i="612"/>
  <c r="P61" i="612"/>
  <c r="P66" i="612"/>
  <c r="P63" i="612"/>
  <c r="AC15" i="617"/>
  <c r="AE14" i="617" s="1"/>
  <c r="AE8" i="617"/>
  <c r="Y20" i="615"/>
  <c r="AC15" i="611"/>
  <c r="AE14" i="611" s="1"/>
  <c r="AE8" i="611"/>
  <c r="AE12" i="611" s="1"/>
  <c r="AC8" i="616"/>
  <c r="AC12" i="616" s="1"/>
  <c r="AA15" i="616"/>
  <c r="AC14" i="616" s="1"/>
  <c r="AA21" i="623"/>
  <c r="T8" i="613"/>
  <c r="R25" i="613"/>
  <c r="R24" i="613"/>
  <c r="AC8" i="618"/>
  <c r="AC12" i="618" s="1"/>
  <c r="AA15" i="618"/>
  <c r="AC14" i="618" s="1"/>
  <c r="R24" i="614"/>
  <c r="T8" i="614"/>
  <c r="R25" i="614"/>
  <c r="AC15" i="614"/>
  <c r="AE14" i="614" s="1"/>
  <c r="AE8" i="614"/>
  <c r="AE12" i="614" s="1"/>
  <c r="AC15" i="612"/>
  <c r="AE14" i="612" s="1"/>
  <c r="AE8" i="612"/>
  <c r="AE12" i="612" s="1"/>
  <c r="P31" i="615"/>
  <c r="P27" i="615"/>
  <c r="P26" i="615"/>
  <c r="P29" i="615"/>
  <c r="P33" i="615"/>
  <c r="P30" i="615"/>
  <c r="P28" i="615"/>
  <c r="P32" i="615"/>
  <c r="P25" i="615"/>
  <c r="P23" i="615"/>
  <c r="P24" i="615"/>
  <c r="AA21" i="617"/>
  <c r="AA21" i="613"/>
  <c r="AC20" i="611"/>
  <c r="E9" i="1"/>
  <c r="E10" i="1"/>
  <c r="E11" i="1"/>
  <c r="E12" i="1"/>
  <c r="E13" i="1"/>
  <c r="E14" i="1"/>
  <c r="E15" i="1"/>
  <c r="E16" i="1"/>
  <c r="E8" i="1"/>
  <c r="T11" i="611"/>
  <c r="T13" i="610"/>
  <c r="D14" i="1"/>
  <c r="T12" i="613"/>
  <c r="O10" i="1"/>
  <c r="I11" i="1"/>
  <c r="Y33" i="611"/>
  <c r="D15" i="1"/>
  <c r="I14" i="1"/>
  <c r="T18" i="614"/>
  <c r="O13" i="1"/>
  <c r="O8" i="1"/>
  <c r="Y33" i="614"/>
  <c r="K8" i="1"/>
  <c r="T19" i="610"/>
  <c r="O16" i="1"/>
  <c r="T19" i="612"/>
  <c r="F14" i="1"/>
  <c r="K12" i="1"/>
  <c r="T14" i="611"/>
  <c r="K15" i="1"/>
  <c r="T10" i="610"/>
  <c r="Y32" i="614"/>
  <c r="K16" i="1"/>
  <c r="J8" i="1"/>
  <c r="T9" i="613"/>
  <c r="Y35" i="614"/>
  <c r="Y33" i="613"/>
  <c r="Y31" i="613"/>
  <c r="T9" i="611"/>
  <c r="F8" i="1"/>
  <c r="Y35" i="613"/>
  <c r="Y27" i="612"/>
  <c r="Y33" i="612"/>
  <c r="F15" i="1"/>
  <c r="T10" i="613"/>
  <c r="Y31" i="611"/>
  <c r="T11" i="613"/>
  <c r="Y29" i="610"/>
  <c r="T13" i="613"/>
  <c r="T12" i="610"/>
  <c r="Y35" i="610"/>
  <c r="D13" i="1"/>
  <c r="I12" i="1"/>
  <c r="J16" i="1"/>
  <c r="W44" i="51"/>
  <c r="T17" i="613"/>
  <c r="Y27" i="614"/>
  <c r="Y36" i="613"/>
  <c r="Y35" i="611"/>
  <c r="N12" i="1"/>
  <c r="T14" i="613"/>
  <c r="J9" i="1"/>
  <c r="J15" i="1"/>
  <c r="Y27" i="613"/>
  <c r="Y32" i="610"/>
  <c r="J10" i="1"/>
  <c r="I8" i="1"/>
  <c r="Y36" i="610"/>
  <c r="T14" i="614"/>
  <c r="T15" i="611"/>
  <c r="K9" i="1"/>
  <c r="Y44" i="51"/>
  <c r="T17" i="614"/>
  <c r="F10" i="1"/>
  <c r="T15" i="610"/>
  <c r="Y29" i="614"/>
  <c r="J14" i="1"/>
  <c r="I16" i="1"/>
  <c r="Y37" i="614"/>
  <c r="Y35" i="612"/>
  <c r="D8" i="1"/>
  <c r="T18" i="611"/>
  <c r="F12" i="1"/>
  <c r="T16" i="611"/>
  <c r="O9" i="1"/>
  <c r="T15" i="612"/>
  <c r="J13" i="1"/>
  <c r="T9" i="614"/>
  <c r="I15" i="1"/>
  <c r="T17" i="611"/>
  <c r="Y29" i="613"/>
  <c r="K13" i="1"/>
  <c r="T13" i="612"/>
  <c r="Y43" i="51"/>
  <c r="Y31" i="614"/>
  <c r="Y37" i="612"/>
  <c r="K11" i="1"/>
  <c r="T12" i="614"/>
  <c r="I13" i="1"/>
  <c r="Y37" i="611"/>
  <c r="T19" i="613"/>
  <c r="T10" i="612"/>
  <c r="D9" i="1"/>
  <c r="T16" i="614"/>
  <c r="Y36" i="614"/>
  <c r="T15" i="613"/>
  <c r="T12" i="611"/>
  <c r="F16" i="1"/>
  <c r="J12" i="1"/>
  <c r="Y32" i="612"/>
  <c r="Y36" i="612"/>
  <c r="T17" i="612"/>
  <c r="T13" i="611"/>
  <c r="Y33" i="610"/>
  <c r="T19" i="614"/>
  <c r="T10" i="611"/>
  <c r="Y27" i="611"/>
  <c r="D11" i="1"/>
  <c r="O11" i="1"/>
  <c r="T11" i="614"/>
  <c r="T15" i="614"/>
  <c r="Y32" i="611"/>
  <c r="K14" i="1"/>
  <c r="T10" i="614"/>
  <c r="T9" i="612"/>
  <c r="J11" i="1"/>
  <c r="D12" i="1"/>
  <c r="T18" i="610"/>
  <c r="N11" i="1"/>
  <c r="T18" i="613"/>
  <c r="Y31" i="610"/>
  <c r="W43" i="51"/>
  <c r="T16" i="613"/>
  <c r="F13" i="1"/>
  <c r="T11" i="612"/>
  <c r="T11" i="610"/>
  <c r="F9" i="1"/>
  <c r="I9" i="1"/>
  <c r="N9" i="1"/>
  <c r="D16" i="1"/>
  <c r="Y31" i="612"/>
  <c r="T19" i="611"/>
  <c r="N10" i="1"/>
  <c r="Y29" i="612"/>
  <c r="F11" i="1"/>
  <c r="N8" i="1"/>
  <c r="O12" i="1"/>
  <c r="Y32" i="613"/>
  <c r="Y37" i="613"/>
  <c r="AC44" i="51"/>
  <c r="AC43" i="51"/>
  <c r="T12" i="612"/>
  <c r="T16" i="612"/>
  <c r="T17" i="610"/>
  <c r="T14" i="612"/>
  <c r="T9" i="610"/>
  <c r="I10" i="1"/>
  <c r="T16" i="610"/>
  <c r="Y36" i="611"/>
  <c r="T14" i="610"/>
  <c r="K10" i="1"/>
  <c r="Y27" i="610"/>
  <c r="Y29" i="611"/>
  <c r="T18" i="612"/>
  <c r="T13" i="614"/>
  <c r="D10" i="1"/>
  <c r="Y37" i="610"/>
  <c r="AC21" i="623" l="1"/>
  <c r="AC12" i="624"/>
  <c r="AA21" i="616"/>
  <c r="AC21" i="619"/>
  <c r="AC21" i="611"/>
  <c r="AA20" i="620"/>
  <c r="P36" i="614"/>
  <c r="P51" i="614" s="1"/>
  <c r="AG10" i="612"/>
  <c r="P28" i="612"/>
  <c r="P43" i="612" s="1"/>
  <c r="P33" i="613"/>
  <c r="P48" i="613" s="1"/>
  <c r="AG9" i="612"/>
  <c r="P27" i="612"/>
  <c r="P41" i="612" s="1"/>
  <c r="P26" i="611"/>
  <c r="P42" i="611" s="1"/>
  <c r="P31" i="614"/>
  <c r="P46" i="614" s="1"/>
  <c r="P30" i="612"/>
  <c r="P45" i="612" s="1"/>
  <c r="P36" i="611"/>
  <c r="P51" i="611" s="1"/>
  <c r="P32" i="610"/>
  <c r="P47" i="610" s="1"/>
  <c r="Y38" i="612"/>
  <c r="P31" i="612"/>
  <c r="P46" i="612" s="1"/>
  <c r="AG9" i="611"/>
  <c r="P27" i="611"/>
  <c r="P41" i="611" s="1"/>
  <c r="P36" i="610"/>
  <c r="P51" i="610" s="1"/>
  <c r="P26" i="614"/>
  <c r="P42" i="614" s="1"/>
  <c r="P29" i="614"/>
  <c r="P44" i="614" s="1"/>
  <c r="AG9" i="613"/>
  <c r="P27" i="613"/>
  <c r="P41" i="613" s="1"/>
  <c r="Y38" i="610"/>
  <c r="P34" i="611"/>
  <c r="P49" i="611" s="1"/>
  <c r="P31" i="610"/>
  <c r="P46" i="610" s="1"/>
  <c r="Y38" i="611"/>
  <c r="P32" i="611"/>
  <c r="P47" i="611" s="1"/>
  <c r="P29" i="610"/>
  <c r="P44" i="610" s="1"/>
  <c r="P30" i="614"/>
  <c r="P45" i="614" s="1"/>
  <c r="P32" i="613"/>
  <c r="P47" i="613" s="1"/>
  <c r="P33" i="612"/>
  <c r="P48" i="612" s="1"/>
  <c r="P34" i="612"/>
  <c r="P49" i="612" s="1"/>
  <c r="P34" i="610"/>
  <c r="P49" i="610" s="1"/>
  <c r="P30" i="610"/>
  <c r="P45" i="610" s="1"/>
  <c r="P31" i="613"/>
  <c r="P46" i="613" s="1"/>
  <c r="P29" i="613"/>
  <c r="P44" i="613" s="1"/>
  <c r="Y38" i="613"/>
  <c r="P26" i="612"/>
  <c r="P42" i="612" s="1"/>
  <c r="P35" i="612"/>
  <c r="P50" i="612" s="1"/>
  <c r="AG10" i="614"/>
  <c r="P28" i="614"/>
  <c r="P43" i="614" s="1"/>
  <c r="AG10" i="613"/>
  <c r="P28" i="613"/>
  <c r="P43" i="613" s="1"/>
  <c r="P32" i="614"/>
  <c r="P47" i="614" s="1"/>
  <c r="P35" i="613"/>
  <c r="P50" i="613" s="1"/>
  <c r="P29" i="612"/>
  <c r="P44" i="612" s="1"/>
  <c r="AG10" i="611"/>
  <c r="P28" i="611"/>
  <c r="P43" i="611" s="1"/>
  <c r="P26" i="610"/>
  <c r="P42" i="610" s="1"/>
  <c r="AG9" i="614"/>
  <c r="P27" i="614"/>
  <c r="P41" i="614" s="1"/>
  <c r="P34" i="613"/>
  <c r="P49" i="613" s="1"/>
  <c r="P32" i="612"/>
  <c r="P47" i="612" s="1"/>
  <c r="P30" i="611"/>
  <c r="P45" i="611" s="1"/>
  <c r="P35" i="610"/>
  <c r="P50" i="610" s="1"/>
  <c r="P36" i="613"/>
  <c r="P51" i="613" s="1"/>
  <c r="P36" i="612"/>
  <c r="P51" i="612" s="1"/>
  <c r="P29" i="611"/>
  <c r="P44" i="611" s="1"/>
  <c r="AG9" i="610"/>
  <c r="P27" i="610"/>
  <c r="P41" i="610" s="1"/>
  <c r="P33" i="611"/>
  <c r="P48" i="611" s="1"/>
  <c r="P35" i="614"/>
  <c r="P50" i="614" s="1"/>
  <c r="P30" i="613"/>
  <c r="P45" i="613" s="1"/>
  <c r="P26" i="613"/>
  <c r="P42" i="613" s="1"/>
  <c r="Y38" i="614"/>
  <c r="P33" i="610"/>
  <c r="P48" i="610" s="1"/>
  <c r="P33" i="614"/>
  <c r="P48" i="614" s="1"/>
  <c r="P34" i="614"/>
  <c r="P49" i="614" s="1"/>
  <c r="P35" i="611"/>
  <c r="P50" i="611" s="1"/>
  <c r="P31" i="611"/>
  <c r="P46" i="611" s="1"/>
  <c r="AG10" i="610"/>
  <c r="P28" i="610"/>
  <c r="P43" i="610" s="1"/>
  <c r="R30" i="614"/>
  <c r="R36" i="614"/>
  <c r="R31" i="614"/>
  <c r="R28" i="614"/>
  <c r="R34" i="614"/>
  <c r="R29" i="614"/>
  <c r="R27" i="614"/>
  <c r="R35" i="614"/>
  <c r="R26" i="614"/>
  <c r="R33" i="614"/>
  <c r="R32" i="614"/>
  <c r="AC15" i="616"/>
  <c r="AE14" i="616" s="1"/>
  <c r="AE8" i="616"/>
  <c r="AC21" i="613"/>
  <c r="AE15" i="610"/>
  <c r="AG14" i="610" s="1"/>
  <c r="AG8" i="610"/>
  <c r="AE12" i="613"/>
  <c r="AE20" i="613" s="1"/>
  <c r="AC21" i="614"/>
  <c r="AE20" i="614"/>
  <c r="AE20" i="612"/>
  <c r="AE12" i="621"/>
  <c r="AE15" i="621" s="1"/>
  <c r="AE21" i="621" s="1"/>
  <c r="AC21" i="610"/>
  <c r="AC20" i="616"/>
  <c r="R31" i="613"/>
  <c r="R28" i="613"/>
  <c r="R34" i="613"/>
  <c r="R30" i="613"/>
  <c r="R35" i="613"/>
  <c r="R27" i="613"/>
  <c r="R36" i="613"/>
  <c r="R29" i="613"/>
  <c r="R33" i="613"/>
  <c r="R32" i="613"/>
  <c r="R26" i="613"/>
  <c r="AA21" i="624"/>
  <c r="AE15" i="611"/>
  <c r="AG14" i="611" s="1"/>
  <c r="AG8" i="611"/>
  <c r="AG12" i="611" s="1"/>
  <c r="AG15" i="611" s="1"/>
  <c r="AE12" i="623"/>
  <c r="AE15" i="623" s="1"/>
  <c r="AE21" i="623" s="1"/>
  <c r="AA21" i="618"/>
  <c r="AE12" i="622"/>
  <c r="AE15" i="622" s="1"/>
  <c r="AE21" i="622" s="1"/>
  <c r="AE20" i="611"/>
  <c r="AE12" i="617"/>
  <c r="AE15" i="617" s="1"/>
  <c r="AE21" i="617" s="1"/>
  <c r="R36" i="611"/>
  <c r="R33" i="611"/>
  <c r="R29" i="611"/>
  <c r="R26" i="611"/>
  <c r="R30" i="611"/>
  <c r="R28" i="611"/>
  <c r="R35" i="611"/>
  <c r="R32" i="611"/>
  <c r="R34" i="611"/>
  <c r="R27" i="611"/>
  <c r="R31" i="611"/>
  <c r="AG8" i="614"/>
  <c r="AE15" i="614"/>
  <c r="AG14" i="614" s="1"/>
  <c r="AA14" i="620"/>
  <c r="Y21" i="620"/>
  <c r="AA20" i="615"/>
  <c r="AE15" i="612"/>
  <c r="AG14" i="612" s="1"/>
  <c r="AG8" i="612"/>
  <c r="AC21" i="617"/>
  <c r="AC8" i="620"/>
  <c r="AC12" i="620" s="1"/>
  <c r="AA15" i="620"/>
  <c r="AC14" i="620" s="1"/>
  <c r="AC21" i="622"/>
  <c r="R35" i="610"/>
  <c r="R27" i="610"/>
  <c r="R32" i="610"/>
  <c r="R34" i="610"/>
  <c r="R30" i="610"/>
  <c r="R28" i="610"/>
  <c r="R33" i="610"/>
  <c r="R29" i="610"/>
  <c r="R36" i="610"/>
  <c r="R31" i="610"/>
  <c r="R26" i="610"/>
  <c r="AC20" i="618"/>
  <c r="AA15" i="615"/>
  <c r="AC14" i="615" s="1"/>
  <c r="AC8" i="615"/>
  <c r="AC12" i="615" s="1"/>
  <c r="AE12" i="619"/>
  <c r="AE15" i="619" s="1"/>
  <c r="AE21" i="619" s="1"/>
  <c r="AE8" i="618"/>
  <c r="AC15" i="618"/>
  <c r="AE14" i="618" s="1"/>
  <c r="AA14" i="615"/>
  <c r="Y21" i="615"/>
  <c r="R31" i="612"/>
  <c r="R28" i="612"/>
  <c r="R34" i="612"/>
  <c r="R32" i="612"/>
  <c r="R30" i="612"/>
  <c r="R35" i="612"/>
  <c r="R27" i="612"/>
  <c r="R36" i="612"/>
  <c r="R26" i="612"/>
  <c r="R29" i="612"/>
  <c r="R33" i="612"/>
  <c r="AC21" i="612"/>
  <c r="AE8" i="624"/>
  <c r="AC15" i="624"/>
  <c r="AE14" i="624" s="1"/>
  <c r="AC20" i="624"/>
  <c r="AC21" i="621"/>
  <c r="AE20" i="610"/>
  <c r="K29" i="1"/>
  <c r="J29" i="1"/>
  <c r="J32" i="1"/>
  <c r="J31" i="1"/>
  <c r="J30" i="1"/>
  <c r="K32" i="1"/>
  <c r="K31" i="1"/>
  <c r="K30" i="1"/>
  <c r="O31" i="1"/>
  <c r="O29" i="1"/>
  <c r="O32" i="1"/>
  <c r="O30" i="1"/>
  <c r="N32" i="1"/>
  <c r="N31" i="1"/>
  <c r="N30" i="1"/>
  <c r="N29" i="1"/>
  <c r="G12" i="1"/>
  <c r="AE44" i="51"/>
  <c r="G15" i="1"/>
  <c r="X43" i="51"/>
  <c r="AA43" i="51"/>
  <c r="W45" i="51"/>
  <c r="G10" i="1"/>
  <c r="G16" i="1"/>
  <c r="AC45" i="51"/>
  <c r="X44" i="51"/>
  <c r="G8" i="1"/>
  <c r="Y45" i="51"/>
  <c r="G9" i="1"/>
  <c r="AA44" i="51"/>
  <c r="AE43" i="51"/>
  <c r="G14" i="1"/>
  <c r="G11" i="1"/>
  <c r="G13" i="1"/>
  <c r="AG12" i="610" l="1"/>
  <c r="AG15" i="610" s="1"/>
  <c r="AG21" i="610" s="1"/>
  <c r="AE21" i="610"/>
  <c r="AG12" i="614"/>
  <c r="AG15" i="614" s="1"/>
  <c r="AG21" i="614" s="1"/>
  <c r="AC21" i="624"/>
  <c r="AG12" i="612"/>
  <c r="AG15" i="612" s="1"/>
  <c r="AG21" i="612" s="1"/>
  <c r="AE20" i="619"/>
  <c r="AE20" i="621"/>
  <c r="AC21" i="618"/>
  <c r="AE21" i="611"/>
  <c r="AE20" i="622"/>
  <c r="AC21" i="616"/>
  <c r="AC15" i="615"/>
  <c r="AE14" i="615" s="1"/>
  <c r="AE8" i="615"/>
  <c r="AE12" i="616"/>
  <c r="AE15" i="616" s="1"/>
  <c r="AE21" i="616" s="1"/>
  <c r="AA21" i="620"/>
  <c r="AC20" i="615"/>
  <c r="AC20" i="620"/>
  <c r="AE12" i="624"/>
  <c r="AE15" i="624" s="1"/>
  <c r="AE21" i="624" s="1"/>
  <c r="AE20" i="617"/>
  <c r="AE21" i="612"/>
  <c r="AE20" i="623"/>
  <c r="AE21" i="614"/>
  <c r="AA21" i="615"/>
  <c r="AG8" i="613"/>
  <c r="AG12" i="613" s="1"/>
  <c r="AG15" i="613" s="1"/>
  <c r="AE15" i="613"/>
  <c r="AG21" i="611"/>
  <c r="AG20" i="611"/>
  <c r="AC15" i="620"/>
  <c r="AE14" i="620" s="1"/>
  <c r="AE8" i="620"/>
  <c r="AE12" i="618"/>
  <c r="AE15" i="618" s="1"/>
  <c r="AE21" i="618" s="1"/>
  <c r="AG43" i="51"/>
  <c r="AG44" i="51"/>
  <c r="M9" i="1"/>
  <c r="M12" i="1"/>
  <c r="S13" i="1"/>
  <c r="M13" i="1"/>
  <c r="M15" i="1"/>
  <c r="S11" i="1"/>
  <c r="V15" i="1"/>
  <c r="M14" i="1"/>
  <c r="P13" i="1"/>
  <c r="Z8" i="1"/>
  <c r="V10" i="1"/>
  <c r="S8" i="1"/>
  <c r="W45" i="28"/>
  <c r="AA9" i="1"/>
  <c r="S14" i="1"/>
  <c r="V12" i="1"/>
  <c r="AA12" i="1"/>
  <c r="V9" i="1"/>
  <c r="Z10" i="1"/>
  <c r="S12" i="1"/>
  <c r="Z14" i="1"/>
  <c r="Y9" i="1"/>
  <c r="Y15" i="1"/>
  <c r="U45" i="28"/>
  <c r="Z11" i="1"/>
  <c r="AA45" i="51"/>
  <c r="Y12" i="1"/>
  <c r="M10" i="1"/>
  <c r="P11" i="1"/>
  <c r="AA14" i="1"/>
  <c r="P12" i="1"/>
  <c r="Y16" i="1"/>
  <c r="V16" i="1"/>
  <c r="Z15" i="1"/>
  <c r="P8" i="1"/>
  <c r="Y14" i="1"/>
  <c r="AA10" i="1"/>
  <c r="P9" i="1"/>
  <c r="Y11" i="1"/>
  <c r="Y10" i="1"/>
  <c r="M8" i="1"/>
  <c r="S9" i="1"/>
  <c r="X45" i="51"/>
  <c r="AA15" i="1"/>
  <c r="P14" i="1"/>
  <c r="Z16" i="1"/>
  <c r="V14" i="1"/>
  <c r="V8" i="1"/>
  <c r="V13" i="1"/>
  <c r="Z9" i="1"/>
  <c r="S16" i="1"/>
  <c r="AA13" i="1"/>
  <c r="Z13" i="1"/>
  <c r="V11" i="1"/>
  <c r="AA45" i="28"/>
  <c r="Y8" i="1"/>
  <c r="AE45" i="51"/>
  <c r="M16" i="1"/>
  <c r="M11" i="1"/>
  <c r="AA16" i="1"/>
  <c r="P15" i="1"/>
  <c r="P10" i="1"/>
  <c r="P16" i="1"/>
  <c r="AA8" i="1"/>
  <c r="S15" i="1"/>
  <c r="Z12" i="1"/>
  <c r="AA11" i="1"/>
  <c r="S10" i="1"/>
  <c r="Y13" i="1"/>
  <c r="AG20" i="610" l="1"/>
  <c r="AG20" i="614"/>
  <c r="AG20" i="612"/>
  <c r="AE20" i="616"/>
  <c r="AC21" i="615"/>
  <c r="AE20" i="618"/>
  <c r="AE12" i="620"/>
  <c r="AE15" i="620" s="1"/>
  <c r="AE21" i="620" s="1"/>
  <c r="AE12" i="615"/>
  <c r="AE15" i="615" s="1"/>
  <c r="AE21" i="615" s="1"/>
  <c r="AG20" i="613"/>
  <c r="AE20" i="624"/>
  <c r="AG14" i="613"/>
  <c r="AG21" i="613" s="1"/>
  <c r="AE21" i="613"/>
  <c r="AC21" i="620"/>
  <c r="M32" i="1"/>
  <c r="M29" i="1"/>
  <c r="M31" i="1"/>
  <c r="M30" i="1"/>
  <c r="V29" i="1"/>
  <c r="V32" i="1"/>
  <c r="V31" i="1"/>
  <c r="V30" i="1"/>
  <c r="P30" i="1"/>
  <c r="P29" i="1"/>
  <c r="P32" i="1"/>
  <c r="P31" i="1"/>
  <c r="S31" i="1"/>
  <c r="S32" i="1"/>
  <c r="S30" i="1"/>
  <c r="S29" i="1"/>
  <c r="Y30" i="1"/>
  <c r="Y31" i="1"/>
  <c r="Y29" i="1"/>
  <c r="Y32" i="1"/>
  <c r="Z32" i="1"/>
  <c r="Z31" i="1"/>
  <c r="Z29" i="1"/>
  <c r="Z30" i="1"/>
  <c r="AA32" i="1"/>
  <c r="AA31" i="1"/>
  <c r="AA29" i="1"/>
  <c r="AA30" i="1"/>
  <c r="AG45" i="51"/>
  <c r="W46" i="28"/>
  <c r="V45" i="28"/>
  <c r="AA46" i="28"/>
  <c r="Y45" i="28"/>
  <c r="AC45" i="28"/>
  <c r="U46" i="28"/>
  <c r="AE20" i="615" l="1"/>
  <c r="AE20" i="620"/>
  <c r="AE45" i="28"/>
  <c r="V46" i="28"/>
  <c r="Y46" i="28"/>
  <c r="AC46" i="28"/>
  <c r="AE46" i="28" l="1"/>
  <c r="I7" i="1"/>
  <c r="F23" i="51"/>
  <c r="C2" i="28"/>
  <c r="F34" i="51"/>
  <c r="F25" i="28"/>
  <c r="F13" i="28"/>
  <c r="W7" i="28"/>
  <c r="Y19" i="51"/>
  <c r="F33" i="28"/>
  <c r="AE25" i="28"/>
  <c r="F15" i="28"/>
  <c r="AE28" i="28"/>
  <c r="AE38" i="28"/>
  <c r="F22" i="51"/>
  <c r="J7" i="28"/>
  <c r="C2" i="51"/>
  <c r="W19" i="28"/>
  <c r="F12" i="51"/>
  <c r="AE34" i="28"/>
  <c r="AE30" i="28"/>
  <c r="AE27" i="28"/>
  <c r="AE32" i="28"/>
  <c r="AE37" i="28"/>
  <c r="J9" i="28"/>
  <c r="J10" i="28"/>
  <c r="J14" i="28"/>
  <c r="J16" i="28"/>
  <c r="J17" i="28"/>
  <c r="J13" i="28"/>
  <c r="J12" i="28"/>
  <c r="J15" i="28"/>
  <c r="J18" i="28"/>
  <c r="AE39" i="28" l="1"/>
  <c r="Y7" i="51"/>
  <c r="L7" i="51"/>
  <c r="AG25" i="51"/>
  <c r="F6" i="51"/>
  <c r="V42" i="51"/>
  <c r="F17" i="28"/>
  <c r="F32" i="28"/>
  <c r="F34" i="28" s="1"/>
  <c r="W18" i="28"/>
  <c r="L7" i="28"/>
  <c r="J22" i="28"/>
  <c r="Y7" i="28"/>
  <c r="AA7" i="28" s="1"/>
  <c r="AC7" i="28" s="1"/>
  <c r="AE7" i="28" s="1"/>
  <c r="AC25" i="28"/>
  <c r="F6" i="28"/>
  <c r="T43" i="28"/>
  <c r="W12" i="28"/>
  <c r="AC37" i="28"/>
  <c r="Y12" i="51"/>
  <c r="F7" i="28"/>
  <c r="F20" i="51"/>
  <c r="W42" i="51"/>
  <c r="AE36" i="28"/>
  <c r="F16" i="28"/>
  <c r="U43" i="28"/>
  <c r="J11" i="28"/>
  <c r="AC32" i="28"/>
  <c r="AC27" i="28"/>
  <c r="L11" i="28"/>
  <c r="F8" i="51"/>
  <c r="AC28" i="28"/>
  <c r="W43" i="28"/>
  <c r="F13" i="51"/>
  <c r="F9" i="51"/>
  <c r="F18" i="28"/>
  <c r="AC33" i="28"/>
  <c r="F9" i="28"/>
  <c r="F7" i="51"/>
  <c r="AA43" i="28"/>
  <c r="AC42" i="51"/>
  <c r="W8" i="28"/>
  <c r="F15" i="51"/>
  <c r="F16" i="51"/>
  <c r="AC36" i="28"/>
  <c r="W9" i="28"/>
  <c r="F21" i="51"/>
  <c r="F26" i="51"/>
  <c r="F20" i="28"/>
  <c r="F18" i="51"/>
  <c r="F8" i="28"/>
  <c r="T44" i="28"/>
  <c r="AC34" i="28"/>
  <c r="AC38" i="28"/>
  <c r="F22" i="28"/>
  <c r="J8" i="28"/>
  <c r="Y42" i="51"/>
  <c r="AE33" i="28"/>
  <c r="AC30" i="28"/>
  <c r="F21" i="28"/>
  <c r="L12" i="51"/>
  <c r="AG28" i="51"/>
  <c r="L12" i="28"/>
  <c r="AC39" i="28" l="1"/>
  <c r="F33" i="51"/>
  <c r="F35" i="51" s="1"/>
  <c r="J7" i="51"/>
  <c r="J24" i="51"/>
  <c r="J25" i="51"/>
  <c r="O56" i="51"/>
  <c r="J40" i="51"/>
  <c r="J55" i="51"/>
  <c r="Y8" i="28"/>
  <c r="W15" i="28"/>
  <c r="Y14" i="28" s="1"/>
  <c r="W20" i="28"/>
  <c r="F17" i="51"/>
  <c r="F19" i="51"/>
  <c r="F19" i="28"/>
  <c r="AA8" i="51"/>
  <c r="L8" i="51"/>
  <c r="J23" i="51" s="1"/>
  <c r="N7" i="51"/>
  <c r="AA7" i="51"/>
  <c r="AC7" i="51" s="1"/>
  <c r="AE7" i="51" s="1"/>
  <c r="AG7" i="51" s="1"/>
  <c r="AE25" i="51"/>
  <c r="W17" i="28"/>
  <c r="W14" i="28"/>
  <c r="AA25" i="28"/>
  <c r="N7" i="28"/>
  <c r="L22" i="28"/>
  <c r="AG27" i="51"/>
  <c r="L10" i="28"/>
  <c r="AG33" i="51"/>
  <c r="X42" i="51"/>
  <c r="AG36" i="51"/>
  <c r="L8" i="28"/>
  <c r="W44" i="28"/>
  <c r="L13" i="28"/>
  <c r="U44" i="28"/>
  <c r="Y9" i="51"/>
  <c r="L13" i="51"/>
  <c r="L16" i="28"/>
  <c r="AA44" i="28"/>
  <c r="L15" i="51"/>
  <c r="AA34" i="28"/>
  <c r="AA38" i="28"/>
  <c r="Y43" i="28"/>
  <c r="L11" i="51"/>
  <c r="AA28" i="28"/>
  <c r="L9" i="51"/>
  <c r="AC43" i="28"/>
  <c r="N12" i="28"/>
  <c r="AA37" i="28"/>
  <c r="V43" i="28"/>
  <c r="L17" i="51"/>
  <c r="AA42" i="51"/>
  <c r="L16" i="51"/>
  <c r="L18" i="51"/>
  <c r="L15" i="28"/>
  <c r="AA32" i="28"/>
  <c r="AG32" i="51"/>
  <c r="AG35" i="51"/>
  <c r="AA30" i="28"/>
  <c r="AA33" i="28"/>
  <c r="L18" i="28"/>
  <c r="L10" i="51"/>
  <c r="L14" i="51"/>
  <c r="AG31" i="51"/>
  <c r="AE42" i="51"/>
  <c r="L9" i="28"/>
  <c r="AA27" i="28"/>
  <c r="L14" i="28"/>
  <c r="L17" i="28"/>
  <c r="J9" i="51"/>
  <c r="AG29" i="51"/>
  <c r="AG37" i="51"/>
  <c r="N12" i="51"/>
  <c r="Y8" i="51"/>
  <c r="AA36" i="28"/>
  <c r="L19" i="51"/>
  <c r="AE31" i="51"/>
  <c r="AA39" i="28" l="1"/>
  <c r="L23" i="51"/>
  <c r="L25" i="51"/>
  <c r="L24" i="51"/>
  <c r="X46" i="51"/>
  <c r="L55" i="51"/>
  <c r="J57" i="51"/>
  <c r="AG42" i="51"/>
  <c r="AG46" i="51" s="1"/>
  <c r="AE43" i="28"/>
  <c r="W21" i="28"/>
  <c r="Y18" i="51"/>
  <c r="Y9" i="28"/>
  <c r="Y10" i="28"/>
  <c r="Y15" i="51"/>
  <c r="AA14" i="51" s="1"/>
  <c r="AG38" i="51"/>
  <c r="Y20" i="51"/>
  <c r="P7" i="51"/>
  <c r="N8" i="51"/>
  <c r="L40" i="51"/>
  <c r="AC25" i="51"/>
  <c r="J8" i="51"/>
  <c r="P7" i="28"/>
  <c r="J23" i="28" s="1"/>
  <c r="N22" i="28"/>
  <c r="Y25" i="28"/>
  <c r="Y34" i="28"/>
  <c r="Y36" i="28"/>
  <c r="Y37" i="28"/>
  <c r="N15" i="51"/>
  <c r="N18" i="28"/>
  <c r="J11" i="51"/>
  <c r="AE32" i="51"/>
  <c r="J17" i="51"/>
  <c r="AE29" i="51"/>
  <c r="N17" i="51"/>
  <c r="N13" i="51"/>
  <c r="N15" i="28"/>
  <c r="J16" i="51"/>
  <c r="N11" i="28"/>
  <c r="Y38" i="28"/>
  <c r="N10" i="51"/>
  <c r="J12" i="51"/>
  <c r="N11" i="51"/>
  <c r="N9" i="28"/>
  <c r="Y27" i="28"/>
  <c r="J15" i="51"/>
  <c r="V44" i="28"/>
  <c r="N9" i="51"/>
  <c r="J10" i="51"/>
  <c r="AE33" i="51"/>
  <c r="J19" i="51"/>
  <c r="AE37" i="51"/>
  <c r="Y44" i="28"/>
  <c r="AE27" i="51"/>
  <c r="Y30" i="28"/>
  <c r="AE28" i="51"/>
  <c r="AC44" i="28"/>
  <c r="N17" i="28"/>
  <c r="N16" i="51"/>
  <c r="N13" i="28"/>
  <c r="N14" i="28"/>
  <c r="AE35" i="51"/>
  <c r="N10" i="28"/>
  <c r="N16" i="28"/>
  <c r="N8" i="28"/>
  <c r="Y33" i="28"/>
  <c r="AC29" i="51"/>
  <c r="N18" i="51"/>
  <c r="N19" i="51"/>
  <c r="AE36" i="51"/>
  <c r="N14" i="51"/>
  <c r="J14" i="51"/>
  <c r="J13" i="51"/>
  <c r="Y28" i="28"/>
  <c r="Y32" i="28"/>
  <c r="J18" i="51"/>
  <c r="P12" i="51"/>
  <c r="L23" i="28" l="1"/>
  <c r="Y39" i="28"/>
  <c r="N23" i="51"/>
  <c r="P23" i="51" s="1"/>
  <c r="AE44" i="28"/>
  <c r="AE47" i="28" s="1"/>
  <c r="V47" i="28"/>
  <c r="J30" i="51"/>
  <c r="J45" i="51" s="1"/>
  <c r="J26" i="51"/>
  <c r="J42" i="51" s="1"/>
  <c r="N24" i="51"/>
  <c r="N25" i="51"/>
  <c r="J27" i="51"/>
  <c r="J41" i="51" s="1"/>
  <c r="F43" i="28"/>
  <c r="F39" i="28"/>
  <c r="N23" i="28"/>
  <c r="N55" i="51"/>
  <c r="F45" i="28"/>
  <c r="F44" i="28"/>
  <c r="L56" i="51"/>
  <c r="L60" i="51"/>
  <c r="L57" i="51"/>
  <c r="L58" i="51"/>
  <c r="L59" i="51"/>
  <c r="J36" i="51"/>
  <c r="J51" i="51" s="1"/>
  <c r="J32" i="51"/>
  <c r="J47" i="51" s="1"/>
  <c r="J35" i="51"/>
  <c r="J50" i="51" s="1"/>
  <c r="J31" i="51"/>
  <c r="J46" i="51" s="1"/>
  <c r="AA10" i="51"/>
  <c r="J28" i="51"/>
  <c r="J43" i="51" s="1"/>
  <c r="J29" i="51"/>
  <c r="J44" i="51" s="1"/>
  <c r="J34" i="51"/>
  <c r="J49" i="51" s="1"/>
  <c r="J24" i="28"/>
  <c r="L65" i="51"/>
  <c r="L62" i="51"/>
  <c r="L66" i="51"/>
  <c r="L63" i="51"/>
  <c r="L64" i="51"/>
  <c r="L61" i="51"/>
  <c r="Y17" i="51"/>
  <c r="F42" i="28"/>
  <c r="AA9" i="28"/>
  <c r="AA10" i="28"/>
  <c r="Y14" i="51"/>
  <c r="Y21" i="51" s="1"/>
  <c r="F41" i="28"/>
  <c r="L31" i="28"/>
  <c r="L30" i="28"/>
  <c r="J25" i="28"/>
  <c r="L24" i="28"/>
  <c r="L33" i="28"/>
  <c r="J27" i="28"/>
  <c r="L32" i="28"/>
  <c r="J26" i="28"/>
  <c r="J28" i="28"/>
  <c r="J29" i="28"/>
  <c r="J30" i="28"/>
  <c r="J32" i="28"/>
  <c r="L26" i="28"/>
  <c r="J31" i="28"/>
  <c r="J33" i="28"/>
  <c r="L29" i="28"/>
  <c r="L28" i="28"/>
  <c r="L27" i="28"/>
  <c r="L25" i="28"/>
  <c r="Y12" i="28"/>
  <c r="AA8" i="28" s="1"/>
  <c r="AE38" i="51"/>
  <c r="J33" i="51"/>
  <c r="J48" i="51" s="1"/>
  <c r="F38" i="28"/>
  <c r="AA9" i="51"/>
  <c r="F40" i="28"/>
  <c r="AA25" i="51"/>
  <c r="R7" i="51"/>
  <c r="P8" i="51"/>
  <c r="N40" i="51"/>
  <c r="W25" i="28"/>
  <c r="N24" i="28"/>
  <c r="N25" i="28"/>
  <c r="N27" i="28"/>
  <c r="N26" i="28"/>
  <c r="N28" i="28"/>
  <c r="N29" i="28"/>
  <c r="N30" i="28"/>
  <c r="N32" i="28"/>
  <c r="N31" i="28"/>
  <c r="N33" i="28"/>
  <c r="P22" i="28"/>
  <c r="W34" i="28"/>
  <c r="P14" i="28"/>
  <c r="P9" i="28"/>
  <c r="AC33" i="51"/>
  <c r="P13" i="28"/>
  <c r="W36" i="28"/>
  <c r="P11" i="51"/>
  <c r="AC31" i="51"/>
  <c r="P16" i="51"/>
  <c r="W32" i="28"/>
  <c r="P17" i="28"/>
  <c r="AC32" i="51"/>
  <c r="P18" i="28"/>
  <c r="P15" i="28"/>
  <c r="R12" i="51"/>
  <c r="W38" i="28"/>
  <c r="P14" i="51"/>
  <c r="W33" i="28"/>
  <c r="AC28" i="51"/>
  <c r="AC37" i="51"/>
  <c r="P8" i="28"/>
  <c r="W37" i="28"/>
  <c r="W27" i="28"/>
  <c r="P13" i="51"/>
  <c r="P16" i="28"/>
  <c r="AC27" i="51"/>
  <c r="W30" i="28"/>
  <c r="P19" i="51"/>
  <c r="AC36" i="51"/>
  <c r="P17" i="51"/>
  <c r="P18" i="51"/>
  <c r="AC35" i="51"/>
  <c r="W28" i="28"/>
  <c r="P12" i="28"/>
  <c r="P10" i="28"/>
  <c r="P10" i="51"/>
  <c r="P9" i="51"/>
  <c r="P15" i="51"/>
  <c r="P11" i="28"/>
  <c r="AA32" i="51"/>
  <c r="N56" i="51" l="1"/>
  <c r="F43" i="51"/>
  <c r="L27" i="51"/>
  <c r="L41" i="51" s="1"/>
  <c r="W39" i="28"/>
  <c r="L30" i="51"/>
  <c r="L45" i="51" s="1"/>
  <c r="P24" i="51"/>
  <c r="P25" i="51"/>
  <c r="N63" i="51"/>
  <c r="F41" i="51"/>
  <c r="F46" i="51"/>
  <c r="F45" i="51"/>
  <c r="F40" i="51"/>
  <c r="F44" i="51"/>
  <c r="F39" i="51"/>
  <c r="F42" i="51"/>
  <c r="J56" i="51"/>
  <c r="J63" i="51"/>
  <c r="J64" i="51"/>
  <c r="J66" i="51"/>
  <c r="J61" i="51"/>
  <c r="J62" i="51"/>
  <c r="J60" i="51"/>
  <c r="J59" i="51"/>
  <c r="J58" i="51"/>
  <c r="J65" i="51"/>
  <c r="AC38" i="51"/>
  <c r="AC10" i="28"/>
  <c r="P23" i="28"/>
  <c r="P55" i="51"/>
  <c r="T7" i="51"/>
  <c r="AA12" i="51"/>
  <c r="AA15" i="51" s="1"/>
  <c r="AC14" i="51" s="1"/>
  <c r="N58" i="51"/>
  <c r="N57" i="51"/>
  <c r="N60" i="51"/>
  <c r="L33" i="51"/>
  <c r="L48" i="51" s="1"/>
  <c r="L31" i="51"/>
  <c r="L46" i="51" s="1"/>
  <c r="N59" i="51"/>
  <c r="N66" i="51"/>
  <c r="N61" i="51"/>
  <c r="N64" i="51"/>
  <c r="N65" i="51"/>
  <c r="N62" i="51"/>
  <c r="AA12" i="28"/>
  <c r="AA15" i="28" s="1"/>
  <c r="AC14" i="28" s="1"/>
  <c r="L32" i="51"/>
  <c r="L47" i="51" s="1"/>
  <c r="L29" i="51"/>
  <c r="L44" i="51" s="1"/>
  <c r="Y20" i="28"/>
  <c r="Y15" i="28"/>
  <c r="L34" i="51"/>
  <c r="L49" i="51" s="1"/>
  <c r="AC9" i="51"/>
  <c r="L35" i="51"/>
  <c r="L50" i="51" s="1"/>
  <c r="L28" i="51"/>
  <c r="L43" i="51" s="1"/>
  <c r="AC10" i="51"/>
  <c r="L36" i="51"/>
  <c r="L51" i="51" s="1"/>
  <c r="AC9" i="28"/>
  <c r="L26" i="51"/>
  <c r="L42" i="51" s="1"/>
  <c r="R23" i="51"/>
  <c r="R8" i="51"/>
  <c r="P40" i="51"/>
  <c r="Y25" i="51"/>
  <c r="P24" i="28"/>
  <c r="P25" i="28"/>
  <c r="P26" i="28"/>
  <c r="P27" i="28"/>
  <c r="P28" i="28"/>
  <c r="P29" i="28"/>
  <c r="P30" i="28"/>
  <c r="P31" i="28"/>
  <c r="P32" i="28"/>
  <c r="P33" i="28"/>
  <c r="R16" i="51"/>
  <c r="AA33" i="51"/>
  <c r="AA35" i="51"/>
  <c r="R17" i="51"/>
  <c r="AA36" i="51"/>
  <c r="T13" i="51"/>
  <c r="R14" i="51"/>
  <c r="R11" i="51"/>
  <c r="AA28" i="51"/>
  <c r="R10" i="51"/>
  <c r="R13" i="51"/>
  <c r="R15" i="51"/>
  <c r="Y35" i="51"/>
  <c r="AA37" i="51"/>
  <c r="R9" i="51"/>
  <c r="AA27" i="51"/>
  <c r="R18" i="51"/>
  <c r="AA29" i="51"/>
  <c r="AA31" i="51"/>
  <c r="Y29" i="51"/>
  <c r="R19" i="51"/>
  <c r="R24" i="51" l="1"/>
  <c r="R25" i="51"/>
  <c r="N27" i="51"/>
  <c r="N41" i="51" s="1"/>
  <c r="AE9" i="51"/>
  <c r="P56" i="51"/>
  <c r="T8" i="51"/>
  <c r="AC8" i="51"/>
  <c r="AC12" i="51" s="1"/>
  <c r="AE8" i="51" s="1"/>
  <c r="AA21" i="51"/>
  <c r="AA20" i="51"/>
  <c r="P57" i="51"/>
  <c r="P58" i="51"/>
  <c r="N36" i="51"/>
  <c r="N51" i="51" s="1"/>
  <c r="N31" i="51"/>
  <c r="N46" i="51" s="1"/>
  <c r="N26" i="51"/>
  <c r="N42" i="51" s="1"/>
  <c r="AE10" i="51"/>
  <c r="N28" i="51"/>
  <c r="N43" i="51" s="1"/>
  <c r="AA20" i="28"/>
  <c r="AC8" i="28"/>
  <c r="AC12" i="28" s="1"/>
  <c r="AC20" i="28" s="1"/>
  <c r="P60" i="51"/>
  <c r="P59" i="51"/>
  <c r="P66" i="51"/>
  <c r="P63" i="51"/>
  <c r="P64" i="51"/>
  <c r="P61" i="51"/>
  <c r="P65" i="51"/>
  <c r="P62" i="51"/>
  <c r="N34" i="51"/>
  <c r="N49" i="51" s="1"/>
  <c r="N32" i="51"/>
  <c r="N47" i="51" s="1"/>
  <c r="N30" i="51"/>
  <c r="N45" i="51" s="1"/>
  <c r="N29" i="51"/>
  <c r="N44" i="51" s="1"/>
  <c r="N35" i="51"/>
  <c r="N50" i="51" s="1"/>
  <c r="N33" i="51"/>
  <c r="N48" i="51" s="1"/>
  <c r="AA14" i="28"/>
  <c r="AA21" i="28" s="1"/>
  <c r="Y21" i="28"/>
  <c r="AA38" i="51"/>
  <c r="AE10" i="28"/>
  <c r="AE9" i="28"/>
  <c r="P30" i="51"/>
  <c r="P45" i="51" s="1"/>
  <c r="T19" i="51"/>
  <c r="T18" i="51"/>
  <c r="T9" i="51"/>
  <c r="T14" i="51"/>
  <c r="Y37" i="51"/>
  <c r="Y32" i="51"/>
  <c r="T15" i="51"/>
  <c r="T10" i="51"/>
  <c r="Y31" i="51"/>
  <c r="Y27" i="51"/>
  <c r="T11" i="51"/>
  <c r="Y33" i="51"/>
  <c r="T17" i="51"/>
  <c r="T16" i="51"/>
  <c r="Y36" i="51"/>
  <c r="T12" i="51"/>
  <c r="P31" i="51" l="1"/>
  <c r="P46" i="51" s="1"/>
  <c r="P26" i="51"/>
  <c r="P42" i="51" s="1"/>
  <c r="P32" i="51"/>
  <c r="P47" i="51" s="1"/>
  <c r="AE12" i="51"/>
  <c r="AE20" i="51" s="1"/>
  <c r="P35" i="51"/>
  <c r="P50" i="51" s="1"/>
  <c r="P33" i="51"/>
  <c r="P48" i="51" s="1"/>
  <c r="P29" i="51"/>
  <c r="P44" i="51" s="1"/>
  <c r="P27" i="51"/>
  <c r="P41" i="51" s="1"/>
  <c r="AG9" i="51"/>
  <c r="P28" i="51"/>
  <c r="P43" i="51" s="1"/>
  <c r="AG10" i="51"/>
  <c r="P34" i="51"/>
  <c r="P49" i="51" s="1"/>
  <c r="AC15" i="28"/>
  <c r="AC21" i="28" s="1"/>
  <c r="AE8" i="28"/>
  <c r="AE12" i="28" s="1"/>
  <c r="AE15" i="28" s="1"/>
  <c r="AC20" i="51"/>
  <c r="AC15" i="51"/>
  <c r="AE14" i="51" s="1"/>
  <c r="P36" i="51"/>
  <c r="P51" i="51" s="1"/>
  <c r="Y38" i="51"/>
  <c r="R26" i="51"/>
  <c r="R32" i="51"/>
  <c r="R27" i="51"/>
  <c r="R29" i="51"/>
  <c r="R30" i="51"/>
  <c r="R28" i="51"/>
  <c r="R31" i="51"/>
  <c r="R33" i="51"/>
  <c r="R34" i="51"/>
  <c r="R35" i="51"/>
  <c r="R36" i="51"/>
  <c r="AG8" i="51" l="1"/>
  <c r="AG12" i="51" s="1"/>
  <c r="AG15" i="51" s="1"/>
  <c r="AE15" i="51"/>
  <c r="AG14" i="51" s="1"/>
  <c r="AE14" i="28"/>
  <c r="AE21" i="28" s="1"/>
  <c r="AC21" i="51"/>
  <c r="AE20" i="28"/>
  <c r="AG21" i="51" l="1"/>
  <c r="AE21" i="51"/>
  <c r="AG20" i="51"/>
</calcChain>
</file>

<file path=xl/comments1.xml><?xml version="1.0" encoding="utf-8"?>
<comments xmlns="http://schemas.openxmlformats.org/spreadsheetml/2006/main">
  <authors>
    <author>Zheng HanQian</author>
  </authors>
  <commentList>
    <comment ref="E3" authorId="0" shapeId="0">
      <text>
        <r>
          <rPr>
            <b/>
            <sz val="12"/>
            <color indexed="81"/>
            <rFont val="宋体"/>
            <family val="3"/>
            <charset val="134"/>
          </rPr>
          <t>author:
e.g. USD,CNY,HKD,GBP,CAD，EUR,JPY</t>
        </r>
        <r>
          <rPr>
            <sz val="12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<sst xmlns="http://schemas.openxmlformats.org/spreadsheetml/2006/main" count="2324" uniqueCount="260">
  <si>
    <t xml:space="preserve"> 估值日期</t>
    <phoneticPr fontId="7" type="noConversion"/>
  </si>
  <si>
    <t>公司名称</t>
    <phoneticPr fontId="7" type="noConversion"/>
  </si>
  <si>
    <t>最新年报年份</t>
    <phoneticPr fontId="7" type="noConversion"/>
  </si>
  <si>
    <t>证券代码</t>
    <phoneticPr fontId="7" type="noConversion"/>
  </si>
  <si>
    <t>证券简称</t>
    <phoneticPr fontId="7" type="noConversion"/>
  </si>
  <si>
    <t>收盘价</t>
    <phoneticPr fontId="7" type="noConversion"/>
  </si>
  <si>
    <t>高</t>
    <phoneticPr fontId="7" type="noConversion"/>
  </si>
  <si>
    <t>低</t>
    <phoneticPr fontId="7" type="noConversion"/>
  </si>
  <si>
    <t>最大值</t>
    <phoneticPr fontId="7" type="noConversion"/>
  </si>
  <si>
    <t>平均数</t>
    <phoneticPr fontId="7" type="noConversion"/>
  </si>
  <si>
    <t>中位数</t>
    <phoneticPr fontId="7" type="noConversion"/>
  </si>
  <si>
    <t>最小值</t>
    <phoneticPr fontId="7" type="noConversion"/>
  </si>
  <si>
    <t xml:space="preserve"> </t>
    <phoneticPr fontId="7" type="noConversion"/>
  </si>
  <si>
    <t xml:space="preserve">  基本信息</t>
    <phoneticPr fontId="7" type="noConversion"/>
  </si>
  <si>
    <t xml:space="preserve">  盈利预测数据</t>
    <phoneticPr fontId="7" type="noConversion"/>
  </si>
  <si>
    <t xml:space="preserve">  盈利分析</t>
    <phoneticPr fontId="7" type="noConversion"/>
  </si>
  <si>
    <t>Y0</t>
  </si>
  <si>
    <t>Y4</t>
    <phoneticPr fontId="7" type="noConversion"/>
  </si>
  <si>
    <t>Y1</t>
  </si>
  <si>
    <t>Y2</t>
  </si>
  <si>
    <t>Y3</t>
  </si>
  <si>
    <t>Y4</t>
  </si>
  <si>
    <t xml:space="preserve">  证券简称</t>
    <phoneticPr fontId="7" type="noConversion"/>
  </si>
  <si>
    <t xml:space="preserve">  BPS</t>
    <phoneticPr fontId="7" type="noConversion"/>
  </si>
  <si>
    <t xml:space="preserve">  期初归属于母公司股东权益（亿元）</t>
    <phoneticPr fontId="7" type="noConversion"/>
  </si>
  <si>
    <t xml:space="preserve">  所属WIND行业</t>
    <phoneticPr fontId="7" type="noConversion"/>
  </si>
  <si>
    <t xml:space="preserve">  EPS</t>
    <phoneticPr fontId="7" type="noConversion"/>
  </si>
  <si>
    <t xml:space="preserve">  DPS</t>
    <phoneticPr fontId="7" type="noConversion"/>
  </si>
  <si>
    <t>年度分红</t>
  </si>
  <si>
    <t xml:space="preserve">  市场表现</t>
    <phoneticPr fontId="7" type="noConversion"/>
  </si>
  <si>
    <t xml:space="preserve">  ROE</t>
    <phoneticPr fontId="7" type="noConversion"/>
  </si>
  <si>
    <t>调整项</t>
  </si>
  <si>
    <t xml:space="preserve">  ROA</t>
    <phoneticPr fontId="7" type="noConversion"/>
  </si>
  <si>
    <t xml:space="preserve">  收盘价</t>
    <phoneticPr fontId="7" type="noConversion"/>
  </si>
  <si>
    <t xml:space="preserve">  EBIT（亿元）</t>
    <phoneticPr fontId="7" type="noConversion"/>
  </si>
  <si>
    <t xml:space="preserve">  EBITDA（亿元）</t>
    <phoneticPr fontId="7" type="noConversion"/>
  </si>
  <si>
    <t xml:space="preserve">  营业收入（亿元）</t>
    <phoneticPr fontId="7" type="noConversion"/>
  </si>
  <si>
    <t xml:space="preserve">  52周最高价</t>
    <phoneticPr fontId="7" type="noConversion"/>
  </si>
  <si>
    <t xml:space="preserve">  利润总额（亿元）</t>
    <phoneticPr fontId="7" type="noConversion"/>
  </si>
  <si>
    <t xml:space="preserve">  净利润（亿元）</t>
    <phoneticPr fontId="7" type="noConversion"/>
  </si>
  <si>
    <t xml:space="preserve">  期初总资产</t>
    <phoneticPr fontId="7" type="noConversion"/>
  </si>
  <si>
    <t xml:space="preserve">  52周最低价</t>
    <phoneticPr fontId="7" type="noConversion"/>
  </si>
  <si>
    <t xml:space="preserve">  营业利润（亿元）</t>
    <phoneticPr fontId="7" type="noConversion"/>
  </si>
  <si>
    <t xml:space="preserve">  % 52周最低价</t>
    <phoneticPr fontId="7" type="noConversion"/>
  </si>
  <si>
    <t xml:space="preserve">  ROAE</t>
    <phoneticPr fontId="7" type="noConversion"/>
  </si>
  <si>
    <t xml:space="preserve">  BETA（近12个月）</t>
    <phoneticPr fontId="7" type="noConversion"/>
  </si>
  <si>
    <t xml:space="preserve">  市盈率</t>
    <phoneticPr fontId="7" type="noConversion"/>
  </si>
  <si>
    <t xml:space="preserve">  历史财务数据</t>
    <phoneticPr fontId="7" type="noConversion"/>
  </si>
  <si>
    <t xml:space="preserve">  市净率</t>
    <phoneticPr fontId="7" type="noConversion"/>
  </si>
  <si>
    <t>Y-3</t>
    <phoneticPr fontId="7" type="noConversion"/>
  </si>
  <si>
    <t>Y-1</t>
    <phoneticPr fontId="7" type="noConversion"/>
  </si>
  <si>
    <t>Y0</t>
    <phoneticPr fontId="7" type="noConversion"/>
  </si>
  <si>
    <t xml:space="preserve">  总股本（万股）</t>
    <phoneticPr fontId="7" type="noConversion"/>
  </si>
  <si>
    <t xml:space="preserve">  股息率</t>
    <phoneticPr fontId="7" type="noConversion"/>
  </si>
  <si>
    <t>+/-调整项</t>
    <phoneticPr fontId="7" type="noConversion"/>
  </si>
  <si>
    <t>资产总计</t>
    <phoneticPr fontId="7" type="noConversion"/>
  </si>
  <si>
    <t>定向增发</t>
    <phoneticPr fontId="7" type="noConversion"/>
  </si>
  <si>
    <t>固定资产</t>
    <phoneticPr fontId="7" type="noConversion"/>
  </si>
  <si>
    <t>公开增发</t>
    <phoneticPr fontId="7" type="noConversion"/>
  </si>
  <si>
    <t>归属母公司股东权益</t>
    <phoneticPr fontId="7" type="noConversion"/>
  </si>
  <si>
    <t>可转债</t>
    <phoneticPr fontId="7" type="noConversion"/>
  </si>
  <si>
    <t xml:space="preserve">  稀释后股本(万股)</t>
    <phoneticPr fontId="7" type="noConversion"/>
  </si>
  <si>
    <t xml:space="preserve">  总市值1（亿元）</t>
    <phoneticPr fontId="7" type="noConversion"/>
  </si>
  <si>
    <t xml:space="preserve">  总市值2（亿元）</t>
    <phoneticPr fontId="7" type="noConversion"/>
  </si>
  <si>
    <t>净利润</t>
    <phoneticPr fontId="7" type="noConversion"/>
  </si>
  <si>
    <t xml:space="preserve">  关键财务指标</t>
    <phoneticPr fontId="7" type="noConversion"/>
  </si>
  <si>
    <t>每股净资产</t>
    <phoneticPr fontId="7" type="noConversion"/>
  </si>
  <si>
    <t xml:space="preserve">  BPS增长率</t>
    <phoneticPr fontId="7" type="noConversion"/>
  </si>
  <si>
    <t>每股收益</t>
    <phoneticPr fontId="7" type="noConversion"/>
  </si>
  <si>
    <t>每股股利</t>
    <phoneticPr fontId="7" type="noConversion"/>
  </si>
  <si>
    <t xml:space="preserve">  EBITDA增长率</t>
    <phoneticPr fontId="7" type="noConversion"/>
  </si>
  <si>
    <t>股息支付率</t>
    <phoneticPr fontId="7" type="noConversion"/>
  </si>
  <si>
    <t xml:space="preserve">  净利润增长率</t>
    <phoneticPr fontId="7" type="noConversion"/>
  </si>
  <si>
    <t xml:space="preserve">  EPS增长率</t>
    <phoneticPr fontId="7" type="noConversion"/>
  </si>
  <si>
    <t>股本数据（多地上市）</t>
    <phoneticPr fontId="7" type="noConversion"/>
  </si>
  <si>
    <t xml:space="preserve">  DPS增长率</t>
    <phoneticPr fontId="7" type="noConversion"/>
  </si>
  <si>
    <t>发行股份数(万股)</t>
    <phoneticPr fontId="7" type="noConversion"/>
  </si>
  <si>
    <t>交易币种</t>
    <phoneticPr fontId="7" type="noConversion"/>
  </si>
  <si>
    <t xml:space="preserve">  EBIT增长率</t>
    <phoneticPr fontId="7" type="noConversion"/>
  </si>
  <si>
    <t>合计值</t>
    <phoneticPr fontId="7" type="noConversion"/>
  </si>
  <si>
    <t xml:space="preserve">  盈利预测数据-FY</t>
    <phoneticPr fontId="7" type="noConversion"/>
  </si>
  <si>
    <t xml:space="preserve">  年报截止日期</t>
    <phoneticPr fontId="7" type="noConversion"/>
  </si>
  <si>
    <t xml:space="preserve">  所属会计年度</t>
    <phoneticPr fontId="7" type="noConversion"/>
  </si>
  <si>
    <t xml:space="preserve">  % 年化波动率（近12个月）</t>
    <phoneticPr fontId="7" type="noConversion"/>
  </si>
  <si>
    <t xml:space="preserve">  盈利预测数据-CY</t>
    <phoneticPr fontId="7" type="noConversion"/>
  </si>
  <si>
    <t xml:space="preserve">  会计年结日</t>
    <phoneticPr fontId="7" type="noConversion"/>
  </si>
  <si>
    <t xml:space="preserve">  本会计年度月份</t>
    <phoneticPr fontId="7" type="noConversion"/>
  </si>
  <si>
    <t>合计值</t>
    <phoneticPr fontId="7" type="noConversion"/>
  </si>
  <si>
    <t xml:space="preserve">  EBIT增长率</t>
    <phoneticPr fontId="7" type="noConversion"/>
  </si>
  <si>
    <t>市值(亿元)</t>
    <phoneticPr fontId="7" type="noConversion"/>
  </si>
  <si>
    <t>汇率</t>
    <phoneticPr fontId="7" type="noConversion"/>
  </si>
  <si>
    <t>交易币种</t>
    <phoneticPr fontId="7" type="noConversion"/>
  </si>
  <si>
    <t>收盘价</t>
    <phoneticPr fontId="7" type="noConversion"/>
  </si>
  <si>
    <t>最新交易日期</t>
    <phoneticPr fontId="7" type="noConversion"/>
  </si>
  <si>
    <t>发行股份数(万股)</t>
    <phoneticPr fontId="7" type="noConversion"/>
  </si>
  <si>
    <t>证券简称</t>
    <phoneticPr fontId="7" type="noConversion"/>
  </si>
  <si>
    <t>证券代码</t>
    <phoneticPr fontId="7" type="noConversion"/>
  </si>
  <si>
    <t xml:space="preserve">  DPS增长率</t>
    <phoneticPr fontId="7" type="noConversion"/>
  </si>
  <si>
    <t>股本数据（多地上市）</t>
    <phoneticPr fontId="7" type="noConversion"/>
  </si>
  <si>
    <t>股息支付率</t>
    <phoneticPr fontId="7" type="noConversion"/>
  </si>
  <si>
    <t xml:space="preserve">  EBITDA增长率</t>
    <phoneticPr fontId="7" type="noConversion"/>
  </si>
  <si>
    <t>每股股利</t>
    <phoneticPr fontId="7" type="noConversion"/>
  </si>
  <si>
    <t xml:space="preserve">  营业收入增长率</t>
    <phoneticPr fontId="7" type="noConversion"/>
  </si>
  <si>
    <t>每股收益</t>
    <phoneticPr fontId="7" type="noConversion"/>
  </si>
  <si>
    <t>每股净资产</t>
    <phoneticPr fontId="7" type="noConversion"/>
  </si>
  <si>
    <t xml:space="preserve">  成长能力分析</t>
    <phoneticPr fontId="7" type="noConversion"/>
  </si>
  <si>
    <t>净利润</t>
    <phoneticPr fontId="7" type="noConversion"/>
  </si>
  <si>
    <t xml:space="preserve">  总市值2（亿元）</t>
    <phoneticPr fontId="7" type="noConversion"/>
  </si>
  <si>
    <t>营业总成本</t>
    <phoneticPr fontId="7" type="noConversion"/>
  </si>
  <si>
    <t xml:space="preserve">  营业利润（亿元）</t>
    <phoneticPr fontId="7" type="noConversion"/>
  </si>
  <si>
    <t xml:space="preserve">  总市值1（亿元）</t>
    <phoneticPr fontId="7" type="noConversion"/>
  </si>
  <si>
    <t>营业总收入</t>
    <phoneticPr fontId="7" type="noConversion"/>
  </si>
  <si>
    <t xml:space="preserve">  净利润（亿元）</t>
    <phoneticPr fontId="7" type="noConversion"/>
  </si>
  <si>
    <t xml:space="preserve">  稀释后股本(万股)</t>
    <phoneticPr fontId="7" type="noConversion"/>
  </si>
  <si>
    <t xml:space="preserve">  利润表(亿元)</t>
    <phoneticPr fontId="7" type="noConversion"/>
  </si>
  <si>
    <t xml:space="preserve">  利润总额（亿元）</t>
    <phoneticPr fontId="7" type="noConversion"/>
  </si>
  <si>
    <t>可转债</t>
    <phoneticPr fontId="7" type="noConversion"/>
  </si>
  <si>
    <t>归属母公司股东权益</t>
    <phoneticPr fontId="7" type="noConversion"/>
  </si>
  <si>
    <t xml:space="preserve">  营业收入（亿元）</t>
    <phoneticPr fontId="7" type="noConversion"/>
  </si>
  <si>
    <t>优先股</t>
    <phoneticPr fontId="7" type="noConversion"/>
  </si>
  <si>
    <t>无形资产</t>
    <phoneticPr fontId="7" type="noConversion"/>
  </si>
  <si>
    <t xml:space="preserve">  EBITDA（亿元）</t>
    <phoneticPr fontId="7" type="noConversion"/>
  </si>
  <si>
    <t>公开增发</t>
    <phoneticPr fontId="7" type="noConversion"/>
  </si>
  <si>
    <t xml:space="preserve">  EBIT（亿元）</t>
    <phoneticPr fontId="7" type="noConversion"/>
  </si>
  <si>
    <t xml:space="preserve"> </t>
    <phoneticPr fontId="7" type="noConversion"/>
  </si>
  <si>
    <t>定向增发</t>
    <phoneticPr fontId="7" type="noConversion"/>
  </si>
  <si>
    <t>资产总计</t>
    <phoneticPr fontId="7" type="noConversion"/>
  </si>
  <si>
    <t xml:space="preserve">  ROA</t>
    <phoneticPr fontId="7" type="noConversion"/>
  </si>
  <si>
    <t>配股</t>
    <phoneticPr fontId="7" type="noConversion"/>
  </si>
  <si>
    <t xml:space="preserve">  资产负债表(亿元)</t>
    <phoneticPr fontId="7" type="noConversion"/>
  </si>
  <si>
    <t xml:space="preserve">  ROE</t>
    <phoneticPr fontId="7" type="noConversion"/>
  </si>
  <si>
    <t>+/-调整项</t>
    <phoneticPr fontId="7" type="noConversion"/>
  </si>
  <si>
    <t xml:space="preserve">  总股本（万股）</t>
    <phoneticPr fontId="7" type="noConversion"/>
  </si>
  <si>
    <t>Y0</t>
    <phoneticPr fontId="7" type="noConversion"/>
  </si>
  <si>
    <t>Y-1</t>
    <phoneticPr fontId="7" type="noConversion"/>
  </si>
  <si>
    <t>Y-2</t>
    <phoneticPr fontId="7" type="noConversion"/>
  </si>
  <si>
    <t>Y-3</t>
    <phoneticPr fontId="7" type="noConversion"/>
  </si>
  <si>
    <t>Y-4</t>
    <phoneticPr fontId="7" type="noConversion"/>
  </si>
  <si>
    <t xml:space="preserve">  市净率</t>
    <phoneticPr fontId="7" type="noConversion"/>
  </si>
  <si>
    <t xml:space="preserve">  市盈率</t>
    <phoneticPr fontId="7" type="noConversion"/>
  </si>
  <si>
    <t xml:space="preserve">  现金分红（近12个月，万元）</t>
    <phoneticPr fontId="7" type="noConversion"/>
  </si>
  <si>
    <t xml:space="preserve">  ROATE</t>
    <phoneticPr fontId="7" type="noConversion"/>
  </si>
  <si>
    <t xml:space="preserve">  预测结果</t>
    <phoneticPr fontId="7" type="noConversion"/>
  </si>
  <si>
    <t xml:space="preserve">  %年化波动率（近12个月）</t>
    <phoneticPr fontId="7" type="noConversion"/>
  </si>
  <si>
    <t xml:space="preserve">  % 52周最低价</t>
    <phoneticPr fontId="7" type="noConversion"/>
  </si>
  <si>
    <t xml:space="preserve">  期末总资产</t>
    <phoneticPr fontId="7" type="noConversion"/>
  </si>
  <si>
    <t xml:space="preserve">  52周最低价</t>
    <phoneticPr fontId="7" type="noConversion"/>
  </si>
  <si>
    <t xml:space="preserve">  期初总资产</t>
    <phoneticPr fontId="7" type="noConversion"/>
  </si>
  <si>
    <t xml:space="preserve">  净利润（亿元）</t>
    <phoneticPr fontId="7" type="noConversion"/>
  </si>
  <si>
    <t xml:space="preserve">  % 52周最高价</t>
    <phoneticPr fontId="7" type="noConversion"/>
  </si>
  <si>
    <t xml:space="preserve">  利润总额（亿元）</t>
    <phoneticPr fontId="7" type="noConversion"/>
  </si>
  <si>
    <t xml:space="preserve">  期末有形普通股权益资本(亿元)</t>
    <phoneticPr fontId="7" type="noConversion"/>
  </si>
  <si>
    <t xml:space="preserve">  成交量（万股）</t>
    <phoneticPr fontId="7" type="noConversion"/>
  </si>
  <si>
    <t xml:space="preserve">  期初有形普通股权益资本(亿元)</t>
    <phoneticPr fontId="7" type="noConversion"/>
  </si>
  <si>
    <t xml:space="preserve">  EBIT（亿元）</t>
    <phoneticPr fontId="7" type="noConversion"/>
  </si>
  <si>
    <t xml:space="preserve">  期末归属于母公司股东权益</t>
    <phoneticPr fontId="7" type="noConversion"/>
  </si>
  <si>
    <t xml:space="preserve">  ROA</t>
    <phoneticPr fontId="7" type="noConversion"/>
  </si>
  <si>
    <t xml:space="preserve">  最近交易日期</t>
    <phoneticPr fontId="7" type="noConversion"/>
  </si>
  <si>
    <t xml:space="preserve">  ROE</t>
    <phoneticPr fontId="7" type="noConversion"/>
  </si>
  <si>
    <t>净利润（亿元）</t>
    <phoneticPr fontId="7" type="noConversion"/>
  </si>
  <si>
    <t xml:space="preserve">  所属WIND行业</t>
    <phoneticPr fontId="7" type="noConversion"/>
  </si>
  <si>
    <t xml:space="preserve">  公司名称</t>
    <phoneticPr fontId="7" type="noConversion"/>
  </si>
  <si>
    <t>Y3</t>
    <phoneticPr fontId="7" type="noConversion"/>
  </si>
  <si>
    <t>Y2</t>
    <phoneticPr fontId="7" type="noConversion"/>
  </si>
  <si>
    <t>Y1</t>
    <phoneticPr fontId="7" type="noConversion"/>
  </si>
  <si>
    <t xml:space="preserve">  证券代码</t>
    <phoneticPr fontId="7" type="noConversion"/>
  </si>
  <si>
    <t>市值（亿元）</t>
    <phoneticPr fontId="7" type="noConversion"/>
  </si>
  <si>
    <t>汇率</t>
    <phoneticPr fontId="7" type="noConversion"/>
  </si>
  <si>
    <t>最新交易日期</t>
    <phoneticPr fontId="7" type="noConversion"/>
  </si>
  <si>
    <t xml:space="preserve">  营业收入增长率</t>
    <phoneticPr fontId="7" type="noConversion"/>
  </si>
  <si>
    <t>营业成本</t>
    <phoneticPr fontId="7" type="noConversion"/>
  </si>
  <si>
    <t>营业收入</t>
    <phoneticPr fontId="7" type="noConversion"/>
  </si>
  <si>
    <t>优先股</t>
    <phoneticPr fontId="7" type="noConversion"/>
  </si>
  <si>
    <t>配股</t>
    <phoneticPr fontId="7" type="noConversion"/>
  </si>
  <si>
    <t xml:space="preserve">  资产负债表(亿元)</t>
    <phoneticPr fontId="7" type="noConversion"/>
  </si>
  <si>
    <t>Y-4</t>
    <phoneticPr fontId="7" type="noConversion"/>
  </si>
  <si>
    <t xml:space="preserve">  现金分红（近12个月，万元）</t>
    <phoneticPr fontId="7" type="noConversion"/>
  </si>
  <si>
    <t xml:space="preserve">  ROATE</t>
    <phoneticPr fontId="7" type="noConversion"/>
  </si>
  <si>
    <t xml:space="preserve">  期末总资产</t>
    <phoneticPr fontId="7" type="noConversion"/>
  </si>
  <si>
    <t xml:space="preserve">  利润总额（亿元）</t>
    <phoneticPr fontId="7" type="noConversion"/>
  </si>
  <si>
    <t xml:space="preserve">  % 52周最高价</t>
    <phoneticPr fontId="7" type="noConversion"/>
  </si>
  <si>
    <t xml:space="preserve">  营业收入（亿元）</t>
    <phoneticPr fontId="7" type="noConversion"/>
  </si>
  <si>
    <t xml:space="preserve">  期末有形普通股权益资本(亿元)</t>
    <phoneticPr fontId="7" type="noConversion"/>
  </si>
  <si>
    <t xml:space="preserve">  成交量（万股）</t>
    <phoneticPr fontId="7" type="noConversion"/>
  </si>
  <si>
    <t xml:space="preserve">  期初有形普通股权益资本(亿元)</t>
    <phoneticPr fontId="7" type="noConversion"/>
  </si>
  <si>
    <t xml:space="preserve">  ROA</t>
    <phoneticPr fontId="7" type="noConversion"/>
  </si>
  <si>
    <t xml:space="preserve">  收盘价</t>
    <phoneticPr fontId="7" type="noConversion"/>
  </si>
  <si>
    <t xml:space="preserve">  期末股东权益</t>
    <phoneticPr fontId="7" type="noConversion"/>
  </si>
  <si>
    <t xml:space="preserve">  ROE</t>
    <phoneticPr fontId="7" type="noConversion"/>
  </si>
  <si>
    <t xml:space="preserve">  DPS</t>
    <phoneticPr fontId="7" type="noConversion"/>
  </si>
  <si>
    <t xml:space="preserve">  EPS</t>
    <phoneticPr fontId="7" type="noConversion"/>
  </si>
  <si>
    <t>净利润（亿元）</t>
    <phoneticPr fontId="7" type="noConversion"/>
  </si>
  <si>
    <t xml:space="preserve">  期初股东权益（亿元）</t>
    <phoneticPr fontId="7" type="noConversion"/>
  </si>
  <si>
    <t xml:space="preserve">  所属会计年度</t>
    <phoneticPr fontId="7" type="noConversion"/>
  </si>
  <si>
    <t xml:space="preserve">  公司名称</t>
    <phoneticPr fontId="7" type="noConversion"/>
  </si>
  <si>
    <t xml:space="preserve">  证券简称</t>
    <phoneticPr fontId="7" type="noConversion"/>
  </si>
  <si>
    <t>Y3</t>
    <phoneticPr fontId="7" type="noConversion"/>
  </si>
  <si>
    <t>Y2</t>
    <phoneticPr fontId="7" type="noConversion"/>
  </si>
  <si>
    <t>Y1</t>
    <phoneticPr fontId="7" type="noConversion"/>
  </si>
  <si>
    <t>Y0</t>
    <phoneticPr fontId="7" type="noConversion"/>
  </si>
  <si>
    <t>Y-1</t>
    <phoneticPr fontId="7" type="noConversion"/>
  </si>
  <si>
    <t xml:space="preserve">  证券代码</t>
    <phoneticPr fontId="7" type="noConversion"/>
  </si>
  <si>
    <t xml:space="preserve">  盈利分析</t>
    <phoneticPr fontId="7" type="noConversion"/>
  </si>
  <si>
    <t xml:space="preserve">  基本信息</t>
    <phoneticPr fontId="7" type="noConversion"/>
  </si>
  <si>
    <t>股票列表</t>
    <phoneticPr fontId="7" type="noConversion"/>
  </si>
  <si>
    <t xml:space="preserve">  预测结果-CY</t>
    <phoneticPr fontId="7" type="noConversion"/>
  </si>
  <si>
    <t xml:space="preserve">  预测结果-FY</t>
    <phoneticPr fontId="7" type="noConversion"/>
  </si>
  <si>
    <t>交易币种</t>
    <phoneticPr fontId="7" type="noConversion"/>
  </si>
  <si>
    <t>货币代码</t>
    <phoneticPr fontId="7" type="noConversion"/>
  </si>
  <si>
    <t>收盘价（交易币种）</t>
    <phoneticPr fontId="7" type="noConversion"/>
  </si>
  <si>
    <t xml:space="preserve">  市值(交易币种)</t>
    <phoneticPr fontId="7" type="noConversion"/>
  </si>
  <si>
    <t xml:space="preserve">  交易币种</t>
    <phoneticPr fontId="7" type="noConversion"/>
  </si>
  <si>
    <t xml:space="preserve">  市值(交易币种)</t>
    <phoneticPr fontId="7" type="noConversion"/>
  </si>
  <si>
    <t>% 52周价格（交易币种）</t>
    <phoneticPr fontId="7" type="noConversion"/>
  </si>
  <si>
    <t xml:space="preserve">  企业价值（亿元）</t>
    <phoneticPr fontId="7" type="noConversion"/>
  </si>
  <si>
    <t xml:space="preserve"> 营业利润增长率</t>
    <phoneticPr fontId="5" type="noConversion"/>
  </si>
  <si>
    <t xml:space="preserve"> ROE</t>
    <phoneticPr fontId="7" type="noConversion"/>
  </si>
  <si>
    <t>市盈率 (x)</t>
    <phoneticPr fontId="7" type="noConversion"/>
  </si>
  <si>
    <t>市净率 (x)</t>
    <phoneticPr fontId="7" type="noConversion"/>
  </si>
  <si>
    <t>EV/EBITDA (x)</t>
    <phoneticPr fontId="7" type="noConversion"/>
  </si>
  <si>
    <t>营业收入</t>
    <phoneticPr fontId="7" type="noConversion"/>
  </si>
  <si>
    <t>净利润</t>
    <phoneticPr fontId="7" type="noConversion"/>
  </si>
  <si>
    <t>EBITDA</t>
    <phoneticPr fontId="7" type="noConversion"/>
  </si>
  <si>
    <t>2年复合增长率</t>
    <phoneticPr fontId="7" type="noConversion"/>
  </si>
  <si>
    <t>601398.SH</t>
  </si>
  <si>
    <t>AAPL.O</t>
  </si>
  <si>
    <t>9988.HK</t>
  </si>
  <si>
    <t>0700.HK</t>
  </si>
  <si>
    <t>2269.HK</t>
  </si>
  <si>
    <t>NVDA.O</t>
  </si>
  <si>
    <t>可比公司估值分析</t>
    <phoneticPr fontId="5" type="noConversion"/>
  </si>
  <si>
    <r>
      <t>AAPL</t>
    </r>
    <r>
      <rPr>
        <sz val="14"/>
        <color theme="1"/>
        <rFont val="微软雅黑"/>
        <family val="2"/>
        <charset val="134"/>
      </rPr>
      <t>.O</t>
    </r>
    <phoneticPr fontId="5" type="noConversion"/>
  </si>
  <si>
    <t>CNY</t>
    <phoneticPr fontId="7" type="noConversion"/>
  </si>
  <si>
    <t>600000.SH</t>
    <phoneticPr fontId="7" type="noConversion"/>
  </si>
  <si>
    <t>601939.SH</t>
    <phoneticPr fontId="7" type="noConversion"/>
  </si>
  <si>
    <t>601288.SH</t>
    <phoneticPr fontId="7" type="noConversion"/>
  </si>
  <si>
    <t>601988.SH</t>
    <phoneticPr fontId="7" type="noConversion"/>
  </si>
  <si>
    <t>000001.SZ</t>
    <phoneticPr fontId="7" type="noConversion"/>
  </si>
  <si>
    <t>601328.SH</t>
    <phoneticPr fontId="7" type="noConversion"/>
  </si>
  <si>
    <t>601998.SH</t>
    <phoneticPr fontId="7" type="noConversion"/>
  </si>
  <si>
    <t>601818.SH</t>
    <phoneticPr fontId="7" type="noConversion"/>
  </si>
  <si>
    <t>600919.SH</t>
    <phoneticPr fontId="7" type="noConversion"/>
  </si>
  <si>
    <t>600519.SH</t>
    <phoneticPr fontId="7" type="noConversion"/>
  </si>
  <si>
    <t>可比公司估值分析 V1.4</t>
    <phoneticPr fontId="7" type="noConversion"/>
  </si>
  <si>
    <t>NVDA.O</t>
    <phoneticPr fontId="5" type="noConversion"/>
  </si>
  <si>
    <t>AAPL.O</t>
    <phoneticPr fontId="5" type="noConversion"/>
  </si>
  <si>
    <t>2269.HK</t>
    <phoneticPr fontId="5" type="noConversion"/>
  </si>
  <si>
    <t>9988.HK</t>
    <phoneticPr fontId="5" type="noConversion"/>
  </si>
  <si>
    <t>0700.HK</t>
    <phoneticPr fontId="5" type="noConversion"/>
  </si>
  <si>
    <t>600919.SH</t>
    <phoneticPr fontId="5" type="noConversion"/>
  </si>
  <si>
    <t>601818.SH</t>
    <phoneticPr fontId="5" type="noConversion"/>
  </si>
  <si>
    <t>601998.SH</t>
    <phoneticPr fontId="5" type="noConversion"/>
  </si>
  <si>
    <t>601328.SH</t>
    <phoneticPr fontId="5" type="noConversion"/>
  </si>
  <si>
    <t>000001.SZ</t>
    <phoneticPr fontId="5" type="noConversion"/>
  </si>
  <si>
    <t>601988.SH</t>
    <phoneticPr fontId="5" type="noConversion"/>
  </si>
  <si>
    <t>601288.SH</t>
    <phoneticPr fontId="5" type="noConversion"/>
  </si>
  <si>
    <t>601939.SH</t>
    <phoneticPr fontId="5" type="noConversion"/>
  </si>
  <si>
    <t>600000.SH</t>
    <phoneticPr fontId="5" type="noConversion"/>
  </si>
  <si>
    <t>600519.SH</t>
    <phoneticPr fontId="5" type="noConversion"/>
  </si>
  <si>
    <t>*使用帮助：请点击“启用编辑”-“启用内容”-“开始计算”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</si>
</sst>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3" formatCode="_ * #,##0.00_ ;_ * \-#,##0.00_ ;_ * &quot;-&quot;??_ ;_ @_ "/>
    <numFmt numFmtId="176" formatCode="#,##0.0_)\x;\(#,##0.0\)\x;0.0_)\x;@_)_x"/>
    <numFmt numFmtId="177" formatCode="0.0%"/>
    <numFmt numFmtId="178" formatCode="###,###,##0.0000"/>
    <numFmt numFmtId="179" formatCode="0.00_);[Red]\(0.00\)"/>
    <numFmt numFmtId="180" formatCode="###,###,##0.0"/>
    <numFmt numFmtId="181" formatCode="###,###,##0.00000"/>
    <numFmt numFmtId="182" formatCode="yyyy/m/d;@"/>
    <numFmt numFmtId="183" formatCode="0.000%"/>
    <numFmt numFmtId="184" formatCode="###,###,##0.00"/>
    <numFmt numFmtId="185" formatCode="###,###,##0"/>
    <numFmt numFmtId="186" formatCode="0.0"/>
    <numFmt numFmtId="187" formatCode="###,###,##0.0000000"/>
    <numFmt numFmtId="188" formatCode="yyyy\-mm\-dd"/>
    <numFmt numFmtId="189" formatCode="_ * #,##0.0000_ ;_ * \-#,##0.0000_ ;_ * &quot;-&quot;??_ ;_ @_ "/>
    <numFmt numFmtId="190" formatCode="_ * #,##0.0_ ;_ * \-#,##0.0_ ;_ * &quot;-&quot;??_ ;_ @_ "/>
    <numFmt numFmtId="191" formatCode="_ * #,##0.00000_ ;_ * \-#,##0.00000_ ;_ * &quot;-&quot;??_ ;_ @_ "/>
    <numFmt numFmtId="192" formatCode="0_);[Red]\(0\)"/>
  </numFmts>
  <fonts count="26" x14ac:knownFonts="1">
    <font>
      <sz val="11"/>
      <color theme="1"/>
      <name val="等线"/>
      <family val="2"/>
      <charset val="134"/>
      <scheme val="minor"/>
    </font>
    <font>
      <sz val="14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sz val="12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b/>
      <sz val="12"/>
      <color theme="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6" tint="-0.249977111117893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12"/>
      <color rgb="FFC00000"/>
      <name val="微软雅黑"/>
      <family val="2"/>
      <charset val="134"/>
    </font>
    <font>
      <b/>
      <sz val="10"/>
      <name val="微软雅黑"/>
      <family val="2"/>
      <charset val="134"/>
    </font>
    <font>
      <sz val="12"/>
      <color theme="6" tint="-0.249977111117893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u/>
      <sz val="12"/>
      <name val="微软雅黑"/>
      <family val="2"/>
      <charset val="134"/>
    </font>
    <font>
      <sz val="10"/>
      <name val="微软雅黑"/>
      <family val="2"/>
      <charset val="134"/>
    </font>
    <font>
      <b/>
      <sz val="20"/>
      <color theme="0"/>
      <name val="微软雅黑"/>
      <family val="2"/>
      <charset val="134"/>
    </font>
    <font>
      <b/>
      <sz val="12"/>
      <color indexed="81"/>
      <name val="宋体"/>
      <family val="3"/>
      <charset val="134"/>
    </font>
    <font>
      <sz val="12"/>
      <color indexed="81"/>
      <name val="宋体"/>
      <family val="3"/>
      <charset val="134"/>
    </font>
    <font>
      <b/>
      <sz val="12"/>
      <color rgb="FF336699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/>
      <right style="dashed">
        <color theme="0" tint="-0.34998626667073579"/>
      </right>
      <top/>
      <bottom/>
      <diagonal/>
    </border>
    <border>
      <left style="dashed">
        <color theme="0" tint="-0.34998626667073579"/>
      </left>
      <right style="dashed">
        <color theme="0" tint="-0.34998626667073579"/>
      </right>
      <top/>
      <bottom/>
      <diagonal/>
    </border>
    <border>
      <left style="dashed">
        <color theme="0" tint="-0.34998626667073579"/>
      </left>
      <right style="dotted">
        <color theme="0" tint="-0.34998626667073579"/>
      </right>
      <top/>
      <bottom/>
      <diagonal/>
    </border>
    <border>
      <left/>
      <right style="dotted">
        <color theme="0" tint="-0.34998626667073579"/>
      </right>
      <top/>
      <bottom/>
      <diagonal/>
    </border>
    <border>
      <left/>
      <right style="dotted">
        <color theme="0" tint="-0.34998626667073579"/>
      </right>
      <top/>
      <bottom style="dotted">
        <color theme="0" tint="-0.34998626667073579"/>
      </bottom>
      <diagonal/>
    </border>
    <border>
      <left style="dotted">
        <color theme="0" tint="-0.34998626667073579"/>
      </left>
      <right/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/>
      <right style="dashed">
        <color theme="0" tint="-0.34998626667073579"/>
      </right>
      <top/>
      <bottom style="dotted">
        <color theme="0" tint="-0.34998626667073579"/>
      </bottom>
      <diagonal/>
    </border>
    <border>
      <left style="dashed">
        <color theme="0" tint="-0.24994659260841701"/>
      </left>
      <right style="dashed">
        <color theme="0" tint="-0.24994659260841701"/>
      </right>
      <top/>
      <bottom/>
      <diagonal/>
    </border>
    <border>
      <left style="dashed">
        <color theme="0" tint="-0.24994659260841701"/>
      </left>
      <right/>
      <top/>
      <bottom/>
      <diagonal/>
    </border>
    <border>
      <left/>
      <right style="dotted">
        <color theme="0" tint="-0.34998626667073579"/>
      </right>
      <top style="dotted">
        <color theme="0" tint="-0.34998626667073579"/>
      </top>
      <bottom/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/>
      <diagonal/>
    </border>
    <border>
      <left/>
      <right/>
      <top/>
      <bottom style="medium">
        <color rgb="FF336699"/>
      </bottom>
      <diagonal/>
    </border>
    <border>
      <left/>
      <right/>
      <top style="medium">
        <color rgb="FF336699"/>
      </top>
      <bottom/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0" fontId="4" fillId="2" borderId="0" xfId="0" applyFont="1" applyFill="1" applyBorder="1" applyAlignment="1"/>
    <xf numFmtId="0" fontId="6" fillId="2" borderId="0" xfId="0" applyFont="1" applyFill="1" applyBorder="1" applyAlignment="1"/>
    <xf numFmtId="0" fontId="6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8" fillId="4" borderId="5" xfId="0" applyFont="1" applyFill="1" applyBorder="1" applyAlignment="1">
      <alignment horizontal="center" vertical="center"/>
    </xf>
    <xf numFmtId="14" fontId="8" fillId="4" borderId="11" xfId="0" applyNumberFormat="1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vertical="center"/>
    </xf>
    <xf numFmtId="43" fontId="4" fillId="3" borderId="0" xfId="1" applyFont="1" applyFill="1" applyBorder="1" applyAlignment="1">
      <alignment horizontal="center" vertical="center"/>
    </xf>
    <xf numFmtId="2" fontId="4" fillId="3" borderId="0" xfId="0" applyNumberFormat="1" applyFont="1" applyFill="1" applyBorder="1" applyAlignment="1">
      <alignment horizontal="center" vertical="center"/>
    </xf>
    <xf numFmtId="176" fontId="4" fillId="3" borderId="0" xfId="0" applyNumberFormat="1" applyFont="1" applyFill="1" applyBorder="1" applyAlignment="1">
      <alignment horizontal="center" vertical="center"/>
    </xf>
    <xf numFmtId="10" fontId="4" fillId="3" borderId="0" xfId="2" applyNumberFormat="1" applyFont="1" applyFill="1" applyBorder="1" applyAlignment="1">
      <alignment horizontal="center" vertical="center"/>
    </xf>
    <xf numFmtId="177" fontId="4" fillId="3" borderId="0" xfId="2" applyNumberFormat="1" applyFont="1" applyFill="1" applyBorder="1" applyAlignment="1">
      <alignment horizontal="center" vertical="center"/>
    </xf>
    <xf numFmtId="0" fontId="6" fillId="3" borderId="0" xfId="0" applyNumberFormat="1" applyFont="1" applyFill="1" applyBorder="1" applyAlignment="1">
      <alignment vertical="center"/>
    </xf>
    <xf numFmtId="0" fontId="4" fillId="5" borderId="0" xfId="0" applyNumberFormat="1" applyFont="1" applyFill="1" applyBorder="1" applyAlignment="1">
      <alignment vertical="center"/>
    </xf>
    <xf numFmtId="43" fontId="4" fillId="5" borderId="0" xfId="1" applyFont="1" applyFill="1" applyBorder="1" applyAlignment="1">
      <alignment horizontal="center" vertical="center"/>
    </xf>
    <xf numFmtId="2" fontId="4" fillId="5" borderId="0" xfId="0" applyNumberFormat="1" applyFont="1" applyFill="1" applyBorder="1" applyAlignment="1">
      <alignment horizontal="center" vertical="center"/>
    </xf>
    <xf numFmtId="43" fontId="4" fillId="5" borderId="0" xfId="1" applyNumberFormat="1" applyFont="1" applyFill="1" applyBorder="1" applyAlignment="1">
      <alignment horizontal="center" vertical="center"/>
    </xf>
    <xf numFmtId="176" fontId="4" fillId="5" borderId="0" xfId="0" applyNumberFormat="1" applyFont="1" applyFill="1" applyBorder="1" applyAlignment="1">
      <alignment horizontal="center" vertical="center"/>
    </xf>
    <xf numFmtId="10" fontId="4" fillId="5" borderId="0" xfId="2" applyNumberFormat="1" applyFont="1" applyFill="1" applyBorder="1" applyAlignment="1">
      <alignment horizontal="center" vertical="center"/>
    </xf>
    <xf numFmtId="177" fontId="4" fillId="5" borderId="0" xfId="2" applyNumberFormat="1" applyFont="1" applyFill="1" applyBorder="1" applyAlignment="1">
      <alignment horizontal="center" vertical="center"/>
    </xf>
    <xf numFmtId="178" fontId="6" fillId="3" borderId="0" xfId="0" applyNumberFormat="1" applyFont="1" applyFill="1" applyBorder="1" applyAlignment="1">
      <alignment vertical="center"/>
    </xf>
    <xf numFmtId="43" fontId="4" fillId="3" borderId="0" xfId="1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/>
    <xf numFmtId="0" fontId="4" fillId="3" borderId="0" xfId="0" applyFont="1" applyFill="1" applyBorder="1" applyAlignment="1">
      <alignment horizontal="center"/>
    </xf>
    <xf numFmtId="179" fontId="4" fillId="2" borderId="0" xfId="2" applyNumberFormat="1" applyFont="1" applyFill="1" applyBorder="1" applyAlignment="1">
      <alignment horizontal="right"/>
    </xf>
    <xf numFmtId="177" fontId="4" fillId="2" borderId="0" xfId="2" applyNumberFormat="1" applyFont="1" applyFill="1" applyBorder="1" applyAlignment="1">
      <alignment horizontal="center"/>
    </xf>
    <xf numFmtId="0" fontId="9" fillId="2" borderId="0" xfId="0" applyFont="1" applyFill="1" applyBorder="1" applyAlignment="1"/>
    <xf numFmtId="0" fontId="9" fillId="3" borderId="0" xfId="0" applyFont="1" applyFill="1" applyBorder="1" applyAlignment="1"/>
    <xf numFmtId="0" fontId="9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180" fontId="10" fillId="3" borderId="0" xfId="0" applyNumberFormat="1" applyFont="1" applyFill="1" applyBorder="1" applyAlignment="1">
      <alignment horizontal="center"/>
    </xf>
    <xf numFmtId="181" fontId="6" fillId="3" borderId="0" xfId="0" applyNumberFormat="1" applyFont="1" applyFill="1" applyBorder="1" applyAlignment="1">
      <alignment horizontal="center"/>
    </xf>
    <xf numFmtId="0" fontId="6" fillId="6" borderId="0" xfId="0" applyFont="1" applyFill="1" applyBorder="1" applyAlignment="1"/>
    <xf numFmtId="0" fontId="6" fillId="6" borderId="0" xfId="0" applyFont="1" applyFill="1" applyBorder="1" applyAlignment="1">
      <alignment horizontal="center"/>
    </xf>
    <xf numFmtId="0" fontId="11" fillId="2" borderId="0" xfId="0" applyFont="1" applyFill="1" applyBorder="1" applyAlignment="1">
      <alignment vertical="center"/>
    </xf>
    <xf numFmtId="49" fontId="12" fillId="2" borderId="0" xfId="0" applyNumberFormat="1" applyFont="1" applyFill="1" applyBorder="1" applyAlignment="1">
      <alignment vertical="center"/>
    </xf>
    <xf numFmtId="0" fontId="13" fillId="2" borderId="0" xfId="0" applyFont="1" applyFill="1" applyBorder="1" applyAlignment="1">
      <alignment horizontal="left"/>
    </xf>
    <xf numFmtId="182" fontId="14" fillId="2" borderId="0" xfId="0" applyNumberFormat="1" applyFont="1" applyFill="1" applyBorder="1" applyAlignment="1">
      <alignment horizontal="left"/>
    </xf>
    <xf numFmtId="178" fontId="11" fillId="2" borderId="0" xfId="1" applyNumberFormat="1" applyFont="1" applyFill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left" vertical="center"/>
    </xf>
    <xf numFmtId="49" fontId="16" fillId="2" borderId="0" xfId="0" applyNumberFormat="1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183" fontId="4" fillId="3" borderId="0" xfId="2" applyNumberFormat="1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17" fillId="3" borderId="0" xfId="0" applyFont="1" applyFill="1" applyBorder="1" applyAlignment="1">
      <alignment horizontal="right" vertical="center"/>
    </xf>
    <xf numFmtId="0" fontId="17" fillId="3" borderId="0" xfId="0" applyNumberFormat="1" applyFont="1" applyFill="1" applyBorder="1" applyAlignment="1">
      <alignment vertical="center"/>
    </xf>
    <xf numFmtId="0" fontId="4" fillId="3" borderId="0" xfId="0" applyFont="1" applyFill="1" applyBorder="1" applyAlignment="1">
      <alignment horizontal="right" vertical="center"/>
    </xf>
    <xf numFmtId="49" fontId="4" fillId="3" borderId="0" xfId="0" applyNumberFormat="1" applyFont="1" applyFill="1" applyBorder="1" applyAlignment="1">
      <alignment vertical="center"/>
    </xf>
    <xf numFmtId="0" fontId="17" fillId="5" borderId="0" xfId="0" applyNumberFormat="1" applyFont="1" applyFill="1" applyBorder="1" applyAlignment="1">
      <alignment vertical="center"/>
    </xf>
    <xf numFmtId="182" fontId="4" fillId="5" borderId="0" xfId="0" applyNumberFormat="1" applyFont="1" applyFill="1" applyBorder="1" applyAlignment="1">
      <alignment horizontal="right" vertical="center"/>
    </xf>
    <xf numFmtId="184" fontId="18" fillId="3" borderId="0" xfId="0" applyNumberFormat="1" applyFont="1" applyFill="1" applyBorder="1" applyAlignment="1">
      <alignment horizontal="right" vertical="center"/>
    </xf>
    <xf numFmtId="180" fontId="18" fillId="3" borderId="0" xfId="0" applyNumberFormat="1" applyFont="1" applyFill="1" applyBorder="1" applyAlignment="1">
      <alignment horizontal="right" vertical="center"/>
    </xf>
    <xf numFmtId="185" fontId="18" fillId="3" borderId="0" xfId="0" applyNumberFormat="1" applyFont="1" applyFill="1" applyBorder="1" applyAlignment="1">
      <alignment horizontal="right" vertical="center"/>
    </xf>
    <xf numFmtId="0" fontId="17" fillId="5" borderId="13" xfId="0" applyNumberFormat="1" applyFont="1" applyFill="1" applyBorder="1" applyAlignment="1">
      <alignment vertical="center"/>
    </xf>
    <xf numFmtId="0" fontId="4" fillId="5" borderId="13" xfId="0" applyNumberFormat="1" applyFont="1" applyFill="1" applyBorder="1" applyAlignment="1">
      <alignment vertical="center"/>
    </xf>
    <xf numFmtId="184" fontId="18" fillId="5" borderId="0" xfId="0" applyNumberFormat="1" applyFont="1" applyFill="1" applyBorder="1" applyAlignment="1">
      <alignment horizontal="right" vertical="center"/>
    </xf>
    <xf numFmtId="180" fontId="18" fillId="5" borderId="0" xfId="0" applyNumberFormat="1" applyFont="1" applyFill="1" applyBorder="1" applyAlignment="1">
      <alignment horizontal="right" vertical="center"/>
    </xf>
    <xf numFmtId="185" fontId="18" fillId="5" borderId="0" xfId="0" applyNumberFormat="1" applyFont="1" applyFill="1" applyBorder="1" applyAlignment="1">
      <alignment horizontal="right" vertical="center"/>
    </xf>
    <xf numFmtId="10" fontId="18" fillId="5" borderId="0" xfId="2" applyNumberFormat="1" applyFont="1" applyFill="1" applyBorder="1" applyAlignment="1">
      <alignment horizontal="right" vertical="center"/>
    </xf>
    <xf numFmtId="14" fontId="4" fillId="3" borderId="0" xfId="0" applyNumberFormat="1" applyFont="1" applyFill="1" applyBorder="1" applyAlignment="1">
      <alignment horizontal="left" vertical="center"/>
    </xf>
    <xf numFmtId="10" fontId="18" fillId="3" borderId="0" xfId="2" applyNumberFormat="1" applyFont="1" applyFill="1" applyBorder="1" applyAlignment="1">
      <alignment horizontal="right" vertical="center"/>
    </xf>
    <xf numFmtId="0" fontId="4" fillId="5" borderId="0" xfId="0" applyFont="1" applyFill="1" applyBorder="1" applyAlignment="1">
      <alignment horizontal="left" vertical="center"/>
    </xf>
    <xf numFmtId="0" fontId="4" fillId="5" borderId="0" xfId="0" applyFont="1" applyFill="1" applyBorder="1" applyAlignment="1">
      <alignment vertical="center"/>
    </xf>
    <xf numFmtId="0" fontId="18" fillId="5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left" vertical="center"/>
    </xf>
    <xf numFmtId="0" fontId="18" fillId="3" borderId="0" xfId="0" applyFont="1" applyFill="1" applyBorder="1" applyAlignment="1">
      <alignment horizontal="right" vertical="center"/>
    </xf>
    <xf numFmtId="186" fontId="4" fillId="5" borderId="0" xfId="0" applyNumberFormat="1" applyFont="1" applyFill="1" applyBorder="1" applyAlignment="1">
      <alignment horizontal="left" vertical="center"/>
    </xf>
    <xf numFmtId="177" fontId="4" fillId="5" borderId="0" xfId="2" applyNumberFormat="1" applyFont="1" applyFill="1" applyBorder="1" applyAlignment="1">
      <alignment horizontal="left" vertical="center"/>
    </xf>
    <xf numFmtId="0" fontId="17" fillId="3" borderId="13" xfId="0" applyNumberFormat="1" applyFont="1" applyFill="1" applyBorder="1" applyAlignment="1">
      <alignment vertical="center"/>
    </xf>
    <xf numFmtId="180" fontId="18" fillId="3" borderId="13" xfId="0" applyNumberFormat="1" applyFont="1" applyFill="1" applyBorder="1" applyAlignment="1">
      <alignment horizontal="right" vertical="center"/>
    </xf>
    <xf numFmtId="178" fontId="4" fillId="3" borderId="0" xfId="2" applyNumberFormat="1" applyFont="1" applyFill="1" applyBorder="1" applyAlignment="1">
      <alignment horizontal="left" vertical="center"/>
    </xf>
    <xf numFmtId="177" fontId="18" fillId="3" borderId="0" xfId="2" applyNumberFormat="1" applyFont="1" applyFill="1" applyBorder="1" applyAlignment="1">
      <alignment horizontal="right" vertical="center"/>
    </xf>
    <xf numFmtId="2" fontId="4" fillId="5" borderId="0" xfId="0" applyNumberFormat="1" applyFont="1" applyFill="1" applyBorder="1" applyAlignment="1">
      <alignment horizontal="left" vertical="center"/>
    </xf>
    <xf numFmtId="177" fontId="18" fillId="5" borderId="13" xfId="2" applyNumberFormat="1" applyFont="1" applyFill="1" applyBorder="1" applyAlignment="1">
      <alignment horizontal="right" vertical="center"/>
    </xf>
    <xf numFmtId="184" fontId="18" fillId="5" borderId="13" xfId="0" applyNumberFormat="1" applyFont="1" applyFill="1" applyBorder="1" applyAlignment="1">
      <alignment horizontal="right" vertical="center"/>
    </xf>
    <xf numFmtId="0" fontId="4" fillId="3" borderId="13" xfId="0" applyNumberFormat="1" applyFont="1" applyFill="1" applyBorder="1" applyAlignment="1">
      <alignment vertical="center"/>
    </xf>
    <xf numFmtId="0" fontId="4" fillId="3" borderId="13" xfId="0" applyFont="1" applyFill="1" applyBorder="1" applyAlignment="1">
      <alignment vertical="center"/>
    </xf>
    <xf numFmtId="185" fontId="4" fillId="3" borderId="13" xfId="0" applyNumberFormat="1" applyFont="1" applyFill="1" applyBorder="1" applyAlignment="1">
      <alignment horizontal="left" vertical="center"/>
    </xf>
    <xf numFmtId="176" fontId="18" fillId="3" borderId="0" xfId="0" applyNumberFormat="1" applyFont="1" applyFill="1" applyBorder="1" applyAlignment="1">
      <alignment horizontal="right" vertical="center"/>
    </xf>
    <xf numFmtId="176" fontId="18" fillId="5" borderId="0" xfId="0" applyNumberFormat="1" applyFont="1" applyFill="1" applyBorder="1" applyAlignment="1">
      <alignment horizontal="right" vertical="center"/>
    </xf>
    <xf numFmtId="185" fontId="4" fillId="3" borderId="0" xfId="0" applyNumberFormat="1" applyFont="1" applyFill="1" applyBorder="1" applyAlignment="1">
      <alignment horizontal="left" vertical="center"/>
    </xf>
    <xf numFmtId="185" fontId="4" fillId="5" borderId="0" xfId="0" applyNumberFormat="1" applyFont="1" applyFill="1" applyBorder="1" applyAlignment="1">
      <alignment horizontal="left" vertical="center"/>
    </xf>
    <xf numFmtId="177" fontId="18" fillId="5" borderId="0" xfId="2" applyNumberFormat="1" applyFont="1" applyFill="1" applyBorder="1" applyAlignment="1">
      <alignment horizontal="right" vertical="center"/>
    </xf>
    <xf numFmtId="186" fontId="18" fillId="5" borderId="0" xfId="0" applyNumberFormat="1" applyFont="1" applyFill="1" applyBorder="1" applyAlignment="1">
      <alignment horizontal="right" vertical="center"/>
    </xf>
    <xf numFmtId="186" fontId="18" fillId="3" borderId="0" xfId="0" applyNumberFormat="1" applyFont="1" applyFill="1" applyBorder="1" applyAlignment="1">
      <alignment horizontal="right" vertical="center"/>
    </xf>
    <xf numFmtId="180" fontId="18" fillId="5" borderId="13" xfId="0" applyNumberFormat="1" applyFont="1" applyFill="1" applyBorder="1" applyAlignment="1">
      <alignment horizontal="right" vertical="center"/>
    </xf>
    <xf numFmtId="0" fontId="4" fillId="5" borderId="13" xfId="0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10" fontId="4" fillId="3" borderId="0" xfId="2" applyNumberFormat="1" applyFont="1" applyFill="1" applyBorder="1" applyAlignment="1">
      <alignment vertical="center"/>
    </xf>
    <xf numFmtId="177" fontId="4" fillId="3" borderId="0" xfId="2" applyNumberFormat="1" applyFont="1" applyFill="1" applyBorder="1" applyAlignment="1">
      <alignment horizontal="left" vertical="center"/>
    </xf>
    <xf numFmtId="0" fontId="19" fillId="3" borderId="0" xfId="0" applyFont="1" applyFill="1" applyBorder="1" applyAlignment="1">
      <alignment horizontal="left" vertical="center"/>
    </xf>
    <xf numFmtId="0" fontId="19" fillId="3" borderId="0" xfId="0" applyFont="1" applyFill="1" applyBorder="1" applyAlignment="1">
      <alignment horizontal="right" vertical="center"/>
    </xf>
    <xf numFmtId="49" fontId="18" fillId="5" borderId="0" xfId="0" applyNumberFormat="1" applyFont="1" applyFill="1" applyBorder="1" applyAlignment="1">
      <alignment horizontal="left" vertical="center"/>
    </xf>
    <xf numFmtId="0" fontId="18" fillId="5" borderId="0" xfId="0" applyFont="1" applyFill="1" applyBorder="1" applyAlignment="1">
      <alignment horizontal="left" vertical="center"/>
    </xf>
    <xf numFmtId="178" fontId="18" fillId="5" borderId="0" xfId="0" applyNumberFormat="1" applyFont="1" applyFill="1" applyBorder="1" applyAlignment="1">
      <alignment horizontal="right" vertical="center"/>
    </xf>
    <xf numFmtId="0" fontId="18" fillId="3" borderId="0" xfId="0" applyFont="1" applyFill="1" applyBorder="1" applyAlignment="1">
      <alignment horizontal="left" vertical="center"/>
    </xf>
    <xf numFmtId="178" fontId="18" fillId="3" borderId="0" xfId="0" applyNumberFormat="1" applyFont="1" applyFill="1" applyBorder="1" applyAlignment="1">
      <alignment horizontal="right" vertical="center"/>
    </xf>
    <xf numFmtId="0" fontId="11" fillId="3" borderId="0" xfId="0" applyFont="1" applyFill="1" applyBorder="1" applyAlignment="1">
      <alignment vertical="center"/>
    </xf>
    <xf numFmtId="2" fontId="4" fillId="3" borderId="0" xfId="0" applyNumberFormat="1" applyFont="1" applyFill="1" applyBorder="1" applyAlignment="1">
      <alignment horizontal="right" vertical="center"/>
    </xf>
    <xf numFmtId="0" fontId="18" fillId="5" borderId="13" xfId="0" applyFont="1" applyFill="1" applyBorder="1" applyAlignment="1">
      <alignment horizontal="left" vertical="center"/>
    </xf>
    <xf numFmtId="185" fontId="20" fillId="5" borderId="13" xfId="0" applyNumberFormat="1" applyFont="1" applyFill="1" applyBorder="1" applyAlignment="1">
      <alignment horizontal="left" vertical="center"/>
    </xf>
    <xf numFmtId="185" fontId="20" fillId="5" borderId="13" xfId="0" applyNumberFormat="1" applyFont="1" applyFill="1" applyBorder="1" applyAlignment="1">
      <alignment horizontal="right" vertical="center"/>
    </xf>
    <xf numFmtId="185" fontId="20" fillId="5" borderId="13" xfId="0" applyNumberFormat="1" applyFont="1" applyFill="1" applyBorder="1" applyAlignment="1">
      <alignment horizontal="center" vertical="center"/>
    </xf>
    <xf numFmtId="180" fontId="21" fillId="3" borderId="0" xfId="0" applyNumberFormat="1" applyFont="1" applyFill="1" applyBorder="1" applyAlignment="1">
      <alignment horizontal="center" vertical="center"/>
    </xf>
    <xf numFmtId="0" fontId="17" fillId="3" borderId="0" xfId="0" applyFont="1" applyFill="1" applyBorder="1" applyAlignment="1">
      <alignment vertical="center"/>
    </xf>
    <xf numFmtId="182" fontId="4" fillId="5" borderId="0" xfId="0" applyNumberFormat="1" applyFont="1" applyFill="1" applyBorder="1" applyAlignment="1">
      <alignment horizontal="left" vertical="center"/>
    </xf>
    <xf numFmtId="184" fontId="18" fillId="3" borderId="0" xfId="0" applyNumberFormat="1" applyFont="1" applyFill="1" applyBorder="1" applyAlignment="1">
      <alignment horizontal="left" vertical="center"/>
    </xf>
    <xf numFmtId="0" fontId="4" fillId="3" borderId="0" xfId="0" applyNumberFormat="1" applyFont="1" applyFill="1" applyBorder="1" applyAlignment="1">
      <alignment horizontal="right" vertical="center"/>
    </xf>
    <xf numFmtId="0" fontId="4" fillId="5" borderId="13" xfId="0" applyNumberFormat="1" applyFont="1" applyFill="1" applyBorder="1" applyAlignment="1">
      <alignment horizontal="left" vertical="center"/>
    </xf>
    <xf numFmtId="184" fontId="18" fillId="5" borderId="0" xfId="1" applyNumberFormat="1" applyFont="1" applyFill="1" applyBorder="1" applyAlignment="1">
      <alignment horizontal="right" vertical="center"/>
    </xf>
    <xf numFmtId="0" fontId="18" fillId="3" borderId="0" xfId="0" applyNumberFormat="1" applyFont="1" applyFill="1" applyBorder="1" applyAlignment="1">
      <alignment horizontal="right" vertical="center"/>
    </xf>
    <xf numFmtId="186" fontId="4" fillId="3" borderId="0" xfId="0" applyNumberFormat="1" applyFont="1" applyFill="1" applyBorder="1" applyAlignment="1">
      <alignment vertical="center"/>
    </xf>
    <xf numFmtId="177" fontId="4" fillId="3" borderId="0" xfId="2" applyNumberFormat="1" applyFont="1" applyFill="1" applyBorder="1" applyAlignment="1">
      <alignment vertical="center"/>
    </xf>
    <xf numFmtId="182" fontId="4" fillId="5" borderId="13" xfId="0" applyNumberFormat="1" applyFont="1" applyFill="1" applyBorder="1" applyAlignment="1">
      <alignment horizontal="right" vertical="center"/>
    </xf>
    <xf numFmtId="186" fontId="4" fillId="3" borderId="0" xfId="0" applyNumberFormat="1" applyFont="1" applyFill="1" applyBorder="1" applyAlignment="1">
      <alignment horizontal="left" vertical="center"/>
    </xf>
    <xf numFmtId="2" fontId="4" fillId="3" borderId="0" xfId="0" applyNumberFormat="1" applyFont="1" applyFill="1" applyBorder="1" applyAlignment="1">
      <alignment vertical="center"/>
    </xf>
    <xf numFmtId="0" fontId="8" fillId="4" borderId="0" xfId="0" applyFont="1" applyFill="1" applyBorder="1" applyAlignment="1">
      <alignment horizontal="right" vertical="center"/>
    </xf>
    <xf numFmtId="0" fontId="4" fillId="5" borderId="0" xfId="0" applyNumberFormat="1" applyFont="1" applyFill="1" applyBorder="1" applyAlignment="1">
      <alignment horizontal="right" vertical="center"/>
    </xf>
    <xf numFmtId="184" fontId="18" fillId="3" borderId="13" xfId="0" applyNumberFormat="1" applyFont="1" applyFill="1" applyBorder="1" applyAlignment="1">
      <alignment horizontal="right" vertical="center"/>
    </xf>
    <xf numFmtId="43" fontId="18" fillId="3" borderId="0" xfId="1" applyFont="1" applyFill="1" applyBorder="1" applyAlignment="1">
      <alignment horizontal="right" vertical="center"/>
    </xf>
    <xf numFmtId="177" fontId="4" fillId="5" borderId="13" xfId="2" applyNumberFormat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right" vertical="center"/>
    </xf>
    <xf numFmtId="185" fontId="20" fillId="3" borderId="0" xfId="0" applyNumberFormat="1" applyFont="1" applyFill="1" applyBorder="1" applyAlignment="1">
      <alignment horizontal="center" vertical="center"/>
    </xf>
    <xf numFmtId="187" fontId="4" fillId="3" borderId="0" xfId="0" applyNumberFormat="1" applyFont="1" applyFill="1" applyBorder="1" applyAlignment="1">
      <alignment vertical="center"/>
    </xf>
    <xf numFmtId="186" fontId="18" fillId="3" borderId="13" xfId="0" applyNumberFormat="1" applyFont="1" applyFill="1" applyBorder="1" applyAlignment="1">
      <alignment horizontal="right" vertical="center"/>
    </xf>
    <xf numFmtId="188" fontId="4" fillId="0" borderId="0" xfId="0" applyNumberFormat="1" applyFont="1" applyBorder="1" applyAlignment="1">
      <alignment horizontal="right" vertical="center"/>
    </xf>
    <xf numFmtId="188" fontId="4" fillId="3" borderId="0" xfId="0" applyNumberFormat="1" applyFont="1" applyFill="1" applyBorder="1" applyAlignment="1">
      <alignment horizontal="right" vertical="center"/>
    </xf>
    <xf numFmtId="188" fontId="11" fillId="2" borderId="0" xfId="0" applyNumberFormat="1" applyFont="1" applyFill="1" applyBorder="1" applyAlignment="1">
      <alignment horizontal="right" vertical="center"/>
    </xf>
    <xf numFmtId="49" fontId="11" fillId="2" borderId="0" xfId="0" applyNumberFormat="1" applyFont="1" applyFill="1" applyBorder="1" applyAlignment="1">
      <alignment horizontal="right" vertical="center"/>
    </xf>
    <xf numFmtId="14" fontId="4" fillId="2" borderId="0" xfId="0" applyNumberFormat="1" applyFont="1" applyFill="1" applyBorder="1" applyAlignment="1">
      <alignment horizontal="center"/>
    </xf>
    <xf numFmtId="43" fontId="4" fillId="3" borderId="0" xfId="1" applyFont="1" applyFill="1" applyBorder="1" applyAlignment="1">
      <alignment vertical="center"/>
    </xf>
    <xf numFmtId="189" fontId="4" fillId="3" borderId="0" xfId="1" applyNumberFormat="1" applyFont="1" applyFill="1" applyBorder="1" applyAlignment="1">
      <alignment vertical="center"/>
    </xf>
    <xf numFmtId="43" fontId="4" fillId="5" borderId="13" xfId="1" applyFont="1" applyFill="1" applyBorder="1" applyAlignment="1">
      <alignment vertical="center"/>
    </xf>
    <xf numFmtId="14" fontId="4" fillId="2" borderId="0" xfId="0" applyNumberFormat="1" applyFont="1" applyFill="1" applyBorder="1" applyAlignment="1">
      <alignment vertical="center"/>
    </xf>
    <xf numFmtId="0" fontId="4" fillId="3" borderId="14" xfId="0" applyFont="1" applyFill="1" applyBorder="1" applyAlignment="1">
      <alignment vertical="center"/>
    </xf>
    <xf numFmtId="190" fontId="18" fillId="5" borderId="13" xfId="1" applyNumberFormat="1" applyFont="1" applyFill="1" applyBorder="1" applyAlignment="1">
      <alignment horizontal="right" vertical="center"/>
    </xf>
    <xf numFmtId="190" fontId="18" fillId="3" borderId="0" xfId="1" applyNumberFormat="1" applyFont="1" applyFill="1" applyBorder="1" applyAlignment="1">
      <alignment horizontal="right" vertical="center"/>
    </xf>
    <xf numFmtId="190" fontId="4" fillId="3" borderId="0" xfId="1" applyNumberFormat="1" applyFont="1" applyFill="1" applyBorder="1" applyAlignment="1">
      <alignment horizontal="right" vertical="center"/>
    </xf>
    <xf numFmtId="190" fontId="18" fillId="5" borderId="0" xfId="1" applyNumberFormat="1" applyFont="1" applyFill="1" applyBorder="1" applyAlignment="1">
      <alignment horizontal="right" vertical="center"/>
    </xf>
    <xf numFmtId="0" fontId="4" fillId="3" borderId="0" xfId="0" applyNumberFormat="1" applyFont="1" applyFill="1" applyBorder="1" applyAlignment="1">
      <alignment horizontal="left" vertical="center"/>
    </xf>
    <xf numFmtId="0" fontId="4" fillId="5" borderId="0" xfId="0" applyNumberFormat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vertical="center"/>
    </xf>
    <xf numFmtId="0" fontId="4" fillId="7" borderId="0" xfId="0" applyFont="1" applyFill="1" applyBorder="1" applyAlignment="1">
      <alignment horizontal="lef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2" fontId="4" fillId="3" borderId="0" xfId="0" applyNumberFormat="1" applyFont="1" applyFill="1" applyBorder="1" applyAlignment="1">
      <alignment horizontal="left" vertical="center"/>
    </xf>
    <xf numFmtId="14" fontId="4" fillId="3" borderId="0" xfId="0" applyNumberFormat="1" applyFont="1" applyFill="1" applyBorder="1" applyAlignment="1">
      <alignment vertical="center"/>
    </xf>
    <xf numFmtId="43" fontId="4" fillId="3" borderId="0" xfId="0" applyNumberFormat="1" applyFont="1" applyFill="1" applyBorder="1" applyAlignment="1">
      <alignment vertical="center"/>
    </xf>
    <xf numFmtId="189" fontId="4" fillId="3" borderId="0" xfId="0" applyNumberFormat="1" applyFont="1" applyFill="1" applyBorder="1" applyAlignment="1">
      <alignment vertical="center"/>
    </xf>
    <xf numFmtId="178" fontId="4" fillId="3" borderId="0" xfId="0" applyNumberFormat="1" applyFont="1" applyFill="1" applyBorder="1" applyAlignment="1">
      <alignment vertical="center"/>
    </xf>
    <xf numFmtId="178" fontId="4" fillId="3" borderId="0" xfId="0" applyNumberFormat="1" applyFont="1" applyFill="1" applyBorder="1" applyAlignment="1">
      <alignment horizontal="center"/>
    </xf>
    <xf numFmtId="43" fontId="4" fillId="3" borderId="0" xfId="0" applyNumberFormat="1" applyFont="1" applyFill="1" applyBorder="1" applyAlignment="1">
      <alignment horizontal="right" vertical="center"/>
    </xf>
    <xf numFmtId="178" fontId="4" fillId="3" borderId="0" xfId="2" applyNumberFormat="1" applyFont="1" applyFill="1" applyBorder="1" applyAlignment="1">
      <alignment vertical="center"/>
    </xf>
    <xf numFmtId="0" fontId="18" fillId="3" borderId="0" xfId="0" applyNumberFormat="1" applyFont="1" applyFill="1" applyBorder="1" applyAlignment="1">
      <alignment vertical="center"/>
    </xf>
    <xf numFmtId="14" fontId="8" fillId="4" borderId="12" xfId="0" applyNumberFormat="1" applyFont="1" applyFill="1" applyBorder="1" applyAlignment="1">
      <alignment horizontal="center" vertical="center"/>
    </xf>
    <xf numFmtId="43" fontId="4" fillId="3" borderId="0" xfId="1" applyFont="1" applyFill="1" applyBorder="1" applyAlignment="1">
      <alignment horizontal="right" vertical="center"/>
    </xf>
    <xf numFmtId="0" fontId="8" fillId="4" borderId="5" xfId="0" applyFont="1" applyFill="1" applyBorder="1" applyAlignment="1">
      <alignment horizontal="center" vertical="center" wrapText="1"/>
    </xf>
    <xf numFmtId="43" fontId="4" fillId="5" borderId="0" xfId="1" applyFont="1" applyFill="1" applyBorder="1" applyAlignment="1">
      <alignment horizontal="right" vertical="center"/>
    </xf>
    <xf numFmtId="0" fontId="4" fillId="7" borderId="0" xfId="0" applyFont="1" applyFill="1" applyBorder="1" applyAlignment="1">
      <alignment horizontal="center" vertical="center"/>
    </xf>
    <xf numFmtId="191" fontId="4" fillId="3" borderId="0" xfId="0" applyNumberFormat="1" applyFont="1" applyFill="1" applyBorder="1" applyAlignment="1">
      <alignment horizontal="right" vertical="center"/>
    </xf>
    <xf numFmtId="192" fontId="18" fillId="3" borderId="13" xfId="1" applyNumberFormat="1" applyFont="1" applyFill="1" applyBorder="1" applyAlignment="1">
      <alignment horizontal="left" vertical="center"/>
    </xf>
    <xf numFmtId="185" fontId="18" fillId="3" borderId="13" xfId="1" applyNumberFormat="1" applyFont="1" applyFill="1" applyBorder="1" applyAlignment="1">
      <alignment horizontal="left" vertical="center"/>
    </xf>
    <xf numFmtId="178" fontId="6" fillId="3" borderId="0" xfId="0" applyNumberFormat="1" applyFont="1" applyFill="1" applyBorder="1" applyAlignment="1">
      <alignment horizontal="center"/>
    </xf>
    <xf numFmtId="184" fontId="4" fillId="3" borderId="0" xfId="0" applyNumberFormat="1" applyFont="1" applyFill="1" applyBorder="1" applyAlignment="1">
      <alignment vertical="center"/>
    </xf>
    <xf numFmtId="184" fontId="4" fillId="3" borderId="0" xfId="2" applyNumberFormat="1" applyFont="1" applyFill="1" applyBorder="1" applyAlignment="1">
      <alignment horizontal="right" vertical="center"/>
    </xf>
    <xf numFmtId="184" fontId="8" fillId="4" borderId="0" xfId="0" applyNumberFormat="1" applyFont="1" applyFill="1" applyBorder="1" applyAlignment="1">
      <alignment vertical="center"/>
    </xf>
    <xf numFmtId="184" fontId="4" fillId="3" borderId="0" xfId="0" applyNumberFormat="1" applyFont="1" applyFill="1" applyBorder="1" applyAlignment="1">
      <alignment horizontal="right" vertical="center"/>
    </xf>
    <xf numFmtId="184" fontId="4" fillId="5" borderId="0" xfId="0" applyNumberFormat="1" applyFont="1" applyFill="1" applyBorder="1" applyAlignment="1">
      <alignment horizontal="right" vertical="center"/>
    </xf>
    <xf numFmtId="184" fontId="18" fillId="3" borderId="0" xfId="1" applyNumberFormat="1" applyFont="1" applyFill="1" applyBorder="1" applyAlignment="1">
      <alignment horizontal="right" vertical="center"/>
    </xf>
    <xf numFmtId="179" fontId="4" fillId="3" borderId="0" xfId="0" applyNumberFormat="1" applyFont="1" applyFill="1" applyBorder="1" applyAlignment="1">
      <alignment horizontal="center" vertical="center"/>
    </xf>
    <xf numFmtId="179" fontId="4" fillId="3" borderId="0" xfId="1" applyNumberFormat="1" applyFont="1" applyFill="1" applyBorder="1" applyAlignment="1">
      <alignment horizontal="center" vertical="center"/>
    </xf>
    <xf numFmtId="179" fontId="4" fillId="5" borderId="0" xfId="0" applyNumberFormat="1" applyFont="1" applyFill="1" applyBorder="1" applyAlignment="1">
      <alignment horizontal="center" vertical="center"/>
    </xf>
    <xf numFmtId="179" fontId="4" fillId="5" borderId="0" xfId="1" applyNumberFormat="1" applyFont="1" applyFill="1" applyBorder="1" applyAlignment="1">
      <alignment horizontal="center" vertical="center"/>
    </xf>
    <xf numFmtId="179" fontId="4" fillId="2" borderId="0" xfId="2" applyNumberFormat="1" applyFont="1" applyFill="1" applyBorder="1" applyAlignment="1">
      <alignment horizontal="center"/>
    </xf>
    <xf numFmtId="179" fontId="4" fillId="2" borderId="0" xfId="1" applyNumberFormat="1" applyFont="1" applyFill="1" applyBorder="1" applyAlignment="1">
      <alignment horizontal="center"/>
    </xf>
    <xf numFmtId="0" fontId="10" fillId="7" borderId="0" xfId="0" applyFont="1" applyFill="1" applyBorder="1" applyAlignment="1">
      <alignment horizontal="left" vertical="center"/>
    </xf>
    <xf numFmtId="179" fontId="4" fillId="3" borderId="0" xfId="0" applyNumberFormat="1" applyFont="1" applyFill="1" applyBorder="1" applyAlignment="1">
      <alignment horizontal="right" vertical="center"/>
    </xf>
    <xf numFmtId="179" fontId="4" fillId="5" borderId="0" xfId="0" applyNumberFormat="1" applyFont="1" applyFill="1" applyBorder="1" applyAlignment="1">
      <alignment horizontal="right" vertical="center"/>
    </xf>
    <xf numFmtId="43" fontId="4" fillId="5" borderId="0" xfId="1" applyFont="1" applyFill="1" applyBorder="1" applyAlignment="1">
      <alignment vertical="center"/>
    </xf>
    <xf numFmtId="43" fontId="4" fillId="5" borderId="0" xfId="1" applyNumberFormat="1" applyFont="1" applyFill="1" applyBorder="1" applyAlignment="1">
      <alignment vertical="center"/>
    </xf>
    <xf numFmtId="43" fontId="4" fillId="3" borderId="0" xfId="1" applyNumberFormat="1" applyFont="1" applyFill="1" applyBorder="1" applyAlignment="1">
      <alignment vertical="center"/>
    </xf>
    <xf numFmtId="14" fontId="4" fillId="7" borderId="0" xfId="0" applyNumberFormat="1" applyFont="1" applyFill="1" applyBorder="1" applyAlignment="1">
      <alignment horizontal="center" vertical="center" wrapText="1"/>
    </xf>
    <xf numFmtId="0" fontId="4" fillId="7" borderId="0" xfId="0" applyNumberFormat="1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 vertical="center"/>
    </xf>
    <xf numFmtId="180" fontId="4" fillId="3" borderId="0" xfId="0" applyNumberFormat="1" applyFont="1" applyFill="1" applyBorder="1" applyAlignment="1">
      <alignment horizontal="left" vertical="center"/>
    </xf>
    <xf numFmtId="178" fontId="4" fillId="3" borderId="0" xfId="0" applyNumberFormat="1" applyFont="1" applyFill="1" applyBorder="1" applyAlignment="1">
      <alignment horizontal="left" vertical="center"/>
    </xf>
    <xf numFmtId="10" fontId="6" fillId="3" borderId="0" xfId="2" applyNumberFormat="1" applyFont="1" applyFill="1" applyBorder="1" applyAlignment="1">
      <alignment horizontal="center"/>
    </xf>
    <xf numFmtId="183" fontId="4" fillId="3" borderId="0" xfId="2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25" fillId="4" borderId="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mruColors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180975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76895</xdr:colOff>
      <xdr:row>0</xdr:row>
      <xdr:rowOff>83387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95" y="83387"/>
          <a:ext cx="607152" cy="219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hks_fa_bps"/>
      <definedName name="hks_fa_dps"/>
      <definedName name="hks_fa_ebit3"/>
      <definedName name="hks_fa_ebitda2"/>
      <definedName name="hks_fa_eps_basic"/>
      <definedName name="hks_fa_eps_diluted3"/>
      <definedName name="hks_fa_roa"/>
      <definedName name="hks_fa_roe"/>
      <definedName name="hks_info_fiscaldate"/>
      <definedName name="HKS_INFO_NAME"/>
      <definedName name="hks_info_tradecur"/>
      <definedName name="hks_share_total"/>
      <definedName name="hks_stm_bs"/>
      <definedName name="hks_stm_is"/>
      <definedName name="hks_val_ev"/>
      <definedName name="hks_val_ev1"/>
      <definedName name="hks_val_pB"/>
      <definedName name="hks_val_pe"/>
      <definedName name="lastradeday_s"/>
      <definedName name="risk_beta"/>
      <definedName name="s_div_aualaccmdiv2"/>
      <definedName name="s_div_cashbeforetax"/>
      <definedName name="S_DQ_CLOSE"/>
      <definedName name="s_dq_volume"/>
      <definedName name="s_est_avgdps"/>
      <definedName name="s_est_avgdps1"/>
      <definedName name="s_est_avgebit"/>
      <definedName name="s_est_AVGebitda"/>
      <definedName name="s_est_avgebitda1"/>
      <definedName name="s_est_avgebt"/>
      <definedName name="s_est_avgebt1"/>
      <definedName name="s_est_avgoperatingprofit"/>
      <definedName name="s_est_avgroa"/>
      <definedName name="s_est_avgroe"/>
      <definedName name="s_est_eps1"/>
      <definedName name="s_est_netprofit"/>
      <definedName name="s_est_netprofit1"/>
      <definedName name="s_est_sales"/>
      <definedName name="s_est_sales1"/>
      <definedName name="s_fa_bps2"/>
      <definedName name="s_fa_ebit2"/>
      <definedName name="s_fa_ebitda2"/>
      <definedName name="s_fa_eps_basic2"/>
      <definedName name="s_fa_latelyyear2"/>
      <definedName name="s_fa_roa"/>
      <definedName name="s_fa_roe"/>
      <definedName name="s_info_asharewindcode"/>
      <definedName name="s_info_compname"/>
      <definedName name="s_info_hsharecode"/>
      <definedName name="s_info_industry_gics"/>
      <definedName name="S_Info_Name"/>
      <definedName name="s_pq_highclose"/>
      <definedName name="s_pq_lowclose"/>
      <definedName name="s_risk_stdevy"/>
      <definedName name="s_share_issuing_mkt"/>
      <definedName name="S_SHARE_TOTAL"/>
      <definedName name="S_STM07_BS"/>
      <definedName name="S_STM07_IS"/>
      <definedName name="S_STMNOTE_AssetDetail"/>
      <definedName name="s_val_estpb"/>
      <definedName name="s_val_estpe"/>
      <definedName name="s_val_ev"/>
      <definedName name="s_val_ev1"/>
      <definedName name="s_val_evtoebitda"/>
      <definedName name="s_west_avgbps1"/>
      <definedName name="s_west_avgebit1"/>
      <definedName name="s_west_avgoperatingprofit1"/>
      <definedName name="s_west_avgroa"/>
      <definedName name="s_west_avgroe"/>
      <definedName name="s_west_eps"/>
      <definedName name="s_west_medianbps"/>
      <definedName name="s_west_mediandps1"/>
      <definedName name="s_west_medianebt"/>
      <definedName name="s_west_netprofit1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55"/>
  <sheetViews>
    <sheetView showGridLines="0" tabSelected="1" zoomScaleNormal="100" workbookViewId="0">
      <pane ySplit="1" topLeftCell="A2" activePane="bottomLeft" state="frozen"/>
      <selection pane="bottomLeft" activeCell="A29" sqref="A29"/>
    </sheetView>
  </sheetViews>
  <sheetFormatPr defaultRowHeight="17.25" outlineLevelCol="1" x14ac:dyDescent="0.3"/>
  <cols>
    <col min="1" max="1" width="12.75" style="1" bestFit="1" customWidth="1"/>
    <col min="2" max="2" width="2.75" style="2" customWidth="1"/>
    <col min="3" max="3" width="2.25" style="39" customWidth="1"/>
    <col min="4" max="4" width="28.25" style="39" customWidth="1"/>
    <col min="5" max="5" width="17.25" style="40" customWidth="1"/>
    <col min="6" max="6" width="23.125" style="40" customWidth="1"/>
    <col min="7" max="7" width="13.125" style="40" customWidth="1"/>
    <col min="8" max="8" width="11.75" style="40" customWidth="1"/>
    <col min="9" max="9" width="21.875" style="40" customWidth="1"/>
    <col min="10" max="10" width="16.375" style="40" customWidth="1"/>
    <col min="11" max="11" width="13.25" style="40" customWidth="1"/>
    <col min="12" max="12" width="20.375" style="40" customWidth="1"/>
    <col min="13" max="13" width="14.25" style="40" customWidth="1"/>
    <col min="14" max="14" width="19.125" style="40" customWidth="1"/>
    <col min="15" max="15" width="12.125" style="40" hidden="1" customWidth="1" outlineLevel="1"/>
    <col min="16" max="16" width="14.625" style="40" customWidth="1" collapsed="1"/>
    <col min="17" max="17" width="8.125" style="40" customWidth="1"/>
    <col min="18" max="18" width="9.625" style="40" hidden="1" customWidth="1" outlineLevel="1"/>
    <col min="19" max="19" width="14.625" style="40" customWidth="1" collapsed="1"/>
    <col min="20" max="20" width="14.625" style="40" customWidth="1"/>
    <col min="21" max="21" width="8.5" style="40" hidden="1" customWidth="1" outlineLevel="1"/>
    <col min="22" max="22" width="14.625" style="40" customWidth="1" collapsed="1"/>
    <col min="23" max="23" width="14.625" style="40" customWidth="1"/>
    <col min="24" max="24" width="11" style="40" hidden="1" customWidth="1" outlineLevel="1"/>
    <col min="25" max="25" width="17.125" style="40" customWidth="1" collapsed="1"/>
    <col min="26" max="26" width="14.625" style="40" customWidth="1"/>
    <col min="27" max="27" width="16.875" style="40" customWidth="1"/>
    <col min="28" max="28" width="2.25" style="39" customWidth="1"/>
    <col min="29" max="29" width="9" style="2"/>
    <col min="30" max="16384" width="9" style="5"/>
  </cols>
  <sheetData>
    <row r="1" spans="1:30" ht="29.25" x14ac:dyDescent="0.3">
      <c r="A1" s="149"/>
      <c r="B1" s="149"/>
      <c r="C1" s="149"/>
      <c r="D1" s="206" t="s">
        <v>243</v>
      </c>
      <c r="E1" s="206"/>
      <c r="F1" s="206"/>
      <c r="G1" s="206"/>
      <c r="H1" s="206"/>
      <c r="I1" s="206"/>
      <c r="J1" s="206"/>
      <c r="K1" s="206"/>
      <c r="L1" s="150"/>
      <c r="M1" s="150"/>
      <c r="N1" s="150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</row>
    <row r="2" spans="1:30" ht="25.5" customHeight="1" x14ac:dyDescent="0.3">
      <c r="A2" s="1" t="s">
        <v>0</v>
      </c>
      <c r="B2" s="3"/>
      <c r="C2" s="3"/>
      <c r="D2" s="3"/>
      <c r="E2" s="137" t="s">
        <v>208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30" s="29" customFormat="1" ht="17.25" customHeight="1" x14ac:dyDescent="0.3">
      <c r="A3" s="190">
        <v>45657</v>
      </c>
      <c r="B3" s="1"/>
      <c r="C3" s="1"/>
      <c r="D3" s="1"/>
      <c r="E3" s="167" t="s">
        <v>232</v>
      </c>
      <c r="F3" s="4"/>
      <c r="G3" s="207" t="s">
        <v>259</v>
      </c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ht="11.25" customHeight="1" x14ac:dyDescent="0.3">
      <c r="C4" s="2"/>
      <c r="D4" s="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2"/>
    </row>
    <row r="5" spans="1:30" ht="14.1" customHeight="1" x14ac:dyDescent="0.3">
      <c r="C5" s="5"/>
      <c r="D5" s="5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5"/>
    </row>
    <row r="6" spans="1:30" s="9" customFormat="1" ht="24.6" customHeight="1" x14ac:dyDescent="0.2">
      <c r="A6" s="197" t="s">
        <v>204</v>
      </c>
      <c r="B6" s="8"/>
      <c r="D6" s="197" t="s">
        <v>1</v>
      </c>
      <c r="E6" s="201" t="s">
        <v>3</v>
      </c>
      <c r="F6" s="202" t="s">
        <v>4</v>
      </c>
      <c r="G6" s="204" t="s">
        <v>2</v>
      </c>
      <c r="H6" s="203" t="s">
        <v>207</v>
      </c>
      <c r="I6" s="165" t="s">
        <v>209</v>
      </c>
      <c r="J6" s="198" t="s">
        <v>213</v>
      </c>
      <c r="K6" s="200"/>
      <c r="L6" s="10" t="str">
        <f>"总市值 ("&amp;$E$3&amp;",亿元）"</f>
        <v>总市值 (CNY,亿元）</v>
      </c>
      <c r="M6" s="198" t="s">
        <v>217</v>
      </c>
      <c r="N6" s="199"/>
      <c r="O6" s="200"/>
      <c r="P6" s="198" t="s">
        <v>218</v>
      </c>
      <c r="Q6" s="199"/>
      <c r="R6" s="200"/>
      <c r="S6" s="198" t="s">
        <v>219</v>
      </c>
      <c r="T6" s="199"/>
      <c r="U6" s="200"/>
      <c r="V6" s="198" t="s">
        <v>216</v>
      </c>
      <c r="W6" s="199"/>
      <c r="X6" s="205"/>
      <c r="Y6" s="198" t="s">
        <v>223</v>
      </c>
      <c r="Z6" s="199"/>
      <c r="AA6" s="205"/>
      <c r="AC6" s="8"/>
    </row>
    <row r="7" spans="1:30" s="9" customFormat="1" ht="18" x14ac:dyDescent="0.2">
      <c r="A7" s="197"/>
      <c r="B7" s="8"/>
      <c r="D7" s="197"/>
      <c r="E7" s="201"/>
      <c r="F7" s="202"/>
      <c r="G7" s="204"/>
      <c r="H7" s="203"/>
      <c r="I7" s="11">
        <f>A3</f>
        <v>45657</v>
      </c>
      <c r="J7" s="12" t="s">
        <v>6</v>
      </c>
      <c r="K7" s="12" t="s">
        <v>7</v>
      </c>
      <c r="L7" s="163">
        <f xml:space="preserve"> $A$3</f>
        <v>45657</v>
      </c>
      <c r="M7" s="12">
        <f>YEAR($A3)</f>
        <v>2024</v>
      </c>
      <c r="N7" s="12">
        <f>YEAR($A3)+1</f>
        <v>2025</v>
      </c>
      <c r="O7" s="12">
        <f>YEAR($A3)+2</f>
        <v>2026</v>
      </c>
      <c r="P7" s="12">
        <f>YEAR($A3)</f>
        <v>2024</v>
      </c>
      <c r="Q7" s="12">
        <f>YEAR($A3)+1</f>
        <v>2025</v>
      </c>
      <c r="R7" s="12">
        <f>YEAR($A3)+2</f>
        <v>2026</v>
      </c>
      <c r="S7" s="12">
        <f>YEAR($A3)</f>
        <v>2024</v>
      </c>
      <c r="T7" s="12">
        <f>YEAR($A3)+1</f>
        <v>2025</v>
      </c>
      <c r="U7" s="12">
        <f>YEAR($A3)+2</f>
        <v>2026</v>
      </c>
      <c r="V7" s="12">
        <f>YEAR($A3)</f>
        <v>2024</v>
      </c>
      <c r="W7" s="12">
        <f>YEAR($A3)+1</f>
        <v>2025</v>
      </c>
      <c r="X7" s="12">
        <f>YEAR($A3)+2</f>
        <v>2026</v>
      </c>
      <c r="Y7" s="153" t="s">
        <v>220</v>
      </c>
      <c r="Z7" s="153" t="s">
        <v>221</v>
      </c>
      <c r="AA7" s="152" t="s">
        <v>222</v>
      </c>
      <c r="AC7" s="8"/>
    </row>
    <row r="8" spans="1:30" s="9" customFormat="1" ht="27" customHeight="1" x14ac:dyDescent="0.2">
      <c r="A8" s="191" t="s">
        <v>242</v>
      </c>
      <c r="B8" s="8"/>
      <c r="D8" s="13" t="str">
        <f>IF(A8="","",[1]!s_info_compname(E8))</f>
        <v>贵州茅台酒股份有限公司</v>
      </c>
      <c r="E8" s="13" t="str">
        <f t="shared" ref="E8:E16" si="0">IF(A8="","",A8)</f>
        <v>600519.SH</v>
      </c>
      <c r="F8" s="147" t="str">
        <f>IF(A8="","",[1]!S_Info_Name(E8))</f>
        <v>贵州茅台</v>
      </c>
      <c r="G8" s="115">
        <f>IF(D8="","",[1]!s_fa_latelyyear2($A8,$A$3))</f>
        <v>2023</v>
      </c>
      <c r="H8" s="147" t="str">
        <f>IF(A8="","",[1]!hks_info_tradecur(A8))</f>
        <v>CNY</v>
      </c>
      <c r="I8" s="14">
        <f>IF(A8="","",[1]!S_DQ_CLOSE(A8,$A$3))</f>
        <v>1693.04</v>
      </c>
      <c r="J8" s="14">
        <f>IF(A8="","",[1]!s_pq_highclose(A8,DATE(YEAR($A$3)-1,MONTH($A$3),DAY($A$3)),$A$3,3))</f>
        <v>1745</v>
      </c>
      <c r="K8" s="15">
        <f>IF(A8="","",[1]!s_pq_lowclose(A8,DATE(YEAR($A$3)-1,MONTH($A$3),DAY($A$3)),$A$3,3))</f>
        <v>1577</v>
      </c>
      <c r="L8" s="138">
        <f>IF(A8="","",[1]!hks_val_ev(A8,$A$3,$E$3,100000000))</f>
        <v>21267.931233120002</v>
      </c>
      <c r="M8" s="178">
        <f>IF(A8="","",IF(YEAR($A$3)&gt;$G8,[1]!s_val_estpe(A8,$A$3,YEAR($A$3)),[1]!hks_val_pe(A8,$A$3,YEAR($A$3))))</f>
        <v>24.209318108451697</v>
      </c>
      <c r="N8" s="178">
        <f>IF(A8="","",[1]!s_val_estpe(A8,$A$3,YEAR($A$3)+1))</f>
        <v>20.858723419854698</v>
      </c>
      <c r="O8" s="178">
        <f>IF(A8="","",[1]!s_val_estpe(A8,$A$3,YEAR($A$3)+2))</f>
        <v>18.143900713000644</v>
      </c>
      <c r="P8" s="178">
        <f>IF(A8="","",IF(YEAR($A$3)&gt;$G8,[1]!s_val_estpb(A8,$A$3,YEAR($A$3)),[1]!hks_val_pB(A8,$A$3,YEAR($A$3))))</f>
        <v>8.0640001209363064</v>
      </c>
      <c r="Q8" s="178">
        <f>IF(A8="","",[1]!s_val_estpb(A8,$A$3,YEAR($A$3)+1))</f>
        <v>6.7158650319886339</v>
      </c>
      <c r="R8" s="178">
        <f>IF(A8="","",[1]!s_val_estpb(A8,$A$3,YEAR($A$3)+2))</f>
        <v>5.6880684509690393</v>
      </c>
      <c r="S8" s="185">
        <f>IF(A8="","",IF(YEAR($A$3)&gt;$G8,(IFERROR(([1]!hks_val_ev1($A8,$A$3,"Cur="&amp;$E$3,100000000))/([1]!s_est_avgebitda1($A8,YEAR($A$3),$A$3,"Cur="&amp;$E$3,100000000)),"NA")),[1]!s_val_evtoebitda($A8,$A$3)))</f>
        <v>17.379710934405505</v>
      </c>
      <c r="T8" s="185">
        <f>IF(A8="","",IFERROR(([1]!hks_val_ev1($A8,$A$3,"Cur="&amp;$E$3,100000000))/([1]!s_est_avgebitda1($A8,YEAR($A$3)+1,$A$3,"Cur="&amp;$E$3,100000000)),"NA"))</f>
        <v>15.058414004699292</v>
      </c>
      <c r="U8" s="179">
        <f>IF(A8="","",IFERROR(([1]!hks_val_ev1($A8,$A$3,"Cur="&amp;$E$3,100000000))/([1]!s_est_avgebitda1($A8,YEAR($A$3)+2,$A$3,"Cur="&amp;$E$3,100000000)),"NA"))</f>
        <v>13.106119505552437</v>
      </c>
      <c r="V8" s="18">
        <f>IF(A8="","",IF(YEAR($A$3)&gt;$G8,[1]!s_west_avgroe($A8,YEAR($A$3),$A$3,180)/100,[1]!hks_fa_roe($A8,DATE(YEAR($A$3),12,31))/100))</f>
        <v>0.33871601104736326</v>
      </c>
      <c r="W8" s="18">
        <f>IF(A8="","",[1]!s_west_avgroe(A8,YEAR($A$3)+1,$A$3,180)/100)</f>
        <v>0.33055999755859378</v>
      </c>
      <c r="X8" s="18">
        <f>IF(A8="","",[1]!s_west_avgroe(A8,YEAR($A$3)+2,$A$3,180)/100)</f>
        <v>0.32511299133300781</v>
      </c>
      <c r="Y8" s="18">
        <f>IF(A8="","",IF(OR(RIGHT(A8,2)={"SH","SZ","BJ","NQ"}),IFERROR(([1]!s_est_sales($A8,$G8+2,DATE($G8+2,12,31),100000000)/[1]!S_STM07_IS($A8,"W31737944",DATE($G8,12,31),1,100000000))^(1/2)-1,"NA"),IFERROR(([1]!s_est_sales1($A8,$G8+2,$A$3,"Cur="&amp;$E$3,100000000)/[1]!hks_stm_is($A8,"83",DATE($G8,12,31),1,"Cur="&amp;$E$3,100000000))^(1/2)-1,"NA")))</f>
        <v>0.16894884030795287</v>
      </c>
      <c r="Z8" s="18">
        <f>IF(A8="","",IF(OR(RIGHT(A8,2)={"SH","SZ","BJ","NQ"}),IFERROR(([1]!s_est_netprofit($A8,$G8+2,DATE($G8+2,12,31),100000000)/[1]!S_STM07_IS($A8,"W37790734",DATE($G8,12,31),1,100000000))^(1/2)-1,"NA"),IFERROR(([1]!s_west_netprofit1($A8,$G8+2,$A$3,180,"Cur="&amp;$E$3,100000000)/[1]!hks_stm_is($A8,"61",DATE($G8,12,31),1,"Cur="&amp;$E$3,100000000))^(1/2)-1,"NA")))</f>
        <v>0.14685317171930756</v>
      </c>
      <c r="AA8" s="17">
        <f>IF(A8="","",IF(([1]!s_est_avgebitda1($A8,$G8+2,$A$3,"Cur="&amp;$E$3,100000000)/[1]!hks_fa_ebitda2($A8,DATE($G8,12,31),1,"Cur="&amp;$E$3,100000000))&lt;=0,"NA",([1]!s_est_avgebitda1($A8,$G8+2,$A$3,"Cur="&amp;$E$3,100000000)/[1]!hks_fa_ebitda2($A8,DATE($G8,12,31),1,"Cur="&amp;$E$3,100000000))^(1/2)-1))</f>
        <v>0.16637604849002763</v>
      </c>
      <c r="AB8" s="19"/>
      <c r="AC8" s="8"/>
      <c r="AD8" s="49"/>
    </row>
    <row r="9" spans="1:30" s="9" customFormat="1" ht="27" customHeight="1" x14ac:dyDescent="0.2">
      <c r="A9" s="191" t="s">
        <v>233</v>
      </c>
      <c r="B9" s="8"/>
      <c r="D9" s="20" t="str">
        <f>IF(A9="","",[1]!s_info_compname(E9))</f>
        <v>上海浦东发展银行股份有限公司</v>
      </c>
      <c r="E9" s="20" t="str">
        <f t="shared" si="0"/>
        <v>600000.SH</v>
      </c>
      <c r="F9" s="148" t="str">
        <f>IF(A9="","",[1]!S_Info_Name(E9))</f>
        <v>浦发银行</v>
      </c>
      <c r="G9" s="125">
        <f>IF(D9="","",[1]!s_fa_latelyyear2($A9,$A$3))</f>
        <v>2022</v>
      </c>
      <c r="H9" s="148" t="str">
        <f>IF(A9="","",[1]!hks_info_tradecur(A9))</f>
        <v>CNY</v>
      </c>
      <c r="I9" s="21">
        <f>IF(A9="","",[1]!S_DQ_CLOSE(A9,$A$3))</f>
        <v>7.41</v>
      </c>
      <c r="J9" s="21">
        <f>IF(A9="","",[1]!s_pq_highclose(A9,DATE(YEAR($A$3)-1,MONTH($A$3),DAY($A$3)),$A$3,3))</f>
        <v>7.41</v>
      </c>
      <c r="K9" s="22">
        <f>IF(A9="","",[1]!s_pq_lowclose(A9,DATE(YEAR($A$3)-1,MONTH($A$3),DAY($A$3)),$A$3,3))</f>
        <v>6.5</v>
      </c>
      <c r="L9" s="187">
        <f>IF(A9="","",[1]!hks_val_ev(A9,$A$3,$E$3,100000000))</f>
        <v>2174.9963322983999</v>
      </c>
      <c r="M9" s="180">
        <f>IF(A9="","",IF(YEAR($A$3)&gt;$G9,[1]!s_val_estpe(A9,$A$3,YEAR($A$3)),[1]!hks_val_pe(A9,$A$3,YEAR($A$3))))</f>
        <v>5.8716324938083435</v>
      </c>
      <c r="N9" s="180">
        <f>IF(A9="","",[1]!s_val_estpe(A9,$A$3,YEAR($A$3)+1))</f>
        <v>5.4461267301818719</v>
      </c>
      <c r="O9" s="180">
        <f>IF(A9="","",[1]!s_val_estpe(A9,$A$3,YEAR($A$3)+2))</f>
        <v>0</v>
      </c>
      <c r="P9" s="180">
        <f>IF(A9="","",IF(YEAR($A$3)&gt;$G9,[1]!s_val_estpb(A9,$A$3,YEAR($A$3)),[1]!hks_val_pB(A9,$A$3,YEAR($A$3))))</f>
        <v>0.33712466580179368</v>
      </c>
      <c r="Q9" s="180">
        <f>IF(A9="","",[1]!s_val_estpb(A9,$A$3,YEAR($A$3)+1))</f>
        <v>0.32098766705102821</v>
      </c>
      <c r="R9" s="180">
        <f>IF(A9="","",[1]!s_val_estpb(A9,$A$3,YEAR($A$3)+2))</f>
        <v>0</v>
      </c>
      <c r="S9" s="186" t="str">
        <f>IF(A9="","",IF(YEAR($A$3)&gt;$G9,(IFERROR(([1]!hks_val_ev1($A9,$A$3,"Cur="&amp;$E$3,100000000))/([1]!s_est_avgebitda1($A9,YEAR($A$3),$A$3,"Cur="&amp;$E$3,100000000)),"NA")),[1]!s_val_evtoebitda($A9,$A$3)))</f>
        <v>NA</v>
      </c>
      <c r="T9" s="186" t="str">
        <f>IF(A9="","",IFERROR(([1]!hks_val_ev1($A9,$A$3,"Cur="&amp;$E$3,100000000))/([1]!s_est_avgebitda1($A9,YEAR($A$3)+1,$A$3,"Cur="&amp;$E$3,100000000)),"NA"))</f>
        <v>NA</v>
      </c>
      <c r="U9" s="181" t="str">
        <f>IF(A9="","",IFERROR(([1]!hks_val_ev1($A9,$A$3,"Cur="&amp;$E$3,100000000))/([1]!s_est_avgebitda1($A9,YEAR($A$3)+2,$A$3,"Cur="&amp;$E$3,100000000)),"NA"))</f>
        <v>NA</v>
      </c>
      <c r="V9" s="26">
        <f>IF(A9="","",IF(YEAR($A$3)&gt;$G9,[1]!s_west_avgroe($A9,YEAR($A$3),$A$3,180)/100,[1]!hks_fa_roe($A9,DATE(YEAR($A$3),12,31))/100))</f>
        <v>5.3299999237060545E-2</v>
      </c>
      <c r="W9" s="26">
        <f>IF(A9="","",[1]!s_west_avgroe(A9,YEAR($A$3)+1,$A$3,180)/100)</f>
        <v>5.510000228881836E-2</v>
      </c>
      <c r="X9" s="26">
        <f>IF(A9="","",[1]!s_west_avgroe(A9,YEAR($A$3)+2,$A$3,180)/100)</f>
        <v>0</v>
      </c>
      <c r="Y9" s="26">
        <f>IF(A9="","",IF(OR(RIGHT(A9,2)={"SH","SZ","BJ","NQ"}),IFERROR(([1]!s_est_sales($A9,$G9+2,DATE($G9+2,12,31),100000000)/[1]!S_STM07_IS($A9,"W31737944",DATE($G9,12,31),1,100000000))^(1/2)-1,"NA"),IFERROR(([1]!s_est_sales1($A9,$G9+2,$A$3,"Cur="&amp;$E$3,100000000)/[1]!hks_stm_is($A9,"83",DATE($G9,12,31),1,"Cur="&amp;$E$3,100000000))^(1/2)-1,"NA")))</f>
        <v>-5.4616234595312951E-2</v>
      </c>
      <c r="Z9" s="26">
        <f>IF(A9="","",IF(OR(RIGHT(A9,2)={"SH","SZ","BJ","NQ"}),IFERROR(([1]!s_est_netprofit($A9,$G9+2,DATE($G9+2,12,31),100000000)/[1]!S_STM07_IS($A9,"W37790734",DATE($G9,12,31),1,100000000))^(1/2)-1,"NA"),IFERROR(([1]!s_west_netprofit1($A9,$G9+2,$A$3,180,"Cur="&amp;$E$3,100000000)/[1]!hks_stm_is($A9,"61",DATE($G9,12,31),1,"Cur="&amp;$E$3,100000000))^(1/2)-1,"NA")))</f>
        <v>-0.1559696373288717</v>
      </c>
      <c r="AA9" s="25" t="str">
        <f>IF(A9="","",IF(([1]!s_est_avgebitda1($A9,$G9+2,$A$3,"Cur="&amp;$E$3,100000000)/[1]!hks_fa_ebitda2($A9,DATE($G9,12,31),1,"Cur="&amp;$E$3,100000000))&lt;=0,"NA",([1]!s_est_avgebitda1($A9,$G9+2,$A$3,"Cur="&amp;$E$3,100000000)/[1]!hks_fa_ebitda2($A9,DATE($G9,12,31),1,"Cur="&amp;$E$3,100000000))^(1/2)-1))</f>
        <v>NA</v>
      </c>
      <c r="AB9" s="19"/>
      <c r="AC9" s="8"/>
      <c r="AD9" s="49"/>
    </row>
    <row r="10" spans="1:30" s="9" customFormat="1" ht="27" customHeight="1" x14ac:dyDescent="0.2">
      <c r="A10" s="191" t="s">
        <v>234</v>
      </c>
      <c r="B10" s="8"/>
      <c r="D10" s="13" t="str">
        <f>IF(A10="","",[1]!s_info_compname(E10))</f>
        <v>中国建设银行股份有限公司</v>
      </c>
      <c r="E10" s="13" t="str">
        <f t="shared" si="0"/>
        <v>601939.SH</v>
      </c>
      <c r="F10" s="147" t="str">
        <f>IF(A10="","",[1]!S_Info_Name(E10))</f>
        <v>建设银行</v>
      </c>
      <c r="G10" s="115">
        <f>IF(D10="","",[1]!s_fa_latelyyear2($A10,$A$3))</f>
        <v>2023</v>
      </c>
      <c r="H10" s="147" t="str">
        <f>IF(A10="","",[1]!hks_info_tradecur(A10))</f>
        <v>CNY</v>
      </c>
      <c r="I10" s="14">
        <f>IF(A10="","",[1]!S_DQ_CLOSE(A10,$A$3))</f>
        <v>7.24</v>
      </c>
      <c r="J10" s="14">
        <f>IF(A10="","",[1]!s_pq_highclose(A10,DATE(YEAR($A$3)-1,MONTH($A$3),DAY($A$3)),$A$3,3))</f>
        <v>7.35</v>
      </c>
      <c r="K10" s="15">
        <f>IF(A10="","",[1]!s_pq_lowclose(A10,DATE(YEAR($A$3)-1,MONTH($A$3),DAY($A$3)),$A$3,3))</f>
        <v>6.48</v>
      </c>
      <c r="L10" s="138">
        <f>IF(A10="","",[1]!hks_val_ev(A10,$A$3,$E$3,100000000))</f>
        <v>11580.859050751948</v>
      </c>
      <c r="M10" s="178">
        <f>IF(A10="","",IF(YEAR($A$3)&gt;$G10,[1]!s_val_estpe(A10,$A$3,YEAR($A$3)),[1]!hks_val_pe(A10,$A$3,YEAR($A$3))))</f>
        <v>5.3721154567223044</v>
      </c>
      <c r="N10" s="178">
        <f>IF(A10="","",[1]!s_val_estpe(A10,$A$3,YEAR($A$3)+1))</f>
        <v>5.2505618475649634</v>
      </c>
      <c r="O10" s="178">
        <f>IF(A10="","",[1]!s_val_estpe(A10,$A$3,YEAR($A$3)+2))</f>
        <v>5.0491666132515274</v>
      </c>
      <c r="P10" s="178">
        <f>IF(A10="","",IF(YEAR($A$3)&gt;$G10,[1]!s_val_estpb(A10,$A$3,YEAR($A$3)),[1]!hks_val_pB(A10,$A$3,YEAR($A$3))))</f>
        <v>0.56680731707025711</v>
      </c>
      <c r="Q10" s="178">
        <f>IF(A10="","",[1]!s_val_estpb(A10,$A$3,YEAR($A$3)+1))</f>
        <v>0.52404150506277747</v>
      </c>
      <c r="R10" s="178">
        <f>IF(A10="","",[1]!s_val_estpb(A10,$A$3,YEAR($A$3)+2))</f>
        <v>0.48514739381759481</v>
      </c>
      <c r="S10" s="185" t="str">
        <f>IF(A10="","",IF(YEAR($A$3)&gt;$G10,(IFERROR(([1]!hks_val_ev1($A10,$A$3,"Cur="&amp;$E$3,100000000))/([1]!s_est_avgebitda1($A10,YEAR($A$3),$A$3,"Cur="&amp;$E$3,100000000)),"NA")),[1]!s_val_evtoebitda($A10,$A$3)))</f>
        <v>NA</v>
      </c>
      <c r="T10" s="185" t="str">
        <f>IF(A10="","",IFERROR(([1]!hks_val_ev1($A10,$A$3,"Cur="&amp;$E$3,100000000))/([1]!s_est_avgebitda1($A10,YEAR($A$3)+1,$A$3,"Cur="&amp;$E$3,100000000)),"NA"))</f>
        <v>NA</v>
      </c>
      <c r="U10" s="179" t="str">
        <f>IF(A10="","",IFERROR(([1]!hks_val_ev1($A10,$A$3,"Cur="&amp;$E$3,100000000))/([1]!s_est_avgebitda1($A10,YEAR($A$3)+2,$A$3,"Cur="&amp;$E$3,100000000)),"NA"))</f>
        <v>NA</v>
      </c>
      <c r="V10" s="18">
        <f>IF(A10="","",IF(YEAR($A$3)&gt;$G10,[1]!s_west_avgroe($A10,YEAR($A$3),$A$3,180)/100,[1]!hks_fa_roe($A10,DATE(YEAR($A$3),12,31))/100))</f>
        <v>0.10725600242614747</v>
      </c>
      <c r="W10" s="18">
        <f>IF(A10="","",[1]!s_west_avgroe(A10,YEAR($A$3)+1,$A$3,180)/100)</f>
        <v>0.10148599624633789</v>
      </c>
      <c r="X10" s="18">
        <f>IF(A10="","",[1]!s_west_avgroe(A10,YEAR($A$3)+2,$A$3,180)/100)</f>
        <v>9.8050003051757817E-2</v>
      </c>
      <c r="Y10" s="18">
        <f>IF(A10="","",IF(OR(RIGHT(A10,2)={"SH","SZ","BJ","NQ"}),IFERROR(([1]!s_est_sales($A10,$G10+2,DATE($G10+2,12,31),100000000)/[1]!S_STM07_IS($A10,"W31737944",DATE($G10,12,31),1,100000000))^(1/2)-1,"NA"),IFERROR(([1]!s_est_sales1($A10,$G10+2,$A$3,"Cur="&amp;$E$3,100000000)/[1]!hks_stm_is($A10,"83",DATE($G10,12,31),1,"Cur="&amp;$E$3,100000000))^(1/2)-1,"NA")))</f>
        <v>3.8921855124067761E-3</v>
      </c>
      <c r="Z10" s="18">
        <f>IF(A10="","",IF(OR(RIGHT(A10,2)={"SH","SZ","BJ","NQ"}),IFERROR(([1]!s_est_netprofit($A10,$G10+2,DATE($G10+2,12,31),100000000)/[1]!S_STM07_IS($A10,"W37790734",DATE($G10,12,31),1,100000000))^(1/2)-1,"NA"),IFERROR(([1]!s_west_netprofit1($A10,$G10+2,$A$3,180,"Cur="&amp;$E$3,100000000)/[1]!hks_stm_is($A10,"61",DATE($G10,12,31),1,"Cur="&amp;$E$3,100000000))^(1/2)-1,"NA")))</f>
        <v>1.8291008787701291E-2</v>
      </c>
      <c r="AA10" s="17" t="str">
        <f>IF(A10="","",IF(([1]!s_est_avgebitda1($A10,$G10+2,$A$3,"Cur="&amp;$E$3,100000000)/[1]!hks_fa_ebitda2($A10,DATE($G10,12,31),1,"Cur="&amp;$E$3,100000000))&lt;=0,"NA",([1]!s_est_avgebitda1($A10,$G10+2,$A$3,"Cur="&amp;$E$3,100000000)/[1]!hks_fa_ebitda2($A10,DATE($G10,12,31),1,"Cur="&amp;$E$3,100000000))^(1/2)-1))</f>
        <v>NA</v>
      </c>
      <c r="AB10" s="27"/>
      <c r="AC10" s="8"/>
      <c r="AD10" s="49"/>
    </row>
    <row r="11" spans="1:30" s="9" customFormat="1" ht="27" customHeight="1" x14ac:dyDescent="0.2">
      <c r="A11" s="191" t="s">
        <v>235</v>
      </c>
      <c r="B11" s="8"/>
      <c r="D11" s="20" t="str">
        <f>IF(A11="","",[1]!s_info_compname(E11))</f>
        <v>中国农业银行股份有限公司</v>
      </c>
      <c r="E11" s="20" t="str">
        <f t="shared" si="0"/>
        <v>601288.SH</v>
      </c>
      <c r="F11" s="148" t="str">
        <f>IF(A11="","",[1]!S_Info_Name(E11))</f>
        <v>农业银行</v>
      </c>
      <c r="G11" s="125">
        <f>IF(D11="","",[1]!s_fa_latelyyear2($A11,$A$3))</f>
        <v>2023</v>
      </c>
      <c r="H11" s="148" t="str">
        <f>IF(A11="","",[1]!hks_info_tradecur(A11))</f>
        <v>CNY</v>
      </c>
      <c r="I11" s="21">
        <f>IF(A11="","",[1]!S_DQ_CLOSE(A11,$A$3))</f>
        <v>4.55</v>
      </c>
      <c r="J11" s="23">
        <f>IF(A11="","",[1]!s_pq_highclose(A11,DATE(YEAR($A$3)-1,MONTH($A$3),DAY($A$3)),$A$3,3))</f>
        <v>4.55</v>
      </c>
      <c r="K11" s="22">
        <f>IF(A11="","",[1]!s_pq_lowclose(A11,DATE(YEAR($A$3)-1,MONTH($A$3),DAY($A$3)),$A$3,3))</f>
        <v>3.65</v>
      </c>
      <c r="L11" s="187">
        <f>IF(A11="","",[1]!hks_val_ev(A11,$A$3,$E$3,100000000))</f>
        <v>15515.824813944615</v>
      </c>
      <c r="M11" s="180">
        <f>IF(A11="","",IF(YEAR($A$3)&gt;$G11,[1]!s_val_estpe(A11,$A$3,YEAR($A$3)),[1]!hks_val_pe(A11,$A$3,YEAR($A$3))))</f>
        <v>5.8762755032524288</v>
      </c>
      <c r="N11" s="180">
        <f>IF(A11="","",[1]!s_val_estpe(A11,$A$3,YEAR($A$3)+1))</f>
        <v>5.6627255991305363</v>
      </c>
      <c r="O11" s="180">
        <f>IF(A11="","",[1]!s_val_estpe(A11,$A$3,YEAR($A$3)+2))</f>
        <v>5.4687498871666902</v>
      </c>
      <c r="P11" s="180">
        <f>IF(A11="","",IF(YEAR($A$3)&gt;$G11,[1]!s_val_estpb(A11,$A$3,YEAR($A$3)),[1]!hks_val_pB(A11,$A$3,YEAR($A$3))))</f>
        <v>0.61176470588235288</v>
      </c>
      <c r="Q11" s="180">
        <f>IF(A11="","",[1]!s_val_estpb(A11,$A$3,YEAR($A$3)+1))</f>
        <v>0.56756522242904239</v>
      </c>
      <c r="R11" s="180">
        <f>IF(A11="","",[1]!s_val_estpb(A11,$A$3,YEAR($A$3)+2))</f>
        <v>0.52979672151536084</v>
      </c>
      <c r="S11" s="186" t="str">
        <f>IF(A11="","",IF(YEAR($A$3)&gt;$G11,(IFERROR(([1]!hks_val_ev1($A11,$A$3,"Cur="&amp;$E$3,100000000))/([1]!s_est_avgebitda1($A11,YEAR($A$3),$A$3,"Cur="&amp;$E$3,100000000)),"NA")),[1]!s_val_evtoebitda($A11,$A$3)))</f>
        <v>NA</v>
      </c>
      <c r="T11" s="186" t="str">
        <f>IF(A11="","",IFERROR(([1]!hks_val_ev1($A11,$A$3,"Cur="&amp;$E$3,100000000))/([1]!s_est_avgebitda1($A11,YEAR($A$3)+1,$A$3,"Cur="&amp;$E$3,100000000)),"NA"))</f>
        <v>NA</v>
      </c>
      <c r="U11" s="181" t="str">
        <f>IF(A11="","",IFERROR(([1]!hks_val_ev1($A11,$A$3,"Cur="&amp;$E$3,100000000))/([1]!s_est_avgebitda1($A11,YEAR($A$3)+2,$A$3,"Cur="&amp;$E$3,100000000)),"NA"))</f>
        <v>NA</v>
      </c>
      <c r="V11" s="26">
        <f>IF(A11="","",IF(YEAR($A$3)&gt;$G11,[1]!s_west_avgroe($A11,YEAR($A$3),$A$3,180)/100,[1]!hks_fa_roe($A11,DATE(YEAR($A$3),12,31))/100))</f>
        <v>0.10725000381469726</v>
      </c>
      <c r="W11" s="26">
        <f>IF(A11="","",[1]!s_west_avgroe(A11,YEAR($A$3)+1,$A$3,180)/100)</f>
        <v>0.10314999580383301</v>
      </c>
      <c r="X11" s="26">
        <f>IF(A11="","",[1]!s_west_avgroe(A11,YEAR($A$3)+2,$A$3,180)/100)</f>
        <v>9.9509000778198242E-2</v>
      </c>
      <c r="Y11" s="26">
        <f>IF(A11="","",IF(OR(RIGHT(A11,2)={"SH","SZ","BJ","NQ"}),IFERROR(([1]!s_est_sales($A11,$G11+2,DATE($G11+2,12,31),100000000)/[1]!S_STM07_IS($A11,"W31737944",DATE($G11,12,31),1,100000000))^(1/2)-1,"NA"),IFERROR(([1]!s_est_sales1($A11,$G11+2,$A$3,"Cur="&amp;$E$3,100000000)/[1]!hks_stm_is($A11,"83",DATE($G11,12,31),1,"Cur="&amp;$E$3,100000000))^(1/2)-1,"NA")))</f>
        <v>2.2170923876152715E-2</v>
      </c>
      <c r="Z11" s="26">
        <f>IF(A11="","",IF(OR(RIGHT(A11,2)={"SH","SZ","BJ","NQ"}),IFERROR(([1]!s_est_netprofit($A11,$G11+2,DATE($G11+2,12,31),100000000)/[1]!S_STM07_IS($A11,"W37790734",DATE($G11,12,31),1,100000000))^(1/2)-1,"NA"),IFERROR(([1]!s_west_netprofit1($A11,$G11+2,$A$3,180,"Cur="&amp;$E$3,100000000)/[1]!hks_stm_is($A11,"61",DATE($G11,12,31),1,"Cur="&amp;$E$3,100000000))^(1/2)-1,"NA")))</f>
        <v>2.0899843762352655E-2</v>
      </c>
      <c r="AA11" s="25" t="str">
        <f>IF(A11="","",IF(([1]!s_est_avgebitda1($A11,$G11+2,$A$3,"Cur="&amp;$E$3,100000000)/[1]!hks_fa_ebitda2($A11,DATE($G11,12,31),1,"Cur="&amp;$E$3,100000000))&lt;=0,"NA",([1]!s_est_avgebitda1($A11,$G11+2,$A$3,"Cur="&amp;$E$3,100000000)/[1]!hks_fa_ebitda2($A11,DATE($G11,12,31),1,"Cur="&amp;$E$3,100000000))^(1/2)-1))</f>
        <v>NA</v>
      </c>
      <c r="AB11" s="19"/>
      <c r="AC11" s="8"/>
      <c r="AD11" s="49"/>
    </row>
    <row r="12" spans="1:30" s="9" customFormat="1" ht="27" customHeight="1" x14ac:dyDescent="0.2">
      <c r="A12" s="191" t="s">
        <v>236</v>
      </c>
      <c r="B12" s="8"/>
      <c r="D12" s="162" t="str">
        <f>IF(A12="","",[1]!s_info_compname(E12))</f>
        <v>中国银行股份有限公司</v>
      </c>
      <c r="E12" s="13" t="str">
        <f t="shared" si="0"/>
        <v>601988.SH</v>
      </c>
      <c r="F12" s="147" t="str">
        <f>IF(A12="","",[1]!S_Info_Name(E12))</f>
        <v>中国银行</v>
      </c>
      <c r="G12" s="115">
        <f>IF(D12="","",[1]!s_fa_latelyyear2($A12,$A$3))</f>
        <v>2023</v>
      </c>
      <c r="H12" s="147" t="str">
        <f>IF(A12="","",[1]!hks_info_tradecur(A12))</f>
        <v>CNY</v>
      </c>
      <c r="I12" s="14">
        <f>IF(A12="","",[1]!S_DQ_CLOSE(A12,$A$3))</f>
        <v>4.6500000000000004</v>
      </c>
      <c r="J12" s="28">
        <f>IF(A12="","",[1]!s_pq_highclose(A12,DATE(YEAR($A$3)-1,MONTH($A$3),DAY($A$3)),$A$3,3))</f>
        <v>4.72</v>
      </c>
      <c r="K12" s="15">
        <f>IF(A12="","",[1]!s_pq_lowclose(A12,DATE(YEAR($A$3)-1,MONTH($A$3),DAY($A$3)),$A$3,3))</f>
        <v>3.97</v>
      </c>
      <c r="L12" s="138">
        <f>IF(A12="","",[1]!hks_val_ev(A12,$A$3,$E$3,100000000))</f>
        <v>12448.855983531108</v>
      </c>
      <c r="M12" s="178">
        <f>IF(A12="","",IF(YEAR($A$3)&gt;$G12,[1]!s_val_estpe(A12,$A$3,YEAR($A$3)),[1]!hks_val_pe(A12,$A$3,YEAR($A$3))))</f>
        <v>5.9584829960637569</v>
      </c>
      <c r="N12" s="178">
        <f>IF(A12="","",[1]!s_val_estpe(A12,$A$3,YEAR($A$3)+1))</f>
        <v>5.7649394324863215</v>
      </c>
      <c r="O12" s="178">
        <f>IF(A12="","",[1]!s_val_estpe(A12,$A$3,YEAR($A$3)+2))</f>
        <v>5.6030845312916124</v>
      </c>
      <c r="P12" s="178">
        <f>IF(A12="","",IF(YEAR($A$3)&gt;$G12,[1]!s_val_estpb(A12,$A$3,YEAR($A$3)),[1]!hks_val_pB(A12,$A$3,YEAR($A$3))))</f>
        <v>0.56458759471928377</v>
      </c>
      <c r="Q12" s="178">
        <f>IF(A12="","",[1]!s_val_estpb(A12,$A$3,YEAR($A$3)+1))</f>
        <v>0.52429809132885463</v>
      </c>
      <c r="R12" s="178">
        <f>IF(A12="","",[1]!s_val_estpb(A12,$A$3,YEAR($A$3)+2))</f>
        <v>0.49565104157930806</v>
      </c>
      <c r="S12" s="185" t="str">
        <f>IF(A12="","",IF(YEAR($A$3)&gt;$G12,(IFERROR(([1]!hks_val_ev1($A12,$A$3,"Cur="&amp;$E$3,100000000))/([1]!s_est_avgebitda1($A12,YEAR($A$3),$A$3,"Cur="&amp;$E$3,100000000)),"NA")),[1]!s_val_evtoebitda($A12,$A$3)))</f>
        <v>NA</v>
      </c>
      <c r="T12" s="185" t="str">
        <f>IF(A12="","",IFERROR(([1]!hks_val_ev1($A12,$A$3,"Cur="&amp;$E$3,100000000))/([1]!s_est_avgebitda1($A12,YEAR($A$3)+1,$A$3,"Cur="&amp;$E$3,100000000)),"NA"))</f>
        <v>NA</v>
      </c>
      <c r="U12" s="178" t="str">
        <f>IF(A12="","",IFERROR(([1]!hks_val_ev1($A12,$A$3,"Cur="&amp;$E$3,100000000))/([1]!s_est_avgebitda1($A12,YEAR($A$3)+2,$A$3,"Cur="&amp;$E$3,100000000)),"NA"))</f>
        <v>NA</v>
      </c>
      <c r="V12" s="18">
        <f>IF(A12="","",IF(YEAR($A$3)&gt;$G12,[1]!s_west_avgroe($A12,YEAR($A$3),$A$3,180)/100,[1]!hks_fa_roe($A12,DATE(YEAR($A$3),12,31))/100))</f>
        <v>9.9689998626708978E-2</v>
      </c>
      <c r="W12" s="18">
        <f>IF(A12="","",[1]!s_west_avgroe(A12,YEAR($A$3)+1,$A$3,180)/100)</f>
        <v>9.5419998168945308E-2</v>
      </c>
      <c r="X12" s="18">
        <f>IF(A12="","",[1]!s_west_avgroe(A12,YEAR($A$3)+2,$A$3,180)/100)</f>
        <v>9.2962999343872074E-2</v>
      </c>
      <c r="Y12" s="18">
        <f>IF(A12="","",IF(OR(RIGHT(A12,2)={"SH","SZ","BJ","NQ"}),IFERROR(([1]!s_est_sales($A12,$G12+2,DATE($G12+2,12,31),100000000)/[1]!S_STM07_IS($A12,"W31737944",DATE($G12,12,31),1,100000000))^(1/2)-1,"NA"),IFERROR(([1]!s_est_sales1($A12,$G12+2,$A$3,"Cur="&amp;$E$3,100000000)/[1]!hks_stm_is($A12,"83",DATE($G12,12,31),1,"Cur="&amp;$E$3,100000000))^(1/2)-1,"NA")))</f>
        <v>3.3668528295065725E-2</v>
      </c>
      <c r="Z12" s="18">
        <f>IF(A12="","",IF(OR(RIGHT(A12,2)={"SH","SZ","BJ","NQ"}),IFERROR(([1]!s_est_netprofit($A12,$G12+2,DATE($G12+2,12,31),100000000)/[1]!S_STM07_IS($A12,"W37790734",DATE($G12,12,31),1,100000000))^(1/2)-1,"NA"),IFERROR(([1]!s_west_netprofit1($A12,$G12+2,$A$3,180,"Cur="&amp;$E$3,100000000)/[1]!hks_stm_is($A12,"61",DATE($G12,12,31),1,"Cur="&amp;$E$3,100000000))^(1/2)-1,"NA")))</f>
        <v>-1.6042279205425336E-2</v>
      </c>
      <c r="AA12" s="17" t="str">
        <f>IF(A12="","",IF(([1]!s_est_avgebitda1($A12,$G12+2,$A$3,"Cur="&amp;$E$3,100000000)/[1]!hks_fa_ebitda2($A12,DATE($G12,12,31),1,"Cur="&amp;$E$3,100000000))&lt;=0,"NA",([1]!s_est_avgebitda1($A12,$G12+2,$A$3,"Cur="&amp;$E$3,100000000)/[1]!hks_fa_ebitda2($A12,DATE($G12,12,31),1,"Cur="&amp;$E$3,100000000))^(1/2)-1))</f>
        <v>NA</v>
      </c>
      <c r="AB12" s="19"/>
      <c r="AC12" s="8"/>
      <c r="AD12" s="49"/>
    </row>
    <row r="13" spans="1:30" s="9" customFormat="1" ht="27" customHeight="1" x14ac:dyDescent="0.2">
      <c r="A13" s="191" t="s">
        <v>237</v>
      </c>
      <c r="B13" s="8"/>
      <c r="D13" s="20" t="str">
        <f>IF(A13="","",[1]!s_info_compname(E13))</f>
        <v>平安银行股份有限公司</v>
      </c>
      <c r="E13" s="20" t="str">
        <f t="shared" si="0"/>
        <v>000001.SZ</v>
      </c>
      <c r="F13" s="148" t="str">
        <f>IF(A13="","",[1]!S_Info_Name(E13))</f>
        <v>平安银行</v>
      </c>
      <c r="G13" s="125">
        <f>IF(D13="","",[1]!s_fa_latelyyear2($A13,$A$3))</f>
        <v>2023</v>
      </c>
      <c r="H13" s="148" t="str">
        <f>IF(A13="","",[1]!hks_info_tradecur(A13))</f>
        <v>CNY</v>
      </c>
      <c r="I13" s="21">
        <f>IF(A13="","",[1]!S_DQ_CLOSE(A13,$A$3))</f>
        <v>10.61</v>
      </c>
      <c r="J13" s="23">
        <f>IF(A13="","",[1]!s_pq_highclose(A13,DATE(YEAR($A$3)-1,MONTH($A$3),DAY($A$3)),$A$3,3))</f>
        <v>10.9</v>
      </c>
      <c r="K13" s="22">
        <f>IF(A13="","",[1]!s_pq_lowclose(A13,DATE(YEAR($A$3)-1,MONTH($A$3),DAY($A$3)),$A$3,3))</f>
        <v>9.09</v>
      </c>
      <c r="L13" s="187">
        <f>IF(A13="","",[1]!hks_val_ev(A13,$A$3,$E$3,100000000))</f>
        <v>2058.9679208078001</v>
      </c>
      <c r="M13" s="180">
        <f>IF(A13="","",IF(YEAR($A$3)&gt;$G13,[1]!s_val_estpe(A13,$A$3,YEAR($A$3)),[1]!hks_val_pe(A13,$A$3,YEAR($A$3))))</f>
        <v>4.3992040824759471</v>
      </c>
      <c r="N13" s="180">
        <f>IF(A13="","",[1]!s_val_estpe(A13,$A$3,YEAR($A$3)+1))</f>
        <v>4.2175138412513498</v>
      </c>
      <c r="O13" s="180">
        <f>IF(A13="","",[1]!s_val_estpe(A13,$A$3,YEAR($A$3)+2))</f>
        <v>4.0917856788861169</v>
      </c>
      <c r="P13" s="180">
        <f>IF(A13="","",IF(YEAR($A$3)&gt;$G13,[1]!s_val_estpb(A13,$A$3,YEAR($A$3)),[1]!hks_val_pB(A13,$A$3,YEAR($A$3))))</f>
        <v>0.47086704629842108</v>
      </c>
      <c r="Q13" s="180">
        <f>IF(A13="","",[1]!s_val_estpb(A13,$A$3,YEAR($A$3)+1))</f>
        <v>0.43382616695913645</v>
      </c>
      <c r="R13" s="180">
        <f>IF(A13="","",[1]!s_val_estpb(A13,$A$3,YEAR($A$3)+2))</f>
        <v>0.40324265132883441</v>
      </c>
      <c r="S13" s="186" t="str">
        <f>IF(A13="","",IF(YEAR($A$3)&gt;$G13,(IFERROR(([1]!hks_val_ev1($A13,$A$3,"Cur="&amp;$E$3,100000000))/([1]!s_est_avgebitda1($A13,YEAR($A$3),$A$3,"Cur="&amp;$E$3,100000000)),"NA")),[1]!s_val_evtoebitda($A13,$A$3)))</f>
        <v>NA</v>
      </c>
      <c r="T13" s="186" t="str">
        <f>IF(A13="","",IFERROR(([1]!hks_val_ev1($A13,$A$3,"Cur="&amp;$E$3,100000000))/([1]!s_est_avgebitda1($A13,YEAR($A$3)+1,$A$3,"Cur="&amp;$E$3,100000000)),"NA"))</f>
        <v>NA</v>
      </c>
      <c r="U13" s="180" t="str">
        <f>IF(A13="","",IFERROR(([1]!hks_val_ev1($A13,$A$3,"Cur="&amp;$E$3,100000000))/([1]!s_est_avgebitda1($A13,YEAR($A$3)+2,$A$3,"Cur="&amp;$E$3,100000000)),"NA"))</f>
        <v>NA</v>
      </c>
      <c r="V13" s="26">
        <f>IF(A13="","",IF(YEAR($A$3)&gt;$G13,[1]!s_west_avgroe($A13,YEAR($A$3),$A$3,180)/100,[1]!hks_fa_roe($A13,DATE(YEAR($A$3),12,31))/100))</f>
        <v>0.10656399726867676</v>
      </c>
      <c r="W13" s="26">
        <f>IF(A13="","",[1]!s_west_avgroe(A13,YEAR($A$3)+1,$A$3,180)/100)</f>
        <v>0.10297100067138672</v>
      </c>
      <c r="X13" s="26">
        <f>IF(A13="","",[1]!s_west_avgroe(A13,YEAR($A$3)+2,$A$3,180)/100)</f>
        <v>0.10056699752807617</v>
      </c>
      <c r="Y13" s="26">
        <f>IF(A13="","",IF(OR(RIGHT(A13,2)={"SH","SZ","BJ","NQ"}),IFERROR(([1]!s_est_sales($A13,$G13+2,DATE($G13+2,12,31),100000000)/[1]!S_STM07_IS($A13,"W31737944",DATE($G13,12,31),1,100000000))^(1/2)-1,"NA"),IFERROR(([1]!s_est_sales1($A13,$G13+2,$A$3,"Cur="&amp;$E$3,100000000)/[1]!hks_stm_is($A13,"83",DATE($G13,12,31),1,"Cur="&amp;$E$3,100000000))^(1/2)-1,"NA")))</f>
        <v>-2.3989647609548581E-2</v>
      </c>
      <c r="Z13" s="26">
        <f>IF(A13="","",IF(OR(RIGHT(A13,2)={"SH","SZ","BJ","NQ"}),IFERROR(([1]!s_est_netprofit($A13,$G13+2,DATE($G13+2,12,31),100000000)/[1]!S_STM07_IS($A13,"W37790734",DATE($G13,12,31),1,100000000))^(1/2)-1,"NA"),IFERROR(([1]!s_west_netprofit1($A13,$G13+2,$A$3,180,"Cur="&amp;$E$3,100000000)/[1]!hks_stm_is($A13,"61",DATE($G13,12,31),1,"Cur="&amp;$E$3,100000000))^(1/2)-1,"NA")))</f>
        <v>2.5450690282282196E-2</v>
      </c>
      <c r="AA13" s="25" t="str">
        <f>IF(A13="","",IF(([1]!s_est_avgebitda1($A13,$G13+2,$A$3,"Cur="&amp;$E$3,100000000)/[1]!hks_fa_ebitda2($A13,DATE($G13,12,31),1,"Cur="&amp;$E$3,100000000))&lt;=0,"NA",([1]!s_est_avgebitda1($A13,$G13+2,$A$3,"Cur="&amp;$E$3,100000000)/[1]!hks_fa_ebitda2($A13,DATE($G13,12,31),1,"Cur="&amp;$E$3,100000000))^(1/2)-1))</f>
        <v>NA</v>
      </c>
      <c r="AB13" s="19"/>
      <c r="AC13" s="8"/>
      <c r="AD13" s="49"/>
    </row>
    <row r="14" spans="1:30" s="9" customFormat="1" ht="27" customHeight="1" x14ac:dyDescent="0.2">
      <c r="A14" s="191" t="s">
        <v>238</v>
      </c>
      <c r="B14" s="8"/>
      <c r="D14" s="13" t="str">
        <f>IF(A14="","",[1]!s_info_compname(E14))</f>
        <v>交通银行股份有限公司</v>
      </c>
      <c r="E14" s="13" t="str">
        <f>IF(A14="","",A14)</f>
        <v>601328.SH</v>
      </c>
      <c r="F14" s="147" t="str">
        <f>IF(A14="","",[1]!S_Info_Name(E14))</f>
        <v>交通银行</v>
      </c>
      <c r="G14" s="115">
        <f>IF(D14="","",[1]!s_fa_latelyyear2($A14,$A$3))</f>
        <v>2023</v>
      </c>
      <c r="H14" s="147" t="str">
        <f>IF(A14="","",[1]!hks_info_tradecur(A14))</f>
        <v>CNY</v>
      </c>
      <c r="I14" s="14">
        <f>IF(A14="","",[1]!S_DQ_CLOSE(A14,$A$3))</f>
        <v>6.94</v>
      </c>
      <c r="J14" s="28">
        <f>IF(A14="","",[1]!s_pq_highclose(A14,DATE(YEAR($A$3)-1,MONTH($A$3),DAY($A$3)),$A$3,3))</f>
        <v>6.94</v>
      </c>
      <c r="K14" s="15">
        <f>IF(A14="","",[1]!s_pq_lowclose(A14,DATE(YEAR($A$3)-1,MONTH($A$3),DAY($A$3)),$A$3,3))</f>
        <v>5.75</v>
      </c>
      <c r="L14" s="138">
        <f>IF(A14="","",[1]!hks_val_ev(A14,$A$3,$E$3,100000000))</f>
        <v>4452.3422717859448</v>
      </c>
      <c r="M14" s="178">
        <f>IF(A14="","",IF(YEAR($A$3)&gt;$G14,[1]!s_val_estpe(A14,$A$3,YEAR($A$3)),[1]!hks_val_pe(A14,$A$3,YEAR($A$3))))</f>
        <v>5.6959947400760029</v>
      </c>
      <c r="N14" s="178">
        <f>IF(A14="","",[1]!s_val_estpe(A14,$A$3,YEAR($A$3)+1))</f>
        <v>5.5131870320599878</v>
      </c>
      <c r="O14" s="178">
        <f>IF(A14="","",[1]!s_val_estpe(A14,$A$3,YEAR($A$3)+2))</f>
        <v>5.4113059221686521</v>
      </c>
      <c r="P14" s="178">
        <f>IF(A14="","",IF(YEAR($A$3)&gt;$G14,[1]!s_val_estpb(A14,$A$3,YEAR($A$3)),[1]!hks_val_pB(A14,$A$3,YEAR($A$3))))</f>
        <v>0.52773657602173973</v>
      </c>
      <c r="Q14" s="178">
        <f>IF(A14="","",[1]!s_val_estpb(A14,$A$3,YEAR($A$3)+1))</f>
        <v>0.49384823380001025</v>
      </c>
      <c r="R14" s="178">
        <f>IF(A14="","",[1]!s_val_estpb(A14,$A$3,YEAR($A$3)+2))</f>
        <v>0.46407124529726518</v>
      </c>
      <c r="S14" s="185" t="str">
        <f>IF(A14="","",IF(YEAR($A$3)&gt;$G14,(IFERROR(([1]!hks_val_ev1($A14,$A$3,"Cur="&amp;$E$3,100000000))/([1]!s_est_avgebitda1($A14,YEAR($A$3),$A$3,"Cur="&amp;$E$3,100000000)),"NA")),[1]!s_val_evtoebitda($A14,$A$3)))</f>
        <v>NA</v>
      </c>
      <c r="T14" s="185" t="str">
        <f>IF(A14="","",IFERROR(([1]!hks_val_ev1($A14,$A$3,"Cur="&amp;$E$3,100000000))/([1]!s_est_avgebitda1($A14,YEAR($A$3)+1,$A$3,"Cur="&amp;$E$3,100000000)),"NA"))</f>
        <v>NA</v>
      </c>
      <c r="U14" s="178" t="str">
        <f>IF(A14="","",IFERROR(([1]!hks_val_ev1($A14,$A$3,"Cur="&amp;$E$3,100000000))/([1]!s_est_avgebitda1($A14,YEAR($A$3)+2,$A$3,"Cur="&amp;$E$3,100000000)),"NA"))</f>
        <v>NA</v>
      </c>
      <c r="V14" s="18">
        <f>IF(A14="","",IF(YEAR($A$3)&gt;$G14,[1]!s_west_avgroe($A14,YEAR($A$3),$A$3,180)/100,[1]!hks_fa_roe($A14,DATE(YEAR($A$3),12,31))/100))</f>
        <v>9.4757003784179686E-2</v>
      </c>
      <c r="W14" s="18">
        <f>IF(A14="","",[1]!s_west_avgroe(A14,YEAR($A$3)+1,$A$3,180)/100)</f>
        <v>9.1556997299194337E-2</v>
      </c>
      <c r="X14" s="18">
        <f>IF(A14="","",[1]!s_west_avgroe(A14,YEAR($A$3)+2,$A$3,180)/100)</f>
        <v>8.7600002288818354E-2</v>
      </c>
      <c r="Y14" s="18">
        <f>IF(A14="","",IF(OR(RIGHT(A14,2)={"SH","SZ","BJ","NQ"}),IFERROR(([1]!s_est_sales($A14,$G14+2,DATE($G14+2,12,31),100000000)/[1]!S_STM07_IS($A14,"W31737944",DATE($G14,12,31),1,100000000))^(1/2)-1,"NA"),IFERROR(([1]!s_est_sales1($A14,$G14+2,$A$3,"Cur="&amp;$E$3,100000000)/[1]!hks_stm_is($A14,"83",DATE($G14,12,31),1,"Cur="&amp;$E$3,100000000))^(1/2)-1,"NA")))</f>
        <v>2.1595653715787755E-2</v>
      </c>
      <c r="Z14" s="18">
        <f>IF(A14="","",IF(OR(RIGHT(A14,2)={"SH","SZ","BJ","NQ"}),IFERROR(([1]!s_est_netprofit($A14,$G14+2,DATE($G14+2,12,31),100000000)/[1]!S_STM07_IS($A14,"W37790734",DATE($G14,12,31),1,100000000))^(1/2)-1,"NA"),IFERROR(([1]!s_west_netprofit1($A14,$G14+2,$A$3,180,"Cur="&amp;$E$3,100000000)/[1]!hks_stm_is($A14,"61",DATE($G14,12,31),1,"Cur="&amp;$E$3,100000000))^(1/2)-1,"NA")))</f>
        <v>1.240873346840532E-3</v>
      </c>
      <c r="AA14" s="17" t="str">
        <f>IF(A14="","",IF(([1]!s_est_avgebitda1($A14,$G14+2,$A$3,"Cur="&amp;$E$3,100000000)/[1]!hks_fa_ebitda2($A14,DATE($G14,12,31),1,"Cur="&amp;$E$3,100000000))&lt;=0,"NA",([1]!s_est_avgebitda1($A14,$G14+2,$A$3,"Cur="&amp;$E$3,100000000)/[1]!hks_fa_ebitda2($A14,DATE($G14,12,31),1,"Cur="&amp;$E$3,100000000))^(1/2)-1))</f>
        <v>NA</v>
      </c>
      <c r="AB14" s="19"/>
      <c r="AC14" s="8"/>
      <c r="AD14" s="49"/>
    </row>
    <row r="15" spans="1:30" s="9" customFormat="1" ht="27" customHeight="1" x14ac:dyDescent="0.2">
      <c r="A15" s="191" t="s">
        <v>239</v>
      </c>
      <c r="B15" s="8"/>
      <c r="D15" s="20" t="str">
        <f>IF(A15="","",[1]!s_info_compname(E15))</f>
        <v>中信银行股份有限公司</v>
      </c>
      <c r="E15" s="20" t="str">
        <f>IF(A15="","",A15)</f>
        <v>601998.SH</v>
      </c>
      <c r="F15" s="148" t="str">
        <f>IF(A15="","",[1]!S_Info_Name(E15))</f>
        <v>中信银行</v>
      </c>
      <c r="G15" s="125">
        <f>IF(D15="","",[1]!s_fa_latelyyear2($A15,$A$3))</f>
        <v>2023</v>
      </c>
      <c r="H15" s="148" t="str">
        <f>IF(A15="","",[1]!hks_info_tradecur(A15))</f>
        <v>CNY</v>
      </c>
      <c r="I15" s="21">
        <f>IF(A15="","",[1]!S_DQ_CLOSE(A15,$A$3))</f>
        <v>6.96</v>
      </c>
      <c r="J15" s="23">
        <f>IF(A15="","",[1]!s_pq_highclose(A15,DATE(YEAR($A$3)-1,MONTH($A$3),DAY($A$3)),$A$3,3))</f>
        <v>7.93</v>
      </c>
      <c r="K15" s="22">
        <f>IF(A15="","",[1]!s_pq_lowclose(A15,DATE(YEAR($A$3)-1,MONTH($A$3),DAY($A$3)),$A$3,3))</f>
        <v>5.29</v>
      </c>
      <c r="L15" s="187">
        <f>IF(A15="","",[1]!hks_val_ev(A15,$A$3,$E$3,100000000))</f>
        <v>3270.2781780180849</v>
      </c>
      <c r="M15" s="180">
        <f>IF(A15="","",IF(YEAR($A$3)&gt;$G15,[1]!s_val_estpe(A15,$A$3,YEAR($A$3)),[1]!hks_val_pe(A15,$A$3,YEAR($A$3))))</f>
        <v>5.416764161171634</v>
      </c>
      <c r="N15" s="180">
        <f>IF(A15="","",[1]!s_val_estpe(A15,$A$3,YEAR($A$3)+1))</f>
        <v>5.063659379043207</v>
      </c>
      <c r="O15" s="180">
        <f>IF(A15="","",[1]!s_val_estpe(A15,$A$3,YEAR($A$3)+2))</f>
        <v>4.7508531340772482</v>
      </c>
      <c r="P15" s="180">
        <f>IF(A15="","",IF(YEAR($A$3)&gt;$G15,[1]!s_val_estpb(A15,$A$3,YEAR($A$3)),[1]!hks_val_pB(A15,$A$3,YEAR($A$3))))</f>
        <v>0.54739790474717509</v>
      </c>
      <c r="Q15" s="180">
        <f>IF(A15="","",[1]!s_val_estpb(A15,$A$3,YEAR($A$3)+1))</f>
        <v>0.50411402315110942</v>
      </c>
      <c r="R15" s="180">
        <f>IF(A15="","",[1]!s_val_estpb(A15,$A$3,YEAR($A$3)+2))</f>
        <v>0.46516291912752356</v>
      </c>
      <c r="S15" s="186" t="str">
        <f>IF(A15="","",IF(YEAR($A$3)&gt;$G15,(IFERROR(([1]!hks_val_ev1($A15,$A$3,"Cur="&amp;$E$3,100000000))/([1]!s_est_avgebitda1($A15,YEAR($A$3),$A$3,"Cur="&amp;$E$3,100000000)),"NA")),[1]!s_val_evtoebitda($A15,$A$3)))</f>
        <v>NA</v>
      </c>
      <c r="T15" s="186" t="str">
        <f>IF(A15="","",IFERROR(([1]!hks_val_ev1($A15,$A$3,"Cur="&amp;$E$3,100000000))/([1]!s_est_avgebitda1($A15,YEAR($A$3)+1,$A$3,"Cur="&amp;$E$3,100000000)),"NA"))</f>
        <v>NA</v>
      </c>
      <c r="U15" s="180" t="str">
        <f>IF(A15="","",IFERROR(([1]!hks_val_ev1($A15,$A$3,"Cur="&amp;$E$3,100000000))/([1]!s_est_avgebitda1($A15,YEAR($A$3)+2,$A$3,"Cur="&amp;$E$3,100000000)),"NA"))</f>
        <v>NA</v>
      </c>
      <c r="V15" s="26">
        <f>IF(A15="","",IF(YEAR($A$3)&gt;$G15,[1]!s_west_avgroe($A15,YEAR($A$3),$A$3,180)/100,[1]!hks_fa_roe($A15,DATE(YEAR($A$3),12,31))/100))</f>
        <v>0.10899999618530273</v>
      </c>
      <c r="W15" s="26">
        <f>IF(A15="","",[1]!s_west_avgroe(A15,YEAR($A$3)+1,$A$3,180)/100)</f>
        <v>0.10812000274658203</v>
      </c>
      <c r="X15" s="26">
        <f>IF(A15="","",[1]!s_west_avgroe(A15,YEAR($A$3)+2,$A$3,180)/100)</f>
        <v>0.10685999870300293</v>
      </c>
      <c r="Y15" s="26">
        <f>IF(A15="","",IF(OR(RIGHT(A15,2)={"SH","SZ","BJ","NQ"}),IFERROR(([1]!s_est_sales($A15,$G15+2,DATE($G15+2,12,31),100000000)/[1]!S_STM07_IS($A15,"W31737944",DATE($G15,12,31),1,100000000))^(1/2)-1,"NA"),IFERROR(([1]!s_est_sales1($A15,$G15+2,$A$3,"Cur="&amp;$E$3,100000000)/[1]!hks_stm_is($A15,"83",DATE($G15,12,31),1,"Cur="&amp;$E$3,100000000))^(1/2)-1,"NA")))</f>
        <v>1.7067888296725009E-2</v>
      </c>
      <c r="Z15" s="26">
        <f>IF(A15="","",IF(OR(RIGHT(A15,2)={"SH","SZ","BJ","NQ"}),IFERROR(([1]!s_est_netprofit($A15,$G15+2,DATE($G15+2,12,31),100000000)/[1]!S_STM07_IS($A15,"W37790734",DATE($G15,12,31),1,100000000))^(1/2)-1,"NA"),IFERROR(([1]!s_west_netprofit1($A15,$G15+2,$A$3,180,"Cur="&amp;$E$3,100000000)/[1]!hks_stm_is($A15,"61",DATE($G15,12,31),1,"Cur="&amp;$E$3,100000000))^(1/2)-1,"NA")))</f>
        <v>3.7420960706644024E-2</v>
      </c>
      <c r="AA15" s="25" t="str">
        <f>IF(A15="","",IF(([1]!s_est_avgebitda1($A15,$G15+2,$A$3,"Cur="&amp;$E$3,100000000)/[1]!hks_fa_ebitda2($A15,DATE($G15,12,31),1,"Cur="&amp;$E$3,100000000))&lt;=0,"NA",([1]!s_est_avgebitda1($A15,$G15+2,$A$3,"Cur="&amp;$E$3,100000000)/[1]!hks_fa_ebitda2($A15,DATE($G15,12,31),1,"Cur="&amp;$E$3,100000000))^(1/2)-1))</f>
        <v>NA</v>
      </c>
      <c r="AB15" s="19"/>
      <c r="AC15" s="8"/>
      <c r="AD15" s="49"/>
    </row>
    <row r="16" spans="1:30" s="9" customFormat="1" ht="27" customHeight="1" x14ac:dyDescent="0.2">
      <c r="A16" s="191" t="s">
        <v>240</v>
      </c>
      <c r="B16" s="8"/>
      <c r="D16" s="13" t="str">
        <f>IF(A16="","",[1]!s_info_compname(E16))</f>
        <v>中国光大银行股份有限公司</v>
      </c>
      <c r="E16" s="13" t="str">
        <f t="shared" si="0"/>
        <v>601818.SH</v>
      </c>
      <c r="F16" s="147" t="str">
        <f>IF(A16="","",[1]!S_Info_Name(E16))</f>
        <v>光大银行</v>
      </c>
      <c r="G16" s="115">
        <f>IF(D16="","",[1]!s_fa_latelyyear2($A16,$A$3))</f>
        <v>2023</v>
      </c>
      <c r="H16" s="147" t="str">
        <f>IF(A16="","",[1]!hks_info_tradecur(A16))</f>
        <v>CNY</v>
      </c>
      <c r="I16" s="14">
        <f>IF(A16="","",[1]!S_DQ_CLOSE(A16,$A$3))</f>
        <v>3.14</v>
      </c>
      <c r="J16" s="14">
        <f>IF(A16="","",[1]!s_pq_highclose(A16,DATE(YEAR($A$3)-1,MONTH($A$3),DAY($A$3)),$A$3,3))</f>
        <v>3.36</v>
      </c>
      <c r="K16" s="15">
        <f>IF(A16="","",[1]!s_pq_lowclose(A16,DATE(YEAR($A$3)-1,MONTH($A$3),DAY($A$3)),$A$3,3))</f>
        <v>2.9</v>
      </c>
      <c r="L16" s="138">
        <f>IF(A16="","",[1]!hks_val_ev(A16,$A$3,$E$3,100000000))</f>
        <v>1726.392528556901</v>
      </c>
      <c r="M16" s="178">
        <f>IF(A16="","",IF(YEAR($A$3)&gt;$G16,[1]!s_val_estpe(A16,$A$3,YEAR($A$3)),[1]!hks_val_pe(A16,$A$3,YEAR($A$3))))</f>
        <v>4.2996028484539481</v>
      </c>
      <c r="N16" s="178">
        <f>IF(A16="","",[1]!s_val_estpe(A16,$A$3,YEAR($A$3)+1))</f>
        <v>4.0584205824537856</v>
      </c>
      <c r="O16" s="178">
        <f>IF(A16="","",[1]!s_val_estpe(A16,$A$3,YEAR($A$3)+2))</f>
        <v>4.1348432422979799</v>
      </c>
      <c r="P16" s="178">
        <f>IF(A16="","",IF(YEAR($A$3)&gt;$G16,[1]!s_val_estpb(A16,$A$3,YEAR($A$3)),[1]!hks_val_pB(A16,$A$3,YEAR($A$3))))</f>
        <v>0.36456943423302124</v>
      </c>
      <c r="Q16" s="178">
        <f>IF(A16="","",[1]!s_val_estpb(A16,$A$3,YEAR($A$3)+1))</f>
        <v>0.33862115692755784</v>
      </c>
      <c r="R16" s="178">
        <f>IF(A16="","",[1]!s_val_estpb(A16,$A$3,YEAR($A$3)+2))</f>
        <v>0.30993061191678251</v>
      </c>
      <c r="S16" s="185" t="str">
        <f>IF(A16="","",IF(YEAR($A$3)&gt;$G16,(IFERROR(([1]!hks_val_ev1($A16,$A$3,"Cur="&amp;$E$3,100000000))/([1]!s_est_avgebitda1($A16,YEAR($A$3),$A$3,"Cur="&amp;$E$3,100000000)),"NA")),[1]!s_val_evtoebitda($A16,$A$3)))</f>
        <v>NA</v>
      </c>
      <c r="T16" s="185" t="str">
        <f>IF(A16="","",IFERROR(([1]!hks_val_ev1($A16,$A$3,"Cur="&amp;$E$3,100000000))/([1]!s_est_avgebitda1($A16,YEAR($A$3)+1,$A$3,"Cur="&amp;$E$3,100000000)),"NA"))</f>
        <v>NA</v>
      </c>
      <c r="U16" s="178" t="str">
        <f>IF(A16="","",IFERROR(([1]!hks_val_ev1($A16,$A$3,"Cur="&amp;$E$3,100000000))/([1]!s_est_avgebitda1($A16,YEAR($A$3)+2,$A$3,"Cur="&amp;$E$3,100000000)),"NA"))</f>
        <v>NA</v>
      </c>
      <c r="V16" s="18">
        <f>IF(A16="","",IF(YEAR($A$3)&gt;$G16,[1]!s_west_avgroe($A16,YEAR($A$3),$A$3,180)/100,[1]!hks_fa_roe($A16,DATE(YEAR($A$3),12,31))/100))</f>
        <v>8.7333002090454095E-2</v>
      </c>
      <c r="W16" s="18">
        <f>IF(A16="","",[1]!s_west_avgroe(A16,YEAR($A$3)+1,$A$3,180)/100)</f>
        <v>8.5944004058837897E-2</v>
      </c>
      <c r="X16" s="18">
        <f>IF(A16="","",[1]!s_west_avgroe(A16,YEAR($A$3)+2,$A$3,180)/100)</f>
        <v>7.7560000419616693E-2</v>
      </c>
      <c r="Y16" s="18">
        <f>IF(A16="","",IF(OR(RIGHT(A16,2)={"SH","SZ","BJ","NQ"}),IFERROR(([1]!s_est_sales($A16,$G16+2,DATE($G16+2,12,31),100000000)/[1]!S_STM07_IS($A16,"W31737944",DATE($G16,12,31),1,100000000))^(1/2)-1,"NA"),IFERROR(([1]!s_est_sales1($A16,$G16+2,$A$3,"Cur="&amp;$E$3,100000000)/[1]!hks_stm_is($A16,"83",DATE($G16,12,31),1,"Cur="&amp;$E$3,100000000))^(1/2)-1,"NA")))</f>
        <v>3.5424645936257937E-2</v>
      </c>
      <c r="Z16" s="18">
        <f>IF(A16="","",IF(OR(RIGHT(A16,2)={"SH","SZ","BJ","NQ"}),IFERROR(([1]!s_est_netprofit($A16,$G16+2,DATE($G16+2,12,31),100000000)/[1]!S_STM07_IS($A16,"W37790734",DATE($G16,12,31),1,100000000))^(1/2)-1,"NA"),IFERROR(([1]!s_west_netprofit1($A16,$G16+2,$A$3,180,"Cur="&amp;$E$3,100000000)/[1]!hks_stm_is($A16,"61",DATE($G16,12,31),1,"Cur="&amp;$E$3,100000000))^(1/2)-1,"NA")))</f>
        <v>5.4946209767112286E-2</v>
      </c>
      <c r="AA16" s="17" t="str">
        <f>IF(A16="","",IF(([1]!s_est_avgebitda1($A16,$G16+2,$A$3,"Cur="&amp;$E$3,100000000)/[1]!hks_fa_ebitda2($A16,DATE($G16,12,31),1,"Cur="&amp;$E$3,100000000))&lt;=0,"NA",([1]!s_est_avgebitda1($A16,$G16+2,$A$3,"Cur="&amp;$E$3,100000000)/[1]!hks_fa_ebitda2($A16,DATE($G16,12,31),1,"Cur="&amp;$E$3,100000000))^(1/2)-1))</f>
        <v>NA</v>
      </c>
      <c r="AB16" s="19"/>
      <c r="AC16" s="8"/>
      <c r="AD16" s="49"/>
    </row>
    <row r="17" spans="1:30" s="9" customFormat="1" ht="27" customHeight="1" x14ac:dyDescent="0.2">
      <c r="A17" s="191" t="s">
        <v>241</v>
      </c>
      <c r="B17" s="8"/>
      <c r="D17" s="20" t="str">
        <f>IF(A17="","",[1]!s_info_compname(E17))</f>
        <v>江苏银行股份有限公司</v>
      </c>
      <c r="E17" s="20" t="str">
        <f t="shared" ref="E17:E27" si="1">IF(A17="","",A17)</f>
        <v>600919.SH</v>
      </c>
      <c r="F17" s="148" t="str">
        <f>IF(A17="","",[1]!S_Info_Name(E17))</f>
        <v>江苏银行</v>
      </c>
      <c r="G17" s="125">
        <f>IF(D17="","",[1]!s_fa_latelyyear2($A17,$A$3))</f>
        <v>2023</v>
      </c>
      <c r="H17" s="148" t="str">
        <f>IF(A17="","",[1]!hks_info_tradecur(A17))</f>
        <v>CNY</v>
      </c>
      <c r="I17" s="21">
        <f>IF(A17="","",[1]!S_DQ_CLOSE(A17,$A$3))</f>
        <v>8.44</v>
      </c>
      <c r="J17" s="21">
        <f>IF(A17="","",[1]!s_pq_highclose(A17,DATE(YEAR($A$3)-1,MONTH($A$3),DAY($A$3)),$A$3,3))</f>
        <v>8.44</v>
      </c>
      <c r="K17" s="22">
        <f>IF(A17="","",[1]!s_pq_lowclose(A17,DATE(YEAR($A$3)-1,MONTH($A$3),DAY($A$3)),$A$3,3))</f>
        <v>6.69</v>
      </c>
      <c r="L17" s="188">
        <f>IF(A17="","",[1]!hks_val_ev(A17,$A$3,$E$3,100000000))</f>
        <v>1548.8517846771999</v>
      </c>
      <c r="M17" s="180">
        <f>IF(A17="","",IF(YEAR($A$3)&gt;$G17,[1]!s_val_estpe(A17,$A$3,YEAR($A$3)),[1]!hks_val_pe(A17,$A$3,YEAR($A$3))))</f>
        <v>4.1431445104917159</v>
      </c>
      <c r="N17" s="180">
        <f>IF(A17="","",[1]!s_val_estpe(A17,$A$3,YEAR($A$3)+1))</f>
        <v>3.4987354871356957</v>
      </c>
      <c r="O17" s="24">
        <f>IF(A17="","",[1]!s_val_estpe(A17,$A$3,YEAR($A$3)+2))</f>
        <v>0</v>
      </c>
      <c r="P17" s="180">
        <f>IF(A17="","",IF(YEAR($A$3)&gt;$G17,[1]!s_val_estpb(A17,$A$3,YEAR($A$3)),[1]!hks_val_pB(A17,$A$3,YEAR($A$3))))</f>
        <v>0.67954911015736852</v>
      </c>
      <c r="Q17" s="180">
        <f>IF(A17="","",[1]!s_val_estpb(A17,$A$3,YEAR($A$3)+1))</f>
        <v>0.59103642561790981</v>
      </c>
      <c r="R17" s="180">
        <f>IF(A17="","",[1]!s_val_estpb(A17,$A$3,YEAR($A$3)+2))</f>
        <v>0</v>
      </c>
      <c r="S17" s="166" t="str">
        <f>IF(A17="","",IF(YEAR($A$3)&gt;$G17,(IFERROR(([1]!hks_val_ev1($A17,$A$3,"Cur="&amp;$E$3,100000000))/([1]!s_est_avgebitda1($A17,YEAR($A$3),$A$3,"Cur="&amp;$E$3,100000000)),"NA")),[1]!s_val_evtoebitda($A17,$A$3)))</f>
        <v>NA</v>
      </c>
      <c r="T17" s="166" t="str">
        <f>IF(A17="","",IFERROR(([1]!hks_val_ev1($A17,$A$3,"Cur="&amp;$E$3,100000000))/([1]!s_est_avgebitda1($A17,YEAR($A$3)+1,$A$3,"Cur="&amp;$E$3,100000000)),"NA"))</f>
        <v>NA</v>
      </c>
      <c r="U17" s="21" t="str">
        <f>IF(A17="","",IFERROR(([1]!hks_val_ev1($A17,$A$3,"Cur="&amp;$E$3,100000000))/([1]!s_est_avgebitda1($A17,YEAR($A$3)+2,$A$3,"Cur="&amp;$E$3,100000000)),"NA"))</f>
        <v>NA</v>
      </c>
      <c r="V17" s="25">
        <f>IF(A17="","",IF(YEAR($A$3)&gt;$G17,[1]!s_west_avgroe($A17,YEAR($A$3),$A$3,180)/100,[1]!hks_fa_roe($A17,DATE(YEAR($A$3),12,31))/100))</f>
        <v>0.15770000457763672</v>
      </c>
      <c r="W17" s="25">
        <f>IF(A17="","",[1]!s_west_avgroe(A17,YEAR($A$3)+1,$A$3,180)/100)</f>
        <v>0.16305000305175782</v>
      </c>
      <c r="X17" s="25">
        <f>IF(A17="","",[1]!s_west_avgroe(A17,YEAR($A$3)+2,$A$3,180)/100)</f>
        <v>0</v>
      </c>
      <c r="Y17" s="26">
        <f>IF(A17="","",IF(OR(RIGHT(A17,2)={"SH","SZ","BJ","NQ"}),IFERROR(([1]!s_est_sales($A17,$G17+2,DATE($G17+2,12,31),100000000)/[1]!S_STM07_IS($A17,"W31737944",DATE($G17,12,31),1,100000000))^(1/2)-1,"NA"),IFERROR(([1]!s_est_sales1($A17,$G17+2,$A$3,"Cur="&amp;$E$3,100000000)/[1]!hks_stm_is($A17,"83",DATE($G17,12,31),1,"Cur="&amp;$E$3,100000000))^(1/2)-1,"NA")))</f>
        <v>0.13526586457738965</v>
      </c>
      <c r="Z17" s="26">
        <f>IF(A17="","",IF(OR(RIGHT(A17,2)={"SH","SZ","BJ","NQ"}),IFERROR(([1]!s_est_netprofit($A17,$G17+2,DATE($G17+2,12,31),100000000)/[1]!S_STM07_IS($A17,"W37790734",DATE($G17,12,31),1,100000000))^(1/2)-1,"NA"),IFERROR(([1]!s_west_netprofit1($A17,$G17+2,$A$3,180,"Cur="&amp;$E$3,100000000)/[1]!hks_stm_is($A17,"61",DATE($G17,12,31),1,"Cur="&amp;$E$3,100000000))^(1/2)-1,"NA")))</f>
        <v>0.21449740562532993</v>
      </c>
      <c r="AA17" s="25" t="str">
        <f>IF(A17="","",IF(([1]!s_est_avgebitda1($A17,$G17+2,$A$3,"Cur="&amp;$E$3,100000000)/[1]!hks_fa_ebitda2($A17,DATE($G17,12,31),1,"Cur="&amp;$E$3,100000000))&lt;=0,"NA",([1]!s_est_avgebitda1($A17,$G17+2,$A$3,"Cur="&amp;$E$3,100000000)/[1]!hks_fa_ebitda2($A17,DATE($G17,12,31),1,"Cur="&amp;$E$3,100000000))^(1/2)-1))</f>
        <v>NA</v>
      </c>
      <c r="AB17" s="19"/>
      <c r="AC17" s="8"/>
      <c r="AD17" s="49"/>
    </row>
    <row r="18" spans="1:30" s="9" customFormat="1" ht="27" customHeight="1" x14ac:dyDescent="0.2">
      <c r="A18" s="191" t="s">
        <v>227</v>
      </c>
      <c r="B18" s="8"/>
      <c r="D18" s="13" t="str">
        <f>IF(A18="","",[1]!s_info_compname(E18))</f>
        <v>腾讯控股有限公司</v>
      </c>
      <c r="E18" s="13" t="str">
        <f t="shared" si="1"/>
        <v>0700.HK</v>
      </c>
      <c r="F18" s="147" t="str">
        <f>IF(A18="","",[1]!S_Info_Name(E18))</f>
        <v>腾讯控股</v>
      </c>
      <c r="G18" s="115">
        <f>IF(D18="","",[1]!s_fa_latelyyear2($A18,$A$3))</f>
        <v>2023</v>
      </c>
      <c r="H18" s="147" t="str">
        <f>IF(A18="","",[1]!hks_info_tradecur(A18))</f>
        <v>HKD</v>
      </c>
      <c r="I18" s="14">
        <f>IF(A18="","",[1]!S_DQ_CLOSE(A18,$A$3))</f>
        <v>339.4</v>
      </c>
      <c r="J18" s="14">
        <f>IF(A18="","",[1]!s_pq_highclose(A18,DATE(YEAR($A$3)-1,MONTH($A$3),DAY($A$3)),$A$3,3))</f>
        <v>344.2</v>
      </c>
      <c r="K18" s="15">
        <f>IF(A18="","",[1]!s_pq_lowclose(A18,DATE(YEAR($A$3)-1,MONTH($A$3),DAY($A$3)),$A$3,3))</f>
        <v>262.2</v>
      </c>
      <c r="L18" s="123">
        <f>IF(A18="","",[1]!hks_val_ev(A18,$A$3,$E$3,100000000))</f>
        <v>32057.524582785994</v>
      </c>
      <c r="M18" s="178">
        <f>IF(A18="","",IF(YEAR($A$3)&gt;$G18,[1]!s_val_estpe(A18,$A$3,YEAR($A$3)),[1]!hks_val_pe(A18,$A$3,YEAR($A$3))))</f>
        <v>18.812679778471157</v>
      </c>
      <c r="N18" s="178">
        <f>IF(A18="","",[1]!s_val_estpe(A18,$A$3,YEAR($A$3)+1))</f>
        <v>16.689172142203251</v>
      </c>
      <c r="O18" s="16">
        <f>IF(A18="","",[1]!s_val_estpe(A18,$A$3,YEAR($A$3)+2))</f>
        <v>14.956534770261413</v>
      </c>
      <c r="P18" s="178">
        <f>IF(A18="","",IF(YEAR($A$3)&gt;$G18,[1]!s_val_estpb(A18,$A$3,YEAR($A$3)),[1]!hks_val_pB(A18,$A$3,YEAR($A$3))))</f>
        <v>2.9724129155001049</v>
      </c>
      <c r="Q18" s="178">
        <f>IF(A18="","",[1]!s_val_estpb(A18,$A$3,YEAR($A$3)+1))</f>
        <v>2.5525035893620669</v>
      </c>
      <c r="R18" s="178">
        <f>IF(A18="","",[1]!s_val_estpb(A18,$A$3,YEAR($A$3)+2))</f>
        <v>2.1854611784433922</v>
      </c>
      <c r="S18" s="164">
        <f>IF(A18="","",IF(YEAR($A$3)&gt;$G18,(IFERROR(([1]!hks_val_ev1($A18,$A$3,"Cur="&amp;$E$3,100000000))/([1]!s_est_avgebitda1($A18,YEAR($A$3),$A$3,"Cur="&amp;$E$3,100000000)),"NA")),[1]!s_val_evtoebitda($A18,$A$3)))</f>
        <v>13.348672538896752</v>
      </c>
      <c r="T18" s="164">
        <f>IF(A18="","",IFERROR(([1]!hks_val_ev1($A18,$A$3,"Cur="&amp;$E$3,100000000))/([1]!s_est_avgebitda1($A18,YEAR($A$3)+1,$A$3,"Cur="&amp;$E$3,100000000)),"NA"))</f>
        <v>12.085213582235179</v>
      </c>
      <c r="U18" s="14">
        <f>IF(A18="","",IFERROR(([1]!hks_val_ev1($A18,$A$3,"Cur="&amp;$E$3,100000000))/([1]!s_est_avgebitda1($A18,YEAR($A$3)+2,$A$3,"Cur="&amp;$E$3,100000000)),"NA"))</f>
        <v>10.762813573754618</v>
      </c>
      <c r="V18" s="17">
        <f>IF(A18="","",IF(YEAR($A$3)&gt;$G18,[1]!s_west_avgroe($A18,YEAR($A$3),$A$3,180)/100,[1]!hks_fa_roe($A18,DATE(YEAR($A$3),12,31))/100))</f>
        <v>0.17181999999999997</v>
      </c>
      <c r="W18" s="17">
        <f>IF(A18="","",[1]!s_west_avgroe(A18,YEAR($A$3)+1,$A$3,180)/100)</f>
        <v>0.164767</v>
      </c>
      <c r="X18" s="17">
        <f>IF(A18="","",[1]!s_west_avgroe(A18,YEAR($A$3)+2,$A$3,180)/100)</f>
        <v>0.15426399999999998</v>
      </c>
      <c r="Y18" s="18">
        <f>IF(A18="","",IF(OR(RIGHT(A18,2)={"SH","SZ","BJ","NQ"}),IFERROR(([1]!s_est_sales($A18,$G18+2,DATE($G18+2,12,31),100000000)/[1]!S_STM07_IS($A18,"W31737944",DATE($G18,12,31),1,100000000))^(1/2)-1,"NA"),IFERROR(([1]!s_est_sales1($A18,$G18+2,$A$3,"Cur="&amp;$E$3,100000000)/[1]!hks_stm_is($A18,"83",DATE($G18,12,31),1,"Cur="&amp;$E$3,100000000))^(1/2)-1,"NA")))</f>
        <v>9.9553041064579739E-2</v>
      </c>
      <c r="Z18" s="18">
        <f>IF(A18="","",IF(OR(RIGHT(A18,2)={"SH","SZ","BJ","NQ"}),IFERROR(([1]!s_est_netprofit($A18,$G18+2,DATE($G18+2,12,31),100000000)/[1]!S_STM07_IS($A18,"W37790734",DATE($G18,12,31),1,100000000))^(1/2)-1,"NA"),IFERROR(([1]!s_west_netprofit1($A18,$G18+2,$A$3,180,"Cur="&amp;$E$3,100000000)/[1]!hks_stm_is($A18,"61",DATE($G18,12,31),1,"Cur="&amp;$E$3,100000000))^(1/2)-1,"NA")))</f>
        <v>0.23021059125328591</v>
      </c>
      <c r="AA18" s="17">
        <f>IF(A18="","",IF(([1]!s_est_avgebitda1($A18,$G18+2,$A$3,"Cur="&amp;$E$3,100000000)/[1]!hks_fa_ebitda2($A18,DATE($G18,12,31),1,"Cur="&amp;$E$3,100000000))&lt;=0,"NA",([1]!s_est_avgebitda1($A18,$G18+2,$A$3,"Cur="&amp;$E$3,100000000)/[1]!hks_fa_ebitda2($A18,DATE($G18,12,31),1,"Cur="&amp;$E$3,100000000))^(1/2)-1))</f>
        <v>0.1256979121340589</v>
      </c>
      <c r="AB18" s="19"/>
      <c r="AC18" s="8"/>
      <c r="AD18" s="49"/>
    </row>
    <row r="19" spans="1:30" s="9" customFormat="1" ht="27" customHeight="1" x14ac:dyDescent="0.2">
      <c r="A19" s="191" t="s">
        <v>226</v>
      </c>
      <c r="B19" s="8"/>
      <c r="D19" s="20" t="str">
        <f>IF(A19="","",[1]!s_info_compname(E19))</f>
        <v>阿里巴巴集团控股有限公司</v>
      </c>
      <c r="E19" s="20" t="str">
        <f t="shared" si="1"/>
        <v>9988.HK</v>
      </c>
      <c r="F19" s="148" t="str">
        <f>IF(A19="","",[1]!S_Info_Name(E19))</f>
        <v>阿里巴巴-SW</v>
      </c>
      <c r="G19" s="125">
        <f>IF(D19="","",[1]!s_fa_latelyyear2($A19,$A$3))</f>
        <v>2023</v>
      </c>
      <c r="H19" s="148" t="str">
        <f>IF(A19="","",[1]!hks_info_tradecur(A19))</f>
        <v>HKD</v>
      </c>
      <c r="I19" s="21">
        <f>IF(A19="","",[1]!S_DQ_CLOSE(A19,$A$3))</f>
        <v>73</v>
      </c>
      <c r="J19" s="23">
        <f>IF(A19="","",[1]!s_pq_highclose(A19,DATE(YEAR($A$3)-1,MONTH($A$3),DAY($A$3)),$A$3,3))</f>
        <v>76</v>
      </c>
      <c r="K19" s="22">
        <f>IF(A19="","",[1]!s_pq_lowclose(A19,DATE(YEAR($A$3)-1,MONTH($A$3),DAY($A$3)),$A$3,3))</f>
        <v>65.45</v>
      </c>
      <c r="L19" s="188">
        <f>IF(A19="","",[1]!hks_val_ev(A19,$A$3,$E$3,100000000))</f>
        <v>14873.193769199999</v>
      </c>
      <c r="M19" s="180">
        <f>IF(A19="","",IF(YEAR($A$3)&gt;$G19,[1]!s_val_estpe(A19,$A$3,YEAR($A$3)),[1]!hks_val_pe(A19,$A$3,YEAR($A$3))))</f>
        <v>14.016203811417329</v>
      </c>
      <c r="N19" s="180">
        <f>IF(A19="","",[1]!s_val_estpe(A19,$A$3,YEAR($A$3)+1))</f>
        <v>11.844640463295619</v>
      </c>
      <c r="O19" s="24">
        <f>IF(A19="","",[1]!s_val_estpe(A19,$A$3,YEAR($A$3)+2))</f>
        <v>10.286425444723852</v>
      </c>
      <c r="P19" s="180">
        <f>IF(A19="","",IF(YEAR($A$3)&gt;$G19,[1]!s_val_estpb(A19,$A$3,YEAR($A$3)),[1]!hks_val_pB(A19,$A$3,YEAR($A$3))))</f>
        <v>1.4132271431221968</v>
      </c>
      <c r="Q19" s="180">
        <f>IF(A19="","",[1]!s_val_estpb(A19,$A$3,YEAR($A$3)+1))</f>
        <v>1.2809763047100622</v>
      </c>
      <c r="R19" s="180">
        <f>IF(A19="","",[1]!s_val_estpb(A19,$A$3,YEAR($A$3)+2))</f>
        <v>1.0663527174070462</v>
      </c>
      <c r="S19" s="166">
        <f>IF(A19="","",IF(YEAR($A$3)&gt;$G19,(IFERROR(([1]!hks_val_ev1($A19,$A$3,"Cur="&amp;$E$3,100000000))/([1]!s_est_avgebitda1($A19,YEAR($A$3),$A$3,"Cur="&amp;$E$3,100000000)),"NA")),[1]!s_val_evtoebitda($A19,$A$3)))</f>
        <v>8.4329308392567626</v>
      </c>
      <c r="T19" s="166">
        <f>IF(A19="","",IFERROR(([1]!hks_val_ev1($A19,$A$3,"Cur="&amp;$E$3,100000000))/([1]!s_est_avgebitda1($A19,YEAR($A$3)+1,$A$3,"Cur="&amp;$E$3,100000000)),"NA"))</f>
        <v>8.1449761637122737</v>
      </c>
      <c r="U19" s="21">
        <f>IF(A19="","",IFERROR(([1]!hks_val_ev1($A19,$A$3,"Cur="&amp;$E$3,100000000))/([1]!s_est_avgebitda1($A19,YEAR($A$3)+2,$A$3,"Cur="&amp;$E$3,100000000)),"NA"))</f>
        <v>7.1498827534893561</v>
      </c>
      <c r="V19" s="25">
        <f>IF(A19="","",IF(YEAR($A$3)&gt;$G19,[1]!s_west_avgroe($A19,YEAR($A$3),$A$3,180)/100,[1]!hks_fa_roe($A19,DATE(YEAR($A$3),12,31))/100))</f>
        <v>0.10174200000000001</v>
      </c>
      <c r="W19" s="25">
        <f>IF(A19="","",[1]!s_west_avgroe(A19,YEAR($A$3)+1,$A$3,180)/100)</f>
        <v>0.103732</v>
      </c>
      <c r="X19" s="25">
        <f>IF(A19="","",[1]!s_west_avgroe(A19,YEAR($A$3)+2,$A$3,180)/100)</f>
        <v>0.10492900000000001</v>
      </c>
      <c r="Y19" s="26">
        <f>IF(A19="","",IF(OR(RIGHT(A19,2)={"SH","SZ","BJ","NQ"}),IFERROR(([1]!s_est_sales($A19,$G19+2,DATE($G19+2,12,31),100000000)/[1]!S_STM07_IS($A19,"W31737944",DATE($G19,12,31),1,100000000))^(1/2)-1,"NA"),IFERROR(([1]!s_est_sales1($A19,$G19+2,$A$3,"Cur="&amp;$E$3,100000000)/[1]!hks_stm_is($A19,"83",DATE($G19,12,31),1,"Cur="&amp;$E$3,100000000))^(1/2)-1,"NA")))</f>
        <v>8.1438386177168809E-2</v>
      </c>
      <c r="Z19" s="26">
        <f>IF(A19="","",IF(OR(RIGHT(A19,2)={"SH","SZ","BJ","NQ"}),IFERROR(([1]!s_est_netprofit($A19,$G19+2,DATE($G19+2,12,31),100000000)/[1]!S_STM07_IS($A19,"W37790734",DATE($G19,12,31),1,100000000))^(1/2)-1,"NA"),IFERROR(([1]!s_west_netprofit1($A19,$G19+2,$A$3,180,"Cur="&amp;$E$3,100000000)/[1]!hks_stm_is($A19,"61",DATE($G19,12,31),1,"Cur="&amp;$E$3,100000000))^(1/2)-1,"NA")))</f>
        <v>0.25144632312402226</v>
      </c>
      <c r="AA19" s="25">
        <f>IF(A19="","",IF(([1]!s_est_avgebitda1($A19,$G19+2,$A$3,"Cur="&amp;$E$3,100000000)/[1]!hks_fa_ebitda2($A19,DATE($G19,12,31),1,"Cur="&amp;$E$3,100000000))&lt;=0,"NA",([1]!s_est_avgebitda1($A19,$G19+2,$A$3,"Cur="&amp;$E$3,100000000)/[1]!hks_fa_ebitda2($A19,DATE($G19,12,31),1,"Cur="&amp;$E$3,100000000))^(1/2)-1))</f>
        <v>0.11376172976816989</v>
      </c>
      <c r="AB19" s="19"/>
      <c r="AC19" s="8"/>
      <c r="AD19" s="49"/>
    </row>
    <row r="20" spans="1:30" s="9" customFormat="1" ht="27" customHeight="1" x14ac:dyDescent="0.2">
      <c r="A20" s="191" t="s">
        <v>228</v>
      </c>
      <c r="B20" s="8"/>
      <c r="D20" s="13" t="str">
        <f>IF(A20="","",[1]!s_info_compname(E20))</f>
        <v>药明生物技术有限公司</v>
      </c>
      <c r="E20" s="13" t="str">
        <f t="shared" si="1"/>
        <v>2269.HK</v>
      </c>
      <c r="F20" s="147" t="str">
        <f>IF(A20="","",[1]!S_Info_Name(E20))</f>
        <v>药明生物</v>
      </c>
      <c r="G20" s="115">
        <f>IF(D20="","",[1]!s_fa_latelyyear2($A20,$A$3))</f>
        <v>2023</v>
      </c>
      <c r="H20" s="147" t="str">
        <f>IF(A20="","",[1]!hks_info_tradecur(A20))</f>
        <v>HKD</v>
      </c>
      <c r="I20" s="14">
        <f>IF(A20="","",[1]!S_DQ_CLOSE(A20,$A$3))</f>
        <v>12.74</v>
      </c>
      <c r="J20" s="28">
        <f>IF(A20="","",[1]!s_pq_highclose(A20,DATE(YEAR($A$3)-1,MONTH($A$3),DAY($A$3)),$A$3,3))</f>
        <v>30.5</v>
      </c>
      <c r="K20" s="15">
        <f>IF(A20="","",[1]!s_pq_lowclose(A20,DATE(YEAR($A$3)-1,MONTH($A$3),DAY($A$3)),$A$3,3))</f>
        <v>12.62</v>
      </c>
      <c r="L20" s="189">
        <f>IF(A20="","",[1]!hks_val_ev(A20,$A$3,$E$3,100000000))</f>
        <v>542.63203873060002</v>
      </c>
      <c r="M20" s="178">
        <f>IF(A20="","",IF(YEAR($A$3)&gt;$G20,[1]!s_val_estpe(A20,$A$3,YEAR($A$3)),[1]!hks_val_pe(A20,$A$3,YEAR($A$3))))</f>
        <v>12.776170790985416</v>
      </c>
      <c r="N20" s="178">
        <f>IF(A20="","",[1]!s_val_estpe(A20,$A$3,YEAR($A$3)+1))</f>
        <v>11.011129962867752</v>
      </c>
      <c r="O20" s="16">
        <f>IF(A20="","",[1]!s_val_estpe(A20,$A$3,YEAR($A$3)+2))</f>
        <v>9.2705329058116224</v>
      </c>
      <c r="P20" s="178">
        <f>IF(A20="","",IF(YEAR($A$3)&gt;$G20,[1]!s_val_estpb(A20,$A$3,YEAR($A$3)),[1]!hks_val_pB(A20,$A$3,YEAR($A$3))))</f>
        <v>1.0831076084513374</v>
      </c>
      <c r="Q20" s="178">
        <f>IF(A20="","",[1]!s_val_estpb(A20,$A$3,YEAR($A$3)+1))</f>
        <v>0.95956703699708745</v>
      </c>
      <c r="R20" s="178">
        <f>IF(A20="","",[1]!s_val_estpb(A20,$A$3,YEAR($A$3)+2))</f>
        <v>0.88546652987160146</v>
      </c>
      <c r="S20" s="164">
        <f>IF(A20="","",IF(YEAR($A$3)&gt;$G20,(IFERROR(([1]!hks_val_ev1($A20,$A$3,"Cur="&amp;$E$3,100000000))/([1]!s_est_avgebitda1($A20,YEAR($A$3),$A$3,"Cur="&amp;$E$3,100000000)),"NA")),[1]!s_val_evtoebitda($A20,$A$3)))</f>
        <v>7.5575311553100706</v>
      </c>
      <c r="T20" s="164">
        <f>IF(A20="","",IFERROR(([1]!hks_val_ev1($A20,$A$3,"Cur="&amp;$E$3,100000000))/([1]!s_est_avgebitda1($A20,YEAR($A$3)+1,$A$3,"Cur="&amp;$E$3,100000000)),"NA"))</f>
        <v>6.8612635143241647</v>
      </c>
      <c r="U20" s="14">
        <f>IF(A20="","",IFERROR(([1]!hks_val_ev1($A20,$A$3,"Cur="&amp;$E$3,100000000))/([1]!s_est_avgebitda1($A20,YEAR($A$3)+2,$A$3,"Cur="&amp;$E$3,100000000)),"NA"))</f>
        <v>5.9244770820614878</v>
      </c>
      <c r="V20" s="17">
        <f>IF(A20="","",IF(YEAR($A$3)&gt;$G20,[1]!s_west_avgroe($A20,YEAR($A$3),$A$3,180)/100,[1]!hks_fa_roe($A20,DATE(YEAR($A$3),12,31))/100))</f>
        <v>8.7469000000000005E-2</v>
      </c>
      <c r="W20" s="17">
        <f>IF(A20="","",[1]!s_west_avgroe(A20,YEAR($A$3)+1,$A$3,180)/100)</f>
        <v>8.9442999999999995E-2</v>
      </c>
      <c r="X20" s="17">
        <f>IF(A20="","",[1]!s_west_avgroe(A20,YEAR($A$3)+2,$A$3,180)/100)</f>
        <v>9.7591999999999998E-2</v>
      </c>
      <c r="Y20" s="18">
        <f>IF(A20="","",IF(OR(RIGHT(A20,2)={"SH","SZ","BJ","NQ"}),IFERROR(([1]!s_est_sales($A20,$G20+2,DATE($G20+2,12,31),100000000)/[1]!S_STM07_IS($A20,"W31737944",DATE($G20,12,31),1,100000000))^(1/2)-1,"NA"),IFERROR(([1]!s_est_sales1($A20,$G20+2,$A$3,"Cur="&amp;$E$3,100000000)/[1]!hks_stm_is($A20,"83",DATE($G20,12,31),1,"Cur="&amp;$E$3,100000000))^(1/2)-1,"NA")))</f>
        <v>0.11372579455705001</v>
      </c>
      <c r="Z20" s="18">
        <f>IF(A20="","",IF(OR(RIGHT(A20,2)={"SH","SZ","BJ","NQ"}),IFERROR(([1]!s_est_netprofit($A20,$G20+2,DATE($G20+2,12,31),100000000)/[1]!S_STM07_IS($A20,"W37790734",DATE($G20,12,31),1,100000000))^(1/2)-1,"NA"),IFERROR(([1]!s_west_netprofit1($A20,$G20+2,$A$3,180,"Cur="&amp;$E$3,100000000)/[1]!hks_stm_is($A20,"61",DATE($G20,12,31),1,"Cur="&amp;$E$3,100000000))^(1/2)-1,"NA")))</f>
        <v>0.14707927470081761</v>
      </c>
      <c r="AA20" s="17" t="e">
        <f>IF(A20="","",IF(([1]!s_est_avgebitda1($A20,$G20+2,$A$3,"Cur="&amp;$E$3,100000000)/[1]!hks_fa_ebitda2($A20,DATE($G20,12,31),1,"Cur="&amp;$E$3,100000000))&lt;=0,"NA",([1]!s_est_avgebitda1($A20,$G20+2,$A$3,"Cur="&amp;$E$3,100000000)/[1]!hks_fa_ebitda2($A20,DATE($G20,12,31),1,"Cur="&amp;$E$3,100000000))^(1/2)-1))</f>
        <v>#DIV/0!</v>
      </c>
      <c r="AB20" s="19"/>
      <c r="AC20" s="8"/>
      <c r="AD20" s="49"/>
    </row>
    <row r="21" spans="1:30" s="9" customFormat="1" ht="27" customHeight="1" x14ac:dyDescent="0.2">
      <c r="A21" s="191" t="s">
        <v>225</v>
      </c>
      <c r="B21" s="8"/>
      <c r="D21" s="20" t="str">
        <f>IF(A21="","",[1]!s_info_compname(E21))</f>
        <v>苹果公司</v>
      </c>
      <c r="E21" s="20" t="str">
        <f t="shared" si="1"/>
        <v>AAPL.O</v>
      </c>
      <c r="F21" s="148" t="str">
        <f>IF(A21="","",[1]!S_Info_Name(E21))</f>
        <v>苹果(APPLE)</v>
      </c>
      <c r="G21" s="125">
        <f>IF(D21="","",[1]!s_fa_latelyyear2($A21,$A$3))</f>
        <v>2023</v>
      </c>
      <c r="H21" s="148" t="str">
        <f>IF(A21="","",[1]!hks_info_tradecur(A21))</f>
        <v>USD</v>
      </c>
      <c r="I21" s="21">
        <f>IF(A21="","",[1]!S_DQ_CLOSE(A21,$A$3))</f>
        <v>169.89</v>
      </c>
      <c r="J21" s="23">
        <f>IF(A21="","",[1]!s_pq_highclose(A21,DATE(YEAR($A$3)-1,MONTH($A$3),DAY($A$3)),$A$3,3))</f>
        <v>194.93125017057429</v>
      </c>
      <c r="K21" s="22">
        <f>IF(A21="","",[1]!s_pq_lowclose(A21,DATE(YEAR($A$3)-1,MONTH($A$3),DAY($A$3)),$A$3,3))</f>
        <v>165</v>
      </c>
      <c r="L21" s="188">
        <f>IF(A21="","",[1]!hks_val_ev(A21,$A$3,$E$3,100000000))</f>
        <v>26234.211630900001</v>
      </c>
      <c r="M21" s="180">
        <f>IF(A21="","",IF(YEAR($A$3)&gt;$G21,[1]!s_val_estpe(A21,$A$3,YEAR($A$3)),[1]!hks_val_pe(A21,$A$3,YEAR($A$3))))</f>
        <v>0</v>
      </c>
      <c r="N21" s="180">
        <f>IF(A21="","",[1]!s_val_estpe(A21,$A$3,YEAR($A$3)+1))</f>
        <v>0</v>
      </c>
      <c r="O21" s="24">
        <f>IF(A21="","",[1]!s_val_estpe(A21,$A$3,YEAR($A$3)+2))</f>
        <v>21.7609611763651</v>
      </c>
      <c r="P21" s="180">
        <f>IF(A21="","",IF(YEAR($A$3)&gt;$G21,[1]!s_val_estpb(A21,$A$3,YEAR($A$3)),[1]!hks_val_pB(A21,$A$3,YEAR($A$3))))</f>
        <v>0</v>
      </c>
      <c r="Q21" s="180">
        <f>IF(A21="","",[1]!s_val_estpb(A21,$A$3,YEAR($A$3)+1))</f>
        <v>0</v>
      </c>
      <c r="R21" s="180">
        <f>IF(A21="","",[1]!s_val_estpb(A21,$A$3,YEAR($A$3)+2))</f>
        <v>22.60768892969779</v>
      </c>
      <c r="S21" s="166" t="str">
        <f>IF(A21="","",IF(YEAR($A$3)&gt;$G21,(IFERROR(([1]!hks_val_ev1($A21,$A$3,"Cur="&amp;$E$3,100000000))/([1]!s_est_avgebitda1($A21,YEAR($A$3),$A$3,"Cur="&amp;$E$3,100000000)),"NA")),[1]!s_val_evtoebitda($A21,$A$3)))</f>
        <v>NA</v>
      </c>
      <c r="T21" s="166" t="str">
        <f>IF(A21="","",IFERROR(([1]!hks_val_ev1($A21,$A$3,"Cur="&amp;$E$3,100000000))/([1]!s_est_avgebitda1($A21,YEAR($A$3)+1,$A$3,"Cur="&amp;$E$3,100000000)),"NA"))</f>
        <v>NA</v>
      </c>
      <c r="U21" s="21">
        <f>IF(A21="","",IFERROR(([1]!hks_val_ev1($A21,$A$3,"Cur="&amp;$E$3,100000000))/([1]!s_est_avgebitda1($A21,YEAR($A$3)+2,$A$3,"Cur="&amp;$E$3,100000000)),"NA"))</f>
        <v>18.745919980955605</v>
      </c>
      <c r="V21" s="25">
        <f>IF(A21="","",IF(YEAR($A$3)&gt;$G21,[1]!s_west_avgroe($A21,YEAR($A$3),$A$3,180)/100,[1]!hks_fa_roe($A21,DATE(YEAR($A$3),12,31))/100))</f>
        <v>0</v>
      </c>
      <c r="W21" s="25">
        <f>IF(A21="","",[1]!s_west_avgroe(A21,YEAR($A$3)+1,$A$3,180)/100)</f>
        <v>0</v>
      </c>
      <c r="X21" s="25">
        <f>IF(A21="","",[1]!s_west_avgroe(A21,YEAR($A$3)+2,$A$3,180)/100)</f>
        <v>0.90974999999999995</v>
      </c>
      <c r="Y21" s="26">
        <f>IF(A21="","",IF(OR(RIGHT(A21,2)={"SH","SZ","BJ","NQ"}),IFERROR(([1]!s_est_sales($A21,$G21+2,DATE($G21+2,12,31),100000000)/[1]!S_STM07_IS($A21,"W31737944",DATE($G21,12,31),1,100000000))^(1/2)-1,"NA"),IFERROR(([1]!s_est_sales1($A21,$G21+2,$A$3,"Cur="&amp;$E$3,100000000)/[1]!hks_stm_is($A21,"83",DATE($G21,12,31),1,"Cur="&amp;$E$3,100000000))^(1/2)-1,"NA")))</f>
        <v>-1</v>
      </c>
      <c r="Z21" s="26">
        <f>IF(A21="","",IF(OR(RIGHT(A21,2)={"SH","SZ","BJ","NQ"}),IFERROR(([1]!s_est_netprofit($A21,$G21+2,DATE($G21+2,12,31),100000000)/[1]!S_STM07_IS($A21,"W37790734",DATE($G21,12,31),1,100000000))^(1/2)-1,"NA"),IFERROR(([1]!s_west_netprofit1($A21,$G21+2,$A$3,180,"Cur="&amp;$E$3,100000000)/[1]!hks_stm_is($A21,"61",DATE($G21,12,31),1,"Cur="&amp;$E$3,100000000))^(1/2)-1,"NA")))</f>
        <v>-1</v>
      </c>
      <c r="AA21" s="25" t="str">
        <f>IF(A21="","",IF(([1]!s_est_avgebitda1($A21,$G21+2,$A$3,"Cur="&amp;$E$3,100000000)/[1]!hks_fa_ebitda2($A21,DATE($G21,12,31),1,"Cur="&amp;$E$3,100000000))&lt;=0,"NA",([1]!s_est_avgebitda1($A21,$G21+2,$A$3,"Cur="&amp;$E$3,100000000)/[1]!hks_fa_ebitda2($A21,DATE($G21,12,31),1,"Cur="&amp;$E$3,100000000))^(1/2)-1))</f>
        <v>NA</v>
      </c>
      <c r="AB21" s="19"/>
      <c r="AC21" s="8"/>
      <c r="AD21" s="49"/>
    </row>
    <row r="22" spans="1:30" s="9" customFormat="1" ht="27" customHeight="1" x14ac:dyDescent="0.2">
      <c r="A22" s="191" t="s">
        <v>229</v>
      </c>
      <c r="B22" s="8"/>
      <c r="D22" s="13" t="str">
        <f>IF(A22="","",[1]!s_info_compname(E22))</f>
        <v>英伟达公司</v>
      </c>
      <c r="E22" s="13" t="str">
        <f t="shared" si="1"/>
        <v>NVDA.O</v>
      </c>
      <c r="F22" s="147" t="str">
        <f>IF(A22="","",[1]!S_Info_Name(E22))</f>
        <v>英伟达(NVIDIA)</v>
      </c>
      <c r="G22" s="115">
        <f>IF(D22="","",[1]!s_fa_latelyyear2($A22,$A$3))</f>
        <v>2024</v>
      </c>
      <c r="H22" s="147" t="str">
        <f>IF(A22="","",[1]!hks_info_tradecur(A22))</f>
        <v>USD</v>
      </c>
      <c r="I22" s="14">
        <f>IF(A22="","",[1]!S_DQ_CLOSE(A22,$A$3))</f>
        <v>826.32</v>
      </c>
      <c r="J22" s="14">
        <f>IF(A22="","",[1]!s_pq_highclose(A22,DATE(YEAR($A$3)-1,MONTH($A$3),DAY($A$3)),$A$3,3))</f>
        <v>950.02</v>
      </c>
      <c r="K22" s="15">
        <f>IF(A22="","",[1]!s_pq_lowclose(A22,DATE(YEAR($A$3)-1,MONTH($A$3),DAY($A$3)),$A$3,3))</f>
        <v>475.66770099682162</v>
      </c>
      <c r="L22" s="123">
        <f>IF(A22="","",[1]!hks_val_ev(A22,$A$3,$E$3,100000000))</f>
        <v>20658.000000000004</v>
      </c>
      <c r="M22" s="178">
        <f>IF(A22="","",IF(YEAR($A$3)&gt;$G22,[1]!s_val_estpe(A22,$A$3,YEAR($A$3)),[1]!hks_val_pe(A22,$A$3,YEAR($A$3))))</f>
        <v>69.415322580645167</v>
      </c>
      <c r="N22" s="178">
        <f>IF(A22="","",[1]!s_val_estpe(A22,$A$3,YEAR($A$3)+1))</f>
        <v>35.974662051851368</v>
      </c>
      <c r="O22" s="16">
        <f>IF(A22="","",[1]!s_val_estpe(A22,$A$3,YEAR($A$3)+2))</f>
        <v>28.749965207225767</v>
      </c>
      <c r="P22" s="178">
        <f>IF(A22="","",IF(YEAR($A$3)&gt;$G22,[1]!s_val_estpb(A22,$A$3,YEAR($A$3)),[1]!hks_val_pB(A22,$A$3,YEAR($A$3))))</f>
        <v>48.066452603657694</v>
      </c>
      <c r="Q22" s="178">
        <f>IF(A22="","",[1]!s_val_estpb(A22,$A$3,YEAR($A$3)+1))</f>
        <v>21.659764089121889</v>
      </c>
      <c r="R22" s="178">
        <f>IF(A22="","",[1]!s_val_estpb(A22,$A$3,YEAR($A$3)+2))</f>
        <v>12.362213205989015</v>
      </c>
      <c r="S22" s="164">
        <f>IF(A22="","",IF(YEAR($A$3)&gt;$G22,(IFERROR(([1]!hks_val_ev1($A22,$A$3,"Cur="&amp;$E$3,100000000))/([1]!s_est_avgebitda1($A22,YEAR($A$3),$A$3,"Cur="&amp;$E$3,100000000)),"NA")),[1]!s_val_evtoebitda($A22,$A$3)))</f>
        <v>59.573955122850485</v>
      </c>
      <c r="T22" s="164">
        <f>IF(A22="","",IFERROR(([1]!hks_val_ev1($A22,$A$3,"Cur="&amp;$E$3,100000000))/([1]!s_est_avgebitda1($A22,YEAR($A$3)+1,$A$3,"Cur="&amp;$E$3,100000000)),"NA"))</f>
        <v>29.47310970677113</v>
      </c>
      <c r="U22" s="14">
        <f>IF(A22="","",IFERROR(([1]!hks_val_ev1($A22,$A$3,"Cur="&amp;$E$3,100000000))/([1]!s_est_avgebitda1($A22,YEAR($A$3)+2,$A$3,"Cur="&amp;$E$3,100000000)),"NA"))</f>
        <v>23.501069884829302</v>
      </c>
      <c r="V22" s="17">
        <f>IF(A22="","",IF(YEAR($A$3)&gt;$G22,[1]!s_west_avgroe($A22,YEAR($A$3),$A$3,180)/100,[1]!hks_fa_roe($A22,DATE(YEAR($A$3),12,31))/100))</f>
        <v>0.91458099999999998</v>
      </c>
      <c r="W22" s="17">
        <f>IF(A22="","",[1]!s_west_avgroe(A22,YEAR($A$3)+1,$A$3,180)/100)</f>
        <v>0.65136700000000003</v>
      </c>
      <c r="X22" s="17">
        <f>IF(A22="","",[1]!s_west_avgroe(A22,YEAR($A$3)+2,$A$3,180)/100)</f>
        <v>0.45932200000000001</v>
      </c>
      <c r="Y22" s="18">
        <f>IF(A22="","",IF(OR(RIGHT(A22,2)={"SH","SZ","BJ","NQ"}),IFERROR(([1]!s_est_sales($A22,$G22+2,DATE($G22+2,12,31),100000000)/[1]!S_STM07_IS($A22,"W31737944",DATE($G22,12,31),1,100000000))^(1/2)-1,"NA"),IFERROR(([1]!s_est_sales1($A22,$G22+2,$A$3,"Cur="&amp;$E$3,100000000)/[1]!hks_stm_is($A22,"83",DATE($G22,12,31),1,"Cur="&amp;$E$3,100000000))^(1/2)-1,"NA")))</f>
        <v>0.49755005731413671</v>
      </c>
      <c r="Z22" s="18">
        <f>IF(A22="","",IF(OR(RIGHT(A22,2)={"SH","SZ","BJ","NQ"}),IFERROR(([1]!s_est_netprofit($A22,$G22+2,DATE($G22+2,12,31),100000000)/[1]!S_STM07_IS($A22,"W37790734",DATE($G22,12,31),1,100000000))^(1/2)-1,"NA"),IFERROR(([1]!s_west_netprofit1($A22,$G22+2,$A$3,180,"Cur="&amp;$E$3,100000000)/[1]!hks_stm_is($A22,"61",DATE($G22,12,31),1,"Cur="&amp;$E$3,100000000))^(1/2)-1,"NA")))</f>
        <v>0.55365290803273459</v>
      </c>
      <c r="AA22" s="17">
        <f>IF(A22="","",IF(([1]!s_est_avgebitda1($A22,$G22+2,$A$3,"Cur="&amp;$E$3,100000000)/[1]!hks_fa_ebitda2($A22,DATE($G22,12,31),1,"Cur="&amp;$E$3,100000000))&lt;=0,"NA",([1]!s_est_avgebitda1($A22,$G22+2,$A$3,"Cur="&amp;$E$3,100000000)/[1]!hks_fa_ebitda2($A22,DATE($G22,12,31),1,"Cur="&amp;$E$3,100000000))^(1/2)-1))</f>
        <v>0.60024398888828157</v>
      </c>
      <c r="AB22" s="19"/>
      <c r="AC22" s="8"/>
      <c r="AD22" s="49"/>
    </row>
    <row r="23" spans="1:30" ht="27" customHeight="1" x14ac:dyDescent="0.3">
      <c r="A23" s="151"/>
      <c r="C23" s="5"/>
      <c r="D23" s="20" t="str">
        <f>IF(A23="","",[1]!s_info_compname(E23))</f>
        <v/>
      </c>
      <c r="E23" s="20" t="str">
        <f t="shared" si="1"/>
        <v/>
      </c>
      <c r="F23" s="148" t="str">
        <f>IF(A23="","",[1]!S_Info_Name(E23))</f>
        <v/>
      </c>
      <c r="G23" s="125" t="str">
        <f>IF(D23="","",[1]!s_fa_latelyyear2($A23,$A$3))</f>
        <v/>
      </c>
      <c r="H23" s="148" t="str">
        <f>IF(A23="","",[1]!hks_info_tradecur(A23))</f>
        <v/>
      </c>
      <c r="I23" s="21" t="str">
        <f>IF(A23="","",[1]!S_DQ_CLOSE(A23,$A$3))</f>
        <v/>
      </c>
      <c r="J23" s="23" t="str">
        <f>IF(A23="","",[1]!s_pq_highclose(A23,DATE(YEAR($A$3)-1,MONTH($A$3),DAY($A$3)),$A$3,3))</f>
        <v/>
      </c>
      <c r="K23" s="22" t="str">
        <f>IF(A23="","",[1]!s_pq_lowclose(A23,DATE(YEAR($A$3)-1,MONTH($A$3),DAY($A$3)),$A$3,3))</f>
        <v/>
      </c>
      <c r="L23" s="188" t="str">
        <f>IF(A23="","",[1]!hks_val_ev(A23,$A$3,$E$3,100000000))</f>
        <v/>
      </c>
      <c r="M23" s="24" t="str">
        <f>IF(A23="","",IF(YEAR($A$3)&gt;$G23,[1]!s_val_estpe(A23,$A$3,YEAR($A$3)),[1]!hks_val_pe(A23,$A$3,YEAR($A$3))))</f>
        <v/>
      </c>
      <c r="N23" s="24" t="str">
        <f>IF(A23="","",[1]!s_val_estpe(A23,$A$3,YEAR($A$3)+1))</f>
        <v/>
      </c>
      <c r="O23" s="24" t="str">
        <f>IF(A23="","",[1]!s_val_estpe(A23,$A$3,YEAR($A$3)+2))</f>
        <v/>
      </c>
      <c r="P23" s="24" t="str">
        <f>IF(A23="","",IF(YEAR($A$3)&gt;$G23,[1]!s_val_estpb(A23,$A$3,YEAR($A$3)),[1]!hks_val_pB(A23,$A$3,YEAR($A$3))))</f>
        <v/>
      </c>
      <c r="Q23" s="24" t="str">
        <f>IF(A23="","",[1]!s_val_estpb(A23,$A$3,YEAR($A$3)+1))</f>
        <v/>
      </c>
      <c r="R23" s="24" t="str">
        <f>IF(A23="","",[1]!s_val_estpb(A23,$A$3,YEAR($A$3)+2))</f>
        <v/>
      </c>
      <c r="S23" s="166" t="str">
        <f>IF(A23="","",IF(YEAR($A$3)&gt;$G23,(IFERROR(([1]!hks_val_ev1($A23,$A$3,"Cur="&amp;$E$3,100000000))/([1]!s_est_avgebitda1($A23,YEAR($A$3),$A$3,"Cur="&amp;$E$3,100000000)),"NA")),[1]!s_val_evtoebitda($A23,$A$3)))</f>
        <v/>
      </c>
      <c r="T23" s="166" t="str">
        <f>IF(A23="","",IFERROR(([1]!hks_val_ev1($A23,$A$3,"Cur="&amp;$E$3,100000000))/([1]!s_est_avgebitda1($A23,YEAR($A$3)+1,$A$3,"Cur="&amp;$E$3,100000000)),"NA"))</f>
        <v/>
      </c>
      <c r="U23" s="21" t="str">
        <f>IF(A23="","",IFERROR(([1]!hks_val_ev1($A23,$A$3,"Cur="&amp;$E$3,100000000))/([1]!s_est_avgebitda1($A23,YEAR($A$3)+2,$A$3,"Cur="&amp;$E$3,100000000)),"NA"))</f>
        <v/>
      </c>
      <c r="V23" s="25" t="str">
        <f>IF(A23="","",IF(YEAR($A$3)&gt;$G23,[1]!s_west_avgroe($A23,YEAR($A$3),$A$3,180)/100,[1]!hks_fa_roe($A23,DATE(YEAR($A$3),12,31))/100))</f>
        <v/>
      </c>
      <c r="W23" s="25" t="str">
        <f>IF(A23="","",[1]!s_west_avgroe(A23,YEAR($A$3)+1,$A$3,180)/100)</f>
        <v/>
      </c>
      <c r="X23" s="25" t="str">
        <f>IF(A23="","",[1]!s_west_avgroe(A23,YEAR($A$3)+2,$A$3,180)/100)</f>
        <v/>
      </c>
      <c r="Y23" s="26" t="str">
        <f>IF(A23="","",IFERROR(([1]!s_est_sales1($A23,$G23+2,$A$3,"Cur="&amp;$E$3,100000000)/[1]!hks_stm_is($A23,"83",DATE($G23,12,31),1,"Cur="&amp;$E$3,100000000))^(1/2)-1,"NA"))</f>
        <v/>
      </c>
      <c r="Z23" s="26" t="str">
        <f>IF(A23="","",IF(OR(RIGHT(A23,2)={"SH","SZ","BJ","NQ"}),IFERROR(([1]!s_est_netprofit($A23,$G23+2,DATE($G23+2,12,31),100000000)/[1]!S_STM07_IS($A23,"W37790734",DATE($G23,12,31),1,100000000))^(1/2)-1,"NA"),IFERROR(([1]!s_est_netprofit1($A23,$G23+2,$A$3,"Cur="&amp;$E$3,100000000)/[1]!hks_stm_is($A23,"61",DATE($G23,12,31),1,"Cur="&amp;$E$3,100000000))^(1/2)-1,"NA")))</f>
        <v/>
      </c>
      <c r="AA23" s="25" t="str">
        <f>IF(A23="","",IF(([1]!s_est_avgebitda1($A23,$G23+2,$A$3,"Cur="&amp;$E$3,100000000)/[1]!hks_fa_ebitda2($A23,DATE($G23,12,31),1,"Cur="&amp;$E$3,100000000))&lt;=0,"NA",([1]!s_est_avgebitda1($A23,$G23+2,$A$3,"Cur="&amp;$E$3,100000000)/[1]!hks_fa_ebitda2($A23,DATE($G23,12,31),1,"Cur="&amp;$E$3,100000000))^(1/2)-1))</f>
        <v/>
      </c>
      <c r="AB23" s="5"/>
    </row>
    <row r="24" spans="1:30" ht="27" customHeight="1" x14ac:dyDescent="0.3">
      <c r="A24" s="151"/>
      <c r="C24" s="5"/>
      <c r="D24" s="13" t="str">
        <f>IF(A24="","",[1]!s_info_compname(E24))</f>
        <v/>
      </c>
      <c r="E24" s="13" t="str">
        <f t="shared" si="1"/>
        <v/>
      </c>
      <c r="F24" s="147" t="str">
        <f>IF(A24="","",[1]!S_Info_Name(E24))</f>
        <v/>
      </c>
      <c r="G24" s="115" t="str">
        <f>IF(D24="","",[1]!s_fa_latelyyear2($A24,$A$3))</f>
        <v/>
      </c>
      <c r="H24" s="147" t="str">
        <f>IF(A24="","",[1]!hks_info_tradecur(A24))</f>
        <v/>
      </c>
      <c r="I24" s="14" t="str">
        <f>IF(A24="","",[1]!S_DQ_CLOSE(A24,$A$3))</f>
        <v/>
      </c>
      <c r="J24" s="28" t="str">
        <f>IF(A24="","",[1]!s_pq_highclose(A24,DATE(YEAR($A$3)-1,MONTH($A$3),DAY($A$3)),$A$3,3))</f>
        <v/>
      </c>
      <c r="K24" s="15" t="str">
        <f>IF(A24="","",[1]!s_pq_lowclose(A24,DATE(YEAR($A$3)-1,MONTH($A$3),DAY($A$3)),$A$3,3))</f>
        <v/>
      </c>
      <c r="L24" s="189" t="str">
        <f>IF(A24="","",[1]!hks_val_ev(A24,$A$3,$E$3,100000000))</f>
        <v/>
      </c>
      <c r="M24" s="16" t="str">
        <f>IF(A24="","",IF(YEAR($A$3)&gt;$G24,[1]!s_val_estpe(A24,$A$3,YEAR($A$3)),[1]!hks_val_pe(A24,$A$3,YEAR($A$3))))</f>
        <v/>
      </c>
      <c r="N24" s="16" t="str">
        <f>IF(A24="","",[1]!s_val_estpe(A24,$A$3,YEAR($A$3)+1))</f>
        <v/>
      </c>
      <c r="O24" s="16" t="str">
        <f>IF(A24="","",[1]!s_val_estpe(A24,$A$3,YEAR($A$3)+2))</f>
        <v/>
      </c>
      <c r="P24" s="16" t="str">
        <f>IF(A24="","",IF(YEAR($A$3)&gt;$G24,[1]!s_val_estpb(A24,$A$3,YEAR($A$3)),[1]!hks_val_pB(A24,$A$3,YEAR($A$3))))</f>
        <v/>
      </c>
      <c r="Q24" s="16" t="str">
        <f>IF(A24="","",[1]!s_val_estpb(A24,$A$3,YEAR($A$3)+1))</f>
        <v/>
      </c>
      <c r="R24" s="16" t="str">
        <f>IF(A24="","",[1]!s_val_estpb(A24,$A$3,YEAR($A$3)+2))</f>
        <v/>
      </c>
      <c r="S24" s="164" t="str">
        <f>IF(A24="","",IF(YEAR($A$3)&gt;$G24,(IFERROR(([1]!hks_val_ev1($A24,$A$3,"Cur="&amp;$E$3,100000000))/([1]!s_est_avgebitda1($A24,YEAR($A$3),$A$3,"Cur="&amp;$E$3,100000000)),"NA")),[1]!s_val_evtoebitda($A24,$A$3)))</f>
        <v/>
      </c>
      <c r="T24" s="164" t="str">
        <f>IF(A24="","",IFERROR(([1]!hks_val_ev1($A24,$A$3,"Cur="&amp;$E$3,100000000))/([1]!s_est_avgebitda1($A24,YEAR($A$3)+1,$A$3,"Cur="&amp;$E$3,100000000)),"NA"))</f>
        <v/>
      </c>
      <c r="U24" s="14" t="str">
        <f>IF(A24="","",IFERROR(([1]!hks_val_ev1($A24,$A$3,"Cur="&amp;$E$3,100000000))/([1]!s_est_avgebitda1($A24,YEAR($A$3)+2,$A$3,"Cur="&amp;$E$3,100000000)),"NA"))</f>
        <v/>
      </c>
      <c r="V24" s="17" t="str">
        <f>IF(A24="","",IF(YEAR($A$3)&gt;$G24,[1]!s_west_avgroe($A24,YEAR($A$3),$A$3,180)/100,[1]!hks_fa_roe($A24,DATE(YEAR($A$3),12,31))/100))</f>
        <v/>
      </c>
      <c r="W24" s="17" t="str">
        <f>IF(A24="","",[1]!s_west_avgroe(A24,YEAR($A$3)+1,$A$3,180)/100)</f>
        <v/>
      </c>
      <c r="X24" s="17" t="str">
        <f>IF(A24="","",[1]!s_west_avgroe(A24,YEAR($A$3)+2,$A$3,180)/100)</f>
        <v/>
      </c>
      <c r="Y24" s="18" t="str">
        <f>IF(A24="","",IFERROR(([1]!s_est_sales1($A24,$G24+2,$A$3,"Cur="&amp;$E$3,100000000)/[1]!hks_stm_is($A24,"83",DATE($G24,12,31),1,"Cur="&amp;$E$3,100000000))^(1/2)-1,"NA"))</f>
        <v/>
      </c>
      <c r="Z24" s="18" t="str">
        <f>IF(A24="","",IF(OR(RIGHT(A24,2)={"SH","SZ","BJ","NQ"}),IFERROR(([1]!s_est_netprofit($A24,$G24+2,DATE($G24+2,12,31),100000000)/[1]!S_STM07_IS($A24,"W37790734",DATE($G24,12,31),1,100000000))^(1/2)-1,"NA"),IFERROR(([1]!s_est_netprofit1($A24,$G24+2,$A$3,"Cur="&amp;$E$3,100000000)/[1]!hks_stm_is($A24,"61",DATE($G24,12,31),1,"Cur="&amp;$E$3,100000000))^(1/2)-1,"NA")))</f>
        <v/>
      </c>
      <c r="AA24" s="17" t="str">
        <f>IF(A24="","",IF(([1]!s_est_avgebitda1($A24,$G24+2,$A$3,"Cur="&amp;$E$3,100000000)/[1]!hks_fa_ebitda2($A24,DATE($G24,12,31),1,"Cur="&amp;$E$3,100000000))&lt;=0,"NA",([1]!s_est_avgebitda1($A24,$G24+2,$A$3,"Cur="&amp;$E$3,100000000)/[1]!hks_fa_ebitda2($A24,DATE($G24,12,31),1,"Cur="&amp;$E$3,100000000))^(1/2)-1))</f>
        <v/>
      </c>
      <c r="AB24" s="5"/>
    </row>
    <row r="25" spans="1:30" ht="27" customHeight="1" x14ac:dyDescent="0.3">
      <c r="A25" s="151"/>
      <c r="C25" s="5"/>
      <c r="D25" s="20" t="str">
        <f>IF(A25="","",[1]!s_info_compname(E25))</f>
        <v/>
      </c>
      <c r="E25" s="20" t="str">
        <f t="shared" si="1"/>
        <v/>
      </c>
      <c r="F25" s="148" t="str">
        <f>IF(A25="","",[1]!S_Info_Name(E25))</f>
        <v/>
      </c>
      <c r="G25" s="125" t="str">
        <f>IF(D25="","",[1]!s_fa_latelyyear2($A25,$A$3))</f>
        <v/>
      </c>
      <c r="H25" s="148" t="str">
        <f>IF(A25="","",[1]!hks_info_tradecur(A25))</f>
        <v/>
      </c>
      <c r="I25" s="21" t="str">
        <f>IF(A25="","",[1]!S_DQ_CLOSE(A25,$A$3))</f>
        <v/>
      </c>
      <c r="J25" s="23" t="str">
        <f>IF(A25="","",[1]!s_pq_highclose(A25,DATE(YEAR($A$3)-1,MONTH($A$3),DAY($A$3)),$A$3,3))</f>
        <v/>
      </c>
      <c r="K25" s="22" t="str">
        <f>IF(A25="","",[1]!s_pq_lowclose(A25,DATE(YEAR($A$3)-1,MONTH($A$3),DAY($A$3)),$A$3,3))</f>
        <v/>
      </c>
      <c r="L25" s="188" t="str">
        <f>IF(A25="","",[1]!hks_val_ev(A25,$A$3,$E$3,100000000))</f>
        <v/>
      </c>
      <c r="M25" s="24" t="str">
        <f>IF(A25="","",IF(YEAR($A$3)&gt;$G25,[1]!s_val_estpe(A25,$A$3,YEAR($A$3)),[1]!hks_val_pe(A25,$A$3,YEAR($A$3))))</f>
        <v/>
      </c>
      <c r="N25" s="24" t="str">
        <f>IF(A25="","",[1]!s_val_estpe(A25,$A$3,YEAR($A$3)+1))</f>
        <v/>
      </c>
      <c r="O25" s="24" t="str">
        <f>IF(A25="","",[1]!s_val_estpe(A25,$A$3,YEAR($A$3)+2))</f>
        <v/>
      </c>
      <c r="P25" s="24" t="str">
        <f>IF(A25="","",IF(YEAR($A$3)&gt;$G25,[1]!s_val_estpb(A25,$A$3,YEAR($A$3)),[1]!hks_val_pB(A25,$A$3,YEAR($A$3))))</f>
        <v/>
      </c>
      <c r="Q25" s="24" t="str">
        <f>IF(A25="","",[1]!s_val_estpb(A25,$A$3,YEAR($A$3)+1))</f>
        <v/>
      </c>
      <c r="R25" s="24" t="str">
        <f>IF(A25="","",[1]!s_val_estpb(A25,$A$3,YEAR($A$3)+2))</f>
        <v/>
      </c>
      <c r="S25" s="166" t="str">
        <f>IF(A25="","",IF(YEAR($A$3)&gt;$G25,(IFERROR(([1]!hks_val_ev1($A25,$A$3,"Cur="&amp;$E$3,100000000))/([1]!s_est_avgebitda1($A25,YEAR($A$3),$A$3,"Cur="&amp;$E$3,100000000)),"NA")),[1]!s_val_evtoebitda($A25,$A$3)))</f>
        <v/>
      </c>
      <c r="T25" s="166" t="str">
        <f>IF(A25="","",IFERROR(([1]!hks_val_ev1($A25,$A$3,"Cur="&amp;$E$3,100000000))/([1]!s_est_avgebitda1($A25,YEAR($A$3)+1,$A$3,"Cur="&amp;$E$3,100000000)),"NA"))</f>
        <v/>
      </c>
      <c r="U25" s="21" t="str">
        <f>IF(A25="","",IFERROR(([1]!hks_val_ev1($A25,$A$3,"Cur="&amp;$E$3,100000000))/([1]!s_est_avgebitda1($A25,YEAR($A$3)+2,$A$3,"Cur="&amp;$E$3,100000000)),"NA"))</f>
        <v/>
      </c>
      <c r="V25" s="25" t="str">
        <f>IF(A25="","",IF(YEAR($A$3)&gt;$G25,[1]!s_west_avgroe($A25,YEAR($A$3),$A$3,180)/100,[1]!hks_fa_roe($A25,DATE(YEAR($A$3),12,31))/100))</f>
        <v/>
      </c>
      <c r="W25" s="25" t="str">
        <f>IF(A25="","",[1]!s_west_avgroe(A25,YEAR($A$3)+1,$A$3,180)/100)</f>
        <v/>
      </c>
      <c r="X25" s="25" t="str">
        <f>IF(A25="","",[1]!s_west_avgroe(A25,YEAR($A$3)+2,$A$3,180)/100)</f>
        <v/>
      </c>
      <c r="Y25" s="26" t="str">
        <f>IF(A25="","",IFERROR(([1]!s_est_sales1($A25,$G25+2,$A$3,"Cur="&amp;$E$3,100000000)/[1]!hks_stm_is($A25,"83",DATE($G25,12,31),1,"Cur="&amp;$E$3,100000000))^(1/2)-1,"NA"))</f>
        <v/>
      </c>
      <c r="Z25" s="26" t="str">
        <f>IF(A25="","",IF(OR(RIGHT(A25,2)={"SH","SZ","BJ","NQ"}),IFERROR(([1]!s_est_netprofit($A25,$G25+2,DATE($G25+2,12,31),100000000)/[1]!S_STM07_IS($A25,"W37790734",DATE($G25,12,31),1,100000000))^(1/2)-1,"NA"),IFERROR(([1]!s_est_netprofit1($A25,$G25+2,$A$3,"Cur="&amp;$E$3,100000000)/[1]!hks_stm_is($A25,"61",DATE($G25,12,31),1,"Cur="&amp;$E$3,100000000))^(1/2)-1,"NA")))</f>
        <v/>
      </c>
      <c r="AA25" s="25" t="str">
        <f>IF(A25="","",IF(([1]!s_est_avgebitda1($A25,$G25+2,$A$3,"Cur="&amp;$E$3,100000000)/[1]!hks_fa_ebitda2($A25,DATE($G25,12,31),1,"Cur="&amp;$E$3,100000000))&lt;=0,"NA",([1]!s_est_avgebitda1($A25,$G25+2,$A$3,"Cur="&amp;$E$3,100000000)/[1]!hks_fa_ebitda2($A25,DATE($G25,12,31),1,"Cur="&amp;$E$3,100000000))^(1/2)-1))</f>
        <v/>
      </c>
      <c r="AB25" s="5"/>
    </row>
    <row r="26" spans="1:30" ht="27" customHeight="1" x14ac:dyDescent="0.3">
      <c r="A26" s="151"/>
      <c r="C26" s="5"/>
      <c r="D26" s="13" t="str">
        <f>IF(A26="","",[1]!s_info_compname(E26))</f>
        <v/>
      </c>
      <c r="E26" s="13" t="str">
        <f t="shared" si="1"/>
        <v/>
      </c>
      <c r="F26" s="147" t="str">
        <f>IF(A26="","",[1]!S_Info_Name(E26))</f>
        <v/>
      </c>
      <c r="G26" s="115" t="str">
        <f>IF(D26="","",[1]!s_fa_latelyyear2($A26,$A$3))</f>
        <v/>
      </c>
      <c r="H26" s="147" t="str">
        <f>IF(A26="","",[1]!hks_info_tradecur(A26))</f>
        <v/>
      </c>
      <c r="I26" s="14" t="str">
        <f>IF(A26="","",[1]!S_DQ_CLOSE(A26,$A$3))</f>
        <v/>
      </c>
      <c r="J26" s="14" t="str">
        <f>IF(A26="","",[1]!s_pq_highclose(A26,DATE(YEAR($A$3)-1,MONTH($A$3),DAY($A$3)),$A$3,3))</f>
        <v/>
      </c>
      <c r="K26" s="15" t="str">
        <f>IF(A26="","",[1]!s_pq_lowclose(A26,DATE(YEAR($A$3)-1,MONTH($A$3),DAY($A$3)),$A$3,3))</f>
        <v/>
      </c>
      <c r="L26" s="123" t="str">
        <f>IF(A26="","",[1]!hks_val_ev(A26,$A$3,$E$3,100000000))</f>
        <v/>
      </c>
      <c r="M26" s="16" t="str">
        <f>IF(A26="","",IF(YEAR($A$3)&gt;$G26,[1]!s_val_estpe(A26,$A$3,YEAR($A$3)),[1]!hks_val_pe(A26,$A$3,YEAR($A$3))))</f>
        <v/>
      </c>
      <c r="N26" s="16" t="str">
        <f>IF(A26="","",[1]!s_val_estpe(A26,$A$3,YEAR($A$3)+1))</f>
        <v/>
      </c>
      <c r="O26" s="16" t="str">
        <f>IF(A26="","",[1]!s_val_estpe(A26,$A$3,YEAR($A$3)+2))</f>
        <v/>
      </c>
      <c r="P26" s="16" t="str">
        <f>IF(A26="","",IF(YEAR($A$3)&gt;$G26,[1]!s_val_estpb(A26,$A$3,YEAR($A$3)),[1]!hks_val_pB(A26,$A$3,YEAR($A$3))))</f>
        <v/>
      </c>
      <c r="Q26" s="16" t="str">
        <f>IF(A26="","",[1]!s_val_estpb(A26,$A$3,YEAR($A$3)+1))</f>
        <v/>
      </c>
      <c r="R26" s="16" t="str">
        <f>IF(A26="","",[1]!s_val_estpb(A26,$A$3,YEAR($A$3)+2))</f>
        <v/>
      </c>
      <c r="S26" s="164" t="str">
        <f>IF(A26="","",IF(YEAR($A$3)&gt;$G26,(IFERROR(([1]!hks_val_ev1($A26,$A$3,"Cur="&amp;$E$3,100000000))/([1]!s_est_avgebitda1($A26,YEAR($A$3),$A$3,"Cur="&amp;$E$3,100000000)),"NA")),[1]!s_val_evtoebitda($A26,$A$3)))</f>
        <v/>
      </c>
      <c r="T26" s="164" t="str">
        <f>IF(A26="","",IFERROR(([1]!hks_val_ev1($A26,$A$3,"Cur="&amp;$E$3,100000000))/([1]!s_est_avgebitda1($A26,YEAR($A$3)+1,$A$3,"Cur="&amp;$E$3,100000000)),"NA"))</f>
        <v/>
      </c>
      <c r="U26" s="14" t="str">
        <f>IF(A26="","",IFERROR(([1]!hks_val_ev1($A26,$A$3,"Cur="&amp;$E$3,100000000))/([1]!s_est_avgebitda1($A26,YEAR($A$3)+2,$A$3,"Cur="&amp;$E$3,100000000)),"NA"))</f>
        <v/>
      </c>
      <c r="V26" s="17" t="str">
        <f>IF(A26="","",IF(YEAR($A$3)&gt;$G26,[1]!s_west_avgroe($A26,YEAR($A$3),$A$3,180)/100,[1]!hks_fa_roe($A26,DATE(YEAR($A$3),12,31))/100))</f>
        <v/>
      </c>
      <c r="W26" s="17" t="str">
        <f>IF(A26="","",[1]!s_west_avgroe(A26,YEAR($A$3)+1,$A$3,180)/100)</f>
        <v/>
      </c>
      <c r="X26" s="17" t="str">
        <f>IF(A26="","",[1]!s_west_avgroe(A26,YEAR($A$3)+2,$A$3,180)/100)</f>
        <v/>
      </c>
      <c r="Y26" s="18" t="str">
        <f>IF(A26="","",IFERROR(([1]!s_est_sales1($A26,$G26+2,$A$3,"Cur="&amp;$E$3,100000000)/[1]!hks_stm_is($A26,"83",DATE($G26,12,31),1,"Cur="&amp;$E$3,100000000))^(1/2)-1,"NA"))</f>
        <v/>
      </c>
      <c r="Z26" s="17" t="str">
        <f>IF(A26="","",IF(OR(RIGHT(A26,2)={"SH","SZ","BJ","NQ"}),IFERROR(([1]!s_est_netprofit($A26,$G26+2,DATE($G26+2,12,31),100000000)/[1]!S_STM07_IS($A26,"W37790734",DATE($G26,12,31),1,100000000))^(1/2)-1,"NA"),IFERROR(([1]!s_est_netprofit1($A26,$G26+2,$A$3,"Cur="&amp;$E$3,100000000)/[1]!hks_stm_is($A26,"61",DATE($G26,12,31),1,"Cur="&amp;$E$3,100000000))^(1/2)-1,"NA")))</f>
        <v/>
      </c>
      <c r="AA26" s="17" t="str">
        <f>IF(A26="","",IF(([1]!s_est_avgebitda1($A26,$G26+2,$A$3,"Cur="&amp;$E$3,100000000)/[1]!hks_fa_ebitda2($A26,DATE($G26,12,31),1,"Cur="&amp;$E$3,100000000))&lt;=0,"NA",([1]!s_est_avgebitda1($A26,$G26+2,$A$3,"Cur="&amp;$E$3,100000000)/[1]!hks_fa_ebitda2($A26,DATE($G26,12,31),1,"Cur="&amp;$E$3,100000000))^(1/2)-1))</f>
        <v/>
      </c>
      <c r="AB26" s="5"/>
    </row>
    <row r="27" spans="1:30" ht="27" customHeight="1" x14ac:dyDescent="0.3">
      <c r="A27" s="151"/>
      <c r="C27" s="5"/>
      <c r="D27" s="20" t="str">
        <f>IF(A27="","",[1]!s_info_compname(E27))</f>
        <v/>
      </c>
      <c r="E27" s="20" t="str">
        <f t="shared" si="1"/>
        <v/>
      </c>
      <c r="F27" s="148" t="str">
        <f>IF(A27="","",[1]!S_Info_Name(E27))</f>
        <v/>
      </c>
      <c r="G27" s="125" t="str">
        <f>IF(D27="","",[1]!s_fa_latelyyear2($A27,$A$3))</f>
        <v/>
      </c>
      <c r="H27" s="148" t="str">
        <f>IF(A27="","",[1]!hks_info_tradecur(A27))</f>
        <v/>
      </c>
      <c r="I27" s="21" t="str">
        <f>IF(A27="","",[1]!S_DQ_CLOSE(A27,$A$3))</f>
        <v/>
      </c>
      <c r="J27" s="23" t="str">
        <f>IF(A27="","",[1]!s_pq_highclose(A27,DATE(YEAR($A$3)-1,MONTH($A$3),DAY($A$3)),$A$3,3))</f>
        <v/>
      </c>
      <c r="K27" s="22" t="str">
        <f>IF(A27="","",[1]!s_pq_lowclose(A27,DATE(YEAR($A$3)-1,MONTH($A$3),DAY($A$3)),$A$3,3))</f>
        <v/>
      </c>
      <c r="L27" s="188" t="str">
        <f>IF(A27="","",[1]!hks_val_ev(A27,$A$3,$E$3,100000000))</f>
        <v/>
      </c>
      <c r="M27" s="24" t="str">
        <f>IF(A27="","",IF(YEAR($A$3)&gt;$G27,[1]!s_val_estpe(A27,$A$3,YEAR($A$3)),[1]!hks_val_pe(A27,$A$3,YEAR($A$3))))</f>
        <v/>
      </c>
      <c r="N27" s="24" t="str">
        <f>IF(A27="","",[1]!s_val_estpe(A27,$A$3,YEAR($A$3)+1))</f>
        <v/>
      </c>
      <c r="O27" s="24" t="str">
        <f>IF(A27="","",[1]!s_val_estpe(A27,$A$3,YEAR($A$3)+2))</f>
        <v/>
      </c>
      <c r="P27" s="24" t="str">
        <f>IF(A27="","",IF(YEAR($A$3)&gt;$G27,[1]!s_val_estpb(A27,$A$3,YEAR($A$3)),[1]!hks_val_pB(A27,$A$3,YEAR($A$3))))</f>
        <v/>
      </c>
      <c r="Q27" s="24" t="str">
        <f>IF(A27="","",[1]!s_val_estpb(A27,$A$3,YEAR($A$3)+1))</f>
        <v/>
      </c>
      <c r="R27" s="24" t="str">
        <f>IF(A27="","",[1]!s_val_estpb(A27,$A$3,YEAR($A$3)+2))</f>
        <v/>
      </c>
      <c r="S27" s="166" t="str">
        <f>IF(A27="","",IF(YEAR($A$3)&gt;$G27,(IFERROR(([1]!hks_val_ev1($A27,$A$3,"Cur="&amp;$E$3,100000000))/([1]!s_est_avgebitda1($A27,YEAR($A$3),$A$3,"Cur="&amp;$E$3,100000000)),"NA")),[1]!s_val_evtoebitda($A27,$A$3)))</f>
        <v/>
      </c>
      <c r="T27" s="166" t="str">
        <f>IF(A27="","",IFERROR(([1]!hks_val_ev1($A27,$A$3,"Cur="&amp;$E$3,100000000))/([1]!s_est_avgebitda1($A27,YEAR($A$3)+1,$A$3,"Cur="&amp;$E$3,100000000)),"NA"))</f>
        <v/>
      </c>
      <c r="U27" s="21" t="str">
        <f>IF(A27="","",IFERROR(([1]!hks_val_ev1($A27,$A$3,"Cur="&amp;$E$3,100000000))/([1]!s_est_avgebitda1($A27,YEAR($A$3)+2,$A$3,"Cur="&amp;$E$3,100000000)),"NA"))</f>
        <v/>
      </c>
      <c r="V27" s="25" t="str">
        <f>IF(A27="","",IF(YEAR($A$3)&gt;$G27,[1]!s_west_avgroe($A27,YEAR($A$3),$A$3,180)/100,[1]!hks_fa_roe($A27,DATE(YEAR($A$3),12,31))/100))</f>
        <v/>
      </c>
      <c r="W27" s="25" t="str">
        <f>IF(A27="","",[1]!s_west_avgroe(A27,YEAR($A$3)+1,$A$3,180)/100)</f>
        <v/>
      </c>
      <c r="X27" s="25" t="str">
        <f>IF(A27="","",[1]!s_west_avgroe(A27,YEAR($A$3)+2,$A$3,180)/100)</f>
        <v/>
      </c>
      <c r="Y27" s="26" t="str">
        <f>IF(A27="","",IFERROR(([1]!s_est_sales1($A27,$G27+2,$A$3,"Cur="&amp;$E$3,100000000)/[1]!hks_stm_is($A27,"83",DATE($G27,12,31),1,"Cur="&amp;$E$3,100000000))^(1/2)-1,"NA"))</f>
        <v/>
      </c>
      <c r="Z27" s="26" t="str">
        <f>IF(A27="","",IF(OR(RIGHT(A27,2)={"SH","SZ","BJ","NQ"}),IFERROR(([1]!s_est_netprofit($A27,$G27+2,DATE($G27+2,12,31),100000000)/[1]!S_STM07_IS($A27,"W37790734",DATE($G27,12,31),1,100000000))^(1/2)-1,"NA"),IFERROR(([1]!s_est_netprofit1($A27,$G27+2,$A$3,"Cur="&amp;$E$3,100000000)/[1]!hks_stm_is($A27,"61",DATE($G27,12,31),1,"Cur="&amp;$E$3,100000000))^(1/2)-1,"NA")))</f>
        <v/>
      </c>
      <c r="AA27" s="25" t="str">
        <f>IF(A27="","",IF(([1]!s_est_avgebitda1($A27,$G27+2,$A$3,"Cur="&amp;$E$3,100000000)/[1]!hks_fa_ebitda2($A27,DATE($G27,12,31),1,"Cur="&amp;$E$3,100000000))&lt;=0,"NA",([1]!s_est_avgebitda1($A27,$G27+2,$A$3,"Cur="&amp;$E$3,100000000)/[1]!hks_fa_ebitda2($A27,DATE($G27,12,31),1,"Cur="&amp;$E$3,100000000))^(1/2)-1))</f>
        <v/>
      </c>
      <c r="AB27" s="5"/>
    </row>
    <row r="28" spans="1:30" ht="27" customHeight="1" x14ac:dyDescent="0.3">
      <c r="C28" s="5"/>
      <c r="D28" s="5"/>
      <c r="E28" s="6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5"/>
    </row>
    <row r="29" spans="1:30" ht="27" customHeight="1" x14ac:dyDescent="0.3">
      <c r="C29" s="5"/>
      <c r="D29" s="5"/>
      <c r="E29" s="6"/>
      <c r="F29" s="30"/>
      <c r="G29" s="30"/>
      <c r="H29" s="30"/>
      <c r="I29" s="4" t="s">
        <v>8</v>
      </c>
      <c r="J29" s="31">
        <f>IFERROR(MAX(J8:J27),"")</f>
        <v>1745</v>
      </c>
      <c r="K29" s="31">
        <f>IFERROR(MAX(K8:K27),"")</f>
        <v>1577</v>
      </c>
      <c r="L29" s="31">
        <f t="shared" ref="L29:AA29" si="2">IFERROR(MAX(L8:L27),"")</f>
        <v>32057.524582785994</v>
      </c>
      <c r="M29" s="31">
        <f t="shared" si="2"/>
        <v>69.415322580645167</v>
      </c>
      <c r="N29" s="182">
        <f t="shared" si="2"/>
        <v>35.974662051851368</v>
      </c>
      <c r="O29" s="182">
        <f t="shared" si="2"/>
        <v>28.749965207225767</v>
      </c>
      <c r="P29" s="182">
        <f t="shared" si="2"/>
        <v>48.066452603657694</v>
      </c>
      <c r="Q29" s="182">
        <f t="shared" si="2"/>
        <v>21.659764089121889</v>
      </c>
      <c r="R29" s="182">
        <f t="shared" si="2"/>
        <v>22.60768892969779</v>
      </c>
      <c r="S29" s="183">
        <f t="shared" si="2"/>
        <v>59.573955122850485</v>
      </c>
      <c r="T29" s="183">
        <f t="shared" si="2"/>
        <v>29.47310970677113</v>
      </c>
      <c r="U29" s="183">
        <f t="shared" si="2"/>
        <v>23.501069884829302</v>
      </c>
      <c r="V29" s="32">
        <f t="shared" si="2"/>
        <v>0.91458099999999998</v>
      </c>
      <c r="W29" s="32">
        <f t="shared" si="2"/>
        <v>0.65136700000000003</v>
      </c>
      <c r="X29" s="32">
        <f t="shared" si="2"/>
        <v>0.90974999999999995</v>
      </c>
      <c r="Y29" s="32">
        <f t="shared" si="2"/>
        <v>0.49755005731413671</v>
      </c>
      <c r="Z29" s="32">
        <f t="shared" si="2"/>
        <v>0.55365290803273459</v>
      </c>
      <c r="AA29" s="32" t="str">
        <f t="shared" si="2"/>
        <v/>
      </c>
      <c r="AB29" s="5"/>
    </row>
    <row r="30" spans="1:30" ht="27" customHeight="1" x14ac:dyDescent="0.3">
      <c r="C30" s="5"/>
      <c r="D30" s="5"/>
      <c r="E30" s="6"/>
      <c r="F30" s="30"/>
      <c r="G30" s="30"/>
      <c r="H30" s="30"/>
      <c r="I30" s="4" t="s">
        <v>9</v>
      </c>
      <c r="J30" s="31">
        <f t="shared" ref="J30:AA30" si="3">IFERROR(AVERAGE(J8:J27),"")</f>
        <v>226.81675001137165</v>
      </c>
      <c r="K30" s="31">
        <f t="shared" si="3"/>
        <v>173.88384673312146</v>
      </c>
      <c r="L30" s="31">
        <f t="shared" si="3"/>
        <v>11360.724141273908</v>
      </c>
      <c r="M30" s="31">
        <f t="shared" si="3"/>
        <v>12.417527457499123</v>
      </c>
      <c r="N30" s="182">
        <f t="shared" si="3"/>
        <v>9.3902798647586945</v>
      </c>
      <c r="O30" s="182">
        <f t="shared" si="3"/>
        <v>9.1785406151018822</v>
      </c>
      <c r="P30" s="182">
        <f t="shared" si="3"/>
        <v>4.4179736497732698</v>
      </c>
      <c r="Q30" s="182">
        <f t="shared" si="3"/>
        <v>2.4978009696338108</v>
      </c>
      <c r="R30" s="182">
        <f t="shared" si="3"/>
        <v>3.1965502397973697</v>
      </c>
      <c r="S30" s="183">
        <f t="shared" si="3"/>
        <v>21.258560118143915</v>
      </c>
      <c r="T30" s="183">
        <f t="shared" si="3"/>
        <v>14.324595394348407</v>
      </c>
      <c r="U30" s="183">
        <f t="shared" si="3"/>
        <v>13.198380463440467</v>
      </c>
      <c r="V30" s="32">
        <f t="shared" si="3"/>
        <v>0.1691452012705485</v>
      </c>
      <c r="W30" s="32">
        <f t="shared" si="3"/>
        <v>0.14977779985961917</v>
      </c>
      <c r="X30" s="32">
        <f t="shared" si="3"/>
        <v>0.18093859956309</v>
      </c>
      <c r="Y30" s="32">
        <f t="shared" si="3"/>
        <v>1.0113061828387478E-2</v>
      </c>
      <c r="Z30" s="32">
        <f t="shared" si="3"/>
        <v>3.5331822971608924E-2</v>
      </c>
      <c r="AA30" s="32" t="str">
        <f t="shared" si="3"/>
        <v/>
      </c>
      <c r="AB30" s="5"/>
    </row>
    <row r="31" spans="1:30" ht="27" customHeight="1" x14ac:dyDescent="0.3">
      <c r="C31" s="5"/>
      <c r="D31" s="5"/>
      <c r="E31" s="195"/>
      <c r="F31" s="30"/>
      <c r="G31" s="30"/>
      <c r="H31" s="30"/>
      <c r="I31" s="4" t="s">
        <v>10</v>
      </c>
      <c r="J31" s="31">
        <f t="shared" ref="J31:AA31" si="4">IFERROR(MEDIAN(J8:J27),"")</f>
        <v>8.44</v>
      </c>
      <c r="K31" s="31">
        <f t="shared" si="4"/>
        <v>6.69</v>
      </c>
      <c r="L31" s="31">
        <f t="shared" si="4"/>
        <v>11580.859050751948</v>
      </c>
      <c r="M31" s="31">
        <f t="shared" si="4"/>
        <v>5.8716324938083435</v>
      </c>
      <c r="N31" s="182">
        <f t="shared" si="4"/>
        <v>5.5131870320599878</v>
      </c>
      <c r="O31" s="182">
        <f t="shared" si="4"/>
        <v>5.4687498871666902</v>
      </c>
      <c r="P31" s="182">
        <f t="shared" si="4"/>
        <v>0.56680731707025711</v>
      </c>
      <c r="Q31" s="182">
        <f t="shared" si="4"/>
        <v>0.52429809132885463</v>
      </c>
      <c r="R31" s="182">
        <f t="shared" si="4"/>
        <v>0.49565104157930806</v>
      </c>
      <c r="S31" s="183">
        <f t="shared" si="4"/>
        <v>13.348672538896752</v>
      </c>
      <c r="T31" s="183">
        <f t="shared" si="4"/>
        <v>12.085213582235179</v>
      </c>
      <c r="U31" s="183">
        <f t="shared" si="4"/>
        <v>11.934466539653528</v>
      </c>
      <c r="V31" s="32">
        <f t="shared" si="4"/>
        <v>0.10656399726867676</v>
      </c>
      <c r="W31" s="32">
        <f t="shared" si="4"/>
        <v>0.10297100067138672</v>
      </c>
      <c r="X31" s="32">
        <f t="shared" si="4"/>
        <v>9.9509000778198242E-2</v>
      </c>
      <c r="Y31" s="32">
        <f t="shared" si="4"/>
        <v>3.3668528295065725E-2</v>
      </c>
      <c r="Z31" s="32">
        <f t="shared" si="4"/>
        <v>3.7420960706644024E-2</v>
      </c>
      <c r="AA31" s="32" t="str">
        <f t="shared" si="4"/>
        <v/>
      </c>
      <c r="AB31" s="5"/>
    </row>
    <row r="32" spans="1:30" ht="27" customHeight="1" x14ac:dyDescent="0.3">
      <c r="C32" s="5"/>
      <c r="D32" s="6"/>
      <c r="E32" s="6"/>
      <c r="F32" s="30"/>
      <c r="G32" s="30"/>
      <c r="H32" s="30"/>
      <c r="I32" s="4" t="s">
        <v>11</v>
      </c>
      <c r="J32" s="31">
        <f t="shared" ref="J32:AA32" si="5">IFERROR(MIN(J8:J27),"")</f>
        <v>3.36</v>
      </c>
      <c r="K32" s="31">
        <f t="shared" si="5"/>
        <v>2.9</v>
      </c>
      <c r="L32" s="31">
        <f t="shared" si="5"/>
        <v>542.63203873060002</v>
      </c>
      <c r="M32" s="31">
        <f t="shared" si="5"/>
        <v>0</v>
      </c>
      <c r="N32" s="182">
        <f t="shared" si="5"/>
        <v>0</v>
      </c>
      <c r="O32" s="182">
        <f t="shared" si="5"/>
        <v>0</v>
      </c>
      <c r="P32" s="182">
        <f t="shared" si="5"/>
        <v>0</v>
      </c>
      <c r="Q32" s="182">
        <f t="shared" si="5"/>
        <v>0</v>
      </c>
      <c r="R32" s="182">
        <f t="shared" si="5"/>
        <v>0</v>
      </c>
      <c r="S32" s="183">
        <f t="shared" si="5"/>
        <v>7.5575311553100706</v>
      </c>
      <c r="T32" s="183">
        <f t="shared" si="5"/>
        <v>6.8612635143241647</v>
      </c>
      <c r="U32" s="183">
        <f t="shared" si="5"/>
        <v>5.9244770820614878</v>
      </c>
      <c r="V32" s="32">
        <f t="shared" si="5"/>
        <v>0</v>
      </c>
      <c r="W32" s="32">
        <f t="shared" si="5"/>
        <v>0</v>
      </c>
      <c r="X32" s="32">
        <f t="shared" si="5"/>
        <v>0</v>
      </c>
      <c r="Y32" s="32">
        <f t="shared" si="5"/>
        <v>-1</v>
      </c>
      <c r="Z32" s="32">
        <f t="shared" si="5"/>
        <v>-1</v>
      </c>
      <c r="AA32" s="32" t="str">
        <f t="shared" si="5"/>
        <v/>
      </c>
      <c r="AB32" s="5"/>
    </row>
    <row r="33" spans="1:29" s="34" customFormat="1" ht="27" customHeight="1" x14ac:dyDescent="0.4">
      <c r="A33" s="1"/>
      <c r="B33" s="33"/>
      <c r="E33" s="35"/>
      <c r="F33" s="30"/>
      <c r="G33" s="196"/>
      <c r="H33" s="30"/>
      <c r="I33" s="159"/>
      <c r="J33" s="159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29"/>
      <c r="Y33" s="29"/>
      <c r="Z33" s="29"/>
      <c r="AA33" s="29"/>
      <c r="AC33" s="33"/>
    </row>
    <row r="34" spans="1:29" ht="27" customHeight="1" x14ac:dyDescent="0.35">
      <c r="C34" s="5"/>
      <c r="D34" s="6"/>
      <c r="E34" s="36"/>
      <c r="F34" s="37"/>
      <c r="G34" s="37"/>
      <c r="H34" s="37"/>
      <c r="I34" s="6"/>
      <c r="J34" s="6"/>
      <c r="K34" s="6"/>
      <c r="L34" s="6"/>
      <c r="M34" s="6"/>
      <c r="N34" s="6"/>
      <c r="O34" s="6"/>
      <c r="P34" s="171"/>
      <c r="Q34" s="6"/>
      <c r="R34" s="171"/>
      <c r="S34" s="6"/>
      <c r="T34" s="6"/>
      <c r="U34" s="6"/>
      <c r="V34" s="6"/>
      <c r="W34" s="6"/>
      <c r="X34" s="5"/>
      <c r="Y34" s="5"/>
      <c r="Z34" s="5"/>
      <c r="AA34" s="5" t="s">
        <v>12</v>
      </c>
      <c r="AB34" s="5"/>
    </row>
    <row r="35" spans="1:29" ht="27" customHeight="1" x14ac:dyDescent="0.35">
      <c r="C35" s="5"/>
      <c r="D35" s="6"/>
      <c r="E35" s="36"/>
      <c r="F35" s="37"/>
      <c r="G35" s="37"/>
      <c r="H35" s="37"/>
      <c r="I35" s="6"/>
      <c r="J35" s="6"/>
      <c r="K35" s="6"/>
      <c r="L35" s="6"/>
      <c r="M35" s="6"/>
      <c r="N35" s="171"/>
      <c r="O35" s="6"/>
      <c r="P35" s="6"/>
      <c r="Q35" s="6"/>
      <c r="R35" s="6"/>
      <c r="S35" s="6"/>
      <c r="T35" s="6"/>
      <c r="U35" s="6"/>
      <c r="V35" s="6"/>
      <c r="W35" s="6"/>
      <c r="X35" s="5"/>
      <c r="Y35" s="5"/>
      <c r="Z35" s="5"/>
      <c r="AA35" s="5"/>
      <c r="AB35" s="5"/>
    </row>
    <row r="36" spans="1:29" ht="27" customHeight="1" x14ac:dyDescent="0.35">
      <c r="C36" s="5"/>
      <c r="D36" s="6"/>
      <c r="E36" s="36"/>
      <c r="F36" s="37"/>
      <c r="G36" s="37"/>
      <c r="H36" s="37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5"/>
      <c r="Y36" s="5"/>
      <c r="Z36" s="5"/>
      <c r="AA36" s="5"/>
      <c r="AB36" s="5"/>
    </row>
    <row r="37" spans="1:29" ht="20.25" x14ac:dyDescent="0.35">
      <c r="C37" s="5"/>
      <c r="D37" s="6"/>
      <c r="E37" s="36"/>
      <c r="F37" s="37"/>
      <c r="G37" s="37"/>
      <c r="H37" s="37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5"/>
      <c r="Y37" s="5"/>
      <c r="Z37" s="5"/>
      <c r="AA37" s="5"/>
      <c r="AB37" s="5"/>
    </row>
    <row r="38" spans="1:29" ht="20.25" x14ac:dyDescent="0.35">
      <c r="C38" s="5"/>
      <c r="D38" s="6"/>
      <c r="E38" s="36"/>
      <c r="F38" s="37"/>
      <c r="G38" s="37"/>
      <c r="H38" s="37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5"/>
      <c r="Y38" s="5"/>
      <c r="Z38" s="5"/>
      <c r="AA38" s="5"/>
      <c r="AB38" s="5"/>
    </row>
    <row r="39" spans="1:29" ht="20.25" x14ac:dyDescent="0.35">
      <c r="C39" s="5"/>
      <c r="D39" s="6"/>
      <c r="E39" s="36"/>
      <c r="F39" s="37"/>
      <c r="G39" s="37"/>
      <c r="H39" s="37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5"/>
      <c r="Y39" s="5"/>
      <c r="Z39" s="5"/>
      <c r="AA39" s="5"/>
      <c r="AB39" s="5"/>
    </row>
    <row r="40" spans="1:29" ht="20.25" x14ac:dyDescent="0.35">
      <c r="C40" s="5"/>
      <c r="D40" s="6"/>
      <c r="E40" s="36"/>
      <c r="F40" s="37"/>
      <c r="G40" s="37"/>
      <c r="H40" s="37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5"/>
      <c r="Y40" s="5"/>
      <c r="Z40" s="5"/>
      <c r="AA40" s="5"/>
      <c r="AB40" s="5"/>
    </row>
    <row r="41" spans="1:29" ht="20.25" x14ac:dyDescent="0.35">
      <c r="C41" s="5"/>
      <c r="D41" s="6"/>
      <c r="E41" s="36"/>
      <c r="F41" s="37"/>
      <c r="G41" s="37"/>
      <c r="H41" s="37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5"/>
      <c r="Y41" s="5"/>
      <c r="Z41" s="5"/>
      <c r="AA41" s="5"/>
      <c r="AB41" s="5"/>
    </row>
    <row r="42" spans="1:29" ht="20.25" x14ac:dyDescent="0.35">
      <c r="C42" s="5"/>
      <c r="D42" s="6"/>
      <c r="E42" s="36"/>
      <c r="F42" s="37"/>
      <c r="G42" s="37"/>
      <c r="H42" s="37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5"/>
      <c r="Y42" s="5"/>
      <c r="Z42" s="5"/>
      <c r="AA42" s="5"/>
      <c r="AB42" s="5"/>
    </row>
    <row r="43" spans="1:29" ht="20.25" x14ac:dyDescent="0.35">
      <c r="C43" s="5"/>
      <c r="D43" s="6"/>
      <c r="E43" s="36"/>
      <c r="F43" s="37"/>
      <c r="G43" s="37"/>
      <c r="H43" s="37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5"/>
      <c r="Y43" s="5"/>
      <c r="Z43" s="5"/>
      <c r="AA43" s="5"/>
      <c r="AB43" s="5"/>
    </row>
    <row r="44" spans="1:29" ht="20.25" x14ac:dyDescent="0.35">
      <c r="C44" s="5"/>
      <c r="D44" s="6"/>
      <c r="E44" s="36"/>
      <c r="F44" s="37"/>
      <c r="G44" s="37"/>
      <c r="H44" s="37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5"/>
      <c r="Y44" s="5"/>
      <c r="Z44" s="5"/>
      <c r="AA44" s="5"/>
      <c r="AB44" s="5"/>
    </row>
    <row r="45" spans="1:29" ht="20.25" x14ac:dyDescent="0.35">
      <c r="C45" s="5"/>
      <c r="D45" s="6"/>
      <c r="E45" s="36"/>
      <c r="F45" s="37"/>
      <c r="G45" s="37"/>
      <c r="H45" s="37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5"/>
      <c r="Y45" s="5"/>
      <c r="Z45" s="5"/>
      <c r="AA45" s="5"/>
      <c r="AB45" s="5"/>
    </row>
    <row r="46" spans="1:29" ht="20.25" x14ac:dyDescent="0.35">
      <c r="C46" s="5"/>
      <c r="D46" s="6"/>
      <c r="E46" s="36"/>
      <c r="F46" s="37"/>
      <c r="G46" s="37"/>
      <c r="H46" s="37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5"/>
      <c r="Y46" s="5"/>
      <c r="Z46" s="5"/>
      <c r="AA46" s="5"/>
      <c r="AB46" s="5"/>
    </row>
    <row r="47" spans="1:29" ht="20.25" x14ac:dyDescent="0.35">
      <c r="C47" s="5"/>
      <c r="D47" s="6"/>
      <c r="E47" s="36"/>
      <c r="F47" s="37"/>
      <c r="G47" s="37"/>
      <c r="H47" s="37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5"/>
      <c r="Y47" s="5"/>
      <c r="Z47" s="5"/>
      <c r="AA47" s="5"/>
      <c r="AB47" s="5"/>
    </row>
    <row r="48" spans="1:29" ht="20.25" x14ac:dyDescent="0.35">
      <c r="C48" s="5"/>
      <c r="D48" s="6"/>
      <c r="E48" s="36"/>
      <c r="F48" s="37"/>
      <c r="G48" s="37"/>
      <c r="H48" s="37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5"/>
      <c r="Y48" s="5"/>
      <c r="Z48" s="5"/>
      <c r="AA48" s="5"/>
      <c r="AB48" s="5"/>
    </row>
    <row r="49" spans="3:28" ht="20.25" x14ac:dyDescent="0.35">
      <c r="C49" s="5"/>
      <c r="D49" s="6"/>
      <c r="E49" s="36"/>
      <c r="F49" s="37"/>
      <c r="G49" s="37"/>
      <c r="H49" s="37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5"/>
      <c r="Y49" s="5"/>
      <c r="Z49" s="5"/>
      <c r="AA49" s="5"/>
      <c r="AB49" s="5"/>
    </row>
    <row r="50" spans="3:28" ht="20.25" x14ac:dyDescent="0.35">
      <c r="C50" s="5"/>
      <c r="D50" s="6"/>
      <c r="E50" s="36"/>
      <c r="F50" s="37"/>
      <c r="G50" s="37"/>
      <c r="H50" s="37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5"/>
      <c r="Y50" s="5"/>
      <c r="Z50" s="5"/>
      <c r="AA50" s="5"/>
      <c r="AB50" s="5"/>
    </row>
    <row r="51" spans="3:28" ht="20.25" x14ac:dyDescent="0.35">
      <c r="C51" s="5"/>
      <c r="D51" s="6"/>
      <c r="E51" s="36"/>
      <c r="F51" s="37"/>
      <c r="G51" s="37"/>
      <c r="H51" s="37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5"/>
      <c r="Y51" s="5"/>
      <c r="Z51" s="5"/>
      <c r="AA51" s="5"/>
      <c r="AB51" s="5"/>
    </row>
    <row r="52" spans="3:28" ht="20.25" x14ac:dyDescent="0.35">
      <c r="C52" s="5"/>
      <c r="D52" s="6"/>
      <c r="E52" s="36"/>
      <c r="F52" s="37"/>
      <c r="G52" s="37"/>
      <c r="H52" s="37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5"/>
      <c r="Y52" s="5"/>
      <c r="Z52" s="5"/>
      <c r="AA52" s="5"/>
      <c r="AB52" s="5"/>
    </row>
    <row r="53" spans="3:28" ht="20.25" x14ac:dyDescent="0.35">
      <c r="C53" s="5"/>
      <c r="D53" s="6"/>
      <c r="E53" s="36"/>
      <c r="F53" s="37"/>
      <c r="G53" s="37"/>
      <c r="H53" s="37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5"/>
      <c r="Y53" s="5"/>
      <c r="Z53" s="5"/>
      <c r="AA53" s="5"/>
      <c r="AB53" s="5"/>
    </row>
    <row r="54" spans="3:28" ht="20.25" x14ac:dyDescent="0.35">
      <c r="C54" s="5"/>
      <c r="D54" s="6"/>
      <c r="E54" s="36"/>
      <c r="F54" s="37"/>
      <c r="G54" s="37"/>
      <c r="H54" s="37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5"/>
      <c r="Y54" s="5"/>
      <c r="Z54" s="5"/>
      <c r="AA54" s="5"/>
      <c r="AB54" s="5"/>
    </row>
    <row r="55" spans="3:28" ht="20.25" x14ac:dyDescent="0.35">
      <c r="C55" s="5"/>
      <c r="D55" s="6"/>
      <c r="E55" s="36"/>
      <c r="F55" s="37"/>
      <c r="G55" s="37"/>
      <c r="H55" s="37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5"/>
      <c r="Y55" s="5"/>
      <c r="Z55" s="5"/>
      <c r="AA55" s="5"/>
      <c r="AB55" s="5"/>
    </row>
    <row r="56" spans="3:28" ht="20.25" x14ac:dyDescent="0.35">
      <c r="C56" s="5"/>
      <c r="D56" s="6"/>
      <c r="E56" s="36"/>
      <c r="F56" s="37"/>
      <c r="G56" s="37"/>
      <c r="H56" s="37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5"/>
      <c r="Y56" s="5"/>
      <c r="Z56" s="5"/>
      <c r="AA56" s="5"/>
      <c r="AB56" s="5"/>
    </row>
    <row r="57" spans="3:28" ht="20.25" x14ac:dyDescent="0.35">
      <c r="C57" s="5"/>
      <c r="D57" s="6"/>
      <c r="E57" s="36"/>
      <c r="F57" s="37"/>
      <c r="G57" s="37"/>
      <c r="H57" s="37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5"/>
      <c r="Y57" s="5"/>
      <c r="Z57" s="5"/>
      <c r="AA57" s="5"/>
      <c r="AB57" s="5"/>
    </row>
    <row r="58" spans="3:28" x14ac:dyDescent="0.3">
      <c r="C58" s="5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5"/>
      <c r="Y58" s="5"/>
      <c r="Z58" s="5"/>
      <c r="AA58" s="5"/>
      <c r="AB58" s="5"/>
    </row>
    <row r="59" spans="3:28" x14ac:dyDescent="0.3">
      <c r="C59" s="5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5"/>
      <c r="Y59" s="5"/>
      <c r="Z59" s="5"/>
      <c r="AA59" s="5"/>
      <c r="AB59" s="5"/>
    </row>
    <row r="60" spans="3:28" x14ac:dyDescent="0.3">
      <c r="C60" s="5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5"/>
      <c r="Y60" s="5"/>
      <c r="Z60" s="5"/>
      <c r="AA60" s="5"/>
      <c r="AB60" s="5"/>
    </row>
    <row r="61" spans="3:28" x14ac:dyDescent="0.3">
      <c r="C61" s="5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5"/>
      <c r="Y61" s="5"/>
      <c r="Z61" s="5"/>
      <c r="AA61" s="5"/>
      <c r="AB61" s="5"/>
    </row>
    <row r="62" spans="3:28" x14ac:dyDescent="0.3">
      <c r="C62" s="5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5"/>
      <c r="Y62" s="5"/>
      <c r="Z62" s="5"/>
      <c r="AA62" s="5"/>
      <c r="AB62" s="5"/>
    </row>
    <row r="63" spans="3:28" x14ac:dyDescent="0.3">
      <c r="C63" s="5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5"/>
      <c r="Y63" s="5"/>
      <c r="Z63" s="5"/>
      <c r="AA63" s="5"/>
      <c r="AB63" s="5"/>
    </row>
    <row r="64" spans="3:28" x14ac:dyDescent="0.3">
      <c r="C64" s="5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5"/>
      <c r="Y64" s="5"/>
      <c r="Z64" s="5"/>
      <c r="AA64" s="5"/>
      <c r="AB64" s="5"/>
    </row>
    <row r="65" spans="3:28" x14ac:dyDescent="0.3">
      <c r="C65" s="5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5"/>
      <c r="Y65" s="5"/>
      <c r="Z65" s="5"/>
      <c r="AA65" s="5"/>
      <c r="AB65" s="5"/>
    </row>
    <row r="66" spans="3:28" x14ac:dyDescent="0.3">
      <c r="C66" s="5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5"/>
      <c r="Y66" s="5"/>
      <c r="Z66" s="5"/>
      <c r="AA66" s="5"/>
      <c r="AB66" s="5"/>
    </row>
    <row r="67" spans="3:28" x14ac:dyDescent="0.3">
      <c r="C67" s="5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5"/>
      <c r="Y67" s="5"/>
      <c r="Z67" s="5"/>
      <c r="AA67" s="5"/>
      <c r="AB67" s="5"/>
    </row>
    <row r="68" spans="3:28" x14ac:dyDescent="0.3">
      <c r="C68" s="5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5"/>
      <c r="Y68" s="5"/>
      <c r="Z68" s="5"/>
      <c r="AA68" s="5"/>
      <c r="AB68" s="5"/>
    </row>
    <row r="69" spans="3:28" x14ac:dyDescent="0.3">
      <c r="C69" s="5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5"/>
      <c r="Y69" s="5"/>
      <c r="Z69" s="5"/>
      <c r="AA69" s="5"/>
      <c r="AB69" s="5"/>
    </row>
    <row r="70" spans="3:28" x14ac:dyDescent="0.3">
      <c r="C70" s="5"/>
      <c r="D70" s="5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5"/>
    </row>
    <row r="71" spans="3:28" x14ac:dyDescent="0.3">
      <c r="C71" s="5"/>
      <c r="D71" s="5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5"/>
    </row>
    <row r="72" spans="3:28" x14ac:dyDescent="0.3">
      <c r="C72" s="5"/>
      <c r="D72" s="5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5"/>
    </row>
    <row r="73" spans="3:28" x14ac:dyDescent="0.3">
      <c r="C73" s="5"/>
      <c r="D73" s="5"/>
      <c r="E73" s="38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5"/>
    </row>
    <row r="74" spans="3:28" x14ac:dyDescent="0.3">
      <c r="C74" s="5"/>
      <c r="D74" s="5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5"/>
    </row>
    <row r="75" spans="3:28" x14ac:dyDescent="0.3">
      <c r="C75" s="5"/>
      <c r="D75" s="5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5"/>
    </row>
    <row r="76" spans="3:28" x14ac:dyDescent="0.3">
      <c r="C76" s="5"/>
      <c r="D76" s="5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5"/>
    </row>
    <row r="77" spans="3:28" x14ac:dyDescent="0.3">
      <c r="C77" s="5"/>
      <c r="D77" s="5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5"/>
    </row>
    <row r="78" spans="3:28" x14ac:dyDescent="0.3">
      <c r="C78" s="5"/>
      <c r="D78" s="5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5"/>
    </row>
    <row r="79" spans="3:28" x14ac:dyDescent="0.3">
      <c r="C79" s="5"/>
      <c r="D79" s="5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5"/>
    </row>
    <row r="80" spans="3:28" x14ac:dyDescent="0.3">
      <c r="C80" s="5"/>
      <c r="D80" s="5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5"/>
    </row>
    <row r="81" spans="3:28" x14ac:dyDescent="0.3">
      <c r="C81" s="5"/>
      <c r="D81" s="5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5"/>
    </row>
    <row r="82" spans="3:28" x14ac:dyDescent="0.3">
      <c r="C82" s="5"/>
      <c r="D82" s="5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5"/>
    </row>
    <row r="83" spans="3:28" x14ac:dyDescent="0.3">
      <c r="C83" s="5"/>
      <c r="D83" s="5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5"/>
    </row>
    <row r="84" spans="3:28" x14ac:dyDescent="0.3">
      <c r="C84" s="5"/>
      <c r="D84" s="5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5"/>
    </row>
    <row r="85" spans="3:28" x14ac:dyDescent="0.3">
      <c r="C85" s="5"/>
      <c r="D85" s="5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5"/>
    </row>
    <row r="86" spans="3:28" x14ac:dyDescent="0.3">
      <c r="C86" s="5"/>
      <c r="D86" s="5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5"/>
    </row>
    <row r="87" spans="3:28" x14ac:dyDescent="0.3">
      <c r="C87" s="5"/>
      <c r="D87" s="5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5"/>
    </row>
    <row r="88" spans="3:28" x14ac:dyDescent="0.3">
      <c r="C88" s="5"/>
      <c r="D88" s="5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5"/>
    </row>
    <row r="89" spans="3:28" x14ac:dyDescent="0.3">
      <c r="C89" s="5"/>
      <c r="D89" s="5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5"/>
    </row>
    <row r="90" spans="3:28" x14ac:dyDescent="0.3">
      <c r="C90" s="5"/>
      <c r="D90" s="5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5"/>
    </row>
    <row r="91" spans="3:28" x14ac:dyDescent="0.3">
      <c r="C91" s="5"/>
      <c r="D91" s="5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5"/>
    </row>
    <row r="92" spans="3:28" x14ac:dyDescent="0.3">
      <c r="C92" s="5"/>
      <c r="D92" s="5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5"/>
    </row>
    <row r="93" spans="3:28" x14ac:dyDescent="0.3">
      <c r="C93" s="5"/>
      <c r="D93" s="5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5"/>
    </row>
    <row r="94" spans="3:28" x14ac:dyDescent="0.3">
      <c r="C94" s="5"/>
      <c r="D94" s="5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5"/>
    </row>
    <row r="95" spans="3:28" x14ac:dyDescent="0.3">
      <c r="C95" s="5"/>
      <c r="D95" s="5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5"/>
    </row>
    <row r="96" spans="3:28" x14ac:dyDescent="0.3">
      <c r="C96" s="5"/>
      <c r="D96" s="5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5"/>
    </row>
    <row r="97" spans="3:28" x14ac:dyDescent="0.3">
      <c r="C97" s="5"/>
      <c r="D97" s="5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5"/>
    </row>
    <row r="98" spans="3:28" x14ac:dyDescent="0.3">
      <c r="C98" s="5"/>
      <c r="D98" s="5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5"/>
    </row>
    <row r="99" spans="3:28" x14ac:dyDescent="0.3">
      <c r="C99" s="5"/>
      <c r="D99" s="5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5"/>
    </row>
    <row r="100" spans="3:28" x14ac:dyDescent="0.3">
      <c r="C100" s="5"/>
      <c r="D100" s="5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5"/>
    </row>
    <row r="101" spans="3:28" x14ac:dyDescent="0.3">
      <c r="C101" s="5"/>
      <c r="D101" s="5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5"/>
    </row>
    <row r="102" spans="3:28" x14ac:dyDescent="0.3">
      <c r="C102" s="5"/>
      <c r="D102" s="5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5"/>
    </row>
    <row r="103" spans="3:28" x14ac:dyDescent="0.3">
      <c r="C103" s="5"/>
      <c r="D103" s="5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5"/>
    </row>
    <row r="104" spans="3:28" x14ac:dyDescent="0.3">
      <c r="C104" s="5"/>
      <c r="D104" s="5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5"/>
    </row>
    <row r="105" spans="3:28" x14ac:dyDescent="0.3">
      <c r="C105" s="5"/>
      <c r="D105" s="5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5"/>
    </row>
    <row r="106" spans="3:28" x14ac:dyDescent="0.3">
      <c r="C106" s="5"/>
      <c r="D106" s="5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5"/>
    </row>
    <row r="107" spans="3:28" x14ac:dyDescent="0.3">
      <c r="C107" s="5"/>
      <c r="D107" s="5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5"/>
    </row>
    <row r="108" spans="3:28" x14ac:dyDescent="0.3">
      <c r="C108" s="5"/>
      <c r="D108" s="5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5"/>
    </row>
    <row r="109" spans="3:28" x14ac:dyDescent="0.3">
      <c r="C109" s="5"/>
      <c r="D109" s="5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5"/>
    </row>
    <row r="110" spans="3:28" x14ac:dyDescent="0.3">
      <c r="C110" s="5"/>
      <c r="D110" s="5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5"/>
    </row>
    <row r="111" spans="3:28" x14ac:dyDescent="0.3">
      <c r="C111" s="5"/>
      <c r="D111" s="5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5"/>
    </row>
    <row r="112" spans="3:28" x14ac:dyDescent="0.3">
      <c r="C112" s="5"/>
      <c r="D112" s="5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5"/>
    </row>
    <row r="113" spans="3:28" x14ac:dyDescent="0.3">
      <c r="C113" s="5"/>
      <c r="D113" s="5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5"/>
    </row>
    <row r="114" spans="3:28" x14ac:dyDescent="0.3">
      <c r="C114" s="5"/>
      <c r="D114" s="5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5"/>
    </row>
    <row r="115" spans="3:28" x14ac:dyDescent="0.3">
      <c r="C115" s="5"/>
      <c r="D115" s="5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5"/>
    </row>
    <row r="116" spans="3:28" x14ac:dyDescent="0.3">
      <c r="C116" s="5"/>
      <c r="D116" s="5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5"/>
    </row>
    <row r="117" spans="3:28" x14ac:dyDescent="0.3">
      <c r="C117" s="5"/>
      <c r="D117" s="5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5"/>
    </row>
    <row r="118" spans="3:28" x14ac:dyDescent="0.3">
      <c r="C118" s="5"/>
      <c r="D118" s="5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5"/>
    </row>
    <row r="119" spans="3:28" x14ac:dyDescent="0.3">
      <c r="C119" s="5"/>
      <c r="D119" s="5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5"/>
    </row>
    <row r="120" spans="3:28" x14ac:dyDescent="0.3">
      <c r="C120" s="5"/>
      <c r="D120" s="5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5"/>
    </row>
    <row r="121" spans="3:28" x14ac:dyDescent="0.3">
      <c r="C121" s="5"/>
      <c r="D121" s="5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5"/>
    </row>
    <row r="122" spans="3:28" x14ac:dyDescent="0.3">
      <c r="C122" s="5"/>
      <c r="D122" s="5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5"/>
    </row>
    <row r="123" spans="3:28" x14ac:dyDescent="0.3">
      <c r="C123" s="5"/>
      <c r="D123" s="5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5"/>
    </row>
    <row r="124" spans="3:28" x14ac:dyDescent="0.3">
      <c r="C124" s="5"/>
      <c r="D124" s="5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5"/>
    </row>
    <row r="125" spans="3:28" x14ac:dyDescent="0.3">
      <c r="C125" s="5"/>
      <c r="D125" s="5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5"/>
    </row>
    <row r="126" spans="3:28" x14ac:dyDescent="0.3">
      <c r="C126" s="5"/>
      <c r="D126" s="5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5"/>
    </row>
    <row r="127" spans="3:28" x14ac:dyDescent="0.3">
      <c r="C127" s="5"/>
      <c r="D127" s="5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5"/>
    </row>
    <row r="128" spans="3:28" x14ac:dyDescent="0.3">
      <c r="C128" s="5"/>
      <c r="D128" s="5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5"/>
    </row>
    <row r="129" spans="3:28" x14ac:dyDescent="0.3">
      <c r="C129" s="5"/>
      <c r="D129" s="5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5"/>
    </row>
    <row r="130" spans="3:28" x14ac:dyDescent="0.3">
      <c r="C130" s="5"/>
      <c r="D130" s="5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5"/>
    </row>
    <row r="131" spans="3:28" x14ac:dyDescent="0.3">
      <c r="C131" s="5"/>
      <c r="D131" s="5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5"/>
    </row>
    <row r="132" spans="3:28" x14ac:dyDescent="0.3">
      <c r="C132" s="5"/>
      <c r="D132" s="5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5"/>
    </row>
    <row r="133" spans="3:28" x14ac:dyDescent="0.3">
      <c r="C133" s="5"/>
      <c r="D133" s="5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5"/>
    </row>
    <row r="134" spans="3:28" x14ac:dyDescent="0.3">
      <c r="C134" s="5"/>
      <c r="D134" s="5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5"/>
    </row>
    <row r="135" spans="3:28" x14ac:dyDescent="0.3">
      <c r="C135" s="5"/>
      <c r="D135" s="5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5"/>
    </row>
    <row r="136" spans="3:28" x14ac:dyDescent="0.3">
      <c r="C136" s="5"/>
      <c r="D136" s="5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5"/>
    </row>
    <row r="137" spans="3:28" x14ac:dyDescent="0.3">
      <c r="C137" s="5"/>
      <c r="D137" s="5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5"/>
    </row>
    <row r="138" spans="3:28" x14ac:dyDescent="0.3">
      <c r="C138" s="5"/>
      <c r="D138" s="5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5"/>
    </row>
    <row r="139" spans="3:28" x14ac:dyDescent="0.3">
      <c r="C139" s="5"/>
      <c r="D139" s="5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5"/>
    </row>
    <row r="140" spans="3:28" x14ac:dyDescent="0.3">
      <c r="C140" s="5"/>
      <c r="D140" s="5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5"/>
    </row>
    <row r="141" spans="3:28" x14ac:dyDescent="0.3">
      <c r="C141" s="5"/>
      <c r="D141" s="5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5"/>
    </row>
    <row r="142" spans="3:28" x14ac:dyDescent="0.3">
      <c r="C142" s="5"/>
      <c r="D142" s="5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5"/>
    </row>
    <row r="143" spans="3:28" x14ac:dyDescent="0.3">
      <c r="C143" s="5"/>
      <c r="D143" s="5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5"/>
    </row>
    <row r="144" spans="3:28" x14ac:dyDescent="0.3">
      <c r="C144" s="5"/>
      <c r="D144" s="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5"/>
    </row>
    <row r="145" spans="3:28" x14ac:dyDescent="0.3">
      <c r="C145" s="5"/>
      <c r="D145" s="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5"/>
    </row>
    <row r="146" spans="3:28" x14ac:dyDescent="0.3">
      <c r="C146" s="5"/>
      <c r="D146" s="5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5"/>
    </row>
    <row r="147" spans="3:28" x14ac:dyDescent="0.3">
      <c r="C147" s="5"/>
      <c r="D147" s="5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5"/>
    </row>
    <row r="148" spans="3:28" x14ac:dyDescent="0.3">
      <c r="C148" s="5"/>
      <c r="D148" s="5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5"/>
    </row>
    <row r="149" spans="3:28" x14ac:dyDescent="0.3">
      <c r="C149" s="5"/>
      <c r="D149" s="5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5"/>
    </row>
    <row r="150" spans="3:28" x14ac:dyDescent="0.3">
      <c r="C150" s="5"/>
      <c r="D150" s="5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5"/>
    </row>
    <row r="151" spans="3:28" x14ac:dyDescent="0.3">
      <c r="C151" s="5"/>
      <c r="D151" s="5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5"/>
    </row>
    <row r="152" spans="3:28" x14ac:dyDescent="0.3">
      <c r="C152" s="5"/>
      <c r="D152" s="5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5"/>
    </row>
    <row r="153" spans="3:28" x14ac:dyDescent="0.3">
      <c r="C153" s="5"/>
      <c r="D153" s="5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5"/>
    </row>
    <row r="154" spans="3:28" x14ac:dyDescent="0.3">
      <c r="C154" s="5"/>
      <c r="D154" s="5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5"/>
    </row>
    <row r="155" spans="3:28" x14ac:dyDescent="0.3">
      <c r="C155" s="5"/>
      <c r="D155" s="5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5"/>
    </row>
  </sheetData>
  <mergeCells count="13">
    <mergeCell ref="P6:R6"/>
    <mergeCell ref="S6:U6"/>
    <mergeCell ref="V6:X6"/>
    <mergeCell ref="Y6:AA6"/>
    <mergeCell ref="D1:K1"/>
    <mergeCell ref="A6:A7"/>
    <mergeCell ref="M6:O6"/>
    <mergeCell ref="D6:D7"/>
    <mergeCell ref="E6:E7"/>
    <mergeCell ref="F6:F7"/>
    <mergeCell ref="J6:K6"/>
    <mergeCell ref="H6:H7"/>
    <mergeCell ref="G6:G7"/>
  </mergeCells>
  <phoneticPr fontId="7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3</xdr:col>
                <xdr:colOff>0</xdr:colOff>
                <xdr:row>1</xdr:row>
                <xdr:rowOff>180975</xdr:rowOff>
              </from>
              <to>
                <xdr:col>3</xdr:col>
                <xdr:colOff>1085850</xdr:colOff>
                <xdr:row>3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贵州茅台</v>
      </c>
      <c r="D2" s="184" t="s">
        <v>258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600519.SH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贵州茅台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贵州茅台酒股份有限公司</v>
      </c>
      <c r="G8" s="13"/>
      <c r="H8" s="49"/>
      <c r="I8" s="53" t="s">
        <v>23</v>
      </c>
      <c r="J8" s="58">
        <f>IF([1]!s_fa_bps2(D2,J7,"Cur=CNY"),[1]!s_fa_bps2(D2,J7,"Cur=CNY"),"NA")</f>
        <v>171.68360000000001</v>
      </c>
      <c r="K8" s="58"/>
      <c r="L8" s="58">
        <f>IF([1]!s_west_medianbps($D$2,YEAR(L7),L7,180)=0,"NA",[1]!s_west_medianbps($D$2,YEAR(L7),L7,180))</f>
        <v>206.34750366210938</v>
      </c>
      <c r="M8" s="58"/>
      <c r="N8" s="58">
        <f>IF([1]!s_west_medianbps($D$2,YEAR(N7),N7,180)=0,"NA",[1]!s_west_medianbps($D$2,YEAR(N7),N7,180))</f>
        <v>246.82620239257813</v>
      </c>
      <c r="O8" s="58"/>
      <c r="P8" s="58">
        <f>IF([1]!s_west_medianbps($D$2,YEAR(P7),P7,180)=0,"NA",[1]!s_west_medianbps($D$2,YEAR(P7),P7,180))</f>
        <v>292.82720947265625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1975.06672396</v>
      </c>
      <c r="X8" s="58"/>
      <c r="Y8" s="60">
        <f>W12</f>
        <v>2156.6857160742998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白酒与葡萄酒</v>
      </c>
      <c r="G9" s="62"/>
      <c r="H9" s="49"/>
      <c r="I9" s="56" t="s">
        <v>26</v>
      </c>
      <c r="J9" s="63">
        <f>IF([1]!s_fa_eps_basic2(D2,J7,"Cur=CNY"),[1]!s_fa_eps_basic2(D2,J7,"Cur=CNY"),"NA")</f>
        <v>59.49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775.21476277800002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37.247</v>
      </c>
      <c r="M10" s="58"/>
      <c r="N10" s="58">
        <f>IF([1]!s_est_avgdps($D$2,YEAR(N7),$F$2)=0,"NA",[1]!s_est_avgdps($D$2,YEAR(N7),$F$2))</f>
        <v>43.150100000000002</v>
      </c>
      <c r="O10" s="58"/>
      <c r="P10" s="58">
        <f>IF([1]!s_est_avgdps($D$2,YEAR(P7),$F$2)=0,"NA",[1]!s_est_avgdps($D$2,YEAR(P7),$F$2))</f>
        <v>49.217100000000002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467.89599456599996</v>
      </c>
      <c r="Z10" s="58"/>
      <c r="AA10" s="60">
        <f>IFERROR(N10*$F$25/10000,"")</f>
        <v>542.05060689780009</v>
      </c>
      <c r="AB10" s="58"/>
      <c r="AC10" s="60">
        <f>IFERROR(P10*$F$25/10000,"")</f>
        <v>618.26412742380012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0.36175499999999999</v>
      </c>
      <c r="K11" s="90"/>
      <c r="L11" s="90">
        <f>IF([1]!s_est_avgroe($D$2,YEAR(L7),$F$2)/100=0,"NA",[1]!s_est_avgroe($D$2,YEAR(L7),$F$2)/100)</f>
        <v>0.33871601104736326</v>
      </c>
      <c r="M11" s="90"/>
      <c r="N11" s="90">
        <f>IF([1]!s_est_avgroe($D$2,YEAR(N7),$F$2)/100=0,"NA",[1]!s_est_avgroe($D$2,YEAR(N7),$F$2)/100)</f>
        <v>0.33055999755859378</v>
      </c>
      <c r="O11" s="90"/>
      <c r="P11" s="90">
        <f>IF([1]!s_est_avgroe($D$2,YEAR(P7),$F$2)/100=0,"NA",[1]!s_est_avgroe($D$2,YEAR(P7),$F$2)/100)</f>
        <v>0.32511299133300781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0.29416300000000001</v>
      </c>
      <c r="K12" s="79"/>
      <c r="L12" s="79">
        <f>IF([1]!s_est_avgroa($D$2,YEAR(L7),$F$2)/100=0,"NA",[1]!s_est_avgroa($D$2,YEAR(L7),$F$2)/100)</f>
        <v>0.272729</v>
      </c>
      <c r="M12" s="79"/>
      <c r="N12" s="79">
        <f>IF([1]!s_est_avgroa($D$2,YEAR(N7),$F$2)/100=0,"NA",[1]!s_est_avgroa($D$2,YEAR(N7),$F$2)/100)</f>
        <v>0.26782900000000004</v>
      </c>
      <c r="O12" s="79"/>
      <c r="P12" s="79">
        <f>IF([1]!s_est_avgroa($D$2,YEAR(P7),$F$2)/100=0,"NA",[1]!s_est_avgroa($D$2,YEAR(P7),$F$2)/100)</f>
        <v>0.258907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2156.6857160742998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1693.04</v>
      </c>
      <c r="G13" s="70"/>
      <c r="H13" s="49"/>
      <c r="I13" s="56" t="s">
        <v>154</v>
      </c>
      <c r="J13" s="63">
        <f>[1]!s_fa_ebit2(D2,J7,1,100000000)</f>
        <v>1018.8245331355</v>
      </c>
      <c r="K13" s="63"/>
      <c r="L13" s="63">
        <f>IF([1]!s_est_avgebit($D$2,YEAR(L7),L7,100000000)=0,"NA",[1]!s_est_avgebit($D$2,YEAR(L7),L7,100000000))</f>
        <v>1209.42</v>
      </c>
      <c r="M13" s="63"/>
      <c r="N13" s="63">
        <f>IF([1]!s_est_avgebit($D$2,YEAR(N7),N7,100000000)=0,"NA",[1]!s_est_avgebit($D$2,YEAR(N7),N7,100000000))</f>
        <v>1398.94714286</v>
      </c>
      <c r="O13" s="63"/>
      <c r="P13" s="63">
        <f>IF([1]!s_est_avgebit($D$2,YEAR(P7),P7,100000000)=0,"NA",[1]!s_est_avgebit($D$2,YEAR(P7),P7,100000000))</f>
        <v>1611.2616666700001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1038.1986962055</v>
      </c>
      <c r="K14" s="58"/>
      <c r="L14" s="58">
        <f>IF([1]!s_est_AVGebitda($D$2,YEAR(L7),L7,100000000)=0,"NA",[1]!s_est_AVGebitda($D$2,YEAR(L7),L7,100000000))</f>
        <v>1223.7546333299999</v>
      </c>
      <c r="M14" s="58"/>
      <c r="N14" s="58">
        <f>IF([1]!s_est_AVGebitda($D$2,YEAR(N7),N7,100000000)=0,"NA",[1]!s_est_AVGebitda($D$2,YEAR(N7),N7,100000000))</f>
        <v>1412.39985667</v>
      </c>
      <c r="O14" s="58"/>
      <c r="P14" s="58">
        <f>IF([1]!s_est_AVGebitda($D$2,YEAR(P7),P7,100000000)=0,"NA",[1]!s_est_AVGebitda($D$2,YEAR(P7),P7,100000000))</f>
        <v>1622.7916869600001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1894.4823006928</v>
      </c>
      <c r="X14" s="59"/>
      <c r="Y14" s="60">
        <f>IFERROR(W15,"")</f>
        <v>2059.2438232658997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144.76480000000001</v>
      </c>
      <c r="G15" s="70"/>
      <c r="H15" s="49"/>
      <c r="I15" s="56" t="s">
        <v>36</v>
      </c>
      <c r="J15" s="64">
        <f>[1]!S_STM07_IS(D2,"W31737944",J7,1,100000000)</f>
        <v>1476.9360499414001</v>
      </c>
      <c r="K15" s="64"/>
      <c r="L15" s="64">
        <f>IF( [1]!s_est_sales($D$2,YEAR(L7),L7,100000000)=0,"NA", [1]!s_est_sales($D$2,YEAR(L7),L7,100000000))</f>
        <v>1752.1635526299997</v>
      </c>
      <c r="M15" s="64"/>
      <c r="N15" s="64">
        <f>IF( [1]!s_est_sales($D$2,YEAR(N7),N7,100000000)=0,"NA", [1]!s_est_sales($D$2,YEAR(N7),N7,100000000))</f>
        <v>2018.1465508799999</v>
      </c>
      <c r="O15" s="64"/>
      <c r="P15" s="64">
        <f>IF( [1]!s_est_sales($D$2,YEAR(P7),P7,100000000)=0,"NA", [1]!s_est_sales($D$2,YEAR(P7),P7,100000000))</f>
        <v>2306.9291653099999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2059.2438232658997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1897</v>
      </c>
      <c r="G16" s="49"/>
      <c r="H16" s="49"/>
      <c r="I16" s="53" t="s">
        <v>150</v>
      </c>
      <c r="J16" s="59">
        <f>[1]!S_STM07_IS(D2,"W38046687",J7,1,100000000)</f>
        <v>1036.6255368980999</v>
      </c>
      <c r="K16" s="59"/>
      <c r="L16" s="59">
        <f>IF( [1]!s_est_avgebt($D$2,YEAR(L7),L7,100000000)=0,"NA", [1]!s_est_avgebt($D$2,YEAR(L7),L7,100000000))</f>
        <v>1221.96682364</v>
      </c>
      <c r="M16" s="59"/>
      <c r="N16" s="59">
        <f>IF( [1]!s_est_avgebt($D$2,YEAR(N7),N7,100000000)=0,"NA", [1]!s_est_avgebt($D$2,YEAR(N7),N7,100000000))</f>
        <v>1416.4789509100001</v>
      </c>
      <c r="O16" s="59"/>
      <c r="P16" s="59">
        <f>IF( [1]!s_est_avgebt($D$2,YEAR(P7),P7,100000000)=0,"NA", [1]!s_est_avgebt($D$2,YEAR(P7),P7,100000000))</f>
        <v>1625.0582468099999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105.815</v>
      </c>
      <c r="G17" s="70"/>
      <c r="H17" s="49"/>
      <c r="I17" s="56" t="s">
        <v>148</v>
      </c>
      <c r="J17" s="64">
        <f>[1]!S_STM07_IS(D2,"W37790734",J7,1,100000000)</f>
        <v>775.21476277800002</v>
      </c>
      <c r="K17" s="64"/>
      <c r="L17" s="64">
        <f>IF( [1]!s_est_netprofit($D$2,YEAR(L7),L7,100000000)=0,"NA", [1]!s_est_netprofit($D$2,YEAR(L7),L7,100000000))</f>
        <v>878.50154912000005</v>
      </c>
      <c r="M17" s="64"/>
      <c r="N17" s="64">
        <f>IF( [1]!s_est_netprofit($D$2,YEAR(N7),N7,100000000)=0,"NA", [1]!s_est_netprofit($D$2,YEAR(N7),N7,100000000))</f>
        <v>1019.61842456</v>
      </c>
      <c r="O17" s="64"/>
      <c r="P17" s="64">
        <f>IF( [1]!s_est_netprofit($D$2,YEAR(P7),P7,100000000)=0,"NA", [1]!s_est_netprofit($D$2,YEAR(P7),P7,100000000))</f>
        <v>1172.1809571399999</v>
      </c>
      <c r="Q17" s="64"/>
      <c r="R17" s="64"/>
      <c r="S17" s="54"/>
      <c r="T17" s="56" t="s">
        <v>147</v>
      </c>
      <c r="U17" s="20"/>
      <c r="V17" s="20"/>
      <c r="W17" s="65">
        <f>IFERROR(AC27,"NA")</f>
        <v>2543.6480499525001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1577</v>
      </c>
      <c r="G18" s="49"/>
      <c r="H18" s="49"/>
      <c r="I18" s="76" t="s">
        <v>42</v>
      </c>
      <c r="J18" s="77">
        <f>[1]!S_STM07_IS(D2,"W39201613",J7,1,100000000)</f>
        <v>1037.0865520838001</v>
      </c>
      <c r="K18" s="77"/>
      <c r="L18" s="77">
        <f>IF( [1]!s_est_avgoperatingprofit($D$2,YEAR(L7),L7,100000000)=0,"NA", [1]!s_est_avgoperatingprofit($D$2,YEAR(L7),L7,100000000))</f>
        <v>1221.62496545</v>
      </c>
      <c r="M18" s="77"/>
      <c r="N18" s="77">
        <f>IF( [1]!s_est_avgoperatingprofit($D$2,YEAR(N7),N7,100000000)=0,"NA", [1]!s_est_avgoperatingprofit($D$2,YEAR(N7),N7,100000000))</f>
        <v>1416.9668290899999</v>
      </c>
      <c r="O18" s="77"/>
      <c r="P18" s="77">
        <f>IF( [1]!s_est_avgoperatingprofit($D$2,YEAR(P7),P7,100000000)=0,"NA", [1]!s_est_avgoperatingprofit($D$2,YEAR(P7),P7,100000000))</f>
        <v>1625.71940208</v>
      </c>
      <c r="Q18" s="77"/>
      <c r="R18" s="77"/>
      <c r="S18" s="54"/>
      <c r="T18" s="53" t="s">
        <v>145</v>
      </c>
      <c r="U18" s="13"/>
      <c r="V18" s="13"/>
      <c r="W18" s="60">
        <f>IFERROR(AE27,"NA")</f>
        <v>2726.9966009225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1.0735827520608749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22.308223659513782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0.37524743993208098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0.93644343083028803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0.39214388577922543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5655025.636260001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28.46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9.86</v>
      </c>
      <c r="K24" s="63"/>
      <c r="L24" s="63">
        <f>IFERROR(ROUND($F$13/HLOOKUP(DATE(LEFT(L22,4),12,31),$I$7:$P$18,2,0),2),"  NA")</f>
        <v>8.1999999999999993</v>
      </c>
      <c r="M24" s="63"/>
      <c r="N24" s="63">
        <f>IFERROR(ROUND($F$13/HLOOKUP(DATE(LEFT(N22,4),12,31),$I$7:$P$18,2,0),2),"  NA")</f>
        <v>6.86</v>
      </c>
      <c r="O24" s="63"/>
      <c r="P24" s="63">
        <f>IFERROR(ROUND($F$13/HLOOKUP(DATE(LEFT(P22,4),12,31),$I$7:$P$18,2,0),2),"  NA")</f>
        <v>5.78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125619.78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2.2000070878419885E-2</v>
      </c>
      <c r="M25" s="177"/>
      <c r="N25" s="177">
        <f>IFERROR(HLOOKUP(DATE(LEFT(N22,4),12,31),$I$7:$P$18,4,0)/$F$13,"NA")</f>
        <v>2.548675754855172E-2</v>
      </c>
      <c r="O25" s="58"/>
      <c r="P25" s="177">
        <f>IFERROR(HLOOKUP(DATE(LEFT(P22,4),12,31),$I$7:$P$18,4,0)/$F$13,"NA")</f>
        <v>2.9070252327174789E-2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0.36175499999999999</v>
      </c>
      <c r="K26" s="90"/>
      <c r="L26" s="90">
        <f>IFERROR(HLOOKUP(DATE(LEFT(L22,4),12,31),$I$7:$P$18,5,0),"NA")</f>
        <v>0.33871601104736326</v>
      </c>
      <c r="M26" s="90"/>
      <c r="N26" s="90">
        <f>IFERROR(HLOOKUP(DATE(LEFT(N22,4),12,31),$I$7:$P$18,5,0),"NA")</f>
        <v>0.33055999755859378</v>
      </c>
      <c r="O26" s="90"/>
      <c r="P26" s="90">
        <f>IFERROR(HLOOKUP(DATE(LEFT(P22,4),12,31),$I$7:$P$18,5,0),"NA")</f>
        <v>0.32511299133300781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0.29416300000000001</v>
      </c>
      <c r="K27" s="79"/>
      <c r="L27" s="79">
        <f>IFERROR(HLOOKUP(DATE(LEFT(L22,4),12,31),$I$7:$P$18,6,0),"NA")</f>
        <v>0.272729</v>
      </c>
      <c r="M27" s="79"/>
      <c r="N27" s="79">
        <f>IFERROR(HLOOKUP(DATE(LEFT(N22,4),12,31),$I$7:$P$18,6,0),"NA")</f>
        <v>0.26782900000000004</v>
      </c>
      <c r="O27" s="79"/>
      <c r="P27" s="79">
        <f>IFERROR(HLOOKUP(DATE(LEFT(P22,4),12,31),$I$7:$P$18,6,0),"NA")</f>
        <v>0.258907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1830.4237204250001</v>
      </c>
      <c r="X27" s="63"/>
      <c r="Y27" s="65">
        <f>[1]!S_STM07_BS($D$2,"W34853906",Y25,1,100000000)</f>
        <v>2133.9581052745998</v>
      </c>
      <c r="Z27" s="63"/>
      <c r="AA27" s="65">
        <f>[1]!S_STM07_BS($D$2,"W34853906",AA25,1,100000000)</f>
        <v>2551.6819515990001</v>
      </c>
      <c r="AB27" s="63"/>
      <c r="AC27" s="65">
        <f>[1]!S_STM07_BS($D$2,"W34853906",AC25,1,100000000)</f>
        <v>2543.6480499525001</v>
      </c>
      <c r="AD27" s="63"/>
      <c r="AE27" s="65">
        <f>[1]!S_STM07_BS($D$2,"W34853906",AE25,1,100000000)</f>
        <v>2726.9966009225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1018.82</v>
      </c>
      <c r="K28" s="64"/>
      <c r="L28" s="64">
        <f>IFERROR(ROUND(HLOOKUP(DATE(LEFT(L22,4),12,31),$I$7:$P$18,7,0),2),"NA")</f>
        <v>1209.42</v>
      </c>
      <c r="M28" s="64"/>
      <c r="N28" s="64">
        <f>IFERROR(ROUND(HLOOKUP(DATE(LEFT(N22,4),12,31),$I$7:$P$18,7,0),2),"NA")</f>
        <v>1398.95</v>
      </c>
      <c r="O28" s="64"/>
      <c r="P28" s="64">
        <f>IFERROR(ROUND(HLOOKUP(DATE(LEFT(P22,4),12,31),$I$7:$P$18,7,0),2),"NA")</f>
        <v>1611.26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151.44182726190002</v>
      </c>
      <c r="X28" s="58"/>
      <c r="Y28" s="60">
        <f>[1]!S_STM07_BS($D$2,"W33507207",Y25,1,100000000)</f>
        <v>162.2508284729</v>
      </c>
      <c r="Z28" s="58"/>
      <c r="AA28" s="60">
        <f>[1]!S_STM07_BS($D$2,"W33507207",AA25,1,100000000)</f>
        <v>174.7217318285</v>
      </c>
      <c r="AB28" s="58"/>
      <c r="AC28" s="60">
        <f>[1]!S_STM07_BS($D$2,"W33507207",AC25,1,100000000)</f>
        <v>197.4262254786</v>
      </c>
      <c r="AD28" s="58"/>
      <c r="AE28" s="60">
        <f>[1]!S_STM07_BS($D$2,"W33507207",AE25,1,100000000)</f>
        <v>199.09280655970002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1038.2</v>
      </c>
      <c r="K29" s="59"/>
      <c r="L29" s="59">
        <f>IFERROR(ROUND(HLOOKUP(DATE(LEFT(L22,4),12,31),$I$7:$P$18,8,0),2),"NA")</f>
        <v>1223.75</v>
      </c>
      <c r="M29" s="59"/>
      <c r="N29" s="59">
        <f>IFERROR(ROUND(HLOOKUP(DATE(LEFT(N22,4),12,31),$I$7:$P$18,8,0),2),"NA")</f>
        <v>1412.4</v>
      </c>
      <c r="O29" s="59"/>
      <c r="P29" s="59">
        <f>IFERROR(ROUND(HLOOKUP(DATE(LEFT(P22,4),12,31),$I$7:$P$18,8,0),2),"NA")</f>
        <v>1622.79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53.128426491000006</v>
      </c>
      <c r="X29" s="63"/>
      <c r="Y29" s="65">
        <f>[1]!S_STMNOTE_AssetDetail($D$2,"W32371214",Y25,100000000)</f>
        <v>55.123353843100006</v>
      </c>
      <c r="Z29" s="63"/>
      <c r="AA29" s="65">
        <f>[1]!S_STMNOTE_AssetDetail($D$2,"W32371214",AA25,100000000)</f>
        <v>70.276071516100004</v>
      </c>
      <c r="AB29" s="63"/>
      <c r="AC29" s="65">
        <f>[1]!S_STMNOTE_AssetDetail($D$2,"W32371214",AC25,100000000)</f>
        <v>80.584423267200009</v>
      </c>
      <c r="AD29" s="63"/>
      <c r="AE29" s="65">
        <f>[1]!S_STMNOTE_AssetDetail($D$2,"W32371214",AE25,100000000)</f>
        <v>97.441892808399999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1476.94</v>
      </c>
      <c r="K30" s="64"/>
      <c r="L30" s="64">
        <f>IFERROR(ROUND(HLOOKUP(DATE(LEFT(L22,4),12,31),$I$7:$P$18,9,0),2),"NA")</f>
        <v>1752.16</v>
      </c>
      <c r="M30" s="64"/>
      <c r="N30" s="64">
        <f>IFERROR(ROUND(HLOOKUP(DATE(LEFT(N22,4),12,31),$I$7:$P$18,9,0),2),"NA")</f>
        <v>2018.15</v>
      </c>
      <c r="O30" s="64"/>
      <c r="P30" s="64">
        <f>IFERROR(ROUND(HLOOKUP(DATE(LEFT(P22,4),12,31),$I$7:$P$18,9,0),2),"NA")</f>
        <v>2306.9299999999998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1360.1034987511</v>
      </c>
      <c r="X30" s="58"/>
      <c r="Y30" s="60">
        <f>[1]!S_STM07_BS($D$2,"W34656681",Y25,1,100000000)</f>
        <v>1613.2273508756</v>
      </c>
      <c r="Z30" s="58"/>
      <c r="AA30" s="60">
        <f>[1]!S_STM07_BS($D$2,"W34656681",AA25,1,100000000)</f>
        <v>1895.3936879729001</v>
      </c>
      <c r="AB30" s="58"/>
      <c r="AC30" s="60">
        <f>[1]!S_STM07_BS($D$2,"W34656681",AC25,1,100000000)</f>
        <v>1975.06672396</v>
      </c>
      <c r="AD30" s="58"/>
      <c r="AE30" s="60">
        <f>[1]!S_STM07_BS($D$2,"W34656681",AE25,1,100000000)</f>
        <v>2156.6857160742998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1036.6300000000001</v>
      </c>
      <c r="K31" s="59"/>
      <c r="L31" s="59">
        <f>IFERROR(ROUND(HLOOKUP(DATE(LEFT(L22,4),12,31),$I$7:$P$18,10,0),2),"NA")</f>
        <v>1221.97</v>
      </c>
      <c r="M31" s="59"/>
      <c r="N31" s="59">
        <f>IFERROR(ROUND(HLOOKUP(DATE(LEFT(N22,4),12,31),$I$7:$P$18,10,0),2),"NA")</f>
        <v>1416.48</v>
      </c>
      <c r="O31" s="59"/>
      <c r="P31" s="59">
        <f>IFERROR(ROUND(HLOOKUP(DATE(LEFT(P22,4),12,31),$I$7:$P$18,10,0),2),"NA")</f>
        <v>1625.06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125619.78</v>
      </c>
      <c r="G32" s="70"/>
      <c r="H32" s="49"/>
      <c r="I32" s="56" t="s">
        <v>112</v>
      </c>
      <c r="J32" s="64">
        <f>IFERROR(ROUND(HLOOKUP(DATE(LEFT(J22,4),12,31),$I$7:$P$18,11,0),2),"NA")</f>
        <v>775.21</v>
      </c>
      <c r="K32" s="64"/>
      <c r="L32" s="64">
        <f>IFERROR(ROUND(HLOOKUP(DATE(LEFT(L22,4),12,31),$I$7:$P$18,11,0),2),"NA")</f>
        <v>878.5</v>
      </c>
      <c r="M32" s="64"/>
      <c r="N32" s="64">
        <f>IFERROR(ROUND(HLOOKUP(DATE(LEFT(N22,4),12,31),$I$7:$P$18,11,0),2),"NA")</f>
        <v>1019.62</v>
      </c>
      <c r="O32" s="64"/>
      <c r="P32" s="64">
        <f>IFERROR(ROUND(HLOOKUP(DATE(LEFT(P22,4),12,31),$I$7:$P$18,11,0),2),"NA")</f>
        <v>1172.18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888.54337488759995</v>
      </c>
      <c r="X32" s="59"/>
      <c r="Y32" s="60">
        <f>[1]!S_STM07_IS($D$2,"W33865145",Y25,1,100000000)</f>
        <v>979.93240501210005</v>
      </c>
      <c r="Z32" s="59"/>
      <c r="AA32" s="60">
        <f>[1]!S_STM07_IS($D$2,"W33865145",AA25,1,100000000)</f>
        <v>1094.6427856389</v>
      </c>
      <c r="AB32" s="59"/>
      <c r="AC32" s="60">
        <f>[1]!S_STM07_IS($D$2,"W33865145",AC25,1,100000000)</f>
        <v>1275.5395935597001</v>
      </c>
      <c r="AD32" s="59"/>
      <c r="AE32" s="60">
        <f>[1]!S_STM07_IS($D$2,"W33865145",AE25,1,100000000)</f>
        <v>1505.6033031645002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21267.931233120002</v>
      </c>
      <c r="G33" s="49"/>
      <c r="H33" s="49"/>
      <c r="I33" s="76" t="s">
        <v>109</v>
      </c>
      <c r="J33" s="77">
        <f>IFERROR(ROUND(HLOOKUP(DATE(LEFT(J22,4),12,31),$I$7:$P$18,12,0),2),"NA")</f>
        <v>1037.0899999999999</v>
      </c>
      <c r="K33" s="77"/>
      <c r="L33" s="77">
        <f>IFERROR(ROUND(HLOOKUP(DATE(LEFT(L22,4),12,31),$I$7:$P$18,12,0),2),"NA")</f>
        <v>1221.6199999999999</v>
      </c>
      <c r="M33" s="77"/>
      <c r="N33" s="77">
        <f>IFERROR(ROUND(HLOOKUP(DATE(LEFT(N22,4),12,31),$I$7:$P$18,12,0),2),"NA")</f>
        <v>1416.97</v>
      </c>
      <c r="O33" s="77"/>
      <c r="P33" s="77">
        <f>IFERROR(ROUND(HLOOKUP(DATE(LEFT(P22,4),12,31),$I$7:$P$18,12,0),2),"NA")</f>
        <v>1625.72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298.17566523170001</v>
      </c>
      <c r="X33" s="64"/>
      <c r="Y33" s="65">
        <f>[1]!S_STM07_IS($D$2,"W32436009",Y25,1,100000000)</f>
        <v>313.76502397410002</v>
      </c>
      <c r="Z33" s="64"/>
      <c r="AA33" s="65">
        <f>[1]!S_STM07_IS($D$2,"W32436009",AA25,1,100000000)</f>
        <v>347.89924908660004</v>
      </c>
      <c r="AB33" s="64"/>
      <c r="AC33" s="65">
        <f>[1]!S_STM07_IS($D$2,"W32436009",AC25,1,100000000)</f>
        <v>397.62996163099996</v>
      </c>
      <c r="AD33" s="64"/>
      <c r="AE33" s="65">
        <f>[1]!S_STM07_IS($D$2,"W32436009",AE25,1,100000000)</f>
        <v>469.23018175279998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21267.931233120002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412.06471014430002</v>
      </c>
      <c r="X34" s="59"/>
      <c r="Y34" s="60">
        <f>[1]!S_STM07_IS($D$2,"W30028333",Y25,1,100000000)</f>
        <v>466.9728542981</v>
      </c>
      <c r="Z34" s="59"/>
      <c r="AA34" s="60">
        <f>[1]!S_STM07_IS($D$2,"W30028333",AA25,1,100000000)</f>
        <v>524.60144378159998</v>
      </c>
      <c r="AB34" s="59"/>
      <c r="AC34" s="60">
        <f>[1]!S_STM07_IS($D$2,"W30028333",AC25,1,100000000)</f>
        <v>627.16443738269993</v>
      </c>
      <c r="AD34" s="59"/>
      <c r="AE34" s="60">
        <f>[1]!S_STM07_IS($D$2,"W30028333",AE25,1,100000000)</f>
        <v>747.34071550750002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21391.513073354701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108.2714</v>
      </c>
      <c r="X36" s="54"/>
      <c r="Y36" s="58">
        <f>[1]!s_fa_bps2($D$2,Y25,"")</f>
        <v>128.42140000000001</v>
      </c>
      <c r="Z36" s="54"/>
      <c r="AA36" s="58">
        <f>[1]!s_fa_bps2($D$2,AA25,"")</f>
        <v>150.88339999999999</v>
      </c>
      <c r="AB36" s="54"/>
      <c r="AC36" s="58">
        <f>[1]!s_fa_bps2($D$2,AC25,"")</f>
        <v>157.22579999999999</v>
      </c>
      <c r="AD36" s="54"/>
      <c r="AE36" s="58">
        <f>[1]!s_fa_bps2($D$2,AE25,"")</f>
        <v>171.68360000000001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32.799999999999997</v>
      </c>
      <c r="X37" s="57"/>
      <c r="Y37" s="63">
        <f>[1]!s_fa_eps_basic2($D$2,Y25,"")</f>
        <v>37.17</v>
      </c>
      <c r="Z37" s="57"/>
      <c r="AA37" s="63">
        <f>[1]!s_fa_eps_basic2($D$2,AA25,"")</f>
        <v>41.76</v>
      </c>
      <c r="AB37" s="57"/>
      <c r="AC37" s="63">
        <f>[1]!s_fa_eps_basic2($D$2,AC25,"")</f>
        <v>49.93</v>
      </c>
      <c r="AD37" s="57"/>
      <c r="AE37" s="63">
        <f>[1]!s_fa_eps_basic2($D$2,AE25,"")</f>
        <v>59.49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0.19903324568833614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17.024999999999999</v>
      </c>
      <c r="X38" s="58"/>
      <c r="Y38" s="58">
        <f>[1]!s_div_cashbeforetax($D$2,Y25)</f>
        <v>19.292999999999999</v>
      </c>
      <c r="Z38" s="58"/>
      <c r="AA38" s="58">
        <f>[1]!s_div_cashbeforetax($D$2,AA25)</f>
        <v>21.675000000000001</v>
      </c>
      <c r="AB38" s="58"/>
      <c r="AC38" s="58">
        <f>[1]!s_div_cashbeforetax($D$2,AC25)</f>
        <v>25.911000000000001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0.16894884030795287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51.9%</v>
      </c>
      <c r="X39" s="82"/>
      <c r="Y39" s="93" t="str">
        <f>IFERROR(ROUND(Y38/Y37*100,1)&amp;"%","NA")</f>
        <v>51.9%</v>
      </c>
      <c r="Z39" s="82"/>
      <c r="AA39" s="93" t="str">
        <f>IFERROR(ROUND(AA38/AA37*100,1)&amp;"%","NA")</f>
        <v>51.9%</v>
      </c>
      <c r="AB39" s="82"/>
      <c r="AC39" s="93" t="str">
        <f>IFERROR(ROUND(AC38/AC37*100,1)&amp;"%","NA")</f>
        <v>51.9%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>
        <f>IFERROR(POWER(N14/J14,1/2)-1,"")</f>
        <v>0.16637604849002763</v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0.14685317171930756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600519.SH</v>
      </c>
      <c r="U43" s="101" t="str">
        <f>[1]!S_Info_Name(T43)</f>
        <v>贵州茅台</v>
      </c>
      <c r="V43" s="65">
        <f>[1]!s_share_issuing_mkt(T43,W43,10000)</f>
        <v>125619.78</v>
      </c>
      <c r="W43" s="102" t="str">
        <f>[1]!lastradeday_s(T43,F2)</f>
        <v>2024-04-25</v>
      </c>
      <c r="X43" s="102"/>
      <c r="Y43" s="71">
        <f>[1]!S_DQ_CLOSE(T43,W43,1)</f>
        <v>1693.04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21267.931233120002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>
        <f>IFERROR(POWER(N13/J13,1/2)-1,"")</f>
        <v>0.17179315223671376</v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>
        <f>IFERROR([1]!s_info_hsharecode(T43),"")</f>
        <v>0</v>
      </c>
      <c r="U44" s="103">
        <f>[1]!HKS_INFO_NAME(T44)</f>
        <v>0</v>
      </c>
      <c r="V44" s="60">
        <f>[1]!s_share_issuing_mkt(T44,W44,10000)</f>
        <v>0</v>
      </c>
      <c r="W44" s="104">
        <f>[1]!lastradeday_s(T44,F2)</f>
        <v>0</v>
      </c>
      <c r="X44" s="104"/>
      <c r="Y44" s="73">
        <f>[1]!S_DQ_CLOSE(T44,W44,1)</f>
        <v>0</v>
      </c>
      <c r="Z44" s="73"/>
      <c r="AA44" s="73">
        <f>[1]!hks_info_tradecur(T44)</f>
        <v>0</v>
      </c>
      <c r="AB44" s="73"/>
      <c r="AC44" s="73">
        <f>IF([1]!hks_info_tradecur(T44)="CNY",1,[1]!S_DQ_CLOSE([1]!hks_info_tradecur(T44)&amp;"CNY.EX",W44,1))</f>
        <v>0</v>
      </c>
      <c r="AD44" s="73"/>
      <c r="AE44" s="92">
        <f>V44*Y44*AC44/10000</f>
        <v>0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0.16888649357655128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125619.78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21267.931233120002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浦发银行</v>
      </c>
      <c r="D2" s="184" t="s">
        <v>257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600000.SH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浦发银行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上海浦东发展银行股份有限公司</v>
      </c>
      <c r="G8" s="13"/>
      <c r="H8" s="49"/>
      <c r="I8" s="53" t="s">
        <v>23</v>
      </c>
      <c r="J8" s="58" t="str">
        <f>IF([1]!s_fa_bps2(D2,J7,"Cur=CNY"),[1]!s_fa_bps2(D2,J7,"Cur=CNY"),"NA")</f>
        <v>NA</v>
      </c>
      <c r="K8" s="58"/>
      <c r="L8" s="58">
        <f>IF([1]!s_west_medianbps($D$2,YEAR(L7),L7,180)=0,"NA",[1]!s_west_medianbps($D$2,YEAR(L7),L7,180))</f>
        <v>21.979999542236328</v>
      </c>
      <c r="M8" s="58"/>
      <c r="N8" s="58">
        <f>IF([1]!s_west_medianbps($D$2,YEAR(N7),N7,180)=0,"NA",[1]!s_west_medianbps($D$2,YEAR(N7),N7,180))</f>
        <v>23.084999084472656</v>
      </c>
      <c r="O8" s="58"/>
      <c r="P8" s="58" t="str">
        <f>IF([1]!s_west_medianbps($D$2,YEAR(P7),P7,180)=0,"NA",[1]!s_west_medianbps($D$2,YEAR(P7),P7,180))</f>
        <v>NA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6978.72</v>
      </c>
      <c r="X8" s="58"/>
      <c r="Y8" s="60">
        <f>W12</f>
        <v>0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1.07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0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0.25</v>
      </c>
      <c r="M10" s="58"/>
      <c r="N10" s="58">
        <f>IF([1]!s_est_avgdps($D$2,YEAR(N7),$F$2)=0,"NA",[1]!s_est_avgdps($D$2,YEAR(N7),$F$2))</f>
        <v>0.27500000000000002</v>
      </c>
      <c r="O10" s="58"/>
      <c r="P10" s="58" t="str">
        <f>IF([1]!s_est_avgdps($D$2,YEAR(P7),$F$2)=0,"NA",[1]!s_est_avgdps($D$2,YEAR(P7),$F$2))</f>
        <v>NA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73.38044305999999</v>
      </c>
      <c r="Z10" s="58"/>
      <c r="AA10" s="60">
        <f>IFERROR(N10*$F$25/10000,"")</f>
        <v>80.718487366000005</v>
      </c>
      <c r="AB10" s="58"/>
      <c r="AC10" s="60" t="str">
        <f>IFERROR(P10*$F$25/10000,"")</f>
        <v/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 t="str">
        <f>IF([1]!s_fa_roe(D2,J7)/100,[1]!s_fa_roe(D2,J7)/100,"NA")</f>
        <v>NA</v>
      </c>
      <c r="K11" s="90"/>
      <c r="L11" s="90">
        <f>IF([1]!s_est_avgroe($D$2,YEAR(L7),$F$2)/100=0,"NA",[1]!s_est_avgroe($D$2,YEAR(L7),$F$2)/100)</f>
        <v>5.3299999237060545E-2</v>
      </c>
      <c r="M11" s="90"/>
      <c r="N11" s="90">
        <f>IF([1]!s_est_avgroe($D$2,YEAR(N7),$F$2)/100=0,"NA",[1]!s_est_avgroe($D$2,YEAR(N7),$F$2)/100)</f>
        <v>5.510000228881836E-2</v>
      </c>
      <c r="O11" s="90"/>
      <c r="P11" s="90" t="str">
        <f>IF([1]!s_est_avgroe($D$2,YEAR(P7),$F$2)/100=0,"NA",[1]!s_est_avgroe($D$2,YEAR(P7),$F$2)/100)</f>
        <v>NA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0</v>
      </c>
      <c r="K12" s="79"/>
      <c r="L12" s="79">
        <f>IF([1]!s_est_avgroa($D$2,YEAR(L7),$F$2)/100=0,"NA",[1]!s_est_avgroa($D$2,YEAR(L7),$F$2)/100)</f>
        <v>4.4000000000000003E-3</v>
      </c>
      <c r="M12" s="79"/>
      <c r="N12" s="79">
        <f>IF([1]!s_est_avgroa($D$2,YEAR(N7),$F$2)/100=0,"NA",[1]!s_est_avgroa($D$2,YEAR(N7),$F$2)/100)</f>
        <v>4.3499999999999997E-3</v>
      </c>
      <c r="O12" s="79"/>
      <c r="P12" s="79" t="str">
        <f>IF([1]!s_est_avgroa($D$2,YEAR(P7),$F$2)/100=0,"NA",[1]!s_est_avgroa($D$2,YEAR(P7),$F$2)/100)</f>
        <v>NA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0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7.41</v>
      </c>
      <c r="G13" s="70"/>
      <c r="H13" s="49"/>
      <c r="I13" s="56" t="s">
        <v>154</v>
      </c>
      <c r="J13" s="63">
        <f>[1]!s_fa_ebit2(D2,J7,1,100000000)</f>
        <v>0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0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6787.56</v>
      </c>
      <c r="X14" s="59"/>
      <c r="Y14" s="60">
        <f>IFERROR(W15,"")</f>
        <v>0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2467.6934000000001</v>
      </c>
      <c r="G15" s="70"/>
      <c r="H15" s="49"/>
      <c r="I15" s="56" t="s">
        <v>36</v>
      </c>
      <c r="J15" s="64">
        <f>[1]!S_STM07_IS(D2,"W31737944",J7,1,100000000)</f>
        <v>1734.34</v>
      </c>
      <c r="K15" s="64"/>
      <c r="L15" s="64">
        <f>IF( [1]!s_est_sales($D$2,YEAR(L7),L7,100000000)=0,"NA", [1]!s_est_sales($D$2,YEAR(L7),L7,100000000))</f>
        <v>1685.81</v>
      </c>
      <c r="M15" s="64"/>
      <c r="N15" s="64">
        <f>IF( [1]!s_est_sales($D$2,YEAR(N7),N7,100000000)=0,"NA", [1]!s_est_sales($D$2,YEAR(N7),N7,100000000))</f>
        <v>1733.425</v>
      </c>
      <c r="O15" s="64"/>
      <c r="P15" s="64" t="str">
        <f>IF( [1]!s_est_sales($D$2,YEAR(P7),P7,100000000)=0,"NA", [1]!s_est_sales($D$2,YEAR(P7),P7,100000000))</f>
        <v>NA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0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8.07</v>
      </c>
      <c r="G16" s="49"/>
      <c r="H16" s="49"/>
      <c r="I16" s="53" t="s">
        <v>150</v>
      </c>
      <c r="J16" s="59">
        <f>[1]!S_STM07_IS(D2,"W38046687",J7,1,100000000)</f>
        <v>406.92</v>
      </c>
      <c r="K16" s="59"/>
      <c r="L16" s="59">
        <f>IF( [1]!s_est_avgebt($D$2,YEAR(L7),L7,100000000)=0,"NA", [1]!s_est_avgebt($D$2,YEAR(L7),L7,100000000))</f>
        <v>436.92</v>
      </c>
      <c r="M16" s="59"/>
      <c r="N16" s="59">
        <f>IF( [1]!s_est_avgebt($D$2,YEAR(N7),N7,100000000)=0,"NA", [1]!s_est_avgebt($D$2,YEAR(N7),N7,100000000))</f>
        <v>473.22</v>
      </c>
      <c r="O16" s="59"/>
      <c r="P16" s="59" t="str">
        <f>IF( [1]!s_est_avgebt($D$2,YEAR(P7),P7,100000000)=0,"NA", [1]!s_est_avgebt($D$2,YEAR(P7),P7,100000000))</f>
        <v>NA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0.46312500000000001</v>
      </c>
      <c r="G17" s="70"/>
      <c r="H17" s="49"/>
      <c r="I17" s="56" t="s">
        <v>148</v>
      </c>
      <c r="J17" s="64">
        <f>[1]!S_STM07_IS(D2,"W37790734",J7,1,100000000)</f>
        <v>0</v>
      </c>
      <c r="K17" s="64"/>
      <c r="L17" s="64">
        <f>IF( [1]!s_est_netprofit($D$2,YEAR(L7),L7,100000000)=0,"NA", [1]!s_est_netprofit($D$2,YEAR(L7),L7,100000000))</f>
        <v>370.42</v>
      </c>
      <c r="M17" s="64"/>
      <c r="N17" s="64">
        <f>IF( [1]!s_est_netprofit($D$2,YEAR(N7),N7,100000000)=0,"NA", [1]!s_est_netprofit($D$2,YEAR(N7),N7,100000000))</f>
        <v>399.375</v>
      </c>
      <c r="O17" s="64"/>
      <c r="P17" s="64" t="str">
        <f>IF( [1]!s_est_netprofit($D$2,YEAR(P7),P7,100000000)=0,"NA", [1]!s_est_netprofit($D$2,YEAR(P7),P7,100000000))</f>
        <v>NA</v>
      </c>
      <c r="Q17" s="64"/>
      <c r="R17" s="64"/>
      <c r="S17" s="54"/>
      <c r="T17" s="56" t="s">
        <v>147</v>
      </c>
      <c r="U17" s="20"/>
      <c r="V17" s="20"/>
      <c r="W17" s="65">
        <f>IFERROR(AC27,"NA")</f>
        <v>87046.51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6.5</v>
      </c>
      <c r="G18" s="49"/>
      <c r="H18" s="49"/>
      <c r="I18" s="76" t="s">
        <v>42</v>
      </c>
      <c r="J18" s="77">
        <f>[1]!S_STM07_IS(D2,"W39201613",J7,1,100000000)</f>
        <v>407.36</v>
      </c>
      <c r="K18" s="77"/>
      <c r="L18" s="77" t="str">
        <f>IF( [1]!s_est_avgoperatingprofit($D$2,YEAR(L7),L7,100000000)=0,"NA", [1]!s_est_avgoperatingprofit($D$2,YEAR(L7),L7,100000000))</f>
        <v>NA</v>
      </c>
      <c r="M18" s="77"/>
      <c r="N18" s="77" t="str">
        <f>IF( [1]!s_est_avgoperatingprofit($D$2,YEAR(N7),N7,100000000)=0,"NA", [1]!s_est_avgoperatingprofit($D$2,YEAR(N7),N7,100000000))</f>
        <v>NA</v>
      </c>
      <c r="O18" s="77"/>
      <c r="P18" s="77" t="str">
        <f>IF( [1]!s_est_avgoperatingprofit($D$2,YEAR(P7),P7,100000000)=0,"NA", [1]!s_est_avgoperatingprofit($D$2,YEAR(P7),P7,100000000))</f>
        <v>NA</v>
      </c>
      <c r="Q18" s="77"/>
      <c r="R18" s="77"/>
      <c r="S18" s="54"/>
      <c r="T18" s="53" t="s">
        <v>145</v>
      </c>
      <c r="U18" s="13"/>
      <c r="V18" s="13"/>
      <c r="W18" s="60">
        <f>IFERROR(AE27,"NA")</f>
        <v>90072.47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1.1400000000000001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14.926631122412315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0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0.66832097744242924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0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939269.62054399983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6.93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 t="str">
        <f>IFERROR(ROUND($F$13/HLOOKUP(DATE(LEFT(J22,4),12,31),$I$7:$P$18,2,0),2),"  NA")</f>
        <v xml:space="preserve">  NA</v>
      </c>
      <c r="K24" s="63"/>
      <c r="L24" s="63">
        <f>IFERROR(ROUND($F$13/HLOOKUP(DATE(LEFT(L22,4),12,31),$I$7:$P$18,2,0),2),"  NA")</f>
        <v>0.34</v>
      </c>
      <c r="M24" s="63"/>
      <c r="N24" s="63">
        <f>IFERROR(ROUND($F$13/HLOOKUP(DATE(LEFT(N22,4),12,31),$I$7:$P$18,2,0),2),"  NA")</f>
        <v>0.32</v>
      </c>
      <c r="O24" s="63"/>
      <c r="P24" s="63" t="str">
        <f>IFERROR(ROUND($F$13/HLOOKUP(DATE(LEFT(P22,4),12,31),$I$7:$P$18,2,0),2),"  NA")</f>
        <v xml:space="preserve">  NA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2935217.7223999999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3.3738191632928474E-2</v>
      </c>
      <c r="M25" s="177"/>
      <c r="N25" s="177">
        <f>IFERROR(HLOOKUP(DATE(LEFT(N22,4),12,31),$I$7:$P$18,4,0)/$F$13,"NA")</f>
        <v>3.7112010796221326E-2</v>
      </c>
      <c r="O25" s="58"/>
      <c r="P25" s="177" t="str">
        <f>IFERROR(HLOOKUP(DATE(LEFT(P22,4),12,31),$I$7:$P$18,4,0)/$F$13,"NA")</f>
        <v>NA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 t="str">
        <f>IFERROR(HLOOKUP(DATE(LEFT(J22,4),12,31),$I$7:$P$18,5,0),"NA")</f>
        <v>NA</v>
      </c>
      <c r="K26" s="90"/>
      <c r="L26" s="90">
        <f>IFERROR(HLOOKUP(DATE(LEFT(L22,4),12,31),$I$7:$P$18,5,0),"NA")</f>
        <v>5.3299999237060545E-2</v>
      </c>
      <c r="M26" s="90"/>
      <c r="N26" s="90">
        <f>IFERROR(HLOOKUP(DATE(LEFT(N22,4),12,31),$I$7:$P$18,5,0),"NA")</f>
        <v>5.510000228881836E-2</v>
      </c>
      <c r="O26" s="90"/>
      <c r="P26" s="90" t="str">
        <f>IFERROR(HLOOKUP(DATE(LEFT(P22,4),12,31),$I$7:$P$18,5,0),"NA")</f>
        <v>NA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0</v>
      </c>
      <c r="K27" s="79"/>
      <c r="L27" s="79">
        <f>IFERROR(HLOOKUP(DATE(LEFT(L22,4),12,31),$I$7:$P$18,6,0),"NA")</f>
        <v>4.4000000000000003E-3</v>
      </c>
      <c r="M27" s="79"/>
      <c r="N27" s="79">
        <f>IFERROR(HLOOKUP(DATE(LEFT(N22,4),12,31),$I$7:$P$18,6,0),"NA")</f>
        <v>4.3499999999999997E-3</v>
      </c>
      <c r="O27" s="79"/>
      <c r="P27" s="79" t="str">
        <f>IFERROR(HLOOKUP(DATE(LEFT(P22,4),12,31),$I$7:$P$18,6,0),"NA")</f>
        <v>NA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70059.289999999994</v>
      </c>
      <c r="X27" s="63"/>
      <c r="Y27" s="65">
        <f>[1]!S_STM07_BS($D$2,"W34853906",Y25,1,100000000)</f>
        <v>79502.179999999993</v>
      </c>
      <c r="Z27" s="63"/>
      <c r="AA27" s="65">
        <f>[1]!S_STM07_BS($D$2,"W34853906",AA25,1,100000000)</f>
        <v>81367.570000000007</v>
      </c>
      <c r="AB27" s="63"/>
      <c r="AC27" s="65">
        <f>[1]!S_STM07_BS($D$2,"W34853906",AC25,1,100000000)</f>
        <v>87046.51</v>
      </c>
      <c r="AD27" s="63"/>
      <c r="AE27" s="65">
        <f>[1]!S_STM07_BS($D$2,"W34853906",AE25,1,100000000)</f>
        <v>90072.47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0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303.83</v>
      </c>
      <c r="X28" s="58"/>
      <c r="Y28" s="60">
        <f>[1]!S_STM07_BS($D$2,"W33507207",Y25,1,100000000)</f>
        <v>323.64</v>
      </c>
      <c r="Z28" s="58"/>
      <c r="AA28" s="60">
        <f>[1]!S_STM07_BS($D$2,"W33507207",AA25,1,100000000)</f>
        <v>387.08</v>
      </c>
      <c r="AB28" s="58"/>
      <c r="AC28" s="60">
        <f>[1]!S_STM07_BS($D$2,"W33507207",AC25,1,100000000)</f>
        <v>371.57</v>
      </c>
      <c r="AD28" s="58"/>
      <c r="AE28" s="60">
        <f>[1]!S_STM07_BS($D$2,"W33507207",AE25,1,100000000)</f>
        <v>0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0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146.97999999999999</v>
      </c>
      <c r="X29" s="63"/>
      <c r="Y29" s="65">
        <f>[1]!S_STMNOTE_AssetDetail($D$2,"W32371214",Y25,100000000)</f>
        <v>161.22</v>
      </c>
      <c r="Z29" s="63"/>
      <c r="AA29" s="65">
        <f>[1]!S_STMNOTE_AssetDetail($D$2,"W32371214",AA25,100000000)</f>
        <v>176.62</v>
      </c>
      <c r="AB29" s="63"/>
      <c r="AC29" s="65">
        <f>[1]!S_STMNOTE_AssetDetail($D$2,"W32371214",AC25,100000000)</f>
        <v>191.16</v>
      </c>
      <c r="AD29" s="63"/>
      <c r="AE29" s="65">
        <f>[1]!S_STMNOTE_AssetDetail($D$2,"W32371214",AE25,100000000)</f>
        <v>0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1734.34</v>
      </c>
      <c r="K30" s="64"/>
      <c r="L30" s="64">
        <f>IFERROR(ROUND(HLOOKUP(DATE(LEFT(L22,4),12,31),$I$7:$P$18,9,0),2),"NA")</f>
        <v>1685.81</v>
      </c>
      <c r="M30" s="64"/>
      <c r="N30" s="64">
        <f>IFERROR(ROUND(HLOOKUP(DATE(LEFT(N22,4),12,31),$I$7:$P$18,9,0),2),"NA")</f>
        <v>1733.43</v>
      </c>
      <c r="O30" s="64"/>
      <c r="P30" s="64" t="str">
        <f>IFERROR(ROUND(HLOOKUP(DATE(LEFT(P22,4),12,31),$I$7:$P$18,9,0),2),"NA")</f>
        <v>NA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5538.61</v>
      </c>
      <c r="X30" s="58"/>
      <c r="Y30" s="60">
        <f>[1]!S_STM07_BS($D$2,"W34656681",Y25,1,100000000)</f>
        <v>6381.97</v>
      </c>
      <c r="Z30" s="58"/>
      <c r="AA30" s="60">
        <f>[1]!S_STM07_BS($D$2,"W34656681",AA25,1,100000000)</f>
        <v>6700.07</v>
      </c>
      <c r="AB30" s="58"/>
      <c r="AC30" s="60">
        <f>[1]!S_STM07_BS($D$2,"W34656681",AC25,1,100000000)</f>
        <v>6978.72</v>
      </c>
      <c r="AD30" s="58"/>
      <c r="AE30" s="60">
        <f>[1]!S_STM07_BS($D$2,"W34656681",AE25,1,100000000)</f>
        <v>0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406.92</v>
      </c>
      <c r="K31" s="59"/>
      <c r="L31" s="59">
        <f>IFERROR(ROUND(HLOOKUP(DATE(LEFT(L22,4),12,31),$I$7:$P$18,10,0),2),"NA")</f>
        <v>436.92</v>
      </c>
      <c r="M31" s="59"/>
      <c r="N31" s="59">
        <f>IFERROR(ROUND(HLOOKUP(DATE(LEFT(N22,4),12,31),$I$7:$P$18,10,0),2),"NA")</f>
        <v>473.22</v>
      </c>
      <c r="O31" s="59"/>
      <c r="P31" s="59" t="str">
        <f>IFERROR(ROUND(HLOOKUP(DATE(LEFT(P22,4),12,31),$I$7:$P$18,10,0),2),"NA")</f>
        <v>NA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2935217.7223999999</v>
      </c>
      <c r="G32" s="70"/>
      <c r="H32" s="49"/>
      <c r="I32" s="56" t="s">
        <v>112</v>
      </c>
      <c r="J32" s="64">
        <f>IFERROR(ROUND(HLOOKUP(DATE(LEFT(J22,4),12,31),$I$7:$P$18,11,0),2),"NA")</f>
        <v>0</v>
      </c>
      <c r="K32" s="64"/>
      <c r="L32" s="64">
        <f>IFERROR(ROUND(HLOOKUP(DATE(LEFT(L22,4),12,31),$I$7:$P$18,11,0),2),"NA")</f>
        <v>370.42</v>
      </c>
      <c r="M32" s="64"/>
      <c r="N32" s="64">
        <f>IFERROR(ROUND(HLOOKUP(DATE(LEFT(N22,4),12,31),$I$7:$P$18,11,0),2),"NA")</f>
        <v>399.38</v>
      </c>
      <c r="O32" s="64"/>
      <c r="P32" s="64" t="str">
        <f>IFERROR(ROUND(HLOOKUP(DATE(LEFT(P22,4),12,31),$I$7:$P$18,11,0),2),"NA")</f>
        <v>NA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1906.88</v>
      </c>
      <c r="X32" s="59"/>
      <c r="Y32" s="60">
        <f>[1]!S_STM07_IS($D$2,"W33865145",Y25,1,100000000)</f>
        <v>1963.84</v>
      </c>
      <c r="Z32" s="59"/>
      <c r="AA32" s="60">
        <f>[1]!S_STM07_IS($D$2,"W33865145",AA25,1,100000000)</f>
        <v>1909.82</v>
      </c>
      <c r="AB32" s="59"/>
      <c r="AC32" s="60">
        <f>[1]!S_STM07_IS($D$2,"W33865145",AC25,1,100000000)</f>
        <v>1886.22</v>
      </c>
      <c r="AD32" s="59"/>
      <c r="AE32" s="60">
        <f>[1]!S_STM07_IS($D$2,"W33865145",AE25,1,100000000)</f>
        <v>1734.34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2174.9963322983999</v>
      </c>
      <c r="G33" s="49"/>
      <c r="H33" s="49"/>
      <c r="I33" s="76" t="s">
        <v>109</v>
      </c>
      <c r="J33" s="77">
        <f>IFERROR(ROUND(HLOOKUP(DATE(LEFT(J22,4),12,31),$I$7:$P$18,12,0),2),"NA")</f>
        <v>407.36</v>
      </c>
      <c r="K33" s="77"/>
      <c r="L33" s="77" t="str">
        <f>IFERROR(ROUND(HLOOKUP(DATE(LEFT(L22,4),12,31),$I$7:$P$18,12,0),2),"NA")</f>
        <v>NA</v>
      </c>
      <c r="M33" s="77"/>
      <c r="N33" s="77" t="str">
        <f>IFERROR(ROUND(HLOOKUP(DATE(LEFT(N22,4),12,31),$I$7:$P$18,12,0),2),"NA")</f>
        <v>NA</v>
      </c>
      <c r="O33" s="77"/>
      <c r="P33" s="77" t="str">
        <f>IFERROR(ROUND(HLOOKUP(DATE(LEFT(P22,4),12,31),$I$7:$P$18,12,0),2),"NA")</f>
        <v>NA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1208.24</v>
      </c>
      <c r="X33" s="64"/>
      <c r="Y33" s="65">
        <f>[1]!S_STM07_IS($D$2,"W32436009",Y25,1,100000000)</f>
        <v>1296.48</v>
      </c>
      <c r="Z33" s="64"/>
      <c r="AA33" s="65">
        <f>[1]!S_STM07_IS($D$2,"W32436009",AA25,1,100000000)</f>
        <v>1317.77</v>
      </c>
      <c r="AB33" s="64"/>
      <c r="AC33" s="65">
        <f>[1]!S_STM07_IS($D$2,"W32436009",AC25,1,100000000)</f>
        <v>1323.49</v>
      </c>
      <c r="AD33" s="64"/>
      <c r="AE33" s="65">
        <f>[1]!S_STM07_IS($D$2,"W32436009",AE25,1,100000000)</f>
        <v>0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2174.9963322983999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589.11</v>
      </c>
      <c r="X34" s="59"/>
      <c r="Y34" s="60">
        <f>[1]!S_STM07_IS($D$2,"W30028333",Y25,1,100000000)</f>
        <v>583.25</v>
      </c>
      <c r="Z34" s="59"/>
      <c r="AA34" s="60">
        <f>[1]!S_STM07_IS($D$2,"W30028333",AA25,1,100000000)</f>
        <v>530.03</v>
      </c>
      <c r="AB34" s="59"/>
      <c r="AC34" s="60">
        <f>[1]!S_STM07_IS($D$2,"W30028333",AC25,1,100000000)</f>
        <v>511.71</v>
      </c>
      <c r="AD34" s="59"/>
      <c r="AE34" s="60">
        <f>[1]!S_STM07_IS($D$2,"W30028333",AE25,1,100000000)</f>
        <v>367.02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77217.696332298394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16.733499999999999</v>
      </c>
      <c r="X36" s="54"/>
      <c r="Y36" s="58">
        <f>[1]!s_fa_bps2($D$2,Y25,"")</f>
        <v>17.903600000000001</v>
      </c>
      <c r="Z36" s="54"/>
      <c r="AA36" s="58">
        <f>[1]!s_fa_bps2($D$2,AA25,"")</f>
        <v>18.987200000000001</v>
      </c>
      <c r="AB36" s="54"/>
      <c r="AC36" s="58">
        <f>[1]!s_fa_bps2($D$2,AC25,"")</f>
        <v>19.936499999999999</v>
      </c>
      <c r="AD36" s="54"/>
      <c r="AE36" s="58">
        <f>[1]!s_fa_bps2($D$2,AE25,"")</f>
        <v>0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1.95</v>
      </c>
      <c r="X37" s="57"/>
      <c r="Y37" s="63">
        <f>[1]!s_fa_eps_basic2($D$2,Y25,"")</f>
        <v>1.88</v>
      </c>
      <c r="Z37" s="57"/>
      <c r="AA37" s="63">
        <f>[1]!s_fa_eps_basic2($D$2,AA25,"")</f>
        <v>1.62</v>
      </c>
      <c r="AB37" s="57"/>
      <c r="AC37" s="63">
        <f>[1]!s_fa_eps_basic2($D$2,AC25,"")</f>
        <v>1.56</v>
      </c>
      <c r="AD37" s="57"/>
      <c r="AE37" s="63">
        <f>[1]!s_fa_eps_basic2($D$2,AE25,"")</f>
        <v>1.07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 t="str">
        <f>IFERROR(POWER(N8/J8,1/2)-1,"")</f>
        <v/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0.6</v>
      </c>
      <c r="X38" s="58"/>
      <c r="Y38" s="58">
        <f>[1]!s_div_cashbeforetax($D$2,Y25)</f>
        <v>0.48</v>
      </c>
      <c r="Z38" s="58"/>
      <c r="AA38" s="58">
        <f>[1]!s_div_cashbeforetax($D$2,AA25)</f>
        <v>0.41</v>
      </c>
      <c r="AB38" s="58"/>
      <c r="AC38" s="58">
        <f>[1]!s_div_cashbeforetax($D$2,AC25)</f>
        <v>0.32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-2.6382390862278449E-4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30.8%</v>
      </c>
      <c r="X39" s="82"/>
      <c r="Y39" s="93" t="str">
        <f>IFERROR(ROUND(Y38/Y37*100,1)&amp;"%","NA")</f>
        <v>25.5%</v>
      </c>
      <c r="Z39" s="82"/>
      <c r="AA39" s="93" t="str">
        <f>IFERROR(ROUND(AA38/AA37*100,1)&amp;"%","NA")</f>
        <v>25.3%</v>
      </c>
      <c r="AB39" s="82"/>
      <c r="AC39" s="93" t="str">
        <f>IFERROR(ROUND(AC38/AC37*100,1)&amp;"%","NA")</f>
        <v>20.5%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 t="str">
        <f>IFERROR(POWER(N17/J17,1/2)-1,"")</f>
        <v/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600000.SH</v>
      </c>
      <c r="U43" s="101" t="str">
        <f>[1]!S_Info_Name(T43)</f>
        <v>浦发银行</v>
      </c>
      <c r="V43" s="65">
        <f>[1]!s_share_issuing_mkt(T43,W43,10000)</f>
        <v>2935217.7223999999</v>
      </c>
      <c r="W43" s="102" t="str">
        <f>[1]!lastradeday_s(T43,F2)</f>
        <v>2024-04-25</v>
      </c>
      <c r="X43" s="102"/>
      <c r="Y43" s="71">
        <f>[1]!S_DQ_CLOSE(T43,W43,1)</f>
        <v>7.41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2174.9963322983999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>
        <f>IFERROR([1]!s_info_hsharecode(T43),"")</f>
        <v>0</v>
      </c>
      <c r="U44" s="103">
        <f>[1]!HKS_INFO_NAME(T44)</f>
        <v>0</v>
      </c>
      <c r="V44" s="60">
        <f>[1]!s_share_issuing_mkt(T44,W44,10000)</f>
        <v>0</v>
      </c>
      <c r="W44" s="104">
        <f>[1]!lastradeday_s(T44,F2)</f>
        <v>0</v>
      </c>
      <c r="X44" s="104"/>
      <c r="Y44" s="73">
        <f>[1]!S_DQ_CLOSE(T44,W44,1)</f>
        <v>0</v>
      </c>
      <c r="Z44" s="73"/>
      <c r="AA44" s="73">
        <f>[1]!hks_info_tradecur(T44)</f>
        <v>0</v>
      </c>
      <c r="AB44" s="73"/>
      <c r="AC44" s="73">
        <f>IF([1]!hks_info_tradecur(T44)="CNY",1,[1]!S_DQ_CLOSE([1]!hks_info_tradecur(T44)&amp;"CNY.EX",W44,1))</f>
        <v>0</v>
      </c>
      <c r="AD44" s="73"/>
      <c r="AE44" s="92">
        <f>V44*Y44*AC44/10000</f>
        <v>0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 t="str">
        <f>IFERROR(POWER(N18/J18,1/2)-1,"")</f>
        <v/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2935217.7223999999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2174.9963322983999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建设银行</v>
      </c>
      <c r="D2" s="184" t="s">
        <v>256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601939.SH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建设银行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中国建设银行股份有限公司</v>
      </c>
      <c r="G8" s="13"/>
      <c r="H8" s="49"/>
      <c r="I8" s="53" t="s">
        <v>23</v>
      </c>
      <c r="J8" s="58">
        <f>IF([1]!s_fa_bps2(D2,J7,"Cur=CNY"),[1]!s_fa_bps2(D2,J7,"Cur=CNY"),"NA")</f>
        <v>11.8002</v>
      </c>
      <c r="K8" s="58"/>
      <c r="L8" s="58">
        <f>IF([1]!s_west_medianbps($D$2,YEAR(L7),L7,180)=0,"NA",[1]!s_west_medianbps($D$2,YEAR(L7),L7,180))</f>
        <v>12.739999771118164</v>
      </c>
      <c r="M8" s="58"/>
      <c r="N8" s="58">
        <f>IF([1]!s_west_medianbps($D$2,YEAR(N7),N7,180)=0,"NA",[1]!s_west_medianbps($D$2,YEAR(N7),N7,180))</f>
        <v>13.720000267028809</v>
      </c>
      <c r="O8" s="58"/>
      <c r="P8" s="58">
        <f>IF([1]!s_west_medianbps($D$2,YEAR(P7),P7,180)=0,"NA",[1]!s_west_medianbps($D$2,YEAR(P7),P7,180))</f>
        <v>14.739999771118164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28567.33</v>
      </c>
      <c r="X8" s="58"/>
      <c r="Y8" s="60">
        <f>W12</f>
        <v>31501.45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1.31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3324.6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0.40400000000000003</v>
      </c>
      <c r="M10" s="58"/>
      <c r="N10" s="58">
        <f>IF([1]!s_est_avgdps($D$2,YEAR(N7),$F$2)=0,"NA",[1]!s_est_avgdps($D$2,YEAR(N7),$F$2))</f>
        <v>0.41199999999999998</v>
      </c>
      <c r="O10" s="58"/>
      <c r="P10" s="58">
        <f>IF([1]!s_est_avgdps($D$2,YEAR(P7),$F$2)=0,"NA",[1]!s_est_avgdps($D$2,YEAR(P7),$F$2))</f>
        <v>0.4325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1010.0443490434401</v>
      </c>
      <c r="Z10" s="58"/>
      <c r="AA10" s="60">
        <f>IFERROR(N10*$F$25/10000,"")</f>
        <v>1030.0452272423199</v>
      </c>
      <c r="AB10" s="58"/>
      <c r="AC10" s="60">
        <f>IFERROR(P10*$F$25/10000,"")</f>
        <v>1081.29747762695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0.11075699999999999</v>
      </c>
      <c r="K11" s="90"/>
      <c r="L11" s="90">
        <f>IF([1]!s_est_avgroe($D$2,YEAR(L7),$F$2)/100=0,"NA",[1]!s_est_avgroe($D$2,YEAR(L7),$F$2)/100)</f>
        <v>0.10725600242614747</v>
      </c>
      <c r="M11" s="90"/>
      <c r="N11" s="90">
        <f>IF([1]!s_est_avgroe($D$2,YEAR(N7),$F$2)/100=0,"NA",[1]!s_est_avgroe($D$2,YEAR(N7),$F$2)/100)</f>
        <v>0.10148599624633789</v>
      </c>
      <c r="O11" s="90"/>
      <c r="P11" s="90">
        <f>IF([1]!s_est_avgroe($D$2,YEAR(P7),$F$2)/100=0,"NA",[1]!s_est_avgroe($D$2,YEAR(P7),$F$2)/100)</f>
        <v>9.8050003051757817E-2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9.1180000000000011E-3</v>
      </c>
      <c r="K12" s="79"/>
      <c r="L12" s="79">
        <f>IF([1]!s_est_avgroa($D$2,YEAR(L7),$F$2)/100=0,"NA",[1]!s_est_avgroa($D$2,YEAR(L7),$F$2)/100)</f>
        <v>8.2110000000000013E-3</v>
      </c>
      <c r="M12" s="79"/>
      <c r="N12" s="79">
        <f>IF([1]!s_est_avgroa($D$2,YEAR(N7),$F$2)/100=0,"NA",[1]!s_est_avgroa($D$2,YEAR(N7),$F$2)/100)</f>
        <v>7.8290000000000009E-3</v>
      </c>
      <c r="O12" s="79"/>
      <c r="P12" s="79">
        <f>IF([1]!s_est_avgroa($D$2,YEAR(P7),$F$2)/100=0,"NA",[1]!s_est_avgroa($D$2,YEAR(P7),$F$2)/100)</f>
        <v>7.3829999999999998E-3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31501.45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7.24</v>
      </c>
      <c r="G13" s="70"/>
      <c r="H13" s="49"/>
      <c r="I13" s="56" t="s">
        <v>154</v>
      </c>
      <c r="J13" s="63">
        <f>[1]!s_fa_ebit2(D2,J7,1,100000000)</f>
        <v>4143.9799999999996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4143.9799999999996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28369.120000000003</v>
      </c>
      <c r="X14" s="59"/>
      <c r="Y14" s="60">
        <f>IFERROR(W15,"")</f>
        <v>31283.65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6241.6881000000003</v>
      </c>
      <c r="G15" s="70"/>
      <c r="H15" s="49"/>
      <c r="I15" s="56" t="s">
        <v>36</v>
      </c>
      <c r="J15" s="64">
        <f>[1]!S_STM07_IS(D2,"W31737944",J7,1,100000000)</f>
        <v>7697.36</v>
      </c>
      <c r="K15" s="64"/>
      <c r="L15" s="64">
        <f>IF( [1]!s_est_sales($D$2,YEAR(L7),L7,100000000)=0,"NA", [1]!s_est_sales($D$2,YEAR(L7),L7,100000000))</f>
        <v>7732.4011111099999</v>
      </c>
      <c r="M15" s="64"/>
      <c r="N15" s="64">
        <f>IF( [1]!s_est_sales($D$2,YEAR(N7),N7,100000000)=0,"NA", [1]!s_est_sales($D$2,YEAR(N7),N7,100000000))</f>
        <v>7757.3957142899999</v>
      </c>
      <c r="O15" s="64"/>
      <c r="P15" s="64">
        <f>IF( [1]!s_est_sales($D$2,YEAR(P7),P7,100000000)=0,"NA", [1]!s_est_sales($D$2,YEAR(P7),P7,100000000))</f>
        <v>8117.3533333300002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31283.65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7.35</v>
      </c>
      <c r="G16" s="49"/>
      <c r="H16" s="49"/>
      <c r="I16" s="53" t="s">
        <v>150</v>
      </c>
      <c r="J16" s="59">
        <f>[1]!S_STM07_IS(D2,"W38046687",J7,1,100000000)</f>
        <v>3893.77</v>
      </c>
      <c r="K16" s="59"/>
      <c r="L16" s="59">
        <f>IF( [1]!s_est_avgebt($D$2,YEAR(L7),L7,100000000)=0,"NA", [1]!s_est_avgebt($D$2,YEAR(L7),L7,100000000))</f>
        <v>3953.3385714299998</v>
      </c>
      <c r="M16" s="59"/>
      <c r="N16" s="59">
        <f>IF( [1]!s_est_avgebt($D$2,YEAR(N7),N7,100000000)=0,"NA", [1]!s_est_avgebt($D$2,YEAR(N7),N7,100000000))</f>
        <v>4052.9079999999999</v>
      </c>
      <c r="O16" s="59"/>
      <c r="P16" s="59">
        <f>IF( [1]!s_est_avgebt($D$2,YEAR(P7),P7,100000000)=0,"NA", [1]!s_est_avgebt($D$2,YEAR(P7),P7,100000000))</f>
        <v>4217.3500000000004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0.45250000000000001</v>
      </c>
      <c r="G17" s="70"/>
      <c r="H17" s="49"/>
      <c r="I17" s="56" t="s">
        <v>148</v>
      </c>
      <c r="J17" s="64">
        <f>[1]!S_STM07_IS(D2,"W37790734",J7,1,100000000)</f>
        <v>3324.6</v>
      </c>
      <c r="K17" s="64"/>
      <c r="L17" s="64">
        <f>IF( [1]!s_est_netprofit($D$2,YEAR(L7),L7,100000000)=0,"NA", [1]!s_est_netprofit($D$2,YEAR(L7),L7,100000000))</f>
        <v>3369.30333333</v>
      </c>
      <c r="M17" s="64"/>
      <c r="N17" s="64">
        <f>IF( [1]!s_est_netprofit($D$2,YEAR(N7),N7,100000000)=0,"NA", [1]!s_est_netprofit($D$2,YEAR(N7),N7,100000000))</f>
        <v>3447.3328571400002</v>
      </c>
      <c r="O17" s="64"/>
      <c r="P17" s="64">
        <f>IF( [1]!s_est_netprofit($D$2,YEAR(P7),P7,100000000)=0,"NA", [1]!s_est_netprofit($D$2,YEAR(P7),P7,100000000))</f>
        <v>3585.03</v>
      </c>
      <c r="Q17" s="64"/>
      <c r="R17" s="64"/>
      <c r="S17" s="54"/>
      <c r="T17" s="56" t="s">
        <v>147</v>
      </c>
      <c r="U17" s="20"/>
      <c r="V17" s="20"/>
      <c r="W17" s="65">
        <f>IFERROR(AC27,"NA")</f>
        <v>346019.17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5.88</v>
      </c>
      <c r="G18" s="49"/>
      <c r="H18" s="49"/>
      <c r="I18" s="76" t="s">
        <v>42</v>
      </c>
      <c r="J18" s="77">
        <f>[1]!S_STM07_IS(D2,"W39201613",J7,1,100000000)</f>
        <v>3892.27</v>
      </c>
      <c r="K18" s="77"/>
      <c r="L18" s="77">
        <f>IF( [1]!s_est_avgoperatingprofit($D$2,YEAR(L7),L7,100000000)=0,"NA", [1]!s_est_avgoperatingprofit($D$2,YEAR(L7),L7,100000000))</f>
        <v>3942.71</v>
      </c>
      <c r="M18" s="77"/>
      <c r="N18" s="77">
        <f>IF( [1]!s_est_avgoperatingprofit($D$2,YEAR(N7),N7,100000000)=0,"NA", [1]!s_est_avgoperatingprofit($D$2,YEAR(N7),N7,100000000))</f>
        <v>4013.01</v>
      </c>
      <c r="O18" s="77"/>
      <c r="P18" s="77">
        <f>IF( [1]!s_est_avgoperatingprofit($D$2,YEAR(P7),P7,100000000)=0,"NA", [1]!s_est_avgoperatingprofit($D$2,YEAR(P7),P7,100000000))</f>
        <v>4109.88</v>
      </c>
      <c r="Q18" s="77"/>
      <c r="R18" s="77"/>
      <c r="S18" s="54"/>
      <c r="T18" s="53" t="s">
        <v>145</v>
      </c>
      <c r="U18" s="13"/>
      <c r="V18" s="13"/>
      <c r="W18" s="60">
        <f>IFERROR(AE27,"NA")</f>
        <v>383248.26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1.2312925170068028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18.652276655237738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0.11069310879961271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0.40153110465128955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0.11146506691977588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373193.28087340004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5.53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0.61</v>
      </c>
      <c r="K24" s="63"/>
      <c r="L24" s="63">
        <f>IFERROR(ROUND($F$13/HLOOKUP(DATE(LEFT(L22,4),12,31),$I$7:$P$18,2,0),2),"  NA")</f>
        <v>0.56999999999999995</v>
      </c>
      <c r="M24" s="63"/>
      <c r="N24" s="63">
        <f>IFERROR(ROUND($F$13/HLOOKUP(DATE(LEFT(N22,4),12,31),$I$7:$P$18,2,0),2),"  NA")</f>
        <v>0.53</v>
      </c>
      <c r="O24" s="63"/>
      <c r="P24" s="63">
        <f>IFERROR(ROUND($F$13/HLOOKUP(DATE(LEFT(P22,4),12,31),$I$7:$P$18,2,0),2),"  NA")</f>
        <v>0.49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25001097.748599999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5.5801104972375691E-2</v>
      </c>
      <c r="M25" s="177"/>
      <c r="N25" s="177">
        <f>IFERROR(HLOOKUP(DATE(LEFT(N22,4),12,31),$I$7:$P$18,4,0)/$F$13,"NA")</f>
        <v>5.690607734806629E-2</v>
      </c>
      <c r="O25" s="58"/>
      <c r="P25" s="177">
        <f>IFERROR(HLOOKUP(DATE(LEFT(P22,4),12,31),$I$7:$P$18,4,0)/$F$13,"NA")</f>
        <v>5.9737569060773481E-2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0.11075699999999999</v>
      </c>
      <c r="K26" s="90"/>
      <c r="L26" s="90">
        <f>IFERROR(HLOOKUP(DATE(LEFT(L22,4),12,31),$I$7:$P$18,5,0),"NA")</f>
        <v>0.10725600242614747</v>
      </c>
      <c r="M26" s="90"/>
      <c r="N26" s="90">
        <f>IFERROR(HLOOKUP(DATE(LEFT(N22,4),12,31),$I$7:$P$18,5,0),"NA")</f>
        <v>0.10148599624633789</v>
      </c>
      <c r="O26" s="90"/>
      <c r="P26" s="90">
        <f>IFERROR(HLOOKUP(DATE(LEFT(P22,4),12,31),$I$7:$P$18,5,0),"NA")</f>
        <v>9.8050003051757817E-2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9.1180000000000011E-3</v>
      </c>
      <c r="K27" s="79"/>
      <c r="L27" s="79">
        <f>IFERROR(HLOOKUP(DATE(LEFT(L22,4),12,31),$I$7:$P$18,6,0),"NA")</f>
        <v>8.2110000000000013E-3</v>
      </c>
      <c r="M27" s="79"/>
      <c r="N27" s="79">
        <f>IFERROR(HLOOKUP(DATE(LEFT(N22,4),12,31),$I$7:$P$18,6,0),"NA")</f>
        <v>7.8290000000000009E-3</v>
      </c>
      <c r="O27" s="79"/>
      <c r="P27" s="79">
        <f>IFERROR(HLOOKUP(DATE(LEFT(P22,4),12,31),$I$7:$P$18,6,0),"NA")</f>
        <v>7.3829999999999998E-3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254362.61</v>
      </c>
      <c r="X27" s="63"/>
      <c r="Y27" s="65">
        <f>[1]!S_STM07_BS($D$2,"W34853906",Y25,1,100000000)</f>
        <v>281322.53999999998</v>
      </c>
      <c r="Z27" s="63"/>
      <c r="AA27" s="65">
        <f>[1]!S_STM07_BS($D$2,"W34853906",AA25,1,100000000)</f>
        <v>302539.78999999998</v>
      </c>
      <c r="AB27" s="63"/>
      <c r="AC27" s="65">
        <f>[1]!S_STM07_BS($D$2,"W34853906",AC25,1,100000000)</f>
        <v>346019.17</v>
      </c>
      <c r="AD27" s="63"/>
      <c r="AE27" s="65">
        <f>[1]!S_STM07_BS($D$2,"W34853906",AE25,1,100000000)</f>
        <v>383248.26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4143.9799999999996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1707.4</v>
      </c>
      <c r="X28" s="58"/>
      <c r="Y28" s="60">
        <f>[1]!S_STM07_BS($D$2,"W33507207",Y25,1,100000000)</f>
        <v>1725.05</v>
      </c>
      <c r="Z28" s="58"/>
      <c r="AA28" s="60">
        <f>[1]!S_STM07_BS($D$2,"W33507207",AA25,1,100000000)</f>
        <v>1683.26</v>
      </c>
      <c r="AB28" s="58"/>
      <c r="AC28" s="60">
        <f>[1]!S_STM07_BS($D$2,"W33507207",AC25,1,100000000)</f>
        <v>1570.14</v>
      </c>
      <c r="AD28" s="58"/>
      <c r="AE28" s="60">
        <f>[1]!S_STM07_BS($D$2,"W33507207",AE25,1,100000000)</f>
        <v>1599.48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4143.9799999999996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131.21</v>
      </c>
      <c r="X29" s="63"/>
      <c r="Y29" s="65">
        <f>[1]!S_STMNOTE_AssetDetail($D$2,"W32371214",Y25,100000000)</f>
        <v>149.69</v>
      </c>
      <c r="Z29" s="63"/>
      <c r="AA29" s="65">
        <f>[1]!S_STMNOTE_AssetDetail($D$2,"W32371214",AA25,100000000)</f>
        <v>172.08</v>
      </c>
      <c r="AB29" s="63"/>
      <c r="AC29" s="65">
        <f>[1]!S_STMNOTE_AssetDetail($D$2,"W32371214",AC25,100000000)</f>
        <v>198.21</v>
      </c>
      <c r="AD29" s="63"/>
      <c r="AE29" s="65">
        <f>[1]!S_STMNOTE_AssetDetail($D$2,"W32371214",AE25,100000000)</f>
        <v>217.8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7697.36</v>
      </c>
      <c r="K30" s="64"/>
      <c r="L30" s="64">
        <f>IFERROR(ROUND(HLOOKUP(DATE(LEFT(L22,4),12,31),$I$7:$P$18,9,0),2),"NA")</f>
        <v>7732.4</v>
      </c>
      <c r="M30" s="64"/>
      <c r="N30" s="64">
        <f>IFERROR(ROUND(HLOOKUP(DATE(LEFT(N22,4),12,31),$I$7:$P$18,9,0),2),"NA")</f>
        <v>7757.4</v>
      </c>
      <c r="O30" s="64"/>
      <c r="P30" s="64">
        <f>IFERROR(ROUND(HLOOKUP(DATE(LEFT(P22,4),12,31),$I$7:$P$18,9,0),2),"NA")</f>
        <v>8117.35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22162.57</v>
      </c>
      <c r="X30" s="58"/>
      <c r="Y30" s="60">
        <f>[1]!S_STM07_BS($D$2,"W34656681",Y25,1,100000000)</f>
        <v>23648.080000000002</v>
      </c>
      <c r="Z30" s="58"/>
      <c r="AA30" s="60">
        <f>[1]!S_STM07_BS($D$2,"W34656681",AA25,1,100000000)</f>
        <v>25882.31</v>
      </c>
      <c r="AB30" s="58"/>
      <c r="AC30" s="60">
        <f>[1]!S_STM07_BS($D$2,"W34656681",AC25,1,100000000)</f>
        <v>28567.33</v>
      </c>
      <c r="AD30" s="58"/>
      <c r="AE30" s="60">
        <f>[1]!S_STM07_BS($D$2,"W34656681",AE25,1,100000000)</f>
        <v>31501.45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3893.77</v>
      </c>
      <c r="K31" s="59"/>
      <c r="L31" s="59">
        <f>IFERROR(ROUND(HLOOKUP(DATE(LEFT(L22,4),12,31),$I$7:$P$18,10,0),2),"NA")</f>
        <v>3953.34</v>
      </c>
      <c r="M31" s="59"/>
      <c r="N31" s="59">
        <f>IFERROR(ROUND(HLOOKUP(DATE(LEFT(N22,4),12,31),$I$7:$P$18,10,0),2),"NA")</f>
        <v>4052.91</v>
      </c>
      <c r="O31" s="59"/>
      <c r="P31" s="59">
        <f>IFERROR(ROUND(HLOOKUP(DATE(LEFT(P22,4),12,31),$I$7:$P$18,10,0),2),"NA")</f>
        <v>4217.3500000000004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25001097.748599999</v>
      </c>
      <c r="G32" s="70"/>
      <c r="H32" s="49"/>
      <c r="I32" s="56" t="s">
        <v>112</v>
      </c>
      <c r="J32" s="64">
        <f>IFERROR(ROUND(HLOOKUP(DATE(LEFT(J22,4),12,31),$I$7:$P$18,11,0),2),"NA")</f>
        <v>3324.6</v>
      </c>
      <c r="K32" s="64"/>
      <c r="L32" s="64">
        <f>IFERROR(ROUND(HLOOKUP(DATE(LEFT(L22,4),12,31),$I$7:$P$18,11,0),2),"NA")</f>
        <v>3369.3</v>
      </c>
      <c r="M32" s="64"/>
      <c r="N32" s="64">
        <f>IFERROR(ROUND(HLOOKUP(DATE(LEFT(N22,4),12,31),$I$7:$P$18,11,0),2),"NA")</f>
        <v>3447.33</v>
      </c>
      <c r="O32" s="64"/>
      <c r="P32" s="64">
        <f>IFERROR(ROUND(HLOOKUP(DATE(LEFT(P22,4),12,31),$I$7:$P$18,11,0),2),"NA")</f>
        <v>3585.03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7056.29</v>
      </c>
      <c r="X32" s="59"/>
      <c r="Y32" s="60">
        <f>[1]!S_STM07_IS($D$2,"W33865145",Y25,1,100000000)</f>
        <v>7558.58</v>
      </c>
      <c r="Z32" s="59"/>
      <c r="AA32" s="60">
        <f>[1]!S_STM07_IS($D$2,"W33865145",AA25,1,100000000)</f>
        <v>8242.4599999999991</v>
      </c>
      <c r="AB32" s="59"/>
      <c r="AC32" s="60">
        <f>[1]!S_STM07_IS($D$2,"W33865145",AC25,1,100000000)</f>
        <v>8224.73</v>
      </c>
      <c r="AD32" s="59"/>
      <c r="AE32" s="60">
        <f>[1]!S_STM07_IS($D$2,"W33865145",AE25,1,100000000)</f>
        <v>7697.36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11580.859050751948</v>
      </c>
      <c r="G33" s="49"/>
      <c r="H33" s="49"/>
      <c r="I33" s="76" t="s">
        <v>109</v>
      </c>
      <c r="J33" s="77">
        <f>IFERROR(ROUND(HLOOKUP(DATE(LEFT(J22,4),12,31),$I$7:$P$18,12,0),2),"NA")</f>
        <v>3892.27</v>
      </c>
      <c r="K33" s="77"/>
      <c r="L33" s="77">
        <f>IFERROR(ROUND(HLOOKUP(DATE(LEFT(L22,4),12,31),$I$7:$P$18,12,0),2),"NA")</f>
        <v>3942.71</v>
      </c>
      <c r="M33" s="77"/>
      <c r="N33" s="77">
        <f>IFERROR(ROUND(HLOOKUP(DATE(LEFT(N22,4),12,31),$I$7:$P$18,12,0),2),"NA")</f>
        <v>4013.01</v>
      </c>
      <c r="O33" s="77"/>
      <c r="P33" s="77">
        <f>IFERROR(ROUND(HLOOKUP(DATE(LEFT(P22,4),12,31),$I$7:$P$18,12,0),2),"NA")</f>
        <v>4109.88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3786.75</v>
      </c>
      <c r="X33" s="64"/>
      <c r="Y33" s="65">
        <f>[1]!S_STM07_IS($D$2,"W32436009",Y25,1,100000000)</f>
        <v>4186.12</v>
      </c>
      <c r="Z33" s="64"/>
      <c r="AA33" s="65">
        <f>[1]!S_STM07_IS($D$2,"W32436009",AA25,1,100000000)</f>
        <v>4454.7</v>
      </c>
      <c r="AB33" s="64"/>
      <c r="AC33" s="65">
        <f>[1]!S_STM07_IS($D$2,"W32436009",AC25,1,100000000)</f>
        <v>4405.3</v>
      </c>
      <c r="AD33" s="64"/>
      <c r="AE33" s="65">
        <f>[1]!S_STM07_IS($D$2,"W32436009",AE25,1,100000000)</f>
        <v>3805.09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18100.794769986402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2667.33</v>
      </c>
      <c r="X34" s="59"/>
      <c r="Y34" s="60">
        <f>[1]!S_STM07_IS($D$2,"W30028333",Y25,1,100000000)</f>
        <v>2710.5</v>
      </c>
      <c r="Z34" s="59"/>
      <c r="AA34" s="60">
        <f>[1]!S_STM07_IS($D$2,"W30028333",AA25,1,100000000)</f>
        <v>3025.13</v>
      </c>
      <c r="AB34" s="59"/>
      <c r="AC34" s="60">
        <f>[1]!S_STM07_IS($D$2,"W30028333",AC25,1,100000000)</f>
        <v>3238.61</v>
      </c>
      <c r="AD34" s="59"/>
      <c r="AE34" s="60">
        <f>[1]!S_STM07_IS($D$2,"W30028333",AE25,1,100000000)</f>
        <v>3326.53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353154.32905075193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8.3862000000000005</v>
      </c>
      <c r="X36" s="54"/>
      <c r="Y36" s="58">
        <f>[1]!s_fa_bps2($D$2,Y25,"")</f>
        <v>9.0589999999999993</v>
      </c>
      <c r="Z36" s="54"/>
      <c r="AA36" s="58">
        <f>[1]!s_fa_bps2($D$2,AA25,"")</f>
        <v>9.9526000000000003</v>
      </c>
      <c r="AB36" s="54"/>
      <c r="AC36" s="58">
        <f>[1]!s_fa_bps2($D$2,AC25,"")</f>
        <v>10.8666</v>
      </c>
      <c r="AD36" s="54"/>
      <c r="AE36" s="58">
        <f>[1]!s_fa_bps2($D$2,AE25,"")</f>
        <v>11.8002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1.05</v>
      </c>
      <c r="X37" s="57"/>
      <c r="Y37" s="63">
        <f>[1]!s_fa_eps_basic2($D$2,Y25,"")</f>
        <v>1.06</v>
      </c>
      <c r="Z37" s="57"/>
      <c r="AA37" s="63">
        <f>[1]!s_fa_eps_basic2($D$2,AA25,"")</f>
        <v>1.19</v>
      </c>
      <c r="AB37" s="57"/>
      <c r="AC37" s="63">
        <f>[1]!s_fa_eps_basic2($D$2,AC25,"")</f>
        <v>1.28</v>
      </c>
      <c r="AD37" s="57"/>
      <c r="AE37" s="63">
        <f>[1]!s_fa_eps_basic2($D$2,AE25,"")</f>
        <v>1.31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7.8282050480863008E-2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0.32</v>
      </c>
      <c r="X38" s="58"/>
      <c r="Y38" s="58">
        <f>[1]!s_div_cashbeforetax($D$2,Y25)</f>
        <v>0.32599999999999996</v>
      </c>
      <c r="Z38" s="58"/>
      <c r="AA38" s="58">
        <f>[1]!s_div_cashbeforetax($D$2,AA25)</f>
        <v>0.36399999999999999</v>
      </c>
      <c r="AB38" s="58"/>
      <c r="AC38" s="58">
        <f>[1]!s_div_cashbeforetax($D$2,AC25)</f>
        <v>0.38900000000000001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3.8921855124067761E-3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30.5%</v>
      </c>
      <c r="X39" s="82"/>
      <c r="Y39" s="93" t="str">
        <f>IFERROR(ROUND(Y38/Y37*100,1)&amp;"%","NA")</f>
        <v>30.8%</v>
      </c>
      <c r="Z39" s="82"/>
      <c r="AA39" s="93" t="str">
        <f>IFERROR(ROUND(AA38/AA37*100,1)&amp;"%","NA")</f>
        <v>30.6%</v>
      </c>
      <c r="AB39" s="82"/>
      <c r="AC39" s="93" t="str">
        <f>IFERROR(ROUND(AC38/AC37*100,1)&amp;"%","NA")</f>
        <v>30.4%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1.8291008787701291E-2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601939.SH</v>
      </c>
      <c r="U43" s="101" t="str">
        <f>[1]!S_Info_Name(T43)</f>
        <v>建设银行</v>
      </c>
      <c r="V43" s="65">
        <f>[1]!s_share_issuing_mkt(T43,W43,10000)</f>
        <v>959365.76060000004</v>
      </c>
      <c r="W43" s="102" t="str">
        <f>[1]!lastradeday_s(T43,F2)</f>
        <v>2024-04-25</v>
      </c>
      <c r="X43" s="102"/>
      <c r="Y43" s="71">
        <f>[1]!S_DQ_CLOSE(T43,W43,1)</f>
        <v>7.24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694.58081067440003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 t="str">
        <f>IFERROR([1]!s_info_hsharecode(T43),"")</f>
        <v>0939.HK</v>
      </c>
      <c r="U44" s="103" t="str">
        <f>[1]!HKS_INFO_NAME(T44)</f>
        <v>建设银行</v>
      </c>
      <c r="V44" s="60">
        <f>[1]!s_share_issuing_mkt(T44,W44,10000)</f>
        <v>24041731.988000002</v>
      </c>
      <c r="W44" s="104" t="str">
        <f>[1]!lastradeday_s(T44,F2)</f>
        <v>2024-04-25</v>
      </c>
      <c r="X44" s="104"/>
      <c r="Y44" s="73">
        <f>[1]!S_DQ_CLOSE(T44,W44,1)</f>
        <v>4.99</v>
      </c>
      <c r="Z44" s="73"/>
      <c r="AA44" s="73" t="str">
        <f>[1]!hks_info_tradecur(T44)</f>
        <v>HKD</v>
      </c>
      <c r="AB44" s="73"/>
      <c r="AC44" s="73">
        <f>IF([1]!hks_info_tradecur(T44)="CNY",1,[1]!S_DQ_CLOSE([1]!hks_info_tradecur(T44)&amp;"CNY.EX",W44,1))</f>
        <v>0.90742999999999996</v>
      </c>
      <c r="AD44" s="73"/>
      <c r="AE44" s="92">
        <f>V44*Y44*AC44/10000</f>
        <v>10886.27824007755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1.539177586708429E-2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25001097.748600002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11580.859050751951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农业银行</v>
      </c>
      <c r="D2" s="184" t="s">
        <v>255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601288.SH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农业银行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中国农业银行股份有限公司</v>
      </c>
      <c r="G8" s="13"/>
      <c r="H8" s="49"/>
      <c r="I8" s="53" t="s">
        <v>23</v>
      </c>
      <c r="J8" s="58">
        <f>IF([1]!s_fa_bps2(D2,J7,"Cur=CNY"),[1]!s_fa_bps2(D2,J7,"Cur=CNY"),"NA")</f>
        <v>6.8838999999999997</v>
      </c>
      <c r="K8" s="58"/>
      <c r="L8" s="58">
        <f>IF([1]!s_west_medianbps($D$2,YEAR(L7),L7,180)=0,"NA",[1]!s_west_medianbps($D$2,YEAR(L7),L7,180))</f>
        <v>7.4401001930236816</v>
      </c>
      <c r="M8" s="58"/>
      <c r="N8" s="58">
        <f>IF([1]!s_west_medianbps($D$2,YEAR(N7),N7,180)=0,"NA",[1]!s_west_medianbps($D$2,YEAR(N7),N7,180))</f>
        <v>8.0199003219604492</v>
      </c>
      <c r="O8" s="58"/>
      <c r="P8" s="58">
        <f>IF([1]!s_west_medianbps($D$2,YEAR(P7),P7,180)=0,"NA",[1]!s_west_medianbps($D$2,YEAR(P7),P7,180))</f>
        <v>8.6099004745483398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26684.12</v>
      </c>
      <c r="X8" s="58"/>
      <c r="Y8" s="60">
        <f>W12</f>
        <v>28892.48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0.72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2698.2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0.23619999999999999</v>
      </c>
      <c r="M10" s="58"/>
      <c r="N10" s="58">
        <f>IF([1]!s_est_avgdps($D$2,YEAR(N7),$F$2)=0,"NA",[1]!s_est_avgdps($D$2,YEAR(N7),$F$2))</f>
        <v>0.2437</v>
      </c>
      <c r="O10" s="58"/>
      <c r="P10" s="58">
        <f>IF([1]!s_est_avgdps($D$2,YEAR(P7),$F$2)=0,"NA",[1]!s_est_avgdps($D$2,YEAR(P7),$F$2))</f>
        <v>0.25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826.65992600802588</v>
      </c>
      <c r="Z10" s="58"/>
      <c r="AA10" s="60">
        <f>IFERROR(N10*$F$25/10000,"")</f>
        <v>852.90865354850109</v>
      </c>
      <c r="AB10" s="58"/>
      <c r="AC10" s="60">
        <f>IFERROR(P10*$F$25/10000,"")</f>
        <v>874.95758468249994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9.6930999999999989E-2</v>
      </c>
      <c r="K11" s="90"/>
      <c r="L11" s="90">
        <f>IF([1]!s_est_avgroe($D$2,YEAR(L7),$F$2)/100=0,"NA",[1]!s_est_avgroe($D$2,YEAR(L7),$F$2)/100)</f>
        <v>0.10725000381469726</v>
      </c>
      <c r="M11" s="90"/>
      <c r="N11" s="90">
        <f>IF([1]!s_est_avgroe($D$2,YEAR(N7),$F$2)/100=0,"NA",[1]!s_est_avgroe($D$2,YEAR(N7),$F$2)/100)</f>
        <v>0.10314999580383301</v>
      </c>
      <c r="O11" s="90"/>
      <c r="P11" s="90">
        <f>IF([1]!s_est_avgroe($D$2,YEAR(P7),$F$2)/100=0,"NA",[1]!s_est_avgroe($D$2,YEAR(P7),$F$2)/100)</f>
        <v>9.9509000778198242E-2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7.3119999999999999E-3</v>
      </c>
      <c r="K12" s="79"/>
      <c r="L12" s="79">
        <f>IF([1]!s_est_avgroa($D$2,YEAR(L7),$F$2)/100=0,"NA",[1]!s_est_avgroa($D$2,YEAR(L7),$F$2)/100)</f>
        <v>6.5919999999999998E-3</v>
      </c>
      <c r="M12" s="79"/>
      <c r="N12" s="79">
        <f>IF([1]!s_est_avgroa($D$2,YEAR(N7),$F$2)/100=0,"NA",[1]!s_est_avgroa($D$2,YEAR(N7),$F$2)/100)</f>
        <v>6.1419999999999999E-3</v>
      </c>
      <c r="O12" s="79"/>
      <c r="P12" s="79">
        <f>IF([1]!s_est_avgroa($D$2,YEAR(P7),$F$2)/100=0,"NA",[1]!s_est_avgroa($D$2,YEAR(P7),$F$2)/100)</f>
        <v>5.4090000000000006E-3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28892.48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4.55</v>
      </c>
      <c r="G13" s="70"/>
      <c r="H13" s="49"/>
      <c r="I13" s="56" t="s">
        <v>154</v>
      </c>
      <c r="J13" s="63">
        <f>[1]!s_fa_ebit2(D2,J7,1,100000000)</f>
        <v>3165.65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3388.68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26201.039999999997</v>
      </c>
      <c r="X14" s="59"/>
      <c r="Y14" s="60">
        <f>IFERROR(W15,"")</f>
        <v>28375.63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30592.8148</v>
      </c>
      <c r="G15" s="70"/>
      <c r="H15" s="49"/>
      <c r="I15" s="56" t="s">
        <v>36</v>
      </c>
      <c r="J15" s="64">
        <f>[1]!S_STM07_IS(D2,"W31737944",J7,1,100000000)</f>
        <v>6948.28</v>
      </c>
      <c r="K15" s="64"/>
      <c r="L15" s="64">
        <f>IF( [1]!s_est_sales($D$2,YEAR(L7),L7,100000000)=0,"NA", [1]!s_est_sales($D$2,YEAR(L7),L7,100000000))</f>
        <v>7030.58</v>
      </c>
      <c r="M15" s="64"/>
      <c r="N15" s="64">
        <f>IF( [1]!s_est_sales($D$2,YEAR(N7),N7,100000000)=0,"NA", [1]!s_est_sales($D$2,YEAR(N7),N7,100000000))</f>
        <v>7259.7950000000001</v>
      </c>
      <c r="O15" s="64"/>
      <c r="P15" s="64">
        <f>IF( [1]!s_est_sales($D$2,YEAR(P7),P7,100000000)=0,"NA", [1]!s_est_sales($D$2,YEAR(P7),P7,100000000))</f>
        <v>7471.3490909100001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28375.63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4.55</v>
      </c>
      <c r="G16" s="49"/>
      <c r="H16" s="49"/>
      <c r="I16" s="53" t="s">
        <v>150</v>
      </c>
      <c r="J16" s="59">
        <f>[1]!S_STM07_IS(D2,"W38046687",J7,1,100000000)</f>
        <v>3074.19</v>
      </c>
      <c r="K16" s="59"/>
      <c r="L16" s="59">
        <f>IF( [1]!s_est_avgebt($D$2,YEAR(L7),L7,100000000)=0,"NA", [1]!s_est_avgebt($D$2,YEAR(L7),L7,100000000))</f>
        <v>3109.0050000000001</v>
      </c>
      <c r="M16" s="59"/>
      <c r="N16" s="59">
        <f>IF( [1]!s_est_avgebt($D$2,YEAR(N7),N7,100000000)=0,"NA", [1]!s_est_avgebt($D$2,YEAR(N7),N7,100000000))</f>
        <v>3213.8960000000002</v>
      </c>
      <c r="O16" s="59"/>
      <c r="P16" s="59">
        <f>IF( [1]!s_est_avgebt($D$2,YEAR(P7),P7,100000000)=0,"NA", [1]!s_est_avgebt($D$2,YEAR(P7),P7,100000000))</f>
        <v>3304.45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0.28437499999999999</v>
      </c>
      <c r="G17" s="70"/>
      <c r="H17" s="49"/>
      <c r="I17" s="56" t="s">
        <v>148</v>
      </c>
      <c r="J17" s="64">
        <f>[1]!S_STM07_IS(D2,"W37790734",J7,1,100000000)</f>
        <v>2698.2</v>
      </c>
      <c r="K17" s="64"/>
      <c r="L17" s="64">
        <f>IF( [1]!s_est_netprofit($D$2,YEAR(L7),L7,100000000)=0,"NA", [1]!s_est_netprofit($D$2,YEAR(L7),L7,100000000))</f>
        <v>2709.9933333299996</v>
      </c>
      <c r="M17" s="64"/>
      <c r="N17" s="64">
        <f>IF( [1]!s_est_netprofit($D$2,YEAR(N7),N7,100000000)=0,"NA", [1]!s_est_netprofit($D$2,YEAR(N7),N7,100000000))</f>
        <v>2812.1624999999999</v>
      </c>
      <c r="O17" s="64"/>
      <c r="P17" s="64">
        <f>IF( [1]!s_est_netprofit($D$2,YEAR(P7),P7,100000000)=0,"NA", [1]!s_est_netprofit($D$2,YEAR(P7),P7,100000000))</f>
        <v>2911.7527272699999</v>
      </c>
      <c r="Q17" s="64"/>
      <c r="R17" s="64"/>
      <c r="S17" s="54"/>
      <c r="T17" s="56" t="s">
        <v>147</v>
      </c>
      <c r="U17" s="20"/>
      <c r="V17" s="20"/>
      <c r="W17" s="65">
        <f>IFERROR(AC27,"NA")</f>
        <v>339275.33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3.39</v>
      </c>
      <c r="G18" s="49"/>
      <c r="H18" s="49"/>
      <c r="I18" s="76" t="s">
        <v>42</v>
      </c>
      <c r="J18" s="77">
        <f>[1]!S_STM07_IS(D2,"W39201613",J7,1,100000000)</f>
        <v>3087.93</v>
      </c>
      <c r="K18" s="77"/>
      <c r="L18" s="77">
        <f>IF( [1]!s_est_avgoperatingprofit($D$2,YEAR(L7),L7,100000000)=0,"NA", [1]!s_est_avgoperatingprofit($D$2,YEAR(L7),L7,100000000))</f>
        <v>3024.9639999999999</v>
      </c>
      <c r="M18" s="77"/>
      <c r="N18" s="77">
        <f>IF( [1]!s_est_avgoperatingprofit($D$2,YEAR(N7),N7,100000000)=0,"NA", [1]!s_est_avgoperatingprofit($D$2,YEAR(N7),N7,100000000))</f>
        <v>3125.2860000000001</v>
      </c>
      <c r="O18" s="77"/>
      <c r="P18" s="77">
        <f>IF( [1]!s_est_avgoperatingprofit($D$2,YEAR(P7),P7,100000000)=0,"NA", [1]!s_est_avgoperatingprofit($D$2,YEAR(P7),P7,100000000))</f>
        <v>3115.0075000000002</v>
      </c>
      <c r="Q18" s="77"/>
      <c r="R18" s="77"/>
      <c r="S18" s="54"/>
      <c r="T18" s="53" t="s">
        <v>145</v>
      </c>
      <c r="U18" s="13"/>
      <c r="V18" s="13"/>
      <c r="W18" s="60">
        <f>IFERROR(AE27,"NA")</f>
        <v>398729.89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1.3421828908554572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18.128341516472929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9.7098419118837778E-2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0.51702076215157622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9.887741410386526E-2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7093606.3634649413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6.32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0.66</v>
      </c>
      <c r="K24" s="63"/>
      <c r="L24" s="63">
        <f>IFERROR(ROUND($F$13/HLOOKUP(DATE(LEFT(L22,4),12,31),$I$7:$P$18,2,0),2),"  NA")</f>
        <v>0.61</v>
      </c>
      <c r="M24" s="63"/>
      <c r="N24" s="63">
        <f>IFERROR(ROUND($F$13/HLOOKUP(DATE(LEFT(N22,4),12,31),$I$7:$P$18,2,0),2),"  NA")</f>
        <v>0.56999999999999995</v>
      </c>
      <c r="O24" s="63"/>
      <c r="P24" s="63">
        <f>IFERROR(ROUND($F$13/HLOOKUP(DATE(LEFT(P22,4),12,31),$I$7:$P$18,2,0),2),"  NA")</f>
        <v>0.53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34998303.3873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5.1912087912087915E-2</v>
      </c>
      <c r="M25" s="177"/>
      <c r="N25" s="177">
        <f>IFERROR(HLOOKUP(DATE(LEFT(N22,4),12,31),$I$7:$P$18,4,0)/$F$13,"NA")</f>
        <v>5.3560439560439564E-2</v>
      </c>
      <c r="O25" s="58"/>
      <c r="P25" s="177">
        <f>IFERROR(HLOOKUP(DATE(LEFT(P22,4),12,31),$I$7:$P$18,4,0)/$F$13,"NA")</f>
        <v>5.4945054945054944E-2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9.6930999999999989E-2</v>
      </c>
      <c r="K26" s="90"/>
      <c r="L26" s="90">
        <f>IFERROR(HLOOKUP(DATE(LEFT(L22,4),12,31),$I$7:$P$18,5,0),"NA")</f>
        <v>0.10725000381469726</v>
      </c>
      <c r="M26" s="90"/>
      <c r="N26" s="90">
        <f>IFERROR(HLOOKUP(DATE(LEFT(N22,4),12,31),$I$7:$P$18,5,0),"NA")</f>
        <v>0.10314999580383301</v>
      </c>
      <c r="O26" s="90"/>
      <c r="P26" s="90">
        <f>IFERROR(HLOOKUP(DATE(LEFT(P22,4),12,31),$I$7:$P$18,5,0),"NA")</f>
        <v>9.9509000778198242E-2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7.3119999999999999E-3</v>
      </c>
      <c r="K27" s="79"/>
      <c r="L27" s="79">
        <f>IFERROR(HLOOKUP(DATE(LEFT(L22,4),12,31),$I$7:$P$18,6,0),"NA")</f>
        <v>6.5919999999999998E-3</v>
      </c>
      <c r="M27" s="79"/>
      <c r="N27" s="79">
        <f>IFERROR(HLOOKUP(DATE(LEFT(N22,4),12,31),$I$7:$P$18,6,0),"NA")</f>
        <v>6.1419999999999999E-3</v>
      </c>
      <c r="O27" s="79"/>
      <c r="P27" s="79">
        <f>IFERROR(HLOOKUP(DATE(LEFT(P22,4),12,31),$I$7:$P$18,6,0),"NA")</f>
        <v>5.4090000000000006E-3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248782.88</v>
      </c>
      <c r="X27" s="63"/>
      <c r="Y27" s="65">
        <f>[1]!S_STM07_BS($D$2,"W34853906",Y25,1,100000000)</f>
        <v>272050.46999999997</v>
      </c>
      <c r="Z27" s="63"/>
      <c r="AA27" s="65">
        <f>[1]!S_STM07_BS($D$2,"W34853906",AA25,1,100000000)</f>
        <v>290691.55</v>
      </c>
      <c r="AB27" s="63"/>
      <c r="AC27" s="65">
        <f>[1]!S_STM07_BS($D$2,"W34853906",AC25,1,100000000)</f>
        <v>339275.33</v>
      </c>
      <c r="AD27" s="63"/>
      <c r="AE27" s="65">
        <f>[1]!S_STM07_BS($D$2,"W34853906",AE25,1,100000000)</f>
        <v>398729.89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3165.65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1524.84</v>
      </c>
      <c r="X28" s="58"/>
      <c r="Y28" s="60">
        <f>[1]!S_STM07_BS($D$2,"W33507207",Y25,1,100000000)</f>
        <v>1438.39</v>
      </c>
      <c r="Z28" s="58"/>
      <c r="AA28" s="60">
        <f>[1]!S_STM07_BS($D$2,"W33507207",AA25,1,100000000)</f>
        <v>1438.17</v>
      </c>
      <c r="AB28" s="58"/>
      <c r="AC28" s="60">
        <f>[1]!S_STM07_BS($D$2,"W33507207",AC25,1,100000000)</f>
        <v>1425.42</v>
      </c>
      <c r="AD28" s="58"/>
      <c r="AE28" s="60">
        <f>[1]!S_STM07_BS($D$2,"W33507207",AE25,1,100000000)</f>
        <v>1443.87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3388.68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378.91</v>
      </c>
      <c r="X29" s="63"/>
      <c r="Y29" s="65">
        <f>[1]!S_STMNOTE_AssetDetail($D$2,"W32371214",Y25,100000000)</f>
        <v>398.14</v>
      </c>
      <c r="Z29" s="63"/>
      <c r="AA29" s="65">
        <f>[1]!S_STMNOTE_AssetDetail($D$2,"W32371214",AA25,100000000)</f>
        <v>446.72</v>
      </c>
      <c r="AB29" s="63"/>
      <c r="AC29" s="65">
        <f>[1]!S_STMNOTE_AssetDetail($D$2,"W32371214",AC25,100000000)</f>
        <v>483.08</v>
      </c>
      <c r="AD29" s="63"/>
      <c r="AE29" s="65">
        <f>[1]!S_STMNOTE_AssetDetail($D$2,"W32371214",AE25,100000000)</f>
        <v>516.85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6948.28</v>
      </c>
      <c r="K30" s="64"/>
      <c r="L30" s="64">
        <f>IFERROR(ROUND(HLOOKUP(DATE(LEFT(L22,4),12,31),$I$7:$P$18,9,0),2),"NA")</f>
        <v>7030.58</v>
      </c>
      <c r="M30" s="64"/>
      <c r="N30" s="64">
        <f>IFERROR(ROUND(HLOOKUP(DATE(LEFT(N22,4),12,31),$I$7:$P$18,9,0),2),"NA")</f>
        <v>7259.8</v>
      </c>
      <c r="O30" s="64"/>
      <c r="P30" s="64">
        <f>IFERROR(ROUND(HLOOKUP(DATE(LEFT(P22,4),12,31),$I$7:$P$18,9,0),2),"NA")</f>
        <v>7471.35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19483.55</v>
      </c>
      <c r="X30" s="58"/>
      <c r="Y30" s="60">
        <f>[1]!S_STM07_BS($D$2,"W34656681",Y25,1,100000000)</f>
        <v>22047.89</v>
      </c>
      <c r="Z30" s="58"/>
      <c r="AA30" s="60">
        <f>[1]!S_STM07_BS($D$2,"W34656681",AA25,1,100000000)</f>
        <v>24146.05</v>
      </c>
      <c r="AB30" s="58"/>
      <c r="AC30" s="60">
        <f>[1]!S_STM07_BS($D$2,"W34656681",AC25,1,100000000)</f>
        <v>26684.12</v>
      </c>
      <c r="AD30" s="58"/>
      <c r="AE30" s="60">
        <f>[1]!S_STM07_BS($D$2,"W34656681",AE25,1,100000000)</f>
        <v>28892.48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3074.19</v>
      </c>
      <c r="K31" s="59"/>
      <c r="L31" s="59">
        <f>IFERROR(ROUND(HLOOKUP(DATE(LEFT(L22,4),12,31),$I$7:$P$18,10,0),2),"NA")</f>
        <v>3109.01</v>
      </c>
      <c r="M31" s="59"/>
      <c r="N31" s="59">
        <f>IFERROR(ROUND(HLOOKUP(DATE(LEFT(N22,4),12,31),$I$7:$P$18,10,0),2),"NA")</f>
        <v>3213.9</v>
      </c>
      <c r="O31" s="59"/>
      <c r="P31" s="59">
        <f>IFERROR(ROUND(HLOOKUP(DATE(LEFT(P22,4),12,31),$I$7:$P$18,10,0),2),"NA")</f>
        <v>3304.45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34998303.3873</v>
      </c>
      <c r="G32" s="70"/>
      <c r="H32" s="49"/>
      <c r="I32" s="56" t="s">
        <v>112</v>
      </c>
      <c r="J32" s="64">
        <f>IFERROR(ROUND(HLOOKUP(DATE(LEFT(J22,4),12,31),$I$7:$P$18,11,0),2),"NA")</f>
        <v>2698.2</v>
      </c>
      <c r="K32" s="64"/>
      <c r="L32" s="64">
        <f>IFERROR(ROUND(HLOOKUP(DATE(LEFT(L22,4),12,31),$I$7:$P$18,11,0),2),"NA")</f>
        <v>2709.99</v>
      </c>
      <c r="M32" s="64"/>
      <c r="N32" s="64">
        <f>IFERROR(ROUND(HLOOKUP(DATE(LEFT(N22,4),12,31),$I$7:$P$18,11,0),2),"NA")</f>
        <v>2812.16</v>
      </c>
      <c r="O32" s="64"/>
      <c r="P32" s="64">
        <f>IFERROR(ROUND(HLOOKUP(DATE(LEFT(P22,4),12,31),$I$7:$P$18,11,0),2),"NA")</f>
        <v>2911.75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6272.68</v>
      </c>
      <c r="X32" s="59"/>
      <c r="Y32" s="60">
        <f>[1]!S_STM07_IS($D$2,"W33865145",Y25,1,100000000)</f>
        <v>6579.61</v>
      </c>
      <c r="Z32" s="59"/>
      <c r="AA32" s="60">
        <f>[1]!S_STM07_IS($D$2,"W33865145",AA25,1,100000000)</f>
        <v>7199.15</v>
      </c>
      <c r="AB32" s="59"/>
      <c r="AC32" s="60">
        <f>[1]!S_STM07_IS($D$2,"W33865145",AC25,1,100000000)</f>
        <v>7248.68</v>
      </c>
      <c r="AD32" s="59"/>
      <c r="AE32" s="60">
        <f>[1]!S_STM07_IS($D$2,"W33865145",AE25,1,100000000)</f>
        <v>6948.28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15515.824813944615</v>
      </c>
      <c r="G33" s="49"/>
      <c r="H33" s="49"/>
      <c r="I33" s="76" t="s">
        <v>109</v>
      </c>
      <c r="J33" s="77">
        <f>IFERROR(ROUND(HLOOKUP(DATE(LEFT(J22,4),12,31),$I$7:$P$18,12,0),2),"NA")</f>
        <v>3087.93</v>
      </c>
      <c r="K33" s="77"/>
      <c r="L33" s="77">
        <f>IFERROR(ROUND(HLOOKUP(DATE(LEFT(L22,4),12,31),$I$7:$P$18,12,0),2),"NA")</f>
        <v>3024.96</v>
      </c>
      <c r="M33" s="77"/>
      <c r="N33" s="77">
        <f>IFERROR(ROUND(HLOOKUP(DATE(LEFT(N22,4),12,31),$I$7:$P$18,12,0),2),"NA")</f>
        <v>3125.29</v>
      </c>
      <c r="O33" s="77"/>
      <c r="P33" s="77">
        <f>IFERROR(ROUND(HLOOKUP(DATE(LEFT(P22,4),12,31),$I$7:$P$18,12,0),2),"NA")</f>
        <v>3115.01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3609.63</v>
      </c>
      <c r="X33" s="64"/>
      <c r="Y33" s="65">
        <f>[1]!S_STM07_IS($D$2,"W32436009",Y25,1,100000000)</f>
        <v>3919.9</v>
      </c>
      <c r="Z33" s="64"/>
      <c r="AA33" s="65">
        <f>[1]!S_STM07_IS($D$2,"W32436009",AA25,1,100000000)</f>
        <v>4241.03</v>
      </c>
      <c r="AB33" s="64"/>
      <c r="AC33" s="65">
        <f>[1]!S_STM07_IS($D$2,"W32436009",AC25,1,100000000)</f>
        <v>4171.2</v>
      </c>
      <c r="AD33" s="64"/>
      <c r="AE33" s="65">
        <f>[1]!S_STM07_IS($D$2,"W32436009",AE25,1,100000000)</f>
        <v>3860.35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15924.228041221499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2120.98</v>
      </c>
      <c r="X34" s="59"/>
      <c r="Y34" s="60">
        <f>[1]!S_STM07_IS($D$2,"W30028333",Y25,1,100000000)</f>
        <v>2159.25</v>
      </c>
      <c r="Z34" s="59"/>
      <c r="AA34" s="60">
        <f>[1]!S_STM07_IS($D$2,"W30028333",AA25,1,100000000)</f>
        <v>2411.83</v>
      </c>
      <c r="AB34" s="59"/>
      <c r="AC34" s="60">
        <f>[1]!S_STM07_IS($D$2,"W30028333",AC25,1,100000000)</f>
        <v>2591.4</v>
      </c>
      <c r="AD34" s="59"/>
      <c r="AE34" s="60">
        <f>[1]!S_STM07_IS($D$2,"W30028333",AE25,1,100000000)</f>
        <v>2693.56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379214.24481394462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4.9958999999999998</v>
      </c>
      <c r="X36" s="54"/>
      <c r="Y36" s="58">
        <f>[1]!s_fa_bps2($D$2,Y25,"")</f>
        <v>5.3856999999999999</v>
      </c>
      <c r="Z36" s="54"/>
      <c r="AA36" s="58">
        <f>[1]!s_fa_bps2($D$2,AA25,"")</f>
        <v>5.8710000000000004</v>
      </c>
      <c r="AB36" s="54"/>
      <c r="AC36" s="58">
        <f>[1]!s_fa_bps2($D$2,AC25,"")</f>
        <v>6.3672000000000004</v>
      </c>
      <c r="AD36" s="54"/>
      <c r="AE36" s="58">
        <f>[1]!s_fa_bps2($D$2,AE25,"")</f>
        <v>6.8838999999999997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0.59</v>
      </c>
      <c r="X37" s="57"/>
      <c r="Y37" s="63">
        <f>[1]!s_fa_eps_basic2($D$2,Y25,"")</f>
        <v>0.59</v>
      </c>
      <c r="Z37" s="57"/>
      <c r="AA37" s="63">
        <f>[1]!s_fa_eps_basic2($D$2,AA25,"")</f>
        <v>0.65</v>
      </c>
      <c r="AB37" s="57"/>
      <c r="AC37" s="63">
        <f>[1]!s_fa_eps_basic2($D$2,AC25,"")</f>
        <v>0.69</v>
      </c>
      <c r="AD37" s="57"/>
      <c r="AE37" s="63">
        <f>[1]!s_fa_eps_basic2($D$2,AE25,"")</f>
        <v>0.72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7.9362210277887035E-2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0.18190000000000001</v>
      </c>
      <c r="X38" s="58"/>
      <c r="Y38" s="58">
        <f>[1]!s_div_cashbeforetax($D$2,Y25)</f>
        <v>0.18509999999999999</v>
      </c>
      <c r="Z38" s="58"/>
      <c r="AA38" s="58">
        <f>[1]!s_div_cashbeforetax($D$2,AA25)</f>
        <v>0.20680000000000001</v>
      </c>
      <c r="AB38" s="58"/>
      <c r="AC38" s="58">
        <f>[1]!s_div_cashbeforetax($D$2,AC25)</f>
        <v>0.22220000000000001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2.2170923876152715E-2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30.8%</v>
      </c>
      <c r="X39" s="82"/>
      <c r="Y39" s="93" t="str">
        <f>IFERROR(ROUND(Y38/Y37*100,1)&amp;"%","NA")</f>
        <v>31.4%</v>
      </c>
      <c r="Z39" s="82"/>
      <c r="AA39" s="93" t="str">
        <f>IFERROR(ROUND(AA38/AA37*100,1)&amp;"%","NA")</f>
        <v>31.8%</v>
      </c>
      <c r="AB39" s="82"/>
      <c r="AC39" s="93" t="str">
        <f>IFERROR(ROUND(AC38/AC37*100,1)&amp;"%","NA")</f>
        <v>32.2%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2.0899843762352655E-2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601288.SH</v>
      </c>
      <c r="U43" s="101" t="str">
        <f>[1]!S_Info_Name(T43)</f>
        <v>农业银行</v>
      </c>
      <c r="V43" s="65">
        <f>[1]!s_share_issuing_mkt(T43,W43,10000)</f>
        <v>31924421.0777</v>
      </c>
      <c r="W43" s="102" t="str">
        <f>[1]!lastradeday_s(T43,F2)</f>
        <v>2024-04-25</v>
      </c>
      <c r="X43" s="102"/>
      <c r="Y43" s="71">
        <f>[1]!S_DQ_CLOSE(T43,W43,1)</f>
        <v>4.55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14525.611590353501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 t="str">
        <f>IFERROR([1]!s_info_hsharecode(T43),"")</f>
        <v>1288.HK</v>
      </c>
      <c r="U44" s="103" t="str">
        <f>[1]!HKS_INFO_NAME(T44)</f>
        <v>农业银行</v>
      </c>
      <c r="V44" s="60">
        <f>[1]!s_share_issuing_mkt(T44,W44,10000)</f>
        <v>3073882.3095999998</v>
      </c>
      <c r="W44" s="104" t="str">
        <f>[1]!lastradeday_s(T44,F2)</f>
        <v>2024-04-25</v>
      </c>
      <c r="X44" s="104"/>
      <c r="Y44" s="73">
        <f>[1]!S_DQ_CLOSE(T44,W44,1)</f>
        <v>3.55</v>
      </c>
      <c r="Z44" s="73"/>
      <c r="AA44" s="73" t="str">
        <f>[1]!hks_info_tradecur(T44)</f>
        <v>HKD</v>
      </c>
      <c r="AB44" s="73"/>
      <c r="AC44" s="73">
        <f>IF([1]!hks_info_tradecur(T44)="CNY",1,[1]!S_DQ_CLOSE([1]!hks_info_tradecur(T44)&amp;"CNY.EX",W44,1))</f>
        <v>0.90742999999999996</v>
      </c>
      <c r="AD44" s="73"/>
      <c r="AE44" s="92">
        <f>V44*Y44*AC44/10000</f>
        <v>990.21322359111628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6.0305286064878949E-3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34998303.3873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15515.824813944617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中国银行</v>
      </c>
      <c r="D2" s="184" t="s">
        <v>254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601988.SH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中国银行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中国银行股份有限公司</v>
      </c>
      <c r="G8" s="13"/>
      <c r="H8" s="49"/>
      <c r="I8" s="53" t="s">
        <v>23</v>
      </c>
      <c r="J8" s="58">
        <f>IF([1]!s_fa_bps2(D2,J7,"Cur=CNY"),[1]!s_fa_bps2(D2,J7,"Cur=CNY"),"NA")</f>
        <v>7.5750999999999999</v>
      </c>
      <c r="K8" s="58"/>
      <c r="L8" s="58">
        <f>IF([1]!s_west_medianbps($D$2,YEAR(L7),L7,180)=0,"NA",[1]!s_west_medianbps($D$2,YEAR(L7),L7,180))</f>
        <v>8.1106996536254883</v>
      </c>
      <c r="M8" s="58"/>
      <c r="N8" s="58">
        <f>IF([1]!s_west_medianbps($D$2,YEAR(N7),N7,180)=0,"NA",[1]!s_west_medianbps($D$2,YEAR(N7),N7,180))</f>
        <v>8.7151002883911133</v>
      </c>
      <c r="O8" s="58"/>
      <c r="P8" s="58">
        <f>IF([1]!s_west_medianbps($D$2,YEAR(P7),P7,180)=0,"NA",[1]!s_west_medianbps($D$2,YEAR(P7),P7,180))</f>
        <v>9.2629003524780273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24275.89</v>
      </c>
      <c r="X8" s="58"/>
      <c r="Y8" s="60">
        <f>W12</f>
        <v>26295.1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0.74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2463.71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0.23849999999999999</v>
      </c>
      <c r="M10" s="58"/>
      <c r="N10" s="58">
        <f>IF([1]!s_est_avgdps($D$2,YEAR(N7),$F$2)=0,"NA",[1]!s_est_avgdps($D$2,YEAR(N7),$F$2))</f>
        <v>0.2472</v>
      </c>
      <c r="O10" s="58"/>
      <c r="P10" s="58">
        <f>IF([1]!s_est_avgdps($D$2,YEAR(P7),$F$2)=0,"NA",[1]!s_est_avgdps($D$2,YEAR(P7),$F$2))</f>
        <v>0.255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702.11488210978496</v>
      </c>
      <c r="Z10" s="58"/>
      <c r="AA10" s="60">
        <f>IFERROR(N10*$F$25/10000,"")</f>
        <v>727.72661994775194</v>
      </c>
      <c r="AB10" s="58"/>
      <c r="AC10" s="60">
        <f>IFERROR(P10*$F$25/10000,"")</f>
        <v>750.68886766455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9.1714000000000004E-2</v>
      </c>
      <c r="K11" s="90"/>
      <c r="L11" s="90">
        <f>IF([1]!s_est_avgroe($D$2,YEAR(L7),$F$2)/100=0,"NA",[1]!s_est_avgroe($D$2,YEAR(L7),$F$2)/100)</f>
        <v>9.9689998626708978E-2</v>
      </c>
      <c r="M11" s="90"/>
      <c r="N11" s="90">
        <f>IF([1]!s_est_avgroe($D$2,YEAR(N7),$F$2)/100=0,"NA",[1]!s_est_avgroe($D$2,YEAR(N7),$F$2)/100)</f>
        <v>9.5419998168945308E-2</v>
      </c>
      <c r="O11" s="90"/>
      <c r="P11" s="90">
        <f>IF([1]!s_est_avgroe($D$2,YEAR(P7),$F$2)/100=0,"NA",[1]!s_est_avgroe($D$2,YEAR(P7),$F$2)/100)</f>
        <v>9.2962999343872074E-2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8.0320000000000009E-3</v>
      </c>
      <c r="K12" s="79"/>
      <c r="L12" s="79">
        <f>IF([1]!s_est_avgroa($D$2,YEAR(L7),$F$2)/100=0,"NA",[1]!s_est_avgroa($D$2,YEAR(L7),$F$2)/100)</f>
        <v>7.2499999999999995E-3</v>
      </c>
      <c r="M12" s="79"/>
      <c r="N12" s="79">
        <f>IF([1]!s_est_avgroa($D$2,YEAR(N7),$F$2)/100=0,"NA",[1]!s_est_avgroa($D$2,YEAR(N7),$F$2)/100)</f>
        <v>6.8200000000000005E-3</v>
      </c>
      <c r="O12" s="79"/>
      <c r="P12" s="79">
        <f>IF([1]!s_est_avgroa($D$2,YEAR(P7),$F$2)/100=0,"NA",[1]!s_est_avgroa($D$2,YEAR(P7),$F$2)/100)</f>
        <v>6.3499999999999997E-3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26295.1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4.6500000000000004</v>
      </c>
      <c r="G13" s="70"/>
      <c r="H13" s="49"/>
      <c r="I13" s="56" t="s">
        <v>154</v>
      </c>
      <c r="J13" s="63">
        <f>[1]!s_fa_ebit2(D2,J7,1,100000000)</f>
        <v>3327.94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3632.1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23671.489999999998</v>
      </c>
      <c r="X14" s="59"/>
      <c r="Y14" s="60">
        <f>IFERROR(W15,"")</f>
        <v>26167.53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16471.882399999999</v>
      </c>
      <c r="G15" s="70"/>
      <c r="H15" s="49"/>
      <c r="I15" s="56" t="s">
        <v>36</v>
      </c>
      <c r="J15" s="64">
        <f>[1]!S_STM07_IS(D2,"W31737944",J7,1,100000000)</f>
        <v>6228.89</v>
      </c>
      <c r="K15" s="64"/>
      <c r="L15" s="64">
        <f>IF( [1]!s_est_sales($D$2,YEAR(L7),L7,100000000)=0,"NA", [1]!s_est_sales($D$2,YEAR(L7),L7,100000000))</f>
        <v>6397.2809999999999</v>
      </c>
      <c r="M15" s="64"/>
      <c r="N15" s="64">
        <f>IF( [1]!s_est_sales($D$2,YEAR(N7),N7,100000000)=0,"NA", [1]!s_est_sales($D$2,YEAR(N7),N7,100000000))</f>
        <v>6655.3860000000004</v>
      </c>
      <c r="O15" s="64"/>
      <c r="P15" s="64">
        <f>IF( [1]!s_est_sales($D$2,YEAR(P7),P7,100000000)=0,"NA", [1]!s_est_sales($D$2,YEAR(P7),P7,100000000))</f>
        <v>6751.7062500000002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26167.53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4.72</v>
      </c>
      <c r="G16" s="49"/>
      <c r="H16" s="49"/>
      <c r="I16" s="53" t="s">
        <v>150</v>
      </c>
      <c r="J16" s="59">
        <f>[1]!S_STM07_IS(D2,"W38046687",J7,1,100000000)</f>
        <v>2956.08</v>
      </c>
      <c r="K16" s="59"/>
      <c r="L16" s="59">
        <f>IF( [1]!s_est_avgebt($D$2,YEAR(L7),L7,100000000)=0,"NA", [1]!s_est_avgebt($D$2,YEAR(L7),L7,100000000))</f>
        <v>3031.8712500000001</v>
      </c>
      <c r="M16" s="59"/>
      <c r="N16" s="59">
        <f>IF( [1]!s_est_avgebt($D$2,YEAR(N7),N7,100000000)=0,"NA", [1]!s_est_avgebt($D$2,YEAR(N7),N7,100000000))</f>
        <v>3134.67875</v>
      </c>
      <c r="O16" s="59"/>
      <c r="P16" s="59">
        <f>IF( [1]!s_est_avgebt($D$2,YEAR(P7),P7,100000000)=0,"NA", [1]!s_est_avgebt($D$2,YEAR(P7),P7,100000000))</f>
        <v>3205.8166666699999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0.29062500000000002</v>
      </c>
      <c r="G17" s="70"/>
      <c r="H17" s="49"/>
      <c r="I17" s="56" t="s">
        <v>148</v>
      </c>
      <c r="J17" s="64">
        <f>[1]!S_STM07_IS(D2,"W37790734",J7,1,100000000)</f>
        <v>2463.71</v>
      </c>
      <c r="K17" s="64"/>
      <c r="L17" s="64">
        <f>IF( [1]!s_est_netprofit($D$2,YEAR(L7),L7,100000000)=0,"NA", [1]!s_est_netprofit($D$2,YEAR(L7),L7,100000000))</f>
        <v>2311.5140000000001</v>
      </c>
      <c r="M17" s="64"/>
      <c r="N17" s="64">
        <f>IF( [1]!s_est_netprofit($D$2,YEAR(N7),N7,100000000)=0,"NA", [1]!s_est_netprofit($D$2,YEAR(N7),N7,100000000))</f>
        <v>2385.297</v>
      </c>
      <c r="O17" s="64"/>
      <c r="P17" s="64">
        <f>IF( [1]!s_est_netprofit($D$2,YEAR(P7),P7,100000000)=0,"NA", [1]!s_est_netprofit($D$2,YEAR(P7),P7,100000000))</f>
        <v>2458.165</v>
      </c>
      <c r="Q17" s="64"/>
      <c r="R17" s="64"/>
      <c r="S17" s="54"/>
      <c r="T17" s="56" t="s">
        <v>147</v>
      </c>
      <c r="U17" s="20"/>
      <c r="V17" s="20"/>
      <c r="W17" s="65">
        <f>IFERROR(AC27,"NA")</f>
        <v>289138.57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3.66</v>
      </c>
      <c r="G18" s="49"/>
      <c r="H18" s="49"/>
      <c r="I18" s="76" t="s">
        <v>42</v>
      </c>
      <c r="J18" s="77">
        <f>[1]!S_STM07_IS(D2,"W39201613",J7,1,100000000)</f>
        <v>2940.73</v>
      </c>
      <c r="K18" s="77"/>
      <c r="L18" s="77">
        <f>IF( [1]!s_est_avgoperatingprofit($D$2,YEAR(L7),L7,100000000)=0,"NA", [1]!s_est_avgoperatingprofit($D$2,YEAR(L7),L7,100000000))</f>
        <v>2973.17</v>
      </c>
      <c r="M18" s="77"/>
      <c r="N18" s="77">
        <f>IF( [1]!s_est_avgoperatingprofit($D$2,YEAR(N7),N7,100000000)=0,"NA", [1]!s_est_avgoperatingprofit($D$2,YEAR(N7),N7,100000000))</f>
        <v>3034.2466666700002</v>
      </c>
      <c r="O18" s="77"/>
      <c r="P18" s="77">
        <f>IF( [1]!s_est_avgoperatingprofit($D$2,YEAR(P7),P7,100000000)=0,"NA", [1]!s_est_avgoperatingprofit($D$2,YEAR(P7),P7,100000000))</f>
        <v>3140.1133333299999</v>
      </c>
      <c r="Q18" s="77"/>
      <c r="R18" s="77"/>
      <c r="S18" s="54"/>
      <c r="T18" s="53" t="s">
        <v>145</v>
      </c>
      <c r="U18" s="13"/>
      <c r="V18" s="13"/>
      <c r="W18" s="60">
        <f>IFERROR(AE27,"NA")</f>
        <v>324321.65999999997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1.2704918032786885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22.974777771977333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9.7435703750312186E-2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0.52710844964773618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9.8866711263584248E-2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4889759.9444271997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6.28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0.61</v>
      </c>
      <c r="K24" s="63"/>
      <c r="L24" s="63">
        <f>IFERROR(ROUND($F$13/HLOOKUP(DATE(LEFT(L22,4),12,31),$I$7:$P$18,2,0),2),"  NA")</f>
        <v>0.56999999999999995</v>
      </c>
      <c r="M24" s="63"/>
      <c r="N24" s="63">
        <f>IFERROR(ROUND($F$13/HLOOKUP(DATE(LEFT(N22,4),12,31),$I$7:$P$18,2,0),2),"  NA")</f>
        <v>0.53</v>
      </c>
      <c r="O24" s="63"/>
      <c r="P24" s="63">
        <f>IFERROR(ROUND($F$13/HLOOKUP(DATE(LEFT(P22,4),12,31),$I$7:$P$18,2,0),2),"  NA")</f>
        <v>0.5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29438779.1241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5.1290322580645156E-2</v>
      </c>
      <c r="M25" s="177"/>
      <c r="N25" s="177">
        <f>IFERROR(HLOOKUP(DATE(LEFT(N22,4),12,31),$I$7:$P$18,4,0)/$F$13,"NA")</f>
        <v>5.3161290322580643E-2</v>
      </c>
      <c r="O25" s="58"/>
      <c r="P25" s="177">
        <f>IFERROR(HLOOKUP(DATE(LEFT(P22,4),12,31),$I$7:$P$18,4,0)/$F$13,"NA")</f>
        <v>5.4838709677419349E-2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9.1714000000000004E-2</v>
      </c>
      <c r="K26" s="90"/>
      <c r="L26" s="90">
        <f>IFERROR(HLOOKUP(DATE(LEFT(L22,4),12,31),$I$7:$P$18,5,0),"NA")</f>
        <v>9.9689998626708978E-2</v>
      </c>
      <c r="M26" s="90"/>
      <c r="N26" s="90">
        <f>IFERROR(HLOOKUP(DATE(LEFT(N22,4),12,31),$I$7:$P$18,5,0),"NA")</f>
        <v>9.5419998168945308E-2</v>
      </c>
      <c r="O26" s="90"/>
      <c r="P26" s="90">
        <f>IFERROR(HLOOKUP(DATE(LEFT(P22,4),12,31),$I$7:$P$18,5,0),"NA")</f>
        <v>9.2962999343872074E-2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8.0320000000000009E-3</v>
      </c>
      <c r="K27" s="79"/>
      <c r="L27" s="79">
        <f>IFERROR(HLOOKUP(DATE(LEFT(L22,4),12,31),$I$7:$P$18,6,0),"NA")</f>
        <v>7.2499999999999995E-3</v>
      </c>
      <c r="M27" s="79"/>
      <c r="N27" s="79">
        <f>IFERROR(HLOOKUP(DATE(LEFT(N22,4),12,31),$I$7:$P$18,6,0),"NA")</f>
        <v>6.8200000000000005E-3</v>
      </c>
      <c r="O27" s="79"/>
      <c r="P27" s="79">
        <f>IFERROR(HLOOKUP(DATE(LEFT(P22,4),12,31),$I$7:$P$18,6,0),"NA")</f>
        <v>6.3499999999999997E-3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227697.44</v>
      </c>
      <c r="X27" s="63"/>
      <c r="Y27" s="65">
        <f>[1]!S_STM07_BS($D$2,"W34853906",Y25,1,100000000)</f>
        <v>244026.59</v>
      </c>
      <c r="Z27" s="63"/>
      <c r="AA27" s="65">
        <f>[1]!S_STM07_BS($D$2,"W34853906",AA25,1,100000000)</f>
        <v>267224.08</v>
      </c>
      <c r="AB27" s="63"/>
      <c r="AC27" s="65">
        <f>[1]!S_STM07_BS($D$2,"W34853906",AC25,1,100000000)</f>
        <v>289138.57</v>
      </c>
      <c r="AD27" s="63"/>
      <c r="AE27" s="65">
        <f>[1]!S_STM07_BS($D$2,"W34853906",AE25,1,100000000)</f>
        <v>324321.65999999997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3327.94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2445.4</v>
      </c>
      <c r="X28" s="58"/>
      <c r="Y28" s="60">
        <f>[1]!S_STM07_BS($D$2,"W33507207",Y25,1,100000000)</f>
        <v>2485.89</v>
      </c>
      <c r="Z28" s="58"/>
      <c r="AA28" s="60">
        <f>[1]!S_STM07_BS($D$2,"W33507207",AA25,1,100000000)</f>
        <v>2460.91</v>
      </c>
      <c r="AB28" s="58"/>
      <c r="AC28" s="60">
        <f>[1]!S_STM07_BS($D$2,"W33507207",AC25,1,100000000)</f>
        <v>2267.7600000000002</v>
      </c>
      <c r="AD28" s="58"/>
      <c r="AE28" s="60">
        <f>[1]!S_STM07_BS($D$2,"W33507207",AE25,1,100000000)</f>
        <v>2271.35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3632.1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391.55</v>
      </c>
      <c r="X29" s="63"/>
      <c r="Y29" s="65">
        <f>[1]!S_STMNOTE_AssetDetail($D$2,"W32371214",Y25,100000000)</f>
        <v>472.94</v>
      </c>
      <c r="Z29" s="63"/>
      <c r="AA29" s="65">
        <f>[1]!S_STMNOTE_AssetDetail($D$2,"W32371214",AA25,100000000)</f>
        <v>529.24</v>
      </c>
      <c r="AB29" s="63"/>
      <c r="AC29" s="65">
        <f>[1]!S_STMNOTE_AssetDetail($D$2,"W32371214",AC25,100000000)</f>
        <v>604.4</v>
      </c>
      <c r="AD29" s="63"/>
      <c r="AE29" s="65">
        <f>[1]!S_STMNOTE_AssetDetail($D$2,"W32371214",AE25,100000000)</f>
        <v>127.57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6228.89</v>
      </c>
      <c r="K30" s="64"/>
      <c r="L30" s="64">
        <f>IFERROR(ROUND(HLOOKUP(DATE(LEFT(L22,4),12,31),$I$7:$P$18,9,0),2),"NA")</f>
        <v>6397.28</v>
      </c>
      <c r="M30" s="64"/>
      <c r="N30" s="64">
        <f>IFERROR(ROUND(HLOOKUP(DATE(LEFT(N22,4),12,31),$I$7:$P$18,9,0),2),"NA")</f>
        <v>6655.39</v>
      </c>
      <c r="O30" s="64"/>
      <c r="P30" s="64">
        <f>IFERROR(ROUND(HLOOKUP(DATE(LEFT(P22,4),12,31),$I$7:$P$18,9,0),2),"NA")</f>
        <v>6751.71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18517.009999999998</v>
      </c>
      <c r="X30" s="58"/>
      <c r="Y30" s="60">
        <f>[1]!S_STM07_BS($D$2,"W34656681",Y25,1,100000000)</f>
        <v>20384.189999999999</v>
      </c>
      <c r="Z30" s="58"/>
      <c r="AA30" s="60">
        <f>[1]!S_STM07_BS($D$2,"W34656681",AA25,1,100000000)</f>
        <v>22251.53</v>
      </c>
      <c r="AB30" s="58"/>
      <c r="AC30" s="60">
        <f>[1]!S_STM07_BS($D$2,"W34656681",AC25,1,100000000)</f>
        <v>24275.89</v>
      </c>
      <c r="AD30" s="58"/>
      <c r="AE30" s="60">
        <f>[1]!S_STM07_BS($D$2,"W34656681",AE25,1,100000000)</f>
        <v>26295.1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2956.08</v>
      </c>
      <c r="K31" s="59"/>
      <c r="L31" s="59">
        <f>IFERROR(ROUND(HLOOKUP(DATE(LEFT(L22,4),12,31),$I$7:$P$18,10,0),2),"NA")</f>
        <v>3031.87</v>
      </c>
      <c r="M31" s="59"/>
      <c r="N31" s="59">
        <f>IFERROR(ROUND(HLOOKUP(DATE(LEFT(N22,4),12,31),$I$7:$P$18,10,0),2),"NA")</f>
        <v>3134.68</v>
      </c>
      <c r="O31" s="59"/>
      <c r="P31" s="59">
        <f>IFERROR(ROUND(HLOOKUP(DATE(LEFT(P22,4),12,31),$I$7:$P$18,10,0),2),"NA")</f>
        <v>3205.82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29438779.1241</v>
      </c>
      <c r="G32" s="70"/>
      <c r="H32" s="49"/>
      <c r="I32" s="56" t="s">
        <v>112</v>
      </c>
      <c r="J32" s="64">
        <f>IFERROR(ROUND(HLOOKUP(DATE(LEFT(J22,4),12,31),$I$7:$P$18,11,0),2),"NA")</f>
        <v>2463.71</v>
      </c>
      <c r="K32" s="64"/>
      <c r="L32" s="64">
        <f>IFERROR(ROUND(HLOOKUP(DATE(LEFT(L22,4),12,31),$I$7:$P$18,11,0),2),"NA")</f>
        <v>2311.5100000000002</v>
      </c>
      <c r="M32" s="64"/>
      <c r="N32" s="64">
        <f>IFERROR(ROUND(HLOOKUP(DATE(LEFT(N22,4),12,31),$I$7:$P$18,11,0),2),"NA")</f>
        <v>2385.3000000000002</v>
      </c>
      <c r="O32" s="64"/>
      <c r="P32" s="64">
        <f>IFERROR(ROUND(HLOOKUP(DATE(LEFT(P22,4),12,31),$I$7:$P$18,11,0),2),"NA")</f>
        <v>2458.17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5491.82</v>
      </c>
      <c r="X32" s="59"/>
      <c r="Y32" s="60">
        <f>[1]!S_STM07_IS($D$2,"W33865145",Y25,1,100000000)</f>
        <v>5655.31</v>
      </c>
      <c r="Z32" s="59"/>
      <c r="AA32" s="60">
        <f>[1]!S_STM07_IS($D$2,"W33865145",AA25,1,100000000)</f>
        <v>6055.59</v>
      </c>
      <c r="AB32" s="59"/>
      <c r="AC32" s="60">
        <f>[1]!S_STM07_IS($D$2,"W33865145",AC25,1,100000000)</f>
        <v>6180.09</v>
      </c>
      <c r="AD32" s="59"/>
      <c r="AE32" s="60">
        <f>[1]!S_STM07_IS($D$2,"W33865145",AE25,1,100000000)</f>
        <v>6228.89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12448.855983531108</v>
      </c>
      <c r="G33" s="49"/>
      <c r="H33" s="49"/>
      <c r="I33" s="76" t="s">
        <v>109</v>
      </c>
      <c r="J33" s="77">
        <f>IFERROR(ROUND(HLOOKUP(DATE(LEFT(J22,4),12,31),$I$7:$P$18,12,0),2),"NA")</f>
        <v>2940.73</v>
      </c>
      <c r="K33" s="77"/>
      <c r="L33" s="77">
        <f>IFERROR(ROUND(HLOOKUP(DATE(LEFT(L22,4),12,31),$I$7:$P$18,12,0),2),"NA")</f>
        <v>2973.17</v>
      </c>
      <c r="M33" s="77"/>
      <c r="N33" s="77">
        <f>IFERROR(ROUND(HLOOKUP(DATE(LEFT(N22,4),12,31),$I$7:$P$18,12,0),2),"NA")</f>
        <v>3034.25</v>
      </c>
      <c r="O33" s="77"/>
      <c r="P33" s="77">
        <f>IFERROR(ROUND(HLOOKUP(DATE(LEFT(P22,4),12,31),$I$7:$P$18,12,0),2),"NA")</f>
        <v>3140.11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2996.45</v>
      </c>
      <c r="X33" s="64"/>
      <c r="Y33" s="65">
        <f>[1]!S_STM07_IS($D$2,"W32436009",Y25,1,100000000)</f>
        <v>3204.07</v>
      </c>
      <c r="Z33" s="64"/>
      <c r="AA33" s="65">
        <f>[1]!S_STM07_IS($D$2,"W32436009",AA25,1,100000000)</f>
        <v>3294.28</v>
      </c>
      <c r="AB33" s="64"/>
      <c r="AC33" s="65">
        <f>[1]!S_STM07_IS($D$2,"W32436009",AC25,1,100000000)</f>
        <v>3333.13</v>
      </c>
      <c r="AD33" s="64"/>
      <c r="AE33" s="65">
        <f>[1]!S_STM07_IS($D$2,"W32436009",AE25,1,100000000)</f>
        <v>3288.16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13689.032292706501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1874.05</v>
      </c>
      <c r="X34" s="59"/>
      <c r="Y34" s="60">
        <f>[1]!S_STM07_IS($D$2,"W30028333",Y25,1,100000000)</f>
        <v>1928.7</v>
      </c>
      <c r="Z34" s="59"/>
      <c r="AA34" s="60">
        <f>[1]!S_STM07_IS($D$2,"W30028333",AA25,1,100000000)</f>
        <v>2165.59</v>
      </c>
      <c r="AB34" s="59"/>
      <c r="AC34" s="60">
        <f>[1]!S_STM07_IS($D$2,"W30028333",AC25,1,100000000)</f>
        <v>2274.39</v>
      </c>
      <c r="AD34" s="59"/>
      <c r="AE34" s="60">
        <f>[1]!S_STM07_IS($D$2,"W30028333",AE25,1,100000000)</f>
        <v>2319.04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298964.08598353108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5.6109999999999998</v>
      </c>
      <c r="X36" s="54"/>
      <c r="Y36" s="58">
        <f>[1]!s_fa_bps2($D$2,Y25,"")</f>
        <v>5.9817</v>
      </c>
      <c r="Z36" s="54"/>
      <c r="AA36" s="58">
        <f>[1]!s_fa_bps2($D$2,AA25,"")</f>
        <v>6.4733000000000001</v>
      </c>
      <c r="AB36" s="54"/>
      <c r="AC36" s="58">
        <f>[1]!s_fa_bps2($D$2,AC25,"")</f>
        <v>6.9911000000000003</v>
      </c>
      <c r="AD36" s="54"/>
      <c r="AE36" s="58">
        <f>[1]!s_fa_bps2($D$2,AE25,"")</f>
        <v>7.5750999999999999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0.61</v>
      </c>
      <c r="X37" s="57"/>
      <c r="Y37" s="63">
        <f>[1]!s_fa_eps_basic2($D$2,Y25,"")</f>
        <v>0.61</v>
      </c>
      <c r="Z37" s="57"/>
      <c r="AA37" s="63">
        <f>[1]!s_fa_eps_basic2($D$2,AA25,"")</f>
        <v>0.7</v>
      </c>
      <c r="AB37" s="57"/>
      <c r="AC37" s="63">
        <f>[1]!s_fa_eps_basic2($D$2,AC25,"")</f>
        <v>0.73</v>
      </c>
      <c r="AD37" s="57"/>
      <c r="AE37" s="63">
        <f>[1]!s_fa_eps_basic2($D$2,AE25,"")</f>
        <v>0.74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7.2610414301848225E-2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0.191</v>
      </c>
      <c r="X38" s="58"/>
      <c r="Y38" s="58">
        <f>[1]!s_div_cashbeforetax($D$2,Y25)</f>
        <v>0.19700000000000001</v>
      </c>
      <c r="Z38" s="58"/>
      <c r="AA38" s="58">
        <f>[1]!s_div_cashbeforetax($D$2,AA25)</f>
        <v>0.221</v>
      </c>
      <c r="AB38" s="58"/>
      <c r="AC38" s="58">
        <f>[1]!s_div_cashbeforetax($D$2,AC25)</f>
        <v>0.23199999999999998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3.3668528295065725E-2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31.3%</v>
      </c>
      <c r="X39" s="82"/>
      <c r="Y39" s="93" t="str">
        <f>IFERROR(ROUND(Y38/Y37*100,1)&amp;"%","NA")</f>
        <v>32.3%</v>
      </c>
      <c r="Z39" s="82"/>
      <c r="AA39" s="93" t="str">
        <f>IFERROR(ROUND(AA38/AA37*100,1)&amp;"%","NA")</f>
        <v>31.6%</v>
      </c>
      <c r="AB39" s="82"/>
      <c r="AC39" s="93" t="str">
        <f>IFERROR(ROUND(AC38/AC37*100,1)&amp;"%","NA")</f>
        <v>31.8%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-1.6042279205425336E-2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601988.SH</v>
      </c>
      <c r="U43" s="101" t="str">
        <f>[1]!S_Info_Name(T43)</f>
        <v>中国银行</v>
      </c>
      <c r="V43" s="65">
        <f>[1]!s_share_issuing_mkt(T43,W43,10000)</f>
        <v>21076551.4846</v>
      </c>
      <c r="W43" s="102" t="str">
        <f>[1]!lastradeday_s(T43,F2)</f>
        <v>2024-04-25</v>
      </c>
      <c r="X43" s="102"/>
      <c r="Y43" s="71">
        <f>[1]!S_DQ_CLOSE(T43,W43,1)</f>
        <v>4.6500000000000004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9800.5964403390008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 t="str">
        <f>IFERROR([1]!s_info_hsharecode(T43),"")</f>
        <v>3988.HK</v>
      </c>
      <c r="U44" s="103" t="str">
        <f>[1]!HKS_INFO_NAME(T44)</f>
        <v>中国银行</v>
      </c>
      <c r="V44" s="60">
        <f>[1]!s_share_issuing_mkt(T44,W44,10000)</f>
        <v>8362227.6394999996</v>
      </c>
      <c r="W44" s="104" t="str">
        <f>[1]!lastradeday_s(T44,F2)</f>
        <v>2024-04-25</v>
      </c>
      <c r="X44" s="104"/>
      <c r="Y44" s="73">
        <f>[1]!S_DQ_CLOSE(T44,W44,1)</f>
        <v>3.49</v>
      </c>
      <c r="Z44" s="73"/>
      <c r="AA44" s="73" t="str">
        <f>[1]!hks_info_tradecur(T44)</f>
        <v>HKD</v>
      </c>
      <c r="AB44" s="73"/>
      <c r="AC44" s="73">
        <f>IF([1]!hks_info_tradecur(T44)="CNY",1,[1]!S_DQ_CLOSE([1]!hks_info_tradecur(T44)&amp;"CNY.EX",W44,1))</f>
        <v>0.90742999999999996</v>
      </c>
      <c r="AD44" s="73"/>
      <c r="AE44" s="92">
        <f>V44*Y44*AC44/10000</f>
        <v>2648.2595431921081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1.5775808917886547E-2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29438779.1241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12448.85598353111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平安银行</v>
      </c>
      <c r="D2" s="184" t="s">
        <v>253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000001.SZ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平安银行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平安银行股份有限公司</v>
      </c>
      <c r="G8" s="13"/>
      <c r="H8" s="49"/>
      <c r="I8" s="53" t="s">
        <v>23</v>
      </c>
      <c r="J8" s="58">
        <f>IF([1]!s_fa_bps2(D2,J7,"Cur=CNY"),[1]!s_fa_bps2(D2,J7,"Cur=CNY"),"NA")</f>
        <v>20.735099999999999</v>
      </c>
      <c r="K8" s="58"/>
      <c r="L8" s="58">
        <f>IF([1]!s_west_medianbps($D$2,YEAR(L7),L7,180)=0,"NA",[1]!s_west_medianbps($D$2,YEAR(L7),L7,180))</f>
        <v>22.41200065612793</v>
      </c>
      <c r="M8" s="58"/>
      <c r="N8" s="58">
        <f>IF([1]!s_west_medianbps($D$2,YEAR(N7),N7,180)=0,"NA",[1]!s_west_medianbps($D$2,YEAR(N7),N7,180))</f>
        <v>24.205499649047852</v>
      </c>
      <c r="O8" s="58"/>
      <c r="P8" s="58">
        <f>IF([1]!s_west_medianbps($D$2,YEAR(P7),P7,180)=0,"NA",[1]!s_west_medianbps($D$2,YEAR(P7),P7,180))</f>
        <v>26.01460075378418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4346.8</v>
      </c>
      <c r="X8" s="58"/>
      <c r="Y8" s="60">
        <f>W12</f>
        <v>4723.28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2.25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464.55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0.6754</v>
      </c>
      <c r="M10" s="58"/>
      <c r="N10" s="58">
        <f>IF([1]!s_est_avgdps($D$2,YEAR(N7),$F$2)=0,"NA",[1]!s_est_avgdps($D$2,YEAR(N7),$F$2))</f>
        <v>0.70199999999999996</v>
      </c>
      <c r="O10" s="58"/>
      <c r="P10" s="58">
        <f>IF([1]!s_est_avgdps($D$2,YEAR(P7),$F$2)=0,"NA",[1]!s_est_avgdps($D$2,YEAR(P7),$F$2))</f>
        <v>0.77329999999999999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131.06757150929201</v>
      </c>
      <c r="Z10" s="58"/>
      <c r="AA10" s="60">
        <f>IFERROR(N10*$F$25/10000,"")</f>
        <v>136.22954574995998</v>
      </c>
      <c r="AB10" s="58"/>
      <c r="AC10" s="60">
        <f>IFERROR(P10*$F$25/10000,"")</f>
        <v>150.06596542513398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0.10243600000000001</v>
      </c>
      <c r="K11" s="90"/>
      <c r="L11" s="90">
        <f>IF([1]!s_est_avgroe($D$2,YEAR(L7),$F$2)/100=0,"NA",[1]!s_est_avgroe($D$2,YEAR(L7),$F$2)/100)</f>
        <v>0.10656399726867676</v>
      </c>
      <c r="M11" s="90"/>
      <c r="N11" s="90">
        <f>IF([1]!s_est_avgroe($D$2,YEAR(N7),$F$2)/100=0,"NA",[1]!s_est_avgroe($D$2,YEAR(N7),$F$2)/100)</f>
        <v>0.10297100067138672</v>
      </c>
      <c r="O11" s="90"/>
      <c r="P11" s="90">
        <f>IF([1]!s_est_avgroe($D$2,YEAR(P7),$F$2)/100=0,"NA",[1]!s_est_avgroe($D$2,YEAR(P7),$F$2)/100)</f>
        <v>0.10056699752807617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8.5170000000000003E-3</v>
      </c>
      <c r="K12" s="79"/>
      <c r="L12" s="79">
        <f>IF([1]!s_est_avgroa($D$2,YEAR(L7),$F$2)/100=0,"NA",[1]!s_est_avgroa($D$2,YEAR(L7),$F$2)/100)</f>
        <v>8.3070000000000001E-3</v>
      </c>
      <c r="M12" s="79"/>
      <c r="N12" s="79">
        <f>IF([1]!s_est_avgroa($D$2,YEAR(N7),$F$2)/100=0,"NA",[1]!s_est_avgroa($D$2,YEAR(N7),$F$2)/100)</f>
        <v>8.199999999999999E-3</v>
      </c>
      <c r="O12" s="79"/>
      <c r="P12" s="79">
        <f>IF([1]!s_est_avgroa($D$2,YEAR(P7),$F$2)/100=0,"NA",[1]!s_est_avgroa($D$2,YEAR(P7),$F$2)/100)</f>
        <v>8.0330000000000002E-3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4723.28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10.61</v>
      </c>
      <c r="G13" s="70"/>
      <c r="H13" s="49"/>
      <c r="I13" s="56" t="s">
        <v>154</v>
      </c>
      <c r="J13" s="63">
        <f>[1]!s_fa_ebit2(D2,J7,1,100000000)</f>
        <v>580.04999999999995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614.37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4186.92</v>
      </c>
      <c r="X14" s="59"/>
      <c r="Y14" s="60">
        <f>IFERROR(W15,"")</f>
        <v>4558.09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11138.1224</v>
      </c>
      <c r="G15" s="70"/>
      <c r="H15" s="49"/>
      <c r="I15" s="56" t="s">
        <v>36</v>
      </c>
      <c r="J15" s="64">
        <f>[1]!S_STM07_IS(D2,"W31737944",J7,1,100000000)</f>
        <v>1646.99</v>
      </c>
      <c r="K15" s="64"/>
      <c r="L15" s="64">
        <f>IF( [1]!s_est_sales($D$2,YEAR(L7),L7,100000000)=0,"NA", [1]!s_est_sales($D$2,YEAR(L7),L7,100000000))</f>
        <v>1543.02428571</v>
      </c>
      <c r="M15" s="64"/>
      <c r="N15" s="64">
        <f>IF( [1]!s_est_sales($D$2,YEAR(N7),N7,100000000)=0,"NA", [1]!s_est_sales($D$2,YEAR(N7),N7,100000000))</f>
        <v>1568.9164285700001</v>
      </c>
      <c r="O15" s="64"/>
      <c r="P15" s="64">
        <f>IF( [1]!s_est_sales($D$2,YEAR(P7),P7,100000000)=0,"NA", [1]!s_est_sales($D$2,YEAR(P7),P7,100000000))</f>
        <v>1610.1475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4558.09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13.32</v>
      </c>
      <c r="G16" s="49"/>
      <c r="H16" s="49"/>
      <c r="I16" s="53" t="s">
        <v>150</v>
      </c>
      <c r="J16" s="59">
        <f>[1]!S_STM07_IS(D2,"W38046687",J7,1,100000000)</f>
        <v>577.17999999999995</v>
      </c>
      <c r="K16" s="59"/>
      <c r="L16" s="59">
        <f>IF( [1]!s_est_avgebt($D$2,YEAR(L7),L7,100000000)=0,"NA", [1]!s_est_avgebt($D$2,YEAR(L7),L7,100000000))</f>
        <v>588.21749999999997</v>
      </c>
      <c r="M16" s="59"/>
      <c r="N16" s="59">
        <f>IF( [1]!s_est_avgebt($D$2,YEAR(N7),N7,100000000)=0,"NA", [1]!s_est_avgebt($D$2,YEAR(N7),N7,100000000))</f>
        <v>607.54333333</v>
      </c>
      <c r="O16" s="59"/>
      <c r="P16" s="59">
        <f>IF( [1]!s_est_avgebt($D$2,YEAR(P7),P7,100000000)=0,"NA", [1]!s_est_avgebt($D$2,YEAR(P7),P7,100000000))</f>
        <v>642.09636364000005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0.66312499999999996</v>
      </c>
      <c r="G17" s="70"/>
      <c r="H17" s="49"/>
      <c r="I17" s="56" t="s">
        <v>148</v>
      </c>
      <c r="J17" s="64">
        <f>[1]!S_STM07_IS(D2,"W37790734",J7,1,100000000)</f>
        <v>464.55</v>
      </c>
      <c r="K17" s="64"/>
      <c r="L17" s="64">
        <f>IF( [1]!s_est_netprofit($D$2,YEAR(L7),L7,100000000)=0,"NA", [1]!s_est_netprofit($D$2,YEAR(L7),L7,100000000))</f>
        <v>468.03428571000001</v>
      </c>
      <c r="M17" s="64"/>
      <c r="N17" s="64">
        <f>IF( [1]!s_est_netprofit($D$2,YEAR(N7),N7,100000000)=0,"NA", [1]!s_est_netprofit($D$2,YEAR(N7),N7,100000000))</f>
        <v>488.49714286</v>
      </c>
      <c r="O17" s="64"/>
      <c r="P17" s="64">
        <f>IF( [1]!s_est_netprofit($D$2,YEAR(P7),P7,100000000)=0,"NA", [1]!s_est_netprofit($D$2,YEAR(P7),P7,100000000))</f>
        <v>503.19749999999999</v>
      </c>
      <c r="Q17" s="64"/>
      <c r="R17" s="64"/>
      <c r="S17" s="54"/>
      <c r="T17" s="56" t="s">
        <v>147</v>
      </c>
      <c r="U17" s="20"/>
      <c r="V17" s="20"/>
      <c r="W17" s="65">
        <f>IFERROR(AC27,"NA")</f>
        <v>53215.14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9.0299999999999994</v>
      </c>
      <c r="G18" s="49"/>
      <c r="H18" s="49"/>
      <c r="I18" s="76" t="s">
        <v>42</v>
      </c>
      <c r="J18" s="77">
        <f>[1]!S_STM07_IS(D2,"W39201613",J7,1,100000000)</f>
        <v>579.28</v>
      </c>
      <c r="K18" s="77"/>
      <c r="L18" s="77">
        <f>IF( [1]!s_est_avgoperatingprofit($D$2,YEAR(L7),L7,100000000)=0,"NA", [1]!s_est_avgoperatingprofit($D$2,YEAR(L7),L7,100000000))</f>
        <v>718.04750000000001</v>
      </c>
      <c r="M18" s="77"/>
      <c r="N18" s="77">
        <f>IF( [1]!s_est_avgoperatingprofit($D$2,YEAR(N7),N7,100000000)=0,"NA", [1]!s_est_avgoperatingprofit($D$2,YEAR(N7),N7,100000000))</f>
        <v>727.63750000000005</v>
      </c>
      <c r="O18" s="77"/>
      <c r="P18" s="77">
        <f>IF( [1]!s_est_avgoperatingprofit($D$2,YEAR(P7),P7,100000000)=0,"NA", [1]!s_est_avgoperatingprofit($D$2,YEAR(P7),P7,100000000))</f>
        <v>764.76499999999999</v>
      </c>
      <c r="Q18" s="77"/>
      <c r="R18" s="77"/>
      <c r="S18" s="54"/>
      <c r="T18" s="53" t="s">
        <v>145</v>
      </c>
      <c r="U18" s="13"/>
      <c r="V18" s="13"/>
      <c r="W18" s="60">
        <f>IFERROR(AE27,"NA")</f>
        <v>55871.16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1.1749723145071982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22.722334057310842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0.10243570067739205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1.200629391707327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0.10624344626249713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553068.66864300007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4.72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0.51</v>
      </c>
      <c r="K24" s="63"/>
      <c r="L24" s="63">
        <f>IFERROR(ROUND($F$13/HLOOKUP(DATE(LEFT(L22,4),12,31),$I$7:$P$18,2,0),2),"  NA")</f>
        <v>0.47</v>
      </c>
      <c r="M24" s="63"/>
      <c r="N24" s="63">
        <f>IFERROR(ROUND($F$13/HLOOKUP(DATE(LEFT(N22,4),12,31),$I$7:$P$18,2,0),2),"  NA")</f>
        <v>0.44</v>
      </c>
      <c r="O24" s="63"/>
      <c r="P24" s="63">
        <f>IFERROR(ROUND($F$13/HLOOKUP(DATE(LEFT(P22,4),12,31),$I$7:$P$18,2,0),2),"  NA")</f>
        <v>0.41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1940591.8197999999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6.3656927426955709E-2</v>
      </c>
      <c r="M25" s="177"/>
      <c r="N25" s="177">
        <f>IFERROR(HLOOKUP(DATE(LEFT(N22,4),12,31),$I$7:$P$18,4,0)/$F$13,"NA")</f>
        <v>6.6163996229971725E-2</v>
      </c>
      <c r="O25" s="58"/>
      <c r="P25" s="177">
        <f>IFERROR(HLOOKUP(DATE(LEFT(P22,4),12,31),$I$7:$P$18,4,0)/$F$13,"NA")</f>
        <v>7.2884071630537228E-2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0.10243600000000001</v>
      </c>
      <c r="K26" s="90"/>
      <c r="L26" s="90">
        <f>IFERROR(HLOOKUP(DATE(LEFT(L22,4),12,31),$I$7:$P$18,5,0),"NA")</f>
        <v>0.10656399726867676</v>
      </c>
      <c r="M26" s="90"/>
      <c r="N26" s="90">
        <f>IFERROR(HLOOKUP(DATE(LEFT(N22,4),12,31),$I$7:$P$18,5,0),"NA")</f>
        <v>0.10297100067138672</v>
      </c>
      <c r="O26" s="90"/>
      <c r="P26" s="90">
        <f>IFERROR(HLOOKUP(DATE(LEFT(P22,4),12,31),$I$7:$P$18,5,0),"NA")</f>
        <v>0.10056699752807617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8.5170000000000003E-3</v>
      </c>
      <c r="K27" s="79"/>
      <c r="L27" s="79">
        <f>IFERROR(HLOOKUP(DATE(LEFT(L22,4),12,31),$I$7:$P$18,6,0),"NA")</f>
        <v>8.3070000000000001E-3</v>
      </c>
      <c r="M27" s="79"/>
      <c r="N27" s="79">
        <f>IFERROR(HLOOKUP(DATE(LEFT(N22,4),12,31),$I$7:$P$18,6,0),"NA")</f>
        <v>8.199999999999999E-3</v>
      </c>
      <c r="O27" s="79"/>
      <c r="P27" s="79">
        <f>IFERROR(HLOOKUP(DATE(LEFT(P22,4),12,31),$I$7:$P$18,6,0),"NA")</f>
        <v>8.0330000000000002E-3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39390.699999999997</v>
      </c>
      <c r="X27" s="63"/>
      <c r="Y27" s="65">
        <f>[1]!S_STM07_BS($D$2,"W34853906",Y25,1,100000000)</f>
        <v>44685.14</v>
      </c>
      <c r="Z27" s="63"/>
      <c r="AA27" s="65">
        <f>[1]!S_STM07_BS($D$2,"W34853906",AA25,1,100000000)</f>
        <v>49213.8</v>
      </c>
      <c r="AB27" s="63"/>
      <c r="AC27" s="65">
        <f>[1]!S_STM07_BS($D$2,"W34853906",AC25,1,100000000)</f>
        <v>53215.14</v>
      </c>
      <c r="AD27" s="63"/>
      <c r="AE27" s="65">
        <f>[1]!S_STM07_BS($D$2,"W34853906",AE25,1,100000000)</f>
        <v>55871.16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580.04999999999995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110.92</v>
      </c>
      <c r="X28" s="58"/>
      <c r="Y28" s="60">
        <f>[1]!S_STM07_BS($D$2,"W33507207",Y25,1,100000000)</f>
        <v>108.93</v>
      </c>
      <c r="Z28" s="58"/>
      <c r="AA28" s="60">
        <f>[1]!S_STM07_BS($D$2,"W33507207",AA25,1,100000000)</f>
        <v>119.74</v>
      </c>
      <c r="AB28" s="58"/>
      <c r="AC28" s="60">
        <f>[1]!S_STM07_BS($D$2,"W33507207",AC25,1,100000000)</f>
        <v>110.83</v>
      </c>
      <c r="AD28" s="58"/>
      <c r="AE28" s="60">
        <f>[1]!S_STM07_BS($D$2,"W33507207",AE25,1,100000000)</f>
        <v>98.14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614.37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107.45</v>
      </c>
      <c r="X29" s="63"/>
      <c r="Y29" s="65">
        <f>[1]!S_STMNOTE_AssetDetail($D$2,"W32371214",Y25,100000000)</f>
        <v>112.77</v>
      </c>
      <c r="Z29" s="63"/>
      <c r="AA29" s="65">
        <f>[1]!S_STMNOTE_AssetDetail($D$2,"W32371214",AA25,100000000)</f>
        <v>141.81</v>
      </c>
      <c r="AB29" s="63"/>
      <c r="AC29" s="65">
        <f>[1]!S_STMNOTE_AssetDetail($D$2,"W32371214",AC25,100000000)</f>
        <v>159.88</v>
      </c>
      <c r="AD29" s="63"/>
      <c r="AE29" s="65">
        <f>[1]!S_STMNOTE_AssetDetail($D$2,"W32371214",AE25,100000000)</f>
        <v>165.19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1646.99</v>
      </c>
      <c r="K30" s="64"/>
      <c r="L30" s="64">
        <f>IFERROR(ROUND(HLOOKUP(DATE(LEFT(L22,4),12,31),$I$7:$P$18,9,0),2),"NA")</f>
        <v>1543.02</v>
      </c>
      <c r="M30" s="64"/>
      <c r="N30" s="64">
        <f>IFERROR(ROUND(HLOOKUP(DATE(LEFT(N22,4),12,31),$I$7:$P$18,9,0),2),"NA")</f>
        <v>1568.92</v>
      </c>
      <c r="O30" s="64"/>
      <c r="P30" s="64">
        <f>IFERROR(ROUND(HLOOKUP(DATE(LEFT(P22,4),12,31),$I$7:$P$18,9,0),2),"NA")</f>
        <v>1610.15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3129.83</v>
      </c>
      <c r="X30" s="58"/>
      <c r="Y30" s="60">
        <f>[1]!S_STM07_BS($D$2,"W34656681",Y25,1,100000000)</f>
        <v>3641.31</v>
      </c>
      <c r="Z30" s="58"/>
      <c r="AA30" s="60">
        <f>[1]!S_STM07_BS($D$2,"W34656681",AA25,1,100000000)</f>
        <v>3954.48</v>
      </c>
      <c r="AB30" s="58"/>
      <c r="AC30" s="60">
        <f>[1]!S_STM07_BS($D$2,"W34656681",AC25,1,100000000)</f>
        <v>4346.8</v>
      </c>
      <c r="AD30" s="58"/>
      <c r="AE30" s="60">
        <f>[1]!S_STM07_BS($D$2,"W34656681",AE25,1,100000000)</f>
        <v>4723.28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577.17999999999995</v>
      </c>
      <c r="K31" s="59"/>
      <c r="L31" s="59">
        <f>IFERROR(ROUND(HLOOKUP(DATE(LEFT(L22,4),12,31),$I$7:$P$18,10,0),2),"NA")</f>
        <v>588.22</v>
      </c>
      <c r="M31" s="59"/>
      <c r="N31" s="59">
        <f>IFERROR(ROUND(HLOOKUP(DATE(LEFT(N22,4),12,31),$I$7:$P$18,10,0),2),"NA")</f>
        <v>607.54</v>
      </c>
      <c r="O31" s="59"/>
      <c r="P31" s="59">
        <f>IFERROR(ROUND(HLOOKUP(DATE(LEFT(P22,4),12,31),$I$7:$P$18,10,0),2),"NA")</f>
        <v>642.1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1940591.8197999999</v>
      </c>
      <c r="G32" s="70"/>
      <c r="H32" s="49"/>
      <c r="I32" s="56" t="s">
        <v>112</v>
      </c>
      <c r="J32" s="64">
        <f>IFERROR(ROUND(HLOOKUP(DATE(LEFT(J22,4),12,31),$I$7:$P$18,11,0),2),"NA")</f>
        <v>464.55</v>
      </c>
      <c r="K32" s="64"/>
      <c r="L32" s="64">
        <f>IFERROR(ROUND(HLOOKUP(DATE(LEFT(L22,4),12,31),$I$7:$P$18,11,0),2),"NA")</f>
        <v>468.03</v>
      </c>
      <c r="M32" s="64"/>
      <c r="N32" s="64">
        <f>IFERROR(ROUND(HLOOKUP(DATE(LEFT(N22,4),12,31),$I$7:$P$18,11,0),2),"NA")</f>
        <v>488.5</v>
      </c>
      <c r="O32" s="64"/>
      <c r="P32" s="64">
        <f>IFERROR(ROUND(HLOOKUP(DATE(LEFT(P22,4),12,31),$I$7:$P$18,11,0),2),"NA")</f>
        <v>503.2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1379.58</v>
      </c>
      <c r="X32" s="59"/>
      <c r="Y32" s="60">
        <f>[1]!S_STM07_IS($D$2,"W33865145",Y25,1,100000000)</f>
        <v>1535.42</v>
      </c>
      <c r="Z32" s="59"/>
      <c r="AA32" s="60">
        <f>[1]!S_STM07_IS($D$2,"W33865145",AA25,1,100000000)</f>
        <v>1693.83</v>
      </c>
      <c r="AB32" s="59"/>
      <c r="AC32" s="60">
        <f>[1]!S_STM07_IS($D$2,"W33865145",AC25,1,100000000)</f>
        <v>1798.95</v>
      </c>
      <c r="AD32" s="59"/>
      <c r="AE32" s="60">
        <f>[1]!S_STM07_IS($D$2,"W33865145",AE25,1,100000000)</f>
        <v>1646.99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2058.9679208078001</v>
      </c>
      <c r="G33" s="49"/>
      <c r="H33" s="49"/>
      <c r="I33" s="76" t="s">
        <v>109</v>
      </c>
      <c r="J33" s="77">
        <f>IFERROR(ROUND(HLOOKUP(DATE(LEFT(J22,4),12,31),$I$7:$P$18,12,0),2),"NA")</f>
        <v>579.28</v>
      </c>
      <c r="K33" s="77"/>
      <c r="L33" s="77">
        <f>IFERROR(ROUND(HLOOKUP(DATE(LEFT(L22,4),12,31),$I$7:$P$18,12,0),2),"NA")</f>
        <v>718.05</v>
      </c>
      <c r="M33" s="77"/>
      <c r="N33" s="77">
        <f>IFERROR(ROUND(HLOOKUP(DATE(LEFT(N22,4),12,31),$I$7:$P$18,12,0),2),"NA")</f>
        <v>727.64</v>
      </c>
      <c r="O33" s="77"/>
      <c r="P33" s="77">
        <f>IFERROR(ROUND(HLOOKUP(DATE(LEFT(P22,4),12,31),$I$7:$P$18,12,0),2),"NA")</f>
        <v>764.77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1016.69</v>
      </c>
      <c r="X33" s="64"/>
      <c r="Y33" s="65">
        <f>[1]!S_STM07_IS($D$2,"W32436009",Y25,1,100000000)</f>
        <v>1166.33</v>
      </c>
      <c r="Z33" s="64"/>
      <c r="AA33" s="65">
        <f>[1]!S_STM07_IS($D$2,"W32436009",AA25,1,100000000)</f>
        <v>1233.98</v>
      </c>
      <c r="AB33" s="64"/>
      <c r="AC33" s="65">
        <f>[1]!S_STM07_IS($D$2,"W32436009",AC25,1,100000000)</f>
        <v>1224.2</v>
      </c>
      <c r="AD33" s="64"/>
      <c r="AE33" s="65">
        <f>[1]!S_STM07_IS($D$2,"W32436009",AE25,1,100000000)</f>
        <v>1067.71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2058.9679208077996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281.95</v>
      </c>
      <c r="X34" s="59"/>
      <c r="Y34" s="60">
        <f>[1]!S_STM07_IS($D$2,"W30028333",Y25,1,100000000)</f>
        <v>289.27999999999997</v>
      </c>
      <c r="Z34" s="59"/>
      <c r="AA34" s="60">
        <f>[1]!S_STM07_IS($D$2,"W30028333",AA25,1,100000000)</f>
        <v>363.36</v>
      </c>
      <c r="AB34" s="59"/>
      <c r="AC34" s="60">
        <f>[1]!S_STM07_IS($D$2,"W30028333",AC25,1,100000000)</f>
        <v>455.16</v>
      </c>
      <c r="AD34" s="59"/>
      <c r="AE34" s="60">
        <f>[1]!S_STM07_IS($D$2,"W30028333",AE25,1,100000000)</f>
        <v>464.55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52538.867920807803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14.069599999999999</v>
      </c>
      <c r="X36" s="54"/>
      <c r="Y36" s="58">
        <f>[1]!s_fa_bps2($D$2,Y25,"")</f>
        <v>15.159599999999999</v>
      </c>
      <c r="Z36" s="54"/>
      <c r="AA36" s="58">
        <f>[1]!s_fa_bps2($D$2,AA25,"")</f>
        <v>16.773399999999999</v>
      </c>
      <c r="AB36" s="54"/>
      <c r="AC36" s="58">
        <f>[1]!s_fa_bps2($D$2,AC25,"")</f>
        <v>18.795100000000001</v>
      </c>
      <c r="AD36" s="54"/>
      <c r="AE36" s="58">
        <f>[1]!s_fa_bps2($D$2,AE25,"")</f>
        <v>20.735099999999999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1.54</v>
      </c>
      <c r="X37" s="57"/>
      <c r="Y37" s="63">
        <f>[1]!s_fa_eps_basic2($D$2,Y25,"")</f>
        <v>1.4</v>
      </c>
      <c r="Z37" s="57"/>
      <c r="AA37" s="63">
        <f>[1]!s_fa_eps_basic2($D$2,AA25,"")</f>
        <v>1.73</v>
      </c>
      <c r="AB37" s="57"/>
      <c r="AC37" s="63">
        <f>[1]!s_fa_eps_basic2($D$2,AC25,"")</f>
        <v>2.2000000000000002</v>
      </c>
      <c r="AD37" s="57"/>
      <c r="AE37" s="63">
        <f>[1]!s_fa_eps_basic2($D$2,AE25,"")</f>
        <v>2.25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8.0448221081419469E-2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0.21800000000000003</v>
      </c>
      <c r="X38" s="58"/>
      <c r="Y38" s="58">
        <f>[1]!s_div_cashbeforetax($D$2,Y25)</f>
        <v>0.18</v>
      </c>
      <c r="Z38" s="58"/>
      <c r="AA38" s="58">
        <f>[1]!s_div_cashbeforetax($D$2,AA25)</f>
        <v>0.22799999999999998</v>
      </c>
      <c r="AB38" s="58"/>
      <c r="AC38" s="58">
        <f>[1]!s_div_cashbeforetax($D$2,AC25)</f>
        <v>0.28500000000000003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-2.3989647609548581E-2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14.2%</v>
      </c>
      <c r="X39" s="82"/>
      <c r="Y39" s="93" t="str">
        <f>IFERROR(ROUND(Y38/Y37*100,1)&amp;"%","NA")</f>
        <v>12.9%</v>
      </c>
      <c r="Z39" s="82"/>
      <c r="AA39" s="93" t="str">
        <f>IFERROR(ROUND(AA38/AA37*100,1)&amp;"%","NA")</f>
        <v>13.2%</v>
      </c>
      <c r="AB39" s="82"/>
      <c r="AC39" s="93" t="str">
        <f>IFERROR(ROUND(AC38/AC37*100,1)&amp;"%","NA")</f>
        <v>13%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2.5450690282282196E-2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000001.SZ</v>
      </c>
      <c r="U43" s="101" t="str">
        <f>[1]!S_Info_Name(T43)</f>
        <v>平安银行</v>
      </c>
      <c r="V43" s="65">
        <f>[1]!s_share_issuing_mkt(T43,W43,10000)</f>
        <v>1940591.8197999999</v>
      </c>
      <c r="W43" s="102" t="str">
        <f>[1]!lastradeday_s(T43,F2)</f>
        <v>2024-04-25</v>
      </c>
      <c r="X43" s="102"/>
      <c r="Y43" s="71">
        <f>[1]!S_DQ_CLOSE(T43,W43,1)</f>
        <v>10.61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2058.9679208077996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>
        <f>IFERROR([1]!s_info_hsharecode(T43),"")</f>
        <v>0</v>
      </c>
      <c r="U44" s="103">
        <f>[1]!HKS_INFO_NAME(T44)</f>
        <v>0</v>
      </c>
      <c r="V44" s="60">
        <f>[1]!s_share_issuing_mkt(T44,W44,10000)</f>
        <v>0</v>
      </c>
      <c r="W44" s="104">
        <f>[1]!lastradeday_s(T44,F2)</f>
        <v>0</v>
      </c>
      <c r="X44" s="104"/>
      <c r="Y44" s="73">
        <f>[1]!S_DQ_CLOSE(T44,W44,1)</f>
        <v>0</v>
      </c>
      <c r="Z44" s="73"/>
      <c r="AA44" s="73">
        <f>[1]!hks_info_tradecur(T44)</f>
        <v>0</v>
      </c>
      <c r="AB44" s="73"/>
      <c r="AC44" s="73">
        <f>IF([1]!hks_info_tradecur(T44)="CNY",1,[1]!S_DQ_CLOSE([1]!hks_info_tradecur(T44)&amp;"CNY.EX",W44,1))</f>
        <v>0</v>
      </c>
      <c r="AD44" s="73"/>
      <c r="AE44" s="92">
        <f>V44*Y44*AC44/10000</f>
        <v>0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0.12076166899357532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1940591.8197999999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2058.9679208077996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交通银行</v>
      </c>
      <c r="D2" s="184" t="s">
        <v>252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601328.SH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交通银行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交通银行股份有限公司</v>
      </c>
      <c r="G8" s="13"/>
      <c r="H8" s="49"/>
      <c r="I8" s="53" t="s">
        <v>23</v>
      </c>
      <c r="J8" s="58">
        <f>IF([1]!s_fa_bps2(D2,J7,"Cur=CNY"),[1]!s_fa_bps2(D2,J7,"Cur=CNY"),"NA")</f>
        <v>12.2974</v>
      </c>
      <c r="K8" s="58"/>
      <c r="L8" s="58">
        <f>IF([1]!s_west_medianbps($D$2,YEAR(L7),L7,180)=0,"NA",[1]!s_west_medianbps($D$2,YEAR(L7),L7,180))</f>
        <v>13.180000305175781</v>
      </c>
      <c r="M8" s="58"/>
      <c r="N8" s="58">
        <f>IF([1]!s_west_medianbps($D$2,YEAR(N7),N7,180)=0,"NA",[1]!s_west_medianbps($D$2,YEAR(N7),N7,180))</f>
        <v>14.069999694824219</v>
      </c>
      <c r="O8" s="58"/>
      <c r="P8" s="58">
        <f>IF([1]!s_west_medianbps($D$2,YEAR(P7),P7,180)=0,"NA",[1]!s_west_medianbps($D$2,YEAR(P7),P7,180))</f>
        <v>14.899999618530273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10234.09</v>
      </c>
      <c r="X8" s="58"/>
      <c r="Y8" s="60">
        <f>W12</f>
        <v>10880.3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1.1499999999999999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932.52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0.37969999999999998</v>
      </c>
      <c r="M10" s="58"/>
      <c r="N10" s="58">
        <f>IF([1]!s_est_avgdps($D$2,YEAR(N7),$F$2)=0,"NA",[1]!s_est_avgdps($D$2,YEAR(N7),$F$2))</f>
        <v>0.38769999999999999</v>
      </c>
      <c r="O10" s="58"/>
      <c r="P10" s="58">
        <f>IF([1]!s_est_avgdps($D$2,YEAR(P7),$F$2)=0,"NA",[1]!s_est_avgdps($D$2,YEAR(P7),$F$2))</f>
        <v>0.40770000000000001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281.97557307106501</v>
      </c>
      <c r="Z10" s="58"/>
      <c r="AA10" s="60">
        <f>IFERROR(N10*$F$25/10000,"")</f>
        <v>287.91659120266496</v>
      </c>
      <c r="AB10" s="58"/>
      <c r="AC10" s="60">
        <f>IFERROR(P10*$F$25/10000,"")</f>
        <v>302.76913653166497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8.7834000000000009E-2</v>
      </c>
      <c r="K11" s="90"/>
      <c r="L11" s="90">
        <f>IF([1]!s_est_avgroe($D$2,YEAR(L7),$F$2)/100=0,"NA",[1]!s_est_avgroe($D$2,YEAR(L7),$F$2)/100)</f>
        <v>9.4757003784179686E-2</v>
      </c>
      <c r="M11" s="90"/>
      <c r="N11" s="90">
        <f>IF([1]!s_est_avgroe($D$2,YEAR(N7),$F$2)/100=0,"NA",[1]!s_est_avgroe($D$2,YEAR(N7),$F$2)/100)</f>
        <v>9.1556997299194337E-2</v>
      </c>
      <c r="O11" s="90"/>
      <c r="P11" s="90">
        <f>IF([1]!s_est_avgroe($D$2,YEAR(P7),$F$2)/100=0,"NA",[1]!s_est_avgroe($D$2,YEAR(P7),$F$2)/100)</f>
        <v>8.7600002288818354E-2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6.894E-3</v>
      </c>
      <c r="K12" s="79"/>
      <c r="L12" s="79">
        <f>IF([1]!s_est_avgroa($D$2,YEAR(L7),$F$2)/100=0,"NA",[1]!s_est_avgroa($D$2,YEAR(L7),$F$2)/100)</f>
        <v>6.4710000000000002E-3</v>
      </c>
      <c r="M12" s="79"/>
      <c r="N12" s="79">
        <f>IF([1]!s_est_avgroa($D$2,YEAR(N7),$F$2)/100=0,"NA",[1]!s_est_avgroa($D$2,YEAR(N7),$F$2)/100)</f>
        <v>6.1570000000000001E-3</v>
      </c>
      <c r="O12" s="79"/>
      <c r="P12" s="79">
        <f>IF([1]!s_est_avgroa($D$2,YEAR(P7),$F$2)/100=0,"NA",[1]!s_est_avgroa($D$2,YEAR(P7),$F$2)/100)</f>
        <v>5.9170000000000004E-3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10880.3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6.94</v>
      </c>
      <c r="G13" s="70"/>
      <c r="H13" s="49"/>
      <c r="I13" s="56" t="s">
        <v>154</v>
      </c>
      <c r="J13" s="63">
        <f>[1]!s_fa_ebit2(D2,J7,1,100000000)</f>
        <v>1201.46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1201.46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10154.799999999999</v>
      </c>
      <c r="X14" s="59"/>
      <c r="Y14" s="60">
        <f>IFERROR(W15,"")</f>
        <v>10788.15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7908.3595999999998</v>
      </c>
      <c r="G15" s="70"/>
      <c r="H15" s="49"/>
      <c r="I15" s="56" t="s">
        <v>36</v>
      </c>
      <c r="J15" s="64">
        <f>[1]!S_STM07_IS(D2,"W31737944",J7,1,100000000)</f>
        <v>2575.9499999999998</v>
      </c>
      <c r="K15" s="64"/>
      <c r="L15" s="64">
        <f>IF( [1]!s_est_sales($D$2,YEAR(L7),L7,100000000)=0,"NA", [1]!s_est_sales($D$2,YEAR(L7),L7,100000000))</f>
        <v>2610.56571429</v>
      </c>
      <c r="M15" s="64"/>
      <c r="N15" s="64">
        <f>IF( [1]!s_est_sales($D$2,YEAR(N7),N7,100000000)=0,"NA", [1]!s_est_sales($D$2,YEAR(N7),N7,100000000))</f>
        <v>2688.41</v>
      </c>
      <c r="O15" s="64"/>
      <c r="P15" s="64">
        <f>IF( [1]!s_est_sales($D$2,YEAR(P7),P7,100000000)=0,"NA", [1]!s_est_sales($D$2,YEAR(P7),P7,100000000))</f>
        <v>2696.2966666700004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10788.15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6.94</v>
      </c>
      <c r="G16" s="49"/>
      <c r="H16" s="49"/>
      <c r="I16" s="53" t="s">
        <v>150</v>
      </c>
      <c r="J16" s="59">
        <f>[1]!S_STM07_IS(D2,"W38046687",J7,1,100000000)</f>
        <v>996.98</v>
      </c>
      <c r="K16" s="59"/>
      <c r="L16" s="59">
        <f>IF( [1]!s_est_avgebt($D$2,YEAR(L7),L7,100000000)=0,"NA", [1]!s_est_avgebt($D$2,YEAR(L7),L7,100000000))</f>
        <v>1048.9549999999999</v>
      </c>
      <c r="M16" s="59"/>
      <c r="N16" s="59">
        <f>IF( [1]!s_est_avgebt($D$2,YEAR(N7),N7,100000000)=0,"NA", [1]!s_est_avgebt($D$2,YEAR(N7),N7,100000000))</f>
        <v>1085.34166667</v>
      </c>
      <c r="O16" s="59"/>
      <c r="P16" s="59">
        <f>IF( [1]!s_est_avgebt($D$2,YEAR(P7),P7,100000000)=0,"NA", [1]!s_est_avgebt($D$2,YEAR(P7),P7,100000000))</f>
        <v>1078.9459999999999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0.43375000000000002</v>
      </c>
      <c r="G17" s="70"/>
      <c r="H17" s="49"/>
      <c r="I17" s="56" t="s">
        <v>148</v>
      </c>
      <c r="J17" s="64">
        <f>[1]!S_STM07_IS(D2,"W37790734",J7,1,100000000)</f>
        <v>932.52</v>
      </c>
      <c r="K17" s="64"/>
      <c r="L17" s="64">
        <f>IF( [1]!s_est_netprofit($D$2,YEAR(L7),L7,100000000)=0,"NA", [1]!s_est_netprofit($D$2,YEAR(L7),L7,100000000))</f>
        <v>904.81428571000004</v>
      </c>
      <c r="M17" s="64"/>
      <c r="N17" s="64">
        <f>IF( [1]!s_est_netprofit($D$2,YEAR(N7),N7,100000000)=0,"NA", [1]!s_est_netprofit($D$2,YEAR(N7),N7,100000000))</f>
        <v>934.83571429000006</v>
      </c>
      <c r="O17" s="64"/>
      <c r="P17" s="64">
        <f>IF( [1]!s_est_netprofit($D$2,YEAR(P7),P7,100000000)=0,"NA", [1]!s_est_netprofit($D$2,YEAR(P7),P7,100000000))</f>
        <v>952.42833332999999</v>
      </c>
      <c r="Q17" s="64"/>
      <c r="R17" s="64"/>
      <c r="S17" s="54"/>
      <c r="T17" s="56" t="s">
        <v>147</v>
      </c>
      <c r="U17" s="20"/>
      <c r="V17" s="20"/>
      <c r="W17" s="65">
        <f>IFERROR(AC27,"NA")</f>
        <v>129924.19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5.43</v>
      </c>
      <c r="G18" s="49"/>
      <c r="H18" s="49"/>
      <c r="I18" s="76" t="s">
        <v>42</v>
      </c>
      <c r="J18" s="77">
        <f>[1]!S_STM07_IS(D2,"W39201613",J7,1,100000000)</f>
        <v>994.31</v>
      </c>
      <c r="K18" s="77"/>
      <c r="L18" s="77">
        <f>IF( [1]!s_est_avgoperatingprofit($D$2,YEAR(L7),L7,100000000)=0,"NA", [1]!s_est_avgoperatingprofit($D$2,YEAR(L7),L7,100000000))</f>
        <v>999.94666667000001</v>
      </c>
      <c r="M18" s="77"/>
      <c r="N18" s="77">
        <f>IF( [1]!s_est_avgoperatingprofit($D$2,YEAR(N7),N7,100000000)=0,"NA", [1]!s_est_avgoperatingprofit($D$2,YEAR(N7),N7,100000000))</f>
        <v>1024.4533333300001</v>
      </c>
      <c r="O18" s="77"/>
      <c r="P18" s="77">
        <f>IF( [1]!s_est_avgoperatingprofit($D$2,YEAR(P7),P7,100000000)=0,"NA", [1]!s_est_avgoperatingprofit($D$2,YEAR(P7),P7,100000000))</f>
        <v>1065.98666667</v>
      </c>
      <c r="Q18" s="77"/>
      <c r="R18" s="77"/>
      <c r="S18" s="54"/>
      <c r="T18" s="53" t="s">
        <v>145</v>
      </c>
      <c r="U18" s="13"/>
      <c r="V18" s="13"/>
      <c r="W18" s="60">
        <f>IFERROR(AE27,"NA")</f>
        <v>140604.72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1.278084714548803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18.591397087550153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8.8330280912685619E-2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0.47826372279504398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8.9053356857558288E-2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1464057.2277595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6.03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0.56000000000000005</v>
      </c>
      <c r="K24" s="63"/>
      <c r="L24" s="63">
        <f>IFERROR(ROUND($F$13/HLOOKUP(DATE(LEFT(L22,4),12,31),$I$7:$P$18,2,0),2),"  NA")</f>
        <v>0.53</v>
      </c>
      <c r="M24" s="63"/>
      <c r="N24" s="63">
        <f>IFERROR(ROUND($F$13/HLOOKUP(DATE(LEFT(N22,4),12,31),$I$7:$P$18,2,0),2),"  NA")</f>
        <v>0.49</v>
      </c>
      <c r="O24" s="63"/>
      <c r="P24" s="63">
        <f>IFERROR(ROUND($F$13/HLOOKUP(DATE(LEFT(P22,4),12,31),$I$7:$P$18,2,0),2),"  NA")</f>
        <v>0.47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7426272.6645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5.4711815561959649E-2</v>
      </c>
      <c r="M25" s="177"/>
      <c r="N25" s="177">
        <f>IFERROR(HLOOKUP(DATE(LEFT(N22,4),12,31),$I$7:$P$18,4,0)/$F$13,"NA")</f>
        <v>5.5864553314121032E-2</v>
      </c>
      <c r="O25" s="58"/>
      <c r="P25" s="177">
        <f>IFERROR(HLOOKUP(DATE(LEFT(P22,4),12,31),$I$7:$P$18,4,0)/$F$13,"NA")</f>
        <v>5.8746397694524492E-2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8.7834000000000009E-2</v>
      </c>
      <c r="K26" s="90"/>
      <c r="L26" s="90">
        <f>IFERROR(HLOOKUP(DATE(LEFT(L22,4),12,31),$I$7:$P$18,5,0),"NA")</f>
        <v>9.4757003784179686E-2</v>
      </c>
      <c r="M26" s="90"/>
      <c r="N26" s="90">
        <f>IFERROR(HLOOKUP(DATE(LEFT(N22,4),12,31),$I$7:$P$18,5,0),"NA")</f>
        <v>9.1556997299194337E-2</v>
      </c>
      <c r="O26" s="90"/>
      <c r="P26" s="90">
        <f>IFERROR(HLOOKUP(DATE(LEFT(P22,4),12,31),$I$7:$P$18,5,0),"NA")</f>
        <v>8.7600002288818354E-2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6.894E-3</v>
      </c>
      <c r="K27" s="79"/>
      <c r="L27" s="79">
        <f>IFERROR(HLOOKUP(DATE(LEFT(L22,4),12,31),$I$7:$P$18,6,0),"NA")</f>
        <v>6.4710000000000002E-3</v>
      </c>
      <c r="M27" s="79"/>
      <c r="N27" s="79">
        <f>IFERROR(HLOOKUP(DATE(LEFT(N22,4),12,31),$I$7:$P$18,6,0),"NA")</f>
        <v>6.1570000000000001E-3</v>
      </c>
      <c r="O27" s="79"/>
      <c r="P27" s="79">
        <f>IFERROR(HLOOKUP(DATE(LEFT(P22,4),12,31),$I$7:$P$18,6,0),"NA")</f>
        <v>5.9170000000000004E-3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99056</v>
      </c>
      <c r="X27" s="63"/>
      <c r="Y27" s="65">
        <f>[1]!S_STM07_BS($D$2,"W34853906",Y25,1,100000000)</f>
        <v>106976.16</v>
      </c>
      <c r="Z27" s="63"/>
      <c r="AA27" s="65">
        <f>[1]!S_STM07_BS($D$2,"W34853906",AA25,1,100000000)</f>
        <v>116657.57</v>
      </c>
      <c r="AB27" s="63"/>
      <c r="AC27" s="65">
        <f>[1]!S_STM07_BS($D$2,"W34853906",AC25,1,100000000)</f>
        <v>129924.19</v>
      </c>
      <c r="AD27" s="63"/>
      <c r="AE27" s="65">
        <f>[1]!S_STM07_BS($D$2,"W34853906",AE25,1,100000000)</f>
        <v>140604.72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1201.46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1685.7</v>
      </c>
      <c r="X28" s="58"/>
      <c r="Y28" s="60">
        <f>[1]!S_STM07_BS($D$2,"W33507207",Y25,1,100000000)</f>
        <v>1661.18</v>
      </c>
      <c r="Z28" s="58"/>
      <c r="AA28" s="60">
        <f>[1]!S_STM07_BS($D$2,"W33507207",AA25,1,100000000)</f>
        <v>1682.47</v>
      </c>
      <c r="AB28" s="58"/>
      <c r="AC28" s="60">
        <f>[1]!S_STM07_BS($D$2,"W33507207",AC25,1,100000000)</f>
        <v>1906.7</v>
      </c>
      <c r="AD28" s="58"/>
      <c r="AE28" s="60">
        <f>[1]!S_STM07_BS($D$2,"W33507207",AE25,1,100000000)</f>
        <v>2157.25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1201.46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59.23</v>
      </c>
      <c r="X29" s="63"/>
      <c r="Y29" s="65">
        <f>[1]!S_STMNOTE_AssetDetail($D$2,"W32371214",Y25,100000000)</f>
        <v>66.180000000000007</v>
      </c>
      <c r="Z29" s="63"/>
      <c r="AA29" s="65">
        <f>[1]!S_STMNOTE_AssetDetail($D$2,"W32371214",AA25,100000000)</f>
        <v>73.23</v>
      </c>
      <c r="AB29" s="63"/>
      <c r="AC29" s="65">
        <f>[1]!S_STMNOTE_AssetDetail($D$2,"W32371214",AC25,100000000)</f>
        <v>79.290000000000006</v>
      </c>
      <c r="AD29" s="63"/>
      <c r="AE29" s="65">
        <f>[1]!S_STMNOTE_AssetDetail($D$2,"W32371214",AE25,100000000)</f>
        <v>92.15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2575.9499999999998</v>
      </c>
      <c r="K30" s="64"/>
      <c r="L30" s="64">
        <f>IFERROR(ROUND(HLOOKUP(DATE(LEFT(L22,4),12,31),$I$7:$P$18,9,0),2),"NA")</f>
        <v>2610.5700000000002</v>
      </c>
      <c r="M30" s="64"/>
      <c r="N30" s="64">
        <f>IFERROR(ROUND(HLOOKUP(DATE(LEFT(N22,4),12,31),$I$7:$P$18,9,0),2),"NA")</f>
        <v>2688.41</v>
      </c>
      <c r="O30" s="64"/>
      <c r="P30" s="64">
        <f>IFERROR(ROUND(HLOOKUP(DATE(LEFT(P22,4),12,31),$I$7:$P$18,9,0),2),"NA")</f>
        <v>2696.3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7932.47</v>
      </c>
      <c r="X30" s="58"/>
      <c r="Y30" s="60">
        <f>[1]!S_STM07_BS($D$2,"W34656681",Y25,1,100000000)</f>
        <v>8666.07</v>
      </c>
      <c r="Z30" s="58"/>
      <c r="AA30" s="60">
        <f>[1]!S_STM07_BS($D$2,"W34656681",AA25,1,100000000)</f>
        <v>9646.4699999999993</v>
      </c>
      <c r="AB30" s="58"/>
      <c r="AC30" s="60">
        <f>[1]!S_STM07_BS($D$2,"W34656681",AC25,1,100000000)</f>
        <v>10234.09</v>
      </c>
      <c r="AD30" s="58"/>
      <c r="AE30" s="60">
        <f>[1]!S_STM07_BS($D$2,"W34656681",AE25,1,100000000)</f>
        <v>10880.3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996.98</v>
      </c>
      <c r="K31" s="59"/>
      <c r="L31" s="59">
        <f>IFERROR(ROUND(HLOOKUP(DATE(LEFT(L22,4),12,31),$I$7:$P$18,10,0),2),"NA")</f>
        <v>1048.96</v>
      </c>
      <c r="M31" s="59"/>
      <c r="N31" s="59">
        <f>IFERROR(ROUND(HLOOKUP(DATE(LEFT(N22,4),12,31),$I$7:$P$18,10,0),2),"NA")</f>
        <v>1085.3399999999999</v>
      </c>
      <c r="O31" s="59"/>
      <c r="P31" s="59">
        <f>IFERROR(ROUND(HLOOKUP(DATE(LEFT(P22,4),12,31),$I$7:$P$18,10,0),2),"NA")</f>
        <v>1078.95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7426272.6645</v>
      </c>
      <c r="G32" s="70"/>
      <c r="H32" s="49"/>
      <c r="I32" s="56" t="s">
        <v>112</v>
      </c>
      <c r="J32" s="64">
        <f>IFERROR(ROUND(HLOOKUP(DATE(LEFT(J22,4),12,31),$I$7:$P$18,11,0),2),"NA")</f>
        <v>932.52</v>
      </c>
      <c r="K32" s="64"/>
      <c r="L32" s="64">
        <f>IFERROR(ROUND(HLOOKUP(DATE(LEFT(L22,4),12,31),$I$7:$P$18,11,0),2),"NA")</f>
        <v>904.81</v>
      </c>
      <c r="M32" s="64"/>
      <c r="N32" s="64">
        <f>IFERROR(ROUND(HLOOKUP(DATE(LEFT(N22,4),12,31),$I$7:$P$18,11,0),2),"NA")</f>
        <v>934.84</v>
      </c>
      <c r="O32" s="64"/>
      <c r="P32" s="64">
        <f>IFERROR(ROUND(HLOOKUP(DATE(LEFT(P22,4),12,31),$I$7:$P$18,11,0),2),"NA")</f>
        <v>952.43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2324.7199999999998</v>
      </c>
      <c r="X32" s="59"/>
      <c r="Y32" s="60">
        <f>[1]!S_STM07_IS($D$2,"W33865145",Y25,1,100000000)</f>
        <v>2462</v>
      </c>
      <c r="Z32" s="59"/>
      <c r="AA32" s="60">
        <f>[1]!S_STM07_IS($D$2,"W33865145",AA25,1,100000000)</f>
        <v>2693.9</v>
      </c>
      <c r="AB32" s="59"/>
      <c r="AC32" s="60">
        <f>[1]!S_STM07_IS($D$2,"W33865145",AC25,1,100000000)</f>
        <v>2729.78</v>
      </c>
      <c r="AD32" s="59"/>
      <c r="AE32" s="60">
        <f>[1]!S_STM07_IS($D$2,"W33865145",AE25,1,100000000)</f>
        <v>2575.9499999999998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4452.3422717859448</v>
      </c>
      <c r="G33" s="49"/>
      <c r="H33" s="49"/>
      <c r="I33" s="76" t="s">
        <v>109</v>
      </c>
      <c r="J33" s="77">
        <f>IFERROR(ROUND(HLOOKUP(DATE(LEFT(J22,4),12,31),$I$7:$P$18,12,0),2),"NA")</f>
        <v>994.31</v>
      </c>
      <c r="K33" s="77"/>
      <c r="L33" s="77">
        <f>IFERROR(ROUND(HLOOKUP(DATE(LEFT(L22,4),12,31),$I$7:$P$18,12,0),2),"NA")</f>
        <v>999.95</v>
      </c>
      <c r="M33" s="77"/>
      <c r="N33" s="77">
        <f>IFERROR(ROUND(HLOOKUP(DATE(LEFT(N22,4),12,31),$I$7:$P$18,12,0),2),"NA")</f>
        <v>1024.45</v>
      </c>
      <c r="O33" s="77"/>
      <c r="P33" s="77">
        <f>IFERROR(ROUND(HLOOKUP(DATE(LEFT(P22,4),12,31),$I$7:$P$18,12,0),2),"NA")</f>
        <v>1065.99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1443.24</v>
      </c>
      <c r="X33" s="64"/>
      <c r="Y33" s="65">
        <f>[1]!S_STM07_IS($D$2,"W32436009",Y25,1,100000000)</f>
        <v>1599.87</v>
      </c>
      <c r="Z33" s="64"/>
      <c r="AA33" s="65">
        <f>[1]!S_STM07_IS($D$2,"W32436009",AA25,1,100000000)</f>
        <v>1756.37</v>
      </c>
      <c r="AB33" s="64"/>
      <c r="AC33" s="65">
        <f>[1]!S_STM07_IS($D$2,"W32436009",AC25,1,100000000)</f>
        <v>1750.11</v>
      </c>
      <c r="AD33" s="64"/>
      <c r="AE33" s="65">
        <f>[1]!S_STM07_IS($D$2,"W32436009",AE25,1,100000000)</f>
        <v>1581.64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5153.8332291630004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772.81</v>
      </c>
      <c r="X34" s="59"/>
      <c r="Y34" s="60">
        <f>[1]!S_STM07_IS($D$2,"W30028333",Y25,1,100000000)</f>
        <v>782.74</v>
      </c>
      <c r="Z34" s="59"/>
      <c r="AA34" s="60">
        <f>[1]!S_STM07_IS($D$2,"W30028333",AA25,1,100000000)</f>
        <v>875.81</v>
      </c>
      <c r="AB34" s="59"/>
      <c r="AC34" s="60">
        <f>[1]!S_STM07_IS($D$2,"W30028333",AC25,1,100000000)</f>
        <v>921.49</v>
      </c>
      <c r="AD34" s="59"/>
      <c r="AE34" s="60">
        <f>[1]!S_STM07_IS($D$2,"W30028333",AE25,1,100000000)</f>
        <v>927.28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128089.04227178593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9.3368000000000002</v>
      </c>
      <c r="X36" s="54"/>
      <c r="Y36" s="58">
        <f>[1]!s_fa_bps2($D$2,Y25,"")</f>
        <v>9.8745999999999992</v>
      </c>
      <c r="Z36" s="54"/>
      <c r="AA36" s="58">
        <f>[1]!s_fa_bps2($D$2,AA25,"")</f>
        <v>10.635999999999999</v>
      </c>
      <c r="AB36" s="54"/>
      <c r="AC36" s="58">
        <f>[1]!s_fa_bps2($D$2,AC25,"")</f>
        <v>11.427300000000001</v>
      </c>
      <c r="AD36" s="54"/>
      <c r="AE36" s="58">
        <f>[1]!s_fa_bps2($D$2,AE25,"")</f>
        <v>12.2974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1</v>
      </c>
      <c r="X37" s="57"/>
      <c r="Y37" s="63">
        <f>[1]!s_fa_eps_basic2($D$2,Y25,"")</f>
        <v>0.99</v>
      </c>
      <c r="Z37" s="57"/>
      <c r="AA37" s="63">
        <f>[1]!s_fa_eps_basic2($D$2,AA25,"")</f>
        <v>1.1000000000000001</v>
      </c>
      <c r="AB37" s="57"/>
      <c r="AC37" s="63">
        <f>[1]!s_fa_eps_basic2($D$2,AC25,"")</f>
        <v>1.1399999999999999</v>
      </c>
      <c r="AD37" s="57"/>
      <c r="AE37" s="63">
        <f>[1]!s_fa_eps_basic2($D$2,AE25,"")</f>
        <v>1.1499999999999999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6.9646794903243769E-2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0.315</v>
      </c>
      <c r="X38" s="58"/>
      <c r="Y38" s="58">
        <f>[1]!s_div_cashbeforetax($D$2,Y25)</f>
        <v>0.317</v>
      </c>
      <c r="Z38" s="58"/>
      <c r="AA38" s="58">
        <f>[1]!s_div_cashbeforetax($D$2,AA25)</f>
        <v>0.35499999999999998</v>
      </c>
      <c r="AB38" s="58"/>
      <c r="AC38" s="58">
        <f>[1]!s_div_cashbeforetax($D$2,AC25)</f>
        <v>0.373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2.1595653715787755E-2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31.5%</v>
      </c>
      <c r="X39" s="82"/>
      <c r="Y39" s="93" t="str">
        <f>IFERROR(ROUND(Y38/Y37*100,1)&amp;"%","NA")</f>
        <v>32%</v>
      </c>
      <c r="Z39" s="82"/>
      <c r="AA39" s="93" t="str">
        <f>IFERROR(ROUND(AA38/AA37*100,1)&amp;"%","NA")</f>
        <v>32.3%</v>
      </c>
      <c r="AB39" s="82"/>
      <c r="AC39" s="93" t="str">
        <f>IFERROR(ROUND(AC38/AC37*100,1)&amp;"%","NA")</f>
        <v>32.7%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1.240873346840532E-3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601328.SH</v>
      </c>
      <c r="U43" s="101" t="str">
        <f>[1]!S_Info_Name(T43)</f>
        <v>交通银行</v>
      </c>
      <c r="V43" s="65">
        <f>[1]!s_share_issuing_mkt(T43,W43,10000)</f>
        <v>3925086.4015000002</v>
      </c>
      <c r="W43" s="102" t="str">
        <f>[1]!lastradeday_s(T43,F2)</f>
        <v>2024-04-25</v>
      </c>
      <c r="X43" s="102"/>
      <c r="Y43" s="71">
        <f>[1]!S_DQ_CLOSE(T43,W43,1)</f>
        <v>6.94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2724.0099626410006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 t="str">
        <f>IFERROR([1]!s_info_hsharecode(T43),"")</f>
        <v>3328.HK</v>
      </c>
      <c r="U44" s="103" t="str">
        <f>[1]!HKS_INFO_NAME(T44)</f>
        <v>交通银行</v>
      </c>
      <c r="V44" s="60">
        <f>[1]!s_share_issuing_mkt(T44,W44,10000)</f>
        <v>3501186.2629999998</v>
      </c>
      <c r="W44" s="104" t="str">
        <f>[1]!lastradeday_s(T44,F2)</f>
        <v>2024-04-25</v>
      </c>
      <c r="X44" s="104"/>
      <c r="Y44" s="73">
        <f>[1]!S_DQ_CLOSE(T44,W44,1)</f>
        <v>5.44</v>
      </c>
      <c r="Z44" s="73"/>
      <c r="AA44" s="73" t="str">
        <f>[1]!hks_info_tradecur(T44)</f>
        <v>HKD</v>
      </c>
      <c r="AB44" s="73"/>
      <c r="AC44" s="73">
        <f>IF([1]!hks_info_tradecur(T44)="CNY",1,[1]!S_DQ_CLOSE([1]!hks_info_tradecur(T44)&amp;"CNY.EX",W44,1))</f>
        <v>0.90742999999999996</v>
      </c>
      <c r="AD44" s="73"/>
      <c r="AE44" s="92">
        <f>V44*Y44*AC44/10000</f>
        <v>1728.3323091449452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1.5044743055696363E-2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7426272.6645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4452.3422717859457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中信银行</v>
      </c>
      <c r="D2" s="184" t="s">
        <v>251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601998.SH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中信银行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中信银行股份有限公司</v>
      </c>
      <c r="G8" s="13"/>
      <c r="H8" s="49"/>
      <c r="I8" s="53" t="s">
        <v>23</v>
      </c>
      <c r="J8" s="58">
        <f>IF([1]!s_fa_bps2(D2,J7,"Cur=CNY"),[1]!s_fa_bps2(D2,J7,"Cur=CNY"),"NA")</f>
        <v>12.2361</v>
      </c>
      <c r="K8" s="58"/>
      <c r="L8" s="58">
        <f>IF([1]!s_west_medianbps($D$2,YEAR(L7),L7,180)=0,"NA",[1]!s_west_medianbps($D$2,YEAR(L7),L7,180))</f>
        <v>12.211299896240234</v>
      </c>
      <c r="M8" s="58"/>
      <c r="N8" s="58">
        <f>IF([1]!s_west_medianbps($D$2,YEAR(N7),N7,180)=0,"NA",[1]!s_west_medianbps($D$2,YEAR(N7),N7,180))</f>
        <v>13.249300003051758</v>
      </c>
      <c r="O8" s="58"/>
      <c r="P8" s="58">
        <f>IF([1]!s_west_medianbps($D$2,YEAR(P7),P7,180)=0,"NA",[1]!s_west_medianbps($D$2,YEAR(P7),P7,180))</f>
        <v>14.306599617004395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6654.18</v>
      </c>
      <c r="X8" s="58"/>
      <c r="Y8" s="60">
        <f>W12</f>
        <v>7172.22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1.27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680.62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0.34310000000000002</v>
      </c>
      <c r="M10" s="58"/>
      <c r="N10" s="58">
        <f>IF([1]!s_est_avgdps($D$2,YEAR(N7),$F$2)=0,"NA",[1]!s_est_avgdps($D$2,YEAR(N7),$F$2))</f>
        <v>0.36149999999999999</v>
      </c>
      <c r="O10" s="58"/>
      <c r="P10" s="58">
        <f>IF([1]!s_est_avgdps($D$2,YEAR(P7),$F$2)=0,"NA",[1]!s_est_avgdps($D$2,YEAR(P7),$F$2))</f>
        <v>0.3891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182.84749852243598</v>
      </c>
      <c r="Z10" s="58"/>
      <c r="AA10" s="60">
        <f>IFERROR(N10*$F$25/10000,"")</f>
        <v>192.65336845194</v>
      </c>
      <c r="AB10" s="58"/>
      <c r="AC10" s="60">
        <f>IFERROR(P10*$F$25/10000,"")</f>
        <v>207.36217334619599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9.6938999999999997E-2</v>
      </c>
      <c r="K11" s="90"/>
      <c r="L11" s="90">
        <f>IF([1]!s_est_avgroe($D$2,YEAR(L7),$F$2)/100=0,"NA",[1]!s_est_avgroe($D$2,YEAR(L7),$F$2)/100)</f>
        <v>0.10899999618530273</v>
      </c>
      <c r="M11" s="90"/>
      <c r="N11" s="90">
        <f>IF([1]!s_est_avgroe($D$2,YEAR(N7),$F$2)/100=0,"NA",[1]!s_est_avgroe($D$2,YEAR(N7),$F$2)/100)</f>
        <v>0.10812000274658203</v>
      </c>
      <c r="O11" s="90"/>
      <c r="P11" s="90">
        <f>IF([1]!s_est_avgroe($D$2,YEAR(P7),$F$2)/100=0,"NA",[1]!s_est_avgroe($D$2,YEAR(P7),$F$2)/100)</f>
        <v>0.10685999870300293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7.7339999999999996E-3</v>
      </c>
      <c r="K12" s="79"/>
      <c r="L12" s="79">
        <f>IF([1]!s_est_avgroa($D$2,YEAR(L7),$F$2)/100=0,"NA",[1]!s_est_avgroa($D$2,YEAR(L7),$F$2)/100)</f>
        <v>7.6400000000000001E-3</v>
      </c>
      <c r="M12" s="79"/>
      <c r="N12" s="79">
        <f>IF([1]!s_est_avgroa($D$2,YEAR(N7),$F$2)/100=0,"NA",[1]!s_est_avgroa($D$2,YEAR(N7),$F$2)/100)</f>
        <v>7.7200000000000003E-3</v>
      </c>
      <c r="O12" s="79"/>
      <c r="P12" s="79">
        <f>IF([1]!s_est_avgroa($D$2,YEAR(P7),$F$2)/100=0,"NA",[1]!s_est_avgroa($D$2,YEAR(P7),$F$2)/100)</f>
        <v>7.6400000000000001E-3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7172.22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6.96</v>
      </c>
      <c r="G13" s="70"/>
      <c r="H13" s="49"/>
      <c r="I13" s="56" t="s">
        <v>154</v>
      </c>
      <c r="J13" s="63">
        <f>[1]!s_fa_ebit2(D2,J7,1,100000000)</f>
        <v>751.73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800.71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6654.18</v>
      </c>
      <c r="X14" s="59"/>
      <c r="Y14" s="60">
        <f>IFERROR(W15,"")</f>
        <v>7172.22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6043.0867000000007</v>
      </c>
      <c r="G15" s="70"/>
      <c r="H15" s="49"/>
      <c r="I15" s="56" t="s">
        <v>36</v>
      </c>
      <c r="J15" s="64">
        <f>[1]!S_STM07_IS(D2,"W31737944",J7,1,100000000)</f>
        <v>2058.96</v>
      </c>
      <c r="K15" s="64"/>
      <c r="L15" s="64">
        <f>IF( [1]!s_est_sales($D$2,YEAR(L7),L7,100000000)=0,"NA", [1]!s_est_sales($D$2,YEAR(L7),L7,100000000))</f>
        <v>2049.3119999999999</v>
      </c>
      <c r="M15" s="64"/>
      <c r="N15" s="64">
        <f>IF( [1]!s_est_sales($D$2,YEAR(N7),N7,100000000)=0,"NA", [1]!s_est_sales($D$2,YEAR(N7),N7,100000000))</f>
        <v>2129.8440000000001</v>
      </c>
      <c r="O15" s="64"/>
      <c r="P15" s="64">
        <f>IF( [1]!s_est_sales($D$2,YEAR(P7),P7,100000000)=0,"NA", [1]!s_est_sales($D$2,YEAR(P7),P7,100000000))</f>
        <v>2247.3319999999999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7172.22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7.93</v>
      </c>
      <c r="G16" s="49"/>
      <c r="H16" s="49"/>
      <c r="I16" s="53" t="s">
        <v>150</v>
      </c>
      <c r="J16" s="59">
        <f>[1]!S_STM07_IS(D2,"W38046687",J7,1,100000000)</f>
        <v>748.87</v>
      </c>
      <c r="K16" s="59"/>
      <c r="L16" s="59">
        <f>IF( [1]!s_est_avgebt($D$2,YEAR(L7),L7,100000000)=0,"NA", [1]!s_est_avgebt($D$2,YEAR(L7),L7,100000000))</f>
        <v>804.10599999999999</v>
      </c>
      <c r="M16" s="59"/>
      <c r="N16" s="59">
        <f>IF( [1]!s_est_avgebt($D$2,YEAR(N7),N7,100000000)=0,"NA", [1]!s_est_avgebt($D$2,YEAR(N7),N7,100000000))</f>
        <v>859.34</v>
      </c>
      <c r="O16" s="59"/>
      <c r="P16" s="59">
        <f>IF( [1]!s_est_avgebt($D$2,YEAR(P7),P7,100000000)=0,"NA", [1]!s_est_avgebt($D$2,YEAR(P7),P7,100000000))</f>
        <v>914.70799999999997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0.435</v>
      </c>
      <c r="G17" s="70"/>
      <c r="H17" s="49"/>
      <c r="I17" s="56" t="s">
        <v>148</v>
      </c>
      <c r="J17" s="64">
        <f>[1]!S_STM07_IS(D2,"W37790734",J7,1,100000000)</f>
        <v>680.62</v>
      </c>
      <c r="K17" s="64"/>
      <c r="L17" s="64">
        <f>IF( [1]!s_est_netprofit($D$2,YEAR(L7),L7,100000000)=0,"NA", [1]!s_est_netprofit($D$2,YEAR(L7),L7,100000000))</f>
        <v>684.73400000000004</v>
      </c>
      <c r="M17" s="64"/>
      <c r="N17" s="64">
        <f>IF( [1]!s_est_netprofit($D$2,YEAR(N7),N7,100000000)=0,"NA", [1]!s_est_netprofit($D$2,YEAR(N7),N7,100000000))</f>
        <v>732.51199999999994</v>
      </c>
      <c r="O17" s="64"/>
      <c r="P17" s="64">
        <f>IF( [1]!s_est_netprofit($D$2,YEAR(P7),P7,100000000)=0,"NA", [1]!s_est_netprofit($D$2,YEAR(P7),P7,100000000))</f>
        <v>780.73800000000006</v>
      </c>
      <c r="Q17" s="64"/>
      <c r="R17" s="64"/>
      <c r="S17" s="54"/>
      <c r="T17" s="56" t="s">
        <v>147</v>
      </c>
      <c r="U17" s="20"/>
      <c r="V17" s="20"/>
      <c r="W17" s="65">
        <f>IFERROR(AC27,"NA")</f>
        <v>85475.43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5.24</v>
      </c>
      <c r="G18" s="49"/>
      <c r="H18" s="49"/>
      <c r="I18" s="76" t="s">
        <v>42</v>
      </c>
      <c r="J18" s="77">
        <f>[1]!S_STM07_IS(D2,"W39201613",J7,1,100000000)</f>
        <v>748.95</v>
      </c>
      <c r="K18" s="77"/>
      <c r="L18" s="77">
        <f>IF( [1]!s_est_avgoperatingprofit($D$2,YEAR(L7),L7,100000000)=0,"NA", [1]!s_est_avgoperatingprofit($D$2,YEAR(L7),L7,100000000))</f>
        <v>768.58</v>
      </c>
      <c r="M18" s="77"/>
      <c r="N18" s="77">
        <f>IF( [1]!s_est_avgoperatingprofit($D$2,YEAR(N7),N7,100000000)=0,"NA", [1]!s_est_avgoperatingprofit($D$2,YEAR(N7),N7,100000000))</f>
        <v>812.72500000000002</v>
      </c>
      <c r="O18" s="77"/>
      <c r="P18" s="77">
        <f>IF( [1]!s_est_avgoperatingprofit($D$2,YEAR(P7),P7,100000000)=0,"NA", [1]!s_est_avgoperatingprofit($D$2,YEAR(P7),P7,100000000))</f>
        <v>864.375</v>
      </c>
      <c r="Q18" s="77"/>
      <c r="R18" s="77"/>
      <c r="S18" s="54"/>
      <c r="T18" s="53" t="s">
        <v>145</v>
      </c>
      <c r="U18" s="13"/>
      <c r="V18" s="13"/>
      <c r="W18" s="60">
        <f>IFERROR(AE27,"NA")</f>
        <v>90524.84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1.3282442748091603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27.13124405424384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9.8452236301568005E-2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0.68271728426212663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9.8452236301568005E-2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1121386.7118223002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5.48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0.56999999999999995</v>
      </c>
      <c r="K24" s="63"/>
      <c r="L24" s="63">
        <f>IFERROR(ROUND($F$13/HLOOKUP(DATE(LEFT(L22,4),12,31),$I$7:$P$18,2,0),2),"  NA")</f>
        <v>0.56999999999999995</v>
      </c>
      <c r="M24" s="63"/>
      <c r="N24" s="63">
        <f>IFERROR(ROUND($F$13/HLOOKUP(DATE(LEFT(N22,4),12,31),$I$7:$P$18,2,0),2),"  NA")</f>
        <v>0.53</v>
      </c>
      <c r="O24" s="63"/>
      <c r="P24" s="63">
        <f>IFERROR(ROUND($F$13/HLOOKUP(DATE(LEFT(P22,4),12,31),$I$7:$P$18,2,0),2),"  NA")</f>
        <v>0.49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5329277.1355999997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4.9295977011494255E-2</v>
      </c>
      <c r="M25" s="177"/>
      <c r="N25" s="177">
        <f>IFERROR(HLOOKUP(DATE(LEFT(N22,4),12,31),$I$7:$P$18,4,0)/$F$13,"NA")</f>
        <v>5.1939655172413793E-2</v>
      </c>
      <c r="O25" s="58"/>
      <c r="P25" s="177">
        <f>IFERROR(HLOOKUP(DATE(LEFT(P22,4),12,31),$I$7:$P$18,4,0)/$F$13,"NA")</f>
        <v>5.5905172413793107E-2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9.6938999999999997E-2</v>
      </c>
      <c r="K26" s="90"/>
      <c r="L26" s="90">
        <f>IFERROR(HLOOKUP(DATE(LEFT(L22,4),12,31),$I$7:$P$18,5,0),"NA")</f>
        <v>0.10899999618530273</v>
      </c>
      <c r="M26" s="90"/>
      <c r="N26" s="90">
        <f>IFERROR(HLOOKUP(DATE(LEFT(N22,4),12,31),$I$7:$P$18,5,0),"NA")</f>
        <v>0.10812000274658203</v>
      </c>
      <c r="O26" s="90"/>
      <c r="P26" s="90">
        <f>IFERROR(HLOOKUP(DATE(LEFT(P22,4),12,31),$I$7:$P$18,5,0),"NA")</f>
        <v>0.10685999870300293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7.7339999999999996E-3</v>
      </c>
      <c r="K27" s="79"/>
      <c r="L27" s="79">
        <f>IFERROR(HLOOKUP(DATE(LEFT(L22,4),12,31),$I$7:$P$18,6,0),"NA")</f>
        <v>7.6400000000000001E-3</v>
      </c>
      <c r="M27" s="79"/>
      <c r="N27" s="79">
        <f>IFERROR(HLOOKUP(DATE(LEFT(N22,4),12,31),$I$7:$P$18,6,0),"NA")</f>
        <v>7.7200000000000003E-3</v>
      </c>
      <c r="O27" s="79"/>
      <c r="P27" s="79">
        <f>IFERROR(HLOOKUP(DATE(LEFT(P22,4),12,31),$I$7:$P$18,6,0),"NA")</f>
        <v>7.6400000000000001E-3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67504.33</v>
      </c>
      <c r="X27" s="63"/>
      <c r="Y27" s="65">
        <f>[1]!S_STM07_BS($D$2,"W34853906",Y25,1,100000000)</f>
        <v>75111.61</v>
      </c>
      <c r="Z27" s="63"/>
      <c r="AA27" s="65">
        <f>[1]!S_STM07_BS($D$2,"W34853906",AA25,1,100000000)</f>
        <v>80428.84</v>
      </c>
      <c r="AB27" s="63"/>
      <c r="AC27" s="65">
        <f>[1]!S_STM07_BS($D$2,"W34853906",AC25,1,100000000)</f>
        <v>85475.43</v>
      </c>
      <c r="AD27" s="63"/>
      <c r="AE27" s="65">
        <f>[1]!S_STM07_BS($D$2,"W34853906",AE25,1,100000000)</f>
        <v>90524.84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751.73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223.72</v>
      </c>
      <c r="X28" s="58"/>
      <c r="Y28" s="60">
        <f>[1]!S_STM07_BS($D$2,"W33507207",Y25,1,100000000)</f>
        <v>338.68</v>
      </c>
      <c r="Z28" s="58"/>
      <c r="AA28" s="60">
        <f>[1]!S_STM07_BS($D$2,"W33507207",AA25,1,100000000)</f>
        <v>341.84</v>
      </c>
      <c r="AB28" s="58"/>
      <c r="AC28" s="60">
        <f>[1]!S_STM07_BS($D$2,"W33507207",AC25,1,100000000)</f>
        <v>315</v>
      </c>
      <c r="AD28" s="58"/>
      <c r="AE28" s="60">
        <f>[1]!S_STM07_BS($D$2,"W33507207",AE25,1,100000000)</f>
        <v>351.62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800.71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0</v>
      </c>
      <c r="X29" s="63"/>
      <c r="Y29" s="65">
        <f>[1]!S_STMNOTE_AssetDetail($D$2,"W32371214",Y25,100000000)</f>
        <v>0</v>
      </c>
      <c r="Z29" s="63"/>
      <c r="AA29" s="65">
        <f>[1]!S_STMNOTE_AssetDetail($D$2,"W32371214",AA25,100000000)</f>
        <v>0</v>
      </c>
      <c r="AB29" s="63"/>
      <c r="AC29" s="65">
        <f>[1]!S_STMNOTE_AssetDetail($D$2,"W32371214",AC25,100000000)</f>
        <v>0</v>
      </c>
      <c r="AD29" s="63"/>
      <c r="AE29" s="65">
        <f>[1]!S_STMNOTE_AssetDetail($D$2,"W32371214",AE25,100000000)</f>
        <v>0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2058.96</v>
      </c>
      <c r="K30" s="64"/>
      <c r="L30" s="64">
        <f>IFERROR(ROUND(HLOOKUP(DATE(LEFT(L22,4),12,31),$I$7:$P$18,9,0),2),"NA")</f>
        <v>2049.31</v>
      </c>
      <c r="M30" s="64"/>
      <c r="N30" s="64">
        <f>IFERROR(ROUND(HLOOKUP(DATE(LEFT(N22,4),12,31),$I$7:$P$18,9,0),2),"NA")</f>
        <v>2129.84</v>
      </c>
      <c r="O30" s="64"/>
      <c r="P30" s="64">
        <f>IFERROR(ROUND(HLOOKUP(DATE(LEFT(P22,4),12,31),$I$7:$P$18,9,0),2),"NA")</f>
        <v>2247.33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5173.1099999999997</v>
      </c>
      <c r="X30" s="58"/>
      <c r="Y30" s="60">
        <f>[1]!S_STM07_BS($D$2,"W34656681",Y25,1,100000000)</f>
        <v>5445.73</v>
      </c>
      <c r="Z30" s="58"/>
      <c r="AA30" s="60">
        <f>[1]!S_STM07_BS($D$2,"W34656681",AA25,1,100000000)</f>
        <v>6263.03</v>
      </c>
      <c r="AB30" s="58"/>
      <c r="AC30" s="60">
        <f>[1]!S_STM07_BS($D$2,"W34656681",AC25,1,100000000)</f>
        <v>6654.18</v>
      </c>
      <c r="AD30" s="58"/>
      <c r="AE30" s="60">
        <f>[1]!S_STM07_BS($D$2,"W34656681",AE25,1,100000000)</f>
        <v>7172.22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748.87</v>
      </c>
      <c r="K31" s="59"/>
      <c r="L31" s="59">
        <f>IFERROR(ROUND(HLOOKUP(DATE(LEFT(L22,4),12,31),$I$7:$P$18,10,0),2),"NA")</f>
        <v>804.11</v>
      </c>
      <c r="M31" s="59"/>
      <c r="N31" s="59">
        <f>IFERROR(ROUND(HLOOKUP(DATE(LEFT(N22,4),12,31),$I$7:$P$18,10,0),2),"NA")</f>
        <v>859.34</v>
      </c>
      <c r="O31" s="59"/>
      <c r="P31" s="59">
        <f>IFERROR(ROUND(HLOOKUP(DATE(LEFT(P22,4),12,31),$I$7:$P$18,10,0),2),"NA")</f>
        <v>914.71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5329277.1355999997</v>
      </c>
      <c r="G32" s="70"/>
      <c r="H32" s="49"/>
      <c r="I32" s="56" t="s">
        <v>112</v>
      </c>
      <c r="J32" s="64">
        <f>IFERROR(ROUND(HLOOKUP(DATE(LEFT(J22,4),12,31),$I$7:$P$18,11,0),2),"NA")</f>
        <v>680.62</v>
      </c>
      <c r="K32" s="64"/>
      <c r="L32" s="64">
        <f>IFERROR(ROUND(HLOOKUP(DATE(LEFT(L22,4),12,31),$I$7:$P$18,11,0),2),"NA")</f>
        <v>684.73</v>
      </c>
      <c r="M32" s="64"/>
      <c r="N32" s="64">
        <f>IFERROR(ROUND(HLOOKUP(DATE(LEFT(N22,4),12,31),$I$7:$P$18,11,0),2),"NA")</f>
        <v>732.51</v>
      </c>
      <c r="O32" s="64"/>
      <c r="P32" s="64">
        <f>IFERROR(ROUND(HLOOKUP(DATE(LEFT(P22,4),12,31),$I$7:$P$18,11,0),2),"NA")</f>
        <v>780.74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1875.84</v>
      </c>
      <c r="X32" s="59"/>
      <c r="Y32" s="60">
        <f>[1]!S_STM07_IS($D$2,"W33865145",Y25,1,100000000)</f>
        <v>1947.31</v>
      </c>
      <c r="Z32" s="59"/>
      <c r="AA32" s="60">
        <f>[1]!S_STM07_IS($D$2,"W33865145",AA25,1,100000000)</f>
        <v>2045.57</v>
      </c>
      <c r="AB32" s="59"/>
      <c r="AC32" s="60">
        <f>[1]!S_STM07_IS($D$2,"W33865145",AC25,1,100000000)</f>
        <v>2113.92</v>
      </c>
      <c r="AD32" s="59"/>
      <c r="AE32" s="60">
        <f>[1]!S_STM07_IS($D$2,"W33865145",AE25,1,100000000)</f>
        <v>2058.96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3270.2781780180849</v>
      </c>
      <c r="G33" s="49"/>
      <c r="H33" s="49"/>
      <c r="I33" s="76" t="s">
        <v>109</v>
      </c>
      <c r="J33" s="77">
        <f>IFERROR(ROUND(HLOOKUP(DATE(LEFT(J22,4),12,31),$I$7:$P$18,12,0),2),"NA")</f>
        <v>748.95</v>
      </c>
      <c r="K33" s="77"/>
      <c r="L33" s="77">
        <f>IFERROR(ROUND(HLOOKUP(DATE(LEFT(L22,4),12,31),$I$7:$P$18,12,0),2),"NA")</f>
        <v>768.58</v>
      </c>
      <c r="M33" s="77"/>
      <c r="N33" s="77">
        <f>IFERROR(ROUND(HLOOKUP(DATE(LEFT(N22,4),12,31),$I$7:$P$18,12,0),2),"NA")</f>
        <v>812.73</v>
      </c>
      <c r="O33" s="77"/>
      <c r="P33" s="77">
        <f>IFERROR(ROUND(HLOOKUP(DATE(LEFT(P22,4),12,31),$I$7:$P$18,12,0),2),"NA")</f>
        <v>864.38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1310.73</v>
      </c>
      <c r="X33" s="64"/>
      <c r="Y33" s="65">
        <f>[1]!S_STM07_IS($D$2,"W32436009",Y25,1,100000000)</f>
        <v>1369.15</v>
      </c>
      <c r="Z33" s="64"/>
      <c r="AA33" s="65">
        <f>[1]!S_STM07_IS($D$2,"W32436009",AA25,1,100000000)</f>
        <v>1389.88</v>
      </c>
      <c r="AB33" s="64"/>
      <c r="AC33" s="65">
        <f>[1]!S_STM07_IS($D$2,"W32436009",AC25,1,100000000)</f>
        <v>1380.74</v>
      </c>
      <c r="AD33" s="64"/>
      <c r="AE33" s="65">
        <f>[1]!S_STM07_IS($D$2,"W32436009",AE25,1,100000000)</f>
        <v>1310.01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3709.1768863775997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480.15</v>
      </c>
      <c r="X34" s="59"/>
      <c r="Y34" s="60">
        <f>[1]!S_STM07_IS($D$2,"W30028333",Y25,1,100000000)</f>
        <v>489.8</v>
      </c>
      <c r="Z34" s="59"/>
      <c r="AA34" s="60">
        <f>[1]!S_STM07_IS($D$2,"W30028333",AA25,1,100000000)</f>
        <v>556.41</v>
      </c>
      <c r="AB34" s="59"/>
      <c r="AC34" s="60">
        <f>[1]!S_STM07_IS($D$2,"W30028333",AC25,1,100000000)</f>
        <v>621.03</v>
      </c>
      <c r="AD34" s="59"/>
      <c r="AE34" s="60">
        <f>[1]!S_STM07_IS($D$2,"W30028333",AE25,1,100000000)</f>
        <v>670.16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80599.388178018082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8.9756999999999998</v>
      </c>
      <c r="X36" s="54"/>
      <c r="Y36" s="58">
        <f>[1]!s_fa_bps2($D$2,Y25,"")</f>
        <v>9.5327999999999999</v>
      </c>
      <c r="Z36" s="54"/>
      <c r="AA36" s="58">
        <f>[1]!s_fa_bps2($D$2,AA25,"")</f>
        <v>10.3858</v>
      </c>
      <c r="AB36" s="54"/>
      <c r="AC36" s="58">
        <f>[1]!s_fa_bps2($D$2,AC25,"")</f>
        <v>11.1851</v>
      </c>
      <c r="AD36" s="54"/>
      <c r="AE36" s="58">
        <f>[1]!s_fa_bps2($D$2,AE25,"")</f>
        <v>12.2361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0.95</v>
      </c>
      <c r="X37" s="57"/>
      <c r="Y37" s="63">
        <f>[1]!s_fa_eps_basic2($D$2,Y25,"")</f>
        <v>0.94</v>
      </c>
      <c r="Z37" s="57"/>
      <c r="AA37" s="63">
        <f>[1]!s_fa_eps_basic2($D$2,AA25,"")</f>
        <v>1.08</v>
      </c>
      <c r="AB37" s="57"/>
      <c r="AC37" s="63">
        <f>[1]!s_fa_eps_basic2($D$2,AC25,"")</f>
        <v>1.17</v>
      </c>
      <c r="AD37" s="57"/>
      <c r="AE37" s="63">
        <f>[1]!s_fa_eps_basic2($D$2,AE25,"")</f>
        <v>1.27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4.0578762855594475E-2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0.23900000000000002</v>
      </c>
      <c r="X38" s="58"/>
      <c r="Y38" s="58">
        <f>[1]!s_div_cashbeforetax($D$2,Y25)</f>
        <v>0.254</v>
      </c>
      <c r="Z38" s="58"/>
      <c r="AA38" s="58">
        <f>[1]!s_div_cashbeforetax($D$2,AA25)</f>
        <v>0.30199999999999999</v>
      </c>
      <c r="AB38" s="58"/>
      <c r="AC38" s="58">
        <f>[1]!s_div_cashbeforetax($D$2,AC25)</f>
        <v>0.32900000000000001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1.7067888296725009E-2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25.2%</v>
      </c>
      <c r="X39" s="82"/>
      <c r="Y39" s="93" t="str">
        <f>IFERROR(ROUND(Y38/Y37*100,1)&amp;"%","NA")</f>
        <v>27%</v>
      </c>
      <c r="Z39" s="82"/>
      <c r="AA39" s="93" t="str">
        <f>IFERROR(ROUND(AA38/AA37*100,1)&amp;"%","NA")</f>
        <v>28%</v>
      </c>
      <c r="AB39" s="82"/>
      <c r="AC39" s="93" t="str">
        <f>IFERROR(ROUND(AC38/AC37*100,1)&amp;"%","NA")</f>
        <v>28.1%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3.7420960706644024E-2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601998.SH</v>
      </c>
      <c r="U43" s="101" t="str">
        <f>[1]!S_Info_Name(T43)</f>
        <v>中信银行</v>
      </c>
      <c r="V43" s="65">
        <f>[1]!s_share_issuing_mkt(T43,W43,10000)</f>
        <v>3841060.8379000002</v>
      </c>
      <c r="W43" s="102" t="str">
        <f>[1]!lastradeday_s(T43,F2)</f>
        <v>2024-04-25</v>
      </c>
      <c r="X43" s="102"/>
      <c r="Y43" s="71">
        <f>[1]!S_DQ_CLOSE(T43,W43,1)</f>
        <v>6.96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2673.3783431784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 t="str">
        <f>IFERROR([1]!s_info_hsharecode(T43),"")</f>
        <v>0998.HK</v>
      </c>
      <c r="U44" s="103" t="str">
        <f>[1]!HKS_INFO_NAME(T44)</f>
        <v>中信银行</v>
      </c>
      <c r="V44" s="60">
        <f>[1]!s_share_issuing_mkt(T44,W44,10000)</f>
        <v>1488216.2977</v>
      </c>
      <c r="W44" s="104" t="str">
        <f>[1]!lastradeday_s(T44,F2)</f>
        <v>2024-04-25</v>
      </c>
      <c r="X44" s="104"/>
      <c r="Y44" s="73">
        <f>[1]!S_DQ_CLOSE(T44,W44,1)</f>
        <v>4.42</v>
      </c>
      <c r="Z44" s="73"/>
      <c r="AA44" s="73" t="str">
        <f>[1]!hks_info_tradecur(T44)</f>
        <v>HKD</v>
      </c>
      <c r="AB44" s="73"/>
      <c r="AC44" s="73">
        <f>IF([1]!hks_info_tradecur(T44)="CNY",1,[1]!S_DQ_CLOSE([1]!hks_info_tradecur(T44)&amp;"CNY.EX",W44,1))</f>
        <v>0.90742999999999996</v>
      </c>
      <c r="AD44" s="73"/>
      <c r="AE44" s="92">
        <f>V44*Y44*AC44/10000</f>
        <v>596.89983483968456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4.1706555081128416E-2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5329277.1356000006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3270.2781780180844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光大银行</v>
      </c>
      <c r="D2" s="184" t="s">
        <v>250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601818.SH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光大银行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中国光大银行股份有限公司</v>
      </c>
      <c r="G8" s="13"/>
      <c r="H8" s="49"/>
      <c r="I8" s="53" t="s">
        <v>23</v>
      </c>
      <c r="J8" s="58">
        <f>IF([1]!s_fa_bps2(D2,J7,"Cur=CNY"),[1]!s_fa_bps2(D2,J7,"Cur=CNY"),"NA")</f>
        <v>7.5735999999999999</v>
      </c>
      <c r="K8" s="58"/>
      <c r="L8" s="58">
        <f>IF([1]!s_west_medianbps($D$2,YEAR(L7),L7,180)=0,"NA",[1]!s_west_medianbps($D$2,YEAR(L7),L7,180))</f>
        <v>8.2700004577636719</v>
      </c>
      <c r="M8" s="58"/>
      <c r="N8" s="58">
        <f>IF([1]!s_west_medianbps($D$2,YEAR(N7),N7,180)=0,"NA",[1]!s_west_medianbps($D$2,YEAR(N7),N7,180))</f>
        <v>8.9200000762939453</v>
      </c>
      <c r="O8" s="58"/>
      <c r="P8" s="58">
        <f>IF([1]!s_west_medianbps($D$2,YEAR(P7),P7,180)=0,"NA",[1]!s_west_medianbps($D$2,YEAR(P7),P7,180))</f>
        <v>9.6103000640869141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5078.83</v>
      </c>
      <c r="X8" s="58"/>
      <c r="Y8" s="60">
        <f>W12</f>
        <v>5523.91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0.62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410.76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0.18740000000000001</v>
      </c>
      <c r="M10" s="58"/>
      <c r="N10" s="58">
        <f>IF([1]!s_est_avgdps($D$2,YEAR(N7),$F$2)=0,"NA",[1]!s_est_avgdps($D$2,YEAR(N7),$F$2))</f>
        <v>0.19739999999999999</v>
      </c>
      <c r="O10" s="58"/>
      <c r="P10" s="58">
        <f>IF([1]!s_est_avgdps($D$2,YEAR(P7),$F$2)=0,"NA",[1]!s_est_avgdps($D$2,YEAR(P7),$F$2))</f>
        <v>0.16489999999999999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110.72632268831401</v>
      </c>
      <c r="Z10" s="58"/>
      <c r="AA10" s="60">
        <f>IFERROR(N10*$F$25/10000,"")</f>
        <v>116.63487779441401</v>
      </c>
      <c r="AB10" s="58"/>
      <c r="AC10" s="60">
        <f>IFERROR(P10*$F$25/10000,"")</f>
        <v>97.432073699588997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7.6946000000000001E-2</v>
      </c>
      <c r="K11" s="90"/>
      <c r="L11" s="90">
        <f>IF([1]!s_est_avgroe($D$2,YEAR(L7),$F$2)/100=0,"NA",[1]!s_est_avgroe($D$2,YEAR(L7),$F$2)/100)</f>
        <v>8.7333002090454095E-2</v>
      </c>
      <c r="M11" s="90"/>
      <c r="N11" s="90">
        <f>IF([1]!s_est_avgroe($D$2,YEAR(N7),$F$2)/100=0,"NA",[1]!s_est_avgroe($D$2,YEAR(N7),$F$2)/100)</f>
        <v>8.5944004058837897E-2</v>
      </c>
      <c r="O11" s="90"/>
      <c r="P11" s="90">
        <f>IF([1]!s_est_avgroe($D$2,YEAR(P7),$F$2)/100=0,"NA",[1]!s_est_avgroe($D$2,YEAR(P7),$F$2)/100)</f>
        <v>7.7560000419616693E-2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6.2839999999999997E-3</v>
      </c>
      <c r="K12" s="79"/>
      <c r="L12" s="79">
        <f>IF([1]!s_est_avgroa($D$2,YEAR(L7),$F$2)/100=0,"NA",[1]!s_est_avgroa($D$2,YEAR(L7),$F$2)/100)</f>
        <v>6.4000000000000003E-3</v>
      </c>
      <c r="M12" s="79"/>
      <c r="N12" s="79">
        <f>IF([1]!s_est_avgroa($D$2,YEAR(N7),$F$2)/100=0,"NA",[1]!s_est_avgroa($D$2,YEAR(N7),$F$2)/100)</f>
        <v>6.3109999999999998E-3</v>
      </c>
      <c r="O12" s="79"/>
      <c r="P12" s="79">
        <f>IF([1]!s_est_avgroa($D$2,YEAR(P7),$F$2)/100=0,"NA",[1]!s_est_avgroa($D$2,YEAR(P7),$F$2)/100)</f>
        <v>5.6999999999999993E-3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5523.91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3.14</v>
      </c>
      <c r="G13" s="70"/>
      <c r="H13" s="49"/>
      <c r="I13" s="56" t="s">
        <v>154</v>
      </c>
      <c r="J13" s="63">
        <f>[1]!s_fa_ebit2(D2,J7,1,100000000)</f>
        <v>508.52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508.52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4996.41</v>
      </c>
      <c r="X14" s="59"/>
      <c r="Y14" s="60">
        <f>IFERROR(W15,"")</f>
        <v>5422.8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10246.7508</v>
      </c>
      <c r="G15" s="70"/>
      <c r="H15" s="49"/>
      <c r="I15" s="56" t="s">
        <v>36</v>
      </c>
      <c r="J15" s="64">
        <f>[1]!S_STM07_IS(D2,"W31737944",J7,1,100000000)</f>
        <v>1456.85</v>
      </c>
      <c r="K15" s="64"/>
      <c r="L15" s="64">
        <f>IF( [1]!s_est_sales($D$2,YEAR(L7),L7,100000000)=0,"NA", [1]!s_est_sales($D$2,YEAR(L7),L7,100000000))</f>
        <v>1489.8878099999999</v>
      </c>
      <c r="M15" s="64"/>
      <c r="N15" s="64">
        <f>IF( [1]!s_est_sales($D$2,YEAR(N7),N7,100000000)=0,"NA", [1]!s_est_sales($D$2,YEAR(N7),N7,100000000))</f>
        <v>1561.895</v>
      </c>
      <c r="O15" s="64"/>
      <c r="P15" s="64">
        <f>IF( [1]!s_est_sales($D$2,YEAR(P7),P7,100000000)=0,"NA", [1]!s_est_sales($D$2,YEAR(P7),P7,100000000))</f>
        <v>1567.4091000000001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5422.8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3.58</v>
      </c>
      <c r="G16" s="49"/>
      <c r="H16" s="49"/>
      <c r="I16" s="53" t="s">
        <v>150</v>
      </c>
      <c r="J16" s="59">
        <f>[1]!S_STM07_IS(D2,"W38046687",J7,1,100000000)</f>
        <v>497.57</v>
      </c>
      <c r="K16" s="59"/>
      <c r="L16" s="59">
        <f>IF( [1]!s_est_avgebt($D$2,YEAR(L7),L7,100000000)=0,"NA", [1]!s_est_avgebt($D$2,YEAR(L7),L7,100000000))</f>
        <v>544.28222221999999</v>
      </c>
      <c r="M16" s="59"/>
      <c r="N16" s="59">
        <f>IF( [1]!s_est_avgebt($D$2,YEAR(N7),N7,100000000)=0,"NA", [1]!s_est_avgebt($D$2,YEAR(N7),N7,100000000))</f>
        <v>573.60333333000005</v>
      </c>
      <c r="O16" s="59"/>
      <c r="P16" s="59">
        <f>IF( [1]!s_est_avgebt($D$2,YEAR(P7),P7,100000000)=0,"NA", [1]!s_est_avgebt($D$2,YEAR(P7),P7,100000000))</f>
        <v>538.42999999999995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0.19625000000000001</v>
      </c>
      <c r="G17" s="70"/>
      <c r="H17" s="49"/>
      <c r="I17" s="56" t="s">
        <v>148</v>
      </c>
      <c r="J17" s="64">
        <f>[1]!S_STM07_IS(D2,"W37790734",J7,1,100000000)</f>
        <v>410.76</v>
      </c>
      <c r="K17" s="64"/>
      <c r="L17" s="64">
        <f>IF( [1]!s_est_netprofit($D$2,YEAR(L7),L7,100000000)=0,"NA", [1]!s_est_netprofit($D$2,YEAR(L7),L7,100000000))</f>
        <v>431.52154999999999</v>
      </c>
      <c r="M17" s="64"/>
      <c r="N17" s="64">
        <f>IF( [1]!s_est_netprofit($D$2,YEAR(N7),N7,100000000)=0,"NA", [1]!s_est_netprofit($D$2,YEAR(N7),N7,100000000))</f>
        <v>457.13952999999998</v>
      </c>
      <c r="O17" s="64"/>
      <c r="P17" s="64">
        <f>IF( [1]!s_est_netprofit($D$2,YEAR(P7),P7,100000000)=0,"NA", [1]!s_est_netprofit($D$2,YEAR(P7),P7,100000000))</f>
        <v>448.68490000000003</v>
      </c>
      <c r="Q17" s="64"/>
      <c r="R17" s="64"/>
      <c r="S17" s="54"/>
      <c r="T17" s="56" t="s">
        <v>147</v>
      </c>
      <c r="U17" s="20"/>
      <c r="V17" s="20"/>
      <c r="W17" s="65">
        <f>IFERROR(AC27,"NA")</f>
        <v>63005.1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2.85</v>
      </c>
      <c r="G18" s="49"/>
      <c r="H18" s="49"/>
      <c r="I18" s="76" t="s">
        <v>42</v>
      </c>
      <c r="J18" s="77">
        <f>[1]!S_STM07_IS(D2,"W39201613",J7,1,100000000)</f>
        <v>498.03</v>
      </c>
      <c r="K18" s="77"/>
      <c r="L18" s="77">
        <f>IF( [1]!s_est_avgoperatingprofit($D$2,YEAR(L7),L7,100000000)=0,"NA", [1]!s_est_avgoperatingprofit($D$2,YEAR(L7),L7,100000000))</f>
        <v>498.19499999999999</v>
      </c>
      <c r="M18" s="77"/>
      <c r="N18" s="77">
        <f>IF( [1]!s_est_avgoperatingprofit($D$2,YEAR(N7),N7,100000000)=0,"NA", [1]!s_est_avgoperatingprofit($D$2,YEAR(N7),N7,100000000))</f>
        <v>525.83500000000004</v>
      </c>
      <c r="O18" s="77"/>
      <c r="P18" s="77">
        <f>IF( [1]!s_est_avgoperatingprofit($D$2,YEAR(P7),P7,100000000)=0,"NA", [1]!s_est_avgoperatingprofit($D$2,YEAR(P7),P7,100000000))</f>
        <v>490</v>
      </c>
      <c r="Q18" s="77"/>
      <c r="R18" s="77"/>
      <c r="S18" s="54"/>
      <c r="T18" s="53" t="s">
        <v>145</v>
      </c>
      <c r="U18" s="13"/>
      <c r="V18" s="13"/>
      <c r="W18" s="60">
        <f>IFERROR(AE27,"NA")</f>
        <v>67727.960000000006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1.1017543859649124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17.362527964181886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7.7481858463001069E-2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0.45420233453569547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7.8846668797346448E-2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881729.49565899977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5.0599999999999996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0.41</v>
      </c>
      <c r="K24" s="63"/>
      <c r="L24" s="63">
        <f>IFERROR(ROUND($F$13/HLOOKUP(DATE(LEFT(L22,4),12,31),$I$7:$P$18,2,0),2),"  NA")</f>
        <v>0.38</v>
      </c>
      <c r="M24" s="63"/>
      <c r="N24" s="63">
        <f>IFERROR(ROUND($F$13/HLOOKUP(DATE(LEFT(N22,4),12,31),$I$7:$P$18,2,0),2),"  NA")</f>
        <v>0.35</v>
      </c>
      <c r="O24" s="63"/>
      <c r="P24" s="63">
        <f>IFERROR(ROUND($F$13/HLOOKUP(DATE(LEFT(P22,4),12,31),$I$7:$P$18,2,0),2),"  NA")</f>
        <v>0.33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5908555.1061000004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5.968152866242038E-2</v>
      </c>
      <c r="M25" s="177"/>
      <c r="N25" s="177">
        <f>IFERROR(HLOOKUP(DATE(LEFT(N22,4),12,31),$I$7:$P$18,4,0)/$F$13,"NA")</f>
        <v>6.2866242038216558E-2</v>
      </c>
      <c r="O25" s="58"/>
      <c r="P25" s="177">
        <f>IFERROR(HLOOKUP(DATE(LEFT(P22,4),12,31),$I$7:$P$18,4,0)/$F$13,"NA")</f>
        <v>5.2515923566878973E-2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7.6946000000000001E-2</v>
      </c>
      <c r="K26" s="90"/>
      <c r="L26" s="90">
        <f>IFERROR(HLOOKUP(DATE(LEFT(L22,4),12,31),$I$7:$P$18,5,0),"NA")</f>
        <v>8.7333002090454095E-2</v>
      </c>
      <c r="M26" s="90"/>
      <c r="N26" s="90">
        <f>IFERROR(HLOOKUP(DATE(LEFT(N22,4),12,31),$I$7:$P$18,5,0),"NA")</f>
        <v>8.5944004058837897E-2</v>
      </c>
      <c r="O26" s="90"/>
      <c r="P26" s="90">
        <f>IFERROR(HLOOKUP(DATE(LEFT(P22,4),12,31),$I$7:$P$18,5,0),"NA")</f>
        <v>7.7560000419616693E-2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6.2839999999999997E-3</v>
      </c>
      <c r="K27" s="79"/>
      <c r="L27" s="79">
        <f>IFERROR(HLOOKUP(DATE(LEFT(L22,4),12,31),$I$7:$P$18,6,0),"NA")</f>
        <v>6.4000000000000003E-3</v>
      </c>
      <c r="M27" s="79"/>
      <c r="N27" s="79">
        <f>IFERROR(HLOOKUP(DATE(LEFT(N22,4),12,31),$I$7:$P$18,6,0),"NA")</f>
        <v>6.3109999999999998E-3</v>
      </c>
      <c r="O27" s="79"/>
      <c r="P27" s="79">
        <f>IFERROR(HLOOKUP(DATE(LEFT(P22,4),12,31),$I$7:$P$18,6,0),"NA")</f>
        <v>5.6999999999999993E-3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47334.31</v>
      </c>
      <c r="X27" s="63"/>
      <c r="Y27" s="65">
        <f>[1]!S_STM07_BS($D$2,"W34853906",Y25,1,100000000)</f>
        <v>53681.1</v>
      </c>
      <c r="Z27" s="63"/>
      <c r="AA27" s="65">
        <f>[1]!S_STM07_BS($D$2,"W34853906",AA25,1,100000000)</f>
        <v>59020.69</v>
      </c>
      <c r="AB27" s="63"/>
      <c r="AC27" s="65">
        <f>[1]!S_STM07_BS($D$2,"W34853906",AC25,1,100000000)</f>
        <v>63005.1</v>
      </c>
      <c r="AD27" s="63"/>
      <c r="AE27" s="65">
        <f>[1]!S_STM07_BS($D$2,"W34853906",AE25,1,100000000)</f>
        <v>67727.960000000006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508.52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193.42</v>
      </c>
      <c r="X28" s="58"/>
      <c r="Y28" s="60">
        <f>[1]!S_STM07_BS($D$2,"W33507207",Y25,1,100000000)</f>
        <v>233.01</v>
      </c>
      <c r="Z28" s="58"/>
      <c r="AA28" s="60">
        <f>[1]!S_STM07_BS($D$2,"W33507207",AA25,1,100000000)</f>
        <v>251.55</v>
      </c>
      <c r="AB28" s="58"/>
      <c r="AC28" s="60">
        <f>[1]!S_STM07_BS($D$2,"W33507207",AC25,1,100000000)</f>
        <v>233.42</v>
      </c>
      <c r="AD28" s="58"/>
      <c r="AE28" s="60">
        <f>[1]!S_STM07_BS($D$2,"W33507207",AE25,1,100000000)</f>
        <v>242.35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508.52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43.9</v>
      </c>
      <c r="X29" s="63"/>
      <c r="Y29" s="65">
        <f>[1]!S_STMNOTE_AssetDetail($D$2,"W32371214",Y25,100000000)</f>
        <v>54.27</v>
      </c>
      <c r="Z29" s="63"/>
      <c r="AA29" s="65">
        <f>[1]!S_STMNOTE_AssetDetail($D$2,"W32371214",AA25,100000000)</f>
        <v>66.08</v>
      </c>
      <c r="AB29" s="63"/>
      <c r="AC29" s="65">
        <f>[1]!S_STMNOTE_AssetDetail($D$2,"W32371214",AC25,100000000)</f>
        <v>82.42</v>
      </c>
      <c r="AD29" s="63"/>
      <c r="AE29" s="65">
        <f>[1]!S_STMNOTE_AssetDetail($D$2,"W32371214",AE25,100000000)</f>
        <v>101.11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1456.85</v>
      </c>
      <c r="K30" s="64"/>
      <c r="L30" s="64">
        <f>IFERROR(ROUND(HLOOKUP(DATE(LEFT(L22,4),12,31),$I$7:$P$18,9,0),2),"NA")</f>
        <v>1489.89</v>
      </c>
      <c r="M30" s="64"/>
      <c r="N30" s="64">
        <f>IFERROR(ROUND(HLOOKUP(DATE(LEFT(N22,4),12,31),$I$7:$P$18,9,0),2),"NA")</f>
        <v>1561.9</v>
      </c>
      <c r="O30" s="64"/>
      <c r="P30" s="64">
        <f>IFERROR(ROUND(HLOOKUP(DATE(LEFT(P22,4),12,31),$I$7:$P$18,9,0),2),"NA")</f>
        <v>1567.41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3849.82</v>
      </c>
      <c r="X30" s="58"/>
      <c r="Y30" s="60">
        <f>[1]!S_STM07_BS($D$2,"W34656681",Y25,1,100000000)</f>
        <v>4534.49</v>
      </c>
      <c r="Z30" s="58"/>
      <c r="AA30" s="60">
        <f>[1]!S_STM07_BS($D$2,"W34656681",AA25,1,100000000)</f>
        <v>4824.8900000000003</v>
      </c>
      <c r="AB30" s="58"/>
      <c r="AC30" s="60">
        <f>[1]!S_STM07_BS($D$2,"W34656681",AC25,1,100000000)</f>
        <v>5078.83</v>
      </c>
      <c r="AD30" s="58"/>
      <c r="AE30" s="60">
        <f>[1]!S_STM07_BS($D$2,"W34656681",AE25,1,100000000)</f>
        <v>5523.91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497.57</v>
      </c>
      <c r="K31" s="59"/>
      <c r="L31" s="59">
        <f>IFERROR(ROUND(HLOOKUP(DATE(LEFT(L22,4),12,31),$I$7:$P$18,10,0),2),"NA")</f>
        <v>544.28</v>
      </c>
      <c r="M31" s="59"/>
      <c r="N31" s="59">
        <f>IFERROR(ROUND(HLOOKUP(DATE(LEFT(N22,4),12,31),$I$7:$P$18,10,0),2),"NA")</f>
        <v>573.6</v>
      </c>
      <c r="O31" s="59"/>
      <c r="P31" s="59">
        <f>IFERROR(ROUND(HLOOKUP(DATE(LEFT(P22,4),12,31),$I$7:$P$18,10,0),2),"NA")</f>
        <v>538.42999999999995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5908555.1061000004</v>
      </c>
      <c r="G32" s="70"/>
      <c r="H32" s="49"/>
      <c r="I32" s="56" t="s">
        <v>112</v>
      </c>
      <c r="J32" s="64">
        <f>IFERROR(ROUND(HLOOKUP(DATE(LEFT(J22,4),12,31),$I$7:$P$18,11,0),2),"NA")</f>
        <v>410.76</v>
      </c>
      <c r="K32" s="64"/>
      <c r="L32" s="64">
        <f>IFERROR(ROUND(HLOOKUP(DATE(LEFT(L22,4),12,31),$I$7:$P$18,11,0),2),"NA")</f>
        <v>431.52</v>
      </c>
      <c r="M32" s="64"/>
      <c r="N32" s="64">
        <f>IFERROR(ROUND(HLOOKUP(DATE(LEFT(N22,4),12,31),$I$7:$P$18,11,0),2),"NA")</f>
        <v>457.14</v>
      </c>
      <c r="O32" s="64"/>
      <c r="P32" s="64">
        <f>IFERROR(ROUND(HLOOKUP(DATE(LEFT(P22,4),12,31),$I$7:$P$18,11,0),2),"NA")</f>
        <v>448.68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1328.12</v>
      </c>
      <c r="X32" s="59"/>
      <c r="Y32" s="60">
        <f>[1]!S_STM07_IS($D$2,"W33865145",Y25,1,100000000)</f>
        <v>1424.79</v>
      </c>
      <c r="Z32" s="59"/>
      <c r="AA32" s="60">
        <f>[1]!S_STM07_IS($D$2,"W33865145",AA25,1,100000000)</f>
        <v>1527.51</v>
      </c>
      <c r="AB32" s="59"/>
      <c r="AC32" s="60">
        <f>[1]!S_STM07_IS($D$2,"W33865145",AC25,1,100000000)</f>
        <v>1516.32</v>
      </c>
      <c r="AD32" s="59"/>
      <c r="AE32" s="60">
        <f>[1]!S_STM07_IS($D$2,"W33865145",AE25,1,100000000)</f>
        <v>1456.85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1726.392528556901</v>
      </c>
      <c r="G33" s="49"/>
      <c r="H33" s="49"/>
      <c r="I33" s="76" t="s">
        <v>109</v>
      </c>
      <c r="J33" s="77">
        <f>IFERROR(ROUND(HLOOKUP(DATE(LEFT(J22,4),12,31),$I$7:$P$18,12,0),2),"NA")</f>
        <v>498.03</v>
      </c>
      <c r="K33" s="77"/>
      <c r="L33" s="77">
        <f>IFERROR(ROUND(HLOOKUP(DATE(LEFT(L22,4),12,31),$I$7:$P$18,12,0),2),"NA")</f>
        <v>498.2</v>
      </c>
      <c r="M33" s="77"/>
      <c r="N33" s="77">
        <f>IFERROR(ROUND(HLOOKUP(DATE(LEFT(N22,4),12,31),$I$7:$P$18,12,0),2),"NA")</f>
        <v>525.84</v>
      </c>
      <c r="O33" s="77"/>
      <c r="P33" s="77">
        <f>IFERROR(ROUND(HLOOKUP(DATE(LEFT(P22,4),12,31),$I$7:$P$18,12,0),2),"NA")</f>
        <v>490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875.09</v>
      </c>
      <c r="X33" s="64"/>
      <c r="Y33" s="65">
        <f>[1]!S_STM07_IS($D$2,"W32436009",Y25,1,100000000)</f>
        <v>967.92</v>
      </c>
      <c r="Z33" s="64"/>
      <c r="AA33" s="65">
        <f>[1]!S_STM07_IS($D$2,"W32436009",AA25,1,100000000)</f>
        <v>1001.12</v>
      </c>
      <c r="AB33" s="64"/>
      <c r="AC33" s="65">
        <f>[1]!S_STM07_IS($D$2,"W32436009",AC25,1,100000000)</f>
        <v>956.46</v>
      </c>
      <c r="AD33" s="64"/>
      <c r="AE33" s="65">
        <f>[1]!S_STM07_IS($D$2,"W32436009",AE25,1,100000000)</f>
        <v>958.82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1855.2863033154003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373.54</v>
      </c>
      <c r="X34" s="59"/>
      <c r="Y34" s="60">
        <f>[1]!S_STM07_IS($D$2,"W30028333",Y25,1,100000000)</f>
        <v>378.24</v>
      </c>
      <c r="Z34" s="59"/>
      <c r="AA34" s="60">
        <f>[1]!S_STM07_IS($D$2,"W30028333",AA25,1,100000000)</f>
        <v>434.07</v>
      </c>
      <c r="AB34" s="59"/>
      <c r="AC34" s="60">
        <f>[1]!S_STM07_IS($D$2,"W30028333",AC25,1,100000000)</f>
        <v>448.07</v>
      </c>
      <c r="AD34" s="59"/>
      <c r="AE34" s="60">
        <f>[1]!S_STM07_IS($D$2,"W30028333",AE25,1,100000000)</f>
        <v>407.92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62230.062528556904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5.9996</v>
      </c>
      <c r="X36" s="54"/>
      <c r="Y36" s="58">
        <f>[1]!s_fa_bps2($D$2,Y25,"")</f>
        <v>6.3738000000000001</v>
      </c>
      <c r="Z36" s="54"/>
      <c r="AA36" s="58">
        <f>[1]!s_fa_bps2($D$2,AA25,"")</f>
        <v>6.9112</v>
      </c>
      <c r="AB36" s="54"/>
      <c r="AC36" s="58">
        <f>[1]!s_fa_bps2($D$2,AC25,"")</f>
        <v>7.3811999999999998</v>
      </c>
      <c r="AD36" s="54"/>
      <c r="AE36" s="58">
        <f>[1]!s_fa_bps2($D$2,AE25,"")</f>
        <v>7.5735999999999999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0.68</v>
      </c>
      <c r="X37" s="57"/>
      <c r="Y37" s="63">
        <f>[1]!s_fa_eps_basic2($D$2,Y25,"")</f>
        <v>0.68</v>
      </c>
      <c r="Z37" s="57"/>
      <c r="AA37" s="63">
        <f>[1]!s_fa_eps_basic2($D$2,AA25,"")</f>
        <v>0.71</v>
      </c>
      <c r="AB37" s="57"/>
      <c r="AC37" s="63">
        <f>[1]!s_fa_eps_basic2($D$2,AC25,"")</f>
        <v>0.74</v>
      </c>
      <c r="AD37" s="57"/>
      <c r="AE37" s="63">
        <f>[1]!s_fa_eps_basic2($D$2,AE25,"")</f>
        <v>0.62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8.5253629579860046E-2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0.21400000000000002</v>
      </c>
      <c r="X38" s="58"/>
      <c r="Y38" s="58">
        <f>[1]!s_div_cashbeforetax($D$2,Y25)</f>
        <v>0.21000000000000002</v>
      </c>
      <c r="Z38" s="58"/>
      <c r="AA38" s="58">
        <f>[1]!s_div_cashbeforetax($D$2,AA25)</f>
        <v>0.20099999999999998</v>
      </c>
      <c r="AB38" s="58"/>
      <c r="AC38" s="58">
        <f>[1]!s_div_cashbeforetax($D$2,AC25)</f>
        <v>0.19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3.5424645936257937E-2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31.5%</v>
      </c>
      <c r="X39" s="82"/>
      <c r="Y39" s="93" t="str">
        <f>IFERROR(ROUND(Y38/Y37*100,1)&amp;"%","NA")</f>
        <v>30.9%</v>
      </c>
      <c r="Z39" s="82"/>
      <c r="AA39" s="93" t="str">
        <f>IFERROR(ROUND(AA38/AA37*100,1)&amp;"%","NA")</f>
        <v>28.3%</v>
      </c>
      <c r="AB39" s="82"/>
      <c r="AC39" s="93" t="str">
        <f>IFERROR(ROUND(AC38/AC37*100,1)&amp;"%","NA")</f>
        <v>25.7%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5.4946209767112286E-2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601818.SH</v>
      </c>
      <c r="U43" s="101" t="str">
        <f>[1]!S_Info_Name(T43)</f>
        <v>光大银行</v>
      </c>
      <c r="V43" s="65">
        <f>[1]!s_share_issuing_mkt(T43,W43,10000)</f>
        <v>4640681.5560999997</v>
      </c>
      <c r="W43" s="102" t="str">
        <f>[1]!lastradeday_s(T43,F2)</f>
        <v>2024-04-25</v>
      </c>
      <c r="X43" s="102"/>
      <c r="Y43" s="71">
        <f>[1]!S_DQ_CLOSE(T43,W43,1)</f>
        <v>3.14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1457.1740086154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 t="str">
        <f>IFERROR([1]!s_info_hsharecode(T43),"")</f>
        <v>6818.HK</v>
      </c>
      <c r="U44" s="103" t="str">
        <f>[1]!HKS_INFO_NAME(T44)</f>
        <v>中国光大银行</v>
      </c>
      <c r="V44" s="60">
        <f>[1]!s_share_issuing_mkt(T44,W44,10000)</f>
        <v>1267873.55</v>
      </c>
      <c r="W44" s="104" t="str">
        <f>[1]!lastradeday_s(T44,F2)</f>
        <v>2024-04-25</v>
      </c>
      <c r="X44" s="104"/>
      <c r="Y44" s="73">
        <f>[1]!S_DQ_CLOSE(T44,W44,1)</f>
        <v>2.34</v>
      </c>
      <c r="Z44" s="73"/>
      <c r="AA44" s="73" t="str">
        <f>[1]!hks_info_tradecur(T44)</f>
        <v>HKD</v>
      </c>
      <c r="AB44" s="73"/>
      <c r="AC44" s="73">
        <f>IF([1]!hks_info_tradecur(T44)="CNY",1,[1]!S_DQ_CLOSE([1]!hks_info_tradecur(T44)&amp;"CNY.EX",W44,1))</f>
        <v>0.90742999999999996</v>
      </c>
      <c r="AD44" s="73"/>
      <c r="AE44" s="92">
        <f>V44*Y44*AC44/10000</f>
        <v>269.21851994150097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2.7535872893070135E-2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5908555.1060999995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1726.392528556901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江苏银行</v>
      </c>
      <c r="D2" s="184" t="s">
        <v>249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600919.SH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江苏银行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江苏银行股份有限公司</v>
      </c>
      <c r="G8" s="13"/>
      <c r="H8" s="49"/>
      <c r="I8" s="53" t="s">
        <v>23</v>
      </c>
      <c r="J8" s="58">
        <f>IF([1]!s_fa_bps2(D2,J7,"Cur=CNY"),[1]!s_fa_bps2(D2,J7,"Cur=CNY"),"NA")</f>
        <v>11.467000000000001</v>
      </c>
      <c r="K8" s="58"/>
      <c r="L8" s="58">
        <f>IF([1]!s_west_medianbps($D$2,YEAR(L7),L7,180)=0,"NA",[1]!s_west_medianbps($D$2,YEAR(L7),L7,180))</f>
        <v>12.420000076293945</v>
      </c>
      <c r="M8" s="58"/>
      <c r="N8" s="58">
        <f>IF([1]!s_west_medianbps($D$2,YEAR(N7),N7,180)=0,"NA",[1]!s_west_medianbps($D$2,YEAR(N7),N7,180))</f>
        <v>14.279999732971191</v>
      </c>
      <c r="O8" s="58"/>
      <c r="P8" s="58" t="str">
        <f>IF([1]!s_west_medianbps($D$2,YEAR(P7),P7,180)=0,"NA",[1]!s_west_medianbps($D$2,YEAR(P7),P7,180))</f>
        <v>NA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2086.3272999999999</v>
      </c>
      <c r="X8" s="58"/>
      <c r="Y8" s="60">
        <f>W12</f>
        <v>2504.0998800000002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区域性银行</v>
      </c>
      <c r="G9" s="62"/>
      <c r="H9" s="49"/>
      <c r="I9" s="56" t="s">
        <v>26</v>
      </c>
      <c r="J9" s="63">
        <f>IF([1]!s_fa_eps_basic2(D2,J7,"Cur=CNY"),[1]!s_fa_eps_basic2(D2,J7,"Cur=CNY"),"NA")</f>
        <v>1.69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300.13139999999999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 t="str">
        <f>IF([1]!s_est_avgdps($D$2,YEAR(L7),$F$2)=0,"NA",[1]!s_est_avgdps($D$2,YEAR(L7),$F$2))</f>
        <v>NA</v>
      </c>
      <c r="M10" s="58"/>
      <c r="N10" s="58" t="str">
        <f>IF([1]!s_est_avgdps($D$2,YEAR(N7),$F$2)=0,"NA",[1]!s_est_avgdps($D$2,YEAR(N7),$F$2))</f>
        <v>NA</v>
      </c>
      <c r="O10" s="58"/>
      <c r="P10" s="58" t="str">
        <f>IF([1]!s_est_avgdps($D$2,YEAR(P7),$F$2)=0,"NA",[1]!s_est_avgdps($D$2,YEAR(P7),$F$2))</f>
        <v>NA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 t="str">
        <f>IFERROR(L10*$F$25/10000,"")</f>
        <v/>
      </c>
      <c r="Z10" s="58"/>
      <c r="AA10" s="60" t="str">
        <f>IFERROR(N10*$F$25/10000,"")</f>
        <v/>
      </c>
      <c r="AB10" s="58"/>
      <c r="AC10" s="60" t="str">
        <f>IFERROR(P10*$F$25/10000,"")</f>
        <v/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0.12526199999999998</v>
      </c>
      <c r="K11" s="90"/>
      <c r="L11" s="90">
        <f>IF([1]!s_est_avgroe($D$2,YEAR(L7),$F$2)/100=0,"NA",[1]!s_est_avgroe($D$2,YEAR(L7),$F$2)/100)</f>
        <v>0.15770000457763672</v>
      </c>
      <c r="M11" s="90"/>
      <c r="N11" s="90">
        <f>IF([1]!s_est_avgroe($D$2,YEAR(N7),$F$2)/100=0,"NA",[1]!s_est_avgroe($D$2,YEAR(N7),$F$2)/100)</f>
        <v>0.16305000305175782</v>
      </c>
      <c r="O11" s="90"/>
      <c r="P11" s="90" t="str">
        <f>IF([1]!s_est_avgroe($D$2,YEAR(P7),$F$2)/100=0,"NA",[1]!s_est_avgroe($D$2,YEAR(P7),$F$2)/100)</f>
        <v>NA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9.4029999999999999E-3</v>
      </c>
      <c r="K12" s="79"/>
      <c r="L12" s="79">
        <f>IF([1]!s_est_avgroa($D$2,YEAR(L7),$F$2)/100=0,"NA",[1]!s_est_avgroa($D$2,YEAR(L7),$F$2)/100)</f>
        <v>1.04E-2</v>
      </c>
      <c r="M12" s="79"/>
      <c r="N12" s="79">
        <f>IF([1]!s_est_avgroa($D$2,YEAR(N7),$F$2)/100=0,"NA",[1]!s_est_avgroa($D$2,YEAR(N7),$F$2)/100)</f>
        <v>1.065E-2</v>
      </c>
      <c r="O12" s="79"/>
      <c r="P12" s="79" t="str">
        <f>IF([1]!s_est_avgroa($D$2,YEAR(P7),$F$2)/100=0,"NA",[1]!s_est_avgroa($D$2,YEAR(P7),$F$2)/100)</f>
        <v>NA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2504.0998800000002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8.44</v>
      </c>
      <c r="G13" s="70"/>
      <c r="H13" s="49"/>
      <c r="I13" s="56" t="s">
        <v>154</v>
      </c>
      <c r="J13" s="63">
        <f>[1]!s_fa_ebit2(D2,J7,1,100000000)</f>
        <v>390.44720999999998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404.74302999999998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2072.8475100000001</v>
      </c>
      <c r="X14" s="59"/>
      <c r="Y14" s="60">
        <f>IFERROR(W15,"")</f>
        <v>2490.2126400000002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17931.7222</v>
      </c>
      <c r="G15" s="70"/>
      <c r="H15" s="49"/>
      <c r="I15" s="56" t="s">
        <v>36</v>
      </c>
      <c r="J15" s="64">
        <f>[1]!S_STM07_IS(D2,"W31737944",J7,1,100000000)</f>
        <v>742.93433000000005</v>
      </c>
      <c r="K15" s="64"/>
      <c r="L15" s="64">
        <f>IF( [1]!s_est_sales($D$2,YEAR(L7),L7,100000000)=0,"NA", [1]!s_est_sales($D$2,YEAR(L7),L7,100000000))</f>
        <v>865.34</v>
      </c>
      <c r="M15" s="64"/>
      <c r="N15" s="64">
        <f>IF( [1]!s_est_sales($D$2,YEAR(N7),N7,100000000)=0,"NA", [1]!s_est_sales($D$2,YEAR(N7),N7,100000000))</f>
        <v>957.51499999999999</v>
      </c>
      <c r="O15" s="64"/>
      <c r="P15" s="64" t="str">
        <f>IF( [1]!s_est_sales($D$2,YEAR(P7),P7,100000000)=0,"NA", [1]!s_est_sales($D$2,YEAR(P7),P7,100000000))</f>
        <v>NA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2490.2126400000002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8.44</v>
      </c>
      <c r="G16" s="49"/>
      <c r="H16" s="49"/>
      <c r="I16" s="53" t="s">
        <v>150</v>
      </c>
      <c r="J16" s="59">
        <f>[1]!S_STM07_IS(D2,"W38046687",J7,1,100000000)</f>
        <v>386.94290999999998</v>
      </c>
      <c r="K16" s="59"/>
      <c r="L16" s="59">
        <f>IF( [1]!s_est_avgebt($D$2,YEAR(L7),L7,100000000)=0,"NA", [1]!s_est_avgebt($D$2,YEAR(L7),L7,100000000))</f>
        <v>465.54500000000002</v>
      </c>
      <c r="M16" s="59"/>
      <c r="N16" s="59">
        <f>IF( [1]!s_est_avgebt($D$2,YEAR(N7),N7,100000000)=0,"NA", [1]!s_est_avgebt($D$2,YEAR(N7),N7,100000000))</f>
        <v>540.91499999999996</v>
      </c>
      <c r="O16" s="59"/>
      <c r="P16" s="59" t="str">
        <f>IF( [1]!s_est_avgebt($D$2,YEAR(P7),P7,100000000)=0,"NA", [1]!s_est_avgebt($D$2,YEAR(P7),P7,100000000))</f>
        <v>NA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0.52749999999999997</v>
      </c>
      <c r="G17" s="70"/>
      <c r="H17" s="49"/>
      <c r="I17" s="56" t="s">
        <v>148</v>
      </c>
      <c r="J17" s="64">
        <f>[1]!S_STM07_IS(D2,"W37790734",J7,1,100000000)</f>
        <v>300.13139999999999</v>
      </c>
      <c r="K17" s="64"/>
      <c r="L17" s="64">
        <f>IF( [1]!s_est_netprofit($D$2,YEAR(L7),L7,100000000)=0,"NA", [1]!s_est_netprofit($D$2,YEAR(L7),L7,100000000))</f>
        <v>373.83</v>
      </c>
      <c r="M17" s="64"/>
      <c r="N17" s="64">
        <f>IF( [1]!s_est_netprofit($D$2,YEAR(N7),N7,100000000)=0,"NA", [1]!s_est_netprofit($D$2,YEAR(N7),N7,100000000))</f>
        <v>442.69499999999999</v>
      </c>
      <c r="O17" s="64"/>
      <c r="P17" s="64" t="str">
        <f>IF( [1]!s_est_netprofit($D$2,YEAR(P7),P7,100000000)=0,"NA", [1]!s_est_netprofit($D$2,YEAR(P7),P7,100000000))</f>
        <v>NA</v>
      </c>
      <c r="Q17" s="64"/>
      <c r="R17" s="64"/>
      <c r="S17" s="54"/>
      <c r="T17" s="56" t="s">
        <v>147</v>
      </c>
      <c r="U17" s="20"/>
      <c r="V17" s="20"/>
      <c r="W17" s="65">
        <f>IFERROR(AC27,"NA")</f>
        <v>29802.946919999998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6.43</v>
      </c>
      <c r="G18" s="49"/>
      <c r="H18" s="49"/>
      <c r="I18" s="76" t="s">
        <v>42</v>
      </c>
      <c r="J18" s="77">
        <f>[1]!S_STM07_IS(D2,"W39201613",J7,1,100000000)</f>
        <v>387.52830999999998</v>
      </c>
      <c r="K18" s="77"/>
      <c r="L18" s="77" t="str">
        <f>IF( [1]!s_est_avgoperatingprofit($D$2,YEAR(L7),L7,100000000)=0,"NA", [1]!s_est_avgoperatingprofit($D$2,YEAR(L7),L7,100000000))</f>
        <v>NA</v>
      </c>
      <c r="M18" s="77"/>
      <c r="N18" s="77" t="str">
        <f>IF( [1]!s_est_avgoperatingprofit($D$2,YEAR(N7),N7,100000000)=0,"NA", [1]!s_est_avgoperatingprofit($D$2,YEAR(N7),N7,100000000))</f>
        <v>NA</v>
      </c>
      <c r="O18" s="77"/>
      <c r="P18" s="77" t="str">
        <f>IF( [1]!s_est_avgoperatingprofit($D$2,YEAR(P7),P7,100000000)=0,"NA", [1]!s_est_avgoperatingprofit($D$2,YEAR(P7),P7,100000000))</f>
        <v>NA</v>
      </c>
      <c r="Q18" s="77"/>
      <c r="R18" s="77"/>
      <c r="S18" s="54"/>
      <c r="T18" s="53" t="s">
        <v>145</v>
      </c>
      <c r="U18" s="13"/>
      <c r="V18" s="13"/>
      <c r="W18" s="60">
        <f>IFERROR(AE27,"NA")</f>
        <v>34033.618369999997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1.3125972006220841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14.375558177205427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0.13076403926311711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0.37238544122664746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0.13154829878804028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761522.13346229983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4.99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0.74</v>
      </c>
      <c r="K24" s="63"/>
      <c r="L24" s="63">
        <f>IFERROR(ROUND($F$13/HLOOKUP(DATE(LEFT(L22,4),12,31),$I$7:$P$18,2,0),2),"  NA")</f>
        <v>0.68</v>
      </c>
      <c r="M24" s="63"/>
      <c r="N24" s="63">
        <f>IFERROR(ROUND($F$13/HLOOKUP(DATE(LEFT(N22,4),12,31),$I$7:$P$18,2,0),2),"  NA")</f>
        <v>0.59</v>
      </c>
      <c r="O24" s="63"/>
      <c r="P24" s="63" t="str">
        <f>IFERROR(ROUND($F$13/HLOOKUP(DATE(LEFT(P22,4),12,31),$I$7:$P$18,2,0),2),"  NA")</f>
        <v xml:space="preserve">  NA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1835132.4463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 t="str">
        <f>IFERROR(HLOOKUP(DATE(LEFT(L22,4),12,31),$I$7:$P$18,4,0)/$F$13,"NA")</f>
        <v>NA</v>
      </c>
      <c r="M25" s="177"/>
      <c r="N25" s="177" t="str">
        <f>IFERROR(HLOOKUP(DATE(LEFT(N22,4),12,31),$I$7:$P$18,4,0)/$F$13,"NA")</f>
        <v>NA</v>
      </c>
      <c r="O25" s="58"/>
      <c r="P25" s="177" t="str">
        <f>IFERROR(HLOOKUP(DATE(LEFT(P22,4),12,31),$I$7:$P$18,4,0)/$F$13,"NA")</f>
        <v>NA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0.12526199999999998</v>
      </c>
      <c r="K26" s="90"/>
      <c r="L26" s="90">
        <f>IFERROR(HLOOKUP(DATE(LEFT(L22,4),12,31),$I$7:$P$18,5,0),"NA")</f>
        <v>0.15770000457763672</v>
      </c>
      <c r="M26" s="90"/>
      <c r="N26" s="90">
        <f>IFERROR(HLOOKUP(DATE(LEFT(N22,4),12,31),$I$7:$P$18,5,0),"NA")</f>
        <v>0.16305000305175782</v>
      </c>
      <c r="O26" s="90"/>
      <c r="P26" s="90" t="str">
        <f>IFERROR(HLOOKUP(DATE(LEFT(P22,4),12,31),$I$7:$P$18,5,0),"NA")</f>
        <v>NA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9.4029999999999999E-3</v>
      </c>
      <c r="K27" s="79"/>
      <c r="L27" s="79">
        <f>IFERROR(HLOOKUP(DATE(LEFT(L22,4),12,31),$I$7:$P$18,6,0),"NA")</f>
        <v>1.04E-2</v>
      </c>
      <c r="M27" s="79"/>
      <c r="N27" s="79">
        <f>IFERROR(HLOOKUP(DATE(LEFT(N22,4),12,31),$I$7:$P$18,6,0),"NA")</f>
        <v>1.065E-2</v>
      </c>
      <c r="O27" s="79"/>
      <c r="P27" s="79" t="str">
        <f>IFERROR(HLOOKUP(DATE(LEFT(P22,4),12,31),$I$7:$P$18,6,0),"NA")</f>
        <v>NA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20650.583869999999</v>
      </c>
      <c r="X27" s="63"/>
      <c r="Y27" s="65">
        <f>[1]!S_STM07_BS($D$2,"W34853906",Y25,1,100000000)</f>
        <v>23378.92914</v>
      </c>
      <c r="Z27" s="63"/>
      <c r="AA27" s="65">
        <f>[1]!S_STM07_BS($D$2,"W34853906",AA25,1,100000000)</f>
        <v>26188.742600000001</v>
      </c>
      <c r="AB27" s="63"/>
      <c r="AC27" s="65">
        <f>[1]!S_STM07_BS($D$2,"W34853906",AC25,1,100000000)</f>
        <v>29802.946919999998</v>
      </c>
      <c r="AD27" s="63"/>
      <c r="AE27" s="65">
        <f>[1]!S_STM07_BS($D$2,"W34853906",AE25,1,100000000)</f>
        <v>34033.618369999997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390.45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53.270400000000002</v>
      </c>
      <c r="X28" s="58"/>
      <c r="Y28" s="60">
        <f>[1]!S_STM07_BS($D$2,"W33507207",Y25,1,100000000)</f>
        <v>52.274459999999998</v>
      </c>
      <c r="Z28" s="58"/>
      <c r="AA28" s="60">
        <f>[1]!S_STM07_BS($D$2,"W33507207",AA25,1,100000000)</f>
        <v>72.898780000000002</v>
      </c>
      <c r="AB28" s="58"/>
      <c r="AC28" s="60">
        <f>[1]!S_STM07_BS($D$2,"W33507207",AC25,1,100000000)</f>
        <v>59.751489999999997</v>
      </c>
      <c r="AD28" s="58"/>
      <c r="AE28" s="60">
        <f>[1]!S_STM07_BS($D$2,"W33507207",AE25,1,100000000)</f>
        <v>83.422060000000002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404.74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11.82423</v>
      </c>
      <c r="X29" s="63"/>
      <c r="Y29" s="65">
        <f>[1]!S_STMNOTE_AssetDetail($D$2,"W32371214",Y25,100000000)</f>
        <v>12.18336</v>
      </c>
      <c r="Z29" s="63"/>
      <c r="AA29" s="65">
        <f>[1]!S_STMNOTE_AssetDetail($D$2,"W32371214",AA25,100000000)</f>
        <v>12.83957</v>
      </c>
      <c r="AB29" s="63"/>
      <c r="AC29" s="65">
        <f>[1]!S_STMNOTE_AssetDetail($D$2,"W32371214",AC25,100000000)</f>
        <v>13.479789999999999</v>
      </c>
      <c r="AD29" s="63"/>
      <c r="AE29" s="65">
        <f>[1]!S_STMNOTE_AssetDetail($D$2,"W32371214",AE25,100000000)</f>
        <v>13.88724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742.93</v>
      </c>
      <c r="K30" s="64"/>
      <c r="L30" s="64">
        <f>IFERROR(ROUND(HLOOKUP(DATE(LEFT(L22,4),12,31),$I$7:$P$18,9,0),2),"NA")</f>
        <v>865.34</v>
      </c>
      <c r="M30" s="64"/>
      <c r="N30" s="64">
        <f>IFERROR(ROUND(HLOOKUP(DATE(LEFT(N22,4),12,31),$I$7:$P$18,9,0),2),"NA")</f>
        <v>957.52</v>
      </c>
      <c r="O30" s="64"/>
      <c r="P30" s="64" t="str">
        <f>IFERROR(ROUND(HLOOKUP(DATE(LEFT(P22,4),12,31),$I$7:$P$18,9,0),2),"NA")</f>
        <v>NA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1327.9238499999999</v>
      </c>
      <c r="X30" s="58"/>
      <c r="Y30" s="60">
        <f>[1]!S_STM07_BS($D$2,"W34656681",Y25,1,100000000)</f>
        <v>1780.3773900000001</v>
      </c>
      <c r="Z30" s="58"/>
      <c r="AA30" s="60">
        <f>[1]!S_STM07_BS($D$2,"W34656681",AA25,1,100000000)</f>
        <v>1922.2707800000001</v>
      </c>
      <c r="AB30" s="58"/>
      <c r="AC30" s="60">
        <f>[1]!S_STM07_BS($D$2,"W34656681",AC25,1,100000000)</f>
        <v>2086.3272999999999</v>
      </c>
      <c r="AD30" s="58"/>
      <c r="AE30" s="60">
        <f>[1]!S_STM07_BS($D$2,"W34656681",AE25,1,100000000)</f>
        <v>2504.0998800000002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386.94</v>
      </c>
      <c r="K31" s="59"/>
      <c r="L31" s="59">
        <f>IFERROR(ROUND(HLOOKUP(DATE(LEFT(L22,4),12,31),$I$7:$P$18,10,0),2),"NA")</f>
        <v>465.55</v>
      </c>
      <c r="M31" s="59"/>
      <c r="N31" s="59">
        <f>IFERROR(ROUND(HLOOKUP(DATE(LEFT(N22,4),12,31),$I$7:$P$18,10,0),2),"NA")</f>
        <v>540.91999999999996</v>
      </c>
      <c r="O31" s="59"/>
      <c r="P31" s="59" t="str">
        <f>IFERROR(ROUND(HLOOKUP(DATE(LEFT(P22,4),12,31),$I$7:$P$18,10,0),2),"NA")</f>
        <v>NA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1835132.4463</v>
      </c>
      <c r="G32" s="70"/>
      <c r="H32" s="49"/>
      <c r="I32" s="56" t="s">
        <v>112</v>
      </c>
      <c r="J32" s="64">
        <f>IFERROR(ROUND(HLOOKUP(DATE(LEFT(J22,4),12,31),$I$7:$P$18,11,0),2),"NA")</f>
        <v>300.13</v>
      </c>
      <c r="K32" s="64"/>
      <c r="L32" s="64">
        <f>IFERROR(ROUND(HLOOKUP(DATE(LEFT(L22,4),12,31),$I$7:$P$18,11,0),2),"NA")</f>
        <v>373.83</v>
      </c>
      <c r="M32" s="64"/>
      <c r="N32" s="64">
        <f>IFERROR(ROUND(HLOOKUP(DATE(LEFT(N22,4),12,31),$I$7:$P$18,11,0),2),"NA")</f>
        <v>442.7</v>
      </c>
      <c r="O32" s="64"/>
      <c r="P32" s="64" t="str">
        <f>IFERROR(ROUND(HLOOKUP(DATE(LEFT(P22,4),12,31),$I$7:$P$18,11,0),2),"NA")</f>
        <v>NA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449.74014</v>
      </c>
      <c r="X32" s="59"/>
      <c r="Y32" s="60">
        <f>[1]!S_STM07_IS($D$2,"W33865145",Y25,1,100000000)</f>
        <v>520.26194999999996</v>
      </c>
      <c r="Z32" s="59"/>
      <c r="AA32" s="60">
        <f>[1]!S_STM07_IS($D$2,"W33865145",AA25,1,100000000)</f>
        <v>637.71352999999999</v>
      </c>
      <c r="AB32" s="59"/>
      <c r="AC32" s="60">
        <f>[1]!S_STM07_IS($D$2,"W33865145",AC25,1,100000000)</f>
        <v>705.70421999999996</v>
      </c>
      <c r="AD32" s="59"/>
      <c r="AE32" s="60">
        <f>[1]!S_STM07_IS($D$2,"W33865145",AE25,1,100000000)</f>
        <v>742.93433000000005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1548.8517846771999</v>
      </c>
      <c r="G33" s="49"/>
      <c r="H33" s="49"/>
      <c r="I33" s="76" t="s">
        <v>109</v>
      </c>
      <c r="J33" s="77">
        <f>IFERROR(ROUND(HLOOKUP(DATE(LEFT(J22,4),12,31),$I$7:$P$18,12,0),2),"NA")</f>
        <v>387.53</v>
      </c>
      <c r="K33" s="77"/>
      <c r="L33" s="77" t="str">
        <f>IFERROR(ROUND(HLOOKUP(DATE(LEFT(L22,4),12,31),$I$7:$P$18,12,0),2),"NA")</f>
        <v>NA</v>
      </c>
      <c r="M33" s="77"/>
      <c r="N33" s="77" t="str">
        <f>IFERROR(ROUND(HLOOKUP(DATE(LEFT(N22,4),12,31),$I$7:$P$18,12,0),2),"NA")</f>
        <v>NA</v>
      </c>
      <c r="O33" s="77"/>
      <c r="P33" s="77" t="str">
        <f>IFERROR(ROUND(HLOOKUP(DATE(LEFT(P22,4),12,31),$I$7:$P$18,12,0),2),"NA")</f>
        <v>NA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292.95184</v>
      </c>
      <c r="X33" s="64"/>
      <c r="Y33" s="65">
        <f>[1]!S_STM07_IS($D$2,"W32436009",Y25,1,100000000)</f>
        <v>352.61565999999999</v>
      </c>
      <c r="Z33" s="64"/>
      <c r="AA33" s="65">
        <f>[1]!S_STM07_IS($D$2,"W32436009",AA25,1,100000000)</f>
        <v>373.63069999999999</v>
      </c>
      <c r="AB33" s="64"/>
      <c r="AC33" s="65">
        <f>[1]!S_STM07_IS($D$2,"W32436009",AC25,1,100000000)</f>
        <v>378.96447999999998</v>
      </c>
      <c r="AD33" s="64"/>
      <c r="AE33" s="65">
        <f>[1]!S_STM07_IS($D$2,"W32436009",AE25,1,100000000)</f>
        <v>355.40602000000001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1548.8517846771999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146.18609000000001</v>
      </c>
      <c r="X34" s="59"/>
      <c r="Y34" s="60">
        <f>[1]!S_STM07_IS($D$2,"W30028333",Y25,1,100000000)</f>
        <v>150.65745000000001</v>
      </c>
      <c r="Z34" s="59"/>
      <c r="AA34" s="60">
        <f>[1]!S_STM07_IS($D$2,"W30028333",AA25,1,100000000)</f>
        <v>196.94364999999999</v>
      </c>
      <c r="AB34" s="59"/>
      <c r="AC34" s="60">
        <f>[1]!S_STM07_IS($D$2,"W30028333",AC25,1,100000000)</f>
        <v>253.85992999999999</v>
      </c>
      <c r="AD34" s="59"/>
      <c r="AE34" s="60">
        <f>[1]!S_STM07_IS($D$2,"W30028333",AE25,1,100000000)</f>
        <v>287.50351999999998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33919.180644677203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9.5306999999999995</v>
      </c>
      <c r="X36" s="54"/>
      <c r="Y36" s="58">
        <f>[1]!s_fa_bps2($D$2,Y25,"")</f>
        <v>9.1590000000000007</v>
      </c>
      <c r="Z36" s="54"/>
      <c r="AA36" s="58">
        <f>[1]!s_fa_bps2($D$2,AA25,"")</f>
        <v>10.1197</v>
      </c>
      <c r="AB36" s="54"/>
      <c r="AC36" s="58">
        <f>[1]!s_fa_bps2($D$2,AC25,"")</f>
        <v>11.230499999999999</v>
      </c>
      <c r="AD36" s="54"/>
      <c r="AE36" s="58">
        <f>[1]!s_fa_bps2($D$2,AE25,"")</f>
        <v>11.467000000000001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1.18</v>
      </c>
      <c r="X37" s="57"/>
      <c r="Y37" s="63">
        <f>[1]!s_fa_eps_basic2($D$2,Y25,"")</f>
        <v>1.21</v>
      </c>
      <c r="Z37" s="57"/>
      <c r="AA37" s="63">
        <f>[1]!s_fa_eps_basic2($D$2,AA25,"")</f>
        <v>1.21</v>
      </c>
      <c r="AB37" s="57"/>
      <c r="AC37" s="63">
        <f>[1]!s_fa_eps_basic2($D$2,AC25,"")</f>
        <v>1.6</v>
      </c>
      <c r="AD37" s="57"/>
      <c r="AE37" s="63">
        <f>[1]!s_fa_eps_basic2($D$2,AE25,"")</f>
        <v>1.69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0.1159357566517234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0.27799999999999997</v>
      </c>
      <c r="X38" s="58"/>
      <c r="Y38" s="58">
        <f>[1]!s_div_cashbeforetax($D$2,Y25)</f>
        <v>0.316</v>
      </c>
      <c r="Z38" s="58"/>
      <c r="AA38" s="58">
        <f>[1]!s_div_cashbeforetax($D$2,AA25)</f>
        <v>0.4</v>
      </c>
      <c r="AB38" s="58"/>
      <c r="AC38" s="58">
        <f>[1]!s_div_cashbeforetax($D$2,AC25)</f>
        <v>0.49070000000000003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0.13526586457738965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23.6%</v>
      </c>
      <c r="X39" s="82"/>
      <c r="Y39" s="93" t="str">
        <f>IFERROR(ROUND(Y38/Y37*100,1)&amp;"%","NA")</f>
        <v>26.1%</v>
      </c>
      <c r="Z39" s="82"/>
      <c r="AA39" s="93" t="str">
        <f>IFERROR(ROUND(AA38/AA37*100,1)&amp;"%","NA")</f>
        <v>33.1%</v>
      </c>
      <c r="AB39" s="82"/>
      <c r="AC39" s="93" t="str">
        <f>IFERROR(ROUND(AC38/AC37*100,1)&amp;"%","NA")</f>
        <v>30.7%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0.21449740562532993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3</v>
      </c>
      <c r="U42" s="98" t="s">
        <v>4</v>
      </c>
      <c r="V42" s="99" t="s">
        <v>76</v>
      </c>
      <c r="W42" s="99" t="s">
        <v>93</v>
      </c>
      <c r="X42" s="99"/>
      <c r="Y42" s="99" t="s">
        <v>5</v>
      </c>
      <c r="Z42" s="99"/>
      <c r="AA42" s="99" t="s">
        <v>77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600919.SH</v>
      </c>
      <c r="U43" s="101" t="str">
        <f>[1]!S_Info_Name(T43)</f>
        <v>江苏银行</v>
      </c>
      <c r="V43" s="65">
        <f>[1]!s_share_issuing_mkt(T43,W43,10000)</f>
        <v>1835132.4463</v>
      </c>
      <c r="W43" s="102" t="str">
        <f>[1]!lastradeday_s(T43,F2)</f>
        <v>2024-04-25</v>
      </c>
      <c r="X43" s="102"/>
      <c r="Y43" s="71">
        <f>[1]!S_DQ_CLOSE(T43,W43,1)</f>
        <v>8.44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1548.8517846771999</v>
      </c>
      <c r="AF43" s="71"/>
      <c r="AG43" s="49"/>
    </row>
    <row r="44" spans="2:33" s="7" customFormat="1" ht="24.6" customHeight="1" x14ac:dyDescent="0.2">
      <c r="B44" s="49"/>
      <c r="C44" s="53" t="s">
        <v>78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>
        <f>IFERROR([1]!s_info_hsharecode(T43),"")</f>
        <v>0</v>
      </c>
      <c r="U44" s="103">
        <f>[1]!HKS_INFO_NAME(T44)</f>
        <v>0</v>
      </c>
      <c r="V44" s="60">
        <f>[1]!s_share_issuing_mkt(T44,W44,10000)</f>
        <v>0</v>
      </c>
      <c r="W44" s="104">
        <f>[1]!lastradeday_s(T44,F2)</f>
        <v>0</v>
      </c>
      <c r="X44" s="104"/>
      <c r="Y44" s="73">
        <f>[1]!S_DQ_CLOSE(T44,W44,1)</f>
        <v>0</v>
      </c>
      <c r="Z44" s="73"/>
      <c r="AA44" s="73">
        <f>[1]!hks_info_tradecur(T44)</f>
        <v>0</v>
      </c>
      <c r="AB44" s="73"/>
      <c r="AC44" s="73">
        <f>IF([1]!hks_info_tradecur(T44)="CNY",1,[1]!S_DQ_CLOSE([1]!hks_info_tradecur(T44)&amp;"CNY.EX",W44,1))</f>
        <v>0</v>
      </c>
      <c r="AD44" s="73"/>
      <c r="AE44" s="92">
        <f>V44*Y44*AC44/10000</f>
        <v>0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 t="str">
        <f>IFERROR(POWER(N18/J18,1/2)-1,"")</f>
        <v/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79</v>
      </c>
      <c r="V47" s="109">
        <f>SUM(V43:V44)</f>
        <v>1835132.4463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1548.8517846771999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1:AS359"/>
  <sheetViews>
    <sheetView showGridLines="0" zoomScale="70" zoomScaleNormal="70" workbookViewId="0">
      <selection activeCell="I41" sqref="I41"/>
    </sheetView>
  </sheetViews>
  <sheetFormatPr defaultRowHeight="16.5" x14ac:dyDescent="0.2"/>
  <cols>
    <col min="1" max="1" width="3" style="41" customWidth="1"/>
    <col min="2" max="2" width="2.25" style="41" customWidth="1"/>
    <col min="3" max="3" width="21.375" style="41" customWidth="1"/>
    <col min="4" max="4" width="15.375" style="41" customWidth="1"/>
    <col min="5" max="5" width="8.625" style="41" customWidth="1"/>
    <col min="6" max="6" width="18" style="41" customWidth="1"/>
    <col min="7" max="7" width="14.125" style="41" customWidth="1"/>
    <col min="8" max="8" width="2.25" style="41" customWidth="1"/>
    <col min="9" max="9" width="19.75" style="41" customWidth="1"/>
    <col min="10" max="10" width="15.125" style="41" bestFit="1" customWidth="1"/>
    <col min="11" max="11" width="5.25" style="41" customWidth="1"/>
    <col min="12" max="12" width="14.5" style="41" bestFit="1" customWidth="1"/>
    <col min="13" max="13" width="4.125" style="41" customWidth="1"/>
    <col min="14" max="14" width="14.625" style="41" customWidth="1"/>
    <col min="15" max="15" width="2.125" style="41" customWidth="1"/>
    <col min="16" max="16" width="17.625" style="41" customWidth="1"/>
    <col min="17" max="17" width="2" style="41" customWidth="1"/>
    <col min="18" max="18" width="15.125" style="41" customWidth="1"/>
    <col min="19" max="19" width="3.5" style="41" customWidth="1"/>
    <col min="20" max="20" width="11.75" style="41" bestFit="1" customWidth="1"/>
    <col min="21" max="21" width="2.25" style="41" customWidth="1"/>
    <col min="22" max="22" width="36.125" style="41" bestFit="1" customWidth="1"/>
    <col min="23" max="23" width="9.75" style="41" customWidth="1"/>
    <col min="24" max="24" width="23.25" style="41" customWidth="1"/>
    <col min="25" max="25" width="12.75" style="41" customWidth="1"/>
    <col min="26" max="26" width="1.375" style="41" customWidth="1"/>
    <col min="27" max="27" width="12.75" style="41" customWidth="1"/>
    <col min="28" max="28" width="1.375" style="41" customWidth="1"/>
    <col min="29" max="29" width="12.75" style="41" customWidth="1"/>
    <col min="30" max="30" width="1.375" style="41" customWidth="1"/>
    <col min="31" max="31" width="12.75" style="41" customWidth="1"/>
    <col min="32" max="32" width="1.375" style="41" customWidth="1"/>
    <col min="33" max="33" width="14.25" style="41" customWidth="1"/>
    <col min="34" max="34" width="1.375" style="41" customWidth="1"/>
    <col min="35" max="35" width="2.25" style="41" customWidth="1"/>
    <col min="36" max="37" width="9" style="41"/>
    <col min="38" max="38" width="13" style="41" bestFit="1" customWidth="1"/>
    <col min="39" max="39" width="9" style="41"/>
    <col min="40" max="40" width="13" style="41" bestFit="1" customWidth="1"/>
    <col min="41" max="41" width="9" style="41"/>
    <col min="42" max="42" width="13" style="41" bestFit="1" customWidth="1"/>
    <col min="43" max="16384" width="9" style="41"/>
  </cols>
  <sheetData>
    <row r="1" spans="2:45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</row>
    <row r="2" spans="2:45" ht="24" customHeight="1" x14ac:dyDescent="0.5">
      <c r="C2" s="43" t="str">
        <f>[1]!S_Info_Name(D2)</f>
        <v>腾讯控股</v>
      </c>
      <c r="D2" s="192" t="s">
        <v>248</v>
      </c>
      <c r="F2" s="44">
        <f>预测结果!A3</f>
        <v>45657</v>
      </c>
      <c r="G2" s="44"/>
      <c r="T2" s="46"/>
      <c r="V2" s="46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 s="7" customFormat="1" ht="12" customHeight="1" x14ac:dyDescent="0.2">
      <c r="C3" s="47"/>
      <c r="E3" s="47"/>
      <c r="F3" s="47"/>
      <c r="G3" s="48"/>
      <c r="J3" s="47"/>
      <c r="K3" s="47"/>
      <c r="L3" s="47"/>
      <c r="M3" s="47"/>
      <c r="N3" s="47"/>
      <c r="O3" s="47"/>
      <c r="Q3" s="47"/>
      <c r="R3" s="47"/>
      <c r="S3" s="47"/>
      <c r="T3" s="48"/>
      <c r="U3" s="47"/>
      <c r="V3" s="48"/>
      <c r="W3" s="47"/>
      <c r="Y3" s="47"/>
    </row>
    <row r="4" spans="2:45" s="7" customFormat="1" ht="17.2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2:45" s="7" customFormat="1" ht="24.6" customHeight="1" x14ac:dyDescent="0.2">
      <c r="B5" s="49"/>
      <c r="C5" s="51" t="s">
        <v>203</v>
      </c>
      <c r="D5" s="51"/>
      <c r="E5" s="51"/>
      <c r="F5" s="51"/>
      <c r="G5" s="51"/>
      <c r="H5" s="112"/>
      <c r="I5" s="51" t="s">
        <v>80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49"/>
      <c r="V5" s="51" t="s">
        <v>202</v>
      </c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49"/>
    </row>
    <row r="6" spans="2:45" s="7" customFormat="1" ht="24.6" customHeight="1" x14ac:dyDescent="0.2">
      <c r="B6" s="49"/>
      <c r="C6" s="53" t="s">
        <v>201</v>
      </c>
      <c r="D6" s="13"/>
      <c r="E6" s="54"/>
      <c r="F6" s="72" t="str">
        <f>D2</f>
        <v>0700.HK</v>
      </c>
      <c r="G6" s="55"/>
      <c r="H6" s="55"/>
      <c r="I6" s="13"/>
      <c r="J6" s="54" t="s">
        <v>200</v>
      </c>
      <c r="K6" s="54"/>
      <c r="L6" s="54" t="s">
        <v>199</v>
      </c>
      <c r="M6" s="54"/>
      <c r="N6" s="54" t="s">
        <v>198</v>
      </c>
      <c r="O6" s="54"/>
      <c r="P6" s="54" t="s">
        <v>197</v>
      </c>
      <c r="Q6" s="54"/>
      <c r="R6" s="54" t="s">
        <v>196</v>
      </c>
      <c r="S6" s="54"/>
      <c r="T6" s="54" t="s">
        <v>17</v>
      </c>
      <c r="U6" s="49"/>
      <c r="V6" s="13"/>
      <c r="W6" s="13"/>
      <c r="X6" s="13"/>
      <c r="Y6" s="54" t="s">
        <v>16</v>
      </c>
      <c r="Z6" s="54"/>
      <c r="AA6" s="54" t="s">
        <v>18</v>
      </c>
      <c r="AB6" s="54"/>
      <c r="AC6" s="54" t="s">
        <v>19</v>
      </c>
      <c r="AD6" s="54"/>
      <c r="AE6" s="54" t="s">
        <v>20</v>
      </c>
      <c r="AF6" s="54"/>
      <c r="AG6" s="54" t="s">
        <v>21</v>
      </c>
      <c r="AH6" s="54"/>
      <c r="AI6" s="49"/>
    </row>
    <row r="7" spans="2:45" s="7" customFormat="1" ht="24.6" customHeight="1" x14ac:dyDescent="0.2">
      <c r="B7" s="49"/>
      <c r="C7" s="56" t="s">
        <v>195</v>
      </c>
      <c r="D7" s="20"/>
      <c r="E7" s="57"/>
      <c r="F7" s="113" t="str">
        <f>[1]!S_Info_Name(F6)</f>
        <v>腾讯控股</v>
      </c>
      <c r="G7" s="20"/>
      <c r="H7" s="13"/>
      <c r="I7" s="56" t="s">
        <v>81</v>
      </c>
      <c r="J7" s="57">
        <f>DATE(YEAR(L7),MONTH(L7)-11,0)</f>
        <v>45291</v>
      </c>
      <c r="K7" s="57"/>
      <c r="L7" s="57">
        <f>IFERROR(IF(DATE(YEAR(F2),LEFT(F22,2)+1,0)&lt;=F2,DATE(YEAR(F2),LEFT(F22,2)+1,0),DATE(YEAR(F2),LEFT(F22,2)-11,0)),"NA")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>
        <f>DATE(YEAR(P7),MONTH(P7)+13,0)</f>
        <v>46752</v>
      </c>
      <c r="S7" s="57"/>
      <c r="T7" s="57">
        <f>DATE(YEAR(R7),MONTH(R7)+13,0)</f>
        <v>47118</v>
      </c>
      <c r="U7" s="49"/>
      <c r="V7" s="20"/>
      <c r="W7" s="20"/>
      <c r="X7" s="20"/>
      <c r="Y7" s="57">
        <f>IFERROR(IF(DATE(YEAR(F2),LEFT(F22,2)+1,0)&lt;=F2,DATE(YEAR(F2),LEFT(F22,2)+1,0),DATE(YEAR(F2),LEFT(F22,2)-11,0)),"NA")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57">
        <f>DATE(YEAR(AE7),MONTH(AE7)+13,0)</f>
        <v>47118</v>
      </c>
      <c r="AH7" s="57"/>
      <c r="AI7" s="49"/>
    </row>
    <row r="8" spans="2:45" s="7" customFormat="1" ht="24.6" customHeight="1" x14ac:dyDescent="0.2">
      <c r="B8" s="49"/>
      <c r="C8" s="53" t="s">
        <v>194</v>
      </c>
      <c r="D8" s="13"/>
      <c r="E8" s="58"/>
      <c r="F8" s="114" t="str">
        <f>[1]!s_info_compname(F6)</f>
        <v>腾讯控股有限公司</v>
      </c>
      <c r="G8" s="13"/>
      <c r="H8" s="13"/>
      <c r="I8" s="53" t="s">
        <v>193</v>
      </c>
      <c r="J8" s="115">
        <f>YEAR(J7)</f>
        <v>2023</v>
      </c>
      <c r="K8" s="115"/>
      <c r="L8" s="115">
        <f>YEAR(L7)</f>
        <v>2024</v>
      </c>
      <c r="M8" s="115"/>
      <c r="N8" s="115">
        <f>YEAR(N7)</f>
        <v>2025</v>
      </c>
      <c r="O8" s="115"/>
      <c r="P8" s="115">
        <f>YEAR(P7)</f>
        <v>2026</v>
      </c>
      <c r="Q8" s="115"/>
      <c r="R8" s="115">
        <f>YEAR(R7)</f>
        <v>2027</v>
      </c>
      <c r="S8" s="115"/>
      <c r="T8" s="115">
        <f>YEAR(T7)</f>
        <v>2028</v>
      </c>
      <c r="U8" s="49"/>
      <c r="V8" s="53" t="s">
        <v>192</v>
      </c>
      <c r="W8" s="13"/>
      <c r="X8" s="13"/>
      <c r="Y8" s="59">
        <f>[1]!hks_stm_bs($D2,"140",DATE(IF(MONTH(Y7)&gt;=6,YEAR(Y7)-1,YEAR(Y7)-2),12,31),1,"Cur="&amp;$F$14,100000000)</f>
        <v>8922.6788197126534</v>
      </c>
      <c r="Z8" s="58"/>
      <c r="AA8" s="59">
        <f>IFERROR(Y12,"NA")</f>
        <v>0</v>
      </c>
      <c r="AB8" s="58"/>
      <c r="AC8" s="59">
        <f>IFERROR(AA12,"NA")</f>
        <v>1704.9434140105993</v>
      </c>
      <c r="AD8" s="58"/>
      <c r="AE8" s="59">
        <f>IFERROR(AC12,"NA")</f>
        <v>3618.673671175251</v>
      </c>
      <c r="AF8" s="58"/>
      <c r="AG8" s="59" t="str">
        <f>IFERROR(AE12,"NA")</f>
        <v>NA</v>
      </c>
      <c r="AH8" s="58"/>
      <c r="AI8" s="49"/>
    </row>
    <row r="9" spans="2:45" s="7" customFormat="1" ht="24.6" customHeight="1" thickBot="1" x14ac:dyDescent="0.25">
      <c r="B9" s="49"/>
      <c r="C9" s="61" t="s">
        <v>25</v>
      </c>
      <c r="D9" s="62"/>
      <c r="E9" s="62"/>
      <c r="F9" s="116" t="str">
        <f>[1]!s_info_industry_gics(F6,4)</f>
        <v>互联网软件与服务</v>
      </c>
      <c r="G9" s="62"/>
      <c r="H9" s="13"/>
      <c r="I9" s="56" t="s">
        <v>23</v>
      </c>
      <c r="J9" s="63">
        <f>[1]!hks_fa_bps($D$2,DATE(YEAR(J7),12,31),"Cur="&amp;$F$14)</f>
        <v>94.091380106375937</v>
      </c>
      <c r="K9" s="63"/>
      <c r="L9" s="117">
        <f>[1]!hks_fa_bps($D$2,DATE(YEAR(L7),12,31),"Cur="&amp;$F$14)</f>
        <v>0</v>
      </c>
      <c r="M9" s="63"/>
      <c r="N9" s="63">
        <f>IF([1]!s_west_avgbps1($D$2,YEAR(N7),N7,180,"Cur="&amp;$F$14)=0,"NA",[1]!s_west_avgbps1($D$2,YEAR(N7),N7,180,"Cur="&amp;$F$14))</f>
        <v>132.96749176553533</v>
      </c>
      <c r="O9" s="63"/>
      <c r="P9" s="63">
        <f>IF([1]!s_west_avgbps1($D$2,YEAR(P7),P7,180,"Cur="&amp;$F$14)=0,"NA",[1]!s_west_avgbps1($D$2,YEAR(P7),P7,180,"Cur="&amp;$F$14))</f>
        <v>155.29902948984875</v>
      </c>
      <c r="Q9" s="63"/>
      <c r="R9" s="63" t="str">
        <f>IF([1]!s_west_avgbps1($D$2,YEAR(R7),R7,180,"Cur="&amp;$F$14)=0,"NA",[1]!s_west_avgbps1($D$2,YEAR(R7),R7,180,"Cur="&amp;$F$14))</f>
        <v>NA</v>
      </c>
      <c r="S9" s="63"/>
      <c r="T9" s="63" t="str">
        <f>IF([1]!s_west_avgbps1($D$2,YEAR(T7),T7,180,"Cur="&amp;$F$14)=0,"NA",[1]!s_west_avgbps1($D$2,YEAR(T7),T7,180,"Cur="&amp;$F$14))</f>
        <v>NA</v>
      </c>
      <c r="U9" s="49"/>
      <c r="V9" s="20"/>
      <c r="W9" s="20" t="s">
        <v>191</v>
      </c>
      <c r="X9" s="20"/>
      <c r="Y9" s="64">
        <f>[1]!hks_stm_is(D2,"61",DATE(IF(MONTH(Y7)&gt;=6,YEAR(Y7),YEAR(Y7)-1),12,31),1,"Cur="&amp;$F$14,100000000)</f>
        <v>0</v>
      </c>
      <c r="Z9" s="63"/>
      <c r="AA9" s="64">
        <f>IFERROR(N10*$F$26/10000,"NA")</f>
        <v>1920.8576860274306</v>
      </c>
      <c r="AB9" s="63"/>
      <c r="AC9" s="64">
        <f>IFERROR(P10*$F$26/10000,"NA")</f>
        <v>2143.3791366250866</v>
      </c>
      <c r="AD9" s="63"/>
      <c r="AE9" s="64" t="str">
        <f>IFERROR(R10*$F$26/10000,"NA")</f>
        <v>NA</v>
      </c>
      <c r="AF9" s="63"/>
      <c r="AG9" s="64" t="str">
        <f>IFERROR(T10*$F$26/10000,"NA")</f>
        <v>NA</v>
      </c>
      <c r="AH9" s="63"/>
      <c r="AI9" s="49"/>
    </row>
    <row r="10" spans="2:45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190</v>
      </c>
      <c r="J10" s="58">
        <f>[1]!hks_fa_eps_diluted3($D2,DATE(YEAR(J7),12,31),"Cur="&amp;$F$14)</f>
        <v>13.407119683961954</v>
      </c>
      <c r="K10" s="104"/>
      <c r="L10" s="58">
        <f>[1]!hks_fa_eps_diluted3($D2,DATE(YEAR(L7),12,31),"Cur="&amp;$F$14)</f>
        <v>0</v>
      </c>
      <c r="M10" s="58"/>
      <c r="N10" s="127">
        <f>IF([1]!s_est_eps1($D$2,YEAR(N7),$F$2,"Cur="&amp;$F$14)=0,"NA",[1]!s_est_eps1($D$2,YEAR(N7),$F$2,"Cur="&amp;$F$14))</f>
        <v>20.336538991154146</v>
      </c>
      <c r="O10" s="58"/>
      <c r="P10" s="127">
        <f>IF([1]!s_est_eps1($D$2,YEAR(P7),$F$2,"Cur="&amp;$F$14)=0,"NA",[1]!s_est_eps1($D$2,YEAR(P7),$F$2,"Cur="&amp;$F$14))</f>
        <v>22.692422089295746</v>
      </c>
      <c r="Q10" s="58"/>
      <c r="R10" s="127" t="str">
        <f>IF([1]!s_est_eps1($D$2,YEAR(R7),$F$2,"Cur="&amp;$F$14)=0,"NA",[1]!s_est_eps1($D$2,YEAR(R7),$F$2,"Cur="&amp;$F$14))</f>
        <v>NA</v>
      </c>
      <c r="S10" s="58"/>
      <c r="T10" s="127" t="str">
        <f>IF([1]!s_est_eps1($D$2,YEAR(T7),$F$2,"Cur="&amp;$F$14)=0,"NA",[1]!s_est_eps1($D$2,YEAR(T7),$F$2,"Cur="&amp;$F$14))</f>
        <v>NA</v>
      </c>
      <c r="U10" s="49"/>
      <c r="V10" s="13"/>
      <c r="W10" s="13" t="s">
        <v>28</v>
      </c>
      <c r="X10" s="13"/>
      <c r="Y10" s="59"/>
      <c r="Z10" s="58"/>
      <c r="AA10" s="59">
        <f>IFERROR(N11*$F$26/10000,"NA")</f>
        <v>215.9142720168314</v>
      </c>
      <c r="AB10" s="58"/>
      <c r="AC10" s="59">
        <f>IFERROR(P11*$F$26/10000,"NA")</f>
        <v>229.64887946043496</v>
      </c>
      <c r="AD10" s="58"/>
      <c r="AE10" s="59" t="str">
        <f>IFERROR(R11*$F$26/10000,"NA")</f>
        <v>NA</v>
      </c>
      <c r="AF10" s="58"/>
      <c r="AG10" s="59" t="str">
        <f>IFERROR(T11*$F$26/10000,"NA")</f>
        <v>NA</v>
      </c>
      <c r="AH10" s="58"/>
      <c r="AI10" s="49"/>
    </row>
    <row r="11" spans="2:45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95"/>
      <c r="I11" s="56" t="s">
        <v>189</v>
      </c>
      <c r="J11" s="63">
        <f>[1]!hks_fa_dps($D$2,YEAR(J7),"Cur="&amp;$F$14)</f>
        <v>3.4</v>
      </c>
      <c r="K11" s="63"/>
      <c r="L11" s="63">
        <f>[1]!hks_fa_dps($D$2,YEAR(L7),"Cur="&amp;$F$14)</f>
        <v>0</v>
      </c>
      <c r="M11" s="63"/>
      <c r="N11" s="63">
        <f>IF([1]!s_est_avgdps1($D$2,YEAR(N7),$F$2,"Cur="&amp;$F$14)=0,"NA",[1]!s_est_avgdps1($D$2,YEAR(N7),$F$2,"Cur="&amp;$F$14))</f>
        <v>2.2859314584090686</v>
      </c>
      <c r="O11" s="63"/>
      <c r="P11" s="63">
        <f>IF([1]!s_west_mediandps1($D$2,YEAR(P7),$F$2,180,"Cur="&amp;$F$14)=0,"NA",[1]!s_west_mediandps1($D$2,YEAR(P7),$F$2,180,"Cur="&amp;$F$14))</f>
        <v>2.4313427410026773</v>
      </c>
      <c r="Q11" s="63"/>
      <c r="R11" s="63" t="str">
        <f>IF([1]!s_west_mediandps1($D$2,YEAR(R7),$F$2,180,"Cur="&amp;$F$14)=0,"NA",[1]!s_west_mediandps1($D$2,YEAR(R7),$F$2,180,"Cur="&amp;$F$14))</f>
        <v>NA</v>
      </c>
      <c r="S11" s="63"/>
      <c r="T11" s="63" t="str">
        <f>IF([1]!s_west_mediandps1($D$2,YEAR(T7),$F$2,180,"Cur="&amp;$F$14)=0,"NA",[1]!s_west_mediandps1($D$2,YEAR(T7),$F$2,180,"Cur="&amp;$F$14))</f>
        <v>NA</v>
      </c>
      <c r="U11" s="49"/>
      <c r="V11" s="20"/>
      <c r="W11" s="20" t="s">
        <v>31</v>
      </c>
      <c r="X11" s="20"/>
      <c r="Y11" s="64"/>
      <c r="Z11" s="63"/>
      <c r="AA11" s="64"/>
      <c r="AB11" s="63"/>
      <c r="AC11" s="64"/>
      <c r="AD11" s="63"/>
      <c r="AE11" s="64"/>
      <c r="AF11" s="63"/>
      <c r="AG11" s="64"/>
      <c r="AH11" s="63"/>
      <c r="AI11" s="49"/>
    </row>
    <row r="12" spans="2:45" s="7" customFormat="1" ht="24.6" customHeight="1" x14ac:dyDescent="0.2">
      <c r="B12" s="49"/>
      <c r="C12" s="53" t="s">
        <v>157</v>
      </c>
      <c r="D12" s="13"/>
      <c r="E12" s="58"/>
      <c r="F12" s="72" t="str">
        <f>[1]!lastradeday_s(D2,F2)</f>
        <v>2024-04-25</v>
      </c>
      <c r="G12" s="49"/>
      <c r="H12" s="49"/>
      <c r="I12" s="53" t="s">
        <v>188</v>
      </c>
      <c r="J12" s="79">
        <f>[1]!hks_fa_roe($D$2,DATE(YEAR(J7),12,31))/100</f>
        <v>0.15061099999999999</v>
      </c>
      <c r="K12" s="79"/>
      <c r="L12" s="79">
        <f>[1]!hks_fa_roe($D$2,DATE(YEAR(L7),12,31))/100</f>
        <v>0</v>
      </c>
      <c r="M12" s="79"/>
      <c r="N12" s="79">
        <f>IF([1]!s_west_avgroe($D$2,YEAR(N7),N7,180)/100=0,"NA",[1]!s_west_avgroe($D$2,YEAR(N7),N7,180)/100)</f>
        <v>0.164767</v>
      </c>
      <c r="O12" s="79"/>
      <c r="P12" s="79">
        <f>IF([1]!s_west_avgroe($D$2,YEAR(P7),P7,180)/100=0,"NA",[1]!s_west_avgroe($D$2,YEAR(P7),P7,180)/100)</f>
        <v>0.15426399999999998</v>
      </c>
      <c r="Q12" s="79"/>
      <c r="R12" s="79" t="str">
        <f>IF([1]!s_west_avgroe($D$2,YEAR(R7),R7,180)/100=0,"NA",[1]!s_west_avgroe($D$2,YEAR(R7),R7,180)/100)</f>
        <v>NA</v>
      </c>
      <c r="S12" s="79"/>
      <c r="T12" s="79" t="str">
        <f>IF([1]!s_west_avgroe($D$2,YEAR(T7),T7,180)/100=0,"NA",[1]!s_west_avgroe($D$2,YEAR(T7),T7,180)/100)</f>
        <v>NA</v>
      </c>
      <c r="U12" s="49"/>
      <c r="V12" s="53" t="s">
        <v>187</v>
      </c>
      <c r="W12" s="13"/>
      <c r="X12" s="13"/>
      <c r="Y12" s="60">
        <f>[1]!hks_stm_bs($D2,"140",DATE(IF(MONTH(Y7)&gt;=6,YEAR(Y7),YEAR(Y7)-1),12,31),1,"Cur="&amp;$F$14,100000000)</f>
        <v>0</v>
      </c>
      <c r="Z12" s="58"/>
      <c r="AA12" s="60">
        <f>IFERROR(AA8+AA9-AA10,"NA")</f>
        <v>1704.9434140105993</v>
      </c>
      <c r="AB12" s="58"/>
      <c r="AC12" s="60">
        <f>IFERROR(AC8+AC9-AC10,"NA")</f>
        <v>3618.673671175251</v>
      </c>
      <c r="AD12" s="58"/>
      <c r="AE12" s="60" t="str">
        <f>IFERROR(AE8+AE9-AE10,"NA")</f>
        <v>NA</v>
      </c>
      <c r="AF12" s="58"/>
      <c r="AG12" s="60" t="str">
        <f>IFERROR(AG8+AG9-AG10,"NA")</f>
        <v>NA</v>
      </c>
      <c r="AH12" s="58"/>
      <c r="AI12" s="49"/>
    </row>
    <row r="13" spans="2:45" s="7" customFormat="1" ht="24.6" customHeight="1" x14ac:dyDescent="0.2">
      <c r="B13" s="49"/>
      <c r="C13" s="56" t="s">
        <v>186</v>
      </c>
      <c r="D13" s="20"/>
      <c r="E13" s="64"/>
      <c r="F13" s="69">
        <f>[1]!S_DQ_CLOSE(D2,F12,1)</f>
        <v>339.4</v>
      </c>
      <c r="G13" s="70"/>
      <c r="H13" s="49"/>
      <c r="I13" s="56" t="s">
        <v>185</v>
      </c>
      <c r="J13" s="90">
        <f>[1]!hks_fa_roa($D$2,DATE(YEAR(J7),12,31))/100</f>
        <v>7.302800000000001E-2</v>
      </c>
      <c r="K13" s="90"/>
      <c r="L13" s="90">
        <f>[1]!hks_fa_roa($D$2,DATE(YEAR(L7),12,31))/100</f>
        <v>0</v>
      </c>
      <c r="M13" s="90"/>
      <c r="N13" s="90">
        <f>IF([1]!s_west_avgroa($D$2,YEAR(N7),N7,180)/100=0,"NA",[1]!s_west_avgroa($D$2,YEAR(N7),N7,180)/100)</f>
        <v>9.5169000000000004E-2</v>
      </c>
      <c r="O13" s="90"/>
      <c r="P13" s="90">
        <f>IF([1]!s_west_avgroa($D$2,YEAR(P7),P7,180)/100=0,"NA",[1]!s_west_avgroa($D$2,YEAR(P7),P7,180)/100)</f>
        <v>8.9124999999999996E-2</v>
      </c>
      <c r="Q13" s="90"/>
      <c r="R13" s="90" t="str">
        <f>IF([1]!s_west_avgroa($D$2,YEAR(R7),R7,180)/100=0,"NA",[1]!s_west_avgroa($D$2,YEAR(R7),R7,180)/100)</f>
        <v>NA</v>
      </c>
      <c r="S13" s="90"/>
      <c r="T13" s="90" t="str">
        <f>IF([1]!s_west_avgroa($D$2,YEAR(T7),T7,180)/100=0,"NA",[1]!s_west_avgroa($D$2,YEAR(T7),T7,180)/100)</f>
        <v>NA</v>
      </c>
      <c r="U13" s="49"/>
      <c r="V13" s="20"/>
      <c r="W13" s="20"/>
      <c r="X13" s="20"/>
      <c r="Y13" s="71"/>
      <c r="Z13" s="64"/>
      <c r="AA13" s="65"/>
      <c r="AB13" s="64"/>
      <c r="AC13" s="65"/>
      <c r="AD13" s="64"/>
      <c r="AE13" s="65"/>
      <c r="AF13" s="64"/>
      <c r="AG13" s="65"/>
      <c r="AH13" s="64"/>
      <c r="AI13" s="49"/>
    </row>
    <row r="14" spans="2:45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HKD</v>
      </c>
      <c r="G14" s="49"/>
      <c r="H14" s="72"/>
      <c r="I14" s="53" t="s">
        <v>34</v>
      </c>
      <c r="J14" s="144">
        <f>[1]!hks_fa_ebit3($D$2,DATE(YEAR(J7),12,31),1,"Cur="&amp;$F$14,100000000)</f>
        <v>1685.9482244929486</v>
      </c>
      <c r="K14" s="144"/>
      <c r="L14" s="144">
        <f>[1]!hks_fa_ebit3($D$2,DATE(YEAR(L7),12,31),1,"Cur="&amp;$F$14,100000000)</f>
        <v>0</v>
      </c>
      <c r="M14" s="144"/>
      <c r="N14" s="144">
        <f>IF([1]!s_west_avgebit1($D$2,YEAR(N7),$F$2,180,"Cur="&amp;$F$14,100000000)=0,"NA",[1]!s_west_avgebit1($D$2,YEAR(N7),$F$2,180,"Cur="&amp;$F$14,100000000))</f>
        <v>2382.6292531588401</v>
      </c>
      <c r="O14" s="144"/>
      <c r="P14" s="144">
        <f>IF([1]!s_west_avgebit1($D$2,YEAR(P7),$F$2,180,"Cur="&amp;$F$14,100000000)=0,"NA",[1]!s_west_avgebit1($D$2,YEAR(P7),$F$2,180,"Cur="&amp;$F$14,100000000))</f>
        <v>2817.8514656796324</v>
      </c>
      <c r="Q14" s="144"/>
      <c r="R14" s="144" t="str">
        <f>IF([1]!s_west_avgebit1($D$2,YEAR(R7),$F$2,180,"Cur="&amp;$F$14,100000000)=0,"NA",[1]!s_west_avgebit1($D$2,YEAR(R7),$F$2,180,"Cur="&amp;$F$14,100000000))</f>
        <v>NA</v>
      </c>
      <c r="S14" s="144"/>
      <c r="T14" s="144" t="str">
        <f>IF([1]!s_west_avgebit1($D$2,YEAR(T7),$F$2,180,"Cur="&amp;$F$14,100000000)=0,"NA",[1]!s_west_avgebit1($D$2,YEAR(T7),$F$2,180,"Cur="&amp;$F$14,100000000))</f>
        <v>NA</v>
      </c>
      <c r="U14" s="49"/>
      <c r="V14" s="53" t="s">
        <v>184</v>
      </c>
      <c r="W14" s="13"/>
      <c r="X14" s="13"/>
      <c r="Y14" s="118">
        <f>IFERROR(Y8-AE28,"NA")</f>
        <v>6859.1817807434727</v>
      </c>
      <c r="Z14" s="59"/>
      <c r="AA14" s="60">
        <f>IFERROR(Y15,"NA")</f>
        <v>-2187.0075699057625</v>
      </c>
      <c r="AB14" s="59"/>
      <c r="AC14" s="60">
        <f>IFERROR(AA15,"NA")</f>
        <v>-482.06415589516314</v>
      </c>
      <c r="AD14" s="59"/>
      <c r="AE14" s="60">
        <f>IFERROR(AC15,"NA")</f>
        <v>1431.6661012694885</v>
      </c>
      <c r="AF14" s="59"/>
      <c r="AG14" s="60" t="str">
        <f>IFERROR(AE15,"NA")</f>
        <v>NA</v>
      </c>
      <c r="AH14" s="59"/>
      <c r="AI14" s="49"/>
    </row>
    <row r="15" spans="2:45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2772.7556</v>
      </c>
      <c r="G15" s="70"/>
      <c r="H15" s="119"/>
      <c r="I15" s="56" t="s">
        <v>35</v>
      </c>
      <c r="J15" s="146">
        <f>[1]!hks_fa_ebitda2($D$2,DATE(YEAR(J7),12,31),1,"Cur="&amp;$F$14,100000000)</f>
        <v>2337.0925382357486</v>
      </c>
      <c r="K15" s="146"/>
      <c r="L15" s="146">
        <f>[1]!hks_fa_ebitda2($D$2,DATE(YEAR(L7),12,31),1,"Cur="&amp;$F$14,100000000)</f>
        <v>0</v>
      </c>
      <c r="M15" s="146"/>
      <c r="N15" s="146">
        <f>IF([1]!s_est_avgebitda1($D$2,YEAR(N7),$F$2,"Cur="&amp;$F$14,100000000)=0,"NA",[1]!s_est_avgebitda1($D$2,YEAR(N7),$F$2,"Cur="&amp;$F$14,100000000))</f>
        <v>2956.4970270553117</v>
      </c>
      <c r="O15" s="146"/>
      <c r="P15" s="146">
        <f>IF([1]!s_est_avgebitda1($D$2,YEAR(P7),$F$2,"Cur="&amp;$F$14,100000000)=0,"NA",[1]!s_est_avgebitda1($D$2,YEAR(P7),$F$2,"Cur="&amp;$F$14,100000000))</f>
        <v>3319.7544287429637</v>
      </c>
      <c r="Q15" s="146"/>
      <c r="R15" s="146" t="str">
        <f>IF([1]!s_est_avgebitda1($D$2,YEAR(R7),$F$2,"Cur="&amp;$F$14,100000000)=0,"NA",[1]!s_est_avgebitda1($D$2,YEAR(R7),$F$2,"Cur="&amp;$F$14,100000000))</f>
        <v>NA</v>
      </c>
      <c r="S15" s="146"/>
      <c r="T15" s="146" t="str">
        <f>IF([1]!s_est_avgebitda1($D$2,YEAR(T7),$F$2,"Cur="&amp;$F$14,100000000)=0,"NA",[1]!s_est_avgebitda1($D$2,YEAR(T7),$F$2,"Cur="&amp;$F$14,100000000))</f>
        <v>NA</v>
      </c>
      <c r="U15" s="49"/>
      <c r="V15" s="56" t="s">
        <v>182</v>
      </c>
      <c r="W15" s="20"/>
      <c r="X15" s="20"/>
      <c r="Y15" s="65">
        <f>IFERROR(Y12-$AG28,"NA")</f>
        <v>-2187.0075699057625</v>
      </c>
      <c r="Z15" s="64"/>
      <c r="AA15" s="65">
        <f>IFERROR(AA12-$AG28,"NA")</f>
        <v>-482.06415589516314</v>
      </c>
      <c r="AB15" s="64"/>
      <c r="AC15" s="65">
        <f>IFERROR(AC12-$AG28,"NA")</f>
        <v>1431.6661012694885</v>
      </c>
      <c r="AD15" s="64"/>
      <c r="AE15" s="65" t="str">
        <f>IFERROR(AE12-$AG28,"NA")</f>
        <v>NA</v>
      </c>
      <c r="AF15" s="64"/>
      <c r="AG15" s="65" t="str">
        <f>IFERROR(AG12-$AG28,"NA")</f>
        <v>NA</v>
      </c>
      <c r="AH15" s="64"/>
      <c r="AI15" s="49"/>
    </row>
    <row r="16" spans="2:45" s="7" customFormat="1" ht="24.6" customHeight="1" x14ac:dyDescent="0.2">
      <c r="B16" s="49"/>
      <c r="C16" s="53" t="s">
        <v>37</v>
      </c>
      <c r="D16" s="13"/>
      <c r="E16" s="59"/>
      <c r="F16" s="154">
        <f>[1]!s_pq_highclose(D2,DATE(YEAR(F12)-1,MONTH(F12),DAY(F12)),F12,3)</f>
        <v>363</v>
      </c>
      <c r="G16" s="49"/>
      <c r="H16" s="49"/>
      <c r="I16" s="53" t="s">
        <v>181</v>
      </c>
      <c r="J16" s="144">
        <f>[1]!hks_stm_is($D$2,"83",DATE(YEAR(J7),12,31),1,"Cur="&amp;$F$14,100000000)</f>
        <v>6720.3879852574428</v>
      </c>
      <c r="K16" s="144"/>
      <c r="L16" s="144">
        <f>[1]!hks_stm_is($D$2,"83",DATE(YEAR(L7),12,31),1,"Cur="&amp;$F$14,100000000)</f>
        <v>0</v>
      </c>
      <c r="M16" s="144"/>
      <c r="N16" s="144">
        <f>IF([1]!s_est_sales1($D$2,YEAR(N7),$F$2,"Cur="&amp;$F$14,100000000)=0,"NA",[1]!s_est_sales1($D$2,YEAR(N7),$F$2,"Cur="&amp;$F$14,100000000))</f>
        <v>8111.1891925597911</v>
      </c>
      <c r="O16" s="144"/>
      <c r="P16" s="144">
        <f>IF([1]!s_est_sales1($D$2,YEAR(P7),$F$2,"Cur="&amp;$F$14,100000000)=0,"NA",[1]!s_est_sales1($D$2,YEAR(P7),$F$2,"Cur="&amp;$F$14,100000000))</f>
        <v>8805.7134791852568</v>
      </c>
      <c r="Q16" s="144"/>
      <c r="R16" s="144" t="str">
        <f>IF([1]!s_est_sales1($D$2,YEAR(R7),$F$2,"Cur="&amp;$F$14,100000000)=0,"NA",[1]!s_est_sales1($D$2,YEAR(R7),$F$2,"Cur="&amp;$F$14,100000000))</f>
        <v>NA</v>
      </c>
      <c r="S16" s="144"/>
      <c r="T16" s="144" t="str">
        <f>IF([1]!s_est_sales1($D$2,YEAR(T7),$F$2,"Cur="&amp;$F$14,100000000)=0,"NA",[1]!s_est_sales1($D$2,YEAR(T7),$F$2,"Cur="&amp;$F$14,100000000))</f>
        <v>NA</v>
      </c>
      <c r="U16" s="49"/>
      <c r="V16" s="13"/>
      <c r="W16" s="13"/>
      <c r="X16" s="13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49"/>
    </row>
    <row r="17" spans="2:42" s="7" customFormat="1" ht="24.6" customHeight="1" x14ac:dyDescent="0.2">
      <c r="B17" s="49"/>
      <c r="C17" s="56" t="s">
        <v>180</v>
      </c>
      <c r="D17" s="20"/>
      <c r="E17" s="64"/>
      <c r="F17" s="75">
        <f>F13/F16</f>
        <v>0.93498622589531677</v>
      </c>
      <c r="G17" s="70"/>
      <c r="H17" s="120"/>
      <c r="I17" s="56" t="s">
        <v>179</v>
      </c>
      <c r="J17" s="146">
        <f>[1]!hks_stm_is($D$2,"1016",DATE(YEAR(J7),12,31),1,"Cur="&amp;$F$14,100000000)</f>
        <v>1780.1858268411645</v>
      </c>
      <c r="K17" s="146"/>
      <c r="L17" s="146">
        <f>[1]!hks_stm_is($D$2,"1016",DATE(YEAR(L7),12,31),1,"Cur="&amp;$F$14,100000000)</f>
        <v>0</v>
      </c>
      <c r="M17" s="146"/>
      <c r="N17" s="146">
        <f>IF([1]!s_est_avgebt1($D$2,YEAR(N7),$F$2,"Cur="&amp;$F$14,100000000)=0,"NA",[1]!s_est_avgebt1($D$2,YEAR(N7),$F$2,"Cur="&amp;$F$14,100000000))</f>
        <v>2441.0317394714525</v>
      </c>
      <c r="O17" s="146"/>
      <c r="P17" s="146">
        <f>IF([1]!s_est_avgebt1($D$2,YEAR(P7),$F$2,"Cur="&amp;$F$14,100000000)=0,"NA",[1]!s_est_avgebt1($D$2,YEAR(P7),$F$2,"Cur="&amp;$F$14,100000000))</f>
        <v>2747.095483073907</v>
      </c>
      <c r="Q17" s="146"/>
      <c r="R17" s="146" t="str">
        <f>IF([1]!s_est_avgebt1($D$2,YEAR(R7),$F$2,"Cur="&amp;$F$14,100000000)=0,"NA",[1]!s_est_avgebt1($D$2,YEAR(R7),$F$2,"Cur="&amp;$F$14,100000000))</f>
        <v>NA</v>
      </c>
      <c r="S17" s="146"/>
      <c r="T17" s="146" t="str">
        <f>IF([1]!s_est_avgebt1($D$2,YEAR(T7),$F$2,"Cur="&amp;$F$14,100000000)=0,"NA",[1]!s_est_avgebt1($D$2,YEAR(T7),$F$2,"Cur="&amp;$F$14,100000000))</f>
        <v>NA</v>
      </c>
      <c r="U17" s="49"/>
      <c r="V17" s="56" t="s">
        <v>40</v>
      </c>
      <c r="W17" s="20"/>
      <c r="X17" s="20"/>
      <c r="Y17" s="65">
        <f>IFERROR(AE27,"NA")</f>
        <v>17404.66994769482</v>
      </c>
      <c r="Z17" s="64"/>
      <c r="AA17" s="64"/>
      <c r="AB17" s="64"/>
      <c r="AC17" s="64"/>
      <c r="AD17" s="64"/>
      <c r="AE17" s="64"/>
      <c r="AF17" s="64"/>
      <c r="AG17" s="64"/>
      <c r="AH17" s="64"/>
      <c r="AI17" s="49"/>
      <c r="AL17" s="141"/>
    </row>
    <row r="18" spans="2:42" s="7" customFormat="1" ht="24.6" customHeight="1" x14ac:dyDescent="0.2">
      <c r="B18" s="49"/>
      <c r="C18" s="53" t="s">
        <v>41</v>
      </c>
      <c r="D18" s="13"/>
      <c r="E18" s="58"/>
      <c r="F18" s="154">
        <f>[1]!s_pq_lowclose(D2,DATE(YEAR(F12)-1,MONTH(F12),DAY(F12)),F12,3)</f>
        <v>262.2</v>
      </c>
      <c r="G18" s="49"/>
      <c r="H18" s="49"/>
      <c r="I18" s="53" t="s">
        <v>39</v>
      </c>
      <c r="J18" s="144">
        <f>[1]!hks_stm_is($D$2,"61",DATE(YEAR(J7),12,31),1,"Cur="&amp;$F$14,100000000)</f>
        <v>1271.391052945201</v>
      </c>
      <c r="K18" s="145"/>
      <c r="L18" s="144">
        <f>[1]!hks_stm_is($D$2,"61",DATE(YEAR(L7),12,31),1,"Cur="&amp;$F$14,100000000)</f>
        <v>0</v>
      </c>
      <c r="M18" s="145"/>
      <c r="N18" s="144">
        <f>IF([1]!s_west_netprofit1($D$2,YEAR(N7),$F$2,180,"Cur="&amp;$F$14,100000000)=0,"NA",[1]!s_west_netprofit1($D$2,YEAR(N7),$F$2,180,"Cur="&amp;$F$14,100000000))</f>
        <v>1920.8607871487275</v>
      </c>
      <c r="O18" s="145"/>
      <c r="P18" s="144">
        <f>IF([1]!s_west_netprofit1($D$2,YEAR(P7),$F$2,180,"Cur="&amp;$F$14,100000000)=0,"NA",[1]!s_west_netprofit1($D$2,YEAR(P7),$F$2,180,"Cur="&amp;$F$14,100000000))</f>
        <v>2143.3755401698668</v>
      </c>
      <c r="Q18" s="145"/>
      <c r="R18" s="144" t="str">
        <f>IF([1]!s_west_netprofit1($D$2,YEAR(R7),$F$2,180,"Cur="&amp;$F$14,100000000)=0,"NA",[1]!s_west_netprofit1($D$2,YEAR(R7),$F$2,180,"Cur="&amp;$F$14,100000000))</f>
        <v>NA</v>
      </c>
      <c r="S18" s="145"/>
      <c r="T18" s="144" t="str">
        <f>IF([1]!s_west_netprofit1($D$2,YEAR(T7),$F$2,180,"Cur="&amp;$F$14,100000000)=0,"NA",[1]!s_west_netprofit1($D$2,YEAR(T7),$F$2,180,"Cur="&amp;$F$14,100000000))</f>
        <v>NA</v>
      </c>
      <c r="U18" s="49"/>
      <c r="V18" s="53" t="s">
        <v>178</v>
      </c>
      <c r="W18" s="13"/>
      <c r="X18" s="13"/>
      <c r="Y18" s="60">
        <f>IFERROR(AG27,"NA")</f>
        <v>0</v>
      </c>
      <c r="Z18" s="54"/>
      <c r="AA18" s="59"/>
      <c r="AB18" s="54"/>
      <c r="AC18" s="59"/>
      <c r="AD18" s="54"/>
      <c r="AE18" s="59"/>
      <c r="AF18" s="54"/>
      <c r="AG18" s="59"/>
      <c r="AH18" s="54"/>
      <c r="AI18" s="49"/>
      <c r="AP18" s="141"/>
    </row>
    <row r="19" spans="2:42" s="7" customFormat="1" ht="24.6" customHeight="1" thickBot="1" x14ac:dyDescent="0.25">
      <c r="B19" s="49"/>
      <c r="C19" s="56" t="s">
        <v>43</v>
      </c>
      <c r="D19" s="20"/>
      <c r="E19" s="64"/>
      <c r="F19" s="75">
        <f>F13/F18</f>
        <v>1.2944317315026697</v>
      </c>
      <c r="G19" s="70"/>
      <c r="H19" s="120"/>
      <c r="I19" s="61" t="s">
        <v>42</v>
      </c>
      <c r="J19" s="93">
        <f>[1]!hks_stm_is($D$2,"1041",DATE(YEAR(J7),12,31),1,"Cur="&amp;$F$14,100000000)</f>
        <v>1685.9482244929486</v>
      </c>
      <c r="K19" s="121"/>
      <c r="L19" s="93">
        <f>[1]!hks_stm_is($D$2,"1041",DATE(YEAR(L7),12,31),1,"Cur="&amp;$F$14,100000000)</f>
        <v>0</v>
      </c>
      <c r="M19" s="121"/>
      <c r="N19" s="143">
        <f>IF([1]!s_west_avgoperatingprofit1($D$2,YEAR(N7),$F$2,180,"Cur="&amp;$F$14,100000000)=0,"NA",[1]!s_west_avgoperatingprofit1($D$2,YEAR(N7),$F$2,180,"Cur="&amp;$F$14,100000000))</f>
        <v>2291.0914008063719</v>
      </c>
      <c r="O19" s="121"/>
      <c r="P19" s="143">
        <f>IF([1]!s_west_avgoperatingprofit1($D$2,YEAR(P7),$F$2,180,"Cur="&amp;$F$14,100000000)=0,"NA",[1]!s_west_avgoperatingprofit1($D$2,YEAR(P7),$F$2,180,"Cur="&amp;$F$14,100000000))</f>
        <v>2544.7608031660002</v>
      </c>
      <c r="Q19" s="121"/>
      <c r="R19" s="143" t="str">
        <f>IF([1]!s_west_avgoperatingprofit1($D$2,YEAR(R7),$F$2,180,"Cur="&amp;$F$14,100000000)=0,"NA",[1]!s_west_avgoperatingprofit1($D$2,YEAR(R7),$F$2,180,"Cur="&amp;$F$14,100000000))</f>
        <v>NA</v>
      </c>
      <c r="S19" s="121"/>
      <c r="T19" s="143" t="str">
        <f>IF([1]!s_west_avgoperatingprofit1($D$2,YEAR(T7),$F$2,180,"Cur="&amp;$F$14,100000000)=0,"NA",[1]!s_west_avgoperatingprofit1($D$2,YEAR(T7),$F$2,180,"Cur="&amp;$F$14,100000000))</f>
        <v>NA</v>
      </c>
      <c r="U19" s="49"/>
      <c r="V19" s="20"/>
      <c r="W19" s="20"/>
      <c r="X19" s="20"/>
      <c r="Y19" s="64" t="str">
        <f>IF([1]!s_west_medianebt($D$2,YEAR(Y10),Y10,180,100000000)=0,"",[1]!s_west_medianebt($D$2,YEAR(Y10),Y10,180,100000000))</f>
        <v/>
      </c>
      <c r="Z19" s="57"/>
      <c r="AA19" s="64"/>
      <c r="AB19" s="57"/>
      <c r="AC19" s="64"/>
      <c r="AD19" s="57"/>
      <c r="AE19" s="64"/>
      <c r="AF19" s="57"/>
      <c r="AG19" s="64"/>
      <c r="AH19" s="57"/>
      <c r="AI19" s="49"/>
      <c r="AL19" s="141"/>
    </row>
    <row r="20" spans="2:42" s="7" customFormat="1" ht="24.6" customHeight="1" x14ac:dyDescent="0.2">
      <c r="B20" s="49"/>
      <c r="C20" s="53" t="s">
        <v>83</v>
      </c>
      <c r="D20" s="13"/>
      <c r="E20" s="59"/>
      <c r="F20" s="122">
        <f>[1]!s_risk_stdevy(D2,DATE(YEAR(F12)-1,MONTH(F12),DAY(F12)),F12,2,1)</f>
        <v>28.710092660619136</v>
      </c>
      <c r="G20" s="49"/>
      <c r="H20" s="11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53" t="s">
        <v>44</v>
      </c>
      <c r="W20" s="13"/>
      <c r="X20" s="13"/>
      <c r="Y20" s="79">
        <f>IFERROR((Y9/AVERAGE(Y8,Y12)), "NA")</f>
        <v>0</v>
      </c>
      <c r="Z20" s="58"/>
      <c r="AA20" s="79">
        <f>IFERROR((AA9/AVERAGE(AA8,AA12)), "NA")</f>
        <v>2.2532802792661939</v>
      </c>
      <c r="AB20" s="58"/>
      <c r="AC20" s="79">
        <f>IFERROR((AC9/AVERAGE(AC8,AC12)), "NA")</f>
        <v>0.80523414901102341</v>
      </c>
      <c r="AD20" s="58"/>
      <c r="AE20" s="79" t="str">
        <f>IFERROR((AE9/AVERAGE(AE8,AE12)), "NA")</f>
        <v>NA</v>
      </c>
      <c r="AF20" s="58"/>
      <c r="AG20" s="79" t="str">
        <f>IFERROR((AG9/AVERAGE(AG8,AG12)), "NA")</f>
        <v>NA</v>
      </c>
      <c r="AH20" s="58"/>
      <c r="AI20" s="49"/>
      <c r="AP20" s="141"/>
    </row>
    <row r="21" spans="2:42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1.0507265852872614</v>
      </c>
      <c r="G21" s="70"/>
      <c r="H21" s="123"/>
      <c r="I21" s="51" t="s">
        <v>84</v>
      </c>
      <c r="J21" s="51"/>
      <c r="K21" s="51"/>
      <c r="L21" s="51"/>
      <c r="M21" s="51"/>
      <c r="N21" s="51"/>
      <c r="O21" s="51"/>
      <c r="P21" s="51"/>
      <c r="Q21" s="51"/>
      <c r="R21" s="51"/>
      <c r="S21" s="49"/>
      <c r="T21" s="96"/>
      <c r="U21" s="49"/>
      <c r="V21" s="61" t="s">
        <v>177</v>
      </c>
      <c r="W21" s="62"/>
      <c r="X21" s="62"/>
      <c r="Y21" s="81">
        <f>IFERROR((Y9/AVERAGE(Y14,Y15)), "NA")</f>
        <v>0</v>
      </c>
      <c r="Z21" s="82"/>
      <c r="AA21" s="81">
        <f>IFERROR((AA9/AVERAGE(AA14,AA15)), "NA")</f>
        <v>-1.4393451232195917</v>
      </c>
      <c r="AB21" s="82"/>
      <c r="AC21" s="81">
        <f>IFERROR((AC9/AVERAGE(AC14,AC15)), "NA")</f>
        <v>4.5142686302736754</v>
      </c>
      <c r="AD21" s="82"/>
      <c r="AE21" s="81" t="str">
        <f>IFERROR((AE9/AVERAGE(AE14,AE15)), "NA")</f>
        <v>NA</v>
      </c>
      <c r="AF21" s="82"/>
      <c r="AG21" s="81" t="str">
        <f>IFERROR((AG9/AVERAGE(AG14,AG15)), "NA")</f>
        <v>NA</v>
      </c>
      <c r="AH21" s="82"/>
      <c r="AI21" s="49"/>
    </row>
    <row r="22" spans="2:42" s="7" customFormat="1" ht="24.6" customHeight="1" x14ac:dyDescent="0.2">
      <c r="B22" s="49"/>
      <c r="C22" s="53" t="s">
        <v>85</v>
      </c>
      <c r="D22" s="13"/>
      <c r="E22" s="49"/>
      <c r="F22" s="67" t="str">
        <f>[1]!hks_info_fiscaldate(D2)</f>
        <v>12-31</v>
      </c>
      <c r="G22" s="49"/>
      <c r="H22" s="123"/>
      <c r="I22" s="13"/>
      <c r="J22" s="54" t="s">
        <v>16</v>
      </c>
      <c r="K22" s="54"/>
      <c r="L22" s="54" t="s">
        <v>18</v>
      </c>
      <c r="M22" s="54"/>
      <c r="N22" s="54" t="s">
        <v>19</v>
      </c>
      <c r="O22" s="54"/>
      <c r="P22" s="54" t="s">
        <v>20</v>
      </c>
      <c r="Q22" s="54"/>
      <c r="R22" s="54" t="s">
        <v>21</v>
      </c>
      <c r="S22" s="49"/>
      <c r="T22" s="158"/>
      <c r="U22" s="49"/>
      <c r="V22" s="49"/>
      <c r="W22" s="49"/>
      <c r="X22" s="49"/>
      <c r="Y22" s="49"/>
      <c r="Z22" s="54"/>
      <c r="AA22" s="49"/>
      <c r="AB22" s="54"/>
      <c r="AC22" s="49"/>
      <c r="AD22" s="54"/>
      <c r="AE22" s="49"/>
      <c r="AF22" s="54"/>
      <c r="AG22" s="49"/>
      <c r="AH22" s="54"/>
      <c r="AI22" s="49"/>
    </row>
    <row r="23" spans="2:42" s="7" customFormat="1" ht="24.6" customHeight="1" thickBot="1" x14ac:dyDescent="0.25">
      <c r="B23" s="49"/>
      <c r="C23" s="61" t="s">
        <v>176</v>
      </c>
      <c r="D23" s="62"/>
      <c r="E23" s="64"/>
      <c r="F23" s="74">
        <f>[1]!s_div_aualaccmdiv2($D2,DATE(YEAR(F2)-1,MONTH(F2),DAY(F2)),F2,"Cur="&amp;$F$14,10000)</f>
        <v>3211419.66946</v>
      </c>
      <c r="G23" s="20"/>
      <c r="H23" s="119"/>
      <c r="I23" s="56" t="s">
        <v>81</v>
      </c>
      <c r="J23" s="57">
        <f>DATE(L8,12,31)</f>
        <v>45657</v>
      </c>
      <c r="K23" s="57"/>
      <c r="L23" s="57">
        <f>DATE(YEAR(J23),MONTH(J23)+13,0)</f>
        <v>46022</v>
      </c>
      <c r="M23" s="57"/>
      <c r="N23" s="57">
        <f>DATE(YEAR(L23),MONTH(L23)+13,0)</f>
        <v>46387</v>
      </c>
      <c r="O23" s="57"/>
      <c r="P23" s="57">
        <f>DATE(YEAR(N23),MONTH(N23)+13,0)</f>
        <v>46752</v>
      </c>
      <c r="Q23" s="57"/>
      <c r="R23" s="57">
        <f>DATE(YEAR(P23),MONTH(P23)+13,0)</f>
        <v>47118</v>
      </c>
      <c r="S23" s="49"/>
      <c r="T23" s="158"/>
      <c r="U23" s="49"/>
      <c r="V23" s="51" t="s">
        <v>47</v>
      </c>
      <c r="W23" s="51"/>
      <c r="X23" s="51"/>
      <c r="Y23" s="51"/>
      <c r="Z23" s="124"/>
      <c r="AA23" s="51"/>
      <c r="AB23" s="124"/>
      <c r="AC23" s="51"/>
      <c r="AD23" s="124"/>
      <c r="AE23" s="51"/>
      <c r="AF23" s="124"/>
      <c r="AG23" s="51"/>
      <c r="AH23" s="124"/>
      <c r="AI23" s="49"/>
    </row>
    <row r="24" spans="2:42" s="7" customFormat="1" ht="24.6" customHeight="1" x14ac:dyDescent="0.2">
      <c r="B24" s="49"/>
      <c r="C24" s="49"/>
      <c r="D24" s="142"/>
      <c r="E24" s="142"/>
      <c r="F24" s="142"/>
      <c r="G24" s="142"/>
      <c r="H24" s="49"/>
      <c r="I24" s="53" t="s">
        <v>82</v>
      </c>
      <c r="J24" s="115">
        <f>YEAR(L7)</f>
        <v>2024</v>
      </c>
      <c r="K24" s="115"/>
      <c r="L24" s="115">
        <f>YEAR(N7)</f>
        <v>2025</v>
      </c>
      <c r="M24" s="115"/>
      <c r="N24" s="115">
        <f>YEAR(P7)</f>
        <v>2026</v>
      </c>
      <c r="O24" s="115"/>
      <c r="P24" s="115">
        <f>YEAR(R7)</f>
        <v>2027</v>
      </c>
      <c r="Q24" s="115"/>
      <c r="R24" s="115">
        <f>YEAR(T7)</f>
        <v>2028</v>
      </c>
      <c r="S24" s="49"/>
      <c r="T24" s="49"/>
      <c r="U24" s="49"/>
      <c r="V24" s="13"/>
      <c r="W24" s="13"/>
      <c r="X24" s="13"/>
      <c r="Y24" s="54" t="s">
        <v>175</v>
      </c>
      <c r="Z24" s="54"/>
      <c r="AA24" s="54" t="s">
        <v>49</v>
      </c>
      <c r="AB24" s="54"/>
      <c r="AC24" s="54" t="s">
        <v>135</v>
      </c>
      <c r="AD24" s="54"/>
      <c r="AE24" s="54" t="s">
        <v>50</v>
      </c>
      <c r="AF24" s="54"/>
      <c r="AG24" s="54" t="s">
        <v>51</v>
      </c>
      <c r="AH24" s="54"/>
      <c r="AI24" s="49"/>
    </row>
    <row r="25" spans="2:42" s="7" customFormat="1" ht="24.6" customHeight="1" x14ac:dyDescent="0.2">
      <c r="B25" s="49"/>
      <c r="C25" s="51" t="s">
        <v>212</v>
      </c>
      <c r="D25" s="51"/>
      <c r="E25" s="51"/>
      <c r="F25" s="51"/>
      <c r="G25" s="51"/>
      <c r="H25" s="95"/>
      <c r="I25" s="56" t="s">
        <v>86</v>
      </c>
      <c r="J25" s="125">
        <f>MONTH(L7)</f>
        <v>12</v>
      </c>
      <c r="K25" s="125"/>
      <c r="L25" s="125">
        <f>MONTH(N7)</f>
        <v>12</v>
      </c>
      <c r="M25" s="125"/>
      <c r="N25" s="125">
        <f>MONTH(P7)</f>
        <v>12</v>
      </c>
      <c r="O25" s="125"/>
      <c r="P25" s="125">
        <f>MONTH(R7)</f>
        <v>12</v>
      </c>
      <c r="Q25" s="125"/>
      <c r="R25" s="125">
        <f>MONTH(T7)</f>
        <v>12</v>
      </c>
      <c r="S25" s="49"/>
      <c r="T25" s="49"/>
      <c r="U25" s="49"/>
      <c r="V25" s="20"/>
      <c r="W25" s="20"/>
      <c r="X25" s="20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DATE(YEAR(AG25),MONTH(AG25)-11,0)</f>
        <v>45291</v>
      </c>
      <c r="AF25" s="57"/>
      <c r="AG25" s="57">
        <f>IFERROR(IF(DATE(YEAR(F2),LEFT(F22,2)+1,0)&lt;=F2,DATE(YEAR(F2),LEFT(F22,2)+1,0),DATE(YEAR(F2),LEFT(F22,2)-11,0)),"NA")</f>
        <v>45657</v>
      </c>
      <c r="AH25" s="57"/>
      <c r="AI25" s="49"/>
    </row>
    <row r="26" spans="2:42" s="7" customFormat="1" ht="24.6" customHeight="1" x14ac:dyDescent="0.2">
      <c r="B26" s="49"/>
      <c r="C26" s="53" t="s">
        <v>52</v>
      </c>
      <c r="D26" s="13"/>
      <c r="E26" s="58"/>
      <c r="F26" s="88">
        <f>[1]!S_SHARE_TOTAL(D2,F12,10000)</f>
        <v>944535.19689999998</v>
      </c>
      <c r="G26" s="49"/>
      <c r="H26" s="88"/>
      <c r="I26" s="53" t="s">
        <v>23</v>
      </c>
      <c r="J26" s="58">
        <f>IFERROR(SUM(J$25*L9/12,((12-J$25)/12)*N9),"NA")</f>
        <v>0</v>
      </c>
      <c r="K26" s="58"/>
      <c r="L26" s="58">
        <f t="shared" ref="L26:L36" si="0">IFERROR(SUM(L$25*N9/12,((12-L$25)/12)*P9),"NA")</f>
        <v>132.96749176553533</v>
      </c>
      <c r="M26" s="58"/>
      <c r="N26" s="58" t="str">
        <f t="shared" ref="N26:N36" si="1">IFERROR(SUM(N$25*P9/12,((12-N$25)/12)*R9),"NA")</f>
        <v>NA</v>
      </c>
      <c r="O26" s="58"/>
      <c r="P26" s="58" t="str">
        <f t="shared" ref="P26:P36" si="2">IFERROR(SUM(P$25*R9/12,((12-P$25)/12)*T9),"NA")</f>
        <v>NA</v>
      </c>
      <c r="Q26" s="58"/>
      <c r="R26" s="58" t="str">
        <f t="shared" ref="R26:R36" si="3">IFERROR(SUM(R$25*T9/12,((12-R$25)/12)*V9),"NA")</f>
        <v>NA</v>
      </c>
      <c r="S26" s="58"/>
      <c r="T26" s="49"/>
      <c r="U26" s="49"/>
      <c r="V26" s="53" t="s">
        <v>174</v>
      </c>
      <c r="W26" s="13"/>
      <c r="X26" s="13"/>
      <c r="Y26" s="59"/>
      <c r="Z26" s="58"/>
      <c r="AA26" s="59"/>
      <c r="AB26" s="58"/>
      <c r="AC26" s="59"/>
      <c r="AD26" s="58"/>
      <c r="AE26" s="59"/>
      <c r="AF26" s="58"/>
      <c r="AG26" s="59"/>
      <c r="AH26" s="58"/>
      <c r="AI26" s="49"/>
      <c r="AN26" s="141"/>
    </row>
    <row r="27" spans="2:42" s="7" customFormat="1" ht="24.6" customHeight="1" x14ac:dyDescent="0.2">
      <c r="B27" s="49"/>
      <c r="C27" s="20"/>
      <c r="D27" s="20" t="s">
        <v>54</v>
      </c>
      <c r="E27" s="64"/>
      <c r="F27" s="89"/>
      <c r="G27" s="70"/>
      <c r="H27" s="88"/>
      <c r="I27" s="56" t="s">
        <v>26</v>
      </c>
      <c r="J27" s="64">
        <f>IFERROR(SUM(J$25*L10/12,((12-J$25)/12)*N10),"NA")</f>
        <v>0</v>
      </c>
      <c r="K27" s="63"/>
      <c r="L27" s="64">
        <f t="shared" si="0"/>
        <v>20.336538991154146</v>
      </c>
      <c r="M27" s="63"/>
      <c r="N27" s="64" t="str">
        <f t="shared" si="1"/>
        <v>NA</v>
      </c>
      <c r="O27" s="63"/>
      <c r="P27" s="64" t="str">
        <f t="shared" si="2"/>
        <v>NA</v>
      </c>
      <c r="Q27" s="63"/>
      <c r="R27" s="64" t="str">
        <f t="shared" si="3"/>
        <v>NA</v>
      </c>
      <c r="S27" s="49"/>
      <c r="T27" s="49"/>
      <c r="U27" s="49"/>
      <c r="V27" s="20"/>
      <c r="W27" s="20" t="s">
        <v>55</v>
      </c>
      <c r="X27" s="20"/>
      <c r="Y27" s="64">
        <f>[1]!hks_stm_bs($D2,"74",DATE(YEAR(Y25),12,31),1,"Cur="&amp;$F$14,100000000)</f>
        <v>15843.175229314194</v>
      </c>
      <c r="Z27" s="63"/>
      <c r="AA27" s="64">
        <f>[1]!hks_stm_bs($D2,"74",DATE(YEAR(AA25),12,31),1,"Cur="&amp;$F$14,100000000)</f>
        <v>19720.694716242659</v>
      </c>
      <c r="AB27" s="63"/>
      <c r="AC27" s="64">
        <f>[1]!hks_stm_bs($D2,"74",DATE(YEAR(AC25),12,31),1,"Cur="&amp;$F$14,100000000)</f>
        <v>17666.898026352614</v>
      </c>
      <c r="AD27" s="63"/>
      <c r="AE27" s="64">
        <f>[1]!hks_stm_bs($D2,"74",DATE(YEAR(AE25),12,31),1,"Cur="&amp;$F$14,100000000)</f>
        <v>17404.66994769482</v>
      </c>
      <c r="AF27" s="63"/>
      <c r="AG27" s="64">
        <f>[1]!hks_stm_bs($D2,"74",DATE(YEAR(AG25),12,31),1,"Cur="&amp;$F$14,100000000)</f>
        <v>0</v>
      </c>
      <c r="AH27" s="63"/>
      <c r="AI27" s="49"/>
    </row>
    <row r="28" spans="2:42" s="7" customFormat="1" ht="24.6" customHeight="1" x14ac:dyDescent="0.2">
      <c r="B28" s="49"/>
      <c r="C28" s="13"/>
      <c r="D28" s="13" t="s">
        <v>173</v>
      </c>
      <c r="E28" s="59" t="s">
        <v>12</v>
      </c>
      <c r="F28" s="88"/>
      <c r="G28" s="49"/>
      <c r="H28" s="88"/>
      <c r="I28" s="53" t="s">
        <v>27</v>
      </c>
      <c r="J28" s="59">
        <f t="shared" ref="J28:J36" si="4">IFERROR(SUM(J$25*L11/12,((12-J$25)/12)*N11),"NA")</f>
        <v>0</v>
      </c>
      <c r="K28" s="58"/>
      <c r="L28" s="59">
        <f t="shared" si="0"/>
        <v>2.2859314584090686</v>
      </c>
      <c r="M28" s="58"/>
      <c r="N28" s="59" t="str">
        <f t="shared" si="1"/>
        <v>NA</v>
      </c>
      <c r="O28" s="58"/>
      <c r="P28" s="59" t="str">
        <f t="shared" si="2"/>
        <v>NA</v>
      </c>
      <c r="Q28" s="58"/>
      <c r="R28" s="59" t="str">
        <f t="shared" si="3"/>
        <v>NA</v>
      </c>
      <c r="S28" s="49"/>
      <c r="T28" s="49"/>
      <c r="U28" s="49"/>
      <c r="V28" s="13"/>
      <c r="W28" s="13" t="s">
        <v>120</v>
      </c>
      <c r="X28" s="13"/>
      <c r="Y28" s="59"/>
      <c r="Z28" s="58"/>
      <c r="AA28" s="59">
        <f>IF([1]!hks_stm_bs($D2,"1070",DATE(IF(MONTH(AA25)&gt;=6,YEAR(AA25)-1,YEAR(AA25)-2),12,31),1,"Cur="&amp;$F$14,100000000)=0,"NA",[1]!hks_stm_bs($D2,"1070",DATE(IF(MONTH(AA25)&gt;=6,YEAR(AA25)-1,YEAR(AA25)-2),12,31),1,"Cur="&amp;$F$14,100000000))</f>
        <v>2047.9777577111352</v>
      </c>
      <c r="AB28" s="58"/>
      <c r="AC28" s="59">
        <f>IF([1]!hks_stm_bs($D2,"1070",DATE(IF(MONTH(AC25)&gt;=6,YEAR(AC25)-1,YEAR(AC25)-2),12,31),1,"Cur="&amp;$F$14,100000000)=0,"NA",[1]!hks_stm_bs($D2,"1070",DATE(IF(MONTH(AC25)&gt;=6,YEAR(AC25)-1,YEAR(AC25)-2),12,31),1,"Cur="&amp;$F$14,100000000))</f>
        <v>2346.4285714285711</v>
      </c>
      <c r="AD28" s="58"/>
      <c r="AE28" s="59">
        <f>IF([1]!hks_stm_bs($D2,"1070",DATE(IF(MONTH(AE25)&gt;=6,YEAR(AE25)-1,YEAR(AE25)-2),12,31),1,"Cur="&amp;$F$14,100000000)=0,"NA",[1]!hks_stm_bs($D2,"1070",DATE(IF(MONTH(AE25)&gt;=6,YEAR(AE25)-1,YEAR(AE25)-2),12,31),1,"Cur="&amp;$F$14,100000000))</f>
        <v>2063.4970389691807</v>
      </c>
      <c r="AF28" s="58"/>
      <c r="AG28" s="59">
        <f>IF([1]!hks_stm_bs($D2,"1070",DATE(IF(MONTH(AG25)&gt;=6,YEAR(AG25)-1,YEAR(AG25)-2),12,31),1,"Cur="&amp;$F$14,100000000)=0,"NA",[1]!hks_stm_bs($D2,"1070",DATE(IF(MONTH(AG25)&gt;=6,YEAR(AG25)-1,YEAR(AG25)-2),12,31),1,"Cur="&amp;$F$14,100000000))</f>
        <v>2187.0075699057625</v>
      </c>
      <c r="AH28" s="58"/>
      <c r="AI28" s="49"/>
    </row>
    <row r="29" spans="2:42" s="7" customFormat="1" ht="24.6" customHeight="1" x14ac:dyDescent="0.2">
      <c r="B29" s="49"/>
      <c r="C29" s="20"/>
      <c r="D29" s="20" t="s">
        <v>56</v>
      </c>
      <c r="E29" s="64"/>
      <c r="F29" s="89"/>
      <c r="G29" s="70"/>
      <c r="H29" s="88"/>
      <c r="I29" s="56" t="s">
        <v>30</v>
      </c>
      <c r="J29" s="90">
        <f t="shared" si="4"/>
        <v>0</v>
      </c>
      <c r="K29" s="90"/>
      <c r="L29" s="90">
        <f t="shared" si="0"/>
        <v>0.164767</v>
      </c>
      <c r="M29" s="90"/>
      <c r="N29" s="90" t="str">
        <f t="shared" si="1"/>
        <v>NA</v>
      </c>
      <c r="O29" s="90"/>
      <c r="P29" s="90" t="str">
        <f t="shared" si="2"/>
        <v>NA</v>
      </c>
      <c r="Q29" s="90"/>
      <c r="R29" s="90" t="str">
        <f t="shared" si="3"/>
        <v>NA</v>
      </c>
      <c r="S29" s="49"/>
      <c r="T29" s="49"/>
      <c r="U29" s="49"/>
      <c r="V29" s="20"/>
      <c r="W29" s="20" t="s">
        <v>59</v>
      </c>
      <c r="X29" s="20"/>
      <c r="Y29" s="64">
        <f>[1]!hks_stm_bs($D2,"140",DATE(YEAR(Y25),12,31),1,"Cur="&amp;$F$14,100000000)</f>
        <v>8364.4313483199458</v>
      </c>
      <c r="Z29" s="63"/>
      <c r="AA29" s="64">
        <f>[1]!hks_stm_bs($D2,"140",DATE(YEAR(AA25),12,31),1,"Cur="&amp;$F$14,100000000)</f>
        <v>9861.778375733853</v>
      </c>
      <c r="AB29" s="63"/>
      <c r="AC29" s="64">
        <f>[1]!hks_stm_bs($D2,"140",DATE(YEAR(AC25),12,31),1,"Cur="&amp;$F$14,100000000)</f>
        <v>8075.8449293046897</v>
      </c>
      <c r="AD29" s="63"/>
      <c r="AE29" s="64">
        <f>[1]!hks_stm_bs($D2,"140",DATE(YEAR(AE25),12,31),1,"Cur="&amp;$F$14,100000000)</f>
        <v>8922.6788197126534</v>
      </c>
      <c r="AF29" s="63"/>
      <c r="AG29" s="64">
        <f>[1]!hks_stm_bs($D2,"140",DATE(YEAR(AG25),12,31),1,"Cur="&amp;$F$14,100000000)</f>
        <v>0</v>
      </c>
      <c r="AH29" s="63"/>
      <c r="AI29" s="49"/>
    </row>
    <row r="30" spans="2:42" s="7" customFormat="1" ht="24.6" customHeight="1" x14ac:dyDescent="0.2">
      <c r="B30" s="49"/>
      <c r="C30" s="13"/>
      <c r="D30" s="13" t="s">
        <v>58</v>
      </c>
      <c r="E30" s="59"/>
      <c r="F30" s="88"/>
      <c r="G30" s="49"/>
      <c r="H30" s="88"/>
      <c r="I30" s="53" t="s">
        <v>32</v>
      </c>
      <c r="J30" s="79">
        <f>IFERROR(SUM(J$25*L13/12,((12-J$25)/12)*N13),"NA")</f>
        <v>0</v>
      </c>
      <c r="K30" s="79"/>
      <c r="L30" s="79">
        <f>IFERROR(SUM(L$25*N13/12,((12-L$25)/12)*P13),"NA")</f>
        <v>9.5169000000000004E-2</v>
      </c>
      <c r="M30" s="79"/>
      <c r="N30" s="79" t="str">
        <f t="shared" si="1"/>
        <v>NA</v>
      </c>
      <c r="O30" s="79"/>
      <c r="P30" s="79" t="str">
        <f t="shared" si="2"/>
        <v>NA</v>
      </c>
      <c r="Q30" s="79"/>
      <c r="R30" s="79" t="str">
        <f t="shared" si="3"/>
        <v>NA</v>
      </c>
      <c r="S30" s="49"/>
      <c r="T30" s="49"/>
      <c r="U30" s="49"/>
      <c r="V30" s="53" t="s">
        <v>114</v>
      </c>
      <c r="W30" s="13"/>
      <c r="X30" s="13"/>
      <c r="Y30" s="59"/>
      <c r="Z30" s="58"/>
      <c r="AA30" s="59"/>
      <c r="AB30" s="58"/>
      <c r="AC30" s="59"/>
      <c r="AD30" s="58"/>
      <c r="AE30" s="59"/>
      <c r="AF30" s="58"/>
      <c r="AG30" s="59"/>
      <c r="AH30" s="58"/>
      <c r="AI30" s="49"/>
    </row>
    <row r="31" spans="2:42" s="7" customFormat="1" ht="24.6" customHeight="1" x14ac:dyDescent="0.2">
      <c r="B31" s="49"/>
      <c r="C31" s="20"/>
      <c r="D31" s="20" t="s">
        <v>172</v>
      </c>
      <c r="E31" s="64"/>
      <c r="F31" s="89"/>
      <c r="G31" s="70"/>
      <c r="H31" s="88"/>
      <c r="I31" s="56" t="s">
        <v>34</v>
      </c>
      <c r="J31" s="64">
        <f t="shared" si="4"/>
        <v>0</v>
      </c>
      <c r="K31" s="64"/>
      <c r="L31" s="64">
        <f t="shared" si="0"/>
        <v>2382.6292531588401</v>
      </c>
      <c r="M31" s="64"/>
      <c r="N31" s="64" t="str">
        <f t="shared" si="1"/>
        <v>NA</v>
      </c>
      <c r="O31" s="64"/>
      <c r="P31" s="64" t="str">
        <f t="shared" si="2"/>
        <v>NA</v>
      </c>
      <c r="Q31" s="64"/>
      <c r="R31" s="64" t="str">
        <f t="shared" si="3"/>
        <v>NA</v>
      </c>
      <c r="S31" s="49"/>
      <c r="T31" s="49"/>
      <c r="U31" s="49"/>
      <c r="V31" s="56"/>
      <c r="W31" s="20" t="s">
        <v>171</v>
      </c>
      <c r="X31" s="20"/>
      <c r="Y31" s="64">
        <f>IF([1]!hks_stm_is($D$2,"83",DATE(IF(MONTH(Y25)&gt;=6,YEAR(Y25),YEAR(Y25)-1),12,31),1,"Cur="&amp;$F$14,100000000)=0,"NA",[1]!hks_stm_is($D$2,"83",DATE(IF(MONTH(Y25)&gt;=6,YEAR(Y25),YEAR(Y25)-1),12,31),1,"Cur="&amp;$F$14,100000000))</f>
        <v>5727.6745401834505</v>
      </c>
      <c r="Z31" s="64"/>
      <c r="AA31" s="64">
        <f>IF([1]!hks_stm_is($D$2,"83",DATE(IF(MONTH(AA25)&gt;=6,YEAR(AA25),YEAR(AA25)-1),12,31),1,"Cur="&amp;$F$14,100000000)=0,"NA",[1]!hks_stm_is($D$2,"83",DATE(IF(MONTH(AA25)&gt;=6,YEAR(AA25),YEAR(AA25)-1),12,31),1,"Cur="&amp;$F$14,100000000))</f>
        <v>6865.7901174168283</v>
      </c>
      <c r="AB31" s="64"/>
      <c r="AC31" s="64">
        <f>IF([1]!hks_stm_is($D$2,"83",DATE(IF(MONTH(AC25)&gt;=6,YEAR(AC25),YEAR(AC25)-1),12,31),1,"Cur="&amp;$F$14,100000000)=0,"NA",[1]!hks_stm_is($D$2,"83",DATE(IF(MONTH(AC25)&gt;=6,YEAR(AC25),YEAR(AC25)-1),12,31),1,"Cur="&amp;$F$14,100000000))</f>
        <v>6208.1117691179606</v>
      </c>
      <c r="AD31" s="64"/>
      <c r="AE31" s="64">
        <f>IF([1]!hks_stm_is($D$2,"83",DATE(IF(MONTH(AE25)&gt;=6,YEAR(AE25),YEAR(AE25)-1),12,31),1,"Cur="&amp;$F$14,100000000)=0,"NA",[1]!hks_stm_is($D$2,"83",DATE(IF(MONTH(AE25)&gt;=6,YEAR(AE25),YEAR(AE25)-1),12,31),1,"Cur="&amp;$F$14,100000000))</f>
        <v>6720.3879852574428</v>
      </c>
      <c r="AF31" s="64"/>
      <c r="AG31" s="64" t="str">
        <f>IF([1]!hks_stm_is($D$2,"83",DATE(IF(MONTH(AG25)&gt;=6,YEAR(AG25),YEAR(AG25)-1),12,31),1,"Cur="&amp;$F$14,100000000)=0,"NA",[1]!hks_stm_is($D$2,"83",DATE(IF(MONTH(AG25)&gt;=6,YEAR(AG25),YEAR(AG25)-1),12,31),1,"Cur="&amp;$F$14,100000000))</f>
        <v>NA</v>
      </c>
      <c r="AH31" s="64"/>
      <c r="AI31" s="49"/>
      <c r="AN31" s="141"/>
    </row>
    <row r="32" spans="2:42" s="7" customFormat="1" ht="24.6" customHeight="1" x14ac:dyDescent="0.2">
      <c r="B32" s="49"/>
      <c r="C32" s="13"/>
      <c r="D32" s="13" t="s">
        <v>60</v>
      </c>
      <c r="E32" s="58"/>
      <c r="F32" s="88"/>
      <c r="G32" s="49"/>
      <c r="H32" s="88"/>
      <c r="I32" s="53" t="s">
        <v>35</v>
      </c>
      <c r="J32" s="59">
        <f t="shared" si="4"/>
        <v>0</v>
      </c>
      <c r="K32" s="59"/>
      <c r="L32" s="59">
        <f t="shared" si="0"/>
        <v>2956.4970270553117</v>
      </c>
      <c r="M32" s="59"/>
      <c r="N32" s="59" t="str">
        <f t="shared" si="1"/>
        <v>NA</v>
      </c>
      <c r="O32" s="59"/>
      <c r="P32" s="59" t="str">
        <f t="shared" si="2"/>
        <v>NA</v>
      </c>
      <c r="Q32" s="59"/>
      <c r="R32" s="59" t="str">
        <f t="shared" si="3"/>
        <v>NA</v>
      </c>
      <c r="S32" s="49"/>
      <c r="T32" s="49"/>
      <c r="U32" s="49"/>
      <c r="V32" s="13"/>
      <c r="W32" s="13" t="s">
        <v>170</v>
      </c>
      <c r="X32" s="13"/>
      <c r="Y32" s="59">
        <f>IF([1]!hks_stm_is($D2,"10",DATE(IF(MONTH(Y25)&gt;=6,YEAR(Y25),YEAR(Y25)-1),12,31),1,"Cur="&amp;$F$14,100000000)=0,"NA",[1]!hks_stm_is($D2,"10",DATE(IF(MONTH(Y25)&gt;=6,YEAR(Y25),YEAR(Y25)-1),12,31),1,"Cur="&amp;$F$14,100000000))</f>
        <v>3095.5277790979517</v>
      </c>
      <c r="Z32" s="59"/>
      <c r="AA32" s="59">
        <f>IF([1]!hks_stm_is($D2,"10",DATE(IF(MONTH(AA25)&gt;=6,YEAR(AA25),YEAR(AA25)-1),12,31),1,"Cur="&amp;$F$14,100000000)=0,"NA",[1]!hks_stm_is($D2,"10",DATE(IF(MONTH(AA25)&gt;=6,YEAR(AA25),YEAR(AA25)-1),12,31),1,"Cur="&amp;$F$14,100000000))</f>
        <v>3842.6369863013697</v>
      </c>
      <c r="AB32" s="59"/>
      <c r="AC32" s="59">
        <f>IF([1]!hks_stm_is($D2,"10",DATE(IF(MONTH(AC25)&gt;=6,YEAR(AC25),YEAR(AC25)-1),12,31),1,"Cur="&amp;$F$14,100000000)=0,"NA",[1]!hks_stm_is($D2,"10",DATE(IF(MONTH(AC25)&gt;=6,YEAR(AC25),YEAR(AC25)-1),12,31),1,"Cur="&amp;$F$14,100000000))</f>
        <v>3535.3924345382698</v>
      </c>
      <c r="AD32" s="59"/>
      <c r="AE32" s="59">
        <f>IF([1]!hks_stm_is($D2,"10",DATE(IF(MONTH(AE25)&gt;=6,YEAR(AE25),YEAR(AE25)-1),12,31),1,"Cur="&amp;$F$14,100000000)=0,"NA",[1]!hks_stm_is($D2,"10",DATE(IF(MONTH(AE25)&gt;=6,YEAR(AE25),YEAR(AE25)-1),12,31),1,"Cur="&amp;$F$14,100000000))</f>
        <v>3485.974708128269</v>
      </c>
      <c r="AF32" s="59"/>
      <c r="AG32" s="59" t="str">
        <f>IF([1]!hks_stm_is($D2,"10",DATE(IF(MONTH(AG25)&gt;=6,YEAR(AG25),YEAR(AG25)-1),12,31),1,"Cur="&amp;$F$14,100000000)=0,"NA",[1]!hks_stm_is($D2,"10",DATE(IF(MONTH(AG25)&gt;=6,YEAR(AG25),YEAR(AG25)-1),12,31),1,"Cur="&amp;$F$14,100000000))</f>
        <v>NA</v>
      </c>
      <c r="AH32" s="59"/>
      <c r="AI32" s="49"/>
    </row>
    <row r="33" spans="2:35" s="7" customFormat="1" ht="24.6" customHeight="1" x14ac:dyDescent="0.2">
      <c r="B33" s="49"/>
      <c r="C33" s="56" t="s">
        <v>61</v>
      </c>
      <c r="D33" s="20"/>
      <c r="E33" s="64"/>
      <c r="F33" s="89">
        <f>SUM(F26,F27:H32)</f>
        <v>944535.19689999998</v>
      </c>
      <c r="G33" s="70"/>
      <c r="H33" s="88"/>
      <c r="I33" s="56" t="s">
        <v>36</v>
      </c>
      <c r="J33" s="64">
        <f t="shared" si="4"/>
        <v>0</v>
      </c>
      <c r="K33" s="64"/>
      <c r="L33" s="64">
        <f t="shared" si="0"/>
        <v>8111.1891925597911</v>
      </c>
      <c r="M33" s="64"/>
      <c r="N33" s="64" t="str">
        <f t="shared" si="1"/>
        <v>NA</v>
      </c>
      <c r="O33" s="64"/>
      <c r="P33" s="64" t="str">
        <f t="shared" si="2"/>
        <v>NA</v>
      </c>
      <c r="Q33" s="64"/>
      <c r="R33" s="64" t="str">
        <f t="shared" si="3"/>
        <v>NA</v>
      </c>
      <c r="S33" s="49"/>
      <c r="T33" s="49"/>
      <c r="U33" s="49"/>
      <c r="V33" s="20"/>
      <c r="W33" s="20" t="s">
        <v>64</v>
      </c>
      <c r="X33" s="20"/>
      <c r="Y33" s="64">
        <f>IF([1]!hks_stm_is($D$2,"61",DATE(IF(MONTH(Y25)&gt;=6,YEAR(Y25),YEAR(Y25)-1),12,31),1,"Cur="&amp;$F$14,100000000)=0,"NA",[1]!hks_stm_is($D$2,"61",DATE(IF(MONTH(Y25)&gt;=6,YEAR(Y25),YEAR(Y25)-1),12,31),1,"Cur="&amp;$F$14,100000000))</f>
        <v>1899.2324509291382</v>
      </c>
      <c r="Z33" s="64"/>
      <c r="AA33" s="64">
        <f>IF([1]!hks_stm_is($D$2,"61",DATE(IF(MONTH(AA25)&gt;=6,YEAR(AA25),YEAR(AA25)-1),12,31),1,"Cur="&amp;$F$14,100000000)=0,"NA",[1]!hks_stm_is($D$2,"61",DATE(IF(MONTH(AA25)&gt;=6,YEAR(AA25),YEAR(AA25)-1),12,31),1,"Cur="&amp;$F$14,100000000))</f>
        <v>2749.7798434442266</v>
      </c>
      <c r="AB33" s="64"/>
      <c r="AC33" s="64">
        <f>IF([1]!hks_stm_is($D$2,"61",DATE(IF(MONTH(AC25)&gt;=6,YEAR(AC25),YEAR(AC25)-1),12,31),1,"Cur="&amp;$F$14,100000000)=0,"NA",[1]!hks_stm_is($D$2,"61",DATE(IF(MONTH(AC25)&gt;=6,YEAR(AC25),YEAR(AC25)-1),12,31),1,"Cur="&amp;$F$14,100000000))</f>
        <v>2107.3471626719806</v>
      </c>
      <c r="AD33" s="64"/>
      <c r="AE33" s="64">
        <f>IF([1]!hks_stm_is($D$2,"61",DATE(IF(MONTH(AE25)&gt;=6,YEAR(AE25),YEAR(AE25)-1),12,31),1,"Cur="&amp;$F$14,100000000)=0,"NA",[1]!hks_stm_is($D$2,"61",DATE(IF(MONTH(AE25)&gt;=6,YEAR(AE25),YEAR(AE25)-1),12,31),1,"Cur="&amp;$F$14,100000000))</f>
        <v>1271.391052945201</v>
      </c>
      <c r="AF33" s="64"/>
      <c r="AG33" s="64" t="str">
        <f>IF([1]!hks_stm_is($D$2,"61",DATE(IF(MONTH(AG25)&gt;=6,YEAR(AG25),YEAR(AG25)-1),12,31),1,"Cur="&amp;$F$14,100000000)=0,"NA",[1]!hks_stm_is($D$2,"61",DATE(IF(MONTH(AG25)&gt;=6,YEAR(AG25),YEAR(AG25)-1),12,31),1,"Cur="&amp;$F$14,100000000))</f>
        <v>NA</v>
      </c>
      <c r="AH33" s="64"/>
      <c r="AI33" s="49"/>
    </row>
    <row r="34" spans="2:35" s="7" customFormat="1" ht="24.6" customHeight="1" x14ac:dyDescent="0.2">
      <c r="B34" s="49"/>
      <c r="C34" s="53" t="s">
        <v>62</v>
      </c>
      <c r="D34" s="13"/>
      <c r="E34" s="59"/>
      <c r="F34" s="88">
        <f>[1]!hks_val_ev($D2,$F2,"Cur="&amp;$F$14,100000000)</f>
        <v>32057.524582785994</v>
      </c>
      <c r="G34" s="49"/>
      <c r="H34" s="88"/>
      <c r="I34" s="53" t="s">
        <v>38</v>
      </c>
      <c r="J34" s="59">
        <f t="shared" si="4"/>
        <v>0</v>
      </c>
      <c r="K34" s="54"/>
      <c r="L34" s="59">
        <f t="shared" si="0"/>
        <v>2441.0317394714525</v>
      </c>
      <c r="M34" s="54"/>
      <c r="N34" s="59" t="str">
        <f t="shared" si="1"/>
        <v>NA</v>
      </c>
      <c r="O34" s="54"/>
      <c r="P34" s="59" t="str">
        <f t="shared" si="2"/>
        <v>NA</v>
      </c>
      <c r="Q34" s="54"/>
      <c r="R34" s="59" t="str">
        <f t="shared" si="3"/>
        <v>NA</v>
      </c>
      <c r="S34" s="49"/>
      <c r="T34" s="49"/>
      <c r="U34" s="49"/>
      <c r="V34" s="53" t="s">
        <v>65</v>
      </c>
      <c r="W34" s="13"/>
      <c r="X34" s="13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49"/>
    </row>
    <row r="35" spans="2:35" s="7" customFormat="1" ht="24.6" customHeight="1" x14ac:dyDescent="0.2">
      <c r="B35" s="49"/>
      <c r="C35" s="56" t="s">
        <v>63</v>
      </c>
      <c r="D35" s="20"/>
      <c r="E35" s="70"/>
      <c r="F35" s="89">
        <f>F13*F33/10000</f>
        <v>32057.524582785998</v>
      </c>
      <c r="G35" s="20"/>
      <c r="H35" s="88"/>
      <c r="I35" s="56" t="s">
        <v>39</v>
      </c>
      <c r="J35" s="64">
        <f t="shared" si="4"/>
        <v>0</v>
      </c>
      <c r="K35" s="57"/>
      <c r="L35" s="64">
        <f t="shared" si="0"/>
        <v>1920.8607871487275</v>
      </c>
      <c r="M35" s="57"/>
      <c r="N35" s="64" t="str">
        <f t="shared" si="1"/>
        <v>NA</v>
      </c>
      <c r="O35" s="57"/>
      <c r="P35" s="64" t="str">
        <f t="shared" si="2"/>
        <v>NA</v>
      </c>
      <c r="Q35" s="57"/>
      <c r="R35" s="64" t="str">
        <f t="shared" si="3"/>
        <v>NA</v>
      </c>
      <c r="S35" s="49"/>
      <c r="T35" s="49"/>
      <c r="U35" s="49"/>
      <c r="V35" s="56"/>
      <c r="W35" s="20" t="s">
        <v>66</v>
      </c>
      <c r="X35" s="20"/>
      <c r="Y35" s="64">
        <f>IF([1]!hks_fa_bps($D2,DATE(IF(MONTH(Y25)&gt;=6,YEAR(Y25)-1,YEAR(Y25)-2),12,31),"Cur="&amp;$F$14)=0,"NA",[1]!hks_fa_bps($D2,DATE(IF(MONTH(Y25)&gt;=6,YEAR(Y25)-1,YEAR(Y25)-2),12,31),"Cur="&amp;$F$14))</f>
        <v>50.567242057201547</v>
      </c>
      <c r="Z35" s="64"/>
      <c r="AA35" s="64">
        <f>IF([1]!hks_fa_bps($D2,DATE(IF(MONTH(AA25)&gt;=6,YEAR(AA25)-1,YEAR(AA25)-2),12,31),"Cur="&amp;$F$14)=0,"NA",[1]!hks_fa_bps($D2,DATE(IF(MONTH(AA25)&gt;=6,YEAR(AA25)-1,YEAR(AA25)-2),12,31),"Cur="&amp;$F$14))</f>
        <v>87.184776436481144</v>
      </c>
      <c r="AB35" s="64"/>
      <c r="AC35" s="64">
        <f>IF([1]!hks_fa_bps($D2,DATE(IF(MONTH(AC25)&gt;=6,YEAR(AC25)-1,YEAR(AC25)-2),12,31),"Cur="&amp;$F$14)=0,"NA",[1]!hks_fa_bps($D2,DATE(IF(MONTH(AC25)&gt;=6,YEAR(AC25)-1,YEAR(AC25)-2),12,31),"Cur="&amp;$F$14))</f>
        <v>102.63728065068491</v>
      </c>
      <c r="AD35" s="64"/>
      <c r="AE35" s="64">
        <f>IF([1]!hks_fa_bps($D2,DATE(IF(MONTH(AE25)&gt;=6,YEAR(AE25)-1,YEAR(AE25)-2),12,31),"Cur="&amp;$F$14)=0,"NA",[1]!hks_fa_bps($D2,DATE(IF(MONTH(AE25)&gt;=6,YEAR(AE25)-1,YEAR(AE25)-2),12,31),"Cur="&amp;$F$14))</f>
        <v>84.398215735443927</v>
      </c>
      <c r="AF35" s="64"/>
      <c r="AG35" s="64">
        <f>IF([1]!hks_fa_bps($D2,DATE(IF(MONTH(AG25)&gt;=6,YEAR(AG25)-1,YEAR(AG25)-2),12,31),"Cur="&amp;$F$14)=0,"NA",[1]!hks_fa_bps($D2,DATE(IF(MONTH(AG25)&gt;=6,YEAR(AG25)-1,YEAR(AG25)-2),12,31),"Cur="&amp;$F$14))</f>
        <v>94.091380106375937</v>
      </c>
      <c r="AH35" s="64"/>
      <c r="AI35" s="49"/>
    </row>
    <row r="36" spans="2:35" s="7" customFormat="1" ht="24.6" customHeight="1" thickBot="1" x14ac:dyDescent="0.25">
      <c r="B36" s="49"/>
      <c r="C36" s="76" t="s">
        <v>214</v>
      </c>
      <c r="D36" s="77"/>
      <c r="E36" s="77"/>
      <c r="F36" s="170">
        <f>[1]!hks_val_ev1(D2,F2,"Cur="&amp;$F$14,100000000)</f>
        <v>35748.206757092456</v>
      </c>
      <c r="G36" s="77"/>
      <c r="H36" s="49"/>
      <c r="I36" s="76" t="s">
        <v>42</v>
      </c>
      <c r="J36" s="77">
        <f t="shared" si="4"/>
        <v>0</v>
      </c>
      <c r="K36" s="126"/>
      <c r="L36" s="77">
        <f t="shared" si="0"/>
        <v>2291.0914008063719</v>
      </c>
      <c r="M36" s="126"/>
      <c r="N36" s="77" t="str">
        <f t="shared" si="1"/>
        <v>NA</v>
      </c>
      <c r="O36" s="126"/>
      <c r="P36" s="77" t="str">
        <f t="shared" si="2"/>
        <v>NA</v>
      </c>
      <c r="Q36" s="126"/>
      <c r="R36" s="77" t="str">
        <f t="shared" si="3"/>
        <v>NA</v>
      </c>
      <c r="S36" s="49"/>
      <c r="T36" s="49"/>
      <c r="U36" s="49"/>
      <c r="V36" s="13"/>
      <c r="W36" s="13" t="s">
        <v>68</v>
      </c>
      <c r="X36" s="13"/>
      <c r="Y36" s="59" t="str">
        <f>IF(OR([1]!hks_fa_eps_basic($D2,DATE(IF(MONTH(Y25)&gt;=6,YEAR(Y25)-1,YEAR(Y25)-2),12,31),"Cur="&amp;$F$14)&gt;=10,[1]!hks_fa_eps_basic($D2,DATE(IF(MONTH(Y25)&gt;=6,YEAR(Y25)-1,YEAR(Y25)-2),12,31),"Cur="&amp;$F$14)=0),"NA",[1]!hks_fa_eps_basic($D2,DATE(IF(MONTH(Y25)&gt;=6,YEAR(Y25)-1,YEAR(Y25)-2),12,31),"Cur="&amp;$F$14))</f>
        <v>NA</v>
      </c>
      <c r="Z36" s="54"/>
      <c r="AA36" s="59" t="str">
        <f>IF(OR([1]!hks_fa_eps_basic($D2,DATE(IF(MONTH(AA25)&gt;=6,YEAR(AA25)-1,YEAR(AA25)-2),12,31),"Cur="&amp;$F$14)&gt;=10,[1]!hks_fa_eps_basic($D2,DATE(IF(MONTH(AA25)&gt;=6,YEAR(AA25)-1,YEAR(AA25)-2),12,31),"Cur="&amp;$F$14)=0),"NA",[1]!hks_fa_eps_basic($D2,DATE(IF(MONTH(AA25)&gt;=6,YEAR(AA25)-1,YEAR(AA25)-2),12,31),"Cur="&amp;$F$14))</f>
        <v>NA</v>
      </c>
      <c r="AB36" s="54"/>
      <c r="AC36" s="59" t="str">
        <f>IF(OR([1]!hks_fa_eps_basic($D2,DATE(IF(MONTH(AC25)&gt;=6,YEAR(AC25)-1,YEAR(AC25)-2),12,31),"Cur="&amp;$F$14)&gt;=10,[1]!hks_fa_eps_basic($D2,DATE(IF(MONTH(AC25)&gt;=6,YEAR(AC25)-1,YEAR(AC25)-2),12,31),"Cur="&amp;$F$14)=0),"NA",[1]!hks_fa_eps_basic($D2,DATE(IF(MONTH(AC25)&gt;=6,YEAR(AC25)-1,YEAR(AC25)-2),12,31),"Cur="&amp;$F$14))</f>
        <v>NA</v>
      </c>
      <c r="AD36" s="54"/>
      <c r="AE36" s="59" t="str">
        <f>IF(OR([1]!hks_fa_eps_basic($D2,DATE(IF(MONTH(AE25)&gt;=6,YEAR(AE25)-1,YEAR(AE25)-2),12,31),"Cur="&amp;$F$14)&gt;=10,[1]!hks_fa_eps_basic($D2,DATE(IF(MONTH(AE25)&gt;=6,YEAR(AE25)-1,YEAR(AE25)-2),12,31),"Cur="&amp;$F$14)=0),"NA",[1]!hks_fa_eps_basic($D2,DATE(IF(MONTH(AE25)&gt;=6,YEAR(AE25)-1,YEAR(AE25)-2),12,31),"Cur="&amp;$F$14))</f>
        <v>NA</v>
      </c>
      <c r="AF36" s="54"/>
      <c r="AG36" s="59" t="str">
        <f>IF(OR([1]!hks_fa_eps_basic($D2,DATE(IF(MONTH(AG25)&gt;=6,YEAR(AG25)-1,YEAR(AG25)-2),12,31),"Cur="&amp;$F$14)&gt;=10,[1]!hks_fa_eps_basic($D2,DATE(IF(MONTH(AG25)&gt;=6,YEAR(AG25)-1,YEAR(AG25)-2),12,31),"Cur="&amp;$F$14)=0),"NA",[1]!hks_fa_eps_basic($D2,DATE(IF(MONTH(AG25)&gt;=6,YEAR(AG25)-1,YEAR(AG25)-2),12,31),"Cur="&amp;$F$14))</f>
        <v>NA</v>
      </c>
      <c r="AH36" s="54"/>
      <c r="AI36" s="49"/>
    </row>
    <row r="37" spans="2:35" s="7" customFormat="1" ht="24.6" customHeight="1" x14ac:dyDescent="0.2">
      <c r="B37" s="49"/>
      <c r="C37" s="49"/>
      <c r="D37" s="49"/>
      <c r="E37" s="49"/>
      <c r="F37" s="49"/>
      <c r="G37" s="49"/>
      <c r="H37" s="112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20"/>
      <c r="W37" s="20" t="s">
        <v>69</v>
      </c>
      <c r="X37" s="20"/>
      <c r="Y37" s="64">
        <f>IF([1]!hks_fa_dps($D$2,IF(MONTH(Y25)&gt;=6,YEAR(Y25),YEAR(Y25)-1),"Cur="&amp;$F$14)=0,"NA",[1]!hks_fa_dps($D$2,IF(MONTH(Y25)&gt;=6,YEAR(Y25),YEAR(Y25)-1),"Cur="&amp;$F$14))</f>
        <v>1.6</v>
      </c>
      <c r="Z37" s="57"/>
      <c r="AA37" s="64">
        <f>IF([1]!hks_fa_dps($D$2,IF(MONTH(AA25)&gt;=6,YEAR(AA25),YEAR(AA25)-1),"Cur="&amp;$F$14)=0,"NA",[1]!hks_fa_dps($D$2,IF(MONTH(AA25)&gt;=6,YEAR(AA25),YEAR(AA25)-1),"Cur="&amp;$F$14))</f>
        <v>1.6</v>
      </c>
      <c r="AB37" s="57"/>
      <c r="AC37" s="64">
        <f>IF([1]!hks_fa_dps($D$2,IF(MONTH(AC25)&gt;=6,YEAR(AC25),YEAR(AC25)-1),"Cur="&amp;$F$14)=0,"NA",[1]!hks_fa_dps($D$2,IF(MONTH(AC25)&gt;=6,YEAR(AC25),YEAR(AC25)-1),"Cur="&amp;$F$14))</f>
        <v>2.4</v>
      </c>
      <c r="AD37" s="57"/>
      <c r="AE37" s="64">
        <f>IF([1]!hks_fa_dps($D$2,IF(MONTH(AE25)&gt;=6,YEAR(AE25),YEAR(AE25)-1),"Cur="&amp;$F$14)=0,"NA",[1]!hks_fa_dps($D$2,IF(MONTH(AE25)&gt;=6,YEAR(AE25),YEAR(AE25)-1),"Cur="&amp;$F$14))</f>
        <v>3.4</v>
      </c>
      <c r="AF37" s="57"/>
      <c r="AG37" s="64" t="str">
        <f>IF([1]!hks_fa_dps($D$2,IF(MONTH(AG25)&gt;=6,YEAR(AG25),YEAR(AG25)-1),"Cur="&amp;$F$14)=0,"NA",[1]!hks_fa_dps($D$2,IF(MONTH(AG25)&gt;=6,YEAR(AG25),YEAR(AG25)-1),"Cur="&amp;$F$14))</f>
        <v>NA</v>
      </c>
      <c r="AH37" s="57"/>
      <c r="AI37" s="49"/>
    </row>
    <row r="38" spans="2:35" s="7" customFormat="1" ht="24.6" customHeight="1" thickBot="1" x14ac:dyDescent="0.25">
      <c r="B38" s="49"/>
      <c r="C38" s="51" t="s">
        <v>105</v>
      </c>
      <c r="D38" s="51"/>
      <c r="E38" s="51"/>
      <c r="F38" s="51"/>
      <c r="G38" s="51"/>
      <c r="H38" s="120"/>
      <c r="I38" s="51" t="s">
        <v>205</v>
      </c>
      <c r="J38" s="51"/>
      <c r="K38" s="51"/>
      <c r="L38" s="51"/>
      <c r="M38" s="51"/>
      <c r="N38" s="51"/>
      <c r="O38" s="51"/>
      <c r="P38" s="51"/>
      <c r="Q38" s="49"/>
      <c r="R38" s="49"/>
      <c r="S38" s="49"/>
      <c r="T38" s="49"/>
      <c r="U38" s="49"/>
      <c r="V38" s="83"/>
      <c r="W38" s="83" t="s">
        <v>71</v>
      </c>
      <c r="X38" s="83"/>
      <c r="Y38" s="77" t="str">
        <f>IFERROR(ROUND(Y37/Y36*100,1)/100,"NA")</f>
        <v>NA</v>
      </c>
      <c r="Z38" s="126"/>
      <c r="AA38" s="77" t="str">
        <f>IFERROR(ROUND(AA37/AA36*100,1)/100,"NA")</f>
        <v>NA</v>
      </c>
      <c r="AB38" s="126"/>
      <c r="AC38" s="77" t="str">
        <f>IFERROR(ROUND(AC37/AC36*100,1)/100,"NA")</f>
        <v>NA</v>
      </c>
      <c r="AD38" s="126"/>
      <c r="AE38" s="77" t="str">
        <f>IFERROR(ROUND(AE37/AE36*100,1)/100,"NA")</f>
        <v>NA</v>
      </c>
      <c r="AF38" s="126"/>
      <c r="AG38" s="77" t="str">
        <f>IFERROR(ROUND(AG37/AG36*100,1)/100,"NA")</f>
        <v>NA</v>
      </c>
      <c r="AH38" s="126"/>
      <c r="AI38" s="49"/>
    </row>
    <row r="39" spans="2:35" s="7" customFormat="1" ht="24.6" customHeight="1" x14ac:dyDescent="0.2">
      <c r="B39" s="49"/>
      <c r="C39" s="53" t="s">
        <v>67</v>
      </c>
      <c r="D39" s="13"/>
      <c r="E39" s="58"/>
      <c r="F39" s="97" t="str">
        <f>IFERROR(POWER(P9/L9,1/2)-1,"")</f>
        <v/>
      </c>
      <c r="G39" s="49"/>
      <c r="H39" s="120"/>
      <c r="I39" s="13"/>
      <c r="J39" s="54" t="s">
        <v>16</v>
      </c>
      <c r="K39" s="54"/>
      <c r="L39" s="54" t="s">
        <v>18</v>
      </c>
      <c r="M39" s="54"/>
      <c r="N39" s="54" t="s">
        <v>19</v>
      </c>
      <c r="O39" s="54"/>
      <c r="P39" s="54" t="s">
        <v>20</v>
      </c>
      <c r="Q39" s="49"/>
      <c r="R39" s="49"/>
      <c r="S39" s="49"/>
      <c r="T39" s="155"/>
      <c r="U39" s="49"/>
      <c r="V39" s="49"/>
      <c r="W39" s="49"/>
      <c r="X39" s="49"/>
      <c r="Y39" s="49"/>
      <c r="Z39" s="58"/>
      <c r="AA39" s="49"/>
      <c r="AB39" s="58"/>
      <c r="AC39" s="49"/>
      <c r="AD39" s="58"/>
      <c r="AE39" s="49"/>
      <c r="AF39" s="58"/>
      <c r="AG39" s="49"/>
      <c r="AH39" s="58"/>
      <c r="AI39" s="49"/>
    </row>
    <row r="40" spans="2:35" s="7" customFormat="1" ht="24.6" customHeight="1" x14ac:dyDescent="0.2">
      <c r="B40" s="49"/>
      <c r="C40" s="56" t="s">
        <v>169</v>
      </c>
      <c r="D40" s="20"/>
      <c r="E40" s="64"/>
      <c r="F40" s="75" t="str">
        <f>IFERROR(POWER(P16/L16,1/2)-1,"")</f>
        <v/>
      </c>
      <c r="G40" s="70"/>
      <c r="H40" s="120"/>
      <c r="I40" s="20"/>
      <c r="J40" s="57" t="str">
        <f>YEAR(L7)&amp;"A"</f>
        <v>2024A</v>
      </c>
      <c r="K40" s="57"/>
      <c r="L40" s="57" t="str">
        <f>YEAR(N7)&amp;"E"</f>
        <v>2025E</v>
      </c>
      <c r="M40" s="57"/>
      <c r="N40" s="57" t="str">
        <f>YEAR(P7)&amp;"E"</f>
        <v>2026E</v>
      </c>
      <c r="O40" s="57"/>
      <c r="P40" s="57" t="str">
        <f>YEAR(R7)&amp;"E"</f>
        <v>2027E</v>
      </c>
      <c r="Q40" s="49"/>
      <c r="R40" s="49"/>
      <c r="S40" s="49"/>
      <c r="T40" s="155"/>
      <c r="U40" s="49"/>
      <c r="V40" s="51" t="s">
        <v>74</v>
      </c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49"/>
    </row>
    <row r="41" spans="2:35" s="7" customFormat="1" ht="24.6" customHeight="1" x14ac:dyDescent="0.2">
      <c r="B41" s="49"/>
      <c r="C41" s="53" t="s">
        <v>70</v>
      </c>
      <c r="D41" s="13"/>
      <c r="E41" s="59"/>
      <c r="F41" s="97" t="str">
        <f>IFERROR(POWER(P15/L15,1/2)-1,"")</f>
        <v/>
      </c>
      <c r="G41" s="49"/>
      <c r="H41" s="120"/>
      <c r="I41" s="53" t="s">
        <v>46</v>
      </c>
      <c r="J41" s="86" t="str">
        <f>IFERROR(ROUND($F$13/HLOOKUP(J23,$I$23:$P$36,5,0),1),"  NA")</f>
        <v xml:space="preserve">  NA</v>
      </c>
      <c r="K41" s="58"/>
      <c r="L41" s="86">
        <f>IFERROR(ROUND($F$13/HLOOKUP(L23,$I$23:$P$36,5,0),1),"  NA")</f>
        <v>16.7</v>
      </c>
      <c r="M41" s="58"/>
      <c r="N41" s="86" t="str">
        <f>IFERROR(ROUND($F$13/HLOOKUP(N23,$I$23:$P$36,5,0),1),"  NA")</f>
        <v xml:space="preserve">  NA</v>
      </c>
      <c r="O41" s="58"/>
      <c r="P41" s="86" t="str">
        <f>IFERROR(ROUND($F$13/HLOOKUP(P23,$I$23:$P$36,5,0),1),"  NA")</f>
        <v xml:space="preserve">  NA</v>
      </c>
      <c r="Q41" s="49"/>
      <c r="R41" s="157"/>
      <c r="S41" s="49"/>
      <c r="T41" s="49"/>
      <c r="U41" s="49"/>
      <c r="V41" s="98" t="s">
        <v>3</v>
      </c>
      <c r="W41" s="98" t="s">
        <v>4</v>
      </c>
      <c r="X41" s="99" t="s">
        <v>76</v>
      </c>
      <c r="Y41" s="99" t="s">
        <v>168</v>
      </c>
      <c r="Z41" s="99"/>
      <c r="AA41" s="99" t="s">
        <v>5</v>
      </c>
      <c r="AB41" s="99"/>
      <c r="AC41" s="99" t="s">
        <v>77</v>
      </c>
      <c r="AD41" s="99"/>
      <c r="AE41" s="99" t="s">
        <v>167</v>
      </c>
      <c r="AF41" s="99"/>
      <c r="AG41" s="99" t="s">
        <v>166</v>
      </c>
      <c r="AH41" s="98"/>
      <c r="AI41" s="49"/>
    </row>
    <row r="42" spans="2:35" s="7" customFormat="1" ht="24.6" customHeight="1" x14ac:dyDescent="0.2">
      <c r="B42" s="49"/>
      <c r="C42" s="56" t="s">
        <v>72</v>
      </c>
      <c r="D42" s="20"/>
      <c r="E42" s="64"/>
      <c r="F42" s="75" t="str">
        <f>IFERROR(POWER(P18/L18,1/2)-1,"")</f>
        <v/>
      </c>
      <c r="G42" s="70"/>
      <c r="H42" s="49"/>
      <c r="I42" s="56" t="s">
        <v>48</v>
      </c>
      <c r="J42" s="87" t="str">
        <f>IFERROR(ROUND($F$13/HLOOKUP(J23,$I$23:$P$36,4,0),2),"  NA")</f>
        <v xml:space="preserve">  NA</v>
      </c>
      <c r="K42" s="63"/>
      <c r="L42" s="87">
        <f>IFERROR(ROUND($F$13/HLOOKUP(L23,$I$23:$P$36,4,0),2),"  NA")</f>
        <v>2.5499999999999998</v>
      </c>
      <c r="M42" s="63"/>
      <c r="N42" s="87" t="str">
        <f>IFERROR(ROUND($F$13/HLOOKUP(N23,$I$23:$P$36,4,0),2),"  NA")</f>
        <v xml:space="preserve">  NA</v>
      </c>
      <c r="O42" s="63"/>
      <c r="P42" s="87" t="str">
        <f>IFERROR(ROUND($F$13/HLOOKUP(P23,$I$23:$P$36,4,0),2),"  NA")</f>
        <v xml:space="preserve">  NA</v>
      </c>
      <c r="Q42" s="49"/>
      <c r="R42" s="155"/>
      <c r="S42" s="49"/>
      <c r="T42" s="49"/>
      <c r="U42" s="49"/>
      <c r="V42" s="100" t="str">
        <f>D2</f>
        <v>0700.HK</v>
      </c>
      <c r="W42" s="101" t="str">
        <f>[1]!S_Info_Name(V42)</f>
        <v>腾讯控股</v>
      </c>
      <c r="X42" s="65">
        <f>[1]!s_share_issuing_mkt(V42,Y42,10000)</f>
        <v>944535.19689999998</v>
      </c>
      <c r="Y42" s="102" t="str">
        <f>[1]!lastradeday_s(V42,F$2)</f>
        <v>2024-04-25</v>
      </c>
      <c r="Z42" s="102"/>
      <c r="AA42" s="71">
        <f>[1]!S_DQ_CLOSE(V42,Y42,1)</f>
        <v>339.4</v>
      </c>
      <c r="AB42" s="71"/>
      <c r="AC42" s="71" t="str">
        <f>[1]!hks_info_tradecur(V42)</f>
        <v>HKD</v>
      </c>
      <c r="AD42" s="71"/>
      <c r="AE42" s="71">
        <f>IF([1]!hks_info_tradecur(V42)="CNY",1,[1]!S_DQ_CLOSE([1]!hks_info_tradecur(V42)&amp;"CNY.EX",Y42,1))</f>
        <v>0.90742999999999996</v>
      </c>
      <c r="AF42" s="71"/>
      <c r="AG42" s="91">
        <f>X42*AA42*AE42/10000</f>
        <v>29089.9595321575</v>
      </c>
      <c r="AH42" s="100"/>
      <c r="AI42" s="49"/>
    </row>
    <row r="43" spans="2:35" s="7" customFormat="1" ht="24.6" customHeight="1" x14ac:dyDescent="0.2">
      <c r="B43" s="49"/>
      <c r="C43" s="53" t="s">
        <v>73</v>
      </c>
      <c r="D43" s="13"/>
      <c r="E43" s="59"/>
      <c r="F43" s="97" t="str">
        <f>IFERROR(POWER(P10/L10,1/2)-1,"")</f>
        <v/>
      </c>
      <c r="G43" s="49"/>
      <c r="H43" s="49"/>
      <c r="I43" s="53" t="s">
        <v>53</v>
      </c>
      <c r="J43" s="127">
        <f>IFERROR(HLOOKUP(J23,$I$23:$P$36,6,0)/$F$13,"NA")</f>
        <v>0</v>
      </c>
      <c r="K43" s="127"/>
      <c r="L43" s="127">
        <f>IFERROR(HLOOKUP(L23,$I$23:$P$36,6,0)/$F$13,"NA")</f>
        <v>6.7352134897144039E-3</v>
      </c>
      <c r="M43" s="127"/>
      <c r="N43" s="127" t="str">
        <f>IFERROR(HLOOKUP(N23,$I$23:$P$36,6,0)/$F$13,"NA")</f>
        <v>NA</v>
      </c>
      <c r="O43" s="58"/>
      <c r="P43" s="127" t="str">
        <f>IFERROR(HLOOKUP(P23,$I$23:$P$36,6,0)/$F$13,"NA")</f>
        <v>NA</v>
      </c>
      <c r="Q43" s="49"/>
      <c r="R43" s="49"/>
      <c r="S43" s="49"/>
      <c r="T43" s="49"/>
      <c r="U43" s="49"/>
      <c r="V43" s="103">
        <f>[1]!s_info_asharewindcode(D2)</f>
        <v>0</v>
      </c>
      <c r="W43" s="103">
        <f>[1]!S_Info_Name(V43)</f>
        <v>0</v>
      </c>
      <c r="X43" s="60">
        <f>[1]!s_share_issuing_mkt(V43,Y43,10000)</f>
        <v>0</v>
      </c>
      <c r="Y43" s="104">
        <f>[1]!lastradeday_s(V43,F$2)</f>
        <v>0</v>
      </c>
      <c r="Z43" s="104"/>
      <c r="AA43" s="73">
        <f>[1]!S_DQ_CLOSE(V43,Y43,1)</f>
        <v>0</v>
      </c>
      <c r="AB43" s="73"/>
      <c r="AC43" s="73">
        <f>[1]!hks_info_tradecur(V43)</f>
        <v>0</v>
      </c>
      <c r="AD43" s="73"/>
      <c r="AE43" s="73">
        <f>IF([1]!hks_info_tradecur(V43)="CNY",1,[1]!S_DQ_CLOSE([1]!hks_info_tradecur(V43)&amp;"CNY.EX",Y43,1))</f>
        <v>0</v>
      </c>
      <c r="AF43" s="73"/>
      <c r="AG43" s="92">
        <f>X43*AA43*AE43/10000</f>
        <v>0</v>
      </c>
      <c r="AH43" s="103"/>
      <c r="AI43" s="49"/>
    </row>
    <row r="44" spans="2:35" s="7" customFormat="1" ht="24.6" customHeight="1" x14ac:dyDescent="0.2">
      <c r="B44" s="49"/>
      <c r="C44" s="56" t="s">
        <v>75</v>
      </c>
      <c r="D44" s="20"/>
      <c r="E44" s="64"/>
      <c r="F44" s="75" t="str">
        <f>IFERROR(POWER(P11/L11,1/2)-1,"")</f>
        <v/>
      </c>
      <c r="G44" s="70"/>
      <c r="H44" s="49"/>
      <c r="I44" s="56" t="s">
        <v>30</v>
      </c>
      <c r="J44" s="90">
        <f>IFERROR(HLOOKUP(J23,$I$23:$P$36,7,0),"NA")</f>
        <v>0</v>
      </c>
      <c r="K44" s="63"/>
      <c r="L44" s="90">
        <f>IFERROR(HLOOKUP(L23,$I$23:$P$36,7,0),"NA")</f>
        <v>0.164767</v>
      </c>
      <c r="M44" s="63"/>
      <c r="N44" s="90" t="str">
        <f>IFERROR(HLOOKUP(N23,$I$23:$P$36,7,0),"NA")</f>
        <v>NA</v>
      </c>
      <c r="O44" s="63"/>
      <c r="P44" s="90" t="str">
        <f>IFERROR(HLOOKUP(P23,$I$23:$P$36,7,0),"NA")</f>
        <v>NA</v>
      </c>
      <c r="Q44" s="49"/>
      <c r="R44" s="158"/>
      <c r="S44" s="49"/>
      <c r="T44" s="49"/>
      <c r="U44" s="49"/>
      <c r="V44" s="101"/>
      <c r="W44" s="101">
        <f>[1]!S_Info_Name(V44)</f>
        <v>0</v>
      </c>
      <c r="X44" s="65">
        <f>[1]!s_share_issuing_mkt(V44,Y44,10000)</f>
        <v>0</v>
      </c>
      <c r="Y44" s="102">
        <f>[1]!lastradeday_s(V44,F$2)</f>
        <v>0</v>
      </c>
      <c r="Z44" s="102"/>
      <c r="AA44" s="71">
        <f>[1]!S_DQ_CLOSE(V44,Y44,1)</f>
        <v>0</v>
      </c>
      <c r="AB44" s="71"/>
      <c r="AC44" s="71">
        <f>[1]!hks_info_tradecur(V44)</f>
        <v>0</v>
      </c>
      <c r="AD44" s="71"/>
      <c r="AE44" s="71">
        <f>IF([1]!hks_info_tradecur(V44)="CNY",1,[1]!S_DQ_CLOSE([1]!hks_info_tradecur(V44)&amp;"CNY.EX",Y44,1))</f>
        <v>0</v>
      </c>
      <c r="AF44" s="71"/>
      <c r="AG44" s="91">
        <f>X44*AA44*AE44/10000</f>
        <v>0</v>
      </c>
      <c r="AH44" s="101"/>
      <c r="AI44" s="49"/>
    </row>
    <row r="45" spans="2:35" s="7" customFormat="1" ht="24.6" customHeight="1" x14ac:dyDescent="0.2">
      <c r="B45" s="49"/>
      <c r="C45" s="53" t="s">
        <v>78</v>
      </c>
      <c r="D45" s="13"/>
      <c r="E45" s="58"/>
      <c r="F45" s="97" t="str">
        <f>IFERROR(POWER(P14/L14,1/2)-1,"")</f>
        <v/>
      </c>
      <c r="G45" s="49"/>
      <c r="H45" s="49"/>
      <c r="I45" s="53" t="s">
        <v>32</v>
      </c>
      <c r="J45" s="79">
        <f>IFERROR(HLOOKUP(J23,$I$23:$P$36,8,0),"NA")</f>
        <v>0</v>
      </c>
      <c r="K45" s="58"/>
      <c r="L45" s="79">
        <f>IFERROR(HLOOKUP(L23,$I$23:$P$36,8,0),"NA")</f>
        <v>9.5169000000000004E-2</v>
      </c>
      <c r="M45" s="58"/>
      <c r="N45" s="79" t="str">
        <f>IFERROR(HLOOKUP(N23,$I$23:$P$36,8,0),"NA")</f>
        <v>NA</v>
      </c>
      <c r="O45" s="58"/>
      <c r="P45" s="79" t="str">
        <f>IFERROR(HLOOKUP(P23,$I$23:$P$36,8,0),"NA")</f>
        <v>NA</v>
      </c>
      <c r="Q45" s="49"/>
      <c r="R45" s="49"/>
      <c r="S45" s="49"/>
      <c r="T45" s="49"/>
      <c r="U45" s="49"/>
      <c r="V45" s="103"/>
      <c r="W45" s="103">
        <f>[1]!S_Info_Name(V45)</f>
        <v>0</v>
      </c>
      <c r="X45" s="60">
        <f>[1]!s_share_issuing_mkt(V45,Y45,10000)</f>
        <v>0</v>
      </c>
      <c r="Y45" s="104">
        <f>[1]!lastradeday_s(V45,F$2)</f>
        <v>0</v>
      </c>
      <c r="Z45" s="104"/>
      <c r="AA45" s="73">
        <f>[1]!S_DQ_CLOSE(V45,Y45,1)</f>
        <v>0</v>
      </c>
      <c r="AB45" s="73"/>
      <c r="AC45" s="73">
        <f>[1]!hks_info_tradecur(V45)</f>
        <v>0</v>
      </c>
      <c r="AD45" s="73"/>
      <c r="AE45" s="73">
        <f>IF([1]!hks_info_tradecur(V45)="CNY",1,[1]!S_DQ_CLOSE([1]!hks_info_tradecur(V45)&amp;"CNY.EX",Y45,1))</f>
        <v>0</v>
      </c>
      <c r="AF45" s="73"/>
      <c r="AG45" s="92">
        <f>X45*AA45*AE45/10000</f>
        <v>0</v>
      </c>
      <c r="AH45" s="103"/>
      <c r="AI45" s="49"/>
    </row>
    <row r="46" spans="2:35" s="7" customFormat="1" ht="24.6" customHeight="1" thickBot="1" x14ac:dyDescent="0.25">
      <c r="B46" s="49"/>
      <c r="C46" s="61" t="s">
        <v>215</v>
      </c>
      <c r="D46" s="62"/>
      <c r="E46" s="94"/>
      <c r="F46" s="128" t="str">
        <f>IFERROR(POWER(P19/L19,1/2)-1,"")</f>
        <v/>
      </c>
      <c r="G46" s="94"/>
      <c r="H46" s="49"/>
      <c r="I46" s="56" t="s">
        <v>34</v>
      </c>
      <c r="J46" s="91">
        <f>IFERROR(ROUND(HLOOKUP(J23,$I$23:$P$36,9,0),2),"NA")</f>
        <v>0</v>
      </c>
      <c r="K46" s="64"/>
      <c r="L46" s="91">
        <f>IFERROR(ROUND(HLOOKUP(L23,$I$23:$P$36,9,0),2),"NA")</f>
        <v>2382.63</v>
      </c>
      <c r="M46" s="64"/>
      <c r="N46" s="91" t="str">
        <f>IFERROR(ROUND(HLOOKUP(N23,$I$23:$P$36,9,0),2),"NA")</f>
        <v>NA</v>
      </c>
      <c r="O46" s="64"/>
      <c r="P46" s="91" t="str">
        <f>IFERROR(ROUND(HLOOKUP(P23,$I$23:$P$36,9,0),2),"NA")</f>
        <v>NA</v>
      </c>
      <c r="Q46" s="49"/>
      <c r="R46" s="49"/>
      <c r="S46" s="49"/>
      <c r="T46" s="49"/>
      <c r="U46" s="49"/>
      <c r="V46" s="107"/>
      <c r="W46" s="108" t="s">
        <v>79</v>
      </c>
      <c r="X46" s="109">
        <f>SUM(X42:X45)</f>
        <v>944535.19689999998</v>
      </c>
      <c r="Y46" s="94"/>
      <c r="Z46" s="94"/>
      <c r="AA46" s="94"/>
      <c r="AB46" s="94"/>
      <c r="AC46" s="94"/>
      <c r="AD46" s="94"/>
      <c r="AE46" s="109" t="s">
        <v>79</v>
      </c>
      <c r="AF46" s="110"/>
      <c r="AG46" s="140">
        <f>SUM(AG42:AG45)</f>
        <v>29089.9595321575</v>
      </c>
      <c r="AH46" s="107"/>
      <c r="AI46" s="49"/>
    </row>
    <row r="47" spans="2:35" s="7" customFormat="1" ht="24.6" customHeight="1" x14ac:dyDescent="0.2">
      <c r="B47" s="49"/>
      <c r="C47" s="49"/>
      <c r="D47" s="129"/>
      <c r="E47" s="49"/>
      <c r="F47" s="49"/>
      <c r="G47" s="129"/>
      <c r="H47" s="49"/>
      <c r="I47" s="53" t="s">
        <v>35</v>
      </c>
      <c r="J47" s="92">
        <f>IFERROR(ROUND(HLOOKUP(J23,$I$23:$P$36,10,0),2),"NA")</f>
        <v>0</v>
      </c>
      <c r="K47" s="59"/>
      <c r="L47" s="92">
        <f>IFERROR(ROUND(HLOOKUP(L23,$I$23:$P$36,10,0),2),"NA")</f>
        <v>2956.5</v>
      </c>
      <c r="M47" s="59"/>
      <c r="N47" s="92" t="str">
        <f>IFERROR(ROUND(HLOOKUP(N23,$I$23:$P$36,10,0),2),"NA")</f>
        <v>NA</v>
      </c>
      <c r="O47" s="59"/>
      <c r="P47" s="92" t="str">
        <f>IFERROR(ROUND(HLOOKUP(P23,$I$23:$P$36,10,0),2),"NA")</f>
        <v>NA</v>
      </c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130"/>
      <c r="AI47" s="49"/>
    </row>
    <row r="48" spans="2:35" s="7" customFormat="1" ht="24.6" customHeight="1" x14ac:dyDescent="0.2">
      <c r="B48" s="49"/>
      <c r="C48" s="129"/>
      <c r="D48" s="49"/>
      <c r="E48" s="49"/>
      <c r="F48" s="160"/>
      <c r="G48" s="49"/>
      <c r="H48" s="49"/>
      <c r="I48" s="56" t="s">
        <v>36</v>
      </c>
      <c r="J48" s="91">
        <f>IFERROR(ROUND(HLOOKUP(J23,$I$23:$P$36,11,0),2),"NA")</f>
        <v>0</v>
      </c>
      <c r="K48" s="64"/>
      <c r="L48" s="91">
        <f>IFERROR(ROUND(HLOOKUP(L23,$I$23:$P$36,11,0),2),"NA")</f>
        <v>8111.19</v>
      </c>
      <c r="M48" s="64"/>
      <c r="N48" s="91" t="str">
        <f>IFERROR(ROUND(HLOOKUP(N23,$I$23:$P$36,11,0),2),"NA")</f>
        <v>NA</v>
      </c>
      <c r="O48" s="64"/>
      <c r="P48" s="91" t="str">
        <f>IFERROR(ROUND(HLOOKUP(P23,$I$23:$P$36,11,0),2),"NA")</f>
        <v>NA</v>
      </c>
      <c r="Q48" s="49"/>
      <c r="R48" s="49"/>
      <c r="S48" s="49"/>
      <c r="T48" s="49"/>
      <c r="U48" s="49"/>
      <c r="V48" s="49"/>
      <c r="W48" s="49"/>
      <c r="X48" s="131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</row>
    <row r="49" spans="2:35" s="7" customFormat="1" ht="24.6" customHeight="1" x14ac:dyDescent="0.2">
      <c r="B49" s="49"/>
      <c r="C49" s="129"/>
      <c r="D49" s="49"/>
      <c r="E49" s="49"/>
      <c r="F49" s="129"/>
      <c r="G49" s="49"/>
      <c r="H49" s="49"/>
      <c r="I49" s="53" t="s">
        <v>38</v>
      </c>
      <c r="J49" s="92">
        <f>IFERROR(ROUND(HLOOKUP(J23,$I$23:$P$36,12,0),2),"NA")</f>
        <v>0</v>
      </c>
      <c r="K49" s="59"/>
      <c r="L49" s="92">
        <f>IFERROR(ROUND(HLOOKUP(L23,$I$23:$P$36,12,0),2),"NA")</f>
        <v>2441.0300000000002</v>
      </c>
      <c r="M49" s="59"/>
      <c r="N49" s="92" t="str">
        <f>IFERROR(ROUND(HLOOKUP(N23,$I$23:$P$36,12,0),2),"NA")</f>
        <v>NA</v>
      </c>
      <c r="O49" s="59"/>
      <c r="P49" s="92" t="str">
        <f>IFERROR(ROUND(HLOOKUP(P23,$I$23:$P$36,12,0),2),"NA")</f>
        <v>NA</v>
      </c>
      <c r="Q49" s="49"/>
      <c r="R49" s="49"/>
      <c r="S49" s="49"/>
      <c r="T49" s="49"/>
      <c r="U49" s="49"/>
      <c r="V49" s="49"/>
      <c r="W49" s="49"/>
      <c r="X49" s="139"/>
      <c r="Y49" s="49"/>
      <c r="Z49" s="105"/>
      <c r="AA49" s="49"/>
      <c r="AB49" s="105"/>
      <c r="AC49" s="49"/>
      <c r="AD49" s="105"/>
      <c r="AE49" s="49"/>
      <c r="AF49" s="105"/>
      <c r="AG49" s="49"/>
      <c r="AH49" s="105"/>
      <c r="AI49" s="49"/>
    </row>
    <row r="50" spans="2:35" s="7" customFormat="1" ht="24.6" customHeight="1" x14ac:dyDescent="0.2">
      <c r="B50" s="49"/>
      <c r="C50" s="49"/>
      <c r="D50" s="49"/>
      <c r="E50" s="49"/>
      <c r="F50" s="49"/>
      <c r="G50" s="49"/>
      <c r="H50" s="49"/>
      <c r="I50" s="56" t="s">
        <v>39</v>
      </c>
      <c r="J50" s="91">
        <f>IFERROR(ROUND(HLOOKUP(J23,$I$23:$P$36,13,0),2),"NA")</f>
        <v>0</v>
      </c>
      <c r="K50" s="64"/>
      <c r="L50" s="91">
        <f>IFERROR(ROUND(HLOOKUP(L23,$I$23:$P$36,13,0),2),"NA")</f>
        <v>1920.86</v>
      </c>
      <c r="M50" s="64"/>
      <c r="N50" s="91" t="str">
        <f>IFERROR(ROUND(HLOOKUP(N23,$I$23:$P$36,13,0),2),"NA")</f>
        <v>NA</v>
      </c>
      <c r="O50" s="64"/>
      <c r="P50" s="91" t="str">
        <f>IFERROR(ROUND(HLOOKUP(P23,$I$23:$P$36,13,0),2),"NA")</f>
        <v>NA</v>
      </c>
      <c r="Q50" s="49"/>
      <c r="R50" s="49"/>
      <c r="S50" s="49"/>
      <c r="T50" s="49"/>
      <c r="U50" s="49"/>
      <c r="V50" s="49"/>
      <c r="W50" s="49"/>
      <c r="X50" s="49"/>
      <c r="Y50" s="49"/>
      <c r="Z50" s="105"/>
      <c r="AA50" s="49"/>
      <c r="AB50" s="105"/>
      <c r="AC50" s="49"/>
      <c r="AD50" s="105"/>
      <c r="AE50" s="49"/>
      <c r="AF50" s="105"/>
      <c r="AG50" s="49"/>
      <c r="AH50" s="105"/>
      <c r="AI50" s="49"/>
    </row>
    <row r="51" spans="2:35" s="7" customFormat="1" ht="24.6" customHeight="1" thickBot="1" x14ac:dyDescent="0.25">
      <c r="B51" s="49"/>
      <c r="C51" s="129"/>
      <c r="D51" s="49"/>
      <c r="E51" s="49"/>
      <c r="F51" s="129"/>
      <c r="G51" s="49"/>
      <c r="H51" s="49"/>
      <c r="I51" s="76" t="s">
        <v>42</v>
      </c>
      <c r="J51" s="132">
        <f>IFERROR(ROUND(HLOOKUP(J23,$I$23:$P$36,14,0),2),"NA")</f>
        <v>0</v>
      </c>
      <c r="K51" s="77"/>
      <c r="L51" s="132">
        <f>IFERROR(ROUND(HLOOKUP(L23,$I$23:$P$36,14,0),2),"NA")</f>
        <v>2291.09</v>
      </c>
      <c r="M51" s="77"/>
      <c r="N51" s="132" t="str">
        <f>IFERROR(ROUND(HLOOKUP(N23,$I$23:$P$36,14,0),2),"NA")</f>
        <v>NA</v>
      </c>
      <c r="O51" s="77"/>
      <c r="P51" s="132" t="str">
        <f>IFERROR(ROUND(HLOOKUP(P23,$I$23:$P$36,14,0),2),"NA")</f>
        <v>NA</v>
      </c>
      <c r="Q51" s="49"/>
      <c r="R51" s="49"/>
      <c r="S51" s="49"/>
      <c r="T51" s="49"/>
      <c r="U51" s="49"/>
      <c r="V51" s="49"/>
      <c r="W51" s="49"/>
      <c r="X51" s="49"/>
      <c r="Y51" s="49"/>
      <c r="Z51" s="105"/>
      <c r="AA51" s="49"/>
      <c r="AB51" s="105"/>
      <c r="AC51" s="49"/>
      <c r="AD51" s="105"/>
      <c r="AE51" s="49"/>
      <c r="AF51" s="105"/>
      <c r="AG51" s="49"/>
      <c r="AH51" s="105"/>
      <c r="AI51" s="49"/>
    </row>
    <row r="52" spans="2:35" s="7" customFormat="1" ht="24.6" customHeight="1" x14ac:dyDescent="0.2">
      <c r="B52" s="49"/>
      <c r="C52" s="129"/>
      <c r="D52" s="49"/>
      <c r="E52" s="49"/>
      <c r="F52" s="12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155"/>
      <c r="W52" s="49"/>
      <c r="X52" s="49"/>
      <c r="Y52" s="49"/>
      <c r="Z52" s="105"/>
      <c r="AA52" s="49"/>
      <c r="AB52" s="105"/>
      <c r="AC52" s="49"/>
      <c r="AD52" s="105"/>
      <c r="AE52" s="49"/>
      <c r="AF52" s="105"/>
      <c r="AG52" s="49"/>
      <c r="AH52" s="105"/>
      <c r="AI52" s="49"/>
    </row>
    <row r="53" spans="2:35" s="7" customFormat="1" ht="24.6" customHeight="1" x14ac:dyDescent="0.2">
      <c r="B53" s="49"/>
      <c r="C53" s="49"/>
      <c r="D53" s="49"/>
      <c r="E53" s="49"/>
      <c r="F53" s="49"/>
      <c r="G53" s="49"/>
      <c r="H53" s="49"/>
      <c r="I53" s="51" t="s">
        <v>206</v>
      </c>
      <c r="J53" s="51"/>
      <c r="K53" s="51"/>
      <c r="L53" s="51"/>
      <c r="M53" s="51"/>
      <c r="N53" s="51"/>
      <c r="O53" s="51"/>
      <c r="P53" s="51"/>
      <c r="Q53" s="49"/>
      <c r="R53" s="49"/>
      <c r="S53" s="49"/>
      <c r="T53" s="155"/>
      <c r="U53" s="49"/>
      <c r="V53" s="49"/>
      <c r="W53" s="49"/>
      <c r="X53" s="49"/>
      <c r="Y53" s="49"/>
      <c r="Z53" s="105"/>
      <c r="AA53" s="49"/>
      <c r="AB53" s="105"/>
      <c r="AC53" s="49"/>
      <c r="AD53" s="105"/>
      <c r="AE53" s="49"/>
      <c r="AF53" s="105"/>
      <c r="AG53" s="49"/>
      <c r="AH53" s="105"/>
      <c r="AI53" s="49"/>
    </row>
    <row r="54" spans="2:35" s="7" customFormat="1" ht="24.6" customHeight="1" x14ac:dyDescent="0.2">
      <c r="B54" s="49"/>
      <c r="C54" s="129"/>
      <c r="D54" s="49"/>
      <c r="E54" s="49"/>
      <c r="F54" s="168"/>
      <c r="G54" s="49"/>
      <c r="H54" s="49"/>
      <c r="I54" s="13"/>
      <c r="J54" s="54" t="s">
        <v>16</v>
      </c>
      <c r="K54" s="54"/>
      <c r="L54" s="54" t="s">
        <v>18</v>
      </c>
      <c r="M54" s="54"/>
      <c r="N54" s="54" t="s">
        <v>19</v>
      </c>
      <c r="O54" s="54"/>
      <c r="P54" s="54" t="s">
        <v>20</v>
      </c>
      <c r="Q54" s="49"/>
      <c r="R54" s="49"/>
      <c r="S54" s="49"/>
      <c r="T54" s="49"/>
      <c r="U54" s="49"/>
      <c r="V54" s="49"/>
      <c r="W54" s="49"/>
      <c r="X54" s="49"/>
      <c r="Y54" s="49"/>
      <c r="Z54" s="105"/>
      <c r="AA54" s="49"/>
      <c r="AB54" s="105"/>
      <c r="AC54" s="49"/>
      <c r="AD54" s="105"/>
      <c r="AE54" s="49"/>
      <c r="AF54" s="105"/>
      <c r="AG54" s="49"/>
      <c r="AH54" s="105"/>
      <c r="AI54" s="49"/>
    </row>
    <row r="55" spans="2:35" s="7" customFormat="1" ht="24.6" customHeight="1" x14ac:dyDescent="0.2">
      <c r="B55" s="49"/>
      <c r="C55" s="129"/>
      <c r="D55" s="49"/>
      <c r="E55" s="49"/>
      <c r="F55" s="160"/>
      <c r="G55" s="49"/>
      <c r="H55" s="49"/>
      <c r="I55" s="20"/>
      <c r="J55" s="57" t="str">
        <f>YEAR(L7)&amp;"A"</f>
        <v>2024A</v>
      </c>
      <c r="K55" s="57"/>
      <c r="L55" s="57" t="str">
        <f>YEAR(N7)&amp;"E"</f>
        <v>2025E</v>
      </c>
      <c r="M55" s="57"/>
      <c r="N55" s="57" t="str">
        <f>YEAR(P7)&amp;"E"</f>
        <v>2026E</v>
      </c>
      <c r="O55" s="57"/>
      <c r="P55" s="57" t="str">
        <f>YEAR(R7)&amp;"E"</f>
        <v>2027E</v>
      </c>
      <c r="Q55" s="49"/>
      <c r="R55" s="49"/>
      <c r="S55" s="49"/>
      <c r="T55" s="156"/>
      <c r="U55" s="49"/>
      <c r="V55" s="156"/>
      <c r="W55" s="49"/>
      <c r="X55" s="49"/>
      <c r="Y55" s="49"/>
      <c r="Z55" s="105"/>
      <c r="AA55" s="49"/>
      <c r="AB55" s="105"/>
      <c r="AC55" s="49"/>
      <c r="AD55" s="105"/>
      <c r="AE55" s="49"/>
      <c r="AF55" s="105"/>
      <c r="AG55" s="49"/>
      <c r="AH55" s="105"/>
      <c r="AI55" s="49"/>
    </row>
    <row r="56" spans="2:35" s="7" customFormat="1" ht="24.6" customHeight="1" x14ac:dyDescent="0.2">
      <c r="B56" s="49"/>
      <c r="C56" s="49"/>
      <c r="D56" s="49"/>
      <c r="E56" s="49"/>
      <c r="F56" s="49"/>
      <c r="G56" s="49"/>
      <c r="H56" s="49"/>
      <c r="I56" s="53" t="s">
        <v>46</v>
      </c>
      <c r="J56" s="86" t="str">
        <f>IFERROR(ROUND($F$13/HLOOKUP(DATE(LEFT(J55,4),LEFT($F22,2)+1,0),$K$7:$R$19,4,0),2),"  NA")</f>
        <v xml:space="preserve">  NA</v>
      </c>
      <c r="K56" s="86"/>
      <c r="L56" s="86">
        <f t="shared" ref="L56:P56" si="5">IFERROR(ROUND($F$13/HLOOKUP(DATE(LEFT(L55,4),LEFT($F22,2)+1,0),$K$7:$R$19,4,0),2),"  NA")</f>
        <v>16.690000000000001</v>
      </c>
      <c r="M56" s="86"/>
      <c r="N56" s="86">
        <f>IFERROR(ROUND($F$13/HLOOKUP(DATE(LEFT(N55,4),LEFT($F22,2)+1,0),$K$7:$R$19,4,0),2),"  NA")</f>
        <v>14.96</v>
      </c>
      <c r="O56" s="86" t="str">
        <f t="shared" si="5"/>
        <v xml:space="preserve">  NA</v>
      </c>
      <c r="P56" s="86" t="str">
        <f t="shared" si="5"/>
        <v xml:space="preserve">  NA</v>
      </c>
      <c r="Q56" s="49"/>
      <c r="R56" s="49"/>
      <c r="S56" s="49"/>
      <c r="T56" s="156"/>
      <c r="U56" s="49"/>
      <c r="V56" s="49"/>
      <c r="W56" s="49"/>
      <c r="X56" s="49"/>
      <c r="Y56" s="49"/>
      <c r="Z56" s="105"/>
      <c r="AA56" s="49"/>
      <c r="AB56" s="105"/>
      <c r="AC56" s="49"/>
      <c r="AD56" s="105"/>
      <c r="AE56" s="49"/>
      <c r="AF56" s="105"/>
      <c r="AG56" s="49"/>
      <c r="AH56" s="105"/>
      <c r="AI56" s="49"/>
    </row>
    <row r="57" spans="2:35" s="7" customFormat="1" ht="24.6" customHeight="1" x14ac:dyDescent="0.2">
      <c r="B57" s="105"/>
      <c r="C57" s="49"/>
      <c r="D57" s="49"/>
      <c r="E57" s="111"/>
      <c r="F57" s="49"/>
      <c r="G57" s="49"/>
      <c r="H57" s="49"/>
      <c r="I57" s="56" t="s">
        <v>48</v>
      </c>
      <c r="J57" s="87" t="str">
        <f>IFERROR(ROUND($F$13/HLOOKUP(DATE(LEFT(J55,4),LEFT($F22,2)+1,0),$I$7:$R$19,3,0),2),"  NA")</f>
        <v xml:space="preserve">  NA</v>
      </c>
      <c r="K57" s="63"/>
      <c r="L57" s="87">
        <f>IFERROR(ROUND($F$13/HLOOKUP(DATE(LEFT(L55,4),LEFT($F22,2)+1,0),$K$7:$R$19,3,0),2),"  NA")</f>
        <v>2.5499999999999998</v>
      </c>
      <c r="M57" s="63"/>
      <c r="N57" s="87">
        <f>IFERROR(ROUND($F$13/HLOOKUP(DATE(LEFT(N55,4),LEFT($F22,2)+1,0),$K$7:$R$19,3,0),2),"  NA")</f>
        <v>2.19</v>
      </c>
      <c r="O57" s="63"/>
      <c r="P57" s="87" t="str">
        <f>IFERROR(ROUND($F$13/HLOOKUP(DATE(LEFT(P55,4),LEFT($F22,2)+1,0),$K$7:$R$19,3,0),2),"  NA")</f>
        <v xml:space="preserve">  NA</v>
      </c>
      <c r="Q57" s="49"/>
      <c r="R57" s="49"/>
      <c r="S57" s="49"/>
      <c r="T57" s="49"/>
      <c r="U57" s="49"/>
      <c r="V57" s="49"/>
      <c r="W57" s="49"/>
      <c r="X57" s="49"/>
      <c r="Y57" s="49"/>
      <c r="Z57" s="105"/>
      <c r="AA57" s="49"/>
      <c r="AB57" s="105"/>
      <c r="AC57" s="49"/>
      <c r="AD57" s="105"/>
      <c r="AE57" s="49"/>
      <c r="AF57" s="105"/>
      <c r="AG57" s="49"/>
      <c r="AH57" s="105"/>
      <c r="AI57" s="49"/>
    </row>
    <row r="58" spans="2:35" s="7" customFormat="1" ht="24.6" customHeight="1" x14ac:dyDescent="0.2">
      <c r="B58" s="105"/>
      <c r="C58" s="49"/>
      <c r="D58" s="49"/>
      <c r="E58" s="111"/>
      <c r="F58" s="49"/>
      <c r="G58" s="49"/>
      <c r="H58" s="49"/>
      <c r="I58" s="53" t="s">
        <v>53</v>
      </c>
      <c r="J58" s="127">
        <f>IFERROR(HLOOKUP(DATE(LEFT(J55,4),LEFT($F22,2)+1,0),$L$7:$S$19,5,0)/$F$13,"NA")</f>
        <v>0</v>
      </c>
      <c r="K58" s="127"/>
      <c r="L58" s="127">
        <f>IFERROR(HLOOKUP(DATE(LEFT(L55,4),LEFT($F22,2)+1,0),$L$7:$S$19,5,0)/$F$13,"NA")</f>
        <v>6.7352134897144039E-3</v>
      </c>
      <c r="M58" s="127"/>
      <c r="N58" s="127">
        <f>IFERROR(HLOOKUP(DATE(LEFT(N55,4),LEFT($F22,2)+1,0),$L$7:$S$19,5,0)/$F$13,"NA")</f>
        <v>7.1636497967079481E-3</v>
      </c>
      <c r="O58" s="58"/>
      <c r="P58" s="127" t="str">
        <f>IFERROR(HLOOKUP(DATE(LEFT(P55,4),LEFT($F22,2)+1,0),$L$7:$S$19,5,0)/$F$13,"NA")</f>
        <v>NA</v>
      </c>
      <c r="Q58" s="49"/>
      <c r="R58" s="49"/>
      <c r="S58" s="49"/>
      <c r="T58" s="49"/>
      <c r="U58" s="49"/>
      <c r="V58" s="49"/>
      <c r="W58" s="49"/>
      <c r="X58" s="49"/>
      <c r="Y58" s="49"/>
      <c r="Z58" s="105"/>
      <c r="AA58" s="49"/>
      <c r="AB58" s="105"/>
      <c r="AC58" s="49"/>
      <c r="AD58" s="105"/>
      <c r="AE58" s="49"/>
      <c r="AF58" s="105"/>
      <c r="AG58" s="49"/>
      <c r="AH58" s="105"/>
      <c r="AI58" s="49"/>
    </row>
    <row r="59" spans="2:35" s="7" customFormat="1" ht="24.6" customHeight="1" x14ac:dyDescent="0.2">
      <c r="B59" s="105"/>
      <c r="C59" s="49"/>
      <c r="D59" s="49"/>
      <c r="E59" s="105"/>
      <c r="F59" s="49"/>
      <c r="G59" s="49"/>
      <c r="H59" s="49"/>
      <c r="I59" s="56" t="s">
        <v>30</v>
      </c>
      <c r="J59" s="90">
        <f>IFERROR(HLOOKUP(DATE(LEFT(J55,4),LEFT($F22,2)+1,0),$L$7:$R$19,6,0),"NA")</f>
        <v>0</v>
      </c>
      <c r="K59" s="63"/>
      <c r="L59" s="90">
        <f>IFERROR(HLOOKUP(DATE(LEFT(L55,4),LEFT($F22,2)+1,0),$L$7:$R$19,6,0),"NA")</f>
        <v>0.164767</v>
      </c>
      <c r="M59" s="63"/>
      <c r="N59" s="90">
        <f>IFERROR(HLOOKUP(DATE(LEFT(N55,4),LEFT($F22,2)+1,0),$L$7:$R$19,6,0),"NA")</f>
        <v>0.15426399999999998</v>
      </c>
      <c r="O59" s="63"/>
      <c r="P59" s="90" t="str">
        <f>IFERROR(HLOOKUP(DATE(LEFT(P55,4),LEFT($F22,2)+1,0),$L$7:$R$19,6,0),"NA")</f>
        <v>NA</v>
      </c>
      <c r="Q59" s="49"/>
      <c r="R59" s="49"/>
      <c r="S59" s="49"/>
      <c r="T59" s="49"/>
      <c r="U59" s="49"/>
      <c r="V59" s="49"/>
      <c r="W59" s="49"/>
      <c r="X59" s="49"/>
      <c r="Y59" s="49"/>
      <c r="Z59" s="105"/>
      <c r="AA59" s="49"/>
      <c r="AB59" s="105"/>
      <c r="AC59" s="49"/>
      <c r="AD59" s="105"/>
      <c r="AE59" s="49"/>
      <c r="AF59" s="105"/>
      <c r="AG59" s="49"/>
      <c r="AH59" s="105"/>
      <c r="AI59" s="49"/>
    </row>
    <row r="60" spans="2:35" s="7" customFormat="1" ht="24.6" customHeight="1" x14ac:dyDescent="0.2">
      <c r="B60" s="105"/>
      <c r="C60" s="49"/>
      <c r="D60" s="49"/>
      <c r="E60" s="105"/>
      <c r="F60" s="49"/>
      <c r="G60" s="133"/>
      <c r="H60" s="49"/>
      <c r="I60" s="53" t="s">
        <v>32</v>
      </c>
      <c r="J60" s="79">
        <f>IFERROR(HLOOKUP(DATE(LEFT(J55,4),LEFT($F22,2)+1,0),$L$7:$S$19,7,0),"NA")</f>
        <v>0</v>
      </c>
      <c r="K60" s="58"/>
      <c r="L60" s="79">
        <f>IFERROR(HLOOKUP(DATE(LEFT(L55,4),LEFT($F22,2)+1,0),$L$7:$S$19,7,0),"NA")</f>
        <v>9.5169000000000004E-2</v>
      </c>
      <c r="M60" s="58"/>
      <c r="N60" s="79">
        <f>IFERROR(HLOOKUP(DATE(LEFT(N55,4),LEFT($F22,2)+1,0),$L$7:$S$19,7,0),"NA")</f>
        <v>8.9124999999999996E-2</v>
      </c>
      <c r="O60" s="58"/>
      <c r="P60" s="79" t="str">
        <f>IFERROR(HLOOKUP(DATE(LEFT(P55,4),LEFT($F22,2)+1,0),$L$7:$S$19,7,0),"NA")</f>
        <v>NA</v>
      </c>
      <c r="Q60" s="49"/>
      <c r="R60" s="49"/>
      <c r="S60" s="49"/>
      <c r="T60" s="49"/>
      <c r="U60" s="49"/>
      <c r="V60" s="49"/>
      <c r="W60" s="49"/>
      <c r="X60" s="49"/>
      <c r="Y60" s="49"/>
      <c r="Z60" s="105"/>
      <c r="AA60" s="49"/>
      <c r="AB60" s="105"/>
      <c r="AC60" s="49"/>
      <c r="AD60" s="105"/>
      <c r="AE60" s="49"/>
      <c r="AF60" s="105"/>
      <c r="AG60" s="49"/>
      <c r="AH60" s="105"/>
      <c r="AI60" s="49"/>
    </row>
    <row r="61" spans="2:35" s="7" customFormat="1" ht="24.6" customHeight="1" x14ac:dyDescent="0.2">
      <c r="B61" s="105"/>
      <c r="C61" s="49"/>
      <c r="D61" s="49"/>
      <c r="E61" s="105"/>
      <c r="F61" s="49"/>
      <c r="G61" s="134"/>
      <c r="H61" s="49"/>
      <c r="I61" s="56" t="s">
        <v>34</v>
      </c>
      <c r="J61" s="91">
        <f>IFERROR(ROUND(HLOOKUP(DATE(LEFT(J40,4),LEFT($F22,2)+1,0),$K$7:$R$19,8,0),2),"NA")</f>
        <v>0</v>
      </c>
      <c r="K61" s="64"/>
      <c r="L61" s="91">
        <f>IFERROR(ROUND(HLOOKUP(DATE(LEFT(L40,4),LEFT($F22,2)+1,0),$K$7:$R$19,8,0),2),"NA")</f>
        <v>2382.63</v>
      </c>
      <c r="M61" s="64"/>
      <c r="N61" s="91">
        <f>IFERROR(ROUND(HLOOKUP(DATE(LEFT(N40,4),LEFT($F22,2)+1,0),$K$7:$R$19,8,0),2),"NA")</f>
        <v>2817.85</v>
      </c>
      <c r="O61" s="64"/>
      <c r="P61" s="91" t="str">
        <f>IFERROR(ROUND(HLOOKUP(DATE(LEFT(P40,4),LEFT($F22,2)+1,0),$K$7:$R$19,8,0),2),"NA")</f>
        <v>NA</v>
      </c>
      <c r="Q61" s="49"/>
      <c r="R61" s="49"/>
      <c r="S61" s="49"/>
      <c r="T61" s="49"/>
      <c r="U61" s="49"/>
      <c r="V61" s="49"/>
      <c r="W61" s="49"/>
      <c r="X61" s="49"/>
      <c r="Y61" s="49"/>
      <c r="Z61" s="105"/>
      <c r="AA61" s="49"/>
      <c r="AB61" s="105"/>
      <c r="AC61" s="49"/>
      <c r="AD61" s="105"/>
      <c r="AE61" s="49"/>
      <c r="AF61" s="105"/>
      <c r="AG61" s="49"/>
      <c r="AH61" s="105"/>
      <c r="AI61" s="49"/>
    </row>
    <row r="62" spans="2:35" s="7" customFormat="1" ht="24.6" customHeight="1" x14ac:dyDescent="0.2">
      <c r="B62" s="105"/>
      <c r="C62" s="49"/>
      <c r="D62" s="49"/>
      <c r="E62" s="105"/>
      <c r="F62" s="49"/>
      <c r="G62" s="134"/>
      <c r="H62" s="49"/>
      <c r="I62" s="53" t="s">
        <v>35</v>
      </c>
      <c r="J62" s="92">
        <f>IFERROR(ROUND(HLOOKUP(DATE(LEFT(J40,4),LEFT($F22,2)+1,0),$K$7:$R$19,9,0),2),"NA")</f>
        <v>0</v>
      </c>
      <c r="K62" s="59"/>
      <c r="L62" s="92">
        <f>IFERROR(ROUND(HLOOKUP(DATE(LEFT(L40,4),LEFT($F22,2)+1,0),$K$7:$R$19,9,0),2),"NA")</f>
        <v>2956.5</v>
      </c>
      <c r="M62" s="59"/>
      <c r="N62" s="92">
        <f>IFERROR(ROUND(HLOOKUP(DATE(LEFT(N40,4),LEFT($F22,2)+1,0),$K$7:$R$19,9,0),2),"NA")</f>
        <v>3319.75</v>
      </c>
      <c r="O62" s="59"/>
      <c r="P62" s="92" t="str">
        <f>IFERROR(ROUND(HLOOKUP(DATE(LEFT(P40,4),LEFT($F22,2)+1,0),$K$7:$R$19,9,0),2),"NA")</f>
        <v>NA</v>
      </c>
      <c r="Q62" s="49"/>
      <c r="R62" s="49"/>
      <c r="S62" s="49"/>
      <c r="T62" s="49"/>
      <c r="U62" s="49"/>
      <c r="V62" s="49"/>
      <c r="W62" s="49"/>
      <c r="X62" s="49"/>
      <c r="Y62" s="49"/>
      <c r="Z62" s="105"/>
      <c r="AA62" s="49"/>
      <c r="AB62" s="105"/>
      <c r="AC62" s="49"/>
      <c r="AD62" s="105"/>
      <c r="AE62" s="49"/>
      <c r="AF62" s="105"/>
      <c r="AG62" s="49"/>
      <c r="AH62" s="105"/>
      <c r="AI62" s="49"/>
    </row>
    <row r="63" spans="2:35" s="7" customFormat="1" ht="24.6" customHeight="1" x14ac:dyDescent="0.2">
      <c r="B63" s="105"/>
      <c r="C63" s="49"/>
      <c r="D63" s="49"/>
      <c r="E63" s="105"/>
      <c r="F63" s="49"/>
      <c r="G63" s="134"/>
      <c r="H63" s="49"/>
      <c r="I63" s="56" t="s">
        <v>36</v>
      </c>
      <c r="J63" s="91">
        <f>IFERROR(ROUND(HLOOKUP(DATE(LEFT(J40,4),LEFT($F22,2)+1,0),$L$7:$S$19,10,0),2),"NA")</f>
        <v>0</v>
      </c>
      <c r="K63" s="64"/>
      <c r="L63" s="91">
        <f>IFERROR(ROUND(HLOOKUP(DATE(LEFT(L40,4),LEFT($F22,2)+1,0),$L$7:$S$19,10,0),2),"NA")</f>
        <v>8111.19</v>
      </c>
      <c r="M63" s="64"/>
      <c r="N63" s="91">
        <f>IFERROR(ROUND(HLOOKUP(DATE(LEFT(N40,4),LEFT($F22,2)+1,0),$L$7:$S$19,10,0),2),"NA")</f>
        <v>8805.7099999999991</v>
      </c>
      <c r="O63" s="64"/>
      <c r="P63" s="91" t="str">
        <f>IFERROR(ROUND(HLOOKUP(DATE(LEFT(P40,4),LEFT($F22,2)+1,0),$L$7:$S$19,10,0),2),"NA")</f>
        <v>NA</v>
      </c>
      <c r="Q63" s="49"/>
      <c r="R63" s="49"/>
      <c r="S63" s="49"/>
      <c r="T63" s="49"/>
      <c r="U63" s="49"/>
      <c r="V63" s="49"/>
      <c r="W63" s="49"/>
      <c r="X63" s="49"/>
      <c r="Y63" s="49"/>
      <c r="Z63" s="105"/>
      <c r="AA63" s="49"/>
      <c r="AB63" s="105"/>
      <c r="AC63" s="49"/>
      <c r="AD63" s="105"/>
      <c r="AE63" s="49"/>
      <c r="AF63" s="105"/>
      <c r="AG63" s="49"/>
      <c r="AH63" s="105"/>
      <c r="AI63" s="49"/>
    </row>
    <row r="64" spans="2:35" s="7" customFormat="1" ht="24.6" customHeight="1" x14ac:dyDescent="0.2">
      <c r="B64" s="105"/>
      <c r="C64" s="49"/>
      <c r="D64" s="49"/>
      <c r="E64" s="105"/>
      <c r="F64" s="49"/>
      <c r="G64" s="134"/>
      <c r="H64" s="49"/>
      <c r="I64" s="53" t="s">
        <v>38</v>
      </c>
      <c r="J64" s="92">
        <f>IFERROR(ROUND(HLOOKUP(DATE(LEFT(J40,4),LEFT($F22,2)+1,0),$K$7:$R$19,11,0),2),"NA")</f>
        <v>0</v>
      </c>
      <c r="K64" s="59"/>
      <c r="L64" s="92">
        <f>IFERROR(ROUND(HLOOKUP(DATE(LEFT(L40,4),LEFT($F22,2)+1,0),$K$7:$R$19,11,0),2),"NA")</f>
        <v>2441.0300000000002</v>
      </c>
      <c r="M64" s="59"/>
      <c r="N64" s="92">
        <f>IFERROR(ROUND(HLOOKUP(DATE(LEFT(N40,4),LEFT($F22,2)+1,0),$K$7:$R$19,11,0),2),"NA")</f>
        <v>2747.1</v>
      </c>
      <c r="O64" s="59"/>
      <c r="P64" s="92" t="str">
        <f>IFERROR(ROUND(HLOOKUP(DATE(LEFT(P40,4),LEFT($F22,2)+1,0),$K$7:$R$19,11,0),2),"NA")</f>
        <v>NA</v>
      </c>
      <c r="Q64" s="49"/>
      <c r="R64" s="49"/>
      <c r="S64" s="49"/>
      <c r="T64" s="49"/>
      <c r="U64" s="49"/>
      <c r="V64" s="49"/>
      <c r="W64" s="49"/>
      <c r="X64" s="49"/>
      <c r="Y64" s="49"/>
      <c r="Z64" s="105"/>
      <c r="AA64" s="49"/>
      <c r="AB64" s="105"/>
      <c r="AC64" s="49"/>
      <c r="AD64" s="105"/>
      <c r="AE64" s="49"/>
      <c r="AF64" s="105"/>
      <c r="AG64" s="49"/>
      <c r="AH64" s="105"/>
      <c r="AI64" s="49"/>
    </row>
    <row r="65" spans="2:35" s="7" customFormat="1" ht="24.6" customHeight="1" x14ac:dyDescent="0.2">
      <c r="B65" s="105"/>
      <c r="C65" s="49"/>
      <c r="D65" s="49"/>
      <c r="E65" s="105"/>
      <c r="F65" s="49"/>
      <c r="G65" s="134"/>
      <c r="H65" s="49"/>
      <c r="I65" s="56" t="s">
        <v>39</v>
      </c>
      <c r="J65" s="91">
        <f>IFERROR(ROUND(HLOOKUP(DATE(LEFT(J40,4),LEFT($F22,2)+1,0),$K$7:$R$19,12,0),2),"NA")</f>
        <v>0</v>
      </c>
      <c r="K65" s="64"/>
      <c r="L65" s="91">
        <f>IFERROR(ROUND(HLOOKUP(DATE(LEFT(L40,4),LEFT($F22,2)+1,0),$K$7:$R$19,12,0),2),"NA")</f>
        <v>1920.86</v>
      </c>
      <c r="M65" s="64"/>
      <c r="N65" s="91">
        <f>IFERROR(ROUND(HLOOKUP(DATE(LEFT(N40,4),LEFT($F22,2)+1,0),$K$7:$R$19,12,0),2),"NA")</f>
        <v>2143.38</v>
      </c>
      <c r="O65" s="64"/>
      <c r="P65" s="91" t="str">
        <f>IFERROR(ROUND(HLOOKUP(DATE(LEFT(P40,4),LEFT($F22,2)+1,0),$K$7:$R$19,12,0),2),"NA")</f>
        <v>NA</v>
      </c>
      <c r="Q65" s="49"/>
      <c r="R65" s="49"/>
      <c r="S65" s="49"/>
      <c r="T65" s="49"/>
      <c r="U65" s="49"/>
      <c r="V65" s="49"/>
      <c r="W65" s="49"/>
      <c r="X65" s="49"/>
      <c r="Y65" s="49"/>
      <c r="Z65" s="105"/>
      <c r="AA65" s="49"/>
      <c r="AB65" s="105"/>
      <c r="AC65" s="49"/>
      <c r="AD65" s="105"/>
      <c r="AE65" s="49"/>
      <c r="AF65" s="105"/>
      <c r="AG65" s="49"/>
      <c r="AH65" s="105"/>
      <c r="AI65" s="49"/>
    </row>
    <row r="66" spans="2:35" s="7" customFormat="1" ht="24.6" customHeight="1" thickBot="1" x14ac:dyDescent="0.25">
      <c r="B66" s="105"/>
      <c r="C66" s="49"/>
      <c r="D66" s="49"/>
      <c r="E66" s="105"/>
      <c r="F66" s="49"/>
      <c r="G66" s="134"/>
      <c r="H66" s="49"/>
      <c r="I66" s="76" t="s">
        <v>42</v>
      </c>
      <c r="J66" s="132">
        <f>IFERROR(ROUND(HLOOKUP(DATE(LEFT(J40,4),LEFT($F22,2)+1,0),$K$7:$R$19,13,0),2),"NA")</f>
        <v>0</v>
      </c>
      <c r="K66" s="77"/>
      <c r="L66" s="132">
        <f>IFERROR(ROUND(HLOOKUP(DATE(LEFT(L40,4),LEFT($F22,2)+1,0),$K$7:$R$19,13,0),2),"NA")</f>
        <v>2291.09</v>
      </c>
      <c r="M66" s="77"/>
      <c r="N66" s="132">
        <f>IFERROR(ROUND(HLOOKUP(DATE(LEFT(N40,4),LEFT($F22,2)+1,0),$K$7:$R$19,13,0),2),"NA")</f>
        <v>2544.7600000000002</v>
      </c>
      <c r="O66" s="77"/>
      <c r="P66" s="132" t="str">
        <f>IFERROR(ROUND(HLOOKUP(DATE(LEFT(P40,4),LEFT($F22,2)+1,0),$K$7:$R$19,13,0),2),"NA")</f>
        <v>NA</v>
      </c>
      <c r="Q66" s="49"/>
      <c r="R66" s="49"/>
      <c r="S66" s="49"/>
      <c r="T66" s="49"/>
      <c r="U66" s="49"/>
      <c r="V66" s="49"/>
      <c r="W66" s="49"/>
      <c r="X66" s="49"/>
      <c r="Y66" s="49"/>
      <c r="Z66" s="105"/>
      <c r="AA66" s="49"/>
      <c r="AB66" s="105"/>
      <c r="AC66" s="49"/>
      <c r="AD66" s="105"/>
      <c r="AE66" s="49"/>
      <c r="AF66" s="105"/>
      <c r="AG66" s="49"/>
      <c r="AH66" s="105"/>
      <c r="AI66" s="49"/>
    </row>
    <row r="67" spans="2:35" s="7" customFormat="1" ht="24.6" customHeight="1" x14ac:dyDescent="0.2">
      <c r="B67" s="105"/>
      <c r="C67" s="49"/>
      <c r="D67" s="49"/>
      <c r="E67" s="105"/>
      <c r="F67" s="49"/>
      <c r="G67" s="134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105"/>
      <c r="T67" s="49"/>
      <c r="U67" s="49"/>
      <c r="V67" s="49"/>
      <c r="W67" s="49"/>
      <c r="X67" s="49"/>
      <c r="Y67" s="49"/>
      <c r="Z67" s="105"/>
      <c r="AA67" s="49"/>
      <c r="AB67" s="105"/>
      <c r="AC67" s="49"/>
      <c r="AD67" s="105"/>
      <c r="AE67" s="49"/>
      <c r="AF67" s="105"/>
      <c r="AG67" s="49"/>
      <c r="AH67" s="105"/>
      <c r="AI67" s="49"/>
    </row>
    <row r="68" spans="2:35" s="7" customFormat="1" ht="17.25" x14ac:dyDescent="0.2">
      <c r="B68" s="105"/>
      <c r="C68" s="49"/>
      <c r="D68" s="49"/>
      <c r="E68" s="105"/>
      <c r="F68" s="49"/>
      <c r="G68" s="134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105"/>
      <c r="T68" s="49"/>
      <c r="U68" s="49"/>
      <c r="V68" s="49"/>
      <c r="W68" s="49"/>
      <c r="X68" s="49"/>
      <c r="Y68" s="49"/>
      <c r="Z68" s="105"/>
      <c r="AA68" s="49"/>
      <c r="AB68" s="105"/>
      <c r="AC68" s="49"/>
      <c r="AD68" s="105"/>
      <c r="AE68" s="49"/>
      <c r="AF68" s="105"/>
      <c r="AG68" s="49"/>
      <c r="AH68" s="105"/>
      <c r="AI68" s="49"/>
    </row>
    <row r="69" spans="2:35" s="7" customFormat="1" ht="17.25" x14ac:dyDescent="0.2">
      <c r="B69" s="105"/>
      <c r="C69" s="49"/>
      <c r="D69" s="49"/>
      <c r="E69" s="105"/>
      <c r="F69" s="49"/>
      <c r="G69" s="134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105"/>
      <c r="T69" s="49"/>
      <c r="U69" s="49"/>
      <c r="V69" s="49"/>
      <c r="W69" s="49"/>
      <c r="X69" s="49"/>
      <c r="Y69" s="49"/>
      <c r="Z69" s="105"/>
      <c r="AA69" s="49"/>
      <c r="AB69" s="105"/>
      <c r="AC69" s="49"/>
      <c r="AD69" s="105"/>
      <c r="AE69" s="49"/>
      <c r="AF69" s="105"/>
      <c r="AG69" s="49"/>
      <c r="AH69" s="105"/>
      <c r="AI69" s="49"/>
    </row>
    <row r="70" spans="2:35" s="7" customFormat="1" ht="17.25" x14ac:dyDescent="0.2"/>
    <row r="71" spans="2:35" s="7" customFormat="1" ht="17.25" x14ac:dyDescent="0.2"/>
    <row r="72" spans="2:35" s="7" customFormat="1" ht="17.25" x14ac:dyDescent="0.2"/>
    <row r="73" spans="2:35" s="7" customFormat="1" ht="17.25" x14ac:dyDescent="0.2"/>
    <row r="74" spans="2:35" s="7" customFormat="1" ht="17.25" x14ac:dyDescent="0.2"/>
    <row r="75" spans="2:35" s="7" customFormat="1" ht="17.25" x14ac:dyDescent="0.2"/>
    <row r="76" spans="2:35" s="7" customFormat="1" ht="17.25" x14ac:dyDescent="0.2"/>
    <row r="93" spans="7:9" x14ac:dyDescent="0.2">
      <c r="G93" s="135"/>
      <c r="H93" s="136"/>
      <c r="I93" s="136"/>
    </row>
    <row r="94" spans="7:9" x14ac:dyDescent="0.2">
      <c r="G94" s="135"/>
      <c r="H94" s="136"/>
      <c r="I94" s="136"/>
    </row>
    <row r="95" spans="7:9" x14ac:dyDescent="0.2">
      <c r="G95" s="135"/>
      <c r="H95" s="136"/>
      <c r="I95" s="136"/>
    </row>
    <row r="96" spans="7:9" x14ac:dyDescent="0.2">
      <c r="G96" s="135"/>
      <c r="H96" s="136"/>
      <c r="I96" s="136"/>
    </row>
    <row r="97" spans="7:9" x14ac:dyDescent="0.2">
      <c r="G97" s="135"/>
      <c r="H97" s="136"/>
      <c r="I97" s="136"/>
    </row>
    <row r="98" spans="7:9" x14ac:dyDescent="0.2">
      <c r="G98" s="135"/>
      <c r="H98" s="136"/>
      <c r="I98" s="136"/>
    </row>
    <row r="99" spans="7:9" x14ac:dyDescent="0.2">
      <c r="G99" s="135"/>
      <c r="H99" s="136"/>
      <c r="I99" s="136"/>
    </row>
    <row r="100" spans="7:9" x14ac:dyDescent="0.2">
      <c r="G100" s="135"/>
      <c r="H100" s="136"/>
      <c r="I100" s="136"/>
    </row>
    <row r="101" spans="7:9" x14ac:dyDescent="0.2">
      <c r="G101" s="135"/>
      <c r="H101" s="136"/>
      <c r="I101" s="136"/>
    </row>
    <row r="102" spans="7:9" x14ac:dyDescent="0.2">
      <c r="G102" s="135"/>
      <c r="H102" s="136"/>
      <c r="I102" s="136"/>
    </row>
    <row r="103" spans="7:9" x14ac:dyDescent="0.2">
      <c r="G103" s="135"/>
      <c r="H103" s="136"/>
      <c r="I103" s="136"/>
    </row>
    <row r="104" spans="7:9" x14ac:dyDescent="0.2">
      <c r="G104" s="135"/>
      <c r="H104" s="136"/>
      <c r="I104" s="136"/>
    </row>
    <row r="105" spans="7:9" x14ac:dyDescent="0.2">
      <c r="G105" s="135"/>
      <c r="H105" s="136"/>
      <c r="I105" s="136"/>
    </row>
    <row r="106" spans="7:9" x14ac:dyDescent="0.2">
      <c r="G106" s="135"/>
      <c r="H106" s="136"/>
      <c r="I106" s="136"/>
    </row>
    <row r="107" spans="7:9" x14ac:dyDescent="0.2">
      <c r="G107" s="135"/>
      <c r="H107" s="136"/>
      <c r="I107" s="136"/>
    </row>
    <row r="108" spans="7:9" x14ac:dyDescent="0.2">
      <c r="G108" s="135"/>
      <c r="H108" s="136"/>
      <c r="I108" s="136"/>
    </row>
    <row r="109" spans="7:9" x14ac:dyDescent="0.2">
      <c r="G109" s="135"/>
      <c r="H109" s="136"/>
      <c r="I109" s="136"/>
    </row>
    <row r="110" spans="7:9" x14ac:dyDescent="0.2">
      <c r="G110" s="135"/>
      <c r="H110" s="136"/>
      <c r="I110" s="136"/>
    </row>
    <row r="111" spans="7:9" x14ac:dyDescent="0.2">
      <c r="G111" s="135"/>
      <c r="H111" s="136"/>
      <c r="I111" s="136"/>
    </row>
    <row r="112" spans="7:9" x14ac:dyDescent="0.2">
      <c r="G112" s="135"/>
      <c r="H112" s="136"/>
      <c r="I112" s="136"/>
    </row>
    <row r="113" spans="7:9" x14ac:dyDescent="0.2">
      <c r="G113" s="135"/>
      <c r="H113" s="136"/>
      <c r="I113" s="136"/>
    </row>
    <row r="114" spans="7:9" x14ac:dyDescent="0.2">
      <c r="G114" s="135"/>
      <c r="H114" s="136"/>
      <c r="I114" s="136"/>
    </row>
    <row r="115" spans="7:9" x14ac:dyDescent="0.2">
      <c r="G115" s="135"/>
      <c r="H115" s="136"/>
      <c r="I115" s="136"/>
    </row>
    <row r="116" spans="7:9" x14ac:dyDescent="0.2">
      <c r="G116" s="135"/>
      <c r="H116" s="136"/>
      <c r="I116" s="136"/>
    </row>
    <row r="117" spans="7:9" x14ac:dyDescent="0.2">
      <c r="G117" s="135"/>
      <c r="H117" s="136"/>
      <c r="I117" s="136"/>
    </row>
    <row r="118" spans="7:9" x14ac:dyDescent="0.2">
      <c r="G118" s="135"/>
      <c r="H118" s="136"/>
      <c r="I118" s="136"/>
    </row>
    <row r="119" spans="7:9" x14ac:dyDescent="0.2">
      <c r="G119" s="135"/>
      <c r="H119" s="136"/>
      <c r="I119" s="136"/>
    </row>
    <row r="120" spans="7:9" x14ac:dyDescent="0.2">
      <c r="G120" s="135"/>
      <c r="H120" s="136"/>
      <c r="I120" s="136"/>
    </row>
    <row r="121" spans="7:9" x14ac:dyDescent="0.2">
      <c r="G121" s="135"/>
      <c r="H121" s="136"/>
      <c r="I121" s="136"/>
    </row>
    <row r="122" spans="7:9" x14ac:dyDescent="0.2">
      <c r="G122" s="135"/>
      <c r="H122" s="136"/>
      <c r="I122" s="136"/>
    </row>
    <row r="123" spans="7:9" x14ac:dyDescent="0.2">
      <c r="G123" s="135"/>
      <c r="H123" s="136"/>
      <c r="I123" s="136"/>
    </row>
    <row r="124" spans="7:9" x14ac:dyDescent="0.2">
      <c r="G124" s="135"/>
      <c r="H124" s="136"/>
      <c r="I124" s="136"/>
    </row>
    <row r="125" spans="7:9" x14ac:dyDescent="0.2">
      <c r="G125" s="135"/>
      <c r="H125" s="136"/>
      <c r="I125" s="136"/>
    </row>
    <row r="126" spans="7:9" x14ac:dyDescent="0.2">
      <c r="G126" s="135"/>
      <c r="H126" s="136"/>
      <c r="I126" s="136"/>
    </row>
    <row r="127" spans="7:9" x14ac:dyDescent="0.2">
      <c r="G127" s="135"/>
      <c r="H127" s="136"/>
      <c r="I127" s="136"/>
    </row>
    <row r="128" spans="7:9" x14ac:dyDescent="0.2">
      <c r="G128" s="135"/>
      <c r="H128" s="136"/>
      <c r="I128" s="136"/>
    </row>
    <row r="129" spans="7:9" x14ac:dyDescent="0.2">
      <c r="G129" s="135"/>
      <c r="H129" s="136"/>
      <c r="I129" s="136"/>
    </row>
    <row r="130" spans="7:9" x14ac:dyDescent="0.2">
      <c r="G130" s="135"/>
      <c r="H130" s="136"/>
      <c r="I130" s="136"/>
    </row>
    <row r="131" spans="7:9" x14ac:dyDescent="0.2">
      <c r="G131" s="135"/>
      <c r="H131" s="136"/>
      <c r="I131" s="136"/>
    </row>
    <row r="132" spans="7:9" x14ac:dyDescent="0.2">
      <c r="G132" s="135"/>
      <c r="H132" s="136"/>
      <c r="I132" s="136"/>
    </row>
    <row r="133" spans="7:9" x14ac:dyDescent="0.2">
      <c r="G133" s="135"/>
      <c r="H133" s="136"/>
      <c r="I133" s="136"/>
    </row>
    <row r="134" spans="7:9" x14ac:dyDescent="0.2">
      <c r="G134" s="135"/>
      <c r="H134" s="136"/>
      <c r="I134" s="136"/>
    </row>
    <row r="135" spans="7:9" x14ac:dyDescent="0.2">
      <c r="G135" s="135"/>
      <c r="H135" s="136"/>
      <c r="I135" s="136"/>
    </row>
    <row r="136" spans="7:9" x14ac:dyDescent="0.2">
      <c r="G136" s="135"/>
      <c r="H136" s="136"/>
      <c r="I136" s="136"/>
    </row>
    <row r="137" spans="7:9" x14ac:dyDescent="0.2">
      <c r="G137" s="135"/>
      <c r="H137" s="136"/>
      <c r="I137" s="136"/>
    </row>
    <row r="138" spans="7:9" x14ac:dyDescent="0.2">
      <c r="G138" s="135"/>
      <c r="H138" s="136"/>
      <c r="I138" s="136"/>
    </row>
    <row r="139" spans="7:9" x14ac:dyDescent="0.2">
      <c r="G139" s="135"/>
      <c r="H139" s="136"/>
      <c r="I139" s="136"/>
    </row>
    <row r="140" spans="7:9" x14ac:dyDescent="0.2">
      <c r="G140" s="135"/>
      <c r="H140" s="136"/>
      <c r="I140" s="136"/>
    </row>
    <row r="141" spans="7:9" x14ac:dyDescent="0.2">
      <c r="G141" s="135"/>
      <c r="H141" s="136"/>
      <c r="I141" s="136"/>
    </row>
    <row r="142" spans="7:9" x14ac:dyDescent="0.2">
      <c r="G142" s="135"/>
      <c r="H142" s="136"/>
      <c r="I142" s="136"/>
    </row>
    <row r="143" spans="7:9" x14ac:dyDescent="0.2">
      <c r="G143" s="135"/>
      <c r="H143" s="136"/>
      <c r="I143" s="136"/>
    </row>
    <row r="144" spans="7:9" x14ac:dyDescent="0.2">
      <c r="G144" s="135"/>
      <c r="H144" s="136"/>
      <c r="I144" s="136"/>
    </row>
    <row r="145" spans="7:9" x14ac:dyDescent="0.2">
      <c r="G145" s="135"/>
      <c r="H145" s="136"/>
      <c r="I145" s="136"/>
    </row>
    <row r="146" spans="7:9" x14ac:dyDescent="0.2">
      <c r="G146" s="135"/>
      <c r="H146" s="136"/>
      <c r="I146" s="136"/>
    </row>
    <row r="147" spans="7:9" x14ac:dyDescent="0.2">
      <c r="G147" s="135"/>
      <c r="H147" s="136"/>
      <c r="I147" s="136"/>
    </row>
    <row r="148" spans="7:9" x14ac:dyDescent="0.2">
      <c r="G148" s="135"/>
      <c r="H148" s="136"/>
      <c r="I148" s="136"/>
    </row>
    <row r="149" spans="7:9" x14ac:dyDescent="0.2">
      <c r="G149" s="135"/>
      <c r="H149" s="136"/>
      <c r="I149" s="136"/>
    </row>
    <row r="150" spans="7:9" x14ac:dyDescent="0.2">
      <c r="G150" s="135"/>
      <c r="H150" s="136"/>
      <c r="I150" s="136"/>
    </row>
    <row r="151" spans="7:9" x14ac:dyDescent="0.2">
      <c r="G151" s="135"/>
      <c r="H151" s="136"/>
      <c r="I151" s="136"/>
    </row>
    <row r="152" spans="7:9" x14ac:dyDescent="0.2">
      <c r="G152" s="135"/>
      <c r="H152" s="136"/>
      <c r="I152" s="136"/>
    </row>
    <row r="153" spans="7:9" x14ac:dyDescent="0.2">
      <c r="G153" s="135"/>
      <c r="H153" s="136"/>
      <c r="I153" s="136"/>
    </row>
    <row r="154" spans="7:9" x14ac:dyDescent="0.2">
      <c r="G154" s="135"/>
      <c r="H154" s="136"/>
      <c r="I154" s="136"/>
    </row>
    <row r="155" spans="7:9" x14ac:dyDescent="0.2">
      <c r="G155" s="135"/>
      <c r="H155" s="136"/>
      <c r="I155" s="136"/>
    </row>
    <row r="156" spans="7:9" x14ac:dyDescent="0.2">
      <c r="G156" s="135"/>
      <c r="H156" s="136"/>
      <c r="I156" s="136"/>
    </row>
    <row r="157" spans="7:9" x14ac:dyDescent="0.2">
      <c r="G157" s="135"/>
      <c r="H157" s="136"/>
      <c r="I157" s="136"/>
    </row>
    <row r="158" spans="7:9" x14ac:dyDescent="0.2">
      <c r="G158" s="135"/>
      <c r="H158" s="136"/>
      <c r="I158" s="136"/>
    </row>
    <row r="159" spans="7:9" x14ac:dyDescent="0.2">
      <c r="G159" s="135"/>
      <c r="H159" s="136"/>
      <c r="I159" s="136"/>
    </row>
    <row r="160" spans="7:9" x14ac:dyDescent="0.2">
      <c r="G160" s="135"/>
      <c r="H160" s="136"/>
      <c r="I160" s="136"/>
    </row>
    <row r="161" spans="7:9" x14ac:dyDescent="0.2">
      <c r="G161" s="135"/>
      <c r="H161" s="136"/>
      <c r="I161" s="136"/>
    </row>
    <row r="162" spans="7:9" x14ac:dyDescent="0.2">
      <c r="G162" s="135"/>
      <c r="H162" s="136"/>
      <c r="I162" s="136"/>
    </row>
    <row r="163" spans="7:9" x14ac:dyDescent="0.2">
      <c r="G163" s="135"/>
      <c r="H163" s="136"/>
      <c r="I163" s="136"/>
    </row>
    <row r="164" spans="7:9" x14ac:dyDescent="0.2">
      <c r="G164" s="135"/>
      <c r="H164" s="136"/>
      <c r="I164" s="136"/>
    </row>
    <row r="165" spans="7:9" x14ac:dyDescent="0.2">
      <c r="G165" s="135"/>
      <c r="H165" s="136"/>
      <c r="I165" s="136"/>
    </row>
    <row r="166" spans="7:9" x14ac:dyDescent="0.2">
      <c r="G166" s="135"/>
      <c r="H166" s="136"/>
      <c r="I166" s="136"/>
    </row>
    <row r="167" spans="7:9" x14ac:dyDescent="0.2">
      <c r="G167" s="135"/>
      <c r="H167" s="136"/>
      <c r="I167" s="136"/>
    </row>
    <row r="168" spans="7:9" x14ac:dyDescent="0.2">
      <c r="G168" s="135"/>
      <c r="H168" s="136"/>
      <c r="I168" s="136"/>
    </row>
    <row r="169" spans="7:9" x14ac:dyDescent="0.2">
      <c r="G169" s="135"/>
      <c r="H169" s="136"/>
      <c r="I169" s="136"/>
    </row>
    <row r="170" spans="7:9" x14ac:dyDescent="0.2">
      <c r="G170" s="135"/>
      <c r="H170" s="136"/>
      <c r="I170" s="136"/>
    </row>
    <row r="171" spans="7:9" x14ac:dyDescent="0.2">
      <c r="G171" s="135"/>
      <c r="H171" s="136"/>
      <c r="I171" s="136"/>
    </row>
    <row r="172" spans="7:9" x14ac:dyDescent="0.2">
      <c r="G172" s="135"/>
      <c r="H172" s="136"/>
      <c r="I172" s="136"/>
    </row>
    <row r="173" spans="7:9" x14ac:dyDescent="0.2">
      <c r="G173" s="135"/>
      <c r="H173" s="136"/>
      <c r="I173" s="136"/>
    </row>
    <row r="174" spans="7:9" x14ac:dyDescent="0.2">
      <c r="G174" s="135"/>
      <c r="H174" s="136"/>
      <c r="I174" s="136"/>
    </row>
    <row r="175" spans="7:9" x14ac:dyDescent="0.2">
      <c r="G175" s="135"/>
      <c r="H175" s="136"/>
      <c r="I175" s="136"/>
    </row>
    <row r="176" spans="7:9" x14ac:dyDescent="0.2">
      <c r="G176" s="135"/>
      <c r="H176" s="136"/>
      <c r="I176" s="136"/>
    </row>
    <row r="177" spans="7:9" x14ac:dyDescent="0.2">
      <c r="G177" s="135"/>
      <c r="H177" s="136"/>
      <c r="I177" s="136"/>
    </row>
    <row r="178" spans="7:9" x14ac:dyDescent="0.2">
      <c r="G178" s="135"/>
      <c r="H178" s="136"/>
      <c r="I178" s="136"/>
    </row>
    <row r="179" spans="7:9" x14ac:dyDescent="0.2">
      <c r="G179" s="135"/>
      <c r="H179" s="136"/>
      <c r="I179" s="136"/>
    </row>
    <row r="180" spans="7:9" x14ac:dyDescent="0.2">
      <c r="G180" s="135"/>
      <c r="H180" s="136"/>
      <c r="I180" s="136"/>
    </row>
    <row r="181" spans="7:9" x14ac:dyDescent="0.2">
      <c r="G181" s="135"/>
      <c r="H181" s="136"/>
      <c r="I181" s="136"/>
    </row>
    <row r="182" spans="7:9" x14ac:dyDescent="0.2">
      <c r="G182" s="135"/>
      <c r="H182" s="136"/>
      <c r="I182" s="136"/>
    </row>
    <row r="183" spans="7:9" x14ac:dyDescent="0.2">
      <c r="G183" s="135"/>
      <c r="H183" s="136"/>
      <c r="I183" s="136"/>
    </row>
    <row r="184" spans="7:9" x14ac:dyDescent="0.2">
      <c r="G184" s="135"/>
      <c r="H184" s="136"/>
      <c r="I184" s="136"/>
    </row>
    <row r="185" spans="7:9" x14ac:dyDescent="0.2">
      <c r="G185" s="135"/>
      <c r="H185" s="136"/>
      <c r="I185" s="136"/>
    </row>
    <row r="186" spans="7:9" x14ac:dyDescent="0.2">
      <c r="G186" s="135"/>
      <c r="H186" s="136"/>
      <c r="I186" s="136"/>
    </row>
    <row r="187" spans="7:9" x14ac:dyDescent="0.2">
      <c r="G187" s="135"/>
      <c r="H187" s="136"/>
      <c r="I187" s="136"/>
    </row>
    <row r="188" spans="7:9" x14ac:dyDescent="0.2">
      <c r="G188" s="135"/>
      <c r="H188" s="136"/>
      <c r="I188" s="136"/>
    </row>
    <row r="189" spans="7:9" x14ac:dyDescent="0.2">
      <c r="G189" s="135"/>
      <c r="H189" s="136"/>
      <c r="I189" s="136"/>
    </row>
    <row r="190" spans="7:9" x14ac:dyDescent="0.2">
      <c r="G190" s="135"/>
      <c r="H190" s="136"/>
      <c r="I190" s="136"/>
    </row>
    <row r="191" spans="7:9" x14ac:dyDescent="0.2">
      <c r="G191" s="135"/>
      <c r="H191" s="136"/>
      <c r="I191" s="136"/>
    </row>
    <row r="192" spans="7:9" x14ac:dyDescent="0.2">
      <c r="G192" s="135"/>
      <c r="H192" s="136"/>
      <c r="I192" s="136"/>
    </row>
    <row r="193" spans="7:9" x14ac:dyDescent="0.2">
      <c r="G193" s="135"/>
      <c r="H193" s="136"/>
      <c r="I193" s="136"/>
    </row>
    <row r="194" spans="7:9" x14ac:dyDescent="0.2">
      <c r="G194" s="135"/>
      <c r="H194" s="136"/>
      <c r="I194" s="136"/>
    </row>
    <row r="195" spans="7:9" x14ac:dyDescent="0.2">
      <c r="G195" s="135"/>
      <c r="H195" s="136"/>
      <c r="I195" s="136"/>
    </row>
    <row r="196" spans="7:9" x14ac:dyDescent="0.2">
      <c r="G196" s="135"/>
      <c r="H196" s="136"/>
      <c r="I196" s="136"/>
    </row>
    <row r="197" spans="7:9" x14ac:dyDescent="0.2">
      <c r="G197" s="135"/>
      <c r="H197" s="136"/>
      <c r="I197" s="136"/>
    </row>
    <row r="198" spans="7:9" x14ac:dyDescent="0.2">
      <c r="G198" s="135"/>
      <c r="H198" s="136"/>
      <c r="I198" s="136"/>
    </row>
    <row r="199" spans="7:9" x14ac:dyDescent="0.2">
      <c r="G199" s="135"/>
      <c r="H199" s="136"/>
      <c r="I199" s="136"/>
    </row>
    <row r="200" spans="7:9" x14ac:dyDescent="0.2">
      <c r="G200" s="135"/>
      <c r="H200" s="136"/>
      <c r="I200" s="136"/>
    </row>
    <row r="201" spans="7:9" x14ac:dyDescent="0.2">
      <c r="G201" s="135"/>
      <c r="H201" s="136"/>
      <c r="I201" s="136"/>
    </row>
    <row r="202" spans="7:9" x14ac:dyDescent="0.2">
      <c r="G202" s="135"/>
      <c r="H202" s="136"/>
      <c r="I202" s="136"/>
    </row>
    <row r="203" spans="7:9" x14ac:dyDescent="0.2">
      <c r="G203" s="135"/>
      <c r="H203" s="136"/>
      <c r="I203" s="136"/>
    </row>
    <row r="204" spans="7:9" x14ac:dyDescent="0.2">
      <c r="G204" s="135"/>
      <c r="H204" s="136"/>
      <c r="I204" s="136"/>
    </row>
    <row r="205" spans="7:9" x14ac:dyDescent="0.2">
      <c r="G205" s="135"/>
      <c r="H205" s="136"/>
      <c r="I205" s="136"/>
    </row>
    <row r="206" spans="7:9" x14ac:dyDescent="0.2">
      <c r="G206" s="135"/>
      <c r="H206" s="136"/>
      <c r="I206" s="136"/>
    </row>
    <row r="207" spans="7:9" x14ac:dyDescent="0.2">
      <c r="G207" s="135"/>
      <c r="H207" s="136"/>
      <c r="I207" s="136"/>
    </row>
    <row r="208" spans="7:9" x14ac:dyDescent="0.2">
      <c r="G208" s="135"/>
      <c r="H208" s="136"/>
      <c r="I208" s="136"/>
    </row>
    <row r="209" spans="7:9" x14ac:dyDescent="0.2">
      <c r="G209" s="135"/>
      <c r="H209" s="136"/>
      <c r="I209" s="136"/>
    </row>
    <row r="210" spans="7:9" x14ac:dyDescent="0.2">
      <c r="G210" s="135"/>
      <c r="H210" s="136"/>
      <c r="I210" s="136"/>
    </row>
    <row r="211" spans="7:9" x14ac:dyDescent="0.2">
      <c r="G211" s="135"/>
      <c r="H211" s="136"/>
      <c r="I211" s="136"/>
    </row>
    <row r="212" spans="7:9" x14ac:dyDescent="0.2">
      <c r="G212" s="135"/>
      <c r="H212" s="136"/>
      <c r="I212" s="136"/>
    </row>
    <row r="213" spans="7:9" x14ac:dyDescent="0.2">
      <c r="G213" s="135"/>
      <c r="H213" s="136"/>
      <c r="I213" s="136"/>
    </row>
    <row r="214" spans="7:9" x14ac:dyDescent="0.2">
      <c r="G214" s="135"/>
      <c r="H214" s="136"/>
      <c r="I214" s="136"/>
    </row>
    <row r="215" spans="7:9" x14ac:dyDescent="0.2">
      <c r="G215" s="135"/>
      <c r="H215" s="136"/>
      <c r="I215" s="136"/>
    </row>
    <row r="216" spans="7:9" x14ac:dyDescent="0.2">
      <c r="G216" s="135"/>
      <c r="H216" s="136"/>
      <c r="I216" s="136"/>
    </row>
    <row r="217" spans="7:9" x14ac:dyDescent="0.2">
      <c r="G217" s="135"/>
      <c r="H217" s="136"/>
      <c r="I217" s="136"/>
    </row>
    <row r="218" spans="7:9" x14ac:dyDescent="0.2">
      <c r="G218" s="135"/>
      <c r="H218" s="136"/>
      <c r="I218" s="136"/>
    </row>
    <row r="219" spans="7:9" x14ac:dyDescent="0.2">
      <c r="G219" s="135"/>
      <c r="H219" s="136"/>
      <c r="I219" s="136"/>
    </row>
    <row r="220" spans="7:9" x14ac:dyDescent="0.2">
      <c r="G220" s="135"/>
      <c r="H220" s="136"/>
      <c r="I220" s="136"/>
    </row>
    <row r="221" spans="7:9" x14ac:dyDescent="0.2">
      <c r="G221" s="135"/>
      <c r="H221" s="136"/>
      <c r="I221" s="136"/>
    </row>
    <row r="222" spans="7:9" x14ac:dyDescent="0.2">
      <c r="G222" s="135"/>
      <c r="H222" s="136"/>
      <c r="I222" s="136"/>
    </row>
    <row r="223" spans="7:9" x14ac:dyDescent="0.2">
      <c r="G223" s="135"/>
      <c r="H223" s="136"/>
      <c r="I223" s="136"/>
    </row>
    <row r="224" spans="7:9" x14ac:dyDescent="0.2">
      <c r="G224" s="135"/>
      <c r="H224" s="136"/>
      <c r="I224" s="136"/>
    </row>
    <row r="225" spans="7:9" x14ac:dyDescent="0.2">
      <c r="G225" s="135"/>
      <c r="H225" s="136"/>
      <c r="I225" s="136"/>
    </row>
    <row r="226" spans="7:9" x14ac:dyDescent="0.2">
      <c r="G226" s="135"/>
      <c r="H226" s="136"/>
      <c r="I226" s="136"/>
    </row>
    <row r="227" spans="7:9" x14ac:dyDescent="0.2">
      <c r="G227" s="135"/>
      <c r="H227" s="136"/>
      <c r="I227" s="136"/>
    </row>
    <row r="228" spans="7:9" x14ac:dyDescent="0.2">
      <c r="G228" s="135"/>
      <c r="H228" s="136"/>
      <c r="I228" s="136"/>
    </row>
    <row r="229" spans="7:9" x14ac:dyDescent="0.2">
      <c r="G229" s="135"/>
      <c r="H229" s="136"/>
      <c r="I229" s="136"/>
    </row>
    <row r="230" spans="7:9" x14ac:dyDescent="0.2">
      <c r="G230" s="135"/>
      <c r="H230" s="136"/>
      <c r="I230" s="136"/>
    </row>
    <row r="231" spans="7:9" x14ac:dyDescent="0.2">
      <c r="G231" s="135"/>
      <c r="H231" s="136"/>
      <c r="I231" s="136"/>
    </row>
    <row r="232" spans="7:9" x14ac:dyDescent="0.2">
      <c r="G232" s="135"/>
      <c r="H232" s="136"/>
      <c r="I232" s="136"/>
    </row>
    <row r="233" spans="7:9" x14ac:dyDescent="0.2">
      <c r="G233" s="135"/>
      <c r="H233" s="136"/>
      <c r="I233" s="136"/>
    </row>
    <row r="234" spans="7:9" x14ac:dyDescent="0.2">
      <c r="G234" s="135"/>
      <c r="H234" s="136"/>
      <c r="I234" s="136"/>
    </row>
    <row r="235" spans="7:9" x14ac:dyDescent="0.2">
      <c r="G235" s="135"/>
      <c r="H235" s="136"/>
      <c r="I235" s="136"/>
    </row>
    <row r="236" spans="7:9" x14ac:dyDescent="0.2">
      <c r="G236" s="135"/>
      <c r="H236" s="136"/>
      <c r="I236" s="136"/>
    </row>
    <row r="237" spans="7:9" x14ac:dyDescent="0.2">
      <c r="G237" s="135"/>
      <c r="H237" s="136"/>
      <c r="I237" s="136"/>
    </row>
    <row r="238" spans="7:9" x14ac:dyDescent="0.2">
      <c r="G238" s="135"/>
      <c r="H238" s="136"/>
      <c r="I238" s="136"/>
    </row>
    <row r="239" spans="7:9" x14ac:dyDescent="0.2">
      <c r="G239" s="135"/>
      <c r="H239" s="136"/>
      <c r="I239" s="136"/>
    </row>
    <row r="240" spans="7:9" x14ac:dyDescent="0.2">
      <c r="G240" s="135"/>
      <c r="H240" s="136"/>
      <c r="I240" s="136"/>
    </row>
    <row r="241" spans="7:9" x14ac:dyDescent="0.2">
      <c r="G241" s="135"/>
      <c r="H241" s="136"/>
      <c r="I241" s="136"/>
    </row>
    <row r="242" spans="7:9" x14ac:dyDescent="0.2">
      <c r="G242" s="135"/>
      <c r="H242" s="136"/>
      <c r="I242" s="136"/>
    </row>
    <row r="243" spans="7:9" x14ac:dyDescent="0.2">
      <c r="G243" s="135"/>
      <c r="H243" s="136"/>
      <c r="I243" s="136"/>
    </row>
    <row r="244" spans="7:9" x14ac:dyDescent="0.2">
      <c r="G244" s="135"/>
      <c r="H244" s="136"/>
      <c r="I244" s="136"/>
    </row>
    <row r="245" spans="7:9" x14ac:dyDescent="0.2">
      <c r="G245" s="135"/>
      <c r="H245" s="136"/>
      <c r="I245" s="136"/>
    </row>
    <row r="246" spans="7:9" x14ac:dyDescent="0.2">
      <c r="G246" s="135"/>
      <c r="H246" s="136"/>
      <c r="I246" s="136"/>
    </row>
    <row r="247" spans="7:9" x14ac:dyDescent="0.2">
      <c r="G247" s="135"/>
      <c r="H247" s="136"/>
      <c r="I247" s="136"/>
    </row>
    <row r="248" spans="7:9" x14ac:dyDescent="0.2">
      <c r="G248" s="135"/>
      <c r="H248" s="136"/>
      <c r="I248" s="136"/>
    </row>
    <row r="249" spans="7:9" x14ac:dyDescent="0.2">
      <c r="G249" s="135"/>
      <c r="H249" s="136"/>
      <c r="I249" s="136"/>
    </row>
    <row r="250" spans="7:9" x14ac:dyDescent="0.2">
      <c r="G250" s="135"/>
      <c r="H250" s="136"/>
      <c r="I250" s="136"/>
    </row>
    <row r="251" spans="7:9" x14ac:dyDescent="0.2">
      <c r="G251" s="135"/>
      <c r="H251" s="136"/>
      <c r="I251" s="136"/>
    </row>
    <row r="252" spans="7:9" x14ac:dyDescent="0.2">
      <c r="G252" s="135"/>
      <c r="H252" s="136"/>
      <c r="I252" s="136"/>
    </row>
    <row r="253" spans="7:9" x14ac:dyDescent="0.2">
      <c r="G253" s="135"/>
      <c r="H253" s="136"/>
      <c r="I253" s="136"/>
    </row>
    <row r="254" spans="7:9" x14ac:dyDescent="0.2">
      <c r="G254" s="135"/>
      <c r="H254" s="136"/>
      <c r="I254" s="136"/>
    </row>
    <row r="255" spans="7:9" x14ac:dyDescent="0.2">
      <c r="G255" s="135"/>
      <c r="H255" s="136"/>
      <c r="I255" s="136"/>
    </row>
    <row r="256" spans="7:9" x14ac:dyDescent="0.2">
      <c r="G256" s="135"/>
      <c r="H256" s="136"/>
      <c r="I256" s="136"/>
    </row>
    <row r="257" spans="7:9" x14ac:dyDescent="0.2">
      <c r="G257" s="135"/>
      <c r="H257" s="136"/>
      <c r="I257" s="136"/>
    </row>
    <row r="258" spans="7:9" x14ac:dyDescent="0.2">
      <c r="G258" s="135"/>
      <c r="H258" s="136"/>
      <c r="I258" s="136"/>
    </row>
    <row r="259" spans="7:9" x14ac:dyDescent="0.2">
      <c r="G259" s="135"/>
      <c r="H259" s="136"/>
      <c r="I259" s="136"/>
    </row>
    <row r="260" spans="7:9" x14ac:dyDescent="0.2">
      <c r="G260" s="135"/>
      <c r="H260" s="136"/>
      <c r="I260" s="136"/>
    </row>
    <row r="261" spans="7:9" x14ac:dyDescent="0.2">
      <c r="G261" s="135"/>
      <c r="H261" s="136"/>
      <c r="I261" s="136"/>
    </row>
    <row r="262" spans="7:9" x14ac:dyDescent="0.2">
      <c r="G262" s="135"/>
      <c r="H262" s="136"/>
      <c r="I262" s="136"/>
    </row>
    <row r="263" spans="7:9" x14ac:dyDescent="0.2">
      <c r="G263" s="135"/>
      <c r="H263" s="136"/>
      <c r="I263" s="136"/>
    </row>
    <row r="264" spans="7:9" x14ac:dyDescent="0.2">
      <c r="G264" s="135"/>
      <c r="H264" s="136"/>
      <c r="I264" s="136"/>
    </row>
    <row r="265" spans="7:9" x14ac:dyDescent="0.2">
      <c r="G265" s="135"/>
      <c r="H265" s="136"/>
      <c r="I265" s="136"/>
    </row>
    <row r="266" spans="7:9" x14ac:dyDescent="0.2">
      <c r="G266" s="135"/>
      <c r="H266" s="136"/>
      <c r="I266" s="136"/>
    </row>
    <row r="267" spans="7:9" x14ac:dyDescent="0.2">
      <c r="G267" s="135"/>
      <c r="H267" s="136"/>
      <c r="I267" s="136"/>
    </row>
    <row r="268" spans="7:9" x14ac:dyDescent="0.2">
      <c r="G268" s="135"/>
      <c r="H268" s="136"/>
      <c r="I268" s="136"/>
    </row>
    <row r="269" spans="7:9" x14ac:dyDescent="0.2">
      <c r="G269" s="135"/>
      <c r="H269" s="136"/>
      <c r="I269" s="136"/>
    </row>
    <row r="270" spans="7:9" x14ac:dyDescent="0.2">
      <c r="G270" s="135"/>
      <c r="H270" s="136"/>
      <c r="I270" s="136"/>
    </row>
    <row r="271" spans="7:9" x14ac:dyDescent="0.2">
      <c r="G271" s="135"/>
      <c r="H271" s="136"/>
      <c r="I271" s="136"/>
    </row>
    <row r="272" spans="7:9" x14ac:dyDescent="0.2">
      <c r="G272" s="135"/>
      <c r="H272" s="136"/>
      <c r="I272" s="136"/>
    </row>
    <row r="273" spans="7:9" x14ac:dyDescent="0.2">
      <c r="G273" s="135"/>
      <c r="H273" s="136"/>
      <c r="I273" s="136"/>
    </row>
    <row r="274" spans="7:9" x14ac:dyDescent="0.2">
      <c r="G274" s="135"/>
      <c r="H274" s="136"/>
      <c r="I274" s="136"/>
    </row>
    <row r="275" spans="7:9" x14ac:dyDescent="0.2">
      <c r="G275" s="135"/>
      <c r="H275" s="136"/>
      <c r="I275" s="136"/>
    </row>
    <row r="276" spans="7:9" x14ac:dyDescent="0.2">
      <c r="G276" s="135"/>
      <c r="H276" s="136"/>
      <c r="I276" s="136"/>
    </row>
    <row r="277" spans="7:9" x14ac:dyDescent="0.2">
      <c r="G277" s="135"/>
      <c r="H277" s="136"/>
      <c r="I277" s="136"/>
    </row>
    <row r="278" spans="7:9" x14ac:dyDescent="0.2">
      <c r="G278" s="135"/>
      <c r="H278" s="136"/>
      <c r="I278" s="136"/>
    </row>
    <row r="279" spans="7:9" x14ac:dyDescent="0.2">
      <c r="G279" s="135"/>
      <c r="H279" s="136"/>
      <c r="I279" s="136"/>
    </row>
    <row r="280" spans="7:9" x14ac:dyDescent="0.2">
      <c r="G280" s="135"/>
      <c r="H280" s="136"/>
      <c r="I280" s="136"/>
    </row>
    <row r="281" spans="7:9" x14ac:dyDescent="0.2">
      <c r="G281" s="135"/>
      <c r="H281" s="136"/>
      <c r="I281" s="136"/>
    </row>
    <row r="282" spans="7:9" x14ac:dyDescent="0.2">
      <c r="G282" s="135"/>
      <c r="H282" s="136"/>
      <c r="I282" s="136"/>
    </row>
    <row r="283" spans="7:9" x14ac:dyDescent="0.2">
      <c r="G283" s="135"/>
      <c r="H283" s="136"/>
      <c r="I283" s="136"/>
    </row>
    <row r="284" spans="7:9" x14ac:dyDescent="0.2">
      <c r="G284" s="135"/>
      <c r="H284" s="136"/>
      <c r="I284" s="136"/>
    </row>
    <row r="285" spans="7:9" x14ac:dyDescent="0.2">
      <c r="G285" s="135"/>
      <c r="H285" s="136"/>
      <c r="I285" s="136"/>
    </row>
    <row r="286" spans="7:9" x14ac:dyDescent="0.2">
      <c r="G286" s="135"/>
      <c r="H286" s="136"/>
      <c r="I286" s="136"/>
    </row>
    <row r="287" spans="7:9" x14ac:dyDescent="0.2">
      <c r="G287" s="135"/>
      <c r="H287" s="136"/>
      <c r="I287" s="136"/>
    </row>
    <row r="288" spans="7:9" x14ac:dyDescent="0.2">
      <c r="G288" s="135"/>
      <c r="H288" s="136"/>
      <c r="I288" s="136"/>
    </row>
    <row r="289" spans="7:9" x14ac:dyDescent="0.2">
      <c r="G289" s="135"/>
      <c r="H289" s="136"/>
      <c r="I289" s="136"/>
    </row>
    <row r="290" spans="7:9" x14ac:dyDescent="0.2">
      <c r="G290" s="135"/>
      <c r="H290" s="136"/>
      <c r="I290" s="136"/>
    </row>
    <row r="291" spans="7:9" x14ac:dyDescent="0.2">
      <c r="G291" s="135"/>
      <c r="H291" s="136"/>
      <c r="I291" s="136"/>
    </row>
    <row r="292" spans="7:9" x14ac:dyDescent="0.2">
      <c r="G292" s="135"/>
      <c r="H292" s="136"/>
      <c r="I292" s="136"/>
    </row>
    <row r="293" spans="7:9" x14ac:dyDescent="0.2">
      <c r="G293" s="135"/>
      <c r="H293" s="136"/>
      <c r="I293" s="136"/>
    </row>
    <row r="294" spans="7:9" x14ac:dyDescent="0.2">
      <c r="G294" s="135"/>
      <c r="H294" s="136"/>
      <c r="I294" s="136"/>
    </row>
    <row r="295" spans="7:9" x14ac:dyDescent="0.2">
      <c r="G295" s="135"/>
      <c r="H295" s="136"/>
      <c r="I295" s="136"/>
    </row>
    <row r="296" spans="7:9" x14ac:dyDescent="0.2">
      <c r="G296" s="135"/>
      <c r="H296" s="136"/>
      <c r="I296" s="136"/>
    </row>
    <row r="297" spans="7:9" x14ac:dyDescent="0.2">
      <c r="G297" s="135"/>
      <c r="H297" s="136"/>
      <c r="I297" s="136"/>
    </row>
    <row r="298" spans="7:9" x14ac:dyDescent="0.2">
      <c r="G298" s="135"/>
      <c r="H298" s="136"/>
      <c r="I298" s="136"/>
    </row>
    <row r="299" spans="7:9" x14ac:dyDescent="0.2">
      <c r="G299" s="135"/>
      <c r="H299" s="136"/>
      <c r="I299" s="136"/>
    </row>
    <row r="300" spans="7:9" x14ac:dyDescent="0.2">
      <c r="G300" s="135"/>
      <c r="H300" s="136"/>
      <c r="I300" s="136"/>
    </row>
    <row r="301" spans="7:9" x14ac:dyDescent="0.2">
      <c r="G301" s="135"/>
      <c r="H301" s="136"/>
      <c r="I301" s="136"/>
    </row>
    <row r="302" spans="7:9" x14ac:dyDescent="0.2">
      <c r="G302" s="135"/>
      <c r="H302" s="136"/>
      <c r="I302" s="136"/>
    </row>
    <row r="303" spans="7:9" x14ac:dyDescent="0.2">
      <c r="G303" s="135"/>
      <c r="H303" s="136"/>
      <c r="I303" s="136"/>
    </row>
    <row r="304" spans="7:9" x14ac:dyDescent="0.2">
      <c r="G304" s="135"/>
      <c r="H304" s="136"/>
      <c r="I304" s="136"/>
    </row>
    <row r="305" spans="7:9" x14ac:dyDescent="0.2">
      <c r="G305" s="135"/>
      <c r="H305" s="136"/>
      <c r="I305" s="136"/>
    </row>
    <row r="306" spans="7:9" x14ac:dyDescent="0.2">
      <c r="G306" s="135"/>
      <c r="H306" s="136"/>
      <c r="I306" s="136"/>
    </row>
    <row r="307" spans="7:9" x14ac:dyDescent="0.2">
      <c r="G307" s="135"/>
      <c r="H307" s="136"/>
      <c r="I307" s="136"/>
    </row>
    <row r="308" spans="7:9" x14ac:dyDescent="0.2">
      <c r="G308" s="135"/>
      <c r="H308" s="136"/>
      <c r="I308" s="136"/>
    </row>
    <row r="309" spans="7:9" x14ac:dyDescent="0.2">
      <c r="G309" s="135"/>
      <c r="H309" s="136"/>
      <c r="I309" s="136"/>
    </row>
    <row r="310" spans="7:9" x14ac:dyDescent="0.2">
      <c r="G310" s="135"/>
      <c r="H310" s="136"/>
      <c r="I310" s="136"/>
    </row>
    <row r="311" spans="7:9" x14ac:dyDescent="0.2">
      <c r="G311" s="135"/>
      <c r="H311" s="136"/>
      <c r="I311" s="136"/>
    </row>
    <row r="312" spans="7:9" x14ac:dyDescent="0.2">
      <c r="G312" s="135"/>
      <c r="H312" s="136"/>
      <c r="I312" s="136"/>
    </row>
    <row r="313" spans="7:9" x14ac:dyDescent="0.2">
      <c r="G313" s="135"/>
      <c r="H313" s="136"/>
      <c r="I313" s="136"/>
    </row>
    <row r="314" spans="7:9" x14ac:dyDescent="0.2">
      <c r="G314" s="135"/>
      <c r="H314" s="136"/>
      <c r="I314" s="136"/>
    </row>
    <row r="315" spans="7:9" x14ac:dyDescent="0.2">
      <c r="G315" s="135"/>
      <c r="H315" s="136"/>
      <c r="I315" s="136"/>
    </row>
    <row r="316" spans="7:9" x14ac:dyDescent="0.2">
      <c r="G316" s="135"/>
      <c r="H316" s="136"/>
      <c r="I316" s="136"/>
    </row>
    <row r="317" spans="7:9" x14ac:dyDescent="0.2">
      <c r="G317" s="135"/>
      <c r="H317" s="136"/>
      <c r="I317" s="136"/>
    </row>
    <row r="318" spans="7:9" x14ac:dyDescent="0.2">
      <c r="G318" s="135"/>
      <c r="H318" s="136"/>
      <c r="I318" s="136"/>
    </row>
    <row r="319" spans="7:9" x14ac:dyDescent="0.2">
      <c r="G319" s="135"/>
      <c r="H319" s="136"/>
      <c r="I319" s="136"/>
    </row>
    <row r="320" spans="7:9" x14ac:dyDescent="0.2">
      <c r="G320" s="135"/>
      <c r="H320" s="136"/>
      <c r="I320" s="136"/>
    </row>
    <row r="321" spans="7:9" x14ac:dyDescent="0.2">
      <c r="G321" s="135"/>
      <c r="H321" s="136"/>
      <c r="I321" s="136"/>
    </row>
    <row r="322" spans="7:9" x14ac:dyDescent="0.2">
      <c r="G322" s="135"/>
      <c r="H322" s="136"/>
      <c r="I322" s="136"/>
    </row>
    <row r="323" spans="7:9" x14ac:dyDescent="0.2">
      <c r="G323" s="135"/>
      <c r="H323" s="136"/>
      <c r="I323" s="136"/>
    </row>
    <row r="324" spans="7:9" x14ac:dyDescent="0.2">
      <c r="G324" s="135"/>
      <c r="H324" s="136"/>
      <c r="I324" s="136"/>
    </row>
    <row r="325" spans="7:9" x14ac:dyDescent="0.2">
      <c r="G325" s="135"/>
      <c r="H325" s="136"/>
      <c r="I325" s="136"/>
    </row>
    <row r="326" spans="7:9" x14ac:dyDescent="0.2">
      <c r="G326" s="135"/>
      <c r="H326" s="136"/>
      <c r="I326" s="136"/>
    </row>
    <row r="327" spans="7:9" x14ac:dyDescent="0.2">
      <c r="G327" s="135"/>
      <c r="H327" s="136"/>
      <c r="I327" s="136"/>
    </row>
    <row r="328" spans="7:9" x14ac:dyDescent="0.2">
      <c r="G328" s="135"/>
      <c r="H328" s="136"/>
      <c r="I328" s="136"/>
    </row>
    <row r="329" spans="7:9" x14ac:dyDescent="0.2">
      <c r="G329" s="135"/>
      <c r="H329" s="136"/>
      <c r="I329" s="136"/>
    </row>
    <row r="330" spans="7:9" x14ac:dyDescent="0.2">
      <c r="G330" s="135"/>
      <c r="H330" s="136"/>
      <c r="I330" s="136"/>
    </row>
    <row r="331" spans="7:9" x14ac:dyDescent="0.2">
      <c r="G331" s="135"/>
      <c r="H331" s="136"/>
      <c r="I331" s="136"/>
    </row>
    <row r="332" spans="7:9" x14ac:dyDescent="0.2">
      <c r="G332" s="135"/>
      <c r="H332" s="136"/>
      <c r="I332" s="136"/>
    </row>
    <row r="333" spans="7:9" x14ac:dyDescent="0.2">
      <c r="G333" s="135"/>
      <c r="H333" s="136"/>
      <c r="I333" s="136"/>
    </row>
    <row r="334" spans="7:9" x14ac:dyDescent="0.2">
      <c r="G334" s="135"/>
      <c r="H334" s="136"/>
      <c r="I334" s="136"/>
    </row>
    <row r="335" spans="7:9" x14ac:dyDescent="0.2">
      <c r="G335" s="135"/>
      <c r="H335" s="136"/>
      <c r="I335" s="136"/>
    </row>
    <row r="336" spans="7:9" x14ac:dyDescent="0.2">
      <c r="G336" s="135"/>
      <c r="H336" s="136"/>
      <c r="I336" s="136"/>
    </row>
    <row r="337" spans="7:9" x14ac:dyDescent="0.2">
      <c r="G337" s="135"/>
      <c r="H337" s="136"/>
      <c r="I337" s="136"/>
    </row>
    <row r="338" spans="7:9" x14ac:dyDescent="0.2">
      <c r="G338" s="135"/>
      <c r="H338" s="136"/>
      <c r="I338" s="136"/>
    </row>
    <row r="339" spans="7:9" x14ac:dyDescent="0.2">
      <c r="G339" s="135"/>
      <c r="H339" s="136"/>
      <c r="I339" s="136"/>
    </row>
    <row r="340" spans="7:9" x14ac:dyDescent="0.2">
      <c r="G340" s="135"/>
      <c r="H340" s="136"/>
      <c r="I340" s="136"/>
    </row>
    <row r="341" spans="7:9" x14ac:dyDescent="0.2">
      <c r="G341" s="135"/>
      <c r="H341" s="136"/>
      <c r="I341" s="136"/>
    </row>
    <row r="342" spans="7:9" x14ac:dyDescent="0.2">
      <c r="G342" s="135"/>
      <c r="H342" s="136"/>
      <c r="I342" s="136"/>
    </row>
    <row r="343" spans="7:9" x14ac:dyDescent="0.2">
      <c r="G343" s="135"/>
      <c r="H343" s="136"/>
      <c r="I343" s="136"/>
    </row>
    <row r="344" spans="7:9" x14ac:dyDescent="0.2">
      <c r="G344" s="135"/>
      <c r="H344" s="136"/>
      <c r="I344" s="136"/>
    </row>
    <row r="345" spans="7:9" x14ac:dyDescent="0.2">
      <c r="G345" s="135"/>
      <c r="H345" s="136"/>
      <c r="I345" s="136"/>
    </row>
    <row r="346" spans="7:9" x14ac:dyDescent="0.2">
      <c r="G346" s="135"/>
      <c r="H346" s="136"/>
      <c r="I346" s="136"/>
    </row>
    <row r="347" spans="7:9" x14ac:dyDescent="0.2">
      <c r="G347" s="135"/>
      <c r="H347" s="136"/>
      <c r="I347" s="136"/>
    </row>
    <row r="348" spans="7:9" x14ac:dyDescent="0.2">
      <c r="G348" s="135"/>
      <c r="H348" s="136"/>
      <c r="I348" s="136"/>
    </row>
    <row r="349" spans="7:9" x14ac:dyDescent="0.2">
      <c r="G349" s="135"/>
      <c r="H349" s="136"/>
      <c r="I349" s="136"/>
    </row>
    <row r="350" spans="7:9" x14ac:dyDescent="0.2">
      <c r="G350" s="135"/>
      <c r="H350" s="136"/>
      <c r="I350" s="136"/>
    </row>
    <row r="351" spans="7:9" x14ac:dyDescent="0.2">
      <c r="G351" s="135"/>
      <c r="H351" s="136"/>
      <c r="I351" s="136"/>
    </row>
    <row r="352" spans="7:9" x14ac:dyDescent="0.2">
      <c r="G352" s="135"/>
      <c r="H352" s="136"/>
      <c r="I352" s="136"/>
    </row>
    <row r="353" spans="7:9" x14ac:dyDescent="0.2">
      <c r="G353" s="135"/>
      <c r="H353" s="136"/>
      <c r="I353" s="136"/>
    </row>
    <row r="354" spans="7:9" x14ac:dyDescent="0.2">
      <c r="G354" s="135"/>
      <c r="H354" s="136"/>
      <c r="I354" s="136"/>
    </row>
    <row r="355" spans="7:9" x14ac:dyDescent="0.2">
      <c r="G355" s="135"/>
      <c r="H355" s="136"/>
      <c r="I355" s="136"/>
    </row>
    <row r="356" spans="7:9" x14ac:dyDescent="0.2">
      <c r="G356" s="135"/>
      <c r="H356" s="136"/>
      <c r="I356" s="136"/>
    </row>
    <row r="357" spans="7:9" x14ac:dyDescent="0.2">
      <c r="G357" s="135"/>
      <c r="H357" s="136"/>
      <c r="I357" s="136"/>
    </row>
    <row r="358" spans="7:9" x14ac:dyDescent="0.2">
      <c r="G358" s="135"/>
      <c r="H358" s="136"/>
      <c r="I358" s="136"/>
    </row>
    <row r="359" spans="7:9" x14ac:dyDescent="0.2">
      <c r="G359" s="135"/>
      <c r="H359" s="136"/>
      <c r="I359" s="136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AS359"/>
  <sheetViews>
    <sheetView showGridLines="0" zoomScale="70" zoomScaleNormal="70" workbookViewId="0">
      <selection activeCell="I41" sqref="I41"/>
    </sheetView>
  </sheetViews>
  <sheetFormatPr defaultRowHeight="16.5" x14ac:dyDescent="0.2"/>
  <cols>
    <col min="1" max="1" width="3" style="41" customWidth="1"/>
    <col min="2" max="2" width="2.25" style="41" customWidth="1"/>
    <col min="3" max="3" width="21.375" style="41" customWidth="1"/>
    <col min="4" max="4" width="15.375" style="41" customWidth="1"/>
    <col min="5" max="5" width="8.625" style="41" customWidth="1"/>
    <col min="6" max="6" width="18" style="41" customWidth="1"/>
    <col min="7" max="7" width="14.125" style="41" customWidth="1"/>
    <col min="8" max="8" width="2.25" style="41" customWidth="1"/>
    <col min="9" max="9" width="19.75" style="41" customWidth="1"/>
    <col min="10" max="10" width="15.125" style="41" bestFit="1" customWidth="1"/>
    <col min="11" max="11" width="5.25" style="41" customWidth="1"/>
    <col min="12" max="12" width="14.5" style="41" bestFit="1" customWidth="1"/>
    <col min="13" max="13" width="4.125" style="41" customWidth="1"/>
    <col min="14" max="14" width="14.625" style="41" customWidth="1"/>
    <col min="15" max="15" width="2.125" style="41" customWidth="1"/>
    <col min="16" max="16" width="17.625" style="41" customWidth="1"/>
    <col min="17" max="17" width="2" style="41" customWidth="1"/>
    <col min="18" max="18" width="15.125" style="41" customWidth="1"/>
    <col min="19" max="19" width="3.5" style="41" customWidth="1"/>
    <col min="20" max="20" width="11.75" style="41" bestFit="1" customWidth="1"/>
    <col min="21" max="21" width="2.25" style="41" customWidth="1"/>
    <col min="22" max="22" width="36.125" style="41" bestFit="1" customWidth="1"/>
    <col min="23" max="23" width="9.75" style="41" customWidth="1"/>
    <col min="24" max="24" width="23.25" style="41" customWidth="1"/>
    <col min="25" max="25" width="12.75" style="41" customWidth="1"/>
    <col min="26" max="26" width="1.375" style="41" customWidth="1"/>
    <col min="27" max="27" width="12.75" style="41" customWidth="1"/>
    <col min="28" max="28" width="1.375" style="41" customWidth="1"/>
    <col min="29" max="29" width="12.75" style="41" customWidth="1"/>
    <col min="30" max="30" width="1.375" style="41" customWidth="1"/>
    <col min="31" max="31" width="12.75" style="41" customWidth="1"/>
    <col min="32" max="32" width="1.375" style="41" customWidth="1"/>
    <col min="33" max="33" width="14.25" style="41" customWidth="1"/>
    <col min="34" max="34" width="1.375" style="41" customWidth="1"/>
    <col min="35" max="35" width="2.25" style="41" customWidth="1"/>
    <col min="36" max="37" width="9" style="41"/>
    <col min="38" max="38" width="13" style="41" bestFit="1" customWidth="1"/>
    <col min="39" max="39" width="9" style="41"/>
    <col min="40" max="40" width="13" style="41" bestFit="1" customWidth="1"/>
    <col min="41" max="41" width="9" style="41"/>
    <col min="42" max="42" width="13" style="41" bestFit="1" customWidth="1"/>
    <col min="43" max="16384" width="9" style="41"/>
  </cols>
  <sheetData>
    <row r="1" spans="2:45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</row>
    <row r="2" spans="2:45" ht="24" customHeight="1" x14ac:dyDescent="0.5">
      <c r="C2" s="43" t="str">
        <f>[1]!S_Info_Name(D2)</f>
        <v>阿里巴巴-SW</v>
      </c>
      <c r="D2" s="192" t="s">
        <v>247</v>
      </c>
      <c r="F2" s="44">
        <f>预测结果!A3</f>
        <v>45657</v>
      </c>
      <c r="G2" s="44"/>
      <c r="T2" s="46"/>
      <c r="V2" s="46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 s="7" customFormat="1" ht="12" customHeight="1" x14ac:dyDescent="0.2">
      <c r="C3" s="47"/>
      <c r="E3" s="47"/>
      <c r="F3" s="47"/>
      <c r="G3" s="48"/>
      <c r="J3" s="47"/>
      <c r="K3" s="47"/>
      <c r="L3" s="47"/>
      <c r="M3" s="47"/>
      <c r="N3" s="47"/>
      <c r="O3" s="47"/>
      <c r="Q3" s="47"/>
      <c r="R3" s="47"/>
      <c r="S3" s="47"/>
      <c r="T3" s="48"/>
      <c r="U3" s="47"/>
      <c r="V3" s="48"/>
      <c r="W3" s="47"/>
      <c r="Y3" s="47"/>
    </row>
    <row r="4" spans="2:45" s="7" customFormat="1" ht="17.2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2:45" s="7" customFormat="1" ht="24.6" customHeight="1" x14ac:dyDescent="0.2">
      <c r="B5" s="49"/>
      <c r="C5" s="51" t="s">
        <v>203</v>
      </c>
      <c r="D5" s="51"/>
      <c r="E5" s="51"/>
      <c r="F5" s="51"/>
      <c r="G5" s="51"/>
      <c r="H5" s="112"/>
      <c r="I5" s="51" t="s">
        <v>80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49"/>
      <c r="V5" s="51" t="s">
        <v>202</v>
      </c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49"/>
    </row>
    <row r="6" spans="2:45" s="7" customFormat="1" ht="24.6" customHeight="1" x14ac:dyDescent="0.2">
      <c r="B6" s="49"/>
      <c r="C6" s="53" t="s">
        <v>201</v>
      </c>
      <c r="D6" s="13"/>
      <c r="E6" s="54"/>
      <c r="F6" s="72" t="str">
        <f>D2</f>
        <v>9988.HK</v>
      </c>
      <c r="G6" s="55"/>
      <c r="H6" s="55"/>
      <c r="I6" s="13"/>
      <c r="J6" s="54" t="s">
        <v>200</v>
      </c>
      <c r="K6" s="54"/>
      <c r="L6" s="54" t="s">
        <v>199</v>
      </c>
      <c r="M6" s="54"/>
      <c r="N6" s="54" t="s">
        <v>198</v>
      </c>
      <c r="O6" s="54"/>
      <c r="P6" s="54" t="s">
        <v>197</v>
      </c>
      <c r="Q6" s="54"/>
      <c r="R6" s="54" t="s">
        <v>196</v>
      </c>
      <c r="S6" s="54"/>
      <c r="T6" s="54" t="s">
        <v>17</v>
      </c>
      <c r="U6" s="49"/>
      <c r="V6" s="13"/>
      <c r="W6" s="13"/>
      <c r="X6" s="13"/>
      <c r="Y6" s="54" t="s">
        <v>16</v>
      </c>
      <c r="Z6" s="54"/>
      <c r="AA6" s="54" t="s">
        <v>18</v>
      </c>
      <c r="AB6" s="54"/>
      <c r="AC6" s="54" t="s">
        <v>19</v>
      </c>
      <c r="AD6" s="54"/>
      <c r="AE6" s="54" t="s">
        <v>20</v>
      </c>
      <c r="AF6" s="54"/>
      <c r="AG6" s="54" t="s">
        <v>21</v>
      </c>
      <c r="AH6" s="54"/>
      <c r="AI6" s="49"/>
    </row>
    <row r="7" spans="2:45" s="7" customFormat="1" ht="24.6" customHeight="1" x14ac:dyDescent="0.2">
      <c r="B7" s="49"/>
      <c r="C7" s="56" t="s">
        <v>195</v>
      </c>
      <c r="D7" s="20"/>
      <c r="E7" s="57"/>
      <c r="F7" s="113" t="str">
        <f>[1]!S_Info_Name(F6)</f>
        <v>阿里巴巴-SW</v>
      </c>
      <c r="G7" s="20"/>
      <c r="H7" s="13"/>
      <c r="I7" s="56" t="s">
        <v>81</v>
      </c>
      <c r="J7" s="57">
        <f>DATE(YEAR(L7),MONTH(L7)-11,0)</f>
        <v>45016</v>
      </c>
      <c r="K7" s="57"/>
      <c r="L7" s="57">
        <f>IFERROR(IF(DATE(YEAR(F2),LEFT(F22,2)+1,0)&lt;=F2,DATE(YEAR(F2),LEFT(F22,2)+1,0),DATE(YEAR(F2),LEFT(F22,2)-11,0)),"NA")</f>
        <v>45382</v>
      </c>
      <c r="M7" s="57"/>
      <c r="N7" s="57">
        <f>DATE(YEAR(L7),MONTH(L7)+13,0)</f>
        <v>45747</v>
      </c>
      <c r="O7" s="57"/>
      <c r="P7" s="57">
        <f>DATE(YEAR(N7),MONTH(N7)+13,0)</f>
        <v>46112</v>
      </c>
      <c r="Q7" s="57"/>
      <c r="R7" s="57">
        <f>DATE(YEAR(P7),MONTH(P7)+13,0)</f>
        <v>46477</v>
      </c>
      <c r="S7" s="57"/>
      <c r="T7" s="57">
        <f>DATE(YEAR(R7),MONTH(R7)+13,0)</f>
        <v>46843</v>
      </c>
      <c r="U7" s="49"/>
      <c r="V7" s="20"/>
      <c r="W7" s="20"/>
      <c r="X7" s="20"/>
      <c r="Y7" s="57">
        <f>IFERROR(IF(DATE(YEAR(F2),LEFT(F22,2)+1,0)&lt;=F2,DATE(YEAR(F2),LEFT(F22,2)+1,0),DATE(YEAR(F2),LEFT(F22,2)-11,0)),"NA")</f>
        <v>45382</v>
      </c>
      <c r="Z7" s="57"/>
      <c r="AA7" s="57">
        <f>DATE(YEAR(Y7),MONTH(Y7)+13,0)</f>
        <v>45747</v>
      </c>
      <c r="AB7" s="57"/>
      <c r="AC7" s="57">
        <f>DATE(YEAR(AA7),MONTH(AA7)+13,0)</f>
        <v>46112</v>
      </c>
      <c r="AD7" s="57"/>
      <c r="AE7" s="57">
        <f>DATE(YEAR(AC7),MONTH(AC7)+13,0)</f>
        <v>46477</v>
      </c>
      <c r="AF7" s="57"/>
      <c r="AG7" s="57">
        <f>DATE(YEAR(AE7),MONTH(AE7)+13,0)</f>
        <v>46843</v>
      </c>
      <c r="AH7" s="57"/>
      <c r="AI7" s="49"/>
    </row>
    <row r="8" spans="2:45" s="7" customFormat="1" ht="24.6" customHeight="1" x14ac:dyDescent="0.2">
      <c r="B8" s="49"/>
      <c r="C8" s="53" t="s">
        <v>194</v>
      </c>
      <c r="D8" s="13"/>
      <c r="E8" s="58"/>
      <c r="F8" s="114" t="str">
        <f>[1]!s_info_compname(F6)</f>
        <v>阿里巴巴集团控股有限公司</v>
      </c>
      <c r="G8" s="13"/>
      <c r="H8" s="13"/>
      <c r="I8" s="53" t="s">
        <v>193</v>
      </c>
      <c r="J8" s="115">
        <f>YEAR(J7)</f>
        <v>2023</v>
      </c>
      <c r="K8" s="115"/>
      <c r="L8" s="115">
        <f>YEAR(L7)</f>
        <v>2024</v>
      </c>
      <c r="M8" s="115"/>
      <c r="N8" s="115">
        <f>YEAR(N7)</f>
        <v>2025</v>
      </c>
      <c r="O8" s="115"/>
      <c r="P8" s="115">
        <f>YEAR(P7)</f>
        <v>2026</v>
      </c>
      <c r="Q8" s="115"/>
      <c r="R8" s="115">
        <f>YEAR(R7)</f>
        <v>2027</v>
      </c>
      <c r="S8" s="115"/>
      <c r="T8" s="115">
        <f>YEAR(T7)</f>
        <v>2028</v>
      </c>
      <c r="U8" s="49"/>
      <c r="V8" s="53" t="s">
        <v>192</v>
      </c>
      <c r="W8" s="13"/>
      <c r="X8" s="13"/>
      <c r="Y8" s="59">
        <f>[1]!hks_stm_bs($D2,"140",DATE(IF(MONTH(Y7)&gt;=6,YEAR(Y7)-1,YEAR(Y7)-2),12,31),1,"Cur="&amp;$F$14,100000000)</f>
        <v>11814.083673444224</v>
      </c>
      <c r="Z8" s="58"/>
      <c r="AA8" s="59">
        <f>IFERROR(Y12,"NA")</f>
        <v>11417.678573468433</v>
      </c>
      <c r="AB8" s="58"/>
      <c r="AC8" s="59">
        <f>IFERROR(AA12,"NA")</f>
        <v>12486.968645514964</v>
      </c>
      <c r="AD8" s="58"/>
      <c r="AE8" s="59">
        <f>IFERROR(AC12,"NA")</f>
        <v>13724.119438119742</v>
      </c>
      <c r="AF8" s="58"/>
      <c r="AG8" s="59" t="str">
        <f>IFERROR(AE12,"NA")</f>
        <v>NA</v>
      </c>
      <c r="AH8" s="58"/>
      <c r="AI8" s="49"/>
    </row>
    <row r="9" spans="2:45" s="7" customFormat="1" ht="24.6" customHeight="1" thickBot="1" x14ac:dyDescent="0.25">
      <c r="B9" s="49"/>
      <c r="C9" s="61" t="s">
        <v>25</v>
      </c>
      <c r="D9" s="62"/>
      <c r="E9" s="62"/>
      <c r="F9" s="116" t="str">
        <f>[1]!s_info_industry_gics(F6,4)</f>
        <v>互联网零售</v>
      </c>
      <c r="G9" s="62"/>
      <c r="H9" s="13"/>
      <c r="I9" s="56" t="s">
        <v>23</v>
      </c>
      <c r="J9" s="63">
        <f>[1]!hks_fa_bps($D$2,DATE(YEAR(J7),12,31),"Cur="&amp;$F$14)</f>
        <v>55.62539570030043</v>
      </c>
      <c r="K9" s="63"/>
      <c r="L9" s="117">
        <f>[1]!hks_fa_bps($D$2,DATE(YEAR(L7),12,31),"Cur="&amp;$F$14)</f>
        <v>0</v>
      </c>
      <c r="M9" s="63"/>
      <c r="N9" s="63">
        <f>IF([1]!s_west_avgbps1($D$2,YEAR(N7),N7,180,"Cur="&amp;$F$14)=0,"NA",[1]!s_west_avgbps1($D$2,YEAR(N7),N7,180,"Cur="&amp;$F$14))</f>
        <v>56.98778324906089</v>
      </c>
      <c r="O9" s="63"/>
      <c r="P9" s="63">
        <f>IF([1]!s_west_avgbps1($D$2,YEAR(P7),P7,180,"Cur="&amp;$F$14)=0,"NA",[1]!s_west_avgbps1($D$2,YEAR(P7),P7,180,"Cur="&amp;$F$14))</f>
        <v>68.457648963944621</v>
      </c>
      <c r="Q9" s="63"/>
      <c r="R9" s="63" t="str">
        <f>IF([1]!s_west_avgbps1($D$2,YEAR(R7),R7,180,"Cur="&amp;$F$14)=0,"NA",[1]!s_west_avgbps1($D$2,YEAR(R7),R7,180,"Cur="&amp;$F$14))</f>
        <v>NA</v>
      </c>
      <c r="S9" s="63"/>
      <c r="T9" s="63" t="str">
        <f>IF([1]!s_west_avgbps1($D$2,YEAR(T7),T7,180,"Cur="&amp;$F$14)=0,"NA",[1]!s_west_avgbps1($D$2,YEAR(T7),T7,180,"Cur="&amp;$F$14))</f>
        <v>NA</v>
      </c>
      <c r="U9" s="49"/>
      <c r="V9" s="20"/>
      <c r="W9" s="20" t="s">
        <v>191</v>
      </c>
      <c r="X9" s="20"/>
      <c r="Y9" s="64">
        <f>[1]!hks_stm_is(D2,"61",DATE(IF(MONTH(Y7)&gt;=6,YEAR(Y7),YEAR(Y7)-1),12,31),1,"Cur="&amp;$F$14,100000000)</f>
        <v>831.41613643892583</v>
      </c>
      <c r="Z9" s="63"/>
      <c r="AA9" s="64">
        <f>IFERROR(N10*$F$26/10000,"NA")</f>
        <v>1255.6897624110513</v>
      </c>
      <c r="AB9" s="63"/>
      <c r="AC9" s="64">
        <f>IFERROR(P10*$F$26/10000,"NA")</f>
        <v>1445.9049792490168</v>
      </c>
      <c r="AD9" s="63"/>
      <c r="AE9" s="64" t="str">
        <f>IFERROR(R10*$F$26/10000,"NA")</f>
        <v>NA</v>
      </c>
      <c r="AF9" s="63"/>
      <c r="AG9" s="64" t="str">
        <f>IFERROR(T10*$F$26/10000,"NA")</f>
        <v>NA</v>
      </c>
      <c r="AH9" s="63"/>
      <c r="AI9" s="49"/>
    </row>
    <row r="10" spans="2:45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190</v>
      </c>
      <c r="J10" s="58">
        <f>[1]!hks_fa_eps_diluted3($D2,DATE(YEAR(J7),12,31),"Cur="&amp;$F$14)</f>
        <v>4.0505591665619542</v>
      </c>
      <c r="K10" s="104"/>
      <c r="L10" s="58">
        <f>[1]!hks_fa_eps_diluted3($D2,DATE(YEAR(L7),12,31),"Cur="&amp;$F$14)</f>
        <v>0</v>
      </c>
      <c r="M10" s="58"/>
      <c r="N10" s="127">
        <f>IF([1]!s_est_eps1($D$2,YEAR(N7),$F$2,"Cur="&amp;$F$14)=0,"NA",[1]!s_est_eps1($D$2,YEAR(N7),$F$2,"Cur="&amp;$F$14))</f>
        <v>6.1631250206550119</v>
      </c>
      <c r="O10" s="58"/>
      <c r="P10" s="127">
        <f>IF([1]!s_est_eps1($D$2,YEAR(P7),$F$2,"Cur="&amp;$F$14)=0,"NA",[1]!s_est_eps1($D$2,YEAR(P7),$F$2,"Cur="&amp;$F$14))</f>
        <v>7.0967315509435211</v>
      </c>
      <c r="Q10" s="58"/>
      <c r="R10" s="127" t="str">
        <f>IF([1]!s_est_eps1($D$2,YEAR(R7),$F$2,"Cur="&amp;$F$14)=0,"NA",[1]!s_est_eps1($D$2,YEAR(R7),$F$2,"Cur="&amp;$F$14))</f>
        <v>NA</v>
      </c>
      <c r="S10" s="58"/>
      <c r="T10" s="127" t="str">
        <f>IF([1]!s_est_eps1($D$2,YEAR(T7),$F$2,"Cur="&amp;$F$14)=0,"NA",[1]!s_est_eps1($D$2,YEAR(T7),$F$2,"Cur="&amp;$F$14))</f>
        <v>NA</v>
      </c>
      <c r="U10" s="49"/>
      <c r="V10" s="13"/>
      <c r="W10" s="13" t="s">
        <v>28</v>
      </c>
      <c r="X10" s="13"/>
      <c r="Y10" s="59"/>
      <c r="Z10" s="58"/>
      <c r="AA10" s="59">
        <f>IFERROR(N11*$F$26/10000,"NA")</f>
        <v>186.39969036451967</v>
      </c>
      <c r="AB10" s="58"/>
      <c r="AC10" s="59">
        <f>IFERROR(P11*$F$26/10000,"NA")</f>
        <v>208.7541866442381</v>
      </c>
      <c r="AD10" s="58"/>
      <c r="AE10" s="59" t="str">
        <f>IFERROR(R11*$F$26/10000,"NA")</f>
        <v>NA</v>
      </c>
      <c r="AF10" s="58"/>
      <c r="AG10" s="59" t="str">
        <f>IFERROR(T11*$F$26/10000,"NA")</f>
        <v>NA</v>
      </c>
      <c r="AH10" s="58"/>
      <c r="AI10" s="49"/>
    </row>
    <row r="11" spans="2:45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95"/>
      <c r="I11" s="56" t="s">
        <v>189</v>
      </c>
      <c r="J11" s="63">
        <f>[1]!hks_fa_dps($D$2,YEAR(J7),"Cur="&amp;$F$14)</f>
        <v>0.97481840459785274</v>
      </c>
      <c r="K11" s="63"/>
      <c r="L11" s="63">
        <f>[1]!hks_fa_dps($D$2,YEAR(L7),"Cur="&amp;$F$14)</f>
        <v>0</v>
      </c>
      <c r="M11" s="63"/>
      <c r="N11" s="63">
        <f>IF([1]!s_est_avgdps1($D$2,YEAR(N7),$F$2,"Cur="&amp;$F$14)=0,"NA",[1]!s_est_avgdps1($D$2,YEAR(N7),$F$2,"Cur="&amp;$F$14))</f>
        <v>0.91487931965145364</v>
      </c>
      <c r="O11" s="63"/>
      <c r="P11" s="63">
        <f>IF([1]!s_west_mediandps1($D$2,YEAR(P7),$F$2,180,"Cur="&amp;$F$14)=0,"NA",[1]!s_west_mediandps1($D$2,YEAR(P7),$F$2,180,"Cur="&amp;$F$14))</f>
        <v>1.0245987419720857</v>
      </c>
      <c r="Q11" s="63"/>
      <c r="R11" s="63" t="str">
        <f>IF([1]!s_west_mediandps1($D$2,YEAR(R7),$F$2,180,"Cur="&amp;$F$14)=0,"NA",[1]!s_west_mediandps1($D$2,YEAR(R7),$F$2,180,"Cur="&amp;$F$14))</f>
        <v>NA</v>
      </c>
      <c r="S11" s="63"/>
      <c r="T11" s="63" t="str">
        <f>IF([1]!s_west_mediandps1($D$2,YEAR(T7),$F$2,180,"Cur="&amp;$F$14)=0,"NA",[1]!s_west_mediandps1($D$2,YEAR(T7),$F$2,180,"Cur="&amp;$F$14))</f>
        <v>NA</v>
      </c>
      <c r="U11" s="49"/>
      <c r="V11" s="20"/>
      <c r="W11" s="20" t="s">
        <v>31</v>
      </c>
      <c r="X11" s="20"/>
      <c r="Y11" s="64"/>
      <c r="Z11" s="63"/>
      <c r="AA11" s="64"/>
      <c r="AB11" s="63"/>
      <c r="AC11" s="64"/>
      <c r="AD11" s="63"/>
      <c r="AE11" s="64"/>
      <c r="AF11" s="63"/>
      <c r="AG11" s="64"/>
      <c r="AH11" s="63"/>
      <c r="AI11" s="49"/>
    </row>
    <row r="12" spans="2:45" s="7" customFormat="1" ht="24.6" customHeight="1" x14ac:dyDescent="0.2">
      <c r="B12" s="49"/>
      <c r="C12" s="53" t="s">
        <v>157</v>
      </c>
      <c r="D12" s="13"/>
      <c r="E12" s="58"/>
      <c r="F12" s="72" t="str">
        <f>[1]!lastradeday_s(D2,F2)</f>
        <v>2024-04-25</v>
      </c>
      <c r="G12" s="49"/>
      <c r="H12" s="49"/>
      <c r="I12" s="53" t="s">
        <v>188</v>
      </c>
      <c r="J12" s="79">
        <f>[1]!hks_fa_roe($D$2,DATE(YEAR(J7),12,31))/100</f>
        <v>7.4358000000000007E-2</v>
      </c>
      <c r="K12" s="79"/>
      <c r="L12" s="79">
        <f>[1]!hks_fa_roe($D$2,DATE(YEAR(L7),12,31))/100</f>
        <v>0</v>
      </c>
      <c r="M12" s="79"/>
      <c r="N12" s="79">
        <f>IF([1]!s_west_avgroe($D$2,YEAR(N7),N7,180)/100=0,"NA",[1]!s_west_avgroe($D$2,YEAR(N7),N7,180)/100)</f>
        <v>0.103732</v>
      </c>
      <c r="O12" s="79"/>
      <c r="P12" s="79">
        <f>IF([1]!s_west_avgroe($D$2,YEAR(P7),P7,180)/100=0,"NA",[1]!s_west_avgroe($D$2,YEAR(P7),P7,180)/100)</f>
        <v>0.10492900000000001</v>
      </c>
      <c r="Q12" s="79"/>
      <c r="R12" s="79" t="str">
        <f>IF([1]!s_west_avgroe($D$2,YEAR(R7),R7,180)/100=0,"NA",[1]!s_west_avgroe($D$2,YEAR(R7),R7,180)/100)</f>
        <v>NA</v>
      </c>
      <c r="S12" s="79"/>
      <c r="T12" s="79" t="str">
        <f>IF([1]!s_west_avgroe($D$2,YEAR(T7),T7,180)/100=0,"NA",[1]!s_west_avgroe($D$2,YEAR(T7),T7,180)/100)</f>
        <v>NA</v>
      </c>
      <c r="U12" s="49"/>
      <c r="V12" s="53" t="s">
        <v>187</v>
      </c>
      <c r="W12" s="13"/>
      <c r="X12" s="13"/>
      <c r="Y12" s="60">
        <f>[1]!hks_stm_bs($D2,"140",DATE(IF(MONTH(Y7)&gt;=6,YEAR(Y7),YEAR(Y7)-1),12,31),1,"Cur="&amp;$F$14,100000000)</f>
        <v>11417.678573468433</v>
      </c>
      <c r="Z12" s="58"/>
      <c r="AA12" s="60">
        <f>IFERROR(AA8+AA9-AA10,"NA")</f>
        <v>12486.968645514964</v>
      </c>
      <c r="AB12" s="58"/>
      <c r="AC12" s="60">
        <f>IFERROR(AC8+AC9-AC10,"NA")</f>
        <v>13724.119438119742</v>
      </c>
      <c r="AD12" s="58"/>
      <c r="AE12" s="60" t="str">
        <f>IFERROR(AE8+AE9-AE10,"NA")</f>
        <v>NA</v>
      </c>
      <c r="AF12" s="58"/>
      <c r="AG12" s="60" t="str">
        <f>IFERROR(AG8+AG9-AG10,"NA")</f>
        <v>NA</v>
      </c>
      <c r="AH12" s="58"/>
      <c r="AI12" s="49"/>
    </row>
    <row r="13" spans="2:45" s="7" customFormat="1" ht="24.6" customHeight="1" x14ac:dyDescent="0.2">
      <c r="B13" s="49"/>
      <c r="C13" s="56" t="s">
        <v>186</v>
      </c>
      <c r="D13" s="20"/>
      <c r="E13" s="64"/>
      <c r="F13" s="69">
        <f>[1]!S_DQ_CLOSE(D2,F12,1)</f>
        <v>73</v>
      </c>
      <c r="G13" s="70"/>
      <c r="H13" s="49"/>
      <c r="I13" s="56" t="s">
        <v>185</v>
      </c>
      <c r="J13" s="90">
        <f>[1]!hks_fa_roa($D$2,DATE(YEAR(J7),12,31))/100</f>
        <v>4.2209999999999998E-2</v>
      </c>
      <c r="K13" s="90"/>
      <c r="L13" s="90">
        <f>[1]!hks_fa_roa($D$2,DATE(YEAR(L7),12,31))/100</f>
        <v>0</v>
      </c>
      <c r="M13" s="90"/>
      <c r="N13" s="90">
        <f>IF([1]!s_west_avgroa($D$2,YEAR(N7),N7,180)/100=0,"NA",[1]!s_west_avgroa($D$2,YEAR(N7),N7,180)/100)</f>
        <v>6.4455999999999999E-2</v>
      </c>
      <c r="O13" s="90"/>
      <c r="P13" s="90">
        <f>IF([1]!s_west_avgroa($D$2,YEAR(P7),P7,180)/100=0,"NA",[1]!s_west_avgroa($D$2,YEAR(P7),P7,180)/100)</f>
        <v>6.3413999999999998E-2</v>
      </c>
      <c r="Q13" s="90"/>
      <c r="R13" s="90" t="str">
        <f>IF([1]!s_west_avgroa($D$2,YEAR(R7),R7,180)/100=0,"NA",[1]!s_west_avgroa($D$2,YEAR(R7),R7,180)/100)</f>
        <v>NA</v>
      </c>
      <c r="S13" s="90"/>
      <c r="T13" s="90" t="str">
        <f>IF([1]!s_west_avgroa($D$2,YEAR(T7),T7,180)/100=0,"NA",[1]!s_west_avgroa($D$2,YEAR(T7),T7,180)/100)</f>
        <v>NA</v>
      </c>
      <c r="U13" s="49"/>
      <c r="V13" s="20"/>
      <c r="W13" s="20"/>
      <c r="X13" s="20"/>
      <c r="Y13" s="71"/>
      <c r="Z13" s="64"/>
      <c r="AA13" s="65"/>
      <c r="AB13" s="64"/>
      <c r="AC13" s="65"/>
      <c r="AD13" s="64"/>
      <c r="AE13" s="65"/>
      <c r="AF13" s="64"/>
      <c r="AG13" s="65"/>
      <c r="AH13" s="64"/>
      <c r="AI13" s="49"/>
    </row>
    <row r="14" spans="2:45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HKD</v>
      </c>
      <c r="G14" s="49"/>
      <c r="H14" s="72"/>
      <c r="I14" s="53" t="s">
        <v>34</v>
      </c>
      <c r="J14" s="144">
        <f>[1]!hks_fa_ebit3($D$2,DATE(YEAR(J7),12,31),1,"Cur="&amp;$F$14,100000000)</f>
        <v>1177.3340491883803</v>
      </c>
      <c r="K14" s="144"/>
      <c r="L14" s="144">
        <f>[1]!hks_fa_ebit3($D$2,DATE(YEAR(L7),12,31),1,"Cur="&amp;$F$14,100000000)</f>
        <v>0</v>
      </c>
      <c r="M14" s="144"/>
      <c r="N14" s="144">
        <f>IF([1]!s_west_avgebit1($D$2,YEAR(N7),$F$2,180,"Cur="&amp;$F$14,100000000)=0,"NA",[1]!s_west_avgebit1($D$2,YEAR(N7),$F$2,180,"Cur="&amp;$F$14,100000000))</f>
        <v>1425.8622778897738</v>
      </c>
      <c r="O14" s="144"/>
      <c r="P14" s="144">
        <f>IF([1]!s_west_avgebit1($D$2,YEAR(P7),$F$2,180,"Cur="&amp;$F$14,100000000)=0,"NA",[1]!s_west_avgebit1($D$2,YEAR(P7),$F$2,180,"Cur="&amp;$F$14,100000000))</f>
        <v>1706.8530574925369</v>
      </c>
      <c r="Q14" s="144"/>
      <c r="R14" s="144" t="str">
        <f>IF([1]!s_west_avgebit1($D$2,YEAR(R7),$F$2,180,"Cur="&amp;$F$14,100000000)=0,"NA",[1]!s_west_avgebit1($D$2,YEAR(R7),$F$2,180,"Cur="&amp;$F$14,100000000))</f>
        <v>NA</v>
      </c>
      <c r="S14" s="144"/>
      <c r="T14" s="144" t="str">
        <f>IF([1]!s_west_avgebit1($D$2,YEAR(T7),$F$2,180,"Cur="&amp;$F$14,100000000)=0,"NA",[1]!s_west_avgebit1($D$2,YEAR(T7),$F$2,180,"Cur="&amp;$F$14,100000000))</f>
        <v>NA</v>
      </c>
      <c r="U14" s="49"/>
      <c r="V14" s="53" t="s">
        <v>184</v>
      </c>
      <c r="W14" s="13"/>
      <c r="X14" s="13"/>
      <c r="Y14" s="118">
        <f>IFERROR(Y8-AE28,"NA")</f>
        <v>6659.6313674265712</v>
      </c>
      <c r="Z14" s="59"/>
      <c r="AA14" s="60">
        <f>IFERROR(Y15,"NA")</f>
        <v>6400.9093597719302</v>
      </c>
      <c r="AB14" s="59"/>
      <c r="AC14" s="60">
        <f>IFERROR(AA15,"NA")</f>
        <v>7470.1994318184616</v>
      </c>
      <c r="AD14" s="59"/>
      <c r="AE14" s="60">
        <f>IFERROR(AC15,"NA")</f>
        <v>8707.3502244232404</v>
      </c>
      <c r="AF14" s="59"/>
      <c r="AG14" s="60" t="str">
        <f>IFERROR(AE15,"NA")</f>
        <v>NA</v>
      </c>
      <c r="AH14" s="59"/>
      <c r="AI14" s="49"/>
    </row>
    <row r="15" spans="2:45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4355.8815000000004</v>
      </c>
      <c r="G15" s="70"/>
      <c r="H15" s="119"/>
      <c r="I15" s="56" t="s">
        <v>35</v>
      </c>
      <c r="J15" s="146">
        <f>[1]!hks_fa_ebitda2($D$2,DATE(YEAR(J7),12,31),1,"Cur="&amp;$F$14,100000000)</f>
        <v>1713.5170948469861</v>
      </c>
      <c r="K15" s="146"/>
      <c r="L15" s="146">
        <f>[1]!hks_fa_ebitda2($D$2,DATE(YEAR(L7),12,31),1,"Cur="&amp;$F$14,100000000)</f>
        <v>0</v>
      </c>
      <c r="M15" s="146"/>
      <c r="N15" s="146">
        <f>IF([1]!s_est_avgebitda1($D$2,YEAR(N7),$F$2,"Cur="&amp;$F$14,100000000)=0,"NA",[1]!s_est_avgebitda1($D$2,YEAR(N7),$F$2,"Cur="&amp;$F$14,100000000))</f>
        <v>2049.7868402789254</v>
      </c>
      <c r="O15" s="146"/>
      <c r="P15" s="146">
        <f>IF([1]!s_est_avgebitda1($D$2,YEAR(P7),$F$2,"Cur="&amp;$F$14,100000000)=0,"NA",[1]!s_est_avgebitda1($D$2,YEAR(P7),$F$2,"Cur="&amp;$F$14,100000000))</f>
        <v>2335.0683543188252</v>
      </c>
      <c r="Q15" s="146"/>
      <c r="R15" s="146" t="str">
        <f>IF([1]!s_est_avgebitda1($D$2,YEAR(R7),$F$2,"Cur="&amp;$F$14,100000000)=0,"NA",[1]!s_est_avgebitda1($D$2,YEAR(R7),$F$2,"Cur="&amp;$F$14,100000000))</f>
        <v>NA</v>
      </c>
      <c r="S15" s="146"/>
      <c r="T15" s="146" t="str">
        <f>IF([1]!s_est_avgebitda1($D$2,YEAR(T7),$F$2,"Cur="&amp;$F$14,100000000)=0,"NA",[1]!s_est_avgebitda1($D$2,YEAR(T7),$F$2,"Cur="&amp;$F$14,100000000))</f>
        <v>NA</v>
      </c>
      <c r="U15" s="49"/>
      <c r="V15" s="56" t="s">
        <v>182</v>
      </c>
      <c r="W15" s="20"/>
      <c r="X15" s="20"/>
      <c r="Y15" s="65">
        <f>IFERROR(Y12-$AG28,"NA")</f>
        <v>6400.9093597719302</v>
      </c>
      <c r="Z15" s="64"/>
      <c r="AA15" s="65">
        <f>IFERROR(AA12-$AG28,"NA")</f>
        <v>7470.1994318184616</v>
      </c>
      <c r="AB15" s="64"/>
      <c r="AC15" s="65">
        <f>IFERROR(AC12-$AG28,"NA")</f>
        <v>8707.3502244232404</v>
      </c>
      <c r="AD15" s="64"/>
      <c r="AE15" s="65" t="str">
        <f>IFERROR(AE12-$AG28,"NA")</f>
        <v>NA</v>
      </c>
      <c r="AF15" s="64"/>
      <c r="AG15" s="65" t="str">
        <f>IFERROR(AG12-$AG28,"NA")</f>
        <v>NA</v>
      </c>
      <c r="AH15" s="64"/>
      <c r="AI15" s="49"/>
    </row>
    <row r="16" spans="2:45" s="7" customFormat="1" ht="24.6" customHeight="1" x14ac:dyDescent="0.2">
      <c r="B16" s="49"/>
      <c r="C16" s="53" t="s">
        <v>37</v>
      </c>
      <c r="D16" s="13"/>
      <c r="E16" s="59"/>
      <c r="F16" s="154">
        <f>[1]!s_pq_highclose(D2,DATE(YEAR(F12)-1,MONTH(F12),DAY(F12)),F12,3)</f>
        <v>96.518475226796909</v>
      </c>
      <c r="G16" s="49"/>
      <c r="H16" s="49"/>
      <c r="I16" s="53" t="s">
        <v>181</v>
      </c>
      <c r="J16" s="144">
        <f>[1]!hks_stm_is($D$2,"83",DATE(YEAR(J7),12,31),1,"Cur="&amp;$F$14,100000000)</f>
        <v>9923.2016997749633</v>
      </c>
      <c r="K16" s="144"/>
      <c r="L16" s="144">
        <f>[1]!hks_stm_is($D$2,"83",DATE(YEAR(L7),12,31),1,"Cur="&amp;$F$14,100000000)</f>
        <v>0</v>
      </c>
      <c r="M16" s="144"/>
      <c r="N16" s="144">
        <f>IF([1]!s_est_sales1($D$2,YEAR(N7),$F$2,"Cur="&amp;$F$14,100000000)=0,"NA",[1]!s_est_sales1($D$2,YEAR(N7),$F$2,"Cur="&amp;$F$14,100000000))</f>
        <v>11191.571102812388</v>
      </c>
      <c r="O16" s="144"/>
      <c r="P16" s="144">
        <f>IF([1]!s_est_sales1($D$2,YEAR(P7),$F$2,"Cur="&amp;$F$14,100000000)=0,"NA",[1]!s_est_sales1($D$2,YEAR(P7),$F$2,"Cur="&amp;$F$14,100000000))</f>
        <v>11986.754354076475</v>
      </c>
      <c r="Q16" s="144"/>
      <c r="R16" s="144" t="str">
        <f>IF([1]!s_est_sales1($D$2,YEAR(R7),$F$2,"Cur="&amp;$F$14,100000000)=0,"NA",[1]!s_est_sales1($D$2,YEAR(R7),$F$2,"Cur="&amp;$F$14,100000000))</f>
        <v>NA</v>
      </c>
      <c r="S16" s="144"/>
      <c r="T16" s="144" t="str">
        <f>IF([1]!s_est_sales1($D$2,YEAR(T7),$F$2,"Cur="&amp;$F$14,100000000)=0,"NA",[1]!s_est_sales1($D$2,YEAR(T7),$F$2,"Cur="&amp;$F$14,100000000))</f>
        <v>NA</v>
      </c>
      <c r="U16" s="49"/>
      <c r="V16" s="13"/>
      <c r="W16" s="13"/>
      <c r="X16" s="13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49"/>
    </row>
    <row r="17" spans="2:42" s="7" customFormat="1" ht="24.6" customHeight="1" x14ac:dyDescent="0.2">
      <c r="B17" s="49"/>
      <c r="C17" s="56" t="s">
        <v>180</v>
      </c>
      <c r="D17" s="20"/>
      <c r="E17" s="64"/>
      <c r="F17" s="75">
        <f>F13/F16</f>
        <v>0.75633188183367239</v>
      </c>
      <c r="G17" s="70"/>
      <c r="H17" s="120"/>
      <c r="I17" s="56" t="s">
        <v>179</v>
      </c>
      <c r="J17" s="146">
        <f>[1]!hks_stm_is($D$2,"1016",DATE(YEAR(J7),12,31),1,"Cur="&amp;$F$14,100000000)</f>
        <v>926.67435830068212</v>
      </c>
      <c r="K17" s="146"/>
      <c r="L17" s="146">
        <f>[1]!hks_stm_is($D$2,"1016",DATE(YEAR(L7),12,31),1,"Cur="&amp;$F$14,100000000)</f>
        <v>0</v>
      </c>
      <c r="M17" s="146"/>
      <c r="N17" s="146">
        <f>IF([1]!s_est_avgebt1($D$2,YEAR(N7),$F$2,"Cur="&amp;$F$14,100000000)=0,"NA",[1]!s_est_avgebt1($D$2,YEAR(N7),$F$2,"Cur="&amp;$F$14,100000000))</f>
        <v>1434.350110710863</v>
      </c>
      <c r="O17" s="146"/>
      <c r="P17" s="146">
        <f>IF([1]!s_est_avgebt1($D$2,YEAR(P7),$F$2,"Cur="&amp;$F$14,100000000)=0,"NA",[1]!s_est_avgebt1($D$2,YEAR(P7),$F$2,"Cur="&amp;$F$14,100000000))</f>
        <v>1716.3158068673786</v>
      </c>
      <c r="Q17" s="146"/>
      <c r="R17" s="146" t="str">
        <f>IF([1]!s_est_avgebt1($D$2,YEAR(R7),$F$2,"Cur="&amp;$F$14,100000000)=0,"NA",[1]!s_est_avgebt1($D$2,YEAR(R7),$F$2,"Cur="&amp;$F$14,100000000))</f>
        <v>NA</v>
      </c>
      <c r="S17" s="146"/>
      <c r="T17" s="146" t="str">
        <f>IF([1]!s_est_avgebt1($D$2,YEAR(T7),$F$2,"Cur="&amp;$F$14,100000000)=0,"NA",[1]!s_est_avgebt1($D$2,YEAR(T7),$F$2,"Cur="&amp;$F$14,100000000))</f>
        <v>NA</v>
      </c>
      <c r="U17" s="49"/>
      <c r="V17" s="56" t="s">
        <v>40</v>
      </c>
      <c r="W17" s="20"/>
      <c r="X17" s="20"/>
      <c r="Y17" s="65">
        <f>IFERROR(AE27,"NA")</f>
        <v>20025.405238688159</v>
      </c>
      <c r="Z17" s="64"/>
      <c r="AA17" s="64"/>
      <c r="AB17" s="64"/>
      <c r="AC17" s="64"/>
      <c r="AD17" s="64"/>
      <c r="AE17" s="64"/>
      <c r="AF17" s="64"/>
      <c r="AG17" s="64"/>
      <c r="AH17" s="64"/>
      <c r="AI17" s="49"/>
      <c r="AL17" s="141"/>
    </row>
    <row r="18" spans="2:42" s="7" customFormat="1" ht="24.6" customHeight="1" x14ac:dyDescent="0.2">
      <c r="B18" s="49"/>
      <c r="C18" s="53" t="s">
        <v>41</v>
      </c>
      <c r="D18" s="13"/>
      <c r="E18" s="58"/>
      <c r="F18" s="154">
        <f>[1]!s_pq_lowclose(D2,DATE(YEAR(F12)-1,MONTH(F12),DAY(F12)),F12,3)</f>
        <v>65.45</v>
      </c>
      <c r="G18" s="49"/>
      <c r="H18" s="49"/>
      <c r="I18" s="53" t="s">
        <v>39</v>
      </c>
      <c r="J18" s="144">
        <f>[1]!hks_stm_is($D$2,"61",DATE(YEAR(J7),12,31),1,"Cur="&amp;$F$14,100000000)</f>
        <v>831.41613643892583</v>
      </c>
      <c r="K18" s="145"/>
      <c r="L18" s="144">
        <f>[1]!hks_stm_is($D$2,"61",DATE(YEAR(L7),12,31),1,"Cur="&amp;$F$14,100000000)</f>
        <v>0</v>
      </c>
      <c r="M18" s="145"/>
      <c r="N18" s="144">
        <f>IF([1]!s_west_netprofit1($D$2,YEAR(N7),$F$2,180,"Cur="&amp;$F$14,100000000)=0,"NA",[1]!s_west_netprofit1($D$2,YEAR(N7),$F$2,180,"Cur="&amp;$F$14,100000000))</f>
        <v>1255.6788513720437</v>
      </c>
      <c r="O18" s="145"/>
      <c r="P18" s="144">
        <f>IF([1]!s_west_netprofit1($D$2,YEAR(P7),$F$2,180,"Cur="&amp;$F$14,100000000)=0,"NA",[1]!s_west_netprofit1($D$2,YEAR(P7),$F$2,180,"Cur="&amp;$F$14,100000000))</f>
        <v>1445.9014948720492</v>
      </c>
      <c r="Q18" s="145"/>
      <c r="R18" s="144" t="str">
        <f>IF([1]!s_west_netprofit1($D$2,YEAR(R7),$F$2,180,"Cur="&amp;$F$14,100000000)=0,"NA",[1]!s_west_netprofit1($D$2,YEAR(R7),$F$2,180,"Cur="&amp;$F$14,100000000))</f>
        <v>NA</v>
      </c>
      <c r="S18" s="145"/>
      <c r="T18" s="144" t="str">
        <f>IF([1]!s_west_netprofit1($D$2,YEAR(T7),$F$2,180,"Cur="&amp;$F$14,100000000)=0,"NA",[1]!s_west_netprofit1($D$2,YEAR(T7),$F$2,180,"Cur="&amp;$F$14,100000000))</f>
        <v>NA</v>
      </c>
      <c r="U18" s="49"/>
      <c r="V18" s="53" t="s">
        <v>178</v>
      </c>
      <c r="W18" s="13"/>
      <c r="X18" s="13"/>
      <c r="Y18" s="60">
        <f>IFERROR(AG27,"NA")</f>
        <v>0</v>
      </c>
      <c r="Z18" s="54"/>
      <c r="AA18" s="59"/>
      <c r="AB18" s="54"/>
      <c r="AC18" s="59"/>
      <c r="AD18" s="54"/>
      <c r="AE18" s="59"/>
      <c r="AF18" s="54"/>
      <c r="AG18" s="59"/>
      <c r="AH18" s="54"/>
      <c r="AI18" s="49"/>
      <c r="AP18" s="141"/>
    </row>
    <row r="19" spans="2:42" s="7" customFormat="1" ht="24.6" customHeight="1" thickBot="1" x14ac:dyDescent="0.25">
      <c r="B19" s="49"/>
      <c r="C19" s="56" t="s">
        <v>43</v>
      </c>
      <c r="D19" s="20"/>
      <c r="E19" s="64"/>
      <c r="F19" s="75">
        <f>F13/F18</f>
        <v>1.1153552330022918</v>
      </c>
      <c r="G19" s="70"/>
      <c r="H19" s="120"/>
      <c r="I19" s="61" t="s">
        <v>42</v>
      </c>
      <c r="J19" s="93">
        <f>[1]!hks_stm_is($D$2,"1041",DATE(YEAR(J7),12,31),1,"Cur="&amp;$F$14,100000000)</f>
        <v>1177.3340491883803</v>
      </c>
      <c r="K19" s="121"/>
      <c r="L19" s="93">
        <f>[1]!hks_stm_is($D$2,"1041",DATE(YEAR(L7),12,31),1,"Cur="&amp;$F$14,100000000)</f>
        <v>0</v>
      </c>
      <c r="M19" s="121"/>
      <c r="N19" s="143">
        <f>IF([1]!s_west_avgoperatingprofit1($D$2,YEAR(N7),$F$2,180,"Cur="&amp;$F$14,100000000)=0,"NA",[1]!s_west_avgoperatingprofit1($D$2,YEAR(N7),$F$2,180,"Cur="&amp;$F$14,100000000))</f>
        <v>1542.2027606111683</v>
      </c>
      <c r="O19" s="121"/>
      <c r="P19" s="143">
        <f>IF([1]!s_west_avgoperatingprofit1($D$2,YEAR(P7),$F$2,180,"Cur="&amp;$F$14,100000000)=0,"NA",[1]!s_west_avgoperatingprofit1($D$2,YEAR(P7),$F$2,180,"Cur="&amp;$F$14,100000000))</f>
        <v>1757.067948301883</v>
      </c>
      <c r="Q19" s="121"/>
      <c r="R19" s="143" t="str">
        <f>IF([1]!s_west_avgoperatingprofit1($D$2,YEAR(R7),$F$2,180,"Cur="&amp;$F$14,100000000)=0,"NA",[1]!s_west_avgoperatingprofit1($D$2,YEAR(R7),$F$2,180,"Cur="&amp;$F$14,100000000))</f>
        <v>NA</v>
      </c>
      <c r="S19" s="121"/>
      <c r="T19" s="143" t="str">
        <f>IF([1]!s_west_avgoperatingprofit1($D$2,YEAR(T7),$F$2,180,"Cur="&amp;$F$14,100000000)=0,"NA",[1]!s_west_avgoperatingprofit1($D$2,YEAR(T7),$F$2,180,"Cur="&amp;$F$14,100000000))</f>
        <v>NA</v>
      </c>
      <c r="U19" s="49"/>
      <c r="V19" s="20"/>
      <c r="W19" s="20"/>
      <c r="X19" s="20"/>
      <c r="Y19" s="64" t="str">
        <f>IF([1]!s_west_medianebt($D$2,YEAR(Y10),Y10,180,100000000)=0,"",[1]!s_west_medianebt($D$2,YEAR(Y10),Y10,180,100000000))</f>
        <v/>
      </c>
      <c r="Z19" s="57"/>
      <c r="AA19" s="64"/>
      <c r="AB19" s="57"/>
      <c r="AC19" s="64"/>
      <c r="AD19" s="57"/>
      <c r="AE19" s="64"/>
      <c r="AF19" s="57"/>
      <c r="AG19" s="64"/>
      <c r="AH19" s="57"/>
      <c r="AI19" s="49"/>
      <c r="AL19" s="141"/>
    </row>
    <row r="20" spans="2:42" s="7" customFormat="1" ht="24.6" customHeight="1" x14ac:dyDescent="0.2">
      <c r="B20" s="49"/>
      <c r="C20" s="53" t="s">
        <v>83</v>
      </c>
      <c r="D20" s="13"/>
      <c r="E20" s="59"/>
      <c r="F20" s="122">
        <f>[1]!s_risk_stdevy(D2,DATE(YEAR(F12)-1,MONTH(F12),DAY(F12)),F12,2,1)</f>
        <v>31.640220379392098</v>
      </c>
      <c r="G20" s="49"/>
      <c r="H20" s="11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53" t="s">
        <v>44</v>
      </c>
      <c r="W20" s="13"/>
      <c r="X20" s="13"/>
      <c r="Y20" s="79">
        <f>IFERROR((Y9/AVERAGE(Y8,Y12)), "NA")</f>
        <v>7.1575813113309156E-2</v>
      </c>
      <c r="Z20" s="58"/>
      <c r="AA20" s="79">
        <f>IFERROR((AA9/AVERAGE(AA8,AA12)), "NA")</f>
        <v>0.1050582132342761</v>
      </c>
      <c r="AB20" s="58"/>
      <c r="AC20" s="79">
        <f>IFERROR((AC9/AVERAGE(AC8,AC12)), "NA")</f>
        <v>0.11032773417382774</v>
      </c>
      <c r="AD20" s="58"/>
      <c r="AE20" s="79" t="str">
        <f>IFERROR((AE9/AVERAGE(AE8,AE12)), "NA")</f>
        <v>NA</v>
      </c>
      <c r="AF20" s="58"/>
      <c r="AG20" s="79" t="str">
        <f>IFERROR((AG9/AVERAGE(AG8,AG12)), "NA")</f>
        <v>NA</v>
      </c>
      <c r="AH20" s="58"/>
      <c r="AI20" s="49"/>
      <c r="AP20" s="141"/>
    </row>
    <row r="21" spans="2:42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0.77621737391151846</v>
      </c>
      <c r="G21" s="70"/>
      <c r="H21" s="123"/>
      <c r="I21" s="51" t="s">
        <v>84</v>
      </c>
      <c r="J21" s="51"/>
      <c r="K21" s="51"/>
      <c r="L21" s="51"/>
      <c r="M21" s="51"/>
      <c r="N21" s="51"/>
      <c r="O21" s="51"/>
      <c r="P21" s="51"/>
      <c r="Q21" s="51"/>
      <c r="R21" s="51"/>
      <c r="S21" s="49"/>
      <c r="T21" s="96"/>
      <c r="U21" s="49"/>
      <c r="V21" s="61" t="s">
        <v>177</v>
      </c>
      <c r="W21" s="62"/>
      <c r="X21" s="62"/>
      <c r="Y21" s="81">
        <f>IFERROR((Y9/AVERAGE(Y14,Y15)), "NA")</f>
        <v>0.12731726102388799</v>
      </c>
      <c r="Z21" s="82"/>
      <c r="AA21" s="81">
        <f>IFERROR((AA9/AVERAGE(AA14,AA15)), "NA")</f>
        <v>0.18105110143355457</v>
      </c>
      <c r="AB21" s="82"/>
      <c r="AC21" s="81">
        <f>IFERROR((AC9/AVERAGE(AC14,AC15)), "NA")</f>
        <v>0.17875450979575891</v>
      </c>
      <c r="AD21" s="82"/>
      <c r="AE21" s="81" t="str">
        <f>IFERROR((AE9/AVERAGE(AE14,AE15)), "NA")</f>
        <v>NA</v>
      </c>
      <c r="AF21" s="82"/>
      <c r="AG21" s="81" t="str">
        <f>IFERROR((AG9/AVERAGE(AG14,AG15)), "NA")</f>
        <v>NA</v>
      </c>
      <c r="AH21" s="82"/>
      <c r="AI21" s="49"/>
    </row>
    <row r="22" spans="2:42" s="7" customFormat="1" ht="24.6" customHeight="1" x14ac:dyDescent="0.2">
      <c r="B22" s="49"/>
      <c r="C22" s="53" t="s">
        <v>85</v>
      </c>
      <c r="D22" s="13"/>
      <c r="E22" s="49"/>
      <c r="F22" s="67" t="str">
        <f>[1]!hks_info_fiscaldate(D2)</f>
        <v>03-31</v>
      </c>
      <c r="G22" s="49"/>
      <c r="H22" s="123"/>
      <c r="I22" s="13"/>
      <c r="J22" s="54" t="s">
        <v>16</v>
      </c>
      <c r="K22" s="54"/>
      <c r="L22" s="54" t="s">
        <v>18</v>
      </c>
      <c r="M22" s="54"/>
      <c r="N22" s="54" t="s">
        <v>19</v>
      </c>
      <c r="O22" s="54"/>
      <c r="P22" s="54" t="s">
        <v>20</v>
      </c>
      <c r="Q22" s="54"/>
      <c r="R22" s="54" t="s">
        <v>21</v>
      </c>
      <c r="S22" s="49"/>
      <c r="T22" s="158"/>
      <c r="U22" s="49"/>
      <c r="V22" s="49"/>
      <c r="W22" s="49"/>
      <c r="X22" s="49"/>
      <c r="Y22" s="49"/>
      <c r="Z22" s="54"/>
      <c r="AA22" s="49"/>
      <c r="AB22" s="54"/>
      <c r="AC22" s="49"/>
      <c r="AD22" s="54"/>
      <c r="AE22" s="49"/>
      <c r="AF22" s="54"/>
      <c r="AG22" s="49"/>
      <c r="AH22" s="54"/>
      <c r="AI22" s="49"/>
    </row>
    <row r="23" spans="2:42" s="7" customFormat="1" ht="24.6" customHeight="1" thickBot="1" x14ac:dyDescent="0.25">
      <c r="B23" s="49"/>
      <c r="C23" s="61" t="s">
        <v>176</v>
      </c>
      <c r="D23" s="62"/>
      <c r="E23" s="64"/>
      <c r="F23" s="74">
        <f>[1]!s_div_aualaccmdiv2($D2,DATE(YEAR(F2)-1,MONTH(F2),DAY(F2)),F2,"Cur="&amp;$F$14,10000)</f>
        <v>0</v>
      </c>
      <c r="G23" s="20"/>
      <c r="H23" s="119"/>
      <c r="I23" s="56" t="s">
        <v>81</v>
      </c>
      <c r="J23" s="57">
        <f>DATE(L8,12,31)</f>
        <v>45657</v>
      </c>
      <c r="K23" s="57"/>
      <c r="L23" s="57">
        <f>DATE(YEAR(J23),MONTH(J23)+13,0)</f>
        <v>46022</v>
      </c>
      <c r="M23" s="57"/>
      <c r="N23" s="57">
        <f>DATE(YEAR(L23),MONTH(L23)+13,0)</f>
        <v>46387</v>
      </c>
      <c r="O23" s="57"/>
      <c r="P23" s="57">
        <f>DATE(YEAR(N23),MONTH(N23)+13,0)</f>
        <v>46752</v>
      </c>
      <c r="Q23" s="57"/>
      <c r="R23" s="57">
        <f>DATE(YEAR(P23),MONTH(P23)+13,0)</f>
        <v>47118</v>
      </c>
      <c r="S23" s="49"/>
      <c r="T23" s="158"/>
      <c r="U23" s="49"/>
      <c r="V23" s="51" t="s">
        <v>47</v>
      </c>
      <c r="W23" s="51"/>
      <c r="X23" s="51"/>
      <c r="Y23" s="51"/>
      <c r="Z23" s="124"/>
      <c r="AA23" s="51"/>
      <c r="AB23" s="124"/>
      <c r="AC23" s="51"/>
      <c r="AD23" s="124"/>
      <c r="AE23" s="51"/>
      <c r="AF23" s="124"/>
      <c r="AG23" s="51"/>
      <c r="AH23" s="124"/>
      <c r="AI23" s="49"/>
    </row>
    <row r="24" spans="2:42" s="7" customFormat="1" ht="24.6" customHeight="1" x14ac:dyDescent="0.2">
      <c r="B24" s="49"/>
      <c r="C24" s="49"/>
      <c r="D24" s="142"/>
      <c r="E24" s="142"/>
      <c r="F24" s="142"/>
      <c r="G24" s="142"/>
      <c r="H24" s="49"/>
      <c r="I24" s="53" t="s">
        <v>82</v>
      </c>
      <c r="J24" s="115">
        <f>YEAR(L7)</f>
        <v>2024</v>
      </c>
      <c r="K24" s="115"/>
      <c r="L24" s="115">
        <f>YEAR(N7)</f>
        <v>2025</v>
      </c>
      <c r="M24" s="115"/>
      <c r="N24" s="115">
        <f>YEAR(P7)</f>
        <v>2026</v>
      </c>
      <c r="O24" s="115"/>
      <c r="P24" s="115">
        <f>YEAR(R7)</f>
        <v>2027</v>
      </c>
      <c r="Q24" s="115"/>
      <c r="R24" s="115">
        <f>YEAR(T7)</f>
        <v>2028</v>
      </c>
      <c r="S24" s="49"/>
      <c r="T24" s="49"/>
      <c r="U24" s="49"/>
      <c r="V24" s="13"/>
      <c r="W24" s="13"/>
      <c r="X24" s="13"/>
      <c r="Y24" s="54" t="s">
        <v>175</v>
      </c>
      <c r="Z24" s="54"/>
      <c r="AA24" s="54" t="s">
        <v>49</v>
      </c>
      <c r="AB24" s="54"/>
      <c r="AC24" s="54" t="s">
        <v>135</v>
      </c>
      <c r="AD24" s="54"/>
      <c r="AE24" s="54" t="s">
        <v>50</v>
      </c>
      <c r="AF24" s="54"/>
      <c r="AG24" s="54" t="s">
        <v>51</v>
      </c>
      <c r="AH24" s="54"/>
      <c r="AI24" s="49"/>
    </row>
    <row r="25" spans="2:42" s="7" customFormat="1" ht="24.6" customHeight="1" x14ac:dyDescent="0.2">
      <c r="B25" s="49"/>
      <c r="C25" s="51" t="s">
        <v>212</v>
      </c>
      <c r="D25" s="51"/>
      <c r="E25" s="51"/>
      <c r="F25" s="51"/>
      <c r="G25" s="51"/>
      <c r="H25" s="95"/>
      <c r="I25" s="56" t="s">
        <v>86</v>
      </c>
      <c r="J25" s="125">
        <f>MONTH(L7)</f>
        <v>3</v>
      </c>
      <c r="K25" s="125"/>
      <c r="L25" s="125">
        <f>MONTH(N7)</f>
        <v>3</v>
      </c>
      <c r="M25" s="125"/>
      <c r="N25" s="125">
        <f>MONTH(P7)</f>
        <v>3</v>
      </c>
      <c r="O25" s="125"/>
      <c r="P25" s="125">
        <f>MONTH(R7)</f>
        <v>3</v>
      </c>
      <c r="Q25" s="125"/>
      <c r="R25" s="125">
        <f>MONTH(T7)</f>
        <v>3</v>
      </c>
      <c r="S25" s="49"/>
      <c r="T25" s="49"/>
      <c r="U25" s="49"/>
      <c r="V25" s="20"/>
      <c r="W25" s="20"/>
      <c r="X25" s="20"/>
      <c r="Y25" s="57">
        <f>DATE(YEAR(AA25),MONTH(AA25)-11,0)</f>
        <v>43921</v>
      </c>
      <c r="Z25" s="57"/>
      <c r="AA25" s="57">
        <f>DATE(YEAR(AC25),MONTH(AC25)-11,0)</f>
        <v>44286</v>
      </c>
      <c r="AB25" s="57"/>
      <c r="AC25" s="57">
        <f>DATE(YEAR(AE25),MONTH(AE25)-11,0)</f>
        <v>44651</v>
      </c>
      <c r="AD25" s="57"/>
      <c r="AE25" s="57">
        <f>DATE(YEAR(AG25),MONTH(AG25)-11,0)</f>
        <v>45016</v>
      </c>
      <c r="AF25" s="57"/>
      <c r="AG25" s="57">
        <f>IFERROR(IF(DATE(YEAR(F2),LEFT(F22,2)+1,0)&lt;=F2,DATE(YEAR(F2),LEFT(F22,2)+1,0),DATE(YEAR(F2),LEFT(F22,2)-11,0)),"NA")</f>
        <v>45382</v>
      </c>
      <c r="AH25" s="57"/>
      <c r="AI25" s="49"/>
    </row>
    <row r="26" spans="2:42" s="7" customFormat="1" ht="24.6" customHeight="1" x14ac:dyDescent="0.2">
      <c r="B26" s="49"/>
      <c r="C26" s="53" t="s">
        <v>52</v>
      </c>
      <c r="D26" s="13"/>
      <c r="E26" s="58"/>
      <c r="F26" s="88">
        <f>[1]!S_SHARE_TOTAL(D2,F12,10000)</f>
        <v>2037423.804</v>
      </c>
      <c r="G26" s="49"/>
      <c r="H26" s="88"/>
      <c r="I26" s="53" t="s">
        <v>23</v>
      </c>
      <c r="J26" s="58">
        <f>IFERROR(SUM(J$25*L9/12,((12-J$25)/12)*N9),"NA")</f>
        <v>42.740837436795665</v>
      </c>
      <c r="K26" s="58"/>
      <c r="L26" s="58">
        <f t="shared" ref="L26:L36" si="0">IFERROR(SUM(L$25*N9/12,((12-L$25)/12)*P9),"NA")</f>
        <v>65.59018253522369</v>
      </c>
      <c r="M26" s="58"/>
      <c r="N26" s="58" t="str">
        <f t="shared" ref="N26:N36" si="1">IFERROR(SUM(N$25*P9/12,((12-N$25)/12)*R9),"NA")</f>
        <v>NA</v>
      </c>
      <c r="O26" s="58"/>
      <c r="P26" s="58" t="str">
        <f t="shared" ref="P26:P36" si="2">IFERROR(SUM(P$25*R9/12,((12-P$25)/12)*T9),"NA")</f>
        <v>NA</v>
      </c>
      <c r="Q26" s="58"/>
      <c r="R26" s="58" t="str">
        <f t="shared" ref="R26:R36" si="3">IFERROR(SUM(R$25*T9/12,((12-R$25)/12)*V9),"NA")</f>
        <v>NA</v>
      </c>
      <c r="S26" s="58"/>
      <c r="T26" s="49"/>
      <c r="U26" s="49"/>
      <c r="V26" s="53" t="s">
        <v>174</v>
      </c>
      <c r="W26" s="13"/>
      <c r="X26" s="13"/>
      <c r="Y26" s="59"/>
      <c r="Z26" s="58"/>
      <c r="AA26" s="59"/>
      <c r="AB26" s="58"/>
      <c r="AC26" s="59"/>
      <c r="AD26" s="58"/>
      <c r="AE26" s="59"/>
      <c r="AF26" s="58"/>
      <c r="AG26" s="59"/>
      <c r="AH26" s="58"/>
      <c r="AI26" s="49"/>
      <c r="AN26" s="141"/>
    </row>
    <row r="27" spans="2:42" s="7" customFormat="1" ht="24.6" customHeight="1" x14ac:dyDescent="0.2">
      <c r="B27" s="49"/>
      <c r="C27" s="20"/>
      <c r="D27" s="20" t="s">
        <v>54</v>
      </c>
      <c r="E27" s="64"/>
      <c r="F27" s="89"/>
      <c r="G27" s="70"/>
      <c r="H27" s="88"/>
      <c r="I27" s="56" t="s">
        <v>26</v>
      </c>
      <c r="J27" s="64">
        <f>IFERROR(SUM(J$25*L10/12,((12-J$25)/12)*N10),"NA")</f>
        <v>4.6223437654912587</v>
      </c>
      <c r="K27" s="63"/>
      <c r="L27" s="64">
        <f t="shared" si="0"/>
        <v>6.8633299183713943</v>
      </c>
      <c r="M27" s="63"/>
      <c r="N27" s="64" t="str">
        <f t="shared" si="1"/>
        <v>NA</v>
      </c>
      <c r="O27" s="63"/>
      <c r="P27" s="64" t="str">
        <f t="shared" si="2"/>
        <v>NA</v>
      </c>
      <c r="Q27" s="63"/>
      <c r="R27" s="64" t="str">
        <f t="shared" si="3"/>
        <v>NA</v>
      </c>
      <c r="S27" s="49"/>
      <c r="T27" s="49"/>
      <c r="U27" s="49"/>
      <c r="V27" s="20"/>
      <c r="W27" s="20" t="s">
        <v>55</v>
      </c>
      <c r="X27" s="20"/>
      <c r="Y27" s="64">
        <f>[1]!hks_stm_bs($D2,"74",DATE(YEAR(Y25),12,31),1,"Cur="&amp;$F$14,100000000)</f>
        <v>14369.979205428477</v>
      </c>
      <c r="Z27" s="63"/>
      <c r="AA27" s="64">
        <f>[1]!hks_stm_bs($D2,"74",DATE(YEAR(AA25),12,31),1,"Cur="&amp;$F$14,100000000)</f>
        <v>19998.319884521639</v>
      </c>
      <c r="AB27" s="63"/>
      <c r="AC27" s="64">
        <f>[1]!hks_stm_bs($D2,"74",DATE(YEAR(AC25),12,31),1,"Cur="&amp;$F$14,100000000)</f>
        <v>20906.684257900641</v>
      </c>
      <c r="AD27" s="63"/>
      <c r="AE27" s="64">
        <f>[1]!hks_stm_bs($D2,"74",DATE(YEAR(AE25),12,31),1,"Cur="&amp;$F$14,100000000)</f>
        <v>20025.405238688159</v>
      </c>
      <c r="AF27" s="63"/>
      <c r="AG27" s="64">
        <f>[1]!hks_stm_bs($D2,"74",DATE(YEAR(AG25),12,31),1,"Cur="&amp;$F$14,100000000)</f>
        <v>0</v>
      </c>
      <c r="AH27" s="63"/>
      <c r="AI27" s="49"/>
    </row>
    <row r="28" spans="2:42" s="7" customFormat="1" ht="24.6" customHeight="1" x14ac:dyDescent="0.2">
      <c r="B28" s="49"/>
      <c r="C28" s="13"/>
      <c r="D28" s="13" t="s">
        <v>173</v>
      </c>
      <c r="E28" s="59" t="s">
        <v>12</v>
      </c>
      <c r="F28" s="88"/>
      <c r="G28" s="49"/>
      <c r="H28" s="88"/>
      <c r="I28" s="53" t="s">
        <v>27</v>
      </c>
      <c r="J28" s="59">
        <f t="shared" ref="J28:J36" si="4">IFERROR(SUM(J$25*L11/12,((12-J$25)/12)*N11),"NA")</f>
        <v>0.6861594897385902</v>
      </c>
      <c r="K28" s="58"/>
      <c r="L28" s="59">
        <f t="shared" si="0"/>
        <v>0.99716888639192769</v>
      </c>
      <c r="M28" s="58"/>
      <c r="N28" s="59" t="str">
        <f t="shared" si="1"/>
        <v>NA</v>
      </c>
      <c r="O28" s="58"/>
      <c r="P28" s="59" t="str">
        <f t="shared" si="2"/>
        <v>NA</v>
      </c>
      <c r="Q28" s="58"/>
      <c r="R28" s="59" t="str">
        <f t="shared" si="3"/>
        <v>NA</v>
      </c>
      <c r="S28" s="49"/>
      <c r="T28" s="49"/>
      <c r="U28" s="49"/>
      <c r="V28" s="13"/>
      <c r="W28" s="13" t="s">
        <v>120</v>
      </c>
      <c r="X28" s="13"/>
      <c r="Y28" s="59"/>
      <c r="Z28" s="58"/>
      <c r="AA28" s="59">
        <f>IF([1]!hks_stm_bs($D2,"1070",DATE(IF(MONTH(AA25)&gt;=6,YEAR(AA25)-1,YEAR(AA25)-2),12,31),1,"Cur="&amp;$F$14,100000000)=0,"NA",[1]!hks_stm_bs($D2,"1070",DATE(IF(MONTH(AA25)&gt;=6,YEAR(AA25)-1,YEAR(AA25)-2),12,31),1,"Cur="&amp;$F$14,100000000))</f>
        <v>3884.5288473868904</v>
      </c>
      <c r="AB28" s="58"/>
      <c r="AC28" s="59">
        <f>IF([1]!hks_stm_bs($D2,"1070",DATE(IF(MONTH(AC25)&gt;=6,YEAR(AC25)-1,YEAR(AC25)-2),12,31),1,"Cur="&amp;$F$14,100000000)=0,"NA",[1]!hks_stm_bs($D2,"1070",DATE(IF(MONTH(AC25)&gt;=6,YEAR(AC25)-1,YEAR(AC25)-2),12,31),1,"Cur="&amp;$F$14,100000000))</f>
        <v>3696.2788661486265</v>
      </c>
      <c r="AD28" s="58"/>
      <c r="AE28" s="59">
        <f>IF([1]!hks_stm_bs($D2,"1070",DATE(IF(MONTH(AE25)&gt;=6,YEAR(AE25)-1,YEAR(AE25)-2),12,31),1,"Cur="&amp;$F$14,100000000)=0,"NA",[1]!hks_stm_bs($D2,"1070",DATE(IF(MONTH(AE25)&gt;=6,YEAR(AE25)-1,YEAR(AE25)-2),12,31),1,"Cur="&amp;$F$14,100000000))</f>
        <v>5154.4523060176525</v>
      </c>
      <c r="AF28" s="58"/>
      <c r="AG28" s="59">
        <f>IF([1]!hks_stm_bs($D2,"1070",DATE(IF(MONTH(AG25)&gt;=6,YEAR(AG25)-1,YEAR(AG25)-2),12,31),1,"Cur="&amp;$F$14,100000000)=0,"NA",[1]!hks_stm_bs($D2,"1070",DATE(IF(MONTH(AG25)&gt;=6,YEAR(AG25)-1,YEAR(AG25)-2),12,31),1,"Cur="&amp;$F$14,100000000))</f>
        <v>5016.7692136965024</v>
      </c>
      <c r="AH28" s="58"/>
      <c r="AI28" s="49"/>
    </row>
    <row r="29" spans="2:42" s="7" customFormat="1" ht="24.6" customHeight="1" x14ac:dyDescent="0.2">
      <c r="B29" s="49"/>
      <c r="C29" s="20"/>
      <c r="D29" s="20" t="s">
        <v>56</v>
      </c>
      <c r="E29" s="64"/>
      <c r="F29" s="89"/>
      <c r="G29" s="70"/>
      <c r="H29" s="88"/>
      <c r="I29" s="56" t="s">
        <v>30</v>
      </c>
      <c r="J29" s="90">
        <f t="shared" si="4"/>
        <v>7.7799000000000007E-2</v>
      </c>
      <c r="K29" s="90"/>
      <c r="L29" s="90">
        <f t="shared" si="0"/>
        <v>0.10462975000000001</v>
      </c>
      <c r="M29" s="90"/>
      <c r="N29" s="90" t="str">
        <f t="shared" si="1"/>
        <v>NA</v>
      </c>
      <c r="O29" s="90"/>
      <c r="P29" s="90" t="str">
        <f t="shared" si="2"/>
        <v>NA</v>
      </c>
      <c r="Q29" s="90"/>
      <c r="R29" s="90" t="str">
        <f t="shared" si="3"/>
        <v>NA</v>
      </c>
      <c r="S29" s="49"/>
      <c r="T29" s="49"/>
      <c r="U29" s="49"/>
      <c r="V29" s="20"/>
      <c r="W29" s="20" t="s">
        <v>59</v>
      </c>
      <c r="X29" s="20"/>
      <c r="Y29" s="64">
        <f>[1]!hks_stm_bs($D2,"140",DATE(YEAR(Y25),12,31),1,"Cur="&amp;$F$14,100000000)</f>
        <v>8367.1226879719816</v>
      </c>
      <c r="Z29" s="63"/>
      <c r="AA29" s="64">
        <f>[1]!hks_stm_bs($D2,"140",DATE(YEAR(AA25),12,31),1,"Cur="&amp;$F$14,100000000)</f>
        <v>11194.573936912846</v>
      </c>
      <c r="AB29" s="63"/>
      <c r="AC29" s="64">
        <f>[1]!hks_stm_bs($D2,"140",DATE(YEAR(AC25),12,31),1,"Cur="&amp;$F$14,100000000)</f>
        <v>11814.083673444224</v>
      </c>
      <c r="AD29" s="63"/>
      <c r="AE29" s="64">
        <f>[1]!hks_stm_bs($D2,"140",DATE(YEAR(AE25),12,31),1,"Cur="&amp;$F$14,100000000)</f>
        <v>11417.678573468433</v>
      </c>
      <c r="AF29" s="63"/>
      <c r="AG29" s="64">
        <f>[1]!hks_stm_bs($D2,"140",DATE(YEAR(AG25),12,31),1,"Cur="&amp;$F$14,100000000)</f>
        <v>0</v>
      </c>
      <c r="AH29" s="63"/>
      <c r="AI29" s="49"/>
    </row>
    <row r="30" spans="2:42" s="7" customFormat="1" ht="24.6" customHeight="1" x14ac:dyDescent="0.2">
      <c r="B30" s="49"/>
      <c r="C30" s="13"/>
      <c r="D30" s="13" t="s">
        <v>58</v>
      </c>
      <c r="E30" s="59"/>
      <c r="F30" s="88"/>
      <c r="G30" s="49"/>
      <c r="H30" s="88"/>
      <c r="I30" s="53" t="s">
        <v>32</v>
      </c>
      <c r="J30" s="79">
        <f>IFERROR(SUM(J$25*L13/12,((12-J$25)/12)*N13),"NA")</f>
        <v>4.8341999999999996E-2</v>
      </c>
      <c r="K30" s="79"/>
      <c r="L30" s="79">
        <f>IFERROR(SUM(L$25*N13/12,((12-L$25)/12)*P13),"NA")</f>
        <v>6.3674499999999995E-2</v>
      </c>
      <c r="M30" s="79"/>
      <c r="N30" s="79" t="str">
        <f t="shared" si="1"/>
        <v>NA</v>
      </c>
      <c r="O30" s="79"/>
      <c r="P30" s="79" t="str">
        <f t="shared" si="2"/>
        <v>NA</v>
      </c>
      <c r="Q30" s="79"/>
      <c r="R30" s="79" t="str">
        <f t="shared" si="3"/>
        <v>NA</v>
      </c>
      <c r="S30" s="49"/>
      <c r="T30" s="49"/>
      <c r="U30" s="49"/>
      <c r="V30" s="53" t="s">
        <v>114</v>
      </c>
      <c r="W30" s="13"/>
      <c r="X30" s="13"/>
      <c r="Y30" s="59"/>
      <c r="Z30" s="58"/>
      <c r="AA30" s="59"/>
      <c r="AB30" s="58"/>
      <c r="AC30" s="59"/>
      <c r="AD30" s="58"/>
      <c r="AE30" s="59"/>
      <c r="AF30" s="58"/>
      <c r="AG30" s="59"/>
      <c r="AH30" s="58"/>
      <c r="AI30" s="49"/>
    </row>
    <row r="31" spans="2:42" s="7" customFormat="1" ht="24.6" customHeight="1" x14ac:dyDescent="0.2">
      <c r="B31" s="49"/>
      <c r="C31" s="20"/>
      <c r="D31" s="20" t="s">
        <v>172</v>
      </c>
      <c r="E31" s="64"/>
      <c r="F31" s="89"/>
      <c r="G31" s="70"/>
      <c r="H31" s="88"/>
      <c r="I31" s="56" t="s">
        <v>34</v>
      </c>
      <c r="J31" s="64">
        <f t="shared" si="4"/>
        <v>1069.3967084173305</v>
      </c>
      <c r="K31" s="64"/>
      <c r="L31" s="64">
        <f t="shared" si="0"/>
        <v>1636.6053625918462</v>
      </c>
      <c r="M31" s="64"/>
      <c r="N31" s="64" t="str">
        <f t="shared" si="1"/>
        <v>NA</v>
      </c>
      <c r="O31" s="64"/>
      <c r="P31" s="64" t="str">
        <f t="shared" si="2"/>
        <v>NA</v>
      </c>
      <c r="Q31" s="64"/>
      <c r="R31" s="64" t="str">
        <f t="shared" si="3"/>
        <v>NA</v>
      </c>
      <c r="S31" s="49"/>
      <c r="T31" s="49"/>
      <c r="U31" s="49"/>
      <c r="V31" s="56"/>
      <c r="W31" s="20" t="s">
        <v>171</v>
      </c>
      <c r="X31" s="20"/>
      <c r="Y31" s="64">
        <f>IF([1]!hks_stm_is($D$2,"83",DATE(IF(MONTH(Y25)&gt;=6,YEAR(Y25),YEAR(Y25)-1),12,31),1,"Cur="&amp;$F$14,100000000)=0,"NA",[1]!hks_stm_is($D$2,"83",DATE(IF(MONTH(Y25)&gt;=6,YEAR(Y25),YEAR(Y25)-1),12,31),1,"Cur="&amp;$F$14,100000000))</f>
        <v>4393.1964699984856</v>
      </c>
      <c r="Z31" s="64"/>
      <c r="AA31" s="64">
        <f>IF([1]!hks_stm_is($D$2,"83",DATE(IF(MONTH(AA25)&gt;=6,YEAR(AA25),YEAR(AA25)-1),12,31),1,"Cur="&amp;$F$14,100000000)=0,"NA",[1]!hks_stm_is($D$2,"83",DATE(IF(MONTH(AA25)&gt;=6,YEAR(AA25),YEAR(AA25)-1),12,31),1,"Cur="&amp;$F$14,100000000))</f>
        <v>5578.5378132866372</v>
      </c>
      <c r="AB31" s="64"/>
      <c r="AC31" s="64">
        <f>IF([1]!hks_stm_is($D$2,"83",DATE(IF(MONTH(AC25)&gt;=6,YEAR(AC25),YEAR(AC25)-1),12,31),1,"Cur="&amp;$F$14,100000000)=0,"NA",[1]!hks_stm_is($D$2,"83",DATE(IF(MONTH(AC25)&gt;=6,YEAR(AC25),YEAR(AC25)-1),12,31),1,"Cur="&amp;$F$14,100000000))</f>
        <v>8486.8193757542776</v>
      </c>
      <c r="AD31" s="64"/>
      <c r="AE31" s="64">
        <f>IF([1]!hks_stm_is($D$2,"83",DATE(IF(MONTH(AE25)&gt;=6,YEAR(AE25),YEAR(AE25)-1),12,31),1,"Cur="&amp;$F$14,100000000)=0,"NA",[1]!hks_stm_is($D$2,"83",DATE(IF(MONTH(AE25)&gt;=6,YEAR(AE25),YEAR(AE25)-1),12,31),1,"Cur="&amp;$F$14,100000000))</f>
        <v>10518.513951739189</v>
      </c>
      <c r="AF31" s="64"/>
      <c r="AG31" s="64">
        <f>IF([1]!hks_stm_is($D$2,"83",DATE(IF(MONTH(AG25)&gt;=6,YEAR(AG25),YEAR(AG25)-1),12,31),1,"Cur="&amp;$F$14,100000000)=0,"NA",[1]!hks_stm_is($D$2,"83",DATE(IF(MONTH(AG25)&gt;=6,YEAR(AG25),YEAR(AG25)-1),12,31),1,"Cur="&amp;$F$14,100000000))</f>
        <v>9923.2016997749633</v>
      </c>
      <c r="AH31" s="64"/>
      <c r="AI31" s="49"/>
      <c r="AN31" s="141"/>
    </row>
    <row r="32" spans="2:42" s="7" customFormat="1" ht="24.6" customHeight="1" x14ac:dyDescent="0.2">
      <c r="B32" s="49"/>
      <c r="C32" s="13"/>
      <c r="D32" s="13" t="s">
        <v>60</v>
      </c>
      <c r="E32" s="58"/>
      <c r="F32" s="88"/>
      <c r="G32" s="49"/>
      <c r="H32" s="88"/>
      <c r="I32" s="53" t="s">
        <v>35</v>
      </c>
      <c r="J32" s="59">
        <f t="shared" si="4"/>
        <v>1537.3401302091941</v>
      </c>
      <c r="K32" s="59"/>
      <c r="L32" s="59">
        <f t="shared" si="0"/>
        <v>2263.7479758088502</v>
      </c>
      <c r="M32" s="59"/>
      <c r="N32" s="59" t="str">
        <f t="shared" si="1"/>
        <v>NA</v>
      </c>
      <c r="O32" s="59"/>
      <c r="P32" s="59" t="str">
        <f t="shared" si="2"/>
        <v>NA</v>
      </c>
      <c r="Q32" s="59"/>
      <c r="R32" s="59" t="str">
        <f t="shared" si="3"/>
        <v>NA</v>
      </c>
      <c r="S32" s="49"/>
      <c r="T32" s="49"/>
      <c r="U32" s="49"/>
      <c r="V32" s="13"/>
      <c r="W32" s="13" t="s">
        <v>170</v>
      </c>
      <c r="X32" s="13"/>
      <c r="Y32" s="59">
        <f>IF([1]!hks_stm_is($D2,"10",DATE(IF(MONTH(Y25)&gt;=6,YEAR(Y25),YEAR(Y25)-1),12,31),1,"Cur="&amp;$F$14,100000000)=0,"NA",[1]!hks_stm_is($D2,"10",DATE(IF(MONTH(Y25)&gt;=6,YEAR(Y25),YEAR(Y25)-1),12,31),1,"Cur="&amp;$F$14,100000000))</f>
        <v>2412.3503421583373</v>
      </c>
      <c r="Z32" s="59"/>
      <c r="AA32" s="59">
        <f>IF([1]!hks_stm_is($D2,"10",DATE(IF(MONTH(AA25)&gt;=6,YEAR(AA25),YEAR(AA25)-1),12,31),1,"Cur="&amp;$F$14,100000000)=0,"NA",[1]!hks_stm_is($D2,"10",DATE(IF(MONTH(AA25)&gt;=6,YEAR(AA25),YEAR(AA25)-1),12,31),1,"Cur="&amp;$F$14,100000000))</f>
        <v>3090.368830031739</v>
      </c>
      <c r="AB32" s="59"/>
      <c r="AC32" s="59">
        <f>IF([1]!hks_stm_is($D2,"10",DATE(IF(MONTH(AC25)&gt;=6,YEAR(AC25),YEAR(AC25)-1),12,31),1,"Cur="&amp;$F$14,100000000)=0,"NA",[1]!hks_stm_is($D2,"10",DATE(IF(MONTH(AC25)&gt;=6,YEAR(AC25),YEAR(AC25)-1),12,31),1,"Cur="&amp;$F$14,100000000))</f>
        <v>4983.6129581864216</v>
      </c>
      <c r="AD32" s="59"/>
      <c r="AE32" s="59">
        <f>IF([1]!hks_stm_is($D2,"10",DATE(IF(MONTH(AE25)&gt;=6,YEAR(AE25),YEAR(AE25)-1),12,31),1,"Cur="&amp;$F$14,100000000)=0,"NA",[1]!hks_stm_is($D2,"10",DATE(IF(MONTH(AE25)&gt;=6,YEAR(AE25),YEAR(AE25)-1),12,31),1,"Cur="&amp;$F$14,100000000))</f>
        <v>6651.5825945426077</v>
      </c>
      <c r="AF32" s="59"/>
      <c r="AG32" s="59">
        <f>IF([1]!hks_stm_is($D2,"10",DATE(IF(MONTH(AG25)&gt;=6,YEAR(AG25),YEAR(AG25)-1),12,31),1,"Cur="&amp;$F$14,100000000)=0,"NA",[1]!hks_stm_is($D2,"10",DATE(IF(MONTH(AG25)&gt;=6,YEAR(AG25),YEAR(AG25)-1),12,31),1,"Cur="&amp;$F$14,100000000))</f>
        <v>6279.286277287214</v>
      </c>
      <c r="AH32" s="59"/>
      <c r="AI32" s="49"/>
    </row>
    <row r="33" spans="2:35" s="7" customFormat="1" ht="24.6" customHeight="1" x14ac:dyDescent="0.2">
      <c r="B33" s="49"/>
      <c r="C33" s="56" t="s">
        <v>61</v>
      </c>
      <c r="D33" s="20"/>
      <c r="E33" s="64"/>
      <c r="F33" s="89">
        <f>SUM(F26,F27:H32)</f>
        <v>2037423.804</v>
      </c>
      <c r="G33" s="70"/>
      <c r="H33" s="88"/>
      <c r="I33" s="56" t="s">
        <v>36</v>
      </c>
      <c r="J33" s="64">
        <f t="shared" si="4"/>
        <v>8393.67832710929</v>
      </c>
      <c r="K33" s="64"/>
      <c r="L33" s="64">
        <f t="shared" si="0"/>
        <v>11787.958541260452</v>
      </c>
      <c r="M33" s="64"/>
      <c r="N33" s="64" t="str">
        <f t="shared" si="1"/>
        <v>NA</v>
      </c>
      <c r="O33" s="64"/>
      <c r="P33" s="64" t="str">
        <f t="shared" si="2"/>
        <v>NA</v>
      </c>
      <c r="Q33" s="64"/>
      <c r="R33" s="64" t="str">
        <f t="shared" si="3"/>
        <v>NA</v>
      </c>
      <c r="S33" s="49"/>
      <c r="T33" s="49"/>
      <c r="U33" s="49"/>
      <c r="V33" s="20"/>
      <c r="W33" s="20" t="s">
        <v>64</v>
      </c>
      <c r="X33" s="20"/>
      <c r="Y33" s="64">
        <f>IF([1]!hks_stm_is($D$2,"61",DATE(IF(MONTH(Y25)&gt;=6,YEAR(Y25),YEAR(Y25)-1),12,31),1,"Cur="&amp;$F$14,100000000)=0,"NA",[1]!hks_stm_is($D$2,"61",DATE(IF(MONTH(Y25)&gt;=6,YEAR(Y25),YEAR(Y25)-1),12,31),1,"Cur="&amp;$F$14,100000000))</f>
        <v>1024.5631215099268</v>
      </c>
      <c r="Z33" s="64"/>
      <c r="AA33" s="64">
        <f>IF([1]!hks_stm_is($D$2,"61",DATE(IF(MONTH(AA25)&gt;=6,YEAR(AA25),YEAR(AA25)-1),12,31),1,"Cur="&amp;$F$14,100000000)=0,"NA",[1]!hks_stm_is($D$2,"61",DATE(IF(MONTH(AA25)&gt;=6,YEAR(AA25),YEAR(AA25)-1),12,31),1,"Cur="&amp;$F$14,100000000))</f>
        <v>1635.4711612126521</v>
      </c>
      <c r="AB33" s="64"/>
      <c r="AC33" s="64">
        <f>IF([1]!hks_stm_is($D$2,"61",DATE(IF(MONTH(AC25)&gt;=6,YEAR(AC25),YEAR(AC25)-1),12,31),1,"Cur="&amp;$F$14,100000000)=0,"NA",[1]!hks_stm_is($D$2,"61",DATE(IF(MONTH(AC25)&gt;=6,YEAR(AC25),YEAR(AC25)-1),12,31),1,"Cur="&amp;$F$14,100000000))</f>
        <v>1781.6086514115334</v>
      </c>
      <c r="AD33" s="64"/>
      <c r="AE33" s="64">
        <f>IF([1]!hks_stm_is($D$2,"61",DATE(IF(MONTH(AE25)&gt;=6,YEAR(AE25),YEAR(AE25)-1),12,31),1,"Cur="&amp;$F$14,100000000)=0,"NA",[1]!hks_stm_is($D$2,"61",DATE(IF(MONTH(AE25)&gt;=6,YEAR(AE25),YEAR(AE25)-1),12,31),1,"Cur="&amp;$F$14,100000000))</f>
        <v>767.54910543643109</v>
      </c>
      <c r="AF33" s="64"/>
      <c r="AG33" s="64">
        <f>IF([1]!hks_stm_is($D$2,"61",DATE(IF(MONTH(AG25)&gt;=6,YEAR(AG25),YEAR(AG25)-1),12,31),1,"Cur="&amp;$F$14,100000000)=0,"NA",[1]!hks_stm_is($D$2,"61",DATE(IF(MONTH(AG25)&gt;=6,YEAR(AG25),YEAR(AG25)-1),12,31),1,"Cur="&amp;$F$14,100000000))</f>
        <v>831.41613643892583</v>
      </c>
      <c r="AH33" s="64"/>
      <c r="AI33" s="49"/>
    </row>
    <row r="34" spans="2:35" s="7" customFormat="1" ht="24.6" customHeight="1" x14ac:dyDescent="0.2">
      <c r="B34" s="49"/>
      <c r="C34" s="53" t="s">
        <v>62</v>
      </c>
      <c r="D34" s="13"/>
      <c r="E34" s="59"/>
      <c r="F34" s="88">
        <f>[1]!hks_val_ev($D2,$F2,"Cur="&amp;$F$14,100000000)</f>
        <v>14873.193769199999</v>
      </c>
      <c r="G34" s="49"/>
      <c r="H34" s="88"/>
      <c r="I34" s="53" t="s">
        <v>38</v>
      </c>
      <c r="J34" s="59">
        <f t="shared" si="4"/>
        <v>1075.7625830331472</v>
      </c>
      <c r="K34" s="54"/>
      <c r="L34" s="59">
        <f t="shared" si="0"/>
        <v>1645.8243828282498</v>
      </c>
      <c r="M34" s="54"/>
      <c r="N34" s="59" t="str">
        <f t="shared" si="1"/>
        <v>NA</v>
      </c>
      <c r="O34" s="54"/>
      <c r="P34" s="59" t="str">
        <f t="shared" si="2"/>
        <v>NA</v>
      </c>
      <c r="Q34" s="54"/>
      <c r="R34" s="59" t="str">
        <f t="shared" si="3"/>
        <v>NA</v>
      </c>
      <c r="S34" s="49"/>
      <c r="T34" s="49"/>
      <c r="U34" s="49"/>
      <c r="V34" s="53" t="s">
        <v>65</v>
      </c>
      <c r="W34" s="13"/>
      <c r="X34" s="13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49"/>
    </row>
    <row r="35" spans="2:35" s="7" customFormat="1" ht="24.6" customHeight="1" x14ac:dyDescent="0.2">
      <c r="B35" s="49"/>
      <c r="C35" s="56" t="s">
        <v>63</v>
      </c>
      <c r="D35" s="20"/>
      <c r="E35" s="70"/>
      <c r="F35" s="89">
        <f>F13*F33/10000</f>
        <v>14873.193769200001</v>
      </c>
      <c r="G35" s="20"/>
      <c r="H35" s="88"/>
      <c r="I35" s="56" t="s">
        <v>39</v>
      </c>
      <c r="J35" s="64">
        <f t="shared" si="4"/>
        <v>941.75913852903273</v>
      </c>
      <c r="K35" s="57"/>
      <c r="L35" s="64">
        <f t="shared" si="0"/>
        <v>1398.345833997048</v>
      </c>
      <c r="M35" s="57"/>
      <c r="N35" s="64" t="str">
        <f t="shared" si="1"/>
        <v>NA</v>
      </c>
      <c r="O35" s="57"/>
      <c r="P35" s="64" t="str">
        <f t="shared" si="2"/>
        <v>NA</v>
      </c>
      <c r="Q35" s="57"/>
      <c r="R35" s="64" t="str">
        <f t="shared" si="3"/>
        <v>NA</v>
      </c>
      <c r="S35" s="49"/>
      <c r="T35" s="49"/>
      <c r="U35" s="49"/>
      <c r="V35" s="56"/>
      <c r="W35" s="20" t="s">
        <v>66</v>
      </c>
      <c r="X35" s="20"/>
      <c r="Y35" s="64">
        <f>IF([1]!hks_fa_bps($D2,DATE(IF(MONTH(Y25)&gt;=6,YEAR(Y25)-1,YEAR(Y25)-2),12,31),"Cur="&amp;$F$14)=0,"NA",[1]!hks_fa_bps($D2,DATE(IF(MONTH(Y25)&gt;=6,YEAR(Y25)-1,YEAR(Y25)-2),12,31),"Cur="&amp;$F$14))</f>
        <v>178.97436730109206</v>
      </c>
      <c r="Z35" s="64"/>
      <c r="AA35" s="64">
        <f>IF([1]!hks_fa_bps($D2,DATE(IF(MONTH(AA25)&gt;=6,YEAR(AA25)-1,YEAR(AA25)-2),12,31),"Cur="&amp;$F$14)=0,"NA",[1]!hks_fa_bps($D2,DATE(IF(MONTH(AA25)&gt;=6,YEAR(AA25)-1,YEAR(AA25)-2),12,31),"Cur="&amp;$F$14))</f>
        <v>224.89472932769095</v>
      </c>
      <c r="AB35" s="64"/>
      <c r="AC35" s="64">
        <f>IF([1]!hks_fa_bps($D2,DATE(IF(MONTH(AC25)&gt;=6,YEAR(AC25)-1,YEAR(AC25)-2),12,31),"Cur="&amp;$F$14)=0,"NA",[1]!hks_fa_bps($D2,DATE(IF(MONTH(AC25)&gt;=6,YEAR(AC25)-1,YEAR(AC25)-2),12,31),"Cur="&amp;$F$14))</f>
        <v>38.931344949108023</v>
      </c>
      <c r="AD35" s="64"/>
      <c r="AE35" s="64">
        <f>IF([1]!hks_fa_bps($D2,DATE(IF(MONTH(AE25)&gt;=6,YEAR(AE25)-1,YEAR(AE25)-2),12,31),"Cur="&amp;$F$14)=0,"NA",[1]!hks_fa_bps($D2,DATE(IF(MONTH(AE25)&gt;=6,YEAR(AE25)-1,YEAR(AE25)-2),12,31),"Cur="&amp;$F$14))</f>
        <v>51.614183984476675</v>
      </c>
      <c r="AF35" s="64"/>
      <c r="AG35" s="64">
        <f>IF([1]!hks_fa_bps($D2,DATE(IF(MONTH(AG25)&gt;=6,YEAR(AG25)-1,YEAR(AG25)-2),12,31),"Cur="&amp;$F$14)=0,"NA",[1]!hks_fa_bps($D2,DATE(IF(MONTH(AG25)&gt;=6,YEAR(AG25)-1,YEAR(AG25)-2),12,31),"Cur="&amp;$F$14))</f>
        <v>54.474640275705596</v>
      </c>
      <c r="AH35" s="64"/>
      <c r="AI35" s="49"/>
    </row>
    <row r="36" spans="2:35" s="7" customFormat="1" ht="24.6" customHeight="1" thickBot="1" x14ac:dyDescent="0.25">
      <c r="B36" s="49"/>
      <c r="C36" s="76" t="s">
        <v>214</v>
      </c>
      <c r="D36" s="77"/>
      <c r="E36" s="77"/>
      <c r="F36" s="170">
        <f>[1]!hks_val_ev1(D2,F2,"Cur="&amp;$F$14,100000000)</f>
        <v>16704.161966767919</v>
      </c>
      <c r="G36" s="77"/>
      <c r="H36" s="49"/>
      <c r="I36" s="76" t="s">
        <v>42</v>
      </c>
      <c r="J36" s="77">
        <f t="shared" si="4"/>
        <v>1156.6520704583763</v>
      </c>
      <c r="K36" s="126"/>
      <c r="L36" s="77">
        <f t="shared" si="0"/>
        <v>1703.3516513792044</v>
      </c>
      <c r="M36" s="126"/>
      <c r="N36" s="77" t="str">
        <f t="shared" si="1"/>
        <v>NA</v>
      </c>
      <c r="O36" s="126"/>
      <c r="P36" s="77" t="str">
        <f t="shared" si="2"/>
        <v>NA</v>
      </c>
      <c r="Q36" s="126"/>
      <c r="R36" s="77" t="str">
        <f t="shared" si="3"/>
        <v>NA</v>
      </c>
      <c r="S36" s="49"/>
      <c r="T36" s="49"/>
      <c r="U36" s="49"/>
      <c r="V36" s="13"/>
      <c r="W36" s="13" t="s">
        <v>68</v>
      </c>
      <c r="X36" s="13"/>
      <c r="Y36" s="59" t="str">
        <f>IF(OR([1]!hks_fa_eps_basic($D2,DATE(IF(MONTH(Y25)&gt;=6,YEAR(Y25)-1,YEAR(Y25)-2),12,31),"Cur="&amp;$F$14)&gt;=10,[1]!hks_fa_eps_basic($D2,DATE(IF(MONTH(Y25)&gt;=6,YEAR(Y25)-1,YEAR(Y25)-2),12,31),"Cur="&amp;$F$14)=0),"NA",[1]!hks_fa_eps_basic($D2,DATE(IF(MONTH(Y25)&gt;=6,YEAR(Y25)-1,YEAR(Y25)-2),12,31),"Cur="&amp;$F$14))</f>
        <v>NA</v>
      </c>
      <c r="Z36" s="54"/>
      <c r="AA36" s="59" t="str">
        <f>IF(OR([1]!hks_fa_eps_basic($D2,DATE(IF(MONTH(AA25)&gt;=6,YEAR(AA25)-1,YEAR(AA25)-2),12,31),"Cur="&amp;$F$14)&gt;=10,[1]!hks_fa_eps_basic($D2,DATE(IF(MONTH(AA25)&gt;=6,YEAR(AA25)-1,YEAR(AA25)-2),12,31),"Cur="&amp;$F$14)=0),"NA",[1]!hks_fa_eps_basic($D2,DATE(IF(MONTH(AA25)&gt;=6,YEAR(AA25)-1,YEAR(AA25)-2),12,31),"Cur="&amp;$F$14))</f>
        <v>NA</v>
      </c>
      <c r="AB36" s="54"/>
      <c r="AC36" s="59">
        <f>IF(OR([1]!hks_fa_eps_basic($D2,DATE(IF(MONTH(AC25)&gt;=6,YEAR(AC25)-1,YEAR(AC25)-2),12,31),"Cur="&amp;$F$14)&gt;=10,[1]!hks_fa_eps_basic($D2,DATE(IF(MONTH(AC25)&gt;=6,YEAR(AC25)-1,YEAR(AC25)-2),12,31),"Cur="&amp;$F$14)=0),"NA",[1]!hks_fa_eps_basic($D2,DATE(IF(MONTH(AC25)&gt;=6,YEAR(AC25)-1,YEAR(AC25)-2),12,31),"Cur="&amp;$F$14))</f>
        <v>7.770603042574149</v>
      </c>
      <c r="AD36" s="54"/>
      <c r="AE36" s="59">
        <f>IF(OR([1]!hks_fa_eps_basic($D2,DATE(IF(MONTH(AE25)&gt;=6,YEAR(AE25)-1,YEAR(AE25)-2),12,31),"Cur="&amp;$F$14)&gt;=10,[1]!hks_fa_eps_basic($D2,DATE(IF(MONTH(AE25)&gt;=6,YEAR(AE25)-1,YEAR(AE25)-2),12,31),"Cur="&amp;$F$14)=0),"NA",[1]!hks_fa_eps_basic($D2,DATE(IF(MONTH(AE25)&gt;=6,YEAR(AE25)-1,YEAR(AE25)-2),12,31),"Cur="&amp;$F$14))</f>
        <v>8.2231004046475302</v>
      </c>
      <c r="AF36" s="54"/>
      <c r="AG36" s="59">
        <f>IF(OR([1]!hks_fa_eps_basic($D2,DATE(IF(MONTH(AG25)&gt;=6,YEAR(AG25)-1,YEAR(AG25)-2),12,31),"Cur="&amp;$F$14)&gt;=10,[1]!hks_fa_eps_basic($D2,DATE(IF(MONTH(AG25)&gt;=6,YEAR(AG25)-1,YEAR(AG25)-2),12,31),"Cur="&amp;$F$14)=0),"NA",[1]!hks_fa_eps_basic($D2,DATE(IF(MONTH(AG25)&gt;=6,YEAR(AG25)-1,YEAR(AG25)-2),12,31),"Cur="&amp;$F$14))</f>
        <v>3.5387973021294439</v>
      </c>
      <c r="AH36" s="54"/>
      <c r="AI36" s="49"/>
    </row>
    <row r="37" spans="2:35" s="7" customFormat="1" ht="24.6" customHeight="1" x14ac:dyDescent="0.2">
      <c r="B37" s="49"/>
      <c r="C37" s="49"/>
      <c r="D37" s="49"/>
      <c r="E37" s="49"/>
      <c r="F37" s="49"/>
      <c r="G37" s="49"/>
      <c r="H37" s="112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20"/>
      <c r="W37" s="20" t="s">
        <v>69</v>
      </c>
      <c r="X37" s="20"/>
      <c r="Y37" s="64" t="str">
        <f>IF([1]!hks_fa_dps($D$2,IF(MONTH(Y25)&gt;=6,YEAR(Y25),YEAR(Y25)-1),"Cur="&amp;$F$14)=0,"NA",[1]!hks_fa_dps($D$2,IF(MONTH(Y25)&gt;=6,YEAR(Y25),YEAR(Y25)-1),"Cur="&amp;$F$14))</f>
        <v>NA</v>
      </c>
      <c r="Z37" s="57"/>
      <c r="AA37" s="64" t="str">
        <f>IF([1]!hks_fa_dps($D$2,IF(MONTH(AA25)&gt;=6,YEAR(AA25),YEAR(AA25)-1),"Cur="&amp;$F$14)=0,"NA",[1]!hks_fa_dps($D$2,IF(MONTH(AA25)&gt;=6,YEAR(AA25),YEAR(AA25)-1),"Cur="&amp;$F$14))</f>
        <v>NA</v>
      </c>
      <c r="AB37" s="57"/>
      <c r="AC37" s="64" t="str">
        <f>IF([1]!hks_fa_dps($D$2,IF(MONTH(AC25)&gt;=6,YEAR(AC25),YEAR(AC25)-1),"Cur="&amp;$F$14)=0,"NA",[1]!hks_fa_dps($D$2,IF(MONTH(AC25)&gt;=6,YEAR(AC25),YEAR(AC25)-1),"Cur="&amp;$F$14))</f>
        <v>NA</v>
      </c>
      <c r="AD37" s="57"/>
      <c r="AE37" s="64" t="str">
        <f>IF([1]!hks_fa_dps($D$2,IF(MONTH(AE25)&gt;=6,YEAR(AE25),YEAR(AE25)-1),"Cur="&amp;$F$14)=0,"NA",[1]!hks_fa_dps($D$2,IF(MONTH(AE25)&gt;=6,YEAR(AE25),YEAR(AE25)-1),"Cur="&amp;$F$14))</f>
        <v>NA</v>
      </c>
      <c r="AF37" s="57"/>
      <c r="AG37" s="64">
        <f>IF([1]!hks_fa_dps($D$2,IF(MONTH(AG25)&gt;=6,YEAR(AG25),YEAR(AG25)-1),"Cur="&amp;$F$14)=0,"NA",[1]!hks_fa_dps($D$2,IF(MONTH(AG25)&gt;=6,YEAR(AG25),YEAR(AG25)-1),"Cur="&amp;$F$14))</f>
        <v>0.97481840459785274</v>
      </c>
      <c r="AH37" s="57"/>
      <c r="AI37" s="49"/>
    </row>
    <row r="38" spans="2:35" s="7" customFormat="1" ht="24.6" customHeight="1" thickBot="1" x14ac:dyDescent="0.25">
      <c r="B38" s="49"/>
      <c r="C38" s="51" t="s">
        <v>105</v>
      </c>
      <c r="D38" s="51"/>
      <c r="E38" s="51"/>
      <c r="F38" s="51"/>
      <c r="G38" s="51"/>
      <c r="H38" s="120"/>
      <c r="I38" s="51" t="s">
        <v>205</v>
      </c>
      <c r="J38" s="51"/>
      <c r="K38" s="51"/>
      <c r="L38" s="51"/>
      <c r="M38" s="51"/>
      <c r="N38" s="51"/>
      <c r="O38" s="51"/>
      <c r="P38" s="51"/>
      <c r="Q38" s="49"/>
      <c r="R38" s="49"/>
      <c r="S38" s="49"/>
      <c r="T38" s="49"/>
      <c r="U38" s="49"/>
      <c r="V38" s="83"/>
      <c r="W38" s="83" t="s">
        <v>71</v>
      </c>
      <c r="X38" s="83"/>
      <c r="Y38" s="77" t="str">
        <f>IFERROR(ROUND(Y37/Y36*100,1)/100,"NA")</f>
        <v>NA</v>
      </c>
      <c r="Z38" s="126"/>
      <c r="AA38" s="77" t="str">
        <f>IFERROR(ROUND(AA37/AA36*100,1)/100,"NA")</f>
        <v>NA</v>
      </c>
      <c r="AB38" s="126"/>
      <c r="AC38" s="77" t="str">
        <f>IFERROR(ROUND(AC37/AC36*100,1)/100,"NA")</f>
        <v>NA</v>
      </c>
      <c r="AD38" s="126"/>
      <c r="AE38" s="77" t="str">
        <f>IFERROR(ROUND(AE37/AE36*100,1)/100,"NA")</f>
        <v>NA</v>
      </c>
      <c r="AF38" s="126"/>
      <c r="AG38" s="77">
        <f>IFERROR(ROUND(AG37/AG36*100,1)/100,"NA")</f>
        <v>0.27500000000000002</v>
      </c>
      <c r="AH38" s="126"/>
      <c r="AI38" s="49"/>
    </row>
    <row r="39" spans="2:35" s="7" customFormat="1" ht="24.6" customHeight="1" x14ac:dyDescent="0.2">
      <c r="B39" s="49"/>
      <c r="C39" s="53" t="s">
        <v>67</v>
      </c>
      <c r="D39" s="13"/>
      <c r="E39" s="58"/>
      <c r="F39" s="97" t="str">
        <f>IFERROR(POWER(P9/L9,1/2)-1,"")</f>
        <v/>
      </c>
      <c r="G39" s="49"/>
      <c r="H39" s="120"/>
      <c r="I39" s="13"/>
      <c r="J39" s="54" t="s">
        <v>16</v>
      </c>
      <c r="K39" s="54"/>
      <c r="L39" s="54" t="s">
        <v>18</v>
      </c>
      <c r="M39" s="54"/>
      <c r="N39" s="54" t="s">
        <v>19</v>
      </c>
      <c r="O39" s="54"/>
      <c r="P39" s="54" t="s">
        <v>20</v>
      </c>
      <c r="Q39" s="49"/>
      <c r="R39" s="49"/>
      <c r="S39" s="49"/>
      <c r="T39" s="155"/>
      <c r="U39" s="49"/>
      <c r="V39" s="49"/>
      <c r="W39" s="49"/>
      <c r="X39" s="49"/>
      <c r="Y39" s="49"/>
      <c r="Z39" s="58"/>
      <c r="AA39" s="49"/>
      <c r="AB39" s="58"/>
      <c r="AC39" s="49"/>
      <c r="AD39" s="58"/>
      <c r="AE39" s="49"/>
      <c r="AF39" s="58"/>
      <c r="AG39" s="49"/>
      <c r="AH39" s="58"/>
      <c r="AI39" s="49"/>
    </row>
    <row r="40" spans="2:35" s="7" customFormat="1" ht="24.6" customHeight="1" x14ac:dyDescent="0.2">
      <c r="B40" s="49"/>
      <c r="C40" s="56" t="s">
        <v>169</v>
      </c>
      <c r="D40" s="20"/>
      <c r="E40" s="64"/>
      <c r="F40" s="75" t="str">
        <f>IFERROR(POWER(P16/L16,1/2)-1,"")</f>
        <v/>
      </c>
      <c r="G40" s="70"/>
      <c r="H40" s="120"/>
      <c r="I40" s="20"/>
      <c r="J40" s="57" t="str">
        <f>YEAR(L7)&amp;"A"</f>
        <v>2024A</v>
      </c>
      <c r="K40" s="57"/>
      <c r="L40" s="57" t="str">
        <f>YEAR(N7)&amp;"E"</f>
        <v>2025E</v>
      </c>
      <c r="M40" s="57"/>
      <c r="N40" s="57" t="str">
        <f>YEAR(P7)&amp;"E"</f>
        <v>2026E</v>
      </c>
      <c r="O40" s="57"/>
      <c r="P40" s="57" t="str">
        <f>YEAR(R7)&amp;"E"</f>
        <v>2027E</v>
      </c>
      <c r="Q40" s="49"/>
      <c r="R40" s="49"/>
      <c r="S40" s="49"/>
      <c r="T40" s="155"/>
      <c r="U40" s="49"/>
      <c r="V40" s="51" t="s">
        <v>74</v>
      </c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49"/>
    </row>
    <row r="41" spans="2:35" s="7" customFormat="1" ht="24.6" customHeight="1" x14ac:dyDescent="0.2">
      <c r="B41" s="49"/>
      <c r="C41" s="53" t="s">
        <v>70</v>
      </c>
      <c r="D41" s="13"/>
      <c r="E41" s="59"/>
      <c r="F41" s="97" t="str">
        <f>IFERROR(POWER(P15/L15,1/2)-1,"")</f>
        <v/>
      </c>
      <c r="G41" s="49"/>
      <c r="H41" s="120"/>
      <c r="I41" s="53" t="s">
        <v>46</v>
      </c>
      <c r="J41" s="86">
        <f>IFERROR(ROUND($F$13/HLOOKUP(J23,$I$23:$P$36,5,0),1),"  NA")</f>
        <v>15.8</v>
      </c>
      <c r="K41" s="58"/>
      <c r="L41" s="86">
        <f>IFERROR(ROUND($F$13/HLOOKUP(L23,$I$23:$P$36,5,0),1),"  NA")</f>
        <v>10.6</v>
      </c>
      <c r="M41" s="58"/>
      <c r="N41" s="86" t="str">
        <f>IFERROR(ROUND($F$13/HLOOKUP(N23,$I$23:$P$36,5,0),1),"  NA")</f>
        <v xml:space="preserve">  NA</v>
      </c>
      <c r="O41" s="58"/>
      <c r="P41" s="86" t="str">
        <f>IFERROR(ROUND($F$13/HLOOKUP(P23,$I$23:$P$36,5,0),1),"  NA")</f>
        <v xml:space="preserve">  NA</v>
      </c>
      <c r="Q41" s="49"/>
      <c r="R41" s="157"/>
      <c r="S41" s="49"/>
      <c r="T41" s="49"/>
      <c r="U41" s="49"/>
      <c r="V41" s="98" t="s">
        <v>3</v>
      </c>
      <c r="W41" s="98" t="s">
        <v>4</v>
      </c>
      <c r="X41" s="99" t="s">
        <v>76</v>
      </c>
      <c r="Y41" s="99" t="s">
        <v>168</v>
      </c>
      <c r="Z41" s="99"/>
      <c r="AA41" s="99" t="s">
        <v>5</v>
      </c>
      <c r="AB41" s="99"/>
      <c r="AC41" s="99" t="s">
        <v>77</v>
      </c>
      <c r="AD41" s="99"/>
      <c r="AE41" s="99" t="s">
        <v>167</v>
      </c>
      <c r="AF41" s="99"/>
      <c r="AG41" s="99" t="s">
        <v>166</v>
      </c>
      <c r="AH41" s="98"/>
      <c r="AI41" s="49"/>
    </row>
    <row r="42" spans="2:35" s="7" customFormat="1" ht="24.6" customHeight="1" x14ac:dyDescent="0.2">
      <c r="B42" s="49"/>
      <c r="C42" s="56" t="s">
        <v>72</v>
      </c>
      <c r="D42" s="20"/>
      <c r="E42" s="64"/>
      <c r="F42" s="75" t="str">
        <f>IFERROR(POWER(P18/L18,1/2)-1,"")</f>
        <v/>
      </c>
      <c r="G42" s="70"/>
      <c r="H42" s="49"/>
      <c r="I42" s="56" t="s">
        <v>48</v>
      </c>
      <c r="J42" s="87">
        <f>IFERROR(ROUND($F$13/HLOOKUP(J23,$I$23:$P$36,4,0),2),"  NA")</f>
        <v>1.71</v>
      </c>
      <c r="K42" s="63"/>
      <c r="L42" s="87">
        <f>IFERROR(ROUND($F$13/HLOOKUP(L23,$I$23:$P$36,4,0),2),"  NA")</f>
        <v>1.1100000000000001</v>
      </c>
      <c r="M42" s="63"/>
      <c r="N42" s="87" t="str">
        <f>IFERROR(ROUND($F$13/HLOOKUP(N23,$I$23:$P$36,4,0),2),"  NA")</f>
        <v xml:space="preserve">  NA</v>
      </c>
      <c r="O42" s="63"/>
      <c r="P42" s="87" t="str">
        <f>IFERROR(ROUND($F$13/HLOOKUP(P23,$I$23:$P$36,4,0),2),"  NA")</f>
        <v xml:space="preserve">  NA</v>
      </c>
      <c r="Q42" s="49"/>
      <c r="R42" s="155"/>
      <c r="S42" s="49"/>
      <c r="T42" s="49"/>
      <c r="U42" s="49"/>
      <c r="V42" s="100" t="str">
        <f>D2</f>
        <v>9988.HK</v>
      </c>
      <c r="W42" s="101" t="str">
        <f>[1]!S_Info_Name(V42)</f>
        <v>阿里巴巴-SW</v>
      </c>
      <c r="X42" s="65">
        <f>[1]!s_share_issuing_mkt(V42,Y42,10000)</f>
        <v>2037423.804</v>
      </c>
      <c r="Y42" s="102" t="str">
        <f>[1]!lastradeday_s(V42,F$2)</f>
        <v>2024-04-25</v>
      </c>
      <c r="Z42" s="102"/>
      <c r="AA42" s="71">
        <f>[1]!S_DQ_CLOSE(V42,Y42,1)</f>
        <v>73</v>
      </c>
      <c r="AB42" s="71"/>
      <c r="AC42" s="71" t="str">
        <f>[1]!hks_info_tradecur(V42)</f>
        <v>HKD</v>
      </c>
      <c r="AD42" s="71"/>
      <c r="AE42" s="71">
        <f>IF([1]!hks_info_tradecur(V42)="CNY",1,[1]!S_DQ_CLOSE([1]!hks_info_tradecur(V42)&amp;"CNY.EX",Y42,1))</f>
        <v>0.90742999999999996</v>
      </c>
      <c r="AF42" s="71"/>
      <c r="AG42" s="91">
        <f>X42*AA42*AE42/10000</f>
        <v>13496.382221985155</v>
      </c>
      <c r="AH42" s="100"/>
      <c r="AI42" s="49"/>
    </row>
    <row r="43" spans="2:35" s="7" customFormat="1" ht="24.6" customHeight="1" x14ac:dyDescent="0.2">
      <c r="B43" s="49"/>
      <c r="C43" s="53" t="s">
        <v>73</v>
      </c>
      <c r="D43" s="13"/>
      <c r="E43" s="59"/>
      <c r="F43" s="97" t="str">
        <f>IFERROR(POWER(P10/L10,1/2)-1,"")</f>
        <v/>
      </c>
      <c r="G43" s="49"/>
      <c r="H43" s="49"/>
      <c r="I43" s="53" t="s">
        <v>53</v>
      </c>
      <c r="J43" s="127">
        <f>IFERROR(HLOOKUP(J23,$I$23:$P$36,6,0)/$F$13,"NA")</f>
        <v>9.3994450649121947E-3</v>
      </c>
      <c r="K43" s="127"/>
      <c r="L43" s="127">
        <f>IFERROR(HLOOKUP(L23,$I$23:$P$36,6,0)/$F$13,"NA")</f>
        <v>1.3659847758793531E-2</v>
      </c>
      <c r="M43" s="127"/>
      <c r="N43" s="127" t="str">
        <f>IFERROR(HLOOKUP(N23,$I$23:$P$36,6,0)/$F$13,"NA")</f>
        <v>NA</v>
      </c>
      <c r="O43" s="58"/>
      <c r="P43" s="127" t="str">
        <f>IFERROR(HLOOKUP(P23,$I$23:$P$36,6,0)/$F$13,"NA")</f>
        <v>NA</v>
      </c>
      <c r="Q43" s="49"/>
      <c r="R43" s="49"/>
      <c r="S43" s="49"/>
      <c r="T43" s="49"/>
      <c r="U43" s="49"/>
      <c r="V43" s="103">
        <f>[1]!s_info_asharewindcode(D2)</f>
        <v>0</v>
      </c>
      <c r="W43" s="103">
        <f>[1]!S_Info_Name(V43)</f>
        <v>0</v>
      </c>
      <c r="X43" s="60">
        <f>[1]!s_share_issuing_mkt(V43,Y43,10000)</f>
        <v>0</v>
      </c>
      <c r="Y43" s="104">
        <f>[1]!lastradeday_s(V43,F$2)</f>
        <v>0</v>
      </c>
      <c r="Z43" s="104"/>
      <c r="AA43" s="73">
        <f>[1]!S_DQ_CLOSE(V43,Y43,1)</f>
        <v>0</v>
      </c>
      <c r="AB43" s="73"/>
      <c r="AC43" s="73">
        <f>[1]!hks_info_tradecur(V43)</f>
        <v>0</v>
      </c>
      <c r="AD43" s="73"/>
      <c r="AE43" s="73">
        <f>IF([1]!hks_info_tradecur(V43)="CNY",1,[1]!S_DQ_CLOSE([1]!hks_info_tradecur(V43)&amp;"CNY.EX",Y43,1))</f>
        <v>0</v>
      </c>
      <c r="AF43" s="73"/>
      <c r="AG43" s="92">
        <f>X43*AA43*AE43/10000</f>
        <v>0</v>
      </c>
      <c r="AH43" s="103"/>
      <c r="AI43" s="49"/>
    </row>
    <row r="44" spans="2:35" s="7" customFormat="1" ht="24.6" customHeight="1" x14ac:dyDescent="0.2">
      <c r="B44" s="49"/>
      <c r="C44" s="56" t="s">
        <v>75</v>
      </c>
      <c r="D44" s="20"/>
      <c r="E44" s="64"/>
      <c r="F44" s="75" t="str">
        <f>IFERROR(POWER(P11/L11,1/2)-1,"")</f>
        <v/>
      </c>
      <c r="G44" s="70"/>
      <c r="H44" s="49"/>
      <c r="I44" s="56" t="s">
        <v>30</v>
      </c>
      <c r="J44" s="90">
        <f>IFERROR(HLOOKUP(J23,$I$23:$P$36,7,0),"NA")</f>
        <v>7.7799000000000007E-2</v>
      </c>
      <c r="K44" s="63"/>
      <c r="L44" s="90">
        <f>IFERROR(HLOOKUP(L23,$I$23:$P$36,7,0),"NA")</f>
        <v>0.10462975000000001</v>
      </c>
      <c r="M44" s="63"/>
      <c r="N44" s="90" t="str">
        <f>IFERROR(HLOOKUP(N23,$I$23:$P$36,7,0),"NA")</f>
        <v>NA</v>
      </c>
      <c r="O44" s="63"/>
      <c r="P44" s="90" t="str">
        <f>IFERROR(HLOOKUP(P23,$I$23:$P$36,7,0),"NA")</f>
        <v>NA</v>
      </c>
      <c r="Q44" s="49"/>
      <c r="R44" s="158"/>
      <c r="S44" s="49"/>
      <c r="T44" s="49"/>
      <c r="U44" s="49"/>
      <c r="V44" s="101"/>
      <c r="W44" s="101">
        <f>[1]!S_Info_Name(V44)</f>
        <v>0</v>
      </c>
      <c r="X44" s="65">
        <f>[1]!s_share_issuing_mkt(V44,Y44,10000)</f>
        <v>0</v>
      </c>
      <c r="Y44" s="102">
        <f>[1]!lastradeday_s(V44,F$2)</f>
        <v>0</v>
      </c>
      <c r="Z44" s="102"/>
      <c r="AA44" s="71">
        <f>[1]!S_DQ_CLOSE(V44,Y44,1)</f>
        <v>0</v>
      </c>
      <c r="AB44" s="71"/>
      <c r="AC44" s="71">
        <f>[1]!hks_info_tradecur(V44)</f>
        <v>0</v>
      </c>
      <c r="AD44" s="71"/>
      <c r="AE44" s="71">
        <f>IF([1]!hks_info_tradecur(V44)="CNY",1,[1]!S_DQ_CLOSE([1]!hks_info_tradecur(V44)&amp;"CNY.EX",Y44,1))</f>
        <v>0</v>
      </c>
      <c r="AF44" s="71"/>
      <c r="AG44" s="91">
        <f>X44*AA44*AE44/10000</f>
        <v>0</v>
      </c>
      <c r="AH44" s="101"/>
      <c r="AI44" s="49"/>
    </row>
    <row r="45" spans="2:35" s="7" customFormat="1" ht="24.6" customHeight="1" x14ac:dyDescent="0.2">
      <c r="B45" s="49"/>
      <c r="C45" s="53" t="s">
        <v>78</v>
      </c>
      <c r="D45" s="13"/>
      <c r="E45" s="58"/>
      <c r="F45" s="97" t="str">
        <f>IFERROR(POWER(P14/L14,1/2)-1,"")</f>
        <v/>
      </c>
      <c r="G45" s="49"/>
      <c r="H45" s="49"/>
      <c r="I45" s="53" t="s">
        <v>32</v>
      </c>
      <c r="J45" s="79">
        <f>IFERROR(HLOOKUP(J23,$I$23:$P$36,8,0),"NA")</f>
        <v>4.8341999999999996E-2</v>
      </c>
      <c r="K45" s="58"/>
      <c r="L45" s="79">
        <f>IFERROR(HLOOKUP(L23,$I$23:$P$36,8,0),"NA")</f>
        <v>6.3674499999999995E-2</v>
      </c>
      <c r="M45" s="58"/>
      <c r="N45" s="79" t="str">
        <f>IFERROR(HLOOKUP(N23,$I$23:$P$36,8,0),"NA")</f>
        <v>NA</v>
      </c>
      <c r="O45" s="58"/>
      <c r="P45" s="79" t="str">
        <f>IFERROR(HLOOKUP(P23,$I$23:$P$36,8,0),"NA")</f>
        <v>NA</v>
      </c>
      <c r="Q45" s="49"/>
      <c r="R45" s="49"/>
      <c r="S45" s="49"/>
      <c r="T45" s="49"/>
      <c r="U45" s="49"/>
      <c r="V45" s="103"/>
      <c r="W45" s="103">
        <f>[1]!S_Info_Name(V45)</f>
        <v>0</v>
      </c>
      <c r="X45" s="60">
        <f>[1]!s_share_issuing_mkt(V45,Y45,10000)</f>
        <v>0</v>
      </c>
      <c r="Y45" s="104">
        <f>[1]!lastradeday_s(V45,F$2)</f>
        <v>0</v>
      </c>
      <c r="Z45" s="104"/>
      <c r="AA45" s="73">
        <f>[1]!S_DQ_CLOSE(V45,Y45,1)</f>
        <v>0</v>
      </c>
      <c r="AB45" s="73"/>
      <c r="AC45" s="73">
        <f>[1]!hks_info_tradecur(V45)</f>
        <v>0</v>
      </c>
      <c r="AD45" s="73"/>
      <c r="AE45" s="73">
        <f>IF([1]!hks_info_tradecur(V45)="CNY",1,[1]!S_DQ_CLOSE([1]!hks_info_tradecur(V45)&amp;"CNY.EX",Y45,1))</f>
        <v>0</v>
      </c>
      <c r="AF45" s="73"/>
      <c r="AG45" s="92">
        <f>X45*AA45*AE45/10000</f>
        <v>0</v>
      </c>
      <c r="AH45" s="103"/>
      <c r="AI45" s="49"/>
    </row>
    <row r="46" spans="2:35" s="7" customFormat="1" ht="24.6" customHeight="1" thickBot="1" x14ac:dyDescent="0.25">
      <c r="B46" s="49"/>
      <c r="C46" s="61" t="s">
        <v>215</v>
      </c>
      <c r="D46" s="62"/>
      <c r="E46" s="94"/>
      <c r="F46" s="128" t="str">
        <f>IFERROR(POWER(P19/L19,1/2)-1,"")</f>
        <v/>
      </c>
      <c r="G46" s="94"/>
      <c r="H46" s="49"/>
      <c r="I46" s="56" t="s">
        <v>34</v>
      </c>
      <c r="J46" s="91">
        <f>IFERROR(ROUND(HLOOKUP(J23,$I$23:$P$36,9,0),2),"NA")</f>
        <v>1069.4000000000001</v>
      </c>
      <c r="K46" s="64"/>
      <c r="L46" s="91">
        <f>IFERROR(ROUND(HLOOKUP(L23,$I$23:$P$36,9,0),2),"NA")</f>
        <v>1636.61</v>
      </c>
      <c r="M46" s="64"/>
      <c r="N46" s="91" t="str">
        <f>IFERROR(ROUND(HLOOKUP(N23,$I$23:$P$36,9,0),2),"NA")</f>
        <v>NA</v>
      </c>
      <c r="O46" s="64"/>
      <c r="P46" s="91" t="str">
        <f>IFERROR(ROUND(HLOOKUP(P23,$I$23:$P$36,9,0),2),"NA")</f>
        <v>NA</v>
      </c>
      <c r="Q46" s="49"/>
      <c r="R46" s="49"/>
      <c r="S46" s="49"/>
      <c r="T46" s="49"/>
      <c r="U46" s="49"/>
      <c r="V46" s="107"/>
      <c r="W46" s="108" t="s">
        <v>79</v>
      </c>
      <c r="X46" s="109">
        <f>SUM(X42:X45)</f>
        <v>2037423.804</v>
      </c>
      <c r="Y46" s="94"/>
      <c r="Z46" s="94"/>
      <c r="AA46" s="94"/>
      <c r="AB46" s="94"/>
      <c r="AC46" s="94"/>
      <c r="AD46" s="94"/>
      <c r="AE46" s="109" t="s">
        <v>79</v>
      </c>
      <c r="AF46" s="110"/>
      <c r="AG46" s="140">
        <f>SUM(AG42:AG45)</f>
        <v>13496.382221985155</v>
      </c>
      <c r="AH46" s="107"/>
      <c r="AI46" s="49"/>
    </row>
    <row r="47" spans="2:35" s="7" customFormat="1" ht="24.6" customHeight="1" x14ac:dyDescent="0.2">
      <c r="B47" s="49"/>
      <c r="C47" s="49"/>
      <c r="D47" s="129"/>
      <c r="E47" s="49"/>
      <c r="F47" s="49"/>
      <c r="G47" s="129"/>
      <c r="H47" s="49"/>
      <c r="I47" s="53" t="s">
        <v>35</v>
      </c>
      <c r="J47" s="92">
        <f>IFERROR(ROUND(HLOOKUP(J23,$I$23:$P$36,10,0),2),"NA")</f>
        <v>1537.34</v>
      </c>
      <c r="K47" s="59"/>
      <c r="L47" s="92">
        <f>IFERROR(ROUND(HLOOKUP(L23,$I$23:$P$36,10,0),2),"NA")</f>
        <v>2263.75</v>
      </c>
      <c r="M47" s="59"/>
      <c r="N47" s="92" t="str">
        <f>IFERROR(ROUND(HLOOKUP(N23,$I$23:$P$36,10,0),2),"NA")</f>
        <v>NA</v>
      </c>
      <c r="O47" s="59"/>
      <c r="P47" s="92" t="str">
        <f>IFERROR(ROUND(HLOOKUP(P23,$I$23:$P$36,10,0),2),"NA")</f>
        <v>NA</v>
      </c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130"/>
      <c r="AI47" s="49"/>
    </row>
    <row r="48" spans="2:35" s="7" customFormat="1" ht="24.6" customHeight="1" x14ac:dyDescent="0.2">
      <c r="B48" s="49"/>
      <c r="C48" s="129"/>
      <c r="D48" s="49"/>
      <c r="E48" s="49"/>
      <c r="F48" s="160"/>
      <c r="G48" s="49"/>
      <c r="H48" s="49"/>
      <c r="I48" s="56" t="s">
        <v>36</v>
      </c>
      <c r="J48" s="91">
        <f>IFERROR(ROUND(HLOOKUP(J23,$I$23:$P$36,11,0),2),"NA")</f>
        <v>8393.68</v>
      </c>
      <c r="K48" s="64"/>
      <c r="L48" s="91">
        <f>IFERROR(ROUND(HLOOKUP(L23,$I$23:$P$36,11,0),2),"NA")</f>
        <v>11787.96</v>
      </c>
      <c r="M48" s="64"/>
      <c r="N48" s="91" t="str">
        <f>IFERROR(ROUND(HLOOKUP(N23,$I$23:$P$36,11,0),2),"NA")</f>
        <v>NA</v>
      </c>
      <c r="O48" s="64"/>
      <c r="P48" s="91" t="str">
        <f>IFERROR(ROUND(HLOOKUP(P23,$I$23:$P$36,11,0),2),"NA")</f>
        <v>NA</v>
      </c>
      <c r="Q48" s="49"/>
      <c r="R48" s="49"/>
      <c r="S48" s="49"/>
      <c r="T48" s="49"/>
      <c r="U48" s="49"/>
      <c r="V48" s="49"/>
      <c r="W48" s="49"/>
      <c r="X48" s="131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</row>
    <row r="49" spans="2:35" s="7" customFormat="1" ht="24.6" customHeight="1" x14ac:dyDescent="0.2">
      <c r="B49" s="49"/>
      <c r="C49" s="129"/>
      <c r="D49" s="49"/>
      <c r="E49" s="49"/>
      <c r="F49" s="129"/>
      <c r="G49" s="49"/>
      <c r="H49" s="49"/>
      <c r="I49" s="53" t="s">
        <v>38</v>
      </c>
      <c r="J49" s="92">
        <f>IFERROR(ROUND(HLOOKUP(J23,$I$23:$P$36,12,0),2),"NA")</f>
        <v>1075.76</v>
      </c>
      <c r="K49" s="59"/>
      <c r="L49" s="92">
        <f>IFERROR(ROUND(HLOOKUP(L23,$I$23:$P$36,12,0),2),"NA")</f>
        <v>1645.82</v>
      </c>
      <c r="M49" s="59"/>
      <c r="N49" s="92" t="str">
        <f>IFERROR(ROUND(HLOOKUP(N23,$I$23:$P$36,12,0),2),"NA")</f>
        <v>NA</v>
      </c>
      <c r="O49" s="59"/>
      <c r="P49" s="92" t="str">
        <f>IFERROR(ROUND(HLOOKUP(P23,$I$23:$P$36,12,0),2),"NA")</f>
        <v>NA</v>
      </c>
      <c r="Q49" s="49"/>
      <c r="R49" s="49"/>
      <c r="S49" s="49"/>
      <c r="T49" s="49"/>
      <c r="U49" s="49"/>
      <c r="V49" s="49"/>
      <c r="W49" s="49"/>
      <c r="X49" s="139"/>
      <c r="Y49" s="49"/>
      <c r="Z49" s="105"/>
      <c r="AA49" s="49"/>
      <c r="AB49" s="105"/>
      <c r="AC49" s="49"/>
      <c r="AD49" s="105"/>
      <c r="AE49" s="49"/>
      <c r="AF49" s="105"/>
      <c r="AG49" s="49"/>
      <c r="AH49" s="105"/>
      <c r="AI49" s="49"/>
    </row>
    <row r="50" spans="2:35" s="7" customFormat="1" ht="24.6" customHeight="1" x14ac:dyDescent="0.2">
      <c r="B50" s="49"/>
      <c r="C50" s="49"/>
      <c r="D50" s="49"/>
      <c r="E50" s="49"/>
      <c r="F50" s="49"/>
      <c r="G50" s="49"/>
      <c r="H50" s="49"/>
      <c r="I50" s="56" t="s">
        <v>39</v>
      </c>
      <c r="J50" s="91">
        <f>IFERROR(ROUND(HLOOKUP(J23,$I$23:$P$36,13,0),2),"NA")</f>
        <v>941.76</v>
      </c>
      <c r="K50" s="64"/>
      <c r="L50" s="91">
        <f>IFERROR(ROUND(HLOOKUP(L23,$I$23:$P$36,13,0),2),"NA")</f>
        <v>1398.35</v>
      </c>
      <c r="M50" s="64"/>
      <c r="N50" s="91" t="str">
        <f>IFERROR(ROUND(HLOOKUP(N23,$I$23:$P$36,13,0),2),"NA")</f>
        <v>NA</v>
      </c>
      <c r="O50" s="64"/>
      <c r="P50" s="91" t="str">
        <f>IFERROR(ROUND(HLOOKUP(P23,$I$23:$P$36,13,0),2),"NA")</f>
        <v>NA</v>
      </c>
      <c r="Q50" s="49"/>
      <c r="R50" s="49"/>
      <c r="S50" s="49"/>
      <c r="T50" s="49"/>
      <c r="U50" s="49"/>
      <c r="V50" s="49"/>
      <c r="W50" s="49"/>
      <c r="X50" s="49"/>
      <c r="Y50" s="49"/>
      <c r="Z50" s="105"/>
      <c r="AA50" s="49"/>
      <c r="AB50" s="105"/>
      <c r="AC50" s="49"/>
      <c r="AD50" s="105"/>
      <c r="AE50" s="49"/>
      <c r="AF50" s="105"/>
      <c r="AG50" s="49"/>
      <c r="AH50" s="105"/>
      <c r="AI50" s="49"/>
    </row>
    <row r="51" spans="2:35" s="7" customFormat="1" ht="24.6" customHeight="1" thickBot="1" x14ac:dyDescent="0.25">
      <c r="B51" s="49"/>
      <c r="C51" s="129"/>
      <c r="D51" s="49"/>
      <c r="E51" s="49"/>
      <c r="F51" s="129"/>
      <c r="G51" s="49"/>
      <c r="H51" s="49"/>
      <c r="I51" s="76" t="s">
        <v>42</v>
      </c>
      <c r="J51" s="132">
        <f>IFERROR(ROUND(HLOOKUP(J23,$I$23:$P$36,14,0),2),"NA")</f>
        <v>1156.6500000000001</v>
      </c>
      <c r="K51" s="77"/>
      <c r="L51" s="132">
        <f>IFERROR(ROUND(HLOOKUP(L23,$I$23:$P$36,14,0),2),"NA")</f>
        <v>1703.35</v>
      </c>
      <c r="M51" s="77"/>
      <c r="N51" s="132" t="str">
        <f>IFERROR(ROUND(HLOOKUP(N23,$I$23:$P$36,14,0),2),"NA")</f>
        <v>NA</v>
      </c>
      <c r="O51" s="77"/>
      <c r="P51" s="132" t="str">
        <f>IFERROR(ROUND(HLOOKUP(P23,$I$23:$P$36,14,0),2),"NA")</f>
        <v>NA</v>
      </c>
      <c r="Q51" s="49"/>
      <c r="R51" s="49"/>
      <c r="S51" s="49"/>
      <c r="T51" s="49"/>
      <c r="U51" s="49"/>
      <c r="V51" s="49"/>
      <c r="W51" s="49"/>
      <c r="X51" s="49"/>
      <c r="Y51" s="49"/>
      <c r="Z51" s="105"/>
      <c r="AA51" s="49"/>
      <c r="AB51" s="105"/>
      <c r="AC51" s="49"/>
      <c r="AD51" s="105"/>
      <c r="AE51" s="49"/>
      <c r="AF51" s="105"/>
      <c r="AG51" s="49"/>
      <c r="AH51" s="105"/>
      <c r="AI51" s="49"/>
    </row>
    <row r="52" spans="2:35" s="7" customFormat="1" ht="24.6" customHeight="1" x14ac:dyDescent="0.2">
      <c r="B52" s="49"/>
      <c r="C52" s="129"/>
      <c r="D52" s="49"/>
      <c r="E52" s="49"/>
      <c r="F52" s="12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155"/>
      <c r="W52" s="49"/>
      <c r="X52" s="49"/>
      <c r="Y52" s="49"/>
      <c r="Z52" s="105"/>
      <c r="AA52" s="49"/>
      <c r="AB52" s="105"/>
      <c r="AC52" s="49"/>
      <c r="AD52" s="105"/>
      <c r="AE52" s="49"/>
      <c r="AF52" s="105"/>
      <c r="AG52" s="49"/>
      <c r="AH52" s="105"/>
      <c r="AI52" s="49"/>
    </row>
    <row r="53" spans="2:35" s="7" customFormat="1" ht="24.6" customHeight="1" x14ac:dyDescent="0.2">
      <c r="B53" s="49"/>
      <c r="C53" s="49"/>
      <c r="D53" s="49"/>
      <c r="E53" s="49"/>
      <c r="F53" s="49"/>
      <c r="G53" s="49"/>
      <c r="H53" s="49"/>
      <c r="I53" s="51" t="s">
        <v>206</v>
      </c>
      <c r="J53" s="51"/>
      <c r="K53" s="51"/>
      <c r="L53" s="51"/>
      <c r="M53" s="51"/>
      <c r="N53" s="51"/>
      <c r="O53" s="51"/>
      <c r="P53" s="51"/>
      <c r="Q53" s="49"/>
      <c r="R53" s="49"/>
      <c r="S53" s="49"/>
      <c r="T53" s="155"/>
      <c r="U53" s="49"/>
      <c r="V53" s="49"/>
      <c r="W53" s="49"/>
      <c r="X53" s="49"/>
      <c r="Y53" s="49"/>
      <c r="Z53" s="105"/>
      <c r="AA53" s="49"/>
      <c r="AB53" s="105"/>
      <c r="AC53" s="49"/>
      <c r="AD53" s="105"/>
      <c r="AE53" s="49"/>
      <c r="AF53" s="105"/>
      <c r="AG53" s="49"/>
      <c r="AH53" s="105"/>
      <c r="AI53" s="49"/>
    </row>
    <row r="54" spans="2:35" s="7" customFormat="1" ht="24.6" customHeight="1" x14ac:dyDescent="0.2">
      <c r="B54" s="49"/>
      <c r="C54" s="129"/>
      <c r="D54" s="49"/>
      <c r="E54" s="49"/>
      <c r="F54" s="168"/>
      <c r="G54" s="49"/>
      <c r="H54" s="49"/>
      <c r="I54" s="13"/>
      <c r="J54" s="54" t="s">
        <v>16</v>
      </c>
      <c r="K54" s="54"/>
      <c r="L54" s="54" t="s">
        <v>18</v>
      </c>
      <c r="M54" s="54"/>
      <c r="N54" s="54" t="s">
        <v>19</v>
      </c>
      <c r="O54" s="54"/>
      <c r="P54" s="54" t="s">
        <v>20</v>
      </c>
      <c r="Q54" s="49"/>
      <c r="R54" s="49"/>
      <c r="S54" s="49"/>
      <c r="T54" s="49"/>
      <c r="U54" s="49"/>
      <c r="V54" s="49"/>
      <c r="W54" s="49"/>
      <c r="X54" s="49"/>
      <c r="Y54" s="49"/>
      <c r="Z54" s="105"/>
      <c r="AA54" s="49"/>
      <c r="AB54" s="105"/>
      <c r="AC54" s="49"/>
      <c r="AD54" s="105"/>
      <c r="AE54" s="49"/>
      <c r="AF54" s="105"/>
      <c r="AG54" s="49"/>
      <c r="AH54" s="105"/>
      <c r="AI54" s="49"/>
    </row>
    <row r="55" spans="2:35" s="7" customFormat="1" ht="24.6" customHeight="1" x14ac:dyDescent="0.2">
      <c r="B55" s="49"/>
      <c r="C55" s="129"/>
      <c r="D55" s="49"/>
      <c r="E55" s="49"/>
      <c r="F55" s="160"/>
      <c r="G55" s="49"/>
      <c r="H55" s="49"/>
      <c r="I55" s="20"/>
      <c r="J55" s="57" t="str">
        <f>YEAR(L7)&amp;"A"</f>
        <v>2024A</v>
      </c>
      <c r="K55" s="57"/>
      <c r="L55" s="57" t="str">
        <f>YEAR(N7)&amp;"E"</f>
        <v>2025E</v>
      </c>
      <c r="M55" s="57"/>
      <c r="N55" s="57" t="str">
        <f>YEAR(P7)&amp;"E"</f>
        <v>2026E</v>
      </c>
      <c r="O55" s="57"/>
      <c r="P55" s="57" t="str">
        <f>YEAR(R7)&amp;"E"</f>
        <v>2027E</v>
      </c>
      <c r="Q55" s="49"/>
      <c r="R55" s="49"/>
      <c r="S55" s="49"/>
      <c r="T55" s="156"/>
      <c r="U55" s="49"/>
      <c r="V55" s="156"/>
      <c r="W55" s="49"/>
      <c r="X55" s="49"/>
      <c r="Y55" s="49"/>
      <c r="Z55" s="105"/>
      <c r="AA55" s="49"/>
      <c r="AB55" s="105"/>
      <c r="AC55" s="49"/>
      <c r="AD55" s="105"/>
      <c r="AE55" s="49"/>
      <c r="AF55" s="105"/>
      <c r="AG55" s="49"/>
      <c r="AH55" s="105"/>
      <c r="AI55" s="49"/>
    </row>
    <row r="56" spans="2:35" s="7" customFormat="1" ht="24.6" customHeight="1" x14ac:dyDescent="0.2">
      <c r="B56" s="49"/>
      <c r="C56" s="49"/>
      <c r="D56" s="49"/>
      <c r="E56" s="49"/>
      <c r="F56" s="49"/>
      <c r="G56" s="49"/>
      <c r="H56" s="49"/>
      <c r="I56" s="53" t="s">
        <v>46</v>
      </c>
      <c r="J56" s="86" t="str">
        <f>IFERROR(ROUND($F$13/HLOOKUP(DATE(LEFT(J55,4),LEFT($F22,2)+1,0),$K$7:$R$19,4,0),2),"  NA")</f>
        <v xml:space="preserve">  NA</v>
      </c>
      <c r="K56" s="86"/>
      <c r="L56" s="86">
        <f t="shared" ref="L56:P56" si="5">IFERROR(ROUND($F$13/HLOOKUP(DATE(LEFT(L55,4),LEFT($F22,2)+1,0),$K$7:$R$19,4,0),2),"  NA")</f>
        <v>11.84</v>
      </c>
      <c r="M56" s="86"/>
      <c r="N56" s="86">
        <f>IFERROR(ROUND($F$13/HLOOKUP(DATE(LEFT(N55,4),LEFT($F22,2)+1,0),$K$7:$R$19,4,0),2),"  NA")</f>
        <v>10.29</v>
      </c>
      <c r="O56" s="86" t="str">
        <f t="shared" si="5"/>
        <v xml:space="preserve">  NA</v>
      </c>
      <c r="P56" s="86" t="str">
        <f t="shared" si="5"/>
        <v xml:space="preserve">  NA</v>
      </c>
      <c r="Q56" s="49"/>
      <c r="R56" s="49"/>
      <c r="S56" s="49"/>
      <c r="T56" s="156"/>
      <c r="U56" s="49"/>
      <c r="V56" s="49"/>
      <c r="W56" s="49"/>
      <c r="X56" s="49"/>
      <c r="Y56" s="49"/>
      <c r="Z56" s="105"/>
      <c r="AA56" s="49"/>
      <c r="AB56" s="105"/>
      <c r="AC56" s="49"/>
      <c r="AD56" s="105"/>
      <c r="AE56" s="49"/>
      <c r="AF56" s="105"/>
      <c r="AG56" s="49"/>
      <c r="AH56" s="105"/>
      <c r="AI56" s="49"/>
    </row>
    <row r="57" spans="2:35" s="7" customFormat="1" ht="24.6" customHeight="1" x14ac:dyDescent="0.2">
      <c r="B57" s="105"/>
      <c r="C57" s="49"/>
      <c r="D57" s="49"/>
      <c r="E57" s="111"/>
      <c r="F57" s="49"/>
      <c r="G57" s="49"/>
      <c r="H57" s="49"/>
      <c r="I57" s="56" t="s">
        <v>48</v>
      </c>
      <c r="J57" s="87" t="str">
        <f>IFERROR(ROUND($F$13/HLOOKUP(DATE(LEFT(J55,4),LEFT($F22,2)+1,0),$I$7:$R$19,3,0),2),"  NA")</f>
        <v xml:space="preserve">  NA</v>
      </c>
      <c r="K57" s="63"/>
      <c r="L57" s="87">
        <f>IFERROR(ROUND($F$13/HLOOKUP(DATE(LEFT(L55,4),LEFT($F22,2)+1,0),$K$7:$R$19,3,0),2),"  NA")</f>
        <v>1.28</v>
      </c>
      <c r="M57" s="63"/>
      <c r="N57" s="87">
        <f>IFERROR(ROUND($F$13/HLOOKUP(DATE(LEFT(N55,4),LEFT($F22,2)+1,0),$K$7:$R$19,3,0),2),"  NA")</f>
        <v>1.07</v>
      </c>
      <c r="O57" s="63"/>
      <c r="P57" s="87" t="str">
        <f>IFERROR(ROUND($F$13/HLOOKUP(DATE(LEFT(P55,4),LEFT($F22,2)+1,0),$K$7:$R$19,3,0),2),"  NA")</f>
        <v xml:space="preserve">  NA</v>
      </c>
      <c r="Q57" s="49"/>
      <c r="R57" s="49"/>
      <c r="S57" s="49"/>
      <c r="T57" s="49"/>
      <c r="U57" s="49"/>
      <c r="V57" s="49"/>
      <c r="W57" s="49"/>
      <c r="X57" s="49"/>
      <c r="Y57" s="49"/>
      <c r="Z57" s="105"/>
      <c r="AA57" s="49"/>
      <c r="AB57" s="105"/>
      <c r="AC57" s="49"/>
      <c r="AD57" s="105"/>
      <c r="AE57" s="49"/>
      <c r="AF57" s="105"/>
      <c r="AG57" s="49"/>
      <c r="AH57" s="105"/>
      <c r="AI57" s="49"/>
    </row>
    <row r="58" spans="2:35" s="7" customFormat="1" ht="24.6" customHeight="1" x14ac:dyDescent="0.2">
      <c r="B58" s="105"/>
      <c r="C58" s="49"/>
      <c r="D58" s="49"/>
      <c r="E58" s="111"/>
      <c r="F58" s="49"/>
      <c r="G58" s="49"/>
      <c r="H58" s="49"/>
      <c r="I58" s="53" t="s">
        <v>53</v>
      </c>
      <c r="J58" s="127">
        <f>IFERROR(HLOOKUP(DATE(LEFT(J55,4),LEFT($F22,2)+1,0),$L$7:$S$19,5,0)/$F$13,"NA")</f>
        <v>0</v>
      </c>
      <c r="K58" s="127"/>
      <c r="L58" s="127">
        <f>IFERROR(HLOOKUP(DATE(LEFT(L55,4),LEFT($F22,2)+1,0),$L$7:$S$19,5,0)/$F$13,"NA")</f>
        <v>1.2532593419882927E-2</v>
      </c>
      <c r="M58" s="127"/>
      <c r="N58" s="127">
        <f>IFERROR(HLOOKUP(DATE(LEFT(N55,4),LEFT($F22,2)+1,0),$L$7:$S$19,5,0)/$F$13,"NA")</f>
        <v>1.4035599205097064E-2</v>
      </c>
      <c r="O58" s="58"/>
      <c r="P58" s="127" t="str">
        <f>IFERROR(HLOOKUP(DATE(LEFT(P55,4),LEFT($F22,2)+1,0),$L$7:$S$19,5,0)/$F$13,"NA")</f>
        <v>NA</v>
      </c>
      <c r="Q58" s="49"/>
      <c r="R58" s="49"/>
      <c r="S58" s="49"/>
      <c r="T58" s="49"/>
      <c r="U58" s="49"/>
      <c r="V58" s="49"/>
      <c r="W58" s="49"/>
      <c r="X58" s="49"/>
      <c r="Y58" s="49"/>
      <c r="Z58" s="105"/>
      <c r="AA58" s="49"/>
      <c r="AB58" s="105"/>
      <c r="AC58" s="49"/>
      <c r="AD58" s="105"/>
      <c r="AE58" s="49"/>
      <c r="AF58" s="105"/>
      <c r="AG58" s="49"/>
      <c r="AH58" s="105"/>
      <c r="AI58" s="49"/>
    </row>
    <row r="59" spans="2:35" s="7" customFormat="1" ht="24.6" customHeight="1" x14ac:dyDescent="0.2">
      <c r="B59" s="105"/>
      <c r="C59" s="49"/>
      <c r="D59" s="49"/>
      <c r="E59" s="105"/>
      <c r="F59" s="49"/>
      <c r="G59" s="49"/>
      <c r="H59" s="49"/>
      <c r="I59" s="56" t="s">
        <v>30</v>
      </c>
      <c r="J59" s="90">
        <f>IFERROR(HLOOKUP(DATE(LEFT(J55,4),LEFT($F22,2)+1,0),$L$7:$R$19,6,0),"NA")</f>
        <v>0</v>
      </c>
      <c r="K59" s="63"/>
      <c r="L59" s="90">
        <f>IFERROR(HLOOKUP(DATE(LEFT(L55,4),LEFT($F22,2)+1,0),$L$7:$R$19,6,0),"NA")</f>
        <v>0.103732</v>
      </c>
      <c r="M59" s="63"/>
      <c r="N59" s="90">
        <f>IFERROR(HLOOKUP(DATE(LEFT(N55,4),LEFT($F22,2)+1,0),$L$7:$R$19,6,0),"NA")</f>
        <v>0.10492900000000001</v>
      </c>
      <c r="O59" s="63"/>
      <c r="P59" s="90" t="str">
        <f>IFERROR(HLOOKUP(DATE(LEFT(P55,4),LEFT($F22,2)+1,0),$L$7:$R$19,6,0),"NA")</f>
        <v>NA</v>
      </c>
      <c r="Q59" s="49"/>
      <c r="R59" s="49"/>
      <c r="S59" s="49"/>
      <c r="T59" s="49"/>
      <c r="U59" s="49"/>
      <c r="V59" s="49"/>
      <c r="W59" s="49"/>
      <c r="X59" s="49"/>
      <c r="Y59" s="49"/>
      <c r="Z59" s="105"/>
      <c r="AA59" s="49"/>
      <c r="AB59" s="105"/>
      <c r="AC59" s="49"/>
      <c r="AD59" s="105"/>
      <c r="AE59" s="49"/>
      <c r="AF59" s="105"/>
      <c r="AG59" s="49"/>
      <c r="AH59" s="105"/>
      <c r="AI59" s="49"/>
    </row>
    <row r="60" spans="2:35" s="7" customFormat="1" ht="24.6" customHeight="1" x14ac:dyDescent="0.2">
      <c r="B60" s="105"/>
      <c r="C60" s="49"/>
      <c r="D60" s="49"/>
      <c r="E60" s="105"/>
      <c r="F60" s="49"/>
      <c r="G60" s="133"/>
      <c r="H60" s="49"/>
      <c r="I60" s="53" t="s">
        <v>32</v>
      </c>
      <c r="J60" s="79">
        <f>IFERROR(HLOOKUP(DATE(LEFT(J55,4),LEFT($F22,2)+1,0),$L$7:$S$19,7,0),"NA")</f>
        <v>0</v>
      </c>
      <c r="K60" s="58"/>
      <c r="L60" s="79">
        <f>IFERROR(HLOOKUP(DATE(LEFT(L55,4),LEFT($F22,2)+1,0),$L$7:$S$19,7,0),"NA")</f>
        <v>6.4455999999999999E-2</v>
      </c>
      <c r="M60" s="58"/>
      <c r="N60" s="79">
        <f>IFERROR(HLOOKUP(DATE(LEFT(N55,4),LEFT($F22,2)+1,0),$L$7:$S$19,7,0),"NA")</f>
        <v>6.3413999999999998E-2</v>
      </c>
      <c r="O60" s="58"/>
      <c r="P60" s="79" t="str">
        <f>IFERROR(HLOOKUP(DATE(LEFT(P55,4),LEFT($F22,2)+1,0),$L$7:$S$19,7,0),"NA")</f>
        <v>NA</v>
      </c>
      <c r="Q60" s="49"/>
      <c r="R60" s="49"/>
      <c r="S60" s="49"/>
      <c r="T60" s="49"/>
      <c r="U60" s="49"/>
      <c r="V60" s="49"/>
      <c r="W60" s="49"/>
      <c r="X60" s="49"/>
      <c r="Y60" s="49"/>
      <c r="Z60" s="105"/>
      <c r="AA60" s="49"/>
      <c r="AB60" s="105"/>
      <c r="AC60" s="49"/>
      <c r="AD60" s="105"/>
      <c r="AE60" s="49"/>
      <c r="AF60" s="105"/>
      <c r="AG60" s="49"/>
      <c r="AH60" s="105"/>
      <c r="AI60" s="49"/>
    </row>
    <row r="61" spans="2:35" s="7" customFormat="1" ht="24.6" customHeight="1" x14ac:dyDescent="0.2">
      <c r="B61" s="105"/>
      <c r="C61" s="49"/>
      <c r="D61" s="49"/>
      <c r="E61" s="105"/>
      <c r="F61" s="49"/>
      <c r="G61" s="134"/>
      <c r="H61" s="49"/>
      <c r="I61" s="56" t="s">
        <v>34</v>
      </c>
      <c r="J61" s="91">
        <f>IFERROR(ROUND(HLOOKUP(DATE(LEFT(J40,4),LEFT($F22,2)+1,0),$K$7:$R$19,8,0),2),"NA")</f>
        <v>0</v>
      </c>
      <c r="K61" s="64"/>
      <c r="L61" s="91">
        <f>IFERROR(ROUND(HLOOKUP(DATE(LEFT(L40,4),LEFT($F22,2)+1,0),$K$7:$R$19,8,0),2),"NA")</f>
        <v>1425.86</v>
      </c>
      <c r="M61" s="64"/>
      <c r="N61" s="91">
        <f>IFERROR(ROUND(HLOOKUP(DATE(LEFT(N40,4),LEFT($F22,2)+1,0),$K$7:$R$19,8,0),2),"NA")</f>
        <v>1706.85</v>
      </c>
      <c r="O61" s="64"/>
      <c r="P61" s="91" t="str">
        <f>IFERROR(ROUND(HLOOKUP(DATE(LEFT(P40,4),LEFT($F22,2)+1,0),$K$7:$R$19,8,0),2),"NA")</f>
        <v>NA</v>
      </c>
      <c r="Q61" s="49"/>
      <c r="R61" s="49"/>
      <c r="S61" s="49"/>
      <c r="T61" s="49"/>
      <c r="U61" s="49"/>
      <c r="V61" s="49"/>
      <c r="W61" s="49"/>
      <c r="X61" s="49"/>
      <c r="Y61" s="49"/>
      <c r="Z61" s="105"/>
      <c r="AA61" s="49"/>
      <c r="AB61" s="105"/>
      <c r="AC61" s="49"/>
      <c r="AD61" s="105"/>
      <c r="AE61" s="49"/>
      <c r="AF61" s="105"/>
      <c r="AG61" s="49"/>
      <c r="AH61" s="105"/>
      <c r="AI61" s="49"/>
    </row>
    <row r="62" spans="2:35" s="7" customFormat="1" ht="24.6" customHeight="1" x14ac:dyDescent="0.2">
      <c r="B62" s="105"/>
      <c r="C62" s="49"/>
      <c r="D62" s="49"/>
      <c r="E62" s="105"/>
      <c r="F62" s="49"/>
      <c r="G62" s="134"/>
      <c r="H62" s="49"/>
      <c r="I62" s="53" t="s">
        <v>35</v>
      </c>
      <c r="J62" s="92">
        <f>IFERROR(ROUND(HLOOKUP(DATE(LEFT(J40,4),LEFT($F22,2)+1,0),$K$7:$R$19,9,0),2),"NA")</f>
        <v>0</v>
      </c>
      <c r="K62" s="59"/>
      <c r="L62" s="92">
        <f>IFERROR(ROUND(HLOOKUP(DATE(LEFT(L40,4),LEFT($F22,2)+1,0),$K$7:$R$19,9,0),2),"NA")</f>
        <v>2049.79</v>
      </c>
      <c r="M62" s="59"/>
      <c r="N62" s="92">
        <f>IFERROR(ROUND(HLOOKUP(DATE(LEFT(N40,4),LEFT($F22,2)+1,0),$K$7:$R$19,9,0),2),"NA")</f>
        <v>2335.0700000000002</v>
      </c>
      <c r="O62" s="59"/>
      <c r="P62" s="92" t="str">
        <f>IFERROR(ROUND(HLOOKUP(DATE(LEFT(P40,4),LEFT($F22,2)+1,0),$K$7:$R$19,9,0),2),"NA")</f>
        <v>NA</v>
      </c>
      <c r="Q62" s="49"/>
      <c r="R62" s="49"/>
      <c r="S62" s="49"/>
      <c r="T62" s="49"/>
      <c r="U62" s="49"/>
      <c r="V62" s="49"/>
      <c r="W62" s="49"/>
      <c r="X62" s="49"/>
      <c r="Y62" s="49"/>
      <c r="Z62" s="105"/>
      <c r="AA62" s="49"/>
      <c r="AB62" s="105"/>
      <c r="AC62" s="49"/>
      <c r="AD62" s="105"/>
      <c r="AE62" s="49"/>
      <c r="AF62" s="105"/>
      <c r="AG62" s="49"/>
      <c r="AH62" s="105"/>
      <c r="AI62" s="49"/>
    </row>
    <row r="63" spans="2:35" s="7" customFormat="1" ht="24.6" customHeight="1" x14ac:dyDescent="0.2">
      <c r="B63" s="105"/>
      <c r="C63" s="49"/>
      <c r="D63" s="49"/>
      <c r="E63" s="105"/>
      <c r="F63" s="49"/>
      <c r="G63" s="134"/>
      <c r="H63" s="49"/>
      <c r="I63" s="56" t="s">
        <v>36</v>
      </c>
      <c r="J63" s="91">
        <f>IFERROR(ROUND(HLOOKUP(DATE(LEFT(J40,4),LEFT($F22,2)+1,0),$L$7:$S$19,10,0),2),"NA")</f>
        <v>0</v>
      </c>
      <c r="K63" s="64"/>
      <c r="L63" s="91">
        <f>IFERROR(ROUND(HLOOKUP(DATE(LEFT(L40,4),LEFT($F22,2)+1,0),$L$7:$S$19,10,0),2),"NA")</f>
        <v>11191.57</v>
      </c>
      <c r="M63" s="64"/>
      <c r="N63" s="91">
        <f>IFERROR(ROUND(HLOOKUP(DATE(LEFT(N40,4),LEFT($F22,2)+1,0),$L$7:$S$19,10,0),2),"NA")</f>
        <v>11986.75</v>
      </c>
      <c r="O63" s="64"/>
      <c r="P63" s="91" t="str">
        <f>IFERROR(ROUND(HLOOKUP(DATE(LEFT(P40,4),LEFT($F22,2)+1,0),$L$7:$S$19,10,0),2),"NA")</f>
        <v>NA</v>
      </c>
      <c r="Q63" s="49"/>
      <c r="R63" s="49"/>
      <c r="S63" s="49"/>
      <c r="T63" s="49"/>
      <c r="U63" s="49"/>
      <c r="V63" s="49"/>
      <c r="W63" s="49"/>
      <c r="X63" s="49"/>
      <c r="Y63" s="49"/>
      <c r="Z63" s="105"/>
      <c r="AA63" s="49"/>
      <c r="AB63" s="105"/>
      <c r="AC63" s="49"/>
      <c r="AD63" s="105"/>
      <c r="AE63" s="49"/>
      <c r="AF63" s="105"/>
      <c r="AG63" s="49"/>
      <c r="AH63" s="105"/>
      <c r="AI63" s="49"/>
    </row>
    <row r="64" spans="2:35" s="7" customFormat="1" ht="24.6" customHeight="1" x14ac:dyDescent="0.2">
      <c r="B64" s="105"/>
      <c r="C64" s="49"/>
      <c r="D64" s="49"/>
      <c r="E64" s="105"/>
      <c r="F64" s="49"/>
      <c r="G64" s="134"/>
      <c r="H64" s="49"/>
      <c r="I64" s="53" t="s">
        <v>38</v>
      </c>
      <c r="J64" s="92">
        <f>IFERROR(ROUND(HLOOKUP(DATE(LEFT(J40,4),LEFT($F22,2)+1,0),$K$7:$R$19,11,0),2),"NA")</f>
        <v>0</v>
      </c>
      <c r="K64" s="59"/>
      <c r="L64" s="92">
        <f>IFERROR(ROUND(HLOOKUP(DATE(LEFT(L40,4),LEFT($F22,2)+1,0),$K$7:$R$19,11,0),2),"NA")</f>
        <v>1434.35</v>
      </c>
      <c r="M64" s="59"/>
      <c r="N64" s="92">
        <f>IFERROR(ROUND(HLOOKUP(DATE(LEFT(N40,4),LEFT($F22,2)+1,0),$K$7:$R$19,11,0),2),"NA")</f>
        <v>1716.32</v>
      </c>
      <c r="O64" s="59"/>
      <c r="P64" s="92" t="str">
        <f>IFERROR(ROUND(HLOOKUP(DATE(LEFT(P40,4),LEFT($F22,2)+1,0),$K$7:$R$19,11,0),2),"NA")</f>
        <v>NA</v>
      </c>
      <c r="Q64" s="49"/>
      <c r="R64" s="49"/>
      <c r="S64" s="49"/>
      <c r="T64" s="49"/>
      <c r="U64" s="49"/>
      <c r="V64" s="49"/>
      <c r="W64" s="49"/>
      <c r="X64" s="49"/>
      <c r="Y64" s="49"/>
      <c r="Z64" s="105"/>
      <c r="AA64" s="49"/>
      <c r="AB64" s="105"/>
      <c r="AC64" s="49"/>
      <c r="AD64" s="105"/>
      <c r="AE64" s="49"/>
      <c r="AF64" s="105"/>
      <c r="AG64" s="49"/>
      <c r="AH64" s="105"/>
      <c r="AI64" s="49"/>
    </row>
    <row r="65" spans="2:35" s="7" customFormat="1" ht="24.6" customHeight="1" x14ac:dyDescent="0.2">
      <c r="B65" s="105"/>
      <c r="C65" s="49"/>
      <c r="D65" s="49"/>
      <c r="E65" s="105"/>
      <c r="F65" s="49"/>
      <c r="G65" s="134"/>
      <c r="H65" s="49"/>
      <c r="I65" s="56" t="s">
        <v>39</v>
      </c>
      <c r="J65" s="91">
        <f>IFERROR(ROUND(HLOOKUP(DATE(LEFT(J40,4),LEFT($F22,2)+1,0),$K$7:$R$19,12,0),2),"NA")</f>
        <v>0</v>
      </c>
      <c r="K65" s="64"/>
      <c r="L65" s="91">
        <f>IFERROR(ROUND(HLOOKUP(DATE(LEFT(L40,4),LEFT($F22,2)+1,0),$K$7:$R$19,12,0),2),"NA")</f>
        <v>1255.68</v>
      </c>
      <c r="M65" s="64"/>
      <c r="N65" s="91">
        <f>IFERROR(ROUND(HLOOKUP(DATE(LEFT(N40,4),LEFT($F22,2)+1,0),$K$7:$R$19,12,0),2),"NA")</f>
        <v>1445.9</v>
      </c>
      <c r="O65" s="64"/>
      <c r="P65" s="91" t="str">
        <f>IFERROR(ROUND(HLOOKUP(DATE(LEFT(P40,4),LEFT($F22,2)+1,0),$K$7:$R$19,12,0),2),"NA")</f>
        <v>NA</v>
      </c>
      <c r="Q65" s="49"/>
      <c r="R65" s="49"/>
      <c r="S65" s="49"/>
      <c r="T65" s="49"/>
      <c r="U65" s="49"/>
      <c r="V65" s="49"/>
      <c r="W65" s="49"/>
      <c r="X65" s="49"/>
      <c r="Y65" s="49"/>
      <c r="Z65" s="105"/>
      <c r="AA65" s="49"/>
      <c r="AB65" s="105"/>
      <c r="AC65" s="49"/>
      <c r="AD65" s="105"/>
      <c r="AE65" s="49"/>
      <c r="AF65" s="105"/>
      <c r="AG65" s="49"/>
      <c r="AH65" s="105"/>
      <c r="AI65" s="49"/>
    </row>
    <row r="66" spans="2:35" s="7" customFormat="1" ht="24.6" customHeight="1" thickBot="1" x14ac:dyDescent="0.25">
      <c r="B66" s="105"/>
      <c r="C66" s="49"/>
      <c r="D66" s="49"/>
      <c r="E66" s="105"/>
      <c r="F66" s="49"/>
      <c r="G66" s="134"/>
      <c r="H66" s="49"/>
      <c r="I66" s="76" t="s">
        <v>42</v>
      </c>
      <c r="J66" s="132">
        <f>IFERROR(ROUND(HLOOKUP(DATE(LEFT(J40,4),LEFT($F22,2)+1,0),$K$7:$R$19,13,0),2),"NA")</f>
        <v>0</v>
      </c>
      <c r="K66" s="77"/>
      <c r="L66" s="132">
        <f>IFERROR(ROUND(HLOOKUP(DATE(LEFT(L40,4),LEFT($F22,2)+1,0),$K$7:$R$19,13,0),2),"NA")</f>
        <v>1542.2</v>
      </c>
      <c r="M66" s="77"/>
      <c r="N66" s="132">
        <f>IFERROR(ROUND(HLOOKUP(DATE(LEFT(N40,4),LEFT($F22,2)+1,0),$K$7:$R$19,13,0),2),"NA")</f>
        <v>1757.07</v>
      </c>
      <c r="O66" s="77"/>
      <c r="P66" s="132" t="str">
        <f>IFERROR(ROUND(HLOOKUP(DATE(LEFT(P40,4),LEFT($F22,2)+1,0),$K$7:$R$19,13,0),2),"NA")</f>
        <v>NA</v>
      </c>
      <c r="Q66" s="49"/>
      <c r="R66" s="49"/>
      <c r="S66" s="49"/>
      <c r="T66" s="49"/>
      <c r="U66" s="49"/>
      <c r="V66" s="49"/>
      <c r="W66" s="49"/>
      <c r="X66" s="49"/>
      <c r="Y66" s="49"/>
      <c r="Z66" s="105"/>
      <c r="AA66" s="49"/>
      <c r="AB66" s="105"/>
      <c r="AC66" s="49"/>
      <c r="AD66" s="105"/>
      <c r="AE66" s="49"/>
      <c r="AF66" s="105"/>
      <c r="AG66" s="49"/>
      <c r="AH66" s="105"/>
      <c r="AI66" s="49"/>
    </row>
    <row r="67" spans="2:35" s="7" customFormat="1" ht="24.6" customHeight="1" x14ac:dyDescent="0.2">
      <c r="B67" s="105"/>
      <c r="C67" s="49"/>
      <c r="D67" s="49"/>
      <c r="E67" s="105"/>
      <c r="F67" s="49"/>
      <c r="G67" s="134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105"/>
      <c r="T67" s="49"/>
      <c r="U67" s="49"/>
      <c r="V67" s="49"/>
      <c r="W67" s="49"/>
      <c r="X67" s="49"/>
      <c r="Y67" s="49"/>
      <c r="Z67" s="105"/>
      <c r="AA67" s="49"/>
      <c r="AB67" s="105"/>
      <c r="AC67" s="49"/>
      <c r="AD67" s="105"/>
      <c r="AE67" s="49"/>
      <c r="AF67" s="105"/>
      <c r="AG67" s="49"/>
      <c r="AH67" s="105"/>
      <c r="AI67" s="49"/>
    </row>
    <row r="68" spans="2:35" s="7" customFormat="1" ht="17.25" x14ac:dyDescent="0.2">
      <c r="B68" s="105"/>
      <c r="C68" s="49"/>
      <c r="D68" s="49"/>
      <c r="E68" s="105"/>
      <c r="F68" s="49"/>
      <c r="G68" s="134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105"/>
      <c r="T68" s="49"/>
      <c r="U68" s="49"/>
      <c r="V68" s="49"/>
      <c r="W68" s="49"/>
      <c r="X68" s="49"/>
      <c r="Y68" s="49"/>
      <c r="Z68" s="105"/>
      <c r="AA68" s="49"/>
      <c r="AB68" s="105"/>
      <c r="AC68" s="49"/>
      <c r="AD68" s="105"/>
      <c r="AE68" s="49"/>
      <c r="AF68" s="105"/>
      <c r="AG68" s="49"/>
      <c r="AH68" s="105"/>
      <c r="AI68" s="49"/>
    </row>
    <row r="69" spans="2:35" s="7" customFormat="1" ht="17.25" x14ac:dyDescent="0.2">
      <c r="B69" s="105"/>
      <c r="C69" s="49"/>
      <c r="D69" s="49"/>
      <c r="E69" s="105"/>
      <c r="F69" s="49"/>
      <c r="G69" s="134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105"/>
      <c r="T69" s="49"/>
      <c r="U69" s="49"/>
      <c r="V69" s="49"/>
      <c r="W69" s="49"/>
      <c r="X69" s="49"/>
      <c r="Y69" s="49"/>
      <c r="Z69" s="105"/>
      <c r="AA69" s="49"/>
      <c r="AB69" s="105"/>
      <c r="AC69" s="49"/>
      <c r="AD69" s="105"/>
      <c r="AE69" s="49"/>
      <c r="AF69" s="105"/>
      <c r="AG69" s="49"/>
      <c r="AH69" s="105"/>
      <c r="AI69" s="49"/>
    </row>
    <row r="70" spans="2:35" s="7" customFormat="1" ht="17.25" x14ac:dyDescent="0.2"/>
    <row r="71" spans="2:35" s="7" customFormat="1" ht="17.25" x14ac:dyDescent="0.2"/>
    <row r="72" spans="2:35" s="7" customFormat="1" ht="17.25" x14ac:dyDescent="0.2"/>
    <row r="73" spans="2:35" s="7" customFormat="1" ht="17.25" x14ac:dyDescent="0.2"/>
    <row r="74" spans="2:35" s="7" customFormat="1" ht="17.25" x14ac:dyDescent="0.2"/>
    <row r="75" spans="2:35" s="7" customFormat="1" ht="17.25" x14ac:dyDescent="0.2"/>
    <row r="76" spans="2:35" s="7" customFormat="1" ht="17.25" x14ac:dyDescent="0.2"/>
    <row r="93" spans="7:9" x14ac:dyDescent="0.2">
      <c r="G93" s="135"/>
      <c r="H93" s="136"/>
      <c r="I93" s="136"/>
    </row>
    <row r="94" spans="7:9" x14ac:dyDescent="0.2">
      <c r="G94" s="135"/>
      <c r="H94" s="136"/>
      <c r="I94" s="136"/>
    </row>
    <row r="95" spans="7:9" x14ac:dyDescent="0.2">
      <c r="G95" s="135"/>
      <c r="H95" s="136"/>
      <c r="I95" s="136"/>
    </row>
    <row r="96" spans="7:9" x14ac:dyDescent="0.2">
      <c r="G96" s="135"/>
      <c r="H96" s="136"/>
      <c r="I96" s="136"/>
    </row>
    <row r="97" spans="7:9" x14ac:dyDescent="0.2">
      <c r="G97" s="135"/>
      <c r="H97" s="136"/>
      <c r="I97" s="136"/>
    </row>
    <row r="98" spans="7:9" x14ac:dyDescent="0.2">
      <c r="G98" s="135"/>
      <c r="H98" s="136"/>
      <c r="I98" s="136"/>
    </row>
    <row r="99" spans="7:9" x14ac:dyDescent="0.2">
      <c r="G99" s="135"/>
      <c r="H99" s="136"/>
      <c r="I99" s="136"/>
    </row>
    <row r="100" spans="7:9" x14ac:dyDescent="0.2">
      <c r="G100" s="135"/>
      <c r="H100" s="136"/>
      <c r="I100" s="136"/>
    </row>
    <row r="101" spans="7:9" x14ac:dyDescent="0.2">
      <c r="G101" s="135"/>
      <c r="H101" s="136"/>
      <c r="I101" s="136"/>
    </row>
    <row r="102" spans="7:9" x14ac:dyDescent="0.2">
      <c r="G102" s="135"/>
      <c r="H102" s="136"/>
      <c r="I102" s="136"/>
    </row>
    <row r="103" spans="7:9" x14ac:dyDescent="0.2">
      <c r="G103" s="135"/>
      <c r="H103" s="136"/>
      <c r="I103" s="136"/>
    </row>
    <row r="104" spans="7:9" x14ac:dyDescent="0.2">
      <c r="G104" s="135"/>
      <c r="H104" s="136"/>
      <c r="I104" s="136"/>
    </row>
    <row r="105" spans="7:9" x14ac:dyDescent="0.2">
      <c r="G105" s="135"/>
      <c r="H105" s="136"/>
      <c r="I105" s="136"/>
    </row>
    <row r="106" spans="7:9" x14ac:dyDescent="0.2">
      <c r="G106" s="135"/>
      <c r="H106" s="136"/>
      <c r="I106" s="136"/>
    </row>
    <row r="107" spans="7:9" x14ac:dyDescent="0.2">
      <c r="G107" s="135"/>
      <c r="H107" s="136"/>
      <c r="I107" s="136"/>
    </row>
    <row r="108" spans="7:9" x14ac:dyDescent="0.2">
      <c r="G108" s="135"/>
      <c r="H108" s="136"/>
      <c r="I108" s="136"/>
    </row>
    <row r="109" spans="7:9" x14ac:dyDescent="0.2">
      <c r="G109" s="135"/>
      <c r="H109" s="136"/>
      <c r="I109" s="136"/>
    </row>
    <row r="110" spans="7:9" x14ac:dyDescent="0.2">
      <c r="G110" s="135"/>
      <c r="H110" s="136"/>
      <c r="I110" s="136"/>
    </row>
    <row r="111" spans="7:9" x14ac:dyDescent="0.2">
      <c r="G111" s="135"/>
      <c r="H111" s="136"/>
      <c r="I111" s="136"/>
    </row>
    <row r="112" spans="7:9" x14ac:dyDescent="0.2">
      <c r="G112" s="135"/>
      <c r="H112" s="136"/>
      <c r="I112" s="136"/>
    </row>
    <row r="113" spans="7:9" x14ac:dyDescent="0.2">
      <c r="G113" s="135"/>
      <c r="H113" s="136"/>
      <c r="I113" s="136"/>
    </row>
    <row r="114" spans="7:9" x14ac:dyDescent="0.2">
      <c r="G114" s="135"/>
      <c r="H114" s="136"/>
      <c r="I114" s="136"/>
    </row>
    <row r="115" spans="7:9" x14ac:dyDescent="0.2">
      <c r="G115" s="135"/>
      <c r="H115" s="136"/>
      <c r="I115" s="136"/>
    </row>
    <row r="116" spans="7:9" x14ac:dyDescent="0.2">
      <c r="G116" s="135"/>
      <c r="H116" s="136"/>
      <c r="I116" s="136"/>
    </row>
    <row r="117" spans="7:9" x14ac:dyDescent="0.2">
      <c r="G117" s="135"/>
      <c r="H117" s="136"/>
      <c r="I117" s="136"/>
    </row>
    <row r="118" spans="7:9" x14ac:dyDescent="0.2">
      <c r="G118" s="135"/>
      <c r="H118" s="136"/>
      <c r="I118" s="136"/>
    </row>
    <row r="119" spans="7:9" x14ac:dyDescent="0.2">
      <c r="G119" s="135"/>
      <c r="H119" s="136"/>
      <c r="I119" s="136"/>
    </row>
    <row r="120" spans="7:9" x14ac:dyDescent="0.2">
      <c r="G120" s="135"/>
      <c r="H120" s="136"/>
      <c r="I120" s="136"/>
    </row>
    <row r="121" spans="7:9" x14ac:dyDescent="0.2">
      <c r="G121" s="135"/>
      <c r="H121" s="136"/>
      <c r="I121" s="136"/>
    </row>
    <row r="122" spans="7:9" x14ac:dyDescent="0.2">
      <c r="G122" s="135"/>
      <c r="H122" s="136"/>
      <c r="I122" s="136"/>
    </row>
    <row r="123" spans="7:9" x14ac:dyDescent="0.2">
      <c r="G123" s="135"/>
      <c r="H123" s="136"/>
      <c r="I123" s="136"/>
    </row>
    <row r="124" spans="7:9" x14ac:dyDescent="0.2">
      <c r="G124" s="135"/>
      <c r="H124" s="136"/>
      <c r="I124" s="136"/>
    </row>
    <row r="125" spans="7:9" x14ac:dyDescent="0.2">
      <c r="G125" s="135"/>
      <c r="H125" s="136"/>
      <c r="I125" s="136"/>
    </row>
    <row r="126" spans="7:9" x14ac:dyDescent="0.2">
      <c r="G126" s="135"/>
      <c r="H126" s="136"/>
      <c r="I126" s="136"/>
    </row>
    <row r="127" spans="7:9" x14ac:dyDescent="0.2">
      <c r="G127" s="135"/>
      <c r="H127" s="136"/>
      <c r="I127" s="136"/>
    </row>
    <row r="128" spans="7:9" x14ac:dyDescent="0.2">
      <c r="G128" s="135"/>
      <c r="H128" s="136"/>
      <c r="I128" s="136"/>
    </row>
    <row r="129" spans="7:9" x14ac:dyDescent="0.2">
      <c r="G129" s="135"/>
      <c r="H129" s="136"/>
      <c r="I129" s="136"/>
    </row>
    <row r="130" spans="7:9" x14ac:dyDescent="0.2">
      <c r="G130" s="135"/>
      <c r="H130" s="136"/>
      <c r="I130" s="136"/>
    </row>
    <row r="131" spans="7:9" x14ac:dyDescent="0.2">
      <c r="G131" s="135"/>
      <c r="H131" s="136"/>
      <c r="I131" s="136"/>
    </row>
    <row r="132" spans="7:9" x14ac:dyDescent="0.2">
      <c r="G132" s="135"/>
      <c r="H132" s="136"/>
      <c r="I132" s="136"/>
    </row>
    <row r="133" spans="7:9" x14ac:dyDescent="0.2">
      <c r="G133" s="135"/>
      <c r="H133" s="136"/>
      <c r="I133" s="136"/>
    </row>
    <row r="134" spans="7:9" x14ac:dyDescent="0.2">
      <c r="G134" s="135"/>
      <c r="H134" s="136"/>
      <c r="I134" s="136"/>
    </row>
    <row r="135" spans="7:9" x14ac:dyDescent="0.2">
      <c r="G135" s="135"/>
      <c r="H135" s="136"/>
      <c r="I135" s="136"/>
    </row>
    <row r="136" spans="7:9" x14ac:dyDescent="0.2">
      <c r="G136" s="135"/>
      <c r="H136" s="136"/>
      <c r="I136" s="136"/>
    </row>
    <row r="137" spans="7:9" x14ac:dyDescent="0.2">
      <c r="G137" s="135"/>
      <c r="H137" s="136"/>
      <c r="I137" s="136"/>
    </row>
    <row r="138" spans="7:9" x14ac:dyDescent="0.2">
      <c r="G138" s="135"/>
      <c r="H138" s="136"/>
      <c r="I138" s="136"/>
    </row>
    <row r="139" spans="7:9" x14ac:dyDescent="0.2">
      <c r="G139" s="135"/>
      <c r="H139" s="136"/>
      <c r="I139" s="136"/>
    </row>
    <row r="140" spans="7:9" x14ac:dyDescent="0.2">
      <c r="G140" s="135"/>
      <c r="H140" s="136"/>
      <c r="I140" s="136"/>
    </row>
    <row r="141" spans="7:9" x14ac:dyDescent="0.2">
      <c r="G141" s="135"/>
      <c r="H141" s="136"/>
      <c r="I141" s="136"/>
    </row>
    <row r="142" spans="7:9" x14ac:dyDescent="0.2">
      <c r="G142" s="135"/>
      <c r="H142" s="136"/>
      <c r="I142" s="136"/>
    </row>
    <row r="143" spans="7:9" x14ac:dyDescent="0.2">
      <c r="G143" s="135"/>
      <c r="H143" s="136"/>
      <c r="I143" s="136"/>
    </row>
    <row r="144" spans="7:9" x14ac:dyDescent="0.2">
      <c r="G144" s="135"/>
      <c r="H144" s="136"/>
      <c r="I144" s="136"/>
    </row>
    <row r="145" spans="7:9" x14ac:dyDescent="0.2">
      <c r="G145" s="135"/>
      <c r="H145" s="136"/>
      <c r="I145" s="136"/>
    </row>
    <row r="146" spans="7:9" x14ac:dyDescent="0.2">
      <c r="G146" s="135"/>
      <c r="H146" s="136"/>
      <c r="I146" s="136"/>
    </row>
    <row r="147" spans="7:9" x14ac:dyDescent="0.2">
      <c r="G147" s="135"/>
      <c r="H147" s="136"/>
      <c r="I147" s="136"/>
    </row>
    <row r="148" spans="7:9" x14ac:dyDescent="0.2">
      <c r="G148" s="135"/>
      <c r="H148" s="136"/>
      <c r="I148" s="136"/>
    </row>
    <row r="149" spans="7:9" x14ac:dyDescent="0.2">
      <c r="G149" s="135"/>
      <c r="H149" s="136"/>
      <c r="I149" s="136"/>
    </row>
    <row r="150" spans="7:9" x14ac:dyDescent="0.2">
      <c r="G150" s="135"/>
      <c r="H150" s="136"/>
      <c r="I150" s="136"/>
    </row>
    <row r="151" spans="7:9" x14ac:dyDescent="0.2">
      <c r="G151" s="135"/>
      <c r="H151" s="136"/>
      <c r="I151" s="136"/>
    </row>
    <row r="152" spans="7:9" x14ac:dyDescent="0.2">
      <c r="G152" s="135"/>
      <c r="H152" s="136"/>
      <c r="I152" s="136"/>
    </row>
    <row r="153" spans="7:9" x14ac:dyDescent="0.2">
      <c r="G153" s="135"/>
      <c r="H153" s="136"/>
      <c r="I153" s="136"/>
    </row>
    <row r="154" spans="7:9" x14ac:dyDescent="0.2">
      <c r="G154" s="135"/>
      <c r="H154" s="136"/>
      <c r="I154" s="136"/>
    </row>
    <row r="155" spans="7:9" x14ac:dyDescent="0.2">
      <c r="G155" s="135"/>
      <c r="H155" s="136"/>
      <c r="I155" s="136"/>
    </row>
    <row r="156" spans="7:9" x14ac:dyDescent="0.2">
      <c r="G156" s="135"/>
      <c r="H156" s="136"/>
      <c r="I156" s="136"/>
    </row>
    <row r="157" spans="7:9" x14ac:dyDescent="0.2">
      <c r="G157" s="135"/>
      <c r="H157" s="136"/>
      <c r="I157" s="136"/>
    </row>
    <row r="158" spans="7:9" x14ac:dyDescent="0.2">
      <c r="G158" s="135"/>
      <c r="H158" s="136"/>
      <c r="I158" s="136"/>
    </row>
    <row r="159" spans="7:9" x14ac:dyDescent="0.2">
      <c r="G159" s="135"/>
      <c r="H159" s="136"/>
      <c r="I159" s="136"/>
    </row>
    <row r="160" spans="7:9" x14ac:dyDescent="0.2">
      <c r="G160" s="135"/>
      <c r="H160" s="136"/>
      <c r="I160" s="136"/>
    </row>
    <row r="161" spans="7:9" x14ac:dyDescent="0.2">
      <c r="G161" s="135"/>
      <c r="H161" s="136"/>
      <c r="I161" s="136"/>
    </row>
    <row r="162" spans="7:9" x14ac:dyDescent="0.2">
      <c r="G162" s="135"/>
      <c r="H162" s="136"/>
      <c r="I162" s="136"/>
    </row>
    <row r="163" spans="7:9" x14ac:dyDescent="0.2">
      <c r="G163" s="135"/>
      <c r="H163" s="136"/>
      <c r="I163" s="136"/>
    </row>
    <row r="164" spans="7:9" x14ac:dyDescent="0.2">
      <c r="G164" s="135"/>
      <c r="H164" s="136"/>
      <c r="I164" s="136"/>
    </row>
    <row r="165" spans="7:9" x14ac:dyDescent="0.2">
      <c r="G165" s="135"/>
      <c r="H165" s="136"/>
      <c r="I165" s="136"/>
    </row>
    <row r="166" spans="7:9" x14ac:dyDescent="0.2">
      <c r="G166" s="135"/>
      <c r="H166" s="136"/>
      <c r="I166" s="136"/>
    </row>
    <row r="167" spans="7:9" x14ac:dyDescent="0.2">
      <c r="G167" s="135"/>
      <c r="H167" s="136"/>
      <c r="I167" s="136"/>
    </row>
    <row r="168" spans="7:9" x14ac:dyDescent="0.2">
      <c r="G168" s="135"/>
      <c r="H168" s="136"/>
      <c r="I168" s="136"/>
    </row>
    <row r="169" spans="7:9" x14ac:dyDescent="0.2">
      <c r="G169" s="135"/>
      <c r="H169" s="136"/>
      <c r="I169" s="136"/>
    </row>
    <row r="170" spans="7:9" x14ac:dyDescent="0.2">
      <c r="G170" s="135"/>
      <c r="H170" s="136"/>
      <c r="I170" s="136"/>
    </row>
    <row r="171" spans="7:9" x14ac:dyDescent="0.2">
      <c r="G171" s="135"/>
      <c r="H171" s="136"/>
      <c r="I171" s="136"/>
    </row>
    <row r="172" spans="7:9" x14ac:dyDescent="0.2">
      <c r="G172" s="135"/>
      <c r="H172" s="136"/>
      <c r="I172" s="136"/>
    </row>
    <row r="173" spans="7:9" x14ac:dyDescent="0.2">
      <c r="G173" s="135"/>
      <c r="H173" s="136"/>
      <c r="I173" s="136"/>
    </row>
    <row r="174" spans="7:9" x14ac:dyDescent="0.2">
      <c r="G174" s="135"/>
      <c r="H174" s="136"/>
      <c r="I174" s="136"/>
    </row>
    <row r="175" spans="7:9" x14ac:dyDescent="0.2">
      <c r="G175" s="135"/>
      <c r="H175" s="136"/>
      <c r="I175" s="136"/>
    </row>
    <row r="176" spans="7:9" x14ac:dyDescent="0.2">
      <c r="G176" s="135"/>
      <c r="H176" s="136"/>
      <c r="I176" s="136"/>
    </row>
    <row r="177" spans="7:9" x14ac:dyDescent="0.2">
      <c r="G177" s="135"/>
      <c r="H177" s="136"/>
      <c r="I177" s="136"/>
    </row>
    <row r="178" spans="7:9" x14ac:dyDescent="0.2">
      <c r="G178" s="135"/>
      <c r="H178" s="136"/>
      <c r="I178" s="136"/>
    </row>
    <row r="179" spans="7:9" x14ac:dyDescent="0.2">
      <c r="G179" s="135"/>
      <c r="H179" s="136"/>
      <c r="I179" s="136"/>
    </row>
    <row r="180" spans="7:9" x14ac:dyDescent="0.2">
      <c r="G180" s="135"/>
      <c r="H180" s="136"/>
      <c r="I180" s="136"/>
    </row>
    <row r="181" spans="7:9" x14ac:dyDescent="0.2">
      <c r="G181" s="135"/>
      <c r="H181" s="136"/>
      <c r="I181" s="136"/>
    </row>
    <row r="182" spans="7:9" x14ac:dyDescent="0.2">
      <c r="G182" s="135"/>
      <c r="H182" s="136"/>
      <c r="I182" s="136"/>
    </row>
    <row r="183" spans="7:9" x14ac:dyDescent="0.2">
      <c r="G183" s="135"/>
      <c r="H183" s="136"/>
      <c r="I183" s="136"/>
    </row>
    <row r="184" spans="7:9" x14ac:dyDescent="0.2">
      <c r="G184" s="135"/>
      <c r="H184" s="136"/>
      <c r="I184" s="136"/>
    </row>
    <row r="185" spans="7:9" x14ac:dyDescent="0.2">
      <c r="G185" s="135"/>
      <c r="H185" s="136"/>
      <c r="I185" s="136"/>
    </row>
    <row r="186" spans="7:9" x14ac:dyDescent="0.2">
      <c r="G186" s="135"/>
      <c r="H186" s="136"/>
      <c r="I186" s="136"/>
    </row>
    <row r="187" spans="7:9" x14ac:dyDescent="0.2">
      <c r="G187" s="135"/>
      <c r="H187" s="136"/>
      <c r="I187" s="136"/>
    </row>
    <row r="188" spans="7:9" x14ac:dyDescent="0.2">
      <c r="G188" s="135"/>
      <c r="H188" s="136"/>
      <c r="I188" s="136"/>
    </row>
    <row r="189" spans="7:9" x14ac:dyDescent="0.2">
      <c r="G189" s="135"/>
      <c r="H189" s="136"/>
      <c r="I189" s="136"/>
    </row>
    <row r="190" spans="7:9" x14ac:dyDescent="0.2">
      <c r="G190" s="135"/>
      <c r="H190" s="136"/>
      <c r="I190" s="136"/>
    </row>
    <row r="191" spans="7:9" x14ac:dyDescent="0.2">
      <c r="G191" s="135"/>
      <c r="H191" s="136"/>
      <c r="I191" s="136"/>
    </row>
    <row r="192" spans="7:9" x14ac:dyDescent="0.2">
      <c r="G192" s="135"/>
      <c r="H192" s="136"/>
      <c r="I192" s="136"/>
    </row>
    <row r="193" spans="7:9" x14ac:dyDescent="0.2">
      <c r="G193" s="135"/>
      <c r="H193" s="136"/>
      <c r="I193" s="136"/>
    </row>
    <row r="194" spans="7:9" x14ac:dyDescent="0.2">
      <c r="G194" s="135"/>
      <c r="H194" s="136"/>
      <c r="I194" s="136"/>
    </row>
    <row r="195" spans="7:9" x14ac:dyDescent="0.2">
      <c r="G195" s="135"/>
      <c r="H195" s="136"/>
      <c r="I195" s="136"/>
    </row>
    <row r="196" spans="7:9" x14ac:dyDescent="0.2">
      <c r="G196" s="135"/>
      <c r="H196" s="136"/>
      <c r="I196" s="136"/>
    </row>
    <row r="197" spans="7:9" x14ac:dyDescent="0.2">
      <c r="G197" s="135"/>
      <c r="H197" s="136"/>
      <c r="I197" s="136"/>
    </row>
    <row r="198" spans="7:9" x14ac:dyDescent="0.2">
      <c r="G198" s="135"/>
      <c r="H198" s="136"/>
      <c r="I198" s="136"/>
    </row>
    <row r="199" spans="7:9" x14ac:dyDescent="0.2">
      <c r="G199" s="135"/>
      <c r="H199" s="136"/>
      <c r="I199" s="136"/>
    </row>
    <row r="200" spans="7:9" x14ac:dyDescent="0.2">
      <c r="G200" s="135"/>
      <c r="H200" s="136"/>
      <c r="I200" s="136"/>
    </row>
    <row r="201" spans="7:9" x14ac:dyDescent="0.2">
      <c r="G201" s="135"/>
      <c r="H201" s="136"/>
      <c r="I201" s="136"/>
    </row>
    <row r="202" spans="7:9" x14ac:dyDescent="0.2">
      <c r="G202" s="135"/>
      <c r="H202" s="136"/>
      <c r="I202" s="136"/>
    </row>
    <row r="203" spans="7:9" x14ac:dyDescent="0.2">
      <c r="G203" s="135"/>
      <c r="H203" s="136"/>
      <c r="I203" s="136"/>
    </row>
    <row r="204" spans="7:9" x14ac:dyDescent="0.2">
      <c r="G204" s="135"/>
      <c r="H204" s="136"/>
      <c r="I204" s="136"/>
    </row>
    <row r="205" spans="7:9" x14ac:dyDescent="0.2">
      <c r="G205" s="135"/>
      <c r="H205" s="136"/>
      <c r="I205" s="136"/>
    </row>
    <row r="206" spans="7:9" x14ac:dyDescent="0.2">
      <c r="G206" s="135"/>
      <c r="H206" s="136"/>
      <c r="I206" s="136"/>
    </row>
    <row r="207" spans="7:9" x14ac:dyDescent="0.2">
      <c r="G207" s="135"/>
      <c r="H207" s="136"/>
      <c r="I207" s="136"/>
    </row>
    <row r="208" spans="7:9" x14ac:dyDescent="0.2">
      <c r="G208" s="135"/>
      <c r="H208" s="136"/>
      <c r="I208" s="136"/>
    </row>
    <row r="209" spans="7:9" x14ac:dyDescent="0.2">
      <c r="G209" s="135"/>
      <c r="H209" s="136"/>
      <c r="I209" s="136"/>
    </row>
    <row r="210" spans="7:9" x14ac:dyDescent="0.2">
      <c r="G210" s="135"/>
      <c r="H210" s="136"/>
      <c r="I210" s="136"/>
    </row>
    <row r="211" spans="7:9" x14ac:dyDescent="0.2">
      <c r="G211" s="135"/>
      <c r="H211" s="136"/>
      <c r="I211" s="136"/>
    </row>
    <row r="212" spans="7:9" x14ac:dyDescent="0.2">
      <c r="G212" s="135"/>
      <c r="H212" s="136"/>
      <c r="I212" s="136"/>
    </row>
    <row r="213" spans="7:9" x14ac:dyDescent="0.2">
      <c r="G213" s="135"/>
      <c r="H213" s="136"/>
      <c r="I213" s="136"/>
    </row>
    <row r="214" spans="7:9" x14ac:dyDescent="0.2">
      <c r="G214" s="135"/>
      <c r="H214" s="136"/>
      <c r="I214" s="136"/>
    </row>
    <row r="215" spans="7:9" x14ac:dyDescent="0.2">
      <c r="G215" s="135"/>
      <c r="H215" s="136"/>
      <c r="I215" s="136"/>
    </row>
    <row r="216" spans="7:9" x14ac:dyDescent="0.2">
      <c r="G216" s="135"/>
      <c r="H216" s="136"/>
      <c r="I216" s="136"/>
    </row>
    <row r="217" spans="7:9" x14ac:dyDescent="0.2">
      <c r="G217" s="135"/>
      <c r="H217" s="136"/>
      <c r="I217" s="136"/>
    </row>
    <row r="218" spans="7:9" x14ac:dyDescent="0.2">
      <c r="G218" s="135"/>
      <c r="H218" s="136"/>
      <c r="I218" s="136"/>
    </row>
    <row r="219" spans="7:9" x14ac:dyDescent="0.2">
      <c r="G219" s="135"/>
      <c r="H219" s="136"/>
      <c r="I219" s="136"/>
    </row>
    <row r="220" spans="7:9" x14ac:dyDescent="0.2">
      <c r="G220" s="135"/>
      <c r="H220" s="136"/>
      <c r="I220" s="136"/>
    </row>
    <row r="221" spans="7:9" x14ac:dyDescent="0.2">
      <c r="G221" s="135"/>
      <c r="H221" s="136"/>
      <c r="I221" s="136"/>
    </row>
    <row r="222" spans="7:9" x14ac:dyDescent="0.2">
      <c r="G222" s="135"/>
      <c r="H222" s="136"/>
      <c r="I222" s="136"/>
    </row>
    <row r="223" spans="7:9" x14ac:dyDescent="0.2">
      <c r="G223" s="135"/>
      <c r="H223" s="136"/>
      <c r="I223" s="136"/>
    </row>
    <row r="224" spans="7:9" x14ac:dyDescent="0.2">
      <c r="G224" s="135"/>
      <c r="H224" s="136"/>
      <c r="I224" s="136"/>
    </row>
    <row r="225" spans="7:9" x14ac:dyDescent="0.2">
      <c r="G225" s="135"/>
      <c r="H225" s="136"/>
      <c r="I225" s="136"/>
    </row>
    <row r="226" spans="7:9" x14ac:dyDescent="0.2">
      <c r="G226" s="135"/>
      <c r="H226" s="136"/>
      <c r="I226" s="136"/>
    </row>
    <row r="227" spans="7:9" x14ac:dyDescent="0.2">
      <c r="G227" s="135"/>
      <c r="H227" s="136"/>
      <c r="I227" s="136"/>
    </row>
    <row r="228" spans="7:9" x14ac:dyDescent="0.2">
      <c r="G228" s="135"/>
      <c r="H228" s="136"/>
      <c r="I228" s="136"/>
    </row>
    <row r="229" spans="7:9" x14ac:dyDescent="0.2">
      <c r="G229" s="135"/>
      <c r="H229" s="136"/>
      <c r="I229" s="136"/>
    </row>
    <row r="230" spans="7:9" x14ac:dyDescent="0.2">
      <c r="G230" s="135"/>
      <c r="H230" s="136"/>
      <c r="I230" s="136"/>
    </row>
    <row r="231" spans="7:9" x14ac:dyDescent="0.2">
      <c r="G231" s="135"/>
      <c r="H231" s="136"/>
      <c r="I231" s="136"/>
    </row>
    <row r="232" spans="7:9" x14ac:dyDescent="0.2">
      <c r="G232" s="135"/>
      <c r="H232" s="136"/>
      <c r="I232" s="136"/>
    </row>
    <row r="233" spans="7:9" x14ac:dyDescent="0.2">
      <c r="G233" s="135"/>
      <c r="H233" s="136"/>
      <c r="I233" s="136"/>
    </row>
    <row r="234" spans="7:9" x14ac:dyDescent="0.2">
      <c r="G234" s="135"/>
      <c r="H234" s="136"/>
      <c r="I234" s="136"/>
    </row>
    <row r="235" spans="7:9" x14ac:dyDescent="0.2">
      <c r="G235" s="135"/>
      <c r="H235" s="136"/>
      <c r="I235" s="136"/>
    </row>
    <row r="236" spans="7:9" x14ac:dyDescent="0.2">
      <c r="G236" s="135"/>
      <c r="H236" s="136"/>
      <c r="I236" s="136"/>
    </row>
    <row r="237" spans="7:9" x14ac:dyDescent="0.2">
      <c r="G237" s="135"/>
      <c r="H237" s="136"/>
      <c r="I237" s="136"/>
    </row>
    <row r="238" spans="7:9" x14ac:dyDescent="0.2">
      <c r="G238" s="135"/>
      <c r="H238" s="136"/>
      <c r="I238" s="136"/>
    </row>
    <row r="239" spans="7:9" x14ac:dyDescent="0.2">
      <c r="G239" s="135"/>
      <c r="H239" s="136"/>
      <c r="I239" s="136"/>
    </row>
    <row r="240" spans="7:9" x14ac:dyDescent="0.2">
      <c r="G240" s="135"/>
      <c r="H240" s="136"/>
      <c r="I240" s="136"/>
    </row>
    <row r="241" spans="7:9" x14ac:dyDescent="0.2">
      <c r="G241" s="135"/>
      <c r="H241" s="136"/>
      <c r="I241" s="136"/>
    </row>
    <row r="242" spans="7:9" x14ac:dyDescent="0.2">
      <c r="G242" s="135"/>
      <c r="H242" s="136"/>
      <c r="I242" s="136"/>
    </row>
    <row r="243" spans="7:9" x14ac:dyDescent="0.2">
      <c r="G243" s="135"/>
      <c r="H243" s="136"/>
      <c r="I243" s="136"/>
    </row>
    <row r="244" spans="7:9" x14ac:dyDescent="0.2">
      <c r="G244" s="135"/>
      <c r="H244" s="136"/>
      <c r="I244" s="136"/>
    </row>
    <row r="245" spans="7:9" x14ac:dyDescent="0.2">
      <c r="G245" s="135"/>
      <c r="H245" s="136"/>
      <c r="I245" s="136"/>
    </row>
    <row r="246" spans="7:9" x14ac:dyDescent="0.2">
      <c r="G246" s="135"/>
      <c r="H246" s="136"/>
      <c r="I246" s="136"/>
    </row>
    <row r="247" spans="7:9" x14ac:dyDescent="0.2">
      <c r="G247" s="135"/>
      <c r="H247" s="136"/>
      <c r="I247" s="136"/>
    </row>
    <row r="248" spans="7:9" x14ac:dyDescent="0.2">
      <c r="G248" s="135"/>
      <c r="H248" s="136"/>
      <c r="I248" s="136"/>
    </row>
    <row r="249" spans="7:9" x14ac:dyDescent="0.2">
      <c r="G249" s="135"/>
      <c r="H249" s="136"/>
      <c r="I249" s="136"/>
    </row>
    <row r="250" spans="7:9" x14ac:dyDescent="0.2">
      <c r="G250" s="135"/>
      <c r="H250" s="136"/>
      <c r="I250" s="136"/>
    </row>
    <row r="251" spans="7:9" x14ac:dyDescent="0.2">
      <c r="G251" s="135"/>
      <c r="H251" s="136"/>
      <c r="I251" s="136"/>
    </row>
    <row r="252" spans="7:9" x14ac:dyDescent="0.2">
      <c r="G252" s="135"/>
      <c r="H252" s="136"/>
      <c r="I252" s="136"/>
    </row>
    <row r="253" spans="7:9" x14ac:dyDescent="0.2">
      <c r="G253" s="135"/>
      <c r="H253" s="136"/>
      <c r="I253" s="136"/>
    </row>
    <row r="254" spans="7:9" x14ac:dyDescent="0.2">
      <c r="G254" s="135"/>
      <c r="H254" s="136"/>
      <c r="I254" s="136"/>
    </row>
    <row r="255" spans="7:9" x14ac:dyDescent="0.2">
      <c r="G255" s="135"/>
      <c r="H255" s="136"/>
      <c r="I255" s="136"/>
    </row>
    <row r="256" spans="7:9" x14ac:dyDescent="0.2">
      <c r="G256" s="135"/>
      <c r="H256" s="136"/>
      <c r="I256" s="136"/>
    </row>
    <row r="257" spans="7:9" x14ac:dyDescent="0.2">
      <c r="G257" s="135"/>
      <c r="H257" s="136"/>
      <c r="I257" s="136"/>
    </row>
    <row r="258" spans="7:9" x14ac:dyDescent="0.2">
      <c r="G258" s="135"/>
      <c r="H258" s="136"/>
      <c r="I258" s="136"/>
    </row>
    <row r="259" spans="7:9" x14ac:dyDescent="0.2">
      <c r="G259" s="135"/>
      <c r="H259" s="136"/>
      <c r="I259" s="136"/>
    </row>
    <row r="260" spans="7:9" x14ac:dyDescent="0.2">
      <c r="G260" s="135"/>
      <c r="H260" s="136"/>
      <c r="I260" s="136"/>
    </row>
    <row r="261" spans="7:9" x14ac:dyDescent="0.2">
      <c r="G261" s="135"/>
      <c r="H261" s="136"/>
      <c r="I261" s="136"/>
    </row>
    <row r="262" spans="7:9" x14ac:dyDescent="0.2">
      <c r="G262" s="135"/>
      <c r="H262" s="136"/>
      <c r="I262" s="136"/>
    </row>
    <row r="263" spans="7:9" x14ac:dyDescent="0.2">
      <c r="G263" s="135"/>
      <c r="H263" s="136"/>
      <c r="I263" s="136"/>
    </row>
    <row r="264" spans="7:9" x14ac:dyDescent="0.2">
      <c r="G264" s="135"/>
      <c r="H264" s="136"/>
      <c r="I264" s="136"/>
    </row>
    <row r="265" spans="7:9" x14ac:dyDescent="0.2">
      <c r="G265" s="135"/>
      <c r="H265" s="136"/>
      <c r="I265" s="136"/>
    </row>
    <row r="266" spans="7:9" x14ac:dyDescent="0.2">
      <c r="G266" s="135"/>
      <c r="H266" s="136"/>
      <c r="I266" s="136"/>
    </row>
    <row r="267" spans="7:9" x14ac:dyDescent="0.2">
      <c r="G267" s="135"/>
      <c r="H267" s="136"/>
      <c r="I267" s="136"/>
    </row>
    <row r="268" spans="7:9" x14ac:dyDescent="0.2">
      <c r="G268" s="135"/>
      <c r="H268" s="136"/>
      <c r="I268" s="136"/>
    </row>
    <row r="269" spans="7:9" x14ac:dyDescent="0.2">
      <c r="G269" s="135"/>
      <c r="H269" s="136"/>
      <c r="I269" s="136"/>
    </row>
    <row r="270" spans="7:9" x14ac:dyDescent="0.2">
      <c r="G270" s="135"/>
      <c r="H270" s="136"/>
      <c r="I270" s="136"/>
    </row>
    <row r="271" spans="7:9" x14ac:dyDescent="0.2">
      <c r="G271" s="135"/>
      <c r="H271" s="136"/>
      <c r="I271" s="136"/>
    </row>
    <row r="272" spans="7:9" x14ac:dyDescent="0.2">
      <c r="G272" s="135"/>
      <c r="H272" s="136"/>
      <c r="I272" s="136"/>
    </row>
    <row r="273" spans="7:9" x14ac:dyDescent="0.2">
      <c r="G273" s="135"/>
      <c r="H273" s="136"/>
      <c r="I273" s="136"/>
    </row>
    <row r="274" spans="7:9" x14ac:dyDescent="0.2">
      <c r="G274" s="135"/>
      <c r="H274" s="136"/>
      <c r="I274" s="136"/>
    </row>
    <row r="275" spans="7:9" x14ac:dyDescent="0.2">
      <c r="G275" s="135"/>
      <c r="H275" s="136"/>
      <c r="I275" s="136"/>
    </row>
    <row r="276" spans="7:9" x14ac:dyDescent="0.2">
      <c r="G276" s="135"/>
      <c r="H276" s="136"/>
      <c r="I276" s="136"/>
    </row>
    <row r="277" spans="7:9" x14ac:dyDescent="0.2">
      <c r="G277" s="135"/>
      <c r="H277" s="136"/>
      <c r="I277" s="136"/>
    </row>
    <row r="278" spans="7:9" x14ac:dyDescent="0.2">
      <c r="G278" s="135"/>
      <c r="H278" s="136"/>
      <c r="I278" s="136"/>
    </row>
    <row r="279" spans="7:9" x14ac:dyDescent="0.2">
      <c r="G279" s="135"/>
      <c r="H279" s="136"/>
      <c r="I279" s="136"/>
    </row>
    <row r="280" spans="7:9" x14ac:dyDescent="0.2">
      <c r="G280" s="135"/>
      <c r="H280" s="136"/>
      <c r="I280" s="136"/>
    </row>
    <row r="281" spans="7:9" x14ac:dyDescent="0.2">
      <c r="G281" s="135"/>
      <c r="H281" s="136"/>
      <c r="I281" s="136"/>
    </row>
    <row r="282" spans="7:9" x14ac:dyDescent="0.2">
      <c r="G282" s="135"/>
      <c r="H282" s="136"/>
      <c r="I282" s="136"/>
    </row>
    <row r="283" spans="7:9" x14ac:dyDescent="0.2">
      <c r="G283" s="135"/>
      <c r="H283" s="136"/>
      <c r="I283" s="136"/>
    </row>
    <row r="284" spans="7:9" x14ac:dyDescent="0.2">
      <c r="G284" s="135"/>
      <c r="H284" s="136"/>
      <c r="I284" s="136"/>
    </row>
    <row r="285" spans="7:9" x14ac:dyDescent="0.2">
      <c r="G285" s="135"/>
      <c r="H285" s="136"/>
      <c r="I285" s="136"/>
    </row>
    <row r="286" spans="7:9" x14ac:dyDescent="0.2">
      <c r="G286" s="135"/>
      <c r="H286" s="136"/>
      <c r="I286" s="136"/>
    </row>
    <row r="287" spans="7:9" x14ac:dyDescent="0.2">
      <c r="G287" s="135"/>
      <c r="H287" s="136"/>
      <c r="I287" s="136"/>
    </row>
    <row r="288" spans="7:9" x14ac:dyDescent="0.2">
      <c r="G288" s="135"/>
      <c r="H288" s="136"/>
      <c r="I288" s="136"/>
    </row>
    <row r="289" spans="7:9" x14ac:dyDescent="0.2">
      <c r="G289" s="135"/>
      <c r="H289" s="136"/>
      <c r="I289" s="136"/>
    </row>
    <row r="290" spans="7:9" x14ac:dyDescent="0.2">
      <c r="G290" s="135"/>
      <c r="H290" s="136"/>
      <c r="I290" s="136"/>
    </row>
    <row r="291" spans="7:9" x14ac:dyDescent="0.2">
      <c r="G291" s="135"/>
      <c r="H291" s="136"/>
      <c r="I291" s="136"/>
    </row>
    <row r="292" spans="7:9" x14ac:dyDescent="0.2">
      <c r="G292" s="135"/>
      <c r="H292" s="136"/>
      <c r="I292" s="136"/>
    </row>
    <row r="293" spans="7:9" x14ac:dyDescent="0.2">
      <c r="G293" s="135"/>
      <c r="H293" s="136"/>
      <c r="I293" s="136"/>
    </row>
    <row r="294" spans="7:9" x14ac:dyDescent="0.2">
      <c r="G294" s="135"/>
      <c r="H294" s="136"/>
      <c r="I294" s="136"/>
    </row>
    <row r="295" spans="7:9" x14ac:dyDescent="0.2">
      <c r="G295" s="135"/>
      <c r="H295" s="136"/>
      <c r="I295" s="136"/>
    </row>
    <row r="296" spans="7:9" x14ac:dyDescent="0.2">
      <c r="G296" s="135"/>
      <c r="H296" s="136"/>
      <c r="I296" s="136"/>
    </row>
    <row r="297" spans="7:9" x14ac:dyDescent="0.2">
      <c r="G297" s="135"/>
      <c r="H297" s="136"/>
      <c r="I297" s="136"/>
    </row>
    <row r="298" spans="7:9" x14ac:dyDescent="0.2">
      <c r="G298" s="135"/>
      <c r="H298" s="136"/>
      <c r="I298" s="136"/>
    </row>
    <row r="299" spans="7:9" x14ac:dyDescent="0.2">
      <c r="G299" s="135"/>
      <c r="H299" s="136"/>
      <c r="I299" s="136"/>
    </row>
    <row r="300" spans="7:9" x14ac:dyDescent="0.2">
      <c r="G300" s="135"/>
      <c r="H300" s="136"/>
      <c r="I300" s="136"/>
    </row>
    <row r="301" spans="7:9" x14ac:dyDescent="0.2">
      <c r="G301" s="135"/>
      <c r="H301" s="136"/>
      <c r="I301" s="136"/>
    </row>
    <row r="302" spans="7:9" x14ac:dyDescent="0.2">
      <c r="G302" s="135"/>
      <c r="H302" s="136"/>
      <c r="I302" s="136"/>
    </row>
    <row r="303" spans="7:9" x14ac:dyDescent="0.2">
      <c r="G303" s="135"/>
      <c r="H303" s="136"/>
      <c r="I303" s="136"/>
    </row>
    <row r="304" spans="7:9" x14ac:dyDescent="0.2">
      <c r="G304" s="135"/>
      <c r="H304" s="136"/>
      <c r="I304" s="136"/>
    </row>
    <row r="305" spans="7:9" x14ac:dyDescent="0.2">
      <c r="G305" s="135"/>
      <c r="H305" s="136"/>
      <c r="I305" s="136"/>
    </row>
    <row r="306" spans="7:9" x14ac:dyDescent="0.2">
      <c r="G306" s="135"/>
      <c r="H306" s="136"/>
      <c r="I306" s="136"/>
    </row>
    <row r="307" spans="7:9" x14ac:dyDescent="0.2">
      <c r="G307" s="135"/>
      <c r="H307" s="136"/>
      <c r="I307" s="136"/>
    </row>
    <row r="308" spans="7:9" x14ac:dyDescent="0.2">
      <c r="G308" s="135"/>
      <c r="H308" s="136"/>
      <c r="I308" s="136"/>
    </row>
    <row r="309" spans="7:9" x14ac:dyDescent="0.2">
      <c r="G309" s="135"/>
      <c r="H309" s="136"/>
      <c r="I309" s="136"/>
    </row>
    <row r="310" spans="7:9" x14ac:dyDescent="0.2">
      <c r="G310" s="135"/>
      <c r="H310" s="136"/>
      <c r="I310" s="136"/>
    </row>
    <row r="311" spans="7:9" x14ac:dyDescent="0.2">
      <c r="G311" s="135"/>
      <c r="H311" s="136"/>
      <c r="I311" s="136"/>
    </row>
    <row r="312" spans="7:9" x14ac:dyDescent="0.2">
      <c r="G312" s="135"/>
      <c r="H312" s="136"/>
      <c r="I312" s="136"/>
    </row>
    <row r="313" spans="7:9" x14ac:dyDescent="0.2">
      <c r="G313" s="135"/>
      <c r="H313" s="136"/>
      <c r="I313" s="136"/>
    </row>
    <row r="314" spans="7:9" x14ac:dyDescent="0.2">
      <c r="G314" s="135"/>
      <c r="H314" s="136"/>
      <c r="I314" s="136"/>
    </row>
    <row r="315" spans="7:9" x14ac:dyDescent="0.2">
      <c r="G315" s="135"/>
      <c r="H315" s="136"/>
      <c r="I315" s="136"/>
    </row>
    <row r="316" spans="7:9" x14ac:dyDescent="0.2">
      <c r="G316" s="135"/>
      <c r="H316" s="136"/>
      <c r="I316" s="136"/>
    </row>
    <row r="317" spans="7:9" x14ac:dyDescent="0.2">
      <c r="G317" s="135"/>
      <c r="H317" s="136"/>
      <c r="I317" s="136"/>
    </row>
    <row r="318" spans="7:9" x14ac:dyDescent="0.2">
      <c r="G318" s="135"/>
      <c r="H318" s="136"/>
      <c r="I318" s="136"/>
    </row>
    <row r="319" spans="7:9" x14ac:dyDescent="0.2">
      <c r="G319" s="135"/>
      <c r="H319" s="136"/>
      <c r="I319" s="136"/>
    </row>
    <row r="320" spans="7:9" x14ac:dyDescent="0.2">
      <c r="G320" s="135"/>
      <c r="H320" s="136"/>
      <c r="I320" s="136"/>
    </row>
    <row r="321" spans="7:9" x14ac:dyDescent="0.2">
      <c r="G321" s="135"/>
      <c r="H321" s="136"/>
      <c r="I321" s="136"/>
    </row>
    <row r="322" spans="7:9" x14ac:dyDescent="0.2">
      <c r="G322" s="135"/>
      <c r="H322" s="136"/>
      <c r="I322" s="136"/>
    </row>
    <row r="323" spans="7:9" x14ac:dyDescent="0.2">
      <c r="G323" s="135"/>
      <c r="H323" s="136"/>
      <c r="I323" s="136"/>
    </row>
    <row r="324" spans="7:9" x14ac:dyDescent="0.2">
      <c r="G324" s="135"/>
      <c r="H324" s="136"/>
      <c r="I324" s="136"/>
    </row>
    <row r="325" spans="7:9" x14ac:dyDescent="0.2">
      <c r="G325" s="135"/>
      <c r="H325" s="136"/>
      <c r="I325" s="136"/>
    </row>
    <row r="326" spans="7:9" x14ac:dyDescent="0.2">
      <c r="G326" s="135"/>
      <c r="H326" s="136"/>
      <c r="I326" s="136"/>
    </row>
    <row r="327" spans="7:9" x14ac:dyDescent="0.2">
      <c r="G327" s="135"/>
      <c r="H327" s="136"/>
      <c r="I327" s="136"/>
    </row>
    <row r="328" spans="7:9" x14ac:dyDescent="0.2">
      <c r="G328" s="135"/>
      <c r="H328" s="136"/>
      <c r="I328" s="136"/>
    </row>
    <row r="329" spans="7:9" x14ac:dyDescent="0.2">
      <c r="G329" s="135"/>
      <c r="H329" s="136"/>
      <c r="I329" s="136"/>
    </row>
    <row r="330" spans="7:9" x14ac:dyDescent="0.2">
      <c r="G330" s="135"/>
      <c r="H330" s="136"/>
      <c r="I330" s="136"/>
    </row>
    <row r="331" spans="7:9" x14ac:dyDescent="0.2">
      <c r="G331" s="135"/>
      <c r="H331" s="136"/>
      <c r="I331" s="136"/>
    </row>
    <row r="332" spans="7:9" x14ac:dyDescent="0.2">
      <c r="G332" s="135"/>
      <c r="H332" s="136"/>
      <c r="I332" s="136"/>
    </row>
    <row r="333" spans="7:9" x14ac:dyDescent="0.2">
      <c r="G333" s="135"/>
      <c r="H333" s="136"/>
      <c r="I333" s="136"/>
    </row>
    <row r="334" spans="7:9" x14ac:dyDescent="0.2">
      <c r="G334" s="135"/>
      <c r="H334" s="136"/>
      <c r="I334" s="136"/>
    </row>
    <row r="335" spans="7:9" x14ac:dyDescent="0.2">
      <c r="G335" s="135"/>
      <c r="H335" s="136"/>
      <c r="I335" s="136"/>
    </row>
    <row r="336" spans="7:9" x14ac:dyDescent="0.2">
      <c r="G336" s="135"/>
      <c r="H336" s="136"/>
      <c r="I336" s="136"/>
    </row>
    <row r="337" spans="7:9" x14ac:dyDescent="0.2">
      <c r="G337" s="135"/>
      <c r="H337" s="136"/>
      <c r="I337" s="136"/>
    </row>
    <row r="338" spans="7:9" x14ac:dyDescent="0.2">
      <c r="G338" s="135"/>
      <c r="H338" s="136"/>
      <c r="I338" s="136"/>
    </row>
    <row r="339" spans="7:9" x14ac:dyDescent="0.2">
      <c r="G339" s="135"/>
      <c r="H339" s="136"/>
      <c r="I339" s="136"/>
    </row>
    <row r="340" spans="7:9" x14ac:dyDescent="0.2">
      <c r="G340" s="135"/>
      <c r="H340" s="136"/>
      <c r="I340" s="136"/>
    </row>
    <row r="341" spans="7:9" x14ac:dyDescent="0.2">
      <c r="G341" s="135"/>
      <c r="H341" s="136"/>
      <c r="I341" s="136"/>
    </row>
    <row r="342" spans="7:9" x14ac:dyDescent="0.2">
      <c r="G342" s="135"/>
      <c r="H342" s="136"/>
      <c r="I342" s="136"/>
    </row>
    <row r="343" spans="7:9" x14ac:dyDescent="0.2">
      <c r="G343" s="135"/>
      <c r="H343" s="136"/>
      <c r="I343" s="136"/>
    </row>
    <row r="344" spans="7:9" x14ac:dyDescent="0.2">
      <c r="G344" s="135"/>
      <c r="H344" s="136"/>
      <c r="I344" s="136"/>
    </row>
    <row r="345" spans="7:9" x14ac:dyDescent="0.2">
      <c r="G345" s="135"/>
      <c r="H345" s="136"/>
      <c r="I345" s="136"/>
    </row>
    <row r="346" spans="7:9" x14ac:dyDescent="0.2">
      <c r="G346" s="135"/>
      <c r="H346" s="136"/>
      <c r="I346" s="136"/>
    </row>
    <row r="347" spans="7:9" x14ac:dyDescent="0.2">
      <c r="G347" s="135"/>
      <c r="H347" s="136"/>
      <c r="I347" s="136"/>
    </row>
    <row r="348" spans="7:9" x14ac:dyDescent="0.2">
      <c r="G348" s="135"/>
      <c r="H348" s="136"/>
      <c r="I348" s="136"/>
    </row>
    <row r="349" spans="7:9" x14ac:dyDescent="0.2">
      <c r="G349" s="135"/>
      <c r="H349" s="136"/>
      <c r="I349" s="136"/>
    </row>
    <row r="350" spans="7:9" x14ac:dyDescent="0.2">
      <c r="G350" s="135"/>
      <c r="H350" s="136"/>
      <c r="I350" s="136"/>
    </row>
    <row r="351" spans="7:9" x14ac:dyDescent="0.2">
      <c r="G351" s="135"/>
      <c r="H351" s="136"/>
      <c r="I351" s="136"/>
    </row>
    <row r="352" spans="7:9" x14ac:dyDescent="0.2">
      <c r="G352" s="135"/>
      <c r="H352" s="136"/>
      <c r="I352" s="136"/>
    </row>
    <row r="353" spans="7:9" x14ac:dyDescent="0.2">
      <c r="G353" s="135"/>
      <c r="H353" s="136"/>
      <c r="I353" s="136"/>
    </row>
    <row r="354" spans="7:9" x14ac:dyDescent="0.2">
      <c r="G354" s="135"/>
      <c r="H354" s="136"/>
      <c r="I354" s="136"/>
    </row>
    <row r="355" spans="7:9" x14ac:dyDescent="0.2">
      <c r="G355" s="135"/>
      <c r="H355" s="136"/>
      <c r="I355" s="136"/>
    </row>
    <row r="356" spans="7:9" x14ac:dyDescent="0.2">
      <c r="G356" s="135"/>
      <c r="H356" s="136"/>
      <c r="I356" s="136"/>
    </row>
    <row r="357" spans="7:9" x14ac:dyDescent="0.2">
      <c r="G357" s="135"/>
      <c r="H357" s="136"/>
      <c r="I357" s="136"/>
    </row>
    <row r="358" spans="7:9" x14ac:dyDescent="0.2">
      <c r="G358" s="135"/>
      <c r="H358" s="136"/>
      <c r="I358" s="136"/>
    </row>
    <row r="359" spans="7:9" x14ac:dyDescent="0.2">
      <c r="G359" s="135"/>
      <c r="H359" s="136"/>
      <c r="I359" s="136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1:AS359"/>
  <sheetViews>
    <sheetView showGridLines="0" zoomScale="70" zoomScaleNormal="70" workbookViewId="0">
      <selection activeCell="I41" sqref="I41"/>
    </sheetView>
  </sheetViews>
  <sheetFormatPr defaultRowHeight="16.5" x14ac:dyDescent="0.2"/>
  <cols>
    <col min="1" max="1" width="3" style="41" customWidth="1"/>
    <col min="2" max="2" width="2.25" style="41" customWidth="1"/>
    <col min="3" max="3" width="21.375" style="41" customWidth="1"/>
    <col min="4" max="4" width="15.375" style="41" customWidth="1"/>
    <col min="5" max="5" width="8.625" style="41" customWidth="1"/>
    <col min="6" max="6" width="18" style="41" customWidth="1"/>
    <col min="7" max="7" width="14.125" style="41" customWidth="1"/>
    <col min="8" max="8" width="2.25" style="41" customWidth="1"/>
    <col min="9" max="9" width="19.75" style="41" customWidth="1"/>
    <col min="10" max="10" width="15.125" style="41" bestFit="1" customWidth="1"/>
    <col min="11" max="11" width="5.25" style="41" customWidth="1"/>
    <col min="12" max="12" width="14.5" style="41" bestFit="1" customWidth="1"/>
    <col min="13" max="13" width="4.125" style="41" customWidth="1"/>
    <col min="14" max="14" width="14.625" style="41" customWidth="1"/>
    <col min="15" max="15" width="2.125" style="41" customWidth="1"/>
    <col min="16" max="16" width="17.625" style="41" customWidth="1"/>
    <col min="17" max="17" width="2" style="41" customWidth="1"/>
    <col min="18" max="18" width="15.125" style="41" customWidth="1"/>
    <col min="19" max="19" width="3.5" style="41" customWidth="1"/>
    <col min="20" max="20" width="11.75" style="41" bestFit="1" customWidth="1"/>
    <col min="21" max="21" width="2.25" style="41" customWidth="1"/>
    <col min="22" max="22" width="36.125" style="41" bestFit="1" customWidth="1"/>
    <col min="23" max="23" width="9.75" style="41" customWidth="1"/>
    <col min="24" max="24" width="23.25" style="41" customWidth="1"/>
    <col min="25" max="25" width="12.75" style="41" customWidth="1"/>
    <col min="26" max="26" width="1.375" style="41" customWidth="1"/>
    <col min="27" max="27" width="12.75" style="41" customWidth="1"/>
    <col min="28" max="28" width="1.375" style="41" customWidth="1"/>
    <col min="29" max="29" width="12.75" style="41" customWidth="1"/>
    <col min="30" max="30" width="1.375" style="41" customWidth="1"/>
    <col min="31" max="31" width="12.75" style="41" customWidth="1"/>
    <col min="32" max="32" width="1.375" style="41" customWidth="1"/>
    <col min="33" max="33" width="14.25" style="41" customWidth="1"/>
    <col min="34" max="34" width="1.375" style="41" customWidth="1"/>
    <col min="35" max="35" width="2.25" style="41" customWidth="1"/>
    <col min="36" max="37" width="9" style="41"/>
    <col min="38" max="38" width="13" style="41" bestFit="1" customWidth="1"/>
    <col min="39" max="39" width="9" style="41"/>
    <col min="40" max="40" width="13" style="41" bestFit="1" customWidth="1"/>
    <col min="41" max="41" width="9" style="41"/>
    <col min="42" max="42" width="13" style="41" bestFit="1" customWidth="1"/>
    <col min="43" max="16384" width="9" style="41"/>
  </cols>
  <sheetData>
    <row r="1" spans="2:45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</row>
    <row r="2" spans="2:45" ht="24" customHeight="1" x14ac:dyDescent="0.5">
      <c r="C2" s="43" t="str">
        <f>[1]!S_Info_Name(D2)</f>
        <v>药明生物</v>
      </c>
      <c r="D2" s="192" t="s">
        <v>246</v>
      </c>
      <c r="F2" s="44">
        <f>预测结果!A3</f>
        <v>45657</v>
      </c>
      <c r="G2" s="44"/>
      <c r="T2" s="46"/>
      <c r="V2" s="46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 s="7" customFormat="1" ht="12" customHeight="1" x14ac:dyDescent="0.2">
      <c r="C3" s="47"/>
      <c r="E3" s="47"/>
      <c r="F3" s="47"/>
      <c r="G3" s="48"/>
      <c r="J3" s="47"/>
      <c r="K3" s="47"/>
      <c r="L3" s="47"/>
      <c r="M3" s="47"/>
      <c r="N3" s="47"/>
      <c r="O3" s="47"/>
      <c r="Q3" s="47"/>
      <c r="R3" s="47"/>
      <c r="S3" s="47"/>
      <c r="T3" s="48"/>
      <c r="U3" s="47"/>
      <c r="V3" s="48"/>
      <c r="W3" s="47"/>
      <c r="Y3" s="47"/>
    </row>
    <row r="4" spans="2:45" s="7" customFormat="1" ht="17.2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2:45" s="7" customFormat="1" ht="24.6" customHeight="1" x14ac:dyDescent="0.2">
      <c r="B5" s="49"/>
      <c r="C5" s="51" t="s">
        <v>203</v>
      </c>
      <c r="D5" s="51"/>
      <c r="E5" s="51"/>
      <c r="F5" s="51"/>
      <c r="G5" s="51"/>
      <c r="H5" s="112"/>
      <c r="I5" s="51" t="s">
        <v>80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49"/>
      <c r="V5" s="51" t="s">
        <v>202</v>
      </c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49"/>
    </row>
    <row r="6" spans="2:45" s="7" customFormat="1" ht="24.6" customHeight="1" x14ac:dyDescent="0.2">
      <c r="B6" s="49"/>
      <c r="C6" s="53" t="s">
        <v>201</v>
      </c>
      <c r="D6" s="13"/>
      <c r="E6" s="54"/>
      <c r="F6" s="72" t="str">
        <f>D2</f>
        <v>2269.HK</v>
      </c>
      <c r="G6" s="55"/>
      <c r="H6" s="55"/>
      <c r="I6" s="13"/>
      <c r="J6" s="54" t="s">
        <v>200</v>
      </c>
      <c r="K6" s="54"/>
      <c r="L6" s="54" t="s">
        <v>199</v>
      </c>
      <c r="M6" s="54"/>
      <c r="N6" s="54" t="s">
        <v>198</v>
      </c>
      <c r="O6" s="54"/>
      <c r="P6" s="54" t="s">
        <v>197</v>
      </c>
      <c r="Q6" s="54"/>
      <c r="R6" s="54" t="s">
        <v>196</v>
      </c>
      <c r="S6" s="54"/>
      <c r="T6" s="54" t="s">
        <v>17</v>
      </c>
      <c r="U6" s="49"/>
      <c r="V6" s="13"/>
      <c r="W6" s="13"/>
      <c r="X6" s="13"/>
      <c r="Y6" s="54" t="s">
        <v>16</v>
      </c>
      <c r="Z6" s="54"/>
      <c r="AA6" s="54" t="s">
        <v>18</v>
      </c>
      <c r="AB6" s="54"/>
      <c r="AC6" s="54" t="s">
        <v>19</v>
      </c>
      <c r="AD6" s="54"/>
      <c r="AE6" s="54" t="s">
        <v>20</v>
      </c>
      <c r="AF6" s="54"/>
      <c r="AG6" s="54" t="s">
        <v>21</v>
      </c>
      <c r="AH6" s="54"/>
      <c r="AI6" s="49"/>
    </row>
    <row r="7" spans="2:45" s="7" customFormat="1" ht="24.6" customHeight="1" x14ac:dyDescent="0.2">
      <c r="B7" s="49"/>
      <c r="C7" s="56" t="s">
        <v>195</v>
      </c>
      <c r="D7" s="20"/>
      <c r="E7" s="57"/>
      <c r="F7" s="113" t="str">
        <f>[1]!S_Info_Name(F6)</f>
        <v>药明生物</v>
      </c>
      <c r="G7" s="20"/>
      <c r="H7" s="13"/>
      <c r="I7" s="56" t="s">
        <v>81</v>
      </c>
      <c r="J7" s="57">
        <f>DATE(YEAR(L7),MONTH(L7)-11,0)</f>
        <v>45291</v>
      </c>
      <c r="K7" s="57"/>
      <c r="L7" s="57">
        <f>IFERROR(IF(DATE(YEAR(F2),LEFT(F22,2)+1,0)&lt;=F2,DATE(YEAR(F2),LEFT(F22,2)+1,0),DATE(YEAR(F2),LEFT(F22,2)-11,0)),"NA")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>
        <f>DATE(YEAR(P7),MONTH(P7)+13,0)</f>
        <v>46752</v>
      </c>
      <c r="S7" s="57"/>
      <c r="T7" s="57">
        <f>DATE(YEAR(R7),MONTH(R7)+13,0)</f>
        <v>47118</v>
      </c>
      <c r="U7" s="49"/>
      <c r="V7" s="20"/>
      <c r="W7" s="20"/>
      <c r="X7" s="20"/>
      <c r="Y7" s="57">
        <f>IFERROR(IF(DATE(YEAR(F2),LEFT(F22,2)+1,0)&lt;=F2,DATE(YEAR(F2),LEFT(F22,2)+1,0),DATE(YEAR(F2),LEFT(F22,2)-11,0)),"NA")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57">
        <f>DATE(YEAR(AE7),MONTH(AE7)+13,0)</f>
        <v>47118</v>
      </c>
      <c r="AH7" s="57"/>
      <c r="AI7" s="49"/>
    </row>
    <row r="8" spans="2:45" s="7" customFormat="1" ht="24.6" customHeight="1" x14ac:dyDescent="0.2">
      <c r="B8" s="49"/>
      <c r="C8" s="53" t="s">
        <v>194</v>
      </c>
      <c r="D8" s="13"/>
      <c r="E8" s="58"/>
      <c r="F8" s="114" t="str">
        <f>[1]!s_info_compname(F6)</f>
        <v>药明生物技术有限公司</v>
      </c>
      <c r="G8" s="13"/>
      <c r="H8" s="13"/>
      <c r="I8" s="53" t="s">
        <v>193</v>
      </c>
      <c r="J8" s="115">
        <f>YEAR(J7)</f>
        <v>2023</v>
      </c>
      <c r="K8" s="115"/>
      <c r="L8" s="115">
        <f>YEAR(L7)</f>
        <v>2024</v>
      </c>
      <c r="M8" s="115"/>
      <c r="N8" s="115">
        <f>YEAR(N7)</f>
        <v>2025</v>
      </c>
      <c r="O8" s="115"/>
      <c r="P8" s="115">
        <f>YEAR(P7)</f>
        <v>2026</v>
      </c>
      <c r="Q8" s="115"/>
      <c r="R8" s="115">
        <f>YEAR(R7)</f>
        <v>2027</v>
      </c>
      <c r="S8" s="115"/>
      <c r="T8" s="115">
        <f>YEAR(T7)</f>
        <v>2028</v>
      </c>
      <c r="U8" s="49"/>
      <c r="V8" s="53" t="s">
        <v>192</v>
      </c>
      <c r="W8" s="13"/>
      <c r="X8" s="13"/>
      <c r="Y8" s="59">
        <f>[1]!hks_stm_bs($D2,"140",DATE(IF(MONTH(Y7)&gt;=6,YEAR(Y7)-1,YEAR(Y7)-2),12,31),1,"Cur="&amp;$F$14,100000000)</f>
        <v>445.05304451457704</v>
      </c>
      <c r="Z8" s="58"/>
      <c r="AA8" s="59">
        <f>IFERROR(Y12,"NA")</f>
        <v>0</v>
      </c>
      <c r="AB8" s="58"/>
      <c r="AC8" s="59">
        <f>IFERROR(AA12,"NA")</f>
        <v>47.872715730093525</v>
      </c>
      <c r="AD8" s="58"/>
      <c r="AE8" s="59">
        <f>IFERROR(AC12,"NA")</f>
        <v>104.99810179437743</v>
      </c>
      <c r="AF8" s="58"/>
      <c r="AG8" s="59" t="str">
        <f>IFERROR(AE12,"NA")</f>
        <v>NA</v>
      </c>
      <c r="AH8" s="58"/>
      <c r="AI8" s="49"/>
    </row>
    <row r="9" spans="2:45" s="7" customFormat="1" ht="24.6" customHeight="1" thickBot="1" x14ac:dyDescent="0.25">
      <c r="B9" s="49"/>
      <c r="C9" s="61" t="s">
        <v>25</v>
      </c>
      <c r="D9" s="62"/>
      <c r="E9" s="62"/>
      <c r="F9" s="116" t="str">
        <f>[1]!s_info_industry_gics(F6,4)</f>
        <v>生物科技</v>
      </c>
      <c r="G9" s="62"/>
      <c r="H9" s="13"/>
      <c r="I9" s="56" t="s">
        <v>23</v>
      </c>
      <c r="J9" s="63">
        <f>[1]!hks_fa_bps($D$2,DATE(YEAR(J7),12,31),"Cur="&amp;$F$14)</f>
        <v>10.453387676281698</v>
      </c>
      <c r="K9" s="63"/>
      <c r="L9" s="117">
        <f>[1]!hks_fa_bps($D$2,DATE(YEAR(L7),12,31),"Cur="&amp;$F$14)</f>
        <v>0</v>
      </c>
      <c r="M9" s="63"/>
      <c r="N9" s="63">
        <f>IF([1]!s_west_avgbps1($D$2,YEAR(N7),N7,180,"Cur="&amp;$F$14)=0,"NA",[1]!s_west_avgbps1($D$2,YEAR(N7),N7,180,"Cur="&amp;$F$14))</f>
        <v>13.276821221234457</v>
      </c>
      <c r="O9" s="63"/>
      <c r="P9" s="63">
        <f>IF([1]!s_west_avgbps1($D$2,YEAR(P7),P7,180,"Cur="&amp;$F$14)=0,"NA",[1]!s_west_avgbps1($D$2,YEAR(P7),P7,180,"Cur="&amp;$F$14))</f>
        <v>14.387895612324709</v>
      </c>
      <c r="Q9" s="63"/>
      <c r="R9" s="63" t="str">
        <f>IF([1]!s_west_avgbps1($D$2,YEAR(R7),R7,180,"Cur="&amp;$F$14)=0,"NA",[1]!s_west_avgbps1($D$2,YEAR(R7),R7,180,"Cur="&amp;$F$14))</f>
        <v>NA</v>
      </c>
      <c r="S9" s="63"/>
      <c r="T9" s="63" t="str">
        <f>IF([1]!s_west_avgbps1($D$2,YEAR(T7),T7,180,"Cur="&amp;$F$14)=0,"NA",[1]!s_west_avgbps1($D$2,YEAR(T7),T7,180,"Cur="&amp;$F$14))</f>
        <v>NA</v>
      </c>
      <c r="U9" s="49"/>
      <c r="V9" s="20"/>
      <c r="W9" s="20" t="s">
        <v>191</v>
      </c>
      <c r="X9" s="20"/>
      <c r="Y9" s="64">
        <f>[1]!hks_stm_is(D2,"61",DATE(IF(MONTH(Y7)&gt;=6,YEAR(Y7),YEAR(Y7)-1),12,31),1,"Cur="&amp;$F$14,100000000)</f>
        <v>0</v>
      </c>
      <c r="Z9" s="63"/>
      <c r="AA9" s="64">
        <f>IFERROR(N10*$F$26/10000,"NA")</f>
        <v>49.28032277890545</v>
      </c>
      <c r="AB9" s="63"/>
      <c r="AC9" s="64">
        <f>IFERROR(P10*$F$26/10000,"NA")</f>
        <v>58.532993113095834</v>
      </c>
      <c r="AD9" s="63"/>
      <c r="AE9" s="64" t="str">
        <f>IFERROR(R10*$F$26/10000,"NA")</f>
        <v>NA</v>
      </c>
      <c r="AF9" s="63"/>
      <c r="AG9" s="64" t="str">
        <f>IFERROR(T10*$F$26/10000,"NA")</f>
        <v>NA</v>
      </c>
      <c r="AH9" s="63"/>
      <c r="AI9" s="49"/>
    </row>
    <row r="10" spans="2:45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190</v>
      </c>
      <c r="J10" s="58">
        <f>[1]!hks_fa_eps_diluted3($D2,DATE(YEAR(J7),12,31),"Cur="&amp;$F$14)</f>
        <v>0.88113261680386656</v>
      </c>
      <c r="K10" s="104"/>
      <c r="L10" s="58">
        <f>[1]!hks_fa_eps_diluted3($D2,DATE(YEAR(L7),12,31),"Cur="&amp;$F$14)</f>
        <v>0</v>
      </c>
      <c r="M10" s="58"/>
      <c r="N10" s="127">
        <f>IF([1]!s_est_eps1($D$2,YEAR(N7),$F$2,"Cur="&amp;$F$14)=0,"NA",[1]!s_est_eps1($D$2,YEAR(N7),$F$2,"Cur="&amp;$F$14))</f>
        <v>1.157011137182326</v>
      </c>
      <c r="O10" s="58"/>
      <c r="P10" s="127">
        <f>IF([1]!s_est_eps1($D$2,YEAR(P7),$F$2,"Cur="&amp;$F$14)=0,"NA",[1]!s_est_eps1($D$2,YEAR(P7),$F$2,"Cur="&amp;$F$14))</f>
        <v>1.3742467805721716</v>
      </c>
      <c r="Q10" s="58"/>
      <c r="R10" s="127" t="str">
        <f>IF([1]!s_est_eps1($D$2,YEAR(R7),$F$2,"Cur="&amp;$F$14)=0,"NA",[1]!s_est_eps1($D$2,YEAR(R7),$F$2,"Cur="&amp;$F$14))</f>
        <v>NA</v>
      </c>
      <c r="S10" s="58"/>
      <c r="T10" s="127" t="str">
        <f>IF([1]!s_est_eps1($D$2,YEAR(T7),$F$2,"Cur="&amp;$F$14)=0,"NA",[1]!s_est_eps1($D$2,YEAR(T7),$F$2,"Cur="&amp;$F$14))</f>
        <v>NA</v>
      </c>
      <c r="U10" s="49"/>
      <c r="V10" s="13"/>
      <c r="W10" s="13" t="s">
        <v>28</v>
      </c>
      <c r="X10" s="13"/>
      <c r="Y10" s="59"/>
      <c r="Z10" s="58"/>
      <c r="AA10" s="59">
        <f>IFERROR(N11*$F$26/10000,"NA")</f>
        <v>1.4076070488119239</v>
      </c>
      <c r="AB10" s="58"/>
      <c r="AC10" s="59">
        <f>IFERROR(P11*$F$26/10000,"NA")</f>
        <v>1.4076070488119239</v>
      </c>
      <c r="AD10" s="58"/>
      <c r="AE10" s="59" t="str">
        <f>IFERROR(R11*$F$26/10000,"NA")</f>
        <v>NA</v>
      </c>
      <c r="AF10" s="58"/>
      <c r="AG10" s="59" t="str">
        <f>IFERROR(T11*$F$26/10000,"NA")</f>
        <v>NA</v>
      </c>
      <c r="AH10" s="58"/>
      <c r="AI10" s="49"/>
    </row>
    <row r="11" spans="2:45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95"/>
      <c r="I11" s="56" t="s">
        <v>189</v>
      </c>
      <c r="J11" s="63">
        <f>[1]!hks_fa_dps($D$2,YEAR(J7),"Cur="&amp;$F$14)</f>
        <v>0</v>
      </c>
      <c r="K11" s="63"/>
      <c r="L11" s="63">
        <f>[1]!hks_fa_dps($D$2,YEAR(L7),"Cur="&amp;$F$14)</f>
        <v>0</v>
      </c>
      <c r="M11" s="63"/>
      <c r="N11" s="63">
        <f>IF([1]!s_est_avgdps1($D$2,YEAR(N7),$F$2,"Cur="&amp;$F$14)=0,"NA",[1]!s_est_avgdps1($D$2,YEAR(N7),$F$2,"Cur="&amp;$F$14))</f>
        <v>3.3048018771274668E-2</v>
      </c>
      <c r="O11" s="63"/>
      <c r="P11" s="63">
        <f>IF([1]!s_west_mediandps1($D$2,YEAR(P7),$F$2,180,"Cur="&amp;$F$14)=0,"NA",[1]!s_west_mediandps1($D$2,YEAR(P7),$F$2,180,"Cur="&amp;$F$14))</f>
        <v>3.3048018771274668E-2</v>
      </c>
      <c r="Q11" s="63"/>
      <c r="R11" s="63" t="str">
        <f>IF([1]!s_west_mediandps1($D$2,YEAR(R7),$F$2,180,"Cur="&amp;$F$14)=0,"NA",[1]!s_west_mediandps1($D$2,YEAR(R7),$F$2,180,"Cur="&amp;$F$14))</f>
        <v>NA</v>
      </c>
      <c r="S11" s="63"/>
      <c r="T11" s="63" t="str">
        <f>IF([1]!s_west_mediandps1($D$2,YEAR(T7),$F$2,180,"Cur="&amp;$F$14)=0,"NA",[1]!s_west_mediandps1($D$2,YEAR(T7),$F$2,180,"Cur="&amp;$F$14))</f>
        <v>NA</v>
      </c>
      <c r="U11" s="49"/>
      <c r="V11" s="20"/>
      <c r="W11" s="20" t="s">
        <v>31</v>
      </c>
      <c r="X11" s="20"/>
      <c r="Y11" s="64"/>
      <c r="Z11" s="63"/>
      <c r="AA11" s="64"/>
      <c r="AB11" s="63"/>
      <c r="AC11" s="64"/>
      <c r="AD11" s="63"/>
      <c r="AE11" s="64"/>
      <c r="AF11" s="63"/>
      <c r="AG11" s="64"/>
      <c r="AH11" s="63"/>
      <c r="AI11" s="49"/>
    </row>
    <row r="12" spans="2:45" s="7" customFormat="1" ht="24.6" customHeight="1" x14ac:dyDescent="0.2">
      <c r="B12" s="49"/>
      <c r="C12" s="53" t="s">
        <v>157</v>
      </c>
      <c r="D12" s="13"/>
      <c r="E12" s="58"/>
      <c r="F12" s="72" t="str">
        <f>[1]!lastradeday_s(D2,F2)</f>
        <v>2024-04-25</v>
      </c>
      <c r="G12" s="49"/>
      <c r="H12" s="49"/>
      <c r="I12" s="53" t="s">
        <v>188</v>
      </c>
      <c r="J12" s="79">
        <f>[1]!hks_fa_roe($D$2,DATE(YEAR(J7),12,31))/100</f>
        <v>9.0204000000000006E-2</v>
      </c>
      <c r="K12" s="79"/>
      <c r="L12" s="79">
        <f>[1]!hks_fa_roe($D$2,DATE(YEAR(L7),12,31))/100</f>
        <v>0</v>
      </c>
      <c r="M12" s="79"/>
      <c r="N12" s="79">
        <f>IF([1]!s_west_avgroe($D$2,YEAR(N7),N7,180)/100=0,"NA",[1]!s_west_avgroe($D$2,YEAR(N7),N7,180)/100)</f>
        <v>8.9442999999999995E-2</v>
      </c>
      <c r="O12" s="79"/>
      <c r="P12" s="79">
        <f>IF([1]!s_west_avgroe($D$2,YEAR(P7),P7,180)/100=0,"NA",[1]!s_west_avgroe($D$2,YEAR(P7),P7,180)/100)</f>
        <v>9.7591999999999998E-2</v>
      </c>
      <c r="Q12" s="79"/>
      <c r="R12" s="79" t="str">
        <f>IF([1]!s_west_avgroe($D$2,YEAR(R7),R7,180)/100=0,"NA",[1]!s_west_avgroe($D$2,YEAR(R7),R7,180)/100)</f>
        <v>NA</v>
      </c>
      <c r="S12" s="79"/>
      <c r="T12" s="79" t="str">
        <f>IF([1]!s_west_avgroe($D$2,YEAR(T7),T7,180)/100=0,"NA",[1]!s_west_avgroe($D$2,YEAR(T7),T7,180)/100)</f>
        <v>NA</v>
      </c>
      <c r="U12" s="49"/>
      <c r="V12" s="53" t="s">
        <v>187</v>
      </c>
      <c r="W12" s="13"/>
      <c r="X12" s="13"/>
      <c r="Y12" s="60">
        <f>[1]!hks_stm_bs($D2,"140",DATE(IF(MONTH(Y7)&gt;=6,YEAR(Y7),YEAR(Y7)-1),12,31),1,"Cur="&amp;$F$14,100000000)</f>
        <v>0</v>
      </c>
      <c r="Z12" s="58"/>
      <c r="AA12" s="60">
        <f>IFERROR(AA8+AA9-AA10,"NA")</f>
        <v>47.872715730093525</v>
      </c>
      <c r="AB12" s="58"/>
      <c r="AC12" s="60">
        <f>IFERROR(AC8+AC9-AC10,"NA")</f>
        <v>104.99810179437743</v>
      </c>
      <c r="AD12" s="58"/>
      <c r="AE12" s="60" t="str">
        <f>IFERROR(AE8+AE9-AE10,"NA")</f>
        <v>NA</v>
      </c>
      <c r="AF12" s="58"/>
      <c r="AG12" s="60" t="str">
        <f>IFERROR(AG8+AG9-AG10,"NA")</f>
        <v>NA</v>
      </c>
      <c r="AH12" s="58"/>
      <c r="AI12" s="49"/>
    </row>
    <row r="13" spans="2:45" s="7" customFormat="1" ht="24.6" customHeight="1" x14ac:dyDescent="0.2">
      <c r="B13" s="49"/>
      <c r="C13" s="56" t="s">
        <v>186</v>
      </c>
      <c r="D13" s="20"/>
      <c r="E13" s="64"/>
      <c r="F13" s="69">
        <f>[1]!S_DQ_CLOSE(D2,F12,1)</f>
        <v>12.74</v>
      </c>
      <c r="G13" s="70"/>
      <c r="H13" s="49"/>
      <c r="I13" s="56" t="s">
        <v>185</v>
      </c>
      <c r="J13" s="90">
        <f>[1]!hks_fa_roa($D$2,DATE(YEAR(J7),12,31))/100</f>
        <v>6.4061000000000007E-2</v>
      </c>
      <c r="K13" s="90"/>
      <c r="L13" s="90">
        <f>[1]!hks_fa_roa($D$2,DATE(YEAR(L7),12,31))/100</f>
        <v>0</v>
      </c>
      <c r="M13" s="90"/>
      <c r="N13" s="90">
        <f>IF([1]!s_west_avgroa($D$2,YEAR(N7),N7,180)/100=0,"NA",[1]!s_west_avgroa($D$2,YEAR(N7),N7,180)/100)</f>
        <v>6.2350000000000003E-2</v>
      </c>
      <c r="O13" s="90"/>
      <c r="P13" s="90">
        <f>IF([1]!s_west_avgroa($D$2,YEAR(P7),P7,180)/100=0,"NA",[1]!s_west_avgroa($D$2,YEAR(P7),P7,180)/100)</f>
        <v>7.2300000000000003E-2</v>
      </c>
      <c r="Q13" s="90"/>
      <c r="R13" s="90" t="str">
        <f>IF([1]!s_west_avgroa($D$2,YEAR(R7),R7,180)/100=0,"NA",[1]!s_west_avgroa($D$2,YEAR(R7),R7,180)/100)</f>
        <v>NA</v>
      </c>
      <c r="S13" s="90"/>
      <c r="T13" s="90" t="str">
        <f>IF([1]!s_west_avgroa($D$2,YEAR(T7),T7,180)/100=0,"NA",[1]!s_west_avgroa($D$2,YEAR(T7),T7,180)/100)</f>
        <v>NA</v>
      </c>
      <c r="U13" s="49"/>
      <c r="V13" s="20"/>
      <c r="W13" s="20"/>
      <c r="X13" s="20"/>
      <c r="Y13" s="71"/>
      <c r="Z13" s="64"/>
      <c r="AA13" s="65"/>
      <c r="AB13" s="64"/>
      <c r="AC13" s="65"/>
      <c r="AD13" s="64"/>
      <c r="AE13" s="65"/>
      <c r="AF13" s="64"/>
      <c r="AG13" s="65"/>
      <c r="AH13" s="64"/>
      <c r="AI13" s="49"/>
    </row>
    <row r="14" spans="2:45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HKD</v>
      </c>
      <c r="G14" s="49"/>
      <c r="H14" s="72"/>
      <c r="I14" s="53" t="s">
        <v>34</v>
      </c>
      <c r="J14" s="144">
        <f>[1]!hks_fa_ebit3($D$2,DATE(YEAR(J7),12,31),1,"Cur="&amp;$F$14,100000000)</f>
        <v>43.004149102866847</v>
      </c>
      <c r="K14" s="144"/>
      <c r="L14" s="144">
        <f>[1]!hks_fa_ebit3($D$2,DATE(YEAR(L7),12,31),1,"Cur="&amp;$F$14,100000000)</f>
        <v>0</v>
      </c>
      <c r="M14" s="144"/>
      <c r="N14" s="144">
        <f>IF([1]!s_west_avgebit1($D$2,YEAR(N7),$F$2,180,"Cur="&amp;$F$14,100000000)=0,"NA",[1]!s_west_avgebit1($D$2,YEAR(N7),$F$2,180,"Cur="&amp;$F$14,100000000))</f>
        <v>59.490840190797236</v>
      </c>
      <c r="O14" s="144"/>
      <c r="P14" s="144">
        <f>IF([1]!s_west_avgebit1($D$2,YEAR(P7),$F$2,180,"Cur="&amp;$F$14,100000000)=0,"NA",[1]!s_west_avgebit1($D$2,YEAR(P7),$F$2,180,"Cur="&amp;$F$14,100000000))</f>
        <v>71.324234112164987</v>
      </c>
      <c r="Q14" s="144"/>
      <c r="R14" s="144" t="str">
        <f>IF([1]!s_west_avgebit1($D$2,YEAR(R7),$F$2,180,"Cur="&amp;$F$14,100000000)=0,"NA",[1]!s_west_avgebit1($D$2,YEAR(R7),$F$2,180,"Cur="&amp;$F$14,100000000))</f>
        <v>NA</v>
      </c>
      <c r="S14" s="144"/>
      <c r="T14" s="144" t="str">
        <f>IF([1]!s_west_avgebit1($D$2,YEAR(T7),$F$2,180,"Cur="&amp;$F$14,100000000)=0,"NA",[1]!s_west_avgebit1($D$2,YEAR(T7),$F$2,180,"Cur="&amp;$F$14,100000000))</f>
        <v>NA</v>
      </c>
      <c r="U14" s="49"/>
      <c r="V14" s="53" t="s">
        <v>184</v>
      </c>
      <c r="W14" s="13"/>
      <c r="X14" s="13"/>
      <c r="Y14" s="118">
        <f>IFERROR(Y8-AE28,"NA")</f>
        <v>404.70303835742413</v>
      </c>
      <c r="Z14" s="59"/>
      <c r="AA14" s="60">
        <f>IFERROR(Y15,"NA")</f>
        <v>-50.799761647282111</v>
      </c>
      <c r="AB14" s="59"/>
      <c r="AC14" s="60">
        <f>IFERROR(AA15,"NA")</f>
        <v>-2.9270459171885861</v>
      </c>
      <c r="AD14" s="59"/>
      <c r="AE14" s="60">
        <f>IFERROR(AC15,"NA")</f>
        <v>54.198340147095323</v>
      </c>
      <c r="AF14" s="59"/>
      <c r="AG14" s="60" t="str">
        <f>IFERROR(AE15,"NA")</f>
        <v>NA</v>
      </c>
      <c r="AH14" s="59"/>
      <c r="AI14" s="49"/>
    </row>
    <row r="15" spans="2:45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3925.9724999999999</v>
      </c>
      <c r="G15" s="70"/>
      <c r="H15" s="119"/>
      <c r="I15" s="56" t="s">
        <v>35</v>
      </c>
      <c r="J15" s="146">
        <f>[1]!hks_fa_ebitda2($D$2,DATE(YEAR(J7),12,31),1,"Cur="&amp;$F$14,100000000)</f>
        <v>0</v>
      </c>
      <c r="K15" s="146"/>
      <c r="L15" s="146">
        <f>[1]!hks_fa_ebitda2($D$2,DATE(YEAR(L7),12,31),1,"Cur="&amp;$F$14,100000000)</f>
        <v>0</v>
      </c>
      <c r="M15" s="146"/>
      <c r="N15" s="146">
        <f>IF([1]!s_est_avgebitda1($D$2,YEAR(N7),$F$2,"Cur="&amp;$F$14,100000000)=0,"NA",[1]!s_est_avgebitda1($D$2,YEAR(N7),$F$2,"Cur="&amp;$F$14,100000000))</f>
        <v>82.504378862487201</v>
      </c>
      <c r="O15" s="146"/>
      <c r="P15" s="146">
        <f>IF([1]!s_est_avgebitda1($D$2,YEAR(P7),$F$2,"Cur="&amp;$F$14,100000000)=0,"NA",[1]!s_est_avgebitda1($D$2,YEAR(P7),$F$2,"Cur="&amp;$F$14,100000000))</f>
        <v>95.550084272447876</v>
      </c>
      <c r="Q15" s="146"/>
      <c r="R15" s="146" t="str">
        <f>IF([1]!s_est_avgebitda1($D$2,YEAR(R7),$F$2,"Cur="&amp;$F$14,100000000)=0,"NA",[1]!s_est_avgebitda1($D$2,YEAR(R7),$F$2,"Cur="&amp;$F$14,100000000))</f>
        <v>NA</v>
      </c>
      <c r="S15" s="146"/>
      <c r="T15" s="146" t="str">
        <f>IF([1]!s_est_avgebitda1($D$2,YEAR(T7),$F$2,"Cur="&amp;$F$14,100000000)=0,"NA",[1]!s_est_avgebitda1($D$2,YEAR(T7),$F$2,"Cur="&amp;$F$14,100000000))</f>
        <v>NA</v>
      </c>
      <c r="U15" s="49"/>
      <c r="V15" s="56" t="s">
        <v>182</v>
      </c>
      <c r="W15" s="20"/>
      <c r="X15" s="20"/>
      <c r="Y15" s="65">
        <f>IFERROR(Y12-$AG28,"NA")</f>
        <v>-50.799761647282111</v>
      </c>
      <c r="Z15" s="64"/>
      <c r="AA15" s="65">
        <f>IFERROR(AA12-$AG28,"NA")</f>
        <v>-2.9270459171885861</v>
      </c>
      <c r="AB15" s="64"/>
      <c r="AC15" s="65">
        <f>IFERROR(AC12-$AG28,"NA")</f>
        <v>54.198340147095323</v>
      </c>
      <c r="AD15" s="64"/>
      <c r="AE15" s="65" t="str">
        <f>IFERROR(AE12-$AG28,"NA")</f>
        <v>NA</v>
      </c>
      <c r="AF15" s="64"/>
      <c r="AG15" s="65" t="str">
        <f>IFERROR(AG12-$AG28,"NA")</f>
        <v>NA</v>
      </c>
      <c r="AH15" s="64"/>
      <c r="AI15" s="49"/>
    </row>
    <row r="16" spans="2:45" s="7" customFormat="1" ht="24.6" customHeight="1" x14ac:dyDescent="0.2">
      <c r="B16" s="49"/>
      <c r="C16" s="53" t="s">
        <v>37</v>
      </c>
      <c r="D16" s="13"/>
      <c r="E16" s="59"/>
      <c r="F16" s="154">
        <f>[1]!s_pq_highclose(D2,DATE(YEAR(F12)-1,MONTH(F12),DAY(F12)),F12,3)</f>
        <v>51</v>
      </c>
      <c r="G16" s="49"/>
      <c r="H16" s="49"/>
      <c r="I16" s="53" t="s">
        <v>181</v>
      </c>
      <c r="J16" s="144">
        <f>[1]!hks_stm_is($D$2,"83",DATE(YEAR(J7),12,31),1,"Cur="&amp;$F$14,100000000)</f>
        <v>188.15762176954823</v>
      </c>
      <c r="K16" s="144"/>
      <c r="L16" s="144">
        <f>[1]!hks_stm_is($D$2,"83",DATE(YEAR(L7),12,31),1,"Cur="&amp;$F$14,100000000)</f>
        <v>0</v>
      </c>
      <c r="M16" s="144"/>
      <c r="N16" s="144">
        <f>IF([1]!s_est_sales1($D$2,YEAR(N7),$F$2,"Cur="&amp;$F$14,100000000)=0,"NA",[1]!s_est_sales1($D$2,YEAR(N7),$F$2,"Cur="&amp;$F$14,100000000))</f>
        <v>232.98941361798694</v>
      </c>
      <c r="O16" s="144"/>
      <c r="P16" s="144">
        <f>IF([1]!s_est_sales1($D$2,YEAR(P7),$F$2,"Cur="&amp;$F$14,100000000)=0,"NA",[1]!s_est_sales1($D$2,YEAR(P7),$F$2,"Cur="&amp;$F$14,100000000))</f>
        <v>268.22631971754964</v>
      </c>
      <c r="Q16" s="144"/>
      <c r="R16" s="144" t="str">
        <f>IF([1]!s_est_sales1($D$2,YEAR(R7),$F$2,"Cur="&amp;$F$14,100000000)=0,"NA",[1]!s_est_sales1($D$2,YEAR(R7),$F$2,"Cur="&amp;$F$14,100000000))</f>
        <v>NA</v>
      </c>
      <c r="S16" s="144"/>
      <c r="T16" s="144" t="str">
        <f>IF([1]!s_est_sales1($D$2,YEAR(T7),$F$2,"Cur="&amp;$F$14,100000000)=0,"NA",[1]!s_est_sales1($D$2,YEAR(T7),$F$2,"Cur="&amp;$F$14,100000000))</f>
        <v>NA</v>
      </c>
      <c r="U16" s="49"/>
      <c r="V16" s="13"/>
      <c r="W16" s="13"/>
      <c r="X16" s="13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49"/>
    </row>
    <row r="17" spans="2:42" s="7" customFormat="1" ht="24.6" customHeight="1" x14ac:dyDescent="0.2">
      <c r="B17" s="49"/>
      <c r="C17" s="56" t="s">
        <v>180</v>
      </c>
      <c r="D17" s="20"/>
      <c r="E17" s="64"/>
      <c r="F17" s="75">
        <f>F13/F16</f>
        <v>0.24980392156862746</v>
      </c>
      <c r="G17" s="70"/>
      <c r="H17" s="120"/>
      <c r="I17" s="56" t="s">
        <v>179</v>
      </c>
      <c r="J17" s="146">
        <f>[1]!hks_stm_is($D$2,"1016",DATE(YEAR(J7),12,31),1,"Cur="&amp;$F$14,100000000)</f>
        <v>46.057281896228282</v>
      </c>
      <c r="K17" s="146"/>
      <c r="L17" s="146">
        <f>[1]!hks_stm_is($D$2,"1016",DATE(YEAR(L7),12,31),1,"Cur="&amp;$F$14,100000000)</f>
        <v>0</v>
      </c>
      <c r="M17" s="146"/>
      <c r="N17" s="146">
        <f>IF([1]!s_est_avgebt1($D$2,YEAR(N7),$F$2,"Cur="&amp;$F$14,100000000)=0,"NA",[1]!s_est_avgebt1($D$2,YEAR(N7),$F$2,"Cur="&amp;$F$14,100000000))</f>
        <v>59.224003139561788</v>
      </c>
      <c r="O17" s="146"/>
      <c r="P17" s="146">
        <f>IF([1]!s_est_avgebt1($D$2,YEAR(P7),$F$2,"Cur="&amp;$F$14,100000000)=0,"NA",[1]!s_est_avgebt1($D$2,YEAR(P7),$F$2,"Cur="&amp;$F$14,100000000))</f>
        <v>69.110677814865014</v>
      </c>
      <c r="Q17" s="146"/>
      <c r="R17" s="146" t="str">
        <f>IF([1]!s_est_avgebt1($D$2,YEAR(R7),$F$2,"Cur="&amp;$F$14,100000000)=0,"NA",[1]!s_est_avgebt1($D$2,YEAR(R7),$F$2,"Cur="&amp;$F$14,100000000))</f>
        <v>NA</v>
      </c>
      <c r="S17" s="146"/>
      <c r="T17" s="146" t="str">
        <f>IF([1]!s_est_avgebt1($D$2,YEAR(T7),$F$2,"Cur="&amp;$F$14,100000000)=0,"NA",[1]!s_est_avgebt1($D$2,YEAR(T7),$F$2,"Cur="&amp;$F$14,100000000))</f>
        <v>NA</v>
      </c>
      <c r="U17" s="49"/>
      <c r="V17" s="56" t="s">
        <v>40</v>
      </c>
      <c r="W17" s="20"/>
      <c r="X17" s="20"/>
      <c r="Y17" s="65">
        <f>IFERROR(AE27,"NA")</f>
        <v>624.30453973648775</v>
      </c>
      <c r="Z17" s="64"/>
      <c r="AA17" s="64"/>
      <c r="AB17" s="64"/>
      <c r="AC17" s="64"/>
      <c r="AD17" s="64"/>
      <c r="AE17" s="64"/>
      <c r="AF17" s="64"/>
      <c r="AG17" s="64"/>
      <c r="AH17" s="64"/>
      <c r="AI17" s="49"/>
      <c r="AL17" s="141"/>
    </row>
    <row r="18" spans="2:42" s="7" customFormat="1" ht="24.6" customHeight="1" x14ac:dyDescent="0.2">
      <c r="B18" s="49"/>
      <c r="C18" s="53" t="s">
        <v>41</v>
      </c>
      <c r="D18" s="13"/>
      <c r="E18" s="58"/>
      <c r="F18" s="154">
        <f>[1]!s_pq_lowclose(D2,DATE(YEAR(F12)-1,MONTH(F12),DAY(F12)),F12,3)</f>
        <v>12.62</v>
      </c>
      <c r="G18" s="49"/>
      <c r="H18" s="49"/>
      <c r="I18" s="53" t="s">
        <v>39</v>
      </c>
      <c r="J18" s="144">
        <f>[1]!hks_stm_is($D$2,"61",DATE(YEAR(J7),12,31),1,"Cur="&amp;$F$14,100000000)</f>
        <v>37.515492926662404</v>
      </c>
      <c r="K18" s="145"/>
      <c r="L18" s="144">
        <f>[1]!hks_stm_is($D$2,"61",DATE(YEAR(L7),12,31),1,"Cur="&amp;$F$14,100000000)</f>
        <v>0</v>
      </c>
      <c r="M18" s="145"/>
      <c r="N18" s="144">
        <f>IF([1]!s_west_netprofit1($D$2,YEAR(N7),$F$2,180,"Cur="&amp;$F$14,100000000)=0,"NA",[1]!s_west_netprofit1($D$2,YEAR(N7),$F$2,180,"Cur="&amp;$F$14,100000000))</f>
        <v>49.278257190698092</v>
      </c>
      <c r="O18" s="145"/>
      <c r="P18" s="144">
        <f>IF([1]!s_west_netprofit1($D$2,YEAR(P7),$F$2,180,"Cur="&amp;$F$14,100000000)=0,"NA",[1]!s_west_netprofit1($D$2,YEAR(P7),$F$2,180,"Cur="&amp;$F$14,100000000))</f>
        <v>58.530898520550366</v>
      </c>
      <c r="Q18" s="145"/>
      <c r="R18" s="144" t="str">
        <f>IF([1]!s_west_netprofit1($D$2,YEAR(R7),$F$2,180,"Cur="&amp;$F$14,100000000)=0,"NA",[1]!s_west_netprofit1($D$2,YEAR(R7),$F$2,180,"Cur="&amp;$F$14,100000000))</f>
        <v>NA</v>
      </c>
      <c r="S18" s="145"/>
      <c r="T18" s="144" t="str">
        <f>IF([1]!s_west_netprofit1($D$2,YEAR(T7),$F$2,180,"Cur="&amp;$F$14,100000000)=0,"NA",[1]!s_west_netprofit1($D$2,YEAR(T7),$F$2,180,"Cur="&amp;$F$14,100000000))</f>
        <v>NA</v>
      </c>
      <c r="U18" s="49"/>
      <c r="V18" s="53" t="s">
        <v>178</v>
      </c>
      <c r="W18" s="13"/>
      <c r="X18" s="13"/>
      <c r="Y18" s="60">
        <f>IFERROR(AG27,"NA")</f>
        <v>0</v>
      </c>
      <c r="Z18" s="54"/>
      <c r="AA18" s="59"/>
      <c r="AB18" s="54"/>
      <c r="AC18" s="59"/>
      <c r="AD18" s="54"/>
      <c r="AE18" s="59"/>
      <c r="AF18" s="54"/>
      <c r="AG18" s="59"/>
      <c r="AH18" s="54"/>
      <c r="AI18" s="49"/>
      <c r="AP18" s="141"/>
    </row>
    <row r="19" spans="2:42" s="7" customFormat="1" ht="24.6" customHeight="1" thickBot="1" x14ac:dyDescent="0.25">
      <c r="B19" s="49"/>
      <c r="C19" s="56" t="s">
        <v>43</v>
      </c>
      <c r="D19" s="20"/>
      <c r="E19" s="64"/>
      <c r="F19" s="75">
        <f>F13/F18</f>
        <v>1.0095087163232965</v>
      </c>
      <c r="G19" s="70"/>
      <c r="H19" s="120"/>
      <c r="I19" s="61" t="s">
        <v>42</v>
      </c>
      <c r="J19" s="93">
        <f>[1]!hks_stm_is($D$2,"1041",DATE(YEAR(J7),12,31),1,"Cur="&amp;$F$14,100000000)</f>
        <v>43.004149102866847</v>
      </c>
      <c r="K19" s="121"/>
      <c r="L19" s="93">
        <f>[1]!hks_stm_is($D$2,"1041",DATE(YEAR(L7),12,31),1,"Cur="&amp;$F$14,100000000)</f>
        <v>0</v>
      </c>
      <c r="M19" s="121"/>
      <c r="N19" s="143">
        <f>IF([1]!s_west_avgoperatingprofit1($D$2,YEAR(N7),$F$2,180,"Cur="&amp;$F$14,100000000)=0,"NA",[1]!s_west_avgoperatingprofit1($D$2,YEAR(N7),$F$2,180,"Cur="&amp;$F$14,100000000))</f>
        <v>55.839903158289005</v>
      </c>
      <c r="O19" s="121"/>
      <c r="P19" s="143">
        <f>IF([1]!s_west_avgoperatingprofit1($D$2,YEAR(P7),$F$2,180,"Cur="&amp;$F$14,100000000)=0,"NA",[1]!s_west_avgoperatingprofit1($D$2,YEAR(P7),$F$2,180,"Cur="&amp;$F$14,100000000))</f>
        <v>65.765887835024301</v>
      </c>
      <c r="Q19" s="121"/>
      <c r="R19" s="143" t="str">
        <f>IF([1]!s_west_avgoperatingprofit1($D$2,YEAR(R7),$F$2,180,"Cur="&amp;$F$14,100000000)=0,"NA",[1]!s_west_avgoperatingprofit1($D$2,YEAR(R7),$F$2,180,"Cur="&amp;$F$14,100000000))</f>
        <v>NA</v>
      </c>
      <c r="S19" s="121"/>
      <c r="T19" s="143" t="str">
        <f>IF([1]!s_west_avgoperatingprofit1($D$2,YEAR(T7),$F$2,180,"Cur="&amp;$F$14,100000000)=0,"NA",[1]!s_west_avgoperatingprofit1($D$2,YEAR(T7),$F$2,180,"Cur="&amp;$F$14,100000000))</f>
        <v>NA</v>
      </c>
      <c r="U19" s="49"/>
      <c r="V19" s="20"/>
      <c r="W19" s="20"/>
      <c r="X19" s="20"/>
      <c r="Y19" s="64" t="str">
        <f>IF([1]!s_west_medianebt($D$2,YEAR(Y10),Y10,180,100000000)=0,"",[1]!s_west_medianebt($D$2,YEAR(Y10),Y10,180,100000000))</f>
        <v/>
      </c>
      <c r="Z19" s="57"/>
      <c r="AA19" s="64"/>
      <c r="AB19" s="57"/>
      <c r="AC19" s="64"/>
      <c r="AD19" s="57"/>
      <c r="AE19" s="64"/>
      <c r="AF19" s="57"/>
      <c r="AG19" s="64"/>
      <c r="AH19" s="57"/>
      <c r="AI19" s="49"/>
      <c r="AL19" s="141"/>
    </row>
    <row r="20" spans="2:42" s="7" customFormat="1" ht="24.6" customHeight="1" x14ac:dyDescent="0.2">
      <c r="B20" s="49"/>
      <c r="C20" s="53" t="s">
        <v>83</v>
      </c>
      <c r="D20" s="13"/>
      <c r="E20" s="59"/>
      <c r="F20" s="122">
        <f>[1]!s_risk_stdevy(D2,DATE(YEAR(F12)-1,MONTH(F12),DAY(F12)),F12,2,1)</f>
        <v>66.741956658925133</v>
      </c>
      <c r="G20" s="49"/>
      <c r="H20" s="11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53" t="s">
        <v>44</v>
      </c>
      <c r="W20" s="13"/>
      <c r="X20" s="13"/>
      <c r="Y20" s="79">
        <f>IFERROR((Y9/AVERAGE(Y8,Y12)), "NA")</f>
        <v>0</v>
      </c>
      <c r="Z20" s="58"/>
      <c r="AA20" s="79">
        <f>IFERROR((AA9/AVERAGE(AA8,AA12)), "NA")</f>
        <v>2.0588062334607469</v>
      </c>
      <c r="AB20" s="58"/>
      <c r="AC20" s="79">
        <f>IFERROR((AC9/AVERAGE(AC8,AC12)), "NA")</f>
        <v>0.76578373898898133</v>
      </c>
      <c r="AD20" s="58"/>
      <c r="AE20" s="79" t="str">
        <f>IFERROR((AE9/AVERAGE(AE8,AE12)), "NA")</f>
        <v>NA</v>
      </c>
      <c r="AF20" s="58"/>
      <c r="AG20" s="79" t="str">
        <f>IFERROR((AG9/AVERAGE(AG8,AG12)), "NA")</f>
        <v>NA</v>
      </c>
      <c r="AH20" s="58"/>
      <c r="AI20" s="49"/>
      <c r="AP20" s="141"/>
    </row>
    <row r="21" spans="2:42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1.8999933910982254</v>
      </c>
      <c r="G21" s="70"/>
      <c r="H21" s="123"/>
      <c r="I21" s="51" t="s">
        <v>84</v>
      </c>
      <c r="J21" s="51"/>
      <c r="K21" s="51"/>
      <c r="L21" s="51"/>
      <c r="M21" s="51"/>
      <c r="N21" s="51"/>
      <c r="O21" s="51"/>
      <c r="P21" s="51"/>
      <c r="Q21" s="51"/>
      <c r="R21" s="51"/>
      <c r="S21" s="49"/>
      <c r="T21" s="96"/>
      <c r="U21" s="49"/>
      <c r="V21" s="61" t="s">
        <v>177</v>
      </c>
      <c r="W21" s="62"/>
      <c r="X21" s="62"/>
      <c r="Y21" s="81">
        <f>IFERROR((Y9/AVERAGE(Y14,Y15)), "NA")</f>
        <v>0</v>
      </c>
      <c r="Z21" s="82"/>
      <c r="AA21" s="81">
        <f>IFERROR((AA9/AVERAGE(AA14,AA15)), "NA")</f>
        <v>-1.8344779827005508</v>
      </c>
      <c r="AB21" s="82"/>
      <c r="AC21" s="81">
        <f>IFERROR((AC9/AVERAGE(AC14,AC15)), "NA")</f>
        <v>2.2832656749652838</v>
      </c>
      <c r="AD21" s="82"/>
      <c r="AE21" s="81" t="str">
        <f>IFERROR((AE9/AVERAGE(AE14,AE15)), "NA")</f>
        <v>NA</v>
      </c>
      <c r="AF21" s="82"/>
      <c r="AG21" s="81" t="str">
        <f>IFERROR((AG9/AVERAGE(AG14,AG15)), "NA")</f>
        <v>NA</v>
      </c>
      <c r="AH21" s="82"/>
      <c r="AI21" s="49"/>
    </row>
    <row r="22" spans="2:42" s="7" customFormat="1" ht="24.6" customHeight="1" x14ac:dyDescent="0.2">
      <c r="B22" s="49"/>
      <c r="C22" s="53" t="s">
        <v>85</v>
      </c>
      <c r="D22" s="13"/>
      <c r="E22" s="49"/>
      <c r="F22" s="67" t="str">
        <f>[1]!hks_info_fiscaldate(D2)</f>
        <v>12-31</v>
      </c>
      <c r="G22" s="49"/>
      <c r="H22" s="123"/>
      <c r="I22" s="13"/>
      <c r="J22" s="54" t="s">
        <v>16</v>
      </c>
      <c r="K22" s="54"/>
      <c r="L22" s="54" t="s">
        <v>18</v>
      </c>
      <c r="M22" s="54"/>
      <c r="N22" s="54" t="s">
        <v>19</v>
      </c>
      <c r="O22" s="54"/>
      <c r="P22" s="54" t="s">
        <v>20</v>
      </c>
      <c r="Q22" s="54"/>
      <c r="R22" s="54" t="s">
        <v>21</v>
      </c>
      <c r="S22" s="49"/>
      <c r="T22" s="158"/>
      <c r="U22" s="49"/>
      <c r="V22" s="49"/>
      <c r="W22" s="49"/>
      <c r="X22" s="49"/>
      <c r="Y22" s="49"/>
      <c r="Z22" s="54"/>
      <c r="AA22" s="49"/>
      <c r="AB22" s="54"/>
      <c r="AC22" s="49"/>
      <c r="AD22" s="54"/>
      <c r="AE22" s="49"/>
      <c r="AF22" s="54"/>
      <c r="AG22" s="49"/>
      <c r="AH22" s="54"/>
      <c r="AI22" s="49"/>
    </row>
    <row r="23" spans="2:42" s="7" customFormat="1" ht="24.6" customHeight="1" thickBot="1" x14ac:dyDescent="0.25">
      <c r="B23" s="49"/>
      <c r="C23" s="61" t="s">
        <v>176</v>
      </c>
      <c r="D23" s="62"/>
      <c r="E23" s="64"/>
      <c r="F23" s="74">
        <f>[1]!s_div_aualaccmdiv2($D2,DATE(YEAR(F2)-1,MONTH(F2),DAY(F2)),F2,"Cur="&amp;$F$14,10000)</f>
        <v>0</v>
      </c>
      <c r="G23" s="20"/>
      <c r="H23" s="119"/>
      <c r="I23" s="56" t="s">
        <v>81</v>
      </c>
      <c r="J23" s="57">
        <f>DATE(L8,12,31)</f>
        <v>45657</v>
      </c>
      <c r="K23" s="57"/>
      <c r="L23" s="57">
        <f>DATE(YEAR(J23),MONTH(J23)+13,0)</f>
        <v>46022</v>
      </c>
      <c r="M23" s="57"/>
      <c r="N23" s="57">
        <f>DATE(YEAR(L23),MONTH(L23)+13,0)</f>
        <v>46387</v>
      </c>
      <c r="O23" s="57"/>
      <c r="P23" s="57">
        <f>DATE(YEAR(N23),MONTH(N23)+13,0)</f>
        <v>46752</v>
      </c>
      <c r="Q23" s="57"/>
      <c r="R23" s="57">
        <f>DATE(YEAR(P23),MONTH(P23)+13,0)</f>
        <v>47118</v>
      </c>
      <c r="S23" s="49"/>
      <c r="T23" s="158"/>
      <c r="U23" s="49"/>
      <c r="V23" s="51" t="s">
        <v>47</v>
      </c>
      <c r="W23" s="51"/>
      <c r="X23" s="51"/>
      <c r="Y23" s="51"/>
      <c r="Z23" s="124"/>
      <c r="AA23" s="51"/>
      <c r="AB23" s="124"/>
      <c r="AC23" s="51"/>
      <c r="AD23" s="124"/>
      <c r="AE23" s="51"/>
      <c r="AF23" s="124"/>
      <c r="AG23" s="51"/>
      <c r="AH23" s="124"/>
      <c r="AI23" s="49"/>
    </row>
    <row r="24" spans="2:42" s="7" customFormat="1" ht="24.6" customHeight="1" x14ac:dyDescent="0.2">
      <c r="B24" s="49"/>
      <c r="C24" s="49"/>
      <c r="D24" s="142"/>
      <c r="E24" s="142"/>
      <c r="F24" s="142"/>
      <c r="G24" s="142"/>
      <c r="H24" s="49"/>
      <c r="I24" s="53" t="s">
        <v>82</v>
      </c>
      <c r="J24" s="115">
        <f>YEAR(L7)</f>
        <v>2024</v>
      </c>
      <c r="K24" s="115"/>
      <c r="L24" s="115">
        <f>YEAR(N7)</f>
        <v>2025</v>
      </c>
      <c r="M24" s="115"/>
      <c r="N24" s="115">
        <f>YEAR(P7)</f>
        <v>2026</v>
      </c>
      <c r="O24" s="115"/>
      <c r="P24" s="115">
        <f>YEAR(R7)</f>
        <v>2027</v>
      </c>
      <c r="Q24" s="115"/>
      <c r="R24" s="115">
        <f>YEAR(T7)</f>
        <v>2028</v>
      </c>
      <c r="S24" s="49"/>
      <c r="T24" s="49"/>
      <c r="U24" s="49"/>
      <c r="V24" s="13"/>
      <c r="W24" s="13"/>
      <c r="X24" s="13"/>
      <c r="Y24" s="54" t="s">
        <v>175</v>
      </c>
      <c r="Z24" s="54"/>
      <c r="AA24" s="54" t="s">
        <v>49</v>
      </c>
      <c r="AB24" s="54"/>
      <c r="AC24" s="54" t="s">
        <v>135</v>
      </c>
      <c r="AD24" s="54"/>
      <c r="AE24" s="54" t="s">
        <v>50</v>
      </c>
      <c r="AF24" s="54"/>
      <c r="AG24" s="54" t="s">
        <v>51</v>
      </c>
      <c r="AH24" s="54"/>
      <c r="AI24" s="49"/>
    </row>
    <row r="25" spans="2:42" s="7" customFormat="1" ht="24.6" customHeight="1" x14ac:dyDescent="0.2">
      <c r="B25" s="49"/>
      <c r="C25" s="51" t="s">
        <v>212</v>
      </c>
      <c r="D25" s="51"/>
      <c r="E25" s="51"/>
      <c r="F25" s="51"/>
      <c r="G25" s="51"/>
      <c r="H25" s="95"/>
      <c r="I25" s="56" t="s">
        <v>86</v>
      </c>
      <c r="J25" s="125">
        <f>MONTH(L7)</f>
        <v>12</v>
      </c>
      <c r="K25" s="125"/>
      <c r="L25" s="125">
        <f>MONTH(N7)</f>
        <v>12</v>
      </c>
      <c r="M25" s="125"/>
      <c r="N25" s="125">
        <f>MONTH(P7)</f>
        <v>12</v>
      </c>
      <c r="O25" s="125"/>
      <c r="P25" s="125">
        <f>MONTH(R7)</f>
        <v>12</v>
      </c>
      <c r="Q25" s="125"/>
      <c r="R25" s="125">
        <f>MONTH(T7)</f>
        <v>12</v>
      </c>
      <c r="S25" s="49"/>
      <c r="T25" s="49"/>
      <c r="U25" s="49"/>
      <c r="V25" s="20"/>
      <c r="W25" s="20"/>
      <c r="X25" s="20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DATE(YEAR(AG25),MONTH(AG25)-11,0)</f>
        <v>45291</v>
      </c>
      <c r="AF25" s="57"/>
      <c r="AG25" s="57">
        <f>IFERROR(IF(DATE(YEAR(F2),LEFT(F22,2)+1,0)&lt;=F2,DATE(YEAR(F2),LEFT(F22,2)+1,0),DATE(YEAR(F2),LEFT(F22,2)-11,0)),"NA")</f>
        <v>45657</v>
      </c>
      <c r="AH25" s="57"/>
      <c r="AI25" s="49"/>
    </row>
    <row r="26" spans="2:42" s="7" customFormat="1" ht="24.6" customHeight="1" x14ac:dyDescent="0.2">
      <c r="B26" s="49"/>
      <c r="C26" s="53" t="s">
        <v>52</v>
      </c>
      <c r="D26" s="13"/>
      <c r="E26" s="58"/>
      <c r="F26" s="88">
        <f>[1]!S_SHARE_TOTAL(D2,F12,10000)</f>
        <v>425927.81689999998</v>
      </c>
      <c r="G26" s="49"/>
      <c r="H26" s="88"/>
      <c r="I26" s="53" t="s">
        <v>23</v>
      </c>
      <c r="J26" s="58">
        <f>IFERROR(SUM(J$25*L9/12,((12-J$25)/12)*N9),"NA")</f>
        <v>0</v>
      </c>
      <c r="K26" s="58"/>
      <c r="L26" s="58">
        <f t="shared" ref="L26:L36" si="0">IFERROR(SUM(L$25*N9/12,((12-L$25)/12)*P9),"NA")</f>
        <v>13.276821221234457</v>
      </c>
      <c r="M26" s="58"/>
      <c r="N26" s="58" t="str">
        <f t="shared" ref="N26:N36" si="1">IFERROR(SUM(N$25*P9/12,((12-N$25)/12)*R9),"NA")</f>
        <v>NA</v>
      </c>
      <c r="O26" s="58"/>
      <c r="P26" s="58" t="str">
        <f t="shared" ref="P26:P36" si="2">IFERROR(SUM(P$25*R9/12,((12-P$25)/12)*T9),"NA")</f>
        <v>NA</v>
      </c>
      <c r="Q26" s="58"/>
      <c r="R26" s="58" t="str">
        <f t="shared" ref="R26:R36" si="3">IFERROR(SUM(R$25*T9/12,((12-R$25)/12)*V9),"NA")</f>
        <v>NA</v>
      </c>
      <c r="S26" s="58"/>
      <c r="T26" s="49"/>
      <c r="U26" s="49"/>
      <c r="V26" s="53" t="s">
        <v>174</v>
      </c>
      <c r="W26" s="13"/>
      <c r="X26" s="13"/>
      <c r="Y26" s="59"/>
      <c r="Z26" s="58"/>
      <c r="AA26" s="59"/>
      <c r="AB26" s="58"/>
      <c r="AC26" s="59"/>
      <c r="AD26" s="58"/>
      <c r="AE26" s="59"/>
      <c r="AF26" s="58"/>
      <c r="AG26" s="59"/>
      <c r="AH26" s="58"/>
      <c r="AI26" s="49"/>
      <c r="AN26" s="141"/>
    </row>
    <row r="27" spans="2:42" s="7" customFormat="1" ht="24.6" customHeight="1" x14ac:dyDescent="0.2">
      <c r="B27" s="49"/>
      <c r="C27" s="20"/>
      <c r="D27" s="20" t="s">
        <v>54</v>
      </c>
      <c r="E27" s="64"/>
      <c r="F27" s="89"/>
      <c r="G27" s="70"/>
      <c r="H27" s="88"/>
      <c r="I27" s="56" t="s">
        <v>26</v>
      </c>
      <c r="J27" s="64">
        <f>IFERROR(SUM(J$25*L10/12,((12-J$25)/12)*N10),"NA")</f>
        <v>0</v>
      </c>
      <c r="K27" s="63"/>
      <c r="L27" s="64">
        <f t="shared" si="0"/>
        <v>1.157011137182326</v>
      </c>
      <c r="M27" s="63"/>
      <c r="N27" s="64" t="str">
        <f t="shared" si="1"/>
        <v>NA</v>
      </c>
      <c r="O27" s="63"/>
      <c r="P27" s="64" t="str">
        <f t="shared" si="2"/>
        <v>NA</v>
      </c>
      <c r="Q27" s="63"/>
      <c r="R27" s="64" t="str">
        <f t="shared" si="3"/>
        <v>NA</v>
      </c>
      <c r="S27" s="49"/>
      <c r="T27" s="49"/>
      <c r="U27" s="49"/>
      <c r="V27" s="20"/>
      <c r="W27" s="20" t="s">
        <v>55</v>
      </c>
      <c r="X27" s="20"/>
      <c r="Y27" s="64">
        <f>[1]!hks_stm_bs($D2,"74",DATE(YEAR(Y25),12,31),1,"Cur="&amp;$F$14,100000000)</f>
        <v>344.13303787842779</v>
      </c>
      <c r="Z27" s="63"/>
      <c r="AA27" s="64">
        <f>[1]!hks_stm_bs($D2,"74",DATE(YEAR(AA25),12,31),1,"Cur="&amp;$F$14,100000000)</f>
        <v>538.55947896281793</v>
      </c>
      <c r="AB27" s="63"/>
      <c r="AC27" s="64">
        <f>[1]!hks_stm_bs($D2,"74",DATE(YEAR(AC25),12,31),1,"Cur="&amp;$F$14,100000000)</f>
        <v>554.86454263548535</v>
      </c>
      <c r="AD27" s="63"/>
      <c r="AE27" s="64">
        <f>[1]!hks_stm_bs($D2,"74",DATE(YEAR(AE25),12,31),1,"Cur="&amp;$F$14,100000000)</f>
        <v>624.30453973648775</v>
      </c>
      <c r="AF27" s="63"/>
      <c r="AG27" s="64">
        <f>[1]!hks_stm_bs($D2,"74",DATE(YEAR(AG25),12,31),1,"Cur="&amp;$F$14,100000000)</f>
        <v>0</v>
      </c>
      <c r="AH27" s="63"/>
      <c r="AI27" s="49"/>
    </row>
    <row r="28" spans="2:42" s="7" customFormat="1" ht="24.6" customHeight="1" x14ac:dyDescent="0.2">
      <c r="B28" s="49"/>
      <c r="C28" s="13"/>
      <c r="D28" s="13" t="s">
        <v>173</v>
      </c>
      <c r="E28" s="59" t="s">
        <v>12</v>
      </c>
      <c r="F28" s="88"/>
      <c r="G28" s="49"/>
      <c r="H28" s="88"/>
      <c r="I28" s="53" t="s">
        <v>27</v>
      </c>
      <c r="J28" s="59">
        <f t="shared" ref="J28:J36" si="4">IFERROR(SUM(J$25*L11/12,((12-J$25)/12)*N11),"NA")</f>
        <v>0</v>
      </c>
      <c r="K28" s="58"/>
      <c r="L28" s="59">
        <f t="shared" si="0"/>
        <v>3.3048018771274668E-2</v>
      </c>
      <c r="M28" s="58"/>
      <c r="N28" s="59" t="str">
        <f t="shared" si="1"/>
        <v>NA</v>
      </c>
      <c r="O28" s="58"/>
      <c r="P28" s="59" t="str">
        <f t="shared" si="2"/>
        <v>NA</v>
      </c>
      <c r="Q28" s="58"/>
      <c r="R28" s="59" t="str">
        <f t="shared" si="3"/>
        <v>NA</v>
      </c>
      <c r="S28" s="49"/>
      <c r="T28" s="49"/>
      <c r="U28" s="49"/>
      <c r="V28" s="13"/>
      <c r="W28" s="13" t="s">
        <v>120</v>
      </c>
      <c r="X28" s="13"/>
      <c r="Y28" s="59"/>
      <c r="Z28" s="58"/>
      <c r="AA28" s="59">
        <f>IF([1]!hks_stm_bs($D2,"1070",DATE(IF(MONTH(AA25)&gt;=6,YEAR(AA25)-1,YEAR(AA25)-2),12,31),1,"Cur="&amp;$F$14,100000000)=0,"NA",[1]!hks_stm_bs($D2,"1070",DATE(IF(MONTH(AA25)&gt;=6,YEAR(AA25)-1,YEAR(AA25)-2),12,31),1,"Cur="&amp;$F$14,100000000))</f>
        <v>15.00647545268761</v>
      </c>
      <c r="AB28" s="58"/>
      <c r="AC28" s="59">
        <f>IF([1]!hks_stm_bs($D2,"1070",DATE(IF(MONTH(AC25)&gt;=6,YEAR(AC25)-1,YEAR(AC25)-2),12,31),1,"Cur="&amp;$F$14,100000000)=0,"NA",[1]!hks_stm_bs($D2,"1070",DATE(IF(MONTH(AC25)&gt;=6,YEAR(AC25)-1,YEAR(AC25)-2),12,31),1,"Cur="&amp;$F$14,100000000))</f>
        <v>44.004696673189819</v>
      </c>
      <c r="AD28" s="58"/>
      <c r="AE28" s="59">
        <f>IF([1]!hks_stm_bs($D2,"1070",DATE(IF(MONTH(AE25)&gt;=6,YEAR(AE25)-1,YEAR(AE25)-2),12,31),1,"Cur="&amp;$F$14,100000000)=0,"NA",[1]!hks_stm_bs($D2,"1070",DATE(IF(MONTH(AE25)&gt;=6,YEAR(AE25)-1,YEAR(AE25)-2),12,31),1,"Cur="&amp;$F$14,100000000))</f>
        <v>40.350006157152933</v>
      </c>
      <c r="AF28" s="58"/>
      <c r="AG28" s="59">
        <f>IF([1]!hks_stm_bs($D2,"1070",DATE(IF(MONTH(AG25)&gt;=6,YEAR(AG25)-1,YEAR(AG25)-2),12,31),1,"Cur="&amp;$F$14,100000000)=0,"NA",[1]!hks_stm_bs($D2,"1070",DATE(IF(MONTH(AG25)&gt;=6,YEAR(AG25)-1,YEAR(AG25)-2),12,31),1,"Cur="&amp;$F$14,100000000))</f>
        <v>50.799761647282111</v>
      </c>
      <c r="AH28" s="58"/>
      <c r="AI28" s="49"/>
    </row>
    <row r="29" spans="2:42" s="7" customFormat="1" ht="24.6" customHeight="1" x14ac:dyDescent="0.2">
      <c r="B29" s="49"/>
      <c r="C29" s="20"/>
      <c r="D29" s="20" t="s">
        <v>56</v>
      </c>
      <c r="E29" s="64"/>
      <c r="F29" s="89"/>
      <c r="G29" s="70"/>
      <c r="H29" s="88"/>
      <c r="I29" s="56" t="s">
        <v>30</v>
      </c>
      <c r="J29" s="90">
        <f t="shared" si="4"/>
        <v>0</v>
      </c>
      <c r="K29" s="90"/>
      <c r="L29" s="90">
        <f t="shared" si="0"/>
        <v>8.9442999999999995E-2</v>
      </c>
      <c r="M29" s="90"/>
      <c r="N29" s="90" t="str">
        <f t="shared" si="1"/>
        <v>NA</v>
      </c>
      <c r="O29" s="90"/>
      <c r="P29" s="90" t="str">
        <f t="shared" si="2"/>
        <v>NA</v>
      </c>
      <c r="Q29" s="90"/>
      <c r="R29" s="90" t="str">
        <f t="shared" si="3"/>
        <v>NA</v>
      </c>
      <c r="S29" s="49"/>
      <c r="T29" s="49"/>
      <c r="U29" s="49"/>
      <c r="V29" s="20"/>
      <c r="W29" s="20" t="s">
        <v>59</v>
      </c>
      <c r="X29" s="20"/>
      <c r="Y29" s="64">
        <f>[1]!hks_stm_bs($D2,"140",DATE(YEAR(Y25),12,31),1,"Cur="&amp;$F$14,100000000)</f>
        <v>244.33778099900192</v>
      </c>
      <c r="Z29" s="63"/>
      <c r="AA29" s="64">
        <f>[1]!hks_stm_bs($D2,"140",DATE(YEAR(AA25),12,31),1,"Cur="&amp;$F$14,100000000)</f>
        <v>394.79688111545983</v>
      </c>
      <c r="AB29" s="63"/>
      <c r="AC29" s="64">
        <f>[1]!hks_stm_bs($D2,"140",DATE(YEAR(AC25),12,31),1,"Cur="&amp;$F$14,100000000)</f>
        <v>392.34953597456536</v>
      </c>
      <c r="AD29" s="63"/>
      <c r="AE29" s="64">
        <f>[1]!hks_stm_bs($D2,"140",DATE(YEAR(AE25),12,31),1,"Cur="&amp;$F$14,100000000)</f>
        <v>445.05304451457704</v>
      </c>
      <c r="AF29" s="63"/>
      <c r="AG29" s="64">
        <f>[1]!hks_stm_bs($D2,"140",DATE(YEAR(AG25),12,31),1,"Cur="&amp;$F$14,100000000)</f>
        <v>0</v>
      </c>
      <c r="AH29" s="63"/>
      <c r="AI29" s="49"/>
    </row>
    <row r="30" spans="2:42" s="7" customFormat="1" ht="24.6" customHeight="1" x14ac:dyDescent="0.2">
      <c r="B30" s="49"/>
      <c r="C30" s="13"/>
      <c r="D30" s="13" t="s">
        <v>58</v>
      </c>
      <c r="E30" s="59"/>
      <c r="F30" s="88"/>
      <c r="G30" s="49"/>
      <c r="H30" s="88"/>
      <c r="I30" s="53" t="s">
        <v>32</v>
      </c>
      <c r="J30" s="79">
        <f>IFERROR(SUM(J$25*L13/12,((12-J$25)/12)*N13),"NA")</f>
        <v>0</v>
      </c>
      <c r="K30" s="79"/>
      <c r="L30" s="79">
        <f>IFERROR(SUM(L$25*N13/12,((12-L$25)/12)*P13),"NA")</f>
        <v>6.2349999999999996E-2</v>
      </c>
      <c r="M30" s="79"/>
      <c r="N30" s="79" t="str">
        <f t="shared" si="1"/>
        <v>NA</v>
      </c>
      <c r="O30" s="79"/>
      <c r="P30" s="79" t="str">
        <f t="shared" si="2"/>
        <v>NA</v>
      </c>
      <c r="Q30" s="79"/>
      <c r="R30" s="79" t="str">
        <f t="shared" si="3"/>
        <v>NA</v>
      </c>
      <c r="S30" s="49"/>
      <c r="T30" s="49"/>
      <c r="U30" s="49"/>
      <c r="V30" s="53" t="s">
        <v>114</v>
      </c>
      <c r="W30" s="13"/>
      <c r="X30" s="13"/>
      <c r="Y30" s="59"/>
      <c r="Z30" s="58"/>
      <c r="AA30" s="59"/>
      <c r="AB30" s="58"/>
      <c r="AC30" s="59"/>
      <c r="AD30" s="58"/>
      <c r="AE30" s="59"/>
      <c r="AF30" s="58"/>
      <c r="AG30" s="59"/>
      <c r="AH30" s="58"/>
      <c r="AI30" s="49"/>
    </row>
    <row r="31" spans="2:42" s="7" customFormat="1" ht="24.6" customHeight="1" x14ac:dyDescent="0.2">
      <c r="B31" s="49"/>
      <c r="C31" s="20"/>
      <c r="D31" s="20" t="s">
        <v>172</v>
      </c>
      <c r="E31" s="64"/>
      <c r="F31" s="89"/>
      <c r="G31" s="70"/>
      <c r="H31" s="88"/>
      <c r="I31" s="56" t="s">
        <v>34</v>
      </c>
      <c r="J31" s="64">
        <f t="shared" si="4"/>
        <v>0</v>
      </c>
      <c r="K31" s="64"/>
      <c r="L31" s="64">
        <f t="shared" si="0"/>
        <v>59.490840190797236</v>
      </c>
      <c r="M31" s="64"/>
      <c r="N31" s="64" t="str">
        <f t="shared" si="1"/>
        <v>NA</v>
      </c>
      <c r="O31" s="64"/>
      <c r="P31" s="64" t="str">
        <f t="shared" si="2"/>
        <v>NA</v>
      </c>
      <c r="Q31" s="64"/>
      <c r="R31" s="64" t="str">
        <f t="shared" si="3"/>
        <v>NA</v>
      </c>
      <c r="S31" s="49"/>
      <c r="T31" s="49"/>
      <c r="U31" s="49"/>
      <c r="V31" s="56"/>
      <c r="W31" s="20" t="s">
        <v>171</v>
      </c>
      <c r="X31" s="20"/>
      <c r="Y31" s="64">
        <f>IF([1]!hks_stm_is($D$2,"83",DATE(IF(MONTH(Y25)&gt;=6,YEAR(Y25),YEAR(Y25)-1),12,31),1,"Cur="&amp;$F$14,100000000)=0,"NA",[1]!hks_stm_is($D$2,"83",DATE(IF(MONTH(Y25)&gt;=6,YEAR(Y25),YEAR(Y25)-1),12,31),1,"Cur="&amp;$F$14,100000000))</f>
        <v>66.735991635378539</v>
      </c>
      <c r="Z31" s="64"/>
      <c r="AA31" s="64">
        <f>IF([1]!hks_stm_is($D$2,"83",DATE(IF(MONTH(AA25)&gt;=6,YEAR(AA25),YEAR(AA25)-1),12,31),1,"Cur="&amp;$F$14,100000000)=0,"NA",[1]!hks_stm_is($D$2,"83",DATE(IF(MONTH(AA25)&gt;=6,YEAR(AA25),YEAR(AA25)-1),12,31),1,"Cur="&amp;$F$14,100000000))</f>
        <v>125.86701320939333</v>
      </c>
      <c r="AB31" s="64"/>
      <c r="AC31" s="64">
        <f>IF([1]!hks_stm_is($D$2,"83",DATE(IF(MONTH(AC25)&gt;=6,YEAR(AC25),YEAR(AC25)-1),12,31),1,"Cur="&amp;$F$14,100000000)=0,"NA",[1]!hks_stm_is($D$2,"83",DATE(IF(MONTH(AC25)&gt;=6,YEAR(AC25),YEAR(AC25)-1),12,31),1,"Cur="&amp;$F$14,100000000))</f>
        <v>171.13080031793299</v>
      </c>
      <c r="AD31" s="64"/>
      <c r="AE31" s="64">
        <f>IF([1]!hks_stm_is($D$2,"83",DATE(IF(MONTH(AE25)&gt;=6,YEAR(AE25),YEAR(AE25)-1),12,31),1,"Cur="&amp;$F$14,100000000)=0,"NA",[1]!hks_stm_is($D$2,"83",DATE(IF(MONTH(AE25)&gt;=6,YEAR(AE25),YEAR(AE25)-1),12,31),1,"Cur="&amp;$F$14,100000000))</f>
        <v>188.15762176954823</v>
      </c>
      <c r="AF31" s="64"/>
      <c r="AG31" s="64" t="str">
        <f>IF([1]!hks_stm_is($D$2,"83",DATE(IF(MONTH(AG25)&gt;=6,YEAR(AG25),YEAR(AG25)-1),12,31),1,"Cur="&amp;$F$14,100000000)=0,"NA",[1]!hks_stm_is($D$2,"83",DATE(IF(MONTH(AG25)&gt;=6,YEAR(AG25),YEAR(AG25)-1),12,31),1,"Cur="&amp;$F$14,100000000))</f>
        <v>NA</v>
      </c>
      <c r="AH31" s="64"/>
      <c r="AI31" s="49"/>
      <c r="AN31" s="141"/>
    </row>
    <row r="32" spans="2:42" s="7" customFormat="1" ht="24.6" customHeight="1" x14ac:dyDescent="0.2">
      <c r="B32" s="49"/>
      <c r="C32" s="13"/>
      <c r="D32" s="13" t="s">
        <v>60</v>
      </c>
      <c r="E32" s="58"/>
      <c r="F32" s="88"/>
      <c r="G32" s="49"/>
      <c r="H32" s="88"/>
      <c r="I32" s="53" t="s">
        <v>35</v>
      </c>
      <c r="J32" s="59">
        <f t="shared" si="4"/>
        <v>0</v>
      </c>
      <c r="K32" s="59"/>
      <c r="L32" s="59">
        <f t="shared" si="0"/>
        <v>82.504378862487201</v>
      </c>
      <c r="M32" s="59"/>
      <c r="N32" s="59" t="str">
        <f t="shared" si="1"/>
        <v>NA</v>
      </c>
      <c r="O32" s="59"/>
      <c r="P32" s="59" t="str">
        <f t="shared" si="2"/>
        <v>NA</v>
      </c>
      <c r="Q32" s="59"/>
      <c r="R32" s="59" t="str">
        <f t="shared" si="3"/>
        <v>NA</v>
      </c>
      <c r="S32" s="49"/>
      <c r="T32" s="49"/>
      <c r="U32" s="49"/>
      <c r="V32" s="13"/>
      <c r="W32" s="13" t="s">
        <v>170</v>
      </c>
      <c r="X32" s="13"/>
      <c r="Y32" s="59">
        <f>IF([1]!hks_stm_is($D2,"10",DATE(IF(MONTH(Y25)&gt;=6,YEAR(Y25),YEAR(Y25)-1),12,31),1,"Cur="&amp;$F$14,100000000)=0,"NA",[1]!hks_stm_is($D2,"10",DATE(IF(MONTH(Y25)&gt;=6,YEAR(Y25),YEAR(Y25)-1),12,31),1,"Cur="&amp;$F$14,100000000))</f>
        <v>36.588303787842783</v>
      </c>
      <c r="Z32" s="59"/>
      <c r="AA32" s="59">
        <f>IF([1]!hks_stm_is($D2,"10",DATE(IF(MONTH(AA25)&gt;=6,YEAR(AA25),YEAR(AA25)-1),12,31),1,"Cur="&amp;$F$14,100000000)=0,"NA",[1]!hks_stm_is($D2,"10",DATE(IF(MONTH(AA25)&gt;=6,YEAR(AA25),YEAR(AA25)-1),12,31),1,"Cur="&amp;$F$14,100000000))</f>
        <v>66.794924168297456</v>
      </c>
      <c r="AB32" s="59"/>
      <c r="AC32" s="59">
        <f>IF([1]!hks_stm_is($D2,"10",DATE(IF(MONTH(AC25)&gt;=6,YEAR(AC25),YEAR(AC25)-1),12,31),1,"Cur="&amp;$F$14,100000000)=0,"NA",[1]!hks_stm_is($D2,"10",DATE(IF(MONTH(AC25)&gt;=6,YEAR(AC25),YEAR(AC25)-1),12,31),1,"Cur="&amp;$F$14,100000000))</f>
        <v>95.655803956250622</v>
      </c>
      <c r="AD32" s="59"/>
      <c r="AE32" s="59">
        <f>IF([1]!hks_stm_is($D2,"10",DATE(IF(MONTH(AE25)&gt;=6,YEAR(AE25),YEAR(AE25)-1),12,31),1,"Cur="&amp;$F$14,100000000)=0,"NA",[1]!hks_stm_is($D2,"10",DATE(IF(MONTH(AE25)&gt;=6,YEAR(AE25),YEAR(AE25)-1),12,31),1,"Cur="&amp;$F$14,100000000))</f>
        <v>112.62556553596256</v>
      </c>
      <c r="AF32" s="59"/>
      <c r="AG32" s="59" t="str">
        <f>IF([1]!hks_stm_is($D2,"10",DATE(IF(MONTH(AG25)&gt;=6,YEAR(AG25),YEAR(AG25)-1),12,31),1,"Cur="&amp;$F$14,100000000)=0,"NA",[1]!hks_stm_is($D2,"10",DATE(IF(MONTH(AG25)&gt;=6,YEAR(AG25),YEAR(AG25)-1),12,31),1,"Cur="&amp;$F$14,100000000))</f>
        <v>NA</v>
      </c>
      <c r="AH32" s="59"/>
      <c r="AI32" s="49"/>
    </row>
    <row r="33" spans="2:35" s="7" customFormat="1" ht="24.6" customHeight="1" x14ac:dyDescent="0.2">
      <c r="B33" s="49"/>
      <c r="C33" s="56" t="s">
        <v>61</v>
      </c>
      <c r="D33" s="20"/>
      <c r="E33" s="64"/>
      <c r="F33" s="89">
        <f>SUM(F26,F27:H32)</f>
        <v>425927.81689999998</v>
      </c>
      <c r="G33" s="70"/>
      <c r="H33" s="88"/>
      <c r="I33" s="56" t="s">
        <v>36</v>
      </c>
      <c r="J33" s="64">
        <f t="shared" si="4"/>
        <v>0</v>
      </c>
      <c r="K33" s="64"/>
      <c r="L33" s="64">
        <f t="shared" si="0"/>
        <v>232.98941361798697</v>
      </c>
      <c r="M33" s="64"/>
      <c r="N33" s="64" t="str">
        <f t="shared" si="1"/>
        <v>NA</v>
      </c>
      <c r="O33" s="64"/>
      <c r="P33" s="64" t="str">
        <f t="shared" si="2"/>
        <v>NA</v>
      </c>
      <c r="Q33" s="64"/>
      <c r="R33" s="64" t="str">
        <f t="shared" si="3"/>
        <v>NA</v>
      </c>
      <c r="S33" s="49"/>
      <c r="T33" s="49"/>
      <c r="U33" s="49"/>
      <c r="V33" s="20"/>
      <c r="W33" s="20" t="s">
        <v>64</v>
      </c>
      <c r="X33" s="20"/>
      <c r="Y33" s="64">
        <f>IF([1]!hks_stm_is($D$2,"61",DATE(IF(MONTH(Y25)&gt;=6,YEAR(Y25),YEAR(Y25)-1),12,31),1,"Cur="&amp;$F$14,100000000)=0,"NA",[1]!hks_stm_is($D$2,"61",DATE(IF(MONTH(Y25)&gt;=6,YEAR(Y25),YEAR(Y25)-1),12,31),1,"Cur="&amp;$F$14,100000000))</f>
        <v>20.066608050948147</v>
      </c>
      <c r="Z33" s="64"/>
      <c r="AA33" s="64">
        <f>IF([1]!hks_stm_is($D$2,"61",DATE(IF(MONTH(AA25)&gt;=6,YEAR(AA25),YEAR(AA25)-1),12,31),1,"Cur="&amp;$F$14,100000000)=0,"NA",[1]!hks_stm_is($D$2,"61",DATE(IF(MONTH(AA25)&gt;=6,YEAR(AA25),YEAR(AA25)-1),12,31),1,"Cur="&amp;$F$14,100000000))</f>
        <v>41.444202544031306</v>
      </c>
      <c r="AB33" s="64"/>
      <c r="AC33" s="64">
        <f>IF([1]!hks_stm_is($D$2,"61",DATE(IF(MONTH(AC25)&gt;=6,YEAR(AC25),YEAR(AC25)-1),12,31),1,"Cur="&amp;$F$14,100000000)=0,"NA",[1]!hks_stm_is($D$2,"61",DATE(IF(MONTH(AC25)&gt;=6,YEAR(AC25),YEAR(AC25)-1),12,31),1,"Cur="&amp;$F$14,100000000))</f>
        <v>49.484321649669191</v>
      </c>
      <c r="AD33" s="64"/>
      <c r="AE33" s="64">
        <f>IF([1]!hks_stm_is($D$2,"61",DATE(IF(MONTH(AE25)&gt;=6,YEAR(AE25),YEAR(AE25)-1),12,31),1,"Cur="&amp;$F$14,100000000)=0,"NA",[1]!hks_stm_is($D$2,"61",DATE(IF(MONTH(AE25)&gt;=6,YEAR(AE25),YEAR(AE25)-1),12,31),1,"Cur="&amp;$F$14,100000000))</f>
        <v>37.515492926662404</v>
      </c>
      <c r="AF33" s="64"/>
      <c r="AG33" s="64" t="str">
        <f>IF([1]!hks_stm_is($D$2,"61",DATE(IF(MONTH(AG25)&gt;=6,YEAR(AG25),YEAR(AG25)-1),12,31),1,"Cur="&amp;$F$14,100000000)=0,"NA",[1]!hks_stm_is($D$2,"61",DATE(IF(MONTH(AG25)&gt;=6,YEAR(AG25),YEAR(AG25)-1),12,31),1,"Cur="&amp;$F$14,100000000))</f>
        <v>NA</v>
      </c>
      <c r="AH33" s="64"/>
      <c r="AI33" s="49"/>
    </row>
    <row r="34" spans="2:35" s="7" customFormat="1" ht="24.6" customHeight="1" x14ac:dyDescent="0.2">
      <c r="B34" s="49"/>
      <c r="C34" s="53" t="s">
        <v>62</v>
      </c>
      <c r="D34" s="13"/>
      <c r="E34" s="59"/>
      <c r="F34" s="88">
        <f>[1]!hks_val_ev($D2,$F2,"Cur="&amp;$F$14,100000000)</f>
        <v>542.63203873060002</v>
      </c>
      <c r="G34" s="49"/>
      <c r="H34" s="88"/>
      <c r="I34" s="53" t="s">
        <v>38</v>
      </c>
      <c r="J34" s="59">
        <f t="shared" si="4"/>
        <v>0</v>
      </c>
      <c r="K34" s="54"/>
      <c r="L34" s="59">
        <f t="shared" si="0"/>
        <v>59.224003139561795</v>
      </c>
      <c r="M34" s="54"/>
      <c r="N34" s="59" t="str">
        <f t="shared" si="1"/>
        <v>NA</v>
      </c>
      <c r="O34" s="54"/>
      <c r="P34" s="59" t="str">
        <f t="shared" si="2"/>
        <v>NA</v>
      </c>
      <c r="Q34" s="54"/>
      <c r="R34" s="59" t="str">
        <f t="shared" si="3"/>
        <v>NA</v>
      </c>
      <c r="S34" s="49"/>
      <c r="T34" s="49"/>
      <c r="U34" s="49"/>
      <c r="V34" s="53" t="s">
        <v>65</v>
      </c>
      <c r="W34" s="13"/>
      <c r="X34" s="13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49"/>
    </row>
    <row r="35" spans="2:35" s="7" customFormat="1" ht="24.6" customHeight="1" x14ac:dyDescent="0.2">
      <c r="B35" s="49"/>
      <c r="C35" s="56" t="s">
        <v>63</v>
      </c>
      <c r="D35" s="20"/>
      <c r="E35" s="70"/>
      <c r="F35" s="89">
        <f>F13*F33/10000</f>
        <v>542.63203873060002</v>
      </c>
      <c r="G35" s="20"/>
      <c r="H35" s="88"/>
      <c r="I35" s="56" t="s">
        <v>39</v>
      </c>
      <c r="J35" s="64">
        <f t="shared" si="4"/>
        <v>0</v>
      </c>
      <c r="K35" s="57"/>
      <c r="L35" s="64">
        <f t="shared" si="0"/>
        <v>49.278257190698092</v>
      </c>
      <c r="M35" s="57"/>
      <c r="N35" s="64" t="str">
        <f t="shared" si="1"/>
        <v>NA</v>
      </c>
      <c r="O35" s="57"/>
      <c r="P35" s="64" t="str">
        <f t="shared" si="2"/>
        <v>NA</v>
      </c>
      <c r="Q35" s="57"/>
      <c r="R35" s="64" t="str">
        <f t="shared" si="3"/>
        <v>NA</v>
      </c>
      <c r="S35" s="49"/>
      <c r="T35" s="49"/>
      <c r="U35" s="49"/>
      <c r="V35" s="56"/>
      <c r="W35" s="20" t="s">
        <v>66</v>
      </c>
      <c r="X35" s="20"/>
      <c r="Y35" s="64">
        <f>IF([1]!hks_fa_bps($D2,DATE(IF(MONTH(Y25)&gt;=6,YEAR(Y25)-1,YEAR(Y25)-2),12,31),"Cur="&amp;$F$14)=0,"NA",[1]!hks_fa_bps($D2,DATE(IF(MONTH(Y25)&gt;=6,YEAR(Y25)-1,YEAR(Y25)-2),12,31),"Cur="&amp;$F$14))</f>
        <v>11.02470453682824</v>
      </c>
      <c r="Z35" s="64"/>
      <c r="AA35" s="64">
        <f>IF([1]!hks_fa_bps($D2,DATE(IF(MONTH(AA25)&gt;=6,YEAR(AA25)-1,YEAR(AA25)-2),12,31),"Cur="&amp;$F$14)=0,"NA",[1]!hks_fa_bps($D2,DATE(IF(MONTH(AA25)&gt;=6,YEAR(AA25)-1,YEAR(AA25)-2),12,31),"Cur="&amp;$F$14))</f>
        <v>5.9816879782329737</v>
      </c>
      <c r="AB35" s="64"/>
      <c r="AC35" s="64">
        <f>IF([1]!hks_fa_bps($D2,DATE(IF(MONTH(AC25)&gt;=6,YEAR(AC25)-1,YEAR(AC25)-2),12,31),"Cur="&amp;$F$14)=0,"NA",[1]!hks_fa_bps($D2,DATE(IF(MONTH(AC25)&gt;=6,YEAR(AC25)-1,YEAR(AC25)-2),12,31),"Cur="&amp;$F$14))</f>
        <v>9.2697005381604693</v>
      </c>
      <c r="AD35" s="64"/>
      <c r="AE35" s="64">
        <f>IF([1]!hks_fa_bps($D2,DATE(IF(MONTH(AE25)&gt;=6,YEAR(AE25)-1,YEAR(AE25)-2),12,31),"Cur="&amp;$F$14)=0,"NA",[1]!hks_fa_bps($D2,DATE(IF(MONTH(AE25)&gt;=6,YEAR(AE25)-1,YEAR(AE25)-2),12,31),"Cur="&amp;$F$14))</f>
        <v>9.2858039674454531</v>
      </c>
      <c r="AF35" s="64"/>
      <c r="AG35" s="64">
        <f>IF([1]!hks_fa_bps($D2,DATE(IF(MONTH(AG25)&gt;=6,YEAR(AG25)-1,YEAR(AG25)-2),12,31),"Cur="&amp;$F$14)=0,"NA",[1]!hks_fa_bps($D2,DATE(IF(MONTH(AG25)&gt;=6,YEAR(AG25)-1,YEAR(AG25)-2),12,31),"Cur="&amp;$F$14))</f>
        <v>10.453387676281698</v>
      </c>
      <c r="AH35" s="64"/>
      <c r="AI35" s="49"/>
    </row>
    <row r="36" spans="2:35" s="7" customFormat="1" ht="24.6" customHeight="1" thickBot="1" x14ac:dyDescent="0.25">
      <c r="B36" s="49"/>
      <c r="C36" s="76" t="s">
        <v>214</v>
      </c>
      <c r="D36" s="77"/>
      <c r="E36" s="77"/>
      <c r="F36" s="170">
        <f>[1]!hks_val_ev1(D2,F2,"Cur="&amp;$F$14,100000000)</f>
        <v>566.32798452742634</v>
      </c>
      <c r="G36" s="77"/>
      <c r="H36" s="49"/>
      <c r="I36" s="76" t="s">
        <v>42</v>
      </c>
      <c r="J36" s="77">
        <f t="shared" si="4"/>
        <v>0</v>
      </c>
      <c r="K36" s="126"/>
      <c r="L36" s="77">
        <f t="shared" si="0"/>
        <v>55.839903158288998</v>
      </c>
      <c r="M36" s="126"/>
      <c r="N36" s="77" t="str">
        <f t="shared" si="1"/>
        <v>NA</v>
      </c>
      <c r="O36" s="126"/>
      <c r="P36" s="77" t="str">
        <f t="shared" si="2"/>
        <v>NA</v>
      </c>
      <c r="Q36" s="126"/>
      <c r="R36" s="77" t="str">
        <f t="shared" si="3"/>
        <v>NA</v>
      </c>
      <c r="S36" s="49"/>
      <c r="T36" s="49"/>
      <c r="U36" s="49"/>
      <c r="V36" s="13"/>
      <c r="W36" s="13" t="s">
        <v>68</v>
      </c>
      <c r="X36" s="13"/>
      <c r="Y36" s="59">
        <f>IF(OR([1]!hks_fa_eps_basic($D2,DATE(IF(MONTH(Y25)&gt;=6,YEAR(Y25)-1,YEAR(Y25)-2),12,31),"Cur="&amp;$F$14)&gt;=10,[1]!hks_fa_eps_basic($D2,DATE(IF(MONTH(Y25)&gt;=6,YEAR(Y25)-1,YEAR(Y25)-2),12,31),"Cur="&amp;$F$14)=0),"NA",[1]!hks_fa_eps_basic($D2,DATE(IF(MONTH(Y25)&gt;=6,YEAR(Y25)-1,YEAR(Y25)-2),12,31),"Cur="&amp;$F$14))</f>
        <v>0.9154033356404474</v>
      </c>
      <c r="Z36" s="54"/>
      <c r="AA36" s="59">
        <f>IF(OR([1]!hks_fa_eps_basic($D2,DATE(IF(MONTH(AA25)&gt;=6,YEAR(AA25)-1,YEAR(AA25)-2),12,31),"Cur="&amp;$F$14)&gt;=10,[1]!hks_fa_eps_basic($D2,DATE(IF(MONTH(AA25)&gt;=6,YEAR(AA25)-1,YEAR(AA25)-2),12,31),"Cur="&amp;$F$14)=0),"NA",[1]!hks_fa_eps_basic($D2,DATE(IF(MONTH(AA25)&gt;=6,YEAR(AA25)-1,YEAR(AA25)-2),12,31),"Cur="&amp;$F$14))</f>
        <v>0.51090727627013921</v>
      </c>
      <c r="AB36" s="54"/>
      <c r="AC36" s="59">
        <f>IF(OR([1]!hks_fa_eps_basic($D2,DATE(IF(MONTH(AC25)&gt;=6,YEAR(AC25)-1,YEAR(AC25)-2),12,31),"Cur="&amp;$F$14)&gt;=10,[1]!hks_fa_eps_basic($D2,DATE(IF(MONTH(AC25)&gt;=6,YEAR(AC25)-1,YEAR(AC25)-2),12,31),"Cur="&amp;$F$14)=0),"NA",[1]!hks_fa_eps_basic($D2,DATE(IF(MONTH(AC25)&gt;=6,YEAR(AC25)-1,YEAR(AC25)-2),12,31),"Cur="&amp;$F$14))</f>
        <v>0.99070450097847351</v>
      </c>
      <c r="AD36" s="54"/>
      <c r="AE36" s="59">
        <f>IF(OR([1]!hks_fa_eps_basic($D2,DATE(IF(MONTH(AE25)&gt;=6,YEAR(AE25)-1,YEAR(AE25)-2),12,31),"Cur="&amp;$F$14)&gt;=10,[1]!hks_fa_eps_basic($D2,DATE(IF(MONTH(AE25)&gt;=6,YEAR(AE25)-1,YEAR(AE25)-2),12,31),"Cur="&amp;$F$14)=0),"NA",[1]!hks_fa_eps_basic($D2,DATE(IF(MONTH(AE25)&gt;=6,YEAR(AE25)-1,YEAR(AE25)-2),12,31),"Cur="&amp;$F$14))</f>
        <v>1.1866512924423747</v>
      </c>
      <c r="AF36" s="54"/>
      <c r="AG36" s="59">
        <f>IF(OR([1]!hks_fa_eps_basic($D2,DATE(IF(MONTH(AG25)&gt;=6,YEAR(AG25)-1,YEAR(AG25)-2),12,31),"Cur="&amp;$F$14)&gt;=10,[1]!hks_fa_eps_basic($D2,DATE(IF(MONTH(AG25)&gt;=6,YEAR(AG25)-1,YEAR(AG25)-2),12,31),"Cur="&amp;$F$14)=0),"NA",[1]!hks_fa_eps_basic($D2,DATE(IF(MONTH(AG25)&gt;=6,YEAR(AG25)-1,YEAR(AG25)-2),12,31),"Cur="&amp;$F$14))</f>
        <v>0.90485754011167263</v>
      </c>
      <c r="AH36" s="54"/>
      <c r="AI36" s="49"/>
    </row>
    <row r="37" spans="2:35" s="7" customFormat="1" ht="24.6" customHeight="1" x14ac:dyDescent="0.2">
      <c r="B37" s="49"/>
      <c r="C37" s="49"/>
      <c r="D37" s="49"/>
      <c r="E37" s="49"/>
      <c r="F37" s="49"/>
      <c r="G37" s="49"/>
      <c r="H37" s="112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20"/>
      <c r="W37" s="20" t="s">
        <v>69</v>
      </c>
      <c r="X37" s="20"/>
      <c r="Y37" s="64" t="str">
        <f>IF([1]!hks_fa_dps($D$2,IF(MONTH(Y25)&gt;=6,YEAR(Y25),YEAR(Y25)-1),"Cur="&amp;$F$14)=0,"NA",[1]!hks_fa_dps($D$2,IF(MONTH(Y25)&gt;=6,YEAR(Y25),YEAR(Y25)-1),"Cur="&amp;$F$14))</f>
        <v>NA</v>
      </c>
      <c r="Z37" s="57"/>
      <c r="AA37" s="64" t="str">
        <f>IF([1]!hks_fa_dps($D$2,IF(MONTH(AA25)&gt;=6,YEAR(AA25),YEAR(AA25)-1),"Cur="&amp;$F$14)=0,"NA",[1]!hks_fa_dps($D$2,IF(MONTH(AA25)&gt;=6,YEAR(AA25),YEAR(AA25)-1),"Cur="&amp;$F$14))</f>
        <v>NA</v>
      </c>
      <c r="AB37" s="57"/>
      <c r="AC37" s="64" t="str">
        <f>IF([1]!hks_fa_dps($D$2,IF(MONTH(AC25)&gt;=6,YEAR(AC25),YEAR(AC25)-1),"Cur="&amp;$F$14)=0,"NA",[1]!hks_fa_dps($D$2,IF(MONTH(AC25)&gt;=6,YEAR(AC25),YEAR(AC25)-1),"Cur="&amp;$F$14))</f>
        <v>NA</v>
      </c>
      <c r="AD37" s="57"/>
      <c r="AE37" s="64" t="str">
        <f>IF([1]!hks_fa_dps($D$2,IF(MONTH(AE25)&gt;=6,YEAR(AE25),YEAR(AE25)-1),"Cur="&amp;$F$14)=0,"NA",[1]!hks_fa_dps($D$2,IF(MONTH(AE25)&gt;=6,YEAR(AE25),YEAR(AE25)-1),"Cur="&amp;$F$14))</f>
        <v>NA</v>
      </c>
      <c r="AF37" s="57"/>
      <c r="AG37" s="64" t="str">
        <f>IF([1]!hks_fa_dps($D$2,IF(MONTH(AG25)&gt;=6,YEAR(AG25),YEAR(AG25)-1),"Cur="&amp;$F$14)=0,"NA",[1]!hks_fa_dps($D$2,IF(MONTH(AG25)&gt;=6,YEAR(AG25),YEAR(AG25)-1),"Cur="&amp;$F$14))</f>
        <v>NA</v>
      </c>
      <c r="AH37" s="57"/>
      <c r="AI37" s="49"/>
    </row>
    <row r="38" spans="2:35" s="7" customFormat="1" ht="24.6" customHeight="1" thickBot="1" x14ac:dyDescent="0.25">
      <c r="B38" s="49"/>
      <c r="C38" s="51" t="s">
        <v>105</v>
      </c>
      <c r="D38" s="51"/>
      <c r="E38" s="51"/>
      <c r="F38" s="51"/>
      <c r="G38" s="51"/>
      <c r="H38" s="120"/>
      <c r="I38" s="51" t="s">
        <v>205</v>
      </c>
      <c r="J38" s="51"/>
      <c r="K38" s="51"/>
      <c r="L38" s="51"/>
      <c r="M38" s="51"/>
      <c r="N38" s="51"/>
      <c r="O38" s="51"/>
      <c r="P38" s="51"/>
      <c r="Q38" s="49"/>
      <c r="R38" s="49"/>
      <c r="S38" s="49"/>
      <c r="T38" s="49"/>
      <c r="U38" s="49"/>
      <c r="V38" s="83"/>
      <c r="W38" s="83" t="s">
        <v>71</v>
      </c>
      <c r="X38" s="83"/>
      <c r="Y38" s="77" t="str">
        <f>IFERROR(ROUND(Y37/Y36*100,1)/100,"NA")</f>
        <v>NA</v>
      </c>
      <c r="Z38" s="126"/>
      <c r="AA38" s="77" t="str">
        <f>IFERROR(ROUND(AA37/AA36*100,1)/100,"NA")</f>
        <v>NA</v>
      </c>
      <c r="AB38" s="126"/>
      <c r="AC38" s="77" t="str">
        <f>IFERROR(ROUND(AC37/AC36*100,1)/100,"NA")</f>
        <v>NA</v>
      </c>
      <c r="AD38" s="126"/>
      <c r="AE38" s="77" t="str">
        <f>IFERROR(ROUND(AE37/AE36*100,1)/100,"NA")</f>
        <v>NA</v>
      </c>
      <c r="AF38" s="126"/>
      <c r="AG38" s="77" t="str">
        <f>IFERROR(ROUND(AG37/AG36*100,1)/100,"NA")</f>
        <v>NA</v>
      </c>
      <c r="AH38" s="126"/>
      <c r="AI38" s="49"/>
    </row>
    <row r="39" spans="2:35" s="7" customFormat="1" ht="24.6" customHeight="1" x14ac:dyDescent="0.2">
      <c r="B39" s="49"/>
      <c r="C39" s="53" t="s">
        <v>67</v>
      </c>
      <c r="D39" s="13"/>
      <c r="E39" s="58"/>
      <c r="F39" s="97" t="str">
        <f>IFERROR(POWER(P9/L9,1/2)-1,"")</f>
        <v/>
      </c>
      <c r="G39" s="49"/>
      <c r="H39" s="120"/>
      <c r="I39" s="13"/>
      <c r="J39" s="54" t="s">
        <v>16</v>
      </c>
      <c r="K39" s="54"/>
      <c r="L39" s="54" t="s">
        <v>18</v>
      </c>
      <c r="M39" s="54"/>
      <c r="N39" s="54" t="s">
        <v>19</v>
      </c>
      <c r="O39" s="54"/>
      <c r="P39" s="54" t="s">
        <v>20</v>
      </c>
      <c r="Q39" s="49"/>
      <c r="R39" s="49"/>
      <c r="S39" s="49"/>
      <c r="T39" s="155"/>
      <c r="U39" s="49"/>
      <c r="V39" s="49"/>
      <c r="W39" s="49"/>
      <c r="X39" s="49"/>
      <c r="Y39" s="49"/>
      <c r="Z39" s="58"/>
      <c r="AA39" s="49"/>
      <c r="AB39" s="58"/>
      <c r="AC39" s="49"/>
      <c r="AD39" s="58"/>
      <c r="AE39" s="49"/>
      <c r="AF39" s="58"/>
      <c r="AG39" s="49"/>
      <c r="AH39" s="58"/>
      <c r="AI39" s="49"/>
    </row>
    <row r="40" spans="2:35" s="7" customFormat="1" ht="24.6" customHeight="1" x14ac:dyDescent="0.2">
      <c r="B40" s="49"/>
      <c r="C40" s="56" t="s">
        <v>169</v>
      </c>
      <c r="D40" s="20"/>
      <c r="E40" s="64"/>
      <c r="F40" s="75" t="str">
        <f>IFERROR(POWER(P16/L16,1/2)-1,"")</f>
        <v/>
      </c>
      <c r="G40" s="70"/>
      <c r="H40" s="120"/>
      <c r="I40" s="20"/>
      <c r="J40" s="57" t="str">
        <f>YEAR(L7)&amp;"A"</f>
        <v>2024A</v>
      </c>
      <c r="K40" s="57"/>
      <c r="L40" s="57" t="str">
        <f>YEAR(N7)&amp;"E"</f>
        <v>2025E</v>
      </c>
      <c r="M40" s="57"/>
      <c r="N40" s="57" t="str">
        <f>YEAR(P7)&amp;"E"</f>
        <v>2026E</v>
      </c>
      <c r="O40" s="57"/>
      <c r="P40" s="57" t="str">
        <f>YEAR(R7)&amp;"E"</f>
        <v>2027E</v>
      </c>
      <c r="Q40" s="49"/>
      <c r="R40" s="49"/>
      <c r="S40" s="49"/>
      <c r="T40" s="155"/>
      <c r="U40" s="49"/>
      <c r="V40" s="51" t="s">
        <v>74</v>
      </c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49"/>
    </row>
    <row r="41" spans="2:35" s="7" customFormat="1" ht="24.6" customHeight="1" x14ac:dyDescent="0.2">
      <c r="B41" s="49"/>
      <c r="C41" s="53" t="s">
        <v>70</v>
      </c>
      <c r="D41" s="13"/>
      <c r="E41" s="59"/>
      <c r="F41" s="97" t="str">
        <f>IFERROR(POWER(P15/L15,1/2)-1,"")</f>
        <v/>
      </c>
      <c r="G41" s="49"/>
      <c r="H41" s="120"/>
      <c r="I41" s="53" t="s">
        <v>46</v>
      </c>
      <c r="J41" s="86" t="str">
        <f>IFERROR(ROUND($F$13/HLOOKUP(J23,$I$23:$P$36,5,0),1),"  NA")</f>
        <v xml:space="preserve">  NA</v>
      </c>
      <c r="K41" s="58"/>
      <c r="L41" s="86">
        <f>IFERROR(ROUND($F$13/HLOOKUP(L23,$I$23:$P$36,5,0),1),"  NA")</f>
        <v>11</v>
      </c>
      <c r="M41" s="58"/>
      <c r="N41" s="86" t="str">
        <f>IFERROR(ROUND($F$13/HLOOKUP(N23,$I$23:$P$36,5,0),1),"  NA")</f>
        <v xml:space="preserve">  NA</v>
      </c>
      <c r="O41" s="58"/>
      <c r="P41" s="86" t="str">
        <f>IFERROR(ROUND($F$13/HLOOKUP(P23,$I$23:$P$36,5,0),1),"  NA")</f>
        <v xml:space="preserve">  NA</v>
      </c>
      <c r="Q41" s="49"/>
      <c r="R41" s="157"/>
      <c r="S41" s="49"/>
      <c r="T41" s="49"/>
      <c r="U41" s="49"/>
      <c r="V41" s="98" t="s">
        <v>3</v>
      </c>
      <c r="W41" s="98" t="s">
        <v>4</v>
      </c>
      <c r="X41" s="99" t="s">
        <v>76</v>
      </c>
      <c r="Y41" s="99" t="s">
        <v>168</v>
      </c>
      <c r="Z41" s="99"/>
      <c r="AA41" s="99" t="s">
        <v>5</v>
      </c>
      <c r="AB41" s="99"/>
      <c r="AC41" s="99" t="s">
        <v>77</v>
      </c>
      <c r="AD41" s="99"/>
      <c r="AE41" s="99" t="s">
        <v>167</v>
      </c>
      <c r="AF41" s="99"/>
      <c r="AG41" s="99" t="s">
        <v>166</v>
      </c>
      <c r="AH41" s="98"/>
      <c r="AI41" s="49"/>
    </row>
    <row r="42" spans="2:35" s="7" customFormat="1" ht="24.6" customHeight="1" x14ac:dyDescent="0.2">
      <c r="B42" s="49"/>
      <c r="C42" s="56" t="s">
        <v>72</v>
      </c>
      <c r="D42" s="20"/>
      <c r="E42" s="64"/>
      <c r="F42" s="75" t="str">
        <f>IFERROR(POWER(P18/L18,1/2)-1,"")</f>
        <v/>
      </c>
      <c r="G42" s="70"/>
      <c r="H42" s="49"/>
      <c r="I42" s="56" t="s">
        <v>48</v>
      </c>
      <c r="J42" s="87" t="str">
        <f>IFERROR(ROUND($F$13/HLOOKUP(J23,$I$23:$P$36,4,0),2),"  NA")</f>
        <v xml:space="preserve">  NA</v>
      </c>
      <c r="K42" s="63"/>
      <c r="L42" s="87">
        <f>IFERROR(ROUND($F$13/HLOOKUP(L23,$I$23:$P$36,4,0),2),"  NA")</f>
        <v>0.96</v>
      </c>
      <c r="M42" s="63"/>
      <c r="N42" s="87" t="str">
        <f>IFERROR(ROUND($F$13/HLOOKUP(N23,$I$23:$P$36,4,0),2),"  NA")</f>
        <v xml:space="preserve">  NA</v>
      </c>
      <c r="O42" s="63"/>
      <c r="P42" s="87" t="str">
        <f>IFERROR(ROUND($F$13/HLOOKUP(P23,$I$23:$P$36,4,0),2),"  NA")</f>
        <v xml:space="preserve">  NA</v>
      </c>
      <c r="Q42" s="49"/>
      <c r="R42" s="155"/>
      <c r="S42" s="49"/>
      <c r="T42" s="49"/>
      <c r="U42" s="49"/>
      <c r="V42" s="100" t="str">
        <f>D2</f>
        <v>2269.HK</v>
      </c>
      <c r="W42" s="101" t="str">
        <f>[1]!S_Info_Name(V42)</f>
        <v>药明生物</v>
      </c>
      <c r="X42" s="65">
        <f>[1]!s_share_issuing_mkt(V42,Y42,10000)</f>
        <v>425927.81689999998</v>
      </c>
      <c r="Y42" s="102" t="str">
        <f>[1]!lastradeday_s(V42,F$2)</f>
        <v>2024-04-25</v>
      </c>
      <c r="Z42" s="102"/>
      <c r="AA42" s="71">
        <f>[1]!S_DQ_CLOSE(V42,Y42,1)</f>
        <v>12.74</v>
      </c>
      <c r="AB42" s="71"/>
      <c r="AC42" s="71" t="str">
        <f>[1]!hks_info_tradecur(V42)</f>
        <v>HKD</v>
      </c>
      <c r="AD42" s="71"/>
      <c r="AE42" s="71">
        <f>IF([1]!hks_info_tradecur(V42)="CNY",1,[1]!S_DQ_CLOSE([1]!hks_info_tradecur(V42)&amp;"CNY.EX",Y42,1))</f>
        <v>0.90742999999999996</v>
      </c>
      <c r="AF42" s="71"/>
      <c r="AG42" s="91">
        <f>X42*AA42*AE42/10000</f>
        <v>492.40059090530838</v>
      </c>
      <c r="AH42" s="100"/>
      <c r="AI42" s="49"/>
    </row>
    <row r="43" spans="2:35" s="7" customFormat="1" ht="24.6" customHeight="1" x14ac:dyDescent="0.2">
      <c r="B43" s="49"/>
      <c r="C43" s="53" t="s">
        <v>73</v>
      </c>
      <c r="D43" s="13"/>
      <c r="E43" s="59"/>
      <c r="F43" s="97" t="str">
        <f>IFERROR(POWER(P10/L10,1/2)-1,"")</f>
        <v/>
      </c>
      <c r="G43" s="49"/>
      <c r="H43" s="49"/>
      <c r="I43" s="53" t="s">
        <v>53</v>
      </c>
      <c r="J43" s="127">
        <f>IFERROR(HLOOKUP(J23,$I$23:$P$36,6,0)/$F$13,"NA")</f>
        <v>0</v>
      </c>
      <c r="K43" s="127"/>
      <c r="L43" s="127">
        <f>IFERROR(HLOOKUP(L23,$I$23:$P$36,6,0)/$F$13,"NA")</f>
        <v>2.5940360103041339E-3</v>
      </c>
      <c r="M43" s="127"/>
      <c r="N43" s="127" t="str">
        <f>IFERROR(HLOOKUP(N23,$I$23:$P$36,6,0)/$F$13,"NA")</f>
        <v>NA</v>
      </c>
      <c r="O43" s="58"/>
      <c r="P43" s="127" t="str">
        <f>IFERROR(HLOOKUP(P23,$I$23:$P$36,6,0)/$F$13,"NA")</f>
        <v>NA</v>
      </c>
      <c r="Q43" s="49"/>
      <c r="R43" s="49"/>
      <c r="S43" s="49"/>
      <c r="T43" s="49"/>
      <c r="U43" s="49"/>
      <c r="V43" s="103">
        <f>[1]!s_info_asharewindcode(D2)</f>
        <v>0</v>
      </c>
      <c r="W43" s="103">
        <f>[1]!S_Info_Name(V43)</f>
        <v>0</v>
      </c>
      <c r="X43" s="60">
        <f>[1]!s_share_issuing_mkt(V43,Y43,10000)</f>
        <v>0</v>
      </c>
      <c r="Y43" s="104">
        <f>[1]!lastradeday_s(V43,F$2)</f>
        <v>0</v>
      </c>
      <c r="Z43" s="104"/>
      <c r="AA43" s="73">
        <f>[1]!S_DQ_CLOSE(V43,Y43,1)</f>
        <v>0</v>
      </c>
      <c r="AB43" s="73"/>
      <c r="AC43" s="73">
        <f>[1]!hks_info_tradecur(V43)</f>
        <v>0</v>
      </c>
      <c r="AD43" s="73"/>
      <c r="AE43" s="73">
        <f>IF([1]!hks_info_tradecur(V43)="CNY",1,[1]!S_DQ_CLOSE([1]!hks_info_tradecur(V43)&amp;"CNY.EX",Y43,1))</f>
        <v>0</v>
      </c>
      <c r="AF43" s="73"/>
      <c r="AG43" s="92">
        <f>X43*AA43*AE43/10000</f>
        <v>0</v>
      </c>
      <c r="AH43" s="103"/>
      <c r="AI43" s="49"/>
    </row>
    <row r="44" spans="2:35" s="7" customFormat="1" ht="24.6" customHeight="1" x14ac:dyDescent="0.2">
      <c r="B44" s="49"/>
      <c r="C44" s="56" t="s">
        <v>75</v>
      </c>
      <c r="D44" s="20"/>
      <c r="E44" s="64"/>
      <c r="F44" s="75" t="str">
        <f>IFERROR(POWER(P11/L11,1/2)-1,"")</f>
        <v/>
      </c>
      <c r="G44" s="70"/>
      <c r="H44" s="49"/>
      <c r="I44" s="56" t="s">
        <v>30</v>
      </c>
      <c r="J44" s="90">
        <f>IFERROR(HLOOKUP(J23,$I$23:$P$36,7,0),"NA")</f>
        <v>0</v>
      </c>
      <c r="K44" s="63"/>
      <c r="L44" s="90">
        <f>IFERROR(HLOOKUP(L23,$I$23:$P$36,7,0),"NA")</f>
        <v>8.9442999999999995E-2</v>
      </c>
      <c r="M44" s="63"/>
      <c r="N44" s="90" t="str">
        <f>IFERROR(HLOOKUP(N23,$I$23:$P$36,7,0),"NA")</f>
        <v>NA</v>
      </c>
      <c r="O44" s="63"/>
      <c r="P44" s="90" t="str">
        <f>IFERROR(HLOOKUP(P23,$I$23:$P$36,7,0),"NA")</f>
        <v>NA</v>
      </c>
      <c r="Q44" s="49"/>
      <c r="R44" s="158"/>
      <c r="S44" s="49"/>
      <c r="T44" s="49"/>
      <c r="U44" s="49"/>
      <c r="V44" s="101"/>
      <c r="W44" s="101">
        <f>[1]!S_Info_Name(V44)</f>
        <v>0</v>
      </c>
      <c r="X44" s="65">
        <f>[1]!s_share_issuing_mkt(V44,Y44,10000)</f>
        <v>0</v>
      </c>
      <c r="Y44" s="102">
        <f>[1]!lastradeday_s(V44,F$2)</f>
        <v>0</v>
      </c>
      <c r="Z44" s="102"/>
      <c r="AA44" s="71">
        <f>[1]!S_DQ_CLOSE(V44,Y44,1)</f>
        <v>0</v>
      </c>
      <c r="AB44" s="71"/>
      <c r="AC44" s="71">
        <f>[1]!hks_info_tradecur(V44)</f>
        <v>0</v>
      </c>
      <c r="AD44" s="71"/>
      <c r="AE44" s="71">
        <f>IF([1]!hks_info_tradecur(V44)="CNY",1,[1]!S_DQ_CLOSE([1]!hks_info_tradecur(V44)&amp;"CNY.EX",Y44,1))</f>
        <v>0</v>
      </c>
      <c r="AF44" s="71"/>
      <c r="AG44" s="91">
        <f>X44*AA44*AE44/10000</f>
        <v>0</v>
      </c>
      <c r="AH44" s="101"/>
      <c r="AI44" s="49"/>
    </row>
    <row r="45" spans="2:35" s="7" customFormat="1" ht="24.6" customHeight="1" x14ac:dyDescent="0.2">
      <c r="B45" s="49"/>
      <c r="C45" s="53" t="s">
        <v>78</v>
      </c>
      <c r="D45" s="13"/>
      <c r="E45" s="58"/>
      <c r="F45" s="97" t="str">
        <f>IFERROR(POWER(P14/L14,1/2)-1,"")</f>
        <v/>
      </c>
      <c r="G45" s="49"/>
      <c r="H45" s="49"/>
      <c r="I45" s="53" t="s">
        <v>32</v>
      </c>
      <c r="J45" s="79">
        <f>IFERROR(HLOOKUP(J23,$I$23:$P$36,8,0),"NA")</f>
        <v>0</v>
      </c>
      <c r="K45" s="58"/>
      <c r="L45" s="79">
        <f>IFERROR(HLOOKUP(L23,$I$23:$P$36,8,0),"NA")</f>
        <v>6.2349999999999996E-2</v>
      </c>
      <c r="M45" s="58"/>
      <c r="N45" s="79" t="str">
        <f>IFERROR(HLOOKUP(N23,$I$23:$P$36,8,0),"NA")</f>
        <v>NA</v>
      </c>
      <c r="O45" s="58"/>
      <c r="P45" s="79" t="str">
        <f>IFERROR(HLOOKUP(P23,$I$23:$P$36,8,0),"NA")</f>
        <v>NA</v>
      </c>
      <c r="Q45" s="49"/>
      <c r="R45" s="49"/>
      <c r="S45" s="49"/>
      <c r="T45" s="49"/>
      <c r="U45" s="49"/>
      <c r="V45" s="103"/>
      <c r="W45" s="103">
        <f>[1]!S_Info_Name(V45)</f>
        <v>0</v>
      </c>
      <c r="X45" s="60">
        <f>[1]!s_share_issuing_mkt(V45,Y45,10000)</f>
        <v>0</v>
      </c>
      <c r="Y45" s="104">
        <f>[1]!lastradeday_s(V45,F$2)</f>
        <v>0</v>
      </c>
      <c r="Z45" s="104"/>
      <c r="AA45" s="73">
        <f>[1]!S_DQ_CLOSE(V45,Y45,1)</f>
        <v>0</v>
      </c>
      <c r="AB45" s="73"/>
      <c r="AC45" s="73">
        <f>[1]!hks_info_tradecur(V45)</f>
        <v>0</v>
      </c>
      <c r="AD45" s="73"/>
      <c r="AE45" s="73">
        <f>IF([1]!hks_info_tradecur(V45)="CNY",1,[1]!S_DQ_CLOSE([1]!hks_info_tradecur(V45)&amp;"CNY.EX",Y45,1))</f>
        <v>0</v>
      </c>
      <c r="AF45" s="73"/>
      <c r="AG45" s="92">
        <f>X45*AA45*AE45/10000</f>
        <v>0</v>
      </c>
      <c r="AH45" s="103"/>
      <c r="AI45" s="49"/>
    </row>
    <row r="46" spans="2:35" s="7" customFormat="1" ht="24.6" customHeight="1" thickBot="1" x14ac:dyDescent="0.25">
      <c r="B46" s="49"/>
      <c r="C46" s="61" t="s">
        <v>215</v>
      </c>
      <c r="D46" s="62"/>
      <c r="E46" s="94"/>
      <c r="F46" s="128" t="str">
        <f>IFERROR(POWER(P19/L19,1/2)-1,"")</f>
        <v/>
      </c>
      <c r="G46" s="94"/>
      <c r="H46" s="49"/>
      <c r="I46" s="56" t="s">
        <v>34</v>
      </c>
      <c r="J46" s="91">
        <f>IFERROR(ROUND(HLOOKUP(J23,$I$23:$P$36,9,0),2),"NA")</f>
        <v>0</v>
      </c>
      <c r="K46" s="64"/>
      <c r="L46" s="91">
        <f>IFERROR(ROUND(HLOOKUP(L23,$I$23:$P$36,9,0),2),"NA")</f>
        <v>59.49</v>
      </c>
      <c r="M46" s="64"/>
      <c r="N46" s="91" t="str">
        <f>IFERROR(ROUND(HLOOKUP(N23,$I$23:$P$36,9,0),2),"NA")</f>
        <v>NA</v>
      </c>
      <c r="O46" s="64"/>
      <c r="P46" s="91" t="str">
        <f>IFERROR(ROUND(HLOOKUP(P23,$I$23:$P$36,9,0),2),"NA")</f>
        <v>NA</v>
      </c>
      <c r="Q46" s="49"/>
      <c r="R46" s="49"/>
      <c r="S46" s="49"/>
      <c r="T46" s="49"/>
      <c r="U46" s="49"/>
      <c r="V46" s="107"/>
      <c r="W46" s="108" t="s">
        <v>79</v>
      </c>
      <c r="X46" s="109">
        <f>SUM(X42:X45)</f>
        <v>425927.81689999998</v>
      </c>
      <c r="Y46" s="94"/>
      <c r="Z46" s="94"/>
      <c r="AA46" s="94"/>
      <c r="AB46" s="94"/>
      <c r="AC46" s="94"/>
      <c r="AD46" s="94"/>
      <c r="AE46" s="109" t="s">
        <v>79</v>
      </c>
      <c r="AF46" s="110"/>
      <c r="AG46" s="140">
        <f>SUM(AG42:AG45)</f>
        <v>492.40059090530838</v>
      </c>
      <c r="AH46" s="107"/>
      <c r="AI46" s="49"/>
    </row>
    <row r="47" spans="2:35" s="7" customFormat="1" ht="24.6" customHeight="1" x14ac:dyDescent="0.2">
      <c r="B47" s="49"/>
      <c r="C47" s="49"/>
      <c r="D47" s="129"/>
      <c r="E47" s="49"/>
      <c r="F47" s="49"/>
      <c r="G47" s="129"/>
      <c r="H47" s="49"/>
      <c r="I47" s="53" t="s">
        <v>35</v>
      </c>
      <c r="J47" s="92">
        <f>IFERROR(ROUND(HLOOKUP(J23,$I$23:$P$36,10,0),2),"NA")</f>
        <v>0</v>
      </c>
      <c r="K47" s="59"/>
      <c r="L47" s="92">
        <f>IFERROR(ROUND(HLOOKUP(L23,$I$23:$P$36,10,0),2),"NA")</f>
        <v>82.5</v>
      </c>
      <c r="M47" s="59"/>
      <c r="N47" s="92" t="str">
        <f>IFERROR(ROUND(HLOOKUP(N23,$I$23:$P$36,10,0),2),"NA")</f>
        <v>NA</v>
      </c>
      <c r="O47" s="59"/>
      <c r="P47" s="92" t="str">
        <f>IFERROR(ROUND(HLOOKUP(P23,$I$23:$P$36,10,0),2),"NA")</f>
        <v>NA</v>
      </c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130"/>
      <c r="AI47" s="49"/>
    </row>
    <row r="48" spans="2:35" s="7" customFormat="1" ht="24.6" customHeight="1" x14ac:dyDescent="0.2">
      <c r="B48" s="49"/>
      <c r="C48" s="129"/>
      <c r="D48" s="49"/>
      <c r="E48" s="49"/>
      <c r="F48" s="160"/>
      <c r="G48" s="49"/>
      <c r="H48" s="49"/>
      <c r="I48" s="56" t="s">
        <v>36</v>
      </c>
      <c r="J48" s="91">
        <f>IFERROR(ROUND(HLOOKUP(J23,$I$23:$P$36,11,0),2),"NA")</f>
        <v>0</v>
      </c>
      <c r="K48" s="64"/>
      <c r="L48" s="91">
        <f>IFERROR(ROUND(HLOOKUP(L23,$I$23:$P$36,11,0),2),"NA")</f>
        <v>232.99</v>
      </c>
      <c r="M48" s="64"/>
      <c r="N48" s="91" t="str">
        <f>IFERROR(ROUND(HLOOKUP(N23,$I$23:$P$36,11,0),2),"NA")</f>
        <v>NA</v>
      </c>
      <c r="O48" s="64"/>
      <c r="P48" s="91" t="str">
        <f>IFERROR(ROUND(HLOOKUP(P23,$I$23:$P$36,11,0),2),"NA")</f>
        <v>NA</v>
      </c>
      <c r="Q48" s="49"/>
      <c r="R48" s="49"/>
      <c r="S48" s="49"/>
      <c r="T48" s="49"/>
      <c r="U48" s="49"/>
      <c r="V48" s="49"/>
      <c r="W48" s="49"/>
      <c r="X48" s="131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</row>
    <row r="49" spans="2:35" s="7" customFormat="1" ht="24.6" customHeight="1" x14ac:dyDescent="0.2">
      <c r="B49" s="49"/>
      <c r="C49" s="129"/>
      <c r="D49" s="49"/>
      <c r="E49" s="49"/>
      <c r="F49" s="129"/>
      <c r="G49" s="49"/>
      <c r="H49" s="49"/>
      <c r="I49" s="53" t="s">
        <v>38</v>
      </c>
      <c r="J49" s="92">
        <f>IFERROR(ROUND(HLOOKUP(J23,$I$23:$P$36,12,0),2),"NA")</f>
        <v>0</v>
      </c>
      <c r="K49" s="59"/>
      <c r="L49" s="92">
        <f>IFERROR(ROUND(HLOOKUP(L23,$I$23:$P$36,12,0),2),"NA")</f>
        <v>59.22</v>
      </c>
      <c r="M49" s="59"/>
      <c r="N49" s="92" t="str">
        <f>IFERROR(ROUND(HLOOKUP(N23,$I$23:$P$36,12,0),2),"NA")</f>
        <v>NA</v>
      </c>
      <c r="O49" s="59"/>
      <c r="P49" s="92" t="str">
        <f>IFERROR(ROUND(HLOOKUP(P23,$I$23:$P$36,12,0),2),"NA")</f>
        <v>NA</v>
      </c>
      <c r="Q49" s="49"/>
      <c r="R49" s="49"/>
      <c r="S49" s="49"/>
      <c r="T49" s="49"/>
      <c r="U49" s="49"/>
      <c r="V49" s="49"/>
      <c r="W49" s="49"/>
      <c r="X49" s="139"/>
      <c r="Y49" s="49"/>
      <c r="Z49" s="105"/>
      <c r="AA49" s="49"/>
      <c r="AB49" s="105"/>
      <c r="AC49" s="49"/>
      <c r="AD49" s="105"/>
      <c r="AE49" s="49"/>
      <c r="AF49" s="105"/>
      <c r="AG49" s="49"/>
      <c r="AH49" s="105"/>
      <c r="AI49" s="49"/>
    </row>
    <row r="50" spans="2:35" s="7" customFormat="1" ht="24.6" customHeight="1" x14ac:dyDescent="0.2">
      <c r="B50" s="49"/>
      <c r="C50" s="49"/>
      <c r="D50" s="49"/>
      <c r="E50" s="49"/>
      <c r="F50" s="49"/>
      <c r="G50" s="49"/>
      <c r="H50" s="49"/>
      <c r="I50" s="56" t="s">
        <v>39</v>
      </c>
      <c r="J50" s="91">
        <f>IFERROR(ROUND(HLOOKUP(J23,$I$23:$P$36,13,0),2),"NA")</f>
        <v>0</v>
      </c>
      <c r="K50" s="64"/>
      <c r="L50" s="91">
        <f>IFERROR(ROUND(HLOOKUP(L23,$I$23:$P$36,13,0),2),"NA")</f>
        <v>49.28</v>
      </c>
      <c r="M50" s="64"/>
      <c r="N50" s="91" t="str">
        <f>IFERROR(ROUND(HLOOKUP(N23,$I$23:$P$36,13,0),2),"NA")</f>
        <v>NA</v>
      </c>
      <c r="O50" s="64"/>
      <c r="P50" s="91" t="str">
        <f>IFERROR(ROUND(HLOOKUP(P23,$I$23:$P$36,13,0),2),"NA")</f>
        <v>NA</v>
      </c>
      <c r="Q50" s="49"/>
      <c r="R50" s="49"/>
      <c r="S50" s="49"/>
      <c r="T50" s="49"/>
      <c r="U50" s="49"/>
      <c r="V50" s="49"/>
      <c r="W50" s="49"/>
      <c r="X50" s="49"/>
      <c r="Y50" s="49"/>
      <c r="Z50" s="105"/>
      <c r="AA50" s="49"/>
      <c r="AB50" s="105"/>
      <c r="AC50" s="49"/>
      <c r="AD50" s="105"/>
      <c r="AE50" s="49"/>
      <c r="AF50" s="105"/>
      <c r="AG50" s="49"/>
      <c r="AH50" s="105"/>
      <c r="AI50" s="49"/>
    </row>
    <row r="51" spans="2:35" s="7" customFormat="1" ht="24.6" customHeight="1" thickBot="1" x14ac:dyDescent="0.25">
      <c r="B51" s="49"/>
      <c r="C51" s="129"/>
      <c r="D51" s="49"/>
      <c r="E51" s="49"/>
      <c r="F51" s="129"/>
      <c r="G51" s="49"/>
      <c r="H51" s="49"/>
      <c r="I51" s="76" t="s">
        <v>42</v>
      </c>
      <c r="J51" s="132">
        <f>IFERROR(ROUND(HLOOKUP(J23,$I$23:$P$36,14,0),2),"NA")</f>
        <v>0</v>
      </c>
      <c r="K51" s="77"/>
      <c r="L51" s="132">
        <f>IFERROR(ROUND(HLOOKUP(L23,$I$23:$P$36,14,0),2),"NA")</f>
        <v>55.84</v>
      </c>
      <c r="M51" s="77"/>
      <c r="N51" s="132" t="str">
        <f>IFERROR(ROUND(HLOOKUP(N23,$I$23:$P$36,14,0),2),"NA")</f>
        <v>NA</v>
      </c>
      <c r="O51" s="77"/>
      <c r="P51" s="132" t="str">
        <f>IFERROR(ROUND(HLOOKUP(P23,$I$23:$P$36,14,0),2),"NA")</f>
        <v>NA</v>
      </c>
      <c r="Q51" s="49"/>
      <c r="R51" s="49"/>
      <c r="S51" s="49"/>
      <c r="T51" s="49"/>
      <c r="U51" s="49"/>
      <c r="V51" s="49"/>
      <c r="W51" s="49"/>
      <c r="X51" s="49"/>
      <c r="Y51" s="49"/>
      <c r="Z51" s="105"/>
      <c r="AA51" s="49"/>
      <c r="AB51" s="105"/>
      <c r="AC51" s="49"/>
      <c r="AD51" s="105"/>
      <c r="AE51" s="49"/>
      <c r="AF51" s="105"/>
      <c r="AG51" s="49"/>
      <c r="AH51" s="105"/>
      <c r="AI51" s="49"/>
    </row>
    <row r="52" spans="2:35" s="7" customFormat="1" ht="24.6" customHeight="1" x14ac:dyDescent="0.2">
      <c r="B52" s="49"/>
      <c r="C52" s="129"/>
      <c r="D52" s="49"/>
      <c r="E52" s="49"/>
      <c r="F52" s="12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155"/>
      <c r="W52" s="49"/>
      <c r="X52" s="49"/>
      <c r="Y52" s="49"/>
      <c r="Z52" s="105"/>
      <c r="AA52" s="49"/>
      <c r="AB52" s="105"/>
      <c r="AC52" s="49"/>
      <c r="AD52" s="105"/>
      <c r="AE52" s="49"/>
      <c r="AF52" s="105"/>
      <c r="AG52" s="49"/>
      <c r="AH52" s="105"/>
      <c r="AI52" s="49"/>
    </row>
    <row r="53" spans="2:35" s="7" customFormat="1" ht="24.6" customHeight="1" x14ac:dyDescent="0.2">
      <c r="B53" s="49"/>
      <c r="C53" s="49"/>
      <c r="D53" s="49"/>
      <c r="E53" s="49"/>
      <c r="F53" s="49"/>
      <c r="G53" s="49"/>
      <c r="H53" s="49"/>
      <c r="I53" s="51" t="s">
        <v>206</v>
      </c>
      <c r="J53" s="51"/>
      <c r="K53" s="51"/>
      <c r="L53" s="51"/>
      <c r="M53" s="51"/>
      <c r="N53" s="51"/>
      <c r="O53" s="51"/>
      <c r="P53" s="51"/>
      <c r="Q53" s="49"/>
      <c r="R53" s="49"/>
      <c r="S53" s="49"/>
      <c r="T53" s="155"/>
      <c r="U53" s="49"/>
      <c r="V53" s="49"/>
      <c r="W53" s="49"/>
      <c r="X53" s="49"/>
      <c r="Y53" s="49"/>
      <c r="Z53" s="105"/>
      <c r="AA53" s="49"/>
      <c r="AB53" s="105"/>
      <c r="AC53" s="49"/>
      <c r="AD53" s="105"/>
      <c r="AE53" s="49"/>
      <c r="AF53" s="105"/>
      <c r="AG53" s="49"/>
      <c r="AH53" s="105"/>
      <c r="AI53" s="49"/>
    </row>
    <row r="54" spans="2:35" s="7" customFormat="1" ht="24.6" customHeight="1" x14ac:dyDescent="0.2">
      <c r="B54" s="49"/>
      <c r="C54" s="129"/>
      <c r="D54" s="49"/>
      <c r="E54" s="49"/>
      <c r="F54" s="168"/>
      <c r="G54" s="49"/>
      <c r="H54" s="49"/>
      <c r="I54" s="13"/>
      <c r="J54" s="54" t="s">
        <v>16</v>
      </c>
      <c r="K54" s="54"/>
      <c r="L54" s="54" t="s">
        <v>18</v>
      </c>
      <c r="M54" s="54"/>
      <c r="N54" s="54" t="s">
        <v>19</v>
      </c>
      <c r="O54" s="54"/>
      <c r="P54" s="54" t="s">
        <v>20</v>
      </c>
      <c r="Q54" s="49"/>
      <c r="R54" s="49"/>
      <c r="S54" s="49"/>
      <c r="T54" s="49"/>
      <c r="U54" s="49"/>
      <c r="V54" s="49"/>
      <c r="W54" s="49"/>
      <c r="X54" s="49"/>
      <c r="Y54" s="49"/>
      <c r="Z54" s="105"/>
      <c r="AA54" s="49"/>
      <c r="AB54" s="105"/>
      <c r="AC54" s="49"/>
      <c r="AD54" s="105"/>
      <c r="AE54" s="49"/>
      <c r="AF54" s="105"/>
      <c r="AG54" s="49"/>
      <c r="AH54" s="105"/>
      <c r="AI54" s="49"/>
    </row>
    <row r="55" spans="2:35" s="7" customFormat="1" ht="24.6" customHeight="1" x14ac:dyDescent="0.2">
      <c r="B55" s="49"/>
      <c r="C55" s="129"/>
      <c r="D55" s="49"/>
      <c r="E55" s="49"/>
      <c r="F55" s="160"/>
      <c r="G55" s="49"/>
      <c r="H55" s="49"/>
      <c r="I55" s="20"/>
      <c r="J55" s="57" t="str">
        <f>YEAR(L7)&amp;"A"</f>
        <v>2024A</v>
      </c>
      <c r="K55" s="57"/>
      <c r="L55" s="57" t="str">
        <f>YEAR(N7)&amp;"E"</f>
        <v>2025E</v>
      </c>
      <c r="M55" s="57"/>
      <c r="N55" s="57" t="str">
        <f>YEAR(P7)&amp;"E"</f>
        <v>2026E</v>
      </c>
      <c r="O55" s="57"/>
      <c r="P55" s="57" t="str">
        <f>YEAR(R7)&amp;"E"</f>
        <v>2027E</v>
      </c>
      <c r="Q55" s="49"/>
      <c r="R55" s="49"/>
      <c r="S55" s="49"/>
      <c r="T55" s="156"/>
      <c r="U55" s="49"/>
      <c r="V55" s="156"/>
      <c r="W55" s="49"/>
      <c r="X55" s="49"/>
      <c r="Y55" s="49"/>
      <c r="Z55" s="105"/>
      <c r="AA55" s="49"/>
      <c r="AB55" s="105"/>
      <c r="AC55" s="49"/>
      <c r="AD55" s="105"/>
      <c r="AE55" s="49"/>
      <c r="AF55" s="105"/>
      <c r="AG55" s="49"/>
      <c r="AH55" s="105"/>
      <c r="AI55" s="49"/>
    </row>
    <row r="56" spans="2:35" s="7" customFormat="1" ht="24.6" customHeight="1" x14ac:dyDescent="0.2">
      <c r="B56" s="49"/>
      <c r="C56" s="49"/>
      <c r="D56" s="49"/>
      <c r="E56" s="49"/>
      <c r="F56" s="49"/>
      <c r="G56" s="49"/>
      <c r="H56" s="49"/>
      <c r="I56" s="53" t="s">
        <v>46</v>
      </c>
      <c r="J56" s="86" t="str">
        <f>IFERROR(ROUND($F$13/HLOOKUP(DATE(LEFT(J55,4),LEFT($F22,2)+1,0),$K$7:$R$19,4,0),2),"  NA")</f>
        <v xml:space="preserve">  NA</v>
      </c>
      <c r="K56" s="86"/>
      <c r="L56" s="86">
        <f t="shared" ref="L56:P56" si="5">IFERROR(ROUND($F$13/HLOOKUP(DATE(LEFT(L55,4),LEFT($F22,2)+1,0),$K$7:$R$19,4,0),2),"  NA")</f>
        <v>11.01</v>
      </c>
      <c r="M56" s="86"/>
      <c r="N56" s="86">
        <f>IFERROR(ROUND($F$13/HLOOKUP(DATE(LEFT(N55,4),LEFT($F22,2)+1,0),$K$7:$R$19,4,0),2),"  NA")</f>
        <v>9.27</v>
      </c>
      <c r="O56" s="86" t="str">
        <f t="shared" si="5"/>
        <v xml:space="preserve">  NA</v>
      </c>
      <c r="P56" s="86" t="str">
        <f t="shared" si="5"/>
        <v xml:space="preserve">  NA</v>
      </c>
      <c r="Q56" s="49"/>
      <c r="R56" s="49"/>
      <c r="S56" s="49"/>
      <c r="T56" s="156"/>
      <c r="U56" s="49"/>
      <c r="V56" s="49"/>
      <c r="W56" s="49"/>
      <c r="X56" s="49"/>
      <c r="Y56" s="49"/>
      <c r="Z56" s="105"/>
      <c r="AA56" s="49"/>
      <c r="AB56" s="105"/>
      <c r="AC56" s="49"/>
      <c r="AD56" s="105"/>
      <c r="AE56" s="49"/>
      <c r="AF56" s="105"/>
      <c r="AG56" s="49"/>
      <c r="AH56" s="105"/>
      <c r="AI56" s="49"/>
    </row>
    <row r="57" spans="2:35" s="7" customFormat="1" ht="24.6" customHeight="1" x14ac:dyDescent="0.2">
      <c r="B57" s="105"/>
      <c r="C57" s="49"/>
      <c r="D57" s="49"/>
      <c r="E57" s="111"/>
      <c r="F57" s="49"/>
      <c r="G57" s="49"/>
      <c r="H57" s="49"/>
      <c r="I57" s="56" t="s">
        <v>48</v>
      </c>
      <c r="J57" s="87" t="str">
        <f>IFERROR(ROUND($F$13/HLOOKUP(DATE(LEFT(J55,4),LEFT($F22,2)+1,0),$I$7:$R$19,3,0),2),"  NA")</f>
        <v xml:space="preserve">  NA</v>
      </c>
      <c r="K57" s="63"/>
      <c r="L57" s="87">
        <f>IFERROR(ROUND($F$13/HLOOKUP(DATE(LEFT(L55,4),LEFT($F22,2)+1,0),$K$7:$R$19,3,0),2),"  NA")</f>
        <v>0.96</v>
      </c>
      <c r="M57" s="63"/>
      <c r="N57" s="87">
        <f>IFERROR(ROUND($F$13/HLOOKUP(DATE(LEFT(N55,4),LEFT($F22,2)+1,0),$K$7:$R$19,3,0),2),"  NA")</f>
        <v>0.89</v>
      </c>
      <c r="O57" s="63"/>
      <c r="P57" s="87" t="str">
        <f>IFERROR(ROUND($F$13/HLOOKUP(DATE(LEFT(P55,4),LEFT($F22,2)+1,0),$K$7:$R$19,3,0),2),"  NA")</f>
        <v xml:space="preserve">  NA</v>
      </c>
      <c r="Q57" s="49"/>
      <c r="R57" s="49"/>
      <c r="S57" s="49"/>
      <c r="T57" s="49"/>
      <c r="U57" s="49"/>
      <c r="V57" s="49"/>
      <c r="W57" s="49"/>
      <c r="X57" s="49"/>
      <c r="Y57" s="49"/>
      <c r="Z57" s="105"/>
      <c r="AA57" s="49"/>
      <c r="AB57" s="105"/>
      <c r="AC57" s="49"/>
      <c r="AD57" s="105"/>
      <c r="AE57" s="49"/>
      <c r="AF57" s="105"/>
      <c r="AG57" s="49"/>
      <c r="AH57" s="105"/>
      <c r="AI57" s="49"/>
    </row>
    <row r="58" spans="2:35" s="7" customFormat="1" ht="24.6" customHeight="1" x14ac:dyDescent="0.2">
      <c r="B58" s="105"/>
      <c r="C58" s="49"/>
      <c r="D58" s="49"/>
      <c r="E58" s="111"/>
      <c r="F58" s="49"/>
      <c r="G58" s="49"/>
      <c r="H58" s="49"/>
      <c r="I58" s="53" t="s">
        <v>53</v>
      </c>
      <c r="J58" s="127">
        <f>IFERROR(HLOOKUP(DATE(LEFT(J55,4),LEFT($F22,2)+1,0),$L$7:$S$19,5,0)/$F$13,"NA")</f>
        <v>0</v>
      </c>
      <c r="K58" s="127"/>
      <c r="L58" s="127">
        <f>IFERROR(HLOOKUP(DATE(LEFT(L55,4),LEFT($F22,2)+1,0),$L$7:$S$19,5,0)/$F$13,"NA")</f>
        <v>2.5940360103041339E-3</v>
      </c>
      <c r="M58" s="127"/>
      <c r="N58" s="127">
        <f>IFERROR(HLOOKUP(DATE(LEFT(N55,4),LEFT($F22,2)+1,0),$L$7:$S$19,5,0)/$F$13,"NA")</f>
        <v>2.5940360103041339E-3</v>
      </c>
      <c r="O58" s="58"/>
      <c r="P58" s="127" t="str">
        <f>IFERROR(HLOOKUP(DATE(LEFT(P55,4),LEFT($F22,2)+1,0),$L$7:$S$19,5,0)/$F$13,"NA")</f>
        <v>NA</v>
      </c>
      <c r="Q58" s="49"/>
      <c r="R58" s="49"/>
      <c r="S58" s="49"/>
      <c r="T58" s="49"/>
      <c r="U58" s="49"/>
      <c r="V58" s="49"/>
      <c r="W58" s="49"/>
      <c r="X58" s="49"/>
      <c r="Y58" s="49"/>
      <c r="Z58" s="105"/>
      <c r="AA58" s="49"/>
      <c r="AB58" s="105"/>
      <c r="AC58" s="49"/>
      <c r="AD58" s="105"/>
      <c r="AE58" s="49"/>
      <c r="AF58" s="105"/>
      <c r="AG58" s="49"/>
      <c r="AH58" s="105"/>
      <c r="AI58" s="49"/>
    </row>
    <row r="59" spans="2:35" s="7" customFormat="1" ht="24.6" customHeight="1" x14ac:dyDescent="0.2">
      <c r="B59" s="105"/>
      <c r="C59" s="49"/>
      <c r="D59" s="49"/>
      <c r="E59" s="105"/>
      <c r="F59" s="49"/>
      <c r="G59" s="49"/>
      <c r="H59" s="49"/>
      <c r="I59" s="56" t="s">
        <v>30</v>
      </c>
      <c r="J59" s="90">
        <f>IFERROR(HLOOKUP(DATE(LEFT(J55,4),LEFT($F22,2)+1,0),$L$7:$R$19,6,0),"NA")</f>
        <v>0</v>
      </c>
      <c r="K59" s="63"/>
      <c r="L59" s="90">
        <f>IFERROR(HLOOKUP(DATE(LEFT(L55,4),LEFT($F22,2)+1,0),$L$7:$R$19,6,0),"NA")</f>
        <v>8.9442999999999995E-2</v>
      </c>
      <c r="M59" s="63"/>
      <c r="N59" s="90">
        <f>IFERROR(HLOOKUP(DATE(LEFT(N55,4),LEFT($F22,2)+1,0),$L$7:$R$19,6,0),"NA")</f>
        <v>9.7591999999999998E-2</v>
      </c>
      <c r="O59" s="63"/>
      <c r="P59" s="90" t="str">
        <f>IFERROR(HLOOKUP(DATE(LEFT(P55,4),LEFT($F22,2)+1,0),$L$7:$R$19,6,0),"NA")</f>
        <v>NA</v>
      </c>
      <c r="Q59" s="49"/>
      <c r="R59" s="49"/>
      <c r="S59" s="49"/>
      <c r="T59" s="49"/>
      <c r="U59" s="49"/>
      <c r="V59" s="49"/>
      <c r="W59" s="49"/>
      <c r="X59" s="49"/>
      <c r="Y59" s="49"/>
      <c r="Z59" s="105"/>
      <c r="AA59" s="49"/>
      <c r="AB59" s="105"/>
      <c r="AC59" s="49"/>
      <c r="AD59" s="105"/>
      <c r="AE59" s="49"/>
      <c r="AF59" s="105"/>
      <c r="AG59" s="49"/>
      <c r="AH59" s="105"/>
      <c r="AI59" s="49"/>
    </row>
    <row r="60" spans="2:35" s="7" customFormat="1" ht="24.6" customHeight="1" x14ac:dyDescent="0.2">
      <c r="B60" s="105"/>
      <c r="C60" s="49"/>
      <c r="D60" s="49"/>
      <c r="E60" s="105"/>
      <c r="F60" s="49"/>
      <c r="G60" s="133"/>
      <c r="H60" s="49"/>
      <c r="I60" s="53" t="s">
        <v>32</v>
      </c>
      <c r="J60" s="79">
        <f>IFERROR(HLOOKUP(DATE(LEFT(J55,4),LEFT($F22,2)+1,0),$L$7:$S$19,7,0),"NA")</f>
        <v>0</v>
      </c>
      <c r="K60" s="58"/>
      <c r="L60" s="79">
        <f>IFERROR(HLOOKUP(DATE(LEFT(L55,4),LEFT($F22,2)+1,0),$L$7:$S$19,7,0),"NA")</f>
        <v>6.2350000000000003E-2</v>
      </c>
      <c r="M60" s="58"/>
      <c r="N60" s="79">
        <f>IFERROR(HLOOKUP(DATE(LEFT(N55,4),LEFT($F22,2)+1,0),$L$7:$S$19,7,0),"NA")</f>
        <v>7.2300000000000003E-2</v>
      </c>
      <c r="O60" s="58"/>
      <c r="P60" s="79" t="str">
        <f>IFERROR(HLOOKUP(DATE(LEFT(P55,4),LEFT($F22,2)+1,0),$L$7:$S$19,7,0),"NA")</f>
        <v>NA</v>
      </c>
      <c r="Q60" s="49"/>
      <c r="R60" s="49"/>
      <c r="S60" s="49"/>
      <c r="T60" s="49"/>
      <c r="U60" s="49"/>
      <c r="V60" s="49"/>
      <c r="W60" s="49"/>
      <c r="X60" s="49"/>
      <c r="Y60" s="49"/>
      <c r="Z60" s="105"/>
      <c r="AA60" s="49"/>
      <c r="AB60" s="105"/>
      <c r="AC60" s="49"/>
      <c r="AD60" s="105"/>
      <c r="AE60" s="49"/>
      <c r="AF60" s="105"/>
      <c r="AG60" s="49"/>
      <c r="AH60" s="105"/>
      <c r="AI60" s="49"/>
    </row>
    <row r="61" spans="2:35" s="7" customFormat="1" ht="24.6" customHeight="1" x14ac:dyDescent="0.2">
      <c r="B61" s="105"/>
      <c r="C61" s="49"/>
      <c r="D61" s="49"/>
      <c r="E61" s="105"/>
      <c r="F61" s="49"/>
      <c r="G61" s="134"/>
      <c r="H61" s="49"/>
      <c r="I61" s="56" t="s">
        <v>34</v>
      </c>
      <c r="J61" s="91">
        <f>IFERROR(ROUND(HLOOKUP(DATE(LEFT(J40,4),LEFT($F22,2)+1,0),$K$7:$R$19,8,0),2),"NA")</f>
        <v>0</v>
      </c>
      <c r="K61" s="64"/>
      <c r="L61" s="91">
        <f>IFERROR(ROUND(HLOOKUP(DATE(LEFT(L40,4),LEFT($F22,2)+1,0),$K$7:$R$19,8,0),2),"NA")</f>
        <v>59.49</v>
      </c>
      <c r="M61" s="64"/>
      <c r="N61" s="91">
        <f>IFERROR(ROUND(HLOOKUP(DATE(LEFT(N40,4),LEFT($F22,2)+1,0),$K$7:$R$19,8,0),2),"NA")</f>
        <v>71.319999999999993</v>
      </c>
      <c r="O61" s="64"/>
      <c r="P61" s="91" t="str">
        <f>IFERROR(ROUND(HLOOKUP(DATE(LEFT(P40,4),LEFT($F22,2)+1,0),$K$7:$R$19,8,0),2),"NA")</f>
        <v>NA</v>
      </c>
      <c r="Q61" s="49"/>
      <c r="R61" s="49"/>
      <c r="S61" s="49"/>
      <c r="T61" s="49"/>
      <c r="U61" s="49"/>
      <c r="V61" s="49"/>
      <c r="W61" s="49"/>
      <c r="X61" s="49"/>
      <c r="Y61" s="49"/>
      <c r="Z61" s="105"/>
      <c r="AA61" s="49"/>
      <c r="AB61" s="105"/>
      <c r="AC61" s="49"/>
      <c r="AD61" s="105"/>
      <c r="AE61" s="49"/>
      <c r="AF61" s="105"/>
      <c r="AG61" s="49"/>
      <c r="AH61" s="105"/>
      <c r="AI61" s="49"/>
    </row>
    <row r="62" spans="2:35" s="7" customFormat="1" ht="24.6" customHeight="1" x14ac:dyDescent="0.2">
      <c r="B62" s="105"/>
      <c r="C62" s="49"/>
      <c r="D62" s="49"/>
      <c r="E62" s="105"/>
      <c r="F62" s="49"/>
      <c r="G62" s="134"/>
      <c r="H62" s="49"/>
      <c r="I62" s="53" t="s">
        <v>35</v>
      </c>
      <c r="J62" s="92">
        <f>IFERROR(ROUND(HLOOKUP(DATE(LEFT(J40,4),LEFT($F22,2)+1,0),$K$7:$R$19,9,0),2),"NA")</f>
        <v>0</v>
      </c>
      <c r="K62" s="59"/>
      <c r="L62" s="92">
        <f>IFERROR(ROUND(HLOOKUP(DATE(LEFT(L40,4),LEFT($F22,2)+1,0),$K$7:$R$19,9,0),2),"NA")</f>
        <v>82.5</v>
      </c>
      <c r="M62" s="59"/>
      <c r="N62" s="92">
        <f>IFERROR(ROUND(HLOOKUP(DATE(LEFT(N40,4),LEFT($F22,2)+1,0),$K$7:$R$19,9,0),2),"NA")</f>
        <v>95.55</v>
      </c>
      <c r="O62" s="59"/>
      <c r="P62" s="92" t="str">
        <f>IFERROR(ROUND(HLOOKUP(DATE(LEFT(P40,4),LEFT($F22,2)+1,0),$K$7:$R$19,9,0),2),"NA")</f>
        <v>NA</v>
      </c>
      <c r="Q62" s="49"/>
      <c r="R62" s="49"/>
      <c r="S62" s="49"/>
      <c r="T62" s="49"/>
      <c r="U62" s="49"/>
      <c r="V62" s="49"/>
      <c r="W62" s="49"/>
      <c r="X62" s="49"/>
      <c r="Y62" s="49"/>
      <c r="Z62" s="105"/>
      <c r="AA62" s="49"/>
      <c r="AB62" s="105"/>
      <c r="AC62" s="49"/>
      <c r="AD62" s="105"/>
      <c r="AE62" s="49"/>
      <c r="AF62" s="105"/>
      <c r="AG62" s="49"/>
      <c r="AH62" s="105"/>
      <c r="AI62" s="49"/>
    </row>
    <row r="63" spans="2:35" s="7" customFormat="1" ht="24.6" customHeight="1" x14ac:dyDescent="0.2">
      <c r="B63" s="105"/>
      <c r="C63" s="49"/>
      <c r="D63" s="49"/>
      <c r="E63" s="105"/>
      <c r="F63" s="49"/>
      <c r="G63" s="134"/>
      <c r="H63" s="49"/>
      <c r="I63" s="56" t="s">
        <v>36</v>
      </c>
      <c r="J63" s="91">
        <f>IFERROR(ROUND(HLOOKUP(DATE(LEFT(J40,4),LEFT($F22,2)+1,0),$L$7:$S$19,10,0),2),"NA")</f>
        <v>0</v>
      </c>
      <c r="K63" s="64"/>
      <c r="L63" s="91">
        <f>IFERROR(ROUND(HLOOKUP(DATE(LEFT(L40,4),LEFT($F22,2)+1,0),$L$7:$S$19,10,0),2),"NA")</f>
        <v>232.99</v>
      </c>
      <c r="M63" s="64"/>
      <c r="N63" s="91">
        <f>IFERROR(ROUND(HLOOKUP(DATE(LEFT(N40,4),LEFT($F22,2)+1,0),$L$7:$S$19,10,0),2),"NA")</f>
        <v>268.23</v>
      </c>
      <c r="O63" s="64"/>
      <c r="P63" s="91" t="str">
        <f>IFERROR(ROUND(HLOOKUP(DATE(LEFT(P40,4),LEFT($F22,2)+1,0),$L$7:$S$19,10,0),2),"NA")</f>
        <v>NA</v>
      </c>
      <c r="Q63" s="49"/>
      <c r="R63" s="49"/>
      <c r="S63" s="49"/>
      <c r="T63" s="49"/>
      <c r="U63" s="49"/>
      <c r="V63" s="49"/>
      <c r="W63" s="49"/>
      <c r="X63" s="49"/>
      <c r="Y63" s="49"/>
      <c r="Z63" s="105"/>
      <c r="AA63" s="49"/>
      <c r="AB63" s="105"/>
      <c r="AC63" s="49"/>
      <c r="AD63" s="105"/>
      <c r="AE63" s="49"/>
      <c r="AF63" s="105"/>
      <c r="AG63" s="49"/>
      <c r="AH63" s="105"/>
      <c r="AI63" s="49"/>
    </row>
    <row r="64" spans="2:35" s="7" customFormat="1" ht="24.6" customHeight="1" x14ac:dyDescent="0.2">
      <c r="B64" s="105"/>
      <c r="C64" s="49"/>
      <c r="D64" s="49"/>
      <c r="E64" s="105"/>
      <c r="F64" s="49"/>
      <c r="G64" s="134"/>
      <c r="H64" s="49"/>
      <c r="I64" s="53" t="s">
        <v>38</v>
      </c>
      <c r="J64" s="92">
        <f>IFERROR(ROUND(HLOOKUP(DATE(LEFT(J40,4),LEFT($F22,2)+1,0),$K$7:$R$19,11,0),2),"NA")</f>
        <v>0</v>
      </c>
      <c r="K64" s="59"/>
      <c r="L64" s="92">
        <f>IFERROR(ROUND(HLOOKUP(DATE(LEFT(L40,4),LEFT($F22,2)+1,0),$K$7:$R$19,11,0),2),"NA")</f>
        <v>59.22</v>
      </c>
      <c r="M64" s="59"/>
      <c r="N64" s="92">
        <f>IFERROR(ROUND(HLOOKUP(DATE(LEFT(N40,4),LEFT($F22,2)+1,0),$K$7:$R$19,11,0),2),"NA")</f>
        <v>69.11</v>
      </c>
      <c r="O64" s="59"/>
      <c r="P64" s="92" t="str">
        <f>IFERROR(ROUND(HLOOKUP(DATE(LEFT(P40,4),LEFT($F22,2)+1,0),$K$7:$R$19,11,0),2),"NA")</f>
        <v>NA</v>
      </c>
      <c r="Q64" s="49"/>
      <c r="R64" s="49"/>
      <c r="S64" s="49"/>
      <c r="T64" s="49"/>
      <c r="U64" s="49"/>
      <c r="V64" s="49"/>
      <c r="W64" s="49"/>
      <c r="X64" s="49"/>
      <c r="Y64" s="49"/>
      <c r="Z64" s="105"/>
      <c r="AA64" s="49"/>
      <c r="AB64" s="105"/>
      <c r="AC64" s="49"/>
      <c r="AD64" s="105"/>
      <c r="AE64" s="49"/>
      <c r="AF64" s="105"/>
      <c r="AG64" s="49"/>
      <c r="AH64" s="105"/>
      <c r="AI64" s="49"/>
    </row>
    <row r="65" spans="2:35" s="7" customFormat="1" ht="24.6" customHeight="1" x14ac:dyDescent="0.2">
      <c r="B65" s="105"/>
      <c r="C65" s="49"/>
      <c r="D65" s="49"/>
      <c r="E65" s="105"/>
      <c r="F65" s="49"/>
      <c r="G65" s="134"/>
      <c r="H65" s="49"/>
      <c r="I65" s="56" t="s">
        <v>39</v>
      </c>
      <c r="J65" s="91">
        <f>IFERROR(ROUND(HLOOKUP(DATE(LEFT(J40,4),LEFT($F22,2)+1,0),$K$7:$R$19,12,0),2),"NA")</f>
        <v>0</v>
      </c>
      <c r="K65" s="64"/>
      <c r="L65" s="91">
        <f>IFERROR(ROUND(HLOOKUP(DATE(LEFT(L40,4),LEFT($F22,2)+1,0),$K$7:$R$19,12,0),2),"NA")</f>
        <v>49.28</v>
      </c>
      <c r="M65" s="64"/>
      <c r="N65" s="91">
        <f>IFERROR(ROUND(HLOOKUP(DATE(LEFT(N40,4),LEFT($F22,2)+1,0),$K$7:$R$19,12,0),2),"NA")</f>
        <v>58.53</v>
      </c>
      <c r="O65" s="64"/>
      <c r="P65" s="91" t="str">
        <f>IFERROR(ROUND(HLOOKUP(DATE(LEFT(P40,4),LEFT($F22,2)+1,0),$K$7:$R$19,12,0),2),"NA")</f>
        <v>NA</v>
      </c>
      <c r="Q65" s="49"/>
      <c r="R65" s="49"/>
      <c r="S65" s="49"/>
      <c r="T65" s="49"/>
      <c r="U65" s="49"/>
      <c r="V65" s="49"/>
      <c r="W65" s="49"/>
      <c r="X65" s="49"/>
      <c r="Y65" s="49"/>
      <c r="Z65" s="105"/>
      <c r="AA65" s="49"/>
      <c r="AB65" s="105"/>
      <c r="AC65" s="49"/>
      <c r="AD65" s="105"/>
      <c r="AE65" s="49"/>
      <c r="AF65" s="105"/>
      <c r="AG65" s="49"/>
      <c r="AH65" s="105"/>
      <c r="AI65" s="49"/>
    </row>
    <row r="66" spans="2:35" s="7" customFormat="1" ht="24.6" customHeight="1" thickBot="1" x14ac:dyDescent="0.25">
      <c r="B66" s="105"/>
      <c r="C66" s="49"/>
      <c r="D66" s="49"/>
      <c r="E66" s="105"/>
      <c r="F66" s="49"/>
      <c r="G66" s="134"/>
      <c r="H66" s="49"/>
      <c r="I66" s="76" t="s">
        <v>42</v>
      </c>
      <c r="J66" s="132">
        <f>IFERROR(ROUND(HLOOKUP(DATE(LEFT(J40,4),LEFT($F22,2)+1,0),$K$7:$R$19,13,0),2),"NA")</f>
        <v>0</v>
      </c>
      <c r="K66" s="77"/>
      <c r="L66" s="132">
        <f>IFERROR(ROUND(HLOOKUP(DATE(LEFT(L40,4),LEFT($F22,2)+1,0),$K$7:$R$19,13,0),2),"NA")</f>
        <v>55.84</v>
      </c>
      <c r="M66" s="77"/>
      <c r="N66" s="132">
        <f>IFERROR(ROUND(HLOOKUP(DATE(LEFT(N40,4),LEFT($F22,2)+1,0),$K$7:$R$19,13,0),2),"NA")</f>
        <v>65.77</v>
      </c>
      <c r="O66" s="77"/>
      <c r="P66" s="132" t="str">
        <f>IFERROR(ROUND(HLOOKUP(DATE(LEFT(P40,4),LEFT($F22,2)+1,0),$K$7:$R$19,13,0),2),"NA")</f>
        <v>NA</v>
      </c>
      <c r="Q66" s="49"/>
      <c r="R66" s="49"/>
      <c r="S66" s="49"/>
      <c r="T66" s="49"/>
      <c r="U66" s="49"/>
      <c r="V66" s="49"/>
      <c r="W66" s="49"/>
      <c r="X66" s="49"/>
      <c r="Y66" s="49"/>
      <c r="Z66" s="105"/>
      <c r="AA66" s="49"/>
      <c r="AB66" s="105"/>
      <c r="AC66" s="49"/>
      <c r="AD66" s="105"/>
      <c r="AE66" s="49"/>
      <c r="AF66" s="105"/>
      <c r="AG66" s="49"/>
      <c r="AH66" s="105"/>
      <c r="AI66" s="49"/>
    </row>
    <row r="67" spans="2:35" s="7" customFormat="1" ht="24.6" customHeight="1" x14ac:dyDescent="0.2">
      <c r="B67" s="105"/>
      <c r="C67" s="49"/>
      <c r="D67" s="49"/>
      <c r="E67" s="105"/>
      <c r="F67" s="49"/>
      <c r="G67" s="134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105"/>
      <c r="T67" s="49"/>
      <c r="U67" s="49"/>
      <c r="V67" s="49"/>
      <c r="W67" s="49"/>
      <c r="X67" s="49"/>
      <c r="Y67" s="49"/>
      <c r="Z67" s="105"/>
      <c r="AA67" s="49"/>
      <c r="AB67" s="105"/>
      <c r="AC67" s="49"/>
      <c r="AD67" s="105"/>
      <c r="AE67" s="49"/>
      <c r="AF67" s="105"/>
      <c r="AG67" s="49"/>
      <c r="AH67" s="105"/>
      <c r="AI67" s="49"/>
    </row>
    <row r="68" spans="2:35" s="7" customFormat="1" ht="17.25" x14ac:dyDescent="0.2">
      <c r="B68" s="105"/>
      <c r="C68" s="49"/>
      <c r="D68" s="49"/>
      <c r="E68" s="105"/>
      <c r="F68" s="49"/>
      <c r="G68" s="134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105"/>
      <c r="T68" s="49"/>
      <c r="U68" s="49"/>
      <c r="V68" s="49"/>
      <c r="W68" s="49"/>
      <c r="X68" s="49"/>
      <c r="Y68" s="49"/>
      <c r="Z68" s="105"/>
      <c r="AA68" s="49"/>
      <c r="AB68" s="105"/>
      <c r="AC68" s="49"/>
      <c r="AD68" s="105"/>
      <c r="AE68" s="49"/>
      <c r="AF68" s="105"/>
      <c r="AG68" s="49"/>
      <c r="AH68" s="105"/>
      <c r="AI68" s="49"/>
    </row>
    <row r="69" spans="2:35" s="7" customFormat="1" ht="17.25" x14ac:dyDescent="0.2">
      <c r="B69" s="105"/>
      <c r="C69" s="49"/>
      <c r="D69" s="49"/>
      <c r="E69" s="105"/>
      <c r="F69" s="49"/>
      <c r="G69" s="134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105"/>
      <c r="T69" s="49"/>
      <c r="U69" s="49"/>
      <c r="V69" s="49"/>
      <c r="W69" s="49"/>
      <c r="X69" s="49"/>
      <c r="Y69" s="49"/>
      <c r="Z69" s="105"/>
      <c r="AA69" s="49"/>
      <c r="AB69" s="105"/>
      <c r="AC69" s="49"/>
      <c r="AD69" s="105"/>
      <c r="AE69" s="49"/>
      <c r="AF69" s="105"/>
      <c r="AG69" s="49"/>
      <c r="AH69" s="105"/>
      <c r="AI69" s="49"/>
    </row>
    <row r="70" spans="2:35" s="7" customFormat="1" ht="17.25" x14ac:dyDescent="0.2"/>
    <row r="71" spans="2:35" s="7" customFormat="1" ht="17.25" x14ac:dyDescent="0.2"/>
    <row r="72" spans="2:35" s="7" customFormat="1" ht="17.25" x14ac:dyDescent="0.2"/>
    <row r="73" spans="2:35" s="7" customFormat="1" ht="17.25" x14ac:dyDescent="0.2"/>
    <row r="74" spans="2:35" s="7" customFormat="1" ht="17.25" x14ac:dyDescent="0.2"/>
    <row r="75" spans="2:35" s="7" customFormat="1" ht="17.25" x14ac:dyDescent="0.2"/>
    <row r="76" spans="2:35" s="7" customFormat="1" ht="17.25" x14ac:dyDescent="0.2"/>
    <row r="93" spans="7:9" x14ac:dyDescent="0.2">
      <c r="G93" s="135"/>
      <c r="H93" s="136"/>
      <c r="I93" s="136"/>
    </row>
    <row r="94" spans="7:9" x14ac:dyDescent="0.2">
      <c r="G94" s="135"/>
      <c r="H94" s="136"/>
      <c r="I94" s="136"/>
    </row>
    <row r="95" spans="7:9" x14ac:dyDescent="0.2">
      <c r="G95" s="135"/>
      <c r="H95" s="136"/>
      <c r="I95" s="136"/>
    </row>
    <row r="96" spans="7:9" x14ac:dyDescent="0.2">
      <c r="G96" s="135"/>
      <c r="H96" s="136"/>
      <c r="I96" s="136"/>
    </row>
    <row r="97" spans="7:9" x14ac:dyDescent="0.2">
      <c r="G97" s="135"/>
      <c r="H97" s="136"/>
      <c r="I97" s="136"/>
    </row>
    <row r="98" spans="7:9" x14ac:dyDescent="0.2">
      <c r="G98" s="135"/>
      <c r="H98" s="136"/>
      <c r="I98" s="136"/>
    </row>
    <row r="99" spans="7:9" x14ac:dyDescent="0.2">
      <c r="G99" s="135"/>
      <c r="H99" s="136"/>
      <c r="I99" s="136"/>
    </row>
    <row r="100" spans="7:9" x14ac:dyDescent="0.2">
      <c r="G100" s="135"/>
      <c r="H100" s="136"/>
      <c r="I100" s="136"/>
    </row>
    <row r="101" spans="7:9" x14ac:dyDescent="0.2">
      <c r="G101" s="135"/>
      <c r="H101" s="136"/>
      <c r="I101" s="136"/>
    </row>
    <row r="102" spans="7:9" x14ac:dyDescent="0.2">
      <c r="G102" s="135"/>
      <c r="H102" s="136"/>
      <c r="I102" s="136"/>
    </row>
    <row r="103" spans="7:9" x14ac:dyDescent="0.2">
      <c r="G103" s="135"/>
      <c r="H103" s="136"/>
      <c r="I103" s="136"/>
    </row>
    <row r="104" spans="7:9" x14ac:dyDescent="0.2">
      <c r="G104" s="135"/>
      <c r="H104" s="136"/>
      <c r="I104" s="136"/>
    </row>
    <row r="105" spans="7:9" x14ac:dyDescent="0.2">
      <c r="G105" s="135"/>
      <c r="H105" s="136"/>
      <c r="I105" s="136"/>
    </row>
    <row r="106" spans="7:9" x14ac:dyDescent="0.2">
      <c r="G106" s="135"/>
      <c r="H106" s="136"/>
      <c r="I106" s="136"/>
    </row>
    <row r="107" spans="7:9" x14ac:dyDescent="0.2">
      <c r="G107" s="135"/>
      <c r="H107" s="136"/>
      <c r="I107" s="136"/>
    </row>
    <row r="108" spans="7:9" x14ac:dyDescent="0.2">
      <c r="G108" s="135"/>
      <c r="H108" s="136"/>
      <c r="I108" s="136"/>
    </row>
    <row r="109" spans="7:9" x14ac:dyDescent="0.2">
      <c r="G109" s="135"/>
      <c r="H109" s="136"/>
      <c r="I109" s="136"/>
    </row>
    <row r="110" spans="7:9" x14ac:dyDescent="0.2">
      <c r="G110" s="135"/>
      <c r="H110" s="136"/>
      <c r="I110" s="136"/>
    </row>
    <row r="111" spans="7:9" x14ac:dyDescent="0.2">
      <c r="G111" s="135"/>
      <c r="H111" s="136"/>
      <c r="I111" s="136"/>
    </row>
    <row r="112" spans="7:9" x14ac:dyDescent="0.2">
      <c r="G112" s="135"/>
      <c r="H112" s="136"/>
      <c r="I112" s="136"/>
    </row>
    <row r="113" spans="7:9" x14ac:dyDescent="0.2">
      <c r="G113" s="135"/>
      <c r="H113" s="136"/>
      <c r="I113" s="136"/>
    </row>
    <row r="114" spans="7:9" x14ac:dyDescent="0.2">
      <c r="G114" s="135"/>
      <c r="H114" s="136"/>
      <c r="I114" s="136"/>
    </row>
    <row r="115" spans="7:9" x14ac:dyDescent="0.2">
      <c r="G115" s="135"/>
      <c r="H115" s="136"/>
      <c r="I115" s="136"/>
    </row>
    <row r="116" spans="7:9" x14ac:dyDescent="0.2">
      <c r="G116" s="135"/>
      <c r="H116" s="136"/>
      <c r="I116" s="136"/>
    </row>
    <row r="117" spans="7:9" x14ac:dyDescent="0.2">
      <c r="G117" s="135"/>
      <c r="H117" s="136"/>
      <c r="I117" s="136"/>
    </row>
    <row r="118" spans="7:9" x14ac:dyDescent="0.2">
      <c r="G118" s="135"/>
      <c r="H118" s="136"/>
      <c r="I118" s="136"/>
    </row>
    <row r="119" spans="7:9" x14ac:dyDescent="0.2">
      <c r="G119" s="135"/>
      <c r="H119" s="136"/>
      <c r="I119" s="136"/>
    </row>
    <row r="120" spans="7:9" x14ac:dyDescent="0.2">
      <c r="G120" s="135"/>
      <c r="H120" s="136"/>
      <c r="I120" s="136"/>
    </row>
    <row r="121" spans="7:9" x14ac:dyDescent="0.2">
      <c r="G121" s="135"/>
      <c r="H121" s="136"/>
      <c r="I121" s="136"/>
    </row>
    <row r="122" spans="7:9" x14ac:dyDescent="0.2">
      <c r="G122" s="135"/>
      <c r="H122" s="136"/>
      <c r="I122" s="136"/>
    </row>
    <row r="123" spans="7:9" x14ac:dyDescent="0.2">
      <c r="G123" s="135"/>
      <c r="H123" s="136"/>
      <c r="I123" s="136"/>
    </row>
    <row r="124" spans="7:9" x14ac:dyDescent="0.2">
      <c r="G124" s="135"/>
      <c r="H124" s="136"/>
      <c r="I124" s="136"/>
    </row>
    <row r="125" spans="7:9" x14ac:dyDescent="0.2">
      <c r="G125" s="135"/>
      <c r="H125" s="136"/>
      <c r="I125" s="136"/>
    </row>
    <row r="126" spans="7:9" x14ac:dyDescent="0.2">
      <c r="G126" s="135"/>
      <c r="H126" s="136"/>
      <c r="I126" s="136"/>
    </row>
    <row r="127" spans="7:9" x14ac:dyDescent="0.2">
      <c r="G127" s="135"/>
      <c r="H127" s="136"/>
      <c r="I127" s="136"/>
    </row>
    <row r="128" spans="7:9" x14ac:dyDescent="0.2">
      <c r="G128" s="135"/>
      <c r="H128" s="136"/>
      <c r="I128" s="136"/>
    </row>
    <row r="129" spans="7:9" x14ac:dyDescent="0.2">
      <c r="G129" s="135"/>
      <c r="H129" s="136"/>
      <c r="I129" s="136"/>
    </row>
    <row r="130" spans="7:9" x14ac:dyDescent="0.2">
      <c r="G130" s="135"/>
      <c r="H130" s="136"/>
      <c r="I130" s="136"/>
    </row>
    <row r="131" spans="7:9" x14ac:dyDescent="0.2">
      <c r="G131" s="135"/>
      <c r="H131" s="136"/>
      <c r="I131" s="136"/>
    </row>
    <row r="132" spans="7:9" x14ac:dyDescent="0.2">
      <c r="G132" s="135"/>
      <c r="H132" s="136"/>
      <c r="I132" s="136"/>
    </row>
    <row r="133" spans="7:9" x14ac:dyDescent="0.2">
      <c r="G133" s="135"/>
      <c r="H133" s="136"/>
      <c r="I133" s="136"/>
    </row>
    <row r="134" spans="7:9" x14ac:dyDescent="0.2">
      <c r="G134" s="135"/>
      <c r="H134" s="136"/>
      <c r="I134" s="136"/>
    </row>
    <row r="135" spans="7:9" x14ac:dyDescent="0.2">
      <c r="G135" s="135"/>
      <c r="H135" s="136"/>
      <c r="I135" s="136"/>
    </row>
    <row r="136" spans="7:9" x14ac:dyDescent="0.2">
      <c r="G136" s="135"/>
      <c r="H136" s="136"/>
      <c r="I136" s="136"/>
    </row>
    <row r="137" spans="7:9" x14ac:dyDescent="0.2">
      <c r="G137" s="135"/>
      <c r="H137" s="136"/>
      <c r="I137" s="136"/>
    </row>
    <row r="138" spans="7:9" x14ac:dyDescent="0.2">
      <c r="G138" s="135"/>
      <c r="H138" s="136"/>
      <c r="I138" s="136"/>
    </row>
    <row r="139" spans="7:9" x14ac:dyDescent="0.2">
      <c r="G139" s="135"/>
      <c r="H139" s="136"/>
      <c r="I139" s="136"/>
    </row>
    <row r="140" spans="7:9" x14ac:dyDescent="0.2">
      <c r="G140" s="135"/>
      <c r="H140" s="136"/>
      <c r="I140" s="136"/>
    </row>
    <row r="141" spans="7:9" x14ac:dyDescent="0.2">
      <c r="G141" s="135"/>
      <c r="H141" s="136"/>
      <c r="I141" s="136"/>
    </row>
    <row r="142" spans="7:9" x14ac:dyDescent="0.2">
      <c r="G142" s="135"/>
      <c r="H142" s="136"/>
      <c r="I142" s="136"/>
    </row>
    <row r="143" spans="7:9" x14ac:dyDescent="0.2">
      <c r="G143" s="135"/>
      <c r="H143" s="136"/>
      <c r="I143" s="136"/>
    </row>
    <row r="144" spans="7:9" x14ac:dyDescent="0.2">
      <c r="G144" s="135"/>
      <c r="H144" s="136"/>
      <c r="I144" s="136"/>
    </row>
    <row r="145" spans="7:9" x14ac:dyDescent="0.2">
      <c r="G145" s="135"/>
      <c r="H145" s="136"/>
      <c r="I145" s="136"/>
    </row>
    <row r="146" spans="7:9" x14ac:dyDescent="0.2">
      <c r="G146" s="135"/>
      <c r="H146" s="136"/>
      <c r="I146" s="136"/>
    </row>
    <row r="147" spans="7:9" x14ac:dyDescent="0.2">
      <c r="G147" s="135"/>
      <c r="H147" s="136"/>
      <c r="I147" s="136"/>
    </row>
    <row r="148" spans="7:9" x14ac:dyDescent="0.2">
      <c r="G148" s="135"/>
      <c r="H148" s="136"/>
      <c r="I148" s="136"/>
    </row>
    <row r="149" spans="7:9" x14ac:dyDescent="0.2">
      <c r="G149" s="135"/>
      <c r="H149" s="136"/>
      <c r="I149" s="136"/>
    </row>
    <row r="150" spans="7:9" x14ac:dyDescent="0.2">
      <c r="G150" s="135"/>
      <c r="H150" s="136"/>
      <c r="I150" s="136"/>
    </row>
    <row r="151" spans="7:9" x14ac:dyDescent="0.2">
      <c r="G151" s="135"/>
      <c r="H151" s="136"/>
      <c r="I151" s="136"/>
    </row>
    <row r="152" spans="7:9" x14ac:dyDescent="0.2">
      <c r="G152" s="135"/>
      <c r="H152" s="136"/>
      <c r="I152" s="136"/>
    </row>
    <row r="153" spans="7:9" x14ac:dyDescent="0.2">
      <c r="G153" s="135"/>
      <c r="H153" s="136"/>
      <c r="I153" s="136"/>
    </row>
    <row r="154" spans="7:9" x14ac:dyDescent="0.2">
      <c r="G154" s="135"/>
      <c r="H154" s="136"/>
      <c r="I154" s="136"/>
    </row>
    <row r="155" spans="7:9" x14ac:dyDescent="0.2">
      <c r="G155" s="135"/>
      <c r="H155" s="136"/>
      <c r="I155" s="136"/>
    </row>
    <row r="156" spans="7:9" x14ac:dyDescent="0.2">
      <c r="G156" s="135"/>
      <c r="H156" s="136"/>
      <c r="I156" s="136"/>
    </row>
    <row r="157" spans="7:9" x14ac:dyDescent="0.2">
      <c r="G157" s="135"/>
      <c r="H157" s="136"/>
      <c r="I157" s="136"/>
    </row>
    <row r="158" spans="7:9" x14ac:dyDescent="0.2">
      <c r="G158" s="135"/>
      <c r="H158" s="136"/>
      <c r="I158" s="136"/>
    </row>
    <row r="159" spans="7:9" x14ac:dyDescent="0.2">
      <c r="G159" s="135"/>
      <c r="H159" s="136"/>
      <c r="I159" s="136"/>
    </row>
    <row r="160" spans="7:9" x14ac:dyDescent="0.2">
      <c r="G160" s="135"/>
      <c r="H160" s="136"/>
      <c r="I160" s="136"/>
    </row>
    <row r="161" spans="7:9" x14ac:dyDescent="0.2">
      <c r="G161" s="135"/>
      <c r="H161" s="136"/>
      <c r="I161" s="136"/>
    </row>
    <row r="162" spans="7:9" x14ac:dyDescent="0.2">
      <c r="G162" s="135"/>
      <c r="H162" s="136"/>
      <c r="I162" s="136"/>
    </row>
    <row r="163" spans="7:9" x14ac:dyDescent="0.2">
      <c r="G163" s="135"/>
      <c r="H163" s="136"/>
      <c r="I163" s="136"/>
    </row>
    <row r="164" spans="7:9" x14ac:dyDescent="0.2">
      <c r="G164" s="135"/>
      <c r="H164" s="136"/>
      <c r="I164" s="136"/>
    </row>
    <row r="165" spans="7:9" x14ac:dyDescent="0.2">
      <c r="G165" s="135"/>
      <c r="H165" s="136"/>
      <c r="I165" s="136"/>
    </row>
    <row r="166" spans="7:9" x14ac:dyDescent="0.2">
      <c r="G166" s="135"/>
      <c r="H166" s="136"/>
      <c r="I166" s="136"/>
    </row>
    <row r="167" spans="7:9" x14ac:dyDescent="0.2">
      <c r="G167" s="135"/>
      <c r="H167" s="136"/>
      <c r="I167" s="136"/>
    </row>
    <row r="168" spans="7:9" x14ac:dyDescent="0.2">
      <c r="G168" s="135"/>
      <c r="H168" s="136"/>
      <c r="I168" s="136"/>
    </row>
    <row r="169" spans="7:9" x14ac:dyDescent="0.2">
      <c r="G169" s="135"/>
      <c r="H169" s="136"/>
      <c r="I169" s="136"/>
    </row>
    <row r="170" spans="7:9" x14ac:dyDescent="0.2">
      <c r="G170" s="135"/>
      <c r="H170" s="136"/>
      <c r="I170" s="136"/>
    </row>
    <row r="171" spans="7:9" x14ac:dyDescent="0.2">
      <c r="G171" s="135"/>
      <c r="H171" s="136"/>
      <c r="I171" s="136"/>
    </row>
    <row r="172" spans="7:9" x14ac:dyDescent="0.2">
      <c r="G172" s="135"/>
      <c r="H172" s="136"/>
      <c r="I172" s="136"/>
    </row>
    <row r="173" spans="7:9" x14ac:dyDescent="0.2">
      <c r="G173" s="135"/>
      <c r="H173" s="136"/>
      <c r="I173" s="136"/>
    </row>
    <row r="174" spans="7:9" x14ac:dyDescent="0.2">
      <c r="G174" s="135"/>
      <c r="H174" s="136"/>
      <c r="I174" s="136"/>
    </row>
    <row r="175" spans="7:9" x14ac:dyDescent="0.2">
      <c r="G175" s="135"/>
      <c r="H175" s="136"/>
      <c r="I175" s="136"/>
    </row>
    <row r="176" spans="7:9" x14ac:dyDescent="0.2">
      <c r="G176" s="135"/>
      <c r="H176" s="136"/>
      <c r="I176" s="136"/>
    </row>
    <row r="177" spans="7:9" x14ac:dyDescent="0.2">
      <c r="G177" s="135"/>
      <c r="H177" s="136"/>
      <c r="I177" s="136"/>
    </row>
    <row r="178" spans="7:9" x14ac:dyDescent="0.2">
      <c r="G178" s="135"/>
      <c r="H178" s="136"/>
      <c r="I178" s="136"/>
    </row>
    <row r="179" spans="7:9" x14ac:dyDescent="0.2">
      <c r="G179" s="135"/>
      <c r="H179" s="136"/>
      <c r="I179" s="136"/>
    </row>
    <row r="180" spans="7:9" x14ac:dyDescent="0.2">
      <c r="G180" s="135"/>
      <c r="H180" s="136"/>
      <c r="I180" s="136"/>
    </row>
    <row r="181" spans="7:9" x14ac:dyDescent="0.2">
      <c r="G181" s="135"/>
      <c r="H181" s="136"/>
      <c r="I181" s="136"/>
    </row>
    <row r="182" spans="7:9" x14ac:dyDescent="0.2">
      <c r="G182" s="135"/>
      <c r="H182" s="136"/>
      <c r="I182" s="136"/>
    </row>
    <row r="183" spans="7:9" x14ac:dyDescent="0.2">
      <c r="G183" s="135"/>
      <c r="H183" s="136"/>
      <c r="I183" s="136"/>
    </row>
    <row r="184" spans="7:9" x14ac:dyDescent="0.2">
      <c r="G184" s="135"/>
      <c r="H184" s="136"/>
      <c r="I184" s="136"/>
    </row>
    <row r="185" spans="7:9" x14ac:dyDescent="0.2">
      <c r="G185" s="135"/>
      <c r="H185" s="136"/>
      <c r="I185" s="136"/>
    </row>
    <row r="186" spans="7:9" x14ac:dyDescent="0.2">
      <c r="G186" s="135"/>
      <c r="H186" s="136"/>
      <c r="I186" s="136"/>
    </row>
    <row r="187" spans="7:9" x14ac:dyDescent="0.2">
      <c r="G187" s="135"/>
      <c r="H187" s="136"/>
      <c r="I187" s="136"/>
    </row>
    <row r="188" spans="7:9" x14ac:dyDescent="0.2">
      <c r="G188" s="135"/>
      <c r="H188" s="136"/>
      <c r="I188" s="136"/>
    </row>
    <row r="189" spans="7:9" x14ac:dyDescent="0.2">
      <c r="G189" s="135"/>
      <c r="H189" s="136"/>
      <c r="I189" s="136"/>
    </row>
    <row r="190" spans="7:9" x14ac:dyDescent="0.2">
      <c r="G190" s="135"/>
      <c r="H190" s="136"/>
      <c r="I190" s="136"/>
    </row>
    <row r="191" spans="7:9" x14ac:dyDescent="0.2">
      <c r="G191" s="135"/>
      <c r="H191" s="136"/>
      <c r="I191" s="136"/>
    </row>
    <row r="192" spans="7:9" x14ac:dyDescent="0.2">
      <c r="G192" s="135"/>
      <c r="H192" s="136"/>
      <c r="I192" s="136"/>
    </row>
    <row r="193" spans="7:9" x14ac:dyDescent="0.2">
      <c r="G193" s="135"/>
      <c r="H193" s="136"/>
      <c r="I193" s="136"/>
    </row>
    <row r="194" spans="7:9" x14ac:dyDescent="0.2">
      <c r="G194" s="135"/>
      <c r="H194" s="136"/>
      <c r="I194" s="136"/>
    </row>
    <row r="195" spans="7:9" x14ac:dyDescent="0.2">
      <c r="G195" s="135"/>
      <c r="H195" s="136"/>
      <c r="I195" s="136"/>
    </row>
    <row r="196" spans="7:9" x14ac:dyDescent="0.2">
      <c r="G196" s="135"/>
      <c r="H196" s="136"/>
      <c r="I196" s="136"/>
    </row>
    <row r="197" spans="7:9" x14ac:dyDescent="0.2">
      <c r="G197" s="135"/>
      <c r="H197" s="136"/>
      <c r="I197" s="136"/>
    </row>
    <row r="198" spans="7:9" x14ac:dyDescent="0.2">
      <c r="G198" s="135"/>
      <c r="H198" s="136"/>
      <c r="I198" s="136"/>
    </row>
    <row r="199" spans="7:9" x14ac:dyDescent="0.2">
      <c r="G199" s="135"/>
      <c r="H199" s="136"/>
      <c r="I199" s="136"/>
    </row>
    <row r="200" spans="7:9" x14ac:dyDescent="0.2">
      <c r="G200" s="135"/>
      <c r="H200" s="136"/>
      <c r="I200" s="136"/>
    </row>
    <row r="201" spans="7:9" x14ac:dyDescent="0.2">
      <c r="G201" s="135"/>
      <c r="H201" s="136"/>
      <c r="I201" s="136"/>
    </row>
    <row r="202" spans="7:9" x14ac:dyDescent="0.2">
      <c r="G202" s="135"/>
      <c r="H202" s="136"/>
      <c r="I202" s="136"/>
    </row>
    <row r="203" spans="7:9" x14ac:dyDescent="0.2">
      <c r="G203" s="135"/>
      <c r="H203" s="136"/>
      <c r="I203" s="136"/>
    </row>
    <row r="204" spans="7:9" x14ac:dyDescent="0.2">
      <c r="G204" s="135"/>
      <c r="H204" s="136"/>
      <c r="I204" s="136"/>
    </row>
    <row r="205" spans="7:9" x14ac:dyDescent="0.2">
      <c r="G205" s="135"/>
      <c r="H205" s="136"/>
      <c r="I205" s="136"/>
    </row>
    <row r="206" spans="7:9" x14ac:dyDescent="0.2">
      <c r="G206" s="135"/>
      <c r="H206" s="136"/>
      <c r="I206" s="136"/>
    </row>
    <row r="207" spans="7:9" x14ac:dyDescent="0.2">
      <c r="G207" s="135"/>
      <c r="H207" s="136"/>
      <c r="I207" s="136"/>
    </row>
    <row r="208" spans="7:9" x14ac:dyDescent="0.2">
      <c r="G208" s="135"/>
      <c r="H208" s="136"/>
      <c r="I208" s="136"/>
    </row>
    <row r="209" spans="7:9" x14ac:dyDescent="0.2">
      <c r="G209" s="135"/>
      <c r="H209" s="136"/>
      <c r="I209" s="136"/>
    </row>
    <row r="210" spans="7:9" x14ac:dyDescent="0.2">
      <c r="G210" s="135"/>
      <c r="H210" s="136"/>
      <c r="I210" s="136"/>
    </row>
    <row r="211" spans="7:9" x14ac:dyDescent="0.2">
      <c r="G211" s="135"/>
      <c r="H211" s="136"/>
      <c r="I211" s="136"/>
    </row>
    <row r="212" spans="7:9" x14ac:dyDescent="0.2">
      <c r="G212" s="135"/>
      <c r="H212" s="136"/>
      <c r="I212" s="136"/>
    </row>
    <row r="213" spans="7:9" x14ac:dyDescent="0.2">
      <c r="G213" s="135"/>
      <c r="H213" s="136"/>
      <c r="I213" s="136"/>
    </row>
    <row r="214" spans="7:9" x14ac:dyDescent="0.2">
      <c r="G214" s="135"/>
      <c r="H214" s="136"/>
      <c r="I214" s="136"/>
    </row>
    <row r="215" spans="7:9" x14ac:dyDescent="0.2">
      <c r="G215" s="135"/>
      <c r="H215" s="136"/>
      <c r="I215" s="136"/>
    </row>
    <row r="216" spans="7:9" x14ac:dyDescent="0.2">
      <c r="G216" s="135"/>
      <c r="H216" s="136"/>
      <c r="I216" s="136"/>
    </row>
    <row r="217" spans="7:9" x14ac:dyDescent="0.2">
      <c r="G217" s="135"/>
      <c r="H217" s="136"/>
      <c r="I217" s="136"/>
    </row>
    <row r="218" spans="7:9" x14ac:dyDescent="0.2">
      <c r="G218" s="135"/>
      <c r="H218" s="136"/>
      <c r="I218" s="136"/>
    </row>
    <row r="219" spans="7:9" x14ac:dyDescent="0.2">
      <c r="G219" s="135"/>
      <c r="H219" s="136"/>
      <c r="I219" s="136"/>
    </row>
    <row r="220" spans="7:9" x14ac:dyDescent="0.2">
      <c r="G220" s="135"/>
      <c r="H220" s="136"/>
      <c r="I220" s="136"/>
    </row>
    <row r="221" spans="7:9" x14ac:dyDescent="0.2">
      <c r="G221" s="135"/>
      <c r="H221" s="136"/>
      <c r="I221" s="136"/>
    </row>
    <row r="222" spans="7:9" x14ac:dyDescent="0.2">
      <c r="G222" s="135"/>
      <c r="H222" s="136"/>
      <c r="I222" s="136"/>
    </row>
    <row r="223" spans="7:9" x14ac:dyDescent="0.2">
      <c r="G223" s="135"/>
      <c r="H223" s="136"/>
      <c r="I223" s="136"/>
    </row>
    <row r="224" spans="7:9" x14ac:dyDescent="0.2">
      <c r="G224" s="135"/>
      <c r="H224" s="136"/>
      <c r="I224" s="136"/>
    </row>
    <row r="225" spans="7:9" x14ac:dyDescent="0.2">
      <c r="G225" s="135"/>
      <c r="H225" s="136"/>
      <c r="I225" s="136"/>
    </row>
    <row r="226" spans="7:9" x14ac:dyDescent="0.2">
      <c r="G226" s="135"/>
      <c r="H226" s="136"/>
      <c r="I226" s="136"/>
    </row>
    <row r="227" spans="7:9" x14ac:dyDescent="0.2">
      <c r="G227" s="135"/>
      <c r="H227" s="136"/>
      <c r="I227" s="136"/>
    </row>
    <row r="228" spans="7:9" x14ac:dyDescent="0.2">
      <c r="G228" s="135"/>
      <c r="H228" s="136"/>
      <c r="I228" s="136"/>
    </row>
    <row r="229" spans="7:9" x14ac:dyDescent="0.2">
      <c r="G229" s="135"/>
      <c r="H229" s="136"/>
      <c r="I229" s="136"/>
    </row>
    <row r="230" spans="7:9" x14ac:dyDescent="0.2">
      <c r="G230" s="135"/>
      <c r="H230" s="136"/>
      <c r="I230" s="136"/>
    </row>
    <row r="231" spans="7:9" x14ac:dyDescent="0.2">
      <c r="G231" s="135"/>
      <c r="H231" s="136"/>
      <c r="I231" s="136"/>
    </row>
    <row r="232" spans="7:9" x14ac:dyDescent="0.2">
      <c r="G232" s="135"/>
      <c r="H232" s="136"/>
      <c r="I232" s="136"/>
    </row>
    <row r="233" spans="7:9" x14ac:dyDescent="0.2">
      <c r="G233" s="135"/>
      <c r="H233" s="136"/>
      <c r="I233" s="136"/>
    </row>
    <row r="234" spans="7:9" x14ac:dyDescent="0.2">
      <c r="G234" s="135"/>
      <c r="H234" s="136"/>
      <c r="I234" s="136"/>
    </row>
    <row r="235" spans="7:9" x14ac:dyDescent="0.2">
      <c r="G235" s="135"/>
      <c r="H235" s="136"/>
      <c r="I235" s="136"/>
    </row>
    <row r="236" spans="7:9" x14ac:dyDescent="0.2">
      <c r="G236" s="135"/>
      <c r="H236" s="136"/>
      <c r="I236" s="136"/>
    </row>
    <row r="237" spans="7:9" x14ac:dyDescent="0.2">
      <c r="G237" s="135"/>
      <c r="H237" s="136"/>
      <c r="I237" s="136"/>
    </row>
    <row r="238" spans="7:9" x14ac:dyDescent="0.2">
      <c r="G238" s="135"/>
      <c r="H238" s="136"/>
      <c r="I238" s="136"/>
    </row>
    <row r="239" spans="7:9" x14ac:dyDescent="0.2">
      <c r="G239" s="135"/>
      <c r="H239" s="136"/>
      <c r="I239" s="136"/>
    </row>
    <row r="240" spans="7:9" x14ac:dyDescent="0.2">
      <c r="G240" s="135"/>
      <c r="H240" s="136"/>
      <c r="I240" s="136"/>
    </row>
    <row r="241" spans="7:9" x14ac:dyDescent="0.2">
      <c r="G241" s="135"/>
      <c r="H241" s="136"/>
      <c r="I241" s="136"/>
    </row>
    <row r="242" spans="7:9" x14ac:dyDescent="0.2">
      <c r="G242" s="135"/>
      <c r="H242" s="136"/>
      <c r="I242" s="136"/>
    </row>
    <row r="243" spans="7:9" x14ac:dyDescent="0.2">
      <c r="G243" s="135"/>
      <c r="H243" s="136"/>
      <c r="I243" s="136"/>
    </row>
    <row r="244" spans="7:9" x14ac:dyDescent="0.2">
      <c r="G244" s="135"/>
      <c r="H244" s="136"/>
      <c r="I244" s="136"/>
    </row>
    <row r="245" spans="7:9" x14ac:dyDescent="0.2">
      <c r="G245" s="135"/>
      <c r="H245" s="136"/>
      <c r="I245" s="136"/>
    </row>
    <row r="246" spans="7:9" x14ac:dyDescent="0.2">
      <c r="G246" s="135"/>
      <c r="H246" s="136"/>
      <c r="I246" s="136"/>
    </row>
    <row r="247" spans="7:9" x14ac:dyDescent="0.2">
      <c r="G247" s="135"/>
      <c r="H247" s="136"/>
      <c r="I247" s="136"/>
    </row>
    <row r="248" spans="7:9" x14ac:dyDescent="0.2">
      <c r="G248" s="135"/>
      <c r="H248" s="136"/>
      <c r="I248" s="136"/>
    </row>
    <row r="249" spans="7:9" x14ac:dyDescent="0.2">
      <c r="G249" s="135"/>
      <c r="H249" s="136"/>
      <c r="I249" s="136"/>
    </row>
    <row r="250" spans="7:9" x14ac:dyDescent="0.2">
      <c r="G250" s="135"/>
      <c r="H250" s="136"/>
      <c r="I250" s="136"/>
    </row>
    <row r="251" spans="7:9" x14ac:dyDescent="0.2">
      <c r="G251" s="135"/>
      <c r="H251" s="136"/>
      <c r="I251" s="136"/>
    </row>
    <row r="252" spans="7:9" x14ac:dyDescent="0.2">
      <c r="G252" s="135"/>
      <c r="H252" s="136"/>
      <c r="I252" s="136"/>
    </row>
    <row r="253" spans="7:9" x14ac:dyDescent="0.2">
      <c r="G253" s="135"/>
      <c r="H253" s="136"/>
      <c r="I253" s="136"/>
    </row>
    <row r="254" spans="7:9" x14ac:dyDescent="0.2">
      <c r="G254" s="135"/>
      <c r="H254" s="136"/>
      <c r="I254" s="136"/>
    </row>
    <row r="255" spans="7:9" x14ac:dyDescent="0.2">
      <c r="G255" s="135"/>
      <c r="H255" s="136"/>
      <c r="I255" s="136"/>
    </row>
    <row r="256" spans="7:9" x14ac:dyDescent="0.2">
      <c r="G256" s="135"/>
      <c r="H256" s="136"/>
      <c r="I256" s="136"/>
    </row>
    <row r="257" spans="7:9" x14ac:dyDescent="0.2">
      <c r="G257" s="135"/>
      <c r="H257" s="136"/>
      <c r="I257" s="136"/>
    </row>
    <row r="258" spans="7:9" x14ac:dyDescent="0.2">
      <c r="G258" s="135"/>
      <c r="H258" s="136"/>
      <c r="I258" s="136"/>
    </row>
    <row r="259" spans="7:9" x14ac:dyDescent="0.2">
      <c r="G259" s="135"/>
      <c r="H259" s="136"/>
      <c r="I259" s="136"/>
    </row>
    <row r="260" spans="7:9" x14ac:dyDescent="0.2">
      <c r="G260" s="135"/>
      <c r="H260" s="136"/>
      <c r="I260" s="136"/>
    </row>
    <row r="261" spans="7:9" x14ac:dyDescent="0.2">
      <c r="G261" s="135"/>
      <c r="H261" s="136"/>
      <c r="I261" s="136"/>
    </row>
    <row r="262" spans="7:9" x14ac:dyDescent="0.2">
      <c r="G262" s="135"/>
      <c r="H262" s="136"/>
      <c r="I262" s="136"/>
    </row>
    <row r="263" spans="7:9" x14ac:dyDescent="0.2">
      <c r="G263" s="135"/>
      <c r="H263" s="136"/>
      <c r="I263" s="136"/>
    </row>
    <row r="264" spans="7:9" x14ac:dyDescent="0.2">
      <c r="G264" s="135"/>
      <c r="H264" s="136"/>
      <c r="I264" s="136"/>
    </row>
    <row r="265" spans="7:9" x14ac:dyDescent="0.2">
      <c r="G265" s="135"/>
      <c r="H265" s="136"/>
      <c r="I265" s="136"/>
    </row>
    <row r="266" spans="7:9" x14ac:dyDescent="0.2">
      <c r="G266" s="135"/>
      <c r="H266" s="136"/>
      <c r="I266" s="136"/>
    </row>
    <row r="267" spans="7:9" x14ac:dyDescent="0.2">
      <c r="G267" s="135"/>
      <c r="H267" s="136"/>
      <c r="I267" s="136"/>
    </row>
    <row r="268" spans="7:9" x14ac:dyDescent="0.2">
      <c r="G268" s="135"/>
      <c r="H268" s="136"/>
      <c r="I268" s="136"/>
    </row>
    <row r="269" spans="7:9" x14ac:dyDescent="0.2">
      <c r="G269" s="135"/>
      <c r="H269" s="136"/>
      <c r="I269" s="136"/>
    </row>
    <row r="270" spans="7:9" x14ac:dyDescent="0.2">
      <c r="G270" s="135"/>
      <c r="H270" s="136"/>
      <c r="I270" s="136"/>
    </row>
    <row r="271" spans="7:9" x14ac:dyDescent="0.2">
      <c r="G271" s="135"/>
      <c r="H271" s="136"/>
      <c r="I271" s="136"/>
    </row>
    <row r="272" spans="7:9" x14ac:dyDescent="0.2">
      <c r="G272" s="135"/>
      <c r="H272" s="136"/>
      <c r="I272" s="136"/>
    </row>
    <row r="273" spans="7:9" x14ac:dyDescent="0.2">
      <c r="G273" s="135"/>
      <c r="H273" s="136"/>
      <c r="I273" s="136"/>
    </row>
    <row r="274" spans="7:9" x14ac:dyDescent="0.2">
      <c r="G274" s="135"/>
      <c r="H274" s="136"/>
      <c r="I274" s="136"/>
    </row>
    <row r="275" spans="7:9" x14ac:dyDescent="0.2">
      <c r="G275" s="135"/>
      <c r="H275" s="136"/>
      <c r="I275" s="136"/>
    </row>
    <row r="276" spans="7:9" x14ac:dyDescent="0.2">
      <c r="G276" s="135"/>
      <c r="H276" s="136"/>
      <c r="I276" s="136"/>
    </row>
    <row r="277" spans="7:9" x14ac:dyDescent="0.2">
      <c r="G277" s="135"/>
      <c r="H277" s="136"/>
      <c r="I277" s="136"/>
    </row>
    <row r="278" spans="7:9" x14ac:dyDescent="0.2">
      <c r="G278" s="135"/>
      <c r="H278" s="136"/>
      <c r="I278" s="136"/>
    </row>
    <row r="279" spans="7:9" x14ac:dyDescent="0.2">
      <c r="G279" s="135"/>
      <c r="H279" s="136"/>
      <c r="I279" s="136"/>
    </row>
    <row r="280" spans="7:9" x14ac:dyDescent="0.2">
      <c r="G280" s="135"/>
      <c r="H280" s="136"/>
      <c r="I280" s="136"/>
    </row>
    <row r="281" spans="7:9" x14ac:dyDescent="0.2">
      <c r="G281" s="135"/>
      <c r="H281" s="136"/>
      <c r="I281" s="136"/>
    </row>
    <row r="282" spans="7:9" x14ac:dyDescent="0.2">
      <c r="G282" s="135"/>
      <c r="H282" s="136"/>
      <c r="I282" s="136"/>
    </row>
    <row r="283" spans="7:9" x14ac:dyDescent="0.2">
      <c r="G283" s="135"/>
      <c r="H283" s="136"/>
      <c r="I283" s="136"/>
    </row>
    <row r="284" spans="7:9" x14ac:dyDescent="0.2">
      <c r="G284" s="135"/>
      <c r="H284" s="136"/>
      <c r="I284" s="136"/>
    </row>
    <row r="285" spans="7:9" x14ac:dyDescent="0.2">
      <c r="G285" s="135"/>
      <c r="H285" s="136"/>
      <c r="I285" s="136"/>
    </row>
    <row r="286" spans="7:9" x14ac:dyDescent="0.2">
      <c r="G286" s="135"/>
      <c r="H286" s="136"/>
      <c r="I286" s="136"/>
    </row>
    <row r="287" spans="7:9" x14ac:dyDescent="0.2">
      <c r="G287" s="135"/>
      <c r="H287" s="136"/>
      <c r="I287" s="136"/>
    </row>
    <row r="288" spans="7:9" x14ac:dyDescent="0.2">
      <c r="G288" s="135"/>
      <c r="H288" s="136"/>
      <c r="I288" s="136"/>
    </row>
    <row r="289" spans="7:9" x14ac:dyDescent="0.2">
      <c r="G289" s="135"/>
      <c r="H289" s="136"/>
      <c r="I289" s="136"/>
    </row>
    <row r="290" spans="7:9" x14ac:dyDescent="0.2">
      <c r="G290" s="135"/>
      <c r="H290" s="136"/>
      <c r="I290" s="136"/>
    </row>
    <row r="291" spans="7:9" x14ac:dyDescent="0.2">
      <c r="G291" s="135"/>
      <c r="H291" s="136"/>
      <c r="I291" s="136"/>
    </row>
    <row r="292" spans="7:9" x14ac:dyDescent="0.2">
      <c r="G292" s="135"/>
      <c r="H292" s="136"/>
      <c r="I292" s="136"/>
    </row>
    <row r="293" spans="7:9" x14ac:dyDescent="0.2">
      <c r="G293" s="135"/>
      <c r="H293" s="136"/>
      <c r="I293" s="136"/>
    </row>
    <row r="294" spans="7:9" x14ac:dyDescent="0.2">
      <c r="G294" s="135"/>
      <c r="H294" s="136"/>
      <c r="I294" s="136"/>
    </row>
    <row r="295" spans="7:9" x14ac:dyDescent="0.2">
      <c r="G295" s="135"/>
      <c r="H295" s="136"/>
      <c r="I295" s="136"/>
    </row>
    <row r="296" spans="7:9" x14ac:dyDescent="0.2">
      <c r="G296" s="135"/>
      <c r="H296" s="136"/>
      <c r="I296" s="136"/>
    </row>
    <row r="297" spans="7:9" x14ac:dyDescent="0.2">
      <c r="G297" s="135"/>
      <c r="H297" s="136"/>
      <c r="I297" s="136"/>
    </row>
    <row r="298" spans="7:9" x14ac:dyDescent="0.2">
      <c r="G298" s="135"/>
      <c r="H298" s="136"/>
      <c r="I298" s="136"/>
    </row>
    <row r="299" spans="7:9" x14ac:dyDescent="0.2">
      <c r="G299" s="135"/>
      <c r="H299" s="136"/>
      <c r="I299" s="136"/>
    </row>
    <row r="300" spans="7:9" x14ac:dyDescent="0.2">
      <c r="G300" s="135"/>
      <c r="H300" s="136"/>
      <c r="I300" s="136"/>
    </row>
    <row r="301" spans="7:9" x14ac:dyDescent="0.2">
      <c r="G301" s="135"/>
      <c r="H301" s="136"/>
      <c r="I301" s="136"/>
    </row>
    <row r="302" spans="7:9" x14ac:dyDescent="0.2">
      <c r="G302" s="135"/>
      <c r="H302" s="136"/>
      <c r="I302" s="136"/>
    </row>
    <row r="303" spans="7:9" x14ac:dyDescent="0.2">
      <c r="G303" s="135"/>
      <c r="H303" s="136"/>
      <c r="I303" s="136"/>
    </row>
    <row r="304" spans="7:9" x14ac:dyDescent="0.2">
      <c r="G304" s="135"/>
      <c r="H304" s="136"/>
      <c r="I304" s="136"/>
    </row>
    <row r="305" spans="7:9" x14ac:dyDescent="0.2">
      <c r="G305" s="135"/>
      <c r="H305" s="136"/>
      <c r="I305" s="136"/>
    </row>
    <row r="306" spans="7:9" x14ac:dyDescent="0.2">
      <c r="G306" s="135"/>
      <c r="H306" s="136"/>
      <c r="I306" s="136"/>
    </row>
    <row r="307" spans="7:9" x14ac:dyDescent="0.2">
      <c r="G307" s="135"/>
      <c r="H307" s="136"/>
      <c r="I307" s="136"/>
    </row>
    <row r="308" spans="7:9" x14ac:dyDescent="0.2">
      <c r="G308" s="135"/>
      <c r="H308" s="136"/>
      <c r="I308" s="136"/>
    </row>
    <row r="309" spans="7:9" x14ac:dyDescent="0.2">
      <c r="G309" s="135"/>
      <c r="H309" s="136"/>
      <c r="I309" s="136"/>
    </row>
    <row r="310" spans="7:9" x14ac:dyDescent="0.2">
      <c r="G310" s="135"/>
      <c r="H310" s="136"/>
      <c r="I310" s="136"/>
    </row>
    <row r="311" spans="7:9" x14ac:dyDescent="0.2">
      <c r="G311" s="135"/>
      <c r="H311" s="136"/>
      <c r="I311" s="136"/>
    </row>
    <row r="312" spans="7:9" x14ac:dyDescent="0.2">
      <c r="G312" s="135"/>
      <c r="H312" s="136"/>
      <c r="I312" s="136"/>
    </row>
    <row r="313" spans="7:9" x14ac:dyDescent="0.2">
      <c r="G313" s="135"/>
      <c r="H313" s="136"/>
      <c r="I313" s="136"/>
    </row>
    <row r="314" spans="7:9" x14ac:dyDescent="0.2">
      <c r="G314" s="135"/>
      <c r="H314" s="136"/>
      <c r="I314" s="136"/>
    </row>
    <row r="315" spans="7:9" x14ac:dyDescent="0.2">
      <c r="G315" s="135"/>
      <c r="H315" s="136"/>
      <c r="I315" s="136"/>
    </row>
    <row r="316" spans="7:9" x14ac:dyDescent="0.2">
      <c r="G316" s="135"/>
      <c r="H316" s="136"/>
      <c r="I316" s="136"/>
    </row>
    <row r="317" spans="7:9" x14ac:dyDescent="0.2">
      <c r="G317" s="135"/>
      <c r="H317" s="136"/>
      <c r="I317" s="136"/>
    </row>
    <row r="318" spans="7:9" x14ac:dyDescent="0.2">
      <c r="G318" s="135"/>
      <c r="H318" s="136"/>
      <c r="I318" s="136"/>
    </row>
    <row r="319" spans="7:9" x14ac:dyDescent="0.2">
      <c r="G319" s="135"/>
      <c r="H319" s="136"/>
      <c r="I319" s="136"/>
    </row>
    <row r="320" spans="7:9" x14ac:dyDescent="0.2">
      <c r="G320" s="135"/>
      <c r="H320" s="136"/>
      <c r="I320" s="136"/>
    </row>
    <row r="321" spans="7:9" x14ac:dyDescent="0.2">
      <c r="G321" s="135"/>
      <c r="H321" s="136"/>
      <c r="I321" s="136"/>
    </row>
    <row r="322" spans="7:9" x14ac:dyDescent="0.2">
      <c r="G322" s="135"/>
      <c r="H322" s="136"/>
      <c r="I322" s="136"/>
    </row>
    <row r="323" spans="7:9" x14ac:dyDescent="0.2">
      <c r="G323" s="135"/>
      <c r="H323" s="136"/>
      <c r="I323" s="136"/>
    </row>
    <row r="324" spans="7:9" x14ac:dyDescent="0.2">
      <c r="G324" s="135"/>
      <c r="H324" s="136"/>
      <c r="I324" s="136"/>
    </row>
    <row r="325" spans="7:9" x14ac:dyDescent="0.2">
      <c r="G325" s="135"/>
      <c r="H325" s="136"/>
      <c r="I325" s="136"/>
    </row>
    <row r="326" spans="7:9" x14ac:dyDescent="0.2">
      <c r="G326" s="135"/>
      <c r="H326" s="136"/>
      <c r="I326" s="136"/>
    </row>
    <row r="327" spans="7:9" x14ac:dyDescent="0.2">
      <c r="G327" s="135"/>
      <c r="H327" s="136"/>
      <c r="I327" s="136"/>
    </row>
    <row r="328" spans="7:9" x14ac:dyDescent="0.2">
      <c r="G328" s="135"/>
      <c r="H328" s="136"/>
      <c r="I328" s="136"/>
    </row>
    <row r="329" spans="7:9" x14ac:dyDescent="0.2">
      <c r="G329" s="135"/>
      <c r="H329" s="136"/>
      <c r="I329" s="136"/>
    </row>
    <row r="330" spans="7:9" x14ac:dyDescent="0.2">
      <c r="G330" s="135"/>
      <c r="H330" s="136"/>
      <c r="I330" s="136"/>
    </row>
    <row r="331" spans="7:9" x14ac:dyDescent="0.2">
      <c r="G331" s="135"/>
      <c r="H331" s="136"/>
      <c r="I331" s="136"/>
    </row>
    <row r="332" spans="7:9" x14ac:dyDescent="0.2">
      <c r="G332" s="135"/>
      <c r="H332" s="136"/>
      <c r="I332" s="136"/>
    </row>
    <row r="333" spans="7:9" x14ac:dyDescent="0.2">
      <c r="G333" s="135"/>
      <c r="H333" s="136"/>
      <c r="I333" s="136"/>
    </row>
    <row r="334" spans="7:9" x14ac:dyDescent="0.2">
      <c r="G334" s="135"/>
      <c r="H334" s="136"/>
      <c r="I334" s="136"/>
    </row>
    <row r="335" spans="7:9" x14ac:dyDescent="0.2">
      <c r="G335" s="135"/>
      <c r="H335" s="136"/>
      <c r="I335" s="136"/>
    </row>
    <row r="336" spans="7:9" x14ac:dyDescent="0.2">
      <c r="G336" s="135"/>
      <c r="H336" s="136"/>
      <c r="I336" s="136"/>
    </row>
    <row r="337" spans="7:9" x14ac:dyDescent="0.2">
      <c r="G337" s="135"/>
      <c r="H337" s="136"/>
      <c r="I337" s="136"/>
    </row>
    <row r="338" spans="7:9" x14ac:dyDescent="0.2">
      <c r="G338" s="135"/>
      <c r="H338" s="136"/>
      <c r="I338" s="136"/>
    </row>
    <row r="339" spans="7:9" x14ac:dyDescent="0.2">
      <c r="G339" s="135"/>
      <c r="H339" s="136"/>
      <c r="I339" s="136"/>
    </row>
    <row r="340" spans="7:9" x14ac:dyDescent="0.2">
      <c r="G340" s="135"/>
      <c r="H340" s="136"/>
      <c r="I340" s="136"/>
    </row>
    <row r="341" spans="7:9" x14ac:dyDescent="0.2">
      <c r="G341" s="135"/>
      <c r="H341" s="136"/>
      <c r="I341" s="136"/>
    </row>
    <row r="342" spans="7:9" x14ac:dyDescent="0.2">
      <c r="G342" s="135"/>
      <c r="H342" s="136"/>
      <c r="I342" s="136"/>
    </row>
    <row r="343" spans="7:9" x14ac:dyDescent="0.2">
      <c r="G343" s="135"/>
      <c r="H343" s="136"/>
      <c r="I343" s="136"/>
    </row>
    <row r="344" spans="7:9" x14ac:dyDescent="0.2">
      <c r="G344" s="135"/>
      <c r="H344" s="136"/>
      <c r="I344" s="136"/>
    </row>
    <row r="345" spans="7:9" x14ac:dyDescent="0.2">
      <c r="G345" s="135"/>
      <c r="H345" s="136"/>
      <c r="I345" s="136"/>
    </row>
    <row r="346" spans="7:9" x14ac:dyDescent="0.2">
      <c r="G346" s="135"/>
      <c r="H346" s="136"/>
      <c r="I346" s="136"/>
    </row>
    <row r="347" spans="7:9" x14ac:dyDescent="0.2">
      <c r="G347" s="135"/>
      <c r="H347" s="136"/>
      <c r="I347" s="136"/>
    </row>
    <row r="348" spans="7:9" x14ac:dyDescent="0.2">
      <c r="G348" s="135"/>
      <c r="H348" s="136"/>
      <c r="I348" s="136"/>
    </row>
    <row r="349" spans="7:9" x14ac:dyDescent="0.2">
      <c r="G349" s="135"/>
      <c r="H349" s="136"/>
      <c r="I349" s="136"/>
    </row>
    <row r="350" spans="7:9" x14ac:dyDescent="0.2">
      <c r="G350" s="135"/>
      <c r="H350" s="136"/>
      <c r="I350" s="136"/>
    </row>
    <row r="351" spans="7:9" x14ac:dyDescent="0.2">
      <c r="G351" s="135"/>
      <c r="H351" s="136"/>
      <c r="I351" s="136"/>
    </row>
    <row r="352" spans="7:9" x14ac:dyDescent="0.2">
      <c r="G352" s="135"/>
      <c r="H352" s="136"/>
      <c r="I352" s="136"/>
    </row>
    <row r="353" spans="7:9" x14ac:dyDescent="0.2">
      <c r="G353" s="135"/>
      <c r="H353" s="136"/>
      <c r="I353" s="136"/>
    </row>
    <row r="354" spans="7:9" x14ac:dyDescent="0.2">
      <c r="G354" s="135"/>
      <c r="H354" s="136"/>
      <c r="I354" s="136"/>
    </row>
    <row r="355" spans="7:9" x14ac:dyDescent="0.2">
      <c r="G355" s="135"/>
      <c r="H355" s="136"/>
      <c r="I355" s="136"/>
    </row>
    <row r="356" spans="7:9" x14ac:dyDescent="0.2">
      <c r="G356" s="135"/>
      <c r="H356" s="136"/>
      <c r="I356" s="136"/>
    </row>
    <row r="357" spans="7:9" x14ac:dyDescent="0.2">
      <c r="G357" s="135"/>
      <c r="H357" s="136"/>
      <c r="I357" s="136"/>
    </row>
    <row r="358" spans="7:9" x14ac:dyDescent="0.2">
      <c r="G358" s="135"/>
      <c r="H358" s="136"/>
      <c r="I358" s="136"/>
    </row>
    <row r="359" spans="7:9" x14ac:dyDescent="0.2">
      <c r="G359" s="135"/>
      <c r="H359" s="136"/>
      <c r="I359" s="136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AS359"/>
  <sheetViews>
    <sheetView showGridLines="0" zoomScale="70" zoomScaleNormal="70" workbookViewId="0">
      <selection activeCell="I41" sqref="I41"/>
    </sheetView>
  </sheetViews>
  <sheetFormatPr defaultRowHeight="16.5" x14ac:dyDescent="0.2"/>
  <cols>
    <col min="1" max="1" width="3" style="41" customWidth="1"/>
    <col min="2" max="2" width="2.25" style="41" customWidth="1"/>
    <col min="3" max="3" width="21.375" style="41" customWidth="1"/>
    <col min="4" max="4" width="15.375" style="41" customWidth="1"/>
    <col min="5" max="5" width="8.625" style="41" customWidth="1"/>
    <col min="6" max="6" width="18" style="41" customWidth="1"/>
    <col min="7" max="7" width="14.125" style="41" customWidth="1"/>
    <col min="8" max="8" width="2.25" style="41" customWidth="1"/>
    <col min="9" max="9" width="19.75" style="41" customWidth="1"/>
    <col min="10" max="10" width="15.125" style="41" bestFit="1" customWidth="1"/>
    <col min="11" max="11" width="5.25" style="41" customWidth="1"/>
    <col min="12" max="12" width="14.5" style="41" bestFit="1" customWidth="1"/>
    <col min="13" max="13" width="4.125" style="41" customWidth="1"/>
    <col min="14" max="14" width="14.625" style="41" customWidth="1"/>
    <col min="15" max="15" width="2.125" style="41" customWidth="1"/>
    <col min="16" max="16" width="17.625" style="41" customWidth="1"/>
    <col min="17" max="17" width="2" style="41" customWidth="1"/>
    <col min="18" max="18" width="15.125" style="41" customWidth="1"/>
    <col min="19" max="19" width="3.5" style="41" customWidth="1"/>
    <col min="20" max="20" width="11.75" style="41" bestFit="1" customWidth="1"/>
    <col min="21" max="21" width="2.25" style="41" customWidth="1"/>
    <col min="22" max="22" width="36.125" style="41" bestFit="1" customWidth="1"/>
    <col min="23" max="23" width="9.75" style="41" customWidth="1"/>
    <col min="24" max="24" width="23.25" style="41" customWidth="1"/>
    <col min="25" max="25" width="12.75" style="41" customWidth="1"/>
    <col min="26" max="26" width="1.375" style="41" customWidth="1"/>
    <col min="27" max="27" width="12.75" style="41" customWidth="1"/>
    <col min="28" max="28" width="1.375" style="41" customWidth="1"/>
    <col min="29" max="29" width="12.75" style="41" customWidth="1"/>
    <col min="30" max="30" width="1.375" style="41" customWidth="1"/>
    <col min="31" max="31" width="12.75" style="41" customWidth="1"/>
    <col min="32" max="32" width="1.375" style="41" customWidth="1"/>
    <col min="33" max="33" width="14.25" style="41" customWidth="1"/>
    <col min="34" max="34" width="1.375" style="41" customWidth="1"/>
    <col min="35" max="35" width="2.25" style="41" customWidth="1"/>
    <col min="36" max="37" width="9" style="41"/>
    <col min="38" max="38" width="13" style="41" bestFit="1" customWidth="1"/>
    <col min="39" max="39" width="9" style="41"/>
    <col min="40" max="40" width="13" style="41" bestFit="1" customWidth="1"/>
    <col min="41" max="41" width="9" style="41"/>
    <col min="42" max="42" width="13" style="41" bestFit="1" customWidth="1"/>
    <col min="43" max="16384" width="9" style="41"/>
  </cols>
  <sheetData>
    <row r="1" spans="2:45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</row>
    <row r="2" spans="2:45" ht="24" customHeight="1" x14ac:dyDescent="0.5">
      <c r="C2" s="43" t="str">
        <f>[1]!S_Info_Name(D2)</f>
        <v>苹果(APPLE)</v>
      </c>
      <c r="D2" s="192" t="s">
        <v>245</v>
      </c>
      <c r="F2" s="44">
        <f>预测结果!A3</f>
        <v>45657</v>
      </c>
      <c r="G2" s="44"/>
      <c r="T2" s="46"/>
      <c r="V2" s="46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 s="7" customFormat="1" ht="12" customHeight="1" x14ac:dyDescent="0.2">
      <c r="C3" s="47"/>
      <c r="E3" s="47"/>
      <c r="F3" s="47"/>
      <c r="G3" s="48"/>
      <c r="J3" s="47"/>
      <c r="K3" s="47"/>
      <c r="L3" s="47"/>
      <c r="M3" s="47"/>
      <c r="N3" s="47"/>
      <c r="O3" s="47"/>
      <c r="Q3" s="47"/>
      <c r="R3" s="47"/>
      <c r="S3" s="47"/>
      <c r="T3" s="48"/>
      <c r="U3" s="47"/>
      <c r="V3" s="48"/>
      <c r="W3" s="47"/>
      <c r="Y3" s="47"/>
    </row>
    <row r="4" spans="2:45" s="7" customFormat="1" ht="17.2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2:45" s="7" customFormat="1" ht="24.6" customHeight="1" x14ac:dyDescent="0.2">
      <c r="B5" s="49"/>
      <c r="C5" s="51" t="s">
        <v>203</v>
      </c>
      <c r="D5" s="51"/>
      <c r="E5" s="51"/>
      <c r="F5" s="51"/>
      <c r="G5" s="51"/>
      <c r="H5" s="112"/>
      <c r="I5" s="51" t="s">
        <v>80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49"/>
      <c r="V5" s="51" t="s">
        <v>202</v>
      </c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49"/>
    </row>
    <row r="6" spans="2:45" s="7" customFormat="1" ht="24.6" customHeight="1" x14ac:dyDescent="0.2">
      <c r="B6" s="49"/>
      <c r="C6" s="53" t="s">
        <v>201</v>
      </c>
      <c r="D6" s="13"/>
      <c r="E6" s="54"/>
      <c r="F6" s="72" t="str">
        <f>D2</f>
        <v>AAPL.O</v>
      </c>
      <c r="G6" s="55"/>
      <c r="H6" s="55"/>
      <c r="I6" s="13"/>
      <c r="J6" s="54" t="s">
        <v>200</v>
      </c>
      <c r="K6" s="54"/>
      <c r="L6" s="54" t="s">
        <v>199</v>
      </c>
      <c r="M6" s="54"/>
      <c r="N6" s="54" t="s">
        <v>198</v>
      </c>
      <c r="O6" s="54"/>
      <c r="P6" s="54" t="s">
        <v>197</v>
      </c>
      <c r="Q6" s="54"/>
      <c r="R6" s="54" t="s">
        <v>196</v>
      </c>
      <c r="S6" s="54"/>
      <c r="T6" s="54" t="s">
        <v>17</v>
      </c>
      <c r="U6" s="49"/>
      <c r="V6" s="13"/>
      <c r="W6" s="13"/>
      <c r="X6" s="13"/>
      <c r="Y6" s="54" t="s">
        <v>16</v>
      </c>
      <c r="Z6" s="54"/>
      <c r="AA6" s="54" t="s">
        <v>18</v>
      </c>
      <c r="AB6" s="54"/>
      <c r="AC6" s="54" t="s">
        <v>19</v>
      </c>
      <c r="AD6" s="54"/>
      <c r="AE6" s="54" t="s">
        <v>20</v>
      </c>
      <c r="AF6" s="54"/>
      <c r="AG6" s="54" t="s">
        <v>21</v>
      </c>
      <c r="AH6" s="54"/>
      <c r="AI6" s="49"/>
    </row>
    <row r="7" spans="2:45" s="7" customFormat="1" ht="24.6" customHeight="1" x14ac:dyDescent="0.2">
      <c r="B7" s="49"/>
      <c r="C7" s="56" t="s">
        <v>195</v>
      </c>
      <c r="D7" s="20"/>
      <c r="E7" s="57"/>
      <c r="F7" s="113" t="str">
        <f>[1]!S_Info_Name(F6)</f>
        <v>苹果(APPLE)</v>
      </c>
      <c r="G7" s="20"/>
      <c r="H7" s="13"/>
      <c r="I7" s="56" t="s">
        <v>81</v>
      </c>
      <c r="J7" s="57">
        <f>DATE(YEAR(L7),MONTH(L7)-11,0)</f>
        <v>45199</v>
      </c>
      <c r="K7" s="57"/>
      <c r="L7" s="57">
        <f>IFERROR(IF(DATE(YEAR(F2),LEFT(F22,2)+1,0)&lt;=F2,DATE(YEAR(F2),LEFT(F22,2)+1,0),DATE(YEAR(F2),LEFT(F22,2)-11,0)),"NA")</f>
        <v>45565</v>
      </c>
      <c r="M7" s="57"/>
      <c r="N7" s="57">
        <f>DATE(YEAR(L7),MONTH(L7)+13,0)</f>
        <v>45930</v>
      </c>
      <c r="O7" s="57"/>
      <c r="P7" s="57">
        <f>DATE(YEAR(N7),MONTH(N7)+13,0)</f>
        <v>46295</v>
      </c>
      <c r="Q7" s="57"/>
      <c r="R7" s="57">
        <f>DATE(YEAR(P7),MONTH(P7)+13,0)</f>
        <v>46660</v>
      </c>
      <c r="S7" s="57"/>
      <c r="T7" s="57">
        <f>DATE(YEAR(R7),MONTH(R7)+13,0)</f>
        <v>47026</v>
      </c>
      <c r="U7" s="49"/>
      <c r="V7" s="20"/>
      <c r="W7" s="20"/>
      <c r="X7" s="20"/>
      <c r="Y7" s="57">
        <f>IFERROR(IF(DATE(YEAR(F2),LEFT(F22,2)+1,0)&lt;=F2,DATE(YEAR(F2),LEFT(F22,2)+1,0),DATE(YEAR(F2),LEFT(F22,2)-11,0)),"NA")</f>
        <v>45565</v>
      </c>
      <c r="Z7" s="57"/>
      <c r="AA7" s="57">
        <f>DATE(YEAR(Y7),MONTH(Y7)+13,0)</f>
        <v>45930</v>
      </c>
      <c r="AB7" s="57"/>
      <c r="AC7" s="57">
        <f>DATE(YEAR(AA7),MONTH(AA7)+13,0)</f>
        <v>46295</v>
      </c>
      <c r="AD7" s="57"/>
      <c r="AE7" s="57">
        <f>DATE(YEAR(AC7),MONTH(AC7)+13,0)</f>
        <v>46660</v>
      </c>
      <c r="AF7" s="57"/>
      <c r="AG7" s="57">
        <f>DATE(YEAR(AE7),MONTH(AE7)+13,0)</f>
        <v>47026</v>
      </c>
      <c r="AH7" s="57"/>
      <c r="AI7" s="49"/>
    </row>
    <row r="8" spans="2:45" s="7" customFormat="1" ht="24.6" customHeight="1" x14ac:dyDescent="0.2">
      <c r="B8" s="49"/>
      <c r="C8" s="53" t="s">
        <v>194</v>
      </c>
      <c r="D8" s="13"/>
      <c r="E8" s="58"/>
      <c r="F8" s="114" t="str">
        <f>[1]!s_info_compname(F6)</f>
        <v>苹果公司</v>
      </c>
      <c r="G8" s="13"/>
      <c r="H8" s="13"/>
      <c r="I8" s="53" t="s">
        <v>193</v>
      </c>
      <c r="J8" s="115">
        <f>YEAR(J7)</f>
        <v>2023</v>
      </c>
      <c r="K8" s="115"/>
      <c r="L8" s="115">
        <f>YEAR(L7)</f>
        <v>2024</v>
      </c>
      <c r="M8" s="115"/>
      <c r="N8" s="115">
        <f>YEAR(N7)</f>
        <v>2025</v>
      </c>
      <c r="O8" s="115"/>
      <c r="P8" s="115">
        <f>YEAR(P7)</f>
        <v>2026</v>
      </c>
      <c r="Q8" s="115"/>
      <c r="R8" s="115">
        <f>YEAR(R7)</f>
        <v>2027</v>
      </c>
      <c r="S8" s="115"/>
      <c r="T8" s="115">
        <f>YEAR(T7)</f>
        <v>2028</v>
      </c>
      <c r="U8" s="49"/>
      <c r="V8" s="53" t="s">
        <v>192</v>
      </c>
      <c r="W8" s="13"/>
      <c r="X8" s="13"/>
      <c r="Y8" s="59">
        <f>[1]!hks_stm_bs($D2,"140",DATE(IF(MONTH(Y7)&gt;=6,YEAR(Y7)-1,YEAR(Y7)-2),12,31),1,"Cur="&amp;$F$14,100000000)</f>
        <v>621.46</v>
      </c>
      <c r="Z8" s="58"/>
      <c r="AA8" s="59">
        <f>IFERROR(Y12,"NA")</f>
        <v>0</v>
      </c>
      <c r="AB8" s="58"/>
      <c r="AC8" s="59" t="str">
        <f>IFERROR(AA12,"NA")</f>
        <v>NA</v>
      </c>
      <c r="AD8" s="58"/>
      <c r="AE8" s="59" t="str">
        <f>IFERROR(AC12,"NA")</f>
        <v>NA</v>
      </c>
      <c r="AF8" s="58"/>
      <c r="AG8" s="59" t="str">
        <f>IFERROR(AE12,"NA")</f>
        <v>NA</v>
      </c>
      <c r="AH8" s="58"/>
      <c r="AI8" s="49"/>
    </row>
    <row r="9" spans="2:45" s="7" customFormat="1" ht="24.6" customHeight="1" thickBot="1" x14ac:dyDescent="0.25">
      <c r="B9" s="49"/>
      <c r="C9" s="61" t="s">
        <v>25</v>
      </c>
      <c r="D9" s="62"/>
      <c r="E9" s="62"/>
      <c r="F9" s="116" t="str">
        <f>[1]!s_info_industry_gics(F6,4)</f>
        <v>电脑硬件</v>
      </c>
      <c r="G9" s="62"/>
      <c r="H9" s="13"/>
      <c r="I9" s="56" t="s">
        <v>23</v>
      </c>
      <c r="J9" s="63">
        <f>[1]!hks_fa_bps($D$2,DATE(YEAR(J7),12,31),"Cur="&amp;$F$14)</f>
        <v>3.99651165</v>
      </c>
      <c r="K9" s="63"/>
      <c r="L9" s="117">
        <f>[1]!hks_fa_bps($D$2,DATE(YEAR(L7),12,31),"Cur="&amp;$F$14)</f>
        <v>0</v>
      </c>
      <c r="M9" s="63"/>
      <c r="N9" s="63" t="str">
        <f>IF([1]!s_west_avgbps1($D$2,YEAR(N7),N7,180,"Cur="&amp;$F$14)=0,"NA",[1]!s_west_avgbps1($D$2,YEAR(N7),N7,180,"Cur="&amp;$F$14))</f>
        <v>NA</v>
      </c>
      <c r="O9" s="63"/>
      <c r="P9" s="63">
        <f>IF([1]!s_west_avgbps1($D$2,YEAR(P7),P7,180,"Cur="&amp;$F$14)=0,"NA",[1]!s_west_avgbps1($D$2,YEAR(P7),P7,180,"Cur="&amp;$F$14))</f>
        <v>7.5147000000000004</v>
      </c>
      <c r="Q9" s="63"/>
      <c r="R9" s="63" t="str">
        <f>IF([1]!s_west_avgbps1($D$2,YEAR(R7),R7,180,"Cur="&amp;$F$14)=0,"NA",[1]!s_west_avgbps1($D$2,YEAR(R7),R7,180,"Cur="&amp;$F$14))</f>
        <v>NA</v>
      </c>
      <c r="S9" s="63"/>
      <c r="T9" s="63" t="str">
        <f>IF([1]!s_west_avgbps1($D$2,YEAR(T7),T7,180,"Cur="&amp;$F$14)=0,"NA",[1]!s_west_avgbps1($D$2,YEAR(T7),T7,180,"Cur="&amp;$F$14))</f>
        <v>NA</v>
      </c>
      <c r="U9" s="49"/>
      <c r="V9" s="20"/>
      <c r="W9" s="20" t="s">
        <v>191</v>
      </c>
      <c r="X9" s="20"/>
      <c r="Y9" s="64">
        <f>[1]!hks_stm_is(D2,"61",DATE(IF(MONTH(Y7)&gt;=6,YEAR(Y7),YEAR(Y7)-1),12,31),1,"Cur="&amp;$F$14,100000000)</f>
        <v>0</v>
      </c>
      <c r="Z9" s="63"/>
      <c r="AA9" s="64" t="str">
        <f>IFERROR(N10*$F$26/10000,"NA")</f>
        <v>NA</v>
      </c>
      <c r="AB9" s="63"/>
      <c r="AC9" s="64">
        <f>IFERROR(P10*$F$26/10000,"NA")</f>
        <v>1205.5630915510001</v>
      </c>
      <c r="AD9" s="63"/>
      <c r="AE9" s="64" t="str">
        <f>IFERROR(R10*$F$26/10000,"NA")</f>
        <v>NA</v>
      </c>
      <c r="AF9" s="63"/>
      <c r="AG9" s="64" t="str">
        <f>IFERROR(T10*$F$26/10000,"NA")</f>
        <v>NA</v>
      </c>
      <c r="AH9" s="63"/>
      <c r="AI9" s="49"/>
    </row>
    <row r="10" spans="2:45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190</v>
      </c>
      <c r="J10" s="58">
        <f>[1]!hks_fa_eps_diluted3($D2,DATE(YEAR(J7),12,31),"Cur="&amp;$F$14)</f>
        <v>6.2375999999999996</v>
      </c>
      <c r="K10" s="104"/>
      <c r="L10" s="58">
        <f>[1]!hks_fa_eps_diluted3($D2,DATE(YEAR(L7),12,31),"Cur="&amp;$F$14)</f>
        <v>0</v>
      </c>
      <c r="M10" s="58"/>
      <c r="N10" s="127" t="str">
        <f>IF([1]!s_est_eps1($D$2,YEAR(N7),$F$2,"Cur="&amp;$F$14)=0,"NA",[1]!s_est_eps1($D$2,YEAR(N7),$F$2,"Cur="&amp;$F$14))</f>
        <v>NA</v>
      </c>
      <c r="O10" s="58"/>
      <c r="P10" s="127">
        <f>IF([1]!s_est_eps1($D$2,YEAR(P7),$F$2,"Cur="&amp;$F$14)=0,"NA",[1]!s_est_eps1($D$2,YEAR(P7),$F$2,"Cur="&amp;$F$14))</f>
        <v>7.8071000000000002</v>
      </c>
      <c r="Q10" s="58"/>
      <c r="R10" s="127" t="str">
        <f>IF([1]!s_est_eps1($D$2,YEAR(R7),$F$2,"Cur="&amp;$F$14)=0,"NA",[1]!s_est_eps1($D$2,YEAR(R7),$F$2,"Cur="&amp;$F$14))</f>
        <v>NA</v>
      </c>
      <c r="S10" s="58"/>
      <c r="T10" s="127" t="str">
        <f>IF([1]!s_est_eps1($D$2,YEAR(T7),$F$2,"Cur="&amp;$F$14)=0,"NA",[1]!s_est_eps1($D$2,YEAR(T7),$F$2,"Cur="&amp;$F$14))</f>
        <v>NA</v>
      </c>
      <c r="U10" s="49"/>
      <c r="V10" s="13"/>
      <c r="W10" s="13" t="s">
        <v>28</v>
      </c>
      <c r="X10" s="13"/>
      <c r="Y10" s="59"/>
      <c r="Z10" s="58"/>
      <c r="AA10" s="59" t="str">
        <f>IFERROR(N11*$F$26/10000,"NA")</f>
        <v>NA</v>
      </c>
      <c r="AB10" s="58"/>
      <c r="AC10" s="59">
        <f>IFERROR(P11*$F$26/10000,"NA")</f>
        <v>162.44858812000001</v>
      </c>
      <c r="AD10" s="58"/>
      <c r="AE10" s="59" t="str">
        <f>IFERROR(R11*$F$26/10000,"NA")</f>
        <v>NA</v>
      </c>
      <c r="AF10" s="58"/>
      <c r="AG10" s="59" t="str">
        <f>IFERROR(T11*$F$26/10000,"NA")</f>
        <v>NA</v>
      </c>
      <c r="AH10" s="58"/>
      <c r="AI10" s="49"/>
    </row>
    <row r="11" spans="2:45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95"/>
      <c r="I11" s="56" t="s">
        <v>189</v>
      </c>
      <c r="J11" s="63">
        <f>[1]!hks_fa_dps($D$2,YEAR(J7),"Cur="&amp;$F$14)</f>
        <v>0.95</v>
      </c>
      <c r="K11" s="63"/>
      <c r="L11" s="63">
        <f>[1]!hks_fa_dps($D$2,YEAR(L7),"Cur="&amp;$F$14)</f>
        <v>0.24</v>
      </c>
      <c r="M11" s="63"/>
      <c r="N11" s="63" t="str">
        <f>IF([1]!s_est_avgdps1($D$2,YEAR(N7),$F$2,"Cur="&amp;$F$14)=0,"NA",[1]!s_est_avgdps1($D$2,YEAR(N7),$F$2,"Cur="&amp;$F$14))</f>
        <v>NA</v>
      </c>
      <c r="O11" s="63"/>
      <c r="P11" s="63">
        <f>IF([1]!s_west_mediandps1($D$2,YEAR(P7),$F$2,180,"Cur="&amp;$F$14)=0,"NA",[1]!s_west_mediandps1($D$2,YEAR(P7),$F$2,180,"Cur="&amp;$F$14))</f>
        <v>1.052</v>
      </c>
      <c r="Q11" s="63"/>
      <c r="R11" s="63" t="str">
        <f>IF([1]!s_west_mediandps1($D$2,YEAR(R7),$F$2,180,"Cur="&amp;$F$14)=0,"NA",[1]!s_west_mediandps1($D$2,YEAR(R7),$F$2,180,"Cur="&amp;$F$14))</f>
        <v>NA</v>
      </c>
      <c r="S11" s="63"/>
      <c r="T11" s="63" t="str">
        <f>IF([1]!s_west_mediandps1($D$2,YEAR(T7),$F$2,180,"Cur="&amp;$F$14)=0,"NA",[1]!s_west_mediandps1($D$2,YEAR(T7),$F$2,180,"Cur="&amp;$F$14))</f>
        <v>NA</v>
      </c>
      <c r="U11" s="49"/>
      <c r="V11" s="20"/>
      <c r="W11" s="20" t="s">
        <v>31</v>
      </c>
      <c r="X11" s="20"/>
      <c r="Y11" s="64"/>
      <c r="Z11" s="63"/>
      <c r="AA11" s="64"/>
      <c r="AB11" s="63"/>
      <c r="AC11" s="64"/>
      <c r="AD11" s="63"/>
      <c r="AE11" s="64"/>
      <c r="AF11" s="63"/>
      <c r="AG11" s="64"/>
      <c r="AH11" s="63"/>
      <c r="AI11" s="49"/>
    </row>
    <row r="12" spans="2:45" s="7" customFormat="1" ht="24.6" customHeight="1" x14ac:dyDescent="0.2">
      <c r="B12" s="49"/>
      <c r="C12" s="53" t="s">
        <v>157</v>
      </c>
      <c r="D12" s="13"/>
      <c r="E12" s="58"/>
      <c r="F12" s="72" t="str">
        <f>[1]!lastradeday_s(D2,F2)</f>
        <v>2024-04-25</v>
      </c>
      <c r="G12" s="49"/>
      <c r="H12" s="49"/>
      <c r="I12" s="53" t="s">
        <v>188</v>
      </c>
      <c r="J12" s="79">
        <f>[1]!hks_fa_roe($D$2,DATE(YEAR(J7),12,31))/100</f>
        <v>1.719495</v>
      </c>
      <c r="K12" s="79"/>
      <c r="L12" s="79">
        <f>[1]!hks_fa_roe($D$2,DATE(YEAR(L7),12,31))/100</f>
        <v>0</v>
      </c>
      <c r="M12" s="79"/>
      <c r="N12" s="79" t="str">
        <f>IF([1]!s_west_avgroe($D$2,YEAR(N7),N7,180)/100=0,"NA",[1]!s_west_avgroe($D$2,YEAR(N7),N7,180)/100)</f>
        <v>NA</v>
      </c>
      <c r="O12" s="79"/>
      <c r="P12" s="79">
        <f>IF([1]!s_west_avgroe($D$2,YEAR(P7),P7,180)/100=0,"NA",[1]!s_west_avgroe($D$2,YEAR(P7),P7,180)/100)</f>
        <v>0.90974999999999995</v>
      </c>
      <c r="Q12" s="79"/>
      <c r="R12" s="79" t="str">
        <f>IF([1]!s_west_avgroe($D$2,YEAR(R7),R7,180)/100=0,"NA",[1]!s_west_avgroe($D$2,YEAR(R7),R7,180)/100)</f>
        <v>NA</v>
      </c>
      <c r="S12" s="79"/>
      <c r="T12" s="79" t="str">
        <f>IF([1]!s_west_avgroe($D$2,YEAR(T7),T7,180)/100=0,"NA",[1]!s_west_avgroe($D$2,YEAR(T7),T7,180)/100)</f>
        <v>NA</v>
      </c>
      <c r="U12" s="49"/>
      <c r="V12" s="53" t="s">
        <v>187</v>
      </c>
      <c r="W12" s="13"/>
      <c r="X12" s="13"/>
      <c r="Y12" s="60">
        <f>[1]!hks_stm_bs($D2,"140",DATE(IF(MONTH(Y7)&gt;=6,YEAR(Y7),YEAR(Y7)-1),12,31),1,"Cur="&amp;$F$14,100000000)</f>
        <v>0</v>
      </c>
      <c r="Z12" s="58"/>
      <c r="AA12" s="60" t="str">
        <f>IFERROR(AA8+AA9-AA10,"NA")</f>
        <v>NA</v>
      </c>
      <c r="AB12" s="58"/>
      <c r="AC12" s="60" t="str">
        <f>IFERROR(AC8+AC9-AC10,"NA")</f>
        <v>NA</v>
      </c>
      <c r="AD12" s="58"/>
      <c r="AE12" s="60" t="str">
        <f>IFERROR(AE8+AE9-AE10,"NA")</f>
        <v>NA</v>
      </c>
      <c r="AF12" s="58"/>
      <c r="AG12" s="60" t="str">
        <f>IFERROR(AG8+AG9-AG10,"NA")</f>
        <v>NA</v>
      </c>
      <c r="AH12" s="58"/>
      <c r="AI12" s="49"/>
    </row>
    <row r="13" spans="2:45" s="7" customFormat="1" ht="24.6" customHeight="1" x14ac:dyDescent="0.2">
      <c r="B13" s="49"/>
      <c r="C13" s="56" t="s">
        <v>186</v>
      </c>
      <c r="D13" s="20"/>
      <c r="E13" s="64"/>
      <c r="F13" s="69">
        <f>[1]!S_DQ_CLOSE(D2,F12,1)</f>
        <v>169.89</v>
      </c>
      <c r="G13" s="70"/>
      <c r="H13" s="49"/>
      <c r="I13" s="56" t="s">
        <v>185</v>
      </c>
      <c r="J13" s="90">
        <f>[1]!hks_fa_roa($D$2,DATE(YEAR(J7),12,31))/100</f>
        <v>0.27503100000000003</v>
      </c>
      <c r="K13" s="90"/>
      <c r="L13" s="90">
        <f>[1]!hks_fa_roa($D$2,DATE(YEAR(L7),12,31))/100</f>
        <v>0</v>
      </c>
      <c r="M13" s="90"/>
      <c r="N13" s="90" t="str">
        <f>IF([1]!s_west_avgroa($D$2,YEAR(N7),N7,180)/100=0,"NA",[1]!s_west_avgroa($D$2,YEAR(N7),N7,180)/100)</f>
        <v>NA</v>
      </c>
      <c r="O13" s="90"/>
      <c r="P13" s="90">
        <f>IF([1]!s_west_avgroa($D$2,YEAR(P7),P7,180)/100=0,"NA",[1]!s_west_avgroa($D$2,YEAR(P7),P7,180)/100)</f>
        <v>0.23300000000000001</v>
      </c>
      <c r="Q13" s="90"/>
      <c r="R13" s="90" t="str">
        <f>IF([1]!s_west_avgroa($D$2,YEAR(R7),R7,180)/100=0,"NA",[1]!s_west_avgroa($D$2,YEAR(R7),R7,180)/100)</f>
        <v>NA</v>
      </c>
      <c r="S13" s="90"/>
      <c r="T13" s="90" t="str">
        <f>IF([1]!s_west_avgroa($D$2,YEAR(T7),T7,180)/100=0,"NA",[1]!s_west_avgroa($D$2,YEAR(T7),T7,180)/100)</f>
        <v>NA</v>
      </c>
      <c r="U13" s="49"/>
      <c r="V13" s="20"/>
      <c r="W13" s="20"/>
      <c r="X13" s="20"/>
      <c r="Y13" s="71"/>
      <c r="Z13" s="64"/>
      <c r="AA13" s="65"/>
      <c r="AB13" s="64"/>
      <c r="AC13" s="65"/>
      <c r="AD13" s="64"/>
      <c r="AE13" s="65"/>
      <c r="AF13" s="64"/>
      <c r="AG13" s="65"/>
      <c r="AH13" s="64"/>
      <c r="AI13" s="49"/>
    </row>
    <row r="14" spans="2:45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USD</v>
      </c>
      <c r="G14" s="49"/>
      <c r="H14" s="72"/>
      <c r="I14" s="53" t="s">
        <v>34</v>
      </c>
      <c r="J14" s="144">
        <f>[1]!hks_fa_ebit3($D$2,DATE(YEAR(J7),12,31),1,"Cur="&amp;$F$14,100000000)</f>
        <v>1143.01</v>
      </c>
      <c r="K14" s="144"/>
      <c r="L14" s="144">
        <f>[1]!hks_fa_ebit3($D$2,DATE(YEAR(L7),12,31),1,"Cur="&amp;$F$14,100000000)</f>
        <v>0</v>
      </c>
      <c r="M14" s="144"/>
      <c r="N14" s="144" t="str">
        <f>IF([1]!s_west_avgebit1($D$2,YEAR(N7),$F$2,180,"Cur="&amp;$F$14,100000000)=0,"NA",[1]!s_west_avgebit1($D$2,YEAR(N7),$F$2,180,"Cur="&amp;$F$14,100000000))</f>
        <v>NA</v>
      </c>
      <c r="O14" s="144"/>
      <c r="P14" s="144">
        <f>IF([1]!s_west_avgebit1($D$2,YEAR(P7),$F$2,180,"Cur="&amp;$F$14,100000000)=0,"NA",[1]!s_west_avgebit1($D$2,YEAR(P7),$F$2,180,"Cur="&amp;$F$14,100000000))</f>
        <v>1334.335</v>
      </c>
      <c r="Q14" s="144"/>
      <c r="R14" s="144" t="str">
        <f>IF([1]!s_west_avgebit1($D$2,YEAR(R7),$F$2,180,"Cur="&amp;$F$14,100000000)=0,"NA",[1]!s_west_avgebit1($D$2,YEAR(R7),$F$2,180,"Cur="&amp;$F$14,100000000))</f>
        <v>NA</v>
      </c>
      <c r="S14" s="144"/>
      <c r="T14" s="144" t="str">
        <f>IF([1]!s_west_avgebit1($D$2,YEAR(T7),$F$2,180,"Cur="&amp;$F$14,100000000)=0,"NA",[1]!s_west_avgebit1($D$2,YEAR(T7),$F$2,180,"Cur="&amp;$F$14,100000000))</f>
        <v>NA</v>
      </c>
      <c r="U14" s="49"/>
      <c r="V14" s="53" t="s">
        <v>184</v>
      </c>
      <c r="W14" s="13"/>
      <c r="X14" s="13"/>
      <c r="Y14" s="118" t="str">
        <f>IFERROR(Y8-AE28,"NA")</f>
        <v>NA</v>
      </c>
      <c r="Z14" s="59"/>
      <c r="AA14" s="60" t="str">
        <f>IFERROR(Y15,"NA")</f>
        <v>NA</v>
      </c>
      <c r="AB14" s="59"/>
      <c r="AC14" s="60" t="str">
        <f>IFERROR(AA15,"NA")</f>
        <v>NA</v>
      </c>
      <c r="AD14" s="59"/>
      <c r="AE14" s="60" t="str">
        <f>IFERROR(AC15,"NA")</f>
        <v>NA</v>
      </c>
      <c r="AF14" s="59"/>
      <c r="AG14" s="60" t="str">
        <f>IFERROR(AE15,"NA")</f>
        <v>NA</v>
      </c>
      <c r="AH14" s="59"/>
      <c r="AI14" s="49"/>
    </row>
    <row r="15" spans="2:45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5055.8329000000003</v>
      </c>
      <c r="G15" s="70"/>
      <c r="H15" s="119"/>
      <c r="I15" s="56" t="s">
        <v>35</v>
      </c>
      <c r="J15" s="146">
        <f>[1]!hks_fa_ebitda2($D$2,DATE(YEAR(J7),12,31),1,"Cur="&amp;$F$14,100000000)</f>
        <v>1258.2</v>
      </c>
      <c r="K15" s="146"/>
      <c r="L15" s="146">
        <f>[1]!hks_fa_ebitda2($D$2,DATE(YEAR(L7),12,31),1,"Cur="&amp;$F$14,100000000)</f>
        <v>0</v>
      </c>
      <c r="M15" s="146"/>
      <c r="N15" s="146" t="str">
        <f>IF([1]!s_est_avgebitda1($D$2,YEAR(N7),$F$2,"Cur="&amp;$F$14,100000000)=0,"NA",[1]!s_est_avgebitda1($D$2,YEAR(N7),$F$2,"Cur="&amp;$F$14,100000000))</f>
        <v>NA</v>
      </c>
      <c r="O15" s="146"/>
      <c r="P15" s="146">
        <f>IF([1]!s_est_avgebitda1($D$2,YEAR(P7),$F$2,"Cur="&amp;$F$14,100000000)=0,"NA",[1]!s_est_avgebitda1($D$2,YEAR(P7),$F$2,"Cur="&amp;$F$14,100000000))</f>
        <v>1456.95</v>
      </c>
      <c r="Q15" s="146"/>
      <c r="R15" s="146" t="str">
        <f>IF([1]!s_est_avgebitda1($D$2,YEAR(R7),$F$2,"Cur="&amp;$F$14,100000000)=0,"NA",[1]!s_est_avgebitda1($D$2,YEAR(R7),$F$2,"Cur="&amp;$F$14,100000000))</f>
        <v>NA</v>
      </c>
      <c r="S15" s="146"/>
      <c r="T15" s="146" t="str">
        <f>IF([1]!s_est_avgebitda1($D$2,YEAR(T7),$F$2,"Cur="&amp;$F$14,100000000)=0,"NA",[1]!s_est_avgebitda1($D$2,YEAR(T7),$F$2,"Cur="&amp;$F$14,100000000))</f>
        <v>NA</v>
      </c>
      <c r="U15" s="49"/>
      <c r="V15" s="56" t="s">
        <v>182</v>
      </c>
      <c r="W15" s="20"/>
      <c r="X15" s="20"/>
      <c r="Y15" s="65" t="str">
        <f>IFERROR(Y12-$AG28,"NA")</f>
        <v>NA</v>
      </c>
      <c r="Z15" s="64"/>
      <c r="AA15" s="65" t="str">
        <f>IFERROR(AA12-$AG28,"NA")</f>
        <v>NA</v>
      </c>
      <c r="AB15" s="64"/>
      <c r="AC15" s="65" t="str">
        <f>IFERROR(AC12-$AG28,"NA")</f>
        <v>NA</v>
      </c>
      <c r="AD15" s="64"/>
      <c r="AE15" s="65" t="str">
        <f>IFERROR(AE12-$AG28,"NA")</f>
        <v>NA</v>
      </c>
      <c r="AF15" s="64"/>
      <c r="AG15" s="65" t="str">
        <f>IFERROR(AG12-$AG28,"NA")</f>
        <v>NA</v>
      </c>
      <c r="AH15" s="64"/>
      <c r="AI15" s="49"/>
    </row>
    <row r="16" spans="2:45" s="7" customFormat="1" ht="24.6" customHeight="1" x14ac:dyDescent="0.2">
      <c r="B16" s="49"/>
      <c r="C16" s="53" t="s">
        <v>37</v>
      </c>
      <c r="D16" s="13"/>
      <c r="E16" s="59"/>
      <c r="F16" s="154">
        <f>[1]!s_pq_highclose(D2,DATE(YEAR(F12)-1,MONTH(F12),DAY(F12)),F12,3)</f>
        <v>197.85751599186636</v>
      </c>
      <c r="G16" s="49"/>
      <c r="H16" s="49"/>
      <c r="I16" s="53" t="s">
        <v>181</v>
      </c>
      <c r="J16" s="144">
        <f>[1]!hks_stm_is($D$2,"83",DATE(YEAR(J7),12,31),1,"Cur="&amp;$F$14,100000000)</f>
        <v>3832.85</v>
      </c>
      <c r="K16" s="144"/>
      <c r="L16" s="144">
        <f>[1]!hks_stm_is($D$2,"83",DATE(YEAR(L7),12,31),1,"Cur="&amp;$F$14,100000000)</f>
        <v>0</v>
      </c>
      <c r="M16" s="144"/>
      <c r="N16" s="144" t="str">
        <f>IF([1]!s_est_sales1($D$2,YEAR(N7),$F$2,"Cur="&amp;$F$14,100000000)=0,"NA",[1]!s_est_sales1($D$2,YEAR(N7),$F$2,"Cur="&amp;$F$14,100000000))</f>
        <v>NA</v>
      </c>
      <c r="O16" s="144"/>
      <c r="P16" s="144">
        <f>IF([1]!s_est_sales1($D$2,YEAR(P7),$F$2,"Cur="&amp;$F$14,100000000)=0,"NA",[1]!s_est_sales1($D$2,YEAR(P7),$F$2,"Cur="&amp;$F$14,100000000))</f>
        <v>4599.8944444400004</v>
      </c>
      <c r="Q16" s="144"/>
      <c r="R16" s="144" t="str">
        <f>IF([1]!s_est_sales1($D$2,YEAR(R7),$F$2,"Cur="&amp;$F$14,100000000)=0,"NA",[1]!s_est_sales1($D$2,YEAR(R7),$F$2,"Cur="&amp;$F$14,100000000))</f>
        <v>NA</v>
      </c>
      <c r="S16" s="144"/>
      <c r="T16" s="144" t="str">
        <f>IF([1]!s_est_sales1($D$2,YEAR(T7),$F$2,"Cur="&amp;$F$14,100000000)=0,"NA",[1]!s_est_sales1($D$2,YEAR(T7),$F$2,"Cur="&amp;$F$14,100000000))</f>
        <v>NA</v>
      </c>
      <c r="U16" s="49"/>
      <c r="V16" s="13"/>
      <c r="W16" s="13"/>
      <c r="X16" s="13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49"/>
    </row>
    <row r="17" spans="2:42" s="7" customFormat="1" ht="24.6" customHeight="1" x14ac:dyDescent="0.2">
      <c r="B17" s="49"/>
      <c r="C17" s="56" t="s">
        <v>180</v>
      </c>
      <c r="D17" s="20"/>
      <c r="E17" s="64"/>
      <c r="F17" s="75">
        <f>F13/F16</f>
        <v>0.85864820018757293</v>
      </c>
      <c r="G17" s="70"/>
      <c r="H17" s="120"/>
      <c r="I17" s="56" t="s">
        <v>179</v>
      </c>
      <c r="J17" s="146">
        <f>[1]!hks_stm_is($D$2,"1016",DATE(YEAR(J7),12,31),1,"Cur="&amp;$F$14,100000000)</f>
        <v>1137.3599999999999</v>
      </c>
      <c r="K17" s="146"/>
      <c r="L17" s="146">
        <f>[1]!hks_stm_is($D$2,"1016",DATE(YEAR(L7),12,31),1,"Cur="&amp;$F$14,100000000)</f>
        <v>0</v>
      </c>
      <c r="M17" s="146"/>
      <c r="N17" s="146" t="str">
        <f>IF([1]!s_est_avgebt1($D$2,YEAR(N7),$F$2,"Cur="&amp;$F$14,100000000)=0,"NA",[1]!s_est_avgebt1($D$2,YEAR(N7),$F$2,"Cur="&amp;$F$14,100000000))</f>
        <v>NA</v>
      </c>
      <c r="O17" s="146"/>
      <c r="P17" s="146">
        <f>IF([1]!s_est_avgebt1($D$2,YEAR(P7),$F$2,"Cur="&amp;$F$14,100000000)=0,"NA",[1]!s_est_avgebt1($D$2,YEAR(P7),$F$2,"Cur="&amp;$F$14,100000000))</f>
        <v>1494.6880000000001</v>
      </c>
      <c r="Q17" s="146"/>
      <c r="R17" s="146" t="str">
        <f>IF([1]!s_est_avgebt1($D$2,YEAR(R7),$F$2,"Cur="&amp;$F$14,100000000)=0,"NA",[1]!s_est_avgebt1($D$2,YEAR(R7),$F$2,"Cur="&amp;$F$14,100000000))</f>
        <v>NA</v>
      </c>
      <c r="S17" s="146"/>
      <c r="T17" s="146" t="str">
        <f>IF([1]!s_est_avgebt1($D$2,YEAR(T7),$F$2,"Cur="&amp;$F$14,100000000)=0,"NA",[1]!s_est_avgebt1($D$2,YEAR(T7),$F$2,"Cur="&amp;$F$14,100000000))</f>
        <v>NA</v>
      </c>
      <c r="U17" s="49"/>
      <c r="V17" s="56" t="s">
        <v>40</v>
      </c>
      <c r="W17" s="20"/>
      <c r="X17" s="20"/>
      <c r="Y17" s="65">
        <f>IFERROR(AE27,"NA")</f>
        <v>3525.83</v>
      </c>
      <c r="Z17" s="64"/>
      <c r="AA17" s="64"/>
      <c r="AB17" s="64"/>
      <c r="AC17" s="64"/>
      <c r="AD17" s="64"/>
      <c r="AE17" s="64"/>
      <c r="AF17" s="64"/>
      <c r="AG17" s="64"/>
      <c r="AH17" s="64"/>
      <c r="AI17" s="49"/>
      <c r="AL17" s="141"/>
    </row>
    <row r="18" spans="2:42" s="7" customFormat="1" ht="24.6" customHeight="1" x14ac:dyDescent="0.2">
      <c r="B18" s="49"/>
      <c r="C18" s="53" t="s">
        <v>41</v>
      </c>
      <c r="D18" s="13"/>
      <c r="E18" s="58"/>
      <c r="F18" s="154">
        <f>[1]!s_pq_lowclose(D2,DATE(YEAR(F12)-1,MONTH(F12),DAY(F12)),F12,3)</f>
        <v>162.89053460931325</v>
      </c>
      <c r="G18" s="49"/>
      <c r="H18" s="49"/>
      <c r="I18" s="53" t="s">
        <v>39</v>
      </c>
      <c r="J18" s="144">
        <f>[1]!hks_stm_is($D$2,"61",DATE(YEAR(J7),12,31),1,"Cur="&amp;$F$14,100000000)</f>
        <v>969.95</v>
      </c>
      <c r="K18" s="145"/>
      <c r="L18" s="144">
        <f>[1]!hks_stm_is($D$2,"61",DATE(YEAR(L7),12,31),1,"Cur="&amp;$F$14,100000000)</f>
        <v>0</v>
      </c>
      <c r="M18" s="145"/>
      <c r="N18" s="144" t="str">
        <f>IF([1]!s_west_netprofit1($D$2,YEAR(N7),$F$2,180,"Cur="&amp;$F$14,100000000)=0,"NA",[1]!s_west_netprofit1($D$2,YEAR(N7),$F$2,180,"Cur="&amp;$F$14,100000000))</f>
        <v>NA</v>
      </c>
      <c r="O18" s="145"/>
      <c r="P18" s="144">
        <f>IF([1]!s_west_netprofit1($D$2,YEAR(P7),$F$2,180,"Cur="&amp;$F$14,100000000)=0,"NA",[1]!s_west_netprofit1($D$2,YEAR(P7),$F$2,180,"Cur="&amp;$F$14,100000000))</f>
        <v>1205.56333333</v>
      </c>
      <c r="Q18" s="145"/>
      <c r="R18" s="144" t="str">
        <f>IF([1]!s_west_netprofit1($D$2,YEAR(R7),$F$2,180,"Cur="&amp;$F$14,100000000)=0,"NA",[1]!s_west_netprofit1($D$2,YEAR(R7),$F$2,180,"Cur="&amp;$F$14,100000000))</f>
        <v>NA</v>
      </c>
      <c r="S18" s="145"/>
      <c r="T18" s="144" t="str">
        <f>IF([1]!s_west_netprofit1($D$2,YEAR(T7),$F$2,180,"Cur="&amp;$F$14,100000000)=0,"NA",[1]!s_west_netprofit1($D$2,YEAR(T7),$F$2,180,"Cur="&amp;$F$14,100000000))</f>
        <v>NA</v>
      </c>
      <c r="U18" s="49"/>
      <c r="V18" s="53" t="s">
        <v>178</v>
      </c>
      <c r="W18" s="13"/>
      <c r="X18" s="13"/>
      <c r="Y18" s="60">
        <f>IFERROR(AG27,"NA")</f>
        <v>0</v>
      </c>
      <c r="Z18" s="54"/>
      <c r="AA18" s="59"/>
      <c r="AB18" s="54"/>
      <c r="AC18" s="59"/>
      <c r="AD18" s="54"/>
      <c r="AE18" s="59"/>
      <c r="AF18" s="54"/>
      <c r="AG18" s="59"/>
      <c r="AH18" s="54"/>
      <c r="AI18" s="49"/>
      <c r="AP18" s="141"/>
    </row>
    <row r="19" spans="2:42" s="7" customFormat="1" ht="24.6" customHeight="1" thickBot="1" x14ac:dyDescent="0.25">
      <c r="B19" s="49"/>
      <c r="C19" s="56" t="s">
        <v>43</v>
      </c>
      <c r="D19" s="20"/>
      <c r="E19" s="64"/>
      <c r="F19" s="75">
        <f>F13/F18</f>
        <v>1.0429703629340692</v>
      </c>
      <c r="G19" s="70"/>
      <c r="H19" s="120"/>
      <c r="I19" s="61" t="s">
        <v>42</v>
      </c>
      <c r="J19" s="93">
        <f>[1]!hks_stm_is($D$2,"1041",DATE(YEAR(J7),12,31),1,"Cur="&amp;$F$14,100000000)</f>
        <v>1143.01</v>
      </c>
      <c r="K19" s="121"/>
      <c r="L19" s="93">
        <f>[1]!hks_stm_is($D$2,"1041",DATE(YEAR(L7),12,31),1,"Cur="&amp;$F$14,100000000)</f>
        <v>0</v>
      </c>
      <c r="M19" s="121"/>
      <c r="N19" s="143" t="str">
        <f>IF([1]!s_west_avgoperatingprofit1($D$2,YEAR(N7),$F$2,180,"Cur="&amp;$F$14,100000000)=0,"NA",[1]!s_west_avgoperatingprofit1($D$2,YEAR(N7),$F$2,180,"Cur="&amp;$F$14,100000000))</f>
        <v>NA</v>
      </c>
      <c r="O19" s="121"/>
      <c r="P19" s="143">
        <f>IF([1]!s_west_avgoperatingprofit1($D$2,YEAR(P7),$F$2,180,"Cur="&amp;$F$14,100000000)=0,"NA",[1]!s_west_avgoperatingprofit1($D$2,YEAR(P7),$F$2,180,"Cur="&amp;$F$14,100000000))</f>
        <v>1439.9628571400001</v>
      </c>
      <c r="Q19" s="121"/>
      <c r="R19" s="143" t="str">
        <f>IF([1]!s_west_avgoperatingprofit1($D$2,YEAR(R7),$F$2,180,"Cur="&amp;$F$14,100000000)=0,"NA",[1]!s_west_avgoperatingprofit1($D$2,YEAR(R7),$F$2,180,"Cur="&amp;$F$14,100000000))</f>
        <v>NA</v>
      </c>
      <c r="S19" s="121"/>
      <c r="T19" s="143" t="str">
        <f>IF([1]!s_west_avgoperatingprofit1($D$2,YEAR(T7),$F$2,180,"Cur="&amp;$F$14,100000000)=0,"NA",[1]!s_west_avgoperatingprofit1($D$2,YEAR(T7),$F$2,180,"Cur="&amp;$F$14,100000000))</f>
        <v>NA</v>
      </c>
      <c r="U19" s="49"/>
      <c r="V19" s="20"/>
      <c r="W19" s="20"/>
      <c r="X19" s="20"/>
      <c r="Y19" s="64" t="str">
        <f>IF([1]!s_west_medianebt($D$2,YEAR(Y10),Y10,180,100000000)=0,"",[1]!s_west_medianebt($D$2,YEAR(Y10),Y10,180,100000000))</f>
        <v/>
      </c>
      <c r="Z19" s="57"/>
      <c r="AA19" s="64"/>
      <c r="AB19" s="57"/>
      <c r="AC19" s="64"/>
      <c r="AD19" s="57"/>
      <c r="AE19" s="64"/>
      <c r="AF19" s="57"/>
      <c r="AG19" s="64"/>
      <c r="AH19" s="57"/>
      <c r="AI19" s="49"/>
      <c r="AL19" s="141"/>
    </row>
    <row r="20" spans="2:42" s="7" customFormat="1" ht="24.6" customHeight="1" x14ac:dyDescent="0.2">
      <c r="B20" s="49"/>
      <c r="C20" s="53" t="s">
        <v>83</v>
      </c>
      <c r="D20" s="13"/>
      <c r="E20" s="59"/>
      <c r="F20" s="122">
        <f>[1]!s_risk_stdevy(D2,DATE(YEAR(F12)-1,MONTH(F12),DAY(F12)),F12,2,1)</f>
        <v>21.885488513918713</v>
      </c>
      <c r="G20" s="49"/>
      <c r="H20" s="11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53" t="s">
        <v>44</v>
      </c>
      <c r="W20" s="13"/>
      <c r="X20" s="13"/>
      <c r="Y20" s="79">
        <f>IFERROR((Y9/AVERAGE(Y8,Y12)), "NA")</f>
        <v>0</v>
      </c>
      <c r="Z20" s="58"/>
      <c r="AA20" s="79" t="str">
        <f>IFERROR((AA9/AVERAGE(AA8,AA12)), "NA")</f>
        <v>NA</v>
      </c>
      <c r="AB20" s="58"/>
      <c r="AC20" s="79" t="str">
        <f>IFERROR((AC9/AVERAGE(AC8,AC12)), "NA")</f>
        <v>NA</v>
      </c>
      <c r="AD20" s="58"/>
      <c r="AE20" s="79" t="str">
        <f>IFERROR((AE9/AVERAGE(AE8,AE12)), "NA")</f>
        <v>NA</v>
      </c>
      <c r="AF20" s="58"/>
      <c r="AG20" s="79" t="str">
        <f>IFERROR((AG9/AVERAGE(AG8,AG12)), "NA")</f>
        <v>NA</v>
      </c>
      <c r="AH20" s="58"/>
      <c r="AI20" s="49"/>
      <c r="AP20" s="141"/>
    </row>
    <row r="21" spans="2:42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0.25153698119599444</v>
      </c>
      <c r="G21" s="70"/>
      <c r="H21" s="123"/>
      <c r="I21" s="51" t="s">
        <v>84</v>
      </c>
      <c r="J21" s="51"/>
      <c r="K21" s="51"/>
      <c r="L21" s="51"/>
      <c r="M21" s="51"/>
      <c r="N21" s="51"/>
      <c r="O21" s="51"/>
      <c r="P21" s="51"/>
      <c r="Q21" s="51"/>
      <c r="R21" s="51"/>
      <c r="S21" s="49"/>
      <c r="T21" s="96"/>
      <c r="U21" s="49"/>
      <c r="V21" s="61" t="s">
        <v>177</v>
      </c>
      <c r="W21" s="62"/>
      <c r="X21" s="62"/>
      <c r="Y21" s="81" t="str">
        <f>IFERROR((Y9/AVERAGE(Y14,Y15)), "NA")</f>
        <v>NA</v>
      </c>
      <c r="Z21" s="82"/>
      <c r="AA21" s="81" t="str">
        <f>IFERROR((AA9/AVERAGE(AA14,AA15)), "NA")</f>
        <v>NA</v>
      </c>
      <c r="AB21" s="82"/>
      <c r="AC21" s="81" t="str">
        <f>IFERROR((AC9/AVERAGE(AC14,AC15)), "NA")</f>
        <v>NA</v>
      </c>
      <c r="AD21" s="82"/>
      <c r="AE21" s="81" t="str">
        <f>IFERROR((AE9/AVERAGE(AE14,AE15)), "NA")</f>
        <v>NA</v>
      </c>
      <c r="AF21" s="82"/>
      <c r="AG21" s="81" t="str">
        <f>IFERROR((AG9/AVERAGE(AG14,AG15)), "NA")</f>
        <v>NA</v>
      </c>
      <c r="AH21" s="82"/>
      <c r="AI21" s="49"/>
    </row>
    <row r="22" spans="2:42" s="7" customFormat="1" ht="24.6" customHeight="1" x14ac:dyDescent="0.2">
      <c r="B22" s="49"/>
      <c r="C22" s="53" t="s">
        <v>85</v>
      </c>
      <c r="D22" s="13"/>
      <c r="E22" s="49"/>
      <c r="F22" s="67" t="str">
        <f>[1]!hks_info_fiscaldate(D2)</f>
        <v>09-30</v>
      </c>
      <c r="G22" s="49"/>
      <c r="H22" s="123"/>
      <c r="I22" s="13"/>
      <c r="J22" s="54" t="s">
        <v>16</v>
      </c>
      <c r="K22" s="54"/>
      <c r="L22" s="54" t="s">
        <v>18</v>
      </c>
      <c r="M22" s="54"/>
      <c r="N22" s="54" t="s">
        <v>19</v>
      </c>
      <c r="O22" s="54"/>
      <c r="P22" s="54" t="s">
        <v>20</v>
      </c>
      <c r="Q22" s="54"/>
      <c r="R22" s="54" t="s">
        <v>21</v>
      </c>
      <c r="S22" s="49"/>
      <c r="T22" s="158"/>
      <c r="U22" s="49"/>
      <c r="V22" s="49"/>
      <c r="W22" s="49"/>
      <c r="X22" s="49"/>
      <c r="Y22" s="49"/>
      <c r="Z22" s="54"/>
      <c r="AA22" s="49"/>
      <c r="AB22" s="54"/>
      <c r="AC22" s="49"/>
      <c r="AD22" s="54"/>
      <c r="AE22" s="49"/>
      <c r="AF22" s="54"/>
      <c r="AG22" s="49"/>
      <c r="AH22" s="54"/>
      <c r="AI22" s="49"/>
    </row>
    <row r="23" spans="2:42" s="7" customFormat="1" ht="24.6" customHeight="1" thickBot="1" x14ac:dyDescent="0.25">
      <c r="B23" s="49"/>
      <c r="C23" s="61" t="s">
        <v>176</v>
      </c>
      <c r="D23" s="62"/>
      <c r="E23" s="64"/>
      <c r="F23" s="74">
        <f>[1]!s_div_aualaccmdiv2($D2,DATE(YEAR(F2)-1,MONTH(F2),DAY(F2)),F2,"Cur="&amp;$F$14,10000)</f>
        <v>370605.14399999997</v>
      </c>
      <c r="G23" s="20"/>
      <c r="H23" s="119"/>
      <c r="I23" s="56" t="s">
        <v>81</v>
      </c>
      <c r="J23" s="57">
        <f>DATE(L8,12,31)</f>
        <v>45657</v>
      </c>
      <c r="K23" s="57"/>
      <c r="L23" s="57">
        <f>DATE(YEAR(J23),MONTH(J23)+13,0)</f>
        <v>46022</v>
      </c>
      <c r="M23" s="57"/>
      <c r="N23" s="57">
        <f>DATE(YEAR(L23),MONTH(L23)+13,0)</f>
        <v>46387</v>
      </c>
      <c r="O23" s="57"/>
      <c r="P23" s="57">
        <f>DATE(YEAR(N23),MONTH(N23)+13,0)</f>
        <v>46752</v>
      </c>
      <c r="Q23" s="57"/>
      <c r="R23" s="57">
        <f>DATE(YEAR(P23),MONTH(P23)+13,0)</f>
        <v>47118</v>
      </c>
      <c r="S23" s="49"/>
      <c r="T23" s="158"/>
      <c r="U23" s="49"/>
      <c r="V23" s="51" t="s">
        <v>47</v>
      </c>
      <c r="W23" s="51"/>
      <c r="X23" s="51"/>
      <c r="Y23" s="51"/>
      <c r="Z23" s="124"/>
      <c r="AA23" s="51"/>
      <c r="AB23" s="124"/>
      <c r="AC23" s="51"/>
      <c r="AD23" s="124"/>
      <c r="AE23" s="51"/>
      <c r="AF23" s="124"/>
      <c r="AG23" s="51"/>
      <c r="AH23" s="124"/>
      <c r="AI23" s="49"/>
    </row>
    <row r="24" spans="2:42" s="7" customFormat="1" ht="24.6" customHeight="1" x14ac:dyDescent="0.2">
      <c r="B24" s="49"/>
      <c r="C24" s="49"/>
      <c r="D24" s="142"/>
      <c r="E24" s="142"/>
      <c r="F24" s="142"/>
      <c r="G24" s="142"/>
      <c r="H24" s="49"/>
      <c r="I24" s="53" t="s">
        <v>82</v>
      </c>
      <c r="J24" s="115">
        <f>YEAR(L7)</f>
        <v>2024</v>
      </c>
      <c r="K24" s="115"/>
      <c r="L24" s="115">
        <f>YEAR(N7)</f>
        <v>2025</v>
      </c>
      <c r="M24" s="115"/>
      <c r="N24" s="115">
        <f>YEAR(P7)</f>
        <v>2026</v>
      </c>
      <c r="O24" s="115"/>
      <c r="P24" s="115">
        <f>YEAR(R7)</f>
        <v>2027</v>
      </c>
      <c r="Q24" s="115"/>
      <c r="R24" s="115">
        <f>YEAR(T7)</f>
        <v>2028</v>
      </c>
      <c r="S24" s="49"/>
      <c r="T24" s="49"/>
      <c r="U24" s="49"/>
      <c r="V24" s="13"/>
      <c r="W24" s="13"/>
      <c r="X24" s="13"/>
      <c r="Y24" s="54" t="s">
        <v>175</v>
      </c>
      <c r="Z24" s="54"/>
      <c r="AA24" s="54" t="s">
        <v>49</v>
      </c>
      <c r="AB24" s="54"/>
      <c r="AC24" s="54" t="s">
        <v>135</v>
      </c>
      <c r="AD24" s="54"/>
      <c r="AE24" s="54" t="s">
        <v>50</v>
      </c>
      <c r="AF24" s="54"/>
      <c r="AG24" s="54" t="s">
        <v>51</v>
      </c>
      <c r="AH24" s="54"/>
      <c r="AI24" s="49"/>
    </row>
    <row r="25" spans="2:42" s="7" customFormat="1" ht="24.6" customHeight="1" x14ac:dyDescent="0.2">
      <c r="B25" s="49"/>
      <c r="C25" s="51" t="s">
        <v>212</v>
      </c>
      <c r="D25" s="51"/>
      <c r="E25" s="51"/>
      <c r="F25" s="51"/>
      <c r="G25" s="51"/>
      <c r="H25" s="95"/>
      <c r="I25" s="56" t="s">
        <v>86</v>
      </c>
      <c r="J25" s="125">
        <f>MONTH(L7)</f>
        <v>9</v>
      </c>
      <c r="K25" s="125"/>
      <c r="L25" s="125">
        <f>MONTH(N7)</f>
        <v>9</v>
      </c>
      <c r="M25" s="125"/>
      <c r="N25" s="125">
        <f>MONTH(P7)</f>
        <v>9</v>
      </c>
      <c r="O25" s="125"/>
      <c r="P25" s="125">
        <f>MONTH(R7)</f>
        <v>9</v>
      </c>
      <c r="Q25" s="125"/>
      <c r="R25" s="125">
        <f>MONTH(T7)</f>
        <v>9</v>
      </c>
      <c r="S25" s="49"/>
      <c r="T25" s="49"/>
      <c r="U25" s="49"/>
      <c r="V25" s="20"/>
      <c r="W25" s="20"/>
      <c r="X25" s="20"/>
      <c r="Y25" s="57">
        <f>DATE(YEAR(AA25),MONTH(AA25)-11,0)</f>
        <v>44104</v>
      </c>
      <c r="Z25" s="57"/>
      <c r="AA25" s="57">
        <f>DATE(YEAR(AC25),MONTH(AC25)-11,0)</f>
        <v>44469</v>
      </c>
      <c r="AB25" s="57"/>
      <c r="AC25" s="57">
        <f>DATE(YEAR(AE25),MONTH(AE25)-11,0)</f>
        <v>44834</v>
      </c>
      <c r="AD25" s="57"/>
      <c r="AE25" s="57">
        <f>DATE(YEAR(AG25),MONTH(AG25)-11,0)</f>
        <v>45199</v>
      </c>
      <c r="AF25" s="57"/>
      <c r="AG25" s="57">
        <f>IFERROR(IF(DATE(YEAR(F2),LEFT(F22,2)+1,0)&lt;=F2,DATE(YEAR(F2),LEFT(F22,2)+1,0),DATE(YEAR(F2),LEFT(F22,2)-11,0)),"NA")</f>
        <v>45565</v>
      </c>
      <c r="AH25" s="57"/>
      <c r="AI25" s="49"/>
    </row>
    <row r="26" spans="2:42" s="7" customFormat="1" ht="24.6" customHeight="1" x14ac:dyDescent="0.2">
      <c r="B26" s="49"/>
      <c r="C26" s="53" t="s">
        <v>52</v>
      </c>
      <c r="D26" s="13"/>
      <c r="E26" s="58"/>
      <c r="F26" s="88">
        <f>[1]!S_SHARE_TOTAL(D2,F12,10000)</f>
        <v>1544188.1</v>
      </c>
      <c r="G26" s="49"/>
      <c r="H26" s="88"/>
      <c r="I26" s="53" t="s">
        <v>23</v>
      </c>
      <c r="J26" s="58" t="str">
        <f>IFERROR(SUM(J$25*L9/12,((12-J$25)/12)*N9),"NA")</f>
        <v>NA</v>
      </c>
      <c r="K26" s="58"/>
      <c r="L26" s="58" t="str">
        <f t="shared" ref="L26:L36" si="0">IFERROR(SUM(L$25*N9/12,((12-L$25)/12)*P9),"NA")</f>
        <v>NA</v>
      </c>
      <c r="M26" s="58"/>
      <c r="N26" s="58" t="str">
        <f t="shared" ref="N26:N36" si="1">IFERROR(SUM(N$25*P9/12,((12-N$25)/12)*R9),"NA")</f>
        <v>NA</v>
      </c>
      <c r="O26" s="58"/>
      <c r="P26" s="58" t="str">
        <f t="shared" ref="P26:P36" si="2">IFERROR(SUM(P$25*R9/12,((12-P$25)/12)*T9),"NA")</f>
        <v>NA</v>
      </c>
      <c r="Q26" s="58"/>
      <c r="R26" s="58" t="str">
        <f t="shared" ref="R26:R36" si="3">IFERROR(SUM(R$25*T9/12,((12-R$25)/12)*V9),"NA")</f>
        <v>NA</v>
      </c>
      <c r="S26" s="58"/>
      <c r="T26" s="49"/>
      <c r="U26" s="49"/>
      <c r="V26" s="53" t="s">
        <v>174</v>
      </c>
      <c r="W26" s="13"/>
      <c r="X26" s="13"/>
      <c r="Y26" s="59"/>
      <c r="Z26" s="58"/>
      <c r="AA26" s="59"/>
      <c r="AB26" s="58"/>
      <c r="AC26" s="59"/>
      <c r="AD26" s="58"/>
      <c r="AE26" s="59"/>
      <c r="AF26" s="58"/>
      <c r="AG26" s="59"/>
      <c r="AH26" s="58"/>
      <c r="AI26" s="49"/>
      <c r="AN26" s="141"/>
    </row>
    <row r="27" spans="2:42" s="7" customFormat="1" ht="24.6" customHeight="1" x14ac:dyDescent="0.2">
      <c r="B27" s="49"/>
      <c r="C27" s="20"/>
      <c r="D27" s="20" t="s">
        <v>54</v>
      </c>
      <c r="E27" s="64"/>
      <c r="F27" s="89"/>
      <c r="G27" s="70"/>
      <c r="H27" s="88"/>
      <c r="I27" s="56" t="s">
        <v>26</v>
      </c>
      <c r="J27" s="64" t="str">
        <f>IFERROR(SUM(J$25*L10/12,((12-J$25)/12)*N10),"NA")</f>
        <v>NA</v>
      </c>
      <c r="K27" s="63"/>
      <c r="L27" s="64" t="str">
        <f t="shared" si="0"/>
        <v>NA</v>
      </c>
      <c r="M27" s="63"/>
      <c r="N27" s="64" t="str">
        <f t="shared" si="1"/>
        <v>NA</v>
      </c>
      <c r="O27" s="63"/>
      <c r="P27" s="64" t="str">
        <f t="shared" si="2"/>
        <v>NA</v>
      </c>
      <c r="Q27" s="63"/>
      <c r="R27" s="64" t="str">
        <f t="shared" si="3"/>
        <v>NA</v>
      </c>
      <c r="S27" s="49"/>
      <c r="T27" s="49"/>
      <c r="U27" s="49"/>
      <c r="V27" s="20"/>
      <c r="W27" s="20" t="s">
        <v>55</v>
      </c>
      <c r="X27" s="20"/>
      <c r="Y27" s="64">
        <f>[1]!hks_stm_bs($D2,"74",DATE(YEAR(Y25),12,31),1,"Cur="&amp;$F$14,100000000)</f>
        <v>3238.88</v>
      </c>
      <c r="Z27" s="63"/>
      <c r="AA27" s="64">
        <f>[1]!hks_stm_bs($D2,"74",DATE(YEAR(AA25),12,31),1,"Cur="&amp;$F$14,100000000)</f>
        <v>3510.02</v>
      </c>
      <c r="AB27" s="63"/>
      <c r="AC27" s="64">
        <f>[1]!hks_stm_bs($D2,"74",DATE(YEAR(AC25),12,31),1,"Cur="&amp;$F$14,100000000)</f>
        <v>3527.55</v>
      </c>
      <c r="AD27" s="63"/>
      <c r="AE27" s="64">
        <f>[1]!hks_stm_bs($D2,"74",DATE(YEAR(AE25),12,31),1,"Cur="&amp;$F$14,100000000)</f>
        <v>3525.83</v>
      </c>
      <c r="AF27" s="63"/>
      <c r="AG27" s="64">
        <f>[1]!hks_stm_bs($D2,"74",DATE(YEAR(AG25),12,31),1,"Cur="&amp;$F$14,100000000)</f>
        <v>0</v>
      </c>
      <c r="AH27" s="63"/>
      <c r="AI27" s="49"/>
    </row>
    <row r="28" spans="2:42" s="7" customFormat="1" ht="24.6" customHeight="1" x14ac:dyDescent="0.2">
      <c r="B28" s="49"/>
      <c r="C28" s="13"/>
      <c r="D28" s="13" t="s">
        <v>173</v>
      </c>
      <c r="E28" s="59" t="s">
        <v>12</v>
      </c>
      <c r="F28" s="88"/>
      <c r="G28" s="49"/>
      <c r="H28" s="88"/>
      <c r="I28" s="53" t="s">
        <v>27</v>
      </c>
      <c r="J28" s="59" t="str">
        <f t="shared" ref="J28:J36" si="4">IFERROR(SUM(J$25*L11/12,((12-J$25)/12)*N11),"NA")</f>
        <v>NA</v>
      </c>
      <c r="K28" s="58"/>
      <c r="L28" s="59" t="str">
        <f t="shared" si="0"/>
        <v>NA</v>
      </c>
      <c r="M28" s="58"/>
      <c r="N28" s="59" t="str">
        <f t="shared" si="1"/>
        <v>NA</v>
      </c>
      <c r="O28" s="58"/>
      <c r="P28" s="59" t="str">
        <f t="shared" si="2"/>
        <v>NA</v>
      </c>
      <c r="Q28" s="58"/>
      <c r="R28" s="59" t="str">
        <f t="shared" si="3"/>
        <v>NA</v>
      </c>
      <c r="S28" s="49"/>
      <c r="T28" s="49"/>
      <c r="U28" s="49"/>
      <c r="V28" s="13"/>
      <c r="W28" s="13" t="s">
        <v>120</v>
      </c>
      <c r="X28" s="13"/>
      <c r="Y28" s="59"/>
      <c r="Z28" s="58"/>
      <c r="AA28" s="59" t="str">
        <f>IF([1]!hks_stm_bs($D2,"1070",DATE(IF(MONTH(AA25)&gt;=6,YEAR(AA25)-1,YEAR(AA25)-2),12,31),1,"Cur="&amp;$F$14,100000000)=0,"NA",[1]!hks_stm_bs($D2,"1070",DATE(IF(MONTH(AA25)&gt;=6,YEAR(AA25)-1,YEAR(AA25)-2),12,31),1,"Cur="&amp;$F$14,100000000))</f>
        <v>NA</v>
      </c>
      <c r="AB28" s="58"/>
      <c r="AC28" s="59" t="str">
        <f>IF([1]!hks_stm_bs($D2,"1070",DATE(IF(MONTH(AC25)&gt;=6,YEAR(AC25)-1,YEAR(AC25)-2),12,31),1,"Cur="&amp;$F$14,100000000)=0,"NA",[1]!hks_stm_bs($D2,"1070",DATE(IF(MONTH(AC25)&gt;=6,YEAR(AC25)-1,YEAR(AC25)-2),12,31),1,"Cur="&amp;$F$14,100000000))</f>
        <v>NA</v>
      </c>
      <c r="AD28" s="58"/>
      <c r="AE28" s="59" t="str">
        <f>IF([1]!hks_stm_bs($D2,"1070",DATE(IF(MONTH(AE25)&gt;=6,YEAR(AE25)-1,YEAR(AE25)-2),12,31),1,"Cur="&amp;$F$14,100000000)=0,"NA",[1]!hks_stm_bs($D2,"1070",DATE(IF(MONTH(AE25)&gt;=6,YEAR(AE25)-1,YEAR(AE25)-2),12,31),1,"Cur="&amp;$F$14,100000000))</f>
        <v>NA</v>
      </c>
      <c r="AF28" s="58"/>
      <c r="AG28" s="59" t="str">
        <f>IF([1]!hks_stm_bs($D2,"1070",DATE(IF(MONTH(AG25)&gt;=6,YEAR(AG25)-1,YEAR(AG25)-2),12,31),1,"Cur="&amp;$F$14,100000000)=0,"NA",[1]!hks_stm_bs($D2,"1070",DATE(IF(MONTH(AG25)&gt;=6,YEAR(AG25)-1,YEAR(AG25)-2),12,31),1,"Cur="&amp;$F$14,100000000))</f>
        <v>NA</v>
      </c>
      <c r="AH28" s="58"/>
      <c r="AI28" s="49"/>
    </row>
    <row r="29" spans="2:42" s="7" customFormat="1" ht="24.6" customHeight="1" x14ac:dyDescent="0.2">
      <c r="B29" s="49"/>
      <c r="C29" s="20"/>
      <c r="D29" s="20" t="s">
        <v>56</v>
      </c>
      <c r="E29" s="64"/>
      <c r="F29" s="89"/>
      <c r="G29" s="70"/>
      <c r="H29" s="88"/>
      <c r="I29" s="56" t="s">
        <v>30</v>
      </c>
      <c r="J29" s="90" t="str">
        <f t="shared" si="4"/>
        <v>NA</v>
      </c>
      <c r="K29" s="90"/>
      <c r="L29" s="90" t="str">
        <f t="shared" si="0"/>
        <v>NA</v>
      </c>
      <c r="M29" s="90"/>
      <c r="N29" s="90" t="str">
        <f t="shared" si="1"/>
        <v>NA</v>
      </c>
      <c r="O29" s="90"/>
      <c r="P29" s="90" t="str">
        <f t="shared" si="2"/>
        <v>NA</v>
      </c>
      <c r="Q29" s="90"/>
      <c r="R29" s="90" t="str">
        <f t="shared" si="3"/>
        <v>NA</v>
      </c>
      <c r="S29" s="49"/>
      <c r="T29" s="49"/>
      <c r="U29" s="49"/>
      <c r="V29" s="20"/>
      <c r="W29" s="20" t="s">
        <v>59</v>
      </c>
      <c r="X29" s="20"/>
      <c r="Y29" s="64">
        <f>[1]!hks_stm_bs($D2,"140",DATE(YEAR(Y25),12,31),1,"Cur="&amp;$F$14,100000000)</f>
        <v>653.39</v>
      </c>
      <c r="Z29" s="63"/>
      <c r="AA29" s="64">
        <f>[1]!hks_stm_bs($D2,"140",DATE(YEAR(AA25),12,31),1,"Cur="&amp;$F$14,100000000)</f>
        <v>630.9</v>
      </c>
      <c r="AB29" s="63"/>
      <c r="AC29" s="64">
        <f>[1]!hks_stm_bs($D2,"140",DATE(YEAR(AC25),12,31),1,"Cur="&amp;$F$14,100000000)</f>
        <v>506.72</v>
      </c>
      <c r="AD29" s="63"/>
      <c r="AE29" s="64">
        <f>[1]!hks_stm_bs($D2,"140",DATE(YEAR(AE25),12,31),1,"Cur="&amp;$F$14,100000000)</f>
        <v>621.46</v>
      </c>
      <c r="AF29" s="63"/>
      <c r="AG29" s="64">
        <f>[1]!hks_stm_bs($D2,"140",DATE(YEAR(AG25),12,31),1,"Cur="&amp;$F$14,100000000)</f>
        <v>0</v>
      </c>
      <c r="AH29" s="63"/>
      <c r="AI29" s="49"/>
    </row>
    <row r="30" spans="2:42" s="7" customFormat="1" ht="24.6" customHeight="1" x14ac:dyDescent="0.2">
      <c r="B30" s="49"/>
      <c r="C30" s="13"/>
      <c r="D30" s="13" t="s">
        <v>58</v>
      </c>
      <c r="E30" s="59"/>
      <c r="F30" s="88"/>
      <c r="G30" s="49"/>
      <c r="H30" s="88"/>
      <c r="I30" s="53" t="s">
        <v>32</v>
      </c>
      <c r="J30" s="79" t="str">
        <f>IFERROR(SUM(J$25*L13/12,((12-J$25)/12)*N13),"NA")</f>
        <v>NA</v>
      </c>
      <c r="K30" s="79"/>
      <c r="L30" s="79" t="str">
        <f>IFERROR(SUM(L$25*N13/12,((12-L$25)/12)*P13),"NA")</f>
        <v>NA</v>
      </c>
      <c r="M30" s="79"/>
      <c r="N30" s="79" t="str">
        <f t="shared" si="1"/>
        <v>NA</v>
      </c>
      <c r="O30" s="79"/>
      <c r="P30" s="79" t="str">
        <f t="shared" si="2"/>
        <v>NA</v>
      </c>
      <c r="Q30" s="79"/>
      <c r="R30" s="79" t="str">
        <f t="shared" si="3"/>
        <v>NA</v>
      </c>
      <c r="S30" s="49"/>
      <c r="T30" s="49"/>
      <c r="U30" s="49"/>
      <c r="V30" s="53" t="s">
        <v>114</v>
      </c>
      <c r="W30" s="13"/>
      <c r="X30" s="13"/>
      <c r="Y30" s="59"/>
      <c r="Z30" s="58"/>
      <c r="AA30" s="59"/>
      <c r="AB30" s="58"/>
      <c r="AC30" s="59"/>
      <c r="AD30" s="58"/>
      <c r="AE30" s="59"/>
      <c r="AF30" s="58"/>
      <c r="AG30" s="59"/>
      <c r="AH30" s="58"/>
      <c r="AI30" s="49"/>
    </row>
    <row r="31" spans="2:42" s="7" customFormat="1" ht="24.6" customHeight="1" x14ac:dyDescent="0.2">
      <c r="B31" s="49"/>
      <c r="C31" s="20"/>
      <c r="D31" s="20" t="s">
        <v>172</v>
      </c>
      <c r="E31" s="64"/>
      <c r="F31" s="89"/>
      <c r="G31" s="70"/>
      <c r="H31" s="88"/>
      <c r="I31" s="56" t="s">
        <v>34</v>
      </c>
      <c r="J31" s="64" t="str">
        <f t="shared" si="4"/>
        <v>NA</v>
      </c>
      <c r="K31" s="64"/>
      <c r="L31" s="64" t="str">
        <f t="shared" si="0"/>
        <v>NA</v>
      </c>
      <c r="M31" s="64"/>
      <c r="N31" s="64" t="str">
        <f t="shared" si="1"/>
        <v>NA</v>
      </c>
      <c r="O31" s="64"/>
      <c r="P31" s="64" t="str">
        <f t="shared" si="2"/>
        <v>NA</v>
      </c>
      <c r="Q31" s="64"/>
      <c r="R31" s="64" t="str">
        <f t="shared" si="3"/>
        <v>NA</v>
      </c>
      <c r="S31" s="49"/>
      <c r="T31" s="49"/>
      <c r="U31" s="49"/>
      <c r="V31" s="56"/>
      <c r="W31" s="20" t="s">
        <v>171</v>
      </c>
      <c r="X31" s="20"/>
      <c r="Y31" s="64">
        <f>IF([1]!hks_stm_is($D$2,"83",DATE(IF(MONTH(Y25)&gt;=6,YEAR(Y25),YEAR(Y25)-1),12,31),1,"Cur="&amp;$F$14,100000000)=0,"NA",[1]!hks_stm_is($D$2,"83",DATE(IF(MONTH(Y25)&gt;=6,YEAR(Y25),YEAR(Y25)-1),12,31),1,"Cur="&amp;$F$14,100000000))</f>
        <v>2745.15</v>
      </c>
      <c r="Z31" s="64"/>
      <c r="AA31" s="64">
        <f>IF([1]!hks_stm_is($D$2,"83",DATE(IF(MONTH(AA25)&gt;=6,YEAR(AA25),YEAR(AA25)-1),12,31),1,"Cur="&amp;$F$14,100000000)=0,"NA",[1]!hks_stm_is($D$2,"83",DATE(IF(MONTH(AA25)&gt;=6,YEAR(AA25),YEAR(AA25)-1),12,31),1,"Cur="&amp;$F$14,100000000))</f>
        <v>3658.17</v>
      </c>
      <c r="AB31" s="64"/>
      <c r="AC31" s="64">
        <f>IF([1]!hks_stm_is($D$2,"83",DATE(IF(MONTH(AC25)&gt;=6,YEAR(AC25),YEAR(AC25)-1),12,31),1,"Cur="&amp;$F$14,100000000)=0,"NA",[1]!hks_stm_is($D$2,"83",DATE(IF(MONTH(AC25)&gt;=6,YEAR(AC25),YEAR(AC25)-1),12,31),1,"Cur="&amp;$F$14,100000000))</f>
        <v>3943.28</v>
      </c>
      <c r="AD31" s="64"/>
      <c r="AE31" s="64">
        <f>IF([1]!hks_stm_is($D$2,"83",DATE(IF(MONTH(AE25)&gt;=6,YEAR(AE25),YEAR(AE25)-1),12,31),1,"Cur="&amp;$F$14,100000000)=0,"NA",[1]!hks_stm_is($D$2,"83",DATE(IF(MONTH(AE25)&gt;=6,YEAR(AE25),YEAR(AE25)-1),12,31),1,"Cur="&amp;$F$14,100000000))</f>
        <v>3832.85</v>
      </c>
      <c r="AF31" s="64"/>
      <c r="AG31" s="64" t="str">
        <f>IF([1]!hks_stm_is($D$2,"83",DATE(IF(MONTH(AG25)&gt;=6,YEAR(AG25),YEAR(AG25)-1),12,31),1,"Cur="&amp;$F$14,100000000)=0,"NA",[1]!hks_stm_is($D$2,"83",DATE(IF(MONTH(AG25)&gt;=6,YEAR(AG25),YEAR(AG25)-1),12,31),1,"Cur="&amp;$F$14,100000000))</f>
        <v>NA</v>
      </c>
      <c r="AH31" s="64"/>
      <c r="AI31" s="49"/>
      <c r="AN31" s="141"/>
    </row>
    <row r="32" spans="2:42" s="7" customFormat="1" ht="24.6" customHeight="1" x14ac:dyDescent="0.2">
      <c r="B32" s="49"/>
      <c r="C32" s="13"/>
      <c r="D32" s="13" t="s">
        <v>60</v>
      </c>
      <c r="E32" s="58"/>
      <c r="F32" s="88"/>
      <c r="G32" s="49"/>
      <c r="H32" s="88"/>
      <c r="I32" s="53" t="s">
        <v>35</v>
      </c>
      <c r="J32" s="59" t="str">
        <f t="shared" si="4"/>
        <v>NA</v>
      </c>
      <c r="K32" s="59"/>
      <c r="L32" s="59" t="str">
        <f t="shared" si="0"/>
        <v>NA</v>
      </c>
      <c r="M32" s="59"/>
      <c r="N32" s="59" t="str">
        <f t="shared" si="1"/>
        <v>NA</v>
      </c>
      <c r="O32" s="59"/>
      <c r="P32" s="59" t="str">
        <f t="shared" si="2"/>
        <v>NA</v>
      </c>
      <c r="Q32" s="59"/>
      <c r="R32" s="59" t="str">
        <f t="shared" si="3"/>
        <v>NA</v>
      </c>
      <c r="S32" s="49"/>
      <c r="T32" s="49"/>
      <c r="U32" s="49"/>
      <c r="V32" s="13"/>
      <c r="W32" s="13" t="s">
        <v>170</v>
      </c>
      <c r="X32" s="13"/>
      <c r="Y32" s="59">
        <f>IF([1]!hks_stm_is($D2,"10",DATE(IF(MONTH(Y25)&gt;=6,YEAR(Y25),YEAR(Y25)-1),12,31),1,"Cur="&amp;$F$14,100000000)=0,"NA",[1]!hks_stm_is($D2,"10",DATE(IF(MONTH(Y25)&gt;=6,YEAR(Y25),YEAR(Y25)-1),12,31),1,"Cur="&amp;$F$14,100000000))</f>
        <v>1695.59</v>
      </c>
      <c r="Z32" s="59"/>
      <c r="AA32" s="59">
        <f>IF([1]!hks_stm_is($D2,"10",DATE(IF(MONTH(AA25)&gt;=6,YEAR(AA25),YEAR(AA25)-1),12,31),1,"Cur="&amp;$F$14,100000000)=0,"NA",[1]!hks_stm_is($D2,"10",DATE(IF(MONTH(AA25)&gt;=6,YEAR(AA25),YEAR(AA25)-1),12,31),1,"Cur="&amp;$F$14,100000000))</f>
        <v>2129.81</v>
      </c>
      <c r="AB32" s="59"/>
      <c r="AC32" s="59">
        <f>IF([1]!hks_stm_is($D2,"10",DATE(IF(MONTH(AC25)&gt;=6,YEAR(AC25),YEAR(AC25)-1),12,31),1,"Cur="&amp;$F$14,100000000)=0,"NA",[1]!hks_stm_is($D2,"10",DATE(IF(MONTH(AC25)&gt;=6,YEAR(AC25),YEAR(AC25)-1),12,31),1,"Cur="&amp;$F$14,100000000))</f>
        <v>2235.46</v>
      </c>
      <c r="AD32" s="59"/>
      <c r="AE32" s="59">
        <f>IF([1]!hks_stm_is($D2,"10",DATE(IF(MONTH(AE25)&gt;=6,YEAR(AE25),YEAR(AE25)-1),12,31),1,"Cur="&amp;$F$14,100000000)=0,"NA",[1]!hks_stm_is($D2,"10",DATE(IF(MONTH(AE25)&gt;=6,YEAR(AE25),YEAR(AE25)-1),12,31),1,"Cur="&amp;$F$14,100000000))</f>
        <v>2141.37</v>
      </c>
      <c r="AF32" s="59"/>
      <c r="AG32" s="59" t="str">
        <f>IF([1]!hks_stm_is($D2,"10",DATE(IF(MONTH(AG25)&gt;=6,YEAR(AG25),YEAR(AG25)-1),12,31),1,"Cur="&amp;$F$14,100000000)=0,"NA",[1]!hks_stm_is($D2,"10",DATE(IF(MONTH(AG25)&gt;=6,YEAR(AG25),YEAR(AG25)-1),12,31),1,"Cur="&amp;$F$14,100000000))</f>
        <v>NA</v>
      </c>
      <c r="AH32" s="59"/>
      <c r="AI32" s="49"/>
    </row>
    <row r="33" spans="2:35" s="7" customFormat="1" ht="24.6" customHeight="1" x14ac:dyDescent="0.2">
      <c r="B33" s="49"/>
      <c r="C33" s="56" t="s">
        <v>61</v>
      </c>
      <c r="D33" s="20"/>
      <c r="E33" s="64"/>
      <c r="F33" s="89">
        <f>SUM(F26,F27:H32)</f>
        <v>1544188.1</v>
      </c>
      <c r="G33" s="70"/>
      <c r="H33" s="88"/>
      <c r="I33" s="56" t="s">
        <v>36</v>
      </c>
      <c r="J33" s="64" t="str">
        <f t="shared" si="4"/>
        <v>NA</v>
      </c>
      <c r="K33" s="64"/>
      <c r="L33" s="64" t="str">
        <f t="shared" si="0"/>
        <v>NA</v>
      </c>
      <c r="M33" s="64"/>
      <c r="N33" s="64" t="str">
        <f t="shared" si="1"/>
        <v>NA</v>
      </c>
      <c r="O33" s="64"/>
      <c r="P33" s="64" t="str">
        <f t="shared" si="2"/>
        <v>NA</v>
      </c>
      <c r="Q33" s="64"/>
      <c r="R33" s="64" t="str">
        <f t="shared" si="3"/>
        <v>NA</v>
      </c>
      <c r="S33" s="49"/>
      <c r="T33" s="49"/>
      <c r="U33" s="49"/>
      <c r="V33" s="20"/>
      <c r="W33" s="20" t="s">
        <v>64</v>
      </c>
      <c r="X33" s="20"/>
      <c r="Y33" s="64">
        <f>IF([1]!hks_stm_is($D$2,"61",DATE(IF(MONTH(Y25)&gt;=6,YEAR(Y25),YEAR(Y25)-1),12,31),1,"Cur="&amp;$F$14,100000000)=0,"NA",[1]!hks_stm_is($D$2,"61",DATE(IF(MONTH(Y25)&gt;=6,YEAR(Y25),YEAR(Y25)-1),12,31),1,"Cur="&amp;$F$14,100000000))</f>
        <v>574.11</v>
      </c>
      <c r="Z33" s="64"/>
      <c r="AA33" s="64">
        <f>IF([1]!hks_stm_is($D$2,"61",DATE(IF(MONTH(AA25)&gt;=6,YEAR(AA25),YEAR(AA25)-1),12,31),1,"Cur="&amp;$F$14,100000000)=0,"NA",[1]!hks_stm_is($D$2,"61",DATE(IF(MONTH(AA25)&gt;=6,YEAR(AA25),YEAR(AA25)-1),12,31),1,"Cur="&amp;$F$14,100000000))</f>
        <v>946.8</v>
      </c>
      <c r="AB33" s="64"/>
      <c r="AC33" s="64">
        <f>IF([1]!hks_stm_is($D$2,"61",DATE(IF(MONTH(AC25)&gt;=6,YEAR(AC25),YEAR(AC25)-1),12,31),1,"Cur="&amp;$F$14,100000000)=0,"NA",[1]!hks_stm_is($D$2,"61",DATE(IF(MONTH(AC25)&gt;=6,YEAR(AC25),YEAR(AC25)-1),12,31),1,"Cur="&amp;$F$14,100000000))</f>
        <v>998.03</v>
      </c>
      <c r="AD33" s="64"/>
      <c r="AE33" s="64">
        <f>IF([1]!hks_stm_is($D$2,"61",DATE(IF(MONTH(AE25)&gt;=6,YEAR(AE25),YEAR(AE25)-1),12,31),1,"Cur="&amp;$F$14,100000000)=0,"NA",[1]!hks_stm_is($D$2,"61",DATE(IF(MONTH(AE25)&gt;=6,YEAR(AE25),YEAR(AE25)-1),12,31),1,"Cur="&amp;$F$14,100000000))</f>
        <v>969.95</v>
      </c>
      <c r="AF33" s="64"/>
      <c r="AG33" s="64" t="str">
        <f>IF([1]!hks_stm_is($D$2,"61",DATE(IF(MONTH(AG25)&gt;=6,YEAR(AG25),YEAR(AG25)-1),12,31),1,"Cur="&amp;$F$14,100000000)=0,"NA",[1]!hks_stm_is($D$2,"61",DATE(IF(MONTH(AG25)&gt;=6,YEAR(AG25),YEAR(AG25)-1),12,31),1,"Cur="&amp;$F$14,100000000))</f>
        <v>NA</v>
      </c>
      <c r="AH33" s="64"/>
      <c r="AI33" s="49"/>
    </row>
    <row r="34" spans="2:35" s="7" customFormat="1" ht="24.6" customHeight="1" x14ac:dyDescent="0.2">
      <c r="B34" s="49"/>
      <c r="C34" s="53" t="s">
        <v>62</v>
      </c>
      <c r="D34" s="13"/>
      <c r="E34" s="59"/>
      <c r="F34" s="88">
        <f>[1]!hks_val_ev($D2,$F2,"Cur="&amp;$F$14,100000000)</f>
        <v>26234.211630900001</v>
      </c>
      <c r="G34" s="49"/>
      <c r="H34" s="88"/>
      <c r="I34" s="53" t="s">
        <v>38</v>
      </c>
      <c r="J34" s="59" t="str">
        <f t="shared" si="4"/>
        <v>NA</v>
      </c>
      <c r="K34" s="54"/>
      <c r="L34" s="59" t="str">
        <f t="shared" si="0"/>
        <v>NA</v>
      </c>
      <c r="M34" s="54"/>
      <c r="N34" s="59" t="str">
        <f t="shared" si="1"/>
        <v>NA</v>
      </c>
      <c r="O34" s="54"/>
      <c r="P34" s="59" t="str">
        <f t="shared" si="2"/>
        <v>NA</v>
      </c>
      <c r="Q34" s="54"/>
      <c r="R34" s="59" t="str">
        <f t="shared" si="3"/>
        <v>NA</v>
      </c>
      <c r="S34" s="49"/>
      <c r="T34" s="49"/>
      <c r="U34" s="49"/>
      <c r="V34" s="53" t="s">
        <v>65</v>
      </c>
      <c r="W34" s="13"/>
      <c r="X34" s="13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49"/>
    </row>
    <row r="35" spans="2:35" s="7" customFormat="1" ht="24.6" customHeight="1" x14ac:dyDescent="0.2">
      <c r="B35" s="49"/>
      <c r="C35" s="56" t="s">
        <v>63</v>
      </c>
      <c r="D35" s="20"/>
      <c r="E35" s="70"/>
      <c r="F35" s="89">
        <f>F13*F33/10000</f>
        <v>26234.211630899998</v>
      </c>
      <c r="G35" s="20"/>
      <c r="H35" s="88"/>
      <c r="I35" s="56" t="s">
        <v>39</v>
      </c>
      <c r="J35" s="64" t="str">
        <f t="shared" si="4"/>
        <v>NA</v>
      </c>
      <c r="K35" s="57"/>
      <c r="L35" s="64" t="str">
        <f t="shared" si="0"/>
        <v>NA</v>
      </c>
      <c r="M35" s="57"/>
      <c r="N35" s="64" t="str">
        <f t="shared" si="1"/>
        <v>NA</v>
      </c>
      <c r="O35" s="57"/>
      <c r="P35" s="64" t="str">
        <f t="shared" si="2"/>
        <v>NA</v>
      </c>
      <c r="Q35" s="57"/>
      <c r="R35" s="64" t="str">
        <f t="shared" si="3"/>
        <v>NA</v>
      </c>
      <c r="S35" s="49"/>
      <c r="T35" s="49"/>
      <c r="U35" s="49"/>
      <c r="V35" s="56"/>
      <c r="W35" s="20" t="s">
        <v>66</v>
      </c>
      <c r="X35" s="20"/>
      <c r="Y35" s="64">
        <f>IF([1]!hks_fa_bps($D2,DATE(IF(MONTH(Y25)&gt;=6,YEAR(Y25)-1,YEAR(Y25)-2),12,31),"Cur="&amp;$F$14)=0,"NA",[1]!hks_fa_bps($D2,DATE(IF(MONTH(Y25)&gt;=6,YEAR(Y25)-1,YEAR(Y25)-2),12,31),"Cur="&amp;$F$14))</f>
        <v>20.36533734</v>
      </c>
      <c r="Z35" s="64"/>
      <c r="AA35" s="64">
        <f>IF([1]!hks_fa_bps($D2,DATE(IF(MONTH(AA25)&gt;=6,YEAR(AA25)-1,YEAR(AA25)-2),12,31),"Cur="&amp;$F$14)=0,"NA",[1]!hks_fa_bps($D2,DATE(IF(MONTH(AA25)&gt;=6,YEAR(AA25)-1,YEAR(AA25)-2),12,31),"Cur="&amp;$F$14))</f>
        <v>3.84873135</v>
      </c>
      <c r="AB35" s="64"/>
      <c r="AC35" s="64">
        <f>IF([1]!hks_fa_bps($D2,DATE(IF(MONTH(AC25)&gt;=6,YEAR(AC25)-1,YEAR(AC25)-2),12,31),"Cur="&amp;$F$14)=0,"NA",[1]!hks_fa_bps($D2,DATE(IF(MONTH(AC25)&gt;=6,YEAR(AC25)-1,YEAR(AC25)-2),12,31),"Cur="&amp;$F$14))</f>
        <v>3.8406782700000002</v>
      </c>
      <c r="AD35" s="64"/>
      <c r="AE35" s="64">
        <f>IF([1]!hks_fa_bps($D2,DATE(IF(MONTH(AE25)&gt;=6,YEAR(AE25)-1,YEAR(AE25)-2),12,31),"Cur="&amp;$F$14)=0,"NA",[1]!hks_fa_bps($D2,DATE(IF(MONTH(AE25)&gt;=6,YEAR(AE25)-1,YEAR(AE25)-2),12,31),"Cur="&amp;$F$14))</f>
        <v>3.17823805</v>
      </c>
      <c r="AF35" s="64"/>
      <c r="AG35" s="64">
        <f>IF([1]!hks_fa_bps($D2,DATE(IF(MONTH(AG25)&gt;=6,YEAR(AG25)-1,YEAR(AG25)-2),12,31),"Cur="&amp;$F$14)=0,"NA",[1]!hks_fa_bps($D2,DATE(IF(MONTH(AG25)&gt;=6,YEAR(AG25)-1,YEAR(AG25)-2),12,31),"Cur="&amp;$F$14))</f>
        <v>3.99651165</v>
      </c>
      <c r="AH35" s="64"/>
      <c r="AI35" s="49"/>
    </row>
    <row r="36" spans="2:35" s="7" customFormat="1" ht="24.6" customHeight="1" thickBot="1" x14ac:dyDescent="0.25">
      <c r="B36" s="49"/>
      <c r="C36" s="76" t="s">
        <v>214</v>
      </c>
      <c r="D36" s="77"/>
      <c r="E36" s="77"/>
      <c r="F36" s="170">
        <f>[1]!hks_val_ev1(D2,F2,"Cur="&amp;$F$14,100000000)</f>
        <v>27314.611630899999</v>
      </c>
      <c r="G36" s="77"/>
      <c r="H36" s="49"/>
      <c r="I36" s="76" t="s">
        <v>42</v>
      </c>
      <c r="J36" s="77" t="str">
        <f t="shared" si="4"/>
        <v>NA</v>
      </c>
      <c r="K36" s="126"/>
      <c r="L36" s="77" t="str">
        <f t="shared" si="0"/>
        <v>NA</v>
      </c>
      <c r="M36" s="126"/>
      <c r="N36" s="77" t="str">
        <f t="shared" si="1"/>
        <v>NA</v>
      </c>
      <c r="O36" s="126"/>
      <c r="P36" s="77" t="str">
        <f t="shared" si="2"/>
        <v>NA</v>
      </c>
      <c r="Q36" s="126"/>
      <c r="R36" s="77" t="str">
        <f t="shared" si="3"/>
        <v>NA</v>
      </c>
      <c r="S36" s="49"/>
      <c r="T36" s="49"/>
      <c r="U36" s="49"/>
      <c r="V36" s="13"/>
      <c r="W36" s="13" t="s">
        <v>68</v>
      </c>
      <c r="X36" s="13"/>
      <c r="Y36" s="59" t="str">
        <f>IF(OR([1]!hks_fa_eps_basic($D2,DATE(IF(MONTH(Y25)&gt;=6,YEAR(Y25)-1,YEAR(Y25)-2),12,31),"Cur="&amp;$F$14)&gt;=10,[1]!hks_fa_eps_basic($D2,DATE(IF(MONTH(Y25)&gt;=6,YEAR(Y25)-1,YEAR(Y25)-2),12,31),"Cur="&amp;$F$14)=0),"NA",[1]!hks_fa_eps_basic($D2,DATE(IF(MONTH(Y25)&gt;=6,YEAR(Y25)-1,YEAR(Y25)-2),12,31),"Cur="&amp;$F$14))</f>
        <v>NA</v>
      </c>
      <c r="Z36" s="54"/>
      <c r="AA36" s="59">
        <f>IF(OR([1]!hks_fa_eps_basic($D2,DATE(IF(MONTH(AA25)&gt;=6,YEAR(AA25)-1,YEAR(AA25)-2),12,31),"Cur="&amp;$F$14)&gt;=10,[1]!hks_fa_eps_basic($D2,DATE(IF(MONTH(AA25)&gt;=6,YEAR(AA25)-1,YEAR(AA25)-2),12,31),"Cur="&amp;$F$14)=0),"NA",[1]!hks_fa_eps_basic($D2,DATE(IF(MONTH(AA25)&gt;=6,YEAR(AA25)-1,YEAR(AA25)-2),12,31),"Cur="&amp;$F$14))</f>
        <v>3.31</v>
      </c>
      <c r="AB36" s="54"/>
      <c r="AC36" s="59">
        <f>IF(OR([1]!hks_fa_eps_basic($D2,DATE(IF(MONTH(AC25)&gt;=6,YEAR(AC25)-1,YEAR(AC25)-2),12,31),"Cur="&amp;$F$14)&gt;=10,[1]!hks_fa_eps_basic($D2,DATE(IF(MONTH(AC25)&gt;=6,YEAR(AC25)-1,YEAR(AC25)-2),12,31),"Cur="&amp;$F$14)=0),"NA",[1]!hks_fa_eps_basic($D2,DATE(IF(MONTH(AC25)&gt;=6,YEAR(AC25)-1,YEAR(AC25)-2),12,31),"Cur="&amp;$F$14))</f>
        <v>5.67</v>
      </c>
      <c r="AD36" s="54"/>
      <c r="AE36" s="59">
        <f>IF(OR([1]!hks_fa_eps_basic($D2,DATE(IF(MONTH(AE25)&gt;=6,YEAR(AE25)-1,YEAR(AE25)-2),12,31),"Cur="&amp;$F$14)&gt;=10,[1]!hks_fa_eps_basic($D2,DATE(IF(MONTH(AE25)&gt;=6,YEAR(AE25)-1,YEAR(AE25)-2),12,31),"Cur="&amp;$F$14)=0),"NA",[1]!hks_fa_eps_basic($D2,DATE(IF(MONTH(AE25)&gt;=6,YEAR(AE25)-1,YEAR(AE25)-2),12,31),"Cur="&amp;$F$14))</f>
        <v>6.15</v>
      </c>
      <c r="AF36" s="54"/>
      <c r="AG36" s="59">
        <f>IF(OR([1]!hks_fa_eps_basic($D2,DATE(IF(MONTH(AG25)&gt;=6,YEAR(AG25)-1,YEAR(AG25)-2),12,31),"Cur="&amp;$F$14)&gt;=10,[1]!hks_fa_eps_basic($D2,DATE(IF(MONTH(AG25)&gt;=6,YEAR(AG25)-1,YEAR(AG25)-2),12,31),"Cur="&amp;$F$14)=0),"NA",[1]!hks_fa_eps_basic($D2,DATE(IF(MONTH(AG25)&gt;=6,YEAR(AG25)-1,YEAR(AG25)-2),12,31),"Cur="&amp;$F$14))</f>
        <v>6.16</v>
      </c>
      <c r="AH36" s="54"/>
      <c r="AI36" s="49"/>
    </row>
    <row r="37" spans="2:35" s="7" customFormat="1" ht="24.6" customHeight="1" x14ac:dyDescent="0.2">
      <c r="B37" s="49"/>
      <c r="C37" s="49"/>
      <c r="D37" s="49"/>
      <c r="E37" s="49"/>
      <c r="F37" s="49"/>
      <c r="G37" s="49"/>
      <c r="H37" s="112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20"/>
      <c r="W37" s="20" t="s">
        <v>69</v>
      </c>
      <c r="X37" s="20"/>
      <c r="Y37" s="64">
        <f>IF([1]!hks_fa_dps($D$2,IF(MONTH(Y25)&gt;=6,YEAR(Y25),YEAR(Y25)-1),"Cur="&amp;$F$14)=0,"NA",[1]!hks_fa_dps($D$2,IF(MONTH(Y25)&gt;=6,YEAR(Y25),YEAR(Y25)-1),"Cur="&amp;$F$14))</f>
        <v>2.6150000000000002</v>
      </c>
      <c r="Z37" s="57"/>
      <c r="AA37" s="64">
        <f>IF([1]!hks_fa_dps($D$2,IF(MONTH(AA25)&gt;=6,YEAR(AA25),YEAR(AA25)-1),"Cur="&amp;$F$14)=0,"NA",[1]!hks_fa_dps($D$2,IF(MONTH(AA25)&gt;=6,YEAR(AA25),YEAR(AA25)-1),"Cur="&amp;$F$14))</f>
        <v>0.86499999999999999</v>
      </c>
      <c r="AB37" s="57"/>
      <c r="AC37" s="64">
        <f>IF([1]!hks_fa_dps($D$2,IF(MONTH(AC25)&gt;=6,YEAR(AC25),YEAR(AC25)-1),"Cur="&amp;$F$14)=0,"NA",[1]!hks_fa_dps($D$2,IF(MONTH(AC25)&gt;=6,YEAR(AC25),YEAR(AC25)-1),"Cur="&amp;$F$14))</f>
        <v>0.91</v>
      </c>
      <c r="AD37" s="57"/>
      <c r="AE37" s="64">
        <f>IF([1]!hks_fa_dps($D$2,IF(MONTH(AE25)&gt;=6,YEAR(AE25),YEAR(AE25)-1),"Cur="&amp;$F$14)=0,"NA",[1]!hks_fa_dps($D$2,IF(MONTH(AE25)&gt;=6,YEAR(AE25),YEAR(AE25)-1),"Cur="&amp;$F$14))</f>
        <v>0.95</v>
      </c>
      <c r="AF37" s="57"/>
      <c r="AG37" s="64">
        <f>IF([1]!hks_fa_dps($D$2,IF(MONTH(AG25)&gt;=6,YEAR(AG25),YEAR(AG25)-1),"Cur="&amp;$F$14)=0,"NA",[1]!hks_fa_dps($D$2,IF(MONTH(AG25)&gt;=6,YEAR(AG25),YEAR(AG25)-1),"Cur="&amp;$F$14))</f>
        <v>0.24</v>
      </c>
      <c r="AH37" s="57"/>
      <c r="AI37" s="49"/>
    </row>
    <row r="38" spans="2:35" s="7" customFormat="1" ht="24.6" customHeight="1" thickBot="1" x14ac:dyDescent="0.25">
      <c r="B38" s="49"/>
      <c r="C38" s="51" t="s">
        <v>105</v>
      </c>
      <c r="D38" s="51"/>
      <c r="E38" s="51"/>
      <c r="F38" s="51"/>
      <c r="G38" s="51"/>
      <c r="H38" s="120"/>
      <c r="I38" s="51" t="s">
        <v>205</v>
      </c>
      <c r="J38" s="51"/>
      <c r="K38" s="51"/>
      <c r="L38" s="51"/>
      <c r="M38" s="51"/>
      <c r="N38" s="51"/>
      <c r="O38" s="51"/>
      <c r="P38" s="51"/>
      <c r="Q38" s="49"/>
      <c r="R38" s="49"/>
      <c r="S38" s="49"/>
      <c r="T38" s="49"/>
      <c r="U38" s="49"/>
      <c r="V38" s="83"/>
      <c r="W38" s="83" t="s">
        <v>71</v>
      </c>
      <c r="X38" s="83"/>
      <c r="Y38" s="77" t="str">
        <f>IFERROR(ROUND(Y37/Y36*100,1)/100,"NA")</f>
        <v>NA</v>
      </c>
      <c r="Z38" s="126"/>
      <c r="AA38" s="77">
        <f>IFERROR(ROUND(AA37/AA36*100,1)/100,"NA")</f>
        <v>0.26100000000000001</v>
      </c>
      <c r="AB38" s="126"/>
      <c r="AC38" s="77">
        <f>IFERROR(ROUND(AC37/AC36*100,1)/100,"NA")</f>
        <v>0.16</v>
      </c>
      <c r="AD38" s="126"/>
      <c r="AE38" s="77">
        <f>IFERROR(ROUND(AE37/AE36*100,1)/100,"NA")</f>
        <v>0.154</v>
      </c>
      <c r="AF38" s="126"/>
      <c r="AG38" s="77">
        <f>IFERROR(ROUND(AG37/AG36*100,1)/100,"NA")</f>
        <v>3.9E-2</v>
      </c>
      <c r="AH38" s="126"/>
      <c r="AI38" s="49"/>
    </row>
    <row r="39" spans="2:35" s="7" customFormat="1" ht="24.6" customHeight="1" x14ac:dyDescent="0.2">
      <c r="B39" s="49"/>
      <c r="C39" s="53" t="s">
        <v>67</v>
      </c>
      <c r="D39" s="13"/>
      <c r="E39" s="58"/>
      <c r="F39" s="97" t="str">
        <f>IFERROR(POWER(P9/L9,1/2)-1,"")</f>
        <v/>
      </c>
      <c r="G39" s="49"/>
      <c r="H39" s="120"/>
      <c r="I39" s="13"/>
      <c r="J39" s="54" t="s">
        <v>16</v>
      </c>
      <c r="K39" s="54"/>
      <c r="L39" s="54" t="s">
        <v>18</v>
      </c>
      <c r="M39" s="54"/>
      <c r="N39" s="54" t="s">
        <v>19</v>
      </c>
      <c r="O39" s="54"/>
      <c r="P39" s="54" t="s">
        <v>20</v>
      </c>
      <c r="Q39" s="49"/>
      <c r="R39" s="49"/>
      <c r="S39" s="49"/>
      <c r="T39" s="155"/>
      <c r="U39" s="49"/>
      <c r="V39" s="49"/>
      <c r="W39" s="49"/>
      <c r="X39" s="49"/>
      <c r="Y39" s="49"/>
      <c r="Z39" s="58"/>
      <c r="AA39" s="49"/>
      <c r="AB39" s="58"/>
      <c r="AC39" s="49"/>
      <c r="AD39" s="58"/>
      <c r="AE39" s="49"/>
      <c r="AF39" s="58"/>
      <c r="AG39" s="49"/>
      <c r="AH39" s="58"/>
      <c r="AI39" s="49"/>
    </row>
    <row r="40" spans="2:35" s="7" customFormat="1" ht="24.6" customHeight="1" x14ac:dyDescent="0.2">
      <c r="B40" s="49"/>
      <c r="C40" s="56" t="s">
        <v>169</v>
      </c>
      <c r="D40" s="20"/>
      <c r="E40" s="64"/>
      <c r="F40" s="75" t="str">
        <f>IFERROR(POWER(P16/L16,1/2)-1,"")</f>
        <v/>
      </c>
      <c r="G40" s="70"/>
      <c r="H40" s="120"/>
      <c r="I40" s="20"/>
      <c r="J40" s="57" t="str">
        <f>YEAR(L7)&amp;"A"</f>
        <v>2024A</v>
      </c>
      <c r="K40" s="57"/>
      <c r="L40" s="57" t="str">
        <f>YEAR(N7)&amp;"E"</f>
        <v>2025E</v>
      </c>
      <c r="M40" s="57"/>
      <c r="N40" s="57" t="str">
        <f>YEAR(P7)&amp;"E"</f>
        <v>2026E</v>
      </c>
      <c r="O40" s="57"/>
      <c r="P40" s="57" t="str">
        <f>YEAR(R7)&amp;"E"</f>
        <v>2027E</v>
      </c>
      <c r="Q40" s="49"/>
      <c r="R40" s="49"/>
      <c r="S40" s="49"/>
      <c r="T40" s="155"/>
      <c r="U40" s="49"/>
      <c r="V40" s="51" t="s">
        <v>74</v>
      </c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49"/>
    </row>
    <row r="41" spans="2:35" s="7" customFormat="1" ht="24.6" customHeight="1" x14ac:dyDescent="0.2">
      <c r="B41" s="49"/>
      <c r="C41" s="53" t="s">
        <v>70</v>
      </c>
      <c r="D41" s="13"/>
      <c r="E41" s="59"/>
      <c r="F41" s="97" t="str">
        <f>IFERROR(POWER(P15/L15,1/2)-1,"")</f>
        <v/>
      </c>
      <c r="G41" s="49"/>
      <c r="H41" s="120"/>
      <c r="I41" s="53" t="s">
        <v>46</v>
      </c>
      <c r="J41" s="86" t="str">
        <f>IFERROR(ROUND($F$13/HLOOKUP(J23,$I$23:$P$36,5,0),1),"  NA")</f>
        <v xml:space="preserve">  NA</v>
      </c>
      <c r="K41" s="58"/>
      <c r="L41" s="86" t="str">
        <f>IFERROR(ROUND($F$13/HLOOKUP(L23,$I$23:$P$36,5,0),1),"  NA")</f>
        <v xml:space="preserve">  NA</v>
      </c>
      <c r="M41" s="58"/>
      <c r="N41" s="86" t="str">
        <f>IFERROR(ROUND($F$13/HLOOKUP(N23,$I$23:$P$36,5,0),1),"  NA")</f>
        <v xml:space="preserve">  NA</v>
      </c>
      <c r="O41" s="58"/>
      <c r="P41" s="86" t="str">
        <f>IFERROR(ROUND($F$13/HLOOKUP(P23,$I$23:$P$36,5,0),1),"  NA")</f>
        <v xml:space="preserve">  NA</v>
      </c>
      <c r="Q41" s="49"/>
      <c r="R41" s="157"/>
      <c r="S41" s="49"/>
      <c r="T41" s="49"/>
      <c r="U41" s="49"/>
      <c r="V41" s="98" t="s">
        <v>3</v>
      </c>
      <c r="W41" s="98" t="s">
        <v>4</v>
      </c>
      <c r="X41" s="99" t="s">
        <v>76</v>
      </c>
      <c r="Y41" s="99" t="s">
        <v>168</v>
      </c>
      <c r="Z41" s="99"/>
      <c r="AA41" s="99" t="s">
        <v>5</v>
      </c>
      <c r="AB41" s="99"/>
      <c r="AC41" s="99" t="s">
        <v>77</v>
      </c>
      <c r="AD41" s="99"/>
      <c r="AE41" s="99" t="s">
        <v>167</v>
      </c>
      <c r="AF41" s="99"/>
      <c r="AG41" s="99" t="s">
        <v>166</v>
      </c>
      <c r="AH41" s="98"/>
      <c r="AI41" s="49"/>
    </row>
    <row r="42" spans="2:35" s="7" customFormat="1" ht="24.6" customHeight="1" x14ac:dyDescent="0.2">
      <c r="B42" s="49"/>
      <c r="C42" s="56" t="s">
        <v>72</v>
      </c>
      <c r="D42" s="20"/>
      <c r="E42" s="64"/>
      <c r="F42" s="75" t="str">
        <f>IFERROR(POWER(P18/L18,1/2)-1,"")</f>
        <v/>
      </c>
      <c r="G42" s="70"/>
      <c r="H42" s="49"/>
      <c r="I42" s="56" t="s">
        <v>48</v>
      </c>
      <c r="J42" s="87" t="str">
        <f>IFERROR(ROUND($F$13/HLOOKUP(J23,$I$23:$P$36,4,0),2),"  NA")</f>
        <v xml:space="preserve">  NA</v>
      </c>
      <c r="K42" s="63"/>
      <c r="L42" s="87" t="str">
        <f>IFERROR(ROUND($F$13/HLOOKUP(L23,$I$23:$P$36,4,0),2),"  NA")</f>
        <v xml:space="preserve">  NA</v>
      </c>
      <c r="M42" s="63"/>
      <c r="N42" s="87" t="str">
        <f>IFERROR(ROUND($F$13/HLOOKUP(N23,$I$23:$P$36,4,0),2),"  NA")</f>
        <v xml:space="preserve">  NA</v>
      </c>
      <c r="O42" s="63"/>
      <c r="P42" s="87" t="str">
        <f>IFERROR(ROUND($F$13/HLOOKUP(P23,$I$23:$P$36,4,0),2),"  NA")</f>
        <v xml:space="preserve">  NA</v>
      </c>
      <c r="Q42" s="49"/>
      <c r="R42" s="155"/>
      <c r="S42" s="49"/>
      <c r="T42" s="49"/>
      <c r="U42" s="49"/>
      <c r="V42" s="100" t="str">
        <f>D2</f>
        <v>AAPL.O</v>
      </c>
      <c r="W42" s="101" t="str">
        <f>[1]!S_Info_Name(V42)</f>
        <v>苹果(APPLE)</v>
      </c>
      <c r="X42" s="65">
        <f>[1]!s_share_issuing_mkt(V42,Y42,10000)</f>
        <v>1544188.1</v>
      </c>
      <c r="Y42" s="102" t="str">
        <f>[1]!lastradeday_s(V42,F$2)</f>
        <v>2024-04-25</v>
      </c>
      <c r="Z42" s="102"/>
      <c r="AA42" s="71">
        <f>[1]!S_DQ_CLOSE(V42,Y42,1)</f>
        <v>169.89</v>
      </c>
      <c r="AB42" s="71"/>
      <c r="AC42" s="71" t="str">
        <f>[1]!hks_info_tradecur(V42)</f>
        <v>USD</v>
      </c>
      <c r="AD42" s="71"/>
      <c r="AE42" s="71">
        <f>IF([1]!hks_info_tradecur(V42)="CNY",1,[1]!S_DQ_CLOSE([1]!hks_info_tradecur(V42)&amp;"CNY.EX",Y42,1))</f>
        <v>7.1058000000000003</v>
      </c>
      <c r="AF42" s="71"/>
      <c r="AG42" s="91">
        <f>X42*AA42*AE42/10000</f>
        <v>186415.06100684922</v>
      </c>
      <c r="AH42" s="100"/>
      <c r="AI42" s="49"/>
    </row>
    <row r="43" spans="2:35" s="7" customFormat="1" ht="24.6" customHeight="1" x14ac:dyDescent="0.2">
      <c r="B43" s="49"/>
      <c r="C43" s="53" t="s">
        <v>73</v>
      </c>
      <c r="D43" s="13"/>
      <c r="E43" s="59"/>
      <c r="F43" s="97" t="str">
        <f>IFERROR(POWER(P10/L10,1/2)-1,"")</f>
        <v/>
      </c>
      <c r="G43" s="49"/>
      <c r="H43" s="49"/>
      <c r="I43" s="53" t="s">
        <v>53</v>
      </c>
      <c r="J43" s="127" t="str">
        <f>IFERROR(HLOOKUP(J23,$I$23:$P$36,6,0)/$F$13,"NA")</f>
        <v>NA</v>
      </c>
      <c r="K43" s="127"/>
      <c r="L43" s="127" t="str">
        <f>IFERROR(HLOOKUP(L23,$I$23:$P$36,6,0)/$F$13,"NA")</f>
        <v>NA</v>
      </c>
      <c r="M43" s="127"/>
      <c r="N43" s="127" t="str">
        <f>IFERROR(HLOOKUP(N23,$I$23:$P$36,6,0)/$F$13,"NA")</f>
        <v>NA</v>
      </c>
      <c r="O43" s="58"/>
      <c r="P43" s="127" t="str">
        <f>IFERROR(HLOOKUP(P23,$I$23:$P$36,6,0)/$F$13,"NA")</f>
        <v>NA</v>
      </c>
      <c r="Q43" s="49"/>
      <c r="R43" s="49"/>
      <c r="S43" s="49"/>
      <c r="T43" s="49"/>
      <c r="U43" s="49"/>
      <c r="V43" s="103">
        <f>[1]!s_info_asharewindcode(D2)</f>
        <v>0</v>
      </c>
      <c r="W43" s="103">
        <f>[1]!S_Info_Name(V43)</f>
        <v>0</v>
      </c>
      <c r="X43" s="60">
        <f>[1]!s_share_issuing_mkt(V43,Y43,10000)</f>
        <v>0</v>
      </c>
      <c r="Y43" s="104">
        <f>[1]!lastradeday_s(V43,F$2)</f>
        <v>0</v>
      </c>
      <c r="Z43" s="104"/>
      <c r="AA43" s="73">
        <f>[1]!S_DQ_CLOSE(V43,Y43,1)</f>
        <v>0</v>
      </c>
      <c r="AB43" s="73"/>
      <c r="AC43" s="73">
        <f>[1]!hks_info_tradecur(V43)</f>
        <v>0</v>
      </c>
      <c r="AD43" s="73"/>
      <c r="AE43" s="73">
        <f>IF([1]!hks_info_tradecur(V43)="CNY",1,[1]!S_DQ_CLOSE([1]!hks_info_tradecur(V43)&amp;"CNY.EX",Y43,1))</f>
        <v>0</v>
      </c>
      <c r="AF43" s="73"/>
      <c r="AG43" s="92">
        <f>X43*AA43*AE43/10000</f>
        <v>0</v>
      </c>
      <c r="AH43" s="103"/>
      <c r="AI43" s="49"/>
    </row>
    <row r="44" spans="2:35" s="7" customFormat="1" ht="24.6" customHeight="1" x14ac:dyDescent="0.2">
      <c r="B44" s="49"/>
      <c r="C44" s="56" t="s">
        <v>75</v>
      </c>
      <c r="D44" s="20"/>
      <c r="E44" s="64"/>
      <c r="F44" s="75">
        <f>IFERROR(POWER(P11/L11,1/2)-1,"")</f>
        <v>1.0936411663256274</v>
      </c>
      <c r="G44" s="70"/>
      <c r="H44" s="49"/>
      <c r="I44" s="56" t="s">
        <v>30</v>
      </c>
      <c r="J44" s="90" t="str">
        <f>IFERROR(HLOOKUP(J23,$I$23:$P$36,7,0),"NA")</f>
        <v>NA</v>
      </c>
      <c r="K44" s="63"/>
      <c r="L44" s="90" t="str">
        <f>IFERROR(HLOOKUP(L23,$I$23:$P$36,7,0),"NA")</f>
        <v>NA</v>
      </c>
      <c r="M44" s="63"/>
      <c r="N44" s="90" t="str">
        <f>IFERROR(HLOOKUP(N23,$I$23:$P$36,7,0),"NA")</f>
        <v>NA</v>
      </c>
      <c r="O44" s="63"/>
      <c r="P44" s="90" t="str">
        <f>IFERROR(HLOOKUP(P23,$I$23:$P$36,7,0),"NA")</f>
        <v>NA</v>
      </c>
      <c r="Q44" s="49"/>
      <c r="R44" s="158"/>
      <c r="S44" s="49"/>
      <c r="T44" s="49"/>
      <c r="U44" s="49"/>
      <c r="V44" s="101"/>
      <c r="W44" s="101">
        <f>[1]!S_Info_Name(V44)</f>
        <v>0</v>
      </c>
      <c r="X44" s="65">
        <f>[1]!s_share_issuing_mkt(V44,Y44,10000)</f>
        <v>0</v>
      </c>
      <c r="Y44" s="102">
        <f>[1]!lastradeday_s(V44,F$2)</f>
        <v>0</v>
      </c>
      <c r="Z44" s="102"/>
      <c r="AA44" s="71">
        <f>[1]!S_DQ_CLOSE(V44,Y44,1)</f>
        <v>0</v>
      </c>
      <c r="AB44" s="71"/>
      <c r="AC44" s="71">
        <f>[1]!hks_info_tradecur(V44)</f>
        <v>0</v>
      </c>
      <c r="AD44" s="71"/>
      <c r="AE44" s="71">
        <f>IF([1]!hks_info_tradecur(V44)="CNY",1,[1]!S_DQ_CLOSE([1]!hks_info_tradecur(V44)&amp;"CNY.EX",Y44,1))</f>
        <v>0</v>
      </c>
      <c r="AF44" s="71"/>
      <c r="AG44" s="91">
        <f>X44*AA44*AE44/10000</f>
        <v>0</v>
      </c>
      <c r="AH44" s="101"/>
      <c r="AI44" s="49"/>
    </row>
    <row r="45" spans="2:35" s="7" customFormat="1" ht="24.6" customHeight="1" x14ac:dyDescent="0.2">
      <c r="B45" s="49"/>
      <c r="C45" s="53" t="s">
        <v>78</v>
      </c>
      <c r="D45" s="13"/>
      <c r="E45" s="58"/>
      <c r="F45" s="97" t="str">
        <f>IFERROR(POWER(P14/L14,1/2)-1,"")</f>
        <v/>
      </c>
      <c r="G45" s="49"/>
      <c r="H45" s="49"/>
      <c r="I45" s="53" t="s">
        <v>32</v>
      </c>
      <c r="J45" s="79" t="str">
        <f>IFERROR(HLOOKUP(J23,$I$23:$P$36,8,0),"NA")</f>
        <v>NA</v>
      </c>
      <c r="K45" s="58"/>
      <c r="L45" s="79" t="str">
        <f>IFERROR(HLOOKUP(L23,$I$23:$P$36,8,0),"NA")</f>
        <v>NA</v>
      </c>
      <c r="M45" s="58"/>
      <c r="N45" s="79" t="str">
        <f>IFERROR(HLOOKUP(N23,$I$23:$P$36,8,0),"NA")</f>
        <v>NA</v>
      </c>
      <c r="O45" s="58"/>
      <c r="P45" s="79" t="str">
        <f>IFERROR(HLOOKUP(P23,$I$23:$P$36,8,0),"NA")</f>
        <v>NA</v>
      </c>
      <c r="Q45" s="49"/>
      <c r="R45" s="49"/>
      <c r="S45" s="49"/>
      <c r="T45" s="49"/>
      <c r="U45" s="49"/>
      <c r="V45" s="103"/>
      <c r="W45" s="103">
        <f>[1]!S_Info_Name(V45)</f>
        <v>0</v>
      </c>
      <c r="X45" s="60">
        <f>[1]!s_share_issuing_mkt(V45,Y45,10000)</f>
        <v>0</v>
      </c>
      <c r="Y45" s="104">
        <f>[1]!lastradeday_s(V45,F$2)</f>
        <v>0</v>
      </c>
      <c r="Z45" s="104"/>
      <c r="AA45" s="73">
        <f>[1]!S_DQ_CLOSE(V45,Y45,1)</f>
        <v>0</v>
      </c>
      <c r="AB45" s="73"/>
      <c r="AC45" s="73">
        <f>[1]!hks_info_tradecur(V45)</f>
        <v>0</v>
      </c>
      <c r="AD45" s="73"/>
      <c r="AE45" s="73">
        <f>IF([1]!hks_info_tradecur(V45)="CNY",1,[1]!S_DQ_CLOSE([1]!hks_info_tradecur(V45)&amp;"CNY.EX",Y45,1))</f>
        <v>0</v>
      </c>
      <c r="AF45" s="73"/>
      <c r="AG45" s="92">
        <f>X45*AA45*AE45/10000</f>
        <v>0</v>
      </c>
      <c r="AH45" s="103"/>
      <c r="AI45" s="49"/>
    </row>
    <row r="46" spans="2:35" s="7" customFormat="1" ht="24.6" customHeight="1" thickBot="1" x14ac:dyDescent="0.25">
      <c r="B46" s="49"/>
      <c r="C46" s="61" t="s">
        <v>215</v>
      </c>
      <c r="D46" s="62"/>
      <c r="E46" s="94"/>
      <c r="F46" s="128" t="str">
        <f>IFERROR(POWER(P19/L19,1/2)-1,"")</f>
        <v/>
      </c>
      <c r="G46" s="94"/>
      <c r="H46" s="49"/>
      <c r="I46" s="56" t="s">
        <v>34</v>
      </c>
      <c r="J46" s="91" t="str">
        <f>IFERROR(ROUND(HLOOKUP(J23,$I$23:$P$36,9,0),2),"NA")</f>
        <v>NA</v>
      </c>
      <c r="K46" s="64"/>
      <c r="L46" s="91" t="str">
        <f>IFERROR(ROUND(HLOOKUP(L23,$I$23:$P$36,9,0),2),"NA")</f>
        <v>NA</v>
      </c>
      <c r="M46" s="64"/>
      <c r="N46" s="91" t="str">
        <f>IFERROR(ROUND(HLOOKUP(N23,$I$23:$P$36,9,0),2),"NA")</f>
        <v>NA</v>
      </c>
      <c r="O46" s="64"/>
      <c r="P46" s="91" t="str">
        <f>IFERROR(ROUND(HLOOKUP(P23,$I$23:$P$36,9,0),2),"NA")</f>
        <v>NA</v>
      </c>
      <c r="Q46" s="49"/>
      <c r="R46" s="49"/>
      <c r="S46" s="49"/>
      <c r="T46" s="49"/>
      <c r="U46" s="49"/>
      <c r="V46" s="107"/>
      <c r="W46" s="108" t="s">
        <v>79</v>
      </c>
      <c r="X46" s="109">
        <f>SUM(X42:X45)</f>
        <v>1544188.1</v>
      </c>
      <c r="Y46" s="94"/>
      <c r="Z46" s="94"/>
      <c r="AA46" s="94"/>
      <c r="AB46" s="94"/>
      <c r="AC46" s="94"/>
      <c r="AD46" s="94"/>
      <c r="AE46" s="109" t="s">
        <v>79</v>
      </c>
      <c r="AF46" s="110"/>
      <c r="AG46" s="140">
        <f>SUM(AG42:AG45)</f>
        <v>186415.06100684922</v>
      </c>
      <c r="AH46" s="107"/>
      <c r="AI46" s="49"/>
    </row>
    <row r="47" spans="2:35" s="7" customFormat="1" ht="24.6" customHeight="1" x14ac:dyDescent="0.2">
      <c r="B47" s="49"/>
      <c r="C47" s="49"/>
      <c r="D47" s="129"/>
      <c r="E47" s="49"/>
      <c r="F47" s="49"/>
      <c r="G47" s="129"/>
      <c r="H47" s="49"/>
      <c r="I47" s="53" t="s">
        <v>35</v>
      </c>
      <c r="J47" s="92" t="str">
        <f>IFERROR(ROUND(HLOOKUP(J23,$I$23:$P$36,10,0),2),"NA")</f>
        <v>NA</v>
      </c>
      <c r="K47" s="59"/>
      <c r="L47" s="92" t="str">
        <f>IFERROR(ROUND(HLOOKUP(L23,$I$23:$P$36,10,0),2),"NA")</f>
        <v>NA</v>
      </c>
      <c r="M47" s="59"/>
      <c r="N47" s="92" t="str">
        <f>IFERROR(ROUND(HLOOKUP(N23,$I$23:$P$36,10,0),2),"NA")</f>
        <v>NA</v>
      </c>
      <c r="O47" s="59"/>
      <c r="P47" s="92" t="str">
        <f>IFERROR(ROUND(HLOOKUP(P23,$I$23:$P$36,10,0),2),"NA")</f>
        <v>NA</v>
      </c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130"/>
      <c r="AI47" s="49"/>
    </row>
    <row r="48" spans="2:35" s="7" customFormat="1" ht="24.6" customHeight="1" x14ac:dyDescent="0.2">
      <c r="B48" s="49"/>
      <c r="C48" s="129"/>
      <c r="D48" s="49"/>
      <c r="E48" s="49"/>
      <c r="F48" s="160"/>
      <c r="G48" s="49"/>
      <c r="H48" s="49"/>
      <c r="I48" s="56" t="s">
        <v>36</v>
      </c>
      <c r="J48" s="91" t="str">
        <f>IFERROR(ROUND(HLOOKUP(J23,$I$23:$P$36,11,0),2),"NA")</f>
        <v>NA</v>
      </c>
      <c r="K48" s="64"/>
      <c r="L48" s="91" t="str">
        <f>IFERROR(ROUND(HLOOKUP(L23,$I$23:$P$36,11,0),2),"NA")</f>
        <v>NA</v>
      </c>
      <c r="M48" s="64"/>
      <c r="N48" s="91" t="str">
        <f>IFERROR(ROUND(HLOOKUP(N23,$I$23:$P$36,11,0),2),"NA")</f>
        <v>NA</v>
      </c>
      <c r="O48" s="64"/>
      <c r="P48" s="91" t="str">
        <f>IFERROR(ROUND(HLOOKUP(P23,$I$23:$P$36,11,0),2),"NA")</f>
        <v>NA</v>
      </c>
      <c r="Q48" s="49"/>
      <c r="R48" s="49"/>
      <c r="S48" s="49"/>
      <c r="T48" s="49"/>
      <c r="U48" s="49"/>
      <c r="V48" s="49"/>
      <c r="W48" s="49"/>
      <c r="X48" s="131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</row>
    <row r="49" spans="2:35" s="7" customFormat="1" ht="24.6" customHeight="1" x14ac:dyDescent="0.2">
      <c r="B49" s="49"/>
      <c r="C49" s="129"/>
      <c r="D49" s="49"/>
      <c r="E49" s="49"/>
      <c r="F49" s="129"/>
      <c r="G49" s="49"/>
      <c r="H49" s="49"/>
      <c r="I49" s="53" t="s">
        <v>38</v>
      </c>
      <c r="J49" s="92" t="str">
        <f>IFERROR(ROUND(HLOOKUP(J23,$I$23:$P$36,12,0),2),"NA")</f>
        <v>NA</v>
      </c>
      <c r="K49" s="59"/>
      <c r="L49" s="92" t="str">
        <f>IFERROR(ROUND(HLOOKUP(L23,$I$23:$P$36,12,0),2),"NA")</f>
        <v>NA</v>
      </c>
      <c r="M49" s="59"/>
      <c r="N49" s="92" t="str">
        <f>IFERROR(ROUND(HLOOKUP(N23,$I$23:$P$36,12,0),2),"NA")</f>
        <v>NA</v>
      </c>
      <c r="O49" s="59"/>
      <c r="P49" s="92" t="str">
        <f>IFERROR(ROUND(HLOOKUP(P23,$I$23:$P$36,12,0),2),"NA")</f>
        <v>NA</v>
      </c>
      <c r="Q49" s="49"/>
      <c r="R49" s="49"/>
      <c r="S49" s="49"/>
      <c r="T49" s="49"/>
      <c r="U49" s="49"/>
      <c r="V49" s="49"/>
      <c r="W49" s="49"/>
      <c r="X49" s="139"/>
      <c r="Y49" s="49"/>
      <c r="Z49" s="105"/>
      <c r="AA49" s="49"/>
      <c r="AB49" s="105"/>
      <c r="AC49" s="49"/>
      <c r="AD49" s="105"/>
      <c r="AE49" s="49"/>
      <c r="AF49" s="105"/>
      <c r="AG49" s="49"/>
      <c r="AH49" s="105"/>
      <c r="AI49" s="49"/>
    </row>
    <row r="50" spans="2:35" s="7" customFormat="1" ht="24.6" customHeight="1" x14ac:dyDescent="0.2">
      <c r="B50" s="49"/>
      <c r="C50" s="49"/>
      <c r="D50" s="49"/>
      <c r="E50" s="49"/>
      <c r="F50" s="49"/>
      <c r="G50" s="49"/>
      <c r="H50" s="49"/>
      <c r="I50" s="56" t="s">
        <v>39</v>
      </c>
      <c r="J50" s="91" t="str">
        <f>IFERROR(ROUND(HLOOKUP(J23,$I$23:$P$36,13,0),2),"NA")</f>
        <v>NA</v>
      </c>
      <c r="K50" s="64"/>
      <c r="L50" s="91" t="str">
        <f>IFERROR(ROUND(HLOOKUP(L23,$I$23:$P$36,13,0),2),"NA")</f>
        <v>NA</v>
      </c>
      <c r="M50" s="64"/>
      <c r="N50" s="91" t="str">
        <f>IFERROR(ROUND(HLOOKUP(N23,$I$23:$P$36,13,0),2),"NA")</f>
        <v>NA</v>
      </c>
      <c r="O50" s="64"/>
      <c r="P50" s="91" t="str">
        <f>IFERROR(ROUND(HLOOKUP(P23,$I$23:$P$36,13,0),2),"NA")</f>
        <v>NA</v>
      </c>
      <c r="Q50" s="49"/>
      <c r="R50" s="49"/>
      <c r="S50" s="49"/>
      <c r="T50" s="49"/>
      <c r="U50" s="49"/>
      <c r="V50" s="49"/>
      <c r="W50" s="49"/>
      <c r="X50" s="49"/>
      <c r="Y50" s="49"/>
      <c r="Z50" s="105"/>
      <c r="AA50" s="49"/>
      <c r="AB50" s="105"/>
      <c r="AC50" s="49"/>
      <c r="AD50" s="105"/>
      <c r="AE50" s="49"/>
      <c r="AF50" s="105"/>
      <c r="AG50" s="49"/>
      <c r="AH50" s="105"/>
      <c r="AI50" s="49"/>
    </row>
    <row r="51" spans="2:35" s="7" customFormat="1" ht="24.6" customHeight="1" thickBot="1" x14ac:dyDescent="0.25">
      <c r="B51" s="49"/>
      <c r="C51" s="129"/>
      <c r="D51" s="49"/>
      <c r="E51" s="49"/>
      <c r="F51" s="129"/>
      <c r="G51" s="49"/>
      <c r="H51" s="49"/>
      <c r="I51" s="76" t="s">
        <v>42</v>
      </c>
      <c r="J51" s="132" t="str">
        <f>IFERROR(ROUND(HLOOKUP(J23,$I$23:$P$36,14,0),2),"NA")</f>
        <v>NA</v>
      </c>
      <c r="K51" s="77"/>
      <c r="L51" s="132" t="str">
        <f>IFERROR(ROUND(HLOOKUP(L23,$I$23:$P$36,14,0),2),"NA")</f>
        <v>NA</v>
      </c>
      <c r="M51" s="77"/>
      <c r="N51" s="132" t="str">
        <f>IFERROR(ROUND(HLOOKUP(N23,$I$23:$P$36,14,0),2),"NA")</f>
        <v>NA</v>
      </c>
      <c r="O51" s="77"/>
      <c r="P51" s="132" t="str">
        <f>IFERROR(ROUND(HLOOKUP(P23,$I$23:$P$36,14,0),2),"NA")</f>
        <v>NA</v>
      </c>
      <c r="Q51" s="49"/>
      <c r="R51" s="49"/>
      <c r="S51" s="49"/>
      <c r="T51" s="49"/>
      <c r="U51" s="49"/>
      <c r="V51" s="49"/>
      <c r="W51" s="49"/>
      <c r="X51" s="49"/>
      <c r="Y51" s="49"/>
      <c r="Z51" s="105"/>
      <c r="AA51" s="49"/>
      <c r="AB51" s="105"/>
      <c r="AC51" s="49"/>
      <c r="AD51" s="105"/>
      <c r="AE51" s="49"/>
      <c r="AF51" s="105"/>
      <c r="AG51" s="49"/>
      <c r="AH51" s="105"/>
      <c r="AI51" s="49"/>
    </row>
    <row r="52" spans="2:35" s="7" customFormat="1" ht="24.6" customHeight="1" x14ac:dyDescent="0.2">
      <c r="B52" s="49"/>
      <c r="C52" s="129"/>
      <c r="D52" s="49"/>
      <c r="E52" s="49"/>
      <c r="F52" s="12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155"/>
      <c r="W52" s="49"/>
      <c r="X52" s="49"/>
      <c r="Y52" s="49"/>
      <c r="Z52" s="105"/>
      <c r="AA52" s="49"/>
      <c r="AB52" s="105"/>
      <c r="AC52" s="49"/>
      <c r="AD52" s="105"/>
      <c r="AE52" s="49"/>
      <c r="AF52" s="105"/>
      <c r="AG52" s="49"/>
      <c r="AH52" s="105"/>
      <c r="AI52" s="49"/>
    </row>
    <row r="53" spans="2:35" s="7" customFormat="1" ht="24.6" customHeight="1" x14ac:dyDescent="0.2">
      <c r="B53" s="49"/>
      <c r="C53" s="49"/>
      <c r="D53" s="49"/>
      <c r="E53" s="49"/>
      <c r="F53" s="49"/>
      <c r="G53" s="49"/>
      <c r="H53" s="49"/>
      <c r="I53" s="51" t="s">
        <v>206</v>
      </c>
      <c r="J53" s="51"/>
      <c r="K53" s="51"/>
      <c r="L53" s="51"/>
      <c r="M53" s="51"/>
      <c r="N53" s="51"/>
      <c r="O53" s="51"/>
      <c r="P53" s="51"/>
      <c r="Q53" s="49"/>
      <c r="R53" s="49"/>
      <c r="S53" s="49"/>
      <c r="T53" s="155"/>
      <c r="U53" s="49"/>
      <c r="V53" s="49"/>
      <c r="W53" s="49"/>
      <c r="X53" s="49"/>
      <c r="Y53" s="49"/>
      <c r="Z53" s="105"/>
      <c r="AA53" s="49"/>
      <c r="AB53" s="105"/>
      <c r="AC53" s="49"/>
      <c r="AD53" s="105"/>
      <c r="AE53" s="49"/>
      <c r="AF53" s="105"/>
      <c r="AG53" s="49"/>
      <c r="AH53" s="105"/>
      <c r="AI53" s="49"/>
    </row>
    <row r="54" spans="2:35" s="7" customFormat="1" ht="24.6" customHeight="1" x14ac:dyDescent="0.2">
      <c r="B54" s="49"/>
      <c r="C54" s="129"/>
      <c r="D54" s="49"/>
      <c r="E54" s="49"/>
      <c r="F54" s="168"/>
      <c r="G54" s="49"/>
      <c r="H54" s="49"/>
      <c r="I54" s="13"/>
      <c r="J54" s="54" t="s">
        <v>16</v>
      </c>
      <c r="K54" s="54"/>
      <c r="L54" s="54" t="s">
        <v>18</v>
      </c>
      <c r="M54" s="54"/>
      <c r="N54" s="54" t="s">
        <v>19</v>
      </c>
      <c r="O54" s="54"/>
      <c r="P54" s="54" t="s">
        <v>20</v>
      </c>
      <c r="Q54" s="49"/>
      <c r="R54" s="49"/>
      <c r="S54" s="49"/>
      <c r="T54" s="49"/>
      <c r="U54" s="49"/>
      <c r="V54" s="49"/>
      <c r="W54" s="49"/>
      <c r="X54" s="49"/>
      <c r="Y54" s="49"/>
      <c r="Z54" s="105"/>
      <c r="AA54" s="49"/>
      <c r="AB54" s="105"/>
      <c r="AC54" s="49"/>
      <c r="AD54" s="105"/>
      <c r="AE54" s="49"/>
      <c r="AF54" s="105"/>
      <c r="AG54" s="49"/>
      <c r="AH54" s="105"/>
      <c r="AI54" s="49"/>
    </row>
    <row r="55" spans="2:35" s="7" customFormat="1" ht="24.6" customHeight="1" x14ac:dyDescent="0.2">
      <c r="B55" s="49"/>
      <c r="C55" s="129"/>
      <c r="D55" s="49"/>
      <c r="E55" s="49"/>
      <c r="F55" s="160"/>
      <c r="G55" s="49"/>
      <c r="H55" s="49"/>
      <c r="I55" s="20"/>
      <c r="J55" s="57" t="str">
        <f>YEAR(L7)&amp;"A"</f>
        <v>2024A</v>
      </c>
      <c r="K55" s="57"/>
      <c r="L55" s="57" t="str">
        <f>YEAR(N7)&amp;"E"</f>
        <v>2025E</v>
      </c>
      <c r="M55" s="57"/>
      <c r="N55" s="57" t="str">
        <f>YEAR(P7)&amp;"E"</f>
        <v>2026E</v>
      </c>
      <c r="O55" s="57"/>
      <c r="P55" s="57" t="str">
        <f>YEAR(R7)&amp;"E"</f>
        <v>2027E</v>
      </c>
      <c r="Q55" s="49"/>
      <c r="R55" s="49"/>
      <c r="S55" s="49"/>
      <c r="T55" s="156"/>
      <c r="U55" s="49"/>
      <c r="V55" s="156"/>
      <c r="W55" s="49"/>
      <c r="X55" s="49"/>
      <c r="Y55" s="49"/>
      <c r="Z55" s="105"/>
      <c r="AA55" s="49"/>
      <c r="AB55" s="105"/>
      <c r="AC55" s="49"/>
      <c r="AD55" s="105"/>
      <c r="AE55" s="49"/>
      <c r="AF55" s="105"/>
      <c r="AG55" s="49"/>
      <c r="AH55" s="105"/>
      <c r="AI55" s="49"/>
    </row>
    <row r="56" spans="2:35" s="7" customFormat="1" ht="24.6" customHeight="1" x14ac:dyDescent="0.2">
      <c r="B56" s="49"/>
      <c r="C56" s="49"/>
      <c r="D56" s="49"/>
      <c r="E56" s="49"/>
      <c r="F56" s="49"/>
      <c r="G56" s="49"/>
      <c r="H56" s="49"/>
      <c r="I56" s="53" t="s">
        <v>46</v>
      </c>
      <c r="J56" s="86" t="str">
        <f>IFERROR(ROUND($F$13/HLOOKUP(DATE(LEFT(J55,4),LEFT($F22,2)+1,0),$K$7:$R$19,4,0),2),"  NA")</f>
        <v xml:space="preserve">  NA</v>
      </c>
      <c r="K56" s="86"/>
      <c r="L56" s="86" t="str">
        <f t="shared" ref="L56:P56" si="5">IFERROR(ROUND($F$13/HLOOKUP(DATE(LEFT(L55,4),LEFT($F22,2)+1,0),$K$7:$R$19,4,0),2),"  NA")</f>
        <v xml:space="preserve">  NA</v>
      </c>
      <c r="M56" s="86"/>
      <c r="N56" s="86">
        <f>IFERROR(ROUND($F$13/HLOOKUP(DATE(LEFT(N55,4),LEFT($F22,2)+1,0),$K$7:$R$19,4,0),2),"  NA")</f>
        <v>21.76</v>
      </c>
      <c r="O56" s="86" t="str">
        <f t="shared" si="5"/>
        <v xml:space="preserve">  NA</v>
      </c>
      <c r="P56" s="86" t="str">
        <f t="shared" si="5"/>
        <v xml:space="preserve">  NA</v>
      </c>
      <c r="Q56" s="49"/>
      <c r="R56" s="49"/>
      <c r="S56" s="49"/>
      <c r="T56" s="156"/>
      <c r="U56" s="49"/>
      <c r="V56" s="49"/>
      <c r="W56" s="49"/>
      <c r="X56" s="49"/>
      <c r="Y56" s="49"/>
      <c r="Z56" s="105"/>
      <c r="AA56" s="49"/>
      <c r="AB56" s="105"/>
      <c r="AC56" s="49"/>
      <c r="AD56" s="105"/>
      <c r="AE56" s="49"/>
      <c r="AF56" s="105"/>
      <c r="AG56" s="49"/>
      <c r="AH56" s="105"/>
      <c r="AI56" s="49"/>
    </row>
    <row r="57" spans="2:35" s="7" customFormat="1" ht="24.6" customHeight="1" x14ac:dyDescent="0.2">
      <c r="B57" s="105"/>
      <c r="C57" s="49"/>
      <c r="D57" s="49"/>
      <c r="E57" s="111"/>
      <c r="F57" s="49"/>
      <c r="G57" s="49"/>
      <c r="H57" s="49"/>
      <c r="I57" s="56" t="s">
        <v>48</v>
      </c>
      <c r="J57" s="87" t="str">
        <f>IFERROR(ROUND($F$13/HLOOKUP(DATE(LEFT(J55,4),LEFT($F22,2)+1,0),$I$7:$R$19,3,0),2),"  NA")</f>
        <v xml:space="preserve">  NA</v>
      </c>
      <c r="K57" s="63"/>
      <c r="L57" s="87" t="str">
        <f>IFERROR(ROUND($F$13/HLOOKUP(DATE(LEFT(L55,4),LEFT($F22,2)+1,0),$K$7:$R$19,3,0),2),"  NA")</f>
        <v xml:space="preserve">  NA</v>
      </c>
      <c r="M57" s="63"/>
      <c r="N57" s="87">
        <f>IFERROR(ROUND($F$13/HLOOKUP(DATE(LEFT(N55,4),LEFT($F22,2)+1,0),$K$7:$R$19,3,0),2),"  NA")</f>
        <v>22.61</v>
      </c>
      <c r="O57" s="63"/>
      <c r="P57" s="87" t="str">
        <f>IFERROR(ROUND($F$13/HLOOKUP(DATE(LEFT(P55,4),LEFT($F22,2)+1,0),$K$7:$R$19,3,0),2),"  NA")</f>
        <v xml:space="preserve">  NA</v>
      </c>
      <c r="Q57" s="49"/>
      <c r="R57" s="49"/>
      <c r="S57" s="49"/>
      <c r="T57" s="49"/>
      <c r="U57" s="49"/>
      <c r="V57" s="49"/>
      <c r="W57" s="49"/>
      <c r="X57" s="49"/>
      <c r="Y57" s="49"/>
      <c r="Z57" s="105"/>
      <c r="AA57" s="49"/>
      <c r="AB57" s="105"/>
      <c r="AC57" s="49"/>
      <c r="AD57" s="105"/>
      <c r="AE57" s="49"/>
      <c r="AF57" s="105"/>
      <c r="AG57" s="49"/>
      <c r="AH57" s="105"/>
      <c r="AI57" s="49"/>
    </row>
    <row r="58" spans="2:35" s="7" customFormat="1" ht="24.6" customHeight="1" x14ac:dyDescent="0.2">
      <c r="B58" s="105"/>
      <c r="C58" s="49"/>
      <c r="D58" s="49"/>
      <c r="E58" s="111"/>
      <c r="F58" s="49"/>
      <c r="G58" s="49"/>
      <c r="H58" s="49"/>
      <c r="I58" s="53" t="s">
        <v>53</v>
      </c>
      <c r="J58" s="127">
        <f>IFERROR(HLOOKUP(DATE(LEFT(J55,4),LEFT($F22,2)+1,0),$L$7:$S$19,5,0)/$F$13,"NA")</f>
        <v>1.4126787921596327E-3</v>
      </c>
      <c r="K58" s="127"/>
      <c r="L58" s="127" t="str">
        <f>IFERROR(HLOOKUP(DATE(LEFT(L55,4),LEFT($F22,2)+1,0),$L$7:$S$19,5,0)/$F$13,"NA")</f>
        <v>NA</v>
      </c>
      <c r="M58" s="127"/>
      <c r="N58" s="127">
        <f>IFERROR(HLOOKUP(DATE(LEFT(N55,4),LEFT($F22,2)+1,0),$L$7:$S$19,5,0)/$F$13,"NA")</f>
        <v>6.1922420389663906E-3</v>
      </c>
      <c r="O58" s="58"/>
      <c r="P58" s="127" t="str">
        <f>IFERROR(HLOOKUP(DATE(LEFT(P55,4),LEFT($F22,2)+1,0),$L$7:$S$19,5,0)/$F$13,"NA")</f>
        <v>NA</v>
      </c>
      <c r="Q58" s="49"/>
      <c r="R58" s="49"/>
      <c r="S58" s="49"/>
      <c r="T58" s="49"/>
      <c r="U58" s="49"/>
      <c r="V58" s="49"/>
      <c r="W58" s="49"/>
      <c r="X58" s="49"/>
      <c r="Y58" s="49"/>
      <c r="Z58" s="105"/>
      <c r="AA58" s="49"/>
      <c r="AB58" s="105"/>
      <c r="AC58" s="49"/>
      <c r="AD58" s="105"/>
      <c r="AE58" s="49"/>
      <c r="AF58" s="105"/>
      <c r="AG58" s="49"/>
      <c r="AH58" s="105"/>
      <c r="AI58" s="49"/>
    </row>
    <row r="59" spans="2:35" s="7" customFormat="1" ht="24.6" customHeight="1" x14ac:dyDescent="0.2">
      <c r="B59" s="105"/>
      <c r="C59" s="49"/>
      <c r="D59" s="49"/>
      <c r="E59" s="105"/>
      <c r="F59" s="49"/>
      <c r="G59" s="49"/>
      <c r="H59" s="49"/>
      <c r="I59" s="56" t="s">
        <v>30</v>
      </c>
      <c r="J59" s="90">
        <f>IFERROR(HLOOKUP(DATE(LEFT(J55,4),LEFT($F22,2)+1,0),$L$7:$R$19,6,0),"NA")</f>
        <v>0</v>
      </c>
      <c r="K59" s="63"/>
      <c r="L59" s="90" t="str">
        <f>IFERROR(HLOOKUP(DATE(LEFT(L55,4),LEFT($F22,2)+1,0),$L$7:$R$19,6,0),"NA")</f>
        <v>NA</v>
      </c>
      <c r="M59" s="63"/>
      <c r="N59" s="90">
        <f>IFERROR(HLOOKUP(DATE(LEFT(N55,4),LEFT($F22,2)+1,0),$L$7:$R$19,6,0),"NA")</f>
        <v>0.90974999999999995</v>
      </c>
      <c r="O59" s="63"/>
      <c r="P59" s="90" t="str">
        <f>IFERROR(HLOOKUP(DATE(LEFT(P55,4),LEFT($F22,2)+1,0),$L$7:$R$19,6,0),"NA")</f>
        <v>NA</v>
      </c>
      <c r="Q59" s="49"/>
      <c r="R59" s="49"/>
      <c r="S59" s="49"/>
      <c r="T59" s="49"/>
      <c r="U59" s="49"/>
      <c r="V59" s="49"/>
      <c r="W59" s="49"/>
      <c r="X59" s="49"/>
      <c r="Y59" s="49"/>
      <c r="Z59" s="105"/>
      <c r="AA59" s="49"/>
      <c r="AB59" s="105"/>
      <c r="AC59" s="49"/>
      <c r="AD59" s="105"/>
      <c r="AE59" s="49"/>
      <c r="AF59" s="105"/>
      <c r="AG59" s="49"/>
      <c r="AH59" s="105"/>
      <c r="AI59" s="49"/>
    </row>
    <row r="60" spans="2:35" s="7" customFormat="1" ht="24.6" customHeight="1" x14ac:dyDescent="0.2">
      <c r="B60" s="105"/>
      <c r="C60" s="49"/>
      <c r="D60" s="49"/>
      <c r="E60" s="105"/>
      <c r="F60" s="49"/>
      <c r="G60" s="133"/>
      <c r="H60" s="49"/>
      <c r="I60" s="53" t="s">
        <v>32</v>
      </c>
      <c r="J60" s="79">
        <f>IFERROR(HLOOKUP(DATE(LEFT(J55,4),LEFT($F22,2)+1,0),$L$7:$S$19,7,0),"NA")</f>
        <v>0</v>
      </c>
      <c r="K60" s="58"/>
      <c r="L60" s="79" t="str">
        <f>IFERROR(HLOOKUP(DATE(LEFT(L55,4),LEFT($F22,2)+1,0),$L$7:$S$19,7,0),"NA")</f>
        <v>NA</v>
      </c>
      <c r="M60" s="58"/>
      <c r="N60" s="79">
        <f>IFERROR(HLOOKUP(DATE(LEFT(N55,4),LEFT($F22,2)+1,0),$L$7:$S$19,7,0),"NA")</f>
        <v>0.23300000000000001</v>
      </c>
      <c r="O60" s="58"/>
      <c r="P60" s="79" t="str">
        <f>IFERROR(HLOOKUP(DATE(LEFT(P55,4),LEFT($F22,2)+1,0),$L$7:$S$19,7,0),"NA")</f>
        <v>NA</v>
      </c>
      <c r="Q60" s="49"/>
      <c r="R60" s="49"/>
      <c r="S60" s="49"/>
      <c r="T60" s="49"/>
      <c r="U60" s="49"/>
      <c r="V60" s="49"/>
      <c r="W60" s="49"/>
      <c r="X60" s="49"/>
      <c r="Y60" s="49"/>
      <c r="Z60" s="105"/>
      <c r="AA60" s="49"/>
      <c r="AB60" s="105"/>
      <c r="AC60" s="49"/>
      <c r="AD60" s="105"/>
      <c r="AE60" s="49"/>
      <c r="AF60" s="105"/>
      <c r="AG60" s="49"/>
      <c r="AH60" s="105"/>
      <c r="AI60" s="49"/>
    </row>
    <row r="61" spans="2:35" s="7" customFormat="1" ht="24.6" customHeight="1" x14ac:dyDescent="0.2">
      <c r="B61" s="105"/>
      <c r="C61" s="49"/>
      <c r="D61" s="49"/>
      <c r="E61" s="105"/>
      <c r="F61" s="49"/>
      <c r="G61" s="134"/>
      <c r="H61" s="49"/>
      <c r="I61" s="56" t="s">
        <v>34</v>
      </c>
      <c r="J61" s="91">
        <f>IFERROR(ROUND(HLOOKUP(DATE(LEFT(J40,4),LEFT($F22,2)+1,0),$K$7:$R$19,8,0),2),"NA")</f>
        <v>0</v>
      </c>
      <c r="K61" s="64"/>
      <c r="L61" s="91" t="str">
        <f>IFERROR(ROUND(HLOOKUP(DATE(LEFT(L40,4),LEFT($F22,2)+1,0),$K$7:$R$19,8,0),2),"NA")</f>
        <v>NA</v>
      </c>
      <c r="M61" s="64"/>
      <c r="N61" s="91">
        <f>IFERROR(ROUND(HLOOKUP(DATE(LEFT(N40,4),LEFT($F22,2)+1,0),$K$7:$R$19,8,0),2),"NA")</f>
        <v>1334.34</v>
      </c>
      <c r="O61" s="64"/>
      <c r="P61" s="91" t="str">
        <f>IFERROR(ROUND(HLOOKUP(DATE(LEFT(P40,4),LEFT($F22,2)+1,0),$K$7:$R$19,8,0),2),"NA")</f>
        <v>NA</v>
      </c>
      <c r="Q61" s="49"/>
      <c r="R61" s="49"/>
      <c r="S61" s="49"/>
      <c r="T61" s="49"/>
      <c r="U61" s="49"/>
      <c r="V61" s="49"/>
      <c r="W61" s="49"/>
      <c r="X61" s="49"/>
      <c r="Y61" s="49"/>
      <c r="Z61" s="105"/>
      <c r="AA61" s="49"/>
      <c r="AB61" s="105"/>
      <c r="AC61" s="49"/>
      <c r="AD61" s="105"/>
      <c r="AE61" s="49"/>
      <c r="AF61" s="105"/>
      <c r="AG61" s="49"/>
      <c r="AH61" s="105"/>
      <c r="AI61" s="49"/>
    </row>
    <row r="62" spans="2:35" s="7" customFormat="1" ht="24.6" customHeight="1" x14ac:dyDescent="0.2">
      <c r="B62" s="105"/>
      <c r="C62" s="49"/>
      <c r="D62" s="49"/>
      <c r="E62" s="105"/>
      <c r="F62" s="49"/>
      <c r="G62" s="134"/>
      <c r="H62" s="49"/>
      <c r="I62" s="53" t="s">
        <v>35</v>
      </c>
      <c r="J62" s="92">
        <f>IFERROR(ROUND(HLOOKUP(DATE(LEFT(J40,4),LEFT($F22,2)+1,0),$K$7:$R$19,9,0),2),"NA")</f>
        <v>0</v>
      </c>
      <c r="K62" s="59"/>
      <c r="L62" s="92" t="str">
        <f>IFERROR(ROUND(HLOOKUP(DATE(LEFT(L40,4),LEFT($F22,2)+1,0),$K$7:$R$19,9,0),2),"NA")</f>
        <v>NA</v>
      </c>
      <c r="M62" s="59"/>
      <c r="N62" s="92">
        <f>IFERROR(ROUND(HLOOKUP(DATE(LEFT(N40,4),LEFT($F22,2)+1,0),$K$7:$R$19,9,0),2),"NA")</f>
        <v>1456.95</v>
      </c>
      <c r="O62" s="59"/>
      <c r="P62" s="92" t="str">
        <f>IFERROR(ROUND(HLOOKUP(DATE(LEFT(P40,4),LEFT($F22,2)+1,0),$K$7:$R$19,9,0),2),"NA")</f>
        <v>NA</v>
      </c>
      <c r="Q62" s="49"/>
      <c r="R62" s="49"/>
      <c r="S62" s="49"/>
      <c r="T62" s="49"/>
      <c r="U62" s="49"/>
      <c r="V62" s="49"/>
      <c r="W62" s="49"/>
      <c r="X62" s="49"/>
      <c r="Y62" s="49"/>
      <c r="Z62" s="105"/>
      <c r="AA62" s="49"/>
      <c r="AB62" s="105"/>
      <c r="AC62" s="49"/>
      <c r="AD62" s="105"/>
      <c r="AE62" s="49"/>
      <c r="AF62" s="105"/>
      <c r="AG62" s="49"/>
      <c r="AH62" s="105"/>
      <c r="AI62" s="49"/>
    </row>
    <row r="63" spans="2:35" s="7" customFormat="1" ht="24.6" customHeight="1" x14ac:dyDescent="0.2">
      <c r="B63" s="105"/>
      <c r="C63" s="49"/>
      <c r="D63" s="49"/>
      <c r="E63" s="105"/>
      <c r="F63" s="49"/>
      <c r="G63" s="134"/>
      <c r="H63" s="49"/>
      <c r="I63" s="56" t="s">
        <v>36</v>
      </c>
      <c r="J63" s="91">
        <f>IFERROR(ROUND(HLOOKUP(DATE(LEFT(J40,4),LEFT($F22,2)+1,0),$L$7:$S$19,10,0),2),"NA")</f>
        <v>0</v>
      </c>
      <c r="K63" s="64"/>
      <c r="L63" s="91" t="str">
        <f>IFERROR(ROUND(HLOOKUP(DATE(LEFT(L40,4),LEFT($F22,2)+1,0),$L$7:$S$19,10,0),2),"NA")</f>
        <v>NA</v>
      </c>
      <c r="M63" s="64"/>
      <c r="N63" s="91">
        <f>IFERROR(ROUND(HLOOKUP(DATE(LEFT(N40,4),LEFT($F22,2)+1,0),$L$7:$S$19,10,0),2),"NA")</f>
        <v>4599.8900000000003</v>
      </c>
      <c r="O63" s="64"/>
      <c r="P63" s="91" t="str">
        <f>IFERROR(ROUND(HLOOKUP(DATE(LEFT(P40,4),LEFT($F22,2)+1,0),$L$7:$S$19,10,0),2),"NA")</f>
        <v>NA</v>
      </c>
      <c r="Q63" s="49"/>
      <c r="R63" s="49"/>
      <c r="S63" s="49"/>
      <c r="T63" s="49"/>
      <c r="U63" s="49"/>
      <c r="V63" s="49"/>
      <c r="W63" s="49"/>
      <c r="X63" s="49"/>
      <c r="Y63" s="49"/>
      <c r="Z63" s="105"/>
      <c r="AA63" s="49"/>
      <c r="AB63" s="105"/>
      <c r="AC63" s="49"/>
      <c r="AD63" s="105"/>
      <c r="AE63" s="49"/>
      <c r="AF63" s="105"/>
      <c r="AG63" s="49"/>
      <c r="AH63" s="105"/>
      <c r="AI63" s="49"/>
    </row>
    <row r="64" spans="2:35" s="7" customFormat="1" ht="24.6" customHeight="1" x14ac:dyDescent="0.2">
      <c r="B64" s="105"/>
      <c r="C64" s="49"/>
      <c r="D64" s="49"/>
      <c r="E64" s="105"/>
      <c r="F64" s="49"/>
      <c r="G64" s="134"/>
      <c r="H64" s="49"/>
      <c r="I64" s="53" t="s">
        <v>38</v>
      </c>
      <c r="J64" s="92">
        <f>IFERROR(ROUND(HLOOKUP(DATE(LEFT(J40,4),LEFT($F22,2)+1,0),$K$7:$R$19,11,0),2),"NA")</f>
        <v>0</v>
      </c>
      <c r="K64" s="59"/>
      <c r="L64" s="92" t="str">
        <f>IFERROR(ROUND(HLOOKUP(DATE(LEFT(L40,4),LEFT($F22,2)+1,0),$K$7:$R$19,11,0),2),"NA")</f>
        <v>NA</v>
      </c>
      <c r="M64" s="59"/>
      <c r="N64" s="92">
        <f>IFERROR(ROUND(HLOOKUP(DATE(LEFT(N40,4),LEFT($F22,2)+1,0),$K$7:$R$19,11,0),2),"NA")</f>
        <v>1494.69</v>
      </c>
      <c r="O64" s="59"/>
      <c r="P64" s="92" t="str">
        <f>IFERROR(ROUND(HLOOKUP(DATE(LEFT(P40,4),LEFT($F22,2)+1,0),$K$7:$R$19,11,0),2),"NA")</f>
        <v>NA</v>
      </c>
      <c r="Q64" s="49"/>
      <c r="R64" s="49"/>
      <c r="S64" s="49"/>
      <c r="T64" s="49"/>
      <c r="U64" s="49"/>
      <c r="V64" s="49"/>
      <c r="W64" s="49"/>
      <c r="X64" s="49"/>
      <c r="Y64" s="49"/>
      <c r="Z64" s="105"/>
      <c r="AA64" s="49"/>
      <c r="AB64" s="105"/>
      <c r="AC64" s="49"/>
      <c r="AD64" s="105"/>
      <c r="AE64" s="49"/>
      <c r="AF64" s="105"/>
      <c r="AG64" s="49"/>
      <c r="AH64" s="105"/>
      <c r="AI64" s="49"/>
    </row>
    <row r="65" spans="2:35" s="7" customFormat="1" ht="24.6" customHeight="1" x14ac:dyDescent="0.2">
      <c r="B65" s="105"/>
      <c r="C65" s="49"/>
      <c r="D65" s="49"/>
      <c r="E65" s="105"/>
      <c r="F65" s="49"/>
      <c r="G65" s="134"/>
      <c r="H65" s="49"/>
      <c r="I65" s="56" t="s">
        <v>39</v>
      </c>
      <c r="J65" s="91">
        <f>IFERROR(ROUND(HLOOKUP(DATE(LEFT(J40,4),LEFT($F22,2)+1,0),$K$7:$R$19,12,0),2),"NA")</f>
        <v>0</v>
      </c>
      <c r="K65" s="64"/>
      <c r="L65" s="91" t="str">
        <f>IFERROR(ROUND(HLOOKUP(DATE(LEFT(L40,4),LEFT($F22,2)+1,0),$K$7:$R$19,12,0),2),"NA")</f>
        <v>NA</v>
      </c>
      <c r="M65" s="64"/>
      <c r="N65" s="91">
        <f>IFERROR(ROUND(HLOOKUP(DATE(LEFT(N40,4),LEFT($F22,2)+1,0),$K$7:$R$19,12,0),2),"NA")</f>
        <v>1205.56</v>
      </c>
      <c r="O65" s="64"/>
      <c r="P65" s="91" t="str">
        <f>IFERROR(ROUND(HLOOKUP(DATE(LEFT(P40,4),LEFT($F22,2)+1,0),$K$7:$R$19,12,0),2),"NA")</f>
        <v>NA</v>
      </c>
      <c r="Q65" s="49"/>
      <c r="R65" s="49"/>
      <c r="S65" s="49"/>
      <c r="T65" s="49"/>
      <c r="U65" s="49"/>
      <c r="V65" s="49"/>
      <c r="W65" s="49"/>
      <c r="X65" s="49"/>
      <c r="Y65" s="49"/>
      <c r="Z65" s="105"/>
      <c r="AA65" s="49"/>
      <c r="AB65" s="105"/>
      <c r="AC65" s="49"/>
      <c r="AD65" s="105"/>
      <c r="AE65" s="49"/>
      <c r="AF65" s="105"/>
      <c r="AG65" s="49"/>
      <c r="AH65" s="105"/>
      <c r="AI65" s="49"/>
    </row>
    <row r="66" spans="2:35" s="7" customFormat="1" ht="24.6" customHeight="1" thickBot="1" x14ac:dyDescent="0.25">
      <c r="B66" s="105"/>
      <c r="C66" s="49"/>
      <c r="D66" s="49"/>
      <c r="E66" s="105"/>
      <c r="F66" s="49"/>
      <c r="G66" s="134"/>
      <c r="H66" s="49"/>
      <c r="I66" s="76" t="s">
        <v>42</v>
      </c>
      <c r="J66" s="132">
        <f>IFERROR(ROUND(HLOOKUP(DATE(LEFT(J40,4),LEFT($F22,2)+1,0),$K$7:$R$19,13,0),2),"NA")</f>
        <v>0</v>
      </c>
      <c r="K66" s="77"/>
      <c r="L66" s="132" t="str">
        <f>IFERROR(ROUND(HLOOKUP(DATE(LEFT(L40,4),LEFT($F22,2)+1,0),$K$7:$R$19,13,0),2),"NA")</f>
        <v>NA</v>
      </c>
      <c r="M66" s="77"/>
      <c r="N66" s="132">
        <f>IFERROR(ROUND(HLOOKUP(DATE(LEFT(N40,4),LEFT($F22,2)+1,0),$K$7:$R$19,13,0),2),"NA")</f>
        <v>1439.96</v>
      </c>
      <c r="O66" s="77"/>
      <c r="P66" s="132" t="str">
        <f>IFERROR(ROUND(HLOOKUP(DATE(LEFT(P40,4),LEFT($F22,2)+1,0),$K$7:$R$19,13,0),2),"NA")</f>
        <v>NA</v>
      </c>
      <c r="Q66" s="49"/>
      <c r="R66" s="49"/>
      <c r="S66" s="49"/>
      <c r="T66" s="49"/>
      <c r="U66" s="49"/>
      <c r="V66" s="49"/>
      <c r="W66" s="49"/>
      <c r="X66" s="49"/>
      <c r="Y66" s="49"/>
      <c r="Z66" s="105"/>
      <c r="AA66" s="49"/>
      <c r="AB66" s="105"/>
      <c r="AC66" s="49"/>
      <c r="AD66" s="105"/>
      <c r="AE66" s="49"/>
      <c r="AF66" s="105"/>
      <c r="AG66" s="49"/>
      <c r="AH66" s="105"/>
      <c r="AI66" s="49"/>
    </row>
    <row r="67" spans="2:35" s="7" customFormat="1" ht="24.6" customHeight="1" x14ac:dyDescent="0.2">
      <c r="B67" s="105"/>
      <c r="C67" s="49"/>
      <c r="D67" s="49"/>
      <c r="E67" s="105"/>
      <c r="F67" s="49"/>
      <c r="G67" s="134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105"/>
      <c r="T67" s="49"/>
      <c r="U67" s="49"/>
      <c r="V67" s="49"/>
      <c r="W67" s="49"/>
      <c r="X67" s="49"/>
      <c r="Y67" s="49"/>
      <c r="Z67" s="105"/>
      <c r="AA67" s="49"/>
      <c r="AB67" s="105"/>
      <c r="AC67" s="49"/>
      <c r="AD67" s="105"/>
      <c r="AE67" s="49"/>
      <c r="AF67" s="105"/>
      <c r="AG67" s="49"/>
      <c r="AH67" s="105"/>
      <c r="AI67" s="49"/>
    </row>
    <row r="68" spans="2:35" s="7" customFormat="1" ht="17.25" x14ac:dyDescent="0.2">
      <c r="B68" s="105"/>
      <c r="C68" s="49"/>
      <c r="D68" s="49"/>
      <c r="E68" s="105"/>
      <c r="F68" s="49"/>
      <c r="G68" s="134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105"/>
      <c r="T68" s="49"/>
      <c r="U68" s="49"/>
      <c r="V68" s="49"/>
      <c r="W68" s="49"/>
      <c r="X68" s="49"/>
      <c r="Y68" s="49"/>
      <c r="Z68" s="105"/>
      <c r="AA68" s="49"/>
      <c r="AB68" s="105"/>
      <c r="AC68" s="49"/>
      <c r="AD68" s="105"/>
      <c r="AE68" s="49"/>
      <c r="AF68" s="105"/>
      <c r="AG68" s="49"/>
      <c r="AH68" s="105"/>
      <c r="AI68" s="49"/>
    </row>
    <row r="69" spans="2:35" s="7" customFormat="1" ht="17.25" x14ac:dyDescent="0.2">
      <c r="B69" s="105"/>
      <c r="C69" s="49"/>
      <c r="D69" s="49"/>
      <c r="E69" s="105"/>
      <c r="F69" s="49"/>
      <c r="G69" s="134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105"/>
      <c r="T69" s="49"/>
      <c r="U69" s="49"/>
      <c r="V69" s="49"/>
      <c r="W69" s="49"/>
      <c r="X69" s="49"/>
      <c r="Y69" s="49"/>
      <c r="Z69" s="105"/>
      <c r="AA69" s="49"/>
      <c r="AB69" s="105"/>
      <c r="AC69" s="49"/>
      <c r="AD69" s="105"/>
      <c r="AE69" s="49"/>
      <c r="AF69" s="105"/>
      <c r="AG69" s="49"/>
      <c r="AH69" s="105"/>
      <c r="AI69" s="49"/>
    </row>
    <row r="70" spans="2:35" s="7" customFormat="1" ht="17.25" x14ac:dyDescent="0.2"/>
    <row r="71" spans="2:35" s="7" customFormat="1" ht="17.25" x14ac:dyDescent="0.2"/>
    <row r="72" spans="2:35" s="7" customFormat="1" ht="17.25" x14ac:dyDescent="0.2"/>
    <row r="73" spans="2:35" s="7" customFormat="1" ht="17.25" x14ac:dyDescent="0.2"/>
    <row r="74" spans="2:35" s="7" customFormat="1" ht="17.25" x14ac:dyDescent="0.2"/>
    <row r="75" spans="2:35" s="7" customFormat="1" ht="17.25" x14ac:dyDescent="0.2"/>
    <row r="76" spans="2:35" s="7" customFormat="1" ht="17.25" x14ac:dyDescent="0.2"/>
    <row r="93" spans="7:9" x14ac:dyDescent="0.2">
      <c r="G93" s="135"/>
      <c r="H93" s="136"/>
      <c r="I93" s="136"/>
    </row>
    <row r="94" spans="7:9" x14ac:dyDescent="0.2">
      <c r="G94" s="135"/>
      <c r="H94" s="136"/>
      <c r="I94" s="136"/>
    </row>
    <row r="95" spans="7:9" x14ac:dyDescent="0.2">
      <c r="G95" s="135"/>
      <c r="H95" s="136"/>
      <c r="I95" s="136"/>
    </row>
    <row r="96" spans="7:9" x14ac:dyDescent="0.2">
      <c r="G96" s="135"/>
      <c r="H96" s="136"/>
      <c r="I96" s="136"/>
    </row>
    <row r="97" spans="7:9" x14ac:dyDescent="0.2">
      <c r="G97" s="135"/>
      <c r="H97" s="136"/>
      <c r="I97" s="136"/>
    </row>
    <row r="98" spans="7:9" x14ac:dyDescent="0.2">
      <c r="G98" s="135"/>
      <c r="H98" s="136"/>
      <c r="I98" s="136"/>
    </row>
    <row r="99" spans="7:9" x14ac:dyDescent="0.2">
      <c r="G99" s="135"/>
      <c r="H99" s="136"/>
      <c r="I99" s="136"/>
    </row>
    <row r="100" spans="7:9" x14ac:dyDescent="0.2">
      <c r="G100" s="135"/>
      <c r="H100" s="136"/>
      <c r="I100" s="136"/>
    </row>
    <row r="101" spans="7:9" x14ac:dyDescent="0.2">
      <c r="G101" s="135"/>
      <c r="H101" s="136"/>
      <c r="I101" s="136"/>
    </row>
    <row r="102" spans="7:9" x14ac:dyDescent="0.2">
      <c r="G102" s="135"/>
      <c r="H102" s="136"/>
      <c r="I102" s="136"/>
    </row>
    <row r="103" spans="7:9" x14ac:dyDescent="0.2">
      <c r="G103" s="135"/>
      <c r="H103" s="136"/>
      <c r="I103" s="136"/>
    </row>
    <row r="104" spans="7:9" x14ac:dyDescent="0.2">
      <c r="G104" s="135"/>
      <c r="H104" s="136"/>
      <c r="I104" s="136"/>
    </row>
    <row r="105" spans="7:9" x14ac:dyDescent="0.2">
      <c r="G105" s="135"/>
      <c r="H105" s="136"/>
      <c r="I105" s="136"/>
    </row>
    <row r="106" spans="7:9" x14ac:dyDescent="0.2">
      <c r="G106" s="135"/>
      <c r="H106" s="136"/>
      <c r="I106" s="136"/>
    </row>
    <row r="107" spans="7:9" x14ac:dyDescent="0.2">
      <c r="G107" s="135"/>
      <c r="H107" s="136"/>
      <c r="I107" s="136"/>
    </row>
    <row r="108" spans="7:9" x14ac:dyDescent="0.2">
      <c r="G108" s="135"/>
      <c r="H108" s="136"/>
      <c r="I108" s="136"/>
    </row>
    <row r="109" spans="7:9" x14ac:dyDescent="0.2">
      <c r="G109" s="135"/>
      <c r="H109" s="136"/>
      <c r="I109" s="136"/>
    </row>
    <row r="110" spans="7:9" x14ac:dyDescent="0.2">
      <c r="G110" s="135"/>
      <c r="H110" s="136"/>
      <c r="I110" s="136"/>
    </row>
    <row r="111" spans="7:9" x14ac:dyDescent="0.2">
      <c r="G111" s="135"/>
      <c r="H111" s="136"/>
      <c r="I111" s="136"/>
    </row>
    <row r="112" spans="7:9" x14ac:dyDescent="0.2">
      <c r="G112" s="135"/>
      <c r="H112" s="136"/>
      <c r="I112" s="136"/>
    </row>
    <row r="113" spans="7:9" x14ac:dyDescent="0.2">
      <c r="G113" s="135"/>
      <c r="H113" s="136"/>
      <c r="I113" s="136"/>
    </row>
    <row r="114" spans="7:9" x14ac:dyDescent="0.2">
      <c r="G114" s="135"/>
      <c r="H114" s="136"/>
      <c r="I114" s="136"/>
    </row>
    <row r="115" spans="7:9" x14ac:dyDescent="0.2">
      <c r="G115" s="135"/>
      <c r="H115" s="136"/>
      <c r="I115" s="136"/>
    </row>
    <row r="116" spans="7:9" x14ac:dyDescent="0.2">
      <c r="G116" s="135"/>
      <c r="H116" s="136"/>
      <c r="I116" s="136"/>
    </row>
    <row r="117" spans="7:9" x14ac:dyDescent="0.2">
      <c r="G117" s="135"/>
      <c r="H117" s="136"/>
      <c r="I117" s="136"/>
    </row>
    <row r="118" spans="7:9" x14ac:dyDescent="0.2">
      <c r="G118" s="135"/>
      <c r="H118" s="136"/>
      <c r="I118" s="136"/>
    </row>
    <row r="119" spans="7:9" x14ac:dyDescent="0.2">
      <c r="G119" s="135"/>
      <c r="H119" s="136"/>
      <c r="I119" s="136"/>
    </row>
    <row r="120" spans="7:9" x14ac:dyDescent="0.2">
      <c r="G120" s="135"/>
      <c r="H120" s="136"/>
      <c r="I120" s="136"/>
    </row>
    <row r="121" spans="7:9" x14ac:dyDescent="0.2">
      <c r="G121" s="135"/>
      <c r="H121" s="136"/>
      <c r="I121" s="136"/>
    </row>
    <row r="122" spans="7:9" x14ac:dyDescent="0.2">
      <c r="G122" s="135"/>
      <c r="H122" s="136"/>
      <c r="I122" s="136"/>
    </row>
    <row r="123" spans="7:9" x14ac:dyDescent="0.2">
      <c r="G123" s="135"/>
      <c r="H123" s="136"/>
      <c r="I123" s="136"/>
    </row>
    <row r="124" spans="7:9" x14ac:dyDescent="0.2">
      <c r="G124" s="135"/>
      <c r="H124" s="136"/>
      <c r="I124" s="136"/>
    </row>
    <row r="125" spans="7:9" x14ac:dyDescent="0.2">
      <c r="G125" s="135"/>
      <c r="H125" s="136"/>
      <c r="I125" s="136"/>
    </row>
    <row r="126" spans="7:9" x14ac:dyDescent="0.2">
      <c r="G126" s="135"/>
      <c r="H126" s="136"/>
      <c r="I126" s="136"/>
    </row>
    <row r="127" spans="7:9" x14ac:dyDescent="0.2">
      <c r="G127" s="135"/>
      <c r="H127" s="136"/>
      <c r="I127" s="136"/>
    </row>
    <row r="128" spans="7:9" x14ac:dyDescent="0.2">
      <c r="G128" s="135"/>
      <c r="H128" s="136"/>
      <c r="I128" s="136"/>
    </row>
    <row r="129" spans="7:9" x14ac:dyDescent="0.2">
      <c r="G129" s="135"/>
      <c r="H129" s="136"/>
      <c r="I129" s="136"/>
    </row>
    <row r="130" spans="7:9" x14ac:dyDescent="0.2">
      <c r="G130" s="135"/>
      <c r="H130" s="136"/>
      <c r="I130" s="136"/>
    </row>
    <row r="131" spans="7:9" x14ac:dyDescent="0.2">
      <c r="G131" s="135"/>
      <c r="H131" s="136"/>
      <c r="I131" s="136"/>
    </row>
    <row r="132" spans="7:9" x14ac:dyDescent="0.2">
      <c r="G132" s="135"/>
      <c r="H132" s="136"/>
      <c r="I132" s="136"/>
    </row>
    <row r="133" spans="7:9" x14ac:dyDescent="0.2">
      <c r="G133" s="135"/>
      <c r="H133" s="136"/>
      <c r="I133" s="136"/>
    </row>
    <row r="134" spans="7:9" x14ac:dyDescent="0.2">
      <c r="G134" s="135"/>
      <c r="H134" s="136"/>
      <c r="I134" s="136"/>
    </row>
    <row r="135" spans="7:9" x14ac:dyDescent="0.2">
      <c r="G135" s="135"/>
      <c r="H135" s="136"/>
      <c r="I135" s="136"/>
    </row>
    <row r="136" spans="7:9" x14ac:dyDescent="0.2">
      <c r="G136" s="135"/>
      <c r="H136" s="136"/>
      <c r="I136" s="136"/>
    </row>
    <row r="137" spans="7:9" x14ac:dyDescent="0.2">
      <c r="G137" s="135"/>
      <c r="H137" s="136"/>
      <c r="I137" s="136"/>
    </row>
    <row r="138" spans="7:9" x14ac:dyDescent="0.2">
      <c r="G138" s="135"/>
      <c r="H138" s="136"/>
      <c r="I138" s="136"/>
    </row>
    <row r="139" spans="7:9" x14ac:dyDescent="0.2">
      <c r="G139" s="135"/>
      <c r="H139" s="136"/>
      <c r="I139" s="136"/>
    </row>
    <row r="140" spans="7:9" x14ac:dyDescent="0.2">
      <c r="G140" s="135"/>
      <c r="H140" s="136"/>
      <c r="I140" s="136"/>
    </row>
    <row r="141" spans="7:9" x14ac:dyDescent="0.2">
      <c r="G141" s="135"/>
      <c r="H141" s="136"/>
      <c r="I141" s="136"/>
    </row>
    <row r="142" spans="7:9" x14ac:dyDescent="0.2">
      <c r="G142" s="135"/>
      <c r="H142" s="136"/>
      <c r="I142" s="136"/>
    </row>
    <row r="143" spans="7:9" x14ac:dyDescent="0.2">
      <c r="G143" s="135"/>
      <c r="H143" s="136"/>
      <c r="I143" s="136"/>
    </row>
    <row r="144" spans="7:9" x14ac:dyDescent="0.2">
      <c r="G144" s="135"/>
      <c r="H144" s="136"/>
      <c r="I144" s="136"/>
    </row>
    <row r="145" spans="7:9" x14ac:dyDescent="0.2">
      <c r="G145" s="135"/>
      <c r="H145" s="136"/>
      <c r="I145" s="136"/>
    </row>
    <row r="146" spans="7:9" x14ac:dyDescent="0.2">
      <c r="G146" s="135"/>
      <c r="H146" s="136"/>
      <c r="I146" s="136"/>
    </row>
    <row r="147" spans="7:9" x14ac:dyDescent="0.2">
      <c r="G147" s="135"/>
      <c r="H147" s="136"/>
      <c r="I147" s="136"/>
    </row>
    <row r="148" spans="7:9" x14ac:dyDescent="0.2">
      <c r="G148" s="135"/>
      <c r="H148" s="136"/>
      <c r="I148" s="136"/>
    </row>
    <row r="149" spans="7:9" x14ac:dyDescent="0.2">
      <c r="G149" s="135"/>
      <c r="H149" s="136"/>
      <c r="I149" s="136"/>
    </row>
    <row r="150" spans="7:9" x14ac:dyDescent="0.2">
      <c r="G150" s="135"/>
      <c r="H150" s="136"/>
      <c r="I150" s="136"/>
    </row>
    <row r="151" spans="7:9" x14ac:dyDescent="0.2">
      <c r="G151" s="135"/>
      <c r="H151" s="136"/>
      <c r="I151" s="136"/>
    </row>
    <row r="152" spans="7:9" x14ac:dyDescent="0.2">
      <c r="G152" s="135"/>
      <c r="H152" s="136"/>
      <c r="I152" s="136"/>
    </row>
    <row r="153" spans="7:9" x14ac:dyDescent="0.2">
      <c r="G153" s="135"/>
      <c r="H153" s="136"/>
      <c r="I153" s="136"/>
    </row>
    <row r="154" spans="7:9" x14ac:dyDescent="0.2">
      <c r="G154" s="135"/>
      <c r="H154" s="136"/>
      <c r="I154" s="136"/>
    </row>
    <row r="155" spans="7:9" x14ac:dyDescent="0.2">
      <c r="G155" s="135"/>
      <c r="H155" s="136"/>
      <c r="I155" s="136"/>
    </row>
    <row r="156" spans="7:9" x14ac:dyDescent="0.2">
      <c r="G156" s="135"/>
      <c r="H156" s="136"/>
      <c r="I156" s="136"/>
    </row>
    <row r="157" spans="7:9" x14ac:dyDescent="0.2">
      <c r="G157" s="135"/>
      <c r="H157" s="136"/>
      <c r="I157" s="136"/>
    </row>
    <row r="158" spans="7:9" x14ac:dyDescent="0.2">
      <c r="G158" s="135"/>
      <c r="H158" s="136"/>
      <c r="I158" s="136"/>
    </row>
    <row r="159" spans="7:9" x14ac:dyDescent="0.2">
      <c r="G159" s="135"/>
      <c r="H159" s="136"/>
      <c r="I159" s="136"/>
    </row>
    <row r="160" spans="7:9" x14ac:dyDescent="0.2">
      <c r="G160" s="135"/>
      <c r="H160" s="136"/>
      <c r="I160" s="136"/>
    </row>
    <row r="161" spans="7:9" x14ac:dyDescent="0.2">
      <c r="G161" s="135"/>
      <c r="H161" s="136"/>
      <c r="I161" s="136"/>
    </row>
    <row r="162" spans="7:9" x14ac:dyDescent="0.2">
      <c r="G162" s="135"/>
      <c r="H162" s="136"/>
      <c r="I162" s="136"/>
    </row>
    <row r="163" spans="7:9" x14ac:dyDescent="0.2">
      <c r="G163" s="135"/>
      <c r="H163" s="136"/>
      <c r="I163" s="136"/>
    </row>
    <row r="164" spans="7:9" x14ac:dyDescent="0.2">
      <c r="G164" s="135"/>
      <c r="H164" s="136"/>
      <c r="I164" s="136"/>
    </row>
    <row r="165" spans="7:9" x14ac:dyDescent="0.2">
      <c r="G165" s="135"/>
      <c r="H165" s="136"/>
      <c r="I165" s="136"/>
    </row>
    <row r="166" spans="7:9" x14ac:dyDescent="0.2">
      <c r="G166" s="135"/>
      <c r="H166" s="136"/>
      <c r="I166" s="136"/>
    </row>
    <row r="167" spans="7:9" x14ac:dyDescent="0.2">
      <c r="G167" s="135"/>
      <c r="H167" s="136"/>
      <c r="I167" s="136"/>
    </row>
    <row r="168" spans="7:9" x14ac:dyDescent="0.2">
      <c r="G168" s="135"/>
      <c r="H168" s="136"/>
      <c r="I168" s="136"/>
    </row>
    <row r="169" spans="7:9" x14ac:dyDescent="0.2">
      <c r="G169" s="135"/>
      <c r="H169" s="136"/>
      <c r="I169" s="136"/>
    </row>
    <row r="170" spans="7:9" x14ac:dyDescent="0.2">
      <c r="G170" s="135"/>
      <c r="H170" s="136"/>
      <c r="I170" s="136"/>
    </row>
    <row r="171" spans="7:9" x14ac:dyDescent="0.2">
      <c r="G171" s="135"/>
      <c r="H171" s="136"/>
      <c r="I171" s="136"/>
    </row>
    <row r="172" spans="7:9" x14ac:dyDescent="0.2">
      <c r="G172" s="135"/>
      <c r="H172" s="136"/>
      <c r="I172" s="136"/>
    </row>
    <row r="173" spans="7:9" x14ac:dyDescent="0.2">
      <c r="G173" s="135"/>
      <c r="H173" s="136"/>
      <c r="I173" s="136"/>
    </row>
    <row r="174" spans="7:9" x14ac:dyDescent="0.2">
      <c r="G174" s="135"/>
      <c r="H174" s="136"/>
      <c r="I174" s="136"/>
    </row>
    <row r="175" spans="7:9" x14ac:dyDescent="0.2">
      <c r="G175" s="135"/>
      <c r="H175" s="136"/>
      <c r="I175" s="136"/>
    </row>
    <row r="176" spans="7:9" x14ac:dyDescent="0.2">
      <c r="G176" s="135"/>
      <c r="H176" s="136"/>
      <c r="I176" s="136"/>
    </row>
    <row r="177" spans="7:9" x14ac:dyDescent="0.2">
      <c r="G177" s="135"/>
      <c r="H177" s="136"/>
      <c r="I177" s="136"/>
    </row>
    <row r="178" spans="7:9" x14ac:dyDescent="0.2">
      <c r="G178" s="135"/>
      <c r="H178" s="136"/>
      <c r="I178" s="136"/>
    </row>
    <row r="179" spans="7:9" x14ac:dyDescent="0.2">
      <c r="G179" s="135"/>
      <c r="H179" s="136"/>
      <c r="I179" s="136"/>
    </row>
    <row r="180" spans="7:9" x14ac:dyDescent="0.2">
      <c r="G180" s="135"/>
      <c r="H180" s="136"/>
      <c r="I180" s="136"/>
    </row>
    <row r="181" spans="7:9" x14ac:dyDescent="0.2">
      <c r="G181" s="135"/>
      <c r="H181" s="136"/>
      <c r="I181" s="136"/>
    </row>
    <row r="182" spans="7:9" x14ac:dyDescent="0.2">
      <c r="G182" s="135"/>
      <c r="H182" s="136"/>
      <c r="I182" s="136"/>
    </row>
    <row r="183" spans="7:9" x14ac:dyDescent="0.2">
      <c r="G183" s="135"/>
      <c r="H183" s="136"/>
      <c r="I183" s="136"/>
    </row>
    <row r="184" spans="7:9" x14ac:dyDescent="0.2">
      <c r="G184" s="135"/>
      <c r="H184" s="136"/>
      <c r="I184" s="136"/>
    </row>
    <row r="185" spans="7:9" x14ac:dyDescent="0.2">
      <c r="G185" s="135"/>
      <c r="H185" s="136"/>
      <c r="I185" s="136"/>
    </row>
    <row r="186" spans="7:9" x14ac:dyDescent="0.2">
      <c r="G186" s="135"/>
      <c r="H186" s="136"/>
      <c r="I186" s="136"/>
    </row>
    <row r="187" spans="7:9" x14ac:dyDescent="0.2">
      <c r="G187" s="135"/>
      <c r="H187" s="136"/>
      <c r="I187" s="136"/>
    </row>
    <row r="188" spans="7:9" x14ac:dyDescent="0.2">
      <c r="G188" s="135"/>
      <c r="H188" s="136"/>
      <c r="I188" s="136"/>
    </row>
    <row r="189" spans="7:9" x14ac:dyDescent="0.2">
      <c r="G189" s="135"/>
      <c r="H189" s="136"/>
      <c r="I189" s="136"/>
    </row>
    <row r="190" spans="7:9" x14ac:dyDescent="0.2">
      <c r="G190" s="135"/>
      <c r="H190" s="136"/>
      <c r="I190" s="136"/>
    </row>
    <row r="191" spans="7:9" x14ac:dyDescent="0.2">
      <c r="G191" s="135"/>
      <c r="H191" s="136"/>
      <c r="I191" s="136"/>
    </row>
    <row r="192" spans="7:9" x14ac:dyDescent="0.2">
      <c r="G192" s="135"/>
      <c r="H192" s="136"/>
      <c r="I192" s="136"/>
    </row>
    <row r="193" spans="7:9" x14ac:dyDescent="0.2">
      <c r="G193" s="135"/>
      <c r="H193" s="136"/>
      <c r="I193" s="136"/>
    </row>
    <row r="194" spans="7:9" x14ac:dyDescent="0.2">
      <c r="G194" s="135"/>
      <c r="H194" s="136"/>
      <c r="I194" s="136"/>
    </row>
    <row r="195" spans="7:9" x14ac:dyDescent="0.2">
      <c r="G195" s="135"/>
      <c r="H195" s="136"/>
      <c r="I195" s="136"/>
    </row>
    <row r="196" spans="7:9" x14ac:dyDescent="0.2">
      <c r="G196" s="135"/>
      <c r="H196" s="136"/>
      <c r="I196" s="136"/>
    </row>
    <row r="197" spans="7:9" x14ac:dyDescent="0.2">
      <c r="G197" s="135"/>
      <c r="H197" s="136"/>
      <c r="I197" s="136"/>
    </row>
    <row r="198" spans="7:9" x14ac:dyDescent="0.2">
      <c r="G198" s="135"/>
      <c r="H198" s="136"/>
      <c r="I198" s="136"/>
    </row>
    <row r="199" spans="7:9" x14ac:dyDescent="0.2">
      <c r="G199" s="135"/>
      <c r="H199" s="136"/>
      <c r="I199" s="136"/>
    </row>
    <row r="200" spans="7:9" x14ac:dyDescent="0.2">
      <c r="G200" s="135"/>
      <c r="H200" s="136"/>
      <c r="I200" s="136"/>
    </row>
    <row r="201" spans="7:9" x14ac:dyDescent="0.2">
      <c r="G201" s="135"/>
      <c r="H201" s="136"/>
      <c r="I201" s="136"/>
    </row>
    <row r="202" spans="7:9" x14ac:dyDescent="0.2">
      <c r="G202" s="135"/>
      <c r="H202" s="136"/>
      <c r="I202" s="136"/>
    </row>
    <row r="203" spans="7:9" x14ac:dyDescent="0.2">
      <c r="G203" s="135"/>
      <c r="H203" s="136"/>
      <c r="I203" s="136"/>
    </row>
    <row r="204" spans="7:9" x14ac:dyDescent="0.2">
      <c r="G204" s="135"/>
      <c r="H204" s="136"/>
      <c r="I204" s="136"/>
    </row>
    <row r="205" spans="7:9" x14ac:dyDescent="0.2">
      <c r="G205" s="135"/>
      <c r="H205" s="136"/>
      <c r="I205" s="136"/>
    </row>
    <row r="206" spans="7:9" x14ac:dyDescent="0.2">
      <c r="G206" s="135"/>
      <c r="H206" s="136"/>
      <c r="I206" s="136"/>
    </row>
    <row r="207" spans="7:9" x14ac:dyDescent="0.2">
      <c r="G207" s="135"/>
      <c r="H207" s="136"/>
      <c r="I207" s="136"/>
    </row>
    <row r="208" spans="7:9" x14ac:dyDescent="0.2">
      <c r="G208" s="135"/>
      <c r="H208" s="136"/>
      <c r="I208" s="136"/>
    </row>
    <row r="209" spans="7:9" x14ac:dyDescent="0.2">
      <c r="G209" s="135"/>
      <c r="H209" s="136"/>
      <c r="I209" s="136"/>
    </row>
    <row r="210" spans="7:9" x14ac:dyDescent="0.2">
      <c r="G210" s="135"/>
      <c r="H210" s="136"/>
      <c r="I210" s="136"/>
    </row>
    <row r="211" spans="7:9" x14ac:dyDescent="0.2">
      <c r="G211" s="135"/>
      <c r="H211" s="136"/>
      <c r="I211" s="136"/>
    </row>
    <row r="212" spans="7:9" x14ac:dyDescent="0.2">
      <c r="G212" s="135"/>
      <c r="H212" s="136"/>
      <c r="I212" s="136"/>
    </row>
    <row r="213" spans="7:9" x14ac:dyDescent="0.2">
      <c r="G213" s="135"/>
      <c r="H213" s="136"/>
      <c r="I213" s="136"/>
    </row>
    <row r="214" spans="7:9" x14ac:dyDescent="0.2">
      <c r="G214" s="135"/>
      <c r="H214" s="136"/>
      <c r="I214" s="136"/>
    </row>
    <row r="215" spans="7:9" x14ac:dyDescent="0.2">
      <c r="G215" s="135"/>
      <c r="H215" s="136"/>
      <c r="I215" s="136"/>
    </row>
    <row r="216" spans="7:9" x14ac:dyDescent="0.2">
      <c r="G216" s="135"/>
      <c r="H216" s="136"/>
      <c r="I216" s="136"/>
    </row>
    <row r="217" spans="7:9" x14ac:dyDescent="0.2">
      <c r="G217" s="135"/>
      <c r="H217" s="136"/>
      <c r="I217" s="136"/>
    </row>
    <row r="218" spans="7:9" x14ac:dyDescent="0.2">
      <c r="G218" s="135"/>
      <c r="H218" s="136"/>
      <c r="I218" s="136"/>
    </row>
    <row r="219" spans="7:9" x14ac:dyDescent="0.2">
      <c r="G219" s="135"/>
      <c r="H219" s="136"/>
      <c r="I219" s="136"/>
    </row>
    <row r="220" spans="7:9" x14ac:dyDescent="0.2">
      <c r="G220" s="135"/>
      <c r="H220" s="136"/>
      <c r="I220" s="136"/>
    </row>
    <row r="221" spans="7:9" x14ac:dyDescent="0.2">
      <c r="G221" s="135"/>
      <c r="H221" s="136"/>
      <c r="I221" s="136"/>
    </row>
    <row r="222" spans="7:9" x14ac:dyDescent="0.2">
      <c r="G222" s="135"/>
      <c r="H222" s="136"/>
      <c r="I222" s="136"/>
    </row>
    <row r="223" spans="7:9" x14ac:dyDescent="0.2">
      <c r="G223" s="135"/>
      <c r="H223" s="136"/>
      <c r="I223" s="136"/>
    </row>
    <row r="224" spans="7:9" x14ac:dyDescent="0.2">
      <c r="G224" s="135"/>
      <c r="H224" s="136"/>
      <c r="I224" s="136"/>
    </row>
    <row r="225" spans="7:9" x14ac:dyDescent="0.2">
      <c r="G225" s="135"/>
      <c r="H225" s="136"/>
      <c r="I225" s="136"/>
    </row>
    <row r="226" spans="7:9" x14ac:dyDescent="0.2">
      <c r="G226" s="135"/>
      <c r="H226" s="136"/>
      <c r="I226" s="136"/>
    </row>
    <row r="227" spans="7:9" x14ac:dyDescent="0.2">
      <c r="G227" s="135"/>
      <c r="H227" s="136"/>
      <c r="I227" s="136"/>
    </row>
    <row r="228" spans="7:9" x14ac:dyDescent="0.2">
      <c r="G228" s="135"/>
      <c r="H228" s="136"/>
      <c r="I228" s="136"/>
    </row>
    <row r="229" spans="7:9" x14ac:dyDescent="0.2">
      <c r="G229" s="135"/>
      <c r="H229" s="136"/>
      <c r="I229" s="136"/>
    </row>
    <row r="230" spans="7:9" x14ac:dyDescent="0.2">
      <c r="G230" s="135"/>
      <c r="H230" s="136"/>
      <c r="I230" s="136"/>
    </row>
    <row r="231" spans="7:9" x14ac:dyDescent="0.2">
      <c r="G231" s="135"/>
      <c r="H231" s="136"/>
      <c r="I231" s="136"/>
    </row>
    <row r="232" spans="7:9" x14ac:dyDescent="0.2">
      <c r="G232" s="135"/>
      <c r="H232" s="136"/>
      <c r="I232" s="136"/>
    </row>
    <row r="233" spans="7:9" x14ac:dyDescent="0.2">
      <c r="G233" s="135"/>
      <c r="H233" s="136"/>
      <c r="I233" s="136"/>
    </row>
    <row r="234" spans="7:9" x14ac:dyDescent="0.2">
      <c r="G234" s="135"/>
      <c r="H234" s="136"/>
      <c r="I234" s="136"/>
    </row>
    <row r="235" spans="7:9" x14ac:dyDescent="0.2">
      <c r="G235" s="135"/>
      <c r="H235" s="136"/>
      <c r="I235" s="136"/>
    </row>
    <row r="236" spans="7:9" x14ac:dyDescent="0.2">
      <c r="G236" s="135"/>
      <c r="H236" s="136"/>
      <c r="I236" s="136"/>
    </row>
    <row r="237" spans="7:9" x14ac:dyDescent="0.2">
      <c r="G237" s="135"/>
      <c r="H237" s="136"/>
      <c r="I237" s="136"/>
    </row>
    <row r="238" spans="7:9" x14ac:dyDescent="0.2">
      <c r="G238" s="135"/>
      <c r="H238" s="136"/>
      <c r="I238" s="136"/>
    </row>
    <row r="239" spans="7:9" x14ac:dyDescent="0.2">
      <c r="G239" s="135"/>
      <c r="H239" s="136"/>
      <c r="I239" s="136"/>
    </row>
    <row r="240" spans="7:9" x14ac:dyDescent="0.2">
      <c r="G240" s="135"/>
      <c r="H240" s="136"/>
      <c r="I240" s="136"/>
    </row>
    <row r="241" spans="7:9" x14ac:dyDescent="0.2">
      <c r="G241" s="135"/>
      <c r="H241" s="136"/>
      <c r="I241" s="136"/>
    </row>
    <row r="242" spans="7:9" x14ac:dyDescent="0.2">
      <c r="G242" s="135"/>
      <c r="H242" s="136"/>
      <c r="I242" s="136"/>
    </row>
    <row r="243" spans="7:9" x14ac:dyDescent="0.2">
      <c r="G243" s="135"/>
      <c r="H243" s="136"/>
      <c r="I243" s="136"/>
    </row>
    <row r="244" spans="7:9" x14ac:dyDescent="0.2">
      <c r="G244" s="135"/>
      <c r="H244" s="136"/>
      <c r="I244" s="136"/>
    </row>
    <row r="245" spans="7:9" x14ac:dyDescent="0.2">
      <c r="G245" s="135"/>
      <c r="H245" s="136"/>
      <c r="I245" s="136"/>
    </row>
    <row r="246" spans="7:9" x14ac:dyDescent="0.2">
      <c r="G246" s="135"/>
      <c r="H246" s="136"/>
      <c r="I246" s="136"/>
    </row>
    <row r="247" spans="7:9" x14ac:dyDescent="0.2">
      <c r="G247" s="135"/>
      <c r="H247" s="136"/>
      <c r="I247" s="136"/>
    </row>
    <row r="248" spans="7:9" x14ac:dyDescent="0.2">
      <c r="G248" s="135"/>
      <c r="H248" s="136"/>
      <c r="I248" s="136"/>
    </row>
    <row r="249" spans="7:9" x14ac:dyDescent="0.2">
      <c r="G249" s="135"/>
      <c r="H249" s="136"/>
      <c r="I249" s="136"/>
    </row>
    <row r="250" spans="7:9" x14ac:dyDescent="0.2">
      <c r="G250" s="135"/>
      <c r="H250" s="136"/>
      <c r="I250" s="136"/>
    </row>
    <row r="251" spans="7:9" x14ac:dyDescent="0.2">
      <c r="G251" s="135"/>
      <c r="H251" s="136"/>
      <c r="I251" s="136"/>
    </row>
    <row r="252" spans="7:9" x14ac:dyDescent="0.2">
      <c r="G252" s="135"/>
      <c r="H252" s="136"/>
      <c r="I252" s="136"/>
    </row>
    <row r="253" spans="7:9" x14ac:dyDescent="0.2">
      <c r="G253" s="135"/>
      <c r="H253" s="136"/>
      <c r="I253" s="136"/>
    </row>
    <row r="254" spans="7:9" x14ac:dyDescent="0.2">
      <c r="G254" s="135"/>
      <c r="H254" s="136"/>
      <c r="I254" s="136"/>
    </row>
    <row r="255" spans="7:9" x14ac:dyDescent="0.2">
      <c r="G255" s="135"/>
      <c r="H255" s="136"/>
      <c r="I255" s="136"/>
    </row>
    <row r="256" spans="7:9" x14ac:dyDescent="0.2">
      <c r="G256" s="135"/>
      <c r="H256" s="136"/>
      <c r="I256" s="136"/>
    </row>
    <row r="257" spans="7:9" x14ac:dyDescent="0.2">
      <c r="G257" s="135"/>
      <c r="H257" s="136"/>
      <c r="I257" s="136"/>
    </row>
    <row r="258" spans="7:9" x14ac:dyDescent="0.2">
      <c r="G258" s="135"/>
      <c r="H258" s="136"/>
      <c r="I258" s="136"/>
    </row>
    <row r="259" spans="7:9" x14ac:dyDescent="0.2">
      <c r="G259" s="135"/>
      <c r="H259" s="136"/>
      <c r="I259" s="136"/>
    </row>
    <row r="260" spans="7:9" x14ac:dyDescent="0.2">
      <c r="G260" s="135"/>
      <c r="H260" s="136"/>
      <c r="I260" s="136"/>
    </row>
    <row r="261" spans="7:9" x14ac:dyDescent="0.2">
      <c r="G261" s="135"/>
      <c r="H261" s="136"/>
      <c r="I261" s="136"/>
    </row>
    <row r="262" spans="7:9" x14ac:dyDescent="0.2">
      <c r="G262" s="135"/>
      <c r="H262" s="136"/>
      <c r="I262" s="136"/>
    </row>
    <row r="263" spans="7:9" x14ac:dyDescent="0.2">
      <c r="G263" s="135"/>
      <c r="H263" s="136"/>
      <c r="I263" s="136"/>
    </row>
    <row r="264" spans="7:9" x14ac:dyDescent="0.2">
      <c r="G264" s="135"/>
      <c r="H264" s="136"/>
      <c r="I264" s="136"/>
    </row>
    <row r="265" spans="7:9" x14ac:dyDescent="0.2">
      <c r="G265" s="135"/>
      <c r="H265" s="136"/>
      <c r="I265" s="136"/>
    </row>
    <row r="266" spans="7:9" x14ac:dyDescent="0.2">
      <c r="G266" s="135"/>
      <c r="H266" s="136"/>
      <c r="I266" s="136"/>
    </row>
    <row r="267" spans="7:9" x14ac:dyDescent="0.2">
      <c r="G267" s="135"/>
      <c r="H267" s="136"/>
      <c r="I267" s="136"/>
    </row>
    <row r="268" spans="7:9" x14ac:dyDescent="0.2">
      <c r="G268" s="135"/>
      <c r="H268" s="136"/>
      <c r="I268" s="136"/>
    </row>
    <row r="269" spans="7:9" x14ac:dyDescent="0.2">
      <c r="G269" s="135"/>
      <c r="H269" s="136"/>
      <c r="I269" s="136"/>
    </row>
    <row r="270" spans="7:9" x14ac:dyDescent="0.2">
      <c r="G270" s="135"/>
      <c r="H270" s="136"/>
      <c r="I270" s="136"/>
    </row>
    <row r="271" spans="7:9" x14ac:dyDescent="0.2">
      <c r="G271" s="135"/>
      <c r="H271" s="136"/>
      <c r="I271" s="136"/>
    </row>
    <row r="272" spans="7:9" x14ac:dyDescent="0.2">
      <c r="G272" s="135"/>
      <c r="H272" s="136"/>
      <c r="I272" s="136"/>
    </row>
    <row r="273" spans="7:9" x14ac:dyDescent="0.2">
      <c r="G273" s="135"/>
      <c r="H273" s="136"/>
      <c r="I273" s="136"/>
    </row>
    <row r="274" spans="7:9" x14ac:dyDescent="0.2">
      <c r="G274" s="135"/>
      <c r="H274" s="136"/>
      <c r="I274" s="136"/>
    </row>
    <row r="275" spans="7:9" x14ac:dyDescent="0.2">
      <c r="G275" s="135"/>
      <c r="H275" s="136"/>
      <c r="I275" s="136"/>
    </row>
    <row r="276" spans="7:9" x14ac:dyDescent="0.2">
      <c r="G276" s="135"/>
      <c r="H276" s="136"/>
      <c r="I276" s="136"/>
    </row>
    <row r="277" spans="7:9" x14ac:dyDescent="0.2">
      <c r="G277" s="135"/>
      <c r="H277" s="136"/>
      <c r="I277" s="136"/>
    </row>
    <row r="278" spans="7:9" x14ac:dyDescent="0.2">
      <c r="G278" s="135"/>
      <c r="H278" s="136"/>
      <c r="I278" s="136"/>
    </row>
    <row r="279" spans="7:9" x14ac:dyDescent="0.2">
      <c r="G279" s="135"/>
      <c r="H279" s="136"/>
      <c r="I279" s="136"/>
    </row>
    <row r="280" spans="7:9" x14ac:dyDescent="0.2">
      <c r="G280" s="135"/>
      <c r="H280" s="136"/>
      <c r="I280" s="136"/>
    </row>
    <row r="281" spans="7:9" x14ac:dyDescent="0.2">
      <c r="G281" s="135"/>
      <c r="H281" s="136"/>
      <c r="I281" s="136"/>
    </row>
    <row r="282" spans="7:9" x14ac:dyDescent="0.2">
      <c r="G282" s="135"/>
      <c r="H282" s="136"/>
      <c r="I282" s="136"/>
    </row>
    <row r="283" spans="7:9" x14ac:dyDescent="0.2">
      <c r="G283" s="135"/>
      <c r="H283" s="136"/>
      <c r="I283" s="136"/>
    </row>
    <row r="284" spans="7:9" x14ac:dyDescent="0.2">
      <c r="G284" s="135"/>
      <c r="H284" s="136"/>
      <c r="I284" s="136"/>
    </row>
    <row r="285" spans="7:9" x14ac:dyDescent="0.2">
      <c r="G285" s="135"/>
      <c r="H285" s="136"/>
      <c r="I285" s="136"/>
    </row>
    <row r="286" spans="7:9" x14ac:dyDescent="0.2">
      <c r="G286" s="135"/>
      <c r="H286" s="136"/>
      <c r="I286" s="136"/>
    </row>
    <row r="287" spans="7:9" x14ac:dyDescent="0.2">
      <c r="G287" s="135"/>
      <c r="H287" s="136"/>
      <c r="I287" s="136"/>
    </row>
    <row r="288" spans="7:9" x14ac:dyDescent="0.2">
      <c r="G288" s="135"/>
      <c r="H288" s="136"/>
      <c r="I288" s="136"/>
    </row>
    <row r="289" spans="7:9" x14ac:dyDescent="0.2">
      <c r="G289" s="135"/>
      <c r="H289" s="136"/>
      <c r="I289" s="136"/>
    </row>
    <row r="290" spans="7:9" x14ac:dyDescent="0.2">
      <c r="G290" s="135"/>
      <c r="H290" s="136"/>
      <c r="I290" s="136"/>
    </row>
    <row r="291" spans="7:9" x14ac:dyDescent="0.2">
      <c r="G291" s="135"/>
      <c r="H291" s="136"/>
      <c r="I291" s="136"/>
    </row>
    <row r="292" spans="7:9" x14ac:dyDescent="0.2">
      <c r="G292" s="135"/>
      <c r="H292" s="136"/>
      <c r="I292" s="136"/>
    </row>
    <row r="293" spans="7:9" x14ac:dyDescent="0.2">
      <c r="G293" s="135"/>
      <c r="H293" s="136"/>
      <c r="I293" s="136"/>
    </row>
    <row r="294" spans="7:9" x14ac:dyDescent="0.2">
      <c r="G294" s="135"/>
      <c r="H294" s="136"/>
      <c r="I294" s="136"/>
    </row>
    <row r="295" spans="7:9" x14ac:dyDescent="0.2">
      <c r="G295" s="135"/>
      <c r="H295" s="136"/>
      <c r="I295" s="136"/>
    </row>
    <row r="296" spans="7:9" x14ac:dyDescent="0.2">
      <c r="G296" s="135"/>
      <c r="H296" s="136"/>
      <c r="I296" s="136"/>
    </row>
    <row r="297" spans="7:9" x14ac:dyDescent="0.2">
      <c r="G297" s="135"/>
      <c r="H297" s="136"/>
      <c r="I297" s="136"/>
    </row>
    <row r="298" spans="7:9" x14ac:dyDescent="0.2">
      <c r="G298" s="135"/>
      <c r="H298" s="136"/>
      <c r="I298" s="136"/>
    </row>
    <row r="299" spans="7:9" x14ac:dyDescent="0.2">
      <c r="G299" s="135"/>
      <c r="H299" s="136"/>
      <c r="I299" s="136"/>
    </row>
    <row r="300" spans="7:9" x14ac:dyDescent="0.2">
      <c r="G300" s="135"/>
      <c r="H300" s="136"/>
      <c r="I300" s="136"/>
    </row>
    <row r="301" spans="7:9" x14ac:dyDescent="0.2">
      <c r="G301" s="135"/>
      <c r="H301" s="136"/>
      <c r="I301" s="136"/>
    </row>
    <row r="302" spans="7:9" x14ac:dyDescent="0.2">
      <c r="G302" s="135"/>
      <c r="H302" s="136"/>
      <c r="I302" s="136"/>
    </row>
    <row r="303" spans="7:9" x14ac:dyDescent="0.2">
      <c r="G303" s="135"/>
      <c r="H303" s="136"/>
      <c r="I303" s="136"/>
    </row>
    <row r="304" spans="7:9" x14ac:dyDescent="0.2">
      <c r="G304" s="135"/>
      <c r="H304" s="136"/>
      <c r="I304" s="136"/>
    </row>
    <row r="305" spans="7:9" x14ac:dyDescent="0.2">
      <c r="G305" s="135"/>
      <c r="H305" s="136"/>
      <c r="I305" s="136"/>
    </row>
    <row r="306" spans="7:9" x14ac:dyDescent="0.2">
      <c r="G306" s="135"/>
      <c r="H306" s="136"/>
      <c r="I306" s="136"/>
    </row>
    <row r="307" spans="7:9" x14ac:dyDescent="0.2">
      <c r="G307" s="135"/>
      <c r="H307" s="136"/>
      <c r="I307" s="136"/>
    </row>
    <row r="308" spans="7:9" x14ac:dyDescent="0.2">
      <c r="G308" s="135"/>
      <c r="H308" s="136"/>
      <c r="I308" s="136"/>
    </row>
    <row r="309" spans="7:9" x14ac:dyDescent="0.2">
      <c r="G309" s="135"/>
      <c r="H309" s="136"/>
      <c r="I309" s="136"/>
    </row>
    <row r="310" spans="7:9" x14ac:dyDescent="0.2">
      <c r="G310" s="135"/>
      <c r="H310" s="136"/>
      <c r="I310" s="136"/>
    </row>
    <row r="311" spans="7:9" x14ac:dyDescent="0.2">
      <c r="G311" s="135"/>
      <c r="H311" s="136"/>
      <c r="I311" s="136"/>
    </row>
    <row r="312" spans="7:9" x14ac:dyDescent="0.2">
      <c r="G312" s="135"/>
      <c r="H312" s="136"/>
      <c r="I312" s="136"/>
    </row>
    <row r="313" spans="7:9" x14ac:dyDescent="0.2">
      <c r="G313" s="135"/>
      <c r="H313" s="136"/>
      <c r="I313" s="136"/>
    </row>
    <row r="314" spans="7:9" x14ac:dyDescent="0.2">
      <c r="G314" s="135"/>
      <c r="H314" s="136"/>
      <c r="I314" s="136"/>
    </row>
    <row r="315" spans="7:9" x14ac:dyDescent="0.2">
      <c r="G315" s="135"/>
      <c r="H315" s="136"/>
      <c r="I315" s="136"/>
    </row>
    <row r="316" spans="7:9" x14ac:dyDescent="0.2">
      <c r="G316" s="135"/>
      <c r="H316" s="136"/>
      <c r="I316" s="136"/>
    </row>
    <row r="317" spans="7:9" x14ac:dyDescent="0.2">
      <c r="G317" s="135"/>
      <c r="H317" s="136"/>
      <c r="I317" s="136"/>
    </row>
    <row r="318" spans="7:9" x14ac:dyDescent="0.2">
      <c r="G318" s="135"/>
      <c r="H318" s="136"/>
      <c r="I318" s="136"/>
    </row>
    <row r="319" spans="7:9" x14ac:dyDescent="0.2">
      <c r="G319" s="135"/>
      <c r="H319" s="136"/>
      <c r="I319" s="136"/>
    </row>
    <row r="320" spans="7:9" x14ac:dyDescent="0.2">
      <c r="G320" s="135"/>
      <c r="H320" s="136"/>
      <c r="I320" s="136"/>
    </row>
    <row r="321" spans="7:9" x14ac:dyDescent="0.2">
      <c r="G321" s="135"/>
      <c r="H321" s="136"/>
      <c r="I321" s="136"/>
    </row>
    <row r="322" spans="7:9" x14ac:dyDescent="0.2">
      <c r="G322" s="135"/>
      <c r="H322" s="136"/>
      <c r="I322" s="136"/>
    </row>
    <row r="323" spans="7:9" x14ac:dyDescent="0.2">
      <c r="G323" s="135"/>
      <c r="H323" s="136"/>
      <c r="I323" s="136"/>
    </row>
    <row r="324" spans="7:9" x14ac:dyDescent="0.2">
      <c r="G324" s="135"/>
      <c r="H324" s="136"/>
      <c r="I324" s="136"/>
    </row>
    <row r="325" spans="7:9" x14ac:dyDescent="0.2">
      <c r="G325" s="135"/>
      <c r="H325" s="136"/>
      <c r="I325" s="136"/>
    </row>
    <row r="326" spans="7:9" x14ac:dyDescent="0.2">
      <c r="G326" s="135"/>
      <c r="H326" s="136"/>
      <c r="I326" s="136"/>
    </row>
    <row r="327" spans="7:9" x14ac:dyDescent="0.2">
      <c r="G327" s="135"/>
      <c r="H327" s="136"/>
      <c r="I327" s="136"/>
    </row>
    <row r="328" spans="7:9" x14ac:dyDescent="0.2">
      <c r="G328" s="135"/>
      <c r="H328" s="136"/>
      <c r="I328" s="136"/>
    </row>
    <row r="329" spans="7:9" x14ac:dyDescent="0.2">
      <c r="G329" s="135"/>
      <c r="H329" s="136"/>
      <c r="I329" s="136"/>
    </row>
    <row r="330" spans="7:9" x14ac:dyDescent="0.2">
      <c r="G330" s="135"/>
      <c r="H330" s="136"/>
      <c r="I330" s="136"/>
    </row>
    <row r="331" spans="7:9" x14ac:dyDescent="0.2">
      <c r="G331" s="135"/>
      <c r="H331" s="136"/>
      <c r="I331" s="136"/>
    </row>
    <row r="332" spans="7:9" x14ac:dyDescent="0.2">
      <c r="G332" s="135"/>
      <c r="H332" s="136"/>
      <c r="I332" s="136"/>
    </row>
    <row r="333" spans="7:9" x14ac:dyDescent="0.2">
      <c r="G333" s="135"/>
      <c r="H333" s="136"/>
      <c r="I333" s="136"/>
    </row>
    <row r="334" spans="7:9" x14ac:dyDescent="0.2">
      <c r="G334" s="135"/>
      <c r="H334" s="136"/>
      <c r="I334" s="136"/>
    </row>
    <row r="335" spans="7:9" x14ac:dyDescent="0.2">
      <c r="G335" s="135"/>
      <c r="H335" s="136"/>
      <c r="I335" s="136"/>
    </row>
    <row r="336" spans="7:9" x14ac:dyDescent="0.2">
      <c r="G336" s="135"/>
      <c r="H336" s="136"/>
      <c r="I336" s="136"/>
    </row>
    <row r="337" spans="7:9" x14ac:dyDescent="0.2">
      <c r="G337" s="135"/>
      <c r="H337" s="136"/>
      <c r="I337" s="136"/>
    </row>
    <row r="338" spans="7:9" x14ac:dyDescent="0.2">
      <c r="G338" s="135"/>
      <c r="H338" s="136"/>
      <c r="I338" s="136"/>
    </row>
    <row r="339" spans="7:9" x14ac:dyDescent="0.2">
      <c r="G339" s="135"/>
      <c r="H339" s="136"/>
      <c r="I339" s="136"/>
    </row>
    <row r="340" spans="7:9" x14ac:dyDescent="0.2">
      <c r="G340" s="135"/>
      <c r="H340" s="136"/>
      <c r="I340" s="136"/>
    </row>
    <row r="341" spans="7:9" x14ac:dyDescent="0.2">
      <c r="G341" s="135"/>
      <c r="H341" s="136"/>
      <c r="I341" s="136"/>
    </row>
    <row r="342" spans="7:9" x14ac:dyDescent="0.2">
      <c r="G342" s="135"/>
      <c r="H342" s="136"/>
      <c r="I342" s="136"/>
    </row>
    <row r="343" spans="7:9" x14ac:dyDescent="0.2">
      <c r="G343" s="135"/>
      <c r="H343" s="136"/>
      <c r="I343" s="136"/>
    </row>
    <row r="344" spans="7:9" x14ac:dyDescent="0.2">
      <c r="G344" s="135"/>
      <c r="H344" s="136"/>
      <c r="I344" s="136"/>
    </row>
    <row r="345" spans="7:9" x14ac:dyDescent="0.2">
      <c r="G345" s="135"/>
      <c r="H345" s="136"/>
      <c r="I345" s="136"/>
    </row>
    <row r="346" spans="7:9" x14ac:dyDescent="0.2">
      <c r="G346" s="135"/>
      <c r="H346" s="136"/>
      <c r="I346" s="136"/>
    </row>
    <row r="347" spans="7:9" x14ac:dyDescent="0.2">
      <c r="G347" s="135"/>
      <c r="H347" s="136"/>
      <c r="I347" s="136"/>
    </row>
    <row r="348" spans="7:9" x14ac:dyDescent="0.2">
      <c r="G348" s="135"/>
      <c r="H348" s="136"/>
      <c r="I348" s="136"/>
    </row>
    <row r="349" spans="7:9" x14ac:dyDescent="0.2">
      <c r="G349" s="135"/>
      <c r="H349" s="136"/>
      <c r="I349" s="136"/>
    </row>
    <row r="350" spans="7:9" x14ac:dyDescent="0.2">
      <c r="G350" s="135"/>
      <c r="H350" s="136"/>
      <c r="I350" s="136"/>
    </row>
    <row r="351" spans="7:9" x14ac:dyDescent="0.2">
      <c r="G351" s="135"/>
      <c r="H351" s="136"/>
      <c r="I351" s="136"/>
    </row>
    <row r="352" spans="7:9" x14ac:dyDescent="0.2">
      <c r="G352" s="135"/>
      <c r="H352" s="136"/>
      <c r="I352" s="136"/>
    </row>
    <row r="353" spans="7:9" x14ac:dyDescent="0.2">
      <c r="G353" s="135"/>
      <c r="H353" s="136"/>
      <c r="I353" s="136"/>
    </row>
    <row r="354" spans="7:9" x14ac:dyDescent="0.2">
      <c r="G354" s="135"/>
      <c r="H354" s="136"/>
      <c r="I354" s="136"/>
    </row>
    <row r="355" spans="7:9" x14ac:dyDescent="0.2">
      <c r="G355" s="135"/>
      <c r="H355" s="136"/>
      <c r="I355" s="136"/>
    </row>
    <row r="356" spans="7:9" x14ac:dyDescent="0.2">
      <c r="G356" s="135"/>
      <c r="H356" s="136"/>
      <c r="I356" s="136"/>
    </row>
    <row r="357" spans="7:9" x14ac:dyDescent="0.2">
      <c r="G357" s="135"/>
      <c r="H357" s="136"/>
      <c r="I357" s="136"/>
    </row>
    <row r="358" spans="7:9" x14ac:dyDescent="0.2">
      <c r="G358" s="135"/>
      <c r="H358" s="136"/>
      <c r="I358" s="136"/>
    </row>
    <row r="359" spans="7:9" x14ac:dyDescent="0.2">
      <c r="G359" s="135"/>
      <c r="H359" s="136"/>
      <c r="I359" s="136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AS359"/>
  <sheetViews>
    <sheetView showGridLines="0" zoomScale="70" zoomScaleNormal="70" workbookViewId="0">
      <selection activeCell="I41" sqref="I41"/>
    </sheetView>
  </sheetViews>
  <sheetFormatPr defaultRowHeight="16.5" x14ac:dyDescent="0.2"/>
  <cols>
    <col min="1" max="1" width="3" style="41" customWidth="1"/>
    <col min="2" max="2" width="2.25" style="41" customWidth="1"/>
    <col min="3" max="3" width="21.375" style="41" customWidth="1"/>
    <col min="4" max="4" width="15.375" style="41" customWidth="1"/>
    <col min="5" max="5" width="8.625" style="41" customWidth="1"/>
    <col min="6" max="6" width="18" style="41" customWidth="1"/>
    <col min="7" max="7" width="14.125" style="41" customWidth="1"/>
    <col min="8" max="8" width="2.25" style="41" customWidth="1"/>
    <col min="9" max="9" width="19.75" style="41" customWidth="1"/>
    <col min="10" max="10" width="15.125" style="41" bestFit="1" customWidth="1"/>
    <col min="11" max="11" width="5.25" style="41" customWidth="1"/>
    <col min="12" max="12" width="14.5" style="41" bestFit="1" customWidth="1"/>
    <col min="13" max="13" width="4.125" style="41" customWidth="1"/>
    <col min="14" max="14" width="14.625" style="41" customWidth="1"/>
    <col min="15" max="15" width="2.125" style="41" customWidth="1"/>
    <col min="16" max="16" width="17.625" style="41" customWidth="1"/>
    <col min="17" max="17" width="2" style="41" customWidth="1"/>
    <col min="18" max="18" width="15.125" style="41" customWidth="1"/>
    <col min="19" max="19" width="3.5" style="41" customWidth="1"/>
    <col min="20" max="20" width="11.75" style="41" bestFit="1" customWidth="1"/>
    <col min="21" max="21" width="2.25" style="41" customWidth="1"/>
    <col min="22" max="22" width="36.125" style="41" bestFit="1" customWidth="1"/>
    <col min="23" max="23" width="9.75" style="41" customWidth="1"/>
    <col min="24" max="24" width="23.25" style="41" customWidth="1"/>
    <col min="25" max="25" width="12.75" style="41" customWidth="1"/>
    <col min="26" max="26" width="1.375" style="41" customWidth="1"/>
    <col min="27" max="27" width="12.75" style="41" customWidth="1"/>
    <col min="28" max="28" width="1.375" style="41" customWidth="1"/>
    <col min="29" max="29" width="12.75" style="41" customWidth="1"/>
    <col min="30" max="30" width="1.375" style="41" customWidth="1"/>
    <col min="31" max="31" width="12.75" style="41" customWidth="1"/>
    <col min="32" max="32" width="1.375" style="41" customWidth="1"/>
    <col min="33" max="33" width="14.25" style="41" customWidth="1"/>
    <col min="34" max="34" width="1.375" style="41" customWidth="1"/>
    <col min="35" max="35" width="2.25" style="41" customWidth="1"/>
    <col min="36" max="37" width="9" style="41"/>
    <col min="38" max="38" width="13" style="41" bestFit="1" customWidth="1"/>
    <col min="39" max="39" width="9" style="41"/>
    <col min="40" max="40" width="13" style="41" bestFit="1" customWidth="1"/>
    <col min="41" max="41" width="9" style="41"/>
    <col min="42" max="42" width="13" style="41" bestFit="1" customWidth="1"/>
    <col min="43" max="16384" width="9" style="41"/>
  </cols>
  <sheetData>
    <row r="1" spans="2:45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</row>
    <row r="2" spans="2:45" ht="24" customHeight="1" x14ac:dyDescent="0.5">
      <c r="C2" s="43" t="str">
        <f>[1]!S_Info_Name(D2)</f>
        <v>英伟达(NVIDIA)</v>
      </c>
      <c r="D2" s="192" t="s">
        <v>244</v>
      </c>
      <c r="F2" s="44">
        <f>预测结果!A3</f>
        <v>45657</v>
      </c>
      <c r="G2" s="44"/>
      <c r="T2" s="46"/>
      <c r="V2" s="46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 s="7" customFormat="1" ht="12" customHeight="1" x14ac:dyDescent="0.2">
      <c r="C3" s="47"/>
      <c r="E3" s="47"/>
      <c r="F3" s="47"/>
      <c r="G3" s="48"/>
      <c r="J3" s="47"/>
      <c r="K3" s="47"/>
      <c r="L3" s="47"/>
      <c r="M3" s="47"/>
      <c r="N3" s="47"/>
      <c r="O3" s="47"/>
      <c r="Q3" s="47"/>
      <c r="R3" s="47"/>
      <c r="S3" s="47"/>
      <c r="T3" s="48"/>
      <c r="U3" s="47"/>
      <c r="V3" s="48"/>
      <c r="W3" s="47"/>
      <c r="Y3" s="47"/>
    </row>
    <row r="4" spans="2:45" s="7" customFormat="1" ht="17.2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2:45" s="7" customFormat="1" ht="24.6" customHeight="1" x14ac:dyDescent="0.2">
      <c r="B5" s="49"/>
      <c r="C5" s="51" t="s">
        <v>203</v>
      </c>
      <c r="D5" s="51"/>
      <c r="E5" s="51"/>
      <c r="F5" s="51"/>
      <c r="G5" s="51"/>
      <c r="H5" s="112"/>
      <c r="I5" s="51" t="s">
        <v>80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49"/>
      <c r="V5" s="51" t="s">
        <v>202</v>
      </c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49"/>
    </row>
    <row r="6" spans="2:45" s="7" customFormat="1" ht="24.6" customHeight="1" x14ac:dyDescent="0.2">
      <c r="B6" s="49"/>
      <c r="C6" s="53" t="s">
        <v>201</v>
      </c>
      <c r="D6" s="13"/>
      <c r="E6" s="54"/>
      <c r="F6" s="72" t="str">
        <f>D2</f>
        <v>NVDA.O</v>
      </c>
      <c r="G6" s="55"/>
      <c r="H6" s="55"/>
      <c r="I6" s="13"/>
      <c r="J6" s="54" t="s">
        <v>200</v>
      </c>
      <c r="K6" s="54"/>
      <c r="L6" s="54" t="s">
        <v>199</v>
      </c>
      <c r="M6" s="54"/>
      <c r="N6" s="54" t="s">
        <v>198</v>
      </c>
      <c r="O6" s="54"/>
      <c r="P6" s="54" t="s">
        <v>197</v>
      </c>
      <c r="Q6" s="54"/>
      <c r="R6" s="54" t="s">
        <v>196</v>
      </c>
      <c r="S6" s="54"/>
      <c r="T6" s="54" t="s">
        <v>17</v>
      </c>
      <c r="U6" s="49"/>
      <c r="V6" s="13"/>
      <c r="W6" s="13"/>
      <c r="X6" s="13"/>
      <c r="Y6" s="54" t="s">
        <v>16</v>
      </c>
      <c r="Z6" s="54"/>
      <c r="AA6" s="54" t="s">
        <v>18</v>
      </c>
      <c r="AB6" s="54"/>
      <c r="AC6" s="54" t="s">
        <v>19</v>
      </c>
      <c r="AD6" s="54"/>
      <c r="AE6" s="54" t="s">
        <v>20</v>
      </c>
      <c r="AF6" s="54"/>
      <c r="AG6" s="54" t="s">
        <v>21</v>
      </c>
      <c r="AH6" s="54"/>
      <c r="AI6" s="49"/>
    </row>
    <row r="7" spans="2:45" s="7" customFormat="1" ht="24.6" customHeight="1" x14ac:dyDescent="0.2">
      <c r="B7" s="49"/>
      <c r="C7" s="56" t="s">
        <v>195</v>
      </c>
      <c r="D7" s="20"/>
      <c r="E7" s="57"/>
      <c r="F7" s="113" t="str">
        <f>[1]!S_Info_Name(F6)</f>
        <v>英伟达(NVIDIA)</v>
      </c>
      <c r="G7" s="20"/>
      <c r="H7" s="13"/>
      <c r="I7" s="56" t="s">
        <v>81</v>
      </c>
      <c r="J7" s="57">
        <f>DATE(YEAR(L7),MONTH(L7)-11,0)</f>
        <v>44957</v>
      </c>
      <c r="K7" s="57"/>
      <c r="L7" s="57">
        <f>IFERROR(IF(DATE(YEAR(F2),LEFT(F22,2)+1,0)&lt;=F2,DATE(YEAR(F2),LEFT(F22,2)+1,0),DATE(YEAR(F2),LEFT(F22,2)-11,0)),"NA")</f>
        <v>45322</v>
      </c>
      <c r="M7" s="57"/>
      <c r="N7" s="57">
        <f>DATE(YEAR(L7),MONTH(L7)+13,0)</f>
        <v>45688</v>
      </c>
      <c r="O7" s="57"/>
      <c r="P7" s="57">
        <f>DATE(YEAR(N7),MONTH(N7)+13,0)</f>
        <v>46053</v>
      </c>
      <c r="Q7" s="57"/>
      <c r="R7" s="57">
        <f>DATE(YEAR(P7),MONTH(P7)+13,0)</f>
        <v>46418</v>
      </c>
      <c r="S7" s="57"/>
      <c r="T7" s="57">
        <f>DATE(YEAR(R7),MONTH(R7)+13,0)</f>
        <v>46783</v>
      </c>
      <c r="U7" s="49"/>
      <c r="V7" s="20"/>
      <c r="W7" s="20"/>
      <c r="X7" s="20"/>
      <c r="Y7" s="57">
        <f>IFERROR(IF(DATE(YEAR(F2),LEFT(F22,2)+1,0)&lt;=F2,DATE(YEAR(F2),LEFT(F22,2)+1,0),DATE(YEAR(F2),LEFT(F22,2)-11,0)),"NA")</f>
        <v>45322</v>
      </c>
      <c r="Z7" s="57"/>
      <c r="AA7" s="57">
        <f>DATE(YEAR(Y7),MONTH(Y7)+13,0)</f>
        <v>45688</v>
      </c>
      <c r="AB7" s="57"/>
      <c r="AC7" s="57">
        <f>DATE(YEAR(AA7),MONTH(AA7)+13,0)</f>
        <v>46053</v>
      </c>
      <c r="AD7" s="57"/>
      <c r="AE7" s="57">
        <f>DATE(YEAR(AC7),MONTH(AC7)+13,0)</f>
        <v>46418</v>
      </c>
      <c r="AF7" s="57"/>
      <c r="AG7" s="57">
        <f>DATE(YEAR(AE7),MONTH(AE7)+13,0)</f>
        <v>46783</v>
      </c>
      <c r="AH7" s="57"/>
      <c r="AI7" s="49"/>
    </row>
    <row r="8" spans="2:45" s="7" customFormat="1" ht="24.6" customHeight="1" x14ac:dyDescent="0.2">
      <c r="B8" s="49"/>
      <c r="C8" s="53" t="s">
        <v>194</v>
      </c>
      <c r="D8" s="13"/>
      <c r="E8" s="58"/>
      <c r="F8" s="114" t="str">
        <f>[1]!s_info_compname(F6)</f>
        <v>英伟达公司</v>
      </c>
      <c r="G8" s="13"/>
      <c r="H8" s="13"/>
      <c r="I8" s="53" t="s">
        <v>193</v>
      </c>
      <c r="J8" s="115">
        <f>YEAR(J7)</f>
        <v>2023</v>
      </c>
      <c r="K8" s="115"/>
      <c r="L8" s="115">
        <f>YEAR(L7)</f>
        <v>2024</v>
      </c>
      <c r="M8" s="115"/>
      <c r="N8" s="115">
        <f>YEAR(N7)</f>
        <v>2025</v>
      </c>
      <c r="O8" s="115"/>
      <c r="P8" s="115">
        <f>YEAR(P7)</f>
        <v>2026</v>
      </c>
      <c r="Q8" s="115"/>
      <c r="R8" s="115">
        <f>YEAR(R7)</f>
        <v>2027</v>
      </c>
      <c r="S8" s="115"/>
      <c r="T8" s="115">
        <f>YEAR(T7)</f>
        <v>2028</v>
      </c>
      <c r="U8" s="49"/>
      <c r="V8" s="53" t="s">
        <v>192</v>
      </c>
      <c r="W8" s="13"/>
      <c r="X8" s="13"/>
      <c r="Y8" s="59">
        <f>[1]!hks_stm_bs($D2,"140",DATE(IF(MONTH(Y7)&gt;=6,YEAR(Y7)-1,YEAR(Y7)-2),12,31),1,"Cur="&amp;$F$14,100000000)</f>
        <v>266.12</v>
      </c>
      <c r="Z8" s="58"/>
      <c r="AA8" s="59">
        <f>IFERROR(Y12,"NA")</f>
        <v>221.01</v>
      </c>
      <c r="AB8" s="58"/>
      <c r="AC8" s="59">
        <f>IFERROR(AA12,"NA")</f>
        <v>790.61249999999995</v>
      </c>
      <c r="AD8" s="58"/>
      <c r="AE8" s="59">
        <f>IFERROR(AC12,"NA")</f>
        <v>1504.26</v>
      </c>
      <c r="AF8" s="58"/>
      <c r="AG8" s="59">
        <f>IFERROR(AE12,"NA")</f>
        <v>2351.9324999999999</v>
      </c>
      <c r="AH8" s="58"/>
      <c r="AI8" s="49"/>
    </row>
    <row r="9" spans="2:45" s="7" customFormat="1" ht="24.6" customHeight="1" thickBot="1" x14ac:dyDescent="0.25">
      <c r="B9" s="49"/>
      <c r="C9" s="61" t="s">
        <v>25</v>
      </c>
      <c r="D9" s="62"/>
      <c r="E9" s="62"/>
      <c r="F9" s="116" t="str">
        <f>[1]!s_info_industry_gics(F6,4)</f>
        <v>半导体产品</v>
      </c>
      <c r="G9" s="62"/>
      <c r="H9" s="13"/>
      <c r="I9" s="56" t="s">
        <v>23</v>
      </c>
      <c r="J9" s="63">
        <f>[1]!hks_fa_bps($D$2,DATE(YEAR(J7),12,31),"Cur="&amp;$F$14)</f>
        <v>8.9622870999999993</v>
      </c>
      <c r="K9" s="63"/>
      <c r="L9" s="117">
        <f>[1]!hks_fa_bps($D$2,DATE(YEAR(L7),12,31),"Cur="&amp;$F$14)</f>
        <v>17.44237013</v>
      </c>
      <c r="M9" s="63"/>
      <c r="N9" s="63">
        <f>IF([1]!s_west_avgbps1($D$2,YEAR(N7),N7,180,"Cur="&amp;$F$14)=0,"NA",[1]!s_west_avgbps1($D$2,YEAR(N7),N7,180,"Cur="&amp;$F$14))</f>
        <v>38.15</v>
      </c>
      <c r="O9" s="63"/>
      <c r="P9" s="63">
        <f>IF([1]!s_west_avgbps1($D$2,YEAR(P7),P7,180,"Cur="&amp;$F$14)=0,"NA",[1]!s_west_avgbps1($D$2,YEAR(P7),P7,180,"Cur="&amp;$F$14))</f>
        <v>66.842399999999998</v>
      </c>
      <c r="Q9" s="63"/>
      <c r="R9" s="63">
        <f>IF([1]!s_west_avgbps1($D$2,YEAR(R7),R7,180,"Cur="&amp;$F$14)=0,"NA",[1]!s_west_avgbps1($D$2,YEAR(R7),R7,180,"Cur="&amp;$F$14))</f>
        <v>101.91840000000001</v>
      </c>
      <c r="S9" s="63"/>
      <c r="T9" s="63" t="str">
        <f>IF([1]!s_west_avgbps1($D$2,YEAR(T7),T7,180,"Cur="&amp;$F$14)=0,"NA",[1]!s_west_avgbps1($D$2,YEAR(T7),T7,180,"Cur="&amp;$F$14))</f>
        <v>NA</v>
      </c>
      <c r="U9" s="49"/>
      <c r="V9" s="20"/>
      <c r="W9" s="20" t="s">
        <v>191</v>
      </c>
      <c r="X9" s="20"/>
      <c r="Y9" s="64">
        <f>[1]!hks_stm_is(D2,"61",DATE(IF(MONTH(Y7)&gt;=6,YEAR(Y7),YEAR(Y7)-1),12,31),1,"Cur="&amp;$F$14,100000000)</f>
        <v>43.68</v>
      </c>
      <c r="Z9" s="63"/>
      <c r="AA9" s="64">
        <f>IFERROR(N10*$F$26/10000,"NA")</f>
        <v>574.23749999999995</v>
      </c>
      <c r="AB9" s="63"/>
      <c r="AC9" s="64">
        <f>IFERROR(P10*$F$26/10000,"NA")</f>
        <v>718.54</v>
      </c>
      <c r="AD9" s="63"/>
      <c r="AE9" s="64">
        <f>IFERROR(R10*$F$26/10000,"NA")</f>
        <v>852.62249999999995</v>
      </c>
      <c r="AF9" s="63"/>
      <c r="AG9" s="64" t="str">
        <f>IFERROR(T10*$F$26/10000,"NA")</f>
        <v>NA</v>
      </c>
      <c r="AH9" s="63"/>
      <c r="AI9" s="49"/>
    </row>
    <row r="10" spans="2:45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190</v>
      </c>
      <c r="J10" s="58">
        <f>[1]!hks_fa_eps_diluted3($D2,DATE(YEAR(J7),12,31),"Cur="&amp;$F$14)</f>
        <v>1.7713000000000001</v>
      </c>
      <c r="K10" s="104"/>
      <c r="L10" s="58">
        <f>[1]!hks_fa_eps_diluted3($D2,DATE(YEAR(L7),12,31),"Cur="&amp;$F$14)</f>
        <v>12.0779</v>
      </c>
      <c r="M10" s="58"/>
      <c r="N10" s="127">
        <f>IF([1]!s_est_eps1($D$2,YEAR(N7),$F$2,"Cur="&amp;$F$14)=0,"NA",[1]!s_est_eps1($D$2,YEAR(N7),$F$2,"Cur="&amp;$F$14))</f>
        <v>22.9695</v>
      </c>
      <c r="O10" s="58"/>
      <c r="P10" s="127">
        <f>IF([1]!s_est_eps1($D$2,YEAR(P7),$F$2,"Cur="&amp;$F$14)=0,"NA",[1]!s_est_eps1($D$2,YEAR(P7),$F$2,"Cur="&amp;$F$14))</f>
        <v>28.741599999999998</v>
      </c>
      <c r="Q10" s="58"/>
      <c r="R10" s="127">
        <f>IF([1]!s_est_eps1($D$2,YEAR(R7),$F$2,"Cur="&amp;$F$14)=0,"NA",[1]!s_est_eps1($D$2,YEAR(R7),$F$2,"Cur="&amp;$F$14))</f>
        <v>34.104900000000001</v>
      </c>
      <c r="S10" s="58"/>
      <c r="T10" s="127" t="str">
        <f>IF([1]!s_est_eps1($D$2,YEAR(T7),$F$2,"Cur="&amp;$F$14)=0,"NA",[1]!s_est_eps1($D$2,YEAR(T7),$F$2,"Cur="&amp;$F$14))</f>
        <v>NA</v>
      </c>
      <c r="U10" s="49"/>
      <c r="V10" s="13"/>
      <c r="W10" s="13" t="s">
        <v>28</v>
      </c>
      <c r="X10" s="13"/>
      <c r="Y10" s="59"/>
      <c r="Z10" s="58"/>
      <c r="AA10" s="59">
        <f>IFERROR(N11*$F$26/10000,"NA")</f>
        <v>4.6349999999999998</v>
      </c>
      <c r="AB10" s="58"/>
      <c r="AC10" s="59">
        <f>IFERROR(P11*$F$26/10000,"NA")</f>
        <v>4.8925000000000001</v>
      </c>
      <c r="AD10" s="58"/>
      <c r="AE10" s="59">
        <f>IFERROR(R11*$F$26/10000,"NA")</f>
        <v>4.95</v>
      </c>
      <c r="AF10" s="58"/>
      <c r="AG10" s="59" t="str">
        <f>IFERROR(T11*$F$26/10000,"NA")</f>
        <v>NA</v>
      </c>
      <c r="AH10" s="58"/>
      <c r="AI10" s="49"/>
    </row>
    <row r="11" spans="2:45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95"/>
      <c r="I11" s="56" t="s">
        <v>189</v>
      </c>
      <c r="J11" s="63">
        <f>[1]!hks_fa_dps($D$2,YEAR(J7),"Cur="&amp;$F$14)</f>
        <v>0.16</v>
      </c>
      <c r="K11" s="63"/>
      <c r="L11" s="63">
        <f>[1]!hks_fa_dps($D$2,YEAR(L7),"Cur="&amp;$F$14)</f>
        <v>0.16</v>
      </c>
      <c r="M11" s="63"/>
      <c r="N11" s="63">
        <f>IF([1]!s_est_avgdps1($D$2,YEAR(N7),$F$2,"Cur="&amp;$F$14)=0,"NA",[1]!s_est_avgdps1($D$2,YEAR(N7),$F$2,"Cur="&amp;$F$14))</f>
        <v>0.18540000000000001</v>
      </c>
      <c r="O11" s="63"/>
      <c r="P11" s="63">
        <f>IF([1]!s_west_mediandps1($D$2,YEAR(P7),$F$2,180,"Cur="&amp;$F$14)=0,"NA",[1]!s_west_mediandps1($D$2,YEAR(P7),$F$2,180,"Cur="&amp;$F$14))</f>
        <v>0.19570000000000001</v>
      </c>
      <c r="Q11" s="63"/>
      <c r="R11" s="63">
        <f>IF([1]!s_west_mediandps1($D$2,YEAR(R7),$F$2,180,"Cur="&amp;$F$14)=0,"NA",[1]!s_west_mediandps1($D$2,YEAR(R7),$F$2,180,"Cur="&amp;$F$14))</f>
        <v>0.19800000000000001</v>
      </c>
      <c r="S11" s="63"/>
      <c r="T11" s="63" t="str">
        <f>IF([1]!s_west_mediandps1($D$2,YEAR(T7),$F$2,180,"Cur="&amp;$F$14)=0,"NA",[1]!s_west_mediandps1($D$2,YEAR(T7),$F$2,180,"Cur="&amp;$F$14))</f>
        <v>NA</v>
      </c>
      <c r="U11" s="49"/>
      <c r="V11" s="20"/>
      <c r="W11" s="20" t="s">
        <v>31</v>
      </c>
      <c r="X11" s="20"/>
      <c r="Y11" s="64"/>
      <c r="Z11" s="63"/>
      <c r="AA11" s="64"/>
      <c r="AB11" s="63"/>
      <c r="AC11" s="64"/>
      <c r="AD11" s="63"/>
      <c r="AE11" s="64"/>
      <c r="AF11" s="63"/>
      <c r="AG11" s="64"/>
      <c r="AH11" s="63"/>
      <c r="AI11" s="49"/>
    </row>
    <row r="12" spans="2:45" s="7" customFormat="1" ht="24.6" customHeight="1" x14ac:dyDescent="0.2">
      <c r="B12" s="49"/>
      <c r="C12" s="53" t="s">
        <v>157</v>
      </c>
      <c r="D12" s="13"/>
      <c r="E12" s="58"/>
      <c r="F12" s="72" t="str">
        <f>[1]!lastradeday_s(D2,F2)</f>
        <v>2024-04-25</v>
      </c>
      <c r="G12" s="49"/>
      <c r="H12" s="49"/>
      <c r="I12" s="53" t="s">
        <v>188</v>
      </c>
      <c r="J12" s="79">
        <f>[1]!hks_fa_roe($D$2,DATE(YEAR(J7),12,31))/100</f>
        <v>0.179336</v>
      </c>
      <c r="K12" s="79"/>
      <c r="L12" s="79">
        <f>[1]!hks_fa_roe($D$2,DATE(YEAR(L7),12,31))/100</f>
        <v>0.91458099999999998</v>
      </c>
      <c r="M12" s="79"/>
      <c r="N12" s="79">
        <f>IF([1]!s_west_avgroe($D$2,YEAR(N7),N7,180)/100=0,"NA",[1]!s_west_avgroe($D$2,YEAR(N7),N7,180)/100)</f>
        <v>0.65136700000000003</v>
      </c>
      <c r="O12" s="79"/>
      <c r="P12" s="79">
        <f>IF([1]!s_west_avgroe($D$2,YEAR(P7),P7,180)/100=0,"NA",[1]!s_west_avgroe($D$2,YEAR(P7),P7,180)/100)</f>
        <v>0.45932200000000001</v>
      </c>
      <c r="Q12" s="79"/>
      <c r="R12" s="79">
        <f>IF([1]!s_west_avgroe($D$2,YEAR(R7),R7,180)/100=0,"NA",[1]!s_west_avgroe($D$2,YEAR(R7),R7,180)/100)</f>
        <v>0.352188</v>
      </c>
      <c r="S12" s="79"/>
      <c r="T12" s="79" t="str">
        <f>IF([1]!s_west_avgroe($D$2,YEAR(T7),T7,180)/100=0,"NA",[1]!s_west_avgroe($D$2,YEAR(T7),T7,180)/100)</f>
        <v>NA</v>
      </c>
      <c r="U12" s="49"/>
      <c r="V12" s="53" t="s">
        <v>187</v>
      </c>
      <c r="W12" s="13"/>
      <c r="X12" s="13"/>
      <c r="Y12" s="60">
        <f>[1]!hks_stm_bs($D2,"140",DATE(IF(MONTH(Y7)&gt;=6,YEAR(Y7),YEAR(Y7)-1),12,31),1,"Cur="&amp;$F$14,100000000)</f>
        <v>221.01</v>
      </c>
      <c r="Z12" s="58"/>
      <c r="AA12" s="60">
        <f>IFERROR(AA8+AA9-AA10,"NA")</f>
        <v>790.61249999999995</v>
      </c>
      <c r="AB12" s="58"/>
      <c r="AC12" s="60">
        <f>IFERROR(AC8+AC9-AC10,"NA")</f>
        <v>1504.26</v>
      </c>
      <c r="AD12" s="58"/>
      <c r="AE12" s="60">
        <f>IFERROR(AE8+AE9-AE10,"NA")</f>
        <v>2351.9324999999999</v>
      </c>
      <c r="AF12" s="58"/>
      <c r="AG12" s="60" t="str">
        <f>IFERROR(AG8+AG9-AG10,"NA")</f>
        <v>NA</v>
      </c>
      <c r="AH12" s="58"/>
      <c r="AI12" s="49"/>
    </row>
    <row r="13" spans="2:45" s="7" customFormat="1" ht="24.6" customHeight="1" x14ac:dyDescent="0.2">
      <c r="B13" s="49"/>
      <c r="C13" s="56" t="s">
        <v>186</v>
      </c>
      <c r="D13" s="20"/>
      <c r="E13" s="64"/>
      <c r="F13" s="69">
        <f>[1]!S_DQ_CLOSE(D2,F12,1)</f>
        <v>826.32</v>
      </c>
      <c r="G13" s="70"/>
      <c r="H13" s="49"/>
      <c r="I13" s="56" t="s">
        <v>185</v>
      </c>
      <c r="J13" s="90">
        <f>[1]!hks_fa_roa($D$2,DATE(YEAR(J7),12,31))/100</f>
        <v>0.10233200000000001</v>
      </c>
      <c r="K13" s="90"/>
      <c r="L13" s="90">
        <f>[1]!hks_fa_roa($D$2,DATE(YEAR(L7),12,31))/100</f>
        <v>0.55673000000000006</v>
      </c>
      <c r="M13" s="90"/>
      <c r="N13" s="90">
        <f>IF([1]!s_west_avgroa($D$2,YEAR(N7),N7,180)/100=0,"NA",[1]!s_west_avgroa($D$2,YEAR(N7),N7,180)/100)</f>
        <v>0.56767499999999993</v>
      </c>
      <c r="O13" s="90"/>
      <c r="P13" s="90">
        <f>IF([1]!s_west_avgroa($D$2,YEAR(P7),P7,180)/100=0,"NA",[1]!s_west_avgroa($D$2,YEAR(P7),P7,180)/100)</f>
        <v>0.43272500000000003</v>
      </c>
      <c r="Q13" s="90"/>
      <c r="R13" s="90">
        <f>IF([1]!s_west_avgroa($D$2,YEAR(R7),R7,180)/100=0,"NA",[1]!s_west_avgroa($D$2,YEAR(R7),R7,180)/100)</f>
        <v>0.34006700000000001</v>
      </c>
      <c r="S13" s="90"/>
      <c r="T13" s="90" t="str">
        <f>IF([1]!s_west_avgroa($D$2,YEAR(T7),T7,180)/100=0,"NA",[1]!s_west_avgroa($D$2,YEAR(T7),T7,180)/100)</f>
        <v>NA</v>
      </c>
      <c r="U13" s="49"/>
      <c r="V13" s="20"/>
      <c r="W13" s="20"/>
      <c r="X13" s="20"/>
      <c r="Y13" s="71"/>
      <c r="Z13" s="64"/>
      <c r="AA13" s="65"/>
      <c r="AB13" s="64"/>
      <c r="AC13" s="65"/>
      <c r="AD13" s="64"/>
      <c r="AE13" s="65"/>
      <c r="AF13" s="64"/>
      <c r="AG13" s="65"/>
      <c r="AH13" s="64"/>
      <c r="AI13" s="49"/>
    </row>
    <row r="14" spans="2:45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USD</v>
      </c>
      <c r="G14" s="49"/>
      <c r="H14" s="72"/>
      <c r="I14" s="53" t="s">
        <v>34</v>
      </c>
      <c r="J14" s="144">
        <f>[1]!hks_fa_ebit3($D$2,DATE(YEAR(J7),12,31),1,"Cur="&amp;$F$14,100000000)</f>
        <v>55.77</v>
      </c>
      <c r="K14" s="144"/>
      <c r="L14" s="144">
        <f>[1]!hks_fa_ebit3($D$2,DATE(YEAR(L7),12,31),1,"Cur="&amp;$F$14,100000000)</f>
        <v>329.72</v>
      </c>
      <c r="M14" s="144"/>
      <c r="N14" s="144">
        <f>IF([1]!s_west_avgebit1($D$2,YEAR(N7),$F$2,180,"Cur="&amp;$F$14,100000000)=0,"NA",[1]!s_west_avgebit1($D$2,YEAR(N7),$F$2,180,"Cur="&amp;$F$14,100000000))</f>
        <v>715.91</v>
      </c>
      <c r="O14" s="144"/>
      <c r="P14" s="144">
        <f>IF([1]!s_west_avgebit1($D$2,YEAR(P7),$F$2,180,"Cur="&amp;$F$14,100000000)=0,"NA",[1]!s_west_avgebit1($D$2,YEAR(P7),$F$2,180,"Cur="&amp;$F$14,100000000))</f>
        <v>761.43</v>
      </c>
      <c r="Q14" s="144"/>
      <c r="R14" s="144">
        <f>IF([1]!s_west_avgebit1($D$2,YEAR(R7),$F$2,180,"Cur="&amp;$F$14,100000000)=0,"NA",[1]!s_west_avgebit1($D$2,YEAR(R7),$F$2,180,"Cur="&amp;$F$14,100000000))</f>
        <v>847.87</v>
      </c>
      <c r="S14" s="144"/>
      <c r="T14" s="144" t="str">
        <f>IF([1]!s_west_avgebit1($D$2,YEAR(T7),$F$2,180,"Cur="&amp;$F$14,100000000)=0,"NA",[1]!s_west_avgebit1($D$2,YEAR(T7),$F$2,180,"Cur="&amp;$F$14,100000000))</f>
        <v>NA</v>
      </c>
      <c r="U14" s="49"/>
      <c r="V14" s="53" t="s">
        <v>184</v>
      </c>
      <c r="W14" s="13"/>
      <c r="X14" s="13"/>
      <c r="Y14" s="118">
        <f>IFERROR(Y8-AE28,"NA")</f>
        <v>196.82</v>
      </c>
      <c r="Z14" s="59"/>
      <c r="AA14" s="60">
        <f>IFERROR(Y15,"NA")</f>
        <v>154.13</v>
      </c>
      <c r="AB14" s="59"/>
      <c r="AC14" s="60">
        <f>IFERROR(AA15,"NA")</f>
        <v>723.73249999999996</v>
      </c>
      <c r="AD14" s="59"/>
      <c r="AE14" s="60">
        <f>IFERROR(AC15,"NA")</f>
        <v>1437.38</v>
      </c>
      <c r="AF14" s="59"/>
      <c r="AG14" s="60">
        <f>IFERROR(AE15,"NA")</f>
        <v>2285.0524999999998</v>
      </c>
      <c r="AH14" s="59"/>
      <c r="AI14" s="49"/>
    </row>
    <row r="15" spans="2:45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4246.4072999999999</v>
      </c>
      <c r="G15" s="70"/>
      <c r="H15" s="119"/>
      <c r="I15" s="56" t="s">
        <v>35</v>
      </c>
      <c r="J15" s="146">
        <f>[1]!hks_fa_ebitda2($D$2,DATE(YEAR(J7),12,31),1,"Cur="&amp;$F$14,100000000)</f>
        <v>71.209999999999994</v>
      </c>
      <c r="K15" s="146"/>
      <c r="L15" s="146">
        <f>[1]!hks_fa_ebitda2($D$2,DATE(YEAR(L7),12,31),1,"Cur="&amp;$F$14,100000000)</f>
        <v>344.8</v>
      </c>
      <c r="M15" s="146"/>
      <c r="N15" s="146">
        <f>IF([1]!s_est_avgebitda1($D$2,YEAR(N7),$F$2,"Cur="&amp;$F$14,100000000)=0,"NA",[1]!s_est_avgebitda1($D$2,YEAR(N7),$F$2,"Cur="&amp;$F$14,100000000))</f>
        <v>704.22484285999997</v>
      </c>
      <c r="O15" s="146"/>
      <c r="P15" s="146">
        <f>IF([1]!s_est_avgebitda1($D$2,YEAR(P7),$F$2,"Cur="&amp;$F$14,100000000)=0,"NA",[1]!s_est_avgebitda1($D$2,YEAR(P7),$F$2,"Cur="&amp;$F$14,100000000))</f>
        <v>883.18089999999995</v>
      </c>
      <c r="Q15" s="146"/>
      <c r="R15" s="146">
        <f>IF([1]!s_est_avgebitda1($D$2,YEAR(R7),$F$2,"Cur="&amp;$F$14,100000000)=0,"NA",[1]!s_est_avgebitda1($D$2,YEAR(R7),$F$2,"Cur="&amp;$F$14,100000000))</f>
        <v>1043.33558571</v>
      </c>
      <c r="S15" s="146"/>
      <c r="T15" s="146" t="str">
        <f>IF([1]!s_est_avgebitda1($D$2,YEAR(T7),$F$2,"Cur="&amp;$F$14,100000000)=0,"NA",[1]!s_est_avgebitda1($D$2,YEAR(T7),$F$2,"Cur="&amp;$F$14,100000000))</f>
        <v>NA</v>
      </c>
      <c r="U15" s="49"/>
      <c r="V15" s="56" t="s">
        <v>182</v>
      </c>
      <c r="W15" s="20"/>
      <c r="X15" s="20"/>
      <c r="Y15" s="65">
        <f>IFERROR(Y12-$AG28,"NA")</f>
        <v>154.13</v>
      </c>
      <c r="Z15" s="64"/>
      <c r="AA15" s="65">
        <f>IFERROR(AA12-$AG28,"NA")</f>
        <v>723.73249999999996</v>
      </c>
      <c r="AB15" s="64"/>
      <c r="AC15" s="65">
        <f>IFERROR(AC12-$AG28,"NA")</f>
        <v>1437.38</v>
      </c>
      <c r="AD15" s="64"/>
      <c r="AE15" s="65">
        <f>IFERROR(AE12-$AG28,"NA")</f>
        <v>2285.0524999999998</v>
      </c>
      <c r="AF15" s="64"/>
      <c r="AG15" s="65" t="str">
        <f>IFERROR(AG12-$AG28,"NA")</f>
        <v>NA</v>
      </c>
      <c r="AH15" s="64"/>
      <c r="AI15" s="49"/>
    </row>
    <row r="16" spans="2:45" s="7" customFormat="1" ht="24.6" customHeight="1" x14ac:dyDescent="0.2">
      <c r="B16" s="49"/>
      <c r="C16" s="53" t="s">
        <v>37</v>
      </c>
      <c r="D16" s="13"/>
      <c r="E16" s="59"/>
      <c r="F16" s="154">
        <f>[1]!s_pq_highclose(D2,DATE(YEAR(F12)-1,MONTH(F12),DAY(F12)),F12,3)</f>
        <v>950.02</v>
      </c>
      <c r="G16" s="49"/>
      <c r="H16" s="49"/>
      <c r="I16" s="53" t="s">
        <v>181</v>
      </c>
      <c r="J16" s="144">
        <f>[1]!hks_stm_is($D$2,"83",DATE(YEAR(J7),12,31),1,"Cur="&amp;$F$14,100000000)</f>
        <v>269.74</v>
      </c>
      <c r="K16" s="144"/>
      <c r="L16" s="144">
        <f>[1]!hks_stm_is($D$2,"83",DATE(YEAR(L7),12,31),1,"Cur="&amp;$F$14,100000000)</f>
        <v>609.22</v>
      </c>
      <c r="M16" s="144"/>
      <c r="N16" s="144">
        <f>IF([1]!s_est_sales1($D$2,YEAR(N7),$F$2,"Cur="&amp;$F$14,100000000)=0,"NA",[1]!s_est_sales1($D$2,YEAR(N7),$F$2,"Cur="&amp;$F$14,100000000))</f>
        <v>1120.62223333</v>
      </c>
      <c r="O16" s="144"/>
      <c r="P16" s="144">
        <f>IF([1]!s_est_sales1($D$2,YEAR(P7),$F$2,"Cur="&amp;$F$14,100000000)=0,"NA",[1]!s_est_sales1($D$2,YEAR(P7),$F$2,"Cur="&amp;$F$14,100000000))</f>
        <v>1366.6170999999999</v>
      </c>
      <c r="Q16" s="144"/>
      <c r="R16" s="144">
        <f>IF([1]!s_est_sales1($D$2,YEAR(R7),$F$2,"Cur="&amp;$F$14,100000000)=0,"NA",[1]!s_est_sales1($D$2,YEAR(R7),$F$2,"Cur="&amp;$F$14,100000000))</f>
        <v>1631.9522545499999</v>
      </c>
      <c r="S16" s="144"/>
      <c r="T16" s="144" t="str">
        <f>IF([1]!s_est_sales1($D$2,YEAR(T7),$F$2,"Cur="&amp;$F$14,100000000)=0,"NA",[1]!s_est_sales1($D$2,YEAR(T7),$F$2,"Cur="&amp;$F$14,100000000))</f>
        <v>NA</v>
      </c>
      <c r="U16" s="49"/>
      <c r="V16" s="13"/>
      <c r="W16" s="13"/>
      <c r="X16" s="13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49"/>
    </row>
    <row r="17" spans="2:42" s="7" customFormat="1" ht="24.6" customHeight="1" x14ac:dyDescent="0.2">
      <c r="B17" s="49"/>
      <c r="C17" s="56" t="s">
        <v>180</v>
      </c>
      <c r="D17" s="20"/>
      <c r="E17" s="64"/>
      <c r="F17" s="75">
        <f>F13/F16</f>
        <v>0.86979221490073899</v>
      </c>
      <c r="G17" s="70"/>
      <c r="H17" s="120"/>
      <c r="I17" s="56" t="s">
        <v>179</v>
      </c>
      <c r="J17" s="146">
        <f>[1]!hks_stm_is($D$2,"1016",DATE(YEAR(J7),12,31),1,"Cur="&amp;$F$14,100000000)</f>
        <v>41.81</v>
      </c>
      <c r="K17" s="146"/>
      <c r="L17" s="146">
        <f>[1]!hks_stm_is($D$2,"1016",DATE(YEAR(L7),12,31),1,"Cur="&amp;$F$14,100000000)</f>
        <v>338.18</v>
      </c>
      <c r="M17" s="146"/>
      <c r="N17" s="146">
        <f>IF([1]!s_est_avgebt1($D$2,YEAR(N7),$F$2,"Cur="&amp;$F$14,100000000)=0,"NA",[1]!s_est_avgebt1($D$2,YEAR(N7),$F$2,"Cur="&amp;$F$14,100000000))</f>
        <v>697.45272308000006</v>
      </c>
      <c r="O17" s="146"/>
      <c r="P17" s="146">
        <f>IF([1]!s_est_avgebt1($D$2,YEAR(P7),$F$2,"Cur="&amp;$F$14,100000000)=0,"NA",[1]!s_est_avgebt1($D$2,YEAR(P7),$F$2,"Cur="&amp;$F$14,100000000))</f>
        <v>858.56480768999995</v>
      </c>
      <c r="Q17" s="146"/>
      <c r="R17" s="146">
        <f>IF([1]!s_est_avgebt1($D$2,YEAR(R7),$F$2,"Cur="&amp;$F$14,100000000)=0,"NA",[1]!s_est_avgebt1($D$2,YEAR(R7),$F$2,"Cur="&amp;$F$14,100000000))</f>
        <v>984.74040000000002</v>
      </c>
      <c r="S17" s="146"/>
      <c r="T17" s="146" t="str">
        <f>IF([1]!s_est_avgebt1($D$2,YEAR(T7),$F$2,"Cur="&amp;$F$14,100000000)=0,"NA",[1]!s_est_avgebt1($D$2,YEAR(T7),$F$2,"Cur="&amp;$F$14,100000000))</f>
        <v>NA</v>
      </c>
      <c r="U17" s="49"/>
      <c r="V17" s="56" t="s">
        <v>40</v>
      </c>
      <c r="W17" s="20"/>
      <c r="X17" s="20"/>
      <c r="Y17" s="65">
        <f>IFERROR(AE27,"NA")</f>
        <v>411.82</v>
      </c>
      <c r="Z17" s="64"/>
      <c r="AA17" s="64"/>
      <c r="AB17" s="64"/>
      <c r="AC17" s="64"/>
      <c r="AD17" s="64"/>
      <c r="AE17" s="64"/>
      <c r="AF17" s="64"/>
      <c r="AG17" s="64"/>
      <c r="AH17" s="64"/>
      <c r="AI17" s="49"/>
      <c r="AL17" s="141"/>
    </row>
    <row r="18" spans="2:42" s="7" customFormat="1" ht="24.6" customHeight="1" x14ac:dyDescent="0.2">
      <c r="B18" s="49"/>
      <c r="C18" s="53" t="s">
        <v>41</v>
      </c>
      <c r="D18" s="13"/>
      <c r="E18" s="58"/>
      <c r="F18" s="154">
        <f>[1]!s_pq_lowclose(D2,DATE(YEAR(F12)-1,MONTH(F12),DAY(F12)),F12,3)</f>
        <v>262.32586318630501</v>
      </c>
      <c r="G18" s="49"/>
      <c r="H18" s="49"/>
      <c r="I18" s="53" t="s">
        <v>39</v>
      </c>
      <c r="J18" s="144">
        <f>[1]!hks_stm_is($D$2,"61",DATE(YEAR(J7),12,31),1,"Cur="&amp;$F$14,100000000)</f>
        <v>43.68</v>
      </c>
      <c r="K18" s="145"/>
      <c r="L18" s="144">
        <f>[1]!hks_stm_is($D$2,"61",DATE(YEAR(L7),12,31),1,"Cur="&amp;$F$14,100000000)</f>
        <v>297.60000000000002</v>
      </c>
      <c r="M18" s="145"/>
      <c r="N18" s="144">
        <f>IF([1]!s_west_netprofit1($D$2,YEAR(N7),$F$2,180,"Cur="&amp;$F$14,100000000)=0,"NA",[1]!s_west_netprofit1($D$2,YEAR(N7),$F$2,180,"Cur="&amp;$F$14,100000000))</f>
        <v>574.23750625000002</v>
      </c>
      <c r="O18" s="145"/>
      <c r="P18" s="144">
        <f>IF([1]!s_west_netprofit1($D$2,YEAR(P7),$F$2,180,"Cur="&amp;$F$14,100000000)=0,"NA",[1]!s_west_netprofit1($D$2,YEAR(P7),$F$2,180,"Cur="&amp;$F$14,100000000))</f>
        <v>718.53997332999995</v>
      </c>
      <c r="Q18" s="145"/>
      <c r="R18" s="144">
        <f>IF([1]!s_west_netprofit1($D$2,YEAR(R7),$F$2,180,"Cur="&amp;$F$14,100000000)=0,"NA",[1]!s_west_netprofit1($D$2,YEAR(R7),$F$2,180,"Cur="&amp;$F$14,100000000))</f>
        <v>852.62357272999998</v>
      </c>
      <c r="S18" s="145"/>
      <c r="T18" s="144" t="str">
        <f>IF([1]!s_west_netprofit1($D$2,YEAR(T7),$F$2,180,"Cur="&amp;$F$14,100000000)=0,"NA",[1]!s_west_netprofit1($D$2,YEAR(T7),$F$2,180,"Cur="&amp;$F$14,100000000))</f>
        <v>NA</v>
      </c>
      <c r="U18" s="49"/>
      <c r="V18" s="53" t="s">
        <v>178</v>
      </c>
      <c r="W18" s="13"/>
      <c r="X18" s="13"/>
      <c r="Y18" s="60">
        <f>IFERROR(AG27,"NA")</f>
        <v>657.28</v>
      </c>
      <c r="Z18" s="54"/>
      <c r="AA18" s="59"/>
      <c r="AB18" s="54"/>
      <c r="AC18" s="59"/>
      <c r="AD18" s="54"/>
      <c r="AE18" s="59"/>
      <c r="AF18" s="54"/>
      <c r="AG18" s="59"/>
      <c r="AH18" s="54"/>
      <c r="AI18" s="49"/>
      <c r="AP18" s="141"/>
    </row>
    <row r="19" spans="2:42" s="7" customFormat="1" ht="24.6" customHeight="1" thickBot="1" x14ac:dyDescent="0.25">
      <c r="B19" s="49"/>
      <c r="C19" s="56" t="s">
        <v>43</v>
      </c>
      <c r="D19" s="20"/>
      <c r="E19" s="64"/>
      <c r="F19" s="75">
        <f>F13/F18</f>
        <v>3.1499753396909393</v>
      </c>
      <c r="G19" s="70"/>
      <c r="H19" s="120"/>
      <c r="I19" s="61" t="s">
        <v>42</v>
      </c>
      <c r="J19" s="93">
        <f>[1]!hks_stm_is($D$2,"1041",DATE(YEAR(J7),12,31),1,"Cur="&amp;$F$14,100000000)</f>
        <v>55.77</v>
      </c>
      <c r="K19" s="121"/>
      <c r="L19" s="93">
        <f>[1]!hks_stm_is($D$2,"1041",DATE(YEAR(L7),12,31),1,"Cur="&amp;$F$14,100000000)</f>
        <v>329.72</v>
      </c>
      <c r="M19" s="121"/>
      <c r="N19" s="143">
        <f>IF([1]!s_west_avgoperatingprofit1($D$2,YEAR(N7),$F$2,180,"Cur="&amp;$F$14,100000000)=0,"NA",[1]!s_west_avgoperatingprofit1($D$2,YEAR(N7),$F$2,180,"Cur="&amp;$F$14,100000000))</f>
        <v>688.62461667000002</v>
      </c>
      <c r="O19" s="121"/>
      <c r="P19" s="143">
        <f>IF([1]!s_west_avgoperatingprofit1($D$2,YEAR(P7),$F$2,180,"Cur="&amp;$F$14,100000000)=0,"NA",[1]!s_west_avgoperatingprofit1($D$2,YEAR(P7),$F$2,180,"Cur="&amp;$F$14,100000000))</f>
        <v>844.04437499999995</v>
      </c>
      <c r="Q19" s="121"/>
      <c r="R19" s="143">
        <f>IF([1]!s_west_avgoperatingprofit1($D$2,YEAR(R7),$F$2,180,"Cur="&amp;$F$14,100000000)=0,"NA",[1]!s_west_avgoperatingprofit1($D$2,YEAR(R7),$F$2,180,"Cur="&amp;$F$14,100000000))</f>
        <v>982.21715556000004</v>
      </c>
      <c r="S19" s="121"/>
      <c r="T19" s="143" t="str">
        <f>IF([1]!s_west_avgoperatingprofit1($D$2,YEAR(T7),$F$2,180,"Cur="&amp;$F$14,100000000)=0,"NA",[1]!s_west_avgoperatingprofit1($D$2,YEAR(T7),$F$2,180,"Cur="&amp;$F$14,100000000))</f>
        <v>NA</v>
      </c>
      <c r="U19" s="49"/>
      <c r="V19" s="20"/>
      <c r="W19" s="20"/>
      <c r="X19" s="20"/>
      <c r="Y19" s="64" t="str">
        <f>IF([1]!s_west_medianebt($D$2,YEAR(Y10),Y10,180,100000000)=0,"",[1]!s_west_medianebt($D$2,YEAR(Y10),Y10,180,100000000))</f>
        <v/>
      </c>
      <c r="Z19" s="57"/>
      <c r="AA19" s="64"/>
      <c r="AB19" s="57"/>
      <c r="AC19" s="64"/>
      <c r="AD19" s="57"/>
      <c r="AE19" s="64"/>
      <c r="AF19" s="57"/>
      <c r="AG19" s="64"/>
      <c r="AH19" s="57"/>
      <c r="AI19" s="49"/>
      <c r="AL19" s="141"/>
    </row>
    <row r="20" spans="2:42" s="7" customFormat="1" ht="24.6" customHeight="1" x14ac:dyDescent="0.2">
      <c r="B20" s="49"/>
      <c r="C20" s="53" t="s">
        <v>83</v>
      </c>
      <c r="D20" s="13"/>
      <c r="E20" s="59"/>
      <c r="F20" s="122">
        <f>[1]!s_risk_stdevy(D2,DATE(YEAR(F12)-1,MONTH(F12),DAY(F12)),F12,2,1)</f>
        <v>46.171474562640583</v>
      </c>
      <c r="G20" s="49"/>
      <c r="H20" s="11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53" t="s">
        <v>44</v>
      </c>
      <c r="W20" s="13"/>
      <c r="X20" s="13"/>
      <c r="Y20" s="79">
        <f>IFERROR((Y9/AVERAGE(Y8,Y12)), "NA")</f>
        <v>0.17933611151027445</v>
      </c>
      <c r="Z20" s="58"/>
      <c r="AA20" s="79">
        <f>IFERROR((AA9/AVERAGE(AA8,AA12)), "NA")</f>
        <v>1.1352802058079965</v>
      </c>
      <c r="AB20" s="58"/>
      <c r="AC20" s="79">
        <f>IFERROR((AC9/AVERAGE(AC8,AC12)), "NA")</f>
        <v>0.62621343887296566</v>
      </c>
      <c r="AD20" s="58"/>
      <c r="AE20" s="79">
        <f>IFERROR((AE9/AVERAGE(AE8,AE12)), "NA")</f>
        <v>0.4422095110656431</v>
      </c>
      <c r="AF20" s="58"/>
      <c r="AG20" s="79" t="str">
        <f>IFERROR((AG9/AVERAGE(AG8,AG12)), "NA")</f>
        <v>NA</v>
      </c>
      <c r="AH20" s="58"/>
      <c r="AI20" s="49"/>
      <c r="AP20" s="141"/>
    </row>
    <row r="21" spans="2:42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0.29594872684178697</v>
      </c>
      <c r="G21" s="70"/>
      <c r="H21" s="123"/>
      <c r="I21" s="51" t="s">
        <v>84</v>
      </c>
      <c r="J21" s="51"/>
      <c r="K21" s="51"/>
      <c r="L21" s="51"/>
      <c r="M21" s="51"/>
      <c r="N21" s="51"/>
      <c r="O21" s="51"/>
      <c r="P21" s="51"/>
      <c r="Q21" s="51"/>
      <c r="R21" s="51"/>
      <c r="S21" s="49"/>
      <c r="T21" s="96"/>
      <c r="U21" s="49"/>
      <c r="V21" s="61" t="s">
        <v>177</v>
      </c>
      <c r="W21" s="62"/>
      <c r="X21" s="62"/>
      <c r="Y21" s="81">
        <f>IFERROR((Y9/AVERAGE(Y14,Y15)), "NA")</f>
        <v>0.24892434819774897</v>
      </c>
      <c r="Z21" s="82"/>
      <c r="AA21" s="81">
        <f>IFERROR((AA9/AVERAGE(AA14,AA15)), "NA")</f>
        <v>1.3082629682894531</v>
      </c>
      <c r="AB21" s="82"/>
      <c r="AC21" s="81">
        <f>IFERROR((AC9/AVERAGE(AC14,AC15)), "NA")</f>
        <v>0.6649723232825685</v>
      </c>
      <c r="AD21" s="82"/>
      <c r="AE21" s="81">
        <f>IFERROR((AE9/AVERAGE(AE14,AE15)), "NA")</f>
        <v>0.45809964317687424</v>
      </c>
      <c r="AF21" s="82"/>
      <c r="AG21" s="81" t="str">
        <f>IFERROR((AG9/AVERAGE(AG14,AG15)), "NA")</f>
        <v>NA</v>
      </c>
      <c r="AH21" s="82"/>
      <c r="AI21" s="49"/>
    </row>
    <row r="22" spans="2:42" s="7" customFormat="1" ht="24.6" customHeight="1" x14ac:dyDescent="0.2">
      <c r="B22" s="49"/>
      <c r="C22" s="53" t="s">
        <v>85</v>
      </c>
      <c r="D22" s="13"/>
      <c r="E22" s="49"/>
      <c r="F22" s="67" t="str">
        <f>[1]!hks_info_fiscaldate(D2)</f>
        <v>01-28</v>
      </c>
      <c r="G22" s="49"/>
      <c r="H22" s="123"/>
      <c r="I22" s="13"/>
      <c r="J22" s="54" t="s">
        <v>16</v>
      </c>
      <c r="K22" s="54"/>
      <c r="L22" s="54" t="s">
        <v>18</v>
      </c>
      <c r="M22" s="54"/>
      <c r="N22" s="54" t="s">
        <v>19</v>
      </c>
      <c r="O22" s="54"/>
      <c r="P22" s="54" t="s">
        <v>20</v>
      </c>
      <c r="Q22" s="54"/>
      <c r="R22" s="54" t="s">
        <v>21</v>
      </c>
      <c r="S22" s="49"/>
      <c r="T22" s="158"/>
      <c r="U22" s="49"/>
      <c r="V22" s="49"/>
      <c r="W22" s="49"/>
      <c r="X22" s="49"/>
      <c r="Y22" s="49"/>
      <c r="Z22" s="54"/>
      <c r="AA22" s="49"/>
      <c r="AB22" s="54"/>
      <c r="AC22" s="49"/>
      <c r="AD22" s="54"/>
      <c r="AE22" s="49"/>
      <c r="AF22" s="54"/>
      <c r="AG22" s="49"/>
      <c r="AH22" s="54"/>
      <c r="AI22" s="49"/>
    </row>
    <row r="23" spans="2:42" s="7" customFormat="1" ht="24.6" customHeight="1" thickBot="1" x14ac:dyDescent="0.25">
      <c r="B23" s="49"/>
      <c r="C23" s="61" t="s">
        <v>176</v>
      </c>
      <c r="D23" s="62"/>
      <c r="E23" s="64"/>
      <c r="F23" s="74">
        <f>[1]!s_div_aualaccmdiv2($D2,DATE(YEAR(F2)-1,MONTH(F2),DAY(F2)),F2,"Cur="&amp;$F$14,10000)</f>
        <v>10000</v>
      </c>
      <c r="G23" s="20"/>
      <c r="H23" s="119"/>
      <c r="I23" s="56" t="s">
        <v>81</v>
      </c>
      <c r="J23" s="57">
        <f>DATE(L8,12,31)</f>
        <v>45657</v>
      </c>
      <c r="K23" s="57"/>
      <c r="L23" s="57">
        <f>DATE(YEAR(J23),MONTH(J23)+13,0)</f>
        <v>46022</v>
      </c>
      <c r="M23" s="57"/>
      <c r="N23" s="57">
        <f>DATE(YEAR(L23),MONTH(L23)+13,0)</f>
        <v>46387</v>
      </c>
      <c r="O23" s="57"/>
      <c r="P23" s="57">
        <f>DATE(YEAR(N23),MONTH(N23)+13,0)</f>
        <v>46752</v>
      </c>
      <c r="Q23" s="57"/>
      <c r="R23" s="57">
        <f>DATE(YEAR(P23),MONTH(P23)+13,0)</f>
        <v>47118</v>
      </c>
      <c r="S23" s="49"/>
      <c r="T23" s="158"/>
      <c r="U23" s="49"/>
      <c r="V23" s="51" t="s">
        <v>47</v>
      </c>
      <c r="W23" s="51"/>
      <c r="X23" s="51"/>
      <c r="Y23" s="51"/>
      <c r="Z23" s="124"/>
      <c r="AA23" s="51"/>
      <c r="AB23" s="124"/>
      <c r="AC23" s="51"/>
      <c r="AD23" s="124"/>
      <c r="AE23" s="51"/>
      <c r="AF23" s="124"/>
      <c r="AG23" s="51"/>
      <c r="AH23" s="124"/>
      <c r="AI23" s="49"/>
    </row>
    <row r="24" spans="2:42" s="7" customFormat="1" ht="24.6" customHeight="1" x14ac:dyDescent="0.2">
      <c r="B24" s="49"/>
      <c r="C24" s="49"/>
      <c r="D24" s="142"/>
      <c r="E24" s="142"/>
      <c r="F24" s="142"/>
      <c r="G24" s="142"/>
      <c r="H24" s="49"/>
      <c r="I24" s="53" t="s">
        <v>82</v>
      </c>
      <c r="J24" s="115">
        <f>YEAR(L7)</f>
        <v>2024</v>
      </c>
      <c r="K24" s="115"/>
      <c r="L24" s="115">
        <f>YEAR(N7)</f>
        <v>2025</v>
      </c>
      <c r="M24" s="115"/>
      <c r="N24" s="115">
        <f>YEAR(P7)</f>
        <v>2026</v>
      </c>
      <c r="O24" s="115"/>
      <c r="P24" s="115">
        <f>YEAR(R7)</f>
        <v>2027</v>
      </c>
      <c r="Q24" s="115"/>
      <c r="R24" s="115">
        <f>YEAR(T7)</f>
        <v>2028</v>
      </c>
      <c r="S24" s="49"/>
      <c r="T24" s="49"/>
      <c r="U24" s="49"/>
      <c r="V24" s="13"/>
      <c r="W24" s="13"/>
      <c r="X24" s="13"/>
      <c r="Y24" s="54" t="s">
        <v>175</v>
      </c>
      <c r="Z24" s="54"/>
      <c r="AA24" s="54" t="s">
        <v>49</v>
      </c>
      <c r="AB24" s="54"/>
      <c r="AC24" s="54" t="s">
        <v>135</v>
      </c>
      <c r="AD24" s="54"/>
      <c r="AE24" s="54" t="s">
        <v>50</v>
      </c>
      <c r="AF24" s="54"/>
      <c r="AG24" s="54" t="s">
        <v>51</v>
      </c>
      <c r="AH24" s="54"/>
      <c r="AI24" s="49"/>
    </row>
    <row r="25" spans="2:42" s="7" customFormat="1" ht="24.6" customHeight="1" x14ac:dyDescent="0.2">
      <c r="B25" s="49"/>
      <c r="C25" s="51" t="s">
        <v>212</v>
      </c>
      <c r="D25" s="51"/>
      <c r="E25" s="51"/>
      <c r="F25" s="51"/>
      <c r="G25" s="51"/>
      <c r="H25" s="95"/>
      <c r="I25" s="56" t="s">
        <v>86</v>
      </c>
      <c r="J25" s="125">
        <f>MONTH(L7)</f>
        <v>1</v>
      </c>
      <c r="K25" s="125"/>
      <c r="L25" s="125">
        <f>MONTH(N7)</f>
        <v>1</v>
      </c>
      <c r="M25" s="125"/>
      <c r="N25" s="125">
        <f>MONTH(P7)</f>
        <v>1</v>
      </c>
      <c r="O25" s="125"/>
      <c r="P25" s="125">
        <f>MONTH(R7)</f>
        <v>1</v>
      </c>
      <c r="Q25" s="125"/>
      <c r="R25" s="125">
        <f>MONTH(T7)</f>
        <v>1</v>
      </c>
      <c r="S25" s="49"/>
      <c r="T25" s="49"/>
      <c r="U25" s="49"/>
      <c r="V25" s="20"/>
      <c r="W25" s="20"/>
      <c r="X25" s="20"/>
      <c r="Y25" s="57">
        <f>DATE(YEAR(AA25),MONTH(AA25)-11,0)</f>
        <v>43861</v>
      </c>
      <c r="Z25" s="57"/>
      <c r="AA25" s="57">
        <f>DATE(YEAR(AC25),MONTH(AC25)-11,0)</f>
        <v>44227</v>
      </c>
      <c r="AB25" s="57"/>
      <c r="AC25" s="57">
        <f>DATE(YEAR(AE25),MONTH(AE25)-11,0)</f>
        <v>44592</v>
      </c>
      <c r="AD25" s="57"/>
      <c r="AE25" s="57">
        <f>DATE(YEAR(AG25),MONTH(AG25)-11,0)</f>
        <v>44957</v>
      </c>
      <c r="AF25" s="57"/>
      <c r="AG25" s="57">
        <f>IFERROR(IF(DATE(YEAR(F2),LEFT(F22,2)+1,0)&lt;=F2,DATE(YEAR(F2),LEFT(F22,2)+1,0),DATE(YEAR(F2),LEFT(F22,2)-11,0)),"NA")</f>
        <v>45322</v>
      </c>
      <c r="AH25" s="57"/>
      <c r="AI25" s="49"/>
    </row>
    <row r="26" spans="2:42" s="7" customFormat="1" ht="24.6" customHeight="1" x14ac:dyDescent="0.2">
      <c r="B26" s="49"/>
      <c r="C26" s="53" t="s">
        <v>52</v>
      </c>
      <c r="D26" s="13"/>
      <c r="E26" s="58"/>
      <c r="F26" s="88">
        <f>[1]!S_SHARE_TOTAL(D2,F12,10000)</f>
        <v>250000</v>
      </c>
      <c r="G26" s="49"/>
      <c r="H26" s="88"/>
      <c r="I26" s="53" t="s">
        <v>23</v>
      </c>
      <c r="J26" s="58">
        <f>IFERROR(SUM(J$25*L9/12,((12-J$25)/12)*N9),"NA")</f>
        <v>36.424364177499996</v>
      </c>
      <c r="K26" s="58"/>
      <c r="L26" s="58">
        <f t="shared" ref="L26:L36" si="0">IFERROR(SUM(L$25*N9/12,((12-L$25)/12)*P9),"NA")</f>
        <v>64.451366666666658</v>
      </c>
      <c r="M26" s="58"/>
      <c r="N26" s="58">
        <f t="shared" ref="N26:N36" si="1">IFERROR(SUM(N$25*P9/12,((12-N$25)/12)*R9),"NA")</f>
        <v>98.995400000000004</v>
      </c>
      <c r="O26" s="58"/>
      <c r="P26" s="58" t="str">
        <f t="shared" ref="P26:P36" si="2">IFERROR(SUM(P$25*R9/12,((12-P$25)/12)*T9),"NA")</f>
        <v>NA</v>
      </c>
      <c r="Q26" s="58"/>
      <c r="R26" s="58" t="str">
        <f t="shared" ref="R26:R36" si="3">IFERROR(SUM(R$25*T9/12,((12-R$25)/12)*V9),"NA")</f>
        <v>NA</v>
      </c>
      <c r="S26" s="58"/>
      <c r="T26" s="49"/>
      <c r="U26" s="49"/>
      <c r="V26" s="53" t="s">
        <v>174</v>
      </c>
      <c r="W26" s="13"/>
      <c r="X26" s="13"/>
      <c r="Y26" s="59"/>
      <c r="Z26" s="58"/>
      <c r="AA26" s="59"/>
      <c r="AB26" s="58"/>
      <c r="AC26" s="59"/>
      <c r="AD26" s="58"/>
      <c r="AE26" s="59"/>
      <c r="AF26" s="58"/>
      <c r="AG26" s="59"/>
      <c r="AH26" s="58"/>
      <c r="AI26" s="49"/>
      <c r="AN26" s="141"/>
    </row>
    <row r="27" spans="2:42" s="7" customFormat="1" ht="24.6" customHeight="1" x14ac:dyDescent="0.2">
      <c r="B27" s="49"/>
      <c r="C27" s="20"/>
      <c r="D27" s="20" t="s">
        <v>54</v>
      </c>
      <c r="E27" s="64"/>
      <c r="F27" s="89"/>
      <c r="G27" s="70"/>
      <c r="H27" s="88"/>
      <c r="I27" s="56" t="s">
        <v>26</v>
      </c>
      <c r="J27" s="64">
        <f>IFERROR(SUM(J$25*L10/12,((12-J$25)/12)*N10),"NA")</f>
        <v>22.061866666666663</v>
      </c>
      <c r="K27" s="63"/>
      <c r="L27" s="64">
        <f t="shared" si="0"/>
        <v>28.260591666666663</v>
      </c>
      <c r="M27" s="63"/>
      <c r="N27" s="64">
        <f t="shared" si="1"/>
        <v>33.657958333333333</v>
      </c>
      <c r="O27" s="63"/>
      <c r="P27" s="64" t="str">
        <f t="shared" si="2"/>
        <v>NA</v>
      </c>
      <c r="Q27" s="63"/>
      <c r="R27" s="64" t="str">
        <f t="shared" si="3"/>
        <v>NA</v>
      </c>
      <c r="S27" s="49"/>
      <c r="T27" s="49"/>
      <c r="U27" s="49"/>
      <c r="V27" s="20"/>
      <c r="W27" s="20" t="s">
        <v>55</v>
      </c>
      <c r="X27" s="20"/>
      <c r="Y27" s="64">
        <f>[1]!hks_stm_bs($D2,"74",DATE(YEAR(Y25),12,31),1,"Cur="&amp;$F$14,100000000)</f>
        <v>173.15</v>
      </c>
      <c r="Z27" s="63"/>
      <c r="AA27" s="64">
        <f>[1]!hks_stm_bs($D2,"74",DATE(YEAR(AA25),12,31),1,"Cur="&amp;$F$14,100000000)</f>
        <v>287.91000000000003</v>
      </c>
      <c r="AB27" s="63"/>
      <c r="AC27" s="64">
        <f>[1]!hks_stm_bs($D2,"74",DATE(YEAR(AC25),12,31),1,"Cur="&amp;$F$14,100000000)</f>
        <v>441.87</v>
      </c>
      <c r="AD27" s="63"/>
      <c r="AE27" s="64">
        <f>[1]!hks_stm_bs($D2,"74",DATE(YEAR(AE25),12,31),1,"Cur="&amp;$F$14,100000000)</f>
        <v>411.82</v>
      </c>
      <c r="AF27" s="63"/>
      <c r="AG27" s="64">
        <f>[1]!hks_stm_bs($D2,"74",DATE(YEAR(AG25),12,31),1,"Cur="&amp;$F$14,100000000)</f>
        <v>657.28</v>
      </c>
      <c r="AH27" s="63"/>
      <c r="AI27" s="49"/>
    </row>
    <row r="28" spans="2:42" s="7" customFormat="1" ht="24.6" customHeight="1" x14ac:dyDescent="0.2">
      <c r="B28" s="49"/>
      <c r="C28" s="13"/>
      <c r="D28" s="13" t="s">
        <v>173</v>
      </c>
      <c r="E28" s="59" t="s">
        <v>12</v>
      </c>
      <c r="F28" s="88"/>
      <c r="G28" s="49"/>
      <c r="H28" s="88"/>
      <c r="I28" s="53" t="s">
        <v>27</v>
      </c>
      <c r="J28" s="59">
        <f t="shared" ref="J28:J36" si="4">IFERROR(SUM(J$25*L11/12,((12-J$25)/12)*N11),"NA")</f>
        <v>0.18328333333333333</v>
      </c>
      <c r="K28" s="58"/>
      <c r="L28" s="59">
        <f t="shared" si="0"/>
        <v>0.19484166666666666</v>
      </c>
      <c r="M28" s="58"/>
      <c r="N28" s="59">
        <f t="shared" si="1"/>
        <v>0.19780833333333334</v>
      </c>
      <c r="O28" s="58"/>
      <c r="P28" s="59" t="str">
        <f t="shared" si="2"/>
        <v>NA</v>
      </c>
      <c r="Q28" s="58"/>
      <c r="R28" s="59" t="str">
        <f t="shared" si="3"/>
        <v>NA</v>
      </c>
      <c r="S28" s="49"/>
      <c r="T28" s="49"/>
      <c r="U28" s="49"/>
      <c r="V28" s="13"/>
      <c r="W28" s="13" t="s">
        <v>120</v>
      </c>
      <c r="X28" s="13"/>
      <c r="Y28" s="59"/>
      <c r="Z28" s="58"/>
      <c r="AA28" s="59">
        <f>IF([1]!hks_stm_bs($D2,"1070",DATE(IF(MONTH(AA25)&gt;=6,YEAR(AA25)-1,YEAR(AA25)-2),12,31),1,"Cur="&amp;$F$14,100000000)=0,"NA",[1]!hks_stm_bs($D2,"1070",DATE(IF(MONTH(AA25)&gt;=6,YEAR(AA25)-1,YEAR(AA25)-2),12,31),1,"Cur="&amp;$F$14,100000000))</f>
        <v>6.63</v>
      </c>
      <c r="AB28" s="58"/>
      <c r="AC28" s="59">
        <f>IF([1]!hks_stm_bs($D2,"1070",DATE(IF(MONTH(AC25)&gt;=6,YEAR(AC25)-1,YEAR(AC25)-2),12,31),1,"Cur="&amp;$F$14,100000000)=0,"NA",[1]!hks_stm_bs($D2,"1070",DATE(IF(MONTH(AC25)&gt;=6,YEAR(AC25)-1,YEAR(AC25)-2),12,31),1,"Cur="&amp;$F$14,100000000))</f>
        <v>6.67</v>
      </c>
      <c r="AD28" s="58"/>
      <c r="AE28" s="59">
        <f>IF([1]!hks_stm_bs($D2,"1070",DATE(IF(MONTH(AE25)&gt;=6,YEAR(AE25)-1,YEAR(AE25)-2),12,31),1,"Cur="&amp;$F$14,100000000)=0,"NA",[1]!hks_stm_bs($D2,"1070",DATE(IF(MONTH(AE25)&gt;=6,YEAR(AE25)-1,YEAR(AE25)-2),12,31),1,"Cur="&amp;$F$14,100000000))</f>
        <v>69.3</v>
      </c>
      <c r="AF28" s="58"/>
      <c r="AG28" s="59">
        <f>IF([1]!hks_stm_bs($D2,"1070",DATE(IF(MONTH(AG25)&gt;=6,YEAR(AG25)-1,YEAR(AG25)-2),12,31),1,"Cur="&amp;$F$14,100000000)=0,"NA",[1]!hks_stm_bs($D2,"1070",DATE(IF(MONTH(AG25)&gt;=6,YEAR(AG25)-1,YEAR(AG25)-2),12,31),1,"Cur="&amp;$F$14,100000000))</f>
        <v>66.88</v>
      </c>
      <c r="AH28" s="58"/>
      <c r="AI28" s="49"/>
    </row>
    <row r="29" spans="2:42" s="7" customFormat="1" ht="24.6" customHeight="1" x14ac:dyDescent="0.2">
      <c r="B29" s="49"/>
      <c r="C29" s="20"/>
      <c r="D29" s="20" t="s">
        <v>56</v>
      </c>
      <c r="E29" s="64"/>
      <c r="F29" s="89"/>
      <c r="G29" s="70"/>
      <c r="H29" s="88"/>
      <c r="I29" s="56" t="s">
        <v>30</v>
      </c>
      <c r="J29" s="90">
        <f t="shared" si="4"/>
        <v>0.6733015</v>
      </c>
      <c r="K29" s="90"/>
      <c r="L29" s="90">
        <f t="shared" si="0"/>
        <v>0.47532574999999999</v>
      </c>
      <c r="M29" s="90"/>
      <c r="N29" s="90">
        <f t="shared" si="1"/>
        <v>0.3611158333333333</v>
      </c>
      <c r="O29" s="90"/>
      <c r="P29" s="90" t="str">
        <f t="shared" si="2"/>
        <v>NA</v>
      </c>
      <c r="Q29" s="90"/>
      <c r="R29" s="90" t="str">
        <f t="shared" si="3"/>
        <v>NA</v>
      </c>
      <c r="S29" s="49"/>
      <c r="T29" s="49"/>
      <c r="U29" s="49"/>
      <c r="V29" s="20"/>
      <c r="W29" s="20" t="s">
        <v>59</v>
      </c>
      <c r="X29" s="20"/>
      <c r="Y29" s="64">
        <f>[1]!hks_stm_bs($D2,"140",DATE(YEAR(Y25),12,31),1,"Cur="&amp;$F$14,100000000)</f>
        <v>122.04</v>
      </c>
      <c r="Z29" s="63"/>
      <c r="AA29" s="64">
        <f>[1]!hks_stm_bs($D2,"140",DATE(YEAR(AA25),12,31),1,"Cur="&amp;$F$14,100000000)</f>
        <v>168.93</v>
      </c>
      <c r="AB29" s="63"/>
      <c r="AC29" s="64">
        <f>[1]!hks_stm_bs($D2,"140",DATE(YEAR(AC25),12,31),1,"Cur="&amp;$F$14,100000000)</f>
        <v>266.12</v>
      </c>
      <c r="AD29" s="63"/>
      <c r="AE29" s="64">
        <f>[1]!hks_stm_bs($D2,"140",DATE(YEAR(AE25),12,31),1,"Cur="&amp;$F$14,100000000)</f>
        <v>221.01</v>
      </c>
      <c r="AF29" s="63"/>
      <c r="AG29" s="64">
        <f>[1]!hks_stm_bs($D2,"140",DATE(YEAR(AG25),12,31),1,"Cur="&amp;$F$14,100000000)</f>
        <v>429.78</v>
      </c>
      <c r="AH29" s="63"/>
      <c r="AI29" s="49"/>
    </row>
    <row r="30" spans="2:42" s="7" customFormat="1" ht="24.6" customHeight="1" x14ac:dyDescent="0.2">
      <c r="B30" s="49"/>
      <c r="C30" s="13"/>
      <c r="D30" s="13" t="s">
        <v>58</v>
      </c>
      <c r="E30" s="59"/>
      <c r="F30" s="88"/>
      <c r="G30" s="49"/>
      <c r="H30" s="88"/>
      <c r="I30" s="53" t="s">
        <v>32</v>
      </c>
      <c r="J30" s="79">
        <f>IFERROR(SUM(J$25*L13/12,((12-J$25)/12)*N13),"NA")</f>
        <v>0.56676291666666656</v>
      </c>
      <c r="K30" s="79"/>
      <c r="L30" s="79">
        <f>IFERROR(SUM(L$25*N13/12,((12-L$25)/12)*P13),"NA")</f>
        <v>0.44397083333333331</v>
      </c>
      <c r="M30" s="79"/>
      <c r="N30" s="79">
        <f t="shared" si="1"/>
        <v>0.3477885</v>
      </c>
      <c r="O30" s="79"/>
      <c r="P30" s="79" t="str">
        <f t="shared" si="2"/>
        <v>NA</v>
      </c>
      <c r="Q30" s="79"/>
      <c r="R30" s="79" t="str">
        <f t="shared" si="3"/>
        <v>NA</v>
      </c>
      <c r="S30" s="49"/>
      <c r="T30" s="49"/>
      <c r="U30" s="49"/>
      <c r="V30" s="53" t="s">
        <v>114</v>
      </c>
      <c r="W30" s="13"/>
      <c r="X30" s="13"/>
      <c r="Y30" s="59"/>
      <c r="Z30" s="58"/>
      <c r="AA30" s="59"/>
      <c r="AB30" s="58"/>
      <c r="AC30" s="59"/>
      <c r="AD30" s="58"/>
      <c r="AE30" s="59"/>
      <c r="AF30" s="58"/>
      <c r="AG30" s="59"/>
      <c r="AH30" s="58"/>
      <c r="AI30" s="49"/>
    </row>
    <row r="31" spans="2:42" s="7" customFormat="1" ht="24.6" customHeight="1" x14ac:dyDescent="0.2">
      <c r="B31" s="49"/>
      <c r="C31" s="20"/>
      <c r="D31" s="20" t="s">
        <v>172</v>
      </c>
      <c r="E31" s="64"/>
      <c r="F31" s="89"/>
      <c r="G31" s="70"/>
      <c r="H31" s="88"/>
      <c r="I31" s="56" t="s">
        <v>34</v>
      </c>
      <c r="J31" s="64">
        <f t="shared" si="4"/>
        <v>683.72749999999996</v>
      </c>
      <c r="K31" s="64"/>
      <c r="L31" s="64">
        <f t="shared" si="0"/>
        <v>757.63666666666666</v>
      </c>
      <c r="M31" s="64"/>
      <c r="N31" s="64">
        <f t="shared" si="1"/>
        <v>840.66666666666663</v>
      </c>
      <c r="O31" s="64"/>
      <c r="P31" s="64" t="str">
        <f t="shared" si="2"/>
        <v>NA</v>
      </c>
      <c r="Q31" s="64"/>
      <c r="R31" s="64" t="str">
        <f t="shared" si="3"/>
        <v>NA</v>
      </c>
      <c r="S31" s="49"/>
      <c r="T31" s="49"/>
      <c r="U31" s="49"/>
      <c r="V31" s="56"/>
      <c r="W31" s="20" t="s">
        <v>171</v>
      </c>
      <c r="X31" s="20"/>
      <c r="Y31" s="64">
        <f>IF([1]!hks_stm_is($D$2,"83",DATE(IF(MONTH(Y25)&gt;=6,YEAR(Y25),YEAR(Y25)-1),12,31),1,"Cur="&amp;$F$14,100000000)=0,"NA",[1]!hks_stm_is($D$2,"83",DATE(IF(MONTH(Y25)&gt;=6,YEAR(Y25),YEAR(Y25)-1),12,31),1,"Cur="&amp;$F$14,100000000))</f>
        <v>117.16</v>
      </c>
      <c r="Z31" s="64"/>
      <c r="AA31" s="64">
        <f>IF([1]!hks_stm_is($D$2,"83",DATE(IF(MONTH(AA25)&gt;=6,YEAR(AA25),YEAR(AA25)-1),12,31),1,"Cur="&amp;$F$14,100000000)=0,"NA",[1]!hks_stm_is($D$2,"83",DATE(IF(MONTH(AA25)&gt;=6,YEAR(AA25),YEAR(AA25)-1),12,31),1,"Cur="&amp;$F$14,100000000))</f>
        <v>109.18</v>
      </c>
      <c r="AB31" s="64"/>
      <c r="AC31" s="64">
        <f>IF([1]!hks_stm_is($D$2,"83",DATE(IF(MONTH(AC25)&gt;=6,YEAR(AC25),YEAR(AC25)-1),12,31),1,"Cur="&amp;$F$14,100000000)=0,"NA",[1]!hks_stm_is($D$2,"83",DATE(IF(MONTH(AC25)&gt;=6,YEAR(AC25),YEAR(AC25)-1),12,31),1,"Cur="&amp;$F$14,100000000))</f>
        <v>166.75</v>
      </c>
      <c r="AD31" s="64"/>
      <c r="AE31" s="64">
        <f>IF([1]!hks_stm_is($D$2,"83",DATE(IF(MONTH(AE25)&gt;=6,YEAR(AE25),YEAR(AE25)-1),12,31),1,"Cur="&amp;$F$14,100000000)=0,"NA",[1]!hks_stm_is($D$2,"83",DATE(IF(MONTH(AE25)&gt;=6,YEAR(AE25),YEAR(AE25)-1),12,31),1,"Cur="&amp;$F$14,100000000))</f>
        <v>269.14</v>
      </c>
      <c r="AF31" s="64"/>
      <c r="AG31" s="64">
        <f>IF([1]!hks_stm_is($D$2,"83",DATE(IF(MONTH(AG25)&gt;=6,YEAR(AG25),YEAR(AG25)-1),12,31),1,"Cur="&amp;$F$14,100000000)=0,"NA",[1]!hks_stm_is($D$2,"83",DATE(IF(MONTH(AG25)&gt;=6,YEAR(AG25),YEAR(AG25)-1),12,31),1,"Cur="&amp;$F$14,100000000))</f>
        <v>269.74</v>
      </c>
      <c r="AH31" s="64"/>
      <c r="AI31" s="49"/>
      <c r="AN31" s="141"/>
    </row>
    <row r="32" spans="2:42" s="7" customFormat="1" ht="24.6" customHeight="1" x14ac:dyDescent="0.2">
      <c r="B32" s="49"/>
      <c r="C32" s="13"/>
      <c r="D32" s="13" t="s">
        <v>60</v>
      </c>
      <c r="E32" s="58"/>
      <c r="F32" s="88"/>
      <c r="G32" s="49"/>
      <c r="H32" s="88"/>
      <c r="I32" s="53" t="s">
        <v>35</v>
      </c>
      <c r="J32" s="59">
        <f t="shared" si="4"/>
        <v>674.2727726216666</v>
      </c>
      <c r="K32" s="59"/>
      <c r="L32" s="59">
        <f t="shared" si="0"/>
        <v>868.26789523833327</v>
      </c>
      <c r="M32" s="59"/>
      <c r="N32" s="59">
        <f t="shared" si="1"/>
        <v>1029.9893619008333</v>
      </c>
      <c r="O32" s="59"/>
      <c r="P32" s="59" t="str">
        <f t="shared" si="2"/>
        <v>NA</v>
      </c>
      <c r="Q32" s="59"/>
      <c r="R32" s="59" t="str">
        <f t="shared" si="3"/>
        <v>NA</v>
      </c>
      <c r="S32" s="49"/>
      <c r="T32" s="49"/>
      <c r="U32" s="49"/>
      <c r="V32" s="13"/>
      <c r="W32" s="13" t="s">
        <v>170</v>
      </c>
      <c r="X32" s="13"/>
      <c r="Y32" s="59">
        <f>IF([1]!hks_stm_is($D2,"10",DATE(IF(MONTH(Y25)&gt;=6,YEAR(Y25),YEAR(Y25)-1),12,31),1,"Cur="&amp;$F$14,100000000)=0,"NA",[1]!hks_stm_is($D2,"10",DATE(IF(MONTH(Y25)&gt;=6,YEAR(Y25),YEAR(Y25)-1),12,31),1,"Cur="&amp;$F$14,100000000))</f>
        <v>45.45</v>
      </c>
      <c r="Z32" s="59"/>
      <c r="AA32" s="59">
        <f>IF([1]!hks_stm_is($D2,"10",DATE(IF(MONTH(AA25)&gt;=6,YEAR(AA25),YEAR(AA25)-1),12,31),1,"Cur="&amp;$F$14,100000000)=0,"NA",[1]!hks_stm_is($D2,"10",DATE(IF(MONTH(AA25)&gt;=6,YEAR(AA25),YEAR(AA25)-1),12,31),1,"Cur="&amp;$F$14,100000000))</f>
        <v>41.5</v>
      </c>
      <c r="AB32" s="59"/>
      <c r="AC32" s="59">
        <f>IF([1]!hks_stm_is($D2,"10",DATE(IF(MONTH(AC25)&gt;=6,YEAR(AC25),YEAR(AC25)-1),12,31),1,"Cur="&amp;$F$14,100000000)=0,"NA",[1]!hks_stm_is($D2,"10",DATE(IF(MONTH(AC25)&gt;=6,YEAR(AC25),YEAR(AC25)-1),12,31),1,"Cur="&amp;$F$14,100000000))</f>
        <v>62.79</v>
      </c>
      <c r="AD32" s="59"/>
      <c r="AE32" s="59">
        <f>IF([1]!hks_stm_is($D2,"10",DATE(IF(MONTH(AE25)&gt;=6,YEAR(AE25),YEAR(AE25)-1),12,31),1,"Cur="&amp;$F$14,100000000)=0,"NA",[1]!hks_stm_is($D2,"10",DATE(IF(MONTH(AE25)&gt;=6,YEAR(AE25),YEAR(AE25)-1),12,31),1,"Cur="&amp;$F$14,100000000))</f>
        <v>94.39</v>
      </c>
      <c r="AF32" s="59"/>
      <c r="AG32" s="59">
        <f>IF([1]!hks_stm_is($D2,"10",DATE(IF(MONTH(AG25)&gt;=6,YEAR(AG25),YEAR(AG25)-1),12,31),1,"Cur="&amp;$F$14,100000000)=0,"NA",[1]!hks_stm_is($D2,"10",DATE(IF(MONTH(AG25)&gt;=6,YEAR(AG25),YEAR(AG25)-1),12,31),1,"Cur="&amp;$F$14,100000000))</f>
        <v>116.18</v>
      </c>
      <c r="AH32" s="59"/>
      <c r="AI32" s="49"/>
    </row>
    <row r="33" spans="2:35" s="7" customFormat="1" ht="24.6" customHeight="1" x14ac:dyDescent="0.2">
      <c r="B33" s="49"/>
      <c r="C33" s="56" t="s">
        <v>61</v>
      </c>
      <c r="D33" s="20"/>
      <c r="E33" s="64"/>
      <c r="F33" s="89">
        <f>SUM(F26,F27:H32)</f>
        <v>250000</v>
      </c>
      <c r="G33" s="70"/>
      <c r="H33" s="88"/>
      <c r="I33" s="56" t="s">
        <v>36</v>
      </c>
      <c r="J33" s="64">
        <f t="shared" si="4"/>
        <v>1078.0053805525001</v>
      </c>
      <c r="K33" s="64"/>
      <c r="L33" s="64">
        <f t="shared" si="0"/>
        <v>1346.1175277774998</v>
      </c>
      <c r="M33" s="64"/>
      <c r="N33" s="64">
        <f t="shared" si="1"/>
        <v>1609.8409916708333</v>
      </c>
      <c r="O33" s="64"/>
      <c r="P33" s="64" t="str">
        <f t="shared" si="2"/>
        <v>NA</v>
      </c>
      <c r="Q33" s="64"/>
      <c r="R33" s="64" t="str">
        <f t="shared" si="3"/>
        <v>NA</v>
      </c>
      <c r="S33" s="49"/>
      <c r="T33" s="49"/>
      <c r="U33" s="49"/>
      <c r="V33" s="20"/>
      <c r="W33" s="20" t="s">
        <v>64</v>
      </c>
      <c r="X33" s="20"/>
      <c r="Y33" s="64">
        <f>IF([1]!hks_stm_is($D$2,"61",DATE(IF(MONTH(Y25)&gt;=6,YEAR(Y25),YEAR(Y25)-1),12,31),1,"Cur="&amp;$F$14,100000000)=0,"NA",[1]!hks_stm_is($D$2,"61",DATE(IF(MONTH(Y25)&gt;=6,YEAR(Y25),YEAR(Y25)-1),12,31),1,"Cur="&amp;$F$14,100000000))</f>
        <v>41.41</v>
      </c>
      <c r="Z33" s="64"/>
      <c r="AA33" s="64">
        <f>IF([1]!hks_stm_is($D$2,"61",DATE(IF(MONTH(AA25)&gt;=6,YEAR(AA25),YEAR(AA25)-1),12,31),1,"Cur="&amp;$F$14,100000000)=0,"NA",[1]!hks_stm_is($D$2,"61",DATE(IF(MONTH(AA25)&gt;=6,YEAR(AA25),YEAR(AA25)-1),12,31),1,"Cur="&amp;$F$14,100000000))</f>
        <v>27.96</v>
      </c>
      <c r="AB33" s="64"/>
      <c r="AC33" s="64">
        <f>IF([1]!hks_stm_is($D$2,"61",DATE(IF(MONTH(AC25)&gt;=6,YEAR(AC25),YEAR(AC25)-1),12,31),1,"Cur="&amp;$F$14,100000000)=0,"NA",[1]!hks_stm_is($D$2,"61",DATE(IF(MONTH(AC25)&gt;=6,YEAR(AC25),YEAR(AC25)-1),12,31),1,"Cur="&amp;$F$14,100000000))</f>
        <v>43.32</v>
      </c>
      <c r="AD33" s="64"/>
      <c r="AE33" s="64">
        <f>IF([1]!hks_stm_is($D$2,"61",DATE(IF(MONTH(AE25)&gt;=6,YEAR(AE25),YEAR(AE25)-1),12,31),1,"Cur="&amp;$F$14,100000000)=0,"NA",[1]!hks_stm_is($D$2,"61",DATE(IF(MONTH(AE25)&gt;=6,YEAR(AE25),YEAR(AE25)-1),12,31),1,"Cur="&amp;$F$14,100000000))</f>
        <v>97.52</v>
      </c>
      <c r="AF33" s="64"/>
      <c r="AG33" s="64">
        <f>IF([1]!hks_stm_is($D$2,"61",DATE(IF(MONTH(AG25)&gt;=6,YEAR(AG25),YEAR(AG25)-1),12,31),1,"Cur="&amp;$F$14,100000000)=0,"NA",[1]!hks_stm_is($D$2,"61",DATE(IF(MONTH(AG25)&gt;=6,YEAR(AG25),YEAR(AG25)-1),12,31),1,"Cur="&amp;$F$14,100000000))</f>
        <v>43.68</v>
      </c>
      <c r="AH33" s="64"/>
      <c r="AI33" s="49"/>
    </row>
    <row r="34" spans="2:35" s="7" customFormat="1" ht="24.6" customHeight="1" x14ac:dyDescent="0.2">
      <c r="B34" s="49"/>
      <c r="C34" s="53" t="s">
        <v>62</v>
      </c>
      <c r="D34" s="13"/>
      <c r="E34" s="59"/>
      <c r="F34" s="88">
        <f>[1]!hks_val_ev($D2,$F2,"Cur="&amp;$F$14,100000000)</f>
        <v>20658.000000000004</v>
      </c>
      <c r="G34" s="49"/>
      <c r="H34" s="88"/>
      <c r="I34" s="53" t="s">
        <v>38</v>
      </c>
      <c r="J34" s="59">
        <f t="shared" si="4"/>
        <v>667.51332948999993</v>
      </c>
      <c r="K34" s="54"/>
      <c r="L34" s="59">
        <f t="shared" si="0"/>
        <v>845.13880063916656</v>
      </c>
      <c r="M34" s="54"/>
      <c r="N34" s="59">
        <f t="shared" si="1"/>
        <v>974.22576730749995</v>
      </c>
      <c r="O34" s="54"/>
      <c r="P34" s="59" t="str">
        <f t="shared" si="2"/>
        <v>NA</v>
      </c>
      <c r="Q34" s="54"/>
      <c r="R34" s="59" t="str">
        <f t="shared" si="3"/>
        <v>NA</v>
      </c>
      <c r="S34" s="49"/>
      <c r="T34" s="49"/>
      <c r="U34" s="49"/>
      <c r="V34" s="53" t="s">
        <v>65</v>
      </c>
      <c r="W34" s="13"/>
      <c r="X34" s="13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49"/>
    </row>
    <row r="35" spans="2:35" s="7" customFormat="1" ht="24.6" customHeight="1" x14ac:dyDescent="0.2">
      <c r="B35" s="49"/>
      <c r="C35" s="56" t="s">
        <v>63</v>
      </c>
      <c r="D35" s="20"/>
      <c r="E35" s="70"/>
      <c r="F35" s="89">
        <f>F13*F33/10000</f>
        <v>20658</v>
      </c>
      <c r="G35" s="20"/>
      <c r="H35" s="88"/>
      <c r="I35" s="56" t="s">
        <v>39</v>
      </c>
      <c r="J35" s="64">
        <f t="shared" si="4"/>
        <v>551.18438072916661</v>
      </c>
      <c r="K35" s="57"/>
      <c r="L35" s="64">
        <f t="shared" si="0"/>
        <v>706.51476774000002</v>
      </c>
      <c r="M35" s="57"/>
      <c r="N35" s="64">
        <f t="shared" si="1"/>
        <v>841.44993944666658</v>
      </c>
      <c r="O35" s="57"/>
      <c r="P35" s="64" t="str">
        <f t="shared" si="2"/>
        <v>NA</v>
      </c>
      <c r="Q35" s="57"/>
      <c r="R35" s="64" t="str">
        <f t="shared" si="3"/>
        <v>NA</v>
      </c>
      <c r="S35" s="49"/>
      <c r="T35" s="49"/>
      <c r="U35" s="49"/>
      <c r="V35" s="56"/>
      <c r="W35" s="20" t="s">
        <v>66</v>
      </c>
      <c r="X35" s="20"/>
      <c r="Y35" s="64">
        <f>IF([1]!hks_fa_bps($D2,DATE(IF(MONTH(Y25)&gt;=6,YEAR(Y25)-1,YEAR(Y25)-2),12,31),"Cur="&amp;$F$14)=0,"NA",[1]!hks_fa_bps($D2,DATE(IF(MONTH(Y25)&gt;=6,YEAR(Y25)-1,YEAR(Y25)-2),12,31),"Cur="&amp;$F$14))</f>
        <v>12.32838284</v>
      </c>
      <c r="Z35" s="64"/>
      <c r="AA35" s="64">
        <f>IF([1]!hks_fa_bps($D2,DATE(IF(MONTH(AA25)&gt;=6,YEAR(AA25)-1,YEAR(AA25)-2),12,31),"Cur="&amp;$F$14)=0,"NA",[1]!hks_fa_bps($D2,DATE(IF(MONTH(AA25)&gt;=6,YEAR(AA25)-1,YEAR(AA25)-2),12,31),"Cur="&amp;$F$14))</f>
        <v>15.41584158</v>
      </c>
      <c r="AB35" s="64"/>
      <c r="AC35" s="64">
        <f>IF([1]!hks_fa_bps($D2,DATE(IF(MONTH(AC25)&gt;=6,YEAR(AC25)-1,YEAR(AC25)-2),12,31),"Cur="&amp;$F$14)=0,"NA",[1]!hks_fa_bps($D2,DATE(IF(MONTH(AC25)&gt;=6,YEAR(AC25)-1,YEAR(AC25)-2),12,31),"Cur="&amp;$F$14))</f>
        <v>19.941176469999998</v>
      </c>
      <c r="AD35" s="64"/>
      <c r="AE35" s="64">
        <f>IF([1]!hks_fa_bps($D2,DATE(IF(MONTH(AE25)&gt;=6,YEAR(AE25)-1,YEAR(AE25)-2),12,31),"Cur="&amp;$F$14)=0,"NA",[1]!hks_fa_bps($D2,DATE(IF(MONTH(AE25)&gt;=6,YEAR(AE25)-1,YEAR(AE25)-2),12,31),"Cur="&amp;$F$14))</f>
        <v>27.24677419</v>
      </c>
      <c r="AF35" s="64"/>
      <c r="AG35" s="64">
        <f>IF([1]!hks_fa_bps($D2,DATE(IF(MONTH(AG25)&gt;=6,YEAR(AG25)-1,YEAR(AG25)-2),12,31),"Cur="&amp;$F$14)=0,"NA",[1]!hks_fa_bps($D2,DATE(IF(MONTH(AG25)&gt;=6,YEAR(AG25)-1,YEAR(AG25)-2),12,31),"Cur="&amp;$F$14))</f>
        <v>10.395312499999999</v>
      </c>
      <c r="AH35" s="64"/>
      <c r="AI35" s="49"/>
    </row>
    <row r="36" spans="2:35" s="7" customFormat="1" ht="24.6" customHeight="1" thickBot="1" x14ac:dyDescent="0.25">
      <c r="B36" s="49"/>
      <c r="C36" s="76" t="s">
        <v>214</v>
      </c>
      <c r="D36" s="77"/>
      <c r="E36" s="77"/>
      <c r="F36" s="170">
        <f>[1]!hks_val_ev1(D2,F2,"Cur="&amp;$F$14,100000000)</f>
        <v>20755.090000000004</v>
      </c>
      <c r="G36" s="77"/>
      <c r="H36" s="49"/>
      <c r="I36" s="76" t="s">
        <v>42</v>
      </c>
      <c r="J36" s="77">
        <f t="shared" si="4"/>
        <v>658.71589861416669</v>
      </c>
      <c r="K36" s="126"/>
      <c r="L36" s="77">
        <f t="shared" si="0"/>
        <v>831.09272847249997</v>
      </c>
      <c r="M36" s="126"/>
      <c r="N36" s="77">
        <f t="shared" si="1"/>
        <v>970.70275718000005</v>
      </c>
      <c r="O36" s="126"/>
      <c r="P36" s="77" t="str">
        <f t="shared" si="2"/>
        <v>NA</v>
      </c>
      <c r="Q36" s="126"/>
      <c r="R36" s="77" t="str">
        <f t="shared" si="3"/>
        <v>NA</v>
      </c>
      <c r="S36" s="49"/>
      <c r="T36" s="49"/>
      <c r="U36" s="49"/>
      <c r="V36" s="13"/>
      <c r="W36" s="13" t="s">
        <v>68</v>
      </c>
      <c r="X36" s="13"/>
      <c r="Y36" s="59">
        <f>IF(OR([1]!hks_fa_eps_basic($D2,DATE(IF(MONTH(Y25)&gt;=6,YEAR(Y25)-1,YEAR(Y25)-2),12,31),"Cur="&amp;$F$14)&gt;=10,[1]!hks_fa_eps_basic($D2,DATE(IF(MONTH(Y25)&gt;=6,YEAR(Y25)-1,YEAR(Y25)-2),12,31),"Cur="&amp;$F$14)=0),"NA",[1]!hks_fa_eps_basic($D2,DATE(IF(MONTH(Y25)&gt;=6,YEAR(Y25)-1,YEAR(Y25)-2),12,31),"Cur="&amp;$F$14))</f>
        <v>5.09</v>
      </c>
      <c r="Z36" s="54"/>
      <c r="AA36" s="59">
        <f>IF(OR([1]!hks_fa_eps_basic($D2,DATE(IF(MONTH(AA25)&gt;=6,YEAR(AA25)-1,YEAR(AA25)-2),12,31),"Cur="&amp;$F$14)&gt;=10,[1]!hks_fa_eps_basic($D2,DATE(IF(MONTH(AA25)&gt;=6,YEAR(AA25)-1,YEAR(AA25)-2),12,31),"Cur="&amp;$F$14)=0),"NA",[1]!hks_fa_eps_basic($D2,DATE(IF(MONTH(AA25)&gt;=6,YEAR(AA25)-1,YEAR(AA25)-2),12,31),"Cur="&amp;$F$14))</f>
        <v>6.81</v>
      </c>
      <c r="AB36" s="54"/>
      <c r="AC36" s="59">
        <f>IF(OR([1]!hks_fa_eps_basic($D2,DATE(IF(MONTH(AC25)&gt;=6,YEAR(AC25)-1,YEAR(AC25)-2),12,31),"Cur="&amp;$F$14)&gt;=10,[1]!hks_fa_eps_basic($D2,DATE(IF(MONTH(AC25)&gt;=6,YEAR(AC25)-1,YEAR(AC25)-2),12,31),"Cur="&amp;$F$14)=0),"NA",[1]!hks_fa_eps_basic($D2,DATE(IF(MONTH(AC25)&gt;=6,YEAR(AC25)-1,YEAR(AC25)-2),12,31),"Cur="&amp;$F$14))</f>
        <v>4.59</v>
      </c>
      <c r="AD36" s="54"/>
      <c r="AE36" s="59">
        <f>IF(OR([1]!hks_fa_eps_basic($D2,DATE(IF(MONTH(AE25)&gt;=6,YEAR(AE25)-1,YEAR(AE25)-2),12,31),"Cur="&amp;$F$14)&gt;=10,[1]!hks_fa_eps_basic($D2,DATE(IF(MONTH(AE25)&gt;=6,YEAR(AE25)-1,YEAR(AE25)-2),12,31),"Cur="&amp;$F$14)=0),"NA",[1]!hks_fa_eps_basic($D2,DATE(IF(MONTH(AE25)&gt;=6,YEAR(AE25)-1,YEAR(AE25)-2),12,31),"Cur="&amp;$F$14))</f>
        <v>7.02</v>
      </c>
      <c r="AF36" s="54"/>
      <c r="AG36" s="59">
        <f>IF(OR([1]!hks_fa_eps_basic($D2,DATE(IF(MONTH(AG25)&gt;=6,YEAR(AG25)-1,YEAR(AG25)-2),12,31),"Cur="&amp;$F$14)&gt;=10,[1]!hks_fa_eps_basic($D2,DATE(IF(MONTH(AG25)&gt;=6,YEAR(AG25)-1,YEAR(AG25)-2),12,31),"Cur="&amp;$F$14)=0),"NA",[1]!hks_fa_eps_basic($D2,DATE(IF(MONTH(AG25)&gt;=6,YEAR(AG25)-1,YEAR(AG25)-2),12,31),"Cur="&amp;$F$14))</f>
        <v>3.91</v>
      </c>
      <c r="AH36" s="54"/>
      <c r="AI36" s="49"/>
    </row>
    <row r="37" spans="2:35" s="7" customFormat="1" ht="24.6" customHeight="1" x14ac:dyDescent="0.2">
      <c r="B37" s="49"/>
      <c r="C37" s="49"/>
      <c r="D37" s="49"/>
      <c r="E37" s="49"/>
      <c r="F37" s="49"/>
      <c r="G37" s="49"/>
      <c r="H37" s="112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20"/>
      <c r="W37" s="20" t="s">
        <v>69</v>
      </c>
      <c r="X37" s="20"/>
      <c r="Y37" s="64">
        <f>IF([1]!hks_fa_dps($D$2,IF(MONTH(Y25)&gt;=6,YEAR(Y25),YEAR(Y25)-1),"Cur="&amp;$F$14)=0,"NA",[1]!hks_fa_dps($D$2,IF(MONTH(Y25)&gt;=6,YEAR(Y25),YEAR(Y25)-1),"Cur="&amp;$F$14))</f>
        <v>0.62</v>
      </c>
      <c r="Z37" s="57"/>
      <c r="AA37" s="64">
        <f>IF([1]!hks_fa_dps($D$2,IF(MONTH(AA25)&gt;=6,YEAR(AA25),YEAR(AA25)-1),"Cur="&amp;$F$14)=0,"NA",[1]!hks_fa_dps($D$2,IF(MONTH(AA25)&gt;=6,YEAR(AA25),YEAR(AA25)-1),"Cur="&amp;$F$14))</f>
        <v>0.64</v>
      </c>
      <c r="AB37" s="57"/>
      <c r="AC37" s="64">
        <f>IF([1]!hks_fa_dps($D$2,IF(MONTH(AC25)&gt;=6,YEAR(AC25),YEAR(AC25)-1),"Cur="&amp;$F$14)=0,"NA",[1]!hks_fa_dps($D$2,IF(MONTH(AC25)&gt;=6,YEAR(AC25),YEAR(AC25)-1),"Cur="&amp;$F$14))</f>
        <v>0.64</v>
      </c>
      <c r="AD37" s="57"/>
      <c r="AE37" s="64">
        <f>IF([1]!hks_fa_dps($D$2,IF(MONTH(AE25)&gt;=6,YEAR(AE25),YEAR(AE25)-1),"Cur="&amp;$F$14)=0,"NA",[1]!hks_fa_dps($D$2,IF(MONTH(AE25)&gt;=6,YEAR(AE25),YEAR(AE25)-1),"Cur="&amp;$F$14))</f>
        <v>0.28000000000000003</v>
      </c>
      <c r="AF37" s="57"/>
      <c r="AG37" s="64">
        <f>IF([1]!hks_fa_dps($D$2,IF(MONTH(AG25)&gt;=6,YEAR(AG25),YEAR(AG25)-1),"Cur="&amp;$F$14)=0,"NA",[1]!hks_fa_dps($D$2,IF(MONTH(AG25)&gt;=6,YEAR(AG25),YEAR(AG25)-1),"Cur="&amp;$F$14))</f>
        <v>0.16</v>
      </c>
      <c r="AH37" s="57"/>
      <c r="AI37" s="49"/>
    </row>
    <row r="38" spans="2:35" s="7" customFormat="1" ht="24.6" customHeight="1" thickBot="1" x14ac:dyDescent="0.25">
      <c r="B38" s="49"/>
      <c r="C38" s="51" t="s">
        <v>105</v>
      </c>
      <c r="D38" s="51"/>
      <c r="E38" s="51"/>
      <c r="F38" s="51"/>
      <c r="G38" s="51"/>
      <c r="H38" s="120"/>
      <c r="I38" s="51" t="s">
        <v>205</v>
      </c>
      <c r="J38" s="51"/>
      <c r="K38" s="51"/>
      <c r="L38" s="51"/>
      <c r="M38" s="51"/>
      <c r="N38" s="51"/>
      <c r="O38" s="51"/>
      <c r="P38" s="51"/>
      <c r="Q38" s="49"/>
      <c r="R38" s="49"/>
      <c r="S38" s="49"/>
      <c r="T38" s="49"/>
      <c r="U38" s="49"/>
      <c r="V38" s="83"/>
      <c r="W38" s="83" t="s">
        <v>71</v>
      </c>
      <c r="X38" s="83"/>
      <c r="Y38" s="77">
        <f>IFERROR(ROUND(Y37/Y36*100,1)/100,"NA")</f>
        <v>0.122</v>
      </c>
      <c r="Z38" s="126"/>
      <c r="AA38" s="77">
        <f>IFERROR(ROUND(AA37/AA36*100,1)/100,"NA")</f>
        <v>9.4E-2</v>
      </c>
      <c r="AB38" s="126"/>
      <c r="AC38" s="77">
        <f>IFERROR(ROUND(AC37/AC36*100,1)/100,"NA")</f>
        <v>0.13900000000000001</v>
      </c>
      <c r="AD38" s="126"/>
      <c r="AE38" s="77">
        <f>IFERROR(ROUND(AE37/AE36*100,1)/100,"NA")</f>
        <v>0.04</v>
      </c>
      <c r="AF38" s="126"/>
      <c r="AG38" s="77">
        <f>IFERROR(ROUND(AG37/AG36*100,1)/100,"NA")</f>
        <v>4.0999999999999995E-2</v>
      </c>
      <c r="AH38" s="126"/>
      <c r="AI38" s="49"/>
    </row>
    <row r="39" spans="2:35" s="7" customFormat="1" ht="24.6" customHeight="1" x14ac:dyDescent="0.2">
      <c r="B39" s="49"/>
      <c r="C39" s="53" t="s">
        <v>67</v>
      </c>
      <c r="D39" s="13"/>
      <c r="E39" s="58"/>
      <c r="F39" s="97">
        <f>IFERROR(POWER(P9/L9,1/2)-1,"")</f>
        <v>0.95759689939515269</v>
      </c>
      <c r="G39" s="49"/>
      <c r="H39" s="120"/>
      <c r="I39" s="13"/>
      <c r="J39" s="54" t="s">
        <v>16</v>
      </c>
      <c r="K39" s="54"/>
      <c r="L39" s="54" t="s">
        <v>18</v>
      </c>
      <c r="M39" s="54"/>
      <c r="N39" s="54" t="s">
        <v>19</v>
      </c>
      <c r="O39" s="54"/>
      <c r="P39" s="54" t="s">
        <v>20</v>
      </c>
      <c r="Q39" s="49"/>
      <c r="R39" s="49"/>
      <c r="S39" s="49"/>
      <c r="T39" s="155"/>
      <c r="U39" s="49"/>
      <c r="V39" s="49"/>
      <c r="W39" s="49"/>
      <c r="X39" s="49"/>
      <c r="Y39" s="49"/>
      <c r="Z39" s="58"/>
      <c r="AA39" s="49"/>
      <c r="AB39" s="58"/>
      <c r="AC39" s="49"/>
      <c r="AD39" s="58"/>
      <c r="AE39" s="49"/>
      <c r="AF39" s="58"/>
      <c r="AG39" s="49"/>
      <c r="AH39" s="58"/>
      <c r="AI39" s="49"/>
    </row>
    <row r="40" spans="2:35" s="7" customFormat="1" ht="24.6" customHeight="1" x14ac:dyDescent="0.2">
      <c r="B40" s="49"/>
      <c r="C40" s="56" t="s">
        <v>169</v>
      </c>
      <c r="D40" s="20"/>
      <c r="E40" s="64"/>
      <c r="F40" s="75">
        <f>IFERROR(POWER(P16/L16,1/2)-1,"")</f>
        <v>0.49773972598477467</v>
      </c>
      <c r="G40" s="70"/>
      <c r="H40" s="120"/>
      <c r="I40" s="20"/>
      <c r="J40" s="57" t="str">
        <f>YEAR(L7)&amp;"A"</f>
        <v>2024A</v>
      </c>
      <c r="K40" s="57"/>
      <c r="L40" s="57" t="str">
        <f>YEAR(N7)&amp;"E"</f>
        <v>2025E</v>
      </c>
      <c r="M40" s="57"/>
      <c r="N40" s="57" t="str">
        <f>YEAR(P7)&amp;"E"</f>
        <v>2026E</v>
      </c>
      <c r="O40" s="57"/>
      <c r="P40" s="57" t="str">
        <f>YEAR(R7)&amp;"E"</f>
        <v>2027E</v>
      </c>
      <c r="Q40" s="49"/>
      <c r="R40" s="49"/>
      <c r="S40" s="49"/>
      <c r="T40" s="155"/>
      <c r="U40" s="49"/>
      <c r="V40" s="51" t="s">
        <v>74</v>
      </c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49"/>
    </row>
    <row r="41" spans="2:35" s="7" customFormat="1" ht="24.6" customHeight="1" x14ac:dyDescent="0.2">
      <c r="B41" s="49"/>
      <c r="C41" s="53" t="s">
        <v>70</v>
      </c>
      <c r="D41" s="13"/>
      <c r="E41" s="59"/>
      <c r="F41" s="97">
        <f>IFERROR(POWER(P15/L15,1/2)-1,"")</f>
        <v>0.60044666401662661</v>
      </c>
      <c r="G41" s="49"/>
      <c r="H41" s="120"/>
      <c r="I41" s="53" t="s">
        <v>46</v>
      </c>
      <c r="J41" s="86">
        <f>IFERROR(ROUND($F$13/HLOOKUP(J23,$I$23:$P$36,5,0),1),"  NA")</f>
        <v>37.5</v>
      </c>
      <c r="K41" s="58"/>
      <c r="L41" s="86">
        <f>IFERROR(ROUND($F$13/HLOOKUP(L23,$I$23:$P$36,5,0),1),"  NA")</f>
        <v>29.2</v>
      </c>
      <c r="M41" s="58"/>
      <c r="N41" s="86">
        <f>IFERROR(ROUND($F$13/HLOOKUP(N23,$I$23:$P$36,5,0),1),"  NA")</f>
        <v>24.6</v>
      </c>
      <c r="O41" s="58"/>
      <c r="P41" s="86" t="str">
        <f>IFERROR(ROUND($F$13/HLOOKUP(P23,$I$23:$P$36,5,0),1),"  NA")</f>
        <v xml:space="preserve">  NA</v>
      </c>
      <c r="Q41" s="49"/>
      <c r="R41" s="157"/>
      <c r="S41" s="49"/>
      <c r="T41" s="49"/>
      <c r="U41" s="49"/>
      <c r="V41" s="98" t="s">
        <v>3</v>
      </c>
      <c r="W41" s="98" t="s">
        <v>4</v>
      </c>
      <c r="X41" s="99" t="s">
        <v>76</v>
      </c>
      <c r="Y41" s="99" t="s">
        <v>168</v>
      </c>
      <c r="Z41" s="99"/>
      <c r="AA41" s="99" t="s">
        <v>5</v>
      </c>
      <c r="AB41" s="99"/>
      <c r="AC41" s="99" t="s">
        <v>77</v>
      </c>
      <c r="AD41" s="99"/>
      <c r="AE41" s="99" t="s">
        <v>167</v>
      </c>
      <c r="AF41" s="99"/>
      <c r="AG41" s="99" t="s">
        <v>166</v>
      </c>
      <c r="AH41" s="98"/>
      <c r="AI41" s="49"/>
    </row>
    <row r="42" spans="2:35" s="7" customFormat="1" ht="24.6" customHeight="1" x14ac:dyDescent="0.2">
      <c r="B42" s="49"/>
      <c r="C42" s="56" t="s">
        <v>72</v>
      </c>
      <c r="D42" s="20"/>
      <c r="E42" s="64"/>
      <c r="F42" s="75">
        <f>IFERROR(POWER(P18/L18,1/2)-1,"")</f>
        <v>0.55384968227761555</v>
      </c>
      <c r="G42" s="70"/>
      <c r="H42" s="49"/>
      <c r="I42" s="56" t="s">
        <v>48</v>
      </c>
      <c r="J42" s="87">
        <f>IFERROR(ROUND($F$13/HLOOKUP(J23,$I$23:$P$36,4,0),2),"  NA")</f>
        <v>22.69</v>
      </c>
      <c r="K42" s="63"/>
      <c r="L42" s="87">
        <f>IFERROR(ROUND($F$13/HLOOKUP(L23,$I$23:$P$36,4,0),2),"  NA")</f>
        <v>12.82</v>
      </c>
      <c r="M42" s="63"/>
      <c r="N42" s="87">
        <f>IFERROR(ROUND($F$13/HLOOKUP(N23,$I$23:$P$36,4,0),2),"  NA")</f>
        <v>8.35</v>
      </c>
      <c r="O42" s="63"/>
      <c r="P42" s="87" t="str">
        <f>IFERROR(ROUND($F$13/HLOOKUP(P23,$I$23:$P$36,4,0),2),"  NA")</f>
        <v xml:space="preserve">  NA</v>
      </c>
      <c r="Q42" s="49"/>
      <c r="R42" s="155"/>
      <c r="S42" s="49"/>
      <c r="T42" s="49"/>
      <c r="U42" s="49"/>
      <c r="V42" s="100" t="str">
        <f>D2</f>
        <v>NVDA.O</v>
      </c>
      <c r="W42" s="101" t="str">
        <f>[1]!S_Info_Name(V42)</f>
        <v>英伟达(NVIDIA)</v>
      </c>
      <c r="X42" s="65">
        <f>[1]!s_share_issuing_mkt(V42,Y42,10000)</f>
        <v>250000</v>
      </c>
      <c r="Y42" s="102" t="str">
        <f>[1]!lastradeday_s(V42,F$2)</f>
        <v>2024-04-25</v>
      </c>
      <c r="Z42" s="102"/>
      <c r="AA42" s="71">
        <f>[1]!S_DQ_CLOSE(V42,Y42,1)</f>
        <v>826.32</v>
      </c>
      <c r="AB42" s="71"/>
      <c r="AC42" s="71" t="str">
        <f>[1]!hks_info_tradecur(V42)</f>
        <v>USD</v>
      </c>
      <c r="AD42" s="71"/>
      <c r="AE42" s="71">
        <f>IF([1]!hks_info_tradecur(V42)="CNY",1,[1]!S_DQ_CLOSE([1]!hks_info_tradecur(V42)&amp;"CNY.EX",Y42,1))</f>
        <v>7.1058000000000003</v>
      </c>
      <c r="AF42" s="71"/>
      <c r="AG42" s="91">
        <f>X42*AA42*AE42/10000</f>
        <v>146791.6164</v>
      </c>
      <c r="AH42" s="100"/>
      <c r="AI42" s="49"/>
    </row>
    <row r="43" spans="2:35" s="7" customFormat="1" ht="24.6" customHeight="1" x14ac:dyDescent="0.2">
      <c r="B43" s="49"/>
      <c r="C43" s="53" t="s">
        <v>73</v>
      </c>
      <c r="D43" s="13"/>
      <c r="E43" s="59"/>
      <c r="F43" s="97">
        <f>IFERROR(POWER(P10/L10,1/2)-1,"")</f>
        <v>0.54262283471277106</v>
      </c>
      <c r="G43" s="49"/>
      <c r="H43" s="49"/>
      <c r="I43" s="53" t="s">
        <v>53</v>
      </c>
      <c r="J43" s="127">
        <f>IFERROR(HLOOKUP(J23,$I$23:$P$36,6,0)/$F$13,"NA")</f>
        <v>2.2180672540097457E-4</v>
      </c>
      <c r="K43" s="127"/>
      <c r="L43" s="127">
        <f>IFERROR(HLOOKUP(L23,$I$23:$P$36,6,0)/$F$13,"NA")</f>
        <v>2.3579444605802431E-4</v>
      </c>
      <c r="M43" s="127"/>
      <c r="N43" s="127">
        <f>IFERROR(HLOOKUP(N23,$I$23:$P$36,6,0)/$F$13,"NA")</f>
        <v>2.3938466130958143E-4</v>
      </c>
      <c r="O43" s="58"/>
      <c r="P43" s="127" t="str">
        <f>IFERROR(HLOOKUP(P23,$I$23:$P$36,6,0)/$F$13,"NA")</f>
        <v>NA</v>
      </c>
      <c r="Q43" s="49"/>
      <c r="R43" s="49"/>
      <c r="S43" s="49"/>
      <c r="T43" s="49"/>
      <c r="U43" s="49"/>
      <c r="V43" s="103">
        <f>[1]!s_info_asharewindcode(D2)</f>
        <v>0</v>
      </c>
      <c r="W43" s="103">
        <f>[1]!S_Info_Name(V43)</f>
        <v>0</v>
      </c>
      <c r="X43" s="60">
        <f>[1]!s_share_issuing_mkt(V43,Y43,10000)</f>
        <v>0</v>
      </c>
      <c r="Y43" s="104">
        <f>[1]!lastradeday_s(V43,F$2)</f>
        <v>0</v>
      </c>
      <c r="Z43" s="104"/>
      <c r="AA43" s="73">
        <f>[1]!S_DQ_CLOSE(V43,Y43,1)</f>
        <v>0</v>
      </c>
      <c r="AB43" s="73"/>
      <c r="AC43" s="73">
        <f>[1]!hks_info_tradecur(V43)</f>
        <v>0</v>
      </c>
      <c r="AD43" s="73"/>
      <c r="AE43" s="73">
        <f>IF([1]!hks_info_tradecur(V43)="CNY",1,[1]!S_DQ_CLOSE([1]!hks_info_tradecur(V43)&amp;"CNY.EX",Y43,1))</f>
        <v>0</v>
      </c>
      <c r="AF43" s="73"/>
      <c r="AG43" s="92">
        <f>X43*AA43*AE43/10000</f>
        <v>0</v>
      </c>
      <c r="AH43" s="103"/>
      <c r="AI43" s="49"/>
    </row>
    <row r="44" spans="2:35" s="7" customFormat="1" ht="24.6" customHeight="1" x14ac:dyDescent="0.2">
      <c r="B44" s="49"/>
      <c r="C44" s="56" t="s">
        <v>75</v>
      </c>
      <c r="D44" s="20"/>
      <c r="E44" s="64"/>
      <c r="F44" s="75">
        <f>IFERROR(POWER(P11/L11,1/2)-1,"")</f>
        <v>0.10594981802973313</v>
      </c>
      <c r="G44" s="70"/>
      <c r="H44" s="49"/>
      <c r="I44" s="56" t="s">
        <v>30</v>
      </c>
      <c r="J44" s="90">
        <f>IFERROR(HLOOKUP(J23,$I$23:$P$36,7,0),"NA")</f>
        <v>0.6733015</v>
      </c>
      <c r="K44" s="63"/>
      <c r="L44" s="90">
        <f>IFERROR(HLOOKUP(L23,$I$23:$P$36,7,0),"NA")</f>
        <v>0.47532574999999999</v>
      </c>
      <c r="M44" s="63"/>
      <c r="N44" s="90">
        <f>IFERROR(HLOOKUP(N23,$I$23:$P$36,7,0),"NA")</f>
        <v>0.3611158333333333</v>
      </c>
      <c r="O44" s="63"/>
      <c r="P44" s="90" t="str">
        <f>IFERROR(HLOOKUP(P23,$I$23:$P$36,7,0),"NA")</f>
        <v>NA</v>
      </c>
      <c r="Q44" s="49"/>
      <c r="R44" s="158"/>
      <c r="S44" s="49"/>
      <c r="T44" s="49"/>
      <c r="U44" s="49"/>
      <c r="V44" s="101"/>
      <c r="W44" s="101">
        <f>[1]!S_Info_Name(V44)</f>
        <v>0</v>
      </c>
      <c r="X44" s="65">
        <f>[1]!s_share_issuing_mkt(V44,Y44,10000)</f>
        <v>0</v>
      </c>
      <c r="Y44" s="102">
        <f>[1]!lastradeday_s(V44,F$2)</f>
        <v>0</v>
      </c>
      <c r="Z44" s="102"/>
      <c r="AA44" s="71">
        <f>[1]!S_DQ_CLOSE(V44,Y44,1)</f>
        <v>0</v>
      </c>
      <c r="AB44" s="71"/>
      <c r="AC44" s="71">
        <f>[1]!hks_info_tradecur(V44)</f>
        <v>0</v>
      </c>
      <c r="AD44" s="71"/>
      <c r="AE44" s="71">
        <f>IF([1]!hks_info_tradecur(V44)="CNY",1,[1]!S_DQ_CLOSE([1]!hks_info_tradecur(V44)&amp;"CNY.EX",Y44,1))</f>
        <v>0</v>
      </c>
      <c r="AF44" s="71"/>
      <c r="AG44" s="91">
        <f>X44*AA44*AE44/10000</f>
        <v>0</v>
      </c>
      <c r="AH44" s="101"/>
      <c r="AI44" s="49"/>
    </row>
    <row r="45" spans="2:35" s="7" customFormat="1" ht="24.6" customHeight="1" x14ac:dyDescent="0.2">
      <c r="B45" s="49"/>
      <c r="C45" s="53" t="s">
        <v>78</v>
      </c>
      <c r="D45" s="13"/>
      <c r="E45" s="58"/>
      <c r="F45" s="97">
        <f>IFERROR(POWER(P14/L14,1/2)-1,"")</f>
        <v>0.51964570278469613</v>
      </c>
      <c r="G45" s="49"/>
      <c r="H45" s="49"/>
      <c r="I45" s="53" t="s">
        <v>32</v>
      </c>
      <c r="J45" s="79">
        <f>IFERROR(HLOOKUP(J23,$I$23:$P$36,8,0),"NA")</f>
        <v>0.56676291666666656</v>
      </c>
      <c r="K45" s="58"/>
      <c r="L45" s="79">
        <f>IFERROR(HLOOKUP(L23,$I$23:$P$36,8,0),"NA")</f>
        <v>0.44397083333333331</v>
      </c>
      <c r="M45" s="58"/>
      <c r="N45" s="79">
        <f>IFERROR(HLOOKUP(N23,$I$23:$P$36,8,0),"NA")</f>
        <v>0.3477885</v>
      </c>
      <c r="O45" s="58"/>
      <c r="P45" s="79" t="str">
        <f>IFERROR(HLOOKUP(P23,$I$23:$P$36,8,0),"NA")</f>
        <v>NA</v>
      </c>
      <c r="Q45" s="49"/>
      <c r="R45" s="49"/>
      <c r="S45" s="49"/>
      <c r="T45" s="49"/>
      <c r="U45" s="49"/>
      <c r="V45" s="103"/>
      <c r="W45" s="103">
        <f>[1]!S_Info_Name(V45)</f>
        <v>0</v>
      </c>
      <c r="X45" s="60">
        <f>[1]!s_share_issuing_mkt(V45,Y45,10000)</f>
        <v>0</v>
      </c>
      <c r="Y45" s="104">
        <f>[1]!lastradeday_s(V45,F$2)</f>
        <v>0</v>
      </c>
      <c r="Z45" s="104"/>
      <c r="AA45" s="73">
        <f>[1]!S_DQ_CLOSE(V45,Y45,1)</f>
        <v>0</v>
      </c>
      <c r="AB45" s="73"/>
      <c r="AC45" s="73">
        <f>[1]!hks_info_tradecur(V45)</f>
        <v>0</v>
      </c>
      <c r="AD45" s="73"/>
      <c r="AE45" s="73">
        <f>IF([1]!hks_info_tradecur(V45)="CNY",1,[1]!S_DQ_CLOSE([1]!hks_info_tradecur(V45)&amp;"CNY.EX",Y45,1))</f>
        <v>0</v>
      </c>
      <c r="AF45" s="73"/>
      <c r="AG45" s="92">
        <f>X45*AA45*AE45/10000</f>
        <v>0</v>
      </c>
      <c r="AH45" s="103"/>
      <c r="AI45" s="49"/>
    </row>
    <row r="46" spans="2:35" s="7" customFormat="1" ht="24.6" customHeight="1" thickBot="1" x14ac:dyDescent="0.25">
      <c r="B46" s="49"/>
      <c r="C46" s="61" t="s">
        <v>215</v>
      </c>
      <c r="D46" s="62"/>
      <c r="E46" s="94"/>
      <c r="F46" s="128">
        <f>IFERROR(POWER(P19/L19,1/2)-1,"")</f>
        <v>0.5999632022563981</v>
      </c>
      <c r="G46" s="94"/>
      <c r="H46" s="49"/>
      <c r="I46" s="56" t="s">
        <v>34</v>
      </c>
      <c r="J46" s="91">
        <f>IFERROR(ROUND(HLOOKUP(J23,$I$23:$P$36,9,0),2),"NA")</f>
        <v>683.73</v>
      </c>
      <c r="K46" s="64"/>
      <c r="L46" s="91">
        <f>IFERROR(ROUND(HLOOKUP(L23,$I$23:$P$36,9,0),2),"NA")</f>
        <v>757.64</v>
      </c>
      <c r="M46" s="64"/>
      <c r="N46" s="91">
        <f>IFERROR(ROUND(HLOOKUP(N23,$I$23:$P$36,9,0),2),"NA")</f>
        <v>840.67</v>
      </c>
      <c r="O46" s="64"/>
      <c r="P46" s="91" t="str">
        <f>IFERROR(ROUND(HLOOKUP(P23,$I$23:$P$36,9,0),2),"NA")</f>
        <v>NA</v>
      </c>
      <c r="Q46" s="49"/>
      <c r="R46" s="49"/>
      <c r="S46" s="49"/>
      <c r="T46" s="49"/>
      <c r="U46" s="49"/>
      <c r="V46" s="107"/>
      <c r="W46" s="108" t="s">
        <v>79</v>
      </c>
      <c r="X46" s="109">
        <f>SUM(X42:X45)</f>
        <v>250000</v>
      </c>
      <c r="Y46" s="94"/>
      <c r="Z46" s="94"/>
      <c r="AA46" s="94"/>
      <c r="AB46" s="94"/>
      <c r="AC46" s="94"/>
      <c r="AD46" s="94"/>
      <c r="AE46" s="109" t="s">
        <v>79</v>
      </c>
      <c r="AF46" s="110"/>
      <c r="AG46" s="140">
        <f>SUM(AG42:AG45)</f>
        <v>146791.6164</v>
      </c>
      <c r="AH46" s="107"/>
      <c r="AI46" s="49"/>
    </row>
    <row r="47" spans="2:35" s="7" customFormat="1" ht="24.6" customHeight="1" x14ac:dyDescent="0.2">
      <c r="B47" s="49"/>
      <c r="C47" s="49"/>
      <c r="D47" s="129"/>
      <c r="E47" s="49"/>
      <c r="F47" s="49"/>
      <c r="G47" s="129"/>
      <c r="H47" s="49"/>
      <c r="I47" s="53" t="s">
        <v>35</v>
      </c>
      <c r="J47" s="92">
        <f>IFERROR(ROUND(HLOOKUP(J23,$I$23:$P$36,10,0),2),"NA")</f>
        <v>674.27</v>
      </c>
      <c r="K47" s="59"/>
      <c r="L47" s="92">
        <f>IFERROR(ROUND(HLOOKUP(L23,$I$23:$P$36,10,0),2),"NA")</f>
        <v>868.27</v>
      </c>
      <c r="M47" s="59"/>
      <c r="N47" s="92">
        <f>IFERROR(ROUND(HLOOKUP(N23,$I$23:$P$36,10,0),2),"NA")</f>
        <v>1029.99</v>
      </c>
      <c r="O47" s="59"/>
      <c r="P47" s="92" t="str">
        <f>IFERROR(ROUND(HLOOKUP(P23,$I$23:$P$36,10,0),2),"NA")</f>
        <v>NA</v>
      </c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130"/>
      <c r="AI47" s="49"/>
    </row>
    <row r="48" spans="2:35" s="7" customFormat="1" ht="24.6" customHeight="1" x14ac:dyDescent="0.2">
      <c r="B48" s="49"/>
      <c r="C48" s="129"/>
      <c r="D48" s="49"/>
      <c r="E48" s="49"/>
      <c r="F48" s="160"/>
      <c r="G48" s="49"/>
      <c r="H48" s="49"/>
      <c r="I48" s="56" t="s">
        <v>36</v>
      </c>
      <c r="J48" s="91">
        <f>IFERROR(ROUND(HLOOKUP(J23,$I$23:$P$36,11,0),2),"NA")</f>
        <v>1078.01</v>
      </c>
      <c r="K48" s="64"/>
      <c r="L48" s="91">
        <f>IFERROR(ROUND(HLOOKUP(L23,$I$23:$P$36,11,0),2),"NA")</f>
        <v>1346.12</v>
      </c>
      <c r="M48" s="64"/>
      <c r="N48" s="91">
        <f>IFERROR(ROUND(HLOOKUP(N23,$I$23:$P$36,11,0),2),"NA")</f>
        <v>1609.84</v>
      </c>
      <c r="O48" s="64"/>
      <c r="P48" s="91" t="str">
        <f>IFERROR(ROUND(HLOOKUP(P23,$I$23:$P$36,11,0),2),"NA")</f>
        <v>NA</v>
      </c>
      <c r="Q48" s="49"/>
      <c r="R48" s="49"/>
      <c r="S48" s="49"/>
      <c r="T48" s="49"/>
      <c r="U48" s="49"/>
      <c r="V48" s="49"/>
      <c r="W48" s="49"/>
      <c r="X48" s="131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</row>
    <row r="49" spans="2:35" s="7" customFormat="1" ht="24.6" customHeight="1" x14ac:dyDescent="0.2">
      <c r="B49" s="49"/>
      <c r="C49" s="129"/>
      <c r="D49" s="49"/>
      <c r="E49" s="49"/>
      <c r="F49" s="129"/>
      <c r="G49" s="49"/>
      <c r="H49" s="49"/>
      <c r="I49" s="53" t="s">
        <v>38</v>
      </c>
      <c r="J49" s="92">
        <f>IFERROR(ROUND(HLOOKUP(J23,$I$23:$P$36,12,0),2),"NA")</f>
        <v>667.51</v>
      </c>
      <c r="K49" s="59"/>
      <c r="L49" s="92">
        <f>IFERROR(ROUND(HLOOKUP(L23,$I$23:$P$36,12,0),2),"NA")</f>
        <v>845.14</v>
      </c>
      <c r="M49" s="59"/>
      <c r="N49" s="92">
        <f>IFERROR(ROUND(HLOOKUP(N23,$I$23:$P$36,12,0),2),"NA")</f>
        <v>974.23</v>
      </c>
      <c r="O49" s="59"/>
      <c r="P49" s="92" t="str">
        <f>IFERROR(ROUND(HLOOKUP(P23,$I$23:$P$36,12,0),2),"NA")</f>
        <v>NA</v>
      </c>
      <c r="Q49" s="49"/>
      <c r="R49" s="49"/>
      <c r="S49" s="49"/>
      <c r="T49" s="49"/>
      <c r="U49" s="49"/>
      <c r="V49" s="49"/>
      <c r="W49" s="49"/>
      <c r="X49" s="139"/>
      <c r="Y49" s="49"/>
      <c r="Z49" s="105"/>
      <c r="AA49" s="49"/>
      <c r="AB49" s="105"/>
      <c r="AC49" s="49"/>
      <c r="AD49" s="105"/>
      <c r="AE49" s="49"/>
      <c r="AF49" s="105"/>
      <c r="AG49" s="49"/>
      <c r="AH49" s="105"/>
      <c r="AI49" s="49"/>
    </row>
    <row r="50" spans="2:35" s="7" customFormat="1" ht="24.6" customHeight="1" x14ac:dyDescent="0.2">
      <c r="B50" s="49"/>
      <c r="C50" s="49"/>
      <c r="D50" s="49"/>
      <c r="E50" s="49"/>
      <c r="F50" s="49"/>
      <c r="G50" s="49"/>
      <c r="H50" s="49"/>
      <c r="I50" s="56" t="s">
        <v>39</v>
      </c>
      <c r="J50" s="91">
        <f>IFERROR(ROUND(HLOOKUP(J23,$I$23:$P$36,13,0),2),"NA")</f>
        <v>551.17999999999995</v>
      </c>
      <c r="K50" s="64"/>
      <c r="L50" s="91">
        <f>IFERROR(ROUND(HLOOKUP(L23,$I$23:$P$36,13,0),2),"NA")</f>
        <v>706.51</v>
      </c>
      <c r="M50" s="64"/>
      <c r="N50" s="91">
        <f>IFERROR(ROUND(HLOOKUP(N23,$I$23:$P$36,13,0),2),"NA")</f>
        <v>841.45</v>
      </c>
      <c r="O50" s="64"/>
      <c r="P50" s="91" t="str">
        <f>IFERROR(ROUND(HLOOKUP(P23,$I$23:$P$36,13,0),2),"NA")</f>
        <v>NA</v>
      </c>
      <c r="Q50" s="49"/>
      <c r="R50" s="49"/>
      <c r="S50" s="49"/>
      <c r="T50" s="49"/>
      <c r="U50" s="49"/>
      <c r="V50" s="49"/>
      <c r="W50" s="49"/>
      <c r="X50" s="49"/>
      <c r="Y50" s="49"/>
      <c r="Z50" s="105"/>
      <c r="AA50" s="49"/>
      <c r="AB50" s="105"/>
      <c r="AC50" s="49"/>
      <c r="AD50" s="105"/>
      <c r="AE50" s="49"/>
      <c r="AF50" s="105"/>
      <c r="AG50" s="49"/>
      <c r="AH50" s="105"/>
      <c r="AI50" s="49"/>
    </row>
    <row r="51" spans="2:35" s="7" customFormat="1" ht="24.6" customHeight="1" thickBot="1" x14ac:dyDescent="0.25">
      <c r="B51" s="49"/>
      <c r="C51" s="129"/>
      <c r="D51" s="49"/>
      <c r="E51" s="49"/>
      <c r="F51" s="129"/>
      <c r="G51" s="49"/>
      <c r="H51" s="49"/>
      <c r="I51" s="76" t="s">
        <v>42</v>
      </c>
      <c r="J51" s="132">
        <f>IFERROR(ROUND(HLOOKUP(J23,$I$23:$P$36,14,0),2),"NA")</f>
        <v>658.72</v>
      </c>
      <c r="K51" s="77"/>
      <c r="L51" s="132">
        <f>IFERROR(ROUND(HLOOKUP(L23,$I$23:$P$36,14,0),2),"NA")</f>
        <v>831.09</v>
      </c>
      <c r="M51" s="77"/>
      <c r="N51" s="132">
        <f>IFERROR(ROUND(HLOOKUP(N23,$I$23:$P$36,14,0),2),"NA")</f>
        <v>970.7</v>
      </c>
      <c r="O51" s="77"/>
      <c r="P51" s="132" t="str">
        <f>IFERROR(ROUND(HLOOKUP(P23,$I$23:$P$36,14,0),2),"NA")</f>
        <v>NA</v>
      </c>
      <c r="Q51" s="49"/>
      <c r="R51" s="49"/>
      <c r="S51" s="49"/>
      <c r="T51" s="49"/>
      <c r="U51" s="49"/>
      <c r="V51" s="49"/>
      <c r="W51" s="49"/>
      <c r="X51" s="49"/>
      <c r="Y51" s="49"/>
      <c r="Z51" s="105"/>
      <c r="AA51" s="49"/>
      <c r="AB51" s="105"/>
      <c r="AC51" s="49"/>
      <c r="AD51" s="105"/>
      <c r="AE51" s="49"/>
      <c r="AF51" s="105"/>
      <c r="AG51" s="49"/>
      <c r="AH51" s="105"/>
      <c r="AI51" s="49"/>
    </row>
    <row r="52" spans="2:35" s="7" customFormat="1" ht="24.6" customHeight="1" x14ac:dyDescent="0.2">
      <c r="B52" s="49"/>
      <c r="C52" s="129"/>
      <c r="D52" s="49"/>
      <c r="E52" s="49"/>
      <c r="F52" s="12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155"/>
      <c r="W52" s="49"/>
      <c r="X52" s="49"/>
      <c r="Y52" s="49"/>
      <c r="Z52" s="105"/>
      <c r="AA52" s="49"/>
      <c r="AB52" s="105"/>
      <c r="AC52" s="49"/>
      <c r="AD52" s="105"/>
      <c r="AE52" s="49"/>
      <c r="AF52" s="105"/>
      <c r="AG52" s="49"/>
      <c r="AH52" s="105"/>
      <c r="AI52" s="49"/>
    </row>
    <row r="53" spans="2:35" s="7" customFormat="1" ht="24.6" customHeight="1" x14ac:dyDescent="0.2">
      <c r="B53" s="49"/>
      <c r="C53" s="49"/>
      <c r="D53" s="49"/>
      <c r="E53" s="49"/>
      <c r="F53" s="49"/>
      <c r="G53" s="49"/>
      <c r="H53" s="49"/>
      <c r="I53" s="51" t="s">
        <v>206</v>
      </c>
      <c r="J53" s="51"/>
      <c r="K53" s="51"/>
      <c r="L53" s="51"/>
      <c r="M53" s="51"/>
      <c r="N53" s="51"/>
      <c r="O53" s="51"/>
      <c r="P53" s="51"/>
      <c r="Q53" s="49"/>
      <c r="R53" s="49"/>
      <c r="S53" s="49"/>
      <c r="T53" s="155"/>
      <c r="U53" s="49"/>
      <c r="V53" s="49"/>
      <c r="W53" s="49"/>
      <c r="X53" s="49"/>
      <c r="Y53" s="49"/>
      <c r="Z53" s="105"/>
      <c r="AA53" s="49"/>
      <c r="AB53" s="105"/>
      <c r="AC53" s="49"/>
      <c r="AD53" s="105"/>
      <c r="AE53" s="49"/>
      <c r="AF53" s="105"/>
      <c r="AG53" s="49"/>
      <c r="AH53" s="105"/>
      <c r="AI53" s="49"/>
    </row>
    <row r="54" spans="2:35" s="7" customFormat="1" ht="24.6" customHeight="1" x14ac:dyDescent="0.2">
      <c r="B54" s="49"/>
      <c r="C54" s="129"/>
      <c r="D54" s="49"/>
      <c r="E54" s="49"/>
      <c r="F54" s="168"/>
      <c r="G54" s="49"/>
      <c r="H54" s="49"/>
      <c r="I54" s="13"/>
      <c r="J54" s="54" t="s">
        <v>16</v>
      </c>
      <c r="K54" s="54"/>
      <c r="L54" s="54" t="s">
        <v>18</v>
      </c>
      <c r="M54" s="54"/>
      <c r="N54" s="54" t="s">
        <v>19</v>
      </c>
      <c r="O54" s="54"/>
      <c r="P54" s="54" t="s">
        <v>20</v>
      </c>
      <c r="Q54" s="49"/>
      <c r="R54" s="49"/>
      <c r="S54" s="49"/>
      <c r="T54" s="49"/>
      <c r="U54" s="49"/>
      <c r="V54" s="49"/>
      <c r="W54" s="49"/>
      <c r="X54" s="49"/>
      <c r="Y54" s="49"/>
      <c r="Z54" s="105"/>
      <c r="AA54" s="49"/>
      <c r="AB54" s="105"/>
      <c r="AC54" s="49"/>
      <c r="AD54" s="105"/>
      <c r="AE54" s="49"/>
      <c r="AF54" s="105"/>
      <c r="AG54" s="49"/>
      <c r="AH54" s="105"/>
      <c r="AI54" s="49"/>
    </row>
    <row r="55" spans="2:35" s="7" customFormat="1" ht="24.6" customHeight="1" x14ac:dyDescent="0.2">
      <c r="B55" s="49"/>
      <c r="C55" s="129"/>
      <c r="D55" s="49"/>
      <c r="E55" s="49"/>
      <c r="F55" s="160"/>
      <c r="G55" s="49"/>
      <c r="H55" s="49"/>
      <c r="I55" s="20"/>
      <c r="J55" s="57" t="str">
        <f>YEAR(L7)&amp;"A"</f>
        <v>2024A</v>
      </c>
      <c r="K55" s="57"/>
      <c r="L55" s="57" t="str">
        <f>YEAR(N7)&amp;"E"</f>
        <v>2025E</v>
      </c>
      <c r="M55" s="57"/>
      <c r="N55" s="57" t="str">
        <f>YEAR(P7)&amp;"E"</f>
        <v>2026E</v>
      </c>
      <c r="O55" s="57"/>
      <c r="P55" s="57" t="str">
        <f>YEAR(R7)&amp;"E"</f>
        <v>2027E</v>
      </c>
      <c r="Q55" s="49"/>
      <c r="R55" s="49"/>
      <c r="S55" s="49"/>
      <c r="T55" s="156"/>
      <c r="U55" s="49"/>
      <c r="V55" s="156"/>
      <c r="W55" s="49"/>
      <c r="X55" s="49"/>
      <c r="Y55" s="49"/>
      <c r="Z55" s="105"/>
      <c r="AA55" s="49"/>
      <c r="AB55" s="105"/>
      <c r="AC55" s="49"/>
      <c r="AD55" s="105"/>
      <c r="AE55" s="49"/>
      <c r="AF55" s="105"/>
      <c r="AG55" s="49"/>
      <c r="AH55" s="105"/>
      <c r="AI55" s="49"/>
    </row>
    <row r="56" spans="2:35" s="7" customFormat="1" ht="24.6" customHeight="1" x14ac:dyDescent="0.2">
      <c r="B56" s="49"/>
      <c r="C56" s="49"/>
      <c r="D56" s="49"/>
      <c r="E56" s="49"/>
      <c r="F56" s="49"/>
      <c r="G56" s="49"/>
      <c r="H56" s="49"/>
      <c r="I56" s="53" t="s">
        <v>46</v>
      </c>
      <c r="J56" s="86">
        <f>IFERROR(ROUND($F$13/HLOOKUP(DATE(LEFT(J55,4),LEFT($F22,2)+1,0),$K$7:$R$19,4,0),2),"  NA")</f>
        <v>68.42</v>
      </c>
      <c r="K56" s="86"/>
      <c r="L56" s="86">
        <f t="shared" ref="L56:P56" si="5">IFERROR(ROUND($F$13/HLOOKUP(DATE(LEFT(L55,4),LEFT($F22,2)+1,0),$K$7:$R$19,4,0),2),"  NA")</f>
        <v>35.97</v>
      </c>
      <c r="M56" s="86"/>
      <c r="N56" s="86">
        <f>IFERROR(ROUND($F$13/HLOOKUP(DATE(LEFT(N55,4),LEFT($F22,2)+1,0),$K$7:$R$19,4,0),2),"  NA")</f>
        <v>28.75</v>
      </c>
      <c r="O56" s="86" t="str">
        <f t="shared" si="5"/>
        <v xml:space="preserve">  NA</v>
      </c>
      <c r="P56" s="86">
        <f t="shared" si="5"/>
        <v>24.23</v>
      </c>
      <c r="Q56" s="49"/>
      <c r="R56" s="49"/>
      <c r="S56" s="49"/>
      <c r="T56" s="156"/>
      <c r="U56" s="49"/>
      <c r="V56" s="49"/>
      <c r="W56" s="49"/>
      <c r="X56" s="49"/>
      <c r="Y56" s="49"/>
      <c r="Z56" s="105"/>
      <c r="AA56" s="49"/>
      <c r="AB56" s="105"/>
      <c r="AC56" s="49"/>
      <c r="AD56" s="105"/>
      <c r="AE56" s="49"/>
      <c r="AF56" s="105"/>
      <c r="AG56" s="49"/>
      <c r="AH56" s="105"/>
      <c r="AI56" s="49"/>
    </row>
    <row r="57" spans="2:35" s="7" customFormat="1" ht="24.6" customHeight="1" x14ac:dyDescent="0.2">
      <c r="B57" s="105"/>
      <c r="C57" s="49"/>
      <c r="D57" s="49"/>
      <c r="E57" s="111"/>
      <c r="F57" s="49"/>
      <c r="G57" s="49"/>
      <c r="H57" s="49"/>
      <c r="I57" s="56" t="s">
        <v>48</v>
      </c>
      <c r="J57" s="87">
        <f>IFERROR(ROUND($F$13/HLOOKUP(DATE(LEFT(J55,4),LEFT($F22,2)+1,0),$I$7:$R$19,3,0),2),"  NA")</f>
        <v>47.37</v>
      </c>
      <c r="K57" s="63"/>
      <c r="L57" s="87">
        <f>IFERROR(ROUND($F$13/HLOOKUP(DATE(LEFT(L55,4),LEFT($F22,2)+1,0),$K$7:$R$19,3,0),2),"  NA")</f>
        <v>21.66</v>
      </c>
      <c r="M57" s="63"/>
      <c r="N57" s="87">
        <f>IFERROR(ROUND($F$13/HLOOKUP(DATE(LEFT(N55,4),LEFT($F22,2)+1,0),$K$7:$R$19,3,0),2),"  NA")</f>
        <v>12.36</v>
      </c>
      <c r="O57" s="63"/>
      <c r="P57" s="87">
        <f>IFERROR(ROUND($F$13/HLOOKUP(DATE(LEFT(P55,4),LEFT($F22,2)+1,0),$K$7:$R$19,3,0),2),"  NA")</f>
        <v>8.11</v>
      </c>
      <c r="Q57" s="49"/>
      <c r="R57" s="49"/>
      <c r="S57" s="49"/>
      <c r="T57" s="49"/>
      <c r="U57" s="49"/>
      <c r="V57" s="49"/>
      <c r="W57" s="49"/>
      <c r="X57" s="49"/>
      <c r="Y57" s="49"/>
      <c r="Z57" s="105"/>
      <c r="AA57" s="49"/>
      <c r="AB57" s="105"/>
      <c r="AC57" s="49"/>
      <c r="AD57" s="105"/>
      <c r="AE57" s="49"/>
      <c r="AF57" s="105"/>
      <c r="AG57" s="49"/>
      <c r="AH57" s="105"/>
      <c r="AI57" s="49"/>
    </row>
    <row r="58" spans="2:35" s="7" customFormat="1" ht="24.6" customHeight="1" x14ac:dyDescent="0.2">
      <c r="B58" s="105"/>
      <c r="C58" s="49"/>
      <c r="D58" s="49"/>
      <c r="E58" s="111"/>
      <c r="F58" s="49"/>
      <c r="G58" s="49"/>
      <c r="H58" s="49"/>
      <c r="I58" s="53" t="s">
        <v>53</v>
      </c>
      <c r="J58" s="127">
        <f>IFERROR(HLOOKUP(DATE(LEFT(J55,4),LEFT($F22,2)+1,0),$L$7:$S$19,5,0)/$F$13,"NA")</f>
        <v>1.9362958660083259E-4</v>
      </c>
      <c r="K58" s="127"/>
      <c r="L58" s="127">
        <f>IFERROR(HLOOKUP(DATE(LEFT(L55,4),LEFT($F22,2)+1,0),$L$7:$S$19,5,0)/$F$13,"NA")</f>
        <v>2.2436828347371479E-4</v>
      </c>
      <c r="M58" s="127"/>
      <c r="N58" s="127">
        <f>IFERROR(HLOOKUP(DATE(LEFT(N55,4),LEFT($F22,2)+1,0),$L$7:$S$19,5,0)/$F$13,"NA")</f>
        <v>2.3683318811114338E-4</v>
      </c>
      <c r="O58" s="58"/>
      <c r="P58" s="127">
        <f>IFERROR(HLOOKUP(DATE(LEFT(P55,4),LEFT($F22,2)+1,0),$L$7:$S$19,5,0)/$F$13,"NA")</f>
        <v>2.3961661341853036E-4</v>
      </c>
      <c r="Q58" s="49"/>
      <c r="R58" s="49"/>
      <c r="S58" s="49"/>
      <c r="T58" s="49"/>
      <c r="U58" s="49"/>
      <c r="V58" s="49"/>
      <c r="W58" s="49"/>
      <c r="X58" s="49"/>
      <c r="Y58" s="49"/>
      <c r="Z58" s="105"/>
      <c r="AA58" s="49"/>
      <c r="AB58" s="105"/>
      <c r="AC58" s="49"/>
      <c r="AD58" s="105"/>
      <c r="AE58" s="49"/>
      <c r="AF58" s="105"/>
      <c r="AG58" s="49"/>
      <c r="AH58" s="105"/>
      <c r="AI58" s="49"/>
    </row>
    <row r="59" spans="2:35" s="7" customFormat="1" ht="24.6" customHeight="1" x14ac:dyDescent="0.2">
      <c r="B59" s="105"/>
      <c r="C59" s="49"/>
      <c r="D59" s="49"/>
      <c r="E59" s="105"/>
      <c r="F59" s="49"/>
      <c r="G59" s="49"/>
      <c r="H59" s="49"/>
      <c r="I59" s="56" t="s">
        <v>30</v>
      </c>
      <c r="J59" s="90">
        <f>IFERROR(HLOOKUP(DATE(LEFT(J55,4),LEFT($F22,2)+1,0),$L$7:$R$19,6,0),"NA")</f>
        <v>0.91458099999999998</v>
      </c>
      <c r="K59" s="63"/>
      <c r="L59" s="90">
        <f>IFERROR(HLOOKUP(DATE(LEFT(L55,4),LEFT($F22,2)+1,0),$L$7:$R$19,6,0),"NA")</f>
        <v>0.65136700000000003</v>
      </c>
      <c r="M59" s="63"/>
      <c r="N59" s="90">
        <f>IFERROR(HLOOKUP(DATE(LEFT(N55,4),LEFT($F22,2)+1,0),$L$7:$R$19,6,0),"NA")</f>
        <v>0.45932200000000001</v>
      </c>
      <c r="O59" s="63"/>
      <c r="P59" s="90">
        <f>IFERROR(HLOOKUP(DATE(LEFT(P55,4),LEFT($F22,2)+1,0),$L$7:$R$19,6,0),"NA")</f>
        <v>0.352188</v>
      </c>
      <c r="Q59" s="49"/>
      <c r="R59" s="49"/>
      <c r="S59" s="49"/>
      <c r="T59" s="49"/>
      <c r="U59" s="49"/>
      <c r="V59" s="49"/>
      <c r="W59" s="49"/>
      <c r="X59" s="49"/>
      <c r="Y59" s="49"/>
      <c r="Z59" s="105"/>
      <c r="AA59" s="49"/>
      <c r="AB59" s="105"/>
      <c r="AC59" s="49"/>
      <c r="AD59" s="105"/>
      <c r="AE59" s="49"/>
      <c r="AF59" s="105"/>
      <c r="AG59" s="49"/>
      <c r="AH59" s="105"/>
      <c r="AI59" s="49"/>
    </row>
    <row r="60" spans="2:35" s="7" customFormat="1" ht="24.6" customHeight="1" x14ac:dyDescent="0.2">
      <c r="B60" s="105"/>
      <c r="C60" s="49"/>
      <c r="D60" s="49"/>
      <c r="E60" s="105"/>
      <c r="F60" s="49"/>
      <c r="G60" s="133"/>
      <c r="H60" s="49"/>
      <c r="I60" s="53" t="s">
        <v>32</v>
      </c>
      <c r="J60" s="79">
        <f>IFERROR(HLOOKUP(DATE(LEFT(J55,4),LEFT($F22,2)+1,0),$L$7:$S$19,7,0),"NA")</f>
        <v>0.55673000000000006</v>
      </c>
      <c r="K60" s="58"/>
      <c r="L60" s="79">
        <f>IFERROR(HLOOKUP(DATE(LEFT(L55,4),LEFT($F22,2)+1,0),$L$7:$S$19,7,0),"NA")</f>
        <v>0.56767499999999993</v>
      </c>
      <c r="M60" s="58"/>
      <c r="N60" s="79">
        <f>IFERROR(HLOOKUP(DATE(LEFT(N55,4),LEFT($F22,2)+1,0),$L$7:$S$19,7,0),"NA")</f>
        <v>0.43272500000000003</v>
      </c>
      <c r="O60" s="58"/>
      <c r="P60" s="79">
        <f>IFERROR(HLOOKUP(DATE(LEFT(P55,4),LEFT($F22,2)+1,0),$L$7:$S$19,7,0),"NA")</f>
        <v>0.34006700000000001</v>
      </c>
      <c r="Q60" s="49"/>
      <c r="R60" s="49"/>
      <c r="S60" s="49"/>
      <c r="T60" s="49"/>
      <c r="U60" s="49"/>
      <c r="V60" s="49"/>
      <c r="W60" s="49"/>
      <c r="X60" s="49"/>
      <c r="Y60" s="49"/>
      <c r="Z60" s="105"/>
      <c r="AA60" s="49"/>
      <c r="AB60" s="105"/>
      <c r="AC60" s="49"/>
      <c r="AD60" s="105"/>
      <c r="AE60" s="49"/>
      <c r="AF60" s="105"/>
      <c r="AG60" s="49"/>
      <c r="AH60" s="105"/>
      <c r="AI60" s="49"/>
    </row>
    <row r="61" spans="2:35" s="7" customFormat="1" ht="24.6" customHeight="1" x14ac:dyDescent="0.2">
      <c r="B61" s="105"/>
      <c r="C61" s="49"/>
      <c r="D61" s="49"/>
      <c r="E61" s="105"/>
      <c r="F61" s="49"/>
      <c r="G61" s="134"/>
      <c r="H61" s="49"/>
      <c r="I61" s="56" t="s">
        <v>34</v>
      </c>
      <c r="J61" s="91">
        <f>IFERROR(ROUND(HLOOKUP(DATE(LEFT(J40,4),LEFT($F22,2)+1,0),$K$7:$R$19,8,0),2),"NA")</f>
        <v>329.72</v>
      </c>
      <c r="K61" s="64"/>
      <c r="L61" s="91">
        <f>IFERROR(ROUND(HLOOKUP(DATE(LEFT(L40,4),LEFT($F22,2)+1,0),$K$7:$R$19,8,0),2),"NA")</f>
        <v>715.91</v>
      </c>
      <c r="M61" s="64"/>
      <c r="N61" s="91">
        <f>IFERROR(ROUND(HLOOKUP(DATE(LEFT(N40,4),LEFT($F22,2)+1,0),$K$7:$R$19,8,0),2),"NA")</f>
        <v>761.43</v>
      </c>
      <c r="O61" s="64"/>
      <c r="P61" s="91">
        <f>IFERROR(ROUND(HLOOKUP(DATE(LEFT(P40,4),LEFT($F22,2)+1,0),$K$7:$R$19,8,0),2),"NA")</f>
        <v>847.87</v>
      </c>
      <c r="Q61" s="49"/>
      <c r="R61" s="49"/>
      <c r="S61" s="49"/>
      <c r="T61" s="49"/>
      <c r="U61" s="49"/>
      <c r="V61" s="49"/>
      <c r="W61" s="49"/>
      <c r="X61" s="49"/>
      <c r="Y61" s="49"/>
      <c r="Z61" s="105"/>
      <c r="AA61" s="49"/>
      <c r="AB61" s="105"/>
      <c r="AC61" s="49"/>
      <c r="AD61" s="105"/>
      <c r="AE61" s="49"/>
      <c r="AF61" s="105"/>
      <c r="AG61" s="49"/>
      <c r="AH61" s="105"/>
      <c r="AI61" s="49"/>
    </row>
    <row r="62" spans="2:35" s="7" customFormat="1" ht="24.6" customHeight="1" x14ac:dyDescent="0.2">
      <c r="B62" s="105"/>
      <c r="C62" s="49"/>
      <c r="D62" s="49"/>
      <c r="E62" s="105"/>
      <c r="F62" s="49"/>
      <c r="G62" s="134"/>
      <c r="H62" s="49"/>
      <c r="I62" s="53" t="s">
        <v>35</v>
      </c>
      <c r="J62" s="92">
        <f>IFERROR(ROUND(HLOOKUP(DATE(LEFT(J40,4),LEFT($F22,2)+1,0),$K$7:$R$19,9,0),2),"NA")</f>
        <v>344.8</v>
      </c>
      <c r="K62" s="59"/>
      <c r="L62" s="92">
        <f>IFERROR(ROUND(HLOOKUP(DATE(LEFT(L40,4),LEFT($F22,2)+1,0),$K$7:$R$19,9,0),2),"NA")</f>
        <v>704.22</v>
      </c>
      <c r="M62" s="59"/>
      <c r="N62" s="92">
        <f>IFERROR(ROUND(HLOOKUP(DATE(LEFT(N40,4),LEFT($F22,2)+1,0),$K$7:$R$19,9,0),2),"NA")</f>
        <v>883.18</v>
      </c>
      <c r="O62" s="59"/>
      <c r="P62" s="92">
        <f>IFERROR(ROUND(HLOOKUP(DATE(LEFT(P40,4),LEFT($F22,2)+1,0),$K$7:$R$19,9,0),2),"NA")</f>
        <v>1043.3399999999999</v>
      </c>
      <c r="Q62" s="49"/>
      <c r="R62" s="49"/>
      <c r="S62" s="49"/>
      <c r="T62" s="49"/>
      <c r="U62" s="49"/>
      <c r="V62" s="49"/>
      <c r="W62" s="49"/>
      <c r="X62" s="49"/>
      <c r="Y62" s="49"/>
      <c r="Z62" s="105"/>
      <c r="AA62" s="49"/>
      <c r="AB62" s="105"/>
      <c r="AC62" s="49"/>
      <c r="AD62" s="105"/>
      <c r="AE62" s="49"/>
      <c r="AF62" s="105"/>
      <c r="AG62" s="49"/>
      <c r="AH62" s="105"/>
      <c r="AI62" s="49"/>
    </row>
    <row r="63" spans="2:35" s="7" customFormat="1" ht="24.6" customHeight="1" x14ac:dyDescent="0.2">
      <c r="B63" s="105"/>
      <c r="C63" s="49"/>
      <c r="D63" s="49"/>
      <c r="E63" s="105"/>
      <c r="F63" s="49"/>
      <c r="G63" s="134"/>
      <c r="H63" s="49"/>
      <c r="I63" s="56" t="s">
        <v>36</v>
      </c>
      <c r="J63" s="91">
        <f>IFERROR(ROUND(HLOOKUP(DATE(LEFT(J40,4),LEFT($F22,2)+1,0),$L$7:$S$19,10,0),2),"NA")</f>
        <v>609.22</v>
      </c>
      <c r="K63" s="64"/>
      <c r="L63" s="91">
        <f>IFERROR(ROUND(HLOOKUP(DATE(LEFT(L40,4),LEFT($F22,2)+1,0),$L$7:$S$19,10,0),2),"NA")</f>
        <v>1120.6199999999999</v>
      </c>
      <c r="M63" s="64"/>
      <c r="N63" s="91">
        <f>IFERROR(ROUND(HLOOKUP(DATE(LEFT(N40,4),LEFT($F22,2)+1,0),$L$7:$S$19,10,0),2),"NA")</f>
        <v>1366.62</v>
      </c>
      <c r="O63" s="64"/>
      <c r="P63" s="91">
        <f>IFERROR(ROUND(HLOOKUP(DATE(LEFT(P40,4),LEFT($F22,2)+1,0),$L$7:$S$19,10,0),2),"NA")</f>
        <v>1631.95</v>
      </c>
      <c r="Q63" s="49"/>
      <c r="R63" s="49"/>
      <c r="S63" s="49"/>
      <c r="T63" s="49"/>
      <c r="U63" s="49"/>
      <c r="V63" s="49"/>
      <c r="W63" s="49"/>
      <c r="X63" s="49"/>
      <c r="Y63" s="49"/>
      <c r="Z63" s="105"/>
      <c r="AA63" s="49"/>
      <c r="AB63" s="105"/>
      <c r="AC63" s="49"/>
      <c r="AD63" s="105"/>
      <c r="AE63" s="49"/>
      <c r="AF63" s="105"/>
      <c r="AG63" s="49"/>
      <c r="AH63" s="105"/>
      <c r="AI63" s="49"/>
    </row>
    <row r="64" spans="2:35" s="7" customFormat="1" ht="24.6" customHeight="1" x14ac:dyDescent="0.2">
      <c r="B64" s="105"/>
      <c r="C64" s="49"/>
      <c r="D64" s="49"/>
      <c r="E64" s="105"/>
      <c r="F64" s="49"/>
      <c r="G64" s="134"/>
      <c r="H64" s="49"/>
      <c r="I64" s="53" t="s">
        <v>38</v>
      </c>
      <c r="J64" s="92">
        <f>IFERROR(ROUND(HLOOKUP(DATE(LEFT(J40,4),LEFT($F22,2)+1,0),$K$7:$R$19,11,0),2),"NA")</f>
        <v>338.18</v>
      </c>
      <c r="K64" s="59"/>
      <c r="L64" s="92">
        <f>IFERROR(ROUND(HLOOKUP(DATE(LEFT(L40,4),LEFT($F22,2)+1,0),$K$7:$R$19,11,0),2),"NA")</f>
        <v>697.45</v>
      </c>
      <c r="M64" s="59"/>
      <c r="N64" s="92">
        <f>IFERROR(ROUND(HLOOKUP(DATE(LEFT(N40,4),LEFT($F22,2)+1,0),$K$7:$R$19,11,0),2),"NA")</f>
        <v>858.56</v>
      </c>
      <c r="O64" s="59"/>
      <c r="P64" s="92">
        <f>IFERROR(ROUND(HLOOKUP(DATE(LEFT(P40,4),LEFT($F22,2)+1,0),$K$7:$R$19,11,0),2),"NA")</f>
        <v>984.74</v>
      </c>
      <c r="Q64" s="49"/>
      <c r="R64" s="49"/>
      <c r="S64" s="49"/>
      <c r="T64" s="49"/>
      <c r="U64" s="49"/>
      <c r="V64" s="49"/>
      <c r="W64" s="49"/>
      <c r="X64" s="49"/>
      <c r="Y64" s="49"/>
      <c r="Z64" s="105"/>
      <c r="AA64" s="49"/>
      <c r="AB64" s="105"/>
      <c r="AC64" s="49"/>
      <c r="AD64" s="105"/>
      <c r="AE64" s="49"/>
      <c r="AF64" s="105"/>
      <c r="AG64" s="49"/>
      <c r="AH64" s="105"/>
      <c r="AI64" s="49"/>
    </row>
    <row r="65" spans="2:35" s="7" customFormat="1" ht="24.6" customHeight="1" x14ac:dyDescent="0.2">
      <c r="B65" s="105"/>
      <c r="C65" s="49"/>
      <c r="D65" s="49"/>
      <c r="E65" s="105"/>
      <c r="F65" s="49"/>
      <c r="G65" s="134"/>
      <c r="H65" s="49"/>
      <c r="I65" s="56" t="s">
        <v>39</v>
      </c>
      <c r="J65" s="91">
        <f>IFERROR(ROUND(HLOOKUP(DATE(LEFT(J40,4),LEFT($F22,2)+1,0),$K$7:$R$19,12,0),2),"NA")</f>
        <v>297.60000000000002</v>
      </c>
      <c r="K65" s="64"/>
      <c r="L65" s="91">
        <f>IFERROR(ROUND(HLOOKUP(DATE(LEFT(L40,4),LEFT($F22,2)+1,0),$K$7:$R$19,12,0),2),"NA")</f>
        <v>574.24</v>
      </c>
      <c r="M65" s="64"/>
      <c r="N65" s="91">
        <f>IFERROR(ROUND(HLOOKUP(DATE(LEFT(N40,4),LEFT($F22,2)+1,0),$K$7:$R$19,12,0),2),"NA")</f>
        <v>718.54</v>
      </c>
      <c r="O65" s="64"/>
      <c r="P65" s="91">
        <f>IFERROR(ROUND(HLOOKUP(DATE(LEFT(P40,4),LEFT($F22,2)+1,0),$K$7:$R$19,12,0),2),"NA")</f>
        <v>852.62</v>
      </c>
      <c r="Q65" s="49"/>
      <c r="R65" s="49"/>
      <c r="S65" s="49"/>
      <c r="T65" s="49"/>
      <c r="U65" s="49"/>
      <c r="V65" s="49"/>
      <c r="W65" s="49"/>
      <c r="X65" s="49"/>
      <c r="Y65" s="49"/>
      <c r="Z65" s="105"/>
      <c r="AA65" s="49"/>
      <c r="AB65" s="105"/>
      <c r="AC65" s="49"/>
      <c r="AD65" s="105"/>
      <c r="AE65" s="49"/>
      <c r="AF65" s="105"/>
      <c r="AG65" s="49"/>
      <c r="AH65" s="105"/>
      <c r="AI65" s="49"/>
    </row>
    <row r="66" spans="2:35" s="7" customFormat="1" ht="24.6" customHeight="1" thickBot="1" x14ac:dyDescent="0.25">
      <c r="B66" s="105"/>
      <c r="C66" s="49"/>
      <c r="D66" s="49"/>
      <c r="E66" s="105"/>
      <c r="F66" s="49"/>
      <c r="G66" s="134"/>
      <c r="H66" s="49"/>
      <c r="I66" s="76" t="s">
        <v>42</v>
      </c>
      <c r="J66" s="132">
        <f>IFERROR(ROUND(HLOOKUP(DATE(LEFT(J40,4),LEFT($F22,2)+1,0),$K$7:$R$19,13,0),2),"NA")</f>
        <v>329.72</v>
      </c>
      <c r="K66" s="77"/>
      <c r="L66" s="132">
        <f>IFERROR(ROUND(HLOOKUP(DATE(LEFT(L40,4),LEFT($F22,2)+1,0),$K$7:$R$19,13,0),2),"NA")</f>
        <v>688.62</v>
      </c>
      <c r="M66" s="77"/>
      <c r="N66" s="132">
        <f>IFERROR(ROUND(HLOOKUP(DATE(LEFT(N40,4),LEFT($F22,2)+1,0),$K$7:$R$19,13,0),2),"NA")</f>
        <v>844.04</v>
      </c>
      <c r="O66" s="77"/>
      <c r="P66" s="132">
        <f>IFERROR(ROUND(HLOOKUP(DATE(LEFT(P40,4),LEFT($F22,2)+1,0),$K$7:$R$19,13,0),2),"NA")</f>
        <v>982.22</v>
      </c>
      <c r="Q66" s="49"/>
      <c r="R66" s="49"/>
      <c r="S66" s="49"/>
      <c r="T66" s="49"/>
      <c r="U66" s="49"/>
      <c r="V66" s="49"/>
      <c r="W66" s="49"/>
      <c r="X66" s="49"/>
      <c r="Y66" s="49"/>
      <c r="Z66" s="105"/>
      <c r="AA66" s="49"/>
      <c r="AB66" s="105"/>
      <c r="AC66" s="49"/>
      <c r="AD66" s="105"/>
      <c r="AE66" s="49"/>
      <c r="AF66" s="105"/>
      <c r="AG66" s="49"/>
      <c r="AH66" s="105"/>
      <c r="AI66" s="49"/>
    </row>
    <row r="67" spans="2:35" s="7" customFormat="1" ht="24.6" customHeight="1" x14ac:dyDescent="0.2">
      <c r="B67" s="105"/>
      <c r="C67" s="49"/>
      <c r="D67" s="49"/>
      <c r="E67" s="105"/>
      <c r="F67" s="49"/>
      <c r="G67" s="134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105"/>
      <c r="T67" s="49"/>
      <c r="U67" s="49"/>
      <c r="V67" s="49"/>
      <c r="W67" s="49"/>
      <c r="X67" s="49"/>
      <c r="Y67" s="49"/>
      <c r="Z67" s="105"/>
      <c r="AA67" s="49"/>
      <c r="AB67" s="105"/>
      <c r="AC67" s="49"/>
      <c r="AD67" s="105"/>
      <c r="AE67" s="49"/>
      <c r="AF67" s="105"/>
      <c r="AG67" s="49"/>
      <c r="AH67" s="105"/>
      <c r="AI67" s="49"/>
    </row>
    <row r="68" spans="2:35" s="7" customFormat="1" ht="17.25" x14ac:dyDescent="0.2">
      <c r="B68" s="105"/>
      <c r="C68" s="49"/>
      <c r="D68" s="49"/>
      <c r="E68" s="105"/>
      <c r="F68" s="49"/>
      <c r="G68" s="134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105"/>
      <c r="T68" s="49"/>
      <c r="U68" s="49"/>
      <c r="V68" s="49"/>
      <c r="W68" s="49"/>
      <c r="X68" s="49"/>
      <c r="Y68" s="49"/>
      <c r="Z68" s="105"/>
      <c r="AA68" s="49"/>
      <c r="AB68" s="105"/>
      <c r="AC68" s="49"/>
      <c r="AD68" s="105"/>
      <c r="AE68" s="49"/>
      <c r="AF68" s="105"/>
      <c r="AG68" s="49"/>
      <c r="AH68" s="105"/>
      <c r="AI68" s="49"/>
    </row>
    <row r="69" spans="2:35" s="7" customFormat="1" ht="17.25" x14ac:dyDescent="0.2">
      <c r="B69" s="105"/>
      <c r="C69" s="49"/>
      <c r="D69" s="49"/>
      <c r="E69" s="105"/>
      <c r="F69" s="49"/>
      <c r="G69" s="134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105"/>
      <c r="T69" s="49"/>
      <c r="U69" s="49"/>
      <c r="V69" s="49"/>
      <c r="W69" s="49"/>
      <c r="X69" s="49"/>
      <c r="Y69" s="49"/>
      <c r="Z69" s="105"/>
      <c r="AA69" s="49"/>
      <c r="AB69" s="105"/>
      <c r="AC69" s="49"/>
      <c r="AD69" s="105"/>
      <c r="AE69" s="49"/>
      <c r="AF69" s="105"/>
      <c r="AG69" s="49"/>
      <c r="AH69" s="105"/>
      <c r="AI69" s="49"/>
    </row>
    <row r="70" spans="2:35" s="7" customFormat="1" ht="17.25" x14ac:dyDescent="0.2"/>
    <row r="71" spans="2:35" s="7" customFormat="1" ht="17.25" x14ac:dyDescent="0.2"/>
    <row r="72" spans="2:35" s="7" customFormat="1" ht="17.25" x14ac:dyDescent="0.2"/>
    <row r="73" spans="2:35" s="7" customFormat="1" ht="17.25" x14ac:dyDescent="0.2"/>
    <row r="74" spans="2:35" s="7" customFormat="1" ht="17.25" x14ac:dyDescent="0.2"/>
    <row r="75" spans="2:35" s="7" customFormat="1" ht="17.25" x14ac:dyDescent="0.2"/>
    <row r="76" spans="2:35" s="7" customFormat="1" ht="17.25" x14ac:dyDescent="0.2"/>
    <row r="93" spans="7:9" x14ac:dyDescent="0.2">
      <c r="G93" s="135"/>
      <c r="H93" s="136"/>
      <c r="I93" s="136"/>
    </row>
    <row r="94" spans="7:9" x14ac:dyDescent="0.2">
      <c r="G94" s="135"/>
      <c r="H94" s="136"/>
      <c r="I94" s="136"/>
    </row>
    <row r="95" spans="7:9" x14ac:dyDescent="0.2">
      <c r="G95" s="135"/>
      <c r="H95" s="136"/>
      <c r="I95" s="136"/>
    </row>
    <row r="96" spans="7:9" x14ac:dyDescent="0.2">
      <c r="G96" s="135"/>
      <c r="H96" s="136"/>
      <c r="I96" s="136"/>
    </row>
    <row r="97" spans="7:9" x14ac:dyDescent="0.2">
      <c r="G97" s="135"/>
      <c r="H97" s="136"/>
      <c r="I97" s="136"/>
    </row>
    <row r="98" spans="7:9" x14ac:dyDescent="0.2">
      <c r="G98" s="135"/>
      <c r="H98" s="136"/>
      <c r="I98" s="136"/>
    </row>
    <row r="99" spans="7:9" x14ac:dyDescent="0.2">
      <c r="G99" s="135"/>
      <c r="H99" s="136"/>
      <c r="I99" s="136"/>
    </row>
    <row r="100" spans="7:9" x14ac:dyDescent="0.2">
      <c r="G100" s="135"/>
      <c r="H100" s="136"/>
      <c r="I100" s="136"/>
    </row>
    <row r="101" spans="7:9" x14ac:dyDescent="0.2">
      <c r="G101" s="135"/>
      <c r="H101" s="136"/>
      <c r="I101" s="136"/>
    </row>
    <row r="102" spans="7:9" x14ac:dyDescent="0.2">
      <c r="G102" s="135"/>
      <c r="H102" s="136"/>
      <c r="I102" s="136"/>
    </row>
    <row r="103" spans="7:9" x14ac:dyDescent="0.2">
      <c r="G103" s="135"/>
      <c r="H103" s="136"/>
      <c r="I103" s="136"/>
    </row>
    <row r="104" spans="7:9" x14ac:dyDescent="0.2">
      <c r="G104" s="135"/>
      <c r="H104" s="136"/>
      <c r="I104" s="136"/>
    </row>
    <row r="105" spans="7:9" x14ac:dyDescent="0.2">
      <c r="G105" s="135"/>
      <c r="H105" s="136"/>
      <c r="I105" s="136"/>
    </row>
    <row r="106" spans="7:9" x14ac:dyDescent="0.2">
      <c r="G106" s="135"/>
      <c r="H106" s="136"/>
      <c r="I106" s="136"/>
    </row>
    <row r="107" spans="7:9" x14ac:dyDescent="0.2">
      <c r="G107" s="135"/>
      <c r="H107" s="136"/>
      <c r="I107" s="136"/>
    </row>
    <row r="108" spans="7:9" x14ac:dyDescent="0.2">
      <c r="G108" s="135"/>
      <c r="H108" s="136"/>
      <c r="I108" s="136"/>
    </row>
    <row r="109" spans="7:9" x14ac:dyDescent="0.2">
      <c r="G109" s="135"/>
      <c r="H109" s="136"/>
      <c r="I109" s="136"/>
    </row>
    <row r="110" spans="7:9" x14ac:dyDescent="0.2">
      <c r="G110" s="135"/>
      <c r="H110" s="136"/>
      <c r="I110" s="136"/>
    </row>
    <row r="111" spans="7:9" x14ac:dyDescent="0.2">
      <c r="G111" s="135"/>
      <c r="H111" s="136"/>
      <c r="I111" s="136"/>
    </row>
    <row r="112" spans="7:9" x14ac:dyDescent="0.2">
      <c r="G112" s="135"/>
      <c r="H112" s="136"/>
      <c r="I112" s="136"/>
    </row>
    <row r="113" spans="7:9" x14ac:dyDescent="0.2">
      <c r="G113" s="135"/>
      <c r="H113" s="136"/>
      <c r="I113" s="136"/>
    </row>
    <row r="114" spans="7:9" x14ac:dyDescent="0.2">
      <c r="G114" s="135"/>
      <c r="H114" s="136"/>
      <c r="I114" s="136"/>
    </row>
    <row r="115" spans="7:9" x14ac:dyDescent="0.2">
      <c r="G115" s="135"/>
      <c r="H115" s="136"/>
      <c r="I115" s="136"/>
    </row>
    <row r="116" spans="7:9" x14ac:dyDescent="0.2">
      <c r="G116" s="135"/>
      <c r="H116" s="136"/>
      <c r="I116" s="136"/>
    </row>
    <row r="117" spans="7:9" x14ac:dyDescent="0.2">
      <c r="G117" s="135"/>
      <c r="H117" s="136"/>
      <c r="I117" s="136"/>
    </row>
    <row r="118" spans="7:9" x14ac:dyDescent="0.2">
      <c r="G118" s="135"/>
      <c r="H118" s="136"/>
      <c r="I118" s="136"/>
    </row>
    <row r="119" spans="7:9" x14ac:dyDescent="0.2">
      <c r="G119" s="135"/>
      <c r="H119" s="136"/>
      <c r="I119" s="136"/>
    </row>
    <row r="120" spans="7:9" x14ac:dyDescent="0.2">
      <c r="G120" s="135"/>
      <c r="H120" s="136"/>
      <c r="I120" s="136"/>
    </row>
    <row r="121" spans="7:9" x14ac:dyDescent="0.2">
      <c r="G121" s="135"/>
      <c r="H121" s="136"/>
      <c r="I121" s="136"/>
    </row>
    <row r="122" spans="7:9" x14ac:dyDescent="0.2">
      <c r="G122" s="135"/>
      <c r="H122" s="136"/>
      <c r="I122" s="136"/>
    </row>
    <row r="123" spans="7:9" x14ac:dyDescent="0.2">
      <c r="G123" s="135"/>
      <c r="H123" s="136"/>
      <c r="I123" s="136"/>
    </row>
    <row r="124" spans="7:9" x14ac:dyDescent="0.2">
      <c r="G124" s="135"/>
      <c r="H124" s="136"/>
      <c r="I124" s="136"/>
    </row>
    <row r="125" spans="7:9" x14ac:dyDescent="0.2">
      <c r="G125" s="135"/>
      <c r="H125" s="136"/>
      <c r="I125" s="136"/>
    </row>
    <row r="126" spans="7:9" x14ac:dyDescent="0.2">
      <c r="G126" s="135"/>
      <c r="H126" s="136"/>
      <c r="I126" s="136"/>
    </row>
    <row r="127" spans="7:9" x14ac:dyDescent="0.2">
      <c r="G127" s="135"/>
      <c r="H127" s="136"/>
      <c r="I127" s="136"/>
    </row>
    <row r="128" spans="7:9" x14ac:dyDescent="0.2">
      <c r="G128" s="135"/>
      <c r="H128" s="136"/>
      <c r="I128" s="136"/>
    </row>
    <row r="129" spans="7:9" x14ac:dyDescent="0.2">
      <c r="G129" s="135"/>
      <c r="H129" s="136"/>
      <c r="I129" s="136"/>
    </row>
    <row r="130" spans="7:9" x14ac:dyDescent="0.2">
      <c r="G130" s="135"/>
      <c r="H130" s="136"/>
      <c r="I130" s="136"/>
    </row>
    <row r="131" spans="7:9" x14ac:dyDescent="0.2">
      <c r="G131" s="135"/>
      <c r="H131" s="136"/>
      <c r="I131" s="136"/>
    </row>
    <row r="132" spans="7:9" x14ac:dyDescent="0.2">
      <c r="G132" s="135"/>
      <c r="H132" s="136"/>
      <c r="I132" s="136"/>
    </row>
    <row r="133" spans="7:9" x14ac:dyDescent="0.2">
      <c r="G133" s="135"/>
      <c r="H133" s="136"/>
      <c r="I133" s="136"/>
    </row>
    <row r="134" spans="7:9" x14ac:dyDescent="0.2">
      <c r="G134" s="135"/>
      <c r="H134" s="136"/>
      <c r="I134" s="136"/>
    </row>
    <row r="135" spans="7:9" x14ac:dyDescent="0.2">
      <c r="G135" s="135"/>
      <c r="H135" s="136"/>
      <c r="I135" s="136"/>
    </row>
    <row r="136" spans="7:9" x14ac:dyDescent="0.2">
      <c r="G136" s="135"/>
      <c r="H136" s="136"/>
      <c r="I136" s="136"/>
    </row>
    <row r="137" spans="7:9" x14ac:dyDescent="0.2">
      <c r="G137" s="135"/>
      <c r="H137" s="136"/>
      <c r="I137" s="136"/>
    </row>
    <row r="138" spans="7:9" x14ac:dyDescent="0.2">
      <c r="G138" s="135"/>
      <c r="H138" s="136"/>
      <c r="I138" s="136"/>
    </row>
    <row r="139" spans="7:9" x14ac:dyDescent="0.2">
      <c r="G139" s="135"/>
      <c r="H139" s="136"/>
      <c r="I139" s="136"/>
    </row>
    <row r="140" spans="7:9" x14ac:dyDescent="0.2">
      <c r="G140" s="135"/>
      <c r="H140" s="136"/>
      <c r="I140" s="136"/>
    </row>
    <row r="141" spans="7:9" x14ac:dyDescent="0.2">
      <c r="G141" s="135"/>
      <c r="H141" s="136"/>
      <c r="I141" s="136"/>
    </row>
    <row r="142" spans="7:9" x14ac:dyDescent="0.2">
      <c r="G142" s="135"/>
      <c r="H142" s="136"/>
      <c r="I142" s="136"/>
    </row>
    <row r="143" spans="7:9" x14ac:dyDescent="0.2">
      <c r="G143" s="135"/>
      <c r="H143" s="136"/>
      <c r="I143" s="136"/>
    </row>
    <row r="144" spans="7:9" x14ac:dyDescent="0.2">
      <c r="G144" s="135"/>
      <c r="H144" s="136"/>
      <c r="I144" s="136"/>
    </row>
    <row r="145" spans="7:9" x14ac:dyDescent="0.2">
      <c r="G145" s="135"/>
      <c r="H145" s="136"/>
      <c r="I145" s="136"/>
    </row>
    <row r="146" spans="7:9" x14ac:dyDescent="0.2">
      <c r="G146" s="135"/>
      <c r="H146" s="136"/>
      <c r="I146" s="136"/>
    </row>
    <row r="147" spans="7:9" x14ac:dyDescent="0.2">
      <c r="G147" s="135"/>
      <c r="H147" s="136"/>
      <c r="I147" s="136"/>
    </row>
    <row r="148" spans="7:9" x14ac:dyDescent="0.2">
      <c r="G148" s="135"/>
      <c r="H148" s="136"/>
      <c r="I148" s="136"/>
    </row>
    <row r="149" spans="7:9" x14ac:dyDescent="0.2">
      <c r="G149" s="135"/>
      <c r="H149" s="136"/>
      <c r="I149" s="136"/>
    </row>
    <row r="150" spans="7:9" x14ac:dyDescent="0.2">
      <c r="G150" s="135"/>
      <c r="H150" s="136"/>
      <c r="I150" s="136"/>
    </row>
    <row r="151" spans="7:9" x14ac:dyDescent="0.2">
      <c r="G151" s="135"/>
      <c r="H151" s="136"/>
      <c r="I151" s="136"/>
    </row>
    <row r="152" spans="7:9" x14ac:dyDescent="0.2">
      <c r="G152" s="135"/>
      <c r="H152" s="136"/>
      <c r="I152" s="136"/>
    </row>
    <row r="153" spans="7:9" x14ac:dyDescent="0.2">
      <c r="G153" s="135"/>
      <c r="H153" s="136"/>
      <c r="I153" s="136"/>
    </row>
    <row r="154" spans="7:9" x14ac:dyDescent="0.2">
      <c r="G154" s="135"/>
      <c r="H154" s="136"/>
      <c r="I154" s="136"/>
    </row>
    <row r="155" spans="7:9" x14ac:dyDescent="0.2">
      <c r="G155" s="135"/>
      <c r="H155" s="136"/>
      <c r="I155" s="136"/>
    </row>
    <row r="156" spans="7:9" x14ac:dyDescent="0.2">
      <c r="G156" s="135"/>
      <c r="H156" s="136"/>
      <c r="I156" s="136"/>
    </row>
    <row r="157" spans="7:9" x14ac:dyDescent="0.2">
      <c r="G157" s="135"/>
      <c r="H157" s="136"/>
      <c r="I157" s="136"/>
    </row>
    <row r="158" spans="7:9" x14ac:dyDescent="0.2">
      <c r="G158" s="135"/>
      <c r="H158" s="136"/>
      <c r="I158" s="136"/>
    </row>
    <row r="159" spans="7:9" x14ac:dyDescent="0.2">
      <c r="G159" s="135"/>
      <c r="H159" s="136"/>
      <c r="I159" s="136"/>
    </row>
    <row r="160" spans="7:9" x14ac:dyDescent="0.2">
      <c r="G160" s="135"/>
      <c r="H160" s="136"/>
      <c r="I160" s="136"/>
    </row>
    <row r="161" spans="7:9" x14ac:dyDescent="0.2">
      <c r="G161" s="135"/>
      <c r="H161" s="136"/>
      <c r="I161" s="136"/>
    </row>
    <row r="162" spans="7:9" x14ac:dyDescent="0.2">
      <c r="G162" s="135"/>
      <c r="H162" s="136"/>
      <c r="I162" s="136"/>
    </row>
    <row r="163" spans="7:9" x14ac:dyDescent="0.2">
      <c r="G163" s="135"/>
      <c r="H163" s="136"/>
      <c r="I163" s="136"/>
    </row>
    <row r="164" spans="7:9" x14ac:dyDescent="0.2">
      <c r="G164" s="135"/>
      <c r="H164" s="136"/>
      <c r="I164" s="136"/>
    </row>
    <row r="165" spans="7:9" x14ac:dyDescent="0.2">
      <c r="G165" s="135"/>
      <c r="H165" s="136"/>
      <c r="I165" s="136"/>
    </row>
    <row r="166" spans="7:9" x14ac:dyDescent="0.2">
      <c r="G166" s="135"/>
      <c r="H166" s="136"/>
      <c r="I166" s="136"/>
    </row>
    <row r="167" spans="7:9" x14ac:dyDescent="0.2">
      <c r="G167" s="135"/>
      <c r="H167" s="136"/>
      <c r="I167" s="136"/>
    </row>
    <row r="168" spans="7:9" x14ac:dyDescent="0.2">
      <c r="G168" s="135"/>
      <c r="H168" s="136"/>
      <c r="I168" s="136"/>
    </row>
    <row r="169" spans="7:9" x14ac:dyDescent="0.2">
      <c r="G169" s="135"/>
      <c r="H169" s="136"/>
      <c r="I169" s="136"/>
    </row>
    <row r="170" spans="7:9" x14ac:dyDescent="0.2">
      <c r="G170" s="135"/>
      <c r="H170" s="136"/>
      <c r="I170" s="136"/>
    </row>
    <row r="171" spans="7:9" x14ac:dyDescent="0.2">
      <c r="G171" s="135"/>
      <c r="H171" s="136"/>
      <c r="I171" s="136"/>
    </row>
    <row r="172" spans="7:9" x14ac:dyDescent="0.2">
      <c r="G172" s="135"/>
      <c r="H172" s="136"/>
      <c r="I172" s="136"/>
    </row>
    <row r="173" spans="7:9" x14ac:dyDescent="0.2">
      <c r="G173" s="135"/>
      <c r="H173" s="136"/>
      <c r="I173" s="136"/>
    </row>
    <row r="174" spans="7:9" x14ac:dyDescent="0.2">
      <c r="G174" s="135"/>
      <c r="H174" s="136"/>
      <c r="I174" s="136"/>
    </row>
    <row r="175" spans="7:9" x14ac:dyDescent="0.2">
      <c r="G175" s="135"/>
      <c r="H175" s="136"/>
      <c r="I175" s="136"/>
    </row>
    <row r="176" spans="7:9" x14ac:dyDescent="0.2">
      <c r="G176" s="135"/>
      <c r="H176" s="136"/>
      <c r="I176" s="136"/>
    </row>
    <row r="177" spans="7:9" x14ac:dyDescent="0.2">
      <c r="G177" s="135"/>
      <c r="H177" s="136"/>
      <c r="I177" s="136"/>
    </row>
    <row r="178" spans="7:9" x14ac:dyDescent="0.2">
      <c r="G178" s="135"/>
      <c r="H178" s="136"/>
      <c r="I178" s="136"/>
    </row>
    <row r="179" spans="7:9" x14ac:dyDescent="0.2">
      <c r="G179" s="135"/>
      <c r="H179" s="136"/>
      <c r="I179" s="136"/>
    </row>
    <row r="180" spans="7:9" x14ac:dyDescent="0.2">
      <c r="G180" s="135"/>
      <c r="H180" s="136"/>
      <c r="I180" s="136"/>
    </row>
    <row r="181" spans="7:9" x14ac:dyDescent="0.2">
      <c r="G181" s="135"/>
      <c r="H181" s="136"/>
      <c r="I181" s="136"/>
    </row>
    <row r="182" spans="7:9" x14ac:dyDescent="0.2">
      <c r="G182" s="135"/>
      <c r="H182" s="136"/>
      <c r="I182" s="136"/>
    </row>
    <row r="183" spans="7:9" x14ac:dyDescent="0.2">
      <c r="G183" s="135"/>
      <c r="H183" s="136"/>
      <c r="I183" s="136"/>
    </row>
    <row r="184" spans="7:9" x14ac:dyDescent="0.2">
      <c r="G184" s="135"/>
      <c r="H184" s="136"/>
      <c r="I184" s="136"/>
    </row>
    <row r="185" spans="7:9" x14ac:dyDescent="0.2">
      <c r="G185" s="135"/>
      <c r="H185" s="136"/>
      <c r="I185" s="136"/>
    </row>
    <row r="186" spans="7:9" x14ac:dyDescent="0.2">
      <c r="G186" s="135"/>
      <c r="H186" s="136"/>
      <c r="I186" s="136"/>
    </row>
    <row r="187" spans="7:9" x14ac:dyDescent="0.2">
      <c r="G187" s="135"/>
      <c r="H187" s="136"/>
      <c r="I187" s="136"/>
    </row>
    <row r="188" spans="7:9" x14ac:dyDescent="0.2">
      <c r="G188" s="135"/>
      <c r="H188" s="136"/>
      <c r="I188" s="136"/>
    </row>
    <row r="189" spans="7:9" x14ac:dyDescent="0.2">
      <c r="G189" s="135"/>
      <c r="H189" s="136"/>
      <c r="I189" s="136"/>
    </row>
    <row r="190" spans="7:9" x14ac:dyDescent="0.2">
      <c r="G190" s="135"/>
      <c r="H190" s="136"/>
      <c r="I190" s="136"/>
    </row>
    <row r="191" spans="7:9" x14ac:dyDescent="0.2">
      <c r="G191" s="135"/>
      <c r="H191" s="136"/>
      <c r="I191" s="136"/>
    </row>
    <row r="192" spans="7:9" x14ac:dyDescent="0.2">
      <c r="G192" s="135"/>
      <c r="H192" s="136"/>
      <c r="I192" s="136"/>
    </row>
    <row r="193" spans="7:9" x14ac:dyDescent="0.2">
      <c r="G193" s="135"/>
      <c r="H193" s="136"/>
      <c r="I193" s="136"/>
    </row>
    <row r="194" spans="7:9" x14ac:dyDescent="0.2">
      <c r="G194" s="135"/>
      <c r="H194" s="136"/>
      <c r="I194" s="136"/>
    </row>
    <row r="195" spans="7:9" x14ac:dyDescent="0.2">
      <c r="G195" s="135"/>
      <c r="H195" s="136"/>
      <c r="I195" s="136"/>
    </row>
    <row r="196" spans="7:9" x14ac:dyDescent="0.2">
      <c r="G196" s="135"/>
      <c r="H196" s="136"/>
      <c r="I196" s="136"/>
    </row>
    <row r="197" spans="7:9" x14ac:dyDescent="0.2">
      <c r="G197" s="135"/>
      <c r="H197" s="136"/>
      <c r="I197" s="136"/>
    </row>
    <row r="198" spans="7:9" x14ac:dyDescent="0.2">
      <c r="G198" s="135"/>
      <c r="H198" s="136"/>
      <c r="I198" s="136"/>
    </row>
    <row r="199" spans="7:9" x14ac:dyDescent="0.2">
      <c r="G199" s="135"/>
      <c r="H199" s="136"/>
      <c r="I199" s="136"/>
    </row>
    <row r="200" spans="7:9" x14ac:dyDescent="0.2">
      <c r="G200" s="135"/>
      <c r="H200" s="136"/>
      <c r="I200" s="136"/>
    </row>
    <row r="201" spans="7:9" x14ac:dyDescent="0.2">
      <c r="G201" s="135"/>
      <c r="H201" s="136"/>
      <c r="I201" s="136"/>
    </row>
    <row r="202" spans="7:9" x14ac:dyDescent="0.2">
      <c r="G202" s="135"/>
      <c r="H202" s="136"/>
      <c r="I202" s="136"/>
    </row>
    <row r="203" spans="7:9" x14ac:dyDescent="0.2">
      <c r="G203" s="135"/>
      <c r="H203" s="136"/>
      <c r="I203" s="136"/>
    </row>
    <row r="204" spans="7:9" x14ac:dyDescent="0.2">
      <c r="G204" s="135"/>
      <c r="H204" s="136"/>
      <c r="I204" s="136"/>
    </row>
    <row r="205" spans="7:9" x14ac:dyDescent="0.2">
      <c r="G205" s="135"/>
      <c r="H205" s="136"/>
      <c r="I205" s="136"/>
    </row>
    <row r="206" spans="7:9" x14ac:dyDescent="0.2">
      <c r="G206" s="135"/>
      <c r="H206" s="136"/>
      <c r="I206" s="136"/>
    </row>
    <row r="207" spans="7:9" x14ac:dyDescent="0.2">
      <c r="G207" s="135"/>
      <c r="H207" s="136"/>
      <c r="I207" s="136"/>
    </row>
    <row r="208" spans="7:9" x14ac:dyDescent="0.2">
      <c r="G208" s="135"/>
      <c r="H208" s="136"/>
      <c r="I208" s="136"/>
    </row>
    <row r="209" spans="7:9" x14ac:dyDescent="0.2">
      <c r="G209" s="135"/>
      <c r="H209" s="136"/>
      <c r="I209" s="136"/>
    </row>
    <row r="210" spans="7:9" x14ac:dyDescent="0.2">
      <c r="G210" s="135"/>
      <c r="H210" s="136"/>
      <c r="I210" s="136"/>
    </row>
    <row r="211" spans="7:9" x14ac:dyDescent="0.2">
      <c r="G211" s="135"/>
      <c r="H211" s="136"/>
      <c r="I211" s="136"/>
    </row>
    <row r="212" spans="7:9" x14ac:dyDescent="0.2">
      <c r="G212" s="135"/>
      <c r="H212" s="136"/>
      <c r="I212" s="136"/>
    </row>
    <row r="213" spans="7:9" x14ac:dyDescent="0.2">
      <c r="G213" s="135"/>
      <c r="H213" s="136"/>
      <c r="I213" s="136"/>
    </row>
    <row r="214" spans="7:9" x14ac:dyDescent="0.2">
      <c r="G214" s="135"/>
      <c r="H214" s="136"/>
      <c r="I214" s="136"/>
    </row>
    <row r="215" spans="7:9" x14ac:dyDescent="0.2">
      <c r="G215" s="135"/>
      <c r="H215" s="136"/>
      <c r="I215" s="136"/>
    </row>
    <row r="216" spans="7:9" x14ac:dyDescent="0.2">
      <c r="G216" s="135"/>
      <c r="H216" s="136"/>
      <c r="I216" s="136"/>
    </row>
    <row r="217" spans="7:9" x14ac:dyDescent="0.2">
      <c r="G217" s="135"/>
      <c r="H217" s="136"/>
      <c r="I217" s="136"/>
    </row>
    <row r="218" spans="7:9" x14ac:dyDescent="0.2">
      <c r="G218" s="135"/>
      <c r="H218" s="136"/>
      <c r="I218" s="136"/>
    </row>
    <row r="219" spans="7:9" x14ac:dyDescent="0.2">
      <c r="G219" s="135"/>
      <c r="H219" s="136"/>
      <c r="I219" s="136"/>
    </row>
    <row r="220" spans="7:9" x14ac:dyDescent="0.2">
      <c r="G220" s="135"/>
      <c r="H220" s="136"/>
      <c r="I220" s="136"/>
    </row>
    <row r="221" spans="7:9" x14ac:dyDescent="0.2">
      <c r="G221" s="135"/>
      <c r="H221" s="136"/>
      <c r="I221" s="136"/>
    </row>
    <row r="222" spans="7:9" x14ac:dyDescent="0.2">
      <c r="G222" s="135"/>
      <c r="H222" s="136"/>
      <c r="I222" s="136"/>
    </row>
    <row r="223" spans="7:9" x14ac:dyDescent="0.2">
      <c r="G223" s="135"/>
      <c r="H223" s="136"/>
      <c r="I223" s="136"/>
    </row>
    <row r="224" spans="7:9" x14ac:dyDescent="0.2">
      <c r="G224" s="135"/>
      <c r="H224" s="136"/>
      <c r="I224" s="136"/>
    </row>
    <row r="225" spans="7:9" x14ac:dyDescent="0.2">
      <c r="G225" s="135"/>
      <c r="H225" s="136"/>
      <c r="I225" s="136"/>
    </row>
    <row r="226" spans="7:9" x14ac:dyDescent="0.2">
      <c r="G226" s="135"/>
      <c r="H226" s="136"/>
      <c r="I226" s="136"/>
    </row>
    <row r="227" spans="7:9" x14ac:dyDescent="0.2">
      <c r="G227" s="135"/>
      <c r="H227" s="136"/>
      <c r="I227" s="136"/>
    </row>
    <row r="228" spans="7:9" x14ac:dyDescent="0.2">
      <c r="G228" s="135"/>
      <c r="H228" s="136"/>
      <c r="I228" s="136"/>
    </row>
    <row r="229" spans="7:9" x14ac:dyDescent="0.2">
      <c r="G229" s="135"/>
      <c r="H229" s="136"/>
      <c r="I229" s="136"/>
    </row>
    <row r="230" spans="7:9" x14ac:dyDescent="0.2">
      <c r="G230" s="135"/>
      <c r="H230" s="136"/>
      <c r="I230" s="136"/>
    </row>
    <row r="231" spans="7:9" x14ac:dyDescent="0.2">
      <c r="G231" s="135"/>
      <c r="H231" s="136"/>
      <c r="I231" s="136"/>
    </row>
    <row r="232" spans="7:9" x14ac:dyDescent="0.2">
      <c r="G232" s="135"/>
      <c r="H232" s="136"/>
      <c r="I232" s="136"/>
    </row>
    <row r="233" spans="7:9" x14ac:dyDescent="0.2">
      <c r="G233" s="135"/>
      <c r="H233" s="136"/>
      <c r="I233" s="136"/>
    </row>
    <row r="234" spans="7:9" x14ac:dyDescent="0.2">
      <c r="G234" s="135"/>
      <c r="H234" s="136"/>
      <c r="I234" s="136"/>
    </row>
    <row r="235" spans="7:9" x14ac:dyDescent="0.2">
      <c r="G235" s="135"/>
      <c r="H235" s="136"/>
      <c r="I235" s="136"/>
    </row>
    <row r="236" spans="7:9" x14ac:dyDescent="0.2">
      <c r="G236" s="135"/>
      <c r="H236" s="136"/>
      <c r="I236" s="136"/>
    </row>
    <row r="237" spans="7:9" x14ac:dyDescent="0.2">
      <c r="G237" s="135"/>
      <c r="H237" s="136"/>
      <c r="I237" s="136"/>
    </row>
    <row r="238" spans="7:9" x14ac:dyDescent="0.2">
      <c r="G238" s="135"/>
      <c r="H238" s="136"/>
      <c r="I238" s="136"/>
    </row>
    <row r="239" spans="7:9" x14ac:dyDescent="0.2">
      <c r="G239" s="135"/>
      <c r="H239" s="136"/>
      <c r="I239" s="136"/>
    </row>
    <row r="240" spans="7:9" x14ac:dyDescent="0.2">
      <c r="G240" s="135"/>
      <c r="H240" s="136"/>
      <c r="I240" s="136"/>
    </row>
    <row r="241" spans="7:9" x14ac:dyDescent="0.2">
      <c r="G241" s="135"/>
      <c r="H241" s="136"/>
      <c r="I241" s="136"/>
    </row>
    <row r="242" spans="7:9" x14ac:dyDescent="0.2">
      <c r="G242" s="135"/>
      <c r="H242" s="136"/>
      <c r="I242" s="136"/>
    </row>
    <row r="243" spans="7:9" x14ac:dyDescent="0.2">
      <c r="G243" s="135"/>
      <c r="H243" s="136"/>
      <c r="I243" s="136"/>
    </row>
    <row r="244" spans="7:9" x14ac:dyDescent="0.2">
      <c r="G244" s="135"/>
      <c r="H244" s="136"/>
      <c r="I244" s="136"/>
    </row>
    <row r="245" spans="7:9" x14ac:dyDescent="0.2">
      <c r="G245" s="135"/>
      <c r="H245" s="136"/>
      <c r="I245" s="136"/>
    </row>
    <row r="246" spans="7:9" x14ac:dyDescent="0.2">
      <c r="G246" s="135"/>
      <c r="H246" s="136"/>
      <c r="I246" s="136"/>
    </row>
    <row r="247" spans="7:9" x14ac:dyDescent="0.2">
      <c r="G247" s="135"/>
      <c r="H247" s="136"/>
      <c r="I247" s="136"/>
    </row>
    <row r="248" spans="7:9" x14ac:dyDescent="0.2">
      <c r="G248" s="135"/>
      <c r="H248" s="136"/>
      <c r="I248" s="136"/>
    </row>
    <row r="249" spans="7:9" x14ac:dyDescent="0.2">
      <c r="G249" s="135"/>
      <c r="H249" s="136"/>
      <c r="I249" s="136"/>
    </row>
    <row r="250" spans="7:9" x14ac:dyDescent="0.2">
      <c r="G250" s="135"/>
      <c r="H250" s="136"/>
      <c r="I250" s="136"/>
    </row>
    <row r="251" spans="7:9" x14ac:dyDescent="0.2">
      <c r="G251" s="135"/>
      <c r="H251" s="136"/>
      <c r="I251" s="136"/>
    </row>
    <row r="252" spans="7:9" x14ac:dyDescent="0.2">
      <c r="G252" s="135"/>
      <c r="H252" s="136"/>
      <c r="I252" s="136"/>
    </row>
    <row r="253" spans="7:9" x14ac:dyDescent="0.2">
      <c r="G253" s="135"/>
      <c r="H253" s="136"/>
      <c r="I253" s="136"/>
    </row>
    <row r="254" spans="7:9" x14ac:dyDescent="0.2">
      <c r="G254" s="135"/>
      <c r="H254" s="136"/>
      <c r="I254" s="136"/>
    </row>
    <row r="255" spans="7:9" x14ac:dyDescent="0.2">
      <c r="G255" s="135"/>
      <c r="H255" s="136"/>
      <c r="I255" s="136"/>
    </row>
    <row r="256" spans="7:9" x14ac:dyDescent="0.2">
      <c r="G256" s="135"/>
      <c r="H256" s="136"/>
      <c r="I256" s="136"/>
    </row>
    <row r="257" spans="7:9" x14ac:dyDescent="0.2">
      <c r="G257" s="135"/>
      <c r="H257" s="136"/>
      <c r="I257" s="136"/>
    </row>
    <row r="258" spans="7:9" x14ac:dyDescent="0.2">
      <c r="G258" s="135"/>
      <c r="H258" s="136"/>
      <c r="I258" s="136"/>
    </row>
    <row r="259" spans="7:9" x14ac:dyDescent="0.2">
      <c r="G259" s="135"/>
      <c r="H259" s="136"/>
      <c r="I259" s="136"/>
    </row>
    <row r="260" spans="7:9" x14ac:dyDescent="0.2">
      <c r="G260" s="135"/>
      <c r="H260" s="136"/>
      <c r="I260" s="136"/>
    </row>
    <row r="261" spans="7:9" x14ac:dyDescent="0.2">
      <c r="G261" s="135"/>
      <c r="H261" s="136"/>
      <c r="I261" s="136"/>
    </row>
    <row r="262" spans="7:9" x14ac:dyDescent="0.2">
      <c r="G262" s="135"/>
      <c r="H262" s="136"/>
      <c r="I262" s="136"/>
    </row>
    <row r="263" spans="7:9" x14ac:dyDescent="0.2">
      <c r="G263" s="135"/>
      <c r="H263" s="136"/>
      <c r="I263" s="136"/>
    </row>
    <row r="264" spans="7:9" x14ac:dyDescent="0.2">
      <c r="G264" s="135"/>
      <c r="H264" s="136"/>
      <c r="I264" s="136"/>
    </row>
    <row r="265" spans="7:9" x14ac:dyDescent="0.2">
      <c r="G265" s="135"/>
      <c r="H265" s="136"/>
      <c r="I265" s="136"/>
    </row>
    <row r="266" spans="7:9" x14ac:dyDescent="0.2">
      <c r="G266" s="135"/>
      <c r="H266" s="136"/>
      <c r="I266" s="136"/>
    </row>
    <row r="267" spans="7:9" x14ac:dyDescent="0.2">
      <c r="G267" s="135"/>
      <c r="H267" s="136"/>
      <c r="I267" s="136"/>
    </row>
    <row r="268" spans="7:9" x14ac:dyDescent="0.2">
      <c r="G268" s="135"/>
      <c r="H268" s="136"/>
      <c r="I268" s="136"/>
    </row>
    <row r="269" spans="7:9" x14ac:dyDescent="0.2">
      <c r="G269" s="135"/>
      <c r="H269" s="136"/>
      <c r="I269" s="136"/>
    </row>
    <row r="270" spans="7:9" x14ac:dyDescent="0.2">
      <c r="G270" s="135"/>
      <c r="H270" s="136"/>
      <c r="I270" s="136"/>
    </row>
    <row r="271" spans="7:9" x14ac:dyDescent="0.2">
      <c r="G271" s="135"/>
      <c r="H271" s="136"/>
      <c r="I271" s="136"/>
    </row>
    <row r="272" spans="7:9" x14ac:dyDescent="0.2">
      <c r="G272" s="135"/>
      <c r="H272" s="136"/>
      <c r="I272" s="136"/>
    </row>
    <row r="273" spans="7:9" x14ac:dyDescent="0.2">
      <c r="G273" s="135"/>
      <c r="H273" s="136"/>
      <c r="I273" s="136"/>
    </row>
    <row r="274" spans="7:9" x14ac:dyDescent="0.2">
      <c r="G274" s="135"/>
      <c r="H274" s="136"/>
      <c r="I274" s="136"/>
    </row>
    <row r="275" spans="7:9" x14ac:dyDescent="0.2">
      <c r="G275" s="135"/>
      <c r="H275" s="136"/>
      <c r="I275" s="136"/>
    </row>
    <row r="276" spans="7:9" x14ac:dyDescent="0.2">
      <c r="G276" s="135"/>
      <c r="H276" s="136"/>
      <c r="I276" s="136"/>
    </row>
    <row r="277" spans="7:9" x14ac:dyDescent="0.2">
      <c r="G277" s="135"/>
      <c r="H277" s="136"/>
      <c r="I277" s="136"/>
    </row>
    <row r="278" spans="7:9" x14ac:dyDescent="0.2">
      <c r="G278" s="135"/>
      <c r="H278" s="136"/>
      <c r="I278" s="136"/>
    </row>
    <row r="279" spans="7:9" x14ac:dyDescent="0.2">
      <c r="G279" s="135"/>
      <c r="H279" s="136"/>
      <c r="I279" s="136"/>
    </row>
    <row r="280" spans="7:9" x14ac:dyDescent="0.2">
      <c r="G280" s="135"/>
      <c r="H280" s="136"/>
      <c r="I280" s="136"/>
    </row>
    <row r="281" spans="7:9" x14ac:dyDescent="0.2">
      <c r="G281" s="135"/>
      <c r="H281" s="136"/>
      <c r="I281" s="136"/>
    </row>
    <row r="282" spans="7:9" x14ac:dyDescent="0.2">
      <c r="G282" s="135"/>
      <c r="H282" s="136"/>
      <c r="I282" s="136"/>
    </row>
    <row r="283" spans="7:9" x14ac:dyDescent="0.2">
      <c r="G283" s="135"/>
      <c r="H283" s="136"/>
      <c r="I283" s="136"/>
    </row>
    <row r="284" spans="7:9" x14ac:dyDescent="0.2">
      <c r="G284" s="135"/>
      <c r="H284" s="136"/>
      <c r="I284" s="136"/>
    </row>
    <row r="285" spans="7:9" x14ac:dyDescent="0.2">
      <c r="G285" s="135"/>
      <c r="H285" s="136"/>
      <c r="I285" s="136"/>
    </row>
    <row r="286" spans="7:9" x14ac:dyDescent="0.2">
      <c r="G286" s="135"/>
      <c r="H286" s="136"/>
      <c r="I286" s="136"/>
    </row>
    <row r="287" spans="7:9" x14ac:dyDescent="0.2">
      <c r="G287" s="135"/>
      <c r="H287" s="136"/>
      <c r="I287" s="136"/>
    </row>
    <row r="288" spans="7:9" x14ac:dyDescent="0.2">
      <c r="G288" s="135"/>
      <c r="H288" s="136"/>
      <c r="I288" s="136"/>
    </row>
    <row r="289" spans="7:9" x14ac:dyDescent="0.2">
      <c r="G289" s="135"/>
      <c r="H289" s="136"/>
      <c r="I289" s="136"/>
    </row>
    <row r="290" spans="7:9" x14ac:dyDescent="0.2">
      <c r="G290" s="135"/>
      <c r="H290" s="136"/>
      <c r="I290" s="136"/>
    </row>
    <row r="291" spans="7:9" x14ac:dyDescent="0.2">
      <c r="G291" s="135"/>
      <c r="H291" s="136"/>
      <c r="I291" s="136"/>
    </row>
    <row r="292" spans="7:9" x14ac:dyDescent="0.2">
      <c r="G292" s="135"/>
      <c r="H292" s="136"/>
      <c r="I292" s="136"/>
    </row>
    <row r="293" spans="7:9" x14ac:dyDescent="0.2">
      <c r="G293" s="135"/>
      <c r="H293" s="136"/>
      <c r="I293" s="136"/>
    </row>
    <row r="294" spans="7:9" x14ac:dyDescent="0.2">
      <c r="G294" s="135"/>
      <c r="H294" s="136"/>
      <c r="I294" s="136"/>
    </row>
    <row r="295" spans="7:9" x14ac:dyDescent="0.2">
      <c r="G295" s="135"/>
      <c r="H295" s="136"/>
      <c r="I295" s="136"/>
    </row>
    <row r="296" spans="7:9" x14ac:dyDescent="0.2">
      <c r="G296" s="135"/>
      <c r="H296" s="136"/>
      <c r="I296" s="136"/>
    </row>
    <row r="297" spans="7:9" x14ac:dyDescent="0.2">
      <c r="G297" s="135"/>
      <c r="H297" s="136"/>
      <c r="I297" s="136"/>
    </row>
    <row r="298" spans="7:9" x14ac:dyDescent="0.2">
      <c r="G298" s="135"/>
      <c r="H298" s="136"/>
      <c r="I298" s="136"/>
    </row>
    <row r="299" spans="7:9" x14ac:dyDescent="0.2">
      <c r="G299" s="135"/>
      <c r="H299" s="136"/>
      <c r="I299" s="136"/>
    </row>
    <row r="300" spans="7:9" x14ac:dyDescent="0.2">
      <c r="G300" s="135"/>
      <c r="H300" s="136"/>
      <c r="I300" s="136"/>
    </row>
    <row r="301" spans="7:9" x14ac:dyDescent="0.2">
      <c r="G301" s="135"/>
      <c r="H301" s="136"/>
      <c r="I301" s="136"/>
    </row>
    <row r="302" spans="7:9" x14ac:dyDescent="0.2">
      <c r="G302" s="135"/>
      <c r="H302" s="136"/>
      <c r="I302" s="136"/>
    </row>
    <row r="303" spans="7:9" x14ac:dyDescent="0.2">
      <c r="G303" s="135"/>
      <c r="H303" s="136"/>
      <c r="I303" s="136"/>
    </row>
    <row r="304" spans="7:9" x14ac:dyDescent="0.2">
      <c r="G304" s="135"/>
      <c r="H304" s="136"/>
      <c r="I304" s="136"/>
    </row>
    <row r="305" spans="7:9" x14ac:dyDescent="0.2">
      <c r="G305" s="135"/>
      <c r="H305" s="136"/>
      <c r="I305" s="136"/>
    </row>
    <row r="306" spans="7:9" x14ac:dyDescent="0.2">
      <c r="G306" s="135"/>
      <c r="H306" s="136"/>
      <c r="I306" s="136"/>
    </row>
    <row r="307" spans="7:9" x14ac:dyDescent="0.2">
      <c r="G307" s="135"/>
      <c r="H307" s="136"/>
      <c r="I307" s="136"/>
    </row>
    <row r="308" spans="7:9" x14ac:dyDescent="0.2">
      <c r="G308" s="135"/>
      <c r="H308" s="136"/>
      <c r="I308" s="136"/>
    </row>
    <row r="309" spans="7:9" x14ac:dyDescent="0.2">
      <c r="G309" s="135"/>
      <c r="H309" s="136"/>
      <c r="I309" s="136"/>
    </row>
    <row r="310" spans="7:9" x14ac:dyDescent="0.2">
      <c r="G310" s="135"/>
      <c r="H310" s="136"/>
      <c r="I310" s="136"/>
    </row>
    <row r="311" spans="7:9" x14ac:dyDescent="0.2">
      <c r="G311" s="135"/>
      <c r="H311" s="136"/>
      <c r="I311" s="136"/>
    </row>
    <row r="312" spans="7:9" x14ac:dyDescent="0.2">
      <c r="G312" s="135"/>
      <c r="H312" s="136"/>
      <c r="I312" s="136"/>
    </row>
    <row r="313" spans="7:9" x14ac:dyDescent="0.2">
      <c r="G313" s="135"/>
      <c r="H313" s="136"/>
      <c r="I313" s="136"/>
    </row>
    <row r="314" spans="7:9" x14ac:dyDescent="0.2">
      <c r="G314" s="135"/>
      <c r="H314" s="136"/>
      <c r="I314" s="136"/>
    </row>
    <row r="315" spans="7:9" x14ac:dyDescent="0.2">
      <c r="G315" s="135"/>
      <c r="H315" s="136"/>
      <c r="I315" s="136"/>
    </row>
    <row r="316" spans="7:9" x14ac:dyDescent="0.2">
      <c r="G316" s="135"/>
      <c r="H316" s="136"/>
      <c r="I316" s="136"/>
    </row>
    <row r="317" spans="7:9" x14ac:dyDescent="0.2">
      <c r="G317" s="135"/>
      <c r="H317" s="136"/>
      <c r="I317" s="136"/>
    </row>
    <row r="318" spans="7:9" x14ac:dyDescent="0.2">
      <c r="G318" s="135"/>
      <c r="H318" s="136"/>
      <c r="I318" s="136"/>
    </row>
    <row r="319" spans="7:9" x14ac:dyDescent="0.2">
      <c r="G319" s="135"/>
      <c r="H319" s="136"/>
      <c r="I319" s="136"/>
    </row>
    <row r="320" spans="7:9" x14ac:dyDescent="0.2">
      <c r="G320" s="135"/>
      <c r="H320" s="136"/>
      <c r="I320" s="136"/>
    </row>
    <row r="321" spans="7:9" x14ac:dyDescent="0.2">
      <c r="G321" s="135"/>
      <c r="H321" s="136"/>
      <c r="I321" s="136"/>
    </row>
    <row r="322" spans="7:9" x14ac:dyDescent="0.2">
      <c r="G322" s="135"/>
      <c r="H322" s="136"/>
      <c r="I322" s="136"/>
    </row>
    <row r="323" spans="7:9" x14ac:dyDescent="0.2">
      <c r="G323" s="135"/>
      <c r="H323" s="136"/>
      <c r="I323" s="136"/>
    </row>
    <row r="324" spans="7:9" x14ac:dyDescent="0.2">
      <c r="G324" s="135"/>
      <c r="H324" s="136"/>
      <c r="I324" s="136"/>
    </row>
    <row r="325" spans="7:9" x14ac:dyDescent="0.2">
      <c r="G325" s="135"/>
      <c r="H325" s="136"/>
      <c r="I325" s="136"/>
    </row>
    <row r="326" spans="7:9" x14ac:dyDescent="0.2">
      <c r="G326" s="135"/>
      <c r="H326" s="136"/>
      <c r="I326" s="136"/>
    </row>
    <row r="327" spans="7:9" x14ac:dyDescent="0.2">
      <c r="G327" s="135"/>
      <c r="H327" s="136"/>
      <c r="I327" s="136"/>
    </row>
    <row r="328" spans="7:9" x14ac:dyDescent="0.2">
      <c r="G328" s="135"/>
      <c r="H328" s="136"/>
      <c r="I328" s="136"/>
    </row>
    <row r="329" spans="7:9" x14ac:dyDescent="0.2">
      <c r="G329" s="135"/>
      <c r="H329" s="136"/>
      <c r="I329" s="136"/>
    </row>
    <row r="330" spans="7:9" x14ac:dyDescent="0.2">
      <c r="G330" s="135"/>
      <c r="H330" s="136"/>
      <c r="I330" s="136"/>
    </row>
    <row r="331" spans="7:9" x14ac:dyDescent="0.2">
      <c r="G331" s="135"/>
      <c r="H331" s="136"/>
      <c r="I331" s="136"/>
    </row>
    <row r="332" spans="7:9" x14ac:dyDescent="0.2">
      <c r="G332" s="135"/>
      <c r="H332" s="136"/>
      <c r="I332" s="136"/>
    </row>
    <row r="333" spans="7:9" x14ac:dyDescent="0.2">
      <c r="G333" s="135"/>
      <c r="H333" s="136"/>
      <c r="I333" s="136"/>
    </row>
    <row r="334" spans="7:9" x14ac:dyDescent="0.2">
      <c r="G334" s="135"/>
      <c r="H334" s="136"/>
      <c r="I334" s="136"/>
    </row>
    <row r="335" spans="7:9" x14ac:dyDescent="0.2">
      <c r="G335" s="135"/>
      <c r="H335" s="136"/>
      <c r="I335" s="136"/>
    </row>
    <row r="336" spans="7:9" x14ac:dyDescent="0.2">
      <c r="G336" s="135"/>
      <c r="H336" s="136"/>
      <c r="I336" s="136"/>
    </row>
    <row r="337" spans="7:9" x14ac:dyDescent="0.2">
      <c r="G337" s="135"/>
      <c r="H337" s="136"/>
      <c r="I337" s="136"/>
    </row>
    <row r="338" spans="7:9" x14ac:dyDescent="0.2">
      <c r="G338" s="135"/>
      <c r="H338" s="136"/>
      <c r="I338" s="136"/>
    </row>
    <row r="339" spans="7:9" x14ac:dyDescent="0.2">
      <c r="G339" s="135"/>
      <c r="H339" s="136"/>
      <c r="I339" s="136"/>
    </row>
    <row r="340" spans="7:9" x14ac:dyDescent="0.2">
      <c r="G340" s="135"/>
      <c r="H340" s="136"/>
      <c r="I340" s="136"/>
    </row>
    <row r="341" spans="7:9" x14ac:dyDescent="0.2">
      <c r="G341" s="135"/>
      <c r="H341" s="136"/>
      <c r="I341" s="136"/>
    </row>
    <row r="342" spans="7:9" x14ac:dyDescent="0.2">
      <c r="G342" s="135"/>
      <c r="H342" s="136"/>
      <c r="I342" s="136"/>
    </row>
    <row r="343" spans="7:9" x14ac:dyDescent="0.2">
      <c r="G343" s="135"/>
      <c r="H343" s="136"/>
      <c r="I343" s="136"/>
    </row>
    <row r="344" spans="7:9" x14ac:dyDescent="0.2">
      <c r="G344" s="135"/>
      <c r="H344" s="136"/>
      <c r="I344" s="136"/>
    </row>
    <row r="345" spans="7:9" x14ac:dyDescent="0.2">
      <c r="G345" s="135"/>
      <c r="H345" s="136"/>
      <c r="I345" s="136"/>
    </row>
    <row r="346" spans="7:9" x14ac:dyDescent="0.2">
      <c r="G346" s="135"/>
      <c r="H346" s="136"/>
      <c r="I346" s="136"/>
    </row>
    <row r="347" spans="7:9" x14ac:dyDescent="0.2">
      <c r="G347" s="135"/>
      <c r="H347" s="136"/>
      <c r="I347" s="136"/>
    </row>
    <row r="348" spans="7:9" x14ac:dyDescent="0.2">
      <c r="G348" s="135"/>
      <c r="H348" s="136"/>
      <c r="I348" s="136"/>
    </row>
    <row r="349" spans="7:9" x14ac:dyDescent="0.2">
      <c r="G349" s="135"/>
      <c r="H349" s="136"/>
      <c r="I349" s="136"/>
    </row>
    <row r="350" spans="7:9" x14ac:dyDescent="0.2">
      <c r="G350" s="135"/>
      <c r="H350" s="136"/>
      <c r="I350" s="136"/>
    </row>
    <row r="351" spans="7:9" x14ac:dyDescent="0.2">
      <c r="G351" s="135"/>
      <c r="H351" s="136"/>
      <c r="I351" s="136"/>
    </row>
    <row r="352" spans="7:9" x14ac:dyDescent="0.2">
      <c r="G352" s="135"/>
      <c r="H352" s="136"/>
      <c r="I352" s="136"/>
    </row>
    <row r="353" spans="7:9" x14ac:dyDescent="0.2">
      <c r="G353" s="135"/>
      <c r="H353" s="136"/>
      <c r="I353" s="136"/>
    </row>
    <row r="354" spans="7:9" x14ac:dyDescent="0.2">
      <c r="G354" s="135"/>
      <c r="H354" s="136"/>
      <c r="I354" s="136"/>
    </row>
    <row r="355" spans="7:9" x14ac:dyDescent="0.2">
      <c r="G355" s="135"/>
      <c r="H355" s="136"/>
      <c r="I355" s="136"/>
    </row>
    <row r="356" spans="7:9" x14ac:dyDescent="0.2">
      <c r="G356" s="135"/>
      <c r="H356" s="136"/>
      <c r="I356" s="136"/>
    </row>
    <row r="357" spans="7:9" x14ac:dyDescent="0.2">
      <c r="G357" s="135"/>
      <c r="H357" s="136"/>
      <c r="I357" s="136"/>
    </row>
    <row r="358" spans="7:9" x14ac:dyDescent="0.2">
      <c r="G358" s="135"/>
      <c r="H358" s="136"/>
      <c r="I358" s="136"/>
    </row>
    <row r="359" spans="7:9" x14ac:dyDescent="0.2">
      <c r="G359" s="135"/>
      <c r="H359" s="136"/>
      <c r="I359" s="136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>
    <row r="1" spans="1:1" x14ac:dyDescent="0.2">
      <c r="A1" t="s">
        <v>230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1:AS359"/>
  <sheetViews>
    <sheetView showGridLines="0" zoomScale="70" zoomScaleNormal="70" workbookViewId="0">
      <selection activeCell="I41" sqref="I41"/>
    </sheetView>
  </sheetViews>
  <sheetFormatPr defaultRowHeight="16.5" x14ac:dyDescent="0.2"/>
  <cols>
    <col min="1" max="1" width="3" style="41" customWidth="1"/>
    <col min="2" max="2" width="2.25" style="41" customWidth="1"/>
    <col min="3" max="3" width="21.375" style="41" customWidth="1"/>
    <col min="4" max="4" width="15.375" style="41" customWidth="1"/>
    <col min="5" max="5" width="8.625" style="41" customWidth="1"/>
    <col min="6" max="6" width="18" style="41" customWidth="1"/>
    <col min="7" max="7" width="14.125" style="41" customWidth="1"/>
    <col min="8" max="8" width="2.25" style="41" customWidth="1"/>
    <col min="9" max="9" width="19.75" style="41" customWidth="1"/>
    <col min="10" max="10" width="15.125" style="41" bestFit="1" customWidth="1"/>
    <col min="11" max="11" width="5.25" style="41" customWidth="1"/>
    <col min="12" max="12" width="14.5" style="41" bestFit="1" customWidth="1"/>
    <col min="13" max="13" width="4.125" style="41" customWidth="1"/>
    <col min="14" max="14" width="14.625" style="41" customWidth="1"/>
    <col min="15" max="15" width="2.125" style="41" customWidth="1"/>
    <col min="16" max="16" width="17.625" style="41" customWidth="1"/>
    <col min="17" max="17" width="2" style="41" customWidth="1"/>
    <col min="18" max="18" width="15.125" style="41" customWidth="1"/>
    <col min="19" max="19" width="3.5" style="41" customWidth="1"/>
    <col min="20" max="20" width="11.75" style="41" bestFit="1" customWidth="1"/>
    <col min="21" max="21" width="2.25" style="41" customWidth="1"/>
    <col min="22" max="22" width="36.125" style="41" bestFit="1" customWidth="1"/>
    <col min="23" max="23" width="9.75" style="41" customWidth="1"/>
    <col min="24" max="24" width="23.25" style="41" customWidth="1"/>
    <col min="25" max="25" width="12.75" style="41" customWidth="1"/>
    <col min="26" max="26" width="1.375" style="41" customWidth="1"/>
    <col min="27" max="27" width="12.75" style="41" customWidth="1"/>
    <col min="28" max="28" width="1.375" style="41" customWidth="1"/>
    <col min="29" max="29" width="12.75" style="41" customWidth="1"/>
    <col min="30" max="30" width="1.375" style="41" customWidth="1"/>
    <col min="31" max="31" width="12.75" style="41" customWidth="1"/>
    <col min="32" max="32" width="1.375" style="41" customWidth="1"/>
    <col min="33" max="33" width="14.25" style="41" customWidth="1"/>
    <col min="34" max="34" width="1.375" style="41" customWidth="1"/>
    <col min="35" max="35" width="2.25" style="41" customWidth="1"/>
    <col min="36" max="37" width="9" style="41"/>
    <col min="38" max="38" width="13" style="41" bestFit="1" customWidth="1"/>
    <col min="39" max="39" width="9" style="41"/>
    <col min="40" max="40" width="13" style="41" bestFit="1" customWidth="1"/>
    <col min="41" max="41" width="9" style="41"/>
    <col min="42" max="42" width="13" style="41" bestFit="1" customWidth="1"/>
    <col min="43" max="16384" width="9" style="41"/>
  </cols>
  <sheetData>
    <row r="1" spans="2:45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</row>
    <row r="2" spans="2:45" ht="24" customHeight="1" x14ac:dyDescent="0.5">
      <c r="C2" s="43" t="str">
        <f>[1]!S_Info_Name(D2)</f>
        <v>苹果(APPLE)</v>
      </c>
      <c r="D2" s="192" t="s">
        <v>231</v>
      </c>
      <c r="F2" s="44">
        <f>预测结果!A3</f>
        <v>45657</v>
      </c>
      <c r="G2" s="44"/>
      <c r="T2" s="46"/>
      <c r="V2" s="46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 s="7" customFormat="1" ht="12" customHeight="1" x14ac:dyDescent="0.2">
      <c r="C3" s="47"/>
      <c r="E3" s="47"/>
      <c r="F3" s="47"/>
      <c r="G3" s="48"/>
      <c r="J3" s="47"/>
      <c r="K3" s="47"/>
      <c r="L3" s="47"/>
      <c r="M3" s="47"/>
      <c r="N3" s="47"/>
      <c r="O3" s="47"/>
      <c r="Q3" s="47"/>
      <c r="R3" s="47"/>
      <c r="S3" s="47"/>
      <c r="T3" s="48"/>
      <c r="U3" s="47"/>
      <c r="V3" s="48"/>
      <c r="W3" s="47"/>
      <c r="Y3" s="47"/>
    </row>
    <row r="4" spans="2:45" s="7" customFormat="1" ht="17.2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2:45" s="7" customFormat="1" ht="24.6" customHeight="1" x14ac:dyDescent="0.2">
      <c r="B5" s="49"/>
      <c r="C5" s="51" t="s">
        <v>203</v>
      </c>
      <c r="D5" s="51"/>
      <c r="E5" s="51"/>
      <c r="F5" s="51"/>
      <c r="G5" s="51"/>
      <c r="H5" s="112"/>
      <c r="I5" s="51" t="s">
        <v>80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49"/>
      <c r="V5" s="51" t="s">
        <v>202</v>
      </c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49"/>
    </row>
    <row r="6" spans="2:45" s="7" customFormat="1" ht="24.6" customHeight="1" x14ac:dyDescent="0.2">
      <c r="B6" s="49"/>
      <c r="C6" s="53" t="s">
        <v>201</v>
      </c>
      <c r="D6" s="13"/>
      <c r="E6" s="54"/>
      <c r="F6" s="72" t="str">
        <f>D2</f>
        <v>AAPL.O</v>
      </c>
      <c r="G6" s="55"/>
      <c r="H6" s="55"/>
      <c r="I6" s="13"/>
      <c r="J6" s="54" t="s">
        <v>200</v>
      </c>
      <c r="K6" s="54"/>
      <c r="L6" s="54" t="s">
        <v>199</v>
      </c>
      <c r="M6" s="54"/>
      <c r="N6" s="54" t="s">
        <v>198</v>
      </c>
      <c r="O6" s="54"/>
      <c r="P6" s="54" t="s">
        <v>197</v>
      </c>
      <c r="Q6" s="54"/>
      <c r="R6" s="54" t="s">
        <v>196</v>
      </c>
      <c r="S6" s="54"/>
      <c r="T6" s="54" t="s">
        <v>17</v>
      </c>
      <c r="U6" s="49"/>
      <c r="V6" s="13"/>
      <c r="W6" s="13"/>
      <c r="X6" s="13"/>
      <c r="Y6" s="54" t="s">
        <v>16</v>
      </c>
      <c r="Z6" s="54"/>
      <c r="AA6" s="54" t="s">
        <v>18</v>
      </c>
      <c r="AB6" s="54"/>
      <c r="AC6" s="54" t="s">
        <v>19</v>
      </c>
      <c r="AD6" s="54"/>
      <c r="AE6" s="54" t="s">
        <v>20</v>
      </c>
      <c r="AF6" s="54"/>
      <c r="AG6" s="54" t="s">
        <v>21</v>
      </c>
      <c r="AH6" s="54"/>
      <c r="AI6" s="49"/>
    </row>
    <row r="7" spans="2:45" s="7" customFormat="1" ht="24.6" customHeight="1" x14ac:dyDescent="0.2">
      <c r="B7" s="49"/>
      <c r="C7" s="56" t="s">
        <v>195</v>
      </c>
      <c r="D7" s="20"/>
      <c r="E7" s="57"/>
      <c r="F7" s="113" t="str">
        <f>[1]!S_Info_Name(F6)</f>
        <v>苹果(APPLE)</v>
      </c>
      <c r="G7" s="20"/>
      <c r="H7" s="13"/>
      <c r="I7" s="56" t="s">
        <v>81</v>
      </c>
      <c r="J7" s="57">
        <f>DATE(YEAR(L7),MONTH(L7)-11,0)</f>
        <v>45199</v>
      </c>
      <c r="K7" s="57"/>
      <c r="L7" s="57">
        <f>IFERROR(IF(DATE(YEAR(F2),LEFT(F22,2)+1,0)&lt;=F2,DATE(YEAR(F2),LEFT(F22,2)+1,0),DATE(YEAR(F2),LEFT(F22,2)-11,0)),"NA")</f>
        <v>45565</v>
      </c>
      <c r="M7" s="57"/>
      <c r="N7" s="57">
        <f>DATE(YEAR(L7),MONTH(L7)+13,0)</f>
        <v>45930</v>
      </c>
      <c r="O7" s="57"/>
      <c r="P7" s="57">
        <f>DATE(YEAR(N7),MONTH(N7)+13,0)</f>
        <v>46295</v>
      </c>
      <c r="Q7" s="57"/>
      <c r="R7" s="57">
        <f>DATE(YEAR(P7),MONTH(P7)+13,0)</f>
        <v>46660</v>
      </c>
      <c r="S7" s="57"/>
      <c r="T7" s="57">
        <f>DATE(YEAR(R7),MONTH(R7)+13,0)</f>
        <v>47026</v>
      </c>
      <c r="U7" s="49"/>
      <c r="V7" s="20"/>
      <c r="W7" s="20"/>
      <c r="X7" s="20"/>
      <c r="Y7" s="57">
        <f>IFERROR(IF(DATE(YEAR(F2),LEFT(F22,2)+1,0)&lt;=F2,DATE(YEAR(F2),LEFT(F22,2)+1,0),DATE(YEAR(F2),LEFT(F22,2)-11,0)),"NA")</f>
        <v>45565</v>
      </c>
      <c r="Z7" s="57"/>
      <c r="AA7" s="57">
        <f>DATE(YEAR(Y7),MONTH(Y7)+13,0)</f>
        <v>45930</v>
      </c>
      <c r="AB7" s="57"/>
      <c r="AC7" s="57">
        <f>DATE(YEAR(AA7),MONTH(AA7)+13,0)</f>
        <v>46295</v>
      </c>
      <c r="AD7" s="57"/>
      <c r="AE7" s="57">
        <f>DATE(YEAR(AC7),MONTH(AC7)+13,0)</f>
        <v>46660</v>
      </c>
      <c r="AF7" s="57"/>
      <c r="AG7" s="57">
        <f>DATE(YEAR(AE7),MONTH(AE7)+13,0)</f>
        <v>47026</v>
      </c>
      <c r="AH7" s="57"/>
      <c r="AI7" s="49"/>
    </row>
    <row r="8" spans="2:45" s="7" customFormat="1" ht="24.6" customHeight="1" x14ac:dyDescent="0.2">
      <c r="B8" s="49"/>
      <c r="C8" s="53" t="s">
        <v>194</v>
      </c>
      <c r="D8" s="13"/>
      <c r="E8" s="58"/>
      <c r="F8" s="114" t="str">
        <f>[1]!s_info_compname(F6)</f>
        <v>苹果公司</v>
      </c>
      <c r="G8" s="13"/>
      <c r="H8" s="13"/>
      <c r="I8" s="53" t="s">
        <v>193</v>
      </c>
      <c r="J8" s="115">
        <f>YEAR(J7)</f>
        <v>2023</v>
      </c>
      <c r="K8" s="115"/>
      <c r="L8" s="115">
        <f>YEAR(L7)</f>
        <v>2024</v>
      </c>
      <c r="M8" s="115"/>
      <c r="N8" s="115">
        <f>YEAR(N7)</f>
        <v>2025</v>
      </c>
      <c r="O8" s="115"/>
      <c r="P8" s="115">
        <f>YEAR(P7)</f>
        <v>2026</v>
      </c>
      <c r="Q8" s="115"/>
      <c r="R8" s="115">
        <f>YEAR(R7)</f>
        <v>2027</v>
      </c>
      <c r="S8" s="115"/>
      <c r="T8" s="115">
        <f>YEAR(T7)</f>
        <v>2028</v>
      </c>
      <c r="U8" s="49"/>
      <c r="V8" s="53" t="s">
        <v>192</v>
      </c>
      <c r="W8" s="13"/>
      <c r="X8" s="13"/>
      <c r="Y8" s="59">
        <f>[1]!hks_stm_bs($D2,"140",DATE(IF(MONTH(Y7)&gt;=6,YEAR(Y7)-1,YEAR(Y7)-2),12,31),1,"Cur="&amp;$F$14,100000000)</f>
        <v>621.46</v>
      </c>
      <c r="Z8" s="58"/>
      <c r="AA8" s="59">
        <f>IFERROR(Y12,"NA")</f>
        <v>0</v>
      </c>
      <c r="AB8" s="58"/>
      <c r="AC8" s="59" t="str">
        <f>IFERROR(AA12,"NA")</f>
        <v>NA</v>
      </c>
      <c r="AD8" s="58"/>
      <c r="AE8" s="59" t="str">
        <f>IFERROR(AC12,"NA")</f>
        <v>NA</v>
      </c>
      <c r="AF8" s="58"/>
      <c r="AG8" s="59" t="str">
        <f>IFERROR(AE12,"NA")</f>
        <v>NA</v>
      </c>
      <c r="AH8" s="58"/>
      <c r="AI8" s="49"/>
    </row>
    <row r="9" spans="2:45" s="7" customFormat="1" ht="24.6" customHeight="1" thickBot="1" x14ac:dyDescent="0.25">
      <c r="B9" s="49"/>
      <c r="C9" s="61" t="s">
        <v>25</v>
      </c>
      <c r="D9" s="62"/>
      <c r="E9" s="62"/>
      <c r="F9" s="116" t="str">
        <f>[1]!s_info_industry_gics(F6,4)</f>
        <v>电脑硬件</v>
      </c>
      <c r="G9" s="62"/>
      <c r="H9" s="13"/>
      <c r="I9" s="56" t="s">
        <v>23</v>
      </c>
      <c r="J9" s="63">
        <f>[1]!hks_fa_bps($D$2,DATE(YEAR(J7),12,31),"Cur="&amp;$F$14)</f>
        <v>3.99651165</v>
      </c>
      <c r="K9" s="63"/>
      <c r="L9" s="117">
        <f>[1]!hks_fa_bps($D$2,DATE(YEAR(L7),12,31),"Cur="&amp;$F$14)</f>
        <v>0</v>
      </c>
      <c r="M9" s="63"/>
      <c r="N9" s="63" t="str">
        <f>IF([1]!s_west_avgbps1($D$2,YEAR(N7),N7,180,"Cur="&amp;$F$14)=0,"NA",[1]!s_west_avgbps1($D$2,YEAR(N7),N7,180,"Cur="&amp;$F$14))</f>
        <v>NA</v>
      </c>
      <c r="O9" s="63"/>
      <c r="P9" s="63">
        <f>IF([1]!s_west_avgbps1($D$2,YEAR(P7),P7,180,"Cur="&amp;$F$14)=0,"NA",[1]!s_west_avgbps1($D$2,YEAR(P7),P7,180,"Cur="&amp;$F$14))</f>
        <v>7.5147000000000004</v>
      </c>
      <c r="Q9" s="63"/>
      <c r="R9" s="63" t="str">
        <f>IF([1]!s_west_avgbps1($D$2,YEAR(R7),R7,180,"Cur="&amp;$F$14)=0,"NA",[1]!s_west_avgbps1($D$2,YEAR(R7),R7,180,"Cur="&amp;$F$14))</f>
        <v>NA</v>
      </c>
      <c r="S9" s="63"/>
      <c r="T9" s="63" t="str">
        <f>IF([1]!s_west_avgbps1($D$2,YEAR(T7),T7,180,"Cur="&amp;$F$14)=0,"NA",[1]!s_west_avgbps1($D$2,YEAR(T7),T7,180,"Cur="&amp;$F$14))</f>
        <v>NA</v>
      </c>
      <c r="U9" s="49"/>
      <c r="V9" s="20"/>
      <c r="W9" s="20" t="s">
        <v>191</v>
      </c>
      <c r="X9" s="20"/>
      <c r="Y9" s="64">
        <f>[1]!hks_stm_is(D2,"61",DATE(IF(MONTH(Y7)&gt;=6,YEAR(Y7),YEAR(Y7)-1),12,31),1,"Cur="&amp;$F$14,100000000)</f>
        <v>0</v>
      </c>
      <c r="Z9" s="63"/>
      <c r="AA9" s="64" t="str">
        <f>IFERROR(N10*$F$26/10000,"NA")</f>
        <v>NA</v>
      </c>
      <c r="AB9" s="63"/>
      <c r="AC9" s="64">
        <f>IFERROR(P10*$F$26/10000,"NA")</f>
        <v>1205.5630915510001</v>
      </c>
      <c r="AD9" s="63"/>
      <c r="AE9" s="64" t="str">
        <f>IFERROR(R10*$F$26/10000,"NA")</f>
        <v>NA</v>
      </c>
      <c r="AF9" s="63"/>
      <c r="AG9" s="64" t="str">
        <f>IFERROR(T10*$F$26/10000,"NA")</f>
        <v>NA</v>
      </c>
      <c r="AH9" s="63"/>
      <c r="AI9" s="49"/>
    </row>
    <row r="10" spans="2:45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190</v>
      </c>
      <c r="J10" s="58">
        <f>[1]!hks_fa_eps_diluted3($D2,DATE(YEAR(J7),12,31),"Cur="&amp;$F$14)</f>
        <v>6.2375999999999996</v>
      </c>
      <c r="K10" s="104"/>
      <c r="L10" s="58">
        <f>[1]!hks_fa_eps_diluted3($D2,DATE(YEAR(L7),12,31),"Cur="&amp;$F$14)</f>
        <v>0</v>
      </c>
      <c r="M10" s="58"/>
      <c r="N10" s="127" t="str">
        <f>IF([1]!s_est_eps1($D$2,YEAR(N7),$F$2,"Cur="&amp;$F$14)=0,"NA",[1]!s_est_eps1($D$2,YEAR(N7),$F$2,"Cur="&amp;$F$14))</f>
        <v>NA</v>
      </c>
      <c r="O10" s="58"/>
      <c r="P10" s="127">
        <f>IF([1]!s_est_eps1($D$2,YEAR(P7),$F$2,"Cur="&amp;$F$14)=0,"NA",[1]!s_est_eps1($D$2,YEAR(P7),$F$2,"Cur="&amp;$F$14))</f>
        <v>7.8071000000000002</v>
      </c>
      <c r="Q10" s="58"/>
      <c r="R10" s="127" t="str">
        <f>IF([1]!s_est_eps1($D$2,YEAR(R7),$F$2,"Cur="&amp;$F$14)=0,"NA",[1]!s_est_eps1($D$2,YEAR(R7),$F$2,"Cur="&amp;$F$14))</f>
        <v>NA</v>
      </c>
      <c r="S10" s="58"/>
      <c r="T10" s="127" t="str">
        <f>IF([1]!s_est_eps1($D$2,YEAR(T7),$F$2,"Cur="&amp;$F$14)=0,"NA",[1]!s_est_eps1($D$2,YEAR(T7),$F$2,"Cur="&amp;$F$14))</f>
        <v>NA</v>
      </c>
      <c r="U10" s="49"/>
      <c r="V10" s="13"/>
      <c r="W10" s="13" t="s">
        <v>28</v>
      </c>
      <c r="X10" s="13"/>
      <c r="Y10" s="59"/>
      <c r="Z10" s="58"/>
      <c r="AA10" s="59" t="str">
        <f>IFERROR(N11*$F$26/10000,"NA")</f>
        <v>NA</v>
      </c>
      <c r="AB10" s="58"/>
      <c r="AC10" s="59">
        <f>IFERROR(P11*$F$26/10000,"NA")</f>
        <v>162.44858812000001</v>
      </c>
      <c r="AD10" s="58"/>
      <c r="AE10" s="59" t="str">
        <f>IFERROR(R11*$F$26/10000,"NA")</f>
        <v>NA</v>
      </c>
      <c r="AF10" s="58"/>
      <c r="AG10" s="59" t="str">
        <f>IFERROR(T11*$F$26/10000,"NA")</f>
        <v>NA</v>
      </c>
      <c r="AH10" s="58"/>
      <c r="AI10" s="49"/>
    </row>
    <row r="11" spans="2:45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95"/>
      <c r="I11" s="56" t="s">
        <v>189</v>
      </c>
      <c r="J11" s="63">
        <f>[1]!hks_fa_dps($D$2,YEAR(J7),"Cur="&amp;$F$14)</f>
        <v>0.95</v>
      </c>
      <c r="K11" s="63"/>
      <c r="L11" s="63">
        <f>[1]!hks_fa_dps($D$2,YEAR(L7),"Cur="&amp;$F$14)</f>
        <v>0.24</v>
      </c>
      <c r="M11" s="63"/>
      <c r="N11" s="63" t="str">
        <f>IF([1]!s_est_avgdps1($D$2,YEAR(N7),$F$2,"Cur="&amp;$F$14)=0,"NA",[1]!s_est_avgdps1($D$2,YEAR(N7),$F$2,"Cur="&amp;$F$14))</f>
        <v>NA</v>
      </c>
      <c r="O11" s="63"/>
      <c r="P11" s="63">
        <f>IF([1]!s_west_mediandps1($D$2,YEAR(P7),$F$2,180,"Cur="&amp;$F$14)=0,"NA",[1]!s_west_mediandps1($D$2,YEAR(P7),$F$2,180,"Cur="&amp;$F$14))</f>
        <v>1.052</v>
      </c>
      <c r="Q11" s="63"/>
      <c r="R11" s="63" t="str">
        <f>IF([1]!s_west_mediandps1($D$2,YEAR(R7),$F$2,180,"Cur="&amp;$F$14)=0,"NA",[1]!s_west_mediandps1($D$2,YEAR(R7),$F$2,180,"Cur="&amp;$F$14))</f>
        <v>NA</v>
      </c>
      <c r="S11" s="63"/>
      <c r="T11" s="63" t="str">
        <f>IF([1]!s_west_mediandps1($D$2,YEAR(T7),$F$2,180,"Cur="&amp;$F$14)=0,"NA",[1]!s_west_mediandps1($D$2,YEAR(T7),$F$2,180,"Cur="&amp;$F$14))</f>
        <v>NA</v>
      </c>
      <c r="U11" s="49"/>
      <c r="V11" s="20"/>
      <c r="W11" s="20" t="s">
        <v>31</v>
      </c>
      <c r="X11" s="20"/>
      <c r="Y11" s="64"/>
      <c r="Z11" s="63"/>
      <c r="AA11" s="64"/>
      <c r="AB11" s="63"/>
      <c r="AC11" s="64"/>
      <c r="AD11" s="63"/>
      <c r="AE11" s="64"/>
      <c r="AF11" s="63"/>
      <c r="AG11" s="64"/>
      <c r="AH11" s="63"/>
      <c r="AI11" s="49"/>
    </row>
    <row r="12" spans="2:45" s="7" customFormat="1" ht="24.6" customHeight="1" x14ac:dyDescent="0.2">
      <c r="B12" s="49"/>
      <c r="C12" s="53" t="s">
        <v>157</v>
      </c>
      <c r="D12" s="13"/>
      <c r="E12" s="58"/>
      <c r="F12" s="72" t="str">
        <f>[1]!lastradeday_s(D2,F2)</f>
        <v>2024-04-25</v>
      </c>
      <c r="G12" s="49"/>
      <c r="H12" s="49"/>
      <c r="I12" s="53" t="s">
        <v>188</v>
      </c>
      <c r="J12" s="79">
        <f>[1]!hks_fa_roe($D$2,DATE(YEAR(J7),12,31))/100</f>
        <v>1.719495</v>
      </c>
      <c r="K12" s="79"/>
      <c r="L12" s="79">
        <f>[1]!hks_fa_roe($D$2,DATE(YEAR(L7),12,31))/100</f>
        <v>0</v>
      </c>
      <c r="M12" s="79"/>
      <c r="N12" s="79" t="str">
        <f>IF([1]!s_west_avgroe($D$2,YEAR(N7),N7,180)/100=0,"NA",[1]!s_west_avgroe($D$2,YEAR(N7),N7,180)/100)</f>
        <v>NA</v>
      </c>
      <c r="O12" s="79"/>
      <c r="P12" s="79">
        <f>IF([1]!s_west_avgroe($D$2,YEAR(P7),P7,180)/100=0,"NA",[1]!s_west_avgroe($D$2,YEAR(P7),P7,180)/100)</f>
        <v>0.90974999999999995</v>
      </c>
      <c r="Q12" s="79"/>
      <c r="R12" s="79" t="str">
        <f>IF([1]!s_west_avgroe($D$2,YEAR(R7),R7,180)/100=0,"NA",[1]!s_west_avgroe($D$2,YEAR(R7),R7,180)/100)</f>
        <v>NA</v>
      </c>
      <c r="S12" s="79"/>
      <c r="T12" s="79" t="str">
        <f>IF([1]!s_west_avgroe($D$2,YEAR(T7),T7,180)/100=0,"NA",[1]!s_west_avgroe($D$2,YEAR(T7),T7,180)/100)</f>
        <v>NA</v>
      </c>
      <c r="U12" s="49"/>
      <c r="V12" s="53" t="s">
        <v>187</v>
      </c>
      <c r="W12" s="13"/>
      <c r="X12" s="13"/>
      <c r="Y12" s="60">
        <f>[1]!hks_stm_bs($D2,"140",DATE(IF(MONTH(Y7)&gt;=6,YEAR(Y7),YEAR(Y7)-1),12,31),1,"Cur="&amp;$F$14,100000000)</f>
        <v>0</v>
      </c>
      <c r="Z12" s="58"/>
      <c r="AA12" s="60" t="str">
        <f>IFERROR(AA8+AA9-AA10,"NA")</f>
        <v>NA</v>
      </c>
      <c r="AB12" s="58"/>
      <c r="AC12" s="60" t="str">
        <f>IFERROR(AC8+AC9-AC10,"NA")</f>
        <v>NA</v>
      </c>
      <c r="AD12" s="58"/>
      <c r="AE12" s="60" t="str">
        <f>IFERROR(AE8+AE9-AE10,"NA")</f>
        <v>NA</v>
      </c>
      <c r="AF12" s="58"/>
      <c r="AG12" s="60" t="str">
        <f>IFERROR(AG8+AG9-AG10,"NA")</f>
        <v>NA</v>
      </c>
      <c r="AH12" s="58"/>
      <c r="AI12" s="49"/>
    </row>
    <row r="13" spans="2:45" s="7" customFormat="1" ht="24.6" customHeight="1" x14ac:dyDescent="0.2">
      <c r="B13" s="49"/>
      <c r="C13" s="56" t="s">
        <v>186</v>
      </c>
      <c r="D13" s="20"/>
      <c r="E13" s="64"/>
      <c r="F13" s="69">
        <f>[1]!S_DQ_CLOSE(D2,F12,1)</f>
        <v>169.89</v>
      </c>
      <c r="G13" s="70"/>
      <c r="H13" s="49"/>
      <c r="I13" s="56" t="s">
        <v>185</v>
      </c>
      <c r="J13" s="90">
        <f>[1]!hks_fa_roa($D$2,DATE(YEAR(J7),12,31))/100</f>
        <v>0.27503100000000003</v>
      </c>
      <c r="K13" s="90"/>
      <c r="L13" s="90">
        <f>[1]!hks_fa_roa($D$2,DATE(YEAR(L7),12,31))/100</f>
        <v>0</v>
      </c>
      <c r="M13" s="90"/>
      <c r="N13" s="90" t="str">
        <f>IF([1]!s_west_avgroa($D$2,YEAR(N7),N7,180)/100=0,"NA",[1]!s_west_avgroa($D$2,YEAR(N7),N7,180)/100)</f>
        <v>NA</v>
      </c>
      <c r="O13" s="90"/>
      <c r="P13" s="90">
        <f>IF([1]!s_west_avgroa($D$2,YEAR(P7),P7,180)/100=0,"NA",[1]!s_west_avgroa($D$2,YEAR(P7),P7,180)/100)</f>
        <v>0.23300000000000001</v>
      </c>
      <c r="Q13" s="90"/>
      <c r="R13" s="90" t="str">
        <f>IF([1]!s_west_avgroa($D$2,YEAR(R7),R7,180)/100=0,"NA",[1]!s_west_avgroa($D$2,YEAR(R7),R7,180)/100)</f>
        <v>NA</v>
      </c>
      <c r="S13" s="90"/>
      <c r="T13" s="90" t="str">
        <f>IF([1]!s_west_avgroa($D$2,YEAR(T7),T7,180)/100=0,"NA",[1]!s_west_avgroa($D$2,YEAR(T7),T7,180)/100)</f>
        <v>NA</v>
      </c>
      <c r="U13" s="49"/>
      <c r="V13" s="20"/>
      <c r="W13" s="20"/>
      <c r="X13" s="20"/>
      <c r="Y13" s="71"/>
      <c r="Z13" s="64"/>
      <c r="AA13" s="65"/>
      <c r="AB13" s="64"/>
      <c r="AC13" s="65"/>
      <c r="AD13" s="64"/>
      <c r="AE13" s="65"/>
      <c r="AF13" s="64"/>
      <c r="AG13" s="65"/>
      <c r="AH13" s="64"/>
      <c r="AI13" s="49"/>
    </row>
    <row r="14" spans="2:45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USD</v>
      </c>
      <c r="G14" s="49"/>
      <c r="H14" s="72"/>
      <c r="I14" s="53" t="s">
        <v>34</v>
      </c>
      <c r="J14" s="144">
        <f>[1]!hks_fa_ebit3($D$2,DATE(YEAR(J7),12,31),1,"Cur="&amp;$F$14,100000000)</f>
        <v>1143.01</v>
      </c>
      <c r="K14" s="144"/>
      <c r="L14" s="144">
        <f>[1]!hks_fa_ebit3($D$2,DATE(YEAR(L7),12,31),1,"Cur="&amp;$F$14,100000000)</f>
        <v>0</v>
      </c>
      <c r="M14" s="144"/>
      <c r="N14" s="144" t="str">
        <f>IF([1]!s_west_avgebit1($D$2,YEAR(N7),$F$2,180,"Cur="&amp;$F$14,100000000)=0,"NA",[1]!s_west_avgebit1($D$2,YEAR(N7),$F$2,180,"Cur="&amp;$F$14,100000000))</f>
        <v>NA</v>
      </c>
      <c r="O14" s="144"/>
      <c r="P14" s="144">
        <f>IF([1]!s_west_avgebit1($D$2,YEAR(P7),$F$2,180,"Cur="&amp;$F$14,100000000)=0,"NA",[1]!s_west_avgebit1($D$2,YEAR(P7),$F$2,180,"Cur="&amp;$F$14,100000000))</f>
        <v>1334.335</v>
      </c>
      <c r="Q14" s="144"/>
      <c r="R14" s="144" t="str">
        <f>IF([1]!s_west_avgebit1($D$2,YEAR(R7),$F$2,180,"Cur="&amp;$F$14,100000000)=0,"NA",[1]!s_west_avgebit1($D$2,YEAR(R7),$F$2,180,"Cur="&amp;$F$14,100000000))</f>
        <v>NA</v>
      </c>
      <c r="S14" s="144"/>
      <c r="T14" s="144" t="str">
        <f>IF([1]!s_west_avgebit1($D$2,YEAR(T7),$F$2,180,"Cur="&amp;$F$14,100000000)=0,"NA",[1]!s_west_avgebit1($D$2,YEAR(T7),$F$2,180,"Cur="&amp;$F$14,100000000))</f>
        <v>NA</v>
      </c>
      <c r="U14" s="49"/>
      <c r="V14" s="53" t="s">
        <v>184</v>
      </c>
      <c r="W14" s="13"/>
      <c r="X14" s="13"/>
      <c r="Y14" s="118" t="str">
        <f>IFERROR(Y8-AE28,"NA")</f>
        <v>NA</v>
      </c>
      <c r="Z14" s="59"/>
      <c r="AA14" s="60" t="str">
        <f>IFERROR(Y15,"NA")</f>
        <v>NA</v>
      </c>
      <c r="AB14" s="59"/>
      <c r="AC14" s="60" t="str">
        <f>IFERROR(AA15,"NA")</f>
        <v>NA</v>
      </c>
      <c r="AD14" s="59"/>
      <c r="AE14" s="60" t="str">
        <f>IFERROR(AC15,"NA")</f>
        <v>NA</v>
      </c>
      <c r="AF14" s="59"/>
      <c r="AG14" s="60" t="str">
        <f>IFERROR(AE15,"NA")</f>
        <v>NA</v>
      </c>
      <c r="AH14" s="59"/>
      <c r="AI14" s="49"/>
    </row>
    <row r="15" spans="2:45" s="7" customFormat="1" ht="24.6" customHeight="1" x14ac:dyDescent="0.2">
      <c r="B15" s="49"/>
      <c r="C15" s="56" t="s">
        <v>183</v>
      </c>
      <c r="D15" s="20"/>
      <c r="E15" s="64"/>
      <c r="F15" s="74">
        <f>[1]!s_dq_volume(D2,F12,10000)</f>
        <v>5055.8329000000003</v>
      </c>
      <c r="G15" s="70"/>
      <c r="H15" s="119"/>
      <c r="I15" s="56" t="s">
        <v>35</v>
      </c>
      <c r="J15" s="146">
        <f>[1]!hks_fa_ebitda2($D$2,DATE(YEAR(J7),12,31),1,"Cur="&amp;$F$14,100000000)</f>
        <v>1258.2</v>
      </c>
      <c r="K15" s="146"/>
      <c r="L15" s="146">
        <f>[1]!hks_fa_ebitda2($D$2,DATE(YEAR(L7),12,31),1,"Cur="&amp;$F$14,100000000)</f>
        <v>0</v>
      </c>
      <c r="M15" s="146"/>
      <c r="N15" s="146" t="str">
        <f>IF([1]!s_est_avgebitda1($D$2,YEAR(N7),$F$2,"Cur="&amp;$F$14,100000000)=0,"NA",[1]!s_est_avgebitda1($D$2,YEAR(N7),$F$2,"Cur="&amp;$F$14,100000000))</f>
        <v>NA</v>
      </c>
      <c r="O15" s="146"/>
      <c r="P15" s="146">
        <f>IF([1]!s_est_avgebitda1($D$2,YEAR(P7),$F$2,"Cur="&amp;$F$14,100000000)=0,"NA",[1]!s_est_avgebitda1($D$2,YEAR(P7),$F$2,"Cur="&amp;$F$14,100000000))</f>
        <v>1456.95</v>
      </c>
      <c r="Q15" s="146"/>
      <c r="R15" s="146" t="str">
        <f>IF([1]!s_est_avgebitda1($D$2,YEAR(R7),$F$2,"Cur="&amp;$F$14,100000000)=0,"NA",[1]!s_est_avgebitda1($D$2,YEAR(R7),$F$2,"Cur="&amp;$F$14,100000000))</f>
        <v>NA</v>
      </c>
      <c r="S15" s="146"/>
      <c r="T15" s="146" t="str">
        <f>IF([1]!s_est_avgebitda1($D$2,YEAR(T7),$F$2,"Cur="&amp;$F$14,100000000)=0,"NA",[1]!s_est_avgebitda1($D$2,YEAR(T7),$F$2,"Cur="&amp;$F$14,100000000))</f>
        <v>NA</v>
      </c>
      <c r="U15" s="49"/>
      <c r="V15" s="56" t="s">
        <v>182</v>
      </c>
      <c r="W15" s="20"/>
      <c r="X15" s="20"/>
      <c r="Y15" s="65" t="str">
        <f>IFERROR(Y12-$AG28,"NA")</f>
        <v>NA</v>
      </c>
      <c r="Z15" s="64"/>
      <c r="AA15" s="65" t="str">
        <f>IFERROR(AA12-$AG28,"NA")</f>
        <v>NA</v>
      </c>
      <c r="AB15" s="64"/>
      <c r="AC15" s="65" t="str">
        <f>IFERROR(AC12-$AG28,"NA")</f>
        <v>NA</v>
      </c>
      <c r="AD15" s="64"/>
      <c r="AE15" s="65" t="str">
        <f>IFERROR(AE12-$AG28,"NA")</f>
        <v>NA</v>
      </c>
      <c r="AF15" s="64"/>
      <c r="AG15" s="65" t="str">
        <f>IFERROR(AG12-$AG28,"NA")</f>
        <v>NA</v>
      </c>
      <c r="AH15" s="64"/>
      <c r="AI15" s="49"/>
    </row>
    <row r="16" spans="2:45" s="7" customFormat="1" ht="24.6" customHeight="1" x14ac:dyDescent="0.2">
      <c r="B16" s="49"/>
      <c r="C16" s="53" t="s">
        <v>37</v>
      </c>
      <c r="D16" s="13"/>
      <c r="E16" s="59"/>
      <c r="F16" s="154">
        <f>[1]!s_pq_highclose(D2,DATE(YEAR(F12)-1,MONTH(F12),DAY(F12)),F12,3)</f>
        <v>197.85751599186636</v>
      </c>
      <c r="G16" s="49"/>
      <c r="H16" s="49"/>
      <c r="I16" s="53" t="s">
        <v>181</v>
      </c>
      <c r="J16" s="144">
        <f>[1]!hks_stm_is($D$2,"83",DATE(YEAR(J7),12,31),1,"Cur="&amp;$F$14,100000000)</f>
        <v>3832.85</v>
      </c>
      <c r="K16" s="144"/>
      <c r="L16" s="144">
        <f>[1]!hks_stm_is($D$2,"83",DATE(YEAR(L7),12,31),1,"Cur="&amp;$F$14,100000000)</f>
        <v>0</v>
      </c>
      <c r="M16" s="144"/>
      <c r="N16" s="144" t="str">
        <f>IF([1]!s_est_sales1($D$2,YEAR(N7),$F$2,"Cur="&amp;$F$14,100000000)=0,"NA",[1]!s_est_sales1($D$2,YEAR(N7),$F$2,"Cur="&amp;$F$14,100000000))</f>
        <v>NA</v>
      </c>
      <c r="O16" s="144"/>
      <c r="P16" s="144">
        <f>IF([1]!s_est_sales1($D$2,YEAR(P7),$F$2,"Cur="&amp;$F$14,100000000)=0,"NA",[1]!s_est_sales1($D$2,YEAR(P7),$F$2,"Cur="&amp;$F$14,100000000))</f>
        <v>4599.8944444400004</v>
      </c>
      <c r="Q16" s="144"/>
      <c r="R16" s="144" t="str">
        <f>IF([1]!s_est_sales1($D$2,YEAR(R7),$F$2,"Cur="&amp;$F$14,100000000)=0,"NA",[1]!s_est_sales1($D$2,YEAR(R7),$F$2,"Cur="&amp;$F$14,100000000))</f>
        <v>NA</v>
      </c>
      <c r="S16" s="144"/>
      <c r="T16" s="144" t="str">
        <f>IF([1]!s_est_sales1($D$2,YEAR(T7),$F$2,"Cur="&amp;$F$14,100000000)=0,"NA",[1]!s_est_sales1($D$2,YEAR(T7),$F$2,"Cur="&amp;$F$14,100000000))</f>
        <v>NA</v>
      </c>
      <c r="U16" s="49"/>
      <c r="V16" s="13"/>
      <c r="W16" s="13"/>
      <c r="X16" s="13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49"/>
    </row>
    <row r="17" spans="2:42" s="7" customFormat="1" ht="24.6" customHeight="1" x14ac:dyDescent="0.2">
      <c r="B17" s="49"/>
      <c r="C17" s="56" t="s">
        <v>180</v>
      </c>
      <c r="D17" s="20"/>
      <c r="E17" s="64"/>
      <c r="F17" s="75">
        <f>F13/F16</f>
        <v>0.85864820018757293</v>
      </c>
      <c r="G17" s="70"/>
      <c r="H17" s="120"/>
      <c r="I17" s="56" t="s">
        <v>179</v>
      </c>
      <c r="J17" s="146">
        <f>[1]!hks_stm_is($D$2,"1016",DATE(YEAR(J7),12,31),1,"Cur="&amp;$F$14,100000000)</f>
        <v>1137.3599999999999</v>
      </c>
      <c r="K17" s="146"/>
      <c r="L17" s="146">
        <f>[1]!hks_stm_is($D$2,"1016",DATE(YEAR(L7),12,31),1,"Cur="&amp;$F$14,100000000)</f>
        <v>0</v>
      </c>
      <c r="M17" s="146"/>
      <c r="N17" s="146" t="str">
        <f>IF([1]!s_est_avgebt1($D$2,YEAR(N7),$F$2,"Cur="&amp;$F$14,100000000)=0,"NA",[1]!s_est_avgebt1($D$2,YEAR(N7),$F$2,"Cur="&amp;$F$14,100000000))</f>
        <v>NA</v>
      </c>
      <c r="O17" s="146"/>
      <c r="P17" s="146">
        <f>IF([1]!s_est_avgebt1($D$2,YEAR(P7),$F$2,"Cur="&amp;$F$14,100000000)=0,"NA",[1]!s_est_avgebt1($D$2,YEAR(P7),$F$2,"Cur="&amp;$F$14,100000000))</f>
        <v>1494.6880000000001</v>
      </c>
      <c r="Q17" s="146"/>
      <c r="R17" s="146" t="str">
        <f>IF([1]!s_est_avgebt1($D$2,YEAR(R7),$F$2,"Cur="&amp;$F$14,100000000)=0,"NA",[1]!s_est_avgebt1($D$2,YEAR(R7),$F$2,"Cur="&amp;$F$14,100000000))</f>
        <v>NA</v>
      </c>
      <c r="S17" s="146"/>
      <c r="T17" s="146" t="str">
        <f>IF([1]!s_est_avgebt1($D$2,YEAR(T7),$F$2,"Cur="&amp;$F$14,100000000)=0,"NA",[1]!s_est_avgebt1($D$2,YEAR(T7),$F$2,"Cur="&amp;$F$14,100000000))</f>
        <v>NA</v>
      </c>
      <c r="U17" s="49"/>
      <c r="V17" s="56" t="s">
        <v>40</v>
      </c>
      <c r="W17" s="20"/>
      <c r="X17" s="20"/>
      <c r="Y17" s="65">
        <f>IFERROR(AE27,"NA")</f>
        <v>3525.83</v>
      </c>
      <c r="Z17" s="64"/>
      <c r="AA17" s="64"/>
      <c r="AB17" s="64"/>
      <c r="AC17" s="64"/>
      <c r="AD17" s="64"/>
      <c r="AE17" s="64"/>
      <c r="AF17" s="64"/>
      <c r="AG17" s="64"/>
      <c r="AH17" s="64"/>
      <c r="AI17" s="49"/>
      <c r="AL17" s="141"/>
    </row>
    <row r="18" spans="2:42" s="7" customFormat="1" ht="24.6" customHeight="1" x14ac:dyDescent="0.2">
      <c r="B18" s="49"/>
      <c r="C18" s="53" t="s">
        <v>41</v>
      </c>
      <c r="D18" s="13"/>
      <c r="E18" s="58"/>
      <c r="F18" s="154">
        <f>[1]!s_pq_lowclose(D2,DATE(YEAR(F12)-1,MONTH(F12),DAY(F12)),F12,3)</f>
        <v>162.89053460931325</v>
      </c>
      <c r="G18" s="49"/>
      <c r="H18" s="49"/>
      <c r="I18" s="53" t="s">
        <v>39</v>
      </c>
      <c r="J18" s="144">
        <f>[1]!hks_stm_is($D$2,"61",DATE(YEAR(J7),12,31),1,"Cur="&amp;$F$14,100000000)</f>
        <v>969.95</v>
      </c>
      <c r="K18" s="145"/>
      <c r="L18" s="144">
        <f>[1]!hks_stm_is($D$2,"61",DATE(YEAR(L7),12,31),1,"Cur="&amp;$F$14,100000000)</f>
        <v>0</v>
      </c>
      <c r="M18" s="145"/>
      <c r="N18" s="144" t="str">
        <f>IF([1]!s_west_netprofit1($D$2,YEAR(N7),$F$2,180,"Cur="&amp;$F$14,100000000)=0,"NA",[1]!s_west_netprofit1($D$2,YEAR(N7),$F$2,180,"Cur="&amp;$F$14,100000000))</f>
        <v>NA</v>
      </c>
      <c r="O18" s="145"/>
      <c r="P18" s="144">
        <f>IF([1]!s_west_netprofit1($D$2,YEAR(P7),$F$2,180,"Cur="&amp;$F$14,100000000)=0,"NA",[1]!s_west_netprofit1($D$2,YEAR(P7),$F$2,180,"Cur="&amp;$F$14,100000000))</f>
        <v>1205.56333333</v>
      </c>
      <c r="Q18" s="145"/>
      <c r="R18" s="144" t="str">
        <f>IF([1]!s_west_netprofit1($D$2,YEAR(R7),$F$2,180,"Cur="&amp;$F$14,100000000)=0,"NA",[1]!s_west_netprofit1($D$2,YEAR(R7),$F$2,180,"Cur="&amp;$F$14,100000000))</f>
        <v>NA</v>
      </c>
      <c r="S18" s="145"/>
      <c r="T18" s="144" t="str">
        <f>IF([1]!s_west_netprofit1($D$2,YEAR(T7),$F$2,180,"Cur="&amp;$F$14,100000000)=0,"NA",[1]!s_west_netprofit1($D$2,YEAR(T7),$F$2,180,"Cur="&amp;$F$14,100000000))</f>
        <v>NA</v>
      </c>
      <c r="U18" s="49"/>
      <c r="V18" s="53" t="s">
        <v>178</v>
      </c>
      <c r="W18" s="13"/>
      <c r="X18" s="13"/>
      <c r="Y18" s="60">
        <f>IFERROR(AG27,"NA")</f>
        <v>0</v>
      </c>
      <c r="Z18" s="54"/>
      <c r="AA18" s="59"/>
      <c r="AB18" s="54"/>
      <c r="AC18" s="59"/>
      <c r="AD18" s="54"/>
      <c r="AE18" s="59"/>
      <c r="AF18" s="54"/>
      <c r="AG18" s="59"/>
      <c r="AH18" s="54"/>
      <c r="AI18" s="49"/>
      <c r="AP18" s="141"/>
    </row>
    <row r="19" spans="2:42" s="7" customFormat="1" ht="24.6" customHeight="1" thickBot="1" x14ac:dyDescent="0.25">
      <c r="B19" s="49"/>
      <c r="C19" s="56" t="s">
        <v>43</v>
      </c>
      <c r="D19" s="20"/>
      <c r="E19" s="64"/>
      <c r="F19" s="75">
        <f>F13/F18</f>
        <v>1.0429703629340692</v>
      </c>
      <c r="G19" s="70"/>
      <c r="H19" s="120"/>
      <c r="I19" s="61" t="s">
        <v>42</v>
      </c>
      <c r="J19" s="93">
        <f>[1]!hks_stm_is($D$2,"1041",DATE(YEAR(J7),12,31),1,"Cur="&amp;$F$14,100000000)</f>
        <v>1143.01</v>
      </c>
      <c r="K19" s="121"/>
      <c r="L19" s="93">
        <f>[1]!hks_stm_is($D$2,"1041",DATE(YEAR(L7),12,31),1,"Cur="&amp;$F$14,100000000)</f>
        <v>0</v>
      </c>
      <c r="M19" s="121"/>
      <c r="N19" s="143" t="str">
        <f>IF([1]!s_west_avgoperatingprofit1($D$2,YEAR(N7),$F$2,180,"Cur="&amp;$F$14,100000000)=0,"NA",[1]!s_west_avgoperatingprofit1($D$2,YEAR(N7),$F$2,180,"Cur="&amp;$F$14,100000000))</f>
        <v>NA</v>
      </c>
      <c r="O19" s="121"/>
      <c r="P19" s="143">
        <f>IF([1]!s_west_avgoperatingprofit1($D$2,YEAR(P7),$F$2,180,"Cur="&amp;$F$14,100000000)=0,"NA",[1]!s_west_avgoperatingprofit1($D$2,YEAR(P7),$F$2,180,"Cur="&amp;$F$14,100000000))</f>
        <v>1439.9628571400001</v>
      </c>
      <c r="Q19" s="121"/>
      <c r="R19" s="143" t="str">
        <f>IF([1]!s_west_avgoperatingprofit1($D$2,YEAR(R7),$F$2,180,"Cur="&amp;$F$14,100000000)=0,"NA",[1]!s_west_avgoperatingprofit1($D$2,YEAR(R7),$F$2,180,"Cur="&amp;$F$14,100000000))</f>
        <v>NA</v>
      </c>
      <c r="S19" s="121"/>
      <c r="T19" s="143" t="str">
        <f>IF([1]!s_west_avgoperatingprofit1($D$2,YEAR(T7),$F$2,180,"Cur="&amp;$F$14,100000000)=0,"NA",[1]!s_west_avgoperatingprofit1($D$2,YEAR(T7),$F$2,180,"Cur="&amp;$F$14,100000000))</f>
        <v>NA</v>
      </c>
      <c r="U19" s="49"/>
      <c r="V19" s="20"/>
      <c r="W19" s="20"/>
      <c r="X19" s="20"/>
      <c r="Y19" s="64" t="str">
        <f>IF([1]!s_west_medianebt($D$2,YEAR(Y10),Y10,180,100000000)=0,"",[1]!s_west_medianebt($D$2,YEAR(Y10),Y10,180,100000000))</f>
        <v/>
      </c>
      <c r="Z19" s="57"/>
      <c r="AA19" s="64"/>
      <c r="AB19" s="57"/>
      <c r="AC19" s="64"/>
      <c r="AD19" s="57"/>
      <c r="AE19" s="64"/>
      <c r="AF19" s="57"/>
      <c r="AG19" s="64"/>
      <c r="AH19" s="57"/>
      <c r="AI19" s="49"/>
      <c r="AL19" s="141"/>
    </row>
    <row r="20" spans="2:42" s="7" customFormat="1" ht="24.6" customHeight="1" x14ac:dyDescent="0.2">
      <c r="B20" s="49"/>
      <c r="C20" s="53" t="s">
        <v>83</v>
      </c>
      <c r="D20" s="13"/>
      <c r="E20" s="59"/>
      <c r="F20" s="122">
        <f>[1]!s_risk_stdevy(D2,DATE(YEAR(F12)-1,MONTH(F12),DAY(F12)),F12,2,1)</f>
        <v>21.885488513918713</v>
      </c>
      <c r="G20" s="49"/>
      <c r="H20" s="11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53" t="s">
        <v>44</v>
      </c>
      <c r="W20" s="13"/>
      <c r="X20" s="13"/>
      <c r="Y20" s="79">
        <f>IFERROR((Y9/AVERAGE(Y8,Y12)), "NA")</f>
        <v>0</v>
      </c>
      <c r="Z20" s="58"/>
      <c r="AA20" s="79" t="str">
        <f>IFERROR((AA9/AVERAGE(AA8,AA12)), "NA")</f>
        <v>NA</v>
      </c>
      <c r="AB20" s="58"/>
      <c r="AC20" s="79" t="str">
        <f>IFERROR((AC9/AVERAGE(AC8,AC12)), "NA")</f>
        <v>NA</v>
      </c>
      <c r="AD20" s="58"/>
      <c r="AE20" s="79" t="str">
        <f>IFERROR((AE9/AVERAGE(AE8,AE12)), "NA")</f>
        <v>NA</v>
      </c>
      <c r="AF20" s="58"/>
      <c r="AG20" s="79" t="str">
        <f>IFERROR((AG9/AVERAGE(AG8,AG12)), "NA")</f>
        <v>NA</v>
      </c>
      <c r="AH20" s="58"/>
      <c r="AI20" s="49"/>
      <c r="AP20" s="141"/>
    </row>
    <row r="21" spans="2:42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0.25153698119599444</v>
      </c>
      <c r="G21" s="70"/>
      <c r="H21" s="123"/>
      <c r="I21" s="51" t="s">
        <v>84</v>
      </c>
      <c r="J21" s="51"/>
      <c r="K21" s="51"/>
      <c r="L21" s="51"/>
      <c r="M21" s="51"/>
      <c r="N21" s="51"/>
      <c r="O21" s="51"/>
      <c r="P21" s="51"/>
      <c r="Q21" s="51"/>
      <c r="R21" s="51"/>
      <c r="S21" s="49"/>
      <c r="T21" s="96"/>
      <c r="U21" s="49"/>
      <c r="V21" s="61" t="s">
        <v>177</v>
      </c>
      <c r="W21" s="62"/>
      <c r="X21" s="62"/>
      <c r="Y21" s="81" t="str">
        <f>IFERROR((Y9/AVERAGE(Y14,Y15)), "NA")</f>
        <v>NA</v>
      </c>
      <c r="Z21" s="82"/>
      <c r="AA21" s="81" t="str">
        <f>IFERROR((AA9/AVERAGE(AA14,AA15)), "NA")</f>
        <v>NA</v>
      </c>
      <c r="AB21" s="82"/>
      <c r="AC21" s="81" t="str">
        <f>IFERROR((AC9/AVERAGE(AC14,AC15)), "NA")</f>
        <v>NA</v>
      </c>
      <c r="AD21" s="82"/>
      <c r="AE21" s="81" t="str">
        <f>IFERROR((AE9/AVERAGE(AE14,AE15)), "NA")</f>
        <v>NA</v>
      </c>
      <c r="AF21" s="82"/>
      <c r="AG21" s="81" t="str">
        <f>IFERROR((AG9/AVERAGE(AG14,AG15)), "NA")</f>
        <v>NA</v>
      </c>
      <c r="AH21" s="82"/>
      <c r="AI21" s="49"/>
    </row>
    <row r="22" spans="2:42" s="7" customFormat="1" ht="24.6" customHeight="1" x14ac:dyDescent="0.2">
      <c r="B22" s="49"/>
      <c r="C22" s="53" t="s">
        <v>85</v>
      </c>
      <c r="D22" s="13"/>
      <c r="E22" s="49"/>
      <c r="F22" s="67" t="str">
        <f>[1]!hks_info_fiscaldate(D2)</f>
        <v>09-30</v>
      </c>
      <c r="G22" s="49"/>
      <c r="H22" s="123"/>
      <c r="I22" s="13"/>
      <c r="J22" s="54" t="s">
        <v>16</v>
      </c>
      <c r="K22" s="54"/>
      <c r="L22" s="54" t="s">
        <v>18</v>
      </c>
      <c r="M22" s="54"/>
      <c r="N22" s="54" t="s">
        <v>19</v>
      </c>
      <c r="O22" s="54"/>
      <c r="P22" s="54" t="s">
        <v>20</v>
      </c>
      <c r="Q22" s="54"/>
      <c r="R22" s="54" t="s">
        <v>21</v>
      </c>
      <c r="S22" s="49"/>
      <c r="T22" s="158"/>
      <c r="U22" s="49"/>
      <c r="V22" s="49"/>
      <c r="W22" s="49"/>
      <c r="X22" s="49"/>
      <c r="Y22" s="49"/>
      <c r="Z22" s="54"/>
      <c r="AA22" s="49"/>
      <c r="AB22" s="54"/>
      <c r="AC22" s="49"/>
      <c r="AD22" s="54"/>
      <c r="AE22" s="49"/>
      <c r="AF22" s="54"/>
      <c r="AG22" s="49"/>
      <c r="AH22" s="54"/>
      <c r="AI22" s="49"/>
    </row>
    <row r="23" spans="2:42" s="7" customFormat="1" ht="24.6" customHeight="1" thickBot="1" x14ac:dyDescent="0.25">
      <c r="B23" s="49"/>
      <c r="C23" s="61" t="s">
        <v>176</v>
      </c>
      <c r="D23" s="62"/>
      <c r="E23" s="64"/>
      <c r="F23" s="74">
        <f>[1]!s_div_aualaccmdiv2($D2,DATE(YEAR(F2)-1,MONTH(F2),DAY(F2)),F2,"Cur="&amp;$F$14,10000)</f>
        <v>370605.14399999997</v>
      </c>
      <c r="G23" s="20"/>
      <c r="H23" s="119"/>
      <c r="I23" s="56" t="s">
        <v>81</v>
      </c>
      <c r="J23" s="57">
        <f>DATE(L8,12,31)</f>
        <v>45657</v>
      </c>
      <c r="K23" s="57"/>
      <c r="L23" s="57">
        <f>DATE(YEAR(J23),MONTH(J23)+13,0)</f>
        <v>46022</v>
      </c>
      <c r="M23" s="57"/>
      <c r="N23" s="57">
        <f>DATE(YEAR(L23),MONTH(L23)+13,0)</f>
        <v>46387</v>
      </c>
      <c r="O23" s="57"/>
      <c r="P23" s="57">
        <f>DATE(YEAR(N23),MONTH(N23)+13,0)</f>
        <v>46752</v>
      </c>
      <c r="Q23" s="57"/>
      <c r="R23" s="57">
        <f>DATE(YEAR(P23),MONTH(P23)+13,0)</f>
        <v>47118</v>
      </c>
      <c r="S23" s="49"/>
      <c r="T23" s="158"/>
      <c r="U23" s="49"/>
      <c r="V23" s="51" t="s">
        <v>47</v>
      </c>
      <c r="W23" s="51"/>
      <c r="X23" s="51"/>
      <c r="Y23" s="51"/>
      <c r="Z23" s="124"/>
      <c r="AA23" s="51"/>
      <c r="AB23" s="124"/>
      <c r="AC23" s="51"/>
      <c r="AD23" s="124"/>
      <c r="AE23" s="51"/>
      <c r="AF23" s="124"/>
      <c r="AG23" s="51"/>
      <c r="AH23" s="124"/>
      <c r="AI23" s="49"/>
    </row>
    <row r="24" spans="2:42" s="7" customFormat="1" ht="24.6" customHeight="1" x14ac:dyDescent="0.2">
      <c r="B24" s="49"/>
      <c r="C24" s="49"/>
      <c r="D24" s="142"/>
      <c r="E24" s="142"/>
      <c r="F24" s="142"/>
      <c r="G24" s="142"/>
      <c r="H24" s="49"/>
      <c r="I24" s="53" t="s">
        <v>82</v>
      </c>
      <c r="J24" s="115">
        <f>YEAR(L7)</f>
        <v>2024</v>
      </c>
      <c r="K24" s="115"/>
      <c r="L24" s="115">
        <f>YEAR(N7)</f>
        <v>2025</v>
      </c>
      <c r="M24" s="115"/>
      <c r="N24" s="115">
        <f>YEAR(P7)</f>
        <v>2026</v>
      </c>
      <c r="O24" s="115"/>
      <c r="P24" s="115">
        <f>YEAR(R7)</f>
        <v>2027</v>
      </c>
      <c r="Q24" s="115"/>
      <c r="R24" s="115">
        <f>YEAR(T7)</f>
        <v>2028</v>
      </c>
      <c r="S24" s="49"/>
      <c r="T24" s="49"/>
      <c r="U24" s="49"/>
      <c r="V24" s="13"/>
      <c r="W24" s="13"/>
      <c r="X24" s="13"/>
      <c r="Y24" s="54" t="s">
        <v>175</v>
      </c>
      <c r="Z24" s="54"/>
      <c r="AA24" s="54" t="s">
        <v>49</v>
      </c>
      <c r="AB24" s="54"/>
      <c r="AC24" s="54" t="s">
        <v>135</v>
      </c>
      <c r="AD24" s="54"/>
      <c r="AE24" s="54" t="s">
        <v>50</v>
      </c>
      <c r="AF24" s="54"/>
      <c r="AG24" s="54" t="s">
        <v>51</v>
      </c>
      <c r="AH24" s="54"/>
      <c r="AI24" s="49"/>
    </row>
    <row r="25" spans="2:42" s="7" customFormat="1" ht="24.6" customHeight="1" x14ac:dyDescent="0.2">
      <c r="B25" s="49"/>
      <c r="C25" s="51" t="s">
        <v>212</v>
      </c>
      <c r="D25" s="51"/>
      <c r="E25" s="51"/>
      <c r="F25" s="51"/>
      <c r="G25" s="51"/>
      <c r="H25" s="95"/>
      <c r="I25" s="56" t="s">
        <v>86</v>
      </c>
      <c r="J25" s="125">
        <f>MONTH(L7)</f>
        <v>9</v>
      </c>
      <c r="K25" s="125"/>
      <c r="L25" s="125">
        <f>MONTH(N7)</f>
        <v>9</v>
      </c>
      <c r="M25" s="125"/>
      <c r="N25" s="125">
        <f>MONTH(P7)</f>
        <v>9</v>
      </c>
      <c r="O25" s="125"/>
      <c r="P25" s="125">
        <f>MONTH(R7)</f>
        <v>9</v>
      </c>
      <c r="Q25" s="125"/>
      <c r="R25" s="125">
        <f>MONTH(T7)</f>
        <v>9</v>
      </c>
      <c r="S25" s="49"/>
      <c r="T25" s="49"/>
      <c r="U25" s="49"/>
      <c r="V25" s="20"/>
      <c r="W25" s="20"/>
      <c r="X25" s="20"/>
      <c r="Y25" s="57">
        <f>DATE(YEAR(AA25),MONTH(AA25)-11,0)</f>
        <v>44104</v>
      </c>
      <c r="Z25" s="57"/>
      <c r="AA25" s="57">
        <f>DATE(YEAR(AC25),MONTH(AC25)-11,0)</f>
        <v>44469</v>
      </c>
      <c r="AB25" s="57"/>
      <c r="AC25" s="57">
        <f>DATE(YEAR(AE25),MONTH(AE25)-11,0)</f>
        <v>44834</v>
      </c>
      <c r="AD25" s="57"/>
      <c r="AE25" s="57">
        <f>DATE(YEAR(AG25),MONTH(AG25)-11,0)</f>
        <v>45199</v>
      </c>
      <c r="AF25" s="57"/>
      <c r="AG25" s="57">
        <f>IFERROR(IF(DATE(YEAR(F2),LEFT(F22,2)+1,0)&lt;=F2,DATE(YEAR(F2),LEFT(F22,2)+1,0),DATE(YEAR(F2),LEFT(F22,2)-11,0)),"NA")</f>
        <v>45565</v>
      </c>
      <c r="AH25" s="57"/>
      <c r="AI25" s="49"/>
    </row>
    <row r="26" spans="2:42" s="7" customFormat="1" ht="24.6" customHeight="1" x14ac:dyDescent="0.2">
      <c r="B26" s="49"/>
      <c r="C26" s="53" t="s">
        <v>52</v>
      </c>
      <c r="D26" s="13"/>
      <c r="E26" s="58"/>
      <c r="F26" s="88">
        <f>[1]!S_SHARE_TOTAL(D2,F12,10000)</f>
        <v>1544188.1</v>
      </c>
      <c r="G26" s="49"/>
      <c r="H26" s="88"/>
      <c r="I26" s="53" t="s">
        <v>23</v>
      </c>
      <c r="J26" s="58" t="str">
        <f>IFERROR(SUM(J$25*L9/12,((12-J$25)/12)*N9),"NA")</f>
        <v>NA</v>
      </c>
      <c r="K26" s="58"/>
      <c r="L26" s="58" t="str">
        <f t="shared" ref="L26:L36" si="0">IFERROR(SUM(L$25*N9/12,((12-L$25)/12)*P9),"NA")</f>
        <v>NA</v>
      </c>
      <c r="M26" s="58"/>
      <c r="N26" s="58" t="str">
        <f t="shared" ref="N26:N36" si="1">IFERROR(SUM(N$25*P9/12,((12-N$25)/12)*R9),"NA")</f>
        <v>NA</v>
      </c>
      <c r="O26" s="58"/>
      <c r="P26" s="58" t="str">
        <f t="shared" ref="P26:P36" si="2">IFERROR(SUM(P$25*R9/12,((12-P$25)/12)*T9),"NA")</f>
        <v>NA</v>
      </c>
      <c r="Q26" s="58"/>
      <c r="R26" s="58" t="str">
        <f t="shared" ref="R26:R36" si="3">IFERROR(SUM(R$25*T9/12,((12-R$25)/12)*V9),"NA")</f>
        <v>NA</v>
      </c>
      <c r="S26" s="58"/>
      <c r="T26" s="49"/>
      <c r="U26" s="49"/>
      <c r="V26" s="53" t="s">
        <v>174</v>
      </c>
      <c r="W26" s="13"/>
      <c r="X26" s="13"/>
      <c r="Y26" s="59"/>
      <c r="Z26" s="58"/>
      <c r="AA26" s="59"/>
      <c r="AB26" s="58"/>
      <c r="AC26" s="59"/>
      <c r="AD26" s="58"/>
      <c r="AE26" s="59"/>
      <c r="AF26" s="58"/>
      <c r="AG26" s="59"/>
      <c r="AH26" s="58"/>
      <c r="AI26" s="49"/>
      <c r="AN26" s="141"/>
    </row>
    <row r="27" spans="2:42" s="7" customFormat="1" ht="24.6" customHeight="1" x14ac:dyDescent="0.2">
      <c r="B27" s="49"/>
      <c r="C27" s="20"/>
      <c r="D27" s="20" t="s">
        <v>54</v>
      </c>
      <c r="E27" s="64"/>
      <c r="F27" s="89"/>
      <c r="G27" s="70"/>
      <c r="H27" s="88"/>
      <c r="I27" s="56" t="s">
        <v>26</v>
      </c>
      <c r="J27" s="64" t="str">
        <f>IFERROR(SUM(J$25*L10/12,((12-J$25)/12)*N10),"NA")</f>
        <v>NA</v>
      </c>
      <c r="K27" s="63"/>
      <c r="L27" s="64" t="str">
        <f t="shared" si="0"/>
        <v>NA</v>
      </c>
      <c r="M27" s="63"/>
      <c r="N27" s="64" t="str">
        <f t="shared" si="1"/>
        <v>NA</v>
      </c>
      <c r="O27" s="63"/>
      <c r="P27" s="64" t="str">
        <f t="shared" si="2"/>
        <v>NA</v>
      </c>
      <c r="Q27" s="63"/>
      <c r="R27" s="64" t="str">
        <f t="shared" si="3"/>
        <v>NA</v>
      </c>
      <c r="S27" s="49"/>
      <c r="T27" s="49"/>
      <c r="U27" s="49"/>
      <c r="V27" s="20"/>
      <c r="W27" s="20" t="s">
        <v>55</v>
      </c>
      <c r="X27" s="20"/>
      <c r="Y27" s="64">
        <f>[1]!hks_stm_bs($D2,"74",DATE(YEAR(Y25),12,31),1,"Cur="&amp;$F$14,100000000)</f>
        <v>3238.88</v>
      </c>
      <c r="Z27" s="63"/>
      <c r="AA27" s="64">
        <f>[1]!hks_stm_bs($D2,"74",DATE(YEAR(AA25),12,31),1,"Cur="&amp;$F$14,100000000)</f>
        <v>3510.02</v>
      </c>
      <c r="AB27" s="63"/>
      <c r="AC27" s="64">
        <f>[1]!hks_stm_bs($D2,"74",DATE(YEAR(AC25),12,31),1,"Cur="&amp;$F$14,100000000)</f>
        <v>3527.55</v>
      </c>
      <c r="AD27" s="63"/>
      <c r="AE27" s="64">
        <f>[1]!hks_stm_bs($D2,"74",DATE(YEAR(AE25),12,31),1,"Cur="&amp;$F$14,100000000)</f>
        <v>3525.83</v>
      </c>
      <c r="AF27" s="63"/>
      <c r="AG27" s="64">
        <f>[1]!hks_stm_bs($D2,"74",DATE(YEAR(AG25),12,31),1,"Cur="&amp;$F$14,100000000)</f>
        <v>0</v>
      </c>
      <c r="AH27" s="63"/>
      <c r="AI27" s="49"/>
    </row>
    <row r="28" spans="2:42" s="7" customFormat="1" ht="24.6" customHeight="1" x14ac:dyDescent="0.2">
      <c r="B28" s="49"/>
      <c r="C28" s="13"/>
      <c r="D28" s="13" t="s">
        <v>173</v>
      </c>
      <c r="E28" s="59" t="s">
        <v>12</v>
      </c>
      <c r="F28" s="88"/>
      <c r="G28" s="49"/>
      <c r="H28" s="88"/>
      <c r="I28" s="53" t="s">
        <v>27</v>
      </c>
      <c r="J28" s="59" t="str">
        <f t="shared" ref="J28:J36" si="4">IFERROR(SUM(J$25*L11/12,((12-J$25)/12)*N11),"NA")</f>
        <v>NA</v>
      </c>
      <c r="K28" s="58"/>
      <c r="L28" s="59" t="str">
        <f t="shared" si="0"/>
        <v>NA</v>
      </c>
      <c r="M28" s="58"/>
      <c r="N28" s="59" t="str">
        <f t="shared" si="1"/>
        <v>NA</v>
      </c>
      <c r="O28" s="58"/>
      <c r="P28" s="59" t="str">
        <f t="shared" si="2"/>
        <v>NA</v>
      </c>
      <c r="Q28" s="58"/>
      <c r="R28" s="59" t="str">
        <f t="shared" si="3"/>
        <v>NA</v>
      </c>
      <c r="S28" s="49"/>
      <c r="T28" s="49"/>
      <c r="U28" s="49"/>
      <c r="V28" s="13"/>
      <c r="W28" s="13" t="s">
        <v>120</v>
      </c>
      <c r="X28" s="13"/>
      <c r="Y28" s="59"/>
      <c r="Z28" s="58"/>
      <c r="AA28" s="59" t="str">
        <f>IF([1]!hks_stm_bs($D2,"1070",DATE(IF(MONTH(AA25)&gt;=6,YEAR(AA25)-1,YEAR(AA25)-2),12,31),1,"Cur="&amp;$F$14,100000000)=0,"NA",[1]!hks_stm_bs($D2,"1070",DATE(IF(MONTH(AA25)&gt;=6,YEAR(AA25)-1,YEAR(AA25)-2),12,31),1,"Cur="&amp;$F$14,100000000))</f>
        <v>NA</v>
      </c>
      <c r="AB28" s="58"/>
      <c r="AC28" s="59" t="str">
        <f>IF([1]!hks_stm_bs($D2,"1070",DATE(IF(MONTH(AC25)&gt;=6,YEAR(AC25)-1,YEAR(AC25)-2),12,31),1,"Cur="&amp;$F$14,100000000)=0,"NA",[1]!hks_stm_bs($D2,"1070",DATE(IF(MONTH(AC25)&gt;=6,YEAR(AC25)-1,YEAR(AC25)-2),12,31),1,"Cur="&amp;$F$14,100000000))</f>
        <v>NA</v>
      </c>
      <c r="AD28" s="58"/>
      <c r="AE28" s="59" t="str">
        <f>IF([1]!hks_stm_bs($D2,"1070",DATE(IF(MONTH(AE25)&gt;=6,YEAR(AE25)-1,YEAR(AE25)-2),12,31),1,"Cur="&amp;$F$14,100000000)=0,"NA",[1]!hks_stm_bs($D2,"1070",DATE(IF(MONTH(AE25)&gt;=6,YEAR(AE25)-1,YEAR(AE25)-2),12,31),1,"Cur="&amp;$F$14,100000000))</f>
        <v>NA</v>
      </c>
      <c r="AF28" s="58"/>
      <c r="AG28" s="59" t="str">
        <f>IF([1]!hks_stm_bs($D2,"1070",DATE(IF(MONTH(AG25)&gt;=6,YEAR(AG25)-1,YEAR(AG25)-2),12,31),1,"Cur="&amp;$F$14,100000000)=0,"NA",[1]!hks_stm_bs($D2,"1070",DATE(IF(MONTH(AG25)&gt;=6,YEAR(AG25)-1,YEAR(AG25)-2),12,31),1,"Cur="&amp;$F$14,100000000))</f>
        <v>NA</v>
      </c>
      <c r="AH28" s="58"/>
      <c r="AI28" s="49"/>
    </row>
    <row r="29" spans="2:42" s="7" customFormat="1" ht="24.6" customHeight="1" x14ac:dyDescent="0.2">
      <c r="B29" s="49"/>
      <c r="C29" s="20"/>
      <c r="D29" s="20" t="s">
        <v>56</v>
      </c>
      <c r="E29" s="64"/>
      <c r="F29" s="89"/>
      <c r="G29" s="70"/>
      <c r="H29" s="88"/>
      <c r="I29" s="56" t="s">
        <v>30</v>
      </c>
      <c r="J29" s="90" t="str">
        <f t="shared" si="4"/>
        <v>NA</v>
      </c>
      <c r="K29" s="90"/>
      <c r="L29" s="90" t="str">
        <f t="shared" si="0"/>
        <v>NA</v>
      </c>
      <c r="M29" s="90"/>
      <c r="N29" s="90" t="str">
        <f t="shared" si="1"/>
        <v>NA</v>
      </c>
      <c r="O29" s="90"/>
      <c r="P29" s="90" t="str">
        <f t="shared" si="2"/>
        <v>NA</v>
      </c>
      <c r="Q29" s="90"/>
      <c r="R29" s="90" t="str">
        <f t="shared" si="3"/>
        <v>NA</v>
      </c>
      <c r="S29" s="49"/>
      <c r="T29" s="49"/>
      <c r="U29" s="49"/>
      <c r="V29" s="20"/>
      <c r="W29" s="20" t="s">
        <v>59</v>
      </c>
      <c r="X29" s="20"/>
      <c r="Y29" s="64">
        <f>[1]!hks_stm_bs($D2,"140",DATE(YEAR(Y25),12,31),1,"Cur="&amp;$F$14,100000000)</f>
        <v>653.39</v>
      </c>
      <c r="Z29" s="63"/>
      <c r="AA29" s="64">
        <f>[1]!hks_stm_bs($D2,"140",DATE(YEAR(AA25),12,31),1,"Cur="&amp;$F$14,100000000)</f>
        <v>630.9</v>
      </c>
      <c r="AB29" s="63"/>
      <c r="AC29" s="64">
        <f>[1]!hks_stm_bs($D2,"140",DATE(YEAR(AC25),12,31),1,"Cur="&amp;$F$14,100000000)</f>
        <v>506.72</v>
      </c>
      <c r="AD29" s="63"/>
      <c r="AE29" s="64">
        <f>[1]!hks_stm_bs($D2,"140",DATE(YEAR(AE25),12,31),1,"Cur="&amp;$F$14,100000000)</f>
        <v>621.46</v>
      </c>
      <c r="AF29" s="63"/>
      <c r="AG29" s="64">
        <f>[1]!hks_stm_bs($D2,"140",DATE(YEAR(AG25),12,31),1,"Cur="&amp;$F$14,100000000)</f>
        <v>0</v>
      </c>
      <c r="AH29" s="63"/>
      <c r="AI29" s="49"/>
    </row>
    <row r="30" spans="2:42" s="7" customFormat="1" ht="24.6" customHeight="1" x14ac:dyDescent="0.2">
      <c r="B30" s="49"/>
      <c r="C30" s="13"/>
      <c r="D30" s="13" t="s">
        <v>58</v>
      </c>
      <c r="E30" s="59"/>
      <c r="F30" s="88"/>
      <c r="G30" s="49"/>
      <c r="H30" s="88"/>
      <c r="I30" s="53" t="s">
        <v>32</v>
      </c>
      <c r="J30" s="79" t="str">
        <f>IFERROR(SUM(J$25*L13/12,((12-J$25)/12)*N13),"NA")</f>
        <v>NA</v>
      </c>
      <c r="K30" s="79"/>
      <c r="L30" s="79" t="str">
        <f>IFERROR(SUM(L$25*N13/12,((12-L$25)/12)*P13),"NA")</f>
        <v>NA</v>
      </c>
      <c r="M30" s="79"/>
      <c r="N30" s="79" t="str">
        <f t="shared" si="1"/>
        <v>NA</v>
      </c>
      <c r="O30" s="79"/>
      <c r="P30" s="79" t="str">
        <f t="shared" si="2"/>
        <v>NA</v>
      </c>
      <c r="Q30" s="79"/>
      <c r="R30" s="79" t="str">
        <f t="shared" si="3"/>
        <v>NA</v>
      </c>
      <c r="S30" s="49"/>
      <c r="T30" s="49"/>
      <c r="U30" s="49"/>
      <c r="V30" s="53" t="s">
        <v>114</v>
      </c>
      <c r="W30" s="13"/>
      <c r="X30" s="13"/>
      <c r="Y30" s="59"/>
      <c r="Z30" s="58"/>
      <c r="AA30" s="59"/>
      <c r="AB30" s="58"/>
      <c r="AC30" s="59"/>
      <c r="AD30" s="58"/>
      <c r="AE30" s="59"/>
      <c r="AF30" s="58"/>
      <c r="AG30" s="59"/>
      <c r="AH30" s="58"/>
      <c r="AI30" s="49"/>
    </row>
    <row r="31" spans="2:42" s="7" customFormat="1" ht="24.6" customHeight="1" x14ac:dyDescent="0.2">
      <c r="B31" s="49"/>
      <c r="C31" s="20"/>
      <c r="D31" s="20" t="s">
        <v>172</v>
      </c>
      <c r="E31" s="64"/>
      <c r="F31" s="89"/>
      <c r="G31" s="70"/>
      <c r="H31" s="88"/>
      <c r="I31" s="56" t="s">
        <v>34</v>
      </c>
      <c r="J31" s="64" t="str">
        <f t="shared" si="4"/>
        <v>NA</v>
      </c>
      <c r="K31" s="64"/>
      <c r="L31" s="64" t="str">
        <f t="shared" si="0"/>
        <v>NA</v>
      </c>
      <c r="M31" s="64"/>
      <c r="N31" s="64" t="str">
        <f t="shared" si="1"/>
        <v>NA</v>
      </c>
      <c r="O31" s="64"/>
      <c r="P31" s="64" t="str">
        <f t="shared" si="2"/>
        <v>NA</v>
      </c>
      <c r="Q31" s="64"/>
      <c r="R31" s="64" t="str">
        <f t="shared" si="3"/>
        <v>NA</v>
      </c>
      <c r="S31" s="49"/>
      <c r="T31" s="49"/>
      <c r="U31" s="49"/>
      <c r="V31" s="56"/>
      <c r="W31" s="20" t="s">
        <v>171</v>
      </c>
      <c r="X31" s="20"/>
      <c r="Y31" s="64">
        <f>IF([1]!hks_stm_is($D$2,"83",DATE(IF(MONTH(Y25)&gt;=6,YEAR(Y25),YEAR(Y25)-1),12,31),1,"Cur="&amp;$F$14,100000000)=0,"NA",[1]!hks_stm_is($D$2,"83",DATE(IF(MONTH(Y25)&gt;=6,YEAR(Y25),YEAR(Y25)-1),12,31),1,"Cur="&amp;$F$14,100000000))</f>
        <v>2745.15</v>
      </c>
      <c r="Z31" s="64"/>
      <c r="AA31" s="64">
        <f>IF([1]!hks_stm_is($D$2,"83",DATE(IF(MONTH(AA25)&gt;=6,YEAR(AA25),YEAR(AA25)-1),12,31),1,"Cur="&amp;$F$14,100000000)=0,"NA",[1]!hks_stm_is($D$2,"83",DATE(IF(MONTH(AA25)&gt;=6,YEAR(AA25),YEAR(AA25)-1),12,31),1,"Cur="&amp;$F$14,100000000))</f>
        <v>3658.17</v>
      </c>
      <c r="AB31" s="64"/>
      <c r="AC31" s="64">
        <f>IF([1]!hks_stm_is($D$2,"83",DATE(IF(MONTH(AC25)&gt;=6,YEAR(AC25),YEAR(AC25)-1),12,31),1,"Cur="&amp;$F$14,100000000)=0,"NA",[1]!hks_stm_is($D$2,"83",DATE(IF(MONTH(AC25)&gt;=6,YEAR(AC25),YEAR(AC25)-1),12,31),1,"Cur="&amp;$F$14,100000000))</f>
        <v>3943.28</v>
      </c>
      <c r="AD31" s="64"/>
      <c r="AE31" s="64">
        <f>IF([1]!hks_stm_is($D$2,"83",DATE(IF(MONTH(AE25)&gt;=6,YEAR(AE25),YEAR(AE25)-1),12,31),1,"Cur="&amp;$F$14,100000000)=0,"NA",[1]!hks_stm_is($D$2,"83",DATE(IF(MONTH(AE25)&gt;=6,YEAR(AE25),YEAR(AE25)-1),12,31),1,"Cur="&amp;$F$14,100000000))</f>
        <v>3832.85</v>
      </c>
      <c r="AF31" s="64"/>
      <c r="AG31" s="64" t="str">
        <f>IF([1]!hks_stm_is($D$2,"83",DATE(IF(MONTH(AG25)&gt;=6,YEAR(AG25),YEAR(AG25)-1),12,31),1,"Cur="&amp;$F$14,100000000)=0,"NA",[1]!hks_stm_is($D$2,"83",DATE(IF(MONTH(AG25)&gt;=6,YEAR(AG25),YEAR(AG25)-1),12,31),1,"Cur="&amp;$F$14,100000000))</f>
        <v>NA</v>
      </c>
      <c r="AH31" s="64"/>
      <c r="AI31" s="49"/>
      <c r="AN31" s="141"/>
    </row>
    <row r="32" spans="2:42" s="7" customFormat="1" ht="24.6" customHeight="1" x14ac:dyDescent="0.2">
      <c r="B32" s="49"/>
      <c r="C32" s="13"/>
      <c r="D32" s="13" t="s">
        <v>60</v>
      </c>
      <c r="E32" s="58"/>
      <c r="F32" s="88"/>
      <c r="G32" s="49"/>
      <c r="H32" s="88"/>
      <c r="I32" s="53" t="s">
        <v>35</v>
      </c>
      <c r="J32" s="59" t="str">
        <f t="shared" si="4"/>
        <v>NA</v>
      </c>
      <c r="K32" s="59"/>
      <c r="L32" s="59" t="str">
        <f t="shared" si="0"/>
        <v>NA</v>
      </c>
      <c r="M32" s="59"/>
      <c r="N32" s="59" t="str">
        <f t="shared" si="1"/>
        <v>NA</v>
      </c>
      <c r="O32" s="59"/>
      <c r="P32" s="59" t="str">
        <f t="shared" si="2"/>
        <v>NA</v>
      </c>
      <c r="Q32" s="59"/>
      <c r="R32" s="59" t="str">
        <f t="shared" si="3"/>
        <v>NA</v>
      </c>
      <c r="S32" s="49"/>
      <c r="T32" s="49"/>
      <c r="U32" s="49"/>
      <c r="V32" s="13"/>
      <c r="W32" s="13" t="s">
        <v>170</v>
      </c>
      <c r="X32" s="13"/>
      <c r="Y32" s="59">
        <f>IF([1]!hks_stm_is($D2,"10",DATE(IF(MONTH(Y25)&gt;=6,YEAR(Y25),YEAR(Y25)-1),12,31),1,"Cur="&amp;$F$14,100000000)=0,"NA",[1]!hks_stm_is($D2,"10",DATE(IF(MONTH(Y25)&gt;=6,YEAR(Y25),YEAR(Y25)-1),12,31),1,"Cur="&amp;$F$14,100000000))</f>
        <v>1695.59</v>
      </c>
      <c r="Z32" s="59"/>
      <c r="AA32" s="59">
        <f>IF([1]!hks_stm_is($D2,"10",DATE(IF(MONTH(AA25)&gt;=6,YEAR(AA25),YEAR(AA25)-1),12,31),1,"Cur="&amp;$F$14,100000000)=0,"NA",[1]!hks_stm_is($D2,"10",DATE(IF(MONTH(AA25)&gt;=6,YEAR(AA25),YEAR(AA25)-1),12,31),1,"Cur="&amp;$F$14,100000000))</f>
        <v>2129.81</v>
      </c>
      <c r="AB32" s="59"/>
      <c r="AC32" s="59">
        <f>IF([1]!hks_stm_is($D2,"10",DATE(IF(MONTH(AC25)&gt;=6,YEAR(AC25),YEAR(AC25)-1),12,31),1,"Cur="&amp;$F$14,100000000)=0,"NA",[1]!hks_stm_is($D2,"10",DATE(IF(MONTH(AC25)&gt;=6,YEAR(AC25),YEAR(AC25)-1),12,31),1,"Cur="&amp;$F$14,100000000))</f>
        <v>2235.46</v>
      </c>
      <c r="AD32" s="59"/>
      <c r="AE32" s="59">
        <f>IF([1]!hks_stm_is($D2,"10",DATE(IF(MONTH(AE25)&gt;=6,YEAR(AE25),YEAR(AE25)-1),12,31),1,"Cur="&amp;$F$14,100000000)=0,"NA",[1]!hks_stm_is($D2,"10",DATE(IF(MONTH(AE25)&gt;=6,YEAR(AE25),YEAR(AE25)-1),12,31),1,"Cur="&amp;$F$14,100000000))</f>
        <v>2141.37</v>
      </c>
      <c r="AF32" s="59"/>
      <c r="AG32" s="59" t="str">
        <f>IF([1]!hks_stm_is($D2,"10",DATE(IF(MONTH(AG25)&gt;=6,YEAR(AG25),YEAR(AG25)-1),12,31),1,"Cur="&amp;$F$14,100000000)=0,"NA",[1]!hks_stm_is($D2,"10",DATE(IF(MONTH(AG25)&gt;=6,YEAR(AG25),YEAR(AG25)-1),12,31),1,"Cur="&amp;$F$14,100000000))</f>
        <v>NA</v>
      </c>
      <c r="AH32" s="59"/>
      <c r="AI32" s="49"/>
    </row>
    <row r="33" spans="2:35" s="7" customFormat="1" ht="24.6" customHeight="1" x14ac:dyDescent="0.2">
      <c r="B33" s="49"/>
      <c r="C33" s="56" t="s">
        <v>61</v>
      </c>
      <c r="D33" s="20"/>
      <c r="E33" s="64"/>
      <c r="F33" s="89">
        <f>SUM(F26,F27:H32)</f>
        <v>1544188.1</v>
      </c>
      <c r="G33" s="70"/>
      <c r="H33" s="88"/>
      <c r="I33" s="56" t="s">
        <v>36</v>
      </c>
      <c r="J33" s="64" t="str">
        <f t="shared" si="4"/>
        <v>NA</v>
      </c>
      <c r="K33" s="64"/>
      <c r="L33" s="64" t="str">
        <f t="shared" si="0"/>
        <v>NA</v>
      </c>
      <c r="M33" s="64"/>
      <c r="N33" s="64" t="str">
        <f t="shared" si="1"/>
        <v>NA</v>
      </c>
      <c r="O33" s="64"/>
      <c r="P33" s="64" t="str">
        <f t="shared" si="2"/>
        <v>NA</v>
      </c>
      <c r="Q33" s="64"/>
      <c r="R33" s="64" t="str">
        <f t="shared" si="3"/>
        <v>NA</v>
      </c>
      <c r="S33" s="49"/>
      <c r="T33" s="49"/>
      <c r="U33" s="49"/>
      <c r="V33" s="20"/>
      <c r="W33" s="20" t="s">
        <v>64</v>
      </c>
      <c r="X33" s="20"/>
      <c r="Y33" s="64">
        <f>IF([1]!hks_stm_is($D$2,"61",DATE(IF(MONTH(Y25)&gt;=6,YEAR(Y25),YEAR(Y25)-1),12,31),1,"Cur="&amp;$F$14,100000000)=0,"NA",[1]!hks_stm_is($D$2,"61",DATE(IF(MONTH(Y25)&gt;=6,YEAR(Y25),YEAR(Y25)-1),12,31),1,"Cur="&amp;$F$14,100000000))</f>
        <v>574.11</v>
      </c>
      <c r="Z33" s="64"/>
      <c r="AA33" s="64">
        <f>IF([1]!hks_stm_is($D$2,"61",DATE(IF(MONTH(AA25)&gt;=6,YEAR(AA25),YEAR(AA25)-1),12,31),1,"Cur="&amp;$F$14,100000000)=0,"NA",[1]!hks_stm_is($D$2,"61",DATE(IF(MONTH(AA25)&gt;=6,YEAR(AA25),YEAR(AA25)-1),12,31),1,"Cur="&amp;$F$14,100000000))</f>
        <v>946.8</v>
      </c>
      <c r="AB33" s="64"/>
      <c r="AC33" s="64">
        <f>IF([1]!hks_stm_is($D$2,"61",DATE(IF(MONTH(AC25)&gt;=6,YEAR(AC25),YEAR(AC25)-1),12,31),1,"Cur="&amp;$F$14,100000000)=0,"NA",[1]!hks_stm_is($D$2,"61",DATE(IF(MONTH(AC25)&gt;=6,YEAR(AC25),YEAR(AC25)-1),12,31),1,"Cur="&amp;$F$14,100000000))</f>
        <v>998.03</v>
      </c>
      <c r="AD33" s="64"/>
      <c r="AE33" s="64">
        <f>IF([1]!hks_stm_is($D$2,"61",DATE(IF(MONTH(AE25)&gt;=6,YEAR(AE25),YEAR(AE25)-1),12,31),1,"Cur="&amp;$F$14,100000000)=0,"NA",[1]!hks_stm_is($D$2,"61",DATE(IF(MONTH(AE25)&gt;=6,YEAR(AE25),YEAR(AE25)-1),12,31),1,"Cur="&amp;$F$14,100000000))</f>
        <v>969.95</v>
      </c>
      <c r="AF33" s="64"/>
      <c r="AG33" s="64" t="str">
        <f>IF([1]!hks_stm_is($D$2,"61",DATE(IF(MONTH(AG25)&gt;=6,YEAR(AG25),YEAR(AG25)-1),12,31),1,"Cur="&amp;$F$14,100000000)=0,"NA",[1]!hks_stm_is($D$2,"61",DATE(IF(MONTH(AG25)&gt;=6,YEAR(AG25),YEAR(AG25)-1),12,31),1,"Cur="&amp;$F$14,100000000))</f>
        <v>NA</v>
      </c>
      <c r="AH33" s="64"/>
      <c r="AI33" s="49"/>
    </row>
    <row r="34" spans="2:35" s="7" customFormat="1" ht="24.6" customHeight="1" x14ac:dyDescent="0.2">
      <c r="B34" s="49"/>
      <c r="C34" s="53" t="s">
        <v>62</v>
      </c>
      <c r="D34" s="13"/>
      <c r="E34" s="59"/>
      <c r="F34" s="88">
        <f>[1]!hks_val_ev($D2,$F2,"Cur="&amp;$F$14,100000000)</f>
        <v>26234.211630900001</v>
      </c>
      <c r="G34" s="49"/>
      <c r="H34" s="88"/>
      <c r="I34" s="53" t="s">
        <v>38</v>
      </c>
      <c r="J34" s="59" t="str">
        <f t="shared" si="4"/>
        <v>NA</v>
      </c>
      <c r="K34" s="54"/>
      <c r="L34" s="59" t="str">
        <f t="shared" si="0"/>
        <v>NA</v>
      </c>
      <c r="M34" s="54"/>
      <c r="N34" s="59" t="str">
        <f t="shared" si="1"/>
        <v>NA</v>
      </c>
      <c r="O34" s="54"/>
      <c r="P34" s="59" t="str">
        <f t="shared" si="2"/>
        <v>NA</v>
      </c>
      <c r="Q34" s="54"/>
      <c r="R34" s="59" t="str">
        <f t="shared" si="3"/>
        <v>NA</v>
      </c>
      <c r="S34" s="49"/>
      <c r="T34" s="49"/>
      <c r="U34" s="49"/>
      <c r="V34" s="53" t="s">
        <v>65</v>
      </c>
      <c r="W34" s="13"/>
      <c r="X34" s="13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49"/>
    </row>
    <row r="35" spans="2:35" s="7" customFormat="1" ht="24.6" customHeight="1" x14ac:dyDescent="0.2">
      <c r="B35" s="49"/>
      <c r="C35" s="56" t="s">
        <v>63</v>
      </c>
      <c r="D35" s="20"/>
      <c r="E35" s="70"/>
      <c r="F35" s="89">
        <f>F13*F33/10000</f>
        <v>26234.211630899998</v>
      </c>
      <c r="G35" s="20"/>
      <c r="H35" s="88"/>
      <c r="I35" s="56" t="s">
        <v>39</v>
      </c>
      <c r="J35" s="64" t="str">
        <f t="shared" si="4"/>
        <v>NA</v>
      </c>
      <c r="K35" s="57"/>
      <c r="L35" s="64" t="str">
        <f t="shared" si="0"/>
        <v>NA</v>
      </c>
      <c r="M35" s="57"/>
      <c r="N35" s="64" t="str">
        <f t="shared" si="1"/>
        <v>NA</v>
      </c>
      <c r="O35" s="57"/>
      <c r="P35" s="64" t="str">
        <f t="shared" si="2"/>
        <v>NA</v>
      </c>
      <c r="Q35" s="57"/>
      <c r="R35" s="64" t="str">
        <f t="shared" si="3"/>
        <v>NA</v>
      </c>
      <c r="S35" s="49"/>
      <c r="T35" s="49"/>
      <c r="U35" s="49"/>
      <c r="V35" s="56"/>
      <c r="W35" s="20" t="s">
        <v>66</v>
      </c>
      <c r="X35" s="20"/>
      <c r="Y35" s="64">
        <f>IF([1]!hks_fa_bps($D2,DATE(IF(MONTH(Y25)&gt;=6,YEAR(Y25)-1,YEAR(Y25)-2),12,31),"Cur="&amp;$F$14)=0,"NA",[1]!hks_fa_bps($D2,DATE(IF(MONTH(Y25)&gt;=6,YEAR(Y25)-1,YEAR(Y25)-2),12,31),"Cur="&amp;$F$14))</f>
        <v>20.36533734</v>
      </c>
      <c r="Z35" s="64"/>
      <c r="AA35" s="64">
        <f>IF([1]!hks_fa_bps($D2,DATE(IF(MONTH(AA25)&gt;=6,YEAR(AA25)-1,YEAR(AA25)-2),12,31),"Cur="&amp;$F$14)=0,"NA",[1]!hks_fa_bps($D2,DATE(IF(MONTH(AA25)&gt;=6,YEAR(AA25)-1,YEAR(AA25)-2),12,31),"Cur="&amp;$F$14))</f>
        <v>3.84873135</v>
      </c>
      <c r="AB35" s="64"/>
      <c r="AC35" s="64">
        <f>IF([1]!hks_fa_bps($D2,DATE(IF(MONTH(AC25)&gt;=6,YEAR(AC25)-1,YEAR(AC25)-2),12,31),"Cur="&amp;$F$14)=0,"NA",[1]!hks_fa_bps($D2,DATE(IF(MONTH(AC25)&gt;=6,YEAR(AC25)-1,YEAR(AC25)-2),12,31),"Cur="&amp;$F$14))</f>
        <v>3.8406782700000002</v>
      </c>
      <c r="AD35" s="64"/>
      <c r="AE35" s="64">
        <f>IF([1]!hks_fa_bps($D2,DATE(IF(MONTH(AE25)&gt;=6,YEAR(AE25)-1,YEAR(AE25)-2),12,31),"Cur="&amp;$F$14)=0,"NA",[1]!hks_fa_bps($D2,DATE(IF(MONTH(AE25)&gt;=6,YEAR(AE25)-1,YEAR(AE25)-2),12,31),"Cur="&amp;$F$14))</f>
        <v>3.17823805</v>
      </c>
      <c r="AF35" s="64"/>
      <c r="AG35" s="64">
        <f>IF([1]!hks_fa_bps($D2,DATE(IF(MONTH(AG25)&gt;=6,YEAR(AG25)-1,YEAR(AG25)-2),12,31),"Cur="&amp;$F$14)=0,"NA",[1]!hks_fa_bps($D2,DATE(IF(MONTH(AG25)&gt;=6,YEAR(AG25)-1,YEAR(AG25)-2),12,31),"Cur="&amp;$F$14))</f>
        <v>3.99651165</v>
      </c>
      <c r="AH35" s="64"/>
      <c r="AI35" s="49"/>
    </row>
    <row r="36" spans="2:35" s="7" customFormat="1" ht="24.6" customHeight="1" thickBot="1" x14ac:dyDescent="0.25">
      <c r="B36" s="49"/>
      <c r="C36" s="76" t="s">
        <v>214</v>
      </c>
      <c r="D36" s="77"/>
      <c r="E36" s="77"/>
      <c r="F36" s="170">
        <f>[1]!hks_val_ev1(D2,F2,"Cur="&amp;$F$14,100000000)</f>
        <v>27314.611630899999</v>
      </c>
      <c r="G36" s="77"/>
      <c r="H36" s="49"/>
      <c r="I36" s="76" t="s">
        <v>42</v>
      </c>
      <c r="J36" s="77" t="str">
        <f t="shared" si="4"/>
        <v>NA</v>
      </c>
      <c r="K36" s="126"/>
      <c r="L36" s="77" t="str">
        <f t="shared" si="0"/>
        <v>NA</v>
      </c>
      <c r="M36" s="126"/>
      <c r="N36" s="77" t="str">
        <f t="shared" si="1"/>
        <v>NA</v>
      </c>
      <c r="O36" s="126"/>
      <c r="P36" s="77" t="str">
        <f t="shared" si="2"/>
        <v>NA</v>
      </c>
      <c r="Q36" s="126"/>
      <c r="R36" s="77" t="str">
        <f t="shared" si="3"/>
        <v>NA</v>
      </c>
      <c r="S36" s="49"/>
      <c r="T36" s="49"/>
      <c r="U36" s="49"/>
      <c r="V36" s="13"/>
      <c r="W36" s="13" t="s">
        <v>68</v>
      </c>
      <c r="X36" s="13"/>
      <c r="Y36" s="59" t="str">
        <f>IF(OR([1]!hks_fa_eps_basic($D2,DATE(IF(MONTH(Y25)&gt;=6,YEAR(Y25)-1,YEAR(Y25)-2),12,31),"Cur="&amp;$F$14)&gt;=10,[1]!hks_fa_eps_basic($D2,DATE(IF(MONTH(Y25)&gt;=6,YEAR(Y25)-1,YEAR(Y25)-2),12,31),"Cur="&amp;$F$14)=0),"NA",[1]!hks_fa_eps_basic($D2,DATE(IF(MONTH(Y25)&gt;=6,YEAR(Y25)-1,YEAR(Y25)-2),12,31),"Cur="&amp;$F$14))</f>
        <v>NA</v>
      </c>
      <c r="Z36" s="54"/>
      <c r="AA36" s="59">
        <f>IF(OR([1]!hks_fa_eps_basic($D2,DATE(IF(MONTH(AA25)&gt;=6,YEAR(AA25)-1,YEAR(AA25)-2),12,31),"Cur="&amp;$F$14)&gt;=10,[1]!hks_fa_eps_basic($D2,DATE(IF(MONTH(AA25)&gt;=6,YEAR(AA25)-1,YEAR(AA25)-2),12,31),"Cur="&amp;$F$14)=0),"NA",[1]!hks_fa_eps_basic($D2,DATE(IF(MONTH(AA25)&gt;=6,YEAR(AA25)-1,YEAR(AA25)-2),12,31),"Cur="&amp;$F$14))</f>
        <v>3.31</v>
      </c>
      <c r="AB36" s="54"/>
      <c r="AC36" s="59">
        <f>IF(OR([1]!hks_fa_eps_basic($D2,DATE(IF(MONTH(AC25)&gt;=6,YEAR(AC25)-1,YEAR(AC25)-2),12,31),"Cur="&amp;$F$14)&gt;=10,[1]!hks_fa_eps_basic($D2,DATE(IF(MONTH(AC25)&gt;=6,YEAR(AC25)-1,YEAR(AC25)-2),12,31),"Cur="&amp;$F$14)=0),"NA",[1]!hks_fa_eps_basic($D2,DATE(IF(MONTH(AC25)&gt;=6,YEAR(AC25)-1,YEAR(AC25)-2),12,31),"Cur="&amp;$F$14))</f>
        <v>5.67</v>
      </c>
      <c r="AD36" s="54"/>
      <c r="AE36" s="59">
        <f>IF(OR([1]!hks_fa_eps_basic($D2,DATE(IF(MONTH(AE25)&gt;=6,YEAR(AE25)-1,YEAR(AE25)-2),12,31),"Cur="&amp;$F$14)&gt;=10,[1]!hks_fa_eps_basic($D2,DATE(IF(MONTH(AE25)&gt;=6,YEAR(AE25)-1,YEAR(AE25)-2),12,31),"Cur="&amp;$F$14)=0),"NA",[1]!hks_fa_eps_basic($D2,DATE(IF(MONTH(AE25)&gt;=6,YEAR(AE25)-1,YEAR(AE25)-2),12,31),"Cur="&amp;$F$14))</f>
        <v>6.15</v>
      </c>
      <c r="AF36" s="54"/>
      <c r="AG36" s="59">
        <f>IF(OR([1]!hks_fa_eps_basic($D2,DATE(IF(MONTH(AG25)&gt;=6,YEAR(AG25)-1,YEAR(AG25)-2),12,31),"Cur="&amp;$F$14)&gt;=10,[1]!hks_fa_eps_basic($D2,DATE(IF(MONTH(AG25)&gt;=6,YEAR(AG25)-1,YEAR(AG25)-2),12,31),"Cur="&amp;$F$14)=0),"NA",[1]!hks_fa_eps_basic($D2,DATE(IF(MONTH(AG25)&gt;=6,YEAR(AG25)-1,YEAR(AG25)-2),12,31),"Cur="&amp;$F$14))</f>
        <v>6.16</v>
      </c>
      <c r="AH36" s="54"/>
      <c r="AI36" s="49"/>
    </row>
    <row r="37" spans="2:35" s="7" customFormat="1" ht="24.6" customHeight="1" x14ac:dyDescent="0.2">
      <c r="B37" s="49"/>
      <c r="C37" s="49"/>
      <c r="D37" s="49"/>
      <c r="E37" s="49"/>
      <c r="F37" s="49"/>
      <c r="G37" s="49"/>
      <c r="H37" s="112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20"/>
      <c r="W37" s="20" t="s">
        <v>69</v>
      </c>
      <c r="X37" s="20"/>
      <c r="Y37" s="64">
        <f>IF([1]!hks_fa_dps($D$2,IF(MONTH(Y25)&gt;=6,YEAR(Y25),YEAR(Y25)-1),"Cur="&amp;$F$14)=0,"NA",[1]!hks_fa_dps($D$2,IF(MONTH(Y25)&gt;=6,YEAR(Y25),YEAR(Y25)-1),"Cur="&amp;$F$14))</f>
        <v>2.6150000000000002</v>
      </c>
      <c r="Z37" s="57"/>
      <c r="AA37" s="64">
        <f>IF([1]!hks_fa_dps($D$2,IF(MONTH(AA25)&gt;=6,YEAR(AA25),YEAR(AA25)-1),"Cur="&amp;$F$14)=0,"NA",[1]!hks_fa_dps($D$2,IF(MONTH(AA25)&gt;=6,YEAR(AA25),YEAR(AA25)-1),"Cur="&amp;$F$14))</f>
        <v>0.86499999999999999</v>
      </c>
      <c r="AB37" s="57"/>
      <c r="AC37" s="64">
        <f>IF([1]!hks_fa_dps($D$2,IF(MONTH(AC25)&gt;=6,YEAR(AC25),YEAR(AC25)-1),"Cur="&amp;$F$14)=0,"NA",[1]!hks_fa_dps($D$2,IF(MONTH(AC25)&gt;=6,YEAR(AC25),YEAR(AC25)-1),"Cur="&amp;$F$14))</f>
        <v>0.91</v>
      </c>
      <c r="AD37" s="57"/>
      <c r="AE37" s="64">
        <f>IF([1]!hks_fa_dps($D$2,IF(MONTH(AE25)&gt;=6,YEAR(AE25),YEAR(AE25)-1),"Cur="&amp;$F$14)=0,"NA",[1]!hks_fa_dps($D$2,IF(MONTH(AE25)&gt;=6,YEAR(AE25),YEAR(AE25)-1),"Cur="&amp;$F$14))</f>
        <v>0.95</v>
      </c>
      <c r="AF37" s="57"/>
      <c r="AG37" s="64">
        <f>IF([1]!hks_fa_dps($D$2,IF(MONTH(AG25)&gt;=6,YEAR(AG25),YEAR(AG25)-1),"Cur="&amp;$F$14)=0,"NA",[1]!hks_fa_dps($D$2,IF(MONTH(AG25)&gt;=6,YEAR(AG25),YEAR(AG25)-1),"Cur="&amp;$F$14))</f>
        <v>0.24</v>
      </c>
      <c r="AH37" s="57"/>
      <c r="AI37" s="49"/>
    </row>
    <row r="38" spans="2:35" s="7" customFormat="1" ht="24.6" customHeight="1" thickBot="1" x14ac:dyDescent="0.25">
      <c r="B38" s="49"/>
      <c r="C38" s="51" t="s">
        <v>105</v>
      </c>
      <c r="D38" s="51"/>
      <c r="E38" s="51"/>
      <c r="F38" s="51"/>
      <c r="G38" s="51"/>
      <c r="H38" s="120"/>
      <c r="I38" s="51" t="s">
        <v>205</v>
      </c>
      <c r="J38" s="51"/>
      <c r="K38" s="51"/>
      <c r="L38" s="51"/>
      <c r="M38" s="51"/>
      <c r="N38" s="51"/>
      <c r="O38" s="51"/>
      <c r="P38" s="51"/>
      <c r="Q38" s="49"/>
      <c r="R38" s="49"/>
      <c r="S38" s="49"/>
      <c r="T38" s="49"/>
      <c r="U38" s="49"/>
      <c r="V38" s="83"/>
      <c r="W38" s="83" t="s">
        <v>71</v>
      </c>
      <c r="X38" s="83"/>
      <c r="Y38" s="77" t="str">
        <f>IFERROR(ROUND(Y37/Y36*100,1)/100,"NA")</f>
        <v>NA</v>
      </c>
      <c r="Z38" s="126"/>
      <c r="AA38" s="77">
        <f>IFERROR(ROUND(AA37/AA36*100,1)/100,"NA")</f>
        <v>0.26100000000000001</v>
      </c>
      <c r="AB38" s="126"/>
      <c r="AC38" s="77">
        <f>IFERROR(ROUND(AC37/AC36*100,1)/100,"NA")</f>
        <v>0.16</v>
      </c>
      <c r="AD38" s="126"/>
      <c r="AE38" s="77">
        <f>IFERROR(ROUND(AE37/AE36*100,1)/100,"NA")</f>
        <v>0.154</v>
      </c>
      <c r="AF38" s="126"/>
      <c r="AG38" s="77">
        <f>IFERROR(ROUND(AG37/AG36*100,1)/100,"NA")</f>
        <v>3.9E-2</v>
      </c>
      <c r="AH38" s="126"/>
      <c r="AI38" s="49"/>
    </row>
    <row r="39" spans="2:35" s="7" customFormat="1" ht="24.6" customHeight="1" x14ac:dyDescent="0.2">
      <c r="B39" s="49"/>
      <c r="C39" s="53" t="s">
        <v>67</v>
      </c>
      <c r="D39" s="13"/>
      <c r="E39" s="58"/>
      <c r="F39" s="97" t="str">
        <f>IFERROR(POWER(P9/L9,1/2)-1,"")</f>
        <v/>
      </c>
      <c r="G39" s="49"/>
      <c r="H39" s="120"/>
      <c r="I39" s="13"/>
      <c r="J39" s="54" t="s">
        <v>16</v>
      </c>
      <c r="K39" s="54"/>
      <c r="L39" s="54" t="s">
        <v>18</v>
      </c>
      <c r="M39" s="54"/>
      <c r="N39" s="54" t="s">
        <v>19</v>
      </c>
      <c r="O39" s="54"/>
      <c r="P39" s="54" t="s">
        <v>20</v>
      </c>
      <c r="Q39" s="49"/>
      <c r="R39" s="49"/>
      <c r="S39" s="49"/>
      <c r="T39" s="155"/>
      <c r="U39" s="49"/>
      <c r="V39" s="49"/>
      <c r="W39" s="49"/>
      <c r="X39" s="49"/>
      <c r="Y39" s="49"/>
      <c r="Z39" s="58"/>
      <c r="AA39" s="49"/>
      <c r="AB39" s="58"/>
      <c r="AC39" s="49"/>
      <c r="AD39" s="58"/>
      <c r="AE39" s="49"/>
      <c r="AF39" s="58"/>
      <c r="AG39" s="49"/>
      <c r="AH39" s="58"/>
      <c r="AI39" s="49"/>
    </row>
    <row r="40" spans="2:35" s="7" customFormat="1" ht="24.6" customHeight="1" x14ac:dyDescent="0.2">
      <c r="B40" s="49"/>
      <c r="C40" s="56" t="s">
        <v>169</v>
      </c>
      <c r="D40" s="20"/>
      <c r="E40" s="64"/>
      <c r="F40" s="75" t="str">
        <f>IFERROR(POWER(P16/L16,1/2)-1,"")</f>
        <v/>
      </c>
      <c r="G40" s="70"/>
      <c r="H40" s="120"/>
      <c r="I40" s="20"/>
      <c r="J40" s="57" t="str">
        <f>YEAR(L7)&amp;"A"</f>
        <v>2024A</v>
      </c>
      <c r="K40" s="57"/>
      <c r="L40" s="57" t="str">
        <f>YEAR(N7)&amp;"E"</f>
        <v>2025E</v>
      </c>
      <c r="M40" s="57"/>
      <c r="N40" s="57" t="str">
        <f>YEAR(P7)&amp;"E"</f>
        <v>2026E</v>
      </c>
      <c r="O40" s="57"/>
      <c r="P40" s="57" t="str">
        <f>YEAR(R7)&amp;"E"</f>
        <v>2027E</v>
      </c>
      <c r="Q40" s="49"/>
      <c r="R40" s="49"/>
      <c r="S40" s="49"/>
      <c r="T40" s="155"/>
      <c r="U40" s="49"/>
      <c r="V40" s="51" t="s">
        <v>74</v>
      </c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49"/>
    </row>
    <row r="41" spans="2:35" s="7" customFormat="1" ht="24.6" customHeight="1" x14ac:dyDescent="0.2">
      <c r="B41" s="49"/>
      <c r="C41" s="53" t="s">
        <v>70</v>
      </c>
      <c r="D41" s="13"/>
      <c r="E41" s="59"/>
      <c r="F41" s="97" t="str">
        <f>IFERROR(POWER(P15/L15,1/2)-1,"")</f>
        <v/>
      </c>
      <c r="G41" s="49"/>
      <c r="H41" s="120"/>
      <c r="I41" s="53" t="s">
        <v>46</v>
      </c>
      <c r="J41" s="86" t="str">
        <f>IFERROR(ROUND($F$13/HLOOKUP(J23,$I$23:$P$36,5,0),1),"  NA")</f>
        <v xml:space="preserve">  NA</v>
      </c>
      <c r="K41" s="58"/>
      <c r="L41" s="86" t="str">
        <f>IFERROR(ROUND($F$13/HLOOKUP(L23,$I$23:$P$36,5,0),1),"  NA")</f>
        <v xml:space="preserve">  NA</v>
      </c>
      <c r="M41" s="58"/>
      <c r="N41" s="86" t="str">
        <f>IFERROR(ROUND($F$13/HLOOKUP(N23,$I$23:$P$36,5,0),1),"  NA")</f>
        <v xml:space="preserve">  NA</v>
      </c>
      <c r="O41" s="58"/>
      <c r="P41" s="86" t="str">
        <f>IFERROR(ROUND($F$13/HLOOKUP(P23,$I$23:$P$36,5,0),1),"  NA")</f>
        <v xml:space="preserve">  NA</v>
      </c>
      <c r="Q41" s="49"/>
      <c r="R41" s="157"/>
      <c r="S41" s="49"/>
      <c r="T41" s="49"/>
      <c r="U41" s="49"/>
      <c r="V41" s="98" t="s">
        <v>3</v>
      </c>
      <c r="W41" s="98" t="s">
        <v>4</v>
      </c>
      <c r="X41" s="99" t="s">
        <v>76</v>
      </c>
      <c r="Y41" s="99" t="s">
        <v>168</v>
      </c>
      <c r="Z41" s="99"/>
      <c r="AA41" s="99" t="s">
        <v>5</v>
      </c>
      <c r="AB41" s="99"/>
      <c r="AC41" s="99" t="s">
        <v>77</v>
      </c>
      <c r="AD41" s="99"/>
      <c r="AE41" s="99" t="s">
        <v>167</v>
      </c>
      <c r="AF41" s="99"/>
      <c r="AG41" s="99" t="s">
        <v>166</v>
      </c>
      <c r="AH41" s="98"/>
      <c r="AI41" s="49"/>
    </row>
    <row r="42" spans="2:35" s="7" customFormat="1" ht="24.6" customHeight="1" x14ac:dyDescent="0.2">
      <c r="B42" s="49"/>
      <c r="C42" s="56" t="s">
        <v>72</v>
      </c>
      <c r="D42" s="20"/>
      <c r="E42" s="64"/>
      <c r="F42" s="75" t="str">
        <f>IFERROR(POWER(P18/L18,1/2)-1,"")</f>
        <v/>
      </c>
      <c r="G42" s="70"/>
      <c r="H42" s="49"/>
      <c r="I42" s="56" t="s">
        <v>48</v>
      </c>
      <c r="J42" s="87" t="str">
        <f>IFERROR(ROUND($F$13/HLOOKUP(J23,$I$23:$P$36,4,0),2),"  NA")</f>
        <v xml:space="preserve">  NA</v>
      </c>
      <c r="K42" s="63"/>
      <c r="L42" s="87" t="str">
        <f>IFERROR(ROUND($F$13/HLOOKUP(L23,$I$23:$P$36,4,0),2),"  NA")</f>
        <v xml:space="preserve">  NA</v>
      </c>
      <c r="M42" s="63"/>
      <c r="N42" s="87" t="str">
        <f>IFERROR(ROUND($F$13/HLOOKUP(N23,$I$23:$P$36,4,0),2),"  NA")</f>
        <v xml:space="preserve">  NA</v>
      </c>
      <c r="O42" s="63"/>
      <c r="P42" s="87" t="str">
        <f>IFERROR(ROUND($F$13/HLOOKUP(P23,$I$23:$P$36,4,0),2),"  NA")</f>
        <v xml:space="preserve">  NA</v>
      </c>
      <c r="Q42" s="49"/>
      <c r="R42" s="155"/>
      <c r="S42" s="49"/>
      <c r="T42" s="49"/>
      <c r="U42" s="49"/>
      <c r="V42" s="100" t="str">
        <f>D2</f>
        <v>AAPL.O</v>
      </c>
      <c r="W42" s="101" t="str">
        <f>[1]!S_Info_Name(V42)</f>
        <v>苹果(APPLE)</v>
      </c>
      <c r="X42" s="65">
        <f>[1]!s_share_issuing_mkt(V42,Y42,10000)</f>
        <v>1544188.1</v>
      </c>
      <c r="Y42" s="102" t="str">
        <f>[1]!lastradeday_s(V42,F$2)</f>
        <v>2024-04-25</v>
      </c>
      <c r="Z42" s="102"/>
      <c r="AA42" s="71">
        <f>[1]!S_DQ_CLOSE(V42,Y42,1)</f>
        <v>169.89</v>
      </c>
      <c r="AB42" s="71"/>
      <c r="AC42" s="71" t="str">
        <f>[1]!hks_info_tradecur(V42)</f>
        <v>USD</v>
      </c>
      <c r="AD42" s="71"/>
      <c r="AE42" s="71">
        <f>IF([1]!hks_info_tradecur(V42)="CNY",1,[1]!S_DQ_CLOSE([1]!hks_info_tradecur(V42)&amp;"CNY.EX",Y42,1))</f>
        <v>7.1058000000000003</v>
      </c>
      <c r="AF42" s="71"/>
      <c r="AG42" s="91">
        <f>X42*AA42*AE42/10000</f>
        <v>186415.06100684922</v>
      </c>
      <c r="AH42" s="100"/>
      <c r="AI42" s="49"/>
    </row>
    <row r="43" spans="2:35" s="7" customFormat="1" ht="24.6" customHeight="1" x14ac:dyDescent="0.2">
      <c r="B43" s="49"/>
      <c r="C43" s="53" t="s">
        <v>73</v>
      </c>
      <c r="D43" s="13"/>
      <c r="E43" s="59"/>
      <c r="F43" s="97" t="str">
        <f>IFERROR(POWER(P10/L10,1/2)-1,"")</f>
        <v/>
      </c>
      <c r="G43" s="49"/>
      <c r="H43" s="49"/>
      <c r="I43" s="53" t="s">
        <v>53</v>
      </c>
      <c r="J43" s="127" t="str">
        <f>IFERROR(HLOOKUP(J23,$I$23:$P$36,6,0)/$F$13,"NA")</f>
        <v>NA</v>
      </c>
      <c r="K43" s="127"/>
      <c r="L43" s="127" t="str">
        <f>IFERROR(HLOOKUP(L23,$I$23:$P$36,6,0)/$F$13,"NA")</f>
        <v>NA</v>
      </c>
      <c r="M43" s="127"/>
      <c r="N43" s="127" t="str">
        <f>IFERROR(HLOOKUP(N23,$I$23:$P$36,6,0)/$F$13,"NA")</f>
        <v>NA</v>
      </c>
      <c r="O43" s="58"/>
      <c r="P43" s="127" t="str">
        <f>IFERROR(HLOOKUP(P23,$I$23:$P$36,6,0)/$F$13,"NA")</f>
        <v>NA</v>
      </c>
      <c r="Q43" s="49"/>
      <c r="R43" s="49"/>
      <c r="S43" s="49"/>
      <c r="T43" s="49"/>
      <c r="U43" s="49"/>
      <c r="V43" s="103">
        <f>[1]!s_info_asharewindcode(D2)</f>
        <v>0</v>
      </c>
      <c r="W43" s="103">
        <f>[1]!S_Info_Name(V43)</f>
        <v>0</v>
      </c>
      <c r="X43" s="60">
        <f>[1]!s_share_issuing_mkt(V43,Y43,10000)</f>
        <v>0</v>
      </c>
      <c r="Y43" s="104">
        <f>[1]!lastradeday_s(V43,F$2)</f>
        <v>0</v>
      </c>
      <c r="Z43" s="104"/>
      <c r="AA43" s="73">
        <f>[1]!S_DQ_CLOSE(V43,Y43,1)</f>
        <v>0</v>
      </c>
      <c r="AB43" s="73"/>
      <c r="AC43" s="73">
        <f>[1]!hks_info_tradecur(V43)</f>
        <v>0</v>
      </c>
      <c r="AD43" s="73"/>
      <c r="AE43" s="73">
        <f>IF([1]!hks_info_tradecur(V43)="CNY",1,[1]!S_DQ_CLOSE([1]!hks_info_tradecur(V43)&amp;"CNY.EX",Y43,1))</f>
        <v>0</v>
      </c>
      <c r="AF43" s="73"/>
      <c r="AG43" s="92">
        <f>X43*AA43*AE43/10000</f>
        <v>0</v>
      </c>
      <c r="AH43" s="103"/>
      <c r="AI43" s="49"/>
    </row>
    <row r="44" spans="2:35" s="7" customFormat="1" ht="24.6" customHeight="1" x14ac:dyDescent="0.2">
      <c r="B44" s="49"/>
      <c r="C44" s="56" t="s">
        <v>75</v>
      </c>
      <c r="D44" s="20"/>
      <c r="E44" s="64"/>
      <c r="F44" s="75">
        <f>IFERROR(POWER(P11/L11,1/2)-1,"")</f>
        <v>1.0936411663256274</v>
      </c>
      <c r="G44" s="70"/>
      <c r="H44" s="49"/>
      <c r="I44" s="56" t="s">
        <v>30</v>
      </c>
      <c r="J44" s="90" t="str">
        <f>IFERROR(HLOOKUP(J23,$I$23:$P$36,7,0),"NA")</f>
        <v>NA</v>
      </c>
      <c r="K44" s="63"/>
      <c r="L44" s="90" t="str">
        <f>IFERROR(HLOOKUP(L23,$I$23:$P$36,7,0),"NA")</f>
        <v>NA</v>
      </c>
      <c r="M44" s="63"/>
      <c r="N44" s="90" t="str">
        <f>IFERROR(HLOOKUP(N23,$I$23:$P$36,7,0),"NA")</f>
        <v>NA</v>
      </c>
      <c r="O44" s="63"/>
      <c r="P44" s="90" t="str">
        <f>IFERROR(HLOOKUP(P23,$I$23:$P$36,7,0),"NA")</f>
        <v>NA</v>
      </c>
      <c r="Q44" s="49"/>
      <c r="R44" s="158"/>
      <c r="S44" s="49"/>
      <c r="T44" s="49"/>
      <c r="U44" s="49"/>
      <c r="V44" s="101"/>
      <c r="W44" s="101">
        <f>[1]!S_Info_Name(V44)</f>
        <v>0</v>
      </c>
      <c r="X44" s="65">
        <f>[1]!s_share_issuing_mkt(V44,Y44,10000)</f>
        <v>0</v>
      </c>
      <c r="Y44" s="102">
        <f>[1]!lastradeday_s(V44,F$2)</f>
        <v>0</v>
      </c>
      <c r="Z44" s="102"/>
      <c r="AA44" s="71">
        <f>[1]!S_DQ_CLOSE(V44,Y44,1)</f>
        <v>0</v>
      </c>
      <c r="AB44" s="71"/>
      <c r="AC44" s="71">
        <f>[1]!hks_info_tradecur(V44)</f>
        <v>0</v>
      </c>
      <c r="AD44" s="71"/>
      <c r="AE44" s="71">
        <f>IF([1]!hks_info_tradecur(V44)="CNY",1,[1]!S_DQ_CLOSE([1]!hks_info_tradecur(V44)&amp;"CNY.EX",Y44,1))</f>
        <v>0</v>
      </c>
      <c r="AF44" s="71"/>
      <c r="AG44" s="91">
        <f>X44*AA44*AE44/10000</f>
        <v>0</v>
      </c>
      <c r="AH44" s="101"/>
      <c r="AI44" s="49"/>
    </row>
    <row r="45" spans="2:35" s="7" customFormat="1" ht="24.6" customHeight="1" x14ac:dyDescent="0.2">
      <c r="B45" s="49"/>
      <c r="C45" s="53" t="s">
        <v>78</v>
      </c>
      <c r="D45" s="13"/>
      <c r="E45" s="58"/>
      <c r="F45" s="97" t="str">
        <f>IFERROR(POWER(P14/L14,1/2)-1,"")</f>
        <v/>
      </c>
      <c r="G45" s="49"/>
      <c r="H45" s="49"/>
      <c r="I45" s="53" t="s">
        <v>32</v>
      </c>
      <c r="J45" s="79" t="str">
        <f>IFERROR(HLOOKUP(J23,$I$23:$P$36,8,0),"NA")</f>
        <v>NA</v>
      </c>
      <c r="K45" s="58"/>
      <c r="L45" s="79" t="str">
        <f>IFERROR(HLOOKUP(L23,$I$23:$P$36,8,0),"NA")</f>
        <v>NA</v>
      </c>
      <c r="M45" s="58"/>
      <c r="N45" s="79" t="str">
        <f>IFERROR(HLOOKUP(N23,$I$23:$P$36,8,0),"NA")</f>
        <v>NA</v>
      </c>
      <c r="O45" s="58"/>
      <c r="P45" s="79" t="str">
        <f>IFERROR(HLOOKUP(P23,$I$23:$P$36,8,0),"NA")</f>
        <v>NA</v>
      </c>
      <c r="Q45" s="49"/>
      <c r="R45" s="49"/>
      <c r="S45" s="49"/>
      <c r="T45" s="49"/>
      <c r="U45" s="49"/>
      <c r="V45" s="103"/>
      <c r="W45" s="103">
        <f>[1]!S_Info_Name(V45)</f>
        <v>0</v>
      </c>
      <c r="X45" s="60">
        <f>[1]!s_share_issuing_mkt(V45,Y45,10000)</f>
        <v>0</v>
      </c>
      <c r="Y45" s="104">
        <f>[1]!lastradeday_s(V45,F$2)</f>
        <v>0</v>
      </c>
      <c r="Z45" s="104"/>
      <c r="AA45" s="73">
        <f>[1]!S_DQ_CLOSE(V45,Y45,1)</f>
        <v>0</v>
      </c>
      <c r="AB45" s="73"/>
      <c r="AC45" s="73">
        <f>[1]!hks_info_tradecur(V45)</f>
        <v>0</v>
      </c>
      <c r="AD45" s="73"/>
      <c r="AE45" s="73">
        <f>IF([1]!hks_info_tradecur(V45)="CNY",1,[1]!S_DQ_CLOSE([1]!hks_info_tradecur(V45)&amp;"CNY.EX",Y45,1))</f>
        <v>0</v>
      </c>
      <c r="AF45" s="73"/>
      <c r="AG45" s="92">
        <f>X45*AA45*AE45/10000</f>
        <v>0</v>
      </c>
      <c r="AH45" s="103"/>
      <c r="AI45" s="49"/>
    </row>
    <row r="46" spans="2:35" s="7" customFormat="1" ht="24.6" customHeight="1" thickBot="1" x14ac:dyDescent="0.25">
      <c r="B46" s="49"/>
      <c r="C46" s="61" t="s">
        <v>215</v>
      </c>
      <c r="D46" s="62"/>
      <c r="E46" s="94"/>
      <c r="F46" s="128" t="str">
        <f>IFERROR(POWER(P19/L19,1/2)-1,"")</f>
        <v/>
      </c>
      <c r="G46" s="94"/>
      <c r="H46" s="49"/>
      <c r="I46" s="56" t="s">
        <v>34</v>
      </c>
      <c r="J46" s="91" t="str">
        <f>IFERROR(ROUND(HLOOKUP(J23,$I$23:$P$36,9,0),2),"NA")</f>
        <v>NA</v>
      </c>
      <c r="K46" s="64"/>
      <c r="L46" s="91" t="str">
        <f>IFERROR(ROUND(HLOOKUP(L23,$I$23:$P$36,9,0),2),"NA")</f>
        <v>NA</v>
      </c>
      <c r="M46" s="64"/>
      <c r="N46" s="91" t="str">
        <f>IFERROR(ROUND(HLOOKUP(N23,$I$23:$P$36,9,0),2),"NA")</f>
        <v>NA</v>
      </c>
      <c r="O46" s="64"/>
      <c r="P46" s="91" t="str">
        <f>IFERROR(ROUND(HLOOKUP(P23,$I$23:$P$36,9,0),2),"NA")</f>
        <v>NA</v>
      </c>
      <c r="Q46" s="49"/>
      <c r="R46" s="49"/>
      <c r="S46" s="49"/>
      <c r="T46" s="49"/>
      <c r="U46" s="49"/>
      <c r="V46" s="107"/>
      <c r="W46" s="108" t="s">
        <v>79</v>
      </c>
      <c r="X46" s="109">
        <f>SUM(X42:X45)</f>
        <v>1544188.1</v>
      </c>
      <c r="Y46" s="94"/>
      <c r="Z46" s="94"/>
      <c r="AA46" s="94"/>
      <c r="AB46" s="94"/>
      <c r="AC46" s="94"/>
      <c r="AD46" s="94"/>
      <c r="AE46" s="109" t="s">
        <v>79</v>
      </c>
      <c r="AF46" s="110"/>
      <c r="AG46" s="140">
        <f>SUM(AG42:AG45)</f>
        <v>186415.06100684922</v>
      </c>
      <c r="AH46" s="107"/>
      <c r="AI46" s="49"/>
    </row>
    <row r="47" spans="2:35" s="7" customFormat="1" ht="24.6" customHeight="1" x14ac:dyDescent="0.2">
      <c r="B47" s="49"/>
      <c r="C47" s="49"/>
      <c r="D47" s="129"/>
      <c r="E47" s="49"/>
      <c r="F47" s="49"/>
      <c r="G47" s="129"/>
      <c r="H47" s="49"/>
      <c r="I47" s="53" t="s">
        <v>35</v>
      </c>
      <c r="J47" s="92" t="str">
        <f>IFERROR(ROUND(HLOOKUP(J23,$I$23:$P$36,10,0),2),"NA")</f>
        <v>NA</v>
      </c>
      <c r="K47" s="59"/>
      <c r="L47" s="92" t="str">
        <f>IFERROR(ROUND(HLOOKUP(L23,$I$23:$P$36,10,0),2),"NA")</f>
        <v>NA</v>
      </c>
      <c r="M47" s="59"/>
      <c r="N47" s="92" t="str">
        <f>IFERROR(ROUND(HLOOKUP(N23,$I$23:$P$36,10,0),2),"NA")</f>
        <v>NA</v>
      </c>
      <c r="O47" s="59"/>
      <c r="P47" s="92" t="str">
        <f>IFERROR(ROUND(HLOOKUP(P23,$I$23:$P$36,10,0),2),"NA")</f>
        <v>NA</v>
      </c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130"/>
      <c r="AI47" s="49"/>
    </row>
    <row r="48" spans="2:35" s="7" customFormat="1" ht="24.6" customHeight="1" x14ac:dyDescent="0.2">
      <c r="B48" s="49"/>
      <c r="C48" s="129"/>
      <c r="D48" s="49"/>
      <c r="E48" s="49"/>
      <c r="F48" s="160"/>
      <c r="G48" s="49"/>
      <c r="H48" s="49"/>
      <c r="I48" s="56" t="s">
        <v>36</v>
      </c>
      <c r="J48" s="91" t="str">
        <f>IFERROR(ROUND(HLOOKUP(J23,$I$23:$P$36,11,0),2),"NA")</f>
        <v>NA</v>
      </c>
      <c r="K48" s="64"/>
      <c r="L48" s="91" t="str">
        <f>IFERROR(ROUND(HLOOKUP(L23,$I$23:$P$36,11,0),2),"NA")</f>
        <v>NA</v>
      </c>
      <c r="M48" s="64"/>
      <c r="N48" s="91" t="str">
        <f>IFERROR(ROUND(HLOOKUP(N23,$I$23:$P$36,11,0),2),"NA")</f>
        <v>NA</v>
      </c>
      <c r="O48" s="64"/>
      <c r="P48" s="91" t="str">
        <f>IFERROR(ROUND(HLOOKUP(P23,$I$23:$P$36,11,0),2),"NA")</f>
        <v>NA</v>
      </c>
      <c r="Q48" s="49"/>
      <c r="R48" s="49"/>
      <c r="S48" s="49"/>
      <c r="T48" s="49"/>
      <c r="U48" s="49"/>
      <c r="V48" s="49"/>
      <c r="W48" s="49"/>
      <c r="X48" s="131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</row>
    <row r="49" spans="2:35" s="7" customFormat="1" ht="24.6" customHeight="1" x14ac:dyDescent="0.2">
      <c r="B49" s="49"/>
      <c r="C49" s="129"/>
      <c r="D49" s="49"/>
      <c r="E49" s="49"/>
      <c r="F49" s="129"/>
      <c r="G49" s="49"/>
      <c r="H49" s="49"/>
      <c r="I49" s="53" t="s">
        <v>38</v>
      </c>
      <c r="J49" s="92" t="str">
        <f>IFERROR(ROUND(HLOOKUP(J23,$I$23:$P$36,12,0),2),"NA")</f>
        <v>NA</v>
      </c>
      <c r="K49" s="59"/>
      <c r="L49" s="92" t="str">
        <f>IFERROR(ROUND(HLOOKUP(L23,$I$23:$P$36,12,0),2),"NA")</f>
        <v>NA</v>
      </c>
      <c r="M49" s="59"/>
      <c r="N49" s="92" t="str">
        <f>IFERROR(ROUND(HLOOKUP(N23,$I$23:$P$36,12,0),2),"NA")</f>
        <v>NA</v>
      </c>
      <c r="O49" s="59"/>
      <c r="P49" s="92" t="str">
        <f>IFERROR(ROUND(HLOOKUP(P23,$I$23:$P$36,12,0),2),"NA")</f>
        <v>NA</v>
      </c>
      <c r="Q49" s="49"/>
      <c r="R49" s="49"/>
      <c r="S49" s="49"/>
      <c r="T49" s="49"/>
      <c r="U49" s="49"/>
      <c r="V49" s="49"/>
      <c r="W49" s="49"/>
      <c r="X49" s="139"/>
      <c r="Y49" s="49"/>
      <c r="Z49" s="105"/>
      <c r="AA49" s="49"/>
      <c r="AB49" s="105"/>
      <c r="AC49" s="49"/>
      <c r="AD49" s="105"/>
      <c r="AE49" s="49"/>
      <c r="AF49" s="105"/>
      <c r="AG49" s="49"/>
      <c r="AH49" s="105"/>
      <c r="AI49" s="49"/>
    </row>
    <row r="50" spans="2:35" s="7" customFormat="1" ht="24.6" customHeight="1" x14ac:dyDescent="0.2">
      <c r="B50" s="49"/>
      <c r="C50" s="49"/>
      <c r="D50" s="49"/>
      <c r="E50" s="49"/>
      <c r="F50" s="49"/>
      <c r="G50" s="49"/>
      <c r="H50" s="49"/>
      <c r="I50" s="56" t="s">
        <v>39</v>
      </c>
      <c r="J50" s="91" t="str">
        <f>IFERROR(ROUND(HLOOKUP(J23,$I$23:$P$36,13,0),2),"NA")</f>
        <v>NA</v>
      </c>
      <c r="K50" s="64"/>
      <c r="L50" s="91" t="str">
        <f>IFERROR(ROUND(HLOOKUP(L23,$I$23:$P$36,13,0),2),"NA")</f>
        <v>NA</v>
      </c>
      <c r="M50" s="64"/>
      <c r="N50" s="91" t="str">
        <f>IFERROR(ROUND(HLOOKUP(N23,$I$23:$P$36,13,0),2),"NA")</f>
        <v>NA</v>
      </c>
      <c r="O50" s="64"/>
      <c r="P50" s="91" t="str">
        <f>IFERROR(ROUND(HLOOKUP(P23,$I$23:$P$36,13,0),2),"NA")</f>
        <v>NA</v>
      </c>
      <c r="Q50" s="49"/>
      <c r="R50" s="49"/>
      <c r="S50" s="49"/>
      <c r="T50" s="49"/>
      <c r="U50" s="49"/>
      <c r="V50" s="49"/>
      <c r="W50" s="49"/>
      <c r="X50" s="49"/>
      <c r="Y50" s="49"/>
      <c r="Z50" s="105"/>
      <c r="AA50" s="49"/>
      <c r="AB50" s="105"/>
      <c r="AC50" s="49"/>
      <c r="AD50" s="105"/>
      <c r="AE50" s="49"/>
      <c r="AF50" s="105"/>
      <c r="AG50" s="49"/>
      <c r="AH50" s="105"/>
      <c r="AI50" s="49"/>
    </row>
    <row r="51" spans="2:35" s="7" customFormat="1" ht="24.6" customHeight="1" thickBot="1" x14ac:dyDescent="0.25">
      <c r="B51" s="49"/>
      <c r="C51" s="129"/>
      <c r="D51" s="49"/>
      <c r="E51" s="49"/>
      <c r="F51" s="129"/>
      <c r="G51" s="49"/>
      <c r="H51" s="49"/>
      <c r="I51" s="76" t="s">
        <v>42</v>
      </c>
      <c r="J51" s="132" t="str">
        <f>IFERROR(ROUND(HLOOKUP(J23,$I$23:$P$36,14,0),2),"NA")</f>
        <v>NA</v>
      </c>
      <c r="K51" s="77"/>
      <c r="L51" s="132" t="str">
        <f>IFERROR(ROUND(HLOOKUP(L23,$I$23:$P$36,14,0),2),"NA")</f>
        <v>NA</v>
      </c>
      <c r="M51" s="77"/>
      <c r="N51" s="132" t="str">
        <f>IFERROR(ROUND(HLOOKUP(N23,$I$23:$P$36,14,0),2),"NA")</f>
        <v>NA</v>
      </c>
      <c r="O51" s="77"/>
      <c r="P51" s="132" t="str">
        <f>IFERROR(ROUND(HLOOKUP(P23,$I$23:$P$36,14,0),2),"NA")</f>
        <v>NA</v>
      </c>
      <c r="Q51" s="49"/>
      <c r="R51" s="49"/>
      <c r="S51" s="49"/>
      <c r="T51" s="49"/>
      <c r="U51" s="49"/>
      <c r="V51" s="49"/>
      <c r="W51" s="49"/>
      <c r="X51" s="49"/>
      <c r="Y51" s="49"/>
      <c r="Z51" s="105"/>
      <c r="AA51" s="49"/>
      <c r="AB51" s="105"/>
      <c r="AC51" s="49"/>
      <c r="AD51" s="105"/>
      <c r="AE51" s="49"/>
      <c r="AF51" s="105"/>
      <c r="AG51" s="49"/>
      <c r="AH51" s="105"/>
      <c r="AI51" s="49"/>
    </row>
    <row r="52" spans="2:35" s="7" customFormat="1" ht="24.6" customHeight="1" x14ac:dyDescent="0.2">
      <c r="B52" s="49"/>
      <c r="C52" s="129"/>
      <c r="D52" s="49"/>
      <c r="E52" s="49"/>
      <c r="F52" s="12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155"/>
      <c r="W52" s="49"/>
      <c r="X52" s="49"/>
      <c r="Y52" s="49"/>
      <c r="Z52" s="105"/>
      <c r="AA52" s="49"/>
      <c r="AB52" s="105"/>
      <c r="AC52" s="49"/>
      <c r="AD52" s="105"/>
      <c r="AE52" s="49"/>
      <c r="AF52" s="105"/>
      <c r="AG52" s="49"/>
      <c r="AH52" s="105"/>
      <c r="AI52" s="49"/>
    </row>
    <row r="53" spans="2:35" s="7" customFormat="1" ht="24.6" customHeight="1" x14ac:dyDescent="0.2">
      <c r="B53" s="49"/>
      <c r="C53" s="49"/>
      <c r="D53" s="49"/>
      <c r="E53" s="49"/>
      <c r="F53" s="49"/>
      <c r="G53" s="49"/>
      <c r="H53" s="49"/>
      <c r="I53" s="51" t="s">
        <v>206</v>
      </c>
      <c r="J53" s="51"/>
      <c r="K53" s="51"/>
      <c r="L53" s="51"/>
      <c r="M53" s="51"/>
      <c r="N53" s="51"/>
      <c r="O53" s="51"/>
      <c r="P53" s="51"/>
      <c r="Q53" s="49"/>
      <c r="R53" s="49"/>
      <c r="S53" s="49"/>
      <c r="T53" s="155"/>
      <c r="U53" s="49"/>
      <c r="V53" s="49"/>
      <c r="W53" s="49"/>
      <c r="X53" s="49"/>
      <c r="Y53" s="49"/>
      <c r="Z53" s="105"/>
      <c r="AA53" s="49"/>
      <c r="AB53" s="105"/>
      <c r="AC53" s="49"/>
      <c r="AD53" s="105"/>
      <c r="AE53" s="49"/>
      <c r="AF53" s="105"/>
      <c r="AG53" s="49"/>
      <c r="AH53" s="105"/>
      <c r="AI53" s="49"/>
    </row>
    <row r="54" spans="2:35" s="7" customFormat="1" ht="24.6" customHeight="1" x14ac:dyDescent="0.2">
      <c r="B54" s="49"/>
      <c r="C54" s="129"/>
      <c r="D54" s="49"/>
      <c r="E54" s="49"/>
      <c r="F54" s="168"/>
      <c r="G54" s="49"/>
      <c r="H54" s="49"/>
      <c r="I54" s="13"/>
      <c r="J54" s="54" t="s">
        <v>16</v>
      </c>
      <c r="K54" s="54"/>
      <c r="L54" s="54" t="s">
        <v>18</v>
      </c>
      <c r="M54" s="54"/>
      <c r="N54" s="54" t="s">
        <v>19</v>
      </c>
      <c r="O54" s="54"/>
      <c r="P54" s="54" t="s">
        <v>20</v>
      </c>
      <c r="Q54" s="49"/>
      <c r="R54" s="49"/>
      <c r="S54" s="49"/>
      <c r="T54" s="49"/>
      <c r="U54" s="49"/>
      <c r="V54" s="49"/>
      <c r="W54" s="49"/>
      <c r="X54" s="49"/>
      <c r="Y54" s="49"/>
      <c r="Z54" s="105"/>
      <c r="AA54" s="49"/>
      <c r="AB54" s="105"/>
      <c r="AC54" s="49"/>
      <c r="AD54" s="105"/>
      <c r="AE54" s="49"/>
      <c r="AF54" s="105"/>
      <c r="AG54" s="49"/>
      <c r="AH54" s="105"/>
      <c r="AI54" s="49"/>
    </row>
    <row r="55" spans="2:35" s="7" customFormat="1" ht="24.6" customHeight="1" x14ac:dyDescent="0.2">
      <c r="B55" s="49"/>
      <c r="C55" s="129"/>
      <c r="D55" s="49"/>
      <c r="E55" s="49"/>
      <c r="F55" s="160"/>
      <c r="G55" s="49"/>
      <c r="H55" s="49"/>
      <c r="I55" s="20"/>
      <c r="J55" s="57" t="str">
        <f>YEAR(L7)&amp;"A"</f>
        <v>2024A</v>
      </c>
      <c r="K55" s="57"/>
      <c r="L55" s="57" t="str">
        <f>YEAR(N7)&amp;"E"</f>
        <v>2025E</v>
      </c>
      <c r="M55" s="57"/>
      <c r="N55" s="57" t="str">
        <f>YEAR(P7)&amp;"E"</f>
        <v>2026E</v>
      </c>
      <c r="O55" s="57"/>
      <c r="P55" s="57" t="str">
        <f>YEAR(R7)&amp;"E"</f>
        <v>2027E</v>
      </c>
      <c r="Q55" s="49"/>
      <c r="R55" s="49"/>
      <c r="S55" s="49"/>
      <c r="T55" s="156"/>
      <c r="U55" s="49"/>
      <c r="V55" s="156"/>
      <c r="W55" s="49"/>
      <c r="X55" s="49"/>
      <c r="Y55" s="49"/>
      <c r="Z55" s="105"/>
      <c r="AA55" s="49"/>
      <c r="AB55" s="105"/>
      <c r="AC55" s="49"/>
      <c r="AD55" s="105"/>
      <c r="AE55" s="49"/>
      <c r="AF55" s="105"/>
      <c r="AG55" s="49"/>
      <c r="AH55" s="105"/>
      <c r="AI55" s="49"/>
    </row>
    <row r="56" spans="2:35" s="7" customFormat="1" ht="24.6" customHeight="1" x14ac:dyDescent="0.2">
      <c r="B56" s="49"/>
      <c r="C56" s="49"/>
      <c r="D56" s="49"/>
      <c r="E56" s="49"/>
      <c r="F56" s="49"/>
      <c r="G56" s="49"/>
      <c r="H56" s="49"/>
      <c r="I56" s="53" t="s">
        <v>46</v>
      </c>
      <c r="J56" s="86" t="str">
        <f>IFERROR(ROUND($F$13/HLOOKUP(DATE(LEFT(J55,4),LEFT($F22,2)+1,0),$K$7:$R$19,4,0),2),"  NA")</f>
        <v xml:space="preserve">  NA</v>
      </c>
      <c r="K56" s="86"/>
      <c r="L56" s="86" t="str">
        <f t="shared" ref="L56:P56" si="5">IFERROR(ROUND($F$13/HLOOKUP(DATE(LEFT(L55,4),LEFT($F22,2)+1,0),$K$7:$R$19,4,0),2),"  NA")</f>
        <v xml:space="preserve">  NA</v>
      </c>
      <c r="M56" s="86"/>
      <c r="N56" s="86">
        <f>IFERROR(ROUND($F$13/HLOOKUP(DATE(LEFT(N55,4),LEFT($F22,2)+1,0),$K$7:$R$19,4,0),2),"  NA")</f>
        <v>21.76</v>
      </c>
      <c r="O56" s="86" t="str">
        <f t="shared" si="5"/>
        <v xml:space="preserve">  NA</v>
      </c>
      <c r="P56" s="86" t="str">
        <f t="shared" si="5"/>
        <v xml:space="preserve">  NA</v>
      </c>
      <c r="Q56" s="49"/>
      <c r="R56" s="49"/>
      <c r="S56" s="49"/>
      <c r="T56" s="156"/>
      <c r="U56" s="49"/>
      <c r="V56" s="49"/>
      <c r="W56" s="49"/>
      <c r="X56" s="49"/>
      <c r="Y56" s="49"/>
      <c r="Z56" s="105"/>
      <c r="AA56" s="49"/>
      <c r="AB56" s="105"/>
      <c r="AC56" s="49"/>
      <c r="AD56" s="105"/>
      <c r="AE56" s="49"/>
      <c r="AF56" s="105"/>
      <c r="AG56" s="49"/>
      <c r="AH56" s="105"/>
      <c r="AI56" s="49"/>
    </row>
    <row r="57" spans="2:35" s="7" customFormat="1" ht="24.6" customHeight="1" x14ac:dyDescent="0.2">
      <c r="B57" s="105"/>
      <c r="C57" s="49"/>
      <c r="D57" s="49"/>
      <c r="E57" s="111"/>
      <c r="F57" s="49"/>
      <c r="G57" s="49"/>
      <c r="H57" s="49"/>
      <c r="I57" s="56" t="s">
        <v>48</v>
      </c>
      <c r="J57" s="87" t="str">
        <f>IFERROR(ROUND($F$13/HLOOKUP(DATE(LEFT(J55,4),LEFT($F22,2)+1,0),$I$7:$R$19,3,0),2),"  NA")</f>
        <v xml:space="preserve">  NA</v>
      </c>
      <c r="K57" s="63"/>
      <c r="L57" s="87" t="str">
        <f>IFERROR(ROUND($F$13/HLOOKUP(DATE(LEFT(L55,4),LEFT($F22,2)+1,0),$K$7:$R$19,3,0),2),"  NA")</f>
        <v xml:space="preserve">  NA</v>
      </c>
      <c r="M57" s="63"/>
      <c r="N57" s="87">
        <f>IFERROR(ROUND($F$13/HLOOKUP(DATE(LEFT(N55,4),LEFT($F22,2)+1,0),$K$7:$R$19,3,0),2),"  NA")</f>
        <v>22.61</v>
      </c>
      <c r="O57" s="63"/>
      <c r="P57" s="87" t="str">
        <f>IFERROR(ROUND($F$13/HLOOKUP(DATE(LEFT(P55,4),LEFT($F22,2)+1,0),$K$7:$R$19,3,0),2),"  NA")</f>
        <v xml:space="preserve">  NA</v>
      </c>
      <c r="Q57" s="49"/>
      <c r="R57" s="49"/>
      <c r="S57" s="49"/>
      <c r="T57" s="49"/>
      <c r="U57" s="49"/>
      <c r="V57" s="49"/>
      <c r="W57" s="49"/>
      <c r="X57" s="49"/>
      <c r="Y57" s="49"/>
      <c r="Z57" s="105"/>
      <c r="AA57" s="49"/>
      <c r="AB57" s="105"/>
      <c r="AC57" s="49"/>
      <c r="AD57" s="105"/>
      <c r="AE57" s="49"/>
      <c r="AF57" s="105"/>
      <c r="AG57" s="49"/>
      <c r="AH57" s="105"/>
      <c r="AI57" s="49"/>
    </row>
    <row r="58" spans="2:35" s="7" customFormat="1" ht="24.6" customHeight="1" x14ac:dyDescent="0.2">
      <c r="B58" s="105"/>
      <c r="C58" s="49"/>
      <c r="D58" s="49"/>
      <c r="E58" s="111"/>
      <c r="F58" s="49"/>
      <c r="G58" s="49"/>
      <c r="H58" s="49"/>
      <c r="I58" s="53" t="s">
        <v>53</v>
      </c>
      <c r="J58" s="127">
        <f>IFERROR(HLOOKUP(DATE(LEFT(J55,4),LEFT($F22,2)+1,0),$L$7:$S$19,5,0)/$F$13,"NA")</f>
        <v>1.4126787921596327E-3</v>
      </c>
      <c r="K58" s="127"/>
      <c r="L58" s="127" t="str">
        <f>IFERROR(HLOOKUP(DATE(LEFT(L55,4),LEFT($F22,2)+1,0),$L$7:$S$19,5,0)/$F$13,"NA")</f>
        <v>NA</v>
      </c>
      <c r="M58" s="127"/>
      <c r="N58" s="127">
        <f>IFERROR(HLOOKUP(DATE(LEFT(N55,4),LEFT($F22,2)+1,0),$L$7:$S$19,5,0)/$F$13,"NA")</f>
        <v>6.1922420389663906E-3</v>
      </c>
      <c r="O58" s="58"/>
      <c r="P58" s="127" t="str">
        <f>IFERROR(HLOOKUP(DATE(LEFT(P55,4),LEFT($F22,2)+1,0),$L$7:$S$19,5,0)/$F$13,"NA")</f>
        <v>NA</v>
      </c>
      <c r="Q58" s="49"/>
      <c r="R58" s="49"/>
      <c r="S58" s="49"/>
      <c r="T58" s="49"/>
      <c r="U58" s="49"/>
      <c r="V58" s="49"/>
      <c r="W58" s="49"/>
      <c r="X58" s="49"/>
      <c r="Y58" s="49"/>
      <c r="Z58" s="105"/>
      <c r="AA58" s="49"/>
      <c r="AB58" s="105"/>
      <c r="AC58" s="49"/>
      <c r="AD58" s="105"/>
      <c r="AE58" s="49"/>
      <c r="AF58" s="105"/>
      <c r="AG58" s="49"/>
      <c r="AH58" s="105"/>
      <c r="AI58" s="49"/>
    </row>
    <row r="59" spans="2:35" s="7" customFormat="1" ht="24.6" customHeight="1" x14ac:dyDescent="0.2">
      <c r="B59" s="105"/>
      <c r="C59" s="49"/>
      <c r="D59" s="49"/>
      <c r="E59" s="105"/>
      <c r="F59" s="49"/>
      <c r="G59" s="49"/>
      <c r="H59" s="49"/>
      <c r="I59" s="56" t="s">
        <v>30</v>
      </c>
      <c r="J59" s="90">
        <f>IFERROR(HLOOKUP(DATE(LEFT(J55,4),LEFT($F22,2)+1,0),$L$7:$R$19,6,0),"NA")</f>
        <v>0</v>
      </c>
      <c r="K59" s="63"/>
      <c r="L59" s="90" t="str">
        <f>IFERROR(HLOOKUP(DATE(LEFT(L55,4),LEFT($F22,2)+1,0),$L$7:$R$19,6,0),"NA")</f>
        <v>NA</v>
      </c>
      <c r="M59" s="63"/>
      <c r="N59" s="90">
        <f>IFERROR(HLOOKUP(DATE(LEFT(N55,4),LEFT($F22,2)+1,0),$L$7:$R$19,6,0),"NA")</f>
        <v>0.90974999999999995</v>
      </c>
      <c r="O59" s="63"/>
      <c r="P59" s="90" t="str">
        <f>IFERROR(HLOOKUP(DATE(LEFT(P55,4),LEFT($F22,2)+1,0),$L$7:$R$19,6,0),"NA")</f>
        <v>NA</v>
      </c>
      <c r="Q59" s="49"/>
      <c r="R59" s="49"/>
      <c r="S59" s="49"/>
      <c r="T59" s="49"/>
      <c r="U59" s="49"/>
      <c r="V59" s="49"/>
      <c r="W59" s="49"/>
      <c r="X59" s="49"/>
      <c r="Y59" s="49"/>
      <c r="Z59" s="105"/>
      <c r="AA59" s="49"/>
      <c r="AB59" s="105"/>
      <c r="AC59" s="49"/>
      <c r="AD59" s="105"/>
      <c r="AE59" s="49"/>
      <c r="AF59" s="105"/>
      <c r="AG59" s="49"/>
      <c r="AH59" s="105"/>
      <c r="AI59" s="49"/>
    </row>
    <row r="60" spans="2:35" s="7" customFormat="1" ht="24.6" customHeight="1" x14ac:dyDescent="0.2">
      <c r="B60" s="105"/>
      <c r="C60" s="49"/>
      <c r="D60" s="49"/>
      <c r="E60" s="105"/>
      <c r="F60" s="49"/>
      <c r="G60" s="133"/>
      <c r="H60" s="49"/>
      <c r="I60" s="53" t="s">
        <v>32</v>
      </c>
      <c r="J60" s="79">
        <f>IFERROR(HLOOKUP(DATE(LEFT(J55,4),LEFT($F22,2)+1,0),$L$7:$S$19,7,0),"NA")</f>
        <v>0</v>
      </c>
      <c r="K60" s="58"/>
      <c r="L60" s="79" t="str">
        <f>IFERROR(HLOOKUP(DATE(LEFT(L55,4),LEFT($F22,2)+1,0),$L$7:$S$19,7,0),"NA")</f>
        <v>NA</v>
      </c>
      <c r="M60" s="58"/>
      <c r="N60" s="79">
        <f>IFERROR(HLOOKUP(DATE(LEFT(N55,4),LEFT($F22,2)+1,0),$L$7:$S$19,7,0),"NA")</f>
        <v>0.23300000000000001</v>
      </c>
      <c r="O60" s="58"/>
      <c r="P60" s="79" t="str">
        <f>IFERROR(HLOOKUP(DATE(LEFT(P55,4),LEFT($F22,2)+1,0),$L$7:$S$19,7,0),"NA")</f>
        <v>NA</v>
      </c>
      <c r="Q60" s="49"/>
      <c r="R60" s="49"/>
      <c r="S60" s="49"/>
      <c r="T60" s="49"/>
      <c r="U60" s="49"/>
      <c r="V60" s="49"/>
      <c r="W60" s="49"/>
      <c r="X60" s="49"/>
      <c r="Y60" s="49"/>
      <c r="Z60" s="105"/>
      <c r="AA60" s="49"/>
      <c r="AB60" s="105"/>
      <c r="AC60" s="49"/>
      <c r="AD60" s="105"/>
      <c r="AE60" s="49"/>
      <c r="AF60" s="105"/>
      <c r="AG60" s="49"/>
      <c r="AH60" s="105"/>
      <c r="AI60" s="49"/>
    </row>
    <row r="61" spans="2:35" s="7" customFormat="1" ht="24.6" customHeight="1" x14ac:dyDescent="0.2">
      <c r="B61" s="105"/>
      <c r="C61" s="49"/>
      <c r="D61" s="49"/>
      <c r="E61" s="105"/>
      <c r="F61" s="49"/>
      <c r="G61" s="134"/>
      <c r="H61" s="49"/>
      <c r="I61" s="56" t="s">
        <v>34</v>
      </c>
      <c r="J61" s="91">
        <f>IFERROR(ROUND(HLOOKUP(DATE(LEFT(J40,4),LEFT($F22,2)+1,0),$K$7:$R$19,8,0),2),"NA")</f>
        <v>0</v>
      </c>
      <c r="K61" s="64"/>
      <c r="L61" s="91" t="str">
        <f>IFERROR(ROUND(HLOOKUP(DATE(LEFT(L40,4),LEFT($F22,2)+1,0),$K$7:$R$19,8,0),2),"NA")</f>
        <v>NA</v>
      </c>
      <c r="M61" s="64"/>
      <c r="N61" s="91">
        <f>IFERROR(ROUND(HLOOKUP(DATE(LEFT(N40,4),LEFT($F22,2)+1,0),$K$7:$R$19,8,0),2),"NA")</f>
        <v>1334.34</v>
      </c>
      <c r="O61" s="64"/>
      <c r="P61" s="91" t="str">
        <f>IFERROR(ROUND(HLOOKUP(DATE(LEFT(P40,4),LEFT($F22,2)+1,0),$K$7:$R$19,8,0),2),"NA")</f>
        <v>NA</v>
      </c>
      <c r="Q61" s="49"/>
      <c r="R61" s="49"/>
      <c r="S61" s="49"/>
      <c r="T61" s="49"/>
      <c r="U61" s="49"/>
      <c r="V61" s="49"/>
      <c r="W61" s="49"/>
      <c r="X61" s="49"/>
      <c r="Y61" s="49"/>
      <c r="Z61" s="105"/>
      <c r="AA61" s="49"/>
      <c r="AB61" s="105"/>
      <c r="AC61" s="49"/>
      <c r="AD61" s="105"/>
      <c r="AE61" s="49"/>
      <c r="AF61" s="105"/>
      <c r="AG61" s="49"/>
      <c r="AH61" s="105"/>
      <c r="AI61" s="49"/>
    </row>
    <row r="62" spans="2:35" s="7" customFormat="1" ht="24.6" customHeight="1" x14ac:dyDescent="0.2">
      <c r="B62" s="105"/>
      <c r="C62" s="49"/>
      <c r="D62" s="49"/>
      <c r="E62" s="105"/>
      <c r="F62" s="49"/>
      <c r="G62" s="134"/>
      <c r="H62" s="49"/>
      <c r="I62" s="53" t="s">
        <v>35</v>
      </c>
      <c r="J62" s="92">
        <f>IFERROR(ROUND(HLOOKUP(DATE(LEFT(J40,4),LEFT($F22,2)+1,0),$K$7:$R$19,9,0),2),"NA")</f>
        <v>0</v>
      </c>
      <c r="K62" s="59"/>
      <c r="L62" s="92" t="str">
        <f>IFERROR(ROUND(HLOOKUP(DATE(LEFT(L40,4),LEFT($F22,2)+1,0),$K$7:$R$19,9,0),2),"NA")</f>
        <v>NA</v>
      </c>
      <c r="M62" s="59"/>
      <c r="N62" s="92">
        <f>IFERROR(ROUND(HLOOKUP(DATE(LEFT(N40,4),LEFT($F22,2)+1,0),$K$7:$R$19,9,0),2),"NA")</f>
        <v>1456.95</v>
      </c>
      <c r="O62" s="59"/>
      <c r="P62" s="92" t="str">
        <f>IFERROR(ROUND(HLOOKUP(DATE(LEFT(P40,4),LEFT($F22,2)+1,0),$K$7:$R$19,9,0),2),"NA")</f>
        <v>NA</v>
      </c>
      <c r="Q62" s="49"/>
      <c r="R62" s="49"/>
      <c r="S62" s="49"/>
      <c r="T62" s="49"/>
      <c r="U62" s="49"/>
      <c r="V62" s="49"/>
      <c r="W62" s="49"/>
      <c r="X62" s="49"/>
      <c r="Y62" s="49"/>
      <c r="Z62" s="105"/>
      <c r="AA62" s="49"/>
      <c r="AB62" s="105"/>
      <c r="AC62" s="49"/>
      <c r="AD62" s="105"/>
      <c r="AE62" s="49"/>
      <c r="AF62" s="105"/>
      <c r="AG62" s="49"/>
      <c r="AH62" s="105"/>
      <c r="AI62" s="49"/>
    </row>
    <row r="63" spans="2:35" s="7" customFormat="1" ht="24.6" customHeight="1" x14ac:dyDescent="0.2">
      <c r="B63" s="105"/>
      <c r="C63" s="49"/>
      <c r="D63" s="49"/>
      <c r="E63" s="105"/>
      <c r="F63" s="49"/>
      <c r="G63" s="134"/>
      <c r="H63" s="49"/>
      <c r="I63" s="56" t="s">
        <v>36</v>
      </c>
      <c r="J63" s="91">
        <f>IFERROR(ROUND(HLOOKUP(DATE(LEFT(J40,4),LEFT($F22,2)+1,0),$L$7:$S$19,10,0),2),"NA")</f>
        <v>0</v>
      </c>
      <c r="K63" s="64"/>
      <c r="L63" s="91" t="str">
        <f>IFERROR(ROUND(HLOOKUP(DATE(LEFT(L40,4),LEFT($F22,2)+1,0),$L$7:$S$19,10,0),2),"NA")</f>
        <v>NA</v>
      </c>
      <c r="M63" s="64"/>
      <c r="N63" s="91">
        <f>IFERROR(ROUND(HLOOKUP(DATE(LEFT(N40,4),LEFT($F22,2)+1,0),$L$7:$S$19,10,0),2),"NA")</f>
        <v>4599.8900000000003</v>
      </c>
      <c r="O63" s="64"/>
      <c r="P63" s="91" t="str">
        <f>IFERROR(ROUND(HLOOKUP(DATE(LEFT(P40,4),LEFT($F22,2)+1,0),$L$7:$S$19,10,0),2),"NA")</f>
        <v>NA</v>
      </c>
      <c r="Q63" s="49"/>
      <c r="R63" s="49"/>
      <c r="S63" s="49"/>
      <c r="T63" s="49"/>
      <c r="U63" s="49"/>
      <c r="V63" s="49"/>
      <c r="W63" s="49"/>
      <c r="X63" s="49"/>
      <c r="Y63" s="49"/>
      <c r="Z63" s="105"/>
      <c r="AA63" s="49"/>
      <c r="AB63" s="105"/>
      <c r="AC63" s="49"/>
      <c r="AD63" s="105"/>
      <c r="AE63" s="49"/>
      <c r="AF63" s="105"/>
      <c r="AG63" s="49"/>
      <c r="AH63" s="105"/>
      <c r="AI63" s="49"/>
    </row>
    <row r="64" spans="2:35" s="7" customFormat="1" ht="24.6" customHeight="1" x14ac:dyDescent="0.2">
      <c r="B64" s="105"/>
      <c r="C64" s="49"/>
      <c r="D64" s="49"/>
      <c r="E64" s="105"/>
      <c r="F64" s="49"/>
      <c r="G64" s="134"/>
      <c r="H64" s="49"/>
      <c r="I64" s="53" t="s">
        <v>38</v>
      </c>
      <c r="J64" s="92">
        <f>IFERROR(ROUND(HLOOKUP(DATE(LEFT(J40,4),LEFT($F22,2)+1,0),$K$7:$R$19,11,0),2),"NA")</f>
        <v>0</v>
      </c>
      <c r="K64" s="59"/>
      <c r="L64" s="92" t="str">
        <f>IFERROR(ROUND(HLOOKUP(DATE(LEFT(L40,4),LEFT($F22,2)+1,0),$K$7:$R$19,11,0),2),"NA")</f>
        <v>NA</v>
      </c>
      <c r="M64" s="59"/>
      <c r="N64" s="92">
        <f>IFERROR(ROUND(HLOOKUP(DATE(LEFT(N40,4),LEFT($F22,2)+1,0),$K$7:$R$19,11,0),2),"NA")</f>
        <v>1494.69</v>
      </c>
      <c r="O64" s="59"/>
      <c r="P64" s="92" t="str">
        <f>IFERROR(ROUND(HLOOKUP(DATE(LEFT(P40,4),LEFT($F22,2)+1,0),$K$7:$R$19,11,0),2),"NA")</f>
        <v>NA</v>
      </c>
      <c r="Q64" s="49"/>
      <c r="R64" s="49"/>
      <c r="S64" s="49"/>
      <c r="T64" s="49"/>
      <c r="U64" s="49"/>
      <c r="V64" s="49"/>
      <c r="W64" s="49"/>
      <c r="X64" s="49"/>
      <c r="Y64" s="49"/>
      <c r="Z64" s="105"/>
      <c r="AA64" s="49"/>
      <c r="AB64" s="105"/>
      <c r="AC64" s="49"/>
      <c r="AD64" s="105"/>
      <c r="AE64" s="49"/>
      <c r="AF64" s="105"/>
      <c r="AG64" s="49"/>
      <c r="AH64" s="105"/>
      <c r="AI64" s="49"/>
    </row>
    <row r="65" spans="2:35" s="7" customFormat="1" ht="24.6" customHeight="1" x14ac:dyDescent="0.2">
      <c r="B65" s="105"/>
      <c r="C65" s="49"/>
      <c r="D65" s="49"/>
      <c r="E65" s="105"/>
      <c r="F65" s="49"/>
      <c r="G65" s="134"/>
      <c r="H65" s="49"/>
      <c r="I65" s="56" t="s">
        <v>39</v>
      </c>
      <c r="J65" s="91">
        <f>IFERROR(ROUND(HLOOKUP(DATE(LEFT(J40,4),LEFT($F22,2)+1,0),$K$7:$R$19,12,0),2),"NA")</f>
        <v>0</v>
      </c>
      <c r="K65" s="64"/>
      <c r="L65" s="91" t="str">
        <f>IFERROR(ROUND(HLOOKUP(DATE(LEFT(L40,4),LEFT($F22,2)+1,0),$K$7:$R$19,12,0),2),"NA")</f>
        <v>NA</v>
      </c>
      <c r="M65" s="64"/>
      <c r="N65" s="91">
        <f>IFERROR(ROUND(HLOOKUP(DATE(LEFT(N40,4),LEFT($F22,2)+1,0),$K$7:$R$19,12,0),2),"NA")</f>
        <v>1205.56</v>
      </c>
      <c r="O65" s="64"/>
      <c r="P65" s="91" t="str">
        <f>IFERROR(ROUND(HLOOKUP(DATE(LEFT(P40,4),LEFT($F22,2)+1,0),$K$7:$R$19,12,0),2),"NA")</f>
        <v>NA</v>
      </c>
      <c r="Q65" s="49"/>
      <c r="R65" s="49"/>
      <c r="S65" s="49"/>
      <c r="T65" s="49"/>
      <c r="U65" s="49"/>
      <c r="V65" s="49"/>
      <c r="W65" s="49"/>
      <c r="X65" s="49"/>
      <c r="Y65" s="49"/>
      <c r="Z65" s="105"/>
      <c r="AA65" s="49"/>
      <c r="AB65" s="105"/>
      <c r="AC65" s="49"/>
      <c r="AD65" s="105"/>
      <c r="AE65" s="49"/>
      <c r="AF65" s="105"/>
      <c r="AG65" s="49"/>
      <c r="AH65" s="105"/>
      <c r="AI65" s="49"/>
    </row>
    <row r="66" spans="2:35" s="7" customFormat="1" ht="24.6" customHeight="1" thickBot="1" x14ac:dyDescent="0.25">
      <c r="B66" s="105"/>
      <c r="C66" s="49"/>
      <c r="D66" s="49"/>
      <c r="E66" s="105"/>
      <c r="F66" s="49"/>
      <c r="G66" s="134"/>
      <c r="H66" s="49"/>
      <c r="I66" s="76" t="s">
        <v>42</v>
      </c>
      <c r="J66" s="132">
        <f>IFERROR(ROUND(HLOOKUP(DATE(LEFT(J40,4),LEFT($F22,2)+1,0),$K$7:$R$19,13,0),2),"NA")</f>
        <v>0</v>
      </c>
      <c r="K66" s="77"/>
      <c r="L66" s="132" t="str">
        <f>IFERROR(ROUND(HLOOKUP(DATE(LEFT(L40,4),LEFT($F22,2)+1,0),$K$7:$R$19,13,0),2),"NA")</f>
        <v>NA</v>
      </c>
      <c r="M66" s="77"/>
      <c r="N66" s="132">
        <f>IFERROR(ROUND(HLOOKUP(DATE(LEFT(N40,4),LEFT($F22,2)+1,0),$K$7:$R$19,13,0),2),"NA")</f>
        <v>1439.96</v>
      </c>
      <c r="O66" s="77"/>
      <c r="P66" s="132" t="str">
        <f>IFERROR(ROUND(HLOOKUP(DATE(LEFT(P40,4),LEFT($F22,2)+1,0),$K$7:$R$19,13,0),2),"NA")</f>
        <v>NA</v>
      </c>
      <c r="Q66" s="49"/>
      <c r="R66" s="49"/>
      <c r="S66" s="49"/>
      <c r="T66" s="49"/>
      <c r="U66" s="49"/>
      <c r="V66" s="49"/>
      <c r="W66" s="49"/>
      <c r="X66" s="49"/>
      <c r="Y66" s="49"/>
      <c r="Z66" s="105"/>
      <c r="AA66" s="49"/>
      <c r="AB66" s="105"/>
      <c r="AC66" s="49"/>
      <c r="AD66" s="105"/>
      <c r="AE66" s="49"/>
      <c r="AF66" s="105"/>
      <c r="AG66" s="49"/>
      <c r="AH66" s="105"/>
      <c r="AI66" s="49"/>
    </row>
    <row r="67" spans="2:35" s="7" customFormat="1" ht="24.6" customHeight="1" x14ac:dyDescent="0.2">
      <c r="B67" s="105"/>
      <c r="C67" s="49"/>
      <c r="D67" s="49"/>
      <c r="E67" s="105"/>
      <c r="F67" s="49"/>
      <c r="G67" s="134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105"/>
      <c r="T67" s="49"/>
      <c r="U67" s="49"/>
      <c r="V67" s="49"/>
      <c r="W67" s="49"/>
      <c r="X67" s="49"/>
      <c r="Y67" s="49"/>
      <c r="Z67" s="105"/>
      <c r="AA67" s="49"/>
      <c r="AB67" s="105"/>
      <c r="AC67" s="49"/>
      <c r="AD67" s="105"/>
      <c r="AE67" s="49"/>
      <c r="AF67" s="105"/>
      <c r="AG67" s="49"/>
      <c r="AH67" s="105"/>
      <c r="AI67" s="49"/>
    </row>
    <row r="68" spans="2:35" s="7" customFormat="1" ht="17.25" x14ac:dyDescent="0.2">
      <c r="B68" s="105"/>
      <c r="C68" s="49"/>
      <c r="D68" s="49"/>
      <c r="E68" s="105"/>
      <c r="F68" s="49"/>
      <c r="G68" s="134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105"/>
      <c r="T68" s="49"/>
      <c r="U68" s="49"/>
      <c r="V68" s="49"/>
      <c r="W68" s="49"/>
      <c r="X68" s="49"/>
      <c r="Y68" s="49"/>
      <c r="Z68" s="105"/>
      <c r="AA68" s="49"/>
      <c r="AB68" s="105"/>
      <c r="AC68" s="49"/>
      <c r="AD68" s="105"/>
      <c r="AE68" s="49"/>
      <c r="AF68" s="105"/>
      <c r="AG68" s="49"/>
      <c r="AH68" s="105"/>
      <c r="AI68" s="49"/>
    </row>
    <row r="69" spans="2:35" s="7" customFormat="1" ht="17.25" x14ac:dyDescent="0.2">
      <c r="B69" s="105"/>
      <c r="C69" s="49"/>
      <c r="D69" s="49"/>
      <c r="E69" s="105"/>
      <c r="F69" s="49"/>
      <c r="G69" s="134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105"/>
      <c r="T69" s="49"/>
      <c r="U69" s="49"/>
      <c r="V69" s="49"/>
      <c r="W69" s="49"/>
      <c r="X69" s="49"/>
      <c r="Y69" s="49"/>
      <c r="Z69" s="105"/>
      <c r="AA69" s="49"/>
      <c r="AB69" s="105"/>
      <c r="AC69" s="49"/>
      <c r="AD69" s="105"/>
      <c r="AE69" s="49"/>
      <c r="AF69" s="105"/>
      <c r="AG69" s="49"/>
      <c r="AH69" s="105"/>
      <c r="AI69" s="49"/>
    </row>
    <row r="70" spans="2:35" s="7" customFormat="1" ht="17.25" x14ac:dyDescent="0.2"/>
    <row r="71" spans="2:35" s="7" customFormat="1" ht="17.25" x14ac:dyDescent="0.2"/>
    <row r="72" spans="2:35" s="7" customFormat="1" ht="17.25" x14ac:dyDescent="0.2"/>
    <row r="73" spans="2:35" s="7" customFormat="1" ht="17.25" x14ac:dyDescent="0.2"/>
    <row r="74" spans="2:35" s="7" customFormat="1" ht="17.25" x14ac:dyDescent="0.2"/>
    <row r="75" spans="2:35" s="7" customFormat="1" ht="17.25" x14ac:dyDescent="0.2"/>
    <row r="76" spans="2:35" s="7" customFormat="1" ht="17.25" x14ac:dyDescent="0.2"/>
    <row r="93" spans="7:9" x14ac:dyDescent="0.2">
      <c r="G93" s="135"/>
      <c r="H93" s="136"/>
      <c r="I93" s="136"/>
    </row>
    <row r="94" spans="7:9" x14ac:dyDescent="0.2">
      <c r="G94" s="135"/>
      <c r="H94" s="136"/>
      <c r="I94" s="136"/>
    </row>
    <row r="95" spans="7:9" x14ac:dyDescent="0.2">
      <c r="G95" s="135"/>
      <c r="H95" s="136"/>
      <c r="I95" s="136"/>
    </row>
    <row r="96" spans="7:9" x14ac:dyDescent="0.2">
      <c r="G96" s="135"/>
      <c r="H96" s="136"/>
      <c r="I96" s="136"/>
    </row>
    <row r="97" spans="7:9" x14ac:dyDescent="0.2">
      <c r="G97" s="135"/>
      <c r="H97" s="136"/>
      <c r="I97" s="136"/>
    </row>
    <row r="98" spans="7:9" x14ac:dyDescent="0.2">
      <c r="G98" s="135"/>
      <c r="H98" s="136"/>
      <c r="I98" s="136"/>
    </row>
    <row r="99" spans="7:9" x14ac:dyDescent="0.2">
      <c r="G99" s="135"/>
      <c r="H99" s="136"/>
      <c r="I99" s="136"/>
    </row>
    <row r="100" spans="7:9" x14ac:dyDescent="0.2">
      <c r="G100" s="135"/>
      <c r="H100" s="136"/>
      <c r="I100" s="136"/>
    </row>
    <row r="101" spans="7:9" x14ac:dyDescent="0.2">
      <c r="G101" s="135"/>
      <c r="H101" s="136"/>
      <c r="I101" s="136"/>
    </row>
    <row r="102" spans="7:9" x14ac:dyDescent="0.2">
      <c r="G102" s="135"/>
      <c r="H102" s="136"/>
      <c r="I102" s="136"/>
    </row>
    <row r="103" spans="7:9" x14ac:dyDescent="0.2">
      <c r="G103" s="135"/>
      <c r="H103" s="136"/>
      <c r="I103" s="136"/>
    </row>
    <row r="104" spans="7:9" x14ac:dyDescent="0.2">
      <c r="G104" s="135"/>
      <c r="H104" s="136"/>
      <c r="I104" s="136"/>
    </row>
    <row r="105" spans="7:9" x14ac:dyDescent="0.2">
      <c r="G105" s="135"/>
      <c r="H105" s="136"/>
      <c r="I105" s="136"/>
    </row>
    <row r="106" spans="7:9" x14ac:dyDescent="0.2">
      <c r="G106" s="135"/>
      <c r="H106" s="136"/>
      <c r="I106" s="136"/>
    </row>
    <row r="107" spans="7:9" x14ac:dyDescent="0.2">
      <c r="G107" s="135"/>
      <c r="H107" s="136"/>
      <c r="I107" s="136"/>
    </row>
    <row r="108" spans="7:9" x14ac:dyDescent="0.2">
      <c r="G108" s="135"/>
      <c r="H108" s="136"/>
      <c r="I108" s="136"/>
    </row>
    <row r="109" spans="7:9" x14ac:dyDescent="0.2">
      <c r="G109" s="135"/>
      <c r="H109" s="136"/>
      <c r="I109" s="136"/>
    </row>
    <row r="110" spans="7:9" x14ac:dyDescent="0.2">
      <c r="G110" s="135"/>
      <c r="H110" s="136"/>
      <c r="I110" s="136"/>
    </row>
    <row r="111" spans="7:9" x14ac:dyDescent="0.2">
      <c r="G111" s="135"/>
      <c r="H111" s="136"/>
      <c r="I111" s="136"/>
    </row>
    <row r="112" spans="7:9" x14ac:dyDescent="0.2">
      <c r="G112" s="135"/>
      <c r="H112" s="136"/>
      <c r="I112" s="136"/>
    </row>
    <row r="113" spans="7:9" x14ac:dyDescent="0.2">
      <c r="G113" s="135"/>
      <c r="H113" s="136"/>
      <c r="I113" s="136"/>
    </row>
    <row r="114" spans="7:9" x14ac:dyDescent="0.2">
      <c r="G114" s="135"/>
      <c r="H114" s="136"/>
      <c r="I114" s="136"/>
    </row>
    <row r="115" spans="7:9" x14ac:dyDescent="0.2">
      <c r="G115" s="135"/>
      <c r="H115" s="136"/>
      <c r="I115" s="136"/>
    </row>
    <row r="116" spans="7:9" x14ac:dyDescent="0.2">
      <c r="G116" s="135"/>
      <c r="H116" s="136"/>
      <c r="I116" s="136"/>
    </row>
    <row r="117" spans="7:9" x14ac:dyDescent="0.2">
      <c r="G117" s="135"/>
      <c r="H117" s="136"/>
      <c r="I117" s="136"/>
    </row>
    <row r="118" spans="7:9" x14ac:dyDescent="0.2">
      <c r="G118" s="135"/>
      <c r="H118" s="136"/>
      <c r="I118" s="136"/>
    </row>
    <row r="119" spans="7:9" x14ac:dyDescent="0.2">
      <c r="G119" s="135"/>
      <c r="H119" s="136"/>
      <c r="I119" s="136"/>
    </row>
    <row r="120" spans="7:9" x14ac:dyDescent="0.2">
      <c r="G120" s="135"/>
      <c r="H120" s="136"/>
      <c r="I120" s="136"/>
    </row>
    <row r="121" spans="7:9" x14ac:dyDescent="0.2">
      <c r="G121" s="135"/>
      <c r="H121" s="136"/>
      <c r="I121" s="136"/>
    </row>
    <row r="122" spans="7:9" x14ac:dyDescent="0.2">
      <c r="G122" s="135"/>
      <c r="H122" s="136"/>
      <c r="I122" s="136"/>
    </row>
    <row r="123" spans="7:9" x14ac:dyDescent="0.2">
      <c r="G123" s="135"/>
      <c r="H123" s="136"/>
      <c r="I123" s="136"/>
    </row>
    <row r="124" spans="7:9" x14ac:dyDescent="0.2">
      <c r="G124" s="135"/>
      <c r="H124" s="136"/>
      <c r="I124" s="136"/>
    </row>
    <row r="125" spans="7:9" x14ac:dyDescent="0.2">
      <c r="G125" s="135"/>
      <c r="H125" s="136"/>
      <c r="I125" s="136"/>
    </row>
    <row r="126" spans="7:9" x14ac:dyDescent="0.2">
      <c r="G126" s="135"/>
      <c r="H126" s="136"/>
      <c r="I126" s="136"/>
    </row>
    <row r="127" spans="7:9" x14ac:dyDescent="0.2">
      <c r="G127" s="135"/>
      <c r="H127" s="136"/>
      <c r="I127" s="136"/>
    </row>
    <row r="128" spans="7:9" x14ac:dyDescent="0.2">
      <c r="G128" s="135"/>
      <c r="H128" s="136"/>
      <c r="I128" s="136"/>
    </row>
    <row r="129" spans="7:9" x14ac:dyDescent="0.2">
      <c r="G129" s="135"/>
      <c r="H129" s="136"/>
      <c r="I129" s="136"/>
    </row>
    <row r="130" spans="7:9" x14ac:dyDescent="0.2">
      <c r="G130" s="135"/>
      <c r="H130" s="136"/>
      <c r="I130" s="136"/>
    </row>
    <row r="131" spans="7:9" x14ac:dyDescent="0.2">
      <c r="G131" s="135"/>
      <c r="H131" s="136"/>
      <c r="I131" s="136"/>
    </row>
    <row r="132" spans="7:9" x14ac:dyDescent="0.2">
      <c r="G132" s="135"/>
      <c r="H132" s="136"/>
      <c r="I132" s="136"/>
    </row>
    <row r="133" spans="7:9" x14ac:dyDescent="0.2">
      <c r="G133" s="135"/>
      <c r="H133" s="136"/>
      <c r="I133" s="136"/>
    </row>
    <row r="134" spans="7:9" x14ac:dyDescent="0.2">
      <c r="G134" s="135"/>
      <c r="H134" s="136"/>
      <c r="I134" s="136"/>
    </row>
    <row r="135" spans="7:9" x14ac:dyDescent="0.2">
      <c r="G135" s="135"/>
      <c r="H135" s="136"/>
      <c r="I135" s="136"/>
    </row>
    <row r="136" spans="7:9" x14ac:dyDescent="0.2">
      <c r="G136" s="135"/>
      <c r="H136" s="136"/>
      <c r="I136" s="136"/>
    </row>
    <row r="137" spans="7:9" x14ac:dyDescent="0.2">
      <c r="G137" s="135"/>
      <c r="H137" s="136"/>
      <c r="I137" s="136"/>
    </row>
    <row r="138" spans="7:9" x14ac:dyDescent="0.2">
      <c r="G138" s="135"/>
      <c r="H138" s="136"/>
      <c r="I138" s="136"/>
    </row>
    <row r="139" spans="7:9" x14ac:dyDescent="0.2">
      <c r="G139" s="135"/>
      <c r="H139" s="136"/>
      <c r="I139" s="136"/>
    </row>
    <row r="140" spans="7:9" x14ac:dyDescent="0.2">
      <c r="G140" s="135"/>
      <c r="H140" s="136"/>
      <c r="I140" s="136"/>
    </row>
    <row r="141" spans="7:9" x14ac:dyDescent="0.2">
      <c r="G141" s="135"/>
      <c r="H141" s="136"/>
      <c r="I141" s="136"/>
    </row>
    <row r="142" spans="7:9" x14ac:dyDescent="0.2">
      <c r="G142" s="135"/>
      <c r="H142" s="136"/>
      <c r="I142" s="136"/>
    </row>
    <row r="143" spans="7:9" x14ac:dyDescent="0.2">
      <c r="G143" s="135"/>
      <c r="H143" s="136"/>
      <c r="I143" s="136"/>
    </row>
    <row r="144" spans="7:9" x14ac:dyDescent="0.2">
      <c r="G144" s="135"/>
      <c r="H144" s="136"/>
      <c r="I144" s="136"/>
    </row>
    <row r="145" spans="7:9" x14ac:dyDescent="0.2">
      <c r="G145" s="135"/>
      <c r="H145" s="136"/>
      <c r="I145" s="136"/>
    </row>
    <row r="146" spans="7:9" x14ac:dyDescent="0.2">
      <c r="G146" s="135"/>
      <c r="H146" s="136"/>
      <c r="I146" s="136"/>
    </row>
    <row r="147" spans="7:9" x14ac:dyDescent="0.2">
      <c r="G147" s="135"/>
      <c r="H147" s="136"/>
      <c r="I147" s="136"/>
    </row>
    <row r="148" spans="7:9" x14ac:dyDescent="0.2">
      <c r="G148" s="135"/>
      <c r="H148" s="136"/>
      <c r="I148" s="136"/>
    </row>
    <row r="149" spans="7:9" x14ac:dyDescent="0.2">
      <c r="G149" s="135"/>
      <c r="H149" s="136"/>
      <c r="I149" s="136"/>
    </row>
    <row r="150" spans="7:9" x14ac:dyDescent="0.2">
      <c r="G150" s="135"/>
      <c r="H150" s="136"/>
      <c r="I150" s="136"/>
    </row>
    <row r="151" spans="7:9" x14ac:dyDescent="0.2">
      <c r="G151" s="135"/>
      <c r="H151" s="136"/>
      <c r="I151" s="136"/>
    </row>
    <row r="152" spans="7:9" x14ac:dyDescent="0.2">
      <c r="G152" s="135"/>
      <c r="H152" s="136"/>
      <c r="I152" s="136"/>
    </row>
    <row r="153" spans="7:9" x14ac:dyDescent="0.2">
      <c r="G153" s="135"/>
      <c r="H153" s="136"/>
      <c r="I153" s="136"/>
    </row>
    <row r="154" spans="7:9" x14ac:dyDescent="0.2">
      <c r="G154" s="135"/>
      <c r="H154" s="136"/>
      <c r="I154" s="136"/>
    </row>
    <row r="155" spans="7:9" x14ac:dyDescent="0.2">
      <c r="G155" s="135"/>
      <c r="H155" s="136"/>
      <c r="I155" s="136"/>
    </row>
    <row r="156" spans="7:9" x14ac:dyDescent="0.2">
      <c r="G156" s="135"/>
      <c r="H156" s="136"/>
      <c r="I156" s="136"/>
    </row>
    <row r="157" spans="7:9" x14ac:dyDescent="0.2">
      <c r="G157" s="135"/>
      <c r="H157" s="136"/>
      <c r="I157" s="136"/>
    </row>
    <row r="158" spans="7:9" x14ac:dyDescent="0.2">
      <c r="G158" s="135"/>
      <c r="H158" s="136"/>
      <c r="I158" s="136"/>
    </row>
    <row r="159" spans="7:9" x14ac:dyDescent="0.2">
      <c r="G159" s="135"/>
      <c r="H159" s="136"/>
      <c r="I159" s="136"/>
    </row>
    <row r="160" spans="7:9" x14ac:dyDescent="0.2">
      <c r="G160" s="135"/>
      <c r="H160" s="136"/>
      <c r="I160" s="136"/>
    </row>
    <row r="161" spans="7:9" x14ac:dyDescent="0.2">
      <c r="G161" s="135"/>
      <c r="H161" s="136"/>
      <c r="I161" s="136"/>
    </row>
    <row r="162" spans="7:9" x14ac:dyDescent="0.2">
      <c r="G162" s="135"/>
      <c r="H162" s="136"/>
      <c r="I162" s="136"/>
    </row>
    <row r="163" spans="7:9" x14ac:dyDescent="0.2">
      <c r="G163" s="135"/>
      <c r="H163" s="136"/>
      <c r="I163" s="136"/>
    </row>
    <row r="164" spans="7:9" x14ac:dyDescent="0.2">
      <c r="G164" s="135"/>
      <c r="H164" s="136"/>
      <c r="I164" s="136"/>
    </row>
    <row r="165" spans="7:9" x14ac:dyDescent="0.2">
      <c r="G165" s="135"/>
      <c r="H165" s="136"/>
      <c r="I165" s="136"/>
    </row>
    <row r="166" spans="7:9" x14ac:dyDescent="0.2">
      <c r="G166" s="135"/>
      <c r="H166" s="136"/>
      <c r="I166" s="136"/>
    </row>
    <row r="167" spans="7:9" x14ac:dyDescent="0.2">
      <c r="G167" s="135"/>
      <c r="H167" s="136"/>
      <c r="I167" s="136"/>
    </row>
    <row r="168" spans="7:9" x14ac:dyDescent="0.2">
      <c r="G168" s="135"/>
      <c r="H168" s="136"/>
      <c r="I168" s="136"/>
    </row>
    <row r="169" spans="7:9" x14ac:dyDescent="0.2">
      <c r="G169" s="135"/>
      <c r="H169" s="136"/>
      <c r="I169" s="136"/>
    </row>
    <row r="170" spans="7:9" x14ac:dyDescent="0.2">
      <c r="G170" s="135"/>
      <c r="H170" s="136"/>
      <c r="I170" s="136"/>
    </row>
    <row r="171" spans="7:9" x14ac:dyDescent="0.2">
      <c r="G171" s="135"/>
      <c r="H171" s="136"/>
      <c r="I171" s="136"/>
    </row>
    <row r="172" spans="7:9" x14ac:dyDescent="0.2">
      <c r="G172" s="135"/>
      <c r="H172" s="136"/>
      <c r="I172" s="136"/>
    </row>
    <row r="173" spans="7:9" x14ac:dyDescent="0.2">
      <c r="G173" s="135"/>
      <c r="H173" s="136"/>
      <c r="I173" s="136"/>
    </row>
    <row r="174" spans="7:9" x14ac:dyDescent="0.2">
      <c r="G174" s="135"/>
      <c r="H174" s="136"/>
      <c r="I174" s="136"/>
    </row>
    <row r="175" spans="7:9" x14ac:dyDescent="0.2">
      <c r="G175" s="135"/>
      <c r="H175" s="136"/>
      <c r="I175" s="136"/>
    </row>
    <row r="176" spans="7:9" x14ac:dyDescent="0.2">
      <c r="G176" s="135"/>
      <c r="H176" s="136"/>
      <c r="I176" s="136"/>
    </row>
    <row r="177" spans="7:9" x14ac:dyDescent="0.2">
      <c r="G177" s="135"/>
      <c r="H177" s="136"/>
      <c r="I177" s="136"/>
    </row>
    <row r="178" spans="7:9" x14ac:dyDescent="0.2">
      <c r="G178" s="135"/>
      <c r="H178" s="136"/>
      <c r="I178" s="136"/>
    </row>
    <row r="179" spans="7:9" x14ac:dyDescent="0.2">
      <c r="G179" s="135"/>
      <c r="H179" s="136"/>
      <c r="I179" s="136"/>
    </row>
    <row r="180" spans="7:9" x14ac:dyDescent="0.2">
      <c r="G180" s="135"/>
      <c r="H180" s="136"/>
      <c r="I180" s="136"/>
    </row>
    <row r="181" spans="7:9" x14ac:dyDescent="0.2">
      <c r="G181" s="135"/>
      <c r="H181" s="136"/>
      <c r="I181" s="136"/>
    </row>
    <row r="182" spans="7:9" x14ac:dyDescent="0.2">
      <c r="G182" s="135"/>
      <c r="H182" s="136"/>
      <c r="I182" s="136"/>
    </row>
    <row r="183" spans="7:9" x14ac:dyDescent="0.2">
      <c r="G183" s="135"/>
      <c r="H183" s="136"/>
      <c r="I183" s="136"/>
    </row>
    <row r="184" spans="7:9" x14ac:dyDescent="0.2">
      <c r="G184" s="135"/>
      <c r="H184" s="136"/>
      <c r="I184" s="136"/>
    </row>
    <row r="185" spans="7:9" x14ac:dyDescent="0.2">
      <c r="G185" s="135"/>
      <c r="H185" s="136"/>
      <c r="I185" s="136"/>
    </row>
    <row r="186" spans="7:9" x14ac:dyDescent="0.2">
      <c r="G186" s="135"/>
      <c r="H186" s="136"/>
      <c r="I186" s="136"/>
    </row>
    <row r="187" spans="7:9" x14ac:dyDescent="0.2">
      <c r="G187" s="135"/>
      <c r="H187" s="136"/>
      <c r="I187" s="136"/>
    </row>
    <row r="188" spans="7:9" x14ac:dyDescent="0.2">
      <c r="G188" s="135"/>
      <c r="H188" s="136"/>
      <c r="I188" s="136"/>
    </row>
    <row r="189" spans="7:9" x14ac:dyDescent="0.2">
      <c r="G189" s="135"/>
      <c r="H189" s="136"/>
      <c r="I189" s="136"/>
    </row>
    <row r="190" spans="7:9" x14ac:dyDescent="0.2">
      <c r="G190" s="135"/>
      <c r="H190" s="136"/>
      <c r="I190" s="136"/>
    </row>
    <row r="191" spans="7:9" x14ac:dyDescent="0.2">
      <c r="G191" s="135"/>
      <c r="H191" s="136"/>
      <c r="I191" s="136"/>
    </row>
    <row r="192" spans="7:9" x14ac:dyDescent="0.2">
      <c r="G192" s="135"/>
      <c r="H192" s="136"/>
      <c r="I192" s="136"/>
    </row>
    <row r="193" spans="7:9" x14ac:dyDescent="0.2">
      <c r="G193" s="135"/>
      <c r="H193" s="136"/>
      <c r="I193" s="136"/>
    </row>
    <row r="194" spans="7:9" x14ac:dyDescent="0.2">
      <c r="G194" s="135"/>
      <c r="H194" s="136"/>
      <c r="I194" s="136"/>
    </row>
    <row r="195" spans="7:9" x14ac:dyDescent="0.2">
      <c r="G195" s="135"/>
      <c r="H195" s="136"/>
      <c r="I195" s="136"/>
    </row>
    <row r="196" spans="7:9" x14ac:dyDescent="0.2">
      <c r="G196" s="135"/>
      <c r="H196" s="136"/>
      <c r="I196" s="136"/>
    </row>
    <row r="197" spans="7:9" x14ac:dyDescent="0.2">
      <c r="G197" s="135"/>
      <c r="H197" s="136"/>
      <c r="I197" s="136"/>
    </row>
    <row r="198" spans="7:9" x14ac:dyDescent="0.2">
      <c r="G198" s="135"/>
      <c r="H198" s="136"/>
      <c r="I198" s="136"/>
    </row>
    <row r="199" spans="7:9" x14ac:dyDescent="0.2">
      <c r="G199" s="135"/>
      <c r="H199" s="136"/>
      <c r="I199" s="136"/>
    </row>
    <row r="200" spans="7:9" x14ac:dyDescent="0.2">
      <c r="G200" s="135"/>
      <c r="H200" s="136"/>
      <c r="I200" s="136"/>
    </row>
    <row r="201" spans="7:9" x14ac:dyDescent="0.2">
      <c r="G201" s="135"/>
      <c r="H201" s="136"/>
      <c r="I201" s="136"/>
    </row>
    <row r="202" spans="7:9" x14ac:dyDescent="0.2">
      <c r="G202" s="135"/>
      <c r="H202" s="136"/>
      <c r="I202" s="136"/>
    </row>
    <row r="203" spans="7:9" x14ac:dyDescent="0.2">
      <c r="G203" s="135"/>
      <c r="H203" s="136"/>
      <c r="I203" s="136"/>
    </row>
    <row r="204" spans="7:9" x14ac:dyDescent="0.2">
      <c r="G204" s="135"/>
      <c r="H204" s="136"/>
      <c r="I204" s="136"/>
    </row>
    <row r="205" spans="7:9" x14ac:dyDescent="0.2">
      <c r="G205" s="135"/>
      <c r="H205" s="136"/>
      <c r="I205" s="136"/>
    </row>
    <row r="206" spans="7:9" x14ac:dyDescent="0.2">
      <c r="G206" s="135"/>
      <c r="H206" s="136"/>
      <c r="I206" s="136"/>
    </row>
    <row r="207" spans="7:9" x14ac:dyDescent="0.2">
      <c r="G207" s="135"/>
      <c r="H207" s="136"/>
      <c r="I207" s="136"/>
    </row>
    <row r="208" spans="7:9" x14ac:dyDescent="0.2">
      <c r="G208" s="135"/>
      <c r="H208" s="136"/>
      <c r="I208" s="136"/>
    </row>
    <row r="209" spans="7:9" x14ac:dyDescent="0.2">
      <c r="G209" s="135"/>
      <c r="H209" s="136"/>
      <c r="I209" s="136"/>
    </row>
    <row r="210" spans="7:9" x14ac:dyDescent="0.2">
      <c r="G210" s="135"/>
      <c r="H210" s="136"/>
      <c r="I210" s="136"/>
    </row>
    <row r="211" spans="7:9" x14ac:dyDescent="0.2">
      <c r="G211" s="135"/>
      <c r="H211" s="136"/>
      <c r="I211" s="136"/>
    </row>
    <row r="212" spans="7:9" x14ac:dyDescent="0.2">
      <c r="G212" s="135"/>
      <c r="H212" s="136"/>
      <c r="I212" s="136"/>
    </row>
    <row r="213" spans="7:9" x14ac:dyDescent="0.2">
      <c r="G213" s="135"/>
      <c r="H213" s="136"/>
      <c r="I213" s="136"/>
    </row>
    <row r="214" spans="7:9" x14ac:dyDescent="0.2">
      <c r="G214" s="135"/>
      <c r="H214" s="136"/>
      <c r="I214" s="136"/>
    </row>
    <row r="215" spans="7:9" x14ac:dyDescent="0.2">
      <c r="G215" s="135"/>
      <c r="H215" s="136"/>
      <c r="I215" s="136"/>
    </row>
    <row r="216" spans="7:9" x14ac:dyDescent="0.2">
      <c r="G216" s="135"/>
      <c r="H216" s="136"/>
      <c r="I216" s="136"/>
    </row>
    <row r="217" spans="7:9" x14ac:dyDescent="0.2">
      <c r="G217" s="135"/>
      <c r="H217" s="136"/>
      <c r="I217" s="136"/>
    </row>
    <row r="218" spans="7:9" x14ac:dyDescent="0.2">
      <c r="G218" s="135"/>
      <c r="H218" s="136"/>
      <c r="I218" s="136"/>
    </row>
    <row r="219" spans="7:9" x14ac:dyDescent="0.2">
      <c r="G219" s="135"/>
      <c r="H219" s="136"/>
      <c r="I219" s="136"/>
    </row>
    <row r="220" spans="7:9" x14ac:dyDescent="0.2">
      <c r="G220" s="135"/>
      <c r="H220" s="136"/>
      <c r="I220" s="136"/>
    </row>
    <row r="221" spans="7:9" x14ac:dyDescent="0.2">
      <c r="G221" s="135"/>
      <c r="H221" s="136"/>
      <c r="I221" s="136"/>
    </row>
    <row r="222" spans="7:9" x14ac:dyDescent="0.2">
      <c r="G222" s="135"/>
      <c r="H222" s="136"/>
      <c r="I222" s="136"/>
    </row>
    <row r="223" spans="7:9" x14ac:dyDescent="0.2">
      <c r="G223" s="135"/>
      <c r="H223" s="136"/>
      <c r="I223" s="136"/>
    </row>
    <row r="224" spans="7:9" x14ac:dyDescent="0.2">
      <c r="G224" s="135"/>
      <c r="H224" s="136"/>
      <c r="I224" s="136"/>
    </row>
    <row r="225" spans="7:9" x14ac:dyDescent="0.2">
      <c r="G225" s="135"/>
      <c r="H225" s="136"/>
      <c r="I225" s="136"/>
    </row>
    <row r="226" spans="7:9" x14ac:dyDescent="0.2">
      <c r="G226" s="135"/>
      <c r="H226" s="136"/>
      <c r="I226" s="136"/>
    </row>
    <row r="227" spans="7:9" x14ac:dyDescent="0.2">
      <c r="G227" s="135"/>
      <c r="H227" s="136"/>
      <c r="I227" s="136"/>
    </row>
    <row r="228" spans="7:9" x14ac:dyDescent="0.2">
      <c r="G228" s="135"/>
      <c r="H228" s="136"/>
      <c r="I228" s="136"/>
    </row>
    <row r="229" spans="7:9" x14ac:dyDescent="0.2">
      <c r="G229" s="135"/>
      <c r="H229" s="136"/>
      <c r="I229" s="136"/>
    </row>
    <row r="230" spans="7:9" x14ac:dyDescent="0.2">
      <c r="G230" s="135"/>
      <c r="H230" s="136"/>
      <c r="I230" s="136"/>
    </row>
    <row r="231" spans="7:9" x14ac:dyDescent="0.2">
      <c r="G231" s="135"/>
      <c r="H231" s="136"/>
      <c r="I231" s="136"/>
    </row>
    <row r="232" spans="7:9" x14ac:dyDescent="0.2">
      <c r="G232" s="135"/>
      <c r="H232" s="136"/>
      <c r="I232" s="136"/>
    </row>
    <row r="233" spans="7:9" x14ac:dyDescent="0.2">
      <c r="G233" s="135"/>
      <c r="H233" s="136"/>
      <c r="I233" s="136"/>
    </row>
    <row r="234" spans="7:9" x14ac:dyDescent="0.2">
      <c r="G234" s="135"/>
      <c r="H234" s="136"/>
      <c r="I234" s="136"/>
    </row>
    <row r="235" spans="7:9" x14ac:dyDescent="0.2">
      <c r="G235" s="135"/>
      <c r="H235" s="136"/>
      <c r="I235" s="136"/>
    </row>
    <row r="236" spans="7:9" x14ac:dyDescent="0.2">
      <c r="G236" s="135"/>
      <c r="H236" s="136"/>
      <c r="I236" s="136"/>
    </row>
    <row r="237" spans="7:9" x14ac:dyDescent="0.2">
      <c r="G237" s="135"/>
      <c r="H237" s="136"/>
      <c r="I237" s="136"/>
    </row>
    <row r="238" spans="7:9" x14ac:dyDescent="0.2">
      <c r="G238" s="135"/>
      <c r="H238" s="136"/>
      <c r="I238" s="136"/>
    </row>
    <row r="239" spans="7:9" x14ac:dyDescent="0.2">
      <c r="G239" s="135"/>
      <c r="H239" s="136"/>
      <c r="I239" s="136"/>
    </row>
    <row r="240" spans="7:9" x14ac:dyDescent="0.2">
      <c r="G240" s="135"/>
      <c r="H240" s="136"/>
      <c r="I240" s="136"/>
    </row>
    <row r="241" spans="7:9" x14ac:dyDescent="0.2">
      <c r="G241" s="135"/>
      <c r="H241" s="136"/>
      <c r="I241" s="136"/>
    </row>
    <row r="242" spans="7:9" x14ac:dyDescent="0.2">
      <c r="G242" s="135"/>
      <c r="H242" s="136"/>
      <c r="I242" s="136"/>
    </row>
    <row r="243" spans="7:9" x14ac:dyDescent="0.2">
      <c r="G243" s="135"/>
      <c r="H243" s="136"/>
      <c r="I243" s="136"/>
    </row>
    <row r="244" spans="7:9" x14ac:dyDescent="0.2">
      <c r="G244" s="135"/>
      <c r="H244" s="136"/>
      <c r="I244" s="136"/>
    </row>
    <row r="245" spans="7:9" x14ac:dyDescent="0.2">
      <c r="G245" s="135"/>
      <c r="H245" s="136"/>
      <c r="I245" s="136"/>
    </row>
    <row r="246" spans="7:9" x14ac:dyDescent="0.2">
      <c r="G246" s="135"/>
      <c r="H246" s="136"/>
      <c r="I246" s="136"/>
    </row>
    <row r="247" spans="7:9" x14ac:dyDescent="0.2">
      <c r="G247" s="135"/>
      <c r="H247" s="136"/>
      <c r="I247" s="136"/>
    </row>
    <row r="248" spans="7:9" x14ac:dyDescent="0.2">
      <c r="G248" s="135"/>
      <c r="H248" s="136"/>
      <c r="I248" s="136"/>
    </row>
    <row r="249" spans="7:9" x14ac:dyDescent="0.2">
      <c r="G249" s="135"/>
      <c r="H249" s="136"/>
      <c r="I249" s="136"/>
    </row>
    <row r="250" spans="7:9" x14ac:dyDescent="0.2">
      <c r="G250" s="135"/>
      <c r="H250" s="136"/>
      <c r="I250" s="136"/>
    </row>
    <row r="251" spans="7:9" x14ac:dyDescent="0.2">
      <c r="G251" s="135"/>
      <c r="H251" s="136"/>
      <c r="I251" s="136"/>
    </row>
    <row r="252" spans="7:9" x14ac:dyDescent="0.2">
      <c r="G252" s="135"/>
      <c r="H252" s="136"/>
      <c r="I252" s="136"/>
    </row>
    <row r="253" spans="7:9" x14ac:dyDescent="0.2">
      <c r="G253" s="135"/>
      <c r="H253" s="136"/>
      <c r="I253" s="136"/>
    </row>
    <row r="254" spans="7:9" x14ac:dyDescent="0.2">
      <c r="G254" s="135"/>
      <c r="H254" s="136"/>
      <c r="I254" s="136"/>
    </row>
    <row r="255" spans="7:9" x14ac:dyDescent="0.2">
      <c r="G255" s="135"/>
      <c r="H255" s="136"/>
      <c r="I255" s="136"/>
    </row>
    <row r="256" spans="7:9" x14ac:dyDescent="0.2">
      <c r="G256" s="135"/>
      <c r="H256" s="136"/>
      <c r="I256" s="136"/>
    </row>
    <row r="257" spans="7:9" x14ac:dyDescent="0.2">
      <c r="G257" s="135"/>
      <c r="H257" s="136"/>
      <c r="I257" s="136"/>
    </row>
    <row r="258" spans="7:9" x14ac:dyDescent="0.2">
      <c r="G258" s="135"/>
      <c r="H258" s="136"/>
      <c r="I258" s="136"/>
    </row>
    <row r="259" spans="7:9" x14ac:dyDescent="0.2">
      <c r="G259" s="135"/>
      <c r="H259" s="136"/>
      <c r="I259" s="136"/>
    </row>
    <row r="260" spans="7:9" x14ac:dyDescent="0.2">
      <c r="G260" s="135"/>
      <c r="H260" s="136"/>
      <c r="I260" s="136"/>
    </row>
    <row r="261" spans="7:9" x14ac:dyDescent="0.2">
      <c r="G261" s="135"/>
      <c r="H261" s="136"/>
      <c r="I261" s="136"/>
    </row>
    <row r="262" spans="7:9" x14ac:dyDescent="0.2">
      <c r="G262" s="135"/>
      <c r="H262" s="136"/>
      <c r="I262" s="136"/>
    </row>
    <row r="263" spans="7:9" x14ac:dyDescent="0.2">
      <c r="G263" s="135"/>
      <c r="H263" s="136"/>
      <c r="I263" s="136"/>
    </row>
    <row r="264" spans="7:9" x14ac:dyDescent="0.2">
      <c r="G264" s="135"/>
      <c r="H264" s="136"/>
      <c r="I264" s="136"/>
    </row>
    <row r="265" spans="7:9" x14ac:dyDescent="0.2">
      <c r="G265" s="135"/>
      <c r="H265" s="136"/>
      <c r="I265" s="136"/>
    </row>
    <row r="266" spans="7:9" x14ac:dyDescent="0.2">
      <c r="G266" s="135"/>
      <c r="H266" s="136"/>
      <c r="I266" s="136"/>
    </row>
    <row r="267" spans="7:9" x14ac:dyDescent="0.2">
      <c r="G267" s="135"/>
      <c r="H267" s="136"/>
      <c r="I267" s="136"/>
    </row>
    <row r="268" spans="7:9" x14ac:dyDescent="0.2">
      <c r="G268" s="135"/>
      <c r="H268" s="136"/>
      <c r="I268" s="136"/>
    </row>
    <row r="269" spans="7:9" x14ac:dyDescent="0.2">
      <c r="G269" s="135"/>
      <c r="H269" s="136"/>
      <c r="I269" s="136"/>
    </row>
    <row r="270" spans="7:9" x14ac:dyDescent="0.2">
      <c r="G270" s="135"/>
      <c r="H270" s="136"/>
      <c r="I270" s="136"/>
    </row>
    <row r="271" spans="7:9" x14ac:dyDescent="0.2">
      <c r="G271" s="135"/>
      <c r="H271" s="136"/>
      <c r="I271" s="136"/>
    </row>
    <row r="272" spans="7:9" x14ac:dyDescent="0.2">
      <c r="G272" s="135"/>
      <c r="H272" s="136"/>
      <c r="I272" s="136"/>
    </row>
    <row r="273" spans="7:9" x14ac:dyDescent="0.2">
      <c r="G273" s="135"/>
      <c r="H273" s="136"/>
      <c r="I273" s="136"/>
    </row>
    <row r="274" spans="7:9" x14ac:dyDescent="0.2">
      <c r="G274" s="135"/>
      <c r="H274" s="136"/>
      <c r="I274" s="136"/>
    </row>
    <row r="275" spans="7:9" x14ac:dyDescent="0.2">
      <c r="G275" s="135"/>
      <c r="H275" s="136"/>
      <c r="I275" s="136"/>
    </row>
    <row r="276" spans="7:9" x14ac:dyDescent="0.2">
      <c r="G276" s="135"/>
      <c r="H276" s="136"/>
      <c r="I276" s="136"/>
    </row>
    <row r="277" spans="7:9" x14ac:dyDescent="0.2">
      <c r="G277" s="135"/>
      <c r="H277" s="136"/>
      <c r="I277" s="136"/>
    </row>
    <row r="278" spans="7:9" x14ac:dyDescent="0.2">
      <c r="G278" s="135"/>
      <c r="H278" s="136"/>
      <c r="I278" s="136"/>
    </row>
    <row r="279" spans="7:9" x14ac:dyDescent="0.2">
      <c r="G279" s="135"/>
      <c r="H279" s="136"/>
      <c r="I279" s="136"/>
    </row>
    <row r="280" spans="7:9" x14ac:dyDescent="0.2">
      <c r="G280" s="135"/>
      <c r="H280" s="136"/>
      <c r="I280" s="136"/>
    </row>
    <row r="281" spans="7:9" x14ac:dyDescent="0.2">
      <c r="G281" s="135"/>
      <c r="H281" s="136"/>
      <c r="I281" s="136"/>
    </row>
    <row r="282" spans="7:9" x14ac:dyDescent="0.2">
      <c r="G282" s="135"/>
      <c r="H282" s="136"/>
      <c r="I282" s="136"/>
    </row>
    <row r="283" spans="7:9" x14ac:dyDescent="0.2">
      <c r="G283" s="135"/>
      <c r="H283" s="136"/>
      <c r="I283" s="136"/>
    </row>
    <row r="284" spans="7:9" x14ac:dyDescent="0.2">
      <c r="G284" s="135"/>
      <c r="H284" s="136"/>
      <c r="I284" s="136"/>
    </row>
    <row r="285" spans="7:9" x14ac:dyDescent="0.2">
      <c r="G285" s="135"/>
      <c r="H285" s="136"/>
      <c r="I285" s="136"/>
    </row>
    <row r="286" spans="7:9" x14ac:dyDescent="0.2">
      <c r="G286" s="135"/>
      <c r="H286" s="136"/>
      <c r="I286" s="136"/>
    </row>
    <row r="287" spans="7:9" x14ac:dyDescent="0.2">
      <c r="G287" s="135"/>
      <c r="H287" s="136"/>
      <c r="I287" s="136"/>
    </row>
    <row r="288" spans="7:9" x14ac:dyDescent="0.2">
      <c r="G288" s="135"/>
      <c r="H288" s="136"/>
      <c r="I288" s="136"/>
    </row>
    <row r="289" spans="7:9" x14ac:dyDescent="0.2">
      <c r="G289" s="135"/>
      <c r="H289" s="136"/>
      <c r="I289" s="136"/>
    </row>
    <row r="290" spans="7:9" x14ac:dyDescent="0.2">
      <c r="G290" s="135"/>
      <c r="H290" s="136"/>
      <c r="I290" s="136"/>
    </row>
    <row r="291" spans="7:9" x14ac:dyDescent="0.2">
      <c r="G291" s="135"/>
      <c r="H291" s="136"/>
      <c r="I291" s="136"/>
    </row>
    <row r="292" spans="7:9" x14ac:dyDescent="0.2">
      <c r="G292" s="135"/>
      <c r="H292" s="136"/>
      <c r="I292" s="136"/>
    </row>
    <row r="293" spans="7:9" x14ac:dyDescent="0.2">
      <c r="G293" s="135"/>
      <c r="H293" s="136"/>
      <c r="I293" s="136"/>
    </row>
    <row r="294" spans="7:9" x14ac:dyDescent="0.2">
      <c r="G294" s="135"/>
      <c r="H294" s="136"/>
      <c r="I294" s="136"/>
    </row>
    <row r="295" spans="7:9" x14ac:dyDescent="0.2">
      <c r="G295" s="135"/>
      <c r="H295" s="136"/>
      <c r="I295" s="136"/>
    </row>
    <row r="296" spans="7:9" x14ac:dyDescent="0.2">
      <c r="G296" s="135"/>
      <c r="H296" s="136"/>
      <c r="I296" s="136"/>
    </row>
    <row r="297" spans="7:9" x14ac:dyDescent="0.2">
      <c r="G297" s="135"/>
      <c r="H297" s="136"/>
      <c r="I297" s="136"/>
    </row>
    <row r="298" spans="7:9" x14ac:dyDescent="0.2">
      <c r="G298" s="135"/>
      <c r="H298" s="136"/>
      <c r="I298" s="136"/>
    </row>
    <row r="299" spans="7:9" x14ac:dyDescent="0.2">
      <c r="G299" s="135"/>
      <c r="H299" s="136"/>
      <c r="I299" s="136"/>
    </row>
    <row r="300" spans="7:9" x14ac:dyDescent="0.2">
      <c r="G300" s="135"/>
      <c r="H300" s="136"/>
      <c r="I300" s="136"/>
    </row>
    <row r="301" spans="7:9" x14ac:dyDescent="0.2">
      <c r="G301" s="135"/>
      <c r="H301" s="136"/>
      <c r="I301" s="136"/>
    </row>
    <row r="302" spans="7:9" x14ac:dyDescent="0.2">
      <c r="G302" s="135"/>
      <c r="H302" s="136"/>
      <c r="I302" s="136"/>
    </row>
    <row r="303" spans="7:9" x14ac:dyDescent="0.2">
      <c r="G303" s="135"/>
      <c r="H303" s="136"/>
      <c r="I303" s="136"/>
    </row>
    <row r="304" spans="7:9" x14ac:dyDescent="0.2">
      <c r="G304" s="135"/>
      <c r="H304" s="136"/>
      <c r="I304" s="136"/>
    </row>
    <row r="305" spans="7:9" x14ac:dyDescent="0.2">
      <c r="G305" s="135"/>
      <c r="H305" s="136"/>
      <c r="I305" s="136"/>
    </row>
    <row r="306" spans="7:9" x14ac:dyDescent="0.2">
      <c r="G306" s="135"/>
      <c r="H306" s="136"/>
      <c r="I306" s="136"/>
    </row>
    <row r="307" spans="7:9" x14ac:dyDescent="0.2">
      <c r="G307" s="135"/>
      <c r="H307" s="136"/>
      <c r="I307" s="136"/>
    </row>
    <row r="308" spans="7:9" x14ac:dyDescent="0.2">
      <c r="G308" s="135"/>
      <c r="H308" s="136"/>
      <c r="I308" s="136"/>
    </row>
    <row r="309" spans="7:9" x14ac:dyDescent="0.2">
      <c r="G309" s="135"/>
      <c r="H309" s="136"/>
      <c r="I309" s="136"/>
    </row>
    <row r="310" spans="7:9" x14ac:dyDescent="0.2">
      <c r="G310" s="135"/>
      <c r="H310" s="136"/>
      <c r="I310" s="136"/>
    </row>
    <row r="311" spans="7:9" x14ac:dyDescent="0.2">
      <c r="G311" s="135"/>
      <c r="H311" s="136"/>
      <c r="I311" s="136"/>
    </row>
    <row r="312" spans="7:9" x14ac:dyDescent="0.2">
      <c r="G312" s="135"/>
      <c r="H312" s="136"/>
      <c r="I312" s="136"/>
    </row>
    <row r="313" spans="7:9" x14ac:dyDescent="0.2">
      <c r="G313" s="135"/>
      <c r="H313" s="136"/>
      <c r="I313" s="136"/>
    </row>
    <row r="314" spans="7:9" x14ac:dyDescent="0.2">
      <c r="G314" s="135"/>
      <c r="H314" s="136"/>
      <c r="I314" s="136"/>
    </row>
    <row r="315" spans="7:9" x14ac:dyDescent="0.2">
      <c r="G315" s="135"/>
      <c r="H315" s="136"/>
      <c r="I315" s="136"/>
    </row>
    <row r="316" spans="7:9" x14ac:dyDescent="0.2">
      <c r="G316" s="135"/>
      <c r="H316" s="136"/>
      <c r="I316" s="136"/>
    </row>
    <row r="317" spans="7:9" x14ac:dyDescent="0.2">
      <c r="G317" s="135"/>
      <c r="H317" s="136"/>
      <c r="I317" s="136"/>
    </row>
    <row r="318" spans="7:9" x14ac:dyDescent="0.2">
      <c r="G318" s="135"/>
      <c r="H318" s="136"/>
      <c r="I318" s="136"/>
    </row>
    <row r="319" spans="7:9" x14ac:dyDescent="0.2">
      <c r="G319" s="135"/>
      <c r="H319" s="136"/>
      <c r="I319" s="136"/>
    </row>
    <row r="320" spans="7:9" x14ac:dyDescent="0.2">
      <c r="G320" s="135"/>
      <c r="H320" s="136"/>
      <c r="I320" s="136"/>
    </row>
    <row r="321" spans="7:9" x14ac:dyDescent="0.2">
      <c r="G321" s="135"/>
      <c r="H321" s="136"/>
      <c r="I321" s="136"/>
    </row>
    <row r="322" spans="7:9" x14ac:dyDescent="0.2">
      <c r="G322" s="135"/>
      <c r="H322" s="136"/>
      <c r="I322" s="136"/>
    </row>
    <row r="323" spans="7:9" x14ac:dyDescent="0.2">
      <c r="G323" s="135"/>
      <c r="H323" s="136"/>
      <c r="I323" s="136"/>
    </row>
    <row r="324" spans="7:9" x14ac:dyDescent="0.2">
      <c r="G324" s="135"/>
      <c r="H324" s="136"/>
      <c r="I324" s="136"/>
    </row>
    <row r="325" spans="7:9" x14ac:dyDescent="0.2">
      <c r="G325" s="135"/>
      <c r="H325" s="136"/>
      <c r="I325" s="136"/>
    </row>
    <row r="326" spans="7:9" x14ac:dyDescent="0.2">
      <c r="G326" s="135"/>
      <c r="H326" s="136"/>
      <c r="I326" s="136"/>
    </row>
    <row r="327" spans="7:9" x14ac:dyDescent="0.2">
      <c r="G327" s="135"/>
      <c r="H327" s="136"/>
      <c r="I327" s="136"/>
    </row>
    <row r="328" spans="7:9" x14ac:dyDescent="0.2">
      <c r="G328" s="135"/>
      <c r="H328" s="136"/>
      <c r="I328" s="136"/>
    </row>
    <row r="329" spans="7:9" x14ac:dyDescent="0.2">
      <c r="G329" s="135"/>
      <c r="H329" s="136"/>
      <c r="I329" s="136"/>
    </row>
    <row r="330" spans="7:9" x14ac:dyDescent="0.2">
      <c r="G330" s="135"/>
      <c r="H330" s="136"/>
      <c r="I330" s="136"/>
    </row>
    <row r="331" spans="7:9" x14ac:dyDescent="0.2">
      <c r="G331" s="135"/>
      <c r="H331" s="136"/>
      <c r="I331" s="136"/>
    </row>
    <row r="332" spans="7:9" x14ac:dyDescent="0.2">
      <c r="G332" s="135"/>
      <c r="H332" s="136"/>
      <c r="I332" s="136"/>
    </row>
    <row r="333" spans="7:9" x14ac:dyDescent="0.2">
      <c r="G333" s="135"/>
      <c r="H333" s="136"/>
      <c r="I333" s="136"/>
    </row>
    <row r="334" spans="7:9" x14ac:dyDescent="0.2">
      <c r="G334" s="135"/>
      <c r="H334" s="136"/>
      <c r="I334" s="136"/>
    </row>
    <row r="335" spans="7:9" x14ac:dyDescent="0.2">
      <c r="G335" s="135"/>
      <c r="H335" s="136"/>
      <c r="I335" s="136"/>
    </row>
    <row r="336" spans="7:9" x14ac:dyDescent="0.2">
      <c r="G336" s="135"/>
      <c r="H336" s="136"/>
      <c r="I336" s="136"/>
    </row>
    <row r="337" spans="7:9" x14ac:dyDescent="0.2">
      <c r="G337" s="135"/>
      <c r="H337" s="136"/>
      <c r="I337" s="136"/>
    </row>
    <row r="338" spans="7:9" x14ac:dyDescent="0.2">
      <c r="G338" s="135"/>
      <c r="H338" s="136"/>
      <c r="I338" s="136"/>
    </row>
    <row r="339" spans="7:9" x14ac:dyDescent="0.2">
      <c r="G339" s="135"/>
      <c r="H339" s="136"/>
      <c r="I339" s="136"/>
    </row>
    <row r="340" spans="7:9" x14ac:dyDescent="0.2">
      <c r="G340" s="135"/>
      <c r="H340" s="136"/>
      <c r="I340" s="136"/>
    </row>
    <row r="341" spans="7:9" x14ac:dyDescent="0.2">
      <c r="G341" s="135"/>
      <c r="H341" s="136"/>
      <c r="I341" s="136"/>
    </row>
    <row r="342" spans="7:9" x14ac:dyDescent="0.2">
      <c r="G342" s="135"/>
      <c r="H342" s="136"/>
      <c r="I342" s="136"/>
    </row>
    <row r="343" spans="7:9" x14ac:dyDescent="0.2">
      <c r="G343" s="135"/>
      <c r="H343" s="136"/>
      <c r="I343" s="136"/>
    </row>
    <row r="344" spans="7:9" x14ac:dyDescent="0.2">
      <c r="G344" s="135"/>
      <c r="H344" s="136"/>
      <c r="I344" s="136"/>
    </row>
    <row r="345" spans="7:9" x14ac:dyDescent="0.2">
      <c r="G345" s="135"/>
      <c r="H345" s="136"/>
      <c r="I345" s="136"/>
    </row>
    <row r="346" spans="7:9" x14ac:dyDescent="0.2">
      <c r="G346" s="135"/>
      <c r="H346" s="136"/>
      <c r="I346" s="136"/>
    </row>
    <row r="347" spans="7:9" x14ac:dyDescent="0.2">
      <c r="G347" s="135"/>
      <c r="H347" s="136"/>
      <c r="I347" s="136"/>
    </row>
    <row r="348" spans="7:9" x14ac:dyDescent="0.2">
      <c r="G348" s="135"/>
      <c r="H348" s="136"/>
      <c r="I348" s="136"/>
    </row>
    <row r="349" spans="7:9" x14ac:dyDescent="0.2">
      <c r="G349" s="135"/>
      <c r="H349" s="136"/>
      <c r="I349" s="136"/>
    </row>
    <row r="350" spans="7:9" x14ac:dyDescent="0.2">
      <c r="G350" s="135"/>
      <c r="H350" s="136"/>
      <c r="I350" s="136"/>
    </row>
    <row r="351" spans="7:9" x14ac:dyDescent="0.2">
      <c r="G351" s="135"/>
      <c r="H351" s="136"/>
      <c r="I351" s="136"/>
    </row>
    <row r="352" spans="7:9" x14ac:dyDescent="0.2">
      <c r="G352" s="135"/>
      <c r="H352" s="136"/>
      <c r="I352" s="136"/>
    </row>
    <row r="353" spans="7:9" x14ac:dyDescent="0.2">
      <c r="G353" s="135"/>
      <c r="H353" s="136"/>
      <c r="I353" s="136"/>
    </row>
    <row r="354" spans="7:9" x14ac:dyDescent="0.2">
      <c r="G354" s="135"/>
      <c r="H354" s="136"/>
      <c r="I354" s="136"/>
    </row>
    <row r="355" spans="7:9" x14ac:dyDescent="0.2">
      <c r="G355" s="135"/>
      <c r="H355" s="136"/>
      <c r="I355" s="136"/>
    </row>
    <row r="356" spans="7:9" x14ac:dyDescent="0.2">
      <c r="G356" s="135"/>
      <c r="H356" s="136"/>
      <c r="I356" s="136"/>
    </row>
    <row r="357" spans="7:9" x14ac:dyDescent="0.2">
      <c r="G357" s="135"/>
      <c r="H357" s="136"/>
      <c r="I357" s="136"/>
    </row>
    <row r="358" spans="7:9" x14ac:dyDescent="0.2">
      <c r="G358" s="135"/>
      <c r="H358" s="136"/>
      <c r="I358" s="136"/>
    </row>
    <row r="359" spans="7:9" x14ac:dyDescent="0.2">
      <c r="G359" s="135"/>
      <c r="H359" s="136"/>
      <c r="I359" s="136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G51"/>
  <sheetViews>
    <sheetView showGridLines="0" zoomScale="70" zoomScaleNormal="70" workbookViewId="0">
      <selection activeCell="W39" sqref="W39"/>
    </sheetView>
  </sheetViews>
  <sheetFormatPr defaultRowHeight="16.5" x14ac:dyDescent="0.2"/>
  <cols>
    <col min="1" max="1" width="2.875" style="41" customWidth="1"/>
    <col min="2" max="2" width="2.25" style="41" customWidth="1"/>
    <col min="3" max="3" width="15" style="41" customWidth="1"/>
    <col min="4" max="4" width="27.75" style="41" customWidth="1"/>
    <col min="5" max="5" width="1.375" style="41" customWidth="1"/>
    <col min="6" max="6" width="13.375" style="41" customWidth="1"/>
    <col min="7" max="7" width="14.125" style="41" customWidth="1"/>
    <col min="8" max="8" width="2.25" style="41" customWidth="1"/>
    <col min="9" max="9" width="18" style="41" customWidth="1"/>
    <col min="10" max="10" width="16" style="41" customWidth="1"/>
    <col min="11" max="11" width="1.375" style="41" customWidth="1"/>
    <col min="12" max="12" width="22.375" style="41" customWidth="1"/>
    <col min="13" max="13" width="1.375" style="41" customWidth="1"/>
    <col min="14" max="14" width="16" style="41" customWidth="1"/>
    <col min="15" max="15" width="1.375" style="41" customWidth="1"/>
    <col min="16" max="16" width="16" style="41" customWidth="1"/>
    <col min="17" max="17" width="1.375" style="41" customWidth="1"/>
    <col min="18" max="18" width="0.375" style="41" customWidth="1"/>
    <col min="19" max="19" width="2.75" style="41" customWidth="1"/>
    <col min="20" max="20" width="11.5" style="41" customWidth="1"/>
    <col min="21" max="21" width="9.75" style="41" customWidth="1"/>
    <col min="22" max="22" width="16.625" style="41" customWidth="1"/>
    <col min="23" max="23" width="14.625" style="41" customWidth="1"/>
    <col min="24" max="24" width="1.375" style="41" customWidth="1"/>
    <col min="25" max="25" width="13" style="41" bestFit="1" customWidth="1"/>
    <col min="26" max="26" width="1.375" style="41" customWidth="1"/>
    <col min="27" max="27" width="13" style="41" bestFit="1" customWidth="1"/>
    <col min="28" max="28" width="1.375" style="41" customWidth="1"/>
    <col min="29" max="29" width="13" style="41" bestFit="1" customWidth="1"/>
    <col min="30" max="30" width="1.375" style="41" customWidth="1"/>
    <col min="31" max="31" width="14.625" style="41" bestFit="1" customWidth="1"/>
    <col min="32" max="32" width="1.375" style="41" customWidth="1"/>
    <col min="33" max="33" width="2.25" style="41" customWidth="1"/>
    <col min="34" max="16384" width="9" style="41"/>
  </cols>
  <sheetData>
    <row r="1" spans="2:33" ht="12" customHeight="1" x14ac:dyDescent="0.2"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</row>
    <row r="2" spans="2:33" ht="24" customHeight="1" x14ac:dyDescent="0.5">
      <c r="C2" s="43" t="str">
        <f>[1]!S_Info_Name(D2)</f>
        <v>工商银行</v>
      </c>
      <c r="D2" s="184" t="s">
        <v>224</v>
      </c>
      <c r="F2" s="44">
        <f>预测结果!A3</f>
        <v>45657</v>
      </c>
      <c r="G2" s="45"/>
      <c r="N2" s="46"/>
      <c r="P2" s="46"/>
    </row>
    <row r="3" spans="2:33" s="7" customFormat="1" ht="12" customHeight="1" x14ac:dyDescent="0.2">
      <c r="C3" s="47"/>
      <c r="E3" s="47"/>
      <c r="F3" s="48"/>
      <c r="H3" s="47"/>
      <c r="I3" s="47"/>
      <c r="J3" s="47"/>
      <c r="K3" s="47"/>
      <c r="M3" s="47"/>
      <c r="N3" s="48"/>
      <c r="O3" s="47"/>
      <c r="P3" s="48"/>
      <c r="Q3" s="47"/>
      <c r="R3" s="47"/>
    </row>
    <row r="4" spans="2:33" s="7" customFormat="1" ht="12.75" customHeight="1" x14ac:dyDescent="0.2">
      <c r="B4" s="49"/>
      <c r="C4" s="49"/>
      <c r="D4" s="49"/>
      <c r="E4" s="49"/>
      <c r="F4" s="49"/>
      <c r="G4" s="49"/>
      <c r="H4" s="49"/>
      <c r="I4" s="49"/>
      <c r="J4" s="49"/>
      <c r="K4" s="49"/>
      <c r="L4" s="50"/>
      <c r="M4" s="50"/>
      <c r="N4" s="50"/>
      <c r="O4" s="50"/>
      <c r="P4" s="50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2:33" s="7" customFormat="1" ht="24.6" customHeight="1" x14ac:dyDescent="0.2">
      <c r="B5" s="49"/>
      <c r="C5" s="51" t="s">
        <v>13</v>
      </c>
      <c r="D5" s="51"/>
      <c r="E5" s="51"/>
      <c r="F5" s="51"/>
      <c r="G5" s="51"/>
      <c r="H5" s="49"/>
      <c r="I5" s="51" t="s">
        <v>14</v>
      </c>
      <c r="J5" s="51"/>
      <c r="K5" s="51"/>
      <c r="L5" s="51"/>
      <c r="M5" s="51"/>
      <c r="N5" s="51"/>
      <c r="O5" s="51"/>
      <c r="P5" s="51"/>
      <c r="Q5" s="51"/>
      <c r="R5" s="51"/>
      <c r="S5" s="52"/>
      <c r="T5" s="51" t="s">
        <v>15</v>
      </c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49"/>
    </row>
    <row r="6" spans="2:33" s="7" customFormat="1" ht="24.6" customHeight="1" x14ac:dyDescent="0.2">
      <c r="B6" s="49"/>
      <c r="C6" s="53" t="s">
        <v>165</v>
      </c>
      <c r="D6" s="13"/>
      <c r="E6" s="54"/>
      <c r="F6" s="13" t="str">
        <f>D2</f>
        <v>601398.SH</v>
      </c>
      <c r="G6" s="55"/>
      <c r="H6" s="49"/>
      <c r="I6" s="13"/>
      <c r="J6" s="54" t="s">
        <v>16</v>
      </c>
      <c r="K6" s="54"/>
      <c r="L6" s="54" t="s">
        <v>164</v>
      </c>
      <c r="M6" s="54"/>
      <c r="N6" s="54" t="s">
        <v>163</v>
      </c>
      <c r="O6" s="54"/>
      <c r="P6" s="54" t="s">
        <v>162</v>
      </c>
      <c r="Q6" s="54"/>
      <c r="R6" s="54"/>
      <c r="S6" s="54"/>
      <c r="T6" s="13"/>
      <c r="U6" s="13"/>
      <c r="V6" s="13"/>
      <c r="W6" s="54" t="s">
        <v>16</v>
      </c>
      <c r="X6" s="54"/>
      <c r="Y6" s="54" t="s">
        <v>18</v>
      </c>
      <c r="Z6" s="54"/>
      <c r="AA6" s="54" t="s">
        <v>19</v>
      </c>
      <c r="AB6" s="54"/>
      <c r="AC6" s="54" t="s">
        <v>20</v>
      </c>
      <c r="AD6" s="54"/>
      <c r="AE6" s="54" t="s">
        <v>21</v>
      </c>
      <c r="AF6" s="54"/>
      <c r="AG6" s="49"/>
    </row>
    <row r="7" spans="2:33" s="7" customFormat="1" ht="24.6" customHeight="1" x14ac:dyDescent="0.2">
      <c r="B7" s="49"/>
      <c r="C7" s="56" t="s">
        <v>22</v>
      </c>
      <c r="D7" s="20"/>
      <c r="E7" s="57"/>
      <c r="F7" s="20" t="str">
        <f>[1]!S_Info_Name(F6)</f>
        <v>工商银行</v>
      </c>
      <c r="G7" s="20"/>
      <c r="H7" s="49"/>
      <c r="I7" s="20"/>
      <c r="J7" s="57">
        <f>DATE(YEAR(F2),MONTH([1]!hks_info_fiscaldate(D2))-11,0)</f>
        <v>45291</v>
      </c>
      <c r="K7" s="57"/>
      <c r="L7" s="57">
        <f>DATE(YEAR(J7),MONTH(J7)+13,0)</f>
        <v>45657</v>
      </c>
      <c r="M7" s="57"/>
      <c r="N7" s="57">
        <f>DATE(YEAR(L7),MONTH(L7)+13,0)</f>
        <v>46022</v>
      </c>
      <c r="O7" s="57"/>
      <c r="P7" s="57">
        <f>DATE(YEAR(N7),MONTH(N7)+13,0)</f>
        <v>46387</v>
      </c>
      <c r="Q7" s="57"/>
      <c r="R7" s="57"/>
      <c r="S7" s="54"/>
      <c r="T7" s="20"/>
      <c r="U7" s="20"/>
      <c r="V7" s="20"/>
      <c r="W7" s="57">
        <f>DATE(YEAR(F2),MONTH([1]!hks_info_fiscaldate(D2))-11,0)</f>
        <v>45291</v>
      </c>
      <c r="X7" s="57"/>
      <c r="Y7" s="57">
        <f>DATE(YEAR(W7),MONTH(W7)+13,0)</f>
        <v>45657</v>
      </c>
      <c r="Z7" s="57"/>
      <c r="AA7" s="57">
        <f>DATE(YEAR(Y7),MONTH(Y7)+13,0)</f>
        <v>46022</v>
      </c>
      <c r="AB7" s="57"/>
      <c r="AC7" s="57">
        <f>DATE(YEAR(AA7),MONTH(AA7)+13,0)</f>
        <v>46387</v>
      </c>
      <c r="AD7" s="57"/>
      <c r="AE7" s="57">
        <f>DATE(YEAR(AC7),MONTH(AC7)+13,0)</f>
        <v>46752</v>
      </c>
      <c r="AF7" s="57"/>
      <c r="AG7" s="49"/>
    </row>
    <row r="8" spans="2:33" s="7" customFormat="1" ht="24.6" customHeight="1" x14ac:dyDescent="0.2">
      <c r="B8" s="49"/>
      <c r="C8" s="53" t="s">
        <v>161</v>
      </c>
      <c r="D8" s="13"/>
      <c r="E8" s="58"/>
      <c r="F8" s="13" t="str">
        <f>[1]!s_info_compname(F6)</f>
        <v>中国工商银行股份有限公司</v>
      </c>
      <c r="G8" s="13"/>
      <c r="H8" s="49"/>
      <c r="I8" s="53" t="s">
        <v>23</v>
      </c>
      <c r="J8" s="58">
        <f>IF([1]!s_fa_bps2(D2,J7,"Cur=CNY"),[1]!s_fa_bps2(D2,J7,"Cur=CNY"),"NA")</f>
        <v>9.5467999999999993</v>
      </c>
      <c r="K8" s="58"/>
      <c r="L8" s="58">
        <f>IF([1]!s_west_medianbps($D$2,YEAR(L7),L7,180)=0,"NA",[1]!s_west_medianbps($D$2,YEAR(L7),L7,180))</f>
        <v>10.250100135803223</v>
      </c>
      <c r="M8" s="58"/>
      <c r="N8" s="58">
        <f>IF([1]!s_west_medianbps($D$2,YEAR(N7),N7,180)=0,"NA",[1]!s_west_medianbps($D$2,YEAR(N7),N7,180))</f>
        <v>10.980099678039551</v>
      </c>
      <c r="O8" s="58"/>
      <c r="P8" s="58">
        <f>IF([1]!s_west_medianbps($D$2,YEAR(P7),P7,180)=0,"NA",[1]!s_west_medianbps($D$2,YEAR(P7),P7,180))</f>
        <v>11.730099678039551</v>
      </c>
      <c r="Q8" s="58"/>
      <c r="R8" s="58"/>
      <c r="S8" s="54"/>
      <c r="T8" s="53" t="s">
        <v>24</v>
      </c>
      <c r="U8" s="13"/>
      <c r="V8" s="13"/>
      <c r="W8" s="60">
        <f>[1]!S_STM07_BS($D$2,"W22016741",DATE(YEAR(W7)-1,MONTH(W7),DAY(W7)),1,100000000)</f>
        <v>34951.71</v>
      </c>
      <c r="X8" s="58"/>
      <c r="Y8" s="60">
        <f>W12</f>
        <v>37568.870000000003</v>
      </c>
      <c r="Z8" s="58"/>
      <c r="AA8" s="60" t="str">
        <f>Y12</f>
        <v/>
      </c>
      <c r="AB8" s="58"/>
      <c r="AC8" s="60" t="str">
        <f>AA12</f>
        <v/>
      </c>
      <c r="AD8" s="58"/>
      <c r="AE8" s="60" t="str">
        <f>AC12</f>
        <v/>
      </c>
      <c r="AF8" s="58"/>
      <c r="AG8" s="49"/>
    </row>
    <row r="9" spans="2:33" s="7" customFormat="1" ht="24.6" customHeight="1" thickBot="1" x14ac:dyDescent="0.25">
      <c r="B9" s="49"/>
      <c r="C9" s="61" t="s">
        <v>160</v>
      </c>
      <c r="D9" s="62"/>
      <c r="E9" s="62"/>
      <c r="F9" s="62" t="str">
        <f>[1]!s_info_industry_gics(F6,4)</f>
        <v>多元化银行</v>
      </c>
      <c r="G9" s="62"/>
      <c r="H9" s="49"/>
      <c r="I9" s="56" t="s">
        <v>26</v>
      </c>
      <c r="J9" s="63">
        <f>IF([1]!s_fa_eps_basic2(D2,J7,"Cur=CNY"),[1]!s_fa_eps_basic2(D2,J7,"Cur=CNY"),"NA")</f>
        <v>0.98</v>
      </c>
      <c r="K9" s="63"/>
      <c r="L9" s="63" t="str">
        <f>IF([1]!s_west_eps($D2,YEAR(L7),$F$2,180)=0,"NA",[1]!s_west_eps($D2,YEAR(L7),$F$2,180))</f>
        <v>NA</v>
      </c>
      <c r="M9" s="63"/>
      <c r="N9" s="63" t="str">
        <f>IF([1]!s_west_eps($D2,YEAR(N7),$F$2,180)=0,"NA",[1]!s_west_eps($D2,YEAR(N7),$F$2,180))</f>
        <v>NA</v>
      </c>
      <c r="O9" s="63"/>
      <c r="P9" s="63" t="str">
        <f>IF([1]!s_west_eps($D2,YEAR(P7),$F$2,180)=0,"NA",[1]!s_west_eps($D2,YEAR(P7),$F$2,180))</f>
        <v>NA</v>
      </c>
      <c r="Q9" s="63"/>
      <c r="R9" s="63"/>
      <c r="S9" s="54"/>
      <c r="T9" s="20"/>
      <c r="U9" s="20" t="s">
        <v>159</v>
      </c>
      <c r="V9" s="20"/>
      <c r="W9" s="65">
        <f>[1]!S_STM07_IS(D2,"W33736906",W7,1,100000000)</f>
        <v>3651.16</v>
      </c>
      <c r="X9" s="63"/>
      <c r="Y9" s="65" t="str">
        <f>IFERROR(L9*$F$25/10000,"")</f>
        <v/>
      </c>
      <c r="Z9" s="63"/>
      <c r="AA9" s="65" t="str">
        <f>IFERROR(N9*$F$25/10000,"")</f>
        <v/>
      </c>
      <c r="AB9" s="63"/>
      <c r="AC9" s="65" t="str">
        <f>IFERROR(P9*$F$25/10000,"")</f>
        <v/>
      </c>
      <c r="AD9" s="63"/>
      <c r="AE9" s="65" t="str">
        <f>IFERROR(#REF!*$F$25/10000,"")</f>
        <v/>
      </c>
      <c r="AF9" s="63"/>
      <c r="AG9" s="49"/>
    </row>
    <row r="10" spans="2:33" s="7" customFormat="1" ht="24.6" customHeight="1" x14ac:dyDescent="0.2">
      <c r="B10" s="49"/>
      <c r="C10" s="49"/>
      <c r="D10" s="49"/>
      <c r="E10" s="58"/>
      <c r="F10" s="49"/>
      <c r="G10" s="49"/>
      <c r="H10" s="49"/>
      <c r="I10" s="53" t="s">
        <v>27</v>
      </c>
      <c r="J10" s="58" t="str">
        <f>IF([1]!s_div_cashbeforetax(D2,J7),[1]!s_div_cashbeforetax(D2,J7),"NA")</f>
        <v>NA</v>
      </c>
      <c r="K10" s="58"/>
      <c r="L10" s="58">
        <f>IF([1]!s_est_avgdps($D$2,YEAR(L7),$F$2)=0,"NA",[1]!s_est_avgdps($D$2,YEAR(L7),$F$2))</f>
        <v>0.309</v>
      </c>
      <c r="M10" s="58"/>
      <c r="N10" s="58">
        <f>IF([1]!s_est_avgdps($D$2,YEAR(N7),$F$2)=0,"NA",[1]!s_est_avgdps($D$2,YEAR(N7),$F$2))</f>
        <v>0.31219999999999998</v>
      </c>
      <c r="O10" s="58"/>
      <c r="P10" s="58">
        <f>IF([1]!s_est_avgdps($D$2,YEAR(P7),$F$2)=0,"NA",[1]!s_est_avgdps($D$2,YEAR(P7),$F$2))</f>
        <v>0.32</v>
      </c>
      <c r="Q10" s="58"/>
      <c r="R10" s="58"/>
      <c r="S10" s="54"/>
      <c r="T10" s="13"/>
      <c r="U10" s="13" t="s">
        <v>28</v>
      </c>
      <c r="V10" s="13"/>
      <c r="W10" s="59"/>
      <c r="X10" s="58"/>
      <c r="Y10" s="60">
        <f>IFERROR(L10*$F$25/10000,"")</f>
        <v>1101.2953344050097</v>
      </c>
      <c r="Z10" s="58"/>
      <c r="AA10" s="60">
        <f>IFERROR(N10*$F$25/10000,"")</f>
        <v>1112.7003346318579</v>
      </c>
      <c r="AB10" s="58"/>
      <c r="AC10" s="60">
        <f>IFERROR(P10*$F$25/10000,"")</f>
        <v>1140.5000226847999</v>
      </c>
      <c r="AD10" s="58"/>
      <c r="AE10" s="60" t="str">
        <f>IFERROR(#REF!*$F$25/10000,"")</f>
        <v/>
      </c>
      <c r="AF10" s="58"/>
      <c r="AG10" s="49"/>
    </row>
    <row r="11" spans="2:33" s="7" customFormat="1" ht="24.6" customHeight="1" x14ac:dyDescent="0.2">
      <c r="B11" s="49"/>
      <c r="C11" s="51" t="s">
        <v>29</v>
      </c>
      <c r="D11" s="51"/>
      <c r="E11" s="51"/>
      <c r="F11" s="51"/>
      <c r="G11" s="51"/>
      <c r="H11" s="49"/>
      <c r="I11" s="56" t="s">
        <v>158</v>
      </c>
      <c r="J11" s="90">
        <f>IF([1]!s_fa_roe(D2,J7)/100,[1]!s_fa_roe(D2,J7)/100,"NA")</f>
        <v>0.100383</v>
      </c>
      <c r="K11" s="90"/>
      <c r="L11" s="90">
        <f>IF([1]!s_est_avgroe($D$2,YEAR(L7),$F$2)/100=0,"NA",[1]!s_est_avgroe($D$2,YEAR(L7),$F$2)/100)</f>
        <v>0.10060600280761718</v>
      </c>
      <c r="M11" s="90"/>
      <c r="N11" s="90">
        <f>IF([1]!s_est_avgroe($D$2,YEAR(N7),$F$2)/100=0,"NA",[1]!s_est_avgroe($D$2,YEAR(N7),$F$2)/100)</f>
        <v>9.6312999725341797E-2</v>
      </c>
      <c r="O11" s="90"/>
      <c r="P11" s="90">
        <f>IF([1]!s_est_avgroe($D$2,YEAR(P7),$F$2)/100=0,"NA",[1]!s_est_avgroe($D$2,YEAR(P7),$F$2)/100)</f>
        <v>9.2586002349853522E-2</v>
      </c>
      <c r="Q11" s="66"/>
      <c r="R11" s="63"/>
      <c r="S11" s="54"/>
      <c r="T11" s="20"/>
      <c r="U11" s="20" t="s">
        <v>31</v>
      </c>
      <c r="V11" s="20"/>
      <c r="W11" s="64"/>
      <c r="X11" s="63"/>
      <c r="Y11" s="65"/>
      <c r="Z11" s="63"/>
      <c r="AA11" s="65"/>
      <c r="AB11" s="63"/>
      <c r="AC11" s="65"/>
      <c r="AD11" s="63"/>
      <c r="AE11" s="65"/>
      <c r="AF11" s="63"/>
      <c r="AG11" s="49"/>
    </row>
    <row r="12" spans="2:33" s="7" customFormat="1" ht="24.6" customHeight="1" x14ac:dyDescent="0.2">
      <c r="B12" s="49"/>
      <c r="C12" s="53" t="s">
        <v>157</v>
      </c>
      <c r="D12" s="13"/>
      <c r="E12" s="58"/>
      <c r="F12" s="67" t="str">
        <f>[1]!lastradeday_s(D2,F2)</f>
        <v>2024-04-25</v>
      </c>
      <c r="G12" s="49"/>
      <c r="H12" s="49"/>
      <c r="I12" s="53" t="s">
        <v>156</v>
      </c>
      <c r="J12" s="79">
        <f>[1]!s_fa_roa(D2,J7)/100</f>
        <v>8.6619999999999996E-3</v>
      </c>
      <c r="K12" s="79"/>
      <c r="L12" s="79">
        <f>IF([1]!s_est_avgroa($D$2,YEAR(L7),$F$2)/100=0,"NA",[1]!s_est_avgroa($D$2,YEAR(L7),$F$2)/100)</f>
        <v>8.0059999999999992E-3</v>
      </c>
      <c r="M12" s="79"/>
      <c r="N12" s="79">
        <f>IF([1]!s_est_avgroa($D$2,YEAR(N7),$F$2)/100=0,"NA",[1]!s_est_avgroa($D$2,YEAR(N7),$F$2)/100)</f>
        <v>7.2629999999999995E-3</v>
      </c>
      <c r="O12" s="79"/>
      <c r="P12" s="79">
        <f>IF([1]!s_est_avgroa($D$2,YEAR(P7),$F$2)/100=0,"NA",[1]!s_est_avgroa($D$2,YEAR(P7),$F$2)/100)</f>
        <v>6.7859999999999995E-3</v>
      </c>
      <c r="Q12" s="68"/>
      <c r="R12" s="58"/>
      <c r="S12" s="54"/>
      <c r="T12" s="53" t="s">
        <v>155</v>
      </c>
      <c r="U12" s="13"/>
      <c r="V12" s="13"/>
      <c r="W12" s="60">
        <f>[1]!S_STM07_BS($D$2,"W22016741",DATE(YEAR(W7),MONTH(W7),DAY(W7)),1,100000000)</f>
        <v>37568.870000000003</v>
      </c>
      <c r="X12" s="58"/>
      <c r="Y12" s="60" t="str">
        <f>IFERROR(Y8+Y9-Y10,"")</f>
        <v/>
      </c>
      <c r="Z12" s="58"/>
      <c r="AA12" s="60" t="str">
        <f>IFERROR(AA8+AA9-AA10,"")</f>
        <v/>
      </c>
      <c r="AB12" s="58"/>
      <c r="AC12" s="60" t="str">
        <f>IFERROR(AC8+AC9-AC10,"")</f>
        <v/>
      </c>
      <c r="AD12" s="58"/>
      <c r="AE12" s="60" t="str">
        <f>IFERROR(AE8+AE9-AE10,"")</f>
        <v/>
      </c>
      <c r="AF12" s="58"/>
      <c r="AG12" s="49"/>
    </row>
    <row r="13" spans="2:33" s="7" customFormat="1" ht="24.6" customHeight="1" x14ac:dyDescent="0.2">
      <c r="B13" s="49"/>
      <c r="C13" s="56" t="s">
        <v>33</v>
      </c>
      <c r="D13" s="20"/>
      <c r="E13" s="64"/>
      <c r="F13" s="69">
        <f>[1]!S_DQ_CLOSE(D2,F12,1)</f>
        <v>5.49</v>
      </c>
      <c r="G13" s="70"/>
      <c r="H13" s="49"/>
      <c r="I13" s="56" t="s">
        <v>154</v>
      </c>
      <c r="J13" s="63">
        <f>[1]!s_fa_ebit2(D2,J7,1,100000000)</f>
        <v>6051.42</v>
      </c>
      <c r="K13" s="63"/>
      <c r="L13" s="63" t="str">
        <f>IF([1]!s_est_avgebit($D$2,YEAR(L7),L7,100000000)=0,"NA",[1]!s_est_avgebit($D$2,YEAR(L7),L7,100000000))</f>
        <v>NA</v>
      </c>
      <c r="M13" s="63"/>
      <c r="N13" s="63" t="str">
        <f>IF([1]!s_est_avgebit($D$2,YEAR(N7),N7,100000000)=0,"NA",[1]!s_est_avgebit($D$2,YEAR(N7),N7,100000000))</f>
        <v>NA</v>
      </c>
      <c r="O13" s="63"/>
      <c r="P13" s="63" t="str">
        <f>IF([1]!s_est_avgebit($D$2,YEAR(P7),P7,100000000)=0,"NA",[1]!s_est_avgebit($D$2,YEAR(P7),P7,100000000))</f>
        <v>NA</v>
      </c>
      <c r="Q13" s="64"/>
      <c r="R13" s="64"/>
      <c r="S13" s="54"/>
      <c r="T13" s="20"/>
      <c r="U13" s="20"/>
      <c r="V13" s="20"/>
      <c r="W13" s="71"/>
      <c r="X13" s="64"/>
      <c r="Y13" s="65"/>
      <c r="Z13" s="64"/>
      <c r="AA13" s="65"/>
      <c r="AB13" s="64"/>
      <c r="AC13" s="65"/>
      <c r="AD13" s="64"/>
      <c r="AE13" s="65"/>
      <c r="AF13" s="64"/>
      <c r="AG13" s="49"/>
    </row>
    <row r="14" spans="2:33" s="7" customFormat="1" ht="24.6" customHeight="1" x14ac:dyDescent="0.2">
      <c r="B14" s="49"/>
      <c r="C14" s="53" t="s">
        <v>211</v>
      </c>
      <c r="D14" s="13"/>
      <c r="E14" s="59"/>
      <c r="F14" s="72" t="str">
        <f>[1]!hks_info_tradecur(D2)</f>
        <v>CNY</v>
      </c>
      <c r="G14" s="49"/>
      <c r="H14" s="49"/>
      <c r="I14" s="53" t="s">
        <v>35</v>
      </c>
      <c r="J14" s="58">
        <f>[1]!s_fa_ebitda2(D2,J7,1,100000000)</f>
        <v>6399.16</v>
      </c>
      <c r="K14" s="58"/>
      <c r="L14" s="58" t="str">
        <f>IF([1]!s_est_AVGebitda($D$2,YEAR(L7),L7,100000000)=0,"NA",[1]!s_est_AVGebitda($D$2,YEAR(L7),L7,100000000))</f>
        <v>NA</v>
      </c>
      <c r="M14" s="58"/>
      <c r="N14" s="58" t="str">
        <f>IF([1]!s_est_AVGebitda($D$2,YEAR(N7),N7,100000000)=0,"NA",[1]!s_est_AVGebitda($D$2,YEAR(N7),N7,100000000))</f>
        <v>NA</v>
      </c>
      <c r="O14" s="58"/>
      <c r="P14" s="58" t="str">
        <f>IF([1]!s_est_AVGebitda($D$2,YEAR(P7),P7,100000000)=0,"NA",[1]!s_est_AVGebitda($D$2,YEAR(P7),P7,100000000))</f>
        <v>NA</v>
      </c>
      <c r="Q14" s="59"/>
      <c r="R14" s="59"/>
      <c r="S14" s="54"/>
      <c r="T14" s="53" t="s">
        <v>153</v>
      </c>
      <c r="U14" s="13"/>
      <c r="V14" s="13"/>
      <c r="W14" s="60">
        <f>IFERROR(W8-AC29,"NA")</f>
        <v>34476.42</v>
      </c>
      <c r="X14" s="59"/>
      <c r="Y14" s="60">
        <f>IFERROR(W15,"")</f>
        <v>37059.93</v>
      </c>
      <c r="Z14" s="59"/>
      <c r="AA14" s="60" t="str">
        <f>IFERROR(Y15,"")</f>
        <v/>
      </c>
      <c r="AB14" s="59"/>
      <c r="AC14" s="60" t="str">
        <f>IFERROR(AA15,"")</f>
        <v/>
      </c>
      <c r="AD14" s="59"/>
      <c r="AE14" s="60" t="str">
        <f>IFERROR(AC15,"")</f>
        <v/>
      </c>
      <c r="AF14" s="59"/>
      <c r="AG14" s="49"/>
    </row>
    <row r="15" spans="2:33" s="7" customFormat="1" ht="24.6" customHeight="1" x14ac:dyDescent="0.2">
      <c r="B15" s="49"/>
      <c r="C15" s="56" t="s">
        <v>152</v>
      </c>
      <c r="D15" s="20"/>
      <c r="E15" s="64"/>
      <c r="F15" s="74">
        <f>[1]!s_dq_volume(D2,F12,10000)</f>
        <v>16507.455600000001</v>
      </c>
      <c r="G15" s="70"/>
      <c r="H15" s="49"/>
      <c r="I15" s="56" t="s">
        <v>36</v>
      </c>
      <c r="J15" s="64">
        <f>[1]!S_STM07_IS(D2,"W31737944",J7,1,100000000)</f>
        <v>8430.7000000000007</v>
      </c>
      <c r="K15" s="64"/>
      <c r="L15" s="64">
        <f>IF( [1]!s_est_sales($D$2,YEAR(L7),L7,100000000)=0,"NA", [1]!s_est_sales($D$2,YEAR(L7),L7,100000000))</f>
        <v>8311.2493749999994</v>
      </c>
      <c r="M15" s="64"/>
      <c r="N15" s="64">
        <f>IF( [1]!s_est_sales($D$2,YEAR(N7),N7,100000000)=0,"NA", [1]!s_est_sales($D$2,YEAR(N7),N7,100000000))</f>
        <v>8610.796875</v>
      </c>
      <c r="O15" s="64"/>
      <c r="P15" s="64">
        <f>IF( [1]!s_est_sales($D$2,YEAR(P7),P7,100000000)=0,"NA", [1]!s_est_sales($D$2,YEAR(P7),P7,100000000))</f>
        <v>8740.3407142899996</v>
      </c>
      <c r="Q15" s="64"/>
      <c r="R15" s="64"/>
      <c r="S15" s="54"/>
      <c r="T15" s="56" t="s">
        <v>151</v>
      </c>
      <c r="U15" s="20"/>
      <c r="V15" s="20"/>
      <c r="W15" s="65">
        <f>IFERROR(W12-$AE29,"NA")</f>
        <v>37059.93</v>
      </c>
      <c r="X15" s="64"/>
      <c r="Y15" s="65" t="str">
        <f>IFERROR(Y12-$AE29,"")</f>
        <v/>
      </c>
      <c r="Z15" s="64"/>
      <c r="AA15" s="65" t="str">
        <f>IFERROR(AA12-$AE29,"")</f>
        <v/>
      </c>
      <c r="AB15" s="64"/>
      <c r="AC15" s="65" t="str">
        <f>IFERROR(AC12-$AE29,"")</f>
        <v/>
      </c>
      <c r="AD15" s="64"/>
      <c r="AE15" s="65" t="str">
        <f>IFERROR(AE12-$AE29,"")</f>
        <v/>
      </c>
      <c r="AF15" s="64"/>
      <c r="AG15" s="49"/>
    </row>
    <row r="16" spans="2:33" s="7" customFormat="1" ht="24.6" customHeight="1" x14ac:dyDescent="0.2">
      <c r="B16" s="49"/>
      <c r="C16" s="53" t="s">
        <v>37</v>
      </c>
      <c r="D16" s="13"/>
      <c r="E16" s="59"/>
      <c r="F16" s="72">
        <f>[1]!s_pq_highclose(D2,DATE(YEAR(F12)-1,MONTH(F12),DAY(F12)),F12,1)</f>
        <v>5.55</v>
      </c>
      <c r="G16" s="49"/>
      <c r="H16" s="49"/>
      <c r="I16" s="53" t="s">
        <v>150</v>
      </c>
      <c r="J16" s="59">
        <f>[1]!S_STM07_IS(D2,"W38046687",J7,1,100000000)</f>
        <v>4219.66</v>
      </c>
      <c r="K16" s="59"/>
      <c r="L16" s="59">
        <f>IF( [1]!s_est_avgebt($D$2,YEAR(L7),L7,100000000)=0,"NA", [1]!s_est_avgebt($D$2,YEAR(L7),L7,100000000))</f>
        <v>4257.6223076899996</v>
      </c>
      <c r="M16" s="59"/>
      <c r="N16" s="59">
        <f>IF( [1]!s_est_avgebt($D$2,YEAR(N7),N7,100000000)=0,"NA", [1]!s_est_avgebt($D$2,YEAR(N7),N7,100000000))</f>
        <v>4408.0223076900002</v>
      </c>
      <c r="O16" s="59"/>
      <c r="P16" s="59">
        <f>IF( [1]!s_est_avgebt($D$2,YEAR(P7),P7,100000000)=0,"NA", [1]!s_est_avgebt($D$2,YEAR(P7),P7,100000000))</f>
        <v>4495.6736363600003</v>
      </c>
      <c r="Q16" s="59"/>
      <c r="R16" s="59"/>
      <c r="S16" s="54"/>
      <c r="T16" s="13"/>
      <c r="U16" s="13"/>
      <c r="V16" s="13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49"/>
    </row>
    <row r="17" spans="2:33" s="7" customFormat="1" ht="24.6" customHeight="1" x14ac:dyDescent="0.2">
      <c r="B17" s="49"/>
      <c r="C17" s="56" t="s">
        <v>149</v>
      </c>
      <c r="D17" s="20"/>
      <c r="E17" s="64"/>
      <c r="F17" s="75">
        <f>F13/16</f>
        <v>0.34312500000000001</v>
      </c>
      <c r="G17" s="70"/>
      <c r="H17" s="49"/>
      <c r="I17" s="56" t="s">
        <v>148</v>
      </c>
      <c r="J17" s="64">
        <f>[1]!S_STM07_IS(D2,"W37790734",J7,1,100000000)</f>
        <v>3651.16</v>
      </c>
      <c r="K17" s="64"/>
      <c r="L17" s="64">
        <f>IF( [1]!s_est_netprofit($D$2,YEAR(L7),L7,100000000)=0,"NA", [1]!s_est_netprofit($D$2,YEAR(L7),L7,100000000))</f>
        <v>3604.0406250000001</v>
      </c>
      <c r="M17" s="64"/>
      <c r="N17" s="64">
        <f>IF( [1]!s_est_netprofit($D$2,YEAR(N7),N7,100000000)=0,"NA", [1]!s_est_netprofit($D$2,YEAR(N7),N7,100000000))</f>
        <v>3703.9906249999999</v>
      </c>
      <c r="O17" s="64"/>
      <c r="P17" s="64">
        <f>IF( [1]!s_est_netprofit($D$2,YEAR(P7),P7,100000000)=0,"NA", [1]!s_est_netprofit($D$2,YEAR(P7),P7,100000000))</f>
        <v>3803.3985714300002</v>
      </c>
      <c r="Q17" s="64"/>
      <c r="R17" s="64"/>
      <c r="S17" s="54"/>
      <c r="T17" s="56" t="s">
        <v>147</v>
      </c>
      <c r="U17" s="20"/>
      <c r="V17" s="20"/>
      <c r="W17" s="65">
        <f>IFERROR(AC27,"NA")</f>
        <v>396096.57</v>
      </c>
      <c r="X17" s="64"/>
      <c r="Y17" s="64"/>
      <c r="Z17" s="64"/>
      <c r="AA17" s="64"/>
      <c r="AB17" s="64"/>
      <c r="AC17" s="64"/>
      <c r="AD17" s="64"/>
      <c r="AE17" s="64"/>
      <c r="AF17" s="64"/>
      <c r="AG17" s="49"/>
    </row>
    <row r="18" spans="2:33" s="7" customFormat="1" ht="24.6" customHeight="1" thickBot="1" x14ac:dyDescent="0.25">
      <c r="B18" s="49"/>
      <c r="C18" s="53" t="s">
        <v>146</v>
      </c>
      <c r="D18" s="13"/>
      <c r="E18" s="58"/>
      <c r="F18" s="72">
        <f>[1]!s_pq_lowclose(D2,DATE(YEAR(F12)-1,MONTH(F12),DAY(F12)),F12,1)</f>
        <v>4.54</v>
      </c>
      <c r="G18" s="49"/>
      <c r="H18" s="49"/>
      <c r="I18" s="76" t="s">
        <v>42</v>
      </c>
      <c r="J18" s="77">
        <f>[1]!S_STM07_IS(D2,"W39201613",J7,1,100000000)</f>
        <v>4207.6000000000004</v>
      </c>
      <c r="K18" s="77"/>
      <c r="L18" s="77">
        <f>IF( [1]!s_est_avgoperatingprofit($D$2,YEAR(L7),L7,100000000)=0,"NA", [1]!s_est_avgoperatingprofit($D$2,YEAR(L7),L7,100000000))</f>
        <v>4174.8149999999996</v>
      </c>
      <c r="M18" s="77"/>
      <c r="N18" s="77">
        <f>IF( [1]!s_est_avgoperatingprofit($D$2,YEAR(N7),N7,100000000)=0,"NA", [1]!s_est_avgoperatingprofit($D$2,YEAR(N7),N7,100000000))</f>
        <v>4371.3366666700003</v>
      </c>
      <c r="O18" s="77"/>
      <c r="P18" s="77">
        <f>IF( [1]!s_est_avgoperatingprofit($D$2,YEAR(P7),P7,100000000)=0,"NA", [1]!s_est_avgoperatingprofit($D$2,YEAR(P7),P7,100000000))</f>
        <v>4456.4340000000002</v>
      </c>
      <c r="Q18" s="77"/>
      <c r="R18" s="77"/>
      <c r="S18" s="54"/>
      <c r="T18" s="53" t="s">
        <v>145</v>
      </c>
      <c r="U18" s="13"/>
      <c r="V18" s="13"/>
      <c r="W18" s="60">
        <f>IFERROR(AE27,"NA")</f>
        <v>446970.79</v>
      </c>
      <c r="X18" s="54"/>
      <c r="Y18" s="59"/>
      <c r="Z18" s="54"/>
      <c r="AA18" s="59"/>
      <c r="AB18" s="54"/>
      <c r="AC18" s="59"/>
      <c r="AD18" s="54"/>
      <c r="AE18" s="59"/>
      <c r="AF18" s="54"/>
      <c r="AG18" s="49"/>
    </row>
    <row r="19" spans="2:33" s="7" customFormat="1" ht="24.6" customHeight="1" x14ac:dyDescent="0.2">
      <c r="B19" s="49"/>
      <c r="C19" s="56" t="s">
        <v>144</v>
      </c>
      <c r="D19" s="20"/>
      <c r="E19" s="64"/>
      <c r="F19" s="75">
        <f>F13/F18</f>
        <v>1.2092511013215859</v>
      </c>
      <c r="G19" s="70"/>
      <c r="H19" s="49"/>
      <c r="I19" s="49"/>
      <c r="J19" s="172"/>
      <c r="K19" s="172"/>
      <c r="L19" s="173"/>
      <c r="M19" s="172"/>
      <c r="N19" s="173"/>
      <c r="O19" s="173"/>
      <c r="P19" s="173"/>
      <c r="Q19" s="49"/>
      <c r="R19" s="49"/>
      <c r="S19" s="54"/>
      <c r="T19" s="20"/>
      <c r="U19" s="20"/>
      <c r="V19" s="20"/>
      <c r="W19" s="64" t="str">
        <f>IF([1]!s_west_medianebt($D$2,YEAR(W10),W10,180,100000000)=0,"",[1]!s_west_medianebt($D$2,YEAR(W10),W10,180,100000000))</f>
        <v/>
      </c>
      <c r="X19" s="57"/>
      <c r="Y19" s="64"/>
      <c r="Z19" s="57"/>
      <c r="AA19" s="64"/>
      <c r="AB19" s="57"/>
      <c r="AC19" s="64"/>
      <c r="AD19" s="57"/>
      <c r="AE19" s="64"/>
      <c r="AF19" s="57"/>
      <c r="AG19" s="49"/>
    </row>
    <row r="20" spans="2:33" s="7" customFormat="1" ht="24.6" customHeight="1" x14ac:dyDescent="0.2">
      <c r="B20" s="49"/>
      <c r="C20" s="53" t="s">
        <v>143</v>
      </c>
      <c r="D20" s="13"/>
      <c r="E20" s="59"/>
      <c r="F20" s="78">
        <f>[1]!s_risk_stdevy(D2,DATE(YEAR(F12)-1,MONTH(F12),DAY(F12)),F12,2,1)</f>
        <v>16.846215571796304</v>
      </c>
      <c r="G20" s="49"/>
      <c r="H20" s="49"/>
      <c r="I20" s="51" t="s">
        <v>142</v>
      </c>
      <c r="J20" s="174"/>
      <c r="K20" s="174"/>
      <c r="L20" s="174"/>
      <c r="M20" s="174"/>
      <c r="N20" s="174"/>
      <c r="O20" s="174"/>
      <c r="P20" s="174"/>
      <c r="Q20" s="51"/>
      <c r="R20" s="49"/>
      <c r="S20" s="54"/>
      <c r="T20" s="53" t="s">
        <v>44</v>
      </c>
      <c r="U20" s="13"/>
      <c r="V20" s="13"/>
      <c r="W20" s="79">
        <f>IF(ISERROR(W9/AVERAGE(W8,W12)), "NA", W9/AVERAGE(W8,W12))</f>
        <v>0.10069307222860048</v>
      </c>
      <c r="X20" s="58"/>
      <c r="Y20" s="79" t="str">
        <f>IF(ISERROR(Y9/AVERAGE(Y8,Y12)), "NA", Y9/AVERAGE(Y8,Y12))</f>
        <v>NA</v>
      </c>
      <c r="Z20" s="58"/>
      <c r="AA20" s="79" t="str">
        <f>IF(ISERROR(AA9/AVERAGE(AA8,AA12)), "NA", AA9/AVERAGE(AA8,AA12))</f>
        <v>NA</v>
      </c>
      <c r="AB20" s="58"/>
      <c r="AC20" s="79" t="str">
        <f>IF(ISERROR(AC9/AVERAGE(AC8,AC12)), "NA", AC9/AVERAGE(AC8,AC12))</f>
        <v>NA</v>
      </c>
      <c r="AD20" s="58"/>
      <c r="AE20" s="79" t="str">
        <f>IFERROR((AE9/AVERAGE(AE8,AE12)), "NA")</f>
        <v>NA</v>
      </c>
      <c r="AF20" s="58"/>
      <c r="AG20" s="49"/>
    </row>
    <row r="21" spans="2:33" s="7" customFormat="1" ht="24.6" customHeight="1" thickBot="1" x14ac:dyDescent="0.25">
      <c r="B21" s="49"/>
      <c r="C21" s="56" t="s">
        <v>45</v>
      </c>
      <c r="D21" s="20"/>
      <c r="E21" s="64"/>
      <c r="F21" s="80">
        <f>[1]!risk_beta(D2,DATE(YEAR(F12)-1,MONTH(F12),DAY(F12)),F12,2,1,"000001.SH")</f>
        <v>0.38468348583879686</v>
      </c>
      <c r="G21" s="70"/>
      <c r="H21" s="49"/>
      <c r="I21" s="13"/>
      <c r="J21" s="175" t="s">
        <v>16</v>
      </c>
      <c r="K21" s="175"/>
      <c r="L21" s="175" t="s">
        <v>18</v>
      </c>
      <c r="M21" s="175"/>
      <c r="N21" s="175" t="s">
        <v>19</v>
      </c>
      <c r="O21" s="175"/>
      <c r="P21" s="175" t="s">
        <v>20</v>
      </c>
      <c r="Q21" s="49"/>
      <c r="R21" s="49"/>
      <c r="S21" s="49"/>
      <c r="T21" s="61" t="s">
        <v>141</v>
      </c>
      <c r="U21" s="62"/>
      <c r="V21" s="62"/>
      <c r="W21" s="81">
        <f>IF(ISERROR(W9/AVERAGE(W14,W15)), "NA", W9/AVERAGE(W14,W15))</f>
        <v>0.10207845382102944</v>
      </c>
      <c r="X21" s="82"/>
      <c r="Y21" s="81" t="str">
        <f>IF(ISERROR(Y9/AVERAGE(Y14,Y15)), "NA", Y9/AVERAGE(Y14,Y15))</f>
        <v>NA</v>
      </c>
      <c r="Z21" s="82"/>
      <c r="AA21" s="81" t="str">
        <f>IF(ISERROR(AA9/AVERAGE(AA14,AA15)), "NA", AA9/AVERAGE(AA14,AA15))</f>
        <v>NA</v>
      </c>
      <c r="AB21" s="82"/>
      <c r="AC21" s="81" t="str">
        <f>IF(ISERROR(AC9/AVERAGE(AC14,AC15)), "NA", AC9/AVERAGE(AC14,AC15))</f>
        <v>NA</v>
      </c>
      <c r="AD21" s="82"/>
      <c r="AE21" s="81" t="str">
        <f>IF(ISERROR(AE9/AVERAGE(AE14,AE15)), "NA", AE9/AVERAGE(AE14,AE15))</f>
        <v>NA</v>
      </c>
      <c r="AF21" s="82"/>
      <c r="AG21" s="49"/>
    </row>
    <row r="22" spans="2:33" s="7" customFormat="1" ht="24.6" customHeight="1" thickBot="1" x14ac:dyDescent="0.25">
      <c r="B22" s="49"/>
      <c r="C22" s="76" t="s">
        <v>140</v>
      </c>
      <c r="D22" s="83"/>
      <c r="E22" s="84"/>
      <c r="F22" s="85">
        <f>[1]!s_div_aualaccmdiv2(D2,DATE(YEAR(F12)-1,MONTH(F12),DAY(F12)),F12,"",10000)</f>
        <v>8182730.6505586505</v>
      </c>
      <c r="G22" s="84"/>
      <c r="H22" s="49"/>
      <c r="I22" s="20"/>
      <c r="J22" s="176" t="str">
        <f>YEAR(J7)&amp;"A"</f>
        <v>2023A</v>
      </c>
      <c r="K22" s="176"/>
      <c r="L22" s="176" t="str">
        <f>YEAR(L7)&amp;"E"</f>
        <v>2024E</v>
      </c>
      <c r="M22" s="176"/>
      <c r="N22" s="176" t="str">
        <f>YEAR(N7)&amp;"E"</f>
        <v>2025E</v>
      </c>
      <c r="O22" s="176"/>
      <c r="P22" s="176" t="str">
        <f>YEAR(P7)&amp;"E"</f>
        <v>2026E</v>
      </c>
      <c r="Q22" s="70"/>
      <c r="R22" s="49"/>
      <c r="S22" s="49"/>
      <c r="T22" s="49"/>
      <c r="U22" s="49"/>
      <c r="V22" s="49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49"/>
    </row>
    <row r="23" spans="2:33" s="7" customFormat="1" ht="24.6" customHeight="1" x14ac:dyDescent="0.2">
      <c r="B23" s="49"/>
      <c r="C23" s="49"/>
      <c r="D23" s="49"/>
      <c r="E23" s="49"/>
      <c r="F23" s="49"/>
      <c r="G23" s="49"/>
      <c r="H23" s="49"/>
      <c r="I23" s="53" t="s">
        <v>139</v>
      </c>
      <c r="J23" s="58">
        <f>IFERROR(ROUND($F$13/HLOOKUP(DATE(LEFT(J22,4),12,31),$I$7:$P$18,3,0),2),"  NA")</f>
        <v>5.6</v>
      </c>
      <c r="K23" s="58"/>
      <c r="L23" s="58" t="str">
        <f t="shared" ref="L23:P23" si="0">IFERROR(ROUND($F$13/HLOOKUP(DATE(LEFT(L22,4),12,31),$I$7:$P$18,3,0),2),"  NA")</f>
        <v xml:space="preserve">  NA</v>
      </c>
      <c r="M23" s="58"/>
      <c r="N23" s="58" t="str">
        <f t="shared" si="0"/>
        <v xml:space="preserve">  NA</v>
      </c>
      <c r="O23" s="58"/>
      <c r="P23" s="58" t="str">
        <f t="shared" si="0"/>
        <v xml:space="preserve">  NA</v>
      </c>
      <c r="Q23" s="49"/>
      <c r="R23" s="49"/>
      <c r="S23" s="49"/>
      <c r="T23" s="51" t="s">
        <v>47</v>
      </c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49"/>
    </row>
    <row r="24" spans="2:33" s="7" customFormat="1" ht="24.6" customHeight="1" x14ac:dyDescent="0.2">
      <c r="B24" s="49"/>
      <c r="C24" s="51" t="s">
        <v>210</v>
      </c>
      <c r="D24" s="51"/>
      <c r="E24" s="51"/>
      <c r="F24" s="51"/>
      <c r="G24" s="51"/>
      <c r="H24" s="49"/>
      <c r="I24" s="56" t="s">
        <v>138</v>
      </c>
      <c r="J24" s="63">
        <f>IFERROR(ROUND($F$13/HLOOKUP(DATE(LEFT(J22,4),12,31),$I$7:$P$18,2,0),2),"  NA")</f>
        <v>0.57999999999999996</v>
      </c>
      <c r="K24" s="63"/>
      <c r="L24" s="63">
        <f>IFERROR(ROUND($F$13/HLOOKUP(DATE(LEFT(L22,4),12,31),$I$7:$P$18,2,0),2),"  NA")</f>
        <v>0.54</v>
      </c>
      <c r="M24" s="63"/>
      <c r="N24" s="63">
        <f>IFERROR(ROUND($F$13/HLOOKUP(DATE(LEFT(N22,4),12,31),$I$7:$P$18,2,0),2),"  NA")</f>
        <v>0.5</v>
      </c>
      <c r="O24" s="63"/>
      <c r="P24" s="63">
        <f>IFERROR(ROUND($F$13/HLOOKUP(DATE(LEFT(P22,4),12,31),$I$7:$P$18,2,0),2),"  NA")</f>
        <v>0.47</v>
      </c>
      <c r="Q24" s="70"/>
      <c r="R24" s="49"/>
      <c r="S24" s="49"/>
      <c r="T24" s="13"/>
      <c r="U24" s="13"/>
      <c r="V24" s="13"/>
      <c r="W24" s="54" t="s">
        <v>137</v>
      </c>
      <c r="X24" s="54"/>
      <c r="Y24" s="54" t="s">
        <v>136</v>
      </c>
      <c r="Z24" s="54"/>
      <c r="AA24" s="54" t="s">
        <v>135</v>
      </c>
      <c r="AB24" s="54"/>
      <c r="AC24" s="54" t="s">
        <v>134</v>
      </c>
      <c r="AD24" s="54"/>
      <c r="AE24" s="54" t="s">
        <v>133</v>
      </c>
      <c r="AF24" s="54"/>
      <c r="AG24" s="49"/>
    </row>
    <row r="25" spans="2:33" s="7" customFormat="1" ht="24.6" customHeight="1" x14ac:dyDescent="0.2">
      <c r="B25" s="49"/>
      <c r="C25" s="53" t="s">
        <v>132</v>
      </c>
      <c r="D25" s="13"/>
      <c r="E25" s="58"/>
      <c r="F25" s="88">
        <f>[1]!S_SHARE_TOTAL(D2,F12,10000)</f>
        <v>35640625.708899997</v>
      </c>
      <c r="G25" s="49"/>
      <c r="H25" s="49"/>
      <c r="I25" s="53" t="s">
        <v>53</v>
      </c>
      <c r="J25" s="177" t="str">
        <f>IFERROR(HLOOKUP(DATE(LEFT(J22,4),12,31),$I$7:$P$18,4,0)/$F$13,"NA")</f>
        <v>NA</v>
      </c>
      <c r="K25" s="177"/>
      <c r="L25" s="177">
        <f>IFERROR(HLOOKUP(DATE(LEFT(L22,4),12,31),$I$7:$P$18,4,0)/$F$13,"NA")</f>
        <v>5.628415300546448E-2</v>
      </c>
      <c r="M25" s="177"/>
      <c r="N25" s="177">
        <f>IFERROR(HLOOKUP(DATE(LEFT(N22,4),12,31),$I$7:$P$18,4,0)/$F$13,"NA")</f>
        <v>5.6867030965391613E-2</v>
      </c>
      <c r="O25" s="58"/>
      <c r="P25" s="177">
        <f>IFERROR(HLOOKUP(DATE(LEFT(P22,4),12,31),$I$7:$P$18,4,0)/$F$13,"NA")</f>
        <v>5.8287795992714025E-2</v>
      </c>
      <c r="Q25" s="49"/>
      <c r="R25" s="49"/>
      <c r="S25" s="49"/>
      <c r="T25" s="20"/>
      <c r="U25" s="20"/>
      <c r="V25" s="20"/>
      <c r="W25" s="57">
        <f>DATE(YEAR(Y25),MONTH(Y25)-11,0)</f>
        <v>43830</v>
      </c>
      <c r="X25" s="57"/>
      <c r="Y25" s="57">
        <f>DATE(YEAR(AA25),MONTH(AA25)-11,0)</f>
        <v>44196</v>
      </c>
      <c r="Z25" s="57"/>
      <c r="AA25" s="57">
        <f>DATE(YEAR(AC25),MONTH(AC25)-11,0)</f>
        <v>44561</v>
      </c>
      <c r="AB25" s="57"/>
      <c r="AC25" s="57">
        <f>DATE(YEAR(AE25),MONTH(AE25)-11,0)</f>
        <v>44926</v>
      </c>
      <c r="AD25" s="57"/>
      <c r="AE25" s="57">
        <f>DATE(YEAR(F2),MONTH([1]!hks_info_fiscaldate(D2))-11,0)</f>
        <v>45291</v>
      </c>
      <c r="AF25" s="57"/>
      <c r="AG25" s="49"/>
    </row>
    <row r="26" spans="2:33" s="7" customFormat="1" ht="24.6" customHeight="1" x14ac:dyDescent="0.2">
      <c r="B26" s="49"/>
      <c r="C26" s="20"/>
      <c r="D26" s="20" t="s">
        <v>131</v>
      </c>
      <c r="E26" s="64"/>
      <c r="F26" s="89"/>
      <c r="G26" s="70"/>
      <c r="H26" s="49"/>
      <c r="I26" s="56" t="s">
        <v>130</v>
      </c>
      <c r="J26" s="90">
        <f>IFERROR(HLOOKUP(DATE(LEFT(J22,4),12,31),$I$7:$P$18,5,0),"NA")</f>
        <v>0.100383</v>
      </c>
      <c r="K26" s="90"/>
      <c r="L26" s="90">
        <f>IFERROR(HLOOKUP(DATE(LEFT(L22,4),12,31),$I$7:$P$18,5,0),"NA")</f>
        <v>0.10060600280761718</v>
      </c>
      <c r="M26" s="90"/>
      <c r="N26" s="90">
        <f>IFERROR(HLOOKUP(DATE(LEFT(N22,4),12,31),$I$7:$P$18,5,0),"NA")</f>
        <v>9.6312999725341797E-2</v>
      </c>
      <c r="O26" s="90"/>
      <c r="P26" s="90">
        <f>IFERROR(HLOOKUP(DATE(LEFT(P22,4),12,31),$I$7:$P$18,5,0),"NA")</f>
        <v>9.2586002349853522E-2</v>
      </c>
      <c r="Q26" s="70"/>
      <c r="R26" s="49"/>
      <c r="S26" s="49"/>
      <c r="T26" s="53" t="s">
        <v>129</v>
      </c>
      <c r="U26" s="13"/>
      <c r="V26" s="13"/>
      <c r="W26" s="59"/>
      <c r="X26" s="58"/>
      <c r="Y26" s="59"/>
      <c r="Z26" s="58"/>
      <c r="AA26" s="59"/>
      <c r="AB26" s="58"/>
      <c r="AC26" s="59"/>
      <c r="AD26" s="58"/>
      <c r="AE26" s="59"/>
      <c r="AF26" s="58"/>
      <c r="AG26" s="49"/>
    </row>
    <row r="27" spans="2:33" s="7" customFormat="1" ht="24.6" customHeight="1" x14ac:dyDescent="0.2">
      <c r="B27" s="49"/>
      <c r="C27" s="13"/>
      <c r="D27" s="13" t="s">
        <v>128</v>
      </c>
      <c r="E27" s="59"/>
      <c r="F27" s="88"/>
      <c r="G27" s="49"/>
      <c r="H27" s="49"/>
      <c r="I27" s="53" t="s">
        <v>127</v>
      </c>
      <c r="J27" s="79">
        <f>IFERROR(HLOOKUP(DATE(LEFT(J22,4),12,31),$I$7:$P$18,6,0),"NA")</f>
        <v>8.6619999999999996E-3</v>
      </c>
      <c r="K27" s="79"/>
      <c r="L27" s="79">
        <f>IFERROR(HLOOKUP(DATE(LEFT(L22,4),12,31),$I$7:$P$18,6,0),"NA")</f>
        <v>8.0059999999999992E-3</v>
      </c>
      <c r="M27" s="79"/>
      <c r="N27" s="79">
        <f>IFERROR(HLOOKUP(DATE(LEFT(N22,4),12,31),$I$7:$P$18,6,0),"NA")</f>
        <v>7.2629999999999995E-3</v>
      </c>
      <c r="O27" s="79"/>
      <c r="P27" s="79">
        <f>IFERROR(HLOOKUP(DATE(LEFT(P22,4),12,31),$I$7:$P$18,6,0),"NA")</f>
        <v>6.7859999999999995E-3</v>
      </c>
      <c r="Q27" s="49"/>
      <c r="R27" s="49"/>
      <c r="S27" s="49"/>
      <c r="T27" s="20"/>
      <c r="U27" s="20" t="s">
        <v>126</v>
      </c>
      <c r="V27" s="20"/>
      <c r="W27" s="65">
        <f>[1]!S_STM07_BS($D$2,"W34853906",W25,1,100000000)</f>
        <v>301094.36</v>
      </c>
      <c r="X27" s="63"/>
      <c r="Y27" s="65">
        <f>[1]!S_STM07_BS($D$2,"W34853906",Y25,1,100000000)</f>
        <v>333450.58</v>
      </c>
      <c r="Z27" s="63"/>
      <c r="AA27" s="65">
        <f>[1]!S_STM07_BS($D$2,"W34853906",AA25,1,100000000)</f>
        <v>351713.83</v>
      </c>
      <c r="AB27" s="63"/>
      <c r="AC27" s="65">
        <f>[1]!S_STM07_BS($D$2,"W34853906",AC25,1,100000000)</f>
        <v>396096.57</v>
      </c>
      <c r="AD27" s="63"/>
      <c r="AE27" s="65">
        <f>[1]!S_STM07_BS($D$2,"W34853906",AE25,1,100000000)</f>
        <v>446970.79</v>
      </c>
      <c r="AF27" s="63"/>
      <c r="AG27" s="49"/>
    </row>
    <row r="28" spans="2:33" s="7" customFormat="1" ht="24.6" customHeight="1" x14ac:dyDescent="0.2">
      <c r="B28" s="49"/>
      <c r="C28" s="20"/>
      <c r="D28" s="20" t="s">
        <v>125</v>
      </c>
      <c r="E28" s="64" t="s">
        <v>124</v>
      </c>
      <c r="F28" s="89"/>
      <c r="G28" s="70"/>
      <c r="H28" s="49"/>
      <c r="I28" s="56" t="s">
        <v>123</v>
      </c>
      <c r="J28" s="64">
        <f>IFERROR(ROUND(HLOOKUP(DATE(LEFT(J22,4),12,31),$I$7:$P$18,7,0),2),"NA")</f>
        <v>6051.42</v>
      </c>
      <c r="K28" s="64"/>
      <c r="L28" s="64" t="str">
        <f>IFERROR(ROUND(HLOOKUP(DATE(LEFT(L22,4),12,31),$I$7:$P$18,7,0),2),"NA")</f>
        <v>NA</v>
      </c>
      <c r="M28" s="64"/>
      <c r="N28" s="64" t="str">
        <f>IFERROR(ROUND(HLOOKUP(DATE(LEFT(N22,4),12,31),$I$7:$P$18,7,0),2),"NA")</f>
        <v>NA</v>
      </c>
      <c r="O28" s="64"/>
      <c r="P28" s="64" t="str">
        <f>IFERROR(ROUND(HLOOKUP(DATE(LEFT(P22,4),12,31),$I$7:$P$18,7,0),2),"NA")</f>
        <v>NA</v>
      </c>
      <c r="Q28" s="70"/>
      <c r="R28" s="49"/>
      <c r="S28" s="49"/>
      <c r="T28" s="13"/>
      <c r="U28" s="13" t="s">
        <v>57</v>
      </c>
      <c r="V28" s="13"/>
      <c r="W28" s="60">
        <f>[1]!S_STM07_BS($D$2,"W33507207",W25,1,100000000)</f>
        <v>2449.02</v>
      </c>
      <c r="X28" s="58"/>
      <c r="Y28" s="60">
        <f>[1]!S_STM07_BS($D$2,"W33507207",Y25,1,100000000)</f>
        <v>2490.67</v>
      </c>
      <c r="Z28" s="58"/>
      <c r="AA28" s="60">
        <f>[1]!S_STM07_BS($D$2,"W33507207",AA25,1,100000000)</f>
        <v>2700.17</v>
      </c>
      <c r="AB28" s="58"/>
      <c r="AC28" s="60">
        <f>[1]!S_STM07_BS($D$2,"W33507207",AC25,1,100000000)</f>
        <v>2748.39</v>
      </c>
      <c r="AD28" s="58"/>
      <c r="AE28" s="60">
        <f>[1]!S_STM07_BS($D$2,"W33507207",AE25,1,100000000)</f>
        <v>2728.32</v>
      </c>
      <c r="AF28" s="58"/>
      <c r="AG28" s="49"/>
    </row>
    <row r="29" spans="2:33" s="7" customFormat="1" ht="24.6" customHeight="1" x14ac:dyDescent="0.2">
      <c r="B29" s="49"/>
      <c r="C29" s="13"/>
      <c r="D29" s="13" t="s">
        <v>122</v>
      </c>
      <c r="E29" s="59"/>
      <c r="F29" s="194"/>
      <c r="G29" s="49"/>
      <c r="H29" s="49"/>
      <c r="I29" s="53" t="s">
        <v>121</v>
      </c>
      <c r="J29" s="59">
        <f>IFERROR(ROUND(HLOOKUP(DATE(LEFT(J22,4),12,31),$I$7:$P$18,8,0),2),"NA")</f>
        <v>6399.16</v>
      </c>
      <c r="K29" s="59"/>
      <c r="L29" s="59" t="str">
        <f>IFERROR(ROUND(HLOOKUP(DATE(LEFT(L22,4),12,31),$I$7:$P$18,8,0),2),"NA")</f>
        <v>NA</v>
      </c>
      <c r="M29" s="59"/>
      <c r="N29" s="59" t="str">
        <f>IFERROR(ROUND(HLOOKUP(DATE(LEFT(N22,4),12,31),$I$7:$P$18,8,0),2),"NA")</f>
        <v>NA</v>
      </c>
      <c r="O29" s="59"/>
      <c r="P29" s="59" t="str">
        <f>IFERROR(ROUND(HLOOKUP(DATE(LEFT(P22,4),12,31),$I$7:$P$18,8,0),2),"NA")</f>
        <v>NA</v>
      </c>
      <c r="Q29" s="49"/>
      <c r="R29" s="49"/>
      <c r="S29" s="49"/>
      <c r="T29" s="20"/>
      <c r="U29" s="20" t="s">
        <v>120</v>
      </c>
      <c r="V29" s="20"/>
      <c r="W29" s="65">
        <f>[1]!S_STMNOTE_AssetDetail($D$2,"W32371214",W25,100000000)</f>
        <v>393.34</v>
      </c>
      <c r="X29" s="63"/>
      <c r="Y29" s="65">
        <f>[1]!S_STMNOTE_AssetDetail($D$2,"W32371214",Y25,100000000)</f>
        <v>420.39</v>
      </c>
      <c r="Z29" s="63"/>
      <c r="AA29" s="65">
        <f>[1]!S_STMNOTE_AssetDetail($D$2,"W32371214",AA25,100000000)</f>
        <v>439.12</v>
      </c>
      <c r="AB29" s="63"/>
      <c r="AC29" s="65">
        <f>[1]!S_STMNOTE_AssetDetail($D$2,"W32371214",AC25,100000000)</f>
        <v>475.29</v>
      </c>
      <c r="AD29" s="63"/>
      <c r="AE29" s="65">
        <f>[1]!S_STMNOTE_AssetDetail($D$2,"W32371214",AE25,100000000)</f>
        <v>508.94</v>
      </c>
      <c r="AF29" s="63"/>
      <c r="AG29" s="49"/>
    </row>
    <row r="30" spans="2:33" s="7" customFormat="1" ht="24.6" customHeight="1" x14ac:dyDescent="0.2">
      <c r="B30" s="49"/>
      <c r="C30" s="20"/>
      <c r="D30" s="20" t="s">
        <v>119</v>
      </c>
      <c r="E30" s="64"/>
      <c r="F30" s="89"/>
      <c r="G30" s="70"/>
      <c r="H30" s="49"/>
      <c r="I30" s="56" t="s">
        <v>118</v>
      </c>
      <c r="J30" s="64">
        <f>IFERROR(ROUND(HLOOKUP(DATE(LEFT(J22,4),12,31),$I$7:$P$18,9,0),2),"NA")</f>
        <v>8430.7000000000007</v>
      </c>
      <c r="K30" s="64"/>
      <c r="L30" s="64">
        <f>IFERROR(ROUND(HLOOKUP(DATE(LEFT(L22,4),12,31),$I$7:$P$18,9,0),2),"NA")</f>
        <v>8311.25</v>
      </c>
      <c r="M30" s="64"/>
      <c r="N30" s="64">
        <f>IFERROR(ROUND(HLOOKUP(DATE(LEFT(N22,4),12,31),$I$7:$P$18,9,0),2),"NA")</f>
        <v>8610.7999999999993</v>
      </c>
      <c r="O30" s="64"/>
      <c r="P30" s="64">
        <f>IFERROR(ROUND(HLOOKUP(DATE(LEFT(P22,4),12,31),$I$7:$P$18,9,0),2),"NA")</f>
        <v>8740.34</v>
      </c>
      <c r="Q30" s="70"/>
      <c r="R30" s="49"/>
      <c r="S30" s="49"/>
      <c r="T30" s="13"/>
      <c r="U30" s="13" t="s">
        <v>117</v>
      </c>
      <c r="V30" s="13"/>
      <c r="W30" s="60">
        <f>[1]!S_STM07_BS($D$2,"W34656681",W25,1,100000000)</f>
        <v>26761.86</v>
      </c>
      <c r="X30" s="58"/>
      <c r="Y30" s="60">
        <f>[1]!S_STM07_BS($D$2,"W34656681",Y25,1,100000000)</f>
        <v>28935.02</v>
      </c>
      <c r="Z30" s="58"/>
      <c r="AA30" s="60">
        <f>[1]!S_STM07_BS($D$2,"W34656681",AA25,1,100000000)</f>
        <v>32577.55</v>
      </c>
      <c r="AB30" s="58"/>
      <c r="AC30" s="60">
        <f>[1]!S_STM07_BS($D$2,"W34656681",AC25,1,100000000)</f>
        <v>34951.71</v>
      </c>
      <c r="AD30" s="58"/>
      <c r="AE30" s="60">
        <f>[1]!S_STM07_BS($D$2,"W34656681",AE25,1,100000000)</f>
        <v>37568.870000000003</v>
      </c>
      <c r="AF30" s="58"/>
      <c r="AG30" s="49"/>
    </row>
    <row r="31" spans="2:33" s="7" customFormat="1" ht="24.6" customHeight="1" x14ac:dyDescent="0.2">
      <c r="B31" s="49"/>
      <c r="C31" s="13"/>
      <c r="D31" s="13" t="s">
        <v>116</v>
      </c>
      <c r="E31" s="58"/>
      <c r="F31" s="193"/>
      <c r="G31" s="49"/>
      <c r="H31" s="49"/>
      <c r="I31" s="53" t="s">
        <v>115</v>
      </c>
      <c r="J31" s="59">
        <f>IFERROR(ROUND(HLOOKUP(DATE(LEFT(J22,4),12,31),$I$7:$P$18,10,0),2),"NA")</f>
        <v>4219.66</v>
      </c>
      <c r="K31" s="59"/>
      <c r="L31" s="59">
        <f>IFERROR(ROUND(HLOOKUP(DATE(LEFT(L22,4),12,31),$I$7:$P$18,10,0),2),"NA")</f>
        <v>4257.62</v>
      </c>
      <c r="M31" s="59"/>
      <c r="N31" s="59">
        <f>IFERROR(ROUND(HLOOKUP(DATE(LEFT(N22,4),12,31),$I$7:$P$18,10,0),2),"NA")</f>
        <v>4408.0200000000004</v>
      </c>
      <c r="O31" s="59"/>
      <c r="P31" s="59">
        <f>IFERROR(ROUND(HLOOKUP(DATE(LEFT(P22,4),12,31),$I$7:$P$18,10,0),2),"NA")</f>
        <v>4495.67</v>
      </c>
      <c r="Q31" s="49"/>
      <c r="R31" s="49"/>
      <c r="S31" s="49"/>
      <c r="T31" s="56" t="s">
        <v>114</v>
      </c>
      <c r="U31" s="20"/>
      <c r="V31" s="20"/>
      <c r="W31" s="71"/>
      <c r="X31" s="64"/>
      <c r="Y31" s="71"/>
      <c r="Z31" s="64"/>
      <c r="AA31" s="71"/>
      <c r="AB31" s="64"/>
      <c r="AC31" s="71"/>
      <c r="AD31" s="64"/>
      <c r="AE31" s="71"/>
      <c r="AF31" s="64"/>
      <c r="AG31" s="49"/>
    </row>
    <row r="32" spans="2:33" s="7" customFormat="1" ht="24.6" customHeight="1" x14ac:dyDescent="0.2">
      <c r="B32" s="49"/>
      <c r="C32" s="56" t="s">
        <v>113</v>
      </c>
      <c r="D32" s="20"/>
      <c r="E32" s="64"/>
      <c r="F32" s="89">
        <f>SUM(F25,F26:F31)</f>
        <v>35640625.708899997</v>
      </c>
      <c r="G32" s="70"/>
      <c r="H32" s="49"/>
      <c r="I32" s="56" t="s">
        <v>112</v>
      </c>
      <c r="J32" s="64">
        <f>IFERROR(ROUND(HLOOKUP(DATE(LEFT(J22,4),12,31),$I$7:$P$18,11,0),2),"NA")</f>
        <v>3651.16</v>
      </c>
      <c r="K32" s="64"/>
      <c r="L32" s="64">
        <f>IFERROR(ROUND(HLOOKUP(DATE(LEFT(L22,4),12,31),$I$7:$P$18,11,0),2),"NA")</f>
        <v>3604.04</v>
      </c>
      <c r="M32" s="64"/>
      <c r="N32" s="64">
        <f>IFERROR(ROUND(HLOOKUP(DATE(LEFT(N22,4),12,31),$I$7:$P$18,11,0),2),"NA")</f>
        <v>3703.99</v>
      </c>
      <c r="O32" s="64"/>
      <c r="P32" s="64">
        <f>IFERROR(ROUND(HLOOKUP(DATE(LEFT(P22,4),12,31),$I$7:$P$18,11,0),2),"NA")</f>
        <v>3803.4</v>
      </c>
      <c r="Q32" s="70"/>
      <c r="R32" s="49"/>
      <c r="S32" s="49"/>
      <c r="T32" s="13"/>
      <c r="U32" s="13" t="s">
        <v>111</v>
      </c>
      <c r="V32" s="13"/>
      <c r="W32" s="60">
        <f>[1]!S_STM07_IS($D$2,"W33865145",W25,1,100000000)</f>
        <v>8551.64</v>
      </c>
      <c r="X32" s="59"/>
      <c r="Y32" s="60">
        <f>[1]!S_STM07_IS($D$2,"W33865145",Y25,1,100000000)</f>
        <v>8826.65</v>
      </c>
      <c r="Z32" s="59"/>
      <c r="AA32" s="60">
        <f>[1]!S_STM07_IS($D$2,"W33865145",AA25,1,100000000)</f>
        <v>9427.6200000000008</v>
      </c>
      <c r="AB32" s="59"/>
      <c r="AC32" s="60">
        <f>[1]!S_STM07_IS($D$2,"W33865145",AC25,1,100000000)</f>
        <v>9179.89</v>
      </c>
      <c r="AD32" s="59"/>
      <c r="AE32" s="60">
        <f>[1]!S_STM07_IS($D$2,"W33865145",AE25,1,100000000)</f>
        <v>8430.7000000000007</v>
      </c>
      <c r="AF32" s="59"/>
      <c r="AG32" s="49"/>
    </row>
    <row r="33" spans="2:33" s="7" customFormat="1" ht="24.6" customHeight="1" thickBot="1" x14ac:dyDescent="0.25">
      <c r="B33" s="49"/>
      <c r="C33" s="53" t="s">
        <v>110</v>
      </c>
      <c r="D33" s="13"/>
      <c r="E33" s="59"/>
      <c r="F33" s="88">
        <f>[1]!s_val_ev(D2,F12,100000000)</f>
        <v>18085.982445969574</v>
      </c>
      <c r="G33" s="49"/>
      <c r="H33" s="49"/>
      <c r="I33" s="76" t="s">
        <v>109</v>
      </c>
      <c r="J33" s="77">
        <f>IFERROR(ROUND(HLOOKUP(DATE(LEFT(J22,4),12,31),$I$7:$P$18,12,0),2),"NA")</f>
        <v>4207.6000000000004</v>
      </c>
      <c r="K33" s="77"/>
      <c r="L33" s="77">
        <f>IFERROR(ROUND(HLOOKUP(DATE(LEFT(L22,4),12,31),$I$7:$P$18,12,0),2),"NA")</f>
        <v>4174.82</v>
      </c>
      <c r="M33" s="77"/>
      <c r="N33" s="77">
        <f>IFERROR(ROUND(HLOOKUP(DATE(LEFT(N22,4),12,31),$I$7:$P$18,12,0),2),"NA")</f>
        <v>4371.34</v>
      </c>
      <c r="O33" s="77"/>
      <c r="P33" s="77">
        <f>IFERROR(ROUND(HLOOKUP(DATE(LEFT(P22,4),12,31),$I$7:$P$18,12,0),2),"NA")</f>
        <v>4456.43</v>
      </c>
      <c r="Q33" s="84"/>
      <c r="R33" s="49"/>
      <c r="S33" s="49"/>
      <c r="T33" s="20"/>
      <c r="U33" s="20" t="s">
        <v>108</v>
      </c>
      <c r="V33" s="20"/>
      <c r="W33" s="65">
        <f>[1]!S_STM07_IS($D$2,"W32436009",W25,1,100000000)</f>
        <v>4645.96</v>
      </c>
      <c r="X33" s="64"/>
      <c r="Y33" s="65">
        <f>[1]!S_STM07_IS($D$2,"W32436009",Y25,1,100000000)</f>
        <v>4912.83</v>
      </c>
      <c r="Z33" s="64"/>
      <c r="AA33" s="65">
        <f>[1]!S_STM07_IS($D$2,"W32436009",AA25,1,100000000)</f>
        <v>5191.9799999999996</v>
      </c>
      <c r="AB33" s="64"/>
      <c r="AC33" s="65">
        <f>[1]!S_STM07_IS($D$2,"W32436009",AC25,1,100000000)</f>
        <v>4976.1099999999997</v>
      </c>
      <c r="AD33" s="64"/>
      <c r="AE33" s="65">
        <f>[1]!S_STM07_IS($D$2,"W32436009",AE25,1,100000000)</f>
        <v>4223.1000000000004</v>
      </c>
      <c r="AF33" s="64"/>
      <c r="AG33" s="49"/>
    </row>
    <row r="34" spans="2:33" s="7" customFormat="1" ht="24.6" customHeight="1" x14ac:dyDescent="0.2">
      <c r="B34" s="49"/>
      <c r="C34" s="56" t="s">
        <v>107</v>
      </c>
      <c r="D34" s="20"/>
      <c r="E34" s="64"/>
      <c r="F34" s="89">
        <f>F13*F32/10000</f>
        <v>19566.703514186098</v>
      </c>
      <c r="G34" s="70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13"/>
      <c r="U34" s="13" t="s">
        <v>106</v>
      </c>
      <c r="V34" s="13"/>
      <c r="W34" s="60">
        <f>[1]!S_STM07_IS($D$2,"W30028333",W25,1,100000000)</f>
        <v>3122.24</v>
      </c>
      <c r="X34" s="59"/>
      <c r="Y34" s="60">
        <f>[1]!S_STM07_IS($D$2,"W30028333",Y25,1,100000000)</f>
        <v>3159.06</v>
      </c>
      <c r="Z34" s="59"/>
      <c r="AA34" s="60">
        <f>[1]!S_STM07_IS($D$2,"W30028333",AA25,1,100000000)</f>
        <v>3483.38</v>
      </c>
      <c r="AB34" s="59"/>
      <c r="AC34" s="60">
        <f>[1]!S_STM07_IS($D$2,"W30028333",AC25,1,100000000)</f>
        <v>3604.83</v>
      </c>
      <c r="AD34" s="59"/>
      <c r="AE34" s="60">
        <f>[1]!S_STM07_IS($D$2,"W30028333",AE25,1,100000000)</f>
        <v>3639.93</v>
      </c>
      <c r="AF34" s="59"/>
      <c r="AG34" s="49"/>
    </row>
    <row r="35" spans="2:33" s="7" customFormat="1" ht="24.6" customHeight="1" thickBot="1" x14ac:dyDescent="0.25">
      <c r="B35" s="49"/>
      <c r="C35" s="76" t="s">
        <v>214</v>
      </c>
      <c r="D35" s="77"/>
      <c r="E35" s="77"/>
      <c r="F35" s="169">
        <f>[1]!s_val_ev1($D$2,$F$2,100000000)</f>
        <v>407488.38244596962</v>
      </c>
      <c r="G35" s="77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95"/>
      <c r="T35" s="56" t="s">
        <v>65</v>
      </c>
      <c r="U35" s="20"/>
      <c r="V35" s="20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49"/>
    </row>
    <row r="36" spans="2:33" s="7" customFormat="1" ht="24.6" customHeight="1" x14ac:dyDescent="0.2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96"/>
      <c r="M36" s="96"/>
      <c r="N36" s="96"/>
      <c r="O36" s="96"/>
      <c r="P36" s="161"/>
      <c r="Q36" s="49"/>
      <c r="R36" s="49"/>
      <c r="S36" s="49"/>
      <c r="T36" s="13"/>
      <c r="U36" s="13" t="s">
        <v>104</v>
      </c>
      <c r="V36" s="13"/>
      <c r="W36" s="58">
        <f>[1]!s_fa_bps2($D$2,W25,"")</f>
        <v>6.9303999999999997</v>
      </c>
      <c r="X36" s="54"/>
      <c r="Y36" s="58">
        <f>[1]!s_fa_bps2($D$2,Y25,"")</f>
        <v>7.4848999999999997</v>
      </c>
      <c r="Z36" s="54"/>
      <c r="AA36" s="58">
        <f>[1]!s_fa_bps2($D$2,AA25,"")</f>
        <v>8.1463999999999999</v>
      </c>
      <c r="AB36" s="54"/>
      <c r="AC36" s="58">
        <f>[1]!s_fa_bps2($D$2,AC25,"")</f>
        <v>8.8125</v>
      </c>
      <c r="AD36" s="54"/>
      <c r="AE36" s="58">
        <f>[1]!s_fa_bps2($D$2,AE25,"")</f>
        <v>9.5467999999999993</v>
      </c>
      <c r="AF36" s="54"/>
      <c r="AG36" s="49"/>
    </row>
    <row r="37" spans="2:33" s="7" customFormat="1" ht="24.6" customHeight="1" x14ac:dyDescent="0.2">
      <c r="B37" s="49"/>
      <c r="C37" s="51" t="s">
        <v>105</v>
      </c>
      <c r="D37" s="51"/>
      <c r="E37" s="51"/>
      <c r="F37" s="51"/>
      <c r="G37" s="51"/>
      <c r="H37" s="49"/>
      <c r="I37" s="49"/>
      <c r="J37" s="49"/>
      <c r="K37" s="49"/>
      <c r="L37" s="96"/>
      <c r="M37" s="49"/>
      <c r="N37" s="49"/>
      <c r="O37" s="49"/>
      <c r="P37" s="49"/>
      <c r="Q37" s="49"/>
      <c r="R37" s="49"/>
      <c r="S37" s="49"/>
      <c r="T37" s="20"/>
      <c r="U37" s="20" t="s">
        <v>103</v>
      </c>
      <c r="V37" s="20"/>
      <c r="W37" s="63">
        <f>[1]!s_fa_eps_basic2($D$2,W25,"")</f>
        <v>0.86</v>
      </c>
      <c r="X37" s="57"/>
      <c r="Y37" s="63">
        <f>[1]!s_fa_eps_basic2($D$2,Y25,"")</f>
        <v>0.86</v>
      </c>
      <c r="Z37" s="57"/>
      <c r="AA37" s="63">
        <f>[1]!s_fa_eps_basic2($D$2,AA25,"")</f>
        <v>0.95</v>
      </c>
      <c r="AB37" s="57"/>
      <c r="AC37" s="63">
        <f>[1]!s_fa_eps_basic2($D$2,AC25,"")</f>
        <v>0.97</v>
      </c>
      <c r="AD37" s="57"/>
      <c r="AE37" s="63">
        <f>[1]!s_fa_eps_basic2($D$2,AE25,"")</f>
        <v>0.98</v>
      </c>
      <c r="AF37" s="57"/>
      <c r="AG37" s="49"/>
    </row>
    <row r="38" spans="2:33" s="7" customFormat="1" ht="24.6" customHeight="1" x14ac:dyDescent="0.2">
      <c r="B38" s="49"/>
      <c r="C38" s="53" t="s">
        <v>67</v>
      </c>
      <c r="D38" s="13"/>
      <c r="E38" s="58"/>
      <c r="F38" s="97">
        <f>IFERROR(POWER(N8/J8,1/2)-1,"")</f>
        <v>7.24430253469317E-2</v>
      </c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13"/>
      <c r="U38" s="13" t="s">
        <v>101</v>
      </c>
      <c r="V38" s="13"/>
      <c r="W38" s="58">
        <f>[1]!s_div_cashbeforetax($D$2,W25)</f>
        <v>0.26280000000000003</v>
      </c>
      <c r="X38" s="58"/>
      <c r="Y38" s="58">
        <f>[1]!s_div_cashbeforetax($D$2,Y25)</f>
        <v>0.26600000000000001</v>
      </c>
      <c r="Z38" s="58"/>
      <c r="AA38" s="58">
        <f>[1]!s_div_cashbeforetax($D$2,AA25)</f>
        <v>0.29330000000000001</v>
      </c>
      <c r="AB38" s="58"/>
      <c r="AC38" s="58">
        <f>[1]!s_div_cashbeforetax($D$2,AC25)</f>
        <v>0.30349999999999999</v>
      </c>
      <c r="AD38" s="58"/>
      <c r="AE38" s="58">
        <f>[1]!s_div_cashbeforetax($D$2,AE25)</f>
        <v>0</v>
      </c>
      <c r="AF38" s="58"/>
      <c r="AG38" s="49"/>
    </row>
    <row r="39" spans="2:33" s="7" customFormat="1" ht="24.6" customHeight="1" thickBot="1" x14ac:dyDescent="0.25">
      <c r="B39" s="49"/>
      <c r="C39" s="56" t="s">
        <v>102</v>
      </c>
      <c r="D39" s="20"/>
      <c r="E39" s="64"/>
      <c r="F39" s="75">
        <f>IFERROR(POWER(N15/J15,1/2)-1,"")</f>
        <v>1.0624574720727642E-2</v>
      </c>
      <c r="G39" s="70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62"/>
      <c r="U39" s="62" t="s">
        <v>99</v>
      </c>
      <c r="V39" s="62"/>
      <c r="W39" s="93" t="str">
        <f>IFERROR(ROUND(W38/W37*100,1)&amp;"%","NA")</f>
        <v>30.6%</v>
      </c>
      <c r="X39" s="82"/>
      <c r="Y39" s="93" t="str">
        <f>IFERROR(ROUND(Y38/Y37*100,1)&amp;"%","NA")</f>
        <v>30.9%</v>
      </c>
      <c r="Z39" s="82"/>
      <c r="AA39" s="93" t="str">
        <f>IFERROR(ROUND(AA38/AA37*100,1)&amp;"%","NA")</f>
        <v>30.9%</v>
      </c>
      <c r="AB39" s="82"/>
      <c r="AC39" s="93" t="str">
        <f>IFERROR(ROUND(AC38/AC37*100,1)&amp;"%","NA")</f>
        <v>31.3%</v>
      </c>
      <c r="AD39" s="82"/>
      <c r="AE39" s="93" t="str">
        <f>IFERROR(ROUND(AE38/AE37*100,1)&amp;"%","NA")</f>
        <v>0%</v>
      </c>
      <c r="AF39" s="82"/>
      <c r="AG39" s="49"/>
    </row>
    <row r="40" spans="2:33" s="7" customFormat="1" ht="24.6" customHeight="1" x14ac:dyDescent="0.2">
      <c r="B40" s="49"/>
      <c r="C40" s="53" t="s">
        <v>100</v>
      </c>
      <c r="D40" s="13"/>
      <c r="E40" s="59"/>
      <c r="F40" s="97" t="str">
        <f>IFERROR(POWER(N14/J14,1/2)-1,"")</f>
        <v/>
      </c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2:33" s="7" customFormat="1" ht="24.6" customHeight="1" x14ac:dyDescent="0.2">
      <c r="B41" s="49"/>
      <c r="C41" s="56" t="s">
        <v>72</v>
      </c>
      <c r="D41" s="20"/>
      <c r="E41" s="64"/>
      <c r="F41" s="75">
        <f>IFERROR(POWER(N17/J17,1/2)-1,"")</f>
        <v>7.2087893258248048E-3</v>
      </c>
      <c r="G41" s="70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51" t="s">
        <v>98</v>
      </c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49"/>
    </row>
    <row r="42" spans="2:33" s="7" customFormat="1" ht="24.6" customHeight="1" x14ac:dyDescent="0.2">
      <c r="B42" s="49"/>
      <c r="C42" s="53" t="s">
        <v>73</v>
      </c>
      <c r="D42" s="13"/>
      <c r="E42" s="59"/>
      <c r="F42" s="97" t="str">
        <f>IFERROR(POWER(N9/J9,1/2)-1,"")</f>
        <v/>
      </c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98" t="s">
        <v>96</v>
      </c>
      <c r="U42" s="98" t="s">
        <v>95</v>
      </c>
      <c r="V42" s="99" t="s">
        <v>94</v>
      </c>
      <c r="W42" s="99" t="s">
        <v>93</v>
      </c>
      <c r="X42" s="99"/>
      <c r="Y42" s="99" t="s">
        <v>92</v>
      </c>
      <c r="Z42" s="99"/>
      <c r="AA42" s="99" t="s">
        <v>91</v>
      </c>
      <c r="AB42" s="99"/>
      <c r="AC42" s="99" t="s">
        <v>90</v>
      </c>
      <c r="AD42" s="99"/>
      <c r="AE42" s="99" t="s">
        <v>89</v>
      </c>
      <c r="AF42" s="73"/>
      <c r="AG42" s="49"/>
    </row>
    <row r="43" spans="2:33" s="7" customFormat="1" ht="24.6" customHeight="1" x14ac:dyDescent="0.2">
      <c r="B43" s="49"/>
      <c r="C43" s="56" t="s">
        <v>97</v>
      </c>
      <c r="D43" s="20"/>
      <c r="E43" s="64"/>
      <c r="F43" s="75" t="str">
        <f>IFERROR(POWER(N10/J10,1/2)-1,"")</f>
        <v/>
      </c>
      <c r="G43" s="7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100" t="str">
        <f>D2</f>
        <v>601398.SH</v>
      </c>
      <c r="U43" s="101" t="str">
        <f>[1]!S_Info_Name(T43)</f>
        <v>工商银行</v>
      </c>
      <c r="V43" s="65">
        <f>[1]!s_share_issuing_mkt(T43,W43,10000)</f>
        <v>26961221.253899999</v>
      </c>
      <c r="W43" s="102" t="str">
        <f>[1]!lastradeday_s(T43,F2)</f>
        <v>2024-04-25</v>
      </c>
      <c r="X43" s="102"/>
      <c r="Y43" s="71">
        <f>[1]!S_DQ_CLOSE(T43,W43,1)</f>
        <v>5.49</v>
      </c>
      <c r="Z43" s="71"/>
      <c r="AA43" s="71" t="str">
        <f>[1]!hks_info_tradecur(T43)</f>
        <v>CNY</v>
      </c>
      <c r="AB43" s="71"/>
      <c r="AC43" s="71">
        <f>IF([1]!hks_info_tradecur(T43)="CNY",1,[1]!S_DQ_CLOSE([1]!hks_info_tradecur(T43)&amp;"CNY.EX",W43,1))</f>
        <v>1</v>
      </c>
      <c r="AD43" s="71"/>
      <c r="AE43" s="91">
        <f>V43*Y43*AC43/10000</f>
        <v>14801.7104683911</v>
      </c>
      <c r="AF43" s="71"/>
      <c r="AG43" s="49"/>
    </row>
    <row r="44" spans="2:33" s="7" customFormat="1" ht="24.6" customHeight="1" x14ac:dyDescent="0.2">
      <c r="B44" s="49"/>
      <c r="C44" s="53" t="s">
        <v>88</v>
      </c>
      <c r="D44" s="13"/>
      <c r="E44" s="58"/>
      <c r="F44" s="97" t="str">
        <f>IFERROR(POWER(N13/J13,1/2)-1,"")</f>
        <v/>
      </c>
      <c r="G44" s="49"/>
      <c r="H44" s="49"/>
      <c r="I44" s="49"/>
      <c r="J44" s="49"/>
      <c r="K44" s="49"/>
      <c r="L44" s="158"/>
      <c r="M44" s="49"/>
      <c r="N44" s="49"/>
      <c r="O44" s="49"/>
      <c r="P44" s="49"/>
      <c r="Q44" s="49"/>
      <c r="R44" s="49"/>
      <c r="S44" s="49"/>
      <c r="T44" s="103" t="str">
        <f>IFERROR([1]!s_info_hsharecode(T43),"")</f>
        <v>1398.HK</v>
      </c>
      <c r="U44" s="103" t="str">
        <f>[1]!HKS_INFO_NAME(T44)</f>
        <v>工商银行</v>
      </c>
      <c r="V44" s="60">
        <f>[1]!s_share_issuing_mkt(T44,W44,10000)</f>
        <v>8679404.4550000001</v>
      </c>
      <c r="W44" s="104" t="str">
        <f>[1]!lastradeday_s(T44,F2)</f>
        <v>2024-04-25</v>
      </c>
      <c r="X44" s="104"/>
      <c r="Y44" s="73">
        <f>[1]!S_DQ_CLOSE(T44,W44,1)</f>
        <v>4.17</v>
      </c>
      <c r="Z44" s="73"/>
      <c r="AA44" s="73" t="str">
        <f>[1]!hks_info_tradecur(T44)</f>
        <v>HKD</v>
      </c>
      <c r="AB44" s="73"/>
      <c r="AC44" s="73">
        <f>IF([1]!hks_info_tradecur(T44)="CNY",1,[1]!S_DQ_CLOSE([1]!hks_info_tradecur(T44)&amp;"CNY.EX",W44,1))</f>
        <v>0.90742999999999996</v>
      </c>
      <c r="AD44" s="73"/>
      <c r="AE44" s="92">
        <f>V44*Y44*AC44/10000</f>
        <v>3284.2719775784708</v>
      </c>
      <c r="AF44" s="73"/>
      <c r="AG44" s="49"/>
    </row>
    <row r="45" spans="2:33" s="7" customFormat="1" ht="24.6" customHeight="1" thickBot="1" x14ac:dyDescent="0.25">
      <c r="B45" s="49"/>
      <c r="C45" s="61" t="s">
        <v>215</v>
      </c>
      <c r="D45" s="62"/>
      <c r="E45" s="94"/>
      <c r="F45" s="128">
        <f>IFERROR(POWER(N18/J18,1/2)-1,"")</f>
        <v>1.9271555530882889E-2</v>
      </c>
      <c r="G45" s="94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101"/>
      <c r="U45" s="101">
        <f>[1]!HKS_INFO_NAME(T45)</f>
        <v>0</v>
      </c>
      <c r="V45" s="65">
        <f>[1]!hks_share_total(#REF!,W45,10000)</f>
        <v>0</v>
      </c>
      <c r="W45" s="102">
        <f>[1]!lastradeday_s(T45,D4)</f>
        <v>0</v>
      </c>
      <c r="X45" s="102"/>
      <c r="Y45" s="71">
        <f>[1]!S_DQ_CLOSE(T45,W45,1)</f>
        <v>0</v>
      </c>
      <c r="Z45" s="71"/>
      <c r="AA45" s="71">
        <f>[1]!hks_info_tradecur(T45)</f>
        <v>0</v>
      </c>
      <c r="AB45" s="71"/>
      <c r="AC45" s="71">
        <f>IF([1]!hks_info_tradecur(T45)="CNY",1,[1]!S_DQ_CLOSE([1]!hks_info_tradecur(T45)&amp;"CNY.EX",W45,1))</f>
        <v>0</v>
      </c>
      <c r="AD45" s="71"/>
      <c r="AE45" s="91">
        <f>V45*Y45*AC45/10000</f>
        <v>0</v>
      </c>
      <c r="AF45" s="71"/>
      <c r="AG45" s="49"/>
    </row>
    <row r="46" spans="2:33" s="7" customFormat="1" ht="24.6" customHeight="1" x14ac:dyDescent="0.2">
      <c r="B46" s="49"/>
      <c r="C46" s="49"/>
      <c r="D46" s="49"/>
      <c r="E46" s="105"/>
      <c r="F46" s="105"/>
      <c r="G46" s="106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103"/>
      <c r="U46" s="103">
        <f>[1]!HKS_INFO_NAME(T46)</f>
        <v>0</v>
      </c>
      <c r="V46" s="60">
        <f>[1]!hks_share_total(N20,W46,10000)</f>
        <v>0</v>
      </c>
      <c r="W46" s="104">
        <f>[1]!lastradeday_s(T46,D5)</f>
        <v>0</v>
      </c>
      <c r="X46" s="104"/>
      <c r="Y46" s="73">
        <f>[1]!S_DQ_CLOSE(T46,W46,1)</f>
        <v>0</v>
      </c>
      <c r="Z46" s="73"/>
      <c r="AA46" s="73">
        <f>[1]!hks_info_tradecur(T46)</f>
        <v>0</v>
      </c>
      <c r="AB46" s="73"/>
      <c r="AC46" s="73">
        <f>IF([1]!hks_info_tradecur(T46)="CNY",1,[1]!S_DQ_CLOSE([1]!hks_info_tradecur(T46)&amp;"CNY.EX",W46,1))</f>
        <v>0</v>
      </c>
      <c r="AD46" s="73"/>
      <c r="AE46" s="92">
        <f>V46*Y46*AC46/10000</f>
        <v>0</v>
      </c>
      <c r="AF46" s="73"/>
      <c r="AG46" s="49"/>
    </row>
    <row r="47" spans="2:33" s="7" customFormat="1" ht="24.6" customHeight="1" thickBot="1" x14ac:dyDescent="0.25">
      <c r="B47" s="49"/>
      <c r="C47" s="49"/>
      <c r="D47" s="49"/>
      <c r="E47" s="105"/>
      <c r="F47" s="105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107"/>
      <c r="U47" s="108" t="s">
        <v>87</v>
      </c>
      <c r="V47" s="109">
        <f>SUM(V43:V44)</f>
        <v>35640625.708899997</v>
      </c>
      <c r="W47" s="94"/>
      <c r="X47" s="94"/>
      <c r="Y47" s="94"/>
      <c r="Z47" s="94"/>
      <c r="AA47" s="94"/>
      <c r="AB47" s="94"/>
      <c r="AC47" s="109" t="s">
        <v>79</v>
      </c>
      <c r="AD47" s="110"/>
      <c r="AE47" s="109">
        <f>SUM(AE43:AE44)</f>
        <v>18085.98244596957</v>
      </c>
      <c r="AF47" s="110"/>
      <c r="AG47" s="49"/>
    </row>
    <row r="48" spans="2:33" s="7" customFormat="1" ht="24.6" customHeight="1" x14ac:dyDescent="0.2">
      <c r="B48" s="49"/>
      <c r="C48" s="49"/>
      <c r="D48" s="49"/>
      <c r="E48" s="105"/>
      <c r="F48" s="105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</row>
    <row r="49" spans="2:33" ht="17.25" x14ac:dyDescent="0.2">
      <c r="B49" s="105"/>
      <c r="C49" s="105"/>
      <c r="D49" s="105"/>
      <c r="E49" s="105"/>
      <c r="F49" s="105"/>
      <c r="G49" s="49"/>
      <c r="H49" s="49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</row>
    <row r="50" spans="2:33" x14ac:dyDescent="0.2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</row>
    <row r="51" spans="2:33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</row>
  </sheetData>
  <phoneticPr fontId="5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预测结果</vt:lpstr>
      <vt:lpstr>600519.SH贵州茅台</vt:lpstr>
      <vt:lpstr>600000.SH浦发银行</vt:lpstr>
      <vt:lpstr>601939.SH建设银行</vt:lpstr>
      <vt:lpstr>601288.SH农业银行</vt:lpstr>
      <vt:lpstr>601988.SH中国银行</vt:lpstr>
      <vt:lpstr>000001.SZ平安银行</vt:lpstr>
      <vt:lpstr>601328.SH交通银行</vt:lpstr>
      <vt:lpstr>601998.SH中信银行</vt:lpstr>
      <vt:lpstr>601818.SH光大银行</vt:lpstr>
      <vt:lpstr>600919.SH江苏银行</vt:lpstr>
      <vt:lpstr>0700.HK腾讯控股</vt:lpstr>
      <vt:lpstr>9988.HK阿里巴巴-SW</vt:lpstr>
      <vt:lpstr>2269.HK药明生物</vt:lpstr>
      <vt:lpstr>AAPL.O苹果(APPLE)</vt:lpstr>
      <vt:lpstr>NVDA.O英伟达(NVIDIA)</vt:lpstr>
      <vt:lpstr>港股美股</vt:lpstr>
      <vt:lpstr>内地股票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 XiuFeng</dc:creator>
  <cp:lastModifiedBy>Cui YongQiang</cp:lastModifiedBy>
  <dcterms:created xsi:type="dcterms:W3CDTF">2023-12-07T05:50:22Z</dcterms:created>
  <dcterms:modified xsi:type="dcterms:W3CDTF">2024-04-26T06:52:48Z</dcterms:modified>
</cp:coreProperties>
</file>