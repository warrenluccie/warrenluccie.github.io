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20230727 模板库-更新计划1期\债券\"/>
    </mc:Choice>
  </mc:AlternateContent>
  <bookViews>
    <workbookView xWindow="0" yWindow="0" windowWidth="29010" windowHeight="12210"/>
  </bookViews>
  <sheets>
    <sheet name="回购计算器" sheetId="2" r:id="rId1"/>
    <sheet name="Wind模板" sheetId="3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D14" i="2"/>
  <c r="D18" i="2" l="1"/>
  <c r="D19" i="2" l="1"/>
  <c r="E19" i="2" s="1"/>
  <c r="E18" i="2"/>
  <c r="E20" i="2" l="1"/>
  <c r="D20" i="2"/>
</calcChain>
</file>

<file path=xl/sharedStrings.xml><?xml version="1.0" encoding="utf-8"?>
<sst xmlns="http://schemas.openxmlformats.org/spreadsheetml/2006/main" count="19" uniqueCount="19">
  <si>
    <t>回购利率</t>
  </si>
  <si>
    <t>回购利率</t>
    <phoneticPr fontId="2" type="noConversion"/>
  </si>
  <si>
    <t>到期结算全价</t>
    <phoneticPr fontId="2" type="noConversion"/>
  </si>
  <si>
    <t>总损益：</t>
    <phoneticPr fontId="11" type="noConversion"/>
  </si>
  <si>
    <t>BC3债券计算器</t>
    <phoneticPr fontId="2" type="noConversion"/>
  </si>
  <si>
    <t>回购利率(%)：</t>
    <phoneticPr fontId="11" type="noConversion"/>
  </si>
  <si>
    <t>到期结算全价(元)：</t>
    <phoneticPr fontId="11" type="noConversion"/>
  </si>
  <si>
    <t>首次结算金额(元)：</t>
    <phoneticPr fontId="11" type="noConversion"/>
  </si>
  <si>
    <t>到期结算金额(元)：</t>
    <phoneticPr fontId="2" type="noConversion"/>
  </si>
  <si>
    <t>正回购方：</t>
    <phoneticPr fontId="2" type="noConversion"/>
  </si>
  <si>
    <t>逆回购方：</t>
    <phoneticPr fontId="2" type="noConversion"/>
  </si>
  <si>
    <t>折算比例:</t>
    <phoneticPr fontId="11" type="noConversion"/>
  </si>
  <si>
    <t>融资金额(万元):</t>
    <phoneticPr fontId="7" type="noConversion"/>
  </si>
  <si>
    <t>交易日期:</t>
    <phoneticPr fontId="11" type="noConversion"/>
  </si>
  <si>
    <t>资金占用天数(天):</t>
    <phoneticPr fontId="7" type="noConversion"/>
  </si>
  <si>
    <t>输入类型:</t>
    <phoneticPr fontId="11" type="noConversion"/>
  </si>
  <si>
    <t>输入值:</t>
    <phoneticPr fontId="7" type="noConversion"/>
  </si>
  <si>
    <t>债券计算器BC3</t>
    <phoneticPr fontId="7" type="noConversion"/>
  </si>
  <si>
    <t>结果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</si>
</sst>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76" formatCode="###,###,##0.0000"/>
    <numFmt numFmtId="177" formatCode="0.00_);[Red]\(0.00\)"/>
    <numFmt numFmtId="178" formatCode="yyyy/mm/dd"/>
    <numFmt numFmtId="179" formatCode="0.0000_ "/>
    <numFmt numFmtId="180" formatCode="#,##0.0000_ "/>
    <numFmt numFmtId="181" formatCode="0_);[Red]\(0\)"/>
  </numFmts>
  <fonts count="19">
    <font>
      <sz val="11"/>
      <color theme="1"/>
      <name val="等线"/>
      <family val="2"/>
      <charset val="134"/>
      <scheme val="minor"/>
    </font>
    <font>
      <sz val="14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6"/>
      <color rgb="FF212121"/>
      <name val="Arial"/>
      <family val="2"/>
    </font>
    <font>
      <sz val="16"/>
      <color theme="1"/>
      <name val="Arial"/>
      <family val="2"/>
    </font>
    <font>
      <sz val="20"/>
      <color theme="0"/>
      <name val="Arial"/>
      <family val="2"/>
    </font>
    <font>
      <sz val="20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10"/>
      <name val="微软雅黑"/>
      <family val="2"/>
      <charset val="134"/>
    </font>
    <font>
      <b/>
      <sz val="14"/>
      <name val="Arial "/>
      <family val="2"/>
    </font>
    <font>
      <sz val="14"/>
      <color theme="1"/>
      <name val="Arial"/>
      <family val="2"/>
    </font>
    <font>
      <sz val="14"/>
      <color rgb="FF212121"/>
      <name val="Arial"/>
      <family val="2"/>
    </font>
    <font>
      <sz val="10"/>
      <name val="微软雅黑"/>
      <family val="2"/>
      <charset val="134"/>
    </font>
    <font>
      <sz val="16"/>
      <color rgb="FF21212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4" fillId="3" borderId="0" xfId="0" applyFont="1" applyFill="1" applyAlignment="1"/>
    <xf numFmtId="0" fontId="5" fillId="3" borderId="0" xfId="0" applyFont="1" applyFill="1" applyAlignment="1">
      <alignment vertical="center"/>
    </xf>
    <xf numFmtId="0" fontId="4" fillId="4" borderId="0" xfId="0" applyFont="1" applyFill="1" applyAlignment="1"/>
    <xf numFmtId="0" fontId="4" fillId="2" borderId="0" xfId="0" applyFont="1" applyFill="1" applyBorder="1" applyAlignment="1">
      <alignment horizontal="right"/>
    </xf>
    <xf numFmtId="179" fontId="3" fillId="2" borderId="0" xfId="0" applyNumberFormat="1" applyFont="1" applyFill="1" applyBorder="1" applyAlignment="1">
      <alignment horizontal="right"/>
    </xf>
    <xf numFmtId="180" fontId="3" fillId="6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right" vertical="center"/>
    </xf>
    <xf numFmtId="0" fontId="10" fillId="7" borderId="0" xfId="0" applyFont="1" applyFill="1" applyBorder="1" applyAlignment="1"/>
    <xf numFmtId="0" fontId="10" fillId="6" borderId="0" xfId="0" applyFont="1" applyFill="1" applyAlignment="1"/>
    <xf numFmtId="43" fontId="13" fillId="2" borderId="1" xfId="1" applyFont="1" applyFill="1" applyBorder="1" applyAlignment="1">
      <alignment horizontal="right" vertical="center"/>
    </xf>
    <xf numFmtId="177" fontId="14" fillId="5" borderId="0" xfId="0" applyNumberFormat="1" applyFont="1" applyFill="1" applyAlignment="1" applyProtection="1">
      <alignment horizontal="right" vertical="center"/>
      <protection locked="0"/>
    </xf>
    <xf numFmtId="178" fontId="14" fillId="5" borderId="0" xfId="0" applyNumberFormat="1" applyFont="1" applyFill="1" applyAlignment="1" applyProtection="1">
      <alignment horizontal="right" vertical="center"/>
      <protection locked="0"/>
    </xf>
    <xf numFmtId="2" fontId="14" fillId="5" borderId="0" xfId="0" applyNumberFormat="1" applyFont="1" applyFill="1" applyAlignment="1" applyProtection="1">
      <alignment horizontal="right" vertical="center"/>
      <protection locked="0"/>
    </xf>
    <xf numFmtId="49" fontId="1" fillId="5" borderId="0" xfId="0" applyNumberFormat="1" applyFont="1" applyFill="1" applyAlignment="1" applyProtection="1">
      <alignment horizontal="right" vertical="center"/>
      <protection locked="0"/>
    </xf>
    <xf numFmtId="179" fontId="15" fillId="2" borderId="0" xfId="0" applyNumberFormat="1" applyFont="1" applyFill="1" applyBorder="1" applyAlignment="1">
      <alignment horizontal="right"/>
    </xf>
    <xf numFmtId="180" fontId="15" fillId="6" borderId="0" xfId="0" applyNumberFormat="1" applyFont="1" applyFill="1" applyBorder="1" applyAlignment="1">
      <alignment horizontal="right"/>
    </xf>
    <xf numFmtId="43" fontId="16" fillId="2" borderId="1" xfId="1" applyFont="1" applyFill="1" applyBorder="1" applyAlignment="1">
      <alignment horizontal="left" vertical="center"/>
    </xf>
    <xf numFmtId="181" fontId="14" fillId="5" borderId="0" xfId="0" applyNumberFormat="1" applyFont="1" applyFill="1" applyAlignment="1" applyProtection="1">
      <alignment horizontal="right" vertical="center"/>
      <protection locked="0"/>
    </xf>
    <xf numFmtId="179" fontId="17" fillId="2" borderId="0" xfId="0" applyNumberFormat="1" applyFont="1" applyFill="1" applyBorder="1" applyAlignment="1">
      <alignment horizontal="right"/>
    </xf>
    <xf numFmtId="0" fontId="18" fillId="0" borderId="0" xfId="0" applyFont="1">
      <alignment vertical="center"/>
    </xf>
    <xf numFmtId="0" fontId="12" fillId="2" borderId="1" xfId="0" applyFont="1" applyFill="1" applyBorder="1" applyAlignment="1"/>
    <xf numFmtId="43" fontId="15" fillId="2" borderId="0" xfId="1" applyFont="1" applyFill="1" applyBorder="1" applyAlignment="1">
      <alignment horizontal="right"/>
    </xf>
    <xf numFmtId="43" fontId="15" fillId="6" borderId="0" xfId="1" applyFont="1" applyFill="1" applyBorder="1" applyAlignment="1">
      <alignment horizontal="right"/>
    </xf>
    <xf numFmtId="43" fontId="14" fillId="5" borderId="0" xfId="1" applyFont="1" applyFill="1" applyAlignment="1" applyProtection="1">
      <alignment horizontal="right" vertical="center"/>
      <protection locked="0"/>
    </xf>
    <xf numFmtId="0" fontId="6" fillId="3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171036</xdr:colOff>
      <xdr:row>0</xdr:row>
      <xdr:rowOff>86967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36" y="86967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calc_repoprice"/>
      <definedName name="b_calc_reporat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O42"/>
  <sheetViews>
    <sheetView showGridLines="0" tabSelected="1" zoomScaleNormal="100" workbookViewId="0">
      <selection activeCell="A38" sqref="A38"/>
    </sheetView>
  </sheetViews>
  <sheetFormatPr defaultRowHeight="14.25"/>
  <cols>
    <col min="1" max="1" width="2.625" customWidth="1"/>
    <col min="2" max="2" width="1.625" customWidth="1"/>
    <col min="3" max="3" width="45.125" customWidth="1"/>
    <col min="4" max="5" width="49.625" customWidth="1"/>
    <col min="6" max="6" width="1.5" customWidth="1"/>
    <col min="7" max="7" width="2.625" customWidth="1"/>
    <col min="12" max="12" width="9" customWidth="1"/>
    <col min="13" max="14" width="11" customWidth="1"/>
    <col min="15" max="15" width="0" hidden="1" customWidth="1"/>
  </cols>
  <sheetData>
    <row r="1" spans="1:7" ht="27.75">
      <c r="A1" s="3"/>
      <c r="B1" s="27" t="s">
        <v>17</v>
      </c>
      <c r="C1" s="27"/>
      <c r="D1" s="27"/>
      <c r="E1" s="27"/>
      <c r="F1" s="4"/>
      <c r="G1" s="4"/>
    </row>
    <row r="2" spans="1:7" ht="12" customHeight="1">
      <c r="A2" s="5"/>
      <c r="B2" s="5"/>
      <c r="C2" s="5"/>
      <c r="D2" s="5"/>
      <c r="E2" s="5"/>
      <c r="F2" s="5"/>
      <c r="G2" s="5"/>
    </row>
    <row r="3" spans="1:7" ht="10.5" customHeight="1">
      <c r="A3" s="5"/>
      <c r="G3" s="5"/>
    </row>
    <row r="4" spans="1:7" ht="21">
      <c r="A4" s="5"/>
      <c r="C4" s="10" t="s">
        <v>11</v>
      </c>
      <c r="D4" s="13">
        <v>0.9</v>
      </c>
      <c r="G4" s="5"/>
    </row>
    <row r="5" spans="1:7" ht="21">
      <c r="A5" s="5"/>
      <c r="C5" s="11" t="s">
        <v>12</v>
      </c>
      <c r="D5" s="26">
        <v>600</v>
      </c>
      <c r="G5" s="5"/>
    </row>
    <row r="6" spans="1:7" ht="21">
      <c r="A6" s="5"/>
      <c r="C6" s="10" t="s">
        <v>13</v>
      </c>
      <c r="D6" s="14">
        <v>45114</v>
      </c>
      <c r="G6" s="5"/>
    </row>
    <row r="7" spans="1:7" ht="21">
      <c r="A7" s="5"/>
      <c r="C7" s="11" t="s">
        <v>14</v>
      </c>
      <c r="D7" s="20">
        <v>7</v>
      </c>
      <c r="G7" s="5"/>
    </row>
    <row r="8" spans="1:7" ht="21">
      <c r="A8" s="5"/>
      <c r="C8" s="10" t="s">
        <v>15</v>
      </c>
      <c r="D8" s="16" t="s">
        <v>0</v>
      </c>
      <c r="G8" s="5"/>
    </row>
    <row r="9" spans="1:7" ht="21">
      <c r="A9" s="5"/>
      <c r="C9" s="11" t="s">
        <v>16</v>
      </c>
      <c r="D9" s="15">
        <v>3</v>
      </c>
      <c r="G9" s="5"/>
    </row>
    <row r="10" spans="1:7" ht="10.5" customHeight="1">
      <c r="A10" s="5"/>
      <c r="G10" s="5"/>
    </row>
    <row r="11" spans="1:7" ht="22.5" customHeight="1">
      <c r="A11" s="5"/>
      <c r="C11" s="23" t="s">
        <v>18</v>
      </c>
      <c r="D11" s="12"/>
      <c r="E11" s="12"/>
      <c r="G11" s="5"/>
    </row>
    <row r="12" spans="1:7" ht="10.5" customHeight="1">
      <c r="A12" s="5"/>
      <c r="C12" s="6"/>
      <c r="D12" s="6"/>
      <c r="E12" s="6"/>
      <c r="G12" s="5"/>
    </row>
    <row r="13" spans="1:7" ht="21">
      <c r="A13" s="5"/>
      <c r="C13" s="10" t="s">
        <v>5</v>
      </c>
      <c r="D13" s="17">
        <f>IF(D8="回购利率",D9,[1]!b_calc_reporate(D6,D7,D9,1))</f>
        <v>3</v>
      </c>
      <c r="E13" s="7"/>
      <c r="G13" s="5"/>
    </row>
    <row r="14" spans="1:7" ht="21">
      <c r="A14" s="5"/>
      <c r="C14" s="11" t="s">
        <v>6</v>
      </c>
      <c r="D14" s="18">
        <f>IF(D8="到期结算全价",D9,[1]!b_calc_repoprice(D6,D7,D9,1))</f>
        <v>100.05753424657536</v>
      </c>
      <c r="E14" s="8"/>
      <c r="G14" s="5"/>
    </row>
    <row r="15" spans="1:7" ht="10.5" customHeight="1">
      <c r="A15" s="5"/>
      <c r="C15" s="21"/>
      <c r="D15" s="7"/>
      <c r="E15" s="7"/>
      <c r="G15" s="5"/>
    </row>
    <row r="16" spans="1:7" ht="20.25">
      <c r="A16" s="5"/>
      <c r="C16" s="22"/>
      <c r="D16" s="19" t="s">
        <v>9</v>
      </c>
      <c r="E16" s="19" t="s">
        <v>10</v>
      </c>
      <c r="G16" s="5"/>
    </row>
    <row r="17" spans="1:15" ht="10.5" customHeight="1">
      <c r="A17" s="5"/>
      <c r="C17" s="22"/>
      <c r="F17" s="6"/>
      <c r="G17" s="5"/>
    </row>
    <row r="18" spans="1:15" ht="21">
      <c r="A18" s="5"/>
      <c r="C18" s="10" t="s">
        <v>7</v>
      </c>
      <c r="D18" s="24">
        <f>$D$5*10000/$D$4</f>
        <v>6666666.666666666</v>
      </c>
      <c r="E18" s="24">
        <f>D18</f>
        <v>6666666.666666666</v>
      </c>
      <c r="F18" s="6"/>
      <c r="G18" s="5"/>
    </row>
    <row r="19" spans="1:15" ht="21">
      <c r="A19" s="5"/>
      <c r="C19" s="11" t="s">
        <v>8</v>
      </c>
      <c r="D19" s="25">
        <f>$D$14*$D$5*100/$D$4</f>
        <v>6670502.2831050232</v>
      </c>
      <c r="E19" s="25">
        <f>D19</f>
        <v>6670502.2831050232</v>
      </c>
      <c r="F19" s="6"/>
      <c r="G19" s="5"/>
    </row>
    <row r="20" spans="1:15" ht="21">
      <c r="A20" s="5"/>
      <c r="C20" s="10" t="s">
        <v>3</v>
      </c>
      <c r="D20" s="24">
        <f>D18-D19</f>
        <v>-3835.6164383571595</v>
      </c>
      <c r="E20" s="24">
        <f>E19-E18</f>
        <v>3835.6164383571595</v>
      </c>
      <c r="F20" s="6"/>
      <c r="G20" s="5"/>
    </row>
    <row r="21" spans="1:15" ht="10.5" customHeight="1">
      <c r="A21" s="5"/>
      <c r="C21" s="6"/>
      <c r="D21" s="6"/>
      <c r="E21" s="6"/>
      <c r="F21" s="6"/>
      <c r="G21" s="5"/>
      <c r="M21" s="9"/>
    </row>
    <row r="22" spans="1:15" ht="20.25">
      <c r="A22" s="5"/>
      <c r="B22" s="5"/>
      <c r="C22" s="5"/>
      <c r="D22" s="5"/>
      <c r="E22" s="5"/>
      <c r="F22" s="5"/>
      <c r="G22" s="5"/>
      <c r="M22" s="9"/>
    </row>
    <row r="23" spans="1:15" ht="20.25">
      <c r="A23" s="5"/>
      <c r="B23" s="5"/>
      <c r="C23" s="5"/>
      <c r="D23" s="5"/>
      <c r="E23" s="5"/>
      <c r="F23" s="5"/>
      <c r="G23" s="5"/>
      <c r="M23" s="9"/>
    </row>
    <row r="24" spans="1:15" ht="20.25">
      <c r="A24" s="5"/>
      <c r="B24" s="5"/>
      <c r="C24" s="5"/>
      <c r="D24" s="5"/>
      <c r="E24" s="5"/>
      <c r="F24" s="5"/>
      <c r="G24" s="5"/>
      <c r="M24" s="9"/>
    </row>
    <row r="25" spans="1:15" ht="20.25">
      <c r="A25" s="5"/>
      <c r="B25" s="5"/>
      <c r="C25" s="5"/>
      <c r="D25" s="5"/>
      <c r="E25" s="5"/>
      <c r="F25" s="5"/>
      <c r="G25" s="5"/>
      <c r="M25" s="9"/>
    </row>
    <row r="26" spans="1:15" ht="20.25">
      <c r="A26" s="5"/>
      <c r="B26" s="5"/>
      <c r="C26" s="5"/>
      <c r="D26" s="5"/>
      <c r="E26" s="5"/>
      <c r="F26" s="5"/>
      <c r="G26" s="5"/>
      <c r="M26" s="9"/>
    </row>
    <row r="27" spans="1:15" ht="20.25">
      <c r="A27" s="5"/>
      <c r="B27" s="5"/>
      <c r="C27" s="5"/>
      <c r="D27" s="5"/>
      <c r="E27" s="5"/>
      <c r="F27" s="5"/>
      <c r="G27" s="5"/>
      <c r="M27" s="9"/>
      <c r="O27" t="s">
        <v>1</v>
      </c>
    </row>
    <row r="28" spans="1:15" ht="20.25">
      <c r="A28" s="5"/>
      <c r="B28" s="5"/>
      <c r="C28" s="5"/>
      <c r="D28" s="5"/>
      <c r="E28" s="5"/>
      <c r="F28" s="5"/>
      <c r="G28" s="5"/>
      <c r="M28" s="9"/>
      <c r="O28" t="s">
        <v>2</v>
      </c>
    </row>
    <row r="29" spans="1:15" ht="20.25">
      <c r="A29" s="5"/>
      <c r="B29" s="5"/>
      <c r="C29" s="5"/>
      <c r="D29" s="5"/>
      <c r="E29" s="5"/>
      <c r="F29" s="5"/>
      <c r="G29" s="5"/>
      <c r="M29" s="9"/>
    </row>
    <row r="30" spans="1:15" ht="20.25">
      <c r="A30" s="5"/>
      <c r="B30" s="5"/>
      <c r="C30" s="5"/>
      <c r="D30" s="5"/>
      <c r="E30" s="5"/>
      <c r="F30" s="5"/>
      <c r="G30" s="5"/>
      <c r="M30" s="9"/>
    </row>
    <row r="31" spans="1:15" ht="20.25">
      <c r="A31" s="5"/>
      <c r="B31" s="5"/>
      <c r="C31" s="5"/>
      <c r="D31" s="5"/>
      <c r="E31" s="5"/>
      <c r="F31" s="5"/>
      <c r="G31" s="5"/>
      <c r="M31" s="9"/>
    </row>
    <row r="32" spans="1:15" ht="20.25">
      <c r="A32" s="5"/>
      <c r="B32" s="5"/>
      <c r="C32" s="5"/>
      <c r="D32" s="5"/>
      <c r="E32" s="5"/>
      <c r="F32" s="5"/>
      <c r="G32" s="5"/>
      <c r="M32" s="9"/>
    </row>
    <row r="33" spans="1:13" ht="20.25">
      <c r="A33" s="5"/>
      <c r="B33" s="5"/>
      <c r="C33" s="5"/>
      <c r="D33" s="5"/>
      <c r="E33" s="5"/>
      <c r="F33" s="5"/>
      <c r="G33" s="5"/>
      <c r="M33" s="9"/>
    </row>
    <row r="34" spans="1:13" ht="20.25">
      <c r="A34" s="5"/>
      <c r="B34" s="5"/>
      <c r="C34" s="5"/>
      <c r="D34" s="5"/>
      <c r="E34" s="5"/>
      <c r="F34" s="5"/>
      <c r="G34" s="5"/>
      <c r="M34" s="9"/>
    </row>
    <row r="35" spans="1:13">
      <c r="B35" s="1"/>
      <c r="M35" s="9"/>
    </row>
    <row r="36" spans="1:13">
      <c r="B36" s="1"/>
      <c r="M36" s="9"/>
    </row>
    <row r="37" spans="1:13">
      <c r="B37" s="1"/>
      <c r="M37" s="9"/>
    </row>
    <row r="38" spans="1:13">
      <c r="B38" s="1"/>
      <c r="M38" s="9"/>
    </row>
    <row r="39" spans="1:13">
      <c r="B39" s="1"/>
    </row>
    <row r="40" spans="1:13">
      <c r="B40" s="1"/>
    </row>
    <row r="41" spans="1:13">
      <c r="B41" s="2"/>
    </row>
    <row r="42" spans="1:13">
      <c r="B42" s="2"/>
    </row>
  </sheetData>
  <mergeCells count="1">
    <mergeCell ref="B1:E1"/>
  </mergeCells>
  <phoneticPr fontId="11" type="noConversion"/>
  <dataValidations count="1">
    <dataValidation type="list" allowBlank="1" showInputMessage="1" showErrorMessage="1" sqref="D8">
      <formula1>$O$27:$O$28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/>
  <sheetData>
    <row r="1" spans="1:1">
      <c r="A1" t="s">
        <v>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回购计算器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Yang(Lucine)</dc:creator>
  <cp:lastModifiedBy>Cui YongQiang</cp:lastModifiedBy>
  <dcterms:created xsi:type="dcterms:W3CDTF">2023-07-07T02:57:43Z</dcterms:created>
  <dcterms:modified xsi:type="dcterms:W3CDTF">2024-04-17T06:39:59Z</dcterms:modified>
</cp:coreProperties>
</file>