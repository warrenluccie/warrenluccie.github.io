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/>
  </bookViews>
  <sheets>
    <sheet name="融资融券资金动向" sheetId="1" r:id="rId1"/>
    <sheet name="数据" sheetId="10" state="hidden" r:id="rId2"/>
    <sheet name="Wind模板" sheetId="9" state="veryHidden" r:id="rId3"/>
  </sheets>
  <externalReferences>
    <externalReference r:id="rId4"/>
  </externalReferences>
  <definedNames>
    <definedName name="Date1" localSheetId="1">OFFSET(数据!$A$1,8,0,LastRow-8,1)</definedName>
    <definedName name="LastRow">MATCH(MAX(数据!$A:$A),数据!$A:$A)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00" i="10" l="1"/>
  <c r="G497" i="10"/>
  <c r="G496" i="10"/>
  <c r="G493" i="10"/>
  <c r="G495" i="10"/>
  <c r="G498" i="10"/>
  <c r="G499" i="10"/>
  <c r="G494" i="10"/>
  <c r="G492" i="10"/>
  <c r="G487" i="10"/>
  <c r="G488" i="10"/>
  <c r="G491" i="10"/>
  <c r="G489" i="10"/>
  <c r="G490" i="10"/>
  <c r="M1" i="1"/>
  <c r="G42" i="10"/>
  <c r="G287" i="10"/>
  <c r="G361" i="10"/>
  <c r="G161" i="10"/>
  <c r="G369" i="10"/>
  <c r="G172" i="10"/>
  <c r="G204" i="10"/>
  <c r="G69" i="10"/>
  <c r="G114" i="10"/>
  <c r="G399" i="10"/>
  <c r="G144" i="10"/>
  <c r="G99" i="10"/>
  <c r="G11" i="10"/>
  <c r="G269" i="10"/>
  <c r="G362" i="10"/>
  <c r="G363" i="10"/>
  <c r="G290" i="10"/>
  <c r="G280" i="10"/>
  <c r="G374" i="10"/>
  <c r="G375" i="10"/>
  <c r="G411" i="10"/>
  <c r="G426" i="10"/>
  <c r="G359" i="10"/>
  <c r="G335" i="10"/>
  <c r="G441" i="10"/>
  <c r="G98" i="10"/>
  <c r="G315" i="10"/>
  <c r="G39" i="10"/>
  <c r="G202" i="10"/>
  <c r="G138" i="10"/>
  <c r="G175" i="10"/>
  <c r="G13" i="10"/>
  <c r="G436" i="10"/>
  <c r="G317" i="10"/>
  <c r="G390" i="10"/>
  <c r="G400" i="10"/>
  <c r="G372" i="10"/>
  <c r="G195" i="10"/>
  <c r="G120" i="10"/>
  <c r="G442" i="10"/>
  <c r="G192" i="10"/>
  <c r="G343" i="10"/>
  <c r="G469" i="10"/>
  <c r="G255" i="10"/>
  <c r="G68" i="10"/>
  <c r="G285" i="10"/>
  <c r="G313" i="10"/>
  <c r="G102" i="10"/>
  <c r="G158" i="10"/>
  <c r="G365" i="10"/>
  <c r="G394" i="10"/>
  <c r="G326" i="10"/>
  <c r="G277" i="10"/>
  <c r="G480" i="10"/>
  <c r="G31" i="10"/>
  <c r="G471" i="10"/>
  <c r="G79" i="10"/>
  <c r="G174" i="10"/>
  <c r="G141" i="10"/>
  <c r="G228" i="10"/>
  <c r="G383" i="10"/>
  <c r="G185" i="10"/>
  <c r="G308" i="10"/>
  <c r="G344" i="10"/>
  <c r="G46" i="10"/>
  <c r="G72" i="10"/>
  <c r="G134" i="10"/>
  <c r="G176" i="10"/>
  <c r="G146" i="10"/>
  <c r="G216" i="10"/>
  <c r="G27" i="10"/>
  <c r="G208" i="10"/>
  <c r="G393" i="10"/>
  <c r="G304" i="10"/>
  <c r="G329" i="10"/>
  <c r="G319" i="10"/>
  <c r="G402" i="10"/>
  <c r="G230" i="10"/>
  <c r="G389" i="10"/>
  <c r="G463" i="10"/>
  <c r="G458" i="10"/>
  <c r="G443" i="10"/>
  <c r="G419" i="10"/>
  <c r="G200" i="10"/>
  <c r="G113" i="10"/>
  <c r="G108" i="10"/>
  <c r="G100" i="10"/>
  <c r="G439" i="10"/>
  <c r="G131" i="10"/>
  <c r="G384" i="10"/>
  <c r="G237" i="10"/>
  <c r="G289" i="10"/>
  <c r="G30" i="10"/>
  <c r="G166" i="10"/>
  <c r="G92" i="10"/>
  <c r="G220" i="10"/>
  <c r="G121" i="10"/>
  <c r="G162" i="10"/>
  <c r="G272" i="10"/>
  <c r="G364" i="10"/>
  <c r="G461" i="10"/>
  <c r="G408" i="10"/>
  <c r="G90" i="10"/>
  <c r="G73" i="10"/>
  <c r="G282" i="10"/>
  <c r="G339" i="10"/>
  <c r="G233" i="10"/>
  <c r="G296" i="10"/>
  <c r="G330" i="10"/>
  <c r="G414" i="10"/>
  <c r="G303" i="10"/>
  <c r="G409" i="10"/>
  <c r="G410" i="10"/>
  <c r="G446" i="10"/>
  <c r="G168" i="10"/>
  <c r="G67" i="10"/>
  <c r="G143" i="10"/>
  <c r="G231" i="10"/>
  <c r="G37" i="10"/>
  <c r="G211" i="10"/>
  <c r="G24" i="10"/>
  <c r="G129" i="10"/>
  <c r="G427" i="10"/>
  <c r="G183" i="10"/>
  <c r="G105" i="10"/>
  <c r="G96" i="10"/>
  <c r="G264" i="10"/>
  <c r="G484" i="10"/>
  <c r="G334" i="10"/>
  <c r="G312" i="10"/>
  <c r="G262" i="10"/>
  <c r="G366" i="10"/>
  <c r="G148" i="10"/>
  <c r="G89" i="10"/>
  <c r="G207" i="10"/>
  <c r="G103" i="10"/>
  <c r="G65" i="10"/>
  <c r="G321" i="10"/>
  <c r="G276" i="10"/>
  <c r="G135" i="10"/>
  <c r="G147" i="10"/>
  <c r="G476" i="10"/>
  <c r="G337" i="10"/>
  <c r="G468" i="10"/>
  <c r="G16" i="10"/>
  <c r="G275" i="10"/>
  <c r="G472" i="10"/>
  <c r="G281" i="10"/>
  <c r="G125" i="10"/>
  <c r="G82" i="10"/>
  <c r="G212" i="10"/>
  <c r="G327" i="10"/>
  <c r="G370" i="10"/>
  <c r="G397" i="10"/>
  <c r="G398" i="10"/>
  <c r="G325" i="10"/>
  <c r="G249" i="10"/>
  <c r="G203" i="10"/>
  <c r="G60" i="10"/>
  <c r="G122" i="10"/>
  <c r="G52" i="10"/>
  <c r="G345" i="10"/>
  <c r="G149" i="10"/>
  <c r="G452" i="10"/>
  <c r="G263" i="10"/>
  <c r="G248" i="10"/>
  <c r="G428" i="10"/>
  <c r="G320" i="10"/>
  <c r="G392" i="10"/>
  <c r="G49" i="10"/>
  <c r="G286" i="10"/>
  <c r="G423" i="10"/>
  <c r="G235" i="10"/>
  <c r="G142" i="10"/>
  <c r="G387" i="10"/>
  <c r="G448" i="10"/>
  <c r="G473" i="10"/>
  <c r="G376" i="10"/>
  <c r="G173" i="10"/>
  <c r="G478" i="10"/>
  <c r="G456" i="10"/>
  <c r="G406" i="10"/>
  <c r="G425" i="10"/>
  <c r="G171" i="10"/>
  <c r="G437" i="10"/>
  <c r="G234" i="10"/>
  <c r="G291" i="10"/>
  <c r="G54" i="10"/>
  <c r="G257" i="10"/>
  <c r="G295" i="10"/>
  <c r="G181" i="10"/>
  <c r="G323" i="10"/>
  <c r="G466" i="10"/>
  <c r="G421" i="10"/>
  <c r="G93" i="10"/>
  <c r="G22" i="10"/>
  <c r="G170" i="10"/>
  <c r="G347" i="10"/>
  <c r="G435" i="10"/>
  <c r="G55" i="10"/>
  <c r="G477" i="10"/>
  <c r="G416" i="10"/>
  <c r="G475" i="10"/>
  <c r="G179" i="10"/>
  <c r="G241" i="10"/>
  <c r="G140" i="10"/>
  <c r="G340" i="10"/>
  <c r="G223" i="10"/>
  <c r="G137" i="10"/>
  <c r="G123" i="10"/>
  <c r="G33" i="10"/>
  <c r="G447" i="10"/>
  <c r="G367" i="10"/>
  <c r="G391" i="10"/>
  <c r="G267" i="10"/>
  <c r="G350" i="10"/>
  <c r="G259" i="10"/>
  <c r="G422" i="10"/>
  <c r="G86" i="10"/>
  <c r="G252" i="10"/>
  <c r="G381" i="10"/>
  <c r="G382" i="10"/>
  <c r="G418" i="10"/>
  <c r="G449" i="10"/>
  <c r="G163" i="10"/>
  <c r="G61" i="10"/>
  <c r="G153" i="10"/>
  <c r="G19" i="10"/>
  <c r="G214" i="10"/>
  <c r="G245" i="10"/>
  <c r="G293" i="10"/>
  <c r="G48" i="10"/>
  <c r="G462" i="10"/>
  <c r="G420" i="10"/>
  <c r="G486" i="10"/>
  <c r="G95" i="10"/>
  <c r="G226" i="10"/>
  <c r="G298" i="10"/>
  <c r="G288" i="10"/>
  <c r="G193" i="10"/>
  <c r="G331" i="10"/>
  <c r="G66" i="10"/>
  <c r="G250" i="10"/>
  <c r="G333" i="10"/>
  <c r="G310" i="10"/>
  <c r="G164" i="10"/>
  <c r="G273" i="10"/>
  <c r="G292" i="10"/>
  <c r="G36" i="10"/>
  <c r="G253" i="10"/>
  <c r="G254" i="10"/>
  <c r="G306" i="10"/>
  <c r="G351" i="10"/>
  <c r="G388" i="10"/>
  <c r="G112" i="10"/>
  <c r="G236" i="10"/>
  <c r="G132" i="10"/>
  <c r="G417" i="10"/>
  <c r="G188" i="10"/>
  <c r="G198" i="10"/>
  <c r="G213" i="10"/>
  <c r="G424" i="10"/>
  <c r="G126" i="10"/>
  <c r="G246" i="10"/>
  <c r="G32" i="10"/>
  <c r="G34" i="10"/>
  <c r="G191" i="10"/>
  <c r="G20" i="10"/>
  <c r="G15" i="10"/>
  <c r="G222" i="10"/>
  <c r="G413" i="10"/>
  <c r="G483" i="10"/>
  <c r="G294" i="10"/>
  <c r="G355" i="10"/>
  <c r="G444" i="10"/>
  <c r="G279" i="10"/>
  <c r="G196" i="10"/>
  <c r="G116" i="10"/>
  <c r="G18" i="10"/>
  <c r="G64" i="10"/>
  <c r="G88" i="10"/>
  <c r="G187" i="10"/>
  <c r="G45" i="10"/>
  <c r="G118" i="10"/>
  <c r="G353" i="10"/>
  <c r="G352" i="10"/>
  <c r="G218" i="10"/>
  <c r="G53" i="10"/>
  <c r="G225" i="10"/>
  <c r="G217" i="10"/>
  <c r="G101" i="10"/>
  <c r="G380" i="10"/>
  <c r="G10" i="10"/>
  <c r="G182" i="10"/>
  <c r="G77" i="10"/>
  <c r="G464" i="10"/>
  <c r="G385" i="10"/>
  <c r="G451" i="10"/>
  <c r="G457" i="10"/>
  <c r="G455" i="10"/>
  <c r="G111" i="10"/>
  <c r="G25" i="10"/>
  <c r="G243" i="10"/>
  <c r="G57" i="10"/>
  <c r="G186" i="10"/>
  <c r="G206" i="10"/>
  <c r="G128" i="10"/>
  <c r="G62" i="10"/>
  <c r="G70" i="10"/>
  <c r="G247" i="10"/>
  <c r="G227" i="10"/>
  <c r="G133" i="10"/>
  <c r="G433" i="10"/>
  <c r="G396" i="10"/>
  <c r="G395" i="10"/>
  <c r="G371" i="10"/>
  <c r="G479" i="10"/>
  <c r="G239" i="10"/>
  <c r="G40" i="10"/>
  <c r="G189" i="10"/>
  <c r="G356" i="10"/>
  <c r="G167" i="10"/>
  <c r="G373" i="10"/>
  <c r="G251" i="10"/>
  <c r="G407" i="10"/>
  <c r="G178" i="10"/>
  <c r="G23" i="10"/>
  <c r="G106" i="10"/>
  <c r="G256" i="10"/>
  <c r="G47" i="10"/>
  <c r="G309" i="10"/>
  <c r="G180" i="10"/>
  <c r="G130" i="10"/>
  <c r="G50" i="10"/>
  <c r="G38" i="10"/>
  <c r="G438" i="10"/>
  <c r="G482" i="10"/>
  <c r="G265" i="10"/>
  <c r="G266" i="10"/>
  <c r="G302" i="10"/>
  <c r="G136" i="10"/>
  <c r="G35" i="10"/>
  <c r="G127" i="10"/>
  <c r="G110" i="10"/>
  <c r="G139" i="10"/>
  <c r="G238" i="10"/>
  <c r="G284" i="10"/>
  <c r="G12" i="10"/>
  <c r="G205" i="10"/>
  <c r="G404" i="10"/>
  <c r="G405" i="10"/>
  <c r="G332" i="10"/>
  <c r="G201" i="10"/>
  <c r="G349" i="10"/>
  <c r="G29" i="10"/>
  <c r="G314" i="10"/>
  <c r="G470" i="10"/>
  <c r="G301" i="10"/>
  <c r="G403" i="10"/>
  <c r="G316" i="10"/>
  <c r="G341" i="10"/>
  <c r="G377" i="10"/>
  <c r="G43" i="10"/>
  <c r="G307" i="10"/>
  <c r="G346" i="10"/>
  <c r="G324" i="10"/>
  <c r="G360" i="10"/>
  <c r="G85" i="10"/>
  <c r="G154" i="10"/>
  <c r="G305" i="10"/>
  <c r="G56" i="10"/>
  <c r="G84" i="10"/>
  <c r="G453" i="10"/>
  <c r="G87" i="10"/>
  <c r="G215" i="10"/>
  <c r="G14" i="10"/>
  <c r="G454" i="10"/>
  <c r="G260" i="10"/>
  <c r="G430" i="10"/>
  <c r="G322" i="10"/>
  <c r="G268" i="10"/>
  <c r="G184" i="10"/>
  <c r="G157" i="10"/>
  <c r="G221" i="10"/>
  <c r="G197" i="10"/>
  <c r="G152" i="10"/>
  <c r="G155" i="10"/>
  <c r="G17" i="10"/>
  <c r="G219" i="10"/>
  <c r="G169" i="10"/>
  <c r="G104" i="10"/>
  <c r="G467" i="10"/>
  <c r="G474" i="10"/>
  <c r="G386" i="10"/>
  <c r="G278" i="10"/>
  <c r="G51" i="10"/>
  <c r="G342" i="10"/>
  <c r="G354" i="10"/>
  <c r="G434" i="10"/>
  <c r="G210" i="10"/>
  <c r="G357" i="10"/>
  <c r="G431" i="10"/>
  <c r="G429" i="10"/>
  <c r="G81" i="10"/>
  <c r="G336" i="10"/>
  <c r="G244" i="10"/>
  <c r="G76" i="10"/>
  <c r="G150" i="10"/>
  <c r="G412" i="10"/>
  <c r="G199" i="10"/>
  <c r="G28" i="10"/>
  <c r="G460" i="10"/>
  <c r="G485" i="10"/>
  <c r="G450" i="10"/>
  <c r="G115" i="10"/>
  <c r="G75" i="10"/>
  <c r="G232" i="10"/>
  <c r="G21" i="10"/>
  <c r="G109" i="10"/>
  <c r="G338" i="10"/>
  <c r="G297" i="10"/>
  <c r="G358" i="10"/>
  <c r="G378" i="10"/>
  <c r="G224" i="10"/>
  <c r="G261" i="10"/>
  <c r="G465" i="10"/>
  <c r="G299" i="10"/>
  <c r="G432" i="10"/>
  <c r="G445" i="10"/>
  <c r="G481" i="10"/>
  <c r="G78" i="10"/>
  <c r="G156" i="10"/>
  <c r="G41" i="10"/>
  <c r="G194" i="10"/>
  <c r="G124" i="10"/>
  <c r="G240" i="10"/>
  <c r="G160" i="10"/>
  <c r="G440" i="10"/>
  <c r="G401" i="10"/>
  <c r="G71" i="10"/>
  <c r="G209" i="10"/>
  <c r="G97" i="10"/>
  <c r="G165" i="10"/>
  <c r="G318" i="10"/>
  <c r="G117" i="10"/>
  <c r="G190" i="10"/>
  <c r="G159" i="10"/>
  <c r="G91" i="10"/>
  <c r="G459" i="10"/>
  <c r="G328" i="10"/>
  <c r="G283" i="10"/>
  <c r="G368" i="10"/>
  <c r="G348" i="10"/>
  <c r="G271" i="10"/>
  <c r="G311" i="10"/>
  <c r="G242" i="10"/>
  <c r="G59" i="10"/>
  <c r="G107" i="10"/>
  <c r="G80" i="10"/>
  <c r="G58" i="10"/>
  <c r="G145" i="10"/>
  <c r="G63" i="10"/>
  <c r="G258" i="10"/>
  <c r="G94" i="10"/>
  <c r="G44" i="10"/>
  <c r="G119" i="10"/>
  <c r="G83" i="10"/>
  <c r="G229" i="10"/>
  <c r="G177" i="10"/>
  <c r="G151" i="10"/>
  <c r="G26" i="10"/>
  <c r="G300" i="10"/>
  <c r="G415" i="10"/>
  <c r="G379" i="10"/>
  <c r="G270" i="10"/>
  <c r="G74" i="10"/>
  <c r="G274" i="10"/>
  <c r="E4" i="1" l="1"/>
  <c r="B5" i="10"/>
  <c r="B4" i="10" l="1"/>
  <c r="B3" i="10" l="1"/>
  <c r="A9" i="10"/>
  <c r="H7" i="1" l="1"/>
  <c r="I7" i="1" s="1"/>
  <c r="E7" i="1"/>
  <c r="G9" i="10"/>
</calcChain>
</file>

<file path=xl/comments1.xml><?xml version="1.0" encoding="utf-8"?>
<comments xmlns="http://schemas.openxmlformats.org/spreadsheetml/2006/main">
  <authors>
    <author>作者</author>
  </authors>
  <commentList>
    <comment ref="A9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<sst xmlns="http://schemas.openxmlformats.org/spreadsheetml/2006/main" count="32" uniqueCount="32">
  <si>
    <t>数据集名称</t>
  </si>
  <si>
    <t>开始日期</t>
  </si>
  <si>
    <t>结束日期</t>
  </si>
  <si>
    <t>日</t>
  </si>
  <si>
    <t>最近更新：</t>
    <phoneticPr fontId="11" type="noConversion"/>
  </si>
  <si>
    <t>开始日期:</t>
    <phoneticPr fontId="3" type="noConversion"/>
  </si>
  <si>
    <t>统计周期:</t>
    <phoneticPr fontId="3" type="noConversion"/>
  </si>
  <si>
    <t>融资融券资金动向</t>
    <phoneticPr fontId="3" type="noConversion"/>
  </si>
  <si>
    <t>市场交易统计(数值)</t>
  </si>
  <si>
    <t>市场类型</t>
  </si>
  <si>
    <t>全部市场</t>
  </si>
  <si>
    <t>频率</t>
  </si>
  <si>
    <t>日期排序</t>
  </si>
  <si>
    <t>升序</t>
  </si>
  <si>
    <t>end_date</t>
  </si>
  <si>
    <t>截止日</t>
  </si>
  <si>
    <t>shsz_total_balance</t>
    <phoneticPr fontId="3" type="noConversion"/>
  </si>
  <si>
    <t>沪深两融余额</t>
  </si>
  <si>
    <t>sh_total_balance</t>
  </si>
  <si>
    <t>沪市两融余额</t>
  </si>
  <si>
    <t>sz_total_balance</t>
  </si>
  <si>
    <t>深市两融余额</t>
  </si>
  <si>
    <t>margin_balance</t>
  </si>
  <si>
    <t>融资余额</t>
  </si>
  <si>
    <t>period_bought_amount</t>
  </si>
  <si>
    <t>期间买入额</t>
  </si>
  <si>
    <t>最新两融余额:</t>
    <phoneticPr fontId="3" type="noConversion"/>
  </si>
  <si>
    <t>万得全A</t>
    <phoneticPr fontId="3" type="noConversion"/>
  </si>
  <si>
    <t>历史两融余额（亿元）</t>
    <phoneticPr fontId="3" type="noConversion"/>
  </si>
  <si>
    <t>融资净买入额（亿元）</t>
    <phoneticPr fontId="3" type="noConversion"/>
  </si>
  <si>
    <t>较前一期变化：</t>
    <phoneticPr fontId="3" type="noConversion"/>
  </si>
  <si>
    <t>融资融券资金动向 V1.1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</si>
</sst>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76" formatCode="yyyy\-mm\-dd"/>
    <numFmt numFmtId="177" formatCode="0\.00,,&quot;亿&quot;"/>
    <numFmt numFmtId="178" formatCode="yyyy/mm/dd"/>
  </numFmts>
  <fonts count="19">
    <font>
      <sz val="11"/>
      <color theme="1"/>
      <name val="等线"/>
      <family val="2"/>
      <scheme val="minor"/>
    </font>
    <font>
      <sz val="14"/>
      <color theme="1"/>
      <name val="微软雅黑"/>
      <family val="2"/>
      <charset val="134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20"/>
      <color theme="0"/>
      <name val="微软雅黑"/>
      <family val="2"/>
      <charset val="134"/>
    </font>
    <font>
      <sz val="9"/>
      <name val="宋体"/>
      <family val="3"/>
      <charset val="134"/>
    </font>
    <font>
      <sz val="12"/>
      <color theme="0"/>
      <name val="微软雅黑"/>
      <family val="2"/>
      <charset val="134"/>
    </font>
    <font>
      <b/>
      <sz val="10"/>
      <name val="微软雅黑"/>
      <family val="2"/>
      <charset val="134"/>
    </font>
    <font>
      <b/>
      <sz val="14"/>
      <name val="微软雅黑"/>
      <family val="2"/>
      <charset val="134"/>
    </font>
    <font>
      <b/>
      <sz val="12"/>
      <name val="微软雅黑"/>
      <family val="2"/>
      <charset val="134"/>
    </font>
    <font>
      <sz val="9"/>
      <name val="等线"/>
      <family val="2"/>
      <charset val="134"/>
      <scheme val="minor"/>
    </font>
    <font>
      <sz val="12"/>
      <color theme="0"/>
      <name val="Arial"/>
      <family val="2"/>
    </font>
    <font>
      <sz val="10"/>
      <color theme="1"/>
      <name val="微软雅黑"/>
      <family val="2"/>
      <charset val="134"/>
    </font>
    <font>
      <sz val="14"/>
      <color theme="1"/>
      <name val="Arial"/>
      <family val="2"/>
    </font>
    <font>
      <sz val="11"/>
      <color theme="1"/>
      <name val="微软雅黑"/>
      <family val="2"/>
      <charset val="134"/>
    </font>
    <font>
      <b/>
      <sz val="20"/>
      <color rgb="FF107F3A"/>
      <name val="Arial"/>
      <family val="2"/>
    </font>
    <font>
      <sz val="11"/>
      <color theme="0"/>
      <name val="微软雅黑"/>
      <family val="2"/>
      <charset val="134"/>
    </font>
    <font>
      <b/>
      <sz val="16"/>
      <color rgb="FF107F3A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E4C658"/>
        <bgColor indexed="64"/>
      </patternFill>
    </fill>
    <fill>
      <patternFill patternType="solid">
        <fgColor rgb="FFF4F4F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>
      <alignment vertical="center"/>
    </xf>
  </cellStyleXfs>
  <cellXfs count="38">
    <xf numFmtId="0" fontId="0" fillId="0" borderId="0" xfId="0"/>
    <xf numFmtId="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176" fontId="0" fillId="0" borderId="0" xfId="0" applyNumberFormat="1" applyAlignment="1">
      <alignment horizontal="right"/>
    </xf>
    <xf numFmtId="0" fontId="8" fillId="4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13" fillId="5" borderId="0" xfId="0" applyFont="1" applyFill="1" applyBorder="1" applyAlignment="1"/>
    <xf numFmtId="0" fontId="15" fillId="2" borderId="0" xfId="0" applyFont="1" applyFill="1" applyAlignment="1"/>
    <xf numFmtId="0" fontId="15" fillId="0" borderId="0" xfId="0" applyFont="1"/>
    <xf numFmtId="0" fontId="15" fillId="3" borderId="0" xfId="0" applyFont="1" applyFill="1" applyAlignment="1"/>
    <xf numFmtId="3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176" fontId="12" fillId="2" borderId="0" xfId="0" applyNumberFormat="1" applyFont="1" applyFill="1" applyBorder="1" applyAlignment="1">
      <alignment horizontal="right" vertical="center"/>
    </xf>
    <xf numFmtId="0" fontId="10" fillId="4" borderId="1" xfId="0" applyNumberFormat="1" applyFont="1" applyFill="1" applyBorder="1" applyAlignment="1">
      <alignment vertical="center"/>
    </xf>
    <xf numFmtId="0" fontId="15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0" fillId="4" borderId="3" xfId="0" applyNumberFormat="1" applyFont="1" applyFill="1" applyBorder="1" applyAlignment="1">
      <alignment vertical="center"/>
    </xf>
    <xf numFmtId="0" fontId="9" fillId="4" borderId="3" xfId="0" applyFont="1" applyFill="1" applyBorder="1" applyAlignment="1">
      <alignment vertical="center"/>
    </xf>
    <xf numFmtId="0" fontId="8" fillId="4" borderId="3" xfId="0" applyFont="1" applyFill="1" applyBorder="1" applyAlignment="1">
      <alignment vertical="center"/>
    </xf>
    <xf numFmtId="0" fontId="15" fillId="0" borderId="5" xfId="0" applyFont="1" applyBorder="1"/>
    <xf numFmtId="0" fontId="15" fillId="0" borderId="6" xfId="0" applyFont="1" applyBorder="1"/>
    <xf numFmtId="0" fontId="15" fillId="0" borderId="7" xfId="0" applyFont="1" applyBorder="1"/>
    <xf numFmtId="0" fontId="15" fillId="0" borderId="8" xfId="0" applyFont="1" applyBorder="1"/>
    <xf numFmtId="178" fontId="14" fillId="6" borderId="0" xfId="0" applyNumberFormat="1" applyFont="1" applyFill="1" applyBorder="1" applyAlignment="1" applyProtection="1">
      <alignment horizontal="right"/>
      <protection locked="0"/>
    </xf>
    <xf numFmtId="0" fontId="15" fillId="0" borderId="0" xfId="0" applyFont="1" applyBorder="1"/>
    <xf numFmtId="0" fontId="15" fillId="0" borderId="9" xfId="0" applyFont="1" applyBorder="1"/>
    <xf numFmtId="0" fontId="13" fillId="7" borderId="0" xfId="0" applyFont="1" applyFill="1" applyBorder="1" applyAlignment="1"/>
    <xf numFmtId="0" fontId="1" fillId="0" borderId="0" xfId="0" applyNumberFormat="1" applyFont="1" applyBorder="1" applyAlignment="1">
      <alignment horizontal="left"/>
    </xf>
    <xf numFmtId="177" fontId="18" fillId="0" borderId="0" xfId="1" applyNumberFormat="1" applyFont="1" applyBorder="1" applyAlignment="1">
      <alignment horizontal="right"/>
    </xf>
    <xf numFmtId="177" fontId="16" fillId="0" borderId="0" xfId="1" applyNumberFormat="1" applyFont="1" applyBorder="1" applyAlignment="1">
      <alignment horizontal="right"/>
    </xf>
    <xf numFmtId="0" fontId="17" fillId="0" borderId="0" xfId="0" applyFont="1" applyBorder="1" applyAlignment="1">
      <alignment horizontal="center" vertical="center"/>
    </xf>
    <xf numFmtId="0" fontId="15" fillId="0" borderId="10" xfId="0" applyFont="1" applyBorder="1"/>
    <xf numFmtId="0" fontId="15" fillId="0" borderId="4" xfId="0" applyFont="1" applyBorder="1"/>
    <xf numFmtId="0" fontId="15" fillId="0" borderId="11" xfId="0" applyFont="1" applyBorder="1"/>
    <xf numFmtId="0" fontId="5" fillId="2" borderId="0" xfId="0" applyFont="1" applyFill="1" applyAlignment="1">
      <alignment horizontal="center" vertical="center"/>
    </xf>
  </cellXfs>
  <cellStyles count="2">
    <cellStyle name="常规" xfId="0" builtinId="0"/>
    <cellStyle name="千位分隔" xfId="1" builtinId="3"/>
  </cellStyles>
  <dxfs count="4"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</dxfs>
  <tableStyles count="0" defaultTableStyle="TableStyleMedium2" defaultPivotStyle="PivotStyleLight16"/>
  <colors>
    <mruColors>
      <color rgb="FF107F3A"/>
      <color rgb="FFC91818"/>
      <color rgb="FF2276A0"/>
      <color rgb="FF636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两融余额（亿）</c:v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76200" dist="38100" dir="5400000" algn="t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numRef>
              <c:f>数据!Date1</c:f>
              <c:numCache>
                <c:formatCode>yyyy\-mm\-dd</c:formatCode>
                <c:ptCount val="237"/>
                <c:pt idx="0">
                  <c:v>45040</c:v>
                </c:pt>
                <c:pt idx="1">
                  <c:v>45041</c:v>
                </c:pt>
                <c:pt idx="2">
                  <c:v>45042</c:v>
                </c:pt>
                <c:pt idx="3">
                  <c:v>45043</c:v>
                </c:pt>
                <c:pt idx="4">
                  <c:v>45044</c:v>
                </c:pt>
                <c:pt idx="5">
                  <c:v>45050</c:v>
                </c:pt>
                <c:pt idx="6">
                  <c:v>45051</c:v>
                </c:pt>
                <c:pt idx="7">
                  <c:v>45054</c:v>
                </c:pt>
                <c:pt idx="8">
                  <c:v>45055</c:v>
                </c:pt>
                <c:pt idx="9">
                  <c:v>45056</c:v>
                </c:pt>
                <c:pt idx="10">
                  <c:v>45057</c:v>
                </c:pt>
                <c:pt idx="11">
                  <c:v>45058</c:v>
                </c:pt>
                <c:pt idx="12">
                  <c:v>45061</c:v>
                </c:pt>
                <c:pt idx="13">
                  <c:v>45062</c:v>
                </c:pt>
                <c:pt idx="14">
                  <c:v>45063</c:v>
                </c:pt>
                <c:pt idx="15">
                  <c:v>45064</c:v>
                </c:pt>
                <c:pt idx="16">
                  <c:v>45065</c:v>
                </c:pt>
                <c:pt idx="17">
                  <c:v>45068</c:v>
                </c:pt>
                <c:pt idx="18">
                  <c:v>45069</c:v>
                </c:pt>
                <c:pt idx="19">
                  <c:v>45070</c:v>
                </c:pt>
                <c:pt idx="20">
                  <c:v>45071</c:v>
                </c:pt>
                <c:pt idx="21">
                  <c:v>45072</c:v>
                </c:pt>
                <c:pt idx="22">
                  <c:v>45075</c:v>
                </c:pt>
                <c:pt idx="23">
                  <c:v>45076</c:v>
                </c:pt>
                <c:pt idx="24">
                  <c:v>45077</c:v>
                </c:pt>
                <c:pt idx="25">
                  <c:v>45078</c:v>
                </c:pt>
                <c:pt idx="26">
                  <c:v>45079</c:v>
                </c:pt>
                <c:pt idx="27">
                  <c:v>45082</c:v>
                </c:pt>
                <c:pt idx="28">
                  <c:v>45083</c:v>
                </c:pt>
                <c:pt idx="29">
                  <c:v>45084</c:v>
                </c:pt>
                <c:pt idx="30">
                  <c:v>45085</c:v>
                </c:pt>
                <c:pt idx="31">
                  <c:v>45086</c:v>
                </c:pt>
                <c:pt idx="32">
                  <c:v>45089</c:v>
                </c:pt>
                <c:pt idx="33">
                  <c:v>45090</c:v>
                </c:pt>
                <c:pt idx="34">
                  <c:v>45091</c:v>
                </c:pt>
                <c:pt idx="35">
                  <c:v>45092</c:v>
                </c:pt>
                <c:pt idx="36">
                  <c:v>45093</c:v>
                </c:pt>
                <c:pt idx="37">
                  <c:v>45096</c:v>
                </c:pt>
                <c:pt idx="38">
                  <c:v>45097</c:v>
                </c:pt>
                <c:pt idx="39">
                  <c:v>45098</c:v>
                </c:pt>
                <c:pt idx="40">
                  <c:v>45103</c:v>
                </c:pt>
                <c:pt idx="41">
                  <c:v>45104</c:v>
                </c:pt>
                <c:pt idx="42">
                  <c:v>45105</c:v>
                </c:pt>
                <c:pt idx="43">
                  <c:v>45106</c:v>
                </c:pt>
                <c:pt idx="44">
                  <c:v>45107</c:v>
                </c:pt>
                <c:pt idx="45">
                  <c:v>45110</c:v>
                </c:pt>
                <c:pt idx="46">
                  <c:v>45111</c:v>
                </c:pt>
                <c:pt idx="47">
                  <c:v>45112</c:v>
                </c:pt>
                <c:pt idx="48">
                  <c:v>45113</c:v>
                </c:pt>
                <c:pt idx="49">
                  <c:v>45114</c:v>
                </c:pt>
                <c:pt idx="50">
                  <c:v>45117</c:v>
                </c:pt>
                <c:pt idx="51">
                  <c:v>45118</c:v>
                </c:pt>
                <c:pt idx="52">
                  <c:v>45119</c:v>
                </c:pt>
                <c:pt idx="53">
                  <c:v>45120</c:v>
                </c:pt>
                <c:pt idx="54">
                  <c:v>45121</c:v>
                </c:pt>
                <c:pt idx="55">
                  <c:v>45124</c:v>
                </c:pt>
                <c:pt idx="56">
                  <c:v>45125</c:v>
                </c:pt>
                <c:pt idx="57">
                  <c:v>45126</c:v>
                </c:pt>
                <c:pt idx="58">
                  <c:v>45127</c:v>
                </c:pt>
                <c:pt idx="59">
                  <c:v>45128</c:v>
                </c:pt>
                <c:pt idx="60">
                  <c:v>45131</c:v>
                </c:pt>
                <c:pt idx="61">
                  <c:v>45132</c:v>
                </c:pt>
                <c:pt idx="62">
                  <c:v>45133</c:v>
                </c:pt>
                <c:pt idx="63">
                  <c:v>45134</c:v>
                </c:pt>
                <c:pt idx="64">
                  <c:v>45135</c:v>
                </c:pt>
                <c:pt idx="65">
                  <c:v>45138</c:v>
                </c:pt>
                <c:pt idx="66">
                  <c:v>45139</c:v>
                </c:pt>
                <c:pt idx="67">
                  <c:v>45140</c:v>
                </c:pt>
                <c:pt idx="68">
                  <c:v>45141</c:v>
                </c:pt>
                <c:pt idx="69">
                  <c:v>45142</c:v>
                </c:pt>
                <c:pt idx="70">
                  <c:v>45145</c:v>
                </c:pt>
                <c:pt idx="71">
                  <c:v>45146</c:v>
                </c:pt>
                <c:pt idx="72">
                  <c:v>45147</c:v>
                </c:pt>
                <c:pt idx="73">
                  <c:v>45148</c:v>
                </c:pt>
                <c:pt idx="74">
                  <c:v>45149</c:v>
                </c:pt>
                <c:pt idx="75">
                  <c:v>45152</c:v>
                </c:pt>
                <c:pt idx="76">
                  <c:v>45153</c:v>
                </c:pt>
                <c:pt idx="77">
                  <c:v>45154</c:v>
                </c:pt>
                <c:pt idx="78">
                  <c:v>45155</c:v>
                </c:pt>
                <c:pt idx="79">
                  <c:v>45156</c:v>
                </c:pt>
                <c:pt idx="80">
                  <c:v>45159</c:v>
                </c:pt>
                <c:pt idx="81">
                  <c:v>45160</c:v>
                </c:pt>
                <c:pt idx="82">
                  <c:v>45161</c:v>
                </c:pt>
                <c:pt idx="83">
                  <c:v>45162</c:v>
                </c:pt>
                <c:pt idx="84">
                  <c:v>45163</c:v>
                </c:pt>
                <c:pt idx="85">
                  <c:v>45166</c:v>
                </c:pt>
                <c:pt idx="86">
                  <c:v>45167</c:v>
                </c:pt>
                <c:pt idx="87">
                  <c:v>45168</c:v>
                </c:pt>
                <c:pt idx="88">
                  <c:v>45169</c:v>
                </c:pt>
                <c:pt idx="89">
                  <c:v>45170</c:v>
                </c:pt>
                <c:pt idx="90">
                  <c:v>45173</c:v>
                </c:pt>
                <c:pt idx="91">
                  <c:v>45174</c:v>
                </c:pt>
                <c:pt idx="92">
                  <c:v>45175</c:v>
                </c:pt>
                <c:pt idx="93">
                  <c:v>45176</c:v>
                </c:pt>
                <c:pt idx="94">
                  <c:v>45177</c:v>
                </c:pt>
                <c:pt idx="95">
                  <c:v>45180</c:v>
                </c:pt>
                <c:pt idx="96">
                  <c:v>45181</c:v>
                </c:pt>
                <c:pt idx="97">
                  <c:v>45182</c:v>
                </c:pt>
                <c:pt idx="98">
                  <c:v>45183</c:v>
                </c:pt>
                <c:pt idx="99">
                  <c:v>45184</c:v>
                </c:pt>
                <c:pt idx="100">
                  <c:v>45187</c:v>
                </c:pt>
                <c:pt idx="101">
                  <c:v>45188</c:v>
                </c:pt>
                <c:pt idx="102">
                  <c:v>45189</c:v>
                </c:pt>
                <c:pt idx="103">
                  <c:v>45190</c:v>
                </c:pt>
                <c:pt idx="104">
                  <c:v>45191</c:v>
                </c:pt>
                <c:pt idx="105">
                  <c:v>45194</c:v>
                </c:pt>
                <c:pt idx="106">
                  <c:v>45195</c:v>
                </c:pt>
                <c:pt idx="107">
                  <c:v>45196</c:v>
                </c:pt>
                <c:pt idx="108">
                  <c:v>45197</c:v>
                </c:pt>
                <c:pt idx="109">
                  <c:v>45208</c:v>
                </c:pt>
                <c:pt idx="110">
                  <c:v>45209</c:v>
                </c:pt>
                <c:pt idx="111">
                  <c:v>45210</c:v>
                </c:pt>
                <c:pt idx="112">
                  <c:v>45211</c:v>
                </c:pt>
                <c:pt idx="113">
                  <c:v>45212</c:v>
                </c:pt>
                <c:pt idx="114">
                  <c:v>45215</c:v>
                </c:pt>
                <c:pt idx="115">
                  <c:v>45216</c:v>
                </c:pt>
                <c:pt idx="116">
                  <c:v>45217</c:v>
                </c:pt>
                <c:pt idx="117">
                  <c:v>45218</c:v>
                </c:pt>
                <c:pt idx="118">
                  <c:v>45219</c:v>
                </c:pt>
                <c:pt idx="119">
                  <c:v>45222</c:v>
                </c:pt>
                <c:pt idx="120">
                  <c:v>45223</c:v>
                </c:pt>
                <c:pt idx="121">
                  <c:v>45224</c:v>
                </c:pt>
                <c:pt idx="122">
                  <c:v>45225</c:v>
                </c:pt>
                <c:pt idx="123">
                  <c:v>45226</c:v>
                </c:pt>
                <c:pt idx="124">
                  <c:v>45229</c:v>
                </c:pt>
                <c:pt idx="125">
                  <c:v>45230</c:v>
                </c:pt>
                <c:pt idx="126">
                  <c:v>45231</c:v>
                </c:pt>
                <c:pt idx="127">
                  <c:v>45232</c:v>
                </c:pt>
                <c:pt idx="128">
                  <c:v>45233</c:v>
                </c:pt>
                <c:pt idx="129">
                  <c:v>45236</c:v>
                </c:pt>
                <c:pt idx="130">
                  <c:v>45237</c:v>
                </c:pt>
                <c:pt idx="131">
                  <c:v>45238</c:v>
                </c:pt>
                <c:pt idx="132">
                  <c:v>45239</c:v>
                </c:pt>
                <c:pt idx="133">
                  <c:v>45240</c:v>
                </c:pt>
                <c:pt idx="134">
                  <c:v>45243</c:v>
                </c:pt>
                <c:pt idx="135">
                  <c:v>45244</c:v>
                </c:pt>
                <c:pt idx="136">
                  <c:v>45245</c:v>
                </c:pt>
                <c:pt idx="137">
                  <c:v>45246</c:v>
                </c:pt>
                <c:pt idx="138">
                  <c:v>45247</c:v>
                </c:pt>
                <c:pt idx="139">
                  <c:v>45250</c:v>
                </c:pt>
                <c:pt idx="140">
                  <c:v>45251</c:v>
                </c:pt>
                <c:pt idx="141">
                  <c:v>45252</c:v>
                </c:pt>
                <c:pt idx="142">
                  <c:v>45253</c:v>
                </c:pt>
                <c:pt idx="143">
                  <c:v>45254</c:v>
                </c:pt>
                <c:pt idx="144">
                  <c:v>45257</c:v>
                </c:pt>
                <c:pt idx="145">
                  <c:v>45258</c:v>
                </c:pt>
                <c:pt idx="146">
                  <c:v>45259</c:v>
                </c:pt>
                <c:pt idx="147">
                  <c:v>45260</c:v>
                </c:pt>
                <c:pt idx="148">
                  <c:v>45261</c:v>
                </c:pt>
                <c:pt idx="149">
                  <c:v>45264</c:v>
                </c:pt>
                <c:pt idx="150">
                  <c:v>45265</c:v>
                </c:pt>
                <c:pt idx="151">
                  <c:v>45266</c:v>
                </c:pt>
                <c:pt idx="152">
                  <c:v>45267</c:v>
                </c:pt>
                <c:pt idx="153">
                  <c:v>45268</c:v>
                </c:pt>
                <c:pt idx="154">
                  <c:v>45271</c:v>
                </c:pt>
                <c:pt idx="155">
                  <c:v>45272</c:v>
                </c:pt>
                <c:pt idx="156">
                  <c:v>45273</c:v>
                </c:pt>
                <c:pt idx="157">
                  <c:v>45274</c:v>
                </c:pt>
                <c:pt idx="158">
                  <c:v>45275</c:v>
                </c:pt>
                <c:pt idx="159">
                  <c:v>45278</c:v>
                </c:pt>
                <c:pt idx="160">
                  <c:v>45279</c:v>
                </c:pt>
                <c:pt idx="161">
                  <c:v>45280</c:v>
                </c:pt>
                <c:pt idx="162">
                  <c:v>45281</c:v>
                </c:pt>
                <c:pt idx="163">
                  <c:v>45282</c:v>
                </c:pt>
                <c:pt idx="164">
                  <c:v>45285</c:v>
                </c:pt>
                <c:pt idx="165">
                  <c:v>45286</c:v>
                </c:pt>
                <c:pt idx="166">
                  <c:v>45287</c:v>
                </c:pt>
                <c:pt idx="167">
                  <c:v>45288</c:v>
                </c:pt>
                <c:pt idx="168">
                  <c:v>45289</c:v>
                </c:pt>
                <c:pt idx="169">
                  <c:v>45293</c:v>
                </c:pt>
                <c:pt idx="170">
                  <c:v>45294</c:v>
                </c:pt>
                <c:pt idx="171">
                  <c:v>45295</c:v>
                </c:pt>
                <c:pt idx="172">
                  <c:v>45296</c:v>
                </c:pt>
                <c:pt idx="173">
                  <c:v>45299</c:v>
                </c:pt>
                <c:pt idx="174">
                  <c:v>45300</c:v>
                </c:pt>
                <c:pt idx="175">
                  <c:v>45301</c:v>
                </c:pt>
                <c:pt idx="176">
                  <c:v>45302</c:v>
                </c:pt>
                <c:pt idx="177">
                  <c:v>45303</c:v>
                </c:pt>
                <c:pt idx="178">
                  <c:v>45306</c:v>
                </c:pt>
                <c:pt idx="179">
                  <c:v>45307</c:v>
                </c:pt>
                <c:pt idx="180">
                  <c:v>45308</c:v>
                </c:pt>
                <c:pt idx="181">
                  <c:v>45309</c:v>
                </c:pt>
                <c:pt idx="182">
                  <c:v>45310</c:v>
                </c:pt>
                <c:pt idx="183">
                  <c:v>45313</c:v>
                </c:pt>
                <c:pt idx="184">
                  <c:v>45314</c:v>
                </c:pt>
                <c:pt idx="185">
                  <c:v>45315</c:v>
                </c:pt>
                <c:pt idx="186">
                  <c:v>45316</c:v>
                </c:pt>
                <c:pt idx="187">
                  <c:v>45317</c:v>
                </c:pt>
                <c:pt idx="188">
                  <c:v>45320</c:v>
                </c:pt>
                <c:pt idx="189">
                  <c:v>45321</c:v>
                </c:pt>
                <c:pt idx="190">
                  <c:v>45322</c:v>
                </c:pt>
                <c:pt idx="191">
                  <c:v>45323</c:v>
                </c:pt>
                <c:pt idx="192">
                  <c:v>45324</c:v>
                </c:pt>
                <c:pt idx="193">
                  <c:v>45327</c:v>
                </c:pt>
                <c:pt idx="194">
                  <c:v>45328</c:v>
                </c:pt>
                <c:pt idx="195">
                  <c:v>45329</c:v>
                </c:pt>
                <c:pt idx="196">
                  <c:v>45330</c:v>
                </c:pt>
                <c:pt idx="197">
                  <c:v>45341</c:v>
                </c:pt>
                <c:pt idx="198">
                  <c:v>45342</c:v>
                </c:pt>
                <c:pt idx="199">
                  <c:v>45343</c:v>
                </c:pt>
                <c:pt idx="200">
                  <c:v>45344</c:v>
                </c:pt>
                <c:pt idx="201">
                  <c:v>45345</c:v>
                </c:pt>
                <c:pt idx="202">
                  <c:v>45348</c:v>
                </c:pt>
                <c:pt idx="203">
                  <c:v>45349</c:v>
                </c:pt>
                <c:pt idx="204">
                  <c:v>45350</c:v>
                </c:pt>
                <c:pt idx="205">
                  <c:v>45351</c:v>
                </c:pt>
                <c:pt idx="206">
                  <c:v>45352</c:v>
                </c:pt>
                <c:pt idx="207">
                  <c:v>45355</c:v>
                </c:pt>
                <c:pt idx="208">
                  <c:v>45356</c:v>
                </c:pt>
                <c:pt idx="209">
                  <c:v>45357</c:v>
                </c:pt>
                <c:pt idx="210">
                  <c:v>45358</c:v>
                </c:pt>
                <c:pt idx="211">
                  <c:v>45359</c:v>
                </c:pt>
                <c:pt idx="212">
                  <c:v>45362</c:v>
                </c:pt>
                <c:pt idx="213">
                  <c:v>45363</c:v>
                </c:pt>
                <c:pt idx="214">
                  <c:v>45364</c:v>
                </c:pt>
                <c:pt idx="215">
                  <c:v>45365</c:v>
                </c:pt>
                <c:pt idx="216">
                  <c:v>45366</c:v>
                </c:pt>
                <c:pt idx="217">
                  <c:v>45369</c:v>
                </c:pt>
                <c:pt idx="218">
                  <c:v>45370</c:v>
                </c:pt>
                <c:pt idx="219">
                  <c:v>45371</c:v>
                </c:pt>
                <c:pt idx="220">
                  <c:v>45372</c:v>
                </c:pt>
                <c:pt idx="221">
                  <c:v>45373</c:v>
                </c:pt>
                <c:pt idx="222">
                  <c:v>45376</c:v>
                </c:pt>
                <c:pt idx="223">
                  <c:v>45377</c:v>
                </c:pt>
                <c:pt idx="224">
                  <c:v>45378</c:v>
                </c:pt>
                <c:pt idx="225">
                  <c:v>45379</c:v>
                </c:pt>
                <c:pt idx="226">
                  <c:v>45380</c:v>
                </c:pt>
                <c:pt idx="227">
                  <c:v>45383</c:v>
                </c:pt>
                <c:pt idx="228">
                  <c:v>45384</c:v>
                </c:pt>
                <c:pt idx="229">
                  <c:v>45385</c:v>
                </c:pt>
                <c:pt idx="230">
                  <c:v>45390</c:v>
                </c:pt>
                <c:pt idx="231">
                  <c:v>45391</c:v>
                </c:pt>
                <c:pt idx="232">
                  <c:v>45392</c:v>
                </c:pt>
                <c:pt idx="233">
                  <c:v>45393</c:v>
                </c:pt>
                <c:pt idx="234">
                  <c:v>45394</c:v>
                </c:pt>
                <c:pt idx="235">
                  <c:v>45397</c:v>
                </c:pt>
                <c:pt idx="236">
                  <c:v>45398</c:v>
                </c:pt>
              </c:numCache>
            </c:numRef>
          </c:cat>
          <c:val>
            <c:numRef>
              <c:f>数据!$B$9:$B$500</c:f>
              <c:numCache>
                <c:formatCode>#,##0</c:formatCode>
                <c:ptCount val="492"/>
                <c:pt idx="0">
                  <c:v>1639114824001</c:v>
                </c:pt>
                <c:pt idx="1">
                  <c:v>1629860082803</c:v>
                </c:pt>
                <c:pt idx="2">
                  <c:v>1624762686323</c:v>
                </c:pt>
                <c:pt idx="3">
                  <c:v>1617063875864</c:v>
                </c:pt>
                <c:pt idx="4">
                  <c:v>1607206635208</c:v>
                </c:pt>
                <c:pt idx="5">
                  <c:v>1617537044961</c:v>
                </c:pt>
                <c:pt idx="6">
                  <c:v>1612641642075</c:v>
                </c:pt>
                <c:pt idx="7">
                  <c:v>1619724680226</c:v>
                </c:pt>
                <c:pt idx="8">
                  <c:v>1620629798141</c:v>
                </c:pt>
                <c:pt idx="9">
                  <c:v>1621217068955</c:v>
                </c:pt>
                <c:pt idx="10">
                  <c:v>1620383188284</c:v>
                </c:pt>
                <c:pt idx="11">
                  <c:v>1613820347019</c:v>
                </c:pt>
                <c:pt idx="12">
                  <c:v>1617313320031</c:v>
                </c:pt>
                <c:pt idx="13">
                  <c:v>1616322677591</c:v>
                </c:pt>
                <c:pt idx="14">
                  <c:v>1616796748357</c:v>
                </c:pt>
                <c:pt idx="15">
                  <c:v>1620864115423</c:v>
                </c:pt>
                <c:pt idx="16">
                  <c:v>1616398819978</c:v>
                </c:pt>
                <c:pt idx="17">
                  <c:v>1615121115891</c:v>
                </c:pt>
                <c:pt idx="18">
                  <c:v>1611223326648</c:v>
                </c:pt>
                <c:pt idx="19">
                  <c:v>1611719934995</c:v>
                </c:pt>
                <c:pt idx="20">
                  <c:v>1610616856107</c:v>
                </c:pt>
                <c:pt idx="21">
                  <c:v>1609312736460</c:v>
                </c:pt>
                <c:pt idx="22">
                  <c:v>1611148592945</c:v>
                </c:pt>
                <c:pt idx="23">
                  <c:v>1612157339296</c:v>
                </c:pt>
                <c:pt idx="24">
                  <c:v>1613415593479</c:v>
                </c:pt>
                <c:pt idx="25">
                  <c:v>1614037806111</c:v>
                </c:pt>
                <c:pt idx="26">
                  <c:v>1608377200228</c:v>
                </c:pt>
                <c:pt idx="27">
                  <c:v>1610173429478</c:v>
                </c:pt>
                <c:pt idx="28">
                  <c:v>1603517207984</c:v>
                </c:pt>
                <c:pt idx="29">
                  <c:v>1603036332639</c:v>
                </c:pt>
                <c:pt idx="30">
                  <c:v>1600030537146</c:v>
                </c:pt>
                <c:pt idx="31">
                  <c:v>1599224331248</c:v>
                </c:pt>
                <c:pt idx="32">
                  <c:v>1601929634083</c:v>
                </c:pt>
                <c:pt idx="33">
                  <c:v>1602703570032</c:v>
                </c:pt>
                <c:pt idx="34">
                  <c:v>1602926017457</c:v>
                </c:pt>
                <c:pt idx="35">
                  <c:v>1603830939723</c:v>
                </c:pt>
                <c:pt idx="36">
                  <c:v>1603597610417</c:v>
                </c:pt>
                <c:pt idx="37">
                  <c:v>1610347152055</c:v>
                </c:pt>
                <c:pt idx="38">
                  <c:v>1613983548881</c:v>
                </c:pt>
                <c:pt idx="39">
                  <c:v>1601579106296</c:v>
                </c:pt>
                <c:pt idx="40">
                  <c:v>1596353815755</c:v>
                </c:pt>
                <c:pt idx="41">
                  <c:v>1595745391839</c:v>
                </c:pt>
                <c:pt idx="42">
                  <c:v>1590714250736</c:v>
                </c:pt>
                <c:pt idx="43">
                  <c:v>1592512864632</c:v>
                </c:pt>
                <c:pt idx="44">
                  <c:v>1588497504429</c:v>
                </c:pt>
                <c:pt idx="45">
                  <c:v>1591791776527</c:v>
                </c:pt>
                <c:pt idx="46">
                  <c:v>1595445332924</c:v>
                </c:pt>
                <c:pt idx="47">
                  <c:v>1596514255827</c:v>
                </c:pt>
                <c:pt idx="48">
                  <c:v>1597616130201</c:v>
                </c:pt>
                <c:pt idx="49">
                  <c:v>1592599162960</c:v>
                </c:pt>
                <c:pt idx="50">
                  <c:v>1593080654033</c:v>
                </c:pt>
                <c:pt idx="51">
                  <c:v>1593792740289</c:v>
                </c:pt>
                <c:pt idx="52">
                  <c:v>1589762637947</c:v>
                </c:pt>
                <c:pt idx="53">
                  <c:v>1589042371312</c:v>
                </c:pt>
                <c:pt idx="54">
                  <c:v>1588096728312</c:v>
                </c:pt>
                <c:pt idx="55">
                  <c:v>1589324416071</c:v>
                </c:pt>
                <c:pt idx="56">
                  <c:v>1588980170988</c:v>
                </c:pt>
                <c:pt idx="57">
                  <c:v>1588881686747</c:v>
                </c:pt>
                <c:pt idx="58">
                  <c:v>1582102363006</c:v>
                </c:pt>
                <c:pt idx="59">
                  <c:v>1575986932668</c:v>
                </c:pt>
                <c:pt idx="60">
                  <c:v>1575505114134</c:v>
                </c:pt>
                <c:pt idx="61">
                  <c:v>1577342864020</c:v>
                </c:pt>
                <c:pt idx="62">
                  <c:v>1575658318129</c:v>
                </c:pt>
                <c:pt idx="63">
                  <c:v>1573672714602</c:v>
                </c:pt>
                <c:pt idx="64">
                  <c:v>1572193226906</c:v>
                </c:pt>
                <c:pt idx="65">
                  <c:v>1579560724272</c:v>
                </c:pt>
                <c:pt idx="66">
                  <c:v>1581705849375</c:v>
                </c:pt>
                <c:pt idx="67">
                  <c:v>1584412192146</c:v>
                </c:pt>
                <c:pt idx="68">
                  <c:v>1587468492727</c:v>
                </c:pt>
                <c:pt idx="69">
                  <c:v>1589486196199</c:v>
                </c:pt>
                <c:pt idx="70">
                  <c:v>1593880309619</c:v>
                </c:pt>
                <c:pt idx="71">
                  <c:v>1593326452848</c:v>
                </c:pt>
                <c:pt idx="72">
                  <c:v>1589806326243</c:v>
                </c:pt>
                <c:pt idx="73">
                  <c:v>1588761235348</c:v>
                </c:pt>
                <c:pt idx="74">
                  <c:v>1581777014771</c:v>
                </c:pt>
                <c:pt idx="75">
                  <c:v>1580311934952</c:v>
                </c:pt>
                <c:pt idx="76">
                  <c:v>1579435004181</c:v>
                </c:pt>
                <c:pt idx="77">
                  <c:v>1576446977770</c:v>
                </c:pt>
                <c:pt idx="78">
                  <c:v>1579388185320</c:v>
                </c:pt>
                <c:pt idx="79">
                  <c:v>1573040664955</c:v>
                </c:pt>
                <c:pt idx="80">
                  <c:v>1571723967987</c:v>
                </c:pt>
                <c:pt idx="81">
                  <c:v>1573387402244</c:v>
                </c:pt>
                <c:pt idx="82">
                  <c:v>1568802692563</c:v>
                </c:pt>
                <c:pt idx="83">
                  <c:v>1567852392878</c:v>
                </c:pt>
                <c:pt idx="84">
                  <c:v>1556870986906</c:v>
                </c:pt>
                <c:pt idx="85">
                  <c:v>1565774999685</c:v>
                </c:pt>
                <c:pt idx="86">
                  <c:v>1571821602299</c:v>
                </c:pt>
                <c:pt idx="87">
                  <c:v>1573639983391</c:v>
                </c:pt>
                <c:pt idx="88">
                  <c:v>1571208866492</c:v>
                </c:pt>
                <c:pt idx="89">
                  <c:v>1566043009788</c:v>
                </c:pt>
                <c:pt idx="90">
                  <c:v>1570474760190</c:v>
                </c:pt>
                <c:pt idx="91">
                  <c:v>1571587364089</c:v>
                </c:pt>
                <c:pt idx="92">
                  <c:v>1574458421993</c:v>
                </c:pt>
                <c:pt idx="93">
                  <c:v>1570442426689</c:v>
                </c:pt>
                <c:pt idx="94">
                  <c:v>1566373671802</c:v>
                </c:pt>
                <c:pt idx="95">
                  <c:v>1593028070874</c:v>
                </c:pt>
                <c:pt idx="96">
                  <c:v>1600723608550</c:v>
                </c:pt>
                <c:pt idx="97">
                  <c:v>1604736583643</c:v>
                </c:pt>
                <c:pt idx="98">
                  <c:v>1606307405142</c:v>
                </c:pt>
                <c:pt idx="99">
                  <c:v>1607236839637</c:v>
                </c:pt>
                <c:pt idx="100">
                  <c:v>1610305930259</c:v>
                </c:pt>
                <c:pt idx="101">
                  <c:v>1609427208007</c:v>
                </c:pt>
                <c:pt idx="102">
                  <c:v>1607988721742</c:v>
                </c:pt>
                <c:pt idx="103">
                  <c:v>1607989177566</c:v>
                </c:pt>
                <c:pt idx="104">
                  <c:v>1610080687585</c:v>
                </c:pt>
                <c:pt idx="105">
                  <c:v>1612229084789</c:v>
                </c:pt>
                <c:pt idx="106">
                  <c:v>1610994113094</c:v>
                </c:pt>
                <c:pt idx="107">
                  <c:v>1611264978066</c:v>
                </c:pt>
                <c:pt idx="108">
                  <c:v>1590920514837</c:v>
                </c:pt>
                <c:pt idx="109">
                  <c:v>1603978608190</c:v>
                </c:pt>
                <c:pt idx="110">
                  <c:v>1611437269225</c:v>
                </c:pt>
                <c:pt idx="111">
                  <c:v>1618375453452</c:v>
                </c:pt>
                <c:pt idx="112">
                  <c:v>1625081322535</c:v>
                </c:pt>
                <c:pt idx="113">
                  <c:v>1623327758377</c:v>
                </c:pt>
                <c:pt idx="114">
                  <c:v>1626620765360</c:v>
                </c:pt>
                <c:pt idx="115">
                  <c:v>1627110520745</c:v>
                </c:pt>
                <c:pt idx="116">
                  <c:v>1624782286949</c:v>
                </c:pt>
                <c:pt idx="117">
                  <c:v>1624124416944</c:v>
                </c:pt>
                <c:pt idx="118">
                  <c:v>1618758771730</c:v>
                </c:pt>
                <c:pt idx="119">
                  <c:v>1616645534816</c:v>
                </c:pt>
                <c:pt idx="120">
                  <c:v>1619887941143</c:v>
                </c:pt>
                <c:pt idx="121">
                  <c:v>1620778816167</c:v>
                </c:pt>
                <c:pt idx="122">
                  <c:v>1621370221224</c:v>
                </c:pt>
                <c:pt idx="123">
                  <c:v>1620337390870</c:v>
                </c:pt>
                <c:pt idx="124">
                  <c:v>1630676985457</c:v>
                </c:pt>
                <c:pt idx="125">
                  <c:v>1632687243546</c:v>
                </c:pt>
                <c:pt idx="126">
                  <c:v>1634751773407</c:v>
                </c:pt>
                <c:pt idx="127">
                  <c:v>1630921550142</c:v>
                </c:pt>
                <c:pt idx="128">
                  <c:v>1626793859763</c:v>
                </c:pt>
                <c:pt idx="129">
                  <c:v>1637060731610</c:v>
                </c:pt>
                <c:pt idx="130">
                  <c:v>1643135169301</c:v>
                </c:pt>
                <c:pt idx="131">
                  <c:v>1650589759046</c:v>
                </c:pt>
                <c:pt idx="132">
                  <c:v>1650786748710</c:v>
                </c:pt>
                <c:pt idx="133">
                  <c:v>1650100455837</c:v>
                </c:pt>
                <c:pt idx="134">
                  <c:v>1655823547677</c:v>
                </c:pt>
                <c:pt idx="135">
                  <c:v>1662029062215</c:v>
                </c:pt>
                <c:pt idx="136">
                  <c:v>1667375441971</c:v>
                </c:pt>
                <c:pt idx="137">
                  <c:v>1667516123091</c:v>
                </c:pt>
                <c:pt idx="138">
                  <c:v>1666721269527</c:v>
                </c:pt>
                <c:pt idx="139">
                  <c:v>1674677971057</c:v>
                </c:pt>
                <c:pt idx="140">
                  <c:v>1674735914840</c:v>
                </c:pt>
                <c:pt idx="141">
                  <c:v>1674307528121</c:v>
                </c:pt>
                <c:pt idx="142">
                  <c:v>1676393781110</c:v>
                </c:pt>
                <c:pt idx="143">
                  <c:v>1670684838515</c:v>
                </c:pt>
                <c:pt idx="144">
                  <c:v>1672166581291</c:v>
                </c:pt>
                <c:pt idx="145">
                  <c:v>1672727570370</c:v>
                </c:pt>
                <c:pt idx="146">
                  <c:v>1674574206032</c:v>
                </c:pt>
                <c:pt idx="147">
                  <c:v>1671970973703</c:v>
                </c:pt>
                <c:pt idx="148">
                  <c:v>1670613356050</c:v>
                </c:pt>
                <c:pt idx="149">
                  <c:v>1670590110116</c:v>
                </c:pt>
                <c:pt idx="150">
                  <c:v>1668675520447</c:v>
                </c:pt>
                <c:pt idx="151">
                  <c:v>1669209863271</c:v>
                </c:pt>
                <c:pt idx="152">
                  <c:v>1670694531676</c:v>
                </c:pt>
                <c:pt idx="153">
                  <c:v>1667903734881</c:v>
                </c:pt>
                <c:pt idx="154">
                  <c:v>1671727937795</c:v>
                </c:pt>
                <c:pt idx="155">
                  <c:v>1674297593584</c:v>
                </c:pt>
                <c:pt idx="156">
                  <c:v>1675621604055</c:v>
                </c:pt>
                <c:pt idx="157">
                  <c:v>1673360348025</c:v>
                </c:pt>
                <c:pt idx="158">
                  <c:v>1671140109122</c:v>
                </c:pt>
                <c:pt idx="159">
                  <c:v>1667509093174</c:v>
                </c:pt>
                <c:pt idx="160">
                  <c:v>1668049163690</c:v>
                </c:pt>
                <c:pt idx="161">
                  <c:v>1662429810525</c:v>
                </c:pt>
                <c:pt idx="162">
                  <c:v>1664314246088</c:v>
                </c:pt>
                <c:pt idx="163">
                  <c:v>1655621713571</c:v>
                </c:pt>
                <c:pt idx="164">
                  <c:v>1655691069810</c:v>
                </c:pt>
                <c:pt idx="165">
                  <c:v>1652928544088</c:v>
                </c:pt>
                <c:pt idx="166">
                  <c:v>1654478424233</c:v>
                </c:pt>
                <c:pt idx="167">
                  <c:v>1658958773831</c:v>
                </c:pt>
                <c:pt idx="168">
                  <c:v>1650896092846</c:v>
                </c:pt>
                <c:pt idx="169">
                  <c:v>1655391983660</c:v>
                </c:pt>
                <c:pt idx="170">
                  <c:v>1656243580500</c:v>
                </c:pt>
                <c:pt idx="171">
                  <c:v>1658122179214</c:v>
                </c:pt>
                <c:pt idx="172">
                  <c:v>1649001287701</c:v>
                </c:pt>
                <c:pt idx="173">
                  <c:v>1648145640920</c:v>
                </c:pt>
                <c:pt idx="174">
                  <c:v>1645641012493</c:v>
                </c:pt>
                <c:pt idx="175">
                  <c:v>1642628882884</c:v>
                </c:pt>
                <c:pt idx="176">
                  <c:v>1644224581365</c:v>
                </c:pt>
                <c:pt idx="177">
                  <c:v>1638814021162</c:v>
                </c:pt>
                <c:pt idx="178">
                  <c:v>1639017282638</c:v>
                </c:pt>
                <c:pt idx="179">
                  <c:v>1637223476506</c:v>
                </c:pt>
                <c:pt idx="180">
                  <c:v>1634881562025</c:v>
                </c:pt>
                <c:pt idx="181">
                  <c:v>1630047864241</c:v>
                </c:pt>
                <c:pt idx="182">
                  <c:v>1622411186366</c:v>
                </c:pt>
                <c:pt idx="183">
                  <c:v>1605053281178</c:v>
                </c:pt>
                <c:pt idx="184">
                  <c:v>1602218267684</c:v>
                </c:pt>
                <c:pt idx="185">
                  <c:v>1601243578923</c:v>
                </c:pt>
                <c:pt idx="186">
                  <c:v>1606926975026</c:v>
                </c:pt>
                <c:pt idx="187">
                  <c:v>1601470928034</c:v>
                </c:pt>
                <c:pt idx="188">
                  <c:v>1596623057906</c:v>
                </c:pt>
                <c:pt idx="189">
                  <c:v>1587401464752</c:v>
                </c:pt>
                <c:pt idx="190">
                  <c:v>1566360977635</c:v>
                </c:pt>
                <c:pt idx="191">
                  <c:v>1554586390938</c:v>
                </c:pt>
                <c:pt idx="192">
                  <c:v>1523641221363</c:v>
                </c:pt>
                <c:pt idx="193">
                  <c:v>1481818560100</c:v>
                </c:pt>
                <c:pt idx="194">
                  <c:v>1464943064547</c:v>
                </c:pt>
                <c:pt idx="195">
                  <c:v>1443833437681</c:v>
                </c:pt>
                <c:pt idx="196">
                  <c:v>1421116815762</c:v>
                </c:pt>
                <c:pt idx="197">
                  <c:v>1435571326304</c:v>
                </c:pt>
                <c:pt idx="198">
                  <c:v>1441682301872</c:v>
                </c:pt>
                <c:pt idx="199">
                  <c:v>1446135343406</c:v>
                </c:pt>
                <c:pt idx="200">
                  <c:v>1451983940202</c:v>
                </c:pt>
                <c:pt idx="201">
                  <c:v>1456201311333</c:v>
                </c:pt>
                <c:pt idx="202">
                  <c:v>1464844350285</c:v>
                </c:pt>
                <c:pt idx="203">
                  <c:v>1476863291325</c:v>
                </c:pt>
                <c:pt idx="204">
                  <c:v>1478760021762</c:v>
                </c:pt>
                <c:pt idx="205">
                  <c:v>1484439046744</c:v>
                </c:pt>
                <c:pt idx="206">
                  <c:v>1486397042482</c:v>
                </c:pt>
                <c:pt idx="207">
                  <c:v>1496144429536</c:v>
                </c:pt>
                <c:pt idx="208">
                  <c:v>1491983450192</c:v>
                </c:pt>
                <c:pt idx="209">
                  <c:v>1497017116293</c:v>
                </c:pt>
                <c:pt idx="210">
                  <c:v>1494472749037</c:v>
                </c:pt>
                <c:pt idx="211">
                  <c:v>1496111282773</c:v>
                </c:pt>
                <c:pt idx="212">
                  <c:v>1505011399887</c:v>
                </c:pt>
                <c:pt idx="213">
                  <c:v>1511866490381</c:v>
                </c:pt>
                <c:pt idx="214">
                  <c:v>1518286024955</c:v>
                </c:pt>
                <c:pt idx="215">
                  <c:v>1519071258485</c:v>
                </c:pt>
                <c:pt idx="216">
                  <c:v>1518994826095</c:v>
                </c:pt>
                <c:pt idx="217">
                  <c:v>1532897512475</c:v>
                </c:pt>
                <c:pt idx="218">
                  <c:v>1536229897136</c:v>
                </c:pt>
                <c:pt idx="219">
                  <c:v>1543143292848</c:v>
                </c:pt>
                <c:pt idx="220">
                  <c:v>1548861803397</c:v>
                </c:pt>
                <c:pt idx="221">
                  <c:v>1546110962474</c:v>
                </c:pt>
                <c:pt idx="222">
                  <c:v>1545054802426</c:v>
                </c:pt>
                <c:pt idx="223">
                  <c:v>1543925913559</c:v>
                </c:pt>
                <c:pt idx="224">
                  <c:v>1539037396725</c:v>
                </c:pt>
                <c:pt idx="225">
                  <c:v>1543302164759</c:v>
                </c:pt>
                <c:pt idx="226">
                  <c:v>1537949169435</c:v>
                </c:pt>
                <c:pt idx="227">
                  <c:v>1546055603777</c:v>
                </c:pt>
                <c:pt idx="228">
                  <c:v>1547748269227</c:v>
                </c:pt>
                <c:pt idx="229">
                  <c:v>1541092301740</c:v>
                </c:pt>
                <c:pt idx="230">
                  <c:v>1546255785996</c:v>
                </c:pt>
                <c:pt idx="231">
                  <c:v>1547592153822</c:v>
                </c:pt>
                <c:pt idx="232">
                  <c:v>1544123759553</c:v>
                </c:pt>
                <c:pt idx="233">
                  <c:v>1541737393800</c:v>
                </c:pt>
                <c:pt idx="234">
                  <c:v>1536796070912</c:v>
                </c:pt>
                <c:pt idx="235">
                  <c:v>1534193175843</c:v>
                </c:pt>
                <c:pt idx="236">
                  <c:v>1524906429169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A0-401F-BCF2-C03B9DFD5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8048656"/>
        <c:axId val="1078066128"/>
      </c:lineChart>
      <c:lineChart>
        <c:grouping val="standard"/>
        <c:varyColors val="0"/>
        <c:ser>
          <c:idx val="1"/>
          <c:order val="1"/>
          <c:tx>
            <c:strRef>
              <c:f>数据!$G$8</c:f>
              <c:strCache>
                <c:ptCount val="1"/>
                <c:pt idx="0">
                  <c:v>万得全A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数据!$A$9:$A$500</c:f>
              <c:numCache>
                <c:formatCode>yyyy\-mm\-dd</c:formatCode>
                <c:ptCount val="492"/>
                <c:pt idx="0">
                  <c:v>45040</c:v>
                </c:pt>
                <c:pt idx="1">
                  <c:v>45041</c:v>
                </c:pt>
                <c:pt idx="2">
                  <c:v>45042</c:v>
                </c:pt>
                <c:pt idx="3">
                  <c:v>45043</c:v>
                </c:pt>
                <c:pt idx="4">
                  <c:v>45044</c:v>
                </c:pt>
                <c:pt idx="5">
                  <c:v>45050</c:v>
                </c:pt>
                <c:pt idx="6">
                  <c:v>45051</c:v>
                </c:pt>
                <c:pt idx="7">
                  <c:v>45054</c:v>
                </c:pt>
                <c:pt idx="8">
                  <c:v>45055</c:v>
                </c:pt>
                <c:pt idx="9">
                  <c:v>45056</c:v>
                </c:pt>
                <c:pt idx="10">
                  <c:v>45057</c:v>
                </c:pt>
                <c:pt idx="11">
                  <c:v>45058</c:v>
                </c:pt>
                <c:pt idx="12">
                  <c:v>45061</c:v>
                </c:pt>
                <c:pt idx="13">
                  <c:v>45062</c:v>
                </c:pt>
                <c:pt idx="14">
                  <c:v>45063</c:v>
                </c:pt>
                <c:pt idx="15">
                  <c:v>45064</c:v>
                </c:pt>
                <c:pt idx="16">
                  <c:v>45065</c:v>
                </c:pt>
                <c:pt idx="17">
                  <c:v>45068</c:v>
                </c:pt>
                <c:pt idx="18">
                  <c:v>45069</c:v>
                </c:pt>
                <c:pt idx="19">
                  <c:v>45070</c:v>
                </c:pt>
                <c:pt idx="20">
                  <c:v>45071</c:v>
                </c:pt>
                <c:pt idx="21">
                  <c:v>45072</c:v>
                </c:pt>
                <c:pt idx="22">
                  <c:v>45075</c:v>
                </c:pt>
                <c:pt idx="23">
                  <c:v>45076</c:v>
                </c:pt>
                <c:pt idx="24">
                  <c:v>45077</c:v>
                </c:pt>
                <c:pt idx="25">
                  <c:v>45078</c:v>
                </c:pt>
                <c:pt idx="26">
                  <c:v>45079</c:v>
                </c:pt>
                <c:pt idx="27">
                  <c:v>45082</c:v>
                </c:pt>
                <c:pt idx="28">
                  <c:v>45083</c:v>
                </c:pt>
                <c:pt idx="29">
                  <c:v>45084</c:v>
                </c:pt>
                <c:pt idx="30">
                  <c:v>45085</c:v>
                </c:pt>
                <c:pt idx="31">
                  <c:v>45086</c:v>
                </c:pt>
                <c:pt idx="32">
                  <c:v>45089</c:v>
                </c:pt>
                <c:pt idx="33">
                  <c:v>45090</c:v>
                </c:pt>
                <c:pt idx="34">
                  <c:v>45091</c:v>
                </c:pt>
                <c:pt idx="35">
                  <c:v>45092</c:v>
                </c:pt>
                <c:pt idx="36">
                  <c:v>45093</c:v>
                </c:pt>
                <c:pt idx="37">
                  <c:v>45096</c:v>
                </c:pt>
                <c:pt idx="38">
                  <c:v>45097</c:v>
                </c:pt>
                <c:pt idx="39">
                  <c:v>45098</c:v>
                </c:pt>
                <c:pt idx="40">
                  <c:v>45103</c:v>
                </c:pt>
                <c:pt idx="41">
                  <c:v>45104</c:v>
                </c:pt>
                <c:pt idx="42">
                  <c:v>45105</c:v>
                </c:pt>
                <c:pt idx="43">
                  <c:v>45106</c:v>
                </c:pt>
                <c:pt idx="44">
                  <c:v>45107</c:v>
                </c:pt>
                <c:pt idx="45">
                  <c:v>45110</c:v>
                </c:pt>
                <c:pt idx="46">
                  <c:v>45111</c:v>
                </c:pt>
                <c:pt idx="47">
                  <c:v>45112</c:v>
                </c:pt>
                <c:pt idx="48">
                  <c:v>45113</c:v>
                </c:pt>
                <c:pt idx="49">
                  <c:v>45114</c:v>
                </c:pt>
                <c:pt idx="50">
                  <c:v>45117</c:v>
                </c:pt>
                <c:pt idx="51">
                  <c:v>45118</c:v>
                </c:pt>
                <c:pt idx="52">
                  <c:v>45119</c:v>
                </c:pt>
                <c:pt idx="53">
                  <c:v>45120</c:v>
                </c:pt>
                <c:pt idx="54">
                  <c:v>45121</c:v>
                </c:pt>
                <c:pt idx="55">
                  <c:v>45124</c:v>
                </c:pt>
                <c:pt idx="56">
                  <c:v>45125</c:v>
                </c:pt>
                <c:pt idx="57">
                  <c:v>45126</c:v>
                </c:pt>
                <c:pt idx="58">
                  <c:v>45127</c:v>
                </c:pt>
                <c:pt idx="59">
                  <c:v>45128</c:v>
                </c:pt>
                <c:pt idx="60">
                  <c:v>45131</c:v>
                </c:pt>
                <c:pt idx="61">
                  <c:v>45132</c:v>
                </c:pt>
                <c:pt idx="62">
                  <c:v>45133</c:v>
                </c:pt>
                <c:pt idx="63">
                  <c:v>45134</c:v>
                </c:pt>
                <c:pt idx="64">
                  <c:v>45135</c:v>
                </c:pt>
                <c:pt idx="65">
                  <c:v>45138</c:v>
                </c:pt>
                <c:pt idx="66">
                  <c:v>45139</c:v>
                </c:pt>
                <c:pt idx="67">
                  <c:v>45140</c:v>
                </c:pt>
                <c:pt idx="68">
                  <c:v>45141</c:v>
                </c:pt>
                <c:pt idx="69">
                  <c:v>45142</c:v>
                </c:pt>
                <c:pt idx="70">
                  <c:v>45145</c:v>
                </c:pt>
                <c:pt idx="71">
                  <c:v>45146</c:v>
                </c:pt>
                <c:pt idx="72">
                  <c:v>45147</c:v>
                </c:pt>
                <c:pt idx="73">
                  <c:v>45148</c:v>
                </c:pt>
                <c:pt idx="74">
                  <c:v>45149</c:v>
                </c:pt>
                <c:pt idx="75">
                  <c:v>45152</c:v>
                </c:pt>
                <c:pt idx="76">
                  <c:v>45153</c:v>
                </c:pt>
                <c:pt idx="77">
                  <c:v>45154</c:v>
                </c:pt>
                <c:pt idx="78">
                  <c:v>45155</c:v>
                </c:pt>
                <c:pt idx="79">
                  <c:v>45156</c:v>
                </c:pt>
                <c:pt idx="80">
                  <c:v>45159</c:v>
                </c:pt>
                <c:pt idx="81">
                  <c:v>45160</c:v>
                </c:pt>
                <c:pt idx="82">
                  <c:v>45161</c:v>
                </c:pt>
                <c:pt idx="83">
                  <c:v>45162</c:v>
                </c:pt>
                <c:pt idx="84">
                  <c:v>45163</c:v>
                </c:pt>
                <c:pt idx="85">
                  <c:v>45166</c:v>
                </c:pt>
                <c:pt idx="86">
                  <c:v>45167</c:v>
                </c:pt>
                <c:pt idx="87">
                  <c:v>45168</c:v>
                </c:pt>
                <c:pt idx="88">
                  <c:v>45169</c:v>
                </c:pt>
                <c:pt idx="89">
                  <c:v>45170</c:v>
                </c:pt>
                <c:pt idx="90">
                  <c:v>45173</c:v>
                </c:pt>
                <c:pt idx="91">
                  <c:v>45174</c:v>
                </c:pt>
                <c:pt idx="92">
                  <c:v>45175</c:v>
                </c:pt>
                <c:pt idx="93">
                  <c:v>45176</c:v>
                </c:pt>
                <c:pt idx="94">
                  <c:v>45177</c:v>
                </c:pt>
                <c:pt idx="95">
                  <c:v>45180</c:v>
                </c:pt>
                <c:pt idx="96">
                  <c:v>45181</c:v>
                </c:pt>
                <c:pt idx="97">
                  <c:v>45182</c:v>
                </c:pt>
                <c:pt idx="98">
                  <c:v>45183</c:v>
                </c:pt>
                <c:pt idx="99">
                  <c:v>45184</c:v>
                </c:pt>
                <c:pt idx="100">
                  <c:v>45187</c:v>
                </c:pt>
                <c:pt idx="101">
                  <c:v>45188</c:v>
                </c:pt>
                <c:pt idx="102">
                  <c:v>45189</c:v>
                </c:pt>
                <c:pt idx="103">
                  <c:v>45190</c:v>
                </c:pt>
                <c:pt idx="104">
                  <c:v>45191</c:v>
                </c:pt>
                <c:pt idx="105">
                  <c:v>45194</c:v>
                </c:pt>
                <c:pt idx="106">
                  <c:v>45195</c:v>
                </c:pt>
                <c:pt idx="107">
                  <c:v>45196</c:v>
                </c:pt>
                <c:pt idx="108">
                  <c:v>45197</c:v>
                </c:pt>
                <c:pt idx="109">
                  <c:v>45208</c:v>
                </c:pt>
                <c:pt idx="110">
                  <c:v>45209</c:v>
                </c:pt>
                <c:pt idx="111">
                  <c:v>45210</c:v>
                </c:pt>
                <c:pt idx="112">
                  <c:v>45211</c:v>
                </c:pt>
                <c:pt idx="113">
                  <c:v>45212</c:v>
                </c:pt>
                <c:pt idx="114">
                  <c:v>45215</c:v>
                </c:pt>
                <c:pt idx="115">
                  <c:v>45216</c:v>
                </c:pt>
                <c:pt idx="116">
                  <c:v>45217</c:v>
                </c:pt>
                <c:pt idx="117">
                  <c:v>45218</c:v>
                </c:pt>
                <c:pt idx="118">
                  <c:v>45219</c:v>
                </c:pt>
                <c:pt idx="119">
                  <c:v>45222</c:v>
                </c:pt>
                <c:pt idx="120">
                  <c:v>45223</c:v>
                </c:pt>
                <c:pt idx="121">
                  <c:v>45224</c:v>
                </c:pt>
                <c:pt idx="122">
                  <c:v>45225</c:v>
                </c:pt>
                <c:pt idx="123">
                  <c:v>45226</c:v>
                </c:pt>
                <c:pt idx="124">
                  <c:v>45229</c:v>
                </c:pt>
                <c:pt idx="125">
                  <c:v>45230</c:v>
                </c:pt>
                <c:pt idx="126">
                  <c:v>45231</c:v>
                </c:pt>
                <c:pt idx="127">
                  <c:v>45232</c:v>
                </c:pt>
                <c:pt idx="128">
                  <c:v>45233</c:v>
                </c:pt>
                <c:pt idx="129">
                  <c:v>45236</c:v>
                </c:pt>
                <c:pt idx="130">
                  <c:v>45237</c:v>
                </c:pt>
                <c:pt idx="131">
                  <c:v>45238</c:v>
                </c:pt>
                <c:pt idx="132">
                  <c:v>45239</c:v>
                </c:pt>
                <c:pt idx="133">
                  <c:v>45240</c:v>
                </c:pt>
                <c:pt idx="134">
                  <c:v>45243</c:v>
                </c:pt>
                <c:pt idx="135">
                  <c:v>45244</c:v>
                </c:pt>
                <c:pt idx="136">
                  <c:v>45245</c:v>
                </c:pt>
                <c:pt idx="137">
                  <c:v>45246</c:v>
                </c:pt>
                <c:pt idx="138">
                  <c:v>45247</c:v>
                </c:pt>
                <c:pt idx="139">
                  <c:v>45250</c:v>
                </c:pt>
                <c:pt idx="140">
                  <c:v>45251</c:v>
                </c:pt>
                <c:pt idx="141">
                  <c:v>45252</c:v>
                </c:pt>
                <c:pt idx="142">
                  <c:v>45253</c:v>
                </c:pt>
                <c:pt idx="143">
                  <c:v>45254</c:v>
                </c:pt>
                <c:pt idx="144">
                  <c:v>45257</c:v>
                </c:pt>
                <c:pt idx="145">
                  <c:v>45258</c:v>
                </c:pt>
                <c:pt idx="146">
                  <c:v>45259</c:v>
                </c:pt>
                <c:pt idx="147">
                  <c:v>45260</c:v>
                </c:pt>
                <c:pt idx="148">
                  <c:v>45261</c:v>
                </c:pt>
                <c:pt idx="149">
                  <c:v>45264</c:v>
                </c:pt>
                <c:pt idx="150">
                  <c:v>45265</c:v>
                </c:pt>
                <c:pt idx="151">
                  <c:v>45266</c:v>
                </c:pt>
                <c:pt idx="152">
                  <c:v>45267</c:v>
                </c:pt>
                <c:pt idx="153">
                  <c:v>45268</c:v>
                </c:pt>
                <c:pt idx="154">
                  <c:v>45271</c:v>
                </c:pt>
                <c:pt idx="155">
                  <c:v>45272</c:v>
                </c:pt>
                <c:pt idx="156">
                  <c:v>45273</c:v>
                </c:pt>
                <c:pt idx="157">
                  <c:v>45274</c:v>
                </c:pt>
                <c:pt idx="158">
                  <c:v>45275</c:v>
                </c:pt>
                <c:pt idx="159">
                  <c:v>45278</c:v>
                </c:pt>
                <c:pt idx="160">
                  <c:v>45279</c:v>
                </c:pt>
                <c:pt idx="161">
                  <c:v>45280</c:v>
                </c:pt>
                <c:pt idx="162">
                  <c:v>45281</c:v>
                </c:pt>
                <c:pt idx="163">
                  <c:v>45282</c:v>
                </c:pt>
                <c:pt idx="164">
                  <c:v>45285</c:v>
                </c:pt>
                <c:pt idx="165">
                  <c:v>45286</c:v>
                </c:pt>
                <c:pt idx="166">
                  <c:v>45287</c:v>
                </c:pt>
                <c:pt idx="167">
                  <c:v>45288</c:v>
                </c:pt>
                <c:pt idx="168">
                  <c:v>45289</c:v>
                </c:pt>
                <c:pt idx="169">
                  <c:v>45293</c:v>
                </c:pt>
                <c:pt idx="170">
                  <c:v>45294</c:v>
                </c:pt>
                <c:pt idx="171">
                  <c:v>45295</c:v>
                </c:pt>
                <c:pt idx="172">
                  <c:v>45296</c:v>
                </c:pt>
                <c:pt idx="173">
                  <c:v>45299</c:v>
                </c:pt>
                <c:pt idx="174">
                  <c:v>45300</c:v>
                </c:pt>
                <c:pt idx="175">
                  <c:v>45301</c:v>
                </c:pt>
                <c:pt idx="176">
                  <c:v>45302</c:v>
                </c:pt>
                <c:pt idx="177">
                  <c:v>45303</c:v>
                </c:pt>
                <c:pt idx="178">
                  <c:v>45306</c:v>
                </c:pt>
                <c:pt idx="179">
                  <c:v>45307</c:v>
                </c:pt>
                <c:pt idx="180">
                  <c:v>45308</c:v>
                </c:pt>
                <c:pt idx="181">
                  <c:v>45309</c:v>
                </c:pt>
                <c:pt idx="182">
                  <c:v>45310</c:v>
                </c:pt>
                <c:pt idx="183">
                  <c:v>45313</c:v>
                </c:pt>
                <c:pt idx="184">
                  <c:v>45314</c:v>
                </c:pt>
                <c:pt idx="185">
                  <c:v>45315</c:v>
                </c:pt>
                <c:pt idx="186">
                  <c:v>45316</c:v>
                </c:pt>
                <c:pt idx="187">
                  <c:v>45317</c:v>
                </c:pt>
                <c:pt idx="188">
                  <c:v>45320</c:v>
                </c:pt>
                <c:pt idx="189">
                  <c:v>45321</c:v>
                </c:pt>
                <c:pt idx="190">
                  <c:v>45322</c:v>
                </c:pt>
                <c:pt idx="191">
                  <c:v>45323</c:v>
                </c:pt>
                <c:pt idx="192">
                  <c:v>45324</c:v>
                </c:pt>
                <c:pt idx="193">
                  <c:v>45327</c:v>
                </c:pt>
                <c:pt idx="194">
                  <c:v>45328</c:v>
                </c:pt>
                <c:pt idx="195">
                  <c:v>45329</c:v>
                </c:pt>
                <c:pt idx="196">
                  <c:v>45330</c:v>
                </c:pt>
                <c:pt idx="197">
                  <c:v>45341</c:v>
                </c:pt>
                <c:pt idx="198">
                  <c:v>45342</c:v>
                </c:pt>
                <c:pt idx="199">
                  <c:v>45343</c:v>
                </c:pt>
                <c:pt idx="200">
                  <c:v>45344</c:v>
                </c:pt>
                <c:pt idx="201">
                  <c:v>45345</c:v>
                </c:pt>
                <c:pt idx="202">
                  <c:v>45348</c:v>
                </c:pt>
                <c:pt idx="203">
                  <c:v>45349</c:v>
                </c:pt>
                <c:pt idx="204">
                  <c:v>45350</c:v>
                </c:pt>
                <c:pt idx="205">
                  <c:v>45351</c:v>
                </c:pt>
                <c:pt idx="206">
                  <c:v>45352</c:v>
                </c:pt>
                <c:pt idx="207">
                  <c:v>45355</c:v>
                </c:pt>
                <c:pt idx="208">
                  <c:v>45356</c:v>
                </c:pt>
                <c:pt idx="209">
                  <c:v>45357</c:v>
                </c:pt>
                <c:pt idx="210">
                  <c:v>45358</c:v>
                </c:pt>
                <c:pt idx="211">
                  <c:v>45359</c:v>
                </c:pt>
                <c:pt idx="212">
                  <c:v>45362</c:v>
                </c:pt>
                <c:pt idx="213">
                  <c:v>45363</c:v>
                </c:pt>
                <c:pt idx="214">
                  <c:v>45364</c:v>
                </c:pt>
                <c:pt idx="215">
                  <c:v>45365</c:v>
                </c:pt>
                <c:pt idx="216">
                  <c:v>45366</c:v>
                </c:pt>
                <c:pt idx="217">
                  <c:v>45369</c:v>
                </c:pt>
                <c:pt idx="218">
                  <c:v>45370</c:v>
                </c:pt>
                <c:pt idx="219">
                  <c:v>45371</c:v>
                </c:pt>
                <c:pt idx="220">
                  <c:v>45372</c:v>
                </c:pt>
                <c:pt idx="221">
                  <c:v>45373</c:v>
                </c:pt>
                <c:pt idx="222">
                  <c:v>45376</c:v>
                </c:pt>
                <c:pt idx="223">
                  <c:v>45377</c:v>
                </c:pt>
                <c:pt idx="224">
                  <c:v>45378</c:v>
                </c:pt>
                <c:pt idx="225">
                  <c:v>45379</c:v>
                </c:pt>
                <c:pt idx="226">
                  <c:v>45380</c:v>
                </c:pt>
                <c:pt idx="227">
                  <c:v>45383</c:v>
                </c:pt>
                <c:pt idx="228">
                  <c:v>45384</c:v>
                </c:pt>
                <c:pt idx="229">
                  <c:v>45385</c:v>
                </c:pt>
                <c:pt idx="230">
                  <c:v>45390</c:v>
                </c:pt>
                <c:pt idx="231">
                  <c:v>45391</c:v>
                </c:pt>
                <c:pt idx="232">
                  <c:v>45392</c:v>
                </c:pt>
                <c:pt idx="233">
                  <c:v>45393</c:v>
                </c:pt>
                <c:pt idx="234">
                  <c:v>45394</c:v>
                </c:pt>
                <c:pt idx="235">
                  <c:v>45397</c:v>
                </c:pt>
                <c:pt idx="236">
                  <c:v>45398</c:v>
                </c:pt>
              </c:numCache>
            </c:numRef>
          </c:cat>
          <c:val>
            <c:numRef>
              <c:f>数据!$G$9:$G$500</c:f>
              <c:numCache>
                <c:formatCode>General</c:formatCode>
                <c:ptCount val="492"/>
                <c:pt idx="0">
                  <c:v>5015.5239000000001</c:v>
                </c:pt>
                <c:pt idx="1">
                  <c:v>4957.2275</c:v>
                </c:pt>
                <c:pt idx="2">
                  <c:v>4969.5352000000003</c:v>
                </c:pt>
                <c:pt idx="3">
                  <c:v>4986.0073000000002</c:v>
                </c:pt>
                <c:pt idx="4">
                  <c:v>5052.5780999999997</c:v>
                </c:pt>
                <c:pt idx="5">
                  <c:v>5062.9556000000002</c:v>
                </c:pt>
                <c:pt idx="6">
                  <c:v>5028.9647999999997</c:v>
                </c:pt>
                <c:pt idx="7">
                  <c:v>5075.4214000000002</c:v>
                </c:pt>
                <c:pt idx="8">
                  <c:v>5016.6981999999998</c:v>
                </c:pt>
                <c:pt idx="9">
                  <c:v>5001.6328000000003</c:v>
                </c:pt>
                <c:pt idx="10">
                  <c:v>5001.7709999999997</c:v>
                </c:pt>
                <c:pt idx="11">
                  <c:v>4940.9408999999996</c:v>
                </c:pt>
                <c:pt idx="12">
                  <c:v>5000.9638999999997</c:v>
                </c:pt>
                <c:pt idx="13">
                  <c:v>4967.1592000000001</c:v>
                </c:pt>
                <c:pt idx="14">
                  <c:v>4972.2548999999999</c:v>
                </c:pt>
                <c:pt idx="15">
                  <c:v>4981.4027999999998</c:v>
                </c:pt>
                <c:pt idx="16">
                  <c:v>4976.5043999999998</c:v>
                </c:pt>
                <c:pt idx="17">
                  <c:v>4994.7191999999995</c:v>
                </c:pt>
                <c:pt idx="18">
                  <c:v>4934.4032999999999</c:v>
                </c:pt>
                <c:pt idx="19">
                  <c:v>4895.5995999999996</c:v>
                </c:pt>
                <c:pt idx="20">
                  <c:v>4887.8315000000002</c:v>
                </c:pt>
                <c:pt idx="21">
                  <c:v>4906.4921999999997</c:v>
                </c:pt>
                <c:pt idx="22">
                  <c:v>4891.3950000000004</c:v>
                </c:pt>
                <c:pt idx="23">
                  <c:v>4907.7236000000003</c:v>
                </c:pt>
                <c:pt idx="24">
                  <c:v>4885.2329</c:v>
                </c:pt>
                <c:pt idx="25">
                  <c:v>4896.4546</c:v>
                </c:pt>
                <c:pt idx="26">
                  <c:v>4949.2451000000001</c:v>
                </c:pt>
                <c:pt idx="27">
                  <c:v>4944.3584000000001</c:v>
                </c:pt>
                <c:pt idx="28">
                  <c:v>4870.2978999999996</c:v>
                </c:pt>
                <c:pt idx="29">
                  <c:v>4868.1655000000001</c:v>
                </c:pt>
                <c:pt idx="30">
                  <c:v>4872.3535000000002</c:v>
                </c:pt>
                <c:pt idx="31">
                  <c:v>4905.0731999999998</c:v>
                </c:pt>
                <c:pt idx="32">
                  <c:v>4922.6625999999997</c:v>
                </c:pt>
                <c:pt idx="33">
                  <c:v>4946.5438999999997</c:v>
                </c:pt>
                <c:pt idx="34">
                  <c:v>4954.2358000000004</c:v>
                </c:pt>
                <c:pt idx="35">
                  <c:v>5006.3383999999996</c:v>
                </c:pt>
                <c:pt idx="36">
                  <c:v>5052.0853999999999</c:v>
                </c:pt>
                <c:pt idx="37">
                  <c:v>5039.2021000000004</c:v>
                </c:pt>
                <c:pt idx="38">
                  <c:v>5031.3608000000004</c:v>
                </c:pt>
                <c:pt idx="39">
                  <c:v>4944.4326000000001</c:v>
                </c:pt>
                <c:pt idx="40">
                  <c:v>4861.9678000000004</c:v>
                </c:pt>
                <c:pt idx="41">
                  <c:v>4921.6782000000003</c:v>
                </c:pt>
                <c:pt idx="42">
                  <c:v>4911.1405999999997</c:v>
                </c:pt>
                <c:pt idx="43">
                  <c:v>4916.1630999999998</c:v>
                </c:pt>
                <c:pt idx="44">
                  <c:v>4962.3573999999999</c:v>
                </c:pt>
                <c:pt idx="45">
                  <c:v>5004.4282000000003</c:v>
                </c:pt>
                <c:pt idx="46">
                  <c:v>5018.9712</c:v>
                </c:pt>
                <c:pt idx="47">
                  <c:v>4982.9170000000004</c:v>
                </c:pt>
                <c:pt idx="48">
                  <c:v>4963.0649000000003</c:v>
                </c:pt>
                <c:pt idx="49">
                  <c:v>4937.8364000000001</c:v>
                </c:pt>
                <c:pt idx="50">
                  <c:v>4951.7686000000003</c:v>
                </c:pt>
                <c:pt idx="51">
                  <c:v>4987.5083000000004</c:v>
                </c:pt>
                <c:pt idx="52">
                  <c:v>4939.9315999999999</c:v>
                </c:pt>
                <c:pt idx="53">
                  <c:v>5006.6826000000001</c:v>
                </c:pt>
                <c:pt idx="54">
                  <c:v>5006.9862999999996</c:v>
                </c:pt>
                <c:pt idx="55">
                  <c:v>4982.6166999999996</c:v>
                </c:pt>
                <c:pt idx="56">
                  <c:v>4972.5068000000001</c:v>
                </c:pt>
                <c:pt idx="57">
                  <c:v>4965.7075000000004</c:v>
                </c:pt>
                <c:pt idx="58">
                  <c:v>4917.6475</c:v>
                </c:pt>
                <c:pt idx="59">
                  <c:v>4912.9603999999999</c:v>
                </c:pt>
                <c:pt idx="60">
                  <c:v>4900.5581000000002</c:v>
                </c:pt>
                <c:pt idx="61">
                  <c:v>5008.3104999999996</c:v>
                </c:pt>
                <c:pt idx="62">
                  <c:v>4990.0717999999997</c:v>
                </c:pt>
                <c:pt idx="63">
                  <c:v>4969.0811000000003</c:v>
                </c:pt>
                <c:pt idx="64">
                  <c:v>5048.4375</c:v>
                </c:pt>
                <c:pt idx="65">
                  <c:v>5085.0405000000001</c:v>
                </c:pt>
                <c:pt idx="66">
                  <c:v>5075.3325000000004</c:v>
                </c:pt>
                <c:pt idx="67">
                  <c:v>5053.1904000000004</c:v>
                </c:pt>
                <c:pt idx="68">
                  <c:v>5076.4502000000002</c:v>
                </c:pt>
                <c:pt idx="69">
                  <c:v>5095.1532999999999</c:v>
                </c:pt>
                <c:pt idx="70">
                  <c:v>5061.7344000000003</c:v>
                </c:pt>
                <c:pt idx="71">
                  <c:v>5044.3872000000001</c:v>
                </c:pt>
                <c:pt idx="72">
                  <c:v>5016.0059000000001</c:v>
                </c:pt>
                <c:pt idx="73">
                  <c:v>5027.0102999999999</c:v>
                </c:pt>
                <c:pt idx="74">
                  <c:v>4926.0972000000002</c:v>
                </c:pt>
                <c:pt idx="75">
                  <c:v>4916.1016</c:v>
                </c:pt>
                <c:pt idx="76">
                  <c:v>4892.0190000000002</c:v>
                </c:pt>
                <c:pt idx="77">
                  <c:v>4848.5972000000002</c:v>
                </c:pt>
                <c:pt idx="78">
                  <c:v>4881.9849000000004</c:v>
                </c:pt>
                <c:pt idx="79">
                  <c:v>4810.3402999999998</c:v>
                </c:pt>
                <c:pt idx="80">
                  <c:v>4755.1181999999999</c:v>
                </c:pt>
                <c:pt idx="81">
                  <c:v>4785.8222999999998</c:v>
                </c:pt>
                <c:pt idx="82">
                  <c:v>4701.0122000000001</c:v>
                </c:pt>
                <c:pt idx="83">
                  <c:v>4721.7290000000003</c:v>
                </c:pt>
                <c:pt idx="84">
                  <c:v>4669.7632000000003</c:v>
                </c:pt>
                <c:pt idx="85">
                  <c:v>4718.0024000000003</c:v>
                </c:pt>
                <c:pt idx="86">
                  <c:v>4814.3612999999996</c:v>
                </c:pt>
                <c:pt idx="87">
                  <c:v>4827.4540999999999</c:v>
                </c:pt>
                <c:pt idx="88">
                  <c:v>4799.5811000000003</c:v>
                </c:pt>
                <c:pt idx="89">
                  <c:v>4817.8964999999998</c:v>
                </c:pt>
                <c:pt idx="90">
                  <c:v>4888.5834999999997</c:v>
                </c:pt>
                <c:pt idx="91">
                  <c:v>4856.5366000000004</c:v>
                </c:pt>
                <c:pt idx="92">
                  <c:v>4862.0874000000003</c:v>
                </c:pt>
                <c:pt idx="93">
                  <c:v>4786.5640000000003</c:v>
                </c:pt>
                <c:pt idx="94">
                  <c:v>4782.1445000000003</c:v>
                </c:pt>
                <c:pt idx="95">
                  <c:v>4826.4111000000003</c:v>
                </c:pt>
                <c:pt idx="96">
                  <c:v>4820.2075000000004</c:v>
                </c:pt>
                <c:pt idx="97">
                  <c:v>4776.5146000000004</c:v>
                </c:pt>
                <c:pt idx="98">
                  <c:v>4760.4081999999999</c:v>
                </c:pt>
                <c:pt idx="99">
                  <c:v>4750.0228999999999</c:v>
                </c:pt>
                <c:pt idx="100">
                  <c:v>4769.1543000000001</c:v>
                </c:pt>
                <c:pt idx="101">
                  <c:v>4743.3842999999997</c:v>
                </c:pt>
                <c:pt idx="102">
                  <c:v>4716.2030999999997</c:v>
                </c:pt>
                <c:pt idx="103">
                  <c:v>4680.0586000000003</c:v>
                </c:pt>
                <c:pt idx="104">
                  <c:v>4764.9443000000001</c:v>
                </c:pt>
                <c:pt idx="105">
                  <c:v>4738.8540000000003</c:v>
                </c:pt>
                <c:pt idx="106">
                  <c:v>4716.2421999999997</c:v>
                </c:pt>
                <c:pt idx="107">
                  <c:v>4733.1913999999997</c:v>
                </c:pt>
                <c:pt idx="108">
                  <c:v>4747.2548999999999</c:v>
                </c:pt>
                <c:pt idx="109">
                  <c:v>4734.1918999999998</c:v>
                </c:pt>
                <c:pt idx="110">
                  <c:v>4712.1758</c:v>
                </c:pt>
                <c:pt idx="111">
                  <c:v>4724.4858000000004</c:v>
                </c:pt>
                <c:pt idx="112">
                  <c:v>4762.7461000000003</c:v>
                </c:pt>
                <c:pt idx="113">
                  <c:v>4727.3765000000003</c:v>
                </c:pt>
                <c:pt idx="114">
                  <c:v>4685.6201000000001</c:v>
                </c:pt>
                <c:pt idx="115">
                  <c:v>4692.0556999999999</c:v>
                </c:pt>
                <c:pt idx="116">
                  <c:v>4635.8154000000004</c:v>
                </c:pt>
                <c:pt idx="117">
                  <c:v>4564.2035999999998</c:v>
                </c:pt>
                <c:pt idx="118">
                  <c:v>4525.6244999999999</c:v>
                </c:pt>
                <c:pt idx="119">
                  <c:v>4446.6908999999996</c:v>
                </c:pt>
                <c:pt idx="120">
                  <c:v>4495.5483000000004</c:v>
                </c:pt>
                <c:pt idx="121">
                  <c:v>4534.0160999999998</c:v>
                </c:pt>
                <c:pt idx="122">
                  <c:v>4550.8530000000001</c:v>
                </c:pt>
                <c:pt idx="123">
                  <c:v>4616.6356999999998</c:v>
                </c:pt>
                <c:pt idx="124">
                  <c:v>4663.4907000000003</c:v>
                </c:pt>
                <c:pt idx="125">
                  <c:v>4644.6112999999996</c:v>
                </c:pt>
                <c:pt idx="126">
                  <c:v>4641.4038</c:v>
                </c:pt>
                <c:pt idx="127">
                  <c:v>4604.4423999999999</c:v>
                </c:pt>
                <c:pt idx="128">
                  <c:v>4653.8383999999996</c:v>
                </c:pt>
                <c:pt idx="129">
                  <c:v>4734.5487999999996</c:v>
                </c:pt>
                <c:pt idx="130">
                  <c:v>4739.2084999999997</c:v>
                </c:pt>
                <c:pt idx="131">
                  <c:v>4741.2632000000003</c:v>
                </c:pt>
                <c:pt idx="132">
                  <c:v>4725.7734</c:v>
                </c:pt>
                <c:pt idx="133">
                  <c:v>4703.3720999999996</c:v>
                </c:pt>
                <c:pt idx="134">
                  <c:v>4722.4448000000002</c:v>
                </c:pt>
                <c:pt idx="135">
                  <c:v>4740.9961000000003</c:v>
                </c:pt>
                <c:pt idx="136">
                  <c:v>4769.4584999999997</c:v>
                </c:pt>
                <c:pt idx="137">
                  <c:v>4725.9408999999996</c:v>
                </c:pt>
                <c:pt idx="138">
                  <c:v>4741.7763999999997</c:v>
                </c:pt>
                <c:pt idx="139">
                  <c:v>4768.6670000000004</c:v>
                </c:pt>
                <c:pt idx="140">
                  <c:v>4756.8428000000004</c:v>
                </c:pt>
                <c:pt idx="141">
                  <c:v>4706.7573000000002</c:v>
                </c:pt>
                <c:pt idx="142">
                  <c:v>4740.8179</c:v>
                </c:pt>
                <c:pt idx="143">
                  <c:v>4696.7533999999996</c:v>
                </c:pt>
                <c:pt idx="144">
                  <c:v>4681.7515000000003</c:v>
                </c:pt>
                <c:pt idx="145">
                  <c:v>4700.5537000000004</c:v>
                </c:pt>
                <c:pt idx="146">
                  <c:v>4666.6958000000004</c:v>
                </c:pt>
                <c:pt idx="147">
                  <c:v>4660.8900999999996</c:v>
                </c:pt>
                <c:pt idx="148">
                  <c:v>4670.1190999999999</c:v>
                </c:pt>
                <c:pt idx="149">
                  <c:v>4655.0293000000001</c:v>
                </c:pt>
                <c:pt idx="150">
                  <c:v>4569.4390000000003</c:v>
                </c:pt>
                <c:pt idx="151">
                  <c:v>4584.7573000000002</c:v>
                </c:pt>
                <c:pt idx="152">
                  <c:v>4576.8437999999996</c:v>
                </c:pt>
                <c:pt idx="153">
                  <c:v>4575.7016999999996</c:v>
                </c:pt>
                <c:pt idx="154">
                  <c:v>4616.6059999999998</c:v>
                </c:pt>
                <c:pt idx="155">
                  <c:v>4627.2587999999996</c:v>
                </c:pt>
                <c:pt idx="156">
                  <c:v>4572.2969000000003</c:v>
                </c:pt>
                <c:pt idx="157">
                  <c:v>4552.4517999999998</c:v>
                </c:pt>
                <c:pt idx="158">
                  <c:v>4531.8247000000001</c:v>
                </c:pt>
                <c:pt idx="159">
                  <c:v>4489.3056999999999</c:v>
                </c:pt>
                <c:pt idx="160">
                  <c:v>4493.8739999999998</c:v>
                </c:pt>
                <c:pt idx="161">
                  <c:v>4440.2671</c:v>
                </c:pt>
                <c:pt idx="162">
                  <c:v>4473.9872999999998</c:v>
                </c:pt>
                <c:pt idx="163">
                  <c:v>4448.5288</c:v>
                </c:pt>
                <c:pt idx="164">
                  <c:v>4452.4097000000002</c:v>
                </c:pt>
                <c:pt idx="165">
                  <c:v>4407.3708999999999</c:v>
                </c:pt>
                <c:pt idx="166">
                  <c:v>4430.6574000000001</c:v>
                </c:pt>
                <c:pt idx="167">
                  <c:v>4520.8377</c:v>
                </c:pt>
                <c:pt idx="168">
                  <c:v>4565.1778999999997</c:v>
                </c:pt>
                <c:pt idx="169">
                  <c:v>4532.8621000000003</c:v>
                </c:pt>
                <c:pt idx="170">
                  <c:v>4517.3972000000003</c:v>
                </c:pt>
                <c:pt idx="171">
                  <c:v>4483.8734999999997</c:v>
                </c:pt>
                <c:pt idx="172">
                  <c:v>4429.6126000000004</c:v>
                </c:pt>
                <c:pt idx="173">
                  <c:v>4353.9840000000004</c:v>
                </c:pt>
                <c:pt idx="174">
                  <c:v>4366.0658999999996</c:v>
                </c:pt>
                <c:pt idx="175">
                  <c:v>4338.5866999999998</c:v>
                </c:pt>
                <c:pt idx="176">
                  <c:v>4388.9561999999996</c:v>
                </c:pt>
                <c:pt idx="177">
                  <c:v>4364.5545000000002</c:v>
                </c:pt>
                <c:pt idx="178">
                  <c:v>4357.2937000000002</c:v>
                </c:pt>
                <c:pt idx="179">
                  <c:v>4362.7484999999997</c:v>
                </c:pt>
                <c:pt idx="180">
                  <c:v>4257.9449000000004</c:v>
                </c:pt>
                <c:pt idx="181">
                  <c:v>4278.9708000000001</c:v>
                </c:pt>
                <c:pt idx="182">
                  <c:v>4248.7487000000001</c:v>
                </c:pt>
                <c:pt idx="183">
                  <c:v>4092.2815999999998</c:v>
                </c:pt>
                <c:pt idx="184">
                  <c:v>4124.4359000000004</c:v>
                </c:pt>
                <c:pt idx="185">
                  <c:v>4180.5604999999996</c:v>
                </c:pt>
                <c:pt idx="186">
                  <c:v>4291.5396000000001</c:v>
                </c:pt>
                <c:pt idx="187">
                  <c:v>4270.7664999999997</c:v>
                </c:pt>
                <c:pt idx="188">
                  <c:v>4189.7139999999999</c:v>
                </c:pt>
                <c:pt idx="189">
                  <c:v>4091.6608000000001</c:v>
                </c:pt>
                <c:pt idx="190">
                  <c:v>3990.2123000000001</c:v>
                </c:pt>
                <c:pt idx="191">
                  <c:v>3971.2525000000001</c:v>
                </c:pt>
                <c:pt idx="192">
                  <c:v>3874.7094000000002</c:v>
                </c:pt>
                <c:pt idx="193">
                  <c:v>3769.1725000000001</c:v>
                </c:pt>
                <c:pt idx="194">
                  <c:v>3934.9468000000002</c:v>
                </c:pt>
                <c:pt idx="195">
                  <c:v>4001.3820000000001</c:v>
                </c:pt>
                <c:pt idx="196">
                  <c:v>4096.4090999999999</c:v>
                </c:pt>
                <c:pt idx="197">
                  <c:v>4155.3780999999999</c:v>
                </c:pt>
                <c:pt idx="198">
                  <c:v>4173.5852999999997</c:v>
                </c:pt>
                <c:pt idx="199">
                  <c:v>4216.808</c:v>
                </c:pt>
                <c:pt idx="200">
                  <c:v>4269.1985000000004</c:v>
                </c:pt>
                <c:pt idx="201">
                  <c:v>4308.4332000000004</c:v>
                </c:pt>
                <c:pt idx="202">
                  <c:v>4304.5312999999996</c:v>
                </c:pt>
                <c:pt idx="203">
                  <c:v>4388.3564999999999</c:v>
                </c:pt>
                <c:pt idx="204">
                  <c:v>4256.3869999999997</c:v>
                </c:pt>
                <c:pt idx="205">
                  <c:v>4375.9845999999998</c:v>
                </c:pt>
                <c:pt idx="206">
                  <c:v>4412.5230000000001</c:v>
                </c:pt>
                <c:pt idx="207">
                  <c:v>4423.4407000000001</c:v>
                </c:pt>
                <c:pt idx="208">
                  <c:v>4411.3589000000002</c:v>
                </c:pt>
                <c:pt idx="209">
                  <c:v>4414.1171000000004</c:v>
                </c:pt>
                <c:pt idx="210">
                  <c:v>4372.9602000000004</c:v>
                </c:pt>
                <c:pt idx="211">
                  <c:v>4410.9754999999996</c:v>
                </c:pt>
                <c:pt idx="212">
                  <c:v>4480.5472</c:v>
                </c:pt>
                <c:pt idx="213">
                  <c:v>4496.7714999999998</c:v>
                </c:pt>
                <c:pt idx="214">
                  <c:v>4486.1692000000003</c:v>
                </c:pt>
                <c:pt idx="215">
                  <c:v>4466.2591000000002</c:v>
                </c:pt>
                <c:pt idx="216">
                  <c:v>4500.3819999999996</c:v>
                </c:pt>
                <c:pt idx="217">
                  <c:v>4561.3725999999997</c:v>
                </c:pt>
                <c:pt idx="218">
                  <c:v>4531.8549000000003</c:v>
                </c:pt>
                <c:pt idx="219">
                  <c:v>4555.7830999999996</c:v>
                </c:pt>
                <c:pt idx="220">
                  <c:v>4551.3416999999999</c:v>
                </c:pt>
                <c:pt idx="221">
                  <c:v>4500.3240999999998</c:v>
                </c:pt>
                <c:pt idx="222">
                  <c:v>4435.3307999999997</c:v>
                </c:pt>
                <c:pt idx="223">
                  <c:v>4439.4678000000004</c:v>
                </c:pt>
                <c:pt idx="224">
                  <c:v>4342.7610999999997</c:v>
                </c:pt>
                <c:pt idx="225">
                  <c:v>4398.9736000000003</c:v>
                </c:pt>
                <c:pt idx="226">
                  <c:v>4435.1098000000002</c:v>
                </c:pt>
                <c:pt idx="227">
                  <c:v>4519.0707000000002</c:v>
                </c:pt>
                <c:pt idx="228">
                  <c:v>4500.5371999999998</c:v>
                </c:pt>
                <c:pt idx="229">
                  <c:v>4478.8870999999999</c:v>
                </c:pt>
                <c:pt idx="230">
                  <c:v>4416.1445999999996</c:v>
                </c:pt>
                <c:pt idx="231">
                  <c:v>4439.7637999999997</c:v>
                </c:pt>
                <c:pt idx="232">
                  <c:v>4380.8903</c:v>
                </c:pt>
                <c:pt idx="233">
                  <c:v>4387.4179000000004</c:v>
                </c:pt>
                <c:pt idx="234">
                  <c:v>4356.7316000000001</c:v>
                </c:pt>
                <c:pt idx="235">
                  <c:v>4368.3113000000003</c:v>
                </c:pt>
                <c:pt idx="236">
                  <c:v>4239.2136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61-4DB9-BDC4-FB59010E4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3768592"/>
        <c:axId val="323773584"/>
      </c:lineChart>
      <c:dateAx>
        <c:axId val="1078048656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78066128"/>
        <c:crosses val="autoZero"/>
        <c:auto val="1"/>
        <c:lblOffset val="100"/>
        <c:baseTimeUnit val="days"/>
      </c:dateAx>
      <c:valAx>
        <c:axId val="1078066128"/>
        <c:scaling>
          <c:orientation val="minMax"/>
          <c:min val="13000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78048656"/>
        <c:crosses val="autoZero"/>
        <c:crossBetween val="between"/>
        <c:dispUnits>
          <c:builtInUnit val="hundredMillions"/>
        </c:dispUnits>
      </c:valAx>
      <c:valAx>
        <c:axId val="323773584"/>
        <c:scaling>
          <c:orientation val="minMax"/>
          <c:min val="30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323768592"/>
        <c:crosses val="max"/>
        <c:crossBetween val="between"/>
      </c:valAx>
      <c:dateAx>
        <c:axId val="323768592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323773584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808141545185471E-2"/>
          <c:y val="0.16590414851377544"/>
          <c:w val="0.94911577480567622"/>
          <c:h val="0.66840062169146086"/>
        </c:manualLayout>
      </c:layout>
      <c:barChart>
        <c:barDir val="col"/>
        <c:grouping val="clustered"/>
        <c:varyColors val="0"/>
        <c:ser>
          <c:idx val="0"/>
          <c:order val="0"/>
          <c:tx>
            <c:v>融资净买入</c:v>
          </c:tx>
          <c:spPr>
            <a:solidFill>
              <a:srgbClr val="C91818"/>
            </a:solidFill>
            <a:ln>
              <a:noFill/>
            </a:ln>
            <a:effectLst/>
          </c:spPr>
          <c:invertIfNegative val="1"/>
          <c:cat>
            <c:numRef>
              <c:f>数据!Date1</c:f>
              <c:numCache>
                <c:formatCode>yyyy\-mm\-dd</c:formatCode>
                <c:ptCount val="237"/>
                <c:pt idx="0">
                  <c:v>45040</c:v>
                </c:pt>
                <c:pt idx="1">
                  <c:v>45041</c:v>
                </c:pt>
                <c:pt idx="2">
                  <c:v>45042</c:v>
                </c:pt>
                <c:pt idx="3">
                  <c:v>45043</c:v>
                </c:pt>
                <c:pt idx="4">
                  <c:v>45044</c:v>
                </c:pt>
                <c:pt idx="5">
                  <c:v>45050</c:v>
                </c:pt>
                <c:pt idx="6">
                  <c:v>45051</c:v>
                </c:pt>
                <c:pt idx="7">
                  <c:v>45054</c:v>
                </c:pt>
                <c:pt idx="8">
                  <c:v>45055</c:v>
                </c:pt>
                <c:pt idx="9">
                  <c:v>45056</c:v>
                </c:pt>
                <c:pt idx="10">
                  <c:v>45057</c:v>
                </c:pt>
                <c:pt idx="11">
                  <c:v>45058</c:v>
                </c:pt>
                <c:pt idx="12">
                  <c:v>45061</c:v>
                </c:pt>
                <c:pt idx="13">
                  <c:v>45062</c:v>
                </c:pt>
                <c:pt idx="14">
                  <c:v>45063</c:v>
                </c:pt>
                <c:pt idx="15">
                  <c:v>45064</c:v>
                </c:pt>
                <c:pt idx="16">
                  <c:v>45065</c:v>
                </c:pt>
                <c:pt idx="17">
                  <c:v>45068</c:v>
                </c:pt>
                <c:pt idx="18">
                  <c:v>45069</c:v>
                </c:pt>
                <c:pt idx="19">
                  <c:v>45070</c:v>
                </c:pt>
                <c:pt idx="20">
                  <c:v>45071</c:v>
                </c:pt>
                <c:pt idx="21">
                  <c:v>45072</c:v>
                </c:pt>
                <c:pt idx="22">
                  <c:v>45075</c:v>
                </c:pt>
                <c:pt idx="23">
                  <c:v>45076</c:v>
                </c:pt>
                <c:pt idx="24">
                  <c:v>45077</c:v>
                </c:pt>
                <c:pt idx="25">
                  <c:v>45078</c:v>
                </c:pt>
                <c:pt idx="26">
                  <c:v>45079</c:v>
                </c:pt>
                <c:pt idx="27">
                  <c:v>45082</c:v>
                </c:pt>
                <c:pt idx="28">
                  <c:v>45083</c:v>
                </c:pt>
                <c:pt idx="29">
                  <c:v>45084</c:v>
                </c:pt>
                <c:pt idx="30">
                  <c:v>45085</c:v>
                </c:pt>
                <c:pt idx="31">
                  <c:v>45086</c:v>
                </c:pt>
                <c:pt idx="32">
                  <c:v>45089</c:v>
                </c:pt>
                <c:pt idx="33">
                  <c:v>45090</c:v>
                </c:pt>
                <c:pt idx="34">
                  <c:v>45091</c:v>
                </c:pt>
                <c:pt idx="35">
                  <c:v>45092</c:v>
                </c:pt>
                <c:pt idx="36">
                  <c:v>45093</c:v>
                </c:pt>
                <c:pt idx="37">
                  <c:v>45096</c:v>
                </c:pt>
                <c:pt idx="38">
                  <c:v>45097</c:v>
                </c:pt>
                <c:pt idx="39">
                  <c:v>45098</c:v>
                </c:pt>
                <c:pt idx="40">
                  <c:v>45103</c:v>
                </c:pt>
                <c:pt idx="41">
                  <c:v>45104</c:v>
                </c:pt>
                <c:pt idx="42">
                  <c:v>45105</c:v>
                </c:pt>
                <c:pt idx="43">
                  <c:v>45106</c:v>
                </c:pt>
                <c:pt idx="44">
                  <c:v>45107</c:v>
                </c:pt>
                <c:pt idx="45">
                  <c:v>45110</c:v>
                </c:pt>
                <c:pt idx="46">
                  <c:v>45111</c:v>
                </c:pt>
                <c:pt idx="47">
                  <c:v>45112</c:v>
                </c:pt>
                <c:pt idx="48">
                  <c:v>45113</c:v>
                </c:pt>
                <c:pt idx="49">
                  <c:v>45114</c:v>
                </c:pt>
                <c:pt idx="50">
                  <c:v>45117</c:v>
                </c:pt>
                <c:pt idx="51">
                  <c:v>45118</c:v>
                </c:pt>
                <c:pt idx="52">
                  <c:v>45119</c:v>
                </c:pt>
                <c:pt idx="53">
                  <c:v>45120</c:v>
                </c:pt>
                <c:pt idx="54">
                  <c:v>45121</c:v>
                </c:pt>
                <c:pt idx="55">
                  <c:v>45124</c:v>
                </c:pt>
                <c:pt idx="56">
                  <c:v>45125</c:v>
                </c:pt>
                <c:pt idx="57">
                  <c:v>45126</c:v>
                </c:pt>
                <c:pt idx="58">
                  <c:v>45127</c:v>
                </c:pt>
                <c:pt idx="59">
                  <c:v>45128</c:v>
                </c:pt>
                <c:pt idx="60">
                  <c:v>45131</c:v>
                </c:pt>
                <c:pt idx="61">
                  <c:v>45132</c:v>
                </c:pt>
                <c:pt idx="62">
                  <c:v>45133</c:v>
                </c:pt>
                <c:pt idx="63">
                  <c:v>45134</c:v>
                </c:pt>
                <c:pt idx="64">
                  <c:v>45135</c:v>
                </c:pt>
                <c:pt idx="65">
                  <c:v>45138</c:v>
                </c:pt>
                <c:pt idx="66">
                  <c:v>45139</c:v>
                </c:pt>
                <c:pt idx="67">
                  <c:v>45140</c:v>
                </c:pt>
                <c:pt idx="68">
                  <c:v>45141</c:v>
                </c:pt>
                <c:pt idx="69">
                  <c:v>45142</c:v>
                </c:pt>
                <c:pt idx="70">
                  <c:v>45145</c:v>
                </c:pt>
                <c:pt idx="71">
                  <c:v>45146</c:v>
                </c:pt>
                <c:pt idx="72">
                  <c:v>45147</c:v>
                </c:pt>
                <c:pt idx="73">
                  <c:v>45148</c:v>
                </c:pt>
                <c:pt idx="74">
                  <c:v>45149</c:v>
                </c:pt>
                <c:pt idx="75">
                  <c:v>45152</c:v>
                </c:pt>
                <c:pt idx="76">
                  <c:v>45153</c:v>
                </c:pt>
                <c:pt idx="77">
                  <c:v>45154</c:v>
                </c:pt>
                <c:pt idx="78">
                  <c:v>45155</c:v>
                </c:pt>
                <c:pt idx="79">
                  <c:v>45156</c:v>
                </c:pt>
                <c:pt idx="80">
                  <c:v>45159</c:v>
                </c:pt>
                <c:pt idx="81">
                  <c:v>45160</c:v>
                </c:pt>
                <c:pt idx="82">
                  <c:v>45161</c:v>
                </c:pt>
                <c:pt idx="83">
                  <c:v>45162</c:v>
                </c:pt>
                <c:pt idx="84">
                  <c:v>45163</c:v>
                </c:pt>
                <c:pt idx="85">
                  <c:v>45166</c:v>
                </c:pt>
                <c:pt idx="86">
                  <c:v>45167</c:v>
                </c:pt>
                <c:pt idx="87">
                  <c:v>45168</c:v>
                </c:pt>
                <c:pt idx="88">
                  <c:v>45169</c:v>
                </c:pt>
                <c:pt idx="89">
                  <c:v>45170</c:v>
                </c:pt>
                <c:pt idx="90">
                  <c:v>45173</c:v>
                </c:pt>
                <c:pt idx="91">
                  <c:v>45174</c:v>
                </c:pt>
                <c:pt idx="92">
                  <c:v>45175</c:v>
                </c:pt>
                <c:pt idx="93">
                  <c:v>45176</c:v>
                </c:pt>
                <c:pt idx="94">
                  <c:v>45177</c:v>
                </c:pt>
                <c:pt idx="95">
                  <c:v>45180</c:v>
                </c:pt>
                <c:pt idx="96">
                  <c:v>45181</c:v>
                </c:pt>
                <c:pt idx="97">
                  <c:v>45182</c:v>
                </c:pt>
                <c:pt idx="98">
                  <c:v>45183</c:v>
                </c:pt>
                <c:pt idx="99">
                  <c:v>45184</c:v>
                </c:pt>
                <c:pt idx="100">
                  <c:v>45187</c:v>
                </c:pt>
                <c:pt idx="101">
                  <c:v>45188</c:v>
                </c:pt>
                <c:pt idx="102">
                  <c:v>45189</c:v>
                </c:pt>
                <c:pt idx="103">
                  <c:v>45190</c:v>
                </c:pt>
                <c:pt idx="104">
                  <c:v>45191</c:v>
                </c:pt>
                <c:pt idx="105">
                  <c:v>45194</c:v>
                </c:pt>
                <c:pt idx="106">
                  <c:v>45195</c:v>
                </c:pt>
                <c:pt idx="107">
                  <c:v>45196</c:v>
                </c:pt>
                <c:pt idx="108">
                  <c:v>45197</c:v>
                </c:pt>
                <c:pt idx="109">
                  <c:v>45208</c:v>
                </c:pt>
                <c:pt idx="110">
                  <c:v>45209</c:v>
                </c:pt>
                <c:pt idx="111">
                  <c:v>45210</c:v>
                </c:pt>
                <c:pt idx="112">
                  <c:v>45211</c:v>
                </c:pt>
                <c:pt idx="113">
                  <c:v>45212</c:v>
                </c:pt>
                <c:pt idx="114">
                  <c:v>45215</c:v>
                </c:pt>
                <c:pt idx="115">
                  <c:v>45216</c:v>
                </c:pt>
                <c:pt idx="116">
                  <c:v>45217</c:v>
                </c:pt>
                <c:pt idx="117">
                  <c:v>45218</c:v>
                </c:pt>
                <c:pt idx="118">
                  <c:v>45219</c:v>
                </c:pt>
                <c:pt idx="119">
                  <c:v>45222</c:v>
                </c:pt>
                <c:pt idx="120">
                  <c:v>45223</c:v>
                </c:pt>
                <c:pt idx="121">
                  <c:v>45224</c:v>
                </c:pt>
                <c:pt idx="122">
                  <c:v>45225</c:v>
                </c:pt>
                <c:pt idx="123">
                  <c:v>45226</c:v>
                </c:pt>
                <c:pt idx="124">
                  <c:v>45229</c:v>
                </c:pt>
                <c:pt idx="125">
                  <c:v>45230</c:v>
                </c:pt>
                <c:pt idx="126">
                  <c:v>45231</c:v>
                </c:pt>
                <c:pt idx="127">
                  <c:v>45232</c:v>
                </c:pt>
                <c:pt idx="128">
                  <c:v>45233</c:v>
                </c:pt>
                <c:pt idx="129">
                  <c:v>45236</c:v>
                </c:pt>
                <c:pt idx="130">
                  <c:v>45237</c:v>
                </c:pt>
                <c:pt idx="131">
                  <c:v>45238</c:v>
                </c:pt>
                <c:pt idx="132">
                  <c:v>45239</c:v>
                </c:pt>
                <c:pt idx="133">
                  <c:v>45240</c:v>
                </c:pt>
                <c:pt idx="134">
                  <c:v>45243</c:v>
                </c:pt>
                <c:pt idx="135">
                  <c:v>45244</c:v>
                </c:pt>
                <c:pt idx="136">
                  <c:v>45245</c:v>
                </c:pt>
                <c:pt idx="137">
                  <c:v>45246</c:v>
                </c:pt>
                <c:pt idx="138">
                  <c:v>45247</c:v>
                </c:pt>
                <c:pt idx="139">
                  <c:v>45250</c:v>
                </c:pt>
                <c:pt idx="140">
                  <c:v>45251</c:v>
                </c:pt>
                <c:pt idx="141">
                  <c:v>45252</c:v>
                </c:pt>
                <c:pt idx="142">
                  <c:v>45253</c:v>
                </c:pt>
                <c:pt idx="143">
                  <c:v>45254</c:v>
                </c:pt>
                <c:pt idx="144">
                  <c:v>45257</c:v>
                </c:pt>
                <c:pt idx="145">
                  <c:v>45258</c:v>
                </c:pt>
                <c:pt idx="146">
                  <c:v>45259</c:v>
                </c:pt>
                <c:pt idx="147">
                  <c:v>45260</c:v>
                </c:pt>
                <c:pt idx="148">
                  <c:v>45261</c:v>
                </c:pt>
                <c:pt idx="149">
                  <c:v>45264</c:v>
                </c:pt>
                <c:pt idx="150">
                  <c:v>45265</c:v>
                </c:pt>
                <c:pt idx="151">
                  <c:v>45266</c:v>
                </c:pt>
                <c:pt idx="152">
                  <c:v>45267</c:v>
                </c:pt>
                <c:pt idx="153">
                  <c:v>45268</c:v>
                </c:pt>
                <c:pt idx="154">
                  <c:v>45271</c:v>
                </c:pt>
                <c:pt idx="155">
                  <c:v>45272</c:v>
                </c:pt>
                <c:pt idx="156">
                  <c:v>45273</c:v>
                </c:pt>
                <c:pt idx="157">
                  <c:v>45274</c:v>
                </c:pt>
                <c:pt idx="158">
                  <c:v>45275</c:v>
                </c:pt>
                <c:pt idx="159">
                  <c:v>45278</c:v>
                </c:pt>
                <c:pt idx="160">
                  <c:v>45279</c:v>
                </c:pt>
                <c:pt idx="161">
                  <c:v>45280</c:v>
                </c:pt>
                <c:pt idx="162">
                  <c:v>45281</c:v>
                </c:pt>
                <c:pt idx="163">
                  <c:v>45282</c:v>
                </c:pt>
                <c:pt idx="164">
                  <c:v>45285</c:v>
                </c:pt>
                <c:pt idx="165">
                  <c:v>45286</c:v>
                </c:pt>
                <c:pt idx="166">
                  <c:v>45287</c:v>
                </c:pt>
                <c:pt idx="167">
                  <c:v>45288</c:v>
                </c:pt>
                <c:pt idx="168">
                  <c:v>45289</c:v>
                </c:pt>
                <c:pt idx="169">
                  <c:v>45293</c:v>
                </c:pt>
                <c:pt idx="170">
                  <c:v>45294</c:v>
                </c:pt>
                <c:pt idx="171">
                  <c:v>45295</c:v>
                </c:pt>
                <c:pt idx="172">
                  <c:v>45296</c:v>
                </c:pt>
                <c:pt idx="173">
                  <c:v>45299</c:v>
                </c:pt>
                <c:pt idx="174">
                  <c:v>45300</c:v>
                </c:pt>
                <c:pt idx="175">
                  <c:v>45301</c:v>
                </c:pt>
                <c:pt idx="176">
                  <c:v>45302</c:v>
                </c:pt>
                <c:pt idx="177">
                  <c:v>45303</c:v>
                </c:pt>
                <c:pt idx="178">
                  <c:v>45306</c:v>
                </c:pt>
                <c:pt idx="179">
                  <c:v>45307</c:v>
                </c:pt>
                <c:pt idx="180">
                  <c:v>45308</c:v>
                </c:pt>
                <c:pt idx="181">
                  <c:v>45309</c:v>
                </c:pt>
                <c:pt idx="182">
                  <c:v>45310</c:v>
                </c:pt>
                <c:pt idx="183">
                  <c:v>45313</c:v>
                </c:pt>
                <c:pt idx="184">
                  <c:v>45314</c:v>
                </c:pt>
                <c:pt idx="185">
                  <c:v>45315</c:v>
                </c:pt>
                <c:pt idx="186">
                  <c:v>45316</c:v>
                </c:pt>
                <c:pt idx="187">
                  <c:v>45317</c:v>
                </c:pt>
                <c:pt idx="188">
                  <c:v>45320</c:v>
                </c:pt>
                <c:pt idx="189">
                  <c:v>45321</c:v>
                </c:pt>
                <c:pt idx="190">
                  <c:v>45322</c:v>
                </c:pt>
                <c:pt idx="191">
                  <c:v>45323</c:v>
                </c:pt>
                <c:pt idx="192">
                  <c:v>45324</c:v>
                </c:pt>
                <c:pt idx="193">
                  <c:v>45327</c:v>
                </c:pt>
                <c:pt idx="194">
                  <c:v>45328</c:v>
                </c:pt>
                <c:pt idx="195">
                  <c:v>45329</c:v>
                </c:pt>
                <c:pt idx="196">
                  <c:v>45330</c:v>
                </c:pt>
                <c:pt idx="197">
                  <c:v>45341</c:v>
                </c:pt>
                <c:pt idx="198">
                  <c:v>45342</c:v>
                </c:pt>
                <c:pt idx="199">
                  <c:v>45343</c:v>
                </c:pt>
                <c:pt idx="200">
                  <c:v>45344</c:v>
                </c:pt>
                <c:pt idx="201">
                  <c:v>45345</c:v>
                </c:pt>
                <c:pt idx="202">
                  <c:v>45348</c:v>
                </c:pt>
                <c:pt idx="203">
                  <c:v>45349</c:v>
                </c:pt>
                <c:pt idx="204">
                  <c:v>45350</c:v>
                </c:pt>
                <c:pt idx="205">
                  <c:v>45351</c:v>
                </c:pt>
                <c:pt idx="206">
                  <c:v>45352</c:v>
                </c:pt>
                <c:pt idx="207">
                  <c:v>45355</c:v>
                </c:pt>
                <c:pt idx="208">
                  <c:v>45356</c:v>
                </c:pt>
                <c:pt idx="209">
                  <c:v>45357</c:v>
                </c:pt>
                <c:pt idx="210">
                  <c:v>45358</c:v>
                </c:pt>
                <c:pt idx="211">
                  <c:v>45359</c:v>
                </c:pt>
                <c:pt idx="212">
                  <c:v>45362</c:v>
                </c:pt>
                <c:pt idx="213">
                  <c:v>45363</c:v>
                </c:pt>
                <c:pt idx="214">
                  <c:v>45364</c:v>
                </c:pt>
                <c:pt idx="215">
                  <c:v>45365</c:v>
                </c:pt>
                <c:pt idx="216">
                  <c:v>45366</c:v>
                </c:pt>
                <c:pt idx="217">
                  <c:v>45369</c:v>
                </c:pt>
                <c:pt idx="218">
                  <c:v>45370</c:v>
                </c:pt>
                <c:pt idx="219">
                  <c:v>45371</c:v>
                </c:pt>
                <c:pt idx="220">
                  <c:v>45372</c:v>
                </c:pt>
                <c:pt idx="221">
                  <c:v>45373</c:v>
                </c:pt>
                <c:pt idx="222">
                  <c:v>45376</c:v>
                </c:pt>
                <c:pt idx="223">
                  <c:v>45377</c:v>
                </c:pt>
                <c:pt idx="224">
                  <c:v>45378</c:v>
                </c:pt>
                <c:pt idx="225">
                  <c:v>45379</c:v>
                </c:pt>
                <c:pt idx="226">
                  <c:v>45380</c:v>
                </c:pt>
                <c:pt idx="227">
                  <c:v>45383</c:v>
                </c:pt>
                <c:pt idx="228">
                  <c:v>45384</c:v>
                </c:pt>
                <c:pt idx="229">
                  <c:v>45385</c:v>
                </c:pt>
                <c:pt idx="230">
                  <c:v>45390</c:v>
                </c:pt>
                <c:pt idx="231">
                  <c:v>45391</c:v>
                </c:pt>
                <c:pt idx="232">
                  <c:v>45392</c:v>
                </c:pt>
                <c:pt idx="233">
                  <c:v>45393</c:v>
                </c:pt>
                <c:pt idx="234">
                  <c:v>45394</c:v>
                </c:pt>
                <c:pt idx="235">
                  <c:v>45397</c:v>
                </c:pt>
                <c:pt idx="236">
                  <c:v>45398</c:v>
                </c:pt>
              </c:numCache>
            </c:numRef>
          </c:cat>
          <c:val>
            <c:numRef>
              <c:f>数据!$F$9:$F$500</c:f>
              <c:numCache>
                <c:formatCode>#,##0</c:formatCode>
                <c:ptCount val="492"/>
                <c:pt idx="0">
                  <c:v>2816309370</c:v>
                </c:pt>
                <c:pt idx="1">
                  <c:v>-7532765146</c:v>
                </c:pt>
                <c:pt idx="2">
                  <c:v>-4849545815</c:v>
                </c:pt>
                <c:pt idx="3">
                  <c:v>-7971198699</c:v>
                </c:pt>
                <c:pt idx="4">
                  <c:v>-10239072197</c:v>
                </c:pt>
                <c:pt idx="5">
                  <c:v>10612129592</c:v>
                </c:pt>
                <c:pt idx="6">
                  <c:v>-3820365605</c:v>
                </c:pt>
                <c:pt idx="7">
                  <c:v>5681883769</c:v>
                </c:pt>
                <c:pt idx="8">
                  <c:v>1458265600</c:v>
                </c:pt>
                <c:pt idx="9">
                  <c:v>457492827</c:v>
                </c:pt>
                <c:pt idx="10">
                  <c:v>-887004937</c:v>
                </c:pt>
                <c:pt idx="11">
                  <c:v>-5982801623</c:v>
                </c:pt>
                <c:pt idx="12">
                  <c:v>2120878620</c:v>
                </c:pt>
                <c:pt idx="13">
                  <c:v>-1433862926</c:v>
                </c:pt>
                <c:pt idx="14">
                  <c:v>1044178116</c:v>
                </c:pt>
                <c:pt idx="15">
                  <c:v>3500983657</c:v>
                </c:pt>
                <c:pt idx="16">
                  <c:v>-4307449444</c:v>
                </c:pt>
                <c:pt idx="17">
                  <c:v>-849015890</c:v>
                </c:pt>
                <c:pt idx="18">
                  <c:v>-2241916205</c:v>
                </c:pt>
                <c:pt idx="19">
                  <c:v>894861607</c:v>
                </c:pt>
                <c:pt idx="20">
                  <c:v>-950339795</c:v>
                </c:pt>
                <c:pt idx="21">
                  <c:v>-2773071594</c:v>
                </c:pt>
                <c:pt idx="22">
                  <c:v>1441125188</c:v>
                </c:pt>
                <c:pt idx="23">
                  <c:v>-510755264</c:v>
                </c:pt>
                <c:pt idx="24">
                  <c:v>1530282224</c:v>
                </c:pt>
                <c:pt idx="25">
                  <c:v>728193332</c:v>
                </c:pt>
                <c:pt idx="26">
                  <c:v>-4928592783</c:v>
                </c:pt>
                <c:pt idx="27">
                  <c:v>2414333013</c:v>
                </c:pt>
                <c:pt idx="28">
                  <c:v>-3653702839</c:v>
                </c:pt>
                <c:pt idx="29">
                  <c:v>219849588</c:v>
                </c:pt>
                <c:pt idx="30">
                  <c:v>-2282633257</c:v>
                </c:pt>
                <c:pt idx="31">
                  <c:v>-2411566570</c:v>
                </c:pt>
                <c:pt idx="32">
                  <c:v>3212244279</c:v>
                </c:pt>
                <c:pt idx="33">
                  <c:v>-324253443</c:v>
                </c:pt>
                <c:pt idx="34">
                  <c:v>-1111192369</c:v>
                </c:pt>
                <c:pt idx="35">
                  <c:v>-741152791</c:v>
                </c:pt>
                <c:pt idx="36">
                  <c:v>-2743722012</c:v>
                </c:pt>
                <c:pt idx="37">
                  <c:v>6204315882</c:v>
                </c:pt>
                <c:pt idx="38">
                  <c:v>2994454099</c:v>
                </c:pt>
                <c:pt idx="39">
                  <c:v>-9120500342</c:v>
                </c:pt>
                <c:pt idx="40">
                  <c:v>-1842043252</c:v>
                </c:pt>
                <c:pt idx="41">
                  <c:v>-796113078</c:v>
                </c:pt>
                <c:pt idx="42">
                  <c:v>-4518306216</c:v>
                </c:pt>
                <c:pt idx="43">
                  <c:v>845882549</c:v>
                </c:pt>
                <c:pt idx="44">
                  <c:v>-5547724138</c:v>
                </c:pt>
                <c:pt idx="45">
                  <c:v>2960235935</c:v>
                </c:pt>
                <c:pt idx="46">
                  <c:v>2321838403</c:v>
                </c:pt>
                <c:pt idx="47">
                  <c:v>932354496</c:v>
                </c:pt>
                <c:pt idx="48">
                  <c:v>824470416</c:v>
                </c:pt>
                <c:pt idx="49">
                  <c:v>-4211998649</c:v>
                </c:pt>
                <c:pt idx="50">
                  <c:v>665266811</c:v>
                </c:pt>
                <c:pt idx="51">
                  <c:v>350653438</c:v>
                </c:pt>
                <c:pt idx="52">
                  <c:v>-2816425836</c:v>
                </c:pt>
                <c:pt idx="53">
                  <c:v>-1737326920</c:v>
                </c:pt>
                <c:pt idx="54">
                  <c:v>-1431303612</c:v>
                </c:pt>
                <c:pt idx="55">
                  <c:v>2220198833</c:v>
                </c:pt>
                <c:pt idx="56">
                  <c:v>115519964</c:v>
                </c:pt>
                <c:pt idx="57">
                  <c:v>178227276</c:v>
                </c:pt>
                <c:pt idx="58">
                  <c:v>-5079054514</c:v>
                </c:pt>
                <c:pt idx="59">
                  <c:v>-5206206785</c:v>
                </c:pt>
                <c:pt idx="60">
                  <c:v>-67547378</c:v>
                </c:pt>
                <c:pt idx="61">
                  <c:v>-402540384</c:v>
                </c:pt>
                <c:pt idx="62">
                  <c:v>-1354718265</c:v>
                </c:pt>
                <c:pt idx="63">
                  <c:v>-1410083017</c:v>
                </c:pt>
                <c:pt idx="64">
                  <c:v>-3120967528</c:v>
                </c:pt>
                <c:pt idx="65">
                  <c:v>7047997638</c:v>
                </c:pt>
                <c:pt idx="66">
                  <c:v>1825370334</c:v>
                </c:pt>
                <c:pt idx="67">
                  <c:v>2983797181</c:v>
                </c:pt>
                <c:pt idx="68">
                  <c:v>1680674367</c:v>
                </c:pt>
                <c:pt idx="69">
                  <c:v>527737903</c:v>
                </c:pt>
                <c:pt idx="70">
                  <c:v>5475132453</c:v>
                </c:pt>
                <c:pt idx="71">
                  <c:v>-52924475</c:v>
                </c:pt>
                <c:pt idx="72">
                  <c:v>-2149253262</c:v>
                </c:pt>
                <c:pt idx="73">
                  <c:v>-616395808</c:v>
                </c:pt>
                <c:pt idx="74">
                  <c:v>-5349443513</c:v>
                </c:pt>
                <c:pt idx="75">
                  <c:v>-19097589</c:v>
                </c:pt>
                <c:pt idx="76">
                  <c:v>-264966877</c:v>
                </c:pt>
                <c:pt idx="77">
                  <c:v>-2487734775</c:v>
                </c:pt>
                <c:pt idx="78">
                  <c:v>1085850712</c:v>
                </c:pt>
                <c:pt idx="79">
                  <c:v>-4701953092</c:v>
                </c:pt>
                <c:pt idx="80">
                  <c:v>-179593063</c:v>
                </c:pt>
                <c:pt idx="81">
                  <c:v>155256621</c:v>
                </c:pt>
                <c:pt idx="82">
                  <c:v>-2733679086</c:v>
                </c:pt>
                <c:pt idx="83">
                  <c:v>-2255294771</c:v>
                </c:pt>
                <c:pt idx="84">
                  <c:v>-9744051131</c:v>
                </c:pt>
                <c:pt idx="85">
                  <c:v>6165618266</c:v>
                </c:pt>
                <c:pt idx="86">
                  <c:v>3068167342</c:v>
                </c:pt>
                <c:pt idx="87">
                  <c:v>838903120</c:v>
                </c:pt>
                <c:pt idx="88">
                  <c:v>-2195714311</c:v>
                </c:pt>
                <c:pt idx="89">
                  <c:v>-4830574407</c:v>
                </c:pt>
                <c:pt idx="90">
                  <c:v>3826021312</c:v>
                </c:pt>
                <c:pt idx="91">
                  <c:v>1832885646</c:v>
                </c:pt>
                <c:pt idx="92">
                  <c:v>1882993899</c:v>
                </c:pt>
                <c:pt idx="93">
                  <c:v>-1868921030</c:v>
                </c:pt>
                <c:pt idx="94">
                  <c:v>-4221842671</c:v>
                </c:pt>
                <c:pt idx="95">
                  <c:v>25541477741</c:v>
                </c:pt>
                <c:pt idx="96">
                  <c:v>8540007401</c:v>
                </c:pt>
                <c:pt idx="97">
                  <c:v>4919075678</c:v>
                </c:pt>
                <c:pt idx="98">
                  <c:v>1930420543</c:v>
                </c:pt>
                <c:pt idx="99">
                  <c:v>1514989238</c:v>
                </c:pt>
                <c:pt idx="100">
                  <c:v>3374245816</c:v>
                </c:pt>
                <c:pt idx="101">
                  <c:v>47547178</c:v>
                </c:pt>
                <c:pt idx="102">
                  <c:v>87907903</c:v>
                </c:pt>
                <c:pt idx="103">
                  <c:v>876933457</c:v>
                </c:pt>
                <c:pt idx="104">
                  <c:v>367226752</c:v>
                </c:pt>
                <c:pt idx="105">
                  <c:v>3566809725</c:v>
                </c:pt>
                <c:pt idx="106">
                  <c:v>-156986194</c:v>
                </c:pt>
                <c:pt idx="107">
                  <c:v>1974045960</c:v>
                </c:pt>
                <c:pt idx="108">
                  <c:v>-16838974715</c:v>
                </c:pt>
                <c:pt idx="109">
                  <c:v>11925745267</c:v>
                </c:pt>
                <c:pt idx="110">
                  <c:v>6367408607</c:v>
                </c:pt>
                <c:pt idx="111">
                  <c:v>5057313361</c:v>
                </c:pt>
                <c:pt idx="112">
                  <c:v>4125730252</c:v>
                </c:pt>
                <c:pt idx="113">
                  <c:v>-1448886269</c:v>
                </c:pt>
                <c:pt idx="114">
                  <c:v>4289169339</c:v>
                </c:pt>
                <c:pt idx="115">
                  <c:v>579196168</c:v>
                </c:pt>
                <c:pt idx="116">
                  <c:v>-1035392880</c:v>
                </c:pt>
                <c:pt idx="117">
                  <c:v>430097828</c:v>
                </c:pt>
                <c:pt idx="118">
                  <c:v>-2930933796</c:v>
                </c:pt>
                <c:pt idx="119">
                  <c:v>-504291993</c:v>
                </c:pt>
                <c:pt idx="120">
                  <c:v>1839554665</c:v>
                </c:pt>
                <c:pt idx="121">
                  <c:v>1000738311</c:v>
                </c:pt>
                <c:pt idx="122">
                  <c:v>75584630</c:v>
                </c:pt>
                <c:pt idx="123">
                  <c:v>-2416434982</c:v>
                </c:pt>
                <c:pt idx="124">
                  <c:v>9720302639</c:v>
                </c:pt>
                <c:pt idx="125">
                  <c:v>2692823958</c:v>
                </c:pt>
                <c:pt idx="126">
                  <c:v>3486452062</c:v>
                </c:pt>
                <c:pt idx="127">
                  <c:v>-2260812851</c:v>
                </c:pt>
                <c:pt idx="128">
                  <c:v>-3840288600</c:v>
                </c:pt>
                <c:pt idx="129">
                  <c:v>9468638826</c:v>
                </c:pt>
                <c:pt idx="130">
                  <c:v>5692741154</c:v>
                </c:pt>
                <c:pt idx="131">
                  <c:v>7286920811</c:v>
                </c:pt>
                <c:pt idx="132">
                  <c:v>1266429269</c:v>
                </c:pt>
                <c:pt idx="133">
                  <c:v>-577736651</c:v>
                </c:pt>
                <c:pt idx="134">
                  <c:v>5711229378</c:v>
                </c:pt>
                <c:pt idx="135">
                  <c:v>5424387795</c:v>
                </c:pt>
                <c:pt idx="136">
                  <c:v>4427043708</c:v>
                </c:pt>
                <c:pt idx="137">
                  <c:v>871489552</c:v>
                </c:pt>
                <c:pt idx="138">
                  <c:v>-293312948</c:v>
                </c:pt>
                <c:pt idx="139">
                  <c:v>8149549236</c:v>
                </c:pt>
                <c:pt idx="140">
                  <c:v>441240418</c:v>
                </c:pt>
                <c:pt idx="141">
                  <c:v>801506965</c:v>
                </c:pt>
                <c:pt idx="142">
                  <c:v>914080273</c:v>
                </c:pt>
                <c:pt idx="143">
                  <c:v>-4967368298</c:v>
                </c:pt>
                <c:pt idx="144">
                  <c:v>1412705776</c:v>
                </c:pt>
                <c:pt idx="145">
                  <c:v>440343886</c:v>
                </c:pt>
                <c:pt idx="146">
                  <c:v>1985211772</c:v>
                </c:pt>
                <c:pt idx="147">
                  <c:v>-2791505964</c:v>
                </c:pt>
                <c:pt idx="148">
                  <c:v>-139015833</c:v>
                </c:pt>
                <c:pt idx="149">
                  <c:v>1748767910</c:v>
                </c:pt>
                <c:pt idx="150">
                  <c:v>-375041546</c:v>
                </c:pt>
                <c:pt idx="151">
                  <c:v>459350530</c:v>
                </c:pt>
                <c:pt idx="152">
                  <c:v>1377160085</c:v>
                </c:pt>
                <c:pt idx="153">
                  <c:v>-3579155667</c:v>
                </c:pt>
                <c:pt idx="154">
                  <c:v>3417704768</c:v>
                </c:pt>
                <c:pt idx="155">
                  <c:v>2509054976</c:v>
                </c:pt>
                <c:pt idx="156">
                  <c:v>1968357310</c:v>
                </c:pt>
                <c:pt idx="157">
                  <c:v>-2182792190</c:v>
                </c:pt>
                <c:pt idx="158">
                  <c:v>-1432918420</c:v>
                </c:pt>
                <c:pt idx="159">
                  <c:v>-2056744974</c:v>
                </c:pt>
                <c:pt idx="160">
                  <c:v>1105282644</c:v>
                </c:pt>
                <c:pt idx="161">
                  <c:v>-4236446896</c:v>
                </c:pt>
                <c:pt idx="162">
                  <c:v>1446654817</c:v>
                </c:pt>
                <c:pt idx="163">
                  <c:v>-7902412631</c:v>
                </c:pt>
                <c:pt idx="164">
                  <c:v>-13146930</c:v>
                </c:pt>
                <c:pt idx="165">
                  <c:v>-2281858315</c:v>
                </c:pt>
                <c:pt idx="166">
                  <c:v>996795617</c:v>
                </c:pt>
                <c:pt idx="167">
                  <c:v>3136393676</c:v>
                </c:pt>
                <c:pt idx="168">
                  <c:v>-7184517864</c:v>
                </c:pt>
                <c:pt idx="169">
                  <c:v>5708797059</c:v>
                </c:pt>
                <c:pt idx="170">
                  <c:v>930835199</c:v>
                </c:pt>
                <c:pt idx="171">
                  <c:v>2257472850</c:v>
                </c:pt>
                <c:pt idx="172">
                  <c:v>-8409749658</c:v>
                </c:pt>
                <c:pt idx="173">
                  <c:v>419193347</c:v>
                </c:pt>
                <c:pt idx="174">
                  <c:v>-3363163322</c:v>
                </c:pt>
                <c:pt idx="175">
                  <c:v>-2703399029</c:v>
                </c:pt>
                <c:pt idx="176">
                  <c:v>777200371</c:v>
                </c:pt>
                <c:pt idx="177">
                  <c:v>-5062961503</c:v>
                </c:pt>
                <c:pt idx="178">
                  <c:v>986437391</c:v>
                </c:pt>
                <c:pt idx="179">
                  <c:v>-2536583387</c:v>
                </c:pt>
                <c:pt idx="180">
                  <c:v>-560275088</c:v>
                </c:pt>
                <c:pt idx="181">
                  <c:v>-6741331190</c:v>
                </c:pt>
                <c:pt idx="182">
                  <c:v>-7325268374</c:v>
                </c:pt>
                <c:pt idx="183">
                  <c:v>-15085480558</c:v>
                </c:pt>
                <c:pt idx="184">
                  <c:v>-4074337909</c:v>
                </c:pt>
                <c:pt idx="185">
                  <c:v>-2225317289</c:v>
                </c:pt>
                <c:pt idx="186">
                  <c:v>4092394905</c:v>
                </c:pt>
                <c:pt idx="187">
                  <c:v>-4988766137</c:v>
                </c:pt>
                <c:pt idx="188">
                  <c:v>-3504126611</c:v>
                </c:pt>
                <c:pt idx="189">
                  <c:v>-7969629230</c:v>
                </c:pt>
                <c:pt idx="190">
                  <c:v>-19386767594</c:v>
                </c:pt>
                <c:pt idx="191">
                  <c:v>-11463261421</c:v>
                </c:pt>
                <c:pt idx="192">
                  <c:v>-29135861410</c:v>
                </c:pt>
                <c:pt idx="193">
                  <c:v>-39475116552</c:v>
                </c:pt>
                <c:pt idx="194">
                  <c:v>-15135240956</c:v>
                </c:pt>
                <c:pt idx="195">
                  <c:v>-13164552645</c:v>
                </c:pt>
                <c:pt idx="196">
                  <c:v>-16982216158</c:v>
                </c:pt>
                <c:pt idx="197">
                  <c:v>15455064339</c:v>
                </c:pt>
                <c:pt idx="198">
                  <c:v>6064992812</c:v>
                </c:pt>
                <c:pt idx="199">
                  <c:v>5501399847</c:v>
                </c:pt>
                <c:pt idx="200">
                  <c:v>5785997699</c:v>
                </c:pt>
                <c:pt idx="201">
                  <c:v>4724154399</c:v>
                </c:pt>
                <c:pt idx="202">
                  <c:v>8699169258</c:v>
                </c:pt>
                <c:pt idx="203">
                  <c:v>11067181987</c:v>
                </c:pt>
                <c:pt idx="204">
                  <c:v>3153179740</c:v>
                </c:pt>
                <c:pt idx="205">
                  <c:v>5278130347</c:v>
                </c:pt>
                <c:pt idx="206">
                  <c:v>2173748795</c:v>
                </c:pt>
                <c:pt idx="207">
                  <c:v>9728429031</c:v>
                </c:pt>
                <c:pt idx="208">
                  <c:v>-4552550281</c:v>
                </c:pt>
                <c:pt idx="209">
                  <c:v>5247950093</c:v>
                </c:pt>
                <c:pt idx="210">
                  <c:v>-1851147255</c:v>
                </c:pt>
                <c:pt idx="211">
                  <c:v>1280424647</c:v>
                </c:pt>
                <c:pt idx="212">
                  <c:v>7951296360</c:v>
                </c:pt>
                <c:pt idx="213">
                  <c:v>7316018629</c:v>
                </c:pt>
                <c:pt idx="214">
                  <c:v>7008252114</c:v>
                </c:pt>
                <c:pt idx="215">
                  <c:v>1105398259</c:v>
                </c:pt>
                <c:pt idx="216">
                  <c:v>230258319</c:v>
                </c:pt>
                <c:pt idx="217">
                  <c:v>13596233660</c:v>
                </c:pt>
                <c:pt idx="218">
                  <c:v>3677781764</c:v>
                </c:pt>
                <c:pt idx="219">
                  <c:v>6893048811</c:v>
                </c:pt>
                <c:pt idx="220">
                  <c:v>5582608773</c:v>
                </c:pt>
                <c:pt idx="221">
                  <c:v>-2091546290</c:v>
                </c:pt>
                <c:pt idx="222">
                  <c:v>-728448768</c:v>
                </c:pt>
                <c:pt idx="223">
                  <c:v>-1001781419</c:v>
                </c:pt>
                <c:pt idx="224">
                  <c:v>-3967121939</c:v>
                </c:pt>
                <c:pt idx="225">
                  <c:v>3612809456</c:v>
                </c:pt>
                <c:pt idx="226">
                  <c:v>-5687781389</c:v>
                </c:pt>
                <c:pt idx="227">
                  <c:v>7368161964</c:v>
                </c:pt>
                <c:pt idx="228">
                  <c:v>1454610156</c:v>
                </c:pt>
                <c:pt idx="229">
                  <c:v>-6628672464</c:v>
                </c:pt>
                <c:pt idx="230">
                  <c:v>4996789231</c:v>
                </c:pt>
                <c:pt idx="231">
                  <c:v>673312361</c:v>
                </c:pt>
                <c:pt idx="232">
                  <c:v>-3190228076</c:v>
                </c:pt>
                <c:pt idx="233">
                  <c:v>-1526268152</c:v>
                </c:pt>
                <c:pt idx="234">
                  <c:v>-3719565342</c:v>
                </c:pt>
                <c:pt idx="235">
                  <c:v>-2593232310</c:v>
                </c:pt>
                <c:pt idx="236">
                  <c:v>-7410795150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107F3A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FB54-41A8-856C-5F0781059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078048656"/>
        <c:axId val="1078066128"/>
      </c:barChart>
      <c:dateAx>
        <c:axId val="1078048656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78066128"/>
        <c:crosses val="autoZero"/>
        <c:auto val="1"/>
        <c:lblOffset val="100"/>
        <c:baseTimeUnit val="days"/>
      </c:dateAx>
      <c:valAx>
        <c:axId val="107806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78048656"/>
        <c:crosses val="autoZero"/>
        <c:crossBetween val="between"/>
        <c:dispUnits>
          <c:builtInUnit val="hundredMillions"/>
        </c:dispUnits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33131</xdr:colOff>
      <xdr:row>9</xdr:row>
      <xdr:rowOff>38101</xdr:rowOff>
    </xdr:from>
    <xdr:to>
      <xdr:col>12</xdr:col>
      <xdr:colOff>1295401</xdr:colOff>
      <xdr:row>20</xdr:row>
      <xdr:rowOff>142876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57150</xdr:colOff>
      <xdr:row>0</xdr:row>
      <xdr:rowOff>85725</xdr:rowOff>
    </xdr:from>
    <xdr:ext cx="607152" cy="219075"/>
    <xdr:pic>
      <xdr:nvPicPr>
        <xdr:cNvPr id="3" name="图片 2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" y="85725"/>
          <a:ext cx="607152" cy="219075"/>
        </a:xfrm>
        <a:prstGeom prst="rect">
          <a:avLst/>
        </a:prstGeom>
      </xdr:spPr>
    </xdr:pic>
    <xdr:clientData/>
  </xdr:oneCellAnchor>
  <xdr:twoCellAnchor>
    <xdr:from>
      <xdr:col>3</xdr:col>
      <xdr:colOff>47625</xdr:colOff>
      <xdr:row>23</xdr:row>
      <xdr:rowOff>9524</xdr:rowOff>
    </xdr:from>
    <xdr:to>
      <xdr:col>12</xdr:col>
      <xdr:colOff>1371599</xdr:colOff>
      <xdr:row>34</xdr:row>
      <xdr:rowOff>152399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s_dq_close"/>
      <definedName name="TDaysOffset"/>
      <definedName name="w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63636D"/>
  </sheetPr>
  <dimension ref="B1:O36"/>
  <sheetViews>
    <sheetView showGridLines="0" tabSelected="1" zoomScaleNormal="100" workbookViewId="0">
      <selection activeCell="A38" sqref="A38"/>
    </sheetView>
  </sheetViews>
  <sheetFormatPr defaultRowHeight="16.5"/>
  <cols>
    <col min="1" max="1" width="3.25" style="10" customWidth="1"/>
    <col min="2" max="2" width="1.75" style="10" customWidth="1"/>
    <col min="3" max="3" width="1.625" style="10" customWidth="1"/>
    <col min="4" max="4" width="23" style="10" bestFit="1" customWidth="1"/>
    <col min="5" max="5" width="20.5" style="10" bestFit="1" customWidth="1"/>
    <col min="6" max="6" width="1.625" style="10" customWidth="1"/>
    <col min="7" max="7" width="19.25" style="10" bestFit="1" customWidth="1"/>
    <col min="8" max="8" width="16" style="10" bestFit="1" customWidth="1"/>
    <col min="9" max="9" width="18.625" style="10" customWidth="1"/>
    <col min="10" max="10" width="16" style="10" bestFit="1" customWidth="1"/>
    <col min="11" max="11" width="18.625" style="10" customWidth="1"/>
    <col min="12" max="12" width="9" style="10"/>
    <col min="13" max="13" width="18" style="10" bestFit="1" customWidth="1"/>
    <col min="14" max="14" width="1.625" style="10" customWidth="1"/>
    <col min="15" max="15" width="1.75" style="10" customWidth="1"/>
    <col min="16" max="16" width="3.25" style="10" customWidth="1"/>
    <col min="17" max="16384" width="9" style="10"/>
  </cols>
  <sheetData>
    <row r="1" spans="2:15" ht="28.5" customHeight="1">
      <c r="B1" s="9"/>
      <c r="C1" s="9"/>
      <c r="D1" s="9"/>
      <c r="E1" s="37" t="s">
        <v>31</v>
      </c>
      <c r="F1" s="37"/>
      <c r="G1" s="37"/>
      <c r="H1" s="37"/>
      <c r="I1" s="37"/>
      <c r="J1" s="37"/>
      <c r="K1" s="37"/>
      <c r="L1" s="7" t="s">
        <v>4</v>
      </c>
      <c r="M1" s="14">
        <f ca="1">[1]!TDaysOffset(TODAY(),"Offset=-1")</f>
        <v>45398</v>
      </c>
      <c r="N1" s="9"/>
      <c r="O1" s="9"/>
    </row>
    <row r="2" spans="2:15" ht="12" customHeight="1"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2:15" ht="9.9499999999999993" customHeight="1">
      <c r="B3" s="11"/>
      <c r="C3" s="22"/>
      <c r="D3" s="23"/>
      <c r="E3" s="23"/>
      <c r="F3" s="23"/>
      <c r="G3" s="23"/>
      <c r="H3" s="23"/>
      <c r="I3" s="23"/>
      <c r="J3" s="23"/>
      <c r="K3" s="23"/>
      <c r="L3" s="23"/>
      <c r="M3" s="23"/>
      <c r="N3" s="24"/>
      <c r="O3" s="11"/>
    </row>
    <row r="4" spans="2:15" ht="19.5">
      <c r="B4" s="11"/>
      <c r="C4" s="25"/>
      <c r="D4" s="8" t="s">
        <v>5</v>
      </c>
      <c r="E4" s="26">
        <f ca="1">M1-360</f>
        <v>45038</v>
      </c>
      <c r="F4" s="27"/>
      <c r="G4" s="27"/>
      <c r="H4" s="27"/>
      <c r="I4" s="27"/>
      <c r="J4" s="27"/>
      <c r="K4" s="27"/>
      <c r="L4" s="27"/>
      <c r="M4" s="27"/>
      <c r="N4" s="28"/>
      <c r="O4" s="11"/>
    </row>
    <row r="5" spans="2:15" ht="19.5">
      <c r="B5" s="11"/>
      <c r="C5" s="25"/>
      <c r="D5" s="29" t="s">
        <v>6</v>
      </c>
      <c r="E5" s="26" t="s">
        <v>3</v>
      </c>
      <c r="F5" s="27"/>
      <c r="G5" s="27"/>
      <c r="H5" s="27"/>
      <c r="I5" s="27"/>
      <c r="J5" s="27"/>
      <c r="K5" s="27"/>
      <c r="L5" s="27"/>
      <c r="M5" s="27"/>
      <c r="N5" s="28"/>
      <c r="O5" s="11"/>
    </row>
    <row r="6" spans="2:15" ht="5.0999999999999996" customHeight="1">
      <c r="B6" s="11"/>
      <c r="C6" s="25"/>
      <c r="D6" s="27"/>
      <c r="E6" s="27"/>
      <c r="F6" s="27"/>
      <c r="G6" s="27"/>
      <c r="H6" s="27"/>
      <c r="I6" s="27"/>
      <c r="J6" s="27"/>
      <c r="K6" s="27"/>
      <c r="L6" s="27"/>
      <c r="M6" s="27"/>
      <c r="N6" s="28"/>
      <c r="O6" s="11"/>
    </row>
    <row r="7" spans="2:15" ht="21" customHeight="1">
      <c r="B7" s="11"/>
      <c r="C7" s="25"/>
      <c r="D7" s="30" t="s">
        <v>26</v>
      </c>
      <c r="E7" s="31">
        <f ca="1">VLOOKUP(M1,数据!A:B,2,0)</f>
        <v>1524906429169</v>
      </c>
      <c r="F7" s="32"/>
      <c r="G7" s="17" t="s">
        <v>30</v>
      </c>
      <c r="H7" s="31">
        <f ca="1">VLOOKUP(融资融券资金动向!M1,数据!A:F,6,0)</f>
        <v>-7410795150</v>
      </c>
      <c r="I7" s="33">
        <f ca="1">IF(H7&gt;0,1,IF(H7=0,0,-1))</f>
        <v>-1</v>
      </c>
      <c r="J7" s="27"/>
      <c r="K7" s="27"/>
      <c r="L7" s="27"/>
      <c r="M7" s="27"/>
      <c r="N7" s="28"/>
      <c r="O7" s="11"/>
    </row>
    <row r="8" spans="2:15" ht="5.0999999999999996" customHeight="1">
      <c r="B8" s="11"/>
      <c r="C8" s="25"/>
      <c r="D8" s="30"/>
      <c r="E8" s="31"/>
      <c r="F8" s="32"/>
      <c r="G8" s="18"/>
      <c r="H8" s="31"/>
      <c r="I8" s="33"/>
      <c r="J8" s="27"/>
      <c r="K8" s="27"/>
      <c r="L8" s="27"/>
      <c r="M8" s="27"/>
      <c r="N8" s="28"/>
      <c r="O8" s="11"/>
    </row>
    <row r="9" spans="2:15" ht="21">
      <c r="B9" s="11"/>
      <c r="C9" s="25"/>
      <c r="D9" s="15" t="s">
        <v>28</v>
      </c>
      <c r="E9" s="6"/>
      <c r="F9" s="6"/>
      <c r="G9" s="6"/>
      <c r="H9" s="5"/>
      <c r="I9" s="5"/>
      <c r="J9" s="5"/>
      <c r="K9" s="5"/>
      <c r="L9" s="5"/>
      <c r="M9" s="5"/>
      <c r="N9" s="28"/>
      <c r="O9" s="11"/>
    </row>
    <row r="10" spans="2:15" ht="13.5" customHeight="1">
      <c r="B10" s="11"/>
      <c r="C10" s="25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8"/>
      <c r="O10" s="11"/>
    </row>
    <row r="11" spans="2:15">
      <c r="B11" s="11"/>
      <c r="C11" s="25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8"/>
      <c r="O11" s="11"/>
    </row>
    <row r="12" spans="2:15">
      <c r="B12" s="11"/>
      <c r="C12" s="25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8"/>
      <c r="O12" s="11"/>
    </row>
    <row r="13" spans="2:15">
      <c r="B13" s="11"/>
      <c r="C13" s="25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8"/>
      <c r="O13" s="11"/>
    </row>
    <row r="14" spans="2:15">
      <c r="B14" s="11"/>
      <c r="C14" s="25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8"/>
      <c r="O14" s="11"/>
    </row>
    <row r="15" spans="2:15">
      <c r="B15" s="11"/>
      <c r="C15" s="25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8"/>
      <c r="O15" s="11"/>
    </row>
    <row r="16" spans="2:15">
      <c r="B16" s="11"/>
      <c r="C16" s="25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8"/>
      <c r="O16" s="11"/>
    </row>
    <row r="17" spans="2:15">
      <c r="B17" s="11"/>
      <c r="C17" s="25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8"/>
      <c r="O17" s="11"/>
    </row>
    <row r="18" spans="2:15">
      <c r="B18" s="11"/>
      <c r="C18" s="25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8"/>
      <c r="O18" s="11"/>
    </row>
    <row r="19" spans="2:15">
      <c r="B19" s="11"/>
      <c r="C19" s="25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8"/>
      <c r="O19" s="11"/>
    </row>
    <row r="20" spans="2:15">
      <c r="B20" s="11"/>
      <c r="C20" s="25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8"/>
      <c r="O20" s="11"/>
    </row>
    <row r="21" spans="2:15">
      <c r="B21" s="11"/>
      <c r="C21" s="34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6"/>
      <c r="O21" s="11"/>
    </row>
    <row r="22" spans="2:15"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2:15" ht="21">
      <c r="B23" s="11"/>
      <c r="C23" s="16"/>
      <c r="D23" s="19" t="s">
        <v>29</v>
      </c>
      <c r="E23" s="20"/>
      <c r="F23" s="20"/>
      <c r="G23" s="20"/>
      <c r="H23" s="21"/>
      <c r="I23" s="21"/>
      <c r="J23" s="21"/>
      <c r="K23" s="21"/>
      <c r="L23" s="21"/>
      <c r="M23" s="21"/>
      <c r="N23" s="16"/>
      <c r="O23" s="11"/>
    </row>
    <row r="24" spans="2:15">
      <c r="B24" s="11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1"/>
    </row>
    <row r="25" spans="2:15">
      <c r="B25" s="11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1"/>
    </row>
    <row r="26" spans="2:15">
      <c r="B26" s="11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1"/>
    </row>
    <row r="27" spans="2:15">
      <c r="B27" s="11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1"/>
    </row>
    <row r="28" spans="2:15">
      <c r="B28" s="11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1"/>
    </row>
    <row r="29" spans="2:15">
      <c r="B29" s="11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1"/>
    </row>
    <row r="30" spans="2:15">
      <c r="B30" s="11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1"/>
    </row>
    <row r="31" spans="2:15">
      <c r="B31" s="11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1"/>
    </row>
    <row r="32" spans="2:15">
      <c r="B32" s="11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1"/>
    </row>
    <row r="33" spans="2:15">
      <c r="B33" s="11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1"/>
    </row>
    <row r="34" spans="2:15">
      <c r="B34" s="11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1"/>
    </row>
    <row r="35" spans="2:15">
      <c r="B35" s="11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1"/>
    </row>
    <row r="36" spans="2:15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</sheetData>
  <mergeCells count="1">
    <mergeCell ref="E1:K1"/>
  </mergeCells>
  <phoneticPr fontId="3" type="noConversion"/>
  <conditionalFormatting sqref="E7:F8">
    <cfRule type="cellIs" dxfId="3" priority="6" operator="lessThan">
      <formula>0</formula>
    </cfRule>
    <cfRule type="cellIs" dxfId="2" priority="7" operator="greaterThan">
      <formula>0</formula>
    </cfRule>
  </conditionalFormatting>
  <conditionalFormatting sqref="H7:H8">
    <cfRule type="cellIs" dxfId="1" priority="2" operator="lessThan">
      <formula>0</formula>
    </cfRule>
    <cfRule type="cellIs" dxfId="0" priority="3" operator="greaterThan">
      <formula>0</formula>
    </cfRule>
  </conditionalFormatting>
  <dataValidations count="1">
    <dataValidation type="list" allowBlank="1" showInputMessage="1" showErrorMessage="1" sqref="E5">
      <formula1>"日,周,月,年"</formula1>
    </dataValidation>
  </dataValidations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B4EBE83E-B269-4E71-AA85-37D406750DD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3ArrowsGray" iconId="1"/>
              <x14:cfIcon iconSet="3Arrows" iconId="2"/>
            </x14:iconSet>
          </x14:cfRule>
          <xm:sqref>I7:I8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G500"/>
  <sheetViews>
    <sheetView zoomScale="85" zoomScaleNormal="85" workbookViewId="0">
      <pane ySplit="8" topLeftCell="A9" activePane="bottomLeft" state="frozen"/>
      <selection activeCell="B1" sqref="B1"/>
      <selection pane="bottomLeft" activeCell="G247" sqref="G247"/>
    </sheetView>
  </sheetViews>
  <sheetFormatPr defaultRowHeight="14.25"/>
  <cols>
    <col min="1" max="1" width="11.625" bestFit="1" customWidth="1"/>
    <col min="2" max="2" width="16.625" bestFit="1" customWidth="1"/>
    <col min="3" max="3" width="16.625" customWidth="1"/>
    <col min="4" max="4" width="15.125" bestFit="1" customWidth="1"/>
    <col min="5" max="5" width="16.625" bestFit="1" customWidth="1"/>
    <col min="6" max="6" width="15.125" bestFit="1" customWidth="1"/>
    <col min="7" max="7" width="14" bestFit="1" customWidth="1"/>
    <col min="8" max="8" width="15.125" bestFit="1" customWidth="1"/>
  </cols>
  <sheetData>
    <row r="1" spans="1:7">
      <c r="A1" t="s">
        <v>0</v>
      </c>
      <c r="B1" s="2" t="s">
        <v>8</v>
      </c>
    </row>
    <row r="2" spans="1:7">
      <c r="A2" t="s">
        <v>9</v>
      </c>
      <c r="B2" s="3" t="s">
        <v>10</v>
      </c>
    </row>
    <row r="3" spans="1:7">
      <c r="A3" t="s">
        <v>1</v>
      </c>
      <c r="B3" s="13" t="str">
        <f ca="1">TEXT(融资融券资金动向!E4,"YYYYMMDD")</f>
        <v>20230422</v>
      </c>
    </row>
    <row r="4" spans="1:7">
      <c r="A4" t="s">
        <v>2</v>
      </c>
      <c r="B4" s="13" t="str">
        <f ca="1">TEXT(融资融券资金动向!M1,"YYYYMMDD")</f>
        <v>20240416</v>
      </c>
    </row>
    <row r="5" spans="1:7">
      <c r="A5" t="s">
        <v>11</v>
      </c>
      <c r="B5" s="1" t="str">
        <f>融资融券资金动向!E5</f>
        <v>日</v>
      </c>
    </row>
    <row r="6" spans="1:7">
      <c r="A6" t="s">
        <v>12</v>
      </c>
      <c r="B6" s="3" t="s">
        <v>13</v>
      </c>
    </row>
    <row r="7" spans="1:7">
      <c r="A7" t="s">
        <v>14</v>
      </c>
      <c r="B7" s="3" t="s">
        <v>16</v>
      </c>
      <c r="C7" t="s">
        <v>18</v>
      </c>
      <c r="D7" t="s">
        <v>20</v>
      </c>
      <c r="E7" t="s">
        <v>22</v>
      </c>
      <c r="F7" t="s">
        <v>24</v>
      </c>
    </row>
    <row r="8" spans="1:7">
      <c r="A8" t="s">
        <v>15</v>
      </c>
      <c r="B8" t="s">
        <v>17</v>
      </c>
      <c r="C8" t="s">
        <v>19</v>
      </c>
      <c r="D8" t="s">
        <v>21</v>
      </c>
      <c r="E8" t="s">
        <v>23</v>
      </c>
      <c r="F8" t="s">
        <v>25</v>
      </c>
      <c r="G8" t="s">
        <v>27</v>
      </c>
    </row>
    <row r="9" spans="1:7">
      <c r="A9" s="4">
        <f ca="1">[1]!wset("markettradingstatistics(value)","exchange="&amp;B2,"startdate="&amp;B3,"enddate="&amp;B4,"frequency="&amp;B5,"sort="&amp;B6,"field=end_date,shsz_total_balance,sh_total_balance,sz_total_balance,margin_balance,period_net_purchases","cols=6;rows=237")</f>
        <v>45040</v>
      </c>
      <c r="B9" s="12">
        <v>1639114824001</v>
      </c>
      <c r="C9" s="12">
        <v>866123249034</v>
      </c>
      <c r="D9" s="12">
        <v>772849382651</v>
      </c>
      <c r="E9" s="12">
        <v>1544509570484</v>
      </c>
      <c r="F9" s="12">
        <v>2816309370</v>
      </c>
      <c r="G9">
        <f ca="1">IF(A9="","",[1]!s_dq_close("881001.wi",A9))</f>
        <v>5015.5239000000001</v>
      </c>
    </row>
    <row r="10" spans="1:7">
      <c r="A10" s="4">
        <v>45041</v>
      </c>
      <c r="B10" s="12">
        <v>1629860082803</v>
      </c>
      <c r="C10" s="12">
        <v>861182966321</v>
      </c>
      <c r="D10" s="12">
        <v>768531318199</v>
      </c>
      <c r="E10" s="12">
        <v>1536976805338</v>
      </c>
      <c r="F10" s="12">
        <v>-7532765146</v>
      </c>
      <c r="G10">
        <f>IF(A10="","",[1]!s_dq_close("881001.wi",A10))</f>
        <v>4957.2275</v>
      </c>
    </row>
    <row r="11" spans="1:7">
      <c r="A11" s="4">
        <v>45042</v>
      </c>
      <c r="B11" s="12">
        <v>1624762686323</v>
      </c>
      <c r="C11" s="12">
        <v>858163837010</v>
      </c>
      <c r="D11" s="12">
        <v>766448138415</v>
      </c>
      <c r="E11" s="12">
        <v>1532127259523</v>
      </c>
      <c r="F11" s="12">
        <v>-4849545815</v>
      </c>
      <c r="G11">
        <f>IF(A11="","",[1]!s_dq_close("881001.wi",A11))</f>
        <v>4969.5352000000003</v>
      </c>
    </row>
    <row r="12" spans="1:7">
      <c r="A12" s="4">
        <v>45043</v>
      </c>
      <c r="B12" s="12">
        <v>1617063875864</v>
      </c>
      <c r="C12" s="12">
        <v>856717566573</v>
      </c>
      <c r="D12" s="12">
        <v>760191331024</v>
      </c>
      <c r="E12" s="12">
        <v>1524156060824</v>
      </c>
      <c r="F12" s="12">
        <v>-7971198699</v>
      </c>
      <c r="G12">
        <f>IF(A12="","",[1]!s_dq_close("881001.wi",A12))</f>
        <v>4986.0073000000002</v>
      </c>
    </row>
    <row r="13" spans="1:7">
      <c r="A13" s="4">
        <v>45044</v>
      </c>
      <c r="B13" s="12">
        <v>1607206635208</v>
      </c>
      <c r="C13" s="12">
        <v>851955976985</v>
      </c>
      <c r="D13" s="12">
        <v>755089698929</v>
      </c>
      <c r="E13" s="12">
        <v>1513916988627</v>
      </c>
      <c r="F13" s="12">
        <v>-10239072197</v>
      </c>
      <c r="G13">
        <f>IF(A13="","",[1]!s_dq_close("881001.wi",A13))</f>
        <v>5052.5780999999997</v>
      </c>
    </row>
    <row r="14" spans="1:7">
      <c r="A14" s="4">
        <v>45050</v>
      </c>
      <c r="B14" s="12">
        <v>1617537044961</v>
      </c>
      <c r="C14" s="12">
        <v>856677501623</v>
      </c>
      <c r="D14" s="12">
        <v>760701608415</v>
      </c>
      <c r="E14" s="12">
        <v>1524529118219</v>
      </c>
      <c r="F14" s="12">
        <v>10612129592</v>
      </c>
      <c r="G14">
        <f>IF(A14="","",[1]!s_dq_close("881001.wi",A14))</f>
        <v>5062.9556000000002</v>
      </c>
    </row>
    <row r="15" spans="1:7">
      <c r="A15" s="4">
        <v>45051</v>
      </c>
      <c r="B15" s="12">
        <v>1612641642075</v>
      </c>
      <c r="C15" s="12">
        <v>854266076187</v>
      </c>
      <c r="D15" s="12">
        <v>758212971099</v>
      </c>
      <c r="E15" s="12">
        <v>1520708752614</v>
      </c>
      <c r="F15" s="12">
        <v>-3820365605</v>
      </c>
      <c r="G15">
        <f>IF(A15="","",[1]!s_dq_close("881001.wi",A15))</f>
        <v>5028.9647999999997</v>
      </c>
    </row>
    <row r="16" spans="1:7">
      <c r="A16" s="4">
        <v>45054</v>
      </c>
      <c r="B16" s="12">
        <v>1619724680226</v>
      </c>
      <c r="C16" s="12">
        <v>860245549794</v>
      </c>
      <c r="D16" s="12">
        <v>759308442459</v>
      </c>
      <c r="E16" s="12">
        <v>1526390636383</v>
      </c>
      <c r="F16" s="12">
        <v>5681883769</v>
      </c>
      <c r="G16">
        <f>IF(A16="","",[1]!s_dq_close("881001.wi",A16))</f>
        <v>5075.4214000000002</v>
      </c>
    </row>
    <row r="17" spans="1:7">
      <c r="A17" s="4">
        <v>45055</v>
      </c>
      <c r="B17" s="12">
        <v>1620629798141</v>
      </c>
      <c r="C17" s="12">
        <v>862134440106</v>
      </c>
      <c r="D17" s="12">
        <v>758313885290</v>
      </c>
      <c r="E17" s="12">
        <v>1527848901983</v>
      </c>
      <c r="F17" s="12">
        <v>1458265600</v>
      </c>
      <c r="G17">
        <f>IF(A17="","",[1]!s_dq_close("881001.wi",A17))</f>
        <v>5016.6981999999998</v>
      </c>
    </row>
    <row r="18" spans="1:7">
      <c r="A18" s="4">
        <v>45056</v>
      </c>
      <c r="B18" s="12">
        <v>1621217068955</v>
      </c>
      <c r="C18" s="12">
        <v>863513498821</v>
      </c>
      <c r="D18" s="12">
        <v>757523224018</v>
      </c>
      <c r="E18" s="12">
        <v>1528306394810</v>
      </c>
      <c r="F18" s="12">
        <v>457492827</v>
      </c>
      <c r="G18">
        <f>IF(A18="","",[1]!s_dq_close("881001.wi",A18))</f>
        <v>5001.6328000000003</v>
      </c>
    </row>
    <row r="19" spans="1:7">
      <c r="A19" s="4">
        <v>45057</v>
      </c>
      <c r="B19" s="12">
        <v>1620383188284</v>
      </c>
      <c r="C19" s="12">
        <v>863087109135</v>
      </c>
      <c r="D19" s="12">
        <v>757108561687</v>
      </c>
      <c r="E19" s="12">
        <v>1527419389873</v>
      </c>
      <c r="F19" s="12">
        <v>-887004937</v>
      </c>
      <c r="G19">
        <f>IF(A19="","",[1]!s_dq_close("881001.wi",A19))</f>
        <v>5001.7709999999997</v>
      </c>
    </row>
    <row r="20" spans="1:7">
      <c r="A20" s="4">
        <v>45058</v>
      </c>
      <c r="B20" s="12">
        <v>1613820347019</v>
      </c>
      <c r="C20" s="12">
        <v>859550286049</v>
      </c>
      <c r="D20" s="12">
        <v>754086204783</v>
      </c>
      <c r="E20" s="12">
        <v>1521436588250</v>
      </c>
      <c r="F20" s="12">
        <v>-5982801623</v>
      </c>
      <c r="G20">
        <f>IF(A20="","",[1]!s_dq_close("881001.wi",A20))</f>
        <v>4940.9408999999996</v>
      </c>
    </row>
    <row r="21" spans="1:7">
      <c r="A21" s="4">
        <v>45061</v>
      </c>
      <c r="B21" s="12">
        <v>1617313320031</v>
      </c>
      <c r="C21" s="12">
        <v>861960611521</v>
      </c>
      <c r="D21" s="12">
        <v>755167534701</v>
      </c>
      <c r="E21" s="12">
        <v>1523557466870</v>
      </c>
      <c r="F21" s="12">
        <v>2120878620</v>
      </c>
      <c r="G21">
        <f>IF(A21="","",[1]!s_dq_close("881001.wi",A21))</f>
        <v>5000.9638999999997</v>
      </c>
    </row>
    <row r="22" spans="1:7">
      <c r="A22" s="4">
        <v>45062</v>
      </c>
      <c r="B22" s="12">
        <v>1616322677591</v>
      </c>
      <c r="C22" s="12">
        <v>860904342561</v>
      </c>
      <c r="D22" s="12">
        <v>755231511756</v>
      </c>
      <c r="E22" s="12">
        <v>1522123603944</v>
      </c>
      <c r="F22" s="12">
        <v>-1433862926</v>
      </c>
      <c r="G22">
        <f>IF(A22="","",[1]!s_dq_close("881001.wi",A22))</f>
        <v>4967.1592000000001</v>
      </c>
    </row>
    <row r="23" spans="1:7">
      <c r="A23" s="4">
        <v>45063</v>
      </c>
      <c r="B23" s="12">
        <v>1616796748357</v>
      </c>
      <c r="C23" s="12">
        <v>861070584202</v>
      </c>
      <c r="D23" s="12">
        <v>755543629555</v>
      </c>
      <c r="E23" s="12">
        <v>1523167782060</v>
      </c>
      <c r="F23" s="12">
        <v>1044178116</v>
      </c>
      <c r="G23">
        <f>IF(A23="","",[1]!s_dq_close("881001.wi",A23))</f>
        <v>4972.2548999999999</v>
      </c>
    </row>
    <row r="24" spans="1:7">
      <c r="A24" s="4">
        <v>45064</v>
      </c>
      <c r="B24" s="12">
        <v>1620864115423</v>
      </c>
      <c r="C24" s="12">
        <v>862495571165</v>
      </c>
      <c r="D24" s="12">
        <v>758179321217</v>
      </c>
      <c r="E24" s="12">
        <v>1526668765717</v>
      </c>
      <c r="F24" s="12">
        <v>3500983657</v>
      </c>
      <c r="G24">
        <f>IF(A24="","",[1]!s_dq_close("881001.wi",A24))</f>
        <v>4981.4027999999998</v>
      </c>
    </row>
    <row r="25" spans="1:7">
      <c r="A25" s="4">
        <v>45065</v>
      </c>
      <c r="B25" s="12">
        <v>1616398819978</v>
      </c>
      <c r="C25" s="12">
        <v>861045196379</v>
      </c>
      <c r="D25" s="12">
        <v>755158153477</v>
      </c>
      <c r="E25" s="12">
        <v>1522361316273</v>
      </c>
      <c r="F25" s="12">
        <v>-4307449444</v>
      </c>
      <c r="G25">
        <f>IF(A25="","",[1]!s_dq_close("881001.wi",A25))</f>
        <v>4976.5043999999998</v>
      </c>
    </row>
    <row r="26" spans="1:7">
      <c r="A26" s="4">
        <v>45068</v>
      </c>
      <c r="B26" s="12">
        <v>1615121115891</v>
      </c>
      <c r="C26" s="12">
        <v>859685112541</v>
      </c>
      <c r="D26" s="12">
        <v>755241881296</v>
      </c>
      <c r="E26" s="12">
        <v>1521512300383</v>
      </c>
      <c r="F26" s="12">
        <v>-849015890</v>
      </c>
      <c r="G26">
        <f>IF(A26="","",[1]!s_dq_close("881001.wi",A26))</f>
        <v>4994.7191999999995</v>
      </c>
    </row>
    <row r="27" spans="1:7">
      <c r="A27" s="4">
        <v>45069</v>
      </c>
      <c r="B27" s="12">
        <v>1611223326648</v>
      </c>
      <c r="C27" s="12">
        <v>857779348946</v>
      </c>
      <c r="D27" s="12">
        <v>753246965902</v>
      </c>
      <c r="E27" s="12">
        <v>1519270384178</v>
      </c>
      <c r="F27" s="12">
        <v>-2241916205</v>
      </c>
      <c r="G27">
        <f>IF(A27="","",[1]!s_dq_close("881001.wi",A27))</f>
        <v>4934.4032999999999</v>
      </c>
    </row>
    <row r="28" spans="1:7">
      <c r="A28" s="4">
        <v>45070</v>
      </c>
      <c r="B28" s="12">
        <v>1611719934995</v>
      </c>
      <c r="C28" s="12">
        <v>858338201126</v>
      </c>
      <c r="D28" s="12">
        <v>753186672131</v>
      </c>
      <c r="E28" s="12">
        <v>1520165245785</v>
      </c>
      <c r="F28" s="12">
        <v>894861607</v>
      </c>
      <c r="G28">
        <f>IF(A28="","",[1]!s_dq_close("881001.wi",A28))</f>
        <v>4895.5995999999996</v>
      </c>
    </row>
    <row r="29" spans="1:7">
      <c r="A29" s="4">
        <v>45071</v>
      </c>
      <c r="B29" s="12">
        <v>1610616856107</v>
      </c>
      <c r="C29" s="12">
        <v>858339248147</v>
      </c>
      <c r="D29" s="12">
        <v>752079999174</v>
      </c>
      <c r="E29" s="12">
        <v>1519214905990</v>
      </c>
      <c r="F29" s="12">
        <v>-950339795</v>
      </c>
      <c r="G29">
        <f>IF(A29="","",[1]!s_dq_close("881001.wi",A29))</f>
        <v>4887.8315000000002</v>
      </c>
    </row>
    <row r="30" spans="1:7">
      <c r="A30" s="4">
        <v>45072</v>
      </c>
      <c r="B30" s="12">
        <v>1609312736460</v>
      </c>
      <c r="C30" s="12">
        <v>857007186383</v>
      </c>
      <c r="D30" s="12">
        <v>752100905058</v>
      </c>
      <c r="E30" s="12">
        <v>1516441834396</v>
      </c>
      <c r="F30" s="12">
        <v>-2773071594</v>
      </c>
      <c r="G30">
        <f>IF(A30="","",[1]!s_dq_close("881001.wi",A30))</f>
        <v>4906.4921999999997</v>
      </c>
    </row>
    <row r="31" spans="1:7">
      <c r="A31" s="4">
        <v>45075</v>
      </c>
      <c r="B31" s="12">
        <v>1611148592945</v>
      </c>
      <c r="C31" s="12">
        <v>856971464687</v>
      </c>
      <c r="D31" s="12">
        <v>753970432781</v>
      </c>
      <c r="E31" s="12">
        <v>1517882959584</v>
      </c>
      <c r="F31" s="12">
        <v>1441125188</v>
      </c>
      <c r="G31">
        <f>IF(A31="","",[1]!s_dq_close("881001.wi",A31))</f>
        <v>4891.3950000000004</v>
      </c>
    </row>
    <row r="32" spans="1:7">
      <c r="A32" s="4">
        <v>45076</v>
      </c>
      <c r="B32" s="12">
        <v>1612157339296</v>
      </c>
      <c r="C32" s="12">
        <v>857480588891</v>
      </c>
      <c r="D32" s="12">
        <v>754461701958</v>
      </c>
      <c r="E32" s="12">
        <v>1517372204320</v>
      </c>
      <c r="F32" s="12">
        <v>-510755264</v>
      </c>
      <c r="G32">
        <f>IF(A32="","",[1]!s_dq_close("881001.wi",A32))</f>
        <v>4907.7236000000003</v>
      </c>
    </row>
    <row r="33" spans="1:7">
      <c r="A33" s="4">
        <v>45077</v>
      </c>
      <c r="B33" s="12">
        <v>1613415593479</v>
      </c>
      <c r="C33" s="12">
        <v>857725483469</v>
      </c>
      <c r="D33" s="12">
        <v>755474334759</v>
      </c>
      <c r="E33" s="12">
        <v>1518902486544</v>
      </c>
      <c r="F33" s="12">
        <v>1530282224</v>
      </c>
      <c r="G33">
        <f>IF(A33="","",[1]!s_dq_close("881001.wi",A33))</f>
        <v>4885.2329</v>
      </c>
    </row>
    <row r="34" spans="1:7">
      <c r="A34" s="4">
        <v>45078</v>
      </c>
      <c r="B34" s="12">
        <v>1614037806111</v>
      </c>
      <c r="C34" s="12">
        <v>858330817156</v>
      </c>
      <c r="D34" s="12">
        <v>755499447932</v>
      </c>
      <c r="E34" s="12">
        <v>1519630679876</v>
      </c>
      <c r="F34" s="12">
        <v>728193332</v>
      </c>
      <c r="G34">
        <f>IF(A34="","",[1]!s_dq_close("881001.wi",A34))</f>
        <v>4896.4546</v>
      </c>
    </row>
    <row r="35" spans="1:7">
      <c r="A35" s="4">
        <v>45079</v>
      </c>
      <c r="B35" s="12">
        <v>1608377200228</v>
      </c>
      <c r="C35" s="12">
        <v>855259863769</v>
      </c>
      <c r="D35" s="12">
        <v>752917411144</v>
      </c>
      <c r="E35" s="12">
        <v>1514702087093</v>
      </c>
      <c r="F35" s="12">
        <v>-4928592783</v>
      </c>
      <c r="G35">
        <f>IF(A35="","",[1]!s_dq_close("881001.wi",A35))</f>
        <v>4949.2451000000001</v>
      </c>
    </row>
    <row r="36" spans="1:7">
      <c r="A36" s="4">
        <v>45082</v>
      </c>
      <c r="B36" s="12">
        <v>1610173429478</v>
      </c>
      <c r="C36" s="12">
        <v>856280880670</v>
      </c>
      <c r="D36" s="12">
        <v>753685415487</v>
      </c>
      <c r="E36" s="12">
        <v>1517116420106</v>
      </c>
      <c r="F36" s="12">
        <v>2414333013</v>
      </c>
      <c r="G36">
        <f>IF(A36="","",[1]!s_dq_close("881001.wi",A36))</f>
        <v>4944.3584000000001</v>
      </c>
    </row>
    <row r="37" spans="1:7">
      <c r="A37" s="4">
        <v>45083</v>
      </c>
      <c r="B37" s="12">
        <v>1603517207984</v>
      </c>
      <c r="C37" s="12">
        <v>853052483470</v>
      </c>
      <c r="D37" s="12">
        <v>750258836036</v>
      </c>
      <c r="E37" s="12">
        <v>1513462717267</v>
      </c>
      <c r="F37" s="12">
        <v>-3653702839</v>
      </c>
      <c r="G37">
        <f>IF(A37="","",[1]!s_dq_close("881001.wi",A37))</f>
        <v>4870.2978999999996</v>
      </c>
    </row>
    <row r="38" spans="1:7">
      <c r="A38" s="4">
        <v>45084</v>
      </c>
      <c r="B38" s="12">
        <v>1603036332639</v>
      </c>
      <c r="C38" s="12">
        <v>851971846765</v>
      </c>
      <c r="D38" s="12">
        <v>750855991995</v>
      </c>
      <c r="E38" s="12">
        <v>1513682566855</v>
      </c>
      <c r="F38" s="12">
        <v>219849588</v>
      </c>
      <c r="G38">
        <f>IF(A38="","",[1]!s_dq_close("881001.wi",A38))</f>
        <v>4868.1655000000001</v>
      </c>
    </row>
    <row r="39" spans="1:7">
      <c r="A39" s="4">
        <v>45085</v>
      </c>
      <c r="B39" s="12">
        <v>1600030537146</v>
      </c>
      <c r="C39" s="12">
        <v>850351912526</v>
      </c>
      <c r="D39" s="12">
        <v>749474284097</v>
      </c>
      <c r="E39" s="12">
        <v>1511399933598</v>
      </c>
      <c r="F39" s="12">
        <v>-2282633257</v>
      </c>
      <c r="G39">
        <f>IF(A39="","",[1]!s_dq_close("881001.wi",A39))</f>
        <v>4872.3535000000002</v>
      </c>
    </row>
    <row r="40" spans="1:7">
      <c r="A40" s="4">
        <v>45086</v>
      </c>
      <c r="B40" s="12">
        <v>1599224331248</v>
      </c>
      <c r="C40" s="12">
        <v>849301051591</v>
      </c>
      <c r="D40" s="12">
        <v>749726904623</v>
      </c>
      <c r="E40" s="12">
        <v>1508988367028</v>
      </c>
      <c r="F40" s="12">
        <v>-2411566570</v>
      </c>
      <c r="G40">
        <f>IF(A40="","",[1]!s_dq_close("881001.wi",A40))</f>
        <v>4905.0731999999998</v>
      </c>
    </row>
    <row r="41" spans="1:7">
      <c r="A41" s="4">
        <v>45089</v>
      </c>
      <c r="B41" s="12">
        <v>1601929634083</v>
      </c>
      <c r="C41" s="12">
        <v>850642437167</v>
      </c>
      <c r="D41" s="12">
        <v>751079682679</v>
      </c>
      <c r="E41" s="12">
        <v>1512200611307</v>
      </c>
      <c r="F41" s="12">
        <v>3212244279</v>
      </c>
      <c r="G41">
        <f>IF(A41="","",[1]!s_dq_close("881001.wi",A41))</f>
        <v>4922.6625999999997</v>
      </c>
    </row>
    <row r="42" spans="1:7">
      <c r="A42" s="4">
        <v>45090</v>
      </c>
      <c r="B42" s="12">
        <v>1602703570032</v>
      </c>
      <c r="C42" s="12">
        <v>850639604999</v>
      </c>
      <c r="D42" s="12">
        <v>751857500624</v>
      </c>
      <c r="E42" s="12">
        <v>1511876357864</v>
      </c>
      <c r="F42" s="12">
        <v>-324253443</v>
      </c>
      <c r="G42">
        <f>IF(A42="","",[1]!s_dq_close("881001.wi",A42))</f>
        <v>4946.5438999999997</v>
      </c>
    </row>
    <row r="43" spans="1:7">
      <c r="A43" s="4">
        <v>45091</v>
      </c>
      <c r="B43" s="12">
        <v>1602926017457</v>
      </c>
      <c r="C43" s="12">
        <v>851046333794</v>
      </c>
      <c r="D43" s="12">
        <v>751673453428</v>
      </c>
      <c r="E43" s="12">
        <v>1510765165495</v>
      </c>
      <c r="F43" s="12">
        <v>-1111192369</v>
      </c>
      <c r="G43">
        <f>IF(A43="","",[1]!s_dq_close("881001.wi",A43))</f>
        <v>4954.2358000000004</v>
      </c>
    </row>
    <row r="44" spans="1:7">
      <c r="A44" s="4">
        <v>45092</v>
      </c>
      <c r="B44" s="12">
        <v>1603830939723</v>
      </c>
      <c r="C44" s="12">
        <v>851336153711</v>
      </c>
      <c r="D44" s="12">
        <v>752288455490</v>
      </c>
      <c r="E44" s="12">
        <v>1510024012704</v>
      </c>
      <c r="F44" s="12">
        <v>-741152791</v>
      </c>
      <c r="G44">
        <f>IF(A44="","",[1]!s_dq_close("881001.wi",A44))</f>
        <v>5006.3383999999996</v>
      </c>
    </row>
    <row r="45" spans="1:7">
      <c r="A45" s="4">
        <v>45093</v>
      </c>
      <c r="B45" s="12">
        <v>1603597610417</v>
      </c>
      <c r="C45" s="12">
        <v>851027942398</v>
      </c>
      <c r="D45" s="12">
        <v>752368049548</v>
      </c>
      <c r="E45" s="12">
        <v>1507280290692</v>
      </c>
      <c r="F45" s="12">
        <v>-2743722012</v>
      </c>
      <c r="G45">
        <f>IF(A45="","",[1]!s_dq_close("881001.wi",A45))</f>
        <v>5052.0853999999999</v>
      </c>
    </row>
    <row r="46" spans="1:7">
      <c r="A46" s="4">
        <v>45096</v>
      </c>
      <c r="B46" s="12">
        <v>1610347152055</v>
      </c>
      <c r="C46" s="12">
        <v>852284501340</v>
      </c>
      <c r="D46" s="12">
        <v>757854817042</v>
      </c>
      <c r="E46" s="12">
        <v>1513484606574</v>
      </c>
      <c r="F46" s="12">
        <v>6204315882</v>
      </c>
      <c r="G46">
        <f>IF(A46="","",[1]!s_dq_close("881001.wi",A46))</f>
        <v>5039.2021000000004</v>
      </c>
    </row>
    <row r="47" spans="1:7">
      <c r="A47" s="4">
        <v>45097</v>
      </c>
      <c r="B47" s="12">
        <v>1613983548881</v>
      </c>
      <c r="C47" s="12">
        <v>853412548158</v>
      </c>
      <c r="D47" s="12">
        <v>760361894640</v>
      </c>
      <c r="E47" s="12">
        <v>1516479060673</v>
      </c>
      <c r="F47" s="12">
        <v>2994454099</v>
      </c>
      <c r="G47">
        <f>IF(A47="","",[1]!s_dq_close("881001.wi",A47))</f>
        <v>5031.3608000000004</v>
      </c>
    </row>
    <row r="48" spans="1:7">
      <c r="A48" s="4">
        <v>45098</v>
      </c>
      <c r="B48" s="12">
        <v>1601579106296</v>
      </c>
      <c r="C48" s="12">
        <v>847136562984</v>
      </c>
      <c r="D48" s="12">
        <v>754241095230</v>
      </c>
      <c r="E48" s="12">
        <v>1507358560331</v>
      </c>
      <c r="F48" s="12">
        <v>-9120500342</v>
      </c>
      <c r="G48">
        <f>IF(A48="","",[1]!s_dq_close("881001.wi",A48))</f>
        <v>4944.4326000000001</v>
      </c>
    </row>
    <row r="49" spans="1:7">
      <c r="A49" s="4">
        <v>45103</v>
      </c>
      <c r="B49" s="12">
        <v>1596353815755</v>
      </c>
      <c r="C49" s="12">
        <v>846262788249</v>
      </c>
      <c r="D49" s="12">
        <v>749898031657</v>
      </c>
      <c r="E49" s="12">
        <v>1505516517079</v>
      </c>
      <c r="F49" s="12">
        <v>-1842043252</v>
      </c>
      <c r="G49">
        <f>IF(A49="","",[1]!s_dq_close("881001.wi",A49))</f>
        <v>4861.9678000000004</v>
      </c>
    </row>
    <row r="50" spans="1:7">
      <c r="A50" s="4">
        <v>45104</v>
      </c>
      <c r="B50" s="12">
        <v>1595745391839</v>
      </c>
      <c r="C50" s="12">
        <v>846375984334</v>
      </c>
      <c r="D50" s="12">
        <v>749174104314</v>
      </c>
      <c r="E50" s="12">
        <v>1504720404001</v>
      </c>
      <c r="F50" s="12">
        <v>-796113078</v>
      </c>
      <c r="G50">
        <f>IF(A50="","",[1]!s_dq_close("881001.wi",A50))</f>
        <v>4921.6782000000003</v>
      </c>
    </row>
    <row r="51" spans="1:7">
      <c r="A51" s="4">
        <v>45105</v>
      </c>
      <c r="B51" s="12">
        <v>1590714250736</v>
      </c>
      <c r="C51" s="12">
        <v>845455555397</v>
      </c>
      <c r="D51" s="12">
        <v>745062865462</v>
      </c>
      <c r="E51" s="12">
        <v>1500202097785</v>
      </c>
      <c r="F51" s="12">
        <v>-4518306216</v>
      </c>
      <c r="G51">
        <f>IF(A51="","",[1]!s_dq_close("881001.wi",A51))</f>
        <v>4911.1405999999997</v>
      </c>
    </row>
    <row r="52" spans="1:7">
      <c r="A52" s="4">
        <v>45106</v>
      </c>
      <c r="B52" s="12">
        <v>1592512864632</v>
      </c>
      <c r="C52" s="12">
        <v>846075858242</v>
      </c>
      <c r="D52" s="12">
        <v>746235123657</v>
      </c>
      <c r="E52" s="12">
        <v>1501047980334</v>
      </c>
      <c r="F52" s="12">
        <v>845882549</v>
      </c>
      <c r="G52">
        <f>IF(A52="","",[1]!s_dq_close("881001.wi",A52))</f>
        <v>4916.1630999999998</v>
      </c>
    </row>
    <row r="53" spans="1:7">
      <c r="A53" s="4">
        <v>45107</v>
      </c>
      <c r="B53" s="12">
        <v>1588497504429</v>
      </c>
      <c r="C53" s="12">
        <v>843758547560</v>
      </c>
      <c r="D53" s="12">
        <v>744528760356</v>
      </c>
      <c r="E53" s="12">
        <v>1495500256196</v>
      </c>
      <c r="F53" s="12">
        <v>-5547724138</v>
      </c>
      <c r="G53">
        <f>IF(A53="","",[1]!s_dq_close("881001.wi",A53))</f>
        <v>4962.3573999999999</v>
      </c>
    </row>
    <row r="54" spans="1:7">
      <c r="A54" s="4">
        <v>45110</v>
      </c>
      <c r="B54" s="12">
        <v>1591791776527</v>
      </c>
      <c r="C54" s="12">
        <v>844693165463</v>
      </c>
      <c r="D54" s="12">
        <v>746884598202</v>
      </c>
      <c r="E54" s="12">
        <v>1498460492131</v>
      </c>
      <c r="F54" s="12">
        <v>2960235935</v>
      </c>
      <c r="G54">
        <f>IF(A54="","",[1]!s_dq_close("881001.wi",A54))</f>
        <v>5004.4282000000003</v>
      </c>
    </row>
    <row r="55" spans="1:7">
      <c r="A55" s="4">
        <v>45111</v>
      </c>
      <c r="B55" s="12">
        <v>1595445332924</v>
      </c>
      <c r="C55" s="12">
        <v>845705233243</v>
      </c>
      <c r="D55" s="12">
        <v>749522361252</v>
      </c>
      <c r="E55" s="12">
        <v>1500782330534</v>
      </c>
      <c r="F55" s="12">
        <v>2321838403</v>
      </c>
      <c r="G55">
        <f>IF(A55="","",[1]!s_dq_close("881001.wi",A55))</f>
        <v>5018.9712</v>
      </c>
    </row>
    <row r="56" spans="1:7">
      <c r="A56" s="4">
        <v>45112</v>
      </c>
      <c r="B56" s="12">
        <v>1596514255827</v>
      </c>
      <c r="C56" s="12">
        <v>846273454185</v>
      </c>
      <c r="D56" s="12">
        <v>750023981391</v>
      </c>
      <c r="E56" s="12">
        <v>1501714685030</v>
      </c>
      <c r="F56" s="12">
        <v>932354496</v>
      </c>
      <c r="G56">
        <f>IF(A56="","",[1]!s_dq_close("881001.wi",A56))</f>
        <v>4982.9170000000004</v>
      </c>
    </row>
    <row r="57" spans="1:7">
      <c r="A57" s="4">
        <v>45113</v>
      </c>
      <c r="B57" s="12">
        <v>1597616130201</v>
      </c>
      <c r="C57" s="12">
        <v>846358239040</v>
      </c>
      <c r="D57" s="12">
        <v>751038187008</v>
      </c>
      <c r="E57" s="12">
        <v>1502539155446</v>
      </c>
      <c r="F57" s="12">
        <v>824470416</v>
      </c>
      <c r="G57">
        <f>IF(A57="","",[1]!s_dq_close("881001.wi",A57))</f>
        <v>4963.0649000000003</v>
      </c>
    </row>
    <row r="58" spans="1:7">
      <c r="A58" s="4">
        <v>45114</v>
      </c>
      <c r="B58" s="12">
        <v>1592599162960</v>
      </c>
      <c r="C58" s="12">
        <v>844192519769</v>
      </c>
      <c r="D58" s="12">
        <v>748187316404</v>
      </c>
      <c r="E58" s="12">
        <v>1498327156797</v>
      </c>
      <c r="F58" s="12">
        <v>-4211998649</v>
      </c>
      <c r="G58">
        <f>IF(A58="","",[1]!s_dq_close("881001.wi",A58))</f>
        <v>4937.8364000000001</v>
      </c>
    </row>
    <row r="59" spans="1:7">
      <c r="A59" s="4">
        <v>45117</v>
      </c>
      <c r="B59" s="12">
        <v>1593080654033</v>
      </c>
      <c r="C59" s="12">
        <v>844559705386</v>
      </c>
      <c r="D59" s="12">
        <v>748300689227</v>
      </c>
      <c r="E59" s="12">
        <v>1498992423608</v>
      </c>
      <c r="F59" s="12">
        <v>665266811</v>
      </c>
      <c r="G59">
        <f>IF(A59="","",[1]!s_dq_close("881001.wi",A59))</f>
        <v>4951.7686000000003</v>
      </c>
    </row>
    <row r="60" spans="1:7">
      <c r="A60" s="4">
        <v>45118</v>
      </c>
      <c r="B60" s="12">
        <v>1593792740289</v>
      </c>
      <c r="C60" s="12">
        <v>844244024784</v>
      </c>
      <c r="D60" s="12">
        <v>749331852196</v>
      </c>
      <c r="E60" s="12">
        <v>1499343077046</v>
      </c>
      <c r="F60" s="12">
        <v>350653438</v>
      </c>
      <c r="G60">
        <f>IF(A60="","",[1]!s_dq_close("881001.wi",A60))</f>
        <v>4987.5083000000004</v>
      </c>
    </row>
    <row r="61" spans="1:7">
      <c r="A61" s="4">
        <v>45119</v>
      </c>
      <c r="B61" s="12">
        <v>1589762637947</v>
      </c>
      <c r="C61" s="12">
        <v>841925221144</v>
      </c>
      <c r="D61" s="12">
        <v>747624871525</v>
      </c>
      <c r="E61" s="12">
        <v>1496526651210</v>
      </c>
      <c r="F61" s="12">
        <v>-2816425836</v>
      </c>
      <c r="G61">
        <f>IF(A61="","",[1]!s_dq_close("881001.wi",A61))</f>
        <v>4939.9315999999999</v>
      </c>
    </row>
    <row r="62" spans="1:7">
      <c r="A62" s="4">
        <v>45120</v>
      </c>
      <c r="B62" s="12">
        <v>1589042371312</v>
      </c>
      <c r="C62" s="12">
        <v>840557707129</v>
      </c>
      <c r="D62" s="12">
        <v>748272798645</v>
      </c>
      <c r="E62" s="12">
        <v>1494789324290</v>
      </c>
      <c r="F62" s="12">
        <v>-1737326920</v>
      </c>
      <c r="G62">
        <f>IF(A62="","",[1]!s_dq_close("881001.wi",A62))</f>
        <v>5006.6826000000001</v>
      </c>
    </row>
    <row r="63" spans="1:7">
      <c r="A63" s="4">
        <v>45121</v>
      </c>
      <c r="B63" s="12">
        <v>1588096728312</v>
      </c>
      <c r="C63" s="12">
        <v>839045943232</v>
      </c>
      <c r="D63" s="12">
        <v>748841829765</v>
      </c>
      <c r="E63" s="12">
        <v>1493358020678</v>
      </c>
      <c r="F63" s="12">
        <v>-1431303612</v>
      </c>
      <c r="G63">
        <f>IF(A63="","",[1]!s_dq_close("881001.wi",A63))</f>
        <v>5006.9862999999996</v>
      </c>
    </row>
    <row r="64" spans="1:7">
      <c r="A64" s="4">
        <v>45124</v>
      </c>
      <c r="B64" s="12">
        <v>1589324416071</v>
      </c>
      <c r="C64" s="12">
        <v>838723908649</v>
      </c>
      <c r="D64" s="12">
        <v>750388494773</v>
      </c>
      <c r="E64" s="12">
        <v>1495578219511</v>
      </c>
      <c r="F64" s="12">
        <v>2220198833</v>
      </c>
      <c r="G64">
        <f>IF(A64="","",[1]!s_dq_close("881001.wi",A64))</f>
        <v>4982.6166999999996</v>
      </c>
    </row>
    <row r="65" spans="1:7">
      <c r="A65" s="4">
        <v>45125</v>
      </c>
      <c r="B65" s="12">
        <v>1588980170988</v>
      </c>
      <c r="C65" s="12">
        <v>838124666264</v>
      </c>
      <c r="D65" s="12">
        <v>750641600278</v>
      </c>
      <c r="E65" s="12">
        <v>1495693739475</v>
      </c>
      <c r="F65" s="12">
        <v>115519964</v>
      </c>
      <c r="G65">
        <f>IF(A65="","",[1]!s_dq_close("881001.wi",A65))</f>
        <v>4972.5068000000001</v>
      </c>
    </row>
    <row r="66" spans="1:7">
      <c r="A66" s="4">
        <v>45126</v>
      </c>
      <c r="B66" s="12">
        <v>1588881686747</v>
      </c>
      <c r="C66" s="12">
        <v>838253660711</v>
      </c>
      <c r="D66" s="12">
        <v>750413282446</v>
      </c>
      <c r="E66" s="12">
        <v>1495871966751</v>
      </c>
      <c r="F66" s="12">
        <v>178227276</v>
      </c>
      <c r="G66">
        <f>IF(A66="","",[1]!s_dq_close("881001.wi",A66))</f>
        <v>4965.7075000000004</v>
      </c>
    </row>
    <row r="67" spans="1:7">
      <c r="A67" s="4">
        <v>45127</v>
      </c>
      <c r="B67" s="12">
        <v>1582102363006</v>
      </c>
      <c r="C67" s="12">
        <v>835137234770</v>
      </c>
      <c r="D67" s="12">
        <v>746747379638</v>
      </c>
      <c r="E67" s="12">
        <v>1490792912237</v>
      </c>
      <c r="F67" s="12">
        <v>-5079054514</v>
      </c>
      <c r="G67">
        <f>IF(A67="","",[1]!s_dq_close("881001.wi",A67))</f>
        <v>4917.6475</v>
      </c>
    </row>
    <row r="68" spans="1:7">
      <c r="A68" s="4">
        <v>45128</v>
      </c>
      <c r="B68" s="12">
        <v>1575986932668</v>
      </c>
      <c r="C68" s="12">
        <v>832556557799</v>
      </c>
      <c r="D68" s="12">
        <v>743213562846</v>
      </c>
      <c r="E68" s="12">
        <v>1485586705452</v>
      </c>
      <c r="F68" s="12">
        <v>-5206206785</v>
      </c>
      <c r="G68">
        <f>IF(A68="","",[1]!s_dq_close("881001.wi",A68))</f>
        <v>4912.9603999999999</v>
      </c>
    </row>
    <row r="69" spans="1:7">
      <c r="A69" s="4">
        <v>45131</v>
      </c>
      <c r="B69" s="12">
        <v>1575505114134</v>
      </c>
      <c r="C69" s="12">
        <v>831097253857</v>
      </c>
      <c r="D69" s="12">
        <v>744191461177</v>
      </c>
      <c r="E69" s="12">
        <v>1485519158074</v>
      </c>
      <c r="F69" s="12">
        <v>-67547378</v>
      </c>
      <c r="G69">
        <f>IF(A69="","",[1]!s_dq_close("881001.wi",A69))</f>
        <v>4900.5581000000002</v>
      </c>
    </row>
    <row r="70" spans="1:7">
      <c r="A70" s="4">
        <v>45132</v>
      </c>
      <c r="B70" s="12">
        <v>1577342864020</v>
      </c>
      <c r="C70" s="12">
        <v>832098312207</v>
      </c>
      <c r="D70" s="12">
        <v>745024228853</v>
      </c>
      <c r="E70" s="12">
        <v>1485116617690</v>
      </c>
      <c r="F70" s="12">
        <v>-402540384</v>
      </c>
      <c r="G70">
        <f>IF(A70="","",[1]!s_dq_close("881001.wi",A70))</f>
        <v>5008.3104999999996</v>
      </c>
    </row>
    <row r="71" spans="1:7">
      <c r="A71" s="4">
        <v>45133</v>
      </c>
      <c r="B71" s="12">
        <v>1575658318129</v>
      </c>
      <c r="C71" s="12">
        <v>831898985597</v>
      </c>
      <c r="D71" s="12">
        <v>743550964205</v>
      </c>
      <c r="E71" s="12">
        <v>1483761899425</v>
      </c>
      <c r="F71" s="12">
        <v>-1354718265</v>
      </c>
      <c r="G71">
        <f>IF(A71="","",[1]!s_dq_close("881001.wi",A71))</f>
        <v>4990.0717999999997</v>
      </c>
    </row>
    <row r="72" spans="1:7">
      <c r="A72" s="4">
        <v>45134</v>
      </c>
      <c r="B72" s="12">
        <v>1573672714602</v>
      </c>
      <c r="C72" s="12">
        <v>831512393831</v>
      </c>
      <c r="D72" s="12">
        <v>741952490849</v>
      </c>
      <c r="E72" s="12">
        <v>1482351816408</v>
      </c>
      <c r="F72" s="12">
        <v>-1410083017</v>
      </c>
      <c r="G72">
        <f>IF(A72="","",[1]!s_dq_close("881001.wi",A72))</f>
        <v>4969.0811000000003</v>
      </c>
    </row>
    <row r="73" spans="1:7">
      <c r="A73" s="4">
        <v>45135</v>
      </c>
      <c r="B73" s="12">
        <v>1572193226906</v>
      </c>
      <c r="C73" s="12">
        <v>831933939080</v>
      </c>
      <c r="D73" s="12">
        <v>740052915952</v>
      </c>
      <c r="E73" s="12">
        <v>1479230848880</v>
      </c>
      <c r="F73" s="12">
        <v>-3120967528</v>
      </c>
      <c r="G73">
        <f>IF(A73="","",[1]!s_dq_close("881001.wi",A73))</f>
        <v>5048.4375</v>
      </c>
    </row>
    <row r="74" spans="1:7">
      <c r="A74" s="4">
        <v>45138</v>
      </c>
      <c r="B74" s="12">
        <v>1579560724272</v>
      </c>
      <c r="C74" s="12">
        <v>837176179801</v>
      </c>
      <c r="D74" s="12">
        <v>742176834099</v>
      </c>
      <c r="E74" s="12">
        <v>1486278846518</v>
      </c>
      <c r="F74" s="12">
        <v>7047997638</v>
      </c>
      <c r="G74">
        <f>IF(A74="","",[1]!s_dq_close("881001.wi",A74))</f>
        <v>5085.0405000000001</v>
      </c>
    </row>
    <row r="75" spans="1:7">
      <c r="A75" s="4">
        <v>45139</v>
      </c>
      <c r="B75" s="12">
        <v>1581705849375</v>
      </c>
      <c r="C75" s="12">
        <v>838499195850</v>
      </c>
      <c r="D75" s="12">
        <v>743001231325</v>
      </c>
      <c r="E75" s="12">
        <v>1488104216852</v>
      </c>
      <c r="F75" s="12">
        <v>1825370334</v>
      </c>
      <c r="G75">
        <f>IF(A75="","",[1]!s_dq_close("881001.wi",A75))</f>
        <v>5075.3325000000004</v>
      </c>
    </row>
    <row r="76" spans="1:7">
      <c r="A76" s="4">
        <v>45140</v>
      </c>
      <c r="B76" s="12">
        <v>1584412192146</v>
      </c>
      <c r="C76" s="12">
        <v>840518642245</v>
      </c>
      <c r="D76" s="12">
        <v>743688106184</v>
      </c>
      <c r="E76" s="12">
        <v>1491088014033</v>
      </c>
      <c r="F76" s="12">
        <v>2983797181</v>
      </c>
      <c r="G76">
        <f>IF(A76="","",[1]!s_dq_close("881001.wi",A76))</f>
        <v>5053.1904000000004</v>
      </c>
    </row>
    <row r="77" spans="1:7">
      <c r="A77" s="4">
        <v>45141</v>
      </c>
      <c r="B77" s="12">
        <v>1587468492727</v>
      </c>
      <c r="C77" s="12">
        <v>843002018475</v>
      </c>
      <c r="D77" s="12">
        <v>744264485886</v>
      </c>
      <c r="E77" s="12">
        <v>1492768688400</v>
      </c>
      <c r="F77" s="12">
        <v>1680674367</v>
      </c>
      <c r="G77">
        <f>IF(A77="","",[1]!s_dq_close("881001.wi",A77))</f>
        <v>5076.4502000000002</v>
      </c>
    </row>
    <row r="78" spans="1:7">
      <c r="A78" s="4">
        <v>45142</v>
      </c>
      <c r="B78" s="12">
        <v>1589486196199</v>
      </c>
      <c r="C78" s="12">
        <v>844325745809</v>
      </c>
      <c r="D78" s="12">
        <v>744958147415</v>
      </c>
      <c r="E78" s="12">
        <v>1493296426303</v>
      </c>
      <c r="F78" s="12">
        <v>527737903</v>
      </c>
      <c r="G78">
        <f>IF(A78="","",[1]!s_dq_close("881001.wi",A78))</f>
        <v>5095.1532999999999</v>
      </c>
    </row>
    <row r="79" spans="1:7">
      <c r="A79" s="4">
        <v>45145</v>
      </c>
      <c r="B79" s="12">
        <v>1593880309619</v>
      </c>
      <c r="C79" s="12">
        <v>845776670843</v>
      </c>
      <c r="D79" s="12">
        <v>747899140654</v>
      </c>
      <c r="E79" s="12">
        <v>1498771558756</v>
      </c>
      <c r="F79" s="12">
        <v>5475132453</v>
      </c>
      <c r="G79">
        <f>IF(A79="","",[1]!s_dq_close("881001.wi",A79))</f>
        <v>5061.7344000000003</v>
      </c>
    </row>
    <row r="80" spans="1:7">
      <c r="A80" s="4">
        <v>45146</v>
      </c>
      <c r="B80" s="12">
        <v>1593326452848</v>
      </c>
      <c r="C80" s="12">
        <v>845906818194</v>
      </c>
      <c r="D80" s="12">
        <v>747214212328</v>
      </c>
      <c r="E80" s="12">
        <v>1498718634281</v>
      </c>
      <c r="F80" s="12">
        <v>-52924475</v>
      </c>
      <c r="G80">
        <f>IF(A80="","",[1]!s_dq_close("881001.wi",A80))</f>
        <v>5044.3872000000001</v>
      </c>
    </row>
    <row r="81" spans="1:7">
      <c r="A81" s="4">
        <v>45147</v>
      </c>
      <c r="B81" s="12">
        <v>1589806326243</v>
      </c>
      <c r="C81" s="12">
        <v>843941785941</v>
      </c>
      <c r="D81" s="12">
        <v>745660333555</v>
      </c>
      <c r="E81" s="12">
        <v>1496569381019</v>
      </c>
      <c r="F81" s="12">
        <v>-2149253262</v>
      </c>
      <c r="G81">
        <f>IF(A81="","",[1]!s_dq_close("881001.wi",A81))</f>
        <v>5016.0059000000001</v>
      </c>
    </row>
    <row r="82" spans="1:7">
      <c r="A82" s="4">
        <v>45148</v>
      </c>
      <c r="B82" s="12">
        <v>1588761235348</v>
      </c>
      <c r="C82" s="12">
        <v>843713394362</v>
      </c>
      <c r="D82" s="12">
        <v>744842561816</v>
      </c>
      <c r="E82" s="12">
        <v>1495952985211</v>
      </c>
      <c r="F82" s="12">
        <v>-616395808</v>
      </c>
      <c r="G82">
        <f>IF(A82="","",[1]!s_dq_close("881001.wi",A82))</f>
        <v>5027.0102999999999</v>
      </c>
    </row>
    <row r="83" spans="1:7">
      <c r="A83" s="4">
        <v>45149</v>
      </c>
      <c r="B83" s="12">
        <v>1581777014771</v>
      </c>
      <c r="C83" s="12">
        <v>839457780256</v>
      </c>
      <c r="D83" s="12">
        <v>742115374260</v>
      </c>
      <c r="E83" s="12">
        <v>1490603541698</v>
      </c>
      <c r="F83" s="12">
        <v>-5349443513</v>
      </c>
      <c r="G83">
        <f>IF(A83="","",[1]!s_dq_close("881001.wi",A83))</f>
        <v>4926.0972000000002</v>
      </c>
    </row>
    <row r="84" spans="1:7">
      <c r="A84" s="4">
        <v>45152</v>
      </c>
      <c r="B84" s="12">
        <v>1580311934952</v>
      </c>
      <c r="C84" s="12">
        <v>838582514247</v>
      </c>
      <c r="D84" s="12">
        <v>741522584927</v>
      </c>
      <c r="E84" s="12">
        <v>1490584444109</v>
      </c>
      <c r="F84" s="12">
        <v>-19097589</v>
      </c>
      <c r="G84">
        <f>IF(A84="","",[1]!s_dq_close("881001.wi",A84))</f>
        <v>4916.1016</v>
      </c>
    </row>
    <row r="85" spans="1:7">
      <c r="A85" s="4">
        <v>45153</v>
      </c>
      <c r="B85" s="12">
        <v>1579435004181</v>
      </c>
      <c r="C85" s="12">
        <v>837932580138</v>
      </c>
      <c r="D85" s="12">
        <v>741295156082</v>
      </c>
      <c r="E85" s="12">
        <v>1490319477232</v>
      </c>
      <c r="F85" s="12">
        <v>-264966877</v>
      </c>
      <c r="G85">
        <f>IF(A85="","",[1]!s_dq_close("881001.wi",A85))</f>
        <v>4892.0190000000002</v>
      </c>
    </row>
    <row r="86" spans="1:7">
      <c r="A86" s="4">
        <v>45154</v>
      </c>
      <c r="B86" s="12">
        <v>1576446977770</v>
      </c>
      <c r="C86" s="12">
        <v>837383092410</v>
      </c>
      <c r="D86" s="12">
        <v>738855951513</v>
      </c>
      <c r="E86" s="12">
        <v>1487831742457</v>
      </c>
      <c r="F86" s="12">
        <v>-2487734775</v>
      </c>
      <c r="G86">
        <f>IF(A86="","",[1]!s_dq_close("881001.wi",A86))</f>
        <v>4848.5972000000002</v>
      </c>
    </row>
    <row r="87" spans="1:7">
      <c r="A87" s="4">
        <v>45155</v>
      </c>
      <c r="B87" s="12">
        <v>1579388185320</v>
      </c>
      <c r="C87" s="12">
        <v>838834535787</v>
      </c>
      <c r="D87" s="12">
        <v>740343478408</v>
      </c>
      <c r="E87" s="12">
        <v>1488917593169</v>
      </c>
      <c r="F87" s="12">
        <v>1085850712</v>
      </c>
      <c r="G87">
        <f>IF(A87="","",[1]!s_dq_close("881001.wi",A87))</f>
        <v>4881.9849000000004</v>
      </c>
    </row>
    <row r="88" spans="1:7">
      <c r="A88" s="4">
        <v>45156</v>
      </c>
      <c r="B88" s="12">
        <v>1573040664955</v>
      </c>
      <c r="C88" s="12">
        <v>836110093628</v>
      </c>
      <c r="D88" s="12">
        <v>736721657151</v>
      </c>
      <c r="E88" s="12">
        <v>1484215640077</v>
      </c>
      <c r="F88" s="12">
        <v>-4701953092</v>
      </c>
      <c r="G88">
        <f>IF(A88="","",[1]!s_dq_close("881001.wi",A88))</f>
        <v>4810.3402999999998</v>
      </c>
    </row>
    <row r="89" spans="1:7">
      <c r="A89" s="4">
        <v>45159</v>
      </c>
      <c r="B89" s="12">
        <v>1571723967987</v>
      </c>
      <c r="C89" s="12">
        <v>836499822787</v>
      </c>
      <c r="D89" s="12">
        <v>735012616993</v>
      </c>
      <c r="E89" s="12">
        <v>1484036047014</v>
      </c>
      <c r="F89" s="12">
        <v>-179593063</v>
      </c>
      <c r="G89">
        <f>IF(A89="","",[1]!s_dq_close("881001.wi",A89))</f>
        <v>4755.1181999999999</v>
      </c>
    </row>
    <row r="90" spans="1:7">
      <c r="A90" s="4">
        <v>45160</v>
      </c>
      <c r="B90" s="12">
        <v>1573387402244</v>
      </c>
      <c r="C90" s="12">
        <v>837450026248</v>
      </c>
      <c r="D90" s="12">
        <v>735717811159</v>
      </c>
      <c r="E90" s="12">
        <v>1484191303635</v>
      </c>
      <c r="F90" s="12">
        <v>155256621</v>
      </c>
      <c r="G90">
        <f>IF(A90="","",[1]!s_dq_close("881001.wi",A90))</f>
        <v>4785.8222999999998</v>
      </c>
    </row>
    <row r="91" spans="1:7">
      <c r="A91" s="4">
        <v>45161</v>
      </c>
      <c r="B91" s="12">
        <v>1568802692563</v>
      </c>
      <c r="C91" s="12">
        <v>834539350148</v>
      </c>
      <c r="D91" s="12">
        <v>734037712520</v>
      </c>
      <c r="E91" s="12">
        <v>1481457624549</v>
      </c>
      <c r="F91" s="12">
        <v>-2733679086</v>
      </c>
      <c r="G91">
        <f>IF(A91="","",[1]!s_dq_close("881001.wi",A91))</f>
        <v>4701.0122000000001</v>
      </c>
    </row>
    <row r="92" spans="1:7">
      <c r="A92" s="4">
        <v>45162</v>
      </c>
      <c r="B92" s="12">
        <v>1567852392878</v>
      </c>
      <c r="C92" s="12">
        <v>834720394615</v>
      </c>
      <c r="D92" s="12">
        <v>732903928435</v>
      </c>
      <c r="E92" s="12">
        <v>1479202329778</v>
      </c>
      <c r="F92" s="12">
        <v>-2255294771</v>
      </c>
      <c r="G92">
        <f>IF(A92="","",[1]!s_dq_close("881001.wi",A92))</f>
        <v>4721.7290000000003</v>
      </c>
    </row>
    <row r="93" spans="1:7">
      <c r="A93" s="4">
        <v>45163</v>
      </c>
      <c r="B93" s="12">
        <v>1556870986906</v>
      </c>
      <c r="C93" s="12">
        <v>829844500299</v>
      </c>
      <c r="D93" s="12">
        <v>726817933659</v>
      </c>
      <c r="E93" s="12">
        <v>1469458278647</v>
      </c>
      <c r="F93" s="12">
        <v>-9744051131</v>
      </c>
      <c r="G93">
        <f>IF(A93="","",[1]!s_dq_close("881001.wi",A93))</f>
        <v>4669.7632000000003</v>
      </c>
    </row>
    <row r="94" spans="1:7">
      <c r="A94" s="4">
        <v>45166</v>
      </c>
      <c r="B94" s="12">
        <v>1565774999685</v>
      </c>
      <c r="C94" s="12">
        <v>834370518698</v>
      </c>
      <c r="D94" s="12">
        <v>731191992421</v>
      </c>
      <c r="E94" s="12">
        <v>1475623896913</v>
      </c>
      <c r="F94" s="12">
        <v>6165618266</v>
      </c>
      <c r="G94">
        <f>IF(A94="","",[1]!s_dq_close("881001.wi",A94))</f>
        <v>4718.0024000000003</v>
      </c>
    </row>
    <row r="95" spans="1:7">
      <c r="A95" s="4">
        <v>45167</v>
      </c>
      <c r="B95" s="12">
        <v>1571821602299</v>
      </c>
      <c r="C95" s="12">
        <v>838928692324</v>
      </c>
      <c r="D95" s="12">
        <v>732678988842</v>
      </c>
      <c r="E95" s="12">
        <v>1478692064255</v>
      </c>
      <c r="F95" s="12">
        <v>3068167342</v>
      </c>
      <c r="G95">
        <f>IF(A95="","",[1]!s_dq_close("881001.wi",A95))</f>
        <v>4814.3612999999996</v>
      </c>
    </row>
    <row r="96" spans="1:7">
      <c r="A96" s="4">
        <v>45168</v>
      </c>
      <c r="B96" s="12">
        <v>1573639983391</v>
      </c>
      <c r="C96" s="12">
        <v>839979606829</v>
      </c>
      <c r="D96" s="12">
        <v>733441931781</v>
      </c>
      <c r="E96" s="12">
        <v>1479530967375</v>
      </c>
      <c r="F96" s="12">
        <v>838903120</v>
      </c>
      <c r="G96">
        <f>IF(A96="","",[1]!s_dq_close("881001.wi",A96))</f>
        <v>4827.4540999999999</v>
      </c>
    </row>
    <row r="97" spans="1:7">
      <c r="A97" s="4">
        <v>45169</v>
      </c>
      <c r="B97" s="12">
        <v>1571208866492</v>
      </c>
      <c r="C97" s="12">
        <v>838969191441</v>
      </c>
      <c r="D97" s="12">
        <v>732018005891</v>
      </c>
      <c r="E97" s="12">
        <v>1477335253064</v>
      </c>
      <c r="F97" s="12">
        <v>-2195714311</v>
      </c>
      <c r="G97">
        <f>IF(A97="","",[1]!s_dq_close("881001.wi",A97))</f>
        <v>4799.5811000000003</v>
      </c>
    </row>
    <row r="98" spans="1:7">
      <c r="A98" s="4">
        <v>45170</v>
      </c>
      <c r="B98" s="12">
        <v>1566043009788</v>
      </c>
      <c r="C98" s="12">
        <v>836858158735</v>
      </c>
      <c r="D98" s="12">
        <v>728962095370</v>
      </c>
      <c r="E98" s="12">
        <v>1472504678657</v>
      </c>
      <c r="F98" s="12">
        <v>-4830574407</v>
      </c>
      <c r="G98">
        <f>IF(A98="","",[1]!s_dq_close("881001.wi",A98))</f>
        <v>4817.8964999999998</v>
      </c>
    </row>
    <row r="99" spans="1:7">
      <c r="A99" s="4">
        <v>45173</v>
      </c>
      <c r="B99" s="12">
        <v>1570474760190</v>
      </c>
      <c r="C99" s="12">
        <v>839711633218</v>
      </c>
      <c r="D99" s="12">
        <v>730536841028</v>
      </c>
      <c r="E99" s="12">
        <v>1476330699969</v>
      </c>
      <c r="F99" s="12">
        <v>3826021312</v>
      </c>
      <c r="G99">
        <f>IF(A99="","",[1]!s_dq_close("881001.wi",A99))</f>
        <v>4888.5834999999997</v>
      </c>
    </row>
    <row r="100" spans="1:7">
      <c r="A100" s="4">
        <v>45174</v>
      </c>
      <c r="B100" s="12">
        <v>1571587364089</v>
      </c>
      <c r="C100" s="12">
        <v>840690600634</v>
      </c>
      <c r="D100" s="12">
        <v>730662642459</v>
      </c>
      <c r="E100" s="12">
        <v>1478163585615</v>
      </c>
      <c r="F100" s="12">
        <v>1832885646</v>
      </c>
      <c r="G100">
        <f>IF(A100="","",[1]!s_dq_close("881001.wi",A100))</f>
        <v>4856.5366000000004</v>
      </c>
    </row>
    <row r="101" spans="1:7">
      <c r="A101" s="4">
        <v>45175</v>
      </c>
      <c r="B101" s="12">
        <v>1574458421993</v>
      </c>
      <c r="C101" s="12">
        <v>842514260991</v>
      </c>
      <c r="D101" s="12">
        <v>731705942474</v>
      </c>
      <c r="E101" s="12">
        <v>1480046579514</v>
      </c>
      <c r="F101" s="12">
        <v>1882993899</v>
      </c>
      <c r="G101">
        <f>IF(A101="","",[1]!s_dq_close("881001.wi",A101))</f>
        <v>4862.0874000000003</v>
      </c>
    </row>
    <row r="102" spans="1:7">
      <c r="A102" s="4">
        <v>45176</v>
      </c>
      <c r="B102" s="12">
        <v>1570442426689</v>
      </c>
      <c r="C102" s="12">
        <v>840049387536</v>
      </c>
      <c r="D102" s="12">
        <v>730157067490</v>
      </c>
      <c r="E102" s="12">
        <v>1478177658484</v>
      </c>
      <c r="F102" s="12">
        <v>-1868921030</v>
      </c>
      <c r="G102">
        <f>IF(A102="","",[1]!s_dq_close("881001.wi",A102))</f>
        <v>4786.5640000000003</v>
      </c>
    </row>
    <row r="103" spans="1:7">
      <c r="A103" s="4">
        <v>45177</v>
      </c>
      <c r="B103" s="12">
        <v>1566373671802</v>
      </c>
      <c r="C103" s="12">
        <v>838273233418</v>
      </c>
      <c r="D103" s="12">
        <v>727865810832</v>
      </c>
      <c r="E103" s="12">
        <v>1473955815813</v>
      </c>
      <c r="F103" s="12">
        <v>-4221842671</v>
      </c>
      <c r="G103">
        <f>IF(A103="","",[1]!s_dq_close("881001.wi",A103))</f>
        <v>4782.1445000000003</v>
      </c>
    </row>
    <row r="104" spans="1:7">
      <c r="A104" s="4">
        <v>45180</v>
      </c>
      <c r="B104" s="12">
        <v>1593028070874</v>
      </c>
      <c r="C104" s="12">
        <v>850992029233</v>
      </c>
      <c r="D104" s="12">
        <v>741793104344</v>
      </c>
      <c r="E104" s="12">
        <v>1499497293554</v>
      </c>
      <c r="F104" s="12">
        <v>25541477741</v>
      </c>
      <c r="G104">
        <f>IF(A104="","",[1]!s_dq_close("881001.wi",A104))</f>
        <v>4826.4111000000003</v>
      </c>
    </row>
    <row r="105" spans="1:7">
      <c r="A105" s="4">
        <v>45181</v>
      </c>
      <c r="B105" s="12">
        <v>1600723608550</v>
      </c>
      <c r="C105" s="12">
        <v>853948365928</v>
      </c>
      <c r="D105" s="12">
        <v>746523933121</v>
      </c>
      <c r="E105" s="12">
        <v>1508037300955</v>
      </c>
      <c r="F105" s="12">
        <v>8540007401</v>
      </c>
      <c r="G105">
        <f>IF(A105="","",[1]!s_dq_close("881001.wi",A105))</f>
        <v>4820.2075000000004</v>
      </c>
    </row>
    <row r="106" spans="1:7">
      <c r="A106" s="4">
        <v>45182</v>
      </c>
      <c r="B106" s="12">
        <v>1604736583643</v>
      </c>
      <c r="C106" s="12">
        <v>856452393349</v>
      </c>
      <c r="D106" s="12">
        <v>748018302963</v>
      </c>
      <c r="E106" s="12">
        <v>1512956376633</v>
      </c>
      <c r="F106" s="12">
        <v>4919075678</v>
      </c>
      <c r="G106">
        <f>IF(A106="","",[1]!s_dq_close("881001.wi",A106))</f>
        <v>4776.5146000000004</v>
      </c>
    </row>
    <row r="107" spans="1:7">
      <c r="A107" s="4">
        <v>45183</v>
      </c>
      <c r="B107" s="12">
        <v>1606307405142</v>
      </c>
      <c r="C107" s="12">
        <v>856499943981</v>
      </c>
      <c r="D107" s="12">
        <v>749544502538</v>
      </c>
      <c r="E107" s="12">
        <v>1514886797176</v>
      </c>
      <c r="F107" s="12">
        <v>1930420543</v>
      </c>
      <c r="G107">
        <f>IF(A107="","",[1]!s_dq_close("881001.wi",A107))</f>
        <v>4760.4081999999999</v>
      </c>
    </row>
    <row r="108" spans="1:7">
      <c r="A108" s="4">
        <v>45184</v>
      </c>
      <c r="B108" s="12">
        <v>1607236839637</v>
      </c>
      <c r="C108" s="12">
        <v>857554307877</v>
      </c>
      <c r="D108" s="12">
        <v>749422392494</v>
      </c>
      <c r="E108" s="12">
        <v>1516401786414</v>
      </c>
      <c r="F108" s="12">
        <v>1514989238</v>
      </c>
      <c r="G108">
        <f>IF(A108="","",[1]!s_dq_close("881001.wi",A108))</f>
        <v>4750.0228999999999</v>
      </c>
    </row>
    <row r="109" spans="1:7">
      <c r="A109" s="4">
        <v>45187</v>
      </c>
      <c r="B109" s="12">
        <v>1610305930259</v>
      </c>
      <c r="C109" s="12">
        <v>859650891699</v>
      </c>
      <c r="D109" s="12">
        <v>750388993769</v>
      </c>
      <c r="E109" s="12">
        <v>1519776032230</v>
      </c>
      <c r="F109" s="12">
        <v>3374245816</v>
      </c>
      <c r="G109">
        <f>IF(A109="","",[1]!s_dq_close("881001.wi",A109))</f>
        <v>4769.1543000000001</v>
      </c>
    </row>
    <row r="110" spans="1:7">
      <c r="A110" s="4">
        <v>45188</v>
      </c>
      <c r="B110" s="12">
        <v>1609427208007</v>
      </c>
      <c r="C110" s="12">
        <v>859008656696</v>
      </c>
      <c r="D110" s="12">
        <v>750153646493</v>
      </c>
      <c r="E110" s="12">
        <v>1519823579408</v>
      </c>
      <c r="F110" s="12">
        <v>47547178</v>
      </c>
      <c r="G110">
        <f>IF(A110="","",[1]!s_dq_close("881001.wi",A110))</f>
        <v>4743.3842999999997</v>
      </c>
    </row>
    <row r="111" spans="1:7">
      <c r="A111" s="4">
        <v>45189</v>
      </c>
      <c r="B111" s="12">
        <v>1607988721742</v>
      </c>
      <c r="C111" s="12">
        <v>858087110775</v>
      </c>
      <c r="D111" s="12">
        <v>749638457574</v>
      </c>
      <c r="E111" s="12">
        <v>1519911487311</v>
      </c>
      <c r="F111" s="12">
        <v>87907903</v>
      </c>
      <c r="G111">
        <f>IF(A111="","",[1]!s_dq_close("881001.wi",A111))</f>
        <v>4716.2030999999997</v>
      </c>
    </row>
    <row r="112" spans="1:7">
      <c r="A112" s="4">
        <v>45190</v>
      </c>
      <c r="B112" s="12">
        <v>1607989177566</v>
      </c>
      <c r="C112" s="12">
        <v>857929859046</v>
      </c>
      <c r="D112" s="12">
        <v>749793527446</v>
      </c>
      <c r="E112" s="12">
        <v>1520788420768</v>
      </c>
      <c r="F112" s="12">
        <v>876933457</v>
      </c>
      <c r="G112">
        <f>IF(A112="","",[1]!s_dq_close("881001.wi",A112))</f>
        <v>4680.0586000000003</v>
      </c>
    </row>
    <row r="113" spans="1:7">
      <c r="A113" s="4">
        <v>45191</v>
      </c>
      <c r="B113" s="12">
        <v>1610080687585</v>
      </c>
      <c r="C113" s="12">
        <v>858380764024</v>
      </c>
      <c r="D113" s="12">
        <v>751433069015</v>
      </c>
      <c r="E113" s="12">
        <v>1521155647520</v>
      </c>
      <c r="F113" s="12">
        <v>367226752</v>
      </c>
      <c r="G113">
        <f>IF(A113="","",[1]!s_dq_close("881001.wi",A113))</f>
        <v>4764.9443000000001</v>
      </c>
    </row>
    <row r="114" spans="1:7">
      <c r="A114" s="4">
        <v>45194</v>
      </c>
      <c r="B114" s="12">
        <v>1612229084789</v>
      </c>
      <c r="C114" s="12">
        <v>858752662538</v>
      </c>
      <c r="D114" s="12">
        <v>753208647770</v>
      </c>
      <c r="E114" s="12">
        <v>1524722457245</v>
      </c>
      <c r="F114" s="12">
        <v>3566809725</v>
      </c>
      <c r="G114">
        <f>IF(A114="","",[1]!s_dq_close("881001.wi",A114))</f>
        <v>4738.8540000000003</v>
      </c>
    </row>
    <row r="115" spans="1:7">
      <c r="A115" s="4">
        <v>45195</v>
      </c>
      <c r="B115" s="12">
        <v>1610994113094</v>
      </c>
      <c r="C115" s="12">
        <v>857763235669</v>
      </c>
      <c r="D115" s="12">
        <v>752965327703</v>
      </c>
      <c r="E115" s="12">
        <v>1524565471051</v>
      </c>
      <c r="F115" s="12">
        <v>-156986194</v>
      </c>
      <c r="G115">
        <f>IF(A115="","",[1]!s_dq_close("881001.wi",A115))</f>
        <v>4716.2421999999997</v>
      </c>
    </row>
    <row r="116" spans="1:7">
      <c r="A116" s="4">
        <v>45196</v>
      </c>
      <c r="B116" s="12">
        <v>1611264978066</v>
      </c>
      <c r="C116" s="12">
        <v>857437823402</v>
      </c>
      <c r="D116" s="12">
        <v>753559976734</v>
      </c>
      <c r="E116" s="12">
        <v>1526539517011</v>
      </c>
      <c r="F116" s="12">
        <v>1974045960</v>
      </c>
      <c r="G116">
        <f>IF(A116="","",[1]!s_dq_close("881001.wi",A116))</f>
        <v>4733.1913999999997</v>
      </c>
    </row>
    <row r="117" spans="1:7">
      <c r="A117" s="4">
        <v>45197</v>
      </c>
      <c r="B117" s="12">
        <v>1590920514837</v>
      </c>
      <c r="C117" s="12">
        <v>847163735606</v>
      </c>
      <c r="D117" s="12">
        <v>743488336439</v>
      </c>
      <c r="E117" s="12">
        <v>1509700542296</v>
      </c>
      <c r="F117" s="12">
        <v>-16838974715</v>
      </c>
      <c r="G117">
        <f>IF(A117="","",[1]!s_dq_close("881001.wi",A117))</f>
        <v>4747.2548999999999</v>
      </c>
    </row>
    <row r="118" spans="1:7">
      <c r="A118" s="4">
        <v>45208</v>
      </c>
      <c r="B118" s="12">
        <v>1603978608190</v>
      </c>
      <c r="C118" s="12">
        <v>853858386621</v>
      </c>
      <c r="D118" s="12">
        <v>749846374437</v>
      </c>
      <c r="E118" s="12">
        <v>1521626287563</v>
      </c>
      <c r="F118" s="12">
        <v>11925745267</v>
      </c>
      <c r="G118">
        <f>IF(A118="","",[1]!s_dq_close("881001.wi",A118))</f>
        <v>4734.1918999999998</v>
      </c>
    </row>
    <row r="119" spans="1:7">
      <c r="A119" s="4">
        <v>45209</v>
      </c>
      <c r="B119" s="12">
        <v>1611437269225</v>
      </c>
      <c r="C119" s="12">
        <v>857368646303</v>
      </c>
      <c r="D119" s="12">
        <v>753794499655</v>
      </c>
      <c r="E119" s="12">
        <v>1527993696170</v>
      </c>
      <c r="F119" s="12">
        <v>6367408607</v>
      </c>
      <c r="G119">
        <f>IF(A119="","",[1]!s_dq_close("881001.wi",A119))</f>
        <v>4712.1758</v>
      </c>
    </row>
    <row r="120" spans="1:7">
      <c r="A120" s="4">
        <v>45210</v>
      </c>
      <c r="B120" s="12">
        <v>1618375453452</v>
      </c>
      <c r="C120" s="12">
        <v>859568574435</v>
      </c>
      <c r="D120" s="12">
        <v>758533196537</v>
      </c>
      <c r="E120" s="12">
        <v>1533051009531</v>
      </c>
      <c r="F120" s="12">
        <v>5057313361</v>
      </c>
      <c r="G120">
        <f>IF(A120="","",[1]!s_dq_close("881001.wi",A120))</f>
        <v>4724.4858000000004</v>
      </c>
    </row>
    <row r="121" spans="1:7">
      <c r="A121" s="4">
        <v>45211</v>
      </c>
      <c r="B121" s="12">
        <v>1625081322535</v>
      </c>
      <c r="C121" s="12">
        <v>862761566870</v>
      </c>
      <c r="D121" s="12">
        <v>762043665121</v>
      </c>
      <c r="E121" s="12">
        <v>1537176739783</v>
      </c>
      <c r="F121" s="12">
        <v>4125730252</v>
      </c>
      <c r="G121">
        <f>IF(A121="","",[1]!s_dq_close("881001.wi",A121))</f>
        <v>4762.7461000000003</v>
      </c>
    </row>
    <row r="122" spans="1:7">
      <c r="A122" s="4">
        <v>45212</v>
      </c>
      <c r="B122" s="12">
        <v>1623327758377</v>
      </c>
      <c r="C122" s="12">
        <v>861860708585</v>
      </c>
      <c r="D122" s="12">
        <v>761187532501</v>
      </c>
      <c r="E122" s="12">
        <v>1535727853514</v>
      </c>
      <c r="F122" s="12">
        <v>-1448886269</v>
      </c>
      <c r="G122">
        <f>IF(A122="","",[1]!s_dq_close("881001.wi",A122))</f>
        <v>4727.3765000000003</v>
      </c>
    </row>
    <row r="123" spans="1:7">
      <c r="A123" s="4">
        <v>45215</v>
      </c>
      <c r="B123" s="12">
        <v>1626620765360</v>
      </c>
      <c r="C123" s="12">
        <v>863437946720</v>
      </c>
      <c r="D123" s="12">
        <v>762897196694</v>
      </c>
      <c r="E123" s="12">
        <v>1540017022853</v>
      </c>
      <c r="F123" s="12">
        <v>4289169339</v>
      </c>
      <c r="G123">
        <f>IF(A123="","",[1]!s_dq_close("881001.wi",A123))</f>
        <v>4685.6201000000001</v>
      </c>
    </row>
    <row r="124" spans="1:7">
      <c r="A124" s="4">
        <v>45216</v>
      </c>
      <c r="B124" s="12">
        <v>1627110520745</v>
      </c>
      <c r="C124" s="12">
        <v>863122433560</v>
      </c>
      <c r="D124" s="12">
        <v>763695198653</v>
      </c>
      <c r="E124" s="12">
        <v>1540596219021</v>
      </c>
      <c r="F124" s="12">
        <v>579196168</v>
      </c>
      <c r="G124">
        <f>IF(A124="","",[1]!s_dq_close("881001.wi",A124))</f>
        <v>4692.0556999999999</v>
      </c>
    </row>
    <row r="125" spans="1:7">
      <c r="A125" s="4">
        <v>45217</v>
      </c>
      <c r="B125" s="12">
        <v>1624782286949</v>
      </c>
      <c r="C125" s="12">
        <v>862420485267</v>
      </c>
      <c r="D125" s="12">
        <v>762065908574</v>
      </c>
      <c r="E125" s="12">
        <v>1539560826141</v>
      </c>
      <c r="F125" s="12">
        <v>-1035392880</v>
      </c>
      <c r="G125">
        <f>IF(A125="","",[1]!s_dq_close("881001.wi",A125))</f>
        <v>4635.8154000000004</v>
      </c>
    </row>
    <row r="126" spans="1:7">
      <c r="A126" s="4">
        <v>45218</v>
      </c>
      <c r="B126" s="12">
        <v>1624124416944</v>
      </c>
      <c r="C126" s="12">
        <v>864384378547</v>
      </c>
      <c r="D126" s="12">
        <v>759437429368</v>
      </c>
      <c r="E126" s="12">
        <v>1539990923969</v>
      </c>
      <c r="F126" s="12">
        <v>430097828</v>
      </c>
      <c r="G126">
        <f>IF(A126="","",[1]!s_dq_close("881001.wi",A126))</f>
        <v>4564.2035999999998</v>
      </c>
    </row>
    <row r="127" spans="1:7">
      <c r="A127" s="4">
        <v>45219</v>
      </c>
      <c r="B127" s="12">
        <v>1618758771730</v>
      </c>
      <c r="C127" s="12">
        <v>863066781824</v>
      </c>
      <c r="D127" s="12">
        <v>755387836745</v>
      </c>
      <c r="E127" s="12">
        <v>1537059990173</v>
      </c>
      <c r="F127" s="12">
        <v>-2930933796</v>
      </c>
      <c r="G127">
        <f>IF(A127="","",[1]!s_dq_close("881001.wi",A127))</f>
        <v>4525.6244999999999</v>
      </c>
    </row>
    <row r="128" spans="1:7">
      <c r="A128" s="4">
        <v>45222</v>
      </c>
      <c r="B128" s="12">
        <v>1616645534816</v>
      </c>
      <c r="C128" s="12">
        <v>862855394199</v>
      </c>
      <c r="D128" s="12">
        <v>753485450195</v>
      </c>
      <c r="E128" s="12">
        <v>1536555698180</v>
      </c>
      <c r="F128" s="12">
        <v>-504291993</v>
      </c>
      <c r="G128">
        <f>IF(A128="","",[1]!s_dq_close("881001.wi",A128))</f>
        <v>4446.6908999999996</v>
      </c>
    </row>
    <row r="129" spans="1:7">
      <c r="A129" s="4">
        <v>45223</v>
      </c>
      <c r="B129" s="12">
        <v>1619887941143</v>
      </c>
      <c r="C129" s="12">
        <v>864162079214</v>
      </c>
      <c r="D129" s="12">
        <v>755419043447</v>
      </c>
      <c r="E129" s="12">
        <v>1538395252845</v>
      </c>
      <c r="F129" s="12">
        <v>1839554665</v>
      </c>
      <c r="G129">
        <f>IF(A129="","",[1]!s_dq_close("881001.wi",A129))</f>
        <v>4495.5483000000004</v>
      </c>
    </row>
    <row r="130" spans="1:7">
      <c r="A130" s="4">
        <v>45224</v>
      </c>
      <c r="B130" s="12">
        <v>1620778816167</v>
      </c>
      <c r="C130" s="12">
        <v>863958671773</v>
      </c>
      <c r="D130" s="12">
        <v>756514582438</v>
      </c>
      <c r="E130" s="12">
        <v>1539395991156</v>
      </c>
      <c r="F130" s="12">
        <v>1000738311</v>
      </c>
      <c r="G130">
        <f>IF(A130="","",[1]!s_dq_close("881001.wi",A130))</f>
        <v>4534.0160999999998</v>
      </c>
    </row>
    <row r="131" spans="1:7">
      <c r="A131" s="4">
        <v>45225</v>
      </c>
      <c r="B131" s="12">
        <v>1621370221224</v>
      </c>
      <c r="C131" s="12">
        <v>863846741519</v>
      </c>
      <c r="D131" s="12">
        <v>757212626009</v>
      </c>
      <c r="E131" s="12">
        <v>1539471575786</v>
      </c>
      <c r="F131" s="12">
        <v>75584630</v>
      </c>
      <c r="G131">
        <f>IF(A131="","",[1]!s_dq_close("881001.wi",A131))</f>
        <v>4550.8530000000001</v>
      </c>
    </row>
    <row r="132" spans="1:7">
      <c r="A132" s="4">
        <v>45226</v>
      </c>
      <c r="B132" s="12">
        <v>1620337390870</v>
      </c>
      <c r="C132" s="12">
        <v>862404054687</v>
      </c>
      <c r="D132" s="12">
        <v>757614192426</v>
      </c>
      <c r="E132" s="12">
        <v>1537055140804</v>
      </c>
      <c r="F132" s="12">
        <v>-2416434982</v>
      </c>
      <c r="G132">
        <f>IF(A132="","",[1]!s_dq_close("881001.wi",A132))</f>
        <v>4616.6356999999998</v>
      </c>
    </row>
    <row r="133" spans="1:7">
      <c r="A133" s="4">
        <v>45229</v>
      </c>
      <c r="B133" s="12">
        <v>1630676985457</v>
      </c>
      <c r="C133" s="12">
        <v>867863352634</v>
      </c>
      <c r="D133" s="12">
        <v>762484542120</v>
      </c>
      <c r="E133" s="12">
        <v>1546775443443</v>
      </c>
      <c r="F133" s="12">
        <v>9720302639</v>
      </c>
      <c r="G133">
        <f>IF(A133="","",[1]!s_dq_close("881001.wi",A133))</f>
        <v>4663.4907000000003</v>
      </c>
    </row>
    <row r="134" spans="1:7">
      <c r="A134" s="4">
        <v>45230</v>
      </c>
      <c r="B134" s="12">
        <v>1632687243546</v>
      </c>
      <c r="C134" s="12">
        <v>867889391068</v>
      </c>
      <c r="D134" s="12">
        <v>764474323486</v>
      </c>
      <c r="E134" s="12">
        <v>1549468267401</v>
      </c>
      <c r="F134" s="12">
        <v>2692823958</v>
      </c>
      <c r="G134">
        <f>IF(A134="","",[1]!s_dq_close("881001.wi",A134))</f>
        <v>4644.6112999999996</v>
      </c>
    </row>
    <row r="135" spans="1:7">
      <c r="A135" s="4">
        <v>45231</v>
      </c>
      <c r="B135" s="12">
        <v>1634751773407</v>
      </c>
      <c r="C135" s="12">
        <v>869296073922</v>
      </c>
      <c r="D135" s="12">
        <v>765123622910</v>
      </c>
      <c r="E135" s="12">
        <v>1552954719463</v>
      </c>
      <c r="F135" s="12">
        <v>3486452062</v>
      </c>
      <c r="G135">
        <f>IF(A135="","",[1]!s_dq_close("881001.wi",A135))</f>
        <v>4641.4038</v>
      </c>
    </row>
    <row r="136" spans="1:7">
      <c r="A136" s="4">
        <v>45232</v>
      </c>
      <c r="B136" s="12">
        <v>1630921550142</v>
      </c>
      <c r="C136" s="12">
        <v>866461445238</v>
      </c>
      <c r="D136" s="12">
        <v>764129693941</v>
      </c>
      <c r="E136" s="12">
        <v>1550693906612</v>
      </c>
      <c r="F136" s="12">
        <v>-2260812851</v>
      </c>
      <c r="G136">
        <f>IF(A136="","",[1]!s_dq_close("881001.wi",A136))</f>
        <v>4604.4423999999999</v>
      </c>
    </row>
    <row r="137" spans="1:7">
      <c r="A137" s="4">
        <v>45233</v>
      </c>
      <c r="B137" s="12">
        <v>1626793859763</v>
      </c>
      <c r="C137" s="12">
        <v>863808431548</v>
      </c>
      <c r="D137" s="12">
        <v>762661401334</v>
      </c>
      <c r="E137" s="12">
        <v>1546853618012</v>
      </c>
      <c r="F137" s="12">
        <v>-3840288600</v>
      </c>
      <c r="G137">
        <f>IF(A137="","",[1]!s_dq_close("881001.wi",A137))</f>
        <v>4653.8383999999996</v>
      </c>
    </row>
    <row r="138" spans="1:7">
      <c r="A138" s="4">
        <v>45236</v>
      </c>
      <c r="B138" s="12">
        <v>1637060731610</v>
      </c>
      <c r="C138" s="12">
        <v>870934722116</v>
      </c>
      <c r="D138" s="12">
        <v>765800979469</v>
      </c>
      <c r="E138" s="12">
        <v>1556322256838</v>
      </c>
      <c r="F138" s="12">
        <v>9468638826</v>
      </c>
      <c r="G138">
        <f>IF(A138="","",[1]!s_dq_close("881001.wi",A138))</f>
        <v>4734.5487999999996</v>
      </c>
    </row>
    <row r="139" spans="1:7">
      <c r="A139" s="4">
        <v>45237</v>
      </c>
      <c r="B139" s="12">
        <v>1643135169301</v>
      </c>
      <c r="C139" s="12">
        <v>873413832362</v>
      </c>
      <c r="D139" s="12">
        <v>769384964939</v>
      </c>
      <c r="E139" s="12">
        <v>1562014997992</v>
      </c>
      <c r="F139" s="12">
        <v>5692741154</v>
      </c>
      <c r="G139">
        <f>IF(A139="","",[1]!s_dq_close("881001.wi",A139))</f>
        <v>4739.2084999999997</v>
      </c>
    </row>
    <row r="140" spans="1:7">
      <c r="A140" s="4">
        <v>45238</v>
      </c>
      <c r="B140" s="12">
        <v>1650589759046</v>
      </c>
      <c r="C140" s="12">
        <v>876332071590</v>
      </c>
      <c r="D140" s="12">
        <v>773918247447</v>
      </c>
      <c r="E140" s="12">
        <v>1569301918803</v>
      </c>
      <c r="F140" s="12">
        <v>7286920811</v>
      </c>
      <c r="G140">
        <f>IF(A140="","",[1]!s_dq_close("881001.wi",A140))</f>
        <v>4741.2632000000003</v>
      </c>
    </row>
    <row r="141" spans="1:7">
      <c r="A141" s="4">
        <v>45239</v>
      </c>
      <c r="B141" s="12">
        <v>1650786748710</v>
      </c>
      <c r="C141" s="12">
        <v>875550600580</v>
      </c>
      <c r="D141" s="12">
        <v>774883498836</v>
      </c>
      <c r="E141" s="12">
        <v>1570568348072</v>
      </c>
      <c r="F141" s="12">
        <v>1266429269</v>
      </c>
      <c r="G141">
        <f>IF(A141="","",[1]!s_dq_close("881001.wi",A141))</f>
        <v>4725.7734</v>
      </c>
    </row>
    <row r="142" spans="1:7">
      <c r="A142" s="4">
        <v>45240</v>
      </c>
      <c r="B142" s="12">
        <v>1650100455837</v>
      </c>
      <c r="C142" s="12">
        <v>876124869996</v>
      </c>
      <c r="D142" s="12">
        <v>773622466221</v>
      </c>
      <c r="E142" s="12">
        <v>1569990611421</v>
      </c>
      <c r="F142" s="12">
        <v>-577736651</v>
      </c>
      <c r="G142">
        <f>IF(A142="","",[1]!s_dq_close("881001.wi",A142))</f>
        <v>4703.3720999999996</v>
      </c>
    </row>
    <row r="143" spans="1:7">
      <c r="A143" s="4">
        <v>45243</v>
      </c>
      <c r="B143" s="12">
        <v>1655823547677</v>
      </c>
      <c r="C143" s="12">
        <v>878417388523</v>
      </c>
      <c r="D143" s="12">
        <v>777047136733</v>
      </c>
      <c r="E143" s="12">
        <v>1575701840799</v>
      </c>
      <c r="F143" s="12">
        <v>5711229378</v>
      </c>
      <c r="G143">
        <f>IF(A143="","",[1]!s_dq_close("881001.wi",A143))</f>
        <v>4722.4448000000002</v>
      </c>
    </row>
    <row r="144" spans="1:7">
      <c r="A144" s="4">
        <v>45244</v>
      </c>
      <c r="B144" s="12">
        <v>1662029062215</v>
      </c>
      <c r="C144" s="12">
        <v>881649774054</v>
      </c>
      <c r="D144" s="12">
        <v>780018426835</v>
      </c>
      <c r="E144" s="12">
        <v>1581126228594</v>
      </c>
      <c r="F144" s="12">
        <v>5424387795</v>
      </c>
      <c r="G144">
        <f>IF(A144="","",[1]!s_dq_close("881001.wi",A144))</f>
        <v>4740.9961000000003</v>
      </c>
    </row>
    <row r="145" spans="1:7">
      <c r="A145" s="4">
        <v>45245</v>
      </c>
      <c r="B145" s="12">
        <v>1667375441971</v>
      </c>
      <c r="C145" s="12">
        <v>884228093771</v>
      </c>
      <c r="D145" s="12">
        <v>782775455835</v>
      </c>
      <c r="E145" s="12">
        <v>1585553272302</v>
      </c>
      <c r="F145" s="12">
        <v>4427043708</v>
      </c>
      <c r="G145">
        <f>IF(A145="","",[1]!s_dq_close("881001.wi",A145))</f>
        <v>4769.4584999999997</v>
      </c>
    </row>
    <row r="146" spans="1:7">
      <c r="A146" s="4">
        <v>45246</v>
      </c>
      <c r="B146" s="12">
        <v>1667516123091</v>
      </c>
      <c r="C146" s="12">
        <v>883605246097</v>
      </c>
      <c r="D146" s="12">
        <v>783529259527</v>
      </c>
      <c r="E146" s="12">
        <v>1586424761854</v>
      </c>
      <c r="F146" s="12">
        <v>871489552</v>
      </c>
      <c r="G146">
        <f>IF(A146="","",[1]!s_dq_close("881001.wi",A146))</f>
        <v>4725.9408999999996</v>
      </c>
    </row>
    <row r="147" spans="1:7">
      <c r="A147" s="4">
        <v>45247</v>
      </c>
      <c r="B147" s="12">
        <v>1666721269527</v>
      </c>
      <c r="C147" s="12">
        <v>883285274386</v>
      </c>
      <c r="D147" s="12">
        <v>783060597882</v>
      </c>
      <c r="E147" s="12">
        <v>1586131448906</v>
      </c>
      <c r="F147" s="12">
        <v>-293312948</v>
      </c>
      <c r="G147">
        <f>IF(A147="","",[1]!s_dq_close("881001.wi",A147))</f>
        <v>4741.7763999999997</v>
      </c>
    </row>
    <row r="148" spans="1:7">
      <c r="A148" s="4">
        <v>45250</v>
      </c>
      <c r="B148" s="12">
        <v>1674677971057</v>
      </c>
      <c r="C148" s="12">
        <v>886805699113</v>
      </c>
      <c r="D148" s="12">
        <v>787467340890</v>
      </c>
      <c r="E148" s="12">
        <v>1594280998142</v>
      </c>
      <c r="F148" s="12">
        <v>8149549236</v>
      </c>
      <c r="G148">
        <f>IF(A148="","",[1]!s_dq_close("881001.wi",A148))</f>
        <v>4768.6670000000004</v>
      </c>
    </row>
    <row r="149" spans="1:7">
      <c r="A149" s="4">
        <v>45251</v>
      </c>
      <c r="B149" s="12">
        <v>1674735914840</v>
      </c>
      <c r="C149" s="12">
        <v>885582103291</v>
      </c>
      <c r="D149" s="12">
        <v>788681290728</v>
      </c>
      <c r="E149" s="12">
        <v>1594722238560</v>
      </c>
      <c r="F149" s="12">
        <v>441240418</v>
      </c>
      <c r="G149">
        <f>IF(A149="","",[1]!s_dq_close("881001.wi",A149))</f>
        <v>4756.8428000000004</v>
      </c>
    </row>
    <row r="150" spans="1:7">
      <c r="A150" s="4">
        <v>45252</v>
      </c>
      <c r="B150" s="12">
        <v>1674307528121</v>
      </c>
      <c r="C150" s="12">
        <v>885382649254</v>
      </c>
      <c r="D150" s="12">
        <v>788375490089</v>
      </c>
      <c r="E150" s="12">
        <v>1595523745525</v>
      </c>
      <c r="F150" s="12">
        <v>801506965</v>
      </c>
      <c r="G150">
        <f>IF(A150="","",[1]!s_dq_close("881001.wi",A150))</f>
        <v>4706.7573000000002</v>
      </c>
    </row>
    <row r="151" spans="1:7">
      <c r="A151" s="4">
        <v>45253</v>
      </c>
      <c r="B151" s="12">
        <v>1676393781110</v>
      </c>
      <c r="C151" s="12">
        <v>886356215249</v>
      </c>
      <c r="D151" s="12">
        <v>789445784060</v>
      </c>
      <c r="E151" s="12">
        <v>1596437825798</v>
      </c>
      <c r="F151" s="12">
        <v>914080273</v>
      </c>
      <c r="G151">
        <f>IF(A151="","",[1]!s_dq_close("881001.wi",A151))</f>
        <v>4740.8179</v>
      </c>
    </row>
    <row r="152" spans="1:7">
      <c r="A152" s="4">
        <v>45254</v>
      </c>
      <c r="B152" s="12">
        <v>1670684838515</v>
      </c>
      <c r="C152" s="12">
        <v>883758668737</v>
      </c>
      <c r="D152" s="12">
        <v>786264757845</v>
      </c>
      <c r="E152" s="12">
        <v>1591470457500</v>
      </c>
      <c r="F152" s="12">
        <v>-4967368298</v>
      </c>
      <c r="G152">
        <f>IF(A152="","",[1]!s_dq_close("881001.wi",A152))</f>
        <v>4696.7533999999996</v>
      </c>
    </row>
    <row r="153" spans="1:7">
      <c r="A153" s="4">
        <v>45257</v>
      </c>
      <c r="B153" s="12">
        <v>1672166581291</v>
      </c>
      <c r="C153" s="12">
        <v>884458895126</v>
      </c>
      <c r="D153" s="12">
        <v>786870405953</v>
      </c>
      <c r="E153" s="12">
        <v>1592883163276</v>
      </c>
      <c r="F153" s="12">
        <v>1412705776</v>
      </c>
      <c r="G153">
        <f>IF(A153="","",[1]!s_dq_close("881001.wi",A153))</f>
        <v>4681.7515000000003</v>
      </c>
    </row>
    <row r="154" spans="1:7">
      <c r="A154" s="4">
        <v>45258</v>
      </c>
      <c r="B154" s="12">
        <v>1672727570370</v>
      </c>
      <c r="C154" s="12">
        <v>884206897326</v>
      </c>
      <c r="D154" s="12">
        <v>787626506786</v>
      </c>
      <c r="E154" s="12">
        <v>1593323507162</v>
      </c>
      <c r="F154" s="12">
        <v>440343886</v>
      </c>
      <c r="G154">
        <f>IF(A154="","",[1]!s_dq_close("881001.wi",A154))</f>
        <v>4700.5537000000004</v>
      </c>
    </row>
    <row r="155" spans="1:7">
      <c r="A155" s="4">
        <v>45259</v>
      </c>
      <c r="B155" s="12">
        <v>1674574206032</v>
      </c>
      <c r="C155" s="12">
        <v>884633825108</v>
      </c>
      <c r="D155" s="12">
        <v>789025647458</v>
      </c>
      <c r="E155" s="12">
        <v>1595308718934</v>
      </c>
      <c r="F155" s="12">
        <v>1985211772</v>
      </c>
      <c r="G155">
        <f>IF(A155="","",[1]!s_dq_close("881001.wi",A155))</f>
        <v>4666.6958000000004</v>
      </c>
    </row>
    <row r="156" spans="1:7">
      <c r="A156" s="4">
        <v>45260</v>
      </c>
      <c r="B156" s="12">
        <v>1671970973703</v>
      </c>
      <c r="C156" s="12">
        <v>884260318463</v>
      </c>
      <c r="D156" s="12">
        <v>786776013100</v>
      </c>
      <c r="E156" s="12">
        <v>1592517212970</v>
      </c>
      <c r="F156" s="12">
        <v>-2791505964</v>
      </c>
      <c r="G156">
        <f>IF(A156="","",[1]!s_dq_close("881001.wi",A156))</f>
        <v>4660.8900999999996</v>
      </c>
    </row>
    <row r="157" spans="1:7">
      <c r="A157" s="4">
        <v>45261</v>
      </c>
      <c r="B157" s="12">
        <v>1670613356050</v>
      </c>
      <c r="C157" s="12">
        <v>883665583572</v>
      </c>
      <c r="D157" s="12">
        <v>786017003526</v>
      </c>
      <c r="E157" s="12">
        <v>1592378197137</v>
      </c>
      <c r="F157" s="12">
        <v>-139015833</v>
      </c>
      <c r="G157">
        <f>IF(A157="","",[1]!s_dq_close("881001.wi",A157))</f>
        <v>4670.1190999999999</v>
      </c>
    </row>
    <row r="158" spans="1:7">
      <c r="A158" s="4">
        <v>45264</v>
      </c>
      <c r="B158" s="12">
        <v>1670590110116</v>
      </c>
      <c r="C158" s="12">
        <v>883650159484</v>
      </c>
      <c r="D158" s="12">
        <v>786012852393</v>
      </c>
      <c r="E158" s="12">
        <v>1594126965047</v>
      </c>
      <c r="F158" s="12">
        <v>1748767910</v>
      </c>
      <c r="G158">
        <f>IF(A158="","",[1]!s_dq_close("881001.wi",A158))</f>
        <v>4655.0293000000001</v>
      </c>
    </row>
    <row r="159" spans="1:7">
      <c r="A159" s="4">
        <v>45265</v>
      </c>
      <c r="B159" s="12">
        <v>1668675520447</v>
      </c>
      <c r="C159" s="12">
        <v>882533624084</v>
      </c>
      <c r="D159" s="12">
        <v>785197906935</v>
      </c>
      <c r="E159" s="12">
        <v>1593751923501</v>
      </c>
      <c r="F159" s="12">
        <v>-375041546</v>
      </c>
      <c r="G159">
        <f>IF(A159="","",[1]!s_dq_close("881001.wi",A159))</f>
        <v>4569.4390000000003</v>
      </c>
    </row>
    <row r="160" spans="1:7">
      <c r="A160" s="4">
        <v>45266</v>
      </c>
      <c r="B160" s="12">
        <v>1669209863271</v>
      </c>
      <c r="C160" s="12">
        <v>882609592528</v>
      </c>
      <c r="D160" s="12">
        <v>785646744839</v>
      </c>
      <c r="E160" s="12">
        <v>1594211274031</v>
      </c>
      <c r="F160" s="12">
        <v>459350530</v>
      </c>
      <c r="G160">
        <f>IF(A160="","",[1]!s_dq_close("881001.wi",A160))</f>
        <v>4584.7573000000002</v>
      </c>
    </row>
    <row r="161" spans="1:7">
      <c r="A161" s="4">
        <v>45267</v>
      </c>
      <c r="B161" s="12">
        <v>1670694531676</v>
      </c>
      <c r="C161" s="12">
        <v>884176083118</v>
      </c>
      <c r="D161" s="12">
        <v>785552102024</v>
      </c>
      <c r="E161" s="12">
        <v>1595588434116</v>
      </c>
      <c r="F161" s="12">
        <v>1377160085</v>
      </c>
      <c r="G161">
        <f>IF(A161="","",[1]!s_dq_close("881001.wi",A161))</f>
        <v>4576.8437999999996</v>
      </c>
    </row>
    <row r="162" spans="1:7">
      <c r="A162" s="4">
        <v>45268</v>
      </c>
      <c r="B162" s="12">
        <v>1667903734881</v>
      </c>
      <c r="C162" s="12">
        <v>883159110572</v>
      </c>
      <c r="D162" s="12">
        <v>783798277222</v>
      </c>
      <c r="E162" s="12">
        <v>1592009278449</v>
      </c>
      <c r="F162" s="12">
        <v>-3579155667</v>
      </c>
      <c r="G162">
        <f>IF(A162="","",[1]!s_dq_close("881001.wi",A162))</f>
        <v>4575.7016999999996</v>
      </c>
    </row>
    <row r="163" spans="1:7">
      <c r="A163" s="4">
        <v>45271</v>
      </c>
      <c r="B163" s="12">
        <v>1671727937795</v>
      </c>
      <c r="C163" s="12">
        <v>884661140150</v>
      </c>
      <c r="D163" s="12">
        <v>786090196983</v>
      </c>
      <c r="E163" s="12">
        <v>1595426983217</v>
      </c>
      <c r="F163" s="12">
        <v>3417704768</v>
      </c>
      <c r="G163">
        <f>IF(A163="","",[1]!s_dq_close("881001.wi",A163))</f>
        <v>4616.6059999999998</v>
      </c>
    </row>
    <row r="164" spans="1:7">
      <c r="A164" s="4">
        <v>45272</v>
      </c>
      <c r="B164" s="12">
        <v>1674297593584</v>
      </c>
      <c r="C164" s="12">
        <v>885808163484</v>
      </c>
      <c r="D164" s="12">
        <v>787515203542</v>
      </c>
      <c r="E164" s="12">
        <v>1597936038193</v>
      </c>
      <c r="F164" s="12">
        <v>2509054976</v>
      </c>
      <c r="G164">
        <f>IF(A164="","",[1]!s_dq_close("881001.wi",A164))</f>
        <v>4627.2587999999996</v>
      </c>
    </row>
    <row r="165" spans="1:7">
      <c r="A165" s="4">
        <v>45273</v>
      </c>
      <c r="B165" s="12">
        <v>1675621604055</v>
      </c>
      <c r="C165" s="12">
        <v>886615950824</v>
      </c>
      <c r="D165" s="12">
        <v>788015558823</v>
      </c>
      <c r="E165" s="12">
        <v>1599904395503</v>
      </c>
      <c r="F165" s="12">
        <v>1968357310</v>
      </c>
      <c r="G165">
        <f>IF(A165="","",[1]!s_dq_close("881001.wi",A165))</f>
        <v>4572.2969000000003</v>
      </c>
    </row>
    <row r="166" spans="1:7">
      <c r="A166" s="4">
        <v>45274</v>
      </c>
      <c r="B166" s="12">
        <v>1673360348025</v>
      </c>
      <c r="C166" s="12">
        <v>885852389145</v>
      </c>
      <c r="D166" s="12">
        <v>786504441185</v>
      </c>
      <c r="E166" s="12">
        <v>1597721603313</v>
      </c>
      <c r="F166" s="12">
        <v>-2182792190</v>
      </c>
      <c r="G166">
        <f>IF(A166="","",[1]!s_dq_close("881001.wi",A166))</f>
        <v>4552.4517999999998</v>
      </c>
    </row>
    <row r="167" spans="1:7">
      <c r="A167" s="4">
        <v>45275</v>
      </c>
      <c r="B167" s="12">
        <v>1671140109122</v>
      </c>
      <c r="C167" s="12">
        <v>885329374390</v>
      </c>
      <c r="D167" s="12">
        <v>784792265242</v>
      </c>
      <c r="E167" s="12">
        <v>1596288684893</v>
      </c>
      <c r="F167" s="12">
        <v>-1432918420</v>
      </c>
      <c r="G167">
        <f>IF(A167="","",[1]!s_dq_close("881001.wi",A167))</f>
        <v>4531.8247000000001</v>
      </c>
    </row>
    <row r="168" spans="1:7">
      <c r="A168" s="4">
        <v>45278</v>
      </c>
      <c r="B168" s="12">
        <v>1667509093174</v>
      </c>
      <c r="C168" s="12">
        <v>883251338923</v>
      </c>
      <c r="D168" s="12">
        <v>783234551628</v>
      </c>
      <c r="E168" s="12">
        <v>1594231939919</v>
      </c>
      <c r="F168" s="12">
        <v>-2056744974</v>
      </c>
      <c r="G168">
        <f>IF(A168="","",[1]!s_dq_close("881001.wi",A168))</f>
        <v>4489.3056999999999</v>
      </c>
    </row>
    <row r="169" spans="1:7">
      <c r="A169" s="4">
        <v>45279</v>
      </c>
      <c r="B169" s="12">
        <v>1668049163690</v>
      </c>
      <c r="C169" s="12">
        <v>883295301311</v>
      </c>
      <c r="D169" s="12">
        <v>783716254486</v>
      </c>
      <c r="E169" s="12">
        <v>1595337222563</v>
      </c>
      <c r="F169" s="12">
        <v>1105282644</v>
      </c>
      <c r="G169">
        <f>IF(A169="","",[1]!s_dq_close("881001.wi",A169))</f>
        <v>4493.8739999999998</v>
      </c>
    </row>
    <row r="170" spans="1:7">
      <c r="A170" s="4">
        <v>45280</v>
      </c>
      <c r="B170" s="12">
        <v>1662429810525</v>
      </c>
      <c r="C170" s="12">
        <v>880674865511</v>
      </c>
      <c r="D170" s="12">
        <v>780702641357</v>
      </c>
      <c r="E170" s="12">
        <v>1591100775667</v>
      </c>
      <c r="F170" s="12">
        <v>-4236446896</v>
      </c>
      <c r="G170">
        <f>IF(A170="","",[1]!s_dq_close("881001.wi",A170))</f>
        <v>4440.2671</v>
      </c>
    </row>
    <row r="171" spans="1:7">
      <c r="A171" s="4">
        <v>45281</v>
      </c>
      <c r="B171" s="12">
        <v>1664314246088</v>
      </c>
      <c r="C171" s="12">
        <v>881240211736</v>
      </c>
      <c r="D171" s="12">
        <v>782017924275</v>
      </c>
      <c r="E171" s="12">
        <v>1592547430484</v>
      </c>
      <c r="F171" s="12">
        <v>1446654817</v>
      </c>
      <c r="G171">
        <f>IF(A171="","",[1]!s_dq_close("881001.wi",A171))</f>
        <v>4473.9872999999998</v>
      </c>
    </row>
    <row r="172" spans="1:7">
      <c r="A172" s="4">
        <v>45282</v>
      </c>
      <c r="B172" s="12">
        <v>1655621713571</v>
      </c>
      <c r="C172" s="12">
        <v>877861261044</v>
      </c>
      <c r="D172" s="12">
        <v>776696266389</v>
      </c>
      <c r="E172" s="12">
        <v>1584645017853</v>
      </c>
      <c r="F172" s="12">
        <v>-7902412631</v>
      </c>
      <c r="G172">
        <f>IF(A172="","",[1]!s_dq_close("881001.wi",A172))</f>
        <v>4448.5288</v>
      </c>
    </row>
    <row r="173" spans="1:7">
      <c r="A173" s="4">
        <v>45285</v>
      </c>
      <c r="B173" s="12">
        <v>1655691069810</v>
      </c>
      <c r="C173" s="12">
        <v>877414380897</v>
      </c>
      <c r="D173" s="12">
        <v>777212262871</v>
      </c>
      <c r="E173" s="12">
        <v>1584631870923</v>
      </c>
      <c r="F173" s="12">
        <v>-13146930</v>
      </c>
      <c r="G173">
        <f>IF(A173="","",[1]!s_dq_close("881001.wi",A173))</f>
        <v>4452.4097000000002</v>
      </c>
    </row>
    <row r="174" spans="1:7">
      <c r="A174" s="4">
        <v>45286</v>
      </c>
      <c r="B174" s="12">
        <v>1652928544088</v>
      </c>
      <c r="C174" s="12">
        <v>875875739640</v>
      </c>
      <c r="D174" s="12">
        <v>775962924377</v>
      </c>
      <c r="E174" s="12">
        <v>1582350012608</v>
      </c>
      <c r="F174" s="12">
        <v>-2281858315</v>
      </c>
      <c r="G174">
        <f>IF(A174="","",[1]!s_dq_close("881001.wi",A174))</f>
        <v>4407.3708999999999</v>
      </c>
    </row>
    <row r="175" spans="1:7">
      <c r="A175" s="4">
        <v>45287</v>
      </c>
      <c r="B175" s="12">
        <v>1654478424233</v>
      </c>
      <c r="C175" s="12">
        <v>876653763117</v>
      </c>
      <c r="D175" s="12">
        <v>776730736939</v>
      </c>
      <c r="E175" s="12">
        <v>1583346808225</v>
      </c>
      <c r="F175" s="12">
        <v>996795617</v>
      </c>
      <c r="G175">
        <f>IF(A175="","",[1]!s_dq_close("881001.wi",A175))</f>
        <v>4430.6574000000001</v>
      </c>
    </row>
    <row r="176" spans="1:7">
      <c r="A176" s="4">
        <v>45288</v>
      </c>
      <c r="B176" s="12">
        <v>1658958773831</v>
      </c>
      <c r="C176" s="12">
        <v>879353639463</v>
      </c>
      <c r="D176" s="12">
        <v>778470570090</v>
      </c>
      <c r="E176" s="12">
        <v>1586483201901</v>
      </c>
      <c r="F176" s="12">
        <v>3136393676</v>
      </c>
      <c r="G176">
        <f>IF(A176="","",[1]!s_dq_close("881001.wi",A176))</f>
        <v>4520.8377</v>
      </c>
    </row>
    <row r="177" spans="1:7">
      <c r="A177" s="4">
        <v>45289</v>
      </c>
      <c r="B177" s="12">
        <v>1650896092846</v>
      </c>
      <c r="C177" s="12">
        <v>874904439363</v>
      </c>
      <c r="D177" s="12">
        <v>774846836623</v>
      </c>
      <c r="E177" s="12">
        <v>1579298684037</v>
      </c>
      <c r="F177" s="12">
        <v>-7184517864</v>
      </c>
      <c r="G177">
        <f>IF(A177="","",[1]!s_dq_close("881001.wi",A177))</f>
        <v>4565.1778999999997</v>
      </c>
    </row>
    <row r="178" spans="1:7">
      <c r="A178" s="4">
        <v>45293</v>
      </c>
      <c r="B178" s="12">
        <v>1655391983660</v>
      </c>
      <c r="C178" s="12">
        <v>876552686517</v>
      </c>
      <c r="D178" s="12">
        <v>777619287676</v>
      </c>
      <c r="E178" s="12">
        <v>1585007481096</v>
      </c>
      <c r="F178" s="12">
        <v>5708797059</v>
      </c>
      <c r="G178">
        <f>IF(A178="","",[1]!s_dq_close("881001.wi",A178))</f>
        <v>4532.8621000000003</v>
      </c>
    </row>
    <row r="179" spans="1:7">
      <c r="A179" s="4">
        <v>45294</v>
      </c>
      <c r="B179" s="12">
        <v>1656243580500</v>
      </c>
      <c r="C179" s="12">
        <v>876241893010</v>
      </c>
      <c r="D179" s="12">
        <v>778754337356</v>
      </c>
      <c r="E179" s="12">
        <v>1585938316295</v>
      </c>
      <c r="F179" s="12">
        <v>930835199</v>
      </c>
      <c r="G179">
        <f>IF(A179="","",[1]!s_dq_close("881001.wi",A179))</f>
        <v>4517.3972000000003</v>
      </c>
    </row>
    <row r="180" spans="1:7">
      <c r="A180" s="4">
        <v>45295</v>
      </c>
      <c r="B180" s="12">
        <v>1658122179214</v>
      </c>
      <c r="C180" s="12">
        <v>877187219521</v>
      </c>
      <c r="D180" s="12">
        <v>779651913169</v>
      </c>
      <c r="E180" s="12">
        <v>1588195789145</v>
      </c>
      <c r="F180" s="12">
        <v>2257472850</v>
      </c>
      <c r="G180">
        <f>IF(A180="","",[1]!s_dq_close("881001.wi",A180))</f>
        <v>4483.8734999999997</v>
      </c>
    </row>
    <row r="181" spans="1:7">
      <c r="A181" s="4">
        <v>45296</v>
      </c>
      <c r="B181" s="12">
        <v>1649001287701</v>
      </c>
      <c r="C181" s="12">
        <v>873307109911</v>
      </c>
      <c r="D181" s="12">
        <v>774427665475</v>
      </c>
      <c r="E181" s="12">
        <v>1579786039487</v>
      </c>
      <c r="F181" s="12">
        <v>-8409749658</v>
      </c>
      <c r="G181">
        <f>IF(A181="","",[1]!s_dq_close("881001.wi",A181))</f>
        <v>4429.6126000000004</v>
      </c>
    </row>
    <row r="182" spans="1:7">
      <c r="A182" s="4">
        <v>45299</v>
      </c>
      <c r="B182" s="12">
        <v>1648145640920</v>
      </c>
      <c r="C182" s="12">
        <v>872678655786</v>
      </c>
      <c r="D182" s="12">
        <v>774189075652</v>
      </c>
      <c r="E182" s="12">
        <v>1580205232834</v>
      </c>
      <c r="F182" s="12">
        <v>419193347</v>
      </c>
      <c r="G182">
        <f>IF(A182="","",[1]!s_dq_close("881001.wi",A182))</f>
        <v>4353.9840000000004</v>
      </c>
    </row>
    <row r="183" spans="1:7">
      <c r="A183" s="4">
        <v>45300</v>
      </c>
      <c r="B183" s="12">
        <v>1645641012493</v>
      </c>
      <c r="C183" s="12">
        <v>871073142411</v>
      </c>
      <c r="D183" s="12">
        <v>773293238183</v>
      </c>
      <c r="E183" s="12">
        <v>1576842069512</v>
      </c>
      <c r="F183" s="12">
        <v>-3363163322</v>
      </c>
      <c r="G183">
        <f>IF(A183="","",[1]!s_dq_close("881001.wi",A183))</f>
        <v>4366.0658999999996</v>
      </c>
    </row>
    <row r="184" spans="1:7">
      <c r="A184" s="4">
        <v>45301</v>
      </c>
      <c r="B184" s="12">
        <v>1642628882884</v>
      </c>
      <c r="C184" s="12">
        <v>869710589497</v>
      </c>
      <c r="D184" s="12">
        <v>771675302699</v>
      </c>
      <c r="E184" s="12">
        <v>1574138670483</v>
      </c>
      <c r="F184" s="12">
        <v>-2703399029</v>
      </c>
      <c r="G184">
        <f>IF(A184="","",[1]!s_dq_close("881001.wi",A184))</f>
        <v>4338.5866999999998</v>
      </c>
    </row>
    <row r="185" spans="1:7">
      <c r="A185" s="4">
        <v>45302</v>
      </c>
      <c r="B185" s="12">
        <v>1644224581365</v>
      </c>
      <c r="C185" s="12">
        <v>870804417563</v>
      </c>
      <c r="D185" s="12">
        <v>772169219613</v>
      </c>
      <c r="E185" s="12">
        <v>1574915870854</v>
      </c>
      <c r="F185" s="12">
        <v>777200371</v>
      </c>
      <c r="G185">
        <f>IF(A185="","",[1]!s_dq_close("881001.wi",A185))</f>
        <v>4388.9561999999996</v>
      </c>
    </row>
    <row r="186" spans="1:7">
      <c r="A186" s="4">
        <v>45303</v>
      </c>
      <c r="B186" s="12">
        <v>1638814021162</v>
      </c>
      <c r="C186" s="12">
        <v>867729769992</v>
      </c>
      <c r="D186" s="12">
        <v>769840651034</v>
      </c>
      <c r="E186" s="12">
        <v>1569852909351</v>
      </c>
      <c r="F186" s="12">
        <v>-5062961503</v>
      </c>
      <c r="G186">
        <f>IF(A186="","",[1]!s_dq_close("881001.wi",A186))</f>
        <v>4364.5545000000002</v>
      </c>
    </row>
    <row r="187" spans="1:7">
      <c r="A187" s="4">
        <v>45306</v>
      </c>
      <c r="B187" s="12">
        <v>1639017282638</v>
      </c>
      <c r="C187" s="12">
        <v>867456199819</v>
      </c>
      <c r="D187" s="12">
        <v>770318936630</v>
      </c>
      <c r="E187" s="12">
        <v>1570839346742</v>
      </c>
      <c r="F187" s="12">
        <v>986437391</v>
      </c>
      <c r="G187">
        <f>IF(A187="","",[1]!s_dq_close("881001.wi",A187))</f>
        <v>4357.2937000000002</v>
      </c>
    </row>
    <row r="188" spans="1:7">
      <c r="A188" s="4">
        <v>45307</v>
      </c>
      <c r="B188" s="12">
        <v>1637223476506</v>
      </c>
      <c r="C188" s="12">
        <v>865984019259</v>
      </c>
      <c r="D188" s="12">
        <v>770003834606</v>
      </c>
      <c r="E188" s="12">
        <v>1568302763355</v>
      </c>
      <c r="F188" s="12">
        <v>-2536583387</v>
      </c>
      <c r="G188">
        <f>IF(A188="","",[1]!s_dq_close("881001.wi",A188))</f>
        <v>4362.7484999999997</v>
      </c>
    </row>
    <row r="189" spans="1:7">
      <c r="A189" s="4">
        <v>45308</v>
      </c>
      <c r="B189" s="12">
        <v>1634881562025</v>
      </c>
      <c r="C189" s="12">
        <v>865757778621</v>
      </c>
      <c r="D189" s="12">
        <v>767921248588</v>
      </c>
      <c r="E189" s="12">
        <v>1567742488267</v>
      </c>
      <c r="F189" s="12">
        <v>-560275088</v>
      </c>
      <c r="G189">
        <f>IF(A189="","",[1]!s_dq_close("881001.wi",A189))</f>
        <v>4257.9449000000004</v>
      </c>
    </row>
    <row r="190" spans="1:7">
      <c r="A190" s="4">
        <v>45309</v>
      </c>
      <c r="B190" s="12">
        <v>1630047864241</v>
      </c>
      <c r="C190" s="12">
        <v>862765876243</v>
      </c>
      <c r="D190" s="12">
        <v>766085669212</v>
      </c>
      <c r="E190" s="12">
        <v>1561001157077</v>
      </c>
      <c r="F190" s="12">
        <v>-6741331190</v>
      </c>
      <c r="G190">
        <f>IF(A190="","",[1]!s_dq_close("881001.wi",A190))</f>
        <v>4278.9708000000001</v>
      </c>
    </row>
    <row r="191" spans="1:7">
      <c r="A191" s="4">
        <v>45310</v>
      </c>
      <c r="B191" s="12">
        <v>1622411186366</v>
      </c>
      <c r="C191" s="12">
        <v>859359188408</v>
      </c>
      <c r="D191" s="12">
        <v>761859440884</v>
      </c>
      <c r="E191" s="12">
        <v>1553675888703</v>
      </c>
      <c r="F191" s="12">
        <v>-7325268374</v>
      </c>
      <c r="G191">
        <f>IF(A191="","",[1]!s_dq_close("881001.wi",A191))</f>
        <v>4248.7487000000001</v>
      </c>
    </row>
    <row r="192" spans="1:7">
      <c r="A192" s="4">
        <v>45313</v>
      </c>
      <c r="B192" s="12">
        <v>1605053281178</v>
      </c>
      <c r="C192" s="12">
        <v>851323826307</v>
      </c>
      <c r="D192" s="12">
        <v>752545423422</v>
      </c>
      <c r="E192" s="12">
        <v>1538590408145</v>
      </c>
      <c r="F192" s="12">
        <v>-15085480558</v>
      </c>
      <c r="G192">
        <f>IF(A192="","",[1]!s_dq_close("881001.wi",A192))</f>
        <v>4092.2815999999998</v>
      </c>
    </row>
    <row r="193" spans="1:7">
      <c r="A193" s="4">
        <v>45314</v>
      </c>
      <c r="B193" s="12">
        <v>1602218267684</v>
      </c>
      <c r="C193" s="12">
        <v>849682914607</v>
      </c>
      <c r="D193" s="12">
        <v>751364475210</v>
      </c>
      <c r="E193" s="12">
        <v>1534516070236</v>
      </c>
      <c r="F193" s="12">
        <v>-4074337909</v>
      </c>
      <c r="G193">
        <f>IF(A193="","",[1]!s_dq_close("881001.wi",A193))</f>
        <v>4124.4359000000004</v>
      </c>
    </row>
    <row r="194" spans="1:7">
      <c r="A194" s="4">
        <v>45315</v>
      </c>
      <c r="B194" s="12">
        <v>1601243578923</v>
      </c>
      <c r="C194" s="12">
        <v>849741276211</v>
      </c>
      <c r="D194" s="12">
        <v>750337152364</v>
      </c>
      <c r="E194" s="12">
        <v>1532290752947</v>
      </c>
      <c r="F194" s="12">
        <v>-2225317289</v>
      </c>
      <c r="G194">
        <f>IF(A194="","",[1]!s_dq_close("881001.wi",A194))</f>
        <v>4180.5604999999996</v>
      </c>
    </row>
    <row r="195" spans="1:7">
      <c r="A195" s="4">
        <v>45316</v>
      </c>
      <c r="B195" s="12">
        <v>1606926975026</v>
      </c>
      <c r="C195" s="12">
        <v>852662025251</v>
      </c>
      <c r="D195" s="12">
        <v>753085537467</v>
      </c>
      <c r="E195" s="12">
        <v>1536383147852</v>
      </c>
      <c r="F195" s="12">
        <v>4092394905</v>
      </c>
      <c r="G195">
        <f>IF(A195="","",[1]!s_dq_close("881001.wi",A195))</f>
        <v>4291.5396000000001</v>
      </c>
    </row>
    <row r="196" spans="1:7">
      <c r="A196" s="4">
        <v>45317</v>
      </c>
      <c r="B196" s="12">
        <v>1601470928034</v>
      </c>
      <c r="C196" s="12">
        <v>849415968816</v>
      </c>
      <c r="D196" s="12">
        <v>750858120099</v>
      </c>
      <c r="E196" s="12">
        <v>1531394381715</v>
      </c>
      <c r="F196" s="12">
        <v>-4988766137</v>
      </c>
      <c r="G196">
        <f>IF(A196="","",[1]!s_dq_close("881001.wi",A196))</f>
        <v>4270.7664999999997</v>
      </c>
    </row>
    <row r="197" spans="1:7">
      <c r="A197" s="4">
        <v>45320</v>
      </c>
      <c r="B197" s="12">
        <v>1596623057906</v>
      </c>
      <c r="C197" s="12">
        <v>848093031363</v>
      </c>
      <c r="D197" s="12">
        <v>747353113160</v>
      </c>
      <c r="E197" s="12">
        <v>1527890255104</v>
      </c>
      <c r="F197" s="12">
        <v>-3504126611</v>
      </c>
      <c r="G197">
        <f>IF(A197="","",[1]!s_dq_close("881001.wi",A197))</f>
        <v>4189.7139999999999</v>
      </c>
    </row>
    <row r="198" spans="1:7">
      <c r="A198" s="4">
        <v>45321</v>
      </c>
      <c r="B198" s="12">
        <v>1587401464752</v>
      </c>
      <c r="C198" s="12">
        <v>843405515507</v>
      </c>
      <c r="D198" s="12">
        <v>742844414578</v>
      </c>
      <c r="E198" s="12">
        <v>1519920625874</v>
      </c>
      <c r="F198" s="12">
        <v>-7969629230</v>
      </c>
      <c r="G198">
        <f>IF(A198="","",[1]!s_dq_close("881001.wi",A198))</f>
        <v>4091.6608000000001</v>
      </c>
    </row>
    <row r="199" spans="1:7">
      <c r="A199" s="4">
        <v>45322</v>
      </c>
      <c r="B199" s="12">
        <v>1566360977635</v>
      </c>
      <c r="C199" s="12">
        <v>834344615618</v>
      </c>
      <c r="D199" s="12">
        <v>730897716183</v>
      </c>
      <c r="E199" s="12">
        <v>1500533858280</v>
      </c>
      <c r="F199" s="12">
        <v>-19386767594</v>
      </c>
      <c r="G199">
        <f>IF(A199="","",[1]!s_dq_close("881001.wi",A199))</f>
        <v>3990.2123000000001</v>
      </c>
    </row>
    <row r="200" spans="1:7">
      <c r="A200" s="4">
        <v>45323</v>
      </c>
      <c r="B200" s="12">
        <v>1554586390938</v>
      </c>
      <c r="C200" s="12">
        <v>828342906881</v>
      </c>
      <c r="D200" s="12">
        <v>725124152896</v>
      </c>
      <c r="E200" s="12">
        <v>1489070596859</v>
      </c>
      <c r="F200" s="12">
        <v>-11463261421</v>
      </c>
      <c r="G200">
        <f>IF(A200="","",[1]!s_dq_close("881001.wi",A200))</f>
        <v>3971.2525000000001</v>
      </c>
    </row>
    <row r="201" spans="1:7">
      <c r="A201" s="4">
        <v>45324</v>
      </c>
      <c r="B201" s="12">
        <v>1523641221363</v>
      </c>
      <c r="C201" s="12">
        <v>813961335352</v>
      </c>
      <c r="D201" s="12">
        <v>708598147163</v>
      </c>
      <c r="E201" s="12">
        <v>1459934735449</v>
      </c>
      <c r="F201" s="12">
        <v>-29135861410</v>
      </c>
      <c r="G201">
        <f>IF(A201="","",[1]!s_dq_close("881001.wi",A201))</f>
        <v>3874.7094000000002</v>
      </c>
    </row>
    <row r="202" spans="1:7">
      <c r="A202" s="4">
        <v>45327</v>
      </c>
      <c r="B202" s="12">
        <v>1481818560100</v>
      </c>
      <c r="C202" s="12">
        <v>794021266833</v>
      </c>
      <c r="D202" s="12">
        <v>686750390398</v>
      </c>
      <c r="E202" s="12">
        <v>1420459618897</v>
      </c>
      <c r="F202" s="12">
        <v>-39475116552</v>
      </c>
      <c r="G202">
        <f>IF(A202="","",[1]!s_dq_close("881001.wi",A202))</f>
        <v>3769.1725000000001</v>
      </c>
    </row>
    <row r="203" spans="1:7">
      <c r="A203" s="4">
        <v>45328</v>
      </c>
      <c r="B203" s="12">
        <v>1464943064547</v>
      </c>
      <c r="C203" s="12">
        <v>785881460534</v>
      </c>
      <c r="D203" s="12">
        <v>678014557998</v>
      </c>
      <c r="E203" s="12">
        <v>1405324377941</v>
      </c>
      <c r="F203" s="12">
        <v>-15135240956</v>
      </c>
      <c r="G203">
        <f>IF(A203="","",[1]!s_dq_close("881001.wi",A203))</f>
        <v>3934.9468000000002</v>
      </c>
    </row>
    <row r="204" spans="1:7">
      <c r="A204" s="4">
        <v>45329</v>
      </c>
      <c r="B204" s="12">
        <v>1443833437681</v>
      </c>
      <c r="C204" s="12">
        <v>774910632886</v>
      </c>
      <c r="D204" s="12">
        <v>667901154154</v>
      </c>
      <c r="E204" s="12">
        <v>1392159825296</v>
      </c>
      <c r="F204" s="12">
        <v>-13164552645</v>
      </c>
      <c r="G204">
        <f>IF(A204="","",[1]!s_dq_close("881001.wi",A204))</f>
        <v>4001.3820000000001</v>
      </c>
    </row>
    <row r="205" spans="1:7">
      <c r="A205" s="4">
        <v>45330</v>
      </c>
      <c r="B205" s="12">
        <v>1421116815762</v>
      </c>
      <c r="C205" s="12">
        <v>761935201625</v>
      </c>
      <c r="D205" s="12">
        <v>658178192415</v>
      </c>
      <c r="E205" s="12">
        <v>1375177609138</v>
      </c>
      <c r="F205" s="12">
        <v>-16982216158</v>
      </c>
      <c r="G205">
        <f>IF(A205="","",[1]!s_dq_close("881001.wi",A205))</f>
        <v>4096.4090999999999</v>
      </c>
    </row>
    <row r="206" spans="1:7">
      <c r="A206" s="4">
        <v>45341</v>
      </c>
      <c r="B206" s="12">
        <v>1435571326304</v>
      </c>
      <c r="C206" s="12">
        <v>769081021205</v>
      </c>
      <c r="D206" s="12">
        <v>665458377172</v>
      </c>
      <c r="E206" s="12">
        <v>1390632673477</v>
      </c>
      <c r="F206" s="12">
        <v>15455064339</v>
      </c>
      <c r="G206">
        <f>IF(A206="","",[1]!s_dq_close("881001.wi",A206))</f>
        <v>4155.3780999999999</v>
      </c>
    </row>
    <row r="207" spans="1:7">
      <c r="A207" s="4">
        <v>45342</v>
      </c>
      <c r="B207" s="12">
        <v>1441682301872</v>
      </c>
      <c r="C207" s="12">
        <v>771667689051</v>
      </c>
      <c r="D207" s="12">
        <v>668964400507</v>
      </c>
      <c r="E207" s="12">
        <v>1396697666289</v>
      </c>
      <c r="F207" s="12">
        <v>6064992812</v>
      </c>
      <c r="G207">
        <f>IF(A207="","",[1]!s_dq_close("881001.wi",A207))</f>
        <v>4173.5852999999997</v>
      </c>
    </row>
    <row r="208" spans="1:7">
      <c r="A208" s="4">
        <v>45343</v>
      </c>
      <c r="B208" s="12">
        <v>1446135343406</v>
      </c>
      <c r="C208" s="12">
        <v>773425522245</v>
      </c>
      <c r="D208" s="12">
        <v>671634154029</v>
      </c>
      <c r="E208" s="12">
        <v>1402199066136</v>
      </c>
      <c r="F208" s="12">
        <v>5501399847</v>
      </c>
      <c r="G208">
        <f>IF(A208="","",[1]!s_dq_close("881001.wi",A208))</f>
        <v>4216.808</v>
      </c>
    </row>
    <row r="209" spans="1:7">
      <c r="A209" s="4">
        <v>45344</v>
      </c>
      <c r="B209" s="12">
        <v>1451983940202</v>
      </c>
      <c r="C209" s="12">
        <v>775882662515</v>
      </c>
      <c r="D209" s="12">
        <v>675016147197</v>
      </c>
      <c r="E209" s="12">
        <v>1407985063835</v>
      </c>
      <c r="F209" s="12">
        <v>5785997699</v>
      </c>
      <c r="G209">
        <f>IF(A209="","",[1]!s_dq_close("881001.wi",A209))</f>
        <v>4269.1985000000004</v>
      </c>
    </row>
    <row r="210" spans="1:7">
      <c r="A210" s="4">
        <v>45345</v>
      </c>
      <c r="B210" s="12">
        <v>1456201311333</v>
      </c>
      <c r="C210" s="12">
        <v>777363411409</v>
      </c>
      <c r="D210" s="12">
        <v>677734268962</v>
      </c>
      <c r="E210" s="12">
        <v>1412709218234</v>
      </c>
      <c r="F210" s="12">
        <v>4724154399</v>
      </c>
      <c r="G210">
        <f>IF(A210="","",[1]!s_dq_close("881001.wi",A210))</f>
        <v>4308.4332000000004</v>
      </c>
    </row>
    <row r="211" spans="1:7">
      <c r="A211" s="4">
        <v>45348</v>
      </c>
      <c r="B211" s="12">
        <v>1464844350285</v>
      </c>
      <c r="C211" s="12">
        <v>782013781128</v>
      </c>
      <c r="D211" s="12">
        <v>681725101319</v>
      </c>
      <c r="E211" s="12">
        <v>1421408387492</v>
      </c>
      <c r="F211" s="12">
        <v>8699169258</v>
      </c>
      <c r="G211">
        <f>IF(A211="","",[1]!s_dq_close("881001.wi",A211))</f>
        <v>4304.5312999999996</v>
      </c>
    </row>
    <row r="212" spans="1:7">
      <c r="A212" s="4">
        <v>45349</v>
      </c>
      <c r="B212" s="12">
        <v>1476863291325</v>
      </c>
      <c r="C212" s="12">
        <v>788064575506</v>
      </c>
      <c r="D212" s="12">
        <v>687690910008</v>
      </c>
      <c r="E212" s="12">
        <v>1432475569479</v>
      </c>
      <c r="F212" s="12">
        <v>11067181987</v>
      </c>
      <c r="G212">
        <f>IF(A212="","",[1]!s_dq_close("881001.wi",A212))</f>
        <v>4388.3564999999999</v>
      </c>
    </row>
    <row r="213" spans="1:7">
      <c r="A213" s="4">
        <v>45350</v>
      </c>
      <c r="B213" s="12">
        <v>1478760021762</v>
      </c>
      <c r="C213" s="12">
        <v>789041330565</v>
      </c>
      <c r="D213" s="12">
        <v>688574356269</v>
      </c>
      <c r="E213" s="12">
        <v>1435628749219</v>
      </c>
      <c r="F213" s="12">
        <v>3153179740</v>
      </c>
      <c r="G213">
        <f>IF(A213="","",[1]!s_dq_close("881001.wi",A213))</f>
        <v>4256.3869999999997</v>
      </c>
    </row>
    <row r="214" spans="1:7">
      <c r="A214" s="4">
        <v>45351</v>
      </c>
      <c r="B214" s="12">
        <v>1484439046744</v>
      </c>
      <c r="C214" s="12">
        <v>791431778421</v>
      </c>
      <c r="D214" s="12">
        <v>691837456708</v>
      </c>
      <c r="E214" s="12">
        <v>1440906879566</v>
      </c>
      <c r="F214" s="12">
        <v>5278130347</v>
      </c>
      <c r="G214">
        <f>IF(A214="","",[1]!s_dq_close("881001.wi",A214))</f>
        <v>4375.9845999999998</v>
      </c>
    </row>
    <row r="215" spans="1:7">
      <c r="A215" s="4">
        <v>45352</v>
      </c>
      <c r="B215" s="12">
        <v>1486397042482</v>
      </c>
      <c r="C215" s="12">
        <v>791690283589</v>
      </c>
      <c r="D215" s="12">
        <v>693539060725</v>
      </c>
      <c r="E215" s="12">
        <v>1443080628361</v>
      </c>
      <c r="F215" s="12">
        <v>2173748795</v>
      </c>
      <c r="G215">
        <f>IF(A215="","",[1]!s_dq_close("881001.wi",A215))</f>
        <v>4412.5230000000001</v>
      </c>
    </row>
    <row r="216" spans="1:7">
      <c r="A216" s="4">
        <v>45355</v>
      </c>
      <c r="B216" s="12">
        <v>1496144429536</v>
      </c>
      <c r="C216" s="12">
        <v>795485782361</v>
      </c>
      <c r="D216" s="12">
        <v>699480785765</v>
      </c>
      <c r="E216" s="12">
        <v>1452809057392</v>
      </c>
      <c r="F216" s="12">
        <v>9728429031</v>
      </c>
      <c r="G216">
        <f>IF(A216="","",[1]!s_dq_close("881001.wi",A216))</f>
        <v>4423.4407000000001</v>
      </c>
    </row>
    <row r="217" spans="1:7">
      <c r="A217" s="4">
        <v>45356</v>
      </c>
      <c r="B217" s="12">
        <v>1491983450192</v>
      </c>
      <c r="C217" s="12">
        <v>793342054143</v>
      </c>
      <c r="D217" s="12">
        <v>697464525401</v>
      </c>
      <c r="E217" s="12">
        <v>1448256507111</v>
      </c>
      <c r="F217" s="12">
        <v>-4552550281</v>
      </c>
      <c r="G217">
        <f>IF(A217="","",[1]!s_dq_close("881001.wi",A217))</f>
        <v>4411.3589000000002</v>
      </c>
    </row>
    <row r="218" spans="1:7">
      <c r="A218" s="4">
        <v>45357</v>
      </c>
      <c r="B218" s="12">
        <v>1497017116293</v>
      </c>
      <c r="C218" s="12">
        <v>795569825365</v>
      </c>
      <c r="D218" s="12">
        <v>700269995675</v>
      </c>
      <c r="E218" s="12">
        <v>1453504457204</v>
      </c>
      <c r="F218" s="12">
        <v>5247950093</v>
      </c>
      <c r="G218">
        <f>IF(A218="","",[1]!s_dq_close("881001.wi",A218))</f>
        <v>4414.1171000000004</v>
      </c>
    </row>
    <row r="219" spans="1:7">
      <c r="A219" s="4">
        <v>45358</v>
      </c>
      <c r="B219" s="12">
        <v>1494472749037</v>
      </c>
      <c r="C219" s="12">
        <v>794506262255</v>
      </c>
      <c r="D219" s="12">
        <v>698794968714</v>
      </c>
      <c r="E219" s="12">
        <v>1451653309949</v>
      </c>
      <c r="F219" s="12">
        <v>-1851147255</v>
      </c>
      <c r="G219">
        <f>IF(A219="","",[1]!s_dq_close("881001.wi",A219))</f>
        <v>4372.9602000000004</v>
      </c>
    </row>
    <row r="220" spans="1:7">
      <c r="A220" s="4">
        <v>45359</v>
      </c>
      <c r="B220" s="12">
        <v>1496111282773</v>
      </c>
      <c r="C220" s="12">
        <v>794519867246</v>
      </c>
      <c r="D220" s="12">
        <v>700419616586</v>
      </c>
      <c r="E220" s="12">
        <v>1452933734596</v>
      </c>
      <c r="F220" s="12">
        <v>1280424647</v>
      </c>
      <c r="G220">
        <f>IF(A220="","",[1]!s_dq_close("881001.wi",A220))</f>
        <v>4410.9754999999996</v>
      </c>
    </row>
    <row r="221" spans="1:7">
      <c r="A221" s="4">
        <v>45362</v>
      </c>
      <c r="B221" s="12">
        <v>1505011399887</v>
      </c>
      <c r="C221" s="12">
        <v>799672966134</v>
      </c>
      <c r="D221" s="12">
        <v>704164375442</v>
      </c>
      <c r="E221" s="12">
        <v>1460885030956</v>
      </c>
      <c r="F221" s="12">
        <v>7951296360</v>
      </c>
      <c r="G221">
        <f>IF(A221="","",[1]!s_dq_close("881001.wi",A221))</f>
        <v>4480.5472</v>
      </c>
    </row>
    <row r="222" spans="1:7">
      <c r="A222" s="4">
        <v>45363</v>
      </c>
      <c r="B222" s="12">
        <v>1511866490381</v>
      </c>
      <c r="C222" s="12">
        <v>803322836969</v>
      </c>
      <c r="D222" s="12">
        <v>707356860529</v>
      </c>
      <c r="E222" s="12">
        <v>1468201049585</v>
      </c>
      <c r="F222" s="12">
        <v>7316018629</v>
      </c>
      <c r="G222">
        <f>IF(A222="","",[1]!s_dq_close("881001.wi",A222))</f>
        <v>4496.7714999999998</v>
      </c>
    </row>
    <row r="223" spans="1:7">
      <c r="A223" s="4">
        <v>45364</v>
      </c>
      <c r="B223" s="12">
        <v>1518286024955</v>
      </c>
      <c r="C223" s="12">
        <v>806563968919</v>
      </c>
      <c r="D223" s="12">
        <v>710533109000</v>
      </c>
      <c r="E223" s="12">
        <v>1475209301699</v>
      </c>
      <c r="F223" s="12">
        <v>7008252114</v>
      </c>
      <c r="G223">
        <f>IF(A223="","",[1]!s_dq_close("881001.wi",A223))</f>
        <v>4486.1692000000003</v>
      </c>
    </row>
    <row r="224" spans="1:7">
      <c r="A224" s="4">
        <v>45365</v>
      </c>
      <c r="B224" s="12">
        <v>1519071258485</v>
      </c>
      <c r="C224" s="12">
        <v>806986845772</v>
      </c>
      <c r="D224" s="12">
        <v>710897053539</v>
      </c>
      <c r="E224" s="12">
        <v>1476314699958</v>
      </c>
      <c r="F224" s="12">
        <v>1105398259</v>
      </c>
      <c r="G224">
        <f>IF(A224="","",[1]!s_dq_close("881001.wi",A224))</f>
        <v>4466.2591000000002</v>
      </c>
    </row>
    <row r="225" spans="1:7">
      <c r="A225" s="4">
        <v>45366</v>
      </c>
      <c r="B225" s="12">
        <v>1518994826095</v>
      </c>
      <c r="C225" s="12">
        <v>805370605189</v>
      </c>
      <c r="D225" s="12">
        <v>712423748161</v>
      </c>
      <c r="E225" s="12">
        <v>1476544958277</v>
      </c>
      <c r="F225" s="12">
        <v>230258319</v>
      </c>
      <c r="G225">
        <f>IF(A225="","",[1]!s_dq_close("881001.wi",A225))</f>
        <v>4500.3819999999996</v>
      </c>
    </row>
    <row r="226" spans="1:7">
      <c r="A226" s="4">
        <v>45369</v>
      </c>
      <c r="B226" s="12">
        <v>1532897512475</v>
      </c>
      <c r="C226" s="12">
        <v>812322728905</v>
      </c>
      <c r="D226" s="12">
        <v>719378900601</v>
      </c>
      <c r="E226" s="12">
        <v>1490141191937</v>
      </c>
      <c r="F226" s="12">
        <v>13596233660</v>
      </c>
      <c r="G226">
        <f>IF(A226="","",[1]!s_dq_close("881001.wi",A226))</f>
        <v>4561.3725999999997</v>
      </c>
    </row>
    <row r="227" spans="1:7">
      <c r="A227" s="4">
        <v>45370</v>
      </c>
      <c r="B227" s="12">
        <v>1536229897136</v>
      </c>
      <c r="C227" s="12">
        <v>814926494556</v>
      </c>
      <c r="D227" s="12">
        <v>720091148364</v>
      </c>
      <c r="E227" s="12">
        <v>1493818973701</v>
      </c>
      <c r="F227" s="12">
        <v>3677781764</v>
      </c>
      <c r="G227">
        <f>IF(A227="","",[1]!s_dq_close("881001.wi",A227))</f>
        <v>4531.8549000000003</v>
      </c>
    </row>
    <row r="228" spans="1:7">
      <c r="A228" s="4">
        <v>45371</v>
      </c>
      <c r="B228" s="12">
        <v>1543143292848</v>
      </c>
      <c r="C228" s="12">
        <v>818302248160</v>
      </c>
      <c r="D228" s="12">
        <v>723622364787</v>
      </c>
      <c r="E228" s="12">
        <v>1500712022512</v>
      </c>
      <c r="F228" s="12">
        <v>6893048811</v>
      </c>
      <c r="G228">
        <f>IF(A228="","",[1]!s_dq_close("881001.wi",A228))</f>
        <v>4555.7830999999996</v>
      </c>
    </row>
    <row r="229" spans="1:7">
      <c r="A229" s="4">
        <v>45372</v>
      </c>
      <c r="B229" s="12">
        <v>1548861803397</v>
      </c>
      <c r="C229" s="12">
        <v>821389040573</v>
      </c>
      <c r="D229" s="12">
        <v>726248076026</v>
      </c>
      <c r="E229" s="12">
        <v>1506294631285</v>
      </c>
      <c r="F229" s="12">
        <v>5582608773</v>
      </c>
      <c r="G229">
        <f>IF(A229="","",[1]!s_dq_close("881001.wi",A229))</f>
        <v>4551.3416999999999</v>
      </c>
    </row>
    <row r="230" spans="1:7">
      <c r="A230" s="4">
        <v>45373</v>
      </c>
      <c r="B230" s="12">
        <v>1546110962474</v>
      </c>
      <c r="C230" s="12">
        <v>818780233912</v>
      </c>
      <c r="D230" s="12">
        <v>726123493905</v>
      </c>
      <c r="E230" s="12">
        <v>1504203084995</v>
      </c>
      <c r="F230" s="12">
        <v>-2091546290</v>
      </c>
      <c r="G230">
        <f>IF(A230="","",[1]!s_dq_close("881001.wi",A230))</f>
        <v>4500.3240999999998</v>
      </c>
    </row>
    <row r="231" spans="1:7">
      <c r="A231" s="4">
        <v>45376</v>
      </c>
      <c r="B231" s="12">
        <v>1545054802426</v>
      </c>
      <c r="C231" s="12">
        <v>818104819770</v>
      </c>
      <c r="D231" s="12">
        <v>725757249953</v>
      </c>
      <c r="E231" s="12">
        <v>1503474636227</v>
      </c>
      <c r="F231" s="12">
        <v>-728448768</v>
      </c>
      <c r="G231">
        <f>IF(A231="","",[1]!s_dq_close("881001.wi",A231))</f>
        <v>4435.3307999999997</v>
      </c>
    </row>
    <row r="232" spans="1:7">
      <c r="A232" s="4">
        <v>45377</v>
      </c>
      <c r="B232" s="12">
        <v>1543925913559</v>
      </c>
      <c r="C232" s="12">
        <v>817621150465</v>
      </c>
      <c r="D232" s="12">
        <v>725121093346</v>
      </c>
      <c r="E232" s="12">
        <v>1502472854808</v>
      </c>
      <c r="F232" s="12">
        <v>-1001781419</v>
      </c>
      <c r="G232">
        <f>IF(A232="","",[1]!s_dq_close("881001.wi",A232))</f>
        <v>4439.4678000000004</v>
      </c>
    </row>
    <row r="233" spans="1:7">
      <c r="A233" s="4">
        <v>45378</v>
      </c>
      <c r="B233" s="12">
        <v>1539037396725</v>
      </c>
      <c r="C233" s="12">
        <v>815587248127</v>
      </c>
      <c r="D233" s="12">
        <v>722271677859</v>
      </c>
      <c r="E233" s="12">
        <v>1498505732869</v>
      </c>
      <c r="F233" s="12">
        <v>-3967121939</v>
      </c>
      <c r="G233">
        <f>IF(A233="","",[1]!s_dq_close("881001.wi",A233))</f>
        <v>4342.7610999999997</v>
      </c>
    </row>
    <row r="234" spans="1:7">
      <c r="A234" s="4">
        <v>45379</v>
      </c>
      <c r="B234" s="12">
        <v>1543302164759</v>
      </c>
      <c r="C234" s="12">
        <v>817393775637</v>
      </c>
      <c r="D234" s="12">
        <v>724724616324</v>
      </c>
      <c r="E234" s="12">
        <v>1502118542325</v>
      </c>
      <c r="F234" s="12">
        <v>3612809456</v>
      </c>
      <c r="G234">
        <f>IF(A234="","",[1]!s_dq_close("881001.wi",A234))</f>
        <v>4398.9736000000003</v>
      </c>
    </row>
    <row r="235" spans="1:7">
      <c r="A235" s="4">
        <v>45380</v>
      </c>
      <c r="B235" s="12">
        <v>1537949169435</v>
      </c>
      <c r="C235" s="12">
        <v>814723028449</v>
      </c>
      <c r="D235" s="12">
        <v>722064804711</v>
      </c>
      <c r="E235" s="12">
        <v>1496430760936</v>
      </c>
      <c r="F235" s="12">
        <v>-5687781389</v>
      </c>
      <c r="G235">
        <f>IF(A235="","",[1]!s_dq_close("881001.wi",A235))</f>
        <v>4435.1098000000002</v>
      </c>
    </row>
    <row r="236" spans="1:7">
      <c r="A236" s="4">
        <v>45383</v>
      </c>
      <c r="B236" s="12">
        <v>1546055603777</v>
      </c>
      <c r="C236" s="12">
        <v>818399689544</v>
      </c>
      <c r="D236" s="12">
        <v>726470083931</v>
      </c>
      <c r="E236" s="12">
        <v>1503798922900</v>
      </c>
      <c r="F236" s="12">
        <v>7368161964</v>
      </c>
      <c r="G236">
        <f>IF(A236="","",[1]!s_dq_close("881001.wi",A236))</f>
        <v>4519.0707000000002</v>
      </c>
    </row>
    <row r="237" spans="1:7">
      <c r="A237" s="4">
        <v>45384</v>
      </c>
      <c r="B237" s="12">
        <v>1547748269227</v>
      </c>
      <c r="C237" s="12">
        <v>819371477023</v>
      </c>
      <c r="D237" s="12">
        <v>727190158493</v>
      </c>
      <c r="E237" s="12">
        <v>1505253533056</v>
      </c>
      <c r="F237" s="12">
        <v>1454610156</v>
      </c>
      <c r="G237">
        <f>IF(A237="","",[1]!s_dq_close("881001.wi",A237))</f>
        <v>4500.5371999999998</v>
      </c>
    </row>
    <row r="238" spans="1:7">
      <c r="A238" s="4">
        <v>45385</v>
      </c>
      <c r="B238" s="12">
        <v>1541092301740</v>
      </c>
      <c r="C238" s="12">
        <v>816041921847</v>
      </c>
      <c r="D238" s="12">
        <v>723884107271</v>
      </c>
      <c r="E238" s="12">
        <v>1498624860592</v>
      </c>
      <c r="F238" s="12">
        <v>-6628672464</v>
      </c>
      <c r="G238">
        <f>IF(A238="","",[1]!s_dq_close("881001.wi",A238))</f>
        <v>4478.8870999999999</v>
      </c>
    </row>
    <row r="239" spans="1:7">
      <c r="A239" s="4">
        <v>45390</v>
      </c>
      <c r="B239" s="12">
        <v>1546255785996</v>
      </c>
      <c r="C239" s="12">
        <v>818950591655</v>
      </c>
      <c r="D239" s="12">
        <v>726128900233</v>
      </c>
      <c r="E239" s="12">
        <v>1503621649823</v>
      </c>
      <c r="F239" s="12">
        <v>4996789231</v>
      </c>
      <c r="G239">
        <f>IF(A239="","",[1]!s_dq_close("881001.wi",A239))</f>
        <v>4416.1445999999996</v>
      </c>
    </row>
    <row r="240" spans="1:7">
      <c r="A240" s="4">
        <v>45391</v>
      </c>
      <c r="B240" s="12">
        <v>1547592153822</v>
      </c>
      <c r="C240" s="12">
        <v>819539918730</v>
      </c>
      <c r="D240" s="12">
        <v>726872366980</v>
      </c>
      <c r="E240" s="12">
        <v>1504294962184</v>
      </c>
      <c r="F240" s="12">
        <v>673312361</v>
      </c>
      <c r="G240">
        <f>IF(A240="","",[1]!s_dq_close("881001.wi",A240))</f>
        <v>4439.7637999999997</v>
      </c>
    </row>
    <row r="241" spans="1:7">
      <c r="A241" s="4">
        <v>45392</v>
      </c>
      <c r="B241" s="12">
        <v>1544123759553</v>
      </c>
      <c r="C241" s="12">
        <v>818026139427</v>
      </c>
      <c r="D241" s="12">
        <v>724908916083</v>
      </c>
      <c r="E241" s="12">
        <v>1501104734108</v>
      </c>
      <c r="F241" s="12">
        <v>-3190228076</v>
      </c>
      <c r="G241">
        <f>IF(A241="","",[1]!s_dq_close("881001.wi",A241))</f>
        <v>4380.8903</v>
      </c>
    </row>
    <row r="242" spans="1:7">
      <c r="A242" s="4">
        <v>45393</v>
      </c>
      <c r="B242" s="12">
        <v>1541737393800</v>
      </c>
      <c r="C242" s="12">
        <v>817035126122</v>
      </c>
      <c r="D242" s="12">
        <v>723497963300</v>
      </c>
      <c r="E242" s="12">
        <v>1499578465956</v>
      </c>
      <c r="F242" s="12">
        <v>-1526268152</v>
      </c>
      <c r="G242">
        <f>IF(A242="","",[1]!s_dq_close("881001.wi",A242))</f>
        <v>4387.4179000000004</v>
      </c>
    </row>
    <row r="243" spans="1:7">
      <c r="A243" s="4">
        <v>45394</v>
      </c>
      <c r="B243" s="12">
        <v>1536796070912</v>
      </c>
      <c r="C243" s="12">
        <v>815290842557</v>
      </c>
      <c r="D243" s="12">
        <v>720302003477</v>
      </c>
      <c r="E243" s="12">
        <v>1495858900614</v>
      </c>
      <c r="F243" s="12">
        <v>-3719565342</v>
      </c>
      <c r="G243">
        <f>IF(A243="","",[1]!s_dq_close("881001.wi",A243))</f>
        <v>4356.7316000000001</v>
      </c>
    </row>
    <row r="244" spans="1:7">
      <c r="A244" s="4">
        <v>45397</v>
      </c>
      <c r="B244" s="12">
        <v>1534193175843</v>
      </c>
      <c r="C244" s="12">
        <v>814876923342</v>
      </c>
      <c r="D244" s="12">
        <v>718116089976</v>
      </c>
      <c r="E244" s="12">
        <v>1493265668304</v>
      </c>
      <c r="F244" s="12">
        <v>-2593232310</v>
      </c>
      <c r="G244">
        <f>IF(A244="","",[1]!s_dq_close("881001.wi",A244))</f>
        <v>4368.3113000000003</v>
      </c>
    </row>
    <row r="245" spans="1:7">
      <c r="A245" s="4">
        <v>45398</v>
      </c>
      <c r="B245" s="12">
        <v>1524906429169</v>
      </c>
      <c r="C245" s="12">
        <v>811152920404</v>
      </c>
      <c r="D245" s="12">
        <v>712569791816</v>
      </c>
      <c r="E245" s="12">
        <v>1485854873154</v>
      </c>
      <c r="F245" s="12">
        <v>-7410795150</v>
      </c>
      <c r="G245">
        <f>IF(A245="","",[1]!s_dq_close("881001.wi",A245))</f>
        <v>4239.2136</v>
      </c>
    </row>
    <row r="246" spans="1:7">
      <c r="G246" t="str">
        <f>IF(A246="","",[1]!s_dq_close("881001.wi",A246))</f>
        <v/>
      </c>
    </row>
    <row r="247" spans="1:7">
      <c r="G247" t="str">
        <f>IF(A247="","",[1]!s_dq_close("881001.wi",A247))</f>
        <v/>
      </c>
    </row>
    <row r="248" spans="1:7">
      <c r="G248" t="str">
        <f>IF(A248="","",[1]!s_dq_close("881001.wi",A248))</f>
        <v/>
      </c>
    </row>
    <row r="249" spans="1:7">
      <c r="G249" t="str">
        <f>IF(A249="","",[1]!s_dq_close("881001.wi",A249))</f>
        <v/>
      </c>
    </row>
    <row r="250" spans="1:7">
      <c r="G250" t="str">
        <f>IF(A250="","",[1]!s_dq_close("881001.wi",A250))</f>
        <v/>
      </c>
    </row>
    <row r="251" spans="1:7">
      <c r="G251" t="str">
        <f>IF(A251="","",[1]!s_dq_close("881001.wi",A251))</f>
        <v/>
      </c>
    </row>
    <row r="252" spans="1:7">
      <c r="G252" t="str">
        <f>IF(A252="","",[1]!s_dq_close("881001.wi",A252))</f>
        <v/>
      </c>
    </row>
    <row r="253" spans="1:7">
      <c r="G253" t="str">
        <f>IF(A253="","",[1]!s_dq_close("881001.wi",A253))</f>
        <v/>
      </c>
    </row>
    <row r="254" spans="1:7">
      <c r="G254" t="str">
        <f>IF(A254="","",[1]!s_dq_close("881001.wi",A254))</f>
        <v/>
      </c>
    </row>
    <row r="255" spans="1:7">
      <c r="G255" t="str">
        <f>IF(A255="","",[1]!s_dq_close("881001.wi",A255))</f>
        <v/>
      </c>
    </row>
    <row r="256" spans="1:7">
      <c r="G256" t="str">
        <f>IF(A256="","",[1]!s_dq_close("881001.wi",A256))</f>
        <v/>
      </c>
    </row>
    <row r="257" spans="7:7">
      <c r="G257" t="str">
        <f>IF(A257="","",[1]!s_dq_close("881001.wi",A257))</f>
        <v/>
      </c>
    </row>
    <row r="258" spans="7:7">
      <c r="G258" t="str">
        <f>IF(A258="","",[1]!s_dq_close("881001.wi",A258))</f>
        <v/>
      </c>
    </row>
    <row r="259" spans="7:7">
      <c r="G259" t="str">
        <f>IF(A259="","",[1]!s_dq_close("881001.wi",A259))</f>
        <v/>
      </c>
    </row>
    <row r="260" spans="7:7">
      <c r="G260" t="str">
        <f>IF(A260="","",[1]!s_dq_close("881001.wi",A260))</f>
        <v/>
      </c>
    </row>
    <row r="261" spans="7:7">
      <c r="G261" t="str">
        <f>IF(A261="","",[1]!s_dq_close("881001.wi",A261))</f>
        <v/>
      </c>
    </row>
    <row r="262" spans="7:7">
      <c r="G262" t="str">
        <f>IF(A262="","",[1]!s_dq_close("881001.wi",A262))</f>
        <v/>
      </c>
    </row>
    <row r="263" spans="7:7">
      <c r="G263" t="str">
        <f>IF(A263="","",[1]!s_dq_close("881001.wi",A263))</f>
        <v/>
      </c>
    </row>
    <row r="264" spans="7:7">
      <c r="G264" t="str">
        <f>IF(A264="","",[1]!s_dq_close("881001.wi",A264))</f>
        <v/>
      </c>
    </row>
    <row r="265" spans="7:7">
      <c r="G265" t="str">
        <f>IF(A265="","",[1]!s_dq_close("881001.wi",A265))</f>
        <v/>
      </c>
    </row>
    <row r="266" spans="7:7">
      <c r="G266" t="str">
        <f>IF(A266="","",[1]!s_dq_close("881001.wi",A266))</f>
        <v/>
      </c>
    </row>
    <row r="267" spans="7:7">
      <c r="G267" t="str">
        <f>IF(A267="","",[1]!s_dq_close("881001.wi",A267))</f>
        <v/>
      </c>
    </row>
    <row r="268" spans="7:7">
      <c r="G268" t="str">
        <f>IF(A268="","",[1]!s_dq_close("881001.wi",A268))</f>
        <v/>
      </c>
    </row>
    <row r="269" spans="7:7">
      <c r="G269" t="str">
        <f>IF(A269="","",[1]!s_dq_close("881001.wi",A269))</f>
        <v/>
      </c>
    </row>
    <row r="270" spans="7:7">
      <c r="G270" t="str">
        <f>IF(A270="","",[1]!s_dq_close("881001.wi",A270))</f>
        <v/>
      </c>
    </row>
    <row r="271" spans="7:7">
      <c r="G271" t="str">
        <f>IF(A271="","",[1]!s_dq_close("881001.wi",A271))</f>
        <v/>
      </c>
    </row>
    <row r="272" spans="7:7">
      <c r="G272" t="str">
        <f>IF(A272="","",[1]!s_dq_close("881001.wi",A272))</f>
        <v/>
      </c>
    </row>
    <row r="273" spans="7:7">
      <c r="G273" t="str">
        <f>IF(A273="","",[1]!s_dq_close("881001.wi",A273))</f>
        <v/>
      </c>
    </row>
    <row r="274" spans="7:7">
      <c r="G274" t="str">
        <f>IF(A274="","",[1]!s_dq_close("881001.wi",A274))</f>
        <v/>
      </c>
    </row>
    <row r="275" spans="7:7">
      <c r="G275" t="str">
        <f>IF(A275="","",[1]!s_dq_close("881001.wi",A275))</f>
        <v/>
      </c>
    </row>
    <row r="276" spans="7:7">
      <c r="G276" t="str">
        <f>IF(A276="","",[1]!s_dq_close("881001.wi",A276))</f>
        <v/>
      </c>
    </row>
    <row r="277" spans="7:7">
      <c r="G277" t="str">
        <f>IF(A277="","",[1]!s_dq_close("881001.wi",A277))</f>
        <v/>
      </c>
    </row>
    <row r="278" spans="7:7">
      <c r="G278" t="str">
        <f>IF(A278="","",[1]!s_dq_close("881001.wi",A278))</f>
        <v/>
      </c>
    </row>
    <row r="279" spans="7:7">
      <c r="G279" t="str">
        <f>IF(A279="","",[1]!s_dq_close("881001.wi",A279))</f>
        <v/>
      </c>
    </row>
    <row r="280" spans="7:7">
      <c r="G280" t="str">
        <f>IF(A280="","",[1]!s_dq_close("881001.wi",A280))</f>
        <v/>
      </c>
    </row>
    <row r="281" spans="7:7">
      <c r="G281" t="str">
        <f>IF(A281="","",[1]!s_dq_close("881001.wi",A281))</f>
        <v/>
      </c>
    </row>
    <row r="282" spans="7:7">
      <c r="G282" t="str">
        <f>IF(A282="","",[1]!s_dq_close("881001.wi",A282))</f>
        <v/>
      </c>
    </row>
    <row r="283" spans="7:7">
      <c r="G283" t="str">
        <f>IF(A283="","",[1]!s_dq_close("881001.wi",A283))</f>
        <v/>
      </c>
    </row>
    <row r="284" spans="7:7">
      <c r="G284" t="str">
        <f>IF(A284="","",[1]!s_dq_close("881001.wi",A284))</f>
        <v/>
      </c>
    </row>
    <row r="285" spans="7:7">
      <c r="G285" t="str">
        <f>IF(A285="","",[1]!s_dq_close("881001.wi",A285))</f>
        <v/>
      </c>
    </row>
    <row r="286" spans="7:7">
      <c r="G286" t="str">
        <f>IF(A286="","",[1]!s_dq_close("881001.wi",A286))</f>
        <v/>
      </c>
    </row>
    <row r="287" spans="7:7">
      <c r="G287" t="str">
        <f>IF(A287="","",[1]!s_dq_close("881001.wi",A287))</f>
        <v/>
      </c>
    </row>
    <row r="288" spans="7:7">
      <c r="G288" t="str">
        <f>IF(A288="","",[1]!s_dq_close("881001.wi",A288))</f>
        <v/>
      </c>
    </row>
    <row r="289" spans="7:7">
      <c r="G289" t="str">
        <f>IF(A289="","",[1]!s_dq_close("881001.wi",A289))</f>
        <v/>
      </c>
    </row>
    <row r="290" spans="7:7">
      <c r="G290" t="str">
        <f>IF(A290="","",[1]!s_dq_close("881001.wi",A290))</f>
        <v/>
      </c>
    </row>
    <row r="291" spans="7:7">
      <c r="G291" t="str">
        <f>IF(A291="","",[1]!s_dq_close("881001.wi",A291))</f>
        <v/>
      </c>
    </row>
    <row r="292" spans="7:7">
      <c r="G292" t="str">
        <f>IF(A292="","",[1]!s_dq_close("881001.wi",A292))</f>
        <v/>
      </c>
    </row>
    <row r="293" spans="7:7">
      <c r="G293" t="str">
        <f>IF(A293="","",[1]!s_dq_close("881001.wi",A293))</f>
        <v/>
      </c>
    </row>
    <row r="294" spans="7:7">
      <c r="G294" t="str">
        <f>IF(A294="","",[1]!s_dq_close("881001.wi",A294))</f>
        <v/>
      </c>
    </row>
    <row r="295" spans="7:7">
      <c r="G295" t="str">
        <f>IF(A295="","",[1]!s_dq_close("881001.wi",A295))</f>
        <v/>
      </c>
    </row>
    <row r="296" spans="7:7">
      <c r="G296" t="str">
        <f>IF(A296="","",[1]!s_dq_close("881001.wi",A296))</f>
        <v/>
      </c>
    </row>
    <row r="297" spans="7:7">
      <c r="G297" t="str">
        <f>IF(A297="","",[1]!s_dq_close("881001.wi",A297))</f>
        <v/>
      </c>
    </row>
    <row r="298" spans="7:7">
      <c r="G298" t="str">
        <f>IF(A298="","",[1]!s_dq_close("881001.wi",A298))</f>
        <v/>
      </c>
    </row>
    <row r="299" spans="7:7">
      <c r="G299" t="str">
        <f>IF(A299="","",[1]!s_dq_close("881001.wi",A299))</f>
        <v/>
      </c>
    </row>
    <row r="300" spans="7:7">
      <c r="G300" t="str">
        <f>IF(A300="","",[1]!s_dq_close("881001.wi",A300))</f>
        <v/>
      </c>
    </row>
    <row r="301" spans="7:7">
      <c r="G301" t="str">
        <f>IF(A301="","",[1]!s_dq_close("881001.wi",A301))</f>
        <v/>
      </c>
    </row>
    <row r="302" spans="7:7">
      <c r="G302" t="str">
        <f>IF(A302="","",[1]!s_dq_close("881001.wi",A302))</f>
        <v/>
      </c>
    </row>
    <row r="303" spans="7:7">
      <c r="G303" t="str">
        <f>IF(A303="","",[1]!s_dq_close("881001.wi",A303))</f>
        <v/>
      </c>
    </row>
    <row r="304" spans="7:7">
      <c r="G304" t="str">
        <f>IF(A304="","",[1]!s_dq_close("881001.wi",A304))</f>
        <v/>
      </c>
    </row>
    <row r="305" spans="7:7">
      <c r="G305" t="str">
        <f>IF(A305="","",[1]!s_dq_close("881001.wi",A305))</f>
        <v/>
      </c>
    </row>
    <row r="306" spans="7:7">
      <c r="G306" t="str">
        <f>IF(A306="","",[1]!s_dq_close("881001.wi",A306))</f>
        <v/>
      </c>
    </row>
    <row r="307" spans="7:7">
      <c r="G307" t="str">
        <f>IF(A307="","",[1]!s_dq_close("881001.wi",A307))</f>
        <v/>
      </c>
    </row>
    <row r="308" spans="7:7">
      <c r="G308" t="str">
        <f>IF(A308="","",[1]!s_dq_close("881001.wi",A308))</f>
        <v/>
      </c>
    </row>
    <row r="309" spans="7:7">
      <c r="G309" t="str">
        <f>IF(A309="","",[1]!s_dq_close("881001.wi",A309))</f>
        <v/>
      </c>
    </row>
    <row r="310" spans="7:7">
      <c r="G310" t="str">
        <f>IF(A310="","",[1]!s_dq_close("881001.wi",A310))</f>
        <v/>
      </c>
    </row>
    <row r="311" spans="7:7">
      <c r="G311" t="str">
        <f>IF(A311="","",[1]!s_dq_close("881001.wi",A311))</f>
        <v/>
      </c>
    </row>
    <row r="312" spans="7:7">
      <c r="G312" t="str">
        <f>IF(A312="","",[1]!s_dq_close("881001.wi",A312))</f>
        <v/>
      </c>
    </row>
    <row r="313" spans="7:7">
      <c r="G313" t="str">
        <f>IF(A313="","",[1]!s_dq_close("881001.wi",A313))</f>
        <v/>
      </c>
    </row>
    <row r="314" spans="7:7">
      <c r="G314" t="str">
        <f>IF(A314="","",[1]!s_dq_close("881001.wi",A314))</f>
        <v/>
      </c>
    </row>
    <row r="315" spans="7:7">
      <c r="G315" t="str">
        <f>IF(A315="","",[1]!s_dq_close("881001.wi",A315))</f>
        <v/>
      </c>
    </row>
    <row r="316" spans="7:7">
      <c r="G316" t="str">
        <f>IF(A316="","",[1]!s_dq_close("881001.wi",A316))</f>
        <v/>
      </c>
    </row>
    <row r="317" spans="7:7">
      <c r="G317" t="str">
        <f>IF(A317="","",[1]!s_dq_close("881001.wi",A317))</f>
        <v/>
      </c>
    </row>
    <row r="318" spans="7:7">
      <c r="G318" t="str">
        <f>IF(A318="","",[1]!s_dq_close("881001.wi",A318))</f>
        <v/>
      </c>
    </row>
    <row r="319" spans="7:7">
      <c r="G319" t="str">
        <f>IF(A319="","",[1]!s_dq_close("881001.wi",A319))</f>
        <v/>
      </c>
    </row>
    <row r="320" spans="7:7">
      <c r="G320" t="str">
        <f>IF(A320="","",[1]!s_dq_close("881001.wi",A320))</f>
        <v/>
      </c>
    </row>
    <row r="321" spans="7:7">
      <c r="G321" t="str">
        <f>IF(A321="","",[1]!s_dq_close("881001.wi",A321))</f>
        <v/>
      </c>
    </row>
    <row r="322" spans="7:7">
      <c r="G322" t="str">
        <f>IF(A322="","",[1]!s_dq_close("881001.wi",A322))</f>
        <v/>
      </c>
    </row>
    <row r="323" spans="7:7">
      <c r="G323" t="str">
        <f>IF(A323="","",[1]!s_dq_close("881001.wi",A323))</f>
        <v/>
      </c>
    </row>
    <row r="324" spans="7:7">
      <c r="G324" t="str">
        <f>IF(A324="","",[1]!s_dq_close("881001.wi",A324))</f>
        <v/>
      </c>
    </row>
    <row r="325" spans="7:7">
      <c r="G325" t="str">
        <f>IF(A325="","",[1]!s_dq_close("881001.wi",A325))</f>
        <v/>
      </c>
    </row>
    <row r="326" spans="7:7">
      <c r="G326" t="str">
        <f>IF(A326="","",[1]!s_dq_close("881001.wi",A326))</f>
        <v/>
      </c>
    </row>
    <row r="327" spans="7:7">
      <c r="G327" t="str">
        <f>IF(A327="","",[1]!s_dq_close("881001.wi",A327))</f>
        <v/>
      </c>
    </row>
    <row r="328" spans="7:7">
      <c r="G328" t="str">
        <f>IF(A328="","",[1]!s_dq_close("881001.wi",A328))</f>
        <v/>
      </c>
    </row>
    <row r="329" spans="7:7">
      <c r="G329" t="str">
        <f>IF(A329="","",[1]!s_dq_close("881001.wi",A329))</f>
        <v/>
      </c>
    </row>
    <row r="330" spans="7:7">
      <c r="G330" t="str">
        <f>IF(A330="","",[1]!s_dq_close("881001.wi",A330))</f>
        <v/>
      </c>
    </row>
    <row r="331" spans="7:7">
      <c r="G331" t="str">
        <f>IF(A331="","",[1]!s_dq_close("881001.wi",A331))</f>
        <v/>
      </c>
    </row>
    <row r="332" spans="7:7">
      <c r="G332" t="str">
        <f>IF(A332="","",[1]!s_dq_close("881001.wi",A332))</f>
        <v/>
      </c>
    </row>
    <row r="333" spans="7:7">
      <c r="G333" t="str">
        <f>IF(A333="","",[1]!s_dq_close("881001.wi",A333))</f>
        <v/>
      </c>
    </row>
    <row r="334" spans="7:7">
      <c r="G334" t="str">
        <f>IF(A334="","",[1]!s_dq_close("881001.wi",A334))</f>
        <v/>
      </c>
    </row>
    <row r="335" spans="7:7">
      <c r="G335" t="str">
        <f>IF(A335="","",[1]!s_dq_close("881001.wi",A335))</f>
        <v/>
      </c>
    </row>
    <row r="336" spans="7:7">
      <c r="G336" t="str">
        <f>IF(A336="","",[1]!s_dq_close("881001.wi",A336))</f>
        <v/>
      </c>
    </row>
    <row r="337" spans="7:7">
      <c r="G337" t="str">
        <f>IF(A337="","",[1]!s_dq_close("881001.wi",A337))</f>
        <v/>
      </c>
    </row>
    <row r="338" spans="7:7">
      <c r="G338" t="str">
        <f>IF(A338="","",[1]!s_dq_close("881001.wi",A338))</f>
        <v/>
      </c>
    </row>
    <row r="339" spans="7:7">
      <c r="G339" t="str">
        <f>IF(A339="","",[1]!s_dq_close("881001.wi",A339))</f>
        <v/>
      </c>
    </row>
    <row r="340" spans="7:7">
      <c r="G340" t="str">
        <f>IF(A340="","",[1]!s_dq_close("881001.wi",A340))</f>
        <v/>
      </c>
    </row>
    <row r="341" spans="7:7">
      <c r="G341" t="str">
        <f>IF(A341="","",[1]!s_dq_close("881001.wi",A341))</f>
        <v/>
      </c>
    </row>
    <row r="342" spans="7:7">
      <c r="G342" t="str">
        <f>IF(A342="","",[1]!s_dq_close("881001.wi",A342))</f>
        <v/>
      </c>
    </row>
    <row r="343" spans="7:7">
      <c r="G343" t="str">
        <f>IF(A343="","",[1]!s_dq_close("881001.wi",A343))</f>
        <v/>
      </c>
    </row>
    <row r="344" spans="7:7">
      <c r="G344" t="str">
        <f>IF(A344="","",[1]!s_dq_close("881001.wi",A344))</f>
        <v/>
      </c>
    </row>
    <row r="345" spans="7:7">
      <c r="G345" t="str">
        <f>IF(A345="","",[1]!s_dq_close("881001.wi",A345))</f>
        <v/>
      </c>
    </row>
    <row r="346" spans="7:7">
      <c r="G346" t="str">
        <f>IF(A346="","",[1]!s_dq_close("881001.wi",A346))</f>
        <v/>
      </c>
    </row>
    <row r="347" spans="7:7">
      <c r="G347" t="str">
        <f>IF(A347="","",[1]!s_dq_close("881001.wi",A347))</f>
        <v/>
      </c>
    </row>
    <row r="348" spans="7:7">
      <c r="G348" t="str">
        <f>IF(A348="","",[1]!s_dq_close("881001.wi",A348))</f>
        <v/>
      </c>
    </row>
    <row r="349" spans="7:7">
      <c r="G349" t="str">
        <f>IF(A349="","",[1]!s_dq_close("881001.wi",A349))</f>
        <v/>
      </c>
    </row>
    <row r="350" spans="7:7">
      <c r="G350" t="str">
        <f>IF(A350="","",[1]!s_dq_close("881001.wi",A350))</f>
        <v/>
      </c>
    </row>
    <row r="351" spans="7:7">
      <c r="G351" t="str">
        <f>IF(A351="","",[1]!s_dq_close("881001.wi",A351))</f>
        <v/>
      </c>
    </row>
    <row r="352" spans="7:7">
      <c r="G352" t="str">
        <f>IF(A352="","",[1]!s_dq_close("881001.wi",A352))</f>
        <v/>
      </c>
    </row>
    <row r="353" spans="7:7">
      <c r="G353" t="str">
        <f>IF(A353="","",[1]!s_dq_close("881001.wi",A353))</f>
        <v/>
      </c>
    </row>
    <row r="354" spans="7:7">
      <c r="G354" t="str">
        <f>IF(A354="","",[1]!s_dq_close("881001.wi",A354))</f>
        <v/>
      </c>
    </row>
    <row r="355" spans="7:7">
      <c r="G355" t="str">
        <f>IF(A355="","",[1]!s_dq_close("881001.wi",A355))</f>
        <v/>
      </c>
    </row>
    <row r="356" spans="7:7">
      <c r="G356" t="str">
        <f>IF(A356="","",[1]!s_dq_close("881001.wi",A356))</f>
        <v/>
      </c>
    </row>
    <row r="357" spans="7:7">
      <c r="G357" t="str">
        <f>IF(A357="","",[1]!s_dq_close("881001.wi",A357))</f>
        <v/>
      </c>
    </row>
    <row r="358" spans="7:7">
      <c r="G358" t="str">
        <f>IF(A358="","",[1]!s_dq_close("881001.wi",A358))</f>
        <v/>
      </c>
    </row>
    <row r="359" spans="7:7">
      <c r="G359" t="str">
        <f>IF(A359="","",[1]!s_dq_close("881001.wi",A359))</f>
        <v/>
      </c>
    </row>
    <row r="360" spans="7:7">
      <c r="G360" t="str">
        <f>IF(A360="","",[1]!s_dq_close("881001.wi",A360))</f>
        <v/>
      </c>
    </row>
    <row r="361" spans="7:7">
      <c r="G361" t="str">
        <f>IF(A361="","",[1]!s_dq_close("881001.wi",A361))</f>
        <v/>
      </c>
    </row>
    <row r="362" spans="7:7">
      <c r="G362" t="str">
        <f>IF(A362="","",[1]!s_dq_close("881001.wi",A362))</f>
        <v/>
      </c>
    </row>
    <row r="363" spans="7:7">
      <c r="G363" t="str">
        <f>IF(A363="","",[1]!s_dq_close("881001.wi",A363))</f>
        <v/>
      </c>
    </row>
    <row r="364" spans="7:7">
      <c r="G364" t="str">
        <f>IF(A364="","",[1]!s_dq_close("881001.wi",A364))</f>
        <v/>
      </c>
    </row>
    <row r="365" spans="7:7">
      <c r="G365" t="str">
        <f>IF(A365="","",[1]!s_dq_close("881001.wi",A365))</f>
        <v/>
      </c>
    </row>
    <row r="366" spans="7:7">
      <c r="G366" t="str">
        <f>IF(A366="","",[1]!s_dq_close("881001.wi",A366))</f>
        <v/>
      </c>
    </row>
    <row r="367" spans="7:7">
      <c r="G367" t="str">
        <f>IF(A367="","",[1]!s_dq_close("881001.wi",A367))</f>
        <v/>
      </c>
    </row>
    <row r="368" spans="7:7">
      <c r="G368" t="str">
        <f>IF(A368="","",[1]!s_dq_close("881001.wi",A368))</f>
        <v/>
      </c>
    </row>
    <row r="369" spans="7:7">
      <c r="G369" t="str">
        <f>IF(A369="","",[1]!s_dq_close("881001.wi",A369))</f>
        <v/>
      </c>
    </row>
    <row r="370" spans="7:7">
      <c r="G370" t="str">
        <f>IF(A370="","",[1]!s_dq_close("881001.wi",A370))</f>
        <v/>
      </c>
    </row>
    <row r="371" spans="7:7">
      <c r="G371" t="str">
        <f>IF(A371="","",[1]!s_dq_close("881001.wi",A371))</f>
        <v/>
      </c>
    </row>
    <row r="372" spans="7:7">
      <c r="G372" t="str">
        <f>IF(A372="","",[1]!s_dq_close("881001.wi",A372))</f>
        <v/>
      </c>
    </row>
    <row r="373" spans="7:7">
      <c r="G373" t="str">
        <f>IF(A373="","",[1]!s_dq_close("881001.wi",A373))</f>
        <v/>
      </c>
    </row>
    <row r="374" spans="7:7">
      <c r="G374" t="str">
        <f>IF(A374="","",[1]!s_dq_close("881001.wi",A374))</f>
        <v/>
      </c>
    </row>
    <row r="375" spans="7:7">
      <c r="G375" t="str">
        <f>IF(A375="","",[1]!s_dq_close("881001.wi",A375))</f>
        <v/>
      </c>
    </row>
    <row r="376" spans="7:7">
      <c r="G376" t="str">
        <f>IF(A376="","",[1]!s_dq_close("881001.wi",A376))</f>
        <v/>
      </c>
    </row>
    <row r="377" spans="7:7">
      <c r="G377" t="str">
        <f>IF(A377="","",[1]!s_dq_close("881001.wi",A377))</f>
        <v/>
      </c>
    </row>
    <row r="378" spans="7:7">
      <c r="G378" t="str">
        <f>IF(A378="","",[1]!s_dq_close("881001.wi",A378))</f>
        <v/>
      </c>
    </row>
    <row r="379" spans="7:7">
      <c r="G379" t="str">
        <f>IF(A379="","",[1]!s_dq_close("881001.wi",A379))</f>
        <v/>
      </c>
    </row>
    <row r="380" spans="7:7">
      <c r="G380" t="str">
        <f>IF(A380="","",[1]!s_dq_close("881001.wi",A380))</f>
        <v/>
      </c>
    </row>
    <row r="381" spans="7:7">
      <c r="G381" t="str">
        <f>IF(A381="","",[1]!s_dq_close("881001.wi",A381))</f>
        <v/>
      </c>
    </row>
    <row r="382" spans="7:7">
      <c r="G382" t="str">
        <f>IF(A382="","",[1]!s_dq_close("881001.wi",A382))</f>
        <v/>
      </c>
    </row>
    <row r="383" spans="7:7">
      <c r="G383" t="str">
        <f>IF(A383="","",[1]!s_dq_close("881001.wi",A383))</f>
        <v/>
      </c>
    </row>
    <row r="384" spans="7:7">
      <c r="G384" t="str">
        <f>IF(A384="","",[1]!s_dq_close("881001.wi",A384))</f>
        <v/>
      </c>
    </row>
    <row r="385" spans="7:7">
      <c r="G385" t="str">
        <f>IF(A385="","",[1]!s_dq_close("881001.wi",A385))</f>
        <v/>
      </c>
    </row>
    <row r="386" spans="7:7">
      <c r="G386" t="str">
        <f>IF(A386="","",[1]!s_dq_close("881001.wi",A386))</f>
        <v/>
      </c>
    </row>
    <row r="387" spans="7:7">
      <c r="G387" t="str">
        <f>IF(A387="","",[1]!s_dq_close("881001.wi",A387))</f>
        <v/>
      </c>
    </row>
    <row r="388" spans="7:7">
      <c r="G388" t="str">
        <f>IF(A388="","",[1]!s_dq_close("881001.wi",A388))</f>
        <v/>
      </c>
    </row>
    <row r="389" spans="7:7">
      <c r="G389" t="str">
        <f>IF(A389="","",[1]!s_dq_close("881001.wi",A389))</f>
        <v/>
      </c>
    </row>
    <row r="390" spans="7:7">
      <c r="G390" t="str">
        <f>IF(A390="","",[1]!s_dq_close("881001.wi",A390))</f>
        <v/>
      </c>
    </row>
    <row r="391" spans="7:7">
      <c r="G391" t="str">
        <f>IF(A391="","",[1]!s_dq_close("881001.wi",A391))</f>
        <v/>
      </c>
    </row>
    <row r="392" spans="7:7">
      <c r="G392" t="str">
        <f>IF(A392="","",[1]!s_dq_close("881001.wi",A392))</f>
        <v/>
      </c>
    </row>
    <row r="393" spans="7:7">
      <c r="G393" t="str">
        <f>IF(A393="","",[1]!s_dq_close("881001.wi",A393))</f>
        <v/>
      </c>
    </row>
    <row r="394" spans="7:7">
      <c r="G394" t="str">
        <f>IF(A394="","",[1]!s_dq_close("881001.wi",A394))</f>
        <v/>
      </c>
    </row>
    <row r="395" spans="7:7">
      <c r="G395" t="str">
        <f>IF(A395="","",[1]!s_dq_close("881001.wi",A395))</f>
        <v/>
      </c>
    </row>
    <row r="396" spans="7:7">
      <c r="G396" t="str">
        <f>IF(A396="","",[1]!s_dq_close("881001.wi",A396))</f>
        <v/>
      </c>
    </row>
    <row r="397" spans="7:7">
      <c r="G397" t="str">
        <f>IF(A397="","",[1]!s_dq_close("881001.wi",A397))</f>
        <v/>
      </c>
    </row>
    <row r="398" spans="7:7">
      <c r="G398" t="str">
        <f>IF(A398="","",[1]!s_dq_close("881001.wi",A398))</f>
        <v/>
      </c>
    </row>
    <row r="399" spans="7:7">
      <c r="G399" t="str">
        <f>IF(A399="","",[1]!s_dq_close("881001.wi",A399))</f>
        <v/>
      </c>
    </row>
    <row r="400" spans="7:7">
      <c r="G400" t="str">
        <f>IF(A400="","",[1]!s_dq_close("881001.wi",A400))</f>
        <v/>
      </c>
    </row>
    <row r="401" spans="7:7">
      <c r="G401" t="str">
        <f>IF(A401="","",[1]!s_dq_close("881001.wi",A401))</f>
        <v/>
      </c>
    </row>
    <row r="402" spans="7:7">
      <c r="G402" t="str">
        <f>IF(A402="","",[1]!s_dq_close("881001.wi",A402))</f>
        <v/>
      </c>
    </row>
    <row r="403" spans="7:7">
      <c r="G403" t="str">
        <f>IF(A403="","",[1]!s_dq_close("881001.wi",A403))</f>
        <v/>
      </c>
    </row>
    <row r="404" spans="7:7">
      <c r="G404" t="str">
        <f>IF(A404="","",[1]!s_dq_close("881001.wi",A404))</f>
        <v/>
      </c>
    </row>
    <row r="405" spans="7:7">
      <c r="G405" t="str">
        <f>IF(A405="","",[1]!s_dq_close("881001.wi",A405))</f>
        <v/>
      </c>
    </row>
    <row r="406" spans="7:7">
      <c r="G406" t="str">
        <f>IF(A406="","",[1]!s_dq_close("881001.wi",A406))</f>
        <v/>
      </c>
    </row>
    <row r="407" spans="7:7">
      <c r="G407" t="str">
        <f>IF(A407="","",[1]!s_dq_close("881001.wi",A407))</f>
        <v/>
      </c>
    </row>
    <row r="408" spans="7:7">
      <c r="G408" t="str">
        <f>IF(A408="","",[1]!s_dq_close("881001.wi",A408))</f>
        <v/>
      </c>
    </row>
    <row r="409" spans="7:7">
      <c r="G409" t="str">
        <f>IF(A409="","",[1]!s_dq_close("881001.wi",A409))</f>
        <v/>
      </c>
    </row>
    <row r="410" spans="7:7">
      <c r="G410" t="str">
        <f>IF(A410="","",[1]!s_dq_close("881001.wi",A410))</f>
        <v/>
      </c>
    </row>
    <row r="411" spans="7:7">
      <c r="G411" t="str">
        <f>IF(A411="","",[1]!s_dq_close("881001.wi",A411))</f>
        <v/>
      </c>
    </row>
    <row r="412" spans="7:7">
      <c r="G412" t="str">
        <f>IF(A412="","",[1]!s_dq_close("881001.wi",A412))</f>
        <v/>
      </c>
    </row>
    <row r="413" spans="7:7">
      <c r="G413" t="str">
        <f>IF(A413="","",[1]!s_dq_close("881001.wi",A413))</f>
        <v/>
      </c>
    </row>
    <row r="414" spans="7:7">
      <c r="G414" t="str">
        <f>IF(A414="","",[1]!s_dq_close("881001.wi",A414))</f>
        <v/>
      </c>
    </row>
    <row r="415" spans="7:7">
      <c r="G415" t="str">
        <f>IF(A415="","",[1]!s_dq_close("881001.wi",A415))</f>
        <v/>
      </c>
    </row>
    <row r="416" spans="7:7">
      <c r="G416" t="str">
        <f>IF(A416="","",[1]!s_dq_close("881001.wi",A416))</f>
        <v/>
      </c>
    </row>
    <row r="417" spans="7:7">
      <c r="G417" t="str">
        <f>IF(A417="","",[1]!s_dq_close("881001.wi",A417))</f>
        <v/>
      </c>
    </row>
    <row r="418" spans="7:7">
      <c r="G418" t="str">
        <f>IF(A418="","",[1]!s_dq_close("881001.wi",A418))</f>
        <v/>
      </c>
    </row>
    <row r="419" spans="7:7">
      <c r="G419" t="str">
        <f>IF(A419="","",[1]!s_dq_close("881001.wi",A419))</f>
        <v/>
      </c>
    </row>
    <row r="420" spans="7:7">
      <c r="G420" t="str">
        <f>IF(A420="","",[1]!s_dq_close("881001.wi",A420))</f>
        <v/>
      </c>
    </row>
    <row r="421" spans="7:7">
      <c r="G421" t="str">
        <f>IF(A421="","",[1]!s_dq_close("881001.wi",A421))</f>
        <v/>
      </c>
    </row>
    <row r="422" spans="7:7">
      <c r="G422" t="str">
        <f>IF(A422="","",[1]!s_dq_close("881001.wi",A422))</f>
        <v/>
      </c>
    </row>
    <row r="423" spans="7:7">
      <c r="G423" t="str">
        <f>IF(A423="","",[1]!s_dq_close("881001.wi",A423))</f>
        <v/>
      </c>
    </row>
    <row r="424" spans="7:7">
      <c r="G424" t="str">
        <f>IF(A424="","",[1]!s_dq_close("881001.wi",A424))</f>
        <v/>
      </c>
    </row>
    <row r="425" spans="7:7">
      <c r="G425" t="str">
        <f>IF(A425="","",[1]!s_dq_close("881001.wi",A425))</f>
        <v/>
      </c>
    </row>
    <row r="426" spans="7:7">
      <c r="G426" t="str">
        <f>IF(A426="","",[1]!s_dq_close("881001.wi",A426))</f>
        <v/>
      </c>
    </row>
    <row r="427" spans="7:7">
      <c r="G427" t="str">
        <f>IF(A427="","",[1]!s_dq_close("881001.wi",A427))</f>
        <v/>
      </c>
    </row>
    <row r="428" spans="7:7">
      <c r="G428" t="str">
        <f>IF(A428="","",[1]!s_dq_close("881001.wi",A428))</f>
        <v/>
      </c>
    </row>
    <row r="429" spans="7:7">
      <c r="G429" t="str">
        <f>IF(A429="","",[1]!s_dq_close("881001.wi",A429))</f>
        <v/>
      </c>
    </row>
    <row r="430" spans="7:7">
      <c r="G430" t="str">
        <f>IF(A430="","",[1]!s_dq_close("881001.wi",A430))</f>
        <v/>
      </c>
    </row>
    <row r="431" spans="7:7">
      <c r="G431" t="str">
        <f>IF(A431="","",[1]!s_dq_close("881001.wi",A431))</f>
        <v/>
      </c>
    </row>
    <row r="432" spans="7:7">
      <c r="G432" t="str">
        <f>IF(A432="","",[1]!s_dq_close("881001.wi",A432))</f>
        <v/>
      </c>
    </row>
    <row r="433" spans="7:7">
      <c r="G433" t="str">
        <f>IF(A433="","",[1]!s_dq_close("881001.wi",A433))</f>
        <v/>
      </c>
    </row>
    <row r="434" spans="7:7">
      <c r="G434" t="str">
        <f>IF(A434="","",[1]!s_dq_close("881001.wi",A434))</f>
        <v/>
      </c>
    </row>
    <row r="435" spans="7:7">
      <c r="G435" t="str">
        <f>IF(A435="","",[1]!s_dq_close("881001.wi",A435))</f>
        <v/>
      </c>
    </row>
    <row r="436" spans="7:7">
      <c r="G436" t="str">
        <f>IF(A436="","",[1]!s_dq_close("881001.wi",A436))</f>
        <v/>
      </c>
    </row>
    <row r="437" spans="7:7">
      <c r="G437" t="str">
        <f>IF(A437="","",[1]!s_dq_close("881001.wi",A437))</f>
        <v/>
      </c>
    </row>
    <row r="438" spans="7:7">
      <c r="G438" t="str">
        <f>IF(A438="","",[1]!s_dq_close("881001.wi",A438))</f>
        <v/>
      </c>
    </row>
    <row r="439" spans="7:7">
      <c r="G439" t="str">
        <f>IF(A439="","",[1]!s_dq_close("881001.wi",A439))</f>
        <v/>
      </c>
    </row>
    <row r="440" spans="7:7">
      <c r="G440" t="str">
        <f>IF(A440="","",[1]!s_dq_close("881001.wi",A440))</f>
        <v/>
      </c>
    </row>
    <row r="441" spans="7:7">
      <c r="G441" t="str">
        <f>IF(A441="","",[1]!s_dq_close("881001.wi",A441))</f>
        <v/>
      </c>
    </row>
    <row r="442" spans="7:7">
      <c r="G442" t="str">
        <f>IF(A442="","",[1]!s_dq_close("881001.wi",A442))</f>
        <v/>
      </c>
    </row>
    <row r="443" spans="7:7">
      <c r="G443" t="str">
        <f>IF(A443="","",[1]!s_dq_close("881001.wi",A443))</f>
        <v/>
      </c>
    </row>
    <row r="444" spans="7:7">
      <c r="G444" t="str">
        <f>IF(A444="","",[1]!s_dq_close("881001.wi",A444))</f>
        <v/>
      </c>
    </row>
    <row r="445" spans="7:7">
      <c r="G445" t="str">
        <f>IF(A445="","",[1]!s_dq_close("881001.wi",A445))</f>
        <v/>
      </c>
    </row>
    <row r="446" spans="7:7">
      <c r="G446" t="str">
        <f>IF(A446="","",[1]!s_dq_close("881001.wi",A446))</f>
        <v/>
      </c>
    </row>
    <row r="447" spans="7:7">
      <c r="G447" t="str">
        <f>IF(A447="","",[1]!s_dq_close("881001.wi",A447))</f>
        <v/>
      </c>
    </row>
    <row r="448" spans="7:7">
      <c r="G448" t="str">
        <f>IF(A448="","",[1]!s_dq_close("881001.wi",A448))</f>
        <v/>
      </c>
    </row>
    <row r="449" spans="7:7">
      <c r="G449" t="str">
        <f>IF(A449="","",[1]!s_dq_close("881001.wi",A449))</f>
        <v/>
      </c>
    </row>
    <row r="450" spans="7:7">
      <c r="G450" t="str">
        <f>IF(A450="","",[1]!s_dq_close("881001.wi",A450))</f>
        <v/>
      </c>
    </row>
    <row r="451" spans="7:7">
      <c r="G451" t="str">
        <f>IF(A451="","",[1]!s_dq_close("881001.wi",A451))</f>
        <v/>
      </c>
    </row>
    <row r="452" spans="7:7">
      <c r="G452" t="str">
        <f>IF(A452="","",[1]!s_dq_close("881001.wi",A452))</f>
        <v/>
      </c>
    </row>
    <row r="453" spans="7:7">
      <c r="G453" t="str">
        <f>IF(A453="","",[1]!s_dq_close("881001.wi",A453))</f>
        <v/>
      </c>
    </row>
    <row r="454" spans="7:7">
      <c r="G454" t="str">
        <f>IF(A454="","",[1]!s_dq_close("881001.wi",A454))</f>
        <v/>
      </c>
    </row>
    <row r="455" spans="7:7">
      <c r="G455" t="str">
        <f>IF(A455="","",[1]!s_dq_close("881001.wi",A455))</f>
        <v/>
      </c>
    </row>
    <row r="456" spans="7:7">
      <c r="G456" t="str">
        <f>IF(A456="","",[1]!s_dq_close("881001.wi",A456))</f>
        <v/>
      </c>
    </row>
    <row r="457" spans="7:7">
      <c r="G457" t="str">
        <f>IF(A457="","",[1]!s_dq_close("881001.wi",A457))</f>
        <v/>
      </c>
    </row>
    <row r="458" spans="7:7">
      <c r="G458" t="str">
        <f>IF(A458="","",[1]!s_dq_close("881001.wi",A458))</f>
        <v/>
      </c>
    </row>
    <row r="459" spans="7:7">
      <c r="G459" t="str">
        <f>IF(A459="","",[1]!s_dq_close("881001.wi",A459))</f>
        <v/>
      </c>
    </row>
    <row r="460" spans="7:7">
      <c r="G460" t="str">
        <f>IF(A460="","",[1]!s_dq_close("881001.wi",A460))</f>
        <v/>
      </c>
    </row>
    <row r="461" spans="7:7">
      <c r="G461" t="str">
        <f>IF(A461="","",[1]!s_dq_close("881001.wi",A461))</f>
        <v/>
      </c>
    </row>
    <row r="462" spans="7:7">
      <c r="G462" t="str">
        <f>IF(A462="","",[1]!s_dq_close("881001.wi",A462))</f>
        <v/>
      </c>
    </row>
    <row r="463" spans="7:7">
      <c r="G463" t="str">
        <f>IF(A463="","",[1]!s_dq_close("881001.wi",A463))</f>
        <v/>
      </c>
    </row>
    <row r="464" spans="7:7">
      <c r="G464" t="str">
        <f>IF(A464="","",[1]!s_dq_close("881001.wi",A464))</f>
        <v/>
      </c>
    </row>
    <row r="465" spans="7:7">
      <c r="G465" t="str">
        <f>IF(A465="","",[1]!s_dq_close("881001.wi",A465))</f>
        <v/>
      </c>
    </row>
    <row r="466" spans="7:7">
      <c r="G466" t="str">
        <f>IF(A466="","",[1]!s_dq_close("881001.wi",A466))</f>
        <v/>
      </c>
    </row>
    <row r="467" spans="7:7">
      <c r="G467" t="str">
        <f>IF(A467="","",[1]!s_dq_close("881001.wi",A467))</f>
        <v/>
      </c>
    </row>
    <row r="468" spans="7:7">
      <c r="G468" t="str">
        <f>IF(A468="","",[1]!s_dq_close("881001.wi",A468))</f>
        <v/>
      </c>
    </row>
    <row r="469" spans="7:7">
      <c r="G469" t="str">
        <f>IF(A469="","",[1]!s_dq_close("881001.wi",A469))</f>
        <v/>
      </c>
    </row>
    <row r="470" spans="7:7">
      <c r="G470" t="str">
        <f>IF(A470="","",[1]!s_dq_close("881001.wi",A470))</f>
        <v/>
      </c>
    </row>
    <row r="471" spans="7:7">
      <c r="G471" t="str">
        <f>IF(A471="","",[1]!s_dq_close("881001.wi",A471))</f>
        <v/>
      </c>
    </row>
    <row r="472" spans="7:7">
      <c r="G472" t="str">
        <f>IF(A472="","",[1]!s_dq_close("881001.wi",A472))</f>
        <v/>
      </c>
    </row>
    <row r="473" spans="7:7">
      <c r="G473" t="str">
        <f>IF(A473="","",[1]!s_dq_close("881001.wi",A473))</f>
        <v/>
      </c>
    </row>
    <row r="474" spans="7:7">
      <c r="G474" t="str">
        <f>IF(A474="","",[1]!s_dq_close("881001.wi",A474))</f>
        <v/>
      </c>
    </row>
    <row r="475" spans="7:7">
      <c r="G475" t="str">
        <f>IF(A475="","",[1]!s_dq_close("881001.wi",A475))</f>
        <v/>
      </c>
    </row>
    <row r="476" spans="7:7">
      <c r="G476" t="str">
        <f>IF(A476="","",[1]!s_dq_close("881001.wi",A476))</f>
        <v/>
      </c>
    </row>
    <row r="477" spans="7:7">
      <c r="G477" t="str">
        <f>IF(A477="","",[1]!s_dq_close("881001.wi",A477))</f>
        <v/>
      </c>
    </row>
    <row r="478" spans="7:7">
      <c r="G478" t="str">
        <f>IF(A478="","",[1]!s_dq_close("881001.wi",A478))</f>
        <v/>
      </c>
    </row>
    <row r="479" spans="7:7">
      <c r="G479" t="str">
        <f>IF(A479="","",[1]!s_dq_close("881001.wi",A479))</f>
        <v/>
      </c>
    </row>
    <row r="480" spans="7:7">
      <c r="G480" t="str">
        <f>IF(A480="","",[1]!s_dq_close("881001.wi",A480))</f>
        <v/>
      </c>
    </row>
    <row r="481" spans="7:7">
      <c r="G481" t="str">
        <f>IF(A481="","",[1]!s_dq_close("881001.wi",A481))</f>
        <v/>
      </c>
    </row>
    <row r="482" spans="7:7">
      <c r="G482" t="str">
        <f>IF(A482="","",[1]!s_dq_close("881001.wi",A482))</f>
        <v/>
      </c>
    </row>
    <row r="483" spans="7:7">
      <c r="G483" t="str">
        <f>IF(A483="","",[1]!s_dq_close("881001.wi",A483))</f>
        <v/>
      </c>
    </row>
    <row r="484" spans="7:7">
      <c r="G484" t="str">
        <f>IF(A484="","",[1]!s_dq_close("881001.wi",A484))</f>
        <v/>
      </c>
    </row>
    <row r="485" spans="7:7">
      <c r="G485" t="str">
        <f>IF(A485="","",[1]!s_dq_close("881001.wi",A485))</f>
        <v/>
      </c>
    </row>
    <row r="486" spans="7:7">
      <c r="G486" t="str">
        <f>IF(A486="","",[1]!s_dq_close("881001.wi",A486))</f>
        <v/>
      </c>
    </row>
    <row r="487" spans="7:7">
      <c r="G487" t="str">
        <f>IF(A487="","",[1]!s_dq_close("881001.wi",A487))</f>
        <v/>
      </c>
    </row>
    <row r="488" spans="7:7">
      <c r="G488" t="str">
        <f>IF(A488="","",[1]!s_dq_close("881001.wi",A488))</f>
        <v/>
      </c>
    </row>
    <row r="489" spans="7:7">
      <c r="G489" t="str">
        <f>IF(A489="","",[1]!s_dq_close("881001.wi",A489))</f>
        <v/>
      </c>
    </row>
    <row r="490" spans="7:7">
      <c r="G490" t="str">
        <f>IF(A490="","",[1]!s_dq_close("881001.wi",A490))</f>
        <v/>
      </c>
    </row>
    <row r="491" spans="7:7">
      <c r="G491" t="str">
        <f>IF(A491="","",[1]!s_dq_close("881001.wi",A491))</f>
        <v/>
      </c>
    </row>
    <row r="492" spans="7:7">
      <c r="G492" t="str">
        <f>IF(A492="","",[1]!s_dq_close("881001.wi",A492))</f>
        <v/>
      </c>
    </row>
    <row r="493" spans="7:7">
      <c r="G493" t="str">
        <f>IF(A493="","",[1]!s_dq_close("881001.wi",A493))</f>
        <v/>
      </c>
    </row>
    <row r="494" spans="7:7">
      <c r="G494" t="str">
        <f>IF(A494="","",[1]!s_dq_close("881001.wi",A494))</f>
        <v/>
      </c>
    </row>
    <row r="495" spans="7:7">
      <c r="G495" t="str">
        <f>IF(A495="","",[1]!s_dq_close("881001.wi",A495))</f>
        <v/>
      </c>
    </row>
    <row r="496" spans="7:7">
      <c r="G496" t="str">
        <f>IF(A496="","",[1]!s_dq_close("881001.wi",A496))</f>
        <v/>
      </c>
    </row>
    <row r="497" spans="7:7">
      <c r="G497" t="str">
        <f>IF(A497="","",[1]!s_dq_close("881001.wi",A497))</f>
        <v/>
      </c>
    </row>
    <row r="498" spans="7:7">
      <c r="G498" t="str">
        <f>IF(A498="","",[1]!s_dq_close("881001.wi",A498))</f>
        <v/>
      </c>
    </row>
    <row r="499" spans="7:7">
      <c r="G499" t="str">
        <f>IF(A499="","",[1]!s_dq_close("881001.wi",A499))</f>
        <v/>
      </c>
    </row>
    <row r="500" spans="7:7">
      <c r="G500" t="str">
        <f>IF(A500="","",[1]!s_dq_close("881001.wi",A500))</f>
        <v/>
      </c>
    </row>
  </sheetData>
  <phoneticPr fontId="3" type="noConversion"/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/>
  <sheetData>
    <row r="1" spans="1:1">
      <c r="A1" t="s">
        <v>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融资融券资金动向</vt:lpstr>
      <vt:lpstr>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2024-04-17T03:40:39Z</dcterms:modified>
</cp:coreProperties>
</file>