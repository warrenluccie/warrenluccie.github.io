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Excel插件模板库项目\20230727 模板库-更新计划1期\基金\"/>
    </mc:Choice>
  </mc:AlternateContent>
  <bookViews>
    <workbookView xWindow="0" yWindow="0" windowWidth="28800" windowHeight="12240"/>
  </bookViews>
  <sheets>
    <sheet name="ETF基金概览" sheetId="2" r:id="rId1"/>
    <sheet name="Wind模板" sheetId="3" state="veryHidden" r:id="rId2"/>
  </sheets>
  <externalReferences>
    <externalReference r:id="rId3"/>
  </externalReferences>
  <definedNames>
    <definedName name="比较基金收益率" localSheetId="0">OFFSET(ETF基金概览!$AB$38,0,0,COUNTA(ETF基金概览!$AB$38:$AB$83)-1)</definedName>
    <definedName name="比较基准收益率" localSheetId="0">OFFSET(ETF基金概览!$AA$38,0,0,COUNTA(ETF基金概览!$AA$38:$AA$83)-1)</definedName>
    <definedName name="规模" localSheetId="0">OFFSET(ETF基金概览!$Z$15,0,0,COUNTA(ETF基金概览!$Z$15:$Z$35)-1)</definedName>
    <definedName name="基金业绩表现" localSheetId="0">OFFSET(ETF基金概览!$Z$38,0,0,COUNTA(ETF基金概览!$Z$38:$Z$83)-1)</definedName>
    <definedName name="年度回报" localSheetId="0">OFFSET(ETF基金概览!$AA$15,0,0,COUNTA(ETF基金概览!$AA$15:$AA$35)-1)</definedName>
    <definedName name="年度时间区间" localSheetId="0">OFFSET(ETF基金概览!$X$15,0,0,COUNTA(ETF基金概览!$X$15:$X$35)-1)</definedName>
    <definedName name="时间区间" localSheetId="0">OFFSET(ETF基金概览!$Y$37,0,0,COUNTA(ETF基金概览!$Y$38:$Y$83)-1)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7" i="2" l="1"/>
  <c r="M20" i="2"/>
  <c r="E19" i="2"/>
  <c r="M18" i="2"/>
  <c r="S3" i="2"/>
  <c r="R11" i="2"/>
  <c r="E18" i="2"/>
  <c r="M15" i="2"/>
  <c r="E4" i="2"/>
  <c r="R13" i="2"/>
  <c r="M12" i="2"/>
  <c r="M17" i="2"/>
  <c r="M14" i="2"/>
  <c r="R10" i="2"/>
  <c r="E16" i="2"/>
  <c r="E20" i="2"/>
  <c r="R15" i="2"/>
  <c r="M10" i="2"/>
  <c r="E15" i="2"/>
  <c r="M16" i="2"/>
  <c r="M4" i="2"/>
  <c r="R14" i="2"/>
  <c r="M13" i="2"/>
  <c r="E17" i="2"/>
  <c r="M11" i="2"/>
  <c r="R12" i="2"/>
  <c r="E21" i="2"/>
  <c r="M19" i="2"/>
  <c r="E22" i="2"/>
  <c r="M9" i="2"/>
  <c r="E10" i="2"/>
  <c r="X25" i="2" l="1"/>
  <c r="X24" i="2" s="1"/>
  <c r="X23" i="2" s="1"/>
  <c r="X22" i="2" s="1"/>
  <c r="X21" i="2" s="1"/>
  <c r="X20" i="2" s="1"/>
  <c r="X19" i="2" s="1"/>
  <c r="X18" i="2" s="1"/>
  <c r="X17" i="2" s="1"/>
  <c r="X16" i="2" s="1"/>
  <c r="X15" i="2" s="1"/>
  <c r="X9" i="2"/>
  <c r="X13" i="2"/>
  <c r="X12" i="2"/>
  <c r="X11" i="2"/>
  <c r="X10" i="2"/>
  <c r="Y38" i="2"/>
  <c r="Y36" i="2"/>
  <c r="T10" i="2"/>
  <c r="E9" i="2"/>
  <c r="E12" i="2"/>
  <c r="E13" i="2"/>
  <c r="Z38" i="2"/>
  <c r="T13" i="2"/>
  <c r="T15" i="2"/>
  <c r="E11" i="2"/>
  <c r="T12" i="2"/>
  <c r="T14" i="2"/>
  <c r="T11" i="2"/>
  <c r="AA38" i="2"/>
  <c r="E14" i="2"/>
  <c r="AB38" i="2"/>
  <c r="Y39" i="2"/>
  <c r="Y23" i="2" l="1"/>
  <c r="Y19" i="2"/>
  <c r="Y22" i="2"/>
  <c r="Y18" i="2"/>
  <c r="Y25" i="2"/>
  <c r="Y21" i="2"/>
  <c r="Y17" i="2"/>
  <c r="Y15" i="2"/>
  <c r="Y24" i="2"/>
  <c r="Y20" i="2"/>
  <c r="Y16" i="2"/>
  <c r="AA15" i="2"/>
  <c r="Z21" i="2"/>
  <c r="AB39" i="2"/>
  <c r="AA25" i="2"/>
  <c r="Z23" i="2"/>
  <c r="Z19" i="2"/>
  <c r="Z39" i="2"/>
  <c r="AA21" i="2"/>
  <c r="AA22" i="2"/>
  <c r="Z18" i="2"/>
  <c r="AA17" i="2"/>
  <c r="Y40" i="2"/>
  <c r="AA40" i="2" s="1"/>
  <c r="Z24" i="2"/>
  <c r="Z17" i="2"/>
  <c r="Z25" i="2"/>
  <c r="Z20" i="2"/>
  <c r="AA39" i="2"/>
  <c r="AA19" i="2"/>
  <c r="AA16" i="2"/>
  <c r="Z16" i="2"/>
  <c r="AA20" i="2"/>
  <c r="AA23" i="2"/>
  <c r="AA18" i="2"/>
  <c r="AA24" i="2"/>
  <c r="Z22" i="2"/>
  <c r="Z15" i="2"/>
  <c r="AB40" i="2"/>
  <c r="Z40" i="2"/>
  <c r="Y41" i="2" l="1"/>
  <c r="AA41" i="2"/>
  <c r="AB41" i="2"/>
  <c r="Z41" i="2"/>
  <c r="Y42" i="2" l="1"/>
  <c r="Z42" i="2"/>
  <c r="AA42" i="2"/>
  <c r="AB42" i="2"/>
  <c r="Y43" i="2" l="1"/>
  <c r="AB43" i="2"/>
  <c r="AA43" i="2"/>
  <c r="Z43" i="2"/>
  <c r="Y44" i="2" l="1"/>
  <c r="Z44" i="2"/>
  <c r="AB44" i="2"/>
  <c r="AA44" i="2"/>
  <c r="Y45" i="2" l="1"/>
  <c r="AA45" i="2"/>
  <c r="Z45" i="2"/>
  <c r="AB45" i="2"/>
  <c r="Y46" i="2" l="1"/>
  <c r="AA46" i="2"/>
  <c r="Z46" i="2"/>
  <c r="AB46" i="2"/>
  <c r="Y47" i="2" l="1"/>
  <c r="Z47" i="2"/>
  <c r="AA47" i="2"/>
  <c r="AB47" i="2"/>
  <c r="Y48" i="2" l="1"/>
  <c r="AB48" i="2"/>
  <c r="AA48" i="2"/>
  <c r="Z48" i="2"/>
  <c r="Y49" i="2" l="1"/>
  <c r="Z49" i="2"/>
  <c r="AB49" i="2"/>
  <c r="AA49" i="2"/>
  <c r="Y50" i="2" l="1"/>
  <c r="AB50" i="2"/>
  <c r="Z50" i="2"/>
  <c r="AA50" i="2"/>
  <c r="Y51" i="2" l="1"/>
  <c r="Z51" i="2"/>
  <c r="AB51" i="2"/>
  <c r="AA51" i="2"/>
  <c r="Y52" i="2" l="1"/>
  <c r="AA52" i="2"/>
  <c r="AB52" i="2"/>
  <c r="Z52" i="2"/>
  <c r="Y53" i="2" l="1"/>
  <c r="AA53" i="2"/>
  <c r="Z53" i="2"/>
  <c r="AB53" i="2"/>
  <c r="Y54" i="2" l="1"/>
  <c r="Z54" i="2"/>
  <c r="AA54" i="2"/>
  <c r="AB54" i="2"/>
  <c r="Y55" i="2" l="1"/>
  <c r="Z55" i="2"/>
  <c r="AB55" i="2"/>
  <c r="AA55" i="2"/>
  <c r="Y56" i="2" l="1"/>
  <c r="AB56" i="2"/>
  <c r="AA56" i="2"/>
  <c r="Z56" i="2"/>
  <c r="Y57" i="2" l="1"/>
  <c r="Z57" i="2"/>
  <c r="AA57" i="2"/>
  <c r="AB57" i="2"/>
  <c r="Y58" i="2" l="1"/>
  <c r="AA58" i="2"/>
  <c r="AB58" i="2"/>
  <c r="Z58" i="2"/>
  <c r="Y59" i="2" l="1"/>
  <c r="Z59" i="2"/>
  <c r="AA59" i="2"/>
  <c r="AB59" i="2"/>
  <c r="Y60" i="2" l="1"/>
  <c r="AB60" i="2"/>
  <c r="Z60" i="2"/>
  <c r="AA60" i="2"/>
  <c r="Y61" i="2" l="1"/>
  <c r="AB61" i="2"/>
  <c r="AA61" i="2"/>
  <c r="Z61" i="2"/>
  <c r="Y62" i="2" l="1"/>
  <c r="AA62" i="2"/>
  <c r="AB62" i="2"/>
  <c r="Z62" i="2"/>
  <c r="Y63" i="2" l="1"/>
  <c r="AA63" i="2"/>
  <c r="AB63" i="2"/>
  <c r="Z63" i="2"/>
  <c r="Y64" i="2" l="1"/>
  <c r="AB64" i="2"/>
  <c r="Z64" i="2"/>
  <c r="AA64" i="2"/>
  <c r="Y65" i="2" l="1"/>
  <c r="Z65" i="2"/>
  <c r="AA65" i="2"/>
  <c r="AB65" i="2"/>
  <c r="Y66" i="2" l="1"/>
  <c r="AA66" i="2"/>
  <c r="AB66" i="2"/>
  <c r="Z66" i="2"/>
  <c r="Y67" i="2" l="1"/>
  <c r="AA67" i="2"/>
  <c r="AB67" i="2"/>
  <c r="Z67" i="2"/>
  <c r="Y68" i="2" l="1"/>
  <c r="Z68" i="2"/>
  <c r="AA68" i="2"/>
  <c r="AB68" i="2"/>
  <c r="Y69" i="2" l="1"/>
  <c r="AB69" i="2"/>
  <c r="AA69" i="2"/>
  <c r="Z69" i="2"/>
  <c r="Y70" i="2" l="1"/>
  <c r="Z70" i="2"/>
  <c r="AA70" i="2"/>
  <c r="AB70" i="2"/>
  <c r="Y71" i="2" l="1"/>
  <c r="AB71" i="2"/>
  <c r="AA71" i="2"/>
  <c r="Z71" i="2"/>
  <c r="Y72" i="2" l="1"/>
  <c r="AA72" i="2"/>
  <c r="Z72" i="2"/>
  <c r="AB72" i="2"/>
  <c r="Y73" i="2" l="1"/>
  <c r="AA73" i="2"/>
  <c r="Z73" i="2"/>
  <c r="AB73" i="2"/>
  <c r="Y74" i="2" l="1"/>
  <c r="Z74" i="2"/>
  <c r="AA74" i="2"/>
  <c r="AB74" i="2"/>
  <c r="Y75" i="2" l="1"/>
  <c r="AB75" i="2"/>
  <c r="AA75" i="2"/>
  <c r="Z75" i="2"/>
  <c r="Y76" i="2" l="1"/>
  <c r="AB76" i="2"/>
  <c r="Z76" i="2"/>
  <c r="AA76" i="2"/>
  <c r="Y77" i="2" l="1"/>
  <c r="Z77" i="2"/>
  <c r="AB77" i="2"/>
  <c r="AA77" i="2"/>
  <c r="Y78" i="2"/>
  <c r="Z78" i="2"/>
  <c r="AA78" i="2"/>
  <c r="AB78" i="2"/>
  <c r="Y79" i="2"/>
  <c r="AB79" i="2"/>
  <c r="Z79" i="2"/>
  <c r="AA79" i="2"/>
  <c r="Y80" i="2"/>
  <c r="AA80" i="2"/>
  <c r="AB80" i="2"/>
  <c r="Z80" i="2"/>
  <c r="Y81" i="2"/>
  <c r="AB81" i="2"/>
  <c r="Z81" i="2"/>
  <c r="AA81" i="2"/>
  <c r="Y82" i="2"/>
  <c r="AA82" i="2"/>
  <c r="AB82" i="2"/>
  <c r="Z82" i="2"/>
  <c r="Y83" i="2"/>
  <c r="Z83" i="2"/>
  <c r="AA83" i="2"/>
  <c r="AB83" i="2"/>
</calcChain>
</file>

<file path=xl/sharedStrings.xml><?xml version="1.0" encoding="utf-8"?>
<sst xmlns="http://schemas.openxmlformats.org/spreadsheetml/2006/main" count="55" uniqueCount="55">
  <si>
    <t>销售服务费率（%）</t>
    <phoneticPr fontId="6" type="noConversion"/>
  </si>
  <si>
    <t>基金代码</t>
    <phoneticPr fontId="4" type="noConversion"/>
  </si>
  <si>
    <t>比较基金</t>
    <phoneticPr fontId="6" type="noConversion"/>
  </si>
  <si>
    <t>比较基准</t>
    <phoneticPr fontId="6" type="noConversion"/>
  </si>
  <si>
    <t>基金经理</t>
    <phoneticPr fontId="8" type="noConversion"/>
  </si>
  <si>
    <t>投资类型</t>
    <phoneticPr fontId="8" type="noConversion"/>
  </si>
  <si>
    <t>基金合同存续期</t>
    <phoneticPr fontId="8" type="noConversion"/>
  </si>
  <si>
    <t>基本信息</t>
    <phoneticPr fontId="8" type="noConversion"/>
  </si>
  <si>
    <t>基金规模（合计,亿元）</t>
    <phoneticPr fontId="8" type="noConversion"/>
  </si>
  <si>
    <t>交易购买信息</t>
    <phoneticPr fontId="8" type="noConversion"/>
  </si>
  <si>
    <t>单位净值</t>
    <phoneticPr fontId="8" type="noConversion"/>
  </si>
  <si>
    <t>折溢价率</t>
    <phoneticPr fontId="8" type="noConversion"/>
  </si>
  <si>
    <t>上市份额（亿份）</t>
    <phoneticPr fontId="8" type="noConversion"/>
  </si>
  <si>
    <t>赎回状态</t>
    <phoneticPr fontId="8" type="noConversion"/>
  </si>
  <si>
    <t>申购费率（%）</t>
    <phoneticPr fontId="8" type="noConversion"/>
  </si>
  <si>
    <t>管理费率（%）</t>
    <phoneticPr fontId="8" type="noConversion"/>
  </si>
  <si>
    <t>流通份额（亿份）</t>
    <phoneticPr fontId="8" type="noConversion"/>
  </si>
  <si>
    <t>申购状态</t>
    <phoneticPr fontId="8" type="noConversion"/>
  </si>
  <si>
    <t>起购金额（元）</t>
    <phoneticPr fontId="8" type="noConversion"/>
  </si>
  <si>
    <t>赎回费率（%）</t>
    <phoneticPr fontId="8" type="noConversion"/>
  </si>
  <si>
    <t>托管费率（%）</t>
    <phoneticPr fontId="8" type="noConversion"/>
  </si>
  <si>
    <t>基金业绩</t>
    <phoneticPr fontId="8" type="noConversion"/>
  </si>
  <si>
    <t>时间区间</t>
    <phoneticPr fontId="8" type="noConversion"/>
  </si>
  <si>
    <t>区间回报</t>
    <phoneticPr fontId="8" type="noConversion"/>
  </si>
  <si>
    <t>基准回报</t>
    <phoneticPr fontId="8" type="noConversion"/>
  </si>
  <si>
    <t>成立以来（%）</t>
    <phoneticPr fontId="8" type="noConversion"/>
  </si>
  <si>
    <t>时间区间</t>
    <phoneticPr fontId="8" type="noConversion"/>
  </si>
  <si>
    <t>基金规模</t>
    <phoneticPr fontId="8" type="noConversion"/>
  </si>
  <si>
    <t>年度回报</t>
    <phoneticPr fontId="8" type="noConversion"/>
  </si>
  <si>
    <t>基金简称</t>
    <phoneticPr fontId="8" type="noConversion"/>
  </si>
  <si>
    <t>比较基金简称</t>
    <phoneticPr fontId="8" type="noConversion"/>
  </si>
  <si>
    <t>比较基金代码</t>
    <phoneticPr fontId="4" type="noConversion"/>
  </si>
  <si>
    <t>截止日期</t>
    <phoneticPr fontId="8" type="noConversion"/>
  </si>
  <si>
    <t>159919.OF</t>
    <phoneticPr fontId="6" type="noConversion"/>
  </si>
  <si>
    <t>ETF基金速览</t>
    <phoneticPr fontId="8" type="noConversion"/>
  </si>
  <si>
    <r>
      <rPr>
        <sz val="9"/>
        <color theme="1"/>
        <rFont val="微软雅黑"/>
        <family val="2"/>
        <charset val="134"/>
      </rPr>
      <t>基金名称</t>
    </r>
    <phoneticPr fontId="8" type="noConversion"/>
  </si>
  <si>
    <r>
      <rPr>
        <sz val="9"/>
        <color theme="1"/>
        <rFont val="微软雅黑"/>
        <family val="2"/>
        <charset val="134"/>
      </rPr>
      <t>基金简称</t>
    </r>
    <phoneticPr fontId="8" type="noConversion"/>
  </si>
  <si>
    <r>
      <rPr>
        <sz val="9"/>
        <color theme="1"/>
        <rFont val="微软雅黑"/>
        <family val="2"/>
        <charset val="134"/>
      </rPr>
      <t>近3个月（%）</t>
    </r>
    <phoneticPr fontId="8" type="noConversion"/>
  </si>
  <si>
    <r>
      <rPr>
        <sz val="9"/>
        <color theme="1"/>
        <rFont val="微软雅黑"/>
        <family val="2"/>
        <charset val="134"/>
      </rPr>
      <t>基金主代码</t>
    </r>
    <phoneticPr fontId="8" type="noConversion"/>
  </si>
  <si>
    <r>
      <rPr>
        <sz val="9"/>
        <color theme="1"/>
        <rFont val="微软雅黑"/>
        <family val="2"/>
        <charset val="134"/>
      </rPr>
      <t>近6个月（%）</t>
    </r>
    <phoneticPr fontId="8" type="noConversion"/>
  </si>
  <si>
    <r>
      <rPr>
        <sz val="9"/>
        <color theme="1"/>
        <rFont val="微软雅黑"/>
        <family val="2"/>
        <charset val="134"/>
      </rPr>
      <t>基金运作方式</t>
    </r>
    <phoneticPr fontId="8" type="noConversion"/>
  </si>
  <si>
    <r>
      <rPr>
        <sz val="9"/>
        <color theme="1"/>
        <rFont val="微软雅黑"/>
        <family val="2"/>
        <charset val="134"/>
      </rPr>
      <t>近1年（%）</t>
    </r>
    <phoneticPr fontId="8" type="noConversion"/>
  </si>
  <si>
    <r>
      <rPr>
        <sz val="9"/>
        <color theme="1"/>
        <rFont val="微软雅黑"/>
        <family val="2"/>
        <charset val="134"/>
      </rPr>
      <t>基金管理人</t>
    </r>
    <phoneticPr fontId="8" type="noConversion"/>
  </si>
  <si>
    <r>
      <rPr>
        <sz val="9"/>
        <color theme="1"/>
        <rFont val="微软雅黑"/>
        <family val="2"/>
        <charset val="134"/>
      </rPr>
      <t>近3年（%）</t>
    </r>
    <phoneticPr fontId="8" type="noConversion"/>
  </si>
  <si>
    <r>
      <rPr>
        <sz val="9"/>
        <color theme="1"/>
        <rFont val="微软雅黑"/>
        <family val="2"/>
        <charset val="134"/>
      </rPr>
      <t>基金托管人</t>
    </r>
    <phoneticPr fontId="8" type="noConversion"/>
  </si>
  <si>
    <r>
      <rPr>
        <sz val="9"/>
        <color theme="1"/>
        <rFont val="微软雅黑"/>
        <family val="2"/>
        <charset val="134"/>
      </rPr>
      <t>近5年（%）</t>
    </r>
    <phoneticPr fontId="8" type="noConversion"/>
  </si>
  <si>
    <r>
      <rPr>
        <sz val="9"/>
        <color theme="1"/>
        <rFont val="微软雅黑"/>
        <family val="2"/>
        <charset val="134"/>
      </rPr>
      <t>基金成立日</t>
    </r>
    <phoneticPr fontId="8" type="noConversion"/>
  </si>
  <si>
    <r>
      <rPr>
        <sz val="9"/>
        <color theme="1"/>
        <rFont val="微软雅黑"/>
        <family val="2"/>
        <charset val="134"/>
      </rPr>
      <t>业绩比较基准</t>
    </r>
    <phoneticPr fontId="8" type="noConversion"/>
  </si>
  <si>
    <r>
      <rPr>
        <sz val="9"/>
        <color theme="1"/>
        <rFont val="微软雅黑"/>
        <family val="2"/>
        <charset val="134"/>
      </rPr>
      <t>投资目标</t>
    </r>
    <phoneticPr fontId="8" type="noConversion"/>
  </si>
  <si>
    <r>
      <rPr>
        <b/>
        <sz val="12"/>
        <rFont val="微软雅黑"/>
        <family val="2"/>
        <charset val="134"/>
      </rPr>
      <t>业绩表现</t>
    </r>
    <phoneticPr fontId="8" type="noConversion"/>
  </si>
  <si>
    <r>
      <rPr>
        <b/>
        <sz val="12"/>
        <rFont val="微软雅黑"/>
        <family val="2"/>
        <charset val="134"/>
      </rPr>
      <t>规模变化</t>
    </r>
    <phoneticPr fontId="8" type="noConversion"/>
  </si>
  <si>
    <r>
      <rPr>
        <b/>
        <sz val="12"/>
        <rFont val="微软雅黑"/>
        <family val="2"/>
        <charset val="134"/>
      </rPr>
      <t>年度回报</t>
    </r>
    <phoneticPr fontId="8" type="noConversion"/>
  </si>
  <si>
    <t>ETF上市日期</t>
    <phoneticPr fontId="8" type="noConversion"/>
  </si>
  <si>
    <t>510880.OF</t>
    <phoneticPr fontId="6" type="noConversion"/>
  </si>
  <si>
    <t>ETF基金概览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</si>
</sst>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76" formatCode="###,###,##0.00"/>
    <numFmt numFmtId="177" formatCode="0_);[Red]\(0\)"/>
    <numFmt numFmtId="178" formatCode="yyyy\-mm\-dd"/>
  </numFmts>
  <fonts count="25">
    <font>
      <sz val="11"/>
      <color theme="1"/>
      <name val="等线"/>
      <family val="2"/>
      <charset val="134"/>
      <scheme val="minor"/>
    </font>
    <font>
      <sz val="14"/>
      <color theme="1"/>
      <name val="微软雅黑"/>
      <family val="2"/>
      <charset val="134"/>
    </font>
    <font>
      <b/>
      <sz val="15"/>
      <color theme="3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color rgb="FF212121"/>
      <name val="Arial Unicode MS"/>
      <family val="2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sz val="14"/>
      <color theme="1"/>
      <name val="Arial"/>
      <family val="2"/>
    </font>
    <font>
      <sz val="20"/>
      <color theme="0"/>
      <name val="微软雅黑"/>
      <family val="2"/>
      <charset val="134"/>
    </font>
    <font>
      <b/>
      <sz val="15"/>
      <color theme="3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color rgb="FF212121"/>
      <name val="微软雅黑"/>
      <family val="2"/>
      <charset val="134"/>
    </font>
    <font>
      <sz val="10"/>
      <color rgb="FF212121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等线"/>
      <family val="2"/>
      <charset val="134"/>
      <scheme val="minor"/>
    </font>
    <font>
      <sz val="9"/>
      <color theme="0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4C65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14996795556505021"/>
      </bottom>
      <diagonal/>
    </border>
  </borders>
  <cellStyleXfs count="3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2" borderId="0" xfId="0" applyFill="1">
      <alignment vertical="center"/>
    </xf>
    <xf numFmtId="0" fontId="5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7" fillId="2" borderId="0" xfId="0" applyFont="1" applyFill="1">
      <alignment vertical="center"/>
    </xf>
    <xf numFmtId="14" fontId="3" fillId="2" borderId="0" xfId="0" applyNumberFormat="1" applyFont="1" applyFill="1">
      <alignment vertical="center"/>
    </xf>
    <xf numFmtId="0" fontId="0" fillId="3" borderId="0" xfId="0" applyFill="1" applyAlignment="1"/>
    <xf numFmtId="0" fontId="10" fillId="2" borderId="2" xfId="0" applyFont="1" applyFill="1" applyBorder="1" applyAlignment="1">
      <alignment vertical="top"/>
    </xf>
    <xf numFmtId="0" fontId="0" fillId="2" borderId="0" xfId="0" applyFill="1" applyAlignment="1"/>
    <xf numFmtId="0" fontId="9" fillId="2" borderId="0" xfId="0" applyFont="1" applyFill="1" applyAlignment="1">
      <alignment vertical="top"/>
    </xf>
    <xf numFmtId="0" fontId="0" fillId="5" borderId="0" xfId="0" applyFill="1" applyAlignment="1"/>
    <xf numFmtId="0" fontId="5" fillId="2" borderId="0" xfId="0" applyFont="1" applyFill="1" applyBorder="1">
      <alignment vertical="center"/>
    </xf>
    <xf numFmtId="0" fontId="0" fillId="2" borderId="0" xfId="0" applyFill="1" applyBorder="1" applyAlignment="1"/>
    <xf numFmtId="0" fontId="11" fillId="2" borderId="2" xfId="0" applyFont="1" applyFill="1" applyBorder="1" applyAlignment="1">
      <alignment vertical="top"/>
    </xf>
    <xf numFmtId="0" fontId="0" fillId="2" borderId="0" xfId="0" applyFont="1" applyFill="1">
      <alignment vertical="center"/>
    </xf>
    <xf numFmtId="14" fontId="7" fillId="2" borderId="0" xfId="0" applyNumberFormat="1" applyFont="1" applyFill="1">
      <alignment vertical="center"/>
    </xf>
    <xf numFmtId="176" fontId="7" fillId="2" borderId="0" xfId="0" applyNumberFormat="1" applyFont="1" applyFill="1">
      <alignment vertical="center"/>
    </xf>
    <xf numFmtId="0" fontId="7" fillId="2" borderId="0" xfId="0" applyNumberFormat="1" applyFont="1" applyFill="1">
      <alignment vertical="center"/>
    </xf>
    <xf numFmtId="177" fontId="7" fillId="0" borderId="0" xfId="0" applyNumberFormat="1" applyFont="1" applyFill="1">
      <alignment vertical="center"/>
    </xf>
    <xf numFmtId="49" fontId="13" fillId="6" borderId="0" xfId="0" applyNumberFormat="1" applyFont="1" applyFill="1" applyAlignment="1">
      <alignment horizontal="right" vertical="center"/>
    </xf>
    <xf numFmtId="14" fontId="15" fillId="2" borderId="1" xfId="1" applyNumberFormat="1" applyFont="1" applyFill="1">
      <alignment vertical="center"/>
    </xf>
    <xf numFmtId="0" fontId="16" fillId="2" borderId="0" xfId="0" applyFont="1" applyFill="1" applyAlignment="1"/>
    <xf numFmtId="0" fontId="16" fillId="2" borderId="0" xfId="0" applyFont="1" applyFill="1">
      <alignment vertical="center"/>
    </xf>
    <xf numFmtId="43" fontId="1" fillId="2" borderId="0" xfId="2" applyFont="1" applyFill="1" applyAlignment="1">
      <alignment horizontal="right"/>
    </xf>
    <xf numFmtId="0" fontId="17" fillId="2" borderId="0" xfId="0" applyFont="1" applyFill="1">
      <alignment vertical="center"/>
    </xf>
    <xf numFmtId="0" fontId="16" fillId="5" borderId="0" xfId="0" applyFont="1" applyFill="1" applyAlignment="1"/>
    <xf numFmtId="0" fontId="18" fillId="4" borderId="0" xfId="0" applyFont="1" applyFill="1" applyAlignment="1">
      <alignment vertical="top"/>
    </xf>
    <xf numFmtId="0" fontId="18" fillId="4" borderId="0" xfId="0" applyFont="1" applyFill="1" applyAlignment="1"/>
    <xf numFmtId="0" fontId="18" fillId="4" borderId="0" xfId="0" applyFont="1" applyFill="1" applyAlignment="1">
      <alignment horizontal="right" vertical="top"/>
    </xf>
    <xf numFmtId="0" fontId="18" fillId="2" borderId="0" xfId="0" applyFont="1" applyFill="1" applyAlignment="1">
      <alignment vertical="top"/>
    </xf>
    <xf numFmtId="0" fontId="18" fillId="2" borderId="0" xfId="0" applyFont="1" applyFill="1" applyAlignment="1"/>
    <xf numFmtId="2" fontId="18" fillId="2" borderId="0" xfId="0" applyNumberFormat="1" applyFont="1" applyFill="1" applyAlignment="1">
      <alignment horizontal="left"/>
    </xf>
    <xf numFmtId="0" fontId="17" fillId="2" borderId="0" xfId="0" applyFont="1" applyFill="1" applyBorder="1">
      <alignment vertical="center"/>
    </xf>
    <xf numFmtId="0" fontId="17" fillId="2" borderId="0" xfId="0" applyFont="1" applyFill="1" applyBorder="1" applyAlignment="1">
      <alignment vertical="center"/>
    </xf>
    <xf numFmtId="0" fontId="18" fillId="2" borderId="0" xfId="0" applyFont="1" applyFill="1" applyAlignment="1">
      <alignment horizontal="left"/>
    </xf>
    <xf numFmtId="2" fontId="19" fillId="2" borderId="0" xfId="0" applyNumberFormat="1" applyFont="1" applyFill="1" applyAlignment="1">
      <alignment vertical="top"/>
    </xf>
    <xf numFmtId="2" fontId="19" fillId="4" borderId="0" xfId="0" applyNumberFormat="1" applyFont="1" applyFill="1" applyAlignment="1">
      <alignment vertical="top"/>
    </xf>
    <xf numFmtId="2" fontId="19" fillId="4" borderId="0" xfId="0" applyNumberFormat="1" applyFont="1" applyFill="1" applyAlignment="1">
      <alignment horizontal="right"/>
    </xf>
    <xf numFmtId="2" fontId="19" fillId="2" borderId="0" xfId="0" applyNumberFormat="1" applyFont="1" applyFill="1" applyAlignment="1">
      <alignment horizontal="right"/>
    </xf>
    <xf numFmtId="2" fontId="19" fillId="4" borderId="0" xfId="0" applyNumberFormat="1" applyFont="1" applyFill="1" applyAlignment="1">
      <alignment horizontal="right" vertical="top"/>
    </xf>
    <xf numFmtId="43" fontId="1" fillId="2" borderId="0" xfId="2" applyFont="1" applyFill="1" applyAlignment="1"/>
    <xf numFmtId="0" fontId="20" fillId="5" borderId="0" xfId="0" applyFont="1" applyFill="1" applyAlignment="1"/>
    <xf numFmtId="0" fontId="20" fillId="2" borderId="0" xfId="0" applyFont="1" applyFill="1">
      <alignment vertical="center"/>
    </xf>
    <xf numFmtId="0" fontId="21" fillId="2" borderId="2" xfId="0" applyFont="1" applyFill="1" applyBorder="1" applyAlignment="1">
      <alignment vertical="top"/>
    </xf>
    <xf numFmtId="0" fontId="22" fillId="2" borderId="2" xfId="0" applyFont="1" applyFill="1" applyBorder="1" applyAlignment="1">
      <alignment vertical="top"/>
    </xf>
    <xf numFmtId="0" fontId="22" fillId="2" borderId="0" xfId="0" applyFont="1" applyFill="1" applyBorder="1" applyAlignment="1">
      <alignment vertical="top"/>
    </xf>
    <xf numFmtId="0" fontId="23" fillId="2" borderId="0" xfId="0" applyFont="1" applyFill="1">
      <alignment vertical="center"/>
    </xf>
    <xf numFmtId="0" fontId="3" fillId="2" borderId="0" xfId="0" applyFont="1" applyFill="1" applyBorder="1" applyAlignment="1"/>
    <xf numFmtId="0" fontId="24" fillId="2" borderId="0" xfId="0" applyFont="1" applyFill="1">
      <alignment vertical="center"/>
    </xf>
    <xf numFmtId="0" fontId="24" fillId="2" borderId="0" xfId="0" applyFont="1" applyFill="1" applyBorder="1">
      <alignment vertical="center"/>
    </xf>
    <xf numFmtId="178" fontId="13" fillId="2" borderId="0" xfId="0" applyNumberFormat="1" applyFont="1" applyFill="1" applyAlignment="1">
      <alignment horizontal="right" vertical="center"/>
    </xf>
    <xf numFmtId="14" fontId="13" fillId="2" borderId="0" xfId="0" applyNumberFormat="1" applyFont="1" applyFill="1" applyAlignment="1">
      <alignment horizontal="right" vertical="center"/>
    </xf>
    <xf numFmtId="0" fontId="14" fillId="3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top" wrapText="1"/>
    </xf>
    <xf numFmtId="14" fontId="15" fillId="2" borderId="1" xfId="1" applyNumberFormat="1" applyFont="1" applyFill="1" applyAlignment="1">
      <alignment horizontal="left" vertical="center"/>
    </xf>
    <xf numFmtId="49" fontId="13" fillId="6" borderId="0" xfId="0" applyNumberFormat="1" applyFont="1" applyFill="1" applyAlignment="1">
      <alignment horizontal="right" vertical="center"/>
    </xf>
    <xf numFmtId="43" fontId="1" fillId="2" borderId="0" xfId="2" applyFont="1" applyFill="1" applyAlignment="1">
      <alignment horizontal="right"/>
    </xf>
  </cellXfs>
  <cellStyles count="3">
    <cellStyle name="标题 1" xfId="1" builtinId="16"/>
    <cellStyle name="常规" xfId="0" builtinId="0"/>
    <cellStyle name="千位分隔" xfId="2" builtinId="3"/>
  </cellStyles>
  <dxfs count="0"/>
  <tableStyles count="0" defaultTableStyle="TableStyleMedium2" defaultPivotStyle="PivotStyleLight16"/>
  <colors>
    <mruColors>
      <color rgb="FF63636D"/>
      <color rgb="FF2276A1"/>
      <color rgb="FF5FBEC0"/>
      <color rgb="FFF686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24327950781518"/>
          <c:y val="6.4080394140102456E-2"/>
          <c:w val="0.85148249429006662"/>
          <c:h val="0.81360283235623587"/>
        </c:manualLayout>
      </c:layout>
      <c:lineChart>
        <c:grouping val="standard"/>
        <c:varyColors val="0"/>
        <c:ser>
          <c:idx val="0"/>
          <c:order val="0"/>
          <c:tx>
            <c:strRef>
              <c:f>ETF基金概览!$Z$37</c:f>
              <c:strCache>
                <c:ptCount val="1"/>
                <c:pt idx="0">
                  <c:v>510880.OF</c:v>
                </c:pt>
              </c:strCache>
            </c:strRef>
          </c:tx>
          <c:spPr>
            <a:ln w="28575" cap="rnd">
              <a:solidFill>
                <a:srgbClr val="2276A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ETF基金概览!$Y$38:$Y$70</c:f>
              <c:numCache>
                <c:formatCode>m/d/yyyy</c:formatCode>
                <c:ptCount val="33"/>
                <c:pt idx="0">
                  <c:v>45385</c:v>
                </c:pt>
                <c:pt idx="1">
                  <c:v>45258</c:v>
                </c:pt>
                <c:pt idx="2">
                  <c:v>45131</c:v>
                </c:pt>
                <c:pt idx="3">
                  <c:v>45002</c:v>
                </c:pt>
                <c:pt idx="4">
                  <c:v>44875</c:v>
                </c:pt>
                <c:pt idx="5">
                  <c:v>44748</c:v>
                </c:pt>
                <c:pt idx="6">
                  <c:v>44621</c:v>
                </c:pt>
                <c:pt idx="7">
                  <c:v>44494</c:v>
                </c:pt>
                <c:pt idx="8">
                  <c:v>44365</c:v>
                </c:pt>
                <c:pt idx="9">
                  <c:v>44237</c:v>
                </c:pt>
                <c:pt idx="10">
                  <c:v>44104</c:v>
                </c:pt>
                <c:pt idx="11">
                  <c:v>43977</c:v>
                </c:pt>
                <c:pt idx="12">
                  <c:v>43850</c:v>
                </c:pt>
                <c:pt idx="13">
                  <c:v>43720</c:v>
                </c:pt>
                <c:pt idx="14">
                  <c:v>43593</c:v>
                </c:pt>
                <c:pt idx="15">
                  <c:v>43462</c:v>
                </c:pt>
                <c:pt idx="16">
                  <c:v>43335</c:v>
                </c:pt>
                <c:pt idx="17">
                  <c:v>43208</c:v>
                </c:pt>
                <c:pt idx="18">
                  <c:v>43081</c:v>
                </c:pt>
                <c:pt idx="19">
                  <c:v>42954</c:v>
                </c:pt>
                <c:pt idx="20">
                  <c:v>42825</c:v>
                </c:pt>
                <c:pt idx="21">
                  <c:v>42698</c:v>
                </c:pt>
                <c:pt idx="22">
                  <c:v>42571</c:v>
                </c:pt>
                <c:pt idx="23">
                  <c:v>42444</c:v>
                </c:pt>
                <c:pt idx="24">
                  <c:v>42317</c:v>
                </c:pt>
                <c:pt idx="25">
                  <c:v>42188</c:v>
                </c:pt>
                <c:pt idx="26">
                  <c:v>42061</c:v>
                </c:pt>
                <c:pt idx="27">
                  <c:v>41934</c:v>
                </c:pt>
                <c:pt idx="28">
                  <c:v>41807</c:v>
                </c:pt>
                <c:pt idx="29">
                  <c:v>41680</c:v>
                </c:pt>
                <c:pt idx="30">
                  <c:v>41547</c:v>
                </c:pt>
                <c:pt idx="31">
                  <c:v>41418</c:v>
                </c:pt>
                <c:pt idx="32">
                  <c:v>41291</c:v>
                </c:pt>
              </c:numCache>
            </c:numRef>
          </c:cat>
          <c:val>
            <c:numRef>
              <c:f>ETF基金概览!$Z$38:$Z$70</c:f>
              <c:numCache>
                <c:formatCode>General</c:formatCode>
                <c:ptCount val="33"/>
                <c:pt idx="0">
                  <c:v>239.67968637979996</c:v>
                </c:pt>
                <c:pt idx="1">
                  <c:v>210.33962624749995</c:v>
                </c:pt>
                <c:pt idx="2">
                  <c:v>208.34010870899999</c:v>
                </c:pt>
                <c:pt idx="3">
                  <c:v>201.89606773</c:v>
                </c:pt>
                <c:pt idx="4">
                  <c:v>182.45310269399999</c:v>
                </c:pt>
                <c:pt idx="5">
                  <c:v>188.67084107400004</c:v>
                </c:pt>
                <c:pt idx="6">
                  <c:v>186.92395267199998</c:v>
                </c:pt>
                <c:pt idx="7">
                  <c:v>187.93498366400004</c:v>
                </c:pt>
                <c:pt idx="8">
                  <c:v>169.77623136800003</c:v>
                </c:pt>
                <c:pt idx="9">
                  <c:v>143.45753341999998</c:v>
                </c:pt>
                <c:pt idx="10">
                  <c:v>142.76455185839998</c:v>
                </c:pt>
                <c:pt idx="11">
                  <c:v>116.85137966250001</c:v>
                </c:pt>
                <c:pt idx="12">
                  <c:v>152.86460355199995</c:v>
                </c:pt>
                <c:pt idx="13">
                  <c:v>148.12237761960003</c:v>
                </c:pt>
                <c:pt idx="14">
                  <c:v>136.58501521880001</c:v>
                </c:pt>
                <c:pt idx="15">
                  <c:v>114.9040277144</c:v>
                </c:pt>
                <c:pt idx="16">
                  <c:v>119.9507139115</c:v>
                </c:pt>
                <c:pt idx="17">
                  <c:v>134.39238429759999</c:v>
                </c:pt>
                <c:pt idx="18">
                  <c:v>145.291455423</c:v>
                </c:pt>
                <c:pt idx="19">
                  <c:v>140.72415345019999</c:v>
                </c:pt>
                <c:pt idx="20">
                  <c:v>121.51414568079998</c:v>
                </c:pt>
                <c:pt idx="21">
                  <c:v>115.66069092000002</c:v>
                </c:pt>
                <c:pt idx="22">
                  <c:v>93.037309140000019</c:v>
                </c:pt>
                <c:pt idx="23">
                  <c:v>81.997720780000023</c:v>
                </c:pt>
                <c:pt idx="24">
                  <c:v>124.09536737400001</c:v>
                </c:pt>
                <c:pt idx="25">
                  <c:v>125.39027602299998</c:v>
                </c:pt>
                <c:pt idx="26">
                  <c:v>90.275400306000009</c:v>
                </c:pt>
                <c:pt idx="27">
                  <c:v>37.369344000000005</c:v>
                </c:pt>
                <c:pt idx="28">
                  <c:v>21.745791999999973</c:v>
                </c:pt>
                <c:pt idx="29">
                  <c:v>21.672095999999996</c:v>
                </c:pt>
                <c:pt idx="30">
                  <c:v>30.139113488000003</c:v>
                </c:pt>
                <c:pt idx="31">
                  <c:v>39.302839274</c:v>
                </c:pt>
                <c:pt idx="32">
                  <c:v>35.822044207999994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06-4E48-8257-F848222F2094}"/>
            </c:ext>
          </c:extLst>
        </c:ser>
        <c:ser>
          <c:idx val="1"/>
          <c:order val="1"/>
          <c:tx>
            <c:strRef>
              <c:f>ETF基金概览!$AA$37</c:f>
              <c:strCache>
                <c:ptCount val="1"/>
                <c:pt idx="0">
                  <c:v>比较基准</c:v>
                </c:pt>
              </c:strCache>
            </c:strRef>
          </c:tx>
          <c:spPr>
            <a:ln w="28575" cap="rnd">
              <a:solidFill>
                <a:srgbClr val="F6861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ETF基金概览!$Y$38:$Y$70</c:f>
              <c:numCache>
                <c:formatCode>m/d/yyyy</c:formatCode>
                <c:ptCount val="33"/>
                <c:pt idx="0">
                  <c:v>45385</c:v>
                </c:pt>
                <c:pt idx="1">
                  <c:v>45258</c:v>
                </c:pt>
                <c:pt idx="2">
                  <c:v>45131</c:v>
                </c:pt>
                <c:pt idx="3">
                  <c:v>45002</c:v>
                </c:pt>
                <c:pt idx="4">
                  <c:v>44875</c:v>
                </c:pt>
                <c:pt idx="5">
                  <c:v>44748</c:v>
                </c:pt>
                <c:pt idx="6">
                  <c:v>44621</c:v>
                </c:pt>
                <c:pt idx="7">
                  <c:v>44494</c:v>
                </c:pt>
                <c:pt idx="8">
                  <c:v>44365</c:v>
                </c:pt>
                <c:pt idx="9">
                  <c:v>44237</c:v>
                </c:pt>
                <c:pt idx="10">
                  <c:v>44104</c:v>
                </c:pt>
                <c:pt idx="11">
                  <c:v>43977</c:v>
                </c:pt>
                <c:pt idx="12">
                  <c:v>43850</c:v>
                </c:pt>
                <c:pt idx="13">
                  <c:v>43720</c:v>
                </c:pt>
                <c:pt idx="14">
                  <c:v>43593</c:v>
                </c:pt>
                <c:pt idx="15">
                  <c:v>43462</c:v>
                </c:pt>
                <c:pt idx="16">
                  <c:v>43335</c:v>
                </c:pt>
                <c:pt idx="17">
                  <c:v>43208</c:v>
                </c:pt>
                <c:pt idx="18">
                  <c:v>43081</c:v>
                </c:pt>
                <c:pt idx="19">
                  <c:v>42954</c:v>
                </c:pt>
                <c:pt idx="20">
                  <c:v>42825</c:v>
                </c:pt>
                <c:pt idx="21">
                  <c:v>42698</c:v>
                </c:pt>
                <c:pt idx="22">
                  <c:v>42571</c:v>
                </c:pt>
                <c:pt idx="23">
                  <c:v>42444</c:v>
                </c:pt>
                <c:pt idx="24">
                  <c:v>42317</c:v>
                </c:pt>
                <c:pt idx="25">
                  <c:v>42188</c:v>
                </c:pt>
                <c:pt idx="26">
                  <c:v>42061</c:v>
                </c:pt>
                <c:pt idx="27">
                  <c:v>41934</c:v>
                </c:pt>
                <c:pt idx="28">
                  <c:v>41807</c:v>
                </c:pt>
                <c:pt idx="29">
                  <c:v>41680</c:v>
                </c:pt>
                <c:pt idx="30">
                  <c:v>41547</c:v>
                </c:pt>
                <c:pt idx="31">
                  <c:v>41418</c:v>
                </c:pt>
                <c:pt idx="32">
                  <c:v>41291</c:v>
                </c:pt>
              </c:numCache>
            </c:numRef>
          </c:cat>
          <c:val>
            <c:numRef>
              <c:f>ETF基金概览!$AA$38:$AA$70</c:f>
              <c:numCache>
                <c:formatCode>General</c:formatCode>
                <c:ptCount val="33"/>
                <c:pt idx="0">
                  <c:v>134.863037109375</c:v>
                </c:pt>
                <c:pt idx="1">
                  <c:v>112.63433837890625</c:v>
                </c:pt>
                <c:pt idx="2">
                  <c:v>112.15373229980469</c:v>
                </c:pt>
                <c:pt idx="3">
                  <c:v>118.62153625488281</c:v>
                </c:pt>
                <c:pt idx="4">
                  <c:v>101.00753021240234</c:v>
                </c:pt>
                <c:pt idx="5">
                  <c:v>112.44045257568359</c:v>
                </c:pt>
                <c:pt idx="6">
                  <c:v>117.05284118652344</c:v>
                </c:pt>
                <c:pt idx="7">
                  <c:v>116.44776153564453</c:v>
                </c:pt>
                <c:pt idx="8">
                  <c:v>111.18856811523438</c:v>
                </c:pt>
                <c:pt idx="9">
                  <c:v>89.962478637695313</c:v>
                </c:pt>
                <c:pt idx="10">
                  <c:v>90.133659362792969</c:v>
                </c:pt>
                <c:pt idx="11">
                  <c:v>78.062492370605469</c:v>
                </c:pt>
                <c:pt idx="12">
                  <c:v>108.53138732910156</c:v>
                </c:pt>
                <c:pt idx="13">
                  <c:v>105.49278259277344</c:v>
                </c:pt>
                <c:pt idx="14">
                  <c:v>104.49591064453125</c:v>
                </c:pt>
                <c:pt idx="15">
                  <c:v>86.287063598632813</c:v>
                </c:pt>
                <c:pt idx="16">
                  <c:v>90.847930908203125</c:v>
                </c:pt>
                <c:pt idx="17">
                  <c:v>110.98735809326172</c:v>
                </c:pt>
                <c:pt idx="18">
                  <c:v>120.49414825439453</c:v>
                </c:pt>
                <c:pt idx="19">
                  <c:v>116.28827667236328</c:v>
                </c:pt>
                <c:pt idx="20">
                  <c:v>105.99629974365234</c:v>
                </c:pt>
                <c:pt idx="21">
                  <c:v>100.70572662353516</c:v>
                </c:pt>
                <c:pt idx="22">
                  <c:v>80.629531860351563</c:v>
                </c:pt>
                <c:pt idx="23">
                  <c:v>75.877960205078125</c:v>
                </c:pt>
                <c:pt idx="24">
                  <c:v>116.21234893798828</c:v>
                </c:pt>
                <c:pt idx="25">
                  <c:v>119.27010345458984</c:v>
                </c:pt>
                <c:pt idx="26">
                  <c:v>87.563621520996094</c:v>
                </c:pt>
                <c:pt idx="27">
                  <c:v>34.612651824951172</c:v>
                </c:pt>
                <c:pt idx="28">
                  <c:v>22.74043083190918</c:v>
                </c:pt>
                <c:pt idx="29">
                  <c:v>24.045890808105469</c:v>
                </c:pt>
                <c:pt idx="30">
                  <c:v>32.338088989257813</c:v>
                </c:pt>
                <c:pt idx="31">
                  <c:v>46.740161895751953</c:v>
                </c:pt>
                <c:pt idx="32">
                  <c:v>43.102958679199219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06-4E48-8257-F848222F2094}"/>
            </c:ext>
          </c:extLst>
        </c:ser>
        <c:ser>
          <c:idx val="2"/>
          <c:order val="2"/>
          <c:tx>
            <c:strRef>
              <c:f>ETF基金概览!$AB$37</c:f>
              <c:strCache>
                <c:ptCount val="1"/>
                <c:pt idx="0">
                  <c:v>比较基金</c:v>
                </c:pt>
              </c:strCache>
            </c:strRef>
          </c:tx>
          <c:spPr>
            <a:ln w="28575" cap="rnd">
              <a:solidFill>
                <a:srgbClr val="5FBE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FBEC0"/>
              </a:solidFill>
              <a:ln w="9525">
                <a:solidFill>
                  <a:srgbClr val="5FBEC0"/>
                </a:solidFill>
              </a:ln>
              <a:effectLst/>
            </c:spPr>
          </c:marker>
          <c:cat>
            <c:numRef>
              <c:f>ETF基金概览!$Y$38:$Y$70</c:f>
              <c:numCache>
                <c:formatCode>m/d/yyyy</c:formatCode>
                <c:ptCount val="33"/>
                <c:pt idx="0">
                  <c:v>45385</c:v>
                </c:pt>
                <c:pt idx="1">
                  <c:v>45258</c:v>
                </c:pt>
                <c:pt idx="2">
                  <c:v>45131</c:v>
                </c:pt>
                <c:pt idx="3">
                  <c:v>45002</c:v>
                </c:pt>
                <c:pt idx="4">
                  <c:v>44875</c:v>
                </c:pt>
                <c:pt idx="5">
                  <c:v>44748</c:v>
                </c:pt>
                <c:pt idx="6">
                  <c:v>44621</c:v>
                </c:pt>
                <c:pt idx="7">
                  <c:v>44494</c:v>
                </c:pt>
                <c:pt idx="8">
                  <c:v>44365</c:v>
                </c:pt>
                <c:pt idx="9">
                  <c:v>44237</c:v>
                </c:pt>
                <c:pt idx="10">
                  <c:v>44104</c:v>
                </c:pt>
                <c:pt idx="11">
                  <c:v>43977</c:v>
                </c:pt>
                <c:pt idx="12">
                  <c:v>43850</c:v>
                </c:pt>
                <c:pt idx="13">
                  <c:v>43720</c:v>
                </c:pt>
                <c:pt idx="14">
                  <c:v>43593</c:v>
                </c:pt>
                <c:pt idx="15">
                  <c:v>43462</c:v>
                </c:pt>
                <c:pt idx="16">
                  <c:v>43335</c:v>
                </c:pt>
                <c:pt idx="17">
                  <c:v>43208</c:v>
                </c:pt>
                <c:pt idx="18">
                  <c:v>43081</c:v>
                </c:pt>
                <c:pt idx="19">
                  <c:v>42954</c:v>
                </c:pt>
                <c:pt idx="20">
                  <c:v>42825</c:v>
                </c:pt>
                <c:pt idx="21">
                  <c:v>42698</c:v>
                </c:pt>
                <c:pt idx="22">
                  <c:v>42571</c:v>
                </c:pt>
                <c:pt idx="23">
                  <c:v>42444</c:v>
                </c:pt>
                <c:pt idx="24">
                  <c:v>42317</c:v>
                </c:pt>
                <c:pt idx="25">
                  <c:v>42188</c:v>
                </c:pt>
                <c:pt idx="26">
                  <c:v>42061</c:v>
                </c:pt>
                <c:pt idx="27">
                  <c:v>41934</c:v>
                </c:pt>
                <c:pt idx="28">
                  <c:v>41807</c:v>
                </c:pt>
                <c:pt idx="29">
                  <c:v>41680</c:v>
                </c:pt>
                <c:pt idx="30">
                  <c:v>41547</c:v>
                </c:pt>
                <c:pt idx="31">
                  <c:v>41418</c:v>
                </c:pt>
                <c:pt idx="32">
                  <c:v>41291</c:v>
                </c:pt>
              </c:numCache>
            </c:numRef>
          </c:cat>
          <c:val>
            <c:numRef>
              <c:f>ETF基金概览!$AB$38:$AB$70</c:f>
              <c:numCache>
                <c:formatCode>General</c:formatCode>
                <c:ptCount val="33"/>
                <c:pt idx="0">
                  <c:v>64.552689930200003</c:v>
                </c:pt>
                <c:pt idx="1">
                  <c:v>62.360788167599999</c:v>
                </c:pt>
                <c:pt idx="2">
                  <c:v>75.183191176400001</c:v>
                </c:pt>
                <c:pt idx="3">
                  <c:v>79.006792628400021</c:v>
                </c:pt>
                <c:pt idx="4">
                  <c:v>66.766821933800017</c:v>
                </c:pt>
                <c:pt idx="5">
                  <c:v>98.289303671800027</c:v>
                </c:pt>
                <c:pt idx="6">
                  <c:v>105.40298079180003</c:v>
                </c:pt>
                <c:pt idx="7">
                  <c:v>121.54658180599998</c:v>
                </c:pt>
                <c:pt idx="8">
                  <c:v>124.43799445200003</c:v>
                </c:pt>
                <c:pt idx="9">
                  <c:v>153.96988646400001</c:v>
                </c:pt>
                <c:pt idx="10">
                  <c:v>101.03610764160003</c:v>
                </c:pt>
                <c:pt idx="11">
                  <c:v>66.944236030000013</c:v>
                </c:pt>
                <c:pt idx="12">
                  <c:v>80.350717845200023</c:v>
                </c:pt>
                <c:pt idx="13">
                  <c:v>71.452685582800029</c:v>
                </c:pt>
                <c:pt idx="14">
                  <c:v>55.278304418800019</c:v>
                </c:pt>
                <c:pt idx="15">
                  <c:v>27.860234400000007</c:v>
                </c:pt>
                <c:pt idx="16">
                  <c:v>40.867181000000016</c:v>
                </c:pt>
                <c:pt idx="17">
                  <c:v>56.981576199999992</c:v>
                </c:pt>
                <c:pt idx="18">
                  <c:v>67.721958200000003</c:v>
                </c:pt>
                <c:pt idx="19">
                  <c:v>55.94576</c:v>
                </c:pt>
                <c:pt idx="20">
                  <c:v>42.396060999999996</c:v>
                </c:pt>
                <c:pt idx="21">
                  <c:v>43.829385999999992</c:v>
                </c:pt>
                <c:pt idx="22">
                  <c:v>32.901716199999996</c:v>
                </c:pt>
                <c:pt idx="23">
                  <c:v>24.076256399999995</c:v>
                </c:pt>
                <c:pt idx="24">
                  <c:v>54.650034200000007</c:v>
                </c:pt>
                <c:pt idx="25">
                  <c:v>55.104876000000004</c:v>
                </c:pt>
                <c:pt idx="26">
                  <c:v>41.669843000000007</c:v>
                </c:pt>
                <c:pt idx="27">
                  <c:v>-3.4588724000000015</c:v>
                </c:pt>
                <c:pt idx="28">
                  <c:v>-14.795517599999997</c:v>
                </c:pt>
                <c:pt idx="29">
                  <c:v>-11.462559200000012</c:v>
                </c:pt>
                <c:pt idx="30">
                  <c:v>-5.8439251999999993</c:v>
                </c:pt>
                <c:pt idx="31">
                  <c:v>-0.7298216000000024</c:v>
                </c:pt>
                <c:pt idx="32">
                  <c:v>-2.4536338000000102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F1-43BB-8BCD-C22E2A60C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525055"/>
        <c:axId val="464518399"/>
      </c:lineChart>
      <c:dateAx>
        <c:axId val="4645250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4518399"/>
        <c:crosses val="autoZero"/>
        <c:auto val="1"/>
        <c:lblOffset val="100"/>
        <c:baseTimeUnit val="months"/>
        <c:majorUnit val="9"/>
        <c:majorTimeUnit val="months"/>
      </c:dateAx>
      <c:valAx>
        <c:axId val="4645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净值增长率（</a:t>
                </a:r>
                <a:r>
                  <a:rPr lang="en-US" altLang="zh-CN" sz="1200"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%</a:t>
                </a:r>
                <a:r>
                  <a:rPr lang="zh-CN" altLang="en-US" sz="1200"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"/>
              <c:y val="0.307293014154205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4525055"/>
        <c:crossesAt val="41518"/>
        <c:crossBetween val="between"/>
        <c:majorUnit val="3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6912170189252661E-2"/>
          <c:y val="6.45358634023738E-2"/>
          <c:w val="0.17781577929596429"/>
          <c:h val="0.169174071879417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84111599214213"/>
          <c:y val="3.5970713607975865E-2"/>
          <c:w val="0.78294559476598624"/>
          <c:h val="0.886490383563160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276A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ETF基金概览!$X$15:$X$25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ETF基金概览!$Z$15:$Z$25</c:f>
              <c:numCache>
                <c:formatCode>###,###,##0.00</c:formatCode>
                <c:ptCount val="11"/>
                <c:pt idx="0">
                  <c:v>12.8533834774</c:v>
                </c:pt>
                <c:pt idx="1">
                  <c:v>6.4436084578999999</c:v>
                </c:pt>
                <c:pt idx="2">
                  <c:v>8.2563986278999995</c:v>
                </c:pt>
                <c:pt idx="3">
                  <c:v>14.236671251400001</c:v>
                </c:pt>
                <c:pt idx="4">
                  <c:v>23.550821151699999</c:v>
                </c:pt>
                <c:pt idx="5">
                  <c:v>30.692827164800001</c:v>
                </c:pt>
                <c:pt idx="6">
                  <c:v>91.293914992900014</c:v>
                </c:pt>
                <c:pt idx="7">
                  <c:v>177.73642881330002</c:v>
                </c:pt>
                <c:pt idx="8">
                  <c:v>142.29491409600001</c:v>
                </c:pt>
                <c:pt idx="9">
                  <c:v>166.44459033620001</c:v>
                </c:pt>
                <c:pt idx="10">
                  <c:v>166.44459033620001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9-400E-BCB1-558EAF0E5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2224048"/>
        <c:axId val="1492216560"/>
      </c:barChart>
      <c:catAx>
        <c:axId val="149222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492216560"/>
        <c:crosses val="autoZero"/>
        <c:auto val="1"/>
        <c:lblAlgn val="ctr"/>
        <c:lblOffset val="100"/>
        <c:noMultiLvlLbl val="0"/>
      </c:catAx>
      <c:valAx>
        <c:axId val="149221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Arial" panose="020B0604020202020204" pitchFamily="34" charset="0"/>
                  </a:defRPr>
                </a:pPr>
                <a:r>
                  <a:rPr lang="zh-CN" sz="1200">
                    <a:latin typeface="微软雅黑" panose="020B0503020204020204" pitchFamily="34" charset="-122"/>
                    <a:ea typeface="微软雅黑" panose="020B0503020204020204" pitchFamily="34" charset="-122"/>
                    <a:cs typeface="Arial" panose="020B0604020202020204" pitchFamily="34" charset="0"/>
                  </a:rPr>
                  <a:t>基金规模（亿元）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49222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977337358137056"/>
          <c:y val="3.6599049682227505E-2"/>
          <c:w val="0.79932215446476451"/>
          <c:h val="0.926801900635545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ETF基金概览!$AA$14</c:f>
              <c:strCache>
                <c:ptCount val="1"/>
                <c:pt idx="0">
                  <c:v>年度回报</c:v>
                </c:pt>
              </c:strCache>
            </c:strRef>
          </c:tx>
          <c:spPr>
            <a:solidFill>
              <a:srgbClr val="2276A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ETF基金概览!$Y$15:$Y$25</c:f>
              <c:numCache>
                <c:formatCode>m/d/yyyy</c:formatCode>
                <c:ptCount val="11"/>
                <c:pt idx="0">
                  <c:v>42004</c:v>
                </c:pt>
                <c:pt idx="1">
                  <c:v>42369</c:v>
                </c:pt>
                <c:pt idx="2">
                  <c:v>42735</c:v>
                </c:pt>
                <c:pt idx="3">
                  <c:v>43100</c:v>
                </c:pt>
                <c:pt idx="4">
                  <c:v>43465</c:v>
                </c:pt>
                <c:pt idx="5">
                  <c:v>43830</c:v>
                </c:pt>
                <c:pt idx="6">
                  <c:v>44196</c:v>
                </c:pt>
                <c:pt idx="7">
                  <c:v>44561</c:v>
                </c:pt>
                <c:pt idx="8">
                  <c:v>44926</c:v>
                </c:pt>
                <c:pt idx="9">
                  <c:v>45291</c:v>
                </c:pt>
                <c:pt idx="10">
                  <c:v>45657</c:v>
                </c:pt>
              </c:numCache>
            </c:numRef>
          </c:cat>
          <c:val>
            <c:numRef>
              <c:f>ETF基金概览!$AA$15:$AA$25</c:f>
              <c:numCache>
                <c:formatCode>###,###,##0.00</c:formatCode>
                <c:ptCount val="11"/>
                <c:pt idx="0">
                  <c:v>56.598692411333417</c:v>
                </c:pt>
                <c:pt idx="1">
                  <c:v>11.539106089948849</c:v>
                </c:pt>
                <c:pt idx="2">
                  <c:v>-4.0536972999059602</c:v>
                </c:pt>
                <c:pt idx="3">
                  <c:v>20.418837720921331</c:v>
                </c:pt>
                <c:pt idx="4">
                  <c:v>-13.89891163270603</c:v>
                </c:pt>
                <c:pt idx="5">
                  <c:v>16.506592215993145</c:v>
                </c:pt>
                <c:pt idx="6">
                  <c:v>-0.71137725078876213</c:v>
                </c:pt>
                <c:pt idx="7">
                  <c:v>10.935854478448585</c:v>
                </c:pt>
                <c:pt idx="8">
                  <c:v>2.4729117055602994</c:v>
                </c:pt>
                <c:pt idx="9">
                  <c:v>7.4105981610169041</c:v>
                </c:pt>
                <c:pt idx="10">
                  <c:v>11.908659184934109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2D-4BDE-9901-42394E08EA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1804320"/>
        <c:axId val="1741804736"/>
      </c:barChart>
      <c:dateAx>
        <c:axId val="17418043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741804736"/>
        <c:crosses val="autoZero"/>
        <c:auto val="1"/>
        <c:lblOffset val="100"/>
        <c:baseTimeUnit val="years"/>
      </c:dateAx>
      <c:valAx>
        <c:axId val="174180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r>
                  <a:rPr lang="zh-CN" altLang="en-US" sz="1200"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年度回报（</a:t>
                </a:r>
                <a:r>
                  <a:rPr lang="en-US" altLang="zh-CN" sz="1200"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%</a:t>
                </a:r>
                <a:r>
                  <a:rPr lang="zh-CN" altLang="en-US" sz="1200">
                    <a:latin typeface="微软雅黑" panose="020B0503020204020204" pitchFamily="34" charset="-122"/>
                    <a:ea typeface="微软雅黑" panose="020B0503020204020204" pitchFamily="34" charset="-122"/>
                  </a:rPr>
                  <a:t>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74180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</xdr:colOff>
      <xdr:row>25</xdr:row>
      <xdr:rowOff>85725</xdr:rowOff>
    </xdr:from>
    <xdr:to>
      <xdr:col>8</xdr:col>
      <xdr:colOff>74542</xdr:colOff>
      <xdr:row>46</xdr:row>
      <xdr:rowOff>85726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</xdr:colOff>
      <xdr:row>25</xdr:row>
      <xdr:rowOff>66675</xdr:rowOff>
    </xdr:from>
    <xdr:to>
      <xdr:col>14</xdr:col>
      <xdr:colOff>0</xdr:colOff>
      <xdr:row>46</xdr:row>
      <xdr:rowOff>85725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9525</xdr:colOff>
      <xdr:row>25</xdr:row>
      <xdr:rowOff>114302</xdr:rowOff>
    </xdr:from>
    <xdr:to>
      <xdr:col>20</xdr:col>
      <xdr:colOff>123825</xdr:colOff>
      <xdr:row>46</xdr:row>
      <xdr:rowOff>28575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0</xdr:colOff>
      <xdr:row>0</xdr:row>
      <xdr:rowOff>76200</xdr:rowOff>
    </xdr:from>
    <xdr:ext cx="607152" cy="219075"/>
    <xdr:pic>
      <xdr:nvPicPr>
        <xdr:cNvPr id="8" name="图片 7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76200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f_dq_discountratio"/>
      <definedName name="f_info_benchmark"/>
      <definedName name="f_info_code"/>
      <definedName name="f_info_custodianbank"/>
      <definedName name="f_info_custodianfeeratio"/>
      <definedName name="f_info_etfdealshareonmarket"/>
      <definedName name="f_info_etflisteddate"/>
      <definedName name="f_info_firstinvesttype"/>
      <definedName name="f_info_fullname"/>
      <definedName name="f_info_fundmanager"/>
      <definedName name="f_info_investobject"/>
      <definedName name="f_info_managementfeeratio"/>
      <definedName name="f_info_mgrcomp"/>
      <definedName name="f_info_name"/>
      <definedName name="f_info_pchmstatus"/>
      <definedName name="f_info_ptmyear"/>
      <definedName name="f_info_purchasefee"/>
      <definedName name="f_info_redemptionfee"/>
      <definedName name="f_info_redmstatus"/>
      <definedName name="f_info_salefeeratio"/>
      <definedName name="f_info_setupdate"/>
      <definedName name="f_info_type"/>
      <definedName name="f_nav_adjustedreturn_org"/>
      <definedName name="f_nav_unit"/>
      <definedName name="f_netasset_total"/>
      <definedName name="f_pchredm_redmminamt"/>
      <definedName name="f_quot_benchreturn"/>
      <definedName name="f_return_1y"/>
      <definedName name="f_return_3m"/>
      <definedName name="f_return_3y"/>
      <definedName name="f_return_5y"/>
      <definedName name="f_return_6m"/>
      <definedName name="f_return_std"/>
      <definedName name="f_return_y"/>
      <definedName name="f_unit_floortrading"/>
      <definedName name="td"/>
      <definedName name="TDaysOff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B1:AJ1076"/>
  <sheetViews>
    <sheetView showGridLines="0" tabSelected="1" zoomScaleNormal="100" workbookViewId="0">
      <pane ySplit="1" topLeftCell="A2" activePane="bottomLeft" state="frozen"/>
      <selection pane="bottomLeft" activeCell="A34" sqref="A34"/>
    </sheetView>
  </sheetViews>
  <sheetFormatPr defaultRowHeight="14.25"/>
  <cols>
    <col min="1" max="1" width="3.25" style="1" customWidth="1"/>
    <col min="2" max="2" width="1.75" style="1" customWidth="1"/>
    <col min="3" max="3" width="1.5" style="1" customWidth="1"/>
    <col min="4" max="4" width="20.125" style="1" customWidth="1"/>
    <col min="5" max="5" width="17.5" style="1" customWidth="1"/>
    <col min="6" max="6" width="11.625" style="1" customWidth="1"/>
    <col min="7" max="7" width="6" style="1" customWidth="1"/>
    <col min="8" max="8" width="7.875" style="1" customWidth="1"/>
    <col min="9" max="10" width="1.75" style="1" customWidth="1"/>
    <col min="11" max="11" width="1.875" style="1" customWidth="1"/>
    <col min="12" max="12" width="20.125" style="1" customWidth="1"/>
    <col min="13" max="13" width="33" style="1" customWidth="1"/>
    <col min="14" max="14" width="2.375" style="1" customWidth="1"/>
    <col min="15" max="16" width="1.75" style="1" customWidth="1"/>
    <col min="17" max="17" width="16" style="1" customWidth="1"/>
    <col min="18" max="18" width="13.125" style="1" customWidth="1"/>
    <col min="19" max="19" width="12.75" style="1" customWidth="1"/>
    <col min="20" max="20" width="12" style="1" customWidth="1"/>
    <col min="21" max="21" width="1.75" style="1" customWidth="1"/>
    <col min="22" max="22" width="1.875" style="1" customWidth="1"/>
    <col min="23" max="23" width="9" style="1"/>
    <col min="24" max="25" width="11.125" style="3" bestFit="1" customWidth="1"/>
    <col min="26" max="26" width="11.25" style="3" bestFit="1" customWidth="1"/>
    <col min="27" max="27" width="10.375" style="3" customWidth="1"/>
    <col min="28" max="28" width="9" style="3"/>
    <col min="29" max="36" width="9" style="46"/>
    <col min="37" max="16384" width="9" style="1"/>
  </cols>
  <sheetData>
    <row r="1" spans="2:27" ht="27.75">
      <c r="B1" s="6"/>
      <c r="C1" s="6"/>
      <c r="D1" s="6"/>
      <c r="E1" s="52" t="s">
        <v>34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6"/>
      <c r="T1" s="6"/>
      <c r="U1" s="6"/>
      <c r="V1" s="6"/>
      <c r="W1" s="12"/>
      <c r="X1" s="47"/>
      <c r="Y1" s="47"/>
      <c r="Z1" s="48"/>
    </row>
    <row r="2" spans="2:27" ht="8.25" customHeight="1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2"/>
      <c r="X2" s="47"/>
      <c r="Y2" s="47"/>
      <c r="Z2" s="48"/>
    </row>
    <row r="3" spans="2:27" ht="22.5" thickBot="1">
      <c r="B3" s="10"/>
      <c r="D3" s="20" t="s">
        <v>1</v>
      </c>
      <c r="E3" s="55" t="s">
        <v>53</v>
      </c>
      <c r="F3" s="55"/>
      <c r="G3" s="55"/>
      <c r="H3" s="55"/>
      <c r="I3" s="21"/>
      <c r="J3" s="21"/>
      <c r="K3" s="22"/>
      <c r="L3" s="20" t="s">
        <v>31</v>
      </c>
      <c r="M3" s="19" t="s">
        <v>33</v>
      </c>
      <c r="N3" s="21"/>
      <c r="O3" s="21"/>
      <c r="P3" s="21"/>
      <c r="Q3" s="54" t="s">
        <v>32</v>
      </c>
      <c r="R3" s="54"/>
      <c r="S3" s="50">
        <f ca="1">[1]!TDaysOffset(TODAY(),"Offset=-1")</f>
        <v>45385</v>
      </c>
      <c r="T3" s="51"/>
      <c r="U3" s="2"/>
      <c r="V3" s="10"/>
      <c r="W3" s="11"/>
      <c r="X3" s="49"/>
      <c r="Y3" s="49"/>
      <c r="Z3" s="48"/>
    </row>
    <row r="4" spans="2:27" ht="23.25" thickTop="1" thickBot="1">
      <c r="B4" s="10"/>
      <c r="D4" s="20" t="s">
        <v>29</v>
      </c>
      <c r="E4" s="56" t="str">
        <f>[1]!f_info_name(E3)</f>
        <v>华泰柏瑞红利ETF</v>
      </c>
      <c r="F4" s="56"/>
      <c r="G4" s="56"/>
      <c r="H4" s="56"/>
      <c r="I4" s="40"/>
      <c r="J4" s="21"/>
      <c r="K4" s="22"/>
      <c r="L4" s="20" t="s">
        <v>30</v>
      </c>
      <c r="M4" s="23" t="str">
        <f>[1]!f_info_name(M3)</f>
        <v>嘉实沪深300ETF</v>
      </c>
      <c r="N4" s="21"/>
      <c r="O4" s="21"/>
      <c r="P4" s="21"/>
      <c r="Q4" s="22"/>
      <c r="R4" s="22"/>
      <c r="S4" s="24"/>
      <c r="T4" s="24"/>
      <c r="U4" s="2"/>
      <c r="V4" s="10"/>
      <c r="W4" s="11"/>
      <c r="X4" s="49"/>
      <c r="Y4" s="49"/>
      <c r="Z4" s="48"/>
    </row>
    <row r="5" spans="2:27" ht="17.25" thickTop="1">
      <c r="B5" s="10"/>
      <c r="C5" s="10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10"/>
      <c r="V5" s="10"/>
      <c r="W5" s="2"/>
      <c r="X5" s="48"/>
      <c r="Y5" s="48"/>
      <c r="Z5" s="48"/>
    </row>
    <row r="6" spans="2:27" ht="9.75" customHeight="1">
      <c r="B6" s="10"/>
      <c r="C6" s="8"/>
      <c r="D6" s="21"/>
      <c r="E6" s="21"/>
      <c r="F6" s="21"/>
      <c r="G6" s="21"/>
      <c r="H6" s="21"/>
      <c r="I6" s="21"/>
      <c r="J6" s="25"/>
      <c r="K6" s="21"/>
      <c r="L6" s="21"/>
      <c r="M6" s="21"/>
      <c r="N6" s="21"/>
      <c r="O6" s="25"/>
      <c r="P6" s="21"/>
      <c r="Q6" s="21"/>
      <c r="R6" s="21"/>
      <c r="S6" s="21"/>
      <c r="T6" s="21"/>
      <c r="U6" s="8"/>
      <c r="V6" s="10"/>
    </row>
    <row r="7" spans="2:27" ht="21.75" customHeight="1">
      <c r="B7" s="10"/>
      <c r="D7" s="13" t="s">
        <v>7</v>
      </c>
      <c r="E7" s="7"/>
      <c r="F7" s="7"/>
      <c r="G7" s="7"/>
      <c r="H7" s="7"/>
      <c r="I7" s="22"/>
      <c r="J7" s="25"/>
      <c r="K7" s="22"/>
      <c r="L7" s="13" t="s">
        <v>9</v>
      </c>
      <c r="M7" s="7"/>
      <c r="N7" s="22"/>
      <c r="O7" s="25"/>
      <c r="P7" s="22"/>
      <c r="Q7" s="13" t="s">
        <v>21</v>
      </c>
      <c r="R7" s="7"/>
      <c r="S7" s="7"/>
      <c r="T7" s="7"/>
      <c r="U7" s="7"/>
      <c r="V7" s="10"/>
    </row>
    <row r="8" spans="2:27" ht="9" customHeight="1">
      <c r="B8" s="10"/>
      <c r="D8" s="22"/>
      <c r="E8" s="22"/>
      <c r="F8" s="22"/>
      <c r="G8" s="22"/>
      <c r="H8" s="22"/>
      <c r="I8" s="22"/>
      <c r="J8" s="25"/>
      <c r="K8" s="22"/>
      <c r="L8" s="22"/>
      <c r="M8" s="22"/>
      <c r="N8" s="22"/>
      <c r="O8" s="25"/>
      <c r="P8" s="22"/>
      <c r="Q8" s="22"/>
      <c r="R8" s="22"/>
      <c r="S8" s="22"/>
      <c r="T8" s="22"/>
      <c r="V8" s="10"/>
    </row>
    <row r="9" spans="2:27" ht="17.25">
      <c r="B9" s="10"/>
      <c r="D9" s="26" t="s">
        <v>35</v>
      </c>
      <c r="E9" s="27" t="str">
        <f>[1]!f_info_fullname(E3)</f>
        <v>上证红利交易型开放式指数证券投资基金</v>
      </c>
      <c r="F9" s="27"/>
      <c r="G9" s="27"/>
      <c r="H9" s="27"/>
      <c r="I9" s="22"/>
      <c r="J9" s="25"/>
      <c r="K9" s="22"/>
      <c r="L9" s="26" t="s">
        <v>10</v>
      </c>
      <c r="M9" s="37">
        <f ca="1">[1]!f_nav_unit(E3,S3)</f>
        <v>3.1286999999999998</v>
      </c>
      <c r="N9" s="22"/>
      <c r="O9" s="25"/>
      <c r="P9" s="22"/>
      <c r="Q9" s="26" t="s">
        <v>22</v>
      </c>
      <c r="R9" s="28" t="s">
        <v>23</v>
      </c>
      <c r="S9" s="26"/>
      <c r="T9" s="28" t="s">
        <v>24</v>
      </c>
      <c r="U9" s="9"/>
      <c r="V9" s="10"/>
      <c r="X9" s="5">
        <f ca="1">DATE(YEAR(S3),CEILING(MONTH(S3),3)-2,0)</f>
        <v>45382</v>
      </c>
    </row>
    <row r="10" spans="2:27" ht="17.25">
      <c r="B10" s="10"/>
      <c r="D10" s="29" t="s">
        <v>36</v>
      </c>
      <c r="E10" s="30" t="str">
        <f>[1]!f_info_name(E3)</f>
        <v>华泰柏瑞红利ETF</v>
      </c>
      <c r="F10" s="30"/>
      <c r="G10" s="30"/>
      <c r="H10" s="30"/>
      <c r="I10" s="22"/>
      <c r="J10" s="25"/>
      <c r="K10" s="22"/>
      <c r="L10" s="29" t="s">
        <v>11</v>
      </c>
      <c r="M10" s="38">
        <f ca="1">[1]!f_dq_discountratio(E3,S3)</f>
        <v>-0.11825998018345496</v>
      </c>
      <c r="N10" s="22"/>
      <c r="O10" s="25"/>
      <c r="P10" s="22"/>
      <c r="Q10" s="29" t="s">
        <v>37</v>
      </c>
      <c r="R10" s="35">
        <f ca="1">[1]!f_return_3m(E3,"0",S3)</f>
        <v>8.8220616947193538</v>
      </c>
      <c r="S10" s="35"/>
      <c r="T10" s="35">
        <f ca="1">[1]!f_quot_benchreturn($E$3,X9,$S$3)</f>
        <v>1.7294386625289917</v>
      </c>
      <c r="U10" s="9"/>
      <c r="V10" s="10"/>
      <c r="X10" s="5">
        <f ca="1">DATE(YEAR(S3),CEILING(MONTH(S3),3)-5,0)</f>
        <v>45291</v>
      </c>
    </row>
    <row r="11" spans="2:27" ht="17.25">
      <c r="B11" s="10"/>
      <c r="D11" s="26" t="s">
        <v>38</v>
      </c>
      <c r="E11" s="27" t="str">
        <f>[1]!f_info_code(E3)</f>
        <v>510880</v>
      </c>
      <c r="F11" s="27"/>
      <c r="G11" s="27"/>
      <c r="H11" s="27"/>
      <c r="I11" s="22"/>
      <c r="J11" s="25"/>
      <c r="K11" s="22"/>
      <c r="L11" s="26" t="s">
        <v>16</v>
      </c>
      <c r="M11" s="39">
        <f ca="1">[1]!f_unit_floortrading(E3,S3,100000000)</f>
        <v>57.461756999999999</v>
      </c>
      <c r="N11" s="22"/>
      <c r="O11" s="25"/>
      <c r="P11" s="22"/>
      <c r="Q11" s="26" t="s">
        <v>39</v>
      </c>
      <c r="R11" s="36">
        <f ca="1">[1]!f_return_6m(E3,"0",S3)</f>
        <v>6.5031637745720223</v>
      </c>
      <c r="S11" s="36"/>
      <c r="T11" s="36">
        <f ca="1">[1]!f_quot_benchreturn($E$3,X10,$S$3)</f>
        <v>12.02820873260498</v>
      </c>
      <c r="U11" s="9"/>
      <c r="V11" s="10"/>
      <c r="X11" s="5">
        <f ca="1">DATE(YEAR(S3),CEILING(MONTH(S3),3)-11,0)</f>
        <v>45107</v>
      </c>
    </row>
    <row r="12" spans="2:27" ht="17.25">
      <c r="B12" s="10"/>
      <c r="D12" s="29" t="s">
        <v>40</v>
      </c>
      <c r="E12" s="30" t="str">
        <f>[1]!f_info_type(E3)</f>
        <v>契约型开放式</v>
      </c>
      <c r="F12" s="30"/>
      <c r="G12" s="30"/>
      <c r="H12" s="30"/>
      <c r="I12" s="22"/>
      <c r="J12" s="25"/>
      <c r="K12" s="22"/>
      <c r="L12" s="29" t="s">
        <v>12</v>
      </c>
      <c r="M12" s="38">
        <f>[1]!f_info_etfdealshareonmarket(E3,100000000)</f>
        <v>14.56675703</v>
      </c>
      <c r="N12" s="22"/>
      <c r="O12" s="25"/>
      <c r="P12" s="22"/>
      <c r="Q12" s="29" t="s">
        <v>41</v>
      </c>
      <c r="R12" s="35">
        <f ca="1">[1]!f_return_1y(E3,"0",S3)</f>
        <v>12.488417223048687</v>
      </c>
      <c r="S12" s="35"/>
      <c r="T12" s="35">
        <f ca="1">[1]!f_quot_benchreturn($E$3,X11,$S$3)</f>
        <v>9.3848781585693359</v>
      </c>
      <c r="U12" s="9"/>
      <c r="V12" s="10"/>
      <c r="X12" s="5">
        <f ca="1">DATE(YEAR(S3),CEILING(MONTH(S3),3)-35,0)</f>
        <v>44377</v>
      </c>
    </row>
    <row r="13" spans="2:27" ht="17.25">
      <c r="B13" s="10"/>
      <c r="D13" s="26" t="s">
        <v>42</v>
      </c>
      <c r="E13" s="27" t="str">
        <f>[1]!f_info_mgrcomp(E3)</f>
        <v>华泰柏瑞基金管理有限公司</v>
      </c>
      <c r="F13" s="27"/>
      <c r="G13" s="27"/>
      <c r="H13" s="27"/>
      <c r="I13" s="22"/>
      <c r="J13" s="25"/>
      <c r="K13" s="22"/>
      <c r="L13" s="26" t="s">
        <v>17</v>
      </c>
      <c r="M13" s="39" t="str">
        <f ca="1">[1]!f_info_pchmstatus(E3,S3)</f>
        <v>开放申购</v>
      </c>
      <c r="N13" s="22"/>
      <c r="O13" s="25"/>
      <c r="P13" s="22"/>
      <c r="Q13" s="26" t="s">
        <v>43</v>
      </c>
      <c r="R13" s="36">
        <f ca="1">[1]!f_return_3y(E3,"0",S3)</f>
        <v>29.73915100018209</v>
      </c>
      <c r="S13" s="36"/>
      <c r="T13" s="36">
        <f ca="1">[1]!f_quot_benchreturn($E$3,X12,$S$3)</f>
        <v>9.4916410446166992</v>
      </c>
      <c r="U13" s="9"/>
      <c r="V13" s="10"/>
      <c r="X13" s="5">
        <f ca="1">DATE(YEAR(S3),CEILING(MONTH(S3),3)-59,0)</f>
        <v>43646</v>
      </c>
    </row>
    <row r="14" spans="2:27" ht="17.25">
      <c r="B14" s="10"/>
      <c r="D14" s="29" t="s">
        <v>44</v>
      </c>
      <c r="E14" s="30" t="str">
        <f>[1]!f_info_custodianbank(E3)</f>
        <v>招商银行股份有限公司</v>
      </c>
      <c r="F14" s="30"/>
      <c r="G14" s="30"/>
      <c r="H14" s="30"/>
      <c r="I14" s="22"/>
      <c r="J14" s="25"/>
      <c r="K14" s="22"/>
      <c r="L14" s="29" t="s">
        <v>13</v>
      </c>
      <c r="M14" s="38" t="str">
        <f ca="1">[1]!f_info_redmstatus(E3,S3)</f>
        <v>开放赎回</v>
      </c>
      <c r="N14" s="22"/>
      <c r="O14" s="25"/>
      <c r="P14" s="22"/>
      <c r="Q14" s="29" t="s">
        <v>45</v>
      </c>
      <c r="R14" s="35">
        <f ca="1">[1]!f_return_5y(E3,"0",S3)</f>
        <v>29.909919855741663</v>
      </c>
      <c r="S14" s="35"/>
      <c r="T14" s="35">
        <f ca="1">[1]!f_quot_benchreturn($E$3,X13,$S$3)</f>
        <v>14.907541275024414</v>
      </c>
      <c r="U14" s="9"/>
      <c r="V14" s="10"/>
      <c r="Z14" s="3" t="s">
        <v>27</v>
      </c>
      <c r="AA14" s="3" t="s">
        <v>28</v>
      </c>
    </row>
    <row r="15" spans="2:27" ht="17.25">
      <c r="B15" s="10"/>
      <c r="D15" s="26" t="s">
        <v>4</v>
      </c>
      <c r="E15" s="27" t="str">
        <f>[1]!f_info_fundmanager(E3)</f>
        <v>柳军,李茜</v>
      </c>
      <c r="F15" s="27"/>
      <c r="G15" s="27"/>
      <c r="H15" s="27"/>
      <c r="I15" s="22"/>
      <c r="J15" s="25"/>
      <c r="K15" s="22"/>
      <c r="L15" s="26" t="s">
        <v>18</v>
      </c>
      <c r="M15" s="39">
        <f>[1]!f_pchredm_redmminamt(E3)</f>
        <v>500000</v>
      </c>
      <c r="N15" s="22"/>
      <c r="O15" s="25"/>
      <c r="P15" s="22"/>
      <c r="Q15" s="26" t="s">
        <v>25</v>
      </c>
      <c r="R15" s="36">
        <f ca="1">[1]!f_return_std(E3,"0",S3)</f>
        <v>239.67968637979996</v>
      </c>
      <c r="S15" s="36"/>
      <c r="T15" s="36">
        <f ca="1">[1]!f_quot_benchreturn($E$3,E20,$S$3)</f>
        <v>134.863037109375</v>
      </c>
      <c r="U15" s="9"/>
      <c r="V15" s="10"/>
      <c r="X15" s="3">
        <f t="shared" ref="X15:X23" ca="1" si="0">X16-1</f>
        <v>2014</v>
      </c>
      <c r="Y15" s="15">
        <f ca="1">IF(X15&lt;&gt;0,DATE(X15,12,31),0)</f>
        <v>42004</v>
      </c>
      <c r="Z15" s="16">
        <f ca="1">[1]!f_netasset_total($E$3,Y15,100000000)</f>
        <v>12.8533834774</v>
      </c>
      <c r="AA15" s="16">
        <f ca="1">[1]!f_return_y($E$3,Y15)</f>
        <v>56.598692411333417</v>
      </c>
    </row>
    <row r="16" spans="2:27" ht="17.25">
      <c r="B16" s="10"/>
      <c r="D16" s="29" t="s">
        <v>8</v>
      </c>
      <c r="E16" s="31">
        <f ca="1">[1]!f_netasset_total(E3,S3,100000000)</f>
        <v>166.44459033620001</v>
      </c>
      <c r="F16" s="30"/>
      <c r="G16" s="30"/>
      <c r="H16" s="30"/>
      <c r="I16" s="22"/>
      <c r="J16" s="25"/>
      <c r="K16" s="22"/>
      <c r="L16" s="29" t="s">
        <v>14</v>
      </c>
      <c r="M16" s="38">
        <f>[1]!f_info_purchasefee(E3,0)</f>
        <v>0</v>
      </c>
      <c r="N16" s="22"/>
      <c r="O16" s="25"/>
      <c r="P16" s="22"/>
      <c r="Q16" s="22"/>
      <c r="R16" s="32"/>
      <c r="S16" s="22"/>
      <c r="T16" s="22"/>
      <c r="V16" s="10"/>
      <c r="X16" s="3">
        <f t="shared" ca="1" si="0"/>
        <v>2015</v>
      </c>
      <c r="Y16" s="15">
        <f t="shared" ref="Y16:Y25" ca="1" si="1">IF(X16&lt;&gt;0,DATE(X16,12,31),0)</f>
        <v>42369</v>
      </c>
      <c r="Z16" s="16">
        <f ca="1">[1]!f_netasset_total($E$3,Y16,100000000)</f>
        <v>6.4436084578999999</v>
      </c>
      <c r="AA16" s="16">
        <f ca="1">[1]!f_return_y($E$3,Y16)</f>
        <v>11.539106089948849</v>
      </c>
    </row>
    <row r="17" spans="2:36" ht="17.25">
      <c r="B17" s="10"/>
      <c r="D17" s="26" t="s">
        <v>5</v>
      </c>
      <c r="E17" s="27" t="str">
        <f>[1]!f_info_firstinvesttype(E3)</f>
        <v>股票型基金</v>
      </c>
      <c r="F17" s="27"/>
      <c r="G17" s="27"/>
      <c r="H17" s="27"/>
      <c r="I17" s="22"/>
      <c r="J17" s="25"/>
      <c r="K17" s="22"/>
      <c r="L17" s="26" t="s">
        <v>19</v>
      </c>
      <c r="M17" s="39">
        <f>[1]!f_info_redemptionfee(E3,0)</f>
        <v>0</v>
      </c>
      <c r="N17" s="22"/>
      <c r="O17" s="25"/>
      <c r="P17" s="22"/>
      <c r="Q17" s="22"/>
      <c r="R17" s="32"/>
      <c r="S17" s="22"/>
      <c r="T17" s="22"/>
      <c r="V17" s="10"/>
      <c r="X17" s="3">
        <f t="shared" ca="1" si="0"/>
        <v>2016</v>
      </c>
      <c r="Y17" s="15">
        <f t="shared" ca="1" si="1"/>
        <v>42735</v>
      </c>
      <c r="Z17" s="16">
        <f ca="1">[1]!f_netasset_total($E$3,Y17,100000000)</f>
        <v>8.2563986278999995</v>
      </c>
      <c r="AA17" s="16">
        <f ca="1">[1]!f_return_y($E$3,Y17)</f>
        <v>-4.0536972999059602</v>
      </c>
    </row>
    <row r="18" spans="2:36" ht="17.25">
      <c r="B18" s="10"/>
      <c r="D18" s="29" t="s">
        <v>52</v>
      </c>
      <c r="E18" s="30" t="str">
        <f>[1]!f_info_etflisteddate(E3)</f>
        <v>2007-01-18</v>
      </c>
      <c r="F18" s="30"/>
      <c r="G18" s="30"/>
      <c r="H18" s="30"/>
      <c r="I18" s="22"/>
      <c r="J18" s="25"/>
      <c r="K18" s="22"/>
      <c r="L18" s="29" t="s">
        <v>15</v>
      </c>
      <c r="M18" s="38">
        <f>[1]!f_info_managementfeeratio(E3)</f>
        <v>0.5</v>
      </c>
      <c r="N18" s="22"/>
      <c r="O18" s="25"/>
      <c r="P18" s="22"/>
      <c r="Q18" s="22"/>
      <c r="R18" s="32"/>
      <c r="S18" s="22"/>
      <c r="T18" s="22"/>
      <c r="V18" s="10"/>
      <c r="X18" s="3">
        <f t="shared" ca="1" si="0"/>
        <v>2017</v>
      </c>
      <c r="Y18" s="15">
        <f t="shared" ca="1" si="1"/>
        <v>43100</v>
      </c>
      <c r="Z18" s="16">
        <f ca="1">[1]!f_netasset_total($E$3,Y18,100000000)</f>
        <v>14.236671251400001</v>
      </c>
      <c r="AA18" s="16">
        <f ca="1">[1]!f_return_y($E$3,Y18)</f>
        <v>20.418837720921331</v>
      </c>
    </row>
    <row r="19" spans="2:36" ht="17.25">
      <c r="B19" s="10"/>
      <c r="D19" s="26" t="s">
        <v>6</v>
      </c>
      <c r="E19" s="27" t="str">
        <f>IF([1]!f_info_ptmyear(E3)=0,"不定期",[1]!f_info_ptmyear(E3))</f>
        <v>不定期</v>
      </c>
      <c r="F19" s="27"/>
      <c r="G19" s="27"/>
      <c r="H19" s="27"/>
      <c r="I19" s="22"/>
      <c r="J19" s="25"/>
      <c r="K19" s="22"/>
      <c r="L19" s="26" t="s">
        <v>20</v>
      </c>
      <c r="M19" s="39">
        <f>[1]!f_info_custodianfeeratio(E3)</f>
        <v>0.1</v>
      </c>
      <c r="N19" s="22"/>
      <c r="O19" s="25"/>
      <c r="P19" s="22"/>
      <c r="Q19" s="22"/>
      <c r="R19" s="33"/>
      <c r="S19" s="22"/>
      <c r="T19" s="22"/>
      <c r="V19" s="10"/>
      <c r="X19" s="3">
        <f t="shared" ca="1" si="0"/>
        <v>2018</v>
      </c>
      <c r="Y19" s="15">
        <f t="shared" ca="1" si="1"/>
        <v>43465</v>
      </c>
      <c r="Z19" s="16">
        <f ca="1">[1]!f_netasset_total($E$3,Y19,100000000)</f>
        <v>23.550821151699999</v>
      </c>
      <c r="AA19" s="16">
        <f ca="1">[1]!f_return_y($E$3,Y19)</f>
        <v>-13.89891163270603</v>
      </c>
    </row>
    <row r="20" spans="2:36" ht="17.25">
      <c r="B20" s="10"/>
      <c r="D20" s="29" t="s">
        <v>46</v>
      </c>
      <c r="E20" s="30" t="str">
        <f>[1]!f_info_setupdate(E3)</f>
        <v>2006-11-17</v>
      </c>
      <c r="F20" s="30"/>
      <c r="G20" s="30"/>
      <c r="H20" s="30"/>
      <c r="I20" s="22"/>
      <c r="J20" s="25"/>
      <c r="K20" s="22"/>
      <c r="L20" s="30" t="s">
        <v>0</v>
      </c>
      <c r="M20" s="38">
        <f>[1]!f_info_salefeeratio(E3)</f>
        <v>0</v>
      </c>
      <c r="N20" s="30"/>
      <c r="O20" s="25"/>
      <c r="P20" s="30"/>
      <c r="Q20" s="30"/>
      <c r="R20" s="33"/>
      <c r="S20" s="22"/>
      <c r="T20" s="22"/>
      <c r="V20" s="10"/>
      <c r="X20" s="3">
        <f t="shared" ca="1" si="0"/>
        <v>2019</v>
      </c>
      <c r="Y20" s="15">
        <f t="shared" ca="1" si="1"/>
        <v>43830</v>
      </c>
      <c r="Z20" s="16">
        <f ca="1">[1]!f_netasset_total($E$3,Y20,100000000)</f>
        <v>30.692827164800001</v>
      </c>
      <c r="AA20" s="16">
        <f ca="1">[1]!f_return_y($E$3,Y20)</f>
        <v>16.506592215993145</v>
      </c>
    </row>
    <row r="21" spans="2:36" ht="17.25" customHeight="1">
      <c r="B21" s="10"/>
      <c r="D21" s="26" t="s">
        <v>47</v>
      </c>
      <c r="E21" s="27" t="str">
        <f>[1]!f_info_benchmark(E3)</f>
        <v>上证红利指数</v>
      </c>
      <c r="F21" s="27"/>
      <c r="G21" s="27"/>
      <c r="H21" s="27"/>
      <c r="I21" s="22"/>
      <c r="J21" s="25"/>
      <c r="K21" s="22"/>
      <c r="L21" s="34"/>
      <c r="M21" s="34"/>
      <c r="N21" s="34"/>
      <c r="O21" s="25"/>
      <c r="P21" s="34"/>
      <c r="Q21" s="34"/>
      <c r="R21" s="34"/>
      <c r="S21" s="22"/>
      <c r="T21" s="22"/>
      <c r="V21" s="10"/>
      <c r="X21" s="3">
        <f t="shared" ca="1" si="0"/>
        <v>2020</v>
      </c>
      <c r="Y21" s="15">
        <f t="shared" ca="1" si="1"/>
        <v>44196</v>
      </c>
      <c r="Z21" s="16">
        <f ca="1">[1]!f_netasset_total($E$3,Y21,100000000)</f>
        <v>91.293914992900014</v>
      </c>
      <c r="AA21" s="16">
        <f ca="1">[1]!f_return_y($E$3,Y21)</f>
        <v>-0.71137725078876213</v>
      </c>
    </row>
    <row r="22" spans="2:36" ht="63.75" customHeight="1">
      <c r="B22" s="10"/>
      <c r="D22" s="29" t="s">
        <v>48</v>
      </c>
      <c r="E22" s="53" t="str">
        <f>[1]!f_info_investobject(E3)</f>
        <v>本基金的主要投资目标是紧密跟踪标的指数，追求跟踪偏离度和跟踪误差的最小化。</v>
      </c>
      <c r="F22" s="53"/>
      <c r="G22" s="53"/>
      <c r="H22" s="53"/>
      <c r="I22" s="22"/>
      <c r="J22" s="25"/>
      <c r="K22" s="30"/>
      <c r="L22" s="30"/>
      <c r="M22" s="22"/>
      <c r="N22" s="22"/>
      <c r="O22" s="25"/>
      <c r="P22" s="22"/>
      <c r="Q22" s="22"/>
      <c r="R22" s="22"/>
      <c r="S22" s="22"/>
      <c r="T22" s="22"/>
      <c r="V22" s="10"/>
      <c r="X22" s="3">
        <f t="shared" ca="1" si="0"/>
        <v>2021</v>
      </c>
      <c r="Y22" s="15">
        <f t="shared" ca="1" si="1"/>
        <v>44561</v>
      </c>
      <c r="Z22" s="16">
        <f ca="1">[1]!f_netasset_total($E$3,Y22,100000000)</f>
        <v>177.73642881330002</v>
      </c>
      <c r="AA22" s="16">
        <f ca="1">[1]!f_return_y($E$3,Y22)</f>
        <v>10.935854478448585</v>
      </c>
    </row>
    <row r="23" spans="2:36"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2"/>
      <c r="X23" s="3">
        <f t="shared" ca="1" si="0"/>
        <v>2022</v>
      </c>
      <c r="Y23" s="15">
        <f t="shared" ca="1" si="1"/>
        <v>44926</v>
      </c>
      <c r="Z23" s="16">
        <f ca="1">[1]!f_netasset_total($E$3,Y23,100000000)</f>
        <v>142.29491409600001</v>
      </c>
      <c r="AA23" s="16">
        <f ca="1">[1]!f_return_y($E$3,Y23)</f>
        <v>2.4729117055602994</v>
      </c>
    </row>
    <row r="24" spans="2:36">
      <c r="B24" s="41"/>
      <c r="C24" s="42"/>
      <c r="D24" s="42"/>
      <c r="E24" s="42"/>
      <c r="F24" s="42"/>
      <c r="G24" s="42"/>
      <c r="H24" s="42"/>
      <c r="I24" s="42"/>
      <c r="J24" s="41"/>
      <c r="K24" s="42"/>
      <c r="L24" s="42"/>
      <c r="M24" s="42"/>
      <c r="N24" s="42"/>
      <c r="O24" s="41"/>
      <c r="P24" s="42"/>
      <c r="Q24" s="42"/>
      <c r="R24" s="42"/>
      <c r="S24" s="42"/>
      <c r="T24" s="42"/>
      <c r="U24" s="42"/>
      <c r="V24" s="41"/>
      <c r="W24" s="42"/>
      <c r="X24" s="3">
        <f ca="1">X25-1</f>
        <v>2023</v>
      </c>
      <c r="Y24" s="15">
        <f t="shared" ca="1" si="1"/>
        <v>45291</v>
      </c>
      <c r="Z24" s="16">
        <f ca="1">[1]!f_netasset_total($E$3,Y24,100000000)</f>
        <v>166.44459033620001</v>
      </c>
      <c r="AA24" s="16">
        <f ca="1">[1]!f_return_y($E$3,Y24)</f>
        <v>7.4105981610169041</v>
      </c>
    </row>
    <row r="25" spans="2:36" ht="23.25" customHeight="1">
      <c r="B25" s="41"/>
      <c r="C25" s="42"/>
      <c r="D25" s="43" t="s">
        <v>49</v>
      </c>
      <c r="E25" s="44"/>
      <c r="F25" s="44"/>
      <c r="G25" s="44"/>
      <c r="H25" s="44"/>
      <c r="I25" s="44"/>
      <c r="J25" s="41"/>
      <c r="K25" s="45"/>
      <c r="L25" s="43" t="s">
        <v>50</v>
      </c>
      <c r="M25" s="44"/>
      <c r="N25" s="44"/>
      <c r="O25" s="41"/>
      <c r="P25" s="45"/>
      <c r="Q25" s="43" t="s">
        <v>51</v>
      </c>
      <c r="R25" s="44"/>
      <c r="S25" s="44"/>
      <c r="T25" s="44"/>
      <c r="U25" s="42"/>
      <c r="V25" s="41"/>
      <c r="W25" s="42"/>
      <c r="X25" s="3">
        <f ca="1">YEAR(S3)</f>
        <v>2024</v>
      </c>
      <c r="Y25" s="15">
        <f t="shared" ca="1" si="1"/>
        <v>45657</v>
      </c>
      <c r="Z25" s="16">
        <f ca="1">[1]!f_netasset_total($E$3,Y25,100000000)</f>
        <v>166.44459033620001</v>
      </c>
      <c r="AA25" s="16">
        <f ca="1">[1]!f_return_y($E$3,Y25)</f>
        <v>11.908659184934109</v>
      </c>
    </row>
    <row r="26" spans="2:36">
      <c r="B26" s="41"/>
      <c r="C26" s="42"/>
      <c r="D26" s="42"/>
      <c r="E26" s="42"/>
      <c r="F26" s="42"/>
      <c r="G26" s="42"/>
      <c r="H26" s="42"/>
      <c r="I26" s="42"/>
      <c r="J26" s="41"/>
      <c r="K26" s="42"/>
      <c r="L26" s="42"/>
      <c r="M26" s="42"/>
      <c r="N26" s="42"/>
      <c r="O26" s="41"/>
      <c r="P26" s="42"/>
      <c r="Q26" s="42"/>
      <c r="R26" s="42"/>
      <c r="S26" s="42"/>
      <c r="T26" s="42"/>
      <c r="U26" s="42"/>
      <c r="V26" s="41"/>
      <c r="W26" s="42"/>
      <c r="Y26" s="17"/>
      <c r="Z26" s="16"/>
      <c r="AA26" s="4"/>
    </row>
    <row r="27" spans="2:36">
      <c r="B27" s="41"/>
      <c r="C27" s="42"/>
      <c r="D27" s="42"/>
      <c r="E27" s="42"/>
      <c r="F27" s="42"/>
      <c r="G27" s="42"/>
      <c r="H27" s="42"/>
      <c r="I27" s="42"/>
      <c r="J27" s="41"/>
      <c r="K27" s="42"/>
      <c r="L27" s="42"/>
      <c r="M27" s="42"/>
      <c r="N27" s="42"/>
      <c r="O27" s="41"/>
      <c r="P27" s="42"/>
      <c r="Q27" s="42"/>
      <c r="R27" s="42"/>
      <c r="S27" s="42"/>
      <c r="T27" s="42"/>
      <c r="U27" s="42"/>
      <c r="V27" s="41"/>
      <c r="W27" s="42"/>
      <c r="Y27" s="17"/>
      <c r="Z27" s="16"/>
      <c r="AA27" s="4"/>
    </row>
    <row r="28" spans="2:36">
      <c r="B28" s="41"/>
      <c r="C28" s="42"/>
      <c r="D28" s="42"/>
      <c r="E28" s="42"/>
      <c r="F28" s="42"/>
      <c r="G28" s="42"/>
      <c r="H28" s="42"/>
      <c r="I28" s="42"/>
      <c r="J28" s="41"/>
      <c r="K28" s="42"/>
      <c r="L28" s="42"/>
      <c r="M28" s="42"/>
      <c r="N28" s="42"/>
      <c r="O28" s="41"/>
      <c r="P28" s="42"/>
      <c r="Q28" s="42"/>
      <c r="R28" s="42"/>
      <c r="S28" s="42"/>
      <c r="T28" s="42"/>
      <c r="U28" s="42"/>
      <c r="V28" s="41"/>
      <c r="W28" s="42"/>
      <c r="Y28" s="17"/>
      <c r="Z28" s="16"/>
      <c r="AA28" s="4"/>
    </row>
    <row r="29" spans="2:36">
      <c r="B29" s="41"/>
      <c r="C29" s="42"/>
      <c r="D29" s="42"/>
      <c r="E29" s="42"/>
      <c r="F29" s="42"/>
      <c r="G29" s="42"/>
      <c r="H29" s="42"/>
      <c r="I29" s="42"/>
      <c r="J29" s="41"/>
      <c r="K29" s="42"/>
      <c r="L29" s="42"/>
      <c r="M29" s="42"/>
      <c r="N29" s="42"/>
      <c r="O29" s="41"/>
      <c r="P29" s="42"/>
      <c r="Q29" s="42"/>
      <c r="R29" s="42"/>
      <c r="S29" s="42"/>
      <c r="T29" s="42"/>
      <c r="U29" s="42"/>
      <c r="V29" s="41"/>
      <c r="W29" s="42"/>
      <c r="Y29" s="17"/>
      <c r="Z29" s="16"/>
      <c r="AA29" s="4"/>
    </row>
    <row r="30" spans="2:36">
      <c r="B30" s="41"/>
      <c r="C30" s="42"/>
      <c r="D30" s="42"/>
      <c r="E30" s="42"/>
      <c r="F30" s="42"/>
      <c r="G30" s="42"/>
      <c r="H30" s="42"/>
      <c r="I30" s="42"/>
      <c r="J30" s="41"/>
      <c r="K30" s="42"/>
      <c r="L30" s="42"/>
      <c r="M30" s="42"/>
      <c r="N30" s="42"/>
      <c r="O30" s="41"/>
      <c r="P30" s="42"/>
      <c r="Q30" s="42"/>
      <c r="R30" s="42"/>
      <c r="S30" s="42"/>
      <c r="T30" s="42"/>
      <c r="U30" s="42"/>
      <c r="V30" s="41"/>
      <c r="W30" s="42"/>
      <c r="Y30" s="17"/>
      <c r="Z30" s="16"/>
      <c r="AA30" s="4"/>
    </row>
    <row r="31" spans="2:36" s="14" customFormat="1">
      <c r="B31" s="41"/>
      <c r="C31" s="42"/>
      <c r="D31" s="42"/>
      <c r="E31" s="42"/>
      <c r="F31" s="42"/>
      <c r="G31" s="42"/>
      <c r="H31" s="42"/>
      <c r="I31" s="42"/>
      <c r="J31" s="41"/>
      <c r="K31" s="42"/>
      <c r="L31" s="42"/>
      <c r="M31" s="42"/>
      <c r="N31" s="42"/>
      <c r="O31" s="41"/>
      <c r="P31" s="42"/>
      <c r="Q31" s="42"/>
      <c r="R31" s="42"/>
      <c r="S31" s="42"/>
      <c r="T31" s="42"/>
      <c r="U31" s="42"/>
      <c r="V31" s="41"/>
      <c r="W31" s="42"/>
      <c r="X31" s="3"/>
      <c r="Y31" s="17"/>
      <c r="Z31" s="16"/>
      <c r="AA31" s="4"/>
      <c r="AB31" s="3"/>
      <c r="AC31" s="46"/>
      <c r="AD31" s="46"/>
      <c r="AE31" s="46"/>
      <c r="AF31" s="46"/>
      <c r="AG31" s="46"/>
      <c r="AH31" s="46"/>
      <c r="AI31" s="46"/>
      <c r="AJ31" s="46"/>
    </row>
    <row r="32" spans="2:36">
      <c r="B32" s="41"/>
      <c r="C32" s="42"/>
      <c r="D32" s="42"/>
      <c r="E32" s="42"/>
      <c r="F32" s="42"/>
      <c r="G32" s="42"/>
      <c r="H32" s="42"/>
      <c r="I32" s="42"/>
      <c r="J32" s="41"/>
      <c r="K32" s="42"/>
      <c r="L32" s="42"/>
      <c r="M32" s="42"/>
      <c r="N32" s="42"/>
      <c r="O32" s="41"/>
      <c r="P32" s="42"/>
      <c r="Q32" s="42"/>
      <c r="R32" s="42"/>
      <c r="S32" s="42"/>
      <c r="T32" s="42"/>
      <c r="U32" s="42"/>
      <c r="V32" s="41"/>
      <c r="W32" s="42"/>
      <c r="Y32" s="17"/>
      <c r="Z32" s="16"/>
      <c r="AA32" s="4"/>
    </row>
    <row r="33" spans="2:28">
      <c r="B33" s="41"/>
      <c r="C33" s="42"/>
      <c r="D33" s="42"/>
      <c r="E33" s="42"/>
      <c r="F33" s="42"/>
      <c r="G33" s="42"/>
      <c r="H33" s="42"/>
      <c r="I33" s="42"/>
      <c r="J33" s="41"/>
      <c r="K33" s="42"/>
      <c r="L33" s="42"/>
      <c r="M33" s="42"/>
      <c r="N33" s="42"/>
      <c r="O33" s="41"/>
      <c r="P33" s="42"/>
      <c r="Q33" s="42"/>
      <c r="R33" s="42"/>
      <c r="S33" s="42"/>
      <c r="T33" s="42"/>
      <c r="U33" s="42"/>
      <c r="V33" s="41"/>
      <c r="W33" s="42"/>
      <c r="Y33" s="17"/>
      <c r="Z33" s="16"/>
      <c r="AA33" s="4"/>
    </row>
    <row r="34" spans="2:28">
      <c r="B34" s="41"/>
      <c r="C34" s="42"/>
      <c r="D34" s="42"/>
      <c r="E34" s="42"/>
      <c r="F34" s="42"/>
      <c r="G34" s="42"/>
      <c r="H34" s="42"/>
      <c r="I34" s="42"/>
      <c r="J34" s="41"/>
      <c r="K34" s="42"/>
      <c r="L34" s="42"/>
      <c r="M34" s="42"/>
      <c r="N34" s="42"/>
      <c r="O34" s="41"/>
      <c r="P34" s="42"/>
      <c r="Q34" s="42"/>
      <c r="R34" s="42"/>
      <c r="S34" s="42"/>
      <c r="T34" s="42"/>
      <c r="U34" s="42"/>
      <c r="V34" s="41"/>
      <c r="W34" s="42"/>
      <c r="Y34" s="17"/>
      <c r="Z34" s="16"/>
      <c r="AA34" s="4"/>
    </row>
    <row r="35" spans="2:28">
      <c r="B35" s="41"/>
      <c r="C35" s="42"/>
      <c r="D35" s="42"/>
      <c r="E35" s="42"/>
      <c r="F35" s="42"/>
      <c r="G35" s="42"/>
      <c r="H35" s="42"/>
      <c r="I35" s="42"/>
      <c r="J35" s="41"/>
      <c r="K35" s="42"/>
      <c r="L35" s="42"/>
      <c r="M35" s="42"/>
      <c r="N35" s="42"/>
      <c r="O35" s="41"/>
      <c r="P35" s="42"/>
      <c r="Q35" s="42"/>
      <c r="R35" s="42"/>
      <c r="S35" s="42"/>
      <c r="T35" s="42"/>
      <c r="U35" s="42"/>
      <c r="V35" s="41"/>
      <c r="W35" s="42"/>
      <c r="Y35" s="17"/>
      <c r="Z35" s="16"/>
      <c r="AA35" s="4"/>
    </row>
    <row r="36" spans="2:28">
      <c r="B36" s="41"/>
      <c r="C36" s="42"/>
      <c r="D36" s="42"/>
      <c r="E36" s="42"/>
      <c r="F36" s="42"/>
      <c r="G36" s="42"/>
      <c r="H36" s="42"/>
      <c r="I36" s="42"/>
      <c r="J36" s="41"/>
      <c r="K36" s="42"/>
      <c r="L36" s="42"/>
      <c r="M36" s="42"/>
      <c r="N36" s="42"/>
      <c r="O36" s="41"/>
      <c r="P36" s="42"/>
      <c r="Q36" s="42"/>
      <c r="R36" s="42"/>
      <c r="S36" s="42"/>
      <c r="T36" s="42"/>
      <c r="U36" s="42"/>
      <c r="V36" s="41"/>
      <c r="W36" s="42"/>
      <c r="Y36" s="18">
        <f ca="1">INT((TODAY()-E20)/50)</f>
        <v>127</v>
      </c>
      <c r="Z36" s="4"/>
      <c r="AA36" s="4"/>
    </row>
    <row r="37" spans="2:28">
      <c r="B37" s="41"/>
      <c r="C37" s="42"/>
      <c r="D37" s="42"/>
      <c r="E37" s="42"/>
      <c r="F37" s="42"/>
      <c r="G37" s="42"/>
      <c r="H37" s="42"/>
      <c r="I37" s="42"/>
      <c r="J37" s="41"/>
      <c r="K37" s="42"/>
      <c r="L37" s="42"/>
      <c r="M37" s="42"/>
      <c r="N37" s="42"/>
      <c r="O37" s="41"/>
      <c r="P37" s="42"/>
      <c r="Q37" s="42"/>
      <c r="R37" s="42"/>
      <c r="S37" s="42"/>
      <c r="T37" s="42"/>
      <c r="U37" s="42"/>
      <c r="V37" s="41"/>
      <c r="W37" s="42"/>
      <c r="Y37" s="3" t="s">
        <v>26</v>
      </c>
      <c r="Z37" s="3" t="str">
        <f>E3</f>
        <v>510880.OF</v>
      </c>
      <c r="AA37" s="3" t="s">
        <v>3</v>
      </c>
      <c r="AB37" s="3" t="s">
        <v>2</v>
      </c>
    </row>
    <row r="38" spans="2:28">
      <c r="B38" s="41"/>
      <c r="C38" s="42"/>
      <c r="D38" s="42"/>
      <c r="E38" s="42"/>
      <c r="F38" s="42"/>
      <c r="G38" s="42"/>
      <c r="H38" s="42"/>
      <c r="I38" s="42"/>
      <c r="J38" s="41"/>
      <c r="K38" s="42"/>
      <c r="L38" s="42"/>
      <c r="M38" s="42"/>
      <c r="N38" s="42"/>
      <c r="O38" s="41"/>
      <c r="P38" s="42"/>
      <c r="Q38" s="42"/>
      <c r="R38" s="42"/>
      <c r="S38" s="42"/>
      <c r="T38" s="42"/>
      <c r="U38" s="42"/>
      <c r="V38" s="41"/>
      <c r="W38" s="42"/>
      <c r="Y38" s="15">
        <f ca="1">S3</f>
        <v>45385</v>
      </c>
      <c r="Z38" s="3">
        <f ca="1">[1]!f_nav_adjustedreturn_org($Z$37,Y38)</f>
        <v>239.67968637979996</v>
      </c>
      <c r="AA38" s="3">
        <f ca="1">[1]!f_quot_benchreturn($Z$37,[1]!f_info_setupdate($Z$37),Y38)</f>
        <v>134.863037109375</v>
      </c>
      <c r="AB38" s="3">
        <f ca="1">[1]!f_nav_adjustedreturn_org($M$3,Y38)</f>
        <v>64.552689930200003</v>
      </c>
    </row>
    <row r="39" spans="2:28">
      <c r="B39" s="41"/>
      <c r="C39" s="42"/>
      <c r="D39" s="42"/>
      <c r="E39" s="42"/>
      <c r="F39" s="42"/>
      <c r="G39" s="42"/>
      <c r="H39" s="42"/>
      <c r="I39" s="42"/>
      <c r="J39" s="41"/>
      <c r="K39" s="42"/>
      <c r="L39" s="42"/>
      <c r="M39" s="42"/>
      <c r="N39" s="42"/>
      <c r="O39" s="41"/>
      <c r="P39" s="42"/>
      <c r="Q39" s="42"/>
      <c r="R39" s="42"/>
      <c r="S39" s="42"/>
      <c r="T39" s="42"/>
      <c r="U39" s="42"/>
      <c r="V39" s="41"/>
      <c r="W39" s="42"/>
      <c r="Y39" s="15">
        <f ca="1">--[1]!td(Y38-$Y$36)</f>
        <v>45258</v>
      </c>
      <c r="Z39" s="3">
        <f ca="1">[1]!f_nav_adjustedreturn_org($Z$37,Y39)</f>
        <v>210.33962624749995</v>
      </c>
      <c r="AA39" s="3">
        <f ca="1">[1]!f_quot_benchreturn($Z$37,[1]!f_info_setupdate($Z$37),Y39)</f>
        <v>112.63433837890625</v>
      </c>
      <c r="AB39" s="3">
        <f ca="1">[1]!f_nav_adjustedreturn_org($M$3,Y39)</f>
        <v>62.360788167599999</v>
      </c>
    </row>
    <row r="40" spans="2:28">
      <c r="B40" s="41"/>
      <c r="C40" s="42"/>
      <c r="D40" s="42"/>
      <c r="E40" s="42"/>
      <c r="F40" s="42"/>
      <c r="G40" s="42"/>
      <c r="H40" s="42"/>
      <c r="I40" s="42"/>
      <c r="J40" s="41"/>
      <c r="K40" s="42"/>
      <c r="L40" s="42"/>
      <c r="M40" s="42"/>
      <c r="N40" s="42"/>
      <c r="O40" s="41"/>
      <c r="P40" s="42"/>
      <c r="Q40" s="42"/>
      <c r="R40" s="42"/>
      <c r="S40" s="42"/>
      <c r="T40" s="42"/>
      <c r="U40" s="42"/>
      <c r="V40" s="41"/>
      <c r="W40" s="42"/>
      <c r="Y40" s="15">
        <f ca="1">--[1]!td(Y39-$Y$36)</f>
        <v>45131</v>
      </c>
      <c r="Z40" s="3">
        <f ca="1">[1]!f_nav_adjustedreturn_org($Z$37,Y40)</f>
        <v>208.34010870899999</v>
      </c>
      <c r="AA40" s="3">
        <f ca="1">[1]!f_quot_benchreturn($Z$37,[1]!f_info_setupdate($Z$37),Y40)</f>
        <v>112.15373229980469</v>
      </c>
      <c r="AB40" s="3">
        <f ca="1">[1]!f_nav_adjustedreturn_org($M$3,Y40)</f>
        <v>75.183191176400001</v>
      </c>
    </row>
    <row r="41" spans="2:28">
      <c r="B41" s="41"/>
      <c r="C41" s="42"/>
      <c r="D41" s="42"/>
      <c r="E41" s="42"/>
      <c r="F41" s="42"/>
      <c r="G41" s="42"/>
      <c r="H41" s="42"/>
      <c r="I41" s="42"/>
      <c r="J41" s="41"/>
      <c r="K41" s="42"/>
      <c r="L41" s="42"/>
      <c r="M41" s="42"/>
      <c r="N41" s="42"/>
      <c r="O41" s="41"/>
      <c r="P41" s="42"/>
      <c r="Q41" s="42"/>
      <c r="R41" s="42"/>
      <c r="S41" s="42"/>
      <c r="T41" s="42"/>
      <c r="U41" s="42"/>
      <c r="V41" s="41"/>
      <c r="W41" s="42"/>
      <c r="Y41" s="15">
        <f ca="1">--[1]!td(Y40-$Y$36)</f>
        <v>45002</v>
      </c>
      <c r="Z41" s="3">
        <f ca="1">[1]!f_nav_adjustedreturn_org($Z$37,Y41)</f>
        <v>201.89606773</v>
      </c>
      <c r="AA41" s="3">
        <f ca="1">[1]!f_quot_benchreturn($Z$37,[1]!f_info_setupdate($Z$37),Y41)</f>
        <v>118.62153625488281</v>
      </c>
      <c r="AB41" s="3">
        <f ca="1">[1]!f_nav_adjustedreturn_org($M$3,Y41)</f>
        <v>79.006792628400021</v>
      </c>
    </row>
    <row r="42" spans="2:28">
      <c r="B42" s="41"/>
      <c r="C42" s="42"/>
      <c r="D42" s="42"/>
      <c r="E42" s="42"/>
      <c r="F42" s="42"/>
      <c r="G42" s="42"/>
      <c r="H42" s="42"/>
      <c r="I42" s="42"/>
      <c r="J42" s="41"/>
      <c r="K42" s="42"/>
      <c r="L42" s="42"/>
      <c r="M42" s="42"/>
      <c r="N42" s="42"/>
      <c r="O42" s="41"/>
      <c r="P42" s="42"/>
      <c r="Q42" s="42"/>
      <c r="R42" s="42"/>
      <c r="S42" s="42"/>
      <c r="T42" s="42"/>
      <c r="U42" s="42"/>
      <c r="V42" s="41"/>
      <c r="W42" s="42"/>
      <c r="Y42" s="15">
        <f ca="1">--[1]!td(Y41-$Y$36)</f>
        <v>44875</v>
      </c>
      <c r="Z42" s="3">
        <f ca="1">[1]!f_nav_adjustedreturn_org($Z$37,Y42)</f>
        <v>182.45310269399999</v>
      </c>
      <c r="AA42" s="3">
        <f ca="1">[1]!f_quot_benchreturn($Z$37,[1]!f_info_setupdate($Z$37),Y42)</f>
        <v>101.00753021240234</v>
      </c>
      <c r="AB42" s="3">
        <f ca="1">[1]!f_nav_adjustedreturn_org($M$3,Y42)</f>
        <v>66.766821933800017</v>
      </c>
    </row>
    <row r="43" spans="2:28">
      <c r="B43" s="41"/>
      <c r="C43" s="42"/>
      <c r="D43" s="42"/>
      <c r="E43" s="42"/>
      <c r="F43" s="42"/>
      <c r="G43" s="42"/>
      <c r="H43" s="42"/>
      <c r="I43" s="42"/>
      <c r="J43" s="41"/>
      <c r="K43" s="42"/>
      <c r="L43" s="42"/>
      <c r="M43" s="42"/>
      <c r="N43" s="42"/>
      <c r="O43" s="41"/>
      <c r="P43" s="42"/>
      <c r="Q43" s="42"/>
      <c r="R43" s="42"/>
      <c r="S43" s="42"/>
      <c r="T43" s="42"/>
      <c r="U43" s="42"/>
      <c r="V43" s="41"/>
      <c r="W43" s="42"/>
      <c r="Y43" s="15">
        <f ca="1">--[1]!td(Y42-$Y$36)</f>
        <v>44748</v>
      </c>
      <c r="Z43" s="3">
        <f ca="1">[1]!f_nav_adjustedreturn_org($Z$37,Y43)</f>
        <v>188.67084107400004</v>
      </c>
      <c r="AA43" s="3">
        <f ca="1">[1]!f_quot_benchreturn($Z$37,[1]!f_info_setupdate($Z$37),Y43)</f>
        <v>112.44045257568359</v>
      </c>
      <c r="AB43" s="3">
        <f ca="1">[1]!f_nav_adjustedreturn_org($M$3,Y43)</f>
        <v>98.289303671800027</v>
      </c>
    </row>
    <row r="44" spans="2:28">
      <c r="B44" s="41"/>
      <c r="C44" s="42"/>
      <c r="D44" s="42"/>
      <c r="E44" s="42"/>
      <c r="F44" s="42"/>
      <c r="G44" s="42"/>
      <c r="H44" s="42"/>
      <c r="I44" s="42"/>
      <c r="J44" s="41"/>
      <c r="K44" s="42"/>
      <c r="L44" s="42"/>
      <c r="M44" s="42"/>
      <c r="N44" s="42"/>
      <c r="O44" s="41"/>
      <c r="P44" s="42"/>
      <c r="Q44" s="42"/>
      <c r="R44" s="42"/>
      <c r="S44" s="42"/>
      <c r="T44" s="42"/>
      <c r="U44" s="42"/>
      <c r="V44" s="41"/>
      <c r="W44" s="42"/>
      <c r="Y44" s="15">
        <f ca="1">--[1]!td(Y43-$Y$36)</f>
        <v>44621</v>
      </c>
      <c r="Z44" s="3">
        <f ca="1">[1]!f_nav_adjustedreturn_org($Z$37,Y44)</f>
        <v>186.92395267199998</v>
      </c>
      <c r="AA44" s="3">
        <f ca="1">[1]!f_quot_benchreturn($Z$37,[1]!f_info_setupdate($Z$37),Y44)</f>
        <v>117.05284118652344</v>
      </c>
      <c r="AB44" s="3">
        <f ca="1">[1]!f_nav_adjustedreturn_org($M$3,Y44)</f>
        <v>105.40298079180003</v>
      </c>
    </row>
    <row r="45" spans="2:28">
      <c r="B45" s="41"/>
      <c r="C45" s="42"/>
      <c r="D45" s="42"/>
      <c r="E45" s="42"/>
      <c r="F45" s="42"/>
      <c r="G45" s="42"/>
      <c r="H45" s="42"/>
      <c r="I45" s="42"/>
      <c r="J45" s="41"/>
      <c r="K45" s="42"/>
      <c r="L45" s="42"/>
      <c r="M45" s="42"/>
      <c r="N45" s="42"/>
      <c r="O45" s="41"/>
      <c r="P45" s="42"/>
      <c r="Q45" s="42"/>
      <c r="R45" s="42"/>
      <c r="S45" s="42"/>
      <c r="T45" s="42"/>
      <c r="U45" s="42"/>
      <c r="V45" s="41"/>
      <c r="W45" s="42"/>
      <c r="Y45" s="15">
        <f ca="1">--[1]!td(Y44-$Y$36)</f>
        <v>44494</v>
      </c>
      <c r="Z45" s="3">
        <f ca="1">[1]!f_nav_adjustedreturn_org($Z$37,Y45)</f>
        <v>187.93498366400004</v>
      </c>
      <c r="AA45" s="3">
        <f ca="1">[1]!f_quot_benchreturn($Z$37,[1]!f_info_setupdate($Z$37),Y45)</f>
        <v>116.44776153564453</v>
      </c>
      <c r="AB45" s="3">
        <f ca="1">[1]!f_nav_adjustedreturn_org($M$3,Y45)</f>
        <v>121.54658180599998</v>
      </c>
    </row>
    <row r="46" spans="2:28">
      <c r="B46" s="41"/>
      <c r="C46" s="42"/>
      <c r="D46" s="42"/>
      <c r="E46" s="42"/>
      <c r="F46" s="42"/>
      <c r="G46" s="42"/>
      <c r="H46" s="42"/>
      <c r="I46" s="42"/>
      <c r="J46" s="41"/>
      <c r="K46" s="42"/>
      <c r="L46" s="42"/>
      <c r="M46" s="42"/>
      <c r="N46" s="42"/>
      <c r="O46" s="41"/>
      <c r="P46" s="42"/>
      <c r="Q46" s="42"/>
      <c r="R46" s="42"/>
      <c r="S46" s="42"/>
      <c r="T46" s="42"/>
      <c r="U46" s="42"/>
      <c r="V46" s="41"/>
      <c r="W46" s="42"/>
      <c r="Y46" s="15">
        <f ca="1">--[1]!td(Y45-$Y$36)</f>
        <v>44365</v>
      </c>
      <c r="Z46" s="3">
        <f ca="1">[1]!f_nav_adjustedreturn_org($Z$37,Y46)</f>
        <v>169.77623136800003</v>
      </c>
      <c r="AA46" s="3">
        <f ca="1">[1]!f_quot_benchreturn($Z$37,[1]!f_info_setupdate($Z$37),Y46)</f>
        <v>111.18856811523438</v>
      </c>
      <c r="AB46" s="3">
        <f ca="1">[1]!f_nav_adjustedreturn_org($M$3,Y46)</f>
        <v>124.43799445200003</v>
      </c>
    </row>
    <row r="47" spans="2:28">
      <c r="B47" s="41"/>
      <c r="C47" s="42"/>
      <c r="D47" s="42"/>
      <c r="E47" s="42"/>
      <c r="F47" s="42"/>
      <c r="G47" s="42"/>
      <c r="H47" s="42"/>
      <c r="I47" s="42"/>
      <c r="J47" s="41"/>
      <c r="K47" s="42"/>
      <c r="L47" s="42"/>
      <c r="M47" s="42"/>
      <c r="N47" s="42"/>
      <c r="O47" s="41"/>
      <c r="P47" s="42"/>
      <c r="Q47" s="42"/>
      <c r="R47" s="42"/>
      <c r="S47" s="42"/>
      <c r="T47" s="42"/>
      <c r="U47" s="42"/>
      <c r="V47" s="41"/>
      <c r="W47" s="42"/>
      <c r="Y47" s="15">
        <f ca="1">--[1]!td(Y46-$Y$36)</f>
        <v>44237</v>
      </c>
      <c r="Z47" s="3">
        <f ca="1">[1]!f_nav_adjustedreturn_org($Z$37,Y47)</f>
        <v>143.45753341999998</v>
      </c>
      <c r="AA47" s="3">
        <f ca="1">[1]!f_quot_benchreturn($Z$37,[1]!f_info_setupdate($Z$37),Y47)</f>
        <v>89.962478637695313</v>
      </c>
      <c r="AB47" s="3">
        <f ca="1">[1]!f_nav_adjustedreturn_org($M$3,Y47)</f>
        <v>153.96988646400001</v>
      </c>
    </row>
    <row r="48" spans="2:28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2"/>
      <c r="Y48" s="15">
        <f ca="1">--[1]!td(Y47-$Y$36)</f>
        <v>44104</v>
      </c>
      <c r="Z48" s="3">
        <f ca="1">[1]!f_nav_adjustedreturn_org($Z$37,Y48)</f>
        <v>142.76455185839998</v>
      </c>
      <c r="AA48" s="3">
        <f ca="1">[1]!f_quot_benchreturn($Z$37,[1]!f_info_setupdate($Z$37),Y48)</f>
        <v>90.133659362792969</v>
      </c>
      <c r="AB48" s="3">
        <f ca="1">[1]!f_nav_adjustedreturn_org($M$3,Y48)</f>
        <v>101.03610764160003</v>
      </c>
    </row>
    <row r="49" spans="2:28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Y49" s="15">
        <f ca="1">--[1]!td(Y48-$Y$36)</f>
        <v>43977</v>
      </c>
      <c r="Z49" s="3">
        <f ca="1">[1]!f_nav_adjustedreturn_org($Z$37,Y49)</f>
        <v>116.85137966250001</v>
      </c>
      <c r="AA49" s="3">
        <f ca="1">[1]!f_quot_benchreturn($Z$37,[1]!f_info_setupdate($Z$37),Y49)</f>
        <v>78.062492370605469</v>
      </c>
      <c r="AB49" s="3">
        <f ca="1">[1]!f_nav_adjustedreturn_org($M$3,Y49)</f>
        <v>66.944236030000013</v>
      </c>
    </row>
    <row r="50" spans="2:28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Y50" s="15">
        <f ca="1">--[1]!td(Y49-$Y$36)</f>
        <v>43850</v>
      </c>
      <c r="Z50" s="3">
        <f ca="1">[1]!f_nav_adjustedreturn_org($Z$37,Y50)</f>
        <v>152.86460355199995</v>
      </c>
      <c r="AA50" s="3">
        <f ca="1">[1]!f_quot_benchreturn($Z$37,[1]!f_info_setupdate($Z$37),Y50)</f>
        <v>108.53138732910156</v>
      </c>
      <c r="AB50" s="3">
        <f ca="1">[1]!f_nav_adjustedreturn_org($M$3,Y50)</f>
        <v>80.350717845200023</v>
      </c>
    </row>
    <row r="51" spans="2:28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Y51" s="15">
        <f ca="1">--[1]!td(Y50-$Y$36)</f>
        <v>43720</v>
      </c>
      <c r="Z51" s="3">
        <f ca="1">[1]!f_nav_adjustedreturn_org($Z$37,Y51)</f>
        <v>148.12237761960003</v>
      </c>
      <c r="AA51" s="3">
        <f ca="1">[1]!f_quot_benchreturn($Z$37,[1]!f_info_setupdate($Z$37),Y51)</f>
        <v>105.49278259277344</v>
      </c>
      <c r="AB51" s="3">
        <f ca="1">[1]!f_nav_adjustedreturn_org($M$3,Y51)</f>
        <v>71.452685582800029</v>
      </c>
    </row>
    <row r="52" spans="2:28">
      <c r="Y52" s="15">
        <f ca="1">--[1]!td(Y51-$Y$36)</f>
        <v>43593</v>
      </c>
      <c r="Z52" s="3">
        <f ca="1">[1]!f_nav_adjustedreturn_org($Z$37,Y52)</f>
        <v>136.58501521880001</v>
      </c>
      <c r="AA52" s="3">
        <f ca="1">[1]!f_quot_benchreturn($Z$37,[1]!f_info_setupdate($Z$37),Y52)</f>
        <v>104.49591064453125</v>
      </c>
      <c r="AB52" s="3">
        <f ca="1">[1]!f_nav_adjustedreturn_org($M$3,Y52)</f>
        <v>55.278304418800019</v>
      </c>
    </row>
    <row r="53" spans="2:28">
      <c r="Y53" s="15">
        <f ca="1">--[1]!td(Y52-$Y$36)</f>
        <v>43462</v>
      </c>
      <c r="Z53" s="3">
        <f ca="1">[1]!f_nav_adjustedreturn_org($Z$37,Y53)</f>
        <v>114.9040277144</v>
      </c>
      <c r="AA53" s="3">
        <f ca="1">[1]!f_quot_benchreturn($Z$37,[1]!f_info_setupdate($Z$37),Y53)</f>
        <v>86.287063598632813</v>
      </c>
      <c r="AB53" s="3">
        <f ca="1">[1]!f_nav_adjustedreturn_org($M$3,Y53)</f>
        <v>27.860234400000007</v>
      </c>
    </row>
    <row r="54" spans="2:28">
      <c r="Y54" s="15">
        <f ca="1">--[1]!td(Y53-$Y$36)</f>
        <v>43335</v>
      </c>
      <c r="Z54" s="3">
        <f ca="1">[1]!f_nav_adjustedreturn_org($Z$37,Y54)</f>
        <v>119.9507139115</v>
      </c>
      <c r="AA54" s="3">
        <f ca="1">[1]!f_quot_benchreturn($Z$37,[1]!f_info_setupdate($Z$37),Y54)</f>
        <v>90.847930908203125</v>
      </c>
      <c r="AB54" s="3">
        <f ca="1">[1]!f_nav_adjustedreturn_org($M$3,Y54)</f>
        <v>40.867181000000016</v>
      </c>
    </row>
    <row r="55" spans="2:28">
      <c r="Y55" s="15">
        <f ca="1">--[1]!td(Y54-$Y$36)</f>
        <v>43208</v>
      </c>
      <c r="Z55" s="3">
        <f ca="1">[1]!f_nav_adjustedreturn_org($Z$37,Y55)</f>
        <v>134.39238429759999</v>
      </c>
      <c r="AA55" s="3">
        <f ca="1">[1]!f_quot_benchreturn($Z$37,[1]!f_info_setupdate($Z$37),Y55)</f>
        <v>110.98735809326172</v>
      </c>
      <c r="AB55" s="3">
        <f ca="1">[1]!f_nav_adjustedreturn_org($M$3,Y55)</f>
        <v>56.981576199999992</v>
      </c>
    </row>
    <row r="56" spans="2:28">
      <c r="Y56" s="15">
        <f ca="1">--[1]!td(Y55-$Y$36)</f>
        <v>43081</v>
      </c>
      <c r="Z56" s="3">
        <f ca="1">[1]!f_nav_adjustedreturn_org($Z$37,Y56)</f>
        <v>145.291455423</v>
      </c>
      <c r="AA56" s="3">
        <f ca="1">[1]!f_quot_benchreturn($Z$37,[1]!f_info_setupdate($Z$37),Y56)</f>
        <v>120.49414825439453</v>
      </c>
      <c r="AB56" s="3">
        <f ca="1">[1]!f_nav_adjustedreturn_org($M$3,Y56)</f>
        <v>67.721958200000003</v>
      </c>
    </row>
    <row r="57" spans="2:28">
      <c r="Y57" s="15">
        <f ca="1">--[1]!td(Y56-$Y$36)</f>
        <v>42954</v>
      </c>
      <c r="Z57" s="3">
        <f ca="1">[1]!f_nav_adjustedreturn_org($Z$37,Y57)</f>
        <v>140.72415345019999</v>
      </c>
      <c r="AA57" s="3">
        <f ca="1">[1]!f_quot_benchreturn($Z$37,[1]!f_info_setupdate($Z$37),Y57)</f>
        <v>116.28827667236328</v>
      </c>
      <c r="AB57" s="3">
        <f ca="1">[1]!f_nav_adjustedreturn_org($M$3,Y57)</f>
        <v>55.94576</v>
      </c>
    </row>
    <row r="58" spans="2:28">
      <c r="Y58" s="15">
        <f ca="1">--[1]!td(Y57-$Y$36)</f>
        <v>42825</v>
      </c>
      <c r="Z58" s="3">
        <f ca="1">[1]!f_nav_adjustedreturn_org($Z$37,Y58)</f>
        <v>121.51414568079998</v>
      </c>
      <c r="AA58" s="3">
        <f ca="1">[1]!f_quot_benchreturn($Z$37,[1]!f_info_setupdate($Z$37),Y58)</f>
        <v>105.99629974365234</v>
      </c>
      <c r="AB58" s="3">
        <f ca="1">[1]!f_nav_adjustedreturn_org($M$3,Y58)</f>
        <v>42.396060999999996</v>
      </c>
    </row>
    <row r="59" spans="2:28">
      <c r="Y59" s="15">
        <f ca="1">--[1]!td(Y58-$Y$36)</f>
        <v>42698</v>
      </c>
      <c r="Z59" s="3">
        <f ca="1">[1]!f_nav_adjustedreturn_org($Z$37,Y59)</f>
        <v>115.66069092000002</v>
      </c>
      <c r="AA59" s="3">
        <f ca="1">[1]!f_quot_benchreturn($Z$37,[1]!f_info_setupdate($Z$37),Y59)</f>
        <v>100.70572662353516</v>
      </c>
      <c r="AB59" s="3">
        <f ca="1">[1]!f_nav_adjustedreturn_org($M$3,Y59)</f>
        <v>43.829385999999992</v>
      </c>
    </row>
    <row r="60" spans="2:28">
      <c r="Y60" s="15">
        <f ca="1">--[1]!td(Y59-$Y$36)</f>
        <v>42571</v>
      </c>
      <c r="Z60" s="3">
        <f ca="1">[1]!f_nav_adjustedreturn_org($Z$37,Y60)</f>
        <v>93.037309140000019</v>
      </c>
      <c r="AA60" s="3">
        <f ca="1">[1]!f_quot_benchreturn($Z$37,[1]!f_info_setupdate($Z$37),Y60)</f>
        <v>80.629531860351563</v>
      </c>
      <c r="AB60" s="3">
        <f ca="1">[1]!f_nav_adjustedreturn_org($M$3,Y60)</f>
        <v>32.901716199999996</v>
      </c>
    </row>
    <row r="61" spans="2:28">
      <c r="Y61" s="15">
        <f ca="1">--[1]!td(Y60-$Y$36)</f>
        <v>42444</v>
      </c>
      <c r="Z61" s="3">
        <f ca="1">[1]!f_nav_adjustedreturn_org($Z$37,Y61)</f>
        <v>81.997720780000023</v>
      </c>
      <c r="AA61" s="3">
        <f ca="1">[1]!f_quot_benchreturn($Z$37,[1]!f_info_setupdate($Z$37),Y61)</f>
        <v>75.877960205078125</v>
      </c>
      <c r="AB61" s="3">
        <f ca="1">[1]!f_nav_adjustedreturn_org($M$3,Y61)</f>
        <v>24.076256399999995</v>
      </c>
    </row>
    <row r="62" spans="2:28">
      <c r="Y62" s="15">
        <f ca="1">--[1]!td(Y61-$Y$36)</f>
        <v>42317</v>
      </c>
      <c r="Z62" s="3">
        <f ca="1">[1]!f_nav_adjustedreturn_org($Z$37,Y62)</f>
        <v>124.09536737400001</v>
      </c>
      <c r="AA62" s="3">
        <f ca="1">[1]!f_quot_benchreturn($Z$37,[1]!f_info_setupdate($Z$37),Y62)</f>
        <v>116.21234893798828</v>
      </c>
      <c r="AB62" s="3">
        <f ca="1">[1]!f_nav_adjustedreturn_org($M$3,Y62)</f>
        <v>54.650034200000007</v>
      </c>
    </row>
    <row r="63" spans="2:28">
      <c r="Y63" s="15">
        <f ca="1">--[1]!td(Y62-$Y$36)</f>
        <v>42188</v>
      </c>
      <c r="Z63" s="3">
        <f ca="1">[1]!f_nav_adjustedreturn_org($Z$37,Y63)</f>
        <v>125.39027602299998</v>
      </c>
      <c r="AA63" s="3">
        <f ca="1">[1]!f_quot_benchreturn($Z$37,[1]!f_info_setupdate($Z$37),Y63)</f>
        <v>119.27010345458984</v>
      </c>
      <c r="AB63" s="3">
        <f ca="1">[1]!f_nav_adjustedreturn_org($M$3,Y63)</f>
        <v>55.104876000000004</v>
      </c>
    </row>
    <row r="64" spans="2:28">
      <c r="Y64" s="15">
        <f ca="1">--[1]!td(Y63-$Y$36)</f>
        <v>42061</v>
      </c>
      <c r="Z64" s="3">
        <f ca="1">[1]!f_nav_adjustedreturn_org($Z$37,Y64)</f>
        <v>90.275400306000009</v>
      </c>
      <c r="AA64" s="3">
        <f ca="1">[1]!f_quot_benchreturn($Z$37,[1]!f_info_setupdate($Z$37),Y64)</f>
        <v>87.563621520996094</v>
      </c>
      <c r="AB64" s="3">
        <f ca="1">[1]!f_nav_adjustedreturn_org($M$3,Y64)</f>
        <v>41.669843000000007</v>
      </c>
    </row>
    <row r="65" spans="25:28">
      <c r="Y65" s="15">
        <f ca="1">--[1]!td(Y64-$Y$36)</f>
        <v>41934</v>
      </c>
      <c r="Z65" s="3">
        <f ca="1">[1]!f_nav_adjustedreturn_org($Z$37,Y65)</f>
        <v>37.369344000000005</v>
      </c>
      <c r="AA65" s="3">
        <f ca="1">[1]!f_quot_benchreturn($Z$37,[1]!f_info_setupdate($Z$37),Y65)</f>
        <v>34.612651824951172</v>
      </c>
      <c r="AB65" s="3">
        <f ca="1">[1]!f_nav_adjustedreturn_org($M$3,Y65)</f>
        <v>-3.4588724000000015</v>
      </c>
    </row>
    <row r="66" spans="25:28">
      <c r="Y66" s="15">
        <f ca="1">--[1]!td(Y65-$Y$36)</f>
        <v>41807</v>
      </c>
      <c r="Z66" s="3">
        <f ca="1">[1]!f_nav_adjustedreturn_org($Z$37,Y66)</f>
        <v>21.745791999999973</v>
      </c>
      <c r="AA66" s="3">
        <f ca="1">[1]!f_quot_benchreturn($Z$37,[1]!f_info_setupdate($Z$37),Y66)</f>
        <v>22.74043083190918</v>
      </c>
      <c r="AB66" s="3">
        <f ca="1">[1]!f_nav_adjustedreturn_org($M$3,Y66)</f>
        <v>-14.795517599999997</v>
      </c>
    </row>
    <row r="67" spans="25:28">
      <c r="Y67" s="15">
        <f ca="1">--[1]!td(Y66-$Y$36)</f>
        <v>41680</v>
      </c>
      <c r="Z67" s="3">
        <f ca="1">[1]!f_nav_adjustedreturn_org($Z$37,Y67)</f>
        <v>21.672095999999996</v>
      </c>
      <c r="AA67" s="3">
        <f ca="1">[1]!f_quot_benchreturn($Z$37,[1]!f_info_setupdate($Z$37),Y67)</f>
        <v>24.045890808105469</v>
      </c>
      <c r="AB67" s="3">
        <f ca="1">[1]!f_nav_adjustedreturn_org($M$3,Y67)</f>
        <v>-11.462559200000012</v>
      </c>
    </row>
    <row r="68" spans="25:28">
      <c r="Y68" s="15">
        <f ca="1">--[1]!td(Y67-$Y$36)</f>
        <v>41547</v>
      </c>
      <c r="Z68" s="3">
        <f ca="1">[1]!f_nav_adjustedreturn_org($Z$37,Y68)</f>
        <v>30.139113488000003</v>
      </c>
      <c r="AA68" s="3">
        <f ca="1">[1]!f_quot_benchreturn($Z$37,[1]!f_info_setupdate($Z$37),Y68)</f>
        <v>32.338088989257813</v>
      </c>
      <c r="AB68" s="3">
        <f ca="1">[1]!f_nav_adjustedreturn_org($M$3,Y68)</f>
        <v>-5.8439251999999993</v>
      </c>
    </row>
    <row r="69" spans="25:28">
      <c r="Y69" s="15">
        <f ca="1">--[1]!td(Y68-$Y$36)</f>
        <v>41418</v>
      </c>
      <c r="Z69" s="3">
        <f ca="1">[1]!f_nav_adjustedreturn_org($Z$37,Y69)</f>
        <v>39.302839274</v>
      </c>
      <c r="AA69" s="3">
        <f ca="1">[1]!f_quot_benchreturn($Z$37,[1]!f_info_setupdate($Z$37),Y69)</f>
        <v>46.740161895751953</v>
      </c>
      <c r="AB69" s="3">
        <f ca="1">[1]!f_nav_adjustedreturn_org($M$3,Y69)</f>
        <v>-0.7298216000000024</v>
      </c>
    </row>
    <row r="70" spans="25:28">
      <c r="Y70" s="15">
        <f ca="1">--[1]!td(Y69-$Y$36)</f>
        <v>41291</v>
      </c>
      <c r="Z70" s="3">
        <f ca="1">[1]!f_nav_adjustedreturn_org($Z$37,Y70)</f>
        <v>35.822044207999994</v>
      </c>
      <c r="AA70" s="3">
        <f ca="1">[1]!f_quot_benchreturn($Z$37,[1]!f_info_setupdate($Z$37),Y70)</f>
        <v>43.102958679199219</v>
      </c>
      <c r="AB70" s="3">
        <f ca="1">[1]!f_nav_adjustedreturn_org($M$3,Y70)</f>
        <v>-2.4536338000000102</v>
      </c>
    </row>
    <row r="71" spans="25:28">
      <c r="Y71" s="15">
        <f ca="1">--[1]!td(Y70-$Y$36)</f>
        <v>41164</v>
      </c>
      <c r="Z71" s="3">
        <f ca="1">[1]!f_nav_adjustedreturn_org($Z$37,Y71)</f>
        <v>20.49627744</v>
      </c>
      <c r="AA71" s="3">
        <f ca="1">[1]!f_quot_benchreturn($Z$37,[1]!f_info_setupdate($Z$37),Y71)</f>
        <v>26.814029693603516</v>
      </c>
      <c r="AB71" s="3">
        <f ca="1">[1]!f_nav_adjustedreturn_org($M$3,Y71)</f>
        <v>-11.250000000000004</v>
      </c>
    </row>
    <row r="72" spans="25:28">
      <c r="Y72" s="15">
        <f ca="1">--[1]!td(Y71-$Y$36)</f>
        <v>41037</v>
      </c>
      <c r="Z72" s="3">
        <f ca="1">[1]!f_nav_adjustedreturn_org($Z$37,Y72)</f>
        <v>38.20610495999999</v>
      </c>
      <c r="AA72" s="3">
        <f ca="1">[1]!f_quot_benchreturn($Z$37,[1]!f_info_setupdate($Z$37),Y72)</f>
        <v>49.034950256347656</v>
      </c>
      <c r="AB72" s="3">
        <f ca="1">[1]!f_nav_adjustedreturn_org($M$3,Y72)</f>
        <v>0</v>
      </c>
    </row>
    <row r="73" spans="25:28">
      <c r="Y73" s="15">
        <f ca="1">--[1]!td(Y72-$Y$36)</f>
        <v>40907</v>
      </c>
      <c r="Z73" s="3">
        <f ca="1">[1]!f_nav_adjustedreturn_org($Z$37,Y73)</f>
        <v>23.760441728000004</v>
      </c>
      <c r="AA73" s="3">
        <f ca="1">[1]!f_quot_benchreturn($Z$37,[1]!f_info_setupdate($Z$37),Y73)</f>
        <v>33.404071807861328</v>
      </c>
      <c r="AB73" s="3">
        <f ca="1">[1]!f_nav_adjustedreturn_org($M$3,Y73)</f>
        <v>0</v>
      </c>
    </row>
    <row r="74" spans="25:28">
      <c r="Y74" s="15">
        <f ca="1">--[1]!td(Y73-$Y$36)</f>
        <v>40780</v>
      </c>
      <c r="Z74" s="3">
        <f ca="1">[1]!f_nav_adjustedreturn_org($Z$37,Y74)</f>
        <v>42.261496589000025</v>
      </c>
      <c r="AA74" s="3">
        <f ca="1">[1]!f_quot_benchreturn($Z$37,[1]!f_info_setupdate($Z$37),Y74)</f>
        <v>53.679458618164063</v>
      </c>
      <c r="AB74" s="3">
        <f ca="1">[1]!f_nav_adjustedreturn_org($M$3,Y74)</f>
        <v>0</v>
      </c>
    </row>
    <row r="75" spans="25:28">
      <c r="Y75" s="15">
        <f ca="1">--[1]!td(Y74-$Y$36)</f>
        <v>40653</v>
      </c>
      <c r="Z75" s="3">
        <f ca="1">[1]!f_nav_adjustedreturn_org($Z$37,Y75)</f>
        <v>61.893174125000016</v>
      </c>
      <c r="AA75" s="3">
        <f ca="1">[1]!f_quot_benchreturn($Z$37,[1]!f_info_setupdate($Z$37),Y75)</f>
        <v>78.523231506347656</v>
      </c>
      <c r="AB75" s="3">
        <f ca="1">[1]!f_nav_adjustedreturn_org($M$3,Y75)</f>
        <v>0</v>
      </c>
    </row>
    <row r="76" spans="25:28">
      <c r="Y76" s="15">
        <f ca="1">--[1]!td(Y75-$Y$36)</f>
        <v>40526</v>
      </c>
      <c r="Z76" s="3">
        <f ca="1">[1]!f_nav_adjustedreturn_org($Z$37,Y76)</f>
        <v>54.258632861000009</v>
      </c>
      <c r="AA76" s="3">
        <f ca="1">[1]!f_quot_benchreturn($Z$37,[1]!f_info_setupdate($Z$37),Y76)</f>
        <v>69.545928955078125</v>
      </c>
      <c r="AB76" s="3">
        <f ca="1">[1]!f_nav_adjustedreturn_org($M$3,Y76)</f>
        <v>0</v>
      </c>
    </row>
    <row r="77" spans="25:28">
      <c r="Y77" s="15">
        <f ca="1">--[1]!td(Y76-$Y$36)</f>
        <v>40399</v>
      </c>
      <c r="Z77" s="3">
        <f ca="1">[1]!f_nav_adjustedreturn_org($Z$37,Y77)</f>
        <v>48.936382164000001</v>
      </c>
      <c r="AA77" s="3">
        <f ca="1">[1]!f_quot_benchreturn($Z$37,[1]!f_info_setupdate($Z$37),Y77)</f>
        <v>63.929698944091797</v>
      </c>
      <c r="AB77" s="3">
        <f ca="1">[1]!f_nav_adjustedreturn_org($M$3,Y77)</f>
        <v>0</v>
      </c>
    </row>
    <row r="78" spans="25:28">
      <c r="Y78" s="15">
        <f ca="1">--[1]!td(Y77-$Y$36)</f>
        <v>40270</v>
      </c>
      <c r="Z78" s="3">
        <f ca="1">[1]!f_nav_adjustedreturn_org($Z$37,Y78)</f>
        <v>75.742022221999989</v>
      </c>
      <c r="AA78" s="3">
        <f ca="1">[1]!f_quot_benchreturn($Z$37,[1]!f_info_setupdate($Z$37),Y78)</f>
        <v>96.756500244140625</v>
      </c>
      <c r="AB78" s="3">
        <f ca="1">[1]!f_nav_adjustedreturn_org($M$3,Y78)</f>
        <v>0</v>
      </c>
    </row>
    <row r="79" spans="25:28">
      <c r="Y79" s="15">
        <f ca="1">--[1]!td(Y78-$Y$36)</f>
        <v>40143</v>
      </c>
      <c r="Z79" s="3">
        <f ca="1">[1]!f_nav_adjustedreturn_org($Z$37,Y79)</f>
        <v>82.36748307500001</v>
      </c>
      <c r="AA79" s="3">
        <f ca="1">[1]!f_quot_benchreturn($Z$37,[1]!f_info_setupdate($Z$37),Y79)</f>
        <v>104.33473968505859</v>
      </c>
      <c r="AB79" s="3">
        <f ca="1">[1]!f_nav_adjustedreturn_org($M$3,Y79)</f>
        <v>0</v>
      </c>
    </row>
    <row r="80" spans="25:28">
      <c r="Y80" s="15">
        <f ca="1">--[1]!td(Y79-$Y$36)</f>
        <v>40016</v>
      </c>
      <c r="Z80" s="3">
        <f ca="1">[1]!f_nav_adjustedreturn_org($Z$37,Y80)</f>
        <v>86.05501046000002</v>
      </c>
      <c r="AA80" s="3">
        <f ca="1">[1]!f_quot_benchreturn($Z$37,[1]!f_info_setupdate($Z$37),Y80)</f>
        <v>108.51122283935547</v>
      </c>
      <c r="AB80" s="3">
        <f ca="1">[1]!f_nav_adjustedreturn_org($M$3,Y80)</f>
        <v>0</v>
      </c>
    </row>
    <row r="81" spans="24:28">
      <c r="Y81" s="15">
        <f ca="1">--[1]!td(Y80-$Y$36)</f>
        <v>39889</v>
      </c>
      <c r="Z81" s="3">
        <f ca="1">[1]!f_nav_adjustedreturn_org($Z$37,Y81)</f>
        <v>22.995680600000014</v>
      </c>
      <c r="AA81" s="3">
        <f ca="1">[1]!f_quot_benchreturn($Z$37,[1]!f_info_setupdate($Z$37),Y81)</f>
        <v>38.843231201171875</v>
      </c>
      <c r="AB81" s="3">
        <f ca="1">[1]!f_nav_adjustedreturn_org($M$3,Y81)</f>
        <v>0</v>
      </c>
    </row>
    <row r="82" spans="24:28">
      <c r="Y82" s="15">
        <f ca="1">--[1]!td(Y81-$Y$36)</f>
        <v>39762</v>
      </c>
      <c r="Z82" s="3">
        <f ca="1">[1]!f_nav_adjustedreturn_org($Z$37,Y82)</f>
        <v>-1.5772443999999997</v>
      </c>
      <c r="AA82" s="3">
        <f ca="1">[1]!f_quot_benchreturn($Z$37,[1]!f_info_setupdate($Z$37),Y82)</f>
        <v>11.199259757995605</v>
      </c>
      <c r="AB82" s="3">
        <f ca="1">[1]!f_nav_adjustedreturn_org($M$3,Y82)</f>
        <v>0</v>
      </c>
    </row>
    <row r="83" spans="24:28">
      <c r="Y83" s="15">
        <f ca="1">--[1]!td(Y82-$Y$36)</f>
        <v>39633</v>
      </c>
      <c r="Z83" s="3">
        <f ca="1">[1]!f_nav_adjustedreturn_org($Z$37,Y83)</f>
        <v>49.010217200000007</v>
      </c>
      <c r="AA83" s="3">
        <f ca="1">[1]!f_quot_benchreturn($Z$37,[1]!f_info_setupdate($Z$37),Y83)</f>
        <v>68.802833557128906</v>
      </c>
      <c r="AB83" s="3">
        <f ca="1">[1]!f_nav_adjustedreturn_org($M$3,Y83)</f>
        <v>0</v>
      </c>
    </row>
    <row r="84" spans="24:28">
      <c r="X84" s="4"/>
      <c r="Y84" s="4"/>
      <c r="Z84" s="4"/>
      <c r="AA84" s="4"/>
    </row>
    <row r="85" spans="24:28">
      <c r="X85" s="4"/>
      <c r="Y85" s="4"/>
      <c r="Z85" s="4"/>
      <c r="AA85" s="4"/>
    </row>
    <row r="86" spans="24:28">
      <c r="X86" s="4"/>
      <c r="Y86" s="4"/>
      <c r="Z86" s="4"/>
      <c r="AA86" s="4"/>
    </row>
    <row r="87" spans="24:28">
      <c r="X87" s="4"/>
      <c r="Y87" s="4"/>
      <c r="Z87" s="4"/>
      <c r="AA87" s="4"/>
    </row>
    <row r="88" spans="24:28">
      <c r="X88" s="4"/>
      <c r="Y88" s="4"/>
      <c r="Z88" s="4"/>
      <c r="AA88" s="4"/>
    </row>
    <row r="89" spans="24:28">
      <c r="X89" s="4"/>
      <c r="Y89" s="4"/>
      <c r="Z89" s="4"/>
      <c r="AA89" s="4"/>
    </row>
    <row r="90" spans="24:28">
      <c r="X90" s="4"/>
      <c r="Y90" s="4"/>
      <c r="Z90" s="4"/>
      <c r="AA90" s="4"/>
    </row>
    <row r="91" spans="24:28">
      <c r="X91" s="4"/>
      <c r="Y91" s="4"/>
      <c r="Z91" s="4"/>
      <c r="AA91" s="4"/>
    </row>
    <row r="92" spans="24:28">
      <c r="X92" s="4"/>
      <c r="Y92" s="4"/>
      <c r="Z92" s="4"/>
      <c r="AA92" s="4"/>
    </row>
    <row r="93" spans="24:28">
      <c r="X93" s="4"/>
      <c r="Y93" s="4"/>
      <c r="Z93" s="4"/>
      <c r="AA93" s="4"/>
    </row>
    <row r="94" spans="24:28">
      <c r="X94" s="4"/>
      <c r="Y94" s="4"/>
      <c r="Z94" s="4"/>
      <c r="AA94" s="4"/>
    </row>
    <row r="95" spans="24:28">
      <c r="X95" s="4"/>
      <c r="Y95" s="4"/>
      <c r="Z95" s="4"/>
      <c r="AA95" s="4"/>
    </row>
    <row r="96" spans="24:28">
      <c r="X96" s="4"/>
      <c r="Y96" s="4"/>
      <c r="Z96" s="4"/>
      <c r="AA96" s="4"/>
    </row>
    <row r="97" spans="24:27">
      <c r="X97" s="4"/>
      <c r="Y97" s="4"/>
      <c r="Z97" s="4"/>
      <c r="AA97" s="4"/>
    </row>
    <row r="98" spans="24:27">
      <c r="X98" s="4"/>
      <c r="Y98" s="4"/>
      <c r="Z98" s="4"/>
      <c r="AA98" s="4"/>
    </row>
    <row r="99" spans="24:27">
      <c r="X99" s="4"/>
      <c r="Y99" s="4"/>
      <c r="Z99" s="4"/>
      <c r="AA99" s="4"/>
    </row>
    <row r="100" spans="24:27">
      <c r="X100" s="4"/>
      <c r="Y100" s="4"/>
      <c r="Z100" s="4"/>
      <c r="AA100" s="4"/>
    </row>
    <row r="101" spans="24:27">
      <c r="X101" s="4"/>
      <c r="Y101" s="4"/>
      <c r="Z101" s="4"/>
      <c r="AA101" s="4"/>
    </row>
    <row r="102" spans="24:27">
      <c r="X102" s="4"/>
      <c r="Y102" s="4"/>
      <c r="Z102" s="4"/>
      <c r="AA102" s="4"/>
    </row>
    <row r="103" spans="24:27">
      <c r="X103" s="4"/>
      <c r="Y103" s="4"/>
      <c r="Z103" s="4"/>
      <c r="AA103" s="4"/>
    </row>
    <row r="104" spans="24:27">
      <c r="X104" s="4"/>
      <c r="Y104" s="4"/>
      <c r="Z104" s="4"/>
      <c r="AA104" s="4"/>
    </row>
    <row r="105" spans="24:27">
      <c r="X105" s="4"/>
      <c r="Y105" s="4"/>
      <c r="Z105" s="4"/>
      <c r="AA105" s="4"/>
    </row>
    <row r="106" spans="24:27">
      <c r="X106" s="4"/>
      <c r="Y106" s="4"/>
      <c r="Z106" s="4"/>
      <c r="AA106" s="4"/>
    </row>
    <row r="107" spans="24:27">
      <c r="X107" s="4"/>
      <c r="Y107" s="4"/>
      <c r="Z107" s="4"/>
      <c r="AA107" s="4"/>
    </row>
    <row r="108" spans="24:27">
      <c r="X108" s="4"/>
      <c r="Y108" s="4"/>
      <c r="Z108" s="4"/>
      <c r="AA108" s="4"/>
    </row>
    <row r="109" spans="24:27">
      <c r="X109" s="4"/>
      <c r="Y109" s="4"/>
      <c r="Z109" s="4"/>
      <c r="AA109" s="4"/>
    </row>
    <row r="110" spans="24:27">
      <c r="X110" s="4"/>
      <c r="Y110" s="4"/>
      <c r="Z110" s="4"/>
      <c r="AA110" s="4"/>
    </row>
    <row r="111" spans="24:27">
      <c r="X111" s="4"/>
      <c r="Y111" s="4"/>
      <c r="Z111" s="4"/>
      <c r="AA111" s="4"/>
    </row>
    <row r="112" spans="24:27">
      <c r="X112" s="4"/>
      <c r="Y112" s="4"/>
      <c r="Z112" s="4"/>
      <c r="AA112" s="4"/>
    </row>
    <row r="113" spans="24:27">
      <c r="X113" s="4"/>
      <c r="Y113" s="4"/>
      <c r="Z113" s="4"/>
      <c r="AA113" s="4"/>
    </row>
    <row r="114" spans="24:27">
      <c r="X114" s="4"/>
      <c r="Y114" s="4"/>
      <c r="Z114" s="4"/>
      <c r="AA114" s="4"/>
    </row>
    <row r="115" spans="24:27">
      <c r="X115" s="4"/>
      <c r="Y115" s="4"/>
      <c r="Z115" s="4"/>
      <c r="AA115" s="4"/>
    </row>
    <row r="116" spans="24:27">
      <c r="X116" s="4"/>
      <c r="Y116" s="4"/>
      <c r="Z116" s="4"/>
      <c r="AA116" s="4"/>
    </row>
    <row r="117" spans="24:27">
      <c r="X117" s="4"/>
      <c r="Y117" s="4"/>
      <c r="Z117" s="4"/>
      <c r="AA117" s="4"/>
    </row>
    <row r="118" spans="24:27">
      <c r="X118" s="4"/>
      <c r="Y118" s="4"/>
      <c r="Z118" s="4"/>
      <c r="AA118" s="4"/>
    </row>
    <row r="119" spans="24:27">
      <c r="X119" s="4"/>
      <c r="Y119" s="4"/>
      <c r="Z119" s="4"/>
      <c r="AA119" s="4"/>
    </row>
    <row r="120" spans="24:27">
      <c r="X120" s="4"/>
      <c r="Y120" s="4"/>
      <c r="Z120" s="4"/>
      <c r="AA120" s="4"/>
    </row>
    <row r="121" spans="24:27">
      <c r="X121" s="4"/>
      <c r="Y121" s="4"/>
      <c r="Z121" s="4"/>
      <c r="AA121" s="4"/>
    </row>
    <row r="122" spans="24:27">
      <c r="X122" s="4"/>
      <c r="Y122" s="4"/>
      <c r="Z122" s="4"/>
      <c r="AA122" s="4"/>
    </row>
    <row r="123" spans="24:27">
      <c r="X123" s="4"/>
      <c r="Y123" s="4"/>
      <c r="Z123" s="4"/>
      <c r="AA123" s="4"/>
    </row>
    <row r="124" spans="24:27">
      <c r="X124" s="4"/>
      <c r="Y124" s="4"/>
      <c r="Z124" s="4"/>
      <c r="AA124" s="4"/>
    </row>
    <row r="125" spans="24:27">
      <c r="X125" s="4"/>
      <c r="Y125" s="4"/>
      <c r="Z125" s="4"/>
      <c r="AA125" s="4"/>
    </row>
    <row r="126" spans="24:27">
      <c r="X126" s="4"/>
      <c r="Y126" s="4"/>
      <c r="Z126" s="4"/>
      <c r="AA126" s="4"/>
    </row>
    <row r="127" spans="24:27">
      <c r="X127" s="4"/>
      <c r="Y127" s="4"/>
      <c r="Z127" s="4"/>
      <c r="AA127" s="4"/>
    </row>
    <row r="128" spans="24:27">
      <c r="X128" s="4"/>
      <c r="Y128" s="4"/>
      <c r="Z128" s="4"/>
      <c r="AA128" s="4"/>
    </row>
    <row r="129" spans="24:27">
      <c r="X129" s="4"/>
      <c r="Y129" s="4"/>
      <c r="Z129" s="4"/>
      <c r="AA129" s="4"/>
    </row>
    <row r="130" spans="24:27">
      <c r="X130" s="4"/>
      <c r="Y130" s="4"/>
      <c r="Z130" s="4"/>
      <c r="AA130" s="4"/>
    </row>
    <row r="131" spans="24:27">
      <c r="X131" s="4"/>
      <c r="Y131" s="4"/>
      <c r="Z131" s="4"/>
      <c r="AA131" s="4"/>
    </row>
    <row r="132" spans="24:27">
      <c r="X132" s="4"/>
      <c r="Y132" s="4"/>
      <c r="Z132" s="4"/>
      <c r="AA132" s="4"/>
    </row>
    <row r="133" spans="24:27">
      <c r="X133" s="4"/>
      <c r="Y133" s="4"/>
      <c r="Z133" s="4"/>
      <c r="AA133" s="4"/>
    </row>
    <row r="134" spans="24:27">
      <c r="X134" s="4"/>
      <c r="Y134" s="4"/>
      <c r="Z134" s="4"/>
      <c r="AA134" s="4"/>
    </row>
    <row r="135" spans="24:27">
      <c r="X135" s="4"/>
      <c r="Y135" s="4"/>
      <c r="Z135" s="4"/>
      <c r="AA135" s="4"/>
    </row>
    <row r="136" spans="24:27">
      <c r="X136" s="4"/>
      <c r="Y136" s="4"/>
      <c r="Z136" s="4"/>
      <c r="AA136" s="4"/>
    </row>
    <row r="137" spans="24:27">
      <c r="X137" s="4"/>
      <c r="Y137" s="4"/>
      <c r="Z137" s="4"/>
      <c r="AA137" s="4"/>
    </row>
    <row r="138" spans="24:27">
      <c r="X138" s="4"/>
      <c r="Y138" s="4"/>
      <c r="Z138" s="4"/>
      <c r="AA138" s="4"/>
    </row>
    <row r="139" spans="24:27">
      <c r="X139" s="4"/>
      <c r="Y139" s="4"/>
      <c r="Z139" s="4"/>
      <c r="AA139" s="4"/>
    </row>
    <row r="140" spans="24:27">
      <c r="X140" s="4"/>
      <c r="Y140" s="4"/>
      <c r="Z140" s="4"/>
      <c r="AA140" s="4"/>
    </row>
    <row r="141" spans="24:27">
      <c r="X141" s="4"/>
      <c r="Y141" s="4"/>
      <c r="Z141" s="4"/>
      <c r="AA141" s="4"/>
    </row>
    <row r="142" spans="24:27">
      <c r="X142" s="4"/>
      <c r="Y142" s="4"/>
      <c r="Z142" s="4"/>
      <c r="AA142" s="4"/>
    </row>
    <row r="143" spans="24:27">
      <c r="X143" s="4"/>
      <c r="Y143" s="4"/>
      <c r="Z143" s="4"/>
      <c r="AA143" s="4"/>
    </row>
    <row r="144" spans="24:27">
      <c r="X144" s="4"/>
      <c r="Y144" s="4"/>
      <c r="Z144" s="4"/>
      <c r="AA144" s="4"/>
    </row>
    <row r="145" spans="24:27">
      <c r="X145" s="4"/>
      <c r="Y145" s="4"/>
      <c r="Z145" s="4"/>
      <c r="AA145" s="4"/>
    </row>
    <row r="146" spans="24:27">
      <c r="X146" s="4"/>
      <c r="Y146" s="4"/>
      <c r="Z146" s="4"/>
      <c r="AA146" s="4"/>
    </row>
    <row r="147" spans="24:27">
      <c r="X147" s="4"/>
      <c r="Y147" s="4"/>
      <c r="Z147" s="4"/>
      <c r="AA147" s="4"/>
    </row>
    <row r="148" spans="24:27">
      <c r="X148" s="4"/>
      <c r="Y148" s="4"/>
      <c r="Z148" s="4"/>
      <c r="AA148" s="4"/>
    </row>
    <row r="149" spans="24:27">
      <c r="X149" s="4"/>
      <c r="Y149" s="4"/>
      <c r="Z149" s="4"/>
      <c r="AA149" s="4"/>
    </row>
    <row r="150" spans="24:27">
      <c r="X150" s="4"/>
      <c r="Y150" s="4"/>
      <c r="Z150" s="4"/>
      <c r="AA150" s="4"/>
    </row>
    <row r="151" spans="24:27">
      <c r="X151" s="4"/>
      <c r="Y151" s="4"/>
      <c r="Z151" s="4"/>
      <c r="AA151" s="4"/>
    </row>
    <row r="152" spans="24:27">
      <c r="X152" s="4"/>
      <c r="Y152" s="4"/>
      <c r="Z152" s="4"/>
      <c r="AA152" s="4"/>
    </row>
    <row r="153" spans="24:27">
      <c r="X153" s="4"/>
      <c r="Y153" s="4"/>
      <c r="Z153" s="4"/>
      <c r="AA153" s="4"/>
    </row>
    <row r="154" spans="24:27">
      <c r="X154" s="4"/>
      <c r="Y154" s="4"/>
      <c r="Z154" s="4"/>
      <c r="AA154" s="4"/>
    </row>
    <row r="155" spans="24:27">
      <c r="X155" s="4"/>
      <c r="Y155" s="4"/>
      <c r="Z155" s="4"/>
      <c r="AA155" s="4"/>
    </row>
    <row r="156" spans="24:27">
      <c r="X156" s="4"/>
      <c r="Y156" s="4"/>
      <c r="Z156" s="4"/>
      <c r="AA156" s="4"/>
    </row>
    <row r="157" spans="24:27">
      <c r="X157" s="4"/>
      <c r="Y157" s="4"/>
      <c r="Z157" s="4"/>
      <c r="AA157" s="4"/>
    </row>
    <row r="158" spans="24:27">
      <c r="X158" s="4"/>
      <c r="Y158" s="4"/>
      <c r="Z158" s="4"/>
      <c r="AA158" s="4"/>
    </row>
    <row r="159" spans="24:27">
      <c r="X159" s="4"/>
      <c r="Y159" s="4"/>
      <c r="Z159" s="4"/>
      <c r="AA159" s="4"/>
    </row>
    <row r="160" spans="24:27">
      <c r="X160" s="4"/>
      <c r="Y160" s="4"/>
      <c r="Z160" s="4"/>
      <c r="AA160" s="4"/>
    </row>
    <row r="161" spans="24:27">
      <c r="X161" s="4"/>
      <c r="Y161" s="4"/>
      <c r="Z161" s="4"/>
      <c r="AA161" s="4"/>
    </row>
    <row r="162" spans="24:27">
      <c r="X162" s="4"/>
      <c r="Y162" s="4"/>
      <c r="Z162" s="4"/>
      <c r="AA162" s="4"/>
    </row>
    <row r="163" spans="24:27">
      <c r="X163" s="4"/>
      <c r="Y163" s="4"/>
      <c r="Z163" s="4"/>
      <c r="AA163" s="4"/>
    </row>
    <row r="164" spans="24:27">
      <c r="X164" s="4"/>
      <c r="Y164" s="4"/>
      <c r="Z164" s="4"/>
      <c r="AA164" s="4"/>
    </row>
    <row r="165" spans="24:27">
      <c r="X165" s="4"/>
      <c r="Y165" s="4"/>
      <c r="Z165" s="4"/>
      <c r="AA165" s="4"/>
    </row>
    <row r="166" spans="24:27">
      <c r="X166" s="4"/>
      <c r="Y166" s="4"/>
      <c r="Z166" s="4"/>
      <c r="AA166" s="4"/>
    </row>
    <row r="167" spans="24:27">
      <c r="X167" s="4"/>
      <c r="Y167" s="4"/>
      <c r="Z167" s="4"/>
      <c r="AA167" s="4"/>
    </row>
    <row r="168" spans="24:27">
      <c r="X168" s="4"/>
      <c r="Y168" s="4"/>
      <c r="Z168" s="4"/>
      <c r="AA168" s="4"/>
    </row>
    <row r="169" spans="24:27">
      <c r="X169" s="4"/>
      <c r="Y169" s="4"/>
      <c r="Z169" s="4"/>
      <c r="AA169" s="4"/>
    </row>
    <row r="170" spans="24:27">
      <c r="X170" s="4"/>
      <c r="Y170" s="4"/>
      <c r="Z170" s="4"/>
      <c r="AA170" s="4"/>
    </row>
    <row r="171" spans="24:27">
      <c r="X171" s="4"/>
      <c r="Y171" s="4"/>
      <c r="Z171" s="4"/>
      <c r="AA171" s="4"/>
    </row>
    <row r="172" spans="24:27">
      <c r="X172" s="4"/>
      <c r="Y172" s="4"/>
      <c r="Z172" s="4"/>
      <c r="AA172" s="4"/>
    </row>
    <row r="173" spans="24:27">
      <c r="X173" s="4"/>
      <c r="Y173" s="4"/>
      <c r="Z173" s="4"/>
      <c r="AA173" s="4"/>
    </row>
    <row r="174" spans="24:27">
      <c r="X174" s="4"/>
      <c r="Y174" s="4"/>
      <c r="Z174" s="4"/>
      <c r="AA174" s="4"/>
    </row>
    <row r="175" spans="24:27">
      <c r="X175" s="4"/>
      <c r="Y175" s="4"/>
      <c r="Z175" s="4"/>
      <c r="AA175" s="4"/>
    </row>
    <row r="176" spans="24:27">
      <c r="X176" s="4"/>
      <c r="Y176" s="4"/>
      <c r="Z176" s="4"/>
      <c r="AA176" s="4"/>
    </row>
    <row r="177" spans="24:27">
      <c r="X177" s="4"/>
      <c r="Y177" s="4"/>
      <c r="Z177" s="4"/>
      <c r="AA177" s="4"/>
    </row>
    <row r="178" spans="24:27">
      <c r="X178" s="4"/>
      <c r="Y178" s="4"/>
      <c r="Z178" s="4"/>
      <c r="AA178" s="4"/>
    </row>
    <row r="179" spans="24:27">
      <c r="X179" s="4"/>
      <c r="Y179" s="4"/>
      <c r="Z179" s="4"/>
      <c r="AA179" s="4"/>
    </row>
    <row r="180" spans="24:27">
      <c r="X180" s="4"/>
      <c r="Y180" s="4"/>
      <c r="Z180" s="4"/>
      <c r="AA180" s="4"/>
    </row>
    <row r="181" spans="24:27">
      <c r="X181" s="4"/>
      <c r="Y181" s="4"/>
      <c r="Z181" s="4"/>
      <c r="AA181" s="4"/>
    </row>
    <row r="182" spans="24:27">
      <c r="X182" s="4"/>
      <c r="Y182" s="4"/>
      <c r="Z182" s="4"/>
      <c r="AA182" s="4"/>
    </row>
    <row r="183" spans="24:27">
      <c r="X183" s="4"/>
      <c r="Y183" s="4"/>
      <c r="Z183" s="4"/>
      <c r="AA183" s="4"/>
    </row>
    <row r="184" spans="24:27">
      <c r="X184" s="4"/>
      <c r="Y184" s="4"/>
      <c r="Z184" s="4"/>
      <c r="AA184" s="4"/>
    </row>
    <row r="185" spans="24:27">
      <c r="X185" s="4"/>
      <c r="Y185" s="4"/>
      <c r="Z185" s="4"/>
      <c r="AA185" s="4"/>
    </row>
    <row r="186" spans="24:27">
      <c r="X186" s="4"/>
      <c r="Y186" s="4"/>
      <c r="Z186" s="4"/>
      <c r="AA186" s="4"/>
    </row>
    <row r="187" spans="24:27">
      <c r="X187" s="4"/>
      <c r="Y187" s="4"/>
      <c r="Z187" s="4"/>
      <c r="AA187" s="4"/>
    </row>
    <row r="188" spans="24:27">
      <c r="X188" s="4"/>
      <c r="Y188" s="4"/>
      <c r="Z188" s="4"/>
      <c r="AA188" s="4"/>
    </row>
    <row r="189" spans="24:27">
      <c r="X189" s="4"/>
      <c r="Y189" s="4"/>
      <c r="Z189" s="4"/>
    </row>
    <row r="190" spans="24:27">
      <c r="X190" s="4"/>
      <c r="Y190" s="4"/>
      <c r="Z190" s="4"/>
    </row>
    <row r="191" spans="24:27">
      <c r="X191" s="4"/>
      <c r="Y191" s="4"/>
      <c r="Z191" s="4"/>
    </row>
    <row r="192" spans="24:27">
      <c r="X192" s="4"/>
      <c r="Y192" s="4"/>
      <c r="Z192" s="4"/>
    </row>
    <row r="193" spans="24:26">
      <c r="X193" s="4"/>
      <c r="Y193" s="4"/>
      <c r="Z193" s="4"/>
    </row>
    <row r="194" spans="24:26">
      <c r="X194" s="4"/>
      <c r="Y194" s="4"/>
      <c r="Z194" s="4"/>
    </row>
    <row r="195" spans="24:26">
      <c r="X195" s="4"/>
      <c r="Y195" s="4"/>
      <c r="Z195" s="4"/>
    </row>
    <row r="196" spans="24:26">
      <c r="X196" s="4"/>
      <c r="Y196" s="4"/>
      <c r="Z196" s="4"/>
    </row>
    <row r="197" spans="24:26">
      <c r="X197" s="4"/>
      <c r="Y197" s="4"/>
      <c r="Z197" s="4"/>
    </row>
    <row r="198" spans="24:26">
      <c r="X198" s="4"/>
      <c r="Y198" s="4"/>
      <c r="Z198" s="4"/>
    </row>
    <row r="199" spans="24:26">
      <c r="X199" s="4"/>
      <c r="Y199" s="4"/>
      <c r="Z199" s="4"/>
    </row>
    <row r="200" spans="24:26">
      <c r="X200" s="4"/>
      <c r="Y200" s="4"/>
      <c r="Z200" s="4"/>
    </row>
    <row r="201" spans="24:26">
      <c r="X201" s="4"/>
      <c r="Y201" s="4"/>
      <c r="Z201" s="4"/>
    </row>
    <row r="202" spans="24:26">
      <c r="X202" s="4"/>
      <c r="Y202" s="4"/>
      <c r="Z202" s="4"/>
    </row>
    <row r="203" spans="24:26">
      <c r="X203" s="4"/>
      <c r="Y203" s="4"/>
      <c r="Z203" s="4"/>
    </row>
    <row r="204" spans="24:26">
      <c r="X204" s="4"/>
      <c r="Y204" s="4"/>
      <c r="Z204" s="4"/>
    </row>
    <row r="205" spans="24:26">
      <c r="X205" s="4"/>
      <c r="Y205" s="4"/>
      <c r="Z205" s="4"/>
    </row>
    <row r="206" spans="24:26">
      <c r="X206" s="4"/>
      <c r="Y206" s="4"/>
      <c r="Z206" s="4"/>
    </row>
    <row r="207" spans="24:26">
      <c r="X207" s="4"/>
      <c r="Y207" s="4"/>
      <c r="Z207" s="4"/>
    </row>
    <row r="208" spans="24:26">
      <c r="X208" s="4"/>
      <c r="Y208" s="4"/>
      <c r="Z208" s="4"/>
    </row>
    <row r="209" spans="24:26">
      <c r="X209" s="4"/>
      <c r="Y209" s="4"/>
      <c r="Z209" s="4"/>
    </row>
    <row r="210" spans="24:26">
      <c r="X210" s="4"/>
      <c r="Y210" s="4"/>
      <c r="Z210" s="4"/>
    </row>
    <row r="211" spans="24:26">
      <c r="X211" s="4"/>
      <c r="Y211" s="4"/>
      <c r="Z211" s="4"/>
    </row>
    <row r="212" spans="24:26">
      <c r="X212" s="4"/>
      <c r="Y212" s="4"/>
      <c r="Z212" s="4"/>
    </row>
    <row r="213" spans="24:26">
      <c r="X213" s="4"/>
      <c r="Y213" s="4"/>
      <c r="Z213" s="4"/>
    </row>
    <row r="214" spans="24:26">
      <c r="X214" s="4"/>
      <c r="Y214" s="4"/>
      <c r="Z214" s="4"/>
    </row>
    <row r="215" spans="24:26">
      <c r="X215" s="4"/>
      <c r="Y215" s="4"/>
      <c r="Z215" s="4"/>
    </row>
    <row r="216" spans="24:26">
      <c r="X216" s="4"/>
      <c r="Y216" s="4"/>
      <c r="Z216" s="4"/>
    </row>
    <row r="217" spans="24:26">
      <c r="X217" s="4"/>
      <c r="Y217" s="4"/>
      <c r="Z217" s="4"/>
    </row>
    <row r="218" spans="24:26">
      <c r="X218" s="4"/>
      <c r="Y218" s="4"/>
      <c r="Z218" s="4"/>
    </row>
    <row r="219" spans="24:26">
      <c r="X219" s="4"/>
      <c r="Y219" s="4"/>
      <c r="Z219" s="4"/>
    </row>
    <row r="220" spans="24:26">
      <c r="X220" s="4"/>
      <c r="Y220" s="4"/>
      <c r="Z220" s="4"/>
    </row>
    <row r="221" spans="24:26">
      <c r="X221" s="4"/>
      <c r="Y221" s="4"/>
      <c r="Z221" s="4"/>
    </row>
    <row r="222" spans="24:26">
      <c r="X222" s="4"/>
      <c r="Y222" s="4"/>
      <c r="Z222" s="4"/>
    </row>
    <row r="223" spans="24:26">
      <c r="X223" s="4"/>
      <c r="Y223" s="4"/>
      <c r="Z223" s="4"/>
    </row>
    <row r="224" spans="24:26">
      <c r="X224" s="4"/>
      <c r="Y224" s="4"/>
      <c r="Z224" s="4"/>
    </row>
    <row r="225" spans="24:26">
      <c r="X225" s="4"/>
      <c r="Y225" s="4"/>
      <c r="Z225" s="4"/>
    </row>
    <row r="226" spans="24:26">
      <c r="X226" s="4"/>
      <c r="Y226" s="4"/>
      <c r="Z226" s="4"/>
    </row>
    <row r="227" spans="24:26">
      <c r="X227" s="4"/>
      <c r="Y227" s="4"/>
      <c r="Z227" s="4"/>
    </row>
    <row r="228" spans="24:26">
      <c r="X228" s="4"/>
      <c r="Y228" s="4"/>
      <c r="Z228" s="4"/>
    </row>
    <row r="229" spans="24:26">
      <c r="X229" s="4"/>
      <c r="Y229" s="4"/>
      <c r="Z229" s="4"/>
    </row>
    <row r="230" spans="24:26">
      <c r="X230" s="4"/>
      <c r="Y230" s="4"/>
      <c r="Z230" s="4"/>
    </row>
    <row r="231" spans="24:26">
      <c r="X231" s="4"/>
      <c r="Y231" s="4"/>
      <c r="Z231" s="4"/>
    </row>
    <row r="232" spans="24:26">
      <c r="X232" s="4"/>
      <c r="Y232" s="4"/>
      <c r="Z232" s="4"/>
    </row>
    <row r="233" spans="24:26">
      <c r="X233" s="4"/>
      <c r="Y233" s="4"/>
      <c r="Z233" s="4"/>
    </row>
    <row r="234" spans="24:26">
      <c r="X234" s="4"/>
      <c r="Y234" s="4"/>
      <c r="Z234" s="4"/>
    </row>
    <row r="235" spans="24:26">
      <c r="X235" s="4"/>
      <c r="Y235" s="4"/>
      <c r="Z235" s="4"/>
    </row>
    <row r="236" spans="24:26">
      <c r="X236" s="4"/>
      <c r="Y236" s="4"/>
      <c r="Z236" s="4"/>
    </row>
    <row r="237" spans="24:26">
      <c r="X237" s="4"/>
      <c r="Y237" s="4"/>
      <c r="Z237" s="4"/>
    </row>
    <row r="238" spans="24:26">
      <c r="X238" s="4"/>
      <c r="Y238" s="4"/>
      <c r="Z238" s="4"/>
    </row>
    <row r="239" spans="24:26">
      <c r="X239" s="4"/>
      <c r="Y239" s="4"/>
      <c r="Z239" s="4"/>
    </row>
    <row r="240" spans="24:26">
      <c r="X240" s="4"/>
      <c r="Y240" s="4"/>
      <c r="Z240" s="4"/>
    </row>
    <row r="241" spans="24:26">
      <c r="X241" s="4"/>
      <c r="Y241" s="4"/>
      <c r="Z241" s="4"/>
    </row>
    <row r="242" spans="24:26">
      <c r="X242" s="4"/>
      <c r="Y242" s="4"/>
      <c r="Z242" s="4"/>
    </row>
    <row r="243" spans="24:26">
      <c r="X243" s="4"/>
      <c r="Y243" s="4"/>
      <c r="Z243" s="4"/>
    </row>
    <row r="244" spans="24:26">
      <c r="X244" s="4"/>
      <c r="Y244" s="4"/>
      <c r="Z244" s="4"/>
    </row>
    <row r="245" spans="24:26">
      <c r="X245" s="4"/>
      <c r="Y245" s="4"/>
      <c r="Z245" s="4"/>
    </row>
    <row r="246" spans="24:26">
      <c r="X246" s="4"/>
      <c r="Y246" s="4"/>
      <c r="Z246" s="4"/>
    </row>
    <row r="247" spans="24:26">
      <c r="X247" s="4"/>
      <c r="Y247" s="4"/>
      <c r="Z247" s="4"/>
    </row>
    <row r="248" spans="24:26">
      <c r="X248" s="4"/>
      <c r="Y248" s="4"/>
      <c r="Z248" s="4"/>
    </row>
    <row r="249" spans="24:26">
      <c r="X249" s="4"/>
      <c r="Y249" s="4"/>
      <c r="Z249" s="4"/>
    </row>
    <row r="250" spans="24:26">
      <c r="X250" s="4"/>
      <c r="Y250" s="4"/>
      <c r="Z250" s="4"/>
    </row>
    <row r="251" spans="24:26">
      <c r="X251" s="4"/>
      <c r="Y251" s="4"/>
      <c r="Z251" s="4"/>
    </row>
    <row r="252" spans="24:26">
      <c r="X252" s="4"/>
      <c r="Y252" s="4"/>
      <c r="Z252" s="4"/>
    </row>
    <row r="253" spans="24:26">
      <c r="X253" s="4"/>
      <c r="Y253" s="4"/>
      <c r="Z253" s="4"/>
    </row>
    <row r="254" spans="24:26">
      <c r="X254" s="4"/>
      <c r="Y254" s="4"/>
      <c r="Z254" s="4"/>
    </row>
    <row r="255" spans="24:26">
      <c r="X255" s="4"/>
      <c r="Y255" s="4"/>
      <c r="Z255" s="4"/>
    </row>
    <row r="256" spans="24:26">
      <c r="X256" s="4"/>
      <c r="Y256" s="4"/>
      <c r="Z256" s="4"/>
    </row>
    <row r="257" spans="24:26">
      <c r="X257" s="4"/>
      <c r="Y257" s="4"/>
      <c r="Z257" s="4"/>
    </row>
    <row r="258" spans="24:26">
      <c r="X258" s="4"/>
      <c r="Y258" s="4"/>
      <c r="Z258" s="4"/>
    </row>
    <row r="259" spans="24:26">
      <c r="X259" s="4"/>
      <c r="Y259" s="4"/>
      <c r="Z259" s="4"/>
    </row>
    <row r="260" spans="24:26">
      <c r="X260" s="4"/>
      <c r="Y260" s="4"/>
      <c r="Z260" s="4"/>
    </row>
    <row r="261" spans="24:26">
      <c r="X261" s="4"/>
      <c r="Y261" s="4"/>
      <c r="Z261" s="4"/>
    </row>
    <row r="262" spans="24:26">
      <c r="X262" s="4"/>
      <c r="Y262" s="4"/>
      <c r="Z262" s="4"/>
    </row>
    <row r="263" spans="24:26">
      <c r="X263" s="4"/>
      <c r="Y263" s="4"/>
      <c r="Z263" s="4"/>
    </row>
    <row r="264" spans="24:26">
      <c r="X264" s="4"/>
      <c r="Y264" s="4"/>
      <c r="Z264" s="4"/>
    </row>
    <row r="265" spans="24:26">
      <c r="X265" s="4"/>
      <c r="Y265" s="4"/>
      <c r="Z265" s="4"/>
    </row>
    <row r="266" spans="24:26">
      <c r="X266" s="4"/>
      <c r="Y266" s="4"/>
      <c r="Z266" s="4"/>
    </row>
    <row r="267" spans="24:26">
      <c r="X267" s="4"/>
      <c r="Y267" s="4"/>
      <c r="Z267" s="4"/>
    </row>
    <row r="268" spans="24:26">
      <c r="X268" s="4"/>
      <c r="Y268" s="4"/>
      <c r="Z268" s="4"/>
    </row>
    <row r="269" spans="24:26">
      <c r="X269" s="4"/>
      <c r="Y269" s="4"/>
      <c r="Z269" s="4"/>
    </row>
    <row r="270" spans="24:26">
      <c r="X270" s="4"/>
      <c r="Y270" s="4"/>
      <c r="Z270" s="4"/>
    </row>
    <row r="271" spans="24:26">
      <c r="X271" s="4"/>
      <c r="Y271" s="4"/>
      <c r="Z271" s="4"/>
    </row>
    <row r="272" spans="24:26">
      <c r="X272" s="4"/>
      <c r="Y272" s="4"/>
      <c r="Z272" s="4"/>
    </row>
    <row r="273" spans="24:26">
      <c r="X273" s="4"/>
      <c r="Y273" s="4"/>
      <c r="Z273" s="4"/>
    </row>
    <row r="274" spans="24:26">
      <c r="X274" s="4"/>
      <c r="Y274" s="4"/>
      <c r="Z274" s="4"/>
    </row>
    <row r="275" spans="24:26">
      <c r="X275" s="4"/>
      <c r="Y275" s="4"/>
      <c r="Z275" s="4"/>
    </row>
    <row r="276" spans="24:26">
      <c r="X276" s="4"/>
      <c r="Y276" s="4"/>
      <c r="Z276" s="4"/>
    </row>
    <row r="277" spans="24:26">
      <c r="X277" s="4"/>
      <c r="Y277" s="4"/>
      <c r="Z277" s="4"/>
    </row>
    <row r="278" spans="24:26">
      <c r="X278" s="4"/>
      <c r="Y278" s="4"/>
      <c r="Z278" s="4"/>
    </row>
    <row r="279" spans="24:26">
      <c r="X279" s="4"/>
      <c r="Y279" s="4"/>
      <c r="Z279" s="4"/>
    </row>
    <row r="280" spans="24:26">
      <c r="X280" s="4"/>
      <c r="Y280" s="4"/>
      <c r="Z280" s="4"/>
    </row>
    <row r="281" spans="24:26">
      <c r="X281" s="4"/>
      <c r="Y281" s="4"/>
      <c r="Z281" s="4"/>
    </row>
    <row r="282" spans="24:26">
      <c r="X282" s="4"/>
      <c r="Y282" s="4"/>
      <c r="Z282" s="4"/>
    </row>
    <row r="283" spans="24:26">
      <c r="X283" s="4"/>
      <c r="Y283" s="4"/>
      <c r="Z283" s="4"/>
    </row>
    <row r="284" spans="24:26">
      <c r="X284" s="4"/>
      <c r="Y284" s="4"/>
      <c r="Z284" s="4"/>
    </row>
    <row r="285" spans="24:26">
      <c r="X285" s="4"/>
      <c r="Y285" s="4"/>
      <c r="Z285" s="4"/>
    </row>
    <row r="286" spans="24:26">
      <c r="X286" s="4"/>
      <c r="Y286" s="4"/>
      <c r="Z286" s="4"/>
    </row>
    <row r="287" spans="24:26">
      <c r="X287" s="4"/>
      <c r="Y287" s="4"/>
      <c r="Z287" s="4"/>
    </row>
    <row r="288" spans="24:26">
      <c r="X288" s="4"/>
      <c r="Y288" s="4"/>
      <c r="Z288" s="4"/>
    </row>
    <row r="289" spans="24:26">
      <c r="X289" s="4"/>
      <c r="Y289" s="4"/>
      <c r="Z289" s="4"/>
    </row>
    <row r="290" spans="24:26">
      <c r="X290" s="4"/>
      <c r="Y290" s="4"/>
      <c r="Z290" s="4"/>
    </row>
    <row r="291" spans="24:26">
      <c r="X291" s="4"/>
      <c r="Y291" s="4"/>
      <c r="Z291" s="4"/>
    </row>
    <row r="292" spans="24:26">
      <c r="X292" s="4"/>
      <c r="Y292" s="4"/>
      <c r="Z292" s="4"/>
    </row>
    <row r="293" spans="24:26">
      <c r="X293" s="4"/>
      <c r="Y293" s="4"/>
      <c r="Z293" s="4"/>
    </row>
    <row r="294" spans="24:26">
      <c r="X294" s="4"/>
      <c r="Y294" s="4"/>
      <c r="Z294" s="4"/>
    </row>
    <row r="295" spans="24:26">
      <c r="X295" s="4"/>
      <c r="Y295" s="4"/>
      <c r="Z295" s="4"/>
    </row>
    <row r="296" spans="24:26">
      <c r="X296" s="4"/>
      <c r="Y296" s="4"/>
      <c r="Z296" s="4"/>
    </row>
    <row r="297" spans="24:26">
      <c r="X297" s="4"/>
      <c r="Y297" s="4"/>
      <c r="Z297" s="4"/>
    </row>
    <row r="298" spans="24:26">
      <c r="X298" s="4"/>
      <c r="Y298" s="4"/>
      <c r="Z298" s="4"/>
    </row>
    <row r="299" spans="24:26">
      <c r="X299" s="4"/>
      <c r="Y299" s="4"/>
      <c r="Z299" s="4"/>
    </row>
    <row r="300" spans="24:26">
      <c r="X300" s="4"/>
      <c r="Y300" s="4"/>
      <c r="Z300" s="4"/>
    </row>
    <row r="301" spans="24:26">
      <c r="X301" s="4"/>
      <c r="Y301" s="4"/>
      <c r="Z301" s="4"/>
    </row>
    <row r="302" spans="24:26">
      <c r="X302" s="4"/>
      <c r="Y302" s="4"/>
      <c r="Z302" s="4"/>
    </row>
    <row r="303" spans="24:26">
      <c r="X303" s="4"/>
      <c r="Y303" s="4"/>
      <c r="Z303" s="4"/>
    </row>
    <row r="304" spans="24:26">
      <c r="X304" s="4"/>
      <c r="Y304" s="4"/>
      <c r="Z304" s="4"/>
    </row>
    <row r="305" spans="24:26">
      <c r="X305" s="4"/>
      <c r="Y305" s="4"/>
      <c r="Z305" s="4"/>
    </row>
    <row r="306" spans="24:26">
      <c r="X306" s="4"/>
      <c r="Y306" s="4"/>
      <c r="Z306" s="4"/>
    </row>
    <row r="307" spans="24:26">
      <c r="X307" s="4"/>
      <c r="Y307" s="4"/>
      <c r="Z307" s="4"/>
    </row>
    <row r="308" spans="24:26">
      <c r="X308" s="4"/>
      <c r="Y308" s="4"/>
      <c r="Z308" s="4"/>
    </row>
    <row r="309" spans="24:26">
      <c r="X309" s="4"/>
      <c r="Y309" s="4"/>
      <c r="Z309" s="4"/>
    </row>
    <row r="310" spans="24:26">
      <c r="X310" s="4"/>
      <c r="Y310" s="4"/>
      <c r="Z310" s="4"/>
    </row>
    <row r="311" spans="24:26">
      <c r="X311" s="4"/>
      <c r="Y311" s="4"/>
      <c r="Z311" s="4"/>
    </row>
    <row r="312" spans="24:26">
      <c r="X312" s="4"/>
      <c r="Y312" s="4"/>
      <c r="Z312" s="4"/>
    </row>
    <row r="313" spans="24:26">
      <c r="X313" s="4"/>
      <c r="Y313" s="4"/>
      <c r="Z313" s="4"/>
    </row>
    <row r="314" spans="24:26">
      <c r="X314" s="4"/>
      <c r="Y314" s="4"/>
      <c r="Z314" s="4"/>
    </row>
    <row r="315" spans="24:26">
      <c r="X315" s="4"/>
      <c r="Y315" s="4"/>
      <c r="Z315" s="4"/>
    </row>
    <row r="316" spans="24:26">
      <c r="X316" s="4"/>
      <c r="Y316" s="4"/>
      <c r="Z316" s="4"/>
    </row>
    <row r="317" spans="24:26">
      <c r="X317" s="4"/>
      <c r="Y317" s="4"/>
      <c r="Z317" s="4"/>
    </row>
    <row r="318" spans="24:26">
      <c r="X318" s="4"/>
      <c r="Y318" s="4"/>
      <c r="Z318" s="4"/>
    </row>
    <row r="319" spans="24:26">
      <c r="X319" s="4"/>
      <c r="Y319" s="4"/>
      <c r="Z319" s="4"/>
    </row>
    <row r="320" spans="24:26">
      <c r="X320" s="4"/>
      <c r="Y320" s="4"/>
      <c r="Z320" s="4"/>
    </row>
    <row r="321" spans="24:26">
      <c r="X321" s="4"/>
      <c r="Y321" s="4"/>
      <c r="Z321" s="4"/>
    </row>
    <row r="322" spans="24:26">
      <c r="X322" s="4"/>
      <c r="Y322" s="4"/>
      <c r="Z322" s="4"/>
    </row>
    <row r="323" spans="24:26">
      <c r="X323" s="4"/>
      <c r="Y323" s="4"/>
      <c r="Z323" s="4"/>
    </row>
    <row r="324" spans="24:26">
      <c r="X324" s="4"/>
      <c r="Y324" s="4"/>
      <c r="Z324" s="4"/>
    </row>
    <row r="325" spans="24:26">
      <c r="X325" s="4"/>
      <c r="Y325" s="4"/>
      <c r="Z325" s="4"/>
    </row>
    <row r="326" spans="24:26">
      <c r="X326" s="4"/>
      <c r="Y326" s="4"/>
      <c r="Z326" s="4"/>
    </row>
    <row r="327" spans="24:26">
      <c r="X327" s="4"/>
      <c r="Y327" s="4"/>
      <c r="Z327" s="4"/>
    </row>
    <row r="328" spans="24:26">
      <c r="X328" s="4"/>
      <c r="Y328" s="4"/>
      <c r="Z328" s="4"/>
    </row>
    <row r="329" spans="24:26">
      <c r="X329" s="4"/>
      <c r="Y329" s="4"/>
      <c r="Z329" s="4"/>
    </row>
    <row r="330" spans="24:26">
      <c r="X330" s="4"/>
      <c r="Y330" s="4"/>
      <c r="Z330" s="4"/>
    </row>
    <row r="331" spans="24:26">
      <c r="X331" s="4"/>
      <c r="Y331" s="4"/>
      <c r="Z331" s="4"/>
    </row>
    <row r="332" spans="24:26">
      <c r="X332" s="4"/>
      <c r="Y332" s="4"/>
      <c r="Z332" s="4"/>
    </row>
    <row r="333" spans="24:26">
      <c r="X333" s="4"/>
      <c r="Y333" s="4"/>
      <c r="Z333" s="4"/>
    </row>
    <row r="334" spans="24:26">
      <c r="X334" s="4"/>
      <c r="Y334" s="4"/>
      <c r="Z334" s="4"/>
    </row>
    <row r="335" spans="24:26">
      <c r="X335" s="4"/>
      <c r="Y335" s="4"/>
      <c r="Z335" s="4"/>
    </row>
    <row r="336" spans="24:26">
      <c r="X336" s="4"/>
      <c r="Y336" s="4"/>
      <c r="Z336" s="4"/>
    </row>
    <row r="337" spans="24:26">
      <c r="X337" s="4"/>
      <c r="Y337" s="4"/>
      <c r="Z337" s="4"/>
    </row>
    <row r="338" spans="24:26">
      <c r="X338" s="4"/>
      <c r="Y338" s="4"/>
      <c r="Z338" s="4"/>
    </row>
    <row r="339" spans="24:26">
      <c r="X339" s="4"/>
      <c r="Y339" s="4"/>
      <c r="Z339" s="4"/>
    </row>
    <row r="340" spans="24:26">
      <c r="X340" s="4"/>
      <c r="Y340" s="4"/>
      <c r="Z340" s="4"/>
    </row>
    <row r="341" spans="24:26">
      <c r="X341" s="4"/>
      <c r="Y341" s="4"/>
      <c r="Z341" s="4"/>
    </row>
    <row r="342" spans="24:26">
      <c r="X342" s="4"/>
      <c r="Y342" s="4"/>
      <c r="Z342" s="4"/>
    </row>
    <row r="343" spans="24:26">
      <c r="X343" s="4"/>
      <c r="Y343" s="4"/>
      <c r="Z343" s="4"/>
    </row>
    <row r="344" spans="24:26">
      <c r="X344" s="4"/>
      <c r="Y344" s="4"/>
      <c r="Z344" s="4"/>
    </row>
    <row r="345" spans="24:26">
      <c r="X345" s="4"/>
      <c r="Y345" s="4"/>
      <c r="Z345" s="4"/>
    </row>
    <row r="346" spans="24:26">
      <c r="X346" s="4"/>
      <c r="Y346" s="4"/>
      <c r="Z346" s="4"/>
    </row>
    <row r="347" spans="24:26">
      <c r="X347" s="4"/>
      <c r="Y347" s="4"/>
      <c r="Z347" s="4"/>
    </row>
    <row r="348" spans="24:26">
      <c r="X348" s="4"/>
      <c r="Y348" s="4"/>
      <c r="Z348" s="4"/>
    </row>
    <row r="349" spans="24:26">
      <c r="X349" s="4"/>
      <c r="Y349" s="4"/>
      <c r="Z349" s="4"/>
    </row>
    <row r="350" spans="24:26">
      <c r="X350" s="4"/>
      <c r="Y350" s="4"/>
      <c r="Z350" s="4"/>
    </row>
    <row r="351" spans="24:26">
      <c r="X351" s="4"/>
      <c r="Y351" s="4"/>
      <c r="Z351" s="4"/>
    </row>
    <row r="352" spans="24:26">
      <c r="X352" s="4"/>
      <c r="Y352" s="4"/>
      <c r="Z352" s="4"/>
    </row>
    <row r="353" spans="24:26">
      <c r="X353" s="4"/>
      <c r="Y353" s="4"/>
      <c r="Z353" s="4"/>
    </row>
    <row r="354" spans="24:26">
      <c r="X354" s="4"/>
      <c r="Y354" s="4"/>
      <c r="Z354" s="4"/>
    </row>
    <row r="355" spans="24:26">
      <c r="X355" s="4"/>
      <c r="Y355" s="4"/>
      <c r="Z355" s="4"/>
    </row>
    <row r="356" spans="24:26">
      <c r="X356" s="4"/>
      <c r="Y356" s="4"/>
      <c r="Z356" s="4"/>
    </row>
    <row r="357" spans="24:26">
      <c r="X357" s="4"/>
      <c r="Y357" s="4"/>
      <c r="Z357" s="4"/>
    </row>
    <row r="358" spans="24:26">
      <c r="X358" s="4"/>
      <c r="Y358" s="4"/>
      <c r="Z358" s="4"/>
    </row>
    <row r="359" spans="24:26">
      <c r="X359" s="4"/>
      <c r="Y359" s="4"/>
      <c r="Z359" s="4"/>
    </row>
    <row r="360" spans="24:26">
      <c r="X360" s="4"/>
      <c r="Y360" s="4"/>
      <c r="Z360" s="4"/>
    </row>
    <row r="361" spans="24:26">
      <c r="X361" s="4"/>
      <c r="Y361" s="4"/>
      <c r="Z361" s="4"/>
    </row>
    <row r="362" spans="24:26">
      <c r="X362" s="4"/>
      <c r="Y362" s="4"/>
      <c r="Z362" s="4"/>
    </row>
    <row r="363" spans="24:26">
      <c r="X363" s="4"/>
      <c r="Y363" s="4"/>
      <c r="Z363" s="4"/>
    </row>
    <row r="364" spans="24:26">
      <c r="X364" s="4"/>
      <c r="Y364" s="4"/>
      <c r="Z364" s="4"/>
    </row>
    <row r="365" spans="24:26">
      <c r="X365" s="4"/>
      <c r="Y365" s="4"/>
      <c r="Z365" s="4"/>
    </row>
    <row r="366" spans="24:26">
      <c r="X366" s="4"/>
      <c r="Y366" s="4"/>
      <c r="Z366" s="4"/>
    </row>
    <row r="367" spans="24:26">
      <c r="X367" s="4"/>
      <c r="Y367" s="4"/>
      <c r="Z367" s="4"/>
    </row>
    <row r="368" spans="24:26">
      <c r="X368" s="4"/>
      <c r="Y368" s="4"/>
      <c r="Z368" s="4"/>
    </row>
    <row r="369" spans="24:26">
      <c r="X369" s="4"/>
      <c r="Y369" s="4"/>
      <c r="Z369" s="4"/>
    </row>
    <row r="370" spans="24:26">
      <c r="X370" s="4"/>
      <c r="Y370" s="4"/>
      <c r="Z370" s="4"/>
    </row>
    <row r="371" spans="24:26">
      <c r="X371" s="4"/>
      <c r="Y371" s="4"/>
      <c r="Z371" s="4"/>
    </row>
    <row r="372" spans="24:26">
      <c r="X372" s="4"/>
      <c r="Y372" s="4"/>
      <c r="Z372" s="4"/>
    </row>
    <row r="373" spans="24:26">
      <c r="X373" s="4"/>
      <c r="Y373" s="4"/>
      <c r="Z373" s="4"/>
    </row>
    <row r="374" spans="24:26">
      <c r="X374" s="4"/>
      <c r="Y374" s="4"/>
      <c r="Z374" s="4"/>
    </row>
    <row r="375" spans="24:26">
      <c r="X375" s="4"/>
      <c r="Y375" s="4"/>
      <c r="Z375" s="4"/>
    </row>
    <row r="376" spans="24:26">
      <c r="X376" s="4"/>
      <c r="Y376" s="4"/>
      <c r="Z376" s="4"/>
    </row>
    <row r="377" spans="24:26">
      <c r="X377" s="4"/>
      <c r="Y377" s="4"/>
      <c r="Z377" s="4"/>
    </row>
    <row r="378" spans="24:26">
      <c r="X378" s="4"/>
      <c r="Y378" s="4"/>
      <c r="Z378" s="4"/>
    </row>
    <row r="379" spans="24:26">
      <c r="X379" s="4"/>
      <c r="Y379" s="4"/>
      <c r="Z379" s="4"/>
    </row>
    <row r="380" spans="24:26">
      <c r="X380" s="4"/>
      <c r="Y380" s="4"/>
      <c r="Z380" s="4"/>
    </row>
    <row r="381" spans="24:26">
      <c r="X381" s="4"/>
      <c r="Y381" s="4"/>
      <c r="Z381" s="4"/>
    </row>
    <row r="382" spans="24:26">
      <c r="X382" s="4"/>
      <c r="Y382" s="4"/>
      <c r="Z382" s="4"/>
    </row>
    <row r="383" spans="24:26">
      <c r="X383" s="4"/>
      <c r="Y383" s="4"/>
      <c r="Z383" s="4"/>
    </row>
    <row r="384" spans="24:26">
      <c r="X384" s="4"/>
      <c r="Y384" s="4"/>
      <c r="Z384" s="4"/>
    </row>
    <row r="385" spans="24:26">
      <c r="X385" s="4"/>
      <c r="Y385" s="4"/>
      <c r="Z385" s="4"/>
    </row>
    <row r="386" spans="24:26">
      <c r="X386" s="4"/>
      <c r="Y386" s="4"/>
      <c r="Z386" s="4"/>
    </row>
    <row r="387" spans="24:26">
      <c r="X387" s="4"/>
      <c r="Y387" s="4"/>
      <c r="Z387" s="4"/>
    </row>
    <row r="388" spans="24:26">
      <c r="X388" s="4"/>
      <c r="Y388" s="4"/>
      <c r="Z388" s="4"/>
    </row>
    <row r="389" spans="24:26">
      <c r="X389" s="4"/>
      <c r="Y389" s="4"/>
      <c r="Z389" s="4"/>
    </row>
    <row r="390" spans="24:26">
      <c r="X390" s="4"/>
      <c r="Y390" s="4"/>
      <c r="Z390" s="4"/>
    </row>
    <row r="391" spans="24:26">
      <c r="X391" s="4"/>
      <c r="Y391" s="4"/>
      <c r="Z391" s="4"/>
    </row>
    <row r="392" spans="24:26">
      <c r="X392" s="4"/>
      <c r="Y392" s="4"/>
      <c r="Z392" s="4"/>
    </row>
    <row r="393" spans="24:26">
      <c r="X393" s="4"/>
      <c r="Y393" s="4"/>
      <c r="Z393" s="4"/>
    </row>
    <row r="394" spans="24:26">
      <c r="X394" s="4"/>
      <c r="Y394" s="4"/>
      <c r="Z394" s="4"/>
    </row>
    <row r="395" spans="24:26">
      <c r="X395" s="4"/>
      <c r="Y395" s="4"/>
      <c r="Z395" s="4"/>
    </row>
    <row r="396" spans="24:26">
      <c r="X396" s="4"/>
      <c r="Y396" s="4"/>
      <c r="Z396" s="4"/>
    </row>
    <row r="397" spans="24:26">
      <c r="X397" s="4"/>
      <c r="Y397" s="4"/>
      <c r="Z397" s="4"/>
    </row>
    <row r="398" spans="24:26">
      <c r="X398" s="4"/>
      <c r="Y398" s="4"/>
      <c r="Z398" s="4"/>
    </row>
    <row r="399" spans="24:26">
      <c r="X399" s="4"/>
      <c r="Y399" s="4"/>
      <c r="Z399" s="4"/>
    </row>
    <row r="400" spans="24:26">
      <c r="X400" s="4"/>
      <c r="Y400" s="4"/>
      <c r="Z400" s="4"/>
    </row>
    <row r="401" spans="24:26">
      <c r="X401" s="4"/>
      <c r="Y401" s="4"/>
      <c r="Z401" s="4"/>
    </row>
    <row r="402" spans="24:26">
      <c r="X402" s="4"/>
      <c r="Y402" s="4"/>
      <c r="Z402" s="4"/>
    </row>
    <row r="403" spans="24:26">
      <c r="X403" s="4"/>
      <c r="Y403" s="4"/>
      <c r="Z403" s="4"/>
    </row>
    <row r="404" spans="24:26">
      <c r="X404" s="4"/>
      <c r="Y404" s="4"/>
      <c r="Z404" s="4"/>
    </row>
    <row r="405" spans="24:26">
      <c r="X405" s="4"/>
      <c r="Y405" s="4"/>
      <c r="Z405" s="4"/>
    </row>
    <row r="406" spans="24:26">
      <c r="X406" s="4"/>
      <c r="Y406" s="4"/>
      <c r="Z406" s="4"/>
    </row>
    <row r="407" spans="24:26">
      <c r="X407" s="4"/>
      <c r="Y407" s="4"/>
      <c r="Z407" s="4"/>
    </row>
    <row r="408" spans="24:26">
      <c r="X408" s="4"/>
      <c r="Y408" s="4"/>
      <c r="Z408" s="4"/>
    </row>
    <row r="409" spans="24:26">
      <c r="X409" s="4"/>
      <c r="Y409" s="4"/>
      <c r="Z409" s="4"/>
    </row>
    <row r="410" spans="24:26">
      <c r="X410" s="4"/>
      <c r="Y410" s="4"/>
      <c r="Z410" s="4"/>
    </row>
    <row r="411" spans="24:26">
      <c r="X411" s="4"/>
      <c r="Y411" s="4"/>
      <c r="Z411" s="4"/>
    </row>
    <row r="412" spans="24:26">
      <c r="X412" s="4"/>
      <c r="Y412" s="4"/>
      <c r="Z412" s="4"/>
    </row>
    <row r="413" spans="24:26">
      <c r="X413" s="4"/>
      <c r="Y413" s="4"/>
      <c r="Z413" s="4"/>
    </row>
    <row r="414" spans="24:26">
      <c r="X414" s="4"/>
      <c r="Y414" s="4"/>
      <c r="Z414" s="4"/>
    </row>
    <row r="415" spans="24:26">
      <c r="X415" s="4"/>
      <c r="Y415" s="4"/>
      <c r="Z415" s="4"/>
    </row>
    <row r="416" spans="24:26">
      <c r="X416" s="4"/>
      <c r="Y416" s="4"/>
      <c r="Z416" s="4"/>
    </row>
    <row r="417" spans="24:26">
      <c r="X417" s="4"/>
      <c r="Y417" s="4"/>
      <c r="Z417" s="4"/>
    </row>
    <row r="418" spans="24:26">
      <c r="X418" s="4"/>
      <c r="Y418" s="4"/>
      <c r="Z418" s="4"/>
    </row>
    <row r="419" spans="24:26">
      <c r="X419" s="4"/>
      <c r="Y419" s="4"/>
      <c r="Z419" s="4"/>
    </row>
    <row r="420" spans="24:26">
      <c r="X420" s="4"/>
      <c r="Y420" s="4"/>
      <c r="Z420" s="4"/>
    </row>
    <row r="421" spans="24:26">
      <c r="X421" s="4"/>
      <c r="Y421" s="4"/>
      <c r="Z421" s="4"/>
    </row>
    <row r="422" spans="24:26">
      <c r="X422" s="4"/>
      <c r="Y422" s="4"/>
      <c r="Z422" s="4"/>
    </row>
    <row r="423" spans="24:26">
      <c r="X423" s="4"/>
      <c r="Y423" s="4"/>
      <c r="Z423" s="4"/>
    </row>
    <row r="424" spans="24:26">
      <c r="X424" s="4"/>
      <c r="Y424" s="4"/>
      <c r="Z424" s="4"/>
    </row>
    <row r="425" spans="24:26">
      <c r="X425" s="4"/>
      <c r="Y425" s="4"/>
      <c r="Z425" s="4"/>
    </row>
    <row r="426" spans="24:26">
      <c r="X426" s="4"/>
      <c r="Y426" s="4"/>
      <c r="Z426" s="4"/>
    </row>
    <row r="427" spans="24:26">
      <c r="X427" s="4"/>
      <c r="Y427" s="4"/>
      <c r="Z427" s="4"/>
    </row>
    <row r="428" spans="24:26">
      <c r="X428" s="4"/>
      <c r="Y428" s="4"/>
      <c r="Z428" s="4"/>
    </row>
    <row r="429" spans="24:26">
      <c r="X429" s="4"/>
      <c r="Y429" s="4"/>
      <c r="Z429" s="4"/>
    </row>
    <row r="430" spans="24:26">
      <c r="X430" s="4"/>
      <c r="Y430" s="4"/>
      <c r="Z430" s="4"/>
    </row>
    <row r="431" spans="24:26">
      <c r="X431" s="4"/>
      <c r="Y431" s="4"/>
      <c r="Z431" s="4"/>
    </row>
    <row r="432" spans="24:26">
      <c r="X432" s="4"/>
      <c r="Y432" s="4"/>
      <c r="Z432" s="4"/>
    </row>
    <row r="433" spans="24:26">
      <c r="X433" s="4"/>
      <c r="Y433" s="4"/>
      <c r="Z433" s="4"/>
    </row>
    <row r="434" spans="24:26">
      <c r="X434" s="4"/>
      <c r="Y434" s="4"/>
      <c r="Z434" s="4"/>
    </row>
    <row r="435" spans="24:26">
      <c r="X435" s="4"/>
      <c r="Y435" s="4"/>
      <c r="Z435" s="4"/>
    </row>
    <row r="436" spans="24:26">
      <c r="X436" s="4"/>
      <c r="Y436" s="4"/>
      <c r="Z436" s="4"/>
    </row>
    <row r="437" spans="24:26">
      <c r="X437" s="4"/>
      <c r="Y437" s="4"/>
      <c r="Z437" s="4"/>
    </row>
    <row r="438" spans="24:26">
      <c r="X438" s="4"/>
      <c r="Y438" s="4"/>
      <c r="Z438" s="4"/>
    </row>
    <row r="439" spans="24:26">
      <c r="X439" s="4"/>
      <c r="Y439" s="4"/>
      <c r="Z439" s="4"/>
    </row>
    <row r="440" spans="24:26">
      <c r="X440" s="4"/>
      <c r="Y440" s="4"/>
      <c r="Z440" s="4"/>
    </row>
    <row r="441" spans="24:26">
      <c r="X441" s="4"/>
      <c r="Y441" s="4"/>
      <c r="Z441" s="4"/>
    </row>
    <row r="442" spans="24:26">
      <c r="X442" s="4"/>
      <c r="Y442" s="4"/>
      <c r="Z442" s="4"/>
    </row>
    <row r="443" spans="24:26">
      <c r="X443" s="4"/>
      <c r="Y443" s="4"/>
      <c r="Z443" s="4"/>
    </row>
    <row r="444" spans="24:26">
      <c r="X444" s="4"/>
      <c r="Y444" s="4"/>
      <c r="Z444" s="4"/>
    </row>
    <row r="445" spans="24:26">
      <c r="X445" s="4"/>
      <c r="Y445" s="4"/>
      <c r="Z445" s="4"/>
    </row>
    <row r="446" spans="24:26">
      <c r="X446" s="4"/>
      <c r="Y446" s="4"/>
      <c r="Z446" s="4"/>
    </row>
    <row r="447" spans="24:26">
      <c r="X447" s="4"/>
      <c r="Y447" s="4"/>
      <c r="Z447" s="4"/>
    </row>
    <row r="448" spans="24:26">
      <c r="X448" s="4"/>
      <c r="Y448" s="4"/>
      <c r="Z448" s="4"/>
    </row>
    <row r="449" spans="24:26">
      <c r="X449" s="4"/>
      <c r="Y449" s="4"/>
      <c r="Z449" s="4"/>
    </row>
    <row r="450" spans="24:26">
      <c r="X450" s="4"/>
      <c r="Y450" s="4"/>
      <c r="Z450" s="4"/>
    </row>
    <row r="451" spans="24:26">
      <c r="X451" s="4"/>
      <c r="Y451" s="4"/>
      <c r="Z451" s="4"/>
    </row>
    <row r="452" spans="24:26">
      <c r="X452" s="4"/>
      <c r="Y452" s="4"/>
      <c r="Z452" s="4"/>
    </row>
    <row r="453" spans="24:26">
      <c r="X453" s="4"/>
      <c r="Y453" s="4"/>
      <c r="Z453" s="4"/>
    </row>
    <row r="454" spans="24:26">
      <c r="X454" s="4"/>
      <c r="Y454" s="4"/>
      <c r="Z454" s="4"/>
    </row>
    <row r="455" spans="24:26">
      <c r="X455" s="4"/>
      <c r="Y455" s="4"/>
      <c r="Z455" s="4"/>
    </row>
    <row r="456" spans="24:26">
      <c r="X456" s="4"/>
      <c r="Y456" s="4"/>
      <c r="Z456" s="4"/>
    </row>
    <row r="457" spans="24:26">
      <c r="X457" s="4"/>
      <c r="Y457" s="4"/>
      <c r="Z457" s="4"/>
    </row>
    <row r="458" spans="24:26">
      <c r="X458" s="4"/>
      <c r="Y458" s="4"/>
      <c r="Z458" s="4"/>
    </row>
    <row r="459" spans="24:26">
      <c r="X459" s="4"/>
      <c r="Y459" s="4"/>
      <c r="Z459" s="4"/>
    </row>
    <row r="460" spans="24:26">
      <c r="X460" s="4"/>
      <c r="Y460" s="4"/>
      <c r="Z460" s="4"/>
    </row>
    <row r="461" spans="24:26">
      <c r="X461" s="4"/>
      <c r="Y461" s="4"/>
      <c r="Z461" s="4"/>
    </row>
    <row r="462" spans="24:26">
      <c r="X462" s="4"/>
      <c r="Y462" s="4"/>
      <c r="Z462" s="4"/>
    </row>
    <row r="463" spans="24:26">
      <c r="X463" s="4"/>
      <c r="Y463" s="4"/>
      <c r="Z463" s="4"/>
    </row>
    <row r="464" spans="24:26">
      <c r="X464" s="4"/>
      <c r="Y464" s="4"/>
      <c r="Z464" s="4"/>
    </row>
    <row r="465" spans="24:26">
      <c r="X465" s="4"/>
      <c r="Y465" s="4"/>
      <c r="Z465" s="4"/>
    </row>
    <row r="466" spans="24:26">
      <c r="X466" s="4"/>
      <c r="Y466" s="4"/>
      <c r="Z466" s="4"/>
    </row>
    <row r="467" spans="24:26">
      <c r="X467" s="4"/>
      <c r="Y467" s="4"/>
      <c r="Z467" s="4"/>
    </row>
    <row r="468" spans="24:26">
      <c r="X468" s="4"/>
      <c r="Y468" s="4"/>
      <c r="Z468" s="4"/>
    </row>
    <row r="469" spans="24:26">
      <c r="X469" s="4"/>
      <c r="Y469" s="4"/>
      <c r="Z469" s="4"/>
    </row>
    <row r="470" spans="24:26">
      <c r="X470" s="4"/>
      <c r="Y470" s="4"/>
      <c r="Z470" s="4"/>
    </row>
    <row r="471" spans="24:26">
      <c r="X471" s="4"/>
      <c r="Y471" s="4"/>
      <c r="Z471" s="4"/>
    </row>
    <row r="472" spans="24:26">
      <c r="X472" s="4"/>
      <c r="Y472" s="4"/>
      <c r="Z472" s="4"/>
    </row>
    <row r="473" spans="24:26">
      <c r="X473" s="4"/>
      <c r="Y473" s="4"/>
      <c r="Z473" s="4"/>
    </row>
    <row r="474" spans="24:26">
      <c r="X474" s="4"/>
      <c r="Y474" s="4"/>
      <c r="Z474" s="4"/>
    </row>
    <row r="475" spans="24:26">
      <c r="X475" s="4"/>
      <c r="Y475" s="4"/>
      <c r="Z475" s="4"/>
    </row>
    <row r="476" spans="24:26">
      <c r="X476" s="4"/>
      <c r="Y476" s="4"/>
      <c r="Z476" s="4"/>
    </row>
    <row r="477" spans="24:26">
      <c r="X477" s="4"/>
      <c r="Y477" s="4"/>
      <c r="Z477" s="4"/>
    </row>
    <row r="478" spans="24:26">
      <c r="X478" s="4"/>
      <c r="Y478" s="4"/>
      <c r="Z478" s="4"/>
    </row>
    <row r="479" spans="24:26">
      <c r="X479" s="4"/>
      <c r="Y479" s="4"/>
      <c r="Z479" s="4"/>
    </row>
    <row r="480" spans="24:26">
      <c r="X480" s="4"/>
      <c r="Y480" s="4"/>
      <c r="Z480" s="4"/>
    </row>
    <row r="481" spans="24:26">
      <c r="X481" s="4"/>
      <c r="Y481" s="4"/>
      <c r="Z481" s="4"/>
    </row>
    <row r="482" spans="24:26">
      <c r="X482" s="4"/>
      <c r="Y482" s="4"/>
      <c r="Z482" s="4"/>
    </row>
    <row r="483" spans="24:26">
      <c r="X483" s="4"/>
      <c r="Y483" s="4"/>
      <c r="Z483" s="4"/>
    </row>
    <row r="484" spans="24:26">
      <c r="X484" s="4"/>
      <c r="Y484" s="4"/>
      <c r="Z484" s="4"/>
    </row>
    <row r="485" spans="24:26">
      <c r="X485" s="4"/>
      <c r="Y485" s="4"/>
      <c r="Z485" s="4"/>
    </row>
    <row r="486" spans="24:26">
      <c r="X486" s="4"/>
      <c r="Y486" s="4"/>
      <c r="Z486" s="4"/>
    </row>
    <row r="487" spans="24:26">
      <c r="X487" s="4"/>
      <c r="Y487" s="4"/>
      <c r="Z487" s="4"/>
    </row>
    <row r="488" spans="24:26">
      <c r="X488" s="4"/>
      <c r="Y488" s="4"/>
      <c r="Z488" s="4"/>
    </row>
    <row r="489" spans="24:26">
      <c r="X489" s="4"/>
      <c r="Y489" s="4"/>
      <c r="Z489" s="4"/>
    </row>
    <row r="490" spans="24:26">
      <c r="X490" s="4"/>
      <c r="Y490" s="4"/>
      <c r="Z490" s="4"/>
    </row>
    <row r="491" spans="24:26">
      <c r="X491" s="4"/>
      <c r="Y491" s="4"/>
      <c r="Z491" s="4"/>
    </row>
    <row r="492" spans="24:26">
      <c r="X492" s="4"/>
      <c r="Y492" s="4"/>
      <c r="Z492" s="4"/>
    </row>
    <row r="493" spans="24:26">
      <c r="X493" s="4"/>
      <c r="Y493" s="4"/>
      <c r="Z493" s="4"/>
    </row>
    <row r="494" spans="24:26">
      <c r="X494" s="4"/>
      <c r="Y494" s="4"/>
      <c r="Z494" s="4"/>
    </row>
    <row r="495" spans="24:26">
      <c r="X495" s="4"/>
      <c r="Y495" s="4"/>
      <c r="Z495" s="4"/>
    </row>
    <row r="496" spans="24:26">
      <c r="X496" s="4"/>
      <c r="Y496" s="4"/>
      <c r="Z496" s="4"/>
    </row>
    <row r="497" spans="24:26">
      <c r="X497" s="4"/>
      <c r="Y497" s="4"/>
      <c r="Z497" s="4"/>
    </row>
    <row r="498" spans="24:26">
      <c r="X498" s="4"/>
      <c r="Y498" s="4"/>
      <c r="Z498" s="4"/>
    </row>
    <row r="499" spans="24:26">
      <c r="X499" s="4"/>
      <c r="Y499" s="4"/>
      <c r="Z499" s="4"/>
    </row>
    <row r="500" spans="24:26">
      <c r="X500" s="4"/>
      <c r="Y500" s="4"/>
      <c r="Z500" s="4"/>
    </row>
    <row r="501" spans="24:26">
      <c r="X501" s="4"/>
      <c r="Y501" s="4"/>
      <c r="Z501" s="4"/>
    </row>
    <row r="502" spans="24:26">
      <c r="X502" s="4"/>
      <c r="Y502" s="4"/>
      <c r="Z502" s="4"/>
    </row>
    <row r="503" spans="24:26">
      <c r="X503" s="4"/>
      <c r="Y503" s="4"/>
      <c r="Z503" s="4"/>
    </row>
    <row r="504" spans="24:26">
      <c r="X504" s="4"/>
      <c r="Y504" s="4"/>
      <c r="Z504" s="4"/>
    </row>
    <row r="505" spans="24:26">
      <c r="X505" s="4"/>
      <c r="Y505" s="4"/>
      <c r="Z505" s="4"/>
    </row>
    <row r="506" spans="24:26">
      <c r="X506" s="4"/>
      <c r="Y506" s="4"/>
      <c r="Z506" s="4"/>
    </row>
    <row r="507" spans="24:26">
      <c r="X507" s="4"/>
      <c r="Y507" s="4"/>
      <c r="Z507" s="4"/>
    </row>
    <row r="508" spans="24:26">
      <c r="X508" s="4"/>
      <c r="Y508" s="4"/>
      <c r="Z508" s="4"/>
    </row>
    <row r="509" spans="24:26">
      <c r="X509" s="4"/>
      <c r="Y509" s="4"/>
      <c r="Z509" s="4"/>
    </row>
    <row r="510" spans="24:26">
      <c r="X510" s="4"/>
      <c r="Y510" s="4"/>
      <c r="Z510" s="4"/>
    </row>
    <row r="511" spans="24:26">
      <c r="X511" s="4"/>
      <c r="Y511" s="4"/>
      <c r="Z511" s="4"/>
    </row>
    <row r="512" spans="24:26">
      <c r="X512" s="4"/>
      <c r="Y512" s="4"/>
      <c r="Z512" s="4"/>
    </row>
    <row r="513" spans="24:26">
      <c r="X513" s="4"/>
      <c r="Y513" s="4"/>
      <c r="Z513" s="4"/>
    </row>
    <row r="514" spans="24:26">
      <c r="X514" s="4"/>
      <c r="Y514" s="4"/>
      <c r="Z514" s="4"/>
    </row>
    <row r="515" spans="24:26">
      <c r="X515" s="4"/>
      <c r="Y515" s="4"/>
      <c r="Z515" s="4"/>
    </row>
    <row r="516" spans="24:26">
      <c r="X516" s="4"/>
      <c r="Y516" s="4"/>
      <c r="Z516" s="4"/>
    </row>
    <row r="517" spans="24:26">
      <c r="X517" s="4"/>
      <c r="Y517" s="4"/>
      <c r="Z517" s="4"/>
    </row>
    <row r="518" spans="24:26">
      <c r="X518" s="4"/>
      <c r="Y518" s="4"/>
      <c r="Z518" s="4"/>
    </row>
    <row r="519" spans="24:26">
      <c r="X519" s="4"/>
      <c r="Y519" s="4"/>
      <c r="Z519" s="4"/>
    </row>
    <row r="520" spans="24:26">
      <c r="X520" s="4"/>
      <c r="Y520" s="4"/>
      <c r="Z520" s="4"/>
    </row>
    <row r="521" spans="24:26">
      <c r="X521" s="4"/>
      <c r="Y521" s="4"/>
      <c r="Z521" s="4"/>
    </row>
    <row r="522" spans="24:26">
      <c r="X522" s="4"/>
      <c r="Y522" s="4"/>
      <c r="Z522" s="4"/>
    </row>
    <row r="523" spans="24:26">
      <c r="X523" s="4"/>
      <c r="Y523" s="4"/>
      <c r="Z523" s="4"/>
    </row>
    <row r="524" spans="24:26">
      <c r="X524" s="4"/>
      <c r="Y524" s="4"/>
      <c r="Z524" s="4"/>
    </row>
    <row r="525" spans="24:26">
      <c r="X525" s="4"/>
      <c r="Y525" s="4"/>
      <c r="Z525" s="4"/>
    </row>
    <row r="526" spans="24:26">
      <c r="X526" s="4"/>
      <c r="Y526" s="4"/>
      <c r="Z526" s="4"/>
    </row>
    <row r="527" spans="24:26">
      <c r="X527" s="4"/>
      <c r="Y527" s="4"/>
      <c r="Z527" s="4"/>
    </row>
    <row r="528" spans="24:26">
      <c r="X528" s="4"/>
      <c r="Y528" s="4"/>
      <c r="Z528" s="4"/>
    </row>
    <row r="529" spans="24:26">
      <c r="X529" s="4"/>
      <c r="Y529" s="4"/>
      <c r="Z529" s="4"/>
    </row>
    <row r="530" spans="24:26">
      <c r="X530" s="4"/>
      <c r="Y530" s="4"/>
      <c r="Z530" s="4"/>
    </row>
    <row r="531" spans="24:26">
      <c r="X531" s="4"/>
      <c r="Y531" s="4"/>
      <c r="Z531" s="4"/>
    </row>
    <row r="532" spans="24:26">
      <c r="X532" s="4"/>
      <c r="Y532" s="4"/>
      <c r="Z532" s="4"/>
    </row>
    <row r="533" spans="24:26">
      <c r="X533" s="4"/>
      <c r="Y533" s="4"/>
      <c r="Z533" s="4"/>
    </row>
    <row r="534" spans="24:26">
      <c r="X534" s="4"/>
      <c r="Y534" s="4"/>
      <c r="Z534" s="4"/>
    </row>
    <row r="535" spans="24:26">
      <c r="X535" s="4"/>
      <c r="Y535" s="4"/>
      <c r="Z535" s="4"/>
    </row>
    <row r="536" spans="24:26">
      <c r="X536" s="4"/>
      <c r="Y536" s="4"/>
      <c r="Z536" s="4"/>
    </row>
    <row r="537" spans="24:26">
      <c r="X537" s="4"/>
      <c r="Y537" s="4"/>
      <c r="Z537" s="4"/>
    </row>
    <row r="538" spans="24:26">
      <c r="X538" s="4"/>
      <c r="Y538" s="4"/>
      <c r="Z538" s="4"/>
    </row>
    <row r="539" spans="24:26">
      <c r="X539" s="4"/>
      <c r="Y539" s="4"/>
      <c r="Z539" s="4"/>
    </row>
    <row r="540" spans="24:26">
      <c r="X540" s="4"/>
      <c r="Y540" s="4"/>
      <c r="Z540" s="4"/>
    </row>
    <row r="541" spans="24:26">
      <c r="X541" s="4"/>
      <c r="Y541" s="4"/>
      <c r="Z541" s="4"/>
    </row>
    <row r="542" spans="24:26">
      <c r="X542" s="4"/>
      <c r="Y542" s="4"/>
      <c r="Z542" s="4"/>
    </row>
    <row r="543" spans="24:26">
      <c r="X543" s="4"/>
      <c r="Y543" s="4"/>
      <c r="Z543" s="4"/>
    </row>
    <row r="544" spans="24:26">
      <c r="X544" s="4"/>
      <c r="Y544" s="4"/>
      <c r="Z544" s="4"/>
    </row>
    <row r="545" spans="24:26">
      <c r="X545" s="4"/>
      <c r="Y545" s="4"/>
      <c r="Z545" s="4"/>
    </row>
    <row r="546" spans="24:26">
      <c r="X546" s="4"/>
      <c r="Y546" s="4"/>
      <c r="Z546" s="4"/>
    </row>
    <row r="547" spans="24:26">
      <c r="X547" s="4"/>
      <c r="Y547" s="4"/>
      <c r="Z547" s="4"/>
    </row>
    <row r="548" spans="24:26">
      <c r="X548" s="4"/>
      <c r="Y548" s="4"/>
      <c r="Z548" s="4"/>
    </row>
    <row r="549" spans="24:26">
      <c r="X549" s="4"/>
      <c r="Y549" s="4"/>
      <c r="Z549" s="4"/>
    </row>
    <row r="550" spans="24:26">
      <c r="X550" s="4"/>
      <c r="Y550" s="4"/>
      <c r="Z550" s="4"/>
    </row>
    <row r="551" spans="24:26">
      <c r="X551" s="4"/>
      <c r="Y551" s="4"/>
      <c r="Z551" s="4"/>
    </row>
    <row r="552" spans="24:26">
      <c r="X552" s="4"/>
      <c r="Y552" s="4"/>
      <c r="Z552" s="4"/>
    </row>
    <row r="553" spans="24:26">
      <c r="X553" s="4"/>
      <c r="Y553" s="4"/>
      <c r="Z553" s="4"/>
    </row>
    <row r="554" spans="24:26">
      <c r="X554" s="4"/>
      <c r="Y554" s="4"/>
      <c r="Z554" s="4"/>
    </row>
    <row r="555" spans="24:26">
      <c r="X555" s="4"/>
      <c r="Y555" s="4"/>
      <c r="Z555" s="4"/>
    </row>
    <row r="556" spans="24:26">
      <c r="X556" s="4"/>
      <c r="Y556" s="4"/>
      <c r="Z556" s="4"/>
    </row>
    <row r="557" spans="24:26">
      <c r="X557" s="4"/>
      <c r="Y557" s="4"/>
      <c r="Z557" s="4"/>
    </row>
    <row r="558" spans="24:26">
      <c r="X558" s="4"/>
      <c r="Y558" s="4"/>
      <c r="Z558" s="4"/>
    </row>
    <row r="559" spans="24:26">
      <c r="X559" s="4"/>
      <c r="Y559" s="4"/>
      <c r="Z559" s="4"/>
    </row>
    <row r="560" spans="24:26">
      <c r="X560" s="4"/>
      <c r="Y560" s="4"/>
      <c r="Z560" s="4"/>
    </row>
    <row r="561" spans="24:26">
      <c r="X561" s="4"/>
      <c r="Y561" s="4"/>
      <c r="Z561" s="4"/>
    </row>
    <row r="562" spans="24:26">
      <c r="X562" s="4"/>
      <c r="Y562" s="4"/>
      <c r="Z562" s="4"/>
    </row>
    <row r="563" spans="24:26">
      <c r="X563" s="4"/>
      <c r="Y563" s="4"/>
      <c r="Z563" s="4"/>
    </row>
    <row r="564" spans="24:26">
      <c r="X564" s="4"/>
      <c r="Y564" s="4"/>
      <c r="Z564" s="4"/>
    </row>
    <row r="565" spans="24:26">
      <c r="X565" s="4"/>
      <c r="Y565" s="4"/>
      <c r="Z565" s="4"/>
    </row>
    <row r="566" spans="24:26">
      <c r="X566" s="4"/>
      <c r="Y566" s="4"/>
      <c r="Z566" s="4"/>
    </row>
    <row r="567" spans="24:26">
      <c r="X567" s="4"/>
      <c r="Y567" s="4"/>
      <c r="Z567" s="4"/>
    </row>
    <row r="568" spans="24:26">
      <c r="X568" s="4"/>
      <c r="Y568" s="4"/>
      <c r="Z568" s="4"/>
    </row>
    <row r="569" spans="24:26">
      <c r="X569" s="4"/>
      <c r="Y569" s="4"/>
      <c r="Z569" s="4"/>
    </row>
    <row r="570" spans="24:26">
      <c r="X570" s="4"/>
      <c r="Y570" s="4"/>
      <c r="Z570" s="4"/>
    </row>
    <row r="571" spans="24:26">
      <c r="X571" s="4"/>
      <c r="Y571" s="4"/>
      <c r="Z571" s="4"/>
    </row>
    <row r="572" spans="24:26">
      <c r="X572" s="4"/>
      <c r="Y572" s="4"/>
      <c r="Z572" s="4"/>
    </row>
    <row r="573" spans="24:26">
      <c r="X573" s="4"/>
      <c r="Y573" s="4"/>
      <c r="Z573" s="4"/>
    </row>
    <row r="574" spans="24:26">
      <c r="X574" s="4"/>
      <c r="Y574" s="4"/>
      <c r="Z574" s="4"/>
    </row>
    <row r="575" spans="24:26">
      <c r="X575" s="4"/>
      <c r="Y575" s="4"/>
      <c r="Z575" s="4"/>
    </row>
    <row r="576" spans="24:26">
      <c r="X576" s="4"/>
      <c r="Y576" s="4"/>
      <c r="Z576" s="4"/>
    </row>
    <row r="577" spans="24:26">
      <c r="X577" s="4"/>
      <c r="Y577" s="4"/>
      <c r="Z577" s="4"/>
    </row>
    <row r="578" spans="24:26">
      <c r="X578" s="4"/>
      <c r="Y578" s="4"/>
      <c r="Z578" s="4"/>
    </row>
    <row r="579" spans="24:26">
      <c r="X579" s="4"/>
      <c r="Y579" s="4"/>
      <c r="Z579" s="4"/>
    </row>
    <row r="580" spans="24:26">
      <c r="X580" s="4"/>
      <c r="Y580" s="4"/>
      <c r="Z580" s="4"/>
    </row>
    <row r="581" spans="24:26">
      <c r="X581" s="4"/>
      <c r="Y581" s="4"/>
      <c r="Z581" s="4"/>
    </row>
    <row r="582" spans="24:26">
      <c r="X582" s="4"/>
      <c r="Y582" s="4"/>
      <c r="Z582" s="4"/>
    </row>
    <row r="583" spans="24:26">
      <c r="X583" s="4"/>
      <c r="Y583" s="4"/>
      <c r="Z583" s="4"/>
    </row>
    <row r="584" spans="24:26">
      <c r="X584" s="4"/>
      <c r="Y584" s="4"/>
      <c r="Z584" s="4"/>
    </row>
    <row r="585" spans="24:26">
      <c r="X585" s="4"/>
      <c r="Y585" s="4"/>
      <c r="Z585" s="4"/>
    </row>
    <row r="586" spans="24:26">
      <c r="X586" s="4"/>
      <c r="Y586" s="4"/>
      <c r="Z586" s="4"/>
    </row>
    <row r="587" spans="24:26">
      <c r="X587" s="4"/>
      <c r="Y587" s="4"/>
      <c r="Z587" s="4"/>
    </row>
    <row r="588" spans="24:26">
      <c r="X588" s="4"/>
      <c r="Y588" s="4"/>
      <c r="Z588" s="4"/>
    </row>
    <row r="589" spans="24:26">
      <c r="X589" s="4"/>
      <c r="Y589" s="4"/>
      <c r="Z589" s="4"/>
    </row>
    <row r="590" spans="24:26">
      <c r="X590" s="4"/>
      <c r="Y590" s="4"/>
      <c r="Z590" s="4"/>
    </row>
    <row r="591" spans="24:26">
      <c r="X591" s="4"/>
      <c r="Y591" s="4"/>
      <c r="Z591" s="4"/>
    </row>
    <row r="592" spans="24:26">
      <c r="X592" s="4"/>
      <c r="Y592" s="4"/>
      <c r="Z592" s="4"/>
    </row>
    <row r="593" spans="24:26">
      <c r="X593" s="4"/>
      <c r="Y593" s="4"/>
      <c r="Z593" s="4"/>
    </row>
    <row r="594" spans="24:26">
      <c r="X594" s="4"/>
      <c r="Y594" s="4"/>
      <c r="Z594" s="4"/>
    </row>
    <row r="595" spans="24:26">
      <c r="X595" s="4"/>
      <c r="Y595" s="4"/>
      <c r="Z595" s="4"/>
    </row>
    <row r="596" spans="24:26">
      <c r="X596" s="4"/>
      <c r="Y596" s="4"/>
      <c r="Z596" s="4"/>
    </row>
    <row r="597" spans="24:26">
      <c r="X597" s="4"/>
      <c r="Y597" s="4"/>
      <c r="Z597" s="4"/>
    </row>
    <row r="598" spans="24:26">
      <c r="X598" s="4"/>
      <c r="Y598" s="4"/>
      <c r="Z598" s="4"/>
    </row>
    <row r="599" spans="24:26">
      <c r="X599" s="4"/>
      <c r="Y599" s="4"/>
      <c r="Z599" s="4"/>
    </row>
    <row r="600" spans="24:26">
      <c r="X600" s="4"/>
      <c r="Y600" s="4"/>
      <c r="Z600" s="4"/>
    </row>
    <row r="601" spans="24:26">
      <c r="X601" s="4"/>
      <c r="Y601" s="4"/>
      <c r="Z601" s="4"/>
    </row>
    <row r="602" spans="24:26">
      <c r="X602" s="4"/>
      <c r="Y602" s="4"/>
      <c r="Z602" s="4"/>
    </row>
    <row r="603" spans="24:26">
      <c r="X603" s="4"/>
      <c r="Y603" s="4"/>
      <c r="Z603" s="4"/>
    </row>
    <row r="604" spans="24:26">
      <c r="X604" s="4"/>
      <c r="Y604" s="4"/>
      <c r="Z604" s="4"/>
    </row>
    <row r="605" spans="24:26">
      <c r="X605" s="4"/>
      <c r="Y605" s="4"/>
      <c r="Z605" s="4"/>
    </row>
    <row r="606" spans="24:26">
      <c r="X606" s="4"/>
      <c r="Y606" s="4"/>
      <c r="Z606" s="4"/>
    </row>
    <row r="607" spans="24:26">
      <c r="X607" s="4"/>
      <c r="Y607" s="4"/>
      <c r="Z607" s="4"/>
    </row>
    <row r="608" spans="24:26">
      <c r="X608" s="4"/>
      <c r="Y608" s="4"/>
      <c r="Z608" s="4"/>
    </row>
    <row r="609" spans="24:26">
      <c r="X609" s="4"/>
      <c r="Y609" s="4"/>
      <c r="Z609" s="4"/>
    </row>
    <row r="610" spans="24:26">
      <c r="X610" s="4"/>
      <c r="Y610" s="4"/>
      <c r="Z610" s="4"/>
    </row>
    <row r="611" spans="24:26">
      <c r="X611" s="4"/>
      <c r="Y611" s="4"/>
      <c r="Z611" s="4"/>
    </row>
    <row r="612" spans="24:26">
      <c r="X612" s="4"/>
      <c r="Y612" s="4"/>
      <c r="Z612" s="4"/>
    </row>
    <row r="613" spans="24:26">
      <c r="X613" s="4"/>
      <c r="Y613" s="4"/>
      <c r="Z613" s="4"/>
    </row>
    <row r="614" spans="24:26">
      <c r="X614" s="4"/>
      <c r="Y614" s="4"/>
      <c r="Z614" s="4"/>
    </row>
    <row r="615" spans="24:26">
      <c r="X615" s="4"/>
      <c r="Y615" s="4"/>
      <c r="Z615" s="4"/>
    </row>
    <row r="616" spans="24:26">
      <c r="X616" s="4"/>
      <c r="Y616" s="4"/>
      <c r="Z616" s="4"/>
    </row>
    <row r="617" spans="24:26">
      <c r="X617" s="4"/>
      <c r="Y617" s="4"/>
      <c r="Z617" s="4"/>
    </row>
    <row r="618" spans="24:26">
      <c r="X618" s="4"/>
      <c r="Y618" s="4"/>
      <c r="Z618" s="4"/>
    </row>
    <row r="619" spans="24:26">
      <c r="X619" s="4"/>
      <c r="Y619" s="4"/>
      <c r="Z619" s="4"/>
    </row>
    <row r="620" spans="24:26">
      <c r="X620" s="4"/>
      <c r="Y620" s="4"/>
      <c r="Z620" s="4"/>
    </row>
    <row r="621" spans="24:26">
      <c r="X621" s="4"/>
      <c r="Y621" s="4"/>
      <c r="Z621" s="4"/>
    </row>
    <row r="622" spans="24:26">
      <c r="X622" s="4"/>
      <c r="Y622" s="4"/>
      <c r="Z622" s="4"/>
    </row>
    <row r="623" spans="24:26">
      <c r="X623" s="4"/>
      <c r="Y623" s="4"/>
      <c r="Z623" s="4"/>
    </row>
    <row r="624" spans="24:26">
      <c r="X624" s="4"/>
      <c r="Y624" s="4"/>
      <c r="Z624" s="4"/>
    </row>
    <row r="625" spans="24:26">
      <c r="X625" s="4"/>
      <c r="Y625" s="4"/>
      <c r="Z625" s="4"/>
    </row>
    <row r="626" spans="24:26">
      <c r="X626" s="4"/>
      <c r="Y626" s="4"/>
      <c r="Z626" s="4"/>
    </row>
    <row r="627" spans="24:26">
      <c r="X627" s="4"/>
      <c r="Y627" s="4"/>
      <c r="Z627" s="4"/>
    </row>
    <row r="628" spans="24:26">
      <c r="X628" s="4"/>
      <c r="Y628" s="4"/>
      <c r="Z628" s="4"/>
    </row>
    <row r="629" spans="24:26">
      <c r="X629" s="4"/>
      <c r="Y629" s="4"/>
      <c r="Z629" s="4"/>
    </row>
    <row r="630" spans="24:26">
      <c r="X630" s="4"/>
      <c r="Y630" s="4"/>
      <c r="Z630" s="4"/>
    </row>
    <row r="631" spans="24:26">
      <c r="X631" s="4"/>
      <c r="Y631" s="4"/>
      <c r="Z631" s="4"/>
    </row>
    <row r="632" spans="24:26">
      <c r="X632" s="4"/>
      <c r="Y632" s="4"/>
      <c r="Z632" s="4"/>
    </row>
    <row r="633" spans="24:26">
      <c r="X633" s="4"/>
      <c r="Y633" s="4"/>
      <c r="Z633" s="4"/>
    </row>
    <row r="634" spans="24:26">
      <c r="X634" s="4"/>
      <c r="Y634" s="4"/>
      <c r="Z634" s="4"/>
    </row>
    <row r="635" spans="24:26">
      <c r="X635" s="4"/>
      <c r="Y635" s="4"/>
      <c r="Z635" s="4"/>
    </row>
    <row r="636" spans="24:26">
      <c r="X636" s="4"/>
      <c r="Y636" s="4"/>
      <c r="Z636" s="4"/>
    </row>
    <row r="637" spans="24:26">
      <c r="X637" s="4"/>
      <c r="Y637" s="4"/>
      <c r="Z637" s="4"/>
    </row>
    <row r="638" spans="24:26">
      <c r="X638" s="4"/>
      <c r="Y638" s="4"/>
      <c r="Z638" s="4"/>
    </row>
    <row r="639" spans="24:26">
      <c r="X639" s="4"/>
      <c r="Y639" s="4"/>
      <c r="Z639" s="4"/>
    </row>
    <row r="640" spans="24:26">
      <c r="X640" s="4"/>
      <c r="Y640" s="4"/>
      <c r="Z640" s="4"/>
    </row>
    <row r="641" spans="24:26">
      <c r="X641" s="4"/>
      <c r="Y641" s="4"/>
      <c r="Z641" s="4"/>
    </row>
    <row r="642" spans="24:26">
      <c r="X642" s="4"/>
      <c r="Y642" s="4"/>
      <c r="Z642" s="4"/>
    </row>
    <row r="643" spans="24:26">
      <c r="X643" s="4"/>
      <c r="Y643" s="4"/>
      <c r="Z643" s="4"/>
    </row>
    <row r="644" spans="24:26">
      <c r="X644" s="4"/>
      <c r="Y644" s="4"/>
      <c r="Z644" s="4"/>
    </row>
    <row r="645" spans="24:26">
      <c r="X645" s="4"/>
      <c r="Y645" s="4"/>
      <c r="Z645" s="4"/>
    </row>
    <row r="646" spans="24:26">
      <c r="X646" s="4"/>
      <c r="Y646" s="4"/>
      <c r="Z646" s="4"/>
    </row>
    <row r="647" spans="24:26">
      <c r="X647" s="4"/>
      <c r="Y647" s="4"/>
      <c r="Z647" s="4"/>
    </row>
    <row r="648" spans="24:26">
      <c r="X648" s="4"/>
      <c r="Y648" s="4"/>
      <c r="Z648" s="4"/>
    </row>
    <row r="649" spans="24:26">
      <c r="X649" s="4"/>
      <c r="Y649" s="4"/>
      <c r="Z649" s="4"/>
    </row>
    <row r="650" spans="24:26">
      <c r="X650" s="4"/>
      <c r="Y650" s="4"/>
      <c r="Z650" s="4"/>
    </row>
    <row r="651" spans="24:26">
      <c r="X651" s="4"/>
      <c r="Y651" s="4"/>
      <c r="Z651" s="4"/>
    </row>
    <row r="652" spans="24:26">
      <c r="X652" s="4"/>
      <c r="Y652" s="4"/>
      <c r="Z652" s="4"/>
    </row>
    <row r="653" spans="24:26">
      <c r="X653" s="4"/>
      <c r="Y653" s="4"/>
      <c r="Z653" s="4"/>
    </row>
    <row r="654" spans="24:26">
      <c r="X654" s="4"/>
      <c r="Y654" s="4"/>
      <c r="Z654" s="4"/>
    </row>
    <row r="655" spans="24:26">
      <c r="X655" s="4"/>
      <c r="Y655" s="4"/>
      <c r="Z655" s="4"/>
    </row>
    <row r="656" spans="24:26">
      <c r="X656" s="4"/>
      <c r="Y656" s="4"/>
      <c r="Z656" s="4"/>
    </row>
    <row r="657" spans="24:26">
      <c r="X657" s="4"/>
      <c r="Y657" s="4"/>
      <c r="Z657" s="4"/>
    </row>
    <row r="658" spans="24:26">
      <c r="X658" s="4"/>
      <c r="Y658" s="4"/>
      <c r="Z658" s="4"/>
    </row>
    <row r="659" spans="24:26">
      <c r="X659" s="4"/>
      <c r="Y659" s="4"/>
      <c r="Z659" s="4"/>
    </row>
    <row r="660" spans="24:26">
      <c r="X660" s="4"/>
      <c r="Y660" s="4"/>
      <c r="Z660" s="4"/>
    </row>
    <row r="661" spans="24:26">
      <c r="X661" s="4"/>
      <c r="Y661" s="4"/>
      <c r="Z661" s="4"/>
    </row>
    <row r="662" spans="24:26">
      <c r="X662" s="4"/>
      <c r="Y662" s="4"/>
      <c r="Z662" s="4"/>
    </row>
    <row r="663" spans="24:26">
      <c r="X663" s="4"/>
      <c r="Y663" s="4"/>
      <c r="Z663" s="4"/>
    </row>
    <row r="664" spans="24:26">
      <c r="X664" s="4"/>
      <c r="Y664" s="4"/>
      <c r="Z664" s="4"/>
    </row>
    <row r="665" spans="24:26">
      <c r="X665" s="4"/>
      <c r="Y665" s="4"/>
      <c r="Z665" s="4"/>
    </row>
    <row r="666" spans="24:26">
      <c r="X666" s="4"/>
      <c r="Y666" s="4"/>
      <c r="Z666" s="4"/>
    </row>
    <row r="667" spans="24:26">
      <c r="X667" s="4"/>
      <c r="Y667" s="4"/>
      <c r="Z667" s="4"/>
    </row>
    <row r="668" spans="24:26">
      <c r="X668" s="4"/>
      <c r="Y668" s="4"/>
      <c r="Z668" s="4"/>
    </row>
    <row r="669" spans="24:26">
      <c r="X669" s="4"/>
      <c r="Y669" s="4"/>
      <c r="Z669" s="4"/>
    </row>
    <row r="670" spans="24:26">
      <c r="X670" s="4"/>
      <c r="Y670" s="4"/>
      <c r="Z670" s="4"/>
    </row>
    <row r="671" spans="24:26">
      <c r="X671" s="4"/>
      <c r="Y671" s="4"/>
      <c r="Z671" s="4"/>
    </row>
    <row r="672" spans="24:26">
      <c r="X672" s="4"/>
      <c r="Y672" s="4"/>
      <c r="Z672" s="4"/>
    </row>
    <row r="673" spans="24:26">
      <c r="X673" s="4"/>
      <c r="Y673" s="4"/>
      <c r="Z673" s="4"/>
    </row>
    <row r="674" spans="24:26">
      <c r="X674" s="4"/>
      <c r="Y674" s="4"/>
      <c r="Z674" s="4"/>
    </row>
    <row r="675" spans="24:26">
      <c r="X675" s="4"/>
      <c r="Y675" s="4"/>
      <c r="Z675" s="4"/>
    </row>
    <row r="676" spans="24:26">
      <c r="X676" s="4"/>
      <c r="Y676" s="4"/>
      <c r="Z676" s="4"/>
    </row>
    <row r="677" spans="24:26">
      <c r="X677" s="4"/>
      <c r="Y677" s="4"/>
      <c r="Z677" s="4"/>
    </row>
    <row r="678" spans="24:26">
      <c r="X678" s="4"/>
      <c r="Y678" s="4"/>
      <c r="Z678" s="4"/>
    </row>
    <row r="679" spans="24:26">
      <c r="X679" s="4"/>
      <c r="Y679" s="4"/>
      <c r="Z679" s="4"/>
    </row>
    <row r="680" spans="24:26">
      <c r="X680" s="4"/>
      <c r="Y680" s="4"/>
      <c r="Z680" s="4"/>
    </row>
    <row r="681" spans="24:26">
      <c r="X681" s="4"/>
      <c r="Y681" s="4"/>
      <c r="Z681" s="4"/>
    </row>
    <row r="682" spans="24:26">
      <c r="X682" s="4"/>
      <c r="Y682" s="4"/>
      <c r="Z682" s="4"/>
    </row>
    <row r="683" spans="24:26">
      <c r="X683" s="4"/>
      <c r="Y683" s="4"/>
      <c r="Z683" s="4"/>
    </row>
    <row r="684" spans="24:26">
      <c r="X684" s="4"/>
      <c r="Y684" s="4"/>
      <c r="Z684" s="4"/>
    </row>
    <row r="685" spans="24:26">
      <c r="X685" s="4"/>
      <c r="Y685" s="4"/>
      <c r="Z685" s="4"/>
    </row>
    <row r="686" spans="24:26">
      <c r="X686" s="4"/>
      <c r="Y686" s="4"/>
      <c r="Z686" s="4"/>
    </row>
    <row r="687" spans="24:26">
      <c r="X687" s="4"/>
      <c r="Y687" s="4"/>
      <c r="Z687" s="4"/>
    </row>
    <row r="688" spans="24:26">
      <c r="X688" s="4"/>
      <c r="Y688" s="4"/>
      <c r="Z688" s="4"/>
    </row>
    <row r="689" spans="24:26">
      <c r="X689" s="4"/>
      <c r="Y689" s="4"/>
      <c r="Z689" s="4"/>
    </row>
    <row r="690" spans="24:26">
      <c r="X690" s="4"/>
      <c r="Y690" s="4"/>
      <c r="Z690" s="4"/>
    </row>
    <row r="691" spans="24:26">
      <c r="X691" s="4"/>
      <c r="Y691" s="4"/>
      <c r="Z691" s="4"/>
    </row>
    <row r="692" spans="24:26">
      <c r="X692" s="4"/>
      <c r="Y692" s="4"/>
      <c r="Z692" s="4"/>
    </row>
    <row r="693" spans="24:26">
      <c r="X693" s="4"/>
      <c r="Y693" s="4"/>
      <c r="Z693" s="4"/>
    </row>
    <row r="694" spans="24:26">
      <c r="X694" s="4"/>
      <c r="Y694" s="4"/>
      <c r="Z694" s="4"/>
    </row>
    <row r="695" spans="24:26">
      <c r="X695" s="4"/>
      <c r="Y695" s="4"/>
      <c r="Z695" s="4"/>
    </row>
    <row r="696" spans="24:26">
      <c r="X696" s="4"/>
      <c r="Y696" s="4"/>
      <c r="Z696" s="4"/>
    </row>
    <row r="697" spans="24:26">
      <c r="X697" s="4"/>
      <c r="Y697" s="4"/>
      <c r="Z697" s="4"/>
    </row>
    <row r="698" spans="24:26">
      <c r="X698" s="4"/>
      <c r="Y698" s="4"/>
      <c r="Z698" s="4"/>
    </row>
    <row r="699" spans="24:26">
      <c r="X699" s="4"/>
      <c r="Y699" s="4"/>
      <c r="Z699" s="4"/>
    </row>
    <row r="700" spans="24:26">
      <c r="X700" s="4"/>
      <c r="Y700" s="4"/>
      <c r="Z700" s="4"/>
    </row>
    <row r="701" spans="24:26">
      <c r="X701" s="4"/>
      <c r="Y701" s="4"/>
      <c r="Z701" s="4"/>
    </row>
    <row r="702" spans="24:26">
      <c r="X702" s="4"/>
      <c r="Y702" s="4"/>
      <c r="Z702" s="4"/>
    </row>
    <row r="703" spans="24:26">
      <c r="X703" s="4"/>
      <c r="Y703" s="4"/>
      <c r="Z703" s="4"/>
    </row>
    <row r="704" spans="24:26">
      <c r="X704" s="4"/>
      <c r="Y704" s="4"/>
      <c r="Z704" s="4"/>
    </row>
    <row r="705" spans="24:26">
      <c r="X705" s="4"/>
      <c r="Y705" s="4"/>
      <c r="Z705" s="4"/>
    </row>
    <row r="706" spans="24:26">
      <c r="X706" s="4"/>
      <c r="Y706" s="4"/>
      <c r="Z706" s="4"/>
    </row>
    <row r="707" spans="24:26">
      <c r="X707" s="4"/>
      <c r="Y707" s="4"/>
      <c r="Z707" s="4"/>
    </row>
    <row r="708" spans="24:26">
      <c r="X708" s="4"/>
      <c r="Y708" s="4"/>
      <c r="Z708" s="4"/>
    </row>
    <row r="709" spans="24:26">
      <c r="X709" s="4"/>
      <c r="Y709" s="4"/>
      <c r="Z709" s="4"/>
    </row>
    <row r="710" spans="24:26">
      <c r="X710" s="4"/>
      <c r="Y710" s="4"/>
      <c r="Z710" s="4"/>
    </row>
    <row r="711" spans="24:26">
      <c r="X711" s="4"/>
      <c r="Y711" s="4"/>
      <c r="Z711" s="4"/>
    </row>
    <row r="712" spans="24:26">
      <c r="X712" s="4"/>
      <c r="Y712" s="4"/>
      <c r="Z712" s="4"/>
    </row>
    <row r="713" spans="24:26">
      <c r="X713" s="4"/>
      <c r="Y713" s="4"/>
      <c r="Z713" s="4"/>
    </row>
    <row r="714" spans="24:26">
      <c r="X714" s="4"/>
      <c r="Y714" s="4"/>
      <c r="Z714" s="4"/>
    </row>
    <row r="715" spans="24:26">
      <c r="X715" s="4"/>
      <c r="Y715" s="4"/>
      <c r="Z715" s="4"/>
    </row>
    <row r="716" spans="24:26">
      <c r="X716" s="4"/>
      <c r="Y716" s="4"/>
      <c r="Z716" s="4"/>
    </row>
    <row r="717" spans="24:26">
      <c r="X717" s="4"/>
      <c r="Y717" s="4"/>
      <c r="Z717" s="4"/>
    </row>
    <row r="718" spans="24:26">
      <c r="X718" s="4"/>
      <c r="Y718" s="4"/>
      <c r="Z718" s="4"/>
    </row>
    <row r="719" spans="24:26">
      <c r="X719" s="4"/>
      <c r="Y719" s="4"/>
      <c r="Z719" s="4"/>
    </row>
    <row r="720" spans="24:26">
      <c r="X720" s="4"/>
      <c r="Y720" s="4"/>
      <c r="Z720" s="4"/>
    </row>
    <row r="721" spans="24:26">
      <c r="X721" s="4"/>
      <c r="Y721" s="4"/>
      <c r="Z721" s="4"/>
    </row>
    <row r="722" spans="24:26">
      <c r="X722" s="4"/>
      <c r="Y722" s="4"/>
      <c r="Z722" s="4"/>
    </row>
    <row r="723" spans="24:26">
      <c r="X723" s="4"/>
      <c r="Y723" s="4"/>
      <c r="Z723" s="4"/>
    </row>
    <row r="724" spans="24:26">
      <c r="X724" s="4"/>
      <c r="Y724" s="4"/>
      <c r="Z724" s="4"/>
    </row>
    <row r="725" spans="24:26">
      <c r="X725" s="4"/>
      <c r="Y725" s="4"/>
      <c r="Z725" s="4"/>
    </row>
    <row r="726" spans="24:26">
      <c r="X726" s="4"/>
      <c r="Y726" s="4"/>
      <c r="Z726" s="4"/>
    </row>
    <row r="727" spans="24:26">
      <c r="X727" s="4"/>
      <c r="Y727" s="4"/>
      <c r="Z727" s="4"/>
    </row>
    <row r="728" spans="24:26">
      <c r="X728" s="4"/>
      <c r="Y728" s="4"/>
      <c r="Z728" s="4"/>
    </row>
    <row r="729" spans="24:26">
      <c r="X729" s="4"/>
      <c r="Y729" s="4"/>
      <c r="Z729" s="4"/>
    </row>
    <row r="730" spans="24:26">
      <c r="X730" s="4"/>
      <c r="Y730" s="4"/>
      <c r="Z730" s="4"/>
    </row>
    <row r="731" spans="24:26">
      <c r="X731" s="4"/>
      <c r="Y731" s="4"/>
      <c r="Z731" s="4"/>
    </row>
    <row r="732" spans="24:26">
      <c r="X732" s="4"/>
      <c r="Y732" s="4"/>
      <c r="Z732" s="4"/>
    </row>
    <row r="733" spans="24:26">
      <c r="X733" s="4"/>
      <c r="Y733" s="4"/>
      <c r="Z733" s="4"/>
    </row>
    <row r="734" spans="24:26">
      <c r="X734" s="4"/>
      <c r="Y734" s="4"/>
      <c r="Z734" s="4"/>
    </row>
    <row r="735" spans="24:26">
      <c r="X735" s="4"/>
      <c r="Y735" s="4"/>
      <c r="Z735" s="4"/>
    </row>
    <row r="736" spans="24:26">
      <c r="X736" s="4"/>
      <c r="Y736" s="4"/>
      <c r="Z736" s="4"/>
    </row>
    <row r="737" spans="24:26">
      <c r="X737" s="4"/>
      <c r="Y737" s="4"/>
      <c r="Z737" s="4"/>
    </row>
    <row r="738" spans="24:26">
      <c r="X738" s="4"/>
      <c r="Y738" s="4"/>
      <c r="Z738" s="4"/>
    </row>
    <row r="739" spans="24:26">
      <c r="X739" s="4"/>
      <c r="Y739" s="4"/>
      <c r="Z739" s="4"/>
    </row>
    <row r="740" spans="24:26">
      <c r="X740" s="4"/>
      <c r="Y740" s="4"/>
      <c r="Z740" s="4"/>
    </row>
    <row r="741" spans="24:26">
      <c r="X741" s="4"/>
      <c r="Y741" s="4"/>
      <c r="Z741" s="4"/>
    </row>
    <row r="742" spans="24:26">
      <c r="X742" s="4"/>
      <c r="Y742" s="4"/>
      <c r="Z742" s="4"/>
    </row>
    <row r="743" spans="24:26">
      <c r="X743" s="4"/>
      <c r="Y743" s="4"/>
      <c r="Z743" s="4"/>
    </row>
    <row r="744" spans="24:26">
      <c r="X744" s="4"/>
      <c r="Y744" s="4"/>
      <c r="Z744" s="4"/>
    </row>
    <row r="745" spans="24:26">
      <c r="X745" s="4"/>
      <c r="Y745" s="4"/>
      <c r="Z745" s="4"/>
    </row>
    <row r="746" spans="24:26">
      <c r="X746" s="4"/>
      <c r="Y746" s="4"/>
      <c r="Z746" s="4"/>
    </row>
    <row r="747" spans="24:26">
      <c r="X747" s="4"/>
      <c r="Y747" s="4"/>
      <c r="Z747" s="4"/>
    </row>
    <row r="748" spans="24:26">
      <c r="X748" s="4"/>
      <c r="Y748" s="4"/>
      <c r="Z748" s="4"/>
    </row>
    <row r="749" spans="24:26">
      <c r="X749" s="4"/>
      <c r="Y749" s="4"/>
      <c r="Z749" s="4"/>
    </row>
    <row r="750" spans="24:26">
      <c r="X750" s="4"/>
      <c r="Y750" s="4"/>
      <c r="Z750" s="4"/>
    </row>
    <row r="751" spans="24:26">
      <c r="X751" s="4"/>
      <c r="Y751" s="4"/>
      <c r="Z751" s="4"/>
    </row>
    <row r="752" spans="24:26">
      <c r="X752" s="4"/>
      <c r="Y752" s="4"/>
      <c r="Z752" s="4"/>
    </row>
    <row r="753" spans="24:26">
      <c r="X753" s="4"/>
      <c r="Y753" s="4"/>
      <c r="Z753" s="4"/>
    </row>
    <row r="754" spans="24:26">
      <c r="X754" s="4"/>
      <c r="Y754" s="4"/>
      <c r="Z754" s="4"/>
    </row>
    <row r="755" spans="24:26">
      <c r="X755" s="4"/>
      <c r="Y755" s="4"/>
      <c r="Z755" s="4"/>
    </row>
    <row r="756" spans="24:26">
      <c r="X756" s="4"/>
      <c r="Y756" s="4"/>
      <c r="Z756" s="4"/>
    </row>
    <row r="757" spans="24:26">
      <c r="X757" s="4"/>
      <c r="Y757" s="4"/>
      <c r="Z757" s="4"/>
    </row>
    <row r="758" spans="24:26">
      <c r="X758" s="4"/>
      <c r="Y758" s="4"/>
      <c r="Z758" s="4"/>
    </row>
    <row r="759" spans="24:26">
      <c r="X759" s="4"/>
      <c r="Y759" s="4"/>
      <c r="Z759" s="4"/>
    </row>
    <row r="760" spans="24:26">
      <c r="X760" s="4"/>
      <c r="Y760" s="4"/>
      <c r="Z760" s="4"/>
    </row>
    <row r="761" spans="24:26">
      <c r="X761" s="4"/>
      <c r="Y761" s="4"/>
      <c r="Z761" s="4"/>
    </row>
    <row r="762" spans="24:26">
      <c r="X762" s="4"/>
      <c r="Y762" s="4"/>
      <c r="Z762" s="4"/>
    </row>
    <row r="763" spans="24:26">
      <c r="X763" s="4"/>
      <c r="Y763" s="4"/>
      <c r="Z763" s="4"/>
    </row>
    <row r="764" spans="24:26">
      <c r="X764" s="4"/>
      <c r="Y764" s="4"/>
      <c r="Z764" s="4"/>
    </row>
    <row r="765" spans="24:26">
      <c r="X765" s="4"/>
      <c r="Y765" s="4"/>
      <c r="Z765" s="4"/>
    </row>
    <row r="766" spans="24:26">
      <c r="X766" s="4"/>
      <c r="Y766" s="4"/>
      <c r="Z766" s="4"/>
    </row>
    <row r="767" spans="24:26">
      <c r="X767" s="4"/>
      <c r="Y767" s="4"/>
      <c r="Z767" s="4"/>
    </row>
    <row r="768" spans="24:26">
      <c r="X768" s="4"/>
      <c r="Y768" s="4"/>
      <c r="Z768" s="4"/>
    </row>
    <row r="769" spans="24:26">
      <c r="X769" s="4"/>
      <c r="Y769" s="4"/>
      <c r="Z769" s="4"/>
    </row>
    <row r="770" spans="24:26">
      <c r="X770" s="4"/>
      <c r="Y770" s="4"/>
      <c r="Z770" s="4"/>
    </row>
    <row r="771" spans="24:26">
      <c r="X771" s="4"/>
      <c r="Y771" s="4"/>
      <c r="Z771" s="4"/>
    </row>
    <row r="772" spans="24:26">
      <c r="X772" s="4"/>
      <c r="Y772" s="4"/>
      <c r="Z772" s="4"/>
    </row>
    <row r="773" spans="24:26">
      <c r="X773" s="4"/>
      <c r="Y773" s="4"/>
      <c r="Z773" s="4"/>
    </row>
    <row r="774" spans="24:26">
      <c r="X774" s="4"/>
      <c r="Y774" s="4"/>
      <c r="Z774" s="4"/>
    </row>
    <row r="775" spans="24:26">
      <c r="X775" s="4"/>
      <c r="Y775" s="4"/>
      <c r="Z775" s="4"/>
    </row>
    <row r="776" spans="24:26">
      <c r="X776" s="4"/>
      <c r="Y776" s="4"/>
      <c r="Z776" s="4"/>
    </row>
    <row r="777" spans="24:26">
      <c r="X777" s="4"/>
      <c r="Y777" s="4"/>
      <c r="Z777" s="4"/>
    </row>
    <row r="778" spans="24:26">
      <c r="X778" s="4"/>
      <c r="Y778" s="4"/>
      <c r="Z778" s="4"/>
    </row>
    <row r="779" spans="24:26">
      <c r="X779" s="4"/>
      <c r="Y779" s="4"/>
      <c r="Z779" s="4"/>
    </row>
    <row r="780" spans="24:26">
      <c r="X780" s="4"/>
      <c r="Y780" s="4"/>
      <c r="Z780" s="4"/>
    </row>
    <row r="781" spans="24:26">
      <c r="X781" s="4"/>
      <c r="Y781" s="4"/>
      <c r="Z781" s="4"/>
    </row>
    <row r="782" spans="24:26">
      <c r="X782" s="4"/>
      <c r="Y782" s="4"/>
      <c r="Z782" s="4"/>
    </row>
    <row r="783" spans="24:26">
      <c r="X783" s="4"/>
      <c r="Y783" s="4"/>
      <c r="Z783" s="4"/>
    </row>
    <row r="784" spans="24:26">
      <c r="X784" s="4"/>
      <c r="Y784" s="4"/>
      <c r="Z784" s="4"/>
    </row>
    <row r="785" spans="24:26">
      <c r="X785" s="4"/>
      <c r="Y785" s="4"/>
      <c r="Z785" s="4"/>
    </row>
    <row r="786" spans="24:26">
      <c r="X786" s="4"/>
      <c r="Y786" s="4"/>
      <c r="Z786" s="4"/>
    </row>
    <row r="787" spans="24:26">
      <c r="X787" s="4"/>
      <c r="Y787" s="4"/>
      <c r="Z787" s="4"/>
    </row>
    <row r="788" spans="24:26">
      <c r="X788" s="4"/>
      <c r="Y788" s="4"/>
      <c r="Z788" s="4"/>
    </row>
    <row r="789" spans="24:26">
      <c r="X789" s="4"/>
      <c r="Y789" s="4"/>
      <c r="Z789" s="4"/>
    </row>
    <row r="790" spans="24:26">
      <c r="X790" s="4"/>
      <c r="Y790" s="4"/>
      <c r="Z790" s="4"/>
    </row>
    <row r="791" spans="24:26">
      <c r="X791" s="4"/>
      <c r="Y791" s="4"/>
      <c r="Z791" s="4"/>
    </row>
    <row r="792" spans="24:26">
      <c r="X792" s="4"/>
      <c r="Y792" s="4"/>
      <c r="Z792" s="4"/>
    </row>
    <row r="793" spans="24:26">
      <c r="X793" s="4"/>
      <c r="Y793" s="4"/>
      <c r="Z793" s="4"/>
    </row>
    <row r="794" spans="24:26">
      <c r="X794" s="4"/>
      <c r="Y794" s="4"/>
      <c r="Z794" s="4"/>
    </row>
    <row r="795" spans="24:26">
      <c r="X795" s="4"/>
      <c r="Y795" s="4"/>
      <c r="Z795" s="4"/>
    </row>
    <row r="796" spans="24:26">
      <c r="X796" s="4"/>
      <c r="Y796" s="4"/>
      <c r="Z796" s="4"/>
    </row>
    <row r="797" spans="24:26">
      <c r="X797" s="4"/>
      <c r="Y797" s="4"/>
      <c r="Z797" s="4"/>
    </row>
    <row r="798" spans="24:26">
      <c r="X798" s="4"/>
      <c r="Y798" s="4"/>
      <c r="Z798" s="4"/>
    </row>
    <row r="799" spans="24:26">
      <c r="X799" s="4"/>
      <c r="Y799" s="4"/>
      <c r="Z799" s="4"/>
    </row>
    <row r="800" spans="24:26">
      <c r="X800" s="4"/>
      <c r="Y800" s="4"/>
      <c r="Z800" s="4"/>
    </row>
    <row r="801" spans="24:26">
      <c r="X801" s="4"/>
      <c r="Y801" s="4"/>
      <c r="Z801" s="4"/>
    </row>
    <row r="802" spans="24:26">
      <c r="X802" s="4"/>
      <c r="Y802" s="4"/>
      <c r="Z802" s="4"/>
    </row>
    <row r="803" spans="24:26">
      <c r="X803" s="4"/>
      <c r="Y803" s="4"/>
      <c r="Z803" s="4"/>
    </row>
    <row r="804" spans="24:26">
      <c r="X804" s="4"/>
      <c r="Y804" s="4"/>
      <c r="Z804" s="4"/>
    </row>
    <row r="805" spans="24:26">
      <c r="X805" s="4"/>
      <c r="Y805" s="4"/>
      <c r="Z805" s="4"/>
    </row>
    <row r="806" spans="24:26">
      <c r="X806" s="4"/>
      <c r="Y806" s="4"/>
      <c r="Z806" s="4"/>
    </row>
    <row r="807" spans="24:26">
      <c r="X807" s="4"/>
      <c r="Y807" s="4"/>
      <c r="Z807" s="4"/>
    </row>
    <row r="808" spans="24:26">
      <c r="X808" s="4"/>
      <c r="Y808" s="4"/>
      <c r="Z808" s="4"/>
    </row>
    <row r="809" spans="24:26">
      <c r="X809" s="4"/>
      <c r="Y809" s="4"/>
      <c r="Z809" s="4"/>
    </row>
    <row r="810" spans="24:26">
      <c r="X810" s="4"/>
      <c r="Y810" s="4"/>
      <c r="Z810" s="4"/>
    </row>
    <row r="811" spans="24:26">
      <c r="X811" s="4"/>
      <c r="Y811" s="4"/>
      <c r="Z811" s="4"/>
    </row>
    <row r="812" spans="24:26">
      <c r="X812" s="4"/>
      <c r="Y812" s="4"/>
      <c r="Z812" s="4"/>
    </row>
    <row r="813" spans="24:26">
      <c r="X813" s="4"/>
      <c r="Y813" s="4"/>
      <c r="Z813" s="4"/>
    </row>
    <row r="814" spans="24:26">
      <c r="X814" s="4"/>
      <c r="Y814" s="4"/>
      <c r="Z814" s="4"/>
    </row>
    <row r="815" spans="24:26">
      <c r="X815" s="4"/>
      <c r="Y815" s="4"/>
      <c r="Z815" s="4"/>
    </row>
    <row r="816" spans="24:26">
      <c r="X816" s="4"/>
      <c r="Y816" s="4"/>
      <c r="Z816" s="4"/>
    </row>
    <row r="817" spans="24:26">
      <c r="X817" s="4"/>
      <c r="Y817" s="4"/>
      <c r="Z817" s="4"/>
    </row>
    <row r="818" spans="24:26">
      <c r="X818" s="4"/>
      <c r="Y818" s="4"/>
      <c r="Z818" s="4"/>
    </row>
    <row r="819" spans="24:26">
      <c r="X819" s="4"/>
      <c r="Y819" s="4"/>
      <c r="Z819" s="4"/>
    </row>
    <row r="820" spans="24:26">
      <c r="X820" s="4"/>
      <c r="Y820" s="4"/>
      <c r="Z820" s="4"/>
    </row>
    <row r="821" spans="24:26">
      <c r="X821" s="4"/>
      <c r="Y821" s="4"/>
      <c r="Z821" s="4"/>
    </row>
    <row r="822" spans="24:26">
      <c r="X822" s="4"/>
      <c r="Y822" s="4"/>
      <c r="Z822" s="4"/>
    </row>
    <row r="823" spans="24:26">
      <c r="X823" s="4"/>
      <c r="Y823" s="4"/>
      <c r="Z823" s="4"/>
    </row>
    <row r="824" spans="24:26">
      <c r="X824" s="4"/>
      <c r="Y824" s="4"/>
      <c r="Z824" s="4"/>
    </row>
    <row r="825" spans="24:26">
      <c r="X825" s="4"/>
      <c r="Y825" s="4"/>
      <c r="Z825" s="4"/>
    </row>
    <row r="826" spans="24:26">
      <c r="X826" s="4"/>
      <c r="Y826" s="4"/>
      <c r="Z826" s="4"/>
    </row>
    <row r="827" spans="24:26">
      <c r="X827" s="4"/>
      <c r="Y827" s="4"/>
      <c r="Z827" s="4"/>
    </row>
    <row r="828" spans="24:26">
      <c r="X828" s="4"/>
      <c r="Y828" s="4"/>
      <c r="Z828" s="4"/>
    </row>
    <row r="829" spans="24:26">
      <c r="X829" s="4"/>
      <c r="Y829" s="4"/>
      <c r="Z829" s="4"/>
    </row>
    <row r="830" spans="24:26">
      <c r="X830" s="4"/>
      <c r="Y830" s="4"/>
      <c r="Z830" s="4"/>
    </row>
    <row r="831" spans="24:26">
      <c r="X831" s="4"/>
      <c r="Y831" s="4"/>
      <c r="Z831" s="4"/>
    </row>
    <row r="832" spans="24:26">
      <c r="X832" s="4"/>
      <c r="Y832" s="4"/>
      <c r="Z832" s="4"/>
    </row>
    <row r="833" spans="24:26">
      <c r="X833" s="4"/>
      <c r="Y833" s="4"/>
      <c r="Z833" s="4"/>
    </row>
    <row r="834" spans="24:26">
      <c r="X834" s="4"/>
      <c r="Y834" s="4"/>
      <c r="Z834" s="4"/>
    </row>
    <row r="835" spans="24:26">
      <c r="X835" s="4"/>
      <c r="Y835" s="4"/>
      <c r="Z835" s="4"/>
    </row>
    <row r="836" spans="24:26">
      <c r="X836" s="4"/>
      <c r="Y836" s="4"/>
      <c r="Z836" s="4"/>
    </row>
    <row r="837" spans="24:26">
      <c r="X837" s="4"/>
      <c r="Y837" s="4"/>
      <c r="Z837" s="4"/>
    </row>
    <row r="838" spans="24:26">
      <c r="X838" s="4"/>
      <c r="Y838" s="4"/>
      <c r="Z838" s="4"/>
    </row>
    <row r="839" spans="24:26">
      <c r="X839" s="4"/>
      <c r="Y839" s="4"/>
      <c r="Z839" s="4"/>
    </row>
    <row r="840" spans="24:26">
      <c r="X840" s="4"/>
      <c r="Y840" s="4"/>
      <c r="Z840" s="4"/>
    </row>
    <row r="841" spans="24:26">
      <c r="X841" s="4"/>
      <c r="Y841" s="4"/>
      <c r="Z841" s="4"/>
    </row>
    <row r="842" spans="24:26">
      <c r="X842" s="4"/>
      <c r="Y842" s="4"/>
      <c r="Z842" s="4"/>
    </row>
    <row r="843" spans="24:26">
      <c r="X843" s="4"/>
      <c r="Y843" s="4"/>
      <c r="Z843" s="4"/>
    </row>
    <row r="844" spans="24:26">
      <c r="X844" s="4"/>
      <c r="Y844" s="4"/>
      <c r="Z844" s="4"/>
    </row>
    <row r="845" spans="24:26">
      <c r="X845" s="4"/>
      <c r="Y845" s="4"/>
      <c r="Z845" s="4"/>
    </row>
    <row r="846" spans="24:26">
      <c r="X846" s="4"/>
      <c r="Y846" s="4"/>
      <c r="Z846" s="4"/>
    </row>
    <row r="847" spans="24:26">
      <c r="X847" s="4"/>
      <c r="Y847" s="4"/>
      <c r="Z847" s="4"/>
    </row>
    <row r="848" spans="24:26">
      <c r="X848" s="4"/>
      <c r="Y848" s="4"/>
      <c r="Z848" s="4"/>
    </row>
    <row r="849" spans="24:26">
      <c r="X849" s="4"/>
      <c r="Y849" s="4"/>
      <c r="Z849" s="4"/>
    </row>
    <row r="850" spans="24:26">
      <c r="X850" s="4"/>
      <c r="Y850" s="4"/>
      <c r="Z850" s="4"/>
    </row>
    <row r="851" spans="24:26">
      <c r="X851" s="4"/>
      <c r="Y851" s="4"/>
      <c r="Z851" s="4"/>
    </row>
    <row r="852" spans="24:26">
      <c r="X852" s="4"/>
      <c r="Y852" s="4"/>
      <c r="Z852" s="4"/>
    </row>
    <row r="853" spans="24:26">
      <c r="X853" s="4"/>
      <c r="Y853" s="4"/>
      <c r="Z853" s="4"/>
    </row>
    <row r="854" spans="24:26">
      <c r="X854" s="4"/>
      <c r="Y854" s="4"/>
      <c r="Z854" s="4"/>
    </row>
    <row r="855" spans="24:26">
      <c r="X855" s="4"/>
      <c r="Y855" s="4"/>
      <c r="Z855" s="4"/>
    </row>
    <row r="856" spans="24:26">
      <c r="X856" s="4"/>
      <c r="Y856" s="4"/>
      <c r="Z856" s="4"/>
    </row>
    <row r="857" spans="24:26">
      <c r="X857" s="4"/>
      <c r="Y857" s="4"/>
      <c r="Z857" s="4"/>
    </row>
    <row r="858" spans="24:26">
      <c r="X858" s="4"/>
      <c r="Y858" s="4"/>
      <c r="Z858" s="4"/>
    </row>
    <row r="859" spans="24:26">
      <c r="X859" s="4"/>
      <c r="Y859" s="4"/>
      <c r="Z859" s="4"/>
    </row>
    <row r="860" spans="24:26">
      <c r="X860" s="4"/>
      <c r="Y860" s="4"/>
      <c r="Z860" s="4"/>
    </row>
    <row r="861" spans="24:26">
      <c r="X861" s="4"/>
      <c r="Y861" s="4"/>
      <c r="Z861" s="4"/>
    </row>
    <row r="862" spans="24:26">
      <c r="X862" s="4"/>
      <c r="Y862" s="4"/>
      <c r="Z862" s="4"/>
    </row>
    <row r="863" spans="24:26">
      <c r="X863" s="4"/>
      <c r="Y863" s="4"/>
      <c r="Z863" s="4"/>
    </row>
    <row r="864" spans="24:26">
      <c r="X864" s="4"/>
      <c r="Y864" s="4"/>
      <c r="Z864" s="4"/>
    </row>
    <row r="865" spans="24:26">
      <c r="X865" s="4"/>
      <c r="Y865" s="4"/>
      <c r="Z865" s="4"/>
    </row>
    <row r="866" spans="24:26">
      <c r="X866" s="4"/>
      <c r="Y866" s="4"/>
      <c r="Z866" s="4"/>
    </row>
    <row r="867" spans="24:26">
      <c r="X867" s="4"/>
      <c r="Y867" s="4"/>
      <c r="Z867" s="4"/>
    </row>
    <row r="868" spans="24:26">
      <c r="X868" s="4"/>
      <c r="Y868" s="4"/>
      <c r="Z868" s="4"/>
    </row>
    <row r="869" spans="24:26">
      <c r="X869" s="4"/>
      <c r="Y869" s="4"/>
      <c r="Z869" s="4"/>
    </row>
    <row r="870" spans="24:26">
      <c r="X870" s="4"/>
      <c r="Y870" s="4"/>
      <c r="Z870" s="4"/>
    </row>
    <row r="871" spans="24:26">
      <c r="X871" s="4"/>
      <c r="Y871" s="4"/>
      <c r="Z871" s="4"/>
    </row>
    <row r="872" spans="24:26">
      <c r="X872" s="4"/>
      <c r="Y872" s="4"/>
      <c r="Z872" s="4"/>
    </row>
    <row r="873" spans="24:26">
      <c r="X873" s="4"/>
      <c r="Y873" s="4"/>
      <c r="Z873" s="4"/>
    </row>
    <row r="874" spans="24:26">
      <c r="X874" s="4"/>
      <c r="Y874" s="4"/>
      <c r="Z874" s="4"/>
    </row>
    <row r="875" spans="24:26">
      <c r="X875" s="4"/>
      <c r="Y875" s="4"/>
      <c r="Z875" s="4"/>
    </row>
    <row r="876" spans="24:26">
      <c r="X876" s="4"/>
      <c r="Y876" s="4"/>
      <c r="Z876" s="4"/>
    </row>
    <row r="877" spans="24:26">
      <c r="X877" s="4"/>
      <c r="Y877" s="4"/>
      <c r="Z877" s="4"/>
    </row>
    <row r="878" spans="24:26">
      <c r="X878" s="4"/>
      <c r="Y878" s="4"/>
      <c r="Z878" s="4"/>
    </row>
    <row r="879" spans="24:26">
      <c r="X879" s="4"/>
      <c r="Y879" s="4"/>
      <c r="Z879" s="4"/>
    </row>
    <row r="880" spans="24:26">
      <c r="X880" s="4"/>
      <c r="Y880" s="4"/>
      <c r="Z880" s="4"/>
    </row>
    <row r="881" spans="24:26">
      <c r="X881" s="4"/>
      <c r="Y881" s="4"/>
      <c r="Z881" s="4"/>
    </row>
    <row r="882" spans="24:26">
      <c r="X882" s="4"/>
      <c r="Y882" s="4"/>
      <c r="Z882" s="4"/>
    </row>
    <row r="883" spans="24:26">
      <c r="X883" s="4"/>
      <c r="Y883" s="4"/>
      <c r="Z883" s="4"/>
    </row>
    <row r="884" spans="24:26">
      <c r="X884" s="4"/>
      <c r="Y884" s="4"/>
      <c r="Z884" s="4"/>
    </row>
    <row r="885" spans="24:26">
      <c r="X885" s="4"/>
      <c r="Y885" s="4"/>
      <c r="Z885" s="4"/>
    </row>
    <row r="886" spans="24:26">
      <c r="X886" s="4"/>
      <c r="Y886" s="4"/>
      <c r="Z886" s="4"/>
    </row>
    <row r="887" spans="24:26">
      <c r="X887" s="4"/>
      <c r="Y887" s="4"/>
      <c r="Z887" s="4"/>
    </row>
    <row r="888" spans="24:26">
      <c r="X888" s="4"/>
      <c r="Y888" s="4"/>
      <c r="Z888" s="4"/>
    </row>
    <row r="889" spans="24:26">
      <c r="X889" s="4"/>
      <c r="Y889" s="4"/>
      <c r="Z889" s="4"/>
    </row>
    <row r="890" spans="24:26">
      <c r="X890" s="4"/>
      <c r="Y890" s="4"/>
      <c r="Z890" s="4"/>
    </row>
    <row r="891" spans="24:26">
      <c r="X891" s="4"/>
      <c r="Y891" s="4"/>
      <c r="Z891" s="4"/>
    </row>
    <row r="892" spans="24:26">
      <c r="X892" s="4"/>
      <c r="Y892" s="4"/>
      <c r="Z892" s="4"/>
    </row>
    <row r="893" spans="24:26">
      <c r="X893" s="4"/>
      <c r="Y893" s="4"/>
      <c r="Z893" s="4"/>
    </row>
    <row r="894" spans="24:26">
      <c r="X894" s="4"/>
      <c r="Y894" s="4"/>
      <c r="Z894" s="4"/>
    </row>
    <row r="895" spans="24:26">
      <c r="X895" s="4"/>
      <c r="Y895" s="4"/>
      <c r="Z895" s="4"/>
    </row>
    <row r="896" spans="24:26">
      <c r="X896" s="4"/>
      <c r="Y896" s="4"/>
      <c r="Z896" s="4"/>
    </row>
    <row r="897" spans="24:26">
      <c r="X897" s="4"/>
      <c r="Y897" s="4"/>
      <c r="Z897" s="4"/>
    </row>
    <row r="898" spans="24:26">
      <c r="X898" s="4"/>
      <c r="Y898" s="4"/>
      <c r="Z898" s="4"/>
    </row>
    <row r="899" spans="24:26">
      <c r="X899" s="4"/>
      <c r="Y899" s="4"/>
      <c r="Z899" s="4"/>
    </row>
    <row r="900" spans="24:26">
      <c r="X900" s="4"/>
      <c r="Y900" s="4"/>
      <c r="Z900" s="4"/>
    </row>
    <row r="901" spans="24:26">
      <c r="X901" s="4"/>
      <c r="Y901" s="4"/>
      <c r="Z901" s="4"/>
    </row>
    <row r="902" spans="24:26">
      <c r="X902" s="4"/>
      <c r="Y902" s="4"/>
      <c r="Z902" s="4"/>
    </row>
    <row r="903" spans="24:26">
      <c r="X903" s="4"/>
      <c r="Y903" s="4"/>
      <c r="Z903" s="4"/>
    </row>
    <row r="904" spans="24:26">
      <c r="X904" s="4"/>
      <c r="Y904" s="4"/>
      <c r="Z904" s="4"/>
    </row>
    <row r="905" spans="24:26">
      <c r="X905" s="4"/>
      <c r="Y905" s="4"/>
      <c r="Z905" s="4"/>
    </row>
    <row r="906" spans="24:26">
      <c r="X906" s="4"/>
      <c r="Y906" s="4"/>
      <c r="Z906" s="4"/>
    </row>
    <row r="907" spans="24:26">
      <c r="X907" s="4"/>
      <c r="Y907" s="4"/>
      <c r="Z907" s="4"/>
    </row>
    <row r="908" spans="24:26">
      <c r="X908" s="4"/>
      <c r="Y908" s="4"/>
      <c r="Z908" s="4"/>
    </row>
    <row r="909" spans="24:26">
      <c r="X909" s="4"/>
      <c r="Y909" s="4"/>
      <c r="Z909" s="4"/>
    </row>
    <row r="910" spans="24:26">
      <c r="X910" s="4"/>
      <c r="Y910" s="4"/>
      <c r="Z910" s="4"/>
    </row>
    <row r="911" spans="24:26">
      <c r="X911" s="4"/>
      <c r="Y911" s="4"/>
      <c r="Z911" s="4"/>
    </row>
    <row r="912" spans="24:26">
      <c r="X912" s="4"/>
      <c r="Y912" s="4"/>
      <c r="Z912" s="4"/>
    </row>
    <row r="913" spans="24:26">
      <c r="X913" s="4"/>
      <c r="Y913" s="4"/>
      <c r="Z913" s="4"/>
    </row>
    <row r="914" spans="24:26">
      <c r="X914" s="4"/>
      <c r="Y914" s="4"/>
      <c r="Z914" s="4"/>
    </row>
    <row r="915" spans="24:26">
      <c r="X915" s="4"/>
      <c r="Y915" s="4"/>
      <c r="Z915" s="4"/>
    </row>
    <row r="916" spans="24:26">
      <c r="X916" s="4"/>
      <c r="Y916" s="4"/>
      <c r="Z916" s="4"/>
    </row>
    <row r="917" spans="24:26">
      <c r="X917" s="4"/>
      <c r="Y917" s="4"/>
      <c r="Z917" s="4"/>
    </row>
    <row r="918" spans="24:26">
      <c r="X918" s="4"/>
      <c r="Y918" s="4"/>
      <c r="Z918" s="4"/>
    </row>
    <row r="919" spans="24:26">
      <c r="X919" s="4"/>
      <c r="Y919" s="4"/>
      <c r="Z919" s="4"/>
    </row>
    <row r="920" spans="24:26">
      <c r="X920" s="4"/>
      <c r="Y920" s="4"/>
      <c r="Z920" s="4"/>
    </row>
    <row r="921" spans="24:26">
      <c r="X921" s="4"/>
      <c r="Y921" s="4"/>
      <c r="Z921" s="4"/>
    </row>
    <row r="922" spans="24:26">
      <c r="X922" s="4"/>
      <c r="Y922" s="4"/>
      <c r="Z922" s="4"/>
    </row>
    <row r="923" spans="24:26">
      <c r="X923" s="4"/>
      <c r="Y923" s="4"/>
      <c r="Z923" s="4"/>
    </row>
    <row r="924" spans="24:26">
      <c r="X924" s="4"/>
      <c r="Y924" s="4"/>
      <c r="Z924" s="4"/>
    </row>
    <row r="925" spans="24:26">
      <c r="X925" s="4"/>
      <c r="Y925" s="4"/>
      <c r="Z925" s="4"/>
    </row>
    <row r="926" spans="24:26">
      <c r="X926" s="4"/>
      <c r="Y926" s="4"/>
      <c r="Z926" s="4"/>
    </row>
    <row r="927" spans="24:26">
      <c r="X927" s="4"/>
      <c r="Y927" s="4"/>
      <c r="Z927" s="4"/>
    </row>
    <row r="928" spans="24:26">
      <c r="X928" s="4"/>
      <c r="Y928" s="4"/>
      <c r="Z928" s="4"/>
    </row>
    <row r="929" spans="24:26">
      <c r="X929" s="4"/>
      <c r="Y929" s="4"/>
      <c r="Z929" s="4"/>
    </row>
    <row r="930" spans="24:26">
      <c r="X930" s="4"/>
      <c r="Y930" s="4"/>
      <c r="Z930" s="4"/>
    </row>
    <row r="931" spans="24:26">
      <c r="X931" s="4"/>
      <c r="Y931" s="4"/>
      <c r="Z931" s="4"/>
    </row>
    <row r="932" spans="24:26">
      <c r="X932" s="4"/>
      <c r="Y932" s="4"/>
      <c r="Z932" s="4"/>
    </row>
    <row r="933" spans="24:26">
      <c r="X933" s="4"/>
      <c r="Y933" s="4"/>
      <c r="Z933" s="4"/>
    </row>
    <row r="934" spans="24:26">
      <c r="X934" s="4"/>
      <c r="Y934" s="4"/>
      <c r="Z934" s="4"/>
    </row>
    <row r="935" spans="24:26">
      <c r="X935" s="4"/>
      <c r="Y935" s="4"/>
      <c r="Z935" s="4"/>
    </row>
    <row r="936" spans="24:26">
      <c r="X936" s="4"/>
      <c r="Y936" s="4"/>
      <c r="Z936" s="4"/>
    </row>
    <row r="937" spans="24:26">
      <c r="X937" s="4"/>
      <c r="Y937" s="4"/>
      <c r="Z937" s="4"/>
    </row>
    <row r="938" spans="24:26">
      <c r="X938" s="4"/>
      <c r="Y938" s="4"/>
      <c r="Z938" s="4"/>
    </row>
    <row r="939" spans="24:26">
      <c r="X939" s="4"/>
      <c r="Y939" s="4"/>
      <c r="Z939" s="4"/>
    </row>
    <row r="940" spans="24:26">
      <c r="X940" s="4"/>
      <c r="Y940" s="4"/>
      <c r="Z940" s="4"/>
    </row>
    <row r="941" spans="24:26">
      <c r="X941" s="4"/>
      <c r="Y941" s="4"/>
      <c r="Z941" s="4"/>
    </row>
    <row r="942" spans="24:26">
      <c r="X942" s="4"/>
      <c r="Y942" s="4"/>
      <c r="Z942" s="4"/>
    </row>
    <row r="943" spans="24:26">
      <c r="X943" s="4"/>
      <c r="Y943" s="4"/>
      <c r="Z943" s="4"/>
    </row>
    <row r="944" spans="24:26">
      <c r="X944" s="4"/>
      <c r="Y944" s="4"/>
      <c r="Z944" s="4"/>
    </row>
    <row r="945" spans="24:26">
      <c r="X945" s="4"/>
      <c r="Y945" s="4"/>
      <c r="Z945" s="4"/>
    </row>
    <row r="946" spans="24:26">
      <c r="X946" s="4"/>
      <c r="Y946" s="4"/>
      <c r="Z946" s="4"/>
    </row>
    <row r="947" spans="24:26">
      <c r="X947" s="4"/>
      <c r="Y947" s="4"/>
      <c r="Z947" s="4"/>
    </row>
    <row r="948" spans="24:26">
      <c r="X948" s="4"/>
      <c r="Y948" s="4"/>
      <c r="Z948" s="4"/>
    </row>
    <row r="949" spans="24:26">
      <c r="X949" s="4"/>
      <c r="Y949" s="4"/>
      <c r="Z949" s="4"/>
    </row>
    <row r="950" spans="24:26">
      <c r="X950" s="4"/>
      <c r="Y950" s="4"/>
      <c r="Z950" s="4"/>
    </row>
    <row r="951" spans="24:26">
      <c r="X951" s="4"/>
      <c r="Y951" s="4"/>
      <c r="Z951" s="4"/>
    </row>
    <row r="952" spans="24:26">
      <c r="X952" s="4"/>
      <c r="Y952" s="4"/>
      <c r="Z952" s="4"/>
    </row>
    <row r="953" spans="24:26">
      <c r="X953" s="4"/>
      <c r="Y953" s="4"/>
      <c r="Z953" s="4"/>
    </row>
    <row r="954" spans="24:26">
      <c r="X954" s="4"/>
      <c r="Y954" s="4"/>
      <c r="Z954" s="4"/>
    </row>
    <row r="955" spans="24:26">
      <c r="X955" s="4"/>
      <c r="Y955" s="4"/>
      <c r="Z955" s="4"/>
    </row>
    <row r="956" spans="24:26">
      <c r="X956" s="4"/>
      <c r="Y956" s="4"/>
      <c r="Z956" s="4"/>
    </row>
    <row r="957" spans="24:26">
      <c r="X957" s="4"/>
      <c r="Y957" s="4"/>
      <c r="Z957" s="4"/>
    </row>
    <row r="958" spans="24:26">
      <c r="X958" s="4"/>
      <c r="Y958" s="4"/>
      <c r="Z958" s="4"/>
    </row>
    <row r="959" spans="24:26">
      <c r="X959" s="4"/>
      <c r="Y959" s="4"/>
      <c r="Z959" s="4"/>
    </row>
    <row r="960" spans="24:26">
      <c r="X960" s="4"/>
      <c r="Y960" s="4"/>
      <c r="Z960" s="4"/>
    </row>
    <row r="961" spans="24:26">
      <c r="X961" s="4"/>
      <c r="Y961" s="4"/>
      <c r="Z961" s="4"/>
    </row>
    <row r="962" spans="24:26">
      <c r="X962" s="4"/>
      <c r="Y962" s="4"/>
      <c r="Z962" s="4"/>
    </row>
    <row r="963" spans="24:26">
      <c r="X963" s="4"/>
      <c r="Y963" s="4"/>
      <c r="Z963" s="4"/>
    </row>
    <row r="964" spans="24:26">
      <c r="X964" s="4"/>
      <c r="Y964" s="4"/>
      <c r="Z964" s="4"/>
    </row>
    <row r="965" spans="24:26">
      <c r="X965" s="4"/>
      <c r="Y965" s="4"/>
      <c r="Z965" s="4"/>
    </row>
    <row r="966" spans="24:26">
      <c r="X966" s="4"/>
      <c r="Y966" s="4"/>
      <c r="Z966" s="4"/>
    </row>
    <row r="967" spans="24:26">
      <c r="X967" s="4"/>
      <c r="Y967" s="4"/>
      <c r="Z967" s="4"/>
    </row>
    <row r="968" spans="24:26">
      <c r="X968" s="4"/>
      <c r="Y968" s="4"/>
      <c r="Z968" s="4"/>
    </row>
    <row r="969" spans="24:26">
      <c r="X969" s="4"/>
      <c r="Y969" s="4"/>
      <c r="Z969" s="4"/>
    </row>
    <row r="970" spans="24:26">
      <c r="X970" s="4"/>
      <c r="Y970" s="4"/>
      <c r="Z970" s="4"/>
    </row>
    <row r="971" spans="24:26">
      <c r="X971" s="4"/>
      <c r="Y971" s="4"/>
      <c r="Z971" s="4"/>
    </row>
    <row r="972" spans="24:26">
      <c r="X972" s="4"/>
      <c r="Y972" s="4"/>
      <c r="Z972" s="4"/>
    </row>
    <row r="973" spans="24:26">
      <c r="X973" s="4"/>
      <c r="Y973" s="4"/>
      <c r="Z973" s="4"/>
    </row>
    <row r="974" spans="24:26">
      <c r="X974" s="4"/>
      <c r="Y974" s="4"/>
      <c r="Z974" s="4"/>
    </row>
    <row r="975" spans="24:26">
      <c r="X975" s="4"/>
      <c r="Y975" s="4"/>
      <c r="Z975" s="4"/>
    </row>
    <row r="976" spans="24:26">
      <c r="X976" s="4"/>
      <c r="Y976" s="4"/>
      <c r="Z976" s="4"/>
    </row>
    <row r="977" spans="24:26">
      <c r="X977" s="4"/>
      <c r="Y977" s="4"/>
      <c r="Z977" s="4"/>
    </row>
    <row r="978" spans="24:26">
      <c r="X978" s="4"/>
      <c r="Y978" s="4"/>
      <c r="Z978" s="4"/>
    </row>
    <row r="979" spans="24:26">
      <c r="X979" s="4"/>
      <c r="Y979" s="4"/>
      <c r="Z979" s="4"/>
    </row>
    <row r="980" spans="24:26">
      <c r="X980" s="4"/>
      <c r="Y980" s="4"/>
      <c r="Z980" s="4"/>
    </row>
    <row r="981" spans="24:26">
      <c r="X981" s="4"/>
      <c r="Y981" s="4"/>
      <c r="Z981" s="4"/>
    </row>
    <row r="982" spans="24:26">
      <c r="X982" s="4"/>
      <c r="Y982" s="4"/>
      <c r="Z982" s="4"/>
    </row>
    <row r="983" spans="24:26">
      <c r="X983" s="4"/>
      <c r="Y983" s="4"/>
      <c r="Z983" s="4"/>
    </row>
    <row r="984" spans="24:26">
      <c r="X984" s="4"/>
      <c r="Y984" s="4"/>
      <c r="Z984" s="4"/>
    </row>
    <row r="985" spans="24:26">
      <c r="X985" s="4"/>
      <c r="Y985" s="4"/>
      <c r="Z985" s="4"/>
    </row>
    <row r="986" spans="24:26">
      <c r="X986" s="4"/>
      <c r="Y986" s="4"/>
      <c r="Z986" s="4"/>
    </row>
    <row r="987" spans="24:26">
      <c r="X987" s="4"/>
      <c r="Y987" s="4"/>
      <c r="Z987" s="4"/>
    </row>
    <row r="988" spans="24:26">
      <c r="X988" s="4"/>
      <c r="Y988" s="4"/>
      <c r="Z988" s="4"/>
    </row>
    <row r="989" spans="24:26">
      <c r="X989" s="4"/>
      <c r="Y989" s="4"/>
      <c r="Z989" s="4"/>
    </row>
    <row r="990" spans="24:26">
      <c r="X990" s="4"/>
      <c r="Y990" s="4"/>
      <c r="Z990" s="4"/>
    </row>
    <row r="991" spans="24:26">
      <c r="X991" s="4"/>
      <c r="Y991" s="4"/>
      <c r="Z991" s="4"/>
    </row>
    <row r="992" spans="24:26">
      <c r="X992" s="4"/>
      <c r="Y992" s="4"/>
      <c r="Z992" s="4"/>
    </row>
    <row r="993" spans="24:26">
      <c r="X993" s="4"/>
      <c r="Y993" s="4"/>
      <c r="Z993" s="4"/>
    </row>
    <row r="994" spans="24:26">
      <c r="X994" s="4"/>
      <c r="Y994" s="4"/>
      <c r="Z994" s="4"/>
    </row>
    <row r="995" spans="24:26">
      <c r="X995" s="4"/>
      <c r="Y995" s="4"/>
      <c r="Z995" s="4"/>
    </row>
    <row r="996" spans="24:26">
      <c r="X996" s="4"/>
      <c r="Y996" s="4"/>
      <c r="Z996" s="4"/>
    </row>
    <row r="997" spans="24:26">
      <c r="X997" s="4"/>
      <c r="Y997" s="4"/>
      <c r="Z997" s="4"/>
    </row>
    <row r="998" spans="24:26">
      <c r="X998" s="4"/>
      <c r="Y998" s="4"/>
      <c r="Z998" s="4"/>
    </row>
    <row r="999" spans="24:26">
      <c r="X999" s="4"/>
      <c r="Y999" s="4"/>
      <c r="Z999" s="4"/>
    </row>
    <row r="1000" spans="24:26">
      <c r="X1000" s="4"/>
      <c r="Y1000" s="4"/>
      <c r="Z1000" s="4"/>
    </row>
    <row r="1001" spans="24:26">
      <c r="X1001" s="4"/>
      <c r="Y1001" s="4"/>
      <c r="Z1001" s="4"/>
    </row>
    <row r="1002" spans="24:26">
      <c r="X1002" s="4"/>
      <c r="Y1002" s="4"/>
      <c r="Z1002" s="4"/>
    </row>
    <row r="1003" spans="24:26">
      <c r="X1003" s="4"/>
      <c r="Y1003" s="4"/>
      <c r="Z1003" s="4"/>
    </row>
    <row r="1004" spans="24:26">
      <c r="X1004" s="4"/>
      <c r="Y1004" s="4"/>
      <c r="Z1004" s="4"/>
    </row>
    <row r="1005" spans="24:26">
      <c r="X1005" s="4"/>
      <c r="Y1005" s="4"/>
      <c r="Z1005" s="4"/>
    </row>
    <row r="1006" spans="24:26">
      <c r="X1006" s="4"/>
      <c r="Y1006" s="4"/>
      <c r="Z1006" s="4"/>
    </row>
    <row r="1007" spans="24:26">
      <c r="X1007" s="4"/>
      <c r="Y1007" s="4"/>
      <c r="Z1007" s="4"/>
    </row>
    <row r="1008" spans="24:26">
      <c r="X1008" s="4"/>
      <c r="Y1008" s="4"/>
      <c r="Z1008" s="4"/>
    </row>
    <row r="1009" spans="24:26">
      <c r="X1009" s="4"/>
      <c r="Y1009" s="4"/>
      <c r="Z1009" s="4"/>
    </row>
    <row r="1010" spans="24:26">
      <c r="X1010" s="4"/>
      <c r="Y1010" s="4"/>
      <c r="Z1010" s="4"/>
    </row>
    <row r="1011" spans="24:26">
      <c r="X1011" s="4"/>
      <c r="Y1011" s="4"/>
      <c r="Z1011" s="4"/>
    </row>
    <row r="1012" spans="24:26">
      <c r="X1012" s="4"/>
      <c r="Y1012" s="4"/>
      <c r="Z1012" s="4"/>
    </row>
    <row r="1013" spans="24:26">
      <c r="X1013" s="4"/>
      <c r="Y1013" s="4"/>
      <c r="Z1013" s="4"/>
    </row>
    <row r="1014" spans="24:26">
      <c r="X1014" s="4"/>
      <c r="Y1014" s="4"/>
      <c r="Z1014" s="4"/>
    </row>
    <row r="1015" spans="24:26">
      <c r="X1015" s="4"/>
      <c r="Y1015" s="4"/>
      <c r="Z1015" s="4"/>
    </row>
    <row r="1016" spans="24:26">
      <c r="X1016" s="4"/>
      <c r="Y1016" s="4"/>
      <c r="Z1016" s="4"/>
    </row>
    <row r="1017" spans="24:26">
      <c r="X1017" s="4"/>
      <c r="Y1017" s="4"/>
      <c r="Z1017" s="4"/>
    </row>
    <row r="1018" spans="24:26">
      <c r="X1018" s="4"/>
      <c r="Y1018" s="4"/>
      <c r="Z1018" s="4"/>
    </row>
    <row r="1019" spans="24:26">
      <c r="X1019" s="4"/>
      <c r="Y1019" s="4"/>
      <c r="Z1019" s="4"/>
    </row>
    <row r="1020" spans="24:26">
      <c r="X1020" s="4"/>
      <c r="Y1020" s="4"/>
      <c r="Z1020" s="4"/>
    </row>
    <row r="1021" spans="24:26">
      <c r="X1021" s="4"/>
      <c r="Y1021" s="4"/>
      <c r="Z1021" s="4"/>
    </row>
    <row r="1022" spans="24:26">
      <c r="X1022" s="4"/>
      <c r="Y1022" s="4"/>
      <c r="Z1022" s="4"/>
    </row>
    <row r="1023" spans="24:26">
      <c r="X1023" s="4"/>
      <c r="Y1023" s="4"/>
      <c r="Z1023" s="4"/>
    </row>
    <row r="1024" spans="24:26">
      <c r="X1024" s="4"/>
      <c r="Y1024" s="4"/>
      <c r="Z1024" s="4"/>
    </row>
    <row r="1025" spans="24:26">
      <c r="X1025" s="4"/>
      <c r="Y1025" s="4"/>
      <c r="Z1025" s="4"/>
    </row>
    <row r="1026" spans="24:26">
      <c r="X1026" s="4"/>
      <c r="Y1026" s="4"/>
      <c r="Z1026" s="4"/>
    </row>
    <row r="1027" spans="24:26">
      <c r="X1027" s="4"/>
      <c r="Y1027" s="4"/>
      <c r="Z1027" s="4"/>
    </row>
    <row r="1028" spans="24:26">
      <c r="X1028" s="4"/>
      <c r="Y1028" s="4"/>
      <c r="Z1028" s="4"/>
    </row>
    <row r="1029" spans="24:26">
      <c r="X1029" s="4"/>
      <c r="Y1029" s="4"/>
      <c r="Z1029" s="4"/>
    </row>
    <row r="1030" spans="24:26">
      <c r="X1030" s="4"/>
      <c r="Y1030" s="4"/>
      <c r="Z1030" s="4"/>
    </row>
    <row r="1031" spans="24:26">
      <c r="X1031" s="4"/>
      <c r="Y1031" s="4"/>
      <c r="Z1031" s="4"/>
    </row>
    <row r="1032" spans="24:26">
      <c r="X1032" s="4"/>
      <c r="Y1032" s="4"/>
      <c r="Z1032" s="4"/>
    </row>
    <row r="1033" spans="24:26">
      <c r="X1033" s="4"/>
      <c r="Y1033" s="4"/>
      <c r="Z1033" s="4"/>
    </row>
    <row r="1034" spans="24:26">
      <c r="X1034" s="4"/>
      <c r="Y1034" s="4"/>
      <c r="Z1034" s="4"/>
    </row>
    <row r="1035" spans="24:26">
      <c r="X1035" s="4"/>
      <c r="Y1035" s="4"/>
      <c r="Z1035" s="4"/>
    </row>
    <row r="1036" spans="24:26">
      <c r="X1036" s="4"/>
      <c r="Y1036" s="4"/>
      <c r="Z1036" s="4"/>
    </row>
    <row r="1037" spans="24:26">
      <c r="X1037" s="4"/>
      <c r="Y1037" s="4"/>
      <c r="Z1037" s="4"/>
    </row>
    <row r="1038" spans="24:26">
      <c r="X1038" s="4"/>
      <c r="Y1038" s="4"/>
      <c r="Z1038" s="4"/>
    </row>
    <row r="1039" spans="24:26">
      <c r="X1039" s="4"/>
      <c r="Y1039" s="4"/>
      <c r="Z1039" s="4"/>
    </row>
    <row r="1040" spans="24:26">
      <c r="X1040" s="4"/>
      <c r="Y1040" s="4"/>
      <c r="Z1040" s="4"/>
    </row>
    <row r="1041" spans="24:26">
      <c r="X1041" s="4"/>
      <c r="Y1041" s="4"/>
      <c r="Z1041" s="4"/>
    </row>
    <row r="1042" spans="24:26">
      <c r="X1042" s="4"/>
      <c r="Y1042" s="4"/>
      <c r="Z1042" s="4"/>
    </row>
    <row r="1043" spans="24:26">
      <c r="X1043" s="4"/>
      <c r="Y1043" s="4"/>
      <c r="Z1043" s="4"/>
    </row>
    <row r="1044" spans="24:26">
      <c r="X1044" s="4"/>
      <c r="Y1044" s="4"/>
      <c r="Z1044" s="4"/>
    </row>
    <row r="1045" spans="24:26">
      <c r="X1045" s="4"/>
      <c r="Y1045" s="4"/>
      <c r="Z1045" s="4"/>
    </row>
    <row r="1046" spans="24:26">
      <c r="X1046" s="4"/>
      <c r="Y1046" s="4"/>
      <c r="Z1046" s="4"/>
    </row>
    <row r="1047" spans="24:26">
      <c r="X1047" s="4"/>
      <c r="Y1047" s="4"/>
      <c r="Z1047" s="4"/>
    </row>
    <row r="1048" spans="24:26">
      <c r="X1048" s="4"/>
      <c r="Y1048" s="4"/>
      <c r="Z1048" s="4"/>
    </row>
    <row r="1049" spans="24:26">
      <c r="X1049" s="4"/>
      <c r="Y1049" s="4"/>
      <c r="Z1049" s="4"/>
    </row>
    <row r="1050" spans="24:26">
      <c r="X1050" s="4"/>
      <c r="Y1050" s="4"/>
      <c r="Z1050" s="4"/>
    </row>
    <row r="1051" spans="24:26">
      <c r="X1051" s="4"/>
      <c r="Y1051" s="4"/>
      <c r="Z1051" s="4"/>
    </row>
    <row r="1052" spans="24:26">
      <c r="X1052" s="4"/>
      <c r="Y1052" s="4"/>
      <c r="Z1052" s="4"/>
    </row>
    <row r="1053" spans="24:26">
      <c r="X1053" s="4"/>
      <c r="Y1053" s="4"/>
      <c r="Z1053" s="4"/>
    </row>
    <row r="1054" spans="24:26">
      <c r="X1054" s="4"/>
      <c r="Y1054" s="4"/>
      <c r="Z1054" s="4"/>
    </row>
    <row r="1055" spans="24:26">
      <c r="X1055" s="4"/>
      <c r="Y1055" s="4"/>
      <c r="Z1055" s="4"/>
    </row>
    <row r="1056" spans="24:26">
      <c r="X1056" s="4"/>
      <c r="Y1056" s="4"/>
      <c r="Z1056" s="4"/>
    </row>
    <row r="1057" spans="24:26">
      <c r="X1057" s="4"/>
      <c r="Y1057" s="4"/>
      <c r="Z1057" s="4"/>
    </row>
    <row r="1058" spans="24:26">
      <c r="X1058" s="4"/>
      <c r="Y1058" s="4"/>
      <c r="Z1058" s="4"/>
    </row>
    <row r="1059" spans="24:26">
      <c r="X1059" s="4"/>
      <c r="Y1059" s="4"/>
      <c r="Z1059" s="4"/>
    </row>
    <row r="1060" spans="24:26">
      <c r="X1060" s="4"/>
      <c r="Y1060" s="4"/>
      <c r="Z1060" s="4"/>
    </row>
    <row r="1061" spans="24:26">
      <c r="X1061" s="4"/>
      <c r="Y1061" s="4"/>
      <c r="Z1061" s="4"/>
    </row>
    <row r="1062" spans="24:26">
      <c r="X1062" s="4"/>
      <c r="Y1062" s="4"/>
      <c r="Z1062" s="4"/>
    </row>
    <row r="1063" spans="24:26">
      <c r="X1063" s="4"/>
      <c r="Y1063" s="4"/>
      <c r="Z1063" s="4"/>
    </row>
    <row r="1064" spans="24:26">
      <c r="X1064" s="4"/>
      <c r="Y1064" s="4"/>
      <c r="Z1064" s="4"/>
    </row>
    <row r="1065" spans="24:26">
      <c r="X1065" s="4"/>
      <c r="Y1065" s="4"/>
      <c r="Z1065" s="4"/>
    </row>
    <row r="1066" spans="24:26">
      <c r="X1066" s="4"/>
      <c r="Y1066" s="4"/>
      <c r="Z1066" s="4"/>
    </row>
    <row r="1067" spans="24:26">
      <c r="X1067" s="4"/>
      <c r="Y1067" s="4"/>
      <c r="Z1067" s="4"/>
    </row>
    <row r="1068" spans="24:26">
      <c r="X1068" s="4"/>
      <c r="Y1068" s="4"/>
      <c r="Z1068" s="4"/>
    </row>
    <row r="1069" spans="24:26">
      <c r="X1069" s="4"/>
      <c r="Y1069" s="4"/>
      <c r="Z1069" s="4"/>
    </row>
    <row r="1070" spans="24:26">
      <c r="X1070" s="4"/>
      <c r="Y1070" s="4"/>
      <c r="Z1070" s="4"/>
    </row>
    <row r="1071" spans="24:26">
      <c r="X1071" s="4"/>
      <c r="Y1071" s="4"/>
      <c r="Z1071" s="4"/>
    </row>
    <row r="1072" spans="24:26">
      <c r="X1072" s="4"/>
      <c r="Y1072" s="4"/>
      <c r="Z1072" s="4"/>
    </row>
    <row r="1073" spans="24:26">
      <c r="X1073" s="4"/>
      <c r="Y1073" s="4"/>
      <c r="Z1073" s="4"/>
    </row>
    <row r="1074" spans="24:26">
      <c r="X1074" s="4"/>
      <c r="Y1074" s="4"/>
      <c r="Z1074" s="4"/>
    </row>
    <row r="1075" spans="24:26">
      <c r="X1075" s="4"/>
      <c r="Y1075" s="4"/>
      <c r="Z1075" s="4"/>
    </row>
    <row r="1076" spans="24:26">
      <c r="X1076" s="4"/>
      <c r="Y1076" s="4"/>
      <c r="Z1076" s="4"/>
    </row>
  </sheetData>
  <mergeCells count="6">
    <mergeCell ref="S3:T3"/>
    <mergeCell ref="E1:R1"/>
    <mergeCell ref="E22:H22"/>
    <mergeCell ref="Q3:R3"/>
    <mergeCell ref="E3:H3"/>
    <mergeCell ref="E4:H4"/>
  </mergeCells>
  <phoneticPr fontId="8" type="noConversion"/>
  <dataValidations count="1">
    <dataValidation allowBlank="1" showInputMessage="1" showErrorMessage="1" prompt="截止到前一工作日" sqref="S3:T3"/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/>
  <sheetData>
    <row r="1" spans="1:1">
      <c r="A1" t="s">
        <v>54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ETF基金概览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 SiJie</dc:creator>
  <cp:lastModifiedBy>Cui YongQiang</cp:lastModifiedBy>
  <dcterms:created xsi:type="dcterms:W3CDTF">2022-06-08T08:34:09Z</dcterms:created>
  <dcterms:modified xsi:type="dcterms:W3CDTF">2024-04-08T03:54:15Z</dcterms:modified>
</cp:coreProperties>
</file>