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D:\yqcui\SVN\WindRes\Management\API\QntProduct\PT\yqcui\Excel插件模板库项目\模板研究\20240510 BC1批量处理\"/>
    </mc:Choice>
  </mc:AlternateContent>
  <bookViews>
    <workbookView xWindow="0" yWindow="0" windowWidth="28800" windowHeight="12165"/>
  </bookViews>
  <sheets>
    <sheet name="BC1债券计算器" sheetId="2" r:id="rId1"/>
    <sheet name="Wind模板" sheetId="3" state="veryHidden" r:id="rId2"/>
  </sheets>
  <externalReferences>
    <externalReference r:id="rId3"/>
  </externalReferenc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6" i="2" l="1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F17" i="2"/>
  <c r="F10" i="2"/>
  <c r="F7" i="2"/>
  <c r="F26" i="2"/>
  <c r="F22" i="2"/>
  <c r="F20" i="2"/>
  <c r="F13" i="2"/>
  <c r="F6" i="2"/>
  <c r="F29" i="2"/>
  <c r="F12" i="2"/>
  <c r="F27" i="2"/>
  <c r="F23" i="2"/>
  <c r="F15" i="2"/>
  <c r="F28" i="2"/>
  <c r="F16" i="2"/>
  <c r="F34" i="2"/>
  <c r="F24" i="2"/>
  <c r="F18" i="2"/>
  <c r="F8" i="2"/>
  <c r="F30" i="2"/>
  <c r="F25" i="2"/>
  <c r="F31" i="2"/>
  <c r="F11" i="2"/>
  <c r="F14" i="2"/>
  <c r="F9" i="2"/>
  <c r="F32" i="2"/>
  <c r="F21" i="2"/>
  <c r="F33" i="2"/>
  <c r="F19" i="2"/>
  <c r="Q34" i="2"/>
  <c r="M32" i="2"/>
  <c r="M31" i="2"/>
  <c r="M25" i="2"/>
  <c r="Q24" i="2"/>
  <c r="R15" i="2"/>
  <c r="M19" i="2"/>
  <c r="P30" i="2"/>
  <c r="Q14" i="2"/>
  <c r="M6" i="2"/>
  <c r="P11" i="2"/>
  <c r="U34" i="2"/>
  <c r="M21" i="2"/>
  <c r="R29" i="2"/>
  <c r="U24" i="2"/>
  <c r="M23" i="2"/>
  <c r="T14" i="2"/>
  <c r="P32" i="2"/>
  <c r="P34" i="2"/>
  <c r="M17" i="2"/>
  <c r="Q20" i="2"/>
  <c r="U20" i="2" s="1"/>
  <c r="T24" i="2"/>
  <c r="M27" i="2"/>
  <c r="P15" i="2"/>
  <c r="Q10" i="2"/>
  <c r="R11" i="2"/>
  <c r="M9" i="2"/>
  <c r="P7" i="2"/>
  <c r="S34" i="2"/>
  <c r="Q16" i="2"/>
  <c r="R28" i="2"/>
  <c r="S16" i="2"/>
  <c r="S20" i="2"/>
  <c r="S24" i="2"/>
  <c r="T16" i="2"/>
  <c r="Q29" i="2"/>
  <c r="V29" i="2" s="1"/>
  <c r="R13" i="2"/>
  <c r="R17" i="2"/>
  <c r="R21" i="2"/>
  <c r="R25" i="2"/>
  <c r="V20" i="2"/>
  <c r="P23" i="2"/>
  <c r="Q15" i="2"/>
  <c r="Q19" i="2"/>
  <c r="Q23" i="2"/>
  <c r="Q27" i="2"/>
  <c r="U14" i="2"/>
  <c r="N29" i="2"/>
  <c r="O19" i="2"/>
  <c r="O27" i="2"/>
  <c r="Q6" i="2"/>
  <c r="S6" i="2" s="1"/>
  <c r="R8" i="2"/>
  <c r="R24" i="2"/>
  <c r="Q25" i="2"/>
  <c r="V24" i="2"/>
  <c r="T29" i="2"/>
  <c r="R23" i="2"/>
  <c r="M16" i="2"/>
  <c r="P27" i="2"/>
  <c r="R12" i="2"/>
  <c r="V6" i="2"/>
  <c r="O14" i="2"/>
  <c r="N19" i="2"/>
  <c r="N27" i="2"/>
  <c r="R32" i="2"/>
  <c r="R20" i="2"/>
  <c r="Q21" i="2"/>
  <c r="N21" i="2" s="1"/>
  <c r="T25" i="2"/>
  <c r="M20" i="2"/>
  <c r="P6" i="2"/>
  <c r="P10" i="2"/>
  <c r="M8" i="2"/>
  <c r="U6" i="2"/>
  <c r="V10" i="2"/>
  <c r="Q8" i="2"/>
  <c r="S8" i="2" s="1"/>
  <c r="Q12" i="2"/>
  <c r="S12" i="2"/>
  <c r="N14" i="2"/>
  <c r="V19" i="2"/>
  <c r="V27" i="2"/>
  <c r="V16" i="2"/>
  <c r="V12" i="2"/>
  <c r="T34" i="2"/>
  <c r="R31" i="2"/>
  <c r="P33" i="2"/>
  <c r="M34" i="2"/>
  <c r="R19" i="2"/>
  <c r="R16" i="2"/>
  <c r="P13" i="2"/>
  <c r="P17" i="2"/>
  <c r="P21" i="2"/>
  <c r="P25" i="2"/>
  <c r="P29" i="2"/>
  <c r="Q17" i="2"/>
  <c r="S17" i="2" s="1"/>
  <c r="S21" i="2"/>
  <c r="T21" i="2"/>
  <c r="U17" i="2"/>
  <c r="U21" i="2"/>
  <c r="U25" i="2"/>
  <c r="U29" i="2"/>
  <c r="M24" i="2"/>
  <c r="N16" i="2"/>
  <c r="N20" i="2"/>
  <c r="N24" i="2"/>
  <c r="O20" i="2"/>
  <c r="T10" i="2"/>
  <c r="O8" i="2"/>
  <c r="V14" i="2"/>
  <c r="U19" i="2"/>
  <c r="U27" i="2"/>
  <c r="R34" i="2"/>
  <c r="Q32" i="2"/>
  <c r="Q33" i="2"/>
  <c r="P28" i="2"/>
  <c r="Q13" i="2"/>
  <c r="P14" i="2"/>
  <c r="S25" i="2"/>
  <c r="T17" i="2"/>
  <c r="Q30" i="2"/>
  <c r="V13" i="2"/>
  <c r="M28" i="2"/>
  <c r="P9" i="2"/>
  <c r="T6" i="2"/>
  <c r="N8" i="2"/>
  <c r="N13" i="2"/>
  <c r="U30" i="2"/>
  <c r="T19" i="2"/>
  <c r="T27" i="2"/>
  <c r="O24" i="2"/>
  <c r="M33" i="2"/>
  <c r="V34" i="2"/>
  <c r="R33" i="2"/>
  <c r="P24" i="2"/>
  <c r="P18" i="2"/>
  <c r="S29" i="2"/>
  <c r="T13" i="2"/>
  <c r="Q26" i="2"/>
  <c r="V17" i="2"/>
  <c r="R9" i="2"/>
  <c r="M7" i="2"/>
  <c r="M11" i="2"/>
  <c r="M12" i="2"/>
  <c r="R7" i="2"/>
  <c r="O6" i="2"/>
  <c r="V8" i="2"/>
  <c r="O17" i="2"/>
  <c r="V30" i="2"/>
  <c r="S19" i="2"/>
  <c r="S27" i="2"/>
  <c r="O29" i="2"/>
  <c r="O34" i="2"/>
  <c r="P20" i="2"/>
  <c r="Q28" i="2"/>
  <c r="M14" i="2"/>
  <c r="M18" i="2"/>
  <c r="M22" i="2"/>
  <c r="M26" i="2"/>
  <c r="M30" i="2"/>
  <c r="P22" i="2"/>
  <c r="Q22" i="2"/>
  <c r="R14" i="2"/>
  <c r="R18" i="2"/>
  <c r="R22" i="2"/>
  <c r="R26" i="2"/>
  <c r="R30" i="2"/>
  <c r="V21" i="2"/>
  <c r="R27" i="2"/>
  <c r="R6" i="2"/>
  <c r="R10" i="2"/>
  <c r="Q11" i="2"/>
  <c r="N6" i="2"/>
  <c r="U8" i="2"/>
  <c r="N17" i="2"/>
  <c r="O15" i="2"/>
  <c r="O23" i="2"/>
  <c r="M13" i="2"/>
  <c r="Q9" i="2"/>
  <c r="S23" i="2"/>
  <c r="P31" i="2"/>
  <c r="Q31" i="2"/>
  <c r="N34" i="2"/>
  <c r="P16" i="2"/>
  <c r="M29" i="2"/>
  <c r="M15" i="2"/>
  <c r="P26" i="2"/>
  <c r="Q18" i="2"/>
  <c r="S14" i="2"/>
  <c r="V25" i="2"/>
  <c r="O28" i="2"/>
  <c r="M10" i="2"/>
  <c r="T9" i="2"/>
  <c r="Q7" i="2"/>
  <c r="P8" i="2"/>
  <c r="P12" i="2"/>
  <c r="O10" i="2"/>
  <c r="T8" i="2"/>
  <c r="O21" i="2"/>
  <c r="U22" i="2"/>
  <c r="N15" i="2"/>
  <c r="N23" i="2"/>
  <c r="N31" i="2"/>
  <c r="U31" i="2"/>
  <c r="T20" i="2"/>
  <c r="P19" i="2"/>
  <c r="V7" i="2"/>
  <c r="U10" i="2"/>
  <c r="S10" i="2"/>
  <c r="N10" i="2"/>
  <c r="O16" i="2"/>
  <c r="U16" i="2"/>
  <c r="T15" i="2"/>
  <c r="S15" i="2"/>
  <c r="U15" i="2"/>
  <c r="V15" i="2"/>
  <c r="T23" i="2"/>
  <c r="U23" i="2"/>
  <c r="V23" i="2"/>
  <c r="N25" i="2"/>
  <c r="O25" i="2"/>
  <c r="T12" i="2"/>
  <c r="U12" i="2"/>
  <c r="N12" i="2"/>
  <c r="O12" i="2"/>
  <c r="U32" i="2"/>
  <c r="T32" i="2"/>
  <c r="S32" i="2"/>
  <c r="N32" i="2"/>
  <c r="V32" i="2"/>
  <c r="O32" i="2"/>
  <c r="N33" i="2"/>
  <c r="T33" i="2"/>
  <c r="V33" i="2"/>
  <c r="U33" i="2"/>
  <c r="O33" i="2"/>
  <c r="S33" i="2"/>
  <c r="O13" i="2"/>
  <c r="U13" i="2"/>
  <c r="S13" i="2"/>
  <c r="N30" i="2"/>
  <c r="S30" i="2"/>
  <c r="O30" i="2"/>
  <c r="T30" i="2"/>
  <c r="O26" i="2"/>
  <c r="V26" i="2"/>
  <c r="U26" i="2"/>
  <c r="N26" i="2"/>
  <c r="S26" i="2"/>
  <c r="T26" i="2"/>
  <c r="N28" i="2"/>
  <c r="V28" i="2"/>
  <c r="S28" i="2"/>
  <c r="U28" i="2"/>
  <c r="T28" i="2"/>
  <c r="V22" i="2"/>
  <c r="N22" i="2"/>
  <c r="T22" i="2"/>
  <c r="S22" i="2"/>
  <c r="O22" i="2"/>
  <c r="S11" i="2"/>
  <c r="T11" i="2"/>
  <c r="V11" i="2"/>
  <c r="N11" i="2"/>
  <c r="O11" i="2"/>
  <c r="U11" i="2"/>
  <c r="V9" i="2"/>
  <c r="N9" i="2"/>
  <c r="S9" i="2"/>
  <c r="U9" i="2"/>
  <c r="O9" i="2"/>
  <c r="O31" i="2"/>
  <c r="V31" i="2"/>
  <c r="T31" i="2"/>
  <c r="V18" i="2"/>
  <c r="N18" i="2"/>
  <c r="O18" i="2"/>
  <c r="T18" i="2"/>
  <c r="U18" i="2"/>
  <c r="S18" i="2"/>
  <c r="T7" i="2"/>
  <c r="S7" i="2"/>
  <c r="N7" i="2"/>
  <c r="O7" i="2"/>
  <c r="U7" i="2"/>
  <c r="W33" i="2" l="1"/>
  <c r="W32" i="2"/>
  <c r="W31" i="2"/>
  <c r="W34" i="2"/>
  <c r="W27" i="2"/>
  <c r="W23" i="2"/>
  <c r="W19" i="2"/>
  <c r="W15" i="2"/>
  <c r="W30" i="2"/>
  <c r="W26" i="2"/>
  <c r="W22" i="2"/>
  <c r="W18" i="2"/>
  <c r="W14" i="2"/>
  <c r="W29" i="2"/>
  <c r="W25" i="2"/>
  <c r="W21" i="2"/>
  <c r="W17" i="2"/>
  <c r="W13" i="2"/>
  <c r="W28" i="2"/>
  <c r="W24" i="2"/>
  <c r="W20" i="2"/>
  <c r="W16" i="2"/>
  <c r="W12" i="2"/>
  <c r="W8" i="2"/>
  <c r="W11" i="2"/>
  <c r="W7" i="2"/>
  <c r="W10" i="2"/>
  <c r="W6" i="2"/>
  <c r="W9" i="2"/>
  <c r="H5" i="2"/>
  <c r="F5" i="2"/>
  <c r="Q5" i="2"/>
  <c r="N5" i="2"/>
  <c r="R5" i="2"/>
  <c r="S31" i="2"/>
  <c r="D25" i="2"/>
  <c r="D34" i="2"/>
  <c r="M5" i="2"/>
  <c r="D27" i="2"/>
  <c r="D13" i="2"/>
  <c r="P5" i="2"/>
  <c r="D8" i="2"/>
  <c r="D16" i="2"/>
  <c r="D20" i="2"/>
  <c r="D6" i="2"/>
  <c r="D32" i="2"/>
  <c r="D17" i="2"/>
  <c r="D18" i="2"/>
  <c r="D23" i="2"/>
  <c r="D11" i="2"/>
  <c r="D7" i="2"/>
  <c r="D30" i="2"/>
  <c r="D26" i="2"/>
  <c r="D12" i="2"/>
  <c r="D21" i="2"/>
  <c r="D24" i="2"/>
  <c r="D28" i="2"/>
  <c r="D14" i="2"/>
  <c r="D15" i="2"/>
  <c r="D9" i="2"/>
  <c r="D29" i="2"/>
  <c r="D19" i="2"/>
  <c r="D33" i="2"/>
  <c r="D31" i="2"/>
  <c r="D22" i="2"/>
  <c r="D10" i="2"/>
  <c r="J4" i="2" l="1"/>
  <c r="S5" i="2"/>
  <c r="U5" i="2"/>
  <c r="T5" i="2"/>
  <c r="D5" i="2"/>
  <c r="O5" i="2"/>
  <c r="V5" i="2"/>
  <c r="W5" i="2" l="1"/>
</calcChain>
</file>

<file path=xl/sharedStrings.xml><?xml version="1.0" encoding="utf-8"?>
<sst xmlns="http://schemas.openxmlformats.org/spreadsheetml/2006/main" count="82" uniqueCount="53">
  <si>
    <t>债券代码：</t>
    <phoneticPr fontId="5" type="noConversion"/>
  </si>
  <si>
    <t>BC1债券计算器</t>
    <phoneticPr fontId="1" type="noConversion"/>
  </si>
  <si>
    <t>019510.SH</t>
  </si>
  <si>
    <t>019541.SH</t>
  </si>
  <si>
    <t>019554.SH</t>
  </si>
  <si>
    <t>220015.IB</t>
  </si>
  <si>
    <t>230007.IB</t>
  </si>
  <si>
    <t>101613.SZ</t>
  </si>
  <si>
    <t>240007.IB</t>
  </si>
  <si>
    <t>210003.IB</t>
  </si>
  <si>
    <t>200007.IB</t>
  </si>
  <si>
    <t>200012.IB</t>
  </si>
  <si>
    <t>150028.IB</t>
  </si>
  <si>
    <t>210014.IB</t>
  </si>
  <si>
    <t>210005.IB</t>
  </si>
  <si>
    <t>190010.IB</t>
  </si>
  <si>
    <t>200004.IB</t>
  </si>
  <si>
    <t>019689.SH</t>
  </si>
  <si>
    <t>220024.IB</t>
  </si>
  <si>
    <t>220008.IB</t>
  </si>
  <si>
    <t>019599.SH</t>
  </si>
  <si>
    <t>180006.IB</t>
  </si>
  <si>
    <t>180024.IB</t>
  </si>
  <si>
    <t>180017.IB</t>
  </si>
  <si>
    <t>019726.SH</t>
  </si>
  <si>
    <t>019569.SH</t>
  </si>
  <si>
    <t>019662.SH</t>
  </si>
  <si>
    <t>160008.IB</t>
  </si>
  <si>
    <t>019547.SH</t>
  </si>
  <si>
    <t>230009.IB</t>
  </si>
  <si>
    <t>019536.SH</t>
  </si>
  <si>
    <t>101619.SZ</t>
  </si>
  <si>
    <t>评估日期：</t>
    <phoneticPr fontId="5" type="noConversion"/>
  </si>
  <si>
    <t>结算日期：</t>
    <phoneticPr fontId="5" type="noConversion"/>
  </si>
  <si>
    <t>输入类型：</t>
    <phoneticPr fontId="5" type="noConversion"/>
  </si>
  <si>
    <t>交易面额(万元)：</t>
    <phoneticPr fontId="5" type="noConversion"/>
  </si>
  <si>
    <t>剩余年限:</t>
    <phoneticPr fontId="5" type="noConversion"/>
  </si>
  <si>
    <t>净价:</t>
    <phoneticPr fontId="5" type="noConversion"/>
  </si>
  <si>
    <t>全价:</t>
    <phoneticPr fontId="5" type="noConversion"/>
  </si>
  <si>
    <t>应计利息:</t>
    <phoneticPr fontId="5" type="noConversion"/>
  </si>
  <si>
    <t>到期收益率:</t>
    <phoneticPr fontId="5" type="noConversion"/>
  </si>
  <si>
    <t>行权收益率:</t>
    <phoneticPr fontId="5" type="noConversion"/>
  </si>
  <si>
    <t>麦考利久期:</t>
    <phoneticPr fontId="5" type="noConversion"/>
  </si>
  <si>
    <t>修正久期:</t>
    <phoneticPr fontId="5" type="noConversion"/>
  </si>
  <si>
    <t>凸性：</t>
    <phoneticPr fontId="5" type="noConversion"/>
  </si>
  <si>
    <t>基点价值：</t>
    <phoneticPr fontId="5" type="noConversion"/>
  </si>
  <si>
    <t>结算金额(元)：</t>
    <phoneticPr fontId="5" type="noConversion"/>
  </si>
  <si>
    <t>债券计算器BC1(批量版)</t>
    <phoneticPr fontId="1" type="noConversion"/>
  </si>
  <si>
    <t>债券名称</t>
    <phoneticPr fontId="1" type="noConversion"/>
  </si>
  <si>
    <t>到期收益率</t>
  </si>
  <si>
    <t>参数输入：</t>
    <phoneticPr fontId="1" type="noConversion"/>
  </si>
  <si>
    <t>模拟分析：</t>
    <phoneticPr fontId="1" type="noConversion"/>
  </si>
  <si>
    <t>债券信息：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</si>
</sst>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9">
    <numFmt numFmtId="43" formatCode="_ * #,##0.00_ ;_ * \-#,##0.00_ ;_ * &quot;-&quot;??_ ;_ @_ "/>
    <numFmt numFmtId="176" formatCode="###,###,##0.0000"/>
    <numFmt numFmtId="177" formatCode="###,###,##0.000000"/>
    <numFmt numFmtId="178" formatCode="0.0000"/>
    <numFmt numFmtId="179" formatCode="yyyy\-mm\-dd"/>
    <numFmt numFmtId="180" formatCode="0.00_);[Red]\(0.00\)"/>
    <numFmt numFmtId="181" formatCode="0.0000_);[Red]\(0.0000\)"/>
    <numFmt numFmtId="182" formatCode="yyyy/mm/dd"/>
    <numFmt numFmtId="183" formatCode="0.0000_ "/>
  </numFmts>
  <fonts count="17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20"/>
      <color theme="0"/>
      <name val="微软雅黑"/>
      <family val="2"/>
      <charset val="134"/>
    </font>
    <font>
      <sz val="16"/>
      <color theme="1"/>
      <name val="Arial"/>
      <family val="2"/>
    </font>
    <font>
      <sz val="11"/>
      <color theme="1"/>
      <name val="Arial"/>
      <family val="2"/>
    </font>
    <font>
      <sz val="9"/>
      <name val="宋体"/>
      <family val="3"/>
      <charset val="134"/>
    </font>
    <font>
      <sz val="11"/>
      <color theme="1"/>
      <name val="等线"/>
      <family val="2"/>
      <charset val="134"/>
      <scheme val="minor"/>
    </font>
    <font>
      <sz val="14"/>
      <color theme="1"/>
      <name val="Arial"/>
      <family val="2"/>
    </font>
    <font>
      <sz val="10"/>
      <name val="微软雅黑"/>
      <family val="2"/>
      <charset val="134"/>
    </font>
    <font>
      <sz val="14"/>
      <color rgb="FF212121"/>
      <name val="Arial"/>
      <family val="2"/>
    </font>
    <font>
      <sz val="11"/>
      <name val="宋体"/>
      <family val="3"/>
      <charset val="134"/>
    </font>
    <font>
      <sz val="12"/>
      <name val="微软雅黑"/>
      <family val="2"/>
      <charset val="134"/>
    </font>
    <font>
      <sz val="12"/>
      <color theme="1"/>
      <name val="Arial"/>
      <family val="2"/>
    </font>
    <font>
      <sz val="10"/>
      <color theme="1"/>
      <name val="微软雅黑"/>
      <family val="2"/>
      <charset val="134"/>
    </font>
    <font>
      <sz val="10"/>
      <name val="Arial"/>
      <family val="2"/>
    </font>
    <font>
      <sz val="10"/>
      <color rgb="FF212121"/>
      <name val="Arial"/>
      <family val="2"/>
    </font>
    <font>
      <sz val="10"/>
      <color theme="1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63636D"/>
        <bgColor indexed="64"/>
      </patternFill>
    </fill>
    <fill>
      <patternFill patternType="solid">
        <fgColor rgb="FFE9E9E9"/>
        <bgColor indexed="64"/>
      </patternFill>
    </fill>
    <fill>
      <patternFill patternType="solid">
        <fgColor rgb="FFE4C65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E8E8E8"/>
        <bgColor indexed="64"/>
      </patternFill>
    </fill>
    <fill>
      <patternFill patternType="solid">
        <fgColor rgb="FFF2F3F3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43" fontId="6" fillId="0" borderId="0" applyFont="0" applyFill="0" applyBorder="0" applyAlignment="0" applyProtection="0">
      <alignment vertical="center"/>
    </xf>
  </cellStyleXfs>
  <cellXfs count="44">
    <xf numFmtId="0" fontId="0" fillId="0" borderId="0" xfId="0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3" fillId="5" borderId="0" xfId="0" applyFont="1" applyFill="1" applyBorder="1" applyAlignment="1">
      <alignment horizontal="right"/>
    </xf>
    <xf numFmtId="0" fontId="2" fillId="2" borderId="0" xfId="0" applyFont="1" applyFill="1" applyAlignment="1">
      <alignment vertical="center"/>
    </xf>
    <xf numFmtId="43" fontId="8" fillId="5" borderId="0" xfId="1" applyFont="1" applyFill="1" applyBorder="1" applyAlignment="1">
      <alignment vertical="center"/>
    </xf>
    <xf numFmtId="0" fontId="10" fillId="5" borderId="0" xfId="0" applyFont="1" applyFill="1" applyBorder="1" applyAlignment="1">
      <alignment horizontal="left"/>
    </xf>
    <xf numFmtId="183" fontId="9" fillId="5" borderId="0" xfId="0" applyNumberFormat="1" applyFont="1" applyFill="1" applyBorder="1" applyAlignment="1"/>
    <xf numFmtId="179" fontId="4" fillId="5" borderId="0" xfId="0" applyNumberFormat="1" applyFont="1" applyFill="1" applyBorder="1" applyAlignment="1">
      <alignment horizontal="right" vertical="center"/>
    </xf>
    <xf numFmtId="182" fontId="7" fillId="5" borderId="0" xfId="0" applyNumberFormat="1" applyFont="1" applyFill="1" applyBorder="1" applyAlignment="1" applyProtection="1">
      <alignment horizontal="right" vertical="center"/>
      <protection locked="0"/>
    </xf>
    <xf numFmtId="49" fontId="7" fillId="5" borderId="0" xfId="0" applyNumberFormat="1" applyFont="1" applyFill="1" applyBorder="1" applyAlignment="1" applyProtection="1">
      <alignment horizontal="right" vertical="center"/>
      <protection locked="0"/>
    </xf>
    <xf numFmtId="43" fontId="7" fillId="5" borderId="0" xfId="1" applyFont="1" applyFill="1" applyBorder="1" applyAlignment="1" applyProtection="1">
      <alignment horizontal="right" vertical="center"/>
      <protection locked="0"/>
    </xf>
    <xf numFmtId="0" fontId="3" fillId="5" borderId="0" xfId="0" applyFont="1" applyFill="1" applyBorder="1">
      <alignment vertical="center"/>
    </xf>
    <xf numFmtId="180" fontId="4" fillId="5" borderId="0" xfId="0" applyNumberFormat="1" applyFont="1" applyFill="1" applyBorder="1" applyAlignment="1">
      <alignment horizontal="right" vertical="center"/>
    </xf>
    <xf numFmtId="178" fontId="4" fillId="5" borderId="0" xfId="0" applyNumberFormat="1" applyFont="1" applyFill="1" applyBorder="1" applyAlignment="1">
      <alignment horizontal="right" vertical="center"/>
    </xf>
    <xf numFmtId="177" fontId="4" fillId="5" borderId="0" xfId="0" applyNumberFormat="1" applyFont="1" applyFill="1" applyBorder="1" applyAlignment="1">
      <alignment horizontal="right" vertical="center"/>
    </xf>
    <xf numFmtId="176" fontId="4" fillId="5" borderId="0" xfId="0" applyNumberFormat="1" applyFont="1" applyFill="1" applyBorder="1" applyAlignment="1">
      <alignment horizontal="right" vertical="center"/>
    </xf>
    <xf numFmtId="2" fontId="4" fillId="5" borderId="0" xfId="0" applyNumberFormat="1" applyFont="1" applyFill="1" applyBorder="1" applyAlignment="1">
      <alignment horizontal="right" vertical="center"/>
    </xf>
    <xf numFmtId="43" fontId="11" fillId="5" borderId="0" xfId="1" applyFont="1" applyFill="1" applyBorder="1" applyAlignment="1">
      <alignment vertical="center"/>
    </xf>
    <xf numFmtId="0" fontId="12" fillId="0" borderId="0" xfId="0" applyFont="1">
      <alignment vertical="center"/>
    </xf>
    <xf numFmtId="0" fontId="3" fillId="3" borderId="0" xfId="0" applyFont="1" applyFill="1" applyBorder="1" applyAlignment="1"/>
    <xf numFmtId="0" fontId="2" fillId="2" borderId="0" xfId="0" applyFont="1" applyFill="1" applyBorder="1" applyAlignment="1">
      <alignment vertical="center"/>
    </xf>
    <xf numFmtId="0" fontId="3" fillId="0" borderId="0" xfId="0" applyFont="1" applyBorder="1">
      <alignment vertical="center"/>
    </xf>
    <xf numFmtId="0" fontId="13" fillId="6" borderId="0" xfId="0" applyFont="1" applyFill="1" applyBorder="1" applyAlignment="1"/>
    <xf numFmtId="0" fontId="14" fillId="5" borderId="0" xfId="0" applyFont="1" applyFill="1" applyBorder="1" applyAlignment="1">
      <alignment horizontal="left"/>
    </xf>
    <xf numFmtId="183" fontId="15" fillId="5" borderId="0" xfId="0" applyNumberFormat="1" applyFont="1" applyFill="1" applyBorder="1" applyAlignment="1"/>
    <xf numFmtId="179" fontId="15" fillId="5" borderId="0" xfId="0" applyNumberFormat="1" applyFont="1" applyFill="1" applyBorder="1" applyAlignment="1">
      <alignment horizontal="right"/>
    </xf>
    <xf numFmtId="182" fontId="16" fillId="4" borderId="0" xfId="0" applyNumberFormat="1" applyFont="1" applyFill="1" applyBorder="1" applyAlignment="1" applyProtection="1">
      <alignment horizontal="right" vertical="center"/>
      <protection locked="0"/>
    </xf>
    <xf numFmtId="49" fontId="16" fillId="4" borderId="0" xfId="0" applyNumberFormat="1" applyFont="1" applyFill="1" applyBorder="1" applyAlignment="1" applyProtection="1">
      <alignment horizontal="right" vertical="center"/>
      <protection locked="0"/>
    </xf>
    <xf numFmtId="180" fontId="16" fillId="4" borderId="0" xfId="1" applyNumberFormat="1" applyFont="1" applyFill="1" applyBorder="1" applyAlignment="1" applyProtection="1">
      <alignment horizontal="right" vertical="center"/>
      <protection locked="0"/>
    </xf>
    <xf numFmtId="43" fontId="16" fillId="4" borderId="0" xfId="1" applyFont="1" applyFill="1" applyBorder="1" applyAlignment="1" applyProtection="1">
      <alignment horizontal="right" vertical="center"/>
      <protection locked="0"/>
    </xf>
    <xf numFmtId="181" fontId="16" fillId="5" borderId="0" xfId="0" applyNumberFormat="1" applyFont="1" applyFill="1" applyBorder="1">
      <alignment vertical="center"/>
    </xf>
    <xf numFmtId="0" fontId="14" fillId="7" borderId="0" xfId="0" applyFont="1" applyFill="1" applyBorder="1" applyAlignment="1">
      <alignment horizontal="left"/>
    </xf>
    <xf numFmtId="183" fontId="15" fillId="7" borderId="0" xfId="0" applyNumberFormat="1" applyFont="1" applyFill="1" applyBorder="1" applyAlignment="1"/>
    <xf numFmtId="183" fontId="15" fillId="7" borderId="0" xfId="0" applyNumberFormat="1" applyFont="1" applyFill="1" applyBorder="1" applyAlignment="1">
      <alignment horizontal="right"/>
    </xf>
    <xf numFmtId="179" fontId="15" fillId="7" borderId="0" xfId="0" applyNumberFormat="1" applyFont="1" applyFill="1" applyBorder="1" applyAlignment="1">
      <alignment horizontal="right"/>
    </xf>
    <xf numFmtId="181" fontId="16" fillId="7" borderId="0" xfId="0" applyNumberFormat="1" applyFont="1" applyFill="1" applyBorder="1">
      <alignment vertical="center"/>
    </xf>
    <xf numFmtId="182" fontId="16" fillId="4" borderId="0" xfId="0" applyNumberFormat="1" applyFont="1" applyFill="1" applyAlignment="1" applyProtection="1">
      <alignment horizontal="right" vertical="center"/>
      <protection locked="0"/>
    </xf>
    <xf numFmtId="43" fontId="16" fillId="4" borderId="0" xfId="1" applyFont="1" applyFill="1" applyAlignment="1" applyProtection="1">
      <alignment horizontal="right" vertical="center"/>
      <protection locked="0"/>
    </xf>
    <xf numFmtId="181" fontId="16" fillId="7" borderId="0" xfId="0" applyNumberFormat="1" applyFont="1" applyFill="1">
      <alignment vertical="center"/>
    </xf>
    <xf numFmtId="179" fontId="16" fillId="5" borderId="0" xfId="0" applyNumberFormat="1" applyFont="1" applyFill="1" applyBorder="1" applyAlignment="1">
      <alignment horizontal="right" vertical="center"/>
    </xf>
    <xf numFmtId="179" fontId="16" fillId="7" borderId="0" xfId="0" applyNumberFormat="1" applyFont="1" applyFill="1" applyBorder="1" applyAlignment="1">
      <alignment horizontal="right" vertical="center"/>
    </xf>
    <xf numFmtId="49" fontId="16" fillId="4" borderId="0" xfId="0" applyNumberFormat="1" applyFont="1" applyFill="1" applyAlignment="1" applyProtection="1">
      <alignment horizontal="right" vertical="center"/>
      <protection locked="0"/>
    </xf>
    <xf numFmtId="181" fontId="16" fillId="5" borderId="0" xfId="0" applyNumberFormat="1" applyFont="1" applyFill="1" applyBorder="1" applyAlignment="1">
      <alignment horizontal="right" vertical="center"/>
    </xf>
  </cellXfs>
  <cellStyles count="2">
    <cellStyle name="常规" xfId="0" builtinId="0"/>
    <cellStyle name="千位分隔" xfId="1" builtinId="3"/>
  </cellStyles>
  <dxfs count="0"/>
  <tableStyles count="0" defaultTableStyle="TableStyleMedium2" defaultPivotStyle="PivotStyleLight16"/>
  <colors>
    <mruColors>
      <color rgb="FF63636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1827</xdr:colOff>
      <xdr:row>0</xdr:row>
      <xdr:rowOff>90328</xdr:rowOff>
    </xdr:from>
    <xdr:ext cx="607152" cy="219075"/>
    <xdr:pic>
      <xdr:nvPicPr>
        <xdr:cNvPr id="2" name="图片 1">
          <a:extLst>
            <a:ext uri="{FF2B5EF4-FFF2-40B4-BE49-F238E27FC236}">
              <a16:creationId xmlns:a16="http://schemas.microsoft.com/office/drawing/2014/main" id="{B14FCFAF-B093-46EB-A7C7-03D9D00247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3533" y="90328"/>
          <a:ext cx="607152" cy="219075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Wind\Wind.NET.Client\WindNET\DataBrowse\XLA\WindFunc.xla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Sheet2"/>
      <sheetName val="Sheet3"/>
    </sheetNames>
    <definedNames>
      <definedName name="b_calc_accrued"/>
      <definedName name="b_calc_conv"/>
      <definedName name="b_calc_duration"/>
      <definedName name="b_calc_mduration"/>
      <definedName name="b_calc_pv"/>
      <definedName name="b_calc_pvbp"/>
      <definedName name="b_calc_ytm"/>
      <definedName name="b_info_name"/>
      <definedName name="b_info_termnote1"/>
      <definedName name="TDaysOffset"/>
    </definedNames>
    <sheetDataSet>
      <sheetData sheetId="0"/>
      <sheetData sheetId="1"/>
      <sheetData sheetId="2"/>
    </sheetDataSet>
  </externalBook>
</externalLink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tabColor rgb="FF63636D"/>
  </sheetPr>
  <dimension ref="A1:Y47"/>
  <sheetViews>
    <sheetView showGridLines="0" tabSelected="1" zoomScaleNormal="100" workbookViewId="0">
      <selection activeCell="A39" sqref="A39"/>
    </sheetView>
  </sheetViews>
  <sheetFormatPr defaultRowHeight="14.25" x14ac:dyDescent="0.2"/>
  <cols>
    <col min="1" max="1" width="2.625" customWidth="1"/>
    <col min="2" max="2" width="1.5" style="2" customWidth="1"/>
    <col min="3" max="3" width="11.25" style="2" bestFit="1" customWidth="1"/>
    <col min="4" max="4" width="15.375" style="2" bestFit="1" customWidth="1"/>
    <col min="5" max="5" width="7.875" style="2" customWidth="1"/>
    <col min="6" max="6" width="10.625" style="2" bestFit="1" customWidth="1"/>
    <col min="7" max="7" width="2.625" style="2" customWidth="1"/>
    <col min="8" max="8" width="11.25" style="2" bestFit="1" customWidth="1"/>
    <col min="9" max="9" width="10" style="2" bestFit="1" customWidth="1"/>
    <col min="10" max="10" width="13.75" style="2" bestFit="1" customWidth="1"/>
    <col min="11" max="11" width="15" style="2" bestFit="1" customWidth="1"/>
    <col min="12" max="12" width="2.625" style="2" customWidth="1"/>
    <col min="13" max="13" width="11.25" style="2" bestFit="1" customWidth="1"/>
    <col min="14" max="15" width="9.375" style="2" bestFit="1" customWidth="1"/>
    <col min="16" max="16" width="8.75" style="2" bestFit="1" customWidth="1"/>
    <col min="17" max="19" width="10.375" style="2" bestFit="1" customWidth="1"/>
    <col min="20" max="20" width="8.75" style="2" bestFit="1" customWidth="1"/>
    <col min="21" max="21" width="10.375" style="2" bestFit="1" customWidth="1"/>
    <col min="22" max="22" width="10" style="2" bestFit="1" customWidth="1"/>
    <col min="23" max="23" width="13.75" style="2" bestFit="1" customWidth="1"/>
    <col min="24" max="24" width="2.625" style="2" customWidth="1"/>
    <col min="25" max="16384" width="9" style="2"/>
  </cols>
  <sheetData>
    <row r="1" spans="1:25" s="1" customFormat="1" ht="27.75" x14ac:dyDescent="0.2">
      <c r="A1" s="21"/>
      <c r="B1" s="21"/>
      <c r="C1" s="21"/>
      <c r="D1" s="21" t="s">
        <v>47</v>
      </c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4"/>
      <c r="Y1" s="4"/>
    </row>
    <row r="2" spans="1:25" s="1" customFormat="1" ht="20.25" x14ac:dyDescent="0.3">
      <c r="A2" s="20"/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</row>
    <row r="3" spans="1:25" s="1" customFormat="1" ht="20.25" x14ac:dyDescent="0.3">
      <c r="A3" s="20"/>
      <c r="B3" s="3"/>
      <c r="C3" s="5" t="s">
        <v>52</v>
      </c>
      <c r="D3" s="5"/>
      <c r="E3" s="5"/>
      <c r="F3" s="5"/>
      <c r="G3" s="5"/>
      <c r="H3" s="5" t="s">
        <v>50</v>
      </c>
      <c r="I3" s="5"/>
      <c r="J3" s="5"/>
      <c r="K3" s="5"/>
      <c r="L3" s="5"/>
      <c r="M3" s="5" t="s">
        <v>51</v>
      </c>
      <c r="N3" s="5"/>
      <c r="O3" s="5"/>
      <c r="P3" s="5"/>
      <c r="Q3" s="5"/>
      <c r="R3" s="5"/>
      <c r="S3" s="5"/>
      <c r="T3" s="5"/>
      <c r="U3" s="5"/>
      <c r="V3" s="5"/>
      <c r="W3" s="5"/>
      <c r="X3" s="19"/>
      <c r="Y3" s="20"/>
    </row>
    <row r="4" spans="1:25" s="1" customFormat="1" ht="21" x14ac:dyDescent="0.35">
      <c r="A4" s="20"/>
      <c r="B4" s="3"/>
      <c r="C4" s="23" t="s">
        <v>0</v>
      </c>
      <c r="D4" s="23" t="s">
        <v>48</v>
      </c>
      <c r="E4" s="23"/>
      <c r="F4" s="23" t="s">
        <v>32</v>
      </c>
      <c r="G4" s="5"/>
      <c r="H4" s="23" t="s">
        <v>33</v>
      </c>
      <c r="I4" s="23" t="s">
        <v>34</v>
      </c>
      <c r="J4" s="23" t="str">
        <f>I5&amp;"值："</f>
        <v>到期收益率值：</v>
      </c>
      <c r="K4" s="23" t="s">
        <v>35</v>
      </c>
      <c r="L4" s="5"/>
      <c r="M4" s="23" t="s">
        <v>36</v>
      </c>
      <c r="N4" s="23" t="s">
        <v>37</v>
      </c>
      <c r="O4" s="23" t="s">
        <v>38</v>
      </c>
      <c r="P4" s="23" t="s">
        <v>39</v>
      </c>
      <c r="Q4" s="23" t="s">
        <v>40</v>
      </c>
      <c r="R4" s="23" t="s">
        <v>41</v>
      </c>
      <c r="S4" s="23" t="s">
        <v>42</v>
      </c>
      <c r="T4" s="23" t="s">
        <v>43</v>
      </c>
      <c r="U4" s="23" t="s">
        <v>44</v>
      </c>
      <c r="V4" s="23" t="s">
        <v>45</v>
      </c>
      <c r="W4" s="23" t="s">
        <v>46</v>
      </c>
      <c r="X4" s="19"/>
      <c r="Y4" s="20"/>
    </row>
    <row r="5" spans="1:25" s="1" customFormat="1" ht="20.25" x14ac:dyDescent="0.3">
      <c r="A5" s="20"/>
      <c r="B5" s="3"/>
      <c r="C5" s="24" t="s">
        <v>2</v>
      </c>
      <c r="D5" s="25" t="str">
        <f>[1]!b_info_name(C5)</f>
        <v>15国债10</v>
      </c>
      <c r="E5" s="25"/>
      <c r="F5" s="26">
        <f ca="1">[1]!TDaysOffset(H5,"TradingCalendar=NIB","Offset=-1")</f>
        <v>45425</v>
      </c>
      <c r="G5" s="5"/>
      <c r="H5" s="27">
        <f ca="1">TODAY()</f>
        <v>45426</v>
      </c>
      <c r="I5" s="28" t="s">
        <v>49</v>
      </c>
      <c r="J5" s="29">
        <v>3</v>
      </c>
      <c r="K5" s="30">
        <v>600</v>
      </c>
      <c r="L5" s="5"/>
      <c r="M5" s="31" t="str">
        <f ca="1">[1]!b_info_termnote1(C5,H5)</f>
        <v>41.0301</v>
      </c>
      <c r="N5" s="31">
        <f ca="1">[1]!b_calc_pv(C5,H5,Q5,"1",1)</f>
        <v>123.27888577153377</v>
      </c>
      <c r="O5" s="31">
        <f ca="1">[1]!b_calc_pv(C5,H5,Q5,"1",2)</f>
        <v>125.14817344276665</v>
      </c>
      <c r="P5" s="31">
        <f ca="1">[1]!b_calc_accrued(C5,H5,"",,,,"",)</f>
        <v>1.869287671232877</v>
      </c>
      <c r="Q5" s="31">
        <f>IF(I5="净价",[1]!b_calc_ytm(C5,H5,J5,1,"1"),IF(I5="全价",[1]!b_calc_ytm(C5,H5,J5,2,"1"),IF(I5="到期收益率",J5,[1]!b_calc_ytm(C5,H5,[1]!b_calc_pv(C5,H5,J5,"2",2),2,"1"))))</f>
        <v>3</v>
      </c>
      <c r="R5" s="31">
        <f ca="1">IF(I5="净价",[1]!b_calc_ytm(C5,H5,J5,1,"2"),IF(I5="全价",[1]!b_calc_ytm(C5,H5,J5,2,"2"),IF(I5="行权收益率",J5,[1]!b_calc_ytm(C5,H5,[1]!b_calc_pv(C5,H5,J5,"1",2),2,"2"))))</f>
        <v>0</v>
      </c>
      <c r="S5" s="31">
        <f ca="1">[1]!b_calc_duration(C5,H5,Q5,"",,,,"",)</f>
        <v>22.22890557797469</v>
      </c>
      <c r="T5" s="31">
        <f ca="1">[1]!b_calc_mduration(C5,H5,Q5,"",,,,"",)</f>
        <v>21.581461726189019</v>
      </c>
      <c r="U5" s="31">
        <f ca="1">[1]!b_calc_conv(C5,H5,Q5,"",,,,"",)</f>
        <v>689.24864232031007</v>
      </c>
      <c r="V5" s="31">
        <f ca="1">[1]!b_calc_pvbp(C5,H5,Q5,"",,,,"",)</f>
        <v>0.27084453791212582</v>
      </c>
      <c r="W5" s="31">
        <f ca="1">(ROUND(N5,4)+P5)*K5*100</f>
        <v>7508891.2602739725</v>
      </c>
      <c r="X5" s="19"/>
      <c r="Y5" s="20"/>
    </row>
    <row r="6" spans="1:25" s="1" customFormat="1" ht="20.25" x14ac:dyDescent="0.3">
      <c r="A6" s="20"/>
      <c r="B6" s="3"/>
      <c r="C6" s="32" t="s">
        <v>3</v>
      </c>
      <c r="D6" s="33" t="str">
        <f>[1]!b_info_name(C6)</f>
        <v>16国债13</v>
      </c>
      <c r="E6" s="34"/>
      <c r="F6" s="35">
        <f ca="1">[1]!TDaysOffset(H6,"TradingCalendar=NIB","Offset=-1")</f>
        <v>45425</v>
      </c>
      <c r="G6" s="5"/>
      <c r="H6" s="27">
        <f t="shared" ref="H6:H34" ca="1" si="0">TODAY()</f>
        <v>45426</v>
      </c>
      <c r="I6" s="28" t="s">
        <v>49</v>
      </c>
      <c r="J6" s="30">
        <v>3</v>
      </c>
      <c r="K6" s="30">
        <v>600</v>
      </c>
      <c r="L6" s="5"/>
      <c r="M6" s="36" t="str">
        <f ca="1">[1]!b_info_termnote1(C6,H6)</f>
        <v>42.0246</v>
      </c>
      <c r="N6" s="36">
        <f ca="1">[1]!b_calc_pv(C6,H6,Q6,"1",1)</f>
        <v>116.66160754511398</v>
      </c>
      <c r="O6" s="36">
        <f ca="1">[1]!b_calc_pv(C6,H6,Q6,"1",2)</f>
        <v>118.41530617525096</v>
      </c>
      <c r="P6" s="36">
        <f ca="1">[1]!b_calc_accrued(C6,H6,"",,,,"",)</f>
        <v>1.7536986301369863</v>
      </c>
      <c r="Q6" s="36">
        <f>IF(I6="净价",[1]!b_calc_ytm(C6,H6,J6,1,"1"),IF(I6="全价",[1]!b_calc_ytm(C6,H6,J6,2,"1"),IF(I6="到期收益率",J6,[1]!b_calc_ytm(C6,H6,[1]!b_calc_pv(C6,H6,J6,"2",2),2,"1"))))</f>
        <v>3</v>
      </c>
      <c r="R6" s="36">
        <f ca="1">IF(I6="净价",[1]!b_calc_ytm(C6,H6,J6,1,"2"),IF(I6="全价",[1]!b_calc_ytm(C6,H6,J6,2,"2"),IF(I6="行权收益率",J6,[1]!b_calc_ytm(C6,H6,[1]!b_calc_pv(C6,H6,J6,"1",2),2,"2"))))</f>
        <v>0</v>
      </c>
      <c r="S6" s="36">
        <f ca="1">[1]!b_calc_duration(C6,H6,Q6,"",,,,"",)</f>
        <v>22.847860016194748</v>
      </c>
      <c r="T6" s="36">
        <f ca="1">[1]!b_calc_mduration(C6,H6,Q6,"",,,,"",)</f>
        <v>22.182388365237617</v>
      </c>
      <c r="U6" s="36">
        <f ca="1">[1]!b_calc_conv(C6,H6,Q6,"",,,,"",)</f>
        <v>727.79063896783452</v>
      </c>
      <c r="V6" s="36">
        <f ca="1">[1]!b_calc_pvbp(C6,H6,Q6,"",,,,"",)</f>
        <v>0.26343122602550295</v>
      </c>
      <c r="W6" s="36">
        <f t="shared" ref="W6:W13" ca="1" si="1">(ROUND(N6,4)+P6)*K6*100</f>
        <v>7104917.9178082198</v>
      </c>
      <c r="X6" s="19"/>
      <c r="Y6" s="20"/>
    </row>
    <row r="7" spans="1:25" s="1" customFormat="1" ht="20.25" x14ac:dyDescent="0.3">
      <c r="A7" s="20"/>
      <c r="B7" s="3"/>
      <c r="C7" s="24" t="s">
        <v>4</v>
      </c>
      <c r="D7" s="25" t="str">
        <f>[1]!b_info_name(C7)</f>
        <v>16国债26</v>
      </c>
      <c r="E7" s="25"/>
      <c r="F7" s="26">
        <f ca="1">[1]!TDaysOffset(H7,"TradingCalendar=NIB","Offset=-1")</f>
        <v>45425</v>
      </c>
      <c r="G7" s="5"/>
      <c r="H7" s="27">
        <f t="shared" ca="1" si="0"/>
        <v>45426</v>
      </c>
      <c r="I7" s="28" t="s">
        <v>49</v>
      </c>
      <c r="J7" s="30">
        <v>3</v>
      </c>
      <c r="K7" s="30">
        <v>600</v>
      </c>
      <c r="L7" s="5"/>
      <c r="M7" s="31" t="str">
        <f ca="1">[1]!b_info_termnote1(C7,H7)</f>
        <v>42.5219</v>
      </c>
      <c r="N7" s="31">
        <f ca="1">[1]!b_calc_pv(C7,H7,Q7,"1",1)</f>
        <v>111.49326078837825</v>
      </c>
      <c r="O7" s="31">
        <f ca="1">[1]!b_calc_pv(C7,H7,Q7,"1",2)</f>
        <v>113.16175393906319</v>
      </c>
      <c r="P7" s="31">
        <f ca="1">[1]!b_calc_accrued(C7,H7,"",,,,"",)</f>
        <v>1.6684931506849314</v>
      </c>
      <c r="Q7" s="31">
        <f>IF(I7="净价",[1]!b_calc_ytm(C7,H7,J7,1,"1"),IF(I7="全价",[1]!b_calc_ytm(C7,H7,J7,2,"1"),IF(I7="到期收益率",J7,[1]!b_calc_ytm(C7,H7,[1]!b_calc_pv(C7,H7,J7,"2",2),2,"1"))))</f>
        <v>3</v>
      </c>
      <c r="R7" s="31">
        <f ca="1">IF(I7="净价",[1]!b_calc_ytm(C7,H7,J7,1,"2"),IF(I7="全价",[1]!b_calc_ytm(C7,H7,J7,2,"2"),IF(I7="行权收益率",J7,[1]!b_calc_ytm(C7,H7,[1]!b_calc_pv(C7,H7,J7,"1",2),2,"2"))))</f>
        <v>0</v>
      </c>
      <c r="S7" s="31">
        <f ca="1">[1]!b_calc_duration(C7,H7,Q7,"",,,,"",)</f>
        <v>23.271958748231189</v>
      </c>
      <c r="T7" s="31">
        <f ca="1">[1]!b_calc_mduration(C7,H7,Q7,"",,,,"",)</f>
        <v>22.594134707020572</v>
      </c>
      <c r="U7" s="31">
        <f ca="1">[1]!b_calc_conv(C7,H7,Q7,"",,,,"",)</f>
        <v>753.45989141940834</v>
      </c>
      <c r="V7" s="31">
        <f ca="1">[1]!b_calc_pvbp(C7,H7,Q7,"",,,,"",)</f>
        <v>0.25642424203189762</v>
      </c>
      <c r="W7" s="31">
        <f t="shared" ca="1" si="1"/>
        <v>6789707.5890410971</v>
      </c>
      <c r="X7" s="19"/>
      <c r="Y7" s="20"/>
    </row>
    <row r="8" spans="1:25" s="1" customFormat="1" ht="20.25" x14ac:dyDescent="0.3">
      <c r="A8" s="20"/>
      <c r="B8" s="3"/>
      <c r="C8" s="32" t="s">
        <v>5</v>
      </c>
      <c r="D8" s="33" t="str">
        <f>[1]!b_info_name(C8)</f>
        <v>22附息国债15</v>
      </c>
      <c r="E8" s="34"/>
      <c r="F8" s="35">
        <f ca="1">[1]!TDaysOffset(H8,"TradingCalendar=NIB","Offset=-1")</f>
        <v>45425</v>
      </c>
      <c r="G8" s="5"/>
      <c r="H8" s="27">
        <f t="shared" ca="1" si="0"/>
        <v>45426</v>
      </c>
      <c r="I8" s="28" t="s">
        <v>49</v>
      </c>
      <c r="J8" s="30">
        <v>3</v>
      </c>
      <c r="K8" s="30">
        <v>600</v>
      </c>
      <c r="L8" s="5"/>
      <c r="M8" s="36" t="str">
        <f ca="1">[1]!b_info_termnote1(C8,H8)</f>
        <v>48.1694</v>
      </c>
      <c r="N8" s="36">
        <f ca="1">[1]!b_calc_pv(C8,H8,Q8,"1",1)</f>
        <v>110.15364403874901</v>
      </c>
      <c r="O8" s="36">
        <f ca="1">[1]!b_calc_pv(C8,H8,Q8,"1",2)</f>
        <v>111.27452315962813</v>
      </c>
      <c r="P8" s="36">
        <f ca="1">[1]!b_calc_accrued(C8,H8,"",,,,"",)</f>
        <v>1.1208791208791209</v>
      </c>
      <c r="Q8" s="36">
        <f>IF(I8="净价",[1]!b_calc_ytm(C8,H8,J8,1,"1"),IF(I8="全价",[1]!b_calc_ytm(C8,H8,J8,2,"1"),IF(I8="到期收益率",J8,[1]!b_calc_ytm(C8,H8,[1]!b_calc_pv(C8,H8,J8,"2",2),2,"1"))))</f>
        <v>3</v>
      </c>
      <c r="R8" s="36">
        <f ca="1">IF(I8="净价",[1]!b_calc_ytm(C8,H8,J8,1,"2"),IF(I8="全价",[1]!b_calc_ytm(C8,H8,J8,2,"2"),IF(I8="行权收益率",J8,[1]!b_calc_ytm(C8,H8,[1]!b_calc_pv(C8,H8,J8,"1",2),2,"2"))))</f>
        <v>0</v>
      </c>
      <c r="S8" s="36">
        <f ca="1">[1]!b_calc_duration(C8,H8,Q8,"",,,,"",)</f>
        <v>24.948758174882499</v>
      </c>
      <c r="T8" s="36">
        <f ca="1">[1]!b_calc_mduration(C8,H8,Q8,"",,,,"",)</f>
        <v>24.222095315419903</v>
      </c>
      <c r="U8" s="36">
        <f ca="1">[1]!b_calc_conv(C8,H8,Q8,"",,,,"",)</f>
        <v>885.68040417166651</v>
      </c>
      <c r="V8" s="36">
        <f ca="1">[1]!b_calc_pvbp(C8,H8,Q8,"",,,,"",)</f>
        <v>0.27037085134190875</v>
      </c>
      <c r="W8" s="36">
        <f t="shared" ca="1" si="1"/>
        <v>6676468.7472527465</v>
      </c>
      <c r="X8" s="19"/>
      <c r="Y8" s="20"/>
    </row>
    <row r="9" spans="1:25" s="1" customFormat="1" ht="20.25" x14ac:dyDescent="0.3">
      <c r="A9" s="20"/>
      <c r="B9" s="3"/>
      <c r="C9" s="24" t="s">
        <v>6</v>
      </c>
      <c r="D9" s="25" t="str">
        <f>[1]!b_info_name(C9)</f>
        <v>23附息国债07</v>
      </c>
      <c r="E9" s="25"/>
      <c r="F9" s="26">
        <f ca="1">[1]!TDaysOffset(H9,"TradingCalendar=NIB","Offset=-1")</f>
        <v>45425</v>
      </c>
      <c r="G9" s="5"/>
      <c r="H9" s="27">
        <f t="shared" ca="1" si="0"/>
        <v>45426</v>
      </c>
      <c r="I9" s="28" t="s">
        <v>49</v>
      </c>
      <c r="J9" s="30">
        <v>3</v>
      </c>
      <c r="K9" s="30">
        <v>600</v>
      </c>
      <c r="L9" s="5"/>
      <c r="M9" s="31" t="str">
        <f ca="1">[1]!b_info_termnote1(C9,H9)</f>
        <v>48.8630</v>
      </c>
      <c r="N9" s="31">
        <f ca="1">[1]!b_calc_pv(C9,H9,Q9,"1",1)</f>
        <v>106.89707102465476</v>
      </c>
      <c r="O9" s="31">
        <f ca="1">[1]!b_calc_pv(C9,H9,Q9,"1",2)</f>
        <v>107.34136450291564</v>
      </c>
      <c r="P9" s="31">
        <f ca="1">[1]!b_calc_accrued(C9,H9,"",,,,"",)</f>
        <v>0.44429347826086957</v>
      </c>
      <c r="Q9" s="31">
        <f>IF(I9="净价",[1]!b_calc_ytm(C9,H9,J9,1,"1"),IF(I9="全价",[1]!b_calc_ytm(C9,H9,J9,2,"1"),IF(I9="到期收益率",J9,[1]!b_calc_ytm(C9,H9,[1]!b_calc_pv(C9,H9,J9,"2",2),2,"1"))))</f>
        <v>3</v>
      </c>
      <c r="R9" s="31">
        <f ca="1">IF(I9="净价",[1]!b_calc_ytm(C9,H9,J9,1,"2"),IF(I9="全价",[1]!b_calc_ytm(C9,H9,J9,2,"2"),IF(I9="行权收益率",J9,[1]!b_calc_ytm(C9,H9,[1]!b_calc_pv(C9,H9,J9,"1",2),2,"2"))))</f>
        <v>0</v>
      </c>
      <c r="S9" s="31">
        <f ca="1">[1]!b_calc_duration(C9,H9,Q9,"",,,,"",)</f>
        <v>25.457804391439112</v>
      </c>
      <c r="T9" s="31">
        <f ca="1">[1]!b_calc_mduration(C9,H9,Q9,"",,,,"",)</f>
        <v>24.716314943144766</v>
      </c>
      <c r="U9" s="31">
        <f ca="1">[1]!b_calc_conv(C9,H9,Q9,"",,,,"",)</f>
        <v>917.53127715430662</v>
      </c>
      <c r="V9" s="31">
        <f ca="1">[1]!b_calc_pvbp(C9,H9,Q9,"",,,,"",)</f>
        <v>0.26615979073903873</v>
      </c>
      <c r="W9" s="31">
        <f t="shared" ca="1" si="1"/>
        <v>6440483.6086956523</v>
      </c>
      <c r="X9" s="19"/>
      <c r="Y9" s="20"/>
    </row>
    <row r="10" spans="1:25" s="1" customFormat="1" ht="20.25" x14ac:dyDescent="0.3">
      <c r="A10" s="20"/>
      <c r="B10" s="3"/>
      <c r="C10" s="32" t="s">
        <v>7</v>
      </c>
      <c r="D10" s="33" t="str">
        <f>[1]!b_info_name(C10)</f>
        <v>国债1613</v>
      </c>
      <c r="E10" s="34"/>
      <c r="F10" s="35">
        <f ca="1">[1]!TDaysOffset(H10,"TradingCalendar=NIB","Offset=-1")</f>
        <v>45425</v>
      </c>
      <c r="G10" s="5"/>
      <c r="H10" s="27">
        <f t="shared" ca="1" si="0"/>
        <v>45426</v>
      </c>
      <c r="I10" s="28" t="s">
        <v>49</v>
      </c>
      <c r="J10" s="30">
        <v>3</v>
      </c>
      <c r="K10" s="30">
        <v>600</v>
      </c>
      <c r="L10" s="5"/>
      <c r="M10" s="36" t="str">
        <f ca="1">[1]!b_info_termnote1(C10,H10)</f>
        <v>42.0246</v>
      </c>
      <c r="N10" s="36">
        <f ca="1">[1]!b_calc_pv(C10,H10,Q10,"1",1)</f>
        <v>116.66160754511398</v>
      </c>
      <c r="O10" s="36">
        <f ca="1">[1]!b_calc_pv(C10,H10,Q10,"1",2)</f>
        <v>118.41530617525096</v>
      </c>
      <c r="P10" s="36">
        <f ca="1">[1]!b_calc_accrued(C10,H10,"",,,,"",)</f>
        <v>1.7536986301369863</v>
      </c>
      <c r="Q10" s="36">
        <f>IF(I10="净价",[1]!b_calc_ytm(C10,H10,J10,1,"1"),IF(I10="全价",[1]!b_calc_ytm(C10,H10,J10,2,"1"),IF(I10="到期收益率",J10,[1]!b_calc_ytm(C10,H10,[1]!b_calc_pv(C10,H10,J10,"2",2),2,"1"))))</f>
        <v>3</v>
      </c>
      <c r="R10" s="36">
        <f ca="1">IF(I10="净价",[1]!b_calc_ytm(C10,H10,J10,1,"2"),IF(I10="全价",[1]!b_calc_ytm(C10,H10,J10,2,"2"),IF(I10="行权收益率",J10,[1]!b_calc_ytm(C10,H10,[1]!b_calc_pv(C10,H10,J10,"1",2),2,"2"))))</f>
        <v>0</v>
      </c>
      <c r="S10" s="36">
        <f ca="1">[1]!b_calc_duration(C10,H10,Q10,"",,,,"",)</f>
        <v>22.847860016194748</v>
      </c>
      <c r="T10" s="36">
        <f ca="1">[1]!b_calc_mduration(C10,H10,Q10,"",,,,"",)</f>
        <v>22.182388365237617</v>
      </c>
      <c r="U10" s="36">
        <f ca="1">[1]!b_calc_conv(C10,H10,Q10,"",,,,"",)</f>
        <v>727.79063896783452</v>
      </c>
      <c r="V10" s="36">
        <f ca="1">[1]!b_calc_pvbp(C10,H10,Q10,"",,,,"",)</f>
        <v>0.26343122602550295</v>
      </c>
      <c r="W10" s="36">
        <f t="shared" ca="1" si="1"/>
        <v>7104917.9178082198</v>
      </c>
      <c r="X10" s="19"/>
      <c r="Y10" s="20"/>
    </row>
    <row r="11" spans="1:25" s="1" customFormat="1" ht="20.25" x14ac:dyDescent="0.3">
      <c r="A11" s="20"/>
      <c r="B11" s="22"/>
      <c r="C11" s="24" t="s">
        <v>8</v>
      </c>
      <c r="D11" s="25" t="str">
        <f>[1]!b_info_name(C11)</f>
        <v>24附息国债07</v>
      </c>
      <c r="E11" s="25"/>
      <c r="F11" s="26">
        <f ca="1">[1]!TDaysOffset(H11,"TradingCalendar=NIB","Offset=-1")</f>
        <v>45425</v>
      </c>
      <c r="G11" s="5"/>
      <c r="H11" s="27">
        <f t="shared" ca="1" si="0"/>
        <v>45426</v>
      </c>
      <c r="I11" s="28" t="s">
        <v>49</v>
      </c>
      <c r="J11" s="30">
        <v>3</v>
      </c>
      <c r="K11" s="30">
        <v>600</v>
      </c>
      <c r="L11" s="5"/>
      <c r="M11" s="31" t="str">
        <f ca="1">[1]!b_info_termnote1(C11,H11)</f>
        <v>49.8630</v>
      </c>
      <c r="N11" s="31">
        <f ca="1">[1]!b_calc_pv(C11,H11,Q11,"1",1)</f>
        <v>90.974398636351367</v>
      </c>
      <c r="O11" s="31">
        <f ca="1">[1]!b_calc_pv(C11,H11,Q11,"1",2)</f>
        <v>91.33445298417746</v>
      </c>
      <c r="P11" s="31">
        <f ca="1">[1]!b_calc_accrued(C11,H11,"",,,,"",)</f>
        <v>0.36005434782608697</v>
      </c>
      <c r="Q11" s="31">
        <f>IF(I11="净价",[1]!b_calc_ytm(C11,H11,J11,1,"1"),IF(I11="全价",[1]!b_calc_ytm(C11,H11,J11,2,"1"),IF(I11="到期收益率",J11,[1]!b_calc_ytm(C11,H11,[1]!b_calc_pv(C11,H11,J11,"2",2),2,"1"))))</f>
        <v>3</v>
      </c>
      <c r="R11" s="31">
        <f ca="1">IF(I11="净价",[1]!b_calc_ytm(C11,H11,J11,1,"2"),IF(I11="全价",[1]!b_calc_ytm(C11,H11,J11,2,"2"),IF(I11="行权收益率",J11,[1]!b_calc_ytm(C11,H11,[1]!b_calc_pv(C11,H11,J11,"1",2),2,"2"))))</f>
        <v>0</v>
      </c>
      <c r="S11" s="31">
        <f ca="1">[1]!b_calc_duration(C11,H11,Q11,"",,,,"",)</f>
        <v>26.833274188384983</v>
      </c>
      <c r="T11" s="31">
        <f ca="1">[1]!b_calc_mduration(C11,H11,Q11,"",,,,"",)</f>
        <v>26.051722512995131</v>
      </c>
      <c r="U11" s="31">
        <f ca="1">[1]!b_calc_conv(C11,H11,Q11,"",,,,"",)</f>
        <v>1008.5197729220865</v>
      </c>
      <c r="V11" s="31">
        <f ca="1">[1]!b_calc_pvbp(C11,H11,Q11,"",,,,"",)</f>
        <v>0.23875338130140733</v>
      </c>
      <c r="W11" s="31">
        <f t="shared" ca="1" si="1"/>
        <v>5480067.2608695654</v>
      </c>
      <c r="X11" s="19"/>
      <c r="Y11" s="20"/>
    </row>
    <row r="12" spans="1:25" s="1" customFormat="1" ht="20.25" x14ac:dyDescent="0.3">
      <c r="A12" s="20"/>
      <c r="B12" s="22"/>
      <c r="C12" s="32" t="s">
        <v>9</v>
      </c>
      <c r="D12" s="33" t="str">
        <f>[1]!b_info_name(C12)</f>
        <v>21附息国债03</v>
      </c>
      <c r="E12" s="34"/>
      <c r="F12" s="35">
        <f ca="1">[1]!TDaysOffset(H12,"TradingCalendar=NIB","Offset=-1")</f>
        <v>45425</v>
      </c>
      <c r="G12" s="5"/>
      <c r="H12" s="27">
        <f t="shared" ca="1" si="0"/>
        <v>45426</v>
      </c>
      <c r="I12" s="28" t="s">
        <v>49</v>
      </c>
      <c r="J12" s="30">
        <v>3</v>
      </c>
      <c r="K12" s="30">
        <v>600</v>
      </c>
      <c r="L12" s="5"/>
      <c r="M12" s="36" t="str">
        <f ca="1">[1]!b_info_termnote1(C12,H12)</f>
        <v>46.8548</v>
      </c>
      <c r="N12" s="36">
        <f ca="1">[1]!b_calc_pv(C12,H12,Q12,"1",1)</f>
        <v>119.05354232755336</v>
      </c>
      <c r="O12" s="36">
        <f ca="1">[1]!b_calc_pv(C12,H12,Q12,"1",2)</f>
        <v>119.59506406668379</v>
      </c>
      <c r="P12" s="36">
        <f ca="1">[1]!b_calc_accrued(C12,H12,"",,,,"",)</f>
        <v>0.54152173913043478</v>
      </c>
      <c r="Q12" s="36">
        <f>IF(I12="净价",[1]!b_calc_ytm(C12,H12,J12,1,"1"),IF(I12="全价",[1]!b_calc_ytm(C12,H12,J12,2,"1"),IF(I12="到期收益率",J12,[1]!b_calc_ytm(C12,H12,[1]!b_calc_pv(C12,H12,J12,"2",2),2,"1"))))</f>
        <v>3</v>
      </c>
      <c r="R12" s="36">
        <f ca="1">IF(I12="净价",[1]!b_calc_ytm(C12,H12,J12,1,"2"),IF(I12="全价",[1]!b_calc_ytm(C12,H12,J12,2,"2"),IF(I12="行权收益率",J12,[1]!b_calc_ytm(C12,H12,[1]!b_calc_pv(C12,H12,J12,"1",2),2,"2"))))</f>
        <v>0</v>
      </c>
      <c r="S12" s="36">
        <f ca="1">[1]!b_calc_duration(C12,H12,Q12,"",,,,"",)</f>
        <v>24.282132282433889</v>
      </c>
      <c r="T12" s="36">
        <f ca="1">[1]!b_calc_mduration(C12,H12,Q12,"",,,,"",)</f>
        <v>23.574885711100862</v>
      </c>
      <c r="U12" s="36">
        <f ca="1">[1]!b_calc_conv(C12,H12,Q12,"",,,,"",)</f>
        <v>834.48002652908588</v>
      </c>
      <c r="V12" s="36">
        <f ca="1">[1]!b_calc_pvbp(C12,H12,Q12,"",,,,"",)</f>
        <v>0.2828101395354139</v>
      </c>
      <c r="W12" s="36">
        <f t="shared" ca="1" si="1"/>
        <v>7175701.3043478262</v>
      </c>
      <c r="X12" s="19"/>
      <c r="Y12" s="20"/>
    </row>
    <row r="13" spans="1:25" s="1" customFormat="1" ht="20.25" x14ac:dyDescent="0.3">
      <c r="A13" s="20"/>
      <c r="B13" s="22"/>
      <c r="C13" s="24" t="s">
        <v>10</v>
      </c>
      <c r="D13" s="25" t="str">
        <f>[1]!b_info_name(C13)</f>
        <v>20附息国债07</v>
      </c>
      <c r="E13" s="25"/>
      <c r="F13" s="26">
        <f ca="1">[1]!TDaysOffset(H13,"TradingCalendar=NIB","Offset=-1")</f>
        <v>45425</v>
      </c>
      <c r="G13" s="5"/>
      <c r="H13" s="27">
        <f t="shared" ca="1" si="0"/>
        <v>45426</v>
      </c>
      <c r="I13" s="28" t="s">
        <v>49</v>
      </c>
      <c r="J13" s="30">
        <v>3</v>
      </c>
      <c r="K13" s="30">
        <v>600</v>
      </c>
      <c r="L13" s="5"/>
      <c r="M13" s="31" t="str">
        <f ca="1">[1]!b_info_termnote1(C13,H13)</f>
        <v>46.0301</v>
      </c>
      <c r="N13" s="31">
        <f ca="1">[1]!b_calc_pv(C13,H13,Q13,"1",1)</f>
        <v>118.15330533977883</v>
      </c>
      <c r="O13" s="31">
        <f ca="1">[1]!b_calc_pv(C13,H13,Q13,"1",2)</f>
        <v>119.90558555955904</v>
      </c>
      <c r="P13" s="31">
        <f ca="1">[1]!b_calc_accrued(C13,H13,"",,,,"",)</f>
        <v>1.7522802197802199</v>
      </c>
      <c r="Q13" s="31">
        <f>IF(I13="净价",[1]!b_calc_ytm(C13,H13,J13,1,"1"),IF(I13="全价",[1]!b_calc_ytm(C13,H13,J13,2,"1"),IF(I13="到期收益率",J13,[1]!b_calc_ytm(C13,H13,[1]!b_calc_pv(C13,H13,J13,"2",2),2,"1"))))</f>
        <v>3</v>
      </c>
      <c r="R13" s="31">
        <f ca="1">IF(I13="净价",[1]!b_calc_ytm(C13,H13,J13,1,"2"),IF(I13="全价",[1]!b_calc_ytm(C13,H13,J13,2,"2"),IF(I13="行权收益率",J13,[1]!b_calc_ytm(C13,H13,[1]!b_calc_pv(C13,H13,J13,"1",2),2,"2"))))</f>
        <v>0</v>
      </c>
      <c r="S13" s="31">
        <f ca="1">[1]!b_calc_duration(C13,H13,Q13,"",,,,"",)</f>
        <v>23.870749466927307</v>
      </c>
      <c r="T13" s="31">
        <f ca="1">[1]!b_calc_mduration(C13,H13,Q13,"",,,,"",)</f>
        <v>23.1754849193469</v>
      </c>
      <c r="U13" s="31">
        <f ca="1">[1]!b_calc_conv(C13,H13,Q13,"",,,,"",)</f>
        <v>810.93155901820569</v>
      </c>
      <c r="V13" s="31">
        <f ca="1">[1]!b_calc_pvbp(C13,H13,Q13,"",,,,"",)</f>
        <v>0.27871441163865995</v>
      </c>
      <c r="W13" s="31">
        <f t="shared" ca="1" si="1"/>
        <v>7194334.8131868131</v>
      </c>
      <c r="X13" s="19"/>
      <c r="Y13" s="20"/>
    </row>
    <row r="14" spans="1:25" s="1" customFormat="1" ht="20.25" x14ac:dyDescent="0.3">
      <c r="A14" s="20"/>
      <c r="B14" s="22"/>
      <c r="C14" s="32" t="s">
        <v>11</v>
      </c>
      <c r="D14" s="33" t="str">
        <f>[1]!b_info_name(C14)</f>
        <v>20附息国债12</v>
      </c>
      <c r="E14" s="34"/>
      <c r="F14" s="35">
        <f ca="1">[1]!TDaysOffset(H14,"TradingCalendar=NIB","Offset=-1")</f>
        <v>45425</v>
      </c>
      <c r="G14" s="5"/>
      <c r="H14" s="27">
        <f t="shared" ca="1" si="0"/>
        <v>45426</v>
      </c>
      <c r="I14" s="28" t="s">
        <v>49</v>
      </c>
      <c r="J14" s="30">
        <v>3</v>
      </c>
      <c r="K14" s="30">
        <v>600</v>
      </c>
      <c r="L14" s="5"/>
      <c r="M14" s="36" t="str">
        <f ca="1">[1]!b_info_termnote1(C14,H14)</f>
        <v>26.3361</v>
      </c>
      <c r="N14" s="36">
        <f ca="1">[1]!b_calc_pv(C14,H14,Q14,"1",1)</f>
        <v>114.67128568379229</v>
      </c>
      <c r="O14" s="36">
        <f ca="1">[1]!b_calc_pv(C14,H14,Q14,"1",2)</f>
        <v>115.30283459683577</v>
      </c>
      <c r="P14" s="36">
        <f ca="1">[1]!b_calc_accrued(C14,H14,"",,,,"",)</f>
        <v>0.63154891304347827</v>
      </c>
      <c r="Q14" s="36">
        <f>IF(I14="净价",[1]!b_calc_ytm(C14,H14,J14,1,"1"),IF(I14="全价",[1]!b_calc_ytm(C14,H14,J14,2,"1"),IF(I14="到期收益率",J14,[1]!b_calc_ytm(C14,H14,[1]!b_calc_pv(C14,H14,J14,"2",2),2,"1"))))</f>
        <v>3</v>
      </c>
      <c r="R14" s="36">
        <f ca="1">IF(I14="净价",[1]!b_calc_ytm(C14,H14,J14,1,"2"),IF(I14="全价",[1]!b_calc_ytm(C14,H14,J14,2,"2"),IF(I14="行权收益率",J14,[1]!b_calc_ytm(C14,H14,[1]!b_calc_pv(C14,H14,J14,"1",2),2,"2"))))</f>
        <v>0</v>
      </c>
      <c r="S14" s="36">
        <f ca="1">[1]!b_calc_duration(C14,H14,Q14,"",,,,"",)</f>
        <v>17.46874412188027</v>
      </c>
      <c r="T14" s="36">
        <f ca="1">[1]!b_calc_mduration(C14,H14,Q14,"",,,,"",)</f>
        <v>16.959945749398319</v>
      </c>
      <c r="U14" s="36">
        <f ca="1">[1]!b_calc_conv(C14,H14,Q14,"",,,,"",)</f>
        <v>386.66171813229641</v>
      </c>
      <c r="V14" s="36">
        <f ca="1">[1]!b_calc_pvbp(C14,H14,Q14,"",,,,"",)</f>
        <v>0.19600613180611504</v>
      </c>
      <c r="W14" s="36">
        <f t="shared" ref="W14:W30" ca="1" si="2">(ROUND(N14,4)+P14)*K14*100</f>
        <v>6918170.9347826075</v>
      </c>
      <c r="X14" s="19"/>
      <c r="Y14" s="20"/>
    </row>
    <row r="15" spans="1:25" s="1" customFormat="1" ht="20.25" x14ac:dyDescent="0.3">
      <c r="A15" s="20"/>
      <c r="B15" s="22"/>
      <c r="C15" s="24" t="s">
        <v>12</v>
      </c>
      <c r="D15" s="25" t="str">
        <f>[1]!b_info_name(C15)</f>
        <v>15附息国债28</v>
      </c>
      <c r="E15" s="25"/>
      <c r="F15" s="26">
        <f ca="1">[1]!TDaysOffset(H15,"TradingCalendar=NIB","Offset=-1")</f>
        <v>45425</v>
      </c>
      <c r="G15" s="5"/>
      <c r="H15" s="27">
        <f t="shared" ca="1" si="0"/>
        <v>45426</v>
      </c>
      <c r="I15" s="28" t="s">
        <v>49</v>
      </c>
      <c r="J15" s="30">
        <v>3</v>
      </c>
      <c r="K15" s="30">
        <v>600</v>
      </c>
      <c r="L15" s="5"/>
      <c r="M15" s="31" t="str">
        <f ca="1">[1]!b_info_termnote1(C15,H15)</f>
        <v>41.5273</v>
      </c>
      <c r="N15" s="31">
        <f ca="1">[1]!b_calc_pv(C15,H15,Q15,"1",1)</f>
        <v>121.05074225703399</v>
      </c>
      <c r="O15" s="31">
        <f ca="1">[1]!b_calc_pv(C15,H15,Q15,"1",2)</f>
        <v>122.89956093835266</v>
      </c>
      <c r="P15" s="31">
        <f ca="1">[1]!b_calc_accrued(C15,H15,"",,,,"",)</f>
        <v>1.8488186813186813</v>
      </c>
      <c r="Q15" s="31">
        <f>IF(I15="净价",[1]!b_calc_ytm(C15,H15,J15,1,"1"),IF(I15="全价",[1]!b_calc_ytm(C15,H15,J15,2,"1"),IF(I15="到期收益率",J15,[1]!b_calc_ytm(C15,H15,[1]!b_calc_pv(C15,H15,J15,"2",2),2,"1"))))</f>
        <v>3</v>
      </c>
      <c r="R15" s="31">
        <f ca="1">IF(I15="净价",[1]!b_calc_ytm(C15,H15,J15,1,"2"),IF(I15="全价",[1]!b_calc_ytm(C15,H15,J15,2,"2"),IF(I15="行权收益率",J15,[1]!b_calc_ytm(C15,H15,[1]!b_calc_pv(C15,H15,J15,"1",2),2,"2"))))</f>
        <v>0</v>
      </c>
      <c r="S15" s="31">
        <f ca="1">[1]!b_calc_duration(C15,H15,Q15,"",,,,"",)</f>
        <v>22.478732796872293</v>
      </c>
      <c r="T15" s="31">
        <f ca="1">[1]!b_calc_mduration(C15,H15,Q15,"",,,,"",)</f>
        <v>21.824012424147856</v>
      </c>
      <c r="U15" s="31">
        <f ca="1">[1]!b_calc_conv(C15,H15,Q15,"",,,,"",)</f>
        <v>705.37528075006639</v>
      </c>
      <c r="V15" s="31">
        <f ca="1">[1]!b_calc_pvbp(C15,H15,Q15,"",,,,"",)</f>
        <v>0.26896820197674742</v>
      </c>
      <c r="W15" s="31">
        <f t="shared" ca="1" si="2"/>
        <v>7373971.1208791211</v>
      </c>
      <c r="X15" s="19"/>
      <c r="Y15" s="20"/>
    </row>
    <row r="16" spans="1:25" s="1" customFormat="1" ht="20.25" x14ac:dyDescent="0.3">
      <c r="A16" s="20"/>
      <c r="B16" s="22"/>
      <c r="C16" s="32" t="s">
        <v>13</v>
      </c>
      <c r="D16" s="33" t="str">
        <f>[1]!b_info_name(C16)</f>
        <v>21附息国债14</v>
      </c>
      <c r="E16" s="34"/>
      <c r="F16" s="35">
        <f ca="1">[1]!TDaysOffset(H16,"TradingCalendar=NIB","Offset=-1")</f>
        <v>45425</v>
      </c>
      <c r="G16" s="5"/>
      <c r="H16" s="27">
        <f t="shared" ca="1" si="0"/>
        <v>45426</v>
      </c>
      <c r="I16" s="28" t="s">
        <v>49</v>
      </c>
      <c r="J16" s="30">
        <v>3</v>
      </c>
      <c r="K16" s="30">
        <v>600</v>
      </c>
      <c r="L16" s="5"/>
      <c r="M16" s="36" t="str">
        <f ca="1">[1]!b_info_termnote1(C16,H16)</f>
        <v>27.4290</v>
      </c>
      <c r="N16" s="36">
        <f ca="1">[1]!b_calc_pv(C16,H16,Q16,"1",1)</f>
        <v>109.85884478361423</v>
      </c>
      <c r="O16" s="36">
        <f ca="1">[1]!b_calc_pv(C16,H16,Q16,"1",2)</f>
        <v>110.10960981093663</v>
      </c>
      <c r="P16" s="36">
        <f ca="1">[1]!b_calc_accrued(C16,H16,"",,,,"",)</f>
        <v>0.25076502732240435</v>
      </c>
      <c r="Q16" s="36">
        <f>IF(I16="净价",[1]!b_calc_ytm(C16,H16,J16,1,"1"),IF(I16="全价",[1]!b_calc_ytm(C16,H16,J16,2,"1"),IF(I16="到期收益率",J16,[1]!b_calc_ytm(C16,H16,[1]!b_calc_pv(C16,H16,J16,"2",2),2,"1"))))</f>
        <v>3</v>
      </c>
      <c r="R16" s="36">
        <f ca="1">IF(I16="净价",[1]!b_calc_ytm(C16,H16,J16,1,"2"),IF(I16="全价",[1]!b_calc_ytm(C16,H16,J16,2,"2"),IF(I16="行权收益率",J16,[1]!b_calc_ytm(C16,H16,[1]!b_calc_pv(C16,H16,J16,"1",2),2,"2"))))</f>
        <v>0</v>
      </c>
      <c r="S16" s="36">
        <f ca="1">[1]!b_calc_duration(C16,H16,Q16,"",,,,"",)</f>
        <v>18.265774421230546</v>
      </c>
      <c r="T16" s="36">
        <f ca="1">[1]!b_calc_mduration(C16,H16,Q16,"",,,,"",)</f>
        <v>17.733761574010238</v>
      </c>
      <c r="U16" s="36">
        <f ca="1">[1]!b_calc_conv(C16,H16,Q16,"",,,,"",)</f>
        <v>421.05980100449716</v>
      </c>
      <c r="V16" s="36">
        <f ca="1">[1]!b_calc_pvbp(C16,H16,Q16,"",,,,"",)</f>
        <v>0.19574643742102182</v>
      </c>
      <c r="W16" s="36">
        <f t="shared" ca="1" si="2"/>
        <v>6606573.9016393451</v>
      </c>
      <c r="X16" s="19"/>
      <c r="Y16" s="20"/>
    </row>
    <row r="17" spans="1:25" s="1" customFormat="1" ht="20.25" x14ac:dyDescent="0.3">
      <c r="A17" s="20"/>
      <c r="B17" s="22"/>
      <c r="C17" s="24" t="s">
        <v>14</v>
      </c>
      <c r="D17" s="25" t="str">
        <f>[1]!b_info_name(C17)</f>
        <v>21附息国债05</v>
      </c>
      <c r="E17" s="25"/>
      <c r="F17" s="26">
        <f ca="1">[1]!TDaysOffset(H17,"TradingCalendar=NIB","Offset=-1")</f>
        <v>45425</v>
      </c>
      <c r="G17" s="5"/>
      <c r="H17" s="27">
        <f t="shared" ca="1" si="0"/>
        <v>45426</v>
      </c>
      <c r="I17" s="28" t="s">
        <v>49</v>
      </c>
      <c r="J17" s="30">
        <v>3</v>
      </c>
      <c r="K17" s="30">
        <v>600</v>
      </c>
      <c r="L17" s="5"/>
      <c r="M17" s="31" t="str">
        <f ca="1">[1]!b_info_termnote1(C17,H17)</f>
        <v>26.9123</v>
      </c>
      <c r="N17" s="31">
        <f ca="1">[1]!b_calc_pv(C17,H17,Q17,"1",1)</f>
        <v>113.22899900215647</v>
      </c>
      <c r="O17" s="31">
        <f ca="1">[1]!b_calc_pv(C17,H17,Q17,"1",2)</f>
        <v>113.55424490379582</v>
      </c>
      <c r="P17" s="31">
        <f ca="1">[1]!b_calc_accrued(C17,H17,"",,,,"",)</f>
        <v>0.3252459016393443</v>
      </c>
      <c r="Q17" s="31">
        <f>IF(I17="净价",[1]!b_calc_ytm(C17,H17,J17,1,"1"),IF(I17="全价",[1]!b_calc_ytm(C17,H17,J17,2,"1"),IF(I17="到期收益率",J17,[1]!b_calc_ytm(C17,H17,[1]!b_calc_pv(C17,H17,J17,"2",2),2,"1"))))</f>
        <v>3</v>
      </c>
      <c r="R17" s="31">
        <f ca="1">IF(I17="净价",[1]!b_calc_ytm(C17,H17,J17,1,"2"),IF(I17="全价",[1]!b_calc_ytm(C17,H17,J17,2,"2"),IF(I17="行权收益率",J17,[1]!b_calc_ytm(C17,H17,[1]!b_calc_pv(C17,H17,J17,"1",2),2,"2"))))</f>
        <v>0</v>
      </c>
      <c r="S17" s="31">
        <f ca="1">[1]!b_calc_duration(C17,H17,Q17,"",,,,"",)</f>
        <v>17.844973401855519</v>
      </c>
      <c r="T17" s="31">
        <f ca="1">[1]!b_calc_mduration(C17,H17,Q17,"",,,,"",)</f>
        <v>17.325216895005358</v>
      </c>
      <c r="U17" s="31">
        <f ca="1">[1]!b_calc_conv(C17,H17,Q17,"",,,,"",)</f>
        <v>402.9382299788511</v>
      </c>
      <c r="V17" s="31">
        <f ca="1">[1]!b_calc_pvbp(C17,H17,Q17,"",,,,"",)</f>
        <v>0.19721036494743771</v>
      </c>
      <c r="W17" s="31">
        <f t="shared" ca="1" si="2"/>
        <v>6813254.7540983604</v>
      </c>
      <c r="X17" s="19"/>
      <c r="Y17" s="20"/>
    </row>
    <row r="18" spans="1:25" s="1" customFormat="1" ht="20.25" x14ac:dyDescent="0.3">
      <c r="A18" s="20"/>
      <c r="C18" s="32" t="s">
        <v>15</v>
      </c>
      <c r="D18" s="33" t="str">
        <f>[1]!b_info_name(C18)</f>
        <v>19附息国债10</v>
      </c>
      <c r="E18" s="34"/>
      <c r="F18" s="35">
        <f ca="1">[1]!TDaysOffset(H18,"TradingCalendar=NIB","Offset=-1")</f>
        <v>45425</v>
      </c>
      <c r="G18" s="5"/>
      <c r="H18" s="37">
        <f t="shared" ca="1" si="0"/>
        <v>45426</v>
      </c>
      <c r="I18" s="28" t="s">
        <v>49</v>
      </c>
      <c r="J18" s="30">
        <v>3</v>
      </c>
      <c r="K18" s="38">
        <v>600</v>
      </c>
      <c r="L18" s="5"/>
      <c r="M18" s="39" t="str">
        <f ca="1">[1]!b_info_termnote1(C18,H18)</f>
        <v>25.1885</v>
      </c>
      <c r="N18" s="39">
        <f ca="1">[1]!b_calc_pv(C18,H18,Q18,"1",1)</f>
        <v>115.1231265712469</v>
      </c>
      <c r="O18" s="39">
        <f ca="1">[1]!b_calc_pv(C18,H18,Q18,"1",2)</f>
        <v>116.3214232745436</v>
      </c>
      <c r="P18" s="39">
        <f ca="1">[1]!b_calc_accrued(C18,H18,"",,,,"",)</f>
        <v>1.1982967032967033</v>
      </c>
      <c r="Q18" s="39">
        <f>IF(I18="净价",[1]!b_calc_ytm(C18,H18,J18,1,"1"),IF(I18="全价",[1]!b_calc_ytm(C18,H18,J18,2,"1"),IF(I18="到期收益率",J18,[1]!b_calc_ytm(C18,H18,[1]!b_calc_pv(C18,H18,J18,"2",2),2,"1"))))</f>
        <v>3</v>
      </c>
      <c r="R18" s="39">
        <f ca="1">IF(I18="净价",[1]!b_calc_ytm(C18,H18,J18,1,"2"),IF(I18="全价",[1]!b_calc_ytm(C18,H18,J18,2,"2"),IF(I18="行权收益率",J18,[1]!b_calc_ytm(C18,H18,[1]!b_calc_pv(C18,H18,J18,"1",2),2,"2"))))</f>
        <v>0</v>
      </c>
      <c r="S18" s="39">
        <f ca="1">[1]!b_calc_duration(C18,H18,Q18,"",,,,"",)</f>
        <v>16.843333613157185</v>
      </c>
      <c r="T18" s="39">
        <f ca="1">[1]!b_calc_mduration(C18,H18,Q18,"",,,,"",)</f>
        <v>16.352751080735132</v>
      </c>
      <c r="U18" s="39">
        <f ca="1">[1]!b_calc_conv(C18,H18,Q18,"",,,,"",)</f>
        <v>359.16539165649749</v>
      </c>
      <c r="V18" s="39">
        <f ca="1">[1]!b_calc_pvbp(C18,H18,Q18,"",,,,"",)</f>
        <v>0.1906463896066839</v>
      </c>
      <c r="W18" s="39">
        <f t="shared" ca="1" si="2"/>
        <v>6979283.8021978019</v>
      </c>
      <c r="X18" s="19"/>
      <c r="Y18" s="20"/>
    </row>
    <row r="19" spans="1:25" s="1" customFormat="1" ht="20.25" x14ac:dyDescent="0.3">
      <c r="A19" s="20"/>
      <c r="C19" s="24" t="s">
        <v>16</v>
      </c>
      <c r="D19" s="25" t="str">
        <f>[1]!b_info_name(C19)</f>
        <v>20附息国债04</v>
      </c>
      <c r="E19" s="25"/>
      <c r="F19" s="26">
        <f ca="1">[1]!TDaysOffset(H19,"TradingCalendar=NIB","Offset=-1")</f>
        <v>45425</v>
      </c>
      <c r="G19" s="5"/>
      <c r="H19" s="27">
        <f t="shared" ca="1" si="0"/>
        <v>45426</v>
      </c>
      <c r="I19" s="28" t="s">
        <v>49</v>
      </c>
      <c r="J19" s="30">
        <v>3</v>
      </c>
      <c r="K19" s="30">
        <v>600</v>
      </c>
      <c r="L19" s="5"/>
      <c r="M19" s="31" t="str">
        <f ca="1">[1]!b_info_termnote1(C19,H19)</f>
        <v>25.8384</v>
      </c>
      <c r="N19" s="31">
        <f ca="1">[1]!b_calc_pv(C19,H19,Q19,"1",1)</f>
        <v>106.97467479693206</v>
      </c>
      <c r="O19" s="31">
        <f ca="1">[1]!b_calc_pv(C19,H19,Q19,"1",2)</f>
        <v>107.51818023171467</v>
      </c>
      <c r="P19" s="31">
        <f ca="1">[1]!b_calc_accrued(C19,H19,"",,,,"",)</f>
        <v>0.54350543478260871</v>
      </c>
      <c r="Q19" s="31">
        <f>IF(I19="净价",[1]!b_calc_ytm(C19,H19,J19,1,"1"),IF(I19="全价",[1]!b_calc_ytm(C19,H19,J19,2,"1"),IF(I19="到期收益率",J19,[1]!b_calc_ytm(C19,H19,[1]!b_calc_pv(C19,H19,J19,"2",2),2,"1"))))</f>
        <v>3</v>
      </c>
      <c r="R19" s="31">
        <f ca="1">IF(I19="净价",[1]!b_calc_ytm(C19,H19,J19,1,"2"),IF(I19="全价",[1]!b_calc_ytm(C19,H19,J19,2,"2"),IF(I19="行权收益率",J19,[1]!b_calc_ytm(C19,H19,[1]!b_calc_pv(C19,H19,J19,"1",2),2,"2"))))</f>
        <v>0</v>
      </c>
      <c r="S19" s="31">
        <f ca="1">[1]!b_calc_duration(C19,H19,Q19,"",,,,"",)</f>
        <v>17.665791659884327</v>
      </c>
      <c r="T19" s="31">
        <f ca="1">[1]!b_calc_mduration(C19,H19,Q19,"",,,,"",)</f>
        <v>17.151254038722648</v>
      </c>
      <c r="U19" s="31">
        <f ca="1">[1]!b_calc_conv(C19,H19,Q19,"",,,,"",)</f>
        <v>389.52668902854509</v>
      </c>
      <c r="V19" s="31">
        <f ca="1">[1]!b_calc_pvbp(C19,H19,Q19,"",,,,"",)</f>
        <v>0.18485100921891728</v>
      </c>
      <c r="W19" s="31">
        <f t="shared" ca="1" si="2"/>
        <v>6451092.3260869561</v>
      </c>
      <c r="X19" s="19"/>
      <c r="Y19" s="20"/>
    </row>
    <row r="20" spans="1:25" s="1" customFormat="1" ht="20.25" x14ac:dyDescent="0.3">
      <c r="A20" s="20"/>
      <c r="C20" s="32" t="s">
        <v>17</v>
      </c>
      <c r="D20" s="33" t="str">
        <f>[1]!b_info_name(C20)</f>
        <v>22国债24</v>
      </c>
      <c r="E20" s="34"/>
      <c r="F20" s="35">
        <f ca="1">[1]!TDaysOffset(H20,"TradingCalendar=NIB","Offset=-1")</f>
        <v>45425</v>
      </c>
      <c r="G20" s="5"/>
      <c r="H20" s="37">
        <f t="shared" ca="1" si="0"/>
        <v>45426</v>
      </c>
      <c r="I20" s="28" t="s">
        <v>49</v>
      </c>
      <c r="J20" s="30">
        <v>3</v>
      </c>
      <c r="K20" s="38">
        <v>600</v>
      </c>
      <c r="L20" s="5"/>
      <c r="M20" s="39" t="str">
        <f ca="1">[1]!b_info_termnote1(C20,H20)</f>
        <v>28.4481</v>
      </c>
      <c r="N20" s="39">
        <f ca="1">[1]!b_calc_pv(C20,H20,Q20,"1",1)</f>
        <v>102.27531369464549</v>
      </c>
      <c r="O20" s="39">
        <f ca="1">[1]!b_calc_pv(C20,H20,Q20,"1",2)</f>
        <v>102.44627259875507</v>
      </c>
      <c r="P20" s="39">
        <f ca="1">[1]!b_calc_accrued(C20,H20,"",,,,"",)</f>
        <v>0.17095890410958905</v>
      </c>
      <c r="Q20" s="39">
        <f>IF(I20="净价",[1]!b_calc_ytm(C20,H20,J20,1,"1"),IF(I20="全价",[1]!b_calc_ytm(C20,H20,J20,2,"1"),IF(I20="到期收益率",J20,[1]!b_calc_ytm(C20,H20,[1]!b_calc_pv(C20,H20,J20,"2",2),2,"1"))))</f>
        <v>3</v>
      </c>
      <c r="R20" s="39">
        <f ca="1">IF(I20="净价",[1]!b_calc_ytm(C20,H20,J20,1,"2"),IF(I20="全价",[1]!b_calc_ytm(C20,H20,J20,2,"2"),IF(I20="行权收益率",J20,[1]!b_calc_ytm(C20,H20,[1]!b_calc_pv(C20,H20,J20,"1",2),2,"2"))))</f>
        <v>0</v>
      </c>
      <c r="S20" s="39">
        <f ca="1">[1]!b_calc_duration(C20,H20,Q20,"",,,,"",)</f>
        <v>19.18078498016861</v>
      </c>
      <c r="T20" s="39">
        <f ca="1">[1]!b_calc_mduration(C20,H20,Q20,"",,,,"",)</f>
        <v>18.622121339969524</v>
      </c>
      <c r="U20" s="39">
        <f ca="1">[1]!b_calc_conv(C20,H20,Q20,"",,,,"",)</f>
        <v>461.10542856828073</v>
      </c>
      <c r="V20" s="39">
        <f ca="1">[1]!b_calc_pvbp(C20,H20,Q20,"",,,,"",)</f>
        <v>0.19126615510812428</v>
      </c>
      <c r="W20" s="39">
        <f t="shared" ca="1" si="2"/>
        <v>6146775.5342465751</v>
      </c>
      <c r="X20" s="19"/>
      <c r="Y20" s="20"/>
    </row>
    <row r="21" spans="1:25" s="1" customFormat="1" ht="20.25" x14ac:dyDescent="0.3">
      <c r="A21" s="20"/>
      <c r="C21" s="24" t="s">
        <v>18</v>
      </c>
      <c r="D21" s="25" t="str">
        <f>[1]!b_info_name(C21)</f>
        <v>22附息国债24</v>
      </c>
      <c r="E21" s="25"/>
      <c r="F21" s="26">
        <f ca="1">[1]!TDaysOffset(H21,"TradingCalendar=NIB","Offset=-1")</f>
        <v>45425</v>
      </c>
      <c r="G21" s="5"/>
      <c r="H21" s="27">
        <f t="shared" ca="1" si="0"/>
        <v>45426</v>
      </c>
      <c r="I21" s="28" t="s">
        <v>49</v>
      </c>
      <c r="J21" s="30">
        <v>3</v>
      </c>
      <c r="K21" s="30">
        <v>600</v>
      </c>
      <c r="L21" s="5"/>
      <c r="M21" s="31" t="str">
        <f ca="1">[1]!b_info_termnote1(C21,H21)</f>
        <v>28.4481</v>
      </c>
      <c r="N21" s="31">
        <f ca="1">[1]!b_calc_pv(C21,H21,Q21,"1",1)</f>
        <v>102.28430538564032</v>
      </c>
      <c r="O21" s="31">
        <f ca="1">[1]!b_calc_pv(C21,H21,Q21,"1",2)</f>
        <v>102.44627259875507</v>
      </c>
      <c r="P21" s="31">
        <f ca="1">[1]!b_calc_accrued(C21,H21,"",,,,"",)</f>
        <v>0.16196721311475409</v>
      </c>
      <c r="Q21" s="31">
        <f>IF(I21="净价",[1]!b_calc_ytm(C21,H21,J21,1,"1"),IF(I21="全价",[1]!b_calc_ytm(C21,H21,J21,2,"1"),IF(I21="到期收益率",J21,[1]!b_calc_ytm(C21,H21,[1]!b_calc_pv(C21,H21,J21,"2",2),2,"1"))))</f>
        <v>3</v>
      </c>
      <c r="R21" s="31">
        <f ca="1">IF(I21="净价",[1]!b_calc_ytm(C21,H21,J21,1,"2"),IF(I21="全价",[1]!b_calc_ytm(C21,H21,J21,2,"2"),IF(I21="行权收益率",J21,[1]!b_calc_ytm(C21,H21,[1]!b_calc_pv(C21,H21,J21,"1",2),2,"2"))))</f>
        <v>0</v>
      </c>
      <c r="S21" s="31">
        <f ca="1">[1]!b_calc_duration(C21,H21,Q21,"",,,,"",)</f>
        <v>19.18078498016861</v>
      </c>
      <c r="T21" s="31">
        <f ca="1">[1]!b_calc_mduration(C21,H21,Q21,"",,,,"",)</f>
        <v>18.622121339969524</v>
      </c>
      <c r="U21" s="31">
        <f ca="1">[1]!b_calc_conv(C21,H21,Q21,"",,,,"",)</f>
        <v>461.10542856828073</v>
      </c>
      <c r="V21" s="31">
        <f ca="1">[1]!b_calc_pvbp(C21,H21,Q21,"",,,,"",)</f>
        <v>0.19126615510812428</v>
      </c>
      <c r="W21" s="31">
        <f t="shared" ca="1" si="2"/>
        <v>6146776.0327868843</v>
      </c>
      <c r="X21" s="19"/>
      <c r="Y21" s="20"/>
    </row>
    <row r="22" spans="1:25" s="1" customFormat="1" ht="20.25" x14ac:dyDescent="0.3">
      <c r="A22" s="20"/>
      <c r="C22" s="32" t="s">
        <v>19</v>
      </c>
      <c r="D22" s="33" t="str">
        <f>[1]!b_info_name(C22)</f>
        <v>22附息国债08</v>
      </c>
      <c r="E22" s="34"/>
      <c r="F22" s="35">
        <f ca="1">[1]!TDaysOffset(H22,"TradingCalendar=NIB","Offset=-1")</f>
        <v>45425</v>
      </c>
      <c r="G22" s="5"/>
      <c r="H22" s="37">
        <f t="shared" ca="1" si="0"/>
        <v>45426</v>
      </c>
      <c r="I22" s="28" t="s">
        <v>49</v>
      </c>
      <c r="J22" s="30">
        <v>3</v>
      </c>
      <c r="K22" s="38">
        <v>600</v>
      </c>
      <c r="L22" s="5"/>
      <c r="M22" s="39" t="str">
        <f ca="1">[1]!b_info_termnote1(C22,H22)</f>
        <v>27.9205</v>
      </c>
      <c r="N22" s="39">
        <f ca="1">[1]!b_calc_pv(C22,H22,Q22,"1",1)</f>
        <v>106.02034970057136</v>
      </c>
      <c r="O22" s="39">
        <f ca="1">[1]!b_calc_pv(C22,H22,Q22,"1",2)</f>
        <v>106.28340980986097</v>
      </c>
      <c r="P22" s="39">
        <f ca="1">[1]!b_calc_accrued(C22,H22,"",,,,"",)</f>
        <v>0.26306010928961748</v>
      </c>
      <c r="Q22" s="39">
        <f>IF(I22="净价",[1]!b_calc_ytm(C22,H22,J22,1,"1"),IF(I22="全价",[1]!b_calc_ytm(C22,H22,J22,2,"1"),IF(I22="到期收益率",J22,[1]!b_calc_ytm(C22,H22,[1]!b_calc_pv(C22,H22,J22,"2",2),2,"1"))))</f>
        <v>3</v>
      </c>
      <c r="R22" s="39">
        <f ca="1">IF(I22="净价",[1]!b_calc_ytm(C22,H22,J22,1,"2"),IF(I22="全价",[1]!b_calc_ytm(C22,H22,J22,2,"2"),IF(I22="行权收益率",J22,[1]!b_calc_ytm(C22,H22,[1]!b_calc_pv(C22,H22,J22,"1",2),2,"2"))))</f>
        <v>0</v>
      </c>
      <c r="S22" s="39">
        <f ca="1">[1]!b_calc_duration(C22,H22,Q22,"",,,,"",)</f>
        <v>18.700563755186803</v>
      </c>
      <c r="T22" s="39">
        <f ca="1">[1]!b_calc_mduration(C22,H22,Q22,"",,,,"",)</f>
        <v>18.155887140958061</v>
      </c>
      <c r="U22" s="39">
        <f ca="1">[1]!b_calc_conv(C22,H22,Q22,"",,,,"",)</f>
        <v>440.04229190359632</v>
      </c>
      <c r="V22" s="39">
        <f ca="1">[1]!b_calc_pvbp(C22,H22,Q22,"",,,,"",)</f>
        <v>0.19345156798675589</v>
      </c>
      <c r="W22" s="39">
        <f t="shared" ca="1" si="2"/>
        <v>6377001.6065573767</v>
      </c>
      <c r="X22" s="19"/>
      <c r="Y22" s="20"/>
    </row>
    <row r="23" spans="1:25" s="1" customFormat="1" ht="20.25" x14ac:dyDescent="0.3">
      <c r="A23" s="20"/>
      <c r="C23" s="24" t="s">
        <v>20</v>
      </c>
      <c r="D23" s="25" t="str">
        <f>[1]!b_info_name(C23)</f>
        <v>18国债17</v>
      </c>
      <c r="E23" s="25"/>
      <c r="F23" s="26">
        <f ca="1">[1]!TDaysOffset(H23,"TradingCalendar=NIB","Offset=-1")</f>
        <v>45425</v>
      </c>
      <c r="G23" s="5"/>
      <c r="H23" s="27">
        <f t="shared" ca="1" si="0"/>
        <v>45426</v>
      </c>
      <c r="I23" s="28" t="s">
        <v>49</v>
      </c>
      <c r="J23" s="30">
        <v>3</v>
      </c>
      <c r="K23" s="30">
        <v>600</v>
      </c>
      <c r="L23" s="5"/>
      <c r="M23" s="31" t="str">
        <f ca="1">[1]!b_info_termnote1(C23,H23)</f>
        <v>24.1913</v>
      </c>
      <c r="N23" s="31">
        <f ca="1">[1]!b_calc_pv(C23,H23,Q23,"1",1)</f>
        <v>116.60083369031059</v>
      </c>
      <c r="O23" s="31">
        <f ca="1">[1]!b_calc_pv(C23,H23,Q23,"1",2)</f>
        <v>117.81902547113251</v>
      </c>
      <c r="P23" s="31">
        <f ca="1">[1]!b_calc_accrued(C23,H23,"",,,,"",)</f>
        <v>1.218191780821918</v>
      </c>
      <c r="Q23" s="31">
        <f>IF(I23="净价",[1]!b_calc_ytm(C23,H23,J23,1,"1"),IF(I23="全价",[1]!b_calc_ytm(C23,H23,J23,2,"1"),IF(I23="到期收益率",J23,[1]!b_calc_ytm(C23,H23,[1]!b_calc_pv(C23,H23,J23,"2",2),2,"1"))))</f>
        <v>3</v>
      </c>
      <c r="R23" s="31">
        <f ca="1">IF(I23="净价",[1]!b_calc_ytm(C23,H23,J23,1,"2"),IF(I23="全价",[1]!b_calc_ytm(C23,H23,J23,2,"2"),IF(I23="行权收益率",J23,[1]!b_calc_ytm(C23,H23,[1]!b_calc_pv(C23,H23,J23,"1",2),2,"2"))))</f>
        <v>0</v>
      </c>
      <c r="S23" s="31">
        <f ca="1">[1]!b_calc_duration(C23,H23,Q23,"",,,,"",)</f>
        <v>16.30719721160068</v>
      </c>
      <c r="T23" s="31">
        <f ca="1">[1]!b_calc_mduration(C23,H23,Q23,"",,,,"",)</f>
        <v>15.832230302524932</v>
      </c>
      <c r="U23" s="31">
        <f ca="1">[1]!b_calc_conv(C23,H23,Q23,"",,,,"",)</f>
        <v>335.58273704165833</v>
      </c>
      <c r="V23" s="31">
        <f ca="1">[1]!b_calc_pvbp(C23,H23,Q23,"",,,,"",)</f>
        <v>0.18694024849648372</v>
      </c>
      <c r="W23" s="31">
        <f t="shared" ca="1" si="2"/>
        <v>7069139.506849315</v>
      </c>
      <c r="X23" s="19"/>
      <c r="Y23" s="20"/>
    </row>
    <row r="24" spans="1:25" s="1" customFormat="1" ht="20.25" x14ac:dyDescent="0.3">
      <c r="A24" s="20"/>
      <c r="C24" s="32" t="s">
        <v>21</v>
      </c>
      <c r="D24" s="33" t="str">
        <f>[1]!b_info_name(C24)</f>
        <v>18附息国债06</v>
      </c>
      <c r="E24" s="34"/>
      <c r="F24" s="35">
        <f ca="1">[1]!TDaysOffset(H24,"TradingCalendar=NIB","Offset=-1")</f>
        <v>45425</v>
      </c>
      <c r="G24" s="5"/>
      <c r="H24" s="37">
        <f t="shared" ca="1" si="0"/>
        <v>45426</v>
      </c>
      <c r="I24" s="28" t="s">
        <v>49</v>
      </c>
      <c r="J24" s="30">
        <v>3</v>
      </c>
      <c r="K24" s="38">
        <v>600</v>
      </c>
      <c r="L24" s="5"/>
      <c r="M24" s="39" t="str">
        <f ca="1">[1]!b_info_termnote1(C24,H24)</f>
        <v>23.8466</v>
      </c>
      <c r="N24" s="39">
        <f ca="1">[1]!b_calc_pv(C24,H24,Q24,"1",1)</f>
        <v>120.6722543378124</v>
      </c>
      <c r="O24" s="39">
        <f ca="1">[1]!b_calc_pv(C24,H24,Q24,"1",2)</f>
        <v>121.31442825085588</v>
      </c>
      <c r="P24" s="39">
        <f ca="1">[1]!b_calc_accrued(C24,H24,"",,,,"",)</f>
        <v>0.64217391304347826</v>
      </c>
      <c r="Q24" s="39">
        <f>IF(I24="净价",[1]!b_calc_ytm(C24,H24,J24,1,"1"),IF(I24="全价",[1]!b_calc_ytm(C24,H24,J24,2,"1"),IF(I24="到期收益率",J24,[1]!b_calc_ytm(C24,H24,[1]!b_calc_pv(C24,H24,J24,"2",2),2,"1"))))</f>
        <v>3</v>
      </c>
      <c r="R24" s="39">
        <f ca="1">IF(I24="净价",[1]!b_calc_ytm(C24,H24,J24,1,"2"),IF(I24="全价",[1]!b_calc_ytm(C24,H24,J24,2,"2"),IF(I24="行权收益率",J24,[1]!b_calc_ytm(C24,H24,[1]!b_calc_pv(C24,H24,J24,"1",2),2,"2"))))</f>
        <v>0</v>
      </c>
      <c r="S24" s="39">
        <f ca="1">[1]!b_calc_duration(C24,H24,Q24,"",,,,"",)</f>
        <v>16.040731592259316</v>
      </c>
      <c r="T24" s="39">
        <f ca="1">[1]!b_calc_mduration(C24,H24,Q24,"",,,,"",)</f>
        <v>15.573525817727491</v>
      </c>
      <c r="U24" s="39">
        <f ca="1">[1]!b_calc_conv(C24,H24,Q24,"",,,,"",)</f>
        <v>324.32707430235382</v>
      </c>
      <c r="V24" s="39">
        <f ca="1">[1]!b_calc_pvbp(C24,H24,Q24,"",,,,"",)</f>
        <v>0.18933714715576855</v>
      </c>
      <c r="W24" s="39">
        <f t="shared" ca="1" si="2"/>
        <v>7278868.4347826084</v>
      </c>
      <c r="X24" s="19"/>
      <c r="Y24" s="20"/>
    </row>
    <row r="25" spans="1:25" ht="20.25" x14ac:dyDescent="0.3">
      <c r="A25" s="20"/>
      <c r="C25" s="24" t="s">
        <v>22</v>
      </c>
      <c r="D25" s="25" t="str">
        <f>[1]!b_info_name(C25)</f>
        <v>18附息国债24</v>
      </c>
      <c r="E25" s="25"/>
      <c r="F25" s="26">
        <f ca="1">[1]!TDaysOffset(H25,"TradingCalendar=NIB","Offset=-1")</f>
        <v>45425</v>
      </c>
      <c r="G25" s="5"/>
      <c r="H25" s="27">
        <f t="shared" ca="1" si="0"/>
        <v>45426</v>
      </c>
      <c r="I25" s="28" t="s">
        <v>49</v>
      </c>
      <c r="J25" s="30">
        <v>3</v>
      </c>
      <c r="K25" s="30">
        <v>600</v>
      </c>
      <c r="L25" s="5"/>
      <c r="M25" s="31" t="str">
        <f ca="1">[1]!b_info_termnote1(C25,H25)</f>
        <v>24.4399</v>
      </c>
      <c r="N25" s="31">
        <f ca="1">[1]!b_calc_pv(C25,H25,Q25,"1",1)</f>
        <v>118.61063154567383</v>
      </c>
      <c r="O25" s="31">
        <f ca="1">[1]!b_calc_pv(C25,H25,Q25,"1",2)</f>
        <v>118.85587744731318</v>
      </c>
      <c r="P25" s="31">
        <f ca="1">[1]!b_calc_accrued(C25,H25,"",,,,"",)</f>
        <v>0.24524590163934429</v>
      </c>
      <c r="Q25" s="31">
        <f>IF(I25="净价",[1]!b_calc_ytm(C25,H25,J25,1,"1"),IF(I25="全价",[1]!b_calc_ytm(C25,H25,J25,2,"1"),IF(I25="到期收益率",J25,[1]!b_calc_ytm(C25,H25,[1]!b_calc_pv(C25,H25,J25,"2",2),2,"1"))))</f>
        <v>3</v>
      </c>
      <c r="R25" s="31">
        <f ca="1">IF(I25="净价",[1]!b_calc_ytm(C25,H25,J25,1,"2"),IF(I25="全价",[1]!b_calc_ytm(C25,H25,J25,2,"2"),IF(I25="行权收益率",J25,[1]!b_calc_ytm(C25,H25,[1]!b_calc_pv(C25,H25,J25,"1",2),2,"2"))))</f>
        <v>0</v>
      </c>
      <c r="S25" s="31">
        <f ca="1">[1]!b_calc_duration(C25,H25,Q25,"",,,,"",)</f>
        <v>16.465774562054971</v>
      </c>
      <c r="T25" s="31">
        <f ca="1">[1]!b_calc_mduration(C25,H25,Q25,"",,,,"",)</f>
        <v>15.986188895199001</v>
      </c>
      <c r="U25" s="31">
        <f ca="1">[1]!b_calc_conv(C25,H25,Q25,"",,,,"",)</f>
        <v>340.77282483098929</v>
      </c>
      <c r="V25" s="31">
        <f ca="1">[1]!b_calc_pvbp(C25,H25,Q25,"",,,,"",)</f>
        <v>0.19042316713466789</v>
      </c>
      <c r="W25" s="31">
        <f t="shared" ca="1" si="2"/>
        <v>7131350.7540983614</v>
      </c>
      <c r="X25" s="19"/>
      <c r="Y25" s="20"/>
    </row>
    <row r="26" spans="1:25" ht="20.25" x14ac:dyDescent="0.3">
      <c r="A26" s="20"/>
      <c r="C26" s="32" t="s">
        <v>23</v>
      </c>
      <c r="D26" s="33" t="str">
        <f>[1]!b_info_name(C26)</f>
        <v>18附息国债17</v>
      </c>
      <c r="E26" s="34"/>
      <c r="F26" s="35">
        <f ca="1">[1]!TDaysOffset(H26,"TradingCalendar=NIB","Offset=-1")</f>
        <v>45425</v>
      </c>
      <c r="G26" s="5"/>
      <c r="H26" s="37">
        <f t="shared" ca="1" si="0"/>
        <v>45426</v>
      </c>
      <c r="I26" s="28" t="s">
        <v>49</v>
      </c>
      <c r="J26" s="30">
        <v>3</v>
      </c>
      <c r="K26" s="38">
        <v>600</v>
      </c>
      <c r="L26" s="5"/>
      <c r="M26" s="39" t="str">
        <f ca="1">[1]!b_info_termnote1(C26,H26)</f>
        <v>24.1913</v>
      </c>
      <c r="N26" s="39">
        <f ca="1">[1]!b_calc_pv(C26,H26,Q26,"1",1)</f>
        <v>116.59748700959405</v>
      </c>
      <c r="O26" s="39">
        <f ca="1">[1]!b_calc_pv(C26,H26,Q26,"1",2)</f>
        <v>117.81902547113251</v>
      </c>
      <c r="P26" s="39">
        <f ca="1">[1]!b_calc_accrued(C26,H26,"",,,,"",)</f>
        <v>1.2215384615384617</v>
      </c>
      <c r="Q26" s="39">
        <f>IF(I26="净价",[1]!b_calc_ytm(C26,H26,J26,1,"1"),IF(I26="全价",[1]!b_calc_ytm(C26,H26,J26,2,"1"),IF(I26="到期收益率",J26,[1]!b_calc_ytm(C26,H26,[1]!b_calc_pv(C26,H26,J26,"2",2),2,"1"))))</f>
        <v>3</v>
      </c>
      <c r="R26" s="39">
        <f ca="1">IF(I26="净价",[1]!b_calc_ytm(C26,H26,J26,1,"2"),IF(I26="全价",[1]!b_calc_ytm(C26,H26,J26,2,"2"),IF(I26="行权收益率",J26,[1]!b_calc_ytm(C26,H26,[1]!b_calc_pv(C26,H26,J26,"1",2),2,"2"))))</f>
        <v>0</v>
      </c>
      <c r="S26" s="39">
        <f ca="1">[1]!b_calc_duration(C26,H26,Q26,"",,,,"",)</f>
        <v>16.30719721160068</v>
      </c>
      <c r="T26" s="39">
        <f ca="1">[1]!b_calc_mduration(C26,H26,Q26,"",,,,"",)</f>
        <v>15.832230302524932</v>
      </c>
      <c r="U26" s="39">
        <f ca="1">[1]!b_calc_conv(C26,H26,Q26,"",,,,"",)</f>
        <v>335.58273704165833</v>
      </c>
      <c r="V26" s="39">
        <f ca="1">[1]!b_calc_pvbp(C26,H26,Q26,"",,,,"",)</f>
        <v>0.18694024849648372</v>
      </c>
      <c r="W26" s="39">
        <f t="shared" ca="1" si="2"/>
        <v>7069142.307692308</v>
      </c>
      <c r="X26" s="19"/>
      <c r="Y26" s="20"/>
    </row>
    <row r="27" spans="1:25" ht="20.25" x14ac:dyDescent="0.3">
      <c r="A27" s="20"/>
      <c r="C27" s="24" t="s">
        <v>24</v>
      </c>
      <c r="D27" s="25" t="str">
        <f>[1]!b_info_name(C27)</f>
        <v>23国债23</v>
      </c>
      <c r="E27" s="25"/>
      <c r="F27" s="26">
        <f ca="1">[1]!TDaysOffset(H27,"TradingCalendar=NIB","Offset=-1")</f>
        <v>45425</v>
      </c>
      <c r="G27" s="5"/>
      <c r="H27" s="27">
        <f t="shared" ca="1" si="0"/>
        <v>45426</v>
      </c>
      <c r="I27" s="28" t="s">
        <v>49</v>
      </c>
      <c r="J27" s="30">
        <v>3</v>
      </c>
      <c r="K27" s="30">
        <v>600</v>
      </c>
      <c r="L27" s="5"/>
      <c r="M27" s="31" t="str">
        <f ca="1">[1]!b_info_termnote1(C27,H27)</f>
        <v>29.4208</v>
      </c>
      <c r="N27" s="31">
        <f ca="1">[1]!b_calc_pv(C27,H27,Q27,"1",1)</f>
        <v>99.989642975250661</v>
      </c>
      <c r="O27" s="31">
        <f ca="1">[1]!b_calc_pv(C27,H27,Q27,"1",2)</f>
        <v>100.23621831771641</v>
      </c>
      <c r="P27" s="31">
        <f ca="1">[1]!b_calc_accrued(C27,H27,"",,,,"",)</f>
        <v>0.24657534246575341</v>
      </c>
      <c r="Q27" s="31">
        <f>IF(I27="净价",[1]!b_calc_ytm(C27,H27,J27,1,"1"),IF(I27="全价",[1]!b_calc_ytm(C27,H27,J27,2,"1"),IF(I27="到期收益率",J27,[1]!b_calc_ytm(C27,H27,[1]!b_calc_pv(C27,H27,J27,"2",2),2,"1"))))</f>
        <v>3</v>
      </c>
      <c r="R27" s="31">
        <f ca="1">IF(I27="净价",[1]!b_calc_ytm(C27,H27,J27,1,"2"),IF(I27="全价",[1]!b_calc_ytm(C27,H27,J27,2,"2"),IF(I27="行权收益率",J27,[1]!b_calc_ytm(C27,H27,[1]!b_calc_pv(C27,H27,J27,"1",2),2,"2"))))</f>
        <v>0</v>
      </c>
      <c r="S27" s="31">
        <f ca="1">[1]!b_calc_duration(C27,H27,Q27,"",,,,"",)</f>
        <v>19.733032432555589</v>
      </c>
      <c r="T27" s="31">
        <f ca="1">[1]!b_calc_mduration(C27,H27,Q27,"",,,,"",)</f>
        <v>19.158283915102512</v>
      </c>
      <c r="U27" s="31">
        <f ca="1">[1]!b_calc_conv(C27,H27,Q27,"",,,,"",)</f>
        <v>489.36446496990374</v>
      </c>
      <c r="V27" s="31">
        <f ca="1">[1]!b_calc_pvbp(C27,H27,Q27,"",,,,"",)</f>
        <v>0.19254360237086132</v>
      </c>
      <c r="W27" s="31">
        <f t="shared" ca="1" si="2"/>
        <v>6014170.5205479451</v>
      </c>
      <c r="X27" s="19"/>
      <c r="Y27" s="20"/>
    </row>
    <row r="28" spans="1:25" ht="20.25" x14ac:dyDescent="0.3">
      <c r="A28" s="20"/>
      <c r="C28" s="32" t="s">
        <v>25</v>
      </c>
      <c r="D28" s="33" t="str">
        <f>[1]!b_info_name(C28)</f>
        <v>17国债15</v>
      </c>
      <c r="E28" s="34"/>
      <c r="F28" s="35">
        <f ca="1">[1]!TDaysOffset(H28,"TradingCalendar=NIB","Offset=-1")</f>
        <v>45425</v>
      </c>
      <c r="G28" s="5"/>
      <c r="H28" s="37">
        <f t="shared" ca="1" si="0"/>
        <v>45426</v>
      </c>
      <c r="I28" s="28" t="s">
        <v>49</v>
      </c>
      <c r="J28" s="30">
        <v>3</v>
      </c>
      <c r="K28" s="38">
        <v>600</v>
      </c>
      <c r="L28" s="5"/>
      <c r="M28" s="39" t="str">
        <f ca="1">[1]!b_info_termnote1(C28,H28)</f>
        <v>23.1940</v>
      </c>
      <c r="N28" s="39">
        <f ca="1">[1]!b_calc_pv(C28,H28,Q28,"1",1)</f>
        <v>117.45664275016867</v>
      </c>
      <c r="O28" s="39">
        <f ca="1">[1]!b_calc_pv(C28,H28,Q28,"1",2)</f>
        <v>118.68828658578511</v>
      </c>
      <c r="P28" s="39">
        <f ca="1">[1]!b_calc_accrued(C28,H28,"",,,,"",)</f>
        <v>1.2316438356164383</v>
      </c>
      <c r="Q28" s="39">
        <f>IF(I28="净价",[1]!b_calc_ytm(C28,H28,J28,1,"1"),IF(I28="全价",[1]!b_calc_ytm(C28,H28,J28,2,"1"),IF(I28="到期收益率",J28,[1]!b_calc_ytm(C28,H28,[1]!b_calc_pv(C28,H28,J28,"2",2),2,"1"))))</f>
        <v>3</v>
      </c>
      <c r="R28" s="39">
        <f ca="1">IF(I28="净价",[1]!b_calc_ytm(C28,H28,J28,1,"2"),IF(I28="全价",[1]!b_calc_ytm(C28,H28,J28,2,"2"),IF(I28="行权收益率",J28,[1]!b_calc_ytm(C28,H28,[1]!b_calc_pv(C28,H28,J28,"1",2),2,"2"))))</f>
        <v>0</v>
      </c>
      <c r="S28" s="39">
        <f ca="1">[1]!b_calc_duration(C28,H28,Q28,"",,,,"",)</f>
        <v>15.789890563194428</v>
      </c>
      <c r="T28" s="39">
        <f ca="1">[1]!b_calc_mduration(C28,H28,Q28,"",,,,"",)</f>
        <v>15.329990838052842</v>
      </c>
      <c r="U28" s="39">
        <f ca="1">[1]!b_calc_conv(C28,H28,Q28,"",,,,"",)</f>
        <v>313.36029419292419</v>
      </c>
      <c r="V28" s="39">
        <f ca="1">[1]!b_calc_pvbp(C28,H28,Q28,"",,,,"",)</f>
        <v>0.18233848932442243</v>
      </c>
      <c r="W28" s="39">
        <f t="shared" ca="1" si="2"/>
        <v>7121294.6301369853</v>
      </c>
      <c r="X28" s="19"/>
      <c r="Y28" s="20"/>
    </row>
    <row r="29" spans="1:25" ht="20.25" x14ac:dyDescent="0.3">
      <c r="A29" s="20"/>
      <c r="C29" s="24" t="s">
        <v>26</v>
      </c>
      <c r="D29" s="25" t="str">
        <f>[1]!b_info_name(C29)</f>
        <v>21国债14</v>
      </c>
      <c r="E29" s="25"/>
      <c r="F29" s="26">
        <f ca="1">[1]!TDaysOffset(H29,"TradingCalendar=NIB","Offset=-1")</f>
        <v>45425</v>
      </c>
      <c r="G29" s="5"/>
      <c r="H29" s="27">
        <f t="shared" ca="1" si="0"/>
        <v>45426</v>
      </c>
      <c r="I29" s="28" t="s">
        <v>49</v>
      </c>
      <c r="J29" s="30">
        <v>3</v>
      </c>
      <c r="K29" s="30">
        <v>600</v>
      </c>
      <c r="L29" s="5"/>
      <c r="M29" s="31" t="str">
        <f ca="1">[1]!b_info_termnote1(C29,H29)</f>
        <v>27.4290</v>
      </c>
      <c r="N29" s="31">
        <f ca="1">[1]!b_calc_pv(C29,H29,Q29,"1",1)</f>
        <v>109.84848652326539</v>
      </c>
      <c r="O29" s="31">
        <f ca="1">[1]!b_calc_pv(C29,H29,Q29,"1",2)</f>
        <v>110.10960981093663</v>
      </c>
      <c r="P29" s="31">
        <f ca="1">[1]!b_calc_accrued(C29,H29,"",,,,"",)</f>
        <v>0.26112328767123283</v>
      </c>
      <c r="Q29" s="31">
        <f>IF(I29="净价",[1]!b_calc_ytm(C29,H29,J29,1,"1"),IF(I29="全价",[1]!b_calc_ytm(C29,H29,J29,2,"1"),IF(I29="到期收益率",J29,[1]!b_calc_ytm(C29,H29,[1]!b_calc_pv(C29,H29,J29,"2",2),2,"1"))))</f>
        <v>3</v>
      </c>
      <c r="R29" s="31">
        <f ca="1">IF(I29="净价",[1]!b_calc_ytm(C29,H29,J29,1,"2"),IF(I29="全价",[1]!b_calc_ytm(C29,H29,J29,2,"2"),IF(I29="行权收益率",J29,[1]!b_calc_ytm(C29,H29,[1]!b_calc_pv(C29,H29,J29,"1",2),2,"2"))))</f>
        <v>0</v>
      </c>
      <c r="S29" s="31">
        <f ca="1">[1]!b_calc_duration(C29,H29,Q29,"",,,,"",)</f>
        <v>18.265774421230546</v>
      </c>
      <c r="T29" s="31">
        <f ca="1">[1]!b_calc_mduration(C29,H29,Q29,"",,,,"",)</f>
        <v>17.733761574010238</v>
      </c>
      <c r="U29" s="31">
        <f ca="1">[1]!b_calc_conv(C29,H29,Q29,"",,,,"",)</f>
        <v>421.05980100449716</v>
      </c>
      <c r="V29" s="31">
        <f ca="1">[1]!b_calc_pvbp(C29,H29,Q29,"",,,,"",)</f>
        <v>0.19574643742102182</v>
      </c>
      <c r="W29" s="31">
        <f t="shared" ca="1" si="2"/>
        <v>6606577.3972602747</v>
      </c>
      <c r="X29" s="19"/>
      <c r="Y29" s="20"/>
    </row>
    <row r="30" spans="1:25" ht="20.25" x14ac:dyDescent="0.3">
      <c r="A30" s="20"/>
      <c r="C30" s="32" t="s">
        <v>27</v>
      </c>
      <c r="D30" s="33" t="str">
        <f>[1]!b_info_name(C30)</f>
        <v>16附息国债08</v>
      </c>
      <c r="E30" s="34"/>
      <c r="F30" s="35">
        <f ca="1">[1]!TDaysOffset(H30,"TradingCalendar=NIB","Offset=-1")</f>
        <v>45425</v>
      </c>
      <c r="G30" s="5"/>
      <c r="H30" s="37">
        <f t="shared" ca="1" si="0"/>
        <v>45426</v>
      </c>
      <c r="I30" s="28" t="s">
        <v>49</v>
      </c>
      <c r="J30" s="30">
        <v>3</v>
      </c>
      <c r="K30" s="38">
        <v>600</v>
      </c>
      <c r="L30" s="5"/>
      <c r="M30" s="39" t="str">
        <f ca="1">[1]!b_info_termnote1(C30,H30)</f>
        <v>21.9479</v>
      </c>
      <c r="N30" s="39">
        <f ca="1">[1]!b_calc_pv(C30,H30,Q30,"1",1)</f>
        <v>108.31541774400503</v>
      </c>
      <c r="O30" s="39">
        <f ca="1">[1]!b_calc_pv(C30,H30,Q30,"1",2)</f>
        <v>108.49814998444219</v>
      </c>
      <c r="P30" s="39">
        <f ca="1">[1]!b_calc_accrued(C30,H30,"",,,,"",)</f>
        <v>0.18273224043715847</v>
      </c>
      <c r="Q30" s="39">
        <f>IF(I30="净价",[1]!b_calc_ytm(C30,H30,J30,1,"1"),IF(I30="全价",[1]!b_calc_ytm(C30,H30,J30,2,"1"),IF(I30="到期收益率",J30,[1]!b_calc_ytm(C30,H30,[1]!b_calc_pv(C30,H30,J30,"2",2),2,"1"))))</f>
        <v>3</v>
      </c>
      <c r="R30" s="39">
        <f ca="1">IF(I30="净价",[1]!b_calc_ytm(C30,H30,J30,1,"2"),IF(I30="全价",[1]!b_calc_ytm(C30,H30,J30,2,"2"),IF(I30="行权收益率",J30,[1]!b_calc_ytm(C30,H30,[1]!b_calc_pv(C30,H30,J30,"1",2),2,"2"))))</f>
        <v>0</v>
      </c>
      <c r="S30" s="39">
        <f ca="1">[1]!b_calc_duration(C30,H30,Q30,"",,,,"",)</f>
        <v>15.752704893893769</v>
      </c>
      <c r="T30" s="39">
        <f ca="1">[1]!b_calc_mduration(C30,H30,Q30,"",,,,"",)</f>
        <v>15.293888246498804</v>
      </c>
      <c r="U30" s="39">
        <f ca="1">[1]!b_calc_conv(C30,H30,Q30,"",,,,"",)</f>
        <v>302.62386268551109</v>
      </c>
      <c r="V30" s="39">
        <f ca="1">[1]!b_calc_pvbp(C30,H30,Q30,"",,,,"",)</f>
        <v>0.16629511099418437</v>
      </c>
      <c r="W30" s="39">
        <f t="shared" ca="1" si="2"/>
        <v>6509887.9344262294</v>
      </c>
      <c r="X30" s="19"/>
      <c r="Y30" s="20"/>
    </row>
    <row r="31" spans="1:25" ht="20.25" x14ac:dyDescent="0.3">
      <c r="A31" s="20"/>
      <c r="C31" s="24" t="s">
        <v>28</v>
      </c>
      <c r="D31" s="25" t="str">
        <f>[1]!b_info_name(C31)</f>
        <v>16国债19</v>
      </c>
      <c r="E31" s="25"/>
      <c r="F31" s="26">
        <f ca="1">[1]!TDaysOffset(H31,"TradingCalendar=NIB","Offset=-1")</f>
        <v>45425</v>
      </c>
      <c r="G31" s="5"/>
      <c r="H31" s="27">
        <f t="shared" ca="1" si="0"/>
        <v>45426</v>
      </c>
      <c r="I31" s="28" t="s">
        <v>49</v>
      </c>
      <c r="J31" s="30">
        <v>3</v>
      </c>
      <c r="K31" s="30">
        <v>600</v>
      </c>
      <c r="L31" s="5"/>
      <c r="M31" s="31" t="str">
        <f ca="1">[1]!b_info_termnote1(C31,H31)</f>
        <v>22.2732</v>
      </c>
      <c r="N31" s="31">
        <f ca="1">[1]!b_calc_pv(C31,H31,Q31,"1",1)</f>
        <v>104.36257402711173</v>
      </c>
      <c r="O31" s="31">
        <f ca="1">[1]!b_calc_pv(C31,H31,Q31,"1",2)</f>
        <v>105.09720416409803</v>
      </c>
      <c r="P31" s="31">
        <f ca="1">[1]!b_calc_accrued(C31,H31,"",,,,"",)</f>
        <v>0.73463013698630131</v>
      </c>
      <c r="Q31" s="31">
        <f>IF(I31="净价",[1]!b_calc_ytm(C31,H31,J31,1,"1"),IF(I31="全价",[1]!b_calc_ytm(C31,H31,J31,2,"1"),IF(I31="到期收益率",J31,[1]!b_calc_ytm(C31,H31,[1]!b_calc_pv(C31,H31,J31,"2",2),2,"1"))))</f>
        <v>3</v>
      </c>
      <c r="R31" s="31">
        <f ca="1">IF(I31="净价",[1]!b_calc_ytm(C31,H31,J31,1,"2"),IF(I31="全价",[1]!b_calc_ytm(C31,H31,J31,2,"2"),IF(I31="行权收益率",J31,[1]!b_calc_ytm(C31,H31,[1]!b_calc_pv(C31,H31,J31,"1",2),2,"2"))))</f>
        <v>0</v>
      </c>
      <c r="S31" s="31">
        <f ca="1">[1]!b_calc_duration(C31,H31,Q31,"",,,,"",)</f>
        <v>16.052854044877112</v>
      </c>
      <c r="T31" s="31">
        <f ca="1">[1]!b_calc_mduration(C31,H31,Q31,"",,,,"",)</f>
        <v>15.585295189201078</v>
      </c>
      <c r="U31" s="31">
        <f ca="1">[1]!b_calc_conv(C31,H31,Q31,"",,,,"",)</f>
        <v>314.18253519086022</v>
      </c>
      <c r="V31" s="31">
        <f ca="1">[1]!b_calc_pvbp(C31,H31,Q31,"",,,,"",)</f>
        <v>0.16415919126615108</v>
      </c>
      <c r="W31" s="31">
        <f t="shared" ref="W31:W34" ca="1" si="3">(ROUND(N31,4)+P31)*K31*100</f>
        <v>6305833.8082191786</v>
      </c>
      <c r="X31" s="19"/>
      <c r="Y31" s="20"/>
    </row>
    <row r="32" spans="1:25" ht="20.25" x14ac:dyDescent="0.3">
      <c r="A32" s="20"/>
      <c r="C32" s="32" t="s">
        <v>29</v>
      </c>
      <c r="D32" s="33" t="str">
        <f>[1]!b_info_name(C32)</f>
        <v>23附息国债09</v>
      </c>
      <c r="E32" s="34"/>
      <c r="F32" s="35">
        <f ca="1">[1]!TDaysOffset(H32,"TradingCalendar=NIB","Offset=-1")</f>
        <v>45425</v>
      </c>
      <c r="G32" s="5"/>
      <c r="H32" s="37">
        <f t="shared" ca="1" si="0"/>
        <v>45426</v>
      </c>
      <c r="I32" s="28" t="s">
        <v>49</v>
      </c>
      <c r="J32" s="30">
        <v>3</v>
      </c>
      <c r="K32" s="38">
        <v>600</v>
      </c>
      <c r="L32" s="5"/>
      <c r="M32" s="39" t="str">
        <f ca="1">[1]!b_info_termnote1(C32,H32)</f>
        <v>28.9205</v>
      </c>
      <c r="N32" s="39">
        <f ca="1">[1]!b_calc_pv(C32,H32,Q32,"1",1)</f>
        <v>103.65488696655245</v>
      </c>
      <c r="O32" s="39">
        <f ca="1">[1]!b_calc_pv(C32,H32,Q32,"1",2)</f>
        <v>103.90764652939399</v>
      </c>
      <c r="P32" s="39">
        <f ca="1">[1]!b_calc_accrued(C32,H32,"",,,,"",)</f>
        <v>0.25275956284153006</v>
      </c>
      <c r="Q32" s="39">
        <f>IF(I32="净价",[1]!b_calc_ytm(C32,H32,J32,1,"1"),IF(I32="全价",[1]!b_calc_ytm(C32,H32,J32,2,"1"),IF(I32="到期收益率",J32,[1]!b_calc_ytm(C32,H32,[1]!b_calc_pv(C32,H32,J32,"2",2),2,"1"))))</f>
        <v>3</v>
      </c>
      <c r="R32" s="39">
        <f ca="1">IF(I32="净价",[1]!b_calc_ytm(C32,H32,J32,1,"2"),IF(I32="全价",[1]!b_calc_ytm(C32,H32,J32,2,"2"),IF(I32="行权收益率",J32,[1]!b_calc_ytm(C32,H32,[1]!b_calc_pv(C32,H32,J32,"1",2),2,"2"))))</f>
        <v>0</v>
      </c>
      <c r="S32" s="39">
        <f ca="1">[1]!b_calc_duration(C32,H32,Q32,"",,,,"",)</f>
        <v>19.277831134965741</v>
      </c>
      <c r="T32" s="39">
        <f ca="1">[1]!b_calc_mduration(C32,H32,Q32,"",,,,"",)</f>
        <v>18.716340907733727</v>
      </c>
      <c r="U32" s="39">
        <f ca="1">[1]!b_calc_conv(C32,H32,Q32,"",,,,"",)</f>
        <v>468.57663663098771</v>
      </c>
      <c r="V32" s="39">
        <f ca="1">[1]!b_calc_pvbp(C32,H32,Q32,"",,,,"",)</f>
        <v>0.19498160494853778</v>
      </c>
      <c r="W32" s="39">
        <f t="shared" ca="1" si="3"/>
        <v>6234459.5737704923</v>
      </c>
      <c r="X32" s="19"/>
      <c r="Y32" s="20"/>
    </row>
    <row r="33" spans="1:25" ht="20.25" x14ac:dyDescent="0.3">
      <c r="A33" s="20"/>
      <c r="C33" s="24" t="s">
        <v>30</v>
      </c>
      <c r="D33" s="25" t="str">
        <f>[1]!b_info_name(C33)</f>
        <v>16国债08</v>
      </c>
      <c r="E33" s="25"/>
      <c r="F33" s="26">
        <f ca="1">[1]!TDaysOffset(H33,"TradingCalendar=NIB","Offset=-1")</f>
        <v>45425</v>
      </c>
      <c r="G33" s="5"/>
      <c r="H33" s="27">
        <f t="shared" ca="1" si="0"/>
        <v>45426</v>
      </c>
      <c r="I33" s="28" t="s">
        <v>49</v>
      </c>
      <c r="J33" s="30">
        <v>3</v>
      </c>
      <c r="K33" s="30">
        <v>600</v>
      </c>
      <c r="L33" s="5"/>
      <c r="M33" s="31" t="str">
        <f ca="1">[1]!b_info_termnote1(C33,H33)</f>
        <v>21.9479</v>
      </c>
      <c r="N33" s="31">
        <f ca="1">[1]!b_calc_pv(C33,H33,Q33,"1",1)</f>
        <v>108.30527327211342</v>
      </c>
      <c r="O33" s="31">
        <f ca="1">[1]!b_calc_pv(C33,H33,Q33,"1",2)</f>
        <v>108.49814998444219</v>
      </c>
      <c r="P33" s="31">
        <f ca="1">[1]!b_calc_accrued(C33,H33,"",,,,"",)</f>
        <v>0.19287671232876713</v>
      </c>
      <c r="Q33" s="31">
        <f>IF(I33="净价",[1]!b_calc_ytm(C33,H33,J33,1,"1"),IF(I33="全价",[1]!b_calc_ytm(C33,H33,J33,2,"1"),IF(I33="到期收益率",J33,[1]!b_calc_ytm(C33,H33,[1]!b_calc_pv(C33,H33,J33,"2",2),2,"1"))))</f>
        <v>3</v>
      </c>
      <c r="R33" s="31">
        <f ca="1">IF(I33="净价",[1]!b_calc_ytm(C33,H33,J33,1,"2"),IF(I33="全价",[1]!b_calc_ytm(C33,H33,J33,2,"2"),IF(I33="行权收益率",J33,[1]!b_calc_ytm(C33,H33,[1]!b_calc_pv(C33,H33,J33,"1",2),2,"2"))))</f>
        <v>0</v>
      </c>
      <c r="S33" s="31">
        <f ca="1">[1]!b_calc_duration(C33,H33,Q33,"",,,,"",)</f>
        <v>15.752704893893769</v>
      </c>
      <c r="T33" s="31">
        <f ca="1">[1]!b_calc_mduration(C33,H33,Q33,"",,,,"",)</f>
        <v>15.293888246498804</v>
      </c>
      <c r="U33" s="31">
        <f ca="1">[1]!b_calc_conv(C33,H33,Q33,"",,,,"",)</f>
        <v>302.62386268551109</v>
      </c>
      <c r="V33" s="31">
        <f ca="1">[1]!b_calc_pvbp(C33,H33,Q33,"",,,,"",)</f>
        <v>0.16629511099418437</v>
      </c>
      <c r="W33" s="31">
        <f t="shared" ca="1" si="3"/>
        <v>6509890.6027397262</v>
      </c>
      <c r="X33" s="19"/>
      <c r="Y33" s="20"/>
    </row>
    <row r="34" spans="1:25" ht="20.25" x14ac:dyDescent="0.3">
      <c r="A34" s="20"/>
      <c r="C34" s="32" t="s">
        <v>31</v>
      </c>
      <c r="D34" s="33" t="str">
        <f>[1]!b_info_name(C34)</f>
        <v>国债1619</v>
      </c>
      <c r="E34" s="34"/>
      <c r="F34" s="35">
        <f ca="1">[1]!TDaysOffset(H34,"TradingCalendar=NIB","Offset=-1")</f>
        <v>45425</v>
      </c>
      <c r="G34" s="5"/>
      <c r="H34" s="37">
        <f t="shared" ca="1" si="0"/>
        <v>45426</v>
      </c>
      <c r="I34" s="28" t="s">
        <v>49</v>
      </c>
      <c r="J34" s="30">
        <v>3</v>
      </c>
      <c r="K34" s="38">
        <v>600</v>
      </c>
      <c r="L34" s="5"/>
      <c r="M34" s="39" t="str">
        <f ca="1">[1]!b_info_termnote1(C34,H34)</f>
        <v>22.2732</v>
      </c>
      <c r="N34" s="39">
        <f ca="1">[1]!b_calc_pv(C34,H34,Q34,"1",1)</f>
        <v>104.36257402711173</v>
      </c>
      <c r="O34" s="39">
        <f ca="1">[1]!b_calc_pv(C34,H34,Q34,"1",2)</f>
        <v>105.09720416409803</v>
      </c>
      <c r="P34" s="39">
        <f ca="1">[1]!b_calc_accrued(C34,H34,"",,,,"",)</f>
        <v>0.73463013698630131</v>
      </c>
      <c r="Q34" s="39">
        <f>IF(I34="净价",[1]!b_calc_ytm(C34,H34,J34,1,"1"),IF(I34="全价",[1]!b_calc_ytm(C34,H34,J34,2,"1"),IF(I34="到期收益率",J34,[1]!b_calc_ytm(C34,H34,[1]!b_calc_pv(C34,H34,J34,"2",2),2,"1"))))</f>
        <v>3</v>
      </c>
      <c r="R34" s="39">
        <f ca="1">IF(I34="净价",[1]!b_calc_ytm(C34,H34,J34,1,"2"),IF(I34="全价",[1]!b_calc_ytm(C34,H34,J34,2,"2"),IF(I34="行权收益率",J34,[1]!b_calc_ytm(C34,H34,[1]!b_calc_pv(C34,H34,J34,"1",2),2,"2"))))</f>
        <v>0</v>
      </c>
      <c r="S34" s="39">
        <f ca="1">[1]!b_calc_duration(C34,H34,Q34,"",,,,"",)</f>
        <v>16.052854044877112</v>
      </c>
      <c r="T34" s="39">
        <f ca="1">[1]!b_calc_mduration(C34,H34,Q34,"",,,,"",)</f>
        <v>15.585295189201078</v>
      </c>
      <c r="U34" s="39">
        <f ca="1">[1]!b_calc_conv(C34,H34,Q34,"",,,,"",)</f>
        <v>314.18253519086022</v>
      </c>
      <c r="V34" s="39">
        <f ca="1">[1]!b_calc_pvbp(C34,H34,Q34,"",,,,"",)</f>
        <v>0.16415919126615108</v>
      </c>
      <c r="W34" s="39">
        <f t="shared" ca="1" si="3"/>
        <v>6305833.8082191786</v>
      </c>
      <c r="X34" s="19"/>
      <c r="Y34" s="20"/>
    </row>
    <row r="35" spans="1:25" ht="20.25" x14ac:dyDescent="0.3">
      <c r="A35" s="20"/>
      <c r="C35" s="24"/>
      <c r="D35" s="25"/>
      <c r="E35" s="25"/>
      <c r="F35" s="40"/>
      <c r="G35" s="5"/>
      <c r="H35" s="27"/>
      <c r="I35" s="28"/>
      <c r="J35" s="30"/>
      <c r="K35" s="30"/>
      <c r="L35" s="5"/>
      <c r="M35" s="31"/>
      <c r="N35" s="31"/>
      <c r="O35" s="31"/>
      <c r="P35" s="31"/>
      <c r="Q35" s="31"/>
      <c r="R35" s="31"/>
      <c r="S35" s="31"/>
      <c r="T35" s="31"/>
      <c r="U35" s="31"/>
      <c r="V35" s="31"/>
      <c r="W35" s="31"/>
      <c r="X35" s="19"/>
      <c r="Y35" s="20"/>
    </row>
    <row r="36" spans="1:25" ht="20.25" x14ac:dyDescent="0.3">
      <c r="A36" s="20"/>
      <c r="C36" s="32"/>
      <c r="D36" s="33"/>
      <c r="E36" s="34"/>
      <c r="F36" s="41"/>
      <c r="G36" s="5"/>
      <c r="H36" s="37"/>
      <c r="I36" s="42"/>
      <c r="J36" s="38"/>
      <c r="K36" s="38"/>
      <c r="L36" s="5"/>
      <c r="M36" s="39"/>
      <c r="N36" s="39"/>
      <c r="O36" s="39"/>
      <c r="P36" s="39"/>
      <c r="Q36" s="39"/>
      <c r="R36" s="39"/>
      <c r="S36" s="39"/>
      <c r="T36" s="39"/>
      <c r="U36" s="39"/>
      <c r="V36" s="39"/>
      <c r="W36" s="39"/>
      <c r="X36" s="19"/>
      <c r="Y36" s="20"/>
    </row>
    <row r="37" spans="1:25" ht="20.25" x14ac:dyDescent="0.3">
      <c r="A37" s="20"/>
      <c r="C37" s="24"/>
      <c r="D37" s="25"/>
      <c r="E37" s="25"/>
      <c r="F37" s="40"/>
      <c r="G37" s="5"/>
      <c r="H37" s="27"/>
      <c r="I37" s="28"/>
      <c r="J37" s="30"/>
      <c r="K37" s="30"/>
      <c r="L37" s="5"/>
      <c r="M37" s="31"/>
      <c r="N37" s="31"/>
      <c r="O37" s="31"/>
      <c r="P37" s="31"/>
      <c r="Q37" s="31"/>
      <c r="R37" s="31"/>
      <c r="S37" s="31"/>
      <c r="T37" s="31"/>
      <c r="U37" s="31"/>
      <c r="V37" s="31"/>
      <c r="W37" s="31"/>
      <c r="X37" s="19"/>
      <c r="Y37" s="20"/>
    </row>
    <row r="38" spans="1:25" ht="20.25" x14ac:dyDescent="0.3">
      <c r="A38" s="20"/>
      <c r="C38" s="32"/>
      <c r="D38" s="33"/>
      <c r="E38" s="34"/>
      <c r="F38" s="41"/>
      <c r="G38" s="5"/>
      <c r="H38" s="37"/>
      <c r="I38" s="42"/>
      <c r="J38" s="38"/>
      <c r="K38" s="38"/>
      <c r="L38" s="5"/>
      <c r="M38" s="39"/>
      <c r="N38" s="39"/>
      <c r="O38" s="39"/>
      <c r="P38" s="39"/>
      <c r="Q38" s="39"/>
      <c r="R38" s="39"/>
      <c r="S38" s="39"/>
      <c r="T38" s="39"/>
      <c r="U38" s="39"/>
      <c r="V38" s="39"/>
      <c r="W38" s="39"/>
      <c r="X38" s="19"/>
      <c r="Y38" s="20"/>
    </row>
    <row r="39" spans="1:25" ht="20.25" x14ac:dyDescent="0.3">
      <c r="A39" s="20"/>
      <c r="C39" s="24"/>
      <c r="D39" s="25"/>
      <c r="E39" s="25"/>
      <c r="F39" s="40"/>
      <c r="G39" s="5"/>
      <c r="H39" s="27"/>
      <c r="I39" s="28"/>
      <c r="J39" s="30"/>
      <c r="K39" s="30"/>
      <c r="L39" s="5"/>
      <c r="M39" s="43"/>
      <c r="N39" s="43"/>
      <c r="O39" s="43"/>
      <c r="P39" s="43"/>
      <c r="Q39" s="43"/>
      <c r="R39" s="43"/>
      <c r="S39" s="43"/>
      <c r="T39" s="43"/>
      <c r="U39" s="43"/>
      <c r="V39" s="43"/>
      <c r="W39" s="43"/>
      <c r="X39" s="19"/>
      <c r="Y39" s="20"/>
    </row>
    <row r="40" spans="1:25" ht="20.25" x14ac:dyDescent="0.3">
      <c r="A40" s="20"/>
      <c r="C40" s="32"/>
      <c r="D40" s="33"/>
      <c r="E40" s="34"/>
      <c r="F40" s="41"/>
      <c r="G40" s="5"/>
      <c r="H40" s="37"/>
      <c r="I40" s="42"/>
      <c r="J40" s="38"/>
      <c r="K40" s="38"/>
      <c r="L40" s="5"/>
      <c r="M40" s="39"/>
      <c r="N40" s="39"/>
      <c r="O40" s="39"/>
      <c r="P40" s="39"/>
      <c r="Q40" s="39"/>
      <c r="R40" s="39"/>
      <c r="S40" s="39"/>
      <c r="T40" s="39"/>
      <c r="U40" s="39"/>
      <c r="V40" s="39"/>
      <c r="W40" s="39"/>
      <c r="X40" s="19"/>
      <c r="Y40" s="20"/>
    </row>
    <row r="41" spans="1:25" ht="20.25" x14ac:dyDescent="0.3">
      <c r="A41" s="20"/>
      <c r="C41" s="24"/>
      <c r="D41" s="25"/>
      <c r="E41" s="25"/>
      <c r="F41" s="40"/>
      <c r="G41" s="5"/>
      <c r="H41" s="27"/>
      <c r="I41" s="28"/>
      <c r="J41" s="30"/>
      <c r="K41" s="30"/>
      <c r="L41" s="5"/>
      <c r="M41" s="43"/>
      <c r="N41" s="43"/>
      <c r="O41" s="43"/>
      <c r="P41" s="43"/>
      <c r="Q41" s="43"/>
      <c r="R41" s="43"/>
      <c r="S41" s="43"/>
      <c r="T41" s="43"/>
      <c r="U41" s="43"/>
      <c r="V41" s="43"/>
      <c r="W41" s="43"/>
      <c r="X41" s="19"/>
      <c r="Y41" s="20"/>
    </row>
    <row r="42" spans="1:25" ht="20.25" x14ac:dyDescent="0.3">
      <c r="A42" s="20"/>
      <c r="C42" s="32"/>
      <c r="D42" s="33"/>
      <c r="E42" s="34"/>
      <c r="F42" s="41"/>
      <c r="G42" s="5"/>
      <c r="H42" s="37"/>
      <c r="I42" s="42"/>
      <c r="J42" s="38"/>
      <c r="K42" s="38"/>
      <c r="L42" s="5"/>
      <c r="M42" s="39"/>
      <c r="N42" s="39"/>
      <c r="O42" s="39"/>
      <c r="P42" s="39"/>
      <c r="Q42" s="39"/>
      <c r="R42" s="39"/>
      <c r="S42" s="39"/>
      <c r="T42" s="39"/>
      <c r="U42" s="39"/>
      <c r="V42" s="39"/>
      <c r="W42" s="39"/>
      <c r="X42" s="19"/>
      <c r="Y42" s="20"/>
    </row>
    <row r="43" spans="1:25" ht="20.25" x14ac:dyDescent="0.3">
      <c r="A43" s="20"/>
      <c r="C43" s="24"/>
      <c r="D43" s="25"/>
      <c r="E43" s="25"/>
      <c r="F43" s="40"/>
      <c r="G43" s="5"/>
      <c r="H43" s="27"/>
      <c r="I43" s="28"/>
      <c r="J43" s="30"/>
      <c r="K43" s="30"/>
      <c r="L43" s="5"/>
      <c r="M43" s="43"/>
      <c r="N43" s="43"/>
      <c r="O43" s="43"/>
      <c r="P43" s="43"/>
      <c r="Q43" s="43"/>
      <c r="R43" s="43"/>
      <c r="S43" s="43"/>
      <c r="T43" s="43"/>
      <c r="U43" s="43"/>
      <c r="V43" s="43"/>
      <c r="W43" s="43"/>
      <c r="X43" s="19"/>
      <c r="Y43" s="20"/>
    </row>
    <row r="44" spans="1:25" ht="20.25" x14ac:dyDescent="0.3">
      <c r="A44" s="20"/>
      <c r="C44" s="32"/>
      <c r="D44" s="33"/>
      <c r="E44" s="34"/>
      <c r="F44" s="41"/>
      <c r="G44" s="5"/>
      <c r="H44" s="37"/>
      <c r="I44" s="42"/>
      <c r="J44" s="38"/>
      <c r="K44" s="38"/>
      <c r="L44" s="5"/>
      <c r="M44" s="39"/>
      <c r="N44" s="39"/>
      <c r="O44" s="39"/>
      <c r="P44" s="39"/>
      <c r="Q44" s="39"/>
      <c r="R44" s="39"/>
      <c r="S44" s="39"/>
      <c r="T44" s="39"/>
      <c r="U44" s="39"/>
      <c r="V44" s="39"/>
      <c r="W44" s="39"/>
      <c r="X44" s="19"/>
      <c r="Y44" s="20"/>
    </row>
    <row r="45" spans="1:25" ht="20.25" x14ac:dyDescent="0.3">
      <c r="A45" s="20"/>
      <c r="C45" s="24"/>
      <c r="D45" s="25"/>
      <c r="E45" s="25"/>
      <c r="F45" s="40"/>
      <c r="G45" s="5"/>
      <c r="H45" s="27"/>
      <c r="I45" s="28"/>
      <c r="J45" s="30"/>
      <c r="K45" s="30"/>
      <c r="L45" s="5"/>
      <c r="M45" s="43"/>
      <c r="N45" s="43"/>
      <c r="O45" s="43"/>
      <c r="P45" s="43"/>
      <c r="Q45" s="43"/>
      <c r="R45" s="43"/>
      <c r="S45" s="43"/>
      <c r="T45" s="43"/>
      <c r="U45" s="43"/>
      <c r="V45" s="43"/>
      <c r="W45" s="43"/>
      <c r="X45" s="19"/>
      <c r="Y45" s="20"/>
    </row>
    <row r="46" spans="1:25" ht="20.25" x14ac:dyDescent="0.3">
      <c r="A46" s="20"/>
      <c r="C46" s="32"/>
      <c r="D46" s="33"/>
      <c r="E46" s="34"/>
      <c r="F46" s="41"/>
      <c r="G46" s="5"/>
      <c r="H46" s="37"/>
      <c r="I46" s="42"/>
      <c r="J46" s="38"/>
      <c r="K46" s="38"/>
      <c r="L46" s="5"/>
      <c r="M46" s="39"/>
      <c r="N46" s="39"/>
      <c r="O46" s="39"/>
      <c r="P46" s="39"/>
      <c r="Q46" s="39"/>
      <c r="R46" s="39"/>
      <c r="S46" s="39"/>
      <c r="T46" s="39"/>
      <c r="U46" s="39"/>
      <c r="V46" s="39"/>
      <c r="W46" s="39"/>
      <c r="X46" s="19"/>
      <c r="Y46" s="20"/>
    </row>
    <row r="47" spans="1:25" ht="20.25" x14ac:dyDescent="0.25">
      <c r="C47" s="6"/>
      <c r="D47" s="7"/>
      <c r="E47" s="7"/>
      <c r="F47" s="8"/>
      <c r="G47" s="18"/>
      <c r="H47" s="9"/>
      <c r="I47" s="10"/>
      <c r="J47" s="11"/>
      <c r="K47" s="11"/>
      <c r="L47" s="12"/>
      <c r="M47" s="13"/>
      <c r="N47" s="14"/>
      <c r="O47" s="14"/>
      <c r="P47" s="15"/>
      <c r="Q47" s="16"/>
      <c r="R47" s="14"/>
      <c r="S47" s="16"/>
      <c r="T47" s="16"/>
      <c r="U47" s="16"/>
      <c r="V47" s="16"/>
      <c r="W47" s="17"/>
      <c r="X47" s="12"/>
    </row>
  </sheetData>
  <phoneticPr fontId="1" type="noConversion"/>
  <dataValidations count="1">
    <dataValidation type="list" allowBlank="1" showInputMessage="1" showErrorMessage="1" sqref="I5:I34">
      <formula1>"净价,全价,到期收益率,行权收益率"</formula1>
    </dataValidation>
  </dataValidations>
  <pageMargins left="0.7" right="0.7" top="0.75" bottom="0.75" header="0.3" footer="0.3"/>
  <pageSetup paperSize="9" orientation="portrait" r:id="rId1"/>
  <ignoredErrors>
    <ignoredError sqref="H5:H34" unlockedFormula="1"/>
  </ignoredError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"/>
  <sheetViews>
    <sheetView workbookViewId="0">
      <selection activeCell="A10" sqref="A10"/>
    </sheetView>
  </sheetViews>
  <sheetFormatPr defaultRowHeight="14.25" x14ac:dyDescent="0.2"/>
  <sheetData>
    <row r="1" spans="1:1" x14ac:dyDescent="0.2">
      <c r="A1" t="s">
        <v>1</v>
      </c>
    </row>
  </sheetData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BC1债券计算器</vt:lpstr>
    </vt:vector>
  </TitlesOfParts>
  <Company>P R 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 Yang(Lucine)</dc:creator>
  <cp:lastModifiedBy>Cui YongQiang</cp:lastModifiedBy>
  <dcterms:created xsi:type="dcterms:W3CDTF">2023-06-13T05:15:05Z</dcterms:created>
  <dcterms:modified xsi:type="dcterms:W3CDTF">2024-05-14T09:50:40Z</dcterms:modified>
</cp:coreProperties>
</file>