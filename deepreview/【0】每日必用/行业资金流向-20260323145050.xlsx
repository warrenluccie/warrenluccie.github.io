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 codeName="ThisWorkbook" hidePivotFieldList="1"/>
  <xr:revisionPtr revIDLastSave="0" documentId="13_ncr:1_{C44015C3-D255-4DCC-974A-A2FF973D7720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Wind模板" sheetId="3" state="veryHidden" r:id="rId1"/>
    <sheet name="行业资金流向" sheetId="4" r:id="rId2"/>
    <sheet name="资金流向数据" sheetId="2" r:id="rId3"/>
  </sheets>
  <externalReferences>
    <externalReference r:id="rId4"/>
  </externalReferences>
  <definedNames>
    <definedName name="主力净流入">IF(COUNT(资金流向数据!$I:$I) &gt; 0,OFFSET(资金流向数据!$I$6,0,0,COUNT(资金流向数据!$I:$I)),0)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2" l="1"/>
  <c r="W31" i="2"/>
  <c r="X31" i="2"/>
  <c r="V32" i="2"/>
  <c r="W32" i="2"/>
  <c r="X32" i="2"/>
  <c r="V33" i="2"/>
  <c r="W33" i="2"/>
  <c r="X33" i="2"/>
  <c r="V34" i="2"/>
  <c r="W34" i="2"/>
  <c r="X34" i="2"/>
  <c r="V35" i="2"/>
  <c r="W35" i="2"/>
  <c r="X35" i="2"/>
  <c r="V36" i="2"/>
  <c r="W36" i="2"/>
  <c r="X36" i="2"/>
  <c r="V37" i="2"/>
  <c r="W37" i="2"/>
  <c r="X37" i="2"/>
  <c r="V38" i="2"/>
  <c r="W38" i="2"/>
  <c r="X38" i="2"/>
  <c r="V39" i="2"/>
  <c r="W39" i="2"/>
  <c r="X39" i="2"/>
  <c r="V40" i="2"/>
  <c r="W40" i="2"/>
  <c r="X40" i="2"/>
  <c r="V41" i="2"/>
  <c r="W41" i="2"/>
  <c r="X41" i="2"/>
  <c r="V42" i="2"/>
  <c r="W42" i="2"/>
  <c r="X42" i="2"/>
  <c r="V43" i="2"/>
  <c r="W43" i="2"/>
  <c r="X43" i="2"/>
  <c r="V44" i="2"/>
  <c r="W44" i="2"/>
  <c r="X44" i="2"/>
  <c r="V45" i="2"/>
  <c r="W45" i="2"/>
  <c r="X45" i="2"/>
  <c r="V46" i="2"/>
  <c r="W46" i="2"/>
  <c r="X46" i="2"/>
  <c r="V47" i="2"/>
  <c r="W47" i="2"/>
  <c r="X47" i="2"/>
  <c r="V48" i="2"/>
  <c r="W48" i="2"/>
  <c r="X48" i="2"/>
  <c r="V49" i="2"/>
  <c r="W49" i="2"/>
  <c r="X49" i="2"/>
  <c r="V50" i="2"/>
  <c r="W50" i="2"/>
  <c r="X50" i="2"/>
  <c r="V51" i="2"/>
  <c r="W51" i="2"/>
  <c r="X51" i="2"/>
  <c r="V52" i="2"/>
  <c r="W52" i="2"/>
  <c r="X52" i="2"/>
  <c r="V53" i="2"/>
  <c r="W53" i="2"/>
  <c r="X53" i="2"/>
  <c r="V54" i="2"/>
  <c r="W54" i="2"/>
  <c r="X54" i="2"/>
  <c r="V55" i="2"/>
  <c r="W55" i="2"/>
  <c r="X55" i="2"/>
  <c r="V56" i="2"/>
  <c r="W56" i="2"/>
  <c r="X56" i="2"/>
  <c r="V57" i="2"/>
  <c r="W57" i="2"/>
  <c r="X57" i="2"/>
  <c r="V58" i="2"/>
  <c r="W58" i="2"/>
  <c r="X58" i="2"/>
  <c r="V59" i="2"/>
  <c r="W59" i="2"/>
  <c r="X59" i="2"/>
  <c r="V60" i="2"/>
  <c r="W60" i="2"/>
  <c r="X60" i="2"/>
  <c r="V61" i="2"/>
  <c r="W61" i="2"/>
  <c r="X61" i="2"/>
  <c r="V62" i="2"/>
  <c r="W62" i="2"/>
  <c r="X62" i="2"/>
  <c r="V63" i="2"/>
  <c r="W63" i="2"/>
  <c r="X63" i="2"/>
  <c r="V64" i="2"/>
  <c r="W64" i="2"/>
  <c r="X64" i="2"/>
  <c r="V65" i="2"/>
  <c r="W65" i="2"/>
  <c r="X65" i="2"/>
  <c r="V66" i="2"/>
  <c r="W66" i="2"/>
  <c r="X66" i="2"/>
  <c r="V67" i="2"/>
  <c r="W67" i="2"/>
  <c r="X67" i="2"/>
  <c r="V68" i="2"/>
  <c r="W68" i="2"/>
  <c r="X68" i="2"/>
  <c r="V69" i="2"/>
  <c r="W69" i="2"/>
  <c r="X69" i="2"/>
  <c r="V70" i="2"/>
  <c r="W70" i="2"/>
  <c r="X70" i="2"/>
  <c r="V71" i="2"/>
  <c r="W71" i="2"/>
  <c r="X71" i="2"/>
  <c r="V72" i="2"/>
  <c r="W72" i="2"/>
  <c r="X72" i="2"/>
  <c r="V73" i="2"/>
  <c r="W73" i="2"/>
  <c r="X73" i="2"/>
  <c r="V74" i="2"/>
  <c r="W74" i="2"/>
  <c r="X74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V85" i="2"/>
  <c r="W85" i="2"/>
  <c r="X85" i="2"/>
  <c r="V86" i="2"/>
  <c r="W86" i="2"/>
  <c r="X86" i="2"/>
  <c r="V87" i="2"/>
  <c r="W87" i="2"/>
  <c r="X87" i="2"/>
  <c r="V88" i="2"/>
  <c r="W88" i="2"/>
  <c r="X88" i="2"/>
  <c r="V89" i="2"/>
  <c r="W89" i="2"/>
  <c r="X89" i="2"/>
  <c r="V90" i="2"/>
  <c r="W90" i="2"/>
  <c r="X90" i="2"/>
  <c r="V91" i="2"/>
  <c r="W91" i="2"/>
  <c r="X91" i="2"/>
  <c r="V92" i="2"/>
  <c r="W92" i="2"/>
  <c r="X92" i="2"/>
  <c r="V93" i="2"/>
  <c r="W93" i="2"/>
  <c r="X93" i="2"/>
  <c r="V94" i="2"/>
  <c r="W94" i="2"/>
  <c r="X94" i="2"/>
  <c r="V95" i="2"/>
  <c r="W95" i="2"/>
  <c r="X95" i="2"/>
  <c r="V96" i="2"/>
  <c r="W96" i="2"/>
  <c r="X96" i="2"/>
  <c r="V97" i="2"/>
  <c r="W97" i="2"/>
  <c r="X97" i="2"/>
  <c r="V98" i="2"/>
  <c r="W98" i="2"/>
  <c r="X98" i="2"/>
  <c r="V99" i="2"/>
  <c r="W99" i="2"/>
  <c r="X99" i="2"/>
  <c r="V100" i="2"/>
  <c r="W100" i="2"/>
  <c r="X100" i="2"/>
  <c r="V101" i="2"/>
  <c r="W101" i="2"/>
  <c r="X101" i="2"/>
  <c r="V102" i="2"/>
  <c r="W102" i="2"/>
  <c r="X102" i="2"/>
  <c r="V103" i="2"/>
  <c r="W103" i="2"/>
  <c r="X103" i="2"/>
  <c r="V104" i="2"/>
  <c r="W104" i="2"/>
  <c r="X104" i="2"/>
  <c r="V105" i="2"/>
  <c r="W105" i="2"/>
  <c r="X105" i="2"/>
  <c r="V106" i="2"/>
  <c r="W106" i="2"/>
  <c r="X106" i="2"/>
  <c r="V107" i="2"/>
  <c r="W107" i="2"/>
  <c r="X107" i="2"/>
  <c r="V108" i="2"/>
  <c r="W108" i="2"/>
  <c r="X108" i="2"/>
  <c r="V109" i="2"/>
  <c r="W109" i="2"/>
  <c r="X109" i="2"/>
  <c r="V110" i="2"/>
  <c r="W110" i="2"/>
  <c r="X110" i="2"/>
  <c r="V111" i="2"/>
  <c r="W111" i="2"/>
  <c r="X111" i="2"/>
  <c r="V112" i="2"/>
  <c r="W112" i="2"/>
  <c r="X112" i="2"/>
  <c r="V113" i="2"/>
  <c r="W113" i="2"/>
  <c r="X113" i="2"/>
  <c r="V114" i="2"/>
  <c r="W114" i="2"/>
  <c r="X114" i="2"/>
  <c r="V115" i="2"/>
  <c r="W115" i="2"/>
  <c r="X115" i="2"/>
  <c r="V116" i="2"/>
  <c r="W116" i="2"/>
  <c r="X116" i="2"/>
  <c r="V117" i="2"/>
  <c r="W117" i="2"/>
  <c r="X117" i="2"/>
  <c r="V118" i="2"/>
  <c r="W118" i="2"/>
  <c r="X118" i="2"/>
  <c r="V119" i="2"/>
  <c r="W119" i="2"/>
  <c r="X119" i="2"/>
  <c r="V120" i="2"/>
  <c r="W120" i="2"/>
  <c r="X120" i="2"/>
  <c r="V121" i="2"/>
  <c r="W121" i="2"/>
  <c r="X121" i="2"/>
  <c r="V122" i="2"/>
  <c r="W122" i="2"/>
  <c r="X122" i="2"/>
  <c r="V123" i="2"/>
  <c r="W123" i="2"/>
  <c r="X123" i="2"/>
  <c r="V124" i="2"/>
  <c r="W124" i="2"/>
  <c r="X124" i="2"/>
  <c r="V125" i="2"/>
  <c r="W125" i="2"/>
  <c r="X125" i="2"/>
  <c r="V126" i="2"/>
  <c r="W126" i="2"/>
  <c r="X126" i="2"/>
  <c r="V127" i="2"/>
  <c r="W127" i="2"/>
  <c r="X127" i="2"/>
  <c r="V128" i="2"/>
  <c r="W128" i="2"/>
  <c r="X128" i="2"/>
  <c r="V129" i="2"/>
  <c r="W129" i="2"/>
  <c r="X129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7" i="2"/>
  <c r="P4" i="2"/>
  <c r="H21" i="4"/>
  <c r="L1" i="4"/>
  <c r="V7" i="2" l="1"/>
  <c r="U7" i="2"/>
  <c r="X12" i="2"/>
  <c r="V17" i="2"/>
  <c r="U10" i="2"/>
  <c r="U22" i="2"/>
  <c r="W23" i="2"/>
  <c r="X22" i="2"/>
  <c r="W22" i="2"/>
  <c r="V22" i="2"/>
  <c r="V12" i="2"/>
  <c r="U21" i="2"/>
  <c r="X11" i="2"/>
  <c r="U20" i="2"/>
  <c r="W11" i="2"/>
  <c r="W8" i="2"/>
  <c r="W7" i="2"/>
  <c r="V11" i="2"/>
  <c r="U19" i="2"/>
  <c r="U18" i="2"/>
  <c r="V27" i="2"/>
  <c r="U17" i="2"/>
  <c r="X26" i="2"/>
  <c r="W21" i="2"/>
  <c r="V16" i="2"/>
  <c r="X10" i="2"/>
  <c r="W27" i="2"/>
  <c r="W16" i="2"/>
  <c r="U16" i="2"/>
  <c r="W26" i="2"/>
  <c r="V21" i="2"/>
  <c r="X15" i="2"/>
  <c r="W10" i="2"/>
  <c r="V26" i="2"/>
  <c r="X20" i="2"/>
  <c r="W15" i="2"/>
  <c r="V10" i="2"/>
  <c r="V28" i="2"/>
  <c r="X27" i="2"/>
  <c r="X16" i="2"/>
  <c r="X21" i="2"/>
  <c r="U14" i="2"/>
  <c r="X25" i="2"/>
  <c r="W20" i="2"/>
  <c r="V15" i="2"/>
  <c r="X9" i="2"/>
  <c r="U30" i="2"/>
  <c r="U13" i="2"/>
  <c r="X30" i="2"/>
  <c r="W25" i="2"/>
  <c r="V20" i="2"/>
  <c r="X14" i="2"/>
  <c r="W9" i="2"/>
  <c r="U29" i="2"/>
  <c r="U12" i="2"/>
  <c r="W30" i="2"/>
  <c r="V25" i="2"/>
  <c r="X19" i="2"/>
  <c r="W14" i="2"/>
  <c r="V9" i="2"/>
  <c r="W17" i="2"/>
  <c r="U28" i="2"/>
  <c r="U11" i="2"/>
  <c r="V30" i="2"/>
  <c r="X24" i="2"/>
  <c r="W19" i="2"/>
  <c r="V14" i="2"/>
  <c r="X8" i="2"/>
  <c r="U27" i="2"/>
  <c r="W24" i="2"/>
  <c r="V19" i="2"/>
  <c r="U26" i="2"/>
  <c r="U9" i="2"/>
  <c r="W29" i="2"/>
  <c r="V24" i="2"/>
  <c r="X18" i="2"/>
  <c r="W13" i="2"/>
  <c r="V8" i="2"/>
  <c r="X29" i="2"/>
  <c r="X13" i="2"/>
  <c r="U25" i="2"/>
  <c r="U8" i="2"/>
  <c r="V29" i="2"/>
  <c r="X23" i="2"/>
  <c r="W18" i="2"/>
  <c r="V13" i="2"/>
  <c r="X7" i="2"/>
  <c r="X28" i="2"/>
  <c r="V18" i="2"/>
  <c r="W28" i="2"/>
  <c r="V23" i="2"/>
  <c r="X17" i="2"/>
  <c r="W12" i="2"/>
  <c r="P3" i="2"/>
  <c r="P2" i="2" l="1"/>
  <c r="E30" i="2"/>
  <c r="E37" i="2"/>
  <c r="E48" i="2"/>
  <c r="E39" i="2"/>
  <c r="E50" i="2"/>
  <c r="E44" i="2"/>
  <c r="E51" i="2"/>
  <c r="E34" i="2"/>
  <c r="E41" i="2"/>
  <c r="E36" i="2"/>
  <c r="E45" i="2"/>
  <c r="E52" i="2"/>
  <c r="E56" i="2"/>
  <c r="E58" i="2"/>
  <c r="E31" i="2"/>
  <c r="E54" i="2"/>
  <c r="E33" i="2"/>
  <c r="E35" i="2"/>
  <c r="E38" i="2"/>
  <c r="E42" i="2"/>
  <c r="E49" i="2"/>
  <c r="E32" i="2"/>
  <c r="E43" i="2"/>
  <c r="E59" i="2"/>
  <c r="E46" i="2"/>
  <c r="E53" i="2"/>
  <c r="E57" i="2"/>
  <c r="E47" i="2"/>
  <c r="E40" i="2"/>
  <c r="E55" i="2"/>
  <c r="E29" i="2"/>
  <c r="O7" i="2"/>
  <c r="C2" i="2" l="1"/>
  <c r="U24" i="2" l="1"/>
  <c r="U15" i="2"/>
  <c r="X6" i="2"/>
  <c r="W6" i="2"/>
  <c r="V6" i="2"/>
  <c r="U6" i="2"/>
  <c r="U23" i="2"/>
  <c r="C3" i="2"/>
  <c r="E99" i="2"/>
  <c r="E115" i="2"/>
  <c r="E108" i="2"/>
  <c r="E81" i="2"/>
  <c r="E104" i="2"/>
  <c r="E97" i="2"/>
  <c r="E95" i="2"/>
  <c r="E102" i="2"/>
  <c r="E88" i="2"/>
  <c r="E128" i="2"/>
  <c r="E129" i="2"/>
  <c r="E107" i="2"/>
  <c r="E125" i="2"/>
  <c r="E118" i="2"/>
  <c r="E90" i="2"/>
  <c r="E91" i="2"/>
  <c r="E89" i="2"/>
  <c r="E94" i="2"/>
  <c r="E105" i="2"/>
  <c r="E98" i="2"/>
  <c r="E84" i="2"/>
  <c r="E117" i="2"/>
  <c r="E79" i="2"/>
  <c r="E75" i="2"/>
  <c r="E92" i="2"/>
  <c r="E76" i="2"/>
  <c r="E73" i="2"/>
  <c r="E100" i="2"/>
  <c r="E123" i="2"/>
  <c r="E101" i="2"/>
  <c r="E126" i="2"/>
  <c r="E116" i="2"/>
  <c r="E124" i="2"/>
  <c r="E121" i="2"/>
  <c r="E120" i="2"/>
  <c r="E119" i="2"/>
  <c r="E113" i="2"/>
  <c r="E85" i="2"/>
  <c r="E82" i="2"/>
  <c r="E114" i="2"/>
  <c r="E96" i="2"/>
  <c r="E80" i="2"/>
  <c r="E111" i="2"/>
  <c r="E77" i="2"/>
  <c r="E83" i="2"/>
  <c r="E93" i="2"/>
  <c r="E109" i="2"/>
  <c r="E103" i="2"/>
  <c r="E110" i="2"/>
  <c r="E106" i="2"/>
  <c r="E86" i="2"/>
  <c r="E87" i="2"/>
  <c r="E127" i="2"/>
  <c r="E74" i="2"/>
  <c r="E122" i="2"/>
  <c r="E112" i="2"/>
  <c r="E78" i="2"/>
  <c r="E67" i="2"/>
  <c r="E66" i="2"/>
  <c r="E60" i="2"/>
  <c r="E62" i="2"/>
  <c r="E64" i="2"/>
  <c r="E71" i="2"/>
  <c r="E70" i="2"/>
  <c r="E68" i="2"/>
  <c r="E63" i="2"/>
  <c r="E65" i="2"/>
  <c r="E69" i="2"/>
  <c r="E61" i="2"/>
  <c r="E72" i="2"/>
  <c r="E13" i="2"/>
  <c r="E14" i="2"/>
  <c r="E20" i="2"/>
  <c r="E10" i="2"/>
  <c r="E12" i="2"/>
  <c r="E17" i="2"/>
  <c r="E23" i="2"/>
  <c r="E25" i="2"/>
  <c r="E28" i="2"/>
  <c r="E19" i="2"/>
  <c r="E15" i="2"/>
  <c r="E11" i="2"/>
  <c r="E22" i="2"/>
  <c r="E27" i="2"/>
  <c r="E7" i="2"/>
  <c r="E16" i="2"/>
  <c r="E9" i="2"/>
  <c r="E26" i="2"/>
  <c r="E8" i="2"/>
  <c r="E21" i="2"/>
  <c r="E24" i="2"/>
  <c r="E18" i="2"/>
  <c r="E6" i="2"/>
  <c r="B6" i="2"/>
  <c r="A6" i="2" l="1"/>
  <c r="A48" i="2"/>
  <c r="A60" i="2"/>
  <c r="A49" i="2"/>
  <c r="A50" i="2"/>
  <c r="A123" i="2"/>
  <c r="A55" i="2"/>
  <c r="A115" i="2"/>
  <c r="A127" i="2"/>
  <c r="A59" i="2"/>
  <c r="A63" i="2"/>
  <c r="A52" i="2"/>
  <c r="A76" i="2"/>
  <c r="A40" i="2"/>
  <c r="A36" i="2"/>
  <c r="A47" i="2"/>
  <c r="A53" i="2"/>
  <c r="A43" i="2"/>
  <c r="A42" i="2"/>
  <c r="A38" i="2"/>
  <c r="A54" i="2"/>
  <c r="A58" i="2"/>
  <c r="A37" i="2"/>
  <c r="A56" i="2"/>
  <c r="A41" i="2"/>
  <c r="A51" i="2"/>
  <c r="A44" i="2"/>
  <c r="A39" i="2"/>
  <c r="A45" i="2"/>
  <c r="A57" i="2"/>
  <c r="A46" i="2"/>
  <c r="A72" i="2"/>
  <c r="A61" i="2"/>
  <c r="A69" i="2"/>
  <c r="A65" i="2"/>
  <c r="A68" i="2"/>
  <c r="A70" i="2"/>
  <c r="A71" i="2"/>
  <c r="A64" i="2"/>
  <c r="A62" i="2"/>
  <c r="A66" i="2"/>
  <c r="A67" i="2"/>
  <c r="A78" i="2"/>
  <c r="A112" i="2"/>
  <c r="A122" i="2"/>
  <c r="A74" i="2"/>
  <c r="A87" i="2"/>
  <c r="A86" i="2"/>
  <c r="A106" i="2"/>
  <c r="A110" i="2"/>
  <c r="A103" i="2"/>
  <c r="A109" i="2"/>
  <c r="A93" i="2"/>
  <c r="A83" i="2"/>
  <c r="A77" i="2"/>
  <c r="A111" i="2"/>
  <c r="A80" i="2"/>
  <c r="A96" i="2"/>
  <c r="A114" i="2"/>
  <c r="A82" i="2"/>
  <c r="A85" i="2"/>
  <c r="A113" i="2"/>
  <c r="A119" i="2"/>
  <c r="A120" i="2"/>
  <c r="A121" i="2"/>
  <c r="A124" i="2"/>
  <c r="A116" i="2"/>
  <c r="A126" i="2"/>
  <c r="A101" i="2"/>
  <c r="A100" i="2"/>
  <c r="A73" i="2"/>
  <c r="A92" i="2"/>
  <c r="A75" i="2"/>
  <c r="A79" i="2"/>
  <c r="A117" i="2"/>
  <c r="A84" i="2"/>
  <c r="A98" i="2"/>
  <c r="A105" i="2"/>
  <c r="A94" i="2"/>
  <c r="A89" i="2"/>
  <c r="A91" i="2"/>
  <c r="A90" i="2"/>
  <c r="A118" i="2"/>
  <c r="A125" i="2"/>
  <c r="A107" i="2"/>
  <c r="A129" i="2"/>
  <c r="A128" i="2"/>
  <c r="A88" i="2"/>
  <c r="A102" i="2"/>
  <c r="A95" i="2"/>
  <c r="A97" i="2"/>
  <c r="A104" i="2"/>
  <c r="A81" i="2"/>
  <c r="A108" i="2"/>
  <c r="A99" i="2"/>
  <c r="A35" i="2"/>
  <c r="A33" i="2"/>
  <c r="A31" i="2"/>
  <c r="A30" i="2"/>
  <c r="A32" i="2"/>
  <c r="A34" i="2"/>
  <c r="A29" i="2"/>
  <c r="A12" i="2"/>
  <c r="A28" i="2"/>
  <c r="A11" i="2"/>
  <c r="A9" i="2"/>
  <c r="A26" i="2"/>
  <c r="A20" i="2"/>
  <c r="A8" i="2"/>
  <c r="A18" i="2"/>
  <c r="A7" i="2"/>
  <c r="A24" i="2"/>
  <c r="A13" i="2"/>
  <c r="A27" i="2"/>
  <c r="A19" i="2"/>
  <c r="A22" i="2"/>
  <c r="A17" i="2"/>
  <c r="A23" i="2"/>
  <c r="A25" i="2"/>
  <c r="A10" i="2"/>
  <c r="A21" i="2"/>
  <c r="A15" i="2"/>
  <c r="A16" i="2"/>
  <c r="A14" i="2"/>
  <c r="H6" i="2" l="1"/>
  <c r="H42" i="2"/>
  <c r="I42" i="2"/>
  <c r="H49" i="2"/>
  <c r="I49" i="2"/>
  <c r="H35" i="2"/>
  <c r="I35" i="2"/>
  <c r="H32" i="2"/>
  <c r="I32" i="2"/>
  <c r="H57" i="2"/>
  <c r="I57" i="2"/>
  <c r="I41" i="2"/>
  <c r="H41" i="2"/>
  <c r="H39" i="2"/>
  <c r="I39" i="2"/>
  <c r="H45" i="2"/>
  <c r="I45" i="2"/>
  <c r="H54" i="2"/>
  <c r="I54" i="2"/>
  <c r="H47" i="2"/>
  <c r="I47" i="2"/>
  <c r="H52" i="2"/>
  <c r="I52" i="2"/>
  <c r="H59" i="2"/>
  <c r="I59" i="2"/>
  <c r="I50" i="2"/>
  <c r="H50" i="2"/>
  <c r="I43" i="2"/>
  <c r="H43" i="2"/>
  <c r="H31" i="2"/>
  <c r="I31" i="2"/>
  <c r="H51" i="2"/>
  <c r="I51" i="2"/>
  <c r="H30" i="2"/>
  <c r="I30" i="2"/>
  <c r="I33" i="2"/>
  <c r="H33" i="2"/>
  <c r="H38" i="2"/>
  <c r="I38" i="2"/>
  <c r="H56" i="2"/>
  <c r="I56" i="2"/>
  <c r="I40" i="2"/>
  <c r="H40" i="2"/>
  <c r="H34" i="2"/>
  <c r="I34" i="2"/>
  <c r="I46" i="2"/>
  <c r="H46" i="2"/>
  <c r="H48" i="2"/>
  <c r="I48" i="2"/>
  <c r="H37" i="2"/>
  <c r="I37" i="2"/>
  <c r="I44" i="2"/>
  <c r="H44" i="2"/>
  <c r="H58" i="2"/>
  <c r="I58" i="2"/>
  <c r="H36" i="2"/>
  <c r="I36" i="2"/>
  <c r="H53" i="2"/>
  <c r="I53" i="2"/>
  <c r="H55" i="2"/>
  <c r="I55" i="2"/>
  <c r="H29" i="2"/>
  <c r="I29" i="2"/>
  <c r="H7" i="2"/>
  <c r="I66" i="2"/>
  <c r="I78" i="2"/>
  <c r="I90" i="2"/>
  <c r="I102" i="2"/>
  <c r="I114" i="2"/>
  <c r="I126" i="2"/>
  <c r="H62" i="2"/>
  <c r="H74" i="2"/>
  <c r="H86" i="2"/>
  <c r="H98" i="2"/>
  <c r="H110" i="2"/>
  <c r="H122" i="2"/>
  <c r="H113" i="2"/>
  <c r="H102" i="2"/>
  <c r="H108" i="2"/>
  <c r="I67" i="2"/>
  <c r="I79" i="2"/>
  <c r="I91" i="2"/>
  <c r="I103" i="2"/>
  <c r="I115" i="2"/>
  <c r="I127" i="2"/>
  <c r="H63" i="2"/>
  <c r="H75" i="2"/>
  <c r="H87" i="2"/>
  <c r="H99" i="2"/>
  <c r="H111" i="2"/>
  <c r="H123" i="2"/>
  <c r="H101" i="2"/>
  <c r="H114" i="2"/>
  <c r="I64" i="2"/>
  <c r="H84" i="2"/>
  <c r="I101" i="2"/>
  <c r="I68" i="2"/>
  <c r="I80" i="2"/>
  <c r="I92" i="2"/>
  <c r="I104" i="2"/>
  <c r="I116" i="2"/>
  <c r="I128" i="2"/>
  <c r="H64" i="2"/>
  <c r="H76" i="2"/>
  <c r="H88" i="2"/>
  <c r="H100" i="2"/>
  <c r="H112" i="2"/>
  <c r="H124" i="2"/>
  <c r="H125" i="2"/>
  <c r="H90" i="2"/>
  <c r="H119" i="2"/>
  <c r="I124" i="2"/>
  <c r="H97" i="2"/>
  <c r="I69" i="2"/>
  <c r="I81" i="2"/>
  <c r="I93" i="2"/>
  <c r="I105" i="2"/>
  <c r="I117" i="2"/>
  <c r="I129" i="2"/>
  <c r="H65" i="2"/>
  <c r="H77" i="2"/>
  <c r="H89" i="2"/>
  <c r="H78" i="2"/>
  <c r="H72" i="2"/>
  <c r="I70" i="2"/>
  <c r="I82" i="2"/>
  <c r="I94" i="2"/>
  <c r="I106" i="2"/>
  <c r="I118" i="2"/>
  <c r="H66" i="2"/>
  <c r="H126" i="2"/>
  <c r="I100" i="2"/>
  <c r="I65" i="2"/>
  <c r="H73" i="2"/>
  <c r="I71" i="2"/>
  <c r="I83" i="2"/>
  <c r="I95" i="2"/>
  <c r="I107" i="2"/>
  <c r="I119" i="2"/>
  <c r="H67" i="2"/>
  <c r="H79" i="2"/>
  <c r="H91" i="2"/>
  <c r="H103" i="2"/>
  <c r="H115" i="2"/>
  <c r="H127" i="2"/>
  <c r="I76" i="2"/>
  <c r="H60" i="2"/>
  <c r="I89" i="2"/>
  <c r="H121" i="2"/>
  <c r="I60" i="2"/>
  <c r="I72" i="2"/>
  <c r="I84" i="2"/>
  <c r="I96" i="2"/>
  <c r="I108" i="2"/>
  <c r="I120" i="2"/>
  <c r="H68" i="2"/>
  <c r="H80" i="2"/>
  <c r="H92" i="2"/>
  <c r="H104" i="2"/>
  <c r="H116" i="2"/>
  <c r="H128" i="2"/>
  <c r="I112" i="2"/>
  <c r="H96" i="2"/>
  <c r="I125" i="2"/>
  <c r="I61" i="2"/>
  <c r="I73" i="2"/>
  <c r="I85" i="2"/>
  <c r="I97" i="2"/>
  <c r="I109" i="2"/>
  <c r="I121" i="2"/>
  <c r="H69" i="2"/>
  <c r="H81" i="2"/>
  <c r="H93" i="2"/>
  <c r="H105" i="2"/>
  <c r="H117" i="2"/>
  <c r="H129" i="2"/>
  <c r="I77" i="2"/>
  <c r="H61" i="2"/>
  <c r="I62" i="2"/>
  <c r="I74" i="2"/>
  <c r="I86" i="2"/>
  <c r="I98" i="2"/>
  <c r="I110" i="2"/>
  <c r="I122" i="2"/>
  <c r="H70" i="2"/>
  <c r="H82" i="2"/>
  <c r="H94" i="2"/>
  <c r="H106" i="2"/>
  <c r="H118" i="2"/>
  <c r="H107" i="2"/>
  <c r="H85" i="2"/>
  <c r="I63" i="2"/>
  <c r="I75" i="2"/>
  <c r="I87" i="2"/>
  <c r="I99" i="2"/>
  <c r="I111" i="2"/>
  <c r="I123" i="2"/>
  <c r="H71" i="2"/>
  <c r="H83" i="2"/>
  <c r="H95" i="2"/>
  <c r="I88" i="2"/>
  <c r="H120" i="2"/>
  <c r="I113" i="2"/>
  <c r="H109" i="2"/>
  <c r="I17" i="2"/>
  <c r="H24" i="2"/>
  <c r="I18" i="2"/>
  <c r="H25" i="2"/>
  <c r="I21" i="2"/>
  <c r="I19" i="2"/>
  <c r="H26" i="2"/>
  <c r="H28" i="2"/>
  <c r="I20" i="2"/>
  <c r="H27" i="2"/>
  <c r="I22" i="2"/>
  <c r="H17" i="2"/>
  <c r="I23" i="2"/>
  <c r="H18" i="2"/>
  <c r="I24" i="2"/>
  <c r="H19" i="2"/>
  <c r="H21" i="2"/>
  <c r="I25" i="2"/>
  <c r="H20" i="2"/>
  <c r="I26" i="2"/>
  <c r="I27" i="2"/>
  <c r="H22" i="2"/>
  <c r="I28" i="2"/>
  <c r="H23" i="2"/>
  <c r="I7" i="2"/>
  <c r="H15" i="2"/>
  <c r="I8" i="2"/>
  <c r="H16" i="2"/>
  <c r="I9" i="2"/>
  <c r="I10" i="2"/>
  <c r="I6" i="2"/>
  <c r="I11" i="2"/>
  <c r="I12" i="2"/>
  <c r="H8" i="2"/>
  <c r="I13" i="2"/>
  <c r="H9" i="2"/>
  <c r="I14" i="2"/>
  <c r="H10" i="2"/>
  <c r="I15" i="2"/>
  <c r="H11" i="2"/>
  <c r="I16" i="2"/>
  <c r="H12" i="2"/>
  <c r="H13" i="2"/>
  <c r="H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6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O7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<sst xmlns="http://schemas.openxmlformats.org/spreadsheetml/2006/main" count="151" uniqueCount="143">
  <si>
    <t>a39901011g000000</t>
  </si>
  <si>
    <t>date</t>
  </si>
  <si>
    <t>数据集名称</t>
    <phoneticPr fontId="1" type="noConversion"/>
  </si>
  <si>
    <t>板块成分</t>
    <phoneticPr fontId="1" type="noConversion"/>
  </si>
  <si>
    <t>日期</t>
    <phoneticPr fontId="1" type="noConversion"/>
  </si>
  <si>
    <t>板块ID</t>
    <phoneticPr fontId="1" type="noConversion"/>
  </si>
  <si>
    <t>a39901011p000000</t>
    <phoneticPr fontId="1" type="noConversion"/>
  </si>
  <si>
    <t>最新调整日期</t>
    <phoneticPr fontId="1" type="noConversion"/>
  </si>
  <si>
    <t>wind_code</t>
    <phoneticPr fontId="1" type="noConversion"/>
  </si>
  <si>
    <t>Wind代码</t>
    <phoneticPr fontId="1" type="noConversion"/>
  </si>
  <si>
    <t>sec_name</t>
    <phoneticPr fontId="1" type="noConversion"/>
  </si>
  <si>
    <t>证券名称</t>
    <phoneticPr fontId="1" type="noConversion"/>
  </si>
  <si>
    <t>行业资金流向</t>
    <phoneticPr fontId="1" type="noConversion"/>
  </si>
  <si>
    <t>a39901011h000000</t>
  </si>
  <si>
    <t>a39901011q000000</t>
    <phoneticPr fontId="1" type="noConversion"/>
  </si>
  <si>
    <t>板块名称</t>
    <phoneticPr fontId="1" type="noConversion"/>
  </si>
  <si>
    <t>主力净流入</t>
    <phoneticPr fontId="1" type="noConversion"/>
  </si>
  <si>
    <t>主力净流入(降序)</t>
    <phoneticPr fontId="1" type="noConversion"/>
  </si>
  <si>
    <t>序列</t>
    <phoneticPr fontId="1" type="noConversion"/>
  </si>
  <si>
    <t>证券名称</t>
    <phoneticPr fontId="1" type="noConversion"/>
  </si>
  <si>
    <t>a39901012d000000</t>
  </si>
  <si>
    <t>Wind主题行业</t>
    <phoneticPr fontId="1" type="noConversion"/>
  </si>
  <si>
    <t>最近更新：</t>
    <phoneticPr fontId="7" type="noConversion"/>
  </si>
  <si>
    <t>行业板块：</t>
    <phoneticPr fontId="1" type="noConversion"/>
  </si>
  <si>
    <t>查询日期:</t>
    <phoneticPr fontId="1" type="noConversion"/>
  </si>
  <si>
    <t>882101.WI</t>
  </si>
  <si>
    <t>882102.WI</t>
  </si>
  <si>
    <t>882103.WI</t>
  </si>
  <si>
    <t>882104.WI</t>
  </si>
  <si>
    <t>882105.WI</t>
  </si>
  <si>
    <t>882106.WI</t>
  </si>
  <si>
    <t>882107.WI</t>
  </si>
  <si>
    <t>882108.WI</t>
  </si>
  <si>
    <t>882109.WI</t>
  </si>
  <si>
    <t>882110.WI</t>
  </si>
  <si>
    <t>882111.WI</t>
  </si>
  <si>
    <t>882112.WI</t>
  </si>
  <si>
    <t>882113.WI</t>
  </si>
  <si>
    <t>882114.WI</t>
  </si>
  <si>
    <t>882115.WI</t>
  </si>
  <si>
    <t>银行</t>
  </si>
  <si>
    <t>882116.WI</t>
  </si>
  <si>
    <t>房地产Ⅱ</t>
  </si>
  <si>
    <t>882119.WI</t>
  </si>
  <si>
    <t>882120.WI</t>
  </si>
  <si>
    <t>882121.WI</t>
  </si>
  <si>
    <t>882122.WI</t>
  </si>
  <si>
    <t>882123.WI</t>
  </si>
  <si>
    <t>公用事业Ⅱ</t>
  </si>
  <si>
    <t>1000047025000000</t>
  </si>
  <si>
    <t>Wind省级指数</t>
    <phoneticPr fontId="1" type="noConversion"/>
  </si>
  <si>
    <t>882100.WI</t>
    <phoneticPr fontId="1" type="noConversion"/>
  </si>
  <si>
    <t>行业资金流向 V1.1</t>
    <phoneticPr fontId="1" type="noConversion"/>
  </si>
  <si>
    <t>数据集名称</t>
  </si>
  <si>
    <t>行业资金流向</t>
  </si>
  <si>
    <t>截止日期</t>
  </si>
  <si>
    <t>统计区间</t>
  </si>
  <si>
    <t>行业分类</t>
  </si>
  <si>
    <t>industryName</t>
  </si>
  <si>
    <t>行业</t>
  </si>
  <si>
    <t>mainInflowMoney</t>
  </si>
  <si>
    <t>主力净流入额(万元)</t>
  </si>
  <si>
    <t>swapNumber</t>
  </si>
  <si>
    <t>成交额(万元)</t>
  </si>
  <si>
    <t>continuousInflowDays</t>
  </si>
  <si>
    <t>连续流入天数</t>
  </si>
  <si>
    <t>实时行业资金流向（亿元）</t>
    <phoneticPr fontId="1" type="noConversion"/>
  </si>
  <si>
    <t>Wind能源Ⅱ</t>
    <phoneticPr fontId="1" type="noConversion"/>
  </si>
  <si>
    <t>Wind商业和专业服务</t>
    <phoneticPr fontId="1" type="noConversion"/>
  </si>
  <si>
    <t>Wind消费者服务Ⅱ</t>
    <phoneticPr fontId="1" type="noConversion"/>
  </si>
  <si>
    <t>Wind媒体Ⅱ</t>
    <phoneticPr fontId="1" type="noConversion"/>
  </si>
  <si>
    <t>Wind食品与主要用品零售Ⅱ</t>
    <phoneticPr fontId="1" type="noConversion"/>
  </si>
  <si>
    <t>Wind家庭与个人用品</t>
    <phoneticPr fontId="1" type="noConversion"/>
  </si>
  <si>
    <t>Wind医疗保健设备与服务</t>
    <phoneticPr fontId="1" type="noConversion"/>
  </si>
  <si>
    <t>Wind耐用消费品与服装</t>
    <phoneticPr fontId="1" type="noConversion"/>
  </si>
  <si>
    <t>Wind银行</t>
    <phoneticPr fontId="1" type="noConversion"/>
  </si>
  <si>
    <t>Wind保险Ⅱ</t>
    <phoneticPr fontId="1" type="noConversion"/>
  </si>
  <si>
    <t>统计区间（天）：</t>
    <phoneticPr fontId="1" type="noConversion"/>
  </si>
  <si>
    <t>Wind零售业</t>
    <phoneticPr fontId="1" type="noConversion"/>
  </si>
  <si>
    <t>wind行业二级</t>
  </si>
  <si>
    <t>Wind半导体与半导体生产设备</t>
    <phoneticPr fontId="1" type="noConversion"/>
  </si>
  <si>
    <t>行业资金流向统计（亿元）</t>
    <phoneticPr fontId="1" type="noConversion"/>
  </si>
  <si>
    <t>Wind食品、饮料与烟草</t>
    <phoneticPr fontId="1" type="noConversion"/>
  </si>
  <si>
    <t>Wind运输</t>
    <phoneticPr fontId="1" type="noConversion"/>
  </si>
  <si>
    <t>Wind汽车与汽车零部件</t>
    <phoneticPr fontId="1" type="noConversion"/>
  </si>
  <si>
    <t>Wind材料Ⅱ</t>
    <phoneticPr fontId="1" type="noConversion"/>
  </si>
  <si>
    <t>Wind资本货物</t>
    <phoneticPr fontId="1" type="noConversion"/>
  </si>
  <si>
    <t>Wind电信服务Ⅱ</t>
    <phoneticPr fontId="1" type="noConversion"/>
  </si>
  <si>
    <t>Wind公用事业Ⅱ</t>
    <phoneticPr fontId="1" type="noConversion"/>
  </si>
  <si>
    <t>Wind制药、生物科技与生命科学</t>
    <phoneticPr fontId="1" type="noConversion"/>
  </si>
  <si>
    <t>Wind多元金融</t>
    <phoneticPr fontId="1" type="noConversion"/>
  </si>
  <si>
    <t>Wind软件与服务</t>
    <phoneticPr fontId="1" type="noConversion"/>
  </si>
  <si>
    <t>Wind技术硬件与设备</t>
    <phoneticPr fontId="1" type="noConversion"/>
  </si>
  <si>
    <t>wind行业一级</t>
  </si>
  <si>
    <t>申万行业一级</t>
  </si>
  <si>
    <t>申万行业二级</t>
  </si>
  <si>
    <t>主力净流入(亿元)</t>
    <phoneticPr fontId="1" type="noConversion"/>
  </si>
  <si>
    <t>石油石化</t>
    <phoneticPr fontId="1" type="noConversion"/>
  </si>
  <si>
    <t>化工</t>
  </si>
  <si>
    <t>国防军工</t>
  </si>
  <si>
    <t>企业服务</t>
  </si>
  <si>
    <t>交通运输</t>
  </si>
  <si>
    <t>汽车与零配件</t>
  </si>
  <si>
    <t>耐用消费品</t>
  </si>
  <si>
    <t>消费者服务</t>
  </si>
  <si>
    <t>媒体娱乐</t>
  </si>
  <si>
    <t>可选消费零售</t>
  </si>
  <si>
    <t>日常消费零售</t>
  </si>
  <si>
    <t>食品饮料</t>
  </si>
  <si>
    <t>家庭用品</t>
  </si>
  <si>
    <t>医疗设备与服务</t>
  </si>
  <si>
    <t>医药生物</t>
  </si>
  <si>
    <t>非银金融</t>
  </si>
  <si>
    <t>软件服务</t>
  </si>
  <si>
    <t>硬件设备</t>
  </si>
  <si>
    <t>半导体</t>
  </si>
  <si>
    <t>电信服务</t>
  </si>
  <si>
    <t>882124.WI</t>
  </si>
  <si>
    <t>煤炭Ⅱ</t>
  </si>
  <si>
    <t>882125.WI</t>
  </si>
  <si>
    <t>建材Ⅱ</t>
  </si>
  <si>
    <t>882126.WI</t>
  </si>
  <si>
    <t>钢铁Ⅱ</t>
  </si>
  <si>
    <t>882127.WI</t>
  </si>
  <si>
    <t>有色金属</t>
  </si>
  <si>
    <t>882128.WI</t>
  </si>
  <si>
    <t>造纸与包装</t>
  </si>
  <si>
    <t>882129.WI</t>
  </si>
  <si>
    <t>建筑</t>
  </si>
  <si>
    <t>882130.WI</t>
  </si>
  <si>
    <t>电气设备</t>
  </si>
  <si>
    <t>882131.WI</t>
  </si>
  <si>
    <t>机械</t>
  </si>
  <si>
    <t>882132.WI</t>
  </si>
  <si>
    <t>工业贸易与综合</t>
  </si>
  <si>
    <t>882133.WI</t>
  </si>
  <si>
    <t>环保Ⅱ</t>
  </si>
  <si>
    <t>882134.WI</t>
  </si>
  <si>
    <t>家电Ⅱ</t>
  </si>
  <si>
    <t>882135.WI</t>
  </si>
  <si>
    <t>纺织服装Ⅱ</t>
  </si>
  <si>
    <t>882136.WI</t>
  </si>
  <si>
    <r>
      <t>wind</t>
    </r>
    <r>
      <rPr>
        <sz val="14"/>
        <color theme="1"/>
        <rFont val="微软雅黑"/>
        <family val="2"/>
        <charset val="134"/>
      </rPr>
      <t>行业二级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</si>
</sst>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##"/>
    <numFmt numFmtId="177" formatCode="yyyy\-mm\-dd"/>
    <numFmt numFmtId="178" formatCode="#,##0.######"/>
  </numFmts>
  <fonts count="2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b/>
      <sz val="12"/>
      <name val="微软雅黑"/>
      <family val="2"/>
      <charset val="134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4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43" fontId="0" fillId="0" borderId="0" xfId="1" applyFont="1" applyAlignment="1"/>
    <xf numFmtId="0" fontId="4" fillId="2" borderId="0" xfId="0" applyFont="1" applyFill="1"/>
    <xf numFmtId="0" fontId="4" fillId="3" borderId="0" xfId="0" applyFont="1" applyFill="1"/>
    <xf numFmtId="0" fontId="4" fillId="0" borderId="0" xfId="0" applyFont="1"/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3" fillId="5" borderId="0" xfId="0" applyFont="1" applyFill="1"/>
    <xf numFmtId="0" fontId="9" fillId="4" borderId="2" xfId="0" applyFont="1" applyFill="1" applyBorder="1" applyAlignment="1">
      <alignment vertical="center"/>
    </xf>
    <xf numFmtId="0" fontId="14" fillId="6" borderId="0" xfId="0" applyFont="1" applyFill="1" applyAlignment="1" applyProtection="1">
      <alignment horizontal="right"/>
      <protection locked="0"/>
    </xf>
    <xf numFmtId="0" fontId="6" fillId="2" borderId="1" xfId="0" applyFont="1" applyFill="1" applyBorder="1" applyAlignment="1">
      <alignment horizontal="right" vertical="center"/>
    </xf>
    <xf numFmtId="0" fontId="4" fillId="0" borderId="3" xfId="0" applyFont="1" applyBorder="1"/>
    <xf numFmtId="0" fontId="9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4" fillId="0" borderId="5" xfId="0" applyFont="1" applyBorder="1"/>
    <xf numFmtId="0" fontId="12" fillId="0" borderId="0" xfId="0" applyFont="1" applyAlignment="1">
      <alignment horizontal="left" vertical="center" readingOrder="1"/>
    </xf>
    <xf numFmtId="177" fontId="8" fillId="2" borderId="0" xfId="0" applyNumberFormat="1" applyFont="1" applyFill="1" applyAlignment="1">
      <alignment horizontal="right" vertical="center"/>
    </xf>
    <xf numFmtId="49" fontId="15" fillId="0" borderId="0" xfId="0" applyNumberFormat="1" applyFont="1" applyAlignment="1">
      <alignment horizontal="right"/>
    </xf>
    <xf numFmtId="0" fontId="15" fillId="0" borderId="0" xfId="0" applyFont="1"/>
    <xf numFmtId="49" fontId="15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/>
    </xf>
    <xf numFmtId="177" fontId="14" fillId="6" borderId="0" xfId="0" applyNumberFormat="1" applyFont="1" applyFill="1" applyAlignment="1" applyProtection="1">
      <alignment horizontal="right"/>
      <protection locked="0"/>
    </xf>
    <xf numFmtId="0" fontId="16" fillId="0" borderId="0" xfId="0" applyFont="1"/>
    <xf numFmtId="0" fontId="16" fillId="0" borderId="0" xfId="0" applyFont="1" applyAlignment="1">
      <alignment horizontal="left"/>
    </xf>
    <xf numFmtId="49" fontId="17" fillId="0" borderId="0" xfId="0" applyNumberFormat="1" applyFont="1" applyAlignment="1">
      <alignment horizontal="right"/>
    </xf>
    <xf numFmtId="0" fontId="18" fillId="0" borderId="0" xfId="0" applyFont="1"/>
    <xf numFmtId="0" fontId="5" fillId="2" borderId="0" xfId="0" applyFont="1" applyFill="1" applyAlignment="1">
      <alignment horizontal="center" vertical="center"/>
    </xf>
    <xf numFmtId="178" fontId="0" fillId="0" borderId="0" xfId="0" applyNumberFormat="1" applyAlignment="1">
      <alignment horizontal="right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107F3A"/>
      <color rgb="FFC91818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-1693398194</v>
        <stp/>
        <stp>882129.WI</stp>
        <stp>rt_mf_amt</stp>
        <stp>RT_Price</stp>
        <tr r="E33" s="2"/>
      </tp>
      <tp>
        <v>-547516320</v>
        <stp/>
        <stp>882119.WI</stp>
        <stp>rt_mf_amt</stp>
        <stp>RT_Price</stp>
        <tr r="E23" s="2"/>
      </tp>
      <tp>
        <v>-88213333</v>
        <stp/>
        <stp>882109.WI</stp>
        <stp>rt_mf_amt</stp>
        <stp>RT_Price</stp>
        <tr r="E15" s="2"/>
      </tp>
      <tp>
        <v>3327513353</v>
        <stp/>
        <stp>882128.WI</stp>
        <stp>rt_mf_amt</stp>
        <stp>RT_Price</stp>
        <tr r="E32" s="2"/>
      </tp>
      <tp>
        <v>37102254</v>
        <stp/>
        <stp>882108.WI</stp>
        <stp>rt_mf_amt</stp>
        <stp>RT_Price</stp>
        <tr r="E14" s="2"/>
      </tp>
      <tp>
        <v>-193852137</v>
        <stp/>
        <stp>882133.WI</stp>
        <stp>rt_mf_amt</stp>
        <stp>RT_Price</stp>
        <tr r="E37" s="2"/>
      </tp>
      <tp>
        <v>1903448658</v>
        <stp/>
        <stp>882123.WI</stp>
        <stp>rt_mf_amt</stp>
        <stp>RT_Price</stp>
        <tr r="E27" s="2"/>
      </tp>
      <tp>
        <v>-420982719</v>
        <stp/>
        <stp>882113.WI</stp>
        <stp>rt_mf_amt</stp>
        <stp>RT_Price</stp>
        <tr r="E19" s="2"/>
      </tp>
      <tp>
        <v>120592756</v>
        <stp/>
        <stp>882103.WI</stp>
        <stp>rt_mf_amt</stp>
        <stp>RT_Price</stp>
        <tr r="E9" s="2"/>
      </tp>
      <tp>
        <v>-241376788</v>
        <stp/>
        <stp>882132.WI</stp>
        <stp>rt_mf_amt</stp>
        <stp>RT_Price</stp>
        <tr r="E36" s="2"/>
      </tp>
      <tp>
        <v>-36815674</v>
        <stp/>
        <stp>882122.WI</stp>
        <stp>rt_mf_amt</stp>
        <stp>RT_Price</stp>
        <tr r="E26" s="2"/>
      </tp>
      <tp>
        <v>-96327989</v>
        <stp/>
        <stp>882112.WI</stp>
        <stp>rt_mf_amt</stp>
        <stp>RT_Price</stp>
        <tr r="E18" s="2"/>
      </tp>
      <tp>
        <v>857296014</v>
        <stp/>
        <stp>882102.WI</stp>
        <stp>rt_mf_amt</stp>
        <stp>RT_Price</stp>
        <tr r="E8" s="2"/>
      </tp>
      <tp>
        <v>228825481</v>
        <stp/>
        <stp>882131.WI</stp>
        <stp>rt_mf_amt</stp>
        <stp>RT_Price</stp>
        <tr r="E35" s="2"/>
      </tp>
      <tp>
        <v>-7350586062</v>
        <stp/>
        <stp>882121.WI</stp>
        <stp>rt_mf_amt</stp>
        <stp>RT_Price</stp>
        <tr r="E25" s="2"/>
      </tp>
      <tp>
        <v>-2541667312</v>
        <stp/>
        <stp>882111.WI</stp>
        <stp>rt_mf_amt</stp>
        <stp>RT_Price</stp>
        <tr r="E17" s="2"/>
      </tp>
      <tp>
        <v>4849838049</v>
        <stp/>
        <stp>882101.WI</stp>
        <stp>rt_mf_amt</stp>
        <stp>RT_Price</stp>
        <tr r="E7" s="2"/>
      </tp>
      <tp>
        <v>3741169640</v>
        <stp/>
        <stp>882130.WI</stp>
        <stp>rt_mf_amt</stp>
        <stp>RT_Price</stp>
        <tr r="E34" s="2"/>
      </tp>
      <tp>
        <v>-8966055614</v>
        <stp/>
        <stp>882120.WI</stp>
        <stp>rt_mf_amt</stp>
        <stp>RT_Price</stp>
        <tr r="E24" s="2"/>
      </tp>
      <tp>
        <v>-55820831</v>
        <stp/>
        <stp>882110.WI</stp>
        <stp>rt_mf_amt</stp>
        <stp>RT_Price</stp>
        <tr r="E16" s="2"/>
      </tp>
      <tp>
        <v>391409012</v>
        <stp/>
        <stp>882100.WI</stp>
        <stp>rt_mf_amt</stp>
        <stp>RT_Price</stp>
        <tr r="E6" s="2"/>
      </tp>
      <tp>
        <v>3687179869</v>
        <stp/>
        <stp>882127.WI</stp>
        <stp>rt_mf_amt</stp>
        <stp>RT_Price</stp>
        <tr r="E31" s="2"/>
      </tp>
      <tp>
        <v>-343005931</v>
        <stp/>
        <stp>882107.WI</stp>
        <stp>rt_mf_amt</stp>
        <stp>RT_Price</stp>
        <tr r="E13" s="2"/>
      </tp>
      <tp>
        <v>-523579297</v>
        <stp/>
        <stp>882136.WI</stp>
        <stp>rt_mf_amt</stp>
        <stp>RT_Price</stp>
        <tr r="E40" s="2"/>
      </tp>
      <tp>
        <v>-442455875</v>
        <stp/>
        <stp>882126.WI</stp>
        <stp>rt_mf_amt</stp>
        <stp>RT_Price</stp>
        <tr r="E30" s="2"/>
      </tp>
      <tp>
        <v>599458641</v>
        <stp/>
        <stp>882116.WI</stp>
        <stp>rt_mf_amt</stp>
        <stp>RT_Price</stp>
        <tr r="E22" s="2"/>
      </tp>
      <tp>
        <v>-63477959</v>
        <stp/>
        <stp>882106.WI</stp>
        <stp>rt_mf_amt</stp>
        <stp>RT_Price</stp>
        <tr r="E12" s="2"/>
      </tp>
      <tp>
        <v>-376950193</v>
        <stp/>
        <stp>882135.WI</stp>
        <stp>rt_mf_amt</stp>
        <stp>RT_Price</stp>
        <tr r="E39" s="2"/>
      </tp>
      <tp>
        <v>-205074275</v>
        <stp/>
        <stp>882125.WI</stp>
        <stp>rt_mf_amt</stp>
        <stp>RT_Price</stp>
        <tr r="E29" s="2"/>
      </tp>
      <tp>
        <v>-3775281840</v>
        <stp/>
        <stp>882115.WI</stp>
        <stp>rt_mf_amt</stp>
        <stp>RT_Price</stp>
        <tr r="E21" s="2"/>
      </tp>
      <tp>
        <v>4189815323</v>
        <stp/>
        <stp>882105.WI</stp>
        <stp>rt_mf_amt</stp>
        <stp>RT_Price</stp>
        <tr r="E11" s="2"/>
      </tp>
      <tp>
        <v>-350557159</v>
        <stp/>
        <stp>882134.WI</stp>
        <stp>rt_mf_amt</stp>
        <stp>RT_Price</stp>
        <tr r="E38" s="2"/>
      </tp>
      <tp>
        <v>1573061315</v>
        <stp/>
        <stp>882124.WI</stp>
        <stp>rt_mf_amt</stp>
        <stp>RT_Price</stp>
        <tr r="E28" s="2"/>
      </tp>
      <tp>
        <v>-1979422049</v>
        <stp/>
        <stp>882114.WI</stp>
        <stp>rt_mf_amt</stp>
        <stp>RT_Price</stp>
        <tr r="E20" s="2"/>
      </tp>
      <tp>
        <v>-1647711971</v>
        <stp/>
        <stp>882104.WI</stp>
        <stp>rt_mf_amt</stp>
        <stp>RT_Price</stp>
        <tr r="E10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09995084972333E-2"/>
          <c:y val="0.10181223239690745"/>
          <c:w val="0.95638905837420674"/>
          <c:h val="0.65311548470806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资金流向数据!$I$5</c:f>
              <c:strCache>
                <c:ptCount val="1"/>
                <c:pt idx="0">
                  <c:v>主力净流入(亿元)</c:v>
                </c:pt>
              </c:strCache>
            </c:strRef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dLbls>
            <c:numFmt formatCode="[Color9]#,##0.0_ ;[Color10]\-#,##0.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资金流向数据!$H$6:$H$129</c:f>
              <c:strCache>
                <c:ptCount val="35"/>
                <c:pt idx="0">
                  <c:v>化工</c:v>
                </c:pt>
                <c:pt idx="1">
                  <c:v>汽车与零配件</c:v>
                </c:pt>
                <c:pt idx="2">
                  <c:v>电气设备</c:v>
                </c:pt>
                <c:pt idx="3">
                  <c:v>有色金属</c:v>
                </c:pt>
                <c:pt idx="4">
                  <c:v>造纸与包装</c:v>
                </c:pt>
                <c:pt idx="5">
                  <c:v>公用事业Ⅱ</c:v>
                </c:pt>
                <c:pt idx="6">
                  <c:v>煤炭Ⅱ</c:v>
                </c:pt>
                <c:pt idx="7">
                  <c:v>国防军工</c:v>
                </c:pt>
                <c:pt idx="8">
                  <c:v>非银金融</c:v>
                </c:pt>
                <c:pt idx="9">
                  <c:v>石油石化</c:v>
                </c:pt>
                <c:pt idx="10">
                  <c:v>机械</c:v>
                </c:pt>
                <c:pt idx="11">
                  <c:v>企业服务</c:v>
                </c:pt>
                <c:pt idx="12">
                  <c:v>媒体娱乐</c:v>
                </c:pt>
                <c:pt idx="13">
                  <c:v>电信服务</c:v>
                </c:pt>
                <c:pt idx="14">
                  <c:v>日常消费零售</c:v>
                </c:pt>
                <c:pt idx="15">
                  <c:v>耐用消费品</c:v>
                </c:pt>
                <c:pt idx="16">
                  <c:v>可选消费零售</c:v>
                </c:pt>
                <c:pt idx="17">
                  <c:v>家庭用品</c:v>
                </c:pt>
                <c:pt idx="18">
                  <c:v>环保Ⅱ</c:v>
                </c:pt>
                <c:pt idx="19">
                  <c:v>建材Ⅱ</c:v>
                </c:pt>
                <c:pt idx="20">
                  <c:v>工业贸易与综合</c:v>
                </c:pt>
                <c:pt idx="21">
                  <c:v>消费者服务</c:v>
                </c:pt>
                <c:pt idx="22">
                  <c:v>家电Ⅱ</c:v>
                </c:pt>
                <c:pt idx="23">
                  <c:v>纺织服装Ⅱ</c:v>
                </c:pt>
                <c:pt idx="24">
                  <c:v>医疗设备与服务</c:v>
                </c:pt>
                <c:pt idx="25">
                  <c:v>钢铁Ⅱ</c:v>
                </c:pt>
                <c:pt idx="26">
                  <c:v>房地产Ⅱ</c:v>
                </c:pt>
                <c:pt idx="27">
                  <c:v>软件服务</c:v>
                </c:pt>
                <c:pt idx="28">
                  <c:v>交通运输</c:v>
                </c:pt>
                <c:pt idx="29">
                  <c:v>建筑</c:v>
                </c:pt>
                <c:pt idx="30">
                  <c:v>医药生物</c:v>
                </c:pt>
                <c:pt idx="31">
                  <c:v>食品饮料</c:v>
                </c:pt>
                <c:pt idx="32">
                  <c:v>银行</c:v>
                </c:pt>
                <c:pt idx="33">
                  <c:v>半导体</c:v>
                </c:pt>
                <c:pt idx="34">
                  <c:v>硬件设备</c:v>
                </c:pt>
              </c:strCache>
            </c:strRef>
          </c:cat>
          <c:val>
            <c:numRef>
              <c:f>[0]!主力净流入</c:f>
              <c:numCache>
                <c:formatCode>General</c:formatCode>
                <c:ptCount val="35"/>
                <c:pt idx="0">
                  <c:v>4849838049</c:v>
                </c:pt>
                <c:pt idx="1">
                  <c:v>4189815323</c:v>
                </c:pt>
                <c:pt idx="2">
                  <c:v>3741169640</c:v>
                </c:pt>
                <c:pt idx="3">
                  <c:v>3687179869</c:v>
                </c:pt>
                <c:pt idx="4">
                  <c:v>3327513353</c:v>
                </c:pt>
                <c:pt idx="5">
                  <c:v>1903448658</c:v>
                </c:pt>
                <c:pt idx="6">
                  <c:v>1573061315</c:v>
                </c:pt>
                <c:pt idx="7">
                  <c:v>857296014</c:v>
                </c:pt>
                <c:pt idx="8">
                  <c:v>599458641</c:v>
                </c:pt>
                <c:pt idx="9">
                  <c:v>391409012</c:v>
                </c:pt>
                <c:pt idx="10">
                  <c:v>228825481</c:v>
                </c:pt>
                <c:pt idx="11">
                  <c:v>120592756</c:v>
                </c:pt>
                <c:pt idx="12">
                  <c:v>37102254</c:v>
                </c:pt>
                <c:pt idx="13">
                  <c:v>-36815674</c:v>
                </c:pt>
                <c:pt idx="14">
                  <c:v>-55820831</c:v>
                </c:pt>
                <c:pt idx="15">
                  <c:v>-63477959</c:v>
                </c:pt>
                <c:pt idx="16">
                  <c:v>-88213333</c:v>
                </c:pt>
                <c:pt idx="17">
                  <c:v>-96327989</c:v>
                </c:pt>
                <c:pt idx="18">
                  <c:v>-193852137</c:v>
                </c:pt>
                <c:pt idx="19">
                  <c:v>-205074275</c:v>
                </c:pt>
                <c:pt idx="20">
                  <c:v>-241376788</c:v>
                </c:pt>
                <c:pt idx="21">
                  <c:v>-343005931</c:v>
                </c:pt>
                <c:pt idx="22">
                  <c:v>-350557159</c:v>
                </c:pt>
                <c:pt idx="23">
                  <c:v>-376950193</c:v>
                </c:pt>
                <c:pt idx="24">
                  <c:v>-420982719</c:v>
                </c:pt>
                <c:pt idx="25">
                  <c:v>-442455875</c:v>
                </c:pt>
                <c:pt idx="26">
                  <c:v>-523579297</c:v>
                </c:pt>
                <c:pt idx="27">
                  <c:v>-547516320</c:v>
                </c:pt>
                <c:pt idx="28">
                  <c:v>-1647711971</c:v>
                </c:pt>
                <c:pt idx="29">
                  <c:v>-1693398194</c:v>
                </c:pt>
                <c:pt idx="30">
                  <c:v>-1979422049</c:v>
                </c:pt>
                <c:pt idx="31">
                  <c:v>-2541667312</c:v>
                </c:pt>
                <c:pt idx="32">
                  <c:v>-3775281840</c:v>
                </c:pt>
                <c:pt idx="33">
                  <c:v>-7350586062</c:v>
                </c:pt>
                <c:pt idx="34">
                  <c:v>-8966055614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DDF-455E-8F29-2E8670F15D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937600"/>
        <c:axId val="102929696"/>
      </c:barChart>
      <c:catAx>
        <c:axId val="10293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Arial" panose="020B0604020202020204" pitchFamily="34" charset="0"/>
              </a:defRPr>
            </a:pPr>
            <a:endParaRPr lang="zh-CN"/>
          </a:p>
        </c:txPr>
        <c:crossAx val="102929696"/>
        <c:crosses val="autoZero"/>
        <c:auto val="1"/>
        <c:lblAlgn val="ctr"/>
        <c:lblOffset val="100"/>
        <c:noMultiLvlLbl val="0"/>
      </c:catAx>
      <c:valAx>
        <c:axId val="1029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2937600"/>
        <c:crosses val="autoZero"/>
        <c:crossBetween val="between"/>
        <c:dispUnits>
          <c:builtInUnit val="hundred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829689470634355"/>
          <c:y val="1.1435742293966426E-2"/>
          <c:w val="0.12246224623823491"/>
          <c:h val="9.8729323832589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594208992609773E-2"/>
          <c:y val="9.9711407548918274E-2"/>
          <c:w val="0.92269384931534726"/>
          <c:h val="0.452134343108539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资金流向数据!$V$5</c:f>
              <c:strCache>
                <c:ptCount val="1"/>
                <c:pt idx="0">
                  <c:v>主力净流入额(万元)</c:v>
                </c:pt>
              </c:strCache>
            </c:strRef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strRef>
              <c:f>资金流向数据!$U$7:$U$30</c:f>
              <c:strCache>
                <c:ptCount val="23"/>
                <c:pt idx="0">
                  <c:v>Wind材料Ⅱ</c:v>
                </c:pt>
                <c:pt idx="1">
                  <c:v>Wind技术硬件与设备</c:v>
                </c:pt>
                <c:pt idx="2">
                  <c:v>Wind半导体与半导体生产设备</c:v>
                </c:pt>
                <c:pt idx="3">
                  <c:v>Wind软件与服务</c:v>
                </c:pt>
                <c:pt idx="4">
                  <c:v>Wind公用事业Ⅱ</c:v>
                </c:pt>
                <c:pt idx="5">
                  <c:v>Wind汽车与汽车零部件</c:v>
                </c:pt>
                <c:pt idx="6">
                  <c:v>Wind制药、生物科技与生命科学</c:v>
                </c:pt>
                <c:pt idx="7">
                  <c:v>Wind能源Ⅱ</c:v>
                </c:pt>
                <c:pt idx="8">
                  <c:v>Wind食品、饮料与烟草</c:v>
                </c:pt>
                <c:pt idx="9">
                  <c:v>Wind多元金融</c:v>
                </c:pt>
                <c:pt idx="10">
                  <c:v>Wind耐用消费品与服装</c:v>
                </c:pt>
                <c:pt idx="11">
                  <c:v>Wind运输</c:v>
                </c:pt>
                <c:pt idx="12">
                  <c:v>Wind商业和专业服务</c:v>
                </c:pt>
                <c:pt idx="13">
                  <c:v>Wind医疗保健设备与服务</c:v>
                </c:pt>
                <c:pt idx="14">
                  <c:v>Wind银行</c:v>
                </c:pt>
                <c:pt idx="15">
                  <c:v>Wind媒体Ⅱ</c:v>
                </c:pt>
                <c:pt idx="16">
                  <c:v>Wind房地产Ⅱ</c:v>
                </c:pt>
                <c:pt idx="17">
                  <c:v>Wind零售业</c:v>
                </c:pt>
                <c:pt idx="18">
                  <c:v>Wind保险Ⅱ</c:v>
                </c:pt>
                <c:pt idx="19">
                  <c:v>Wind消费者服务Ⅱ</c:v>
                </c:pt>
                <c:pt idx="20">
                  <c:v>Wind电信服务Ⅱ</c:v>
                </c:pt>
                <c:pt idx="21">
                  <c:v>Wind食品与主要用品零售Ⅱ</c:v>
                </c:pt>
                <c:pt idx="22">
                  <c:v>Wind家庭与个人用品</c:v>
                </c:pt>
              </c:strCache>
            </c:strRef>
          </c:cat>
          <c:val>
            <c:numRef>
              <c:f>资金流向数据!$V$7:$V$30</c:f>
              <c:numCache>
                <c:formatCode>General</c:formatCode>
                <c:ptCount val="24"/>
                <c:pt idx="0">
                  <c:v>-5631205.3256999915</c:v>
                </c:pt>
                <c:pt idx="1">
                  <c:v>-2159957.7505999985</c:v>
                </c:pt>
                <c:pt idx="2">
                  <c:v>-545632.77400000079</c:v>
                </c:pt>
                <c:pt idx="3">
                  <c:v>-1526151.5987000004</c:v>
                </c:pt>
                <c:pt idx="4">
                  <c:v>-204223.55110000001</c:v>
                </c:pt>
                <c:pt idx="5">
                  <c:v>-571930.99919999961</c:v>
                </c:pt>
                <c:pt idx="6">
                  <c:v>-569254.68669999996</c:v>
                </c:pt>
                <c:pt idx="7">
                  <c:v>-289197.90280000004</c:v>
                </c:pt>
                <c:pt idx="8">
                  <c:v>-528621.33030000073</c:v>
                </c:pt>
                <c:pt idx="9">
                  <c:v>-216725.26099999988</c:v>
                </c:pt>
                <c:pt idx="10">
                  <c:v>-537319.43109999981</c:v>
                </c:pt>
                <c:pt idx="11">
                  <c:v>-85217.278900000034</c:v>
                </c:pt>
                <c:pt idx="12">
                  <c:v>-310943.94250000094</c:v>
                </c:pt>
                <c:pt idx="13">
                  <c:v>-455425.96650000021</c:v>
                </c:pt>
                <c:pt idx="14">
                  <c:v>-128636.57199999997</c:v>
                </c:pt>
                <c:pt idx="15">
                  <c:v>-466916.21390000044</c:v>
                </c:pt>
                <c:pt idx="16">
                  <c:v>-143499.16340000002</c:v>
                </c:pt>
                <c:pt idx="17">
                  <c:v>-108327.80709999989</c:v>
                </c:pt>
                <c:pt idx="18">
                  <c:v>32738.727699999999</c:v>
                </c:pt>
                <c:pt idx="19">
                  <c:v>-105631.14930000005</c:v>
                </c:pt>
                <c:pt idx="20">
                  <c:v>-50682.553200000002</c:v>
                </c:pt>
                <c:pt idx="21">
                  <c:v>-46972.327899999989</c:v>
                </c:pt>
                <c:pt idx="22">
                  <c:v>-16538.054200000002</c:v>
                </c:pt>
                <c:pt idx="2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EEE-4F5D-BD54-7B6CF4EC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797679"/>
        <c:axId val="6377789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资金流向数据!$U$7:$U$30</c15:sqref>
                        </c15:formulaRef>
                      </c:ext>
                    </c:extLst>
                    <c:strCache>
                      <c:ptCount val="23"/>
                      <c:pt idx="0">
                        <c:v>Wind材料Ⅱ</c:v>
                      </c:pt>
                      <c:pt idx="1">
                        <c:v>Wind技术硬件与设备</c:v>
                      </c:pt>
                      <c:pt idx="2">
                        <c:v>Wind半导体与半导体生产设备</c:v>
                      </c:pt>
                      <c:pt idx="3">
                        <c:v>Wind软件与服务</c:v>
                      </c:pt>
                      <c:pt idx="4">
                        <c:v>Wind公用事业Ⅱ</c:v>
                      </c:pt>
                      <c:pt idx="5">
                        <c:v>Wind汽车与汽车零部件</c:v>
                      </c:pt>
                      <c:pt idx="6">
                        <c:v>Wind制药、生物科技与生命科学</c:v>
                      </c:pt>
                      <c:pt idx="7">
                        <c:v>Wind能源Ⅱ</c:v>
                      </c:pt>
                      <c:pt idx="8">
                        <c:v>Wind食品、饮料与烟草</c:v>
                      </c:pt>
                      <c:pt idx="9">
                        <c:v>Wind多元金融</c:v>
                      </c:pt>
                      <c:pt idx="10">
                        <c:v>Wind耐用消费品与服装</c:v>
                      </c:pt>
                      <c:pt idx="11">
                        <c:v>Wind运输</c:v>
                      </c:pt>
                      <c:pt idx="12">
                        <c:v>Wind商业和专业服务</c:v>
                      </c:pt>
                      <c:pt idx="13">
                        <c:v>Wind医疗保健设备与服务</c:v>
                      </c:pt>
                      <c:pt idx="14">
                        <c:v>Wind银行</c:v>
                      </c:pt>
                      <c:pt idx="15">
                        <c:v>Wind媒体Ⅱ</c:v>
                      </c:pt>
                      <c:pt idx="16">
                        <c:v>Wind房地产Ⅱ</c:v>
                      </c:pt>
                      <c:pt idx="17">
                        <c:v>Wind零售业</c:v>
                      </c:pt>
                      <c:pt idx="18">
                        <c:v>Wind保险Ⅱ</c:v>
                      </c:pt>
                      <c:pt idx="19">
                        <c:v>Wind消费者服务Ⅱ</c:v>
                      </c:pt>
                      <c:pt idx="20">
                        <c:v>Wind电信服务Ⅱ</c:v>
                      </c:pt>
                      <c:pt idx="21">
                        <c:v>Wind食品与主要用品零售Ⅱ</c:v>
                      </c:pt>
                      <c:pt idx="22">
                        <c:v>Wind家庭与个人用品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资金流向数据!$W$7:$W$30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204268283.58262548</c:v>
                      </c:pt>
                      <c:pt idx="1">
                        <c:v>202855580.81909037</c:v>
                      </c:pt>
                      <c:pt idx="2">
                        <c:v>97959538.957000077</c:v>
                      </c:pt>
                      <c:pt idx="3">
                        <c:v>77243017.177255556</c:v>
                      </c:pt>
                      <c:pt idx="4">
                        <c:v>44421152.857293449</c:v>
                      </c:pt>
                      <c:pt idx="5">
                        <c:v>33979793.209819667</c:v>
                      </c:pt>
                      <c:pt idx="6">
                        <c:v>30209881.609987855</c:v>
                      </c:pt>
                      <c:pt idx="7">
                        <c:v>29339739.094825793</c:v>
                      </c:pt>
                      <c:pt idx="8">
                        <c:v>25354519.631803527</c:v>
                      </c:pt>
                      <c:pt idx="9">
                        <c:v>19539075.020800006</c:v>
                      </c:pt>
                      <c:pt idx="10">
                        <c:v>18164622.456625182</c:v>
                      </c:pt>
                      <c:pt idx="11">
                        <c:v>15247158.518412946</c:v>
                      </c:pt>
                      <c:pt idx="12">
                        <c:v>14537806.771858839</c:v>
                      </c:pt>
                      <c:pt idx="13">
                        <c:v>13933338.268329429</c:v>
                      </c:pt>
                      <c:pt idx="14">
                        <c:v>13572299.328500001</c:v>
                      </c:pt>
                      <c:pt idx="15">
                        <c:v>12726187.464300001</c:v>
                      </c:pt>
                      <c:pt idx="16">
                        <c:v>9522565.2258391231</c:v>
                      </c:pt>
                      <c:pt idx="17">
                        <c:v>4648291.0027646199</c:v>
                      </c:pt>
                      <c:pt idx="18">
                        <c:v>4111431.7901000003</c:v>
                      </c:pt>
                      <c:pt idx="19">
                        <c:v>2962036.2829358387</c:v>
                      </c:pt>
                      <c:pt idx="20">
                        <c:v>2876317.3755000001</c:v>
                      </c:pt>
                      <c:pt idx="21">
                        <c:v>1380343.3220999998</c:v>
                      </c:pt>
                      <c:pt idx="22">
                        <c:v>910668.06260000006</c:v>
                      </c:pt>
                      <c:pt idx="2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EEE-4F5D-BD54-7B6CF4EC264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资金流向数据!$X$5</c:f>
              <c:strCache>
                <c:ptCount val="1"/>
                <c:pt idx="0">
                  <c:v>连续流入天数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资金流向数据!$U$7:$U$30</c:f>
              <c:strCache>
                <c:ptCount val="23"/>
                <c:pt idx="0">
                  <c:v>Wind材料Ⅱ</c:v>
                </c:pt>
                <c:pt idx="1">
                  <c:v>Wind技术硬件与设备</c:v>
                </c:pt>
                <c:pt idx="2">
                  <c:v>Wind半导体与半导体生产设备</c:v>
                </c:pt>
                <c:pt idx="3">
                  <c:v>Wind软件与服务</c:v>
                </c:pt>
                <c:pt idx="4">
                  <c:v>Wind公用事业Ⅱ</c:v>
                </c:pt>
                <c:pt idx="5">
                  <c:v>Wind汽车与汽车零部件</c:v>
                </c:pt>
                <c:pt idx="6">
                  <c:v>Wind制药、生物科技与生命科学</c:v>
                </c:pt>
                <c:pt idx="7">
                  <c:v>Wind能源Ⅱ</c:v>
                </c:pt>
                <c:pt idx="8">
                  <c:v>Wind食品、饮料与烟草</c:v>
                </c:pt>
                <c:pt idx="9">
                  <c:v>Wind多元金融</c:v>
                </c:pt>
                <c:pt idx="10">
                  <c:v>Wind耐用消费品与服装</c:v>
                </c:pt>
                <c:pt idx="11">
                  <c:v>Wind运输</c:v>
                </c:pt>
                <c:pt idx="12">
                  <c:v>Wind商业和专业服务</c:v>
                </c:pt>
                <c:pt idx="13">
                  <c:v>Wind医疗保健设备与服务</c:v>
                </c:pt>
                <c:pt idx="14">
                  <c:v>Wind银行</c:v>
                </c:pt>
                <c:pt idx="15">
                  <c:v>Wind媒体Ⅱ</c:v>
                </c:pt>
                <c:pt idx="16">
                  <c:v>Wind房地产Ⅱ</c:v>
                </c:pt>
                <c:pt idx="17">
                  <c:v>Wind零售业</c:v>
                </c:pt>
                <c:pt idx="18">
                  <c:v>Wind保险Ⅱ</c:v>
                </c:pt>
                <c:pt idx="19">
                  <c:v>Wind消费者服务Ⅱ</c:v>
                </c:pt>
                <c:pt idx="20">
                  <c:v>Wind电信服务Ⅱ</c:v>
                </c:pt>
                <c:pt idx="21">
                  <c:v>Wind食品与主要用品零售Ⅱ</c:v>
                </c:pt>
                <c:pt idx="22">
                  <c:v>Wind家庭与个人用品</c:v>
                </c:pt>
              </c:strCache>
            </c:strRef>
          </c:cat>
          <c:val>
            <c:numRef>
              <c:f>资金流向数据!$X$7:$X$30</c:f>
              <c:numCache>
                <c:formatCode>General</c:formatCode>
                <c:ptCount val="24"/>
                <c:pt idx="0">
                  <c:v>-5</c:v>
                </c:pt>
                <c:pt idx="1">
                  <c:v>-2</c:v>
                </c:pt>
                <c:pt idx="2">
                  <c:v>1</c:v>
                </c:pt>
                <c:pt idx="3">
                  <c:v>-2</c:v>
                </c:pt>
                <c:pt idx="4">
                  <c:v>-1</c:v>
                </c:pt>
                <c:pt idx="5">
                  <c:v>-3</c:v>
                </c:pt>
                <c:pt idx="6">
                  <c:v>-5</c:v>
                </c:pt>
                <c:pt idx="7">
                  <c:v>-1</c:v>
                </c:pt>
                <c:pt idx="8">
                  <c:v>-4</c:v>
                </c:pt>
                <c:pt idx="9">
                  <c:v>-1</c:v>
                </c:pt>
                <c:pt idx="10">
                  <c:v>-5</c:v>
                </c:pt>
                <c:pt idx="11">
                  <c:v>-2</c:v>
                </c:pt>
                <c:pt idx="12">
                  <c:v>-2</c:v>
                </c:pt>
                <c:pt idx="13">
                  <c:v>-5</c:v>
                </c:pt>
                <c:pt idx="14">
                  <c:v>-4</c:v>
                </c:pt>
                <c:pt idx="15">
                  <c:v>-2</c:v>
                </c:pt>
                <c:pt idx="16">
                  <c:v>-3</c:v>
                </c:pt>
                <c:pt idx="17">
                  <c:v>-5</c:v>
                </c:pt>
                <c:pt idx="18">
                  <c:v>4</c:v>
                </c:pt>
                <c:pt idx="19">
                  <c:v>-5</c:v>
                </c:pt>
                <c:pt idx="20">
                  <c:v>-4</c:v>
                </c:pt>
                <c:pt idx="21">
                  <c:v>-5</c:v>
                </c:pt>
                <c:pt idx="22">
                  <c:v>-5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E-4F5D-BD54-7B6CF4EC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746367"/>
        <c:axId val="670723167"/>
      </c:lineChart>
      <c:catAx>
        <c:axId val="63779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637778959"/>
        <c:crosses val="autoZero"/>
        <c:auto val="1"/>
        <c:lblAlgn val="ctr"/>
        <c:lblOffset val="100"/>
        <c:noMultiLvlLbl val="0"/>
      </c:catAx>
      <c:valAx>
        <c:axId val="6377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7797679"/>
        <c:crosses val="autoZero"/>
        <c:crossBetween val="between"/>
      </c:valAx>
      <c:valAx>
        <c:axId val="67072316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746367"/>
        <c:crosses val="max"/>
        <c:crossBetween val="between"/>
      </c:valAx>
      <c:catAx>
        <c:axId val="618746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723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7274419508930895"/>
          <c:y val="2.3121380267510122E-2"/>
          <c:w val="0.26829283290493083"/>
          <c:h val="7.3460448330238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47625</xdr:rowOff>
    </xdr:from>
    <xdr:to>
      <xdr:col>11</xdr:col>
      <xdr:colOff>1057275</xdr:colOff>
      <xdr:row>17</xdr:row>
      <xdr:rowOff>171451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123825</xdr:colOff>
      <xdr:row>0</xdr:row>
      <xdr:rowOff>76200</xdr:rowOff>
    </xdr:from>
    <xdr:ext cx="607152" cy="219075"/>
    <xdr:pic>
      <xdr:nvPicPr>
        <xdr:cNvPr id="7" name="图片 6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6200"/>
          <a:ext cx="607152" cy="219075"/>
        </a:xfrm>
        <a:prstGeom prst="rect">
          <a:avLst/>
        </a:prstGeom>
      </xdr:spPr>
    </xdr:pic>
    <xdr:clientData/>
  </xdr:oneCellAnchor>
  <xdr:twoCellAnchor>
    <xdr:from>
      <xdr:col>2</xdr:col>
      <xdr:colOff>114299</xdr:colOff>
      <xdr:row>24</xdr:row>
      <xdr:rowOff>9525</xdr:rowOff>
    </xdr:from>
    <xdr:to>
      <xdr:col>11</xdr:col>
      <xdr:colOff>1066799</xdr:colOff>
      <xdr:row>39</xdr:row>
      <xdr:rowOff>161926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TDaysOffset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"/>
  <sheetViews>
    <sheetView workbookViewId="0"/>
  </sheetViews>
  <sheetFormatPr defaultRowHeight="14.25"/>
  <sheetData>
    <row r="1" spans="1:1">
      <c r="A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63636D"/>
  </sheetPr>
  <dimension ref="B1:O118"/>
  <sheetViews>
    <sheetView showGridLines="0" tabSelected="1" zoomScaleNormal="100" workbookViewId="0">
      <selection activeCell="Q21" sqref="Q21"/>
    </sheetView>
  </sheetViews>
  <sheetFormatPr defaultRowHeight="14.25"/>
  <cols>
    <col min="1" max="1" width="3.25" customWidth="1"/>
    <col min="2" max="2" width="1.875" customWidth="1"/>
    <col min="3" max="3" width="1.625" customWidth="1"/>
    <col min="4" max="4" width="18.625" customWidth="1"/>
    <col min="5" max="5" width="20.625" customWidth="1"/>
    <col min="6" max="6" width="2.625" customWidth="1"/>
    <col min="7" max="7" width="22.625" customWidth="1"/>
    <col min="8" max="8" width="20.625" customWidth="1"/>
    <col min="9" max="9" width="2.625" customWidth="1"/>
    <col min="10" max="10" width="22.625" customWidth="1"/>
    <col min="11" max="11" width="20.625" customWidth="1"/>
    <col min="12" max="12" width="14.125" customWidth="1"/>
    <col min="13" max="13" width="1.625" customWidth="1"/>
    <col min="14" max="14" width="1.875" customWidth="1"/>
    <col min="15" max="15" width="11.375" bestFit="1" customWidth="1"/>
  </cols>
  <sheetData>
    <row r="1" spans="2:15" ht="27.75">
      <c r="B1" s="6"/>
      <c r="C1" s="6"/>
      <c r="D1" s="6"/>
      <c r="E1" s="31" t="s">
        <v>52</v>
      </c>
      <c r="F1" s="31"/>
      <c r="G1" s="31"/>
      <c r="H1" s="31"/>
      <c r="I1" s="31"/>
      <c r="J1" s="31"/>
      <c r="K1" s="14" t="s">
        <v>22</v>
      </c>
      <c r="L1" s="21">
        <f ca="1">[1]!TDaysOffset(TODAY(),"Offset=-1")</f>
        <v>46101</v>
      </c>
      <c r="M1" s="6"/>
      <c r="N1" s="6"/>
    </row>
    <row r="2" spans="2:15" ht="8.1" customHeight="1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5" s="8" customFormat="1" ht="5.0999999999999996" customHeight="1">
      <c r="B3" s="7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7"/>
      <c r="O3"/>
    </row>
    <row r="4" spans="2:15" ht="21">
      <c r="B4" s="7"/>
      <c r="C4" s="15"/>
      <c r="D4" s="11" t="s">
        <v>23</v>
      </c>
      <c r="E4" s="13" t="s">
        <v>142</v>
      </c>
      <c r="F4" s="10"/>
      <c r="G4" s="10"/>
      <c r="H4" s="9"/>
      <c r="I4" s="9"/>
      <c r="J4" s="9"/>
      <c r="K4" s="9"/>
      <c r="L4" s="9"/>
      <c r="M4" s="8"/>
      <c r="N4" s="7"/>
    </row>
    <row r="5" spans="2:15" s="8" customFormat="1" ht="5.0999999999999996" customHeight="1">
      <c r="B5" s="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7"/>
      <c r="O5"/>
    </row>
    <row r="6" spans="2:15" s="8" customFormat="1" ht="21">
      <c r="B6" s="7"/>
      <c r="C6" s="15"/>
      <c r="D6" s="16" t="s">
        <v>66</v>
      </c>
      <c r="E6" s="17"/>
      <c r="F6" s="17"/>
      <c r="G6" s="17"/>
      <c r="H6" s="18"/>
      <c r="I6" s="18"/>
      <c r="J6" s="17"/>
      <c r="K6" s="17"/>
      <c r="L6" s="17"/>
      <c r="N6" s="7"/>
      <c r="O6"/>
    </row>
    <row r="7" spans="2:15" s="8" customFormat="1" ht="16.5">
      <c r="B7" s="7"/>
      <c r="C7" s="19"/>
      <c r="N7" s="7"/>
      <c r="O7"/>
    </row>
    <row r="8" spans="2:15" s="8" customFormat="1" ht="16.5">
      <c r="B8" s="7"/>
      <c r="C8" s="19"/>
      <c r="N8" s="7"/>
      <c r="O8"/>
    </row>
    <row r="9" spans="2:15" s="8" customFormat="1" ht="16.5" customHeight="1">
      <c r="B9" s="7"/>
      <c r="C9" s="19"/>
      <c r="H9" s="20"/>
      <c r="N9" s="7"/>
      <c r="O9"/>
    </row>
    <row r="10" spans="2:15" s="8" customFormat="1" ht="16.5">
      <c r="B10" s="7"/>
      <c r="C10" s="19"/>
      <c r="N10" s="7"/>
      <c r="O10"/>
    </row>
    <row r="11" spans="2:15" s="8" customFormat="1" ht="16.5">
      <c r="B11" s="7"/>
      <c r="C11" s="19"/>
      <c r="N11" s="7"/>
      <c r="O11"/>
    </row>
    <row r="12" spans="2:15" s="8" customFormat="1" ht="16.5">
      <c r="B12" s="7"/>
      <c r="C12" s="19"/>
      <c r="N12" s="7"/>
      <c r="O12"/>
    </row>
    <row r="13" spans="2:15" s="8" customFormat="1" ht="16.5">
      <c r="B13" s="7"/>
      <c r="C13" s="19"/>
      <c r="N13" s="7"/>
      <c r="O13"/>
    </row>
    <row r="14" spans="2:15" s="8" customFormat="1" ht="16.5">
      <c r="B14" s="7"/>
      <c r="C14" s="19"/>
      <c r="N14" s="7"/>
      <c r="O14"/>
    </row>
    <row r="15" spans="2:15" s="8" customFormat="1" ht="16.5">
      <c r="B15" s="7"/>
      <c r="C15" s="19"/>
      <c r="N15" s="7"/>
      <c r="O15"/>
    </row>
    <row r="16" spans="2:15" s="8" customFormat="1" ht="16.5">
      <c r="B16" s="7"/>
      <c r="C16" s="19"/>
      <c r="N16" s="7"/>
      <c r="O16"/>
    </row>
    <row r="17" spans="2:15" s="8" customFormat="1" ht="16.5">
      <c r="B17" s="7"/>
      <c r="C17" s="19"/>
      <c r="N17" s="7"/>
      <c r="O17"/>
    </row>
    <row r="18" spans="2:15" s="8" customFormat="1" ht="16.5">
      <c r="B18" s="7"/>
      <c r="C18" s="19"/>
      <c r="N18" s="7"/>
      <c r="O18"/>
    </row>
    <row r="19" spans="2:15" ht="9" customHeight="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2:15" ht="9.9499999999999993" customHeight="1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</row>
    <row r="21" spans="2:15" ht="19.5">
      <c r="B21" s="7"/>
      <c r="C21" s="8"/>
      <c r="D21" s="11" t="s">
        <v>23</v>
      </c>
      <c r="E21" s="13" t="s">
        <v>79</v>
      </c>
      <c r="G21" s="11" t="s">
        <v>24</v>
      </c>
      <c r="H21" s="26">
        <f ca="1">[1]!TDaysOffset(TODAY(),"Offset=-1")</f>
        <v>46101</v>
      </c>
      <c r="I21" s="8"/>
      <c r="J21" s="11" t="s">
        <v>77</v>
      </c>
      <c r="K21" s="13">
        <v>5</v>
      </c>
      <c r="L21" s="8"/>
      <c r="M21" s="8"/>
      <c r="N21" s="7"/>
    </row>
    <row r="22" spans="2:15" ht="5.0999999999999996" customHeight="1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7"/>
    </row>
    <row r="23" spans="2:15" ht="21">
      <c r="B23" s="7"/>
      <c r="C23" s="8"/>
      <c r="D23" s="12" t="s">
        <v>81</v>
      </c>
      <c r="E23" s="9"/>
      <c r="F23" s="9"/>
      <c r="G23" s="10"/>
      <c r="H23" s="10"/>
      <c r="I23" s="9"/>
      <c r="J23" s="9"/>
      <c r="K23" s="9"/>
      <c r="L23" s="9"/>
      <c r="M23" s="8"/>
      <c r="N23" s="7"/>
    </row>
    <row r="24" spans="2:15" ht="5.0999999999999996" customHeight="1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7"/>
    </row>
    <row r="25" spans="2:15" ht="16.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/>
    </row>
    <row r="26" spans="2:15" ht="16.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7"/>
    </row>
    <row r="27" spans="2:15" ht="16.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/>
    </row>
    <row r="28" spans="2:15" ht="16.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/>
    </row>
    <row r="29" spans="2:15" ht="16.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/>
    </row>
    <row r="30" spans="2:15" ht="16.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7"/>
    </row>
    <row r="31" spans="2:15" ht="16.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"/>
    </row>
    <row r="32" spans="2:15" ht="16.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7"/>
    </row>
    <row r="33" spans="2:14" ht="16.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7"/>
    </row>
    <row r="34" spans="2:14" ht="16.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7"/>
    </row>
    <row r="35" spans="2:14" ht="16.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7"/>
    </row>
    <row r="36" spans="2:14" ht="16.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7"/>
    </row>
    <row r="37" spans="2:14" ht="16.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7"/>
    </row>
    <row r="38" spans="2:14" ht="16.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7"/>
    </row>
    <row r="39" spans="2:14" ht="16.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7"/>
    </row>
    <row r="40" spans="2:14" ht="16.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7"/>
    </row>
    <row r="41" spans="2:14" ht="16.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57" spans="9:15">
      <c r="I57" s="2"/>
      <c r="J57" s="2"/>
      <c r="K57" s="2"/>
      <c r="L57" s="2"/>
      <c r="M57" s="2"/>
      <c r="N57" s="2"/>
    </row>
    <row r="58" spans="9:15">
      <c r="I58" s="2"/>
      <c r="J58" s="2"/>
      <c r="K58" s="2"/>
      <c r="L58" s="2"/>
      <c r="M58" s="2"/>
      <c r="N58" s="2"/>
    </row>
    <row r="59" spans="9:15">
      <c r="I59" s="2"/>
      <c r="J59" s="2"/>
      <c r="K59" s="2"/>
      <c r="L59" s="2"/>
      <c r="M59" s="2"/>
      <c r="N59" s="2"/>
      <c r="O59" s="3"/>
    </row>
    <row r="60" spans="9:15">
      <c r="I60" s="2"/>
      <c r="J60" s="2"/>
      <c r="K60" s="2"/>
      <c r="L60" s="2"/>
      <c r="M60" s="2"/>
      <c r="N60" s="2"/>
      <c r="O60" s="3"/>
    </row>
    <row r="61" spans="9:15">
      <c r="I61" s="2"/>
      <c r="J61" s="2"/>
      <c r="K61" s="2"/>
      <c r="L61" s="2"/>
      <c r="M61" s="2"/>
      <c r="N61" s="2"/>
      <c r="O61" s="3"/>
    </row>
    <row r="62" spans="9:15">
      <c r="I62" s="2"/>
      <c r="J62" s="2"/>
      <c r="K62" s="2"/>
      <c r="L62" s="2"/>
      <c r="M62" s="2"/>
      <c r="N62" s="2"/>
      <c r="O62" s="3"/>
    </row>
    <row r="63" spans="9:15">
      <c r="I63" s="2"/>
      <c r="J63" s="2"/>
      <c r="K63" s="2"/>
      <c r="L63" s="2"/>
      <c r="M63" s="2"/>
      <c r="N63" s="2"/>
      <c r="O63" s="3"/>
    </row>
    <row r="64" spans="9:15">
      <c r="I64" s="2"/>
      <c r="J64" s="2"/>
      <c r="K64" s="2"/>
      <c r="L64" s="2"/>
      <c r="M64" s="2"/>
      <c r="N64" s="2"/>
      <c r="O64" s="3"/>
    </row>
    <row r="65" spans="4:15">
      <c r="I65" s="2"/>
      <c r="J65" s="2"/>
      <c r="K65" s="2"/>
      <c r="L65" s="2"/>
      <c r="M65" s="2"/>
      <c r="N65" s="2"/>
      <c r="O65" s="3"/>
    </row>
    <row r="66" spans="4:15">
      <c r="I66" s="2"/>
      <c r="J66" s="2"/>
      <c r="K66" s="2"/>
      <c r="L66" s="2"/>
      <c r="M66" s="2"/>
      <c r="N66" s="2"/>
      <c r="O66" s="3"/>
    </row>
    <row r="67" spans="4:15">
      <c r="I67" s="2"/>
      <c r="J67" s="2"/>
      <c r="K67" s="2"/>
      <c r="L67" s="2"/>
      <c r="M67" s="2"/>
      <c r="N67" s="2"/>
      <c r="O67" s="3"/>
    </row>
    <row r="68" spans="4:15">
      <c r="I68" s="2"/>
      <c r="J68" s="2"/>
      <c r="K68" s="2"/>
      <c r="L68" s="2"/>
      <c r="M68" s="2"/>
      <c r="N68" s="2"/>
      <c r="O68" s="3"/>
    </row>
    <row r="69" spans="4:15">
      <c r="D69" s="4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</row>
    <row r="70" spans="4:15">
      <c r="D70" s="4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</row>
    <row r="71" spans="4:15">
      <c r="D71" s="4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</row>
    <row r="72" spans="4:15">
      <c r="D72" s="4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</row>
    <row r="73" spans="4:15">
      <c r="D73" s="4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</row>
    <row r="74" spans="4:15">
      <c r="D74" s="4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</row>
    <row r="75" spans="4:15">
      <c r="D75" s="4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</row>
    <row r="76" spans="4:15">
      <c r="D76" s="4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</row>
    <row r="77" spans="4:15">
      <c r="D77" s="4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</row>
    <row r="78" spans="4:15">
      <c r="D78" s="4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</row>
    <row r="79" spans="4:15">
      <c r="D79" s="4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</row>
    <row r="80" spans="4:15">
      <c r="D80" s="4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</row>
    <row r="81" spans="4:15">
      <c r="D81" s="4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</row>
    <row r="82" spans="4:15">
      <c r="D82" s="4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</row>
    <row r="83" spans="4:15">
      <c r="D83" s="4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</row>
    <row r="84" spans="4:15">
      <c r="D84" s="4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</row>
    <row r="85" spans="4:15">
      <c r="D85" s="4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</row>
    <row r="86" spans="4:15">
      <c r="D86" s="4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</row>
    <row r="87" spans="4:15">
      <c r="D87" s="4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</row>
    <row r="88" spans="4:15">
      <c r="D88" s="4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</row>
    <row r="89" spans="4:15">
      <c r="D89" s="4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</row>
    <row r="90" spans="4:15">
      <c r="D90" s="4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</row>
    <row r="91" spans="4:15">
      <c r="D91" s="4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</row>
    <row r="92" spans="4:15">
      <c r="D92" s="4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</row>
    <row r="93" spans="4:15">
      <c r="D93" s="4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</row>
    <row r="94" spans="4:15">
      <c r="D94" s="4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</row>
    <row r="95" spans="4:15">
      <c r="D95" s="4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</row>
    <row r="96" spans="4:15">
      <c r="D96" s="4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</row>
    <row r="97" spans="4:15">
      <c r="D97" s="4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</row>
    <row r="98" spans="4:15">
      <c r="D98" s="4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</row>
    <row r="99" spans="4:15">
      <c r="D99" s="4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</row>
    <row r="100" spans="4:15">
      <c r="D100" s="4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</row>
    <row r="101" spans="4:15">
      <c r="D101" s="4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</row>
    <row r="102" spans="4:15">
      <c r="D102" s="4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</row>
    <row r="103" spans="4:15">
      <c r="D103" s="4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</row>
    <row r="104" spans="4:15">
      <c r="D104" s="4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</row>
    <row r="105" spans="4:15">
      <c r="D105" s="4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</row>
    <row r="106" spans="4:15">
      <c r="D106" s="4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</row>
    <row r="107" spans="4:15">
      <c r="D107" s="4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</row>
    <row r="108" spans="4:15">
      <c r="D108" s="4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</row>
    <row r="109" spans="4:15">
      <c r="D109" s="4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</row>
    <row r="110" spans="4:15">
      <c r="D110" s="4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</row>
    <row r="111" spans="4:15">
      <c r="D111" s="4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</row>
    <row r="112" spans="4:15">
      <c r="D112" s="4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</row>
    <row r="113" spans="4:15">
      <c r="D113" s="4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</row>
    <row r="114" spans="4:15">
      <c r="D114" s="4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</row>
    <row r="115" spans="4:15">
      <c r="D115" s="4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</row>
    <row r="116" spans="4:15">
      <c r="D116" s="4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</row>
    <row r="117" spans="4:15">
      <c r="D117" s="4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</row>
    <row r="118" spans="4:15">
      <c r="D118" s="4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</row>
  </sheetData>
  <mergeCells count="1">
    <mergeCell ref="E1:J1"/>
  </mergeCells>
  <phoneticPr fontId="1" type="noConversion"/>
  <dataValidations disablePrompts="1" count="3">
    <dataValidation type="list" allowBlank="1" showInputMessage="1" showErrorMessage="1" sqref="E4" xr:uid="{00000000-0002-0000-0100-000000000000}">
      <formula1>"wind行业一级,wind行业二级,Wind主题行业,Wind省级指数,申万行业一级,申万行业二级"</formula1>
    </dataValidation>
    <dataValidation type="list" allowBlank="1" showInputMessage="1" showErrorMessage="1" sqref="K21" xr:uid="{00000000-0002-0000-0100-000001000000}">
      <formula1>"1,3,5,20,60"</formula1>
    </dataValidation>
    <dataValidation type="list" allowBlank="1" showInputMessage="1" showErrorMessage="1" sqref="E21" xr:uid="{00000000-0002-0000-0100-000002000000}">
      <formula1>"证监会一级,wind行业一级,wind行业二级,wind行业三级,wind行业四级,申万行业一级,申万行业二级,申万行业三级,中信一级行业,中信二级行业"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322"/>
  <sheetViews>
    <sheetView topLeftCell="B1" workbookViewId="0">
      <selection activeCell="I6" sqref="I6"/>
    </sheetView>
  </sheetViews>
  <sheetFormatPr defaultRowHeight="14.25"/>
  <cols>
    <col min="1" max="1" width="23.5" style="27" hidden="1" customWidth="1"/>
    <col min="2" max="2" width="12.625" customWidth="1"/>
    <col min="3" max="3" width="18.625" customWidth="1"/>
    <col min="4" max="4" width="25.625" customWidth="1"/>
    <col min="5" max="5" width="17.75" bestFit="1" customWidth="1"/>
    <col min="6" max="6" width="17.75" customWidth="1"/>
    <col min="7" max="7" width="9.5" style="27" hidden="1" customWidth="1"/>
    <col min="8" max="9" width="16.25" bestFit="1" customWidth="1"/>
    <col min="10" max="10" width="10.5" customWidth="1"/>
    <col min="11" max="13" width="17.25" style="23" customWidth="1"/>
    <col min="14" max="14" width="23.5" style="27" hidden="1" customWidth="1"/>
    <col min="15" max="15" width="30.25" customWidth="1"/>
    <col min="16" max="16" width="19.375" customWidth="1"/>
    <col min="17" max="17" width="20.875" customWidth="1"/>
    <col min="18" max="18" width="20.125" bestFit="1" customWidth="1"/>
    <col min="19" max="19" width="12.625" customWidth="1"/>
    <col min="20" max="20" width="9.5" style="27" hidden="1" customWidth="1"/>
    <col min="21" max="21" width="30.25" bestFit="1" customWidth="1"/>
    <col min="22" max="22" width="18.625" customWidth="1"/>
    <col min="23" max="23" width="16.625" customWidth="1"/>
    <col min="24" max="24" width="18.625" customWidth="1"/>
    <col min="25" max="25" width="12.625" customWidth="1"/>
    <col min="26" max="26" width="14.625" customWidth="1"/>
    <col min="27" max="27" width="16.125" bestFit="1" customWidth="1"/>
    <col min="28" max="28" width="19.125" bestFit="1" customWidth="1"/>
    <col min="29" max="29" width="16.125" bestFit="1" customWidth="1"/>
    <col min="30" max="30" width="19.125" bestFit="1" customWidth="1"/>
    <col min="31" max="31" width="16.125" bestFit="1" customWidth="1"/>
    <col min="32" max="32" width="19.125" bestFit="1" customWidth="1"/>
    <col min="33" max="33" width="16.125" bestFit="1" customWidth="1"/>
    <col min="34" max="34" width="19.125" bestFit="1" customWidth="1"/>
    <col min="35" max="35" width="16.125" bestFit="1" customWidth="1"/>
    <col min="36" max="36" width="19.125" bestFit="1" customWidth="1"/>
    <col min="37" max="37" width="12.75" bestFit="1" customWidth="1"/>
    <col min="38" max="38" width="15" bestFit="1" customWidth="1"/>
    <col min="39" max="39" width="16.125" bestFit="1" customWidth="1"/>
    <col min="40" max="40" width="19.125" bestFit="1" customWidth="1"/>
    <col min="41" max="41" width="12" bestFit="1" customWidth="1"/>
    <col min="42" max="42" width="15" bestFit="1" customWidth="1"/>
    <col min="43" max="43" width="16.125" bestFit="1" customWidth="1"/>
    <col min="44" max="44" width="19.125" bestFit="1" customWidth="1"/>
    <col min="45" max="45" width="12" bestFit="1" customWidth="1"/>
    <col min="46" max="46" width="15" bestFit="1" customWidth="1"/>
    <col min="47" max="47" width="8.25" customWidth="1"/>
    <col min="48" max="48" width="10.875" bestFit="1" customWidth="1"/>
    <col min="49" max="49" width="5.25" customWidth="1"/>
  </cols>
  <sheetData>
    <row r="1" spans="1:24">
      <c r="B1" t="s">
        <v>2</v>
      </c>
      <c r="C1" s="1" t="s">
        <v>3</v>
      </c>
      <c r="K1" t="s">
        <v>15</v>
      </c>
      <c r="L1" s="22" t="s">
        <v>5</v>
      </c>
      <c r="M1" s="22"/>
      <c r="O1" t="s">
        <v>53</v>
      </c>
      <c r="P1" s="1" t="s">
        <v>54</v>
      </c>
    </row>
    <row r="2" spans="1:24">
      <c r="A2" s="28"/>
      <c r="B2" t="s">
        <v>4</v>
      </c>
      <c r="C2" s="1" t="str">
        <f ca="1">TEXT(行业资金流向!L1,"YYYYMMDD")</f>
        <v>20260320</v>
      </c>
      <c r="K2" s="30" t="s">
        <v>93</v>
      </c>
      <c r="L2" s="22" t="s">
        <v>6</v>
      </c>
      <c r="M2" s="22"/>
      <c r="N2" s="28"/>
      <c r="O2" t="s">
        <v>55</v>
      </c>
      <c r="P2" s="1" t="str">
        <f ca="1">TEXT(行业资金流向!H21,"YYYYMMDD")</f>
        <v>20260320</v>
      </c>
    </row>
    <row r="3" spans="1:24">
      <c r="A3" s="28"/>
      <c r="B3" t="s">
        <v>5</v>
      </c>
      <c r="C3" s="1" t="str">
        <f>VLOOKUP(行业资金流向!E4,资金流向数据!K:L,2,0)</f>
        <v>a39901011q000000</v>
      </c>
      <c r="K3" s="30" t="s">
        <v>79</v>
      </c>
      <c r="L3" s="22" t="s">
        <v>14</v>
      </c>
      <c r="M3" s="22"/>
      <c r="N3" s="28"/>
      <c r="O3" t="s">
        <v>56</v>
      </c>
      <c r="P3" s="1" t="str">
        <f>行业资金流向!K21&amp;"日"</f>
        <v>5日</v>
      </c>
    </row>
    <row r="4" spans="1:24">
      <c r="A4" s="28"/>
      <c r="B4" t="s">
        <v>1</v>
      </c>
      <c r="C4" s="2" t="s">
        <v>8</v>
      </c>
      <c r="D4" t="s">
        <v>10</v>
      </c>
      <c r="K4" s="30" t="s">
        <v>94</v>
      </c>
      <c r="L4" s="22" t="s">
        <v>0</v>
      </c>
      <c r="M4" s="22"/>
      <c r="N4" s="28"/>
      <c r="O4" t="s">
        <v>57</v>
      </c>
      <c r="P4" s="1" t="str">
        <f>行业资金流向!E21</f>
        <v>wind行业二级</v>
      </c>
    </row>
    <row r="5" spans="1:24">
      <c r="A5" s="28" t="s">
        <v>17</v>
      </c>
      <c r="B5" t="s">
        <v>7</v>
      </c>
      <c r="C5" t="s">
        <v>9</v>
      </c>
      <c r="D5" t="s">
        <v>11</v>
      </c>
      <c r="E5" t="s">
        <v>16</v>
      </c>
      <c r="G5" s="27" t="s">
        <v>18</v>
      </c>
      <c r="H5" t="s">
        <v>19</v>
      </c>
      <c r="I5" t="s">
        <v>96</v>
      </c>
      <c r="K5" s="30" t="s">
        <v>95</v>
      </c>
      <c r="L5" s="22" t="s">
        <v>13</v>
      </c>
      <c r="M5" s="22"/>
      <c r="O5" t="s">
        <v>58</v>
      </c>
      <c r="P5" t="s">
        <v>60</v>
      </c>
      <c r="Q5" t="s">
        <v>62</v>
      </c>
      <c r="R5" t="s">
        <v>64</v>
      </c>
      <c r="T5" s="27" t="s">
        <v>18</v>
      </c>
      <c r="V5" t="s">
        <v>61</v>
      </c>
      <c r="W5" t="s">
        <v>63</v>
      </c>
      <c r="X5" t="s">
        <v>65</v>
      </c>
    </row>
    <row r="6" spans="1:24">
      <c r="A6" s="28">
        <f>IFERROR(RANK(E6,$E$6:$E$129),"")</f>
        <v>10</v>
      </c>
      <c r="B6" s="4">
        <f ca="1">[1]!wset("sectorconstituent","date="&amp;C2,"sectorId="&amp;C3,"field=date,wind_code,sec_name","cols=3;rows=35")</f>
        <v>46101</v>
      </c>
      <c r="C6" s="2" t="s">
        <v>51</v>
      </c>
      <c r="D6" s="2" t="s">
        <v>97</v>
      </c>
      <c r="E6" s="5">
        <f>IF(C6="","",RTD("wdf.rtq", ,C6, "rt_mf_amt","RT_Price"))</f>
        <v>391409012</v>
      </c>
      <c r="F6" s="5"/>
      <c r="G6" s="27">
        <v>1</v>
      </c>
      <c r="H6" t="str">
        <f>IF(D6="","",VLOOKUP(G6,A:E,4,0))</f>
        <v>化工</v>
      </c>
      <c r="I6">
        <f>IF(D6="","",VLOOKUP(G6,A:E,5,0))</f>
        <v>4849838049</v>
      </c>
      <c r="K6" s="24" t="s">
        <v>21</v>
      </c>
      <c r="L6" s="22" t="s">
        <v>20</v>
      </c>
      <c r="M6" s="22"/>
      <c r="N6" s="28" t="s">
        <v>17</v>
      </c>
      <c r="O6" t="s">
        <v>59</v>
      </c>
      <c r="P6" t="s">
        <v>61</v>
      </c>
      <c r="Q6" t="s">
        <v>63</v>
      </c>
      <c r="R6" t="s">
        <v>65</v>
      </c>
      <c r="T6" s="27">
        <v>1</v>
      </c>
      <c r="U6" t="str">
        <f ca="1">IF(O7="","",VLOOKUP(T6,N:R,2,0))</f>
        <v>Wind资本货物</v>
      </c>
      <c r="V6">
        <f ca="1">IF(O7="","",VLOOKUP(T6,N:R,3,0))</f>
        <v>-3397499.7202999908</v>
      </c>
      <c r="W6">
        <f ca="1">IF(O7="","",VLOOKUP(T6,N:R,4,0))</f>
        <v>225897867.1760166</v>
      </c>
      <c r="X6">
        <f ca="1">IF(O7="","",VLOOKUP(T6,N:R,5,0))</f>
        <v>-2</v>
      </c>
    </row>
    <row r="7" spans="1:24">
      <c r="A7" s="28">
        <f t="shared" ref="A7:A28" si="0">IFERROR(RANK(E7,$E$6:$E$129),"")</f>
        <v>1</v>
      </c>
      <c r="B7" s="4">
        <v>46101</v>
      </c>
      <c r="C7" s="2" t="s">
        <v>25</v>
      </c>
      <c r="D7" s="2" t="s">
        <v>98</v>
      </c>
      <c r="E7" s="5">
        <f>IF(C7="","",RTD("wdf.rtq", ,C7, "rt_mf_amt","RT_Price"))</f>
        <v>4849838049</v>
      </c>
      <c r="F7" s="5"/>
      <c r="G7" s="27">
        <v>2</v>
      </c>
      <c r="H7" t="str">
        <f>IF(D7="","",VLOOKUP(G7,A:E,4,0))</f>
        <v>汽车与零配件</v>
      </c>
      <c r="I7">
        <f t="shared" ref="I7:I70" si="1">IF(D7="","",VLOOKUP(G7,A:E,5,0))</f>
        <v>4189815323</v>
      </c>
      <c r="K7" s="24" t="s">
        <v>50</v>
      </c>
      <c r="L7" s="22" t="s">
        <v>49</v>
      </c>
      <c r="M7" s="22"/>
      <c r="N7" s="28">
        <f>IFERROR(RANK(Q7,$Q$7:$Q$129),"")</f>
        <v>18</v>
      </c>
      <c r="O7" s="1" t="str">
        <f ca="1">[1]!wset("industrymoneyflow","endDate="&amp;P2,"span="&amp;P3,"sectorIndex="&amp;P4,"field=industryName,mainInflowMoney,swapNumber,continuousInflowDays,","cols=4;rows=24")</f>
        <v>Wind房地产Ⅱ</v>
      </c>
      <c r="P7" s="32">
        <v>-143499.16340000002</v>
      </c>
      <c r="Q7" s="32">
        <v>9522565.2258391231</v>
      </c>
      <c r="R7" s="2">
        <v>-3</v>
      </c>
      <c r="S7" s="2"/>
      <c r="T7" s="27">
        <v>2</v>
      </c>
      <c r="U7" t="str">
        <f t="shared" ref="U7:U70" si="2">IF(O8="","",VLOOKUP(T7,N:R,2,0))</f>
        <v>Wind材料Ⅱ</v>
      </c>
      <c r="V7">
        <f t="shared" ref="V7:V70" si="3">IF(O8="","",VLOOKUP(T7,N:R,3,0))</f>
        <v>-5631205.3256999915</v>
      </c>
      <c r="W7">
        <f t="shared" ref="W7:W70" si="4">IF(O8="","",VLOOKUP(T7,N:R,4,0))</f>
        <v>204268283.58262548</v>
      </c>
      <c r="X7">
        <f t="shared" ref="X7:X70" si="5">IF(O8="","",VLOOKUP(T7,N:R,5,0))</f>
        <v>-5</v>
      </c>
    </row>
    <row r="8" spans="1:24">
      <c r="A8" s="28">
        <f t="shared" si="0"/>
        <v>8</v>
      </c>
      <c r="B8" s="4">
        <v>46101</v>
      </c>
      <c r="C8" s="2" t="s">
        <v>26</v>
      </c>
      <c r="D8" s="2" t="s">
        <v>99</v>
      </c>
      <c r="E8" s="5">
        <f>IF(C8="","",RTD("wdf.rtq", ,C8, "rt_mf_amt","RT_Price"))</f>
        <v>857296014</v>
      </c>
      <c r="F8" s="5"/>
      <c r="G8" s="27">
        <v>3</v>
      </c>
      <c r="H8" t="str">
        <f t="shared" ref="H8:H70" si="6">IF(D8="","",VLOOKUP(G8,A:E,4,0))</f>
        <v>电气设备</v>
      </c>
      <c r="I8">
        <f t="shared" si="1"/>
        <v>3741169640</v>
      </c>
      <c r="K8" s="22"/>
      <c r="L8" s="22"/>
      <c r="M8" s="22"/>
      <c r="N8" s="28">
        <f t="shared" ref="N8:N71" si="7">IFERROR(RANK(Q8,$Q$7:$Q$129),"")</f>
        <v>9</v>
      </c>
      <c r="O8" s="2" t="s">
        <v>67</v>
      </c>
      <c r="P8" s="32">
        <v>-289197.90280000004</v>
      </c>
      <c r="Q8" s="32">
        <v>29339739.094825793</v>
      </c>
      <c r="R8" s="2">
        <v>-1</v>
      </c>
      <c r="S8" s="2"/>
      <c r="T8" s="27">
        <v>3</v>
      </c>
      <c r="U8" t="str">
        <f t="shared" si="2"/>
        <v>Wind技术硬件与设备</v>
      </c>
      <c r="V8">
        <f t="shared" si="3"/>
        <v>-2159957.7505999985</v>
      </c>
      <c r="W8">
        <f t="shared" si="4"/>
        <v>202855580.81909037</v>
      </c>
      <c r="X8">
        <f t="shared" si="5"/>
        <v>-2</v>
      </c>
    </row>
    <row r="9" spans="1:24">
      <c r="A9" s="28">
        <f t="shared" si="0"/>
        <v>12</v>
      </c>
      <c r="B9" s="4">
        <v>46101</v>
      </c>
      <c r="C9" s="2" t="s">
        <v>27</v>
      </c>
      <c r="D9" s="2" t="s">
        <v>100</v>
      </c>
      <c r="E9" s="5">
        <f>IF(C9="","",RTD("wdf.rtq", ,C9, "rt_mf_amt","RT_Price"))</f>
        <v>120592756</v>
      </c>
      <c r="F9" s="5"/>
      <c r="G9" s="27">
        <v>4</v>
      </c>
      <c r="H9" t="str">
        <f t="shared" si="6"/>
        <v>有色金属</v>
      </c>
      <c r="I9">
        <f t="shared" si="1"/>
        <v>3687179869</v>
      </c>
      <c r="K9" s="22"/>
      <c r="L9" s="22"/>
      <c r="M9" s="22"/>
      <c r="N9" s="28">
        <f t="shared" si="7"/>
        <v>14</v>
      </c>
      <c r="O9" s="2" t="s">
        <v>68</v>
      </c>
      <c r="P9" s="32">
        <v>-310943.94250000094</v>
      </c>
      <c r="Q9" s="32">
        <v>14537806.771858839</v>
      </c>
      <c r="R9" s="2">
        <v>-2</v>
      </c>
      <c r="S9" s="2"/>
      <c r="T9" s="27">
        <v>4</v>
      </c>
      <c r="U9" t="str">
        <f t="shared" si="2"/>
        <v>Wind半导体与半导体生产设备</v>
      </c>
      <c r="V9">
        <f t="shared" si="3"/>
        <v>-545632.77400000079</v>
      </c>
      <c r="W9">
        <f t="shared" si="4"/>
        <v>97959538.957000077</v>
      </c>
      <c r="X9">
        <f t="shared" si="5"/>
        <v>1</v>
      </c>
    </row>
    <row r="10" spans="1:24">
      <c r="A10" s="28">
        <f t="shared" si="0"/>
        <v>29</v>
      </c>
      <c r="B10" s="4">
        <v>46101</v>
      </c>
      <c r="C10" s="2" t="s">
        <v>28</v>
      </c>
      <c r="D10" s="2" t="s">
        <v>101</v>
      </c>
      <c r="E10" s="5">
        <f>IF(C10="","",RTD("wdf.rtq", ,C10, "rt_mf_amt","RT_Price"))</f>
        <v>-1647711971</v>
      </c>
      <c r="F10" s="5"/>
      <c r="G10" s="27">
        <v>5</v>
      </c>
      <c r="H10" t="str">
        <f t="shared" si="6"/>
        <v>造纸与包装</v>
      </c>
      <c r="I10">
        <f t="shared" si="1"/>
        <v>3327513353</v>
      </c>
      <c r="K10" s="22"/>
      <c r="L10" s="22"/>
      <c r="M10" s="22"/>
      <c r="N10" s="28">
        <f t="shared" si="7"/>
        <v>21</v>
      </c>
      <c r="O10" s="2" t="s">
        <v>69</v>
      </c>
      <c r="P10" s="32">
        <v>-105631.14930000005</v>
      </c>
      <c r="Q10" s="32">
        <v>2962036.2829358387</v>
      </c>
      <c r="R10" s="2">
        <v>-5</v>
      </c>
      <c r="S10" s="2"/>
      <c r="T10" s="27">
        <v>5</v>
      </c>
      <c r="U10" t="str">
        <f t="shared" si="2"/>
        <v>Wind软件与服务</v>
      </c>
      <c r="V10">
        <f t="shared" si="3"/>
        <v>-1526151.5987000004</v>
      </c>
      <c r="W10">
        <f t="shared" si="4"/>
        <v>77243017.177255556</v>
      </c>
      <c r="X10">
        <f t="shared" si="5"/>
        <v>-2</v>
      </c>
    </row>
    <row r="11" spans="1:24">
      <c r="A11" s="28">
        <f t="shared" si="0"/>
        <v>2</v>
      </c>
      <c r="B11" s="4">
        <v>46101</v>
      </c>
      <c r="C11" s="2" t="s">
        <v>29</v>
      </c>
      <c r="D11" s="2" t="s">
        <v>102</v>
      </c>
      <c r="E11" s="5">
        <f>IF(C11="","",RTD("wdf.rtq", ,C11, "rt_mf_amt","RT_Price"))</f>
        <v>4189815323</v>
      </c>
      <c r="F11" s="5"/>
      <c r="G11" s="27">
        <v>6</v>
      </c>
      <c r="H11" t="str">
        <f t="shared" si="6"/>
        <v>公用事业Ⅱ</v>
      </c>
      <c r="I11">
        <f t="shared" si="1"/>
        <v>1903448658</v>
      </c>
      <c r="K11" s="22"/>
      <c r="L11" s="22"/>
      <c r="M11" s="22"/>
      <c r="N11" s="28">
        <f t="shared" si="7"/>
        <v>17</v>
      </c>
      <c r="O11" s="2" t="s">
        <v>70</v>
      </c>
      <c r="P11" s="32">
        <v>-466916.21390000044</v>
      </c>
      <c r="Q11" s="32">
        <v>12726187.464300001</v>
      </c>
      <c r="R11" s="2">
        <v>-2</v>
      </c>
      <c r="S11" s="2"/>
      <c r="T11" s="27">
        <v>6</v>
      </c>
      <c r="U11" t="str">
        <f t="shared" si="2"/>
        <v>Wind公用事业Ⅱ</v>
      </c>
      <c r="V11">
        <f t="shared" si="3"/>
        <v>-204223.55110000001</v>
      </c>
      <c r="W11">
        <f t="shared" si="4"/>
        <v>44421152.857293449</v>
      </c>
      <c r="X11">
        <f t="shared" si="5"/>
        <v>-1</v>
      </c>
    </row>
    <row r="12" spans="1:24">
      <c r="A12" s="28">
        <f t="shared" si="0"/>
        <v>16</v>
      </c>
      <c r="B12" s="4">
        <v>46101</v>
      </c>
      <c r="C12" s="2" t="s">
        <v>30</v>
      </c>
      <c r="D12" s="2" t="s">
        <v>103</v>
      </c>
      <c r="E12" s="5">
        <f>IF(C12="","",RTD("wdf.rtq", ,C12, "rt_mf_amt","RT_Price"))</f>
        <v>-63477959</v>
      </c>
      <c r="F12" s="5"/>
      <c r="G12" s="27">
        <v>7</v>
      </c>
      <c r="H12" t="str">
        <f t="shared" si="6"/>
        <v>煤炭Ⅱ</v>
      </c>
      <c r="I12">
        <f t="shared" si="1"/>
        <v>1573061315</v>
      </c>
      <c r="K12" s="22"/>
      <c r="L12" s="22"/>
      <c r="M12" s="22"/>
      <c r="N12" s="28">
        <f t="shared" si="7"/>
        <v>19</v>
      </c>
      <c r="O12" s="2" t="s">
        <v>78</v>
      </c>
      <c r="P12" s="32">
        <v>-108327.80709999989</v>
      </c>
      <c r="Q12" s="32">
        <v>4648291.0027646199</v>
      </c>
      <c r="R12" s="2">
        <v>-5</v>
      </c>
      <c r="S12" s="2"/>
      <c r="T12" s="27">
        <v>7</v>
      </c>
      <c r="U12" t="str">
        <f t="shared" si="2"/>
        <v>Wind汽车与汽车零部件</v>
      </c>
      <c r="V12">
        <f t="shared" si="3"/>
        <v>-571930.99919999961</v>
      </c>
      <c r="W12">
        <f t="shared" si="4"/>
        <v>33979793.209819667</v>
      </c>
      <c r="X12">
        <f t="shared" si="5"/>
        <v>-3</v>
      </c>
    </row>
    <row r="13" spans="1:24">
      <c r="A13" s="28">
        <f t="shared" si="0"/>
        <v>22</v>
      </c>
      <c r="B13" s="4">
        <v>46101</v>
      </c>
      <c r="C13" s="2" t="s">
        <v>31</v>
      </c>
      <c r="D13" s="2" t="s">
        <v>104</v>
      </c>
      <c r="E13" s="5">
        <f>IF(C13="","",RTD("wdf.rtq", ,C13, "rt_mf_amt","RT_Price"))</f>
        <v>-343005931</v>
      </c>
      <c r="F13" s="5"/>
      <c r="G13" s="27">
        <v>8</v>
      </c>
      <c r="H13" t="str">
        <f t="shared" si="6"/>
        <v>国防军工</v>
      </c>
      <c r="I13">
        <f t="shared" si="1"/>
        <v>857296014</v>
      </c>
      <c r="K13" s="22"/>
      <c r="L13" s="22"/>
      <c r="M13" s="22"/>
      <c r="N13" s="28">
        <f t="shared" si="7"/>
        <v>23</v>
      </c>
      <c r="O13" s="2" t="s">
        <v>71</v>
      </c>
      <c r="P13" s="32">
        <v>-46972.327899999989</v>
      </c>
      <c r="Q13" s="32">
        <v>1380343.3220999998</v>
      </c>
      <c r="R13" s="2">
        <v>-5</v>
      </c>
      <c r="S13" s="2"/>
      <c r="T13" s="27">
        <v>8</v>
      </c>
      <c r="U13" t="str">
        <f t="shared" si="2"/>
        <v>Wind制药、生物科技与生命科学</v>
      </c>
      <c r="V13">
        <f t="shared" si="3"/>
        <v>-569254.68669999996</v>
      </c>
      <c r="W13">
        <f t="shared" si="4"/>
        <v>30209881.609987855</v>
      </c>
      <c r="X13">
        <f t="shared" si="5"/>
        <v>-5</v>
      </c>
    </row>
    <row r="14" spans="1:24">
      <c r="A14" s="28">
        <f t="shared" si="0"/>
        <v>13</v>
      </c>
      <c r="B14" s="4">
        <v>46101</v>
      </c>
      <c r="C14" s="2" t="s">
        <v>32</v>
      </c>
      <c r="D14" s="2" t="s">
        <v>105</v>
      </c>
      <c r="E14" s="5">
        <f>IF(C14="","",RTD("wdf.rtq", ,C14, "rt_mf_amt","RT_Price"))</f>
        <v>37102254</v>
      </c>
      <c r="F14" s="5"/>
      <c r="G14" s="27">
        <v>9</v>
      </c>
      <c r="H14" t="str">
        <f t="shared" si="6"/>
        <v>非银金融</v>
      </c>
      <c r="I14">
        <f t="shared" si="1"/>
        <v>599458641</v>
      </c>
      <c r="K14" s="22"/>
      <c r="L14" s="22"/>
      <c r="M14" s="22"/>
      <c r="N14" s="28">
        <f t="shared" si="7"/>
        <v>10</v>
      </c>
      <c r="O14" s="2" t="s">
        <v>82</v>
      </c>
      <c r="P14" s="32">
        <v>-528621.33030000073</v>
      </c>
      <c r="Q14" s="32">
        <v>25354519.631803527</v>
      </c>
      <c r="R14" s="2">
        <v>-4</v>
      </c>
      <c r="S14" s="2"/>
      <c r="T14" s="27">
        <v>9</v>
      </c>
      <c r="U14" t="str">
        <f t="shared" si="2"/>
        <v>Wind能源Ⅱ</v>
      </c>
      <c r="V14">
        <f t="shared" si="3"/>
        <v>-289197.90280000004</v>
      </c>
      <c r="W14">
        <f t="shared" si="4"/>
        <v>29339739.094825793</v>
      </c>
      <c r="X14">
        <f t="shared" si="5"/>
        <v>-1</v>
      </c>
    </row>
    <row r="15" spans="1:24">
      <c r="A15" s="28">
        <f t="shared" si="0"/>
        <v>17</v>
      </c>
      <c r="B15" s="4">
        <v>46101</v>
      </c>
      <c r="C15" s="2" t="s">
        <v>33</v>
      </c>
      <c r="D15" s="2" t="s">
        <v>106</v>
      </c>
      <c r="E15" s="5">
        <f>IF(C15="","",RTD("wdf.rtq", ,C15, "rt_mf_amt","RT_Price"))</f>
        <v>-88213333</v>
      </c>
      <c r="F15" s="5"/>
      <c r="G15" s="27">
        <v>10</v>
      </c>
      <c r="H15" t="str">
        <f t="shared" si="6"/>
        <v>石油石化</v>
      </c>
      <c r="I15">
        <f t="shared" si="1"/>
        <v>391409012</v>
      </c>
      <c r="K15" s="22"/>
      <c r="L15" s="22"/>
      <c r="M15" s="22"/>
      <c r="N15" s="28">
        <f t="shared" si="7"/>
        <v>24</v>
      </c>
      <c r="O15" s="2" t="s">
        <v>72</v>
      </c>
      <c r="P15" s="32">
        <v>-16538.054200000002</v>
      </c>
      <c r="Q15" s="32">
        <v>910668.06260000006</v>
      </c>
      <c r="R15" s="2">
        <v>-5</v>
      </c>
      <c r="S15" s="2"/>
      <c r="T15" s="27">
        <v>10</v>
      </c>
      <c r="U15" t="str">
        <f t="shared" si="2"/>
        <v>Wind食品、饮料与烟草</v>
      </c>
      <c r="V15">
        <f t="shared" si="3"/>
        <v>-528621.33030000073</v>
      </c>
      <c r="W15">
        <f t="shared" si="4"/>
        <v>25354519.631803527</v>
      </c>
      <c r="X15">
        <f t="shared" si="5"/>
        <v>-4</v>
      </c>
    </row>
    <row r="16" spans="1:24">
      <c r="A16" s="28">
        <f t="shared" si="0"/>
        <v>15</v>
      </c>
      <c r="B16" s="4">
        <v>46101</v>
      </c>
      <c r="C16" s="2" t="s">
        <v>34</v>
      </c>
      <c r="D16" s="2" t="s">
        <v>107</v>
      </c>
      <c r="E16" s="5">
        <f>IF(C16="","",RTD("wdf.rtq", ,C16, "rt_mf_amt","RT_Price"))</f>
        <v>-55820831</v>
      </c>
      <c r="F16" s="5"/>
      <c r="G16" s="27">
        <v>11</v>
      </c>
      <c r="H16" t="str">
        <f t="shared" si="6"/>
        <v>机械</v>
      </c>
      <c r="I16">
        <f t="shared" si="1"/>
        <v>228825481</v>
      </c>
      <c r="K16" s="22"/>
      <c r="L16" s="22"/>
      <c r="M16" s="22"/>
      <c r="N16" s="28">
        <f t="shared" si="7"/>
        <v>15</v>
      </c>
      <c r="O16" s="2" t="s">
        <v>73</v>
      </c>
      <c r="P16" s="32">
        <v>-455425.96650000021</v>
      </c>
      <c r="Q16" s="32">
        <v>13933338.268329429</v>
      </c>
      <c r="R16" s="2">
        <v>-5</v>
      </c>
      <c r="S16" s="2"/>
      <c r="T16" s="27">
        <v>11</v>
      </c>
      <c r="U16" t="str">
        <f t="shared" si="2"/>
        <v>Wind多元金融</v>
      </c>
      <c r="V16">
        <f t="shared" si="3"/>
        <v>-216725.26099999988</v>
      </c>
      <c r="W16">
        <f t="shared" si="4"/>
        <v>19539075.020800006</v>
      </c>
      <c r="X16">
        <f t="shared" si="5"/>
        <v>-1</v>
      </c>
    </row>
    <row r="17" spans="1:24">
      <c r="A17" s="28">
        <f t="shared" si="0"/>
        <v>32</v>
      </c>
      <c r="B17" s="4">
        <v>46101</v>
      </c>
      <c r="C17" s="2" t="s">
        <v>35</v>
      </c>
      <c r="D17" s="2" t="s">
        <v>108</v>
      </c>
      <c r="E17" s="5">
        <f>IF(C17="","",RTD("wdf.rtq", ,C17, "rt_mf_amt","RT_Price"))</f>
        <v>-2541667312</v>
      </c>
      <c r="F17" s="5"/>
      <c r="G17" s="27">
        <v>12</v>
      </c>
      <c r="H17" t="str">
        <f t="shared" si="6"/>
        <v>企业服务</v>
      </c>
      <c r="I17">
        <f t="shared" si="1"/>
        <v>120592756</v>
      </c>
      <c r="K17" s="22"/>
      <c r="L17" s="22"/>
      <c r="M17" s="22"/>
      <c r="N17" s="28">
        <f t="shared" si="7"/>
        <v>13</v>
      </c>
      <c r="O17" s="2" t="s">
        <v>83</v>
      </c>
      <c r="P17" s="32">
        <v>-85217.278900000034</v>
      </c>
      <c r="Q17" s="32">
        <v>15247158.518412946</v>
      </c>
      <c r="R17" s="2">
        <v>-2</v>
      </c>
      <c r="S17" s="2"/>
      <c r="T17" s="27">
        <v>12</v>
      </c>
      <c r="U17" t="str">
        <f t="shared" si="2"/>
        <v>Wind耐用消费品与服装</v>
      </c>
      <c r="V17">
        <f t="shared" si="3"/>
        <v>-537319.43109999981</v>
      </c>
      <c r="W17">
        <f t="shared" si="4"/>
        <v>18164622.456625182</v>
      </c>
      <c r="X17">
        <f t="shared" si="5"/>
        <v>-5</v>
      </c>
    </row>
    <row r="18" spans="1:24">
      <c r="A18" s="28">
        <f t="shared" si="0"/>
        <v>18</v>
      </c>
      <c r="B18" s="4">
        <v>46101</v>
      </c>
      <c r="C18" s="2" t="s">
        <v>36</v>
      </c>
      <c r="D18" s="2" t="s">
        <v>109</v>
      </c>
      <c r="E18" s="5">
        <f>IF(C18="","",RTD("wdf.rtq", ,C18, "rt_mf_amt","RT_Price"))</f>
        <v>-96327989</v>
      </c>
      <c r="F18" s="5"/>
      <c r="G18" s="27">
        <v>13</v>
      </c>
      <c r="H18" t="str">
        <f t="shared" si="6"/>
        <v>媒体娱乐</v>
      </c>
      <c r="I18">
        <f t="shared" si="1"/>
        <v>37102254</v>
      </c>
      <c r="K18" s="22"/>
      <c r="L18" s="22"/>
      <c r="M18" s="22"/>
      <c r="N18" s="28">
        <f t="shared" si="7"/>
        <v>7</v>
      </c>
      <c r="O18" s="2" t="s">
        <v>84</v>
      </c>
      <c r="P18" s="32">
        <v>-571930.99919999961</v>
      </c>
      <c r="Q18" s="32">
        <v>33979793.209819667</v>
      </c>
      <c r="R18" s="2">
        <v>-3</v>
      </c>
      <c r="S18" s="2"/>
      <c r="T18" s="27">
        <v>13</v>
      </c>
      <c r="U18" t="str">
        <f t="shared" si="2"/>
        <v>Wind运输</v>
      </c>
      <c r="V18">
        <f t="shared" si="3"/>
        <v>-85217.278900000034</v>
      </c>
      <c r="W18">
        <f t="shared" si="4"/>
        <v>15247158.518412946</v>
      </c>
      <c r="X18">
        <f t="shared" si="5"/>
        <v>-2</v>
      </c>
    </row>
    <row r="19" spans="1:24">
      <c r="A19" s="28">
        <f t="shared" si="0"/>
        <v>25</v>
      </c>
      <c r="B19" s="4">
        <v>46101</v>
      </c>
      <c r="C19" s="2" t="s">
        <v>37</v>
      </c>
      <c r="D19" s="2" t="s">
        <v>110</v>
      </c>
      <c r="E19" s="5">
        <f>IF(C19="","",RTD("wdf.rtq", ,C19, "rt_mf_amt","RT_Price"))</f>
        <v>-420982719</v>
      </c>
      <c r="F19" s="5"/>
      <c r="G19" s="27">
        <v>14</v>
      </c>
      <c r="H19" t="str">
        <f t="shared" si="6"/>
        <v>电信服务</v>
      </c>
      <c r="I19">
        <f t="shared" si="1"/>
        <v>-36815674</v>
      </c>
      <c r="K19" s="22"/>
      <c r="L19" s="22"/>
      <c r="M19" s="22"/>
      <c r="N19" s="28">
        <f t="shared" si="7"/>
        <v>12</v>
      </c>
      <c r="O19" s="2" t="s">
        <v>74</v>
      </c>
      <c r="P19" s="32">
        <v>-537319.43109999981</v>
      </c>
      <c r="Q19" s="32">
        <v>18164622.456625182</v>
      </c>
      <c r="R19" s="2">
        <v>-5</v>
      </c>
      <c r="S19" s="2"/>
      <c r="T19" s="27">
        <v>14</v>
      </c>
      <c r="U19" t="str">
        <f t="shared" si="2"/>
        <v>Wind商业和专业服务</v>
      </c>
      <c r="V19">
        <f t="shared" si="3"/>
        <v>-310943.94250000094</v>
      </c>
      <c r="W19">
        <f t="shared" si="4"/>
        <v>14537806.771858839</v>
      </c>
      <c r="X19">
        <f t="shared" si="5"/>
        <v>-2</v>
      </c>
    </row>
    <row r="20" spans="1:24">
      <c r="A20" s="28">
        <f t="shared" si="0"/>
        <v>31</v>
      </c>
      <c r="B20" s="4">
        <v>46101</v>
      </c>
      <c r="C20" s="2" t="s">
        <v>38</v>
      </c>
      <c r="D20" s="2" t="s">
        <v>111</v>
      </c>
      <c r="E20" s="5">
        <f>IF(C20="","",RTD("wdf.rtq", ,C20, "rt_mf_amt","RT_Price"))</f>
        <v>-1979422049</v>
      </c>
      <c r="F20" s="5"/>
      <c r="G20" s="27">
        <v>15</v>
      </c>
      <c r="H20" t="str">
        <f t="shared" si="6"/>
        <v>日常消费零售</v>
      </c>
      <c r="I20">
        <f t="shared" si="1"/>
        <v>-55820831</v>
      </c>
      <c r="K20" s="22"/>
      <c r="L20" s="22"/>
      <c r="M20" s="22"/>
      <c r="N20" s="28">
        <f t="shared" si="7"/>
        <v>2</v>
      </c>
      <c r="O20" s="2" t="s">
        <v>85</v>
      </c>
      <c r="P20" s="32">
        <v>-5631205.3256999915</v>
      </c>
      <c r="Q20" s="32">
        <v>204268283.58262548</v>
      </c>
      <c r="R20" s="2">
        <v>-5</v>
      </c>
      <c r="S20" s="2"/>
      <c r="T20" s="27">
        <v>15</v>
      </c>
      <c r="U20" t="str">
        <f t="shared" si="2"/>
        <v>Wind医疗保健设备与服务</v>
      </c>
      <c r="V20">
        <f t="shared" si="3"/>
        <v>-455425.96650000021</v>
      </c>
      <c r="W20">
        <f t="shared" si="4"/>
        <v>13933338.268329429</v>
      </c>
      <c r="X20">
        <f t="shared" si="5"/>
        <v>-5</v>
      </c>
    </row>
    <row r="21" spans="1:24">
      <c r="A21" s="28">
        <f t="shared" si="0"/>
        <v>33</v>
      </c>
      <c r="B21" s="4">
        <v>46101</v>
      </c>
      <c r="C21" s="2" t="s">
        <v>39</v>
      </c>
      <c r="D21" s="2" t="s">
        <v>40</v>
      </c>
      <c r="E21" s="5">
        <f>IF(C21="","",RTD("wdf.rtq", ,C21, "rt_mf_amt","RT_Price"))</f>
        <v>-3775281840</v>
      </c>
      <c r="F21" s="5"/>
      <c r="G21" s="27">
        <v>16</v>
      </c>
      <c r="H21" t="str">
        <f t="shared" si="6"/>
        <v>耐用消费品</v>
      </c>
      <c r="I21">
        <f t="shared" si="1"/>
        <v>-63477959</v>
      </c>
      <c r="K21" s="22"/>
      <c r="L21" s="22"/>
      <c r="M21" s="22"/>
      <c r="N21" s="28">
        <f t="shared" si="7"/>
        <v>1</v>
      </c>
      <c r="O21" s="2" t="s">
        <v>86</v>
      </c>
      <c r="P21" s="32">
        <v>-3397499.7202999908</v>
      </c>
      <c r="Q21" s="32">
        <v>225897867.1760166</v>
      </c>
      <c r="R21" s="2">
        <v>-2</v>
      </c>
      <c r="S21" s="2"/>
      <c r="T21" s="27">
        <v>16</v>
      </c>
      <c r="U21" t="str">
        <f t="shared" si="2"/>
        <v>Wind银行</v>
      </c>
      <c r="V21">
        <f t="shared" si="3"/>
        <v>-128636.57199999997</v>
      </c>
      <c r="W21">
        <f t="shared" si="4"/>
        <v>13572299.328500001</v>
      </c>
      <c r="X21">
        <f t="shared" si="5"/>
        <v>-4</v>
      </c>
    </row>
    <row r="22" spans="1:24">
      <c r="A22" s="28">
        <f t="shared" si="0"/>
        <v>9</v>
      </c>
      <c r="B22" s="4">
        <v>46101</v>
      </c>
      <c r="C22" s="2" t="s">
        <v>41</v>
      </c>
      <c r="D22" s="2" t="s">
        <v>112</v>
      </c>
      <c r="E22" s="5">
        <f>IF(C22="","",RTD("wdf.rtq", ,C22, "rt_mf_amt","RT_Price"))</f>
        <v>599458641</v>
      </c>
      <c r="F22" s="5"/>
      <c r="G22" s="27">
        <v>17</v>
      </c>
      <c r="H22" t="str">
        <f t="shared" si="6"/>
        <v>可选消费零售</v>
      </c>
      <c r="I22">
        <f t="shared" si="1"/>
        <v>-88213333</v>
      </c>
      <c r="K22" s="22"/>
      <c r="L22" s="22"/>
      <c r="M22" s="22"/>
      <c r="N22" s="28">
        <f t="shared" si="7"/>
        <v>4</v>
      </c>
      <c r="O22" s="2" t="s">
        <v>80</v>
      </c>
      <c r="P22" s="32">
        <v>-545632.77400000079</v>
      </c>
      <c r="Q22" s="32">
        <v>97959538.957000077</v>
      </c>
      <c r="R22" s="2">
        <v>1</v>
      </c>
      <c r="S22" s="2"/>
      <c r="T22" s="27">
        <v>17</v>
      </c>
      <c r="U22" t="str">
        <f t="shared" si="2"/>
        <v>Wind媒体Ⅱ</v>
      </c>
      <c r="V22">
        <f t="shared" si="3"/>
        <v>-466916.21390000044</v>
      </c>
      <c r="W22">
        <f t="shared" si="4"/>
        <v>12726187.464300001</v>
      </c>
      <c r="X22">
        <f t="shared" si="5"/>
        <v>-2</v>
      </c>
    </row>
    <row r="23" spans="1:24">
      <c r="A23" s="28">
        <f t="shared" si="0"/>
        <v>28</v>
      </c>
      <c r="B23" s="4">
        <v>46101</v>
      </c>
      <c r="C23" s="2" t="s">
        <v>43</v>
      </c>
      <c r="D23" s="2" t="s">
        <v>113</v>
      </c>
      <c r="E23" s="5">
        <f>IF(C23="","",RTD("wdf.rtq", ,C23, "rt_mf_amt","RT_Price"))</f>
        <v>-547516320</v>
      </c>
      <c r="F23" s="5"/>
      <c r="G23" s="27">
        <v>18</v>
      </c>
      <c r="H23" t="str">
        <f t="shared" si="6"/>
        <v>家庭用品</v>
      </c>
      <c r="I23">
        <f t="shared" si="1"/>
        <v>-96327989</v>
      </c>
      <c r="K23" s="22"/>
      <c r="L23" s="22"/>
      <c r="M23" s="22"/>
      <c r="N23" s="28">
        <f t="shared" si="7"/>
        <v>22</v>
      </c>
      <c r="O23" s="2" t="s">
        <v>87</v>
      </c>
      <c r="P23" s="32">
        <v>-50682.553200000002</v>
      </c>
      <c r="Q23" s="32">
        <v>2876317.3755000001</v>
      </c>
      <c r="R23" s="2">
        <v>-4</v>
      </c>
      <c r="S23" s="2"/>
      <c r="T23" s="27">
        <v>18</v>
      </c>
      <c r="U23" t="str">
        <f t="shared" ca="1" si="2"/>
        <v>Wind房地产Ⅱ</v>
      </c>
      <c r="V23">
        <f t="shared" si="3"/>
        <v>-143499.16340000002</v>
      </c>
      <c r="W23">
        <f t="shared" si="4"/>
        <v>9522565.2258391231</v>
      </c>
      <c r="X23">
        <f t="shared" si="5"/>
        <v>-3</v>
      </c>
    </row>
    <row r="24" spans="1:24">
      <c r="A24" s="28">
        <f t="shared" si="0"/>
        <v>35</v>
      </c>
      <c r="B24" s="4">
        <v>46101</v>
      </c>
      <c r="C24" s="2" t="s">
        <v>44</v>
      </c>
      <c r="D24" s="2" t="s">
        <v>114</v>
      </c>
      <c r="E24" s="5">
        <f>IF(C24="","",RTD("wdf.rtq", ,C24, "rt_mf_amt","RT_Price"))</f>
        <v>-8966055614</v>
      </c>
      <c r="F24" s="5"/>
      <c r="G24" s="27">
        <v>19</v>
      </c>
      <c r="H24" t="str">
        <f t="shared" si="6"/>
        <v>环保Ⅱ</v>
      </c>
      <c r="I24">
        <f t="shared" si="1"/>
        <v>-193852137</v>
      </c>
      <c r="K24" s="22"/>
      <c r="N24" s="28">
        <f t="shared" si="7"/>
        <v>6</v>
      </c>
      <c r="O24" s="2" t="s">
        <v>88</v>
      </c>
      <c r="P24" s="32">
        <v>-204223.55110000001</v>
      </c>
      <c r="Q24" s="32">
        <v>44421152.857293449</v>
      </c>
      <c r="R24" s="2">
        <v>-1</v>
      </c>
      <c r="S24" s="2"/>
      <c r="T24" s="27">
        <v>19</v>
      </c>
      <c r="U24" t="str">
        <f t="shared" si="2"/>
        <v>Wind零售业</v>
      </c>
      <c r="V24">
        <f t="shared" si="3"/>
        <v>-108327.80709999989</v>
      </c>
      <c r="W24">
        <f t="shared" si="4"/>
        <v>4648291.0027646199</v>
      </c>
      <c r="X24">
        <f t="shared" si="5"/>
        <v>-5</v>
      </c>
    </row>
    <row r="25" spans="1:24">
      <c r="A25" s="28">
        <f t="shared" si="0"/>
        <v>34</v>
      </c>
      <c r="B25" s="4">
        <v>46101</v>
      </c>
      <c r="C25" s="2" t="s">
        <v>45</v>
      </c>
      <c r="D25" s="2" t="s">
        <v>115</v>
      </c>
      <c r="E25" s="5">
        <f>IF(C25="","",RTD("wdf.rtq", ,C25, "rt_mf_amt","RT_Price"))</f>
        <v>-7350586062</v>
      </c>
      <c r="F25" s="5"/>
      <c r="G25" s="27">
        <v>20</v>
      </c>
      <c r="H25" t="str">
        <f t="shared" si="6"/>
        <v>建材Ⅱ</v>
      </c>
      <c r="I25">
        <f t="shared" si="1"/>
        <v>-205074275</v>
      </c>
      <c r="K25" s="22"/>
      <c r="L25" s="22"/>
      <c r="M25" s="22"/>
      <c r="N25" s="28">
        <f t="shared" si="7"/>
        <v>8</v>
      </c>
      <c r="O25" s="2" t="s">
        <v>89</v>
      </c>
      <c r="P25" s="32">
        <v>-569254.68669999996</v>
      </c>
      <c r="Q25" s="32">
        <v>30209881.609987855</v>
      </c>
      <c r="R25" s="2">
        <v>-5</v>
      </c>
      <c r="S25" s="2"/>
      <c r="T25" s="27">
        <v>20</v>
      </c>
      <c r="U25" t="str">
        <f t="shared" si="2"/>
        <v>Wind保险Ⅱ</v>
      </c>
      <c r="V25">
        <f t="shared" si="3"/>
        <v>32738.727699999999</v>
      </c>
      <c r="W25">
        <f t="shared" si="4"/>
        <v>4111431.7901000003</v>
      </c>
      <c r="X25">
        <f t="shared" si="5"/>
        <v>4</v>
      </c>
    </row>
    <row r="26" spans="1:24">
      <c r="A26" s="28">
        <f t="shared" si="0"/>
        <v>14</v>
      </c>
      <c r="B26" s="4">
        <v>46101</v>
      </c>
      <c r="C26" s="2" t="s">
        <v>46</v>
      </c>
      <c r="D26" s="2" t="s">
        <v>116</v>
      </c>
      <c r="E26" s="5">
        <f>IF(C26="","",RTD("wdf.rtq", ,C26, "rt_mf_amt","RT_Price"))</f>
        <v>-36815674</v>
      </c>
      <c r="F26" s="5"/>
      <c r="G26" s="27">
        <v>21</v>
      </c>
      <c r="H26" t="str">
        <f t="shared" si="6"/>
        <v>工业贸易与综合</v>
      </c>
      <c r="I26">
        <f t="shared" si="1"/>
        <v>-241376788</v>
      </c>
      <c r="K26" s="22"/>
      <c r="L26" s="22"/>
      <c r="M26" s="22"/>
      <c r="N26" s="28">
        <f t="shared" si="7"/>
        <v>16</v>
      </c>
      <c r="O26" s="2" t="s">
        <v>75</v>
      </c>
      <c r="P26" s="32">
        <v>-128636.57199999997</v>
      </c>
      <c r="Q26" s="32">
        <v>13572299.328500001</v>
      </c>
      <c r="R26" s="2">
        <v>-4</v>
      </c>
      <c r="S26" s="2"/>
      <c r="T26" s="27">
        <v>21</v>
      </c>
      <c r="U26" t="str">
        <f t="shared" si="2"/>
        <v>Wind消费者服务Ⅱ</v>
      </c>
      <c r="V26">
        <f t="shared" si="3"/>
        <v>-105631.14930000005</v>
      </c>
      <c r="W26">
        <f t="shared" si="4"/>
        <v>2962036.2829358387</v>
      </c>
      <c r="X26">
        <f t="shared" si="5"/>
        <v>-5</v>
      </c>
    </row>
    <row r="27" spans="1:24">
      <c r="A27" s="28">
        <f t="shared" si="0"/>
        <v>6</v>
      </c>
      <c r="B27" s="4">
        <v>46101</v>
      </c>
      <c r="C27" s="2" t="s">
        <v>47</v>
      </c>
      <c r="D27" s="2" t="s">
        <v>48</v>
      </c>
      <c r="E27" s="5">
        <f>IF(C27="","",RTD("wdf.rtq", ,C27, "rt_mf_amt","RT_Price"))</f>
        <v>1903448658</v>
      </c>
      <c r="F27" s="5"/>
      <c r="G27" s="27">
        <v>22</v>
      </c>
      <c r="H27" t="str">
        <f t="shared" si="6"/>
        <v>消费者服务</v>
      </c>
      <c r="I27">
        <f t="shared" si="1"/>
        <v>-343005931</v>
      </c>
      <c r="K27" s="22"/>
      <c r="L27" s="22"/>
      <c r="M27" s="22"/>
      <c r="N27" s="28">
        <f t="shared" si="7"/>
        <v>11</v>
      </c>
      <c r="O27" s="2" t="s">
        <v>90</v>
      </c>
      <c r="P27" s="32">
        <v>-216725.26099999988</v>
      </c>
      <c r="Q27" s="32">
        <v>19539075.020800006</v>
      </c>
      <c r="R27" s="2">
        <v>-1</v>
      </c>
      <c r="S27" s="2"/>
      <c r="T27" s="27">
        <v>22</v>
      </c>
      <c r="U27" t="str">
        <f t="shared" si="2"/>
        <v>Wind电信服务Ⅱ</v>
      </c>
      <c r="V27">
        <f t="shared" si="3"/>
        <v>-50682.553200000002</v>
      </c>
      <c r="W27">
        <f t="shared" si="4"/>
        <v>2876317.3755000001</v>
      </c>
      <c r="X27">
        <f t="shared" si="5"/>
        <v>-4</v>
      </c>
    </row>
    <row r="28" spans="1:24">
      <c r="A28" s="28">
        <f t="shared" si="0"/>
        <v>7</v>
      </c>
      <c r="B28" s="4">
        <v>46101</v>
      </c>
      <c r="C28" s="2" t="s">
        <v>117</v>
      </c>
      <c r="D28" s="2" t="s">
        <v>118</v>
      </c>
      <c r="E28" s="5">
        <f>IF(C28="","",RTD("wdf.rtq", ,C28, "rt_mf_amt","RT_Price"))</f>
        <v>1573061315</v>
      </c>
      <c r="F28" s="5"/>
      <c r="G28" s="27">
        <v>23</v>
      </c>
      <c r="H28" t="str">
        <f t="shared" si="6"/>
        <v>家电Ⅱ</v>
      </c>
      <c r="I28">
        <f t="shared" si="1"/>
        <v>-350557159</v>
      </c>
      <c r="K28" s="22"/>
      <c r="L28" s="22"/>
      <c r="M28" s="22"/>
      <c r="N28" s="28">
        <f t="shared" si="7"/>
        <v>20</v>
      </c>
      <c r="O28" s="2" t="s">
        <v>76</v>
      </c>
      <c r="P28" s="32">
        <v>32738.727699999999</v>
      </c>
      <c r="Q28" s="32">
        <v>4111431.7901000003</v>
      </c>
      <c r="R28" s="2">
        <v>4</v>
      </c>
      <c r="S28" s="2"/>
      <c r="T28" s="27">
        <v>23</v>
      </c>
      <c r="U28" t="str">
        <f t="shared" si="2"/>
        <v>Wind食品与主要用品零售Ⅱ</v>
      </c>
      <c r="V28">
        <f t="shared" si="3"/>
        <v>-46972.327899999989</v>
      </c>
      <c r="W28">
        <f t="shared" si="4"/>
        <v>1380343.3220999998</v>
      </c>
      <c r="X28">
        <f t="shared" si="5"/>
        <v>-5</v>
      </c>
    </row>
    <row r="29" spans="1:24">
      <c r="A29" s="28">
        <f t="shared" ref="A29:A92" si="8">IFERROR(RANK(E29,$E$6:$E$129),"")</f>
        <v>20</v>
      </c>
      <c r="B29" s="4">
        <v>46101</v>
      </c>
      <c r="C29" s="2" t="s">
        <v>119</v>
      </c>
      <c r="D29" s="2" t="s">
        <v>120</v>
      </c>
      <c r="E29" s="5">
        <f>IF(C29="","",RTD("wdf.rtq", ,C29, "rt_mf_amt","RT_Price"))</f>
        <v>-205074275</v>
      </c>
      <c r="F29" s="5"/>
      <c r="G29" s="27">
        <v>24</v>
      </c>
      <c r="H29" t="str">
        <f t="shared" ref="H29:H59" si="9">IF(D29="","",VLOOKUP(G29,A:E,4,0))</f>
        <v>纺织服装Ⅱ</v>
      </c>
      <c r="I29">
        <f t="shared" ref="I29:I59" si="10">IF(D29="","",VLOOKUP(G29,A:E,5,0))</f>
        <v>-376950193</v>
      </c>
      <c r="K29" s="22"/>
      <c r="L29" s="22"/>
      <c r="M29" s="22"/>
      <c r="N29" s="28">
        <f t="shared" si="7"/>
        <v>5</v>
      </c>
      <c r="O29" s="2" t="s">
        <v>91</v>
      </c>
      <c r="P29" s="32">
        <v>-1526151.5987000004</v>
      </c>
      <c r="Q29" s="32">
        <v>77243017.177255556</v>
      </c>
      <c r="R29" s="2">
        <v>-2</v>
      </c>
      <c r="S29" s="2"/>
      <c r="T29" s="27">
        <v>24</v>
      </c>
      <c r="U29" t="str">
        <f t="shared" si="2"/>
        <v>Wind家庭与个人用品</v>
      </c>
      <c r="V29">
        <f t="shared" si="3"/>
        <v>-16538.054200000002</v>
      </c>
      <c r="W29">
        <f t="shared" si="4"/>
        <v>910668.06260000006</v>
      </c>
      <c r="X29">
        <f t="shared" si="5"/>
        <v>-5</v>
      </c>
    </row>
    <row r="30" spans="1:24">
      <c r="A30" s="28">
        <f t="shared" si="8"/>
        <v>26</v>
      </c>
      <c r="B30" s="4">
        <v>46101</v>
      </c>
      <c r="C30" s="2" t="s">
        <v>121</v>
      </c>
      <c r="D30" s="2" t="s">
        <v>122</v>
      </c>
      <c r="E30" s="5">
        <f>IF(C30="","",RTD("wdf.rtq", ,C30, "rt_mf_amt","RT_Price"))</f>
        <v>-442455875</v>
      </c>
      <c r="F30" s="5"/>
      <c r="G30" s="27">
        <v>25</v>
      </c>
      <c r="H30" t="str">
        <f t="shared" si="9"/>
        <v>医疗设备与服务</v>
      </c>
      <c r="I30">
        <f t="shared" si="10"/>
        <v>-420982719</v>
      </c>
      <c r="K30" s="22"/>
      <c r="L30" s="22"/>
      <c r="M30" s="22"/>
      <c r="N30" s="28">
        <f t="shared" si="7"/>
        <v>3</v>
      </c>
      <c r="O30" s="2" t="s">
        <v>92</v>
      </c>
      <c r="P30" s="32">
        <v>-2159957.7505999985</v>
      </c>
      <c r="Q30" s="32">
        <v>202855580.81909037</v>
      </c>
      <c r="R30" s="2">
        <v>-2</v>
      </c>
      <c r="S30" s="2"/>
      <c r="T30" s="27">
        <v>25</v>
      </c>
      <c r="U30" t="str">
        <f t="shared" si="2"/>
        <v/>
      </c>
      <c r="V30" t="str">
        <f t="shared" si="3"/>
        <v/>
      </c>
      <c r="W30" t="str">
        <f t="shared" si="4"/>
        <v/>
      </c>
      <c r="X30" t="str">
        <f t="shared" si="5"/>
        <v/>
      </c>
    </row>
    <row r="31" spans="1:24">
      <c r="A31" s="28">
        <f t="shared" si="8"/>
        <v>4</v>
      </c>
      <c r="B31" s="4">
        <v>46101</v>
      </c>
      <c r="C31" s="2" t="s">
        <v>123</v>
      </c>
      <c r="D31" s="2" t="s">
        <v>124</v>
      </c>
      <c r="E31" s="5">
        <f>IF(C31="","",RTD("wdf.rtq", ,C31, "rt_mf_amt","RT_Price"))</f>
        <v>3687179869</v>
      </c>
      <c r="F31" s="5"/>
      <c r="G31" s="27">
        <v>26</v>
      </c>
      <c r="H31" t="str">
        <f t="shared" si="9"/>
        <v>钢铁Ⅱ</v>
      </c>
      <c r="I31">
        <f t="shared" si="10"/>
        <v>-442455875</v>
      </c>
      <c r="K31" s="22"/>
      <c r="L31" s="22"/>
      <c r="M31" s="22"/>
      <c r="N31" s="28" t="str">
        <f t="shared" si="7"/>
        <v/>
      </c>
      <c r="S31" s="2"/>
      <c r="T31" s="27">
        <v>26</v>
      </c>
      <c r="U31" t="str">
        <f t="shared" si="2"/>
        <v/>
      </c>
      <c r="V31" t="str">
        <f t="shared" si="3"/>
        <v/>
      </c>
      <c r="W31" t="str">
        <f t="shared" si="4"/>
        <v/>
      </c>
      <c r="X31" t="str">
        <f t="shared" si="5"/>
        <v/>
      </c>
    </row>
    <row r="32" spans="1:24">
      <c r="A32" s="28">
        <f t="shared" si="8"/>
        <v>5</v>
      </c>
      <c r="B32" s="4">
        <v>46101</v>
      </c>
      <c r="C32" s="2" t="s">
        <v>125</v>
      </c>
      <c r="D32" s="2" t="s">
        <v>126</v>
      </c>
      <c r="E32" s="5">
        <f>IF(C32="","",RTD("wdf.rtq", ,C32, "rt_mf_amt","RT_Price"))</f>
        <v>3327513353</v>
      </c>
      <c r="F32" s="5"/>
      <c r="G32" s="27">
        <v>27</v>
      </c>
      <c r="H32" t="str">
        <f t="shared" si="9"/>
        <v>房地产Ⅱ</v>
      </c>
      <c r="I32">
        <f t="shared" si="10"/>
        <v>-523579297</v>
      </c>
      <c r="K32" s="22"/>
      <c r="L32" s="22"/>
      <c r="M32" s="22"/>
      <c r="N32" s="28" t="str">
        <f t="shared" si="7"/>
        <v/>
      </c>
      <c r="T32" s="27">
        <v>27</v>
      </c>
      <c r="U32" t="str">
        <f t="shared" si="2"/>
        <v/>
      </c>
      <c r="V32" t="str">
        <f t="shared" si="3"/>
        <v/>
      </c>
      <c r="W32" t="str">
        <f t="shared" si="4"/>
        <v/>
      </c>
      <c r="X32" t="str">
        <f t="shared" si="5"/>
        <v/>
      </c>
    </row>
    <row r="33" spans="1:24">
      <c r="A33" s="28">
        <f t="shared" si="8"/>
        <v>30</v>
      </c>
      <c r="B33" s="4">
        <v>46101</v>
      </c>
      <c r="C33" s="2" t="s">
        <v>127</v>
      </c>
      <c r="D33" s="2" t="s">
        <v>128</v>
      </c>
      <c r="E33" s="5">
        <f>IF(C33="","",RTD("wdf.rtq", ,C33, "rt_mf_amt","RT_Price"))</f>
        <v>-1693398194</v>
      </c>
      <c r="F33" s="5"/>
      <c r="G33" s="27">
        <v>28</v>
      </c>
      <c r="H33" t="str">
        <f t="shared" si="9"/>
        <v>软件服务</v>
      </c>
      <c r="I33">
        <f t="shared" si="10"/>
        <v>-547516320</v>
      </c>
      <c r="K33" s="22"/>
      <c r="L33" s="22"/>
      <c r="M33" s="22"/>
      <c r="N33" s="28" t="str">
        <f t="shared" si="7"/>
        <v/>
      </c>
      <c r="T33" s="27">
        <v>28</v>
      </c>
      <c r="U33" t="str">
        <f t="shared" si="2"/>
        <v/>
      </c>
      <c r="V33" t="str">
        <f t="shared" si="3"/>
        <v/>
      </c>
      <c r="W33" t="str">
        <f t="shared" si="4"/>
        <v/>
      </c>
      <c r="X33" t="str">
        <f t="shared" si="5"/>
        <v/>
      </c>
    </row>
    <row r="34" spans="1:24">
      <c r="A34" s="28">
        <f t="shared" si="8"/>
        <v>3</v>
      </c>
      <c r="B34" s="4">
        <v>46101</v>
      </c>
      <c r="C34" s="2" t="s">
        <v>129</v>
      </c>
      <c r="D34" s="2" t="s">
        <v>130</v>
      </c>
      <c r="E34" s="5">
        <f>IF(C34="","",RTD("wdf.rtq", ,C34, "rt_mf_amt","RT_Price"))</f>
        <v>3741169640</v>
      </c>
      <c r="F34" s="5"/>
      <c r="G34" s="27">
        <v>29</v>
      </c>
      <c r="H34" t="str">
        <f t="shared" si="9"/>
        <v>交通运输</v>
      </c>
      <c r="I34">
        <f t="shared" si="10"/>
        <v>-1647711971</v>
      </c>
      <c r="K34" s="22"/>
      <c r="L34" s="22"/>
      <c r="M34" s="22"/>
      <c r="N34" s="28" t="str">
        <f t="shared" si="7"/>
        <v/>
      </c>
      <c r="T34" s="27">
        <v>29</v>
      </c>
      <c r="U34" t="str">
        <f t="shared" si="2"/>
        <v/>
      </c>
      <c r="V34" t="str">
        <f t="shared" si="3"/>
        <v/>
      </c>
      <c r="W34" t="str">
        <f t="shared" si="4"/>
        <v/>
      </c>
      <c r="X34" t="str">
        <f t="shared" si="5"/>
        <v/>
      </c>
    </row>
    <row r="35" spans="1:24">
      <c r="A35" s="28">
        <f t="shared" si="8"/>
        <v>11</v>
      </c>
      <c r="B35" s="4">
        <v>46101</v>
      </c>
      <c r="C35" s="2" t="s">
        <v>131</v>
      </c>
      <c r="D35" s="2" t="s">
        <v>132</v>
      </c>
      <c r="E35" s="5">
        <f>IF(C35="","",RTD("wdf.rtq", ,C35, "rt_mf_amt","RT_Price"))</f>
        <v>228825481</v>
      </c>
      <c r="F35" s="5"/>
      <c r="G35" s="27">
        <v>30</v>
      </c>
      <c r="H35" t="str">
        <f t="shared" si="9"/>
        <v>建筑</v>
      </c>
      <c r="I35">
        <f t="shared" si="10"/>
        <v>-1693398194</v>
      </c>
      <c r="K35" s="22"/>
      <c r="L35" s="22"/>
      <c r="M35" s="22"/>
      <c r="N35" s="28" t="str">
        <f t="shared" si="7"/>
        <v/>
      </c>
      <c r="T35" s="27">
        <v>30</v>
      </c>
      <c r="U35" t="str">
        <f t="shared" si="2"/>
        <v/>
      </c>
      <c r="V35" t="str">
        <f t="shared" si="3"/>
        <v/>
      </c>
      <c r="W35" t="str">
        <f t="shared" si="4"/>
        <v/>
      </c>
      <c r="X35" t="str">
        <f t="shared" si="5"/>
        <v/>
      </c>
    </row>
    <row r="36" spans="1:24">
      <c r="A36" s="28">
        <f t="shared" si="8"/>
        <v>21</v>
      </c>
      <c r="B36" s="4">
        <v>46101</v>
      </c>
      <c r="C36" s="2" t="s">
        <v>133</v>
      </c>
      <c r="D36" s="2" t="s">
        <v>134</v>
      </c>
      <c r="E36" s="5">
        <f>IF(C36="","",RTD("wdf.rtq", ,C36, "rt_mf_amt","RT_Price"))</f>
        <v>-241376788</v>
      </c>
      <c r="F36" s="5"/>
      <c r="G36" s="27">
        <v>31</v>
      </c>
      <c r="H36" t="str">
        <f t="shared" si="9"/>
        <v>医药生物</v>
      </c>
      <c r="I36">
        <f t="shared" si="10"/>
        <v>-1979422049</v>
      </c>
      <c r="K36" s="22"/>
      <c r="L36" s="22"/>
      <c r="M36" s="22"/>
      <c r="N36" s="28" t="str">
        <f t="shared" si="7"/>
        <v/>
      </c>
      <c r="T36" s="27">
        <v>31</v>
      </c>
      <c r="U36" t="str">
        <f t="shared" si="2"/>
        <v/>
      </c>
      <c r="V36" t="str">
        <f t="shared" si="3"/>
        <v/>
      </c>
      <c r="W36" t="str">
        <f t="shared" si="4"/>
        <v/>
      </c>
      <c r="X36" t="str">
        <f t="shared" si="5"/>
        <v/>
      </c>
    </row>
    <row r="37" spans="1:24">
      <c r="A37" s="28">
        <f t="shared" si="8"/>
        <v>19</v>
      </c>
      <c r="B37" s="4">
        <v>46101</v>
      </c>
      <c r="C37" s="2" t="s">
        <v>135</v>
      </c>
      <c r="D37" s="2" t="s">
        <v>136</v>
      </c>
      <c r="E37" s="5">
        <f>IF(C37="","",RTD("wdf.rtq", ,C37, "rt_mf_amt","RT_Price"))</f>
        <v>-193852137</v>
      </c>
      <c r="F37" s="5"/>
      <c r="G37" s="27">
        <v>32</v>
      </c>
      <c r="H37" t="str">
        <f t="shared" si="9"/>
        <v>食品饮料</v>
      </c>
      <c r="I37">
        <f t="shared" si="10"/>
        <v>-2541667312</v>
      </c>
      <c r="N37" s="28" t="str">
        <f t="shared" si="7"/>
        <v/>
      </c>
      <c r="T37" s="27">
        <v>32</v>
      </c>
      <c r="U37" t="str">
        <f t="shared" si="2"/>
        <v/>
      </c>
      <c r="V37" t="str">
        <f t="shared" si="3"/>
        <v/>
      </c>
      <c r="W37" t="str">
        <f t="shared" si="4"/>
        <v/>
      </c>
      <c r="X37" t="str">
        <f t="shared" si="5"/>
        <v/>
      </c>
    </row>
    <row r="38" spans="1:24">
      <c r="A38" s="28">
        <f t="shared" si="8"/>
        <v>23</v>
      </c>
      <c r="B38" s="4">
        <v>46101</v>
      </c>
      <c r="C38" s="2" t="s">
        <v>137</v>
      </c>
      <c r="D38" s="2" t="s">
        <v>138</v>
      </c>
      <c r="E38" s="5">
        <f>IF(C38="","",RTD("wdf.rtq", ,C38, "rt_mf_amt","RT_Price"))</f>
        <v>-350557159</v>
      </c>
      <c r="F38" s="5"/>
      <c r="G38" s="27">
        <v>33</v>
      </c>
      <c r="H38" t="str">
        <f t="shared" si="9"/>
        <v>银行</v>
      </c>
      <c r="I38">
        <f t="shared" si="10"/>
        <v>-3775281840</v>
      </c>
      <c r="N38" s="28" t="str">
        <f t="shared" si="7"/>
        <v/>
      </c>
      <c r="T38" s="27">
        <v>33</v>
      </c>
      <c r="U38" t="str">
        <f t="shared" si="2"/>
        <v/>
      </c>
      <c r="V38" t="str">
        <f t="shared" si="3"/>
        <v/>
      </c>
      <c r="W38" t="str">
        <f t="shared" si="4"/>
        <v/>
      </c>
      <c r="X38" t="str">
        <f t="shared" si="5"/>
        <v/>
      </c>
    </row>
    <row r="39" spans="1:24">
      <c r="A39" s="28">
        <f t="shared" si="8"/>
        <v>24</v>
      </c>
      <c r="B39" s="4">
        <v>46101</v>
      </c>
      <c r="C39" s="2" t="s">
        <v>139</v>
      </c>
      <c r="D39" s="2" t="s">
        <v>140</v>
      </c>
      <c r="E39" s="5">
        <f>IF(C39="","",RTD("wdf.rtq", ,C39, "rt_mf_amt","RT_Price"))</f>
        <v>-376950193</v>
      </c>
      <c r="F39" s="5"/>
      <c r="G39" s="27">
        <v>34</v>
      </c>
      <c r="H39" t="str">
        <f t="shared" si="9"/>
        <v>半导体</v>
      </c>
      <c r="I39">
        <f t="shared" si="10"/>
        <v>-7350586062</v>
      </c>
      <c r="N39" s="28" t="str">
        <f t="shared" si="7"/>
        <v/>
      </c>
      <c r="T39" s="27">
        <v>34</v>
      </c>
      <c r="U39" t="str">
        <f t="shared" si="2"/>
        <v/>
      </c>
      <c r="V39" t="str">
        <f t="shared" si="3"/>
        <v/>
      </c>
      <c r="W39" t="str">
        <f t="shared" si="4"/>
        <v/>
      </c>
      <c r="X39" t="str">
        <f t="shared" si="5"/>
        <v/>
      </c>
    </row>
    <row r="40" spans="1:24">
      <c r="A40" s="28">
        <f t="shared" si="8"/>
        <v>27</v>
      </c>
      <c r="B40" s="4">
        <v>46101</v>
      </c>
      <c r="C40" s="2" t="s">
        <v>141</v>
      </c>
      <c r="D40" s="2" t="s">
        <v>42</v>
      </c>
      <c r="E40" s="5">
        <f>IF(C40="","",RTD("wdf.rtq", ,C40, "rt_mf_amt","RT_Price"))</f>
        <v>-523579297</v>
      </c>
      <c r="F40" s="5"/>
      <c r="G40" s="27">
        <v>35</v>
      </c>
      <c r="H40" t="str">
        <f t="shared" si="9"/>
        <v>硬件设备</v>
      </c>
      <c r="I40">
        <f t="shared" si="10"/>
        <v>-8966055614</v>
      </c>
      <c r="N40" s="28" t="str">
        <f t="shared" si="7"/>
        <v/>
      </c>
      <c r="T40" s="27">
        <v>35</v>
      </c>
      <c r="U40" t="str">
        <f t="shared" si="2"/>
        <v/>
      </c>
      <c r="V40" t="str">
        <f t="shared" si="3"/>
        <v/>
      </c>
      <c r="W40" t="str">
        <f t="shared" si="4"/>
        <v/>
      </c>
      <c r="X40" t="str">
        <f t="shared" si="5"/>
        <v/>
      </c>
    </row>
    <row r="41" spans="1:24">
      <c r="A41" s="28" t="str">
        <f t="shared" si="8"/>
        <v/>
      </c>
      <c r="E41" s="5" t="str">
        <f>IF(C41="","",RTD("wdf.rtq", ,C41, "rt_mf_amt","RT_Price"))</f>
        <v/>
      </c>
      <c r="F41" s="5"/>
      <c r="G41" s="27">
        <v>36</v>
      </c>
      <c r="H41" t="str">
        <f t="shared" si="9"/>
        <v/>
      </c>
      <c r="I41" t="str">
        <f t="shared" si="10"/>
        <v/>
      </c>
      <c r="L41" s="25"/>
      <c r="M41" s="25"/>
      <c r="N41" s="28" t="str">
        <f t="shared" si="7"/>
        <v/>
      </c>
      <c r="T41" s="27">
        <v>36</v>
      </c>
      <c r="U41" t="str">
        <f t="shared" si="2"/>
        <v/>
      </c>
      <c r="V41" t="str">
        <f t="shared" si="3"/>
        <v/>
      </c>
      <c r="W41" t="str">
        <f t="shared" si="4"/>
        <v/>
      </c>
      <c r="X41" t="str">
        <f t="shared" si="5"/>
        <v/>
      </c>
    </row>
    <row r="42" spans="1:24">
      <c r="A42" s="28" t="str">
        <f t="shared" si="8"/>
        <v/>
      </c>
      <c r="E42" s="5" t="str">
        <f>IF(C42="","",RTD("wdf.rtq", ,C42, "rt_mf_amt","RT_Price"))</f>
        <v/>
      </c>
      <c r="F42" s="5"/>
      <c r="G42" s="27">
        <v>37</v>
      </c>
      <c r="H42" t="str">
        <f t="shared" si="9"/>
        <v/>
      </c>
      <c r="I42" t="str">
        <f t="shared" si="10"/>
        <v/>
      </c>
      <c r="L42" s="25"/>
      <c r="M42" s="25"/>
      <c r="N42" s="28" t="str">
        <f t="shared" si="7"/>
        <v/>
      </c>
      <c r="T42" s="27">
        <v>37</v>
      </c>
      <c r="U42" t="str">
        <f t="shared" si="2"/>
        <v/>
      </c>
      <c r="V42" t="str">
        <f t="shared" si="3"/>
        <v/>
      </c>
      <c r="W42" t="str">
        <f t="shared" si="4"/>
        <v/>
      </c>
      <c r="X42" t="str">
        <f t="shared" si="5"/>
        <v/>
      </c>
    </row>
    <row r="43" spans="1:24">
      <c r="A43" s="28" t="str">
        <f t="shared" si="8"/>
        <v/>
      </c>
      <c r="E43" s="5" t="str">
        <f>IF(C43="","",RTD("wdf.rtq", ,C43, "rt_mf_amt","RT_Price"))</f>
        <v/>
      </c>
      <c r="F43" s="5"/>
      <c r="G43" s="27">
        <v>38</v>
      </c>
      <c r="H43" t="str">
        <f t="shared" si="9"/>
        <v/>
      </c>
      <c r="I43" t="str">
        <f t="shared" si="10"/>
        <v/>
      </c>
      <c r="L43" s="25"/>
      <c r="M43" s="25"/>
      <c r="N43" s="28" t="str">
        <f t="shared" si="7"/>
        <v/>
      </c>
      <c r="T43" s="27">
        <v>38</v>
      </c>
      <c r="U43" t="str">
        <f t="shared" si="2"/>
        <v/>
      </c>
      <c r="V43" t="str">
        <f t="shared" si="3"/>
        <v/>
      </c>
      <c r="W43" t="str">
        <f t="shared" si="4"/>
        <v/>
      </c>
      <c r="X43" t="str">
        <f t="shared" si="5"/>
        <v/>
      </c>
    </row>
    <row r="44" spans="1:24">
      <c r="A44" s="28" t="str">
        <f t="shared" si="8"/>
        <v/>
      </c>
      <c r="E44" s="5" t="str">
        <f>IF(C44="","",RTD("wdf.rtq", ,C44, "rt_mf_amt","RT_Price"))</f>
        <v/>
      </c>
      <c r="F44" s="5"/>
      <c r="G44" s="27">
        <v>39</v>
      </c>
      <c r="H44" t="str">
        <f t="shared" si="9"/>
        <v/>
      </c>
      <c r="I44" t="str">
        <f t="shared" si="10"/>
        <v/>
      </c>
      <c r="L44" s="25"/>
      <c r="M44" s="25"/>
      <c r="N44" s="28" t="str">
        <f t="shared" si="7"/>
        <v/>
      </c>
      <c r="T44" s="27">
        <v>39</v>
      </c>
      <c r="U44" t="str">
        <f t="shared" si="2"/>
        <v/>
      </c>
      <c r="V44" t="str">
        <f t="shared" si="3"/>
        <v/>
      </c>
      <c r="W44" t="str">
        <f t="shared" si="4"/>
        <v/>
      </c>
      <c r="X44" t="str">
        <f t="shared" si="5"/>
        <v/>
      </c>
    </row>
    <row r="45" spans="1:24">
      <c r="A45" s="28" t="str">
        <f t="shared" si="8"/>
        <v/>
      </c>
      <c r="E45" s="5" t="str">
        <f>IF(C45="","",RTD("wdf.rtq", ,C45, "rt_mf_amt","RT_Price"))</f>
        <v/>
      </c>
      <c r="F45" s="5"/>
      <c r="G45" s="27">
        <v>40</v>
      </c>
      <c r="H45" t="str">
        <f t="shared" si="9"/>
        <v/>
      </c>
      <c r="I45" t="str">
        <f t="shared" si="10"/>
        <v/>
      </c>
      <c r="L45" s="25"/>
      <c r="M45" s="25"/>
      <c r="N45" s="28" t="str">
        <f t="shared" si="7"/>
        <v/>
      </c>
      <c r="T45" s="27">
        <v>40</v>
      </c>
      <c r="U45" t="str">
        <f t="shared" si="2"/>
        <v/>
      </c>
      <c r="V45" t="str">
        <f t="shared" si="3"/>
        <v/>
      </c>
      <c r="W45" t="str">
        <f t="shared" si="4"/>
        <v/>
      </c>
      <c r="X45" t="str">
        <f t="shared" si="5"/>
        <v/>
      </c>
    </row>
    <row r="46" spans="1:24">
      <c r="A46" s="28" t="str">
        <f t="shared" si="8"/>
        <v/>
      </c>
      <c r="E46" s="5" t="str">
        <f>IF(C46="","",RTD("wdf.rtq", ,C46, "rt_mf_amt","RT_Price"))</f>
        <v/>
      </c>
      <c r="F46" s="5"/>
      <c r="G46" s="27">
        <v>41</v>
      </c>
      <c r="H46" t="str">
        <f t="shared" si="9"/>
        <v/>
      </c>
      <c r="I46" t="str">
        <f t="shared" si="10"/>
        <v/>
      </c>
      <c r="L46" s="25"/>
      <c r="M46" s="25"/>
      <c r="N46" s="28" t="str">
        <f t="shared" si="7"/>
        <v/>
      </c>
      <c r="T46" s="27">
        <v>41</v>
      </c>
      <c r="U46" t="str">
        <f t="shared" si="2"/>
        <v/>
      </c>
      <c r="V46" t="str">
        <f t="shared" si="3"/>
        <v/>
      </c>
      <c r="W46" t="str">
        <f t="shared" si="4"/>
        <v/>
      </c>
      <c r="X46" t="str">
        <f t="shared" si="5"/>
        <v/>
      </c>
    </row>
    <row r="47" spans="1:24">
      <c r="A47" s="28" t="str">
        <f t="shared" si="8"/>
        <v/>
      </c>
      <c r="E47" s="5" t="str">
        <f>IF(C47="","",RTD("wdf.rtq", ,C47, "rt_mf_amt","RT_Price"))</f>
        <v/>
      </c>
      <c r="F47" s="5"/>
      <c r="G47" s="27">
        <v>42</v>
      </c>
      <c r="H47" t="str">
        <f t="shared" si="9"/>
        <v/>
      </c>
      <c r="I47" t="str">
        <f t="shared" si="10"/>
        <v/>
      </c>
      <c r="L47" s="25"/>
      <c r="M47" s="25"/>
      <c r="N47" s="28" t="str">
        <f t="shared" si="7"/>
        <v/>
      </c>
      <c r="T47" s="27">
        <v>42</v>
      </c>
      <c r="U47" t="str">
        <f t="shared" si="2"/>
        <v/>
      </c>
      <c r="V47" t="str">
        <f t="shared" si="3"/>
        <v/>
      </c>
      <c r="W47" t="str">
        <f t="shared" si="4"/>
        <v/>
      </c>
      <c r="X47" t="str">
        <f t="shared" si="5"/>
        <v/>
      </c>
    </row>
    <row r="48" spans="1:24">
      <c r="A48" s="28" t="str">
        <f t="shared" si="8"/>
        <v/>
      </c>
      <c r="E48" s="5" t="str">
        <f>IF(C48="","",RTD("wdf.rtq", ,C48, "rt_mf_amt","RT_Price"))</f>
        <v/>
      </c>
      <c r="F48" s="5"/>
      <c r="G48" s="27">
        <v>43</v>
      </c>
      <c r="H48" t="str">
        <f t="shared" si="9"/>
        <v/>
      </c>
      <c r="I48" t="str">
        <f t="shared" si="10"/>
        <v/>
      </c>
      <c r="L48" s="25"/>
      <c r="M48" s="25"/>
      <c r="N48" s="28" t="str">
        <f t="shared" si="7"/>
        <v/>
      </c>
      <c r="T48" s="27">
        <v>43</v>
      </c>
      <c r="U48" t="str">
        <f t="shared" si="2"/>
        <v/>
      </c>
      <c r="V48" t="str">
        <f t="shared" si="3"/>
        <v/>
      </c>
      <c r="W48" t="str">
        <f t="shared" si="4"/>
        <v/>
      </c>
      <c r="X48" t="str">
        <f t="shared" si="5"/>
        <v/>
      </c>
    </row>
    <row r="49" spans="1:24">
      <c r="A49" s="28" t="str">
        <f t="shared" si="8"/>
        <v/>
      </c>
      <c r="E49" s="5" t="str">
        <f>IF(C49="","",RTD("wdf.rtq", ,C49, "rt_mf_amt","RT_Price"))</f>
        <v/>
      </c>
      <c r="F49" s="5"/>
      <c r="G49" s="27">
        <v>44</v>
      </c>
      <c r="H49" t="str">
        <f t="shared" si="9"/>
        <v/>
      </c>
      <c r="I49" t="str">
        <f t="shared" si="10"/>
        <v/>
      </c>
      <c r="L49" s="25"/>
      <c r="M49" s="25"/>
      <c r="N49" s="28" t="str">
        <f t="shared" si="7"/>
        <v/>
      </c>
      <c r="T49" s="27">
        <v>44</v>
      </c>
      <c r="U49" t="str">
        <f t="shared" si="2"/>
        <v/>
      </c>
      <c r="V49" t="str">
        <f t="shared" si="3"/>
        <v/>
      </c>
      <c r="W49" t="str">
        <f t="shared" si="4"/>
        <v/>
      </c>
      <c r="X49" t="str">
        <f t="shared" si="5"/>
        <v/>
      </c>
    </row>
    <row r="50" spans="1:24">
      <c r="A50" s="28" t="str">
        <f t="shared" si="8"/>
        <v/>
      </c>
      <c r="E50" s="5" t="str">
        <f>IF(C50="","",RTD("wdf.rtq", ,C50, "rt_mf_amt","RT_Price"))</f>
        <v/>
      </c>
      <c r="F50" s="5"/>
      <c r="G50" s="27">
        <v>45</v>
      </c>
      <c r="H50" t="str">
        <f t="shared" si="9"/>
        <v/>
      </c>
      <c r="I50" t="str">
        <f t="shared" si="10"/>
        <v/>
      </c>
      <c r="L50" s="25"/>
      <c r="M50" s="25"/>
      <c r="N50" s="28" t="str">
        <f t="shared" si="7"/>
        <v/>
      </c>
      <c r="T50" s="27">
        <v>45</v>
      </c>
      <c r="U50" t="str">
        <f t="shared" si="2"/>
        <v/>
      </c>
      <c r="V50" t="str">
        <f t="shared" si="3"/>
        <v/>
      </c>
      <c r="W50" t="str">
        <f t="shared" si="4"/>
        <v/>
      </c>
      <c r="X50" t="str">
        <f t="shared" si="5"/>
        <v/>
      </c>
    </row>
    <row r="51" spans="1:24">
      <c r="A51" s="28" t="str">
        <f t="shared" si="8"/>
        <v/>
      </c>
      <c r="E51" s="5" t="str">
        <f>IF(C51="","",RTD("wdf.rtq", ,C51, "rt_mf_amt","RT_Price"))</f>
        <v/>
      </c>
      <c r="F51" s="5"/>
      <c r="G51" s="27">
        <v>46</v>
      </c>
      <c r="H51" t="str">
        <f t="shared" si="9"/>
        <v/>
      </c>
      <c r="I51" t="str">
        <f t="shared" si="10"/>
        <v/>
      </c>
      <c r="L51" s="25"/>
      <c r="M51" s="25"/>
      <c r="N51" s="28" t="str">
        <f t="shared" si="7"/>
        <v/>
      </c>
      <c r="T51" s="27">
        <v>46</v>
      </c>
      <c r="U51" t="str">
        <f t="shared" si="2"/>
        <v/>
      </c>
      <c r="V51" t="str">
        <f t="shared" si="3"/>
        <v/>
      </c>
      <c r="W51" t="str">
        <f t="shared" si="4"/>
        <v/>
      </c>
      <c r="X51" t="str">
        <f t="shared" si="5"/>
        <v/>
      </c>
    </row>
    <row r="52" spans="1:24">
      <c r="A52" s="28" t="str">
        <f t="shared" si="8"/>
        <v/>
      </c>
      <c r="E52" s="5" t="str">
        <f>IF(C52="","",RTD("wdf.rtq", ,C52, "rt_mf_amt","RT_Price"))</f>
        <v/>
      </c>
      <c r="F52" s="5"/>
      <c r="G52" s="27">
        <v>47</v>
      </c>
      <c r="H52" t="str">
        <f t="shared" si="9"/>
        <v/>
      </c>
      <c r="I52" t="str">
        <f t="shared" si="10"/>
        <v/>
      </c>
      <c r="L52" s="25"/>
      <c r="M52" s="25"/>
      <c r="N52" s="28" t="str">
        <f t="shared" si="7"/>
        <v/>
      </c>
      <c r="T52" s="27">
        <v>47</v>
      </c>
      <c r="U52" t="str">
        <f t="shared" si="2"/>
        <v/>
      </c>
      <c r="V52" t="str">
        <f t="shared" si="3"/>
        <v/>
      </c>
      <c r="W52" t="str">
        <f t="shared" si="4"/>
        <v/>
      </c>
      <c r="X52" t="str">
        <f t="shared" si="5"/>
        <v/>
      </c>
    </row>
    <row r="53" spans="1:24">
      <c r="A53" s="28" t="str">
        <f t="shared" si="8"/>
        <v/>
      </c>
      <c r="E53" s="5" t="str">
        <f>IF(C53="","",RTD("wdf.rtq", ,C53, "rt_mf_amt","RT_Price"))</f>
        <v/>
      </c>
      <c r="F53" s="5"/>
      <c r="G53" s="27">
        <v>48</v>
      </c>
      <c r="H53" t="str">
        <f t="shared" si="9"/>
        <v/>
      </c>
      <c r="I53" t="str">
        <f t="shared" si="10"/>
        <v/>
      </c>
      <c r="L53" s="25"/>
      <c r="M53" s="25"/>
      <c r="N53" s="28" t="str">
        <f t="shared" si="7"/>
        <v/>
      </c>
      <c r="T53" s="27">
        <v>48</v>
      </c>
      <c r="U53" t="str">
        <f t="shared" si="2"/>
        <v/>
      </c>
      <c r="V53" t="str">
        <f t="shared" si="3"/>
        <v/>
      </c>
      <c r="W53" t="str">
        <f t="shared" si="4"/>
        <v/>
      </c>
      <c r="X53" t="str">
        <f t="shared" si="5"/>
        <v/>
      </c>
    </row>
    <row r="54" spans="1:24">
      <c r="A54" s="28" t="str">
        <f t="shared" si="8"/>
        <v/>
      </c>
      <c r="E54" s="5" t="str">
        <f>IF(C54="","",RTD("wdf.rtq", ,C54, "rt_mf_amt","RT_Price"))</f>
        <v/>
      </c>
      <c r="F54" s="5"/>
      <c r="G54" s="27">
        <v>49</v>
      </c>
      <c r="H54" t="str">
        <f t="shared" si="9"/>
        <v/>
      </c>
      <c r="I54" t="str">
        <f t="shared" si="10"/>
        <v/>
      </c>
      <c r="L54" s="25"/>
      <c r="M54" s="25"/>
      <c r="N54" s="28" t="str">
        <f t="shared" si="7"/>
        <v/>
      </c>
      <c r="T54" s="27">
        <v>49</v>
      </c>
      <c r="U54" t="str">
        <f t="shared" si="2"/>
        <v/>
      </c>
      <c r="V54" t="str">
        <f t="shared" si="3"/>
        <v/>
      </c>
      <c r="W54" t="str">
        <f t="shared" si="4"/>
        <v/>
      </c>
      <c r="X54" t="str">
        <f t="shared" si="5"/>
        <v/>
      </c>
    </row>
    <row r="55" spans="1:24">
      <c r="A55" s="28" t="str">
        <f t="shared" si="8"/>
        <v/>
      </c>
      <c r="E55" s="5" t="str">
        <f>IF(C55="","",RTD("wdf.rtq", ,C55, "rt_mf_amt","RT_Price"))</f>
        <v/>
      </c>
      <c r="F55" s="5"/>
      <c r="G55" s="27">
        <v>50</v>
      </c>
      <c r="H55" t="str">
        <f t="shared" si="9"/>
        <v/>
      </c>
      <c r="I55" t="str">
        <f t="shared" si="10"/>
        <v/>
      </c>
      <c r="L55" s="25"/>
      <c r="M55" s="25"/>
      <c r="N55" s="28" t="str">
        <f t="shared" si="7"/>
        <v/>
      </c>
      <c r="T55" s="27">
        <v>50</v>
      </c>
      <c r="U55" t="str">
        <f t="shared" si="2"/>
        <v/>
      </c>
      <c r="V55" t="str">
        <f t="shared" si="3"/>
        <v/>
      </c>
      <c r="W55" t="str">
        <f t="shared" si="4"/>
        <v/>
      </c>
      <c r="X55" t="str">
        <f t="shared" si="5"/>
        <v/>
      </c>
    </row>
    <row r="56" spans="1:24">
      <c r="A56" s="28" t="str">
        <f t="shared" si="8"/>
        <v/>
      </c>
      <c r="E56" s="5" t="str">
        <f>IF(C56="","",RTD("wdf.rtq", ,C56, "rt_mf_amt","RT_Price"))</f>
        <v/>
      </c>
      <c r="F56" s="5"/>
      <c r="G56" s="27">
        <v>51</v>
      </c>
      <c r="H56" t="str">
        <f t="shared" si="9"/>
        <v/>
      </c>
      <c r="I56" t="str">
        <f t="shared" si="10"/>
        <v/>
      </c>
      <c r="L56" s="25"/>
      <c r="M56" s="25"/>
      <c r="N56" s="28" t="str">
        <f t="shared" si="7"/>
        <v/>
      </c>
      <c r="T56" s="27">
        <v>51</v>
      </c>
      <c r="U56" t="str">
        <f t="shared" si="2"/>
        <v/>
      </c>
      <c r="V56" t="str">
        <f t="shared" si="3"/>
        <v/>
      </c>
      <c r="W56" t="str">
        <f t="shared" si="4"/>
        <v/>
      </c>
      <c r="X56" t="str">
        <f t="shared" si="5"/>
        <v/>
      </c>
    </row>
    <row r="57" spans="1:24">
      <c r="A57" s="28" t="str">
        <f t="shared" si="8"/>
        <v/>
      </c>
      <c r="E57" s="5" t="str">
        <f>IF(C57="","",RTD("wdf.rtq", ,C57, "rt_mf_amt","RT_Price"))</f>
        <v/>
      </c>
      <c r="F57" s="5"/>
      <c r="G57" s="27">
        <v>52</v>
      </c>
      <c r="H57" t="str">
        <f t="shared" si="9"/>
        <v/>
      </c>
      <c r="I57" t="str">
        <f t="shared" si="10"/>
        <v/>
      </c>
      <c r="L57" s="25"/>
      <c r="M57" s="25"/>
      <c r="N57" s="28" t="str">
        <f t="shared" si="7"/>
        <v/>
      </c>
      <c r="T57" s="27">
        <v>52</v>
      </c>
      <c r="U57" t="str">
        <f t="shared" si="2"/>
        <v/>
      </c>
      <c r="V57" t="str">
        <f t="shared" si="3"/>
        <v/>
      </c>
      <c r="W57" t="str">
        <f t="shared" si="4"/>
        <v/>
      </c>
      <c r="X57" t="str">
        <f t="shared" si="5"/>
        <v/>
      </c>
    </row>
    <row r="58" spans="1:24">
      <c r="A58" s="28" t="str">
        <f t="shared" si="8"/>
        <v/>
      </c>
      <c r="E58" s="5" t="str">
        <f>IF(C58="","",RTD("wdf.rtq", ,C58, "rt_mf_amt","RT_Price"))</f>
        <v/>
      </c>
      <c r="F58" s="5"/>
      <c r="G58" s="27">
        <v>53</v>
      </c>
      <c r="H58" t="str">
        <f t="shared" si="9"/>
        <v/>
      </c>
      <c r="I58" t="str">
        <f t="shared" si="10"/>
        <v/>
      </c>
      <c r="L58" s="25"/>
      <c r="M58" s="25"/>
      <c r="N58" s="28" t="str">
        <f t="shared" si="7"/>
        <v/>
      </c>
      <c r="T58" s="27">
        <v>53</v>
      </c>
      <c r="U58" t="str">
        <f t="shared" si="2"/>
        <v/>
      </c>
      <c r="V58" t="str">
        <f t="shared" si="3"/>
        <v/>
      </c>
      <c r="W58" t="str">
        <f t="shared" si="4"/>
        <v/>
      </c>
      <c r="X58" t="str">
        <f t="shared" si="5"/>
        <v/>
      </c>
    </row>
    <row r="59" spans="1:24">
      <c r="A59" s="28" t="str">
        <f t="shared" si="8"/>
        <v/>
      </c>
      <c r="E59" s="5" t="str">
        <f>IF(C59="","",RTD("wdf.rtq", ,C59, "rt_mf_amt","RT_Price"))</f>
        <v/>
      </c>
      <c r="F59" s="5"/>
      <c r="G59" s="27">
        <v>54</v>
      </c>
      <c r="H59" t="str">
        <f t="shared" si="9"/>
        <v/>
      </c>
      <c r="I59" t="str">
        <f t="shared" si="10"/>
        <v/>
      </c>
      <c r="L59" s="25"/>
      <c r="M59" s="25"/>
      <c r="N59" s="28" t="str">
        <f t="shared" si="7"/>
        <v/>
      </c>
      <c r="T59" s="27">
        <v>54</v>
      </c>
      <c r="U59" t="str">
        <f t="shared" si="2"/>
        <v/>
      </c>
      <c r="V59" t="str">
        <f t="shared" si="3"/>
        <v/>
      </c>
      <c r="W59" t="str">
        <f t="shared" si="4"/>
        <v/>
      </c>
      <c r="X59" t="str">
        <f t="shared" si="5"/>
        <v/>
      </c>
    </row>
    <row r="60" spans="1:24">
      <c r="A60" s="28" t="str">
        <f t="shared" si="8"/>
        <v/>
      </c>
      <c r="E60" s="5" t="str">
        <f>IF(C60="","",RTD("wdf.rtq", ,C60, "rt_mf_amt","RT_Price"))</f>
        <v/>
      </c>
      <c r="F60" s="5"/>
      <c r="G60" s="27">
        <v>55</v>
      </c>
      <c r="H60" t="str">
        <f t="shared" si="6"/>
        <v/>
      </c>
      <c r="I60" t="str">
        <f t="shared" si="1"/>
        <v/>
      </c>
      <c r="L60" s="25"/>
      <c r="M60" s="25"/>
      <c r="N60" s="28" t="str">
        <f t="shared" si="7"/>
        <v/>
      </c>
      <c r="T60" s="27">
        <v>55</v>
      </c>
      <c r="U60" t="str">
        <f t="shared" si="2"/>
        <v/>
      </c>
      <c r="V60" t="str">
        <f t="shared" si="3"/>
        <v/>
      </c>
      <c r="W60" t="str">
        <f t="shared" si="4"/>
        <v/>
      </c>
      <c r="X60" t="str">
        <f t="shared" si="5"/>
        <v/>
      </c>
    </row>
    <row r="61" spans="1:24">
      <c r="A61" s="28" t="str">
        <f t="shared" si="8"/>
        <v/>
      </c>
      <c r="E61" s="5" t="str">
        <f>IF(C61="","",RTD("wdf.rtq", ,C61, "rt_mf_amt","RT_Price"))</f>
        <v/>
      </c>
      <c r="F61" s="5"/>
      <c r="G61" s="27">
        <v>56</v>
      </c>
      <c r="H61" t="str">
        <f t="shared" si="6"/>
        <v/>
      </c>
      <c r="I61" t="str">
        <f t="shared" si="1"/>
        <v/>
      </c>
      <c r="L61" s="25"/>
      <c r="M61" s="25"/>
      <c r="N61" s="28" t="str">
        <f t="shared" si="7"/>
        <v/>
      </c>
      <c r="T61" s="27">
        <v>56</v>
      </c>
      <c r="U61" t="str">
        <f t="shared" si="2"/>
        <v/>
      </c>
      <c r="V61" t="str">
        <f t="shared" si="3"/>
        <v/>
      </c>
      <c r="W61" t="str">
        <f t="shared" si="4"/>
        <v/>
      </c>
      <c r="X61" t="str">
        <f t="shared" si="5"/>
        <v/>
      </c>
    </row>
    <row r="62" spans="1:24">
      <c r="A62" s="28" t="str">
        <f t="shared" si="8"/>
        <v/>
      </c>
      <c r="E62" s="5" t="str">
        <f>IF(C62="","",RTD("wdf.rtq", ,C62, "rt_mf_amt","RT_Price"))</f>
        <v/>
      </c>
      <c r="F62" s="5"/>
      <c r="G62" s="27">
        <v>57</v>
      </c>
      <c r="H62" t="str">
        <f t="shared" si="6"/>
        <v/>
      </c>
      <c r="I62" t="str">
        <f t="shared" si="1"/>
        <v/>
      </c>
      <c r="L62" s="25"/>
      <c r="M62" s="25"/>
      <c r="N62" s="28" t="str">
        <f t="shared" si="7"/>
        <v/>
      </c>
      <c r="T62" s="27">
        <v>57</v>
      </c>
      <c r="U62" t="str">
        <f t="shared" si="2"/>
        <v/>
      </c>
      <c r="V62" t="str">
        <f t="shared" si="3"/>
        <v/>
      </c>
      <c r="W62" t="str">
        <f t="shared" si="4"/>
        <v/>
      </c>
      <c r="X62" t="str">
        <f t="shared" si="5"/>
        <v/>
      </c>
    </row>
    <row r="63" spans="1:24">
      <c r="A63" s="28" t="str">
        <f t="shared" si="8"/>
        <v/>
      </c>
      <c r="E63" s="5" t="str">
        <f>IF(C63="","",RTD("wdf.rtq", ,C63, "rt_mf_amt","RT_Price"))</f>
        <v/>
      </c>
      <c r="F63" s="5"/>
      <c r="G63" s="27">
        <v>58</v>
      </c>
      <c r="H63" t="str">
        <f t="shared" si="6"/>
        <v/>
      </c>
      <c r="I63" t="str">
        <f t="shared" si="1"/>
        <v/>
      </c>
      <c r="L63" s="25"/>
      <c r="M63" s="25"/>
      <c r="N63" s="28" t="str">
        <f t="shared" si="7"/>
        <v/>
      </c>
      <c r="T63" s="27">
        <v>58</v>
      </c>
      <c r="U63" t="str">
        <f t="shared" si="2"/>
        <v/>
      </c>
      <c r="V63" t="str">
        <f t="shared" si="3"/>
        <v/>
      </c>
      <c r="W63" t="str">
        <f t="shared" si="4"/>
        <v/>
      </c>
      <c r="X63" t="str">
        <f t="shared" si="5"/>
        <v/>
      </c>
    </row>
    <row r="64" spans="1:24">
      <c r="A64" s="28" t="str">
        <f t="shared" si="8"/>
        <v/>
      </c>
      <c r="E64" s="5" t="str">
        <f>IF(C64="","",RTD("wdf.rtq", ,C64, "rt_mf_amt","RT_Price"))</f>
        <v/>
      </c>
      <c r="F64" s="5"/>
      <c r="G64" s="27">
        <v>59</v>
      </c>
      <c r="H64" t="str">
        <f t="shared" si="6"/>
        <v/>
      </c>
      <c r="I64" t="str">
        <f t="shared" si="1"/>
        <v/>
      </c>
      <c r="L64" s="25"/>
      <c r="M64" s="25"/>
      <c r="N64" s="28" t="str">
        <f t="shared" si="7"/>
        <v/>
      </c>
      <c r="T64" s="27">
        <v>59</v>
      </c>
      <c r="U64" t="str">
        <f t="shared" si="2"/>
        <v/>
      </c>
      <c r="V64" t="str">
        <f t="shared" si="3"/>
        <v/>
      </c>
      <c r="W64" t="str">
        <f t="shared" si="4"/>
        <v/>
      </c>
      <c r="X64" t="str">
        <f t="shared" si="5"/>
        <v/>
      </c>
    </row>
    <row r="65" spans="1:24">
      <c r="A65" s="28" t="str">
        <f t="shared" si="8"/>
        <v/>
      </c>
      <c r="E65" s="5" t="str">
        <f>IF(C65="","",RTD("wdf.rtq", ,C65, "rt_mf_amt","RT_Price"))</f>
        <v/>
      </c>
      <c r="F65" s="5"/>
      <c r="G65" s="27">
        <v>60</v>
      </c>
      <c r="H65" t="str">
        <f t="shared" si="6"/>
        <v/>
      </c>
      <c r="I65" t="str">
        <f t="shared" si="1"/>
        <v/>
      </c>
      <c r="L65" s="25"/>
      <c r="M65" s="25"/>
      <c r="N65" s="28" t="str">
        <f t="shared" si="7"/>
        <v/>
      </c>
      <c r="T65" s="27">
        <v>60</v>
      </c>
      <c r="U65" t="str">
        <f t="shared" si="2"/>
        <v/>
      </c>
      <c r="V65" t="str">
        <f t="shared" si="3"/>
        <v/>
      </c>
      <c r="W65" t="str">
        <f t="shared" si="4"/>
        <v/>
      </c>
      <c r="X65" t="str">
        <f t="shared" si="5"/>
        <v/>
      </c>
    </row>
    <row r="66" spans="1:24">
      <c r="A66" s="28" t="str">
        <f t="shared" si="8"/>
        <v/>
      </c>
      <c r="E66" s="5" t="str">
        <f>IF(C66="","",RTD("wdf.rtq", ,C66, "rt_mf_amt","RT_Price"))</f>
        <v/>
      </c>
      <c r="F66" s="5"/>
      <c r="G66" s="27">
        <v>61</v>
      </c>
      <c r="H66" t="str">
        <f t="shared" si="6"/>
        <v/>
      </c>
      <c r="I66" t="str">
        <f t="shared" si="1"/>
        <v/>
      </c>
      <c r="L66" s="25"/>
      <c r="M66" s="25"/>
      <c r="N66" s="28" t="str">
        <f t="shared" si="7"/>
        <v/>
      </c>
      <c r="T66" s="27">
        <v>61</v>
      </c>
      <c r="U66" t="str">
        <f t="shared" si="2"/>
        <v/>
      </c>
      <c r="V66" t="str">
        <f t="shared" si="3"/>
        <v/>
      </c>
      <c r="W66" t="str">
        <f t="shared" si="4"/>
        <v/>
      </c>
      <c r="X66" t="str">
        <f t="shared" si="5"/>
        <v/>
      </c>
    </row>
    <row r="67" spans="1:24">
      <c r="A67" s="28" t="str">
        <f t="shared" si="8"/>
        <v/>
      </c>
      <c r="E67" s="5" t="str">
        <f>IF(C67="","",RTD("wdf.rtq", ,C67, "rt_mf_amt","RT_Price"))</f>
        <v/>
      </c>
      <c r="F67" s="5"/>
      <c r="G67" s="27">
        <v>62</v>
      </c>
      <c r="H67" t="str">
        <f t="shared" si="6"/>
        <v/>
      </c>
      <c r="I67" t="str">
        <f t="shared" si="1"/>
        <v/>
      </c>
      <c r="L67" s="25"/>
      <c r="M67" s="25"/>
      <c r="N67" s="28" t="str">
        <f t="shared" si="7"/>
        <v/>
      </c>
      <c r="T67" s="27">
        <v>62</v>
      </c>
      <c r="U67" t="str">
        <f t="shared" si="2"/>
        <v/>
      </c>
      <c r="V67" t="str">
        <f t="shared" si="3"/>
        <v/>
      </c>
      <c r="W67" t="str">
        <f t="shared" si="4"/>
        <v/>
      </c>
      <c r="X67" t="str">
        <f t="shared" si="5"/>
        <v/>
      </c>
    </row>
    <row r="68" spans="1:24">
      <c r="A68" s="28" t="str">
        <f t="shared" si="8"/>
        <v/>
      </c>
      <c r="E68" s="5" t="str">
        <f>IF(C68="","",RTD("wdf.rtq", ,C68, "rt_mf_amt","RT_Price"))</f>
        <v/>
      </c>
      <c r="F68" s="5"/>
      <c r="G68" s="27">
        <v>63</v>
      </c>
      <c r="H68" t="str">
        <f t="shared" si="6"/>
        <v/>
      </c>
      <c r="I68" t="str">
        <f t="shared" si="1"/>
        <v/>
      </c>
      <c r="L68" s="25"/>
      <c r="M68" s="25"/>
      <c r="N68" s="28" t="str">
        <f t="shared" si="7"/>
        <v/>
      </c>
      <c r="T68" s="27">
        <v>63</v>
      </c>
      <c r="U68" t="str">
        <f t="shared" si="2"/>
        <v/>
      </c>
      <c r="V68" t="str">
        <f t="shared" si="3"/>
        <v/>
      </c>
      <c r="W68" t="str">
        <f t="shared" si="4"/>
        <v/>
      </c>
      <c r="X68" t="str">
        <f t="shared" si="5"/>
        <v/>
      </c>
    </row>
    <row r="69" spans="1:24">
      <c r="A69" s="28" t="str">
        <f t="shared" si="8"/>
        <v/>
      </c>
      <c r="E69" s="5" t="str">
        <f>IF(C69="","",RTD("wdf.rtq", ,C69, "rt_mf_amt","RT_Price"))</f>
        <v/>
      </c>
      <c r="F69" s="5"/>
      <c r="G69" s="27">
        <v>64</v>
      </c>
      <c r="H69" t="str">
        <f t="shared" si="6"/>
        <v/>
      </c>
      <c r="I69" t="str">
        <f t="shared" si="1"/>
        <v/>
      </c>
      <c r="L69" s="25"/>
      <c r="M69" s="25"/>
      <c r="N69" s="28" t="str">
        <f t="shared" si="7"/>
        <v/>
      </c>
      <c r="T69" s="27">
        <v>64</v>
      </c>
      <c r="U69" t="str">
        <f t="shared" si="2"/>
        <v/>
      </c>
      <c r="V69" t="str">
        <f t="shared" si="3"/>
        <v/>
      </c>
      <c r="W69" t="str">
        <f t="shared" si="4"/>
        <v/>
      </c>
      <c r="X69" t="str">
        <f t="shared" si="5"/>
        <v/>
      </c>
    </row>
    <row r="70" spans="1:24">
      <c r="A70" s="28" t="str">
        <f t="shared" si="8"/>
        <v/>
      </c>
      <c r="E70" s="5" t="str">
        <f>IF(C70="","",RTD("wdf.rtq", ,C70, "rt_mf_amt","RT_Price"))</f>
        <v/>
      </c>
      <c r="F70" s="5"/>
      <c r="G70" s="27">
        <v>65</v>
      </c>
      <c r="H70" t="str">
        <f t="shared" si="6"/>
        <v/>
      </c>
      <c r="I70" t="str">
        <f t="shared" si="1"/>
        <v/>
      </c>
      <c r="L70" s="25"/>
      <c r="M70" s="25"/>
      <c r="N70" s="28" t="str">
        <f t="shared" si="7"/>
        <v/>
      </c>
      <c r="T70" s="27">
        <v>65</v>
      </c>
      <c r="U70" t="str">
        <f t="shared" si="2"/>
        <v/>
      </c>
      <c r="V70" t="str">
        <f t="shared" si="3"/>
        <v/>
      </c>
      <c r="W70" t="str">
        <f t="shared" si="4"/>
        <v/>
      </c>
      <c r="X70" t="str">
        <f t="shared" si="5"/>
        <v/>
      </c>
    </row>
    <row r="71" spans="1:24">
      <c r="A71" s="28" t="str">
        <f t="shared" si="8"/>
        <v/>
      </c>
      <c r="E71" s="5" t="str">
        <f>IF(C71="","",RTD("wdf.rtq", ,C71, "rt_mf_amt","RT_Price"))</f>
        <v/>
      </c>
      <c r="F71" s="5"/>
      <c r="G71" s="27">
        <v>66</v>
      </c>
      <c r="H71" t="str">
        <f t="shared" ref="H71:H129" si="11">IF(D71="","",VLOOKUP(G71,A:E,4,0))</f>
        <v/>
      </c>
      <c r="I71" t="str">
        <f t="shared" ref="I71:I129" si="12">IF(D71="","",VLOOKUP(G71,A:E,5,0))</f>
        <v/>
      </c>
      <c r="L71" s="25"/>
      <c r="M71" s="25"/>
      <c r="N71" s="28" t="str">
        <f t="shared" si="7"/>
        <v/>
      </c>
      <c r="T71" s="27">
        <v>66</v>
      </c>
      <c r="U71" t="str">
        <f t="shared" ref="U71:U129" si="13">IF(O72="","",VLOOKUP(T71,N:R,2,0))</f>
        <v/>
      </c>
      <c r="V71" t="str">
        <f t="shared" ref="V71:V129" si="14">IF(O72="","",VLOOKUP(T71,N:R,3,0))</f>
        <v/>
      </c>
      <c r="W71" t="str">
        <f t="shared" ref="W71:W129" si="15">IF(O72="","",VLOOKUP(T71,N:R,4,0))</f>
        <v/>
      </c>
      <c r="X71" t="str">
        <f t="shared" ref="X71:X129" si="16">IF(O72="","",VLOOKUP(T71,N:R,5,0))</f>
        <v/>
      </c>
    </row>
    <row r="72" spans="1:24">
      <c r="A72" s="28" t="str">
        <f t="shared" si="8"/>
        <v/>
      </c>
      <c r="E72" s="5" t="str">
        <f>IF(C72="","",RTD("wdf.rtq", ,C72, "rt_mf_amt","RT_Price"))</f>
        <v/>
      </c>
      <c r="F72" s="5"/>
      <c r="G72" s="27">
        <v>67</v>
      </c>
      <c r="H72" t="str">
        <f t="shared" si="11"/>
        <v/>
      </c>
      <c r="I72" t="str">
        <f t="shared" si="12"/>
        <v/>
      </c>
      <c r="L72" s="25"/>
      <c r="M72" s="25"/>
      <c r="N72" s="28" t="str">
        <f t="shared" ref="N72:N129" si="17">IFERROR(RANK(Q72,$Q$7:$Q$129),"")</f>
        <v/>
      </c>
      <c r="T72" s="27">
        <v>67</v>
      </c>
      <c r="U72" t="str">
        <f t="shared" si="13"/>
        <v/>
      </c>
      <c r="V72" t="str">
        <f t="shared" si="14"/>
        <v/>
      </c>
      <c r="W72" t="str">
        <f t="shared" si="15"/>
        <v/>
      </c>
      <c r="X72" t="str">
        <f t="shared" si="16"/>
        <v/>
      </c>
    </row>
    <row r="73" spans="1:24">
      <c r="A73" s="28" t="str">
        <f t="shared" si="8"/>
        <v/>
      </c>
      <c r="E73" s="5" t="str">
        <f>IF(C73="","",RTD("wdf.rtq", ,C73, "rt_mf_amt","RT_Price"))</f>
        <v/>
      </c>
      <c r="F73" s="5"/>
      <c r="G73" s="27">
        <v>68</v>
      </c>
      <c r="H73" t="str">
        <f t="shared" si="11"/>
        <v/>
      </c>
      <c r="I73" t="str">
        <f t="shared" si="12"/>
        <v/>
      </c>
      <c r="L73" s="25"/>
      <c r="M73" s="25"/>
      <c r="N73" s="28" t="str">
        <f t="shared" si="17"/>
        <v/>
      </c>
      <c r="T73" s="27">
        <v>68</v>
      </c>
      <c r="U73" t="str">
        <f t="shared" si="13"/>
        <v/>
      </c>
      <c r="V73" t="str">
        <f t="shared" si="14"/>
        <v/>
      </c>
      <c r="W73" t="str">
        <f t="shared" si="15"/>
        <v/>
      </c>
      <c r="X73" t="str">
        <f t="shared" si="16"/>
        <v/>
      </c>
    </row>
    <row r="74" spans="1:24">
      <c r="A74" s="28" t="str">
        <f t="shared" si="8"/>
        <v/>
      </c>
      <c r="E74" s="5" t="str">
        <f>IF(C74="","",RTD("wdf.rtq", ,C74, "rt_mf_amt","RT_Price"))</f>
        <v/>
      </c>
      <c r="F74" s="5"/>
      <c r="G74" s="27">
        <v>69</v>
      </c>
      <c r="H74" t="str">
        <f t="shared" si="11"/>
        <v/>
      </c>
      <c r="I74" t="str">
        <f t="shared" si="12"/>
        <v/>
      </c>
      <c r="L74" s="25"/>
      <c r="M74" s="25"/>
      <c r="N74" s="28" t="str">
        <f t="shared" si="17"/>
        <v/>
      </c>
      <c r="T74" s="27">
        <v>69</v>
      </c>
      <c r="U74" t="str">
        <f t="shared" si="13"/>
        <v/>
      </c>
      <c r="V74" t="str">
        <f t="shared" si="14"/>
        <v/>
      </c>
      <c r="W74" t="str">
        <f t="shared" si="15"/>
        <v/>
      </c>
      <c r="X74" t="str">
        <f t="shared" si="16"/>
        <v/>
      </c>
    </row>
    <row r="75" spans="1:24">
      <c r="A75" s="28" t="str">
        <f t="shared" si="8"/>
        <v/>
      </c>
      <c r="E75" s="5" t="str">
        <f>IF(C75="","",RTD("wdf.rtq", ,C75, "rt_mf_amt","RT_Price"))</f>
        <v/>
      </c>
      <c r="F75" s="5"/>
      <c r="G75" s="27">
        <v>70</v>
      </c>
      <c r="H75" t="str">
        <f t="shared" si="11"/>
        <v/>
      </c>
      <c r="I75" t="str">
        <f t="shared" si="12"/>
        <v/>
      </c>
      <c r="L75" s="25"/>
      <c r="M75" s="25"/>
      <c r="N75" s="28" t="str">
        <f t="shared" si="17"/>
        <v/>
      </c>
      <c r="T75" s="27">
        <v>70</v>
      </c>
      <c r="U75" t="str">
        <f t="shared" si="13"/>
        <v/>
      </c>
      <c r="V75" t="str">
        <f t="shared" si="14"/>
        <v/>
      </c>
      <c r="W75" t="str">
        <f t="shared" si="15"/>
        <v/>
      </c>
      <c r="X75" t="str">
        <f t="shared" si="16"/>
        <v/>
      </c>
    </row>
    <row r="76" spans="1:24">
      <c r="A76" s="28" t="str">
        <f t="shared" si="8"/>
        <v/>
      </c>
      <c r="E76" s="5" t="str">
        <f>IF(C76="","",RTD("wdf.rtq", ,C76, "rt_mf_amt","RT_Price"))</f>
        <v/>
      </c>
      <c r="F76" s="5"/>
      <c r="G76" s="27">
        <v>71</v>
      </c>
      <c r="H76" t="str">
        <f t="shared" si="11"/>
        <v/>
      </c>
      <c r="I76" t="str">
        <f t="shared" si="12"/>
        <v/>
      </c>
      <c r="L76" s="25"/>
      <c r="M76" s="25"/>
      <c r="N76" s="28" t="str">
        <f t="shared" si="17"/>
        <v/>
      </c>
      <c r="T76" s="27">
        <v>71</v>
      </c>
      <c r="U76" t="str">
        <f t="shared" si="13"/>
        <v/>
      </c>
      <c r="V76" t="str">
        <f t="shared" si="14"/>
        <v/>
      </c>
      <c r="W76" t="str">
        <f t="shared" si="15"/>
        <v/>
      </c>
      <c r="X76" t="str">
        <f t="shared" si="16"/>
        <v/>
      </c>
    </row>
    <row r="77" spans="1:24">
      <c r="A77" s="28" t="str">
        <f t="shared" si="8"/>
        <v/>
      </c>
      <c r="E77" s="5" t="str">
        <f>IF(C77="","",RTD("wdf.rtq", ,C77, "rt_mf_amt","RT_Price"))</f>
        <v/>
      </c>
      <c r="F77" s="5"/>
      <c r="G77" s="27">
        <v>72</v>
      </c>
      <c r="H77" t="str">
        <f t="shared" si="11"/>
        <v/>
      </c>
      <c r="I77" t="str">
        <f t="shared" si="12"/>
        <v/>
      </c>
      <c r="L77" s="25"/>
      <c r="M77" s="25"/>
      <c r="N77" s="28" t="str">
        <f t="shared" si="17"/>
        <v/>
      </c>
      <c r="T77" s="27">
        <v>72</v>
      </c>
      <c r="U77" t="str">
        <f t="shared" si="13"/>
        <v/>
      </c>
      <c r="V77" t="str">
        <f t="shared" si="14"/>
        <v/>
      </c>
      <c r="W77" t="str">
        <f t="shared" si="15"/>
        <v/>
      </c>
      <c r="X77" t="str">
        <f t="shared" si="16"/>
        <v/>
      </c>
    </row>
    <row r="78" spans="1:24">
      <c r="A78" s="28" t="str">
        <f t="shared" si="8"/>
        <v/>
      </c>
      <c r="E78" s="5" t="str">
        <f>IF(C78="","",RTD("wdf.rtq", ,C78, "rt_mf_amt","RT_Price"))</f>
        <v/>
      </c>
      <c r="F78" s="5"/>
      <c r="G78" s="27">
        <v>73</v>
      </c>
      <c r="H78" t="str">
        <f t="shared" si="11"/>
        <v/>
      </c>
      <c r="I78" t="str">
        <f t="shared" si="12"/>
        <v/>
      </c>
      <c r="L78" s="25"/>
      <c r="M78" s="25"/>
      <c r="N78" s="28" t="str">
        <f t="shared" si="17"/>
        <v/>
      </c>
      <c r="T78" s="27">
        <v>73</v>
      </c>
      <c r="U78" t="str">
        <f t="shared" si="13"/>
        <v/>
      </c>
      <c r="V78" t="str">
        <f t="shared" si="14"/>
        <v/>
      </c>
      <c r="W78" t="str">
        <f t="shared" si="15"/>
        <v/>
      </c>
      <c r="X78" t="str">
        <f t="shared" si="16"/>
        <v/>
      </c>
    </row>
    <row r="79" spans="1:24">
      <c r="A79" s="28" t="str">
        <f t="shared" si="8"/>
        <v/>
      </c>
      <c r="E79" s="5" t="str">
        <f>IF(C79="","",RTD("wdf.rtq", ,C79, "rt_mf_amt","RT_Price"))</f>
        <v/>
      </c>
      <c r="F79" s="5"/>
      <c r="G79" s="27">
        <v>74</v>
      </c>
      <c r="H79" t="str">
        <f t="shared" si="11"/>
        <v/>
      </c>
      <c r="I79" t="str">
        <f t="shared" si="12"/>
        <v/>
      </c>
      <c r="L79" s="25"/>
      <c r="M79" s="25"/>
      <c r="N79" s="28" t="str">
        <f t="shared" si="17"/>
        <v/>
      </c>
      <c r="T79" s="27">
        <v>74</v>
      </c>
      <c r="U79" t="str">
        <f t="shared" si="13"/>
        <v/>
      </c>
      <c r="V79" t="str">
        <f t="shared" si="14"/>
        <v/>
      </c>
      <c r="W79" t="str">
        <f t="shared" si="15"/>
        <v/>
      </c>
      <c r="X79" t="str">
        <f t="shared" si="16"/>
        <v/>
      </c>
    </row>
    <row r="80" spans="1:24">
      <c r="A80" s="28" t="str">
        <f t="shared" si="8"/>
        <v/>
      </c>
      <c r="E80" s="5" t="str">
        <f>IF(C80="","",RTD("wdf.rtq", ,C80, "rt_mf_amt","RT_Price"))</f>
        <v/>
      </c>
      <c r="F80" s="5"/>
      <c r="G80" s="27">
        <v>75</v>
      </c>
      <c r="H80" t="str">
        <f t="shared" si="11"/>
        <v/>
      </c>
      <c r="I80" t="str">
        <f t="shared" si="12"/>
        <v/>
      </c>
      <c r="L80" s="25"/>
      <c r="M80" s="25"/>
      <c r="N80" s="28" t="str">
        <f t="shared" si="17"/>
        <v/>
      </c>
      <c r="T80" s="27">
        <v>75</v>
      </c>
      <c r="U80" t="str">
        <f t="shared" si="13"/>
        <v/>
      </c>
      <c r="V80" t="str">
        <f t="shared" si="14"/>
        <v/>
      </c>
      <c r="W80" t="str">
        <f t="shared" si="15"/>
        <v/>
      </c>
      <c r="X80" t="str">
        <f t="shared" si="16"/>
        <v/>
      </c>
    </row>
    <row r="81" spans="1:24">
      <c r="A81" s="28" t="str">
        <f t="shared" si="8"/>
        <v/>
      </c>
      <c r="E81" s="5" t="str">
        <f>IF(C81="","",RTD("wdf.rtq", ,C81, "rt_mf_amt","RT_Price"))</f>
        <v/>
      </c>
      <c r="F81" s="5"/>
      <c r="G81" s="27">
        <v>76</v>
      </c>
      <c r="H81" t="str">
        <f t="shared" si="11"/>
        <v/>
      </c>
      <c r="I81" t="str">
        <f t="shared" si="12"/>
        <v/>
      </c>
      <c r="L81" s="25"/>
      <c r="M81" s="25"/>
      <c r="N81" s="28" t="str">
        <f t="shared" si="17"/>
        <v/>
      </c>
      <c r="T81" s="27">
        <v>76</v>
      </c>
      <c r="U81" t="str">
        <f t="shared" si="13"/>
        <v/>
      </c>
      <c r="V81" t="str">
        <f t="shared" si="14"/>
        <v/>
      </c>
      <c r="W81" t="str">
        <f t="shared" si="15"/>
        <v/>
      </c>
      <c r="X81" t="str">
        <f t="shared" si="16"/>
        <v/>
      </c>
    </row>
    <row r="82" spans="1:24">
      <c r="A82" s="28" t="str">
        <f t="shared" si="8"/>
        <v/>
      </c>
      <c r="E82" s="5" t="str">
        <f>IF(C82="","",RTD("wdf.rtq", ,C82, "rt_mf_amt","RT_Price"))</f>
        <v/>
      </c>
      <c r="F82" s="5"/>
      <c r="G82" s="27">
        <v>77</v>
      </c>
      <c r="H82" t="str">
        <f t="shared" si="11"/>
        <v/>
      </c>
      <c r="I82" t="str">
        <f t="shared" si="12"/>
        <v/>
      </c>
      <c r="L82" s="25"/>
      <c r="M82" s="25"/>
      <c r="N82" s="28" t="str">
        <f t="shared" si="17"/>
        <v/>
      </c>
      <c r="T82" s="27">
        <v>77</v>
      </c>
      <c r="U82" t="str">
        <f t="shared" si="13"/>
        <v/>
      </c>
      <c r="V82" t="str">
        <f t="shared" si="14"/>
        <v/>
      </c>
      <c r="W82" t="str">
        <f t="shared" si="15"/>
        <v/>
      </c>
      <c r="X82" t="str">
        <f t="shared" si="16"/>
        <v/>
      </c>
    </row>
    <row r="83" spans="1:24">
      <c r="A83" s="28" t="str">
        <f t="shared" si="8"/>
        <v/>
      </c>
      <c r="E83" s="5" t="str">
        <f>IF(C83="","",RTD("wdf.rtq", ,C83, "rt_mf_amt","RT_Price"))</f>
        <v/>
      </c>
      <c r="F83" s="5"/>
      <c r="G83" s="27">
        <v>78</v>
      </c>
      <c r="H83" t="str">
        <f t="shared" si="11"/>
        <v/>
      </c>
      <c r="I83" t="str">
        <f t="shared" si="12"/>
        <v/>
      </c>
      <c r="L83" s="25"/>
      <c r="M83" s="25"/>
      <c r="N83" s="28" t="str">
        <f t="shared" si="17"/>
        <v/>
      </c>
      <c r="T83" s="27">
        <v>78</v>
      </c>
      <c r="U83" t="str">
        <f t="shared" si="13"/>
        <v/>
      </c>
      <c r="V83" t="str">
        <f t="shared" si="14"/>
        <v/>
      </c>
      <c r="W83" t="str">
        <f t="shared" si="15"/>
        <v/>
      </c>
      <c r="X83" t="str">
        <f t="shared" si="16"/>
        <v/>
      </c>
    </row>
    <row r="84" spans="1:24">
      <c r="A84" s="28" t="str">
        <f t="shared" si="8"/>
        <v/>
      </c>
      <c r="E84" s="5" t="str">
        <f>IF(C84="","",RTD("wdf.rtq", ,C84, "rt_mf_amt","RT_Price"))</f>
        <v/>
      </c>
      <c r="F84" s="5"/>
      <c r="G84" s="27">
        <v>79</v>
      </c>
      <c r="H84" t="str">
        <f t="shared" si="11"/>
        <v/>
      </c>
      <c r="I84" t="str">
        <f t="shared" si="12"/>
        <v/>
      </c>
      <c r="L84" s="25"/>
      <c r="M84" s="25"/>
      <c r="N84" s="28" t="str">
        <f t="shared" si="17"/>
        <v/>
      </c>
      <c r="T84" s="27">
        <v>79</v>
      </c>
      <c r="U84" t="str">
        <f t="shared" si="13"/>
        <v/>
      </c>
      <c r="V84" t="str">
        <f t="shared" si="14"/>
        <v/>
      </c>
      <c r="W84" t="str">
        <f t="shared" si="15"/>
        <v/>
      </c>
      <c r="X84" t="str">
        <f t="shared" si="16"/>
        <v/>
      </c>
    </row>
    <row r="85" spans="1:24">
      <c r="A85" s="28" t="str">
        <f t="shared" si="8"/>
        <v/>
      </c>
      <c r="E85" s="5" t="str">
        <f>IF(C85="","",RTD("wdf.rtq", ,C85, "rt_mf_amt","RT_Price"))</f>
        <v/>
      </c>
      <c r="F85" s="5"/>
      <c r="G85" s="27">
        <v>80</v>
      </c>
      <c r="H85" t="str">
        <f t="shared" si="11"/>
        <v/>
      </c>
      <c r="I85" t="str">
        <f t="shared" si="12"/>
        <v/>
      </c>
      <c r="L85" s="25"/>
      <c r="M85" s="25"/>
      <c r="N85" s="28" t="str">
        <f t="shared" si="17"/>
        <v/>
      </c>
      <c r="T85" s="27">
        <v>80</v>
      </c>
      <c r="U85" t="str">
        <f t="shared" si="13"/>
        <v/>
      </c>
      <c r="V85" t="str">
        <f t="shared" si="14"/>
        <v/>
      </c>
      <c r="W85" t="str">
        <f t="shared" si="15"/>
        <v/>
      </c>
      <c r="X85" t="str">
        <f t="shared" si="16"/>
        <v/>
      </c>
    </row>
    <row r="86" spans="1:24">
      <c r="A86" s="28" t="str">
        <f t="shared" si="8"/>
        <v/>
      </c>
      <c r="E86" s="5" t="str">
        <f>IF(C86="","",RTD("wdf.rtq", ,C86, "rt_mf_amt","RT_Price"))</f>
        <v/>
      </c>
      <c r="F86" s="5"/>
      <c r="G86" s="27">
        <v>81</v>
      </c>
      <c r="H86" t="str">
        <f t="shared" si="11"/>
        <v/>
      </c>
      <c r="I86" t="str">
        <f t="shared" si="12"/>
        <v/>
      </c>
      <c r="L86" s="25"/>
      <c r="M86" s="25"/>
      <c r="N86" s="28" t="str">
        <f t="shared" si="17"/>
        <v/>
      </c>
      <c r="T86" s="27">
        <v>81</v>
      </c>
      <c r="U86" t="str">
        <f t="shared" si="13"/>
        <v/>
      </c>
      <c r="V86" t="str">
        <f t="shared" si="14"/>
        <v/>
      </c>
      <c r="W86" t="str">
        <f t="shared" si="15"/>
        <v/>
      </c>
      <c r="X86" t="str">
        <f t="shared" si="16"/>
        <v/>
      </c>
    </row>
    <row r="87" spans="1:24">
      <c r="A87" s="28" t="str">
        <f t="shared" si="8"/>
        <v/>
      </c>
      <c r="E87" s="5" t="str">
        <f>IF(C87="","",RTD("wdf.rtq", ,C87, "rt_mf_amt","RT_Price"))</f>
        <v/>
      </c>
      <c r="F87" s="5"/>
      <c r="G87" s="27">
        <v>82</v>
      </c>
      <c r="H87" t="str">
        <f t="shared" si="11"/>
        <v/>
      </c>
      <c r="I87" t="str">
        <f t="shared" si="12"/>
        <v/>
      </c>
      <c r="L87" s="25"/>
      <c r="M87" s="25"/>
      <c r="N87" s="28" t="str">
        <f t="shared" si="17"/>
        <v/>
      </c>
      <c r="T87" s="27">
        <v>82</v>
      </c>
      <c r="U87" t="str">
        <f t="shared" si="13"/>
        <v/>
      </c>
      <c r="V87" t="str">
        <f t="shared" si="14"/>
        <v/>
      </c>
      <c r="W87" t="str">
        <f t="shared" si="15"/>
        <v/>
      </c>
      <c r="X87" t="str">
        <f t="shared" si="16"/>
        <v/>
      </c>
    </row>
    <row r="88" spans="1:24">
      <c r="A88" s="28" t="str">
        <f t="shared" si="8"/>
        <v/>
      </c>
      <c r="E88" s="5" t="str">
        <f>IF(C88="","",RTD("wdf.rtq", ,C88, "rt_mf_amt","RT_Price"))</f>
        <v/>
      </c>
      <c r="F88" s="5"/>
      <c r="G88" s="27">
        <v>83</v>
      </c>
      <c r="H88" t="str">
        <f t="shared" si="11"/>
        <v/>
      </c>
      <c r="I88" t="str">
        <f t="shared" si="12"/>
        <v/>
      </c>
      <c r="L88" s="25"/>
      <c r="M88" s="25"/>
      <c r="N88" s="28" t="str">
        <f t="shared" si="17"/>
        <v/>
      </c>
      <c r="T88" s="27">
        <v>83</v>
      </c>
      <c r="U88" t="str">
        <f t="shared" si="13"/>
        <v/>
      </c>
      <c r="V88" t="str">
        <f t="shared" si="14"/>
        <v/>
      </c>
      <c r="W88" t="str">
        <f t="shared" si="15"/>
        <v/>
      </c>
      <c r="X88" t="str">
        <f t="shared" si="16"/>
        <v/>
      </c>
    </row>
    <row r="89" spans="1:24">
      <c r="A89" s="28" t="str">
        <f t="shared" si="8"/>
        <v/>
      </c>
      <c r="E89" s="5" t="str">
        <f>IF(C89="","",RTD("wdf.rtq", ,C89, "rt_mf_amt","RT_Price"))</f>
        <v/>
      </c>
      <c r="F89" s="5"/>
      <c r="G89" s="27">
        <v>84</v>
      </c>
      <c r="H89" t="str">
        <f t="shared" si="11"/>
        <v/>
      </c>
      <c r="I89" t="str">
        <f t="shared" si="12"/>
        <v/>
      </c>
      <c r="L89" s="25"/>
      <c r="M89" s="25"/>
      <c r="N89" s="28" t="str">
        <f t="shared" si="17"/>
        <v/>
      </c>
      <c r="T89" s="27">
        <v>84</v>
      </c>
      <c r="U89" t="str">
        <f t="shared" si="13"/>
        <v/>
      </c>
      <c r="V89" t="str">
        <f t="shared" si="14"/>
        <v/>
      </c>
      <c r="W89" t="str">
        <f t="shared" si="15"/>
        <v/>
      </c>
      <c r="X89" t="str">
        <f t="shared" si="16"/>
        <v/>
      </c>
    </row>
    <row r="90" spans="1:24">
      <c r="A90" s="28" t="str">
        <f t="shared" si="8"/>
        <v/>
      </c>
      <c r="E90" s="5" t="str">
        <f>IF(C90="","",RTD("wdf.rtq", ,C90, "rt_mf_amt","RT_Price"))</f>
        <v/>
      </c>
      <c r="F90" s="5"/>
      <c r="G90" s="27">
        <v>85</v>
      </c>
      <c r="H90" t="str">
        <f t="shared" si="11"/>
        <v/>
      </c>
      <c r="I90" t="str">
        <f t="shared" si="12"/>
        <v/>
      </c>
      <c r="L90" s="25"/>
      <c r="M90" s="25"/>
      <c r="N90" s="28" t="str">
        <f t="shared" si="17"/>
        <v/>
      </c>
      <c r="T90" s="27">
        <v>85</v>
      </c>
      <c r="U90" t="str">
        <f t="shared" si="13"/>
        <v/>
      </c>
      <c r="V90" t="str">
        <f t="shared" si="14"/>
        <v/>
      </c>
      <c r="W90" t="str">
        <f t="shared" si="15"/>
        <v/>
      </c>
      <c r="X90" t="str">
        <f t="shared" si="16"/>
        <v/>
      </c>
    </row>
    <row r="91" spans="1:24">
      <c r="A91" s="28" t="str">
        <f t="shared" si="8"/>
        <v/>
      </c>
      <c r="E91" s="5" t="str">
        <f>IF(C91="","",RTD("wdf.rtq", ,C91, "rt_mf_amt","RT_Price"))</f>
        <v/>
      </c>
      <c r="F91" s="5"/>
      <c r="G91" s="27">
        <v>86</v>
      </c>
      <c r="H91" t="str">
        <f t="shared" si="11"/>
        <v/>
      </c>
      <c r="I91" t="str">
        <f t="shared" si="12"/>
        <v/>
      </c>
      <c r="L91" s="25"/>
      <c r="M91" s="25"/>
      <c r="N91" s="28" t="str">
        <f t="shared" si="17"/>
        <v/>
      </c>
      <c r="T91" s="27">
        <v>86</v>
      </c>
      <c r="U91" t="str">
        <f t="shared" si="13"/>
        <v/>
      </c>
      <c r="V91" t="str">
        <f t="shared" si="14"/>
        <v/>
      </c>
      <c r="W91" t="str">
        <f t="shared" si="15"/>
        <v/>
      </c>
      <c r="X91" t="str">
        <f t="shared" si="16"/>
        <v/>
      </c>
    </row>
    <row r="92" spans="1:24">
      <c r="A92" s="28" t="str">
        <f t="shared" si="8"/>
        <v/>
      </c>
      <c r="E92" s="5" t="str">
        <f>IF(C92="","",RTD("wdf.rtq", ,C92, "rt_mf_amt","RT_Price"))</f>
        <v/>
      </c>
      <c r="F92" s="5"/>
      <c r="G92" s="27">
        <v>87</v>
      </c>
      <c r="H92" t="str">
        <f t="shared" si="11"/>
        <v/>
      </c>
      <c r="I92" t="str">
        <f t="shared" si="12"/>
        <v/>
      </c>
      <c r="L92" s="25"/>
      <c r="M92" s="25"/>
      <c r="N92" s="28" t="str">
        <f t="shared" si="17"/>
        <v/>
      </c>
      <c r="T92" s="27">
        <v>87</v>
      </c>
      <c r="U92" t="str">
        <f t="shared" si="13"/>
        <v/>
      </c>
      <c r="V92" t="str">
        <f t="shared" si="14"/>
        <v/>
      </c>
      <c r="W92" t="str">
        <f t="shared" si="15"/>
        <v/>
      </c>
      <c r="X92" t="str">
        <f t="shared" si="16"/>
        <v/>
      </c>
    </row>
    <row r="93" spans="1:24">
      <c r="A93" s="28" t="str">
        <f t="shared" ref="A93:A129" si="18">IFERROR(RANK(E93,$E$6:$E$129),"")</f>
        <v/>
      </c>
      <c r="E93" s="5" t="str">
        <f>IF(C93="","",RTD("wdf.rtq", ,C93, "rt_mf_amt","RT_Price"))</f>
        <v/>
      </c>
      <c r="F93" s="5"/>
      <c r="G93" s="27">
        <v>88</v>
      </c>
      <c r="H93" t="str">
        <f t="shared" si="11"/>
        <v/>
      </c>
      <c r="I93" t="str">
        <f t="shared" si="12"/>
        <v/>
      </c>
      <c r="L93" s="25"/>
      <c r="M93" s="25"/>
      <c r="N93" s="28" t="str">
        <f t="shared" si="17"/>
        <v/>
      </c>
      <c r="T93" s="27">
        <v>88</v>
      </c>
      <c r="U93" t="str">
        <f t="shared" si="13"/>
        <v/>
      </c>
      <c r="V93" t="str">
        <f t="shared" si="14"/>
        <v/>
      </c>
      <c r="W93" t="str">
        <f t="shared" si="15"/>
        <v/>
      </c>
      <c r="X93" t="str">
        <f t="shared" si="16"/>
        <v/>
      </c>
    </row>
    <row r="94" spans="1:24">
      <c r="A94" s="28" t="str">
        <f t="shared" si="18"/>
        <v/>
      </c>
      <c r="E94" s="5" t="str">
        <f>IF(C94="","",RTD("wdf.rtq", ,C94, "rt_mf_amt","RT_Price"))</f>
        <v/>
      </c>
      <c r="F94" s="5"/>
      <c r="G94" s="27">
        <v>89</v>
      </c>
      <c r="H94" t="str">
        <f t="shared" si="11"/>
        <v/>
      </c>
      <c r="I94" t="str">
        <f t="shared" si="12"/>
        <v/>
      </c>
      <c r="L94" s="25"/>
      <c r="M94" s="25"/>
      <c r="N94" s="28" t="str">
        <f t="shared" si="17"/>
        <v/>
      </c>
      <c r="T94" s="27">
        <v>89</v>
      </c>
      <c r="U94" t="str">
        <f t="shared" si="13"/>
        <v/>
      </c>
      <c r="V94" t="str">
        <f t="shared" si="14"/>
        <v/>
      </c>
      <c r="W94" t="str">
        <f t="shared" si="15"/>
        <v/>
      </c>
      <c r="X94" t="str">
        <f t="shared" si="16"/>
        <v/>
      </c>
    </row>
    <row r="95" spans="1:24">
      <c r="A95" s="28" t="str">
        <f t="shared" si="18"/>
        <v/>
      </c>
      <c r="E95" s="5" t="str">
        <f>IF(C95="","",RTD("wdf.rtq", ,C95, "rt_mf_amt","RT_Price"))</f>
        <v/>
      </c>
      <c r="F95" s="5"/>
      <c r="G95" s="27">
        <v>90</v>
      </c>
      <c r="H95" t="str">
        <f t="shared" si="11"/>
        <v/>
      </c>
      <c r="I95" t="str">
        <f t="shared" si="12"/>
        <v/>
      </c>
      <c r="L95" s="25"/>
      <c r="M95" s="25"/>
      <c r="N95" s="28" t="str">
        <f t="shared" si="17"/>
        <v/>
      </c>
      <c r="T95" s="27">
        <v>90</v>
      </c>
      <c r="U95" t="str">
        <f t="shared" si="13"/>
        <v/>
      </c>
      <c r="V95" t="str">
        <f t="shared" si="14"/>
        <v/>
      </c>
      <c r="W95" t="str">
        <f t="shared" si="15"/>
        <v/>
      </c>
      <c r="X95" t="str">
        <f t="shared" si="16"/>
        <v/>
      </c>
    </row>
    <row r="96" spans="1:24">
      <c r="A96" s="28" t="str">
        <f t="shared" si="18"/>
        <v/>
      </c>
      <c r="E96" s="5" t="str">
        <f>IF(C96="","",RTD("wdf.rtq", ,C96, "rt_mf_amt","RT_Price"))</f>
        <v/>
      </c>
      <c r="F96" s="5"/>
      <c r="G96" s="27">
        <v>91</v>
      </c>
      <c r="H96" t="str">
        <f t="shared" si="11"/>
        <v/>
      </c>
      <c r="I96" t="str">
        <f t="shared" si="12"/>
        <v/>
      </c>
      <c r="L96" s="25"/>
      <c r="M96" s="25"/>
      <c r="N96" s="28" t="str">
        <f t="shared" si="17"/>
        <v/>
      </c>
      <c r="T96" s="27">
        <v>91</v>
      </c>
      <c r="U96" t="str">
        <f t="shared" si="13"/>
        <v/>
      </c>
      <c r="V96" t="str">
        <f t="shared" si="14"/>
        <v/>
      </c>
      <c r="W96" t="str">
        <f t="shared" si="15"/>
        <v/>
      </c>
      <c r="X96" t="str">
        <f t="shared" si="16"/>
        <v/>
      </c>
    </row>
    <row r="97" spans="1:24">
      <c r="A97" s="28" t="str">
        <f t="shared" si="18"/>
        <v/>
      </c>
      <c r="E97" s="5" t="str">
        <f>IF(C97="","",RTD("wdf.rtq", ,C97, "rt_mf_amt","RT_Price"))</f>
        <v/>
      </c>
      <c r="F97" s="5"/>
      <c r="G97" s="27">
        <v>92</v>
      </c>
      <c r="H97" t="str">
        <f t="shared" si="11"/>
        <v/>
      </c>
      <c r="I97" t="str">
        <f t="shared" si="12"/>
        <v/>
      </c>
      <c r="L97" s="25"/>
      <c r="M97" s="25"/>
      <c r="N97" s="28" t="str">
        <f t="shared" si="17"/>
        <v/>
      </c>
      <c r="T97" s="27">
        <v>92</v>
      </c>
      <c r="U97" t="str">
        <f t="shared" si="13"/>
        <v/>
      </c>
      <c r="V97" t="str">
        <f t="shared" si="14"/>
        <v/>
      </c>
      <c r="W97" t="str">
        <f t="shared" si="15"/>
        <v/>
      </c>
      <c r="X97" t="str">
        <f t="shared" si="16"/>
        <v/>
      </c>
    </row>
    <row r="98" spans="1:24">
      <c r="A98" s="28" t="str">
        <f t="shared" si="18"/>
        <v/>
      </c>
      <c r="E98" s="5" t="str">
        <f>IF(C98="","",RTD("wdf.rtq", ,C98, "rt_mf_amt","RT_Price"))</f>
        <v/>
      </c>
      <c r="F98" s="5"/>
      <c r="G98" s="27">
        <v>93</v>
      </c>
      <c r="H98" t="str">
        <f t="shared" si="11"/>
        <v/>
      </c>
      <c r="I98" t="str">
        <f t="shared" si="12"/>
        <v/>
      </c>
      <c r="L98" s="25"/>
      <c r="M98" s="25"/>
      <c r="N98" s="28" t="str">
        <f t="shared" si="17"/>
        <v/>
      </c>
      <c r="T98" s="27">
        <v>93</v>
      </c>
      <c r="U98" t="str">
        <f t="shared" si="13"/>
        <v/>
      </c>
      <c r="V98" t="str">
        <f t="shared" si="14"/>
        <v/>
      </c>
      <c r="W98" t="str">
        <f t="shared" si="15"/>
        <v/>
      </c>
      <c r="X98" t="str">
        <f t="shared" si="16"/>
        <v/>
      </c>
    </row>
    <row r="99" spans="1:24">
      <c r="A99" s="28" t="str">
        <f t="shared" si="18"/>
        <v/>
      </c>
      <c r="E99" s="5" t="str">
        <f>IF(C99="","",RTD("wdf.rtq", ,C99, "rt_mf_amt","RT_Price"))</f>
        <v/>
      </c>
      <c r="F99" s="5"/>
      <c r="G99" s="27">
        <v>94</v>
      </c>
      <c r="H99" t="str">
        <f t="shared" si="11"/>
        <v/>
      </c>
      <c r="I99" t="str">
        <f t="shared" si="12"/>
        <v/>
      </c>
      <c r="L99" s="25"/>
      <c r="M99" s="25"/>
      <c r="N99" s="28" t="str">
        <f t="shared" si="17"/>
        <v/>
      </c>
      <c r="T99" s="27">
        <v>94</v>
      </c>
      <c r="U99" t="str">
        <f t="shared" si="13"/>
        <v/>
      </c>
      <c r="V99" t="str">
        <f t="shared" si="14"/>
        <v/>
      </c>
      <c r="W99" t="str">
        <f t="shared" si="15"/>
        <v/>
      </c>
      <c r="X99" t="str">
        <f t="shared" si="16"/>
        <v/>
      </c>
    </row>
    <row r="100" spans="1:24">
      <c r="A100" s="28" t="str">
        <f t="shared" si="18"/>
        <v/>
      </c>
      <c r="E100" s="5" t="str">
        <f>IF(C100="","",RTD("wdf.rtq", ,C100, "rt_mf_amt","RT_Price"))</f>
        <v/>
      </c>
      <c r="F100" s="5"/>
      <c r="G100" s="27">
        <v>95</v>
      </c>
      <c r="H100" t="str">
        <f t="shared" si="11"/>
        <v/>
      </c>
      <c r="I100" t="str">
        <f t="shared" si="12"/>
        <v/>
      </c>
      <c r="L100" s="25"/>
      <c r="M100" s="25"/>
      <c r="N100" s="28" t="str">
        <f t="shared" si="17"/>
        <v/>
      </c>
      <c r="T100" s="27">
        <v>95</v>
      </c>
      <c r="U100" t="str">
        <f t="shared" si="13"/>
        <v/>
      </c>
      <c r="V100" t="str">
        <f t="shared" si="14"/>
        <v/>
      </c>
      <c r="W100" t="str">
        <f t="shared" si="15"/>
        <v/>
      </c>
      <c r="X100" t="str">
        <f t="shared" si="16"/>
        <v/>
      </c>
    </row>
    <row r="101" spans="1:24">
      <c r="A101" s="28" t="str">
        <f t="shared" si="18"/>
        <v/>
      </c>
      <c r="E101" s="5" t="str">
        <f>IF(C101="","",RTD("wdf.rtq", ,C101, "rt_mf_amt","RT_Price"))</f>
        <v/>
      </c>
      <c r="F101" s="5"/>
      <c r="G101" s="27">
        <v>96</v>
      </c>
      <c r="H101" t="str">
        <f t="shared" si="11"/>
        <v/>
      </c>
      <c r="I101" t="str">
        <f t="shared" si="12"/>
        <v/>
      </c>
      <c r="L101" s="25"/>
      <c r="M101" s="25"/>
      <c r="N101" s="28" t="str">
        <f t="shared" si="17"/>
        <v/>
      </c>
      <c r="T101" s="27">
        <v>96</v>
      </c>
      <c r="U101" t="str">
        <f t="shared" si="13"/>
        <v/>
      </c>
      <c r="V101" t="str">
        <f t="shared" si="14"/>
        <v/>
      </c>
      <c r="W101" t="str">
        <f t="shared" si="15"/>
        <v/>
      </c>
      <c r="X101" t="str">
        <f t="shared" si="16"/>
        <v/>
      </c>
    </row>
    <row r="102" spans="1:24">
      <c r="A102" s="28" t="str">
        <f t="shared" si="18"/>
        <v/>
      </c>
      <c r="E102" s="5" t="str">
        <f>IF(C102="","",RTD("wdf.rtq", ,C102, "rt_mf_amt","RT_Price"))</f>
        <v/>
      </c>
      <c r="F102" s="5"/>
      <c r="G102" s="27">
        <v>97</v>
      </c>
      <c r="H102" t="str">
        <f t="shared" si="11"/>
        <v/>
      </c>
      <c r="I102" t="str">
        <f t="shared" si="12"/>
        <v/>
      </c>
      <c r="L102" s="25"/>
      <c r="M102" s="25"/>
      <c r="N102" s="28" t="str">
        <f t="shared" si="17"/>
        <v/>
      </c>
      <c r="T102" s="27">
        <v>97</v>
      </c>
      <c r="U102" t="str">
        <f t="shared" si="13"/>
        <v/>
      </c>
      <c r="V102" t="str">
        <f t="shared" si="14"/>
        <v/>
      </c>
      <c r="W102" t="str">
        <f t="shared" si="15"/>
        <v/>
      </c>
      <c r="X102" t="str">
        <f t="shared" si="16"/>
        <v/>
      </c>
    </row>
    <row r="103" spans="1:24">
      <c r="A103" s="28" t="str">
        <f t="shared" si="18"/>
        <v/>
      </c>
      <c r="E103" s="5" t="str">
        <f>IF(C103="","",RTD("wdf.rtq", ,C103, "rt_mf_amt","RT_Price"))</f>
        <v/>
      </c>
      <c r="F103" s="5"/>
      <c r="G103" s="27">
        <v>98</v>
      </c>
      <c r="H103" t="str">
        <f t="shared" si="11"/>
        <v/>
      </c>
      <c r="I103" t="str">
        <f t="shared" si="12"/>
        <v/>
      </c>
      <c r="L103" s="25"/>
      <c r="M103" s="25"/>
      <c r="N103" s="28" t="str">
        <f t="shared" si="17"/>
        <v/>
      </c>
      <c r="T103" s="27">
        <v>98</v>
      </c>
      <c r="U103" t="str">
        <f t="shared" si="13"/>
        <v/>
      </c>
      <c r="V103" t="str">
        <f t="shared" si="14"/>
        <v/>
      </c>
      <c r="W103" t="str">
        <f t="shared" si="15"/>
        <v/>
      </c>
      <c r="X103" t="str">
        <f t="shared" si="16"/>
        <v/>
      </c>
    </row>
    <row r="104" spans="1:24">
      <c r="A104" s="28" t="str">
        <f t="shared" si="18"/>
        <v/>
      </c>
      <c r="E104" s="5" t="str">
        <f>IF(C104="","",RTD("wdf.rtq", ,C104, "rt_mf_amt","RT_Price"))</f>
        <v/>
      </c>
      <c r="F104" s="5"/>
      <c r="G104" s="27">
        <v>99</v>
      </c>
      <c r="H104" t="str">
        <f t="shared" si="11"/>
        <v/>
      </c>
      <c r="I104" t="str">
        <f t="shared" si="12"/>
        <v/>
      </c>
      <c r="L104" s="25"/>
      <c r="M104" s="25"/>
      <c r="N104" s="28" t="str">
        <f t="shared" si="17"/>
        <v/>
      </c>
      <c r="T104" s="27">
        <v>99</v>
      </c>
      <c r="U104" t="str">
        <f t="shared" si="13"/>
        <v/>
      </c>
      <c r="V104" t="str">
        <f t="shared" si="14"/>
        <v/>
      </c>
      <c r="W104" t="str">
        <f t="shared" si="15"/>
        <v/>
      </c>
      <c r="X104" t="str">
        <f t="shared" si="16"/>
        <v/>
      </c>
    </row>
    <row r="105" spans="1:24">
      <c r="A105" s="28" t="str">
        <f t="shared" si="18"/>
        <v/>
      </c>
      <c r="E105" s="5" t="str">
        <f>IF(C105="","",RTD("wdf.rtq", ,C105, "rt_mf_amt","RT_Price"))</f>
        <v/>
      </c>
      <c r="F105" s="5"/>
      <c r="G105" s="27">
        <v>100</v>
      </c>
      <c r="H105" t="str">
        <f t="shared" si="11"/>
        <v/>
      </c>
      <c r="I105" t="str">
        <f t="shared" si="12"/>
        <v/>
      </c>
      <c r="L105" s="25"/>
      <c r="M105" s="25"/>
      <c r="N105" s="28" t="str">
        <f t="shared" si="17"/>
        <v/>
      </c>
      <c r="T105" s="27">
        <v>100</v>
      </c>
      <c r="U105" t="str">
        <f t="shared" si="13"/>
        <v/>
      </c>
      <c r="V105" t="str">
        <f t="shared" si="14"/>
        <v/>
      </c>
      <c r="W105" t="str">
        <f t="shared" si="15"/>
        <v/>
      </c>
      <c r="X105" t="str">
        <f t="shared" si="16"/>
        <v/>
      </c>
    </row>
    <row r="106" spans="1:24">
      <c r="A106" s="28" t="str">
        <f t="shared" si="18"/>
        <v/>
      </c>
      <c r="E106" s="5" t="str">
        <f>IF(C106="","",RTD("wdf.rtq", ,C106, "rt_mf_amt","RT_Price"))</f>
        <v/>
      </c>
      <c r="F106" s="5"/>
      <c r="G106" s="27">
        <v>101</v>
      </c>
      <c r="H106" t="str">
        <f t="shared" si="11"/>
        <v/>
      </c>
      <c r="I106" t="str">
        <f t="shared" si="12"/>
        <v/>
      </c>
      <c r="L106" s="25"/>
      <c r="M106" s="25"/>
      <c r="N106" s="28" t="str">
        <f t="shared" si="17"/>
        <v/>
      </c>
      <c r="T106" s="27">
        <v>101</v>
      </c>
      <c r="U106" t="str">
        <f t="shared" si="13"/>
        <v/>
      </c>
      <c r="V106" t="str">
        <f t="shared" si="14"/>
        <v/>
      </c>
      <c r="W106" t="str">
        <f t="shared" si="15"/>
        <v/>
      </c>
      <c r="X106" t="str">
        <f t="shared" si="16"/>
        <v/>
      </c>
    </row>
    <row r="107" spans="1:24">
      <c r="A107" s="28" t="str">
        <f t="shared" si="18"/>
        <v/>
      </c>
      <c r="E107" s="5" t="str">
        <f>IF(C107="","",RTD("wdf.rtq", ,C107, "rt_mf_amt","RT_Price"))</f>
        <v/>
      </c>
      <c r="F107" s="5"/>
      <c r="G107" s="27">
        <v>102</v>
      </c>
      <c r="H107" t="str">
        <f t="shared" si="11"/>
        <v/>
      </c>
      <c r="I107" t="str">
        <f t="shared" si="12"/>
        <v/>
      </c>
      <c r="L107" s="25"/>
      <c r="M107" s="25"/>
      <c r="N107" s="28" t="str">
        <f t="shared" si="17"/>
        <v/>
      </c>
      <c r="T107" s="27">
        <v>102</v>
      </c>
      <c r="U107" t="str">
        <f t="shared" si="13"/>
        <v/>
      </c>
      <c r="V107" t="str">
        <f t="shared" si="14"/>
        <v/>
      </c>
      <c r="W107" t="str">
        <f t="shared" si="15"/>
        <v/>
      </c>
      <c r="X107" t="str">
        <f t="shared" si="16"/>
        <v/>
      </c>
    </row>
    <row r="108" spans="1:24">
      <c r="A108" s="28" t="str">
        <f t="shared" si="18"/>
        <v/>
      </c>
      <c r="E108" s="5" t="str">
        <f>IF(C108="","",RTD("wdf.rtq", ,C108, "rt_mf_amt","RT_Price"))</f>
        <v/>
      </c>
      <c r="F108" s="5"/>
      <c r="G108" s="27">
        <v>103</v>
      </c>
      <c r="H108" t="str">
        <f t="shared" si="11"/>
        <v/>
      </c>
      <c r="I108" t="str">
        <f t="shared" si="12"/>
        <v/>
      </c>
      <c r="L108" s="25"/>
      <c r="M108" s="25"/>
      <c r="N108" s="28" t="str">
        <f t="shared" si="17"/>
        <v/>
      </c>
      <c r="T108" s="27">
        <v>103</v>
      </c>
      <c r="U108" t="str">
        <f t="shared" si="13"/>
        <v/>
      </c>
      <c r="V108" t="str">
        <f t="shared" si="14"/>
        <v/>
      </c>
      <c r="W108" t="str">
        <f t="shared" si="15"/>
        <v/>
      </c>
      <c r="X108" t="str">
        <f t="shared" si="16"/>
        <v/>
      </c>
    </row>
    <row r="109" spans="1:24">
      <c r="A109" s="28" t="str">
        <f t="shared" si="18"/>
        <v/>
      </c>
      <c r="E109" s="5" t="str">
        <f>IF(C109="","",RTD("wdf.rtq", ,C109, "rt_mf_amt","RT_Price"))</f>
        <v/>
      </c>
      <c r="F109" s="5"/>
      <c r="G109" s="27">
        <v>104</v>
      </c>
      <c r="H109" t="str">
        <f t="shared" si="11"/>
        <v/>
      </c>
      <c r="I109" t="str">
        <f t="shared" si="12"/>
        <v/>
      </c>
      <c r="L109" s="25"/>
      <c r="M109" s="25"/>
      <c r="N109" s="28" t="str">
        <f t="shared" si="17"/>
        <v/>
      </c>
      <c r="T109" s="27">
        <v>104</v>
      </c>
      <c r="U109" t="str">
        <f t="shared" si="13"/>
        <v/>
      </c>
      <c r="V109" t="str">
        <f t="shared" si="14"/>
        <v/>
      </c>
      <c r="W109" t="str">
        <f t="shared" si="15"/>
        <v/>
      </c>
      <c r="X109" t="str">
        <f t="shared" si="16"/>
        <v/>
      </c>
    </row>
    <row r="110" spans="1:24">
      <c r="A110" s="28" t="str">
        <f t="shared" si="18"/>
        <v/>
      </c>
      <c r="E110" s="5" t="str">
        <f>IF(C110="","",RTD("wdf.rtq", ,C110, "rt_mf_amt","RT_Price"))</f>
        <v/>
      </c>
      <c r="F110" s="5"/>
      <c r="G110" s="27">
        <v>105</v>
      </c>
      <c r="H110" t="str">
        <f t="shared" si="11"/>
        <v/>
      </c>
      <c r="I110" t="str">
        <f t="shared" si="12"/>
        <v/>
      </c>
      <c r="L110" s="25"/>
      <c r="M110" s="25"/>
      <c r="N110" s="28" t="str">
        <f t="shared" si="17"/>
        <v/>
      </c>
      <c r="T110" s="27">
        <v>105</v>
      </c>
      <c r="U110" t="str">
        <f t="shared" si="13"/>
        <v/>
      </c>
      <c r="V110" t="str">
        <f t="shared" si="14"/>
        <v/>
      </c>
      <c r="W110" t="str">
        <f t="shared" si="15"/>
        <v/>
      </c>
      <c r="X110" t="str">
        <f t="shared" si="16"/>
        <v/>
      </c>
    </row>
    <row r="111" spans="1:24">
      <c r="A111" s="28" t="str">
        <f t="shared" si="18"/>
        <v/>
      </c>
      <c r="E111" s="5" t="str">
        <f>IF(C111="","",RTD("wdf.rtq", ,C111, "rt_mf_amt","RT_Price"))</f>
        <v/>
      </c>
      <c r="F111" s="5"/>
      <c r="G111" s="27">
        <v>106</v>
      </c>
      <c r="H111" t="str">
        <f t="shared" si="11"/>
        <v/>
      </c>
      <c r="I111" t="str">
        <f t="shared" si="12"/>
        <v/>
      </c>
      <c r="L111" s="25"/>
      <c r="M111" s="25"/>
      <c r="N111" s="28" t="str">
        <f t="shared" si="17"/>
        <v/>
      </c>
      <c r="T111" s="27">
        <v>106</v>
      </c>
      <c r="U111" t="str">
        <f t="shared" si="13"/>
        <v/>
      </c>
      <c r="V111" t="str">
        <f t="shared" si="14"/>
        <v/>
      </c>
      <c r="W111" t="str">
        <f t="shared" si="15"/>
        <v/>
      </c>
      <c r="X111" t="str">
        <f t="shared" si="16"/>
        <v/>
      </c>
    </row>
    <row r="112" spans="1:24">
      <c r="A112" s="28" t="str">
        <f t="shared" si="18"/>
        <v/>
      </c>
      <c r="E112" s="5" t="str">
        <f>IF(C112="","",RTD("wdf.rtq", ,C112, "rt_mf_amt","RT_Price"))</f>
        <v/>
      </c>
      <c r="F112" s="5"/>
      <c r="G112" s="27">
        <v>107</v>
      </c>
      <c r="H112" t="str">
        <f t="shared" si="11"/>
        <v/>
      </c>
      <c r="I112" t="str">
        <f t="shared" si="12"/>
        <v/>
      </c>
      <c r="L112" s="25"/>
      <c r="M112" s="25"/>
      <c r="N112" s="28" t="str">
        <f t="shared" si="17"/>
        <v/>
      </c>
      <c r="T112" s="27">
        <v>107</v>
      </c>
      <c r="U112" t="str">
        <f t="shared" si="13"/>
        <v/>
      </c>
      <c r="V112" t="str">
        <f t="shared" si="14"/>
        <v/>
      </c>
      <c r="W112" t="str">
        <f t="shared" si="15"/>
        <v/>
      </c>
      <c r="X112" t="str">
        <f t="shared" si="16"/>
        <v/>
      </c>
    </row>
    <row r="113" spans="1:24">
      <c r="A113" s="28" t="str">
        <f t="shared" si="18"/>
        <v/>
      </c>
      <c r="E113" s="5" t="str">
        <f>IF(C113="","",RTD("wdf.rtq", ,C113, "rt_mf_amt","RT_Price"))</f>
        <v/>
      </c>
      <c r="F113" s="5"/>
      <c r="G113" s="27">
        <v>108</v>
      </c>
      <c r="H113" t="str">
        <f t="shared" si="11"/>
        <v/>
      </c>
      <c r="I113" t="str">
        <f t="shared" si="12"/>
        <v/>
      </c>
      <c r="L113" s="25"/>
      <c r="M113" s="25"/>
      <c r="N113" s="28" t="str">
        <f t="shared" si="17"/>
        <v/>
      </c>
      <c r="T113" s="27">
        <v>108</v>
      </c>
      <c r="U113" t="str">
        <f t="shared" si="13"/>
        <v/>
      </c>
      <c r="V113" t="str">
        <f t="shared" si="14"/>
        <v/>
      </c>
      <c r="W113" t="str">
        <f t="shared" si="15"/>
        <v/>
      </c>
      <c r="X113" t="str">
        <f t="shared" si="16"/>
        <v/>
      </c>
    </row>
    <row r="114" spans="1:24">
      <c r="A114" s="28" t="str">
        <f t="shared" si="18"/>
        <v/>
      </c>
      <c r="E114" s="5" t="str">
        <f>IF(C114="","",RTD("wdf.rtq", ,C114, "rt_mf_amt","RT_Price"))</f>
        <v/>
      </c>
      <c r="F114" s="5"/>
      <c r="G114" s="27">
        <v>109</v>
      </c>
      <c r="H114" t="str">
        <f t="shared" si="11"/>
        <v/>
      </c>
      <c r="I114" t="str">
        <f t="shared" si="12"/>
        <v/>
      </c>
      <c r="L114" s="25"/>
      <c r="M114" s="25"/>
      <c r="N114" s="28" t="str">
        <f t="shared" si="17"/>
        <v/>
      </c>
      <c r="T114" s="27">
        <v>109</v>
      </c>
      <c r="U114" t="str">
        <f t="shared" si="13"/>
        <v/>
      </c>
      <c r="V114" t="str">
        <f t="shared" si="14"/>
        <v/>
      </c>
      <c r="W114" t="str">
        <f t="shared" si="15"/>
        <v/>
      </c>
      <c r="X114" t="str">
        <f t="shared" si="16"/>
        <v/>
      </c>
    </row>
    <row r="115" spans="1:24">
      <c r="A115" s="28" t="str">
        <f t="shared" si="18"/>
        <v/>
      </c>
      <c r="E115" s="5" t="str">
        <f>IF(C115="","",RTD("wdf.rtq", ,C115, "rt_mf_amt","RT_Price"))</f>
        <v/>
      </c>
      <c r="F115" s="5"/>
      <c r="G115" s="27">
        <v>110</v>
      </c>
      <c r="H115" t="str">
        <f t="shared" si="11"/>
        <v/>
      </c>
      <c r="I115" t="str">
        <f t="shared" si="12"/>
        <v/>
      </c>
      <c r="L115" s="25"/>
      <c r="M115" s="25"/>
      <c r="N115" s="28" t="str">
        <f t="shared" si="17"/>
        <v/>
      </c>
      <c r="T115" s="27">
        <v>110</v>
      </c>
      <c r="U115" t="str">
        <f t="shared" si="13"/>
        <v/>
      </c>
      <c r="V115" t="str">
        <f t="shared" si="14"/>
        <v/>
      </c>
      <c r="W115" t="str">
        <f t="shared" si="15"/>
        <v/>
      </c>
      <c r="X115" t="str">
        <f t="shared" si="16"/>
        <v/>
      </c>
    </row>
    <row r="116" spans="1:24">
      <c r="A116" s="28" t="str">
        <f t="shared" si="18"/>
        <v/>
      </c>
      <c r="E116" s="5" t="str">
        <f>IF(C116="","",RTD("wdf.rtq", ,C116, "rt_mf_amt","RT_Price"))</f>
        <v/>
      </c>
      <c r="F116" s="5"/>
      <c r="G116" s="27">
        <v>111</v>
      </c>
      <c r="H116" t="str">
        <f t="shared" si="11"/>
        <v/>
      </c>
      <c r="I116" t="str">
        <f t="shared" si="12"/>
        <v/>
      </c>
      <c r="L116" s="25"/>
      <c r="M116" s="25"/>
      <c r="N116" s="28" t="str">
        <f t="shared" si="17"/>
        <v/>
      </c>
      <c r="T116" s="27">
        <v>111</v>
      </c>
      <c r="U116" t="str">
        <f t="shared" si="13"/>
        <v/>
      </c>
      <c r="V116" t="str">
        <f t="shared" si="14"/>
        <v/>
      </c>
      <c r="W116" t="str">
        <f t="shared" si="15"/>
        <v/>
      </c>
      <c r="X116" t="str">
        <f t="shared" si="16"/>
        <v/>
      </c>
    </row>
    <row r="117" spans="1:24">
      <c r="A117" s="28" t="str">
        <f t="shared" si="18"/>
        <v/>
      </c>
      <c r="E117" s="5" t="str">
        <f>IF(C117="","",RTD("wdf.rtq", ,C117, "rt_mf_amt","RT_Price"))</f>
        <v/>
      </c>
      <c r="F117" s="5"/>
      <c r="G117" s="27">
        <v>112</v>
      </c>
      <c r="H117" t="str">
        <f t="shared" si="11"/>
        <v/>
      </c>
      <c r="I117" t="str">
        <f t="shared" si="12"/>
        <v/>
      </c>
      <c r="L117" s="25"/>
      <c r="M117" s="25"/>
      <c r="N117" s="28" t="str">
        <f t="shared" si="17"/>
        <v/>
      </c>
      <c r="T117" s="27">
        <v>112</v>
      </c>
      <c r="U117" t="str">
        <f t="shared" si="13"/>
        <v/>
      </c>
      <c r="V117" t="str">
        <f t="shared" si="14"/>
        <v/>
      </c>
      <c r="W117" t="str">
        <f t="shared" si="15"/>
        <v/>
      </c>
      <c r="X117" t="str">
        <f t="shared" si="16"/>
        <v/>
      </c>
    </row>
    <row r="118" spans="1:24">
      <c r="A118" s="28" t="str">
        <f t="shared" si="18"/>
        <v/>
      </c>
      <c r="E118" s="5" t="str">
        <f>IF(C118="","",RTD("wdf.rtq", ,C118, "rt_mf_amt","RT_Price"))</f>
        <v/>
      </c>
      <c r="F118" s="5"/>
      <c r="G118" s="27">
        <v>113</v>
      </c>
      <c r="H118" t="str">
        <f t="shared" si="11"/>
        <v/>
      </c>
      <c r="I118" t="str">
        <f t="shared" si="12"/>
        <v/>
      </c>
      <c r="L118" s="25"/>
      <c r="M118" s="25"/>
      <c r="N118" s="28" t="str">
        <f t="shared" si="17"/>
        <v/>
      </c>
      <c r="T118" s="27">
        <v>113</v>
      </c>
      <c r="U118" t="str">
        <f t="shared" si="13"/>
        <v/>
      </c>
      <c r="V118" t="str">
        <f t="shared" si="14"/>
        <v/>
      </c>
      <c r="W118" t="str">
        <f t="shared" si="15"/>
        <v/>
      </c>
      <c r="X118" t="str">
        <f t="shared" si="16"/>
        <v/>
      </c>
    </row>
    <row r="119" spans="1:24">
      <c r="A119" s="28" t="str">
        <f t="shared" si="18"/>
        <v/>
      </c>
      <c r="E119" s="5" t="str">
        <f>IF(C119="","",RTD("wdf.rtq", ,C119, "rt_mf_amt","RT_Price"))</f>
        <v/>
      </c>
      <c r="F119" s="5"/>
      <c r="G119" s="27">
        <v>114</v>
      </c>
      <c r="H119" t="str">
        <f t="shared" si="11"/>
        <v/>
      </c>
      <c r="I119" t="str">
        <f t="shared" si="12"/>
        <v/>
      </c>
      <c r="L119" s="25"/>
      <c r="M119" s="25"/>
      <c r="N119" s="28" t="str">
        <f t="shared" si="17"/>
        <v/>
      </c>
      <c r="T119" s="27">
        <v>114</v>
      </c>
      <c r="U119" t="str">
        <f t="shared" si="13"/>
        <v/>
      </c>
      <c r="V119" t="str">
        <f t="shared" si="14"/>
        <v/>
      </c>
      <c r="W119" t="str">
        <f t="shared" si="15"/>
        <v/>
      </c>
      <c r="X119" t="str">
        <f t="shared" si="16"/>
        <v/>
      </c>
    </row>
    <row r="120" spans="1:24">
      <c r="A120" s="28" t="str">
        <f t="shared" si="18"/>
        <v/>
      </c>
      <c r="E120" s="5" t="str">
        <f>IF(C120="","",RTD("wdf.rtq", ,C120, "rt_mf_amt","RT_Price"))</f>
        <v/>
      </c>
      <c r="F120" s="5"/>
      <c r="G120" s="27">
        <v>115</v>
      </c>
      <c r="H120" t="str">
        <f t="shared" si="11"/>
        <v/>
      </c>
      <c r="I120" t="str">
        <f t="shared" si="12"/>
        <v/>
      </c>
      <c r="L120" s="25"/>
      <c r="M120" s="25"/>
      <c r="N120" s="28" t="str">
        <f t="shared" si="17"/>
        <v/>
      </c>
      <c r="T120" s="27">
        <v>115</v>
      </c>
      <c r="U120" t="str">
        <f t="shared" si="13"/>
        <v/>
      </c>
      <c r="V120" t="str">
        <f t="shared" si="14"/>
        <v/>
      </c>
      <c r="W120" t="str">
        <f t="shared" si="15"/>
        <v/>
      </c>
      <c r="X120" t="str">
        <f t="shared" si="16"/>
        <v/>
      </c>
    </row>
    <row r="121" spans="1:24">
      <c r="A121" s="28" t="str">
        <f t="shared" si="18"/>
        <v/>
      </c>
      <c r="E121" s="5" t="str">
        <f>IF(C121="","",RTD("wdf.rtq", ,C121, "rt_mf_amt","RT_Price"))</f>
        <v/>
      </c>
      <c r="F121" s="5"/>
      <c r="G121" s="27">
        <v>116</v>
      </c>
      <c r="H121" t="str">
        <f t="shared" si="11"/>
        <v/>
      </c>
      <c r="I121" t="str">
        <f t="shared" si="12"/>
        <v/>
      </c>
      <c r="L121" s="25"/>
      <c r="M121" s="25"/>
      <c r="N121" s="28" t="str">
        <f t="shared" si="17"/>
        <v/>
      </c>
      <c r="T121" s="27">
        <v>116</v>
      </c>
      <c r="U121" t="str">
        <f t="shared" si="13"/>
        <v/>
      </c>
      <c r="V121" t="str">
        <f t="shared" si="14"/>
        <v/>
      </c>
      <c r="W121" t="str">
        <f t="shared" si="15"/>
        <v/>
      </c>
      <c r="X121" t="str">
        <f t="shared" si="16"/>
        <v/>
      </c>
    </row>
    <row r="122" spans="1:24">
      <c r="A122" s="28" t="str">
        <f t="shared" si="18"/>
        <v/>
      </c>
      <c r="E122" s="5" t="str">
        <f>IF(C122="","",RTD("wdf.rtq", ,C122, "rt_mf_amt","RT_Price"))</f>
        <v/>
      </c>
      <c r="F122" s="5"/>
      <c r="G122" s="27">
        <v>117</v>
      </c>
      <c r="H122" t="str">
        <f t="shared" si="11"/>
        <v/>
      </c>
      <c r="I122" t="str">
        <f t="shared" si="12"/>
        <v/>
      </c>
      <c r="L122" s="25"/>
      <c r="M122" s="25"/>
      <c r="N122" s="28" t="str">
        <f t="shared" si="17"/>
        <v/>
      </c>
      <c r="T122" s="27">
        <v>117</v>
      </c>
      <c r="U122" t="str">
        <f t="shared" si="13"/>
        <v/>
      </c>
      <c r="V122" t="str">
        <f t="shared" si="14"/>
        <v/>
      </c>
      <c r="W122" t="str">
        <f t="shared" si="15"/>
        <v/>
      </c>
      <c r="X122" t="str">
        <f t="shared" si="16"/>
        <v/>
      </c>
    </row>
    <row r="123" spans="1:24">
      <c r="A123" s="28" t="str">
        <f t="shared" si="18"/>
        <v/>
      </c>
      <c r="E123" s="5" t="str">
        <f>IF(C123="","",RTD("wdf.rtq", ,C123, "rt_mf_amt","RT_Price"))</f>
        <v/>
      </c>
      <c r="F123" s="5"/>
      <c r="G123" s="27">
        <v>118</v>
      </c>
      <c r="H123" t="str">
        <f t="shared" si="11"/>
        <v/>
      </c>
      <c r="I123" t="str">
        <f t="shared" si="12"/>
        <v/>
      </c>
      <c r="L123" s="25"/>
      <c r="M123" s="25"/>
      <c r="N123" s="28" t="str">
        <f t="shared" si="17"/>
        <v/>
      </c>
      <c r="T123" s="27">
        <v>118</v>
      </c>
      <c r="U123" t="str">
        <f t="shared" si="13"/>
        <v/>
      </c>
      <c r="V123" t="str">
        <f t="shared" si="14"/>
        <v/>
      </c>
      <c r="W123" t="str">
        <f t="shared" si="15"/>
        <v/>
      </c>
      <c r="X123" t="str">
        <f t="shared" si="16"/>
        <v/>
      </c>
    </row>
    <row r="124" spans="1:24">
      <c r="A124" s="28" t="str">
        <f t="shared" si="18"/>
        <v/>
      </c>
      <c r="E124" s="5" t="str">
        <f>IF(C124="","",RTD("wdf.rtq", ,C124, "rt_mf_amt","RT_Price"))</f>
        <v/>
      </c>
      <c r="F124" s="5"/>
      <c r="G124" s="27">
        <v>119</v>
      </c>
      <c r="H124" t="str">
        <f t="shared" si="11"/>
        <v/>
      </c>
      <c r="I124" t="str">
        <f t="shared" si="12"/>
        <v/>
      </c>
      <c r="L124" s="25"/>
      <c r="M124" s="25"/>
      <c r="N124" s="28" t="str">
        <f t="shared" si="17"/>
        <v/>
      </c>
      <c r="T124" s="27">
        <v>119</v>
      </c>
      <c r="U124" t="str">
        <f t="shared" si="13"/>
        <v/>
      </c>
      <c r="V124" t="str">
        <f t="shared" si="14"/>
        <v/>
      </c>
      <c r="W124" t="str">
        <f t="shared" si="15"/>
        <v/>
      </c>
      <c r="X124" t="str">
        <f t="shared" si="16"/>
        <v/>
      </c>
    </row>
    <row r="125" spans="1:24">
      <c r="A125" s="28" t="str">
        <f t="shared" si="18"/>
        <v/>
      </c>
      <c r="E125" s="5" t="str">
        <f>IF(C125="","",RTD("wdf.rtq", ,C125, "rt_mf_amt","RT_Price"))</f>
        <v/>
      </c>
      <c r="F125" s="5"/>
      <c r="G125" s="27">
        <v>120</v>
      </c>
      <c r="H125" t="str">
        <f t="shared" si="11"/>
        <v/>
      </c>
      <c r="I125" t="str">
        <f t="shared" si="12"/>
        <v/>
      </c>
      <c r="L125" s="25"/>
      <c r="M125" s="25"/>
      <c r="N125" s="28" t="str">
        <f t="shared" si="17"/>
        <v/>
      </c>
      <c r="T125" s="27">
        <v>120</v>
      </c>
      <c r="U125" t="str">
        <f t="shared" si="13"/>
        <v/>
      </c>
      <c r="V125" t="str">
        <f t="shared" si="14"/>
        <v/>
      </c>
      <c r="W125" t="str">
        <f t="shared" si="15"/>
        <v/>
      </c>
      <c r="X125" t="str">
        <f t="shared" si="16"/>
        <v/>
      </c>
    </row>
    <row r="126" spans="1:24">
      <c r="A126" s="28" t="str">
        <f t="shared" si="18"/>
        <v/>
      </c>
      <c r="E126" s="5" t="str">
        <f>IF(C126="","",RTD("wdf.rtq", ,C126, "rt_mf_amt","RT_Price"))</f>
        <v/>
      </c>
      <c r="F126" s="5"/>
      <c r="G126" s="27">
        <v>121</v>
      </c>
      <c r="H126" t="str">
        <f t="shared" si="11"/>
        <v/>
      </c>
      <c r="I126" t="str">
        <f t="shared" si="12"/>
        <v/>
      </c>
      <c r="L126" s="25"/>
      <c r="M126" s="25"/>
      <c r="N126" s="28" t="str">
        <f t="shared" si="17"/>
        <v/>
      </c>
      <c r="T126" s="27">
        <v>121</v>
      </c>
      <c r="U126" t="str">
        <f t="shared" si="13"/>
        <v/>
      </c>
      <c r="V126" t="str">
        <f t="shared" si="14"/>
        <v/>
      </c>
      <c r="W126" t="str">
        <f t="shared" si="15"/>
        <v/>
      </c>
      <c r="X126" t="str">
        <f t="shared" si="16"/>
        <v/>
      </c>
    </row>
    <row r="127" spans="1:24">
      <c r="A127" s="28" t="str">
        <f t="shared" si="18"/>
        <v/>
      </c>
      <c r="E127" s="5" t="str">
        <f>IF(C127="","",RTD("wdf.rtq", ,C127, "rt_mf_amt","RT_Price"))</f>
        <v/>
      </c>
      <c r="F127" s="5"/>
      <c r="G127" s="27">
        <v>122</v>
      </c>
      <c r="H127" t="str">
        <f t="shared" si="11"/>
        <v/>
      </c>
      <c r="I127" t="str">
        <f t="shared" si="12"/>
        <v/>
      </c>
      <c r="L127" s="25"/>
      <c r="M127" s="25"/>
      <c r="N127" s="28" t="str">
        <f t="shared" si="17"/>
        <v/>
      </c>
      <c r="T127" s="27">
        <v>122</v>
      </c>
      <c r="U127" t="str">
        <f t="shared" si="13"/>
        <v/>
      </c>
      <c r="V127" t="str">
        <f t="shared" si="14"/>
        <v/>
      </c>
      <c r="W127" t="str">
        <f t="shared" si="15"/>
        <v/>
      </c>
      <c r="X127" t="str">
        <f t="shared" si="16"/>
        <v/>
      </c>
    </row>
    <row r="128" spans="1:24">
      <c r="A128" s="28" t="str">
        <f t="shared" si="18"/>
        <v/>
      </c>
      <c r="E128" s="5" t="str">
        <f>IF(C128="","",RTD("wdf.rtq", ,C128, "rt_mf_amt","RT_Price"))</f>
        <v/>
      </c>
      <c r="F128" s="5"/>
      <c r="G128" s="27">
        <v>123</v>
      </c>
      <c r="H128" t="str">
        <f t="shared" si="11"/>
        <v/>
      </c>
      <c r="I128" t="str">
        <f t="shared" si="12"/>
        <v/>
      </c>
      <c r="L128" s="25"/>
      <c r="M128" s="25"/>
      <c r="N128" s="28" t="str">
        <f t="shared" si="17"/>
        <v/>
      </c>
      <c r="T128" s="27">
        <v>123</v>
      </c>
      <c r="U128" t="str">
        <f t="shared" si="13"/>
        <v/>
      </c>
      <c r="V128" t="str">
        <f t="shared" si="14"/>
        <v/>
      </c>
      <c r="W128" t="str">
        <f t="shared" si="15"/>
        <v/>
      </c>
      <c r="X128" t="str">
        <f t="shared" si="16"/>
        <v/>
      </c>
    </row>
    <row r="129" spans="1:24">
      <c r="A129" s="28" t="str">
        <f t="shared" si="18"/>
        <v/>
      </c>
      <c r="E129" s="5" t="str">
        <f>IF(C129="","",RTD("wdf.rtq", ,C129, "rt_mf_amt","RT_Price"))</f>
        <v/>
      </c>
      <c r="F129" s="5"/>
      <c r="G129" s="27">
        <v>124</v>
      </c>
      <c r="H129" t="str">
        <f t="shared" si="11"/>
        <v/>
      </c>
      <c r="I129" t="str">
        <f t="shared" si="12"/>
        <v/>
      </c>
      <c r="L129" s="25"/>
      <c r="M129" s="25"/>
      <c r="N129" s="28" t="str">
        <f t="shared" si="17"/>
        <v/>
      </c>
      <c r="T129" s="27">
        <v>124</v>
      </c>
      <c r="U129" t="str">
        <f t="shared" si="13"/>
        <v/>
      </c>
      <c r="V129" t="str">
        <f t="shared" si="14"/>
        <v/>
      </c>
      <c r="W129" t="str">
        <f t="shared" si="15"/>
        <v/>
      </c>
      <c r="X129" t="str">
        <f t="shared" si="16"/>
        <v/>
      </c>
    </row>
    <row r="130" spans="1:24">
      <c r="A130" s="29"/>
      <c r="L130" s="25"/>
      <c r="M130" s="25"/>
      <c r="N130" s="29"/>
    </row>
    <row r="131" spans="1:24">
      <c r="A131" s="29"/>
      <c r="L131" s="25"/>
      <c r="M131" s="25"/>
      <c r="N131" s="29"/>
    </row>
    <row r="132" spans="1:24">
      <c r="A132" s="29"/>
      <c r="L132" s="25"/>
      <c r="M132" s="25"/>
      <c r="N132" s="29"/>
    </row>
    <row r="133" spans="1:24">
      <c r="A133" s="29"/>
      <c r="L133" s="25"/>
      <c r="M133" s="25"/>
      <c r="N133" s="29"/>
    </row>
    <row r="134" spans="1:24">
      <c r="A134" s="29"/>
      <c r="L134" s="25"/>
      <c r="M134" s="25"/>
      <c r="N134" s="29"/>
    </row>
    <row r="135" spans="1:24">
      <c r="A135" s="29"/>
      <c r="L135" s="25"/>
      <c r="M135" s="25"/>
      <c r="N135" s="29"/>
    </row>
    <row r="136" spans="1:24">
      <c r="A136" s="29"/>
      <c r="L136" s="25"/>
      <c r="M136" s="25"/>
      <c r="N136" s="29"/>
    </row>
    <row r="137" spans="1:24">
      <c r="A137" s="29"/>
      <c r="L137" s="25"/>
      <c r="M137" s="25"/>
      <c r="N137" s="29"/>
    </row>
    <row r="138" spans="1:24">
      <c r="A138" s="29"/>
      <c r="L138" s="25"/>
      <c r="M138" s="25"/>
      <c r="N138" s="29"/>
    </row>
    <row r="139" spans="1:24">
      <c r="A139" s="29"/>
      <c r="L139" s="25"/>
      <c r="M139" s="25"/>
      <c r="N139" s="29"/>
    </row>
    <row r="140" spans="1:24">
      <c r="A140" s="29"/>
      <c r="L140" s="25"/>
      <c r="M140" s="25"/>
      <c r="N140" s="29"/>
    </row>
    <row r="141" spans="1:24">
      <c r="A141" s="29"/>
      <c r="L141" s="25"/>
      <c r="M141" s="25"/>
      <c r="N141" s="29"/>
    </row>
    <row r="142" spans="1:24">
      <c r="A142" s="29"/>
      <c r="L142" s="25"/>
      <c r="M142" s="25"/>
      <c r="N142" s="29"/>
    </row>
    <row r="143" spans="1:24">
      <c r="A143" s="29"/>
      <c r="L143" s="25"/>
      <c r="M143" s="25"/>
      <c r="N143" s="29"/>
    </row>
    <row r="144" spans="1:24">
      <c r="A144" s="29"/>
      <c r="L144" s="25"/>
      <c r="M144" s="25"/>
      <c r="N144" s="29"/>
    </row>
    <row r="145" spans="1:14">
      <c r="A145" s="29"/>
      <c r="L145" s="25"/>
      <c r="M145" s="25"/>
      <c r="N145" s="29"/>
    </row>
    <row r="146" spans="1:14">
      <c r="A146" s="29"/>
      <c r="L146" s="25"/>
      <c r="M146" s="25"/>
      <c r="N146" s="29"/>
    </row>
    <row r="147" spans="1:14">
      <c r="A147" s="29"/>
      <c r="L147" s="25"/>
      <c r="M147" s="25"/>
      <c r="N147" s="29"/>
    </row>
    <row r="148" spans="1:14">
      <c r="A148" s="29"/>
      <c r="L148" s="25"/>
      <c r="M148" s="25"/>
      <c r="N148" s="29"/>
    </row>
    <row r="149" spans="1:14">
      <c r="A149" s="29"/>
      <c r="L149" s="25"/>
      <c r="M149" s="25"/>
      <c r="N149" s="29"/>
    </row>
    <row r="150" spans="1:14">
      <c r="A150" s="29"/>
      <c r="L150" s="25"/>
      <c r="M150" s="25"/>
      <c r="N150" s="29"/>
    </row>
    <row r="151" spans="1:14">
      <c r="A151" s="29"/>
      <c r="L151" s="25"/>
      <c r="M151" s="25"/>
      <c r="N151" s="29"/>
    </row>
    <row r="152" spans="1:14">
      <c r="A152" s="29"/>
      <c r="L152" s="25"/>
      <c r="M152" s="25"/>
      <c r="N152" s="29"/>
    </row>
    <row r="153" spans="1:14">
      <c r="A153" s="29"/>
      <c r="L153" s="25"/>
      <c r="M153" s="25"/>
      <c r="N153" s="29"/>
    </row>
    <row r="154" spans="1:14">
      <c r="A154" s="29"/>
      <c r="L154" s="25"/>
      <c r="M154" s="25"/>
      <c r="N154" s="29"/>
    </row>
    <row r="155" spans="1:14">
      <c r="A155" s="29"/>
      <c r="L155" s="25"/>
      <c r="M155" s="25"/>
      <c r="N155" s="29"/>
    </row>
    <row r="156" spans="1:14">
      <c r="A156" s="29"/>
      <c r="L156" s="25"/>
      <c r="M156" s="25"/>
      <c r="N156" s="29"/>
    </row>
    <row r="157" spans="1:14">
      <c r="A157" s="29"/>
      <c r="L157" s="25"/>
      <c r="M157" s="25"/>
      <c r="N157" s="29"/>
    </row>
    <row r="158" spans="1:14">
      <c r="A158" s="29"/>
      <c r="L158" s="25"/>
      <c r="M158" s="25"/>
      <c r="N158" s="29"/>
    </row>
    <row r="159" spans="1:14">
      <c r="A159" s="29"/>
      <c r="L159" s="25"/>
      <c r="M159" s="25"/>
      <c r="N159" s="29"/>
    </row>
    <row r="160" spans="1:14">
      <c r="A160" s="29"/>
      <c r="L160" s="25"/>
      <c r="M160" s="25"/>
      <c r="N160" s="29"/>
    </row>
    <row r="161" spans="1:14">
      <c r="A161" s="29"/>
      <c r="L161" s="25"/>
      <c r="M161" s="25"/>
      <c r="N161" s="29"/>
    </row>
    <row r="162" spans="1:14">
      <c r="A162" s="29"/>
      <c r="L162" s="25"/>
      <c r="M162" s="25"/>
      <c r="N162" s="29"/>
    </row>
    <row r="163" spans="1:14">
      <c r="A163" s="29"/>
      <c r="L163" s="25"/>
      <c r="M163" s="25"/>
      <c r="N163" s="29"/>
    </row>
    <row r="164" spans="1:14">
      <c r="A164" s="29"/>
      <c r="L164" s="25"/>
      <c r="M164" s="25"/>
      <c r="N164" s="29"/>
    </row>
    <row r="165" spans="1:14">
      <c r="A165" s="29"/>
      <c r="L165" s="25"/>
      <c r="M165" s="25"/>
      <c r="N165" s="29"/>
    </row>
    <row r="166" spans="1:14">
      <c r="A166" s="29"/>
      <c r="L166" s="25"/>
      <c r="M166" s="25"/>
      <c r="N166" s="29"/>
    </row>
    <row r="167" spans="1:14">
      <c r="A167" s="29"/>
      <c r="L167" s="25"/>
      <c r="M167" s="25"/>
      <c r="N167" s="29"/>
    </row>
    <row r="168" spans="1:14">
      <c r="A168" s="29"/>
      <c r="L168" s="25"/>
      <c r="M168" s="25"/>
      <c r="N168" s="29"/>
    </row>
    <row r="169" spans="1:14">
      <c r="A169" s="29"/>
      <c r="L169" s="25"/>
      <c r="M169" s="25"/>
      <c r="N169" s="29"/>
    </row>
    <row r="170" spans="1:14">
      <c r="A170" s="29"/>
      <c r="L170" s="25"/>
      <c r="M170" s="25"/>
      <c r="N170" s="29"/>
    </row>
    <row r="171" spans="1:14">
      <c r="A171" s="29"/>
      <c r="L171" s="25"/>
      <c r="M171" s="25"/>
      <c r="N171" s="29"/>
    </row>
    <row r="172" spans="1:14">
      <c r="A172" s="29"/>
      <c r="L172" s="25"/>
      <c r="M172" s="25"/>
      <c r="N172" s="29"/>
    </row>
    <row r="173" spans="1:14">
      <c r="A173" s="29"/>
      <c r="L173" s="25"/>
      <c r="M173" s="25"/>
      <c r="N173" s="29"/>
    </row>
    <row r="174" spans="1:14">
      <c r="A174" s="29"/>
      <c r="L174" s="25"/>
      <c r="M174" s="25"/>
      <c r="N174" s="29"/>
    </row>
    <row r="175" spans="1:14">
      <c r="A175" s="29"/>
      <c r="L175" s="25"/>
      <c r="M175" s="25"/>
      <c r="N175" s="29"/>
    </row>
    <row r="176" spans="1:14">
      <c r="A176" s="29"/>
      <c r="L176" s="25"/>
      <c r="M176" s="25"/>
      <c r="N176" s="29"/>
    </row>
    <row r="177" spans="1:14">
      <c r="A177" s="29"/>
      <c r="L177" s="25"/>
      <c r="M177" s="25"/>
      <c r="N177" s="29"/>
    </row>
    <row r="178" spans="1:14">
      <c r="A178" s="29"/>
      <c r="L178" s="25"/>
      <c r="M178" s="25"/>
      <c r="N178" s="29"/>
    </row>
    <row r="179" spans="1:14">
      <c r="A179" s="29"/>
      <c r="L179" s="25"/>
      <c r="M179" s="25"/>
      <c r="N179" s="29"/>
    </row>
    <row r="180" spans="1:14">
      <c r="A180" s="29"/>
      <c r="L180" s="25"/>
      <c r="M180" s="25"/>
      <c r="N180" s="29"/>
    </row>
    <row r="181" spans="1:14">
      <c r="A181" s="29"/>
      <c r="L181" s="25"/>
      <c r="M181" s="25"/>
      <c r="N181" s="29"/>
    </row>
    <row r="182" spans="1:14">
      <c r="A182" s="29"/>
      <c r="L182" s="25"/>
      <c r="M182" s="25"/>
      <c r="N182" s="29"/>
    </row>
    <row r="183" spans="1:14">
      <c r="A183" s="29"/>
      <c r="L183" s="25"/>
      <c r="M183" s="25"/>
      <c r="N183" s="29"/>
    </row>
    <row r="184" spans="1:14">
      <c r="A184" s="29"/>
      <c r="L184" s="25"/>
      <c r="M184" s="25"/>
      <c r="N184" s="29"/>
    </row>
    <row r="185" spans="1:14">
      <c r="A185" s="29"/>
      <c r="L185" s="25"/>
      <c r="M185" s="25"/>
      <c r="N185" s="29"/>
    </row>
    <row r="186" spans="1:14">
      <c r="A186" s="29"/>
      <c r="L186" s="25"/>
      <c r="M186" s="25"/>
      <c r="N186" s="29"/>
    </row>
    <row r="187" spans="1:14">
      <c r="A187" s="29"/>
      <c r="L187" s="25"/>
      <c r="M187" s="25"/>
      <c r="N187" s="29"/>
    </row>
    <row r="188" spans="1:14">
      <c r="A188" s="29"/>
      <c r="L188" s="25"/>
      <c r="M188" s="25"/>
      <c r="N188" s="29"/>
    </row>
    <row r="189" spans="1:14">
      <c r="A189" s="29"/>
      <c r="L189" s="25"/>
      <c r="M189" s="25"/>
      <c r="N189" s="29"/>
    </row>
    <row r="190" spans="1:14">
      <c r="A190" s="29"/>
      <c r="L190" s="25"/>
      <c r="M190" s="25"/>
      <c r="N190" s="29"/>
    </row>
    <row r="191" spans="1:14">
      <c r="A191" s="29"/>
      <c r="L191" s="25"/>
      <c r="M191" s="25"/>
      <c r="N191" s="29"/>
    </row>
    <row r="192" spans="1:14">
      <c r="A192" s="29"/>
      <c r="L192" s="25"/>
      <c r="M192" s="25"/>
      <c r="N192" s="29"/>
    </row>
    <row r="193" spans="1:14">
      <c r="A193" s="29"/>
      <c r="L193" s="25"/>
      <c r="M193" s="25"/>
      <c r="N193" s="29"/>
    </row>
    <row r="194" spans="1:14">
      <c r="A194" s="29"/>
      <c r="L194" s="25"/>
      <c r="M194" s="25"/>
      <c r="N194" s="29"/>
    </row>
    <row r="195" spans="1:14">
      <c r="A195" s="29"/>
      <c r="L195" s="25"/>
      <c r="M195" s="25"/>
      <c r="N195" s="29"/>
    </row>
    <row r="196" spans="1:14">
      <c r="A196" s="29"/>
      <c r="L196" s="25"/>
      <c r="M196" s="25"/>
      <c r="N196" s="29"/>
    </row>
    <row r="197" spans="1:14">
      <c r="A197" s="29"/>
      <c r="L197" s="25"/>
      <c r="M197" s="25"/>
      <c r="N197" s="29"/>
    </row>
    <row r="198" spans="1:14">
      <c r="A198" s="29"/>
      <c r="L198" s="25"/>
      <c r="M198" s="25"/>
      <c r="N198" s="29"/>
    </row>
    <row r="199" spans="1:14">
      <c r="A199" s="29"/>
      <c r="L199" s="25"/>
      <c r="M199" s="25"/>
      <c r="N199" s="29"/>
    </row>
    <row r="200" spans="1:14">
      <c r="A200" s="29"/>
      <c r="L200" s="25"/>
      <c r="M200" s="25"/>
      <c r="N200" s="29"/>
    </row>
    <row r="201" spans="1:14">
      <c r="A201" s="29"/>
      <c r="L201" s="25"/>
      <c r="M201" s="25"/>
      <c r="N201" s="29"/>
    </row>
    <row r="202" spans="1:14">
      <c r="A202" s="29"/>
      <c r="L202" s="25"/>
      <c r="M202" s="25"/>
      <c r="N202" s="29"/>
    </row>
    <row r="203" spans="1:14">
      <c r="A203" s="29"/>
      <c r="L203" s="25"/>
      <c r="M203" s="25"/>
      <c r="N203" s="29"/>
    </row>
    <row r="204" spans="1:14">
      <c r="A204" s="29"/>
      <c r="L204" s="25"/>
      <c r="M204" s="25"/>
      <c r="N204" s="29"/>
    </row>
    <row r="205" spans="1:14">
      <c r="A205" s="29"/>
      <c r="L205" s="25"/>
      <c r="M205" s="25"/>
      <c r="N205" s="29"/>
    </row>
    <row r="206" spans="1:14">
      <c r="A206" s="29"/>
      <c r="L206" s="25"/>
      <c r="M206" s="25"/>
      <c r="N206" s="29"/>
    </row>
    <row r="207" spans="1:14">
      <c r="A207" s="29"/>
      <c r="L207" s="25"/>
      <c r="M207" s="25"/>
      <c r="N207" s="29"/>
    </row>
    <row r="208" spans="1:14">
      <c r="A208" s="29"/>
      <c r="L208" s="25"/>
      <c r="M208" s="25"/>
      <c r="N208" s="29"/>
    </row>
    <row r="209" spans="1:14">
      <c r="A209" s="29"/>
      <c r="L209" s="25"/>
      <c r="M209" s="25"/>
      <c r="N209" s="29"/>
    </row>
    <row r="210" spans="1:14">
      <c r="A210" s="29"/>
      <c r="L210" s="25"/>
      <c r="M210" s="25"/>
      <c r="N210" s="29"/>
    </row>
    <row r="211" spans="1:14">
      <c r="A211" s="29"/>
      <c r="L211" s="25"/>
      <c r="M211" s="25"/>
      <c r="N211" s="29"/>
    </row>
    <row r="212" spans="1:14">
      <c r="A212" s="29"/>
      <c r="L212" s="25"/>
      <c r="M212" s="25"/>
      <c r="N212" s="29"/>
    </row>
    <row r="213" spans="1:14">
      <c r="A213" s="29"/>
      <c r="L213" s="25"/>
      <c r="M213" s="25"/>
      <c r="N213" s="29"/>
    </row>
    <row r="214" spans="1:14">
      <c r="A214" s="29"/>
      <c r="L214" s="25"/>
      <c r="M214" s="25"/>
      <c r="N214" s="29"/>
    </row>
    <row r="215" spans="1:14">
      <c r="A215" s="29"/>
      <c r="L215" s="25"/>
      <c r="M215" s="25"/>
      <c r="N215" s="29"/>
    </row>
    <row r="216" spans="1:14">
      <c r="A216" s="29"/>
      <c r="L216" s="25"/>
      <c r="M216" s="25"/>
      <c r="N216" s="29"/>
    </row>
    <row r="217" spans="1:14">
      <c r="A217" s="29"/>
      <c r="L217" s="25"/>
      <c r="M217" s="25"/>
      <c r="N217" s="29"/>
    </row>
    <row r="218" spans="1:14">
      <c r="A218" s="29"/>
      <c r="L218" s="25"/>
      <c r="M218" s="25"/>
      <c r="N218" s="29"/>
    </row>
    <row r="219" spans="1:14">
      <c r="A219" s="29"/>
      <c r="L219" s="25"/>
      <c r="M219" s="25"/>
      <c r="N219" s="29"/>
    </row>
    <row r="220" spans="1:14">
      <c r="A220" s="29"/>
      <c r="L220" s="25"/>
      <c r="M220" s="25"/>
      <c r="N220" s="29"/>
    </row>
    <row r="221" spans="1:14">
      <c r="A221" s="29"/>
      <c r="L221" s="25"/>
      <c r="M221" s="25"/>
      <c r="N221" s="29"/>
    </row>
    <row r="222" spans="1:14">
      <c r="A222" s="29"/>
      <c r="L222" s="25"/>
      <c r="M222" s="25"/>
      <c r="N222" s="29"/>
    </row>
    <row r="223" spans="1:14">
      <c r="A223" s="29"/>
      <c r="L223" s="25"/>
      <c r="M223" s="25"/>
      <c r="N223" s="29"/>
    </row>
    <row r="224" spans="1:14">
      <c r="A224" s="29"/>
      <c r="L224" s="25"/>
      <c r="M224" s="25"/>
      <c r="N224" s="29"/>
    </row>
    <row r="225" spans="1:14">
      <c r="A225" s="29"/>
      <c r="L225" s="25"/>
      <c r="M225" s="25"/>
      <c r="N225" s="29"/>
    </row>
    <row r="226" spans="1:14">
      <c r="A226" s="29"/>
      <c r="L226" s="25"/>
      <c r="M226" s="25"/>
      <c r="N226" s="29"/>
    </row>
    <row r="227" spans="1:14">
      <c r="A227" s="29"/>
      <c r="L227" s="25"/>
      <c r="M227" s="25"/>
      <c r="N227" s="29"/>
    </row>
    <row r="228" spans="1:14">
      <c r="A228" s="29"/>
      <c r="L228" s="25"/>
      <c r="M228" s="25"/>
      <c r="N228" s="29"/>
    </row>
    <row r="229" spans="1:14">
      <c r="A229" s="29"/>
      <c r="L229" s="25"/>
      <c r="M229" s="25"/>
      <c r="N229" s="29"/>
    </row>
    <row r="230" spans="1:14">
      <c r="A230" s="29"/>
      <c r="L230" s="25"/>
      <c r="M230" s="25"/>
      <c r="N230" s="29"/>
    </row>
    <row r="231" spans="1:14">
      <c r="A231" s="29"/>
      <c r="L231" s="25"/>
      <c r="M231" s="25"/>
      <c r="N231" s="29"/>
    </row>
    <row r="232" spans="1:14">
      <c r="A232" s="29"/>
      <c r="L232" s="25"/>
      <c r="M232" s="25"/>
      <c r="N232" s="29"/>
    </row>
    <row r="233" spans="1:14">
      <c r="A233" s="29"/>
      <c r="L233" s="25"/>
      <c r="M233" s="25"/>
      <c r="N233" s="29"/>
    </row>
    <row r="234" spans="1:14">
      <c r="A234" s="29"/>
      <c r="L234" s="25"/>
      <c r="M234" s="25"/>
      <c r="N234" s="29"/>
    </row>
    <row r="235" spans="1:14">
      <c r="A235" s="29"/>
      <c r="L235" s="25"/>
      <c r="M235" s="25"/>
      <c r="N235" s="29"/>
    </row>
    <row r="236" spans="1:14">
      <c r="A236" s="29"/>
      <c r="L236" s="25"/>
      <c r="M236" s="25"/>
      <c r="N236" s="29"/>
    </row>
    <row r="237" spans="1:14">
      <c r="A237" s="29"/>
      <c r="L237" s="25"/>
      <c r="M237" s="25"/>
      <c r="N237" s="29"/>
    </row>
    <row r="238" spans="1:14">
      <c r="A238" s="29"/>
      <c r="L238" s="25"/>
      <c r="M238" s="25"/>
      <c r="N238" s="29"/>
    </row>
    <row r="239" spans="1:14">
      <c r="A239" s="29"/>
      <c r="L239" s="25"/>
      <c r="M239" s="25"/>
      <c r="N239" s="29"/>
    </row>
    <row r="240" spans="1:14">
      <c r="A240" s="29"/>
      <c r="L240" s="25"/>
      <c r="M240" s="25"/>
      <c r="N240" s="29"/>
    </row>
    <row r="241" spans="1:14">
      <c r="A241" s="29"/>
      <c r="L241" s="25"/>
      <c r="M241" s="25"/>
      <c r="N241" s="29"/>
    </row>
    <row r="242" spans="1:14">
      <c r="A242" s="29"/>
      <c r="L242" s="25"/>
      <c r="M242" s="25"/>
      <c r="N242" s="29"/>
    </row>
    <row r="243" spans="1:14">
      <c r="A243" s="29"/>
      <c r="L243" s="25"/>
      <c r="M243" s="25"/>
      <c r="N243" s="29"/>
    </row>
    <row r="244" spans="1:14">
      <c r="A244" s="29"/>
      <c r="L244" s="25"/>
      <c r="M244" s="25"/>
      <c r="N244" s="29"/>
    </row>
    <row r="245" spans="1:14">
      <c r="A245" s="29"/>
      <c r="L245" s="25"/>
      <c r="M245" s="25"/>
      <c r="N245" s="29"/>
    </row>
    <row r="246" spans="1:14">
      <c r="A246" s="29"/>
      <c r="L246" s="25"/>
      <c r="M246" s="25"/>
      <c r="N246" s="29"/>
    </row>
    <row r="247" spans="1:14">
      <c r="A247" s="29"/>
      <c r="L247" s="25"/>
      <c r="M247" s="25"/>
      <c r="N247" s="29"/>
    </row>
    <row r="248" spans="1:14">
      <c r="A248" s="29"/>
      <c r="L248" s="25"/>
      <c r="M248" s="25"/>
      <c r="N248" s="29"/>
    </row>
    <row r="249" spans="1:14">
      <c r="A249" s="29"/>
      <c r="L249" s="25"/>
      <c r="M249" s="25"/>
      <c r="N249" s="29"/>
    </row>
    <row r="250" spans="1:14">
      <c r="A250" s="29"/>
      <c r="L250" s="25"/>
      <c r="M250" s="25"/>
      <c r="N250" s="29"/>
    </row>
    <row r="251" spans="1:14">
      <c r="A251" s="29"/>
      <c r="L251" s="25"/>
      <c r="M251" s="25"/>
      <c r="N251" s="29"/>
    </row>
    <row r="252" spans="1:14">
      <c r="A252" s="29"/>
      <c r="L252" s="25"/>
      <c r="M252" s="25"/>
      <c r="N252" s="29"/>
    </row>
    <row r="253" spans="1:14">
      <c r="A253" s="29"/>
      <c r="L253" s="25"/>
      <c r="M253" s="25"/>
      <c r="N253" s="29"/>
    </row>
    <row r="254" spans="1:14">
      <c r="A254" s="29"/>
      <c r="L254" s="25"/>
      <c r="M254" s="25"/>
      <c r="N254" s="29"/>
    </row>
    <row r="255" spans="1:14">
      <c r="A255" s="29"/>
      <c r="L255" s="25"/>
      <c r="M255" s="25"/>
      <c r="N255" s="29"/>
    </row>
    <row r="256" spans="1:14">
      <c r="A256" s="29"/>
      <c r="L256" s="25"/>
      <c r="M256" s="25"/>
      <c r="N256" s="29"/>
    </row>
    <row r="257" spans="1:14">
      <c r="A257" s="29"/>
      <c r="L257" s="25"/>
      <c r="M257" s="25"/>
      <c r="N257" s="29"/>
    </row>
    <row r="258" spans="1:14">
      <c r="A258" s="29"/>
      <c r="L258" s="25"/>
      <c r="M258" s="25"/>
      <c r="N258" s="29"/>
    </row>
    <row r="259" spans="1:14">
      <c r="A259" s="29"/>
      <c r="L259" s="25"/>
      <c r="M259" s="25"/>
      <c r="N259" s="29"/>
    </row>
    <row r="260" spans="1:14">
      <c r="A260" s="29"/>
      <c r="L260" s="25"/>
      <c r="M260" s="25"/>
      <c r="N260" s="29"/>
    </row>
    <row r="261" spans="1:14">
      <c r="A261" s="29"/>
      <c r="L261" s="25"/>
      <c r="M261" s="25"/>
      <c r="N261" s="29"/>
    </row>
    <row r="262" spans="1:14">
      <c r="A262" s="29"/>
      <c r="L262" s="25"/>
      <c r="M262" s="25"/>
      <c r="N262" s="29"/>
    </row>
    <row r="263" spans="1:14">
      <c r="A263" s="29"/>
      <c r="L263" s="25"/>
      <c r="M263" s="25"/>
      <c r="N263" s="29"/>
    </row>
    <row r="264" spans="1:14">
      <c r="A264" s="29"/>
      <c r="L264" s="25"/>
      <c r="M264" s="25"/>
      <c r="N264" s="29"/>
    </row>
    <row r="265" spans="1:14">
      <c r="A265" s="29"/>
      <c r="L265" s="25"/>
      <c r="M265" s="25"/>
      <c r="N265" s="29"/>
    </row>
    <row r="266" spans="1:14">
      <c r="A266" s="29"/>
      <c r="L266" s="25"/>
      <c r="M266" s="25"/>
      <c r="N266" s="29"/>
    </row>
    <row r="267" spans="1:14">
      <c r="A267" s="29"/>
      <c r="L267" s="25"/>
      <c r="M267" s="25"/>
      <c r="N267" s="29"/>
    </row>
    <row r="268" spans="1:14">
      <c r="A268" s="29"/>
      <c r="L268" s="25"/>
      <c r="M268" s="25"/>
      <c r="N268" s="29"/>
    </row>
    <row r="269" spans="1:14">
      <c r="A269" s="29"/>
      <c r="L269" s="25"/>
      <c r="M269" s="25"/>
      <c r="N269" s="29"/>
    </row>
    <row r="270" spans="1:14">
      <c r="A270" s="29"/>
      <c r="L270" s="25"/>
      <c r="M270" s="25"/>
      <c r="N270" s="29"/>
    </row>
    <row r="271" spans="1:14">
      <c r="A271" s="29"/>
      <c r="L271" s="25"/>
      <c r="M271" s="25"/>
      <c r="N271" s="29"/>
    </row>
    <row r="272" spans="1:14">
      <c r="A272" s="29"/>
      <c r="L272" s="25"/>
      <c r="M272" s="25"/>
      <c r="N272" s="29"/>
    </row>
    <row r="273" spans="1:14">
      <c r="A273" s="29"/>
      <c r="L273" s="25"/>
      <c r="M273" s="25"/>
      <c r="N273" s="29"/>
    </row>
    <row r="274" spans="1:14">
      <c r="A274" s="29"/>
      <c r="L274" s="25"/>
      <c r="M274" s="25"/>
      <c r="N274" s="29"/>
    </row>
    <row r="275" spans="1:14">
      <c r="A275" s="29"/>
      <c r="L275" s="25"/>
      <c r="M275" s="25"/>
      <c r="N275" s="29"/>
    </row>
    <row r="276" spans="1:14">
      <c r="A276" s="29"/>
      <c r="L276" s="25"/>
      <c r="M276" s="25"/>
      <c r="N276" s="29"/>
    </row>
    <row r="277" spans="1:14">
      <c r="A277" s="29"/>
      <c r="L277" s="25"/>
      <c r="M277" s="25"/>
      <c r="N277" s="29"/>
    </row>
    <row r="278" spans="1:14">
      <c r="A278" s="29"/>
      <c r="L278" s="25"/>
      <c r="M278" s="25"/>
      <c r="N278" s="29"/>
    </row>
    <row r="279" spans="1:14">
      <c r="A279" s="29"/>
      <c r="L279" s="25"/>
      <c r="M279" s="25"/>
      <c r="N279" s="29"/>
    </row>
    <row r="280" spans="1:14">
      <c r="A280" s="29"/>
      <c r="L280" s="25"/>
      <c r="M280" s="25"/>
      <c r="N280" s="29"/>
    </row>
    <row r="281" spans="1:14">
      <c r="A281" s="29"/>
      <c r="L281" s="25"/>
      <c r="M281" s="25"/>
      <c r="N281" s="29"/>
    </row>
    <row r="282" spans="1:14">
      <c r="A282" s="29"/>
      <c r="L282" s="25"/>
      <c r="M282" s="25"/>
      <c r="N282" s="29"/>
    </row>
    <row r="283" spans="1:14">
      <c r="A283" s="29"/>
      <c r="L283" s="25"/>
      <c r="M283" s="25"/>
      <c r="N283" s="29"/>
    </row>
    <row r="284" spans="1:14">
      <c r="A284" s="29"/>
      <c r="L284" s="25"/>
      <c r="M284" s="25"/>
      <c r="N284" s="29"/>
    </row>
    <row r="285" spans="1:14">
      <c r="A285" s="29"/>
      <c r="L285" s="25"/>
      <c r="M285" s="25"/>
      <c r="N285" s="29"/>
    </row>
    <row r="286" spans="1:14">
      <c r="A286" s="29"/>
      <c r="L286" s="25"/>
      <c r="M286" s="25"/>
      <c r="N286" s="29"/>
    </row>
    <row r="287" spans="1:14">
      <c r="A287" s="29"/>
      <c r="L287" s="25"/>
      <c r="M287" s="25"/>
      <c r="N287" s="29"/>
    </row>
    <row r="288" spans="1:14">
      <c r="A288" s="29"/>
      <c r="L288" s="25"/>
      <c r="M288" s="25"/>
      <c r="N288" s="29"/>
    </row>
    <row r="289" spans="1:14">
      <c r="A289" s="29"/>
      <c r="L289" s="25"/>
      <c r="M289" s="25"/>
      <c r="N289" s="29"/>
    </row>
    <row r="290" spans="1:14">
      <c r="A290" s="29"/>
      <c r="L290" s="25"/>
      <c r="M290" s="25"/>
      <c r="N290" s="29"/>
    </row>
    <row r="291" spans="1:14">
      <c r="A291" s="29"/>
      <c r="L291" s="25"/>
      <c r="M291" s="25"/>
      <c r="N291" s="29"/>
    </row>
    <row r="292" spans="1:14">
      <c r="A292" s="29"/>
      <c r="L292" s="25"/>
      <c r="M292" s="25"/>
      <c r="N292" s="29"/>
    </row>
    <row r="293" spans="1:14">
      <c r="A293" s="29"/>
      <c r="L293" s="25"/>
      <c r="M293" s="25"/>
      <c r="N293" s="29"/>
    </row>
    <row r="294" spans="1:14">
      <c r="A294" s="29"/>
      <c r="L294" s="25"/>
      <c r="M294" s="25"/>
      <c r="N294" s="29"/>
    </row>
    <row r="295" spans="1:14">
      <c r="A295" s="29"/>
      <c r="L295" s="25"/>
      <c r="M295" s="25"/>
      <c r="N295" s="29"/>
    </row>
    <row r="296" spans="1:14">
      <c r="A296" s="29"/>
      <c r="L296" s="25"/>
      <c r="M296" s="25"/>
      <c r="N296" s="29"/>
    </row>
    <row r="297" spans="1:14">
      <c r="A297" s="29"/>
      <c r="L297" s="25"/>
      <c r="M297" s="25"/>
      <c r="N297" s="29"/>
    </row>
    <row r="298" spans="1:14">
      <c r="A298" s="29"/>
      <c r="L298" s="25"/>
      <c r="M298" s="25"/>
      <c r="N298" s="29"/>
    </row>
    <row r="299" spans="1:14">
      <c r="A299" s="29"/>
      <c r="L299" s="25"/>
      <c r="M299" s="25"/>
      <c r="N299" s="29"/>
    </row>
    <row r="300" spans="1:14">
      <c r="A300" s="29"/>
      <c r="L300" s="25"/>
      <c r="M300" s="25"/>
      <c r="N300" s="29"/>
    </row>
    <row r="301" spans="1:14">
      <c r="A301" s="29"/>
      <c r="L301" s="25"/>
      <c r="M301" s="25"/>
      <c r="N301" s="29"/>
    </row>
    <row r="302" spans="1:14">
      <c r="A302" s="29"/>
      <c r="L302" s="25"/>
      <c r="M302" s="25"/>
      <c r="N302" s="29"/>
    </row>
    <row r="303" spans="1:14">
      <c r="A303" s="29"/>
      <c r="L303" s="25"/>
      <c r="M303" s="25"/>
      <c r="N303" s="29"/>
    </row>
    <row r="304" spans="1:14">
      <c r="A304" s="29"/>
      <c r="L304" s="25"/>
      <c r="M304" s="25"/>
      <c r="N304" s="29"/>
    </row>
    <row r="305" spans="1:14">
      <c r="A305" s="29"/>
      <c r="L305" s="25"/>
      <c r="M305" s="25"/>
      <c r="N305" s="29"/>
    </row>
    <row r="306" spans="1:14">
      <c r="A306" s="29"/>
      <c r="L306" s="25"/>
      <c r="M306" s="25"/>
      <c r="N306" s="29"/>
    </row>
    <row r="307" spans="1:14">
      <c r="A307" s="29"/>
      <c r="L307" s="25"/>
      <c r="M307" s="25"/>
      <c r="N307" s="29"/>
    </row>
    <row r="308" spans="1:14">
      <c r="A308" s="29"/>
      <c r="L308" s="25"/>
      <c r="M308" s="25"/>
      <c r="N308" s="29"/>
    </row>
    <row r="309" spans="1:14">
      <c r="A309" s="29"/>
      <c r="L309" s="25"/>
      <c r="M309" s="25"/>
      <c r="N309" s="29"/>
    </row>
    <row r="310" spans="1:14">
      <c r="A310" s="29"/>
      <c r="L310" s="25"/>
      <c r="M310" s="25"/>
      <c r="N310" s="29"/>
    </row>
    <row r="311" spans="1:14">
      <c r="A311" s="29"/>
      <c r="L311" s="25"/>
      <c r="M311" s="25"/>
      <c r="N311" s="29"/>
    </row>
    <row r="312" spans="1:14">
      <c r="A312" s="29"/>
      <c r="L312" s="25"/>
      <c r="M312" s="25"/>
      <c r="N312" s="29"/>
    </row>
    <row r="313" spans="1:14">
      <c r="A313" s="29"/>
      <c r="L313" s="25"/>
      <c r="M313" s="25"/>
      <c r="N313" s="29"/>
    </row>
    <row r="314" spans="1:14">
      <c r="A314" s="29"/>
      <c r="L314" s="25"/>
      <c r="M314" s="25"/>
      <c r="N314" s="29"/>
    </row>
    <row r="315" spans="1:14">
      <c r="A315" s="29"/>
      <c r="L315" s="25"/>
      <c r="M315" s="25"/>
      <c r="N315" s="29"/>
    </row>
    <row r="316" spans="1:14">
      <c r="A316" s="29"/>
      <c r="L316" s="25"/>
      <c r="M316" s="25"/>
      <c r="N316" s="29"/>
    </row>
    <row r="317" spans="1:14">
      <c r="A317" s="29"/>
      <c r="L317" s="25"/>
      <c r="M317" s="25"/>
      <c r="N317" s="29"/>
    </row>
    <row r="318" spans="1:14">
      <c r="A318" s="29"/>
      <c r="L318" s="25"/>
      <c r="M318" s="25"/>
      <c r="N318" s="29"/>
    </row>
    <row r="319" spans="1:14">
      <c r="A319" s="29"/>
      <c r="L319" s="25"/>
      <c r="M319" s="25"/>
      <c r="N319" s="29"/>
    </row>
    <row r="320" spans="1:14">
      <c r="A320" s="29"/>
      <c r="L320" s="25"/>
      <c r="M320" s="25"/>
      <c r="N320" s="29"/>
    </row>
    <row r="321" spans="1:14">
      <c r="A321" s="29"/>
      <c r="L321" s="25"/>
      <c r="M321" s="25"/>
      <c r="N321" s="29"/>
    </row>
    <row r="322" spans="1:14">
      <c r="A322" s="29"/>
      <c r="L322" s="25"/>
      <c r="M322" s="25"/>
      <c r="N322" s="29"/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L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行业资金流向</vt:lpstr>
      <vt:lpstr>资金流向数据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2026-03-23T10:20:43Z</dcterms:modified>
</cp:coreProperties>
</file>